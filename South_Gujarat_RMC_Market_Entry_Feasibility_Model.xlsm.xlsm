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2.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drawings/drawing3.xml" ContentType="application/vnd.openxmlformats-officedocument.drawing+xml"/>
  <Override PartName="/xl/tables/table26.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tables/table27.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mc:AlternateContent xmlns:mc="http://schemas.openxmlformats.org/markup-compatibility/2006">
    <mc:Choice Requires="x15">
      <x15ac:absPath xmlns:x15ac="http://schemas.microsoft.com/office/spreadsheetml/2010/11/ac" url="C:\Users\avina\Documents\South_Gujarat_RMC_Market_Entry_Portfolio\1_Excel_Model\"/>
    </mc:Choice>
  </mc:AlternateContent>
  <xr:revisionPtr revIDLastSave="0" documentId="13_ncr:1_{3475B3CF-9DB4-4DA6-9444-3F47E4D4A798}" xr6:coauthVersionLast="47" xr6:coauthVersionMax="47" xr10:uidLastSave="{00000000-0000-0000-0000-000000000000}"/>
  <bookViews>
    <workbookView xWindow="-110" yWindow="-110" windowWidth="19420" windowHeight="10300" firstSheet="3" activeTab="6" xr2:uid="{00000000-000D-0000-FFFF-FFFF00000000}"/>
  </bookViews>
  <sheets>
    <sheet name="Cover_Page" sheetId="10" r:id="rId1"/>
    <sheet name="Market_Data" sheetId="1" r:id="rId2"/>
    <sheet name="Assumptions_Market" sheetId="13" r:id="rId3"/>
    <sheet name="TAM_SAM_SOM" sheetId="2" r:id="rId4"/>
    <sheet name="Competitors" sheetId="3" r:id="rId5"/>
    <sheet name="Financial_Model" sheetId="4" r:id="rId6"/>
    <sheet name="Risk_Analysis" sheetId="5" r:id="rId7"/>
    <sheet name="Infrastructure_Projects" sheetId="6" r:id="rId8"/>
    <sheet name="Assumptions_Log" sheetId="7" r:id="rId9"/>
    <sheet name="Dashboard" sheetId="8" r:id="rId10"/>
    <sheet name="Executive_Summary" sheetId="9" r:id="rId11"/>
  </sheets>
  <definedNames>
    <definedName name="_xlnm._FilterDatabase" localSheetId="4" hidden="1">Competitors!$A$4:$I$70</definedName>
    <definedName name="_xlnm._FilterDatabase" localSheetId="1" hidden="1">Market_Data!$A$8:$P$3073</definedName>
    <definedName name="Annual_Escalation">Assumptions_Log!$C$13</definedName>
    <definedName name="Base_Scenario">Assumptions_Log!$C$14</definedName>
    <definedName name="Optimistic_Scenario">Assumptions_Log!$C$15</definedName>
    <definedName name="Pessimistic_Scenario">Assumptions_Log!$C$16</definedName>
  </definedNames>
  <calcPr calcId="191029" forceFullCal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36" i="7" l="1"/>
  <c r="H33" i="7"/>
  <c r="H16" i="7"/>
  <c r="H15" i="7"/>
  <c r="H14" i="7"/>
  <c r="H13" i="7"/>
  <c r="B20" i="9"/>
  <c r="D27" i="2"/>
  <c r="D28" i="2"/>
  <c r="D29" i="2"/>
  <c r="D30" i="2"/>
  <c r="D31" i="2"/>
  <c r="F60" i="4"/>
  <c r="C6" i="4"/>
  <c r="A4" i="1"/>
  <c r="W19" i="10"/>
  <c r="A3" i="9"/>
  <c r="O5" i="3"/>
  <c r="O6" i="3"/>
  <c r="O7" i="3"/>
  <c r="O8" i="3"/>
  <c r="O9" i="3"/>
  <c r="O10" i="3"/>
  <c r="O11" i="3"/>
  <c r="O12" i="3"/>
  <c r="O13" i="3"/>
  <c r="O14" i="3"/>
  <c r="O15" i="3"/>
  <c r="O16" i="3"/>
  <c r="O17" i="3"/>
  <c r="O18" i="3"/>
  <c r="O19" i="3"/>
  <c r="O20" i="3"/>
  <c r="O21" i="3"/>
  <c r="O22" i="3"/>
  <c r="O23" i="3"/>
  <c r="O24" i="3"/>
  <c r="O25" i="3"/>
  <c r="O26" i="3"/>
  <c r="O27" i="3"/>
  <c r="O28" i="3"/>
  <c r="O29" i="3"/>
  <c r="O30" i="3"/>
  <c r="O31" i="3"/>
  <c r="O32" i="3"/>
  <c r="O33" i="3"/>
  <c r="O34" i="3"/>
  <c r="O35" i="3"/>
  <c r="O36" i="3"/>
  <c r="O37" i="3"/>
  <c r="O38" i="3"/>
  <c r="O39" i="3"/>
  <c r="O40" i="3"/>
  <c r="O41" i="3"/>
  <c r="O42" i="3"/>
  <c r="O43" i="3"/>
  <c r="O44" i="3"/>
  <c r="O45" i="3"/>
  <c r="O46" i="3"/>
  <c r="O47" i="3"/>
  <c r="O48" i="3"/>
  <c r="O49" i="3"/>
  <c r="O50" i="3"/>
  <c r="O51" i="3"/>
  <c r="O52" i="3"/>
  <c r="O53" i="3"/>
  <c r="O54" i="3"/>
  <c r="O55" i="3"/>
  <c r="O56" i="3"/>
  <c r="O57" i="3"/>
  <c r="O58" i="3"/>
  <c r="O59" i="3"/>
  <c r="O60" i="3"/>
  <c r="O61" i="3"/>
  <c r="O62" i="3"/>
  <c r="O63" i="3"/>
  <c r="O64" i="3"/>
  <c r="O65" i="3"/>
  <c r="O66" i="3"/>
  <c r="O67" i="3"/>
  <c r="O68" i="3"/>
  <c r="O69" i="3"/>
  <c r="O70" i="3"/>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833" i="1"/>
  <c r="F834" i="1"/>
  <c r="F835" i="1"/>
  <c r="F836" i="1"/>
  <c r="F837" i="1"/>
  <c r="F838" i="1"/>
  <c r="F839" i="1"/>
  <c r="F840" i="1"/>
  <c r="F841" i="1"/>
  <c r="F842" i="1"/>
  <c r="F843" i="1"/>
  <c r="F844" i="1"/>
  <c r="F845" i="1"/>
  <c r="F846" i="1"/>
  <c r="F847" i="1"/>
  <c r="F848" i="1"/>
  <c r="F849" i="1"/>
  <c r="F850" i="1"/>
  <c r="F851" i="1"/>
  <c r="F852" i="1"/>
  <c r="F853" i="1"/>
  <c r="F854" i="1"/>
  <c r="F855" i="1"/>
  <c r="F856" i="1"/>
  <c r="F857" i="1"/>
  <c r="F858" i="1"/>
  <c r="F859" i="1"/>
  <c r="F860" i="1"/>
  <c r="F861" i="1"/>
  <c r="F862" i="1"/>
  <c r="F863" i="1"/>
  <c r="F864" i="1"/>
  <c r="F865" i="1"/>
  <c r="F866" i="1"/>
  <c r="F867" i="1"/>
  <c r="F868" i="1"/>
  <c r="F869" i="1"/>
  <c r="F870" i="1"/>
  <c r="F871" i="1"/>
  <c r="F872" i="1"/>
  <c r="F873" i="1"/>
  <c r="F874" i="1"/>
  <c r="F875" i="1"/>
  <c r="F876" i="1"/>
  <c r="F877" i="1"/>
  <c r="F878" i="1"/>
  <c r="F879" i="1"/>
  <c r="F880" i="1"/>
  <c r="F881" i="1"/>
  <c r="F882" i="1"/>
  <c r="F883" i="1"/>
  <c r="F884" i="1"/>
  <c r="F885" i="1"/>
  <c r="F886" i="1"/>
  <c r="F887" i="1"/>
  <c r="F888" i="1"/>
  <c r="F889" i="1"/>
  <c r="F890" i="1"/>
  <c r="F891" i="1"/>
  <c r="F892" i="1"/>
  <c r="F893" i="1"/>
  <c r="F894" i="1"/>
  <c r="F895" i="1"/>
  <c r="F896" i="1"/>
  <c r="F897" i="1"/>
  <c r="F898" i="1"/>
  <c r="F899" i="1"/>
  <c r="F900" i="1"/>
  <c r="F901" i="1"/>
  <c r="F902" i="1"/>
  <c r="F903" i="1"/>
  <c r="F904" i="1"/>
  <c r="F905" i="1"/>
  <c r="F906" i="1"/>
  <c r="F907" i="1"/>
  <c r="F908" i="1"/>
  <c r="F909" i="1"/>
  <c r="F910" i="1"/>
  <c r="F911" i="1"/>
  <c r="F912" i="1"/>
  <c r="F913" i="1"/>
  <c r="F914" i="1"/>
  <c r="F915" i="1"/>
  <c r="F916" i="1"/>
  <c r="F917" i="1"/>
  <c r="F918" i="1"/>
  <c r="F919" i="1"/>
  <c r="F920" i="1"/>
  <c r="F921" i="1"/>
  <c r="F922" i="1"/>
  <c r="F923" i="1"/>
  <c r="F924" i="1"/>
  <c r="F925" i="1"/>
  <c r="F926" i="1"/>
  <c r="F927" i="1"/>
  <c r="F928" i="1"/>
  <c r="F929" i="1"/>
  <c r="F930" i="1"/>
  <c r="F931" i="1"/>
  <c r="F932" i="1"/>
  <c r="F933" i="1"/>
  <c r="F934" i="1"/>
  <c r="F935" i="1"/>
  <c r="F936" i="1"/>
  <c r="F937" i="1"/>
  <c r="F938" i="1"/>
  <c r="F939" i="1"/>
  <c r="F940" i="1"/>
  <c r="F941" i="1"/>
  <c r="F942" i="1"/>
  <c r="F943" i="1"/>
  <c r="F944" i="1"/>
  <c r="F945" i="1"/>
  <c r="F946" i="1"/>
  <c r="F947" i="1"/>
  <c r="F948" i="1"/>
  <c r="F949" i="1"/>
  <c r="F950" i="1"/>
  <c r="F951" i="1"/>
  <c r="F952" i="1"/>
  <c r="F953" i="1"/>
  <c r="F954" i="1"/>
  <c r="F955" i="1"/>
  <c r="F956" i="1"/>
  <c r="F957" i="1"/>
  <c r="F958" i="1"/>
  <c r="F959" i="1"/>
  <c r="F960" i="1"/>
  <c r="F961" i="1"/>
  <c r="F962" i="1"/>
  <c r="F963" i="1"/>
  <c r="F964" i="1"/>
  <c r="F965" i="1"/>
  <c r="F966" i="1"/>
  <c r="F967" i="1"/>
  <c r="F968" i="1"/>
  <c r="F969" i="1"/>
  <c r="F970" i="1"/>
  <c r="F971" i="1"/>
  <c r="F972" i="1"/>
  <c r="F973" i="1"/>
  <c r="F974" i="1"/>
  <c r="F975" i="1"/>
  <c r="F976" i="1"/>
  <c r="F977" i="1"/>
  <c r="F978" i="1"/>
  <c r="F979" i="1"/>
  <c r="F980" i="1"/>
  <c r="F981" i="1"/>
  <c r="F982" i="1"/>
  <c r="F983" i="1"/>
  <c r="F984" i="1"/>
  <c r="F985" i="1"/>
  <c r="F986" i="1"/>
  <c r="F987" i="1"/>
  <c r="F988" i="1"/>
  <c r="F989" i="1"/>
  <c r="F990" i="1"/>
  <c r="F991" i="1"/>
  <c r="F992" i="1"/>
  <c r="F993" i="1"/>
  <c r="F994" i="1"/>
  <c r="F995" i="1"/>
  <c r="F996" i="1"/>
  <c r="F997" i="1"/>
  <c r="F998" i="1"/>
  <c r="F999" i="1"/>
  <c r="F1000" i="1"/>
  <c r="F1001" i="1"/>
  <c r="F1002" i="1"/>
  <c r="F1003" i="1"/>
  <c r="F1004" i="1"/>
  <c r="F1005" i="1"/>
  <c r="F1006" i="1"/>
  <c r="F1007" i="1"/>
  <c r="F1008" i="1"/>
  <c r="F1009" i="1"/>
  <c r="F1010" i="1"/>
  <c r="F1011" i="1"/>
  <c r="F1012" i="1"/>
  <c r="F1013" i="1"/>
  <c r="F1014" i="1"/>
  <c r="F1015" i="1"/>
  <c r="F1016" i="1"/>
  <c r="F1017" i="1"/>
  <c r="F1018" i="1"/>
  <c r="F1019" i="1"/>
  <c r="F1020" i="1"/>
  <c r="F1021" i="1"/>
  <c r="F1022" i="1"/>
  <c r="F1023" i="1"/>
  <c r="F1024" i="1"/>
  <c r="F1025" i="1"/>
  <c r="F1026" i="1"/>
  <c r="F1027" i="1"/>
  <c r="F1028" i="1"/>
  <c r="F1029" i="1"/>
  <c r="F1030" i="1"/>
  <c r="F1031" i="1"/>
  <c r="F1032" i="1"/>
  <c r="F1033" i="1"/>
  <c r="F1034" i="1"/>
  <c r="F1035" i="1"/>
  <c r="F1036" i="1"/>
  <c r="F1037" i="1"/>
  <c r="F1038" i="1"/>
  <c r="F1039" i="1"/>
  <c r="F1040" i="1"/>
  <c r="F1041" i="1"/>
  <c r="F1042" i="1"/>
  <c r="F1043" i="1"/>
  <c r="F1044" i="1"/>
  <c r="F1045" i="1"/>
  <c r="F1046" i="1"/>
  <c r="F1047" i="1"/>
  <c r="F1048" i="1"/>
  <c r="F1049" i="1"/>
  <c r="F1050" i="1"/>
  <c r="F1051" i="1"/>
  <c r="F1052" i="1"/>
  <c r="F1053" i="1"/>
  <c r="F1054" i="1"/>
  <c r="F1055" i="1"/>
  <c r="F1056" i="1"/>
  <c r="F1057" i="1"/>
  <c r="F1058" i="1"/>
  <c r="F1059" i="1"/>
  <c r="F1060" i="1"/>
  <c r="F1061" i="1"/>
  <c r="F1062" i="1"/>
  <c r="F1063" i="1"/>
  <c r="F1064" i="1"/>
  <c r="F1065" i="1"/>
  <c r="F1066" i="1"/>
  <c r="F1067" i="1"/>
  <c r="F1068" i="1"/>
  <c r="F1069" i="1"/>
  <c r="F1070" i="1"/>
  <c r="F1071" i="1"/>
  <c r="F1072" i="1"/>
  <c r="F1073" i="1"/>
  <c r="F1074" i="1"/>
  <c r="F1075" i="1"/>
  <c r="F1076" i="1"/>
  <c r="F1077" i="1"/>
  <c r="F1078" i="1"/>
  <c r="F1079" i="1"/>
  <c r="F1080" i="1"/>
  <c r="F1081" i="1"/>
  <c r="F1082" i="1"/>
  <c r="F1083" i="1"/>
  <c r="F1084" i="1"/>
  <c r="F1085" i="1"/>
  <c r="F1086" i="1"/>
  <c r="F1087" i="1"/>
  <c r="F1088" i="1"/>
  <c r="F1089" i="1"/>
  <c r="F1090" i="1"/>
  <c r="F1091" i="1"/>
  <c r="F1092" i="1"/>
  <c r="F1093" i="1"/>
  <c r="F1094" i="1"/>
  <c r="F1095" i="1"/>
  <c r="F1096" i="1"/>
  <c r="F1097" i="1"/>
  <c r="F1098" i="1"/>
  <c r="F1099" i="1"/>
  <c r="F1100" i="1"/>
  <c r="F1101" i="1"/>
  <c r="F1102" i="1"/>
  <c r="F1103" i="1"/>
  <c r="F1104" i="1"/>
  <c r="F1105" i="1"/>
  <c r="F1106" i="1"/>
  <c r="F1107" i="1"/>
  <c r="F1108" i="1"/>
  <c r="F1109" i="1"/>
  <c r="F1110" i="1"/>
  <c r="F1111" i="1"/>
  <c r="F1112" i="1"/>
  <c r="F1113" i="1"/>
  <c r="F1114" i="1"/>
  <c r="F1115" i="1"/>
  <c r="F1116" i="1"/>
  <c r="F1117" i="1"/>
  <c r="F1118" i="1"/>
  <c r="F1119" i="1"/>
  <c r="F1120" i="1"/>
  <c r="F1121" i="1"/>
  <c r="F1122" i="1"/>
  <c r="F1123" i="1"/>
  <c r="F1124" i="1"/>
  <c r="F1125" i="1"/>
  <c r="F1126" i="1"/>
  <c r="F1127" i="1"/>
  <c r="F1128" i="1"/>
  <c r="F1129" i="1"/>
  <c r="F1130" i="1"/>
  <c r="F1131" i="1"/>
  <c r="F1132" i="1"/>
  <c r="F1133" i="1"/>
  <c r="F1134" i="1"/>
  <c r="F1135" i="1"/>
  <c r="F1136" i="1"/>
  <c r="F1137" i="1"/>
  <c r="F1138" i="1"/>
  <c r="F1139" i="1"/>
  <c r="F1140" i="1"/>
  <c r="F1141" i="1"/>
  <c r="F1142" i="1"/>
  <c r="F1143" i="1"/>
  <c r="F1144" i="1"/>
  <c r="F1145" i="1"/>
  <c r="F1146" i="1"/>
  <c r="F1147" i="1"/>
  <c r="F1148" i="1"/>
  <c r="F1149" i="1"/>
  <c r="F1150" i="1"/>
  <c r="F1151" i="1"/>
  <c r="F1152" i="1"/>
  <c r="F1153" i="1"/>
  <c r="F1154" i="1"/>
  <c r="F1155" i="1"/>
  <c r="F1156" i="1"/>
  <c r="F1157" i="1"/>
  <c r="F1158" i="1"/>
  <c r="F1159" i="1"/>
  <c r="F1160" i="1"/>
  <c r="F1161" i="1"/>
  <c r="F1162" i="1"/>
  <c r="F1163" i="1"/>
  <c r="F1164" i="1"/>
  <c r="F1165" i="1"/>
  <c r="F1166" i="1"/>
  <c r="F1167" i="1"/>
  <c r="F1168" i="1"/>
  <c r="F1169" i="1"/>
  <c r="F1170" i="1"/>
  <c r="F1171" i="1"/>
  <c r="F1172" i="1"/>
  <c r="F1173" i="1"/>
  <c r="F1174" i="1"/>
  <c r="F1175" i="1"/>
  <c r="F1176" i="1"/>
  <c r="F1177" i="1"/>
  <c r="F1178" i="1"/>
  <c r="F1179" i="1"/>
  <c r="F1180" i="1"/>
  <c r="F1181" i="1"/>
  <c r="F1182" i="1"/>
  <c r="F1183" i="1"/>
  <c r="F1184" i="1"/>
  <c r="F1185" i="1"/>
  <c r="F1186" i="1"/>
  <c r="F1187" i="1"/>
  <c r="F1188" i="1"/>
  <c r="F1189" i="1"/>
  <c r="F1190" i="1"/>
  <c r="F1191" i="1"/>
  <c r="F1192" i="1"/>
  <c r="F1193" i="1"/>
  <c r="F1194" i="1"/>
  <c r="F1195" i="1"/>
  <c r="F1196" i="1"/>
  <c r="F1197" i="1"/>
  <c r="F1198" i="1"/>
  <c r="F1199" i="1"/>
  <c r="F1200" i="1"/>
  <c r="F1201" i="1"/>
  <c r="F1202" i="1"/>
  <c r="F1203" i="1"/>
  <c r="F1204" i="1"/>
  <c r="F1205" i="1"/>
  <c r="F1206" i="1"/>
  <c r="F1207" i="1"/>
  <c r="F1208" i="1"/>
  <c r="F1209" i="1"/>
  <c r="F1210" i="1"/>
  <c r="F1211" i="1"/>
  <c r="F1212" i="1"/>
  <c r="F1213" i="1"/>
  <c r="F1214" i="1"/>
  <c r="F1215" i="1"/>
  <c r="F1216" i="1"/>
  <c r="F1217" i="1"/>
  <c r="F1218" i="1"/>
  <c r="F1219" i="1"/>
  <c r="F1220" i="1"/>
  <c r="F1221" i="1"/>
  <c r="F1222" i="1"/>
  <c r="F1223" i="1"/>
  <c r="F1224" i="1"/>
  <c r="F1225" i="1"/>
  <c r="F1226" i="1"/>
  <c r="F1227" i="1"/>
  <c r="F1228" i="1"/>
  <c r="F1229" i="1"/>
  <c r="F1230" i="1"/>
  <c r="F1231" i="1"/>
  <c r="F1232" i="1"/>
  <c r="F1233" i="1"/>
  <c r="F1234" i="1"/>
  <c r="F1235" i="1"/>
  <c r="F1236" i="1"/>
  <c r="F1237" i="1"/>
  <c r="F1238" i="1"/>
  <c r="F1239" i="1"/>
  <c r="F1240" i="1"/>
  <c r="F1241" i="1"/>
  <c r="F1242" i="1"/>
  <c r="F1243" i="1"/>
  <c r="F1244" i="1"/>
  <c r="F1245" i="1"/>
  <c r="F1246" i="1"/>
  <c r="F1247" i="1"/>
  <c r="F1248" i="1"/>
  <c r="F1249" i="1"/>
  <c r="F1250" i="1"/>
  <c r="F1251" i="1"/>
  <c r="F1252" i="1"/>
  <c r="F1253" i="1"/>
  <c r="F1254" i="1"/>
  <c r="F1255" i="1"/>
  <c r="F1256" i="1"/>
  <c r="F1257" i="1"/>
  <c r="F1258" i="1"/>
  <c r="F1259" i="1"/>
  <c r="F1260" i="1"/>
  <c r="F1261" i="1"/>
  <c r="F1262" i="1"/>
  <c r="F1263" i="1"/>
  <c r="F1264" i="1"/>
  <c r="F1265" i="1"/>
  <c r="F1266" i="1"/>
  <c r="F1267" i="1"/>
  <c r="F1268" i="1"/>
  <c r="F1269" i="1"/>
  <c r="F1270" i="1"/>
  <c r="F1271" i="1"/>
  <c r="F1272" i="1"/>
  <c r="F1273" i="1"/>
  <c r="F1274" i="1"/>
  <c r="F1275" i="1"/>
  <c r="F1276" i="1"/>
  <c r="F1277" i="1"/>
  <c r="F1278" i="1"/>
  <c r="F1279" i="1"/>
  <c r="F1280" i="1"/>
  <c r="F1281" i="1"/>
  <c r="F1282" i="1"/>
  <c r="F1283" i="1"/>
  <c r="F1284" i="1"/>
  <c r="F1285" i="1"/>
  <c r="F1286" i="1"/>
  <c r="F1287" i="1"/>
  <c r="F1288" i="1"/>
  <c r="F1289" i="1"/>
  <c r="F1290" i="1"/>
  <c r="F1291" i="1"/>
  <c r="F1292" i="1"/>
  <c r="F1293" i="1"/>
  <c r="F1294" i="1"/>
  <c r="F1295" i="1"/>
  <c r="F1296" i="1"/>
  <c r="F1297" i="1"/>
  <c r="F1298" i="1"/>
  <c r="F1299" i="1"/>
  <c r="F1300" i="1"/>
  <c r="F1301" i="1"/>
  <c r="F1302" i="1"/>
  <c r="F1303" i="1"/>
  <c r="F1304" i="1"/>
  <c r="F1305" i="1"/>
  <c r="F1306" i="1"/>
  <c r="F1307" i="1"/>
  <c r="F1308" i="1"/>
  <c r="F1309" i="1"/>
  <c r="F1310" i="1"/>
  <c r="F1311" i="1"/>
  <c r="F1312" i="1"/>
  <c r="F1313" i="1"/>
  <c r="F1314" i="1"/>
  <c r="F1315" i="1"/>
  <c r="F1316" i="1"/>
  <c r="F1317" i="1"/>
  <c r="F1318" i="1"/>
  <c r="F1319" i="1"/>
  <c r="F1320" i="1"/>
  <c r="F1321" i="1"/>
  <c r="F1322" i="1"/>
  <c r="F1323" i="1"/>
  <c r="F1324" i="1"/>
  <c r="F1325" i="1"/>
  <c r="F1326" i="1"/>
  <c r="F1327" i="1"/>
  <c r="F1328" i="1"/>
  <c r="F1329" i="1"/>
  <c r="F1330" i="1"/>
  <c r="F1331" i="1"/>
  <c r="F1332" i="1"/>
  <c r="F1333" i="1"/>
  <c r="F1334" i="1"/>
  <c r="F1335" i="1"/>
  <c r="F1336" i="1"/>
  <c r="F1337" i="1"/>
  <c r="F1338" i="1"/>
  <c r="F1339" i="1"/>
  <c r="F1340" i="1"/>
  <c r="F1341" i="1"/>
  <c r="F1342" i="1"/>
  <c r="F1343" i="1"/>
  <c r="F1344" i="1"/>
  <c r="F1345" i="1"/>
  <c r="F1346" i="1"/>
  <c r="F1347" i="1"/>
  <c r="F1348" i="1"/>
  <c r="F1349" i="1"/>
  <c r="F1350" i="1"/>
  <c r="F1351" i="1"/>
  <c r="F1352" i="1"/>
  <c r="F1353" i="1"/>
  <c r="F1354" i="1"/>
  <c r="F1355" i="1"/>
  <c r="F1356" i="1"/>
  <c r="F1357" i="1"/>
  <c r="F1358" i="1"/>
  <c r="F1359" i="1"/>
  <c r="F1360" i="1"/>
  <c r="F1361" i="1"/>
  <c r="F1362" i="1"/>
  <c r="F1363" i="1"/>
  <c r="F1364" i="1"/>
  <c r="F1365" i="1"/>
  <c r="F1366" i="1"/>
  <c r="F1367" i="1"/>
  <c r="F1368" i="1"/>
  <c r="F1369" i="1"/>
  <c r="F1370" i="1"/>
  <c r="F1371" i="1"/>
  <c r="F1372" i="1"/>
  <c r="F1373" i="1"/>
  <c r="F1374" i="1"/>
  <c r="F1375" i="1"/>
  <c r="F1376" i="1"/>
  <c r="F1377" i="1"/>
  <c r="F1378" i="1"/>
  <c r="F1379" i="1"/>
  <c r="F1380" i="1"/>
  <c r="F1381" i="1"/>
  <c r="F1382" i="1"/>
  <c r="F1383" i="1"/>
  <c r="F1384" i="1"/>
  <c r="F1385" i="1"/>
  <c r="F1386" i="1"/>
  <c r="F1387" i="1"/>
  <c r="F1388" i="1"/>
  <c r="F1389" i="1"/>
  <c r="F1390" i="1"/>
  <c r="F1391" i="1"/>
  <c r="F1392" i="1"/>
  <c r="F1393" i="1"/>
  <c r="F1394" i="1"/>
  <c r="F1395" i="1"/>
  <c r="F1396" i="1"/>
  <c r="F1397" i="1"/>
  <c r="F1398" i="1"/>
  <c r="F1399" i="1"/>
  <c r="F1400" i="1"/>
  <c r="F1401" i="1"/>
  <c r="F1402" i="1"/>
  <c r="F1403" i="1"/>
  <c r="F1404" i="1"/>
  <c r="F1405" i="1"/>
  <c r="F1406" i="1"/>
  <c r="F1407" i="1"/>
  <c r="F1408" i="1"/>
  <c r="F1409" i="1"/>
  <c r="F1410" i="1"/>
  <c r="F1411" i="1"/>
  <c r="F1412" i="1"/>
  <c r="F1413" i="1"/>
  <c r="F1414" i="1"/>
  <c r="F1415" i="1"/>
  <c r="F1416" i="1"/>
  <c r="F1417" i="1"/>
  <c r="F1418" i="1"/>
  <c r="F1419" i="1"/>
  <c r="F1420" i="1"/>
  <c r="F1421" i="1"/>
  <c r="F1422" i="1"/>
  <c r="F1423" i="1"/>
  <c r="F1424" i="1"/>
  <c r="F1425" i="1"/>
  <c r="F1426" i="1"/>
  <c r="F1427" i="1"/>
  <c r="F1428" i="1"/>
  <c r="F1429" i="1"/>
  <c r="F1430" i="1"/>
  <c r="F1431" i="1"/>
  <c r="F1432" i="1"/>
  <c r="F1433" i="1"/>
  <c r="F1434" i="1"/>
  <c r="F1435" i="1"/>
  <c r="F1436" i="1"/>
  <c r="F1437" i="1"/>
  <c r="F1438" i="1"/>
  <c r="F1439" i="1"/>
  <c r="F1440" i="1"/>
  <c r="F1441" i="1"/>
  <c r="F1442" i="1"/>
  <c r="F1443" i="1"/>
  <c r="F1444" i="1"/>
  <c r="F1445" i="1"/>
  <c r="F1446" i="1"/>
  <c r="F1447" i="1"/>
  <c r="F1448" i="1"/>
  <c r="F1449" i="1"/>
  <c r="F1450" i="1"/>
  <c r="F1451" i="1"/>
  <c r="F1452" i="1"/>
  <c r="F1453" i="1"/>
  <c r="F1454" i="1"/>
  <c r="F1455" i="1"/>
  <c r="F1456" i="1"/>
  <c r="F1457" i="1"/>
  <c r="F1458" i="1"/>
  <c r="F1459" i="1"/>
  <c r="F1460" i="1"/>
  <c r="F1461" i="1"/>
  <c r="F1462" i="1"/>
  <c r="F1463" i="1"/>
  <c r="F1464" i="1"/>
  <c r="F1465" i="1"/>
  <c r="F1466" i="1"/>
  <c r="F1467" i="1"/>
  <c r="F1468" i="1"/>
  <c r="F1469" i="1"/>
  <c r="F1470" i="1"/>
  <c r="F1471" i="1"/>
  <c r="F1472" i="1"/>
  <c r="F1473" i="1"/>
  <c r="F1474" i="1"/>
  <c r="F1475" i="1"/>
  <c r="F1476" i="1"/>
  <c r="F1477" i="1"/>
  <c r="F1478" i="1"/>
  <c r="F1479" i="1"/>
  <c r="F1480" i="1"/>
  <c r="F1481" i="1"/>
  <c r="F1482" i="1"/>
  <c r="F1483" i="1"/>
  <c r="F1484" i="1"/>
  <c r="F1485" i="1"/>
  <c r="F1486" i="1"/>
  <c r="F1487" i="1"/>
  <c r="F1488" i="1"/>
  <c r="F1489" i="1"/>
  <c r="F1490" i="1"/>
  <c r="F1491" i="1"/>
  <c r="F1492" i="1"/>
  <c r="F1493" i="1"/>
  <c r="F1494" i="1"/>
  <c r="F1495" i="1"/>
  <c r="F1496" i="1"/>
  <c r="F1497" i="1"/>
  <c r="F1498" i="1"/>
  <c r="F1499" i="1"/>
  <c r="F1500" i="1"/>
  <c r="F1501" i="1"/>
  <c r="F1502" i="1"/>
  <c r="F1503" i="1"/>
  <c r="F1504" i="1"/>
  <c r="F1505" i="1"/>
  <c r="F1506" i="1"/>
  <c r="F1507" i="1"/>
  <c r="F1508" i="1"/>
  <c r="F1509" i="1"/>
  <c r="F1510" i="1"/>
  <c r="F1511" i="1"/>
  <c r="F1512" i="1"/>
  <c r="F1513" i="1"/>
  <c r="F1514" i="1"/>
  <c r="F1515" i="1"/>
  <c r="F1516" i="1"/>
  <c r="F1517" i="1"/>
  <c r="F1518" i="1"/>
  <c r="F1519" i="1"/>
  <c r="F1520" i="1"/>
  <c r="F1521" i="1"/>
  <c r="F1522" i="1"/>
  <c r="F1523" i="1"/>
  <c r="F1524" i="1"/>
  <c r="F1525" i="1"/>
  <c r="F1526" i="1"/>
  <c r="F1527" i="1"/>
  <c r="F1528" i="1"/>
  <c r="F1529" i="1"/>
  <c r="F1530" i="1"/>
  <c r="F1531" i="1"/>
  <c r="F1532" i="1"/>
  <c r="F1533" i="1"/>
  <c r="F1534" i="1"/>
  <c r="F1535" i="1"/>
  <c r="F1536" i="1"/>
  <c r="F1537" i="1"/>
  <c r="F1538" i="1"/>
  <c r="F1539" i="1"/>
  <c r="F1540" i="1"/>
  <c r="F1541" i="1"/>
  <c r="F1542" i="1"/>
  <c r="F1543" i="1"/>
  <c r="F1544" i="1"/>
  <c r="F1545" i="1"/>
  <c r="F1546" i="1"/>
  <c r="F1547" i="1"/>
  <c r="F1548" i="1"/>
  <c r="F1549" i="1"/>
  <c r="F1550" i="1"/>
  <c r="F1551" i="1"/>
  <c r="F1552" i="1"/>
  <c r="F1553" i="1"/>
  <c r="F1554" i="1"/>
  <c r="F1555" i="1"/>
  <c r="F1556" i="1"/>
  <c r="F1557" i="1"/>
  <c r="F1558" i="1"/>
  <c r="F1559" i="1"/>
  <c r="F1560" i="1"/>
  <c r="F1561" i="1"/>
  <c r="F1562" i="1"/>
  <c r="F1563" i="1"/>
  <c r="F1564" i="1"/>
  <c r="F1565" i="1"/>
  <c r="F1566" i="1"/>
  <c r="F1567" i="1"/>
  <c r="F1568" i="1"/>
  <c r="F1569" i="1"/>
  <c r="F1570" i="1"/>
  <c r="F1571" i="1"/>
  <c r="F1572" i="1"/>
  <c r="F1573" i="1"/>
  <c r="F1574" i="1"/>
  <c r="F1575" i="1"/>
  <c r="F1576" i="1"/>
  <c r="F1577" i="1"/>
  <c r="F1578" i="1"/>
  <c r="F1579" i="1"/>
  <c r="F1580" i="1"/>
  <c r="F1581" i="1"/>
  <c r="F1582" i="1"/>
  <c r="F1583" i="1"/>
  <c r="F1584" i="1"/>
  <c r="F1585" i="1"/>
  <c r="F1586" i="1"/>
  <c r="F1587" i="1"/>
  <c r="F1588" i="1"/>
  <c r="F1589" i="1"/>
  <c r="F1590" i="1"/>
  <c r="F1591" i="1"/>
  <c r="F1592" i="1"/>
  <c r="F1593" i="1"/>
  <c r="F1594" i="1"/>
  <c r="F1595" i="1"/>
  <c r="F1596" i="1"/>
  <c r="F1597" i="1"/>
  <c r="F1598" i="1"/>
  <c r="F1599" i="1"/>
  <c r="F1600" i="1"/>
  <c r="F1601" i="1"/>
  <c r="F1602" i="1"/>
  <c r="F1603" i="1"/>
  <c r="F1604" i="1"/>
  <c r="F1605" i="1"/>
  <c r="F1606" i="1"/>
  <c r="F1607" i="1"/>
  <c r="F1608" i="1"/>
  <c r="F1609" i="1"/>
  <c r="F1610" i="1"/>
  <c r="F1611" i="1"/>
  <c r="F1612" i="1"/>
  <c r="F1613" i="1"/>
  <c r="F1614" i="1"/>
  <c r="F1615" i="1"/>
  <c r="F1616" i="1"/>
  <c r="F1617" i="1"/>
  <c r="F1618" i="1"/>
  <c r="F1619" i="1"/>
  <c r="F1620" i="1"/>
  <c r="F1621" i="1"/>
  <c r="F1622" i="1"/>
  <c r="F1623" i="1"/>
  <c r="F1624" i="1"/>
  <c r="F1625" i="1"/>
  <c r="F1626" i="1"/>
  <c r="F1627" i="1"/>
  <c r="F1628" i="1"/>
  <c r="F1629" i="1"/>
  <c r="F1630" i="1"/>
  <c r="F1631" i="1"/>
  <c r="F1632" i="1"/>
  <c r="F1633" i="1"/>
  <c r="F1634" i="1"/>
  <c r="F1635" i="1"/>
  <c r="F1636" i="1"/>
  <c r="F1637" i="1"/>
  <c r="F1638" i="1"/>
  <c r="F1639" i="1"/>
  <c r="F1640" i="1"/>
  <c r="F1641" i="1"/>
  <c r="F1642" i="1"/>
  <c r="F1643" i="1"/>
  <c r="F1644" i="1"/>
  <c r="F1645" i="1"/>
  <c r="F1646" i="1"/>
  <c r="F1647" i="1"/>
  <c r="F1648" i="1"/>
  <c r="F1649" i="1"/>
  <c r="F1650" i="1"/>
  <c r="F1651" i="1"/>
  <c r="F1652" i="1"/>
  <c r="F1653" i="1"/>
  <c r="F1654" i="1"/>
  <c r="F1655" i="1"/>
  <c r="F1656" i="1"/>
  <c r="F1657" i="1"/>
  <c r="F1658" i="1"/>
  <c r="F1659" i="1"/>
  <c r="F1660" i="1"/>
  <c r="F1661" i="1"/>
  <c r="F1662" i="1"/>
  <c r="F1663" i="1"/>
  <c r="F1664" i="1"/>
  <c r="F1665" i="1"/>
  <c r="F1666" i="1"/>
  <c r="F1667" i="1"/>
  <c r="F1668" i="1"/>
  <c r="F1669" i="1"/>
  <c r="F1670" i="1"/>
  <c r="F1671" i="1"/>
  <c r="F1672" i="1"/>
  <c r="F1673" i="1"/>
  <c r="F1674" i="1"/>
  <c r="F1675" i="1"/>
  <c r="F1676" i="1"/>
  <c r="F1677" i="1"/>
  <c r="F1678" i="1"/>
  <c r="F1679" i="1"/>
  <c r="F1680" i="1"/>
  <c r="F1681" i="1"/>
  <c r="F1682" i="1"/>
  <c r="F1683" i="1"/>
  <c r="F1684" i="1"/>
  <c r="F1685" i="1"/>
  <c r="F1686" i="1"/>
  <c r="F1687" i="1"/>
  <c r="F1688" i="1"/>
  <c r="F1689" i="1"/>
  <c r="F1690" i="1"/>
  <c r="F1691" i="1"/>
  <c r="F1692" i="1"/>
  <c r="F1693" i="1"/>
  <c r="F1694" i="1"/>
  <c r="F1695" i="1"/>
  <c r="F1696" i="1"/>
  <c r="F1697" i="1"/>
  <c r="F1698" i="1"/>
  <c r="F1699" i="1"/>
  <c r="F1700" i="1"/>
  <c r="F1701" i="1"/>
  <c r="F1702" i="1"/>
  <c r="F1703" i="1"/>
  <c r="F1704" i="1"/>
  <c r="F1705" i="1"/>
  <c r="F1706" i="1"/>
  <c r="F1707" i="1"/>
  <c r="F1708" i="1"/>
  <c r="F1709" i="1"/>
  <c r="F1710" i="1"/>
  <c r="F1711" i="1"/>
  <c r="F1712" i="1"/>
  <c r="F1713" i="1"/>
  <c r="F1714" i="1"/>
  <c r="F1715" i="1"/>
  <c r="F1716" i="1"/>
  <c r="F1717" i="1"/>
  <c r="F1718" i="1"/>
  <c r="F1719" i="1"/>
  <c r="F1720" i="1"/>
  <c r="F1721" i="1"/>
  <c r="F1722" i="1"/>
  <c r="F1723" i="1"/>
  <c r="F1724" i="1"/>
  <c r="F1725" i="1"/>
  <c r="F1726" i="1"/>
  <c r="F1727" i="1"/>
  <c r="F1728" i="1"/>
  <c r="F1729" i="1"/>
  <c r="F1730" i="1"/>
  <c r="F1731" i="1"/>
  <c r="F1732" i="1"/>
  <c r="F1733" i="1"/>
  <c r="F1734" i="1"/>
  <c r="F1735" i="1"/>
  <c r="F1736" i="1"/>
  <c r="F1737" i="1"/>
  <c r="F1738" i="1"/>
  <c r="F1739" i="1"/>
  <c r="F1740" i="1"/>
  <c r="F1741" i="1"/>
  <c r="F1742" i="1"/>
  <c r="F1743" i="1"/>
  <c r="F1744" i="1"/>
  <c r="F1745" i="1"/>
  <c r="F1746" i="1"/>
  <c r="F1747" i="1"/>
  <c r="F1748" i="1"/>
  <c r="F1749" i="1"/>
  <c r="F1750" i="1"/>
  <c r="F1751" i="1"/>
  <c r="F1752" i="1"/>
  <c r="F1753" i="1"/>
  <c r="F1754" i="1"/>
  <c r="F1755" i="1"/>
  <c r="F1756" i="1"/>
  <c r="F1757" i="1"/>
  <c r="F1758" i="1"/>
  <c r="F1759" i="1"/>
  <c r="F1760" i="1"/>
  <c r="F1761" i="1"/>
  <c r="F1762" i="1"/>
  <c r="F1763" i="1"/>
  <c r="F1764" i="1"/>
  <c r="F1765" i="1"/>
  <c r="F1766" i="1"/>
  <c r="F1767" i="1"/>
  <c r="F1768" i="1"/>
  <c r="F1769" i="1"/>
  <c r="F1770" i="1"/>
  <c r="F1771" i="1"/>
  <c r="F1772" i="1"/>
  <c r="F1773" i="1"/>
  <c r="F1774" i="1"/>
  <c r="F1775" i="1"/>
  <c r="F1776" i="1"/>
  <c r="F1777" i="1"/>
  <c r="F1778" i="1"/>
  <c r="F1779" i="1"/>
  <c r="F1780" i="1"/>
  <c r="F1781" i="1"/>
  <c r="F1782" i="1"/>
  <c r="F1783" i="1"/>
  <c r="F1784" i="1"/>
  <c r="F1785" i="1"/>
  <c r="F1786" i="1"/>
  <c r="F1787" i="1"/>
  <c r="F1788" i="1"/>
  <c r="F1789" i="1"/>
  <c r="F1790" i="1"/>
  <c r="F1791" i="1"/>
  <c r="F1792" i="1"/>
  <c r="F1793" i="1"/>
  <c r="F1794" i="1"/>
  <c r="F1795" i="1"/>
  <c r="F1796" i="1"/>
  <c r="F1797" i="1"/>
  <c r="F1798" i="1"/>
  <c r="F1799" i="1"/>
  <c r="F1800" i="1"/>
  <c r="F1801" i="1"/>
  <c r="F1802" i="1"/>
  <c r="F1803" i="1"/>
  <c r="F1804" i="1"/>
  <c r="F1805" i="1"/>
  <c r="F1806" i="1"/>
  <c r="F1807" i="1"/>
  <c r="F1808" i="1"/>
  <c r="F1809" i="1"/>
  <c r="F1810" i="1"/>
  <c r="F1811" i="1"/>
  <c r="F1812" i="1"/>
  <c r="F1813" i="1"/>
  <c r="F1814" i="1"/>
  <c r="F1815" i="1"/>
  <c r="F1816" i="1"/>
  <c r="F1817" i="1"/>
  <c r="F1818" i="1"/>
  <c r="F1819" i="1"/>
  <c r="F1820" i="1"/>
  <c r="F1821" i="1"/>
  <c r="F1822" i="1"/>
  <c r="F1823" i="1"/>
  <c r="F1824" i="1"/>
  <c r="F1825" i="1"/>
  <c r="F1826" i="1"/>
  <c r="F1827" i="1"/>
  <c r="F1828" i="1"/>
  <c r="F1829" i="1"/>
  <c r="F1830" i="1"/>
  <c r="F1831" i="1"/>
  <c r="F1832" i="1"/>
  <c r="F1833" i="1"/>
  <c r="F1834" i="1"/>
  <c r="F1835" i="1"/>
  <c r="F1836" i="1"/>
  <c r="F1837" i="1"/>
  <c r="F1838" i="1"/>
  <c r="F1839" i="1"/>
  <c r="F1840" i="1"/>
  <c r="F1841" i="1"/>
  <c r="F1842" i="1"/>
  <c r="F1843" i="1"/>
  <c r="F1844" i="1"/>
  <c r="F1845" i="1"/>
  <c r="F1846" i="1"/>
  <c r="F1847" i="1"/>
  <c r="F1848" i="1"/>
  <c r="F1849" i="1"/>
  <c r="F1850" i="1"/>
  <c r="F1851" i="1"/>
  <c r="F1852" i="1"/>
  <c r="F1853" i="1"/>
  <c r="F1854" i="1"/>
  <c r="F1855" i="1"/>
  <c r="F1856" i="1"/>
  <c r="F1857" i="1"/>
  <c r="F1858" i="1"/>
  <c r="F1859" i="1"/>
  <c r="F1860" i="1"/>
  <c r="F1861" i="1"/>
  <c r="F1862" i="1"/>
  <c r="F1863" i="1"/>
  <c r="F1864" i="1"/>
  <c r="F1865" i="1"/>
  <c r="F1866" i="1"/>
  <c r="F1867" i="1"/>
  <c r="F1868" i="1"/>
  <c r="F1869" i="1"/>
  <c r="F1870" i="1"/>
  <c r="F1871" i="1"/>
  <c r="F1872" i="1"/>
  <c r="F1873" i="1"/>
  <c r="F1874" i="1"/>
  <c r="F1875" i="1"/>
  <c r="F1876" i="1"/>
  <c r="F1877" i="1"/>
  <c r="F1878" i="1"/>
  <c r="F1879" i="1"/>
  <c r="F1880" i="1"/>
  <c r="F1881" i="1"/>
  <c r="F1882" i="1"/>
  <c r="F1883" i="1"/>
  <c r="F1884" i="1"/>
  <c r="F1885" i="1"/>
  <c r="F1886" i="1"/>
  <c r="F1887" i="1"/>
  <c r="F1888" i="1"/>
  <c r="F1889" i="1"/>
  <c r="F1890" i="1"/>
  <c r="F1891" i="1"/>
  <c r="F1892" i="1"/>
  <c r="F1893" i="1"/>
  <c r="F1894" i="1"/>
  <c r="F1895" i="1"/>
  <c r="F1896" i="1"/>
  <c r="F1897" i="1"/>
  <c r="F1898" i="1"/>
  <c r="F1899" i="1"/>
  <c r="F1900" i="1"/>
  <c r="F1901" i="1"/>
  <c r="F1902" i="1"/>
  <c r="F1903" i="1"/>
  <c r="F1904" i="1"/>
  <c r="F1905" i="1"/>
  <c r="F1906" i="1"/>
  <c r="F1907" i="1"/>
  <c r="F1908" i="1"/>
  <c r="F1909" i="1"/>
  <c r="F1910" i="1"/>
  <c r="F1911" i="1"/>
  <c r="F1912" i="1"/>
  <c r="F1913" i="1"/>
  <c r="F1914" i="1"/>
  <c r="F1915" i="1"/>
  <c r="F1916" i="1"/>
  <c r="F1917" i="1"/>
  <c r="F1918" i="1"/>
  <c r="F1919" i="1"/>
  <c r="F1920" i="1"/>
  <c r="F1921" i="1"/>
  <c r="F1922" i="1"/>
  <c r="F1923" i="1"/>
  <c r="F1924" i="1"/>
  <c r="F1925" i="1"/>
  <c r="F1926" i="1"/>
  <c r="F1927" i="1"/>
  <c r="F1928" i="1"/>
  <c r="F1929" i="1"/>
  <c r="F1930" i="1"/>
  <c r="F1931" i="1"/>
  <c r="F1932" i="1"/>
  <c r="F1933" i="1"/>
  <c r="F1934" i="1"/>
  <c r="F1935" i="1"/>
  <c r="F1936" i="1"/>
  <c r="F1937" i="1"/>
  <c r="F1938" i="1"/>
  <c r="F1939" i="1"/>
  <c r="F1940" i="1"/>
  <c r="F1941" i="1"/>
  <c r="F1942" i="1"/>
  <c r="F1943" i="1"/>
  <c r="F1944" i="1"/>
  <c r="F1945" i="1"/>
  <c r="F1946" i="1"/>
  <c r="F1947" i="1"/>
  <c r="F1948" i="1"/>
  <c r="F1949" i="1"/>
  <c r="F1950" i="1"/>
  <c r="F1951" i="1"/>
  <c r="F1952" i="1"/>
  <c r="F1953" i="1"/>
  <c r="F1954" i="1"/>
  <c r="F1955" i="1"/>
  <c r="F1956" i="1"/>
  <c r="F1957" i="1"/>
  <c r="F1958" i="1"/>
  <c r="F1959" i="1"/>
  <c r="F1960" i="1"/>
  <c r="F1961" i="1"/>
  <c r="F1962" i="1"/>
  <c r="F1963" i="1"/>
  <c r="F1964" i="1"/>
  <c r="F1965" i="1"/>
  <c r="F1966" i="1"/>
  <c r="F1967" i="1"/>
  <c r="F1968" i="1"/>
  <c r="F1969" i="1"/>
  <c r="F1970" i="1"/>
  <c r="F1971" i="1"/>
  <c r="F1972" i="1"/>
  <c r="F1973" i="1"/>
  <c r="F1974" i="1"/>
  <c r="F1975" i="1"/>
  <c r="F1976" i="1"/>
  <c r="F1977" i="1"/>
  <c r="F1978" i="1"/>
  <c r="F1979" i="1"/>
  <c r="F1980" i="1"/>
  <c r="F1981" i="1"/>
  <c r="F1982" i="1"/>
  <c r="F1983" i="1"/>
  <c r="F1984" i="1"/>
  <c r="F1985" i="1"/>
  <c r="F1986" i="1"/>
  <c r="F1987" i="1"/>
  <c r="F1988" i="1"/>
  <c r="F1989" i="1"/>
  <c r="F1990" i="1"/>
  <c r="F1991" i="1"/>
  <c r="F1992" i="1"/>
  <c r="F1993" i="1"/>
  <c r="F1994" i="1"/>
  <c r="F1995" i="1"/>
  <c r="F1996" i="1"/>
  <c r="F1997" i="1"/>
  <c r="F1998" i="1"/>
  <c r="F1999" i="1"/>
  <c r="F2000" i="1"/>
  <c r="F2001" i="1"/>
  <c r="F2002" i="1"/>
  <c r="F2003" i="1"/>
  <c r="F2004" i="1"/>
  <c r="F2005" i="1"/>
  <c r="F2006" i="1"/>
  <c r="F2007" i="1"/>
  <c r="F2008" i="1"/>
  <c r="F2009" i="1"/>
  <c r="F2010" i="1"/>
  <c r="F2011" i="1"/>
  <c r="F2012" i="1"/>
  <c r="F2013" i="1"/>
  <c r="F2014" i="1"/>
  <c r="F2015" i="1"/>
  <c r="F2016" i="1"/>
  <c r="F2017" i="1"/>
  <c r="F2018" i="1"/>
  <c r="F2019" i="1"/>
  <c r="F2020" i="1"/>
  <c r="F2021" i="1"/>
  <c r="F2022" i="1"/>
  <c r="F2023" i="1"/>
  <c r="F2024" i="1"/>
  <c r="F2025" i="1"/>
  <c r="F2026" i="1"/>
  <c r="F2027" i="1"/>
  <c r="F2028" i="1"/>
  <c r="F2029" i="1"/>
  <c r="F2030" i="1"/>
  <c r="F2031" i="1"/>
  <c r="F2032" i="1"/>
  <c r="F2033" i="1"/>
  <c r="F2034" i="1"/>
  <c r="F2035" i="1"/>
  <c r="F2036" i="1"/>
  <c r="F2037" i="1"/>
  <c r="F2038" i="1"/>
  <c r="F2039" i="1"/>
  <c r="F2040" i="1"/>
  <c r="F2041" i="1"/>
  <c r="F2042" i="1"/>
  <c r="F2043" i="1"/>
  <c r="F2044" i="1"/>
  <c r="F2045" i="1"/>
  <c r="F2046" i="1"/>
  <c r="F2047" i="1"/>
  <c r="F2048" i="1"/>
  <c r="F2049" i="1"/>
  <c r="F2050" i="1"/>
  <c r="F2051" i="1"/>
  <c r="F2052" i="1"/>
  <c r="F2053" i="1"/>
  <c r="F2054" i="1"/>
  <c r="F2055" i="1"/>
  <c r="F2056" i="1"/>
  <c r="F2057" i="1"/>
  <c r="F2058" i="1"/>
  <c r="F2059" i="1"/>
  <c r="F2060" i="1"/>
  <c r="F2061" i="1"/>
  <c r="F2062" i="1"/>
  <c r="F2063" i="1"/>
  <c r="F2064" i="1"/>
  <c r="F2065" i="1"/>
  <c r="F2066" i="1"/>
  <c r="F2067" i="1"/>
  <c r="F2068" i="1"/>
  <c r="F2069" i="1"/>
  <c r="F2070" i="1"/>
  <c r="F2071" i="1"/>
  <c r="F2072" i="1"/>
  <c r="F2073" i="1"/>
  <c r="F2074" i="1"/>
  <c r="F2075" i="1"/>
  <c r="F2076" i="1"/>
  <c r="F2077" i="1"/>
  <c r="F2078" i="1"/>
  <c r="F2079" i="1"/>
  <c r="F2080" i="1"/>
  <c r="F2081" i="1"/>
  <c r="F2082" i="1"/>
  <c r="F2083" i="1"/>
  <c r="F2084" i="1"/>
  <c r="F2085" i="1"/>
  <c r="F2086" i="1"/>
  <c r="F2087" i="1"/>
  <c r="F2088" i="1"/>
  <c r="F2089" i="1"/>
  <c r="F2090" i="1"/>
  <c r="F2091" i="1"/>
  <c r="F2092" i="1"/>
  <c r="F2093" i="1"/>
  <c r="F2094" i="1"/>
  <c r="F2095" i="1"/>
  <c r="F2096" i="1"/>
  <c r="F2097" i="1"/>
  <c r="F2098" i="1"/>
  <c r="F2099" i="1"/>
  <c r="F2100" i="1"/>
  <c r="F2101" i="1"/>
  <c r="F2102" i="1"/>
  <c r="F2103" i="1"/>
  <c r="F2104" i="1"/>
  <c r="F2105" i="1"/>
  <c r="F2106" i="1"/>
  <c r="F2107" i="1"/>
  <c r="F2108" i="1"/>
  <c r="F2109" i="1"/>
  <c r="F2110" i="1"/>
  <c r="F2111" i="1"/>
  <c r="F2112" i="1"/>
  <c r="F2113" i="1"/>
  <c r="F2114" i="1"/>
  <c r="F2115" i="1"/>
  <c r="F2116" i="1"/>
  <c r="F2117" i="1"/>
  <c r="F2118" i="1"/>
  <c r="F2119" i="1"/>
  <c r="F2120" i="1"/>
  <c r="F2121" i="1"/>
  <c r="F2122" i="1"/>
  <c r="F2123" i="1"/>
  <c r="F2124" i="1"/>
  <c r="F2125" i="1"/>
  <c r="F2126" i="1"/>
  <c r="F2127" i="1"/>
  <c r="F2128" i="1"/>
  <c r="F2129" i="1"/>
  <c r="F2130" i="1"/>
  <c r="F2131" i="1"/>
  <c r="F2132" i="1"/>
  <c r="F2133" i="1"/>
  <c r="F2134" i="1"/>
  <c r="F2135" i="1"/>
  <c r="F2136" i="1"/>
  <c r="F2137" i="1"/>
  <c r="F2138" i="1"/>
  <c r="F2139" i="1"/>
  <c r="F2140" i="1"/>
  <c r="F2141" i="1"/>
  <c r="F2142" i="1"/>
  <c r="F2143" i="1"/>
  <c r="F2144" i="1"/>
  <c r="F2145" i="1"/>
  <c r="F2146" i="1"/>
  <c r="F2147" i="1"/>
  <c r="F2148" i="1"/>
  <c r="F2149" i="1"/>
  <c r="F2150" i="1"/>
  <c r="F2151" i="1"/>
  <c r="F2152" i="1"/>
  <c r="F2153" i="1"/>
  <c r="F2154" i="1"/>
  <c r="F2155" i="1"/>
  <c r="F2156" i="1"/>
  <c r="F2157" i="1"/>
  <c r="F2158" i="1"/>
  <c r="F2159" i="1"/>
  <c r="F2160" i="1"/>
  <c r="F2161" i="1"/>
  <c r="F2162" i="1"/>
  <c r="F2163" i="1"/>
  <c r="F2164" i="1"/>
  <c r="F2165" i="1"/>
  <c r="F2166" i="1"/>
  <c r="F2167" i="1"/>
  <c r="F2168" i="1"/>
  <c r="F2169" i="1"/>
  <c r="F2170" i="1"/>
  <c r="F2171" i="1"/>
  <c r="F2172" i="1"/>
  <c r="F2173" i="1"/>
  <c r="F2174" i="1"/>
  <c r="F2175" i="1"/>
  <c r="F2176" i="1"/>
  <c r="F2177" i="1"/>
  <c r="F2178" i="1"/>
  <c r="F2179" i="1"/>
  <c r="F2180" i="1"/>
  <c r="F2181" i="1"/>
  <c r="F2182" i="1"/>
  <c r="F2183" i="1"/>
  <c r="F2184" i="1"/>
  <c r="F2185" i="1"/>
  <c r="F2186" i="1"/>
  <c r="F2187" i="1"/>
  <c r="F2188" i="1"/>
  <c r="F2189" i="1"/>
  <c r="F2190" i="1"/>
  <c r="F2191" i="1"/>
  <c r="F2192" i="1"/>
  <c r="F2193" i="1"/>
  <c r="F2194" i="1"/>
  <c r="F2195" i="1"/>
  <c r="F2196" i="1"/>
  <c r="F2197" i="1"/>
  <c r="F2198" i="1"/>
  <c r="F2199" i="1"/>
  <c r="F2200" i="1"/>
  <c r="F2201" i="1"/>
  <c r="F2202" i="1"/>
  <c r="F2203" i="1"/>
  <c r="F2204" i="1"/>
  <c r="F2205" i="1"/>
  <c r="F2206" i="1"/>
  <c r="F2207" i="1"/>
  <c r="F2208" i="1"/>
  <c r="F2209" i="1"/>
  <c r="F2210" i="1"/>
  <c r="F2211" i="1"/>
  <c r="F2212" i="1"/>
  <c r="F2213" i="1"/>
  <c r="F2214" i="1"/>
  <c r="F2215" i="1"/>
  <c r="F2216" i="1"/>
  <c r="F2217" i="1"/>
  <c r="F2218" i="1"/>
  <c r="F2219" i="1"/>
  <c r="F2220" i="1"/>
  <c r="F2221" i="1"/>
  <c r="F2222" i="1"/>
  <c r="F2223" i="1"/>
  <c r="F2224" i="1"/>
  <c r="F2225" i="1"/>
  <c r="F2226" i="1"/>
  <c r="F2227" i="1"/>
  <c r="F2228" i="1"/>
  <c r="F2229" i="1"/>
  <c r="F2230" i="1"/>
  <c r="F2231" i="1"/>
  <c r="F2232" i="1"/>
  <c r="F2233" i="1"/>
  <c r="F2234" i="1"/>
  <c r="F2235" i="1"/>
  <c r="F2236" i="1"/>
  <c r="F2237" i="1"/>
  <c r="F2238" i="1"/>
  <c r="F2239" i="1"/>
  <c r="F2240" i="1"/>
  <c r="F2241" i="1"/>
  <c r="F2242" i="1"/>
  <c r="F2243" i="1"/>
  <c r="F2244" i="1"/>
  <c r="F2245" i="1"/>
  <c r="F2246" i="1"/>
  <c r="F2247" i="1"/>
  <c r="F2248" i="1"/>
  <c r="F2249" i="1"/>
  <c r="F2250" i="1"/>
  <c r="F2251" i="1"/>
  <c r="F2252" i="1"/>
  <c r="F2253" i="1"/>
  <c r="F2254" i="1"/>
  <c r="F2255" i="1"/>
  <c r="F2256" i="1"/>
  <c r="F2257" i="1"/>
  <c r="F2258" i="1"/>
  <c r="F2259" i="1"/>
  <c r="F2260" i="1"/>
  <c r="F2261" i="1"/>
  <c r="F2262" i="1"/>
  <c r="F2263" i="1"/>
  <c r="F2264" i="1"/>
  <c r="F2265" i="1"/>
  <c r="F2266" i="1"/>
  <c r="F2267" i="1"/>
  <c r="F2268" i="1"/>
  <c r="F2269" i="1"/>
  <c r="F2270" i="1"/>
  <c r="F2271" i="1"/>
  <c r="F2272" i="1"/>
  <c r="F2273" i="1"/>
  <c r="F2274" i="1"/>
  <c r="F2275" i="1"/>
  <c r="F2276" i="1"/>
  <c r="F2277" i="1"/>
  <c r="F2278" i="1"/>
  <c r="F2279" i="1"/>
  <c r="F2280" i="1"/>
  <c r="F2281" i="1"/>
  <c r="F2282" i="1"/>
  <c r="F2283" i="1"/>
  <c r="F2284" i="1"/>
  <c r="F2285" i="1"/>
  <c r="F2286" i="1"/>
  <c r="F2287" i="1"/>
  <c r="F2288" i="1"/>
  <c r="F2289" i="1"/>
  <c r="F2290" i="1"/>
  <c r="F2291" i="1"/>
  <c r="F2292" i="1"/>
  <c r="F2293" i="1"/>
  <c r="F2294" i="1"/>
  <c r="F2295" i="1"/>
  <c r="F2296" i="1"/>
  <c r="F2297" i="1"/>
  <c r="F2298" i="1"/>
  <c r="F2299" i="1"/>
  <c r="F2300" i="1"/>
  <c r="F2301" i="1"/>
  <c r="F2302" i="1"/>
  <c r="F2303" i="1"/>
  <c r="F2304" i="1"/>
  <c r="F2305" i="1"/>
  <c r="F2306" i="1"/>
  <c r="F2307" i="1"/>
  <c r="F2308" i="1"/>
  <c r="F2309" i="1"/>
  <c r="F2310" i="1"/>
  <c r="F2311" i="1"/>
  <c r="F2312" i="1"/>
  <c r="F2313" i="1"/>
  <c r="F2314" i="1"/>
  <c r="F2315" i="1"/>
  <c r="F2316" i="1"/>
  <c r="F2317" i="1"/>
  <c r="F2318" i="1"/>
  <c r="F2319" i="1"/>
  <c r="F2320" i="1"/>
  <c r="F2321" i="1"/>
  <c r="F2322" i="1"/>
  <c r="F2323" i="1"/>
  <c r="F2324" i="1"/>
  <c r="F2325" i="1"/>
  <c r="F2326" i="1"/>
  <c r="F2327" i="1"/>
  <c r="F2328" i="1"/>
  <c r="F2329" i="1"/>
  <c r="F2330" i="1"/>
  <c r="F2331" i="1"/>
  <c r="F2332" i="1"/>
  <c r="F2333" i="1"/>
  <c r="F2334" i="1"/>
  <c r="F2335" i="1"/>
  <c r="F2336" i="1"/>
  <c r="F2337" i="1"/>
  <c r="F2338" i="1"/>
  <c r="F2339" i="1"/>
  <c r="F2340" i="1"/>
  <c r="F2341" i="1"/>
  <c r="F2342" i="1"/>
  <c r="F2343" i="1"/>
  <c r="F2344" i="1"/>
  <c r="F2345" i="1"/>
  <c r="F2346" i="1"/>
  <c r="F2347" i="1"/>
  <c r="F2348" i="1"/>
  <c r="F2349" i="1"/>
  <c r="F2350" i="1"/>
  <c r="F2351" i="1"/>
  <c r="F2352" i="1"/>
  <c r="F2353" i="1"/>
  <c r="F2354" i="1"/>
  <c r="F2355" i="1"/>
  <c r="F2356" i="1"/>
  <c r="F2357" i="1"/>
  <c r="F2358" i="1"/>
  <c r="F2359" i="1"/>
  <c r="F2360" i="1"/>
  <c r="F2361" i="1"/>
  <c r="F2362" i="1"/>
  <c r="F2363" i="1"/>
  <c r="F2364" i="1"/>
  <c r="F2365" i="1"/>
  <c r="F2366" i="1"/>
  <c r="F2367" i="1"/>
  <c r="F2368" i="1"/>
  <c r="F2369" i="1"/>
  <c r="F2370" i="1"/>
  <c r="F2371" i="1"/>
  <c r="F2372" i="1"/>
  <c r="F2373" i="1"/>
  <c r="F2374" i="1"/>
  <c r="F2375" i="1"/>
  <c r="F2376" i="1"/>
  <c r="F2377" i="1"/>
  <c r="F2378" i="1"/>
  <c r="F2379" i="1"/>
  <c r="F2380" i="1"/>
  <c r="F2381" i="1"/>
  <c r="F2382" i="1"/>
  <c r="F2383" i="1"/>
  <c r="F2384" i="1"/>
  <c r="F2385" i="1"/>
  <c r="F2386" i="1"/>
  <c r="F2387" i="1"/>
  <c r="F2388" i="1"/>
  <c r="F2389" i="1"/>
  <c r="F2390" i="1"/>
  <c r="F2391" i="1"/>
  <c r="F2392" i="1"/>
  <c r="F2393" i="1"/>
  <c r="F2394" i="1"/>
  <c r="F2395" i="1"/>
  <c r="F2396" i="1"/>
  <c r="F2397" i="1"/>
  <c r="F2398" i="1"/>
  <c r="F2399" i="1"/>
  <c r="F2400" i="1"/>
  <c r="F2401" i="1"/>
  <c r="F2402" i="1"/>
  <c r="F2403" i="1"/>
  <c r="F2404" i="1"/>
  <c r="F2405" i="1"/>
  <c r="F2406" i="1"/>
  <c r="F2407" i="1"/>
  <c r="F2408" i="1"/>
  <c r="F2409" i="1"/>
  <c r="F2410" i="1"/>
  <c r="F2411" i="1"/>
  <c r="F2412" i="1"/>
  <c r="F2413" i="1"/>
  <c r="F2414" i="1"/>
  <c r="F2415" i="1"/>
  <c r="F2416" i="1"/>
  <c r="F2417" i="1"/>
  <c r="F2418" i="1"/>
  <c r="F2419" i="1"/>
  <c r="F2420" i="1"/>
  <c r="F2421" i="1"/>
  <c r="F2422" i="1"/>
  <c r="F2423" i="1"/>
  <c r="F2424" i="1"/>
  <c r="F2425" i="1"/>
  <c r="F2426" i="1"/>
  <c r="F2427" i="1"/>
  <c r="F2428" i="1"/>
  <c r="F2429" i="1"/>
  <c r="F2430" i="1"/>
  <c r="F2431" i="1"/>
  <c r="F2432" i="1"/>
  <c r="F2433" i="1"/>
  <c r="F2434" i="1"/>
  <c r="F2435" i="1"/>
  <c r="F2436" i="1"/>
  <c r="F2437" i="1"/>
  <c r="F2438" i="1"/>
  <c r="F2439" i="1"/>
  <c r="F2440" i="1"/>
  <c r="F2441" i="1"/>
  <c r="F2442" i="1"/>
  <c r="F2443" i="1"/>
  <c r="F2444" i="1"/>
  <c r="F2445" i="1"/>
  <c r="F2446" i="1"/>
  <c r="F2447" i="1"/>
  <c r="F2448" i="1"/>
  <c r="F2449" i="1"/>
  <c r="F2450" i="1"/>
  <c r="F2451" i="1"/>
  <c r="F2452" i="1"/>
  <c r="F2453" i="1"/>
  <c r="F2454" i="1"/>
  <c r="F2455" i="1"/>
  <c r="F2456" i="1"/>
  <c r="F2457" i="1"/>
  <c r="F2458" i="1"/>
  <c r="F2459" i="1"/>
  <c r="F2460" i="1"/>
  <c r="F2461" i="1"/>
  <c r="F2462" i="1"/>
  <c r="F2463" i="1"/>
  <c r="F2464" i="1"/>
  <c r="F2465" i="1"/>
  <c r="F2466" i="1"/>
  <c r="F2467" i="1"/>
  <c r="F2468" i="1"/>
  <c r="F2469" i="1"/>
  <c r="F2470" i="1"/>
  <c r="F2471" i="1"/>
  <c r="F2472" i="1"/>
  <c r="F2473" i="1"/>
  <c r="F2474" i="1"/>
  <c r="F2475" i="1"/>
  <c r="F2476" i="1"/>
  <c r="F2477" i="1"/>
  <c r="F2478" i="1"/>
  <c r="F2479" i="1"/>
  <c r="F2480" i="1"/>
  <c r="F2481" i="1"/>
  <c r="F2482" i="1"/>
  <c r="F2483" i="1"/>
  <c r="F2484" i="1"/>
  <c r="F2485" i="1"/>
  <c r="F2486" i="1"/>
  <c r="F2487" i="1"/>
  <c r="F2488" i="1"/>
  <c r="F2489" i="1"/>
  <c r="F2490" i="1"/>
  <c r="F2491" i="1"/>
  <c r="F2492" i="1"/>
  <c r="F2493" i="1"/>
  <c r="F2494" i="1"/>
  <c r="F2495" i="1"/>
  <c r="F2496" i="1"/>
  <c r="F2497" i="1"/>
  <c r="F2498" i="1"/>
  <c r="F2499" i="1"/>
  <c r="F2500" i="1"/>
  <c r="F2501" i="1"/>
  <c r="F2502" i="1"/>
  <c r="F2503" i="1"/>
  <c r="F2504" i="1"/>
  <c r="F2505" i="1"/>
  <c r="F2506" i="1"/>
  <c r="F2507" i="1"/>
  <c r="F2508" i="1"/>
  <c r="F2509" i="1"/>
  <c r="F2510" i="1"/>
  <c r="F2511" i="1"/>
  <c r="F2512" i="1"/>
  <c r="F2513" i="1"/>
  <c r="F2514" i="1"/>
  <c r="F2515" i="1"/>
  <c r="F2516" i="1"/>
  <c r="F2517" i="1"/>
  <c r="F2518" i="1"/>
  <c r="F2519" i="1"/>
  <c r="F2520" i="1"/>
  <c r="F2521" i="1"/>
  <c r="F2522" i="1"/>
  <c r="F2523" i="1"/>
  <c r="F2524" i="1"/>
  <c r="F2525" i="1"/>
  <c r="F2526" i="1"/>
  <c r="F2527" i="1"/>
  <c r="F2528" i="1"/>
  <c r="F2529" i="1"/>
  <c r="F2530" i="1"/>
  <c r="F2531" i="1"/>
  <c r="F2532" i="1"/>
  <c r="F2533" i="1"/>
  <c r="F2534" i="1"/>
  <c r="F2535" i="1"/>
  <c r="F2536" i="1"/>
  <c r="F2537" i="1"/>
  <c r="F2538" i="1"/>
  <c r="F2539" i="1"/>
  <c r="F2540" i="1"/>
  <c r="F2541" i="1"/>
  <c r="F2542" i="1"/>
  <c r="F2543" i="1"/>
  <c r="F2544" i="1"/>
  <c r="F2545" i="1"/>
  <c r="F2546" i="1"/>
  <c r="F2547" i="1"/>
  <c r="F2548" i="1"/>
  <c r="F2549" i="1"/>
  <c r="F2550" i="1"/>
  <c r="F2551" i="1"/>
  <c r="F2552" i="1"/>
  <c r="F2553" i="1"/>
  <c r="F2554" i="1"/>
  <c r="F2555" i="1"/>
  <c r="F2556" i="1"/>
  <c r="F2557" i="1"/>
  <c r="F2558" i="1"/>
  <c r="F2559" i="1"/>
  <c r="F2560" i="1"/>
  <c r="F2561" i="1"/>
  <c r="F2562" i="1"/>
  <c r="F2563" i="1"/>
  <c r="F2564" i="1"/>
  <c r="F2565" i="1"/>
  <c r="F2566" i="1"/>
  <c r="F2567" i="1"/>
  <c r="F2568" i="1"/>
  <c r="F2569" i="1"/>
  <c r="F2570" i="1"/>
  <c r="F2571" i="1"/>
  <c r="F2572" i="1"/>
  <c r="F2573" i="1"/>
  <c r="F2574" i="1"/>
  <c r="F2575" i="1"/>
  <c r="F2576" i="1"/>
  <c r="F2577" i="1"/>
  <c r="F2578" i="1"/>
  <c r="F2579" i="1"/>
  <c r="F2580" i="1"/>
  <c r="F2581" i="1"/>
  <c r="F2582" i="1"/>
  <c r="F2583" i="1"/>
  <c r="F2584" i="1"/>
  <c r="F2585" i="1"/>
  <c r="F2586" i="1"/>
  <c r="F2587" i="1"/>
  <c r="F2588" i="1"/>
  <c r="F2589" i="1"/>
  <c r="F2590" i="1"/>
  <c r="F2591" i="1"/>
  <c r="F2592" i="1"/>
  <c r="F2593" i="1"/>
  <c r="F2594" i="1"/>
  <c r="F2595" i="1"/>
  <c r="F2596" i="1"/>
  <c r="F2597" i="1"/>
  <c r="F2598" i="1"/>
  <c r="F2599" i="1"/>
  <c r="F2600" i="1"/>
  <c r="F2601" i="1"/>
  <c r="F2602" i="1"/>
  <c r="F2603" i="1"/>
  <c r="F2604" i="1"/>
  <c r="F2605" i="1"/>
  <c r="F2606" i="1"/>
  <c r="F2607" i="1"/>
  <c r="F2608" i="1"/>
  <c r="F2609" i="1"/>
  <c r="F2610" i="1"/>
  <c r="F2611" i="1"/>
  <c r="F2612" i="1"/>
  <c r="F2613" i="1"/>
  <c r="F2614" i="1"/>
  <c r="F2615" i="1"/>
  <c r="F2616" i="1"/>
  <c r="F2617" i="1"/>
  <c r="F2618" i="1"/>
  <c r="F2619" i="1"/>
  <c r="F2620" i="1"/>
  <c r="F2621" i="1"/>
  <c r="F2622" i="1"/>
  <c r="F2623" i="1"/>
  <c r="F2624" i="1"/>
  <c r="F2625" i="1"/>
  <c r="F2626" i="1"/>
  <c r="F2627" i="1"/>
  <c r="F2628" i="1"/>
  <c r="F2629" i="1"/>
  <c r="F2630" i="1"/>
  <c r="F2631" i="1"/>
  <c r="F2632" i="1"/>
  <c r="F2633" i="1"/>
  <c r="F2634" i="1"/>
  <c r="F2635" i="1"/>
  <c r="F2636" i="1"/>
  <c r="F2637" i="1"/>
  <c r="F2638" i="1"/>
  <c r="F2639" i="1"/>
  <c r="F2640" i="1"/>
  <c r="F2641" i="1"/>
  <c r="F2642" i="1"/>
  <c r="F2643" i="1"/>
  <c r="F2644" i="1"/>
  <c r="F2645" i="1"/>
  <c r="F2646" i="1"/>
  <c r="F2647" i="1"/>
  <c r="F2648" i="1"/>
  <c r="F2649" i="1"/>
  <c r="F2650" i="1"/>
  <c r="F2651" i="1"/>
  <c r="F2652" i="1"/>
  <c r="F2653" i="1"/>
  <c r="F2654" i="1"/>
  <c r="F2655" i="1"/>
  <c r="F2656" i="1"/>
  <c r="F2657" i="1"/>
  <c r="F2658" i="1"/>
  <c r="F2659" i="1"/>
  <c r="F2660" i="1"/>
  <c r="F2661" i="1"/>
  <c r="F2662" i="1"/>
  <c r="F2663" i="1"/>
  <c r="F2664" i="1"/>
  <c r="F2665" i="1"/>
  <c r="F2666" i="1"/>
  <c r="F2667" i="1"/>
  <c r="F2668" i="1"/>
  <c r="F2669" i="1"/>
  <c r="F2670" i="1"/>
  <c r="F2671" i="1"/>
  <c r="F2672" i="1"/>
  <c r="F2673" i="1"/>
  <c r="F2674" i="1"/>
  <c r="F2675" i="1"/>
  <c r="F2676" i="1"/>
  <c r="F2677" i="1"/>
  <c r="F2678" i="1"/>
  <c r="F2679" i="1"/>
  <c r="F2680" i="1"/>
  <c r="F2681" i="1"/>
  <c r="F2682" i="1"/>
  <c r="F2683" i="1"/>
  <c r="F2684" i="1"/>
  <c r="F2685" i="1"/>
  <c r="F2686" i="1"/>
  <c r="F2687" i="1"/>
  <c r="F2688" i="1"/>
  <c r="F2689" i="1"/>
  <c r="F2690" i="1"/>
  <c r="F2691" i="1"/>
  <c r="F2692" i="1"/>
  <c r="F2693" i="1"/>
  <c r="F2694" i="1"/>
  <c r="F2695" i="1"/>
  <c r="F2696" i="1"/>
  <c r="F2697" i="1"/>
  <c r="F2698" i="1"/>
  <c r="F2699" i="1"/>
  <c r="F2700" i="1"/>
  <c r="F2701" i="1"/>
  <c r="F2702" i="1"/>
  <c r="F2703" i="1"/>
  <c r="F2704" i="1"/>
  <c r="F2705" i="1"/>
  <c r="F2706" i="1"/>
  <c r="F2707" i="1"/>
  <c r="F2708" i="1"/>
  <c r="F2709" i="1"/>
  <c r="F2710" i="1"/>
  <c r="F2711" i="1"/>
  <c r="F2712" i="1"/>
  <c r="F2713" i="1"/>
  <c r="F2714" i="1"/>
  <c r="F2715" i="1"/>
  <c r="F2716" i="1"/>
  <c r="F2717" i="1"/>
  <c r="F2718" i="1"/>
  <c r="F2719" i="1"/>
  <c r="F2720" i="1"/>
  <c r="F2721" i="1"/>
  <c r="F2722" i="1"/>
  <c r="F2723" i="1"/>
  <c r="F2724" i="1"/>
  <c r="F2725" i="1"/>
  <c r="F2726" i="1"/>
  <c r="F2727" i="1"/>
  <c r="F2728" i="1"/>
  <c r="F2729" i="1"/>
  <c r="F2730" i="1"/>
  <c r="F2731" i="1"/>
  <c r="F2732" i="1"/>
  <c r="F2733" i="1"/>
  <c r="F2734" i="1"/>
  <c r="F2735" i="1"/>
  <c r="F2736" i="1"/>
  <c r="F2737" i="1"/>
  <c r="F2738" i="1"/>
  <c r="F2739" i="1"/>
  <c r="F2740" i="1"/>
  <c r="F2741" i="1"/>
  <c r="F2742" i="1"/>
  <c r="F2743" i="1"/>
  <c r="F2744" i="1"/>
  <c r="F2745" i="1"/>
  <c r="F2746" i="1"/>
  <c r="F2747" i="1"/>
  <c r="F2748" i="1"/>
  <c r="F2749" i="1"/>
  <c r="F2750" i="1"/>
  <c r="F2751" i="1"/>
  <c r="F2752" i="1"/>
  <c r="F2753" i="1"/>
  <c r="F2754" i="1"/>
  <c r="F2755" i="1"/>
  <c r="F2756" i="1"/>
  <c r="F2757" i="1"/>
  <c r="F2758" i="1"/>
  <c r="F2759" i="1"/>
  <c r="F2760" i="1"/>
  <c r="F2761" i="1"/>
  <c r="F2762" i="1"/>
  <c r="F2763" i="1"/>
  <c r="F2764" i="1"/>
  <c r="F2765" i="1"/>
  <c r="F2766" i="1"/>
  <c r="F2767" i="1"/>
  <c r="F2768" i="1"/>
  <c r="F2769" i="1"/>
  <c r="F2770" i="1"/>
  <c r="F2771" i="1"/>
  <c r="F2772" i="1"/>
  <c r="F2773" i="1"/>
  <c r="F2774" i="1"/>
  <c r="F2775" i="1"/>
  <c r="F2776" i="1"/>
  <c r="F2777" i="1"/>
  <c r="F2778" i="1"/>
  <c r="F2779" i="1"/>
  <c r="F2780" i="1"/>
  <c r="F2781" i="1"/>
  <c r="F2782" i="1"/>
  <c r="F2783" i="1"/>
  <c r="F2784" i="1"/>
  <c r="F2785" i="1"/>
  <c r="F2786" i="1"/>
  <c r="F2787" i="1"/>
  <c r="F2788" i="1"/>
  <c r="F2789" i="1"/>
  <c r="F2790" i="1"/>
  <c r="F2791" i="1"/>
  <c r="F2792" i="1"/>
  <c r="F2793" i="1"/>
  <c r="F2794" i="1"/>
  <c r="F2795" i="1"/>
  <c r="F2796" i="1"/>
  <c r="F2797" i="1"/>
  <c r="F2798" i="1"/>
  <c r="F2799" i="1"/>
  <c r="F2800" i="1"/>
  <c r="F2801" i="1"/>
  <c r="F2802" i="1"/>
  <c r="F2803" i="1"/>
  <c r="F2804" i="1"/>
  <c r="F2805" i="1"/>
  <c r="F2806" i="1"/>
  <c r="F2807" i="1"/>
  <c r="F2808" i="1"/>
  <c r="F2809" i="1"/>
  <c r="F2810" i="1"/>
  <c r="F2811" i="1"/>
  <c r="F2812" i="1"/>
  <c r="F2813" i="1"/>
  <c r="F2814" i="1"/>
  <c r="F2815" i="1"/>
  <c r="F2816" i="1"/>
  <c r="F2817" i="1"/>
  <c r="F2818" i="1"/>
  <c r="F2819" i="1"/>
  <c r="F2820" i="1"/>
  <c r="F2821" i="1"/>
  <c r="F2822" i="1"/>
  <c r="F2823" i="1"/>
  <c r="F2824" i="1"/>
  <c r="F2825" i="1"/>
  <c r="F2826" i="1"/>
  <c r="F2827" i="1"/>
  <c r="F2828" i="1"/>
  <c r="F2829" i="1"/>
  <c r="F2830" i="1"/>
  <c r="F2831" i="1"/>
  <c r="F2832" i="1"/>
  <c r="F2833" i="1"/>
  <c r="F2834" i="1"/>
  <c r="F2835" i="1"/>
  <c r="F2836" i="1"/>
  <c r="F2837" i="1"/>
  <c r="F2838" i="1"/>
  <c r="F2839" i="1"/>
  <c r="F2840" i="1"/>
  <c r="F2841" i="1"/>
  <c r="F2842" i="1"/>
  <c r="F2843" i="1"/>
  <c r="F2844" i="1"/>
  <c r="F2845" i="1"/>
  <c r="F2846" i="1"/>
  <c r="F2847" i="1"/>
  <c r="F2848" i="1"/>
  <c r="F2849" i="1"/>
  <c r="F2850" i="1"/>
  <c r="F2851" i="1"/>
  <c r="F2852" i="1"/>
  <c r="F2853" i="1"/>
  <c r="F2854" i="1"/>
  <c r="F2855" i="1"/>
  <c r="F2856" i="1"/>
  <c r="F2857" i="1"/>
  <c r="F2858" i="1"/>
  <c r="F2859" i="1"/>
  <c r="F2860" i="1"/>
  <c r="F2861" i="1"/>
  <c r="F2862" i="1"/>
  <c r="F2863" i="1"/>
  <c r="F2864" i="1"/>
  <c r="F2865" i="1"/>
  <c r="F2866" i="1"/>
  <c r="F2867" i="1"/>
  <c r="F2868" i="1"/>
  <c r="F2869" i="1"/>
  <c r="F2870" i="1"/>
  <c r="F2871" i="1"/>
  <c r="F2872" i="1"/>
  <c r="F2873" i="1"/>
  <c r="F2874" i="1"/>
  <c r="F2875" i="1"/>
  <c r="F2876" i="1"/>
  <c r="F2877" i="1"/>
  <c r="F2878" i="1"/>
  <c r="F2879" i="1"/>
  <c r="F2880" i="1"/>
  <c r="F2881" i="1"/>
  <c r="F2882" i="1"/>
  <c r="F2883" i="1"/>
  <c r="F2884" i="1"/>
  <c r="F2885" i="1"/>
  <c r="F2886" i="1"/>
  <c r="F2887" i="1"/>
  <c r="F2888" i="1"/>
  <c r="F2889" i="1"/>
  <c r="F2890" i="1"/>
  <c r="F2891" i="1"/>
  <c r="F2892" i="1"/>
  <c r="F2893" i="1"/>
  <c r="F2894" i="1"/>
  <c r="F2895" i="1"/>
  <c r="F2896" i="1"/>
  <c r="F2897" i="1"/>
  <c r="F2898" i="1"/>
  <c r="F2899" i="1"/>
  <c r="F2900" i="1"/>
  <c r="F2901" i="1"/>
  <c r="F2902" i="1"/>
  <c r="F2903" i="1"/>
  <c r="F2904" i="1"/>
  <c r="F2905" i="1"/>
  <c r="F2906" i="1"/>
  <c r="F2907" i="1"/>
  <c r="F2908" i="1"/>
  <c r="F2909" i="1"/>
  <c r="F2910" i="1"/>
  <c r="F2911" i="1"/>
  <c r="F2912" i="1"/>
  <c r="F2913" i="1"/>
  <c r="F2914" i="1"/>
  <c r="F2915" i="1"/>
  <c r="F2916" i="1"/>
  <c r="F2917" i="1"/>
  <c r="F2918" i="1"/>
  <c r="F2919" i="1"/>
  <c r="F2920" i="1"/>
  <c r="F2921" i="1"/>
  <c r="F2922" i="1"/>
  <c r="F2923" i="1"/>
  <c r="F2924" i="1"/>
  <c r="F2925" i="1"/>
  <c r="F2926" i="1"/>
  <c r="F2927" i="1"/>
  <c r="F2928" i="1"/>
  <c r="F2929" i="1"/>
  <c r="F2930" i="1"/>
  <c r="F2931" i="1"/>
  <c r="F2932" i="1"/>
  <c r="F2933" i="1"/>
  <c r="F2934" i="1"/>
  <c r="F2935" i="1"/>
  <c r="F2936" i="1"/>
  <c r="F2937" i="1"/>
  <c r="F2938" i="1"/>
  <c r="F2939" i="1"/>
  <c r="F2940" i="1"/>
  <c r="F2941" i="1"/>
  <c r="F2942" i="1"/>
  <c r="F2943" i="1"/>
  <c r="F2944" i="1"/>
  <c r="F2945" i="1"/>
  <c r="F2946" i="1"/>
  <c r="F2947" i="1"/>
  <c r="F2948" i="1"/>
  <c r="F2949" i="1"/>
  <c r="F2950" i="1"/>
  <c r="F2951" i="1"/>
  <c r="F2952" i="1"/>
  <c r="F2953" i="1"/>
  <c r="F2954" i="1"/>
  <c r="F2955" i="1"/>
  <c r="F2956" i="1"/>
  <c r="F2957" i="1"/>
  <c r="F2958" i="1"/>
  <c r="F2959" i="1"/>
  <c r="F2960" i="1"/>
  <c r="F2961" i="1"/>
  <c r="F2962" i="1"/>
  <c r="F2963" i="1"/>
  <c r="F2964" i="1"/>
  <c r="F2965" i="1"/>
  <c r="F2966" i="1"/>
  <c r="F2967" i="1"/>
  <c r="F2968" i="1"/>
  <c r="F2969" i="1"/>
  <c r="F2970" i="1"/>
  <c r="F2971" i="1"/>
  <c r="F2972" i="1"/>
  <c r="F2973" i="1"/>
  <c r="F2974" i="1"/>
  <c r="F2975" i="1"/>
  <c r="F2976" i="1"/>
  <c r="F2977" i="1"/>
  <c r="F2978" i="1"/>
  <c r="F2979" i="1"/>
  <c r="F2980" i="1"/>
  <c r="F2981" i="1"/>
  <c r="F2982" i="1"/>
  <c r="F2983" i="1"/>
  <c r="F2984" i="1"/>
  <c r="F2985" i="1"/>
  <c r="F2986" i="1"/>
  <c r="F2987" i="1"/>
  <c r="F2988" i="1"/>
  <c r="F2989" i="1"/>
  <c r="F2990" i="1"/>
  <c r="F2991" i="1"/>
  <c r="F2992" i="1"/>
  <c r="F2993" i="1"/>
  <c r="F2994" i="1"/>
  <c r="F2995" i="1"/>
  <c r="F2996" i="1"/>
  <c r="F2997" i="1"/>
  <c r="F2998" i="1"/>
  <c r="F2999" i="1"/>
  <c r="F3000" i="1"/>
  <c r="F3001" i="1"/>
  <c r="F3002" i="1"/>
  <c r="F3003" i="1"/>
  <c r="F3004" i="1"/>
  <c r="F3005" i="1"/>
  <c r="F3006" i="1"/>
  <c r="F3007" i="1"/>
  <c r="F3008" i="1"/>
  <c r="F3009" i="1"/>
  <c r="F3010" i="1"/>
  <c r="F3011" i="1"/>
  <c r="F3012" i="1"/>
  <c r="F3013" i="1"/>
  <c r="F3014" i="1"/>
  <c r="F3015" i="1"/>
  <c r="F3016" i="1"/>
  <c r="F3017" i="1"/>
  <c r="F3018" i="1"/>
  <c r="F3019" i="1"/>
  <c r="F3020" i="1"/>
  <c r="F3021" i="1"/>
  <c r="F3022" i="1"/>
  <c r="F3023" i="1"/>
  <c r="F3024" i="1"/>
  <c r="F3025" i="1"/>
  <c r="F3026" i="1"/>
  <c r="F3027" i="1"/>
  <c r="F3028" i="1"/>
  <c r="F3029" i="1"/>
  <c r="F3030" i="1"/>
  <c r="F3031" i="1"/>
  <c r="F3032" i="1"/>
  <c r="F3033" i="1"/>
  <c r="F3034" i="1"/>
  <c r="F3035" i="1"/>
  <c r="F3036" i="1"/>
  <c r="F3037" i="1"/>
  <c r="F3038" i="1"/>
  <c r="F3039" i="1"/>
  <c r="F3040" i="1"/>
  <c r="F3041" i="1"/>
  <c r="F3042" i="1"/>
  <c r="F3043" i="1"/>
  <c r="F3044" i="1"/>
  <c r="F3045" i="1"/>
  <c r="F3046" i="1"/>
  <c r="F3047" i="1"/>
  <c r="F3048" i="1"/>
  <c r="F3049" i="1"/>
  <c r="F3050" i="1"/>
  <c r="F3051" i="1"/>
  <c r="F3052" i="1"/>
  <c r="F3053" i="1"/>
  <c r="F3054" i="1"/>
  <c r="F3055" i="1"/>
  <c r="F3056" i="1"/>
  <c r="F3057" i="1"/>
  <c r="F3058" i="1"/>
  <c r="F3059" i="1"/>
  <c r="F3060" i="1"/>
  <c r="F3061" i="1"/>
  <c r="F3062" i="1"/>
  <c r="F3063" i="1"/>
  <c r="F3064" i="1"/>
  <c r="F3065" i="1"/>
  <c r="F3066" i="1"/>
  <c r="F3067" i="1"/>
  <c r="F3068" i="1"/>
  <c r="F3069" i="1"/>
  <c r="F3070" i="1"/>
  <c r="F3071" i="1"/>
  <c r="F3072" i="1"/>
  <c r="F3073" i="1"/>
  <c r="B19" i="9"/>
  <c r="B7" i="2"/>
  <c r="C7" i="2" s="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1018" i="1"/>
  <c r="J1019" i="1"/>
  <c r="J1020" i="1"/>
  <c r="J1021" i="1"/>
  <c r="J1022" i="1"/>
  <c r="J1023" i="1"/>
  <c r="J1024" i="1"/>
  <c r="J1025" i="1"/>
  <c r="J1026" i="1"/>
  <c r="J1027" i="1"/>
  <c r="J1028" i="1"/>
  <c r="J1029" i="1"/>
  <c r="J1030" i="1"/>
  <c r="J1031" i="1"/>
  <c r="J1032" i="1"/>
  <c r="J1033" i="1"/>
  <c r="J1034" i="1"/>
  <c r="J1035" i="1"/>
  <c r="J1036" i="1"/>
  <c r="J1037" i="1"/>
  <c r="J1038" i="1"/>
  <c r="J1039" i="1"/>
  <c r="J1040" i="1"/>
  <c r="J1041" i="1"/>
  <c r="J1042" i="1"/>
  <c r="J1043" i="1"/>
  <c r="J1044" i="1"/>
  <c r="J1045" i="1"/>
  <c r="J1046" i="1"/>
  <c r="J1047" i="1"/>
  <c r="J1048" i="1"/>
  <c r="J1049" i="1"/>
  <c r="J1050" i="1"/>
  <c r="J1051" i="1"/>
  <c r="J1052" i="1"/>
  <c r="J1053" i="1"/>
  <c r="J1054" i="1"/>
  <c r="J1055" i="1"/>
  <c r="J1056" i="1"/>
  <c r="J1057" i="1"/>
  <c r="J1058" i="1"/>
  <c r="J1059" i="1"/>
  <c r="J1060" i="1"/>
  <c r="J1061" i="1"/>
  <c r="J1062" i="1"/>
  <c r="J1063" i="1"/>
  <c r="J1064" i="1"/>
  <c r="J1065" i="1"/>
  <c r="J1066" i="1"/>
  <c r="J1067" i="1"/>
  <c r="J1068" i="1"/>
  <c r="J1069" i="1"/>
  <c r="J1070" i="1"/>
  <c r="J1071" i="1"/>
  <c r="J1072" i="1"/>
  <c r="J1073" i="1"/>
  <c r="J1074" i="1"/>
  <c r="J1075" i="1"/>
  <c r="J1076" i="1"/>
  <c r="J1077" i="1"/>
  <c r="J1078" i="1"/>
  <c r="J1079" i="1"/>
  <c r="J1080" i="1"/>
  <c r="J1081" i="1"/>
  <c r="J1082" i="1"/>
  <c r="J1083" i="1"/>
  <c r="J1084" i="1"/>
  <c r="J1085" i="1"/>
  <c r="J1086" i="1"/>
  <c r="J1087" i="1"/>
  <c r="J1088" i="1"/>
  <c r="J1089" i="1"/>
  <c r="J1090" i="1"/>
  <c r="J1091" i="1"/>
  <c r="J1092" i="1"/>
  <c r="J1093" i="1"/>
  <c r="J1094" i="1"/>
  <c r="J1095" i="1"/>
  <c r="J1096" i="1"/>
  <c r="J1097" i="1"/>
  <c r="J1098" i="1"/>
  <c r="J1099" i="1"/>
  <c r="J1100" i="1"/>
  <c r="J1101" i="1"/>
  <c r="J1102" i="1"/>
  <c r="J1103" i="1"/>
  <c r="J1104" i="1"/>
  <c r="J1105" i="1"/>
  <c r="J1106" i="1"/>
  <c r="J1107" i="1"/>
  <c r="J1108" i="1"/>
  <c r="J1109" i="1"/>
  <c r="J1110" i="1"/>
  <c r="J1111" i="1"/>
  <c r="J1112" i="1"/>
  <c r="J1113" i="1"/>
  <c r="J1114" i="1"/>
  <c r="J1115" i="1"/>
  <c r="J1116" i="1"/>
  <c r="J1117" i="1"/>
  <c r="J1118" i="1"/>
  <c r="J1119" i="1"/>
  <c r="J1120" i="1"/>
  <c r="J1121" i="1"/>
  <c r="J1122" i="1"/>
  <c r="J1123" i="1"/>
  <c r="J1124" i="1"/>
  <c r="J1125" i="1"/>
  <c r="J1126" i="1"/>
  <c r="J1127" i="1"/>
  <c r="J1128" i="1"/>
  <c r="J1129" i="1"/>
  <c r="J1130" i="1"/>
  <c r="J1131" i="1"/>
  <c r="J1132" i="1"/>
  <c r="J1133" i="1"/>
  <c r="J1134" i="1"/>
  <c r="J1135" i="1"/>
  <c r="J1136" i="1"/>
  <c r="J1137" i="1"/>
  <c r="J1138" i="1"/>
  <c r="J1139" i="1"/>
  <c r="J1140" i="1"/>
  <c r="J1141" i="1"/>
  <c r="J1142" i="1"/>
  <c r="J1143" i="1"/>
  <c r="J1144" i="1"/>
  <c r="J1145" i="1"/>
  <c r="J1146" i="1"/>
  <c r="J1147" i="1"/>
  <c r="J1148" i="1"/>
  <c r="J1149" i="1"/>
  <c r="J1150" i="1"/>
  <c r="J1151" i="1"/>
  <c r="J1152" i="1"/>
  <c r="J1153" i="1"/>
  <c r="J1154" i="1"/>
  <c r="J1155" i="1"/>
  <c r="J1156" i="1"/>
  <c r="J1157" i="1"/>
  <c r="J1158" i="1"/>
  <c r="J1159" i="1"/>
  <c r="J1160" i="1"/>
  <c r="J1161" i="1"/>
  <c r="J1162" i="1"/>
  <c r="J1163" i="1"/>
  <c r="J1164" i="1"/>
  <c r="J1165" i="1"/>
  <c r="J1166" i="1"/>
  <c r="J1167" i="1"/>
  <c r="J1168" i="1"/>
  <c r="J1169" i="1"/>
  <c r="J1170" i="1"/>
  <c r="J1171" i="1"/>
  <c r="J1172" i="1"/>
  <c r="J1173" i="1"/>
  <c r="J1174" i="1"/>
  <c r="J1175" i="1"/>
  <c r="J1176" i="1"/>
  <c r="J1177" i="1"/>
  <c r="J1178" i="1"/>
  <c r="J1179" i="1"/>
  <c r="J1180" i="1"/>
  <c r="J1181" i="1"/>
  <c r="J1182" i="1"/>
  <c r="J1183" i="1"/>
  <c r="J1184" i="1"/>
  <c r="J1185" i="1"/>
  <c r="J1186" i="1"/>
  <c r="J1187" i="1"/>
  <c r="J1188" i="1"/>
  <c r="J1189" i="1"/>
  <c r="J1190" i="1"/>
  <c r="J1191" i="1"/>
  <c r="J1192" i="1"/>
  <c r="J1193" i="1"/>
  <c r="J1194" i="1"/>
  <c r="J1195" i="1"/>
  <c r="J1196" i="1"/>
  <c r="J1197" i="1"/>
  <c r="J1198" i="1"/>
  <c r="J1199" i="1"/>
  <c r="J1200" i="1"/>
  <c r="J1201" i="1"/>
  <c r="J1202" i="1"/>
  <c r="J1203" i="1"/>
  <c r="J1204" i="1"/>
  <c r="J1205" i="1"/>
  <c r="J1206" i="1"/>
  <c r="J1207" i="1"/>
  <c r="J1208" i="1"/>
  <c r="J1209" i="1"/>
  <c r="J1210" i="1"/>
  <c r="J1211" i="1"/>
  <c r="J1212" i="1"/>
  <c r="J1213" i="1"/>
  <c r="J1214" i="1"/>
  <c r="J1215" i="1"/>
  <c r="J1216" i="1"/>
  <c r="J1217" i="1"/>
  <c r="J1218" i="1"/>
  <c r="J1219" i="1"/>
  <c r="J1220" i="1"/>
  <c r="J1221" i="1"/>
  <c r="J1222" i="1"/>
  <c r="J1223" i="1"/>
  <c r="J1224" i="1"/>
  <c r="J1225" i="1"/>
  <c r="J1226" i="1"/>
  <c r="J1227" i="1"/>
  <c r="J1228" i="1"/>
  <c r="J1229" i="1"/>
  <c r="J1230" i="1"/>
  <c r="J1231" i="1"/>
  <c r="J1232" i="1"/>
  <c r="J1233" i="1"/>
  <c r="J1234" i="1"/>
  <c r="J1235" i="1"/>
  <c r="J1236" i="1"/>
  <c r="J1237" i="1"/>
  <c r="J1238" i="1"/>
  <c r="J1239" i="1"/>
  <c r="J1240" i="1"/>
  <c r="J1241" i="1"/>
  <c r="J1242" i="1"/>
  <c r="J1243" i="1"/>
  <c r="J1244" i="1"/>
  <c r="J1245" i="1"/>
  <c r="J1246" i="1"/>
  <c r="J1247" i="1"/>
  <c r="J1248" i="1"/>
  <c r="J1249" i="1"/>
  <c r="J1250" i="1"/>
  <c r="J1251" i="1"/>
  <c r="J1252" i="1"/>
  <c r="J1253" i="1"/>
  <c r="J1254" i="1"/>
  <c r="J1255" i="1"/>
  <c r="J1256" i="1"/>
  <c r="J1257" i="1"/>
  <c r="J1258" i="1"/>
  <c r="J1259" i="1"/>
  <c r="J1260" i="1"/>
  <c r="J1261" i="1"/>
  <c r="J1262" i="1"/>
  <c r="J1263" i="1"/>
  <c r="J1264" i="1"/>
  <c r="J1265" i="1"/>
  <c r="J1266" i="1"/>
  <c r="J1267" i="1"/>
  <c r="J1268" i="1"/>
  <c r="J1269" i="1"/>
  <c r="J1270" i="1"/>
  <c r="J1271" i="1"/>
  <c r="J1272" i="1"/>
  <c r="J1273" i="1"/>
  <c r="J1274" i="1"/>
  <c r="J1275" i="1"/>
  <c r="J1276" i="1"/>
  <c r="J1277" i="1"/>
  <c r="J1278" i="1"/>
  <c r="J1279" i="1"/>
  <c r="J1280" i="1"/>
  <c r="J1281" i="1"/>
  <c r="J1282" i="1"/>
  <c r="J1283" i="1"/>
  <c r="J1284" i="1"/>
  <c r="J1285" i="1"/>
  <c r="J1286" i="1"/>
  <c r="J1287" i="1"/>
  <c r="J1288" i="1"/>
  <c r="J1289" i="1"/>
  <c r="J1290" i="1"/>
  <c r="J1291" i="1"/>
  <c r="J1292" i="1"/>
  <c r="J1293" i="1"/>
  <c r="J1294" i="1"/>
  <c r="J1295" i="1"/>
  <c r="J1296" i="1"/>
  <c r="J1297" i="1"/>
  <c r="J1298" i="1"/>
  <c r="J1299" i="1"/>
  <c r="J1300" i="1"/>
  <c r="J1301" i="1"/>
  <c r="J1302" i="1"/>
  <c r="J1303" i="1"/>
  <c r="J1304" i="1"/>
  <c r="J1305" i="1"/>
  <c r="J1306" i="1"/>
  <c r="J1307" i="1"/>
  <c r="J1308" i="1"/>
  <c r="J1309" i="1"/>
  <c r="J1310" i="1"/>
  <c r="J1311" i="1"/>
  <c r="J1312" i="1"/>
  <c r="J1313" i="1"/>
  <c r="J1314" i="1"/>
  <c r="J1315" i="1"/>
  <c r="J1316" i="1"/>
  <c r="J1317" i="1"/>
  <c r="J1318" i="1"/>
  <c r="J1319" i="1"/>
  <c r="J1320" i="1"/>
  <c r="J1321" i="1"/>
  <c r="J1322" i="1"/>
  <c r="J1323" i="1"/>
  <c r="J1324" i="1"/>
  <c r="J1325" i="1"/>
  <c r="J1326" i="1"/>
  <c r="J1327" i="1"/>
  <c r="J1328" i="1"/>
  <c r="J1329" i="1"/>
  <c r="J1330" i="1"/>
  <c r="J1331" i="1"/>
  <c r="J1332" i="1"/>
  <c r="J1333" i="1"/>
  <c r="J1334" i="1"/>
  <c r="J1335" i="1"/>
  <c r="J1336" i="1"/>
  <c r="J1337" i="1"/>
  <c r="J1338" i="1"/>
  <c r="J1339" i="1"/>
  <c r="J1340" i="1"/>
  <c r="J1341" i="1"/>
  <c r="J1342" i="1"/>
  <c r="J1343" i="1"/>
  <c r="J1344" i="1"/>
  <c r="J1345" i="1"/>
  <c r="J1346" i="1"/>
  <c r="J1347" i="1"/>
  <c r="J1348" i="1"/>
  <c r="J1349" i="1"/>
  <c r="J1350" i="1"/>
  <c r="J1351" i="1"/>
  <c r="J1352" i="1"/>
  <c r="J1353" i="1"/>
  <c r="J1354" i="1"/>
  <c r="J1355" i="1"/>
  <c r="J1356" i="1"/>
  <c r="J1357" i="1"/>
  <c r="J1358" i="1"/>
  <c r="J1359" i="1"/>
  <c r="J1360" i="1"/>
  <c r="J1361" i="1"/>
  <c r="J1362" i="1"/>
  <c r="J1363" i="1"/>
  <c r="J1364" i="1"/>
  <c r="J1365" i="1"/>
  <c r="J1366" i="1"/>
  <c r="J1367" i="1"/>
  <c r="J1368" i="1"/>
  <c r="J1369" i="1"/>
  <c r="J1370" i="1"/>
  <c r="J1371" i="1"/>
  <c r="J1372" i="1"/>
  <c r="J1373" i="1"/>
  <c r="J1374" i="1"/>
  <c r="J1375" i="1"/>
  <c r="J1376" i="1"/>
  <c r="J1377" i="1"/>
  <c r="J1378" i="1"/>
  <c r="J1379" i="1"/>
  <c r="J1380" i="1"/>
  <c r="J1381" i="1"/>
  <c r="J1382" i="1"/>
  <c r="J1383" i="1"/>
  <c r="J1384" i="1"/>
  <c r="J1385" i="1"/>
  <c r="J1386" i="1"/>
  <c r="J1387" i="1"/>
  <c r="J1388" i="1"/>
  <c r="J1389" i="1"/>
  <c r="J1390" i="1"/>
  <c r="J1391" i="1"/>
  <c r="J1392" i="1"/>
  <c r="J1393" i="1"/>
  <c r="J1394" i="1"/>
  <c r="J1395" i="1"/>
  <c r="J1396" i="1"/>
  <c r="J1397" i="1"/>
  <c r="J1398" i="1"/>
  <c r="J1399" i="1"/>
  <c r="J1400" i="1"/>
  <c r="J1401" i="1"/>
  <c r="J1402" i="1"/>
  <c r="J1403" i="1"/>
  <c r="J1404" i="1"/>
  <c r="J1405" i="1"/>
  <c r="J1406" i="1"/>
  <c r="J1407" i="1"/>
  <c r="J1408" i="1"/>
  <c r="J1409" i="1"/>
  <c r="J1410" i="1"/>
  <c r="J1411" i="1"/>
  <c r="J1412" i="1"/>
  <c r="J1413" i="1"/>
  <c r="J1414" i="1"/>
  <c r="J1415" i="1"/>
  <c r="J1416" i="1"/>
  <c r="J1417" i="1"/>
  <c r="J1418" i="1"/>
  <c r="J1419" i="1"/>
  <c r="J1420" i="1"/>
  <c r="J1421" i="1"/>
  <c r="J1422" i="1"/>
  <c r="J1423" i="1"/>
  <c r="J1424" i="1"/>
  <c r="J1425" i="1"/>
  <c r="J1426" i="1"/>
  <c r="J1427" i="1"/>
  <c r="J1428" i="1"/>
  <c r="J1429" i="1"/>
  <c r="J1430" i="1"/>
  <c r="J1431" i="1"/>
  <c r="J1432" i="1"/>
  <c r="J1433" i="1"/>
  <c r="J1434" i="1"/>
  <c r="J1435" i="1"/>
  <c r="J1436" i="1"/>
  <c r="J1437" i="1"/>
  <c r="J1438" i="1"/>
  <c r="J1439" i="1"/>
  <c r="J1440" i="1"/>
  <c r="J1441" i="1"/>
  <c r="J1442" i="1"/>
  <c r="J1443" i="1"/>
  <c r="J1444" i="1"/>
  <c r="J1445" i="1"/>
  <c r="J1446" i="1"/>
  <c r="J1447" i="1"/>
  <c r="J1448" i="1"/>
  <c r="J1449" i="1"/>
  <c r="J1450" i="1"/>
  <c r="J1451" i="1"/>
  <c r="J1452" i="1"/>
  <c r="J1453" i="1"/>
  <c r="J1454" i="1"/>
  <c r="J1455" i="1"/>
  <c r="J1456" i="1"/>
  <c r="J1457" i="1"/>
  <c r="J1458" i="1"/>
  <c r="J1459" i="1"/>
  <c r="J1460" i="1"/>
  <c r="J1461" i="1"/>
  <c r="J1462" i="1"/>
  <c r="J1463" i="1"/>
  <c r="J1464" i="1"/>
  <c r="J1465" i="1"/>
  <c r="J1466" i="1"/>
  <c r="J1467" i="1"/>
  <c r="J1468" i="1"/>
  <c r="J1469" i="1"/>
  <c r="J1470" i="1"/>
  <c r="J1471" i="1"/>
  <c r="J1472" i="1"/>
  <c r="J1473" i="1"/>
  <c r="J1474" i="1"/>
  <c r="J1475" i="1"/>
  <c r="J1476" i="1"/>
  <c r="J1477" i="1"/>
  <c r="J1478" i="1"/>
  <c r="J1479" i="1"/>
  <c r="J1480" i="1"/>
  <c r="J1481" i="1"/>
  <c r="J1482" i="1"/>
  <c r="J1483" i="1"/>
  <c r="J1484" i="1"/>
  <c r="J1485" i="1"/>
  <c r="J1486" i="1"/>
  <c r="J1487" i="1"/>
  <c r="J1488" i="1"/>
  <c r="J1489" i="1"/>
  <c r="J1490" i="1"/>
  <c r="J1491" i="1"/>
  <c r="J1492" i="1"/>
  <c r="J1493" i="1"/>
  <c r="J1494" i="1"/>
  <c r="J1495" i="1"/>
  <c r="J1496" i="1"/>
  <c r="J1497" i="1"/>
  <c r="J1498" i="1"/>
  <c r="J1499" i="1"/>
  <c r="J1500" i="1"/>
  <c r="J1501" i="1"/>
  <c r="J1502" i="1"/>
  <c r="J1503" i="1"/>
  <c r="J1504" i="1"/>
  <c r="J1505" i="1"/>
  <c r="J1506" i="1"/>
  <c r="J1507" i="1"/>
  <c r="J1508" i="1"/>
  <c r="J1509" i="1"/>
  <c r="J1510" i="1"/>
  <c r="J1511" i="1"/>
  <c r="J1512" i="1"/>
  <c r="J1513" i="1"/>
  <c r="J1514" i="1"/>
  <c r="J1515" i="1"/>
  <c r="J1516" i="1"/>
  <c r="J1517" i="1"/>
  <c r="J1518" i="1"/>
  <c r="J1519" i="1"/>
  <c r="J1520" i="1"/>
  <c r="J1521" i="1"/>
  <c r="J1522" i="1"/>
  <c r="J1523" i="1"/>
  <c r="J1524" i="1"/>
  <c r="J1525" i="1"/>
  <c r="J1526" i="1"/>
  <c r="J1527" i="1"/>
  <c r="J1528" i="1"/>
  <c r="J1529" i="1"/>
  <c r="J1530" i="1"/>
  <c r="J1531" i="1"/>
  <c r="J1532" i="1"/>
  <c r="J1533" i="1"/>
  <c r="J1534" i="1"/>
  <c r="J1535" i="1"/>
  <c r="J1536" i="1"/>
  <c r="J1537" i="1"/>
  <c r="J1538" i="1"/>
  <c r="J1539" i="1"/>
  <c r="J1540" i="1"/>
  <c r="J1541" i="1"/>
  <c r="J1542" i="1"/>
  <c r="J1543" i="1"/>
  <c r="J1544" i="1"/>
  <c r="J1545" i="1"/>
  <c r="J1546" i="1"/>
  <c r="J1547" i="1"/>
  <c r="J1548" i="1"/>
  <c r="J1549" i="1"/>
  <c r="J1550" i="1"/>
  <c r="J1551" i="1"/>
  <c r="J1552" i="1"/>
  <c r="J1553" i="1"/>
  <c r="J1554" i="1"/>
  <c r="J1555" i="1"/>
  <c r="J1556" i="1"/>
  <c r="J1557" i="1"/>
  <c r="J1558" i="1"/>
  <c r="J1559" i="1"/>
  <c r="J1560" i="1"/>
  <c r="J1561" i="1"/>
  <c r="J1562" i="1"/>
  <c r="J1563" i="1"/>
  <c r="J1564" i="1"/>
  <c r="J1565" i="1"/>
  <c r="J1566" i="1"/>
  <c r="J1567" i="1"/>
  <c r="J1568" i="1"/>
  <c r="J1569" i="1"/>
  <c r="J1570" i="1"/>
  <c r="J1571" i="1"/>
  <c r="J1572" i="1"/>
  <c r="J1573" i="1"/>
  <c r="J1574" i="1"/>
  <c r="J1575" i="1"/>
  <c r="J1576" i="1"/>
  <c r="J1577" i="1"/>
  <c r="J1578" i="1"/>
  <c r="J1579" i="1"/>
  <c r="J1580" i="1"/>
  <c r="J1581" i="1"/>
  <c r="J1582" i="1"/>
  <c r="J1583" i="1"/>
  <c r="J1584" i="1"/>
  <c r="J1585" i="1"/>
  <c r="J1586" i="1"/>
  <c r="J1587" i="1"/>
  <c r="J1588" i="1"/>
  <c r="J1589" i="1"/>
  <c r="J1590" i="1"/>
  <c r="J1591" i="1"/>
  <c r="J1592" i="1"/>
  <c r="J1593" i="1"/>
  <c r="J1594" i="1"/>
  <c r="J1595" i="1"/>
  <c r="J1596" i="1"/>
  <c r="J1597" i="1"/>
  <c r="J1598" i="1"/>
  <c r="J1599" i="1"/>
  <c r="J1600" i="1"/>
  <c r="J1601" i="1"/>
  <c r="J1602" i="1"/>
  <c r="J1603" i="1"/>
  <c r="J1604" i="1"/>
  <c r="J1605" i="1"/>
  <c r="J1606" i="1"/>
  <c r="J1607" i="1"/>
  <c r="J1608" i="1"/>
  <c r="J1609" i="1"/>
  <c r="J1610" i="1"/>
  <c r="J1611" i="1"/>
  <c r="J1612" i="1"/>
  <c r="J1613" i="1"/>
  <c r="J1614" i="1"/>
  <c r="J1615" i="1"/>
  <c r="J1616" i="1"/>
  <c r="J1617" i="1"/>
  <c r="J1618" i="1"/>
  <c r="J1619" i="1"/>
  <c r="J1620" i="1"/>
  <c r="J1621" i="1"/>
  <c r="J1622" i="1"/>
  <c r="J1623" i="1"/>
  <c r="J1624" i="1"/>
  <c r="J1625" i="1"/>
  <c r="J1626" i="1"/>
  <c r="J1627" i="1"/>
  <c r="J1628" i="1"/>
  <c r="J1629" i="1"/>
  <c r="J1630" i="1"/>
  <c r="J1631" i="1"/>
  <c r="J1632" i="1"/>
  <c r="J1633" i="1"/>
  <c r="J1634" i="1"/>
  <c r="J1635" i="1"/>
  <c r="J1636" i="1"/>
  <c r="J1637" i="1"/>
  <c r="J1638" i="1"/>
  <c r="J1639" i="1"/>
  <c r="J1640" i="1"/>
  <c r="J1641" i="1"/>
  <c r="J1642" i="1"/>
  <c r="J1643" i="1"/>
  <c r="J1644" i="1"/>
  <c r="J1645" i="1"/>
  <c r="J1646" i="1"/>
  <c r="J1647" i="1"/>
  <c r="J1648" i="1"/>
  <c r="J1649" i="1"/>
  <c r="J1650" i="1"/>
  <c r="J1651" i="1"/>
  <c r="J1652" i="1"/>
  <c r="J1653" i="1"/>
  <c r="J1654" i="1"/>
  <c r="J1655" i="1"/>
  <c r="J1656" i="1"/>
  <c r="J1657" i="1"/>
  <c r="J1658" i="1"/>
  <c r="J1659" i="1"/>
  <c r="J1660" i="1"/>
  <c r="J1661" i="1"/>
  <c r="J1662" i="1"/>
  <c r="J1663" i="1"/>
  <c r="J1664" i="1"/>
  <c r="J1665" i="1"/>
  <c r="J1666" i="1"/>
  <c r="J1667" i="1"/>
  <c r="J1668" i="1"/>
  <c r="J1669" i="1"/>
  <c r="J1670" i="1"/>
  <c r="J1671" i="1"/>
  <c r="J1672" i="1"/>
  <c r="J1673" i="1"/>
  <c r="J1674" i="1"/>
  <c r="J1675" i="1"/>
  <c r="J1676" i="1"/>
  <c r="J1677" i="1"/>
  <c r="J1678" i="1"/>
  <c r="J1679" i="1"/>
  <c r="J1680" i="1"/>
  <c r="J1681" i="1"/>
  <c r="J1682" i="1"/>
  <c r="J1683" i="1"/>
  <c r="J1684" i="1"/>
  <c r="J1685" i="1"/>
  <c r="J1686" i="1"/>
  <c r="J1687" i="1"/>
  <c r="J1688" i="1"/>
  <c r="J1689" i="1"/>
  <c r="J1690" i="1"/>
  <c r="J1691" i="1"/>
  <c r="J1692" i="1"/>
  <c r="J1693" i="1"/>
  <c r="J1694" i="1"/>
  <c r="J1695" i="1"/>
  <c r="J1696" i="1"/>
  <c r="J1697" i="1"/>
  <c r="J1698" i="1"/>
  <c r="J1699" i="1"/>
  <c r="J1700" i="1"/>
  <c r="J1701" i="1"/>
  <c r="J1702" i="1"/>
  <c r="J1703" i="1"/>
  <c r="J1704" i="1"/>
  <c r="J1705" i="1"/>
  <c r="J1706" i="1"/>
  <c r="J1707" i="1"/>
  <c r="J1708" i="1"/>
  <c r="J1709" i="1"/>
  <c r="J1710" i="1"/>
  <c r="J1711" i="1"/>
  <c r="J1712" i="1"/>
  <c r="J1713" i="1"/>
  <c r="J1714" i="1"/>
  <c r="J1715" i="1"/>
  <c r="J1716" i="1"/>
  <c r="J1717" i="1"/>
  <c r="J1718" i="1"/>
  <c r="J1719" i="1"/>
  <c r="J1720" i="1"/>
  <c r="J1721" i="1"/>
  <c r="J1722" i="1"/>
  <c r="J1723" i="1"/>
  <c r="J1724" i="1"/>
  <c r="J1725" i="1"/>
  <c r="J1726" i="1"/>
  <c r="J1727" i="1"/>
  <c r="J1728" i="1"/>
  <c r="J1729" i="1"/>
  <c r="J1730" i="1"/>
  <c r="J1731" i="1"/>
  <c r="J1732" i="1"/>
  <c r="J1733" i="1"/>
  <c r="J1734" i="1"/>
  <c r="J1735" i="1"/>
  <c r="J1736" i="1"/>
  <c r="J1737" i="1"/>
  <c r="J1738" i="1"/>
  <c r="J1739" i="1"/>
  <c r="J1740" i="1"/>
  <c r="J1741" i="1"/>
  <c r="J1742" i="1"/>
  <c r="J1743" i="1"/>
  <c r="J1744" i="1"/>
  <c r="J1745" i="1"/>
  <c r="J1746" i="1"/>
  <c r="J1747" i="1"/>
  <c r="J1748" i="1"/>
  <c r="J1749" i="1"/>
  <c r="J1750" i="1"/>
  <c r="J1751" i="1"/>
  <c r="J1752" i="1"/>
  <c r="J1753" i="1"/>
  <c r="J1754" i="1"/>
  <c r="J1755" i="1"/>
  <c r="J1756" i="1"/>
  <c r="J1757" i="1"/>
  <c r="J1758" i="1"/>
  <c r="J1759" i="1"/>
  <c r="J1760" i="1"/>
  <c r="J1761" i="1"/>
  <c r="J1762" i="1"/>
  <c r="J1763" i="1"/>
  <c r="J1764" i="1"/>
  <c r="J1765" i="1"/>
  <c r="J1766" i="1"/>
  <c r="J1767" i="1"/>
  <c r="J1768" i="1"/>
  <c r="J1769" i="1"/>
  <c r="J1770" i="1"/>
  <c r="J1771" i="1"/>
  <c r="J1772" i="1"/>
  <c r="J1773" i="1"/>
  <c r="J1774" i="1"/>
  <c r="J1775" i="1"/>
  <c r="J1776" i="1"/>
  <c r="J1777" i="1"/>
  <c r="J1778" i="1"/>
  <c r="J1779" i="1"/>
  <c r="J1780" i="1"/>
  <c r="J1781" i="1"/>
  <c r="J1782" i="1"/>
  <c r="J1783" i="1"/>
  <c r="J1784" i="1"/>
  <c r="J1785" i="1"/>
  <c r="J1786" i="1"/>
  <c r="J1787" i="1"/>
  <c r="J1788" i="1"/>
  <c r="J1789" i="1"/>
  <c r="J1790" i="1"/>
  <c r="J1791" i="1"/>
  <c r="J1792" i="1"/>
  <c r="J1793" i="1"/>
  <c r="J1794" i="1"/>
  <c r="J1795" i="1"/>
  <c r="J1796" i="1"/>
  <c r="J1797" i="1"/>
  <c r="J1798" i="1"/>
  <c r="J1799" i="1"/>
  <c r="J1800" i="1"/>
  <c r="J1801" i="1"/>
  <c r="J1802" i="1"/>
  <c r="J1803" i="1"/>
  <c r="J1804" i="1"/>
  <c r="J1805" i="1"/>
  <c r="J1806" i="1"/>
  <c r="J1807" i="1"/>
  <c r="J1808" i="1"/>
  <c r="J1809" i="1"/>
  <c r="J1810" i="1"/>
  <c r="J1811" i="1"/>
  <c r="J1812" i="1"/>
  <c r="J1813" i="1"/>
  <c r="J1814" i="1"/>
  <c r="J1815" i="1"/>
  <c r="J1816" i="1"/>
  <c r="J1817" i="1"/>
  <c r="J1818" i="1"/>
  <c r="J1819" i="1"/>
  <c r="J1820" i="1"/>
  <c r="J1821" i="1"/>
  <c r="J1822" i="1"/>
  <c r="J1823" i="1"/>
  <c r="J1824" i="1"/>
  <c r="J1825" i="1"/>
  <c r="J1826" i="1"/>
  <c r="J1827" i="1"/>
  <c r="J1828" i="1"/>
  <c r="J1829" i="1"/>
  <c r="J1830" i="1"/>
  <c r="J1831" i="1"/>
  <c r="J1832" i="1"/>
  <c r="J1833" i="1"/>
  <c r="J1834" i="1"/>
  <c r="J1835" i="1"/>
  <c r="J1836" i="1"/>
  <c r="J1837" i="1"/>
  <c r="J1838" i="1"/>
  <c r="J1839" i="1"/>
  <c r="J1840" i="1"/>
  <c r="J1841" i="1"/>
  <c r="J1842" i="1"/>
  <c r="J1843" i="1"/>
  <c r="J1844" i="1"/>
  <c r="J1845" i="1"/>
  <c r="J1846" i="1"/>
  <c r="J1847" i="1"/>
  <c r="J1848" i="1"/>
  <c r="J1849" i="1"/>
  <c r="J1850" i="1"/>
  <c r="J1851" i="1"/>
  <c r="J1852" i="1"/>
  <c r="J1853" i="1"/>
  <c r="J1854" i="1"/>
  <c r="J1855" i="1"/>
  <c r="J1856" i="1"/>
  <c r="J1857" i="1"/>
  <c r="J1858" i="1"/>
  <c r="J1859" i="1"/>
  <c r="J1860" i="1"/>
  <c r="J1861" i="1"/>
  <c r="J1862" i="1"/>
  <c r="J1863" i="1"/>
  <c r="J1864" i="1"/>
  <c r="J1865" i="1"/>
  <c r="J1866" i="1"/>
  <c r="J1867" i="1"/>
  <c r="J1868" i="1"/>
  <c r="J1869" i="1"/>
  <c r="J1870" i="1"/>
  <c r="J1871" i="1"/>
  <c r="J1872" i="1"/>
  <c r="J1873" i="1"/>
  <c r="J1874" i="1"/>
  <c r="J1875" i="1"/>
  <c r="J1876" i="1"/>
  <c r="J1877" i="1"/>
  <c r="J1878" i="1"/>
  <c r="J1879" i="1"/>
  <c r="J1880" i="1"/>
  <c r="J1881" i="1"/>
  <c r="J1882" i="1"/>
  <c r="J1883" i="1"/>
  <c r="J1884" i="1"/>
  <c r="J1885" i="1"/>
  <c r="J1886" i="1"/>
  <c r="J1887" i="1"/>
  <c r="J1888" i="1"/>
  <c r="J1889" i="1"/>
  <c r="J1890" i="1"/>
  <c r="J1891" i="1"/>
  <c r="J1892" i="1"/>
  <c r="J1893" i="1"/>
  <c r="J1894" i="1"/>
  <c r="J1895" i="1"/>
  <c r="J1896" i="1"/>
  <c r="J1897" i="1"/>
  <c r="J1898" i="1"/>
  <c r="J1899" i="1"/>
  <c r="J1900" i="1"/>
  <c r="J1901" i="1"/>
  <c r="J1902" i="1"/>
  <c r="J1903" i="1"/>
  <c r="J1904" i="1"/>
  <c r="J1905" i="1"/>
  <c r="J1906" i="1"/>
  <c r="J1907" i="1"/>
  <c r="J1908" i="1"/>
  <c r="J1909" i="1"/>
  <c r="J1910" i="1"/>
  <c r="J1911" i="1"/>
  <c r="J1912" i="1"/>
  <c r="J1913" i="1"/>
  <c r="J1914" i="1"/>
  <c r="J1915" i="1"/>
  <c r="J1916" i="1"/>
  <c r="J1917" i="1"/>
  <c r="J1918" i="1"/>
  <c r="J1919" i="1"/>
  <c r="J1920" i="1"/>
  <c r="J1921" i="1"/>
  <c r="J1922" i="1"/>
  <c r="J1923" i="1"/>
  <c r="J1924" i="1"/>
  <c r="J1925" i="1"/>
  <c r="J1926" i="1"/>
  <c r="J1927" i="1"/>
  <c r="J1928" i="1"/>
  <c r="J1929" i="1"/>
  <c r="J1930" i="1"/>
  <c r="J1931" i="1"/>
  <c r="J1932" i="1"/>
  <c r="J1933" i="1"/>
  <c r="J1934" i="1"/>
  <c r="J1935" i="1"/>
  <c r="J1936" i="1"/>
  <c r="J1937" i="1"/>
  <c r="J1938" i="1"/>
  <c r="J1939" i="1"/>
  <c r="J1940" i="1"/>
  <c r="J1941" i="1"/>
  <c r="J1942" i="1"/>
  <c r="J1943" i="1"/>
  <c r="J1944" i="1"/>
  <c r="J1945" i="1"/>
  <c r="J1946" i="1"/>
  <c r="J1947" i="1"/>
  <c r="J1948" i="1"/>
  <c r="J1949" i="1"/>
  <c r="J1950" i="1"/>
  <c r="J1951" i="1"/>
  <c r="J1952" i="1"/>
  <c r="J1953" i="1"/>
  <c r="J1954" i="1"/>
  <c r="J1955" i="1"/>
  <c r="J1956" i="1"/>
  <c r="J1957" i="1"/>
  <c r="J1958" i="1"/>
  <c r="J1959" i="1"/>
  <c r="J1960" i="1"/>
  <c r="J1961" i="1"/>
  <c r="J1962" i="1"/>
  <c r="J1963" i="1"/>
  <c r="J1964" i="1"/>
  <c r="J1965" i="1"/>
  <c r="J1966" i="1"/>
  <c r="J1967" i="1"/>
  <c r="J1968" i="1"/>
  <c r="J1969" i="1"/>
  <c r="J1970" i="1"/>
  <c r="J1971" i="1"/>
  <c r="J1972" i="1"/>
  <c r="J1973" i="1"/>
  <c r="J1974" i="1"/>
  <c r="J1975" i="1"/>
  <c r="J1976" i="1"/>
  <c r="J1977" i="1"/>
  <c r="J1978" i="1"/>
  <c r="J1979" i="1"/>
  <c r="J1980" i="1"/>
  <c r="J1981" i="1"/>
  <c r="J1982" i="1"/>
  <c r="J1983" i="1"/>
  <c r="J1984" i="1"/>
  <c r="J1985" i="1"/>
  <c r="J1986" i="1"/>
  <c r="J1987" i="1"/>
  <c r="J1988" i="1"/>
  <c r="J1989" i="1"/>
  <c r="J1990" i="1"/>
  <c r="J1991" i="1"/>
  <c r="J1992" i="1"/>
  <c r="J1993" i="1"/>
  <c r="J1994" i="1"/>
  <c r="J1995" i="1"/>
  <c r="J1996" i="1"/>
  <c r="J1997" i="1"/>
  <c r="J1998" i="1"/>
  <c r="J1999" i="1"/>
  <c r="J2000" i="1"/>
  <c r="J2001" i="1"/>
  <c r="J2002" i="1"/>
  <c r="J2003" i="1"/>
  <c r="J2004" i="1"/>
  <c r="J2005" i="1"/>
  <c r="J2006" i="1"/>
  <c r="J2007" i="1"/>
  <c r="J2008" i="1"/>
  <c r="J2009" i="1"/>
  <c r="J2010" i="1"/>
  <c r="J2011" i="1"/>
  <c r="J2012" i="1"/>
  <c r="J2013" i="1"/>
  <c r="J2014" i="1"/>
  <c r="J2015" i="1"/>
  <c r="J2016" i="1"/>
  <c r="J2017" i="1"/>
  <c r="J2018" i="1"/>
  <c r="J2019" i="1"/>
  <c r="J2020" i="1"/>
  <c r="J2021" i="1"/>
  <c r="J2022" i="1"/>
  <c r="J2023" i="1"/>
  <c r="J2024" i="1"/>
  <c r="J2025" i="1"/>
  <c r="J2026" i="1"/>
  <c r="J2027" i="1"/>
  <c r="J2028" i="1"/>
  <c r="J2029" i="1"/>
  <c r="J2030" i="1"/>
  <c r="J2031" i="1"/>
  <c r="J2032" i="1"/>
  <c r="J2033" i="1"/>
  <c r="J2034" i="1"/>
  <c r="J2035" i="1"/>
  <c r="J2036" i="1"/>
  <c r="J2037" i="1"/>
  <c r="J2038" i="1"/>
  <c r="J2039" i="1"/>
  <c r="J2040" i="1"/>
  <c r="J2041" i="1"/>
  <c r="J2042" i="1"/>
  <c r="J2043" i="1"/>
  <c r="J2044" i="1"/>
  <c r="J2045" i="1"/>
  <c r="J2046" i="1"/>
  <c r="J2047" i="1"/>
  <c r="J2048" i="1"/>
  <c r="J2049" i="1"/>
  <c r="J2050" i="1"/>
  <c r="J2051" i="1"/>
  <c r="J2052" i="1"/>
  <c r="J2053" i="1"/>
  <c r="J2054" i="1"/>
  <c r="J2055" i="1"/>
  <c r="J2056" i="1"/>
  <c r="J2057" i="1"/>
  <c r="J2058" i="1"/>
  <c r="J2059" i="1"/>
  <c r="J2060" i="1"/>
  <c r="J2061" i="1"/>
  <c r="J2062" i="1"/>
  <c r="J2063" i="1"/>
  <c r="J2064" i="1"/>
  <c r="J2065" i="1"/>
  <c r="J2066" i="1"/>
  <c r="J2067" i="1"/>
  <c r="J2068" i="1"/>
  <c r="J2069" i="1"/>
  <c r="J2070" i="1"/>
  <c r="J2071" i="1"/>
  <c r="J2072" i="1"/>
  <c r="J2073" i="1"/>
  <c r="J2074" i="1"/>
  <c r="J2075" i="1"/>
  <c r="J2076" i="1"/>
  <c r="J2077" i="1"/>
  <c r="J2078" i="1"/>
  <c r="J2079" i="1"/>
  <c r="J2080" i="1"/>
  <c r="J2081" i="1"/>
  <c r="J2082" i="1"/>
  <c r="J2083" i="1"/>
  <c r="J2084" i="1"/>
  <c r="J2085" i="1"/>
  <c r="J2086" i="1"/>
  <c r="J2087" i="1"/>
  <c r="J2088" i="1"/>
  <c r="J2089" i="1"/>
  <c r="J2090" i="1"/>
  <c r="J2091" i="1"/>
  <c r="J2092" i="1"/>
  <c r="J2093" i="1"/>
  <c r="J2094" i="1"/>
  <c r="J2095" i="1"/>
  <c r="J2096" i="1"/>
  <c r="J2097" i="1"/>
  <c r="J2098" i="1"/>
  <c r="J2099" i="1"/>
  <c r="J2100" i="1"/>
  <c r="J2101" i="1"/>
  <c r="J2102" i="1"/>
  <c r="J2103" i="1"/>
  <c r="J2104" i="1"/>
  <c r="J2105" i="1"/>
  <c r="J2106" i="1"/>
  <c r="J2107" i="1"/>
  <c r="J2108" i="1"/>
  <c r="J2109" i="1"/>
  <c r="J2110" i="1"/>
  <c r="J2111" i="1"/>
  <c r="J2112" i="1"/>
  <c r="J2113" i="1"/>
  <c r="J2114" i="1"/>
  <c r="J2115" i="1"/>
  <c r="J2116" i="1"/>
  <c r="J2117" i="1"/>
  <c r="J2118" i="1"/>
  <c r="J2119" i="1"/>
  <c r="J2120" i="1"/>
  <c r="J2121" i="1"/>
  <c r="J2122" i="1"/>
  <c r="J2123" i="1"/>
  <c r="J2124" i="1"/>
  <c r="J2125" i="1"/>
  <c r="J2126" i="1"/>
  <c r="J2127" i="1"/>
  <c r="J2128" i="1"/>
  <c r="J2129" i="1"/>
  <c r="J2130" i="1"/>
  <c r="J2131" i="1"/>
  <c r="J2132" i="1"/>
  <c r="J2133" i="1"/>
  <c r="J2134" i="1"/>
  <c r="J2135" i="1"/>
  <c r="J2136" i="1"/>
  <c r="J2137" i="1"/>
  <c r="J2138" i="1"/>
  <c r="J2139" i="1"/>
  <c r="J2140" i="1"/>
  <c r="J2141" i="1"/>
  <c r="J2142" i="1"/>
  <c r="J2143" i="1"/>
  <c r="J2144" i="1"/>
  <c r="J2145" i="1"/>
  <c r="J2146" i="1"/>
  <c r="J2147" i="1"/>
  <c r="J2148" i="1"/>
  <c r="J2149" i="1"/>
  <c r="J2150" i="1"/>
  <c r="J2151" i="1"/>
  <c r="J2152" i="1"/>
  <c r="J2153" i="1"/>
  <c r="J2154" i="1"/>
  <c r="J2155" i="1"/>
  <c r="J2156" i="1"/>
  <c r="J2157" i="1"/>
  <c r="J2158" i="1"/>
  <c r="J2159" i="1"/>
  <c r="J2160" i="1"/>
  <c r="J2161" i="1"/>
  <c r="J2162" i="1"/>
  <c r="J2163" i="1"/>
  <c r="J2164" i="1"/>
  <c r="J2165" i="1"/>
  <c r="J2166" i="1"/>
  <c r="J2167" i="1"/>
  <c r="J2168" i="1"/>
  <c r="J2169" i="1"/>
  <c r="J2170" i="1"/>
  <c r="J2171" i="1"/>
  <c r="J2172" i="1"/>
  <c r="J2173" i="1"/>
  <c r="J2174" i="1"/>
  <c r="J2175" i="1"/>
  <c r="J2176" i="1"/>
  <c r="J2177" i="1"/>
  <c r="J2178" i="1"/>
  <c r="J2179" i="1"/>
  <c r="J2180" i="1"/>
  <c r="J2181" i="1"/>
  <c r="J2182" i="1"/>
  <c r="J2183" i="1"/>
  <c r="J2184" i="1"/>
  <c r="J2185" i="1"/>
  <c r="J2186" i="1"/>
  <c r="J2187" i="1"/>
  <c r="J2188" i="1"/>
  <c r="J2189" i="1"/>
  <c r="J2190" i="1"/>
  <c r="J2191" i="1"/>
  <c r="J2192" i="1"/>
  <c r="J2193" i="1"/>
  <c r="J2194" i="1"/>
  <c r="J2195" i="1"/>
  <c r="J2196" i="1"/>
  <c r="J2197" i="1"/>
  <c r="J2198" i="1"/>
  <c r="J2199" i="1"/>
  <c r="J2200" i="1"/>
  <c r="J2201" i="1"/>
  <c r="J2202" i="1"/>
  <c r="J2203" i="1"/>
  <c r="J2204" i="1"/>
  <c r="J2205" i="1"/>
  <c r="J2206" i="1"/>
  <c r="J2207" i="1"/>
  <c r="J2208" i="1"/>
  <c r="J2209" i="1"/>
  <c r="J2210" i="1"/>
  <c r="J2211" i="1"/>
  <c r="J2212" i="1"/>
  <c r="J2213" i="1"/>
  <c r="J2214" i="1"/>
  <c r="J2215" i="1"/>
  <c r="J2216" i="1"/>
  <c r="J2217" i="1"/>
  <c r="J2218" i="1"/>
  <c r="J2219" i="1"/>
  <c r="J2220" i="1"/>
  <c r="J2221" i="1"/>
  <c r="J2222" i="1"/>
  <c r="J2223" i="1"/>
  <c r="J2224" i="1"/>
  <c r="J2225" i="1"/>
  <c r="J2226" i="1"/>
  <c r="J2227" i="1"/>
  <c r="J2228" i="1"/>
  <c r="J2229" i="1"/>
  <c r="J2230" i="1"/>
  <c r="J2231" i="1"/>
  <c r="J2232" i="1"/>
  <c r="J2233" i="1"/>
  <c r="J2234" i="1"/>
  <c r="J2235" i="1"/>
  <c r="J2236" i="1"/>
  <c r="J2237" i="1"/>
  <c r="J2238" i="1"/>
  <c r="J2239" i="1"/>
  <c r="J2240" i="1"/>
  <c r="J2241" i="1"/>
  <c r="J2242" i="1"/>
  <c r="J2243" i="1"/>
  <c r="J2244" i="1"/>
  <c r="J2245" i="1"/>
  <c r="J2246" i="1"/>
  <c r="J2247" i="1"/>
  <c r="J2248" i="1"/>
  <c r="J2249" i="1"/>
  <c r="J2250" i="1"/>
  <c r="J2251" i="1"/>
  <c r="J2252" i="1"/>
  <c r="J2253" i="1"/>
  <c r="J2254" i="1"/>
  <c r="J2255" i="1"/>
  <c r="J2256" i="1"/>
  <c r="J2257" i="1"/>
  <c r="J2258" i="1"/>
  <c r="J2259" i="1"/>
  <c r="J2260" i="1"/>
  <c r="J2261" i="1"/>
  <c r="J2262" i="1"/>
  <c r="J2263" i="1"/>
  <c r="J2264" i="1"/>
  <c r="J2265" i="1"/>
  <c r="J2266" i="1"/>
  <c r="J2267" i="1"/>
  <c r="J2268" i="1"/>
  <c r="J2269" i="1"/>
  <c r="J2270" i="1"/>
  <c r="J2271" i="1"/>
  <c r="J2272" i="1"/>
  <c r="J2273" i="1"/>
  <c r="J2274" i="1"/>
  <c r="J2275" i="1"/>
  <c r="J2276" i="1"/>
  <c r="J2277" i="1"/>
  <c r="J2278" i="1"/>
  <c r="J2279" i="1"/>
  <c r="J2280" i="1"/>
  <c r="J2281" i="1"/>
  <c r="J2282" i="1"/>
  <c r="J2283" i="1"/>
  <c r="J2284" i="1"/>
  <c r="J2285" i="1"/>
  <c r="J2286" i="1"/>
  <c r="J2287" i="1"/>
  <c r="J2288" i="1"/>
  <c r="J2289" i="1"/>
  <c r="J2290" i="1"/>
  <c r="J2291" i="1"/>
  <c r="J2292" i="1"/>
  <c r="J2293" i="1"/>
  <c r="J2294" i="1"/>
  <c r="J2295" i="1"/>
  <c r="J2296" i="1"/>
  <c r="J2297" i="1"/>
  <c r="J2298" i="1"/>
  <c r="J2299" i="1"/>
  <c r="J2300" i="1"/>
  <c r="J2301" i="1"/>
  <c r="J2302" i="1"/>
  <c r="J2303" i="1"/>
  <c r="J2304" i="1"/>
  <c r="J2305" i="1"/>
  <c r="J2306" i="1"/>
  <c r="J2307" i="1"/>
  <c r="J2308" i="1"/>
  <c r="J2309" i="1"/>
  <c r="J2310" i="1"/>
  <c r="J2311" i="1"/>
  <c r="J2312" i="1"/>
  <c r="J2313" i="1"/>
  <c r="J2314" i="1"/>
  <c r="J2315" i="1"/>
  <c r="J2316" i="1"/>
  <c r="J2317" i="1"/>
  <c r="J2318" i="1"/>
  <c r="J2319" i="1"/>
  <c r="J2320" i="1"/>
  <c r="J2321" i="1"/>
  <c r="J2322" i="1"/>
  <c r="J2323" i="1"/>
  <c r="J2324" i="1"/>
  <c r="J2325" i="1"/>
  <c r="J2326" i="1"/>
  <c r="J2327" i="1"/>
  <c r="J2328" i="1"/>
  <c r="J2329" i="1"/>
  <c r="J2330" i="1"/>
  <c r="J2331" i="1"/>
  <c r="J2332" i="1"/>
  <c r="J2333" i="1"/>
  <c r="J2334" i="1"/>
  <c r="J2335" i="1"/>
  <c r="J2336" i="1"/>
  <c r="J2337" i="1"/>
  <c r="J2338" i="1"/>
  <c r="J2339" i="1"/>
  <c r="J2340" i="1"/>
  <c r="J2341" i="1"/>
  <c r="J2342" i="1"/>
  <c r="J2343" i="1"/>
  <c r="J2344" i="1"/>
  <c r="J2345" i="1"/>
  <c r="J2346" i="1"/>
  <c r="J2347" i="1"/>
  <c r="J2348" i="1"/>
  <c r="J2349" i="1"/>
  <c r="J2350" i="1"/>
  <c r="J2351" i="1"/>
  <c r="J2352" i="1"/>
  <c r="J2353" i="1"/>
  <c r="J2354" i="1"/>
  <c r="J2355" i="1"/>
  <c r="J2356" i="1"/>
  <c r="J2357" i="1"/>
  <c r="J2358" i="1"/>
  <c r="J2359" i="1"/>
  <c r="J2360" i="1"/>
  <c r="J2361" i="1"/>
  <c r="J2362" i="1"/>
  <c r="J2363" i="1"/>
  <c r="J2364" i="1"/>
  <c r="J2365" i="1"/>
  <c r="J2366" i="1"/>
  <c r="J2367" i="1"/>
  <c r="J2368" i="1"/>
  <c r="J2369" i="1"/>
  <c r="J2370" i="1"/>
  <c r="J2371" i="1"/>
  <c r="J2372" i="1"/>
  <c r="J2373" i="1"/>
  <c r="J2374" i="1"/>
  <c r="J2375" i="1"/>
  <c r="J2376" i="1"/>
  <c r="J2377" i="1"/>
  <c r="J2378" i="1"/>
  <c r="J2379" i="1"/>
  <c r="J2380" i="1"/>
  <c r="J2381" i="1"/>
  <c r="J2382" i="1"/>
  <c r="J2383" i="1"/>
  <c r="J2384" i="1"/>
  <c r="J2385" i="1"/>
  <c r="J2386" i="1"/>
  <c r="J2387" i="1"/>
  <c r="J2388" i="1"/>
  <c r="J2389" i="1"/>
  <c r="J2390" i="1"/>
  <c r="J2391" i="1"/>
  <c r="J2392" i="1"/>
  <c r="J2393" i="1"/>
  <c r="J2394" i="1"/>
  <c r="J2395" i="1"/>
  <c r="J2396" i="1"/>
  <c r="J2397" i="1"/>
  <c r="J2398" i="1"/>
  <c r="J2399" i="1"/>
  <c r="J2400" i="1"/>
  <c r="J2401" i="1"/>
  <c r="J2402" i="1"/>
  <c r="J2403" i="1"/>
  <c r="J2404" i="1"/>
  <c r="J2405" i="1"/>
  <c r="J2406" i="1"/>
  <c r="J2407" i="1"/>
  <c r="J2408" i="1"/>
  <c r="J2409" i="1"/>
  <c r="J2410" i="1"/>
  <c r="J2411" i="1"/>
  <c r="J2412" i="1"/>
  <c r="J2413" i="1"/>
  <c r="J2414" i="1"/>
  <c r="J2415" i="1"/>
  <c r="J2416" i="1"/>
  <c r="J2417" i="1"/>
  <c r="J2418" i="1"/>
  <c r="J2419" i="1"/>
  <c r="J2420" i="1"/>
  <c r="J2421" i="1"/>
  <c r="J2422" i="1"/>
  <c r="J2423" i="1"/>
  <c r="J2424" i="1"/>
  <c r="J2425" i="1"/>
  <c r="J2426" i="1"/>
  <c r="J2427" i="1"/>
  <c r="J2428" i="1"/>
  <c r="J2429" i="1"/>
  <c r="J2430" i="1"/>
  <c r="J2431" i="1"/>
  <c r="J2432" i="1"/>
  <c r="J2433" i="1"/>
  <c r="J2434" i="1"/>
  <c r="J2435" i="1"/>
  <c r="J2436" i="1"/>
  <c r="J2437" i="1"/>
  <c r="J2438" i="1"/>
  <c r="J2439" i="1"/>
  <c r="J2440" i="1"/>
  <c r="J2441" i="1"/>
  <c r="J2442" i="1"/>
  <c r="J2443" i="1"/>
  <c r="J2444" i="1"/>
  <c r="J2445" i="1"/>
  <c r="J2446" i="1"/>
  <c r="J2447" i="1"/>
  <c r="J2448" i="1"/>
  <c r="J2449" i="1"/>
  <c r="J2450" i="1"/>
  <c r="J2451" i="1"/>
  <c r="J2452" i="1"/>
  <c r="J2453" i="1"/>
  <c r="J2454" i="1"/>
  <c r="J2455" i="1"/>
  <c r="J2456" i="1"/>
  <c r="J2457" i="1"/>
  <c r="J2458" i="1"/>
  <c r="J2459" i="1"/>
  <c r="J2460" i="1"/>
  <c r="J2461" i="1"/>
  <c r="J2462" i="1"/>
  <c r="J2463" i="1"/>
  <c r="J2464" i="1"/>
  <c r="J2465" i="1"/>
  <c r="J2466" i="1"/>
  <c r="J2467" i="1"/>
  <c r="J2468" i="1"/>
  <c r="J2469" i="1"/>
  <c r="J2470" i="1"/>
  <c r="J2471" i="1"/>
  <c r="J2472" i="1"/>
  <c r="J2473" i="1"/>
  <c r="J2474" i="1"/>
  <c r="J2475" i="1"/>
  <c r="J2476" i="1"/>
  <c r="J2477" i="1"/>
  <c r="J2478" i="1"/>
  <c r="J2479" i="1"/>
  <c r="J2480" i="1"/>
  <c r="J2481" i="1"/>
  <c r="J2482" i="1"/>
  <c r="J2483" i="1"/>
  <c r="J2484" i="1"/>
  <c r="J2485" i="1"/>
  <c r="J2486" i="1"/>
  <c r="J2487" i="1"/>
  <c r="J2488" i="1"/>
  <c r="J2489" i="1"/>
  <c r="J2490" i="1"/>
  <c r="J2491" i="1"/>
  <c r="J2492" i="1"/>
  <c r="J2493" i="1"/>
  <c r="J2494" i="1"/>
  <c r="J2495" i="1"/>
  <c r="J2496" i="1"/>
  <c r="J2497" i="1"/>
  <c r="J2498" i="1"/>
  <c r="J2499" i="1"/>
  <c r="J2500" i="1"/>
  <c r="J2501" i="1"/>
  <c r="J2502" i="1"/>
  <c r="J2503" i="1"/>
  <c r="J2504" i="1"/>
  <c r="J2505" i="1"/>
  <c r="J2506" i="1"/>
  <c r="J2507" i="1"/>
  <c r="J2508" i="1"/>
  <c r="J2509" i="1"/>
  <c r="J2510" i="1"/>
  <c r="J2511" i="1"/>
  <c r="J2512" i="1"/>
  <c r="J2513" i="1"/>
  <c r="J2514" i="1"/>
  <c r="J2515" i="1"/>
  <c r="J2516" i="1"/>
  <c r="J2517" i="1"/>
  <c r="J2518" i="1"/>
  <c r="J2519" i="1"/>
  <c r="J2520" i="1"/>
  <c r="J2521" i="1"/>
  <c r="J2522" i="1"/>
  <c r="J2523" i="1"/>
  <c r="J2524" i="1"/>
  <c r="J2525" i="1"/>
  <c r="J2526" i="1"/>
  <c r="J2527" i="1"/>
  <c r="J2528" i="1"/>
  <c r="J2529" i="1"/>
  <c r="J2530" i="1"/>
  <c r="J2531" i="1"/>
  <c r="J2532" i="1"/>
  <c r="J2533" i="1"/>
  <c r="J2534" i="1"/>
  <c r="J2535" i="1"/>
  <c r="J2536" i="1"/>
  <c r="J2537" i="1"/>
  <c r="J2538" i="1"/>
  <c r="J2539" i="1"/>
  <c r="J2540" i="1"/>
  <c r="J2541" i="1"/>
  <c r="J2542" i="1"/>
  <c r="J2543" i="1"/>
  <c r="J2544" i="1"/>
  <c r="J2545" i="1"/>
  <c r="J2546" i="1"/>
  <c r="J2547" i="1"/>
  <c r="J2548" i="1"/>
  <c r="J2549" i="1"/>
  <c r="J2550" i="1"/>
  <c r="J2551" i="1"/>
  <c r="J2552" i="1"/>
  <c r="J2553" i="1"/>
  <c r="J2554" i="1"/>
  <c r="J2555" i="1"/>
  <c r="J2556" i="1"/>
  <c r="J2557" i="1"/>
  <c r="J2558" i="1"/>
  <c r="J2559" i="1"/>
  <c r="J2560" i="1"/>
  <c r="J2561" i="1"/>
  <c r="J2562" i="1"/>
  <c r="J2563" i="1"/>
  <c r="J2564" i="1"/>
  <c r="J2565" i="1"/>
  <c r="J2566" i="1"/>
  <c r="J2567" i="1"/>
  <c r="J2568" i="1"/>
  <c r="J2569" i="1"/>
  <c r="J2570" i="1"/>
  <c r="J2571" i="1"/>
  <c r="J2572" i="1"/>
  <c r="J2573" i="1"/>
  <c r="J2574" i="1"/>
  <c r="J2575" i="1"/>
  <c r="J2576" i="1"/>
  <c r="J2577" i="1"/>
  <c r="J2578" i="1"/>
  <c r="J2579" i="1"/>
  <c r="J2580" i="1"/>
  <c r="J2581" i="1"/>
  <c r="J2582" i="1"/>
  <c r="J2583" i="1"/>
  <c r="J2584" i="1"/>
  <c r="J2585" i="1"/>
  <c r="J2586" i="1"/>
  <c r="J2587" i="1"/>
  <c r="J2588" i="1"/>
  <c r="J2589" i="1"/>
  <c r="J2590" i="1"/>
  <c r="J2591" i="1"/>
  <c r="J2592" i="1"/>
  <c r="J2593" i="1"/>
  <c r="J2594" i="1"/>
  <c r="J2595" i="1"/>
  <c r="J2596" i="1"/>
  <c r="J2597" i="1"/>
  <c r="J2598" i="1"/>
  <c r="J2599" i="1"/>
  <c r="J2600" i="1"/>
  <c r="J2601" i="1"/>
  <c r="J2602" i="1"/>
  <c r="J2603" i="1"/>
  <c r="J2604" i="1"/>
  <c r="J2605" i="1"/>
  <c r="J2606" i="1"/>
  <c r="J2607" i="1"/>
  <c r="J2608" i="1"/>
  <c r="J2609" i="1"/>
  <c r="J2610" i="1"/>
  <c r="J2611" i="1"/>
  <c r="J2612" i="1"/>
  <c r="J2613" i="1"/>
  <c r="J2614" i="1"/>
  <c r="J2615" i="1"/>
  <c r="J2616" i="1"/>
  <c r="J2617" i="1"/>
  <c r="J2618" i="1"/>
  <c r="J2619" i="1"/>
  <c r="J2620" i="1"/>
  <c r="J2621" i="1"/>
  <c r="J2622" i="1"/>
  <c r="J2623" i="1"/>
  <c r="J2624" i="1"/>
  <c r="J2625" i="1"/>
  <c r="J2626" i="1"/>
  <c r="J2627" i="1"/>
  <c r="J2628" i="1"/>
  <c r="J2629" i="1"/>
  <c r="J2630" i="1"/>
  <c r="J2631" i="1"/>
  <c r="J2632" i="1"/>
  <c r="J2633" i="1"/>
  <c r="J2634" i="1"/>
  <c r="J2635" i="1"/>
  <c r="J2636" i="1"/>
  <c r="J2637" i="1"/>
  <c r="J2638" i="1"/>
  <c r="J2639" i="1"/>
  <c r="J2640" i="1"/>
  <c r="J2641" i="1"/>
  <c r="J2642" i="1"/>
  <c r="J2643" i="1"/>
  <c r="J2644" i="1"/>
  <c r="J2645" i="1"/>
  <c r="J2646" i="1"/>
  <c r="J2647" i="1"/>
  <c r="J2648" i="1"/>
  <c r="J2649" i="1"/>
  <c r="J2650" i="1"/>
  <c r="J2651" i="1"/>
  <c r="J2652" i="1"/>
  <c r="J2653" i="1"/>
  <c r="J2654" i="1"/>
  <c r="J2655" i="1"/>
  <c r="J2656" i="1"/>
  <c r="J2657" i="1"/>
  <c r="J2658" i="1"/>
  <c r="J2659" i="1"/>
  <c r="J2660" i="1"/>
  <c r="J2661" i="1"/>
  <c r="J2662" i="1"/>
  <c r="J2663" i="1"/>
  <c r="J2664" i="1"/>
  <c r="J2665" i="1"/>
  <c r="J2666" i="1"/>
  <c r="J2667" i="1"/>
  <c r="J2668" i="1"/>
  <c r="J2669" i="1"/>
  <c r="J2670" i="1"/>
  <c r="J2671" i="1"/>
  <c r="J2672" i="1"/>
  <c r="J2673" i="1"/>
  <c r="J2674" i="1"/>
  <c r="J2675" i="1"/>
  <c r="J2676" i="1"/>
  <c r="J2677" i="1"/>
  <c r="J2678" i="1"/>
  <c r="J2679" i="1"/>
  <c r="J2680" i="1"/>
  <c r="J2681" i="1"/>
  <c r="J2682" i="1"/>
  <c r="J2683" i="1"/>
  <c r="J2684" i="1"/>
  <c r="J2685" i="1"/>
  <c r="J2686" i="1"/>
  <c r="J2687" i="1"/>
  <c r="J2688" i="1"/>
  <c r="J2689" i="1"/>
  <c r="J2690" i="1"/>
  <c r="J2691" i="1"/>
  <c r="J2692" i="1"/>
  <c r="J2693" i="1"/>
  <c r="J2694" i="1"/>
  <c r="J2695" i="1"/>
  <c r="J2696" i="1"/>
  <c r="J2697" i="1"/>
  <c r="J2698" i="1"/>
  <c r="J2699" i="1"/>
  <c r="J2700" i="1"/>
  <c r="J2701" i="1"/>
  <c r="J2702" i="1"/>
  <c r="J2703" i="1"/>
  <c r="J2704" i="1"/>
  <c r="J2705" i="1"/>
  <c r="J2706" i="1"/>
  <c r="J2707" i="1"/>
  <c r="J2708" i="1"/>
  <c r="J2709" i="1"/>
  <c r="J2710" i="1"/>
  <c r="J2711" i="1"/>
  <c r="J2712" i="1"/>
  <c r="J2713" i="1"/>
  <c r="J2714" i="1"/>
  <c r="J2715" i="1"/>
  <c r="J2716" i="1"/>
  <c r="J2717" i="1"/>
  <c r="J2718" i="1"/>
  <c r="J2719" i="1"/>
  <c r="J2720" i="1"/>
  <c r="J2721" i="1"/>
  <c r="J2722" i="1"/>
  <c r="J2723" i="1"/>
  <c r="J2724" i="1"/>
  <c r="J2725" i="1"/>
  <c r="J2726" i="1"/>
  <c r="J2727" i="1"/>
  <c r="J2728" i="1"/>
  <c r="J2729" i="1"/>
  <c r="J2730" i="1"/>
  <c r="J2731" i="1"/>
  <c r="J2732" i="1"/>
  <c r="J2733" i="1"/>
  <c r="J2734" i="1"/>
  <c r="J2735" i="1"/>
  <c r="J2736" i="1"/>
  <c r="J2737" i="1"/>
  <c r="J2738" i="1"/>
  <c r="J2739" i="1"/>
  <c r="J2740" i="1"/>
  <c r="J2741" i="1"/>
  <c r="J2742" i="1"/>
  <c r="J2743" i="1"/>
  <c r="J2744" i="1"/>
  <c r="J2745" i="1"/>
  <c r="J2746" i="1"/>
  <c r="J2747" i="1"/>
  <c r="J2748" i="1"/>
  <c r="J2749" i="1"/>
  <c r="J2750" i="1"/>
  <c r="J2751" i="1"/>
  <c r="J2752" i="1"/>
  <c r="J2753" i="1"/>
  <c r="J2754" i="1"/>
  <c r="J2755" i="1"/>
  <c r="J2756" i="1"/>
  <c r="J2757" i="1"/>
  <c r="J2758" i="1"/>
  <c r="J2759" i="1"/>
  <c r="J2760" i="1"/>
  <c r="J2761" i="1"/>
  <c r="J2762" i="1"/>
  <c r="J2763" i="1"/>
  <c r="J2764" i="1"/>
  <c r="J2765" i="1"/>
  <c r="J2766" i="1"/>
  <c r="J2767" i="1"/>
  <c r="J2768" i="1"/>
  <c r="J2769" i="1"/>
  <c r="J2770" i="1"/>
  <c r="J2771" i="1"/>
  <c r="J2772" i="1"/>
  <c r="J2773" i="1"/>
  <c r="J2774" i="1"/>
  <c r="J2775" i="1"/>
  <c r="J2776" i="1"/>
  <c r="J2777" i="1"/>
  <c r="J2778" i="1"/>
  <c r="J2779" i="1"/>
  <c r="J2780" i="1"/>
  <c r="J2781" i="1"/>
  <c r="J2782" i="1"/>
  <c r="J2783" i="1"/>
  <c r="J2784" i="1"/>
  <c r="J2785" i="1"/>
  <c r="J2786" i="1"/>
  <c r="J2787" i="1"/>
  <c r="J2788" i="1"/>
  <c r="J2789" i="1"/>
  <c r="J2790" i="1"/>
  <c r="J2791" i="1"/>
  <c r="J2792" i="1"/>
  <c r="J2793" i="1"/>
  <c r="J2794" i="1"/>
  <c r="J2795" i="1"/>
  <c r="J2796" i="1"/>
  <c r="J2797" i="1"/>
  <c r="J2798" i="1"/>
  <c r="J2799" i="1"/>
  <c r="J2800" i="1"/>
  <c r="J2801" i="1"/>
  <c r="J2802" i="1"/>
  <c r="J2803" i="1"/>
  <c r="J2804" i="1"/>
  <c r="J2805" i="1"/>
  <c r="J2806" i="1"/>
  <c r="J2807" i="1"/>
  <c r="J2808" i="1"/>
  <c r="J2809" i="1"/>
  <c r="J2810" i="1"/>
  <c r="J2811" i="1"/>
  <c r="J2812" i="1"/>
  <c r="J2813" i="1"/>
  <c r="J2814" i="1"/>
  <c r="J2815" i="1"/>
  <c r="J2816" i="1"/>
  <c r="J2817" i="1"/>
  <c r="J2818" i="1"/>
  <c r="J2819" i="1"/>
  <c r="J2820" i="1"/>
  <c r="J2821" i="1"/>
  <c r="J2822" i="1"/>
  <c r="J2823" i="1"/>
  <c r="J2824" i="1"/>
  <c r="J2825" i="1"/>
  <c r="J2826" i="1"/>
  <c r="J2827" i="1"/>
  <c r="J2828" i="1"/>
  <c r="J2829" i="1"/>
  <c r="J2830" i="1"/>
  <c r="J2831" i="1"/>
  <c r="J2832" i="1"/>
  <c r="J2833" i="1"/>
  <c r="J2834" i="1"/>
  <c r="J2835" i="1"/>
  <c r="J2836" i="1"/>
  <c r="J2837" i="1"/>
  <c r="J2838" i="1"/>
  <c r="J2839" i="1"/>
  <c r="J2840" i="1"/>
  <c r="J2841" i="1"/>
  <c r="J2842" i="1"/>
  <c r="J2843" i="1"/>
  <c r="J2844" i="1"/>
  <c r="J2845" i="1"/>
  <c r="J2846" i="1"/>
  <c r="J2847" i="1"/>
  <c r="J2848" i="1"/>
  <c r="J2849" i="1"/>
  <c r="J2850" i="1"/>
  <c r="J2851" i="1"/>
  <c r="J2852" i="1"/>
  <c r="J2853" i="1"/>
  <c r="J2854" i="1"/>
  <c r="J2855" i="1"/>
  <c r="J2856" i="1"/>
  <c r="J2857" i="1"/>
  <c r="J2858" i="1"/>
  <c r="J2859" i="1"/>
  <c r="J2860" i="1"/>
  <c r="J2861" i="1"/>
  <c r="J2862" i="1"/>
  <c r="J2863" i="1"/>
  <c r="J2864" i="1"/>
  <c r="J2865" i="1"/>
  <c r="J2866" i="1"/>
  <c r="J2867" i="1"/>
  <c r="J2868" i="1"/>
  <c r="J2869" i="1"/>
  <c r="J2870" i="1"/>
  <c r="J2871" i="1"/>
  <c r="J2872" i="1"/>
  <c r="J2873" i="1"/>
  <c r="J2874" i="1"/>
  <c r="J2875" i="1"/>
  <c r="J2876" i="1"/>
  <c r="J2877" i="1"/>
  <c r="J2878" i="1"/>
  <c r="J2879" i="1"/>
  <c r="J2880" i="1"/>
  <c r="J2881" i="1"/>
  <c r="J2882" i="1"/>
  <c r="J2883" i="1"/>
  <c r="J2884" i="1"/>
  <c r="J2885" i="1"/>
  <c r="J2886" i="1"/>
  <c r="J2887" i="1"/>
  <c r="J2888" i="1"/>
  <c r="J2889" i="1"/>
  <c r="J2890" i="1"/>
  <c r="J2891" i="1"/>
  <c r="J2892" i="1"/>
  <c r="J2893" i="1"/>
  <c r="J2894" i="1"/>
  <c r="J2895" i="1"/>
  <c r="J2896" i="1"/>
  <c r="J2897" i="1"/>
  <c r="J2898" i="1"/>
  <c r="J2899" i="1"/>
  <c r="J2900" i="1"/>
  <c r="J2901" i="1"/>
  <c r="J2902" i="1"/>
  <c r="J2903" i="1"/>
  <c r="J2904" i="1"/>
  <c r="J2905" i="1"/>
  <c r="J2906" i="1"/>
  <c r="J2907" i="1"/>
  <c r="J2908" i="1"/>
  <c r="J2909" i="1"/>
  <c r="J2910" i="1"/>
  <c r="J2911" i="1"/>
  <c r="J2912" i="1"/>
  <c r="J2913" i="1"/>
  <c r="J2914" i="1"/>
  <c r="J2915" i="1"/>
  <c r="J2916" i="1"/>
  <c r="J2917" i="1"/>
  <c r="J2918" i="1"/>
  <c r="J2919" i="1"/>
  <c r="J2920" i="1"/>
  <c r="J2921" i="1"/>
  <c r="J2922" i="1"/>
  <c r="J2923" i="1"/>
  <c r="J2924" i="1"/>
  <c r="J2925" i="1"/>
  <c r="J2926" i="1"/>
  <c r="J2927" i="1"/>
  <c r="J2928" i="1"/>
  <c r="J2929" i="1"/>
  <c r="J2930" i="1"/>
  <c r="J2931" i="1"/>
  <c r="J2932" i="1"/>
  <c r="J2933" i="1"/>
  <c r="J2934" i="1"/>
  <c r="J2935" i="1"/>
  <c r="J2936" i="1"/>
  <c r="J2937" i="1"/>
  <c r="J2938" i="1"/>
  <c r="J2939" i="1"/>
  <c r="J2940" i="1"/>
  <c r="J2941" i="1"/>
  <c r="J2942" i="1"/>
  <c r="J2943" i="1"/>
  <c r="J2944" i="1"/>
  <c r="J2945" i="1"/>
  <c r="J2946" i="1"/>
  <c r="J2947" i="1"/>
  <c r="J2948" i="1"/>
  <c r="J2949" i="1"/>
  <c r="J2950" i="1"/>
  <c r="J2951" i="1"/>
  <c r="J2952" i="1"/>
  <c r="J2953" i="1"/>
  <c r="J2954" i="1"/>
  <c r="J2955" i="1"/>
  <c r="J2956" i="1"/>
  <c r="J2957" i="1"/>
  <c r="J2958" i="1"/>
  <c r="J2959" i="1"/>
  <c r="J2960" i="1"/>
  <c r="J2961" i="1"/>
  <c r="J2962" i="1"/>
  <c r="J2963" i="1"/>
  <c r="J2964" i="1"/>
  <c r="J2965" i="1"/>
  <c r="J2966" i="1"/>
  <c r="J2967" i="1"/>
  <c r="J2968" i="1"/>
  <c r="J2969" i="1"/>
  <c r="J2970" i="1"/>
  <c r="J2971" i="1"/>
  <c r="J2972" i="1"/>
  <c r="J2973" i="1"/>
  <c r="J2974" i="1"/>
  <c r="J2975" i="1"/>
  <c r="J2976" i="1"/>
  <c r="J2977" i="1"/>
  <c r="J2978" i="1"/>
  <c r="J2979" i="1"/>
  <c r="J2980" i="1"/>
  <c r="J2981" i="1"/>
  <c r="J2982" i="1"/>
  <c r="J2983" i="1"/>
  <c r="J2984" i="1"/>
  <c r="J2985" i="1"/>
  <c r="J2986" i="1"/>
  <c r="J2987" i="1"/>
  <c r="J2988" i="1"/>
  <c r="J2989" i="1"/>
  <c r="J2990" i="1"/>
  <c r="J2991" i="1"/>
  <c r="J2992" i="1"/>
  <c r="J2993" i="1"/>
  <c r="J2994" i="1"/>
  <c r="J2995" i="1"/>
  <c r="J2996" i="1"/>
  <c r="J2997" i="1"/>
  <c r="J2998" i="1"/>
  <c r="J2999" i="1"/>
  <c r="J3000" i="1"/>
  <c r="J3001" i="1"/>
  <c r="J3002" i="1"/>
  <c r="J3003" i="1"/>
  <c r="J3004" i="1"/>
  <c r="J3005" i="1"/>
  <c r="J3006" i="1"/>
  <c r="J3007" i="1"/>
  <c r="J3008" i="1"/>
  <c r="J3009" i="1"/>
  <c r="J3010" i="1"/>
  <c r="J3011" i="1"/>
  <c r="J3012" i="1"/>
  <c r="J3013" i="1"/>
  <c r="J3014" i="1"/>
  <c r="J3015" i="1"/>
  <c r="J3016" i="1"/>
  <c r="J3017" i="1"/>
  <c r="J3018" i="1"/>
  <c r="J3019" i="1"/>
  <c r="J3020" i="1"/>
  <c r="J3021" i="1"/>
  <c r="J3022" i="1"/>
  <c r="J3023" i="1"/>
  <c r="J3024" i="1"/>
  <c r="J3025" i="1"/>
  <c r="J3026" i="1"/>
  <c r="J3027" i="1"/>
  <c r="J3028" i="1"/>
  <c r="J3029" i="1"/>
  <c r="J3030" i="1"/>
  <c r="J3031" i="1"/>
  <c r="J3032" i="1"/>
  <c r="J3033" i="1"/>
  <c r="J3034" i="1"/>
  <c r="J3035" i="1"/>
  <c r="J3036" i="1"/>
  <c r="J3037" i="1"/>
  <c r="J3038" i="1"/>
  <c r="J3039" i="1"/>
  <c r="J3040" i="1"/>
  <c r="J3041" i="1"/>
  <c r="J3042" i="1"/>
  <c r="J3043" i="1"/>
  <c r="J3044" i="1"/>
  <c r="J3045" i="1"/>
  <c r="J3046" i="1"/>
  <c r="J3047" i="1"/>
  <c r="J3048" i="1"/>
  <c r="J3049" i="1"/>
  <c r="J3050" i="1"/>
  <c r="J3051" i="1"/>
  <c r="J3052" i="1"/>
  <c r="J3053" i="1"/>
  <c r="J3054" i="1"/>
  <c r="J3055" i="1"/>
  <c r="J3056" i="1"/>
  <c r="J3057" i="1"/>
  <c r="J3058" i="1"/>
  <c r="J3059" i="1"/>
  <c r="J3060" i="1"/>
  <c r="J3061" i="1"/>
  <c r="J3062" i="1"/>
  <c r="J3063" i="1"/>
  <c r="J3064" i="1"/>
  <c r="J3065" i="1"/>
  <c r="J3066" i="1"/>
  <c r="J3067" i="1"/>
  <c r="J3068" i="1"/>
  <c r="J3069" i="1"/>
  <c r="J3070" i="1"/>
  <c r="J3071" i="1"/>
  <c r="J3072" i="1"/>
  <c r="J3073" i="1"/>
  <c r="D5" i="9"/>
  <c r="F5" i="9"/>
  <c r="E5" i="9"/>
  <c r="Z5" i="3"/>
  <c r="Z6" i="3"/>
  <c r="Z7" i="3"/>
  <c r="Z8" i="3"/>
  <c r="Z9" i="3"/>
  <c r="Z10" i="3"/>
  <c r="Z11" i="3"/>
  <c r="Z12" i="3"/>
  <c r="Z13" i="3"/>
  <c r="Z14" i="3"/>
  <c r="Z15" i="3"/>
  <c r="Z16" i="3"/>
  <c r="Z17" i="3"/>
  <c r="Z18" i="3"/>
  <c r="Z19" i="3"/>
  <c r="Z20" i="3"/>
  <c r="Z21" i="3"/>
  <c r="Z22" i="3"/>
  <c r="Z23" i="3"/>
  <c r="Z24" i="3"/>
  <c r="Z25" i="3"/>
  <c r="Z26" i="3"/>
  <c r="Z27" i="3"/>
  <c r="Z28" i="3"/>
  <c r="Z29" i="3"/>
  <c r="Z30" i="3"/>
  <c r="Z31" i="3"/>
  <c r="Z32" i="3"/>
  <c r="Z33" i="3"/>
  <c r="Z34" i="3"/>
  <c r="Z35" i="3"/>
  <c r="Z36" i="3"/>
  <c r="Z37" i="3"/>
  <c r="Z38" i="3"/>
  <c r="Z39" i="3"/>
  <c r="Z40" i="3"/>
  <c r="Z41" i="3"/>
  <c r="Z42" i="3"/>
  <c r="Z43" i="3"/>
  <c r="Z44" i="3"/>
  <c r="Z45" i="3"/>
  <c r="Z46" i="3"/>
  <c r="Z47" i="3"/>
  <c r="Z48" i="3"/>
  <c r="Z49" i="3"/>
  <c r="Z50" i="3"/>
  <c r="Z51" i="3"/>
  <c r="Z52" i="3"/>
  <c r="Z53" i="3"/>
  <c r="Z54" i="3"/>
  <c r="Z55" i="3"/>
  <c r="Z56" i="3"/>
  <c r="Z57" i="3"/>
  <c r="Z58" i="3"/>
  <c r="Z59" i="3"/>
  <c r="Z60" i="3"/>
  <c r="Z61" i="3"/>
  <c r="Z62" i="3"/>
  <c r="Z63" i="3"/>
  <c r="Z64" i="3"/>
  <c r="Z65" i="3"/>
  <c r="Z66" i="3"/>
  <c r="Z67" i="3"/>
  <c r="Z68" i="3"/>
  <c r="Z69" i="3"/>
  <c r="Z70" i="3"/>
  <c r="R5" i="3"/>
  <c r="R6" i="3"/>
  <c r="R7" i="3"/>
  <c r="R8" i="3"/>
  <c r="R9" i="3"/>
  <c r="R10" i="3"/>
  <c r="R11" i="3"/>
  <c r="R12" i="3"/>
  <c r="R13" i="3"/>
  <c r="R14" i="3"/>
  <c r="R15" i="3"/>
  <c r="R16" i="3"/>
  <c r="R17" i="3"/>
  <c r="R18" i="3"/>
  <c r="R19" i="3"/>
  <c r="R20" i="3"/>
  <c r="R21" i="3"/>
  <c r="R22" i="3"/>
  <c r="R23" i="3"/>
  <c r="R24" i="3"/>
  <c r="R25" i="3"/>
  <c r="R26" i="3"/>
  <c r="R27" i="3"/>
  <c r="R28" i="3"/>
  <c r="R29" i="3"/>
  <c r="R30" i="3"/>
  <c r="R31" i="3"/>
  <c r="R32"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Q5" i="3"/>
  <c r="Q6" i="3"/>
  <c r="Q7" i="3"/>
  <c r="Q8" i="3"/>
  <c r="Q9" i="3"/>
  <c r="Q10" i="3"/>
  <c r="Q11" i="3"/>
  <c r="Q12" i="3"/>
  <c r="Q13" i="3"/>
  <c r="Q14" i="3"/>
  <c r="Q15" i="3"/>
  <c r="Q16" i="3"/>
  <c r="Q17" i="3"/>
  <c r="Q18" i="3"/>
  <c r="Q19" i="3"/>
  <c r="Q20" i="3"/>
  <c r="Q21" i="3"/>
  <c r="Q22" i="3"/>
  <c r="Q23" i="3"/>
  <c r="Q24" i="3"/>
  <c r="Q25" i="3"/>
  <c r="Q26" i="3"/>
  <c r="Q27" i="3"/>
  <c r="Q28" i="3"/>
  <c r="Q29" i="3"/>
  <c r="Q30" i="3"/>
  <c r="Q31" i="3"/>
  <c r="Q32" i="3"/>
  <c r="Q33" i="3"/>
  <c r="Q34" i="3"/>
  <c r="Q35" i="3"/>
  <c r="Q36" i="3"/>
  <c r="Q37" i="3"/>
  <c r="Q38" i="3"/>
  <c r="Q39" i="3"/>
  <c r="Q40" i="3"/>
  <c r="Q41" i="3"/>
  <c r="Q42" i="3"/>
  <c r="Q43" i="3"/>
  <c r="Q44" i="3"/>
  <c r="Q45" i="3"/>
  <c r="Q46" i="3"/>
  <c r="Q47" i="3"/>
  <c r="Q48" i="3"/>
  <c r="Q49" i="3"/>
  <c r="Q50" i="3"/>
  <c r="Q51" i="3"/>
  <c r="Q52" i="3"/>
  <c r="Q53" i="3"/>
  <c r="Q54" i="3"/>
  <c r="Q55" i="3"/>
  <c r="Q56" i="3"/>
  <c r="Q57" i="3"/>
  <c r="Q58" i="3"/>
  <c r="Q59" i="3"/>
  <c r="Q60" i="3"/>
  <c r="Q61" i="3"/>
  <c r="Q62" i="3"/>
  <c r="Q63" i="3"/>
  <c r="Q64" i="3"/>
  <c r="Q65" i="3"/>
  <c r="Q66" i="3"/>
  <c r="Q67" i="3"/>
  <c r="Q68" i="3"/>
  <c r="Q69" i="3"/>
  <c r="Q70" i="3"/>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K1079" i="1"/>
  <c r="K1080" i="1"/>
  <c r="K1081" i="1"/>
  <c r="K1082" i="1"/>
  <c r="K1083" i="1"/>
  <c r="K1084" i="1"/>
  <c r="K1085" i="1"/>
  <c r="K1086" i="1"/>
  <c r="K1087" i="1"/>
  <c r="K1088" i="1"/>
  <c r="K1089" i="1"/>
  <c r="K1090" i="1"/>
  <c r="K1091" i="1"/>
  <c r="K1092" i="1"/>
  <c r="K1093" i="1"/>
  <c r="K1094" i="1"/>
  <c r="K1095" i="1"/>
  <c r="K1096" i="1"/>
  <c r="K1097" i="1"/>
  <c r="K1098" i="1"/>
  <c r="K1099" i="1"/>
  <c r="K1100" i="1"/>
  <c r="K1101" i="1"/>
  <c r="K1102" i="1"/>
  <c r="K1103" i="1"/>
  <c r="K1104" i="1"/>
  <c r="K1105" i="1"/>
  <c r="K1106" i="1"/>
  <c r="K1107" i="1"/>
  <c r="K1108" i="1"/>
  <c r="K1109" i="1"/>
  <c r="K1110" i="1"/>
  <c r="K1111" i="1"/>
  <c r="K1112" i="1"/>
  <c r="K1113" i="1"/>
  <c r="K1114" i="1"/>
  <c r="K1115" i="1"/>
  <c r="K1116" i="1"/>
  <c r="K1117" i="1"/>
  <c r="K1118" i="1"/>
  <c r="K1119" i="1"/>
  <c r="K1120" i="1"/>
  <c r="K1121" i="1"/>
  <c r="K1122" i="1"/>
  <c r="K1123" i="1"/>
  <c r="K1124" i="1"/>
  <c r="K1125" i="1"/>
  <c r="K1126" i="1"/>
  <c r="K1127" i="1"/>
  <c r="K1128" i="1"/>
  <c r="K1129" i="1"/>
  <c r="K1130" i="1"/>
  <c r="K1131" i="1"/>
  <c r="K1132" i="1"/>
  <c r="K1133" i="1"/>
  <c r="K1134" i="1"/>
  <c r="K1135" i="1"/>
  <c r="K1136" i="1"/>
  <c r="K1137" i="1"/>
  <c r="K1138" i="1"/>
  <c r="K1139" i="1"/>
  <c r="K1140" i="1"/>
  <c r="K1141" i="1"/>
  <c r="K1142" i="1"/>
  <c r="K1143" i="1"/>
  <c r="K1144" i="1"/>
  <c r="K1145" i="1"/>
  <c r="K1146" i="1"/>
  <c r="K1147" i="1"/>
  <c r="K1148" i="1"/>
  <c r="K1149" i="1"/>
  <c r="K1150" i="1"/>
  <c r="K1151" i="1"/>
  <c r="K1152" i="1"/>
  <c r="K1153" i="1"/>
  <c r="K1154" i="1"/>
  <c r="K1155" i="1"/>
  <c r="K1156" i="1"/>
  <c r="K1157" i="1"/>
  <c r="K1158" i="1"/>
  <c r="K1159" i="1"/>
  <c r="K1160" i="1"/>
  <c r="K1161" i="1"/>
  <c r="K1162" i="1"/>
  <c r="K1163" i="1"/>
  <c r="K1164" i="1"/>
  <c r="K1165" i="1"/>
  <c r="K1166" i="1"/>
  <c r="K1167" i="1"/>
  <c r="K1168" i="1"/>
  <c r="K1169" i="1"/>
  <c r="K1170" i="1"/>
  <c r="K1171" i="1"/>
  <c r="K1172" i="1"/>
  <c r="K1173" i="1"/>
  <c r="K1174" i="1"/>
  <c r="K1175" i="1"/>
  <c r="K1176" i="1"/>
  <c r="K1177" i="1"/>
  <c r="K1178" i="1"/>
  <c r="K1179" i="1"/>
  <c r="K1180" i="1"/>
  <c r="K1181" i="1"/>
  <c r="K1182" i="1"/>
  <c r="K1183" i="1"/>
  <c r="K1184" i="1"/>
  <c r="K1185" i="1"/>
  <c r="K1186" i="1"/>
  <c r="K1187" i="1"/>
  <c r="K1188" i="1"/>
  <c r="K1189" i="1"/>
  <c r="K1190" i="1"/>
  <c r="K1191" i="1"/>
  <c r="K1192" i="1"/>
  <c r="K1193" i="1"/>
  <c r="K1194" i="1"/>
  <c r="K1195" i="1"/>
  <c r="K1196" i="1"/>
  <c r="K1197" i="1"/>
  <c r="K1198" i="1"/>
  <c r="K1199" i="1"/>
  <c r="K1200" i="1"/>
  <c r="K1201" i="1"/>
  <c r="K1202" i="1"/>
  <c r="K1203" i="1"/>
  <c r="K1204" i="1"/>
  <c r="K1205" i="1"/>
  <c r="K1206" i="1"/>
  <c r="K1207" i="1"/>
  <c r="K1208" i="1"/>
  <c r="K1209" i="1"/>
  <c r="K1210" i="1"/>
  <c r="K1211" i="1"/>
  <c r="K1212" i="1"/>
  <c r="K1213" i="1"/>
  <c r="K1214" i="1"/>
  <c r="K1215" i="1"/>
  <c r="K1216" i="1"/>
  <c r="K1217" i="1"/>
  <c r="K1218" i="1"/>
  <c r="K1219" i="1"/>
  <c r="K1220" i="1"/>
  <c r="K1221" i="1"/>
  <c r="K1222" i="1"/>
  <c r="K1223" i="1"/>
  <c r="K1224" i="1"/>
  <c r="K1225" i="1"/>
  <c r="K1226" i="1"/>
  <c r="K1227" i="1"/>
  <c r="K1228" i="1"/>
  <c r="K1229" i="1"/>
  <c r="K1230" i="1"/>
  <c r="K1231" i="1"/>
  <c r="K1232" i="1"/>
  <c r="K1233" i="1"/>
  <c r="K1234" i="1"/>
  <c r="K1235" i="1"/>
  <c r="K1236" i="1"/>
  <c r="K1237" i="1"/>
  <c r="K1238" i="1"/>
  <c r="K1239" i="1"/>
  <c r="K1240" i="1"/>
  <c r="K1241" i="1"/>
  <c r="K1242" i="1"/>
  <c r="K1243" i="1"/>
  <c r="K1244" i="1"/>
  <c r="K1245" i="1"/>
  <c r="K1246" i="1"/>
  <c r="K1247" i="1"/>
  <c r="K1248" i="1"/>
  <c r="K1249" i="1"/>
  <c r="K1250" i="1"/>
  <c r="K1251" i="1"/>
  <c r="K1252" i="1"/>
  <c r="K1253" i="1"/>
  <c r="K1254" i="1"/>
  <c r="K1255" i="1"/>
  <c r="K1256" i="1"/>
  <c r="K1257" i="1"/>
  <c r="K1258" i="1"/>
  <c r="K1259" i="1"/>
  <c r="K1260" i="1"/>
  <c r="K1261" i="1"/>
  <c r="K1262" i="1"/>
  <c r="K1263" i="1"/>
  <c r="K1264" i="1"/>
  <c r="K1265" i="1"/>
  <c r="K1266" i="1"/>
  <c r="K1267" i="1"/>
  <c r="K1268" i="1"/>
  <c r="K1269" i="1"/>
  <c r="K1270" i="1"/>
  <c r="K1271" i="1"/>
  <c r="K1272" i="1"/>
  <c r="K1273" i="1"/>
  <c r="K1274" i="1"/>
  <c r="K1275" i="1"/>
  <c r="K1276" i="1"/>
  <c r="K1277" i="1"/>
  <c r="K1278" i="1"/>
  <c r="K1279" i="1"/>
  <c r="K1280" i="1"/>
  <c r="K1281" i="1"/>
  <c r="K1282" i="1"/>
  <c r="K1283" i="1"/>
  <c r="K1284" i="1"/>
  <c r="K1285" i="1"/>
  <c r="K1286" i="1"/>
  <c r="K1287" i="1"/>
  <c r="K1288" i="1"/>
  <c r="K1289" i="1"/>
  <c r="K1290" i="1"/>
  <c r="K1291" i="1"/>
  <c r="K1292" i="1"/>
  <c r="K1293" i="1"/>
  <c r="K1294" i="1"/>
  <c r="K1295" i="1"/>
  <c r="K1296" i="1"/>
  <c r="K1297" i="1"/>
  <c r="K1298" i="1"/>
  <c r="K1299" i="1"/>
  <c r="K1300" i="1"/>
  <c r="K1301" i="1"/>
  <c r="K1302" i="1"/>
  <c r="K1303" i="1"/>
  <c r="K1304" i="1"/>
  <c r="K1305" i="1"/>
  <c r="K1306" i="1"/>
  <c r="K1307" i="1"/>
  <c r="K1308" i="1"/>
  <c r="K1309" i="1"/>
  <c r="K1310" i="1"/>
  <c r="K1311" i="1"/>
  <c r="K1312" i="1"/>
  <c r="K1313" i="1"/>
  <c r="K1314" i="1"/>
  <c r="K1315" i="1"/>
  <c r="K1316" i="1"/>
  <c r="K1317" i="1"/>
  <c r="K1318" i="1"/>
  <c r="K1319" i="1"/>
  <c r="K1320" i="1"/>
  <c r="K1321" i="1"/>
  <c r="K1322" i="1"/>
  <c r="K1323" i="1"/>
  <c r="K1324" i="1"/>
  <c r="K1325" i="1"/>
  <c r="K1326" i="1"/>
  <c r="K1327" i="1"/>
  <c r="K1328" i="1"/>
  <c r="K1329" i="1"/>
  <c r="K1330" i="1"/>
  <c r="K1331" i="1"/>
  <c r="K1332" i="1"/>
  <c r="K1333" i="1"/>
  <c r="K1334" i="1"/>
  <c r="K1335" i="1"/>
  <c r="K1336" i="1"/>
  <c r="K1337" i="1"/>
  <c r="K1338" i="1"/>
  <c r="K1339" i="1"/>
  <c r="K1340" i="1"/>
  <c r="K1341" i="1"/>
  <c r="K1342" i="1"/>
  <c r="K1343" i="1"/>
  <c r="K1344" i="1"/>
  <c r="K1345" i="1"/>
  <c r="K1346" i="1"/>
  <c r="K1347" i="1"/>
  <c r="K1348" i="1"/>
  <c r="K1349" i="1"/>
  <c r="K1350" i="1"/>
  <c r="K1351" i="1"/>
  <c r="K1352" i="1"/>
  <c r="K1353" i="1"/>
  <c r="K1354" i="1"/>
  <c r="K1355" i="1"/>
  <c r="K1356" i="1"/>
  <c r="K1357" i="1"/>
  <c r="K1358" i="1"/>
  <c r="K1359" i="1"/>
  <c r="K1360" i="1"/>
  <c r="K1361" i="1"/>
  <c r="K1362" i="1"/>
  <c r="K1363" i="1"/>
  <c r="K1364" i="1"/>
  <c r="K1365" i="1"/>
  <c r="K1366" i="1"/>
  <c r="K1367" i="1"/>
  <c r="K1368" i="1"/>
  <c r="K1369" i="1"/>
  <c r="K1370" i="1"/>
  <c r="K1371" i="1"/>
  <c r="K1372" i="1"/>
  <c r="K1373" i="1"/>
  <c r="K1374" i="1"/>
  <c r="K1375" i="1"/>
  <c r="K1376" i="1"/>
  <c r="K1377" i="1"/>
  <c r="K1378" i="1"/>
  <c r="K1379" i="1"/>
  <c r="K1380" i="1"/>
  <c r="K1381" i="1"/>
  <c r="K1382" i="1"/>
  <c r="K1383" i="1"/>
  <c r="K1384" i="1"/>
  <c r="K1385" i="1"/>
  <c r="K1386" i="1"/>
  <c r="K1387" i="1"/>
  <c r="K1388" i="1"/>
  <c r="K1389" i="1"/>
  <c r="K1390" i="1"/>
  <c r="K1391" i="1"/>
  <c r="K1392" i="1"/>
  <c r="K1393" i="1"/>
  <c r="K1394" i="1"/>
  <c r="K1395" i="1"/>
  <c r="K1396" i="1"/>
  <c r="K1397" i="1"/>
  <c r="K1398" i="1"/>
  <c r="K1399" i="1"/>
  <c r="K1400" i="1"/>
  <c r="K1401" i="1"/>
  <c r="K1402" i="1"/>
  <c r="K1403" i="1"/>
  <c r="K1404" i="1"/>
  <c r="K1405" i="1"/>
  <c r="K1406" i="1"/>
  <c r="K1407" i="1"/>
  <c r="K1408" i="1"/>
  <c r="K1409" i="1"/>
  <c r="K1410" i="1"/>
  <c r="K1411" i="1"/>
  <c r="K1412" i="1"/>
  <c r="K1413" i="1"/>
  <c r="K1414" i="1"/>
  <c r="K1415" i="1"/>
  <c r="K1416" i="1"/>
  <c r="K1417" i="1"/>
  <c r="K1418" i="1"/>
  <c r="K1419" i="1"/>
  <c r="K1420" i="1"/>
  <c r="K1421" i="1"/>
  <c r="K1422" i="1"/>
  <c r="K1423" i="1"/>
  <c r="K1424" i="1"/>
  <c r="K1425" i="1"/>
  <c r="K1426" i="1"/>
  <c r="K1427" i="1"/>
  <c r="K1428" i="1"/>
  <c r="K1429" i="1"/>
  <c r="K1430" i="1"/>
  <c r="K1431" i="1"/>
  <c r="K1432" i="1"/>
  <c r="K1433" i="1"/>
  <c r="K1434" i="1"/>
  <c r="K1435" i="1"/>
  <c r="K1436" i="1"/>
  <c r="K1437" i="1"/>
  <c r="K1438" i="1"/>
  <c r="K1439" i="1"/>
  <c r="K1440" i="1"/>
  <c r="K1441" i="1"/>
  <c r="K1442" i="1"/>
  <c r="K1443" i="1"/>
  <c r="K1444" i="1"/>
  <c r="K1445" i="1"/>
  <c r="K1446" i="1"/>
  <c r="K1447" i="1"/>
  <c r="K1448" i="1"/>
  <c r="K1449" i="1"/>
  <c r="K1450" i="1"/>
  <c r="K1451" i="1"/>
  <c r="K1452" i="1"/>
  <c r="K1453" i="1"/>
  <c r="K1454" i="1"/>
  <c r="K1455" i="1"/>
  <c r="K1456" i="1"/>
  <c r="K1457" i="1"/>
  <c r="K1458" i="1"/>
  <c r="K1459" i="1"/>
  <c r="K1460" i="1"/>
  <c r="K1461" i="1"/>
  <c r="K1462" i="1"/>
  <c r="K1463" i="1"/>
  <c r="K1464" i="1"/>
  <c r="K1465" i="1"/>
  <c r="K1466" i="1"/>
  <c r="K1467" i="1"/>
  <c r="K1468" i="1"/>
  <c r="K1469" i="1"/>
  <c r="K1470" i="1"/>
  <c r="K1471" i="1"/>
  <c r="K1472" i="1"/>
  <c r="K1473" i="1"/>
  <c r="K1474" i="1"/>
  <c r="K1475" i="1"/>
  <c r="K1476" i="1"/>
  <c r="K1477" i="1"/>
  <c r="K1478" i="1"/>
  <c r="K1479" i="1"/>
  <c r="K1480" i="1"/>
  <c r="K1481" i="1"/>
  <c r="K1482" i="1"/>
  <c r="K1483" i="1"/>
  <c r="K1484" i="1"/>
  <c r="K1485" i="1"/>
  <c r="K1486" i="1"/>
  <c r="K1487" i="1"/>
  <c r="K1488" i="1"/>
  <c r="K1489" i="1"/>
  <c r="K1490" i="1"/>
  <c r="K1491" i="1"/>
  <c r="K1492" i="1"/>
  <c r="K1493" i="1"/>
  <c r="K1494" i="1"/>
  <c r="K1495" i="1"/>
  <c r="K1496" i="1"/>
  <c r="K1497" i="1"/>
  <c r="K1498" i="1"/>
  <c r="K1499" i="1"/>
  <c r="K1500" i="1"/>
  <c r="K1501" i="1"/>
  <c r="K1502" i="1"/>
  <c r="K1503" i="1"/>
  <c r="K1504" i="1"/>
  <c r="K1505" i="1"/>
  <c r="K1506" i="1"/>
  <c r="K1507" i="1"/>
  <c r="K1508" i="1"/>
  <c r="K1509" i="1"/>
  <c r="K1510" i="1"/>
  <c r="K1511" i="1"/>
  <c r="K1512" i="1"/>
  <c r="K1513" i="1"/>
  <c r="K1514" i="1"/>
  <c r="K1515" i="1"/>
  <c r="K1516" i="1"/>
  <c r="K1517" i="1"/>
  <c r="K1518" i="1"/>
  <c r="K1519" i="1"/>
  <c r="K1520" i="1"/>
  <c r="K1521" i="1"/>
  <c r="K1522" i="1"/>
  <c r="K1523" i="1"/>
  <c r="K1524" i="1"/>
  <c r="K1525" i="1"/>
  <c r="K1526" i="1"/>
  <c r="K1527" i="1"/>
  <c r="K1528" i="1"/>
  <c r="K1529" i="1"/>
  <c r="K1530" i="1"/>
  <c r="K1531" i="1"/>
  <c r="K1532" i="1"/>
  <c r="K1533" i="1"/>
  <c r="K1534" i="1"/>
  <c r="K1535" i="1"/>
  <c r="K1536" i="1"/>
  <c r="K1537" i="1"/>
  <c r="K1538" i="1"/>
  <c r="K1539" i="1"/>
  <c r="K1540" i="1"/>
  <c r="K1541" i="1"/>
  <c r="K1542" i="1"/>
  <c r="K1543" i="1"/>
  <c r="K1544" i="1"/>
  <c r="K1545" i="1"/>
  <c r="K1546" i="1"/>
  <c r="K1547" i="1"/>
  <c r="K1548" i="1"/>
  <c r="K1549" i="1"/>
  <c r="K1550" i="1"/>
  <c r="K1551" i="1"/>
  <c r="K1552" i="1"/>
  <c r="K1553" i="1"/>
  <c r="K1554" i="1"/>
  <c r="K1555" i="1"/>
  <c r="K1556" i="1"/>
  <c r="K1557" i="1"/>
  <c r="K1558" i="1"/>
  <c r="K1559" i="1"/>
  <c r="K1560" i="1"/>
  <c r="K1561" i="1"/>
  <c r="K1562" i="1"/>
  <c r="K1563" i="1"/>
  <c r="K1564" i="1"/>
  <c r="K1565" i="1"/>
  <c r="K1566" i="1"/>
  <c r="K1567" i="1"/>
  <c r="K1568" i="1"/>
  <c r="K1569" i="1"/>
  <c r="K1570" i="1"/>
  <c r="K1571" i="1"/>
  <c r="K1572" i="1"/>
  <c r="K1573" i="1"/>
  <c r="K1574" i="1"/>
  <c r="K1575" i="1"/>
  <c r="K1576" i="1"/>
  <c r="K1577" i="1"/>
  <c r="K1578" i="1"/>
  <c r="K1579" i="1"/>
  <c r="K1580" i="1"/>
  <c r="K1581" i="1"/>
  <c r="K1582" i="1"/>
  <c r="K1583" i="1"/>
  <c r="K1584" i="1"/>
  <c r="K1585" i="1"/>
  <c r="K1586" i="1"/>
  <c r="K1587" i="1"/>
  <c r="K1588" i="1"/>
  <c r="K1589" i="1"/>
  <c r="K1590" i="1"/>
  <c r="K1591" i="1"/>
  <c r="K1592" i="1"/>
  <c r="K1593" i="1"/>
  <c r="K1594" i="1"/>
  <c r="K1595" i="1"/>
  <c r="K1596" i="1"/>
  <c r="K1597" i="1"/>
  <c r="K1598" i="1"/>
  <c r="K1599" i="1"/>
  <c r="K1600" i="1"/>
  <c r="K1601" i="1"/>
  <c r="K1602" i="1"/>
  <c r="K1603" i="1"/>
  <c r="K1604" i="1"/>
  <c r="K1605" i="1"/>
  <c r="K1606" i="1"/>
  <c r="K1607" i="1"/>
  <c r="K1608" i="1"/>
  <c r="K1609" i="1"/>
  <c r="K1610" i="1"/>
  <c r="K1611" i="1"/>
  <c r="K1612" i="1"/>
  <c r="K1613" i="1"/>
  <c r="K1614" i="1"/>
  <c r="K1615" i="1"/>
  <c r="K1616" i="1"/>
  <c r="K1617" i="1"/>
  <c r="K1618" i="1"/>
  <c r="K1619" i="1"/>
  <c r="K1620" i="1"/>
  <c r="K1621" i="1"/>
  <c r="K1622" i="1"/>
  <c r="K1623" i="1"/>
  <c r="K1624" i="1"/>
  <c r="K1625" i="1"/>
  <c r="K1626" i="1"/>
  <c r="K1627" i="1"/>
  <c r="K1628" i="1"/>
  <c r="K1629" i="1"/>
  <c r="K1630" i="1"/>
  <c r="K1631" i="1"/>
  <c r="K1632" i="1"/>
  <c r="K1633" i="1"/>
  <c r="K1634" i="1"/>
  <c r="K1635" i="1"/>
  <c r="K1636" i="1"/>
  <c r="K1637" i="1"/>
  <c r="K1638" i="1"/>
  <c r="K1639" i="1"/>
  <c r="K1640" i="1"/>
  <c r="K1641" i="1"/>
  <c r="K1642" i="1"/>
  <c r="K1643" i="1"/>
  <c r="K1644" i="1"/>
  <c r="K1645" i="1"/>
  <c r="K1646" i="1"/>
  <c r="K1647" i="1"/>
  <c r="K1648" i="1"/>
  <c r="K1649" i="1"/>
  <c r="K1650" i="1"/>
  <c r="K1651" i="1"/>
  <c r="K1652" i="1"/>
  <c r="K1653" i="1"/>
  <c r="K1654" i="1"/>
  <c r="K1655" i="1"/>
  <c r="K1656" i="1"/>
  <c r="K1657" i="1"/>
  <c r="K1658" i="1"/>
  <c r="K1659" i="1"/>
  <c r="K1660" i="1"/>
  <c r="K1661" i="1"/>
  <c r="K1662" i="1"/>
  <c r="K1663" i="1"/>
  <c r="K1664" i="1"/>
  <c r="K1665" i="1"/>
  <c r="K1666" i="1"/>
  <c r="K1667" i="1"/>
  <c r="K1668" i="1"/>
  <c r="K1669" i="1"/>
  <c r="K1670" i="1"/>
  <c r="K1671" i="1"/>
  <c r="K1672" i="1"/>
  <c r="K1673" i="1"/>
  <c r="K1674" i="1"/>
  <c r="K1675" i="1"/>
  <c r="K1676" i="1"/>
  <c r="K1677" i="1"/>
  <c r="K1678" i="1"/>
  <c r="K1679" i="1"/>
  <c r="K1680" i="1"/>
  <c r="K1681" i="1"/>
  <c r="K1682" i="1"/>
  <c r="K1683" i="1"/>
  <c r="K1684" i="1"/>
  <c r="K1685" i="1"/>
  <c r="K1686" i="1"/>
  <c r="K1687" i="1"/>
  <c r="K1688" i="1"/>
  <c r="K1689" i="1"/>
  <c r="K1690" i="1"/>
  <c r="K1691" i="1"/>
  <c r="K1692" i="1"/>
  <c r="K1693" i="1"/>
  <c r="K1694" i="1"/>
  <c r="K1695" i="1"/>
  <c r="K1696" i="1"/>
  <c r="K1697" i="1"/>
  <c r="K1698" i="1"/>
  <c r="K1699" i="1"/>
  <c r="K1700" i="1"/>
  <c r="K1701" i="1"/>
  <c r="K1702" i="1"/>
  <c r="K1703" i="1"/>
  <c r="K1704" i="1"/>
  <c r="K1705" i="1"/>
  <c r="K1706" i="1"/>
  <c r="K1707" i="1"/>
  <c r="K1708" i="1"/>
  <c r="K1709" i="1"/>
  <c r="K1710" i="1"/>
  <c r="K1711" i="1"/>
  <c r="K1712" i="1"/>
  <c r="K1713" i="1"/>
  <c r="K1714" i="1"/>
  <c r="K1715" i="1"/>
  <c r="K1716" i="1"/>
  <c r="K1717" i="1"/>
  <c r="K1718" i="1"/>
  <c r="K1719" i="1"/>
  <c r="K1720" i="1"/>
  <c r="K1721" i="1"/>
  <c r="K1722" i="1"/>
  <c r="K1723" i="1"/>
  <c r="K1724" i="1"/>
  <c r="K1725" i="1"/>
  <c r="K1726" i="1"/>
  <c r="K1727" i="1"/>
  <c r="K1728" i="1"/>
  <c r="K1729" i="1"/>
  <c r="K1730" i="1"/>
  <c r="K1731" i="1"/>
  <c r="K1732" i="1"/>
  <c r="K1733" i="1"/>
  <c r="K1734" i="1"/>
  <c r="K1735" i="1"/>
  <c r="K1736" i="1"/>
  <c r="K1737" i="1"/>
  <c r="K1738" i="1"/>
  <c r="K1739" i="1"/>
  <c r="K1740" i="1"/>
  <c r="K1741" i="1"/>
  <c r="K1742" i="1"/>
  <c r="K1743" i="1"/>
  <c r="K1744" i="1"/>
  <c r="K1745" i="1"/>
  <c r="K1746" i="1"/>
  <c r="K1747" i="1"/>
  <c r="K1748" i="1"/>
  <c r="K1749" i="1"/>
  <c r="K1750" i="1"/>
  <c r="K1751" i="1"/>
  <c r="K1752" i="1"/>
  <c r="K1753" i="1"/>
  <c r="K1754" i="1"/>
  <c r="K1755" i="1"/>
  <c r="K1756" i="1"/>
  <c r="K1757" i="1"/>
  <c r="K1758" i="1"/>
  <c r="K1759" i="1"/>
  <c r="K1760" i="1"/>
  <c r="K1761" i="1"/>
  <c r="K1762" i="1"/>
  <c r="K1763" i="1"/>
  <c r="K1764" i="1"/>
  <c r="K1765" i="1"/>
  <c r="K1766" i="1"/>
  <c r="K1767" i="1"/>
  <c r="K1768" i="1"/>
  <c r="K1769" i="1"/>
  <c r="K1770" i="1"/>
  <c r="K1771" i="1"/>
  <c r="K1772" i="1"/>
  <c r="K1773" i="1"/>
  <c r="K1774" i="1"/>
  <c r="K1775" i="1"/>
  <c r="K1776" i="1"/>
  <c r="K1777" i="1"/>
  <c r="K1778" i="1"/>
  <c r="K1779" i="1"/>
  <c r="K1780" i="1"/>
  <c r="K1781" i="1"/>
  <c r="K1782" i="1"/>
  <c r="K1783" i="1"/>
  <c r="K1784" i="1"/>
  <c r="K1785" i="1"/>
  <c r="K1786" i="1"/>
  <c r="K1787" i="1"/>
  <c r="K1788" i="1"/>
  <c r="K1789" i="1"/>
  <c r="K1790" i="1"/>
  <c r="K1791" i="1"/>
  <c r="K1792" i="1"/>
  <c r="K1793" i="1"/>
  <c r="K1794" i="1"/>
  <c r="K1795" i="1"/>
  <c r="K1796" i="1"/>
  <c r="K1797" i="1"/>
  <c r="K1798" i="1"/>
  <c r="K1799" i="1"/>
  <c r="K1800" i="1"/>
  <c r="K1801" i="1"/>
  <c r="K1802" i="1"/>
  <c r="K1803" i="1"/>
  <c r="K1804" i="1"/>
  <c r="K1805" i="1"/>
  <c r="K1806" i="1"/>
  <c r="K1807" i="1"/>
  <c r="K1808" i="1"/>
  <c r="K1809" i="1"/>
  <c r="K1810" i="1"/>
  <c r="K1811" i="1"/>
  <c r="K1812" i="1"/>
  <c r="K1813" i="1"/>
  <c r="K1814" i="1"/>
  <c r="K1815" i="1"/>
  <c r="K1816" i="1"/>
  <c r="K1817" i="1"/>
  <c r="K1818" i="1"/>
  <c r="K1819" i="1"/>
  <c r="K1820" i="1"/>
  <c r="K1821" i="1"/>
  <c r="K1822" i="1"/>
  <c r="K1823" i="1"/>
  <c r="K1824" i="1"/>
  <c r="K1825" i="1"/>
  <c r="K1826" i="1"/>
  <c r="K1827" i="1"/>
  <c r="K1828" i="1"/>
  <c r="K1829" i="1"/>
  <c r="K1830" i="1"/>
  <c r="K1831" i="1"/>
  <c r="K1832" i="1"/>
  <c r="K1833" i="1"/>
  <c r="K1834" i="1"/>
  <c r="K1835" i="1"/>
  <c r="K1836" i="1"/>
  <c r="K1837" i="1"/>
  <c r="K1838" i="1"/>
  <c r="K1839" i="1"/>
  <c r="K1840" i="1"/>
  <c r="K1841" i="1"/>
  <c r="K1842" i="1"/>
  <c r="K1843" i="1"/>
  <c r="K1844" i="1"/>
  <c r="K1845" i="1"/>
  <c r="K1846" i="1"/>
  <c r="K1847" i="1"/>
  <c r="K1848" i="1"/>
  <c r="K1849" i="1"/>
  <c r="K1850" i="1"/>
  <c r="K1851" i="1"/>
  <c r="K1852" i="1"/>
  <c r="K1853" i="1"/>
  <c r="K1854" i="1"/>
  <c r="K1855" i="1"/>
  <c r="K1856" i="1"/>
  <c r="K1857" i="1"/>
  <c r="K1858" i="1"/>
  <c r="K1859" i="1"/>
  <c r="K1860" i="1"/>
  <c r="K1861" i="1"/>
  <c r="K1862" i="1"/>
  <c r="K1863" i="1"/>
  <c r="K1864" i="1"/>
  <c r="K1865" i="1"/>
  <c r="K1866" i="1"/>
  <c r="K1867" i="1"/>
  <c r="K1868" i="1"/>
  <c r="K1869" i="1"/>
  <c r="K1870" i="1"/>
  <c r="K1871" i="1"/>
  <c r="K1872" i="1"/>
  <c r="K1873" i="1"/>
  <c r="K1874" i="1"/>
  <c r="K1875" i="1"/>
  <c r="K1876" i="1"/>
  <c r="K1877" i="1"/>
  <c r="K1878" i="1"/>
  <c r="K1879" i="1"/>
  <c r="K1880" i="1"/>
  <c r="K1881" i="1"/>
  <c r="K1882" i="1"/>
  <c r="K1883" i="1"/>
  <c r="K1884" i="1"/>
  <c r="K1885" i="1"/>
  <c r="K1886" i="1"/>
  <c r="K1887" i="1"/>
  <c r="K1888" i="1"/>
  <c r="K1889" i="1"/>
  <c r="K1890" i="1"/>
  <c r="K1891" i="1"/>
  <c r="K1892" i="1"/>
  <c r="K1893" i="1"/>
  <c r="K1894" i="1"/>
  <c r="K1895" i="1"/>
  <c r="K1896" i="1"/>
  <c r="K1897" i="1"/>
  <c r="K1898" i="1"/>
  <c r="K1899" i="1"/>
  <c r="K1900" i="1"/>
  <c r="K1901" i="1"/>
  <c r="K1902" i="1"/>
  <c r="K1903" i="1"/>
  <c r="K1904" i="1"/>
  <c r="K1905" i="1"/>
  <c r="K1906" i="1"/>
  <c r="K1907" i="1"/>
  <c r="K1908" i="1"/>
  <c r="K1909" i="1"/>
  <c r="K1910" i="1"/>
  <c r="K1911" i="1"/>
  <c r="K1912" i="1"/>
  <c r="K1913" i="1"/>
  <c r="K1914" i="1"/>
  <c r="K1915" i="1"/>
  <c r="K1916" i="1"/>
  <c r="K1917" i="1"/>
  <c r="K1918" i="1"/>
  <c r="K1919" i="1"/>
  <c r="K1920" i="1"/>
  <c r="K1921" i="1"/>
  <c r="K1922" i="1"/>
  <c r="K1923" i="1"/>
  <c r="K1924" i="1"/>
  <c r="K1925" i="1"/>
  <c r="K1926" i="1"/>
  <c r="K1927" i="1"/>
  <c r="K1928" i="1"/>
  <c r="K1929" i="1"/>
  <c r="K1930" i="1"/>
  <c r="K1931" i="1"/>
  <c r="K1932" i="1"/>
  <c r="K1933" i="1"/>
  <c r="K1934" i="1"/>
  <c r="K1935" i="1"/>
  <c r="K1936" i="1"/>
  <c r="K1937" i="1"/>
  <c r="K1938" i="1"/>
  <c r="K1939" i="1"/>
  <c r="K1940" i="1"/>
  <c r="K1941" i="1"/>
  <c r="K1942" i="1"/>
  <c r="K1943" i="1"/>
  <c r="K1944" i="1"/>
  <c r="K1945" i="1"/>
  <c r="K1946" i="1"/>
  <c r="K1947" i="1"/>
  <c r="K1948" i="1"/>
  <c r="K1949" i="1"/>
  <c r="K1950" i="1"/>
  <c r="K1951" i="1"/>
  <c r="K1952" i="1"/>
  <c r="K1953" i="1"/>
  <c r="K1954" i="1"/>
  <c r="K1955" i="1"/>
  <c r="K1956" i="1"/>
  <c r="K1957" i="1"/>
  <c r="K1958" i="1"/>
  <c r="K1959" i="1"/>
  <c r="K1960" i="1"/>
  <c r="K1961" i="1"/>
  <c r="K1962" i="1"/>
  <c r="K1963" i="1"/>
  <c r="K1964" i="1"/>
  <c r="K1965" i="1"/>
  <c r="K1966" i="1"/>
  <c r="K1967" i="1"/>
  <c r="K1968" i="1"/>
  <c r="K1969" i="1"/>
  <c r="K1970" i="1"/>
  <c r="K1971" i="1"/>
  <c r="K1972" i="1"/>
  <c r="K1973" i="1"/>
  <c r="K1974" i="1"/>
  <c r="K1975" i="1"/>
  <c r="K1976" i="1"/>
  <c r="K1977" i="1"/>
  <c r="K1978" i="1"/>
  <c r="K1979" i="1"/>
  <c r="K1980" i="1"/>
  <c r="K1981" i="1"/>
  <c r="K1982" i="1"/>
  <c r="K1983" i="1"/>
  <c r="K1984" i="1"/>
  <c r="K1985" i="1"/>
  <c r="K1986" i="1"/>
  <c r="K1987" i="1"/>
  <c r="K1988" i="1"/>
  <c r="K1989" i="1"/>
  <c r="K1990" i="1"/>
  <c r="K1991" i="1"/>
  <c r="K1992" i="1"/>
  <c r="K1993" i="1"/>
  <c r="K1994" i="1"/>
  <c r="K1995" i="1"/>
  <c r="K1996" i="1"/>
  <c r="K1997" i="1"/>
  <c r="K1998" i="1"/>
  <c r="K1999" i="1"/>
  <c r="K2000" i="1"/>
  <c r="K2001" i="1"/>
  <c r="K2002" i="1"/>
  <c r="K2003" i="1"/>
  <c r="K2004" i="1"/>
  <c r="K2005" i="1"/>
  <c r="K2006" i="1"/>
  <c r="K2007" i="1"/>
  <c r="K2008" i="1"/>
  <c r="K2009" i="1"/>
  <c r="K2010" i="1"/>
  <c r="K2011" i="1"/>
  <c r="K2012" i="1"/>
  <c r="K2013" i="1"/>
  <c r="K2014" i="1"/>
  <c r="K2015" i="1"/>
  <c r="K2016" i="1"/>
  <c r="K2017" i="1"/>
  <c r="K2018" i="1"/>
  <c r="K2019" i="1"/>
  <c r="K2020" i="1"/>
  <c r="K2021" i="1"/>
  <c r="K2022" i="1"/>
  <c r="K2023" i="1"/>
  <c r="K2024" i="1"/>
  <c r="K2025" i="1"/>
  <c r="K2026" i="1"/>
  <c r="K2027" i="1"/>
  <c r="K2028" i="1"/>
  <c r="K2029" i="1"/>
  <c r="K2030" i="1"/>
  <c r="K2031" i="1"/>
  <c r="K2032" i="1"/>
  <c r="K2033" i="1"/>
  <c r="K2034" i="1"/>
  <c r="K2035" i="1"/>
  <c r="K2036" i="1"/>
  <c r="K2037" i="1"/>
  <c r="K2038" i="1"/>
  <c r="K2039" i="1"/>
  <c r="K2040" i="1"/>
  <c r="K2041" i="1"/>
  <c r="K2042" i="1"/>
  <c r="K2043" i="1"/>
  <c r="K2044" i="1"/>
  <c r="K2045" i="1"/>
  <c r="K2046" i="1"/>
  <c r="K2047" i="1"/>
  <c r="K2048" i="1"/>
  <c r="K2049" i="1"/>
  <c r="K2050" i="1"/>
  <c r="K2051" i="1"/>
  <c r="K2052" i="1"/>
  <c r="K2053" i="1"/>
  <c r="K2054" i="1"/>
  <c r="K2055" i="1"/>
  <c r="K2056" i="1"/>
  <c r="K2057" i="1"/>
  <c r="K2058" i="1"/>
  <c r="K2059" i="1"/>
  <c r="K2060" i="1"/>
  <c r="K2061" i="1"/>
  <c r="K2062" i="1"/>
  <c r="K2063" i="1"/>
  <c r="K2064" i="1"/>
  <c r="K2065" i="1"/>
  <c r="K2066" i="1"/>
  <c r="K2067" i="1"/>
  <c r="K2068" i="1"/>
  <c r="K2069" i="1"/>
  <c r="K2070" i="1"/>
  <c r="K2071" i="1"/>
  <c r="K2072" i="1"/>
  <c r="K2073" i="1"/>
  <c r="K2074" i="1"/>
  <c r="K2075" i="1"/>
  <c r="K2076" i="1"/>
  <c r="K2077" i="1"/>
  <c r="K2078" i="1"/>
  <c r="K2079" i="1"/>
  <c r="K2080" i="1"/>
  <c r="K2081" i="1"/>
  <c r="K2082" i="1"/>
  <c r="K2083" i="1"/>
  <c r="K2084" i="1"/>
  <c r="K2085" i="1"/>
  <c r="K2086" i="1"/>
  <c r="K2087" i="1"/>
  <c r="K2088" i="1"/>
  <c r="K2089" i="1"/>
  <c r="K2090" i="1"/>
  <c r="K2091" i="1"/>
  <c r="K2092" i="1"/>
  <c r="K2093" i="1"/>
  <c r="K2094" i="1"/>
  <c r="K2095" i="1"/>
  <c r="K2096" i="1"/>
  <c r="K2097" i="1"/>
  <c r="K2098" i="1"/>
  <c r="K2099" i="1"/>
  <c r="K2100" i="1"/>
  <c r="K2101" i="1"/>
  <c r="K2102" i="1"/>
  <c r="K2103" i="1"/>
  <c r="K2104" i="1"/>
  <c r="K2105" i="1"/>
  <c r="K2106" i="1"/>
  <c r="K2107" i="1"/>
  <c r="K2108" i="1"/>
  <c r="K2109" i="1"/>
  <c r="K2110" i="1"/>
  <c r="K2111" i="1"/>
  <c r="K2112" i="1"/>
  <c r="K2113" i="1"/>
  <c r="K2114" i="1"/>
  <c r="K2115" i="1"/>
  <c r="K2116" i="1"/>
  <c r="K2117" i="1"/>
  <c r="K2118" i="1"/>
  <c r="K2119" i="1"/>
  <c r="K2120" i="1"/>
  <c r="K2121" i="1"/>
  <c r="K2122" i="1"/>
  <c r="K2123" i="1"/>
  <c r="K2124" i="1"/>
  <c r="K2125" i="1"/>
  <c r="K2126" i="1"/>
  <c r="K2127" i="1"/>
  <c r="K2128" i="1"/>
  <c r="K2129" i="1"/>
  <c r="K2130" i="1"/>
  <c r="K2131" i="1"/>
  <c r="K2132" i="1"/>
  <c r="K2133" i="1"/>
  <c r="K2134" i="1"/>
  <c r="K2135" i="1"/>
  <c r="K2136" i="1"/>
  <c r="K2137" i="1"/>
  <c r="K2138" i="1"/>
  <c r="K2139" i="1"/>
  <c r="K2140" i="1"/>
  <c r="K2141" i="1"/>
  <c r="K2142" i="1"/>
  <c r="K2143" i="1"/>
  <c r="K2144" i="1"/>
  <c r="K2145" i="1"/>
  <c r="K2146" i="1"/>
  <c r="K2147" i="1"/>
  <c r="K2148" i="1"/>
  <c r="K2149" i="1"/>
  <c r="K2150" i="1"/>
  <c r="K2151" i="1"/>
  <c r="K2152" i="1"/>
  <c r="K2153" i="1"/>
  <c r="K2154" i="1"/>
  <c r="K2155" i="1"/>
  <c r="K2156" i="1"/>
  <c r="K2157" i="1"/>
  <c r="K2158" i="1"/>
  <c r="K2159" i="1"/>
  <c r="K2160" i="1"/>
  <c r="K2161" i="1"/>
  <c r="K2162" i="1"/>
  <c r="K2163" i="1"/>
  <c r="K2164" i="1"/>
  <c r="K2165" i="1"/>
  <c r="K2166" i="1"/>
  <c r="K2167" i="1"/>
  <c r="K2168" i="1"/>
  <c r="K2169" i="1"/>
  <c r="K2170" i="1"/>
  <c r="K2171" i="1"/>
  <c r="K2172" i="1"/>
  <c r="K2173" i="1"/>
  <c r="K2174" i="1"/>
  <c r="K2175" i="1"/>
  <c r="K2176" i="1"/>
  <c r="K2177" i="1"/>
  <c r="K2178" i="1"/>
  <c r="K2179" i="1"/>
  <c r="K2180" i="1"/>
  <c r="K2181" i="1"/>
  <c r="K2182" i="1"/>
  <c r="K2183" i="1"/>
  <c r="K2184" i="1"/>
  <c r="K2185" i="1"/>
  <c r="K2186" i="1"/>
  <c r="K2187" i="1"/>
  <c r="K2188" i="1"/>
  <c r="K2189" i="1"/>
  <c r="K2190" i="1"/>
  <c r="K2191" i="1"/>
  <c r="K2192" i="1"/>
  <c r="K2193" i="1"/>
  <c r="K2194" i="1"/>
  <c r="K2195" i="1"/>
  <c r="K2196" i="1"/>
  <c r="K2197" i="1"/>
  <c r="K2198" i="1"/>
  <c r="K2199" i="1"/>
  <c r="K2200" i="1"/>
  <c r="K2201" i="1"/>
  <c r="K2202" i="1"/>
  <c r="K2203" i="1"/>
  <c r="K2204" i="1"/>
  <c r="K2205" i="1"/>
  <c r="K2206" i="1"/>
  <c r="K2207" i="1"/>
  <c r="K2208" i="1"/>
  <c r="K2209" i="1"/>
  <c r="K2210" i="1"/>
  <c r="K2211" i="1"/>
  <c r="K2212" i="1"/>
  <c r="K2213" i="1"/>
  <c r="K2214" i="1"/>
  <c r="K2215" i="1"/>
  <c r="K2216" i="1"/>
  <c r="K2217" i="1"/>
  <c r="K2218" i="1"/>
  <c r="K2219" i="1"/>
  <c r="K2220" i="1"/>
  <c r="K2221" i="1"/>
  <c r="K2222" i="1"/>
  <c r="K2223" i="1"/>
  <c r="K2224" i="1"/>
  <c r="K2225" i="1"/>
  <c r="K2226" i="1"/>
  <c r="K2227" i="1"/>
  <c r="K2228" i="1"/>
  <c r="K2229" i="1"/>
  <c r="K2230" i="1"/>
  <c r="K2231" i="1"/>
  <c r="K2232" i="1"/>
  <c r="K2233" i="1"/>
  <c r="K2234" i="1"/>
  <c r="K2235" i="1"/>
  <c r="K2236" i="1"/>
  <c r="K2237" i="1"/>
  <c r="K2238" i="1"/>
  <c r="K2239" i="1"/>
  <c r="K2240" i="1"/>
  <c r="K2241" i="1"/>
  <c r="K2242" i="1"/>
  <c r="K2243" i="1"/>
  <c r="K2244" i="1"/>
  <c r="K2245" i="1"/>
  <c r="K2246" i="1"/>
  <c r="K2247" i="1"/>
  <c r="K2248" i="1"/>
  <c r="K2249" i="1"/>
  <c r="K2250" i="1"/>
  <c r="K2251" i="1"/>
  <c r="K2252" i="1"/>
  <c r="K2253" i="1"/>
  <c r="K2254" i="1"/>
  <c r="K2255" i="1"/>
  <c r="K2256" i="1"/>
  <c r="K2257" i="1"/>
  <c r="K2258" i="1"/>
  <c r="K2259" i="1"/>
  <c r="K2260" i="1"/>
  <c r="K2261" i="1"/>
  <c r="K2262" i="1"/>
  <c r="K2263" i="1"/>
  <c r="K2264" i="1"/>
  <c r="K2265" i="1"/>
  <c r="K2266" i="1"/>
  <c r="K2267" i="1"/>
  <c r="K2268" i="1"/>
  <c r="K2269" i="1"/>
  <c r="K2270" i="1"/>
  <c r="K2271" i="1"/>
  <c r="K2272" i="1"/>
  <c r="K2273" i="1"/>
  <c r="K2274" i="1"/>
  <c r="K2275" i="1"/>
  <c r="K2276" i="1"/>
  <c r="K2277" i="1"/>
  <c r="K2278" i="1"/>
  <c r="K2279" i="1"/>
  <c r="K2280" i="1"/>
  <c r="K2281" i="1"/>
  <c r="K2282" i="1"/>
  <c r="K2283" i="1"/>
  <c r="K2284" i="1"/>
  <c r="K2285" i="1"/>
  <c r="K2286" i="1"/>
  <c r="K2287" i="1"/>
  <c r="K2288" i="1"/>
  <c r="K2289" i="1"/>
  <c r="K2290" i="1"/>
  <c r="K2291" i="1"/>
  <c r="K2292" i="1"/>
  <c r="K2293" i="1"/>
  <c r="K2294" i="1"/>
  <c r="K2295" i="1"/>
  <c r="K2296" i="1"/>
  <c r="K2297" i="1"/>
  <c r="K2298" i="1"/>
  <c r="K2299" i="1"/>
  <c r="K2300" i="1"/>
  <c r="K2301" i="1"/>
  <c r="K2302" i="1"/>
  <c r="K2303" i="1"/>
  <c r="K2304" i="1"/>
  <c r="K2305" i="1"/>
  <c r="K2306" i="1"/>
  <c r="K2307" i="1"/>
  <c r="K2308" i="1"/>
  <c r="K2309" i="1"/>
  <c r="K2310" i="1"/>
  <c r="K2311" i="1"/>
  <c r="K2312" i="1"/>
  <c r="K2313" i="1"/>
  <c r="K2314" i="1"/>
  <c r="K2315" i="1"/>
  <c r="K2316" i="1"/>
  <c r="K2317" i="1"/>
  <c r="K2318" i="1"/>
  <c r="K2319" i="1"/>
  <c r="K2320" i="1"/>
  <c r="K2321" i="1"/>
  <c r="K2322" i="1"/>
  <c r="K2323" i="1"/>
  <c r="K2324" i="1"/>
  <c r="K2325" i="1"/>
  <c r="K2326" i="1"/>
  <c r="K2327" i="1"/>
  <c r="K2328" i="1"/>
  <c r="K2329" i="1"/>
  <c r="K2330" i="1"/>
  <c r="K2331" i="1"/>
  <c r="K2332" i="1"/>
  <c r="K2333" i="1"/>
  <c r="K2334" i="1"/>
  <c r="K2335" i="1"/>
  <c r="K2336" i="1"/>
  <c r="K2337" i="1"/>
  <c r="K2338" i="1"/>
  <c r="K2339" i="1"/>
  <c r="K2340" i="1"/>
  <c r="K2341" i="1"/>
  <c r="K2342" i="1"/>
  <c r="K2343" i="1"/>
  <c r="K2344" i="1"/>
  <c r="K2345" i="1"/>
  <c r="K2346" i="1"/>
  <c r="K2347" i="1"/>
  <c r="K2348" i="1"/>
  <c r="K2349" i="1"/>
  <c r="K2350" i="1"/>
  <c r="K2351" i="1"/>
  <c r="K2352" i="1"/>
  <c r="K2353" i="1"/>
  <c r="K2354" i="1"/>
  <c r="K2355" i="1"/>
  <c r="K2356" i="1"/>
  <c r="K2357" i="1"/>
  <c r="K2358" i="1"/>
  <c r="K2359" i="1"/>
  <c r="K2360" i="1"/>
  <c r="K2361" i="1"/>
  <c r="K2362" i="1"/>
  <c r="K2363" i="1"/>
  <c r="K2364" i="1"/>
  <c r="K2365" i="1"/>
  <c r="K2366" i="1"/>
  <c r="K2367" i="1"/>
  <c r="K2368" i="1"/>
  <c r="K2369" i="1"/>
  <c r="K2370" i="1"/>
  <c r="K2371" i="1"/>
  <c r="K2372" i="1"/>
  <c r="K2373" i="1"/>
  <c r="K2374" i="1"/>
  <c r="K2375" i="1"/>
  <c r="K2376" i="1"/>
  <c r="K2377" i="1"/>
  <c r="K2378" i="1"/>
  <c r="K2379" i="1"/>
  <c r="K2380" i="1"/>
  <c r="K2381" i="1"/>
  <c r="K2382" i="1"/>
  <c r="K2383" i="1"/>
  <c r="K2384" i="1"/>
  <c r="K2385" i="1"/>
  <c r="K2386" i="1"/>
  <c r="K2387" i="1"/>
  <c r="K2388" i="1"/>
  <c r="K2389" i="1"/>
  <c r="K2390" i="1"/>
  <c r="K2391" i="1"/>
  <c r="K2392" i="1"/>
  <c r="K2393" i="1"/>
  <c r="K2394" i="1"/>
  <c r="K2395" i="1"/>
  <c r="K2396" i="1"/>
  <c r="K2397" i="1"/>
  <c r="K2398" i="1"/>
  <c r="K2399" i="1"/>
  <c r="K2400" i="1"/>
  <c r="K2401" i="1"/>
  <c r="K2402" i="1"/>
  <c r="K2403" i="1"/>
  <c r="K2404" i="1"/>
  <c r="K2405" i="1"/>
  <c r="K2406" i="1"/>
  <c r="K2407" i="1"/>
  <c r="K2408" i="1"/>
  <c r="K2409" i="1"/>
  <c r="K2410" i="1"/>
  <c r="K2411" i="1"/>
  <c r="K2412" i="1"/>
  <c r="K2413" i="1"/>
  <c r="K2414" i="1"/>
  <c r="K2415" i="1"/>
  <c r="K2416" i="1"/>
  <c r="K2417" i="1"/>
  <c r="K2418" i="1"/>
  <c r="K2419" i="1"/>
  <c r="K2420" i="1"/>
  <c r="K2421" i="1"/>
  <c r="K2422" i="1"/>
  <c r="K2423" i="1"/>
  <c r="K2424" i="1"/>
  <c r="K2425" i="1"/>
  <c r="K2426" i="1"/>
  <c r="K2427" i="1"/>
  <c r="K2428" i="1"/>
  <c r="K2429" i="1"/>
  <c r="K2430" i="1"/>
  <c r="K2431" i="1"/>
  <c r="K2432" i="1"/>
  <c r="K2433" i="1"/>
  <c r="K2434" i="1"/>
  <c r="K2435" i="1"/>
  <c r="K2436" i="1"/>
  <c r="K2437" i="1"/>
  <c r="K2438" i="1"/>
  <c r="K2439" i="1"/>
  <c r="K2440" i="1"/>
  <c r="K2441" i="1"/>
  <c r="K2442" i="1"/>
  <c r="K2443" i="1"/>
  <c r="K2444" i="1"/>
  <c r="K2445" i="1"/>
  <c r="K2446" i="1"/>
  <c r="K2447" i="1"/>
  <c r="K2448" i="1"/>
  <c r="K2449" i="1"/>
  <c r="K2450" i="1"/>
  <c r="K2451" i="1"/>
  <c r="K2452" i="1"/>
  <c r="K2453" i="1"/>
  <c r="K2454" i="1"/>
  <c r="K2455" i="1"/>
  <c r="K2456" i="1"/>
  <c r="K2457" i="1"/>
  <c r="K2458" i="1"/>
  <c r="K2459" i="1"/>
  <c r="K2460" i="1"/>
  <c r="K2461" i="1"/>
  <c r="K2462" i="1"/>
  <c r="K2463" i="1"/>
  <c r="K2464" i="1"/>
  <c r="K2465" i="1"/>
  <c r="K2466" i="1"/>
  <c r="K2467" i="1"/>
  <c r="K2468" i="1"/>
  <c r="K2469" i="1"/>
  <c r="K2470" i="1"/>
  <c r="K2471" i="1"/>
  <c r="K2472" i="1"/>
  <c r="K2473" i="1"/>
  <c r="K2474" i="1"/>
  <c r="K2475" i="1"/>
  <c r="K2476" i="1"/>
  <c r="K2477" i="1"/>
  <c r="K2478" i="1"/>
  <c r="K2479" i="1"/>
  <c r="K2480" i="1"/>
  <c r="K2481" i="1"/>
  <c r="K2482" i="1"/>
  <c r="K2483" i="1"/>
  <c r="K2484" i="1"/>
  <c r="K2485" i="1"/>
  <c r="K2486" i="1"/>
  <c r="K2487" i="1"/>
  <c r="K2488" i="1"/>
  <c r="K2489" i="1"/>
  <c r="K2490" i="1"/>
  <c r="K2491" i="1"/>
  <c r="K2492" i="1"/>
  <c r="K2493" i="1"/>
  <c r="K2494" i="1"/>
  <c r="K2495" i="1"/>
  <c r="K2496" i="1"/>
  <c r="K2497" i="1"/>
  <c r="K2498" i="1"/>
  <c r="K2499" i="1"/>
  <c r="K2500" i="1"/>
  <c r="K2501" i="1"/>
  <c r="K2502" i="1"/>
  <c r="K2503" i="1"/>
  <c r="K2504" i="1"/>
  <c r="K2505" i="1"/>
  <c r="K2506" i="1"/>
  <c r="K2507" i="1"/>
  <c r="K2508" i="1"/>
  <c r="K2509" i="1"/>
  <c r="K2510" i="1"/>
  <c r="K2511" i="1"/>
  <c r="K2512" i="1"/>
  <c r="K2513" i="1"/>
  <c r="K2514" i="1"/>
  <c r="K2515" i="1"/>
  <c r="K2516" i="1"/>
  <c r="K2517" i="1"/>
  <c r="K2518" i="1"/>
  <c r="K2519" i="1"/>
  <c r="K2520" i="1"/>
  <c r="K2521" i="1"/>
  <c r="K2522" i="1"/>
  <c r="K2523" i="1"/>
  <c r="K2524" i="1"/>
  <c r="K2525" i="1"/>
  <c r="K2526" i="1"/>
  <c r="K2527" i="1"/>
  <c r="K2528" i="1"/>
  <c r="K2529" i="1"/>
  <c r="K2530" i="1"/>
  <c r="K2531" i="1"/>
  <c r="K2532" i="1"/>
  <c r="K2533" i="1"/>
  <c r="K2534" i="1"/>
  <c r="K2535" i="1"/>
  <c r="K2536" i="1"/>
  <c r="K2537" i="1"/>
  <c r="K2538" i="1"/>
  <c r="K2539" i="1"/>
  <c r="K2540" i="1"/>
  <c r="K2541" i="1"/>
  <c r="K2542" i="1"/>
  <c r="K2543" i="1"/>
  <c r="K2544" i="1"/>
  <c r="K2545" i="1"/>
  <c r="K2546" i="1"/>
  <c r="K2547" i="1"/>
  <c r="K2548" i="1"/>
  <c r="K2549" i="1"/>
  <c r="K2550" i="1"/>
  <c r="K2551" i="1"/>
  <c r="K2552" i="1"/>
  <c r="K2553" i="1"/>
  <c r="K2554" i="1"/>
  <c r="K2555" i="1"/>
  <c r="K2556" i="1"/>
  <c r="K2557" i="1"/>
  <c r="K2558" i="1"/>
  <c r="K2559" i="1"/>
  <c r="K2560" i="1"/>
  <c r="K2561" i="1"/>
  <c r="K2562" i="1"/>
  <c r="K2563" i="1"/>
  <c r="K2564" i="1"/>
  <c r="K2565" i="1"/>
  <c r="K2566" i="1"/>
  <c r="K2567" i="1"/>
  <c r="K2568" i="1"/>
  <c r="K2569" i="1"/>
  <c r="K2570" i="1"/>
  <c r="K2571" i="1"/>
  <c r="K2572" i="1"/>
  <c r="K2573" i="1"/>
  <c r="K2574" i="1"/>
  <c r="K2575" i="1"/>
  <c r="K2576" i="1"/>
  <c r="K2577" i="1"/>
  <c r="K2578" i="1"/>
  <c r="K2579" i="1"/>
  <c r="K2580" i="1"/>
  <c r="K2581" i="1"/>
  <c r="K2582" i="1"/>
  <c r="K2583" i="1"/>
  <c r="K2584" i="1"/>
  <c r="K2585" i="1"/>
  <c r="K2586" i="1"/>
  <c r="K2587" i="1"/>
  <c r="K2588" i="1"/>
  <c r="K2589" i="1"/>
  <c r="K2590" i="1"/>
  <c r="K2591" i="1"/>
  <c r="K2592" i="1"/>
  <c r="K2593" i="1"/>
  <c r="K2594" i="1"/>
  <c r="K2595" i="1"/>
  <c r="K2596" i="1"/>
  <c r="K2597" i="1"/>
  <c r="K2598" i="1"/>
  <c r="K2599" i="1"/>
  <c r="K2600" i="1"/>
  <c r="K2601" i="1"/>
  <c r="K2602" i="1"/>
  <c r="K2603" i="1"/>
  <c r="K2604" i="1"/>
  <c r="K2605" i="1"/>
  <c r="K2606" i="1"/>
  <c r="K2607" i="1"/>
  <c r="K2608" i="1"/>
  <c r="K2609" i="1"/>
  <c r="K2610" i="1"/>
  <c r="K2611" i="1"/>
  <c r="K2612" i="1"/>
  <c r="K2613" i="1"/>
  <c r="K2614" i="1"/>
  <c r="K2615" i="1"/>
  <c r="K2616" i="1"/>
  <c r="K2617" i="1"/>
  <c r="K2618" i="1"/>
  <c r="K2619" i="1"/>
  <c r="K2620" i="1"/>
  <c r="K2621" i="1"/>
  <c r="K2622" i="1"/>
  <c r="K2623" i="1"/>
  <c r="K2624" i="1"/>
  <c r="K2625" i="1"/>
  <c r="K2626" i="1"/>
  <c r="K2627" i="1"/>
  <c r="K2628" i="1"/>
  <c r="K2629" i="1"/>
  <c r="K2630" i="1"/>
  <c r="K2631" i="1"/>
  <c r="K2632" i="1"/>
  <c r="K2633" i="1"/>
  <c r="K2634" i="1"/>
  <c r="K2635" i="1"/>
  <c r="K2636" i="1"/>
  <c r="K2637" i="1"/>
  <c r="K2638" i="1"/>
  <c r="K2639" i="1"/>
  <c r="K2640" i="1"/>
  <c r="K2641" i="1"/>
  <c r="K2642" i="1"/>
  <c r="K2643" i="1"/>
  <c r="K2644" i="1"/>
  <c r="K2645" i="1"/>
  <c r="K2646" i="1"/>
  <c r="K2647" i="1"/>
  <c r="K2648" i="1"/>
  <c r="K2649" i="1"/>
  <c r="K2650" i="1"/>
  <c r="K2651" i="1"/>
  <c r="K2652" i="1"/>
  <c r="K2653" i="1"/>
  <c r="K2654" i="1"/>
  <c r="K2655" i="1"/>
  <c r="K2656" i="1"/>
  <c r="K2657" i="1"/>
  <c r="K2658" i="1"/>
  <c r="K2659" i="1"/>
  <c r="K2660" i="1"/>
  <c r="K2661" i="1"/>
  <c r="K2662" i="1"/>
  <c r="K2663" i="1"/>
  <c r="K2664" i="1"/>
  <c r="K2665" i="1"/>
  <c r="K2666" i="1"/>
  <c r="K2667" i="1"/>
  <c r="K2668" i="1"/>
  <c r="K2669" i="1"/>
  <c r="K2670" i="1"/>
  <c r="K2671" i="1"/>
  <c r="K2672" i="1"/>
  <c r="K2673" i="1"/>
  <c r="K2674" i="1"/>
  <c r="K2675" i="1"/>
  <c r="K2676" i="1"/>
  <c r="K2677" i="1"/>
  <c r="K2678" i="1"/>
  <c r="K2679" i="1"/>
  <c r="K2680" i="1"/>
  <c r="K2681" i="1"/>
  <c r="K2682" i="1"/>
  <c r="K2683" i="1"/>
  <c r="K2684" i="1"/>
  <c r="K2685" i="1"/>
  <c r="K2686" i="1"/>
  <c r="K2687" i="1"/>
  <c r="K2688" i="1"/>
  <c r="K2689" i="1"/>
  <c r="K2690" i="1"/>
  <c r="K2691" i="1"/>
  <c r="K2692" i="1"/>
  <c r="K2693" i="1"/>
  <c r="K2694" i="1"/>
  <c r="K2695" i="1"/>
  <c r="K2696" i="1"/>
  <c r="K2697" i="1"/>
  <c r="K2698" i="1"/>
  <c r="K2699" i="1"/>
  <c r="K2700" i="1"/>
  <c r="K2701" i="1"/>
  <c r="K2702" i="1"/>
  <c r="K2703" i="1"/>
  <c r="K2704" i="1"/>
  <c r="K2705" i="1"/>
  <c r="K2706" i="1"/>
  <c r="K2707" i="1"/>
  <c r="K2708" i="1"/>
  <c r="K2709" i="1"/>
  <c r="K2710" i="1"/>
  <c r="K2711" i="1"/>
  <c r="K2712" i="1"/>
  <c r="K2713" i="1"/>
  <c r="K2714" i="1"/>
  <c r="K2715" i="1"/>
  <c r="K2716" i="1"/>
  <c r="K2717" i="1"/>
  <c r="K2718" i="1"/>
  <c r="K2719" i="1"/>
  <c r="K2720" i="1"/>
  <c r="K2721" i="1"/>
  <c r="K2722" i="1"/>
  <c r="K2723" i="1"/>
  <c r="K2724" i="1"/>
  <c r="K2725" i="1"/>
  <c r="K2726" i="1"/>
  <c r="K2727" i="1"/>
  <c r="K2728" i="1"/>
  <c r="K2729" i="1"/>
  <c r="K2730" i="1"/>
  <c r="K2731" i="1"/>
  <c r="K2732" i="1"/>
  <c r="K2733" i="1"/>
  <c r="K2734" i="1"/>
  <c r="K2735" i="1"/>
  <c r="K2736" i="1"/>
  <c r="K2737" i="1"/>
  <c r="K2738" i="1"/>
  <c r="K2739" i="1"/>
  <c r="K2740" i="1"/>
  <c r="K2741" i="1"/>
  <c r="K2742" i="1"/>
  <c r="K2743" i="1"/>
  <c r="K2744" i="1"/>
  <c r="K2745" i="1"/>
  <c r="K2746" i="1"/>
  <c r="K2747" i="1"/>
  <c r="K2748" i="1"/>
  <c r="K2749" i="1"/>
  <c r="K2750" i="1"/>
  <c r="K2751" i="1"/>
  <c r="K2752" i="1"/>
  <c r="K2753" i="1"/>
  <c r="K2754" i="1"/>
  <c r="K2755" i="1"/>
  <c r="K2756" i="1"/>
  <c r="K2757" i="1"/>
  <c r="K2758" i="1"/>
  <c r="K2759" i="1"/>
  <c r="K2760" i="1"/>
  <c r="K2761" i="1"/>
  <c r="K2762" i="1"/>
  <c r="K2763" i="1"/>
  <c r="K2764" i="1"/>
  <c r="K2765" i="1"/>
  <c r="K2766" i="1"/>
  <c r="K2767" i="1"/>
  <c r="K2768" i="1"/>
  <c r="K2769" i="1"/>
  <c r="K2770" i="1"/>
  <c r="K2771" i="1"/>
  <c r="K2772" i="1"/>
  <c r="K2773" i="1"/>
  <c r="K2774" i="1"/>
  <c r="K2775" i="1"/>
  <c r="K2776" i="1"/>
  <c r="K2777" i="1"/>
  <c r="K2778" i="1"/>
  <c r="K2779" i="1"/>
  <c r="K2780" i="1"/>
  <c r="K2781" i="1"/>
  <c r="K2782" i="1"/>
  <c r="K2783" i="1"/>
  <c r="K2784" i="1"/>
  <c r="K2785" i="1"/>
  <c r="K2786" i="1"/>
  <c r="K2787" i="1"/>
  <c r="K2788" i="1"/>
  <c r="K2789" i="1"/>
  <c r="K2790" i="1"/>
  <c r="K2791" i="1"/>
  <c r="K2792" i="1"/>
  <c r="K2793" i="1"/>
  <c r="K2794" i="1"/>
  <c r="K2795" i="1"/>
  <c r="K2796" i="1"/>
  <c r="K2797" i="1"/>
  <c r="K2798" i="1"/>
  <c r="K2799" i="1"/>
  <c r="K2800" i="1"/>
  <c r="K2801" i="1"/>
  <c r="K2802" i="1"/>
  <c r="K2803" i="1"/>
  <c r="K2804" i="1"/>
  <c r="K2805" i="1"/>
  <c r="K2806" i="1"/>
  <c r="K2807" i="1"/>
  <c r="K2808" i="1"/>
  <c r="K2809" i="1"/>
  <c r="K2810" i="1"/>
  <c r="K2811" i="1"/>
  <c r="K2812" i="1"/>
  <c r="K2813" i="1"/>
  <c r="K2814" i="1"/>
  <c r="K2815" i="1"/>
  <c r="K2816" i="1"/>
  <c r="K2817" i="1"/>
  <c r="K2818" i="1"/>
  <c r="K2819" i="1"/>
  <c r="K2820" i="1"/>
  <c r="K2821" i="1"/>
  <c r="K2822" i="1"/>
  <c r="K2823" i="1"/>
  <c r="K2824" i="1"/>
  <c r="K2825" i="1"/>
  <c r="K2826" i="1"/>
  <c r="K2827" i="1"/>
  <c r="K2828" i="1"/>
  <c r="K2829" i="1"/>
  <c r="K2830" i="1"/>
  <c r="K2831" i="1"/>
  <c r="K2832" i="1"/>
  <c r="K2833" i="1"/>
  <c r="K2834" i="1"/>
  <c r="K2835" i="1"/>
  <c r="K2836" i="1"/>
  <c r="K2837" i="1"/>
  <c r="K2838" i="1"/>
  <c r="K2839" i="1"/>
  <c r="K2840" i="1"/>
  <c r="K2841" i="1"/>
  <c r="K2842" i="1"/>
  <c r="K2843" i="1"/>
  <c r="K2844" i="1"/>
  <c r="K2845" i="1"/>
  <c r="K2846" i="1"/>
  <c r="K2847" i="1"/>
  <c r="K2848" i="1"/>
  <c r="K2849" i="1"/>
  <c r="K2850" i="1"/>
  <c r="K2851" i="1"/>
  <c r="K2852" i="1"/>
  <c r="K2853" i="1"/>
  <c r="K2854" i="1"/>
  <c r="K2855" i="1"/>
  <c r="K2856" i="1"/>
  <c r="K2857" i="1"/>
  <c r="K2858" i="1"/>
  <c r="K2859" i="1"/>
  <c r="K2860" i="1"/>
  <c r="K2861" i="1"/>
  <c r="K2862" i="1"/>
  <c r="K2863" i="1"/>
  <c r="K2864" i="1"/>
  <c r="K2865" i="1"/>
  <c r="K2866" i="1"/>
  <c r="K2867" i="1"/>
  <c r="K2868" i="1"/>
  <c r="K2869" i="1"/>
  <c r="K2870" i="1"/>
  <c r="K2871" i="1"/>
  <c r="K2872" i="1"/>
  <c r="K2873" i="1"/>
  <c r="K2874" i="1"/>
  <c r="K2875" i="1"/>
  <c r="K2876" i="1"/>
  <c r="K2877" i="1"/>
  <c r="K2878" i="1"/>
  <c r="K2879" i="1"/>
  <c r="K2880" i="1"/>
  <c r="K2881" i="1"/>
  <c r="K2882" i="1"/>
  <c r="K2883" i="1"/>
  <c r="K2884" i="1"/>
  <c r="K2885" i="1"/>
  <c r="K2886" i="1"/>
  <c r="K2887" i="1"/>
  <c r="K2888" i="1"/>
  <c r="K2889" i="1"/>
  <c r="K2890" i="1"/>
  <c r="K2891" i="1"/>
  <c r="K2892" i="1"/>
  <c r="K2893" i="1"/>
  <c r="K2894" i="1"/>
  <c r="K2895" i="1"/>
  <c r="K2896" i="1"/>
  <c r="K2897" i="1"/>
  <c r="K2898" i="1"/>
  <c r="K2899" i="1"/>
  <c r="K2900" i="1"/>
  <c r="K2901" i="1"/>
  <c r="K2902" i="1"/>
  <c r="K2903" i="1"/>
  <c r="K2904" i="1"/>
  <c r="K2905" i="1"/>
  <c r="K2906" i="1"/>
  <c r="K2907" i="1"/>
  <c r="K2908" i="1"/>
  <c r="K2909" i="1"/>
  <c r="K2910" i="1"/>
  <c r="K2911" i="1"/>
  <c r="K2912" i="1"/>
  <c r="K2913" i="1"/>
  <c r="K2914" i="1"/>
  <c r="K2915" i="1"/>
  <c r="K2916" i="1"/>
  <c r="K2917" i="1"/>
  <c r="K2918" i="1"/>
  <c r="K2919" i="1"/>
  <c r="K2920" i="1"/>
  <c r="K2921" i="1"/>
  <c r="K2922" i="1"/>
  <c r="K2923" i="1"/>
  <c r="K2924" i="1"/>
  <c r="K2925" i="1"/>
  <c r="K2926" i="1"/>
  <c r="K2927" i="1"/>
  <c r="K2928" i="1"/>
  <c r="K2929" i="1"/>
  <c r="K2930" i="1"/>
  <c r="K2931" i="1"/>
  <c r="K2932" i="1"/>
  <c r="K2933" i="1"/>
  <c r="K2934" i="1"/>
  <c r="K2935" i="1"/>
  <c r="K2936" i="1"/>
  <c r="K2937" i="1"/>
  <c r="K2938" i="1"/>
  <c r="K2939" i="1"/>
  <c r="K2940" i="1"/>
  <c r="K2941" i="1"/>
  <c r="K2942" i="1"/>
  <c r="K2943" i="1"/>
  <c r="K2944" i="1"/>
  <c r="K2945" i="1"/>
  <c r="K2946" i="1"/>
  <c r="K2947" i="1"/>
  <c r="K2948" i="1"/>
  <c r="K2949" i="1"/>
  <c r="K2950" i="1"/>
  <c r="K2951" i="1"/>
  <c r="K2952" i="1"/>
  <c r="K2953" i="1"/>
  <c r="K2954" i="1"/>
  <c r="K2955" i="1"/>
  <c r="K2956" i="1"/>
  <c r="K2957" i="1"/>
  <c r="K2958" i="1"/>
  <c r="K2959" i="1"/>
  <c r="K2960" i="1"/>
  <c r="K2961" i="1"/>
  <c r="K2962" i="1"/>
  <c r="K2963" i="1"/>
  <c r="K2964" i="1"/>
  <c r="K2965" i="1"/>
  <c r="K2966" i="1"/>
  <c r="K2967" i="1"/>
  <c r="K2968" i="1"/>
  <c r="K2969" i="1"/>
  <c r="K2970" i="1"/>
  <c r="K2971" i="1"/>
  <c r="K2972" i="1"/>
  <c r="K2973" i="1"/>
  <c r="K2974" i="1"/>
  <c r="K2975" i="1"/>
  <c r="K2976" i="1"/>
  <c r="K2977" i="1"/>
  <c r="K2978" i="1"/>
  <c r="K2979" i="1"/>
  <c r="K2980" i="1"/>
  <c r="K2981" i="1"/>
  <c r="K2982" i="1"/>
  <c r="K2983" i="1"/>
  <c r="K2984" i="1"/>
  <c r="K2985" i="1"/>
  <c r="K2986" i="1"/>
  <c r="K2987" i="1"/>
  <c r="K2988" i="1"/>
  <c r="K2989" i="1"/>
  <c r="K2990" i="1"/>
  <c r="K2991" i="1"/>
  <c r="K2992" i="1"/>
  <c r="K2993" i="1"/>
  <c r="K2994" i="1"/>
  <c r="K2995" i="1"/>
  <c r="K2996" i="1"/>
  <c r="K2997" i="1"/>
  <c r="K2998" i="1"/>
  <c r="K2999" i="1"/>
  <c r="K3000" i="1"/>
  <c r="K3001" i="1"/>
  <c r="K3002" i="1"/>
  <c r="K3003" i="1"/>
  <c r="K3004" i="1"/>
  <c r="K3005" i="1"/>
  <c r="K3006" i="1"/>
  <c r="K3007" i="1"/>
  <c r="K3008" i="1"/>
  <c r="K3009" i="1"/>
  <c r="K3010" i="1"/>
  <c r="K3011" i="1"/>
  <c r="K3012" i="1"/>
  <c r="K3013" i="1"/>
  <c r="K3014" i="1"/>
  <c r="K3015" i="1"/>
  <c r="K3016" i="1"/>
  <c r="K3017" i="1"/>
  <c r="K3018" i="1"/>
  <c r="K3019" i="1"/>
  <c r="K3020" i="1"/>
  <c r="K3021" i="1"/>
  <c r="K3022" i="1"/>
  <c r="K3023" i="1"/>
  <c r="K3024" i="1"/>
  <c r="K3025" i="1"/>
  <c r="K3026" i="1"/>
  <c r="K3027" i="1"/>
  <c r="K3028" i="1"/>
  <c r="K3029" i="1"/>
  <c r="K3030" i="1"/>
  <c r="K3031" i="1"/>
  <c r="K3032" i="1"/>
  <c r="K3033" i="1"/>
  <c r="K3034" i="1"/>
  <c r="K3035" i="1"/>
  <c r="K3036" i="1"/>
  <c r="K3037" i="1"/>
  <c r="K3038" i="1"/>
  <c r="K3039" i="1"/>
  <c r="K3040" i="1"/>
  <c r="K3041" i="1"/>
  <c r="K3042" i="1"/>
  <c r="K3043" i="1"/>
  <c r="K3044" i="1"/>
  <c r="K3045" i="1"/>
  <c r="K3046" i="1"/>
  <c r="K3047" i="1"/>
  <c r="K3048" i="1"/>
  <c r="K3049" i="1"/>
  <c r="K3050" i="1"/>
  <c r="K3051" i="1"/>
  <c r="K3052" i="1"/>
  <c r="K3053" i="1"/>
  <c r="K3054" i="1"/>
  <c r="K3055" i="1"/>
  <c r="K3056" i="1"/>
  <c r="K3057" i="1"/>
  <c r="K3058" i="1"/>
  <c r="K3059" i="1"/>
  <c r="K3060" i="1"/>
  <c r="K3061" i="1"/>
  <c r="K3062" i="1"/>
  <c r="K3063" i="1"/>
  <c r="K3064" i="1"/>
  <c r="K3065" i="1"/>
  <c r="K3066" i="1"/>
  <c r="K3067" i="1"/>
  <c r="K3068" i="1"/>
  <c r="K3069" i="1"/>
  <c r="K3070" i="1"/>
  <c r="K3071" i="1"/>
  <c r="K3072" i="1"/>
  <c r="K3073" i="1"/>
  <c r="M3073" i="1"/>
  <c r="M3072" i="1"/>
  <c r="M3071" i="1"/>
  <c r="M3070" i="1"/>
  <c r="M3069" i="1"/>
  <c r="M3068" i="1"/>
  <c r="M3067" i="1"/>
  <c r="M3066" i="1"/>
  <c r="M3065" i="1"/>
  <c r="M3064" i="1"/>
  <c r="M3063" i="1"/>
  <c r="M3062" i="1"/>
  <c r="M3061" i="1"/>
  <c r="M3060" i="1"/>
  <c r="M3059" i="1"/>
  <c r="M3058" i="1"/>
  <c r="M3057" i="1"/>
  <c r="M3056" i="1"/>
  <c r="M3055" i="1"/>
  <c r="M3054" i="1"/>
  <c r="M3053" i="1"/>
  <c r="M3052" i="1"/>
  <c r="M3051" i="1"/>
  <c r="M3050" i="1"/>
  <c r="M3049" i="1"/>
  <c r="M3048" i="1"/>
  <c r="M3047" i="1"/>
  <c r="M3046" i="1"/>
  <c r="M3045" i="1"/>
  <c r="M3044" i="1"/>
  <c r="M3043" i="1"/>
  <c r="M3042" i="1"/>
  <c r="M3041" i="1"/>
  <c r="M3040" i="1"/>
  <c r="M3039" i="1"/>
  <c r="M3038" i="1"/>
  <c r="M3037" i="1"/>
  <c r="M3036" i="1"/>
  <c r="M3035" i="1"/>
  <c r="M3034" i="1"/>
  <c r="M3033" i="1"/>
  <c r="M3032" i="1"/>
  <c r="M3031" i="1"/>
  <c r="M3030" i="1"/>
  <c r="M3029" i="1"/>
  <c r="M3028" i="1"/>
  <c r="M3027" i="1"/>
  <c r="M3026" i="1"/>
  <c r="M3025" i="1"/>
  <c r="M3024" i="1"/>
  <c r="M3023" i="1"/>
  <c r="M3022" i="1"/>
  <c r="M3021" i="1"/>
  <c r="M3020" i="1"/>
  <c r="M3019" i="1"/>
  <c r="M3018" i="1"/>
  <c r="M3017" i="1"/>
  <c r="M3016" i="1"/>
  <c r="M3015" i="1"/>
  <c r="M3014" i="1"/>
  <c r="M3013" i="1"/>
  <c r="M3012" i="1"/>
  <c r="M3011" i="1"/>
  <c r="M3010" i="1"/>
  <c r="M3009" i="1"/>
  <c r="M3008" i="1"/>
  <c r="M3007" i="1"/>
  <c r="M3006" i="1"/>
  <c r="M3005" i="1"/>
  <c r="M3004" i="1"/>
  <c r="M3003" i="1"/>
  <c r="M3002" i="1"/>
  <c r="M3001" i="1"/>
  <c r="M3000" i="1"/>
  <c r="M2999" i="1"/>
  <c r="M2998" i="1"/>
  <c r="M2997" i="1"/>
  <c r="M2996" i="1"/>
  <c r="M2995" i="1"/>
  <c r="M2994" i="1"/>
  <c r="M2993" i="1"/>
  <c r="M2992" i="1"/>
  <c r="M2991" i="1"/>
  <c r="M2990" i="1"/>
  <c r="M2989" i="1"/>
  <c r="M2988" i="1"/>
  <c r="M2987" i="1"/>
  <c r="M2986" i="1"/>
  <c r="M2985" i="1"/>
  <c r="M2984" i="1"/>
  <c r="M2983" i="1"/>
  <c r="M2982" i="1"/>
  <c r="M2981" i="1"/>
  <c r="M2980" i="1"/>
  <c r="M2979" i="1"/>
  <c r="M2978" i="1"/>
  <c r="M2977" i="1"/>
  <c r="M2976" i="1"/>
  <c r="M2975" i="1"/>
  <c r="M2974" i="1"/>
  <c r="M2973" i="1"/>
  <c r="M2972" i="1"/>
  <c r="M2971" i="1"/>
  <c r="M2970" i="1"/>
  <c r="M2969" i="1"/>
  <c r="M2968" i="1"/>
  <c r="M2967" i="1"/>
  <c r="M2966" i="1"/>
  <c r="M2965" i="1"/>
  <c r="M2964" i="1"/>
  <c r="M2963" i="1"/>
  <c r="M2962" i="1"/>
  <c r="M2961" i="1"/>
  <c r="M2960" i="1"/>
  <c r="M2959" i="1"/>
  <c r="M2958" i="1"/>
  <c r="M2957" i="1"/>
  <c r="M2956" i="1"/>
  <c r="M2955" i="1"/>
  <c r="M2954" i="1"/>
  <c r="M2953" i="1"/>
  <c r="M2952" i="1"/>
  <c r="M2951" i="1"/>
  <c r="M2950" i="1"/>
  <c r="M2949" i="1"/>
  <c r="M2948" i="1"/>
  <c r="M2947" i="1"/>
  <c r="M2946" i="1"/>
  <c r="M2945" i="1"/>
  <c r="M2944" i="1"/>
  <c r="M2943" i="1"/>
  <c r="M2942" i="1"/>
  <c r="M2941" i="1"/>
  <c r="M2940" i="1"/>
  <c r="M2939" i="1"/>
  <c r="M2938" i="1"/>
  <c r="M2937" i="1"/>
  <c r="M2936" i="1"/>
  <c r="M2935" i="1"/>
  <c r="M2934" i="1"/>
  <c r="M2933" i="1"/>
  <c r="M2932" i="1"/>
  <c r="M2931" i="1"/>
  <c r="M2930" i="1"/>
  <c r="M2929" i="1"/>
  <c r="M2928" i="1"/>
  <c r="M2927" i="1"/>
  <c r="M2926" i="1"/>
  <c r="M2925" i="1"/>
  <c r="M2924" i="1"/>
  <c r="M2923" i="1"/>
  <c r="M2922" i="1"/>
  <c r="M2921" i="1"/>
  <c r="M2920" i="1"/>
  <c r="M2919" i="1"/>
  <c r="M2918" i="1"/>
  <c r="M2917" i="1"/>
  <c r="M2916" i="1"/>
  <c r="M2915" i="1"/>
  <c r="M2914" i="1"/>
  <c r="M2913" i="1"/>
  <c r="M2912" i="1"/>
  <c r="M2911" i="1"/>
  <c r="M2910" i="1"/>
  <c r="M2909" i="1"/>
  <c r="M2908" i="1"/>
  <c r="M2907" i="1"/>
  <c r="M2906" i="1"/>
  <c r="M2905" i="1"/>
  <c r="M2904" i="1"/>
  <c r="M2903" i="1"/>
  <c r="M2902" i="1"/>
  <c r="M2901" i="1"/>
  <c r="M2900" i="1"/>
  <c r="M2899" i="1"/>
  <c r="M2898" i="1"/>
  <c r="M2897" i="1"/>
  <c r="M2896" i="1"/>
  <c r="M2895" i="1"/>
  <c r="M2894" i="1"/>
  <c r="M2893" i="1"/>
  <c r="M2892" i="1"/>
  <c r="M2891" i="1"/>
  <c r="M2890" i="1"/>
  <c r="M2889" i="1"/>
  <c r="M2888" i="1"/>
  <c r="M2887" i="1"/>
  <c r="M2886" i="1"/>
  <c r="M2885" i="1"/>
  <c r="M2884" i="1"/>
  <c r="M2883" i="1"/>
  <c r="M2882" i="1"/>
  <c r="M2881" i="1"/>
  <c r="M2880" i="1"/>
  <c r="M2879" i="1"/>
  <c r="M2878" i="1"/>
  <c r="M2877" i="1"/>
  <c r="M2876" i="1"/>
  <c r="M2875" i="1"/>
  <c r="M2874" i="1"/>
  <c r="M2873" i="1"/>
  <c r="M2872" i="1"/>
  <c r="M2871" i="1"/>
  <c r="M2870" i="1"/>
  <c r="M2869" i="1"/>
  <c r="M2868" i="1"/>
  <c r="M2867" i="1"/>
  <c r="M2866" i="1"/>
  <c r="M2865" i="1"/>
  <c r="M2864" i="1"/>
  <c r="M2863" i="1"/>
  <c r="M2862" i="1"/>
  <c r="M2861" i="1"/>
  <c r="M2860" i="1"/>
  <c r="M2859" i="1"/>
  <c r="M2858" i="1"/>
  <c r="M2857" i="1"/>
  <c r="M2856" i="1"/>
  <c r="M2855" i="1"/>
  <c r="M2854" i="1"/>
  <c r="M2853" i="1"/>
  <c r="M2852" i="1"/>
  <c r="M2851" i="1"/>
  <c r="M2850" i="1"/>
  <c r="M2849" i="1"/>
  <c r="M2848" i="1"/>
  <c r="M2847" i="1"/>
  <c r="M2846" i="1"/>
  <c r="M2845" i="1"/>
  <c r="M2844" i="1"/>
  <c r="M2843" i="1"/>
  <c r="M2842" i="1"/>
  <c r="M2841" i="1"/>
  <c r="M2840" i="1"/>
  <c r="M2839" i="1"/>
  <c r="M2838" i="1"/>
  <c r="M2837" i="1"/>
  <c r="M2836" i="1"/>
  <c r="M2835" i="1"/>
  <c r="M2834" i="1"/>
  <c r="M2833" i="1"/>
  <c r="M2832" i="1"/>
  <c r="M2831" i="1"/>
  <c r="M2830" i="1"/>
  <c r="M2829" i="1"/>
  <c r="M2828" i="1"/>
  <c r="M2827" i="1"/>
  <c r="M2826" i="1"/>
  <c r="M2825" i="1"/>
  <c r="M2824" i="1"/>
  <c r="M2823" i="1"/>
  <c r="M2822" i="1"/>
  <c r="M2821" i="1"/>
  <c r="M2820" i="1"/>
  <c r="M2819" i="1"/>
  <c r="M2818" i="1"/>
  <c r="M2817" i="1"/>
  <c r="M2816" i="1"/>
  <c r="M2815" i="1"/>
  <c r="M2814" i="1"/>
  <c r="M2813" i="1"/>
  <c r="M2812" i="1"/>
  <c r="M2811" i="1"/>
  <c r="M2810" i="1"/>
  <c r="M2809" i="1"/>
  <c r="M2808" i="1"/>
  <c r="M2807" i="1"/>
  <c r="M2806" i="1"/>
  <c r="M2805" i="1"/>
  <c r="M2804" i="1"/>
  <c r="M2803" i="1"/>
  <c r="M2802" i="1"/>
  <c r="M2801" i="1"/>
  <c r="M2800" i="1"/>
  <c r="M2799" i="1"/>
  <c r="M2798" i="1"/>
  <c r="M2797" i="1"/>
  <c r="M2796" i="1"/>
  <c r="M2795" i="1"/>
  <c r="M2794" i="1"/>
  <c r="M2793" i="1"/>
  <c r="M2792" i="1"/>
  <c r="M2791" i="1"/>
  <c r="M2790" i="1"/>
  <c r="M2789" i="1"/>
  <c r="M2788" i="1"/>
  <c r="M2787" i="1"/>
  <c r="M2786" i="1"/>
  <c r="M2785" i="1"/>
  <c r="M2784" i="1"/>
  <c r="M2783" i="1"/>
  <c r="M2782" i="1"/>
  <c r="M2781" i="1"/>
  <c r="M2780" i="1"/>
  <c r="M2779" i="1"/>
  <c r="M2778" i="1"/>
  <c r="M2777" i="1"/>
  <c r="M2776" i="1"/>
  <c r="M2775" i="1"/>
  <c r="M2774" i="1"/>
  <c r="M2773" i="1"/>
  <c r="M2772" i="1"/>
  <c r="M2771" i="1"/>
  <c r="M2770" i="1"/>
  <c r="M2769" i="1"/>
  <c r="M2768" i="1"/>
  <c r="M2767" i="1"/>
  <c r="M2766" i="1"/>
  <c r="M2765" i="1"/>
  <c r="M2764" i="1"/>
  <c r="M2763" i="1"/>
  <c r="M2762" i="1"/>
  <c r="M2761" i="1"/>
  <c r="M2760" i="1"/>
  <c r="M2759" i="1"/>
  <c r="M2758" i="1"/>
  <c r="M2757" i="1"/>
  <c r="M2756" i="1"/>
  <c r="M2755" i="1"/>
  <c r="M2754" i="1"/>
  <c r="M2753" i="1"/>
  <c r="M2752" i="1"/>
  <c r="M2751" i="1"/>
  <c r="M2750" i="1"/>
  <c r="M2749" i="1"/>
  <c r="M2748" i="1"/>
  <c r="M2747" i="1"/>
  <c r="M2746" i="1"/>
  <c r="M2745" i="1"/>
  <c r="M2744" i="1"/>
  <c r="M2743" i="1"/>
  <c r="M2742" i="1"/>
  <c r="M2741" i="1"/>
  <c r="M2740" i="1"/>
  <c r="M2739" i="1"/>
  <c r="M2738" i="1"/>
  <c r="M2737" i="1"/>
  <c r="M2736" i="1"/>
  <c r="M2735" i="1"/>
  <c r="M2734" i="1"/>
  <c r="M2733" i="1"/>
  <c r="M2732" i="1"/>
  <c r="M2731" i="1"/>
  <c r="M2730" i="1"/>
  <c r="M2729" i="1"/>
  <c r="M2728" i="1"/>
  <c r="M2727" i="1"/>
  <c r="M2726" i="1"/>
  <c r="M2725" i="1"/>
  <c r="M2724" i="1"/>
  <c r="M2723" i="1"/>
  <c r="M2722" i="1"/>
  <c r="M2721" i="1"/>
  <c r="M2720" i="1"/>
  <c r="M2719" i="1"/>
  <c r="M2718" i="1"/>
  <c r="M2717" i="1"/>
  <c r="M2716" i="1"/>
  <c r="M2715" i="1"/>
  <c r="M2714" i="1"/>
  <c r="M2713" i="1"/>
  <c r="M2712" i="1"/>
  <c r="M2711" i="1"/>
  <c r="M2710" i="1"/>
  <c r="M2709" i="1"/>
  <c r="M2708" i="1"/>
  <c r="M2707" i="1"/>
  <c r="M2706" i="1"/>
  <c r="M2705" i="1"/>
  <c r="M2704" i="1"/>
  <c r="M2703" i="1"/>
  <c r="M2702" i="1"/>
  <c r="M2701" i="1"/>
  <c r="M2700" i="1"/>
  <c r="M2699" i="1"/>
  <c r="M2698" i="1"/>
  <c r="M2697" i="1"/>
  <c r="M2696" i="1"/>
  <c r="M2695" i="1"/>
  <c r="M2694" i="1"/>
  <c r="M2693" i="1"/>
  <c r="M2692" i="1"/>
  <c r="M2691" i="1"/>
  <c r="M2690" i="1"/>
  <c r="M2689" i="1"/>
  <c r="M2688" i="1"/>
  <c r="M2687" i="1"/>
  <c r="M2686" i="1"/>
  <c r="M2685" i="1"/>
  <c r="M2684" i="1"/>
  <c r="M2683" i="1"/>
  <c r="M2682" i="1"/>
  <c r="M2681" i="1"/>
  <c r="M2680" i="1"/>
  <c r="M2679" i="1"/>
  <c r="M2678" i="1"/>
  <c r="M2677" i="1"/>
  <c r="M2676" i="1"/>
  <c r="M2675" i="1"/>
  <c r="M2674" i="1"/>
  <c r="M2673" i="1"/>
  <c r="M2672" i="1"/>
  <c r="M2671" i="1"/>
  <c r="M2670" i="1"/>
  <c r="M2669" i="1"/>
  <c r="M2668" i="1"/>
  <c r="M2667" i="1"/>
  <c r="M2666" i="1"/>
  <c r="M2665" i="1"/>
  <c r="M2664" i="1"/>
  <c r="M2663" i="1"/>
  <c r="M2662" i="1"/>
  <c r="M2661" i="1"/>
  <c r="M2660" i="1"/>
  <c r="M2659" i="1"/>
  <c r="M2658" i="1"/>
  <c r="M2657" i="1"/>
  <c r="M2656" i="1"/>
  <c r="M2655" i="1"/>
  <c r="M2654" i="1"/>
  <c r="M2653" i="1"/>
  <c r="M2652" i="1"/>
  <c r="M2651" i="1"/>
  <c r="M2650" i="1"/>
  <c r="M2649" i="1"/>
  <c r="M2648" i="1"/>
  <c r="M2647" i="1"/>
  <c r="M2646" i="1"/>
  <c r="M2645" i="1"/>
  <c r="M2644" i="1"/>
  <c r="M2643" i="1"/>
  <c r="M2642" i="1"/>
  <c r="M2641" i="1"/>
  <c r="M2640" i="1"/>
  <c r="M2639" i="1"/>
  <c r="M2638" i="1"/>
  <c r="M2637" i="1"/>
  <c r="M2636" i="1"/>
  <c r="M2635" i="1"/>
  <c r="M2634" i="1"/>
  <c r="M2633" i="1"/>
  <c r="M2632" i="1"/>
  <c r="M2631" i="1"/>
  <c r="M2630" i="1"/>
  <c r="M2629" i="1"/>
  <c r="M2628" i="1"/>
  <c r="M2627" i="1"/>
  <c r="M2626" i="1"/>
  <c r="M2625" i="1"/>
  <c r="M2624" i="1"/>
  <c r="M2623" i="1"/>
  <c r="M2622" i="1"/>
  <c r="M2621" i="1"/>
  <c r="M2620" i="1"/>
  <c r="M2619" i="1"/>
  <c r="M2618" i="1"/>
  <c r="M2617" i="1"/>
  <c r="M2616" i="1"/>
  <c r="M2615" i="1"/>
  <c r="M2614" i="1"/>
  <c r="M2613" i="1"/>
  <c r="M2612" i="1"/>
  <c r="M2611" i="1"/>
  <c r="M2610" i="1"/>
  <c r="M2609" i="1"/>
  <c r="M2608" i="1"/>
  <c r="M2607" i="1"/>
  <c r="M2606" i="1"/>
  <c r="M2605" i="1"/>
  <c r="M2604" i="1"/>
  <c r="M2603" i="1"/>
  <c r="M2602" i="1"/>
  <c r="M2601" i="1"/>
  <c r="M2600" i="1"/>
  <c r="M2599" i="1"/>
  <c r="M2598" i="1"/>
  <c r="M2597" i="1"/>
  <c r="M2596" i="1"/>
  <c r="M2595" i="1"/>
  <c r="M2594" i="1"/>
  <c r="M2593" i="1"/>
  <c r="M2592" i="1"/>
  <c r="M2591" i="1"/>
  <c r="M2590" i="1"/>
  <c r="M2589" i="1"/>
  <c r="M2588" i="1"/>
  <c r="M2587" i="1"/>
  <c r="M2586" i="1"/>
  <c r="M2585" i="1"/>
  <c r="M2584" i="1"/>
  <c r="M2583" i="1"/>
  <c r="M2582" i="1"/>
  <c r="M2581" i="1"/>
  <c r="M2580" i="1"/>
  <c r="M2579" i="1"/>
  <c r="M2578" i="1"/>
  <c r="M2577" i="1"/>
  <c r="M2576" i="1"/>
  <c r="M2575" i="1"/>
  <c r="M2574" i="1"/>
  <c r="M2573" i="1"/>
  <c r="M2572" i="1"/>
  <c r="M2571" i="1"/>
  <c r="M2570" i="1"/>
  <c r="M2569" i="1"/>
  <c r="M2568" i="1"/>
  <c r="M2567" i="1"/>
  <c r="M2566" i="1"/>
  <c r="M2565" i="1"/>
  <c r="M2564" i="1"/>
  <c r="M2563" i="1"/>
  <c r="M2562" i="1"/>
  <c r="M2561" i="1"/>
  <c r="M2560" i="1"/>
  <c r="M2559" i="1"/>
  <c r="M2558" i="1"/>
  <c r="M2557" i="1"/>
  <c r="M2556" i="1"/>
  <c r="M2555" i="1"/>
  <c r="M2554" i="1"/>
  <c r="M2553" i="1"/>
  <c r="M2552" i="1"/>
  <c r="M2551" i="1"/>
  <c r="M2550" i="1"/>
  <c r="M2549" i="1"/>
  <c r="M2548" i="1"/>
  <c r="M2547" i="1"/>
  <c r="M2546" i="1"/>
  <c r="M2545" i="1"/>
  <c r="M2544" i="1"/>
  <c r="M2543" i="1"/>
  <c r="M2542" i="1"/>
  <c r="M2541" i="1"/>
  <c r="M2540" i="1"/>
  <c r="M2539" i="1"/>
  <c r="M2538" i="1"/>
  <c r="M2537" i="1"/>
  <c r="M2536" i="1"/>
  <c r="M2535" i="1"/>
  <c r="M2534" i="1"/>
  <c r="M2533" i="1"/>
  <c r="M2532" i="1"/>
  <c r="M2531" i="1"/>
  <c r="M2530" i="1"/>
  <c r="M2529" i="1"/>
  <c r="M2528" i="1"/>
  <c r="M2527" i="1"/>
  <c r="M2526" i="1"/>
  <c r="M2525" i="1"/>
  <c r="M2524" i="1"/>
  <c r="M2523" i="1"/>
  <c r="M2522" i="1"/>
  <c r="M2521" i="1"/>
  <c r="M2520" i="1"/>
  <c r="M2519" i="1"/>
  <c r="M2518" i="1"/>
  <c r="M2517" i="1"/>
  <c r="M2516" i="1"/>
  <c r="M2515" i="1"/>
  <c r="M2514" i="1"/>
  <c r="M2513" i="1"/>
  <c r="M2512" i="1"/>
  <c r="M2511" i="1"/>
  <c r="M2510" i="1"/>
  <c r="M2509" i="1"/>
  <c r="M2508" i="1"/>
  <c r="M2507" i="1"/>
  <c r="M2506" i="1"/>
  <c r="M2505" i="1"/>
  <c r="M2504" i="1"/>
  <c r="M2503" i="1"/>
  <c r="M2502" i="1"/>
  <c r="M2501" i="1"/>
  <c r="M2500" i="1"/>
  <c r="M2499" i="1"/>
  <c r="M2498" i="1"/>
  <c r="M2497" i="1"/>
  <c r="M2496" i="1"/>
  <c r="M2495" i="1"/>
  <c r="M2494" i="1"/>
  <c r="M2493" i="1"/>
  <c r="M2492" i="1"/>
  <c r="M2491" i="1"/>
  <c r="M2490" i="1"/>
  <c r="M2489" i="1"/>
  <c r="M2488" i="1"/>
  <c r="M2487" i="1"/>
  <c r="M2486" i="1"/>
  <c r="M2485" i="1"/>
  <c r="M2484" i="1"/>
  <c r="M2483" i="1"/>
  <c r="M2482" i="1"/>
  <c r="M2481" i="1"/>
  <c r="M2480" i="1"/>
  <c r="M2479" i="1"/>
  <c r="M2478" i="1"/>
  <c r="M2477" i="1"/>
  <c r="M2476" i="1"/>
  <c r="M2475" i="1"/>
  <c r="M2474" i="1"/>
  <c r="M2473" i="1"/>
  <c r="M2472" i="1"/>
  <c r="M2471" i="1"/>
  <c r="M2470" i="1"/>
  <c r="M2469" i="1"/>
  <c r="M2468" i="1"/>
  <c r="M2467" i="1"/>
  <c r="M2466" i="1"/>
  <c r="M2465" i="1"/>
  <c r="M2464" i="1"/>
  <c r="M2463" i="1"/>
  <c r="M2462" i="1"/>
  <c r="M2461" i="1"/>
  <c r="M2460" i="1"/>
  <c r="M2459" i="1"/>
  <c r="M2458" i="1"/>
  <c r="M2457" i="1"/>
  <c r="M2456" i="1"/>
  <c r="M2455" i="1"/>
  <c r="M2454" i="1"/>
  <c r="M2453" i="1"/>
  <c r="M2452" i="1"/>
  <c r="M2451" i="1"/>
  <c r="M2450" i="1"/>
  <c r="M2449" i="1"/>
  <c r="M2448" i="1"/>
  <c r="M2447" i="1"/>
  <c r="M2446" i="1"/>
  <c r="M2445" i="1"/>
  <c r="M2444" i="1"/>
  <c r="M2443" i="1"/>
  <c r="M2442" i="1"/>
  <c r="M2441" i="1"/>
  <c r="M2440" i="1"/>
  <c r="M2439" i="1"/>
  <c r="M2438" i="1"/>
  <c r="M2437" i="1"/>
  <c r="M2436" i="1"/>
  <c r="M2435" i="1"/>
  <c r="M2434" i="1"/>
  <c r="M2433" i="1"/>
  <c r="M2432" i="1"/>
  <c r="M2431" i="1"/>
  <c r="M2430" i="1"/>
  <c r="M2429" i="1"/>
  <c r="M2428" i="1"/>
  <c r="M2427" i="1"/>
  <c r="M2426" i="1"/>
  <c r="M2425" i="1"/>
  <c r="M2424" i="1"/>
  <c r="M2423" i="1"/>
  <c r="M2422" i="1"/>
  <c r="M2421" i="1"/>
  <c r="M2420" i="1"/>
  <c r="M2419" i="1"/>
  <c r="M2418" i="1"/>
  <c r="M2417" i="1"/>
  <c r="M2416" i="1"/>
  <c r="M2415" i="1"/>
  <c r="M2414" i="1"/>
  <c r="M2413" i="1"/>
  <c r="M2412" i="1"/>
  <c r="M2411" i="1"/>
  <c r="M2410" i="1"/>
  <c r="M2409" i="1"/>
  <c r="M2408" i="1"/>
  <c r="M2407" i="1"/>
  <c r="M2406" i="1"/>
  <c r="M2405" i="1"/>
  <c r="M2404" i="1"/>
  <c r="M2403" i="1"/>
  <c r="M2402" i="1"/>
  <c r="M2401" i="1"/>
  <c r="M2400" i="1"/>
  <c r="M2399" i="1"/>
  <c r="M2398" i="1"/>
  <c r="M2397" i="1"/>
  <c r="M2396" i="1"/>
  <c r="M2395" i="1"/>
  <c r="M2394" i="1"/>
  <c r="M2393" i="1"/>
  <c r="M2392" i="1"/>
  <c r="M2391" i="1"/>
  <c r="M2390" i="1"/>
  <c r="M2389" i="1"/>
  <c r="M2388" i="1"/>
  <c r="M2387" i="1"/>
  <c r="M2386" i="1"/>
  <c r="M2385" i="1"/>
  <c r="M2384" i="1"/>
  <c r="M2383" i="1"/>
  <c r="M2382" i="1"/>
  <c r="M2381" i="1"/>
  <c r="M2380" i="1"/>
  <c r="M2379" i="1"/>
  <c r="M2378" i="1"/>
  <c r="M2377" i="1"/>
  <c r="M2376" i="1"/>
  <c r="M2375" i="1"/>
  <c r="M2374" i="1"/>
  <c r="M2373" i="1"/>
  <c r="M2372" i="1"/>
  <c r="M2371" i="1"/>
  <c r="M2370" i="1"/>
  <c r="M2369" i="1"/>
  <c r="M2368" i="1"/>
  <c r="M2367" i="1"/>
  <c r="M2366" i="1"/>
  <c r="M2365" i="1"/>
  <c r="M2364" i="1"/>
  <c r="M2363" i="1"/>
  <c r="M2362" i="1"/>
  <c r="M2361" i="1"/>
  <c r="M2360" i="1"/>
  <c r="M2359" i="1"/>
  <c r="M2358" i="1"/>
  <c r="M2357" i="1"/>
  <c r="M2356" i="1"/>
  <c r="M2355" i="1"/>
  <c r="M2354" i="1"/>
  <c r="M2353" i="1"/>
  <c r="M2352" i="1"/>
  <c r="M2351" i="1"/>
  <c r="M2350" i="1"/>
  <c r="M2349" i="1"/>
  <c r="M2348" i="1"/>
  <c r="M2347" i="1"/>
  <c r="M2346" i="1"/>
  <c r="M2345" i="1"/>
  <c r="M2344" i="1"/>
  <c r="M2343" i="1"/>
  <c r="M2342" i="1"/>
  <c r="M2341" i="1"/>
  <c r="M2340" i="1"/>
  <c r="M2339" i="1"/>
  <c r="M2338" i="1"/>
  <c r="M2337" i="1"/>
  <c r="M2336" i="1"/>
  <c r="M2335" i="1"/>
  <c r="M2334" i="1"/>
  <c r="M2333" i="1"/>
  <c r="M2332" i="1"/>
  <c r="M2331" i="1"/>
  <c r="M2330" i="1"/>
  <c r="M2329" i="1"/>
  <c r="M2328" i="1"/>
  <c r="M2327" i="1"/>
  <c r="M2326" i="1"/>
  <c r="M2325" i="1"/>
  <c r="M2324" i="1"/>
  <c r="M2323" i="1"/>
  <c r="M2322" i="1"/>
  <c r="M2321" i="1"/>
  <c r="M2320" i="1"/>
  <c r="M2319" i="1"/>
  <c r="M2318" i="1"/>
  <c r="M2317" i="1"/>
  <c r="M2316" i="1"/>
  <c r="M2315" i="1"/>
  <c r="M2314" i="1"/>
  <c r="M2313" i="1"/>
  <c r="M2312" i="1"/>
  <c r="M2311" i="1"/>
  <c r="M2310" i="1"/>
  <c r="M2309" i="1"/>
  <c r="M2308" i="1"/>
  <c r="M2307" i="1"/>
  <c r="M2306" i="1"/>
  <c r="M2305" i="1"/>
  <c r="M2304" i="1"/>
  <c r="M2303" i="1"/>
  <c r="M2302" i="1"/>
  <c r="M2301" i="1"/>
  <c r="M2300" i="1"/>
  <c r="M2299" i="1"/>
  <c r="M2298" i="1"/>
  <c r="M2297" i="1"/>
  <c r="M2296" i="1"/>
  <c r="M2295" i="1"/>
  <c r="M2294" i="1"/>
  <c r="M2293" i="1"/>
  <c r="M2292" i="1"/>
  <c r="M2291" i="1"/>
  <c r="M2290" i="1"/>
  <c r="M2289" i="1"/>
  <c r="M2288" i="1"/>
  <c r="M2287" i="1"/>
  <c r="M2286" i="1"/>
  <c r="M2285" i="1"/>
  <c r="M2284" i="1"/>
  <c r="M2283" i="1"/>
  <c r="M2282" i="1"/>
  <c r="M2281" i="1"/>
  <c r="M2280" i="1"/>
  <c r="M2279" i="1"/>
  <c r="M2278" i="1"/>
  <c r="M2277" i="1"/>
  <c r="M2276" i="1"/>
  <c r="M2275" i="1"/>
  <c r="M2274" i="1"/>
  <c r="M2273" i="1"/>
  <c r="M2272" i="1"/>
  <c r="M2271" i="1"/>
  <c r="M2270" i="1"/>
  <c r="M2269" i="1"/>
  <c r="M2268" i="1"/>
  <c r="M2267" i="1"/>
  <c r="M2266" i="1"/>
  <c r="M2265" i="1"/>
  <c r="M2264" i="1"/>
  <c r="M2263" i="1"/>
  <c r="M2262" i="1"/>
  <c r="M2261" i="1"/>
  <c r="M2260" i="1"/>
  <c r="M2259" i="1"/>
  <c r="M2258" i="1"/>
  <c r="M2257" i="1"/>
  <c r="M2256" i="1"/>
  <c r="M2255" i="1"/>
  <c r="M2254" i="1"/>
  <c r="M2253" i="1"/>
  <c r="M2252" i="1"/>
  <c r="M2251" i="1"/>
  <c r="M2250" i="1"/>
  <c r="M2249" i="1"/>
  <c r="M2248" i="1"/>
  <c r="M2247" i="1"/>
  <c r="M2246" i="1"/>
  <c r="M2245" i="1"/>
  <c r="M2244" i="1"/>
  <c r="M2243" i="1"/>
  <c r="M2242" i="1"/>
  <c r="M2241" i="1"/>
  <c r="M2240" i="1"/>
  <c r="M2239" i="1"/>
  <c r="M2238" i="1"/>
  <c r="M2237" i="1"/>
  <c r="M2236" i="1"/>
  <c r="M2235" i="1"/>
  <c r="M2234" i="1"/>
  <c r="M2233" i="1"/>
  <c r="M2232" i="1"/>
  <c r="M2231" i="1"/>
  <c r="M2230" i="1"/>
  <c r="M2229" i="1"/>
  <c r="M2228" i="1"/>
  <c r="M2227" i="1"/>
  <c r="M2226" i="1"/>
  <c r="M2225" i="1"/>
  <c r="M2224" i="1"/>
  <c r="M2223" i="1"/>
  <c r="M2222" i="1"/>
  <c r="M2221" i="1"/>
  <c r="M2220" i="1"/>
  <c r="M2219" i="1"/>
  <c r="M2218" i="1"/>
  <c r="M2217" i="1"/>
  <c r="M2216" i="1"/>
  <c r="M2215" i="1"/>
  <c r="M2214" i="1"/>
  <c r="M2213" i="1"/>
  <c r="M2212" i="1"/>
  <c r="M2211" i="1"/>
  <c r="M2210" i="1"/>
  <c r="M2209" i="1"/>
  <c r="M2208" i="1"/>
  <c r="M2207" i="1"/>
  <c r="M2206" i="1"/>
  <c r="M2205" i="1"/>
  <c r="M2204" i="1"/>
  <c r="M2203" i="1"/>
  <c r="M2202" i="1"/>
  <c r="M2201" i="1"/>
  <c r="M2200" i="1"/>
  <c r="M2199" i="1"/>
  <c r="M2198" i="1"/>
  <c r="M2197" i="1"/>
  <c r="M2196" i="1"/>
  <c r="M2195" i="1"/>
  <c r="M2194" i="1"/>
  <c r="M2193" i="1"/>
  <c r="M2192" i="1"/>
  <c r="M2191" i="1"/>
  <c r="M2190" i="1"/>
  <c r="M2189" i="1"/>
  <c r="M2188" i="1"/>
  <c r="M2187" i="1"/>
  <c r="M2186" i="1"/>
  <c r="M2185" i="1"/>
  <c r="M2184" i="1"/>
  <c r="M2183" i="1"/>
  <c r="M2182" i="1"/>
  <c r="M2181" i="1"/>
  <c r="M2180" i="1"/>
  <c r="M2179" i="1"/>
  <c r="M2178" i="1"/>
  <c r="M2177" i="1"/>
  <c r="M2176" i="1"/>
  <c r="M2175" i="1"/>
  <c r="M2174" i="1"/>
  <c r="M2173" i="1"/>
  <c r="M2172" i="1"/>
  <c r="M2171" i="1"/>
  <c r="M2170" i="1"/>
  <c r="M2169" i="1"/>
  <c r="M2168" i="1"/>
  <c r="M2167" i="1"/>
  <c r="M2166" i="1"/>
  <c r="M2165" i="1"/>
  <c r="M2164" i="1"/>
  <c r="M2163" i="1"/>
  <c r="M2162" i="1"/>
  <c r="M2161" i="1"/>
  <c r="M2160" i="1"/>
  <c r="M2159" i="1"/>
  <c r="M2158" i="1"/>
  <c r="M2157" i="1"/>
  <c r="M2156" i="1"/>
  <c r="M2155" i="1"/>
  <c r="M2154" i="1"/>
  <c r="M2153" i="1"/>
  <c r="M2152" i="1"/>
  <c r="M2151" i="1"/>
  <c r="M2150" i="1"/>
  <c r="M2149" i="1"/>
  <c r="M2148" i="1"/>
  <c r="M2147" i="1"/>
  <c r="M2146" i="1"/>
  <c r="M2145" i="1"/>
  <c r="M2144" i="1"/>
  <c r="M2143" i="1"/>
  <c r="M2142" i="1"/>
  <c r="M2141" i="1"/>
  <c r="M2140" i="1"/>
  <c r="M2139" i="1"/>
  <c r="M2138" i="1"/>
  <c r="M2137" i="1"/>
  <c r="M2136" i="1"/>
  <c r="M2135" i="1"/>
  <c r="M2134" i="1"/>
  <c r="M2133" i="1"/>
  <c r="M2132" i="1"/>
  <c r="M2131" i="1"/>
  <c r="M2130" i="1"/>
  <c r="M2129" i="1"/>
  <c r="M2128" i="1"/>
  <c r="M2127" i="1"/>
  <c r="M2126" i="1"/>
  <c r="M2125" i="1"/>
  <c r="M2124" i="1"/>
  <c r="M2123" i="1"/>
  <c r="M2122" i="1"/>
  <c r="M2121" i="1"/>
  <c r="M2120" i="1"/>
  <c r="M2119" i="1"/>
  <c r="M2118" i="1"/>
  <c r="M2117" i="1"/>
  <c r="M2116" i="1"/>
  <c r="M2115" i="1"/>
  <c r="M2114" i="1"/>
  <c r="M2113" i="1"/>
  <c r="M2112" i="1"/>
  <c r="M2111" i="1"/>
  <c r="M2110" i="1"/>
  <c r="M2109" i="1"/>
  <c r="M2108" i="1"/>
  <c r="M2107" i="1"/>
  <c r="M2106" i="1"/>
  <c r="M2105" i="1"/>
  <c r="M2104" i="1"/>
  <c r="M2103" i="1"/>
  <c r="M2102" i="1"/>
  <c r="M2101" i="1"/>
  <c r="M2100" i="1"/>
  <c r="M2099" i="1"/>
  <c r="M2098" i="1"/>
  <c r="M2097" i="1"/>
  <c r="M2096" i="1"/>
  <c r="M2095" i="1"/>
  <c r="M2094" i="1"/>
  <c r="M2093" i="1"/>
  <c r="M2092" i="1"/>
  <c r="M2091" i="1"/>
  <c r="M2090" i="1"/>
  <c r="M2089" i="1"/>
  <c r="M2088" i="1"/>
  <c r="M2087" i="1"/>
  <c r="M2086" i="1"/>
  <c r="M2085" i="1"/>
  <c r="M2084" i="1"/>
  <c r="M2083" i="1"/>
  <c r="M2082" i="1"/>
  <c r="M2081" i="1"/>
  <c r="M2080" i="1"/>
  <c r="M2079" i="1"/>
  <c r="M2078" i="1"/>
  <c r="M2077" i="1"/>
  <c r="M2076" i="1"/>
  <c r="M2075" i="1"/>
  <c r="M2074" i="1"/>
  <c r="M2073" i="1"/>
  <c r="M2072" i="1"/>
  <c r="M2071" i="1"/>
  <c r="M2070" i="1"/>
  <c r="M2069" i="1"/>
  <c r="M2068" i="1"/>
  <c r="M2067" i="1"/>
  <c r="M2066" i="1"/>
  <c r="M2065" i="1"/>
  <c r="M2064" i="1"/>
  <c r="M2063" i="1"/>
  <c r="M2062" i="1"/>
  <c r="M2061" i="1"/>
  <c r="M2060" i="1"/>
  <c r="M2059" i="1"/>
  <c r="M2058" i="1"/>
  <c r="M2057" i="1"/>
  <c r="M2056" i="1"/>
  <c r="M2055" i="1"/>
  <c r="M2054" i="1"/>
  <c r="M2053" i="1"/>
  <c r="M2052" i="1"/>
  <c r="M2051" i="1"/>
  <c r="M2050" i="1"/>
  <c r="M2049" i="1"/>
  <c r="M2048" i="1"/>
  <c r="M2047" i="1"/>
  <c r="M2046" i="1"/>
  <c r="M2045" i="1"/>
  <c r="M2044" i="1"/>
  <c r="M2043" i="1"/>
  <c r="M2042" i="1"/>
  <c r="M2041" i="1"/>
  <c r="M2040" i="1"/>
  <c r="M2039" i="1"/>
  <c r="M2038" i="1"/>
  <c r="M2037" i="1"/>
  <c r="M2036" i="1"/>
  <c r="M2035" i="1"/>
  <c r="M2034" i="1"/>
  <c r="M2033" i="1"/>
  <c r="M2032" i="1"/>
  <c r="M2031" i="1"/>
  <c r="M2030" i="1"/>
  <c r="M2029" i="1"/>
  <c r="M2028" i="1"/>
  <c r="M2027" i="1"/>
  <c r="M2026" i="1"/>
  <c r="M2025" i="1"/>
  <c r="M2024" i="1"/>
  <c r="M2023" i="1"/>
  <c r="M2022" i="1"/>
  <c r="M2021" i="1"/>
  <c r="M2020" i="1"/>
  <c r="M2019" i="1"/>
  <c r="M2018" i="1"/>
  <c r="M2017" i="1"/>
  <c r="M2016" i="1"/>
  <c r="M2015" i="1"/>
  <c r="M2014" i="1"/>
  <c r="M2013" i="1"/>
  <c r="M2012" i="1"/>
  <c r="M2011" i="1"/>
  <c r="M2010" i="1"/>
  <c r="M2009" i="1"/>
  <c r="M2008" i="1"/>
  <c r="M2007" i="1"/>
  <c r="M2006" i="1"/>
  <c r="M2005" i="1"/>
  <c r="M2004" i="1"/>
  <c r="M2003" i="1"/>
  <c r="M2002" i="1"/>
  <c r="M2001" i="1"/>
  <c r="M2000" i="1"/>
  <c r="M1999" i="1"/>
  <c r="M1998" i="1"/>
  <c r="M1997" i="1"/>
  <c r="M1996" i="1"/>
  <c r="M1995" i="1"/>
  <c r="M1994" i="1"/>
  <c r="M1993" i="1"/>
  <c r="M1992" i="1"/>
  <c r="M1991" i="1"/>
  <c r="M1990" i="1"/>
  <c r="M1989" i="1"/>
  <c r="M1988" i="1"/>
  <c r="M1987" i="1"/>
  <c r="M1986" i="1"/>
  <c r="M1985" i="1"/>
  <c r="M1984" i="1"/>
  <c r="M1983" i="1"/>
  <c r="M1982" i="1"/>
  <c r="M1981" i="1"/>
  <c r="M1980" i="1"/>
  <c r="M1979" i="1"/>
  <c r="M1978" i="1"/>
  <c r="M1977" i="1"/>
  <c r="M1976" i="1"/>
  <c r="M1975" i="1"/>
  <c r="M1974" i="1"/>
  <c r="M1973" i="1"/>
  <c r="M1972" i="1"/>
  <c r="M1971" i="1"/>
  <c r="M1970" i="1"/>
  <c r="M1969" i="1"/>
  <c r="M1968" i="1"/>
  <c r="M1967" i="1"/>
  <c r="M1966" i="1"/>
  <c r="M1965" i="1"/>
  <c r="M1964" i="1"/>
  <c r="M1963" i="1"/>
  <c r="M1962" i="1"/>
  <c r="M1961" i="1"/>
  <c r="M1960" i="1"/>
  <c r="M1959" i="1"/>
  <c r="M1958" i="1"/>
  <c r="M1957" i="1"/>
  <c r="M1956" i="1"/>
  <c r="M1955" i="1"/>
  <c r="M1954" i="1"/>
  <c r="M1953" i="1"/>
  <c r="M1952" i="1"/>
  <c r="M1951" i="1"/>
  <c r="M1950" i="1"/>
  <c r="M1949" i="1"/>
  <c r="M1948" i="1"/>
  <c r="M1947" i="1"/>
  <c r="M1946" i="1"/>
  <c r="M1945" i="1"/>
  <c r="M1944" i="1"/>
  <c r="M1943" i="1"/>
  <c r="M1942" i="1"/>
  <c r="M1941" i="1"/>
  <c r="M1940" i="1"/>
  <c r="M1939" i="1"/>
  <c r="M1938" i="1"/>
  <c r="M1937" i="1"/>
  <c r="M1936" i="1"/>
  <c r="M1935" i="1"/>
  <c r="M1934" i="1"/>
  <c r="M1933" i="1"/>
  <c r="M1932" i="1"/>
  <c r="M1931" i="1"/>
  <c r="M1930" i="1"/>
  <c r="M1929" i="1"/>
  <c r="M1928" i="1"/>
  <c r="M1927" i="1"/>
  <c r="M1926" i="1"/>
  <c r="M1925" i="1"/>
  <c r="M1924" i="1"/>
  <c r="M1923" i="1"/>
  <c r="M1922" i="1"/>
  <c r="M1921" i="1"/>
  <c r="M1920" i="1"/>
  <c r="M1919" i="1"/>
  <c r="M1918" i="1"/>
  <c r="M1917" i="1"/>
  <c r="M1916" i="1"/>
  <c r="M1915" i="1"/>
  <c r="M1914" i="1"/>
  <c r="M1913" i="1"/>
  <c r="M1912" i="1"/>
  <c r="M1911" i="1"/>
  <c r="M1910" i="1"/>
  <c r="M1909" i="1"/>
  <c r="M1908" i="1"/>
  <c r="M1907" i="1"/>
  <c r="M1906" i="1"/>
  <c r="M1905" i="1"/>
  <c r="M1904" i="1"/>
  <c r="M1903" i="1"/>
  <c r="M1902" i="1"/>
  <c r="M1901" i="1"/>
  <c r="M1900" i="1"/>
  <c r="M1899" i="1"/>
  <c r="M1898" i="1"/>
  <c r="M1897" i="1"/>
  <c r="M1896" i="1"/>
  <c r="M1895" i="1"/>
  <c r="M1894" i="1"/>
  <c r="M1893" i="1"/>
  <c r="M1892" i="1"/>
  <c r="M1891" i="1"/>
  <c r="M1890" i="1"/>
  <c r="M1889" i="1"/>
  <c r="M1888" i="1"/>
  <c r="M1887" i="1"/>
  <c r="M1886" i="1"/>
  <c r="M1885" i="1"/>
  <c r="M1884" i="1"/>
  <c r="M1883" i="1"/>
  <c r="M1882" i="1"/>
  <c r="M1881" i="1"/>
  <c r="M1880" i="1"/>
  <c r="M1879" i="1"/>
  <c r="M1878" i="1"/>
  <c r="M1877" i="1"/>
  <c r="M1876" i="1"/>
  <c r="M1875" i="1"/>
  <c r="M1874" i="1"/>
  <c r="M1873" i="1"/>
  <c r="M1872" i="1"/>
  <c r="M1871" i="1"/>
  <c r="M1870" i="1"/>
  <c r="M1869" i="1"/>
  <c r="M1868" i="1"/>
  <c r="M1867" i="1"/>
  <c r="M1866" i="1"/>
  <c r="M1865" i="1"/>
  <c r="M1864" i="1"/>
  <c r="M1863" i="1"/>
  <c r="M1862" i="1"/>
  <c r="M1861" i="1"/>
  <c r="M1860" i="1"/>
  <c r="M1859" i="1"/>
  <c r="M1858" i="1"/>
  <c r="M1857" i="1"/>
  <c r="M1856" i="1"/>
  <c r="M1855" i="1"/>
  <c r="M1854" i="1"/>
  <c r="M1853" i="1"/>
  <c r="M1852" i="1"/>
  <c r="M1851" i="1"/>
  <c r="M1850" i="1"/>
  <c r="M1849" i="1"/>
  <c r="M1848" i="1"/>
  <c r="M1847" i="1"/>
  <c r="M1846" i="1"/>
  <c r="M1845" i="1"/>
  <c r="M1844" i="1"/>
  <c r="M1843" i="1"/>
  <c r="M1842" i="1"/>
  <c r="M1841" i="1"/>
  <c r="M1840" i="1"/>
  <c r="M1839" i="1"/>
  <c r="M1838" i="1"/>
  <c r="M1837" i="1"/>
  <c r="M1836" i="1"/>
  <c r="M1835" i="1"/>
  <c r="M1834" i="1"/>
  <c r="M1833" i="1"/>
  <c r="M1832" i="1"/>
  <c r="M1831" i="1"/>
  <c r="M1830" i="1"/>
  <c r="M1829" i="1"/>
  <c r="M1828" i="1"/>
  <c r="M1827" i="1"/>
  <c r="M1826" i="1"/>
  <c r="M1825" i="1"/>
  <c r="M1824" i="1"/>
  <c r="M1823" i="1"/>
  <c r="M1822" i="1"/>
  <c r="M1821" i="1"/>
  <c r="M1820" i="1"/>
  <c r="M1819" i="1"/>
  <c r="M1818" i="1"/>
  <c r="M1817" i="1"/>
  <c r="M1816" i="1"/>
  <c r="M1815" i="1"/>
  <c r="M1814" i="1"/>
  <c r="M1813" i="1"/>
  <c r="M1812" i="1"/>
  <c r="M1811" i="1"/>
  <c r="M1810" i="1"/>
  <c r="M1809" i="1"/>
  <c r="M1808" i="1"/>
  <c r="M1807" i="1"/>
  <c r="M1806" i="1"/>
  <c r="M1805" i="1"/>
  <c r="M1804" i="1"/>
  <c r="M1803" i="1"/>
  <c r="M1802" i="1"/>
  <c r="M1801" i="1"/>
  <c r="M1800" i="1"/>
  <c r="M1799" i="1"/>
  <c r="M1798" i="1"/>
  <c r="M1797" i="1"/>
  <c r="M1796" i="1"/>
  <c r="M1795" i="1"/>
  <c r="M1794" i="1"/>
  <c r="M1793" i="1"/>
  <c r="M1792" i="1"/>
  <c r="M1791" i="1"/>
  <c r="M1790" i="1"/>
  <c r="M1789" i="1"/>
  <c r="M1788" i="1"/>
  <c r="M1787" i="1"/>
  <c r="M1786" i="1"/>
  <c r="M1785" i="1"/>
  <c r="M1784" i="1"/>
  <c r="M1783" i="1"/>
  <c r="M1782" i="1"/>
  <c r="M1781" i="1"/>
  <c r="M1780" i="1"/>
  <c r="M1779" i="1"/>
  <c r="M1778" i="1"/>
  <c r="M1777" i="1"/>
  <c r="M1776" i="1"/>
  <c r="M1775" i="1"/>
  <c r="M1774" i="1"/>
  <c r="M1773" i="1"/>
  <c r="M1772" i="1"/>
  <c r="M1771" i="1"/>
  <c r="M1770" i="1"/>
  <c r="M1769" i="1"/>
  <c r="M1768" i="1"/>
  <c r="M1767" i="1"/>
  <c r="M1766" i="1"/>
  <c r="M1765" i="1"/>
  <c r="M1764" i="1"/>
  <c r="M1763" i="1"/>
  <c r="M1762" i="1"/>
  <c r="M1761" i="1"/>
  <c r="M1760" i="1"/>
  <c r="M1759" i="1"/>
  <c r="M1758" i="1"/>
  <c r="M1757" i="1"/>
  <c r="M1756" i="1"/>
  <c r="M1755" i="1"/>
  <c r="M1754" i="1"/>
  <c r="M1753" i="1"/>
  <c r="M1752" i="1"/>
  <c r="M1751" i="1"/>
  <c r="M1750" i="1"/>
  <c r="M1749" i="1"/>
  <c r="M1748" i="1"/>
  <c r="M1747" i="1"/>
  <c r="M1746" i="1"/>
  <c r="M1745" i="1"/>
  <c r="M1744" i="1"/>
  <c r="M1743" i="1"/>
  <c r="M1742" i="1"/>
  <c r="M1741" i="1"/>
  <c r="M1740" i="1"/>
  <c r="M1739" i="1"/>
  <c r="M1738" i="1"/>
  <c r="M1737" i="1"/>
  <c r="M1736" i="1"/>
  <c r="M1735" i="1"/>
  <c r="M1734" i="1"/>
  <c r="M1733" i="1"/>
  <c r="M1732" i="1"/>
  <c r="M1731" i="1"/>
  <c r="M1730" i="1"/>
  <c r="M1729" i="1"/>
  <c r="M1728" i="1"/>
  <c r="M1727" i="1"/>
  <c r="M1726" i="1"/>
  <c r="M1725" i="1"/>
  <c r="M1724" i="1"/>
  <c r="M1723" i="1"/>
  <c r="M1722" i="1"/>
  <c r="M1721" i="1"/>
  <c r="M1720" i="1"/>
  <c r="M1719" i="1"/>
  <c r="M1718" i="1"/>
  <c r="M1717" i="1"/>
  <c r="M1716" i="1"/>
  <c r="M1715" i="1"/>
  <c r="M1714" i="1"/>
  <c r="M1713" i="1"/>
  <c r="M1712" i="1"/>
  <c r="M1711" i="1"/>
  <c r="M1710" i="1"/>
  <c r="M1709" i="1"/>
  <c r="M1708" i="1"/>
  <c r="M1707" i="1"/>
  <c r="M1706" i="1"/>
  <c r="M1705" i="1"/>
  <c r="M1704" i="1"/>
  <c r="M1703" i="1"/>
  <c r="M1702" i="1"/>
  <c r="M1701" i="1"/>
  <c r="M1700" i="1"/>
  <c r="M1699" i="1"/>
  <c r="M1698" i="1"/>
  <c r="M1697" i="1"/>
  <c r="M1696" i="1"/>
  <c r="M1695" i="1"/>
  <c r="M1694" i="1"/>
  <c r="M1693" i="1"/>
  <c r="M1692" i="1"/>
  <c r="M1691" i="1"/>
  <c r="M1690" i="1"/>
  <c r="M1689" i="1"/>
  <c r="M1688" i="1"/>
  <c r="M1687" i="1"/>
  <c r="M1686" i="1"/>
  <c r="M1685" i="1"/>
  <c r="M1684" i="1"/>
  <c r="M1683" i="1"/>
  <c r="M1682" i="1"/>
  <c r="M1681" i="1"/>
  <c r="M1680" i="1"/>
  <c r="M1679" i="1"/>
  <c r="M1678" i="1"/>
  <c r="M1677" i="1"/>
  <c r="M1676" i="1"/>
  <c r="M1675" i="1"/>
  <c r="M1674" i="1"/>
  <c r="M1673" i="1"/>
  <c r="M1672" i="1"/>
  <c r="M1671" i="1"/>
  <c r="M1670" i="1"/>
  <c r="M1669" i="1"/>
  <c r="M1668" i="1"/>
  <c r="M1667" i="1"/>
  <c r="M1666" i="1"/>
  <c r="M1665" i="1"/>
  <c r="M1664" i="1"/>
  <c r="M1663" i="1"/>
  <c r="M1662" i="1"/>
  <c r="M1661" i="1"/>
  <c r="M1660" i="1"/>
  <c r="M1659" i="1"/>
  <c r="M1658" i="1"/>
  <c r="M1657" i="1"/>
  <c r="M1656" i="1"/>
  <c r="M1655" i="1"/>
  <c r="M1654" i="1"/>
  <c r="M1653" i="1"/>
  <c r="M1652" i="1"/>
  <c r="M1651" i="1"/>
  <c r="M1650" i="1"/>
  <c r="M1649" i="1"/>
  <c r="M1648" i="1"/>
  <c r="M1647" i="1"/>
  <c r="M1646" i="1"/>
  <c r="M1645" i="1"/>
  <c r="M1644" i="1"/>
  <c r="M1643" i="1"/>
  <c r="M1642" i="1"/>
  <c r="M1641" i="1"/>
  <c r="M1640" i="1"/>
  <c r="M1639" i="1"/>
  <c r="M1638" i="1"/>
  <c r="M1637" i="1"/>
  <c r="M1636" i="1"/>
  <c r="M1635" i="1"/>
  <c r="M1634" i="1"/>
  <c r="M1633" i="1"/>
  <c r="M1632" i="1"/>
  <c r="M1631" i="1"/>
  <c r="M1630" i="1"/>
  <c r="M1629" i="1"/>
  <c r="M1628" i="1"/>
  <c r="M1627" i="1"/>
  <c r="M1626" i="1"/>
  <c r="M1625" i="1"/>
  <c r="M1624" i="1"/>
  <c r="M1623" i="1"/>
  <c r="M1622" i="1"/>
  <c r="M1621" i="1"/>
  <c r="M1620" i="1"/>
  <c r="M1619" i="1"/>
  <c r="M1618" i="1"/>
  <c r="M1617" i="1"/>
  <c r="M1616" i="1"/>
  <c r="M1615" i="1"/>
  <c r="M1614" i="1"/>
  <c r="M1613" i="1"/>
  <c r="M1612" i="1"/>
  <c r="M1611" i="1"/>
  <c r="M1610" i="1"/>
  <c r="M1609" i="1"/>
  <c r="M1608" i="1"/>
  <c r="M1607" i="1"/>
  <c r="M1606" i="1"/>
  <c r="M1605" i="1"/>
  <c r="M1604" i="1"/>
  <c r="M1603" i="1"/>
  <c r="M1602" i="1"/>
  <c r="M1601" i="1"/>
  <c r="M1600" i="1"/>
  <c r="M1599" i="1"/>
  <c r="M1598" i="1"/>
  <c r="M1597" i="1"/>
  <c r="M1596" i="1"/>
  <c r="M1595" i="1"/>
  <c r="M1594" i="1"/>
  <c r="M1593" i="1"/>
  <c r="M1592" i="1"/>
  <c r="M1591" i="1"/>
  <c r="M1590" i="1"/>
  <c r="M1589" i="1"/>
  <c r="M1588" i="1"/>
  <c r="M1587" i="1"/>
  <c r="M1586" i="1"/>
  <c r="M1585" i="1"/>
  <c r="M1584" i="1"/>
  <c r="M1583" i="1"/>
  <c r="M1582" i="1"/>
  <c r="M1581" i="1"/>
  <c r="M1580" i="1"/>
  <c r="M1579" i="1"/>
  <c r="M1578" i="1"/>
  <c r="M1577" i="1"/>
  <c r="M1576" i="1"/>
  <c r="M1575" i="1"/>
  <c r="M1574" i="1"/>
  <c r="M1573" i="1"/>
  <c r="M1572" i="1"/>
  <c r="M1571" i="1"/>
  <c r="M1570" i="1"/>
  <c r="M1569" i="1"/>
  <c r="M1568" i="1"/>
  <c r="M1567" i="1"/>
  <c r="M1566" i="1"/>
  <c r="M1565" i="1"/>
  <c r="M1564" i="1"/>
  <c r="M1563" i="1"/>
  <c r="M1562" i="1"/>
  <c r="M1561" i="1"/>
  <c r="M1560" i="1"/>
  <c r="M1559" i="1"/>
  <c r="M1558" i="1"/>
  <c r="M1557" i="1"/>
  <c r="M1556" i="1"/>
  <c r="M1555" i="1"/>
  <c r="M1554" i="1"/>
  <c r="M1553" i="1"/>
  <c r="M1552" i="1"/>
  <c r="M1551" i="1"/>
  <c r="M1550" i="1"/>
  <c r="M1549" i="1"/>
  <c r="M1548" i="1"/>
  <c r="M1547" i="1"/>
  <c r="M1546" i="1"/>
  <c r="M1545" i="1"/>
  <c r="M1544" i="1"/>
  <c r="M1543" i="1"/>
  <c r="M1542" i="1"/>
  <c r="M1541" i="1"/>
  <c r="M1540" i="1"/>
  <c r="M1539" i="1"/>
  <c r="M1538" i="1"/>
  <c r="M1537" i="1"/>
  <c r="M1536" i="1"/>
  <c r="M1535" i="1"/>
  <c r="M1534" i="1"/>
  <c r="M1533" i="1"/>
  <c r="M1532" i="1"/>
  <c r="M1531" i="1"/>
  <c r="M1530" i="1"/>
  <c r="M1529" i="1"/>
  <c r="M1528" i="1"/>
  <c r="M1527" i="1"/>
  <c r="M1526" i="1"/>
  <c r="M1525" i="1"/>
  <c r="M1524" i="1"/>
  <c r="M1523" i="1"/>
  <c r="M1522" i="1"/>
  <c r="M1521" i="1"/>
  <c r="M1520" i="1"/>
  <c r="M1519" i="1"/>
  <c r="M1518" i="1"/>
  <c r="M1517" i="1"/>
  <c r="M1516" i="1"/>
  <c r="M1515" i="1"/>
  <c r="M1514" i="1"/>
  <c r="M1513" i="1"/>
  <c r="M1512" i="1"/>
  <c r="M1511" i="1"/>
  <c r="M1510" i="1"/>
  <c r="M1509" i="1"/>
  <c r="M1508" i="1"/>
  <c r="M1507" i="1"/>
  <c r="M1506" i="1"/>
  <c r="M1505" i="1"/>
  <c r="M1504" i="1"/>
  <c r="M1503" i="1"/>
  <c r="M1502" i="1"/>
  <c r="M1501" i="1"/>
  <c r="M1500" i="1"/>
  <c r="M1499" i="1"/>
  <c r="M1498" i="1"/>
  <c r="M1497" i="1"/>
  <c r="M1496" i="1"/>
  <c r="M1495" i="1"/>
  <c r="M1494" i="1"/>
  <c r="M1493" i="1"/>
  <c r="M1492" i="1"/>
  <c r="M1491" i="1"/>
  <c r="M1490" i="1"/>
  <c r="M1489" i="1"/>
  <c r="M1488" i="1"/>
  <c r="M1487" i="1"/>
  <c r="M1486" i="1"/>
  <c r="M1485" i="1"/>
  <c r="M1484" i="1"/>
  <c r="M1483" i="1"/>
  <c r="M1482" i="1"/>
  <c r="M1481" i="1"/>
  <c r="M1480" i="1"/>
  <c r="M1479" i="1"/>
  <c r="M1478" i="1"/>
  <c r="M1477" i="1"/>
  <c r="M1476" i="1"/>
  <c r="M1475" i="1"/>
  <c r="M1474" i="1"/>
  <c r="M1473" i="1"/>
  <c r="M1472" i="1"/>
  <c r="M1471" i="1"/>
  <c r="M1470" i="1"/>
  <c r="M1469" i="1"/>
  <c r="M1468" i="1"/>
  <c r="M1467" i="1"/>
  <c r="M1466" i="1"/>
  <c r="M1465" i="1"/>
  <c r="M1464" i="1"/>
  <c r="M1463" i="1"/>
  <c r="M1462" i="1"/>
  <c r="M1461" i="1"/>
  <c r="M1460" i="1"/>
  <c r="M1459" i="1"/>
  <c r="M1458" i="1"/>
  <c r="M1457" i="1"/>
  <c r="M1456" i="1"/>
  <c r="M1455" i="1"/>
  <c r="M1454" i="1"/>
  <c r="M1453" i="1"/>
  <c r="M1452" i="1"/>
  <c r="M1451" i="1"/>
  <c r="M1450" i="1"/>
  <c r="M1449" i="1"/>
  <c r="M1448" i="1"/>
  <c r="M1447" i="1"/>
  <c r="M1446" i="1"/>
  <c r="M1445" i="1"/>
  <c r="M1444" i="1"/>
  <c r="M1443" i="1"/>
  <c r="M1442" i="1"/>
  <c r="M1441" i="1"/>
  <c r="M1440" i="1"/>
  <c r="M1439" i="1"/>
  <c r="M1438" i="1"/>
  <c r="M1437" i="1"/>
  <c r="M1436" i="1"/>
  <c r="M1435" i="1"/>
  <c r="M1434" i="1"/>
  <c r="M1433" i="1"/>
  <c r="M1432" i="1"/>
  <c r="M1431" i="1"/>
  <c r="M1430" i="1"/>
  <c r="M1429" i="1"/>
  <c r="M1428" i="1"/>
  <c r="M1427" i="1"/>
  <c r="M1426" i="1"/>
  <c r="M1425" i="1"/>
  <c r="M1424" i="1"/>
  <c r="M1423" i="1"/>
  <c r="M1422" i="1"/>
  <c r="M1421" i="1"/>
  <c r="M1420" i="1"/>
  <c r="M1419" i="1"/>
  <c r="M1418" i="1"/>
  <c r="M1417" i="1"/>
  <c r="M1416" i="1"/>
  <c r="M1415" i="1"/>
  <c r="M1414" i="1"/>
  <c r="M1413" i="1"/>
  <c r="M1412" i="1"/>
  <c r="M1411" i="1"/>
  <c r="M1410" i="1"/>
  <c r="M1409" i="1"/>
  <c r="M1408" i="1"/>
  <c r="M1407" i="1"/>
  <c r="M1406" i="1"/>
  <c r="M1405" i="1"/>
  <c r="M1404" i="1"/>
  <c r="M1403" i="1"/>
  <c r="M1402" i="1"/>
  <c r="M1401" i="1"/>
  <c r="M1400" i="1"/>
  <c r="M1399" i="1"/>
  <c r="M1398" i="1"/>
  <c r="M1397" i="1"/>
  <c r="M1396" i="1"/>
  <c r="M1395" i="1"/>
  <c r="M1394" i="1"/>
  <c r="M1393" i="1"/>
  <c r="M1392" i="1"/>
  <c r="M1391" i="1"/>
  <c r="M1390" i="1"/>
  <c r="M1389" i="1"/>
  <c r="M1388" i="1"/>
  <c r="M1387" i="1"/>
  <c r="M1386" i="1"/>
  <c r="M1385" i="1"/>
  <c r="M1384" i="1"/>
  <c r="M1383" i="1"/>
  <c r="M1382" i="1"/>
  <c r="M1381" i="1"/>
  <c r="M1380" i="1"/>
  <c r="M1379" i="1"/>
  <c r="M1378" i="1"/>
  <c r="M1377" i="1"/>
  <c r="M1376" i="1"/>
  <c r="M1375" i="1"/>
  <c r="M1374" i="1"/>
  <c r="M1373" i="1"/>
  <c r="M1372" i="1"/>
  <c r="M1371" i="1"/>
  <c r="M1370" i="1"/>
  <c r="M1369" i="1"/>
  <c r="M1368" i="1"/>
  <c r="M1367" i="1"/>
  <c r="M1366" i="1"/>
  <c r="M1365" i="1"/>
  <c r="M1364" i="1"/>
  <c r="M1363" i="1"/>
  <c r="M1362" i="1"/>
  <c r="M1361" i="1"/>
  <c r="M1360" i="1"/>
  <c r="M1359" i="1"/>
  <c r="M1358" i="1"/>
  <c r="M1357" i="1"/>
  <c r="M1356" i="1"/>
  <c r="M1355" i="1"/>
  <c r="M1354" i="1"/>
  <c r="M1353" i="1"/>
  <c r="M1352" i="1"/>
  <c r="M1351" i="1"/>
  <c r="M1350" i="1"/>
  <c r="M1349" i="1"/>
  <c r="M1348" i="1"/>
  <c r="M1347" i="1"/>
  <c r="M1346" i="1"/>
  <c r="M1345" i="1"/>
  <c r="M1344" i="1"/>
  <c r="M1343" i="1"/>
  <c r="M1342" i="1"/>
  <c r="M1341" i="1"/>
  <c r="M1340" i="1"/>
  <c r="M1339" i="1"/>
  <c r="M1338" i="1"/>
  <c r="M1337" i="1"/>
  <c r="M1336" i="1"/>
  <c r="M1335" i="1"/>
  <c r="M1334" i="1"/>
  <c r="M1333" i="1"/>
  <c r="M1332" i="1"/>
  <c r="M1331" i="1"/>
  <c r="M1330" i="1"/>
  <c r="M1329" i="1"/>
  <c r="M1328" i="1"/>
  <c r="M1327" i="1"/>
  <c r="M1326" i="1"/>
  <c r="M1325" i="1"/>
  <c r="M1324" i="1"/>
  <c r="M1323" i="1"/>
  <c r="M1322" i="1"/>
  <c r="M1321" i="1"/>
  <c r="M1320" i="1"/>
  <c r="M1319" i="1"/>
  <c r="M1318" i="1"/>
  <c r="M1317" i="1"/>
  <c r="M1316" i="1"/>
  <c r="M1315" i="1"/>
  <c r="M1314" i="1"/>
  <c r="M1313" i="1"/>
  <c r="M1312" i="1"/>
  <c r="M1311" i="1"/>
  <c r="M1310" i="1"/>
  <c r="M1309" i="1"/>
  <c r="M1308" i="1"/>
  <c r="M1307" i="1"/>
  <c r="M1306" i="1"/>
  <c r="M1305" i="1"/>
  <c r="M1304" i="1"/>
  <c r="M1303" i="1"/>
  <c r="M1302" i="1"/>
  <c r="M1301" i="1"/>
  <c r="M1300" i="1"/>
  <c r="M1299" i="1"/>
  <c r="M1298" i="1"/>
  <c r="M1297" i="1"/>
  <c r="M1296" i="1"/>
  <c r="M1295" i="1"/>
  <c r="M1294" i="1"/>
  <c r="M1293" i="1"/>
  <c r="M1292" i="1"/>
  <c r="M1291" i="1"/>
  <c r="M1290" i="1"/>
  <c r="M1289" i="1"/>
  <c r="M1288" i="1"/>
  <c r="M1287" i="1"/>
  <c r="M1286" i="1"/>
  <c r="M1285" i="1"/>
  <c r="M1284" i="1"/>
  <c r="M1283" i="1"/>
  <c r="M1282" i="1"/>
  <c r="M1281" i="1"/>
  <c r="M1280" i="1"/>
  <c r="M1279" i="1"/>
  <c r="M1278" i="1"/>
  <c r="M1277" i="1"/>
  <c r="M1276" i="1"/>
  <c r="M1275" i="1"/>
  <c r="M1274" i="1"/>
  <c r="M1273" i="1"/>
  <c r="M1272" i="1"/>
  <c r="M1271" i="1"/>
  <c r="M1270" i="1"/>
  <c r="M1269" i="1"/>
  <c r="M1268" i="1"/>
  <c r="M1267" i="1"/>
  <c r="M1266" i="1"/>
  <c r="M1265" i="1"/>
  <c r="M1264" i="1"/>
  <c r="M1263" i="1"/>
  <c r="M1262" i="1"/>
  <c r="M1261" i="1"/>
  <c r="M1260" i="1"/>
  <c r="M1259" i="1"/>
  <c r="M1258" i="1"/>
  <c r="M1257" i="1"/>
  <c r="M1256" i="1"/>
  <c r="M1255" i="1"/>
  <c r="M1254" i="1"/>
  <c r="M1253" i="1"/>
  <c r="M1252" i="1"/>
  <c r="M1251" i="1"/>
  <c r="M1250" i="1"/>
  <c r="M1249" i="1"/>
  <c r="M1248" i="1"/>
  <c r="M1247" i="1"/>
  <c r="M1246" i="1"/>
  <c r="M1245" i="1"/>
  <c r="M1244" i="1"/>
  <c r="M1243" i="1"/>
  <c r="M1242" i="1"/>
  <c r="M1241" i="1"/>
  <c r="M1240" i="1"/>
  <c r="M1239" i="1"/>
  <c r="M1238" i="1"/>
  <c r="M1237" i="1"/>
  <c r="M1236" i="1"/>
  <c r="M1235" i="1"/>
  <c r="M1234" i="1"/>
  <c r="M1233" i="1"/>
  <c r="M1232" i="1"/>
  <c r="M1231" i="1"/>
  <c r="M1230" i="1"/>
  <c r="M1229" i="1"/>
  <c r="M1228" i="1"/>
  <c r="M1227" i="1"/>
  <c r="M1226" i="1"/>
  <c r="M1225" i="1"/>
  <c r="M1224" i="1"/>
  <c r="M1223" i="1"/>
  <c r="M1222" i="1"/>
  <c r="M1221" i="1"/>
  <c r="M1220" i="1"/>
  <c r="M1219" i="1"/>
  <c r="M1218" i="1"/>
  <c r="M1217" i="1"/>
  <c r="M1216" i="1"/>
  <c r="M1215" i="1"/>
  <c r="M1214" i="1"/>
  <c r="M1213" i="1"/>
  <c r="M1212" i="1"/>
  <c r="M1211" i="1"/>
  <c r="M1210" i="1"/>
  <c r="M1209" i="1"/>
  <c r="M1208" i="1"/>
  <c r="M1207" i="1"/>
  <c r="M1206" i="1"/>
  <c r="M1205" i="1"/>
  <c r="M1204" i="1"/>
  <c r="M1203" i="1"/>
  <c r="M1202" i="1"/>
  <c r="M1201" i="1"/>
  <c r="M1200" i="1"/>
  <c r="M1199" i="1"/>
  <c r="M1198" i="1"/>
  <c r="M1197" i="1"/>
  <c r="M1196" i="1"/>
  <c r="M1195" i="1"/>
  <c r="M1194" i="1"/>
  <c r="M1193" i="1"/>
  <c r="M1192" i="1"/>
  <c r="M1191" i="1"/>
  <c r="M1190" i="1"/>
  <c r="M1189" i="1"/>
  <c r="M1188" i="1"/>
  <c r="M1187" i="1"/>
  <c r="M1186" i="1"/>
  <c r="M1185" i="1"/>
  <c r="M1184" i="1"/>
  <c r="M1183" i="1"/>
  <c r="M1182" i="1"/>
  <c r="M1181" i="1"/>
  <c r="M1180" i="1"/>
  <c r="M1179" i="1"/>
  <c r="M1178" i="1"/>
  <c r="M1177" i="1"/>
  <c r="M1176" i="1"/>
  <c r="M1175" i="1"/>
  <c r="M1174" i="1"/>
  <c r="M1173" i="1"/>
  <c r="M1172" i="1"/>
  <c r="M1171" i="1"/>
  <c r="M1170" i="1"/>
  <c r="M1169" i="1"/>
  <c r="M1168" i="1"/>
  <c r="M1167" i="1"/>
  <c r="M1166" i="1"/>
  <c r="M1165" i="1"/>
  <c r="M1164" i="1"/>
  <c r="M1163" i="1"/>
  <c r="M1162" i="1"/>
  <c r="M1161" i="1"/>
  <c r="M1160" i="1"/>
  <c r="M1159" i="1"/>
  <c r="M1158" i="1"/>
  <c r="M1157" i="1"/>
  <c r="M1156" i="1"/>
  <c r="M1155" i="1"/>
  <c r="M1154" i="1"/>
  <c r="M1153" i="1"/>
  <c r="M1152" i="1"/>
  <c r="M1151" i="1"/>
  <c r="M1150" i="1"/>
  <c r="M1149" i="1"/>
  <c r="M1148" i="1"/>
  <c r="M1147" i="1"/>
  <c r="M1146" i="1"/>
  <c r="M1145" i="1"/>
  <c r="M1144" i="1"/>
  <c r="M1143" i="1"/>
  <c r="M1142" i="1"/>
  <c r="M1141" i="1"/>
  <c r="M1140" i="1"/>
  <c r="M1139" i="1"/>
  <c r="M1138" i="1"/>
  <c r="M1137" i="1"/>
  <c r="M1136" i="1"/>
  <c r="M1135" i="1"/>
  <c r="M1134" i="1"/>
  <c r="M1133" i="1"/>
  <c r="M1132" i="1"/>
  <c r="M1131" i="1"/>
  <c r="M1130" i="1"/>
  <c r="M1129" i="1"/>
  <c r="M1128" i="1"/>
  <c r="M1127" i="1"/>
  <c r="M1126" i="1"/>
  <c r="M1125" i="1"/>
  <c r="M1124" i="1"/>
  <c r="M1123" i="1"/>
  <c r="M1122" i="1"/>
  <c r="M1121" i="1"/>
  <c r="M1120" i="1"/>
  <c r="M1119" i="1"/>
  <c r="M1118" i="1"/>
  <c r="M1117" i="1"/>
  <c r="M1116" i="1"/>
  <c r="M1115" i="1"/>
  <c r="M1114" i="1"/>
  <c r="M1113" i="1"/>
  <c r="M1112" i="1"/>
  <c r="M1111" i="1"/>
  <c r="M1110" i="1"/>
  <c r="M1109" i="1"/>
  <c r="M1108" i="1"/>
  <c r="M1107" i="1"/>
  <c r="M1106" i="1"/>
  <c r="M1105" i="1"/>
  <c r="M1104" i="1"/>
  <c r="M1103" i="1"/>
  <c r="M1102" i="1"/>
  <c r="M1101" i="1"/>
  <c r="M1100" i="1"/>
  <c r="M1099" i="1"/>
  <c r="M1098" i="1"/>
  <c r="M1097" i="1"/>
  <c r="M1096" i="1"/>
  <c r="M1095" i="1"/>
  <c r="M1094" i="1"/>
  <c r="M1093" i="1"/>
  <c r="M1092" i="1"/>
  <c r="M1091" i="1"/>
  <c r="M1090" i="1"/>
  <c r="M1089" i="1"/>
  <c r="M1088" i="1"/>
  <c r="M1087" i="1"/>
  <c r="M1086" i="1"/>
  <c r="M1085" i="1"/>
  <c r="M1084" i="1"/>
  <c r="M1083" i="1"/>
  <c r="M1082" i="1"/>
  <c r="M1081" i="1"/>
  <c r="M1080" i="1"/>
  <c r="M1079" i="1"/>
  <c r="M1078" i="1"/>
  <c r="M1077" i="1"/>
  <c r="M1076" i="1"/>
  <c r="M1075" i="1"/>
  <c r="M1074" i="1"/>
  <c r="M1073" i="1"/>
  <c r="M1072" i="1"/>
  <c r="M1071" i="1"/>
  <c r="M1070" i="1"/>
  <c r="M1069" i="1"/>
  <c r="M1068" i="1"/>
  <c r="M1067" i="1"/>
  <c r="M1066" i="1"/>
  <c r="M1065" i="1"/>
  <c r="M1064" i="1"/>
  <c r="M1063" i="1"/>
  <c r="M1062" i="1"/>
  <c r="M1061" i="1"/>
  <c r="M1060" i="1"/>
  <c r="M1059" i="1"/>
  <c r="M1058" i="1"/>
  <c r="M1057" i="1"/>
  <c r="M1056" i="1"/>
  <c r="M1055" i="1"/>
  <c r="M1054" i="1"/>
  <c r="M1053" i="1"/>
  <c r="M1052" i="1"/>
  <c r="M1051" i="1"/>
  <c r="M1050" i="1"/>
  <c r="M1049" i="1"/>
  <c r="M1048" i="1"/>
  <c r="M1047" i="1"/>
  <c r="M1046" i="1"/>
  <c r="M1045" i="1"/>
  <c r="M1044" i="1"/>
  <c r="M1043" i="1"/>
  <c r="M1042" i="1"/>
  <c r="M1041" i="1"/>
  <c r="M1040" i="1"/>
  <c r="M1039" i="1"/>
  <c r="M1038" i="1"/>
  <c r="M1037" i="1"/>
  <c r="M1036" i="1"/>
  <c r="M1035" i="1"/>
  <c r="M1034" i="1"/>
  <c r="M1033" i="1"/>
  <c r="M1032" i="1"/>
  <c r="M1031" i="1"/>
  <c r="M1030" i="1"/>
  <c r="M1029" i="1"/>
  <c r="M1028" i="1"/>
  <c r="M1027" i="1"/>
  <c r="M1026" i="1"/>
  <c r="M1025" i="1"/>
  <c r="M1024" i="1"/>
  <c r="M1023" i="1"/>
  <c r="M1022" i="1"/>
  <c r="M1021" i="1"/>
  <c r="M1020" i="1"/>
  <c r="M1019" i="1"/>
  <c r="M1018" i="1"/>
  <c r="M1017" i="1"/>
  <c r="M1016" i="1"/>
  <c r="M1015" i="1"/>
  <c r="M1014" i="1"/>
  <c r="M1013" i="1"/>
  <c r="M1012" i="1"/>
  <c r="M1011" i="1"/>
  <c r="M1010" i="1"/>
  <c r="M1009" i="1"/>
  <c r="M1008" i="1"/>
  <c r="M1007" i="1"/>
  <c r="M1006" i="1"/>
  <c r="M1005" i="1"/>
  <c r="M1004" i="1"/>
  <c r="M1003" i="1"/>
  <c r="M1002" i="1"/>
  <c r="M1001" i="1"/>
  <c r="M1000" i="1"/>
  <c r="M999" i="1"/>
  <c r="M998" i="1"/>
  <c r="M997" i="1"/>
  <c r="M996" i="1"/>
  <c r="M995" i="1"/>
  <c r="M994" i="1"/>
  <c r="M993" i="1"/>
  <c r="M992" i="1"/>
  <c r="M991" i="1"/>
  <c r="M990" i="1"/>
  <c r="M989" i="1"/>
  <c r="M988" i="1"/>
  <c r="M987" i="1"/>
  <c r="M986" i="1"/>
  <c r="M985" i="1"/>
  <c r="M984" i="1"/>
  <c r="M983" i="1"/>
  <c r="M982" i="1"/>
  <c r="M981" i="1"/>
  <c r="M980" i="1"/>
  <c r="M979" i="1"/>
  <c r="M978" i="1"/>
  <c r="M977" i="1"/>
  <c r="M976" i="1"/>
  <c r="M975" i="1"/>
  <c r="M974" i="1"/>
  <c r="M973" i="1"/>
  <c r="M972" i="1"/>
  <c r="M971" i="1"/>
  <c r="M970" i="1"/>
  <c r="M969" i="1"/>
  <c r="M968" i="1"/>
  <c r="M967" i="1"/>
  <c r="M966" i="1"/>
  <c r="M965" i="1"/>
  <c r="M964" i="1"/>
  <c r="M963" i="1"/>
  <c r="M962" i="1"/>
  <c r="M961" i="1"/>
  <c r="M960" i="1"/>
  <c r="M959" i="1"/>
  <c r="M958" i="1"/>
  <c r="M957" i="1"/>
  <c r="M956" i="1"/>
  <c r="M955" i="1"/>
  <c r="M954" i="1"/>
  <c r="M953" i="1"/>
  <c r="M952" i="1"/>
  <c r="M951" i="1"/>
  <c r="M950" i="1"/>
  <c r="M949" i="1"/>
  <c r="M948" i="1"/>
  <c r="M947" i="1"/>
  <c r="M946" i="1"/>
  <c r="M945" i="1"/>
  <c r="M944" i="1"/>
  <c r="M943" i="1"/>
  <c r="M942" i="1"/>
  <c r="M941" i="1"/>
  <c r="M940" i="1"/>
  <c r="M939" i="1"/>
  <c r="M938" i="1"/>
  <c r="M937" i="1"/>
  <c r="M936" i="1"/>
  <c r="M935" i="1"/>
  <c r="M934" i="1"/>
  <c r="M933" i="1"/>
  <c r="M932" i="1"/>
  <c r="M931" i="1"/>
  <c r="M930" i="1"/>
  <c r="M929" i="1"/>
  <c r="M928" i="1"/>
  <c r="M927" i="1"/>
  <c r="M926" i="1"/>
  <c r="M925" i="1"/>
  <c r="M924" i="1"/>
  <c r="M923" i="1"/>
  <c r="M922" i="1"/>
  <c r="M921" i="1"/>
  <c r="M920" i="1"/>
  <c r="M919" i="1"/>
  <c r="M918" i="1"/>
  <c r="M917" i="1"/>
  <c r="M916" i="1"/>
  <c r="M915" i="1"/>
  <c r="M914" i="1"/>
  <c r="M913" i="1"/>
  <c r="M912" i="1"/>
  <c r="M911" i="1"/>
  <c r="M910" i="1"/>
  <c r="M909" i="1"/>
  <c r="M908" i="1"/>
  <c r="M907" i="1"/>
  <c r="M906" i="1"/>
  <c r="M905" i="1"/>
  <c r="M904" i="1"/>
  <c r="M903" i="1"/>
  <c r="M902" i="1"/>
  <c r="M901" i="1"/>
  <c r="M900" i="1"/>
  <c r="M899" i="1"/>
  <c r="M898" i="1"/>
  <c r="M897" i="1"/>
  <c r="M896" i="1"/>
  <c r="M895" i="1"/>
  <c r="M894" i="1"/>
  <c r="M893" i="1"/>
  <c r="M892" i="1"/>
  <c r="M891" i="1"/>
  <c r="M890" i="1"/>
  <c r="M889" i="1"/>
  <c r="M888" i="1"/>
  <c r="M887" i="1"/>
  <c r="M886" i="1"/>
  <c r="M885" i="1"/>
  <c r="M884" i="1"/>
  <c r="M883" i="1"/>
  <c r="M882" i="1"/>
  <c r="M881" i="1"/>
  <c r="M880" i="1"/>
  <c r="M879" i="1"/>
  <c r="M878" i="1"/>
  <c r="M877" i="1"/>
  <c r="M876" i="1"/>
  <c r="M875" i="1"/>
  <c r="M874" i="1"/>
  <c r="M873" i="1"/>
  <c r="M872" i="1"/>
  <c r="M871" i="1"/>
  <c r="M870" i="1"/>
  <c r="M869" i="1"/>
  <c r="M868" i="1"/>
  <c r="M867" i="1"/>
  <c r="M866" i="1"/>
  <c r="M865" i="1"/>
  <c r="M864" i="1"/>
  <c r="M863" i="1"/>
  <c r="M862" i="1"/>
  <c r="M861" i="1"/>
  <c r="M860" i="1"/>
  <c r="M859" i="1"/>
  <c r="M858" i="1"/>
  <c r="M857" i="1"/>
  <c r="M856" i="1"/>
  <c r="M855" i="1"/>
  <c r="M854" i="1"/>
  <c r="M853" i="1"/>
  <c r="M852" i="1"/>
  <c r="M851" i="1"/>
  <c r="M850" i="1"/>
  <c r="M849" i="1"/>
  <c r="M848" i="1"/>
  <c r="M847" i="1"/>
  <c r="M846" i="1"/>
  <c r="M845" i="1"/>
  <c r="M844" i="1"/>
  <c r="M843" i="1"/>
  <c r="M842" i="1"/>
  <c r="M841" i="1"/>
  <c r="M840" i="1"/>
  <c r="M839" i="1"/>
  <c r="M838" i="1"/>
  <c r="M837" i="1"/>
  <c r="M836" i="1"/>
  <c r="M835" i="1"/>
  <c r="M834" i="1"/>
  <c r="M833" i="1"/>
  <c r="M832" i="1"/>
  <c r="M831" i="1"/>
  <c r="M830" i="1"/>
  <c r="M829" i="1"/>
  <c r="M828" i="1"/>
  <c r="M827" i="1"/>
  <c r="M826" i="1"/>
  <c r="M825" i="1"/>
  <c r="M824" i="1"/>
  <c r="M823" i="1"/>
  <c r="M822" i="1"/>
  <c r="M821" i="1"/>
  <c r="M820" i="1"/>
  <c r="M819" i="1"/>
  <c r="M818" i="1"/>
  <c r="M817" i="1"/>
  <c r="M816" i="1"/>
  <c r="M815" i="1"/>
  <c r="M814" i="1"/>
  <c r="M813" i="1"/>
  <c r="M812" i="1"/>
  <c r="M811" i="1"/>
  <c r="M810" i="1"/>
  <c r="M809" i="1"/>
  <c r="M808" i="1"/>
  <c r="M807" i="1"/>
  <c r="M806" i="1"/>
  <c r="M805" i="1"/>
  <c r="M804" i="1"/>
  <c r="M803" i="1"/>
  <c r="M802" i="1"/>
  <c r="M801" i="1"/>
  <c r="M800" i="1"/>
  <c r="M799" i="1"/>
  <c r="M798" i="1"/>
  <c r="M797" i="1"/>
  <c r="M796" i="1"/>
  <c r="M795" i="1"/>
  <c r="M794" i="1"/>
  <c r="M793" i="1"/>
  <c r="M792" i="1"/>
  <c r="M791" i="1"/>
  <c r="M790" i="1"/>
  <c r="M789" i="1"/>
  <c r="M788" i="1"/>
  <c r="M787" i="1"/>
  <c r="M786" i="1"/>
  <c r="M785" i="1"/>
  <c r="M784" i="1"/>
  <c r="M783" i="1"/>
  <c r="M782" i="1"/>
  <c r="M781" i="1"/>
  <c r="M780" i="1"/>
  <c r="M779" i="1"/>
  <c r="M778" i="1"/>
  <c r="M777" i="1"/>
  <c r="M776" i="1"/>
  <c r="M775" i="1"/>
  <c r="M774" i="1"/>
  <c r="M773" i="1"/>
  <c r="M772" i="1"/>
  <c r="M771" i="1"/>
  <c r="M770" i="1"/>
  <c r="M769" i="1"/>
  <c r="M768" i="1"/>
  <c r="M767" i="1"/>
  <c r="M766" i="1"/>
  <c r="M765" i="1"/>
  <c r="M764" i="1"/>
  <c r="M763" i="1"/>
  <c r="M762" i="1"/>
  <c r="M761" i="1"/>
  <c r="M760" i="1"/>
  <c r="M759" i="1"/>
  <c r="M758" i="1"/>
  <c r="M757" i="1"/>
  <c r="M756" i="1"/>
  <c r="M755" i="1"/>
  <c r="M754" i="1"/>
  <c r="M753" i="1"/>
  <c r="M752" i="1"/>
  <c r="M751" i="1"/>
  <c r="M750" i="1"/>
  <c r="M749" i="1"/>
  <c r="M748" i="1"/>
  <c r="M747" i="1"/>
  <c r="M746" i="1"/>
  <c r="M745" i="1"/>
  <c r="M744" i="1"/>
  <c r="M743" i="1"/>
  <c r="M742" i="1"/>
  <c r="M741" i="1"/>
  <c r="M740" i="1"/>
  <c r="M739" i="1"/>
  <c r="M738" i="1"/>
  <c r="M737" i="1"/>
  <c r="M736" i="1"/>
  <c r="M735" i="1"/>
  <c r="M734" i="1"/>
  <c r="M733" i="1"/>
  <c r="M732" i="1"/>
  <c r="M731" i="1"/>
  <c r="M730" i="1"/>
  <c r="M729" i="1"/>
  <c r="M728" i="1"/>
  <c r="M727" i="1"/>
  <c r="M726" i="1"/>
  <c r="M725" i="1"/>
  <c r="M724" i="1"/>
  <c r="M723" i="1"/>
  <c r="M722" i="1"/>
  <c r="M721" i="1"/>
  <c r="M720" i="1"/>
  <c r="M719" i="1"/>
  <c r="M718" i="1"/>
  <c r="M717" i="1"/>
  <c r="M716" i="1"/>
  <c r="M715" i="1"/>
  <c r="M714" i="1"/>
  <c r="M713" i="1"/>
  <c r="M712" i="1"/>
  <c r="M711" i="1"/>
  <c r="M710" i="1"/>
  <c r="M709" i="1"/>
  <c r="M708" i="1"/>
  <c r="M707" i="1"/>
  <c r="M706" i="1"/>
  <c r="M705" i="1"/>
  <c r="M704" i="1"/>
  <c r="M703" i="1"/>
  <c r="M702" i="1"/>
  <c r="M701" i="1"/>
  <c r="M700" i="1"/>
  <c r="M699" i="1"/>
  <c r="M698" i="1"/>
  <c r="M697" i="1"/>
  <c r="M696" i="1"/>
  <c r="M695" i="1"/>
  <c r="M694" i="1"/>
  <c r="M693" i="1"/>
  <c r="M692" i="1"/>
  <c r="M691" i="1"/>
  <c r="M690" i="1"/>
  <c r="M689" i="1"/>
  <c r="M688" i="1"/>
  <c r="M687" i="1"/>
  <c r="M686" i="1"/>
  <c r="M685" i="1"/>
  <c r="M684" i="1"/>
  <c r="M683" i="1"/>
  <c r="M682" i="1"/>
  <c r="M681" i="1"/>
  <c r="M680" i="1"/>
  <c r="M679" i="1"/>
  <c r="M678" i="1"/>
  <c r="M677" i="1"/>
  <c r="M676" i="1"/>
  <c r="M675" i="1"/>
  <c r="M674" i="1"/>
  <c r="M673" i="1"/>
  <c r="M672" i="1"/>
  <c r="M671" i="1"/>
  <c r="M670" i="1"/>
  <c r="M669" i="1"/>
  <c r="M668" i="1"/>
  <c r="M667" i="1"/>
  <c r="M666" i="1"/>
  <c r="M665" i="1"/>
  <c r="M664" i="1"/>
  <c r="M663" i="1"/>
  <c r="M662" i="1"/>
  <c r="M661" i="1"/>
  <c r="M660" i="1"/>
  <c r="M659" i="1"/>
  <c r="M658" i="1"/>
  <c r="M657" i="1"/>
  <c r="M656" i="1"/>
  <c r="M655" i="1"/>
  <c r="M654" i="1"/>
  <c r="M653" i="1"/>
  <c r="M652" i="1"/>
  <c r="M651" i="1"/>
  <c r="M650" i="1"/>
  <c r="M649" i="1"/>
  <c r="M648" i="1"/>
  <c r="M647" i="1"/>
  <c r="M646" i="1"/>
  <c r="M645" i="1"/>
  <c r="M644" i="1"/>
  <c r="M643" i="1"/>
  <c r="M642" i="1"/>
  <c r="M641" i="1"/>
  <c r="M640" i="1"/>
  <c r="M639" i="1"/>
  <c r="M638" i="1"/>
  <c r="M637" i="1"/>
  <c r="M636" i="1"/>
  <c r="M635" i="1"/>
  <c r="M634" i="1"/>
  <c r="M633" i="1"/>
  <c r="M632" i="1"/>
  <c r="M631" i="1"/>
  <c r="M630" i="1"/>
  <c r="M629" i="1"/>
  <c r="M628" i="1"/>
  <c r="M627" i="1"/>
  <c r="M626" i="1"/>
  <c r="M625" i="1"/>
  <c r="M624" i="1"/>
  <c r="M623" i="1"/>
  <c r="M622" i="1"/>
  <c r="M621" i="1"/>
  <c r="M620" i="1"/>
  <c r="M619" i="1"/>
  <c r="M618" i="1"/>
  <c r="M617" i="1"/>
  <c r="M616" i="1"/>
  <c r="M615" i="1"/>
  <c r="M614" i="1"/>
  <c r="M613" i="1"/>
  <c r="M612" i="1"/>
  <c r="M611" i="1"/>
  <c r="M610" i="1"/>
  <c r="M609" i="1"/>
  <c r="M608" i="1"/>
  <c r="M607" i="1"/>
  <c r="M606" i="1"/>
  <c r="M605" i="1"/>
  <c r="M604" i="1"/>
  <c r="M603" i="1"/>
  <c r="M602" i="1"/>
  <c r="M601" i="1"/>
  <c r="M600" i="1"/>
  <c r="M599" i="1"/>
  <c r="M598" i="1"/>
  <c r="M597" i="1"/>
  <c r="M596" i="1"/>
  <c r="M595" i="1"/>
  <c r="M594" i="1"/>
  <c r="M593" i="1"/>
  <c r="M592" i="1"/>
  <c r="M591" i="1"/>
  <c r="M590" i="1"/>
  <c r="M589" i="1"/>
  <c r="M588" i="1"/>
  <c r="M587" i="1"/>
  <c r="M586" i="1"/>
  <c r="M585" i="1"/>
  <c r="M584" i="1"/>
  <c r="M583" i="1"/>
  <c r="M582" i="1"/>
  <c r="M581" i="1"/>
  <c r="M580" i="1"/>
  <c r="M579" i="1"/>
  <c r="M578" i="1"/>
  <c r="M577" i="1"/>
  <c r="M576" i="1"/>
  <c r="M575" i="1"/>
  <c r="M574" i="1"/>
  <c r="M573" i="1"/>
  <c r="M572" i="1"/>
  <c r="M571" i="1"/>
  <c r="M570" i="1"/>
  <c r="M569" i="1"/>
  <c r="M568" i="1"/>
  <c r="M567" i="1"/>
  <c r="M566" i="1"/>
  <c r="M565" i="1"/>
  <c r="M564" i="1"/>
  <c r="M563" i="1"/>
  <c r="M562" i="1"/>
  <c r="M561" i="1"/>
  <c r="M560" i="1"/>
  <c r="M559" i="1"/>
  <c r="M558" i="1"/>
  <c r="M557" i="1"/>
  <c r="M556" i="1"/>
  <c r="M555" i="1"/>
  <c r="M554" i="1"/>
  <c r="M553" i="1"/>
  <c r="M552" i="1"/>
  <c r="M551" i="1"/>
  <c r="M550" i="1"/>
  <c r="M549" i="1"/>
  <c r="M548" i="1"/>
  <c r="M547" i="1"/>
  <c r="M546" i="1"/>
  <c r="M545" i="1"/>
  <c r="M544" i="1"/>
  <c r="M543" i="1"/>
  <c r="M542" i="1"/>
  <c r="M541" i="1"/>
  <c r="M540" i="1"/>
  <c r="M539" i="1"/>
  <c r="M538" i="1"/>
  <c r="M537" i="1"/>
  <c r="M536" i="1"/>
  <c r="M535" i="1"/>
  <c r="M534" i="1"/>
  <c r="M533" i="1"/>
  <c r="M532" i="1"/>
  <c r="M531" i="1"/>
  <c r="M530" i="1"/>
  <c r="M529" i="1"/>
  <c r="M528" i="1"/>
  <c r="M527" i="1"/>
  <c r="M526" i="1"/>
  <c r="M525" i="1"/>
  <c r="M524" i="1"/>
  <c r="M523" i="1"/>
  <c r="M522" i="1"/>
  <c r="M521" i="1"/>
  <c r="M520" i="1"/>
  <c r="M519" i="1"/>
  <c r="M518" i="1"/>
  <c r="M517" i="1"/>
  <c r="M516" i="1"/>
  <c r="M515" i="1"/>
  <c r="M514" i="1"/>
  <c r="M513" i="1"/>
  <c r="M512" i="1"/>
  <c r="M511" i="1"/>
  <c r="M510" i="1"/>
  <c r="M509" i="1"/>
  <c r="M508" i="1"/>
  <c r="M507" i="1"/>
  <c r="M506" i="1"/>
  <c r="M505" i="1"/>
  <c r="M504" i="1"/>
  <c r="M503" i="1"/>
  <c r="M502" i="1"/>
  <c r="M501" i="1"/>
  <c r="M500" i="1"/>
  <c r="M499" i="1"/>
  <c r="M498" i="1"/>
  <c r="M497" i="1"/>
  <c r="M496" i="1"/>
  <c r="M495" i="1"/>
  <c r="M494" i="1"/>
  <c r="M493" i="1"/>
  <c r="M492" i="1"/>
  <c r="M491" i="1"/>
  <c r="M490" i="1"/>
  <c r="M489" i="1"/>
  <c r="M488" i="1"/>
  <c r="M487" i="1"/>
  <c r="M486" i="1"/>
  <c r="M485" i="1"/>
  <c r="M484" i="1"/>
  <c r="M483" i="1"/>
  <c r="M482" i="1"/>
  <c r="M481" i="1"/>
  <c r="M480" i="1"/>
  <c r="M479" i="1"/>
  <c r="M478" i="1"/>
  <c r="M477" i="1"/>
  <c r="M476" i="1"/>
  <c r="M475" i="1"/>
  <c r="M474" i="1"/>
  <c r="M473" i="1"/>
  <c r="M472" i="1"/>
  <c r="M471" i="1"/>
  <c r="M470" i="1"/>
  <c r="M469" i="1"/>
  <c r="M468" i="1"/>
  <c r="M467" i="1"/>
  <c r="M466" i="1"/>
  <c r="M465" i="1"/>
  <c r="M464" i="1"/>
  <c r="M463" i="1"/>
  <c r="M462" i="1"/>
  <c r="M461" i="1"/>
  <c r="M460" i="1"/>
  <c r="M459" i="1"/>
  <c r="M458" i="1"/>
  <c r="M457" i="1"/>
  <c r="M456" i="1"/>
  <c r="M455" i="1"/>
  <c r="M454" i="1"/>
  <c r="M453" i="1"/>
  <c r="M452" i="1"/>
  <c r="M451" i="1"/>
  <c r="M450" i="1"/>
  <c r="M449" i="1"/>
  <c r="M448" i="1"/>
  <c r="M447" i="1"/>
  <c r="M446" i="1"/>
  <c r="M445" i="1"/>
  <c r="M444" i="1"/>
  <c r="M443" i="1"/>
  <c r="M442" i="1"/>
  <c r="M441" i="1"/>
  <c r="M440" i="1"/>
  <c r="M439" i="1"/>
  <c r="M438" i="1"/>
  <c r="M437" i="1"/>
  <c r="M436" i="1"/>
  <c r="M435" i="1"/>
  <c r="M434" i="1"/>
  <c r="M433" i="1"/>
  <c r="M432" i="1"/>
  <c r="M431" i="1"/>
  <c r="M430" i="1"/>
  <c r="M429" i="1"/>
  <c r="M428" i="1"/>
  <c r="M427" i="1"/>
  <c r="M426" i="1"/>
  <c r="M425" i="1"/>
  <c r="M424" i="1"/>
  <c r="M423" i="1"/>
  <c r="M422" i="1"/>
  <c r="M421" i="1"/>
  <c r="M420" i="1"/>
  <c r="M419" i="1"/>
  <c r="M418" i="1"/>
  <c r="M417" i="1"/>
  <c r="M416" i="1"/>
  <c r="M415" i="1"/>
  <c r="M414" i="1"/>
  <c r="M413" i="1"/>
  <c r="M412" i="1"/>
  <c r="M411" i="1"/>
  <c r="M410" i="1"/>
  <c r="M409" i="1"/>
  <c r="M408" i="1"/>
  <c r="M407" i="1"/>
  <c r="M406" i="1"/>
  <c r="M405" i="1"/>
  <c r="M404" i="1"/>
  <c r="M403" i="1"/>
  <c r="M402" i="1"/>
  <c r="M401" i="1"/>
  <c r="M400" i="1"/>
  <c r="M399" i="1"/>
  <c r="M398" i="1"/>
  <c r="M397" i="1"/>
  <c r="M396" i="1"/>
  <c r="M395" i="1"/>
  <c r="M394" i="1"/>
  <c r="M393" i="1"/>
  <c r="M392" i="1"/>
  <c r="M391" i="1"/>
  <c r="M390" i="1"/>
  <c r="M389" i="1"/>
  <c r="M388" i="1"/>
  <c r="M387" i="1"/>
  <c r="M386" i="1"/>
  <c r="M385" i="1"/>
  <c r="M384" i="1"/>
  <c r="M383" i="1"/>
  <c r="M382" i="1"/>
  <c r="M381" i="1"/>
  <c r="M380" i="1"/>
  <c r="M379" i="1"/>
  <c r="M378" i="1"/>
  <c r="M377" i="1"/>
  <c r="M376" i="1"/>
  <c r="M375" i="1"/>
  <c r="M374" i="1"/>
  <c r="M373" i="1"/>
  <c r="M372" i="1"/>
  <c r="M371" i="1"/>
  <c r="M370" i="1"/>
  <c r="M369" i="1"/>
  <c r="M368" i="1"/>
  <c r="M367" i="1"/>
  <c r="M366" i="1"/>
  <c r="M365" i="1"/>
  <c r="M364" i="1"/>
  <c r="M363" i="1"/>
  <c r="M362" i="1"/>
  <c r="M361" i="1"/>
  <c r="M360" i="1"/>
  <c r="M359" i="1"/>
  <c r="M358" i="1"/>
  <c r="M357" i="1"/>
  <c r="M356" i="1"/>
  <c r="M355" i="1"/>
  <c r="M354" i="1"/>
  <c r="M353" i="1"/>
  <c r="M352" i="1"/>
  <c r="M351" i="1"/>
  <c r="M350" i="1"/>
  <c r="M349" i="1"/>
  <c r="M348" i="1"/>
  <c r="M347" i="1"/>
  <c r="M346" i="1"/>
  <c r="M345" i="1"/>
  <c r="M344" i="1"/>
  <c r="M343" i="1"/>
  <c r="M342" i="1"/>
  <c r="M341" i="1"/>
  <c r="M340" i="1"/>
  <c r="M339" i="1"/>
  <c r="M338" i="1"/>
  <c r="M337" i="1"/>
  <c r="M336" i="1"/>
  <c r="M335" i="1"/>
  <c r="M334" i="1"/>
  <c r="M333" i="1"/>
  <c r="M332" i="1"/>
  <c r="M331" i="1"/>
  <c r="M330" i="1"/>
  <c r="M329" i="1"/>
  <c r="M328" i="1"/>
  <c r="M327" i="1"/>
  <c r="M326" i="1"/>
  <c r="M325" i="1"/>
  <c r="M324" i="1"/>
  <c r="M323" i="1"/>
  <c r="M322" i="1"/>
  <c r="M321" i="1"/>
  <c r="M320" i="1"/>
  <c r="M319" i="1"/>
  <c r="M318" i="1"/>
  <c r="M317" i="1"/>
  <c r="M316" i="1"/>
  <c r="M315" i="1"/>
  <c r="M314" i="1"/>
  <c r="M313" i="1"/>
  <c r="M312" i="1"/>
  <c r="M311" i="1"/>
  <c r="M310" i="1"/>
  <c r="M309" i="1"/>
  <c r="M308" i="1"/>
  <c r="M307" i="1"/>
  <c r="M306" i="1"/>
  <c r="M305" i="1"/>
  <c r="M304" i="1"/>
  <c r="M303" i="1"/>
  <c r="M302" i="1"/>
  <c r="M301" i="1"/>
  <c r="M300" i="1"/>
  <c r="M299" i="1"/>
  <c r="M298" i="1"/>
  <c r="M297" i="1"/>
  <c r="M296" i="1"/>
  <c r="M295" i="1"/>
  <c r="M294" i="1"/>
  <c r="M293" i="1"/>
  <c r="M292" i="1"/>
  <c r="M291" i="1"/>
  <c r="M290" i="1"/>
  <c r="M289" i="1"/>
  <c r="M288" i="1"/>
  <c r="M287" i="1"/>
  <c r="M286" i="1"/>
  <c r="M285" i="1"/>
  <c r="M284" i="1"/>
  <c r="M283" i="1"/>
  <c r="M282" i="1"/>
  <c r="M281" i="1"/>
  <c r="M280" i="1"/>
  <c r="M279" i="1"/>
  <c r="M278" i="1"/>
  <c r="M277" i="1"/>
  <c r="M276" i="1"/>
  <c r="M275" i="1"/>
  <c r="M274" i="1"/>
  <c r="M273" i="1"/>
  <c r="M272" i="1"/>
  <c r="M271" i="1"/>
  <c r="M270" i="1"/>
  <c r="M269" i="1"/>
  <c r="M268" i="1"/>
  <c r="M267" i="1"/>
  <c r="M266" i="1"/>
  <c r="M265" i="1"/>
  <c r="M264" i="1"/>
  <c r="M263" i="1"/>
  <c r="M262" i="1"/>
  <c r="M261" i="1"/>
  <c r="M260" i="1"/>
  <c r="M259" i="1"/>
  <c r="M258" i="1"/>
  <c r="M257" i="1"/>
  <c r="M256" i="1"/>
  <c r="M255" i="1"/>
  <c r="M254" i="1"/>
  <c r="M253" i="1"/>
  <c r="M252" i="1"/>
  <c r="M251" i="1"/>
  <c r="M250" i="1"/>
  <c r="M249" i="1"/>
  <c r="M248" i="1"/>
  <c r="M247" i="1"/>
  <c r="M246" i="1"/>
  <c r="M245" i="1"/>
  <c r="M244" i="1"/>
  <c r="M243" i="1"/>
  <c r="M242" i="1"/>
  <c r="M241" i="1"/>
  <c r="M240" i="1"/>
  <c r="M239" i="1"/>
  <c r="M238" i="1"/>
  <c r="M237" i="1"/>
  <c r="M236" i="1"/>
  <c r="M235" i="1"/>
  <c r="M234" i="1"/>
  <c r="M233" i="1"/>
  <c r="M232" i="1"/>
  <c r="M231" i="1"/>
  <c r="M230" i="1"/>
  <c r="M229" i="1"/>
  <c r="M228" i="1"/>
  <c r="M227" i="1"/>
  <c r="M226" i="1"/>
  <c r="M225" i="1"/>
  <c r="M224" i="1"/>
  <c r="M223" i="1"/>
  <c r="M222" i="1"/>
  <c r="M221" i="1"/>
  <c r="M220" i="1"/>
  <c r="M219" i="1"/>
  <c r="M218" i="1"/>
  <c r="M217"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169" i="1"/>
  <c r="M168" i="1"/>
  <c r="M167" i="1"/>
  <c r="M166" i="1"/>
  <c r="M165" i="1"/>
  <c r="M164" i="1"/>
  <c r="M163" i="1"/>
  <c r="M162" i="1"/>
  <c r="M161" i="1"/>
  <c r="M160" i="1"/>
  <c r="M159" i="1"/>
  <c r="M158" i="1"/>
  <c r="M157" i="1"/>
  <c r="M156" i="1"/>
  <c r="M155" i="1"/>
  <c r="M154" i="1"/>
  <c r="M153" i="1"/>
  <c r="M152" i="1"/>
  <c r="M151" i="1"/>
  <c r="M150" i="1"/>
  <c r="M149" i="1"/>
  <c r="M148" i="1"/>
  <c r="M147" i="1"/>
  <c r="M146" i="1"/>
  <c r="M145" i="1"/>
  <c r="M144" i="1"/>
  <c r="M143" i="1"/>
  <c r="M142" i="1"/>
  <c r="M141" i="1"/>
  <c r="M140" i="1"/>
  <c r="M139" i="1"/>
  <c r="M138" i="1"/>
  <c r="M137" i="1"/>
  <c r="M136" i="1"/>
  <c r="M135" i="1"/>
  <c r="M134" i="1"/>
  <c r="M133" i="1"/>
  <c r="M132" i="1"/>
  <c r="M131" i="1"/>
  <c r="M130" i="1"/>
  <c r="M129" i="1"/>
  <c r="M128" i="1"/>
  <c r="M127" i="1"/>
  <c r="M126" i="1"/>
  <c r="M125" i="1"/>
  <c r="M124" i="1"/>
  <c r="M123" i="1"/>
  <c r="M122" i="1"/>
  <c r="M121" i="1"/>
  <c r="M120" i="1"/>
  <c r="M119" i="1"/>
  <c r="M118" i="1"/>
  <c r="M117" i="1"/>
  <c r="M116" i="1"/>
  <c r="M115" i="1"/>
  <c r="M114" i="1"/>
  <c r="M113" i="1"/>
  <c r="M112" i="1"/>
  <c r="M111" i="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9" i="1"/>
  <c r="M10" i="1"/>
  <c r="M11" i="1"/>
  <c r="M12" i="1"/>
  <c r="B38" i="8"/>
  <c r="D38" i="8" s="1"/>
  <c r="B39" i="8"/>
  <c r="D39" i="8" s="1"/>
  <c r="B40" i="8"/>
  <c r="D40" i="8" s="1"/>
  <c r="B41" i="8"/>
  <c r="D41" i="8" s="1"/>
  <c r="B37" i="8"/>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P1570" i="1"/>
  <c r="P1571" i="1"/>
  <c r="P1572" i="1"/>
  <c r="P1573" i="1"/>
  <c r="P1574" i="1"/>
  <c r="P1575" i="1"/>
  <c r="P1576" i="1"/>
  <c r="P1577" i="1"/>
  <c r="P1578" i="1"/>
  <c r="P1579" i="1"/>
  <c r="P1580" i="1"/>
  <c r="P1581" i="1"/>
  <c r="P1582" i="1"/>
  <c r="P1583" i="1"/>
  <c r="P1584" i="1"/>
  <c r="P1585" i="1"/>
  <c r="P1586" i="1"/>
  <c r="P1587" i="1"/>
  <c r="P1588" i="1"/>
  <c r="P1589" i="1"/>
  <c r="P1590" i="1"/>
  <c r="P1591" i="1"/>
  <c r="P1592" i="1"/>
  <c r="P1593" i="1"/>
  <c r="P1594" i="1"/>
  <c r="P1595" i="1"/>
  <c r="P1596" i="1"/>
  <c r="P1597" i="1"/>
  <c r="P1598" i="1"/>
  <c r="P1599" i="1"/>
  <c r="P1600" i="1"/>
  <c r="P1601" i="1"/>
  <c r="P1602" i="1"/>
  <c r="P1603" i="1"/>
  <c r="P1604" i="1"/>
  <c r="P1605" i="1"/>
  <c r="P1606" i="1"/>
  <c r="P1607" i="1"/>
  <c r="P1608" i="1"/>
  <c r="P1609" i="1"/>
  <c r="P1610" i="1"/>
  <c r="P1611" i="1"/>
  <c r="P1612" i="1"/>
  <c r="P1613" i="1"/>
  <c r="P1614" i="1"/>
  <c r="P1615" i="1"/>
  <c r="P1616" i="1"/>
  <c r="P1617" i="1"/>
  <c r="P1618" i="1"/>
  <c r="P1619" i="1"/>
  <c r="P1620" i="1"/>
  <c r="P1621" i="1"/>
  <c r="P1622" i="1"/>
  <c r="P1623" i="1"/>
  <c r="P1624" i="1"/>
  <c r="P1625" i="1"/>
  <c r="P1626" i="1"/>
  <c r="P1627" i="1"/>
  <c r="P1628" i="1"/>
  <c r="P1629" i="1"/>
  <c r="P1630" i="1"/>
  <c r="P1631" i="1"/>
  <c r="P1632" i="1"/>
  <c r="P1633" i="1"/>
  <c r="P1634" i="1"/>
  <c r="P1635" i="1"/>
  <c r="P1636" i="1"/>
  <c r="P1637" i="1"/>
  <c r="P1638" i="1"/>
  <c r="P1639" i="1"/>
  <c r="P1640" i="1"/>
  <c r="P1641" i="1"/>
  <c r="P1642" i="1"/>
  <c r="P1643" i="1"/>
  <c r="P1644" i="1"/>
  <c r="P1645" i="1"/>
  <c r="P1646" i="1"/>
  <c r="P1647" i="1"/>
  <c r="P1648" i="1"/>
  <c r="P1649" i="1"/>
  <c r="P1650" i="1"/>
  <c r="P1651" i="1"/>
  <c r="P1652" i="1"/>
  <c r="P1653" i="1"/>
  <c r="P1654" i="1"/>
  <c r="P1655" i="1"/>
  <c r="P1656" i="1"/>
  <c r="P1657" i="1"/>
  <c r="P1658" i="1"/>
  <c r="P1659" i="1"/>
  <c r="P1660" i="1"/>
  <c r="P1661" i="1"/>
  <c r="P1662" i="1"/>
  <c r="P1663" i="1"/>
  <c r="P1664" i="1"/>
  <c r="P1665" i="1"/>
  <c r="P1666" i="1"/>
  <c r="P1667" i="1"/>
  <c r="P1668" i="1"/>
  <c r="P1669" i="1"/>
  <c r="P1670" i="1"/>
  <c r="P1671" i="1"/>
  <c r="P1672" i="1"/>
  <c r="P1673" i="1"/>
  <c r="P1674" i="1"/>
  <c r="P1675" i="1"/>
  <c r="P1676" i="1"/>
  <c r="P1677" i="1"/>
  <c r="P1678" i="1"/>
  <c r="P1679" i="1"/>
  <c r="P1680" i="1"/>
  <c r="P1681" i="1"/>
  <c r="P1682" i="1"/>
  <c r="P1683" i="1"/>
  <c r="P1684" i="1"/>
  <c r="P1685" i="1"/>
  <c r="P1686" i="1"/>
  <c r="P1687" i="1"/>
  <c r="P1688" i="1"/>
  <c r="P1689" i="1"/>
  <c r="P1690" i="1"/>
  <c r="P1691" i="1"/>
  <c r="P1692" i="1"/>
  <c r="P1693" i="1"/>
  <c r="P1694" i="1"/>
  <c r="P1695" i="1"/>
  <c r="P1696" i="1"/>
  <c r="P1697" i="1"/>
  <c r="P1698" i="1"/>
  <c r="P1699" i="1"/>
  <c r="P1700" i="1"/>
  <c r="P1701" i="1"/>
  <c r="P1702" i="1"/>
  <c r="P1703" i="1"/>
  <c r="P1704" i="1"/>
  <c r="P1705" i="1"/>
  <c r="P1706" i="1"/>
  <c r="P1707" i="1"/>
  <c r="P1708" i="1"/>
  <c r="P1709" i="1"/>
  <c r="P1710" i="1"/>
  <c r="P1711" i="1"/>
  <c r="P1712" i="1"/>
  <c r="P1713" i="1"/>
  <c r="P1714" i="1"/>
  <c r="P1715" i="1"/>
  <c r="P1716" i="1"/>
  <c r="P1717" i="1"/>
  <c r="P1718" i="1"/>
  <c r="P1719" i="1"/>
  <c r="P1720" i="1"/>
  <c r="P1721" i="1"/>
  <c r="P1722" i="1"/>
  <c r="P1723" i="1"/>
  <c r="P1724" i="1"/>
  <c r="P1725" i="1"/>
  <c r="P1726" i="1"/>
  <c r="P1727" i="1"/>
  <c r="P1728" i="1"/>
  <c r="P1729" i="1"/>
  <c r="P1730" i="1"/>
  <c r="P1731" i="1"/>
  <c r="P1732" i="1"/>
  <c r="P1733" i="1"/>
  <c r="P1734" i="1"/>
  <c r="P1735" i="1"/>
  <c r="P1736" i="1"/>
  <c r="P1737" i="1"/>
  <c r="P1738" i="1"/>
  <c r="P1739" i="1"/>
  <c r="P1740" i="1"/>
  <c r="P1741" i="1"/>
  <c r="P1742" i="1"/>
  <c r="P1743" i="1"/>
  <c r="P1744" i="1"/>
  <c r="P1745" i="1"/>
  <c r="P1746" i="1"/>
  <c r="P1747" i="1"/>
  <c r="P1748" i="1"/>
  <c r="P1749" i="1"/>
  <c r="P1750" i="1"/>
  <c r="P1751" i="1"/>
  <c r="P1752" i="1"/>
  <c r="P1753" i="1"/>
  <c r="P1754" i="1"/>
  <c r="P1755" i="1"/>
  <c r="P1756" i="1"/>
  <c r="P1757" i="1"/>
  <c r="P1758" i="1"/>
  <c r="P1759" i="1"/>
  <c r="P1760" i="1"/>
  <c r="P1761" i="1"/>
  <c r="P1762" i="1"/>
  <c r="P1763" i="1"/>
  <c r="P1764" i="1"/>
  <c r="P1765" i="1"/>
  <c r="P1766" i="1"/>
  <c r="P1767" i="1"/>
  <c r="P1768" i="1"/>
  <c r="P1769" i="1"/>
  <c r="P1770" i="1"/>
  <c r="P1771" i="1"/>
  <c r="P1772" i="1"/>
  <c r="P1773" i="1"/>
  <c r="P1774" i="1"/>
  <c r="P1775" i="1"/>
  <c r="P1776" i="1"/>
  <c r="P1777" i="1"/>
  <c r="P1778" i="1"/>
  <c r="P1779" i="1"/>
  <c r="P1780" i="1"/>
  <c r="P1781" i="1"/>
  <c r="P1782" i="1"/>
  <c r="P1783" i="1"/>
  <c r="P1784" i="1"/>
  <c r="P1785" i="1"/>
  <c r="P1786" i="1"/>
  <c r="P1787" i="1"/>
  <c r="P1788" i="1"/>
  <c r="P1789" i="1"/>
  <c r="P1790" i="1"/>
  <c r="P1791" i="1"/>
  <c r="P1792" i="1"/>
  <c r="P1793" i="1"/>
  <c r="P1794" i="1"/>
  <c r="P1795" i="1"/>
  <c r="P1796" i="1"/>
  <c r="P1797" i="1"/>
  <c r="P1798" i="1"/>
  <c r="P1799" i="1"/>
  <c r="P1800" i="1"/>
  <c r="P1801" i="1"/>
  <c r="P1802" i="1"/>
  <c r="P1803" i="1"/>
  <c r="P1804" i="1"/>
  <c r="P1805" i="1"/>
  <c r="P1806" i="1"/>
  <c r="P1807" i="1"/>
  <c r="P1808" i="1"/>
  <c r="P1809" i="1"/>
  <c r="P1810" i="1"/>
  <c r="P1811" i="1"/>
  <c r="P1812" i="1"/>
  <c r="P1813" i="1"/>
  <c r="P1814" i="1"/>
  <c r="P1815" i="1"/>
  <c r="P1816" i="1"/>
  <c r="P1817" i="1"/>
  <c r="P1818" i="1"/>
  <c r="P1819" i="1"/>
  <c r="P1820" i="1"/>
  <c r="P1821" i="1"/>
  <c r="P1822" i="1"/>
  <c r="P1823" i="1"/>
  <c r="P1824" i="1"/>
  <c r="P1825" i="1"/>
  <c r="P1826" i="1"/>
  <c r="P1827" i="1"/>
  <c r="P1828" i="1"/>
  <c r="P1829" i="1"/>
  <c r="P1830" i="1"/>
  <c r="P1831" i="1"/>
  <c r="P1832" i="1"/>
  <c r="P1833" i="1"/>
  <c r="P1834" i="1"/>
  <c r="P1835" i="1"/>
  <c r="P1836" i="1"/>
  <c r="P1837" i="1"/>
  <c r="P1838" i="1"/>
  <c r="P1839" i="1"/>
  <c r="P1840" i="1"/>
  <c r="P1841" i="1"/>
  <c r="P1842" i="1"/>
  <c r="P1843" i="1"/>
  <c r="P1844" i="1"/>
  <c r="P1845" i="1"/>
  <c r="P1846" i="1"/>
  <c r="P1847" i="1"/>
  <c r="P1848" i="1"/>
  <c r="P1849" i="1"/>
  <c r="P1850" i="1"/>
  <c r="P1851" i="1"/>
  <c r="P1852" i="1"/>
  <c r="P1853" i="1"/>
  <c r="P1854" i="1"/>
  <c r="P1855" i="1"/>
  <c r="P1856" i="1"/>
  <c r="P1857" i="1"/>
  <c r="P1858" i="1"/>
  <c r="P1859" i="1"/>
  <c r="P1860" i="1"/>
  <c r="P1861" i="1"/>
  <c r="P1862" i="1"/>
  <c r="P1863" i="1"/>
  <c r="P1864" i="1"/>
  <c r="P1865" i="1"/>
  <c r="P1866" i="1"/>
  <c r="P1867" i="1"/>
  <c r="P1868" i="1"/>
  <c r="P1869" i="1"/>
  <c r="P1870" i="1"/>
  <c r="P1871" i="1"/>
  <c r="P1872" i="1"/>
  <c r="P1873" i="1"/>
  <c r="P1874" i="1"/>
  <c r="P1875" i="1"/>
  <c r="P1876" i="1"/>
  <c r="P1877" i="1"/>
  <c r="P1878" i="1"/>
  <c r="P1879" i="1"/>
  <c r="P1880" i="1"/>
  <c r="P1881" i="1"/>
  <c r="P1882" i="1"/>
  <c r="P1883" i="1"/>
  <c r="P1884" i="1"/>
  <c r="P1885" i="1"/>
  <c r="P1886" i="1"/>
  <c r="P1887" i="1"/>
  <c r="P1888" i="1"/>
  <c r="P1889" i="1"/>
  <c r="P1890" i="1"/>
  <c r="P1891" i="1"/>
  <c r="P1892" i="1"/>
  <c r="P1893" i="1"/>
  <c r="P1894" i="1"/>
  <c r="P1895" i="1"/>
  <c r="P1896" i="1"/>
  <c r="P1897" i="1"/>
  <c r="P1898" i="1"/>
  <c r="P1899" i="1"/>
  <c r="P1900" i="1"/>
  <c r="P1901" i="1"/>
  <c r="P1902" i="1"/>
  <c r="P1903" i="1"/>
  <c r="P1904" i="1"/>
  <c r="P1905" i="1"/>
  <c r="P1906" i="1"/>
  <c r="P1907" i="1"/>
  <c r="P1908" i="1"/>
  <c r="P1909" i="1"/>
  <c r="P1910" i="1"/>
  <c r="P1911" i="1"/>
  <c r="P1912" i="1"/>
  <c r="P1913" i="1"/>
  <c r="P1914" i="1"/>
  <c r="P1915" i="1"/>
  <c r="P1916" i="1"/>
  <c r="P1917" i="1"/>
  <c r="P1918" i="1"/>
  <c r="P1919" i="1"/>
  <c r="P1920" i="1"/>
  <c r="P1921" i="1"/>
  <c r="P1922" i="1"/>
  <c r="P1923" i="1"/>
  <c r="P1924" i="1"/>
  <c r="P1925" i="1"/>
  <c r="P1926" i="1"/>
  <c r="P1927" i="1"/>
  <c r="P1928" i="1"/>
  <c r="P1929" i="1"/>
  <c r="P1930" i="1"/>
  <c r="P1931" i="1"/>
  <c r="P1932" i="1"/>
  <c r="P1933" i="1"/>
  <c r="P1934" i="1"/>
  <c r="P1935" i="1"/>
  <c r="P1936" i="1"/>
  <c r="P1937" i="1"/>
  <c r="P1938" i="1"/>
  <c r="P1939" i="1"/>
  <c r="P1940" i="1"/>
  <c r="P1941" i="1"/>
  <c r="P1942" i="1"/>
  <c r="P1943" i="1"/>
  <c r="P1944" i="1"/>
  <c r="P1945" i="1"/>
  <c r="P1946" i="1"/>
  <c r="P1947" i="1"/>
  <c r="P1948" i="1"/>
  <c r="P1949" i="1"/>
  <c r="P1950" i="1"/>
  <c r="P1951" i="1"/>
  <c r="P1952" i="1"/>
  <c r="P1953" i="1"/>
  <c r="P1954" i="1"/>
  <c r="P1955" i="1"/>
  <c r="P1956" i="1"/>
  <c r="P1957" i="1"/>
  <c r="P1958" i="1"/>
  <c r="P1959" i="1"/>
  <c r="P1960" i="1"/>
  <c r="P1961" i="1"/>
  <c r="P1962" i="1"/>
  <c r="P1963" i="1"/>
  <c r="P1964" i="1"/>
  <c r="P1965" i="1"/>
  <c r="P1966" i="1"/>
  <c r="P1967" i="1"/>
  <c r="P1968" i="1"/>
  <c r="P1969" i="1"/>
  <c r="P1970" i="1"/>
  <c r="P1971" i="1"/>
  <c r="P1972" i="1"/>
  <c r="P1973" i="1"/>
  <c r="P1974" i="1"/>
  <c r="P1975" i="1"/>
  <c r="P1976" i="1"/>
  <c r="P1977" i="1"/>
  <c r="P1978" i="1"/>
  <c r="P1979" i="1"/>
  <c r="P1980" i="1"/>
  <c r="P1981" i="1"/>
  <c r="P1982" i="1"/>
  <c r="P1983" i="1"/>
  <c r="P1984" i="1"/>
  <c r="P1985" i="1"/>
  <c r="P1986" i="1"/>
  <c r="P1987" i="1"/>
  <c r="P1988" i="1"/>
  <c r="P1989" i="1"/>
  <c r="P1990" i="1"/>
  <c r="P1991" i="1"/>
  <c r="P1992" i="1"/>
  <c r="P1993" i="1"/>
  <c r="P1994" i="1"/>
  <c r="P1995" i="1"/>
  <c r="P1996" i="1"/>
  <c r="P1997" i="1"/>
  <c r="P1998" i="1"/>
  <c r="P1999" i="1"/>
  <c r="P2000" i="1"/>
  <c r="P2001" i="1"/>
  <c r="P2002" i="1"/>
  <c r="P2003" i="1"/>
  <c r="P2004" i="1"/>
  <c r="P2005" i="1"/>
  <c r="P2006" i="1"/>
  <c r="P2007" i="1"/>
  <c r="P2008" i="1"/>
  <c r="P2009" i="1"/>
  <c r="P2010" i="1"/>
  <c r="P2011" i="1"/>
  <c r="P2012" i="1"/>
  <c r="P2013" i="1"/>
  <c r="P2014" i="1"/>
  <c r="P2015" i="1"/>
  <c r="P2016" i="1"/>
  <c r="P2017" i="1"/>
  <c r="P2018" i="1"/>
  <c r="P2019" i="1"/>
  <c r="P2020" i="1"/>
  <c r="P2021" i="1"/>
  <c r="P2022" i="1"/>
  <c r="P2023" i="1"/>
  <c r="P2024" i="1"/>
  <c r="P2025" i="1"/>
  <c r="P2026" i="1"/>
  <c r="P2027" i="1"/>
  <c r="P2028" i="1"/>
  <c r="P2029" i="1"/>
  <c r="P2030" i="1"/>
  <c r="P2031" i="1"/>
  <c r="P2032" i="1"/>
  <c r="P2033" i="1"/>
  <c r="P2034" i="1"/>
  <c r="P2035" i="1"/>
  <c r="P2036" i="1"/>
  <c r="P2037" i="1"/>
  <c r="P2038" i="1"/>
  <c r="P2039" i="1"/>
  <c r="P2040" i="1"/>
  <c r="P2041" i="1"/>
  <c r="P2042" i="1"/>
  <c r="P2043" i="1"/>
  <c r="P2044" i="1"/>
  <c r="P2045" i="1"/>
  <c r="P2046" i="1"/>
  <c r="P2047" i="1"/>
  <c r="P2048" i="1"/>
  <c r="P2049" i="1"/>
  <c r="P2050" i="1"/>
  <c r="P2051" i="1"/>
  <c r="P2052" i="1"/>
  <c r="P2053" i="1"/>
  <c r="P2054" i="1"/>
  <c r="P2055" i="1"/>
  <c r="P2056" i="1"/>
  <c r="P2057" i="1"/>
  <c r="P2058" i="1"/>
  <c r="P2059" i="1"/>
  <c r="P2060" i="1"/>
  <c r="P2061" i="1"/>
  <c r="P2062" i="1"/>
  <c r="P2063" i="1"/>
  <c r="P2064" i="1"/>
  <c r="P2065" i="1"/>
  <c r="P2066" i="1"/>
  <c r="P2067" i="1"/>
  <c r="P2068" i="1"/>
  <c r="P2069" i="1"/>
  <c r="P2070" i="1"/>
  <c r="P2071" i="1"/>
  <c r="P2072" i="1"/>
  <c r="P2073" i="1"/>
  <c r="P2074" i="1"/>
  <c r="P2075" i="1"/>
  <c r="P2076" i="1"/>
  <c r="P2077" i="1"/>
  <c r="P2078" i="1"/>
  <c r="P2079" i="1"/>
  <c r="P2080" i="1"/>
  <c r="P2081" i="1"/>
  <c r="P2082" i="1"/>
  <c r="P2083" i="1"/>
  <c r="P2084" i="1"/>
  <c r="P2085" i="1"/>
  <c r="P2086" i="1"/>
  <c r="P2087" i="1"/>
  <c r="P2088" i="1"/>
  <c r="P2089" i="1"/>
  <c r="P2090" i="1"/>
  <c r="P2091" i="1"/>
  <c r="P2092" i="1"/>
  <c r="P2093" i="1"/>
  <c r="P2094" i="1"/>
  <c r="P2095" i="1"/>
  <c r="P2096" i="1"/>
  <c r="P2097" i="1"/>
  <c r="P2098" i="1"/>
  <c r="P2099" i="1"/>
  <c r="P2100" i="1"/>
  <c r="P2101" i="1"/>
  <c r="P2102" i="1"/>
  <c r="P2103" i="1"/>
  <c r="P2104" i="1"/>
  <c r="P2105" i="1"/>
  <c r="P2106" i="1"/>
  <c r="P2107" i="1"/>
  <c r="P2108" i="1"/>
  <c r="P2109" i="1"/>
  <c r="P2110" i="1"/>
  <c r="P2111" i="1"/>
  <c r="P2112" i="1"/>
  <c r="P2113" i="1"/>
  <c r="P2114" i="1"/>
  <c r="P2115" i="1"/>
  <c r="P2116" i="1"/>
  <c r="P2117" i="1"/>
  <c r="P2118" i="1"/>
  <c r="P2119" i="1"/>
  <c r="P2120" i="1"/>
  <c r="P2121" i="1"/>
  <c r="P2122" i="1"/>
  <c r="P2123" i="1"/>
  <c r="P2124" i="1"/>
  <c r="P2125" i="1"/>
  <c r="P2126" i="1"/>
  <c r="P2127" i="1"/>
  <c r="P2128" i="1"/>
  <c r="P2129" i="1"/>
  <c r="P2130" i="1"/>
  <c r="P2131" i="1"/>
  <c r="P2132" i="1"/>
  <c r="P2133" i="1"/>
  <c r="P2134" i="1"/>
  <c r="P2135" i="1"/>
  <c r="P2136" i="1"/>
  <c r="P2137" i="1"/>
  <c r="P2138" i="1"/>
  <c r="P2139" i="1"/>
  <c r="P2140" i="1"/>
  <c r="P2141" i="1"/>
  <c r="P2142" i="1"/>
  <c r="P2143" i="1"/>
  <c r="P2144" i="1"/>
  <c r="P2145" i="1"/>
  <c r="P2146" i="1"/>
  <c r="P2147" i="1"/>
  <c r="P2148" i="1"/>
  <c r="P2149" i="1"/>
  <c r="P2150" i="1"/>
  <c r="P2151" i="1"/>
  <c r="P2152" i="1"/>
  <c r="P2153" i="1"/>
  <c r="P2154" i="1"/>
  <c r="P2155" i="1"/>
  <c r="P2156" i="1"/>
  <c r="P2157" i="1"/>
  <c r="P2158" i="1"/>
  <c r="P2159" i="1"/>
  <c r="P2160" i="1"/>
  <c r="P2161" i="1"/>
  <c r="P2162" i="1"/>
  <c r="P2163" i="1"/>
  <c r="P2164" i="1"/>
  <c r="P2165" i="1"/>
  <c r="P2166" i="1"/>
  <c r="P2167" i="1"/>
  <c r="P2168" i="1"/>
  <c r="P2169" i="1"/>
  <c r="P2170" i="1"/>
  <c r="P2171" i="1"/>
  <c r="P2172" i="1"/>
  <c r="P2173" i="1"/>
  <c r="P2174" i="1"/>
  <c r="P2175" i="1"/>
  <c r="P2176" i="1"/>
  <c r="P2177" i="1"/>
  <c r="P2178" i="1"/>
  <c r="P2179" i="1"/>
  <c r="P2180" i="1"/>
  <c r="P2181" i="1"/>
  <c r="P2182" i="1"/>
  <c r="P2183" i="1"/>
  <c r="P2184" i="1"/>
  <c r="P2185" i="1"/>
  <c r="P2186" i="1"/>
  <c r="P2187" i="1"/>
  <c r="P2188" i="1"/>
  <c r="P2189" i="1"/>
  <c r="P2190" i="1"/>
  <c r="P2191" i="1"/>
  <c r="P2192" i="1"/>
  <c r="P2193" i="1"/>
  <c r="P2194" i="1"/>
  <c r="P2195" i="1"/>
  <c r="P2196" i="1"/>
  <c r="P2197" i="1"/>
  <c r="P2198" i="1"/>
  <c r="P2199" i="1"/>
  <c r="P2200" i="1"/>
  <c r="P2201" i="1"/>
  <c r="P2202" i="1"/>
  <c r="P2203" i="1"/>
  <c r="P2204" i="1"/>
  <c r="P2205" i="1"/>
  <c r="P2206" i="1"/>
  <c r="P2207" i="1"/>
  <c r="P2208" i="1"/>
  <c r="P2209" i="1"/>
  <c r="P2210" i="1"/>
  <c r="P2211" i="1"/>
  <c r="P2212" i="1"/>
  <c r="P2213" i="1"/>
  <c r="P2214" i="1"/>
  <c r="P2215" i="1"/>
  <c r="P2216" i="1"/>
  <c r="P2217" i="1"/>
  <c r="P2218" i="1"/>
  <c r="P2219" i="1"/>
  <c r="P2220" i="1"/>
  <c r="P2221" i="1"/>
  <c r="P2222" i="1"/>
  <c r="P2223" i="1"/>
  <c r="P2224" i="1"/>
  <c r="P2225" i="1"/>
  <c r="P2226" i="1"/>
  <c r="P2227" i="1"/>
  <c r="P2228" i="1"/>
  <c r="P2229" i="1"/>
  <c r="P2230" i="1"/>
  <c r="P2231" i="1"/>
  <c r="P2232" i="1"/>
  <c r="P2233" i="1"/>
  <c r="P2234" i="1"/>
  <c r="P2235" i="1"/>
  <c r="P2236" i="1"/>
  <c r="P2237" i="1"/>
  <c r="P2238" i="1"/>
  <c r="P2239" i="1"/>
  <c r="P2240" i="1"/>
  <c r="P2241" i="1"/>
  <c r="P2242" i="1"/>
  <c r="P2243" i="1"/>
  <c r="P2244" i="1"/>
  <c r="P2245" i="1"/>
  <c r="P2246" i="1"/>
  <c r="P2247" i="1"/>
  <c r="P2248" i="1"/>
  <c r="P2249" i="1"/>
  <c r="P2250" i="1"/>
  <c r="P2251" i="1"/>
  <c r="P2252" i="1"/>
  <c r="P2253" i="1"/>
  <c r="P2254" i="1"/>
  <c r="P2255" i="1"/>
  <c r="P2256" i="1"/>
  <c r="P2257" i="1"/>
  <c r="P2258" i="1"/>
  <c r="P2259" i="1"/>
  <c r="P2260" i="1"/>
  <c r="P2261" i="1"/>
  <c r="P2262" i="1"/>
  <c r="P2263" i="1"/>
  <c r="P2264" i="1"/>
  <c r="P2265" i="1"/>
  <c r="P2266" i="1"/>
  <c r="P2267" i="1"/>
  <c r="P2268" i="1"/>
  <c r="P2269" i="1"/>
  <c r="P2270" i="1"/>
  <c r="P2271" i="1"/>
  <c r="P2272" i="1"/>
  <c r="P2273" i="1"/>
  <c r="P2274" i="1"/>
  <c r="P2275" i="1"/>
  <c r="P2276" i="1"/>
  <c r="P2277" i="1"/>
  <c r="P2278" i="1"/>
  <c r="P2279" i="1"/>
  <c r="P2280" i="1"/>
  <c r="P2281" i="1"/>
  <c r="P2282" i="1"/>
  <c r="P2283" i="1"/>
  <c r="P2284" i="1"/>
  <c r="P2285" i="1"/>
  <c r="P2286" i="1"/>
  <c r="P2287" i="1"/>
  <c r="P2288" i="1"/>
  <c r="P2289" i="1"/>
  <c r="P2290" i="1"/>
  <c r="P2291" i="1"/>
  <c r="P2292" i="1"/>
  <c r="P2293" i="1"/>
  <c r="P2294" i="1"/>
  <c r="P2295" i="1"/>
  <c r="P2296" i="1"/>
  <c r="P2297" i="1"/>
  <c r="P2298" i="1"/>
  <c r="P2299" i="1"/>
  <c r="P2300" i="1"/>
  <c r="P2301" i="1"/>
  <c r="P2302" i="1"/>
  <c r="P2303" i="1"/>
  <c r="P2304" i="1"/>
  <c r="P2305" i="1"/>
  <c r="P2306" i="1"/>
  <c r="P2307" i="1"/>
  <c r="P2308" i="1"/>
  <c r="P2309" i="1"/>
  <c r="P2310" i="1"/>
  <c r="P2311" i="1"/>
  <c r="P2312" i="1"/>
  <c r="P2313" i="1"/>
  <c r="P2314" i="1"/>
  <c r="P2315" i="1"/>
  <c r="P2316" i="1"/>
  <c r="P2317" i="1"/>
  <c r="P2318" i="1"/>
  <c r="P2319" i="1"/>
  <c r="P2320" i="1"/>
  <c r="P2321" i="1"/>
  <c r="P2322" i="1"/>
  <c r="P2323" i="1"/>
  <c r="P2324" i="1"/>
  <c r="P2325" i="1"/>
  <c r="P2326" i="1"/>
  <c r="P2327" i="1"/>
  <c r="P2328" i="1"/>
  <c r="P2329" i="1"/>
  <c r="P2330" i="1"/>
  <c r="P2331" i="1"/>
  <c r="P2332" i="1"/>
  <c r="P2333" i="1"/>
  <c r="P2334" i="1"/>
  <c r="P2335" i="1"/>
  <c r="P2336" i="1"/>
  <c r="P2337" i="1"/>
  <c r="P2338" i="1"/>
  <c r="P2339" i="1"/>
  <c r="P2340" i="1"/>
  <c r="P2341" i="1"/>
  <c r="P2342" i="1"/>
  <c r="P2343" i="1"/>
  <c r="P2344" i="1"/>
  <c r="P2345" i="1"/>
  <c r="P2346" i="1"/>
  <c r="P2347" i="1"/>
  <c r="P2348" i="1"/>
  <c r="P2349" i="1"/>
  <c r="P2350" i="1"/>
  <c r="P2351" i="1"/>
  <c r="P2352" i="1"/>
  <c r="P2353" i="1"/>
  <c r="P2354" i="1"/>
  <c r="P2355" i="1"/>
  <c r="P2356" i="1"/>
  <c r="P2357" i="1"/>
  <c r="P2358" i="1"/>
  <c r="P2359" i="1"/>
  <c r="P2360" i="1"/>
  <c r="P2361" i="1"/>
  <c r="P2362" i="1"/>
  <c r="P2363" i="1"/>
  <c r="P2364" i="1"/>
  <c r="P2365" i="1"/>
  <c r="P2366" i="1"/>
  <c r="P2367" i="1"/>
  <c r="P2368" i="1"/>
  <c r="P2369" i="1"/>
  <c r="P2370" i="1"/>
  <c r="P2371" i="1"/>
  <c r="P2372" i="1"/>
  <c r="P2373" i="1"/>
  <c r="P2374" i="1"/>
  <c r="P2375" i="1"/>
  <c r="P2376" i="1"/>
  <c r="P2377" i="1"/>
  <c r="P2378" i="1"/>
  <c r="P2379" i="1"/>
  <c r="P2380" i="1"/>
  <c r="P2381" i="1"/>
  <c r="P2382" i="1"/>
  <c r="P2383" i="1"/>
  <c r="P2384" i="1"/>
  <c r="P2385" i="1"/>
  <c r="P2386" i="1"/>
  <c r="P2387" i="1"/>
  <c r="P2388" i="1"/>
  <c r="P2389" i="1"/>
  <c r="P2390" i="1"/>
  <c r="P2391" i="1"/>
  <c r="P2392" i="1"/>
  <c r="P2393" i="1"/>
  <c r="P2394" i="1"/>
  <c r="P2395" i="1"/>
  <c r="P2396" i="1"/>
  <c r="P2397" i="1"/>
  <c r="P2398" i="1"/>
  <c r="P2399" i="1"/>
  <c r="P2400" i="1"/>
  <c r="P2401" i="1"/>
  <c r="P2402" i="1"/>
  <c r="P2403" i="1"/>
  <c r="P2404" i="1"/>
  <c r="P2405" i="1"/>
  <c r="P2406" i="1"/>
  <c r="P2407" i="1"/>
  <c r="P2408" i="1"/>
  <c r="P2409" i="1"/>
  <c r="P2410" i="1"/>
  <c r="P2411" i="1"/>
  <c r="P2412" i="1"/>
  <c r="P2413" i="1"/>
  <c r="P2414" i="1"/>
  <c r="P2415" i="1"/>
  <c r="P2416" i="1"/>
  <c r="P2417" i="1"/>
  <c r="P2418" i="1"/>
  <c r="P2419" i="1"/>
  <c r="P2420" i="1"/>
  <c r="P2421" i="1"/>
  <c r="P2422" i="1"/>
  <c r="P2423" i="1"/>
  <c r="P2424" i="1"/>
  <c r="P2425" i="1"/>
  <c r="P2426" i="1"/>
  <c r="P2427" i="1"/>
  <c r="P2428" i="1"/>
  <c r="P2429" i="1"/>
  <c r="P2430" i="1"/>
  <c r="P2431" i="1"/>
  <c r="P2432" i="1"/>
  <c r="P2433" i="1"/>
  <c r="P2434" i="1"/>
  <c r="P2435" i="1"/>
  <c r="P2436" i="1"/>
  <c r="P2437" i="1"/>
  <c r="P2438" i="1"/>
  <c r="P2439" i="1"/>
  <c r="P2440" i="1"/>
  <c r="P2441" i="1"/>
  <c r="P2442" i="1"/>
  <c r="P2443" i="1"/>
  <c r="P2444" i="1"/>
  <c r="P2445" i="1"/>
  <c r="P2446" i="1"/>
  <c r="P2447" i="1"/>
  <c r="P2448" i="1"/>
  <c r="P2449" i="1"/>
  <c r="P2450" i="1"/>
  <c r="P2451" i="1"/>
  <c r="P2452" i="1"/>
  <c r="P2453" i="1"/>
  <c r="P2454" i="1"/>
  <c r="P2455" i="1"/>
  <c r="P2456" i="1"/>
  <c r="P2457" i="1"/>
  <c r="P2458" i="1"/>
  <c r="P2459" i="1"/>
  <c r="P2460" i="1"/>
  <c r="P2461" i="1"/>
  <c r="P2462" i="1"/>
  <c r="P2463" i="1"/>
  <c r="P2464" i="1"/>
  <c r="P2465" i="1"/>
  <c r="P2466" i="1"/>
  <c r="P2467" i="1"/>
  <c r="P2468" i="1"/>
  <c r="P2469" i="1"/>
  <c r="P2470" i="1"/>
  <c r="P2471" i="1"/>
  <c r="P2472" i="1"/>
  <c r="P2473" i="1"/>
  <c r="P2474" i="1"/>
  <c r="P2475" i="1"/>
  <c r="P2476" i="1"/>
  <c r="P2477" i="1"/>
  <c r="P2478" i="1"/>
  <c r="P2479" i="1"/>
  <c r="P2480" i="1"/>
  <c r="P2481" i="1"/>
  <c r="P2482" i="1"/>
  <c r="P2483" i="1"/>
  <c r="P2484" i="1"/>
  <c r="P2485" i="1"/>
  <c r="P2486" i="1"/>
  <c r="P2487" i="1"/>
  <c r="P2488" i="1"/>
  <c r="P2489" i="1"/>
  <c r="P2490" i="1"/>
  <c r="P2491" i="1"/>
  <c r="P2492" i="1"/>
  <c r="P2493" i="1"/>
  <c r="P2494" i="1"/>
  <c r="P2495" i="1"/>
  <c r="P2496" i="1"/>
  <c r="P2497" i="1"/>
  <c r="P2498" i="1"/>
  <c r="P2499" i="1"/>
  <c r="P2500" i="1"/>
  <c r="P2501" i="1"/>
  <c r="P2502" i="1"/>
  <c r="P2503" i="1"/>
  <c r="P2504" i="1"/>
  <c r="P2505" i="1"/>
  <c r="P2506" i="1"/>
  <c r="P2507" i="1"/>
  <c r="P2508" i="1"/>
  <c r="P2509" i="1"/>
  <c r="P2510" i="1"/>
  <c r="P2511" i="1"/>
  <c r="P2512" i="1"/>
  <c r="P2513" i="1"/>
  <c r="P2514" i="1"/>
  <c r="P2515" i="1"/>
  <c r="P2516" i="1"/>
  <c r="P2517" i="1"/>
  <c r="P2518" i="1"/>
  <c r="P2519" i="1"/>
  <c r="P2520" i="1"/>
  <c r="P2521" i="1"/>
  <c r="P2522" i="1"/>
  <c r="P2523" i="1"/>
  <c r="P2524" i="1"/>
  <c r="P2525" i="1"/>
  <c r="P2526" i="1"/>
  <c r="P2527" i="1"/>
  <c r="P2528" i="1"/>
  <c r="P2529" i="1"/>
  <c r="P2530" i="1"/>
  <c r="P2531" i="1"/>
  <c r="P2532" i="1"/>
  <c r="P2533" i="1"/>
  <c r="P2534" i="1"/>
  <c r="P2535" i="1"/>
  <c r="P2536" i="1"/>
  <c r="P2537" i="1"/>
  <c r="P2538" i="1"/>
  <c r="P2539" i="1"/>
  <c r="P2540" i="1"/>
  <c r="P2541" i="1"/>
  <c r="P2542" i="1"/>
  <c r="P2543" i="1"/>
  <c r="P2544" i="1"/>
  <c r="P2545" i="1"/>
  <c r="P2546" i="1"/>
  <c r="P2547" i="1"/>
  <c r="P2548" i="1"/>
  <c r="P2549" i="1"/>
  <c r="P2550" i="1"/>
  <c r="P2551" i="1"/>
  <c r="P2552" i="1"/>
  <c r="P2553" i="1"/>
  <c r="P2554" i="1"/>
  <c r="P2555" i="1"/>
  <c r="P2556" i="1"/>
  <c r="P2557" i="1"/>
  <c r="P2558" i="1"/>
  <c r="P2559" i="1"/>
  <c r="P2560" i="1"/>
  <c r="P2561" i="1"/>
  <c r="P2562" i="1"/>
  <c r="P2563" i="1"/>
  <c r="P2564" i="1"/>
  <c r="P2565" i="1"/>
  <c r="P2566" i="1"/>
  <c r="P2567" i="1"/>
  <c r="P2568" i="1"/>
  <c r="P2569" i="1"/>
  <c r="P2570" i="1"/>
  <c r="P2571" i="1"/>
  <c r="P2572" i="1"/>
  <c r="P2573" i="1"/>
  <c r="P2574" i="1"/>
  <c r="P2575" i="1"/>
  <c r="P2576" i="1"/>
  <c r="P2577" i="1"/>
  <c r="P2578" i="1"/>
  <c r="P2579" i="1"/>
  <c r="P2580" i="1"/>
  <c r="P2581" i="1"/>
  <c r="P2582" i="1"/>
  <c r="P2583" i="1"/>
  <c r="P2584" i="1"/>
  <c r="P2585" i="1"/>
  <c r="P2586" i="1"/>
  <c r="P2587" i="1"/>
  <c r="P2588" i="1"/>
  <c r="P2589" i="1"/>
  <c r="P2590" i="1"/>
  <c r="P2591" i="1"/>
  <c r="P2592" i="1"/>
  <c r="P2593" i="1"/>
  <c r="P2594" i="1"/>
  <c r="P2595" i="1"/>
  <c r="P2596" i="1"/>
  <c r="P2597" i="1"/>
  <c r="P2598" i="1"/>
  <c r="P2599" i="1"/>
  <c r="P2600" i="1"/>
  <c r="P2601" i="1"/>
  <c r="P2602" i="1"/>
  <c r="P2603" i="1"/>
  <c r="P2604" i="1"/>
  <c r="P2605" i="1"/>
  <c r="P2606" i="1"/>
  <c r="P2607" i="1"/>
  <c r="P2608" i="1"/>
  <c r="P2609" i="1"/>
  <c r="P2610" i="1"/>
  <c r="P2611" i="1"/>
  <c r="P2612" i="1"/>
  <c r="P2613" i="1"/>
  <c r="P2614" i="1"/>
  <c r="P2615" i="1"/>
  <c r="P2616" i="1"/>
  <c r="P2617" i="1"/>
  <c r="P2618" i="1"/>
  <c r="P2619" i="1"/>
  <c r="P2620" i="1"/>
  <c r="P2621" i="1"/>
  <c r="P2622" i="1"/>
  <c r="P2623" i="1"/>
  <c r="P2624" i="1"/>
  <c r="P2625" i="1"/>
  <c r="P2626" i="1"/>
  <c r="P2627" i="1"/>
  <c r="P2628" i="1"/>
  <c r="P2629" i="1"/>
  <c r="P2630" i="1"/>
  <c r="P2631" i="1"/>
  <c r="P2632" i="1"/>
  <c r="P2633" i="1"/>
  <c r="P2634" i="1"/>
  <c r="P2635" i="1"/>
  <c r="P2636" i="1"/>
  <c r="P2637" i="1"/>
  <c r="P2638" i="1"/>
  <c r="P2639" i="1"/>
  <c r="P2640" i="1"/>
  <c r="P2641" i="1"/>
  <c r="P2642" i="1"/>
  <c r="P2643" i="1"/>
  <c r="P2644" i="1"/>
  <c r="P2645" i="1"/>
  <c r="P2646" i="1"/>
  <c r="P2647" i="1"/>
  <c r="P2648" i="1"/>
  <c r="P2649" i="1"/>
  <c r="P2650" i="1"/>
  <c r="P2651" i="1"/>
  <c r="P2652" i="1"/>
  <c r="P2653" i="1"/>
  <c r="P2654" i="1"/>
  <c r="P2655" i="1"/>
  <c r="P2656" i="1"/>
  <c r="P2657" i="1"/>
  <c r="P2658" i="1"/>
  <c r="P2659" i="1"/>
  <c r="P2660" i="1"/>
  <c r="P2661" i="1"/>
  <c r="P2662" i="1"/>
  <c r="P2663" i="1"/>
  <c r="P2664" i="1"/>
  <c r="P2665" i="1"/>
  <c r="P2666" i="1"/>
  <c r="P2667" i="1"/>
  <c r="P2668" i="1"/>
  <c r="P2669" i="1"/>
  <c r="P2670" i="1"/>
  <c r="P2671" i="1"/>
  <c r="P2672" i="1"/>
  <c r="P2673" i="1"/>
  <c r="P2674" i="1"/>
  <c r="P2675" i="1"/>
  <c r="P2676" i="1"/>
  <c r="P2677" i="1"/>
  <c r="P2678" i="1"/>
  <c r="P2679" i="1"/>
  <c r="P2680" i="1"/>
  <c r="P2681" i="1"/>
  <c r="P2682" i="1"/>
  <c r="P2683" i="1"/>
  <c r="P2684" i="1"/>
  <c r="P2685" i="1"/>
  <c r="P2686" i="1"/>
  <c r="P2687" i="1"/>
  <c r="P2688" i="1"/>
  <c r="P2689" i="1"/>
  <c r="P2690" i="1"/>
  <c r="P2691" i="1"/>
  <c r="P2692" i="1"/>
  <c r="P2693" i="1"/>
  <c r="P2694" i="1"/>
  <c r="P2695" i="1"/>
  <c r="P2696" i="1"/>
  <c r="P2697" i="1"/>
  <c r="P2698" i="1"/>
  <c r="P2699" i="1"/>
  <c r="P2700" i="1"/>
  <c r="P2701" i="1"/>
  <c r="P2702" i="1"/>
  <c r="P2703" i="1"/>
  <c r="P2704" i="1"/>
  <c r="P2705" i="1"/>
  <c r="P2706" i="1"/>
  <c r="P2707" i="1"/>
  <c r="P2708" i="1"/>
  <c r="P2709" i="1"/>
  <c r="P2710" i="1"/>
  <c r="P2711" i="1"/>
  <c r="P2712" i="1"/>
  <c r="P2713" i="1"/>
  <c r="P2714" i="1"/>
  <c r="P2715" i="1"/>
  <c r="P2716" i="1"/>
  <c r="P2717" i="1"/>
  <c r="P2718" i="1"/>
  <c r="P2719" i="1"/>
  <c r="P2720" i="1"/>
  <c r="P2721" i="1"/>
  <c r="P2722" i="1"/>
  <c r="P2723" i="1"/>
  <c r="P2724" i="1"/>
  <c r="P2725" i="1"/>
  <c r="P2726" i="1"/>
  <c r="P2727" i="1"/>
  <c r="P2728" i="1"/>
  <c r="P2729" i="1"/>
  <c r="P2730" i="1"/>
  <c r="P2731" i="1"/>
  <c r="P2732" i="1"/>
  <c r="P2733" i="1"/>
  <c r="P2734" i="1"/>
  <c r="P2735" i="1"/>
  <c r="P2736" i="1"/>
  <c r="P2737" i="1"/>
  <c r="P2738" i="1"/>
  <c r="P2739" i="1"/>
  <c r="P2740" i="1"/>
  <c r="P2741" i="1"/>
  <c r="P2742" i="1"/>
  <c r="P2743" i="1"/>
  <c r="P2744" i="1"/>
  <c r="P2745" i="1"/>
  <c r="P2746" i="1"/>
  <c r="P2747" i="1"/>
  <c r="P2748" i="1"/>
  <c r="P2749" i="1"/>
  <c r="P2750" i="1"/>
  <c r="P2751" i="1"/>
  <c r="P2752" i="1"/>
  <c r="P2753" i="1"/>
  <c r="P2754" i="1"/>
  <c r="P2755" i="1"/>
  <c r="P2756" i="1"/>
  <c r="P2757" i="1"/>
  <c r="P2758" i="1"/>
  <c r="P2759" i="1"/>
  <c r="P2760" i="1"/>
  <c r="P2761" i="1"/>
  <c r="P2762" i="1"/>
  <c r="P2763" i="1"/>
  <c r="P2764" i="1"/>
  <c r="P2765" i="1"/>
  <c r="P2766" i="1"/>
  <c r="P2767" i="1"/>
  <c r="P2768" i="1"/>
  <c r="P2769" i="1"/>
  <c r="P2770" i="1"/>
  <c r="P2771" i="1"/>
  <c r="P2772" i="1"/>
  <c r="P2773" i="1"/>
  <c r="P2774" i="1"/>
  <c r="P2775" i="1"/>
  <c r="P2776" i="1"/>
  <c r="P2777" i="1"/>
  <c r="P2778" i="1"/>
  <c r="P2779" i="1"/>
  <c r="P2780" i="1"/>
  <c r="P2781" i="1"/>
  <c r="P2782" i="1"/>
  <c r="P2783" i="1"/>
  <c r="P2784" i="1"/>
  <c r="P2785" i="1"/>
  <c r="P2786" i="1"/>
  <c r="P2787" i="1"/>
  <c r="P2788" i="1"/>
  <c r="P2789" i="1"/>
  <c r="P2790" i="1"/>
  <c r="P2791" i="1"/>
  <c r="P2792" i="1"/>
  <c r="P2793" i="1"/>
  <c r="P2794" i="1"/>
  <c r="P2795" i="1"/>
  <c r="P2796" i="1"/>
  <c r="P2797" i="1"/>
  <c r="P2798" i="1"/>
  <c r="P2799" i="1"/>
  <c r="P2800" i="1"/>
  <c r="P2801" i="1"/>
  <c r="P2802" i="1"/>
  <c r="P2803" i="1"/>
  <c r="P2804" i="1"/>
  <c r="P2805" i="1"/>
  <c r="P2806" i="1"/>
  <c r="P2807" i="1"/>
  <c r="P2808" i="1"/>
  <c r="P2809" i="1"/>
  <c r="P2810" i="1"/>
  <c r="P2811" i="1"/>
  <c r="P2812" i="1"/>
  <c r="P2813" i="1"/>
  <c r="P2814" i="1"/>
  <c r="P2815" i="1"/>
  <c r="P2816" i="1"/>
  <c r="P2817" i="1"/>
  <c r="P2818" i="1"/>
  <c r="P2819" i="1"/>
  <c r="P2820" i="1"/>
  <c r="P2821" i="1"/>
  <c r="P2822" i="1"/>
  <c r="P2823" i="1"/>
  <c r="P2824" i="1"/>
  <c r="P2825" i="1"/>
  <c r="P2826" i="1"/>
  <c r="P2827" i="1"/>
  <c r="P2828" i="1"/>
  <c r="P2829" i="1"/>
  <c r="P2830" i="1"/>
  <c r="P2831" i="1"/>
  <c r="P2832" i="1"/>
  <c r="P2833" i="1"/>
  <c r="P2834" i="1"/>
  <c r="P2835" i="1"/>
  <c r="P2836" i="1"/>
  <c r="P2837" i="1"/>
  <c r="P2838" i="1"/>
  <c r="P2839" i="1"/>
  <c r="P2840" i="1"/>
  <c r="P2841" i="1"/>
  <c r="P2842" i="1"/>
  <c r="P2843" i="1"/>
  <c r="P2844" i="1"/>
  <c r="P2845" i="1"/>
  <c r="P2846" i="1"/>
  <c r="P2847" i="1"/>
  <c r="P2848" i="1"/>
  <c r="P2849" i="1"/>
  <c r="P2850" i="1"/>
  <c r="P2851" i="1"/>
  <c r="P2852" i="1"/>
  <c r="P2853" i="1"/>
  <c r="P2854" i="1"/>
  <c r="P2855" i="1"/>
  <c r="P2856" i="1"/>
  <c r="P2857" i="1"/>
  <c r="P2858" i="1"/>
  <c r="P2859" i="1"/>
  <c r="P2860" i="1"/>
  <c r="P2861" i="1"/>
  <c r="P2862" i="1"/>
  <c r="P2863" i="1"/>
  <c r="P2864" i="1"/>
  <c r="P2865" i="1"/>
  <c r="P2866" i="1"/>
  <c r="P2867" i="1"/>
  <c r="P2868" i="1"/>
  <c r="P2869" i="1"/>
  <c r="P2870" i="1"/>
  <c r="P2871" i="1"/>
  <c r="P2872" i="1"/>
  <c r="P2873" i="1"/>
  <c r="P2874" i="1"/>
  <c r="P2875" i="1"/>
  <c r="P2876" i="1"/>
  <c r="P2877" i="1"/>
  <c r="P2878" i="1"/>
  <c r="P2879" i="1"/>
  <c r="P2880" i="1"/>
  <c r="P2881" i="1"/>
  <c r="P2882" i="1"/>
  <c r="P2883" i="1"/>
  <c r="P2884" i="1"/>
  <c r="P2885" i="1"/>
  <c r="P2886" i="1"/>
  <c r="P2887" i="1"/>
  <c r="P2888" i="1"/>
  <c r="P2889" i="1"/>
  <c r="P2890" i="1"/>
  <c r="P2891" i="1"/>
  <c r="P2892" i="1"/>
  <c r="P2893" i="1"/>
  <c r="P2894" i="1"/>
  <c r="P2895" i="1"/>
  <c r="P2896" i="1"/>
  <c r="P2897" i="1"/>
  <c r="P2898" i="1"/>
  <c r="P2899" i="1"/>
  <c r="P2900" i="1"/>
  <c r="P2901" i="1"/>
  <c r="P2902" i="1"/>
  <c r="P2903" i="1"/>
  <c r="P2904" i="1"/>
  <c r="P2905" i="1"/>
  <c r="P2906" i="1"/>
  <c r="P2907" i="1"/>
  <c r="P2908" i="1"/>
  <c r="P2909" i="1"/>
  <c r="P2910" i="1"/>
  <c r="P2911" i="1"/>
  <c r="P2912" i="1"/>
  <c r="P2913" i="1"/>
  <c r="P2914" i="1"/>
  <c r="P2915" i="1"/>
  <c r="P2916" i="1"/>
  <c r="P2917" i="1"/>
  <c r="P2918" i="1"/>
  <c r="P2919" i="1"/>
  <c r="P2920" i="1"/>
  <c r="P2921" i="1"/>
  <c r="P2922" i="1"/>
  <c r="P2923" i="1"/>
  <c r="P2924" i="1"/>
  <c r="P2925" i="1"/>
  <c r="P2926" i="1"/>
  <c r="P2927" i="1"/>
  <c r="P2928" i="1"/>
  <c r="P2929" i="1"/>
  <c r="P2930" i="1"/>
  <c r="P2931" i="1"/>
  <c r="P2932" i="1"/>
  <c r="P2933" i="1"/>
  <c r="P2934" i="1"/>
  <c r="P2935" i="1"/>
  <c r="P2936" i="1"/>
  <c r="P2937" i="1"/>
  <c r="P2938" i="1"/>
  <c r="P2939" i="1"/>
  <c r="P2940" i="1"/>
  <c r="P2941" i="1"/>
  <c r="P2942" i="1"/>
  <c r="P2943" i="1"/>
  <c r="P2944" i="1"/>
  <c r="P2945" i="1"/>
  <c r="P2946" i="1"/>
  <c r="P2947" i="1"/>
  <c r="P2948" i="1"/>
  <c r="P2949" i="1"/>
  <c r="P2950" i="1"/>
  <c r="P2951" i="1"/>
  <c r="P2952" i="1"/>
  <c r="P2953" i="1"/>
  <c r="P2954" i="1"/>
  <c r="P2955" i="1"/>
  <c r="P2956" i="1"/>
  <c r="P2957" i="1"/>
  <c r="P2958" i="1"/>
  <c r="P2959" i="1"/>
  <c r="P2960" i="1"/>
  <c r="P2961" i="1"/>
  <c r="P2962" i="1"/>
  <c r="P2963" i="1"/>
  <c r="P2964" i="1"/>
  <c r="P2965" i="1"/>
  <c r="P2966" i="1"/>
  <c r="P2967" i="1"/>
  <c r="P2968" i="1"/>
  <c r="P2969" i="1"/>
  <c r="P2970" i="1"/>
  <c r="P2971" i="1"/>
  <c r="P2972" i="1"/>
  <c r="P2973" i="1"/>
  <c r="P2974" i="1"/>
  <c r="P2975" i="1"/>
  <c r="P2976" i="1"/>
  <c r="P2977" i="1"/>
  <c r="P2978" i="1"/>
  <c r="P2979" i="1"/>
  <c r="P2980" i="1"/>
  <c r="P2981" i="1"/>
  <c r="P2982" i="1"/>
  <c r="P2983" i="1"/>
  <c r="P2984" i="1"/>
  <c r="P2985" i="1"/>
  <c r="P2986" i="1"/>
  <c r="P2987" i="1"/>
  <c r="P2988" i="1"/>
  <c r="P2989" i="1"/>
  <c r="P2990" i="1"/>
  <c r="P2991" i="1"/>
  <c r="P2992" i="1"/>
  <c r="P2993" i="1"/>
  <c r="P2994" i="1"/>
  <c r="P2995" i="1"/>
  <c r="P2996" i="1"/>
  <c r="P2997" i="1"/>
  <c r="P2998" i="1"/>
  <c r="P2999" i="1"/>
  <c r="P3000" i="1"/>
  <c r="P3001" i="1"/>
  <c r="P3002" i="1"/>
  <c r="P3003" i="1"/>
  <c r="P3004" i="1"/>
  <c r="P3005" i="1"/>
  <c r="P3006" i="1"/>
  <c r="P3007" i="1"/>
  <c r="P3008" i="1"/>
  <c r="P3009" i="1"/>
  <c r="P3010" i="1"/>
  <c r="P3011" i="1"/>
  <c r="P3012" i="1"/>
  <c r="P3013" i="1"/>
  <c r="P3014" i="1"/>
  <c r="P3015" i="1"/>
  <c r="P3016" i="1"/>
  <c r="P3017" i="1"/>
  <c r="P3018" i="1"/>
  <c r="P3019" i="1"/>
  <c r="P3020" i="1"/>
  <c r="P3021" i="1"/>
  <c r="P3022" i="1"/>
  <c r="P3023" i="1"/>
  <c r="P3024" i="1"/>
  <c r="P3025" i="1"/>
  <c r="P3026" i="1"/>
  <c r="P3027" i="1"/>
  <c r="P3028" i="1"/>
  <c r="P3029" i="1"/>
  <c r="P3030" i="1"/>
  <c r="P3031" i="1"/>
  <c r="P3032" i="1"/>
  <c r="P3033" i="1"/>
  <c r="P3034" i="1"/>
  <c r="P3035" i="1"/>
  <c r="P3036" i="1"/>
  <c r="P3037" i="1"/>
  <c r="P3038" i="1"/>
  <c r="P3039" i="1"/>
  <c r="P3040" i="1"/>
  <c r="P3041" i="1"/>
  <c r="P3042" i="1"/>
  <c r="P3043" i="1"/>
  <c r="P3044" i="1"/>
  <c r="P3045" i="1"/>
  <c r="P3046" i="1"/>
  <c r="P3047" i="1"/>
  <c r="P3048" i="1"/>
  <c r="P3049" i="1"/>
  <c r="P3050" i="1"/>
  <c r="P3051" i="1"/>
  <c r="P3052" i="1"/>
  <c r="P3053" i="1"/>
  <c r="P3054" i="1"/>
  <c r="P3055" i="1"/>
  <c r="P3056" i="1"/>
  <c r="P3057" i="1"/>
  <c r="P3058" i="1"/>
  <c r="P3059" i="1"/>
  <c r="P3060" i="1"/>
  <c r="P3061" i="1"/>
  <c r="P3062" i="1"/>
  <c r="P3063" i="1"/>
  <c r="P3064" i="1"/>
  <c r="P3065" i="1"/>
  <c r="P3066" i="1"/>
  <c r="P3067" i="1"/>
  <c r="P3068" i="1"/>
  <c r="P3069" i="1"/>
  <c r="P3070" i="1"/>
  <c r="P3071" i="1"/>
  <c r="P3072" i="1"/>
  <c r="P3073" i="1"/>
  <c r="P9" i="1"/>
  <c r="C24" i="7"/>
  <c r="H52" i="4"/>
  <c r="H53" i="4"/>
  <c r="H54" i="4"/>
  <c r="H55" i="4"/>
  <c r="H51" i="4"/>
  <c r="E47" i="4"/>
  <c r="D47" i="4"/>
  <c r="C45" i="4"/>
  <c r="C46" i="4" s="1"/>
  <c r="E44" i="4"/>
  <c r="D44" i="4"/>
  <c r="E43" i="4"/>
  <c r="D43" i="4"/>
  <c r="E42" i="4"/>
  <c r="D42" i="4"/>
  <c r="C6" i="7" s="1"/>
  <c r="B99" i="3"/>
  <c r="B98" i="3"/>
  <c r="B97" i="3"/>
  <c r="B96" i="3"/>
  <c r="B95" i="3"/>
  <c r="AC5" i="3"/>
  <c r="AC6" i="3"/>
  <c r="AC7" i="3"/>
  <c r="AC8" i="3"/>
  <c r="AC9" i="3"/>
  <c r="AC10" i="3"/>
  <c r="AC11" i="3"/>
  <c r="AC12" i="3"/>
  <c r="AC13" i="3"/>
  <c r="AC14" i="3"/>
  <c r="AC15" i="3"/>
  <c r="AC16" i="3"/>
  <c r="AC17" i="3"/>
  <c r="AC18" i="3"/>
  <c r="AC19" i="3"/>
  <c r="AC20" i="3"/>
  <c r="AC21" i="3"/>
  <c r="AC22" i="3"/>
  <c r="AC23" i="3"/>
  <c r="AC24" i="3"/>
  <c r="AC25" i="3"/>
  <c r="AC26" i="3"/>
  <c r="AC27" i="3"/>
  <c r="AC28" i="3"/>
  <c r="AC29" i="3"/>
  <c r="AC30" i="3"/>
  <c r="AC31" i="3"/>
  <c r="AC32" i="3"/>
  <c r="AC33" i="3"/>
  <c r="AC34" i="3"/>
  <c r="AC35" i="3"/>
  <c r="AC36" i="3"/>
  <c r="AC37" i="3"/>
  <c r="AC38" i="3"/>
  <c r="AC39" i="3"/>
  <c r="AC40" i="3"/>
  <c r="AC41" i="3"/>
  <c r="AC42" i="3"/>
  <c r="AC43" i="3"/>
  <c r="AC44" i="3"/>
  <c r="AC45" i="3"/>
  <c r="AC46" i="3"/>
  <c r="AC47" i="3"/>
  <c r="AC48" i="3"/>
  <c r="AC49" i="3"/>
  <c r="AC50" i="3"/>
  <c r="AC51" i="3"/>
  <c r="AC52" i="3"/>
  <c r="AC53" i="3"/>
  <c r="AC54" i="3"/>
  <c r="AC55" i="3"/>
  <c r="AC56" i="3"/>
  <c r="AC57" i="3"/>
  <c r="AC58" i="3"/>
  <c r="AC59" i="3"/>
  <c r="AC60" i="3"/>
  <c r="AC61" i="3"/>
  <c r="AC62" i="3"/>
  <c r="AC63" i="3"/>
  <c r="AC64" i="3"/>
  <c r="AC65" i="3"/>
  <c r="AC66" i="3"/>
  <c r="AC67" i="3"/>
  <c r="AC68" i="3"/>
  <c r="AC69" i="3"/>
  <c r="AC70" i="3"/>
  <c r="F7" i="2"/>
  <c r="Q6" i="6"/>
  <c r="Q7" i="6"/>
  <c r="Q8" i="6"/>
  <c r="Q9" i="6"/>
  <c r="Q10" i="6"/>
  <c r="Q11" i="6"/>
  <c r="Q12" i="6"/>
  <c r="Q13" i="6"/>
  <c r="Q14" i="6"/>
  <c r="Q15" i="6"/>
  <c r="Q16" i="6"/>
  <c r="Q17" i="6"/>
  <c r="Q18" i="6"/>
  <c r="Q19" i="6"/>
  <c r="Q20" i="6"/>
  <c r="Q21" i="6"/>
  <c r="Q22" i="6"/>
  <c r="Q23" i="6"/>
  <c r="Q24" i="6"/>
  <c r="Q25" i="6"/>
  <c r="Q26" i="6"/>
  <c r="Q5" i="6"/>
  <c r="L6" i="6"/>
  <c r="L7" i="6"/>
  <c r="L8" i="6"/>
  <c r="L9" i="6"/>
  <c r="L10" i="6"/>
  <c r="L11" i="6"/>
  <c r="L12" i="6"/>
  <c r="L13" i="6"/>
  <c r="L14" i="6"/>
  <c r="L15" i="6"/>
  <c r="L16" i="6"/>
  <c r="L17" i="6"/>
  <c r="L18" i="6"/>
  <c r="L19" i="6"/>
  <c r="L20" i="6"/>
  <c r="L21" i="6"/>
  <c r="L22" i="6"/>
  <c r="L23" i="6"/>
  <c r="L24" i="6"/>
  <c r="L25" i="6"/>
  <c r="L26" i="6"/>
  <c r="L5" i="6"/>
  <c r="W7" i="6"/>
  <c r="W8" i="6"/>
  <c r="W9" i="6"/>
  <c r="W10" i="6"/>
  <c r="W6" i="6"/>
  <c r="T15" i="6"/>
  <c r="T14" i="6"/>
  <c r="T13" i="6"/>
  <c r="H6" i="6"/>
  <c r="H7" i="6"/>
  <c r="H8" i="6"/>
  <c r="H9" i="6"/>
  <c r="H10" i="6"/>
  <c r="H11" i="6"/>
  <c r="H12" i="6"/>
  <c r="H13" i="6"/>
  <c r="H14" i="6"/>
  <c r="H15" i="6"/>
  <c r="H16" i="6"/>
  <c r="H17" i="6"/>
  <c r="H18" i="6"/>
  <c r="H19" i="6"/>
  <c r="H20" i="6"/>
  <c r="H21" i="6"/>
  <c r="H22" i="6"/>
  <c r="H23" i="6"/>
  <c r="H24" i="6"/>
  <c r="H25" i="6"/>
  <c r="H26" i="6"/>
  <c r="H5" i="6"/>
  <c r="D7" i="2"/>
  <c r="E7" i="2" s="1"/>
  <c r="B8" i="2"/>
  <c r="B9" i="2"/>
  <c r="B10" i="2"/>
  <c r="B6" i="2"/>
  <c r="V17" i="1"/>
  <c r="V18" i="1"/>
  <c r="V19" i="1"/>
  <c r="V20" i="1"/>
  <c r="U17" i="1"/>
  <c r="U18" i="1"/>
  <c r="U19" i="1"/>
  <c r="U20" i="1"/>
  <c r="V9" i="1"/>
  <c r="V10" i="1"/>
  <c r="V11" i="1"/>
  <c r="V12" i="1"/>
  <c r="V13" i="1"/>
  <c r="U9" i="1"/>
  <c r="U10" i="1"/>
  <c r="U11" i="1"/>
  <c r="U12" i="1"/>
  <c r="U13"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995" i="1"/>
  <c r="A996" i="1"/>
  <c r="A997" i="1"/>
  <c r="A998" i="1"/>
  <c r="A999" i="1"/>
  <c r="A1000" i="1"/>
  <c r="A1001" i="1"/>
  <c r="A1002" i="1"/>
  <c r="A1003" i="1"/>
  <c r="A1004" i="1"/>
  <c r="A1005" i="1"/>
  <c r="A1006" i="1"/>
  <c r="A1007" i="1"/>
  <c r="A1008" i="1"/>
  <c r="A1009" i="1"/>
  <c r="A1010" i="1"/>
  <c r="A1011" i="1"/>
  <c r="A1012" i="1"/>
  <c r="A1013" i="1"/>
  <c r="A1014" i="1"/>
  <c r="A1015" i="1"/>
  <c r="A1016" i="1"/>
  <c r="A1017" i="1"/>
  <c r="A1018" i="1"/>
  <c r="A1019" i="1"/>
  <c r="A1020" i="1"/>
  <c r="A1021" i="1"/>
  <c r="A1022" i="1"/>
  <c r="A1023" i="1"/>
  <c r="A1024" i="1"/>
  <c r="A1025" i="1"/>
  <c r="A1026" i="1"/>
  <c r="A1027" i="1"/>
  <c r="A1028" i="1"/>
  <c r="A1029" i="1"/>
  <c r="A1030" i="1"/>
  <c r="A1031" i="1"/>
  <c r="A1032" i="1"/>
  <c r="A1033" i="1"/>
  <c r="A1034" i="1"/>
  <c r="A1035" i="1"/>
  <c r="A1036" i="1"/>
  <c r="A1037" i="1"/>
  <c r="A1038" i="1"/>
  <c r="A1039" i="1"/>
  <c r="A1040" i="1"/>
  <c r="A1041" i="1"/>
  <c r="A1042" i="1"/>
  <c r="A1043" i="1"/>
  <c r="A1044" i="1"/>
  <c r="A1045" i="1"/>
  <c r="A1046" i="1"/>
  <c r="A1047" i="1"/>
  <c r="A1048" i="1"/>
  <c r="A1049" i="1"/>
  <c r="A1050" i="1"/>
  <c r="A1051" i="1"/>
  <c r="A1052" i="1"/>
  <c r="A1053" i="1"/>
  <c r="A1054" i="1"/>
  <c r="A1055" i="1"/>
  <c r="A1056" i="1"/>
  <c r="A1057" i="1"/>
  <c r="A1058" i="1"/>
  <c r="A1059" i="1"/>
  <c r="A1060" i="1"/>
  <c r="A1061" i="1"/>
  <c r="A1062" i="1"/>
  <c r="A1063" i="1"/>
  <c r="A1064" i="1"/>
  <c r="A1065" i="1"/>
  <c r="A1066" i="1"/>
  <c r="A1067" i="1"/>
  <c r="A1068" i="1"/>
  <c r="A1069" i="1"/>
  <c r="A1070" i="1"/>
  <c r="A1071" i="1"/>
  <c r="A1072" i="1"/>
  <c r="A1073" i="1"/>
  <c r="A1074" i="1"/>
  <c r="A1075" i="1"/>
  <c r="A1076" i="1"/>
  <c r="A1077" i="1"/>
  <c r="A1078" i="1"/>
  <c r="A1079" i="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1185" i="1"/>
  <c r="A1186" i="1"/>
  <c r="A1187" i="1"/>
  <c r="A1188" i="1"/>
  <c r="A1189" i="1"/>
  <c r="A1190" i="1"/>
  <c r="A1191" i="1"/>
  <c r="A1192" i="1"/>
  <c r="A1193" i="1"/>
  <c r="A1194" i="1"/>
  <c r="A1195" i="1"/>
  <c r="A1196" i="1"/>
  <c r="A1197" i="1"/>
  <c r="A1198" i="1"/>
  <c r="A1199" i="1"/>
  <c r="A1200" i="1"/>
  <c r="A1201" i="1"/>
  <c r="A1202" i="1"/>
  <c r="A1203" i="1"/>
  <c r="A1204" i="1"/>
  <c r="A1205" i="1"/>
  <c r="A1206" i="1"/>
  <c r="A1207" i="1"/>
  <c r="A1208" i="1"/>
  <c r="A1209" i="1"/>
  <c r="A1210" i="1"/>
  <c r="A1211" i="1"/>
  <c r="A1212" i="1"/>
  <c r="A1213" i="1"/>
  <c r="A1214" i="1"/>
  <c r="A1215" i="1"/>
  <c r="A1216" i="1"/>
  <c r="A1217" i="1"/>
  <c r="A1218" i="1"/>
  <c r="A1219" i="1"/>
  <c r="A1220" i="1"/>
  <c r="A1221" i="1"/>
  <c r="A1222" i="1"/>
  <c r="A1223" i="1"/>
  <c r="A1224" i="1"/>
  <c r="A1225" i="1"/>
  <c r="A1226" i="1"/>
  <c r="A1227" i="1"/>
  <c r="A1228" i="1"/>
  <c r="A1229" i="1"/>
  <c r="A1230" i="1"/>
  <c r="A1231" i="1"/>
  <c r="A1232" i="1"/>
  <c r="A1233" i="1"/>
  <c r="A1234" i="1"/>
  <c r="A1235" i="1"/>
  <c r="A1236" i="1"/>
  <c r="A1237" i="1"/>
  <c r="A1238" i="1"/>
  <c r="A1239" i="1"/>
  <c r="A1240" i="1"/>
  <c r="A1241" i="1"/>
  <c r="A1242" i="1"/>
  <c r="A1243" i="1"/>
  <c r="A1244" i="1"/>
  <c r="A1245" i="1"/>
  <c r="A1246" i="1"/>
  <c r="A1247" i="1"/>
  <c r="A1248" i="1"/>
  <c r="A1249" i="1"/>
  <c r="A1250" i="1"/>
  <c r="A1251" i="1"/>
  <c r="A1252" i="1"/>
  <c r="A1253" i="1"/>
  <c r="A1254" i="1"/>
  <c r="A1255" i="1"/>
  <c r="A1256" i="1"/>
  <c r="A1257" i="1"/>
  <c r="A1258" i="1"/>
  <c r="A1259" i="1"/>
  <c r="A1260" i="1"/>
  <c r="A1261" i="1"/>
  <c r="A1262" i="1"/>
  <c r="A1263" i="1"/>
  <c r="A1264" i="1"/>
  <c r="A1265" i="1"/>
  <c r="A1266" i="1"/>
  <c r="A1267" i="1"/>
  <c r="A1268" i="1"/>
  <c r="A1269" i="1"/>
  <c r="A1270" i="1"/>
  <c r="A1271" i="1"/>
  <c r="A1272" i="1"/>
  <c r="A1273" i="1"/>
  <c r="A1274" i="1"/>
  <c r="A1275" i="1"/>
  <c r="A1276" i="1"/>
  <c r="A1277" i="1"/>
  <c r="A1278" i="1"/>
  <c r="A1279" i="1"/>
  <c r="A1280" i="1"/>
  <c r="A1281" i="1"/>
  <c r="A1282" i="1"/>
  <c r="A1283" i="1"/>
  <c r="A1284" i="1"/>
  <c r="A1285" i="1"/>
  <c r="A1286" i="1"/>
  <c r="A1287" i="1"/>
  <c r="A1288" i="1"/>
  <c r="A1289" i="1"/>
  <c r="A1290" i="1"/>
  <c r="A1291" i="1"/>
  <c r="A1292" i="1"/>
  <c r="A1293" i="1"/>
  <c r="A1294" i="1"/>
  <c r="A1295" i="1"/>
  <c r="A1296" i="1"/>
  <c r="A1297" i="1"/>
  <c r="A1298" i="1"/>
  <c r="A1299" i="1"/>
  <c r="A1300" i="1"/>
  <c r="A1301" i="1"/>
  <c r="A1302" i="1"/>
  <c r="A1303" i="1"/>
  <c r="A1304" i="1"/>
  <c r="A1305" i="1"/>
  <c r="A1306" i="1"/>
  <c r="A1307" i="1"/>
  <c r="A1308" i="1"/>
  <c r="A1309" i="1"/>
  <c r="A1310" i="1"/>
  <c r="A1311" i="1"/>
  <c r="A1312" i="1"/>
  <c r="A1313" i="1"/>
  <c r="A1314" i="1"/>
  <c r="A1315" i="1"/>
  <c r="A1316" i="1"/>
  <c r="A1317" i="1"/>
  <c r="A1318" i="1"/>
  <c r="A1319" i="1"/>
  <c r="A1320" i="1"/>
  <c r="A1321" i="1"/>
  <c r="A1322" i="1"/>
  <c r="A1323" i="1"/>
  <c r="A1324" i="1"/>
  <c r="A1325" i="1"/>
  <c r="A1326" i="1"/>
  <c r="A1327" i="1"/>
  <c r="A1328" i="1"/>
  <c r="A1329" i="1"/>
  <c r="A1330" i="1"/>
  <c r="A1331" i="1"/>
  <c r="A1332" i="1"/>
  <c r="A1333" i="1"/>
  <c r="A1334" i="1"/>
  <c r="A1335" i="1"/>
  <c r="A1336" i="1"/>
  <c r="A1337" i="1"/>
  <c r="A1338" i="1"/>
  <c r="A1339" i="1"/>
  <c r="A1340" i="1"/>
  <c r="A1341" i="1"/>
  <c r="A1342" i="1"/>
  <c r="A1343" i="1"/>
  <c r="A1344" i="1"/>
  <c r="A1345" i="1"/>
  <c r="A1346" i="1"/>
  <c r="A1347" i="1"/>
  <c r="A1348" i="1"/>
  <c r="A1349" i="1"/>
  <c r="A1350" i="1"/>
  <c r="A1351" i="1"/>
  <c r="A1352" i="1"/>
  <c r="A1353" i="1"/>
  <c r="A1354" i="1"/>
  <c r="A1355" i="1"/>
  <c r="A1356" i="1"/>
  <c r="A1357" i="1"/>
  <c r="A1358" i="1"/>
  <c r="A1359" i="1"/>
  <c r="A1360" i="1"/>
  <c r="A1361" i="1"/>
  <c r="A1362" i="1"/>
  <c r="A1363" i="1"/>
  <c r="A1364" i="1"/>
  <c r="A1365" i="1"/>
  <c r="A1366" i="1"/>
  <c r="A1367" i="1"/>
  <c r="A1368" i="1"/>
  <c r="A1369" i="1"/>
  <c r="A1370" i="1"/>
  <c r="A1371" i="1"/>
  <c r="A1372" i="1"/>
  <c r="A1373" i="1"/>
  <c r="A1374" i="1"/>
  <c r="A1375" i="1"/>
  <c r="A1376" i="1"/>
  <c r="A1377" i="1"/>
  <c r="A1378" i="1"/>
  <c r="A1379" i="1"/>
  <c r="A1380" i="1"/>
  <c r="A1381" i="1"/>
  <c r="A1382" i="1"/>
  <c r="A1383" i="1"/>
  <c r="A1384" i="1"/>
  <c r="A1385" i="1"/>
  <c r="A1386" i="1"/>
  <c r="A1387" i="1"/>
  <c r="A1388" i="1"/>
  <c r="A1389" i="1"/>
  <c r="A1390" i="1"/>
  <c r="A1391" i="1"/>
  <c r="A1392" i="1"/>
  <c r="A1393" i="1"/>
  <c r="A1394" i="1"/>
  <c r="A1395" i="1"/>
  <c r="A1396" i="1"/>
  <c r="A1397" i="1"/>
  <c r="A1398" i="1"/>
  <c r="A1399" i="1"/>
  <c r="A1400" i="1"/>
  <c r="A1401" i="1"/>
  <c r="A1402" i="1"/>
  <c r="A1403" i="1"/>
  <c r="A1404" i="1"/>
  <c r="A1405" i="1"/>
  <c r="A1406" i="1"/>
  <c r="A1407" i="1"/>
  <c r="A1408" i="1"/>
  <c r="A1409" i="1"/>
  <c r="A1410" i="1"/>
  <c r="A1411" i="1"/>
  <c r="A1412" i="1"/>
  <c r="A1413" i="1"/>
  <c r="A1414" i="1"/>
  <c r="A1415" i="1"/>
  <c r="A1416" i="1"/>
  <c r="A1417" i="1"/>
  <c r="A1418" i="1"/>
  <c r="A1419" i="1"/>
  <c r="A1420" i="1"/>
  <c r="A1421" i="1"/>
  <c r="A1422" i="1"/>
  <c r="A1423" i="1"/>
  <c r="A1424" i="1"/>
  <c r="A1425" i="1"/>
  <c r="A1426" i="1"/>
  <c r="A1427" i="1"/>
  <c r="A1428" i="1"/>
  <c r="A1429" i="1"/>
  <c r="A1430" i="1"/>
  <c r="A1431" i="1"/>
  <c r="A1432" i="1"/>
  <c r="A1433" i="1"/>
  <c r="A1434" i="1"/>
  <c r="A1435" i="1"/>
  <c r="A1436" i="1"/>
  <c r="A1437" i="1"/>
  <c r="A1438" i="1"/>
  <c r="A1439" i="1"/>
  <c r="A1440" i="1"/>
  <c r="A1441" i="1"/>
  <c r="A1442" i="1"/>
  <c r="A1443" i="1"/>
  <c r="A1444" i="1"/>
  <c r="A1445" i="1"/>
  <c r="A1446" i="1"/>
  <c r="A1447" i="1"/>
  <c r="A1448" i="1"/>
  <c r="A1449" i="1"/>
  <c r="A1450" i="1"/>
  <c r="A1451" i="1"/>
  <c r="A1452" i="1"/>
  <c r="A1453" i="1"/>
  <c r="A1454" i="1"/>
  <c r="A1455" i="1"/>
  <c r="A1456" i="1"/>
  <c r="A1457" i="1"/>
  <c r="A1458" i="1"/>
  <c r="A1459" i="1"/>
  <c r="A1460" i="1"/>
  <c r="A1461" i="1"/>
  <c r="A1462" i="1"/>
  <c r="A1463" i="1"/>
  <c r="A1464" i="1"/>
  <c r="A1465" i="1"/>
  <c r="A1466" i="1"/>
  <c r="A1467" i="1"/>
  <c r="A1468" i="1"/>
  <c r="A1469" i="1"/>
  <c r="A1470" i="1"/>
  <c r="A1471" i="1"/>
  <c r="A1472" i="1"/>
  <c r="A1473" i="1"/>
  <c r="A1474" i="1"/>
  <c r="A1475" i="1"/>
  <c r="A1476" i="1"/>
  <c r="A1477" i="1"/>
  <c r="A1478" i="1"/>
  <c r="A1479" i="1"/>
  <c r="A1480" i="1"/>
  <c r="A1481" i="1"/>
  <c r="A1482" i="1"/>
  <c r="A1483" i="1"/>
  <c r="A1484" i="1"/>
  <c r="A1485" i="1"/>
  <c r="A1486" i="1"/>
  <c r="A1487" i="1"/>
  <c r="A1488" i="1"/>
  <c r="A1489" i="1"/>
  <c r="A1490" i="1"/>
  <c r="A1491" i="1"/>
  <c r="A1492" i="1"/>
  <c r="A1493" i="1"/>
  <c r="A1494" i="1"/>
  <c r="A1495" i="1"/>
  <c r="A1496" i="1"/>
  <c r="A1497" i="1"/>
  <c r="A1498" i="1"/>
  <c r="A1499" i="1"/>
  <c r="A1500" i="1"/>
  <c r="A1501" i="1"/>
  <c r="A1502" i="1"/>
  <c r="A1503" i="1"/>
  <c r="A1504" i="1"/>
  <c r="A1505" i="1"/>
  <c r="A1506" i="1"/>
  <c r="A1507" i="1"/>
  <c r="A1508" i="1"/>
  <c r="A1509" i="1"/>
  <c r="A1510" i="1"/>
  <c r="A1511" i="1"/>
  <c r="A1512" i="1"/>
  <c r="A1513" i="1"/>
  <c r="A1514" i="1"/>
  <c r="A1515" i="1"/>
  <c r="A1516" i="1"/>
  <c r="A1517" i="1"/>
  <c r="A1518" i="1"/>
  <c r="A1519" i="1"/>
  <c r="A1520" i="1"/>
  <c r="A1521" i="1"/>
  <c r="A1522" i="1"/>
  <c r="A1523" i="1"/>
  <c r="A1524" i="1"/>
  <c r="A1525" i="1"/>
  <c r="A1526" i="1"/>
  <c r="A1527" i="1"/>
  <c r="A1528" i="1"/>
  <c r="A1529" i="1"/>
  <c r="A1530" i="1"/>
  <c r="A1531" i="1"/>
  <c r="A1532" i="1"/>
  <c r="A1533" i="1"/>
  <c r="A1534" i="1"/>
  <c r="A1535" i="1"/>
  <c r="A1536" i="1"/>
  <c r="A1537" i="1"/>
  <c r="A1538" i="1"/>
  <c r="A1539" i="1"/>
  <c r="A1540" i="1"/>
  <c r="A1541" i="1"/>
  <c r="A1542" i="1"/>
  <c r="A1543" i="1"/>
  <c r="A1544" i="1"/>
  <c r="A1545" i="1"/>
  <c r="A1546" i="1"/>
  <c r="A1547" i="1"/>
  <c r="A1548" i="1"/>
  <c r="A1549" i="1"/>
  <c r="A1550" i="1"/>
  <c r="A1551" i="1"/>
  <c r="A1552" i="1"/>
  <c r="A1553" i="1"/>
  <c r="A1554" i="1"/>
  <c r="A1555" i="1"/>
  <c r="A1556" i="1"/>
  <c r="A1557" i="1"/>
  <c r="A1558" i="1"/>
  <c r="A1559" i="1"/>
  <c r="A1560" i="1"/>
  <c r="A1561" i="1"/>
  <c r="A1562" i="1"/>
  <c r="A1563" i="1"/>
  <c r="A1564" i="1"/>
  <c r="A1565" i="1"/>
  <c r="A1566" i="1"/>
  <c r="A1567" i="1"/>
  <c r="A1568" i="1"/>
  <c r="A1569" i="1"/>
  <c r="A1570" i="1"/>
  <c r="A1571" i="1"/>
  <c r="A1572" i="1"/>
  <c r="A1573" i="1"/>
  <c r="A1574" i="1"/>
  <c r="A1575" i="1"/>
  <c r="A1576" i="1"/>
  <c r="A1577" i="1"/>
  <c r="A1578" i="1"/>
  <c r="A1579" i="1"/>
  <c r="A1580" i="1"/>
  <c r="A1581" i="1"/>
  <c r="A1582" i="1"/>
  <c r="A1583" i="1"/>
  <c r="A1584" i="1"/>
  <c r="A1585" i="1"/>
  <c r="A1586" i="1"/>
  <c r="A1587" i="1"/>
  <c r="A1588" i="1"/>
  <c r="A1589" i="1"/>
  <c r="A1590" i="1"/>
  <c r="A1591" i="1"/>
  <c r="A1592" i="1"/>
  <c r="A1593" i="1"/>
  <c r="A1594" i="1"/>
  <c r="A1595" i="1"/>
  <c r="A1596" i="1"/>
  <c r="A1597" i="1"/>
  <c r="A1598" i="1"/>
  <c r="A1599" i="1"/>
  <c r="A1600" i="1"/>
  <c r="A1601" i="1"/>
  <c r="A1602" i="1"/>
  <c r="A1603" i="1"/>
  <c r="A1604" i="1"/>
  <c r="A1605" i="1"/>
  <c r="A1606" i="1"/>
  <c r="A1607" i="1"/>
  <c r="A1608" i="1"/>
  <c r="A1609" i="1"/>
  <c r="A1610" i="1"/>
  <c r="A1611" i="1"/>
  <c r="A1612" i="1"/>
  <c r="A1613" i="1"/>
  <c r="A1614" i="1"/>
  <c r="A1615" i="1"/>
  <c r="A1616" i="1"/>
  <c r="A1617" i="1"/>
  <c r="A1618" i="1"/>
  <c r="A1619" i="1"/>
  <c r="A1620" i="1"/>
  <c r="A1621" i="1"/>
  <c r="A1622" i="1"/>
  <c r="A1623" i="1"/>
  <c r="A1624" i="1"/>
  <c r="A1625" i="1"/>
  <c r="A1626" i="1"/>
  <c r="A1627" i="1"/>
  <c r="A1628" i="1"/>
  <c r="A1629" i="1"/>
  <c r="A1630" i="1"/>
  <c r="A1631" i="1"/>
  <c r="A1632" i="1"/>
  <c r="A1633" i="1"/>
  <c r="A1634" i="1"/>
  <c r="A1635" i="1"/>
  <c r="A1636" i="1"/>
  <c r="A1637" i="1"/>
  <c r="A1638" i="1"/>
  <c r="A1639" i="1"/>
  <c r="A1640" i="1"/>
  <c r="A1641" i="1"/>
  <c r="A1642" i="1"/>
  <c r="A1643" i="1"/>
  <c r="A1644" i="1"/>
  <c r="A1645" i="1"/>
  <c r="A1646" i="1"/>
  <c r="A1647" i="1"/>
  <c r="A1648" i="1"/>
  <c r="A1649" i="1"/>
  <c r="A1650" i="1"/>
  <c r="A1651" i="1"/>
  <c r="A1652" i="1"/>
  <c r="A1653" i="1"/>
  <c r="A1654" i="1"/>
  <c r="A1655" i="1"/>
  <c r="A1656" i="1"/>
  <c r="A1657" i="1"/>
  <c r="A1658" i="1"/>
  <c r="A1659" i="1"/>
  <c r="A1660" i="1"/>
  <c r="A1661" i="1"/>
  <c r="A1662" i="1"/>
  <c r="A1663" i="1"/>
  <c r="A1664" i="1"/>
  <c r="A1665" i="1"/>
  <c r="A1666" i="1"/>
  <c r="A1667" i="1"/>
  <c r="A1668" i="1"/>
  <c r="A1669" i="1"/>
  <c r="A1670" i="1"/>
  <c r="A1671" i="1"/>
  <c r="A1672" i="1"/>
  <c r="A1673" i="1"/>
  <c r="A1674" i="1"/>
  <c r="A1675" i="1"/>
  <c r="A1676" i="1"/>
  <c r="A1677" i="1"/>
  <c r="A1678" i="1"/>
  <c r="A1679" i="1"/>
  <c r="A1680" i="1"/>
  <c r="A1681" i="1"/>
  <c r="A1682" i="1"/>
  <c r="A1683" i="1"/>
  <c r="A1684" i="1"/>
  <c r="A1685" i="1"/>
  <c r="A1686" i="1"/>
  <c r="A1687" i="1"/>
  <c r="A1688" i="1"/>
  <c r="A1689" i="1"/>
  <c r="A1690" i="1"/>
  <c r="A1691" i="1"/>
  <c r="A1692" i="1"/>
  <c r="A1693" i="1"/>
  <c r="A1694" i="1"/>
  <c r="A1695" i="1"/>
  <c r="A1696" i="1"/>
  <c r="A1697" i="1"/>
  <c r="A1698" i="1"/>
  <c r="A1699" i="1"/>
  <c r="A1700" i="1"/>
  <c r="A1701" i="1"/>
  <c r="A1702" i="1"/>
  <c r="A1703" i="1"/>
  <c r="A1704" i="1"/>
  <c r="A1705" i="1"/>
  <c r="A1706" i="1"/>
  <c r="A1707" i="1"/>
  <c r="A1708" i="1"/>
  <c r="A1709" i="1"/>
  <c r="A1710" i="1"/>
  <c r="A1711" i="1"/>
  <c r="A1712" i="1"/>
  <c r="A1713" i="1"/>
  <c r="A1714" i="1"/>
  <c r="A1715" i="1"/>
  <c r="A1716" i="1"/>
  <c r="A1717" i="1"/>
  <c r="A1718" i="1"/>
  <c r="A1719" i="1"/>
  <c r="A1720" i="1"/>
  <c r="A1721" i="1"/>
  <c r="A1722" i="1"/>
  <c r="A1723" i="1"/>
  <c r="A1724" i="1"/>
  <c r="A1725" i="1"/>
  <c r="A1726" i="1"/>
  <c r="A1727" i="1"/>
  <c r="A1728" i="1"/>
  <c r="A1729" i="1"/>
  <c r="A1730" i="1"/>
  <c r="A1731" i="1"/>
  <c r="A1732" i="1"/>
  <c r="A1733" i="1"/>
  <c r="A1734" i="1"/>
  <c r="A1735" i="1"/>
  <c r="A1736" i="1"/>
  <c r="A1737" i="1"/>
  <c r="A1738" i="1"/>
  <c r="A1739" i="1"/>
  <c r="A1740" i="1"/>
  <c r="A1741" i="1"/>
  <c r="A1742" i="1"/>
  <c r="A1743" i="1"/>
  <c r="A1744" i="1"/>
  <c r="A1745" i="1"/>
  <c r="A1746" i="1"/>
  <c r="A1747" i="1"/>
  <c r="A1748" i="1"/>
  <c r="A1749" i="1"/>
  <c r="A1750" i="1"/>
  <c r="A1751" i="1"/>
  <c r="A1752" i="1"/>
  <c r="A1753" i="1"/>
  <c r="A1754" i="1"/>
  <c r="A1755" i="1"/>
  <c r="A1756" i="1"/>
  <c r="A1757" i="1"/>
  <c r="A1758" i="1"/>
  <c r="A1759" i="1"/>
  <c r="A1760" i="1"/>
  <c r="A1761" i="1"/>
  <c r="A1762" i="1"/>
  <c r="A1763" i="1"/>
  <c r="A1764" i="1"/>
  <c r="A1765" i="1"/>
  <c r="A1766" i="1"/>
  <c r="A1767" i="1"/>
  <c r="A1768" i="1"/>
  <c r="A1769" i="1"/>
  <c r="A1770" i="1"/>
  <c r="A1771" i="1"/>
  <c r="A1772" i="1"/>
  <c r="A1773" i="1"/>
  <c r="A1774" i="1"/>
  <c r="A1775" i="1"/>
  <c r="A1776" i="1"/>
  <c r="A1777" i="1"/>
  <c r="A1778" i="1"/>
  <c r="A1779" i="1"/>
  <c r="A1780" i="1"/>
  <c r="A1781" i="1"/>
  <c r="A1782" i="1"/>
  <c r="A1783" i="1"/>
  <c r="A1784" i="1"/>
  <c r="A1785" i="1"/>
  <c r="A1786" i="1"/>
  <c r="A1787" i="1"/>
  <c r="A1788" i="1"/>
  <c r="A1789" i="1"/>
  <c r="A1790" i="1"/>
  <c r="A1791" i="1"/>
  <c r="A1792" i="1"/>
  <c r="A1793" i="1"/>
  <c r="A1794" i="1"/>
  <c r="A1795" i="1"/>
  <c r="A1796" i="1"/>
  <c r="A1797" i="1"/>
  <c r="A1798" i="1"/>
  <c r="A1799" i="1"/>
  <c r="A1800" i="1"/>
  <c r="A1801" i="1"/>
  <c r="A1802" i="1"/>
  <c r="A1803" i="1"/>
  <c r="A1804" i="1"/>
  <c r="A1805" i="1"/>
  <c r="A1806" i="1"/>
  <c r="A1807" i="1"/>
  <c r="A1808" i="1"/>
  <c r="A1809" i="1"/>
  <c r="A1810" i="1"/>
  <c r="A1811" i="1"/>
  <c r="A1812" i="1"/>
  <c r="A1813" i="1"/>
  <c r="A1814" i="1"/>
  <c r="A1815" i="1"/>
  <c r="A1816" i="1"/>
  <c r="A1817" i="1"/>
  <c r="A1818" i="1"/>
  <c r="A1819" i="1"/>
  <c r="A1820" i="1"/>
  <c r="A1821" i="1"/>
  <c r="A1822" i="1"/>
  <c r="A1823" i="1"/>
  <c r="A1824" i="1"/>
  <c r="A1825" i="1"/>
  <c r="A1826" i="1"/>
  <c r="A1827" i="1"/>
  <c r="A1828" i="1"/>
  <c r="A1829" i="1"/>
  <c r="A1830" i="1"/>
  <c r="A1831" i="1"/>
  <c r="A1832" i="1"/>
  <c r="A1833" i="1"/>
  <c r="A1834" i="1"/>
  <c r="A1835" i="1"/>
  <c r="A1836" i="1"/>
  <c r="A1837" i="1"/>
  <c r="A1838" i="1"/>
  <c r="A1839" i="1"/>
  <c r="A1840" i="1"/>
  <c r="A1841" i="1"/>
  <c r="A1842" i="1"/>
  <c r="A1843" i="1"/>
  <c r="A1844" i="1"/>
  <c r="A1845" i="1"/>
  <c r="A1846" i="1"/>
  <c r="A1847" i="1"/>
  <c r="A1848" i="1"/>
  <c r="A1849" i="1"/>
  <c r="A1850" i="1"/>
  <c r="A1851" i="1"/>
  <c r="A1852" i="1"/>
  <c r="A1853" i="1"/>
  <c r="A1854" i="1"/>
  <c r="A1855" i="1"/>
  <c r="A1856" i="1"/>
  <c r="A1857" i="1"/>
  <c r="A1858" i="1"/>
  <c r="A1859" i="1"/>
  <c r="A1860" i="1"/>
  <c r="A1861" i="1"/>
  <c r="A1862" i="1"/>
  <c r="A1863" i="1"/>
  <c r="A1864" i="1"/>
  <c r="A1865" i="1"/>
  <c r="A1866" i="1"/>
  <c r="A1867" i="1"/>
  <c r="A1868" i="1"/>
  <c r="A1869" i="1"/>
  <c r="A1870" i="1"/>
  <c r="A1871" i="1"/>
  <c r="A1872" i="1"/>
  <c r="A1873" i="1"/>
  <c r="A1874" i="1"/>
  <c r="A1875" i="1"/>
  <c r="A1876" i="1"/>
  <c r="A1877" i="1"/>
  <c r="A1878" i="1"/>
  <c r="A1879" i="1"/>
  <c r="A1880" i="1"/>
  <c r="A1881" i="1"/>
  <c r="A1882" i="1"/>
  <c r="A1883" i="1"/>
  <c r="A1884" i="1"/>
  <c r="A1885" i="1"/>
  <c r="A1886" i="1"/>
  <c r="A1887" i="1"/>
  <c r="A1888" i="1"/>
  <c r="A1889" i="1"/>
  <c r="A1890" i="1"/>
  <c r="A1891" i="1"/>
  <c r="A1892" i="1"/>
  <c r="A1893" i="1"/>
  <c r="A1894" i="1"/>
  <c r="A1895" i="1"/>
  <c r="A1896" i="1"/>
  <c r="A1897" i="1"/>
  <c r="A1898" i="1"/>
  <c r="A1899" i="1"/>
  <c r="A1900" i="1"/>
  <c r="A1901" i="1"/>
  <c r="A1902" i="1"/>
  <c r="A1903" i="1"/>
  <c r="A1904" i="1"/>
  <c r="A1905" i="1"/>
  <c r="A1906" i="1"/>
  <c r="A1907" i="1"/>
  <c r="A1908" i="1"/>
  <c r="A1909" i="1"/>
  <c r="A1910" i="1"/>
  <c r="A1911" i="1"/>
  <c r="A1912" i="1"/>
  <c r="A1913" i="1"/>
  <c r="A1914" i="1"/>
  <c r="A1915" i="1"/>
  <c r="A1916" i="1"/>
  <c r="A1917" i="1"/>
  <c r="A1918" i="1"/>
  <c r="A1919" i="1"/>
  <c r="A1920" i="1"/>
  <c r="A1921" i="1"/>
  <c r="A1922" i="1"/>
  <c r="A1923" i="1"/>
  <c r="A1924" i="1"/>
  <c r="A1925" i="1"/>
  <c r="A1926" i="1"/>
  <c r="A1927" i="1"/>
  <c r="A1928" i="1"/>
  <c r="A1929" i="1"/>
  <c r="A1930" i="1"/>
  <c r="A1931" i="1"/>
  <c r="A1932" i="1"/>
  <c r="A1933" i="1"/>
  <c r="A1934" i="1"/>
  <c r="A1935" i="1"/>
  <c r="A1936" i="1"/>
  <c r="A1937" i="1"/>
  <c r="A1938" i="1"/>
  <c r="A1939" i="1"/>
  <c r="A1940" i="1"/>
  <c r="A1941" i="1"/>
  <c r="A1942" i="1"/>
  <c r="A1943" i="1"/>
  <c r="A1944" i="1"/>
  <c r="A1945" i="1"/>
  <c r="A1946" i="1"/>
  <c r="A1947" i="1"/>
  <c r="A1948" i="1"/>
  <c r="A1949" i="1"/>
  <c r="A1950" i="1"/>
  <c r="A1951" i="1"/>
  <c r="A1952" i="1"/>
  <c r="A1953" i="1"/>
  <c r="A1954" i="1"/>
  <c r="A1955" i="1"/>
  <c r="A1956" i="1"/>
  <c r="A1957" i="1"/>
  <c r="A1958" i="1"/>
  <c r="A1959" i="1"/>
  <c r="A1960" i="1"/>
  <c r="A1961" i="1"/>
  <c r="A1962" i="1"/>
  <c r="A1963" i="1"/>
  <c r="A1964" i="1"/>
  <c r="A1965" i="1"/>
  <c r="A1966" i="1"/>
  <c r="A1967" i="1"/>
  <c r="A1968" i="1"/>
  <c r="A1969" i="1"/>
  <c r="A1970" i="1"/>
  <c r="A1971" i="1"/>
  <c r="A1972" i="1"/>
  <c r="A1973" i="1"/>
  <c r="A1974" i="1"/>
  <c r="A1975" i="1"/>
  <c r="A1976" i="1"/>
  <c r="A1977" i="1"/>
  <c r="A1978" i="1"/>
  <c r="A1979" i="1"/>
  <c r="A1980" i="1"/>
  <c r="A1981" i="1"/>
  <c r="A1982" i="1"/>
  <c r="A1983" i="1"/>
  <c r="A1984" i="1"/>
  <c r="A1985" i="1"/>
  <c r="A1986" i="1"/>
  <c r="A1987" i="1"/>
  <c r="A1988" i="1"/>
  <c r="A1989" i="1"/>
  <c r="A1990" i="1"/>
  <c r="A1991" i="1"/>
  <c r="A1992" i="1"/>
  <c r="A1993" i="1"/>
  <c r="A1994" i="1"/>
  <c r="A1995" i="1"/>
  <c r="A1996" i="1"/>
  <c r="A1997" i="1"/>
  <c r="A1998" i="1"/>
  <c r="A1999" i="1"/>
  <c r="A2000" i="1"/>
  <c r="A2001" i="1"/>
  <c r="A2002" i="1"/>
  <c r="A2003" i="1"/>
  <c r="A2004" i="1"/>
  <c r="A2005" i="1"/>
  <c r="A2006" i="1"/>
  <c r="A2007" i="1"/>
  <c r="A2008" i="1"/>
  <c r="A2009" i="1"/>
  <c r="A2010" i="1"/>
  <c r="A2011" i="1"/>
  <c r="A2012" i="1"/>
  <c r="A2013" i="1"/>
  <c r="A2014" i="1"/>
  <c r="A2015" i="1"/>
  <c r="A2016" i="1"/>
  <c r="A2017" i="1"/>
  <c r="A2018" i="1"/>
  <c r="A2019" i="1"/>
  <c r="A2020" i="1"/>
  <c r="A2021" i="1"/>
  <c r="A2022" i="1"/>
  <c r="A2023" i="1"/>
  <c r="A2024" i="1"/>
  <c r="A2025" i="1"/>
  <c r="A2026" i="1"/>
  <c r="A2027" i="1"/>
  <c r="A2028" i="1"/>
  <c r="A2029" i="1"/>
  <c r="A2030" i="1"/>
  <c r="A2031" i="1"/>
  <c r="A2032" i="1"/>
  <c r="A2033" i="1"/>
  <c r="A2034" i="1"/>
  <c r="A2035" i="1"/>
  <c r="A2036" i="1"/>
  <c r="A2037" i="1"/>
  <c r="A2038" i="1"/>
  <c r="A2039" i="1"/>
  <c r="A2040" i="1"/>
  <c r="A2041" i="1"/>
  <c r="A2042" i="1"/>
  <c r="A2043" i="1"/>
  <c r="A2044" i="1"/>
  <c r="A2045" i="1"/>
  <c r="A2046" i="1"/>
  <c r="A2047" i="1"/>
  <c r="A2048" i="1"/>
  <c r="A2049" i="1"/>
  <c r="A2050" i="1"/>
  <c r="A2051" i="1"/>
  <c r="A2052" i="1"/>
  <c r="A2053" i="1"/>
  <c r="A2054" i="1"/>
  <c r="A2055" i="1"/>
  <c r="A2056" i="1"/>
  <c r="A2057" i="1"/>
  <c r="A2058" i="1"/>
  <c r="A2059" i="1"/>
  <c r="A2060" i="1"/>
  <c r="A2061" i="1"/>
  <c r="A2062" i="1"/>
  <c r="A2063" i="1"/>
  <c r="A2064" i="1"/>
  <c r="A2065" i="1"/>
  <c r="A2066" i="1"/>
  <c r="A2067" i="1"/>
  <c r="A2068" i="1"/>
  <c r="A2069" i="1"/>
  <c r="A2070" i="1"/>
  <c r="A2071" i="1"/>
  <c r="A2072" i="1"/>
  <c r="A2073" i="1"/>
  <c r="A2074" i="1"/>
  <c r="A2075" i="1"/>
  <c r="A2076" i="1"/>
  <c r="A2077" i="1"/>
  <c r="A2078" i="1"/>
  <c r="A2079" i="1"/>
  <c r="A2080" i="1"/>
  <c r="A2081" i="1"/>
  <c r="A2082" i="1"/>
  <c r="A2083" i="1"/>
  <c r="A2084" i="1"/>
  <c r="A2085" i="1"/>
  <c r="A2086" i="1"/>
  <c r="A2087" i="1"/>
  <c r="A2088" i="1"/>
  <c r="A2089" i="1"/>
  <c r="A2090" i="1"/>
  <c r="A2091" i="1"/>
  <c r="A2092" i="1"/>
  <c r="A2093" i="1"/>
  <c r="A2094" i="1"/>
  <c r="A2095" i="1"/>
  <c r="A2096" i="1"/>
  <c r="A2097" i="1"/>
  <c r="A2098" i="1"/>
  <c r="A2099" i="1"/>
  <c r="A2100" i="1"/>
  <c r="A2101" i="1"/>
  <c r="A2102" i="1"/>
  <c r="A2103" i="1"/>
  <c r="A2104" i="1"/>
  <c r="A2105" i="1"/>
  <c r="A2106" i="1"/>
  <c r="A2107" i="1"/>
  <c r="A2108" i="1"/>
  <c r="A2109" i="1"/>
  <c r="A2110" i="1"/>
  <c r="A2111" i="1"/>
  <c r="A2112" i="1"/>
  <c r="A2113" i="1"/>
  <c r="A2114" i="1"/>
  <c r="A2115" i="1"/>
  <c r="A2116" i="1"/>
  <c r="A2117" i="1"/>
  <c r="A2118" i="1"/>
  <c r="A2119" i="1"/>
  <c r="A2120" i="1"/>
  <c r="A2121" i="1"/>
  <c r="A2122" i="1"/>
  <c r="A2123" i="1"/>
  <c r="A2124" i="1"/>
  <c r="A2125" i="1"/>
  <c r="A2126" i="1"/>
  <c r="A2127" i="1"/>
  <c r="A2128" i="1"/>
  <c r="A2129" i="1"/>
  <c r="A2130" i="1"/>
  <c r="A2131" i="1"/>
  <c r="A2132" i="1"/>
  <c r="A2133" i="1"/>
  <c r="A2134" i="1"/>
  <c r="A2135" i="1"/>
  <c r="A2136" i="1"/>
  <c r="A2137" i="1"/>
  <c r="A2138" i="1"/>
  <c r="A2139" i="1"/>
  <c r="A2140" i="1"/>
  <c r="A2141" i="1"/>
  <c r="A2142" i="1"/>
  <c r="A2143" i="1"/>
  <c r="A2144" i="1"/>
  <c r="A2145" i="1"/>
  <c r="A2146" i="1"/>
  <c r="A2147" i="1"/>
  <c r="A2148" i="1"/>
  <c r="A2149" i="1"/>
  <c r="A2150" i="1"/>
  <c r="A2151" i="1"/>
  <c r="A2152" i="1"/>
  <c r="A2153" i="1"/>
  <c r="A2154" i="1"/>
  <c r="A2155" i="1"/>
  <c r="A2156" i="1"/>
  <c r="A2157" i="1"/>
  <c r="A2158" i="1"/>
  <c r="A2159" i="1"/>
  <c r="A2160" i="1"/>
  <c r="A2161" i="1"/>
  <c r="A2162" i="1"/>
  <c r="A2163" i="1"/>
  <c r="A2164" i="1"/>
  <c r="A2165" i="1"/>
  <c r="A2166" i="1"/>
  <c r="A2167" i="1"/>
  <c r="A2168" i="1"/>
  <c r="A2169" i="1"/>
  <c r="A2170" i="1"/>
  <c r="A2171" i="1"/>
  <c r="A2172" i="1"/>
  <c r="A2173" i="1"/>
  <c r="A2174" i="1"/>
  <c r="A2175" i="1"/>
  <c r="A2176" i="1"/>
  <c r="A2177" i="1"/>
  <c r="A2178" i="1"/>
  <c r="A2179" i="1"/>
  <c r="A2180" i="1"/>
  <c r="A2181" i="1"/>
  <c r="A2182" i="1"/>
  <c r="A2183" i="1"/>
  <c r="A2184" i="1"/>
  <c r="A2185" i="1"/>
  <c r="A2186" i="1"/>
  <c r="A2187" i="1"/>
  <c r="A2188" i="1"/>
  <c r="A2189" i="1"/>
  <c r="A2190" i="1"/>
  <c r="A2191" i="1"/>
  <c r="A2192" i="1"/>
  <c r="A2193" i="1"/>
  <c r="A2194" i="1"/>
  <c r="A2195" i="1"/>
  <c r="A2196" i="1"/>
  <c r="A2197" i="1"/>
  <c r="A2198" i="1"/>
  <c r="A2199" i="1"/>
  <c r="A2200" i="1"/>
  <c r="A2201" i="1"/>
  <c r="A2202" i="1"/>
  <c r="A2203" i="1"/>
  <c r="A2204" i="1"/>
  <c r="A2205" i="1"/>
  <c r="A2206" i="1"/>
  <c r="A2207" i="1"/>
  <c r="A2208" i="1"/>
  <c r="A2209" i="1"/>
  <c r="A2210" i="1"/>
  <c r="A2211" i="1"/>
  <c r="A2212" i="1"/>
  <c r="A2213" i="1"/>
  <c r="A2214" i="1"/>
  <c r="A2215" i="1"/>
  <c r="A2216" i="1"/>
  <c r="A2217" i="1"/>
  <c r="A2218" i="1"/>
  <c r="A2219" i="1"/>
  <c r="A2220" i="1"/>
  <c r="A2221" i="1"/>
  <c r="A2222" i="1"/>
  <c r="A2223" i="1"/>
  <c r="A2224" i="1"/>
  <c r="A2225" i="1"/>
  <c r="A2226" i="1"/>
  <c r="A2227" i="1"/>
  <c r="A2228" i="1"/>
  <c r="A2229" i="1"/>
  <c r="A2230" i="1"/>
  <c r="A2231" i="1"/>
  <c r="A2232" i="1"/>
  <c r="A2233" i="1"/>
  <c r="A2234" i="1"/>
  <c r="A2235" i="1"/>
  <c r="A2236" i="1"/>
  <c r="A2237" i="1"/>
  <c r="A2238" i="1"/>
  <c r="A2239" i="1"/>
  <c r="A2240" i="1"/>
  <c r="A2241" i="1"/>
  <c r="A2242" i="1"/>
  <c r="A2243" i="1"/>
  <c r="A2244" i="1"/>
  <c r="A2245" i="1"/>
  <c r="A2246" i="1"/>
  <c r="A2247" i="1"/>
  <c r="A2248" i="1"/>
  <c r="A2249" i="1"/>
  <c r="A2250" i="1"/>
  <c r="A2251" i="1"/>
  <c r="A2252" i="1"/>
  <c r="A2253" i="1"/>
  <c r="A2254" i="1"/>
  <c r="A2255" i="1"/>
  <c r="A2256" i="1"/>
  <c r="A2257" i="1"/>
  <c r="A2258" i="1"/>
  <c r="A2259" i="1"/>
  <c r="A2260" i="1"/>
  <c r="A2261" i="1"/>
  <c r="A2262" i="1"/>
  <c r="A2263" i="1"/>
  <c r="A2264" i="1"/>
  <c r="A2265" i="1"/>
  <c r="A2266" i="1"/>
  <c r="A2267" i="1"/>
  <c r="A2268" i="1"/>
  <c r="A2269" i="1"/>
  <c r="A2270" i="1"/>
  <c r="A2271" i="1"/>
  <c r="A2272" i="1"/>
  <c r="A2273" i="1"/>
  <c r="A2274" i="1"/>
  <c r="A2275" i="1"/>
  <c r="A2276" i="1"/>
  <c r="A2277" i="1"/>
  <c r="A2278" i="1"/>
  <c r="A2279" i="1"/>
  <c r="A2280" i="1"/>
  <c r="A2281" i="1"/>
  <c r="A2282" i="1"/>
  <c r="A2283" i="1"/>
  <c r="A2284" i="1"/>
  <c r="A2285" i="1"/>
  <c r="A2286" i="1"/>
  <c r="A2287" i="1"/>
  <c r="A2288" i="1"/>
  <c r="A2289" i="1"/>
  <c r="A2290" i="1"/>
  <c r="A2291" i="1"/>
  <c r="A2292" i="1"/>
  <c r="A2293" i="1"/>
  <c r="A2294" i="1"/>
  <c r="A2295" i="1"/>
  <c r="A2296" i="1"/>
  <c r="A2297" i="1"/>
  <c r="A2298" i="1"/>
  <c r="A2299" i="1"/>
  <c r="A2300" i="1"/>
  <c r="A2301" i="1"/>
  <c r="A2302" i="1"/>
  <c r="A2303" i="1"/>
  <c r="A2304" i="1"/>
  <c r="A2305" i="1"/>
  <c r="A2306" i="1"/>
  <c r="A2307" i="1"/>
  <c r="A2308" i="1"/>
  <c r="A2309" i="1"/>
  <c r="A2310" i="1"/>
  <c r="A2311" i="1"/>
  <c r="A2312" i="1"/>
  <c r="A2313" i="1"/>
  <c r="A2314" i="1"/>
  <c r="A2315" i="1"/>
  <c r="A2316" i="1"/>
  <c r="A2317" i="1"/>
  <c r="A2318" i="1"/>
  <c r="A2319" i="1"/>
  <c r="A2320" i="1"/>
  <c r="A2321" i="1"/>
  <c r="A2322" i="1"/>
  <c r="A2323" i="1"/>
  <c r="A2324" i="1"/>
  <c r="A2325" i="1"/>
  <c r="A2326" i="1"/>
  <c r="A2327" i="1"/>
  <c r="A2328" i="1"/>
  <c r="A2329" i="1"/>
  <c r="A2330" i="1"/>
  <c r="A2331" i="1"/>
  <c r="A2332" i="1"/>
  <c r="A2333" i="1"/>
  <c r="A2334" i="1"/>
  <c r="A2335" i="1"/>
  <c r="A2336" i="1"/>
  <c r="A2337" i="1"/>
  <c r="A2338" i="1"/>
  <c r="A2339" i="1"/>
  <c r="A2340" i="1"/>
  <c r="A2341" i="1"/>
  <c r="A2342" i="1"/>
  <c r="A2343" i="1"/>
  <c r="A2344" i="1"/>
  <c r="A2345" i="1"/>
  <c r="A2346" i="1"/>
  <c r="A2347" i="1"/>
  <c r="A2348" i="1"/>
  <c r="A2349" i="1"/>
  <c r="A2350" i="1"/>
  <c r="A2351" i="1"/>
  <c r="A2352" i="1"/>
  <c r="A2353" i="1"/>
  <c r="A2354" i="1"/>
  <c r="A2355" i="1"/>
  <c r="A2356" i="1"/>
  <c r="A2357" i="1"/>
  <c r="A2358" i="1"/>
  <c r="A2359" i="1"/>
  <c r="A2360" i="1"/>
  <c r="A2361" i="1"/>
  <c r="A2362" i="1"/>
  <c r="A2363" i="1"/>
  <c r="A2364" i="1"/>
  <c r="A2365" i="1"/>
  <c r="A2366" i="1"/>
  <c r="A2367" i="1"/>
  <c r="A2368" i="1"/>
  <c r="A2369" i="1"/>
  <c r="A2370" i="1"/>
  <c r="A2371" i="1"/>
  <c r="A2372" i="1"/>
  <c r="A2373" i="1"/>
  <c r="A2374" i="1"/>
  <c r="A2375" i="1"/>
  <c r="A2376" i="1"/>
  <c r="A2377" i="1"/>
  <c r="A2378" i="1"/>
  <c r="A2379" i="1"/>
  <c r="A2380" i="1"/>
  <c r="A2381" i="1"/>
  <c r="A2382" i="1"/>
  <c r="A2383" i="1"/>
  <c r="A2384" i="1"/>
  <c r="A2385" i="1"/>
  <c r="A2386" i="1"/>
  <c r="A2387" i="1"/>
  <c r="A2388" i="1"/>
  <c r="A2389" i="1"/>
  <c r="A2390" i="1"/>
  <c r="A2391" i="1"/>
  <c r="A2392" i="1"/>
  <c r="A2393" i="1"/>
  <c r="A2394" i="1"/>
  <c r="A2395" i="1"/>
  <c r="A2396" i="1"/>
  <c r="A2397" i="1"/>
  <c r="A2398" i="1"/>
  <c r="A2399" i="1"/>
  <c r="A2400" i="1"/>
  <c r="A2401" i="1"/>
  <c r="A2402" i="1"/>
  <c r="A2403" i="1"/>
  <c r="A2404" i="1"/>
  <c r="A2405" i="1"/>
  <c r="A2406" i="1"/>
  <c r="A2407" i="1"/>
  <c r="A2408" i="1"/>
  <c r="A2409" i="1"/>
  <c r="A2410" i="1"/>
  <c r="A2411" i="1"/>
  <c r="A2412" i="1"/>
  <c r="A2413" i="1"/>
  <c r="A2414" i="1"/>
  <c r="A2415" i="1"/>
  <c r="A2416" i="1"/>
  <c r="A2417" i="1"/>
  <c r="A2418" i="1"/>
  <c r="A2419" i="1"/>
  <c r="A2420" i="1"/>
  <c r="A2421" i="1"/>
  <c r="A2422" i="1"/>
  <c r="A2423" i="1"/>
  <c r="A2424" i="1"/>
  <c r="A2425" i="1"/>
  <c r="A2426" i="1"/>
  <c r="A2427" i="1"/>
  <c r="A2428" i="1"/>
  <c r="A2429" i="1"/>
  <c r="A2430" i="1"/>
  <c r="A2431" i="1"/>
  <c r="A2432" i="1"/>
  <c r="A2433" i="1"/>
  <c r="A2434" i="1"/>
  <c r="A2435" i="1"/>
  <c r="A2436" i="1"/>
  <c r="A2437" i="1"/>
  <c r="A2438" i="1"/>
  <c r="A2439" i="1"/>
  <c r="A2440" i="1"/>
  <c r="A2441" i="1"/>
  <c r="A2442" i="1"/>
  <c r="A2443" i="1"/>
  <c r="A2444" i="1"/>
  <c r="A2445" i="1"/>
  <c r="A2446" i="1"/>
  <c r="A2447" i="1"/>
  <c r="A2448" i="1"/>
  <c r="A2449" i="1"/>
  <c r="A2450" i="1"/>
  <c r="A2451" i="1"/>
  <c r="A2452" i="1"/>
  <c r="A2453" i="1"/>
  <c r="A2454" i="1"/>
  <c r="A2455" i="1"/>
  <c r="A2456" i="1"/>
  <c r="A2457" i="1"/>
  <c r="A2458" i="1"/>
  <c r="A2459" i="1"/>
  <c r="A2460" i="1"/>
  <c r="A2461" i="1"/>
  <c r="A2462" i="1"/>
  <c r="A2463" i="1"/>
  <c r="A2464" i="1"/>
  <c r="A2465" i="1"/>
  <c r="A2466" i="1"/>
  <c r="A2467" i="1"/>
  <c r="A2468" i="1"/>
  <c r="A2469" i="1"/>
  <c r="A2470" i="1"/>
  <c r="A2471" i="1"/>
  <c r="A2472" i="1"/>
  <c r="A2473" i="1"/>
  <c r="A2474" i="1"/>
  <c r="A2475" i="1"/>
  <c r="A2476" i="1"/>
  <c r="A2477" i="1"/>
  <c r="A2478" i="1"/>
  <c r="A2479" i="1"/>
  <c r="A2480" i="1"/>
  <c r="A2481" i="1"/>
  <c r="A2482" i="1"/>
  <c r="A2483" i="1"/>
  <c r="A2484" i="1"/>
  <c r="A2485" i="1"/>
  <c r="A2486" i="1"/>
  <c r="A2487" i="1"/>
  <c r="A2488" i="1"/>
  <c r="A2489" i="1"/>
  <c r="A2490" i="1"/>
  <c r="A2491" i="1"/>
  <c r="A2492" i="1"/>
  <c r="A2493" i="1"/>
  <c r="A2494" i="1"/>
  <c r="A2495" i="1"/>
  <c r="A2496" i="1"/>
  <c r="A2497" i="1"/>
  <c r="A2498" i="1"/>
  <c r="A2499" i="1"/>
  <c r="A2500" i="1"/>
  <c r="A2501" i="1"/>
  <c r="A2502" i="1"/>
  <c r="A2503" i="1"/>
  <c r="A2504" i="1"/>
  <c r="A2505" i="1"/>
  <c r="A2506" i="1"/>
  <c r="A2507" i="1"/>
  <c r="A2508" i="1"/>
  <c r="A2509" i="1"/>
  <c r="A2510" i="1"/>
  <c r="A2511" i="1"/>
  <c r="A2512" i="1"/>
  <c r="A2513" i="1"/>
  <c r="A2514" i="1"/>
  <c r="A2515" i="1"/>
  <c r="A2516" i="1"/>
  <c r="A2517" i="1"/>
  <c r="A2518" i="1"/>
  <c r="A2519" i="1"/>
  <c r="A2520" i="1"/>
  <c r="A2521" i="1"/>
  <c r="A2522" i="1"/>
  <c r="A2523" i="1"/>
  <c r="A2524" i="1"/>
  <c r="A2525" i="1"/>
  <c r="A2526" i="1"/>
  <c r="A2527" i="1"/>
  <c r="A2528" i="1"/>
  <c r="A2529" i="1"/>
  <c r="A2530" i="1"/>
  <c r="A2531" i="1"/>
  <c r="A2532" i="1"/>
  <c r="A2533" i="1"/>
  <c r="A2534" i="1"/>
  <c r="A2535" i="1"/>
  <c r="A2536" i="1"/>
  <c r="A2537" i="1"/>
  <c r="A2538" i="1"/>
  <c r="A2539" i="1"/>
  <c r="A2540" i="1"/>
  <c r="A2541" i="1"/>
  <c r="A2542" i="1"/>
  <c r="A2543" i="1"/>
  <c r="A2544" i="1"/>
  <c r="A2545" i="1"/>
  <c r="A2546" i="1"/>
  <c r="A2547" i="1"/>
  <c r="A2548" i="1"/>
  <c r="A2549" i="1"/>
  <c r="A2550" i="1"/>
  <c r="A2551" i="1"/>
  <c r="A2552" i="1"/>
  <c r="A2553" i="1"/>
  <c r="A2554" i="1"/>
  <c r="A2555" i="1"/>
  <c r="A2556" i="1"/>
  <c r="A2557" i="1"/>
  <c r="A2558" i="1"/>
  <c r="A2559" i="1"/>
  <c r="A2560" i="1"/>
  <c r="A2561" i="1"/>
  <c r="A2562" i="1"/>
  <c r="A2563" i="1"/>
  <c r="A2564" i="1"/>
  <c r="A2565" i="1"/>
  <c r="A2566" i="1"/>
  <c r="A2567" i="1"/>
  <c r="A2568" i="1"/>
  <c r="A2569" i="1"/>
  <c r="A2570" i="1"/>
  <c r="A2571" i="1"/>
  <c r="A2572" i="1"/>
  <c r="A2573" i="1"/>
  <c r="A2574" i="1"/>
  <c r="A2575" i="1"/>
  <c r="A2576" i="1"/>
  <c r="A2577" i="1"/>
  <c r="A2578" i="1"/>
  <c r="A2579" i="1"/>
  <c r="A2580" i="1"/>
  <c r="A2581" i="1"/>
  <c r="A2582" i="1"/>
  <c r="A2583" i="1"/>
  <c r="A2584" i="1"/>
  <c r="A2585" i="1"/>
  <c r="A2586" i="1"/>
  <c r="A2587" i="1"/>
  <c r="A2588" i="1"/>
  <c r="A2589" i="1"/>
  <c r="A2590" i="1"/>
  <c r="A2591" i="1"/>
  <c r="A2592" i="1"/>
  <c r="A2593" i="1"/>
  <c r="A2594" i="1"/>
  <c r="A2595" i="1"/>
  <c r="A2596" i="1"/>
  <c r="A2597" i="1"/>
  <c r="A2598" i="1"/>
  <c r="A2599" i="1"/>
  <c r="A2600" i="1"/>
  <c r="A2601" i="1"/>
  <c r="A2602" i="1"/>
  <c r="A2603" i="1"/>
  <c r="A2604" i="1"/>
  <c r="A2605" i="1"/>
  <c r="A2606" i="1"/>
  <c r="A2607" i="1"/>
  <c r="A2608" i="1"/>
  <c r="A2609" i="1"/>
  <c r="A2610" i="1"/>
  <c r="A2611" i="1"/>
  <c r="A2612" i="1"/>
  <c r="A2613" i="1"/>
  <c r="A2614" i="1"/>
  <c r="A2615" i="1"/>
  <c r="A2616" i="1"/>
  <c r="A2617" i="1"/>
  <c r="A2618" i="1"/>
  <c r="A2619" i="1"/>
  <c r="A2620" i="1"/>
  <c r="A2621" i="1"/>
  <c r="A2622" i="1"/>
  <c r="A2623" i="1"/>
  <c r="A2624" i="1"/>
  <c r="A2625" i="1"/>
  <c r="A2626" i="1"/>
  <c r="A2627" i="1"/>
  <c r="A2628" i="1"/>
  <c r="A2629" i="1"/>
  <c r="A2630" i="1"/>
  <c r="A2631" i="1"/>
  <c r="A2632" i="1"/>
  <c r="A2633" i="1"/>
  <c r="A2634" i="1"/>
  <c r="A2635" i="1"/>
  <c r="A2636" i="1"/>
  <c r="A2637" i="1"/>
  <c r="A2638" i="1"/>
  <c r="A2639" i="1"/>
  <c r="A2640" i="1"/>
  <c r="A2641" i="1"/>
  <c r="A2642" i="1"/>
  <c r="A2643" i="1"/>
  <c r="A2644" i="1"/>
  <c r="A2645" i="1"/>
  <c r="A2646" i="1"/>
  <c r="A2647" i="1"/>
  <c r="A2648" i="1"/>
  <c r="A2649" i="1"/>
  <c r="A2650" i="1"/>
  <c r="A2651" i="1"/>
  <c r="A2652" i="1"/>
  <c r="A2653" i="1"/>
  <c r="A2654" i="1"/>
  <c r="A2655" i="1"/>
  <c r="A2656" i="1"/>
  <c r="A2657" i="1"/>
  <c r="A2658" i="1"/>
  <c r="A2659" i="1"/>
  <c r="A2660" i="1"/>
  <c r="A2661" i="1"/>
  <c r="A2662" i="1"/>
  <c r="A2663" i="1"/>
  <c r="A2664" i="1"/>
  <c r="A2665" i="1"/>
  <c r="A2666" i="1"/>
  <c r="A2667" i="1"/>
  <c r="A2668" i="1"/>
  <c r="A2669" i="1"/>
  <c r="A2670" i="1"/>
  <c r="A2671" i="1"/>
  <c r="A2672" i="1"/>
  <c r="A2673" i="1"/>
  <c r="A2674" i="1"/>
  <c r="A2675" i="1"/>
  <c r="A2676" i="1"/>
  <c r="A2677" i="1"/>
  <c r="A2678" i="1"/>
  <c r="A2679" i="1"/>
  <c r="A2680" i="1"/>
  <c r="A2681" i="1"/>
  <c r="A2682" i="1"/>
  <c r="A2683" i="1"/>
  <c r="A2684" i="1"/>
  <c r="A2685" i="1"/>
  <c r="A2686" i="1"/>
  <c r="A2687" i="1"/>
  <c r="A2688" i="1"/>
  <c r="A2689" i="1"/>
  <c r="A2690" i="1"/>
  <c r="A2691" i="1"/>
  <c r="A2692" i="1"/>
  <c r="A2693" i="1"/>
  <c r="A2694" i="1"/>
  <c r="A2695" i="1"/>
  <c r="A2696" i="1"/>
  <c r="A2697" i="1"/>
  <c r="A2698" i="1"/>
  <c r="A2699" i="1"/>
  <c r="A2700" i="1"/>
  <c r="A2701" i="1"/>
  <c r="A2702" i="1"/>
  <c r="A2703" i="1"/>
  <c r="A2704" i="1"/>
  <c r="A2705" i="1"/>
  <c r="A2706" i="1"/>
  <c r="A2707" i="1"/>
  <c r="A2708" i="1"/>
  <c r="A2709" i="1"/>
  <c r="A2710" i="1"/>
  <c r="A2711" i="1"/>
  <c r="A2712" i="1"/>
  <c r="A2713" i="1"/>
  <c r="A2714" i="1"/>
  <c r="A2715" i="1"/>
  <c r="A2716" i="1"/>
  <c r="A2717" i="1"/>
  <c r="A2718" i="1"/>
  <c r="A2719" i="1"/>
  <c r="A2720" i="1"/>
  <c r="A2721" i="1"/>
  <c r="A2722" i="1"/>
  <c r="A2723" i="1"/>
  <c r="A2724" i="1"/>
  <c r="A2725" i="1"/>
  <c r="A2726" i="1"/>
  <c r="A2727" i="1"/>
  <c r="A2728" i="1"/>
  <c r="A2729" i="1"/>
  <c r="A2730" i="1"/>
  <c r="A2731" i="1"/>
  <c r="A2732" i="1"/>
  <c r="A2733" i="1"/>
  <c r="A2734" i="1"/>
  <c r="A2735" i="1"/>
  <c r="A2736" i="1"/>
  <c r="A2737" i="1"/>
  <c r="A2738" i="1"/>
  <c r="A2739" i="1"/>
  <c r="A2740" i="1"/>
  <c r="A2741" i="1"/>
  <c r="A2742" i="1"/>
  <c r="A2743" i="1"/>
  <c r="A2744" i="1"/>
  <c r="A2745" i="1"/>
  <c r="A2746" i="1"/>
  <c r="A2747" i="1"/>
  <c r="A2748" i="1"/>
  <c r="A2749" i="1"/>
  <c r="A2750" i="1"/>
  <c r="A2751" i="1"/>
  <c r="A2752" i="1"/>
  <c r="A2753" i="1"/>
  <c r="A2754" i="1"/>
  <c r="A2755" i="1"/>
  <c r="A2756" i="1"/>
  <c r="A2757" i="1"/>
  <c r="A2758" i="1"/>
  <c r="A2759" i="1"/>
  <c r="A2760" i="1"/>
  <c r="A2761" i="1"/>
  <c r="A2762" i="1"/>
  <c r="A2763" i="1"/>
  <c r="A2764" i="1"/>
  <c r="A2765" i="1"/>
  <c r="A2766" i="1"/>
  <c r="A2767" i="1"/>
  <c r="A2768" i="1"/>
  <c r="A2769" i="1"/>
  <c r="A2770" i="1"/>
  <c r="A2771" i="1"/>
  <c r="A2772" i="1"/>
  <c r="A2773" i="1"/>
  <c r="A2774" i="1"/>
  <c r="A2775" i="1"/>
  <c r="A2776" i="1"/>
  <c r="A2777" i="1"/>
  <c r="A2778" i="1"/>
  <c r="A2779" i="1"/>
  <c r="A2780" i="1"/>
  <c r="A2781" i="1"/>
  <c r="A2782" i="1"/>
  <c r="A2783" i="1"/>
  <c r="A2784" i="1"/>
  <c r="A2785" i="1"/>
  <c r="A2786" i="1"/>
  <c r="A2787" i="1"/>
  <c r="A2788" i="1"/>
  <c r="A2789" i="1"/>
  <c r="A2790" i="1"/>
  <c r="A2791" i="1"/>
  <c r="A2792" i="1"/>
  <c r="A2793" i="1"/>
  <c r="A2794" i="1"/>
  <c r="A2795" i="1"/>
  <c r="A2796" i="1"/>
  <c r="A2797" i="1"/>
  <c r="A2798" i="1"/>
  <c r="A2799" i="1"/>
  <c r="A2800" i="1"/>
  <c r="A2801" i="1"/>
  <c r="A2802" i="1"/>
  <c r="A2803" i="1"/>
  <c r="A2804" i="1"/>
  <c r="A2805" i="1"/>
  <c r="A2806" i="1"/>
  <c r="A2807" i="1"/>
  <c r="A2808" i="1"/>
  <c r="A2809" i="1"/>
  <c r="A2810" i="1"/>
  <c r="A2811" i="1"/>
  <c r="A2812" i="1"/>
  <c r="A2813" i="1"/>
  <c r="A2814" i="1"/>
  <c r="A2815" i="1"/>
  <c r="A2816" i="1"/>
  <c r="A2817" i="1"/>
  <c r="A2818" i="1"/>
  <c r="A2819" i="1"/>
  <c r="A2820" i="1"/>
  <c r="A2821" i="1"/>
  <c r="A2822" i="1"/>
  <c r="A2823" i="1"/>
  <c r="A2824" i="1"/>
  <c r="A2825" i="1"/>
  <c r="A2826" i="1"/>
  <c r="A2827" i="1"/>
  <c r="A2828" i="1"/>
  <c r="A2829" i="1"/>
  <c r="A2830" i="1"/>
  <c r="A2831" i="1"/>
  <c r="A2832" i="1"/>
  <c r="A2833" i="1"/>
  <c r="A2834" i="1"/>
  <c r="A2835" i="1"/>
  <c r="A2836" i="1"/>
  <c r="A2837" i="1"/>
  <c r="A2838" i="1"/>
  <c r="A2839" i="1"/>
  <c r="A2840" i="1"/>
  <c r="A2841" i="1"/>
  <c r="A2842" i="1"/>
  <c r="A2843" i="1"/>
  <c r="A2844" i="1"/>
  <c r="A2845" i="1"/>
  <c r="A2846" i="1"/>
  <c r="A2847" i="1"/>
  <c r="A2848" i="1"/>
  <c r="A2849" i="1"/>
  <c r="A2850" i="1"/>
  <c r="A2851" i="1"/>
  <c r="A2852" i="1"/>
  <c r="A2853" i="1"/>
  <c r="A2854" i="1"/>
  <c r="A2855" i="1"/>
  <c r="A2856" i="1"/>
  <c r="A2857" i="1"/>
  <c r="A2858" i="1"/>
  <c r="A2859" i="1"/>
  <c r="A2860" i="1"/>
  <c r="A2861" i="1"/>
  <c r="A2862" i="1"/>
  <c r="A2863" i="1"/>
  <c r="A2864" i="1"/>
  <c r="A2865" i="1"/>
  <c r="A2866" i="1"/>
  <c r="A2867" i="1"/>
  <c r="A2868" i="1"/>
  <c r="A2869" i="1"/>
  <c r="A2870" i="1"/>
  <c r="A2871" i="1"/>
  <c r="A2872" i="1"/>
  <c r="A2873" i="1"/>
  <c r="A2874" i="1"/>
  <c r="A2875" i="1"/>
  <c r="A2876" i="1"/>
  <c r="A2877" i="1"/>
  <c r="A2878" i="1"/>
  <c r="A2879" i="1"/>
  <c r="A2880" i="1"/>
  <c r="A2881" i="1"/>
  <c r="A2882" i="1"/>
  <c r="A2883" i="1"/>
  <c r="A2884" i="1"/>
  <c r="A2885" i="1"/>
  <c r="A2886" i="1"/>
  <c r="A2887" i="1"/>
  <c r="A2888" i="1"/>
  <c r="A2889" i="1"/>
  <c r="A2890" i="1"/>
  <c r="A2891" i="1"/>
  <c r="A2892" i="1"/>
  <c r="A2893" i="1"/>
  <c r="A2894" i="1"/>
  <c r="A2895" i="1"/>
  <c r="A2896" i="1"/>
  <c r="A2897" i="1"/>
  <c r="A2898" i="1"/>
  <c r="A2899" i="1"/>
  <c r="A2900" i="1"/>
  <c r="A2901" i="1"/>
  <c r="A2902" i="1"/>
  <c r="A2903" i="1"/>
  <c r="A2904" i="1"/>
  <c r="A2905" i="1"/>
  <c r="A2906" i="1"/>
  <c r="A2907" i="1"/>
  <c r="A2908" i="1"/>
  <c r="A2909" i="1"/>
  <c r="A2910" i="1"/>
  <c r="A2911" i="1"/>
  <c r="A2912" i="1"/>
  <c r="A2913" i="1"/>
  <c r="A2914" i="1"/>
  <c r="A2915" i="1"/>
  <c r="A2916" i="1"/>
  <c r="A2917" i="1"/>
  <c r="A2918" i="1"/>
  <c r="A2919" i="1"/>
  <c r="A2920" i="1"/>
  <c r="A2921" i="1"/>
  <c r="A2922" i="1"/>
  <c r="A2923" i="1"/>
  <c r="A2924" i="1"/>
  <c r="A2925" i="1"/>
  <c r="A2926" i="1"/>
  <c r="A2927" i="1"/>
  <c r="A2928" i="1"/>
  <c r="A2929" i="1"/>
  <c r="A2930" i="1"/>
  <c r="A2931" i="1"/>
  <c r="A2932" i="1"/>
  <c r="A2933" i="1"/>
  <c r="A2934" i="1"/>
  <c r="A2935" i="1"/>
  <c r="A2936" i="1"/>
  <c r="A2937" i="1"/>
  <c r="A2938" i="1"/>
  <c r="A2939" i="1"/>
  <c r="A2940" i="1"/>
  <c r="A2941" i="1"/>
  <c r="A2942" i="1"/>
  <c r="A2943" i="1"/>
  <c r="A2944" i="1"/>
  <c r="A2945" i="1"/>
  <c r="A2946" i="1"/>
  <c r="A2947" i="1"/>
  <c r="A2948" i="1"/>
  <c r="A2949" i="1"/>
  <c r="A2950" i="1"/>
  <c r="A2951" i="1"/>
  <c r="A2952" i="1"/>
  <c r="A2953" i="1"/>
  <c r="A2954" i="1"/>
  <c r="A2955" i="1"/>
  <c r="A2956" i="1"/>
  <c r="A2957" i="1"/>
  <c r="A2958" i="1"/>
  <c r="A2959" i="1"/>
  <c r="A2960" i="1"/>
  <c r="A2961" i="1"/>
  <c r="A2962" i="1"/>
  <c r="A2963" i="1"/>
  <c r="A2964" i="1"/>
  <c r="A2965" i="1"/>
  <c r="A2966" i="1"/>
  <c r="A2967" i="1"/>
  <c r="A2968" i="1"/>
  <c r="A2969" i="1"/>
  <c r="A2970" i="1"/>
  <c r="A2971" i="1"/>
  <c r="A2972" i="1"/>
  <c r="A2973" i="1"/>
  <c r="A2974" i="1"/>
  <c r="A2975" i="1"/>
  <c r="A2976" i="1"/>
  <c r="A2977" i="1"/>
  <c r="A2978" i="1"/>
  <c r="A2979" i="1"/>
  <c r="A2980" i="1"/>
  <c r="A2981" i="1"/>
  <c r="A2982" i="1"/>
  <c r="A2983" i="1"/>
  <c r="A2984" i="1"/>
  <c r="A2985" i="1"/>
  <c r="A2986" i="1"/>
  <c r="A2987" i="1"/>
  <c r="A2988" i="1"/>
  <c r="A2989" i="1"/>
  <c r="A2990" i="1"/>
  <c r="A2991" i="1"/>
  <c r="A2992" i="1"/>
  <c r="A2993" i="1"/>
  <c r="A2994" i="1"/>
  <c r="A2995" i="1"/>
  <c r="A2996" i="1"/>
  <c r="A2997" i="1"/>
  <c r="A2998" i="1"/>
  <c r="A2999" i="1"/>
  <c r="A3000" i="1"/>
  <c r="A3001" i="1"/>
  <c r="A3002" i="1"/>
  <c r="A3003" i="1"/>
  <c r="A3004" i="1"/>
  <c r="A3005" i="1"/>
  <c r="A3006" i="1"/>
  <c r="A3007" i="1"/>
  <c r="A3008" i="1"/>
  <c r="A3009" i="1"/>
  <c r="A3010" i="1"/>
  <c r="A3011" i="1"/>
  <c r="A3012" i="1"/>
  <c r="A3013" i="1"/>
  <c r="A3014" i="1"/>
  <c r="A3015" i="1"/>
  <c r="A3016" i="1"/>
  <c r="A3017" i="1"/>
  <c r="A3018" i="1"/>
  <c r="A3019" i="1"/>
  <c r="A3020" i="1"/>
  <c r="A3021" i="1"/>
  <c r="A3022" i="1"/>
  <c r="A3023" i="1"/>
  <c r="A3024" i="1"/>
  <c r="A3025" i="1"/>
  <c r="A3026" i="1"/>
  <c r="A3027" i="1"/>
  <c r="A3028" i="1"/>
  <c r="A3029" i="1"/>
  <c r="A3030" i="1"/>
  <c r="A3031" i="1"/>
  <c r="A3032" i="1"/>
  <c r="A3033" i="1"/>
  <c r="A3034" i="1"/>
  <c r="A3035" i="1"/>
  <c r="A3036" i="1"/>
  <c r="A3037" i="1"/>
  <c r="A3038" i="1"/>
  <c r="A3039" i="1"/>
  <c r="A3040" i="1"/>
  <c r="A3041" i="1"/>
  <c r="A3042" i="1"/>
  <c r="A3043" i="1"/>
  <c r="A3044" i="1"/>
  <c r="A3045" i="1"/>
  <c r="A3046" i="1"/>
  <c r="A3047" i="1"/>
  <c r="A3048" i="1"/>
  <c r="A3049" i="1"/>
  <c r="A3050" i="1"/>
  <c r="A3051" i="1"/>
  <c r="A3052" i="1"/>
  <c r="A3053" i="1"/>
  <c r="A3054" i="1"/>
  <c r="A3055" i="1"/>
  <c r="A3056" i="1"/>
  <c r="A3057" i="1"/>
  <c r="A3058" i="1"/>
  <c r="A3059" i="1"/>
  <c r="A3060" i="1"/>
  <c r="A3061" i="1"/>
  <c r="A3062" i="1"/>
  <c r="A3063" i="1"/>
  <c r="A3064" i="1"/>
  <c r="A3065" i="1"/>
  <c r="A3066" i="1"/>
  <c r="A3067" i="1"/>
  <c r="A3068" i="1"/>
  <c r="A3069" i="1"/>
  <c r="A3070" i="1"/>
  <c r="A3071" i="1"/>
  <c r="A3072" i="1"/>
  <c r="A3073" i="1"/>
  <c r="A9" i="1"/>
  <c r="C19" i="7"/>
  <c r="C18" i="7"/>
  <c r="C17" i="7"/>
  <c r="C7" i="7"/>
  <c r="M6" i="6"/>
  <c r="M7" i="6"/>
  <c r="M8" i="6"/>
  <c r="M9" i="6"/>
  <c r="M10" i="6"/>
  <c r="M11" i="6"/>
  <c r="M12" i="6"/>
  <c r="M13" i="6"/>
  <c r="M14" i="6"/>
  <c r="M15" i="6"/>
  <c r="M16" i="6"/>
  <c r="M17" i="6"/>
  <c r="M18" i="6"/>
  <c r="M19" i="6"/>
  <c r="M20" i="6"/>
  <c r="M21" i="6"/>
  <c r="M22" i="6"/>
  <c r="M23" i="6"/>
  <c r="M24" i="6"/>
  <c r="M25" i="6"/>
  <c r="M26" i="6"/>
  <c r="M5" i="6"/>
  <c r="T12" i="6"/>
  <c r="T11" i="6"/>
  <c r="T10" i="6"/>
  <c r="T9" i="6"/>
  <c r="T8" i="6"/>
  <c r="A5" i="5"/>
  <c r="F24" i="5"/>
  <c r="R13" i="5"/>
  <c r="C58" i="8" s="1"/>
  <c r="R12" i="5"/>
  <c r="C57" i="8" s="1"/>
  <c r="R11" i="5"/>
  <c r="C56" i="8" s="1"/>
  <c r="R10" i="5"/>
  <c r="C55" i="8" s="1"/>
  <c r="V13" i="5"/>
  <c r="G58" i="8" s="1"/>
  <c r="U13" i="5"/>
  <c r="F58" i="8" s="1"/>
  <c r="T13" i="5"/>
  <c r="E58" i="8" s="1"/>
  <c r="S13" i="5"/>
  <c r="D58" i="8" s="1"/>
  <c r="V12" i="5"/>
  <c r="G57" i="8" s="1"/>
  <c r="U12" i="5"/>
  <c r="F57" i="8" s="1"/>
  <c r="T12" i="5"/>
  <c r="E57" i="8" s="1"/>
  <c r="S12" i="5"/>
  <c r="D57" i="8" s="1"/>
  <c r="V11" i="5"/>
  <c r="G56" i="8" s="1"/>
  <c r="U11" i="5"/>
  <c r="F56" i="8" s="1"/>
  <c r="T11" i="5"/>
  <c r="E56" i="8" s="1"/>
  <c r="S11" i="5"/>
  <c r="D56" i="8" s="1"/>
  <c r="V10" i="5"/>
  <c r="G55" i="8" s="1"/>
  <c r="U10" i="5"/>
  <c r="F55" i="8" s="1"/>
  <c r="T10" i="5"/>
  <c r="E55" i="8" s="1"/>
  <c r="S10" i="5"/>
  <c r="D55" i="8" s="1"/>
  <c r="V9" i="5"/>
  <c r="G54" i="8" s="1"/>
  <c r="U9" i="5"/>
  <c r="F54" i="8" s="1"/>
  <c r="T9" i="5"/>
  <c r="E54" i="8" s="1"/>
  <c r="S9" i="5"/>
  <c r="D54" i="8" s="1"/>
  <c r="R9" i="5"/>
  <c r="C54" i="8" s="1"/>
  <c r="F10" i="5"/>
  <c r="F9" i="5"/>
  <c r="F8" i="5"/>
  <c r="F17" i="5"/>
  <c r="F16" i="5"/>
  <c r="F15" i="5"/>
  <c r="F14" i="5"/>
  <c r="F13" i="5"/>
  <c r="F12" i="5"/>
  <c r="F11" i="5"/>
  <c r="F18" i="5"/>
  <c r="F23" i="5"/>
  <c r="F22" i="5"/>
  <c r="F21" i="5"/>
  <c r="F20" i="5"/>
  <c r="F19" i="5"/>
  <c r="F26" i="5"/>
  <c r="F25" i="5"/>
  <c r="F77" i="3"/>
  <c r="F73" i="3"/>
  <c r="K39" i="2"/>
  <c r="K40" i="2"/>
  <c r="K41" i="2"/>
  <c r="K42" i="2"/>
  <c r="H40" i="2"/>
  <c r="H39" i="2"/>
  <c r="H38" i="2"/>
  <c r="G4" i="1" a="1"/>
  <c r="D24" i="9"/>
  <c r="T7" i="6"/>
  <c r="T6" i="6"/>
  <c r="O13" i="5"/>
  <c r="N13" i="5"/>
  <c r="M13" i="5"/>
  <c r="L13" i="5"/>
  <c r="K13" i="5"/>
  <c r="O12" i="5"/>
  <c r="N12" i="5"/>
  <c r="M12" i="5"/>
  <c r="L12" i="5"/>
  <c r="K12" i="5"/>
  <c r="O11" i="5"/>
  <c r="N11" i="5"/>
  <c r="M11" i="5"/>
  <c r="L11" i="5"/>
  <c r="K11" i="5"/>
  <c r="O10" i="5"/>
  <c r="N10" i="5"/>
  <c r="M10" i="5"/>
  <c r="L10" i="5"/>
  <c r="K10" i="5"/>
  <c r="O9" i="5"/>
  <c r="N9" i="5"/>
  <c r="M9" i="5"/>
  <c r="L9" i="5"/>
  <c r="K9" i="5"/>
  <c r="C21" i="7"/>
  <c r="H21" i="7" s="1"/>
  <c r="E11" i="4"/>
  <c r="D11" i="4"/>
  <c r="E9" i="4"/>
  <c r="D9" i="4"/>
  <c r="G5" i="9" l="1"/>
  <c r="A5" i="8"/>
  <c r="AE5" i="3"/>
  <c r="AE6" i="3"/>
  <c r="AE7" i="3"/>
  <c r="AE8" i="3"/>
  <c r="AE9" i="3"/>
  <c r="AE10" i="3"/>
  <c r="AE11" i="3"/>
  <c r="AE12" i="3"/>
  <c r="AE13" i="3"/>
  <c r="AE14" i="3"/>
  <c r="AE15" i="3"/>
  <c r="D6" i="4"/>
  <c r="E6" i="4"/>
  <c r="AE16" i="3"/>
  <c r="AE17" i="3"/>
  <c r="AE18" i="3"/>
  <c r="AE19" i="3"/>
  <c r="AE20" i="3"/>
  <c r="AE21" i="3"/>
  <c r="AE22" i="3"/>
  <c r="AE23" i="3"/>
  <c r="AE24" i="3"/>
  <c r="AE25" i="3"/>
  <c r="AE26" i="3"/>
  <c r="AE27" i="3"/>
  <c r="AE28" i="3"/>
  <c r="AE29" i="3"/>
  <c r="AE30" i="3"/>
  <c r="AE31" i="3"/>
  <c r="AE32" i="3"/>
  <c r="AE33" i="3"/>
  <c r="AE34" i="3"/>
  <c r="AE35" i="3"/>
  <c r="AE36" i="3"/>
  <c r="AE37" i="3"/>
  <c r="AE38" i="3"/>
  <c r="AE39" i="3"/>
  <c r="AE40" i="3"/>
  <c r="AE41" i="3"/>
  <c r="AE42" i="3"/>
  <c r="AE43" i="3"/>
  <c r="AE44" i="3"/>
  <c r="AE45" i="3"/>
  <c r="AE46" i="3"/>
  <c r="AE47" i="3"/>
  <c r="AE48" i="3"/>
  <c r="AE49" i="3"/>
  <c r="AE50" i="3"/>
  <c r="AE51" i="3"/>
  <c r="AE52" i="3"/>
  <c r="AE53" i="3"/>
  <c r="AE54" i="3"/>
  <c r="AE55" i="3"/>
  <c r="AE56" i="3"/>
  <c r="AE57" i="3"/>
  <c r="AE58" i="3"/>
  <c r="AE59" i="3"/>
  <c r="AE60" i="3"/>
  <c r="AE61" i="3"/>
  <c r="AE62" i="3"/>
  <c r="AE63" i="3"/>
  <c r="AE64" i="3"/>
  <c r="AE65" i="3"/>
  <c r="AE66" i="3"/>
  <c r="AE67" i="3"/>
  <c r="AE68" i="3"/>
  <c r="AE69" i="3"/>
  <c r="AE70" i="3"/>
  <c r="E45" i="4"/>
  <c r="C8" i="7"/>
  <c r="C37" i="8"/>
  <c r="D37" i="8"/>
  <c r="C38" i="8"/>
  <c r="C39" i="8"/>
  <c r="C40" i="8"/>
  <c r="C41" i="8"/>
  <c r="H4" i="1"/>
  <c r="I4" i="1"/>
  <c r="C5" i="5"/>
  <c r="X51" i="4"/>
  <c r="X52" i="4"/>
  <c r="X53" i="4"/>
  <c r="X54" i="4"/>
  <c r="X55" i="4"/>
  <c r="D45" i="4"/>
  <c r="D46" i="4" s="1"/>
  <c r="P51" i="4"/>
  <c r="P52" i="4"/>
  <c r="P53" i="4"/>
  <c r="P54" i="4"/>
  <c r="P55" i="4"/>
  <c r="C51" i="4"/>
  <c r="C52" i="4"/>
  <c r="C53" i="4"/>
  <c r="C54" i="4"/>
  <c r="C55" i="4"/>
  <c r="E46" i="4"/>
  <c r="S5" i="3"/>
  <c r="T5" i="3" s="1"/>
  <c r="S6" i="3"/>
  <c r="T6" i="3" s="1"/>
  <c r="S7" i="3"/>
  <c r="T7" i="3" s="1"/>
  <c r="S8" i="3"/>
  <c r="T8" i="3" s="1"/>
  <c r="S9" i="3"/>
  <c r="T9" i="3" s="1"/>
  <c r="S10" i="3"/>
  <c r="T10" i="3" s="1"/>
  <c r="S11" i="3"/>
  <c r="T11" i="3" s="1"/>
  <c r="S12" i="3"/>
  <c r="T12" i="3" s="1"/>
  <c r="S13" i="3"/>
  <c r="T13" i="3" s="1"/>
  <c r="S14" i="3"/>
  <c r="T14" i="3" s="1"/>
  <c r="S15" i="3"/>
  <c r="T15" i="3" s="1"/>
  <c r="S16" i="3"/>
  <c r="T16" i="3" s="1"/>
  <c r="S17" i="3"/>
  <c r="T17" i="3" s="1"/>
  <c r="S18" i="3"/>
  <c r="T18" i="3" s="1"/>
  <c r="S19" i="3"/>
  <c r="T19" i="3" s="1"/>
  <c r="S20" i="3"/>
  <c r="T20" i="3" s="1"/>
  <c r="S21" i="3"/>
  <c r="T21" i="3" s="1"/>
  <c r="S22" i="3"/>
  <c r="T22" i="3" s="1"/>
  <c r="S23" i="3"/>
  <c r="T23" i="3" s="1"/>
  <c r="S24" i="3"/>
  <c r="T24" i="3" s="1"/>
  <c r="S25" i="3"/>
  <c r="T25" i="3" s="1"/>
  <c r="S26" i="3"/>
  <c r="T26" i="3" s="1"/>
  <c r="S27" i="3"/>
  <c r="T27" i="3" s="1"/>
  <c r="S28" i="3"/>
  <c r="T28" i="3" s="1"/>
  <c r="S29" i="3"/>
  <c r="T29" i="3" s="1"/>
  <c r="S30" i="3"/>
  <c r="T30" i="3" s="1"/>
  <c r="S31" i="3"/>
  <c r="T31" i="3" s="1"/>
  <c r="S32" i="3"/>
  <c r="T32" i="3" s="1"/>
  <c r="S33" i="3"/>
  <c r="T33" i="3" s="1"/>
  <c r="S34" i="3"/>
  <c r="T34" i="3" s="1"/>
  <c r="S35" i="3"/>
  <c r="T35" i="3" s="1"/>
  <c r="S36" i="3"/>
  <c r="T36" i="3" s="1"/>
  <c r="S37" i="3"/>
  <c r="T37" i="3" s="1"/>
  <c r="S38" i="3"/>
  <c r="T38" i="3" s="1"/>
  <c r="S39" i="3"/>
  <c r="T39" i="3" s="1"/>
  <c r="S40" i="3"/>
  <c r="T40" i="3" s="1"/>
  <c r="S41" i="3"/>
  <c r="T41" i="3" s="1"/>
  <c r="S42" i="3"/>
  <c r="T42" i="3" s="1"/>
  <c r="S43" i="3"/>
  <c r="T43" i="3" s="1"/>
  <c r="S44" i="3"/>
  <c r="T44" i="3" s="1"/>
  <c r="S45" i="3"/>
  <c r="T45" i="3" s="1"/>
  <c r="S46" i="3"/>
  <c r="T46" i="3" s="1"/>
  <c r="S47" i="3"/>
  <c r="T47" i="3" s="1"/>
  <c r="S48" i="3"/>
  <c r="T48" i="3" s="1"/>
  <c r="S49" i="3"/>
  <c r="T49" i="3" s="1"/>
  <c r="S50" i="3"/>
  <c r="T50" i="3" s="1"/>
  <c r="S51" i="3"/>
  <c r="T51" i="3" s="1"/>
  <c r="S52" i="3"/>
  <c r="T52" i="3" s="1"/>
  <c r="S53" i="3"/>
  <c r="T53" i="3" s="1"/>
  <c r="S54" i="3"/>
  <c r="T54" i="3" s="1"/>
  <c r="S55" i="3"/>
  <c r="T55" i="3" s="1"/>
  <c r="S56" i="3"/>
  <c r="T56" i="3" s="1"/>
  <c r="S61" i="3"/>
  <c r="T61" i="3" s="1"/>
  <c r="S62" i="3"/>
  <c r="T62" i="3" s="1"/>
  <c r="S63" i="3"/>
  <c r="T63" i="3" s="1"/>
  <c r="S64" i="3"/>
  <c r="T64" i="3" s="1"/>
  <c r="S65" i="3"/>
  <c r="T65" i="3" s="1"/>
  <c r="S66" i="3"/>
  <c r="T66" i="3" s="1"/>
  <c r="S67" i="3"/>
  <c r="T67" i="3" s="1"/>
  <c r="S68" i="3"/>
  <c r="T68" i="3" s="1"/>
  <c r="S69" i="3"/>
  <c r="T69" i="3" s="1"/>
  <c r="S70" i="3"/>
  <c r="T70" i="3" s="1"/>
  <c r="S57" i="3"/>
  <c r="T57" i="3" s="1"/>
  <c r="S58" i="3"/>
  <c r="T58" i="3" s="1"/>
  <c r="S59" i="3"/>
  <c r="T59" i="3" s="1"/>
  <c r="S60" i="3"/>
  <c r="T60" i="3" s="1"/>
  <c r="T16" i="6"/>
  <c r="G6" i="6"/>
  <c r="G7" i="6"/>
  <c r="G8" i="6"/>
  <c r="G9" i="6"/>
  <c r="G10" i="6"/>
  <c r="G11" i="6"/>
  <c r="G12" i="6"/>
  <c r="G13" i="6"/>
  <c r="G14" i="6"/>
  <c r="G15" i="6"/>
  <c r="G16" i="6"/>
  <c r="G17" i="6"/>
  <c r="G18" i="6"/>
  <c r="G19" i="6"/>
  <c r="G20" i="6"/>
  <c r="G21" i="6"/>
  <c r="G22" i="6"/>
  <c r="G23" i="6"/>
  <c r="G24" i="6"/>
  <c r="G25" i="6"/>
  <c r="G26" i="6"/>
  <c r="G5" i="6"/>
  <c r="B14" i="9" s="1"/>
  <c r="V21" i="1"/>
  <c r="U21" i="1"/>
  <c r="U14" i="1"/>
  <c r="V14" i="1"/>
  <c r="L2589" i="1"/>
  <c r="N2589" i="1" s="1"/>
  <c r="L2590" i="1"/>
  <c r="N2590" i="1" s="1"/>
  <c r="L2591" i="1"/>
  <c r="N2591" i="1" s="1"/>
  <c r="L2592" i="1"/>
  <c r="N2592" i="1" s="1"/>
  <c r="L2593" i="1"/>
  <c r="N2593" i="1" s="1"/>
  <c r="L2594" i="1"/>
  <c r="N2594" i="1" s="1"/>
  <c r="L2595" i="1"/>
  <c r="N2595" i="1" s="1"/>
  <c r="L2596" i="1"/>
  <c r="N2596" i="1" s="1"/>
  <c r="L2597" i="1"/>
  <c r="N2597" i="1" s="1"/>
  <c r="L2598" i="1"/>
  <c r="N2598" i="1" s="1"/>
  <c r="L2599" i="1"/>
  <c r="N2599" i="1" s="1"/>
  <c r="L2600" i="1"/>
  <c r="N2600" i="1" s="1"/>
  <c r="L2601" i="1"/>
  <c r="N2601" i="1" s="1"/>
  <c r="L2602" i="1"/>
  <c r="N2602" i="1" s="1"/>
  <c r="L2603" i="1"/>
  <c r="N2603" i="1" s="1"/>
  <c r="L2604" i="1"/>
  <c r="N2604" i="1" s="1"/>
  <c r="L2605" i="1"/>
  <c r="N2605" i="1" s="1"/>
  <c r="L2606" i="1"/>
  <c r="N2606" i="1" s="1"/>
  <c r="L2607" i="1"/>
  <c r="N2607" i="1" s="1"/>
  <c r="L2608" i="1"/>
  <c r="N2608" i="1" s="1"/>
  <c r="L2609" i="1"/>
  <c r="N2609" i="1" s="1"/>
  <c r="L2610" i="1"/>
  <c r="N2610" i="1" s="1"/>
  <c r="L2611" i="1"/>
  <c r="N2611" i="1" s="1"/>
  <c r="L2612" i="1"/>
  <c r="N2612" i="1" s="1"/>
  <c r="L2613" i="1"/>
  <c r="N2613" i="1" s="1"/>
  <c r="L2614" i="1"/>
  <c r="N2614" i="1" s="1"/>
  <c r="L2615" i="1"/>
  <c r="N2615" i="1" s="1"/>
  <c r="L2616" i="1"/>
  <c r="N2616" i="1" s="1"/>
  <c r="L2617" i="1"/>
  <c r="N2617" i="1" s="1"/>
  <c r="L2618" i="1"/>
  <c r="N2618" i="1" s="1"/>
  <c r="L2619" i="1"/>
  <c r="N2619" i="1" s="1"/>
  <c r="L2620" i="1"/>
  <c r="N2620" i="1" s="1"/>
  <c r="L2621" i="1"/>
  <c r="N2621" i="1" s="1"/>
  <c r="L2622" i="1"/>
  <c r="N2622" i="1" s="1"/>
  <c r="L2623" i="1"/>
  <c r="N2623" i="1" s="1"/>
  <c r="L2624" i="1"/>
  <c r="N2624" i="1" s="1"/>
  <c r="L2625" i="1"/>
  <c r="N2625" i="1" s="1"/>
  <c r="L2626" i="1"/>
  <c r="N2626" i="1" s="1"/>
  <c r="L2627" i="1"/>
  <c r="N2627" i="1" s="1"/>
  <c r="L2628" i="1"/>
  <c r="N2628" i="1" s="1"/>
  <c r="L2629" i="1"/>
  <c r="N2629" i="1" s="1"/>
  <c r="L2630" i="1"/>
  <c r="N2630" i="1" s="1"/>
  <c r="L2631" i="1"/>
  <c r="N2631" i="1" s="1"/>
  <c r="L2632" i="1"/>
  <c r="N2632" i="1" s="1"/>
  <c r="L2633" i="1"/>
  <c r="N2633" i="1" s="1"/>
  <c r="L2634" i="1"/>
  <c r="N2634" i="1" s="1"/>
  <c r="L2635" i="1"/>
  <c r="N2635" i="1" s="1"/>
  <c r="L2636" i="1"/>
  <c r="N2636" i="1" s="1"/>
  <c r="L2637" i="1"/>
  <c r="N2637" i="1" s="1"/>
  <c r="L2638" i="1"/>
  <c r="N2638" i="1" s="1"/>
  <c r="L2639" i="1"/>
  <c r="N2639" i="1" s="1"/>
  <c r="L2640" i="1"/>
  <c r="N2640" i="1" s="1"/>
  <c r="L2641" i="1"/>
  <c r="N2641" i="1" s="1"/>
  <c r="L2642" i="1"/>
  <c r="N2642" i="1" s="1"/>
  <c r="L2643" i="1"/>
  <c r="N2643" i="1" s="1"/>
  <c r="L2644" i="1"/>
  <c r="N2644" i="1" s="1"/>
  <c r="L2645" i="1"/>
  <c r="N2645" i="1" s="1"/>
  <c r="L2646" i="1"/>
  <c r="N2646" i="1" s="1"/>
  <c r="L2647" i="1"/>
  <c r="N2647" i="1" s="1"/>
  <c r="L2648" i="1"/>
  <c r="N2648" i="1" s="1"/>
  <c r="L2649" i="1"/>
  <c r="N2649" i="1" s="1"/>
  <c r="L2650" i="1"/>
  <c r="N2650" i="1" s="1"/>
  <c r="L2651" i="1"/>
  <c r="N2651" i="1" s="1"/>
  <c r="L2652" i="1"/>
  <c r="N2652" i="1" s="1"/>
  <c r="L2653" i="1"/>
  <c r="N2653" i="1" s="1"/>
  <c r="L2654" i="1"/>
  <c r="N2654" i="1" s="1"/>
  <c r="L2655" i="1"/>
  <c r="N2655" i="1" s="1"/>
  <c r="L2656" i="1"/>
  <c r="N2656" i="1" s="1"/>
  <c r="L2657" i="1"/>
  <c r="N2657" i="1" s="1"/>
  <c r="L2658" i="1"/>
  <c r="N2658" i="1" s="1"/>
  <c r="L2659" i="1"/>
  <c r="N2659" i="1" s="1"/>
  <c r="L2660" i="1"/>
  <c r="N2660" i="1" s="1"/>
  <c r="L2661" i="1"/>
  <c r="N2661" i="1" s="1"/>
  <c r="L2662" i="1"/>
  <c r="N2662" i="1" s="1"/>
  <c r="L2663" i="1"/>
  <c r="N2663" i="1" s="1"/>
  <c r="L2664" i="1"/>
  <c r="N2664" i="1" s="1"/>
  <c r="L2665" i="1"/>
  <c r="N2665" i="1" s="1"/>
  <c r="L2666" i="1"/>
  <c r="N2666" i="1" s="1"/>
  <c r="L2667" i="1"/>
  <c r="N2667" i="1" s="1"/>
  <c r="L2668" i="1"/>
  <c r="N2668" i="1" s="1"/>
  <c r="L2669" i="1"/>
  <c r="N2669" i="1" s="1"/>
  <c r="L2670" i="1"/>
  <c r="N2670" i="1" s="1"/>
  <c r="L2671" i="1"/>
  <c r="N2671" i="1" s="1"/>
  <c r="L2672" i="1"/>
  <c r="N2672" i="1" s="1"/>
  <c r="L2673" i="1"/>
  <c r="N2673" i="1" s="1"/>
  <c r="L2674" i="1"/>
  <c r="N2674" i="1" s="1"/>
  <c r="L2675" i="1"/>
  <c r="N2675" i="1" s="1"/>
  <c r="L2676" i="1"/>
  <c r="N2676" i="1" s="1"/>
  <c r="L2677" i="1"/>
  <c r="N2677" i="1" s="1"/>
  <c r="L2678" i="1"/>
  <c r="N2678" i="1" s="1"/>
  <c r="L2679" i="1"/>
  <c r="N2679" i="1" s="1"/>
  <c r="L2680" i="1"/>
  <c r="N2680" i="1" s="1"/>
  <c r="L2681" i="1"/>
  <c r="N2681" i="1" s="1"/>
  <c r="L2682" i="1"/>
  <c r="N2682" i="1" s="1"/>
  <c r="L2683" i="1"/>
  <c r="N2683" i="1" s="1"/>
  <c r="L2684" i="1"/>
  <c r="N2684" i="1" s="1"/>
  <c r="L2685" i="1"/>
  <c r="N2685" i="1" s="1"/>
  <c r="L2686" i="1"/>
  <c r="N2686" i="1" s="1"/>
  <c r="L2687" i="1"/>
  <c r="N2687" i="1" s="1"/>
  <c r="L2688" i="1"/>
  <c r="N2688" i="1" s="1"/>
  <c r="L2689" i="1"/>
  <c r="N2689" i="1" s="1"/>
  <c r="L2690" i="1"/>
  <c r="N2690" i="1" s="1"/>
  <c r="L2691" i="1"/>
  <c r="N2691" i="1" s="1"/>
  <c r="L2692" i="1"/>
  <c r="N2692" i="1" s="1"/>
  <c r="L2693" i="1"/>
  <c r="N2693" i="1" s="1"/>
  <c r="L2694" i="1"/>
  <c r="N2694" i="1" s="1"/>
  <c r="L2695" i="1"/>
  <c r="N2695" i="1" s="1"/>
  <c r="L2696" i="1"/>
  <c r="N2696" i="1" s="1"/>
  <c r="L2697" i="1"/>
  <c r="N2697" i="1" s="1"/>
  <c r="L2698" i="1"/>
  <c r="N2698" i="1" s="1"/>
  <c r="L2699" i="1"/>
  <c r="N2699" i="1" s="1"/>
  <c r="L2700" i="1"/>
  <c r="N2700" i="1" s="1"/>
  <c r="L2701" i="1"/>
  <c r="N2701" i="1" s="1"/>
  <c r="L2702" i="1"/>
  <c r="N2702" i="1" s="1"/>
  <c r="L2703" i="1"/>
  <c r="N2703" i="1" s="1"/>
  <c r="L2704" i="1"/>
  <c r="N2704" i="1" s="1"/>
  <c r="L2705" i="1"/>
  <c r="N2705" i="1" s="1"/>
  <c r="L2706" i="1"/>
  <c r="N2706" i="1" s="1"/>
  <c r="L2707" i="1"/>
  <c r="N2707" i="1" s="1"/>
  <c r="L2708" i="1"/>
  <c r="N2708" i="1" s="1"/>
  <c r="L2709" i="1"/>
  <c r="N2709" i="1" s="1"/>
  <c r="L2710" i="1"/>
  <c r="N2710" i="1" s="1"/>
  <c r="L2711" i="1"/>
  <c r="N2711" i="1" s="1"/>
  <c r="L2712" i="1"/>
  <c r="N2712" i="1" s="1"/>
  <c r="L2713" i="1"/>
  <c r="N2713" i="1" s="1"/>
  <c r="L2714" i="1"/>
  <c r="N2714" i="1" s="1"/>
  <c r="L2715" i="1"/>
  <c r="N2715" i="1" s="1"/>
  <c r="L2716" i="1"/>
  <c r="N2716" i="1" s="1"/>
  <c r="L2717" i="1"/>
  <c r="N2717" i="1" s="1"/>
  <c r="L2718" i="1"/>
  <c r="N2718" i="1" s="1"/>
  <c r="L2719" i="1"/>
  <c r="N2719" i="1" s="1"/>
  <c r="L2720" i="1"/>
  <c r="N2720" i="1" s="1"/>
  <c r="L2721" i="1"/>
  <c r="N2721" i="1" s="1"/>
  <c r="L2722" i="1"/>
  <c r="N2722" i="1" s="1"/>
  <c r="L2723" i="1"/>
  <c r="N2723" i="1" s="1"/>
  <c r="L2724" i="1"/>
  <c r="N2724" i="1" s="1"/>
  <c r="L2725" i="1"/>
  <c r="N2725" i="1" s="1"/>
  <c r="L2726" i="1"/>
  <c r="N2726" i="1" s="1"/>
  <c r="L2727" i="1"/>
  <c r="N2727" i="1" s="1"/>
  <c r="L2728" i="1"/>
  <c r="N2728" i="1" s="1"/>
  <c r="L2729" i="1"/>
  <c r="N2729" i="1" s="1"/>
  <c r="L2730" i="1"/>
  <c r="N2730" i="1" s="1"/>
  <c r="L2731" i="1"/>
  <c r="N2731" i="1" s="1"/>
  <c r="L2732" i="1"/>
  <c r="N2732" i="1" s="1"/>
  <c r="L2733" i="1"/>
  <c r="N2733" i="1" s="1"/>
  <c r="L2734" i="1"/>
  <c r="N2734" i="1" s="1"/>
  <c r="L2735" i="1"/>
  <c r="N2735" i="1" s="1"/>
  <c r="L2736" i="1"/>
  <c r="N2736" i="1" s="1"/>
  <c r="L2737" i="1"/>
  <c r="N2737" i="1" s="1"/>
  <c r="L2738" i="1"/>
  <c r="N2738" i="1" s="1"/>
  <c r="L2739" i="1"/>
  <c r="N2739" i="1" s="1"/>
  <c r="L2740" i="1"/>
  <c r="N2740" i="1" s="1"/>
  <c r="L2741" i="1"/>
  <c r="N2741" i="1" s="1"/>
  <c r="L2742" i="1"/>
  <c r="N2742" i="1" s="1"/>
  <c r="L2743" i="1"/>
  <c r="N2743" i="1" s="1"/>
  <c r="L2744" i="1"/>
  <c r="N2744" i="1" s="1"/>
  <c r="L2745" i="1"/>
  <c r="N2745" i="1" s="1"/>
  <c r="L2746" i="1"/>
  <c r="N2746" i="1" s="1"/>
  <c r="L2747" i="1"/>
  <c r="N2747" i="1" s="1"/>
  <c r="L2748" i="1"/>
  <c r="N2748" i="1" s="1"/>
  <c r="L2749" i="1"/>
  <c r="N2749" i="1" s="1"/>
  <c r="L2750" i="1"/>
  <c r="N2750" i="1" s="1"/>
  <c r="L2751" i="1"/>
  <c r="N2751" i="1" s="1"/>
  <c r="L2752" i="1"/>
  <c r="N2752" i="1" s="1"/>
  <c r="L2753" i="1"/>
  <c r="N2753" i="1" s="1"/>
  <c r="L2754" i="1"/>
  <c r="N2754" i="1" s="1"/>
  <c r="L2755" i="1"/>
  <c r="N2755" i="1" s="1"/>
  <c r="L2756" i="1"/>
  <c r="N2756" i="1" s="1"/>
  <c r="L2757" i="1"/>
  <c r="N2757" i="1" s="1"/>
  <c r="L2758" i="1"/>
  <c r="N2758" i="1" s="1"/>
  <c r="L2759" i="1"/>
  <c r="N2759" i="1" s="1"/>
  <c r="L2760" i="1"/>
  <c r="N2760" i="1" s="1"/>
  <c r="L2761" i="1"/>
  <c r="N2761" i="1" s="1"/>
  <c r="L2762" i="1"/>
  <c r="N2762" i="1" s="1"/>
  <c r="L2763" i="1"/>
  <c r="N2763" i="1" s="1"/>
  <c r="L2764" i="1"/>
  <c r="N2764" i="1" s="1"/>
  <c r="L2765" i="1"/>
  <c r="N2765" i="1" s="1"/>
  <c r="L2766" i="1"/>
  <c r="N2766" i="1" s="1"/>
  <c r="L2767" i="1"/>
  <c r="N2767" i="1" s="1"/>
  <c r="L2768" i="1"/>
  <c r="N2768" i="1" s="1"/>
  <c r="L2769" i="1"/>
  <c r="N2769" i="1" s="1"/>
  <c r="L2770" i="1"/>
  <c r="N2770" i="1" s="1"/>
  <c r="L2771" i="1"/>
  <c r="N2771" i="1" s="1"/>
  <c r="L2772" i="1"/>
  <c r="N2772" i="1" s="1"/>
  <c r="L2773" i="1"/>
  <c r="N2773" i="1" s="1"/>
  <c r="L2774" i="1"/>
  <c r="N2774" i="1" s="1"/>
  <c r="L2775" i="1"/>
  <c r="N2775" i="1" s="1"/>
  <c r="L2776" i="1"/>
  <c r="N2776" i="1" s="1"/>
  <c r="L2777" i="1"/>
  <c r="N2777" i="1" s="1"/>
  <c r="L2778" i="1"/>
  <c r="N2778" i="1" s="1"/>
  <c r="L2779" i="1"/>
  <c r="N2779" i="1" s="1"/>
  <c r="L2780" i="1"/>
  <c r="N2780" i="1" s="1"/>
  <c r="L2781" i="1"/>
  <c r="N2781" i="1" s="1"/>
  <c r="L2782" i="1"/>
  <c r="N2782" i="1" s="1"/>
  <c r="L2783" i="1"/>
  <c r="N2783" i="1" s="1"/>
  <c r="L2784" i="1"/>
  <c r="N2784" i="1" s="1"/>
  <c r="L2785" i="1"/>
  <c r="N2785" i="1" s="1"/>
  <c r="L2786" i="1"/>
  <c r="N2786" i="1" s="1"/>
  <c r="L2787" i="1"/>
  <c r="N2787" i="1" s="1"/>
  <c r="L2788" i="1"/>
  <c r="N2788" i="1" s="1"/>
  <c r="L2789" i="1"/>
  <c r="N2789" i="1" s="1"/>
  <c r="L2790" i="1"/>
  <c r="N2790" i="1" s="1"/>
  <c r="L2791" i="1"/>
  <c r="N2791" i="1" s="1"/>
  <c r="L2792" i="1"/>
  <c r="N2792" i="1" s="1"/>
  <c r="L2793" i="1"/>
  <c r="N2793" i="1" s="1"/>
  <c r="L2794" i="1"/>
  <c r="N2794" i="1" s="1"/>
  <c r="L2795" i="1"/>
  <c r="N2795" i="1" s="1"/>
  <c r="L2796" i="1"/>
  <c r="N2796" i="1" s="1"/>
  <c r="L2797" i="1"/>
  <c r="N2797" i="1" s="1"/>
  <c r="L2798" i="1"/>
  <c r="N2798" i="1" s="1"/>
  <c r="L2799" i="1"/>
  <c r="N2799" i="1" s="1"/>
  <c r="L2800" i="1"/>
  <c r="N2800" i="1" s="1"/>
  <c r="L2801" i="1"/>
  <c r="N2801" i="1" s="1"/>
  <c r="L2802" i="1"/>
  <c r="N2802" i="1" s="1"/>
  <c r="L2803" i="1"/>
  <c r="N2803" i="1" s="1"/>
  <c r="L2804" i="1"/>
  <c r="N2804" i="1" s="1"/>
  <c r="L2805" i="1"/>
  <c r="N2805" i="1" s="1"/>
  <c r="L2806" i="1"/>
  <c r="N2806" i="1" s="1"/>
  <c r="L2807" i="1"/>
  <c r="N2807" i="1" s="1"/>
  <c r="L2808" i="1"/>
  <c r="N2808" i="1" s="1"/>
  <c r="L2809" i="1"/>
  <c r="N2809" i="1" s="1"/>
  <c r="L2810" i="1"/>
  <c r="N2810" i="1" s="1"/>
  <c r="L2811" i="1"/>
  <c r="N2811" i="1" s="1"/>
  <c r="L2812" i="1"/>
  <c r="N2812" i="1" s="1"/>
  <c r="L2813" i="1"/>
  <c r="N2813" i="1" s="1"/>
  <c r="L2814" i="1"/>
  <c r="N2814" i="1" s="1"/>
  <c r="L2815" i="1"/>
  <c r="N2815" i="1" s="1"/>
  <c r="L2816" i="1"/>
  <c r="N2816" i="1" s="1"/>
  <c r="L2817" i="1"/>
  <c r="N2817" i="1" s="1"/>
  <c r="L2818" i="1"/>
  <c r="N2818" i="1" s="1"/>
  <c r="L2819" i="1"/>
  <c r="N2819" i="1" s="1"/>
  <c r="L2820" i="1"/>
  <c r="N2820" i="1" s="1"/>
  <c r="L2821" i="1"/>
  <c r="N2821" i="1" s="1"/>
  <c r="L2822" i="1"/>
  <c r="N2822" i="1" s="1"/>
  <c r="L2823" i="1"/>
  <c r="N2823" i="1" s="1"/>
  <c r="L2824" i="1"/>
  <c r="N2824" i="1" s="1"/>
  <c r="L2825" i="1"/>
  <c r="N2825" i="1" s="1"/>
  <c r="L2826" i="1"/>
  <c r="N2826" i="1" s="1"/>
  <c r="L2827" i="1"/>
  <c r="N2827" i="1" s="1"/>
  <c r="L2828" i="1"/>
  <c r="N2828" i="1" s="1"/>
  <c r="L2829" i="1"/>
  <c r="N2829" i="1" s="1"/>
  <c r="L2830" i="1"/>
  <c r="N2830" i="1" s="1"/>
  <c r="L9" i="1"/>
  <c r="N9" i="1" s="1"/>
  <c r="L10" i="1"/>
  <c r="N10" i="1" s="1"/>
  <c r="L11" i="1"/>
  <c r="N11" i="1" s="1"/>
  <c r="L12" i="1"/>
  <c r="N12" i="1" s="1"/>
  <c r="L13" i="1"/>
  <c r="N13" i="1" s="1"/>
  <c r="L14" i="1"/>
  <c r="N14" i="1" s="1"/>
  <c r="L15" i="1"/>
  <c r="N15" i="1" s="1"/>
  <c r="L16" i="1"/>
  <c r="N16" i="1" s="1"/>
  <c r="L17" i="1"/>
  <c r="N17" i="1" s="1"/>
  <c r="L18" i="1"/>
  <c r="N18" i="1" s="1"/>
  <c r="L19" i="1"/>
  <c r="N19" i="1" s="1"/>
  <c r="L20" i="1"/>
  <c r="N20" i="1" s="1"/>
  <c r="L21" i="1"/>
  <c r="N21" i="1" s="1"/>
  <c r="L22" i="1"/>
  <c r="N22" i="1" s="1"/>
  <c r="L23" i="1"/>
  <c r="N23" i="1" s="1"/>
  <c r="L24" i="1"/>
  <c r="N24" i="1" s="1"/>
  <c r="L25" i="1"/>
  <c r="N25" i="1" s="1"/>
  <c r="L26" i="1"/>
  <c r="N26" i="1" s="1"/>
  <c r="L27" i="1"/>
  <c r="N27" i="1" s="1"/>
  <c r="L28" i="1"/>
  <c r="N28" i="1" s="1"/>
  <c r="L29" i="1"/>
  <c r="N29" i="1" s="1"/>
  <c r="L30" i="1"/>
  <c r="N30" i="1" s="1"/>
  <c r="L31" i="1"/>
  <c r="N31" i="1" s="1"/>
  <c r="L32" i="1"/>
  <c r="N32" i="1" s="1"/>
  <c r="L33" i="1"/>
  <c r="N33" i="1" s="1"/>
  <c r="L34" i="1"/>
  <c r="N34" i="1" s="1"/>
  <c r="L35" i="1"/>
  <c r="N35" i="1" s="1"/>
  <c r="L36" i="1"/>
  <c r="N36" i="1" s="1"/>
  <c r="L37" i="1"/>
  <c r="N37" i="1" s="1"/>
  <c r="L38" i="1"/>
  <c r="N38" i="1" s="1"/>
  <c r="L39" i="1"/>
  <c r="N39" i="1" s="1"/>
  <c r="L40" i="1"/>
  <c r="N40" i="1" s="1"/>
  <c r="L41" i="1"/>
  <c r="N41" i="1" s="1"/>
  <c r="L42" i="1"/>
  <c r="N42" i="1" s="1"/>
  <c r="L43" i="1"/>
  <c r="N43" i="1" s="1"/>
  <c r="L44" i="1"/>
  <c r="N44" i="1" s="1"/>
  <c r="L45" i="1"/>
  <c r="N45" i="1" s="1"/>
  <c r="L46" i="1"/>
  <c r="N46" i="1" s="1"/>
  <c r="L47" i="1"/>
  <c r="N47" i="1" s="1"/>
  <c r="L48" i="1"/>
  <c r="N48" i="1" s="1"/>
  <c r="L49" i="1"/>
  <c r="N49" i="1" s="1"/>
  <c r="L50" i="1"/>
  <c r="N50" i="1" s="1"/>
  <c r="L51" i="1"/>
  <c r="N51" i="1" s="1"/>
  <c r="L52" i="1"/>
  <c r="N52" i="1" s="1"/>
  <c r="L53" i="1"/>
  <c r="N53" i="1" s="1"/>
  <c r="L54" i="1"/>
  <c r="N54" i="1" s="1"/>
  <c r="L55" i="1"/>
  <c r="N55" i="1" s="1"/>
  <c r="L56" i="1"/>
  <c r="N56" i="1" s="1"/>
  <c r="L57" i="1"/>
  <c r="N57" i="1" s="1"/>
  <c r="L58" i="1"/>
  <c r="N58" i="1" s="1"/>
  <c r="L59" i="1"/>
  <c r="N59" i="1" s="1"/>
  <c r="L60" i="1"/>
  <c r="N60" i="1" s="1"/>
  <c r="L61" i="1"/>
  <c r="N61" i="1" s="1"/>
  <c r="L62" i="1"/>
  <c r="N62" i="1" s="1"/>
  <c r="L63" i="1"/>
  <c r="N63" i="1" s="1"/>
  <c r="L64" i="1"/>
  <c r="N64" i="1" s="1"/>
  <c r="L65" i="1"/>
  <c r="N65" i="1" s="1"/>
  <c r="L66" i="1"/>
  <c r="N66" i="1" s="1"/>
  <c r="L67" i="1"/>
  <c r="N67" i="1" s="1"/>
  <c r="L68" i="1"/>
  <c r="N68" i="1" s="1"/>
  <c r="L69" i="1"/>
  <c r="N69" i="1" s="1"/>
  <c r="L70" i="1"/>
  <c r="N70" i="1" s="1"/>
  <c r="L71" i="1"/>
  <c r="N71" i="1" s="1"/>
  <c r="L72" i="1"/>
  <c r="N72" i="1" s="1"/>
  <c r="L73" i="1"/>
  <c r="N73" i="1" s="1"/>
  <c r="L74" i="1"/>
  <c r="N74" i="1" s="1"/>
  <c r="L75" i="1"/>
  <c r="N75" i="1" s="1"/>
  <c r="L76" i="1"/>
  <c r="N76" i="1" s="1"/>
  <c r="L77" i="1"/>
  <c r="N77" i="1" s="1"/>
  <c r="L78" i="1"/>
  <c r="N78" i="1" s="1"/>
  <c r="L79" i="1"/>
  <c r="N79" i="1" s="1"/>
  <c r="L80" i="1"/>
  <c r="N80" i="1" s="1"/>
  <c r="L81" i="1"/>
  <c r="N81" i="1" s="1"/>
  <c r="L82" i="1"/>
  <c r="N82" i="1" s="1"/>
  <c r="L83" i="1"/>
  <c r="N83" i="1" s="1"/>
  <c r="L84" i="1"/>
  <c r="N84" i="1" s="1"/>
  <c r="L85" i="1"/>
  <c r="N85" i="1" s="1"/>
  <c r="L86" i="1"/>
  <c r="N86" i="1" s="1"/>
  <c r="L87" i="1"/>
  <c r="N87" i="1" s="1"/>
  <c r="L88" i="1"/>
  <c r="N88" i="1" s="1"/>
  <c r="L89" i="1"/>
  <c r="N89" i="1" s="1"/>
  <c r="L90" i="1"/>
  <c r="N90" i="1" s="1"/>
  <c r="L91" i="1"/>
  <c r="N91" i="1" s="1"/>
  <c r="L92" i="1"/>
  <c r="N92" i="1" s="1"/>
  <c r="L93" i="1"/>
  <c r="N93" i="1" s="1"/>
  <c r="L94" i="1"/>
  <c r="N94" i="1" s="1"/>
  <c r="L95" i="1"/>
  <c r="N95" i="1" s="1"/>
  <c r="L96" i="1"/>
  <c r="N96" i="1" s="1"/>
  <c r="L97" i="1"/>
  <c r="N97" i="1" s="1"/>
  <c r="L98" i="1"/>
  <c r="N98" i="1" s="1"/>
  <c r="L99" i="1"/>
  <c r="N99" i="1" s="1"/>
  <c r="L100" i="1"/>
  <c r="N100" i="1" s="1"/>
  <c r="L101" i="1"/>
  <c r="N101" i="1" s="1"/>
  <c r="L102" i="1"/>
  <c r="N102" i="1" s="1"/>
  <c r="L103" i="1"/>
  <c r="N103" i="1" s="1"/>
  <c r="L104" i="1"/>
  <c r="N104" i="1" s="1"/>
  <c r="L105" i="1"/>
  <c r="N105" i="1" s="1"/>
  <c r="L106" i="1"/>
  <c r="N106" i="1" s="1"/>
  <c r="L107" i="1"/>
  <c r="N107" i="1" s="1"/>
  <c r="L108" i="1"/>
  <c r="N108" i="1" s="1"/>
  <c r="L109" i="1"/>
  <c r="N109" i="1" s="1"/>
  <c r="L110" i="1"/>
  <c r="N110" i="1" s="1"/>
  <c r="L111" i="1"/>
  <c r="N111" i="1" s="1"/>
  <c r="L112" i="1"/>
  <c r="N112" i="1" s="1"/>
  <c r="L113" i="1"/>
  <c r="N113" i="1" s="1"/>
  <c r="L114" i="1"/>
  <c r="N114" i="1" s="1"/>
  <c r="L115" i="1"/>
  <c r="N115" i="1" s="1"/>
  <c r="L116" i="1"/>
  <c r="N116" i="1" s="1"/>
  <c r="L117" i="1"/>
  <c r="N117" i="1" s="1"/>
  <c r="L118" i="1"/>
  <c r="N118" i="1" s="1"/>
  <c r="L119" i="1"/>
  <c r="N119" i="1" s="1"/>
  <c r="L120" i="1"/>
  <c r="N120" i="1" s="1"/>
  <c r="L121" i="1"/>
  <c r="N121" i="1" s="1"/>
  <c r="L122" i="1"/>
  <c r="N122" i="1" s="1"/>
  <c r="L123" i="1"/>
  <c r="N123" i="1" s="1"/>
  <c r="L124" i="1"/>
  <c r="N124" i="1" s="1"/>
  <c r="L125" i="1"/>
  <c r="N125" i="1" s="1"/>
  <c r="L126" i="1"/>
  <c r="N126" i="1" s="1"/>
  <c r="L127" i="1"/>
  <c r="N127" i="1" s="1"/>
  <c r="L128" i="1"/>
  <c r="N128" i="1" s="1"/>
  <c r="L129" i="1"/>
  <c r="N129" i="1" s="1"/>
  <c r="L130" i="1"/>
  <c r="N130" i="1" s="1"/>
  <c r="L131" i="1"/>
  <c r="N131" i="1" s="1"/>
  <c r="L132" i="1"/>
  <c r="N132" i="1" s="1"/>
  <c r="L133" i="1"/>
  <c r="N133" i="1" s="1"/>
  <c r="L134" i="1"/>
  <c r="N134" i="1" s="1"/>
  <c r="L135" i="1"/>
  <c r="N135" i="1" s="1"/>
  <c r="L136" i="1"/>
  <c r="N136" i="1" s="1"/>
  <c r="L137" i="1"/>
  <c r="N137" i="1" s="1"/>
  <c r="L138" i="1"/>
  <c r="N138" i="1" s="1"/>
  <c r="L139" i="1"/>
  <c r="N139" i="1" s="1"/>
  <c r="L140" i="1"/>
  <c r="N140" i="1" s="1"/>
  <c r="L141" i="1"/>
  <c r="N141" i="1" s="1"/>
  <c r="L142" i="1"/>
  <c r="N142" i="1" s="1"/>
  <c r="L143" i="1"/>
  <c r="N143" i="1" s="1"/>
  <c r="L144" i="1"/>
  <c r="N144" i="1" s="1"/>
  <c r="L145" i="1"/>
  <c r="N145" i="1" s="1"/>
  <c r="L146" i="1"/>
  <c r="N146" i="1" s="1"/>
  <c r="L147" i="1"/>
  <c r="N147" i="1" s="1"/>
  <c r="L148" i="1"/>
  <c r="N148" i="1" s="1"/>
  <c r="L149" i="1"/>
  <c r="N149" i="1" s="1"/>
  <c r="L150" i="1"/>
  <c r="N150" i="1" s="1"/>
  <c r="L151" i="1"/>
  <c r="N151" i="1" s="1"/>
  <c r="L152" i="1"/>
  <c r="N152" i="1" s="1"/>
  <c r="L153" i="1"/>
  <c r="N153" i="1" s="1"/>
  <c r="L154" i="1"/>
  <c r="N154" i="1" s="1"/>
  <c r="L155" i="1"/>
  <c r="N155" i="1" s="1"/>
  <c r="L156" i="1"/>
  <c r="N156" i="1" s="1"/>
  <c r="L157" i="1"/>
  <c r="N157" i="1" s="1"/>
  <c r="L158" i="1"/>
  <c r="N158" i="1" s="1"/>
  <c r="L159" i="1"/>
  <c r="N159" i="1" s="1"/>
  <c r="L160" i="1"/>
  <c r="N160" i="1" s="1"/>
  <c r="L161" i="1"/>
  <c r="N161" i="1" s="1"/>
  <c r="L162" i="1"/>
  <c r="N162" i="1" s="1"/>
  <c r="L163" i="1"/>
  <c r="N163" i="1" s="1"/>
  <c r="L164" i="1"/>
  <c r="N164" i="1" s="1"/>
  <c r="L165" i="1"/>
  <c r="N165" i="1" s="1"/>
  <c r="L166" i="1"/>
  <c r="N166" i="1" s="1"/>
  <c r="L167" i="1"/>
  <c r="N167" i="1" s="1"/>
  <c r="L168" i="1"/>
  <c r="N168" i="1" s="1"/>
  <c r="L169" i="1"/>
  <c r="N169" i="1" s="1"/>
  <c r="L170" i="1"/>
  <c r="N170" i="1" s="1"/>
  <c r="L171" i="1"/>
  <c r="N171" i="1" s="1"/>
  <c r="L172" i="1"/>
  <c r="N172" i="1" s="1"/>
  <c r="L173" i="1"/>
  <c r="N173" i="1" s="1"/>
  <c r="L174" i="1"/>
  <c r="N174" i="1" s="1"/>
  <c r="L175" i="1"/>
  <c r="N175" i="1" s="1"/>
  <c r="L176" i="1"/>
  <c r="N176" i="1" s="1"/>
  <c r="L177" i="1"/>
  <c r="N177" i="1" s="1"/>
  <c r="L178" i="1"/>
  <c r="N178" i="1" s="1"/>
  <c r="L179" i="1"/>
  <c r="N179" i="1" s="1"/>
  <c r="L180" i="1"/>
  <c r="N180" i="1" s="1"/>
  <c r="L181" i="1"/>
  <c r="N181" i="1" s="1"/>
  <c r="L182" i="1"/>
  <c r="N182" i="1" s="1"/>
  <c r="L183" i="1"/>
  <c r="N183" i="1" s="1"/>
  <c r="L184" i="1"/>
  <c r="N184" i="1" s="1"/>
  <c r="L185" i="1"/>
  <c r="N185" i="1" s="1"/>
  <c r="L186" i="1"/>
  <c r="N186" i="1" s="1"/>
  <c r="L187" i="1"/>
  <c r="N187" i="1" s="1"/>
  <c r="L188" i="1"/>
  <c r="N188" i="1" s="1"/>
  <c r="L189" i="1"/>
  <c r="N189" i="1" s="1"/>
  <c r="L190" i="1"/>
  <c r="N190" i="1" s="1"/>
  <c r="L191" i="1"/>
  <c r="N191" i="1" s="1"/>
  <c r="L192" i="1"/>
  <c r="N192" i="1" s="1"/>
  <c r="L193" i="1"/>
  <c r="N193" i="1" s="1"/>
  <c r="L194" i="1"/>
  <c r="N194" i="1" s="1"/>
  <c r="L195" i="1"/>
  <c r="N195" i="1" s="1"/>
  <c r="L196" i="1"/>
  <c r="N196" i="1" s="1"/>
  <c r="L197" i="1"/>
  <c r="N197" i="1" s="1"/>
  <c r="L198" i="1"/>
  <c r="N198" i="1" s="1"/>
  <c r="L199" i="1"/>
  <c r="N199" i="1" s="1"/>
  <c r="L200" i="1"/>
  <c r="N200" i="1" s="1"/>
  <c r="L201" i="1"/>
  <c r="N201" i="1" s="1"/>
  <c r="L202" i="1"/>
  <c r="N202" i="1" s="1"/>
  <c r="L203" i="1"/>
  <c r="N203" i="1" s="1"/>
  <c r="L204" i="1"/>
  <c r="N204" i="1" s="1"/>
  <c r="L205" i="1"/>
  <c r="N205" i="1" s="1"/>
  <c r="L206" i="1"/>
  <c r="N206" i="1" s="1"/>
  <c r="L207" i="1"/>
  <c r="N207" i="1" s="1"/>
  <c r="L208" i="1"/>
  <c r="N208" i="1" s="1"/>
  <c r="L209" i="1"/>
  <c r="N209" i="1" s="1"/>
  <c r="L210" i="1"/>
  <c r="N210" i="1" s="1"/>
  <c r="L211" i="1"/>
  <c r="N211" i="1" s="1"/>
  <c r="L212" i="1"/>
  <c r="N212" i="1" s="1"/>
  <c r="L213" i="1"/>
  <c r="N213" i="1" s="1"/>
  <c r="L214" i="1"/>
  <c r="N214" i="1" s="1"/>
  <c r="L215" i="1"/>
  <c r="N215" i="1" s="1"/>
  <c r="L216" i="1"/>
  <c r="N216" i="1" s="1"/>
  <c r="L217" i="1"/>
  <c r="N217" i="1" s="1"/>
  <c r="L218" i="1"/>
  <c r="N218" i="1" s="1"/>
  <c r="L219" i="1"/>
  <c r="N219" i="1" s="1"/>
  <c r="L220" i="1"/>
  <c r="N220" i="1" s="1"/>
  <c r="L221" i="1"/>
  <c r="N221" i="1" s="1"/>
  <c r="L222" i="1"/>
  <c r="N222" i="1" s="1"/>
  <c r="L223" i="1"/>
  <c r="N223" i="1" s="1"/>
  <c r="L224" i="1"/>
  <c r="N224" i="1" s="1"/>
  <c r="L225" i="1"/>
  <c r="N225" i="1" s="1"/>
  <c r="L226" i="1"/>
  <c r="N226" i="1" s="1"/>
  <c r="L227" i="1"/>
  <c r="N227" i="1" s="1"/>
  <c r="L228" i="1"/>
  <c r="N228" i="1" s="1"/>
  <c r="L229" i="1"/>
  <c r="N229" i="1" s="1"/>
  <c r="L230" i="1"/>
  <c r="N230" i="1" s="1"/>
  <c r="L231" i="1"/>
  <c r="N231" i="1" s="1"/>
  <c r="L232" i="1"/>
  <c r="N232" i="1" s="1"/>
  <c r="L233" i="1"/>
  <c r="N233" i="1" s="1"/>
  <c r="L234" i="1"/>
  <c r="N234" i="1" s="1"/>
  <c r="L235" i="1"/>
  <c r="N235" i="1" s="1"/>
  <c r="L236" i="1"/>
  <c r="N236" i="1" s="1"/>
  <c r="L237" i="1"/>
  <c r="N237" i="1" s="1"/>
  <c r="L238" i="1"/>
  <c r="N238" i="1" s="1"/>
  <c r="L239" i="1"/>
  <c r="N239" i="1" s="1"/>
  <c r="L240" i="1"/>
  <c r="N240" i="1" s="1"/>
  <c r="L241" i="1"/>
  <c r="N241" i="1" s="1"/>
  <c r="L242" i="1"/>
  <c r="N242" i="1" s="1"/>
  <c r="L243" i="1"/>
  <c r="N243" i="1" s="1"/>
  <c r="L244" i="1"/>
  <c r="N244" i="1" s="1"/>
  <c r="L245" i="1"/>
  <c r="N245" i="1" s="1"/>
  <c r="L246" i="1"/>
  <c r="N246" i="1" s="1"/>
  <c r="L247" i="1"/>
  <c r="N247" i="1" s="1"/>
  <c r="L248" i="1"/>
  <c r="N248" i="1" s="1"/>
  <c r="L249" i="1"/>
  <c r="N249" i="1" s="1"/>
  <c r="L250" i="1"/>
  <c r="N250" i="1" s="1"/>
  <c r="L251" i="1"/>
  <c r="N251" i="1" s="1"/>
  <c r="L252" i="1"/>
  <c r="N252" i="1" s="1"/>
  <c r="L253" i="1"/>
  <c r="N253" i="1" s="1"/>
  <c r="L254" i="1"/>
  <c r="N254" i="1" s="1"/>
  <c r="L255" i="1"/>
  <c r="N255" i="1" s="1"/>
  <c r="L256" i="1"/>
  <c r="N256" i="1" s="1"/>
  <c r="L257" i="1"/>
  <c r="N257" i="1" s="1"/>
  <c r="L258" i="1"/>
  <c r="N258" i="1" s="1"/>
  <c r="L259" i="1"/>
  <c r="N259" i="1" s="1"/>
  <c r="L260" i="1"/>
  <c r="N260" i="1" s="1"/>
  <c r="L261" i="1"/>
  <c r="N261" i="1" s="1"/>
  <c r="L262" i="1"/>
  <c r="N262" i="1" s="1"/>
  <c r="L263" i="1"/>
  <c r="N263" i="1" s="1"/>
  <c r="L264" i="1"/>
  <c r="N264" i="1" s="1"/>
  <c r="L265" i="1"/>
  <c r="N265" i="1" s="1"/>
  <c r="L266" i="1"/>
  <c r="N266" i="1" s="1"/>
  <c r="L267" i="1"/>
  <c r="N267" i="1" s="1"/>
  <c r="L268" i="1"/>
  <c r="N268" i="1" s="1"/>
  <c r="L269" i="1"/>
  <c r="N269" i="1" s="1"/>
  <c r="L270" i="1"/>
  <c r="N270" i="1" s="1"/>
  <c r="L271" i="1"/>
  <c r="N271" i="1" s="1"/>
  <c r="L272" i="1"/>
  <c r="N272" i="1" s="1"/>
  <c r="L273" i="1"/>
  <c r="N273" i="1" s="1"/>
  <c r="L274" i="1"/>
  <c r="N274" i="1" s="1"/>
  <c r="L275" i="1"/>
  <c r="N275" i="1" s="1"/>
  <c r="L276" i="1"/>
  <c r="N276" i="1" s="1"/>
  <c r="L277" i="1"/>
  <c r="N277" i="1" s="1"/>
  <c r="L278" i="1"/>
  <c r="N278" i="1" s="1"/>
  <c r="L279" i="1"/>
  <c r="N279" i="1" s="1"/>
  <c r="L280" i="1"/>
  <c r="N280" i="1" s="1"/>
  <c r="L281" i="1"/>
  <c r="N281" i="1" s="1"/>
  <c r="L282" i="1"/>
  <c r="N282" i="1" s="1"/>
  <c r="L283" i="1"/>
  <c r="N283" i="1" s="1"/>
  <c r="L284" i="1"/>
  <c r="N284" i="1" s="1"/>
  <c r="L285" i="1"/>
  <c r="N285" i="1" s="1"/>
  <c r="L286" i="1"/>
  <c r="N286" i="1" s="1"/>
  <c r="L287" i="1"/>
  <c r="N287" i="1" s="1"/>
  <c r="L288" i="1"/>
  <c r="N288" i="1" s="1"/>
  <c r="L289" i="1"/>
  <c r="N289" i="1" s="1"/>
  <c r="L290" i="1"/>
  <c r="N290" i="1" s="1"/>
  <c r="L291" i="1"/>
  <c r="N291" i="1" s="1"/>
  <c r="L292" i="1"/>
  <c r="N292" i="1" s="1"/>
  <c r="L293" i="1"/>
  <c r="N293" i="1" s="1"/>
  <c r="L294" i="1"/>
  <c r="N294" i="1" s="1"/>
  <c r="L295" i="1"/>
  <c r="N295" i="1" s="1"/>
  <c r="L296" i="1"/>
  <c r="N296" i="1" s="1"/>
  <c r="L297" i="1"/>
  <c r="N297" i="1" s="1"/>
  <c r="L298" i="1"/>
  <c r="N298" i="1" s="1"/>
  <c r="L299" i="1"/>
  <c r="N299" i="1" s="1"/>
  <c r="L300" i="1"/>
  <c r="N300" i="1" s="1"/>
  <c r="L301" i="1"/>
  <c r="N301" i="1" s="1"/>
  <c r="L302" i="1"/>
  <c r="N302" i="1" s="1"/>
  <c r="L303" i="1"/>
  <c r="N303" i="1" s="1"/>
  <c r="L304" i="1"/>
  <c r="N304" i="1" s="1"/>
  <c r="L305" i="1"/>
  <c r="N305" i="1" s="1"/>
  <c r="L306" i="1"/>
  <c r="N306" i="1" s="1"/>
  <c r="L307" i="1"/>
  <c r="N307" i="1" s="1"/>
  <c r="L308" i="1"/>
  <c r="N308" i="1" s="1"/>
  <c r="L309" i="1"/>
  <c r="N309" i="1" s="1"/>
  <c r="L310" i="1"/>
  <c r="N310" i="1" s="1"/>
  <c r="L311" i="1"/>
  <c r="N311" i="1" s="1"/>
  <c r="L312" i="1"/>
  <c r="N312" i="1" s="1"/>
  <c r="L313" i="1"/>
  <c r="N313" i="1" s="1"/>
  <c r="L314" i="1"/>
  <c r="N314" i="1" s="1"/>
  <c r="L315" i="1"/>
  <c r="N315" i="1" s="1"/>
  <c r="L316" i="1"/>
  <c r="N316" i="1" s="1"/>
  <c r="L317" i="1"/>
  <c r="N317" i="1" s="1"/>
  <c r="L318" i="1"/>
  <c r="N318" i="1" s="1"/>
  <c r="L319" i="1"/>
  <c r="N319" i="1" s="1"/>
  <c r="L320" i="1"/>
  <c r="N320" i="1" s="1"/>
  <c r="L321" i="1"/>
  <c r="N321" i="1" s="1"/>
  <c r="L322" i="1"/>
  <c r="N322" i="1" s="1"/>
  <c r="L323" i="1"/>
  <c r="N323" i="1" s="1"/>
  <c r="L324" i="1"/>
  <c r="N324" i="1" s="1"/>
  <c r="L325" i="1"/>
  <c r="N325" i="1" s="1"/>
  <c r="L326" i="1"/>
  <c r="N326" i="1" s="1"/>
  <c r="L327" i="1"/>
  <c r="N327" i="1" s="1"/>
  <c r="L328" i="1"/>
  <c r="N328" i="1" s="1"/>
  <c r="L329" i="1"/>
  <c r="N329" i="1" s="1"/>
  <c r="L330" i="1"/>
  <c r="N330" i="1" s="1"/>
  <c r="L331" i="1"/>
  <c r="N331" i="1" s="1"/>
  <c r="L332" i="1"/>
  <c r="N332" i="1" s="1"/>
  <c r="L333" i="1"/>
  <c r="N333" i="1" s="1"/>
  <c r="L334" i="1"/>
  <c r="N334" i="1" s="1"/>
  <c r="L335" i="1"/>
  <c r="N335" i="1" s="1"/>
  <c r="L336" i="1"/>
  <c r="N336" i="1" s="1"/>
  <c r="L337" i="1"/>
  <c r="N337" i="1" s="1"/>
  <c r="L338" i="1"/>
  <c r="N338" i="1" s="1"/>
  <c r="L339" i="1"/>
  <c r="N339" i="1" s="1"/>
  <c r="L340" i="1"/>
  <c r="N340" i="1" s="1"/>
  <c r="L341" i="1"/>
  <c r="N341" i="1" s="1"/>
  <c r="L342" i="1"/>
  <c r="N342" i="1" s="1"/>
  <c r="L343" i="1"/>
  <c r="N343" i="1" s="1"/>
  <c r="L344" i="1"/>
  <c r="N344" i="1" s="1"/>
  <c r="L345" i="1"/>
  <c r="N345" i="1" s="1"/>
  <c r="L346" i="1"/>
  <c r="N346" i="1" s="1"/>
  <c r="L347" i="1"/>
  <c r="N347" i="1" s="1"/>
  <c r="L348" i="1"/>
  <c r="N348" i="1" s="1"/>
  <c r="L349" i="1"/>
  <c r="N349" i="1" s="1"/>
  <c r="L350" i="1"/>
  <c r="N350" i="1" s="1"/>
  <c r="L351" i="1"/>
  <c r="N351" i="1" s="1"/>
  <c r="L352" i="1"/>
  <c r="N352" i="1" s="1"/>
  <c r="L353" i="1"/>
  <c r="N353" i="1" s="1"/>
  <c r="L354" i="1"/>
  <c r="N354" i="1" s="1"/>
  <c r="L355" i="1"/>
  <c r="N355" i="1" s="1"/>
  <c r="L356" i="1"/>
  <c r="N356" i="1" s="1"/>
  <c r="L357" i="1"/>
  <c r="N357" i="1" s="1"/>
  <c r="L358" i="1"/>
  <c r="N358" i="1" s="1"/>
  <c r="L359" i="1"/>
  <c r="N359" i="1" s="1"/>
  <c r="L360" i="1"/>
  <c r="N360" i="1" s="1"/>
  <c r="L361" i="1"/>
  <c r="N361" i="1" s="1"/>
  <c r="L362" i="1"/>
  <c r="N362" i="1" s="1"/>
  <c r="L363" i="1"/>
  <c r="N363" i="1" s="1"/>
  <c r="L364" i="1"/>
  <c r="N364" i="1" s="1"/>
  <c r="L365" i="1"/>
  <c r="N365" i="1" s="1"/>
  <c r="L366" i="1"/>
  <c r="N366" i="1" s="1"/>
  <c r="L367" i="1"/>
  <c r="N367" i="1" s="1"/>
  <c r="L368" i="1"/>
  <c r="N368" i="1" s="1"/>
  <c r="L369" i="1"/>
  <c r="N369" i="1" s="1"/>
  <c r="L370" i="1"/>
  <c r="N370" i="1" s="1"/>
  <c r="L371" i="1"/>
  <c r="N371" i="1" s="1"/>
  <c r="L372" i="1"/>
  <c r="N372" i="1" s="1"/>
  <c r="L373" i="1"/>
  <c r="N373" i="1" s="1"/>
  <c r="L374" i="1"/>
  <c r="N374" i="1" s="1"/>
  <c r="L375" i="1"/>
  <c r="N375" i="1" s="1"/>
  <c r="L376" i="1"/>
  <c r="N376" i="1" s="1"/>
  <c r="L377" i="1"/>
  <c r="N377" i="1" s="1"/>
  <c r="L378" i="1"/>
  <c r="N378" i="1" s="1"/>
  <c r="L379" i="1"/>
  <c r="N379" i="1" s="1"/>
  <c r="L380" i="1"/>
  <c r="N380" i="1" s="1"/>
  <c r="L381" i="1"/>
  <c r="N381" i="1" s="1"/>
  <c r="L382" i="1"/>
  <c r="N382" i="1" s="1"/>
  <c r="L383" i="1"/>
  <c r="N383" i="1" s="1"/>
  <c r="L384" i="1"/>
  <c r="N384" i="1" s="1"/>
  <c r="L385" i="1"/>
  <c r="N385" i="1" s="1"/>
  <c r="L386" i="1"/>
  <c r="N386" i="1" s="1"/>
  <c r="L387" i="1"/>
  <c r="N387" i="1" s="1"/>
  <c r="L388" i="1"/>
  <c r="N388" i="1" s="1"/>
  <c r="L389" i="1"/>
  <c r="N389" i="1" s="1"/>
  <c r="L390" i="1"/>
  <c r="N390" i="1" s="1"/>
  <c r="L391" i="1"/>
  <c r="N391" i="1" s="1"/>
  <c r="L392" i="1"/>
  <c r="N392" i="1" s="1"/>
  <c r="L393" i="1"/>
  <c r="N393" i="1" s="1"/>
  <c r="L394" i="1"/>
  <c r="N394" i="1" s="1"/>
  <c r="L395" i="1"/>
  <c r="N395" i="1" s="1"/>
  <c r="L396" i="1"/>
  <c r="N396" i="1" s="1"/>
  <c r="L397" i="1"/>
  <c r="N397" i="1" s="1"/>
  <c r="L398" i="1"/>
  <c r="N398" i="1" s="1"/>
  <c r="L399" i="1"/>
  <c r="N399" i="1" s="1"/>
  <c r="L400" i="1"/>
  <c r="N400" i="1" s="1"/>
  <c r="L401" i="1"/>
  <c r="N401" i="1" s="1"/>
  <c r="L402" i="1"/>
  <c r="N402" i="1" s="1"/>
  <c r="L403" i="1"/>
  <c r="N403" i="1" s="1"/>
  <c r="L404" i="1"/>
  <c r="N404" i="1" s="1"/>
  <c r="L405" i="1"/>
  <c r="N405" i="1" s="1"/>
  <c r="L406" i="1"/>
  <c r="N406" i="1" s="1"/>
  <c r="L407" i="1"/>
  <c r="N407" i="1" s="1"/>
  <c r="L408" i="1"/>
  <c r="N408" i="1" s="1"/>
  <c r="L409" i="1"/>
  <c r="N409" i="1" s="1"/>
  <c r="L410" i="1"/>
  <c r="N410" i="1" s="1"/>
  <c r="L411" i="1"/>
  <c r="N411" i="1" s="1"/>
  <c r="L412" i="1"/>
  <c r="N412" i="1" s="1"/>
  <c r="L413" i="1"/>
  <c r="N413" i="1" s="1"/>
  <c r="L414" i="1"/>
  <c r="N414" i="1" s="1"/>
  <c r="L415" i="1"/>
  <c r="N415" i="1" s="1"/>
  <c r="L416" i="1"/>
  <c r="N416" i="1" s="1"/>
  <c r="L417" i="1"/>
  <c r="N417" i="1" s="1"/>
  <c r="L418" i="1"/>
  <c r="N418" i="1" s="1"/>
  <c r="L419" i="1"/>
  <c r="N419" i="1" s="1"/>
  <c r="L420" i="1"/>
  <c r="N420" i="1" s="1"/>
  <c r="L421" i="1"/>
  <c r="N421" i="1" s="1"/>
  <c r="L422" i="1"/>
  <c r="N422" i="1" s="1"/>
  <c r="L423" i="1"/>
  <c r="N423" i="1" s="1"/>
  <c r="L424" i="1"/>
  <c r="N424" i="1" s="1"/>
  <c r="L425" i="1"/>
  <c r="N425" i="1" s="1"/>
  <c r="L426" i="1"/>
  <c r="N426" i="1" s="1"/>
  <c r="L427" i="1"/>
  <c r="N427" i="1" s="1"/>
  <c r="L428" i="1"/>
  <c r="N428" i="1" s="1"/>
  <c r="L429" i="1"/>
  <c r="N429" i="1" s="1"/>
  <c r="L430" i="1"/>
  <c r="N430" i="1" s="1"/>
  <c r="L431" i="1"/>
  <c r="N431" i="1" s="1"/>
  <c r="L432" i="1"/>
  <c r="N432" i="1" s="1"/>
  <c r="L433" i="1"/>
  <c r="N433" i="1" s="1"/>
  <c r="L434" i="1"/>
  <c r="N434" i="1" s="1"/>
  <c r="L435" i="1"/>
  <c r="N435" i="1" s="1"/>
  <c r="L436" i="1"/>
  <c r="N436" i="1" s="1"/>
  <c r="L437" i="1"/>
  <c r="N437" i="1" s="1"/>
  <c r="L438" i="1"/>
  <c r="N438" i="1" s="1"/>
  <c r="L439" i="1"/>
  <c r="N439" i="1" s="1"/>
  <c r="L440" i="1"/>
  <c r="N440" i="1" s="1"/>
  <c r="L441" i="1"/>
  <c r="N441" i="1" s="1"/>
  <c r="L442" i="1"/>
  <c r="N442" i="1" s="1"/>
  <c r="L443" i="1"/>
  <c r="N443" i="1" s="1"/>
  <c r="L444" i="1"/>
  <c r="N444" i="1" s="1"/>
  <c r="L445" i="1"/>
  <c r="N445" i="1" s="1"/>
  <c r="L446" i="1"/>
  <c r="N446" i="1" s="1"/>
  <c r="L447" i="1"/>
  <c r="N447" i="1" s="1"/>
  <c r="L448" i="1"/>
  <c r="N448" i="1" s="1"/>
  <c r="L449" i="1"/>
  <c r="N449" i="1" s="1"/>
  <c r="L450" i="1"/>
  <c r="N450" i="1" s="1"/>
  <c r="L451" i="1"/>
  <c r="N451" i="1" s="1"/>
  <c r="L452" i="1"/>
  <c r="N452" i="1" s="1"/>
  <c r="L453" i="1"/>
  <c r="N453" i="1" s="1"/>
  <c r="L454" i="1"/>
  <c r="N454" i="1" s="1"/>
  <c r="L455" i="1"/>
  <c r="N455" i="1" s="1"/>
  <c r="L456" i="1"/>
  <c r="N456" i="1" s="1"/>
  <c r="L457" i="1"/>
  <c r="N457" i="1" s="1"/>
  <c r="L458" i="1"/>
  <c r="N458" i="1" s="1"/>
  <c r="L459" i="1"/>
  <c r="N459" i="1" s="1"/>
  <c r="L460" i="1"/>
  <c r="N460" i="1" s="1"/>
  <c r="L461" i="1"/>
  <c r="N461" i="1" s="1"/>
  <c r="L462" i="1"/>
  <c r="N462" i="1" s="1"/>
  <c r="L463" i="1"/>
  <c r="N463" i="1" s="1"/>
  <c r="L464" i="1"/>
  <c r="N464" i="1" s="1"/>
  <c r="L465" i="1"/>
  <c r="N465" i="1" s="1"/>
  <c r="L466" i="1"/>
  <c r="N466" i="1" s="1"/>
  <c r="L467" i="1"/>
  <c r="N467" i="1" s="1"/>
  <c r="L468" i="1"/>
  <c r="N468" i="1" s="1"/>
  <c r="L469" i="1"/>
  <c r="N469" i="1" s="1"/>
  <c r="L470" i="1"/>
  <c r="N470" i="1" s="1"/>
  <c r="L471" i="1"/>
  <c r="N471" i="1" s="1"/>
  <c r="L472" i="1"/>
  <c r="N472" i="1" s="1"/>
  <c r="L473" i="1"/>
  <c r="N473" i="1" s="1"/>
  <c r="L474" i="1"/>
  <c r="N474" i="1" s="1"/>
  <c r="L475" i="1"/>
  <c r="N475" i="1" s="1"/>
  <c r="L476" i="1"/>
  <c r="N476" i="1" s="1"/>
  <c r="L477" i="1"/>
  <c r="N477" i="1" s="1"/>
  <c r="L478" i="1"/>
  <c r="N478" i="1" s="1"/>
  <c r="L479" i="1"/>
  <c r="N479" i="1" s="1"/>
  <c r="L480" i="1"/>
  <c r="N480" i="1" s="1"/>
  <c r="L481" i="1"/>
  <c r="N481" i="1" s="1"/>
  <c r="L482" i="1"/>
  <c r="N482" i="1" s="1"/>
  <c r="L483" i="1"/>
  <c r="N483" i="1" s="1"/>
  <c r="L484" i="1"/>
  <c r="N484" i="1" s="1"/>
  <c r="L485" i="1"/>
  <c r="N485" i="1" s="1"/>
  <c r="L486" i="1"/>
  <c r="N486" i="1" s="1"/>
  <c r="L487" i="1"/>
  <c r="N487" i="1" s="1"/>
  <c r="L488" i="1"/>
  <c r="N488" i="1" s="1"/>
  <c r="L489" i="1"/>
  <c r="N489" i="1" s="1"/>
  <c r="L490" i="1"/>
  <c r="N490" i="1" s="1"/>
  <c r="L491" i="1"/>
  <c r="N491" i="1" s="1"/>
  <c r="L492" i="1"/>
  <c r="N492" i="1" s="1"/>
  <c r="L493" i="1"/>
  <c r="N493" i="1" s="1"/>
  <c r="L494" i="1"/>
  <c r="N494" i="1" s="1"/>
  <c r="L495" i="1"/>
  <c r="N495" i="1" s="1"/>
  <c r="L496" i="1"/>
  <c r="N496" i="1" s="1"/>
  <c r="L497" i="1"/>
  <c r="N497" i="1" s="1"/>
  <c r="L498" i="1"/>
  <c r="N498" i="1" s="1"/>
  <c r="L499" i="1"/>
  <c r="N499" i="1" s="1"/>
  <c r="L500" i="1"/>
  <c r="N500" i="1" s="1"/>
  <c r="L501" i="1"/>
  <c r="N501" i="1" s="1"/>
  <c r="L502" i="1"/>
  <c r="N502" i="1" s="1"/>
  <c r="L503" i="1"/>
  <c r="N503" i="1" s="1"/>
  <c r="L504" i="1"/>
  <c r="N504" i="1" s="1"/>
  <c r="L505" i="1"/>
  <c r="N505" i="1" s="1"/>
  <c r="L506" i="1"/>
  <c r="N506" i="1" s="1"/>
  <c r="L507" i="1"/>
  <c r="N507" i="1" s="1"/>
  <c r="L508" i="1"/>
  <c r="N508" i="1" s="1"/>
  <c r="L509" i="1"/>
  <c r="N509" i="1" s="1"/>
  <c r="L510" i="1"/>
  <c r="N510" i="1" s="1"/>
  <c r="L511" i="1"/>
  <c r="N511" i="1" s="1"/>
  <c r="L512" i="1"/>
  <c r="N512" i="1" s="1"/>
  <c r="L513" i="1"/>
  <c r="N513" i="1" s="1"/>
  <c r="L514" i="1"/>
  <c r="N514" i="1" s="1"/>
  <c r="L515" i="1"/>
  <c r="N515" i="1" s="1"/>
  <c r="L516" i="1"/>
  <c r="N516" i="1" s="1"/>
  <c r="L517" i="1"/>
  <c r="N517" i="1" s="1"/>
  <c r="L518" i="1"/>
  <c r="N518" i="1" s="1"/>
  <c r="L519" i="1"/>
  <c r="N519" i="1" s="1"/>
  <c r="L520" i="1"/>
  <c r="N520" i="1" s="1"/>
  <c r="L521" i="1"/>
  <c r="N521" i="1" s="1"/>
  <c r="L522" i="1"/>
  <c r="N522" i="1" s="1"/>
  <c r="L523" i="1"/>
  <c r="N523" i="1" s="1"/>
  <c r="L524" i="1"/>
  <c r="N524" i="1" s="1"/>
  <c r="L525" i="1"/>
  <c r="N525" i="1" s="1"/>
  <c r="L526" i="1"/>
  <c r="N526" i="1" s="1"/>
  <c r="L527" i="1"/>
  <c r="N527" i="1" s="1"/>
  <c r="L528" i="1"/>
  <c r="N528" i="1" s="1"/>
  <c r="L529" i="1"/>
  <c r="N529" i="1" s="1"/>
  <c r="L530" i="1"/>
  <c r="N530" i="1" s="1"/>
  <c r="L531" i="1"/>
  <c r="N531" i="1" s="1"/>
  <c r="L532" i="1"/>
  <c r="N532" i="1" s="1"/>
  <c r="L533" i="1"/>
  <c r="N533" i="1" s="1"/>
  <c r="L534" i="1"/>
  <c r="N534" i="1" s="1"/>
  <c r="L535" i="1"/>
  <c r="N535" i="1" s="1"/>
  <c r="L536" i="1"/>
  <c r="N536" i="1" s="1"/>
  <c r="L537" i="1"/>
  <c r="N537" i="1" s="1"/>
  <c r="L538" i="1"/>
  <c r="N538" i="1" s="1"/>
  <c r="L539" i="1"/>
  <c r="N539" i="1" s="1"/>
  <c r="L540" i="1"/>
  <c r="N540" i="1" s="1"/>
  <c r="L541" i="1"/>
  <c r="N541" i="1" s="1"/>
  <c r="L542" i="1"/>
  <c r="N542" i="1" s="1"/>
  <c r="L543" i="1"/>
  <c r="N543" i="1" s="1"/>
  <c r="L544" i="1"/>
  <c r="N544" i="1" s="1"/>
  <c r="L545" i="1"/>
  <c r="N545" i="1" s="1"/>
  <c r="L546" i="1"/>
  <c r="N546" i="1" s="1"/>
  <c r="L547" i="1"/>
  <c r="N547" i="1" s="1"/>
  <c r="L548" i="1"/>
  <c r="N548" i="1" s="1"/>
  <c r="L549" i="1"/>
  <c r="N549" i="1" s="1"/>
  <c r="L550" i="1"/>
  <c r="N550" i="1" s="1"/>
  <c r="L551" i="1"/>
  <c r="N551" i="1" s="1"/>
  <c r="L552" i="1"/>
  <c r="N552" i="1" s="1"/>
  <c r="L553" i="1"/>
  <c r="N553" i="1" s="1"/>
  <c r="L554" i="1"/>
  <c r="N554" i="1" s="1"/>
  <c r="L555" i="1"/>
  <c r="N555" i="1" s="1"/>
  <c r="L556" i="1"/>
  <c r="N556" i="1" s="1"/>
  <c r="L557" i="1"/>
  <c r="N557" i="1" s="1"/>
  <c r="L558" i="1"/>
  <c r="N558" i="1" s="1"/>
  <c r="L559" i="1"/>
  <c r="N559" i="1" s="1"/>
  <c r="L560" i="1"/>
  <c r="N560" i="1" s="1"/>
  <c r="L561" i="1"/>
  <c r="N561" i="1" s="1"/>
  <c r="L562" i="1"/>
  <c r="N562" i="1" s="1"/>
  <c r="L563" i="1"/>
  <c r="N563" i="1" s="1"/>
  <c r="L564" i="1"/>
  <c r="N564" i="1" s="1"/>
  <c r="L565" i="1"/>
  <c r="N565" i="1" s="1"/>
  <c r="L566" i="1"/>
  <c r="N566" i="1" s="1"/>
  <c r="L567" i="1"/>
  <c r="N567" i="1" s="1"/>
  <c r="L568" i="1"/>
  <c r="N568" i="1" s="1"/>
  <c r="L569" i="1"/>
  <c r="N569" i="1" s="1"/>
  <c r="L570" i="1"/>
  <c r="N570" i="1" s="1"/>
  <c r="L571" i="1"/>
  <c r="N571" i="1" s="1"/>
  <c r="L572" i="1"/>
  <c r="N572" i="1" s="1"/>
  <c r="L573" i="1"/>
  <c r="N573" i="1" s="1"/>
  <c r="L574" i="1"/>
  <c r="N574" i="1" s="1"/>
  <c r="L575" i="1"/>
  <c r="N575" i="1" s="1"/>
  <c r="L576" i="1"/>
  <c r="N576" i="1" s="1"/>
  <c r="L577" i="1"/>
  <c r="N577" i="1" s="1"/>
  <c r="L578" i="1"/>
  <c r="N578" i="1" s="1"/>
  <c r="L579" i="1"/>
  <c r="N579" i="1" s="1"/>
  <c r="L580" i="1"/>
  <c r="N580" i="1" s="1"/>
  <c r="L581" i="1"/>
  <c r="N581" i="1" s="1"/>
  <c r="L582" i="1"/>
  <c r="N582" i="1" s="1"/>
  <c r="L583" i="1"/>
  <c r="N583" i="1" s="1"/>
  <c r="L584" i="1"/>
  <c r="N584" i="1" s="1"/>
  <c r="L585" i="1"/>
  <c r="N585" i="1" s="1"/>
  <c r="L586" i="1"/>
  <c r="N586" i="1" s="1"/>
  <c r="L587" i="1"/>
  <c r="N587" i="1" s="1"/>
  <c r="L588" i="1"/>
  <c r="N588" i="1" s="1"/>
  <c r="L589" i="1"/>
  <c r="N589" i="1" s="1"/>
  <c r="L590" i="1"/>
  <c r="N590" i="1" s="1"/>
  <c r="L591" i="1"/>
  <c r="N591" i="1" s="1"/>
  <c r="L592" i="1"/>
  <c r="N592" i="1" s="1"/>
  <c r="L593" i="1"/>
  <c r="N593" i="1" s="1"/>
  <c r="L594" i="1"/>
  <c r="N594" i="1" s="1"/>
  <c r="L595" i="1"/>
  <c r="N595" i="1" s="1"/>
  <c r="L596" i="1"/>
  <c r="N596" i="1" s="1"/>
  <c r="L597" i="1"/>
  <c r="N597" i="1" s="1"/>
  <c r="L598" i="1"/>
  <c r="N598" i="1" s="1"/>
  <c r="L599" i="1"/>
  <c r="N599" i="1" s="1"/>
  <c r="L600" i="1"/>
  <c r="N600" i="1" s="1"/>
  <c r="L601" i="1"/>
  <c r="N601" i="1" s="1"/>
  <c r="L602" i="1"/>
  <c r="N602" i="1" s="1"/>
  <c r="L603" i="1"/>
  <c r="N603" i="1" s="1"/>
  <c r="L604" i="1"/>
  <c r="N604" i="1" s="1"/>
  <c r="L605" i="1"/>
  <c r="N605" i="1" s="1"/>
  <c r="L606" i="1"/>
  <c r="N606" i="1" s="1"/>
  <c r="L607" i="1"/>
  <c r="N607" i="1" s="1"/>
  <c r="L608" i="1"/>
  <c r="N608" i="1" s="1"/>
  <c r="L609" i="1"/>
  <c r="N609" i="1" s="1"/>
  <c r="L610" i="1"/>
  <c r="N610" i="1" s="1"/>
  <c r="L611" i="1"/>
  <c r="N611" i="1" s="1"/>
  <c r="L612" i="1"/>
  <c r="N612" i="1" s="1"/>
  <c r="L613" i="1"/>
  <c r="N613" i="1" s="1"/>
  <c r="L614" i="1"/>
  <c r="N614" i="1" s="1"/>
  <c r="L615" i="1"/>
  <c r="N615" i="1" s="1"/>
  <c r="L616" i="1"/>
  <c r="N616" i="1" s="1"/>
  <c r="L617" i="1"/>
  <c r="N617" i="1" s="1"/>
  <c r="L618" i="1"/>
  <c r="N618" i="1" s="1"/>
  <c r="L619" i="1"/>
  <c r="N619" i="1" s="1"/>
  <c r="L620" i="1"/>
  <c r="N620" i="1" s="1"/>
  <c r="L621" i="1"/>
  <c r="N621" i="1" s="1"/>
  <c r="L622" i="1"/>
  <c r="N622" i="1" s="1"/>
  <c r="L623" i="1"/>
  <c r="N623" i="1" s="1"/>
  <c r="L624" i="1"/>
  <c r="N624" i="1" s="1"/>
  <c r="L625" i="1"/>
  <c r="N625" i="1" s="1"/>
  <c r="L626" i="1"/>
  <c r="N626" i="1" s="1"/>
  <c r="L627" i="1"/>
  <c r="N627" i="1" s="1"/>
  <c r="L628" i="1"/>
  <c r="N628" i="1" s="1"/>
  <c r="L629" i="1"/>
  <c r="N629" i="1" s="1"/>
  <c r="L630" i="1"/>
  <c r="N630" i="1" s="1"/>
  <c r="L631" i="1"/>
  <c r="N631" i="1" s="1"/>
  <c r="L632" i="1"/>
  <c r="N632" i="1" s="1"/>
  <c r="L633" i="1"/>
  <c r="N633" i="1" s="1"/>
  <c r="L634" i="1"/>
  <c r="N634" i="1" s="1"/>
  <c r="L635" i="1"/>
  <c r="N635" i="1" s="1"/>
  <c r="L636" i="1"/>
  <c r="N636" i="1" s="1"/>
  <c r="L637" i="1"/>
  <c r="N637" i="1" s="1"/>
  <c r="L638" i="1"/>
  <c r="N638" i="1" s="1"/>
  <c r="L639" i="1"/>
  <c r="N639" i="1" s="1"/>
  <c r="L640" i="1"/>
  <c r="N640" i="1" s="1"/>
  <c r="L641" i="1"/>
  <c r="N641" i="1" s="1"/>
  <c r="L642" i="1"/>
  <c r="N642" i="1" s="1"/>
  <c r="L643" i="1"/>
  <c r="N643" i="1" s="1"/>
  <c r="L644" i="1"/>
  <c r="N644" i="1" s="1"/>
  <c r="L645" i="1"/>
  <c r="N645" i="1" s="1"/>
  <c r="L646" i="1"/>
  <c r="N646" i="1" s="1"/>
  <c r="L647" i="1"/>
  <c r="N647" i="1" s="1"/>
  <c r="L648" i="1"/>
  <c r="N648" i="1" s="1"/>
  <c r="L649" i="1"/>
  <c r="N649" i="1" s="1"/>
  <c r="L650" i="1"/>
  <c r="N650" i="1" s="1"/>
  <c r="L651" i="1"/>
  <c r="N651" i="1" s="1"/>
  <c r="L652" i="1"/>
  <c r="N652" i="1" s="1"/>
  <c r="L653" i="1"/>
  <c r="N653" i="1" s="1"/>
  <c r="L654" i="1"/>
  <c r="N654" i="1" s="1"/>
  <c r="L655" i="1"/>
  <c r="N655" i="1" s="1"/>
  <c r="L656" i="1"/>
  <c r="N656" i="1" s="1"/>
  <c r="L657" i="1"/>
  <c r="N657" i="1" s="1"/>
  <c r="L658" i="1"/>
  <c r="N658" i="1" s="1"/>
  <c r="L659" i="1"/>
  <c r="N659" i="1" s="1"/>
  <c r="L660" i="1"/>
  <c r="N660" i="1" s="1"/>
  <c r="L661" i="1"/>
  <c r="N661" i="1" s="1"/>
  <c r="L662" i="1"/>
  <c r="N662" i="1" s="1"/>
  <c r="L663" i="1"/>
  <c r="N663" i="1" s="1"/>
  <c r="L664" i="1"/>
  <c r="N664" i="1" s="1"/>
  <c r="L665" i="1"/>
  <c r="N665" i="1" s="1"/>
  <c r="L666" i="1"/>
  <c r="N666" i="1" s="1"/>
  <c r="L667" i="1"/>
  <c r="N667" i="1" s="1"/>
  <c r="L668" i="1"/>
  <c r="N668" i="1" s="1"/>
  <c r="L669" i="1"/>
  <c r="N669" i="1" s="1"/>
  <c r="L670" i="1"/>
  <c r="N670" i="1" s="1"/>
  <c r="L671" i="1"/>
  <c r="N671" i="1" s="1"/>
  <c r="L672" i="1"/>
  <c r="N672" i="1" s="1"/>
  <c r="L673" i="1"/>
  <c r="N673" i="1" s="1"/>
  <c r="L674" i="1"/>
  <c r="N674" i="1" s="1"/>
  <c r="L675" i="1"/>
  <c r="N675" i="1" s="1"/>
  <c r="L676" i="1"/>
  <c r="N676" i="1" s="1"/>
  <c r="L677" i="1"/>
  <c r="N677" i="1" s="1"/>
  <c r="L678" i="1"/>
  <c r="N678" i="1" s="1"/>
  <c r="L679" i="1"/>
  <c r="N679" i="1" s="1"/>
  <c r="L680" i="1"/>
  <c r="N680" i="1" s="1"/>
  <c r="L681" i="1"/>
  <c r="N681" i="1" s="1"/>
  <c r="L682" i="1"/>
  <c r="N682" i="1" s="1"/>
  <c r="L683" i="1"/>
  <c r="N683" i="1" s="1"/>
  <c r="L684" i="1"/>
  <c r="N684" i="1" s="1"/>
  <c r="L685" i="1"/>
  <c r="N685" i="1" s="1"/>
  <c r="L686" i="1"/>
  <c r="N686" i="1" s="1"/>
  <c r="L687" i="1"/>
  <c r="N687" i="1" s="1"/>
  <c r="L688" i="1"/>
  <c r="N688" i="1" s="1"/>
  <c r="L689" i="1"/>
  <c r="N689" i="1" s="1"/>
  <c r="L690" i="1"/>
  <c r="N690" i="1" s="1"/>
  <c r="L691" i="1"/>
  <c r="N691" i="1" s="1"/>
  <c r="L692" i="1"/>
  <c r="N692" i="1" s="1"/>
  <c r="L693" i="1"/>
  <c r="N693" i="1" s="1"/>
  <c r="L694" i="1"/>
  <c r="N694" i="1" s="1"/>
  <c r="L695" i="1"/>
  <c r="N695" i="1" s="1"/>
  <c r="L696" i="1"/>
  <c r="N696" i="1" s="1"/>
  <c r="L697" i="1"/>
  <c r="N697" i="1" s="1"/>
  <c r="L698" i="1"/>
  <c r="N698" i="1" s="1"/>
  <c r="L699" i="1"/>
  <c r="N699" i="1" s="1"/>
  <c r="L700" i="1"/>
  <c r="N700" i="1" s="1"/>
  <c r="L701" i="1"/>
  <c r="N701" i="1" s="1"/>
  <c r="L702" i="1"/>
  <c r="N702" i="1" s="1"/>
  <c r="L703" i="1"/>
  <c r="N703" i="1" s="1"/>
  <c r="L704" i="1"/>
  <c r="N704" i="1" s="1"/>
  <c r="L705" i="1"/>
  <c r="N705" i="1" s="1"/>
  <c r="L706" i="1"/>
  <c r="N706" i="1" s="1"/>
  <c r="L707" i="1"/>
  <c r="N707" i="1" s="1"/>
  <c r="L708" i="1"/>
  <c r="N708" i="1" s="1"/>
  <c r="L709" i="1"/>
  <c r="N709" i="1" s="1"/>
  <c r="L710" i="1"/>
  <c r="N710" i="1" s="1"/>
  <c r="L711" i="1"/>
  <c r="N711" i="1" s="1"/>
  <c r="L712" i="1"/>
  <c r="N712" i="1" s="1"/>
  <c r="L713" i="1"/>
  <c r="N713" i="1" s="1"/>
  <c r="L714" i="1"/>
  <c r="N714" i="1" s="1"/>
  <c r="L715" i="1"/>
  <c r="N715" i="1" s="1"/>
  <c r="L716" i="1"/>
  <c r="N716" i="1" s="1"/>
  <c r="L717" i="1"/>
  <c r="N717" i="1" s="1"/>
  <c r="L718" i="1"/>
  <c r="N718" i="1" s="1"/>
  <c r="L719" i="1"/>
  <c r="N719" i="1" s="1"/>
  <c r="L720" i="1"/>
  <c r="N720" i="1" s="1"/>
  <c r="L721" i="1"/>
  <c r="N721" i="1" s="1"/>
  <c r="L722" i="1"/>
  <c r="N722" i="1" s="1"/>
  <c r="L723" i="1"/>
  <c r="N723" i="1" s="1"/>
  <c r="L724" i="1"/>
  <c r="N724" i="1" s="1"/>
  <c r="L725" i="1"/>
  <c r="N725" i="1" s="1"/>
  <c r="L726" i="1"/>
  <c r="N726" i="1" s="1"/>
  <c r="L727" i="1"/>
  <c r="N727" i="1" s="1"/>
  <c r="L728" i="1"/>
  <c r="N728" i="1" s="1"/>
  <c r="L729" i="1"/>
  <c r="N729" i="1" s="1"/>
  <c r="L730" i="1"/>
  <c r="N730" i="1" s="1"/>
  <c r="L731" i="1"/>
  <c r="N731" i="1" s="1"/>
  <c r="L732" i="1"/>
  <c r="N732" i="1" s="1"/>
  <c r="L733" i="1"/>
  <c r="N733" i="1" s="1"/>
  <c r="L734" i="1"/>
  <c r="N734" i="1" s="1"/>
  <c r="L735" i="1"/>
  <c r="N735" i="1" s="1"/>
  <c r="L736" i="1"/>
  <c r="N736" i="1" s="1"/>
  <c r="L737" i="1"/>
  <c r="N737" i="1" s="1"/>
  <c r="L738" i="1"/>
  <c r="N738" i="1" s="1"/>
  <c r="L739" i="1"/>
  <c r="N739" i="1" s="1"/>
  <c r="L740" i="1"/>
  <c r="N740" i="1" s="1"/>
  <c r="L741" i="1"/>
  <c r="N741" i="1" s="1"/>
  <c r="L742" i="1"/>
  <c r="N742" i="1" s="1"/>
  <c r="L743" i="1"/>
  <c r="N743" i="1" s="1"/>
  <c r="L744" i="1"/>
  <c r="N744" i="1" s="1"/>
  <c r="L745" i="1"/>
  <c r="N745" i="1" s="1"/>
  <c r="L746" i="1"/>
  <c r="N746" i="1" s="1"/>
  <c r="L747" i="1"/>
  <c r="N747" i="1" s="1"/>
  <c r="L748" i="1"/>
  <c r="N748" i="1" s="1"/>
  <c r="L749" i="1"/>
  <c r="N749" i="1" s="1"/>
  <c r="L750" i="1"/>
  <c r="N750" i="1" s="1"/>
  <c r="L751" i="1"/>
  <c r="N751" i="1" s="1"/>
  <c r="L752" i="1"/>
  <c r="N752" i="1" s="1"/>
  <c r="L753" i="1"/>
  <c r="N753" i="1" s="1"/>
  <c r="L754" i="1"/>
  <c r="N754" i="1" s="1"/>
  <c r="L755" i="1"/>
  <c r="N755" i="1" s="1"/>
  <c r="L756" i="1"/>
  <c r="N756" i="1" s="1"/>
  <c r="L757" i="1"/>
  <c r="N757" i="1" s="1"/>
  <c r="L758" i="1"/>
  <c r="N758" i="1" s="1"/>
  <c r="L759" i="1"/>
  <c r="N759" i="1" s="1"/>
  <c r="L760" i="1"/>
  <c r="N760" i="1" s="1"/>
  <c r="L761" i="1"/>
  <c r="N761" i="1" s="1"/>
  <c r="L762" i="1"/>
  <c r="N762" i="1" s="1"/>
  <c r="L763" i="1"/>
  <c r="N763" i="1" s="1"/>
  <c r="L764" i="1"/>
  <c r="N764" i="1" s="1"/>
  <c r="L765" i="1"/>
  <c r="N765" i="1" s="1"/>
  <c r="L766" i="1"/>
  <c r="N766" i="1" s="1"/>
  <c r="L767" i="1"/>
  <c r="N767" i="1" s="1"/>
  <c r="L768" i="1"/>
  <c r="N768" i="1" s="1"/>
  <c r="L769" i="1"/>
  <c r="N769" i="1" s="1"/>
  <c r="L770" i="1"/>
  <c r="N770" i="1" s="1"/>
  <c r="L771" i="1"/>
  <c r="N771" i="1" s="1"/>
  <c r="L772" i="1"/>
  <c r="N772" i="1" s="1"/>
  <c r="L773" i="1"/>
  <c r="N773" i="1" s="1"/>
  <c r="L774" i="1"/>
  <c r="N774" i="1" s="1"/>
  <c r="L775" i="1"/>
  <c r="N775" i="1" s="1"/>
  <c r="L776" i="1"/>
  <c r="N776" i="1" s="1"/>
  <c r="L777" i="1"/>
  <c r="N777" i="1" s="1"/>
  <c r="L778" i="1"/>
  <c r="N778" i="1" s="1"/>
  <c r="L779" i="1"/>
  <c r="N779" i="1" s="1"/>
  <c r="L780" i="1"/>
  <c r="N780" i="1" s="1"/>
  <c r="L781" i="1"/>
  <c r="N781" i="1" s="1"/>
  <c r="L782" i="1"/>
  <c r="N782" i="1" s="1"/>
  <c r="L783" i="1"/>
  <c r="N783" i="1" s="1"/>
  <c r="L784" i="1"/>
  <c r="N784" i="1" s="1"/>
  <c r="L785" i="1"/>
  <c r="N785" i="1" s="1"/>
  <c r="L786" i="1"/>
  <c r="N786" i="1" s="1"/>
  <c r="L787" i="1"/>
  <c r="N787" i="1" s="1"/>
  <c r="L788" i="1"/>
  <c r="N788" i="1" s="1"/>
  <c r="L789" i="1"/>
  <c r="N789" i="1" s="1"/>
  <c r="L790" i="1"/>
  <c r="N790" i="1" s="1"/>
  <c r="L791" i="1"/>
  <c r="N791" i="1" s="1"/>
  <c r="L792" i="1"/>
  <c r="N792" i="1" s="1"/>
  <c r="L793" i="1"/>
  <c r="N793" i="1" s="1"/>
  <c r="L794" i="1"/>
  <c r="N794" i="1" s="1"/>
  <c r="L795" i="1"/>
  <c r="N795" i="1" s="1"/>
  <c r="L796" i="1"/>
  <c r="N796" i="1" s="1"/>
  <c r="L797" i="1"/>
  <c r="N797" i="1" s="1"/>
  <c r="L798" i="1"/>
  <c r="N798" i="1" s="1"/>
  <c r="L799" i="1"/>
  <c r="N799" i="1" s="1"/>
  <c r="L800" i="1"/>
  <c r="N800" i="1" s="1"/>
  <c r="L801" i="1"/>
  <c r="N801" i="1" s="1"/>
  <c r="L802" i="1"/>
  <c r="N802" i="1" s="1"/>
  <c r="L803" i="1"/>
  <c r="N803" i="1" s="1"/>
  <c r="L804" i="1"/>
  <c r="N804" i="1" s="1"/>
  <c r="L805" i="1"/>
  <c r="N805" i="1" s="1"/>
  <c r="L806" i="1"/>
  <c r="N806" i="1" s="1"/>
  <c r="L807" i="1"/>
  <c r="N807" i="1" s="1"/>
  <c r="L808" i="1"/>
  <c r="N808" i="1" s="1"/>
  <c r="L809" i="1"/>
  <c r="N809" i="1" s="1"/>
  <c r="L810" i="1"/>
  <c r="N810" i="1" s="1"/>
  <c r="L811" i="1"/>
  <c r="N811" i="1" s="1"/>
  <c r="L812" i="1"/>
  <c r="N812" i="1" s="1"/>
  <c r="L813" i="1"/>
  <c r="N813" i="1" s="1"/>
  <c r="L814" i="1"/>
  <c r="N814" i="1" s="1"/>
  <c r="L815" i="1"/>
  <c r="N815" i="1" s="1"/>
  <c r="L816" i="1"/>
  <c r="N816" i="1" s="1"/>
  <c r="L817" i="1"/>
  <c r="N817" i="1" s="1"/>
  <c r="L818" i="1"/>
  <c r="N818" i="1" s="1"/>
  <c r="L819" i="1"/>
  <c r="N819" i="1" s="1"/>
  <c r="L820" i="1"/>
  <c r="N820" i="1" s="1"/>
  <c r="L821" i="1"/>
  <c r="N821" i="1" s="1"/>
  <c r="L822" i="1"/>
  <c r="N822" i="1" s="1"/>
  <c r="L823" i="1"/>
  <c r="N823" i="1" s="1"/>
  <c r="L824" i="1"/>
  <c r="N824" i="1" s="1"/>
  <c r="L825" i="1"/>
  <c r="N825" i="1" s="1"/>
  <c r="L826" i="1"/>
  <c r="N826" i="1" s="1"/>
  <c r="L827" i="1"/>
  <c r="N827" i="1" s="1"/>
  <c r="L828" i="1"/>
  <c r="N828" i="1" s="1"/>
  <c r="L829" i="1"/>
  <c r="N829" i="1" s="1"/>
  <c r="L830" i="1"/>
  <c r="N830" i="1" s="1"/>
  <c r="L831" i="1"/>
  <c r="N831" i="1" s="1"/>
  <c r="L832" i="1"/>
  <c r="N832" i="1" s="1"/>
  <c r="L833" i="1"/>
  <c r="N833" i="1" s="1"/>
  <c r="L834" i="1"/>
  <c r="N834" i="1" s="1"/>
  <c r="L835" i="1"/>
  <c r="N835" i="1" s="1"/>
  <c r="L836" i="1"/>
  <c r="N836" i="1" s="1"/>
  <c r="L837" i="1"/>
  <c r="N837" i="1" s="1"/>
  <c r="L838" i="1"/>
  <c r="N838" i="1" s="1"/>
  <c r="L839" i="1"/>
  <c r="N839" i="1" s="1"/>
  <c r="L840" i="1"/>
  <c r="N840" i="1" s="1"/>
  <c r="L841" i="1"/>
  <c r="N841" i="1" s="1"/>
  <c r="L842" i="1"/>
  <c r="N842" i="1" s="1"/>
  <c r="L843" i="1"/>
  <c r="N843" i="1" s="1"/>
  <c r="L844" i="1"/>
  <c r="N844" i="1" s="1"/>
  <c r="L845" i="1"/>
  <c r="N845" i="1" s="1"/>
  <c r="L846" i="1"/>
  <c r="N846" i="1" s="1"/>
  <c r="L847" i="1"/>
  <c r="N847" i="1" s="1"/>
  <c r="L848" i="1"/>
  <c r="N848" i="1" s="1"/>
  <c r="L849" i="1"/>
  <c r="N849" i="1" s="1"/>
  <c r="L850" i="1"/>
  <c r="N850" i="1" s="1"/>
  <c r="L851" i="1"/>
  <c r="N851" i="1" s="1"/>
  <c r="L852" i="1"/>
  <c r="N852" i="1" s="1"/>
  <c r="L853" i="1"/>
  <c r="N853" i="1" s="1"/>
  <c r="L854" i="1"/>
  <c r="N854" i="1" s="1"/>
  <c r="L855" i="1"/>
  <c r="N855" i="1" s="1"/>
  <c r="L856" i="1"/>
  <c r="N856" i="1" s="1"/>
  <c r="L857" i="1"/>
  <c r="N857" i="1" s="1"/>
  <c r="L858" i="1"/>
  <c r="N858" i="1" s="1"/>
  <c r="L859" i="1"/>
  <c r="N859" i="1" s="1"/>
  <c r="L860" i="1"/>
  <c r="N860" i="1" s="1"/>
  <c r="L861" i="1"/>
  <c r="N861" i="1" s="1"/>
  <c r="L862" i="1"/>
  <c r="N862" i="1" s="1"/>
  <c r="L863" i="1"/>
  <c r="N863" i="1" s="1"/>
  <c r="L864" i="1"/>
  <c r="N864" i="1" s="1"/>
  <c r="L865" i="1"/>
  <c r="N865" i="1" s="1"/>
  <c r="L866" i="1"/>
  <c r="N866" i="1" s="1"/>
  <c r="L867" i="1"/>
  <c r="N867" i="1" s="1"/>
  <c r="L868" i="1"/>
  <c r="N868" i="1" s="1"/>
  <c r="L869" i="1"/>
  <c r="N869" i="1" s="1"/>
  <c r="L870" i="1"/>
  <c r="N870" i="1" s="1"/>
  <c r="L871" i="1"/>
  <c r="N871" i="1" s="1"/>
  <c r="L872" i="1"/>
  <c r="N872" i="1" s="1"/>
  <c r="L873" i="1"/>
  <c r="N873" i="1" s="1"/>
  <c r="L874" i="1"/>
  <c r="N874" i="1" s="1"/>
  <c r="L875" i="1"/>
  <c r="N875" i="1" s="1"/>
  <c r="L876" i="1"/>
  <c r="N876" i="1" s="1"/>
  <c r="L877" i="1"/>
  <c r="N877" i="1" s="1"/>
  <c r="L878" i="1"/>
  <c r="N878" i="1" s="1"/>
  <c r="L879" i="1"/>
  <c r="N879" i="1" s="1"/>
  <c r="L880" i="1"/>
  <c r="N880" i="1" s="1"/>
  <c r="L881" i="1"/>
  <c r="N881" i="1" s="1"/>
  <c r="L882" i="1"/>
  <c r="N882" i="1" s="1"/>
  <c r="L883" i="1"/>
  <c r="N883" i="1" s="1"/>
  <c r="L884" i="1"/>
  <c r="N884" i="1" s="1"/>
  <c r="L885" i="1"/>
  <c r="N885" i="1" s="1"/>
  <c r="L886" i="1"/>
  <c r="N886" i="1" s="1"/>
  <c r="L887" i="1"/>
  <c r="N887" i="1" s="1"/>
  <c r="L888" i="1"/>
  <c r="N888" i="1" s="1"/>
  <c r="L889" i="1"/>
  <c r="N889" i="1" s="1"/>
  <c r="L890" i="1"/>
  <c r="N890" i="1" s="1"/>
  <c r="L891" i="1"/>
  <c r="N891" i="1" s="1"/>
  <c r="L892" i="1"/>
  <c r="N892" i="1" s="1"/>
  <c r="L893" i="1"/>
  <c r="N893" i="1" s="1"/>
  <c r="L894" i="1"/>
  <c r="N894" i="1" s="1"/>
  <c r="L895" i="1"/>
  <c r="N895" i="1" s="1"/>
  <c r="L896" i="1"/>
  <c r="N896" i="1" s="1"/>
  <c r="L897" i="1"/>
  <c r="N897" i="1" s="1"/>
  <c r="L898" i="1"/>
  <c r="N898" i="1" s="1"/>
  <c r="L899" i="1"/>
  <c r="N899" i="1" s="1"/>
  <c r="L900" i="1"/>
  <c r="N900" i="1" s="1"/>
  <c r="L901" i="1"/>
  <c r="N901" i="1" s="1"/>
  <c r="L902" i="1"/>
  <c r="N902" i="1" s="1"/>
  <c r="L903" i="1"/>
  <c r="N903" i="1" s="1"/>
  <c r="L904" i="1"/>
  <c r="N904" i="1" s="1"/>
  <c r="L905" i="1"/>
  <c r="N905" i="1" s="1"/>
  <c r="L906" i="1"/>
  <c r="N906" i="1" s="1"/>
  <c r="L907" i="1"/>
  <c r="N907" i="1" s="1"/>
  <c r="L908" i="1"/>
  <c r="N908" i="1" s="1"/>
  <c r="L909" i="1"/>
  <c r="N909" i="1" s="1"/>
  <c r="L910" i="1"/>
  <c r="N910" i="1" s="1"/>
  <c r="L911" i="1"/>
  <c r="N911" i="1" s="1"/>
  <c r="L912" i="1"/>
  <c r="N912" i="1" s="1"/>
  <c r="L913" i="1"/>
  <c r="N913" i="1" s="1"/>
  <c r="L914" i="1"/>
  <c r="N914" i="1" s="1"/>
  <c r="L915" i="1"/>
  <c r="N915" i="1" s="1"/>
  <c r="L916" i="1"/>
  <c r="N916" i="1" s="1"/>
  <c r="L917" i="1"/>
  <c r="N917" i="1" s="1"/>
  <c r="L918" i="1"/>
  <c r="N918" i="1" s="1"/>
  <c r="L919" i="1"/>
  <c r="N919" i="1" s="1"/>
  <c r="L920" i="1"/>
  <c r="N920" i="1" s="1"/>
  <c r="L921" i="1"/>
  <c r="N921" i="1" s="1"/>
  <c r="L922" i="1"/>
  <c r="N922" i="1" s="1"/>
  <c r="L923" i="1"/>
  <c r="N923" i="1" s="1"/>
  <c r="L924" i="1"/>
  <c r="N924" i="1" s="1"/>
  <c r="L925" i="1"/>
  <c r="N925" i="1" s="1"/>
  <c r="L926" i="1"/>
  <c r="N926" i="1" s="1"/>
  <c r="L927" i="1"/>
  <c r="N927" i="1" s="1"/>
  <c r="L928" i="1"/>
  <c r="N928" i="1" s="1"/>
  <c r="L929" i="1"/>
  <c r="N929" i="1" s="1"/>
  <c r="L930" i="1"/>
  <c r="N930" i="1" s="1"/>
  <c r="L931" i="1"/>
  <c r="N931" i="1" s="1"/>
  <c r="L932" i="1"/>
  <c r="N932" i="1" s="1"/>
  <c r="L933" i="1"/>
  <c r="N933" i="1" s="1"/>
  <c r="L934" i="1"/>
  <c r="N934" i="1" s="1"/>
  <c r="L935" i="1"/>
  <c r="N935" i="1" s="1"/>
  <c r="L936" i="1"/>
  <c r="N936" i="1" s="1"/>
  <c r="L937" i="1"/>
  <c r="N937" i="1" s="1"/>
  <c r="L938" i="1"/>
  <c r="N938" i="1" s="1"/>
  <c r="L939" i="1"/>
  <c r="N939" i="1" s="1"/>
  <c r="L940" i="1"/>
  <c r="N940" i="1" s="1"/>
  <c r="L941" i="1"/>
  <c r="N941" i="1" s="1"/>
  <c r="L942" i="1"/>
  <c r="N942" i="1" s="1"/>
  <c r="L943" i="1"/>
  <c r="N943" i="1" s="1"/>
  <c r="L944" i="1"/>
  <c r="N944" i="1" s="1"/>
  <c r="L945" i="1"/>
  <c r="N945" i="1" s="1"/>
  <c r="L946" i="1"/>
  <c r="N946" i="1" s="1"/>
  <c r="L947" i="1"/>
  <c r="N947" i="1" s="1"/>
  <c r="L948" i="1"/>
  <c r="N948" i="1" s="1"/>
  <c r="L949" i="1"/>
  <c r="N949" i="1" s="1"/>
  <c r="L950" i="1"/>
  <c r="N950" i="1" s="1"/>
  <c r="L951" i="1"/>
  <c r="N951" i="1" s="1"/>
  <c r="L952" i="1"/>
  <c r="N952" i="1" s="1"/>
  <c r="L953" i="1"/>
  <c r="N953" i="1" s="1"/>
  <c r="L954" i="1"/>
  <c r="N954" i="1" s="1"/>
  <c r="L955" i="1"/>
  <c r="N955" i="1" s="1"/>
  <c r="L956" i="1"/>
  <c r="N956" i="1" s="1"/>
  <c r="L957" i="1"/>
  <c r="N957" i="1" s="1"/>
  <c r="L958" i="1"/>
  <c r="N958" i="1" s="1"/>
  <c r="L959" i="1"/>
  <c r="N959" i="1" s="1"/>
  <c r="L960" i="1"/>
  <c r="N960" i="1" s="1"/>
  <c r="L961" i="1"/>
  <c r="N961" i="1" s="1"/>
  <c r="L962" i="1"/>
  <c r="N962" i="1" s="1"/>
  <c r="L963" i="1"/>
  <c r="N963" i="1" s="1"/>
  <c r="L964" i="1"/>
  <c r="N964" i="1" s="1"/>
  <c r="L965" i="1"/>
  <c r="N965" i="1" s="1"/>
  <c r="L966" i="1"/>
  <c r="N966" i="1" s="1"/>
  <c r="L967" i="1"/>
  <c r="N967" i="1" s="1"/>
  <c r="L968" i="1"/>
  <c r="N968" i="1" s="1"/>
  <c r="L969" i="1"/>
  <c r="N969" i="1" s="1"/>
  <c r="L970" i="1"/>
  <c r="N970" i="1" s="1"/>
  <c r="L971" i="1"/>
  <c r="N971" i="1" s="1"/>
  <c r="L972" i="1"/>
  <c r="N972" i="1" s="1"/>
  <c r="L973" i="1"/>
  <c r="N973" i="1" s="1"/>
  <c r="L974" i="1"/>
  <c r="N974" i="1" s="1"/>
  <c r="L975" i="1"/>
  <c r="N975" i="1" s="1"/>
  <c r="L976" i="1"/>
  <c r="N976" i="1" s="1"/>
  <c r="L977" i="1"/>
  <c r="N977" i="1" s="1"/>
  <c r="L978" i="1"/>
  <c r="N978" i="1" s="1"/>
  <c r="L979" i="1"/>
  <c r="N979" i="1" s="1"/>
  <c r="L980" i="1"/>
  <c r="N980" i="1" s="1"/>
  <c r="L981" i="1"/>
  <c r="N981" i="1" s="1"/>
  <c r="L982" i="1"/>
  <c r="N982" i="1" s="1"/>
  <c r="L983" i="1"/>
  <c r="N983" i="1" s="1"/>
  <c r="L984" i="1"/>
  <c r="N984" i="1" s="1"/>
  <c r="L985" i="1"/>
  <c r="N985" i="1" s="1"/>
  <c r="L986" i="1"/>
  <c r="N986" i="1" s="1"/>
  <c r="L987" i="1"/>
  <c r="N987" i="1" s="1"/>
  <c r="L988" i="1"/>
  <c r="N988" i="1" s="1"/>
  <c r="L989" i="1"/>
  <c r="N989" i="1" s="1"/>
  <c r="L990" i="1"/>
  <c r="N990" i="1" s="1"/>
  <c r="L991" i="1"/>
  <c r="N991" i="1" s="1"/>
  <c r="L992" i="1"/>
  <c r="N992" i="1" s="1"/>
  <c r="L993" i="1"/>
  <c r="N993" i="1" s="1"/>
  <c r="L994" i="1"/>
  <c r="N994" i="1" s="1"/>
  <c r="L995" i="1"/>
  <c r="N995" i="1" s="1"/>
  <c r="L996" i="1"/>
  <c r="N996" i="1" s="1"/>
  <c r="L997" i="1"/>
  <c r="N997" i="1" s="1"/>
  <c r="L998" i="1"/>
  <c r="N998" i="1" s="1"/>
  <c r="L999" i="1"/>
  <c r="N999" i="1" s="1"/>
  <c r="L1000" i="1"/>
  <c r="N1000" i="1" s="1"/>
  <c r="L1001" i="1"/>
  <c r="N1001" i="1" s="1"/>
  <c r="L1002" i="1"/>
  <c r="N1002" i="1" s="1"/>
  <c r="L1003" i="1"/>
  <c r="N1003" i="1" s="1"/>
  <c r="L1004" i="1"/>
  <c r="N1004" i="1" s="1"/>
  <c r="L1005" i="1"/>
  <c r="N1005" i="1" s="1"/>
  <c r="L1006" i="1"/>
  <c r="N1006" i="1" s="1"/>
  <c r="L1007" i="1"/>
  <c r="N1007" i="1" s="1"/>
  <c r="L1008" i="1"/>
  <c r="N1008" i="1" s="1"/>
  <c r="L1009" i="1"/>
  <c r="N1009" i="1" s="1"/>
  <c r="L1010" i="1"/>
  <c r="N1010" i="1" s="1"/>
  <c r="L1011" i="1"/>
  <c r="N1011" i="1" s="1"/>
  <c r="L1012" i="1"/>
  <c r="N1012" i="1" s="1"/>
  <c r="L1013" i="1"/>
  <c r="N1013" i="1" s="1"/>
  <c r="L1014" i="1"/>
  <c r="N1014" i="1" s="1"/>
  <c r="L1015" i="1"/>
  <c r="N1015" i="1" s="1"/>
  <c r="L1016" i="1"/>
  <c r="N1016" i="1" s="1"/>
  <c r="L1017" i="1"/>
  <c r="N1017" i="1" s="1"/>
  <c r="L1018" i="1"/>
  <c r="N1018" i="1" s="1"/>
  <c r="L1019" i="1"/>
  <c r="N1019" i="1" s="1"/>
  <c r="L1020" i="1"/>
  <c r="N1020" i="1" s="1"/>
  <c r="L1021" i="1"/>
  <c r="N1021" i="1" s="1"/>
  <c r="L1022" i="1"/>
  <c r="N1022" i="1" s="1"/>
  <c r="L1023" i="1"/>
  <c r="N1023" i="1" s="1"/>
  <c r="L1024" i="1"/>
  <c r="N1024" i="1" s="1"/>
  <c r="L1025" i="1"/>
  <c r="N1025" i="1" s="1"/>
  <c r="L1026" i="1"/>
  <c r="N1026" i="1" s="1"/>
  <c r="L1027" i="1"/>
  <c r="N1027" i="1" s="1"/>
  <c r="L1028" i="1"/>
  <c r="N1028" i="1" s="1"/>
  <c r="L1029" i="1"/>
  <c r="N1029" i="1" s="1"/>
  <c r="L1030" i="1"/>
  <c r="N1030" i="1" s="1"/>
  <c r="L1031" i="1"/>
  <c r="N1031" i="1" s="1"/>
  <c r="L1032" i="1"/>
  <c r="N1032" i="1" s="1"/>
  <c r="L1033" i="1"/>
  <c r="N1033" i="1" s="1"/>
  <c r="L1034" i="1"/>
  <c r="N1034" i="1" s="1"/>
  <c r="L1035" i="1"/>
  <c r="N1035" i="1" s="1"/>
  <c r="L1036" i="1"/>
  <c r="N1036" i="1" s="1"/>
  <c r="L1037" i="1"/>
  <c r="N1037" i="1" s="1"/>
  <c r="L1038" i="1"/>
  <c r="N1038" i="1" s="1"/>
  <c r="L1039" i="1"/>
  <c r="N1039" i="1" s="1"/>
  <c r="L1040" i="1"/>
  <c r="N1040" i="1" s="1"/>
  <c r="L1041" i="1"/>
  <c r="N1041" i="1" s="1"/>
  <c r="L1042" i="1"/>
  <c r="N1042" i="1" s="1"/>
  <c r="L1043" i="1"/>
  <c r="N1043" i="1" s="1"/>
  <c r="L1044" i="1"/>
  <c r="N1044" i="1" s="1"/>
  <c r="L1045" i="1"/>
  <c r="N1045" i="1" s="1"/>
  <c r="L1046" i="1"/>
  <c r="N1046" i="1" s="1"/>
  <c r="L1047" i="1"/>
  <c r="N1047" i="1" s="1"/>
  <c r="L1048" i="1"/>
  <c r="N1048" i="1" s="1"/>
  <c r="L1049" i="1"/>
  <c r="N1049" i="1" s="1"/>
  <c r="L1050" i="1"/>
  <c r="N1050" i="1" s="1"/>
  <c r="L1051" i="1"/>
  <c r="N1051" i="1" s="1"/>
  <c r="L1052" i="1"/>
  <c r="N1052" i="1" s="1"/>
  <c r="L1053" i="1"/>
  <c r="N1053" i="1" s="1"/>
  <c r="L1054" i="1"/>
  <c r="N1054" i="1" s="1"/>
  <c r="L1055" i="1"/>
  <c r="N1055" i="1" s="1"/>
  <c r="L1056" i="1"/>
  <c r="N1056" i="1" s="1"/>
  <c r="L1057" i="1"/>
  <c r="N1057" i="1" s="1"/>
  <c r="L1058" i="1"/>
  <c r="N1058" i="1" s="1"/>
  <c r="L1059" i="1"/>
  <c r="N1059" i="1" s="1"/>
  <c r="L1060" i="1"/>
  <c r="N1060" i="1" s="1"/>
  <c r="L1061" i="1"/>
  <c r="N1061" i="1" s="1"/>
  <c r="L1062" i="1"/>
  <c r="N1062" i="1" s="1"/>
  <c r="L1063" i="1"/>
  <c r="N1063" i="1" s="1"/>
  <c r="L1064" i="1"/>
  <c r="N1064" i="1" s="1"/>
  <c r="L1065" i="1"/>
  <c r="N1065" i="1" s="1"/>
  <c r="L1066" i="1"/>
  <c r="N1066" i="1" s="1"/>
  <c r="L1067" i="1"/>
  <c r="N1067" i="1" s="1"/>
  <c r="L1068" i="1"/>
  <c r="N1068" i="1" s="1"/>
  <c r="L1069" i="1"/>
  <c r="N1069" i="1" s="1"/>
  <c r="L1070" i="1"/>
  <c r="N1070" i="1" s="1"/>
  <c r="L1071" i="1"/>
  <c r="N1071" i="1" s="1"/>
  <c r="L1072" i="1"/>
  <c r="N1072" i="1" s="1"/>
  <c r="L1073" i="1"/>
  <c r="N1073" i="1" s="1"/>
  <c r="L1074" i="1"/>
  <c r="N1074" i="1" s="1"/>
  <c r="L1075" i="1"/>
  <c r="N1075" i="1" s="1"/>
  <c r="L1076" i="1"/>
  <c r="N1076" i="1" s="1"/>
  <c r="L1077" i="1"/>
  <c r="N1077" i="1" s="1"/>
  <c r="L1078" i="1"/>
  <c r="N1078" i="1" s="1"/>
  <c r="L1079" i="1"/>
  <c r="N1079" i="1" s="1"/>
  <c r="L1080" i="1"/>
  <c r="N1080" i="1" s="1"/>
  <c r="L1081" i="1"/>
  <c r="N1081" i="1" s="1"/>
  <c r="L1082" i="1"/>
  <c r="N1082" i="1" s="1"/>
  <c r="L1083" i="1"/>
  <c r="N1083" i="1" s="1"/>
  <c r="L1084" i="1"/>
  <c r="N1084" i="1" s="1"/>
  <c r="L1085" i="1"/>
  <c r="N1085" i="1" s="1"/>
  <c r="L1086" i="1"/>
  <c r="N1086" i="1" s="1"/>
  <c r="L1087" i="1"/>
  <c r="N1087" i="1" s="1"/>
  <c r="L1088" i="1"/>
  <c r="N1088" i="1" s="1"/>
  <c r="L1089" i="1"/>
  <c r="N1089" i="1" s="1"/>
  <c r="L1090" i="1"/>
  <c r="N1090" i="1" s="1"/>
  <c r="L1091" i="1"/>
  <c r="N1091" i="1" s="1"/>
  <c r="L1092" i="1"/>
  <c r="N1092" i="1" s="1"/>
  <c r="L1093" i="1"/>
  <c r="N1093" i="1" s="1"/>
  <c r="L1094" i="1"/>
  <c r="N1094" i="1" s="1"/>
  <c r="L1095" i="1"/>
  <c r="N1095" i="1" s="1"/>
  <c r="L1096" i="1"/>
  <c r="N1096" i="1" s="1"/>
  <c r="L1097" i="1"/>
  <c r="N1097" i="1" s="1"/>
  <c r="L1098" i="1"/>
  <c r="N1098" i="1" s="1"/>
  <c r="L1099" i="1"/>
  <c r="N1099" i="1" s="1"/>
  <c r="L1100" i="1"/>
  <c r="N1100" i="1" s="1"/>
  <c r="L1101" i="1"/>
  <c r="N1101" i="1" s="1"/>
  <c r="L1102" i="1"/>
  <c r="N1102" i="1" s="1"/>
  <c r="L1103" i="1"/>
  <c r="N1103" i="1" s="1"/>
  <c r="L1104" i="1"/>
  <c r="N1104" i="1" s="1"/>
  <c r="L1105" i="1"/>
  <c r="N1105" i="1" s="1"/>
  <c r="L1106" i="1"/>
  <c r="N1106" i="1" s="1"/>
  <c r="L1107" i="1"/>
  <c r="N1107" i="1" s="1"/>
  <c r="L1108" i="1"/>
  <c r="N1108" i="1" s="1"/>
  <c r="L1109" i="1"/>
  <c r="N1109" i="1" s="1"/>
  <c r="L1110" i="1"/>
  <c r="N1110" i="1" s="1"/>
  <c r="L1111" i="1"/>
  <c r="N1111" i="1" s="1"/>
  <c r="L1112" i="1"/>
  <c r="N1112" i="1" s="1"/>
  <c r="L1113" i="1"/>
  <c r="N1113" i="1" s="1"/>
  <c r="L1114" i="1"/>
  <c r="N1114" i="1" s="1"/>
  <c r="L1115" i="1"/>
  <c r="N1115" i="1" s="1"/>
  <c r="L1116" i="1"/>
  <c r="N1116" i="1" s="1"/>
  <c r="L1117" i="1"/>
  <c r="N1117" i="1" s="1"/>
  <c r="L1118" i="1"/>
  <c r="N1118" i="1" s="1"/>
  <c r="L1119" i="1"/>
  <c r="N1119" i="1" s="1"/>
  <c r="L1120" i="1"/>
  <c r="N1120" i="1" s="1"/>
  <c r="L1121" i="1"/>
  <c r="N1121" i="1" s="1"/>
  <c r="L1122" i="1"/>
  <c r="N1122" i="1" s="1"/>
  <c r="L1123" i="1"/>
  <c r="N1123" i="1" s="1"/>
  <c r="L1124" i="1"/>
  <c r="N1124" i="1" s="1"/>
  <c r="L1125" i="1"/>
  <c r="N1125" i="1" s="1"/>
  <c r="L1126" i="1"/>
  <c r="N1126" i="1" s="1"/>
  <c r="L1127" i="1"/>
  <c r="N1127" i="1" s="1"/>
  <c r="L1128" i="1"/>
  <c r="N1128" i="1" s="1"/>
  <c r="L1129" i="1"/>
  <c r="N1129" i="1" s="1"/>
  <c r="L1130" i="1"/>
  <c r="N1130" i="1" s="1"/>
  <c r="L1131" i="1"/>
  <c r="N1131" i="1" s="1"/>
  <c r="L1132" i="1"/>
  <c r="N1132" i="1" s="1"/>
  <c r="L1133" i="1"/>
  <c r="N1133" i="1" s="1"/>
  <c r="L1134" i="1"/>
  <c r="N1134" i="1" s="1"/>
  <c r="L1135" i="1"/>
  <c r="N1135" i="1" s="1"/>
  <c r="L1136" i="1"/>
  <c r="N1136" i="1" s="1"/>
  <c r="L1137" i="1"/>
  <c r="N1137" i="1" s="1"/>
  <c r="L1138" i="1"/>
  <c r="N1138" i="1" s="1"/>
  <c r="L1139" i="1"/>
  <c r="N1139" i="1" s="1"/>
  <c r="L1140" i="1"/>
  <c r="N1140" i="1" s="1"/>
  <c r="L1141" i="1"/>
  <c r="N1141" i="1" s="1"/>
  <c r="L1142" i="1"/>
  <c r="N1142" i="1" s="1"/>
  <c r="L1143" i="1"/>
  <c r="N1143" i="1" s="1"/>
  <c r="L1144" i="1"/>
  <c r="N1144" i="1" s="1"/>
  <c r="L1145" i="1"/>
  <c r="N1145" i="1" s="1"/>
  <c r="L1146" i="1"/>
  <c r="N1146" i="1" s="1"/>
  <c r="L1147" i="1"/>
  <c r="N1147" i="1" s="1"/>
  <c r="L1148" i="1"/>
  <c r="N1148" i="1" s="1"/>
  <c r="L1149" i="1"/>
  <c r="N1149" i="1" s="1"/>
  <c r="L1150" i="1"/>
  <c r="N1150" i="1" s="1"/>
  <c r="L1151" i="1"/>
  <c r="N1151" i="1" s="1"/>
  <c r="L1152" i="1"/>
  <c r="N1152" i="1" s="1"/>
  <c r="L1153" i="1"/>
  <c r="N1153" i="1" s="1"/>
  <c r="L1154" i="1"/>
  <c r="N1154" i="1" s="1"/>
  <c r="L1155" i="1"/>
  <c r="N1155" i="1" s="1"/>
  <c r="L1156" i="1"/>
  <c r="N1156" i="1" s="1"/>
  <c r="L1157" i="1"/>
  <c r="N1157" i="1" s="1"/>
  <c r="L1158" i="1"/>
  <c r="N1158" i="1" s="1"/>
  <c r="L1159" i="1"/>
  <c r="N1159" i="1" s="1"/>
  <c r="L1160" i="1"/>
  <c r="N1160" i="1" s="1"/>
  <c r="L1161" i="1"/>
  <c r="N1161" i="1" s="1"/>
  <c r="L1162" i="1"/>
  <c r="N1162" i="1" s="1"/>
  <c r="L1163" i="1"/>
  <c r="N1163" i="1" s="1"/>
  <c r="L1164" i="1"/>
  <c r="N1164" i="1" s="1"/>
  <c r="L1165" i="1"/>
  <c r="N1165" i="1" s="1"/>
  <c r="L1166" i="1"/>
  <c r="N1166" i="1" s="1"/>
  <c r="L1167" i="1"/>
  <c r="N1167" i="1" s="1"/>
  <c r="L1168" i="1"/>
  <c r="N1168" i="1" s="1"/>
  <c r="L1169" i="1"/>
  <c r="N1169" i="1" s="1"/>
  <c r="L1170" i="1"/>
  <c r="N1170" i="1" s="1"/>
  <c r="L1171" i="1"/>
  <c r="N1171" i="1" s="1"/>
  <c r="L1172" i="1"/>
  <c r="N1172" i="1" s="1"/>
  <c r="L1173" i="1"/>
  <c r="N1173" i="1" s="1"/>
  <c r="L1174" i="1"/>
  <c r="N1174" i="1" s="1"/>
  <c r="L1175" i="1"/>
  <c r="N1175" i="1" s="1"/>
  <c r="L1176" i="1"/>
  <c r="N1176" i="1" s="1"/>
  <c r="L1177" i="1"/>
  <c r="N1177" i="1" s="1"/>
  <c r="L1178" i="1"/>
  <c r="N1178" i="1" s="1"/>
  <c r="L1179" i="1"/>
  <c r="N1179" i="1" s="1"/>
  <c r="L1180" i="1"/>
  <c r="N1180" i="1" s="1"/>
  <c r="L1181" i="1"/>
  <c r="N1181" i="1" s="1"/>
  <c r="L1182" i="1"/>
  <c r="N1182" i="1" s="1"/>
  <c r="L1183" i="1"/>
  <c r="N1183" i="1" s="1"/>
  <c r="L1184" i="1"/>
  <c r="N1184" i="1" s="1"/>
  <c r="L1185" i="1"/>
  <c r="N1185" i="1" s="1"/>
  <c r="L1186" i="1"/>
  <c r="N1186" i="1" s="1"/>
  <c r="L1187" i="1"/>
  <c r="N1187" i="1" s="1"/>
  <c r="L1188" i="1"/>
  <c r="N1188" i="1" s="1"/>
  <c r="L1189" i="1"/>
  <c r="N1189" i="1" s="1"/>
  <c r="L1190" i="1"/>
  <c r="N1190" i="1" s="1"/>
  <c r="L1191" i="1"/>
  <c r="N1191" i="1" s="1"/>
  <c r="L1192" i="1"/>
  <c r="N1192" i="1" s="1"/>
  <c r="L1193" i="1"/>
  <c r="N1193" i="1" s="1"/>
  <c r="L1194" i="1"/>
  <c r="N1194" i="1" s="1"/>
  <c r="L1195" i="1"/>
  <c r="N1195" i="1" s="1"/>
  <c r="L1196" i="1"/>
  <c r="N1196" i="1" s="1"/>
  <c r="L1197" i="1"/>
  <c r="N1197" i="1" s="1"/>
  <c r="L1198" i="1"/>
  <c r="N1198" i="1" s="1"/>
  <c r="L1199" i="1"/>
  <c r="N1199" i="1" s="1"/>
  <c r="L1200" i="1"/>
  <c r="N1200" i="1" s="1"/>
  <c r="L1201" i="1"/>
  <c r="N1201" i="1" s="1"/>
  <c r="L1202" i="1"/>
  <c r="N1202" i="1" s="1"/>
  <c r="L1203" i="1"/>
  <c r="N1203" i="1" s="1"/>
  <c r="L1204" i="1"/>
  <c r="N1204" i="1" s="1"/>
  <c r="L1205" i="1"/>
  <c r="N1205" i="1" s="1"/>
  <c r="L1206" i="1"/>
  <c r="N1206" i="1" s="1"/>
  <c r="L1207" i="1"/>
  <c r="N1207" i="1" s="1"/>
  <c r="L1208" i="1"/>
  <c r="N1208" i="1" s="1"/>
  <c r="L1209" i="1"/>
  <c r="N1209" i="1" s="1"/>
  <c r="L1210" i="1"/>
  <c r="N1210" i="1" s="1"/>
  <c r="L1211" i="1"/>
  <c r="N1211" i="1" s="1"/>
  <c r="L1212" i="1"/>
  <c r="N1212" i="1" s="1"/>
  <c r="L1213" i="1"/>
  <c r="N1213" i="1" s="1"/>
  <c r="L1214" i="1"/>
  <c r="N1214" i="1" s="1"/>
  <c r="L1215" i="1"/>
  <c r="N1215" i="1" s="1"/>
  <c r="L1216" i="1"/>
  <c r="N1216" i="1" s="1"/>
  <c r="L1217" i="1"/>
  <c r="N1217" i="1" s="1"/>
  <c r="L1218" i="1"/>
  <c r="N1218" i="1" s="1"/>
  <c r="L1219" i="1"/>
  <c r="N1219" i="1" s="1"/>
  <c r="L1220" i="1"/>
  <c r="N1220" i="1" s="1"/>
  <c r="L1221" i="1"/>
  <c r="N1221" i="1" s="1"/>
  <c r="L1222" i="1"/>
  <c r="N1222" i="1" s="1"/>
  <c r="L1223" i="1"/>
  <c r="N1223" i="1" s="1"/>
  <c r="L1224" i="1"/>
  <c r="N1224" i="1" s="1"/>
  <c r="L1225" i="1"/>
  <c r="N1225" i="1" s="1"/>
  <c r="L1226" i="1"/>
  <c r="N1226" i="1" s="1"/>
  <c r="L1227" i="1"/>
  <c r="N1227" i="1" s="1"/>
  <c r="L1228" i="1"/>
  <c r="N1228" i="1" s="1"/>
  <c r="L1229" i="1"/>
  <c r="N1229" i="1" s="1"/>
  <c r="L1230" i="1"/>
  <c r="N1230" i="1" s="1"/>
  <c r="L1231" i="1"/>
  <c r="N1231" i="1" s="1"/>
  <c r="L1232" i="1"/>
  <c r="N1232" i="1" s="1"/>
  <c r="L1233" i="1"/>
  <c r="N1233" i="1" s="1"/>
  <c r="L1234" i="1"/>
  <c r="N1234" i="1" s="1"/>
  <c r="L1235" i="1"/>
  <c r="N1235" i="1" s="1"/>
  <c r="L1236" i="1"/>
  <c r="N1236" i="1" s="1"/>
  <c r="L1237" i="1"/>
  <c r="N1237" i="1" s="1"/>
  <c r="L1238" i="1"/>
  <c r="N1238" i="1" s="1"/>
  <c r="L1239" i="1"/>
  <c r="N1239" i="1" s="1"/>
  <c r="L1240" i="1"/>
  <c r="N1240" i="1" s="1"/>
  <c r="L1241" i="1"/>
  <c r="N1241" i="1" s="1"/>
  <c r="L1242" i="1"/>
  <c r="N1242" i="1" s="1"/>
  <c r="L1243" i="1"/>
  <c r="N1243" i="1" s="1"/>
  <c r="L1244" i="1"/>
  <c r="N1244" i="1" s="1"/>
  <c r="L1245" i="1"/>
  <c r="N1245" i="1" s="1"/>
  <c r="L1246" i="1"/>
  <c r="N1246" i="1" s="1"/>
  <c r="L1247" i="1"/>
  <c r="N1247" i="1" s="1"/>
  <c r="L1248" i="1"/>
  <c r="N1248" i="1" s="1"/>
  <c r="L1249" i="1"/>
  <c r="N1249" i="1" s="1"/>
  <c r="L1250" i="1"/>
  <c r="N1250" i="1" s="1"/>
  <c r="L1251" i="1"/>
  <c r="N1251" i="1" s="1"/>
  <c r="L1252" i="1"/>
  <c r="N1252" i="1" s="1"/>
  <c r="L1253" i="1"/>
  <c r="N1253" i="1" s="1"/>
  <c r="L1254" i="1"/>
  <c r="N1254" i="1" s="1"/>
  <c r="L1255" i="1"/>
  <c r="N1255" i="1" s="1"/>
  <c r="L1256" i="1"/>
  <c r="N1256" i="1" s="1"/>
  <c r="L1257" i="1"/>
  <c r="N1257" i="1" s="1"/>
  <c r="L1258" i="1"/>
  <c r="N1258" i="1" s="1"/>
  <c r="L1259" i="1"/>
  <c r="N1259" i="1" s="1"/>
  <c r="L1260" i="1"/>
  <c r="N1260" i="1" s="1"/>
  <c r="L1261" i="1"/>
  <c r="N1261" i="1" s="1"/>
  <c r="L1262" i="1"/>
  <c r="N1262" i="1" s="1"/>
  <c r="L1263" i="1"/>
  <c r="N1263" i="1" s="1"/>
  <c r="L1264" i="1"/>
  <c r="N1264" i="1" s="1"/>
  <c r="L1265" i="1"/>
  <c r="N1265" i="1" s="1"/>
  <c r="L1266" i="1"/>
  <c r="N1266" i="1" s="1"/>
  <c r="L1267" i="1"/>
  <c r="N1267" i="1" s="1"/>
  <c r="L1268" i="1"/>
  <c r="N1268" i="1" s="1"/>
  <c r="L1269" i="1"/>
  <c r="N1269" i="1" s="1"/>
  <c r="L1270" i="1"/>
  <c r="N1270" i="1" s="1"/>
  <c r="L1271" i="1"/>
  <c r="N1271" i="1" s="1"/>
  <c r="L1272" i="1"/>
  <c r="N1272" i="1" s="1"/>
  <c r="L1273" i="1"/>
  <c r="N1273" i="1" s="1"/>
  <c r="L1274" i="1"/>
  <c r="N1274" i="1" s="1"/>
  <c r="L1275" i="1"/>
  <c r="N1275" i="1" s="1"/>
  <c r="L1276" i="1"/>
  <c r="N1276" i="1" s="1"/>
  <c r="L1277" i="1"/>
  <c r="N1277" i="1" s="1"/>
  <c r="L1278" i="1"/>
  <c r="N1278" i="1" s="1"/>
  <c r="L1279" i="1"/>
  <c r="N1279" i="1" s="1"/>
  <c r="L1280" i="1"/>
  <c r="N1280" i="1" s="1"/>
  <c r="L1281" i="1"/>
  <c r="N1281" i="1" s="1"/>
  <c r="L1282" i="1"/>
  <c r="N1282" i="1" s="1"/>
  <c r="L1283" i="1"/>
  <c r="N1283" i="1" s="1"/>
  <c r="L1284" i="1"/>
  <c r="N1284" i="1" s="1"/>
  <c r="L1285" i="1"/>
  <c r="N1285" i="1" s="1"/>
  <c r="L1286" i="1"/>
  <c r="N1286" i="1" s="1"/>
  <c r="L1287" i="1"/>
  <c r="N1287" i="1" s="1"/>
  <c r="L1288" i="1"/>
  <c r="N1288" i="1" s="1"/>
  <c r="L1289" i="1"/>
  <c r="N1289" i="1" s="1"/>
  <c r="L1290" i="1"/>
  <c r="N1290" i="1" s="1"/>
  <c r="L1291" i="1"/>
  <c r="N1291" i="1" s="1"/>
  <c r="L1292" i="1"/>
  <c r="N1292" i="1" s="1"/>
  <c r="L1293" i="1"/>
  <c r="N1293" i="1" s="1"/>
  <c r="L1294" i="1"/>
  <c r="N1294" i="1" s="1"/>
  <c r="L1295" i="1"/>
  <c r="N1295" i="1" s="1"/>
  <c r="L1296" i="1"/>
  <c r="N1296" i="1" s="1"/>
  <c r="L1297" i="1"/>
  <c r="N1297" i="1" s="1"/>
  <c r="L1298" i="1"/>
  <c r="N1298" i="1" s="1"/>
  <c r="L1299" i="1"/>
  <c r="N1299" i="1" s="1"/>
  <c r="L1300" i="1"/>
  <c r="N1300" i="1" s="1"/>
  <c r="L1301" i="1"/>
  <c r="N1301" i="1" s="1"/>
  <c r="L1302" i="1"/>
  <c r="N1302" i="1" s="1"/>
  <c r="L1303" i="1"/>
  <c r="N1303" i="1" s="1"/>
  <c r="L1304" i="1"/>
  <c r="N1304" i="1" s="1"/>
  <c r="L1305" i="1"/>
  <c r="N1305" i="1" s="1"/>
  <c r="L1306" i="1"/>
  <c r="N1306" i="1" s="1"/>
  <c r="L1307" i="1"/>
  <c r="N1307" i="1" s="1"/>
  <c r="L1308" i="1"/>
  <c r="N1308" i="1" s="1"/>
  <c r="L1309" i="1"/>
  <c r="N1309" i="1" s="1"/>
  <c r="L1310" i="1"/>
  <c r="N1310" i="1" s="1"/>
  <c r="L1311" i="1"/>
  <c r="N1311" i="1" s="1"/>
  <c r="L1312" i="1"/>
  <c r="N1312" i="1" s="1"/>
  <c r="L1313" i="1"/>
  <c r="N1313" i="1" s="1"/>
  <c r="L1314" i="1"/>
  <c r="N1314" i="1" s="1"/>
  <c r="L1315" i="1"/>
  <c r="N1315" i="1" s="1"/>
  <c r="L1316" i="1"/>
  <c r="N1316" i="1" s="1"/>
  <c r="L1317" i="1"/>
  <c r="N1317" i="1" s="1"/>
  <c r="L1318" i="1"/>
  <c r="N1318" i="1" s="1"/>
  <c r="L1319" i="1"/>
  <c r="N1319" i="1" s="1"/>
  <c r="L1320" i="1"/>
  <c r="N1320" i="1" s="1"/>
  <c r="L1321" i="1"/>
  <c r="N1321" i="1" s="1"/>
  <c r="L1322" i="1"/>
  <c r="N1322" i="1" s="1"/>
  <c r="L1323" i="1"/>
  <c r="N1323" i="1" s="1"/>
  <c r="L1324" i="1"/>
  <c r="N1324" i="1" s="1"/>
  <c r="L1325" i="1"/>
  <c r="N1325" i="1" s="1"/>
  <c r="L1326" i="1"/>
  <c r="N1326" i="1" s="1"/>
  <c r="L1327" i="1"/>
  <c r="N1327" i="1" s="1"/>
  <c r="L1328" i="1"/>
  <c r="N1328" i="1" s="1"/>
  <c r="L1329" i="1"/>
  <c r="N1329" i="1" s="1"/>
  <c r="L1330" i="1"/>
  <c r="N1330" i="1" s="1"/>
  <c r="L1331" i="1"/>
  <c r="N1331" i="1" s="1"/>
  <c r="L1332" i="1"/>
  <c r="N1332" i="1" s="1"/>
  <c r="L1333" i="1"/>
  <c r="N1333" i="1" s="1"/>
  <c r="L1334" i="1"/>
  <c r="N1334" i="1" s="1"/>
  <c r="L1335" i="1"/>
  <c r="N1335" i="1" s="1"/>
  <c r="L1336" i="1"/>
  <c r="N1336" i="1" s="1"/>
  <c r="L1337" i="1"/>
  <c r="N1337" i="1" s="1"/>
  <c r="L1338" i="1"/>
  <c r="N1338" i="1" s="1"/>
  <c r="L1339" i="1"/>
  <c r="N1339" i="1" s="1"/>
  <c r="L1340" i="1"/>
  <c r="N1340" i="1" s="1"/>
  <c r="L1341" i="1"/>
  <c r="N1341" i="1" s="1"/>
  <c r="L1342" i="1"/>
  <c r="N1342" i="1" s="1"/>
  <c r="L1343" i="1"/>
  <c r="N1343" i="1" s="1"/>
  <c r="L1344" i="1"/>
  <c r="N1344" i="1" s="1"/>
  <c r="L1345" i="1"/>
  <c r="N1345" i="1" s="1"/>
  <c r="L1346" i="1"/>
  <c r="N1346" i="1" s="1"/>
  <c r="L1347" i="1"/>
  <c r="N1347" i="1" s="1"/>
  <c r="L1348" i="1"/>
  <c r="N1348" i="1" s="1"/>
  <c r="L1349" i="1"/>
  <c r="N1349" i="1" s="1"/>
  <c r="L1350" i="1"/>
  <c r="N1350" i="1" s="1"/>
  <c r="L1351" i="1"/>
  <c r="N1351" i="1" s="1"/>
  <c r="L1352" i="1"/>
  <c r="N1352" i="1" s="1"/>
  <c r="L1353" i="1"/>
  <c r="N1353" i="1" s="1"/>
  <c r="L1354" i="1"/>
  <c r="N1354" i="1" s="1"/>
  <c r="L1355" i="1"/>
  <c r="N1355" i="1" s="1"/>
  <c r="L1356" i="1"/>
  <c r="N1356" i="1" s="1"/>
  <c r="L1357" i="1"/>
  <c r="N1357" i="1" s="1"/>
  <c r="L1358" i="1"/>
  <c r="N1358" i="1" s="1"/>
  <c r="L1359" i="1"/>
  <c r="N1359" i="1" s="1"/>
  <c r="L1360" i="1"/>
  <c r="N1360" i="1" s="1"/>
  <c r="L1361" i="1"/>
  <c r="N1361" i="1" s="1"/>
  <c r="L1362" i="1"/>
  <c r="N1362" i="1" s="1"/>
  <c r="L1363" i="1"/>
  <c r="N1363" i="1" s="1"/>
  <c r="L1364" i="1"/>
  <c r="N1364" i="1" s="1"/>
  <c r="L1365" i="1"/>
  <c r="N1365" i="1" s="1"/>
  <c r="L1366" i="1"/>
  <c r="N1366" i="1" s="1"/>
  <c r="L1367" i="1"/>
  <c r="N1367" i="1" s="1"/>
  <c r="L1368" i="1"/>
  <c r="N1368" i="1" s="1"/>
  <c r="L1369" i="1"/>
  <c r="N1369" i="1" s="1"/>
  <c r="L1370" i="1"/>
  <c r="N1370" i="1" s="1"/>
  <c r="L1371" i="1"/>
  <c r="N1371" i="1" s="1"/>
  <c r="L1372" i="1"/>
  <c r="N1372" i="1" s="1"/>
  <c r="L1373" i="1"/>
  <c r="N1373" i="1" s="1"/>
  <c r="L1374" i="1"/>
  <c r="N1374" i="1" s="1"/>
  <c r="L1375" i="1"/>
  <c r="N1375" i="1" s="1"/>
  <c r="L1376" i="1"/>
  <c r="N1376" i="1" s="1"/>
  <c r="L1377" i="1"/>
  <c r="N1377" i="1" s="1"/>
  <c r="L1378" i="1"/>
  <c r="N1378" i="1" s="1"/>
  <c r="L1379" i="1"/>
  <c r="N1379" i="1" s="1"/>
  <c r="L1380" i="1"/>
  <c r="N1380" i="1" s="1"/>
  <c r="L1381" i="1"/>
  <c r="N1381" i="1" s="1"/>
  <c r="L1382" i="1"/>
  <c r="N1382" i="1" s="1"/>
  <c r="L1383" i="1"/>
  <c r="N1383" i="1" s="1"/>
  <c r="L1384" i="1"/>
  <c r="N1384" i="1" s="1"/>
  <c r="L1385" i="1"/>
  <c r="N1385" i="1" s="1"/>
  <c r="L1386" i="1"/>
  <c r="N1386" i="1" s="1"/>
  <c r="L1387" i="1"/>
  <c r="N1387" i="1" s="1"/>
  <c r="L1388" i="1"/>
  <c r="N1388" i="1" s="1"/>
  <c r="L1389" i="1"/>
  <c r="N1389" i="1" s="1"/>
  <c r="L1390" i="1"/>
  <c r="N1390" i="1" s="1"/>
  <c r="L1391" i="1"/>
  <c r="N1391" i="1" s="1"/>
  <c r="L1392" i="1"/>
  <c r="N1392" i="1" s="1"/>
  <c r="L1393" i="1"/>
  <c r="N1393" i="1" s="1"/>
  <c r="L1394" i="1"/>
  <c r="N1394" i="1" s="1"/>
  <c r="L1395" i="1"/>
  <c r="N1395" i="1" s="1"/>
  <c r="L1396" i="1"/>
  <c r="N1396" i="1" s="1"/>
  <c r="L1397" i="1"/>
  <c r="N1397" i="1" s="1"/>
  <c r="L1398" i="1"/>
  <c r="N1398" i="1" s="1"/>
  <c r="L1399" i="1"/>
  <c r="N1399" i="1" s="1"/>
  <c r="L1400" i="1"/>
  <c r="N1400" i="1" s="1"/>
  <c r="L1401" i="1"/>
  <c r="N1401" i="1" s="1"/>
  <c r="L1402" i="1"/>
  <c r="N1402" i="1" s="1"/>
  <c r="L1403" i="1"/>
  <c r="N1403" i="1" s="1"/>
  <c r="L1404" i="1"/>
  <c r="N1404" i="1" s="1"/>
  <c r="L1405" i="1"/>
  <c r="N1405" i="1" s="1"/>
  <c r="L1406" i="1"/>
  <c r="N1406" i="1" s="1"/>
  <c r="L1407" i="1"/>
  <c r="N1407" i="1" s="1"/>
  <c r="L1408" i="1"/>
  <c r="N1408" i="1" s="1"/>
  <c r="L1409" i="1"/>
  <c r="N1409" i="1" s="1"/>
  <c r="L1410" i="1"/>
  <c r="N1410" i="1" s="1"/>
  <c r="L1411" i="1"/>
  <c r="N1411" i="1" s="1"/>
  <c r="L1412" i="1"/>
  <c r="N1412" i="1" s="1"/>
  <c r="L1413" i="1"/>
  <c r="N1413" i="1" s="1"/>
  <c r="L1414" i="1"/>
  <c r="N1414" i="1" s="1"/>
  <c r="L1415" i="1"/>
  <c r="N1415" i="1" s="1"/>
  <c r="L1416" i="1"/>
  <c r="N1416" i="1" s="1"/>
  <c r="L1417" i="1"/>
  <c r="N1417" i="1" s="1"/>
  <c r="L1418" i="1"/>
  <c r="N1418" i="1" s="1"/>
  <c r="L1419" i="1"/>
  <c r="N1419" i="1" s="1"/>
  <c r="L1420" i="1"/>
  <c r="N1420" i="1" s="1"/>
  <c r="L1421" i="1"/>
  <c r="N1421" i="1" s="1"/>
  <c r="L1422" i="1"/>
  <c r="N1422" i="1" s="1"/>
  <c r="L1423" i="1"/>
  <c r="N1423" i="1" s="1"/>
  <c r="L1424" i="1"/>
  <c r="N1424" i="1" s="1"/>
  <c r="L1425" i="1"/>
  <c r="N1425" i="1" s="1"/>
  <c r="L1426" i="1"/>
  <c r="N1426" i="1" s="1"/>
  <c r="L1427" i="1"/>
  <c r="N1427" i="1" s="1"/>
  <c r="L1428" i="1"/>
  <c r="N1428" i="1" s="1"/>
  <c r="L1429" i="1"/>
  <c r="N1429" i="1" s="1"/>
  <c r="L1430" i="1"/>
  <c r="N1430" i="1" s="1"/>
  <c r="L1431" i="1"/>
  <c r="N1431" i="1" s="1"/>
  <c r="L1432" i="1"/>
  <c r="N1432" i="1" s="1"/>
  <c r="L1433" i="1"/>
  <c r="N1433" i="1" s="1"/>
  <c r="L1434" i="1"/>
  <c r="N1434" i="1" s="1"/>
  <c r="L1435" i="1"/>
  <c r="N1435" i="1" s="1"/>
  <c r="L1436" i="1"/>
  <c r="N1436" i="1" s="1"/>
  <c r="L1437" i="1"/>
  <c r="N1437" i="1" s="1"/>
  <c r="L1438" i="1"/>
  <c r="N1438" i="1" s="1"/>
  <c r="L1439" i="1"/>
  <c r="N1439" i="1" s="1"/>
  <c r="L1440" i="1"/>
  <c r="N1440" i="1" s="1"/>
  <c r="L1441" i="1"/>
  <c r="N1441" i="1" s="1"/>
  <c r="L1442" i="1"/>
  <c r="N1442" i="1" s="1"/>
  <c r="L1443" i="1"/>
  <c r="N1443" i="1" s="1"/>
  <c r="L1444" i="1"/>
  <c r="N1444" i="1" s="1"/>
  <c r="L1445" i="1"/>
  <c r="N1445" i="1" s="1"/>
  <c r="L1446" i="1"/>
  <c r="N1446" i="1" s="1"/>
  <c r="L1447" i="1"/>
  <c r="N1447" i="1" s="1"/>
  <c r="L1448" i="1"/>
  <c r="N1448" i="1" s="1"/>
  <c r="L1449" i="1"/>
  <c r="N1449" i="1" s="1"/>
  <c r="L1450" i="1"/>
  <c r="N1450" i="1" s="1"/>
  <c r="L1451" i="1"/>
  <c r="N1451" i="1" s="1"/>
  <c r="L1452" i="1"/>
  <c r="N1452" i="1" s="1"/>
  <c r="L1453" i="1"/>
  <c r="N1453" i="1" s="1"/>
  <c r="L1454" i="1"/>
  <c r="N1454" i="1" s="1"/>
  <c r="L1455" i="1"/>
  <c r="N1455" i="1" s="1"/>
  <c r="L1456" i="1"/>
  <c r="N1456" i="1" s="1"/>
  <c r="L1457" i="1"/>
  <c r="N1457" i="1" s="1"/>
  <c r="L1458" i="1"/>
  <c r="N1458" i="1" s="1"/>
  <c r="L1459" i="1"/>
  <c r="N1459" i="1" s="1"/>
  <c r="L1460" i="1"/>
  <c r="N1460" i="1" s="1"/>
  <c r="L1461" i="1"/>
  <c r="N1461" i="1" s="1"/>
  <c r="L1462" i="1"/>
  <c r="N1462" i="1" s="1"/>
  <c r="L1463" i="1"/>
  <c r="N1463" i="1" s="1"/>
  <c r="L1464" i="1"/>
  <c r="N1464" i="1" s="1"/>
  <c r="L1465" i="1"/>
  <c r="N1465" i="1" s="1"/>
  <c r="L1466" i="1"/>
  <c r="N1466" i="1" s="1"/>
  <c r="L1467" i="1"/>
  <c r="N1467" i="1" s="1"/>
  <c r="L1468" i="1"/>
  <c r="N1468" i="1" s="1"/>
  <c r="L1469" i="1"/>
  <c r="N1469" i="1" s="1"/>
  <c r="L1470" i="1"/>
  <c r="N1470" i="1" s="1"/>
  <c r="L1471" i="1"/>
  <c r="N1471" i="1" s="1"/>
  <c r="L1472" i="1"/>
  <c r="N1472" i="1" s="1"/>
  <c r="L1473" i="1"/>
  <c r="N1473" i="1" s="1"/>
  <c r="L1474" i="1"/>
  <c r="N1474" i="1" s="1"/>
  <c r="L1475" i="1"/>
  <c r="N1475" i="1" s="1"/>
  <c r="L1476" i="1"/>
  <c r="N1476" i="1" s="1"/>
  <c r="L1477" i="1"/>
  <c r="N1477" i="1" s="1"/>
  <c r="L1478" i="1"/>
  <c r="N1478" i="1" s="1"/>
  <c r="L1479" i="1"/>
  <c r="N1479" i="1" s="1"/>
  <c r="L1480" i="1"/>
  <c r="N1480" i="1" s="1"/>
  <c r="L1481" i="1"/>
  <c r="N1481" i="1" s="1"/>
  <c r="L1482" i="1"/>
  <c r="N1482" i="1" s="1"/>
  <c r="L1483" i="1"/>
  <c r="N1483" i="1" s="1"/>
  <c r="L1484" i="1"/>
  <c r="N1484" i="1" s="1"/>
  <c r="L1485" i="1"/>
  <c r="N1485" i="1" s="1"/>
  <c r="L1486" i="1"/>
  <c r="N1486" i="1" s="1"/>
  <c r="L1487" i="1"/>
  <c r="N1487" i="1" s="1"/>
  <c r="L1488" i="1"/>
  <c r="N1488" i="1" s="1"/>
  <c r="L1489" i="1"/>
  <c r="N1489" i="1" s="1"/>
  <c r="L1490" i="1"/>
  <c r="N1490" i="1" s="1"/>
  <c r="L1491" i="1"/>
  <c r="N1491" i="1" s="1"/>
  <c r="L1492" i="1"/>
  <c r="N1492" i="1" s="1"/>
  <c r="L1493" i="1"/>
  <c r="N1493" i="1" s="1"/>
  <c r="L1494" i="1"/>
  <c r="N1494" i="1" s="1"/>
  <c r="L1495" i="1"/>
  <c r="N1495" i="1" s="1"/>
  <c r="L1496" i="1"/>
  <c r="N1496" i="1" s="1"/>
  <c r="L1497" i="1"/>
  <c r="N1497" i="1" s="1"/>
  <c r="L1498" i="1"/>
  <c r="N1498" i="1" s="1"/>
  <c r="L1499" i="1"/>
  <c r="N1499" i="1" s="1"/>
  <c r="L1500" i="1"/>
  <c r="N1500" i="1" s="1"/>
  <c r="L1501" i="1"/>
  <c r="N1501" i="1" s="1"/>
  <c r="L1502" i="1"/>
  <c r="N1502" i="1" s="1"/>
  <c r="L1503" i="1"/>
  <c r="N1503" i="1" s="1"/>
  <c r="L1504" i="1"/>
  <c r="N1504" i="1" s="1"/>
  <c r="L1505" i="1"/>
  <c r="N1505" i="1" s="1"/>
  <c r="L1506" i="1"/>
  <c r="N1506" i="1" s="1"/>
  <c r="L1507" i="1"/>
  <c r="N1507" i="1" s="1"/>
  <c r="L1508" i="1"/>
  <c r="N1508" i="1" s="1"/>
  <c r="L1509" i="1"/>
  <c r="N1509" i="1" s="1"/>
  <c r="L1510" i="1"/>
  <c r="N1510" i="1" s="1"/>
  <c r="L1511" i="1"/>
  <c r="N1511" i="1" s="1"/>
  <c r="L1512" i="1"/>
  <c r="N1512" i="1" s="1"/>
  <c r="L1513" i="1"/>
  <c r="N1513" i="1" s="1"/>
  <c r="L1514" i="1"/>
  <c r="N1514" i="1" s="1"/>
  <c r="L1515" i="1"/>
  <c r="N1515" i="1" s="1"/>
  <c r="L1516" i="1"/>
  <c r="N1516" i="1" s="1"/>
  <c r="L1517" i="1"/>
  <c r="N1517" i="1" s="1"/>
  <c r="L1518" i="1"/>
  <c r="N1518" i="1" s="1"/>
  <c r="L1519" i="1"/>
  <c r="N1519" i="1" s="1"/>
  <c r="L1520" i="1"/>
  <c r="N1520" i="1" s="1"/>
  <c r="L1521" i="1"/>
  <c r="N1521" i="1" s="1"/>
  <c r="L1522" i="1"/>
  <c r="N1522" i="1" s="1"/>
  <c r="L1523" i="1"/>
  <c r="N1523" i="1" s="1"/>
  <c r="L1524" i="1"/>
  <c r="N1524" i="1" s="1"/>
  <c r="L1525" i="1"/>
  <c r="N1525" i="1" s="1"/>
  <c r="L1526" i="1"/>
  <c r="N1526" i="1" s="1"/>
  <c r="L1527" i="1"/>
  <c r="N1527" i="1" s="1"/>
  <c r="L1528" i="1"/>
  <c r="N1528" i="1" s="1"/>
  <c r="L1529" i="1"/>
  <c r="N1529" i="1" s="1"/>
  <c r="L1530" i="1"/>
  <c r="N1530" i="1" s="1"/>
  <c r="L1531" i="1"/>
  <c r="N1531" i="1" s="1"/>
  <c r="L1532" i="1"/>
  <c r="N1532" i="1" s="1"/>
  <c r="L1533" i="1"/>
  <c r="N1533" i="1" s="1"/>
  <c r="L1534" i="1"/>
  <c r="N1534" i="1" s="1"/>
  <c r="L1535" i="1"/>
  <c r="N1535" i="1" s="1"/>
  <c r="L1536" i="1"/>
  <c r="N1536" i="1" s="1"/>
  <c r="L1537" i="1"/>
  <c r="N1537" i="1" s="1"/>
  <c r="L1538" i="1"/>
  <c r="N1538" i="1" s="1"/>
  <c r="L1539" i="1"/>
  <c r="N1539" i="1" s="1"/>
  <c r="L1540" i="1"/>
  <c r="N1540" i="1" s="1"/>
  <c r="L1541" i="1"/>
  <c r="N1541" i="1" s="1"/>
  <c r="L1542" i="1"/>
  <c r="N1542" i="1" s="1"/>
  <c r="L1543" i="1"/>
  <c r="N1543" i="1" s="1"/>
  <c r="L1544" i="1"/>
  <c r="N1544" i="1" s="1"/>
  <c r="L1545" i="1"/>
  <c r="N1545" i="1" s="1"/>
  <c r="L1546" i="1"/>
  <c r="N1546" i="1" s="1"/>
  <c r="L1547" i="1"/>
  <c r="N1547" i="1" s="1"/>
  <c r="L1548" i="1"/>
  <c r="N1548" i="1" s="1"/>
  <c r="L1549" i="1"/>
  <c r="N1549" i="1" s="1"/>
  <c r="L1550" i="1"/>
  <c r="N1550" i="1" s="1"/>
  <c r="L1551" i="1"/>
  <c r="N1551" i="1" s="1"/>
  <c r="L1552" i="1"/>
  <c r="N1552" i="1" s="1"/>
  <c r="L1553" i="1"/>
  <c r="N1553" i="1" s="1"/>
  <c r="L1554" i="1"/>
  <c r="N1554" i="1" s="1"/>
  <c r="L1555" i="1"/>
  <c r="N1555" i="1" s="1"/>
  <c r="L1556" i="1"/>
  <c r="N1556" i="1" s="1"/>
  <c r="L1557" i="1"/>
  <c r="N1557" i="1" s="1"/>
  <c r="L1558" i="1"/>
  <c r="N1558" i="1" s="1"/>
  <c r="L1559" i="1"/>
  <c r="N1559" i="1" s="1"/>
  <c r="L1560" i="1"/>
  <c r="N1560" i="1" s="1"/>
  <c r="L1561" i="1"/>
  <c r="N1561" i="1" s="1"/>
  <c r="L1562" i="1"/>
  <c r="N1562" i="1" s="1"/>
  <c r="L1563" i="1"/>
  <c r="N1563" i="1" s="1"/>
  <c r="L1564" i="1"/>
  <c r="N1564" i="1" s="1"/>
  <c r="L1565" i="1"/>
  <c r="N1565" i="1" s="1"/>
  <c r="L1566" i="1"/>
  <c r="N1566" i="1" s="1"/>
  <c r="L1567" i="1"/>
  <c r="N1567" i="1" s="1"/>
  <c r="L1568" i="1"/>
  <c r="N1568" i="1" s="1"/>
  <c r="L1569" i="1"/>
  <c r="N1569" i="1" s="1"/>
  <c r="L1570" i="1"/>
  <c r="N1570" i="1" s="1"/>
  <c r="L1571" i="1"/>
  <c r="N1571" i="1" s="1"/>
  <c r="L1572" i="1"/>
  <c r="N1572" i="1" s="1"/>
  <c r="L1573" i="1"/>
  <c r="N1573" i="1" s="1"/>
  <c r="L1574" i="1"/>
  <c r="N1574" i="1" s="1"/>
  <c r="L1575" i="1"/>
  <c r="N1575" i="1" s="1"/>
  <c r="L1576" i="1"/>
  <c r="N1576" i="1" s="1"/>
  <c r="L1577" i="1"/>
  <c r="N1577" i="1" s="1"/>
  <c r="L1578" i="1"/>
  <c r="N1578" i="1" s="1"/>
  <c r="L1579" i="1"/>
  <c r="N1579" i="1" s="1"/>
  <c r="L1580" i="1"/>
  <c r="N1580" i="1" s="1"/>
  <c r="L1581" i="1"/>
  <c r="N1581" i="1" s="1"/>
  <c r="L1582" i="1"/>
  <c r="N1582" i="1" s="1"/>
  <c r="L1583" i="1"/>
  <c r="N1583" i="1" s="1"/>
  <c r="L1584" i="1"/>
  <c r="N1584" i="1" s="1"/>
  <c r="L1585" i="1"/>
  <c r="N1585" i="1" s="1"/>
  <c r="L1586" i="1"/>
  <c r="N1586" i="1" s="1"/>
  <c r="L1587" i="1"/>
  <c r="N1587" i="1" s="1"/>
  <c r="L1588" i="1"/>
  <c r="N1588" i="1" s="1"/>
  <c r="L1589" i="1"/>
  <c r="N1589" i="1" s="1"/>
  <c r="L1590" i="1"/>
  <c r="N1590" i="1" s="1"/>
  <c r="L1591" i="1"/>
  <c r="N1591" i="1" s="1"/>
  <c r="L1592" i="1"/>
  <c r="N1592" i="1" s="1"/>
  <c r="L1593" i="1"/>
  <c r="N1593" i="1" s="1"/>
  <c r="L1594" i="1"/>
  <c r="N1594" i="1" s="1"/>
  <c r="L1595" i="1"/>
  <c r="N1595" i="1" s="1"/>
  <c r="L1596" i="1"/>
  <c r="N1596" i="1" s="1"/>
  <c r="L1597" i="1"/>
  <c r="N1597" i="1" s="1"/>
  <c r="L1598" i="1"/>
  <c r="N1598" i="1" s="1"/>
  <c r="L1599" i="1"/>
  <c r="N1599" i="1" s="1"/>
  <c r="L1600" i="1"/>
  <c r="N1600" i="1" s="1"/>
  <c r="L1601" i="1"/>
  <c r="N1601" i="1" s="1"/>
  <c r="L1602" i="1"/>
  <c r="N1602" i="1" s="1"/>
  <c r="L1603" i="1"/>
  <c r="N1603" i="1" s="1"/>
  <c r="L1604" i="1"/>
  <c r="N1604" i="1" s="1"/>
  <c r="L1605" i="1"/>
  <c r="N1605" i="1" s="1"/>
  <c r="L1606" i="1"/>
  <c r="N1606" i="1" s="1"/>
  <c r="L1607" i="1"/>
  <c r="N1607" i="1" s="1"/>
  <c r="L1608" i="1"/>
  <c r="N1608" i="1" s="1"/>
  <c r="L1609" i="1"/>
  <c r="N1609" i="1" s="1"/>
  <c r="L1610" i="1"/>
  <c r="N1610" i="1" s="1"/>
  <c r="L1611" i="1"/>
  <c r="N1611" i="1" s="1"/>
  <c r="L1612" i="1"/>
  <c r="N1612" i="1" s="1"/>
  <c r="L1613" i="1"/>
  <c r="N1613" i="1" s="1"/>
  <c r="L1614" i="1"/>
  <c r="N1614" i="1" s="1"/>
  <c r="L1615" i="1"/>
  <c r="N1615" i="1" s="1"/>
  <c r="L1616" i="1"/>
  <c r="N1616" i="1" s="1"/>
  <c r="L1617" i="1"/>
  <c r="N1617" i="1" s="1"/>
  <c r="L1618" i="1"/>
  <c r="N1618" i="1" s="1"/>
  <c r="L1619" i="1"/>
  <c r="N1619" i="1" s="1"/>
  <c r="L1620" i="1"/>
  <c r="N1620" i="1" s="1"/>
  <c r="L1621" i="1"/>
  <c r="N1621" i="1" s="1"/>
  <c r="L1622" i="1"/>
  <c r="N1622" i="1" s="1"/>
  <c r="L1623" i="1"/>
  <c r="N1623" i="1" s="1"/>
  <c r="L1624" i="1"/>
  <c r="N1624" i="1" s="1"/>
  <c r="L1625" i="1"/>
  <c r="N1625" i="1" s="1"/>
  <c r="L1626" i="1"/>
  <c r="N1626" i="1" s="1"/>
  <c r="L1627" i="1"/>
  <c r="N1627" i="1" s="1"/>
  <c r="L1628" i="1"/>
  <c r="N1628" i="1" s="1"/>
  <c r="L1629" i="1"/>
  <c r="N1629" i="1" s="1"/>
  <c r="L1630" i="1"/>
  <c r="N1630" i="1" s="1"/>
  <c r="L1631" i="1"/>
  <c r="N1631" i="1" s="1"/>
  <c r="L1632" i="1"/>
  <c r="N1632" i="1" s="1"/>
  <c r="L1633" i="1"/>
  <c r="N1633" i="1" s="1"/>
  <c r="L1634" i="1"/>
  <c r="N1634" i="1" s="1"/>
  <c r="L1635" i="1"/>
  <c r="N1635" i="1" s="1"/>
  <c r="L1636" i="1"/>
  <c r="N1636" i="1" s="1"/>
  <c r="L1637" i="1"/>
  <c r="N1637" i="1" s="1"/>
  <c r="L1638" i="1"/>
  <c r="N1638" i="1" s="1"/>
  <c r="L1639" i="1"/>
  <c r="N1639" i="1" s="1"/>
  <c r="L1640" i="1"/>
  <c r="N1640" i="1" s="1"/>
  <c r="L1641" i="1"/>
  <c r="N1641" i="1" s="1"/>
  <c r="L1642" i="1"/>
  <c r="N1642" i="1" s="1"/>
  <c r="L1643" i="1"/>
  <c r="N1643" i="1" s="1"/>
  <c r="L1644" i="1"/>
  <c r="N1644" i="1" s="1"/>
  <c r="L1645" i="1"/>
  <c r="N1645" i="1" s="1"/>
  <c r="L1646" i="1"/>
  <c r="N1646" i="1" s="1"/>
  <c r="L1647" i="1"/>
  <c r="N1647" i="1" s="1"/>
  <c r="L1648" i="1"/>
  <c r="N1648" i="1" s="1"/>
  <c r="L1649" i="1"/>
  <c r="N1649" i="1" s="1"/>
  <c r="L1650" i="1"/>
  <c r="N1650" i="1" s="1"/>
  <c r="L1651" i="1"/>
  <c r="N1651" i="1" s="1"/>
  <c r="L1652" i="1"/>
  <c r="N1652" i="1" s="1"/>
  <c r="L1653" i="1"/>
  <c r="N1653" i="1" s="1"/>
  <c r="L1654" i="1"/>
  <c r="N1654" i="1" s="1"/>
  <c r="L1655" i="1"/>
  <c r="N1655" i="1" s="1"/>
  <c r="L1656" i="1"/>
  <c r="N1656" i="1" s="1"/>
  <c r="L1657" i="1"/>
  <c r="N1657" i="1" s="1"/>
  <c r="L1658" i="1"/>
  <c r="N1658" i="1" s="1"/>
  <c r="L1659" i="1"/>
  <c r="N1659" i="1" s="1"/>
  <c r="L1660" i="1"/>
  <c r="N1660" i="1" s="1"/>
  <c r="L1661" i="1"/>
  <c r="N1661" i="1" s="1"/>
  <c r="L1662" i="1"/>
  <c r="N1662" i="1" s="1"/>
  <c r="L1663" i="1"/>
  <c r="N1663" i="1" s="1"/>
  <c r="L1664" i="1"/>
  <c r="N1664" i="1" s="1"/>
  <c r="L1665" i="1"/>
  <c r="N1665" i="1" s="1"/>
  <c r="L1666" i="1"/>
  <c r="N1666" i="1" s="1"/>
  <c r="L1667" i="1"/>
  <c r="N1667" i="1" s="1"/>
  <c r="L1668" i="1"/>
  <c r="N1668" i="1" s="1"/>
  <c r="L1669" i="1"/>
  <c r="N1669" i="1" s="1"/>
  <c r="L1670" i="1"/>
  <c r="N1670" i="1" s="1"/>
  <c r="L1671" i="1"/>
  <c r="N1671" i="1" s="1"/>
  <c r="L1672" i="1"/>
  <c r="N1672" i="1" s="1"/>
  <c r="L1673" i="1"/>
  <c r="N1673" i="1" s="1"/>
  <c r="L1674" i="1"/>
  <c r="N1674" i="1" s="1"/>
  <c r="L1675" i="1"/>
  <c r="N1675" i="1" s="1"/>
  <c r="L1676" i="1"/>
  <c r="N1676" i="1" s="1"/>
  <c r="L1677" i="1"/>
  <c r="N1677" i="1" s="1"/>
  <c r="L1678" i="1"/>
  <c r="N1678" i="1" s="1"/>
  <c r="L1679" i="1"/>
  <c r="N1679" i="1" s="1"/>
  <c r="L1680" i="1"/>
  <c r="N1680" i="1" s="1"/>
  <c r="L1681" i="1"/>
  <c r="N1681" i="1" s="1"/>
  <c r="L1682" i="1"/>
  <c r="N1682" i="1" s="1"/>
  <c r="L1683" i="1"/>
  <c r="N1683" i="1" s="1"/>
  <c r="L1684" i="1"/>
  <c r="N1684" i="1" s="1"/>
  <c r="L1685" i="1"/>
  <c r="N1685" i="1" s="1"/>
  <c r="L1686" i="1"/>
  <c r="N1686" i="1" s="1"/>
  <c r="L1687" i="1"/>
  <c r="N1687" i="1" s="1"/>
  <c r="L1688" i="1"/>
  <c r="N1688" i="1" s="1"/>
  <c r="L1689" i="1"/>
  <c r="N1689" i="1" s="1"/>
  <c r="L1690" i="1"/>
  <c r="N1690" i="1" s="1"/>
  <c r="L1691" i="1"/>
  <c r="N1691" i="1" s="1"/>
  <c r="L1692" i="1"/>
  <c r="N1692" i="1" s="1"/>
  <c r="L1693" i="1"/>
  <c r="N1693" i="1" s="1"/>
  <c r="L1694" i="1"/>
  <c r="N1694" i="1" s="1"/>
  <c r="L1695" i="1"/>
  <c r="N1695" i="1" s="1"/>
  <c r="L1696" i="1"/>
  <c r="N1696" i="1" s="1"/>
  <c r="L1697" i="1"/>
  <c r="N1697" i="1" s="1"/>
  <c r="L1698" i="1"/>
  <c r="N1698" i="1" s="1"/>
  <c r="L1699" i="1"/>
  <c r="N1699" i="1" s="1"/>
  <c r="L1700" i="1"/>
  <c r="N1700" i="1" s="1"/>
  <c r="L1701" i="1"/>
  <c r="N1701" i="1" s="1"/>
  <c r="L1702" i="1"/>
  <c r="N1702" i="1" s="1"/>
  <c r="L1703" i="1"/>
  <c r="N1703" i="1" s="1"/>
  <c r="L1704" i="1"/>
  <c r="N1704" i="1" s="1"/>
  <c r="L1705" i="1"/>
  <c r="N1705" i="1" s="1"/>
  <c r="L1706" i="1"/>
  <c r="N1706" i="1" s="1"/>
  <c r="L1707" i="1"/>
  <c r="N1707" i="1" s="1"/>
  <c r="L1708" i="1"/>
  <c r="N1708" i="1" s="1"/>
  <c r="L1709" i="1"/>
  <c r="N1709" i="1" s="1"/>
  <c r="L1710" i="1"/>
  <c r="N1710" i="1" s="1"/>
  <c r="L1711" i="1"/>
  <c r="N1711" i="1" s="1"/>
  <c r="L1712" i="1"/>
  <c r="N1712" i="1" s="1"/>
  <c r="L1713" i="1"/>
  <c r="N1713" i="1" s="1"/>
  <c r="L1714" i="1"/>
  <c r="N1714" i="1" s="1"/>
  <c r="L1715" i="1"/>
  <c r="N1715" i="1" s="1"/>
  <c r="L1716" i="1"/>
  <c r="N1716" i="1" s="1"/>
  <c r="L1717" i="1"/>
  <c r="N1717" i="1" s="1"/>
  <c r="L1718" i="1"/>
  <c r="N1718" i="1" s="1"/>
  <c r="L1719" i="1"/>
  <c r="N1719" i="1" s="1"/>
  <c r="L1720" i="1"/>
  <c r="N1720" i="1" s="1"/>
  <c r="L1721" i="1"/>
  <c r="N1721" i="1" s="1"/>
  <c r="L1722" i="1"/>
  <c r="N1722" i="1" s="1"/>
  <c r="L1723" i="1"/>
  <c r="N1723" i="1" s="1"/>
  <c r="L1724" i="1"/>
  <c r="N1724" i="1" s="1"/>
  <c r="L1725" i="1"/>
  <c r="N1725" i="1" s="1"/>
  <c r="L1726" i="1"/>
  <c r="N1726" i="1" s="1"/>
  <c r="L1727" i="1"/>
  <c r="N1727" i="1" s="1"/>
  <c r="L1728" i="1"/>
  <c r="N1728" i="1" s="1"/>
  <c r="L1729" i="1"/>
  <c r="N1729" i="1" s="1"/>
  <c r="L1730" i="1"/>
  <c r="N1730" i="1" s="1"/>
  <c r="L1731" i="1"/>
  <c r="N1731" i="1" s="1"/>
  <c r="L1732" i="1"/>
  <c r="N1732" i="1" s="1"/>
  <c r="L1733" i="1"/>
  <c r="N1733" i="1" s="1"/>
  <c r="L1734" i="1"/>
  <c r="N1734" i="1" s="1"/>
  <c r="L1735" i="1"/>
  <c r="N1735" i="1" s="1"/>
  <c r="L1736" i="1"/>
  <c r="N1736" i="1" s="1"/>
  <c r="L1737" i="1"/>
  <c r="N1737" i="1" s="1"/>
  <c r="L1738" i="1"/>
  <c r="N1738" i="1" s="1"/>
  <c r="L1739" i="1"/>
  <c r="N1739" i="1" s="1"/>
  <c r="L1740" i="1"/>
  <c r="N1740" i="1" s="1"/>
  <c r="L1741" i="1"/>
  <c r="N1741" i="1" s="1"/>
  <c r="L1742" i="1"/>
  <c r="N1742" i="1" s="1"/>
  <c r="L1743" i="1"/>
  <c r="N1743" i="1" s="1"/>
  <c r="L1744" i="1"/>
  <c r="N1744" i="1" s="1"/>
  <c r="L1745" i="1"/>
  <c r="N1745" i="1" s="1"/>
  <c r="L1746" i="1"/>
  <c r="N1746" i="1" s="1"/>
  <c r="L1747" i="1"/>
  <c r="N1747" i="1" s="1"/>
  <c r="L1748" i="1"/>
  <c r="N1748" i="1" s="1"/>
  <c r="L1749" i="1"/>
  <c r="N1749" i="1" s="1"/>
  <c r="L1750" i="1"/>
  <c r="N1750" i="1" s="1"/>
  <c r="L1751" i="1"/>
  <c r="N1751" i="1" s="1"/>
  <c r="L1752" i="1"/>
  <c r="N1752" i="1" s="1"/>
  <c r="L1753" i="1"/>
  <c r="N1753" i="1" s="1"/>
  <c r="L1754" i="1"/>
  <c r="N1754" i="1" s="1"/>
  <c r="L1755" i="1"/>
  <c r="N1755" i="1" s="1"/>
  <c r="L1756" i="1"/>
  <c r="N1756" i="1" s="1"/>
  <c r="L1757" i="1"/>
  <c r="N1757" i="1" s="1"/>
  <c r="L1758" i="1"/>
  <c r="N1758" i="1" s="1"/>
  <c r="L1759" i="1"/>
  <c r="N1759" i="1" s="1"/>
  <c r="L1760" i="1"/>
  <c r="N1760" i="1" s="1"/>
  <c r="L1761" i="1"/>
  <c r="N1761" i="1" s="1"/>
  <c r="L1762" i="1"/>
  <c r="N1762" i="1" s="1"/>
  <c r="L1763" i="1"/>
  <c r="N1763" i="1" s="1"/>
  <c r="L1764" i="1"/>
  <c r="N1764" i="1" s="1"/>
  <c r="L1765" i="1"/>
  <c r="N1765" i="1" s="1"/>
  <c r="L1766" i="1"/>
  <c r="N1766" i="1" s="1"/>
  <c r="L1767" i="1"/>
  <c r="N1767" i="1" s="1"/>
  <c r="L1768" i="1"/>
  <c r="N1768" i="1" s="1"/>
  <c r="L1769" i="1"/>
  <c r="N1769" i="1" s="1"/>
  <c r="L1770" i="1"/>
  <c r="N1770" i="1" s="1"/>
  <c r="L1771" i="1"/>
  <c r="N1771" i="1" s="1"/>
  <c r="L1772" i="1"/>
  <c r="N1772" i="1" s="1"/>
  <c r="L1773" i="1"/>
  <c r="N1773" i="1" s="1"/>
  <c r="L1774" i="1"/>
  <c r="N1774" i="1" s="1"/>
  <c r="L1775" i="1"/>
  <c r="N1775" i="1" s="1"/>
  <c r="L1776" i="1"/>
  <c r="N1776" i="1" s="1"/>
  <c r="L1777" i="1"/>
  <c r="N1777" i="1" s="1"/>
  <c r="L1778" i="1"/>
  <c r="N1778" i="1" s="1"/>
  <c r="L1779" i="1"/>
  <c r="N1779" i="1" s="1"/>
  <c r="L1780" i="1"/>
  <c r="N1780" i="1" s="1"/>
  <c r="L1781" i="1"/>
  <c r="N1781" i="1" s="1"/>
  <c r="L1782" i="1"/>
  <c r="N1782" i="1" s="1"/>
  <c r="L1783" i="1"/>
  <c r="N1783" i="1" s="1"/>
  <c r="L1784" i="1"/>
  <c r="N1784" i="1" s="1"/>
  <c r="L1785" i="1"/>
  <c r="N1785" i="1" s="1"/>
  <c r="L1786" i="1"/>
  <c r="N1786" i="1" s="1"/>
  <c r="L1787" i="1"/>
  <c r="N1787" i="1" s="1"/>
  <c r="L1788" i="1"/>
  <c r="N1788" i="1" s="1"/>
  <c r="L1789" i="1"/>
  <c r="N1789" i="1" s="1"/>
  <c r="L1790" i="1"/>
  <c r="N1790" i="1" s="1"/>
  <c r="L1791" i="1"/>
  <c r="N1791" i="1" s="1"/>
  <c r="L1792" i="1"/>
  <c r="N1792" i="1" s="1"/>
  <c r="L1793" i="1"/>
  <c r="N1793" i="1" s="1"/>
  <c r="L1794" i="1"/>
  <c r="N1794" i="1" s="1"/>
  <c r="L1795" i="1"/>
  <c r="N1795" i="1" s="1"/>
  <c r="L1796" i="1"/>
  <c r="N1796" i="1" s="1"/>
  <c r="L1797" i="1"/>
  <c r="N1797" i="1" s="1"/>
  <c r="L1798" i="1"/>
  <c r="N1798" i="1" s="1"/>
  <c r="L1799" i="1"/>
  <c r="N1799" i="1" s="1"/>
  <c r="L1800" i="1"/>
  <c r="N1800" i="1" s="1"/>
  <c r="L1801" i="1"/>
  <c r="N1801" i="1" s="1"/>
  <c r="L1802" i="1"/>
  <c r="N1802" i="1" s="1"/>
  <c r="L1803" i="1"/>
  <c r="N1803" i="1" s="1"/>
  <c r="L1804" i="1"/>
  <c r="N1804" i="1" s="1"/>
  <c r="L1805" i="1"/>
  <c r="N1805" i="1" s="1"/>
  <c r="L1806" i="1"/>
  <c r="N1806" i="1" s="1"/>
  <c r="L1807" i="1"/>
  <c r="N1807" i="1" s="1"/>
  <c r="L1808" i="1"/>
  <c r="N1808" i="1" s="1"/>
  <c r="L1809" i="1"/>
  <c r="N1809" i="1" s="1"/>
  <c r="L1810" i="1"/>
  <c r="N1810" i="1" s="1"/>
  <c r="L1811" i="1"/>
  <c r="N1811" i="1" s="1"/>
  <c r="L1812" i="1"/>
  <c r="N1812" i="1" s="1"/>
  <c r="L1813" i="1"/>
  <c r="N1813" i="1" s="1"/>
  <c r="L1814" i="1"/>
  <c r="N1814" i="1" s="1"/>
  <c r="L1815" i="1"/>
  <c r="N1815" i="1" s="1"/>
  <c r="L1816" i="1"/>
  <c r="N1816" i="1" s="1"/>
  <c r="L1817" i="1"/>
  <c r="N1817" i="1" s="1"/>
  <c r="L1818" i="1"/>
  <c r="N1818" i="1" s="1"/>
  <c r="L1819" i="1"/>
  <c r="N1819" i="1" s="1"/>
  <c r="L1820" i="1"/>
  <c r="N1820" i="1" s="1"/>
  <c r="L1821" i="1"/>
  <c r="N1821" i="1" s="1"/>
  <c r="L1822" i="1"/>
  <c r="N1822" i="1" s="1"/>
  <c r="L1823" i="1"/>
  <c r="N1823" i="1" s="1"/>
  <c r="L1824" i="1"/>
  <c r="N1824" i="1" s="1"/>
  <c r="L1825" i="1"/>
  <c r="N1825" i="1" s="1"/>
  <c r="L1826" i="1"/>
  <c r="N1826" i="1" s="1"/>
  <c r="L1827" i="1"/>
  <c r="N1827" i="1" s="1"/>
  <c r="L1828" i="1"/>
  <c r="N1828" i="1" s="1"/>
  <c r="L1829" i="1"/>
  <c r="N1829" i="1" s="1"/>
  <c r="L1830" i="1"/>
  <c r="N1830" i="1" s="1"/>
  <c r="L1831" i="1"/>
  <c r="N1831" i="1" s="1"/>
  <c r="L1832" i="1"/>
  <c r="N1832" i="1" s="1"/>
  <c r="L1833" i="1"/>
  <c r="N1833" i="1" s="1"/>
  <c r="L1834" i="1"/>
  <c r="N1834" i="1" s="1"/>
  <c r="L1835" i="1"/>
  <c r="N1835" i="1" s="1"/>
  <c r="L1836" i="1"/>
  <c r="N1836" i="1" s="1"/>
  <c r="L1837" i="1"/>
  <c r="N1837" i="1" s="1"/>
  <c r="L1838" i="1"/>
  <c r="N1838" i="1" s="1"/>
  <c r="L1839" i="1"/>
  <c r="N1839" i="1" s="1"/>
  <c r="L1840" i="1"/>
  <c r="N1840" i="1" s="1"/>
  <c r="L1841" i="1"/>
  <c r="N1841" i="1" s="1"/>
  <c r="L1842" i="1"/>
  <c r="N1842" i="1" s="1"/>
  <c r="L1843" i="1"/>
  <c r="N1843" i="1" s="1"/>
  <c r="L1844" i="1"/>
  <c r="N1844" i="1" s="1"/>
  <c r="L1845" i="1"/>
  <c r="N1845" i="1" s="1"/>
  <c r="L1846" i="1"/>
  <c r="N1846" i="1" s="1"/>
  <c r="L1847" i="1"/>
  <c r="N1847" i="1" s="1"/>
  <c r="L1848" i="1"/>
  <c r="N1848" i="1" s="1"/>
  <c r="L1849" i="1"/>
  <c r="N1849" i="1" s="1"/>
  <c r="L1850" i="1"/>
  <c r="N1850" i="1" s="1"/>
  <c r="L1851" i="1"/>
  <c r="N1851" i="1" s="1"/>
  <c r="L1852" i="1"/>
  <c r="N1852" i="1" s="1"/>
  <c r="L1853" i="1"/>
  <c r="N1853" i="1" s="1"/>
  <c r="L1854" i="1"/>
  <c r="N1854" i="1" s="1"/>
  <c r="L1855" i="1"/>
  <c r="N1855" i="1" s="1"/>
  <c r="L1856" i="1"/>
  <c r="N1856" i="1" s="1"/>
  <c r="L1857" i="1"/>
  <c r="N1857" i="1" s="1"/>
  <c r="L1858" i="1"/>
  <c r="N1858" i="1" s="1"/>
  <c r="L1859" i="1"/>
  <c r="N1859" i="1" s="1"/>
  <c r="L1860" i="1"/>
  <c r="N1860" i="1" s="1"/>
  <c r="L1861" i="1"/>
  <c r="N1861" i="1" s="1"/>
  <c r="L1862" i="1"/>
  <c r="N1862" i="1" s="1"/>
  <c r="L1863" i="1"/>
  <c r="N1863" i="1" s="1"/>
  <c r="L1864" i="1"/>
  <c r="N1864" i="1" s="1"/>
  <c r="L1865" i="1"/>
  <c r="N1865" i="1" s="1"/>
  <c r="L1866" i="1"/>
  <c r="N1866" i="1" s="1"/>
  <c r="L1867" i="1"/>
  <c r="N1867" i="1" s="1"/>
  <c r="L1868" i="1"/>
  <c r="N1868" i="1" s="1"/>
  <c r="L1869" i="1"/>
  <c r="N1869" i="1" s="1"/>
  <c r="L1870" i="1"/>
  <c r="N1870" i="1" s="1"/>
  <c r="L1871" i="1"/>
  <c r="N1871" i="1" s="1"/>
  <c r="L1872" i="1"/>
  <c r="N1872" i="1" s="1"/>
  <c r="L1873" i="1"/>
  <c r="N1873" i="1" s="1"/>
  <c r="L1874" i="1"/>
  <c r="N1874" i="1" s="1"/>
  <c r="L1875" i="1"/>
  <c r="N1875" i="1" s="1"/>
  <c r="L1876" i="1"/>
  <c r="N1876" i="1" s="1"/>
  <c r="L1877" i="1"/>
  <c r="N1877" i="1" s="1"/>
  <c r="L1878" i="1"/>
  <c r="N1878" i="1" s="1"/>
  <c r="L1879" i="1"/>
  <c r="N1879" i="1" s="1"/>
  <c r="L1880" i="1"/>
  <c r="N1880" i="1" s="1"/>
  <c r="L1881" i="1"/>
  <c r="N1881" i="1" s="1"/>
  <c r="L1882" i="1"/>
  <c r="N1882" i="1" s="1"/>
  <c r="L1883" i="1"/>
  <c r="N1883" i="1" s="1"/>
  <c r="L1884" i="1"/>
  <c r="N1884" i="1" s="1"/>
  <c r="L1885" i="1"/>
  <c r="N1885" i="1" s="1"/>
  <c r="L1886" i="1"/>
  <c r="N1886" i="1" s="1"/>
  <c r="L1887" i="1"/>
  <c r="N1887" i="1" s="1"/>
  <c r="L1888" i="1"/>
  <c r="N1888" i="1" s="1"/>
  <c r="L1889" i="1"/>
  <c r="N1889" i="1" s="1"/>
  <c r="L1890" i="1"/>
  <c r="N1890" i="1" s="1"/>
  <c r="L1891" i="1"/>
  <c r="N1891" i="1" s="1"/>
  <c r="L1892" i="1"/>
  <c r="N1892" i="1" s="1"/>
  <c r="L1893" i="1"/>
  <c r="N1893" i="1" s="1"/>
  <c r="L1894" i="1"/>
  <c r="N1894" i="1" s="1"/>
  <c r="L1895" i="1"/>
  <c r="N1895" i="1" s="1"/>
  <c r="L1896" i="1"/>
  <c r="N1896" i="1" s="1"/>
  <c r="L1897" i="1"/>
  <c r="N1897" i="1" s="1"/>
  <c r="L1898" i="1"/>
  <c r="N1898" i="1" s="1"/>
  <c r="L1899" i="1"/>
  <c r="N1899" i="1" s="1"/>
  <c r="L1900" i="1"/>
  <c r="N1900" i="1" s="1"/>
  <c r="L1901" i="1"/>
  <c r="N1901" i="1" s="1"/>
  <c r="L1902" i="1"/>
  <c r="N1902" i="1" s="1"/>
  <c r="L1903" i="1"/>
  <c r="N1903" i="1" s="1"/>
  <c r="L1904" i="1"/>
  <c r="N1904" i="1" s="1"/>
  <c r="L1905" i="1"/>
  <c r="N1905" i="1" s="1"/>
  <c r="L1906" i="1"/>
  <c r="N1906" i="1" s="1"/>
  <c r="L1907" i="1"/>
  <c r="N1907" i="1" s="1"/>
  <c r="L1908" i="1"/>
  <c r="N1908" i="1" s="1"/>
  <c r="L1909" i="1"/>
  <c r="N1909" i="1" s="1"/>
  <c r="L1910" i="1"/>
  <c r="N1910" i="1" s="1"/>
  <c r="L1911" i="1"/>
  <c r="N1911" i="1" s="1"/>
  <c r="L1912" i="1"/>
  <c r="N1912" i="1" s="1"/>
  <c r="L1913" i="1"/>
  <c r="N1913" i="1" s="1"/>
  <c r="L1914" i="1"/>
  <c r="N1914" i="1" s="1"/>
  <c r="L1915" i="1"/>
  <c r="N1915" i="1" s="1"/>
  <c r="L1916" i="1"/>
  <c r="N1916" i="1" s="1"/>
  <c r="L1917" i="1"/>
  <c r="N1917" i="1" s="1"/>
  <c r="L1918" i="1"/>
  <c r="N1918" i="1" s="1"/>
  <c r="L1919" i="1"/>
  <c r="N1919" i="1" s="1"/>
  <c r="L1920" i="1"/>
  <c r="N1920" i="1" s="1"/>
  <c r="L1921" i="1"/>
  <c r="N1921" i="1" s="1"/>
  <c r="L1922" i="1"/>
  <c r="N1922" i="1" s="1"/>
  <c r="L1923" i="1"/>
  <c r="N1923" i="1" s="1"/>
  <c r="L1924" i="1"/>
  <c r="N1924" i="1" s="1"/>
  <c r="L1925" i="1"/>
  <c r="N1925" i="1" s="1"/>
  <c r="L1926" i="1"/>
  <c r="N1926" i="1" s="1"/>
  <c r="L1927" i="1"/>
  <c r="N1927" i="1" s="1"/>
  <c r="L1928" i="1"/>
  <c r="N1928" i="1" s="1"/>
  <c r="L1929" i="1"/>
  <c r="N1929" i="1" s="1"/>
  <c r="L1930" i="1"/>
  <c r="N1930" i="1" s="1"/>
  <c r="L1931" i="1"/>
  <c r="N1931" i="1" s="1"/>
  <c r="L1932" i="1"/>
  <c r="N1932" i="1" s="1"/>
  <c r="L1933" i="1"/>
  <c r="N1933" i="1" s="1"/>
  <c r="L1934" i="1"/>
  <c r="N1934" i="1" s="1"/>
  <c r="L1935" i="1"/>
  <c r="N1935" i="1" s="1"/>
  <c r="L1936" i="1"/>
  <c r="N1936" i="1" s="1"/>
  <c r="L1937" i="1"/>
  <c r="N1937" i="1" s="1"/>
  <c r="L1938" i="1"/>
  <c r="N1938" i="1" s="1"/>
  <c r="L1939" i="1"/>
  <c r="N1939" i="1" s="1"/>
  <c r="L1940" i="1"/>
  <c r="N1940" i="1" s="1"/>
  <c r="L1941" i="1"/>
  <c r="N1941" i="1" s="1"/>
  <c r="L1942" i="1"/>
  <c r="N1942" i="1" s="1"/>
  <c r="L1943" i="1"/>
  <c r="N1943" i="1" s="1"/>
  <c r="L1944" i="1"/>
  <c r="N1944" i="1" s="1"/>
  <c r="L1945" i="1"/>
  <c r="N1945" i="1" s="1"/>
  <c r="L1946" i="1"/>
  <c r="N1946" i="1" s="1"/>
  <c r="L1947" i="1"/>
  <c r="N1947" i="1" s="1"/>
  <c r="L1948" i="1"/>
  <c r="N1948" i="1" s="1"/>
  <c r="L1949" i="1"/>
  <c r="N1949" i="1" s="1"/>
  <c r="L1950" i="1"/>
  <c r="N1950" i="1" s="1"/>
  <c r="L1951" i="1"/>
  <c r="N1951" i="1" s="1"/>
  <c r="L1952" i="1"/>
  <c r="N1952" i="1" s="1"/>
  <c r="L1953" i="1"/>
  <c r="N1953" i="1" s="1"/>
  <c r="L1954" i="1"/>
  <c r="N1954" i="1" s="1"/>
  <c r="L1955" i="1"/>
  <c r="N1955" i="1" s="1"/>
  <c r="L1956" i="1"/>
  <c r="N1956" i="1" s="1"/>
  <c r="L1957" i="1"/>
  <c r="N1957" i="1" s="1"/>
  <c r="L1958" i="1"/>
  <c r="N1958" i="1" s="1"/>
  <c r="L1959" i="1"/>
  <c r="N1959" i="1" s="1"/>
  <c r="L1960" i="1"/>
  <c r="N1960" i="1" s="1"/>
  <c r="L1961" i="1"/>
  <c r="N1961" i="1" s="1"/>
  <c r="L1962" i="1"/>
  <c r="N1962" i="1" s="1"/>
  <c r="L1963" i="1"/>
  <c r="N1963" i="1" s="1"/>
  <c r="L1964" i="1"/>
  <c r="N1964" i="1" s="1"/>
  <c r="L1965" i="1"/>
  <c r="N1965" i="1" s="1"/>
  <c r="L1966" i="1"/>
  <c r="N1966" i="1" s="1"/>
  <c r="L1967" i="1"/>
  <c r="N1967" i="1" s="1"/>
  <c r="L1968" i="1"/>
  <c r="N1968" i="1" s="1"/>
  <c r="L1969" i="1"/>
  <c r="N1969" i="1" s="1"/>
  <c r="L1970" i="1"/>
  <c r="N1970" i="1" s="1"/>
  <c r="L1971" i="1"/>
  <c r="N1971" i="1" s="1"/>
  <c r="L1972" i="1"/>
  <c r="N1972" i="1" s="1"/>
  <c r="L1973" i="1"/>
  <c r="N1973" i="1" s="1"/>
  <c r="L1974" i="1"/>
  <c r="N1974" i="1" s="1"/>
  <c r="L1975" i="1"/>
  <c r="N1975" i="1" s="1"/>
  <c r="L1976" i="1"/>
  <c r="N1976" i="1" s="1"/>
  <c r="L1977" i="1"/>
  <c r="N1977" i="1" s="1"/>
  <c r="L1978" i="1"/>
  <c r="N1978" i="1" s="1"/>
  <c r="L1979" i="1"/>
  <c r="N1979" i="1" s="1"/>
  <c r="L1980" i="1"/>
  <c r="N1980" i="1" s="1"/>
  <c r="L1981" i="1"/>
  <c r="N1981" i="1" s="1"/>
  <c r="L1982" i="1"/>
  <c r="N1982" i="1" s="1"/>
  <c r="L1983" i="1"/>
  <c r="N1983" i="1" s="1"/>
  <c r="L1984" i="1"/>
  <c r="N1984" i="1" s="1"/>
  <c r="L1985" i="1"/>
  <c r="N1985" i="1" s="1"/>
  <c r="L1986" i="1"/>
  <c r="N1986" i="1" s="1"/>
  <c r="L1987" i="1"/>
  <c r="N1987" i="1" s="1"/>
  <c r="L1988" i="1"/>
  <c r="N1988" i="1" s="1"/>
  <c r="L1989" i="1"/>
  <c r="N1989" i="1" s="1"/>
  <c r="L1990" i="1"/>
  <c r="N1990" i="1" s="1"/>
  <c r="L1991" i="1"/>
  <c r="N1991" i="1" s="1"/>
  <c r="L1992" i="1"/>
  <c r="N1992" i="1" s="1"/>
  <c r="L1993" i="1"/>
  <c r="N1993" i="1" s="1"/>
  <c r="L1994" i="1"/>
  <c r="N1994" i="1" s="1"/>
  <c r="L1995" i="1"/>
  <c r="N1995" i="1" s="1"/>
  <c r="L1996" i="1"/>
  <c r="N1996" i="1" s="1"/>
  <c r="L1997" i="1"/>
  <c r="N1997" i="1" s="1"/>
  <c r="L1998" i="1"/>
  <c r="N1998" i="1" s="1"/>
  <c r="L1999" i="1"/>
  <c r="N1999" i="1" s="1"/>
  <c r="L2000" i="1"/>
  <c r="N2000" i="1" s="1"/>
  <c r="L2001" i="1"/>
  <c r="N2001" i="1" s="1"/>
  <c r="L2002" i="1"/>
  <c r="N2002" i="1" s="1"/>
  <c r="L2003" i="1"/>
  <c r="N2003" i="1" s="1"/>
  <c r="L2004" i="1"/>
  <c r="N2004" i="1" s="1"/>
  <c r="L2005" i="1"/>
  <c r="N2005" i="1" s="1"/>
  <c r="L2006" i="1"/>
  <c r="N2006" i="1" s="1"/>
  <c r="L2007" i="1"/>
  <c r="N2007" i="1" s="1"/>
  <c r="L2008" i="1"/>
  <c r="N2008" i="1" s="1"/>
  <c r="L2009" i="1"/>
  <c r="N2009" i="1" s="1"/>
  <c r="L2010" i="1"/>
  <c r="N2010" i="1" s="1"/>
  <c r="L2011" i="1"/>
  <c r="N2011" i="1" s="1"/>
  <c r="L2012" i="1"/>
  <c r="N2012" i="1" s="1"/>
  <c r="L2013" i="1"/>
  <c r="N2013" i="1" s="1"/>
  <c r="L2014" i="1"/>
  <c r="N2014" i="1" s="1"/>
  <c r="L2015" i="1"/>
  <c r="N2015" i="1" s="1"/>
  <c r="L2016" i="1"/>
  <c r="N2016" i="1" s="1"/>
  <c r="L2017" i="1"/>
  <c r="N2017" i="1" s="1"/>
  <c r="L2018" i="1"/>
  <c r="N2018" i="1" s="1"/>
  <c r="L2019" i="1"/>
  <c r="N2019" i="1" s="1"/>
  <c r="L2020" i="1"/>
  <c r="N2020" i="1" s="1"/>
  <c r="L2021" i="1"/>
  <c r="N2021" i="1" s="1"/>
  <c r="L2022" i="1"/>
  <c r="N2022" i="1" s="1"/>
  <c r="L2023" i="1"/>
  <c r="N2023" i="1" s="1"/>
  <c r="L2024" i="1"/>
  <c r="N2024" i="1" s="1"/>
  <c r="L2025" i="1"/>
  <c r="N2025" i="1" s="1"/>
  <c r="L2026" i="1"/>
  <c r="N2026" i="1" s="1"/>
  <c r="L2027" i="1"/>
  <c r="N2027" i="1" s="1"/>
  <c r="L2028" i="1"/>
  <c r="N2028" i="1" s="1"/>
  <c r="L2029" i="1"/>
  <c r="N2029" i="1" s="1"/>
  <c r="L2030" i="1"/>
  <c r="N2030" i="1" s="1"/>
  <c r="L2031" i="1"/>
  <c r="N2031" i="1" s="1"/>
  <c r="L2032" i="1"/>
  <c r="N2032" i="1" s="1"/>
  <c r="L2033" i="1"/>
  <c r="N2033" i="1" s="1"/>
  <c r="L2034" i="1"/>
  <c r="N2034" i="1" s="1"/>
  <c r="L2035" i="1"/>
  <c r="N2035" i="1" s="1"/>
  <c r="L2036" i="1"/>
  <c r="N2036" i="1" s="1"/>
  <c r="L2037" i="1"/>
  <c r="N2037" i="1" s="1"/>
  <c r="L2038" i="1"/>
  <c r="N2038" i="1" s="1"/>
  <c r="L2039" i="1"/>
  <c r="N2039" i="1" s="1"/>
  <c r="L2040" i="1"/>
  <c r="N2040" i="1" s="1"/>
  <c r="L2041" i="1"/>
  <c r="N2041" i="1" s="1"/>
  <c r="L2042" i="1"/>
  <c r="N2042" i="1" s="1"/>
  <c r="L2043" i="1"/>
  <c r="N2043" i="1" s="1"/>
  <c r="L2044" i="1"/>
  <c r="N2044" i="1" s="1"/>
  <c r="L2045" i="1"/>
  <c r="N2045" i="1" s="1"/>
  <c r="L2046" i="1"/>
  <c r="N2046" i="1" s="1"/>
  <c r="L2047" i="1"/>
  <c r="N2047" i="1" s="1"/>
  <c r="L2048" i="1"/>
  <c r="N2048" i="1" s="1"/>
  <c r="L2049" i="1"/>
  <c r="N2049" i="1" s="1"/>
  <c r="L2050" i="1"/>
  <c r="N2050" i="1" s="1"/>
  <c r="L2051" i="1"/>
  <c r="N2051" i="1" s="1"/>
  <c r="L2052" i="1"/>
  <c r="N2052" i="1" s="1"/>
  <c r="L2053" i="1"/>
  <c r="N2053" i="1" s="1"/>
  <c r="L2054" i="1"/>
  <c r="N2054" i="1" s="1"/>
  <c r="L2055" i="1"/>
  <c r="N2055" i="1" s="1"/>
  <c r="L2056" i="1"/>
  <c r="N2056" i="1" s="1"/>
  <c r="L2057" i="1"/>
  <c r="N2057" i="1" s="1"/>
  <c r="L2058" i="1"/>
  <c r="N2058" i="1" s="1"/>
  <c r="L2059" i="1"/>
  <c r="N2059" i="1" s="1"/>
  <c r="L2060" i="1"/>
  <c r="N2060" i="1" s="1"/>
  <c r="L2061" i="1"/>
  <c r="N2061" i="1" s="1"/>
  <c r="L2062" i="1"/>
  <c r="N2062" i="1" s="1"/>
  <c r="L2063" i="1"/>
  <c r="N2063" i="1" s="1"/>
  <c r="L2064" i="1"/>
  <c r="N2064" i="1" s="1"/>
  <c r="L2065" i="1"/>
  <c r="N2065" i="1" s="1"/>
  <c r="L2066" i="1"/>
  <c r="N2066" i="1" s="1"/>
  <c r="L2067" i="1"/>
  <c r="N2067" i="1" s="1"/>
  <c r="L2068" i="1"/>
  <c r="N2068" i="1" s="1"/>
  <c r="L2069" i="1"/>
  <c r="N2069" i="1" s="1"/>
  <c r="L2070" i="1"/>
  <c r="N2070" i="1" s="1"/>
  <c r="L2071" i="1"/>
  <c r="N2071" i="1" s="1"/>
  <c r="L2072" i="1"/>
  <c r="N2072" i="1" s="1"/>
  <c r="L2073" i="1"/>
  <c r="N2073" i="1" s="1"/>
  <c r="L2074" i="1"/>
  <c r="N2074" i="1" s="1"/>
  <c r="L2075" i="1"/>
  <c r="N2075" i="1" s="1"/>
  <c r="L2076" i="1"/>
  <c r="N2076" i="1" s="1"/>
  <c r="L2077" i="1"/>
  <c r="N2077" i="1" s="1"/>
  <c r="L2078" i="1"/>
  <c r="N2078" i="1" s="1"/>
  <c r="L2079" i="1"/>
  <c r="N2079" i="1" s="1"/>
  <c r="L2080" i="1"/>
  <c r="N2080" i="1" s="1"/>
  <c r="L2081" i="1"/>
  <c r="N2081" i="1" s="1"/>
  <c r="L2082" i="1"/>
  <c r="N2082" i="1" s="1"/>
  <c r="L2083" i="1"/>
  <c r="N2083" i="1" s="1"/>
  <c r="L2084" i="1"/>
  <c r="N2084" i="1" s="1"/>
  <c r="L2085" i="1"/>
  <c r="N2085" i="1" s="1"/>
  <c r="L2086" i="1"/>
  <c r="N2086" i="1" s="1"/>
  <c r="L2087" i="1"/>
  <c r="N2087" i="1" s="1"/>
  <c r="L2088" i="1"/>
  <c r="N2088" i="1" s="1"/>
  <c r="L2089" i="1"/>
  <c r="N2089" i="1" s="1"/>
  <c r="L2090" i="1"/>
  <c r="N2090" i="1" s="1"/>
  <c r="L2091" i="1"/>
  <c r="N2091" i="1" s="1"/>
  <c r="L2092" i="1"/>
  <c r="N2092" i="1" s="1"/>
  <c r="L2093" i="1"/>
  <c r="N2093" i="1" s="1"/>
  <c r="L2094" i="1"/>
  <c r="N2094" i="1" s="1"/>
  <c r="L2095" i="1"/>
  <c r="N2095" i="1" s="1"/>
  <c r="L2096" i="1"/>
  <c r="N2096" i="1" s="1"/>
  <c r="L2097" i="1"/>
  <c r="N2097" i="1" s="1"/>
  <c r="L2098" i="1"/>
  <c r="N2098" i="1" s="1"/>
  <c r="L2099" i="1"/>
  <c r="N2099" i="1" s="1"/>
  <c r="L2100" i="1"/>
  <c r="N2100" i="1" s="1"/>
  <c r="L2101" i="1"/>
  <c r="N2101" i="1" s="1"/>
  <c r="L2102" i="1"/>
  <c r="N2102" i="1" s="1"/>
  <c r="L2103" i="1"/>
  <c r="N2103" i="1" s="1"/>
  <c r="L2104" i="1"/>
  <c r="N2104" i="1" s="1"/>
  <c r="L2105" i="1"/>
  <c r="N2105" i="1" s="1"/>
  <c r="L2106" i="1"/>
  <c r="N2106" i="1" s="1"/>
  <c r="L2107" i="1"/>
  <c r="N2107" i="1" s="1"/>
  <c r="L2108" i="1"/>
  <c r="N2108" i="1" s="1"/>
  <c r="L2109" i="1"/>
  <c r="N2109" i="1" s="1"/>
  <c r="L2110" i="1"/>
  <c r="N2110" i="1" s="1"/>
  <c r="L2111" i="1"/>
  <c r="N2111" i="1" s="1"/>
  <c r="L2112" i="1"/>
  <c r="N2112" i="1" s="1"/>
  <c r="L2113" i="1"/>
  <c r="N2113" i="1" s="1"/>
  <c r="L2114" i="1"/>
  <c r="N2114" i="1" s="1"/>
  <c r="L2115" i="1"/>
  <c r="N2115" i="1" s="1"/>
  <c r="L2116" i="1"/>
  <c r="N2116" i="1" s="1"/>
  <c r="L2117" i="1"/>
  <c r="N2117" i="1" s="1"/>
  <c r="L2118" i="1"/>
  <c r="N2118" i="1" s="1"/>
  <c r="L2119" i="1"/>
  <c r="N2119" i="1" s="1"/>
  <c r="L2120" i="1"/>
  <c r="N2120" i="1" s="1"/>
  <c r="L2121" i="1"/>
  <c r="N2121" i="1" s="1"/>
  <c r="L2122" i="1"/>
  <c r="N2122" i="1" s="1"/>
  <c r="L2123" i="1"/>
  <c r="N2123" i="1" s="1"/>
  <c r="L2124" i="1"/>
  <c r="N2124" i="1" s="1"/>
  <c r="L2125" i="1"/>
  <c r="N2125" i="1" s="1"/>
  <c r="L2126" i="1"/>
  <c r="N2126" i="1" s="1"/>
  <c r="L2127" i="1"/>
  <c r="N2127" i="1" s="1"/>
  <c r="L2128" i="1"/>
  <c r="N2128" i="1" s="1"/>
  <c r="L2129" i="1"/>
  <c r="N2129" i="1" s="1"/>
  <c r="L2130" i="1"/>
  <c r="N2130" i="1" s="1"/>
  <c r="L2131" i="1"/>
  <c r="N2131" i="1" s="1"/>
  <c r="L2132" i="1"/>
  <c r="N2132" i="1" s="1"/>
  <c r="L2133" i="1"/>
  <c r="N2133" i="1" s="1"/>
  <c r="L2134" i="1"/>
  <c r="N2134" i="1" s="1"/>
  <c r="L2135" i="1"/>
  <c r="N2135" i="1" s="1"/>
  <c r="L2136" i="1"/>
  <c r="N2136" i="1" s="1"/>
  <c r="L2137" i="1"/>
  <c r="N2137" i="1" s="1"/>
  <c r="L2138" i="1"/>
  <c r="N2138" i="1" s="1"/>
  <c r="L2139" i="1"/>
  <c r="N2139" i="1" s="1"/>
  <c r="L2140" i="1"/>
  <c r="N2140" i="1" s="1"/>
  <c r="L2141" i="1"/>
  <c r="N2141" i="1" s="1"/>
  <c r="L2142" i="1"/>
  <c r="N2142" i="1" s="1"/>
  <c r="L2143" i="1"/>
  <c r="N2143" i="1" s="1"/>
  <c r="L2144" i="1"/>
  <c r="N2144" i="1" s="1"/>
  <c r="L2145" i="1"/>
  <c r="N2145" i="1" s="1"/>
  <c r="L2146" i="1"/>
  <c r="N2146" i="1" s="1"/>
  <c r="L2147" i="1"/>
  <c r="N2147" i="1" s="1"/>
  <c r="L2148" i="1"/>
  <c r="N2148" i="1" s="1"/>
  <c r="L2149" i="1"/>
  <c r="N2149" i="1" s="1"/>
  <c r="L2150" i="1"/>
  <c r="N2150" i="1" s="1"/>
  <c r="L2151" i="1"/>
  <c r="N2151" i="1" s="1"/>
  <c r="L2152" i="1"/>
  <c r="N2152" i="1" s="1"/>
  <c r="L2153" i="1"/>
  <c r="N2153" i="1" s="1"/>
  <c r="L2154" i="1"/>
  <c r="N2154" i="1" s="1"/>
  <c r="L2155" i="1"/>
  <c r="N2155" i="1" s="1"/>
  <c r="L2156" i="1"/>
  <c r="N2156" i="1" s="1"/>
  <c r="L2157" i="1"/>
  <c r="N2157" i="1" s="1"/>
  <c r="L2158" i="1"/>
  <c r="N2158" i="1" s="1"/>
  <c r="L2159" i="1"/>
  <c r="N2159" i="1" s="1"/>
  <c r="L2160" i="1"/>
  <c r="N2160" i="1" s="1"/>
  <c r="L2161" i="1"/>
  <c r="N2161" i="1" s="1"/>
  <c r="L2162" i="1"/>
  <c r="N2162" i="1" s="1"/>
  <c r="L2163" i="1"/>
  <c r="N2163" i="1" s="1"/>
  <c r="L2164" i="1"/>
  <c r="N2164" i="1" s="1"/>
  <c r="L2165" i="1"/>
  <c r="N2165" i="1" s="1"/>
  <c r="L2166" i="1"/>
  <c r="N2166" i="1" s="1"/>
  <c r="L2167" i="1"/>
  <c r="N2167" i="1" s="1"/>
  <c r="L2168" i="1"/>
  <c r="N2168" i="1" s="1"/>
  <c r="L2169" i="1"/>
  <c r="N2169" i="1" s="1"/>
  <c r="L2170" i="1"/>
  <c r="N2170" i="1" s="1"/>
  <c r="L2171" i="1"/>
  <c r="N2171" i="1" s="1"/>
  <c r="L2172" i="1"/>
  <c r="N2172" i="1" s="1"/>
  <c r="L2173" i="1"/>
  <c r="N2173" i="1" s="1"/>
  <c r="L2174" i="1"/>
  <c r="N2174" i="1" s="1"/>
  <c r="L2175" i="1"/>
  <c r="N2175" i="1" s="1"/>
  <c r="L2176" i="1"/>
  <c r="N2176" i="1" s="1"/>
  <c r="L2177" i="1"/>
  <c r="N2177" i="1" s="1"/>
  <c r="L2178" i="1"/>
  <c r="N2178" i="1" s="1"/>
  <c r="L2179" i="1"/>
  <c r="N2179" i="1" s="1"/>
  <c r="L2180" i="1"/>
  <c r="N2180" i="1" s="1"/>
  <c r="L2181" i="1"/>
  <c r="N2181" i="1" s="1"/>
  <c r="L2182" i="1"/>
  <c r="N2182" i="1" s="1"/>
  <c r="L2183" i="1"/>
  <c r="N2183" i="1" s="1"/>
  <c r="L2184" i="1"/>
  <c r="N2184" i="1" s="1"/>
  <c r="L2185" i="1"/>
  <c r="N2185" i="1" s="1"/>
  <c r="L2186" i="1"/>
  <c r="N2186" i="1" s="1"/>
  <c r="L2187" i="1"/>
  <c r="N2187" i="1" s="1"/>
  <c r="L2188" i="1"/>
  <c r="N2188" i="1" s="1"/>
  <c r="L2189" i="1"/>
  <c r="N2189" i="1" s="1"/>
  <c r="L2190" i="1"/>
  <c r="N2190" i="1" s="1"/>
  <c r="L2191" i="1"/>
  <c r="N2191" i="1" s="1"/>
  <c r="L2192" i="1"/>
  <c r="N2192" i="1" s="1"/>
  <c r="L2193" i="1"/>
  <c r="N2193" i="1" s="1"/>
  <c r="L2194" i="1"/>
  <c r="N2194" i="1" s="1"/>
  <c r="L2195" i="1"/>
  <c r="N2195" i="1" s="1"/>
  <c r="L2196" i="1"/>
  <c r="N2196" i="1" s="1"/>
  <c r="L2197" i="1"/>
  <c r="N2197" i="1" s="1"/>
  <c r="L2198" i="1"/>
  <c r="N2198" i="1" s="1"/>
  <c r="L2199" i="1"/>
  <c r="N2199" i="1" s="1"/>
  <c r="L2200" i="1"/>
  <c r="N2200" i="1" s="1"/>
  <c r="L2201" i="1"/>
  <c r="N2201" i="1" s="1"/>
  <c r="L2202" i="1"/>
  <c r="N2202" i="1" s="1"/>
  <c r="L2203" i="1"/>
  <c r="N2203" i="1" s="1"/>
  <c r="L2204" i="1"/>
  <c r="N2204" i="1" s="1"/>
  <c r="L2205" i="1"/>
  <c r="N2205" i="1" s="1"/>
  <c r="L2206" i="1"/>
  <c r="N2206" i="1" s="1"/>
  <c r="L2207" i="1"/>
  <c r="N2207" i="1" s="1"/>
  <c r="L2208" i="1"/>
  <c r="N2208" i="1" s="1"/>
  <c r="L2209" i="1"/>
  <c r="N2209" i="1" s="1"/>
  <c r="L2210" i="1"/>
  <c r="N2210" i="1" s="1"/>
  <c r="L2211" i="1"/>
  <c r="N2211" i="1" s="1"/>
  <c r="L2212" i="1"/>
  <c r="N2212" i="1" s="1"/>
  <c r="L2213" i="1"/>
  <c r="N2213" i="1" s="1"/>
  <c r="L2214" i="1"/>
  <c r="N2214" i="1" s="1"/>
  <c r="L2215" i="1"/>
  <c r="N2215" i="1" s="1"/>
  <c r="L2216" i="1"/>
  <c r="N2216" i="1" s="1"/>
  <c r="L2217" i="1"/>
  <c r="N2217" i="1" s="1"/>
  <c r="L2218" i="1"/>
  <c r="N2218" i="1" s="1"/>
  <c r="L2219" i="1"/>
  <c r="N2219" i="1" s="1"/>
  <c r="L2220" i="1"/>
  <c r="N2220" i="1" s="1"/>
  <c r="L2221" i="1"/>
  <c r="N2221" i="1" s="1"/>
  <c r="L2222" i="1"/>
  <c r="N2222" i="1" s="1"/>
  <c r="L2223" i="1"/>
  <c r="N2223" i="1" s="1"/>
  <c r="L2224" i="1"/>
  <c r="N2224" i="1" s="1"/>
  <c r="L2225" i="1"/>
  <c r="N2225" i="1" s="1"/>
  <c r="L2226" i="1"/>
  <c r="N2226" i="1" s="1"/>
  <c r="L2227" i="1"/>
  <c r="N2227" i="1" s="1"/>
  <c r="L2228" i="1"/>
  <c r="N2228" i="1" s="1"/>
  <c r="L2229" i="1"/>
  <c r="N2229" i="1" s="1"/>
  <c r="L2230" i="1"/>
  <c r="N2230" i="1" s="1"/>
  <c r="L2231" i="1"/>
  <c r="N2231" i="1" s="1"/>
  <c r="L2232" i="1"/>
  <c r="N2232" i="1" s="1"/>
  <c r="L2233" i="1"/>
  <c r="N2233" i="1" s="1"/>
  <c r="L2234" i="1"/>
  <c r="N2234" i="1" s="1"/>
  <c r="L2235" i="1"/>
  <c r="N2235" i="1" s="1"/>
  <c r="L2236" i="1"/>
  <c r="N2236" i="1" s="1"/>
  <c r="L2237" i="1"/>
  <c r="N2237" i="1" s="1"/>
  <c r="L2238" i="1"/>
  <c r="N2238" i="1" s="1"/>
  <c r="L2239" i="1"/>
  <c r="N2239" i="1" s="1"/>
  <c r="L2240" i="1"/>
  <c r="N2240" i="1" s="1"/>
  <c r="L2241" i="1"/>
  <c r="N2241" i="1" s="1"/>
  <c r="L2242" i="1"/>
  <c r="N2242" i="1" s="1"/>
  <c r="L2243" i="1"/>
  <c r="N2243" i="1" s="1"/>
  <c r="L2244" i="1"/>
  <c r="N2244" i="1" s="1"/>
  <c r="L2245" i="1"/>
  <c r="N2245" i="1" s="1"/>
  <c r="L2246" i="1"/>
  <c r="N2246" i="1" s="1"/>
  <c r="L2247" i="1"/>
  <c r="N2247" i="1" s="1"/>
  <c r="L2248" i="1"/>
  <c r="N2248" i="1" s="1"/>
  <c r="L2249" i="1"/>
  <c r="N2249" i="1" s="1"/>
  <c r="L2250" i="1"/>
  <c r="N2250" i="1" s="1"/>
  <c r="L2251" i="1"/>
  <c r="N2251" i="1" s="1"/>
  <c r="L2252" i="1"/>
  <c r="N2252" i="1" s="1"/>
  <c r="L2253" i="1"/>
  <c r="N2253" i="1" s="1"/>
  <c r="L2254" i="1"/>
  <c r="N2254" i="1" s="1"/>
  <c r="L2255" i="1"/>
  <c r="N2255" i="1" s="1"/>
  <c r="L2256" i="1"/>
  <c r="N2256" i="1" s="1"/>
  <c r="L2257" i="1"/>
  <c r="N2257" i="1" s="1"/>
  <c r="L2258" i="1"/>
  <c r="N2258" i="1" s="1"/>
  <c r="L2259" i="1"/>
  <c r="N2259" i="1" s="1"/>
  <c r="L2260" i="1"/>
  <c r="N2260" i="1" s="1"/>
  <c r="L2261" i="1"/>
  <c r="N2261" i="1" s="1"/>
  <c r="L2262" i="1"/>
  <c r="N2262" i="1" s="1"/>
  <c r="L2263" i="1"/>
  <c r="N2263" i="1" s="1"/>
  <c r="L2264" i="1"/>
  <c r="N2264" i="1" s="1"/>
  <c r="L2265" i="1"/>
  <c r="N2265" i="1" s="1"/>
  <c r="L2266" i="1"/>
  <c r="N2266" i="1" s="1"/>
  <c r="L2267" i="1"/>
  <c r="N2267" i="1" s="1"/>
  <c r="L2268" i="1"/>
  <c r="N2268" i="1" s="1"/>
  <c r="L2269" i="1"/>
  <c r="N2269" i="1" s="1"/>
  <c r="L2270" i="1"/>
  <c r="N2270" i="1" s="1"/>
  <c r="L2271" i="1"/>
  <c r="N2271" i="1" s="1"/>
  <c r="L2272" i="1"/>
  <c r="N2272" i="1" s="1"/>
  <c r="L2273" i="1"/>
  <c r="N2273" i="1" s="1"/>
  <c r="L2274" i="1"/>
  <c r="N2274" i="1" s="1"/>
  <c r="L2275" i="1"/>
  <c r="N2275" i="1" s="1"/>
  <c r="L2276" i="1"/>
  <c r="N2276" i="1" s="1"/>
  <c r="L2277" i="1"/>
  <c r="N2277" i="1" s="1"/>
  <c r="L2278" i="1"/>
  <c r="N2278" i="1" s="1"/>
  <c r="L2279" i="1"/>
  <c r="N2279" i="1" s="1"/>
  <c r="L2280" i="1"/>
  <c r="N2280" i="1" s="1"/>
  <c r="L2281" i="1"/>
  <c r="N2281" i="1" s="1"/>
  <c r="L2282" i="1"/>
  <c r="N2282" i="1" s="1"/>
  <c r="L2283" i="1"/>
  <c r="N2283" i="1" s="1"/>
  <c r="L2284" i="1"/>
  <c r="N2284" i="1" s="1"/>
  <c r="L2285" i="1"/>
  <c r="N2285" i="1" s="1"/>
  <c r="L2286" i="1"/>
  <c r="N2286" i="1" s="1"/>
  <c r="L2287" i="1"/>
  <c r="N2287" i="1" s="1"/>
  <c r="L2288" i="1"/>
  <c r="N2288" i="1" s="1"/>
  <c r="L2289" i="1"/>
  <c r="N2289" i="1" s="1"/>
  <c r="L2290" i="1"/>
  <c r="N2290" i="1" s="1"/>
  <c r="L2291" i="1"/>
  <c r="N2291" i="1" s="1"/>
  <c r="L2292" i="1"/>
  <c r="N2292" i="1" s="1"/>
  <c r="L2293" i="1"/>
  <c r="N2293" i="1" s="1"/>
  <c r="L2294" i="1"/>
  <c r="N2294" i="1" s="1"/>
  <c r="L2295" i="1"/>
  <c r="N2295" i="1" s="1"/>
  <c r="L2296" i="1"/>
  <c r="N2296" i="1" s="1"/>
  <c r="L2297" i="1"/>
  <c r="N2297" i="1" s="1"/>
  <c r="L2298" i="1"/>
  <c r="N2298" i="1" s="1"/>
  <c r="L2299" i="1"/>
  <c r="N2299" i="1" s="1"/>
  <c r="L2300" i="1"/>
  <c r="N2300" i="1" s="1"/>
  <c r="L2301" i="1"/>
  <c r="N2301" i="1" s="1"/>
  <c r="L2302" i="1"/>
  <c r="N2302" i="1" s="1"/>
  <c r="L2303" i="1"/>
  <c r="N2303" i="1" s="1"/>
  <c r="L2304" i="1"/>
  <c r="N2304" i="1" s="1"/>
  <c r="L2305" i="1"/>
  <c r="N2305" i="1" s="1"/>
  <c r="L2306" i="1"/>
  <c r="N2306" i="1" s="1"/>
  <c r="L2307" i="1"/>
  <c r="N2307" i="1" s="1"/>
  <c r="L2308" i="1"/>
  <c r="N2308" i="1" s="1"/>
  <c r="L2309" i="1"/>
  <c r="N2309" i="1" s="1"/>
  <c r="L2310" i="1"/>
  <c r="N2310" i="1" s="1"/>
  <c r="L2311" i="1"/>
  <c r="N2311" i="1" s="1"/>
  <c r="L2312" i="1"/>
  <c r="N2312" i="1" s="1"/>
  <c r="L2313" i="1"/>
  <c r="N2313" i="1" s="1"/>
  <c r="L2314" i="1"/>
  <c r="N2314" i="1" s="1"/>
  <c r="L2315" i="1"/>
  <c r="N2315" i="1" s="1"/>
  <c r="L2316" i="1"/>
  <c r="N2316" i="1" s="1"/>
  <c r="L2317" i="1"/>
  <c r="N2317" i="1" s="1"/>
  <c r="L2318" i="1"/>
  <c r="N2318" i="1" s="1"/>
  <c r="L2319" i="1"/>
  <c r="N2319" i="1" s="1"/>
  <c r="L2320" i="1"/>
  <c r="N2320" i="1" s="1"/>
  <c r="L2321" i="1"/>
  <c r="N2321" i="1" s="1"/>
  <c r="L2322" i="1"/>
  <c r="N2322" i="1" s="1"/>
  <c r="L2323" i="1"/>
  <c r="N2323" i="1" s="1"/>
  <c r="L2324" i="1"/>
  <c r="N2324" i="1" s="1"/>
  <c r="L2325" i="1"/>
  <c r="N2325" i="1" s="1"/>
  <c r="L2326" i="1"/>
  <c r="N2326" i="1" s="1"/>
  <c r="L2327" i="1"/>
  <c r="N2327" i="1" s="1"/>
  <c r="L2328" i="1"/>
  <c r="N2328" i="1" s="1"/>
  <c r="L2329" i="1"/>
  <c r="N2329" i="1" s="1"/>
  <c r="L2330" i="1"/>
  <c r="N2330" i="1" s="1"/>
  <c r="L2331" i="1"/>
  <c r="N2331" i="1" s="1"/>
  <c r="L2332" i="1"/>
  <c r="N2332" i="1" s="1"/>
  <c r="L2333" i="1"/>
  <c r="N2333" i="1" s="1"/>
  <c r="L2334" i="1"/>
  <c r="N2334" i="1" s="1"/>
  <c r="L2335" i="1"/>
  <c r="N2335" i="1" s="1"/>
  <c r="L2336" i="1"/>
  <c r="N2336" i="1" s="1"/>
  <c r="L2337" i="1"/>
  <c r="N2337" i="1" s="1"/>
  <c r="L2338" i="1"/>
  <c r="N2338" i="1" s="1"/>
  <c r="L2339" i="1"/>
  <c r="N2339" i="1" s="1"/>
  <c r="L2340" i="1"/>
  <c r="N2340" i="1" s="1"/>
  <c r="L2341" i="1"/>
  <c r="N2341" i="1" s="1"/>
  <c r="L2342" i="1"/>
  <c r="N2342" i="1" s="1"/>
  <c r="L2343" i="1"/>
  <c r="N2343" i="1" s="1"/>
  <c r="L2344" i="1"/>
  <c r="N2344" i="1" s="1"/>
  <c r="L2345" i="1"/>
  <c r="N2345" i="1" s="1"/>
  <c r="L2346" i="1"/>
  <c r="N2346" i="1" s="1"/>
  <c r="L2347" i="1"/>
  <c r="N2347" i="1" s="1"/>
  <c r="L2348" i="1"/>
  <c r="N2348" i="1" s="1"/>
  <c r="L2349" i="1"/>
  <c r="N2349" i="1" s="1"/>
  <c r="L2350" i="1"/>
  <c r="N2350" i="1" s="1"/>
  <c r="L2351" i="1"/>
  <c r="N2351" i="1" s="1"/>
  <c r="L2352" i="1"/>
  <c r="N2352" i="1" s="1"/>
  <c r="L2353" i="1"/>
  <c r="N2353" i="1" s="1"/>
  <c r="L2354" i="1"/>
  <c r="N2354" i="1" s="1"/>
  <c r="L2355" i="1"/>
  <c r="N2355" i="1" s="1"/>
  <c r="L2356" i="1"/>
  <c r="N2356" i="1" s="1"/>
  <c r="L2357" i="1"/>
  <c r="N2357" i="1" s="1"/>
  <c r="L2358" i="1"/>
  <c r="N2358" i="1" s="1"/>
  <c r="L2359" i="1"/>
  <c r="N2359" i="1" s="1"/>
  <c r="L2360" i="1"/>
  <c r="N2360" i="1" s="1"/>
  <c r="L2361" i="1"/>
  <c r="N2361" i="1" s="1"/>
  <c r="L2362" i="1"/>
  <c r="N2362" i="1" s="1"/>
  <c r="L2363" i="1"/>
  <c r="N2363" i="1" s="1"/>
  <c r="L2364" i="1"/>
  <c r="N2364" i="1" s="1"/>
  <c r="L2365" i="1"/>
  <c r="N2365" i="1" s="1"/>
  <c r="L2366" i="1"/>
  <c r="N2366" i="1" s="1"/>
  <c r="L2367" i="1"/>
  <c r="N2367" i="1" s="1"/>
  <c r="L2368" i="1"/>
  <c r="N2368" i="1" s="1"/>
  <c r="L2369" i="1"/>
  <c r="N2369" i="1" s="1"/>
  <c r="L2370" i="1"/>
  <c r="N2370" i="1" s="1"/>
  <c r="L2371" i="1"/>
  <c r="N2371" i="1" s="1"/>
  <c r="L2372" i="1"/>
  <c r="N2372" i="1" s="1"/>
  <c r="L2373" i="1"/>
  <c r="N2373" i="1" s="1"/>
  <c r="L2374" i="1"/>
  <c r="N2374" i="1" s="1"/>
  <c r="L2375" i="1"/>
  <c r="N2375" i="1" s="1"/>
  <c r="L2376" i="1"/>
  <c r="N2376" i="1" s="1"/>
  <c r="L2377" i="1"/>
  <c r="N2377" i="1" s="1"/>
  <c r="L2378" i="1"/>
  <c r="N2378" i="1" s="1"/>
  <c r="L2379" i="1"/>
  <c r="N2379" i="1" s="1"/>
  <c r="L2380" i="1"/>
  <c r="N2380" i="1" s="1"/>
  <c r="L2381" i="1"/>
  <c r="N2381" i="1" s="1"/>
  <c r="L2382" i="1"/>
  <c r="N2382" i="1" s="1"/>
  <c r="L2383" i="1"/>
  <c r="N2383" i="1" s="1"/>
  <c r="L2384" i="1"/>
  <c r="N2384" i="1" s="1"/>
  <c r="L2385" i="1"/>
  <c r="N2385" i="1" s="1"/>
  <c r="L2386" i="1"/>
  <c r="N2386" i="1" s="1"/>
  <c r="L2387" i="1"/>
  <c r="N2387" i="1" s="1"/>
  <c r="L2388" i="1"/>
  <c r="N2388" i="1" s="1"/>
  <c r="L2389" i="1"/>
  <c r="N2389" i="1" s="1"/>
  <c r="L2390" i="1"/>
  <c r="N2390" i="1" s="1"/>
  <c r="L2391" i="1"/>
  <c r="N2391" i="1" s="1"/>
  <c r="L2392" i="1"/>
  <c r="N2392" i="1" s="1"/>
  <c r="L2393" i="1"/>
  <c r="N2393" i="1" s="1"/>
  <c r="L2394" i="1"/>
  <c r="N2394" i="1" s="1"/>
  <c r="L2395" i="1"/>
  <c r="N2395" i="1" s="1"/>
  <c r="L2396" i="1"/>
  <c r="N2396" i="1" s="1"/>
  <c r="L2397" i="1"/>
  <c r="N2397" i="1" s="1"/>
  <c r="L2398" i="1"/>
  <c r="N2398" i="1" s="1"/>
  <c r="L2399" i="1"/>
  <c r="N2399" i="1" s="1"/>
  <c r="L2400" i="1"/>
  <c r="N2400" i="1" s="1"/>
  <c r="L2401" i="1"/>
  <c r="N2401" i="1" s="1"/>
  <c r="L2402" i="1"/>
  <c r="N2402" i="1" s="1"/>
  <c r="L2403" i="1"/>
  <c r="N2403" i="1" s="1"/>
  <c r="L2404" i="1"/>
  <c r="N2404" i="1" s="1"/>
  <c r="L2405" i="1"/>
  <c r="N2405" i="1" s="1"/>
  <c r="L2406" i="1"/>
  <c r="N2406" i="1" s="1"/>
  <c r="L2407" i="1"/>
  <c r="N2407" i="1" s="1"/>
  <c r="L2408" i="1"/>
  <c r="N2408" i="1" s="1"/>
  <c r="L2409" i="1"/>
  <c r="N2409" i="1" s="1"/>
  <c r="L2410" i="1"/>
  <c r="N2410" i="1" s="1"/>
  <c r="L2411" i="1"/>
  <c r="N2411" i="1" s="1"/>
  <c r="L2412" i="1"/>
  <c r="N2412" i="1" s="1"/>
  <c r="L2413" i="1"/>
  <c r="N2413" i="1" s="1"/>
  <c r="L2414" i="1"/>
  <c r="N2414" i="1" s="1"/>
  <c r="L2415" i="1"/>
  <c r="N2415" i="1" s="1"/>
  <c r="L2416" i="1"/>
  <c r="N2416" i="1" s="1"/>
  <c r="L2417" i="1"/>
  <c r="N2417" i="1" s="1"/>
  <c r="L2418" i="1"/>
  <c r="N2418" i="1" s="1"/>
  <c r="L2419" i="1"/>
  <c r="N2419" i="1" s="1"/>
  <c r="L2420" i="1"/>
  <c r="N2420" i="1" s="1"/>
  <c r="L2421" i="1"/>
  <c r="N2421" i="1" s="1"/>
  <c r="L2422" i="1"/>
  <c r="N2422" i="1" s="1"/>
  <c r="L2423" i="1"/>
  <c r="N2423" i="1" s="1"/>
  <c r="L2424" i="1"/>
  <c r="N2424" i="1" s="1"/>
  <c r="L2425" i="1"/>
  <c r="N2425" i="1" s="1"/>
  <c r="L2426" i="1"/>
  <c r="N2426" i="1" s="1"/>
  <c r="L2427" i="1"/>
  <c r="N2427" i="1" s="1"/>
  <c r="L2428" i="1"/>
  <c r="N2428" i="1" s="1"/>
  <c r="L2429" i="1"/>
  <c r="N2429" i="1" s="1"/>
  <c r="L2430" i="1"/>
  <c r="N2430" i="1" s="1"/>
  <c r="L2431" i="1"/>
  <c r="N2431" i="1" s="1"/>
  <c r="L2432" i="1"/>
  <c r="N2432" i="1" s="1"/>
  <c r="L2433" i="1"/>
  <c r="N2433" i="1" s="1"/>
  <c r="L2434" i="1"/>
  <c r="N2434" i="1" s="1"/>
  <c r="L2435" i="1"/>
  <c r="N2435" i="1" s="1"/>
  <c r="L2436" i="1"/>
  <c r="N2436" i="1" s="1"/>
  <c r="L2437" i="1"/>
  <c r="N2437" i="1" s="1"/>
  <c r="L2438" i="1"/>
  <c r="N2438" i="1" s="1"/>
  <c r="L2439" i="1"/>
  <c r="N2439" i="1" s="1"/>
  <c r="L2440" i="1"/>
  <c r="N2440" i="1" s="1"/>
  <c r="L2441" i="1"/>
  <c r="N2441" i="1" s="1"/>
  <c r="L2442" i="1"/>
  <c r="N2442" i="1" s="1"/>
  <c r="L2443" i="1"/>
  <c r="N2443" i="1" s="1"/>
  <c r="L2444" i="1"/>
  <c r="N2444" i="1" s="1"/>
  <c r="L2445" i="1"/>
  <c r="N2445" i="1" s="1"/>
  <c r="L2446" i="1"/>
  <c r="N2446" i="1" s="1"/>
  <c r="L2447" i="1"/>
  <c r="N2447" i="1" s="1"/>
  <c r="L2448" i="1"/>
  <c r="N2448" i="1" s="1"/>
  <c r="L2449" i="1"/>
  <c r="N2449" i="1" s="1"/>
  <c r="L2450" i="1"/>
  <c r="N2450" i="1" s="1"/>
  <c r="L2451" i="1"/>
  <c r="N2451" i="1" s="1"/>
  <c r="L2452" i="1"/>
  <c r="N2452" i="1" s="1"/>
  <c r="L2453" i="1"/>
  <c r="N2453" i="1" s="1"/>
  <c r="L2454" i="1"/>
  <c r="N2454" i="1" s="1"/>
  <c r="L2455" i="1"/>
  <c r="N2455" i="1" s="1"/>
  <c r="L2456" i="1"/>
  <c r="N2456" i="1" s="1"/>
  <c r="L2457" i="1"/>
  <c r="N2457" i="1" s="1"/>
  <c r="L2458" i="1"/>
  <c r="N2458" i="1" s="1"/>
  <c r="L2459" i="1"/>
  <c r="N2459" i="1" s="1"/>
  <c r="L2460" i="1"/>
  <c r="N2460" i="1" s="1"/>
  <c r="L2461" i="1"/>
  <c r="N2461" i="1" s="1"/>
  <c r="L2462" i="1"/>
  <c r="N2462" i="1" s="1"/>
  <c r="L2463" i="1"/>
  <c r="N2463" i="1" s="1"/>
  <c r="L2464" i="1"/>
  <c r="N2464" i="1" s="1"/>
  <c r="L2465" i="1"/>
  <c r="N2465" i="1" s="1"/>
  <c r="L2466" i="1"/>
  <c r="N2466" i="1" s="1"/>
  <c r="L2467" i="1"/>
  <c r="N2467" i="1" s="1"/>
  <c r="L2468" i="1"/>
  <c r="N2468" i="1" s="1"/>
  <c r="L2469" i="1"/>
  <c r="N2469" i="1" s="1"/>
  <c r="L2470" i="1"/>
  <c r="N2470" i="1" s="1"/>
  <c r="L2471" i="1"/>
  <c r="N2471" i="1" s="1"/>
  <c r="L2472" i="1"/>
  <c r="N2472" i="1" s="1"/>
  <c r="L2473" i="1"/>
  <c r="N2473" i="1" s="1"/>
  <c r="L2474" i="1"/>
  <c r="N2474" i="1" s="1"/>
  <c r="L2475" i="1"/>
  <c r="N2475" i="1" s="1"/>
  <c r="L2476" i="1"/>
  <c r="N2476" i="1" s="1"/>
  <c r="L2477" i="1"/>
  <c r="N2477" i="1" s="1"/>
  <c r="L2478" i="1"/>
  <c r="N2478" i="1" s="1"/>
  <c r="L2479" i="1"/>
  <c r="N2479" i="1" s="1"/>
  <c r="L2480" i="1"/>
  <c r="N2480" i="1" s="1"/>
  <c r="L2481" i="1"/>
  <c r="N2481" i="1" s="1"/>
  <c r="L2482" i="1"/>
  <c r="N2482" i="1" s="1"/>
  <c r="L2483" i="1"/>
  <c r="N2483" i="1" s="1"/>
  <c r="L2484" i="1"/>
  <c r="N2484" i="1" s="1"/>
  <c r="L2485" i="1"/>
  <c r="N2485" i="1" s="1"/>
  <c r="L2486" i="1"/>
  <c r="N2486" i="1" s="1"/>
  <c r="L2487" i="1"/>
  <c r="N2487" i="1" s="1"/>
  <c r="L2488" i="1"/>
  <c r="N2488" i="1" s="1"/>
  <c r="L2489" i="1"/>
  <c r="N2489" i="1" s="1"/>
  <c r="L2490" i="1"/>
  <c r="N2490" i="1" s="1"/>
  <c r="L2491" i="1"/>
  <c r="N2491" i="1" s="1"/>
  <c r="L2492" i="1"/>
  <c r="N2492" i="1" s="1"/>
  <c r="L2493" i="1"/>
  <c r="N2493" i="1" s="1"/>
  <c r="L2494" i="1"/>
  <c r="N2494" i="1" s="1"/>
  <c r="L2495" i="1"/>
  <c r="N2495" i="1" s="1"/>
  <c r="L2496" i="1"/>
  <c r="N2496" i="1" s="1"/>
  <c r="L2497" i="1"/>
  <c r="N2497" i="1" s="1"/>
  <c r="L2498" i="1"/>
  <c r="N2498" i="1" s="1"/>
  <c r="L2499" i="1"/>
  <c r="N2499" i="1" s="1"/>
  <c r="L2500" i="1"/>
  <c r="N2500" i="1" s="1"/>
  <c r="L2501" i="1"/>
  <c r="N2501" i="1" s="1"/>
  <c r="L2502" i="1"/>
  <c r="N2502" i="1" s="1"/>
  <c r="L2503" i="1"/>
  <c r="N2503" i="1" s="1"/>
  <c r="L2504" i="1"/>
  <c r="N2504" i="1" s="1"/>
  <c r="L2505" i="1"/>
  <c r="N2505" i="1" s="1"/>
  <c r="L2506" i="1"/>
  <c r="N2506" i="1" s="1"/>
  <c r="L2507" i="1"/>
  <c r="N2507" i="1" s="1"/>
  <c r="L2508" i="1"/>
  <c r="N2508" i="1" s="1"/>
  <c r="L2509" i="1"/>
  <c r="N2509" i="1" s="1"/>
  <c r="L2510" i="1"/>
  <c r="N2510" i="1" s="1"/>
  <c r="L2511" i="1"/>
  <c r="N2511" i="1" s="1"/>
  <c r="L2512" i="1"/>
  <c r="N2512" i="1" s="1"/>
  <c r="L2513" i="1"/>
  <c r="N2513" i="1" s="1"/>
  <c r="L2514" i="1"/>
  <c r="N2514" i="1" s="1"/>
  <c r="L2515" i="1"/>
  <c r="N2515" i="1" s="1"/>
  <c r="L2516" i="1"/>
  <c r="N2516" i="1" s="1"/>
  <c r="L2517" i="1"/>
  <c r="N2517" i="1" s="1"/>
  <c r="L2518" i="1"/>
  <c r="N2518" i="1" s="1"/>
  <c r="L2519" i="1"/>
  <c r="N2519" i="1" s="1"/>
  <c r="L2520" i="1"/>
  <c r="N2520" i="1" s="1"/>
  <c r="L2521" i="1"/>
  <c r="N2521" i="1" s="1"/>
  <c r="L2522" i="1"/>
  <c r="N2522" i="1" s="1"/>
  <c r="L2523" i="1"/>
  <c r="N2523" i="1" s="1"/>
  <c r="L2524" i="1"/>
  <c r="N2524" i="1" s="1"/>
  <c r="L2525" i="1"/>
  <c r="N2525" i="1" s="1"/>
  <c r="L2526" i="1"/>
  <c r="N2526" i="1" s="1"/>
  <c r="L2527" i="1"/>
  <c r="N2527" i="1" s="1"/>
  <c r="L2528" i="1"/>
  <c r="N2528" i="1" s="1"/>
  <c r="L2529" i="1"/>
  <c r="N2529" i="1" s="1"/>
  <c r="L2530" i="1"/>
  <c r="N2530" i="1" s="1"/>
  <c r="L2531" i="1"/>
  <c r="N2531" i="1" s="1"/>
  <c r="L2532" i="1"/>
  <c r="N2532" i="1" s="1"/>
  <c r="L2533" i="1"/>
  <c r="N2533" i="1" s="1"/>
  <c r="L2534" i="1"/>
  <c r="N2534" i="1" s="1"/>
  <c r="L2535" i="1"/>
  <c r="N2535" i="1" s="1"/>
  <c r="L2536" i="1"/>
  <c r="N2536" i="1" s="1"/>
  <c r="L2537" i="1"/>
  <c r="N2537" i="1" s="1"/>
  <c r="L2538" i="1"/>
  <c r="N2538" i="1" s="1"/>
  <c r="L2539" i="1"/>
  <c r="N2539" i="1" s="1"/>
  <c r="L2540" i="1"/>
  <c r="N2540" i="1" s="1"/>
  <c r="L2541" i="1"/>
  <c r="N2541" i="1" s="1"/>
  <c r="L2542" i="1"/>
  <c r="N2542" i="1" s="1"/>
  <c r="L2543" i="1"/>
  <c r="N2543" i="1" s="1"/>
  <c r="L2544" i="1"/>
  <c r="N2544" i="1" s="1"/>
  <c r="L2545" i="1"/>
  <c r="N2545" i="1" s="1"/>
  <c r="L2546" i="1"/>
  <c r="N2546" i="1" s="1"/>
  <c r="L2547" i="1"/>
  <c r="N2547" i="1" s="1"/>
  <c r="L2548" i="1"/>
  <c r="N2548" i="1" s="1"/>
  <c r="L2549" i="1"/>
  <c r="N2549" i="1" s="1"/>
  <c r="L2550" i="1"/>
  <c r="N2550" i="1" s="1"/>
  <c r="L2551" i="1"/>
  <c r="N2551" i="1" s="1"/>
  <c r="L2552" i="1"/>
  <c r="N2552" i="1" s="1"/>
  <c r="L2553" i="1"/>
  <c r="N2553" i="1" s="1"/>
  <c r="L2554" i="1"/>
  <c r="N2554" i="1" s="1"/>
  <c r="L2555" i="1"/>
  <c r="N2555" i="1" s="1"/>
  <c r="L2556" i="1"/>
  <c r="N2556" i="1" s="1"/>
  <c r="L2557" i="1"/>
  <c r="N2557" i="1" s="1"/>
  <c r="L2558" i="1"/>
  <c r="N2558" i="1" s="1"/>
  <c r="L2559" i="1"/>
  <c r="N2559" i="1" s="1"/>
  <c r="L2560" i="1"/>
  <c r="N2560" i="1" s="1"/>
  <c r="L2561" i="1"/>
  <c r="N2561" i="1" s="1"/>
  <c r="L2562" i="1"/>
  <c r="N2562" i="1" s="1"/>
  <c r="L2563" i="1"/>
  <c r="N2563" i="1" s="1"/>
  <c r="L2564" i="1"/>
  <c r="N2564" i="1" s="1"/>
  <c r="L2565" i="1"/>
  <c r="N2565" i="1" s="1"/>
  <c r="L2566" i="1"/>
  <c r="N2566" i="1" s="1"/>
  <c r="L2567" i="1"/>
  <c r="N2567" i="1" s="1"/>
  <c r="L2568" i="1"/>
  <c r="N2568" i="1" s="1"/>
  <c r="L2569" i="1"/>
  <c r="N2569" i="1" s="1"/>
  <c r="L2570" i="1"/>
  <c r="N2570" i="1" s="1"/>
  <c r="L2571" i="1"/>
  <c r="N2571" i="1" s="1"/>
  <c r="L2572" i="1"/>
  <c r="N2572" i="1" s="1"/>
  <c r="L2573" i="1"/>
  <c r="N2573" i="1" s="1"/>
  <c r="L2574" i="1"/>
  <c r="N2574" i="1" s="1"/>
  <c r="L2575" i="1"/>
  <c r="N2575" i="1" s="1"/>
  <c r="L2576" i="1"/>
  <c r="N2576" i="1" s="1"/>
  <c r="L2577" i="1"/>
  <c r="N2577" i="1" s="1"/>
  <c r="L2578" i="1"/>
  <c r="N2578" i="1" s="1"/>
  <c r="L2579" i="1"/>
  <c r="N2579" i="1" s="1"/>
  <c r="L2580" i="1"/>
  <c r="N2580" i="1" s="1"/>
  <c r="L2581" i="1"/>
  <c r="N2581" i="1" s="1"/>
  <c r="L2582" i="1"/>
  <c r="N2582" i="1" s="1"/>
  <c r="L2583" i="1"/>
  <c r="N2583" i="1" s="1"/>
  <c r="L2584" i="1"/>
  <c r="N2584" i="1" s="1"/>
  <c r="L2585" i="1"/>
  <c r="N2585" i="1" s="1"/>
  <c r="L2586" i="1"/>
  <c r="N2586" i="1" s="1"/>
  <c r="L2587" i="1"/>
  <c r="N2587" i="1" s="1"/>
  <c r="L2588" i="1"/>
  <c r="N2588" i="1" s="1"/>
  <c r="L2831" i="1"/>
  <c r="N2831" i="1" s="1"/>
  <c r="L2832" i="1"/>
  <c r="N2832" i="1" s="1"/>
  <c r="L2833" i="1"/>
  <c r="N2833" i="1" s="1"/>
  <c r="L2834" i="1"/>
  <c r="N2834" i="1" s="1"/>
  <c r="L2835" i="1"/>
  <c r="N2835" i="1" s="1"/>
  <c r="L2836" i="1"/>
  <c r="N2836" i="1" s="1"/>
  <c r="L2837" i="1"/>
  <c r="N2837" i="1" s="1"/>
  <c r="L2838" i="1"/>
  <c r="N2838" i="1" s="1"/>
  <c r="L2839" i="1"/>
  <c r="N2839" i="1" s="1"/>
  <c r="L2840" i="1"/>
  <c r="N2840" i="1" s="1"/>
  <c r="L2841" i="1"/>
  <c r="N2841" i="1" s="1"/>
  <c r="L2842" i="1"/>
  <c r="N2842" i="1" s="1"/>
  <c r="L2843" i="1"/>
  <c r="N2843" i="1" s="1"/>
  <c r="L2844" i="1"/>
  <c r="N2844" i="1" s="1"/>
  <c r="L2845" i="1"/>
  <c r="N2845" i="1" s="1"/>
  <c r="L2846" i="1"/>
  <c r="N2846" i="1" s="1"/>
  <c r="L2847" i="1"/>
  <c r="N2847" i="1" s="1"/>
  <c r="L2848" i="1"/>
  <c r="N2848" i="1" s="1"/>
  <c r="L2849" i="1"/>
  <c r="N2849" i="1" s="1"/>
  <c r="L2850" i="1"/>
  <c r="N2850" i="1" s="1"/>
  <c r="L2851" i="1"/>
  <c r="N2851" i="1" s="1"/>
  <c r="L2852" i="1"/>
  <c r="N2852" i="1" s="1"/>
  <c r="L2853" i="1"/>
  <c r="N2853" i="1" s="1"/>
  <c r="L2854" i="1"/>
  <c r="N2854" i="1" s="1"/>
  <c r="L2855" i="1"/>
  <c r="N2855" i="1" s="1"/>
  <c r="L2856" i="1"/>
  <c r="N2856" i="1" s="1"/>
  <c r="L2857" i="1"/>
  <c r="N2857" i="1" s="1"/>
  <c r="L2858" i="1"/>
  <c r="N2858" i="1" s="1"/>
  <c r="L2859" i="1"/>
  <c r="N2859" i="1" s="1"/>
  <c r="L2860" i="1"/>
  <c r="N2860" i="1" s="1"/>
  <c r="L2861" i="1"/>
  <c r="N2861" i="1" s="1"/>
  <c r="L2862" i="1"/>
  <c r="N2862" i="1" s="1"/>
  <c r="L2863" i="1"/>
  <c r="N2863" i="1" s="1"/>
  <c r="L2864" i="1"/>
  <c r="N2864" i="1" s="1"/>
  <c r="L2865" i="1"/>
  <c r="N2865" i="1" s="1"/>
  <c r="L2866" i="1"/>
  <c r="N2866" i="1" s="1"/>
  <c r="L2867" i="1"/>
  <c r="N2867" i="1" s="1"/>
  <c r="L2868" i="1"/>
  <c r="N2868" i="1" s="1"/>
  <c r="L2869" i="1"/>
  <c r="N2869" i="1" s="1"/>
  <c r="L2870" i="1"/>
  <c r="N2870" i="1" s="1"/>
  <c r="L2871" i="1"/>
  <c r="N2871" i="1" s="1"/>
  <c r="L2872" i="1"/>
  <c r="N2872" i="1" s="1"/>
  <c r="L2873" i="1"/>
  <c r="N2873" i="1" s="1"/>
  <c r="L2874" i="1"/>
  <c r="N2874" i="1" s="1"/>
  <c r="L2875" i="1"/>
  <c r="N2875" i="1" s="1"/>
  <c r="L2876" i="1"/>
  <c r="N2876" i="1" s="1"/>
  <c r="L2877" i="1"/>
  <c r="N2877" i="1" s="1"/>
  <c r="L2878" i="1"/>
  <c r="N2878" i="1" s="1"/>
  <c r="L2879" i="1"/>
  <c r="N2879" i="1" s="1"/>
  <c r="L2880" i="1"/>
  <c r="N2880" i="1" s="1"/>
  <c r="L2881" i="1"/>
  <c r="N2881" i="1" s="1"/>
  <c r="L2882" i="1"/>
  <c r="N2882" i="1" s="1"/>
  <c r="L2883" i="1"/>
  <c r="N2883" i="1" s="1"/>
  <c r="L2884" i="1"/>
  <c r="N2884" i="1" s="1"/>
  <c r="L2885" i="1"/>
  <c r="N2885" i="1" s="1"/>
  <c r="L2886" i="1"/>
  <c r="N2886" i="1" s="1"/>
  <c r="L2887" i="1"/>
  <c r="N2887" i="1" s="1"/>
  <c r="L2888" i="1"/>
  <c r="N2888" i="1" s="1"/>
  <c r="L2889" i="1"/>
  <c r="N2889" i="1" s="1"/>
  <c r="L2890" i="1"/>
  <c r="N2890" i="1" s="1"/>
  <c r="L2891" i="1"/>
  <c r="N2891" i="1" s="1"/>
  <c r="L2892" i="1"/>
  <c r="N2892" i="1" s="1"/>
  <c r="L2893" i="1"/>
  <c r="N2893" i="1" s="1"/>
  <c r="L2894" i="1"/>
  <c r="N2894" i="1" s="1"/>
  <c r="L2895" i="1"/>
  <c r="N2895" i="1" s="1"/>
  <c r="L2896" i="1"/>
  <c r="N2896" i="1" s="1"/>
  <c r="L2897" i="1"/>
  <c r="N2897" i="1" s="1"/>
  <c r="L2898" i="1"/>
  <c r="N2898" i="1" s="1"/>
  <c r="L2899" i="1"/>
  <c r="N2899" i="1" s="1"/>
  <c r="L2900" i="1"/>
  <c r="N2900" i="1" s="1"/>
  <c r="L2901" i="1"/>
  <c r="N2901" i="1" s="1"/>
  <c r="L2902" i="1"/>
  <c r="N2902" i="1" s="1"/>
  <c r="L2903" i="1"/>
  <c r="N2903" i="1" s="1"/>
  <c r="L2904" i="1"/>
  <c r="N2904" i="1" s="1"/>
  <c r="L2905" i="1"/>
  <c r="N2905" i="1" s="1"/>
  <c r="L2906" i="1"/>
  <c r="N2906" i="1" s="1"/>
  <c r="L2907" i="1"/>
  <c r="N2907" i="1" s="1"/>
  <c r="L2908" i="1"/>
  <c r="N2908" i="1" s="1"/>
  <c r="L2909" i="1"/>
  <c r="N2909" i="1" s="1"/>
  <c r="L2910" i="1"/>
  <c r="N2910" i="1" s="1"/>
  <c r="L2911" i="1"/>
  <c r="N2911" i="1" s="1"/>
  <c r="L2912" i="1"/>
  <c r="N2912" i="1" s="1"/>
  <c r="L2913" i="1"/>
  <c r="N2913" i="1" s="1"/>
  <c r="L2914" i="1"/>
  <c r="N2914" i="1" s="1"/>
  <c r="L2915" i="1"/>
  <c r="N2915" i="1" s="1"/>
  <c r="L2916" i="1"/>
  <c r="N2916" i="1" s="1"/>
  <c r="L2917" i="1"/>
  <c r="N2917" i="1" s="1"/>
  <c r="L2918" i="1"/>
  <c r="N2918" i="1" s="1"/>
  <c r="L2919" i="1"/>
  <c r="N2919" i="1" s="1"/>
  <c r="L2920" i="1"/>
  <c r="N2920" i="1" s="1"/>
  <c r="L2921" i="1"/>
  <c r="N2921" i="1" s="1"/>
  <c r="L2922" i="1"/>
  <c r="N2922" i="1" s="1"/>
  <c r="L2923" i="1"/>
  <c r="N2923" i="1" s="1"/>
  <c r="L2924" i="1"/>
  <c r="N2924" i="1" s="1"/>
  <c r="L2925" i="1"/>
  <c r="N2925" i="1" s="1"/>
  <c r="L2926" i="1"/>
  <c r="N2926" i="1" s="1"/>
  <c r="L2927" i="1"/>
  <c r="N2927" i="1" s="1"/>
  <c r="L2928" i="1"/>
  <c r="N2928" i="1" s="1"/>
  <c r="L2929" i="1"/>
  <c r="N2929" i="1" s="1"/>
  <c r="L2930" i="1"/>
  <c r="N2930" i="1" s="1"/>
  <c r="L2931" i="1"/>
  <c r="N2931" i="1" s="1"/>
  <c r="L2932" i="1"/>
  <c r="N2932" i="1" s="1"/>
  <c r="L2933" i="1"/>
  <c r="N2933" i="1" s="1"/>
  <c r="L2934" i="1"/>
  <c r="N2934" i="1" s="1"/>
  <c r="L2935" i="1"/>
  <c r="N2935" i="1" s="1"/>
  <c r="L2936" i="1"/>
  <c r="N2936" i="1" s="1"/>
  <c r="L2937" i="1"/>
  <c r="N2937" i="1" s="1"/>
  <c r="L2938" i="1"/>
  <c r="N2938" i="1" s="1"/>
  <c r="L2939" i="1"/>
  <c r="N2939" i="1" s="1"/>
  <c r="L2940" i="1"/>
  <c r="N2940" i="1" s="1"/>
  <c r="L2941" i="1"/>
  <c r="N2941" i="1" s="1"/>
  <c r="L2942" i="1"/>
  <c r="N2942" i="1" s="1"/>
  <c r="L2943" i="1"/>
  <c r="N2943" i="1" s="1"/>
  <c r="L2944" i="1"/>
  <c r="N2944" i="1" s="1"/>
  <c r="L2945" i="1"/>
  <c r="N2945" i="1" s="1"/>
  <c r="L2946" i="1"/>
  <c r="N2946" i="1" s="1"/>
  <c r="L2947" i="1"/>
  <c r="N2947" i="1" s="1"/>
  <c r="L2948" i="1"/>
  <c r="N2948" i="1" s="1"/>
  <c r="L2949" i="1"/>
  <c r="N2949" i="1" s="1"/>
  <c r="L2950" i="1"/>
  <c r="N2950" i="1" s="1"/>
  <c r="L2951" i="1"/>
  <c r="N2951" i="1" s="1"/>
  <c r="L2952" i="1"/>
  <c r="N2952" i="1" s="1"/>
  <c r="L2953" i="1"/>
  <c r="N2953" i="1" s="1"/>
  <c r="L2954" i="1"/>
  <c r="N2954" i="1" s="1"/>
  <c r="L2955" i="1"/>
  <c r="N2955" i="1" s="1"/>
  <c r="L2956" i="1"/>
  <c r="N2956" i="1" s="1"/>
  <c r="L2957" i="1"/>
  <c r="N2957" i="1" s="1"/>
  <c r="L2958" i="1"/>
  <c r="N2958" i="1" s="1"/>
  <c r="L2959" i="1"/>
  <c r="N2959" i="1" s="1"/>
  <c r="L2960" i="1"/>
  <c r="N2960" i="1" s="1"/>
  <c r="L2961" i="1"/>
  <c r="N2961" i="1" s="1"/>
  <c r="L2962" i="1"/>
  <c r="N2962" i="1" s="1"/>
  <c r="L2963" i="1"/>
  <c r="N2963" i="1" s="1"/>
  <c r="L2964" i="1"/>
  <c r="N2964" i="1" s="1"/>
  <c r="L2965" i="1"/>
  <c r="N2965" i="1" s="1"/>
  <c r="L2966" i="1"/>
  <c r="N2966" i="1" s="1"/>
  <c r="L2967" i="1"/>
  <c r="N2967" i="1" s="1"/>
  <c r="L2968" i="1"/>
  <c r="N2968" i="1" s="1"/>
  <c r="L2969" i="1"/>
  <c r="N2969" i="1" s="1"/>
  <c r="L2970" i="1"/>
  <c r="N2970" i="1" s="1"/>
  <c r="L2971" i="1"/>
  <c r="N2971" i="1" s="1"/>
  <c r="L2972" i="1"/>
  <c r="N2972" i="1" s="1"/>
  <c r="L2973" i="1"/>
  <c r="N2973" i="1" s="1"/>
  <c r="L2974" i="1"/>
  <c r="N2974" i="1" s="1"/>
  <c r="L2975" i="1"/>
  <c r="N2975" i="1" s="1"/>
  <c r="L2976" i="1"/>
  <c r="N2976" i="1" s="1"/>
  <c r="L2977" i="1"/>
  <c r="N2977" i="1" s="1"/>
  <c r="L2978" i="1"/>
  <c r="N2978" i="1" s="1"/>
  <c r="L2979" i="1"/>
  <c r="N2979" i="1" s="1"/>
  <c r="L2980" i="1"/>
  <c r="N2980" i="1" s="1"/>
  <c r="L2981" i="1"/>
  <c r="N2981" i="1" s="1"/>
  <c r="L2982" i="1"/>
  <c r="N2982" i="1" s="1"/>
  <c r="L2983" i="1"/>
  <c r="N2983" i="1" s="1"/>
  <c r="L2984" i="1"/>
  <c r="N2984" i="1" s="1"/>
  <c r="L2985" i="1"/>
  <c r="N2985" i="1" s="1"/>
  <c r="L2986" i="1"/>
  <c r="N2986" i="1" s="1"/>
  <c r="L2987" i="1"/>
  <c r="N2987" i="1" s="1"/>
  <c r="L2988" i="1"/>
  <c r="N2988" i="1" s="1"/>
  <c r="L2989" i="1"/>
  <c r="N2989" i="1" s="1"/>
  <c r="L2990" i="1"/>
  <c r="N2990" i="1" s="1"/>
  <c r="L2991" i="1"/>
  <c r="N2991" i="1" s="1"/>
  <c r="L2992" i="1"/>
  <c r="N2992" i="1" s="1"/>
  <c r="L2993" i="1"/>
  <c r="N2993" i="1" s="1"/>
  <c r="L2994" i="1"/>
  <c r="N2994" i="1" s="1"/>
  <c r="L2995" i="1"/>
  <c r="N2995" i="1" s="1"/>
  <c r="L2996" i="1"/>
  <c r="N2996" i="1" s="1"/>
  <c r="L2997" i="1"/>
  <c r="N2997" i="1" s="1"/>
  <c r="L2998" i="1"/>
  <c r="N2998" i="1" s="1"/>
  <c r="L2999" i="1"/>
  <c r="N2999" i="1" s="1"/>
  <c r="L3000" i="1"/>
  <c r="N3000" i="1" s="1"/>
  <c r="L3001" i="1"/>
  <c r="N3001" i="1" s="1"/>
  <c r="L3002" i="1"/>
  <c r="N3002" i="1" s="1"/>
  <c r="L3003" i="1"/>
  <c r="N3003" i="1" s="1"/>
  <c r="L3004" i="1"/>
  <c r="N3004" i="1" s="1"/>
  <c r="L3005" i="1"/>
  <c r="N3005" i="1" s="1"/>
  <c r="L3006" i="1"/>
  <c r="N3006" i="1" s="1"/>
  <c r="L3007" i="1"/>
  <c r="N3007" i="1" s="1"/>
  <c r="L3008" i="1"/>
  <c r="N3008" i="1" s="1"/>
  <c r="L3009" i="1"/>
  <c r="N3009" i="1" s="1"/>
  <c r="L3010" i="1"/>
  <c r="N3010" i="1" s="1"/>
  <c r="L3011" i="1"/>
  <c r="N3011" i="1" s="1"/>
  <c r="L3012" i="1"/>
  <c r="N3012" i="1" s="1"/>
  <c r="L3013" i="1"/>
  <c r="N3013" i="1" s="1"/>
  <c r="L3014" i="1"/>
  <c r="N3014" i="1" s="1"/>
  <c r="L3015" i="1"/>
  <c r="N3015" i="1" s="1"/>
  <c r="L3016" i="1"/>
  <c r="N3016" i="1" s="1"/>
  <c r="L3017" i="1"/>
  <c r="N3017" i="1" s="1"/>
  <c r="L3018" i="1"/>
  <c r="N3018" i="1" s="1"/>
  <c r="L3019" i="1"/>
  <c r="N3019" i="1" s="1"/>
  <c r="L3020" i="1"/>
  <c r="N3020" i="1" s="1"/>
  <c r="L3021" i="1"/>
  <c r="N3021" i="1" s="1"/>
  <c r="L3022" i="1"/>
  <c r="N3022" i="1" s="1"/>
  <c r="L3023" i="1"/>
  <c r="N3023" i="1" s="1"/>
  <c r="L3024" i="1"/>
  <c r="N3024" i="1" s="1"/>
  <c r="L3025" i="1"/>
  <c r="N3025" i="1" s="1"/>
  <c r="L3026" i="1"/>
  <c r="N3026" i="1" s="1"/>
  <c r="L3027" i="1"/>
  <c r="N3027" i="1" s="1"/>
  <c r="L3028" i="1"/>
  <c r="N3028" i="1" s="1"/>
  <c r="L3029" i="1"/>
  <c r="N3029" i="1" s="1"/>
  <c r="L3030" i="1"/>
  <c r="N3030" i="1" s="1"/>
  <c r="L3031" i="1"/>
  <c r="N3031" i="1" s="1"/>
  <c r="L3032" i="1"/>
  <c r="N3032" i="1" s="1"/>
  <c r="L3033" i="1"/>
  <c r="N3033" i="1" s="1"/>
  <c r="L3034" i="1"/>
  <c r="N3034" i="1" s="1"/>
  <c r="L3035" i="1"/>
  <c r="N3035" i="1" s="1"/>
  <c r="L3036" i="1"/>
  <c r="N3036" i="1" s="1"/>
  <c r="L3037" i="1"/>
  <c r="N3037" i="1" s="1"/>
  <c r="L3038" i="1"/>
  <c r="N3038" i="1" s="1"/>
  <c r="L3039" i="1"/>
  <c r="N3039" i="1" s="1"/>
  <c r="L3040" i="1"/>
  <c r="N3040" i="1" s="1"/>
  <c r="L3041" i="1"/>
  <c r="N3041" i="1" s="1"/>
  <c r="L3042" i="1"/>
  <c r="N3042" i="1" s="1"/>
  <c r="L3043" i="1"/>
  <c r="N3043" i="1" s="1"/>
  <c r="L3044" i="1"/>
  <c r="N3044" i="1" s="1"/>
  <c r="L3045" i="1"/>
  <c r="N3045" i="1" s="1"/>
  <c r="L3046" i="1"/>
  <c r="N3046" i="1" s="1"/>
  <c r="L3047" i="1"/>
  <c r="N3047" i="1" s="1"/>
  <c r="L3048" i="1"/>
  <c r="N3048" i="1" s="1"/>
  <c r="L3049" i="1"/>
  <c r="N3049" i="1" s="1"/>
  <c r="L3050" i="1"/>
  <c r="N3050" i="1" s="1"/>
  <c r="L3051" i="1"/>
  <c r="N3051" i="1" s="1"/>
  <c r="L3052" i="1"/>
  <c r="N3052" i="1" s="1"/>
  <c r="L3053" i="1"/>
  <c r="N3053" i="1" s="1"/>
  <c r="L3054" i="1"/>
  <c r="N3054" i="1" s="1"/>
  <c r="L3055" i="1"/>
  <c r="N3055" i="1" s="1"/>
  <c r="L3056" i="1"/>
  <c r="N3056" i="1" s="1"/>
  <c r="L3057" i="1"/>
  <c r="N3057" i="1" s="1"/>
  <c r="L3058" i="1"/>
  <c r="N3058" i="1" s="1"/>
  <c r="L3059" i="1"/>
  <c r="N3059" i="1" s="1"/>
  <c r="L3060" i="1"/>
  <c r="N3060" i="1" s="1"/>
  <c r="L3061" i="1"/>
  <c r="N3061" i="1" s="1"/>
  <c r="L3062" i="1"/>
  <c r="N3062" i="1" s="1"/>
  <c r="L3063" i="1"/>
  <c r="N3063" i="1" s="1"/>
  <c r="L3064" i="1"/>
  <c r="N3064" i="1" s="1"/>
  <c r="L3065" i="1"/>
  <c r="N3065" i="1" s="1"/>
  <c r="L3066" i="1"/>
  <c r="L3067" i="1"/>
  <c r="L3068" i="1"/>
  <c r="L3069" i="1"/>
  <c r="L3070" i="1"/>
  <c r="N3070" i="1" s="1"/>
  <c r="L3071" i="1"/>
  <c r="L3072" i="1"/>
  <c r="L3073" i="1"/>
  <c r="C12" i="7"/>
  <c r="C11" i="7"/>
  <c r="D11" i="2"/>
  <c r="B11" i="2"/>
  <c r="H5" i="5"/>
  <c r="G5" i="5"/>
  <c r="F5" i="5"/>
  <c r="D5" i="5"/>
  <c r="G24" i="5"/>
  <c r="G25" i="5"/>
  <c r="G26" i="5"/>
  <c r="G19" i="5"/>
  <c r="G20" i="5"/>
  <c r="G21" i="5"/>
  <c r="G22" i="5"/>
  <c r="G23" i="5"/>
  <c r="G18" i="5"/>
  <c r="G11" i="5"/>
  <c r="G12" i="5"/>
  <c r="G13" i="5"/>
  <c r="G14" i="5"/>
  <c r="G15" i="5"/>
  <c r="G16" i="5"/>
  <c r="G17" i="5"/>
  <c r="G8" i="5"/>
  <c r="G9" i="5"/>
  <c r="G10" i="5"/>
  <c r="H45" i="2"/>
  <c r="H46" i="2"/>
  <c r="H47" i="2"/>
  <c r="H48" i="2"/>
  <c r="H44" i="2"/>
  <c r="K38" i="2"/>
  <c r="E36" i="4"/>
  <c r="D36" i="4"/>
  <c r="E35" i="4"/>
  <c r="D35" i="4"/>
  <c r="E33" i="4"/>
  <c r="D33" i="4"/>
  <c r="E32" i="4"/>
  <c r="D32" i="4"/>
  <c r="D30" i="4"/>
  <c r="D23" i="4"/>
  <c r="E21" i="4"/>
  <c r="E20" i="4"/>
  <c r="D19" i="4"/>
  <c r="D17" i="4"/>
  <c r="E34" i="4"/>
  <c r="C24" i="4"/>
  <c r="E17" i="4"/>
  <c r="E10" i="4"/>
  <c r="C37" i="4"/>
  <c r="F51" i="4" s="1"/>
  <c r="F52" i="4" s="1"/>
  <c r="F53" i="4" s="1"/>
  <c r="F54" i="4" s="1"/>
  <c r="F55" i="4" s="1"/>
  <c r="D34" i="4"/>
  <c r="E31" i="4"/>
  <c r="E30" i="4"/>
  <c r="E29" i="4"/>
  <c r="E23" i="4"/>
  <c r="E22" i="4"/>
  <c r="D21" i="4"/>
  <c r="D20" i="4"/>
  <c r="E19" i="4"/>
  <c r="E18" i="4"/>
  <c r="D31" i="4"/>
  <c r="D29" i="4"/>
  <c r="D22" i="4"/>
  <c r="D18" i="4"/>
  <c r="D10" i="4"/>
  <c r="B17" i="9" l="1"/>
  <c r="C26" i="7"/>
  <c r="O3066" i="1"/>
  <c r="N3066" i="1"/>
  <c r="O3067" i="1"/>
  <c r="N3067" i="1"/>
  <c r="O3068" i="1"/>
  <c r="N3068" i="1"/>
  <c r="O3069" i="1"/>
  <c r="N3069" i="1"/>
  <c r="O3071" i="1"/>
  <c r="N3071" i="1"/>
  <c r="O3072" i="1"/>
  <c r="N3072" i="1"/>
  <c r="O3073" i="1"/>
  <c r="N3073" i="1"/>
  <c r="D19" i="2"/>
  <c r="D20" i="2"/>
  <c r="D21" i="2"/>
  <c r="D18" i="2"/>
  <c r="O3070" i="1"/>
  <c r="D22" i="2"/>
  <c r="J51" i="2"/>
  <c r="J52" i="2"/>
  <c r="J53" i="2"/>
  <c r="J54" i="2"/>
  <c r="J55" i="2"/>
  <c r="C60" i="4"/>
  <c r="C80" i="4"/>
  <c r="S51" i="4"/>
  <c r="S52" i="4"/>
  <c r="S53" i="4"/>
  <c r="S54" i="4"/>
  <c r="S55" i="4"/>
  <c r="K51" i="4"/>
  <c r="K52" i="4"/>
  <c r="K53" i="4"/>
  <c r="K54" i="4"/>
  <c r="K55" i="4"/>
  <c r="AB6" i="3"/>
  <c r="AA6" i="3"/>
  <c r="AB7" i="3"/>
  <c r="AA7" i="3"/>
  <c r="AB8" i="3"/>
  <c r="AA8" i="3"/>
  <c r="AB9" i="3"/>
  <c r="AA9" i="3"/>
  <c r="AB10" i="3"/>
  <c r="AA10" i="3"/>
  <c r="AB11" i="3"/>
  <c r="AA11" i="3"/>
  <c r="AB12" i="3"/>
  <c r="AA12" i="3"/>
  <c r="AB13" i="3"/>
  <c r="AA13" i="3"/>
  <c r="AB14" i="3"/>
  <c r="AA14" i="3"/>
  <c r="AB15" i="3"/>
  <c r="AA15" i="3"/>
  <c r="AB16" i="3"/>
  <c r="AA16" i="3"/>
  <c r="AB17" i="3"/>
  <c r="AA17" i="3"/>
  <c r="AB18" i="3"/>
  <c r="AA18" i="3"/>
  <c r="AB19" i="3"/>
  <c r="AA19" i="3"/>
  <c r="AB20" i="3"/>
  <c r="AA20" i="3"/>
  <c r="AB21" i="3"/>
  <c r="AA21" i="3"/>
  <c r="AB22" i="3"/>
  <c r="AA22" i="3"/>
  <c r="AB23" i="3"/>
  <c r="AA23" i="3"/>
  <c r="AB24" i="3"/>
  <c r="AA24" i="3"/>
  <c r="AB25" i="3"/>
  <c r="AA25" i="3"/>
  <c r="AB26" i="3"/>
  <c r="AA26" i="3"/>
  <c r="AB27" i="3"/>
  <c r="AA27" i="3"/>
  <c r="AB28" i="3"/>
  <c r="AA28" i="3"/>
  <c r="AB29" i="3"/>
  <c r="AA29" i="3"/>
  <c r="AB30" i="3"/>
  <c r="AA30" i="3"/>
  <c r="AB31" i="3"/>
  <c r="AA31" i="3"/>
  <c r="AB32" i="3"/>
  <c r="AA32" i="3"/>
  <c r="AB33" i="3"/>
  <c r="AA33" i="3"/>
  <c r="AB34" i="3"/>
  <c r="AA34" i="3"/>
  <c r="AB35" i="3"/>
  <c r="AA35" i="3"/>
  <c r="AB36" i="3"/>
  <c r="AA36" i="3"/>
  <c r="AB37" i="3"/>
  <c r="AA37" i="3"/>
  <c r="AB38" i="3"/>
  <c r="AA38" i="3"/>
  <c r="AB39" i="3"/>
  <c r="AA39" i="3"/>
  <c r="AB40" i="3"/>
  <c r="AA40" i="3"/>
  <c r="AB41" i="3"/>
  <c r="AA41" i="3"/>
  <c r="AB42" i="3"/>
  <c r="AA42" i="3"/>
  <c r="AB43" i="3"/>
  <c r="AA43" i="3"/>
  <c r="AB44" i="3"/>
  <c r="AA44" i="3"/>
  <c r="AB45" i="3"/>
  <c r="AA45" i="3"/>
  <c r="AB46" i="3"/>
  <c r="AA46" i="3"/>
  <c r="AB47" i="3"/>
  <c r="AA47" i="3"/>
  <c r="AB48" i="3"/>
  <c r="AA48" i="3"/>
  <c r="AB49" i="3"/>
  <c r="AA49" i="3"/>
  <c r="AB50" i="3"/>
  <c r="AA50" i="3"/>
  <c r="AB51" i="3"/>
  <c r="AA51" i="3"/>
  <c r="AB52" i="3"/>
  <c r="AA52" i="3"/>
  <c r="AB53" i="3"/>
  <c r="AA53" i="3"/>
  <c r="AB54" i="3"/>
  <c r="AA54" i="3"/>
  <c r="AB55" i="3"/>
  <c r="AA55" i="3"/>
  <c r="AB56" i="3"/>
  <c r="AA56" i="3"/>
  <c r="AB57" i="3"/>
  <c r="AA57" i="3"/>
  <c r="AB58" i="3"/>
  <c r="AA58" i="3"/>
  <c r="AB59" i="3"/>
  <c r="AA59" i="3"/>
  <c r="AB60" i="3"/>
  <c r="AA60" i="3"/>
  <c r="AB61" i="3"/>
  <c r="AA61" i="3"/>
  <c r="AB62" i="3"/>
  <c r="AA62" i="3"/>
  <c r="AB63" i="3"/>
  <c r="AA63" i="3"/>
  <c r="AB64" i="3"/>
  <c r="AA64" i="3"/>
  <c r="AB65" i="3"/>
  <c r="AA65" i="3"/>
  <c r="AB66" i="3"/>
  <c r="AA66" i="3"/>
  <c r="AB67" i="3"/>
  <c r="AA67" i="3"/>
  <c r="AB68" i="3"/>
  <c r="AA68" i="3"/>
  <c r="AB69" i="3"/>
  <c r="AA69" i="3"/>
  <c r="AB70" i="3"/>
  <c r="AA70" i="3"/>
  <c r="F74" i="3"/>
  <c r="F75" i="3"/>
  <c r="F76" i="3"/>
  <c r="B102" i="3"/>
  <c r="B105" i="3"/>
  <c r="B104" i="3"/>
  <c r="B103" i="3"/>
  <c r="AB5" i="3"/>
  <c r="AA5" i="3"/>
  <c r="U6" i="3"/>
  <c r="U7" i="3"/>
  <c r="U8" i="3"/>
  <c r="U9" i="3"/>
  <c r="U10" i="3"/>
  <c r="U11" i="3"/>
  <c r="U12" i="3"/>
  <c r="U13" i="3"/>
  <c r="U14" i="3"/>
  <c r="U15" i="3"/>
  <c r="U16" i="3"/>
  <c r="U17" i="3"/>
  <c r="U18" i="3"/>
  <c r="U19" i="3"/>
  <c r="U20" i="3"/>
  <c r="U21" i="3"/>
  <c r="U22" i="3"/>
  <c r="U23" i="3"/>
  <c r="U25" i="3"/>
  <c r="U26" i="3"/>
  <c r="U27" i="3"/>
  <c r="U28" i="3"/>
  <c r="U29" i="3"/>
  <c r="U30" i="3"/>
  <c r="U31" i="3"/>
  <c r="U32" i="3"/>
  <c r="U33" i="3"/>
  <c r="U34" i="3"/>
  <c r="U35" i="3"/>
  <c r="U36" i="3"/>
  <c r="U38" i="3"/>
  <c r="U39" i="3"/>
  <c r="U40" i="3"/>
  <c r="U41" i="3"/>
  <c r="U42" i="3"/>
  <c r="U43" i="3"/>
  <c r="U44" i="3"/>
  <c r="U45" i="3"/>
  <c r="U46" i="3"/>
  <c r="U47" i="3"/>
  <c r="U49" i="3"/>
  <c r="U50" i="3"/>
  <c r="U51" i="3"/>
  <c r="U52" i="3"/>
  <c r="U53" i="3"/>
  <c r="U54" i="3"/>
  <c r="U55" i="3"/>
  <c r="U56" i="3"/>
  <c r="U61" i="3"/>
  <c r="U63" i="3"/>
  <c r="U64" i="3"/>
  <c r="U65" i="3"/>
  <c r="U66" i="3"/>
  <c r="U67" i="3"/>
  <c r="U68" i="3"/>
  <c r="U69" i="3"/>
  <c r="U70" i="3"/>
  <c r="U57" i="3"/>
  <c r="U58" i="3"/>
  <c r="U59" i="3"/>
  <c r="U60" i="3"/>
  <c r="U5" i="3"/>
  <c r="V5" i="3"/>
  <c r="W5" i="3" s="1"/>
  <c r="V10" i="3"/>
  <c r="V11" i="3"/>
  <c r="V12" i="3"/>
  <c r="V13" i="3"/>
  <c r="V14" i="3"/>
  <c r="V15" i="3"/>
  <c r="V16" i="3"/>
  <c r="V17" i="3"/>
  <c r="V18" i="3"/>
  <c r="V19" i="3"/>
  <c r="V20" i="3"/>
  <c r="V21" i="3"/>
  <c r="V22" i="3"/>
  <c r="V23" i="3"/>
  <c r="V9" i="3"/>
  <c r="V6" i="3"/>
  <c r="V7" i="3"/>
  <c r="V8" i="3"/>
  <c r="U24" i="3"/>
  <c r="V24" i="3"/>
  <c r="W24" i="3" s="1"/>
  <c r="V25" i="3"/>
  <c r="V26" i="3"/>
  <c r="V27" i="3"/>
  <c r="V28" i="3"/>
  <c r="V29" i="3"/>
  <c r="V30" i="3"/>
  <c r="V31" i="3"/>
  <c r="V32" i="3"/>
  <c r="V33" i="3"/>
  <c r="V34" i="3"/>
  <c r="V35" i="3"/>
  <c r="V36" i="3"/>
  <c r="U37" i="3"/>
  <c r="V41" i="3"/>
  <c r="V42" i="3"/>
  <c r="V43" i="3"/>
  <c r="V44" i="3"/>
  <c r="V45" i="3"/>
  <c r="V46" i="3"/>
  <c r="V47" i="3"/>
  <c r="V37" i="3"/>
  <c r="W37" i="3" s="1"/>
  <c r="V38" i="3"/>
  <c r="V39" i="3"/>
  <c r="V40" i="3"/>
  <c r="U48" i="3"/>
  <c r="V52" i="3"/>
  <c r="V53" i="3"/>
  <c r="V54" i="3"/>
  <c r="V55" i="3"/>
  <c r="V56" i="3"/>
  <c r="V57" i="3"/>
  <c r="V48" i="3"/>
  <c r="W48" i="3" s="1"/>
  <c r="V59" i="3"/>
  <c r="V60" i="3"/>
  <c r="V61" i="3"/>
  <c r="V58" i="3"/>
  <c r="V49" i="3"/>
  <c r="V50" i="3"/>
  <c r="V51" i="3"/>
  <c r="U62" i="3"/>
  <c r="V62" i="3"/>
  <c r="W62" i="3" s="1"/>
  <c r="V63" i="3"/>
  <c r="V64" i="3"/>
  <c r="V65" i="3"/>
  <c r="V67" i="3"/>
  <c r="V68" i="3"/>
  <c r="V69" i="3"/>
  <c r="V70" i="3"/>
  <c r="V66" i="3"/>
  <c r="F11" i="2"/>
  <c r="E11" i="2" s="1"/>
  <c r="O2589" i="1"/>
  <c r="O2590" i="1"/>
  <c r="O2591" i="1"/>
  <c r="O2592" i="1"/>
  <c r="O2593" i="1"/>
  <c r="O2594" i="1"/>
  <c r="O2595" i="1"/>
  <c r="O2596" i="1"/>
  <c r="O2597" i="1"/>
  <c r="O2598" i="1"/>
  <c r="O2599" i="1"/>
  <c r="O2600" i="1"/>
  <c r="O2601" i="1"/>
  <c r="O2602" i="1"/>
  <c r="O2603" i="1"/>
  <c r="O2604" i="1"/>
  <c r="O2605" i="1"/>
  <c r="O2606" i="1"/>
  <c r="O2607" i="1"/>
  <c r="O2608" i="1"/>
  <c r="O2609" i="1"/>
  <c r="O2610" i="1"/>
  <c r="O2611" i="1"/>
  <c r="O2612" i="1"/>
  <c r="O2613" i="1"/>
  <c r="O2614" i="1"/>
  <c r="O2615" i="1"/>
  <c r="O2616" i="1"/>
  <c r="O2617" i="1"/>
  <c r="O2618" i="1"/>
  <c r="O2619" i="1"/>
  <c r="O2620" i="1"/>
  <c r="O2621" i="1"/>
  <c r="O2622" i="1"/>
  <c r="O2623" i="1"/>
  <c r="O2624" i="1"/>
  <c r="O2625" i="1"/>
  <c r="O2626" i="1"/>
  <c r="O2627" i="1"/>
  <c r="O2628" i="1"/>
  <c r="O2629" i="1"/>
  <c r="O2630" i="1"/>
  <c r="O2631" i="1"/>
  <c r="O2632" i="1"/>
  <c r="O2633" i="1"/>
  <c r="O2634" i="1"/>
  <c r="O2635" i="1"/>
  <c r="O2636" i="1"/>
  <c r="O2637" i="1"/>
  <c r="O2638" i="1"/>
  <c r="O2639" i="1"/>
  <c r="O2640" i="1"/>
  <c r="O2641" i="1"/>
  <c r="O2642" i="1"/>
  <c r="O2643" i="1"/>
  <c r="O2644" i="1"/>
  <c r="O2645" i="1"/>
  <c r="O2646" i="1"/>
  <c r="O2647" i="1"/>
  <c r="O2648" i="1"/>
  <c r="O2649" i="1"/>
  <c r="O2650" i="1"/>
  <c r="O2651" i="1"/>
  <c r="O2652" i="1"/>
  <c r="O2653" i="1"/>
  <c r="O2654" i="1"/>
  <c r="O2655" i="1"/>
  <c r="O2656" i="1"/>
  <c r="O2657" i="1"/>
  <c r="O2658" i="1"/>
  <c r="O2659" i="1"/>
  <c r="O2660" i="1"/>
  <c r="O2661" i="1"/>
  <c r="O2662" i="1"/>
  <c r="O2663" i="1"/>
  <c r="O2664" i="1"/>
  <c r="O2665" i="1"/>
  <c r="O2666" i="1"/>
  <c r="O2667" i="1"/>
  <c r="O2668" i="1"/>
  <c r="O2669" i="1"/>
  <c r="O2670" i="1"/>
  <c r="O2671" i="1"/>
  <c r="O2672" i="1"/>
  <c r="O2673" i="1"/>
  <c r="O2674" i="1"/>
  <c r="O2675" i="1"/>
  <c r="O2676" i="1"/>
  <c r="O2677" i="1"/>
  <c r="O2678" i="1"/>
  <c r="O2679" i="1"/>
  <c r="O2680" i="1"/>
  <c r="O2681" i="1"/>
  <c r="O2682" i="1"/>
  <c r="O2683" i="1"/>
  <c r="O2684" i="1"/>
  <c r="O2685" i="1"/>
  <c r="O2686" i="1"/>
  <c r="O2687" i="1"/>
  <c r="O2688" i="1"/>
  <c r="O2689" i="1"/>
  <c r="O2690" i="1"/>
  <c r="O2691" i="1"/>
  <c r="O2692" i="1"/>
  <c r="O2693" i="1"/>
  <c r="O2694" i="1"/>
  <c r="O2695" i="1"/>
  <c r="O2696" i="1"/>
  <c r="O2697" i="1"/>
  <c r="O2698" i="1"/>
  <c r="O2699" i="1"/>
  <c r="O2700" i="1"/>
  <c r="O2701" i="1"/>
  <c r="O2702" i="1"/>
  <c r="O2703" i="1"/>
  <c r="O2704" i="1"/>
  <c r="O2705" i="1"/>
  <c r="O2706" i="1"/>
  <c r="O2707" i="1"/>
  <c r="O2708" i="1"/>
  <c r="O2709" i="1"/>
  <c r="O2710" i="1"/>
  <c r="O2711" i="1"/>
  <c r="O2712" i="1"/>
  <c r="O2713" i="1"/>
  <c r="O2714" i="1"/>
  <c r="O2715" i="1"/>
  <c r="O2716" i="1"/>
  <c r="O2717" i="1"/>
  <c r="O2718" i="1"/>
  <c r="O2719" i="1"/>
  <c r="O2720" i="1"/>
  <c r="O2721" i="1"/>
  <c r="O2722" i="1"/>
  <c r="O2723" i="1"/>
  <c r="O2724" i="1"/>
  <c r="O2725" i="1"/>
  <c r="O2726" i="1"/>
  <c r="O2727" i="1"/>
  <c r="O2728" i="1"/>
  <c r="O2729" i="1"/>
  <c r="O2730" i="1"/>
  <c r="O2731" i="1"/>
  <c r="O2732" i="1"/>
  <c r="O2733" i="1"/>
  <c r="O2734" i="1"/>
  <c r="O2735" i="1"/>
  <c r="O2736" i="1"/>
  <c r="O2737" i="1"/>
  <c r="O2738" i="1"/>
  <c r="O2739" i="1"/>
  <c r="O2740" i="1"/>
  <c r="O2741" i="1"/>
  <c r="O2742" i="1"/>
  <c r="O2743" i="1"/>
  <c r="O2744" i="1"/>
  <c r="O2745" i="1"/>
  <c r="O2746" i="1"/>
  <c r="O2747" i="1"/>
  <c r="O2748" i="1"/>
  <c r="O2749" i="1"/>
  <c r="O2750" i="1"/>
  <c r="O2751" i="1"/>
  <c r="O2752" i="1"/>
  <c r="O2753" i="1"/>
  <c r="O2754" i="1"/>
  <c r="O2755" i="1"/>
  <c r="O2756" i="1"/>
  <c r="O2757" i="1"/>
  <c r="O2758" i="1"/>
  <c r="O2759" i="1"/>
  <c r="O2760" i="1"/>
  <c r="O2761" i="1"/>
  <c r="O2762" i="1"/>
  <c r="O2763" i="1"/>
  <c r="O2764" i="1"/>
  <c r="O2765" i="1"/>
  <c r="O2766" i="1"/>
  <c r="O2767" i="1"/>
  <c r="O2768" i="1"/>
  <c r="O2769" i="1"/>
  <c r="O2770" i="1"/>
  <c r="O2771" i="1"/>
  <c r="O2772" i="1"/>
  <c r="O2773" i="1"/>
  <c r="O2774" i="1"/>
  <c r="O2775" i="1"/>
  <c r="O2776" i="1"/>
  <c r="O2777" i="1"/>
  <c r="O2778" i="1"/>
  <c r="O2779" i="1"/>
  <c r="O2780" i="1"/>
  <c r="O2781" i="1"/>
  <c r="O2782" i="1"/>
  <c r="O2783" i="1"/>
  <c r="O2784" i="1"/>
  <c r="O2785" i="1"/>
  <c r="O2786" i="1"/>
  <c r="O2787" i="1"/>
  <c r="O2788" i="1"/>
  <c r="O2789" i="1"/>
  <c r="O2790" i="1"/>
  <c r="O2791" i="1"/>
  <c r="O2792" i="1"/>
  <c r="O2793" i="1"/>
  <c r="O2794" i="1"/>
  <c r="O2795" i="1"/>
  <c r="O2796" i="1"/>
  <c r="O2797" i="1"/>
  <c r="O2798" i="1"/>
  <c r="O2799" i="1"/>
  <c r="O2800" i="1"/>
  <c r="O2801" i="1"/>
  <c r="O2802" i="1"/>
  <c r="O2803" i="1"/>
  <c r="O2804" i="1"/>
  <c r="O2805" i="1"/>
  <c r="O2806" i="1"/>
  <c r="O2807" i="1"/>
  <c r="O2808" i="1"/>
  <c r="O2809" i="1"/>
  <c r="O2810" i="1"/>
  <c r="O2811" i="1"/>
  <c r="O2812" i="1"/>
  <c r="O2813" i="1"/>
  <c r="O2814" i="1"/>
  <c r="O2815" i="1"/>
  <c r="O2816" i="1"/>
  <c r="O2817" i="1"/>
  <c r="O2818" i="1"/>
  <c r="O2819" i="1"/>
  <c r="O2820" i="1"/>
  <c r="O2821" i="1"/>
  <c r="O2822" i="1"/>
  <c r="O2823" i="1"/>
  <c r="O2824" i="1"/>
  <c r="O2825" i="1"/>
  <c r="O2826" i="1"/>
  <c r="O2827" i="1"/>
  <c r="O2828" i="1"/>
  <c r="O2829" i="1"/>
  <c r="O2830"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4"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O2231" i="1"/>
  <c r="O2232" i="1"/>
  <c r="O2233" i="1"/>
  <c r="O2234" i="1"/>
  <c r="O2235" i="1"/>
  <c r="O2236" i="1"/>
  <c r="O2237" i="1"/>
  <c r="O2238" i="1"/>
  <c r="O2239" i="1"/>
  <c r="O2240" i="1"/>
  <c r="O2241" i="1"/>
  <c r="O2242" i="1"/>
  <c r="O2243" i="1"/>
  <c r="O2244" i="1"/>
  <c r="O2245" i="1"/>
  <c r="O2246" i="1"/>
  <c r="O2247" i="1"/>
  <c r="O2248" i="1"/>
  <c r="O2249" i="1"/>
  <c r="O2250" i="1"/>
  <c r="O2251" i="1"/>
  <c r="O2252" i="1"/>
  <c r="O2253" i="1"/>
  <c r="O2254" i="1"/>
  <c r="O2255" i="1"/>
  <c r="O2256" i="1"/>
  <c r="O2257" i="1"/>
  <c r="O2258" i="1"/>
  <c r="O2259" i="1"/>
  <c r="O2260" i="1"/>
  <c r="O2261" i="1"/>
  <c r="O2262" i="1"/>
  <c r="O2263" i="1"/>
  <c r="O2264" i="1"/>
  <c r="O2265" i="1"/>
  <c r="O2266" i="1"/>
  <c r="O2267" i="1"/>
  <c r="O2268" i="1"/>
  <c r="O2269" i="1"/>
  <c r="O2270" i="1"/>
  <c r="O2271" i="1"/>
  <c r="O2272" i="1"/>
  <c r="O2273" i="1"/>
  <c r="O2274" i="1"/>
  <c r="O2275" i="1"/>
  <c r="O2276" i="1"/>
  <c r="O2277" i="1"/>
  <c r="O2278" i="1"/>
  <c r="O2279" i="1"/>
  <c r="O2280" i="1"/>
  <c r="O2281" i="1"/>
  <c r="O2282" i="1"/>
  <c r="O2283" i="1"/>
  <c r="O2284" i="1"/>
  <c r="O2285" i="1"/>
  <c r="O2286" i="1"/>
  <c r="O2287" i="1"/>
  <c r="O2288" i="1"/>
  <c r="O2289" i="1"/>
  <c r="O2290" i="1"/>
  <c r="O2291" i="1"/>
  <c r="O2292" i="1"/>
  <c r="O2293" i="1"/>
  <c r="O2294" i="1"/>
  <c r="O2295" i="1"/>
  <c r="O2296" i="1"/>
  <c r="O2297" i="1"/>
  <c r="O2298" i="1"/>
  <c r="O2299" i="1"/>
  <c r="O2300" i="1"/>
  <c r="O2301" i="1"/>
  <c r="O2302" i="1"/>
  <c r="O2303" i="1"/>
  <c r="O2304" i="1"/>
  <c r="O2305" i="1"/>
  <c r="O2306" i="1"/>
  <c r="O2307" i="1"/>
  <c r="O2308" i="1"/>
  <c r="O2309" i="1"/>
  <c r="O2310" i="1"/>
  <c r="O2311" i="1"/>
  <c r="O2312" i="1"/>
  <c r="O2313" i="1"/>
  <c r="O2314" i="1"/>
  <c r="O2315" i="1"/>
  <c r="O2316" i="1"/>
  <c r="O2317" i="1"/>
  <c r="O2318" i="1"/>
  <c r="O2319" i="1"/>
  <c r="O2320" i="1"/>
  <c r="O2321" i="1"/>
  <c r="O2322" i="1"/>
  <c r="O2323" i="1"/>
  <c r="O2324" i="1"/>
  <c r="O2325" i="1"/>
  <c r="O2326" i="1"/>
  <c r="O2327" i="1"/>
  <c r="O2328" i="1"/>
  <c r="O2329" i="1"/>
  <c r="O2330" i="1"/>
  <c r="O2331" i="1"/>
  <c r="O2332" i="1"/>
  <c r="O2333" i="1"/>
  <c r="O2334" i="1"/>
  <c r="O2335" i="1"/>
  <c r="O2336" i="1"/>
  <c r="O2337" i="1"/>
  <c r="O2338" i="1"/>
  <c r="O2339" i="1"/>
  <c r="O2340" i="1"/>
  <c r="O2341" i="1"/>
  <c r="O2342" i="1"/>
  <c r="O2343" i="1"/>
  <c r="O2344" i="1"/>
  <c r="O2345" i="1"/>
  <c r="O2346" i="1"/>
  <c r="O2347" i="1"/>
  <c r="O2348" i="1"/>
  <c r="O2349" i="1"/>
  <c r="O2350" i="1"/>
  <c r="O2351" i="1"/>
  <c r="O2352" i="1"/>
  <c r="O2353" i="1"/>
  <c r="O2354" i="1"/>
  <c r="O2355" i="1"/>
  <c r="O2356" i="1"/>
  <c r="O2357" i="1"/>
  <c r="O2358" i="1"/>
  <c r="O2359" i="1"/>
  <c r="O2360" i="1"/>
  <c r="O2361" i="1"/>
  <c r="O2362" i="1"/>
  <c r="O2363" i="1"/>
  <c r="O2364" i="1"/>
  <c r="O2365" i="1"/>
  <c r="O2366" i="1"/>
  <c r="O2367" i="1"/>
  <c r="O2368" i="1"/>
  <c r="O2369" i="1"/>
  <c r="O2370" i="1"/>
  <c r="O2371" i="1"/>
  <c r="O2372" i="1"/>
  <c r="O2373" i="1"/>
  <c r="O2374" i="1"/>
  <c r="O2375" i="1"/>
  <c r="O2376" i="1"/>
  <c r="O2377" i="1"/>
  <c r="O2378" i="1"/>
  <c r="O2379" i="1"/>
  <c r="O2380" i="1"/>
  <c r="O2381" i="1"/>
  <c r="O2382" i="1"/>
  <c r="O2383" i="1"/>
  <c r="O2384" i="1"/>
  <c r="O2385" i="1"/>
  <c r="O2386" i="1"/>
  <c r="O2387" i="1"/>
  <c r="O2388" i="1"/>
  <c r="O2389" i="1"/>
  <c r="O2390" i="1"/>
  <c r="O2391" i="1"/>
  <c r="O2392" i="1"/>
  <c r="O2393" i="1"/>
  <c r="O2394" i="1"/>
  <c r="O2395" i="1"/>
  <c r="O2396" i="1"/>
  <c r="O2397" i="1"/>
  <c r="O2398" i="1"/>
  <c r="O2399" i="1"/>
  <c r="O2400" i="1"/>
  <c r="O2401" i="1"/>
  <c r="O2402" i="1"/>
  <c r="O2403" i="1"/>
  <c r="O2404" i="1"/>
  <c r="O2405" i="1"/>
  <c r="O2406" i="1"/>
  <c r="O2407" i="1"/>
  <c r="O2408" i="1"/>
  <c r="O2409" i="1"/>
  <c r="O2410" i="1"/>
  <c r="O2411" i="1"/>
  <c r="O2412" i="1"/>
  <c r="O2413" i="1"/>
  <c r="O2414" i="1"/>
  <c r="O2415" i="1"/>
  <c r="O2416" i="1"/>
  <c r="O2417" i="1"/>
  <c r="O2418" i="1"/>
  <c r="O2419" i="1"/>
  <c r="O2420" i="1"/>
  <c r="O2421" i="1"/>
  <c r="O2422" i="1"/>
  <c r="O2423" i="1"/>
  <c r="O2424" i="1"/>
  <c r="O2425" i="1"/>
  <c r="O2426" i="1"/>
  <c r="O2427" i="1"/>
  <c r="O2428" i="1"/>
  <c r="O2429" i="1"/>
  <c r="O2430" i="1"/>
  <c r="O2431" i="1"/>
  <c r="O2432" i="1"/>
  <c r="O2433" i="1"/>
  <c r="O2434" i="1"/>
  <c r="O2435" i="1"/>
  <c r="O2436" i="1"/>
  <c r="O2437" i="1"/>
  <c r="O2438" i="1"/>
  <c r="O2439" i="1"/>
  <c r="O2440" i="1"/>
  <c r="O2441" i="1"/>
  <c r="O2442" i="1"/>
  <c r="O2443" i="1"/>
  <c r="O2444" i="1"/>
  <c r="O2445" i="1"/>
  <c r="O2446" i="1"/>
  <c r="O2447" i="1"/>
  <c r="O2448" i="1"/>
  <c r="O2449" i="1"/>
  <c r="O2450" i="1"/>
  <c r="O2451" i="1"/>
  <c r="O2452" i="1"/>
  <c r="O2453" i="1"/>
  <c r="O2454" i="1"/>
  <c r="O2455" i="1"/>
  <c r="O2456" i="1"/>
  <c r="O2457" i="1"/>
  <c r="O2458" i="1"/>
  <c r="O2459" i="1"/>
  <c r="O2460" i="1"/>
  <c r="O2461" i="1"/>
  <c r="O2462" i="1"/>
  <c r="O2463" i="1"/>
  <c r="O2464" i="1"/>
  <c r="O2465" i="1"/>
  <c r="O2466" i="1"/>
  <c r="O2467" i="1"/>
  <c r="O2468" i="1"/>
  <c r="O2469" i="1"/>
  <c r="O2470" i="1"/>
  <c r="O2471" i="1"/>
  <c r="O2472" i="1"/>
  <c r="O2473" i="1"/>
  <c r="O2474" i="1"/>
  <c r="O2475" i="1"/>
  <c r="O2476" i="1"/>
  <c r="O2477" i="1"/>
  <c r="O2478" i="1"/>
  <c r="O2479" i="1"/>
  <c r="O2480" i="1"/>
  <c r="O2481" i="1"/>
  <c r="O2482" i="1"/>
  <c r="O2483" i="1"/>
  <c r="O2484" i="1"/>
  <c r="O2485" i="1"/>
  <c r="O2486" i="1"/>
  <c r="O2487" i="1"/>
  <c r="O2488" i="1"/>
  <c r="O2489" i="1"/>
  <c r="O2490" i="1"/>
  <c r="O2491" i="1"/>
  <c r="O2492" i="1"/>
  <c r="O2493" i="1"/>
  <c r="O2494" i="1"/>
  <c r="O2495" i="1"/>
  <c r="O2496" i="1"/>
  <c r="O2497" i="1"/>
  <c r="O2498" i="1"/>
  <c r="O2499" i="1"/>
  <c r="O2500" i="1"/>
  <c r="O2501" i="1"/>
  <c r="O2502" i="1"/>
  <c r="O2503" i="1"/>
  <c r="O2504" i="1"/>
  <c r="O2505" i="1"/>
  <c r="O2506" i="1"/>
  <c r="O2507" i="1"/>
  <c r="O2508" i="1"/>
  <c r="O2509" i="1"/>
  <c r="O2510" i="1"/>
  <c r="O2511" i="1"/>
  <c r="O2512" i="1"/>
  <c r="O2513" i="1"/>
  <c r="O2514" i="1"/>
  <c r="O2515" i="1"/>
  <c r="O2516" i="1"/>
  <c r="O2517" i="1"/>
  <c r="O2518" i="1"/>
  <c r="O2519" i="1"/>
  <c r="O2520" i="1"/>
  <c r="O2521" i="1"/>
  <c r="O2522" i="1"/>
  <c r="O2523" i="1"/>
  <c r="O2524" i="1"/>
  <c r="O2525" i="1"/>
  <c r="O2526" i="1"/>
  <c r="O2527" i="1"/>
  <c r="O2528" i="1"/>
  <c r="O2529" i="1"/>
  <c r="O2530" i="1"/>
  <c r="O2531" i="1"/>
  <c r="O2532" i="1"/>
  <c r="O2533" i="1"/>
  <c r="O2534" i="1"/>
  <c r="O2535" i="1"/>
  <c r="O2536" i="1"/>
  <c r="O2537" i="1"/>
  <c r="O2538" i="1"/>
  <c r="O2539" i="1"/>
  <c r="O2540" i="1"/>
  <c r="O2541" i="1"/>
  <c r="O2542" i="1"/>
  <c r="O2543" i="1"/>
  <c r="O2544" i="1"/>
  <c r="O2545" i="1"/>
  <c r="O2546" i="1"/>
  <c r="O2547" i="1"/>
  <c r="O2548" i="1"/>
  <c r="O2549" i="1"/>
  <c r="O2550" i="1"/>
  <c r="O2551" i="1"/>
  <c r="O2552" i="1"/>
  <c r="O2553" i="1"/>
  <c r="O2554" i="1"/>
  <c r="O2555" i="1"/>
  <c r="O2556" i="1"/>
  <c r="O2557" i="1"/>
  <c r="O2558" i="1"/>
  <c r="O2559" i="1"/>
  <c r="O2560" i="1"/>
  <c r="O2561" i="1"/>
  <c r="O2562" i="1"/>
  <c r="O2563" i="1"/>
  <c r="O2564" i="1"/>
  <c r="O2565" i="1"/>
  <c r="O2566" i="1"/>
  <c r="O2567" i="1"/>
  <c r="O2568" i="1"/>
  <c r="O2569" i="1"/>
  <c r="O2570" i="1"/>
  <c r="O2571" i="1"/>
  <c r="O2572" i="1"/>
  <c r="O2573" i="1"/>
  <c r="O2574" i="1"/>
  <c r="O2575" i="1"/>
  <c r="O2576" i="1"/>
  <c r="O2577" i="1"/>
  <c r="O2578" i="1"/>
  <c r="O2579" i="1"/>
  <c r="O2580" i="1"/>
  <c r="O2581" i="1"/>
  <c r="O2582" i="1"/>
  <c r="O2583" i="1"/>
  <c r="O2584" i="1"/>
  <c r="O2585" i="1"/>
  <c r="O2586" i="1"/>
  <c r="O2587" i="1"/>
  <c r="O2588" i="1"/>
  <c r="O2831" i="1"/>
  <c r="O2832" i="1"/>
  <c r="O2833" i="1"/>
  <c r="O2834" i="1"/>
  <c r="O2835" i="1"/>
  <c r="O2836" i="1"/>
  <c r="O2837" i="1"/>
  <c r="O2838" i="1"/>
  <c r="O2839" i="1"/>
  <c r="O2840" i="1"/>
  <c r="O2841" i="1"/>
  <c r="O2842" i="1"/>
  <c r="O2843" i="1"/>
  <c r="O2844" i="1"/>
  <c r="O2845" i="1"/>
  <c r="O2846" i="1"/>
  <c r="O2847" i="1"/>
  <c r="O2848" i="1"/>
  <c r="O2849" i="1"/>
  <c r="O2850" i="1"/>
  <c r="O2851" i="1"/>
  <c r="O2852" i="1"/>
  <c r="O2853" i="1"/>
  <c r="O2854" i="1"/>
  <c r="O2855" i="1"/>
  <c r="O2856" i="1"/>
  <c r="O2857" i="1"/>
  <c r="O2858" i="1"/>
  <c r="O2859" i="1"/>
  <c r="O2860" i="1"/>
  <c r="O2861" i="1"/>
  <c r="O2862" i="1"/>
  <c r="O2863" i="1"/>
  <c r="O2864" i="1"/>
  <c r="O2865" i="1"/>
  <c r="O2866" i="1"/>
  <c r="O2867" i="1"/>
  <c r="O2868" i="1"/>
  <c r="O2869" i="1"/>
  <c r="O2870" i="1"/>
  <c r="O2871" i="1"/>
  <c r="O2872" i="1"/>
  <c r="O2873" i="1"/>
  <c r="O2874" i="1"/>
  <c r="O2875" i="1"/>
  <c r="O2876" i="1"/>
  <c r="O2877" i="1"/>
  <c r="O2878" i="1"/>
  <c r="O2879" i="1"/>
  <c r="O2880" i="1"/>
  <c r="O2881" i="1"/>
  <c r="O2882" i="1"/>
  <c r="O2883" i="1"/>
  <c r="O2884" i="1"/>
  <c r="O2885" i="1"/>
  <c r="O2886" i="1"/>
  <c r="O2887" i="1"/>
  <c r="O2888" i="1"/>
  <c r="O2889" i="1"/>
  <c r="O2890" i="1"/>
  <c r="O2891" i="1"/>
  <c r="O2892" i="1"/>
  <c r="O2893" i="1"/>
  <c r="O2894" i="1"/>
  <c r="O2895" i="1"/>
  <c r="O2896" i="1"/>
  <c r="O2897" i="1"/>
  <c r="O2898" i="1"/>
  <c r="O2899" i="1"/>
  <c r="O2900" i="1"/>
  <c r="O2901" i="1"/>
  <c r="O2902" i="1"/>
  <c r="O2903" i="1"/>
  <c r="O2904" i="1"/>
  <c r="O2905" i="1"/>
  <c r="O2906" i="1"/>
  <c r="O2907" i="1"/>
  <c r="O2908" i="1"/>
  <c r="O2909" i="1"/>
  <c r="O2910" i="1"/>
  <c r="O2911" i="1"/>
  <c r="O2912" i="1"/>
  <c r="O2913" i="1"/>
  <c r="O2914" i="1"/>
  <c r="O2915" i="1"/>
  <c r="O2916" i="1"/>
  <c r="O2917" i="1"/>
  <c r="O2918" i="1"/>
  <c r="O2919" i="1"/>
  <c r="O2920" i="1"/>
  <c r="O2921" i="1"/>
  <c r="O2922" i="1"/>
  <c r="O2923" i="1"/>
  <c r="O2924" i="1"/>
  <c r="O2925" i="1"/>
  <c r="O2926" i="1"/>
  <c r="O2927" i="1"/>
  <c r="O2928" i="1"/>
  <c r="O2929" i="1"/>
  <c r="O2930" i="1"/>
  <c r="O2931" i="1"/>
  <c r="O2932" i="1"/>
  <c r="O2933" i="1"/>
  <c r="O2934" i="1"/>
  <c r="O2935" i="1"/>
  <c r="O2936" i="1"/>
  <c r="O2937" i="1"/>
  <c r="O2938" i="1"/>
  <c r="O2939" i="1"/>
  <c r="O2940" i="1"/>
  <c r="O2941" i="1"/>
  <c r="O2942" i="1"/>
  <c r="O2943" i="1"/>
  <c r="O2944" i="1"/>
  <c r="O2945" i="1"/>
  <c r="O2946" i="1"/>
  <c r="O2947" i="1"/>
  <c r="O2948" i="1"/>
  <c r="O2949" i="1"/>
  <c r="O2950" i="1"/>
  <c r="O2951" i="1"/>
  <c r="O2952" i="1"/>
  <c r="O2953" i="1"/>
  <c r="O2954" i="1"/>
  <c r="O2955" i="1"/>
  <c r="O2956" i="1"/>
  <c r="O2957" i="1"/>
  <c r="O2958" i="1"/>
  <c r="O2959" i="1"/>
  <c r="O2960" i="1"/>
  <c r="O2961" i="1"/>
  <c r="O2962" i="1"/>
  <c r="O2963" i="1"/>
  <c r="O2964" i="1"/>
  <c r="O2965" i="1"/>
  <c r="O2966" i="1"/>
  <c r="O2967" i="1"/>
  <c r="O2968" i="1"/>
  <c r="O2969" i="1"/>
  <c r="O2970" i="1"/>
  <c r="O2971" i="1"/>
  <c r="O2972" i="1"/>
  <c r="O2973" i="1"/>
  <c r="O2974" i="1"/>
  <c r="O2975" i="1"/>
  <c r="O2976" i="1"/>
  <c r="O2977" i="1"/>
  <c r="O2978" i="1"/>
  <c r="O2979" i="1"/>
  <c r="O2980" i="1"/>
  <c r="O2981" i="1"/>
  <c r="O2982" i="1"/>
  <c r="O2983" i="1"/>
  <c r="O2984" i="1"/>
  <c r="O2985" i="1"/>
  <c r="O2986" i="1"/>
  <c r="O2987" i="1"/>
  <c r="O2988" i="1"/>
  <c r="O2989" i="1"/>
  <c r="O2990" i="1"/>
  <c r="O2991" i="1"/>
  <c r="O2992" i="1"/>
  <c r="O2993" i="1"/>
  <c r="O2994" i="1"/>
  <c r="O2995" i="1"/>
  <c r="O2996" i="1"/>
  <c r="O2997" i="1"/>
  <c r="O2998" i="1"/>
  <c r="O2999" i="1"/>
  <c r="O3000" i="1"/>
  <c r="O3001" i="1"/>
  <c r="O3002" i="1"/>
  <c r="O3003" i="1"/>
  <c r="O3004" i="1"/>
  <c r="O3005" i="1"/>
  <c r="O3006" i="1"/>
  <c r="O3007" i="1"/>
  <c r="O3008" i="1"/>
  <c r="O3009" i="1"/>
  <c r="O3010" i="1"/>
  <c r="O3011" i="1"/>
  <c r="O3012" i="1"/>
  <c r="O3013" i="1"/>
  <c r="O3014" i="1"/>
  <c r="O3015" i="1"/>
  <c r="O3016" i="1"/>
  <c r="O3017" i="1"/>
  <c r="O3018" i="1"/>
  <c r="O3019" i="1"/>
  <c r="O3020" i="1"/>
  <c r="O3021" i="1"/>
  <c r="O3022" i="1"/>
  <c r="O3023" i="1"/>
  <c r="O3024" i="1"/>
  <c r="O3025" i="1"/>
  <c r="O3026" i="1"/>
  <c r="O3027" i="1"/>
  <c r="O3028" i="1"/>
  <c r="O3029" i="1"/>
  <c r="O3030" i="1"/>
  <c r="O3031" i="1"/>
  <c r="O3032" i="1"/>
  <c r="O3033" i="1"/>
  <c r="O3034" i="1"/>
  <c r="O3035" i="1"/>
  <c r="O3036" i="1"/>
  <c r="O3037" i="1"/>
  <c r="O3038" i="1"/>
  <c r="O3039" i="1"/>
  <c r="O3040" i="1"/>
  <c r="O3041" i="1"/>
  <c r="O3042" i="1"/>
  <c r="O3043" i="1"/>
  <c r="O3044" i="1"/>
  <c r="O3045" i="1"/>
  <c r="O3046" i="1"/>
  <c r="O3047" i="1"/>
  <c r="O3048" i="1"/>
  <c r="O3049" i="1"/>
  <c r="O3050" i="1"/>
  <c r="O3051" i="1"/>
  <c r="O3052" i="1"/>
  <c r="O3053" i="1"/>
  <c r="O3054" i="1"/>
  <c r="O3055" i="1"/>
  <c r="O3056" i="1"/>
  <c r="O3057" i="1"/>
  <c r="O3058" i="1"/>
  <c r="O3059" i="1"/>
  <c r="O3060" i="1"/>
  <c r="O3061" i="1"/>
  <c r="O3062" i="1"/>
  <c r="O3063" i="1"/>
  <c r="O3064" i="1"/>
  <c r="O3065" i="1"/>
  <c r="L39" i="2"/>
  <c r="D8" i="2"/>
  <c r="D9" i="2"/>
  <c r="D10" i="2"/>
  <c r="D6" i="2"/>
  <c r="W17" i="1"/>
  <c r="W19" i="1"/>
  <c r="W18" i="1"/>
  <c r="W20" i="1"/>
  <c r="W13" i="1"/>
  <c r="W11" i="1"/>
  <c r="W9" i="1"/>
  <c r="W12" i="1"/>
  <c r="W10" i="1"/>
  <c r="B4" i="1"/>
  <c r="C11" i="2"/>
  <c r="B12" i="2"/>
  <c r="E37" i="4"/>
  <c r="V51" i="4" s="1"/>
  <c r="V52" i="4" s="1"/>
  <c r="V53" i="4" s="1"/>
  <c r="V54" i="4" s="1"/>
  <c r="V55" i="4" s="1"/>
  <c r="D37" i="4"/>
  <c r="N51" i="4" s="1"/>
  <c r="N52" i="4" s="1"/>
  <c r="N53" i="4" s="1"/>
  <c r="N54" i="4" s="1"/>
  <c r="N55" i="4" s="1"/>
  <c r="E24" i="4"/>
  <c r="D24" i="4"/>
  <c r="F5" i="3" l="1"/>
  <c r="F26" i="3"/>
  <c r="Y26" i="3" s="1"/>
  <c r="AF26" i="3" s="1"/>
  <c r="F23" i="3"/>
  <c r="Y23" i="3" s="1"/>
  <c r="AF23" i="3" s="1"/>
  <c r="F25" i="3"/>
  <c r="Y25" i="3" s="1"/>
  <c r="AF25" i="3" s="1"/>
  <c r="F27" i="3"/>
  <c r="Y27" i="3" s="1"/>
  <c r="AF27" i="3" s="1"/>
  <c r="F28" i="3"/>
  <c r="Y28" i="3" s="1"/>
  <c r="AF28" i="3" s="1"/>
  <c r="F29" i="3"/>
  <c r="Y29" i="3" s="1"/>
  <c r="AF29" i="3" s="1"/>
  <c r="F30" i="3"/>
  <c r="Y30" i="3" s="1"/>
  <c r="AF30" i="3" s="1"/>
  <c r="F31" i="3"/>
  <c r="Y31" i="3" s="1"/>
  <c r="AF31" i="3" s="1"/>
  <c r="F32" i="3"/>
  <c r="Y32" i="3" s="1"/>
  <c r="AF32" i="3" s="1"/>
  <c r="F33" i="3"/>
  <c r="Y33" i="3" s="1"/>
  <c r="AF33" i="3" s="1"/>
  <c r="F34" i="3"/>
  <c r="Y34" i="3" s="1"/>
  <c r="AF34" i="3" s="1"/>
  <c r="F35" i="3"/>
  <c r="Y35" i="3" s="1"/>
  <c r="AF35" i="3" s="1"/>
  <c r="F36" i="3"/>
  <c r="Y36" i="3" s="1"/>
  <c r="AF36" i="3" s="1"/>
  <c r="F38" i="3"/>
  <c r="Y38" i="3" s="1"/>
  <c r="AF38" i="3" s="1"/>
  <c r="F39" i="3"/>
  <c r="Y39" i="3" s="1"/>
  <c r="AF39" i="3" s="1"/>
  <c r="F40" i="3"/>
  <c r="Y40" i="3" s="1"/>
  <c r="AF40" i="3" s="1"/>
  <c r="F41" i="3"/>
  <c r="Y41" i="3" s="1"/>
  <c r="AF41" i="3" s="1"/>
  <c r="F42" i="3"/>
  <c r="Y42" i="3" s="1"/>
  <c r="AF42" i="3" s="1"/>
  <c r="F43" i="3"/>
  <c r="Y43" i="3" s="1"/>
  <c r="AF43" i="3" s="1"/>
  <c r="F44" i="3"/>
  <c r="Y44" i="3" s="1"/>
  <c r="AF44" i="3" s="1"/>
  <c r="F45" i="3"/>
  <c r="Y45" i="3" s="1"/>
  <c r="AF45" i="3" s="1"/>
  <c r="F46" i="3"/>
  <c r="Y46" i="3" s="1"/>
  <c r="AF46" i="3" s="1"/>
  <c r="F47" i="3"/>
  <c r="Y47" i="3" s="1"/>
  <c r="F49" i="3"/>
  <c r="F50" i="3"/>
  <c r="Y50" i="3" s="1"/>
  <c r="AF50" i="3" s="1"/>
  <c r="F51" i="3"/>
  <c r="Y51" i="3" s="1"/>
  <c r="F52" i="3"/>
  <c r="Y52" i="3" s="1"/>
  <c r="F53" i="3"/>
  <c r="Y53" i="3" s="1"/>
  <c r="F54" i="3"/>
  <c r="Y54" i="3" s="1"/>
  <c r="AF54" i="3" s="1"/>
  <c r="F55" i="3"/>
  <c r="Y55" i="3" s="1"/>
  <c r="AF55" i="3" s="1"/>
  <c r="F56" i="3"/>
  <c r="Y56" i="3" s="1"/>
  <c r="AF56" i="3" s="1"/>
  <c r="F61" i="3"/>
  <c r="Y61" i="3" s="1"/>
  <c r="F63" i="3"/>
  <c r="Y63" i="3" s="1"/>
  <c r="AF63" i="3" s="1"/>
  <c r="F64" i="3"/>
  <c r="Y64" i="3" s="1"/>
  <c r="AF64" i="3" s="1"/>
  <c r="F65" i="3"/>
  <c r="Y65" i="3" s="1"/>
  <c r="AF65" i="3" s="1"/>
  <c r="F66" i="3"/>
  <c r="Y66" i="3" s="1"/>
  <c r="AF66" i="3" s="1"/>
  <c r="F67" i="3"/>
  <c r="Y67" i="3" s="1"/>
  <c r="AF67" i="3" s="1"/>
  <c r="F68" i="3"/>
  <c r="Y68" i="3" s="1"/>
  <c r="AF68" i="3" s="1"/>
  <c r="F69" i="3"/>
  <c r="Y69" i="3" s="1"/>
  <c r="AF69" i="3" s="1"/>
  <c r="F70" i="3"/>
  <c r="Y70" i="3" s="1"/>
  <c r="F57" i="3"/>
  <c r="Y57" i="3" s="1"/>
  <c r="F58" i="3"/>
  <c r="Y58" i="3" s="1"/>
  <c r="F59" i="3"/>
  <c r="Y59" i="3" s="1"/>
  <c r="AF59" i="3" s="1"/>
  <c r="F60" i="3"/>
  <c r="Y60" i="3" s="1"/>
  <c r="AF60" i="3" s="1"/>
  <c r="F24" i="3"/>
  <c r="F37" i="3"/>
  <c r="F48" i="3"/>
  <c r="F62" i="3"/>
  <c r="F6" i="3"/>
  <c r="Y6" i="3" s="1"/>
  <c r="AF6" i="3" s="1"/>
  <c r="F12" i="3"/>
  <c r="Y12" i="3" s="1"/>
  <c r="F17" i="3"/>
  <c r="Y17" i="3" s="1"/>
  <c r="AF17" i="3" s="1"/>
  <c r="F10" i="3"/>
  <c r="Y10" i="3" s="1"/>
  <c r="AF10" i="3" s="1"/>
  <c r="F16" i="3"/>
  <c r="Y16" i="3" s="1"/>
  <c r="AF16" i="3" s="1"/>
  <c r="F22" i="3"/>
  <c r="Y22" i="3" s="1"/>
  <c r="AF22" i="3" s="1"/>
  <c r="F7" i="3"/>
  <c r="Y7" i="3" s="1"/>
  <c r="AF7" i="3" s="1"/>
  <c r="F13" i="3"/>
  <c r="Y13" i="3" s="1"/>
  <c r="AF13" i="3" s="1"/>
  <c r="F18" i="3"/>
  <c r="Y18" i="3" s="1"/>
  <c r="AF18" i="3" s="1"/>
  <c r="F11" i="3"/>
  <c r="Y11" i="3" s="1"/>
  <c r="F21" i="3"/>
  <c r="Y21" i="3" s="1"/>
  <c r="AF21" i="3" s="1"/>
  <c r="F8" i="3"/>
  <c r="Y8" i="3" s="1"/>
  <c r="AF8" i="3" s="1"/>
  <c r="F14" i="3"/>
  <c r="Y14" i="3" s="1"/>
  <c r="AF14" i="3" s="1"/>
  <c r="F19" i="3"/>
  <c r="Y19" i="3" s="1"/>
  <c r="AF19" i="3" s="1"/>
  <c r="F9" i="3"/>
  <c r="Y9" i="3" s="1"/>
  <c r="AF9" i="3" s="1"/>
  <c r="F15" i="3"/>
  <c r="Y15" i="3" s="1"/>
  <c r="AF15" i="3" s="1"/>
  <c r="F20" i="3"/>
  <c r="Y20" i="3" s="1"/>
  <c r="AF20" i="3" s="1"/>
  <c r="K26" i="8"/>
  <c r="E22" i="2"/>
  <c r="E19" i="2"/>
  <c r="E21" i="2"/>
  <c r="E18" i="2"/>
  <c r="H5" i="7" s="1"/>
  <c r="E20" i="2"/>
  <c r="I52" i="2"/>
  <c r="K52" i="2" s="1"/>
  <c r="L52" i="2" s="1"/>
  <c r="I54" i="2"/>
  <c r="K54" i="2" s="1"/>
  <c r="L54" i="2" s="1"/>
  <c r="I55" i="2"/>
  <c r="K55" i="2" s="1"/>
  <c r="L55" i="2" s="1"/>
  <c r="I53" i="2"/>
  <c r="K53" i="2" s="1"/>
  <c r="L53" i="2" s="1"/>
  <c r="I51" i="2"/>
  <c r="E80" i="4"/>
  <c r="E60" i="4"/>
  <c r="D80" i="4"/>
  <c r="D60" i="4"/>
  <c r="Z52" i="4"/>
  <c r="Z54" i="4"/>
  <c r="Z55" i="4"/>
  <c r="Z51" i="4"/>
  <c r="Z53" i="4"/>
  <c r="R51" i="4"/>
  <c r="R52" i="4"/>
  <c r="R53" i="4"/>
  <c r="R54" i="4"/>
  <c r="R55" i="4"/>
  <c r="J55" i="4"/>
  <c r="J54" i="4"/>
  <c r="J53" i="4"/>
  <c r="J51" i="4"/>
  <c r="J52" i="4"/>
  <c r="W6" i="3"/>
  <c r="W7" i="3"/>
  <c r="W8" i="3"/>
  <c r="W9" i="3"/>
  <c r="W10" i="3"/>
  <c r="W11" i="3"/>
  <c r="W12" i="3"/>
  <c r="W13" i="3"/>
  <c r="W14" i="3"/>
  <c r="W15" i="3"/>
  <c r="W16" i="3"/>
  <c r="W17" i="3"/>
  <c r="W18" i="3"/>
  <c r="W19" i="3"/>
  <c r="W20" i="3"/>
  <c r="W21" i="3"/>
  <c r="W22" i="3"/>
  <c r="W23" i="3"/>
  <c r="W25" i="3"/>
  <c r="W26" i="3"/>
  <c r="W27" i="3"/>
  <c r="W28" i="3"/>
  <c r="W29" i="3"/>
  <c r="W30" i="3"/>
  <c r="W31" i="3"/>
  <c r="W32" i="3"/>
  <c r="W33" i="3"/>
  <c r="W34" i="3"/>
  <c r="W35" i="3"/>
  <c r="W36" i="3"/>
  <c r="W38" i="3"/>
  <c r="W39" i="3"/>
  <c r="W40" i="3"/>
  <c r="W41" i="3"/>
  <c r="W42" i="3"/>
  <c r="W43" i="3"/>
  <c r="W44" i="3"/>
  <c r="W45" i="3"/>
  <c r="W46" i="3"/>
  <c r="W47" i="3"/>
  <c r="W49" i="3"/>
  <c r="W50" i="3"/>
  <c r="W51" i="3"/>
  <c r="W52" i="3"/>
  <c r="W53" i="3"/>
  <c r="W54" i="3"/>
  <c r="W55" i="3"/>
  <c r="W56" i="3"/>
  <c r="W61" i="3"/>
  <c r="W63" i="3"/>
  <c r="W64" i="3"/>
  <c r="W65" i="3"/>
  <c r="W66" i="3"/>
  <c r="W67" i="3"/>
  <c r="W68" i="3"/>
  <c r="W69" i="3"/>
  <c r="W70" i="3"/>
  <c r="W57" i="3"/>
  <c r="W58" i="3"/>
  <c r="W59" i="3"/>
  <c r="W60" i="3"/>
  <c r="F9" i="2"/>
  <c r="E9" i="2" s="1"/>
  <c r="F10" i="2"/>
  <c r="E10" i="2" s="1"/>
  <c r="F8" i="2"/>
  <c r="E8" i="2" s="1"/>
  <c r="F6" i="2"/>
  <c r="C12" i="2"/>
  <c r="C8" i="2"/>
  <c r="C9" i="2"/>
  <c r="C10" i="2"/>
  <c r="C6" i="2"/>
  <c r="X18" i="1"/>
  <c r="X17" i="1"/>
  <c r="X19" i="1"/>
  <c r="X20" i="1"/>
  <c r="W21" i="1"/>
  <c r="X12" i="1"/>
  <c r="X10" i="1"/>
  <c r="X11" i="1"/>
  <c r="X13" i="1"/>
  <c r="X9" i="1"/>
  <c r="W14" i="1"/>
  <c r="E4" i="1"/>
  <c r="D4" i="1"/>
  <c r="D12" i="2"/>
  <c r="C5" i="8" s="1"/>
  <c r="AD47" i="3" l="1"/>
  <c r="AF47" i="3"/>
  <c r="Y49" i="3"/>
  <c r="AF49" i="3" s="1"/>
  <c r="X56" i="3"/>
  <c r="AD56" i="3" s="1"/>
  <c r="X52" i="3"/>
  <c r="X54" i="3"/>
  <c r="AD54" i="3" s="1"/>
  <c r="X53" i="3"/>
  <c r="AD53" i="3" s="1"/>
  <c r="X50" i="3"/>
  <c r="AD50" i="3" s="1"/>
  <c r="X51" i="3"/>
  <c r="AD51" i="3" s="1"/>
  <c r="AF51" i="3"/>
  <c r="AD52" i="3"/>
  <c r="AF52" i="3"/>
  <c r="AF53" i="3"/>
  <c r="AD61" i="3"/>
  <c r="AF61" i="3"/>
  <c r="AF70" i="3"/>
  <c r="AD70" i="3"/>
  <c r="AF57" i="3"/>
  <c r="AF58" i="3"/>
  <c r="X15" i="3"/>
  <c r="AD15" i="3" s="1"/>
  <c r="X17" i="3"/>
  <c r="AD17" i="3" s="1"/>
  <c r="X18" i="3"/>
  <c r="AD18" i="3" s="1"/>
  <c r="X19" i="3"/>
  <c r="AD19" i="3" s="1"/>
  <c r="X20" i="3"/>
  <c r="AD20" i="3" s="1"/>
  <c r="X21" i="3"/>
  <c r="AD21" i="3" s="1"/>
  <c r="X22" i="3"/>
  <c r="AD22" i="3" s="1"/>
  <c r="X23" i="3"/>
  <c r="AD23" i="3" s="1"/>
  <c r="C95" i="3"/>
  <c r="D95" i="3" s="1"/>
  <c r="Y5" i="3"/>
  <c r="X16" i="3"/>
  <c r="AD16" i="3" s="1"/>
  <c r="X11" i="3"/>
  <c r="X9" i="3"/>
  <c r="AD9" i="3" s="1"/>
  <c r="X7" i="3"/>
  <c r="AD7" i="3" s="1"/>
  <c r="X5" i="3"/>
  <c r="F78" i="3"/>
  <c r="X10" i="3"/>
  <c r="AD10" i="3" s="1"/>
  <c r="X14" i="3"/>
  <c r="AD14" i="3" s="1"/>
  <c r="X12" i="3"/>
  <c r="X13" i="3"/>
  <c r="AD13" i="3" s="1"/>
  <c r="X8" i="3"/>
  <c r="AD8" i="3" s="1"/>
  <c r="X6" i="3"/>
  <c r="AD6" i="3" s="1"/>
  <c r="Y24" i="3"/>
  <c r="C96" i="3"/>
  <c r="D96" i="3" s="1"/>
  <c r="X35" i="3"/>
  <c r="AD35" i="3" s="1"/>
  <c r="X33" i="3"/>
  <c r="AD33" i="3" s="1"/>
  <c r="X34" i="3"/>
  <c r="AD34" i="3" s="1"/>
  <c r="X32" i="3"/>
  <c r="AD32" i="3" s="1"/>
  <c r="X31" i="3"/>
  <c r="AD31" i="3" s="1"/>
  <c r="X30" i="3"/>
  <c r="AD30" i="3" s="1"/>
  <c r="X29" i="3"/>
  <c r="AD29" i="3" s="1"/>
  <c r="X28" i="3"/>
  <c r="AD28" i="3" s="1"/>
  <c r="X27" i="3"/>
  <c r="AD27" i="3" s="1"/>
  <c r="X26" i="3"/>
  <c r="AD26" i="3" s="1"/>
  <c r="X25" i="3"/>
  <c r="AD25" i="3" s="1"/>
  <c r="X24" i="3"/>
  <c r="X36" i="3"/>
  <c r="AD36" i="3" s="1"/>
  <c r="X37" i="3"/>
  <c r="X38" i="3"/>
  <c r="AD38" i="3" s="1"/>
  <c r="C97" i="3"/>
  <c r="D97" i="3" s="1"/>
  <c r="X47" i="3"/>
  <c r="X46" i="3"/>
  <c r="AD46" i="3" s="1"/>
  <c r="X45" i="3"/>
  <c r="AD45" i="3" s="1"/>
  <c r="X44" i="3"/>
  <c r="AD44" i="3" s="1"/>
  <c r="X43" i="3"/>
  <c r="AD43" i="3" s="1"/>
  <c r="X42" i="3"/>
  <c r="AD42" i="3" s="1"/>
  <c r="X41" i="3"/>
  <c r="AD41" i="3" s="1"/>
  <c r="X40" i="3"/>
  <c r="AD40" i="3" s="1"/>
  <c r="X39" i="3"/>
  <c r="AD39" i="3" s="1"/>
  <c r="Y37" i="3"/>
  <c r="X58" i="3"/>
  <c r="AD58" i="3" s="1"/>
  <c r="X55" i="3"/>
  <c r="AD55" i="3" s="1"/>
  <c r="Y48" i="3"/>
  <c r="X61" i="3"/>
  <c r="X60" i="3"/>
  <c r="AD60" i="3" s="1"/>
  <c r="X57" i="3"/>
  <c r="AD57" i="3" s="1"/>
  <c r="C98" i="3"/>
  <c r="D98" i="3" s="1"/>
  <c r="X59" i="3"/>
  <c r="AD59" i="3" s="1"/>
  <c r="X49" i="3"/>
  <c r="X48" i="3"/>
  <c r="Y62" i="3"/>
  <c r="C99" i="3"/>
  <c r="D99" i="3" s="1"/>
  <c r="X70" i="3"/>
  <c r="X69" i="3"/>
  <c r="AD69" i="3" s="1"/>
  <c r="X68" i="3"/>
  <c r="AD68" i="3" s="1"/>
  <c r="X67" i="3"/>
  <c r="AD67" i="3" s="1"/>
  <c r="X66" i="3"/>
  <c r="AD66" i="3" s="1"/>
  <c r="X65" i="3"/>
  <c r="AD65" i="3" s="1"/>
  <c r="X64" i="3"/>
  <c r="AD64" i="3" s="1"/>
  <c r="X63" i="3"/>
  <c r="AD63" i="3" s="1"/>
  <c r="X62" i="3"/>
  <c r="AF12" i="3"/>
  <c r="AD12" i="3"/>
  <c r="AD11" i="3"/>
  <c r="AF11" i="3"/>
  <c r="E6" i="2"/>
  <c r="E12" i="2"/>
  <c r="I56" i="2"/>
  <c r="K51" i="2"/>
  <c r="K56" i="2" s="1"/>
  <c r="A5" i="9"/>
  <c r="I48" i="2"/>
  <c r="I47" i="2"/>
  <c r="I46" i="2"/>
  <c r="L40" i="2"/>
  <c r="X21" i="1"/>
  <c r="X14" i="1"/>
  <c r="L38" i="2"/>
  <c r="L41" i="2"/>
  <c r="L42" i="2"/>
  <c r="B15" i="9" l="1"/>
  <c r="AD49" i="3"/>
  <c r="AF5" i="3"/>
  <c r="AD5" i="3"/>
  <c r="AF24" i="3"/>
  <c r="AD24" i="3"/>
  <c r="AF37" i="3"/>
  <c r="AD37" i="3"/>
  <c r="AF48" i="3"/>
  <c r="AD48" i="3"/>
  <c r="AF62" i="3"/>
  <c r="AD62" i="3"/>
  <c r="L56" i="2" a="1"/>
  <c r="L51" i="2"/>
  <c r="H5" i="9"/>
  <c r="C30" i="2"/>
  <c r="C31" i="2"/>
  <c r="H5" i="8"/>
  <c r="J5" i="8"/>
  <c r="Y17" i="1"/>
  <c r="Y19" i="1"/>
  <c r="Y20" i="1"/>
  <c r="Y18" i="1"/>
  <c r="Y9" i="1"/>
  <c r="Y13" i="1"/>
  <c r="Y11" i="1"/>
  <c r="Y10" i="1"/>
  <c r="Y12" i="1"/>
  <c r="I45" i="2"/>
  <c r="I44" i="2"/>
  <c r="D7" i="4"/>
  <c r="E7" i="4"/>
  <c r="C7" i="4"/>
  <c r="L43" i="2"/>
  <c r="C8" i="4"/>
  <c r="B18" i="9" s="1"/>
  <c r="I39" i="2"/>
  <c r="C29" i="2"/>
  <c r="C28" i="2"/>
  <c r="C27" i="2"/>
  <c r="C5" i="7"/>
  <c r="F12" i="2"/>
  <c r="B12" i="9" s="1"/>
  <c r="B13" i="9" l="1"/>
  <c r="C62" i="4"/>
  <c r="E5" i="8"/>
  <c r="C5" i="9"/>
  <c r="I40" i="2"/>
  <c r="D51" i="4"/>
  <c r="Y14" i="1"/>
  <c r="E8" i="4"/>
  <c r="E62" i="4" s="1"/>
  <c r="D8" i="4"/>
  <c r="D62" i="4" s="1"/>
  <c r="I38" i="2"/>
  <c r="D52" i="4" l="1"/>
  <c r="D53" i="4" s="1"/>
  <c r="D54" i="4" s="1"/>
  <c r="D55" i="4" s="1"/>
  <c r="C25" i="7"/>
  <c r="H25" i="7" s="1"/>
  <c r="F62" i="4"/>
  <c r="K30" i="8"/>
  <c r="G51" i="4"/>
  <c r="I51" i="4" s="1"/>
  <c r="E51" i="4"/>
  <c r="K24" i="8" s="1"/>
  <c r="T51" i="4"/>
  <c r="L51" i="4"/>
  <c r="C81" i="4" l="1"/>
  <c r="W51" i="4"/>
  <c r="Y51" i="4" s="1"/>
  <c r="E81" i="4" s="1"/>
  <c r="T52" i="4"/>
  <c r="O51" i="4"/>
  <c r="Q51" i="4" s="1"/>
  <c r="D81" i="4" s="1"/>
  <c r="L52" i="4"/>
  <c r="G52" i="4"/>
  <c r="I52" i="4" s="1"/>
  <c r="E52" i="4"/>
  <c r="U51" i="4"/>
  <c r="M51" i="4"/>
  <c r="Y21" i="1"/>
  <c r="W52" i="4" l="1"/>
  <c r="Y52" i="4" s="1"/>
  <c r="E82" i="4" s="1"/>
  <c r="T53" i="4"/>
  <c r="O52" i="4"/>
  <c r="Q52" i="4" s="1"/>
  <c r="D82" i="4" s="1"/>
  <c r="L53" i="4"/>
  <c r="C82" i="4"/>
  <c r="G53" i="4"/>
  <c r="I53" i="4" s="1"/>
  <c r="E53" i="4"/>
  <c r="U52" i="4"/>
  <c r="M52" i="4"/>
  <c r="C20" i="7"/>
  <c r="H20" i="7" s="1"/>
  <c r="D12" i="4"/>
  <c r="E12" i="4"/>
  <c r="T54" i="4" l="1"/>
  <c r="W53" i="4"/>
  <c r="Y53" i="4" s="1"/>
  <c r="E83" i="4" s="1"/>
  <c r="L54" i="4"/>
  <c r="O53" i="4"/>
  <c r="Q53" i="4" s="1"/>
  <c r="D83" i="4" s="1"/>
  <c r="D66" i="4" s="1"/>
  <c r="D75" i="4" s="1"/>
  <c r="C83" i="4"/>
  <c r="C66" i="4" s="1"/>
  <c r="F66" i="4" s="1"/>
  <c r="G54" i="4"/>
  <c r="I54" i="4" s="1"/>
  <c r="U53" i="4"/>
  <c r="M53" i="4"/>
  <c r="E54" i="4"/>
  <c r="K29" i="8" l="1"/>
  <c r="C75" i="4"/>
  <c r="T55" i="4"/>
  <c r="W55" i="4" s="1"/>
  <c r="Y55" i="4" s="1"/>
  <c r="E72" i="4" s="1"/>
  <c r="W54" i="4"/>
  <c r="Y54" i="4" s="1"/>
  <c r="E84" i="4" s="1"/>
  <c r="L55" i="4"/>
  <c r="O54" i="4"/>
  <c r="Q54" i="4" s="1"/>
  <c r="D84" i="4" s="1"/>
  <c r="C84" i="4"/>
  <c r="E55" i="4"/>
  <c r="C71" i="4" s="1"/>
  <c r="G55" i="4"/>
  <c r="I55" i="4" s="1"/>
  <c r="U54" i="4"/>
  <c r="M54" i="4"/>
  <c r="C61" i="4" l="1"/>
  <c r="C72" i="4"/>
  <c r="G5" i="8" s="1"/>
  <c r="E85" i="4"/>
  <c r="E66" i="4" s="1"/>
  <c r="E75" i="4" s="1"/>
  <c r="E61" i="4"/>
  <c r="E63" i="4" s="1"/>
  <c r="C85" i="4"/>
  <c r="C65" i="4" s="1"/>
  <c r="U55" i="4"/>
  <c r="E71" i="4" s="1"/>
  <c r="M55" i="4"/>
  <c r="D71" i="4" s="1"/>
  <c r="O55" i="4"/>
  <c r="Q55" i="4" s="1"/>
  <c r="D72" i="4" s="1"/>
  <c r="C74" i="4" l="1"/>
  <c r="F65" i="4"/>
  <c r="C63" i="4"/>
  <c r="K25" i="8"/>
  <c r="K28" i="8"/>
  <c r="E65" i="4"/>
  <c r="E74" i="4" s="1"/>
  <c r="C64" i="4"/>
  <c r="F64" i="4" s="1"/>
  <c r="E86" i="4"/>
  <c r="E64" i="4"/>
  <c r="E73" i="4" s="1"/>
  <c r="C86" i="4"/>
  <c r="D85" i="4"/>
  <c r="D65" i="4" s="1"/>
  <c r="D74" i="4" s="1"/>
  <c r="D61" i="4"/>
  <c r="F61" i="4" s="1"/>
  <c r="D63" i="4" l="1"/>
  <c r="F63" i="4"/>
  <c r="K31" i="8"/>
  <c r="A26" i="9"/>
  <c r="A44" i="8" s="1"/>
  <c r="C73" i="4"/>
  <c r="B16" i="9"/>
  <c r="L5" i="8" a="1"/>
  <c r="I5" i="9" s="1"/>
  <c r="K27" i="8"/>
  <c r="D86" i="4"/>
  <c r="D64" i="4"/>
  <c r="D73" i="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<sst xmlns="http://schemas.openxmlformats.org/spreadsheetml/2006/main" count="14391" uniqueCount="4131">
  <si>
    <t>Market Data</t>
  </si>
  <si>
    <t>Project Count</t>
  </si>
  <si>
    <t>Total Demand m3</t>
  </si>
  <si>
    <t>Avg Price / m3</t>
  </si>
  <si>
    <t>Districts Covered</t>
  </si>
  <si>
    <t>Source Coverage</t>
  </si>
  <si>
    <t>District</t>
  </si>
  <si>
    <t>City/Town</t>
  </si>
  <si>
    <t>Project Name</t>
  </si>
  <si>
    <t>Project Type</t>
  </si>
  <si>
    <t>Status</t>
  </si>
  <si>
    <t>Start Date</t>
  </si>
  <si>
    <t>Completion Date</t>
  </si>
  <si>
    <t>Estimated Concrete Demand (m³)</t>
  </si>
  <si>
    <t>Avg Price per m³</t>
  </si>
  <si>
    <t>Market Value (₹ Cr)</t>
  </si>
  <si>
    <t>Scale</t>
  </si>
  <si>
    <t>Source</t>
  </si>
  <si>
    <t>TAM / SAM / SOM</t>
  </si>
  <si>
    <t>SECTION 1 - TAM</t>
  </si>
  <si>
    <t>Category</t>
  </si>
  <si>
    <t>No. of Projects</t>
  </si>
  <si>
    <t>Total Demand</t>
  </si>
  <si>
    <t>Commercial</t>
  </si>
  <si>
    <t>Residential/Group Housing</t>
  </si>
  <si>
    <t>Mixed Development</t>
  </si>
  <si>
    <t>Plotted Development</t>
  </si>
  <si>
    <t>Infrastructure</t>
  </si>
  <si>
    <t>TOTAL</t>
  </si>
  <si>
    <t>SECTION 2 - SAM</t>
  </si>
  <si>
    <t>District/Zone</t>
  </si>
  <si>
    <t>Included in SAM?</t>
  </si>
  <si>
    <t>Reason</t>
  </si>
  <si>
    <t>Reachable Market Value</t>
  </si>
  <si>
    <t>Surat</t>
  </si>
  <si>
    <t>Valsad</t>
  </si>
  <si>
    <t>Bharuch</t>
  </si>
  <si>
    <t>Navsari</t>
  </si>
  <si>
    <t>Tapi</t>
  </si>
  <si>
    <t>SECTION 3 - SOM</t>
  </si>
  <si>
    <t>Year</t>
  </si>
  <si>
    <t>Market Capture %</t>
  </si>
  <si>
    <t>Strategic Focus</t>
  </si>
  <si>
    <t>Year 1</t>
  </si>
  <si>
    <t>Year 2</t>
  </si>
  <si>
    <t>Year 3</t>
  </si>
  <si>
    <t>Competitors</t>
  </si>
  <si>
    <t>Competitor</t>
  </si>
  <si>
    <t>Estimated Capacity (m³/month)</t>
  </si>
  <si>
    <t>Market Position</t>
  </si>
  <si>
    <t>Pricing Level</t>
  </si>
  <si>
    <t>Strengths</t>
  </si>
  <si>
    <t>Weaknesses</t>
  </si>
  <si>
    <t>Strategic Threat Level</t>
  </si>
  <si>
    <t>SWOT Analysis</t>
  </si>
  <si>
    <t>Porter's Five Forces</t>
  </si>
  <si>
    <t>Quadrant</t>
  </si>
  <si>
    <t>Observation / Evidence</t>
  </si>
  <si>
    <t>Force</t>
  </si>
  <si>
    <t>Rating</t>
  </si>
  <si>
    <t>Evidence / Notes</t>
  </si>
  <si>
    <t>Threat of New Entrants</t>
  </si>
  <si>
    <t>Supplier Power</t>
  </si>
  <si>
    <t>Opportunities</t>
  </si>
  <si>
    <t>Buyer Power</t>
  </si>
  <si>
    <t>Threats</t>
  </si>
  <si>
    <t>Threat of Substitutes</t>
  </si>
  <si>
    <t>Competitive Rivalry</t>
  </si>
  <si>
    <t>Strategic Insights</t>
  </si>
  <si>
    <t>Insight Area</t>
  </si>
  <si>
    <t>Management Note</t>
  </si>
  <si>
    <t>Pricing pressure</t>
  </si>
  <si>
    <t>Coverage gaps</t>
  </si>
  <si>
    <t>Industrial account threats</t>
  </si>
  <si>
    <t>UltraTech response</t>
  </si>
  <si>
    <t>Financial Model</t>
  </si>
  <si>
    <t>Blank linked model structure for CapEx, OpEx, revenue, EBITDA, break-even, ROI, NPV, IRR and payback. Enter real inputs in yellow cells.</t>
  </si>
  <si>
    <t>Scenario Assumptions</t>
  </si>
  <si>
    <t>Line Item</t>
  </si>
  <si>
    <t>Unit</t>
  </si>
  <si>
    <t>Base Case</t>
  </si>
  <si>
    <t>Optimistic Case</t>
  </si>
  <si>
    <t>Pessimistic Case</t>
  </si>
  <si>
    <t>%</t>
  </si>
  <si>
    <t>Annual Volume</t>
  </si>
  <si>
    <t>m³</t>
  </si>
  <si>
    <t>INR/m³</t>
  </si>
  <si>
    <t>Capacity Utilization</t>
  </si>
  <si>
    <t>Discount Rate</t>
  </si>
  <si>
    <t>CapEx</t>
  </si>
  <si>
    <t>Land / Deposit</t>
  </si>
  <si>
    <t>INR Cr</t>
  </si>
  <si>
    <t>Batching Plant Setup</t>
  </si>
  <si>
    <t>Transit Mixers</t>
  </si>
  <si>
    <t>Concrete Pumps</t>
  </si>
  <si>
    <t>QA Lab / Utilities</t>
  </si>
  <si>
    <t>Pre-operative Cost</t>
  </si>
  <si>
    <t>Working Capital</t>
  </si>
  <si>
    <t>Total CapEx</t>
  </si>
  <si>
    <t>Formula</t>
  </si>
  <si>
    <t>OpEx / Unit Cost Structure</t>
  </si>
  <si>
    <t>Cement Cost</t>
  </si>
  <si>
    <t>Aggregates Cost</t>
  </si>
  <si>
    <t>Sand Cost</t>
  </si>
  <si>
    <t>Admixture Cost</t>
  </si>
  <si>
    <t>Diesel / Logistics</t>
  </si>
  <si>
    <t>Employee Cost</t>
  </si>
  <si>
    <t>Maintenance</t>
  </si>
  <si>
    <t>Power / Overheads</t>
  </si>
  <si>
    <t>Total Unit Cost</t>
  </si>
  <si>
    <t>Notes</t>
  </si>
  <si>
    <t>Financial Outputs</t>
  </si>
  <si>
    <t>Payback Period</t>
  </si>
  <si>
    <t>Years</t>
  </si>
  <si>
    <t>Risk Analysis</t>
  </si>
  <si>
    <t>Risk register with probability-impact scoring and blank heatmap template for the South Gujarat RMC feasibility model.</t>
  </si>
  <si>
    <t>Risk</t>
  </si>
  <si>
    <t>Probability</t>
  </si>
  <si>
    <t>Impact</t>
  </si>
  <si>
    <t>Severity</t>
  </si>
  <si>
    <t>Mitigation Strategy</t>
  </si>
  <si>
    <t>Risk Heatmap</t>
  </si>
  <si>
    <t>P \ I</t>
  </si>
  <si>
    <t>Infrastructure Projects</t>
  </si>
  <si>
    <t>Blank infrastructure tracker for GIDC, metro, highways, ports, airports, logistics hubs, warehousing and tourism projects.</t>
  </si>
  <si>
    <t>Strategic Importance</t>
  </si>
  <si>
    <t>Summary</t>
  </si>
  <si>
    <t>Metric</t>
  </si>
  <si>
    <t>High Importance Projects</t>
  </si>
  <si>
    <t>Assumptions Log</t>
  </si>
  <si>
    <t>Centralized assumption register. Enter only real validated model assumptions; source and notes fields are designed for audit trails.</t>
  </si>
  <si>
    <t>Assumption Category</t>
  </si>
  <si>
    <t>Assumption</t>
  </si>
  <si>
    <t>Value</t>
  </si>
  <si>
    <t>Average RMC price</t>
  </si>
  <si>
    <t>Plant Capacity</t>
  </si>
  <si>
    <t>Batching plant rated capacity</t>
  </si>
  <si>
    <t>Utilization</t>
  </si>
  <si>
    <t>Target plant utilization</t>
  </si>
  <si>
    <t>Threat Level</t>
  </si>
  <si>
    <t>Working Days</t>
  </si>
  <si>
    <t>Operating days per year</t>
  </si>
  <si>
    <t>Dispatch</t>
  </si>
  <si>
    <t>Logistics</t>
  </si>
  <si>
    <t>Average lead distance</t>
  </si>
  <si>
    <t>Cost</t>
  </si>
  <si>
    <t>Cement cost per m³</t>
  </si>
  <si>
    <t>Diesel/logistics cost per m³</t>
  </si>
  <si>
    <t>Annual cost inflation</t>
  </si>
  <si>
    <t>SOM</t>
  </si>
  <si>
    <t>Year 1 market capture</t>
  </si>
  <si>
    <t>Year 2 market capture</t>
  </si>
  <si>
    <t>Year 3 market capture</t>
  </si>
  <si>
    <t>Financial</t>
  </si>
  <si>
    <t>Discount rate</t>
  </si>
  <si>
    <t>Risk scoring method</t>
  </si>
  <si>
    <t>Executive Dashboard</t>
  </si>
  <si>
    <t>Boardroom dashboard template. KPI cards and visual panels are linked to workbook tables and remain blank until real data is entered.</t>
  </si>
  <si>
    <t>Projects</t>
  </si>
  <si>
    <t>Demand m3</t>
  </si>
  <si>
    <t>TAM INR Cr</t>
  </si>
  <si>
    <t>SAM INR Cr</t>
  </si>
  <si>
    <t>SOM Y1 INR Cr</t>
  </si>
  <si>
    <t>Decision</t>
  </si>
  <si>
    <t>TAM / SAM / SOM Funnel
Use after market data and capture assumptions are entered.</t>
  </si>
  <si>
    <t>Competitor Threat Chart
Use strategic threat level, capacity and share fields.</t>
  </si>
  <si>
    <t>Strategic Recommendation Indicator</t>
  </si>
  <si>
    <t>Executive Summary</t>
  </si>
  <si>
    <t>Management-summary template for boardroom recommendation. Narrative fields are intentionally blank for analyst completion.</t>
  </si>
  <si>
    <t>Final Decision</t>
  </si>
  <si>
    <t>Management Summary Sections</t>
  </si>
  <si>
    <t>Section</t>
  </si>
  <si>
    <t>Management Summary / Analyst Notes</t>
  </si>
  <si>
    <t>Linked Model Reference</t>
  </si>
  <si>
    <t>Market Opportunity</t>
  </si>
  <si>
    <t>Market_Data + TAM</t>
  </si>
  <si>
    <t>Key Insights</t>
  </si>
  <si>
    <t>Dashboard + Market_Data</t>
  </si>
  <si>
    <t>Industrial Growth</t>
  </si>
  <si>
    <t>Infrastructure_Projects + TAM_SAM_SOM</t>
  </si>
  <si>
    <t>Competitor Landscape</t>
  </si>
  <si>
    <t>Financial Feasibility</t>
  </si>
  <si>
    <t>Financial_Model</t>
  </si>
  <si>
    <t>Risks</t>
  </si>
  <si>
    <t>Risk_Analysis</t>
  </si>
  <si>
    <t>Strategic Recommendation</t>
  </si>
  <si>
    <t>Dashboard + Financial_Model</t>
  </si>
  <si>
    <t>Final GO / NO-GO Conclusion</t>
  </si>
  <si>
    <t>Decision dropdown below</t>
  </si>
  <si>
    <t>Decision Dropdown</t>
  </si>
  <si>
    <t>Decision Status</t>
  </si>
  <si>
    <t>15 Villas</t>
  </si>
  <si>
    <t>Large</t>
  </si>
  <si>
    <t>176 MIG + 28 Shops At Bharuch</t>
  </si>
  <si>
    <t>Medium</t>
  </si>
  <si>
    <t>7 X Homes</t>
  </si>
  <si>
    <t>Small</t>
  </si>
  <si>
    <t>7-X Empire</t>
  </si>
  <si>
    <t>7-X Rivera</t>
  </si>
  <si>
    <t>7X Corridor</t>
  </si>
  <si>
    <t>7X Elegance</t>
  </si>
  <si>
    <t>7X Flora Residency</t>
  </si>
  <si>
    <t>7X Landmark</t>
  </si>
  <si>
    <t>7X Sparsh Villa</t>
  </si>
  <si>
    <t>9 Villas</t>
  </si>
  <si>
    <t>Aadhya Residency</t>
  </si>
  <si>
    <t>Aadil Avenue 1</t>
  </si>
  <si>
    <t>Aadil Avenue 2</t>
  </si>
  <si>
    <t>Aagam Residency</t>
  </si>
  <si>
    <t>Aarambh Alenza</t>
  </si>
  <si>
    <t>Aarohi Heights</t>
  </si>
  <si>
    <t>Abhuday Heights</t>
  </si>
  <si>
    <t>Agrim Heights</t>
  </si>
  <si>
    <t>Akshar Icons</t>
  </si>
  <si>
    <t>Akshar Zion</t>
  </si>
  <si>
    <t>Al Foulek</t>
  </si>
  <si>
    <t>Al-karim Heights</t>
  </si>
  <si>
    <t>Alpha Arcades</t>
  </si>
  <si>
    <t>Ambey Valley Township</t>
  </si>
  <si>
    <t>Anand Exotica</t>
  </si>
  <si>
    <t>Apple Plaza</t>
  </si>
  <si>
    <t>Aries Signature</t>
  </si>
  <si>
    <t>Asopalav Residency</t>
  </si>
  <si>
    <t>Atharv Heights</t>
  </si>
  <si>
    <t>Atharv Heights-2</t>
  </si>
  <si>
    <t>Aura</t>
  </si>
  <si>
    <t>Avdhoot Heights</t>
  </si>
  <si>
    <t>Castle Living</t>
  </si>
  <si>
    <t>Celebration Heights</t>
  </si>
  <si>
    <t>Celebration Homes</t>
  </si>
  <si>
    <t>Celebration Luxuria</t>
  </si>
  <si>
    <t>Central Square</t>
  </si>
  <si>
    <t>City Center</t>
  </si>
  <si>
    <t>Ekdant Bungalows</t>
  </si>
  <si>
    <t>Flower Heights</t>
  </si>
  <si>
    <t>Ganesh Nandan</t>
  </si>
  <si>
    <t>Golden Business Point</t>
  </si>
  <si>
    <t>Golden Homes</t>
  </si>
  <si>
    <t>Golden Luxuria</t>
  </si>
  <si>
    <t>Golden Nirvana</t>
  </si>
  <si>
    <t>Golden Nirvana Bungalows</t>
  </si>
  <si>
    <t>Golden Residency</t>
  </si>
  <si>
    <t>Golden Square</t>
  </si>
  <si>
    <t>Golden Square &amp;villa</t>
  </si>
  <si>
    <t>Harsh Residency</t>
  </si>
  <si>
    <t>Heaven Arcade</t>
  </si>
  <si>
    <t>Kabir Residency</t>
  </si>
  <si>
    <t>Maa Residency</t>
  </si>
  <si>
    <t>Madina Complex</t>
  </si>
  <si>
    <t>Maharshi Villa</t>
  </si>
  <si>
    <t>Mahershi Villa Phase-2</t>
  </si>
  <si>
    <t>Mannat Residency</t>
  </si>
  <si>
    <t>Manomani Appartment</t>
  </si>
  <si>
    <t>Matruchhya Residency</t>
  </si>
  <si>
    <t>Merushikhar Icon</t>
  </si>
  <si>
    <t>Narayan Laxuria</t>
  </si>
  <si>
    <t>Narayan Affluence</t>
  </si>
  <si>
    <t>Narayan Arena</t>
  </si>
  <si>
    <t>Narayan Crest</t>
  </si>
  <si>
    <t>Nemi Luxuria</t>
  </si>
  <si>
    <t>Nexus Business Hub</t>
  </si>
  <si>
    <t>Nexus Resdency</t>
  </si>
  <si>
    <t>Nilkanth Villa</t>
  </si>
  <si>
    <t>Om Shreshtha Sub Plot -1</t>
  </si>
  <si>
    <t>Om Shreshtha Sub Plot -2</t>
  </si>
  <si>
    <t>Orchid Bunglows</t>
  </si>
  <si>
    <t>Orchid Gold</t>
  </si>
  <si>
    <t>Orchid World</t>
  </si>
  <si>
    <t>Parle Point</t>
  </si>
  <si>
    <t>Pramukh Bungalows</t>
  </si>
  <si>
    <t>Prime Gold</t>
  </si>
  <si>
    <t>Prime Square</t>
  </si>
  <si>
    <t>R K Celestial</t>
  </si>
  <si>
    <t>R K County</t>
  </si>
  <si>
    <t>R K Gloria</t>
  </si>
  <si>
    <t>R K Vitality</t>
  </si>
  <si>
    <t>Radhe Residency</t>
  </si>
  <si>
    <t>Radhe Residency 2</t>
  </si>
  <si>
    <t>Rajmandir Homes</t>
  </si>
  <si>
    <t>Rameshbhai Vallabhbhai Savani - 699</t>
  </si>
  <si>
    <t>Rameshbhai Vallabhbhai Savani - 709</t>
  </si>
  <si>
    <t>Rameshbhai Vallabhbhai Savani - 735</t>
  </si>
  <si>
    <t>Rameshbhai Vallabhbhai Savani - 743,747</t>
  </si>
  <si>
    <t>Rameshbhai Vallabhbhai Savani - 767</t>
  </si>
  <si>
    <t>Rang City</t>
  </si>
  <si>
    <t>Rang City Complex</t>
  </si>
  <si>
    <t>Mega</t>
  </si>
  <si>
    <t>Rang City Flats</t>
  </si>
  <si>
    <t>Rang Empire</t>
  </si>
  <si>
    <t>Rang Empire 2</t>
  </si>
  <si>
    <t>Rang Essence</t>
  </si>
  <si>
    <t>Rang Fortune</t>
  </si>
  <si>
    <t>Rang Skycity</t>
  </si>
  <si>
    <t>Reva Altezza</t>
  </si>
  <si>
    <t>Rk Elinora</t>
  </si>
  <si>
    <t>Rk Elinora Phase-l</t>
  </si>
  <si>
    <t>Rk Tulsidham</t>
  </si>
  <si>
    <t>Roscoe - Ambitious Living</t>
  </si>
  <si>
    <t>Royal Luxuria</t>
  </si>
  <si>
    <t>Royal Parardise</t>
  </si>
  <si>
    <t>Rudraksh Galleria</t>
  </si>
  <si>
    <t>Rudraksh Residency</t>
  </si>
  <si>
    <t>S-one Residency</t>
  </si>
  <si>
    <t>Sagar Residency</t>
  </si>
  <si>
    <t>Sahajanand Avenue</t>
  </si>
  <si>
    <t>Sahajanand Complex</t>
  </si>
  <si>
    <t>Sahajanand Green City</t>
  </si>
  <si>
    <t>Sahajanand Heights</t>
  </si>
  <si>
    <t>Sahajanand Homes</t>
  </si>
  <si>
    <t>Sahajanand Vatika</t>
  </si>
  <si>
    <t>Sahjanand Empire</t>
  </si>
  <si>
    <t>Sahjanand Enclave</t>
  </si>
  <si>
    <t>Sahjanand Luxuria</t>
  </si>
  <si>
    <t>Sahjanand Riverview</t>
  </si>
  <si>
    <t>Sahjanand Sky</t>
  </si>
  <si>
    <t>Sai Exotica</t>
  </si>
  <si>
    <t>Sai Heaven</t>
  </si>
  <si>
    <t>Samruddhi Residency</t>
  </si>
  <si>
    <t>Sanskar Bunglows</t>
  </si>
  <si>
    <t>Sargam Complex</t>
  </si>
  <si>
    <t>Sarjan Bungalows</t>
  </si>
  <si>
    <t>Sarjan Tower</t>
  </si>
  <si>
    <t>Sarthi Height</t>
  </si>
  <si>
    <t>Sentosa Heights</t>
  </si>
  <si>
    <t>Shamiyana Park</t>
  </si>
  <si>
    <t>Sharnam Bliss</t>
  </si>
  <si>
    <t>Sharnam Luxuria</t>
  </si>
  <si>
    <t>Sharnam Residency</t>
  </si>
  <si>
    <t>Sharnam Sky</t>
  </si>
  <si>
    <t>Sharnam Sparsh</t>
  </si>
  <si>
    <t>Sharnam Vatika</t>
  </si>
  <si>
    <t>Shilpi City</t>
  </si>
  <si>
    <t>Shilpi Dream</t>
  </si>
  <si>
    <t>Shilpi Residency Row House</t>
  </si>
  <si>
    <t>Shilpi Sangini</t>
  </si>
  <si>
    <t>Shilpi Signature</t>
  </si>
  <si>
    <t>Shivalay Bungalows-2</t>
  </si>
  <si>
    <t>Shivalik Avenue</t>
  </si>
  <si>
    <t>Shivalik Bungalows</t>
  </si>
  <si>
    <t>Shivalik Heights</t>
  </si>
  <si>
    <t>Shivalik Rivera</t>
  </si>
  <si>
    <t>Shree Ambica Row House</t>
  </si>
  <si>
    <t>Shree Skyz</t>
  </si>
  <si>
    <t>Shree Umang Laxmi Residency</t>
  </si>
  <si>
    <t>Shreeji Sahaj Business Hub</t>
  </si>
  <si>
    <t>Shreepad Erica</t>
  </si>
  <si>
    <t>Shubh Sanket Serenity</t>
  </si>
  <si>
    <t>Shubham Hills</t>
  </si>
  <si>
    <t>Shubham Valley</t>
  </si>
  <si>
    <t>Shukan Residency</t>
  </si>
  <si>
    <t>Shyam Richmond</t>
  </si>
  <si>
    <t>Shyam Sunder Co-operative Housing Society Limited</t>
  </si>
  <si>
    <t>Siddheshwar Bunglows</t>
  </si>
  <si>
    <t>Silver Kalp</t>
  </si>
  <si>
    <t>Silver Moon</t>
  </si>
  <si>
    <t>Sky City</t>
  </si>
  <si>
    <t>Sky Heights</t>
  </si>
  <si>
    <t>Sky Line</t>
  </si>
  <si>
    <t>Sld Essenza</t>
  </si>
  <si>
    <t>Sld Nirvana</t>
  </si>
  <si>
    <t>Sld Valencia</t>
  </si>
  <si>
    <t>Solitaire Pallazzo</t>
  </si>
  <si>
    <t>Sundaram Residency</t>
  </si>
  <si>
    <t>Super Store</t>
  </si>
  <si>
    <t>Suryoday Residency</t>
  </si>
  <si>
    <t>Tanishq Residency</t>
  </si>
  <si>
    <t>The Maple Skydeck</t>
  </si>
  <si>
    <t>The Maple Skywalk</t>
  </si>
  <si>
    <t>The Maple Square</t>
  </si>
  <si>
    <t>Tulsi Bunglows</t>
  </si>
  <si>
    <t>Tulsi Glorious</t>
  </si>
  <si>
    <t>Tulsi Homes</t>
  </si>
  <si>
    <t>Tulsi Patra</t>
  </si>
  <si>
    <t>Tulsi Villa</t>
  </si>
  <si>
    <t>Tulsi Villa / Square</t>
  </si>
  <si>
    <t>Tulsipatra Orange</t>
  </si>
  <si>
    <t>Twin Towers</t>
  </si>
  <si>
    <t>Udbhav Residency</t>
  </si>
  <si>
    <t>Vachanamrut Homes</t>
  </si>
  <si>
    <t>Vastu Villa</t>
  </si>
  <si>
    <t>Venezia Belliza</t>
  </si>
  <si>
    <t>Venezia Sky</t>
  </si>
  <si>
    <t>Venezia Vista</t>
  </si>
  <si>
    <t>Vinay Residency</t>
  </si>
  <si>
    <t>Vishvam Green</t>
  </si>
  <si>
    <t>Vishwam Square</t>
  </si>
  <si>
    <t>Vivanta Sky Towers (phase-01)</t>
  </si>
  <si>
    <t>Vivanta The Grandeur</t>
  </si>
  <si>
    <t>Vivanta The Grandeur (phase-1)</t>
  </si>
  <si>
    <t>Yogi Heights</t>
  </si>
  <si>
    <t>168 LIG Ii + 56 MIG I + 42 Shops Buildings</t>
  </si>
  <si>
    <t>Ahm EWS Type -ii</t>
  </si>
  <si>
    <t>Al-rehmat Residency</t>
  </si>
  <si>
    <t>Arham Residency</t>
  </si>
  <si>
    <t>Arham Residency-a</t>
  </si>
  <si>
    <t>Arun Arcade</t>
  </si>
  <si>
    <t>Aum Galaxy</t>
  </si>
  <si>
    <t>Avadh Regalia</t>
  </si>
  <si>
    <t>Balaji Heights</t>
  </si>
  <si>
    <t>Canam Residency</t>
  </si>
  <si>
    <t>Casa De Vida</t>
  </si>
  <si>
    <t>Central Business Hub</t>
  </si>
  <si>
    <t>Central Point</t>
  </si>
  <si>
    <t>Chauhan Residency</t>
  </si>
  <si>
    <t>City Business Centre</t>
  </si>
  <si>
    <t>Devashish Prime</t>
  </si>
  <si>
    <t>Devashish Residency</t>
  </si>
  <si>
    <t>Devji Elanza</t>
  </si>
  <si>
    <t>Devji Homes</t>
  </si>
  <si>
    <t>Devji Park B &amp; C</t>
  </si>
  <si>
    <t>Diamond Valley</t>
  </si>
  <si>
    <t>Dm Enclave</t>
  </si>
  <si>
    <t>Dm Excel</t>
  </si>
  <si>
    <t>Dream City</t>
  </si>
  <si>
    <t>Dwarka Heights</t>
  </si>
  <si>
    <t>Everest Residency</t>
  </si>
  <si>
    <t>Faiz Height</t>
  </si>
  <si>
    <t>Flora Heights</t>
  </si>
  <si>
    <t>Flora Rise</t>
  </si>
  <si>
    <t>Gauri Shankar Heights</t>
  </si>
  <si>
    <t>Golden Square-b</t>
  </si>
  <si>
    <t>Gulshan Baugh</t>
  </si>
  <si>
    <t>Hari Residency</t>
  </si>
  <si>
    <t>Heer Cottage (d)</t>
  </si>
  <si>
    <t>Heer Cottage -a</t>
  </si>
  <si>
    <t>Heer Cottage E</t>
  </si>
  <si>
    <t>Hill Fountain</t>
  </si>
  <si>
    <t>Industrial Trade Park</t>
  </si>
  <si>
    <t>Kaamdhenu Park</t>
  </si>
  <si>
    <t>Karishma Gardens</t>
  </si>
  <si>
    <t>Khushi Height</t>
  </si>
  <si>
    <t>Mannat 2</t>
  </si>
  <si>
    <t>Meru Arcade</t>
  </si>
  <si>
    <t>Nilkanth Heights</t>
  </si>
  <si>
    <t>Nisarg Villa</t>
  </si>
  <si>
    <t>Nizam Construction</t>
  </si>
  <si>
    <t>Olivia Homes B</t>
  </si>
  <si>
    <t>Om Shree Residency</t>
  </si>
  <si>
    <t>Omkar Heights</t>
  </si>
  <si>
    <t>Opera Height's</t>
  </si>
  <si>
    <t>Opera Sky</t>
  </si>
  <si>
    <t>Ornate One</t>
  </si>
  <si>
    <t>Paramhans Flats</t>
  </si>
  <si>
    <t>Parishram Heights</t>
  </si>
  <si>
    <t>Prabhakunj Flowers</t>
  </si>
  <si>
    <t>Prabhakunj Jil</t>
  </si>
  <si>
    <t>Prabhakunj Panaisha</t>
  </si>
  <si>
    <t>Prabhakunj Shakti</t>
  </si>
  <si>
    <t>Raj Regency</t>
  </si>
  <si>
    <t>Raj Vaibhav Luxuria</t>
  </si>
  <si>
    <t>Rajhans Coral</t>
  </si>
  <si>
    <t>Rajhans Coral Building (a,b)</t>
  </si>
  <si>
    <t>Rajratna</t>
  </si>
  <si>
    <t>Rang Shivani Height</t>
  </si>
  <si>
    <t>Rashi Alexa</t>
  </si>
  <si>
    <t>Rashi Seven Colours</t>
  </si>
  <si>
    <t>Rivera Heights</t>
  </si>
  <si>
    <t>Ruchi Harmony</t>
  </si>
  <si>
    <t>Rudraksh Luxuria Heights</t>
  </si>
  <si>
    <t>Saffron Heights</t>
  </si>
  <si>
    <t>Sai Darbar</t>
  </si>
  <si>
    <t>Sanket Elegance</t>
  </si>
  <si>
    <t>Sanskruti Elite</t>
  </si>
  <si>
    <t>Sanskruti Home</t>
  </si>
  <si>
    <t>Sanskruti Plus</t>
  </si>
  <si>
    <t>Shilalekh</t>
  </si>
  <si>
    <t>Shiv Palace</t>
  </si>
  <si>
    <t>Shivalik Luxuria</t>
  </si>
  <si>
    <t>Shivam Complex</t>
  </si>
  <si>
    <t>Shivanta Bungalows</t>
  </si>
  <si>
    <t>Shivdhara Shopping Mall</t>
  </si>
  <si>
    <t>Shree Madhav The Business Hub</t>
  </si>
  <si>
    <t>Shree Mukh Heights</t>
  </si>
  <si>
    <t>Shree Sai Palace</t>
  </si>
  <si>
    <t>Shreepad Heights</t>
  </si>
  <si>
    <t>Siddhi Vinayak</t>
  </si>
  <si>
    <t>Silicon Homes</t>
  </si>
  <si>
    <t>Silver Heights</t>
  </si>
  <si>
    <t>Sky View Hights</t>
  </si>
  <si>
    <t>Somnath Heights</t>
  </si>
  <si>
    <t>Square Heights</t>
  </si>
  <si>
    <t>Sukirti Vihar</t>
  </si>
  <si>
    <t>Sumeru Complex</t>
  </si>
  <si>
    <t>Superia Heights</t>
  </si>
  <si>
    <t>Swiss Galaxy</t>
  </si>
  <si>
    <t>Swiss Junction</t>
  </si>
  <si>
    <t>Swiss Lake</t>
  </si>
  <si>
    <t>Swiss Point</t>
  </si>
  <si>
    <t>Swiss Terminus</t>
  </si>
  <si>
    <t>The Grand Devji</t>
  </si>
  <si>
    <t>The Olivia-a</t>
  </si>
  <si>
    <t>The World</t>
  </si>
  <si>
    <t>Tirupati Height</t>
  </si>
  <si>
    <t>Town Square</t>
  </si>
  <si>
    <t>Trident</t>
  </si>
  <si>
    <t>Union Heights</t>
  </si>
  <si>
    <t>Vaastu Luxuriaa</t>
  </si>
  <si>
    <t>Valentino Phase 1 (b1 &amp; B2)</t>
  </si>
  <si>
    <t>Van Valley</t>
  </si>
  <si>
    <t>Vedant Heights</t>
  </si>
  <si>
    <t>Vedanta Heights</t>
  </si>
  <si>
    <t>Vitthal Nagar Bldg-a(m2)</t>
  </si>
  <si>
    <t>Vivanta Aqua</t>
  </si>
  <si>
    <t>Vivanta Care</t>
  </si>
  <si>
    <t>Vivanta Emerald</t>
  </si>
  <si>
    <t>Jaksh Karington</t>
  </si>
  <si>
    <t>Construction Of 208 L.I.G Houses Including Shops And Infrastructure At: Rundh Ta: Majura (surat City) Dist: Surat</t>
  </si>
  <si>
    <t>1552 Lig-ii And 69 Shops At Jahangirabad Phase-v</t>
  </si>
  <si>
    <t>26 Gold Coin</t>
  </si>
  <si>
    <t>Sachin</t>
  </si>
  <si>
    <t>320 LIG 1 + 480 LIG 2 At Sachin In Plot B</t>
  </si>
  <si>
    <t>336 Ews-i And 280 Ews-ii At Chhaprabhatha Phase-v</t>
  </si>
  <si>
    <t>476 LIG Ii + 244 MIG I + 44 Shops At Sachin</t>
  </si>
  <si>
    <t>48 Shops 896 LIG Ii 672 MIG I 336 MIG Ii</t>
  </si>
  <si>
    <t>5 Square Point</t>
  </si>
  <si>
    <t>59 LIG (residential) &amp; Commercial (mix Type) Of Gujarat Housing Board At Pandesara Phase-v</t>
  </si>
  <si>
    <t>86 Residency</t>
  </si>
  <si>
    <t>88 Royals</t>
  </si>
  <si>
    <t>A One Residency</t>
  </si>
  <si>
    <t>A R Mall</t>
  </si>
  <si>
    <t>A-one Heights</t>
  </si>
  <si>
    <t>A-one Luxuria</t>
  </si>
  <si>
    <t>Aadharshila Bunglows</t>
  </si>
  <si>
    <t>Aadinath Arcade</t>
  </si>
  <si>
    <t>Aagam City Life</t>
  </si>
  <si>
    <t>Aagam Emporio</t>
  </si>
  <si>
    <t>Aagam Heights</t>
  </si>
  <si>
    <t>Aagam Paramount</t>
  </si>
  <si>
    <t>Aagam Plots</t>
  </si>
  <si>
    <t>Aagam Prestige</t>
  </si>
  <si>
    <t>Aagam Siddhi</t>
  </si>
  <si>
    <t>Aagam Sparkle</t>
  </si>
  <si>
    <t>Aagam Square</t>
  </si>
  <si>
    <t>Aagam Vivianna</t>
  </si>
  <si>
    <t>Aagman Pride</t>
  </si>
  <si>
    <t>Aakar Heights</t>
  </si>
  <si>
    <t>Aakar Homes</t>
  </si>
  <si>
    <t>Aakar Industrial Estate</t>
  </si>
  <si>
    <t>Aakar Residency</t>
  </si>
  <si>
    <t>Aakash Retail</t>
  </si>
  <si>
    <t>Aakash Business Centre</t>
  </si>
  <si>
    <t>Aakash Homes</t>
  </si>
  <si>
    <t>Aakash Prithvi Building - B</t>
  </si>
  <si>
    <t>Aakash Prithvi-high Rise Building A</t>
  </si>
  <si>
    <t>Aalekh Bungalows - A</t>
  </si>
  <si>
    <t>Aalishan Homes</t>
  </si>
  <si>
    <t>Aarambh</t>
  </si>
  <si>
    <t>Aarambh Heights</t>
  </si>
  <si>
    <t>Aarna Residency</t>
  </si>
  <si>
    <t>Aarnaa Homes</t>
  </si>
  <si>
    <t>Aashirwad High Street</t>
  </si>
  <si>
    <t>Aashirwad River Home - 1</t>
  </si>
  <si>
    <t>Aashirwad River Home - 2</t>
  </si>
  <si>
    <t>Aashirwad River Home - 3</t>
  </si>
  <si>
    <t>Aashiyana Residency</t>
  </si>
  <si>
    <t>Aastha Bunglows</t>
  </si>
  <si>
    <t>Aastha Residency</t>
  </si>
  <si>
    <t>Aaviskaar Enclave</t>
  </si>
  <si>
    <t>Aavkar Residency</t>
  </si>
  <si>
    <t>Abhishek Arcade</t>
  </si>
  <si>
    <t>Abhishek Luxuria</t>
  </si>
  <si>
    <t>Acacia</t>
  </si>
  <si>
    <t>Accron Trade Center</t>
  </si>
  <si>
    <t>Acropolis</t>
  </si>
  <si>
    <t>Ad Sun Sky</t>
  </si>
  <si>
    <t>Aerobiz Connect</t>
  </si>
  <si>
    <t>Agastya</t>
  </si>
  <si>
    <t>Aishwaryam Luxuria</t>
  </si>
  <si>
    <t>Akshar Bungalow Part 2</t>
  </si>
  <si>
    <t>Akshar Bunglows</t>
  </si>
  <si>
    <t>Akshar Square</t>
  </si>
  <si>
    <t>Akshar Villa</t>
  </si>
  <si>
    <t>Akshat Residency</t>
  </si>
  <si>
    <t>Akshaypatra Dreams</t>
  </si>
  <si>
    <t>Al Aafiyah Villa</t>
  </si>
  <si>
    <t>Al Kausar Villa</t>
  </si>
  <si>
    <t>Al Madina Residency</t>
  </si>
  <si>
    <t>Alok Residency</t>
  </si>
  <si>
    <t>Alpha Gold</t>
  </si>
  <si>
    <t>Alpha Seasons</t>
  </si>
  <si>
    <t>Alpine Aroma</t>
  </si>
  <si>
    <t>Alpine Green Velley</t>
  </si>
  <si>
    <t>Alpine Siera Sky</t>
  </si>
  <si>
    <t>Altarius</t>
  </si>
  <si>
    <t>Altimo Bungalows</t>
  </si>
  <si>
    <t>Altin Heights</t>
  </si>
  <si>
    <t>Altura</t>
  </si>
  <si>
    <t>Amar Bunglows</t>
  </si>
  <si>
    <t>Amar Luxuria</t>
  </si>
  <si>
    <t>Amarnath Residency-1</t>
  </si>
  <si>
    <t>Amaya</t>
  </si>
  <si>
    <t>Amba Luxuria Phase-1(building -d,e,f &amp; G)</t>
  </si>
  <si>
    <t>Ambar Vatika</t>
  </si>
  <si>
    <t>Amber Palace</t>
  </si>
  <si>
    <t>Ambica Bunglows</t>
  </si>
  <si>
    <t>Ambience</t>
  </si>
  <si>
    <t>Ambika Avenue</t>
  </si>
  <si>
    <t>Ambika Heaven</t>
  </si>
  <si>
    <t>Ambika Heights</t>
  </si>
  <si>
    <t>Ambika Park</t>
  </si>
  <si>
    <t>Ambika Pinnacle</t>
  </si>
  <si>
    <t>Ambika Villa</t>
  </si>
  <si>
    <t>Amby Valley Heights &amp; Arcade</t>
  </si>
  <si>
    <t>Amideep Valley</t>
  </si>
  <si>
    <t>Amora</t>
  </si>
  <si>
    <t>Amorina Textile Market</t>
  </si>
  <si>
    <t>Amour</t>
  </si>
  <si>
    <t>Amrut Business Park</t>
  </si>
  <si>
    <t>Amrut Kunj</t>
  </si>
  <si>
    <t>Amrut Udhyog Nagar 3 Vibhag E</t>
  </si>
  <si>
    <t>Amrut Udhyog Nagar-3 Vibhag-a</t>
  </si>
  <si>
    <t>Amrut Udhyog Nagar-3 Vibhag-b</t>
  </si>
  <si>
    <t>Amrut Udhyog Nagar-3 Vibhag-c</t>
  </si>
  <si>
    <t>Amrut Udhyog Nagar-3 Vibhag-d</t>
  </si>
  <si>
    <t>Amrut Udhyog Nagar-3 Vibhag-f</t>
  </si>
  <si>
    <t>Amrut Udhyog Nagar-3 Vibhag-g</t>
  </si>
  <si>
    <t>Amrut Udhyog Nagar-3 Vibhag-h</t>
  </si>
  <si>
    <t>Amrut Victoria</t>
  </si>
  <si>
    <t>Amrutam Bungalows</t>
  </si>
  <si>
    <t>Amrutam Heights</t>
  </si>
  <si>
    <t>Amrutdhara</t>
  </si>
  <si>
    <t>Anand Aspire</t>
  </si>
  <si>
    <t>Anand Avenue</t>
  </si>
  <si>
    <t>Anandogreen Velly</t>
  </si>
  <si>
    <t>Anant Aurelia Baug</t>
  </si>
  <si>
    <t>Anant Business Park</t>
  </si>
  <si>
    <t>Anant Business Park Vibhag - B</t>
  </si>
  <si>
    <t>Anant Homes</t>
  </si>
  <si>
    <t>Ananta</t>
  </si>
  <si>
    <t>Ananta At Gopin Gam</t>
  </si>
  <si>
    <t>Ananta Glori</t>
  </si>
  <si>
    <t>Ananta Heights</t>
  </si>
  <si>
    <t>Ananta Homes</t>
  </si>
  <si>
    <t>Ananta Orbis</t>
  </si>
  <si>
    <t>Ananta Palace</t>
  </si>
  <si>
    <t>Ananta Prayas Bunglows</t>
  </si>
  <si>
    <t>Ananta Vandemataram</t>
  </si>
  <si>
    <t>Anantam Bungalows</t>
  </si>
  <si>
    <t>Anantay Heights</t>
  </si>
  <si>
    <t>Anaya Business Center</t>
  </si>
  <si>
    <t>Angel Business Center-1</t>
  </si>
  <si>
    <t>Angel Business Center-2</t>
  </si>
  <si>
    <t>Angel Heights</t>
  </si>
  <si>
    <t>Angel Palace</t>
  </si>
  <si>
    <t>Anjani Ambrosia</t>
  </si>
  <si>
    <t>Anjani Elegance</t>
  </si>
  <si>
    <t>Anjani Homes</t>
  </si>
  <si>
    <t>Anjani Nandan Enclave</t>
  </si>
  <si>
    <t>Anjani Nandan Textile Market</t>
  </si>
  <si>
    <t>Anjani Nandan Town</t>
  </si>
  <si>
    <t>Anjani Nandan Town (phase Ii)</t>
  </si>
  <si>
    <t>Anmol Heights</t>
  </si>
  <si>
    <t>Antaara Sky</t>
  </si>
  <si>
    <t>Antariksh Avenue</t>
  </si>
  <si>
    <t>Antariksh Homes</t>
  </si>
  <si>
    <t>Antilia Bungalows</t>
  </si>
  <si>
    <t>Antilia Sky</t>
  </si>
  <si>
    <t>Antillia Dreams</t>
  </si>
  <si>
    <t>Antillia Heritage</t>
  </si>
  <si>
    <t>Antillia Skyline</t>
  </si>
  <si>
    <t>Antlia Dream</t>
  </si>
  <si>
    <t>Antriksh</t>
  </si>
  <si>
    <t>Antriksh Luxuria</t>
  </si>
  <si>
    <t>Antriksh Heights</t>
  </si>
  <si>
    <t>Anugrah Avenue</t>
  </si>
  <si>
    <t>Anupam Arcade</t>
  </si>
  <si>
    <t>Anupam City</t>
  </si>
  <si>
    <t>Anupam Heights</t>
  </si>
  <si>
    <t>Apple Business Center</t>
  </si>
  <si>
    <t>Apple Harmony</t>
  </si>
  <si>
    <t>Apple Heaven</t>
  </si>
  <si>
    <t>Apple Homes</t>
  </si>
  <si>
    <t>Apple Luxuria</t>
  </si>
  <si>
    <t>Apple Park</t>
  </si>
  <si>
    <t>Apple Square</t>
  </si>
  <si>
    <t>Apple Square A</t>
  </si>
  <si>
    <t>Apple Square B</t>
  </si>
  <si>
    <t>Applewood Homes</t>
  </si>
  <si>
    <t>Aradhana Technopark</t>
  </si>
  <si>
    <t>Aradhna Bunglows Part-1</t>
  </si>
  <si>
    <t>Aradhna Bunglows Part-2</t>
  </si>
  <si>
    <t>Aranya Ii</t>
  </si>
  <si>
    <t>Aranya Iii</t>
  </si>
  <si>
    <t>Arbor</t>
  </si>
  <si>
    <t>Arica</t>
  </si>
  <si>
    <t>Arihant Dream</t>
  </si>
  <si>
    <t>Arihant Heights</t>
  </si>
  <si>
    <t>Arihant Plaza</t>
  </si>
  <si>
    <t>Arika Homes</t>
  </si>
  <si>
    <t>Aristocrat</t>
  </si>
  <si>
    <t>Arjun Homes</t>
  </si>
  <si>
    <t>Arjun Luxuria</t>
  </si>
  <si>
    <t>Arjun Park</t>
  </si>
  <si>
    <t>Arjun Villa</t>
  </si>
  <si>
    <t>Armieda</t>
  </si>
  <si>
    <t>Aroma Heights</t>
  </si>
  <si>
    <t>Arya Heights</t>
  </si>
  <si>
    <t>Ashirvad Textile Market</t>
  </si>
  <si>
    <t>Ashirwad Bunglow - 3</t>
  </si>
  <si>
    <t>Ashirwad Bunglow Vibhag - 3</t>
  </si>
  <si>
    <t>Ashirwad Bunglows</t>
  </si>
  <si>
    <t>Ashirwad Heights</t>
  </si>
  <si>
    <t>Ashirwad Palace</t>
  </si>
  <si>
    <t>Ashirwad Residency</t>
  </si>
  <si>
    <t>Ashirwad Villa</t>
  </si>
  <si>
    <t>Ashta Vinayak Residency</t>
  </si>
  <si>
    <t>Ashtavinayak Homes</t>
  </si>
  <si>
    <t>Ashtavinayak Residency</t>
  </si>
  <si>
    <t>Ashwamegh Palace</t>
  </si>
  <si>
    <t>Aster Villa</t>
  </si>
  <si>
    <t>Aston Aroma</t>
  </si>
  <si>
    <t>Aston Homes</t>
  </si>
  <si>
    <t>Atharva Elegance</t>
  </si>
  <si>
    <t>Atlanta Business Hub</t>
  </si>
  <si>
    <t>Atlanta Eliza</t>
  </si>
  <si>
    <t>Atlanta Mall</t>
  </si>
  <si>
    <t>Atlanta Shoppers</t>
  </si>
  <si>
    <t>Atlanta Sky Deck</t>
  </si>
  <si>
    <t>Atlantis Square</t>
  </si>
  <si>
    <t>Atlas</t>
  </si>
  <si>
    <t>Atmiya Sai Aangan</t>
  </si>
  <si>
    <t>Atmos</t>
  </si>
  <si>
    <t>Atmosphere Green</t>
  </si>
  <si>
    <t>Atmosphere Iconic</t>
  </si>
  <si>
    <t>Pardi</t>
  </si>
  <si>
    <t>Atulya Residency</t>
  </si>
  <si>
    <t>Aushadh The Medicine Hub</t>
  </si>
  <si>
    <t>Autograph The Commercial Hub</t>
  </si>
  <si>
    <t>Avadh Arena</t>
  </si>
  <si>
    <t>Avadh Arkelia</t>
  </si>
  <si>
    <t>Avadh Bertina</t>
  </si>
  <si>
    <t>Avadh Carolina</t>
  </si>
  <si>
    <t>Avadh Classima</t>
  </si>
  <si>
    <t>Avadh Copper Stone</t>
  </si>
  <si>
    <t>Avadh Elrica</t>
  </si>
  <si>
    <t>Avadh Ercole</t>
  </si>
  <si>
    <t>Avadh Habitat</t>
  </si>
  <si>
    <t>Avadh Industrial Park</t>
  </si>
  <si>
    <t>Kosamba</t>
  </si>
  <si>
    <t>Avadh Kimberly</t>
  </si>
  <si>
    <t>Avadh Kontina</t>
  </si>
  <si>
    <t>Avadh Livonia</t>
  </si>
  <si>
    <t>Avadh Martella</t>
  </si>
  <si>
    <t>Avadh Menorca</t>
  </si>
  <si>
    <t>Avadh Miliana</t>
  </si>
  <si>
    <t>Avadh Onella</t>
  </si>
  <si>
    <t>Avadh Onica</t>
  </si>
  <si>
    <t>Avadh Orlena</t>
  </si>
  <si>
    <t>Avadh Paloma Pride</t>
  </si>
  <si>
    <t>Avadh Rituraj Textile Hub</t>
  </si>
  <si>
    <t>Avadh Selenic</t>
  </si>
  <si>
    <t>Avadh Textile Hub</t>
  </si>
  <si>
    <t>Avadh Textile Market</t>
  </si>
  <si>
    <t>Avadh Textile Market - 2</t>
  </si>
  <si>
    <t>Avenue 294</t>
  </si>
  <si>
    <t>Avenue-39</t>
  </si>
  <si>
    <t>Avkash 1</t>
  </si>
  <si>
    <t>Avkash 2</t>
  </si>
  <si>
    <t>Avkash-3</t>
  </si>
  <si>
    <t>Ayodhya Believe</t>
  </si>
  <si>
    <t>Ayodhya Business Hub</t>
  </si>
  <si>
    <t>Ayodhya Darshan</t>
  </si>
  <si>
    <t>Ayodhya Heights</t>
  </si>
  <si>
    <t>Ayodhya Industrial Park</t>
  </si>
  <si>
    <t>Ayodhya Nagari</t>
  </si>
  <si>
    <t>Ayodhya Nagari Phase 2</t>
  </si>
  <si>
    <t>Ayodhya Nagri</t>
  </si>
  <si>
    <t>Ayodhya Residency</t>
  </si>
  <si>
    <t>Ayodhya Residency-1</t>
  </si>
  <si>
    <t>Ayodhya Trade Center</t>
  </si>
  <si>
    <t>Ayodhyapuram Residency</t>
  </si>
  <si>
    <t>B K Heights</t>
  </si>
  <si>
    <t>Badrinath Residency</t>
  </si>
  <si>
    <t>Baghban The Life Style</t>
  </si>
  <si>
    <t>Balaji Residency</t>
  </si>
  <si>
    <t>Balaji Textile Market</t>
  </si>
  <si>
    <t>Bansari Hills</t>
  </si>
  <si>
    <t>Bansari Luxuria</t>
  </si>
  <si>
    <t>Bapa Sitaram Bunglows</t>
  </si>
  <si>
    <t>Bapa Sitaram Park</t>
  </si>
  <si>
    <t>Barbella Phase-1</t>
  </si>
  <si>
    <t>Bblossom-the Presidency</t>
  </si>
  <si>
    <t>Be Mall</t>
  </si>
  <si>
    <t>Bella De Mora</t>
  </si>
  <si>
    <t>Bellacasaa</t>
  </si>
  <si>
    <t>Bellagio Lace Textile Market</t>
  </si>
  <si>
    <t>Bellissimo Hub</t>
  </si>
  <si>
    <t>Beyond Villa</t>
  </si>
  <si>
    <t>Bhadani Era</t>
  </si>
  <si>
    <t>Bhagvat Glory</t>
  </si>
  <si>
    <t>Bhagwat Desire</t>
  </si>
  <si>
    <t>Bhagwat Elita</t>
  </si>
  <si>
    <t>Bhagyalaxmi Residency</t>
  </si>
  <si>
    <t>Bhakti Heights</t>
  </si>
  <si>
    <t>Bhakti Meridian</t>
  </si>
  <si>
    <t>Bhavya Resi-plaza</t>
  </si>
  <si>
    <t>Vyara</t>
  </si>
  <si>
    <t>Bhavyaraj Residency</t>
  </si>
  <si>
    <t>Bhoomipujya Residency</t>
  </si>
  <si>
    <t>Bilipatra Bunglows</t>
  </si>
  <si>
    <t>Bilipatra Heights</t>
  </si>
  <si>
    <t>Bilipatra Residency</t>
  </si>
  <si>
    <t>Billenium Business Corner</t>
  </si>
  <si>
    <t>Bilvam Amor</t>
  </si>
  <si>
    <t>Bilvam Bungalows</t>
  </si>
  <si>
    <t>Bilvam Heights</t>
  </si>
  <si>
    <t>Bilvam Regency</t>
  </si>
  <si>
    <t>Block No.9/1</t>
  </si>
  <si>
    <t>Blossom Homes</t>
  </si>
  <si>
    <t>Blossom Park</t>
  </si>
  <si>
    <t>Blu Altezza</t>
  </si>
  <si>
    <t>Blu Eminence</t>
  </si>
  <si>
    <t>Blu Quince</t>
  </si>
  <si>
    <t>Blu Sparsh</t>
  </si>
  <si>
    <t>Blue Candle</t>
  </si>
  <si>
    <t>Blue City</t>
  </si>
  <si>
    <t>Blue Corporate House</t>
  </si>
  <si>
    <t>Blue Golf City</t>
  </si>
  <si>
    <t>Blue Heaven</t>
  </si>
  <si>
    <t>Blue Heaven Bungalow</t>
  </si>
  <si>
    <t>Blue Horizon</t>
  </si>
  <si>
    <t>Blue Point</t>
  </si>
  <si>
    <t>Blue Ski Commerce Square</t>
  </si>
  <si>
    <t>Blue Star</t>
  </si>
  <si>
    <t>Blue Stone</t>
  </si>
  <si>
    <t>Blue Stone One</t>
  </si>
  <si>
    <t>Bluearc</t>
  </si>
  <si>
    <t>Blueberry Homes</t>
  </si>
  <si>
    <t>Bonito Villa</t>
  </si>
  <si>
    <t>Br Square</t>
  </si>
  <si>
    <t>Brahmhans Plaza And Residency</t>
  </si>
  <si>
    <t>Bramand Residency</t>
  </si>
  <si>
    <t>Burhani Homes</t>
  </si>
  <si>
    <t>Burj</t>
  </si>
  <si>
    <t>Business Bay Center</t>
  </si>
  <si>
    <t>Caliber Homes</t>
  </si>
  <si>
    <t>Callista Apartments</t>
  </si>
  <si>
    <t>Callista Dreams</t>
  </si>
  <si>
    <t>Canal Point</t>
  </si>
  <si>
    <t>Canal Walk Shoppers/sanctum Celino</t>
  </si>
  <si>
    <t>Cannon Lakeview</t>
  </si>
  <si>
    <t>Cannon Street 1</t>
  </si>
  <si>
    <t>Capital Calisto</t>
  </si>
  <si>
    <t>Capital Dreamz</t>
  </si>
  <si>
    <t>Capital Nexus</t>
  </si>
  <si>
    <t>Carat24</t>
  </si>
  <si>
    <t>Casa Bella</t>
  </si>
  <si>
    <t>Casa Cielo</t>
  </si>
  <si>
    <t>Casa Green</t>
  </si>
  <si>
    <t>Casa King</t>
  </si>
  <si>
    <t>Casa Rio</t>
  </si>
  <si>
    <t>Casa Rivera</t>
  </si>
  <si>
    <t>Casa Vista</t>
  </si>
  <si>
    <t>Cassa Amorina</t>
  </si>
  <si>
    <t>Castello</t>
  </si>
  <si>
    <t>Celebrity Greens</t>
  </si>
  <si>
    <t>Cellestial Dreams</t>
  </si>
  <si>
    <t>Center Park</t>
  </si>
  <si>
    <t>Central Bazar Veneziano</t>
  </si>
  <si>
    <t>Central Park</t>
  </si>
  <si>
    <t>Central Plaza</t>
  </si>
  <si>
    <t>Chandradarshan Residency-2</t>
  </si>
  <si>
    <t>Chhatrala Park</t>
  </si>
  <si>
    <t>Citron Residency</t>
  </si>
  <si>
    <t>City Heart</t>
  </si>
  <si>
    <t>City Homes</t>
  </si>
  <si>
    <t>Club 100 Empire</t>
  </si>
  <si>
    <t>Construction Of EWS - I And Ews-ii (2560 Houses) Under Pmay At Final Plot No.129, T.p.s No.30 (vanakla-okha--vihel),at Vanakla Dist. Surat</t>
  </si>
  <si>
    <t>Construction Of 1088 Dus Of Ews-ii Type At T.p.53(magob-dumbhal),f.p.no.82 Under Pmay</t>
  </si>
  <si>
    <t>Construction Of 112 Dus Of Ews-ii Type At T.p. 19 (katargam) F.p. 180 Under Pmay</t>
  </si>
  <si>
    <t>Construction Of 160 Dus Of Ews-i Type At T.p.41(dindoli),f.p.no.29 Under Pmay</t>
  </si>
  <si>
    <t>Construction Of 192 Dus Of Ews-ii Type At T.p.25(singanpore-tunki) F.p. 97 Under Pmay</t>
  </si>
  <si>
    <t>Construction Of 208 Dus Of Ews-ii Type At T.p.19(parvat-magob),f.p.no.112 Under Pmay</t>
  </si>
  <si>
    <t>Construction Of 260 Dus Of Ews-ii Type At T.p.25(singanpore-tunki) F.p. 74 Under Pmay</t>
  </si>
  <si>
    <t>Construction Of 408 Dus Of Ews-i Type At T.p.19(parvat-magob),f.p.no.100 Under Pmay</t>
  </si>
  <si>
    <t>Construction Of 504 Dus Of Ews-ii Type At T.p.27(utran-kosad) F.p.191 Under Pmay</t>
  </si>
  <si>
    <t>Construction Of 512 Dus Of Ews-ii Type At T.p.27(utran-kosad) F.p.180 Under Pmay</t>
  </si>
  <si>
    <t>Construction Of 528 Dus Of Ews-ii Type At T.p.27(utran-kosad) F.p.167 Under Pmay</t>
  </si>
  <si>
    <t>Construction Of 560 Dus Of Ews-i Type At T.p. 25(mota Varachha) F.p. 147 Under Pmay</t>
  </si>
  <si>
    <t>Construction Of 570 Dus Of Ews-i Type At T.p.19(parvat-magob),f.p.no.111/1 Under Pmay</t>
  </si>
  <si>
    <t>Construction Of 660 Dus Of Ews-i Type At T.p.35(katargam) F.p. 120 Under Pmay</t>
  </si>
  <si>
    <t>Construction Of 660 Dus Of Ews-ii Type At T.p.28(rundh-vesu) F.p.32/p-sub Plot No-2 Under Pmay</t>
  </si>
  <si>
    <t>Construction Of 752 Dus Of Ews-ii Type At T.p. 25(mota Varachha) F.p. 165 Under Pmay</t>
  </si>
  <si>
    <t>Construction Of 760 Dus Of Ews-i Type At T.p.27(utran-kosad) F.p. 190 Under Pmay</t>
  </si>
  <si>
    <t>Construction Of 80 Dus Of Ews-ii Type At T.p.68(puna-simada) F.p.r-11 Under Pmay</t>
  </si>
  <si>
    <t>Construction Of 96 Dus Of Ews-ii Type At T.p.28(rundh-vesu) F.p.32/p-sub Plot No-3 Under Pmay</t>
  </si>
  <si>
    <t>Construction Of Highrise Residential Building Ews-i,ews-ii And LIG Houses At Final Plot No. 384, T.p.s. 35(saroli-kumbhariya-saniyahemad-devadh)</t>
  </si>
  <si>
    <t>Copper Stone</t>
  </si>
  <si>
    <t>Coral Aroma</t>
  </si>
  <si>
    <t>Coral Bungalows</t>
  </si>
  <si>
    <t>Coreland Luxuria</t>
  </si>
  <si>
    <t>Corona Heights</t>
  </si>
  <si>
    <t>Creation Plaza 2</t>
  </si>
  <si>
    <t>Crimson Palace</t>
  </si>
  <si>
    <t>Cross World</t>
  </si>
  <si>
    <t>Crystal Avenue</t>
  </si>
  <si>
    <t>Crystal Bungalows</t>
  </si>
  <si>
    <t>Crystal Luxuria</t>
  </si>
  <si>
    <t>Crystal Plaza</t>
  </si>
  <si>
    <t>Cyber City</t>
  </si>
  <si>
    <t>D B Complex</t>
  </si>
  <si>
    <t>D R India Textile Hub</t>
  </si>
  <si>
    <t>Daar-e-ahmed</t>
  </si>
  <si>
    <t>Darshan Luxuria</t>
  </si>
  <si>
    <t>Dastan Residency</t>
  </si>
  <si>
    <t>Dayalji Park</t>
  </si>
  <si>
    <t>De' Ventura Textile Hub</t>
  </si>
  <si>
    <t>Dev Krupa Complex</t>
  </si>
  <si>
    <t>Dev Residency</t>
  </si>
  <si>
    <t>Dev Shrustee</t>
  </si>
  <si>
    <t>Devam Ambro Park-3</t>
  </si>
  <si>
    <t>Devam Heights</t>
  </si>
  <si>
    <t>Devam Paradise</t>
  </si>
  <si>
    <t>Devam Solitaire</t>
  </si>
  <si>
    <t>Devam Square</t>
  </si>
  <si>
    <t>Devam Villa</t>
  </si>
  <si>
    <t>Devbhoomi Bunglows</t>
  </si>
  <si>
    <t>Devdarshan Residency</t>
  </si>
  <si>
    <t>Devikrupa Residency</t>
  </si>
  <si>
    <t>Devprayag</t>
  </si>
  <si>
    <t>Devshree Benedite</t>
  </si>
  <si>
    <t>Devshree Benito</t>
  </si>
  <si>
    <t>Devshree Iconic</t>
  </si>
  <si>
    <t>Dhanlaxmi Evita</t>
  </si>
  <si>
    <t>Dhanlaxmi Globus</t>
  </si>
  <si>
    <t>Dhanlaxmi Residency</t>
  </si>
  <si>
    <t>Dhanush Bungalows</t>
  </si>
  <si>
    <t>Dhanush Villa</t>
  </si>
  <si>
    <t>Dhara Armieda Business Center</t>
  </si>
  <si>
    <t>Dhara Heaven</t>
  </si>
  <si>
    <t>Dhara Homes</t>
  </si>
  <si>
    <t>Dhara Palace</t>
  </si>
  <si>
    <t>Dhara Trade Center</t>
  </si>
  <si>
    <t>Dharmabhakti Residency</t>
  </si>
  <si>
    <t>Dharmbhakti Residency</t>
  </si>
  <si>
    <t>Dharmraj Bunglows</t>
  </si>
  <si>
    <t>Dhiaan Bungalows</t>
  </si>
  <si>
    <t>Diamond Eco Park</t>
  </si>
  <si>
    <t>Diamond Eco Park 3</t>
  </si>
  <si>
    <t>Diamond Mini Park</t>
  </si>
  <si>
    <t>Digital Trade Center</t>
  </si>
  <si>
    <t>Divine Desire</t>
  </si>
  <si>
    <t>Divine Homes</t>
  </si>
  <si>
    <t>Divine Rivera</t>
  </si>
  <si>
    <t>Divy Mall</t>
  </si>
  <si>
    <t>Divya Kedareshwar Residency</t>
  </si>
  <si>
    <t>Divyabhoomi</t>
  </si>
  <si>
    <t>Dmd Aura</t>
  </si>
  <si>
    <t>Dmd Cosmos</t>
  </si>
  <si>
    <t>Dmd Paccific</t>
  </si>
  <si>
    <t>Dmd Park</t>
  </si>
  <si>
    <t>Dmd Signus</t>
  </si>
  <si>
    <t>Drashti Residency</t>
  </si>
  <si>
    <t>Dream Homes</t>
  </si>
  <si>
    <t>Dream Liberty</t>
  </si>
  <si>
    <t>Dream Shoppers</t>
  </si>
  <si>
    <t>Dream Villa</t>
  </si>
  <si>
    <t>Dwarkesh Nagri</t>
  </si>
  <si>
    <t>Dynamic Business Park</t>
  </si>
  <si>
    <t>E-voq</t>
  </si>
  <si>
    <t>Earth Plaza</t>
  </si>
  <si>
    <t>Eartham Heights</t>
  </si>
  <si>
    <t>Eco Capital</t>
  </si>
  <si>
    <t>Eco Commerz</t>
  </si>
  <si>
    <t>Eco Gardens</t>
  </si>
  <si>
    <t>Eco Grandeur</t>
  </si>
  <si>
    <t>Eco One</t>
  </si>
  <si>
    <t>Eco Parkside</t>
  </si>
  <si>
    <t>Eden Imperia</t>
  </si>
  <si>
    <t>Eden Ornate</t>
  </si>
  <si>
    <t>Eden Arcon</t>
  </si>
  <si>
    <t>Eden Atmos</t>
  </si>
  <si>
    <t>Eden Bunglows</t>
  </si>
  <si>
    <t>Eden Classio</t>
  </si>
  <si>
    <t>Eden Embro Park</t>
  </si>
  <si>
    <t>Eden Evoq &amp; Empire</t>
  </si>
  <si>
    <t>Eden Heaven</t>
  </si>
  <si>
    <t>Eden Hills</t>
  </si>
  <si>
    <t>Eden Square</t>
  </si>
  <si>
    <t>Eden Villa</t>
  </si>
  <si>
    <t>El Paraiso Torre</t>
  </si>
  <si>
    <t>Eleganza Glory</t>
  </si>
  <si>
    <t>Eleganza Heights</t>
  </si>
  <si>
    <t>Eleganza Homes</t>
  </si>
  <si>
    <t>Eleganza Villa</t>
  </si>
  <si>
    <t>Element Homes</t>
  </si>
  <si>
    <t>Elephanta Business Hub</t>
  </si>
  <si>
    <t>Eleven Bunglows</t>
  </si>
  <si>
    <t>Elinor</t>
  </si>
  <si>
    <t>Elisio</t>
  </si>
  <si>
    <t>Elita Square</t>
  </si>
  <si>
    <t>Elite</t>
  </si>
  <si>
    <t>Elite Enclave</t>
  </si>
  <si>
    <t>Elysium Avenue</t>
  </si>
  <si>
    <t>Emporia Business Hub</t>
  </si>
  <si>
    <t>Emporio Textile Hub</t>
  </si>
  <si>
    <t>Emporis Galaxy</t>
  </si>
  <si>
    <t>Eon Square</t>
  </si>
  <si>
    <t>Estella</t>
  </si>
  <si>
    <t>Estrella</t>
  </si>
  <si>
    <t>Euphoria</t>
  </si>
  <si>
    <t>Eva Elite</t>
  </si>
  <si>
    <t>Evita Villas</t>
  </si>
  <si>
    <t>Excellent Business Hub</t>
  </si>
  <si>
    <t>Exclusive</t>
  </si>
  <si>
    <t>Executive Heights</t>
  </si>
  <si>
    <t>Expressions</t>
  </si>
  <si>
    <t>Exult Shoppers</t>
  </si>
  <si>
    <t>Exxoniic</t>
  </si>
  <si>
    <t>Flora Park</t>
  </si>
  <si>
    <t>Flower Valley</t>
  </si>
  <si>
    <t>Flower View Homes</t>
  </si>
  <si>
    <t>Foinaa</t>
  </si>
  <si>
    <t>Fortune Highstreet</t>
  </si>
  <si>
    <t>Fortune The Shopping Island</t>
  </si>
  <si>
    <t>Fourteen Point</t>
  </si>
  <si>
    <t>Freedom Towers</t>
  </si>
  <si>
    <t>G9 Business Center</t>
  </si>
  <si>
    <t>Gajanand Residency</t>
  </si>
  <si>
    <t>Galaxy Business Empire</t>
  </si>
  <si>
    <t>Galaxy Heights</t>
  </si>
  <si>
    <t>Galaxy Heritage</t>
  </si>
  <si>
    <t>Galaxy Icon</t>
  </si>
  <si>
    <t>Galaxy Villa</t>
  </si>
  <si>
    <t>Galloping Corridor</t>
  </si>
  <si>
    <t>Ganga Heights</t>
  </si>
  <si>
    <t>Garden Court</t>
  </si>
  <si>
    <t>Garden Valley</t>
  </si>
  <si>
    <t>Garden Villa</t>
  </si>
  <si>
    <t>Gateway Park</t>
  </si>
  <si>
    <t>Gauved Residency</t>
  </si>
  <si>
    <t>Genius House</t>
  </si>
  <si>
    <t>Ghanshyam Avenue</t>
  </si>
  <si>
    <t>Girikandra Residency</t>
  </si>
  <si>
    <t>Giriraj Bunglows</t>
  </si>
  <si>
    <t>Giriraj Bunglows 3</t>
  </si>
  <si>
    <t>Giriraj Bunglows Vibhag 2</t>
  </si>
  <si>
    <t>Giriraj Glory</t>
  </si>
  <si>
    <t>Giriraj Homes</t>
  </si>
  <si>
    <t>Giriraj Homes Vibhag 2</t>
  </si>
  <si>
    <t>Giriraj Paradise</t>
  </si>
  <si>
    <t>Giriraj Villa</t>
  </si>
  <si>
    <t>Global City</t>
  </si>
  <si>
    <t>Global Industrial</t>
  </si>
  <si>
    <t>Global Point</t>
  </si>
  <si>
    <t>Globale Textile Market</t>
  </si>
  <si>
    <t>Globale Textile Market Ii</t>
  </si>
  <si>
    <t>Globcon Oasis</t>
  </si>
  <si>
    <t>Globcon Optima</t>
  </si>
  <si>
    <t>Globcon Splendora</t>
  </si>
  <si>
    <t>Glorina Valley</t>
  </si>
  <si>
    <t>Glorina World</t>
  </si>
  <si>
    <t>Glory Heights</t>
  </si>
  <si>
    <t>Gokul Homes</t>
  </si>
  <si>
    <t>Gokul Solitaire</t>
  </si>
  <si>
    <t>Gokul Towers</t>
  </si>
  <si>
    <t>Gokulam Bunglows</t>
  </si>
  <si>
    <t>Gokuldham Residency</t>
  </si>
  <si>
    <t>Golden Bungalow</t>
  </si>
  <si>
    <t>Golden Heaven</t>
  </si>
  <si>
    <t>Golden Industrial Estate</t>
  </si>
  <si>
    <t>Golden Velly</t>
  </si>
  <si>
    <t>Golden Villa</t>
  </si>
  <si>
    <t>Gomti Villa</t>
  </si>
  <si>
    <t>Gopi Kishan Business Park</t>
  </si>
  <si>
    <t>Gopi Bunglows</t>
  </si>
  <si>
    <t>Gopin Bunglows</t>
  </si>
  <si>
    <t>Gopin Cane Ville</t>
  </si>
  <si>
    <t>Gopin Fruit Market</t>
  </si>
  <si>
    <t>Gopin Fruit Market Part - A</t>
  </si>
  <si>
    <t>Gopin Green Fields</t>
  </si>
  <si>
    <t>Gopin Green Homes</t>
  </si>
  <si>
    <t>Gopin Green Ville</t>
  </si>
  <si>
    <t>Gopin River Ville</t>
  </si>
  <si>
    <t>Gopin Spring Valley</t>
  </si>
  <si>
    <t>Gopin Valley Bunglows</t>
  </si>
  <si>
    <t>Gopin Villa</t>
  </si>
  <si>
    <t>Gopin Villario</t>
  </si>
  <si>
    <t>Gopinath Heights</t>
  </si>
  <si>
    <t>Gopinath Sky</t>
  </si>
  <si>
    <t>Gopinath Status</t>
  </si>
  <si>
    <t>Gopinathji Industrial Park</t>
  </si>
  <si>
    <t>Govardhan Square</t>
  </si>
  <si>
    <t>Goverdhan Textile Market-1</t>
  </si>
  <si>
    <t>Govindji Residency</t>
  </si>
  <si>
    <t>Grand Calistaa</t>
  </si>
  <si>
    <t>Grand Vissta</t>
  </si>
  <si>
    <t>Gravity</t>
  </si>
  <si>
    <t>Green Aristo</t>
  </si>
  <si>
    <t>Green City Gold</t>
  </si>
  <si>
    <t>Green Feb Tex House</t>
  </si>
  <si>
    <t>Green Leaf</t>
  </si>
  <si>
    <t>Green Luxuria</t>
  </si>
  <si>
    <t>Green Palladia</t>
  </si>
  <si>
    <t>Green Palm</t>
  </si>
  <si>
    <t>Green Paradise</t>
  </si>
  <si>
    <t>Green Residency</t>
  </si>
  <si>
    <t>Green Serene</t>
  </si>
  <si>
    <t>Green Signature Shoppers</t>
  </si>
  <si>
    <t>Green Tulip</t>
  </si>
  <si>
    <t>Green Valley</t>
  </si>
  <si>
    <t>Green Valley (mangalam Park Bldg - C, D, N, O)</t>
  </si>
  <si>
    <t>Green Valley (mangalam Park Bldg - S)</t>
  </si>
  <si>
    <t>Green Valley (mangalam Park) A &amp; B Building</t>
  </si>
  <si>
    <t>Green Valley(mangalam Park Bldg-r)</t>
  </si>
  <si>
    <t>Green View Heights</t>
  </si>
  <si>
    <t>Green Willows</t>
  </si>
  <si>
    <t>Greenopolis</t>
  </si>
  <si>
    <t>Gruham City Palace</t>
  </si>
  <si>
    <t>Gruham Elite</t>
  </si>
  <si>
    <t>Gruham Empire</t>
  </si>
  <si>
    <t>Gruham Heaven</t>
  </si>
  <si>
    <t>Gruham Icon</t>
  </si>
  <si>
    <t>Gruham Lifestyle</t>
  </si>
  <si>
    <t>Gruham Palace</t>
  </si>
  <si>
    <t>Gruham Plaza</t>
  </si>
  <si>
    <t>Gulshan Residency</t>
  </si>
  <si>
    <t>Gurudatt Point</t>
  </si>
  <si>
    <t>Hadaf Residency</t>
  </si>
  <si>
    <t>Hafsa Tower</t>
  </si>
  <si>
    <t>Hajira Business Hub</t>
  </si>
  <si>
    <t>Halima Bunglows</t>
  </si>
  <si>
    <t>Halima Heights</t>
  </si>
  <si>
    <t>Halima Residency</t>
  </si>
  <si>
    <t>Happy Astoria</t>
  </si>
  <si>
    <t>Happy Elegance</t>
  </si>
  <si>
    <t>Happy Elenza</t>
  </si>
  <si>
    <t>Happy Excelencia</t>
  </si>
  <si>
    <t>Happy Glorious-phase 2</t>
  </si>
  <si>
    <t>Happy Goldmines Shoppers</t>
  </si>
  <si>
    <t>Happy Hallmark Shoppers</t>
  </si>
  <si>
    <t>Happy Hills</t>
  </si>
  <si>
    <t>Happy Residency</t>
  </si>
  <si>
    <t>Happynest Residency</t>
  </si>
  <si>
    <t>Hare Krishna Heights</t>
  </si>
  <si>
    <t>Harekrishna Bungalows</t>
  </si>
  <si>
    <t>Harekrishna Bunglows</t>
  </si>
  <si>
    <t>Hari Darshan Row House</t>
  </si>
  <si>
    <t>Hari Krishna Icon</t>
  </si>
  <si>
    <t>Hari Krishna Township</t>
  </si>
  <si>
    <t>Hari Krushna Sakar</t>
  </si>
  <si>
    <t>Haridarshan</t>
  </si>
  <si>
    <t>Harikrushna Harmony</t>
  </si>
  <si>
    <t>Harikrushna Sky</t>
  </si>
  <si>
    <t>Harikrushna Township</t>
  </si>
  <si>
    <t>Harikrushna Vistas</t>
  </si>
  <si>
    <t>Harrod's The Empire (building B Phase 1)</t>
  </si>
  <si>
    <t>Harsham Homes</t>
  </si>
  <si>
    <t>Hastinapur The Royal Legacy</t>
  </si>
  <si>
    <t>Hayaa Fine Living</t>
  </si>
  <si>
    <t>Heaven Enclave</t>
  </si>
  <si>
    <t>Heavenly Heights</t>
  </si>
  <si>
    <t>Helios Revanta</t>
  </si>
  <si>
    <t>Heny Arcade</t>
  </si>
  <si>
    <t>Hetvi Avenue</t>
  </si>
  <si>
    <t>Hillom Pratishtha</t>
  </si>
  <si>
    <t>Hilton Business Center</t>
  </si>
  <si>
    <t>Hindustan Textile Center-2</t>
  </si>
  <si>
    <t>Home Land City</t>
  </si>
  <si>
    <t>Hridaya Kunj</t>
  </si>
  <si>
    <t>Htc-3 The Business Park</t>
  </si>
  <si>
    <t>Huda</t>
  </si>
  <si>
    <t>Icon Heights</t>
  </si>
  <si>
    <t>Icon Rio</t>
  </si>
  <si>
    <t>Iconic Liberty</t>
  </si>
  <si>
    <t>Iconic Shivant</t>
  </si>
  <si>
    <t>Imperia</t>
  </si>
  <si>
    <t>Industrial Trade Park - 3</t>
  </si>
  <si>
    <t>Industrial Trade Park -2</t>
  </si>
  <si>
    <t>Infinity Baug</t>
  </si>
  <si>
    <t>Infinity Biz Hub</t>
  </si>
  <si>
    <t>Infinity Business Hub</t>
  </si>
  <si>
    <t>Infinity Park</t>
  </si>
  <si>
    <t>Infinity Sky</t>
  </si>
  <si>
    <t>Infinity Tower</t>
  </si>
  <si>
    <t>Innovation Hub</t>
  </si>
  <si>
    <t>International Business Center</t>
  </si>
  <si>
    <t>International Fashion Market</t>
  </si>
  <si>
    <t>International Finance Centre</t>
  </si>
  <si>
    <t>International Textile Market</t>
  </si>
  <si>
    <t>International Wealth Center</t>
  </si>
  <si>
    <t>Iscon Infinity Tower</t>
  </si>
  <si>
    <t>Iscon Pride</t>
  </si>
  <si>
    <t>Ishwar Plaza</t>
  </si>
  <si>
    <t>Ishwarkrupa Residency</t>
  </si>
  <si>
    <t>J9 Highstreet</t>
  </si>
  <si>
    <t>Jala Villa</t>
  </si>
  <si>
    <t>Jalaram Residency</t>
  </si>
  <si>
    <t>Janki Heights</t>
  </si>
  <si>
    <t>Jay Aapagiga Heights</t>
  </si>
  <si>
    <t>Jay Residency</t>
  </si>
  <si>
    <t>Jeevan Villa</t>
  </si>
  <si>
    <t>Jewel Heights</t>
  </si>
  <si>
    <t>Jivantta</t>
  </si>
  <si>
    <t>Jolly The River Moon</t>
  </si>
  <si>
    <t>Joyos Hubtown Adajan</t>
  </si>
  <si>
    <t>Jyoti Business Center</t>
  </si>
  <si>
    <t>K-aranya</t>
  </si>
  <si>
    <t>Kabir Villa</t>
  </si>
  <si>
    <t>Kailasa Heights</t>
  </si>
  <si>
    <t>Kailash -2 Residency</t>
  </si>
  <si>
    <t>Kailash Avenue</t>
  </si>
  <si>
    <t>Kailash Heights</t>
  </si>
  <si>
    <t>Kailash Homes</t>
  </si>
  <si>
    <t>Kailash Luxuria</t>
  </si>
  <si>
    <t>Kailash Residency</t>
  </si>
  <si>
    <t>Kailash Residency 2</t>
  </si>
  <si>
    <t>Kalon Homes</t>
  </si>
  <si>
    <t>Kalp Residency</t>
  </si>
  <si>
    <t>Kalpvan Bunglows</t>
  </si>
  <si>
    <t>Kalyan Residency</t>
  </si>
  <si>
    <t>Kamdhenu Industrial</t>
  </si>
  <si>
    <t>Kameshwar Bunglows</t>
  </si>
  <si>
    <t>Kameshwar Glory</t>
  </si>
  <si>
    <t>Kameshwar Villa</t>
  </si>
  <si>
    <t>Kanha Rassvalley</t>
  </si>
  <si>
    <t>Kansad Industrial Estate</t>
  </si>
  <si>
    <t>Karm Villa</t>
  </si>
  <si>
    <t>Karma Anand Bungalows</t>
  </si>
  <si>
    <t>Karma Bhakti Bunglows P1</t>
  </si>
  <si>
    <t>Karma Bhakti Bunglows P2</t>
  </si>
  <si>
    <t>Karma Bhumi</t>
  </si>
  <si>
    <t>Karma Bungalows</t>
  </si>
  <si>
    <t>Karma Business Center</t>
  </si>
  <si>
    <t>Karma Business Centre 2</t>
  </si>
  <si>
    <t>Karma Business Park</t>
  </si>
  <si>
    <t>Karma Gokul</t>
  </si>
  <si>
    <t>Karma Krishna Park</t>
  </si>
  <si>
    <t>Karma Residency</t>
  </si>
  <si>
    <t>Karma Rio 29</t>
  </si>
  <si>
    <t>Karma Vrajdham</t>
  </si>
  <si>
    <t>Kartavya Heights</t>
  </si>
  <si>
    <t>Karunesh Business Center - 2</t>
  </si>
  <si>
    <t>Karunesh Business Centre</t>
  </si>
  <si>
    <t>Karunesh Homes</t>
  </si>
  <si>
    <t>Karunesh Luxuria</t>
  </si>
  <si>
    <t>Karunesh Tower</t>
  </si>
  <si>
    <t>Kaverri Habitat</t>
  </si>
  <si>
    <t>Kavya Heights</t>
  </si>
  <si>
    <t>Kedar Bunglows</t>
  </si>
  <si>
    <t>Kedar Bunglows -2</t>
  </si>
  <si>
    <t>Kedar Business Center</t>
  </si>
  <si>
    <t>Kedar Heaven</t>
  </si>
  <si>
    <t>Kedar Heights</t>
  </si>
  <si>
    <t>Kedar Hills</t>
  </si>
  <si>
    <t>Kedar Homes</t>
  </si>
  <si>
    <t>Kedar Luxuria</t>
  </si>
  <si>
    <t>Kedar Valley</t>
  </si>
  <si>
    <t>Kelly La Maison</t>
  </si>
  <si>
    <t>Keshav Complex</t>
  </si>
  <si>
    <t>Keshav Heights</t>
  </si>
  <si>
    <t>Keshav Heritage</t>
  </si>
  <si>
    <t>Keshavam Valley</t>
  </si>
  <si>
    <t>Keystone Avenue</t>
  </si>
  <si>
    <t>Kgn Heaven</t>
  </si>
  <si>
    <t>Kiaan Residency</t>
  </si>
  <si>
    <t>Kinar Heights</t>
  </si>
  <si>
    <t>King Rose Villa</t>
  </si>
  <si>
    <t>Kingrose Villa - Ii</t>
  </si>
  <si>
    <t>Kingsley</t>
  </si>
  <si>
    <t>Kingston Villa</t>
  </si>
  <si>
    <t>Kingswood</t>
  </si>
  <si>
    <t>Kiran Avenue</t>
  </si>
  <si>
    <t>Kiran Business Hub</t>
  </si>
  <si>
    <t>Kiran Classic Towers 2</t>
  </si>
  <si>
    <t>Kiran Classic Towers 3</t>
  </si>
  <si>
    <t>Kiran Classic Villa</t>
  </si>
  <si>
    <t>Kiran Concord Towers</t>
  </si>
  <si>
    <t>Kiran Fortune Tower</t>
  </si>
  <si>
    <t>Kiran Pearl</t>
  </si>
  <si>
    <t>Kiran Rivera 2</t>
  </si>
  <si>
    <t>Kiran Rivera-1</t>
  </si>
  <si>
    <t>Kirtan Luxuria</t>
  </si>
  <si>
    <t>Kiyan Bungalows</t>
  </si>
  <si>
    <t>Kohinoor 2 Textile Plaza</t>
  </si>
  <si>
    <t>Korat Skynova</t>
  </si>
  <si>
    <t>Korat Skyraa</t>
  </si>
  <si>
    <t>Kpm Terra Prime</t>
  </si>
  <si>
    <t>Krish Lifestyle</t>
  </si>
  <si>
    <t>Krishna Avenue</t>
  </si>
  <si>
    <t>Krishna Bungalows</t>
  </si>
  <si>
    <t>Krishna Bunglows</t>
  </si>
  <si>
    <t>Krishna Park</t>
  </si>
  <si>
    <t>Krishna Park Society</t>
  </si>
  <si>
    <t>Krishna Residency</t>
  </si>
  <si>
    <t>Krishna Villa</t>
  </si>
  <si>
    <t>Krishnam</t>
  </si>
  <si>
    <t>Krupa Kunj Residency</t>
  </si>
  <si>
    <t>Krushna Bhumi Bunglows</t>
  </si>
  <si>
    <t>Krushna Kunj</t>
  </si>
  <si>
    <t>Ksb Olympia Phase B</t>
  </si>
  <si>
    <t>Ksb Trident</t>
  </si>
  <si>
    <t>Kumkum Residency</t>
  </si>
  <si>
    <t>Kunj Vihar</t>
  </si>
  <si>
    <t>Kunj Villa</t>
  </si>
  <si>
    <t>Kusum Hieghts</t>
  </si>
  <si>
    <t>Kyros Business Centre</t>
  </si>
  <si>
    <t>L'otus</t>
  </si>
  <si>
    <t>La Citadell</t>
  </si>
  <si>
    <t>La-helios</t>
  </si>
  <si>
    <t>La-victoria</t>
  </si>
  <si>
    <t>Laguna</t>
  </si>
  <si>
    <t>Lake City</t>
  </si>
  <si>
    <t>Lake View Heights</t>
  </si>
  <si>
    <t>Lake View Residency</t>
  </si>
  <si>
    <t>Laxmi Aster</t>
  </si>
  <si>
    <t>Laxmi Enclave 2</t>
  </si>
  <si>
    <t>Laxmi Heights</t>
  </si>
  <si>
    <t>Laxmi Homes</t>
  </si>
  <si>
    <t>Laxmi Market</t>
  </si>
  <si>
    <t>Laxmi Narayan</t>
  </si>
  <si>
    <t>Laxmi Nova</t>
  </si>
  <si>
    <t>Laxmi Ratan</t>
  </si>
  <si>
    <t>Laxmi Residency</t>
  </si>
  <si>
    <t>Laxmi Shikhar</t>
  </si>
  <si>
    <t>Laxmi Vardan</t>
  </si>
  <si>
    <t>Laxmimantra Heritage</t>
  </si>
  <si>
    <t>Laxminarayan Sky</t>
  </si>
  <si>
    <t>Leela Avenue</t>
  </si>
  <si>
    <t>Legend Textile Market</t>
  </si>
  <si>
    <t>Liberty Elegance</t>
  </si>
  <si>
    <t>Liberty Luxe</t>
  </si>
  <si>
    <t>Life Style &amp; Ultimate</t>
  </si>
  <si>
    <t>Lifeline</t>
  </si>
  <si>
    <t>Liviano Heights</t>
  </si>
  <si>
    <t>Lotus 24</t>
  </si>
  <si>
    <t>Lotus Heart</t>
  </si>
  <si>
    <t>Lotus Mall</t>
  </si>
  <si>
    <t>Lotus Valley</t>
  </si>
  <si>
    <t>Lotus Villa</t>
  </si>
  <si>
    <t>Loyadham Homes</t>
  </si>
  <si>
    <t>Luxuria Trade Hub</t>
  </si>
  <si>
    <t>M D Residency</t>
  </si>
  <si>
    <t>M N Square</t>
  </si>
  <si>
    <t>M Square</t>
  </si>
  <si>
    <t>Maa Gayatri Krupa Residency</t>
  </si>
  <si>
    <t>Maadhyam Business Hub</t>
  </si>
  <si>
    <t>Maansquare</t>
  </si>
  <si>
    <t>Maatrushree Bungalows</t>
  </si>
  <si>
    <t>Madhav Arista</t>
  </si>
  <si>
    <t>Madhav Crest</t>
  </si>
  <si>
    <t>Madhav Dreams</t>
  </si>
  <si>
    <t>Madhav Elegance</t>
  </si>
  <si>
    <t>Madhav Glory</t>
  </si>
  <si>
    <t>Madhav Heights</t>
  </si>
  <si>
    <t>Madhav Hills</t>
  </si>
  <si>
    <t>Madhav Hills Building Def</t>
  </si>
  <si>
    <t>Madhav Homes</t>
  </si>
  <si>
    <t>Madhav Opulence</t>
  </si>
  <si>
    <t>Madhav Platina</t>
  </si>
  <si>
    <t>Madhav Residency</t>
  </si>
  <si>
    <t>Madhav Villa</t>
  </si>
  <si>
    <t>Madhav Villa Block B, C, D, F</t>
  </si>
  <si>
    <t>Madhuram Arcade 2</t>
  </si>
  <si>
    <t>Madhuram Residency(building D&amp;f)</t>
  </si>
  <si>
    <t>Madhuram Villa</t>
  </si>
  <si>
    <t>Madhuvan Homes</t>
  </si>
  <si>
    <t>Mahan Residency</t>
  </si>
  <si>
    <t>Maharaja Unity</t>
  </si>
  <si>
    <t>Mahatma Gandhi Fruit Market</t>
  </si>
  <si>
    <t>Mahaveer Greens</t>
  </si>
  <si>
    <t>Mahaveer Heights</t>
  </si>
  <si>
    <t>Mahavir Residency</t>
  </si>
  <si>
    <t>Mahek Bunglows</t>
  </si>
  <si>
    <t>Mahek Icon</t>
  </si>
  <si>
    <t>Mahek It Park</t>
  </si>
  <si>
    <t>Mahek Residency</t>
  </si>
  <si>
    <t>Mahek Villa</t>
  </si>
  <si>
    <t>Mahel</t>
  </si>
  <si>
    <t>Mahi Residency</t>
  </si>
  <si>
    <t>Majestica</t>
  </si>
  <si>
    <t>Majoris</t>
  </si>
  <si>
    <t>Malabar Plus</t>
  </si>
  <si>
    <t>Malabar Sky</t>
  </si>
  <si>
    <t>Manasvi Business Center</t>
  </si>
  <si>
    <t>Manchester Market</t>
  </si>
  <si>
    <t>Mangal Maitry Residency</t>
  </si>
  <si>
    <t>Mangalam Bliss</t>
  </si>
  <si>
    <t>Mangalam Park Bldg-e</t>
  </si>
  <si>
    <t>Mangalam Residency</t>
  </si>
  <si>
    <t>Mani Villa</t>
  </si>
  <si>
    <t>Maniba Residency</t>
  </si>
  <si>
    <t>Manidhari Luxuria</t>
  </si>
  <si>
    <t>Maniratna Heights</t>
  </si>
  <si>
    <t>Manki Residency</t>
  </si>
  <si>
    <t>Mannat Villa</t>
  </si>
  <si>
    <t>Mantra Bunglows</t>
  </si>
  <si>
    <t>Mantra Business Park</t>
  </si>
  <si>
    <t>Mantra Dream Homes</t>
  </si>
  <si>
    <t>Mantra Homes</t>
  </si>
  <si>
    <t>Mantra It Center</t>
  </si>
  <si>
    <t>Mantra Luxuria</t>
  </si>
  <si>
    <t>Mantra River Wind</t>
  </si>
  <si>
    <t>Mantra Valley</t>
  </si>
  <si>
    <t>Mantra Villa</t>
  </si>
  <si>
    <t>Manvay Residency</t>
  </si>
  <si>
    <t>Maple White</t>
  </si>
  <si>
    <t>Marbella Willos</t>
  </si>
  <si>
    <t>Marigold Cresta</t>
  </si>
  <si>
    <t>Marion Residency</t>
  </si>
  <si>
    <t>Martand Hills</t>
  </si>
  <si>
    <t>Martand Satva</t>
  </si>
  <si>
    <t>Martand Shikhar</t>
  </si>
  <si>
    <t>Maruti Embro</t>
  </si>
  <si>
    <t>Maruti Luxuria</t>
  </si>
  <si>
    <t>Maruti Villa</t>
  </si>
  <si>
    <t>Marvel Heights</t>
  </si>
  <si>
    <t>Marvella Homes</t>
  </si>
  <si>
    <t>Marvella Dream-1</t>
  </si>
  <si>
    <t>Marvella Dream-2</t>
  </si>
  <si>
    <t>Marvella Residency</t>
  </si>
  <si>
    <t>Marvella Solitaire</t>
  </si>
  <si>
    <t>Matrushree Bungalows</t>
  </si>
  <si>
    <t>Md's Dream Landmark</t>
  </si>
  <si>
    <t>Meena Bazaar</t>
  </si>
  <si>
    <t>Meera Avenue</t>
  </si>
  <si>
    <t>Meera Heights</t>
  </si>
  <si>
    <t>Meera Homes</t>
  </si>
  <si>
    <t>Meera Park</t>
  </si>
  <si>
    <t>Meera Pearl</t>
  </si>
  <si>
    <t>Meera Platina</t>
  </si>
  <si>
    <t>Meera Row House</t>
  </si>
  <si>
    <t>Mega Royal</t>
  </si>
  <si>
    <t>Meridian Business Center</t>
  </si>
  <si>
    <t>Meridian Textile Center</t>
  </si>
  <si>
    <t>Meriton Plaza</t>
  </si>
  <si>
    <t>Milan Heights</t>
  </si>
  <si>
    <t>Milestone Euphoria</t>
  </si>
  <si>
    <t>Milestone Atlantis</t>
  </si>
  <si>
    <t>Milestone Elements</t>
  </si>
  <si>
    <t>Milestone Elitus</t>
  </si>
  <si>
    <t>Milestone Eternis</t>
  </si>
  <si>
    <t>Milestone Fiesta</t>
  </si>
  <si>
    <t>Milestone Indigo</t>
  </si>
  <si>
    <t>Milestone Niyaara</t>
  </si>
  <si>
    <t>Milestone Regalia</t>
  </si>
  <si>
    <t>Milestone Spiti</t>
  </si>
  <si>
    <t>Milestone Utsav</t>
  </si>
  <si>
    <t>Milestone Vibrant</t>
  </si>
  <si>
    <t>Millenium Residency</t>
  </si>
  <si>
    <t>Millennium Business Hub</t>
  </si>
  <si>
    <t>Millennium Business Hub -3</t>
  </si>
  <si>
    <t>Millennium Business Hub-2</t>
  </si>
  <si>
    <t>Millennium Park</t>
  </si>
  <si>
    <t>Millennium Textile Market - 4</t>
  </si>
  <si>
    <t>Millennium Textile Market 3</t>
  </si>
  <si>
    <t>Millionaire</t>
  </si>
  <si>
    <t>Millionaire's Lifestyle</t>
  </si>
  <si>
    <t>Missaki The Visitt</t>
  </si>
  <si>
    <t>Mithila Heaven</t>
  </si>
  <si>
    <t>Mithila Heights</t>
  </si>
  <si>
    <t>Mithila Hills</t>
  </si>
  <si>
    <t>Mithila Palace</t>
  </si>
  <si>
    <t>Mithila Sky</t>
  </si>
  <si>
    <t>Modestaa</t>
  </si>
  <si>
    <t>Momai Raj Park</t>
  </si>
  <si>
    <t>Monarch Residency</t>
  </si>
  <si>
    <t>Moon Residency</t>
  </si>
  <si>
    <t>Mulberry Bunglows</t>
  </si>
  <si>
    <t>Mulberry Heaven</t>
  </si>
  <si>
    <t>Mulberry Homes</t>
  </si>
  <si>
    <t>Murlee Lake City</t>
  </si>
  <si>
    <t>Murlidhar Heights</t>
  </si>
  <si>
    <t>Myron My Home</t>
  </si>
  <si>
    <t>Nakshatra Galaxia</t>
  </si>
  <si>
    <t>Nakshatra Nebula Phase-2</t>
  </si>
  <si>
    <t>Nakshatra Palace</t>
  </si>
  <si>
    <t>Nakshatra Residency</t>
  </si>
  <si>
    <t>Nand Heights</t>
  </si>
  <si>
    <t>Nand Villa</t>
  </si>
  <si>
    <t>Nature Valley</t>
  </si>
  <si>
    <t>Navkar Avenue</t>
  </si>
  <si>
    <t>Navkar Bastion</t>
  </si>
  <si>
    <t>Navkar Gardenia</t>
  </si>
  <si>
    <t>Navkar Heaven</t>
  </si>
  <si>
    <t>Navkar Heights</t>
  </si>
  <si>
    <t>Navtara At Gopin Gam</t>
  </si>
  <si>
    <t>Nawab Heritage</t>
  </si>
  <si>
    <t>Nc Empire</t>
  </si>
  <si>
    <t>Nemi Elements</t>
  </si>
  <si>
    <t>Nemi Eminent</t>
  </si>
  <si>
    <t>Nest Venezia</t>
  </si>
  <si>
    <t>Nexus</t>
  </si>
  <si>
    <t>Nexus Horizon</t>
  </si>
  <si>
    <t>Nidhi Textile Market</t>
  </si>
  <si>
    <t>Nidhivan</t>
  </si>
  <si>
    <t>Nilgiri Heights</t>
  </si>
  <si>
    <t>Nilkanth -2</t>
  </si>
  <si>
    <t>Nilkanth Avenue</t>
  </si>
  <si>
    <t>Nilkanth Bunglows</t>
  </si>
  <si>
    <t>Nilkanth Elegance</t>
  </si>
  <si>
    <t>Nilkanth Flora And Nilkanth Harmony</t>
  </si>
  <si>
    <t>Nilkanth Heaven</t>
  </si>
  <si>
    <t>Nilkanth Height</t>
  </si>
  <si>
    <t>Nilkanth Icon</t>
  </si>
  <si>
    <t>Nilkanth Imperia</t>
  </si>
  <si>
    <t>Nilkanth Industries</t>
  </si>
  <si>
    <t>Nilkanth Luxuria</t>
  </si>
  <si>
    <t>Nilkanth Pearl</t>
  </si>
  <si>
    <t>Nilkanth Residency</t>
  </si>
  <si>
    <t>Nilkanth Rivera</t>
  </si>
  <si>
    <t>Nilkanth Sky</t>
  </si>
  <si>
    <t>Nilkanth Sparsh</t>
  </si>
  <si>
    <t>Nilkanth Sun</t>
  </si>
  <si>
    <t>Nilkanth Varni</t>
  </si>
  <si>
    <t>Nilkanthdham Society</t>
  </si>
  <si>
    <t>Nirant Home</t>
  </si>
  <si>
    <t>Nirvana At Gopin Gam</t>
  </si>
  <si>
    <t>Nirvana Liberty</t>
  </si>
  <si>
    <t>Nirvana Shoppers</t>
  </si>
  <si>
    <t>Nityanta</t>
  </si>
  <si>
    <t>Northern Infinity</t>
  </si>
  <si>
    <t>Northern Skyline</t>
  </si>
  <si>
    <t>Nova Galaxy</t>
  </si>
  <si>
    <t>Nova Shantinath</t>
  </si>
  <si>
    <t>Nova Shikharji</t>
  </si>
  <si>
    <t>Nova Shitalnath</t>
  </si>
  <si>
    <t>Ntt- 2</t>
  </si>
  <si>
    <t>Oasis Business Hub</t>
  </si>
  <si>
    <t>Oberon</t>
  </si>
  <si>
    <t>Oberon - The Business Hub</t>
  </si>
  <si>
    <t>Ocean Avenue</t>
  </si>
  <si>
    <t>Ocean Drive ( Tower B &amp; C )</t>
  </si>
  <si>
    <t>Oculus Residency</t>
  </si>
  <si>
    <t>Ofira Business Hub</t>
  </si>
  <si>
    <t>Ofira Parshwanath</t>
  </si>
  <si>
    <t>Ofira Peak</t>
  </si>
  <si>
    <t>Ofira Posh</t>
  </si>
  <si>
    <t>Ofira Prestige</t>
  </si>
  <si>
    <t>Ofira Siesta</t>
  </si>
  <si>
    <t>Ofira Textile Hub</t>
  </si>
  <si>
    <t>Oliva Breeze</t>
  </si>
  <si>
    <t>Oliva Heights</t>
  </si>
  <si>
    <t>Oliva Pride</t>
  </si>
  <si>
    <t>Olympia</t>
  </si>
  <si>
    <t>Om Arcade</t>
  </si>
  <si>
    <t>Om Avenue</t>
  </si>
  <si>
    <t>Om Heritage Villa</t>
  </si>
  <si>
    <t>Om Palace</t>
  </si>
  <si>
    <t>Om Residency</t>
  </si>
  <si>
    <t>Om Riviera</t>
  </si>
  <si>
    <t>Om Shashwat</t>
  </si>
  <si>
    <t>Om Shiv Industrial Park</t>
  </si>
  <si>
    <t>Om Solitaire</t>
  </si>
  <si>
    <t>Om Trade Center</t>
  </si>
  <si>
    <t>Om Vastu</t>
  </si>
  <si>
    <t>Om Vastu (building - A)</t>
  </si>
  <si>
    <t>Om Villa</t>
  </si>
  <si>
    <t>Omakar Heights</t>
  </si>
  <si>
    <t>Omkar Avenue</t>
  </si>
  <si>
    <t>Omkar Eco Park</t>
  </si>
  <si>
    <t>Omkar Heaven</t>
  </si>
  <si>
    <t>Omkar Homes</t>
  </si>
  <si>
    <t>Omkar Plaza</t>
  </si>
  <si>
    <t>Omkar Residency</t>
  </si>
  <si>
    <t>Omkar Splendoraa</t>
  </si>
  <si>
    <t>One Tapi</t>
  </si>
  <si>
    <t>Opera Business Hub</t>
  </si>
  <si>
    <t>Opera Crytsal</t>
  </si>
  <si>
    <t>Opera Heights</t>
  </si>
  <si>
    <t>Opera Palace</t>
  </si>
  <si>
    <t>Opera Palm</t>
  </si>
  <si>
    <t>Opera Prince</t>
  </si>
  <si>
    <t>Opera Royal</t>
  </si>
  <si>
    <t>Optima Tower</t>
  </si>
  <si>
    <t>Opulent Bungalows</t>
  </si>
  <si>
    <t>Orange Bungalow</t>
  </si>
  <si>
    <t>Orange Business Park</t>
  </si>
  <si>
    <t>Orange Embroidery Park</t>
  </si>
  <si>
    <t>Orange Park 1</t>
  </si>
  <si>
    <t>Orange Park 2</t>
  </si>
  <si>
    <t>Orange Sky</t>
  </si>
  <si>
    <t>Orange Villa</t>
  </si>
  <si>
    <t>Orbit 1</t>
  </si>
  <si>
    <t>Orbit 3</t>
  </si>
  <si>
    <t>Orbit 4</t>
  </si>
  <si>
    <t>Orbit 5</t>
  </si>
  <si>
    <t>Orbit Plaza</t>
  </si>
  <si>
    <t>Orchid Blossom</t>
  </si>
  <si>
    <t>Orchid Elite</t>
  </si>
  <si>
    <t>Orchid Fantasia</t>
  </si>
  <si>
    <t>Orchid Gardenia</t>
  </si>
  <si>
    <t>Orchid Harmony</t>
  </si>
  <si>
    <t>Orchid Harmony Commercial</t>
  </si>
  <si>
    <t>Orchid Homes</t>
  </si>
  <si>
    <t>Orchid Hub</t>
  </si>
  <si>
    <t>Orchid Infinity</t>
  </si>
  <si>
    <t>Orchid Vivanta</t>
  </si>
  <si>
    <t>Oren Villa</t>
  </si>
  <si>
    <t>Orenge Residency</t>
  </si>
  <si>
    <t>Oriana Residency</t>
  </si>
  <si>
    <t>Ornate Evita</t>
  </si>
  <si>
    <t>Oxygen House</t>
  </si>
  <si>
    <t>Ozone Sky</t>
  </si>
  <si>
    <t>P Building Green Valley (manglam Park)</t>
  </si>
  <si>
    <t>Paccific Solitaire</t>
  </si>
  <si>
    <t>Paccific Stellar</t>
  </si>
  <si>
    <t>Palia Lifestyle 1</t>
  </si>
  <si>
    <t>Palladium Pride</t>
  </si>
  <si>
    <t>Palladium Residency</t>
  </si>
  <si>
    <t>Palladium Sky</t>
  </si>
  <si>
    <t>Palm Excellencia</t>
  </si>
  <si>
    <t>Palm Heaven</t>
  </si>
  <si>
    <t>Palm Rivera</t>
  </si>
  <si>
    <t>Palm Rivera Heights Divine</t>
  </si>
  <si>
    <t>Panchjanya Villa</t>
  </si>
  <si>
    <t>Panchshila Sky</t>
  </si>
  <si>
    <t>Paradise Pride</t>
  </si>
  <si>
    <t>Param Anand</t>
  </si>
  <si>
    <t>Param Elina</t>
  </si>
  <si>
    <t>Param Elite</t>
  </si>
  <si>
    <t>Param Sky</t>
  </si>
  <si>
    <t>Param Square</t>
  </si>
  <si>
    <t>Parekh Industrial Estate</t>
  </si>
  <si>
    <t>Parishram Bunglow</t>
  </si>
  <si>
    <t>Parishram Park (b1 &amp; B2)</t>
  </si>
  <si>
    <t>Parivaar Bunglows</t>
  </si>
  <si>
    <t>Park Avenue</t>
  </si>
  <si>
    <t>Park View</t>
  </si>
  <si>
    <t>Parle Square</t>
  </si>
  <si>
    <t>Parth Bunglows</t>
  </si>
  <si>
    <t>Pavilion Plaza</t>
  </si>
  <si>
    <t>Pavillion Plaza</t>
  </si>
  <si>
    <t>Pavitra Bungalows</t>
  </si>
  <si>
    <t>Pavitra Residency</t>
  </si>
  <si>
    <t>Pavitraa Point</t>
  </si>
  <si>
    <t>Pavitram Liberty</t>
  </si>
  <si>
    <t>Peak Living</t>
  </si>
  <si>
    <t>Pearl City - 3</t>
  </si>
  <si>
    <t>Penttagon</t>
  </si>
  <si>
    <t>Perish Bungalows</t>
  </si>
  <si>
    <t>Phoenix Avenue</t>
  </si>
  <si>
    <t>Phoenix Towers-phase-2</t>
  </si>
  <si>
    <t>Pioneer Belina</t>
  </si>
  <si>
    <t>Pioneer Dreams</t>
  </si>
  <si>
    <t>Pioneer Gm Heaven</t>
  </si>
  <si>
    <t>Pioneer Luxury</t>
  </si>
  <si>
    <t>Pioneer Viona</t>
  </si>
  <si>
    <t>Pira Bungalow</t>
  </si>
  <si>
    <t>Piramyd Icon</t>
  </si>
  <si>
    <t>Piramyd Palacia</t>
  </si>
  <si>
    <t>Piramyd Platina</t>
  </si>
  <si>
    <t>Piramyd Serenity</t>
  </si>
  <si>
    <t>Plam Jumeirah</t>
  </si>
  <si>
    <t>Pluto Multiplex And Business Center</t>
  </si>
  <si>
    <t>Polaris</t>
  </si>
  <si>
    <t>Poonyabhumi - A,b,c,f</t>
  </si>
  <si>
    <t>Prabhuta Avenue</t>
  </si>
  <si>
    <t>Pragati Arcelia</t>
  </si>
  <si>
    <t>Pragati Bunglows</t>
  </si>
  <si>
    <t>Pragati Celestia</t>
  </si>
  <si>
    <t>Pragati Dreams</t>
  </si>
  <si>
    <t>Pragati Elite</t>
  </si>
  <si>
    <t>Pragati Empire It Park</t>
  </si>
  <si>
    <t>Pragati Heritage</t>
  </si>
  <si>
    <t>Pragati Homes</t>
  </si>
  <si>
    <t>Pragati Industrial Park</t>
  </si>
  <si>
    <t>Pragati Inspire</t>
  </si>
  <si>
    <t>Pragati It World</t>
  </si>
  <si>
    <t>Pragati Paradise</t>
  </si>
  <si>
    <t>Pragati Texpa</t>
  </si>
  <si>
    <t>Pragati Villa</t>
  </si>
  <si>
    <t>Pramukh Aranya(building B-2 &amp; B-3)</t>
  </si>
  <si>
    <t>Pramukh Avenue</t>
  </si>
  <si>
    <t>Pramukh Crest</t>
  </si>
  <si>
    <t>Pramukh Exotica</t>
  </si>
  <si>
    <t>Pramukh Heights</t>
  </si>
  <si>
    <t>Pramukh Landmark</t>
  </si>
  <si>
    <t>Pramukh Orbit-2</t>
  </si>
  <si>
    <t>Pramukh Shanti</t>
  </si>
  <si>
    <t>Pramukh Yog Sub Plot 1</t>
  </si>
  <si>
    <t>Pramukh Yog, Sub Plot - 2</t>
  </si>
  <si>
    <t>Pranav Business Point</t>
  </si>
  <si>
    <t>Pratham Avencia</t>
  </si>
  <si>
    <t>Pratham Avenue</t>
  </si>
  <si>
    <t>Pratham Bunglows</t>
  </si>
  <si>
    <t>Pratham Ganesa</t>
  </si>
  <si>
    <t>Pratishtha Bunglows</t>
  </si>
  <si>
    <t>Pratishtha Classic</t>
  </si>
  <si>
    <t>Pratishtha Heights</t>
  </si>
  <si>
    <t>Pratishtha Hills</t>
  </si>
  <si>
    <t>Pratishtha Homes</t>
  </si>
  <si>
    <t>Pratishtha Luxuria</t>
  </si>
  <si>
    <t>Pratishtha Palm</t>
  </si>
  <si>
    <t>Pratishtha Trade Center</t>
  </si>
  <si>
    <t>Prayosha Bliss</t>
  </si>
  <si>
    <t>Prayosha Classic</t>
  </si>
  <si>
    <t>Prayosha Crown</t>
  </si>
  <si>
    <t>Prayosha Dream</t>
  </si>
  <si>
    <t>Prayosha Earth</t>
  </si>
  <si>
    <t>Prayosha Elite</t>
  </si>
  <si>
    <t>Prayosha Exotica</t>
  </si>
  <si>
    <t>Prayosha Gold</t>
  </si>
  <si>
    <t>Prayosha Home</t>
  </si>
  <si>
    <t>Prayosha Impress</t>
  </si>
  <si>
    <t>Prayosha Jewel</t>
  </si>
  <si>
    <t>Prayosha Orchid</t>
  </si>
  <si>
    <t>Prayosha Park</t>
  </si>
  <si>
    <t>Prayosha Pride</t>
  </si>
  <si>
    <t>Prayosha Prime</t>
  </si>
  <si>
    <t>Prayosha Shine</t>
  </si>
  <si>
    <t>Prayosha Star</t>
  </si>
  <si>
    <t>Prayosha Vista</t>
  </si>
  <si>
    <t>Prayosha World</t>
  </si>
  <si>
    <t>Prestige Milaar</t>
  </si>
  <si>
    <t>Prestige Mirana</t>
  </si>
  <si>
    <t>Prestige Moneta</t>
  </si>
  <si>
    <t>Prestige Morar</t>
  </si>
  <si>
    <t>Prestige Revanta</t>
  </si>
  <si>
    <t>Prestige Riona</t>
  </si>
  <si>
    <t>Prime Arcade</t>
  </si>
  <si>
    <t>Prince Avenue</t>
  </si>
  <si>
    <t>Prince Elegance</t>
  </si>
  <si>
    <t>Prince Elysium</t>
  </si>
  <si>
    <t>Prince Flora</t>
  </si>
  <si>
    <t>Prince Heaven</t>
  </si>
  <si>
    <t>Prince Heritage</t>
  </si>
  <si>
    <t>Prince Palace</t>
  </si>
  <si>
    <t>Prince Rivera</t>
  </si>
  <si>
    <t>Princess Bunglows</t>
  </si>
  <si>
    <t>Princess Skyline</t>
  </si>
  <si>
    <t>Prism Luxuria</t>
  </si>
  <si>
    <t>Pristine</t>
  </si>
  <si>
    <t>Prithvi Homes</t>
  </si>
  <si>
    <t>Prithviraj Residency</t>
  </si>
  <si>
    <t>Priyank Avenue</t>
  </si>
  <si>
    <t>Pujan Embro Park-2</t>
  </si>
  <si>
    <t>Pujan Embro Park</t>
  </si>
  <si>
    <t>Pulse House</t>
  </si>
  <si>
    <t>Pushkar Heights</t>
  </si>
  <si>
    <t>Pushkar Hill</t>
  </si>
  <si>
    <t>Pushp Vatika Residency</t>
  </si>
  <si>
    <t>Raajmahal Ac Mall</t>
  </si>
  <si>
    <t>Raajmahal Mall</t>
  </si>
  <si>
    <t>Radha Kishan Residency</t>
  </si>
  <si>
    <t>Radha Madhav Textile Market</t>
  </si>
  <si>
    <t>Radha Raman Textile Market Phase 2</t>
  </si>
  <si>
    <t>Radha Raman Textile Market Phase-1</t>
  </si>
  <si>
    <t>Radha Rani Embro Park</t>
  </si>
  <si>
    <t>Radhe Krishna Residency</t>
  </si>
  <si>
    <t>Radhe Krishna Home</t>
  </si>
  <si>
    <t>Radhekrishna Residency</t>
  </si>
  <si>
    <t>Radhey Bunglows</t>
  </si>
  <si>
    <t>Radhika Homes</t>
  </si>
  <si>
    <t>Radhika Residency &amp; Point</t>
  </si>
  <si>
    <t>Raghav Bungalows</t>
  </si>
  <si>
    <t>Raghuvir Celeum Center</t>
  </si>
  <si>
    <t>Raghuvir Platinum</t>
  </si>
  <si>
    <t>Raghuvir Satva</t>
  </si>
  <si>
    <t>Raghuvir Scarlett</t>
  </si>
  <si>
    <t>Raghuvir Shell</t>
  </si>
  <si>
    <t>Raghuvir Sheron</t>
  </si>
  <si>
    <t>Raghuvir Sierra</t>
  </si>
  <si>
    <t>Raghuvir Silverstone</t>
  </si>
  <si>
    <t>Raghuvir Spalex</t>
  </si>
  <si>
    <t>Raghuvir Spectrum</t>
  </si>
  <si>
    <t>Raghuvir Spelito</t>
  </si>
  <si>
    <t>Raghuvir Steffon</t>
  </si>
  <si>
    <t>Raghuvir Trade Center</t>
  </si>
  <si>
    <t>Rahi Dream Villa</t>
  </si>
  <si>
    <t>Rahi Marvellous Villa</t>
  </si>
  <si>
    <t>Raihan Heights</t>
  </si>
  <si>
    <t>Raj Harmony</t>
  </si>
  <si>
    <t>Raj Mandir Residency</t>
  </si>
  <si>
    <t>Raj Dream</t>
  </si>
  <si>
    <t>Raj Enclave Phase-i</t>
  </si>
  <si>
    <t>Raj Heritage Phase-2</t>
  </si>
  <si>
    <t>Raj Heritage Phase-i (g &amp; H &amp; I &amp; J)</t>
  </si>
  <si>
    <t>Raj Icon</t>
  </si>
  <si>
    <t>Raj Imperia</t>
  </si>
  <si>
    <t>Raj Luxuria</t>
  </si>
  <si>
    <t>Raj Mahel</t>
  </si>
  <si>
    <t>Raj Palace</t>
  </si>
  <si>
    <t>Raj Shailee</t>
  </si>
  <si>
    <t>Raj Shailee - 2</t>
  </si>
  <si>
    <t>Raj Shree Residency</t>
  </si>
  <si>
    <t>Raj Textile Centre</t>
  </si>
  <si>
    <t>Raj Textile Market</t>
  </si>
  <si>
    <t>Raj Textile Tower</t>
  </si>
  <si>
    <t>Raj Textile World</t>
  </si>
  <si>
    <t>Raj Victoria</t>
  </si>
  <si>
    <t>Raj Village</t>
  </si>
  <si>
    <t>Rajhans Altezza</t>
  </si>
  <si>
    <t>Rajhans Aron</t>
  </si>
  <si>
    <t>Rajhans Blue Cloud</t>
  </si>
  <si>
    <t>Rajhans Business Hub</t>
  </si>
  <si>
    <t>Rajhans Corazo</t>
  </si>
  <si>
    <t>Rajhans Cornello A</t>
  </si>
  <si>
    <t>Rajhans Cornello B</t>
  </si>
  <si>
    <t>Rajhans Cremona</t>
  </si>
  <si>
    <t>Rajhans Creston</t>
  </si>
  <si>
    <t>Rajhans Eronzza</t>
  </si>
  <si>
    <t>Rajhans Fabrizo</t>
  </si>
  <si>
    <t>Rajhans Flamingo</t>
  </si>
  <si>
    <t>Rajhans Golf Link</t>
  </si>
  <si>
    <t>Rajhans Grandezza</t>
  </si>
  <si>
    <t>Rajhans Imperia</t>
  </si>
  <si>
    <t>Rajhans Kronis</t>
  </si>
  <si>
    <t>Rajhans Maxton</t>
  </si>
  <si>
    <t>Rajhans Medicrest</t>
  </si>
  <si>
    <t>Rajhans Motessa</t>
  </si>
  <si>
    <t>Rajhans Platinum Residency</t>
  </si>
  <si>
    <t>Rajhans Relife</t>
  </si>
  <si>
    <t>Rajhans Royalton</t>
  </si>
  <si>
    <t>Rajhans Silvana</t>
  </si>
  <si>
    <t>Rajhans Skylar</t>
  </si>
  <si>
    <t>Rajhans Stadium Plaza &amp; Residency</t>
  </si>
  <si>
    <t>Rajhans Synfonia</t>
  </si>
  <si>
    <t>Rajhans Textile Market</t>
  </si>
  <si>
    <t>Rajhans Transport Nagar Phase-1</t>
  </si>
  <si>
    <t>Rajhans Transport Nagar Phase-2</t>
  </si>
  <si>
    <t>Rajhans Transport Nagar Phase-3</t>
  </si>
  <si>
    <t>Rajhans Trionzza</t>
  </si>
  <si>
    <t>Rajhans Unica</t>
  </si>
  <si>
    <t>Rajhans Zorista</t>
  </si>
  <si>
    <t>Rajmandir Residency</t>
  </si>
  <si>
    <t>Rajnidhi Residency</t>
  </si>
  <si>
    <t>Rajshree City Centre</t>
  </si>
  <si>
    <t>Rajshree Shoppers (a-building)</t>
  </si>
  <si>
    <t>Rajvansh Villa</t>
  </si>
  <si>
    <t>Rajvi Shopping</t>
  </si>
  <si>
    <t>Ram Ratan</t>
  </si>
  <si>
    <t>Ram Setu Heights</t>
  </si>
  <si>
    <t>Ramaa Residency</t>
  </si>
  <si>
    <t>Rameshwar Bungalow</t>
  </si>
  <si>
    <t>Rameshwar Heaven</t>
  </si>
  <si>
    <t>Rameshwar Homes</t>
  </si>
  <si>
    <t>Rameshwar Luxuria</t>
  </si>
  <si>
    <t>Rameshwar Residency</t>
  </si>
  <si>
    <t>Rameshwaram Bungalow</t>
  </si>
  <si>
    <t>Rameshwaram Ivaan Phase-ii</t>
  </si>
  <si>
    <t>Rameshwaram Devbhoomi</t>
  </si>
  <si>
    <t>Rameshwaram Hills</t>
  </si>
  <si>
    <t>Rameshwaram Ivaan Phase-i</t>
  </si>
  <si>
    <t>Rameshwaram Keshav Heights</t>
  </si>
  <si>
    <t>Rameshwaram Regency</t>
  </si>
  <si>
    <t>Ramji Residency</t>
  </si>
  <si>
    <t>Ramkunj Icon</t>
  </si>
  <si>
    <t>Rang Raag Residency</t>
  </si>
  <si>
    <t>Rangila Park</t>
  </si>
  <si>
    <t>Ratan Luxuria</t>
  </si>
  <si>
    <t>Reegus Business Centre</t>
  </si>
  <si>
    <t>Reeva Icon</t>
  </si>
  <si>
    <t>Regency Heights</t>
  </si>
  <si>
    <t>Regent Plaza</t>
  </si>
  <si>
    <t>Revanta</t>
  </si>
  <si>
    <t>Rexona</t>
  </si>
  <si>
    <t>Rhythm House</t>
  </si>
  <si>
    <t>Rhythm Residency - H Wing</t>
  </si>
  <si>
    <t>Riddhi Siddhi Residency</t>
  </si>
  <si>
    <t>Riga Street</t>
  </si>
  <si>
    <t>Rio Business Hub</t>
  </si>
  <si>
    <t>Rio Luxuria</t>
  </si>
  <si>
    <t>Riona</t>
  </si>
  <si>
    <t>Rituraj Prosperaa</t>
  </si>
  <si>
    <t>Rivaa Industrial Park</t>
  </si>
  <si>
    <t>Rivanta Garden City</t>
  </si>
  <si>
    <t>Rivanta Heritage</t>
  </si>
  <si>
    <t>Rivanta Iconic</t>
  </si>
  <si>
    <t>Rivanta Luxuria</t>
  </si>
  <si>
    <t>Rivanta River View</t>
  </si>
  <si>
    <t>Rivanta Square</t>
  </si>
  <si>
    <t>Rivanta Varni</t>
  </si>
  <si>
    <t>River Front Tower</t>
  </si>
  <si>
    <t>River Heaven</t>
  </si>
  <si>
    <t>River Heights</t>
  </si>
  <si>
    <t>River Pentasky</t>
  </si>
  <si>
    <t>River Ratan</t>
  </si>
  <si>
    <t>River Scape</t>
  </si>
  <si>
    <t>River Side Tower</t>
  </si>
  <si>
    <t>River Villa</t>
  </si>
  <si>
    <t>River Vista</t>
  </si>
  <si>
    <t>Rivera Dreams</t>
  </si>
  <si>
    <t>Rivera Luxuria</t>
  </si>
  <si>
    <t>Rivera The Atlantis Phase-1</t>
  </si>
  <si>
    <t>Riverview Heights (phase -ii)</t>
  </si>
  <si>
    <t>Riverview Heights C</t>
  </si>
  <si>
    <t>Riverview Heights D</t>
  </si>
  <si>
    <t>Riverview Heights F</t>
  </si>
  <si>
    <t>Rivoli Heights</t>
  </si>
  <si>
    <t>Riya Bunglows</t>
  </si>
  <si>
    <t>Rize</t>
  </si>
  <si>
    <t>Rng Avenue</t>
  </si>
  <si>
    <t>Rng Skyworld</t>
  </si>
  <si>
    <t>Rock Filler Center</t>
  </si>
  <si>
    <t>Roland Towers</t>
  </si>
  <si>
    <t>Rolex Tower</t>
  </si>
  <si>
    <t>Roongta Green Homes</t>
  </si>
  <si>
    <t>Roongta Signature</t>
  </si>
  <si>
    <t>Roscoe</t>
  </si>
  <si>
    <t>Roseberry Woods</t>
  </si>
  <si>
    <t>Rosewood</t>
  </si>
  <si>
    <t>Royal Greens</t>
  </si>
  <si>
    <t>Royal Heaven</t>
  </si>
  <si>
    <t>Royal Hills</t>
  </si>
  <si>
    <t>Royal Homes</t>
  </si>
  <si>
    <t>Royal House</t>
  </si>
  <si>
    <t>Royal Nest</t>
  </si>
  <si>
    <t>Royal Oasis Bunglows</t>
  </si>
  <si>
    <t>Royal Orchid</t>
  </si>
  <si>
    <t>Royal Palace</t>
  </si>
  <si>
    <t>Royal Park</t>
  </si>
  <si>
    <t>Royal Pratishtha</t>
  </si>
  <si>
    <t>Royal Residency</t>
  </si>
  <si>
    <t>Royal Square</t>
  </si>
  <si>
    <t>Royal Textile Market</t>
  </si>
  <si>
    <t>Royal Titanium</t>
  </si>
  <si>
    <t>Rudra Arista</t>
  </si>
  <si>
    <t>Rudra Bungalows</t>
  </si>
  <si>
    <t>Rudra Imperia</t>
  </si>
  <si>
    <t>Rudra Palace</t>
  </si>
  <si>
    <t>Rudra Residency</t>
  </si>
  <si>
    <t>Rudra Villa</t>
  </si>
  <si>
    <t>Rudraa Homes</t>
  </si>
  <si>
    <t>Rudraa Residency</t>
  </si>
  <si>
    <t>Rudraksha Residency</t>
  </si>
  <si>
    <t>Rudransh Heights</t>
  </si>
  <si>
    <t>Rudransh Homes</t>
  </si>
  <si>
    <t>Rupak Flats</t>
  </si>
  <si>
    <t>Rushi Home</t>
  </si>
  <si>
    <t>Rushikesh Enclave</t>
  </si>
  <si>
    <t>Ruturaj Residency</t>
  </si>
  <si>
    <t>Saanvi Heights</t>
  </si>
  <si>
    <t>Safari Park</t>
  </si>
  <si>
    <t>Saffron</t>
  </si>
  <si>
    <t>Saffron Luxuria</t>
  </si>
  <si>
    <t>Saffron Sky</t>
  </si>
  <si>
    <t>Saffron Valley</t>
  </si>
  <si>
    <t>Sahaj Bunglows</t>
  </si>
  <si>
    <t>Sahaj Icon</t>
  </si>
  <si>
    <t>Sahaj Panoramic</t>
  </si>
  <si>
    <t>Sahaj Park-2</t>
  </si>
  <si>
    <t>Sahajanand Hills</t>
  </si>
  <si>
    <t>Sahajanand Hub</t>
  </si>
  <si>
    <t>Sahajanand Luxuria</t>
  </si>
  <si>
    <t>Sahajanand Square ( H H Enterprise)</t>
  </si>
  <si>
    <t>Sahajanand Viha</t>
  </si>
  <si>
    <t>Sahitya Bunglows</t>
  </si>
  <si>
    <t>Sahjanand Business Hub</t>
  </si>
  <si>
    <t>Sahjanand Harmony</t>
  </si>
  <si>
    <t>Sahjanand Prasth - By Sidhdheshwar Corporation</t>
  </si>
  <si>
    <t>Sahjanand Residency</t>
  </si>
  <si>
    <t>Sai Kg Heights</t>
  </si>
  <si>
    <t>Sai Aangan</t>
  </si>
  <si>
    <t>Sai Aashish Paradise</t>
  </si>
  <si>
    <t>Sai Altamount</t>
  </si>
  <si>
    <t>Sai Ashish Trade Center</t>
  </si>
  <si>
    <t>Sai Dipak Residency</t>
  </si>
  <si>
    <t>Sai Drashti Residency</t>
  </si>
  <si>
    <t>Sai Enclave</t>
  </si>
  <si>
    <t>Sai Garden Residency</t>
  </si>
  <si>
    <t>Sai Light</t>
  </si>
  <si>
    <t>Sai Luxuria</t>
  </si>
  <si>
    <t>Sai Milaap Residency And Shoppers</t>
  </si>
  <si>
    <t>Sai Mohan Flats</t>
  </si>
  <si>
    <t>Sai Niyanta</t>
  </si>
  <si>
    <t>Sai Palace (building F,g)</t>
  </si>
  <si>
    <t>Sai Parisar</t>
  </si>
  <si>
    <t>Sai Platina</t>
  </si>
  <si>
    <t>Sai Pujan Residency</t>
  </si>
  <si>
    <t>Sai Ram Residency A Tower</t>
  </si>
  <si>
    <t>Sai Ram Residency B Tower</t>
  </si>
  <si>
    <t>Sai Residency</t>
  </si>
  <si>
    <t>Sai Shrushti Residency-2</t>
  </si>
  <si>
    <t>Sai Siddhi</t>
  </si>
  <si>
    <t>Sai Techno Park</t>
  </si>
  <si>
    <t>Sai Upavan</t>
  </si>
  <si>
    <t>Sai Vihar Residency</t>
  </si>
  <si>
    <t>Sai Villa</t>
  </si>
  <si>
    <t>Sai-vittorio</t>
  </si>
  <si>
    <t>Sairam Homes</t>
  </si>
  <si>
    <t>Saket Textile Market</t>
  </si>
  <si>
    <t>Salasar Icon</t>
  </si>
  <si>
    <t>Salasar Textile Market</t>
  </si>
  <si>
    <t>Samarpan Heights</t>
  </si>
  <si>
    <t>Samarpan Palace</t>
  </si>
  <si>
    <t>Samarpan Paradise</t>
  </si>
  <si>
    <t>Samarth Sapphire</t>
  </si>
  <si>
    <t>Samarth Srushti</t>
  </si>
  <si>
    <t>Samarthya Bella Vista</t>
  </si>
  <si>
    <t>Samarthya Empire</t>
  </si>
  <si>
    <t>Samarthya Enorme</t>
  </si>
  <si>
    <t>Samarthya Excellence</t>
  </si>
  <si>
    <t>Samarthya Heights</t>
  </si>
  <si>
    <t>Samarthya North Ville</t>
  </si>
  <si>
    <t>Samarthya Villa</t>
  </si>
  <si>
    <t>Samor Residency</t>
  </si>
  <si>
    <t>Samprati Palace</t>
  </si>
  <si>
    <t>Sampriti</t>
  </si>
  <si>
    <t>Sampriti Bungalows</t>
  </si>
  <si>
    <t>Sampriti Homes</t>
  </si>
  <si>
    <t>Samrat Skyline</t>
  </si>
  <si>
    <t>Sanctum Homes</t>
  </si>
  <si>
    <t>Sanctum Palacio</t>
  </si>
  <si>
    <t>Sangam Heights</t>
  </si>
  <si>
    <t>Sangath Homes</t>
  </si>
  <si>
    <t>Sangath Lifestyle</t>
  </si>
  <si>
    <t>Sangath Livings</t>
  </si>
  <si>
    <t>Sangath Luxuria</t>
  </si>
  <si>
    <t>Sangini Arise</t>
  </si>
  <si>
    <t>Sangini Aspire</t>
  </si>
  <si>
    <t>Sangini Aura</t>
  </si>
  <si>
    <t>Sangini Edge</t>
  </si>
  <si>
    <t>Sangini Emperia</t>
  </si>
  <si>
    <t>Sangini Epitome</t>
  </si>
  <si>
    <t>Sangini Evoq</t>
  </si>
  <si>
    <t>Sangini Lakeville</t>
  </si>
  <si>
    <t>Sangini Magnus</t>
  </si>
  <si>
    <t>Sangini Nirvana</t>
  </si>
  <si>
    <t>Sangini Sakar</t>
  </si>
  <si>
    <t>Sangini Shivanta</t>
  </si>
  <si>
    <t>Sangini Siddhanta</t>
  </si>
  <si>
    <t>Sangini Skyteria</t>
  </si>
  <si>
    <t>Sangini Swaraj</t>
  </si>
  <si>
    <t>Sangini Terraza</t>
  </si>
  <si>
    <t>Sangini Textile Avenue</t>
  </si>
  <si>
    <t>Sangini Textile Hub A</t>
  </si>
  <si>
    <t>Sangini Textile Hub B</t>
  </si>
  <si>
    <t>Sangini Trade Centre</t>
  </si>
  <si>
    <t>Sangini Vedanta</t>
  </si>
  <si>
    <t>Sangini Westview</t>
  </si>
  <si>
    <t>Sanidhya Vllla</t>
  </si>
  <si>
    <t>Sankalp City</t>
  </si>
  <si>
    <t>Sankalp Heights</t>
  </si>
  <si>
    <t>Sankalp Pride</t>
  </si>
  <si>
    <t>Sankalp Residency</t>
  </si>
  <si>
    <t>Sankalp Shivanta</t>
  </si>
  <si>
    <t>Sanskruti Ac Market</t>
  </si>
  <si>
    <t>Sanskruti Residency</t>
  </si>
  <si>
    <t>Sant Darshan Green</t>
  </si>
  <si>
    <t>Santok Park</t>
  </si>
  <si>
    <t>Santok Valley</t>
  </si>
  <si>
    <t>Santorini</t>
  </si>
  <si>
    <t>Santorini Seven</t>
  </si>
  <si>
    <t>Santvan Excella</t>
  </si>
  <si>
    <t>Santvan Kreon</t>
  </si>
  <si>
    <t>Santvan Lexon</t>
  </si>
  <si>
    <t>Santvan Newon</t>
  </si>
  <si>
    <t>Santvan Rizon</t>
  </si>
  <si>
    <t>Santvan Seron</t>
  </si>
  <si>
    <t>Santvan Skyon</t>
  </si>
  <si>
    <t>Sapna Heaven</t>
  </si>
  <si>
    <t>Sapphire 8</t>
  </si>
  <si>
    <t>Saral Green Vally</t>
  </si>
  <si>
    <t>Saral Heights</t>
  </si>
  <si>
    <t>Saral Srushti</t>
  </si>
  <si>
    <t>Sarang Sky</t>
  </si>
  <si>
    <t>Sarjan Heights</t>
  </si>
  <si>
    <t>Sarjan Luxuria</t>
  </si>
  <si>
    <t>Sarjan Palace</t>
  </si>
  <si>
    <t>Sarthana Business Hub</t>
  </si>
  <si>
    <t>Sarthi Avenue</t>
  </si>
  <si>
    <t>Sarthi Heights</t>
  </si>
  <si>
    <t>Sarthi Homes</t>
  </si>
  <si>
    <t>Sarthi Sky Residency</t>
  </si>
  <si>
    <t>Sarthi Square</t>
  </si>
  <si>
    <t>Sarvatra Heights</t>
  </si>
  <si>
    <t>Sarvbhoomi Bungalows</t>
  </si>
  <si>
    <t>Sarveshwar Villa</t>
  </si>
  <si>
    <t>Sat Aria</t>
  </si>
  <si>
    <t>Sattvam</t>
  </si>
  <si>
    <t>Satva</t>
  </si>
  <si>
    <t>Satyam Heights</t>
  </si>
  <si>
    <t>Satyam Residency</t>
  </si>
  <si>
    <t>Saundarya Heights</t>
  </si>
  <si>
    <t>Saundarya Palace</t>
  </si>
  <si>
    <t>Saundarya Sky</t>
  </si>
  <si>
    <t>Saundarya Twin</t>
  </si>
  <si>
    <t>Saundarya Valley</t>
  </si>
  <si>
    <t>Saurashtra Township</t>
  </si>
  <si>
    <t>Savan Plaza</t>
  </si>
  <si>
    <t>Savita Kunj Homes</t>
  </si>
  <si>
    <t>Selvino Luxuria</t>
  </si>
  <si>
    <t>Sentosa Enclave (c1, C2, C3, C4)</t>
  </si>
  <si>
    <t>Serenity</t>
  </si>
  <si>
    <t>Serenity Homes</t>
  </si>
  <si>
    <t>Setubandh Hills</t>
  </si>
  <si>
    <t>Seven Heights</t>
  </si>
  <si>
    <t>Seven Homes</t>
  </si>
  <si>
    <t>Seven Luxuria</t>
  </si>
  <si>
    <t>Seven Street Bungalows</t>
  </si>
  <si>
    <t>Shagun Heights</t>
  </si>
  <si>
    <t>Shagun Homes</t>
  </si>
  <si>
    <t>Shagun Luxuria</t>
  </si>
  <si>
    <t>Shakti Poojan</t>
  </si>
  <si>
    <t>Shaleen Prakasha</t>
  </si>
  <si>
    <t>Shalibhadra Home</t>
  </si>
  <si>
    <t>Shaligram Felicity</t>
  </si>
  <si>
    <t>Shaligram Flats</t>
  </si>
  <si>
    <t>Shaligram Flora</t>
  </si>
  <si>
    <t>Shaligram Kinaro</t>
  </si>
  <si>
    <t>Shaligram Skydeck</t>
  </si>
  <si>
    <t>Shaligram Vanam</t>
  </si>
  <si>
    <t>Shanta Godavari Luxury Villas</t>
  </si>
  <si>
    <t>Shantam</t>
  </si>
  <si>
    <t>Shantam Avenue</t>
  </si>
  <si>
    <t>Shantam Hills</t>
  </si>
  <si>
    <t>Shanti Homes</t>
  </si>
  <si>
    <t>Shanti Priyam</t>
  </si>
  <si>
    <t>Shanti Vila</t>
  </si>
  <si>
    <t>Shanti Villa</t>
  </si>
  <si>
    <t>Shantikunj Residency</t>
  </si>
  <si>
    <t>Shantivan Bungalows</t>
  </si>
  <si>
    <t>Shantivan Bunglows</t>
  </si>
  <si>
    <t>Shantivan Residency</t>
  </si>
  <si>
    <t>Shantivan Residency Phase-2</t>
  </si>
  <si>
    <t>Sharanam</t>
  </si>
  <si>
    <t>Sharnam Elegance</t>
  </si>
  <si>
    <t>Shashidhwar</t>
  </si>
  <si>
    <t>Shashikunj</t>
  </si>
  <si>
    <t>Shashwat Heaven</t>
  </si>
  <si>
    <t>Shashwat Heights</t>
  </si>
  <si>
    <t>Shashwat Homes</t>
  </si>
  <si>
    <t>Shashwat Luxuria</t>
  </si>
  <si>
    <t>Shashwat Residency</t>
  </si>
  <si>
    <t>Shatabdi Heritage</t>
  </si>
  <si>
    <t>Sheraton Tower</t>
  </si>
  <si>
    <t>Shikhar Avenue</t>
  </si>
  <si>
    <t>Shikhin Heights</t>
  </si>
  <si>
    <t>Shikshapatri Heights</t>
  </si>
  <si>
    <t>Shilalekh Heights</t>
  </si>
  <si>
    <t>Shilalekh Imperia</t>
  </si>
  <si>
    <t>Shilalekh Raw House</t>
  </si>
  <si>
    <t>Shilalekh Residency</t>
  </si>
  <si>
    <t>Shiv Bhakti Residency -a</t>
  </si>
  <si>
    <t>Shiv Bhakti Residency -b</t>
  </si>
  <si>
    <t>Shiv Bhakti Residency -c</t>
  </si>
  <si>
    <t>Shiv Bungalows</t>
  </si>
  <si>
    <t>Shiv Bunglows</t>
  </si>
  <si>
    <t>Shiv Dhara Residency</t>
  </si>
  <si>
    <t>Shiv Dhareshwar Residency</t>
  </si>
  <si>
    <t>Shiv Digja</t>
  </si>
  <si>
    <t>Shiv Drashti Residency</t>
  </si>
  <si>
    <t>Shiv Nirman 351</t>
  </si>
  <si>
    <t>Shiv Pooja Residency</t>
  </si>
  <si>
    <t>Shiv Rameshwar Residency</t>
  </si>
  <si>
    <t>Shiv Ranjani Residency</t>
  </si>
  <si>
    <t>Shiv Residency</t>
  </si>
  <si>
    <t>Shiv Samarth 2</t>
  </si>
  <si>
    <t>Shiv Samarth-1</t>
  </si>
  <si>
    <t>Shiv Samprati Homes</t>
  </si>
  <si>
    <t>Shiv Shakti Paradise</t>
  </si>
  <si>
    <t>Shiv Siddhi</t>
  </si>
  <si>
    <t>Shiv Siddhi Bunglows</t>
  </si>
  <si>
    <t>Shiv Villa</t>
  </si>
  <si>
    <t>Shiva Park</t>
  </si>
  <si>
    <t>Shiva Park 2</t>
  </si>
  <si>
    <t>Shiva Park 3</t>
  </si>
  <si>
    <t>Shivalaya Bungalows</t>
  </si>
  <si>
    <t>Shivalik</t>
  </si>
  <si>
    <t>Shivalik Celebration</t>
  </si>
  <si>
    <t>Shivalik Candle</t>
  </si>
  <si>
    <t>Shivalik Celebration B &amp; C</t>
  </si>
  <si>
    <t>Shivalik Classic</t>
  </si>
  <si>
    <t>Shivalik Crown</t>
  </si>
  <si>
    <t>Shivalik Dreams</t>
  </si>
  <si>
    <t>Shivalik Niketam</t>
  </si>
  <si>
    <t>Shivalik Nivasam</t>
  </si>
  <si>
    <t>Shivalik Ojas</t>
  </si>
  <si>
    <t>Shivalik Residency</t>
  </si>
  <si>
    <t>Shivalik Utkrushtham</t>
  </si>
  <si>
    <t>Shivalik Valley</t>
  </si>
  <si>
    <t>Shivam Heights</t>
  </si>
  <si>
    <t>Shivam Palace</t>
  </si>
  <si>
    <t>Shivam Residency</t>
  </si>
  <si>
    <t>Shivani Park Appartment</t>
  </si>
  <si>
    <t>Shivanjali Dreams</t>
  </si>
  <si>
    <t>Shivanjali Row House</t>
  </si>
  <si>
    <t>Shivanjani Hub</t>
  </si>
  <si>
    <t>Shivanjani Residency</t>
  </si>
  <si>
    <t>Shivansh Heights</t>
  </si>
  <si>
    <t>Shivansh Solitaire</t>
  </si>
  <si>
    <t>Shivant Antara</t>
  </si>
  <si>
    <t>Shivant Antilla</t>
  </si>
  <si>
    <t>Shivant Arena</t>
  </si>
  <si>
    <t>Shivant Arkelia</t>
  </si>
  <si>
    <t>Shivant Heights</t>
  </si>
  <si>
    <t>Shivant Icon</t>
  </si>
  <si>
    <t>Shivant Residency</t>
  </si>
  <si>
    <t>Shivanta Celebration</t>
  </si>
  <si>
    <t>Shivanta Luxuria</t>
  </si>
  <si>
    <t>Shivantaa Sky</t>
  </si>
  <si>
    <t>Shivay Bunglows</t>
  </si>
  <si>
    <t>Shivay Heights</t>
  </si>
  <si>
    <t>Shivay Homes</t>
  </si>
  <si>
    <t>Shivay North Shore</t>
  </si>
  <si>
    <t>Shivay Residency</t>
  </si>
  <si>
    <t>Shivay Satva</t>
  </si>
  <si>
    <t>Shivdhara Heights</t>
  </si>
  <si>
    <t>Shivdhara Point</t>
  </si>
  <si>
    <t>Shivdhara Residency</t>
  </si>
  <si>
    <t>Shiven Arise</t>
  </si>
  <si>
    <t>Shiven Florenza</t>
  </si>
  <si>
    <t>Shiven Garnet</t>
  </si>
  <si>
    <t>Shiven Plaza</t>
  </si>
  <si>
    <t>Shiven Shoppers</t>
  </si>
  <si>
    <t>Shiven Square</t>
  </si>
  <si>
    <t>Shivkrupa Residency</t>
  </si>
  <si>
    <t>Shivora Skyron</t>
  </si>
  <si>
    <t>Shlok Heights</t>
  </si>
  <si>
    <t>Shlok Residency</t>
  </si>
  <si>
    <t>Shloka Nirvaan</t>
  </si>
  <si>
    <t>Shloka Sanjeevani</t>
  </si>
  <si>
    <t>Shree Amrit Bunglows</t>
  </si>
  <si>
    <t>Shree Amrit Heaven</t>
  </si>
  <si>
    <t>Shree Amrit Homes</t>
  </si>
  <si>
    <t>Shree Amrit Niketan</t>
  </si>
  <si>
    <t>Shree Amrit Vihar</t>
  </si>
  <si>
    <t>Shree Balaji Homes</t>
  </si>
  <si>
    <t>Shree Balaji Textile Market</t>
  </si>
  <si>
    <t>Shree Bungalows</t>
  </si>
  <si>
    <t>Shree Bunglows</t>
  </si>
  <si>
    <t>Shree Devam Multi Park - 2</t>
  </si>
  <si>
    <t>Shree Devam Multipark-1</t>
  </si>
  <si>
    <t>Shree Gopal Homes</t>
  </si>
  <si>
    <t>Shree Hans Luxuria</t>
  </si>
  <si>
    <t>Shree Hari Luxuria</t>
  </si>
  <si>
    <t>Shree Hari Nirmana</t>
  </si>
  <si>
    <t>Shree Hari Palace</t>
  </si>
  <si>
    <t>Shree Hari Residency</t>
  </si>
  <si>
    <t>Shree Hari Sakar</t>
  </si>
  <si>
    <t>Shree Hari Sankalp</t>
  </si>
  <si>
    <t>Shree Hari Saundarya</t>
  </si>
  <si>
    <t>Shree Hari Sky</t>
  </si>
  <si>
    <t>Shree Hari Solitaire</t>
  </si>
  <si>
    <t>Shree Kamalam Residency Part 1</t>
  </si>
  <si>
    <t>Shree Kishna Enclave</t>
  </si>
  <si>
    <t>Shree Krishna Ac Mall</t>
  </si>
  <si>
    <t>Shree Krishna Dreams</t>
  </si>
  <si>
    <t>Shree Krishna Elite</t>
  </si>
  <si>
    <t>Shree Krishna Heritage</t>
  </si>
  <si>
    <t>Shree Krishna Sparsh</t>
  </si>
  <si>
    <t>Shree Krishna Sparsh 2</t>
  </si>
  <si>
    <t>Shree Krishna Stellar</t>
  </si>
  <si>
    <t>Shree Krishna Villa</t>
  </si>
  <si>
    <t>Shree Kuberji Crown Textile Market</t>
  </si>
  <si>
    <t>Shree Kuberji Plazzo</t>
  </si>
  <si>
    <t>Shree Kuberji Textile Deck</t>
  </si>
  <si>
    <t>Shree Kuberji Textile Park-3</t>
  </si>
  <si>
    <t>Shree Kuberji Textile World</t>
  </si>
  <si>
    <t>Shree Kuberji Valentine Textile Market</t>
  </si>
  <si>
    <t>Shree Kuberji Vision</t>
  </si>
  <si>
    <t>Shree Kunj</t>
  </si>
  <si>
    <t>Shree Laxmi Pooja Heights</t>
  </si>
  <si>
    <t>Shree Laxminarayan Industrial Park-z Row</t>
  </si>
  <si>
    <t>Shree Mahyavansi Ho. Sa So.ltd</t>
  </si>
  <si>
    <t>Shree Market</t>
  </si>
  <si>
    <t>Shree Nand Heights</t>
  </si>
  <si>
    <t>Shree Niketan 2</t>
  </si>
  <si>
    <t>Shree Niketan Homes</t>
  </si>
  <si>
    <t>Shree Niketan Homes - A</t>
  </si>
  <si>
    <t>Shree Niketan Homes - B</t>
  </si>
  <si>
    <t>Shree Nilkanth Business Hub</t>
  </si>
  <si>
    <t>Shree Palace</t>
  </si>
  <si>
    <t>Shree Punjan Plaza</t>
  </si>
  <si>
    <t>Shree Raj Residency</t>
  </si>
  <si>
    <t>Shree Ram Complex</t>
  </si>
  <si>
    <t>Shree Residency</t>
  </si>
  <si>
    <t>Shree Sai Plaza</t>
  </si>
  <si>
    <t>Shree Sai Residency</t>
  </si>
  <si>
    <t>Shree Sarjan Bunglows</t>
  </si>
  <si>
    <t>Shree Sarjan Bunglows - 2</t>
  </si>
  <si>
    <t>Shree Shakti Complex</t>
  </si>
  <si>
    <t>Shree Shakti Gold</t>
  </si>
  <si>
    <t>Shree Shiddhnath Enclave</t>
  </si>
  <si>
    <t>Shree Shilpraj Residency</t>
  </si>
  <si>
    <t>Shree Suktam</t>
  </si>
  <si>
    <t>Shree Swaminarayan Hills</t>
  </si>
  <si>
    <t>Shree Tirupati Balaji Town</t>
  </si>
  <si>
    <t>Shree Umiya Residency</t>
  </si>
  <si>
    <t>Shree Vaibhav</t>
  </si>
  <si>
    <t>Shree Valley</t>
  </si>
  <si>
    <t>Shree Vasupujya</t>
  </si>
  <si>
    <t>Shree Vijay Vatika Residency</t>
  </si>
  <si>
    <t>Shree Vijay Villa Residency</t>
  </si>
  <si>
    <t>Shree Villa</t>
  </si>
  <si>
    <t>Shreefal Residency</t>
  </si>
  <si>
    <t>Shreeji Industrial Park</t>
  </si>
  <si>
    <t>Shreeji Park</t>
  </si>
  <si>
    <t>Shreeji Park 2</t>
  </si>
  <si>
    <t>Shreekunj Villa</t>
  </si>
  <si>
    <t>Shreenath Gardenia</t>
  </si>
  <si>
    <t>Shreenathji Icon</t>
  </si>
  <si>
    <t>Shreenathji Residency</t>
  </si>
  <si>
    <t>Shreepad</t>
  </si>
  <si>
    <t>Shreepad Anantta</t>
  </si>
  <si>
    <t>Shreepad Celebrations</t>
  </si>
  <si>
    <t>Shreepad Central Vista</t>
  </si>
  <si>
    <t>Shreepad Inspire</t>
  </si>
  <si>
    <t>Shreepad Panorama</t>
  </si>
  <si>
    <t>Shreepad Park Arena</t>
  </si>
  <si>
    <t>Shreepad Seasons</t>
  </si>
  <si>
    <t>Shri Sai Residency</t>
  </si>
  <si>
    <t>Shridhar Villa</t>
  </si>
  <si>
    <t>Shrimukh Bunglows</t>
  </si>
  <si>
    <t>Shriya Heights</t>
  </si>
  <si>
    <t>Shrungal Heaven</t>
  </si>
  <si>
    <t>Shrungal Homes</t>
  </si>
  <si>
    <t>Shrungal Luxuria</t>
  </si>
  <si>
    <t>Shrungal Nirvana</t>
  </si>
  <si>
    <t>Shrungal Palace</t>
  </si>
  <si>
    <t>Shrungal Solitaire</t>
  </si>
  <si>
    <t>Shubh Eleganza</t>
  </si>
  <si>
    <t>Shubh Homes</t>
  </si>
  <si>
    <t>Shubh Lakshmi Residency</t>
  </si>
  <si>
    <t>Shubh Residency</t>
  </si>
  <si>
    <t>Shubh Samrudhhi Residency</t>
  </si>
  <si>
    <t>Shubh Sankalp</t>
  </si>
  <si>
    <t>Shubh Vatika(phase-ii)</t>
  </si>
  <si>
    <t>Shubham Villa</t>
  </si>
  <si>
    <t>Shubham Avenue</t>
  </si>
  <si>
    <t>Shubham Bunglows</t>
  </si>
  <si>
    <t>Shubham Doctor House</t>
  </si>
  <si>
    <t>Shubham Heights</t>
  </si>
  <si>
    <t>Shubham Pearl</t>
  </si>
  <si>
    <t>Shubham Residency</t>
  </si>
  <si>
    <t>Shubham Sky</t>
  </si>
  <si>
    <t>Shubhlaxmi Residency</t>
  </si>
  <si>
    <t>Shukan Bunglows</t>
  </si>
  <si>
    <t>Shukan Lifestyle</t>
  </si>
  <si>
    <t>Shukan River</t>
  </si>
  <si>
    <t>Shukan Rivera</t>
  </si>
  <si>
    <t>Shukan Shree</t>
  </si>
  <si>
    <t>Shukan Valley</t>
  </si>
  <si>
    <t>Shyam Antillia</t>
  </si>
  <si>
    <t>Shyam Bungalows Vibhag -1</t>
  </si>
  <si>
    <t>Shyam Bungalows Vibhag -2</t>
  </si>
  <si>
    <t>Shyam Bunglows</t>
  </si>
  <si>
    <t>Shyam Elegance</t>
  </si>
  <si>
    <t>Shyam Enclave Building D, E, F</t>
  </si>
  <si>
    <t>Shyam Heaven</t>
  </si>
  <si>
    <t>Shyam Livingstone</t>
  </si>
  <si>
    <t>Shyam Luxuria</t>
  </si>
  <si>
    <t>Shyam Plaza</t>
  </si>
  <si>
    <t>Shyam Residency</t>
  </si>
  <si>
    <t>Shyam Shivalik</t>
  </si>
  <si>
    <t>Shyam Shrusti Building-h</t>
  </si>
  <si>
    <t>Shyam Square</t>
  </si>
  <si>
    <t>Shyam Trade Centre</t>
  </si>
  <si>
    <t>Shyam Vatika</t>
  </si>
  <si>
    <t>Shyam Vatika D Building</t>
  </si>
  <si>
    <t>Shyam Villa</t>
  </si>
  <si>
    <t>Shyam Vista</t>
  </si>
  <si>
    <t>Shyam Vrindavan</t>
  </si>
  <si>
    <t>Shyam Yamuna</t>
  </si>
  <si>
    <t>Siddharth Business Park</t>
  </si>
  <si>
    <t>Siddhashila Homes</t>
  </si>
  <si>
    <t>Siddheshvari Plaza</t>
  </si>
  <si>
    <t>Siddheshwar Heights</t>
  </si>
  <si>
    <t>Siddheshwar Hills</t>
  </si>
  <si>
    <t>Siddheshwar Residency</t>
  </si>
  <si>
    <t>Siddheshwar Sky</t>
  </si>
  <si>
    <t>Siddhi Elysees</t>
  </si>
  <si>
    <t>Siddhi Vinayak Elements Phase-2</t>
  </si>
  <si>
    <t>Siddhi Vinayak Elements Phase-i</t>
  </si>
  <si>
    <t>Siddhi Vinayak Green</t>
  </si>
  <si>
    <t>Siddhi Vinayak Heights (phase-2)</t>
  </si>
  <si>
    <t>Siddhi Vinayak Residency</t>
  </si>
  <si>
    <t>Siddhivinayak Residency</t>
  </si>
  <si>
    <t>Sidharth Bungalows</t>
  </si>
  <si>
    <t>Sidharth Palace</t>
  </si>
  <si>
    <t>Sidhhi Vinayak Residency</t>
  </si>
  <si>
    <t>Signet Mall</t>
  </si>
  <si>
    <t>Signet Shoppers</t>
  </si>
  <si>
    <t>Silent Bungalows</t>
  </si>
  <si>
    <t>Silent Embro Park</t>
  </si>
  <si>
    <t>Silent Green</t>
  </si>
  <si>
    <t>Silent Residency</t>
  </si>
  <si>
    <t>Silent Rivera</t>
  </si>
  <si>
    <t>Silent Scape</t>
  </si>
  <si>
    <t>Silent Sky</t>
  </si>
  <si>
    <t>Silent Tower</t>
  </si>
  <si>
    <t>Silent Villa</t>
  </si>
  <si>
    <t>Silent Vista</t>
  </si>
  <si>
    <t>Silicon Flats</t>
  </si>
  <si>
    <t>Silicon Luxuria</t>
  </si>
  <si>
    <t>Silicon Palm (building C, J+k)</t>
  </si>
  <si>
    <t>Silicon Plaza</t>
  </si>
  <si>
    <t>Silicon Residency</t>
  </si>
  <si>
    <t>Silk Heritage Industrial Park</t>
  </si>
  <si>
    <t>Silvassa Bunglows</t>
  </si>
  <si>
    <t>Silvassa Heaven</t>
  </si>
  <si>
    <t>Silvassa Hill</t>
  </si>
  <si>
    <t>Silvassa Meritto</t>
  </si>
  <si>
    <t>Silvassa Paradise</t>
  </si>
  <si>
    <t>Silvassa Stone</t>
  </si>
  <si>
    <t>Silvassa Sunlight</t>
  </si>
  <si>
    <t>Silvassa Twin Tower</t>
  </si>
  <si>
    <t>Silver Villa</t>
  </si>
  <si>
    <t>Silver Arise</t>
  </si>
  <si>
    <t>Silver Business Hub</t>
  </si>
  <si>
    <t>Silver Business Point</t>
  </si>
  <si>
    <t>Silver Classima</t>
  </si>
  <si>
    <t>Silver Crest</t>
  </si>
  <si>
    <t>Silver Empire</t>
  </si>
  <si>
    <t>Silver Infinity</t>
  </si>
  <si>
    <t>Silver Luxuria</t>
  </si>
  <si>
    <t>Silver Nest</t>
  </si>
  <si>
    <t>Silver Residency</t>
  </si>
  <si>
    <t>Silver Rio Nest A</t>
  </si>
  <si>
    <t>Silver Rio Nest B And C</t>
  </si>
  <si>
    <t>Silver Sky</t>
  </si>
  <si>
    <t>Silver Status</t>
  </si>
  <si>
    <t>Silver Trade Center</t>
  </si>
  <si>
    <t>Silverstone Villas</t>
  </si>
  <si>
    <t>Simandhar Avenue</t>
  </si>
  <si>
    <t>Simandhar Hills</t>
  </si>
  <si>
    <t>Siya Heights</t>
  </si>
  <si>
    <t>Sky Antilia</t>
  </si>
  <si>
    <t>Sky Blossom</t>
  </si>
  <si>
    <t>Sky Castlee</t>
  </si>
  <si>
    <t>Sky City Luxuria</t>
  </si>
  <si>
    <t>Sky Elanza</t>
  </si>
  <si>
    <t>Sky Heaven</t>
  </si>
  <si>
    <t>Sky Homes</t>
  </si>
  <si>
    <t>Sky Icon</t>
  </si>
  <si>
    <t>Sky Light</t>
  </si>
  <si>
    <t>Sky Nand Heights</t>
  </si>
  <si>
    <t>Sky Nine</t>
  </si>
  <si>
    <t>Sky Rise</t>
  </si>
  <si>
    <t>Sky Superia</t>
  </si>
  <si>
    <t>Sky View</t>
  </si>
  <si>
    <t>Sky View Heights</t>
  </si>
  <si>
    <t>Sky Walk</t>
  </si>
  <si>
    <t>Skybell</t>
  </si>
  <si>
    <t>Skycity Avenue</t>
  </si>
  <si>
    <t>Skycity World</t>
  </si>
  <si>
    <t>Skyhigh Residency</t>
  </si>
  <si>
    <t>Skyler Kaiden</t>
  </si>
  <si>
    <t>Skyline Pearl</t>
  </si>
  <si>
    <t>Skynand Heights - 02</t>
  </si>
  <si>
    <t>Smit Residency</t>
  </si>
  <si>
    <t>Sns Atria</t>
  </si>
  <si>
    <t>Sns Elevate</t>
  </si>
  <si>
    <t>Soham Arcade</t>
  </si>
  <si>
    <t>Soham Elegance A+b</t>
  </si>
  <si>
    <t>Soham Elegance C,d+e</t>
  </si>
  <si>
    <t>Soham Industries 2</t>
  </si>
  <si>
    <t>Soham Pride</t>
  </si>
  <si>
    <t>Soham Residency (phase Ii, Building A &amp; F)</t>
  </si>
  <si>
    <t>Solarin Hills</t>
  </si>
  <si>
    <t>Solaris Athena</t>
  </si>
  <si>
    <t>Solaris Bay View</t>
  </si>
  <si>
    <t>Solaris Cube</t>
  </si>
  <si>
    <t>Solaris Cure</t>
  </si>
  <si>
    <t>Solaris Evaraa</t>
  </si>
  <si>
    <t>Solaris Kode</t>
  </si>
  <si>
    <t>Solaris Oracle</t>
  </si>
  <si>
    <t>Solaris Pulse</t>
  </si>
  <si>
    <t>Solaris Royce</t>
  </si>
  <si>
    <t>Solaris Shine</t>
  </si>
  <si>
    <t>Solaris The Future</t>
  </si>
  <si>
    <t>Solarium Business Centre</t>
  </si>
  <si>
    <t>Solasta Heights</t>
  </si>
  <si>
    <t>Solitaire Avenue</t>
  </si>
  <si>
    <t>Solitaire Liberty</t>
  </si>
  <si>
    <t>Solitaire Quays</t>
  </si>
  <si>
    <t>Solitaire Spatious</t>
  </si>
  <si>
    <t>Someshwar Residency</t>
  </si>
  <si>
    <t>Someshwar Textile Market-phase-2</t>
  </si>
  <si>
    <t>Someshwar-2 Textile Market</t>
  </si>
  <si>
    <t>Somnath Industrial Park</t>
  </si>
  <si>
    <t>Somnath Residency</t>
  </si>
  <si>
    <t>Sovereign Bunglows</t>
  </si>
  <si>
    <t>Sovereign Shoppers</t>
  </si>
  <si>
    <t>Speranza Business Hub</t>
  </si>
  <si>
    <t>Spinoza Enclave</t>
  </si>
  <si>
    <t>Springhill</t>
  </si>
  <si>
    <t>Squaareone Commercial</t>
  </si>
  <si>
    <t>Sritam</t>
  </si>
  <si>
    <t>Stalwart Insignia</t>
  </si>
  <si>
    <t>Star Ayodhya Textile Mall</t>
  </si>
  <si>
    <t>Star Ayodhya Textile Market</t>
  </si>
  <si>
    <t>Star Pavitra Nagri</t>
  </si>
  <si>
    <t>Status Heights</t>
  </si>
  <si>
    <t>Stellar Bliss</t>
  </si>
  <si>
    <t>Stylome Heights</t>
  </si>
  <si>
    <t>Suda EWS 192-1 (pali)</t>
  </si>
  <si>
    <t>Suda EWS Pali - 192-2</t>
  </si>
  <si>
    <t>Suda LIG 1-4</t>
  </si>
  <si>
    <t>Suda LIG 1-5 EWS 4(gothan)315</t>
  </si>
  <si>
    <t>Suda Lig1-2</t>
  </si>
  <si>
    <t>Suda-ews-ii At F.p. 101 T.p. No. 45 (navagam-vav)(pmay-ahp)</t>
  </si>
  <si>
    <t>Sudalig1-1</t>
  </si>
  <si>
    <t>Sudalig2-2(kumbharia)112</t>
  </si>
  <si>
    <t>Sugat Residency</t>
  </si>
  <si>
    <t>Sukh Vishwa Residency-2</t>
  </si>
  <si>
    <t>Suman Aastha Ews-34 Tp 42 (bhimrad) Fp 75</t>
  </si>
  <si>
    <t>Suman Adarsh Ews-54 Tp 10 (adajan) Fp 17</t>
  </si>
  <si>
    <t>Suman Aradhna Ews-45 Tps No 43 (bhimrad) Fp No 110</t>
  </si>
  <si>
    <t>Suman Arth Ews-40 Tps No 24 (mota Varachha-utran) Fp No 181</t>
  </si>
  <si>
    <t>Suman Bhargav Ews-32 Tp No 13 (bharthana-vesu) Fp No 169</t>
  </si>
  <si>
    <t>Suman Chandan Ews-47 Tps No 09 (palanpore-bhesan) Fp No 152</t>
  </si>
  <si>
    <t>Suman Ganga EWS -28 Tps No 19 (parvat-magob) Fp No 110/3</t>
  </si>
  <si>
    <t>Suman Kavya Ews-42 Tps No 28 (rundh-vesu) Fp No 32 Paikee Sub Plot 1</t>
  </si>
  <si>
    <t>Suman Keshav EWS 29 Tps No 62 (dindoli-bhestan-bhedwad)fp No 194 (r-26)</t>
  </si>
  <si>
    <t>Suman Lipi Ews-53 Tp 08 (palanpore) Fp 131</t>
  </si>
  <si>
    <t>Suman Maitri EWS 59 Tp 46 (jhangirpura) Fp 103</t>
  </si>
  <si>
    <t>Suman Mudra Ews-48 Tps No 16 (pal) Fp No 113</t>
  </si>
  <si>
    <t>Suman Nupur EWS 51 Tp 62 (dindoli-bhestan-bhedwad) Fp 173</t>
  </si>
  <si>
    <t>Suman Parth Ews-31 Tp 28 (althan-bhatar) Fp 136</t>
  </si>
  <si>
    <t>Suman Prakruti EWS 60 Tp 48 (bhestan) Fp 89</t>
  </si>
  <si>
    <t>Suman Prayag Ews-41</t>
  </si>
  <si>
    <t>Suman Rashi EWS 57 Tp 9 (palanpore-bheshan) Fp 174</t>
  </si>
  <si>
    <t>Suman Sadhna Ews-35 Tp 37 (variyav) Fp 99</t>
  </si>
  <si>
    <t>Suman Sanjivani Ews-33 Tp 42(bhimrad) Fp 61</t>
  </si>
  <si>
    <t>Suman Sarthi Ews-27 Tp 35 (katargam) Fp 134</t>
  </si>
  <si>
    <t>Suman Sathi Ews-38 Tps No 46 (jhangirpura) Fp No 97</t>
  </si>
  <si>
    <t>Suman Shilp EWS 56 Tp 13 (vesu-bharthana) F.p. 165+166</t>
  </si>
  <si>
    <t>Suman Smit Ews-44 Tps No 43 (bhimrad) Fp No 109</t>
  </si>
  <si>
    <t>Suman Sneh Ews-49 Tps No 16 (pal) Fp No 114</t>
  </si>
  <si>
    <t>Suman Suraj Ews-26 Tps No 24 (mota Varachha-utran) Fp No 177 (r-26)</t>
  </si>
  <si>
    <t>Suman Tapi Ews-43 Tps No 42 (bhimrad) Fp No 67</t>
  </si>
  <si>
    <t>Suman Trupti EWS 52 Tp 48 (bhestan) Fp 85</t>
  </si>
  <si>
    <t>Suman Utkarsh Ews-55 Tp 27 (utran-kosad) Fp 178</t>
  </si>
  <si>
    <t>Suman Vaibhav EWS - 36 Tps No 36 (variyav) Fp No 90</t>
  </si>
  <si>
    <t>Suman Vandan Package 1 Ews-37 Tps No 45 (jhangirpura) Fp No 117</t>
  </si>
  <si>
    <t>Suman Vandan Package 2 Ews-37 Tps No 45 (jhangirpura) Fp No 117</t>
  </si>
  <si>
    <t>Suman Vani Ews-39 Tps No 44 (jhangirabad) Fp No 06</t>
  </si>
  <si>
    <t>Sumerru Business Corner</t>
  </si>
  <si>
    <t>Sumerru Sky Leaf</t>
  </si>
  <si>
    <t>Sumeru City Mall Phase-2</t>
  </si>
  <si>
    <t>Sumeru Heights</t>
  </si>
  <si>
    <t>Sumeru Residency</t>
  </si>
  <si>
    <t>Sumeru Sky Residency</t>
  </si>
  <si>
    <t>Summer Seasons</t>
  </si>
  <si>
    <t>Sumukh Residency</t>
  </si>
  <si>
    <t>Sun Avenue</t>
  </si>
  <si>
    <t>Sun City</t>
  </si>
  <si>
    <t>Sun Residency</t>
  </si>
  <si>
    <t>Sun Rise</t>
  </si>
  <si>
    <t>Sun Saritam</t>
  </si>
  <si>
    <t>Sun Sarvam</t>
  </si>
  <si>
    <t>Sun Sattvam</t>
  </si>
  <si>
    <t>Sun Shantam</t>
  </si>
  <si>
    <t>Sun Shine Arcade</t>
  </si>
  <si>
    <t>Suncity Residency</t>
  </si>
  <si>
    <t>Sundaram Status</t>
  </si>
  <si>
    <t>Sunday Crest</t>
  </si>
  <si>
    <t>Sunday Greens</t>
  </si>
  <si>
    <t>Sunday Heaven</t>
  </si>
  <si>
    <t>Sunday Homes</t>
  </si>
  <si>
    <t>Sunday Hub</t>
  </si>
  <si>
    <t>Sunday Lagoon</t>
  </si>
  <si>
    <t>Sunday Lagoon Phase-2</t>
  </si>
  <si>
    <t>Sunday Light</t>
  </si>
  <si>
    <t>Sunday Park</t>
  </si>
  <si>
    <t>Sunday Residancy Phase 4</t>
  </si>
  <si>
    <t>Sunday Residency Phase 1</t>
  </si>
  <si>
    <t>Sunday Residency Phase 2</t>
  </si>
  <si>
    <t>Sunday Residency Phase 3</t>
  </si>
  <si>
    <t>Sunday Residency Phase 5</t>
  </si>
  <si>
    <t>Sunday Residency Phase 6</t>
  </si>
  <si>
    <t>Supath Enclave</t>
  </si>
  <si>
    <t>Superia</t>
  </si>
  <si>
    <t>Surana Supremus</t>
  </si>
  <si>
    <t>Surana-101</t>
  </si>
  <si>
    <t>Surat Dawa Bazar</t>
  </si>
  <si>
    <t>Surat Diamond Bourse</t>
  </si>
  <si>
    <t>Surat Digital Valley</t>
  </si>
  <si>
    <t>Surat Textile Bourse Phase-i (part-a)</t>
  </si>
  <si>
    <t>Surat Textile Bourse Phase-i (part-b)</t>
  </si>
  <si>
    <t>Surbhi Greens</t>
  </si>
  <si>
    <t>Surya Green Spaces</t>
  </si>
  <si>
    <t>Surya Heritage</t>
  </si>
  <si>
    <t>Surya Signature</t>
  </si>
  <si>
    <t>Suryadarshan Silent City</t>
  </si>
  <si>
    <t>Suryam Bungalows</t>
  </si>
  <si>
    <t>Suryam Horizon</t>
  </si>
  <si>
    <t>Suryam Primrose</t>
  </si>
  <si>
    <t>Suryam Sky</t>
  </si>
  <si>
    <t>Suryam Square</t>
  </si>
  <si>
    <t>Suryam Violetta</t>
  </si>
  <si>
    <t>Suvarn Palace</t>
  </si>
  <si>
    <t>Suwarna Bhoomi</t>
  </si>
  <si>
    <t>Swagat Callista</t>
  </si>
  <si>
    <t>Swagat Cilantra</t>
  </si>
  <si>
    <t>Swagat Clifton</t>
  </si>
  <si>
    <t>Swagat Homes</t>
  </si>
  <si>
    <t>Swagat Texking</t>
  </si>
  <si>
    <t>Swaminarayan Green City</t>
  </si>
  <si>
    <t>Swapna Shrusti</t>
  </si>
  <si>
    <t>Swapna Srushti Residency</t>
  </si>
  <si>
    <t>Swapna Villa</t>
  </si>
  <si>
    <t>Swapna Villa 2,phase 2</t>
  </si>
  <si>
    <t>Swapnabhoomi</t>
  </si>
  <si>
    <t>Swapnavilla</t>
  </si>
  <si>
    <t>Swaraj Bungalows</t>
  </si>
  <si>
    <t>Swaraj Heights</t>
  </si>
  <si>
    <t>Swarg</t>
  </si>
  <si>
    <t>Swarg Business Hub</t>
  </si>
  <si>
    <t>Swarg Homes</t>
  </si>
  <si>
    <t>Swarna Avsar</t>
  </si>
  <si>
    <t>Swarna Lagom</t>
  </si>
  <si>
    <t>Swarna Sopan</t>
  </si>
  <si>
    <t>Swarnim Lifestyle</t>
  </si>
  <si>
    <t>Swastham Square</t>
  </si>
  <si>
    <t>Swastik Forestaa</t>
  </si>
  <si>
    <t>Swastik Green</t>
  </si>
  <si>
    <t>Swastik Lake</t>
  </si>
  <si>
    <t>Swastik Pride</t>
  </si>
  <si>
    <t>Swastik Residency</t>
  </si>
  <si>
    <t>Swastik Textile Market-phase-1</t>
  </si>
  <si>
    <t>Swastik Universal</t>
  </si>
  <si>
    <t>Swastik Villa</t>
  </si>
  <si>
    <t>Swastika Bunglows</t>
  </si>
  <si>
    <t>Swastika Square</t>
  </si>
  <si>
    <t>Swayam Bliss</t>
  </si>
  <si>
    <t>Sweet Villa</t>
  </si>
  <si>
    <t>Swicon Wings</t>
  </si>
  <si>
    <t>Sygnora Sky</t>
  </si>
  <si>
    <t>Syska Plaza</t>
  </si>
  <si>
    <t>Takshashila Heights - Phase - 1 - A+b Building</t>
  </si>
  <si>
    <t>Takshashila Heights Phase 2</t>
  </si>
  <si>
    <t>Tapi Arcade</t>
  </si>
  <si>
    <t>Tapi Business World</t>
  </si>
  <si>
    <t>Tapi Corner</t>
  </si>
  <si>
    <t>Tapi Enclave</t>
  </si>
  <si>
    <t>Tapti Greenz</t>
  </si>
  <si>
    <t>Tapti Valley</t>
  </si>
  <si>
    <t>Tatva At Gopin Gam</t>
  </si>
  <si>
    <t>Tej House</t>
  </si>
  <si>
    <t>Textile Trade Link</t>
  </si>
  <si>
    <t>The Abalone</t>
  </si>
  <si>
    <t>The Address</t>
  </si>
  <si>
    <t>The Antilia</t>
  </si>
  <si>
    <t>The Atmosphere</t>
  </si>
  <si>
    <t>The Atmosphere Serene</t>
  </si>
  <si>
    <t>The Bluebell</t>
  </si>
  <si>
    <t>The Boulevard</t>
  </si>
  <si>
    <t>The Boulevard Homes</t>
  </si>
  <si>
    <t>The Capital</t>
  </si>
  <si>
    <t>The Centrum</t>
  </si>
  <si>
    <t>The Citadel</t>
  </si>
  <si>
    <t>The Elephanta Heights</t>
  </si>
  <si>
    <t>The Emerald</t>
  </si>
  <si>
    <t>The Evolution</t>
  </si>
  <si>
    <t>The First</t>
  </si>
  <si>
    <t>The Florida</t>
  </si>
  <si>
    <t>The Future Corner</t>
  </si>
  <si>
    <t>The Galleria</t>
  </si>
  <si>
    <t>The Galleria Business Hub 2</t>
  </si>
  <si>
    <t>The Galleria Shopping Hub</t>
  </si>
  <si>
    <t>The Grand Malabar</t>
  </si>
  <si>
    <t>The Grand Plaza</t>
  </si>
  <si>
    <t>The Grand Ultima</t>
  </si>
  <si>
    <t>The Great Fourteen</t>
  </si>
  <si>
    <t>The Iconic</t>
  </si>
  <si>
    <t>The Impressia</t>
  </si>
  <si>
    <t>The Impression</t>
  </si>
  <si>
    <t>The Legacy</t>
  </si>
  <si>
    <t>The Legend</t>
  </si>
  <si>
    <t>The Lenora</t>
  </si>
  <si>
    <t>The Majestic</t>
  </si>
  <si>
    <t>The Majesty</t>
  </si>
  <si>
    <t>The Manor Heights</t>
  </si>
  <si>
    <t>The Marina ( A,b )</t>
  </si>
  <si>
    <t>The Monolith</t>
  </si>
  <si>
    <t>The Palace</t>
  </si>
  <si>
    <t>The Palladium Towers</t>
  </si>
  <si>
    <t>The Platinum River</t>
  </si>
  <si>
    <t>The Polaris Avenue</t>
  </si>
  <si>
    <t>The Polaris Textile City</t>
  </si>
  <si>
    <t>The Polaris Textile Market</t>
  </si>
  <si>
    <t>The Polaris World</t>
  </si>
  <si>
    <t>The Prestige</t>
  </si>
  <si>
    <t>The Profit</t>
  </si>
  <si>
    <t>The Pursuit Of Happiness</t>
  </si>
  <si>
    <t>The Residence</t>
  </si>
  <si>
    <t>The Shloka</t>
  </si>
  <si>
    <t>The Signature</t>
  </si>
  <si>
    <t>The Sky Luxuria</t>
  </si>
  <si>
    <t>The Sky Rivera</t>
  </si>
  <si>
    <t>The Status</t>
  </si>
  <si>
    <t>The Trilliant</t>
  </si>
  <si>
    <t>The Ultima</t>
  </si>
  <si>
    <t>The Unity Tower</t>
  </si>
  <si>
    <t>The Viona</t>
  </si>
  <si>
    <t>The Wall Street Business Hub</t>
  </si>
  <si>
    <t>Tilak Heritage</t>
  </si>
  <si>
    <t>Time Square</t>
  </si>
  <si>
    <t>Times Corner</t>
  </si>
  <si>
    <t>Times Galaxy</t>
  </si>
  <si>
    <t>Times Galleria</t>
  </si>
  <si>
    <t>Times Luxuria</t>
  </si>
  <si>
    <t>Times Shoppers</t>
  </si>
  <si>
    <t>Times Square</t>
  </si>
  <si>
    <t>Times Trade Center</t>
  </si>
  <si>
    <t>Times World</t>
  </si>
  <si>
    <t>Tirth Heritage</t>
  </si>
  <si>
    <t>Tirupati Plaza</t>
  </si>
  <si>
    <t>Titaanium</t>
  </si>
  <si>
    <t>Toral Residency</t>
  </si>
  <si>
    <t>Torrance</t>
  </si>
  <si>
    <t>Tribhuvan Heights</t>
  </si>
  <si>
    <t>Trilok Bunglows</t>
  </si>
  <si>
    <t>Triyom Abode</t>
  </si>
  <si>
    <t>Triyom Casa</t>
  </si>
  <si>
    <t>Triyom Palace</t>
  </si>
  <si>
    <t>Tulip Residency</t>
  </si>
  <si>
    <t>Tulsi Arcade</t>
  </si>
  <si>
    <t>Tulsi Darshan</t>
  </si>
  <si>
    <t>Tulsi Kalash Residency</t>
  </si>
  <si>
    <t>Tulsi Residency</t>
  </si>
  <si>
    <t>Twilight Star</t>
  </si>
  <si>
    <t>Twin Tower</t>
  </si>
  <si>
    <t>Twin Tower &amp; Business Hub</t>
  </si>
  <si>
    <t>U.m. Corridor</t>
  </si>
  <si>
    <t>Uma Park (mangalam Park Bldg-u)</t>
  </si>
  <si>
    <t>Umang Height</t>
  </si>
  <si>
    <t>Umang Residency Vibhag1,2,3</t>
  </si>
  <si>
    <t>Umiya Bungalow-2</t>
  </si>
  <si>
    <t>Umiya Homes</t>
  </si>
  <si>
    <t>Umiya Nagar</t>
  </si>
  <si>
    <t>Unicorn Palazzo</t>
  </si>
  <si>
    <t>Union Residency</t>
  </si>
  <si>
    <t>Unique Square</t>
  </si>
  <si>
    <t>Unison Crest</t>
  </si>
  <si>
    <t>Unitech Business Hub</t>
  </si>
  <si>
    <t>United Arham</t>
  </si>
  <si>
    <t>United Sparsh</t>
  </si>
  <si>
    <t>United Textile Market</t>
  </si>
  <si>
    <t>Unity Corner</t>
  </si>
  <si>
    <t>Universal Business Centre</t>
  </si>
  <si>
    <t>Universal Commercial Capital</t>
  </si>
  <si>
    <t>Universal Trade Center And Universal Homes</t>
  </si>
  <si>
    <t>Upvan Villa</t>
  </si>
  <si>
    <t>Utsav Enclave</t>
  </si>
  <si>
    <t>Utsav Residency</t>
  </si>
  <si>
    <t>V Square</t>
  </si>
  <si>
    <t>V-3 Corner</t>
  </si>
  <si>
    <t>Vacanza Atlas</t>
  </si>
  <si>
    <t>Vacanza Bungalows</t>
  </si>
  <si>
    <t>Vacanza City</t>
  </si>
  <si>
    <t>Vacanza Harrods</t>
  </si>
  <si>
    <t>Vacanza Homes</t>
  </si>
  <si>
    <t>Vacanza Trade Center</t>
  </si>
  <si>
    <t>Vaibhavlaxmi Shopping</t>
  </si>
  <si>
    <t>Vaidehi Heights</t>
  </si>
  <si>
    <t>Vaidehi Hills</t>
  </si>
  <si>
    <t>Vaidehi Homes</t>
  </si>
  <si>
    <t>Vaikunth Darshan</t>
  </si>
  <si>
    <t>Vaikunth Homes</t>
  </si>
  <si>
    <t>Vaikunth Residency</t>
  </si>
  <si>
    <t>Vaishnodevi Elite Homes</t>
  </si>
  <si>
    <t>Vaishnodevi Homes</t>
  </si>
  <si>
    <t>Vaishnodevi Residency</t>
  </si>
  <si>
    <t>Vaishnodevi Serenity View</t>
  </si>
  <si>
    <t>Vaishnodevi Serenity Villa</t>
  </si>
  <si>
    <t>Valencia Crest</t>
  </si>
  <si>
    <t>Valentina</t>
  </si>
  <si>
    <t>Valentina Business Hub</t>
  </si>
  <si>
    <t>Valletta Homes</t>
  </si>
  <si>
    <t>Valletta Rio</t>
  </si>
  <si>
    <t>Valletta Rosewood</t>
  </si>
  <si>
    <t>Valletta Villa</t>
  </si>
  <si>
    <t>Valletta Vista</t>
  </si>
  <si>
    <t>Vandan Height</t>
  </si>
  <si>
    <t>Vanilla Sky</t>
  </si>
  <si>
    <t>Vanita Bunglows Phase-ii</t>
  </si>
  <si>
    <t>Vardai Heights</t>
  </si>
  <si>
    <t>Vardan Luxuria</t>
  </si>
  <si>
    <t>Vardan Textile Market</t>
  </si>
  <si>
    <t>Vardhman Residency &amp; Jain Aradhna Bhawan</t>
  </si>
  <si>
    <t>Varni Heights</t>
  </si>
  <si>
    <t>Varni Plaza</t>
  </si>
  <si>
    <t>Varni Residency</t>
  </si>
  <si>
    <t>Varniraj Heights</t>
  </si>
  <si>
    <t>Varniraj Valley</t>
  </si>
  <si>
    <t>Vastu Bunglows</t>
  </si>
  <si>
    <t>Vastu Elesta</t>
  </si>
  <si>
    <t>Vastu Imperial</t>
  </si>
  <si>
    <t>Vastu Luxuria</t>
  </si>
  <si>
    <t>Vastu Palace</t>
  </si>
  <si>
    <t>Vastupujan Residency 1</t>
  </si>
  <si>
    <t>Vasudev Park</t>
  </si>
  <si>
    <t>Vasudev Villa</t>
  </si>
  <si>
    <t>Vasupujya 15 Pavilions</t>
  </si>
  <si>
    <t>Vasupujya 44 Villa</t>
  </si>
  <si>
    <t>Vasupujya Empire 11</t>
  </si>
  <si>
    <t>Vasupujya Rio Empire</t>
  </si>
  <si>
    <t>Vatsalya Residency</t>
  </si>
  <si>
    <t>Vatsalya Villa</t>
  </si>
  <si>
    <t>Ved Embro</t>
  </si>
  <si>
    <t>Vedant 11</t>
  </si>
  <si>
    <t>Vedant Antilla</t>
  </si>
  <si>
    <t>Vedant Bellavista</t>
  </si>
  <si>
    <t>Vedant Bunglows</t>
  </si>
  <si>
    <t>Vedant Crest</t>
  </si>
  <si>
    <t>Vedant Dream</t>
  </si>
  <si>
    <t>Vedant Elegance</t>
  </si>
  <si>
    <t>Vedant Embro Park</t>
  </si>
  <si>
    <t>Vedant Industrial Park</t>
  </si>
  <si>
    <t>Vedant Kimberly</t>
  </si>
  <si>
    <t>Vedant Liviano</t>
  </si>
  <si>
    <t>Vedant Paradise</t>
  </si>
  <si>
    <t>Vedant Pride</t>
  </si>
  <si>
    <t>Vedant Solitaire</t>
  </si>
  <si>
    <t>Vedant Square</t>
  </si>
  <si>
    <t>Vedant Texo-a</t>
  </si>
  <si>
    <t>Vedant Texo-b</t>
  </si>
  <si>
    <t>Vedant Villa</t>
  </si>
  <si>
    <t>Vedd Shree Bunglow</t>
  </si>
  <si>
    <t>Veddam Villa</t>
  </si>
  <si>
    <t>Veena Avenue</t>
  </si>
  <si>
    <t>Veer Amanta</t>
  </si>
  <si>
    <t>Veer Anantta</t>
  </si>
  <si>
    <t>Veer Arihanta</t>
  </si>
  <si>
    <t>Veer Arista</t>
  </si>
  <si>
    <t>Veer Supremus</t>
  </si>
  <si>
    <t>Veer Swastik Heights</t>
  </si>
  <si>
    <t>Veer Swastik Hills</t>
  </si>
  <si>
    <t>Veer Swastik Icon</t>
  </si>
  <si>
    <t>Veer Swastik Sky</t>
  </si>
  <si>
    <t>Veer Villa</t>
  </si>
  <si>
    <t>Veerbhadra Heights</t>
  </si>
  <si>
    <t>Vega Homes</t>
  </si>
  <si>
    <t>Velocity</t>
  </si>
  <si>
    <t>Velvet Velly</t>
  </si>
  <si>
    <t>Venezia</t>
  </si>
  <si>
    <t>Venilla House</t>
  </si>
  <si>
    <t>Vennice Villow</t>
  </si>
  <si>
    <t>Venus Elegance</t>
  </si>
  <si>
    <t>Venus Lifestyle</t>
  </si>
  <si>
    <t>Veon Plaza</t>
  </si>
  <si>
    <t>Vibrant Mall</t>
  </si>
  <si>
    <t>Victoria Bunglows</t>
  </si>
  <si>
    <t>Victoria Business Centre</t>
  </si>
  <si>
    <t>Victoria Crown</t>
  </si>
  <si>
    <t>Victoria Residency</t>
  </si>
  <si>
    <t>Victoria Sanskruti</t>
  </si>
  <si>
    <t>Victoria Shilp</t>
  </si>
  <si>
    <t>Victoria Township</t>
  </si>
  <si>
    <t>Victory Shoppers</t>
  </si>
  <si>
    <t>Vighneshwar Arcade</t>
  </si>
  <si>
    <t>Vihaan Residency</t>
  </si>
  <si>
    <t>Vihana Bunglow</t>
  </si>
  <si>
    <t>Vijay Signature</t>
  </si>
  <si>
    <t>Vijya Laxmi Vatika</t>
  </si>
  <si>
    <t>Vijyalaxmi Residency Building A</t>
  </si>
  <si>
    <t>Vikas Dhara Home</t>
  </si>
  <si>
    <t>Vikas Gatha</t>
  </si>
  <si>
    <t>Vikas Logistic Park</t>
  </si>
  <si>
    <t>Vikas Shoppers</t>
  </si>
  <si>
    <t>Villa Nova</t>
  </si>
  <si>
    <t>Villario Homes</t>
  </si>
  <si>
    <t>Vimalam Palace</t>
  </si>
  <si>
    <t>Vinayak Residency</t>
  </si>
  <si>
    <t>Vinayak Textile Market</t>
  </si>
  <si>
    <t>Visat Residency</t>
  </si>
  <si>
    <t>Vishvambhar Arcade</t>
  </si>
  <si>
    <t>Vishwa 99</t>
  </si>
  <si>
    <t>Vishwa Luxuria</t>
  </si>
  <si>
    <t>Vishwa Residency</t>
  </si>
  <si>
    <t>Vision</t>
  </si>
  <si>
    <t>Vista Velly</t>
  </si>
  <si>
    <t>Vitoria Heights</t>
  </si>
  <si>
    <t>Vitoria Hills</t>
  </si>
  <si>
    <t>Vitoria Prime</t>
  </si>
  <si>
    <t>Vitrag Bunglows</t>
  </si>
  <si>
    <t>Viva Embro Park</t>
  </si>
  <si>
    <t>Vivaan</t>
  </si>
  <si>
    <t>Vivanta</t>
  </si>
  <si>
    <t>Vivanta Icon</t>
  </si>
  <si>
    <t>Viviana Flates</t>
  </si>
  <si>
    <t>Vraj Antonia</t>
  </si>
  <si>
    <t>Vraj Bhoomi</t>
  </si>
  <si>
    <t>Vraj Bhumi Icon</t>
  </si>
  <si>
    <t>Vraj Bunglows</t>
  </si>
  <si>
    <t>Vraj Enclave &amp; Vraj Ananta</t>
  </si>
  <si>
    <t>Vraj Icon</t>
  </si>
  <si>
    <t>Vraj Park A</t>
  </si>
  <si>
    <t>Vraj Park B</t>
  </si>
  <si>
    <t>Vraj Platinum</t>
  </si>
  <si>
    <t>Vraj Residency</t>
  </si>
  <si>
    <t>Vraj Vihar Residency</t>
  </si>
  <si>
    <t>Vraj Villa</t>
  </si>
  <si>
    <t>Vraj Vivanta</t>
  </si>
  <si>
    <t>Vrajbhumi Bungalows</t>
  </si>
  <si>
    <t>Vrajbhumi Residency</t>
  </si>
  <si>
    <t>Vrunda Embrow Park</t>
  </si>
  <si>
    <t>Vrundavan Bungalows</t>
  </si>
  <si>
    <t>Vrundavan Bunglows</t>
  </si>
  <si>
    <t>Vrundavan Heights</t>
  </si>
  <si>
    <t>Vrundavan Homes</t>
  </si>
  <si>
    <t>Vrundavan Villa</t>
  </si>
  <si>
    <t>Vs Trade Centre</t>
  </si>
  <si>
    <t>Walk Way The Mall</t>
  </si>
  <si>
    <t>Water Lily</t>
  </si>
  <si>
    <t>Waves</t>
  </si>
  <si>
    <t>Wealth City</t>
  </si>
  <si>
    <t>Weekend Address</t>
  </si>
  <si>
    <t>Welcome Homes</t>
  </si>
  <si>
    <t>Wellanta Homes</t>
  </si>
  <si>
    <t>Werribee Victoria</t>
  </si>
  <si>
    <t>Western Legacy</t>
  </si>
  <si>
    <t>Western Oasis</t>
  </si>
  <si>
    <t>Western View</t>
  </si>
  <si>
    <t>White House</t>
  </si>
  <si>
    <t>White Palace</t>
  </si>
  <si>
    <t>White Paradise</t>
  </si>
  <si>
    <t>White Pearl</t>
  </si>
  <si>
    <t>Winter Seasons</t>
  </si>
  <si>
    <t>Worldmark</t>
  </si>
  <si>
    <t>Yogi Arcade</t>
  </si>
  <si>
    <t>Yogi Hieghts</t>
  </si>
  <si>
    <t>Yogi Vann</t>
  </si>
  <si>
    <t>Zeenat Bunglows</t>
  </si>
  <si>
    <t>Zeenat Enclave</t>
  </si>
  <si>
    <t>Zenith</t>
  </si>
  <si>
    <t>Zenon Phase-1</t>
  </si>
  <si>
    <t>Zircon Arena</t>
  </si>
  <si>
    <t>Zircon Plus</t>
  </si>
  <si>
    <t>Zoya Park</t>
  </si>
  <si>
    <t>Aaditya Avenue</t>
  </si>
  <si>
    <t>Aaditya Avenue - 2</t>
  </si>
  <si>
    <t>Aagam Business Park</t>
  </si>
  <si>
    <t>Aakashdeep - 2</t>
  </si>
  <si>
    <t>Aalap Heights F Building</t>
  </si>
  <si>
    <t>Aastha Avenue</t>
  </si>
  <si>
    <t>Adhya Residency</t>
  </si>
  <si>
    <t>Aditya Heights</t>
  </si>
  <si>
    <t>Aishwary Residency Co Op Housing Society Limited</t>
  </si>
  <si>
    <t>Akashdeep 1 Appartment</t>
  </si>
  <si>
    <t>Aman Park</t>
  </si>
  <si>
    <t>Amrut Park</t>
  </si>
  <si>
    <t>Amrut Tara Residency</t>
  </si>
  <si>
    <t>Anjanshalaka Residency</t>
  </si>
  <si>
    <t>Anmol Residency</t>
  </si>
  <si>
    <t>Apex Lake View</t>
  </si>
  <si>
    <t>Apex Paradise</t>
  </si>
  <si>
    <t>Arham Industrial Park</t>
  </si>
  <si>
    <t>Ashapura Complex</t>
  </si>
  <si>
    <t>Aum Heights</t>
  </si>
  <si>
    <t>Aum Royale</t>
  </si>
  <si>
    <t>Azad Residency</t>
  </si>
  <si>
    <t>Bal Aashiyana</t>
  </si>
  <si>
    <t>Bal Residency</t>
  </si>
  <si>
    <t>Balaji Empire</t>
  </si>
  <si>
    <t>Bela Residency</t>
  </si>
  <si>
    <t>Bulsar Height</t>
  </si>
  <si>
    <t>Capital Business Center</t>
  </si>
  <si>
    <t>Capital Hub</t>
  </si>
  <si>
    <t>Centre Bazzar</t>
  </si>
  <si>
    <t>Centre Point</t>
  </si>
  <si>
    <t>Chandra Sarovar</t>
  </si>
  <si>
    <t>Chandra Valley</t>
  </si>
  <si>
    <t>Chandra Vatika</t>
  </si>
  <si>
    <t>City View</t>
  </si>
  <si>
    <t>Darshanam Residency</t>
  </si>
  <si>
    <t>Deepam Square</t>
  </si>
  <si>
    <t>Dev Tapovan Residency</t>
  </si>
  <si>
    <t>Dev Tapovan Residnecy B Building</t>
  </si>
  <si>
    <t>Dream City And Heights</t>
  </si>
  <si>
    <t>Dream Heights</t>
  </si>
  <si>
    <t>Dream Icon</t>
  </si>
  <si>
    <t>Ellora Park</t>
  </si>
  <si>
    <t>Empire Square</t>
  </si>
  <si>
    <t>Florence Residency</t>
  </si>
  <si>
    <t>Fortune Chandranagari</t>
  </si>
  <si>
    <t>Fortune Flowers</t>
  </si>
  <si>
    <t>Fortune Lake Homes</t>
  </si>
  <si>
    <t>Fortune Landmark</t>
  </si>
  <si>
    <t>Fortune Life Style Royale</t>
  </si>
  <si>
    <t>Fortune Nest</t>
  </si>
  <si>
    <t>Fortune One</t>
  </si>
  <si>
    <t>Fortune Plus</t>
  </si>
  <si>
    <t>Fortune Prem Residency</t>
  </si>
  <si>
    <t>Fortune Siddhivinayak</t>
  </si>
  <si>
    <t>Fortune Square A &amp; B Extension</t>
  </si>
  <si>
    <t>Gavan Homes</t>
  </si>
  <si>
    <t>Gokul Villa</t>
  </si>
  <si>
    <t>Gopal Krupa</t>
  </si>
  <si>
    <t>Green County Bldg D To H</t>
  </si>
  <si>
    <t>Green Emerald</t>
  </si>
  <si>
    <t>Green Leaves Buidling - A</t>
  </si>
  <si>
    <t>Green Leaves Building B &amp; C</t>
  </si>
  <si>
    <t>Green Leaves Building G &amp; H</t>
  </si>
  <si>
    <t>Green Villas</t>
  </si>
  <si>
    <t>Guru Krupa Heights</t>
  </si>
  <si>
    <t>Gurudev Complex</t>
  </si>
  <si>
    <t>Gurukul Heights</t>
  </si>
  <si>
    <t>Hari Krupa Apartments</t>
  </si>
  <si>
    <t>Hari Residency B Building</t>
  </si>
  <si>
    <t>Haridwar</t>
  </si>
  <si>
    <t>Imperial Tower-a Wing</t>
  </si>
  <si>
    <t>Infinity Industrial Park</t>
  </si>
  <si>
    <t>Iris Sky Bungalows</t>
  </si>
  <si>
    <t>Irma</t>
  </si>
  <si>
    <t>Ishvara</t>
  </si>
  <si>
    <t>Ivaan</t>
  </si>
  <si>
    <t>Jaivik Complex</t>
  </si>
  <si>
    <t>Jala Darshan</t>
  </si>
  <si>
    <t>Jaladham Residency</t>
  </si>
  <si>
    <t>Jalaram Complex</t>
  </si>
  <si>
    <t>Jalaram Industrial Park</t>
  </si>
  <si>
    <t>Jay Ambe Residency</t>
  </si>
  <si>
    <t>Jiya Sky</t>
  </si>
  <si>
    <t>Kalaji Business Centre (k.b.c.)</t>
  </si>
  <si>
    <t>Kalpataru</t>
  </si>
  <si>
    <t>Kanchanganga</t>
  </si>
  <si>
    <t>Karmabhoomi Residency</t>
  </si>
  <si>
    <t>Karmabhoomi Residency - 2</t>
  </si>
  <si>
    <t>Karmabhumi Dream City</t>
  </si>
  <si>
    <t>Karmabhumi Heights</t>
  </si>
  <si>
    <t>Lake Palace Residency</t>
  </si>
  <si>
    <t>Lake Paradise</t>
  </si>
  <si>
    <t>Lake Paraside</t>
  </si>
  <si>
    <t>Lav Kush 1</t>
  </si>
  <si>
    <t>Laxmi Vilas</t>
  </si>
  <si>
    <t>Love Kush 2</t>
  </si>
  <si>
    <t>M B Complex</t>
  </si>
  <si>
    <t>M M Lake City</t>
  </si>
  <si>
    <t>M M Sukun</t>
  </si>
  <si>
    <t>M S Jaljeevan</t>
  </si>
  <si>
    <t>Magnum Aura</t>
  </si>
  <si>
    <t>Magnum Icon</t>
  </si>
  <si>
    <t>Magnum Square</t>
  </si>
  <si>
    <t>Magnum Square 2</t>
  </si>
  <si>
    <t>Mangalam Apartment</t>
  </si>
  <si>
    <t>Manglam Vishwa</t>
  </si>
  <si>
    <t>Manmohan Arcade</t>
  </si>
  <si>
    <t>Maruti Green Heights</t>
  </si>
  <si>
    <t>Marvelous Celestial</t>
  </si>
  <si>
    <t>Mayur Shopping Centre</t>
  </si>
  <si>
    <t>Milestone Imperia</t>
  </si>
  <si>
    <t>Milestone Yogi</t>
  </si>
  <si>
    <t>Millennium</t>
  </si>
  <si>
    <t>Millennium Lifestyle</t>
  </si>
  <si>
    <t>Mindtree Gehana A</t>
  </si>
  <si>
    <t>Mindtree Gehana B</t>
  </si>
  <si>
    <t>Mindtree Saraswati</t>
  </si>
  <si>
    <t>Mithali Residency</t>
  </si>
  <si>
    <t>Moon Tower Building B</t>
  </si>
  <si>
    <t>Musa Fortune Residency</t>
  </si>
  <si>
    <t>Musa Residency</t>
  </si>
  <si>
    <t>Mustafa Ali</t>
  </si>
  <si>
    <t>Mustafa Residency</t>
  </si>
  <si>
    <t>Nakshatra Era</t>
  </si>
  <si>
    <t>Nakshatra Palace - 2</t>
  </si>
  <si>
    <t>Nakshtra Palace</t>
  </si>
  <si>
    <t>Nand Villa Enclave</t>
  </si>
  <si>
    <t>Neovista</t>
  </si>
  <si>
    <t>Niilkanth Aaradhya</t>
  </si>
  <si>
    <t>Niilkanth Veena</t>
  </si>
  <si>
    <t>Nilkanth Ashirwad</t>
  </si>
  <si>
    <t>Nilkanth Atulyam</t>
  </si>
  <si>
    <t>Nilkanth Eminence</t>
  </si>
  <si>
    <t>Nilkanth Enterprise</t>
  </si>
  <si>
    <t>Nilkanth Omkar</t>
  </si>
  <si>
    <t>Nirvana Bungalows</t>
  </si>
  <si>
    <t>Nutan Apartment</t>
  </si>
  <si>
    <t>Nyra</t>
  </si>
  <si>
    <t>Nyra - 2</t>
  </si>
  <si>
    <t>Odhav Krupa Residency</t>
  </si>
  <si>
    <t>Odhavangan Co Op Hsg Soc 2</t>
  </si>
  <si>
    <t>Om Elysium</t>
  </si>
  <si>
    <t>Om Elysium Building B And C</t>
  </si>
  <si>
    <t>Om Eminence</t>
  </si>
  <si>
    <t>Om Heritage A + B</t>
  </si>
  <si>
    <t>Om Valram Heritage- A&amp;b And C Building</t>
  </si>
  <si>
    <t>One Point</t>
  </si>
  <si>
    <t>Orbit</t>
  </si>
  <si>
    <t>Padmavati Co. Op. Housing Society Limited</t>
  </si>
  <si>
    <t>Pakeeza Appartment</t>
  </si>
  <si>
    <t>Panchvati Residency</t>
  </si>
  <si>
    <t>Param Infinity A</t>
  </si>
  <si>
    <t>Param Skywalk</t>
  </si>
  <si>
    <t>Paras Apartment</t>
  </si>
  <si>
    <t>Paras Darshan</t>
  </si>
  <si>
    <t>Parmar Enclave</t>
  </si>
  <si>
    <t>Pavan Heights</t>
  </si>
  <si>
    <t>Pearl Avenue</t>
  </si>
  <si>
    <t>Pinnacle</t>
  </si>
  <si>
    <t>Prabha Park 6</t>
  </si>
  <si>
    <t>Prabhu Vatika</t>
  </si>
  <si>
    <t>Pragati Green</t>
  </si>
  <si>
    <t>Pramukh Aristo</t>
  </si>
  <si>
    <t>Pramukh Aura</t>
  </si>
  <si>
    <t>Pramukh Green Plus-bldg H</t>
  </si>
  <si>
    <t>Pramukh Greens Building C1,c2,c3,c4,c5,c6,d1and D2</t>
  </si>
  <si>
    <t>Pramukh Oracle</t>
  </si>
  <si>
    <t>Pramukh S3</t>
  </si>
  <si>
    <t>Pramukh Sahaj</t>
  </si>
  <si>
    <t>Pramukh Solitaire</t>
  </si>
  <si>
    <t>Pramukh Vedanta</t>
  </si>
  <si>
    <t>Pushpam Vatika</t>
  </si>
  <si>
    <t>Radha</t>
  </si>
  <si>
    <t>Raghulaxmi Apartment</t>
  </si>
  <si>
    <t>Raj Vaibhav</t>
  </si>
  <si>
    <t>Rama Residency</t>
  </si>
  <si>
    <t>Ramji Heights</t>
  </si>
  <si>
    <t>Ravipushpa Apartment</t>
  </si>
  <si>
    <t>Revanta Heights</t>
  </si>
  <si>
    <t>Rikti Complex</t>
  </si>
  <si>
    <t>Royal Heights</t>
  </si>
  <si>
    <t>Royal Lake City-b (g+10 Floors) &amp; Royal Lake City-a (g+1 Floors)</t>
  </si>
  <si>
    <t>Rudra Arcade</t>
  </si>
  <si>
    <t>Rudra Enclave</t>
  </si>
  <si>
    <t>Rushabh Heights</t>
  </si>
  <si>
    <t>Sachi Heights " A Phase "</t>
  </si>
  <si>
    <t>Sagar Ashish</t>
  </si>
  <si>
    <t>Sagar Heights</t>
  </si>
  <si>
    <t>Sai Nivas - C</t>
  </si>
  <si>
    <t>Sai Niwas</t>
  </si>
  <si>
    <t>Sai Shakti Apartment</t>
  </si>
  <si>
    <t>Sai Shraddha Residency</t>
  </si>
  <si>
    <t>Sai Signature</t>
  </si>
  <si>
    <t>Sai Universal Park</t>
  </si>
  <si>
    <t>Samanvay Park</t>
  </si>
  <si>
    <t>Samanvay Park A &amp; B Building</t>
  </si>
  <si>
    <t>Sanghadia Residency</t>
  </si>
  <si>
    <t>Sanskruti</t>
  </si>
  <si>
    <t>Sanskruti Homes</t>
  </si>
  <si>
    <t>Sarthak</t>
  </si>
  <si>
    <t>Sasa Apartment</t>
  </si>
  <si>
    <t>Sasa Saanvi</t>
  </si>
  <si>
    <t>Satya Residency</t>
  </si>
  <si>
    <t>Satyam Apartment</t>
  </si>
  <si>
    <t>Satyu Arcade</t>
  </si>
  <si>
    <t>Sea Woods Residency " A Wing "</t>
  </si>
  <si>
    <t>Sea Woods Residency " C Wing "</t>
  </si>
  <si>
    <t>Sentosa Home City - Phase 1</t>
  </si>
  <si>
    <t>Sentosa Home City Phase-2</t>
  </si>
  <si>
    <t>Setu Heights</t>
  </si>
  <si>
    <t>Shahi Prime</t>
  </si>
  <si>
    <t>Shakti Skyline</t>
  </si>
  <si>
    <t>Shanti Complex Wing - B</t>
  </si>
  <si>
    <t>Shashvat Edge</t>
  </si>
  <si>
    <t>Shashwat Aangan</t>
  </si>
  <si>
    <t>Shayona Lagoon</t>
  </si>
  <si>
    <t>Shiv Co Operative Housing Society Limited</t>
  </si>
  <si>
    <t>Shiv Datta Residency</t>
  </si>
  <si>
    <t>Shiv Dhara Apartment</t>
  </si>
  <si>
    <t>Shiv Hari Green City</t>
  </si>
  <si>
    <t>Shiv Hari Residency</t>
  </si>
  <si>
    <t>Shiv Shakti Appartment</t>
  </si>
  <si>
    <t>Shivalik Sky</t>
  </si>
  <si>
    <t>Shivalika</t>
  </si>
  <si>
    <t>Shivam Eternity</t>
  </si>
  <si>
    <t>Shivam Srushti</t>
  </si>
  <si>
    <t>Shree Arham Ajit 2</t>
  </si>
  <si>
    <t>Shree Avenue</t>
  </si>
  <si>
    <t>Shree Balakrishna Residency</t>
  </si>
  <si>
    <t>Shree Chamunda Apartment</t>
  </si>
  <si>
    <t>Shree Divyesh Apartment</t>
  </si>
  <si>
    <t>Shree Dwarkadhish Arcade</t>
  </si>
  <si>
    <t>Shree Krishna Apartment</t>
  </si>
  <si>
    <t>Shree Mangal Murty Apartment</t>
  </si>
  <si>
    <t>Shree Sagarkhed Sarvoday Co. Op. Housing Society Limited</t>
  </si>
  <si>
    <t>Shree Siddhivinayak Residency</t>
  </si>
  <si>
    <t>Shreeji Avenue</t>
  </si>
  <si>
    <t>Shreeji Height</t>
  </si>
  <si>
    <t>Shreeji Industrial Estate</t>
  </si>
  <si>
    <t>Shreeji Square</t>
  </si>
  <si>
    <t>Shri Odhavram Residency</t>
  </si>
  <si>
    <t>Shubham Gardens</t>
  </si>
  <si>
    <t>Shyamal And Divine</t>
  </si>
  <si>
    <t>Shyamal Heights</t>
  </si>
  <si>
    <t>Signature A &amp; B</t>
  </si>
  <si>
    <t>Silver Stone</t>
  </si>
  <si>
    <t>Simna City Bunglows</t>
  </si>
  <si>
    <t>Sky Height Building C &amp; D</t>
  </si>
  <si>
    <t>Skyon Heights</t>
  </si>
  <si>
    <t>Solitair Square</t>
  </si>
  <si>
    <t>Solitaire Business Centre</t>
  </si>
  <si>
    <t>Solitaire Luxuria</t>
  </si>
  <si>
    <t>Sonorous</t>
  </si>
  <si>
    <t>Sumangal Appartment</t>
  </si>
  <si>
    <t>Sumegha Apartment</t>
  </si>
  <si>
    <t>Sumukh Residential Township</t>
  </si>
  <si>
    <t>Sumukh Township</t>
  </si>
  <si>
    <t>Sumukh Township Phase-1 A3</t>
  </si>
  <si>
    <t>Sun Aakar Residency</t>
  </si>
  <si>
    <t>Sun Aakar Residency 2</t>
  </si>
  <si>
    <t>Sun Aakar Residency 3</t>
  </si>
  <si>
    <t>Sun Arcade</t>
  </si>
  <si>
    <t>Sun Avenue Residency</t>
  </si>
  <si>
    <t>Sun Divine</t>
  </si>
  <si>
    <t>Sun Enclave</t>
  </si>
  <si>
    <t>Sun Flora</t>
  </si>
  <si>
    <t>Sun Gate Residency - 2</t>
  </si>
  <si>
    <t>Sun Imperia</t>
  </si>
  <si>
    <t>Sun Market</t>
  </si>
  <si>
    <t>Sun Pride</t>
  </si>
  <si>
    <t>Sun Serenity</t>
  </si>
  <si>
    <t>Sun Signature</t>
  </si>
  <si>
    <t>Sun Signature 2</t>
  </si>
  <si>
    <t>Sun Signature Phase 2</t>
  </si>
  <si>
    <t>Sun Trade Center</t>
  </si>
  <si>
    <t>Sun Vihar</t>
  </si>
  <si>
    <t>Sungate Residency</t>
  </si>
  <si>
    <t>Sunrise Avenue</t>
  </si>
  <si>
    <t>Sunrise Avenue - 2</t>
  </si>
  <si>
    <t>Sunrise Avenue - 3</t>
  </si>
  <si>
    <t>Sunrise Avenue - 4</t>
  </si>
  <si>
    <t>Sunrise Bungalows</t>
  </si>
  <si>
    <t>Sunrise Heights- A Wing</t>
  </si>
  <si>
    <t>Sunrise Hills</t>
  </si>
  <si>
    <t>Sunrise Residency</t>
  </si>
  <si>
    <t>Sunshine Tower</t>
  </si>
  <si>
    <t>Suprabha Apartment</t>
  </si>
  <si>
    <t>Surya Darshan Heights</t>
  </si>
  <si>
    <t>Suryakiran Apartment</t>
  </si>
  <si>
    <t>Swarit</t>
  </si>
  <si>
    <t>Swarit B. No 9 To 46</t>
  </si>
  <si>
    <t>Swastik Enclave</t>
  </si>
  <si>
    <t>Swastik Heights</t>
  </si>
  <si>
    <t>Swastik Homes</t>
  </si>
  <si>
    <t>Swastik Residency-1</t>
  </si>
  <si>
    <t>Swastik Swaraj</t>
  </si>
  <si>
    <t>Swastik Swaraj B</t>
  </si>
  <si>
    <t>Tadkeshwar Avenue</t>
  </si>
  <si>
    <t>Takshashila</t>
  </si>
  <si>
    <t>Takshashila - 2</t>
  </si>
  <si>
    <t>Tapovan Residency Appartment</t>
  </si>
  <si>
    <t>Tawwakal Heights Musa Residency</t>
  </si>
  <si>
    <t>The Central Home &amp; Retails</t>
  </si>
  <si>
    <t>The Centrica</t>
  </si>
  <si>
    <t>The Et Park Ph 2</t>
  </si>
  <si>
    <t>The Et Park Ph 3</t>
  </si>
  <si>
    <t>The Eternity Park Phase 1</t>
  </si>
  <si>
    <t>The Frontedge Park</t>
  </si>
  <si>
    <t>The Gateway</t>
  </si>
  <si>
    <t>The Gold Glass Centre</t>
  </si>
  <si>
    <t>The Grand Edge</t>
  </si>
  <si>
    <t>The Metropolis</t>
  </si>
  <si>
    <t>The Serenity Park Phase 1</t>
  </si>
  <si>
    <t>The Vivanta</t>
  </si>
  <si>
    <t>Tulip Avenue</t>
  </si>
  <si>
    <t>Tulip Skyline</t>
  </si>
  <si>
    <t>Tulsi Kalash</t>
  </si>
  <si>
    <t>Tulsi Shivam</t>
  </si>
  <si>
    <t>Tulsi Shyam</t>
  </si>
  <si>
    <t>Turning Point</t>
  </si>
  <si>
    <t>Unique Mall</t>
  </si>
  <si>
    <t>Vallabh Heights</t>
  </si>
  <si>
    <t>Vallabh Vatika</t>
  </si>
  <si>
    <t>Valram Aadhar</t>
  </si>
  <si>
    <t>Valram Sagar Residency</t>
  </si>
  <si>
    <t>Vantara</t>
  </si>
  <si>
    <t>Vanvaso 88</t>
  </si>
  <si>
    <t>Vatar Industrial Park</t>
  </si>
  <si>
    <t>Vatsalya</t>
  </si>
  <si>
    <t>Venus Height - 2</t>
  </si>
  <si>
    <t>Vibrant Business Park</t>
  </si>
  <si>
    <t>Vibrant Grain Mart</t>
  </si>
  <si>
    <t>Vibrant Vegitable Mart</t>
  </si>
  <si>
    <t>Vista Landmark</t>
  </si>
  <si>
    <t>Vista Regency</t>
  </si>
  <si>
    <t>Vivan</t>
  </si>
  <si>
    <t>Vivekananda Residency</t>
  </si>
  <si>
    <t>Vrundavan Garden</t>
  </si>
  <si>
    <t>Walkeshwar Heights</t>
  </si>
  <si>
    <t>Xotik Sea View A Wing</t>
  </si>
  <si>
    <t>Xotik Sea View- B Wing</t>
  </si>
  <si>
    <t>Yashvi Appartment</t>
  </si>
  <si>
    <t>Yashvi Heights</t>
  </si>
  <si>
    <t>Yashvi Velocia</t>
  </si>
  <si>
    <t>Amar Villa</t>
  </si>
  <si>
    <t>Laxmi Icon</t>
  </si>
  <si>
    <t>Maa Umiya Heights</t>
  </si>
  <si>
    <t>Platinum Plaza</t>
  </si>
  <si>
    <t>Market Value (Cr)</t>
  </si>
  <si>
    <t>Yes</t>
  </si>
  <si>
    <t>Partial</t>
  </si>
  <si>
    <t>Industrial belt connect with NH-48 connectivity</t>
  </si>
  <si>
    <t>Dahej and Ankleshwar Ecosystem</t>
  </si>
  <si>
    <t>SAM</t>
  </si>
  <si>
    <t>Initial market  penetration and builder onboarding</t>
  </si>
  <si>
    <t>Large-Scale contracts and operation scaling</t>
  </si>
  <si>
    <t>Stage</t>
  </si>
  <si>
    <t>Reachable Demand (m³)</t>
  </si>
  <si>
    <t>TAM</t>
  </si>
  <si>
    <t xml:space="preserve"> </t>
  </si>
  <si>
    <t>RDC Concrete (India)</t>
  </si>
  <si>
    <t>RMIX Ready-Mix</t>
  </si>
  <si>
    <t>Infra.Market</t>
  </si>
  <si>
    <t>Nuvoco Vistas</t>
  </si>
  <si>
    <t>Prism RMC</t>
  </si>
  <si>
    <t>ACC Ready Mix</t>
  </si>
  <si>
    <t>Wagad Infra</t>
  </si>
  <si>
    <t>L&amp;T Howden</t>
  </si>
  <si>
    <t>Choudhary RMC</t>
  </si>
  <si>
    <t>AC Plus Ready Mix</t>
  </si>
  <si>
    <t>Krishna Concrete</t>
  </si>
  <si>
    <t>Dev Infra RMC</t>
  </si>
  <si>
    <t>Vipul RMC 2.0</t>
  </si>
  <si>
    <t>Cube (RMC)</t>
  </si>
  <si>
    <t>Procon RMC</t>
  </si>
  <si>
    <t>Phoenix Concretes</t>
  </si>
  <si>
    <t>Manvika Infra</t>
  </si>
  <si>
    <t>D P Akbari RMC</t>
  </si>
  <si>
    <t>Sunrise Concrete</t>
  </si>
  <si>
    <t>Kesar Infra</t>
  </si>
  <si>
    <t>Makrani Infra</t>
  </si>
  <si>
    <t>Vikram Infrastructure Company</t>
  </si>
  <si>
    <t>Kinjal Construction</t>
  </si>
  <si>
    <t>Infinity Infratech</t>
  </si>
  <si>
    <t>Rajdeep Infrastructure</t>
  </si>
  <si>
    <t>Quality Concrete RMC</t>
  </si>
  <si>
    <t>Ratan Infra</t>
  </si>
  <si>
    <t>Shree Ram RMC</t>
  </si>
  <si>
    <t>Shree Krishna RMC</t>
  </si>
  <si>
    <t>Logass Industries Pvt Ltd</t>
  </si>
  <si>
    <t>Uday Infra Projects</t>
  </si>
  <si>
    <t>Neptune Buildcon</t>
  </si>
  <si>
    <t>Precise Conchem Pvt Ltd</t>
  </si>
  <si>
    <t>Duracon Cement Products</t>
  </si>
  <si>
    <t>Sahyog Infracon</t>
  </si>
  <si>
    <t>Kalyan Construction</t>
  </si>
  <si>
    <t>Avadh Enterprise</t>
  </si>
  <si>
    <t>Patel Borewell &amp; RMC</t>
  </si>
  <si>
    <t>L&amp;T / Afcons / ITD</t>
  </si>
  <si>
    <t>Hare Krishna RMC LLP</t>
  </si>
  <si>
    <t>Shree Ram Ready-Mix Concrete</t>
  </si>
  <si>
    <t>Techno Easycrete Pvt Ltd</t>
  </si>
  <si>
    <t>Beta Readymix Concrete Pvt Ltd</t>
  </si>
  <si>
    <t>Procon RMC / Conmix</t>
  </si>
  <si>
    <t>Infra Concrete</t>
  </si>
  <si>
    <t>Sri Vinayaka Readymix Concrete</t>
  </si>
  <si>
    <t>Virtucon Infratech</t>
  </si>
  <si>
    <t>Design Mix</t>
  </si>
  <si>
    <t>Gurukrupa Enterprises</t>
  </si>
  <si>
    <t>A P Infra</t>
  </si>
  <si>
    <t>L&amp;T / Afcons</t>
  </si>
  <si>
    <t>Krishna Concrete / Procon RMC</t>
  </si>
  <si>
    <t>VNS Readymix</t>
  </si>
  <si>
    <t>Venkateshwara Asphalt &amp; Concrete Mix</t>
  </si>
  <si>
    <t>Karnavati RMC Infra</t>
  </si>
  <si>
    <t>Anjali Infracrete Pvt Ltd</t>
  </si>
  <si>
    <t>Patel Infra</t>
  </si>
  <si>
    <t>Sachin, Bhatpore, Vesu</t>
  </si>
  <si>
    <t>Vadod, Magdalla, Bamroli, Vesu</t>
  </si>
  <si>
    <t>Sachin, Icchapore</t>
  </si>
  <si>
    <t>Hazira, Bhatpore, Ladvi</t>
  </si>
  <si>
    <t>Ichhapore, Kadodara</t>
  </si>
  <si>
    <t>Bhatpore</t>
  </si>
  <si>
    <t>Umbhel (Kamrej)</t>
  </si>
  <si>
    <t>Hazira (Bhatha)</t>
  </si>
  <si>
    <t>Sachin, Magdalla</t>
  </si>
  <si>
    <t>Pipodara, Gothan</t>
  </si>
  <si>
    <t>Bhestan</t>
  </si>
  <si>
    <t>Niyol, Vesu</t>
  </si>
  <si>
    <t>Palsana</t>
  </si>
  <si>
    <t>Ichhapore</t>
  </si>
  <si>
    <t>Sachin (Hojiwala)</t>
  </si>
  <si>
    <t>Godadara</t>
  </si>
  <si>
    <t>Niyol</t>
  </si>
  <si>
    <t>Surat (General)</t>
  </si>
  <si>
    <t>Vapi &amp; Talwada (Bhilad Checkpost)</t>
  </si>
  <si>
    <t>Tukwada Village (Vapi)</t>
  </si>
  <si>
    <t>Vapi / Pardi</t>
  </si>
  <si>
    <t>Valwada (Bhilad Railway Stn)</t>
  </si>
  <si>
    <t>Vapi</t>
  </si>
  <si>
    <t>Karajgam Village (Sarigam GIDC)</t>
  </si>
  <si>
    <t>Salvav Road (Vapi)</t>
  </si>
  <si>
    <t>Kudacha / Vapi GIDC</t>
  </si>
  <si>
    <t>Sarigam (Umargam)</t>
  </si>
  <si>
    <t>Machhiwad (Vapi)</t>
  </si>
  <si>
    <t>Umbergaon</t>
  </si>
  <si>
    <t>Dungra Garment Zone (Vapi)</t>
  </si>
  <si>
    <t>Dahej, Vilayat, Panoli, &amp; Bholav</t>
  </si>
  <si>
    <t>Dahej II &amp; Ankleshwar GIDC</t>
  </si>
  <si>
    <t>Vagra / Dahej Corridor</t>
  </si>
  <si>
    <t>Bharuch Central / Bholav</t>
  </si>
  <si>
    <t>Ankleshwar GIDC</t>
  </si>
  <si>
    <t>Dahej GIDC</t>
  </si>
  <si>
    <t>Ankleshwar</t>
  </si>
  <si>
    <t>Zadeshwar</t>
  </si>
  <si>
    <t>Palej GIDC Area</t>
  </si>
  <si>
    <t>Ankleshwar Rural</t>
  </si>
  <si>
    <t>Linear Project Corridors</t>
  </si>
  <si>
    <t>Navsari Central / Maroli</t>
  </si>
  <si>
    <t>Vejalpore / Navsari</t>
  </si>
  <si>
    <t>South Corridor (Bilimora)</t>
  </si>
  <si>
    <t>Chikhli / College Road</t>
  </si>
  <si>
    <t>Chikhli (NH-48 Corridor)</t>
  </si>
  <si>
    <t>Chikhli / South Navsari</t>
  </si>
  <si>
    <t>Maroli / Navsari North Border</t>
  </si>
  <si>
    <t>Chikhli</t>
  </si>
  <si>
    <t>Bilimora / Chikhli</t>
  </si>
  <si>
    <t>Chikhli / Rural Navsari</t>
  </si>
  <si>
    <t>Navsari Local</t>
  </si>
  <si>
    <t>Navsari Suburban</t>
  </si>
  <si>
    <t>DFC &amp; HSR Alignments</t>
  </si>
  <si>
    <t>Valod &amp; Western Vyara</t>
  </si>
  <si>
    <t>Vyara Central</t>
  </si>
  <si>
    <t>Songadh (NH-53 Corridor)</t>
  </si>
  <si>
    <t>Valod / Vyara Border</t>
  </si>
  <si>
    <t>Songadh Industrial Belt</t>
  </si>
  <si>
    <t>Vyara Suburban</t>
  </si>
  <si>
    <t>Vyara Rural</t>
  </si>
  <si>
    <t>Songadh / Uchchhal</t>
  </si>
  <si>
    <t>NH-53 &amp; Ukai Canal Alignments</t>
  </si>
  <si>
    <t>National Tier-1</t>
  </si>
  <si>
    <t>Premium</t>
  </si>
  <si>
    <t>Low</t>
  </si>
  <si>
    <t>Captive Surat Metro JV integration, highly advanced QA/QC labs</t>
  </si>
  <si>
    <t>Over-reliance on volatile government mega-tenders</t>
  </si>
  <si>
    <t>Dominant Regional</t>
  </si>
  <si>
    <t>Mid-Premium</t>
  </si>
  <si>
    <t>Largest multi-plant network in South Gujarat, aggressive hyper-local reach</t>
  </si>
  <si>
    <t>Extreme scaling and rapid CapEx risks</t>
  </si>
  <si>
    <t>Tech-Aggregator</t>
  </si>
  <si>
    <t>QCI-certified VAC portfolio, superior real-time ERP software tracking</t>
  </si>
  <si>
    <t>Asset-light dependency model</t>
  </si>
  <si>
    <t>Strategic proximity to NTPC for fly-ash, heavy industrial dominance</t>
  </si>
  <si>
    <t>Geographically constrained by coastal transport logistics</t>
  </si>
  <si>
    <t>Balanced spatial footprint between coast and highway</t>
  </si>
  <si>
    <t>Slower rate of aggressive regional expansion</t>
  </si>
  <si>
    <t>Historical legacy brand trust, preferred by petrochemical sectors</t>
  </si>
  <si>
    <t>Aging plant infrastructure compared to tech-aggregators</t>
  </si>
  <si>
    <t>Captive / EPC</t>
  </si>
  <si>
    <t>Captive</t>
  </si>
  <si>
    <t>Guaranteed internal demand from NH-48 highway flyover mandates</t>
  </si>
  <si>
    <t>Near-zero retail or B2C market presence</t>
  </si>
  <si>
    <t>Fully integrated into heavy engineering and offshore construction</t>
  </si>
  <si>
    <t>Zero commercial market integration</t>
  </si>
  <si>
    <t>Major Regional</t>
  </si>
  <si>
    <t>Competitive</t>
  </si>
  <si>
    <t>Dual-node strategy covering textiles and luxury residential</t>
  </si>
  <si>
    <t>Intense corporate margin squeezing in Magdalla</t>
  </si>
  <si>
    <t>High</t>
  </si>
  <si>
    <t>Minor Independent</t>
  </si>
  <si>
    <t>Mid</t>
  </si>
  <si>
    <t>Absolute dominance in the northern industrial periphery</t>
  </si>
  <si>
    <t>Relative newcomer facing capital constraints</t>
  </si>
  <si>
    <t>30+ years of localized trust, flexible credit terms</t>
  </si>
  <si>
    <t>Single-site vulnerability to GPCB compliance costs</t>
  </si>
  <si>
    <t>Sustained 24/7 operations, deep logistics integration</t>
  </si>
  <si>
    <t>GPCB zoning risks in densely populated Bhestan</t>
  </si>
  <si>
    <t>Leverages canal roads to bypass Ring Road traffic</t>
  </si>
  <si>
    <t>NIMBY protests and regulatory scrutiny in Vesu</t>
  </si>
  <si>
    <t>Vertical integration with M-sand and raw aggregate stockpiles</t>
  </si>
  <si>
    <t>Hyper-dependence on the NH-48 industrial corridor</t>
  </si>
  <si>
    <t>Bridges the gap between heavy industry and residential transition</t>
  </si>
  <si>
    <t>Geographically squeezed by Tier-1 corporate hubs</t>
  </si>
  <si>
    <t>Safely embedded within SEZ, immune to public road traffic delays</t>
  </si>
  <si>
    <t>Severely limited reach outside the local industrial estate</t>
  </si>
  <si>
    <t>Niche Minor</t>
  </si>
  <si>
    <t>Highly capable of ultra-high strength (M65) in dense grids</t>
  </si>
  <si>
    <t>Narrow profit margins on low volume</t>
  </si>
  <si>
    <t>Diversified portfolio (blocks, geogrids, road marking)</t>
  </si>
  <si>
    <t>Lack of long-term RMC scale (established 2022)</t>
  </si>
  <si>
    <t>Lowest</t>
  </si>
  <si>
    <t>Agile CP30 plant deployment for rapid localized mixing</t>
  </si>
  <si>
    <t>Weak brand recognition and low CapEx barrier</t>
  </si>
  <si>
    <t>Dual-unit deployment capturing both Vapi city and the crucial Bhilad transitional border.</t>
  </si>
  <si>
    <t>Highly dependent on localized commercial rather than mega-infrastructure projects.</t>
  </si>
  <si>
    <t>Deep corporate integration and legacy QA/QC preferred by heavy industrial clients.</t>
  </si>
  <si>
    <t>Slower aggressive expansion into the newer peripheral industrial estates.</t>
  </si>
  <si>
    <t>Highly integrated with fully-fledged testing laboratories; historical presence.</t>
  </si>
  <si>
    <t>Over-reliance on internal civil contracting mandates rather than pure B2B sales.</t>
  </si>
  <si>
    <t>Strategic placement near railway logistics allows for agile raw material supply.</t>
  </si>
  <si>
    <t>Smaller localized fleet limits ability to execute massive continuous mega-pours.</t>
  </si>
  <si>
    <t>Provides a diverse range of standard commercial grades (M10 to M45) at accessible price points.</t>
  </si>
  <si>
    <t>Lacks the specialized value-added concrete (VAC) portfolios of Tier-1s.</t>
  </si>
  <si>
    <t>Perfect geographical positioning to supply the rapidly expanding Sarigam chemical zone.</t>
  </si>
  <si>
    <t>Growth is heavily correlated to the isolated expansion of the Sarigam pocket.</t>
  </si>
  <si>
    <t>Strong localized focus on the Salvav commercial stretch.</t>
  </si>
  <si>
    <t>Limited operational scale compared to the dominant heavyweights deep inside Vapi GIDC.</t>
  </si>
  <si>
    <t>Superior technological integration and transparent supply tracking.</t>
  </si>
  <si>
    <t>Asset-light model relies heavily on partnerships with existing local physical plants.</t>
  </si>
  <si>
    <t>Highly competitive base pricing for standard localized civil engineering projects.</t>
  </si>
  <si>
    <t>Thin profit margins; highly vulnerable to raw aggregate supply shocks.</t>
  </si>
  <si>
    <t>Effectively fills concrete supply gaps deep within the Umargam peripheral zones.</t>
  </si>
  <si>
    <t>Lacks broad regional brand recognition outside its immediate micro-market.</t>
  </si>
  <si>
    <t>Highly agile, serving the dense, narrow urban grids of coastal Vapi.</t>
  </si>
  <si>
    <t>Extremely limited transit mixer fleet capacity; single-point failure risks.</t>
  </si>
  <si>
    <t>A relatively newer entrant (est. 2021), aggressively pricing to capture initial market share.</t>
  </si>
  <si>
    <t>Lack of historical legacy; faces uphill friction against entrenched operators like Kesar.</t>
  </si>
  <si>
    <t>Safely embedded within specific garment zones serving localized factory floor upgrades.</t>
  </si>
  <si>
    <t>Geographically restricted; does not effectively compete for municipal infrastructure.</t>
  </si>
  <si>
    <t>45,000 – 50,000</t>
  </si>
  <si>
    <t>Market Leader</t>
  </si>
  <si>
    <t>Strong multi-location footprint; deep penetration in massive industrial civil contracts; high-capacity automated batching.</t>
  </si>
  <si>
    <t>Higher corporate overhead; logistical strain during peak multi-site pours.</t>
  </si>
  <si>
    <t>15,000 – 18,000</t>
  </si>
  <si>
    <t>Key Challenger</t>
  </si>
  <si>
    <t>Market Rate</t>
  </si>
  <si>
    <t>Excellent placement near key industrial corridors; strong transit mixer fleet strength.</t>
  </si>
  <si>
    <t>High dependency on chemical-zone industrial capex cycles.</t>
  </si>
  <si>
    <t>10,000 – 12,000</t>
  </si>
  <si>
    <t>Niche Specialist</t>
  </si>
  <si>
    <t>High agility; tailored mixes for industrial flooring and corrosive environments.</t>
  </si>
  <si>
    <t>Limited geographical reach outside the Vagra/Dahej belt.</t>
  </si>
  <si>
    <t>8,500 – 11,000</t>
  </si>
  <si>
    <t>Regional Stronghold</t>
  </si>
  <si>
    <t>Deep relationships with local commercial builders; reliable urban transit turnaround times.</t>
  </si>
  <si>
    <t>Limited capacity to scale for mega infrastructure pours simultaneously.</t>
  </si>
  <si>
    <t>8,000 – 10,000</t>
  </si>
  <si>
    <t>Industrial Regular</t>
  </si>
  <si>
    <t>Well-established operations in the oldest chemical belt; optimized supply chain for rapid delivery.</t>
  </si>
  <si>
    <t>Equipment aging; tight footprint for raw material stocking.</t>
  </si>
  <si>
    <t>7,500 – 9,500</t>
  </si>
  <si>
    <t>Industrial Follower</t>
  </si>
  <si>
    <t>Fully automated weigh-batching; stable delivery to chemical manufacturing setups.</t>
  </si>
  <si>
    <t>Moderate fleet sizing limits simultaneous multi-project delivery.</t>
  </si>
  <si>
    <t>6,000 – 7,500</t>
  </si>
  <si>
    <t>Local Mainstay</t>
  </si>
  <si>
    <t>Cost-Effective</t>
  </si>
  <si>
    <t>Highly flexible pricing; strong pull with local tier-2 sub-contractors.</t>
  </si>
  <si>
    <t>Inconsistent access to premium ad-mixtures; lower tier quality control.</t>
  </si>
  <si>
    <t>5,500 – 7,000</t>
  </si>
  <si>
    <t>Local Follower</t>
  </si>
  <si>
    <t>Proximity to the growing residential real estate hub along the NH-8 corridor.</t>
  </si>
  <si>
    <t>Vulnerable to local aggregate supply disruptions.</t>
  </si>
  <si>
    <t>4,000 – 5,500</t>
  </si>
  <si>
    <t>Geographic Niche</t>
  </si>
  <si>
    <t>Zero local competition in the northern Palej industrial corridor; lower operational costs.</t>
  </si>
  <si>
    <t>Small fleet size; unable to serve central Bharuch or Dahej due to transit times.</t>
  </si>
  <si>
    <t>3,500 – 4,500</t>
  </si>
  <si>
    <t>Minor Player</t>
  </si>
  <si>
    <t>Low-Cost</t>
  </si>
  <si>
    <t>Lowest operating overheads; ideal for rural foundations, minor slabs, and private plots.</t>
  </si>
  <si>
    <t>Manual or semi-automated batching constraints; highly limited grade options.</t>
  </si>
  <si>
    <t>Project Captive</t>
  </si>
  <si>
    <t>Internal Cost</t>
  </si>
  <si>
    <t>Massive scale; localized on-site batching plants next to alignment points; zero transit lag.</t>
  </si>
  <si>
    <t>Non-commercial entity; dismantled upon project completion.</t>
  </si>
  <si>
    <t>12,000 – 15,000</t>
  </si>
  <si>
    <t>High brand trust; strong transit mixer fleet; reliable for large tier-1 residential pours.</t>
  </si>
  <si>
    <t>Premium overheads compared to unorganized local minor plants.</t>
  </si>
  <si>
    <t>Excellent geographical placement for suburban expansion; highly agile delivery schedules.</t>
  </si>
  <si>
    <t>Smaller corporate networking for national-level infrastructure tenders.</t>
  </si>
  <si>
    <t>10,000 – 12,500</t>
  </si>
  <si>
    <t>Expertise in massive industrial logistics parks; automated batching; high-grade structural capabilities.</t>
  </si>
  <si>
    <t>Operations spread widely across South Gujarat, diluting Navsari focus.</t>
  </si>
  <si>
    <t>9,000 – 11,000</t>
  </si>
  <si>
    <t>Strong local presence in Chikhli; deep contractor networks for mid-sized commercial builds.</t>
  </si>
  <si>
    <t>Fleet size limits simultaneous delivery to distant Navsari North regions.</t>
  </si>
  <si>
    <t>8,500 – 10,000</t>
  </si>
  <si>
    <t>Corridor Specialist</t>
  </si>
  <si>
    <t>Dominates the Chikhli logistics/highway corridor; strong capability in M35+ construction grades.</t>
  </si>
  <si>
    <t>Highly dependent on commercial warehousing and highway project cycles.</t>
  </si>
  <si>
    <t>Specialist Challenger</t>
  </si>
  <si>
    <t>Specializes in AAC ready-mix and targeted structural grades; high quality consistency.</t>
  </si>
  <si>
    <t>Niche specialization limits capturing mass low-grade foundation volumes.</t>
  </si>
  <si>
    <t>Premium Invader</t>
  </si>
  <si>
    <t>Backed by massive Surat capacity; exceptional quality control for premium high-rises.</t>
  </si>
  <si>
    <t>Longer transit times from Surat borders into deep Navsari territory.</t>
  </si>
  <si>
    <t>5,000 – 6,000</t>
  </si>
  <si>
    <t>Volume Follower</t>
  </si>
  <si>
    <t>Consistent commercial volume supplier; good relationships with regional warehouse builders.</t>
  </si>
  <si>
    <t>Limited product differentiation; competes purely on pricing and availability.</t>
  </si>
  <si>
    <t>Strong local transit footprint; efficient proprietary formulas for smooth structural finishes.</t>
  </si>
  <si>
    <t>Limited capacity to handle simultaneous multi-site mega pours.</t>
  </si>
  <si>
    <t>Highly flexible; caters to specialized small-volume pours and targeted residential requirements.</t>
  </si>
  <si>
    <t>Small transit fleet limits daily pour volume ceilings.</t>
  </si>
  <si>
    <t>3,000 – 4,000</t>
  </si>
  <si>
    <t>Deep relationships with hyper-local contractors; excellent for minor slabs and unorganized sector.</t>
  </si>
  <si>
    <t>Outdated batching technology; limited QA/QC certification capabilities.</t>
  </si>
  <si>
    <t>2,500 – 3,500</t>
  </si>
  <si>
    <t>Focuses strictly on small residential slabs and local unorganized retail construction.</t>
  </si>
  <si>
    <t>Cannot compete for commercial tenders due to capacity constraints.</t>
  </si>
  <si>
    <t>2,000 – 3,000</t>
  </si>
  <si>
    <t>Lowest operating overhead; caters strictly to individual home builders and small rural plots.</t>
  </si>
  <si>
    <t>Highly localized; virtually no commercial market presence.</t>
  </si>
  <si>
    <t>Massive on-site batching plants strategically placed along the Bullet Train and Highway corridors.</t>
  </si>
  <si>
    <t>Temporary installations; legally barred from supplying the open retail market.</t>
  </si>
  <si>
    <t>Massive transit fleet; elite quality control; capable of executing large continuous pours for government buildings.</t>
  </si>
  <si>
    <t>Transit lag from Surat/Bardoli borders makes them uncompetitive for small rural volume pours.</t>
  </si>
  <si>
    <t>5,000 – 6,500</t>
  </si>
  <si>
    <t>Local Leader</t>
  </si>
  <si>
    <t>Deep entrenchment in Vyara's civil expansion; excellent local contractor networks.</t>
  </si>
  <si>
    <t>Limited capacity for high-grade (M40+) specialized structural mixes.</t>
  </si>
  <si>
    <t>4,500 – 6,000</t>
  </si>
  <si>
    <t>Infrastructure Regular</t>
  </si>
  <si>
    <t>Dual capability in asphalt and RMC; dominant in local road, paving, and industrial maintenance in Songadh.</t>
  </si>
  <si>
    <t>Highly dependent on government road-repair and infrastructure cycles.</t>
  </si>
  <si>
    <t>Highly agile local fleet; specializes in M10-M25 grades ideal for agricultural and low-rise residential builds.</t>
  </si>
  <si>
    <t>Lacks the corporate backing to bid on major highway flyover projects.</t>
  </si>
  <si>
    <t>Close proximity to the Songadh paper/industrial cluster; reliable for factory floor and shed casting.</t>
  </si>
  <si>
    <t>Fleet size limits operations exclusively to the Songadh/Ukai radius.</t>
  </si>
  <si>
    <t>Specialist Minor</t>
  </si>
  <si>
    <t>Integrated with precast compound wall and paver block manufacturing; offers bundled material deals.</t>
  </si>
  <si>
    <t>Outdated batching systems; slower turnaround times during peak season.</t>
  </si>
  <si>
    <t>1,500 – 2,500</t>
  </si>
  <si>
    <t>Lowest operating overhead; caters strictly to individual home builders and village-level slab casting.</t>
  </si>
  <si>
    <t>Cannot provide computerized batching reports required by commercial engineers.</t>
  </si>
  <si>
    <t>1,000 – 2,000</t>
  </si>
  <si>
    <t>Only local option for deep eastern Tapi (Uchchhal/Nizar) avoiding massive transit costs from Vyara.</t>
  </si>
  <si>
    <t>Very small capacity; vulnerable to localized aggregate supply shortages.</t>
  </si>
  <si>
    <t>Massive on-site batching plants strategically placed for highway widening and canal concrete lining.</t>
  </si>
  <si>
    <t>Zone</t>
  </si>
  <si>
    <t>Location</t>
  </si>
  <si>
    <t>25,000 - 35,000</t>
  </si>
  <si>
    <t>35,000 - 40,000</t>
  </si>
  <si>
    <t>10,000 - 20,000</t>
  </si>
  <si>
    <t>15,000 - 22,000</t>
  </si>
  <si>
    <t>10,000 - 15,000</t>
  </si>
  <si>
    <t>5,000 - 10,000</t>
  </si>
  <si>
    <t>6,000 - 12,000</t>
  </si>
  <si>
    <t>4,000 - 8,000</t>
  </si>
  <si>
    <t>3,000 - 6,000</t>
  </si>
  <si>
    <t>2,000 - 5,500</t>
  </si>
  <si>
    <t>2,000 - 4,500</t>
  </si>
  <si>
    <t>2,000 - 4,000</t>
  </si>
  <si>
    <t>1,500 - 4,000</t>
  </si>
  <si>
    <t>2,000 - 3,000</t>
  </si>
  <si>
    <t>2,500 - 5,000</t>
  </si>
  <si>
    <t>2,000 - 3,500</t>
  </si>
  <si>
    <t>1,500 - 3,000</t>
  </si>
  <si>
    <t>1,000 - 2,500</t>
  </si>
  <si>
    <t>1,000 - 2,000</t>
  </si>
  <si>
    <t>25,000 – 35,000</t>
  </si>
  <si>
    <t>7,000 – 9,000</t>
  </si>
  <si>
    <t>15,000 – 25,000</t>
  </si>
  <si>
    <t>Target white spaces include Sarigam, Palej, eastern Tapi and selected Chikhli/Navsari corridors, while Dahej, Ankleshwar, Hazira and Vapi GIDC offer industrial account potential where certified supply and reliability matter.</t>
  </si>
  <si>
    <t>Threats are high: 24 high-threat and 26 medium-threat competitors, widespread cost-effective pricing, localized credit flexibility, and captive EPC/site batching that can remove large project volumes from the open market.</t>
  </si>
  <si>
    <t>Low localized scale barriers are visible across minor independents and low-cost plants, especially Navsari, Tapi, Vapi and Surat micro-markets; however, QA/QC, fleet depth and industrial approvals raise barriers for premium accounts.</t>
  </si>
  <si>
    <t>Players with aggregate, M-sand, fly-ash or captive/project integration reduce supplier exposure, but smaller local plants cite aggregate shocks, admixture access and compliance costs as recurring constraints.</t>
  </si>
  <si>
    <t>Builder, contractor and industrial buyers have many alternatives across premium, competitive, cost-effective and low-cost suppliers, creating strong negotiation pressure and switching options by zone.</t>
  </si>
  <si>
    <t>Captive EPC and on-site batching for metro, highway, DFC/HSR and industrial corridors substitute open-market RMC on large projects, while retail and certified commercial pours still require dependable external supply.</t>
  </si>
  <si>
    <t>Rivalry is intense: Surat has national and regional networks, Bharuch is led by Uday/AC Plus/Kesar around Dahej and Ankleshwar, Navsari has AC Plus/Hare Krishna/Kesar, Vapi has Makrani/ACC, and Tapi has Krishna-Procon/VNS strength.</t>
  </si>
  <si>
    <t>Pricing pressure is concentrated in competitive, cost-effective and low-cost clusters: Bharuch, Navsari, Tapi and Vapi show many local players willing to trade margin for utilization, while Surat combines premium brands with aggressive independents.</t>
  </si>
  <si>
    <t>Coverage gaps are most actionable in Sarigam/Umargam, Palej, eastern Tapi and selective Chikhli/Navsari pockets; Dahej, Ankleshwar, Hazira and central Surat are attractive but already heavily contested.</t>
  </si>
  <si>
    <t>Industrial account threats are highest where incumbents are embedded in chemical, petrochemical, garment, logistics and highway corridors: Uday in Dahej/Panoli/Bholav, Nuvoco/ACC in Hazira-Bhatpore, Makrani/ACC in Vapi, and AC Plus/Kesar in Navsari-Bharuch.</t>
  </si>
  <si>
    <t>Recommended UltraTech response: enter selectively with certified reliability, industrial key-account targeting, disciplined mid-premium pricing, and satellite coverage in underserved corridors rather than broad price-led competition.</t>
  </si>
  <si>
    <t>IRR/NPV Cash Flow</t>
  </si>
  <si>
    <t>Year 0</t>
  </si>
  <si>
    <t>INR/Cr</t>
  </si>
  <si>
    <t>Base linked to SOM Year 1; cases retain existing multipliers.</t>
  </si>
  <si>
    <t>Year 1 volume = SAM Reachable Demand × SOM capture.</t>
  </si>
  <si>
    <t>Weighted market price from Market_Data; cases retain existing ±5%.</t>
  </si>
  <si>
    <t>Discount rate used for NPV.</t>
  </si>
  <si>
    <t>Base Volume (m³)</t>
  </si>
  <si>
    <t>Base Avg Price / m³</t>
  </si>
  <si>
    <t>Base Revenue (₹ Cr)</t>
  </si>
  <si>
    <t>Base EBITDA (₹ Cr)</t>
  </si>
  <si>
    <t>Opt Volume (m³)</t>
  </si>
  <si>
    <t>Opt Avg Price / m³</t>
  </si>
  <si>
    <t>Opt Revenue (₹ Cr)</t>
  </si>
  <si>
    <t>Opt EBITDA (₹ Cr)</t>
  </si>
  <si>
    <t>Pess Capture %</t>
  </si>
  <si>
    <t>Pess Volume (m³)</t>
  </si>
  <si>
    <t>Pess Avg Price / m³</t>
  </si>
  <si>
    <t>Pess Revenue (₹ Cr)</t>
  </si>
  <si>
    <t>Pess EBITDA (₹ Cr)</t>
  </si>
  <si>
    <t>Cumulative Cash Flow</t>
  </si>
  <si>
    <t>Plant location and service-radius selection risk</t>
  </si>
  <si>
    <t>Finalize site only after mapping SAM districts, competitor nodes, and delivery lanes; prioritize coverage of Surat, Valsad, and Bharuch demand before partial zones.</t>
  </si>
  <si>
    <t>Surat demand concentration risk</t>
  </si>
  <si>
    <t>Secure anchor customers in Surat first, then diversify dispatch coverage into Valsad and Bharuch to reduce single-district exposure.</t>
  </si>
  <si>
    <t>SOM capture ramp risk</t>
  </si>
  <si>
    <t>Gate expansion spend to signed builder/contractor onboarding milestones tied to Year 1, Year 2, and Year 3 SOM targets.</t>
  </si>
  <si>
    <t>Competitive pricing pressure risk</t>
  </si>
  <si>
    <t>Use project-specific pricing bands anchored to workbook average price and avoid blanket discounting against low-cost local players.</t>
  </si>
  <si>
    <t>Customer acquisition risk</t>
  </si>
  <si>
    <t>Build a priority account pipeline from high-demand Market_Data projects and target builders/contractors before capacity commitment.</t>
  </si>
  <si>
    <t>Revenue downside risk</t>
  </si>
  <si>
    <t>Track monthly booked volume and price realization against Base/Pessimistic cases; pause discretionary expansion if performance trends below Base path.</t>
  </si>
  <si>
    <t>Project pipeline validation risk</t>
  </si>
  <si>
    <t>Validate live project pipeline from RERA/infrastructure sources before relying on demand beyond current Market_Data and TAM/SAM/SOM.</t>
  </si>
  <si>
    <t>Mixed-development and residential concentration risk</t>
  </si>
  <si>
    <t>Balance sales effort across mixed, residential, and commercial accounts; avoid depending on one project category for Year 1 capture.</t>
  </si>
  <si>
    <t>Logistics and delivery reliability risk</t>
  </si>
  <si>
    <t>Select plant/fleet plan around route density and dispatch reliability; prioritize projects with repeatable delivery lanes.</t>
  </si>
  <si>
    <t>Raw-material and unit-cost break-even risk</t>
  </si>
  <si>
    <t>Lock cement, aggregate, sand, admixture, and logistics supply terms before volume ramp; monitor unit cost variance against model inputs.</t>
  </si>
  <si>
    <t>Capacity utilization ramp risk</t>
  </si>
  <si>
    <t>Stage capacity release by booked demand and keep capacity assumptions documented before procurement or plant setup.</t>
  </si>
  <si>
    <t>Industrial demand evidence gap</t>
  </si>
  <si>
    <t>Do not count industrial upside until GIDC/industrial customer pipeline is separately sourced and added to workbook evidence.</t>
  </si>
  <si>
    <t>Infrastructure demand evidence gap</t>
  </si>
  <si>
    <t>Treat infrastructure upside as unmodeled until specific sourced infrastructure projects and demand are entered.</t>
  </si>
  <si>
    <t>Regulatory and zoning risk</t>
  </si>
  <si>
    <t>Pre-clear plant location, environmental compliance, and operating permissions before land or plant commitment.</t>
  </si>
  <si>
    <t>NPV downside risk</t>
  </si>
  <si>
    <t>Use NPV as an investment gate and retest if price, capture, cost, or utilization assumptions move toward pessimistic case.</t>
  </si>
  <si>
    <t>Geographic expansion risk in partial zones</t>
  </si>
  <si>
    <t>Serve partial zones selectively through confirmed orders rather than full fixed-capacity deployment.</t>
  </si>
  <si>
    <t>Residential demand conversion risk</t>
  </si>
  <si>
    <t>Prioritize ongoing residential projects with clear completion timelines and verified RERA status.</t>
  </si>
  <si>
    <t>IRR and ROI sensitivity risk</t>
  </si>
  <si>
    <t>Review IRR/ROI after each capture and pricing update; hold expansion if returns converge toward pessimistic outputs.</t>
  </si>
  <si>
    <t>Assumption completeness risk</t>
  </si>
  <si>
    <t>Complete assumption log from validated sources before investment committee review; keep model assumptions auditable.</t>
  </si>
  <si>
    <t>This TAM/SAM/SOM model estimates the South Gujarat RMC market opportunity using district-wise project aggregation, industry benchmark demand assumptions, operational serviceability analysis, and phased market-capture strategy for UltraTech RMC expansion feasibility.</t>
  </si>
  <si>
    <t>Regional contractor acquisition and reachable-market expansion</t>
  </si>
  <si>
    <t>Competitive landscape assessment of the South Gujarat RMC market, evaluating competitor capacity, market positioning, pricing strategy, operational strengths, strategic threats, and expansion implications for UltraTech</t>
  </si>
  <si>
    <t>Needs Validation</t>
  </si>
  <si>
    <t>N/A - Captive</t>
  </si>
  <si>
    <t>3,000 - 7,000</t>
  </si>
  <si>
    <t>UltraTech can leverage national QA/QC credibility and brand trust against a fragmented base of  66 Competitors; Surat and Bharuch show demand depth but many high-threat local players remain capacity or geography constrained.</t>
  </si>
  <si>
    <t>Entry must overcome entrenched regional relationships: RMIX/RDC/Nuvoco/Infra.Market in Surat, Uday/AC Plus/Kesar in Bharuch-Navsari, Makrani/ACC  in Vapi, and   Krishna/Procon/VNS in Tapi already hold strong local access.</t>
  </si>
  <si>
    <t>Total Competitors</t>
  </si>
  <si>
    <t>High - Threat Competitors</t>
  </si>
  <si>
    <t>Medium - Threat Competitors</t>
  </si>
  <si>
    <t>Low - Threat Competitors</t>
  </si>
  <si>
    <t>Captive/Non-Commercial Players</t>
  </si>
  <si>
    <t>Risk Count Matrix</t>
  </si>
  <si>
    <t>Risk ID</t>
  </si>
  <si>
    <t>Risk Category</t>
  </si>
  <si>
    <t>R-01</t>
  </si>
  <si>
    <t>R-02</t>
  </si>
  <si>
    <t>R-03</t>
  </si>
  <si>
    <t>R-04</t>
  </si>
  <si>
    <t>R-05</t>
  </si>
  <si>
    <t>R-06</t>
  </si>
  <si>
    <t>R-07</t>
  </si>
  <si>
    <t>R-08</t>
  </si>
  <si>
    <t>R-09</t>
  </si>
  <si>
    <t>R-10</t>
  </si>
  <si>
    <t>R-11</t>
  </si>
  <si>
    <t>R-12</t>
  </si>
  <si>
    <t>R-13</t>
  </si>
  <si>
    <t>R-14</t>
  </si>
  <si>
    <t>R-15</t>
  </si>
  <si>
    <t>R-16</t>
  </si>
  <si>
    <t>R-17</t>
  </si>
  <si>
    <t>R-18</t>
  </si>
  <si>
    <t>R-19</t>
  </si>
  <si>
    <t>Location / Service Radius</t>
  </si>
  <si>
    <t>Market Concentration</t>
  </si>
  <si>
    <t>Market Capture</t>
  </si>
  <si>
    <t>Competition / Pricing</t>
  </si>
  <si>
    <t>Customer Acquisition</t>
  </si>
  <si>
    <t>Pipeline / Data Quality</t>
  </si>
  <si>
    <t>Category Concentration</t>
  </si>
  <si>
    <t>Logistics / Dispatch</t>
  </si>
  <si>
    <t>Cost / Break-even</t>
  </si>
  <si>
    <t>Revenue / Scenario</t>
  </si>
  <si>
    <t>Capacity</t>
  </si>
  <si>
    <t>Evidence Gap</t>
  </si>
  <si>
    <t>Regulatory</t>
  </si>
  <si>
    <t>Financial Return</t>
  </si>
  <si>
    <t>Governance / Assumptions</t>
  </si>
  <si>
    <t>Geographic Expansion</t>
  </si>
  <si>
    <t>Residential Demand</t>
  </si>
  <si>
    <t>Risk Rating</t>
  </si>
  <si>
    <t>Total Risk</t>
  </si>
  <si>
    <t>Critical</t>
  </si>
  <si>
    <t>Surat Metro Rail  Project (Phase 1)</t>
  </si>
  <si>
    <t>Metro/Mass Rapid  Transit</t>
  </si>
  <si>
    <t>Estimated conrete demand values  are benchmark-based estimates derived from publicly available project information and should be treated as indicative demand potential for feasibility assessment purposes.</t>
  </si>
  <si>
    <t>gujaratmetrorail.com; pib.gov.in</t>
  </si>
  <si>
    <t>Rundh-Bhatha Conventional Barrage</t>
  </si>
  <si>
    <t>Water Infrastructure / Barrage</t>
  </si>
  <si>
    <t>Planned</t>
  </si>
  <si>
    <t>Estimated Project Cost (₹ Cr)</t>
  </si>
  <si>
    <t>suratmunicipal.gov.in</t>
  </si>
  <si>
    <t>Surat Multi-Modal Transportation Hub (MMTH)</t>
  </si>
  <si>
    <t>pib.gov.in</t>
  </si>
  <si>
    <t>Surat-Dumas Road Flyover at New Court Building</t>
  </si>
  <si>
    <t>Bridge / Flyover</t>
  </si>
  <si>
    <t>SVNIT College to Kargil Chowk Flyover</t>
  </si>
  <si>
    <t>Shyam Dham Temple Flyover (Surat-Kamrej Road)</t>
  </si>
  <si>
    <t>Bamroli-Althan BRTS Flyover</t>
  </si>
  <si>
    <t>Katargam-Amroli River Bridge Widening</t>
  </si>
  <si>
    <t>Industrial Infrastructure</t>
  </si>
  <si>
    <t>gidc.gujarat.gov.in</t>
  </si>
  <si>
    <t>12.5 MLD CETP at Bulk Drug Park</t>
  </si>
  <si>
    <t>Common Steam Plant (34 MW, 360 TPH) at Bulk Drug Park</t>
  </si>
  <si>
    <t>Power / Industrial Utilities</t>
  </si>
  <si>
    <t>TSDF Facility (5 Lakh MT) at Bulk Drug Park</t>
  </si>
  <si>
    <t>Industrial Waste Management</t>
  </si>
  <si>
    <t>100 MLD Desalination Plant</t>
  </si>
  <si>
    <t>90 MLD Effluent Disposal Pipeline to Deep Sea</t>
  </si>
  <si>
    <t>Bhadbhut Barrage Project</t>
  </si>
  <si>
    <t>gidm.gujarat.gov.in</t>
  </si>
  <si>
    <t>Rigid Pavement Road at PM MITRA Park</t>
  </si>
  <si>
    <t>Upgradation of Navsari Industrial Estate</t>
  </si>
  <si>
    <t>PM MITRA Textile Park</t>
  </si>
  <si>
    <t>70 MLD Offshore and Onshore Effluent Disposal Pipeline</t>
  </si>
  <si>
    <t>Delhi-Mumbai Expressway (Gujarat Packages 27 &amp; 28)</t>
  </si>
  <si>
    <t>nhai.gov.in</t>
  </si>
  <si>
    <t>NH-56 Upgradation (Vyara Taluka)</t>
  </si>
  <si>
    <t>Highway</t>
  </si>
  <si>
    <t>Tourism Infrastructure - Digital Forest World &amp; Safari Parks</t>
  </si>
  <si>
    <t>Tourism / Institutional</t>
  </si>
  <si>
    <t>forests.gujarat.gov.in</t>
  </si>
  <si>
    <t>Total Projects</t>
  </si>
  <si>
    <t>Total Estimated Demand (m³)</t>
  </si>
  <si>
    <t>Extreme</t>
  </si>
  <si>
    <t>Total Project Cost (₹ Cr)</t>
  </si>
  <si>
    <t>Extreme Importance Projects</t>
  </si>
  <si>
    <t>Under Construction Projects</t>
  </si>
  <si>
    <t>Tendering Projects</t>
  </si>
  <si>
    <t>Demand Tier</t>
  </si>
  <si>
    <t>Tier 2</t>
  </si>
  <si>
    <t>Tier 3</t>
  </si>
  <si>
    <t>Tier 1</t>
  </si>
  <si>
    <t>Demand Contribution %</t>
  </si>
  <si>
    <t>Verification Status</t>
  </si>
  <si>
    <t>Include in TAM?</t>
  </si>
  <si>
    <t>Verified</t>
  </si>
  <si>
    <t>Benchmark Estimate</t>
  </si>
  <si>
    <t>Official DPR confirms the 40.35 km network scope (elevated and underground) and Rs 12,020 Cr cost, but public documents omit the final concrete BOQ. The 25,000 $m^3$/km benchmark is standard for civil viaducts/tunnels and highly recommended for the feasibility model.</t>
  </si>
  <si>
    <t>Project features and the Rs 825.91 Cr capital cost are verified by SMC. The structural BOQ is pending EPC finalization. The benchmark estimate is reliable for mass hydraulic structures.</t>
  </si>
  <si>
    <t>Official documents confirm a 5-tower 61-storey commercial development and transit integration, but exact quantities depend on the finalized design. The benchmark is conservative and suitable for inclusion.</t>
  </si>
  <si>
    <t>Official data confirms the flyover's length (1,114.13 m total) and carriage width (up to 7.5 m). Applying standard structural thickness (deck and piers), an engineering estimate of ~16,700 $m^3$ is more accurate than the CAPEX benchmark.</t>
  </si>
  <si>
    <t>EPC tender is active but the BOQ is withheld in the public summary. The cost-based benchmark is standard practice for pre-award flyovers.</t>
  </si>
  <si>
    <t>Verified as an active tender. Without structural drawings, the CAPEX-derived benchmark is the only reliable proxy.</t>
  </si>
  <si>
    <t>Project cost is verified. No public BOQ is available. Recommended for inclusion as a benchmark</t>
  </si>
  <si>
    <t>Deep foundation river bridges are heavily concrete-intensive. The benchmark accurately reflects the Rs 180 Cr capital outlay.</t>
  </si>
  <si>
    <t>Verified EPC cost of Rs 170.21 Cr. Sub-surface CETP tanks require dense RCC, validating the benchmark metric.</t>
  </si>
  <si>
    <t>Verified EPC cost of Rs 273.74 Cr. Turbine foundations demand heavy, continuous concrete pours, aligning with the estimate.</t>
  </si>
  <si>
    <t>Only the PMC tender is currently published; full EPC cost and dimensions are pending. The benchmark is provisional but should remain in the model for long-term forecasting.</t>
  </si>
  <si>
    <t>The 40 km pipeline requires heavy thrust blocks and coastal pumping stations. Exact concrete ratio is unpublished; benchmark is acceptable.</t>
  </si>
  <si>
    <t xml:space="preserve">Official tracking shows specific structural quantities (e.g., 16,935 $m^3$ for Fish Pass M35, 5,089 $m^3$ for DFCC M40), but the grand total BOQ across all 90 gates and 41 km embankments is not consolidated publicly. The benchmark mirrors the massive Rs 4,167 Cr scale well.  </t>
  </si>
  <si>
    <t>Masterplan approved for 1,142 acres, but unified civil BOQ is pending Master Developer selection. Benchmark reflects realistic horizontal infrastructure phasing.</t>
  </si>
  <si>
    <t>Verified EPC cost of Rs 660.36 Cr. Massive pumping stations and landfall structures validate the heavy-hydraulic benchmark.</t>
  </si>
  <si>
    <t xml:space="preserve">Official lengths are 29 km (Pkg 27) and 26 km (Pkg 28). Applying the standard 10,000 $m^3$/km rigid pavement and structures engineering rule yields an exact match.  </t>
  </si>
  <si>
    <t>Official length verified at 60.21 km. The per-km engineering estimate methodology matches the current demand profile perfectly.</t>
  </si>
  <si>
    <t>Detailed architectural drawings and BOQs are not published for these phased tourism projects. Keep as a minimal provisional placeholder.</t>
  </si>
  <si>
    <t>Verified Projects</t>
  </si>
  <si>
    <t>Benchmark Projects</t>
  </si>
  <si>
    <t>Included in TAM</t>
  </si>
  <si>
    <t>Estimated Demand (m³) by District</t>
  </si>
  <si>
    <t>Total Demand (m³)</t>
  </si>
  <si>
    <t>Sensitivity</t>
  </si>
  <si>
    <t>Pricing</t>
  </si>
  <si>
    <t>Financial_Model!C9:E9</t>
  </si>
  <si>
    <t>Percentage</t>
  </si>
  <si>
    <t>Financial_Model!C29</t>
  </si>
  <si>
    <t>Financial_Model!C33</t>
  </si>
  <si>
    <t>TAM_SAM_SOM!B27</t>
  </si>
  <si>
    <t>TAM_SAM_SOM!B28</t>
  </si>
  <si>
    <t>Financial_Model!C12:E12</t>
  </si>
  <si>
    <t>Code</t>
  </si>
  <si>
    <t>BHR</t>
  </si>
  <si>
    <t>SUR</t>
  </si>
  <si>
    <t>VAL</t>
  </si>
  <si>
    <t>NAV</t>
  </si>
  <si>
    <t>TAP</t>
  </si>
  <si>
    <t>Project ID</t>
  </si>
  <si>
    <t>CONCRETE DEMAND — ASSUMPTIONS &amp; RATE CARD</t>
  </si>
  <si>
    <t>BUA Min (sq m)</t>
  </si>
  <si>
    <t>BUA Max (sq m)</t>
  </si>
  <si>
    <t>Typical BUA (sq m)</t>
  </si>
  <si>
    <t>A  |  PROJECT CATEGORY — BUILT UP AREA &amp; CONCRETE INTENSITY</t>
  </si>
  <si>
    <t>Project Category (RERA)</t>
  </si>
  <si>
    <t>Concrete Intensity
(m³ / sq m BUA)</t>
  </si>
  <si>
    <t>Structural Basis</t>
  </si>
  <si>
    <t>RCC frame multi-storey; IS 456 benchmark</t>
  </si>
  <si>
    <t>Heavier floor loads; commercial-grade RCC</t>
  </si>
  <si>
    <t>Blended residential + commercial intensity</t>
  </si>
  <si>
    <t>Roads, drains, BW, amenity block only; no superstructure</t>
  </si>
  <si>
    <t>B  |  DISTRICT-WISE READY-MIX CONCRETE PRICE RATES (INR per m³)</t>
  </si>
  <si>
    <t>Min Price
(INR/m³)</t>
  </si>
  <si>
    <t>Max Price
(INR/m³)</t>
  </si>
  <si>
    <t>Standard Price
(INR/m³)</t>
  </si>
  <si>
    <t>Market Remarks</t>
  </si>
  <si>
    <t>Multiple RMC plants; high competition; urban premium</t>
  </si>
  <si>
    <t>PCPIR industrial corridor; moderate RMC demand</t>
  </si>
  <si>
    <t>Coastal belt; fewer RMC plants than Surat</t>
  </si>
  <si>
    <t>Developing market; steady growth trajectory</t>
  </si>
  <si>
    <t>Rural; limited RMC supply; site-mix common</t>
  </si>
  <si>
    <t>Concrete Intensity
(m³ / sq m)</t>
  </si>
  <si>
    <t>Avg Price per (₹ / m³)</t>
  </si>
  <si>
    <t>No. of
Projects</t>
  </si>
  <si>
    <t>Total BUA
(sq m)</t>
  </si>
  <si>
    <t>Total Concrete
Demand (m³)</t>
  </si>
  <si>
    <t>% of Total Cost</t>
  </si>
  <si>
    <t>Total Concrete
Cost (₹/Cr)</t>
  </si>
  <si>
    <t>Project Category</t>
  </si>
  <si>
    <t>RES</t>
  </si>
  <si>
    <t>COM</t>
  </si>
  <si>
    <t>MIX</t>
  </si>
  <si>
    <t>PLT</t>
  </si>
  <si>
    <t>Grand Total</t>
  </si>
  <si>
    <t>Estimated Market Value (₹ Cr)</t>
  </si>
  <si>
    <t>Avg Concrete Usage (m³)</t>
  </si>
  <si>
    <t>Avg Price (₹/m³)</t>
  </si>
  <si>
    <t>No</t>
  </si>
  <si>
    <t>Reachability</t>
  </si>
  <si>
    <t>Included in Sam?</t>
  </si>
  <si>
    <t>Benchmark Estimation</t>
  </si>
  <si>
    <t>No - Duplicate in Market_Data</t>
  </si>
  <si>
    <t>No - Outside Model Geography</t>
  </si>
  <si>
    <t>Needs Review</t>
  </si>
  <si>
    <t>Completed</t>
  </si>
  <si>
    <t>Jambusar Bulk Drug Park Infrastructure</t>
  </si>
  <si>
    <t>Ongoing</t>
  </si>
  <si>
    <t>Covers 742+ Hectares. Official documents confirm the Rs 2,507 Cr total cost but lack a unified civil BOQ. The benchmark is reasonable for horizontal industrial infrastructure.</t>
  </si>
  <si>
    <t>Verified EPC cost of Rs 120 Cr. Concrete volume for 5 Lakh MT capacity cells relies on the benchmark due to missing structural schematics.</t>
  </si>
  <si>
    <t xml:space="preserve">Official tender confirms a 5.70 km main rigid road. Using an engineering estimate (5,700m length $\times$ 7m width $\times$ 0.3m depth), the demand is closer to 4,728 $m^3$, superseding the CAPEX benchmark.  </t>
  </si>
  <si>
    <t>Cost verified at Rs 48.50 Cr. Suitable for benchmark estimation as minor structural details are excluded from the tender summary.</t>
  </si>
  <si>
    <t>Revenue Potential (₹ Cr)</t>
  </si>
  <si>
    <t>Revenue Growth %</t>
  </si>
  <si>
    <t>Capacity Min</t>
  </si>
  <si>
    <t>Capacity Max</t>
  </si>
  <si>
    <t>Capacity Midpoint</t>
  </si>
  <si>
    <t>Annual Capacity</t>
  </si>
  <si>
    <t>Zone Capacity Total</t>
  </si>
  <si>
    <t>Capacity Share %</t>
  </si>
  <si>
    <t>Zone Market Share Coverage %</t>
  </si>
  <si>
    <t>Pricing Pressure Score</t>
  </si>
  <si>
    <t>Threat Score</t>
  </si>
  <si>
    <t>High Threat Flag</t>
  </si>
  <si>
    <t>Low-Cost Competitor Flag</t>
  </si>
  <si>
    <t>Market Share Validation Flag</t>
  </si>
  <si>
    <t>Capacity Validation Flag</t>
  </si>
  <si>
    <t>Overall Competitor Priority</t>
  </si>
  <si>
    <t>Commercial / Captive Flag</t>
  </si>
  <si>
    <t>Competitive/Low-Cost Players</t>
  </si>
  <si>
    <t># Competitors</t>
  </si>
  <si>
    <t>Very High</t>
  </si>
  <si>
    <t>Market Coverage &amp; White-Space Estimate</t>
  </si>
  <si>
    <t>Estimated Market Share is now numeric and zone totals are summed below to surface how much of each district is explained by named competitors versus an implied unorganized/other-player residual. Captive/EPC players (N/A - Captive) and unconfirmed entries (Needs Validation) are excluded from the documented total.</t>
  </si>
  <si>
    <t>Listed Competitors</t>
  </si>
  <si>
    <t>Documented Share (Σ)</t>
  </si>
  <si>
    <t>Implied Unorganized / Other Share</t>
  </si>
  <si>
    <t>Coverage Assessment</t>
  </si>
  <si>
    <t>Partial coverage - residual likely includes unorganized/minor players not individually profiled; recommend further desk mapping</t>
  </si>
  <si>
    <t>Well-documented - named competitors explain most of the zone</t>
  </si>
  <si>
    <t>Source / Evidence</t>
  </si>
  <si>
    <t>Plant Count</t>
  </si>
  <si>
    <t>Latitude</t>
  </si>
  <si>
    <t>Longitude</t>
  </si>
  <si>
    <t>Distance from Proposed Plant (km)</t>
  </si>
  <si>
    <t>Radius (Km)</t>
  </si>
  <si>
    <t>Justdial: 'RDC Concrete India Limited in Bhatpore, Surat' (justdial.com); rdc.in (corporate site, 140 plants pan-India, FY2026)</t>
  </si>
  <si>
    <t>rmix.in (official site: 'We operate a total of 5 RMIX plants' / 'large infrastructure of 4 batching unit'); Justdial: Rmix, Dundi, Vadod, Surat-394221/394540</t>
  </si>
  <si>
    <t>infra.market: 'RMC Plants in Sachin' and 'RMC Plants in Icchapore' location pages (concrete.infra.market)</t>
  </si>
  <si>
    <t>nuvoco.com plant directory; GST filing for Nuvoco Vistas Corporation Ltd (piceapp.com); constructioncloud.in RMC directory</t>
  </si>
  <si>
    <t>Justdial: 'Prism RMC in Kadodara' and 'Prism Johnson Ltd in Ichhapore, Surat'; rmcindia.com / prismjohnson.in</t>
  </si>
  <si>
    <t>Justdial 'Top ACC Ready Mix Concrete Manufacturers' category pages for Surat/Bharuch/Ahmedabad region</t>
  </si>
  <si>
    <t>Justdial Surat RMC dealer directory (jdmart Prism-RMC/Prism-Johnson listing pages, 'nearby businesses')</t>
  </si>
  <si>
    <t>General L&amp;T Hazira complex location; no independent listing found for an 'L&amp;T Howden' RMC plant specifically</t>
  </si>
  <si>
    <t>infra.market Sachin plant page (concrete.infra.market) - 'Choudhary RMC' listed among nearby businesses</t>
  </si>
  <si>
    <t>acplusrmc.com (confirms AC Plus is a real, multi-district Gujarat RMC brand); exact Pipodara unit address not found</t>
  </si>
  <si>
    <t>Justdial Surat RMC dealer listings; infra.market Sachin plant page nearby-business list</t>
  </si>
  <si>
    <t>infra.market Sachin plant page (concrete.infra.market) nearby-business list</t>
  </si>
  <si>
    <t>infra.market Sachin plant page nearby-business list</t>
  </si>
  <si>
    <t>Justdial Surat RMC dealer directory</t>
  </si>
  <si>
    <t>Justdial Surat RMC dealer directory (multiple cross-listings)</t>
  </si>
  <si>
    <t>Hojiwala Industrial Estate, Sachin confirmed as a real location; no independent listing found for 'Phoenix Concretes' specifically</t>
  </si>
  <si>
    <t>Justdial: '114, 1st Floor, Madhav Shopping Centre, Godadara Road, Godadara, Surat-395010'</t>
  </si>
  <si>
    <t>Justdial Surat RMC dealer directory ('Sunrise Enterprise', Valak) - plausible match, not a confirmed exact-name hit</t>
  </si>
  <si>
    <t>makraniinfra.in/contact (official company contact page, both unit addresses)</t>
  </si>
  <si>
    <t>Justdial 'ACC Ready Mix Concrete' category pages (regional)</t>
  </si>
  <si>
    <t>No independent listing found; location per existing workbook data</t>
  </si>
  <si>
    <t>Justdial Surat RMC dealer directory confirms the Procon RMC brand; Valwada unit not separately pinpointed</t>
  </si>
  <si>
    <t>Sarigam GIDC confirmed as a real industrial estate; no independent listing found for this specific company</t>
  </si>
  <si>
    <t>infra.market corporate site confirms company and broad coverage; Vapi-specific plant page not individually located</t>
  </si>
  <si>
    <t>udaygroupdahej.com (company site); GST filing (piceapp.com); Justdial 'Uday Infra Projects Panoli Plant, Umarwada, Ankleshwar'</t>
  </si>
  <si>
    <t>acplusrmc.com: 'Our state-of-the-art manufacturing unit in Ankleshwar'</t>
  </si>
  <si>
    <t>kesarinfra.in (confirms a real, multi-region 'Kesar Infra' RMC brand operating in South Gujarat)</t>
  </si>
  <si>
    <t>Ankleshwar GIDC confirmed as a real, active RMC dealer hub (20 dealers on Justdial); this specific company not individually pinpointed</t>
  </si>
  <si>
    <t>Captive on-site batching; no fixed commercial address by definition</t>
  </si>
  <si>
    <t>acplusrmc.com confirms the brand and multi-district coverage; Navsari unit address not individually located</t>
  </si>
  <si>
    <t>harekrishnarmc.com/ContactUs (official company site)</t>
  </si>
  <si>
    <t>kesarinfra.in confirms the brand; Bilimora-specific unit not individually located</t>
  </si>
  <si>
    <t>Procon RMC brand confirmed via Justdial Surat directory; this unit not individually located</t>
  </si>
  <si>
    <t>Justdial Surat RMC dealer directory: 'A P Infra', Sachin</t>
  </si>
  <si>
    <t>Component brands confirmed via Justdial Surat directory; this specific Tapi unit not individually located</t>
  </si>
  <si>
    <t>No independent Gujarat listing found; a same-named business found elsewhere in India is an unrelated entity</t>
  </si>
  <si>
    <t>No independent Gujarat listing found; same-named businesses found elsewhere in India are unrelated entities</t>
  </si>
  <si>
    <t>Not Verified</t>
  </si>
  <si>
    <t>Plant Capacity &amp; Phased Rollout Plan</t>
  </si>
  <si>
    <t>Batching Plant Rated Capacity</t>
  </si>
  <si>
    <t>m³/hr</t>
  </si>
  <si>
    <t>Source: Standard Indian RMC batching plant spec (30-60 m³/hr typical); IS 4925:2004.</t>
  </si>
  <si>
    <t>Operating Hours per Day</t>
  </si>
  <si>
    <t>hrs</t>
  </si>
  <si>
    <t>Single extended shift; allows for loading, transit and wash-down time.</t>
  </si>
  <si>
    <t>Operating Days per Year</t>
  </si>
  <si>
    <t>days</t>
  </si>
  <si>
    <t>Accounts for monsoon slowdown, statutory holidays and planned maintenance.</t>
  </si>
  <si>
    <t>Theoretical Annual Capacity per Plant</t>
  </si>
  <si>
    <t>m³/yr</t>
  </si>
  <si>
    <t>Rated capacity x hours/day x days/year.</t>
  </si>
  <si>
    <t>Effective Annual Capacity per Plant</t>
  </si>
  <si>
    <t>Theoretical capacity x Capacity Utilization (row 9) - this is what finally puts the utilization assumption to use.</t>
  </si>
  <si>
    <t>Fixed Overhead per Plant (Admin/SG&amp;A)</t>
  </si>
  <si>
    <t>INR Cr/yr</t>
  </si>
  <si>
    <t>Benchmark: site management, sales/key-account staff, insurance, depot rent not already captured in the per-m³ OpEx table above.</t>
  </si>
  <si>
    <t>Year 4</t>
  </si>
  <si>
    <t>Year 5</t>
  </si>
  <si>
    <t>Base Unit Cost (₹ / m³)</t>
  </si>
  <si>
    <t>Base Gross Profit (₹ Cr)</t>
  </si>
  <si>
    <t>Base Fix Overhead (₹ Cr)</t>
  </si>
  <si>
    <t>Base Implied Capture %</t>
  </si>
  <si>
    <t>5-Year Revenue &amp; Profitability Forecast</t>
  </si>
  <si>
    <t>Opt Implied Capture %</t>
  </si>
  <si>
    <t>Opt Unit Cost (₹ / m³)</t>
  </si>
  <si>
    <t>Opt Gross Profit (₹ Cr)</t>
  </si>
  <si>
    <t>Opt Fix Overhead (₹ Cr)</t>
  </si>
  <si>
    <t>Pess Unit Cost (₹/m³)</t>
  </si>
  <si>
    <t>Pess Gross Profit (₹ Cr)</t>
  </si>
  <si>
    <t>Pess Fixed Overhead (₹ Cr)</t>
  </si>
  <si>
    <t>Initial CapEx for Year-1 plants.</t>
  </si>
  <si>
    <t>Year 1 EBITDA less CapEx for the Year-2 plant.</t>
  </si>
  <si>
    <t>Year 2 EBITDA less CapEx for the Year-3 plant.</t>
  </si>
  <si>
    <t>Rollout complete - no incremental CapEx.</t>
  </si>
  <si>
    <t>Steady-state operations.</t>
  </si>
  <si>
    <t>Steady-state harvest year.</t>
  </si>
  <si>
    <t>Positive = cumulative investment recovered within the 5-year horizon.</t>
  </si>
  <si>
    <t>Total CapEx (3-Plant Rollout)</t>
  </si>
  <si>
    <t>Total EBITDA (5-Year)</t>
  </si>
  <si>
    <t>5-Year Cumulative ROI</t>
  </si>
  <si>
    <t>NPV @ Discount Rate (5-Year)</t>
  </si>
  <si>
    <t>IRR (5-Year)</t>
  </si>
  <si>
    <t>Derived: weighted avg. of tbl_sam[Reachable Market Value]/tbl_sam[Estimated Reachable Demand]</t>
  </si>
  <si>
    <t>Validated</t>
  </si>
  <si>
    <t>Industry-standard RMC batching plant spec (IS 4925:2004); 30-60 m³/hr typical for a mid-size plant</t>
  </si>
  <si>
    <t>Sets the entire volume ceiling per plant - see Plant Capacity &amp; Rollout block.</t>
  </si>
  <si>
    <t>70% base / 85% optimistic / 60% pessimistic. Finally wired into Effective Capacity per Plant.</t>
  </si>
  <si>
    <t>days/yr</t>
  </si>
  <si>
    <t>Financial_Model!C44:E44</t>
  </si>
  <si>
    <t>15-20</t>
  </si>
  <si>
    <t>km</t>
  </si>
  <si>
    <t>Industry rule of thumb: concrete must be poured within ~90 minutes of mixing, capping the economic delivery radius</t>
  </si>
  <si>
    <t>10-15</t>
  </si>
  <si>
    <t>consistent with the dispatch radius above</t>
  </si>
  <si>
    <t>Largest single line in the per-m³ cost build-up.</t>
  </si>
  <si>
    <t>%/yr</t>
  </si>
  <si>
    <t>applied consistently to both price and unit cost in the 5-Year Forecast</t>
  </si>
  <si>
    <t>Company estimate (Working Capital line in CapEx table)</t>
  </si>
  <si>
    <t>Plant Rollout</t>
  </si>
  <si>
    <t>Cost Structure</t>
  </si>
  <si>
    <t>Margin</t>
  </si>
  <si>
    <t>Data Quality</t>
  </si>
  <si>
    <t>Market Coverage</t>
  </si>
  <si>
    <t>Number of plants by Year (cumulative)</t>
  </si>
  <si>
    <t>Fixed overhead per plant (admin/SG&amp;A)</t>
  </si>
  <si>
    <t>Gross margin (derived, not assumed)</t>
  </si>
  <si>
    <t>CapEx per plant (Land, Plant, Fleet, Pumps, QA, Pre-Op, WC)</t>
  </si>
  <si>
    <t>Infrastructure_Projects cost/demand corrections</t>
  </si>
  <si>
    <t>Competitor market-share documented coverage by zone</t>
  </si>
  <si>
    <t>1 / 2 / 3 / 3 / 3</t>
  </si>
  <si>
    <t>plants</t>
  </si>
  <si>
    <t>Management assumption - phased entry, one new plant added per year through Year 3, then hold</t>
  </si>
  <si>
    <t>Replaces the original model, which sized CapEx for one plant but assumed it could capture 5-15% of a five-district SAM - a scale mismatch corrected in this revision.</t>
  </si>
  <si>
    <t>site management, key-account sales, insurance, depot rent not already in the per-m³ OpEx table</t>
  </si>
  <si>
    <t>(Price - Unit Cost)/Price using the OpEx build-up</t>
  </si>
  <si>
    <t>Company estimate - see Financial_Model CapEx table</t>
  </si>
  <si>
    <t>Scales with the number of plants in the Phased Rollout, not a one-time fixed figure.</t>
  </si>
  <si>
    <t>6 of 22 rows corrected</t>
  </si>
  <si>
    <t>Count</t>
  </si>
  <si>
    <t>Cross-checked against NHAI, Sardar Sarovar Narmada Nigam, GIDC pre-feasibility report and the sheets own methodology notes</t>
  </si>
  <si>
    <t>46%-100% across zones</t>
  </si>
  <si>
    <t>Computed from tbl_Competitors (Market Coverage &amp; White-Space Estimate block)</t>
  </si>
  <si>
    <t>Valsad is the weakest-documented zone (~46%); treat its competitive intensity as understated until further desk research.</t>
  </si>
  <si>
    <t>Overall Risk Rating</t>
  </si>
  <si>
    <t>Operational optimization, plant utilization improvement, key account expansion, and market share consolidation.</t>
  </si>
  <si>
    <t>Market leadership, long-term customer retention, premium product expansion, and sustainable profitability</t>
  </si>
  <si>
    <t>Financial KPI Panel — Base Case (5 Year)</t>
  </si>
  <si>
    <t>Year 1 Revenue</t>
  </si>
  <si>
    <t>Total EBITDA (5-Yr)</t>
  </si>
  <si>
    <t>Total CapEx (3 Plants)</t>
  </si>
  <si>
    <t>NPV @ Discount Rate</t>
  </si>
  <si>
    <t>Break-Even Volume/Plant</t>
  </si>
  <si>
    <t>5-Yr Cumulative ROI</t>
  </si>
  <si>
    <t>Risk Heat-Map — Probability x Impact (count of risks, colored by severity band)</t>
  </si>
  <si>
    <t xml:space="preserve">                                                                                             Impact</t>
  </si>
  <si>
    <t>Critical (&gt;=20)</t>
  </si>
  <si>
    <t>High (15-19)</t>
  </si>
  <si>
    <t>Medium (8-14)</t>
  </si>
  <si>
    <t>Low (&lt;8)</t>
  </si>
  <si>
    <t>GO</t>
  </si>
  <si>
    <t>BUA Validation</t>
  </si>
  <si>
    <t>Estimated Built Up Area (sq m)</t>
  </si>
  <si>
    <t>Project Requiring  Review</t>
  </si>
  <si>
    <t>Data Quality &amp; Coverage</t>
  </si>
  <si>
    <t>Market_Data</t>
  </si>
  <si>
    <t>Sample Coverage &amp; Data Quality Assessment</t>
  </si>
  <si>
    <t>Sample Share (%)</t>
  </si>
  <si>
    <t>District-level market estimates are based on the available GujRERA project database. Districts with limited project counts (e.g., Tapi) have lower statistical confidence and should be interpreted as indicative rather than conclusive. Additional field validation is recommended before investment decisions</t>
  </si>
  <si>
    <t>Internal benchmark based on comparable Gujarat RERA residential projects; concrete intensity validated against IS 456 engineering practice</t>
  </si>
  <si>
    <t>Internal benchmark based on commercial building projects and structural engineering norms</t>
  </si>
  <si>
    <t>Weighted benchmark derived from residential and commercial project mix.</t>
  </si>
  <si>
    <t>Internal benchmark based on infrastructure and site-development concrete usage.</t>
  </si>
  <si>
    <t>Industrial / Manufacturing</t>
  </si>
  <si>
    <t>TAM (₹ Cr)</t>
  </si>
  <si>
    <t>Reachability %</t>
  </si>
  <si>
    <t>SAM (₹ Cr)</t>
  </si>
  <si>
    <t>Total</t>
  </si>
  <si>
    <t>Reduction %</t>
  </si>
  <si>
    <t>Current SAM is based on district-level reachability assumptions (Yes = 100%, Partial = 60%, No = 0%). The resulting SAM represents approximately 98% of TAM, indicating limited market exclusion. This assumption should be periodically reviewed against operational constraints such as delivery radius, plant network, logistics costs, and competitive intensity.</t>
  </si>
  <si>
    <t>Maximum Economical RMC Delivery Radius</t>
  </si>
  <si>
    <t>Defines the maximum economical delivery distance from an RMC batching plant. Used as the primary driver for SAM reachability and logistics assessment.</t>
  </si>
  <si>
    <t>Within economical delivery radius of proposed batching plant.</t>
  </si>
  <si>
    <t>Partially within economical delivery radius.</t>
  </si>
  <si>
    <t>Outside economical delivery radius.</t>
  </si>
  <si>
    <t>Estimated Reachable Demand (m³)</t>
  </si>
  <si>
    <t>Competitors Identified</t>
  </si>
  <si>
    <t>Verification Rate</t>
  </si>
  <si>
    <t>PorterRating_List</t>
  </si>
  <si>
    <t>Gross Margin (Superseded)</t>
  </si>
  <si>
    <t>EBITDA Margin (Superseded)</t>
  </si>
  <si>
    <t>Annual Price / Cost Escalation</t>
  </si>
  <si>
    <t>CapEx Payback Volume
(Per Plant – Year 1 Equivalent)</t>
  </si>
  <si>
    <t>Five-year financial model based on SOM projections. This sheet calculates revenue, EBITDA, cash flow, NPV, IRR, ROI, payback period, and scenario analysis using validated assumptions.</t>
  </si>
  <si>
    <t>Cumulative Plants</t>
  </si>
  <si>
    <t>5 × 5 Probability–Impact Risk Matrix</t>
  </si>
  <si>
    <t>Risk_Analysis Sheet – tbl_risk_analysis</t>
  </si>
  <si>
    <t>Risk severity is calculated as Probability × Impact using a standardized 5×5 risk matrix. Refer to the Risk_Analysis sheet for detailed scoring criteria and mitigation actions.</t>
  </si>
  <si>
    <t>Internal benchmark based on NHAI civil project cost analysis and regional RMC supplier quotations</t>
  </si>
  <si>
    <t>Internal benchmark based on bridge construction projects and RMC supplier quotations</t>
  </si>
  <si>
    <t>Gujarat Metro Rail project benchmark and comparable civil construction data</t>
  </si>
  <si>
    <t>Irrigation and water resource civil engineering benchmark</t>
  </si>
  <si>
    <t>GIDC industrial development benchmark and supplier quotations</t>
  </si>
  <si>
    <t>Utility and energy civil works benchmark</t>
  </si>
  <si>
    <t>The Value column intentionally contains a combination of manually entered assumptions, linked workbook references, and calculated values. Inconsistent formula warnings are expected and do not indicate calculation errors.</t>
  </si>
  <si>
    <t>Source: Internal desk estimate (no external vendor rate card on file) -- recommend validating against recent RMC quotations for South Gujarat before board submission.</t>
  </si>
  <si>
    <t>Not referenced by any live formula. Actual computed gross margin is derived directly from Price - Unit Cost (~24.2% Yr1) -- see Assumptions_Log!C22 for the reconciliation.</t>
  </si>
  <si>
    <t>Not referenced by any live formula. Actual computed EBITDA margin is ~22.7% across all 5 years, derived bottom-up from unit economics, not from this rate.</t>
  </si>
  <si>
    <t>Industrial/Manufacturing demand is not currently included because the Market_Data sheet contains only Residential, Commercial, Mixed Development, and Plotted Development projects. This category will be populated when verified industrial project data becomes available. Average Concrete Usage is a weighted average based on total demand divided by total projects.</t>
  </si>
  <si>
    <t>Market capture assumptions are management estimates and should be reviewed against actual commissioning, production ramp-up, competitive response, and commercial execution.</t>
  </si>
  <si>
    <t>Estimated Market Share %</t>
  </si>
  <si>
    <t>Capacity Range Width %</t>
  </si>
  <si>
    <t>Distance Validation</t>
  </si>
  <si>
    <t>Base</t>
  </si>
  <si>
    <t>Optimistic</t>
  </si>
  <si>
    <t>Pessimistic</t>
  </si>
  <si>
    <t>Scenario Summary</t>
  </si>
  <si>
    <t>Revenue (Year 5)</t>
  </si>
  <si>
    <t>EBITDA (Year 5)</t>
  </si>
  <si>
    <t>NPV</t>
  </si>
  <si>
    <t>IRR</t>
  </si>
  <si>
    <t>EBITDA Margin</t>
  </si>
  <si>
    <t>Live executive dashboard linked to workbook tables; KPIs update automatically from the market, financial, competitor and risk model.</t>
  </si>
  <si>
    <t>Executive summary linked to live workbook outputs for market sizing, financial feasibility, competitor position, risk profile and investment decision.</t>
  </si>
  <si>
    <t>INR/m3</t>
  </si>
  <si>
    <t>Working capital amount</t>
  </si>
  <si>
    <t>TAM_SAM_SOM!B29</t>
  </si>
  <si>
    <t>See Infrastructure_Projects Notes column for each corrected figure and source.</t>
  </si>
  <si>
    <t>Base scenario multiplier</t>
  </si>
  <si>
    <t>x</t>
  </si>
  <si>
    <t>Scenario control factor used for base-case model logic.</t>
  </si>
  <si>
    <t>Optimistic scenario multiplier</t>
  </si>
  <si>
    <t>Scenario control factor used by Financial_Model market-capture logic.</t>
  </si>
  <si>
    <t>Pessimistic scenario multiplier</t>
  </si>
  <si>
    <t>Industrial waste management RMC price</t>
  </si>
  <si>
    <t>Industrial waste-management civil works benchmark and regional RMC price logic.</t>
  </si>
  <si>
    <t>Tourism / institutional RMC price</t>
  </si>
  <si>
    <t>Tourism and institutional civil works benchmark and regional RMC price logic.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</si>
</sst>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164" formatCode="0.0%"/>
    <numFmt numFmtId="165" formatCode="0.0"/>
    <numFmt numFmtId="166" formatCode="[$₹-4009]\ #,##0.00"/>
    <numFmt numFmtId="167" formatCode="#,##0\ &quot;m³&quot;"/>
    <numFmt numFmtId="168" formatCode="\₹#,##0"/>
    <numFmt numFmtId="169" formatCode="#,##0&quot; sq m&quot;"/>
    <numFmt numFmtId="170" formatCode="#,##0\ &quot;sq m&quot;"/>
    <numFmt numFmtId="171" formatCode="#,##0.00\ &quot;m³ / sq m&quot;"/>
    <numFmt numFmtId="172" formatCode="#,##0.00\ &quot;m³&quot;"/>
    <numFmt numFmtId="173" formatCode="#,##0.00\ \ &quot;/ m³&quot;"/>
    <numFmt numFmtId="174" formatCode="0.00000"/>
    <numFmt numFmtId="175" formatCode="[$₹-4009]\ #,##0.0"/>
    <numFmt numFmtId="176" formatCode="#,##0.0\ &quot;m3&quot;"/>
    <numFmt numFmtId="177" formatCode="[$₹-4009]\ #,##0.00\ &quot;Cr&quot;"/>
    <numFmt numFmtId="178" formatCode="0.00\ &quot;yrs&quot;"/>
    <numFmt numFmtId="179" formatCode="#,##0.00\ &quot;m³/yr&quot;"/>
    <numFmt numFmtId="180" formatCode="#,##0\ &quot;m3&quot;"/>
    <numFmt numFmtId="181" formatCode="#,##0\ &quot;₹ Cr&quot;"/>
    <numFmt numFmtId="182" formatCode="m/d/yy;@"/>
    <numFmt numFmtId="183" formatCode="#,##0.0"/>
    <numFmt numFmtId="184" formatCode="#,##0.00\ &quot;Cr&quot;"/>
    <numFmt numFmtId="185" formatCode="yyyy\-mm\-dd;@"/>
    <numFmt numFmtId="186" formatCode="[$₹-4009]\ &quot;Cr&quot;\ \ #,##0.00"/>
  </numFmts>
  <fonts count="111">
    <font>
      <sz val="11"/>
      <name val="Carlito"/>
    </font>
    <font>
      <b/>
      <sz val="18"/>
      <color rgb="FFFFFFFF"/>
      <name val="Aptos Display"/>
    </font>
    <font>
      <sz val="10"/>
      <color rgb="FF102A43"/>
      <name val="Aptos"/>
    </font>
    <font>
      <b/>
      <sz val="9"/>
      <color rgb="FF425466"/>
      <name val="Aptos"/>
    </font>
    <font>
      <b/>
      <sz val="18"/>
      <color rgb="FF003865"/>
      <name val="Aptos Display"/>
    </font>
    <font>
      <b/>
      <sz val="10"/>
      <color rgb="FFFFFFFF"/>
      <name val="Aptos"/>
    </font>
    <font>
      <sz val="9"/>
      <color rgb="FF111827"/>
      <name val="Aptos"/>
    </font>
    <font>
      <sz val="9"/>
      <color rgb="FF102A43"/>
      <name val="Aptos"/>
    </font>
    <font>
      <b/>
      <sz val="12"/>
      <color rgb="FFFFFFFF"/>
      <name val="Aptos"/>
    </font>
    <font>
      <b/>
      <sz val="12"/>
      <color rgb="FF425466"/>
      <name val="Aptos"/>
    </font>
    <font>
      <b/>
      <sz val="11"/>
      <color rgb="FF111827"/>
      <name val="Aptos"/>
    </font>
    <font>
      <b/>
      <sz val="18"/>
      <color rgb="FFFF6600"/>
      <name val="Aptos Display"/>
    </font>
    <font>
      <b/>
      <sz val="18"/>
      <color rgb="FF1B7F3A"/>
      <name val="Aptos Display"/>
    </font>
    <font>
      <b/>
      <sz val="18"/>
      <color rgb="FFB91C1C"/>
      <name val="Aptos Display"/>
    </font>
    <font>
      <sz val="10"/>
      <color rgb="FF111827"/>
      <name val="Aptos"/>
    </font>
    <font>
      <sz val="9"/>
      <color rgb="FF111827"/>
      <name val="Aptos"/>
      <family val="2"/>
    </font>
    <font>
      <u/>
      <sz val="11"/>
      <color theme="10"/>
      <name val="Carlito"/>
    </font>
    <font>
      <b/>
      <sz val="9"/>
      <color rgb="FF425466"/>
      <name val="Aptos"/>
      <family val="2"/>
    </font>
    <font>
      <sz val="11"/>
      <name val="Aptos"/>
      <family val="2"/>
    </font>
    <font>
      <b/>
      <sz val="10"/>
      <color rgb="FFFFFFFF"/>
      <name val="Aptos"/>
      <family val="2"/>
    </font>
    <font>
      <b/>
      <sz val="12"/>
      <color rgb="FFFFFFFF"/>
      <name val="Aptos"/>
      <family val="2"/>
    </font>
    <font>
      <sz val="10"/>
      <color rgb="FF102A43"/>
      <name val="Aptos"/>
      <family val="2"/>
    </font>
    <font>
      <sz val="8"/>
      <color theme="4" tint="-0.249977111117893"/>
      <name val="Carlito"/>
    </font>
    <font>
      <sz val="9"/>
      <color rgb="FF1E293B"/>
      <name val="Calibri"/>
      <family val="2"/>
    </font>
    <font>
      <sz val="9"/>
      <color rgb="FF334155"/>
      <name val="Calibri"/>
      <family val="2"/>
    </font>
    <font>
      <b/>
      <sz val="9"/>
      <color rgb="FF065F46"/>
      <name val="Calibri"/>
      <family val="2"/>
    </font>
    <font>
      <b/>
      <sz val="9"/>
      <color rgb="FF92400E"/>
      <name val="Calibri"/>
      <family val="2"/>
    </font>
    <font>
      <b/>
      <sz val="9"/>
      <color rgb="FF991B1B"/>
      <name val="Calibri"/>
      <family val="2"/>
    </font>
    <font>
      <b/>
      <sz val="9"/>
      <color rgb="FF14532D"/>
      <name val="Calibri"/>
      <family val="2"/>
    </font>
    <font>
      <b/>
      <sz val="9"/>
      <color rgb="FF78350F"/>
      <name val="Calibri"/>
      <family val="2"/>
    </font>
    <font>
      <b/>
      <sz val="9"/>
      <color rgb="FF3730A3"/>
      <name val="Calibri"/>
      <family val="2"/>
    </font>
    <font>
      <b/>
      <sz val="9"/>
      <color rgb="FF4C1D95"/>
      <name val="Calibri"/>
      <family val="2"/>
    </font>
    <font>
      <b/>
      <sz val="9"/>
      <color rgb="FF881337"/>
      <name val="Calibri"/>
      <family val="2"/>
    </font>
    <font>
      <b/>
      <sz val="8"/>
      <color rgb="FFFFFFFF"/>
      <name val="Calibri"/>
      <family val="2"/>
    </font>
    <font>
      <b/>
      <sz val="9"/>
      <color rgb="FF1E3A8A"/>
      <name val="Aptos"/>
      <family val="2"/>
    </font>
    <font>
      <sz val="9"/>
      <color rgb="FF1E293B"/>
      <name val="Aptos"/>
      <family val="2"/>
    </font>
    <font>
      <sz val="9"/>
      <color rgb="FF334155"/>
      <name val="Aptos"/>
      <family val="2"/>
    </font>
    <font>
      <b/>
      <sz val="9"/>
      <color rgb="FF065F46"/>
      <name val="Aptos"/>
      <family val="2"/>
    </font>
    <font>
      <b/>
      <sz val="9"/>
      <color rgb="FF854D0E"/>
      <name val="Aptos"/>
      <family val="2"/>
    </font>
    <font>
      <b/>
      <sz val="9"/>
      <color rgb="FF92400E"/>
      <name val="Aptos"/>
      <family val="2"/>
    </font>
    <font>
      <b/>
      <sz val="9"/>
      <color rgb="FF475569"/>
      <name val="Aptos"/>
      <family val="2"/>
    </font>
    <font>
      <b/>
      <sz val="9"/>
      <color rgb="FF991B1B"/>
      <name val="Aptos"/>
      <family val="2"/>
    </font>
    <font>
      <b/>
      <sz val="9"/>
      <color rgb="FFFFFFFF"/>
      <name val="Aptos"/>
      <family val="2"/>
    </font>
    <font>
      <b/>
      <sz val="16"/>
      <color rgb="FFFFFFFF"/>
      <name val="Aptos"/>
      <family val="2"/>
    </font>
    <font>
      <b/>
      <sz val="9"/>
      <color rgb="FF111827"/>
      <name val="Aptos"/>
      <family val="2"/>
    </font>
    <font>
      <b/>
      <sz val="10"/>
      <color rgb="FF111827"/>
      <name val="Aptos"/>
      <family val="2"/>
    </font>
    <font>
      <sz val="10"/>
      <color rgb="FF111827"/>
      <name val="Aptos"/>
      <family val="2"/>
    </font>
    <font>
      <b/>
      <sz val="9"/>
      <color theme="0"/>
      <name val="Aptos"/>
      <family val="2"/>
    </font>
    <font>
      <b/>
      <sz val="16"/>
      <color theme="0"/>
      <name val="Aptos"/>
      <family val="2"/>
    </font>
    <font>
      <sz val="10"/>
      <name val="Arial Unicode MS"/>
    </font>
    <font>
      <sz val="8"/>
      <name val="Carlito"/>
    </font>
    <font>
      <b/>
      <sz val="11"/>
      <color rgb="FFFFFFFF"/>
      <name val="Aptos Display"/>
      <family val="2"/>
    </font>
    <font>
      <b/>
      <sz val="16"/>
      <color rgb="FF102A43"/>
      <name val="Aptos"/>
      <family val="2"/>
    </font>
    <font>
      <sz val="16"/>
      <color rgb="FFFFFFFF"/>
      <name val="Aptos"/>
      <family val="2"/>
    </font>
    <font>
      <b/>
      <sz val="16"/>
      <color rgb="FF941414"/>
      <name val="Aptos"/>
      <family val="2"/>
    </font>
    <font>
      <b/>
      <sz val="15"/>
      <color theme="5" tint="-0.499984740745262"/>
      <name val="Aptos"/>
      <family val="2"/>
    </font>
    <font>
      <b/>
      <sz val="16"/>
      <name val="Aptos"/>
      <family val="2"/>
    </font>
    <font>
      <sz val="9"/>
      <color rgb="FF102A43"/>
      <name val="Aptos"/>
      <family val="2"/>
    </font>
    <font>
      <b/>
      <sz val="12"/>
      <color theme="0"/>
      <name val="Aptos"/>
      <family val="2"/>
    </font>
    <font>
      <b/>
      <sz val="10"/>
      <color theme="0"/>
      <name val="Aptos"/>
      <family val="2"/>
    </font>
    <font>
      <sz val="9"/>
      <name val="Aptos"/>
      <family val="2"/>
    </font>
    <font>
      <sz val="10"/>
      <name val="Aptos"/>
      <family val="2"/>
    </font>
    <font>
      <sz val="9"/>
      <color theme="3" tint="9.9948118533890809E-2"/>
      <name val="Aptos"/>
      <family val="2"/>
    </font>
    <font>
      <b/>
      <sz val="18"/>
      <color rgb="FFFFFFFF"/>
      <name val="Aptos"/>
      <family val="2"/>
    </font>
    <font>
      <b/>
      <sz val="18"/>
      <color rgb="FF003865"/>
      <name val="Aptos"/>
      <family val="2"/>
    </font>
    <font>
      <b/>
      <sz val="18"/>
      <color theme="5"/>
      <name val="Aptos"/>
      <family val="2"/>
    </font>
    <font>
      <sz val="9"/>
      <color rgb="FF000000"/>
      <name val="Aptos"/>
      <family val="2"/>
    </font>
    <font>
      <b/>
      <sz val="13"/>
      <color rgb="FFFFFFFF"/>
      <name val="Aptos"/>
      <family val="2"/>
    </font>
    <font>
      <sz val="13"/>
      <name val="Carlito"/>
    </font>
    <font>
      <i/>
      <sz val="8"/>
      <color rgb="FF44546A"/>
      <name val="Aptos"/>
      <family val="2"/>
    </font>
    <font>
      <sz val="11"/>
      <color theme="1"/>
      <name val="Carlito"/>
    </font>
    <font>
      <sz val="9"/>
      <color theme="1"/>
      <name val="Aptos"/>
      <family val="2"/>
    </font>
    <font>
      <b/>
      <sz val="9"/>
      <name val="Aptos"/>
      <family val="2"/>
    </font>
    <font>
      <sz val="9"/>
      <color theme="1"/>
      <name val="Calibri"/>
      <family val="2"/>
    </font>
    <font>
      <i/>
      <sz val="9"/>
      <color rgb="FF44546A"/>
      <name val="Aptos"/>
      <family val="2"/>
    </font>
    <font>
      <b/>
      <sz val="12"/>
      <color rgb="FF425466"/>
      <name val="Aptos"/>
      <family val="2"/>
    </font>
    <font>
      <sz val="9.5"/>
      <color rgb="FF111827"/>
      <name val="Aptos"/>
      <family val="2"/>
    </font>
    <font>
      <b/>
      <sz val="11"/>
      <color rgb="FF003865"/>
      <name val="Aptos"/>
      <family val="2"/>
    </font>
    <font>
      <b/>
      <sz val="10"/>
      <color rgb="FF425466"/>
      <name val="Aptos"/>
      <family val="2"/>
    </font>
    <font>
      <b/>
      <sz val="10"/>
      <color theme="1"/>
      <name val="Aptos"/>
      <family val="2"/>
    </font>
    <font>
      <b/>
      <sz val="14"/>
      <color theme="9" tint="-0.249977111117893"/>
      <name val="Aptos Display"/>
      <family val="2"/>
    </font>
    <font>
      <b/>
      <sz val="11"/>
      <color theme="9" tint="-0.249977111117893"/>
      <name val="Aptos"/>
      <family val="2"/>
    </font>
    <font>
      <b/>
      <sz val="11"/>
      <color rgb="FF7A2E00"/>
      <name val="Aptos"/>
      <family val="2"/>
    </font>
    <font>
      <b/>
      <sz val="11"/>
      <name val="Carlito"/>
    </font>
    <font>
      <b/>
      <sz val="11"/>
      <color theme="0"/>
      <name val="Aptos"/>
      <family val="2"/>
    </font>
    <font>
      <sz val="10"/>
      <color rgb="FF425466"/>
      <name val="Aptos"/>
      <family val="2"/>
    </font>
    <font>
      <sz val="12"/>
      <color rgb="FF425466"/>
      <name val="Aptos"/>
      <family val="2"/>
    </font>
    <font>
      <u/>
      <sz val="9"/>
      <color rgb="FF467886"/>
      <name val="Aptos"/>
      <family val="2"/>
    </font>
    <font>
      <sz val="10"/>
      <color theme="4" tint="-0.249977111117893"/>
      <name val="Aptos"/>
      <family val="2"/>
    </font>
    <font>
      <sz val="10"/>
      <color rgb="FF104861"/>
      <name val="Aptos"/>
      <family val="2"/>
    </font>
    <font>
      <b/>
      <sz val="11"/>
      <color rgb="FF425466"/>
      <name val="Aptos"/>
      <family val="2"/>
    </font>
    <font>
      <b/>
      <sz val="18"/>
      <color rgb="FF003865"/>
      <name val="Aptos Display"/>
      <family val="2"/>
    </font>
    <font>
      <b/>
      <sz val="18"/>
      <color theme="9"/>
      <name val="Aptos Display"/>
      <family val="2"/>
    </font>
    <font>
      <b/>
      <sz val="18"/>
      <color rgb="FFFF0000"/>
      <name val="Aptos Display"/>
      <family val="2"/>
    </font>
    <font>
      <sz val="9"/>
      <color rgb="FF002060"/>
      <name val="Aptos"/>
      <family val="2"/>
    </font>
    <font>
      <b/>
      <sz val="18"/>
      <name val="Aptos Display"/>
      <family val="2"/>
    </font>
    <font>
      <sz val="9"/>
      <color rgb="FF1F4E9C"/>
      <name val="Aptos"/>
      <family val="2"/>
    </font>
    <font>
      <sz val="9"/>
      <color rgb="FF1B3A6B"/>
      <name val="Aptos"/>
      <family val="2"/>
    </font>
    <font>
      <sz val="9"/>
      <color rgb="FFC55A11"/>
      <name val="Aptos"/>
      <family val="2"/>
    </font>
    <font>
      <sz val="9"/>
      <color rgb="FF7030A0"/>
      <name val="Aptos"/>
      <family val="2"/>
    </font>
    <font>
      <sz val="9"/>
      <color rgb="FF375623"/>
      <name val="Aptos"/>
      <family val="2"/>
    </font>
    <font>
      <i/>
      <sz val="9"/>
      <color rgb="FF8C8C8C"/>
      <name val="Aptos"/>
      <family val="2"/>
    </font>
    <font>
      <b/>
      <sz val="9"/>
      <color rgb="FF1F4E9C"/>
      <name val="Aptos"/>
      <family val="2"/>
    </font>
    <font>
      <sz val="11"/>
      <color theme="6"/>
      <name val="Carlito"/>
    </font>
    <font>
      <b/>
      <sz val="18"/>
      <color rgb="FF153D64"/>
      <name val="Aptos Display"/>
      <family val="2"/>
    </font>
    <font>
      <sz val="13"/>
      <color rgb="FF153D64"/>
      <name val="Aptos"/>
      <family val="2"/>
    </font>
    <font>
      <sz val="13"/>
      <color rgb="FF1C2A43"/>
      <name val="Aptos"/>
      <family val="2"/>
    </font>
    <font>
      <sz val="9"/>
      <color rgb="FF153D64"/>
      <name val="Calibri"/>
      <family val="2"/>
    </font>
    <font>
      <sz val="10"/>
      <color theme="1"/>
      <name val="Aptos"/>
      <family val="2"/>
    </font>
    <font>
      <sz val="9"/>
      <color rgb="FF1F4E9C"/>
      <name val="Calibri"/>
      <family val="2"/>
    </font>
    <font>
      <i/>
      <sz val="9"/>
      <color rgb="FF1F4E9C"/>
      <name val="Aptos"/>
      <family val="2"/>
    </font>
  </fonts>
  <fills count="79">
    <fill>
      <patternFill patternType="none"/>
    </fill>
    <fill>
      <patternFill patternType="gray125"/>
    </fill>
    <fill>
      <patternFill patternType="solid">
        <fgColor rgb="FF003865"/>
      </patternFill>
    </fill>
    <fill>
      <patternFill patternType="solid">
        <fgColor rgb="FFEAF3FA"/>
      </patternFill>
    </fill>
    <fill>
      <patternFill patternType="solid">
        <fgColor rgb="FFFFFFFF"/>
      </patternFill>
    </fill>
    <fill>
      <patternFill patternType="solid">
        <fgColor rgb="FFFFF2CC"/>
      </patternFill>
    </fill>
    <fill>
      <patternFill patternType="solid">
        <fgColor rgb="FFDDEBF7"/>
      </patternFill>
    </fill>
    <fill>
      <patternFill patternType="solid">
        <fgColor rgb="FF102A43"/>
      </patternFill>
    </fill>
    <fill>
      <patternFill patternType="solid">
        <fgColor rgb="FFFF6600"/>
      </patternFill>
    </fill>
    <fill>
      <patternFill patternType="solid">
        <fgColor rgb="FF1B7F3A"/>
      </patternFill>
    </fill>
    <fill>
      <patternFill patternType="solid">
        <fgColor rgb="FFF3F6F8"/>
      </patternFill>
    </fill>
    <fill>
      <patternFill patternType="solid">
        <fgColor rgb="FFFFF0E6"/>
      </patternFill>
    </fill>
    <fill>
      <patternFill patternType="solid">
        <fgColor theme="7" tint="-0.249977111117893"/>
        <bgColor indexed="64"/>
      </patternFill>
    </fill>
    <fill>
      <patternFill patternType="solid">
        <fgColor rgb="FFE9EEF3"/>
        <bgColor indexed="64"/>
      </patternFill>
    </fill>
    <fill>
      <patternFill patternType="solid">
        <fgColor rgb="FF0B3A66"/>
        <bgColor indexed="64"/>
      </patternFill>
    </fill>
    <fill>
      <patternFill patternType="solid">
        <fgColor theme="0"/>
        <bgColor indexed="64"/>
      </patternFill>
    </fill>
    <fill>
      <patternFill patternType="solid">
        <fgColor rgb="FF1D4ED8"/>
      </patternFill>
    </fill>
    <fill>
      <patternFill patternType="solid">
        <fgColor rgb="FFDBEAFE"/>
      </patternFill>
    </fill>
    <fill>
      <patternFill patternType="solid">
        <fgColor rgb="FFD1FAE5"/>
      </patternFill>
    </fill>
    <fill>
      <patternFill patternType="solid">
        <fgColor rgb="FFFEF9C3"/>
      </patternFill>
    </fill>
    <fill>
      <patternFill patternType="solid">
        <fgColor rgb="FFFEF3C7"/>
      </patternFill>
    </fill>
    <fill>
      <patternFill patternType="solid">
        <fgColor rgb="FFF1F5F9"/>
      </patternFill>
    </fill>
    <fill>
      <patternFill patternType="solid">
        <fgColor rgb="FFFEE2E2"/>
      </patternFill>
    </fill>
    <fill>
      <patternFill patternType="solid">
        <fgColor rgb="FFDCFCE7"/>
      </patternFill>
    </fill>
    <fill>
      <patternFill patternType="solid">
        <fgColor rgb="FFEEF2FF"/>
      </patternFill>
    </fill>
    <fill>
      <patternFill patternType="solid">
        <fgColor rgb="FFEDE9FE"/>
      </patternFill>
    </fill>
    <fill>
      <patternFill patternType="solid">
        <fgColor rgb="FFFFE4E6"/>
      </patternFill>
    </fill>
    <fill>
      <patternFill patternType="solid">
        <fgColor rgb="FF166534"/>
      </patternFill>
    </fill>
    <fill>
      <patternFill patternType="solid">
        <fgColor rgb="FF92400E"/>
      </patternFill>
    </fill>
    <fill>
      <patternFill patternType="solid">
        <fgColor rgb="FF6D28D9"/>
      </patternFill>
    </fill>
    <fill>
      <patternFill patternType="solid">
        <fgColor rgb="FFBE123C"/>
      </patternFill>
    </fill>
    <fill>
      <patternFill patternType="solid">
        <fgColor rgb="FFFFC000"/>
        <bgColor indexed="64"/>
      </patternFill>
    </fill>
    <fill>
      <patternFill patternType="solid">
        <fgColor rgb="FFDDEBF7"/>
        <bgColor indexed="64"/>
      </patternFill>
    </fill>
    <fill>
      <patternFill patternType="solid">
        <fgColor rgb="FFF4CCCC"/>
        <bgColor indexed="64"/>
      </patternFill>
    </fill>
    <fill>
      <patternFill patternType="solid">
        <fgColor rgb="FFFFF2CC"/>
        <bgColor indexed="64"/>
      </patternFill>
    </fill>
    <fill>
      <patternFill patternType="solid">
        <fgColor rgb="FF9C0006"/>
        <bgColor indexed="64"/>
      </patternFill>
    </fill>
    <fill>
      <patternFill patternType="solid">
        <fgColor theme="0" tint="-4.9989318521683403E-2"/>
        <bgColor indexed="64"/>
      </patternFill>
    </fill>
    <fill>
      <patternFill patternType="solid">
        <fgColor rgb="FFF9FAC4"/>
        <bgColor indexed="64"/>
      </patternFill>
    </fill>
    <fill>
      <patternFill patternType="solid">
        <fgColor rgb="FF003865"/>
        <bgColor indexed="64"/>
      </patternFill>
    </fill>
    <fill>
      <patternFill patternType="solid">
        <fgColor rgb="FF2E75B6"/>
        <bgColor rgb="FF0066CC"/>
      </patternFill>
    </fill>
    <fill>
      <patternFill patternType="solid">
        <fgColor rgb="FFFFF2CC"/>
        <bgColor rgb="FFCCFFFF"/>
      </patternFill>
    </fill>
    <fill>
      <patternFill patternType="solid">
        <fgColor rgb="FFFFF2CC"/>
        <bgColor rgb="FFFFF2CC"/>
      </patternFill>
    </fill>
    <fill>
      <patternFill patternType="solid">
        <fgColor rgb="FF003865"/>
        <bgColor rgb="FF333399"/>
      </patternFill>
    </fill>
    <fill>
      <patternFill patternType="solid">
        <fgColor rgb="FF102A43"/>
        <bgColor indexed="64"/>
      </patternFill>
    </fill>
    <fill>
      <patternFill patternType="solid">
        <fgColor rgb="FFDBEAFE"/>
        <bgColor indexed="64"/>
      </patternFill>
    </fill>
    <fill>
      <patternFill patternType="solid">
        <fgColor rgb="FF102A43"/>
        <bgColor rgb="FF121928"/>
      </patternFill>
    </fill>
    <fill>
      <patternFill patternType="solid">
        <fgColor rgb="FFFFFFFF"/>
        <bgColor rgb="FFF3F6F9"/>
      </patternFill>
    </fill>
    <fill>
      <patternFill patternType="solid">
        <fgColor rgb="FFDDEBF7"/>
        <bgColor rgb="FFD9ECFA"/>
      </patternFill>
    </fill>
    <fill>
      <patternFill patternType="solid">
        <fgColor rgb="FF003865"/>
        <bgColor rgb="FF074064"/>
      </patternFill>
    </fill>
    <fill>
      <patternFill patternType="solid">
        <fgColor rgb="FFDCFCE7"/>
        <bgColor indexed="64"/>
      </patternFill>
    </fill>
    <fill>
      <patternFill patternType="solid">
        <fgColor rgb="FFFEF3C7"/>
        <bgColor indexed="64"/>
      </patternFill>
    </fill>
    <fill>
      <patternFill patternType="solid">
        <fgColor rgb="FFEDE9FE"/>
        <bgColor indexed="64"/>
      </patternFill>
    </fill>
    <fill>
      <patternFill patternType="solid">
        <fgColor rgb="FFFFE4E6"/>
        <bgColor indexed="64"/>
      </patternFill>
    </fill>
    <fill>
      <patternFill patternType="solid">
        <fgColor rgb="FFFFF2CC"/>
        <bgColor rgb="FFFEF3C7"/>
      </patternFill>
    </fill>
    <fill>
      <patternFill patternType="solid">
        <fgColor rgb="FF77ABDF"/>
        <bgColor indexed="64"/>
      </patternFill>
    </fill>
    <fill>
      <patternFill patternType="solid">
        <fgColor rgb="FFF3F6F9"/>
        <bgColor indexed="64"/>
      </patternFill>
    </fill>
    <fill>
      <patternFill patternType="solid">
        <fgColor rgb="FF53A931"/>
        <bgColor indexed="64"/>
      </patternFill>
    </fill>
    <fill>
      <patternFill patternType="solid">
        <fgColor rgb="FFFFD966"/>
        <bgColor indexed="64"/>
      </patternFill>
    </fill>
    <fill>
      <patternFill patternType="solid">
        <fgColor rgb="FFFF6600"/>
        <bgColor indexed="64"/>
      </patternFill>
    </fill>
    <fill>
      <patternFill patternType="solid">
        <fgColor rgb="FFC00000"/>
        <bgColor indexed="64"/>
      </patternFill>
    </fill>
    <fill>
      <patternFill patternType="solid">
        <fgColor rgb="FFC00000"/>
        <bgColor rgb="FF9A0208"/>
      </patternFill>
    </fill>
    <fill>
      <patternFill patternType="solid">
        <fgColor rgb="FFFF6600"/>
        <bgColor rgb="FFFE6802"/>
      </patternFill>
    </fill>
    <fill>
      <patternFill patternType="solid">
        <fgColor rgb="FFFFD966"/>
        <bgColor rgb="FFFFEB9C"/>
      </patternFill>
    </fill>
    <fill>
      <patternFill patternType="solid">
        <fgColor rgb="FF53A931"/>
        <bgColor rgb="FF27AE60"/>
      </patternFill>
    </fill>
    <fill>
      <patternFill patternType="solid">
        <fgColor theme="9" tint="0.59999389629810485"/>
        <bgColor indexed="64"/>
      </patternFill>
    </fill>
    <fill>
      <patternFill patternType="solid">
        <fgColor rgb="FFF3F6F8"/>
        <bgColor indexed="64"/>
      </patternFill>
    </fill>
    <fill>
      <patternFill patternType="solid">
        <fgColor theme="0"/>
      </patternFill>
    </fill>
    <fill>
      <patternFill patternType="solid">
        <fgColor theme="0"/>
        <bgColor rgb="FFF3F6F9"/>
      </patternFill>
    </fill>
    <fill>
      <patternFill patternType="solid">
        <fgColor theme="0"/>
        <bgColor rgb="FFD9ECFA"/>
      </patternFill>
    </fill>
    <fill>
      <patternFill patternType="solid">
        <fgColor theme="5" tint="-0.249977111117893"/>
        <bgColor rgb="FF102A43"/>
      </patternFill>
    </fill>
    <fill>
      <patternFill patternType="solid">
        <fgColor theme="5" tint="-0.249977111117893"/>
        <bgColor rgb="FF121928"/>
      </patternFill>
    </fill>
    <fill>
      <patternFill patternType="solid">
        <fgColor rgb="FFFFCE33"/>
        <bgColor indexed="64"/>
      </patternFill>
    </fill>
    <fill>
      <patternFill patternType="solid">
        <fgColor rgb="FF33D565"/>
        <bgColor indexed="64"/>
      </patternFill>
    </fill>
    <fill>
      <patternFill patternType="solid">
        <fgColor rgb="FF37A5FF"/>
        <bgColor indexed="64"/>
      </patternFill>
    </fill>
    <fill>
      <patternFill patternType="solid">
        <fgColor rgb="FFFF6A05"/>
        <bgColor indexed="64"/>
      </patternFill>
    </fill>
    <fill>
      <patternFill patternType="solid">
        <fgColor rgb="FF7D5FDF"/>
        <bgColor rgb="FF102A43"/>
      </patternFill>
    </fill>
    <fill>
      <patternFill patternType="solid">
        <fgColor rgb="FF7D5FDF"/>
        <bgColor rgb="FF121928"/>
      </patternFill>
    </fill>
    <fill>
      <patternFill patternType="solid">
        <fgColor rgb="FF0B3B63"/>
        <bgColor indexed="64"/>
      </patternFill>
    </fill>
    <fill>
      <patternFill patternType="solid">
        <fgColor rgb="FFF8F6F0"/>
        <bgColor indexed="64"/>
      </patternFill>
    </fill>
  </fills>
  <borders count="84">
    <border>
      <left/>
      <right/>
      <top/>
      <bottom/>
      <diagonal/>
    </border>
    <border>
      <left style="thin">
        <color rgb="FFD7DEE5"/>
      </left>
      <right/>
      <top style="thin">
        <color rgb="FFD7DEE5"/>
      </top>
      <bottom style="thin">
        <color rgb="FFD7DEE5"/>
      </bottom>
      <diagonal/>
    </border>
    <border>
      <left/>
      <right style="thin">
        <color rgb="FFD7DEE5"/>
      </right>
      <top style="thin">
        <color rgb="FFD7DEE5"/>
      </top>
      <bottom style="thin">
        <color rgb="FFD7DEE5"/>
      </bottom>
      <diagonal/>
    </border>
    <border>
      <left style="thin">
        <color rgb="FFD7DEE5"/>
      </left>
      <right/>
      <top style="thin">
        <color rgb="FFD7DEE5"/>
      </top>
      <bottom/>
      <diagonal/>
    </border>
    <border>
      <left/>
      <right style="thin">
        <color rgb="FFD7DEE5"/>
      </right>
      <top style="thin">
        <color rgb="FFD7DEE5"/>
      </top>
      <bottom/>
      <diagonal/>
    </border>
    <border>
      <left style="thin">
        <color rgb="FFD7DEE5"/>
      </left>
      <right/>
      <top/>
      <bottom style="thin">
        <color rgb="FFD7DEE5"/>
      </bottom>
      <diagonal/>
    </border>
    <border>
      <left/>
      <right style="thin">
        <color rgb="FFD7DEE5"/>
      </right>
      <top/>
      <bottom style="thin">
        <color rgb="FFD7DEE5"/>
      </bottom>
      <diagonal/>
    </border>
    <border>
      <left style="thin">
        <color rgb="FFD7DEE5"/>
      </left>
      <right style="thin">
        <color rgb="FFD7DEE5"/>
      </right>
      <top style="thin">
        <color rgb="FFD7DEE5"/>
      </top>
      <bottom style="thin">
        <color rgb="FFD7DEE5"/>
      </bottom>
      <diagonal/>
    </border>
    <border>
      <left style="thin">
        <color rgb="FFE5E7EB"/>
      </left>
      <right style="thin">
        <color rgb="FFE5E7EB"/>
      </right>
      <top style="thin">
        <color rgb="FFE5E7EB"/>
      </top>
      <bottom style="thin">
        <color rgb="FFE5E7EB"/>
      </bottom>
      <diagonal/>
    </border>
    <border>
      <left style="thin">
        <color rgb="FFFF6600"/>
      </left>
      <right/>
      <top style="thin">
        <color rgb="FFFF6600"/>
      </top>
      <bottom/>
      <diagonal/>
    </border>
    <border>
      <left/>
      <right/>
      <top style="thin">
        <color rgb="FFFF6600"/>
      </top>
      <bottom/>
      <diagonal/>
    </border>
    <border>
      <left/>
      <right style="thin">
        <color rgb="FFFF6600"/>
      </right>
      <top style="thin">
        <color rgb="FFFF6600"/>
      </top>
      <bottom/>
      <diagonal/>
    </border>
    <border>
      <left style="thin">
        <color rgb="FFFF6600"/>
      </left>
      <right/>
      <top/>
      <bottom/>
      <diagonal/>
    </border>
    <border>
      <left/>
      <right style="thin">
        <color rgb="FFFF6600"/>
      </right>
      <top/>
      <bottom/>
      <diagonal/>
    </border>
    <border>
      <left style="thin">
        <color rgb="FFFF6600"/>
      </left>
      <right/>
      <top/>
      <bottom style="thin">
        <color rgb="FFFF6600"/>
      </bottom>
      <diagonal/>
    </border>
    <border>
      <left/>
      <right/>
      <top/>
      <bottom style="thin">
        <color rgb="FFFF6600"/>
      </bottom>
      <diagonal/>
    </border>
    <border>
      <left/>
      <right style="thin">
        <color rgb="FFFF6600"/>
      </right>
      <top/>
      <bottom style="thin">
        <color rgb="FFFF6600"/>
      </bottom>
      <diagonal/>
    </border>
    <border>
      <left style="thin">
        <color rgb="FFFF6600"/>
      </left>
      <right style="thin">
        <color rgb="FFFF6600"/>
      </right>
      <top style="thin">
        <color rgb="FFFF6600"/>
      </top>
      <bottom style="thin">
        <color rgb="FFFF6600"/>
      </bottom>
      <diagonal/>
    </border>
    <border>
      <left style="thin">
        <color rgb="FFCBD5E1"/>
      </left>
      <right style="thin">
        <color rgb="FFCBD5E1"/>
      </right>
      <top style="thin">
        <color rgb="FFCBD5E1"/>
      </top>
      <bottom style="thin">
        <color rgb="FFCBD5E1"/>
      </bottom>
      <diagonal/>
    </border>
    <border>
      <left style="thin">
        <color rgb="FFD7DEE5"/>
      </left>
      <right/>
      <top/>
      <bottom/>
      <diagonal/>
    </border>
    <border>
      <left style="thin">
        <color rgb="FFD7DEE5"/>
      </left>
      <right style="thin">
        <color rgb="FFD7DEE5"/>
      </right>
      <top/>
      <bottom/>
      <diagonal/>
    </border>
    <border>
      <left style="thin">
        <color rgb="FFCBD5E1"/>
      </left>
      <right style="thin">
        <color rgb="FFCBD5E1"/>
      </right>
      <top style="thin">
        <color rgb="FFCBD5E1"/>
      </top>
      <bottom/>
      <diagonal/>
    </border>
    <border>
      <left/>
      <right/>
      <top/>
      <bottom style="thin">
        <color rgb="FFD7DEE5"/>
      </bottom>
      <diagonal/>
    </border>
    <border>
      <left style="thin">
        <color rgb="FFE5E7EB"/>
      </left>
      <right/>
      <top style="thin">
        <color rgb="FFE5E7EB"/>
      </top>
      <bottom style="thin">
        <color rgb="FFE5E7EB"/>
      </bottom>
      <diagonal/>
    </border>
    <border>
      <left style="thin">
        <color rgb="FFE5E7EB"/>
      </left>
      <right/>
      <top style="thin">
        <color rgb="FFD7DEE5"/>
      </top>
      <bottom/>
      <diagonal/>
    </border>
    <border>
      <left style="thin">
        <color rgb="FFE5E7EB"/>
      </left>
      <right/>
      <top style="thin">
        <color rgb="FFE5E7EB"/>
      </top>
      <bottom/>
      <diagonal/>
    </border>
    <border>
      <left style="thin">
        <color rgb="FFE5E7EB"/>
      </left>
      <right/>
      <top style="thin">
        <color rgb="FFD7DEE5"/>
      </top>
      <bottom style="thin">
        <color rgb="FFD7DEE5"/>
      </bottom>
      <diagonal/>
    </border>
    <border>
      <left style="thin">
        <color rgb="FFE5E7EB"/>
      </left>
      <right/>
      <top/>
      <bottom style="thin">
        <color rgb="FFE5E7EB"/>
      </bottom>
      <diagonal/>
    </border>
    <border>
      <left style="thin">
        <color theme="0"/>
      </left>
      <right/>
      <top/>
      <bottom/>
      <diagonal/>
    </border>
    <border>
      <left/>
      <right style="thin">
        <color theme="0"/>
      </right>
      <top/>
      <bottom/>
      <diagonal/>
    </border>
    <border>
      <left style="thin">
        <color theme="0"/>
      </left>
      <right style="thin">
        <color theme="0"/>
      </right>
      <top/>
      <bottom/>
      <diagonal/>
    </border>
    <border>
      <left style="thin">
        <color rgb="FFE5E7EB"/>
      </left>
      <right style="thin">
        <color rgb="FFE5E7EB"/>
      </right>
      <top style="thin">
        <color rgb="FFD7DEE5"/>
      </top>
      <bottom/>
      <diagonal/>
    </border>
    <border>
      <left style="thin">
        <color rgb="FFE5E7EB"/>
      </left>
      <right style="thin">
        <color rgb="FFE5E7EB"/>
      </right>
      <top style="thin">
        <color rgb="FFE5E7EB"/>
      </top>
      <bottom/>
      <diagonal/>
    </border>
    <border>
      <left style="thin">
        <color rgb="FFE5E7EB"/>
      </left>
      <right style="thin">
        <color rgb="FFE5E7EB"/>
      </right>
      <top/>
      <bottom style="thin">
        <color rgb="FFE5E7EB"/>
      </bottom>
      <diagonal/>
    </border>
    <border>
      <left/>
      <right/>
      <top/>
      <bottom style="thin">
        <color rgb="FFE0E0E0"/>
      </bottom>
      <diagonal/>
    </border>
    <border>
      <left style="thin">
        <color rgb="FFE0E0E0"/>
      </left>
      <right/>
      <top/>
      <bottom style="thin">
        <color rgb="FFE0E0E0"/>
      </bottom>
      <diagonal/>
    </border>
    <border>
      <left/>
      <right/>
      <top style="thin">
        <color rgb="FFE0E0E0"/>
      </top>
      <bottom/>
      <diagonal/>
    </border>
    <border>
      <left style="thin">
        <color rgb="FFE0E0E0"/>
      </left>
      <right/>
      <top style="thin">
        <color rgb="FFE0E0E0"/>
      </top>
      <bottom style="thin">
        <color rgb="FFE0E0E0"/>
      </bottom>
      <diagonal/>
    </border>
    <border>
      <left style="thin">
        <color rgb="FFE0E0E0"/>
      </left>
      <right/>
      <top style="thin">
        <color rgb="FFE0E0E0"/>
      </top>
      <bottom/>
      <diagonal/>
    </border>
    <border>
      <left/>
      <right/>
      <top style="thin">
        <color rgb="FFE0E0E0"/>
      </top>
      <bottom style="thin">
        <color rgb="FFE0E0E0"/>
      </bottom>
      <diagonal/>
    </border>
    <border>
      <left/>
      <right style="thin">
        <color rgb="FFE0E0E0"/>
      </right>
      <top style="thin">
        <color rgb="FFE0E0E0"/>
      </top>
      <bottom style="thin">
        <color rgb="FFE0E0E0"/>
      </bottom>
      <diagonal/>
    </border>
    <border>
      <left style="thin">
        <color rgb="FFE0E0E0"/>
      </left>
      <right/>
      <top/>
      <bottom/>
      <diagonal/>
    </border>
    <border>
      <left style="thin">
        <color rgb="FFE0E0E0"/>
      </left>
      <right style="thin">
        <color rgb="FFE0E0E0"/>
      </right>
      <top style="thin">
        <color rgb="FFE0E0E0"/>
      </top>
      <bottom style="thin">
        <color rgb="FFE0E0E0"/>
      </bottom>
      <diagonal/>
    </border>
    <border>
      <left style="thin">
        <color theme="0"/>
      </left>
      <right style="thin">
        <color theme="0"/>
      </right>
      <top style="thin">
        <color theme="0"/>
      </top>
      <bottom/>
      <diagonal/>
    </border>
    <border>
      <left style="thin">
        <color rgb="FFE0E0E0"/>
      </left>
      <right style="thin">
        <color rgb="FFE0E0E0"/>
      </right>
      <top style="thin">
        <color rgb="FFE0E0E0"/>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style="thin">
        <color theme="0" tint="-4.9989318521683403E-2"/>
      </left>
      <right/>
      <top style="thin">
        <color theme="0" tint="-4.9989318521683403E-2"/>
      </top>
      <bottom/>
      <diagonal/>
    </border>
    <border>
      <left/>
      <right/>
      <top style="thin">
        <color theme="0" tint="-4.9989318521683403E-2"/>
      </top>
      <bottom/>
      <diagonal/>
    </border>
    <border>
      <left/>
      <right style="thin">
        <color theme="0" tint="-4.9989318521683403E-2"/>
      </right>
      <top style="thin">
        <color theme="0" tint="-4.9989318521683403E-2"/>
      </top>
      <bottom/>
      <diagonal/>
    </border>
    <border>
      <left style="thin">
        <color theme="0"/>
      </left>
      <right/>
      <top style="thin">
        <color theme="4" tint="0.39997558519241921"/>
      </top>
      <bottom style="thin">
        <color theme="0" tint="-4.9989318521683403E-2"/>
      </bottom>
      <diagonal/>
    </border>
    <border>
      <left/>
      <right/>
      <top style="thin">
        <color theme="4" tint="0.39997558519241921"/>
      </top>
      <bottom style="thin">
        <color theme="0" tint="-4.9989318521683403E-2"/>
      </bottom>
      <diagonal/>
    </border>
    <border>
      <left/>
      <right style="thin">
        <color theme="4" tint="0.39997558519241921"/>
      </right>
      <top style="thin">
        <color theme="4" tint="0.39997558519241921"/>
      </top>
      <bottom style="thin">
        <color theme="0" tint="-4.9989318521683403E-2"/>
      </bottom>
      <diagonal/>
    </border>
    <border>
      <left style="thin">
        <color theme="4" tint="0.39997558519241921"/>
      </left>
      <right/>
      <top style="thin">
        <color theme="4" tint="0.39997558519241921"/>
      </top>
      <bottom/>
      <diagonal/>
    </border>
    <border>
      <left style="thin">
        <color theme="0"/>
      </left>
      <right/>
      <top style="thin">
        <color theme="4" tint="0.39997558519241921"/>
      </top>
      <bottom/>
      <diagonal/>
    </border>
    <border>
      <left style="thin">
        <color rgb="FFCBD5E1"/>
      </left>
      <right style="thin">
        <color rgb="FFCBD5E1"/>
      </right>
      <top/>
      <bottom style="thin">
        <color rgb="FFCBD5E1"/>
      </bottom>
      <diagonal/>
    </border>
    <border>
      <left/>
      <right/>
      <top style="thin">
        <color rgb="FFD7DEE5"/>
      </top>
      <bottom/>
      <diagonal/>
    </border>
    <border>
      <left style="thin">
        <color rgb="FFD7DEE5"/>
      </left>
      <right style="thin">
        <color rgb="FFD7DEE5"/>
      </right>
      <top/>
      <bottom style="thin">
        <color rgb="FFD7DEE5"/>
      </bottom>
      <diagonal/>
    </border>
    <border>
      <left/>
      <right/>
      <top/>
      <bottom style="thin">
        <color theme="0"/>
      </bottom>
      <diagonal/>
    </border>
    <border>
      <left/>
      <right/>
      <top style="thin">
        <color rgb="FFE5E7EB"/>
      </top>
      <bottom style="thin">
        <color rgb="FFE5E7EB"/>
      </bottom>
      <diagonal/>
    </border>
    <border>
      <left/>
      <right style="thin">
        <color rgb="FFE5E7EB"/>
      </right>
      <top style="thin">
        <color rgb="FFE5E7EB"/>
      </top>
      <bottom style="thin">
        <color rgb="FFE5E7EB"/>
      </bottom>
      <diagonal/>
    </border>
    <border>
      <left style="thin">
        <color rgb="FFD7DEE5"/>
      </left>
      <right style="thin">
        <color rgb="FFD7DEE5"/>
      </right>
      <top style="thin">
        <color rgb="FFD7DEE5"/>
      </top>
      <bottom/>
      <diagonal/>
    </border>
    <border>
      <left/>
      <right/>
      <top style="thin">
        <color rgb="FFD7DEE5"/>
      </top>
      <bottom style="thin">
        <color rgb="FFD7DEE5"/>
      </bottom>
      <diagonal/>
    </border>
    <border>
      <left/>
      <right/>
      <top/>
      <bottom style="thin">
        <color rgb="FFDADEE5"/>
      </bottom>
      <diagonal/>
    </border>
    <border>
      <left style="thin">
        <color theme="0"/>
      </left>
      <right style="thin">
        <color theme="0"/>
      </right>
      <top style="thin">
        <color theme="0"/>
      </top>
      <bottom style="thin">
        <color theme="0"/>
      </bottom>
      <diagonal/>
    </border>
    <border>
      <left/>
      <right style="thin">
        <color rgb="FFDDEBF7"/>
      </right>
      <top/>
      <bottom/>
      <diagonal/>
    </border>
    <border>
      <left style="thin">
        <color rgb="FFDDEBF7"/>
      </left>
      <right style="thin">
        <color rgb="FFDDEBF7"/>
      </right>
      <top style="thin">
        <color rgb="FFDDEBF7"/>
      </top>
      <bottom style="thin">
        <color rgb="FFDDEBF7"/>
      </bottom>
      <diagonal/>
    </border>
    <border>
      <left/>
      <right style="thin">
        <color rgb="FFDDEBF7"/>
      </right>
      <top style="thin">
        <color rgb="FFDDEBF7"/>
      </top>
      <bottom style="thin">
        <color rgb="FFDDEBF7"/>
      </bottom>
      <diagonal/>
    </border>
    <border>
      <left style="thin">
        <color rgb="FFDDEBF7"/>
      </left>
      <right/>
      <top style="thin">
        <color rgb="FFDDEBF7"/>
      </top>
      <bottom style="thin">
        <color rgb="FFDDEBF7"/>
      </bottom>
      <diagonal/>
    </border>
    <border>
      <left/>
      <right/>
      <top style="thin">
        <color rgb="FFDDEBF7"/>
      </top>
      <bottom style="thin">
        <color rgb="FFDDEBF7"/>
      </bottom>
      <diagonal/>
    </border>
    <border>
      <left style="medium">
        <color theme="0"/>
      </left>
      <right style="medium">
        <color theme="0"/>
      </right>
      <top/>
      <bottom/>
      <diagonal/>
    </border>
    <border>
      <left/>
      <right/>
      <top style="thin">
        <color rgb="FFE5E7EB"/>
      </top>
      <bottom/>
      <diagonal/>
    </border>
    <border>
      <left style="thin">
        <color rgb="FFE9EEF3"/>
      </left>
      <right style="thin">
        <color rgb="FFE9EEF3"/>
      </right>
      <top style="thin">
        <color rgb="FFE9EEF3"/>
      </top>
      <bottom style="thin">
        <color rgb="FFE9EEF3"/>
      </bottom>
      <diagonal/>
    </border>
    <border>
      <left/>
      <right style="thin">
        <color rgb="FFE9EEF3"/>
      </right>
      <top/>
      <bottom style="thin">
        <color rgb="FFE9EEF3"/>
      </bottom>
      <diagonal/>
    </border>
    <border>
      <left style="thin">
        <color rgb="FFE9EEF3"/>
      </left>
      <right/>
      <top/>
      <bottom style="thin">
        <color rgb="FFE9EEF3"/>
      </bottom>
      <diagonal/>
    </border>
    <border>
      <left/>
      <right style="thin">
        <color rgb="FFE9EEF3"/>
      </right>
      <top style="thin">
        <color rgb="FFE9EEF3"/>
      </top>
      <bottom style="thin">
        <color rgb="FFE9EEF3"/>
      </bottom>
      <diagonal/>
    </border>
    <border>
      <left style="thin">
        <color rgb="FFE9EEF3"/>
      </left>
      <right/>
      <top style="thin">
        <color rgb="FFE9EEF3"/>
      </top>
      <bottom style="thin">
        <color rgb="FFE9EEF3"/>
      </bottom>
      <diagonal/>
    </border>
    <border>
      <left/>
      <right style="thin">
        <color rgb="FFE9EEF3"/>
      </right>
      <top style="thin">
        <color rgb="FFE9EEF3"/>
      </top>
      <bottom/>
      <diagonal/>
    </border>
    <border>
      <left style="thin">
        <color rgb="FFE9EEF3"/>
      </left>
      <right/>
      <top style="thin">
        <color rgb="FFE9EEF3"/>
      </top>
      <bottom/>
      <diagonal/>
    </border>
    <border>
      <left style="thin">
        <color rgb="FFE9EEF3"/>
      </left>
      <right style="thin">
        <color rgb="FFE9EEF3"/>
      </right>
      <top style="thin">
        <color rgb="FFE9EEF3"/>
      </top>
      <bottom/>
      <diagonal/>
    </border>
    <border>
      <left style="thin">
        <color rgb="FFE9EEF3"/>
      </left>
      <right style="thin">
        <color rgb="FFE9EEF3"/>
      </right>
      <top/>
      <bottom style="thin">
        <color rgb="FFE9EEF3"/>
      </bottom>
      <diagonal/>
    </border>
    <border>
      <left style="thin">
        <color indexed="64"/>
      </left>
      <right style="thin">
        <color indexed="64"/>
      </right>
      <top style="thin">
        <color indexed="64"/>
      </top>
      <bottom style="thin">
        <color indexed="64"/>
      </bottom>
      <diagonal/>
    </border>
    <border>
      <left/>
      <right style="thin">
        <color rgb="FFD7DEE5"/>
      </right>
      <top/>
      <bottom/>
      <diagonal/>
    </border>
  </borders>
  <cellStyleXfs count="2">
    <xf numFmtId="0" fontId="0" fillId="0" borderId="0"/>
    <xf numFmtId="0" fontId="16" fillId="0" borderId="0" applyNumberFormat="0" applyFill="0" applyBorder="0" applyAlignment="0" applyProtection="0"/>
  </cellStyleXfs>
  <cellXfs count="605">
    <xf numFmtId="0" fontId="0" fillId="0" borderId="0" xfId="0"/>
    <xf numFmtId="0" fontId="6" fillId="4" borderId="8" xfId="0" applyFont="1" applyFill="1" applyBorder="1" applyAlignment="1">
      <alignment vertical="top" wrapText="1"/>
    </xf>
    <xf numFmtId="0" fontId="6" fillId="5" borderId="8" xfId="0" applyFont="1" applyFill="1" applyBorder="1" applyAlignment="1">
      <alignment vertical="top" wrapText="1"/>
    </xf>
    <xf numFmtId="0" fontId="7" fillId="6" borderId="8" xfId="0" applyFont="1" applyFill="1" applyBorder="1" applyAlignment="1">
      <alignment vertical="top" wrapText="1"/>
    </xf>
    <xf numFmtId="0" fontId="5" fillId="7" borderId="7" xfId="0" applyFont="1" applyFill="1" applyBorder="1" applyAlignment="1">
      <alignment horizontal="center" vertical="center" wrapText="1"/>
    </xf>
    <xf numFmtId="0" fontId="5" fillId="8" borderId="7" xfId="0" applyFont="1" applyFill="1" applyBorder="1" applyAlignment="1">
      <alignment horizontal="center" vertical="center" wrapText="1"/>
    </xf>
    <xf numFmtId="0" fontId="5" fillId="9" borderId="7" xfId="0" applyFont="1" applyFill="1" applyBorder="1" applyAlignment="1">
      <alignment horizontal="center" vertical="center" wrapText="1"/>
    </xf>
    <xf numFmtId="164" fontId="6" fillId="5" borderId="8" xfId="0" applyNumberFormat="1" applyFont="1" applyFill="1" applyBorder="1" applyAlignment="1">
      <alignment vertical="top" wrapText="1"/>
    </xf>
    <xf numFmtId="0" fontId="10" fillId="4" borderId="7" xfId="0" applyFont="1" applyFill="1" applyBorder="1" applyAlignment="1">
      <alignment horizontal="center" vertical="center"/>
    </xf>
    <xf numFmtId="0" fontId="18" fillId="0" borderId="0" xfId="0" applyFont="1"/>
    <xf numFmtId="0" fontId="19" fillId="7" borderId="7" xfId="0" applyFont="1" applyFill="1" applyBorder="1" applyAlignment="1">
      <alignment horizontal="center" vertical="center" wrapText="1"/>
    </xf>
    <xf numFmtId="0" fontId="0" fillId="13" borderId="0" xfId="0" applyFill="1"/>
    <xf numFmtId="0" fontId="22" fillId="13" borderId="0" xfId="0" applyFont="1" applyFill="1"/>
    <xf numFmtId="0" fontId="9" fillId="15" borderId="0" xfId="0" applyFont="1" applyFill="1" applyAlignment="1">
      <alignment vertical="center" wrapText="1"/>
    </xf>
    <xf numFmtId="0" fontId="6" fillId="4" borderId="8" xfId="0" applyFont="1" applyFill="1" applyBorder="1" applyAlignment="1">
      <alignment vertical="center" wrapText="1"/>
    </xf>
    <xf numFmtId="0" fontId="15" fillId="5" borderId="8" xfId="0" applyFont="1" applyFill="1" applyBorder="1" applyAlignment="1">
      <alignment vertical="center" wrapText="1"/>
    </xf>
    <xf numFmtId="9" fontId="6" fillId="5" borderId="8" xfId="0" applyNumberFormat="1" applyFont="1" applyFill="1" applyBorder="1" applyAlignment="1">
      <alignment vertical="center" wrapText="1"/>
    </xf>
    <xf numFmtId="0" fontId="25" fillId="18" borderId="18" xfId="0" applyFont="1" applyFill="1" applyBorder="1" applyAlignment="1">
      <alignment horizontal="center" vertical="center"/>
    </xf>
    <xf numFmtId="0" fontId="26" fillId="20" borderId="18" xfId="0" applyFont="1" applyFill="1" applyBorder="1" applyAlignment="1">
      <alignment horizontal="center" vertical="center"/>
    </xf>
    <xf numFmtId="0" fontId="27" fillId="22" borderId="18" xfId="0" applyFont="1" applyFill="1" applyBorder="1" applyAlignment="1">
      <alignment horizontal="center" vertical="center"/>
    </xf>
    <xf numFmtId="0" fontId="28" fillId="23" borderId="18" xfId="0" applyFont="1" applyFill="1" applyBorder="1" applyAlignment="1">
      <alignment horizontal="center" vertical="center"/>
    </xf>
    <xf numFmtId="0" fontId="29" fillId="20" borderId="18" xfId="0" applyFont="1" applyFill="1" applyBorder="1" applyAlignment="1">
      <alignment horizontal="center" vertical="center"/>
    </xf>
    <xf numFmtId="0" fontId="30" fillId="24" borderId="18" xfId="0" applyFont="1" applyFill="1" applyBorder="1" applyAlignment="1">
      <alignment horizontal="center" vertical="center"/>
    </xf>
    <xf numFmtId="0" fontId="31" fillId="25" borderId="18" xfId="0" applyFont="1" applyFill="1" applyBorder="1" applyAlignment="1">
      <alignment horizontal="center" vertical="center"/>
    </xf>
    <xf numFmtId="0" fontId="32" fillId="26" borderId="18" xfId="0" applyFont="1" applyFill="1" applyBorder="1" applyAlignment="1">
      <alignment horizontal="center" vertical="center"/>
    </xf>
    <xf numFmtId="0" fontId="33" fillId="27" borderId="18" xfId="0" applyFont="1" applyFill="1" applyBorder="1" applyAlignment="1">
      <alignment horizontal="center" vertical="center"/>
    </xf>
    <xf numFmtId="0" fontId="33" fillId="28" borderId="18" xfId="0" applyFont="1" applyFill="1" applyBorder="1" applyAlignment="1">
      <alignment horizontal="center" vertical="center"/>
    </xf>
    <xf numFmtId="0" fontId="33" fillId="29" borderId="18" xfId="0" applyFont="1" applyFill="1" applyBorder="1" applyAlignment="1">
      <alignment horizontal="center" vertical="center"/>
    </xf>
    <xf numFmtId="0" fontId="33" fillId="30" borderId="18" xfId="0" applyFont="1" applyFill="1" applyBorder="1" applyAlignment="1">
      <alignment horizontal="center" vertical="center"/>
    </xf>
    <xf numFmtId="0" fontId="34" fillId="17" borderId="18" xfId="0" applyFont="1" applyFill="1" applyBorder="1" applyAlignment="1">
      <alignment horizontal="center" vertical="center"/>
    </xf>
    <xf numFmtId="0" fontId="37" fillId="18" borderId="18" xfId="0" applyFont="1" applyFill="1" applyBorder="1" applyAlignment="1">
      <alignment horizontal="center" vertical="center"/>
    </xf>
    <xf numFmtId="0" fontId="38" fillId="19" borderId="18" xfId="0" applyFont="1" applyFill="1" applyBorder="1" applyAlignment="1">
      <alignment horizontal="center" vertical="center"/>
    </xf>
    <xf numFmtId="0" fontId="39" fillId="20" borderId="18" xfId="0" applyFont="1" applyFill="1" applyBorder="1" applyAlignment="1">
      <alignment horizontal="center" vertical="center"/>
    </xf>
    <xf numFmtId="0" fontId="40" fillId="21" borderId="18" xfId="0" applyFont="1" applyFill="1" applyBorder="1" applyAlignment="1">
      <alignment horizontal="center" vertical="center"/>
    </xf>
    <xf numFmtId="0" fontId="41" fillId="22" borderId="18" xfId="0" applyFont="1" applyFill="1" applyBorder="1" applyAlignment="1">
      <alignment horizontal="center" vertical="center"/>
    </xf>
    <xf numFmtId="0" fontId="42" fillId="16" borderId="18" xfId="0" applyFont="1" applyFill="1" applyBorder="1" applyAlignment="1">
      <alignment horizontal="center" vertical="center"/>
    </xf>
    <xf numFmtId="0" fontId="35" fillId="17" borderId="18" xfId="0" applyFont="1" applyFill="1" applyBorder="1" applyAlignment="1">
      <alignment horizontal="center" vertical="center"/>
    </xf>
    <xf numFmtId="0" fontId="36" fillId="17" borderId="18" xfId="0" applyFont="1" applyFill="1" applyBorder="1" applyAlignment="1">
      <alignment horizontal="center" vertical="center"/>
    </xf>
    <xf numFmtId="0" fontId="35" fillId="17" borderId="18" xfId="0" applyFont="1" applyFill="1" applyBorder="1" applyAlignment="1">
      <alignment horizontal="center" vertical="center" wrapText="1"/>
    </xf>
    <xf numFmtId="0" fontId="23" fillId="23" borderId="18" xfId="0" applyFont="1" applyFill="1" applyBorder="1" applyAlignment="1">
      <alignment horizontal="center" vertical="center"/>
    </xf>
    <xf numFmtId="0" fontId="24" fillId="23" borderId="18" xfId="0" applyFont="1" applyFill="1" applyBorder="1" applyAlignment="1">
      <alignment horizontal="center" vertical="center"/>
    </xf>
    <xf numFmtId="0" fontId="23" fillId="20" borderId="18" xfId="0" applyFont="1" applyFill="1" applyBorder="1" applyAlignment="1">
      <alignment horizontal="center" vertical="center"/>
    </xf>
    <xf numFmtId="0" fontId="24" fillId="20" borderId="18" xfId="0" applyFont="1" applyFill="1" applyBorder="1" applyAlignment="1">
      <alignment horizontal="center" vertical="center"/>
    </xf>
    <xf numFmtId="0" fontId="23" fillId="25" borderId="18" xfId="0" applyFont="1" applyFill="1" applyBorder="1" applyAlignment="1">
      <alignment horizontal="center" vertical="center"/>
    </xf>
    <xf numFmtId="0" fontId="24" fillId="25" borderId="18" xfId="0" applyFont="1" applyFill="1" applyBorder="1" applyAlignment="1">
      <alignment horizontal="center" vertical="center"/>
    </xf>
    <xf numFmtId="0" fontId="23" fillId="26" borderId="18" xfId="0" applyFont="1" applyFill="1" applyBorder="1" applyAlignment="1">
      <alignment horizontal="center" vertical="center"/>
    </xf>
    <xf numFmtId="0" fontId="24" fillId="26" borderId="18" xfId="0" applyFont="1" applyFill="1" applyBorder="1" applyAlignment="1">
      <alignment horizontal="center" vertical="center"/>
    </xf>
    <xf numFmtId="0" fontId="23" fillId="23" borderId="18" xfId="0" applyFont="1" applyFill="1" applyBorder="1" applyAlignment="1">
      <alignment horizontal="center" vertical="center" wrapText="1"/>
    </xf>
    <xf numFmtId="0" fontId="23" fillId="20" borderId="18" xfId="0" applyFont="1" applyFill="1" applyBorder="1" applyAlignment="1">
      <alignment horizontal="center" vertical="center" wrapText="1"/>
    </xf>
    <xf numFmtId="0" fontId="23" fillId="25" borderId="18" xfId="0" applyFont="1" applyFill="1" applyBorder="1" applyAlignment="1">
      <alignment horizontal="center" vertical="center" wrapText="1"/>
    </xf>
    <xf numFmtId="0" fontId="23" fillId="26" borderId="18" xfId="0" applyFont="1" applyFill="1" applyBorder="1" applyAlignment="1">
      <alignment horizontal="center" vertical="center" wrapText="1"/>
    </xf>
    <xf numFmtId="0" fontId="19" fillId="7" borderId="19" xfId="0" applyFont="1" applyFill="1" applyBorder="1" applyAlignment="1">
      <alignment horizontal="center" vertical="center" wrapText="1"/>
    </xf>
    <xf numFmtId="0" fontId="19" fillId="7" borderId="20" xfId="0" applyFont="1" applyFill="1" applyBorder="1" applyAlignment="1">
      <alignment horizontal="center" vertical="center" wrapText="1"/>
    </xf>
    <xf numFmtId="0" fontId="33" fillId="30" borderId="21" xfId="0" applyFont="1" applyFill="1" applyBorder="1" applyAlignment="1">
      <alignment horizontal="center" vertical="center"/>
    </xf>
    <xf numFmtId="0" fontId="32" fillId="26" borderId="21" xfId="0" applyFont="1" applyFill="1" applyBorder="1" applyAlignment="1">
      <alignment horizontal="center" vertical="center"/>
    </xf>
    <xf numFmtId="0" fontId="23" fillId="26" borderId="21" xfId="0" applyFont="1" applyFill="1" applyBorder="1" applyAlignment="1">
      <alignment horizontal="center" vertical="center"/>
    </xf>
    <xf numFmtId="0" fontId="24" fillId="26" borderId="21" xfId="0" applyFont="1" applyFill="1" applyBorder="1" applyAlignment="1">
      <alignment horizontal="center" vertical="center"/>
    </xf>
    <xf numFmtId="0" fontId="23" fillId="26" borderId="21" xfId="0" applyFont="1" applyFill="1" applyBorder="1" applyAlignment="1">
      <alignment horizontal="center" vertical="center" wrapText="1"/>
    </xf>
    <xf numFmtId="0" fontId="30" fillId="24" borderId="21" xfId="0" applyFont="1" applyFill="1" applyBorder="1" applyAlignment="1">
      <alignment horizontal="center" vertical="center"/>
    </xf>
    <xf numFmtId="0" fontId="44" fillId="4" borderId="24" xfId="0" applyFont="1" applyFill="1" applyBorder="1" applyAlignment="1">
      <alignment vertical="top" wrapText="1"/>
    </xf>
    <xf numFmtId="0" fontId="44" fillId="4" borderId="25" xfId="0" applyFont="1" applyFill="1" applyBorder="1" applyAlignment="1">
      <alignment vertical="top" wrapText="1"/>
    </xf>
    <xf numFmtId="0" fontId="44" fillId="4" borderId="23" xfId="0" applyFont="1" applyFill="1" applyBorder="1" applyAlignment="1">
      <alignment vertical="top" wrapText="1"/>
    </xf>
    <xf numFmtId="0" fontId="45" fillId="4" borderId="24" xfId="0" applyFont="1" applyFill="1" applyBorder="1" applyAlignment="1">
      <alignment vertical="top" wrapText="1"/>
    </xf>
    <xf numFmtId="0" fontId="45" fillId="4" borderId="25" xfId="0" applyFont="1" applyFill="1" applyBorder="1" applyAlignment="1">
      <alignment vertical="top" wrapText="1"/>
    </xf>
    <xf numFmtId="0" fontId="45" fillId="4" borderId="23" xfId="0" applyFont="1" applyFill="1" applyBorder="1" applyAlignment="1">
      <alignment vertical="top" wrapText="1"/>
    </xf>
    <xf numFmtId="0" fontId="19" fillId="8" borderId="3" xfId="0" applyFont="1" applyFill="1" applyBorder="1" applyAlignment="1">
      <alignment horizontal="center" vertical="center" wrapText="1"/>
    </xf>
    <xf numFmtId="0" fontId="46" fillId="5" borderId="24" xfId="0" applyFont="1" applyFill="1" applyBorder="1" applyAlignment="1">
      <alignment vertical="center" wrapText="1"/>
    </xf>
    <xf numFmtId="0" fontId="46" fillId="5" borderId="25" xfId="0" applyFont="1" applyFill="1" applyBorder="1" applyAlignment="1">
      <alignment vertical="center" wrapText="1"/>
    </xf>
    <xf numFmtId="0" fontId="46" fillId="5" borderId="23" xfId="0" applyFont="1" applyFill="1" applyBorder="1" applyAlignment="1">
      <alignment vertical="center" wrapText="1"/>
    </xf>
    <xf numFmtId="0" fontId="19" fillId="9" borderId="3" xfId="0" applyFont="1" applyFill="1" applyBorder="1" applyAlignment="1">
      <alignment horizontal="center" vertical="center" wrapText="1"/>
    </xf>
    <xf numFmtId="4" fontId="6" fillId="5" borderId="8" xfId="0" applyNumberFormat="1" applyFont="1" applyFill="1" applyBorder="1" applyAlignment="1">
      <alignment vertical="top" wrapText="1"/>
    </xf>
    <xf numFmtId="0" fontId="44" fillId="4" borderId="8" xfId="0" applyFont="1" applyFill="1" applyBorder="1" applyAlignment="1">
      <alignment vertical="top" wrapText="1"/>
    </xf>
    <xf numFmtId="4" fontId="47" fillId="12" borderId="8" xfId="0" applyNumberFormat="1" applyFont="1" applyFill="1" applyBorder="1" applyAlignment="1">
      <alignment vertical="top" wrapText="1"/>
    </xf>
    <xf numFmtId="166" fontId="47" fillId="12" borderId="8" xfId="0" applyNumberFormat="1" applyFont="1" applyFill="1" applyBorder="1" applyAlignment="1">
      <alignment vertical="top" wrapText="1"/>
    </xf>
    <xf numFmtId="0" fontId="15" fillId="4" borderId="8" xfId="0" applyFont="1" applyFill="1" applyBorder="1" applyAlignment="1">
      <alignment vertical="top" wrapText="1"/>
    </xf>
    <xf numFmtId="0" fontId="15" fillId="15" borderId="0" xfId="0" applyFont="1" applyFill="1" applyAlignment="1">
      <alignment vertical="top" wrapText="1"/>
    </xf>
    <xf numFmtId="0" fontId="5" fillId="2" borderId="1" xfId="0" applyFont="1" applyFill="1" applyBorder="1" applyAlignment="1">
      <alignment horizontal="left" vertical="center" wrapText="1"/>
    </xf>
    <xf numFmtId="164" fontId="34" fillId="17" borderId="18" xfId="0" applyNumberFormat="1" applyFont="1" applyFill="1" applyBorder="1" applyAlignment="1">
      <alignment horizontal="center" vertical="center"/>
    </xf>
    <xf numFmtId="164" fontId="28" fillId="23" borderId="18" xfId="0" applyNumberFormat="1" applyFont="1" applyFill="1" applyBorder="1" applyAlignment="1">
      <alignment horizontal="center" vertical="center"/>
    </xf>
    <xf numFmtId="164" fontId="29" fillId="20" borderId="18" xfId="0" applyNumberFormat="1" applyFont="1" applyFill="1" applyBorder="1" applyAlignment="1">
      <alignment horizontal="center" vertical="center"/>
    </xf>
    <xf numFmtId="164" fontId="31" fillId="25" borderId="18" xfId="0" applyNumberFormat="1" applyFont="1" applyFill="1" applyBorder="1" applyAlignment="1">
      <alignment horizontal="center" vertical="center"/>
    </xf>
    <xf numFmtId="164" fontId="32" fillId="26" borderId="18" xfId="0" applyNumberFormat="1" applyFont="1" applyFill="1" applyBorder="1" applyAlignment="1">
      <alignment horizontal="center" vertical="center"/>
    </xf>
    <xf numFmtId="0" fontId="46" fillId="5" borderId="26" xfId="0" applyFont="1" applyFill="1" applyBorder="1" applyAlignment="1">
      <alignment horizontal="left" vertical="top" wrapText="1"/>
    </xf>
    <xf numFmtId="0" fontId="5" fillId="2" borderId="3" xfId="0" applyFont="1" applyFill="1" applyBorder="1" applyAlignment="1">
      <alignment horizontal="left" vertical="center" wrapText="1"/>
    </xf>
    <xf numFmtId="0" fontId="43" fillId="8" borderId="0" xfId="0" applyFont="1" applyFill="1" applyAlignment="1">
      <alignment vertical="center"/>
    </xf>
    <xf numFmtId="0" fontId="19" fillId="8" borderId="3" xfId="0" applyFont="1" applyFill="1" applyBorder="1" applyAlignment="1">
      <alignment vertical="center" wrapText="1"/>
    </xf>
    <xf numFmtId="0" fontId="46" fillId="5" borderId="27" xfId="0" applyFont="1" applyFill="1" applyBorder="1" applyAlignment="1">
      <alignment vertical="center" wrapText="1"/>
    </xf>
    <xf numFmtId="0" fontId="19" fillId="9" borderId="3" xfId="0" applyFont="1" applyFill="1" applyBorder="1" applyAlignment="1">
      <alignment vertical="center" wrapText="1"/>
    </xf>
    <xf numFmtId="0" fontId="49" fillId="0" borderId="0" xfId="0" applyFont="1" applyAlignment="1">
      <alignment vertical="center"/>
    </xf>
    <xf numFmtId="0" fontId="2" fillId="15" borderId="0" xfId="0" applyFont="1" applyFill="1" applyAlignment="1">
      <alignment horizontal="left" vertical="center" wrapText="1"/>
    </xf>
    <xf numFmtId="0" fontId="0" fillId="15" borderId="0" xfId="0" applyFill="1"/>
    <xf numFmtId="0" fontId="1" fillId="15" borderId="0" xfId="0" applyFont="1" applyFill="1" applyAlignment="1">
      <alignment horizontal="left" vertical="center"/>
    </xf>
    <xf numFmtId="0" fontId="51" fillId="2" borderId="0" xfId="0" applyFont="1" applyFill="1" applyAlignment="1">
      <alignment horizontal="center" vertical="center"/>
    </xf>
    <xf numFmtId="0" fontId="51" fillId="2" borderId="30" xfId="0" applyFont="1" applyFill="1" applyBorder="1" applyAlignment="1">
      <alignment horizontal="center" vertical="center"/>
    </xf>
    <xf numFmtId="0" fontId="54" fillId="33" borderId="0" xfId="0" applyFont="1" applyFill="1" applyAlignment="1">
      <alignment horizontal="center" vertical="center" wrapText="1"/>
    </xf>
    <xf numFmtId="0" fontId="55" fillId="34" borderId="28" xfId="0" applyFont="1" applyFill="1" applyBorder="1" applyAlignment="1">
      <alignment horizontal="center" vertical="center" wrapText="1"/>
    </xf>
    <xf numFmtId="0" fontId="56" fillId="36" borderId="28" xfId="0" applyFont="1" applyFill="1" applyBorder="1" applyAlignment="1">
      <alignment horizontal="center" vertical="center" wrapText="1"/>
    </xf>
    <xf numFmtId="0" fontId="15" fillId="5" borderId="8" xfId="0" applyFont="1" applyFill="1" applyBorder="1" applyAlignment="1">
      <alignment vertical="top" wrapText="1"/>
    </xf>
    <xf numFmtId="0" fontId="44" fillId="5" borderId="8" xfId="0" applyFont="1" applyFill="1" applyBorder="1" applyAlignment="1">
      <alignment vertical="top" wrapText="1"/>
    </xf>
    <xf numFmtId="0" fontId="15" fillId="4" borderId="24" xfId="0" applyFont="1" applyFill="1" applyBorder="1" applyAlignment="1">
      <alignment vertical="top" wrapText="1"/>
    </xf>
    <xf numFmtId="0" fontId="15" fillId="4" borderId="25" xfId="0" applyFont="1" applyFill="1" applyBorder="1" applyAlignment="1">
      <alignment vertical="top" wrapText="1"/>
    </xf>
    <xf numFmtId="0" fontId="15" fillId="4" borderId="23" xfId="0" applyFont="1" applyFill="1" applyBorder="1" applyAlignment="1">
      <alignment vertical="top" wrapText="1"/>
    </xf>
    <xf numFmtId="4" fontId="6" fillId="37" borderId="8" xfId="0" applyNumberFormat="1" applyFont="1" applyFill="1" applyBorder="1" applyAlignment="1">
      <alignment vertical="top" wrapText="1"/>
    </xf>
    <xf numFmtId="0" fontId="1" fillId="2" borderId="0" xfId="0" applyFont="1" applyFill="1" applyAlignment="1">
      <alignment horizontal="left" vertical="center"/>
    </xf>
    <xf numFmtId="0" fontId="2" fillId="3" borderId="0" xfId="0" applyFont="1" applyFill="1" applyAlignment="1">
      <alignment horizontal="left" vertical="center" wrapText="1"/>
    </xf>
    <xf numFmtId="0" fontId="60" fillId="0" borderId="35" xfId="0" applyFont="1" applyBorder="1" applyAlignment="1">
      <alignment vertical="top"/>
    </xf>
    <xf numFmtId="0" fontId="60" fillId="0" borderId="37" xfId="0" applyFont="1" applyBorder="1" applyAlignment="1">
      <alignment vertical="top"/>
    </xf>
    <xf numFmtId="0" fontId="60" fillId="0" borderId="38" xfId="0" applyFont="1" applyBorder="1" applyAlignment="1">
      <alignment vertical="top"/>
    </xf>
    <xf numFmtId="0" fontId="0" fillId="0" borderId="36" xfId="0" applyBorder="1"/>
    <xf numFmtId="0" fontId="0" fillId="0" borderId="41" xfId="0" applyBorder="1"/>
    <xf numFmtId="0" fontId="5" fillId="7" borderId="7" xfId="0" applyFont="1" applyFill="1" applyBorder="1" applyAlignment="1">
      <alignment horizontal="center" vertical="center"/>
    </xf>
    <xf numFmtId="0" fontId="61" fillId="0" borderId="0" xfId="0" applyFont="1"/>
    <xf numFmtId="170" fontId="62" fillId="5" borderId="8" xfId="0" applyNumberFormat="1" applyFont="1" applyFill="1" applyBorder="1" applyAlignment="1">
      <alignment vertical="top" wrapText="1"/>
    </xf>
    <xf numFmtId="0" fontId="19" fillId="38" borderId="19" xfId="0" applyFont="1" applyFill="1" applyBorder="1" applyAlignment="1">
      <alignment horizontal="center" vertical="center" wrapText="1"/>
    </xf>
    <xf numFmtId="0" fontId="19" fillId="42" borderId="43" xfId="0" applyFont="1" applyFill="1" applyBorder="1" applyAlignment="1">
      <alignment horizontal="center" vertical="center"/>
    </xf>
    <xf numFmtId="0" fontId="60" fillId="34" borderId="42" xfId="0" applyFont="1" applyFill="1" applyBorder="1" applyAlignment="1">
      <alignment vertical="center"/>
    </xf>
    <xf numFmtId="3" fontId="60" fillId="34" borderId="42" xfId="0" applyNumberFormat="1" applyFont="1" applyFill="1" applyBorder="1" applyAlignment="1">
      <alignment vertical="center"/>
    </xf>
    <xf numFmtId="4" fontId="60" fillId="34" borderId="42" xfId="0" applyNumberFormat="1" applyFont="1" applyFill="1" applyBorder="1" applyAlignment="1">
      <alignment vertical="center"/>
    </xf>
    <xf numFmtId="164" fontId="60" fillId="34" borderId="42" xfId="0" applyNumberFormat="1" applyFont="1" applyFill="1" applyBorder="1" applyAlignment="1">
      <alignment vertical="center"/>
    </xf>
    <xf numFmtId="0" fontId="19" fillId="42" borderId="30" xfId="0" applyFont="1" applyFill="1" applyBorder="1" applyAlignment="1">
      <alignment horizontal="center" vertical="center"/>
    </xf>
    <xf numFmtId="0" fontId="60" fillId="34" borderId="44" xfId="0" applyFont="1" applyFill="1" applyBorder="1" applyAlignment="1">
      <alignment vertical="center"/>
    </xf>
    <xf numFmtId="3" fontId="60" fillId="34" borderId="44" xfId="0" applyNumberFormat="1" applyFont="1" applyFill="1" applyBorder="1" applyAlignment="1">
      <alignment vertical="center"/>
    </xf>
    <xf numFmtId="4" fontId="60" fillId="34" borderId="44" xfId="0" applyNumberFormat="1" applyFont="1" applyFill="1" applyBorder="1" applyAlignment="1">
      <alignment vertical="center"/>
    </xf>
    <xf numFmtId="49" fontId="47" fillId="38" borderId="44" xfId="0" applyNumberFormat="1" applyFont="1" applyFill="1" applyBorder="1" applyAlignment="1">
      <alignment vertical="center" wrapText="1"/>
    </xf>
    <xf numFmtId="0" fontId="47" fillId="38" borderId="44" xfId="0" applyFont="1" applyFill="1" applyBorder="1" applyAlignment="1">
      <alignment vertical="center"/>
    </xf>
    <xf numFmtId="3" fontId="47" fillId="38" borderId="44" xfId="0" applyNumberFormat="1" applyFont="1" applyFill="1" applyBorder="1" applyAlignment="1">
      <alignment vertical="center"/>
    </xf>
    <xf numFmtId="4" fontId="47" fillId="38" borderId="44" xfId="0" applyNumberFormat="1" applyFont="1" applyFill="1" applyBorder="1" applyAlignment="1">
      <alignment vertical="center"/>
    </xf>
    <xf numFmtId="164" fontId="47" fillId="38" borderId="44" xfId="0" applyNumberFormat="1" applyFont="1" applyFill="1" applyBorder="1" applyAlignment="1">
      <alignment vertical="center"/>
    </xf>
    <xf numFmtId="0" fontId="47" fillId="38" borderId="44" xfId="0" applyFont="1" applyFill="1" applyBorder="1" applyAlignment="1">
      <alignment vertical="center" wrapText="1"/>
    </xf>
    <xf numFmtId="0" fontId="60" fillId="5" borderId="8" xfId="0" applyFont="1" applyFill="1" applyBorder="1" applyAlignment="1">
      <alignment vertical="top" wrapText="1"/>
    </xf>
    <xf numFmtId="0" fontId="15" fillId="5" borderId="42" xfId="0" applyFont="1" applyFill="1" applyBorder="1" applyAlignment="1">
      <alignment vertical="top" wrapText="1"/>
    </xf>
    <xf numFmtId="0" fontId="19" fillId="38" borderId="20" xfId="0" applyFont="1" applyFill="1" applyBorder="1" applyAlignment="1">
      <alignment horizontal="center" vertical="center" wrapText="1"/>
    </xf>
    <xf numFmtId="49" fontId="15" fillId="5" borderId="8" xfId="0" applyNumberFormat="1" applyFont="1" applyFill="1" applyBorder="1" applyAlignment="1">
      <alignment vertical="top" wrapText="1"/>
    </xf>
    <xf numFmtId="171" fontId="15" fillId="5" borderId="8" xfId="0" applyNumberFormat="1" applyFont="1" applyFill="1" applyBorder="1" applyAlignment="1">
      <alignment vertical="top" wrapText="1"/>
    </xf>
    <xf numFmtId="172" fontId="15" fillId="5" borderId="8" xfId="0" applyNumberFormat="1" applyFont="1" applyFill="1" applyBorder="1" applyAlignment="1">
      <alignment vertical="top" wrapText="1"/>
    </xf>
    <xf numFmtId="166" fontId="15" fillId="5" borderId="8" xfId="0" applyNumberFormat="1" applyFont="1" applyFill="1" applyBorder="1" applyAlignment="1">
      <alignment vertical="top" wrapText="1"/>
    </xf>
    <xf numFmtId="3" fontId="60" fillId="34" borderId="42" xfId="0" applyNumberFormat="1" applyFont="1" applyFill="1" applyBorder="1"/>
    <xf numFmtId="10" fontId="60" fillId="34" borderId="42" xfId="0" applyNumberFormat="1" applyFont="1" applyFill="1" applyBorder="1"/>
    <xf numFmtId="49" fontId="44" fillId="34" borderId="42" xfId="0" applyNumberFormat="1" applyFont="1" applyFill="1" applyBorder="1" applyAlignment="1">
      <alignment vertical="center"/>
    </xf>
    <xf numFmtId="49" fontId="44" fillId="34" borderId="44" xfId="0" applyNumberFormat="1" applyFont="1" applyFill="1" applyBorder="1" applyAlignment="1">
      <alignment vertical="center"/>
    </xf>
    <xf numFmtId="10" fontId="47" fillId="38" borderId="44" xfId="0" applyNumberFormat="1" applyFont="1" applyFill="1" applyBorder="1" applyAlignment="1">
      <alignment vertical="center"/>
    </xf>
    <xf numFmtId="0" fontId="57" fillId="37" borderId="31" xfId="0" applyFont="1" applyFill="1" applyBorder="1" applyAlignment="1">
      <alignment vertical="top" wrapText="1"/>
    </xf>
    <xf numFmtId="4" fontId="57" fillId="37" borderId="32" xfId="0" applyNumberFormat="1" applyFont="1" applyFill="1" applyBorder="1" applyAlignment="1">
      <alignment vertical="top" wrapText="1"/>
    </xf>
    <xf numFmtId="0" fontId="57" fillId="37" borderId="32" xfId="0" applyFont="1" applyFill="1" applyBorder="1" applyAlignment="1">
      <alignment vertical="top" wrapText="1"/>
    </xf>
    <xf numFmtId="0" fontId="57" fillId="37" borderId="8" xfId="0" applyFont="1" applyFill="1" applyBorder="1" applyAlignment="1">
      <alignment vertical="top" wrapText="1"/>
    </xf>
    <xf numFmtId="0" fontId="6" fillId="37" borderId="8" xfId="0" applyFont="1" applyFill="1" applyBorder="1" applyAlignment="1">
      <alignment vertical="top" wrapText="1"/>
    </xf>
    <xf numFmtId="0" fontId="15" fillId="37" borderId="8" xfId="0" applyFont="1" applyFill="1" applyBorder="1" applyAlignment="1">
      <alignment vertical="top" wrapText="1"/>
    </xf>
    <xf numFmtId="173" fontId="6" fillId="37" borderId="33" xfId="0" applyNumberFormat="1" applyFont="1" applyFill="1" applyBorder="1" applyAlignment="1">
      <alignment vertical="top" wrapText="1"/>
    </xf>
    <xf numFmtId="10" fontId="15" fillId="37" borderId="8" xfId="0" applyNumberFormat="1" applyFont="1" applyFill="1" applyBorder="1" applyAlignment="1">
      <alignment vertical="top" wrapText="1"/>
    </xf>
    <xf numFmtId="14" fontId="15" fillId="37" borderId="33" xfId="0" applyNumberFormat="1" applyFont="1" applyFill="1" applyBorder="1" applyAlignment="1">
      <alignment vertical="top" wrapText="1"/>
    </xf>
    <xf numFmtId="14" fontId="6" fillId="37" borderId="33" xfId="0" applyNumberFormat="1" applyFont="1" applyFill="1" applyBorder="1" applyAlignment="1">
      <alignment vertical="top" wrapText="1"/>
    </xf>
    <xf numFmtId="164" fontId="15" fillId="5" borderId="8" xfId="0" applyNumberFormat="1" applyFont="1" applyFill="1" applyBorder="1" applyAlignment="1">
      <alignment vertical="center" wrapText="1"/>
    </xf>
    <xf numFmtId="164" fontId="32" fillId="26" borderId="21" xfId="0" applyNumberFormat="1" applyFont="1" applyFill="1" applyBorder="1" applyAlignment="1">
      <alignment horizontal="center" vertical="center"/>
    </xf>
    <xf numFmtId="0" fontId="42" fillId="45" borderId="29" xfId="0" applyFont="1" applyFill="1" applyBorder="1" applyAlignment="1">
      <alignment horizontal="center"/>
    </xf>
    <xf numFmtId="0" fontId="42" fillId="45" borderId="28" xfId="0" applyFont="1" applyFill="1" applyBorder="1" applyAlignment="1">
      <alignment horizontal="center"/>
    </xf>
    <xf numFmtId="0" fontId="15" fillId="46" borderId="29" xfId="0" applyFont="1" applyFill="1" applyBorder="1"/>
    <xf numFmtId="3" fontId="15" fillId="47" borderId="28" xfId="0" applyNumberFormat="1" applyFont="1" applyFill="1" applyBorder="1"/>
    <xf numFmtId="0" fontId="68" fillId="0" borderId="0" xfId="0" applyFont="1"/>
    <xf numFmtId="0" fontId="67" fillId="48" borderId="0" xfId="0" applyFont="1" applyFill="1"/>
    <xf numFmtId="0" fontId="69" fillId="46" borderId="0" xfId="0" applyFont="1" applyFill="1" applyAlignment="1">
      <alignment vertical="top" wrapText="1"/>
    </xf>
    <xf numFmtId="4" fontId="60" fillId="44" borderId="18" xfId="0" applyNumberFormat="1" applyFont="1" applyFill="1" applyBorder="1"/>
    <xf numFmtId="164" fontId="60" fillId="44" borderId="18" xfId="0" applyNumberFormat="1" applyFont="1" applyFill="1" applyBorder="1"/>
    <xf numFmtId="0" fontId="60" fillId="44" borderId="18" xfId="0" applyFont="1" applyFill="1" applyBorder="1"/>
    <xf numFmtId="0" fontId="60" fillId="44" borderId="18" xfId="0" applyFont="1" applyFill="1" applyBorder="1" applyAlignment="1">
      <alignment wrapText="1"/>
    </xf>
    <xf numFmtId="0" fontId="72" fillId="44" borderId="18" xfId="0" applyFont="1" applyFill="1" applyBorder="1"/>
    <xf numFmtId="4" fontId="60" fillId="49" borderId="18" xfId="0" applyNumberFormat="1" applyFont="1" applyFill="1" applyBorder="1"/>
    <xf numFmtId="164" fontId="60" fillId="49" borderId="18" xfId="0" applyNumberFormat="1" applyFont="1" applyFill="1" applyBorder="1"/>
    <xf numFmtId="0" fontId="60" fillId="49" borderId="18" xfId="0" applyFont="1" applyFill="1" applyBorder="1"/>
    <xf numFmtId="0" fontId="19" fillId="43" borderId="20" xfId="0" applyFont="1" applyFill="1" applyBorder="1" applyAlignment="1">
      <alignment horizontal="center" vertical="center" wrapText="1"/>
    </xf>
    <xf numFmtId="0" fontId="23" fillId="50" borderId="18" xfId="0" applyFont="1" applyFill="1" applyBorder="1" applyAlignment="1">
      <alignment horizontal="center" vertical="center" wrapText="1"/>
    </xf>
    <xf numFmtId="4" fontId="60" fillId="50" borderId="18" xfId="0" applyNumberFormat="1" applyFont="1" applyFill="1" applyBorder="1"/>
    <xf numFmtId="164" fontId="60" fillId="50" borderId="18" xfId="0" applyNumberFormat="1" applyFont="1" applyFill="1" applyBorder="1"/>
    <xf numFmtId="0" fontId="60" fillId="50" borderId="18" xfId="0" applyFont="1" applyFill="1" applyBorder="1"/>
    <xf numFmtId="0" fontId="23" fillId="51" borderId="18" xfId="0" applyFont="1" applyFill="1" applyBorder="1" applyAlignment="1">
      <alignment horizontal="center" vertical="center" wrapText="1"/>
    </xf>
    <xf numFmtId="4" fontId="60" fillId="51" borderId="18" xfId="0" applyNumberFormat="1" applyFont="1" applyFill="1" applyBorder="1"/>
    <xf numFmtId="164" fontId="60" fillId="51" borderId="18" xfId="0" applyNumberFormat="1" applyFont="1" applyFill="1" applyBorder="1"/>
    <xf numFmtId="0" fontId="60" fillId="51" borderId="18" xfId="0" applyFont="1" applyFill="1" applyBorder="1"/>
    <xf numFmtId="0" fontId="23" fillId="52" borderId="18" xfId="0" applyFont="1" applyFill="1" applyBorder="1" applyAlignment="1">
      <alignment horizontal="center" vertical="center" wrapText="1"/>
    </xf>
    <xf numFmtId="4" fontId="60" fillId="52" borderId="18" xfId="0" applyNumberFormat="1" applyFont="1" applyFill="1" applyBorder="1"/>
    <xf numFmtId="164" fontId="60" fillId="52" borderId="18" xfId="0" applyNumberFormat="1" applyFont="1" applyFill="1" applyBorder="1"/>
    <xf numFmtId="0" fontId="60" fillId="52" borderId="18" xfId="0" applyFont="1" applyFill="1" applyBorder="1"/>
    <xf numFmtId="0" fontId="59" fillId="43" borderId="54" xfId="0" applyFont="1" applyFill="1" applyBorder="1" applyAlignment="1">
      <alignment horizontal="left" vertical="center"/>
    </xf>
    <xf numFmtId="0" fontId="59" fillId="43" borderId="55" xfId="0" applyFont="1" applyFill="1" applyBorder="1" applyAlignment="1">
      <alignment horizontal="left" vertical="center"/>
    </xf>
    <xf numFmtId="0" fontId="59" fillId="43" borderId="55" xfId="0" applyFont="1" applyFill="1" applyBorder="1" applyAlignment="1">
      <alignment horizontal="left" vertical="center" wrapText="1"/>
    </xf>
    <xf numFmtId="0" fontId="42" fillId="16" borderId="48" xfId="0" applyFont="1" applyFill="1" applyBorder="1" applyAlignment="1">
      <alignment horizontal="center" vertical="center"/>
    </xf>
    <xf numFmtId="0" fontId="70" fillId="32" borderId="49" xfId="0" applyFont="1" applyFill="1" applyBorder="1"/>
    <xf numFmtId="0" fontId="70" fillId="32" borderId="50" xfId="0" applyFont="1" applyFill="1" applyBorder="1"/>
    <xf numFmtId="0" fontId="33" fillId="27" borderId="48" xfId="0" applyFont="1" applyFill="1" applyBorder="1" applyAlignment="1">
      <alignment horizontal="center" vertical="center"/>
    </xf>
    <xf numFmtId="0" fontId="70" fillId="49" borderId="49" xfId="0" applyFont="1" applyFill="1" applyBorder="1"/>
    <xf numFmtId="0" fontId="70" fillId="49" borderId="50" xfId="0" applyFont="1" applyFill="1" applyBorder="1"/>
    <xf numFmtId="0" fontId="33" fillId="28" borderId="48" xfId="0" applyFont="1" applyFill="1" applyBorder="1" applyAlignment="1">
      <alignment horizontal="center" vertical="center"/>
    </xf>
    <xf numFmtId="0" fontId="70" fillId="50" borderId="49" xfId="0" applyFont="1" applyFill="1" applyBorder="1"/>
    <xf numFmtId="0" fontId="70" fillId="50" borderId="50" xfId="0" applyFont="1" applyFill="1" applyBorder="1"/>
    <xf numFmtId="0" fontId="33" fillId="29" borderId="48" xfId="0" applyFont="1" applyFill="1" applyBorder="1" applyAlignment="1">
      <alignment horizontal="center" vertical="center"/>
    </xf>
    <xf numFmtId="0" fontId="70" fillId="51" borderId="49" xfId="0" applyFont="1" applyFill="1" applyBorder="1"/>
    <xf numFmtId="0" fontId="70" fillId="51" borderId="50" xfId="0" applyFont="1" applyFill="1" applyBorder="1"/>
    <xf numFmtId="0" fontId="33" fillId="30" borderId="45" xfId="0" applyFont="1" applyFill="1" applyBorder="1" applyAlignment="1">
      <alignment horizontal="center" vertical="center"/>
    </xf>
    <xf numFmtId="0" fontId="70" fillId="52" borderId="46" xfId="0" applyFont="1" applyFill="1" applyBorder="1"/>
    <xf numFmtId="0" fontId="70" fillId="52" borderId="47" xfId="0" applyFont="1" applyFill="1" applyBorder="1"/>
    <xf numFmtId="0" fontId="71" fillId="32" borderId="48" xfId="0" applyFont="1" applyFill="1" applyBorder="1"/>
    <xf numFmtId="164" fontId="71" fillId="32" borderId="48" xfId="0" applyNumberFormat="1" applyFont="1" applyFill="1" applyBorder="1"/>
    <xf numFmtId="0" fontId="71" fillId="49" borderId="48" xfId="0" applyFont="1" applyFill="1" applyBorder="1"/>
    <xf numFmtId="164" fontId="71" fillId="49" borderId="48" xfId="0" applyNumberFormat="1" applyFont="1" applyFill="1" applyBorder="1"/>
    <xf numFmtId="0" fontId="71" fillId="50" borderId="48" xfId="0" applyFont="1" applyFill="1" applyBorder="1"/>
    <xf numFmtId="164" fontId="71" fillId="50" borderId="48" xfId="0" applyNumberFormat="1" applyFont="1" applyFill="1" applyBorder="1"/>
    <xf numFmtId="0" fontId="71" fillId="51" borderId="48" xfId="0" applyFont="1" applyFill="1" applyBorder="1"/>
    <xf numFmtId="164" fontId="71" fillId="51" borderId="48" xfId="0" applyNumberFormat="1" applyFont="1" applyFill="1" applyBorder="1"/>
    <xf numFmtId="0" fontId="71" fillId="52" borderId="45" xfId="0" applyFont="1" applyFill="1" applyBorder="1"/>
    <xf numFmtId="164" fontId="71" fillId="52" borderId="45" xfId="0" applyNumberFormat="1" applyFont="1" applyFill="1" applyBorder="1"/>
    <xf numFmtId="0" fontId="60" fillId="44" borderId="56" xfId="0" applyFont="1" applyFill="1" applyBorder="1"/>
    <xf numFmtId="0" fontId="71" fillId="44" borderId="18" xfId="0" applyFont="1" applyFill="1" applyBorder="1" applyAlignment="1">
      <alignment horizontal="center" vertical="center"/>
    </xf>
    <xf numFmtId="2" fontId="71" fillId="44" borderId="18" xfId="0" applyNumberFormat="1" applyFont="1" applyFill="1" applyBorder="1" applyAlignment="1">
      <alignment horizontal="center" vertical="center"/>
    </xf>
    <xf numFmtId="0" fontId="73" fillId="49" borderId="18" xfId="0" applyFont="1" applyFill="1" applyBorder="1" applyAlignment="1">
      <alignment horizontal="center" vertical="center"/>
    </xf>
    <xf numFmtId="2" fontId="73" fillId="49" borderId="18" xfId="0" applyNumberFormat="1" applyFont="1" applyFill="1" applyBorder="1" applyAlignment="1">
      <alignment horizontal="center" vertical="center"/>
    </xf>
    <xf numFmtId="0" fontId="73" fillId="50" borderId="18" xfId="0" applyFont="1" applyFill="1" applyBorder="1" applyAlignment="1">
      <alignment horizontal="center" vertical="center"/>
    </xf>
    <xf numFmtId="2" fontId="73" fillId="50" borderId="18" xfId="0" applyNumberFormat="1" applyFont="1" applyFill="1" applyBorder="1" applyAlignment="1">
      <alignment horizontal="center" vertical="center"/>
    </xf>
    <xf numFmtId="0" fontId="73" fillId="51" borderId="18" xfId="0" applyFont="1" applyFill="1" applyBorder="1" applyAlignment="1">
      <alignment horizontal="center" vertical="center"/>
    </xf>
    <xf numFmtId="2" fontId="73" fillId="51" borderId="18" xfId="0" applyNumberFormat="1" applyFont="1" applyFill="1" applyBorder="1" applyAlignment="1">
      <alignment horizontal="center" vertical="center"/>
    </xf>
    <xf numFmtId="0" fontId="73" fillId="52" borderId="18" xfId="0" applyFont="1" applyFill="1" applyBorder="1" applyAlignment="1">
      <alignment horizontal="center" vertical="center"/>
    </xf>
    <xf numFmtId="2" fontId="73" fillId="52" borderId="18" xfId="0" applyNumberFormat="1" applyFont="1" applyFill="1" applyBorder="1" applyAlignment="1">
      <alignment horizontal="center" vertical="center"/>
    </xf>
    <xf numFmtId="0" fontId="73" fillId="52" borderId="21" xfId="0" applyFont="1" applyFill="1" applyBorder="1" applyAlignment="1">
      <alignment horizontal="center" vertical="center"/>
    </xf>
    <xf numFmtId="2" fontId="73" fillId="52" borderId="21" xfId="0" applyNumberFormat="1" applyFont="1" applyFill="1" applyBorder="1" applyAlignment="1">
      <alignment horizontal="center" vertical="center"/>
    </xf>
    <xf numFmtId="0" fontId="60" fillId="44" borderId="56" xfId="0" applyFont="1" applyFill="1" applyBorder="1" applyAlignment="1">
      <alignment wrapText="1"/>
    </xf>
    <xf numFmtId="0" fontId="60" fillId="49" borderId="18" xfId="0" applyFont="1" applyFill="1" applyBorder="1" applyAlignment="1">
      <alignment wrapText="1"/>
    </xf>
    <xf numFmtId="0" fontId="60" fillId="50" borderId="18" xfId="0" applyFont="1" applyFill="1" applyBorder="1" applyAlignment="1">
      <alignment wrapText="1"/>
    </xf>
    <xf numFmtId="0" fontId="60" fillId="51" borderId="18" xfId="0" applyFont="1" applyFill="1" applyBorder="1" applyAlignment="1">
      <alignment wrapText="1"/>
    </xf>
    <xf numFmtId="0" fontId="60" fillId="52" borderId="18" xfId="0" applyFont="1" applyFill="1" applyBorder="1" applyAlignment="1">
      <alignment wrapText="1"/>
    </xf>
    <xf numFmtId="0" fontId="60" fillId="52" borderId="21" xfId="0" applyFont="1" applyFill="1" applyBorder="1" applyAlignment="1">
      <alignment wrapText="1"/>
    </xf>
    <xf numFmtId="0" fontId="60" fillId="0" borderId="0" xfId="0" applyFont="1"/>
    <xf numFmtId="0" fontId="60" fillId="0" borderId="0" xfId="0" applyFont="1" applyAlignment="1">
      <alignment wrapText="1"/>
    </xf>
    <xf numFmtId="0" fontId="0" fillId="0" borderId="0" xfId="0" applyAlignment="1">
      <alignment vertical="center"/>
    </xf>
    <xf numFmtId="0" fontId="60" fillId="0" borderId="0" xfId="0" applyFont="1" applyAlignment="1">
      <alignment vertical="center"/>
    </xf>
    <xf numFmtId="0" fontId="6" fillId="15" borderId="0" xfId="0" applyFont="1" applyFill="1" applyAlignment="1">
      <alignment vertical="top" wrapText="1"/>
    </xf>
    <xf numFmtId="4" fontId="7" fillId="15" borderId="0" xfId="0" applyNumberFormat="1" applyFont="1" applyFill="1" applyAlignment="1">
      <alignment vertical="top" wrapText="1"/>
    </xf>
    <xf numFmtId="164" fontId="0" fillId="15" borderId="0" xfId="0" applyNumberFormat="1" applyFill="1"/>
    <xf numFmtId="3" fontId="0" fillId="15" borderId="0" xfId="0" applyNumberFormat="1" applyFill="1"/>
    <xf numFmtId="4" fontId="0" fillId="15" borderId="0" xfId="0" applyNumberFormat="1" applyFill="1"/>
    <xf numFmtId="0" fontId="15" fillId="46" borderId="23" xfId="0" applyFont="1" applyFill="1" applyBorder="1"/>
    <xf numFmtId="0" fontId="15" fillId="46" borderId="60" xfId="0" applyFont="1" applyFill="1" applyBorder="1"/>
    <xf numFmtId="0" fontId="74" fillId="46" borderId="61" xfId="0" applyFont="1" applyFill="1" applyBorder="1" applyAlignment="1">
      <alignment vertical="center" wrapText="1"/>
    </xf>
    <xf numFmtId="3" fontId="15" fillId="32" borderId="3" xfId="0" applyNumberFormat="1" applyFont="1" applyFill="1" applyBorder="1" applyAlignment="1">
      <alignment vertical="top" wrapText="1"/>
    </xf>
    <xf numFmtId="4" fontId="57" fillId="32" borderId="3" xfId="0" applyNumberFormat="1" applyFont="1" applyFill="1" applyBorder="1" applyAlignment="1">
      <alignment vertical="top" wrapText="1"/>
    </xf>
    <xf numFmtId="164" fontId="15" fillId="32" borderId="3" xfId="0" applyNumberFormat="1" applyFont="1" applyFill="1" applyBorder="1" applyAlignment="1">
      <alignment vertical="top" wrapText="1"/>
    </xf>
    <xf numFmtId="2" fontId="15" fillId="32" borderId="3" xfId="0" applyNumberFormat="1" applyFont="1" applyFill="1" applyBorder="1" applyAlignment="1">
      <alignment vertical="top" wrapText="1"/>
    </xf>
    <xf numFmtId="0" fontId="15" fillId="4" borderId="57" xfId="0" applyFont="1" applyFill="1" applyBorder="1" applyAlignment="1">
      <alignment vertical="top" wrapText="1"/>
    </xf>
    <xf numFmtId="0" fontId="15" fillId="46" borderId="0" xfId="0" applyFont="1" applyFill="1"/>
    <xf numFmtId="164" fontId="57" fillId="6" borderId="8" xfId="0" applyNumberFormat="1" applyFont="1" applyFill="1" applyBorder="1" applyAlignment="1">
      <alignment vertical="top" wrapText="1"/>
    </xf>
    <xf numFmtId="165" fontId="57" fillId="6" borderId="8" xfId="0" applyNumberFormat="1" applyFont="1" applyFill="1" applyBorder="1" applyAlignment="1">
      <alignment vertical="top" wrapText="1"/>
    </xf>
    <xf numFmtId="0" fontId="69" fillId="46" borderId="8" xfId="0" applyFont="1" applyFill="1" applyBorder="1" applyAlignment="1">
      <alignment vertical="center" wrapText="1"/>
    </xf>
    <xf numFmtId="0" fontId="5" fillId="54" borderId="58" xfId="0" applyFont="1" applyFill="1" applyBorder="1" applyAlignment="1">
      <alignment horizontal="center" vertical="center" wrapText="1"/>
    </xf>
    <xf numFmtId="0" fontId="19" fillId="54" borderId="20" xfId="0" applyFont="1" applyFill="1" applyBorder="1" applyAlignment="1">
      <alignment horizontal="center" vertical="center" wrapText="1"/>
    </xf>
    <xf numFmtId="0" fontId="8" fillId="8" borderId="0" xfId="0" applyFont="1" applyFill="1" applyAlignment="1">
      <alignment horizontal="left" vertical="center"/>
    </xf>
    <xf numFmtId="0" fontId="17" fillId="4" borderId="1" xfId="0" applyFont="1" applyFill="1" applyBorder="1" applyAlignment="1">
      <alignment horizontal="center" vertical="center"/>
    </xf>
    <xf numFmtId="0" fontId="52" fillId="3" borderId="0" xfId="0" applyFont="1" applyFill="1" applyAlignment="1">
      <alignment horizontal="center" vertical="center" wrapText="1"/>
    </xf>
    <xf numFmtId="2" fontId="6" fillId="5" borderId="8" xfId="0" quotePrefix="1" applyNumberFormat="1" applyFont="1" applyFill="1" applyBorder="1" applyAlignment="1">
      <alignment vertical="top" wrapText="1"/>
    </xf>
    <xf numFmtId="0" fontId="15" fillId="53" borderId="8" xfId="0" applyFont="1" applyFill="1" applyBorder="1" applyAlignment="1">
      <alignment vertical="center" wrapText="1"/>
    </xf>
    <xf numFmtId="0" fontId="59" fillId="43" borderId="7" xfId="0" applyFont="1" applyFill="1" applyBorder="1" applyAlignment="1">
      <alignment horizontal="center" vertical="center" wrapText="1"/>
    </xf>
    <xf numFmtId="0" fontId="59" fillId="43" borderId="62" xfId="0" applyFont="1" applyFill="1" applyBorder="1" applyAlignment="1">
      <alignment horizontal="center" vertical="center" wrapText="1"/>
    </xf>
    <xf numFmtId="0" fontId="78" fillId="10" borderId="1" xfId="0" applyFont="1" applyFill="1" applyBorder="1" applyAlignment="1">
      <alignment horizontal="center" vertical="center" wrapText="1"/>
    </xf>
    <xf numFmtId="0" fontId="79" fillId="57" borderId="65" xfId="0" applyFont="1" applyFill="1" applyBorder="1" applyAlignment="1">
      <alignment horizontal="center" vertical="center" wrapText="1"/>
    </xf>
    <xf numFmtId="0" fontId="79" fillId="58" borderId="65" xfId="0" applyFont="1" applyFill="1" applyBorder="1" applyAlignment="1">
      <alignment horizontal="center" vertical="center" wrapText="1"/>
    </xf>
    <xf numFmtId="0" fontId="79" fillId="59" borderId="65" xfId="0" applyFont="1" applyFill="1" applyBorder="1" applyAlignment="1">
      <alignment horizontal="center" vertical="center" wrapText="1"/>
    </xf>
    <xf numFmtId="0" fontId="79" fillId="56" borderId="65" xfId="0" applyFont="1" applyFill="1" applyBorder="1" applyAlignment="1">
      <alignment horizontal="center" vertical="center" wrapText="1"/>
    </xf>
    <xf numFmtId="0" fontId="0" fillId="60" borderId="0" xfId="0" applyFill="1"/>
    <xf numFmtId="0" fontId="0" fillId="61" borderId="0" xfId="0" applyFill="1"/>
    <xf numFmtId="0" fontId="0" fillId="62" borderId="0" xfId="0" applyFill="1"/>
    <xf numFmtId="0" fontId="0" fillId="63" borderId="0" xfId="0" applyFill="1"/>
    <xf numFmtId="0" fontId="80" fillId="5" borderId="17" xfId="0" applyFont="1" applyFill="1" applyBorder="1" applyAlignment="1">
      <alignment horizontal="center" vertical="center"/>
    </xf>
    <xf numFmtId="0" fontId="81" fillId="64" borderId="0" xfId="0" applyFont="1" applyFill="1" applyAlignment="1">
      <alignment horizontal="center"/>
    </xf>
    <xf numFmtId="0" fontId="17" fillId="4" borderId="7" xfId="0" applyFont="1" applyFill="1" applyBorder="1" applyAlignment="1">
      <alignment horizontal="center" vertical="center"/>
    </xf>
    <xf numFmtId="0" fontId="18" fillId="0" borderId="66" xfId="0" applyFont="1" applyBorder="1"/>
    <xf numFmtId="0" fontId="15" fillId="5" borderId="24" xfId="0" applyFont="1" applyFill="1" applyBorder="1" applyAlignment="1">
      <alignment vertical="top" wrapText="1"/>
    </xf>
    <xf numFmtId="0" fontId="15" fillId="4" borderId="31" xfId="0" applyFont="1" applyFill="1" applyBorder="1" applyAlignment="1">
      <alignment vertical="top" wrapText="1"/>
    </xf>
    <xf numFmtId="0" fontId="15" fillId="5" borderId="25" xfId="0" applyFont="1" applyFill="1" applyBorder="1" applyAlignment="1">
      <alignment vertical="top" wrapText="1"/>
    </xf>
    <xf numFmtId="0" fontId="15" fillId="4" borderId="32" xfId="0" applyFont="1" applyFill="1" applyBorder="1" applyAlignment="1">
      <alignment vertical="top" wrapText="1"/>
    </xf>
    <xf numFmtId="0" fontId="15" fillId="5" borderId="23" xfId="0" applyFont="1" applyFill="1" applyBorder="1" applyAlignment="1">
      <alignment vertical="top" wrapText="1"/>
    </xf>
    <xf numFmtId="0" fontId="15" fillId="5" borderId="32" xfId="0" applyFont="1" applyFill="1" applyBorder="1" applyAlignment="1">
      <alignment vertical="top" wrapText="1"/>
    </xf>
    <xf numFmtId="0" fontId="84" fillId="43" borderId="67" xfId="0" applyFont="1" applyFill="1" applyBorder="1"/>
    <xf numFmtId="0" fontId="85" fillId="65" borderId="67" xfId="0" applyFont="1" applyFill="1" applyBorder="1"/>
    <xf numFmtId="3" fontId="70" fillId="34" borderId="67" xfId="0" applyNumberFormat="1" applyFont="1" applyFill="1" applyBorder="1"/>
    <xf numFmtId="164" fontId="70" fillId="34" borderId="67" xfId="0" applyNumberFormat="1" applyFont="1" applyFill="1" applyBorder="1"/>
    <xf numFmtId="0" fontId="41" fillId="22" borderId="67" xfId="0" applyFont="1" applyFill="1" applyBorder="1" applyAlignment="1">
      <alignment horizontal="center" vertical="center"/>
    </xf>
    <xf numFmtId="0" fontId="38" fillId="19" borderId="67" xfId="0" applyFont="1" applyFill="1" applyBorder="1" applyAlignment="1">
      <alignment horizontal="center" vertical="center"/>
    </xf>
    <xf numFmtId="0" fontId="37" fillId="18" borderId="67" xfId="0" applyFont="1" applyFill="1" applyBorder="1" applyAlignment="1">
      <alignment horizontal="center" vertical="center"/>
    </xf>
    <xf numFmtId="0" fontId="19" fillId="42" borderId="71" xfId="0" applyFont="1" applyFill="1" applyBorder="1" applyAlignment="1">
      <alignment horizontal="center" vertical="center" wrapText="1"/>
    </xf>
    <xf numFmtId="0" fontId="66" fillId="40" borderId="8" xfId="0" applyFont="1" applyFill="1" applyBorder="1" applyAlignment="1">
      <alignment horizontal="left" vertical="center"/>
    </xf>
    <xf numFmtId="0" fontId="66" fillId="41" borderId="8" xfId="0" applyFont="1" applyFill="1" applyBorder="1" applyAlignment="1">
      <alignment horizontal="left" vertical="center"/>
    </xf>
    <xf numFmtId="0" fontId="87" fillId="5" borderId="8" xfId="1" applyFont="1" applyFill="1" applyBorder="1" applyAlignment="1">
      <alignment vertical="top"/>
    </xf>
    <xf numFmtId="0" fontId="84" fillId="14" borderId="74" xfId="0" applyFont="1" applyFill="1" applyBorder="1"/>
    <xf numFmtId="0" fontId="84" fillId="14" borderId="75" xfId="0" applyFont="1" applyFill="1" applyBorder="1" applyAlignment="1">
      <alignment horizontal="right"/>
    </xf>
    <xf numFmtId="0" fontId="88" fillId="13" borderId="76" xfId="0" applyFont="1" applyFill="1" applyBorder="1"/>
    <xf numFmtId="0" fontId="88" fillId="13" borderId="78" xfId="0" applyFont="1" applyFill="1" applyBorder="1"/>
    <xf numFmtId="0" fontId="84" fillId="14" borderId="74" xfId="0" applyFont="1" applyFill="1" applyBorder="1" applyAlignment="1">
      <alignment horizontal="left"/>
    </xf>
    <xf numFmtId="0" fontId="89" fillId="13" borderId="73" xfId="0" applyFont="1" applyFill="1" applyBorder="1"/>
    <xf numFmtId="0" fontId="89" fillId="13" borderId="80" xfId="0" applyFont="1" applyFill="1" applyBorder="1"/>
    <xf numFmtId="172" fontId="47" fillId="12" borderId="8" xfId="0" applyNumberFormat="1" applyFont="1" applyFill="1" applyBorder="1" applyAlignment="1">
      <alignment vertical="top" wrapText="1"/>
    </xf>
    <xf numFmtId="0" fontId="19" fillId="8" borderId="7" xfId="0" applyFont="1" applyFill="1" applyBorder="1" applyAlignment="1">
      <alignment horizontal="center" vertical="center" wrapText="1"/>
    </xf>
    <xf numFmtId="0" fontId="84" fillId="14" borderId="81" xfId="0" applyFont="1" applyFill="1" applyBorder="1" applyAlignment="1">
      <alignment horizontal="center"/>
    </xf>
    <xf numFmtId="1" fontId="60" fillId="44" borderId="18" xfId="0" applyNumberFormat="1" applyFont="1" applyFill="1" applyBorder="1"/>
    <xf numFmtId="1" fontId="60" fillId="49" borderId="18" xfId="0" applyNumberFormat="1" applyFont="1" applyFill="1" applyBorder="1"/>
    <xf numFmtId="1" fontId="60" fillId="50" borderId="18" xfId="0" applyNumberFormat="1" applyFont="1" applyFill="1" applyBorder="1"/>
    <xf numFmtId="1" fontId="60" fillId="51" borderId="18" xfId="0" applyNumberFormat="1" applyFont="1" applyFill="1" applyBorder="1"/>
    <xf numFmtId="1" fontId="60" fillId="52" borderId="18" xfId="0" applyNumberFormat="1" applyFont="1" applyFill="1" applyBorder="1"/>
    <xf numFmtId="0" fontId="90" fillId="4" borderId="73" xfId="0" applyFont="1" applyFill="1" applyBorder="1" applyAlignment="1">
      <alignment horizontal="center" vertical="center"/>
    </xf>
    <xf numFmtId="0" fontId="83" fillId="0" borderId="82" xfId="0" applyFont="1" applyBorder="1"/>
    <xf numFmtId="0" fontId="0" fillId="0" borderId="82" xfId="0" applyBorder="1"/>
    <xf numFmtId="164" fontId="60" fillId="32" borderId="8" xfId="0" applyNumberFormat="1" applyFont="1" applyFill="1" applyBorder="1" applyAlignment="1">
      <alignment vertical="top" wrapText="1"/>
    </xf>
    <xf numFmtId="4" fontId="60" fillId="32" borderId="8" xfId="0" applyNumberFormat="1" applyFont="1" applyFill="1" applyBorder="1" applyAlignment="1">
      <alignment vertical="top" wrapText="1"/>
    </xf>
    <xf numFmtId="164" fontId="71" fillId="32" borderId="8" xfId="0" applyNumberFormat="1" applyFont="1" applyFill="1" applyBorder="1" applyAlignment="1">
      <alignment vertical="top" wrapText="1"/>
    </xf>
    <xf numFmtId="4" fontId="71" fillId="32" borderId="8" xfId="0" applyNumberFormat="1" applyFont="1" applyFill="1" applyBorder="1" applyAlignment="1">
      <alignment vertical="top" wrapText="1"/>
    </xf>
    <xf numFmtId="4" fontId="71" fillId="6" borderId="8" xfId="0" applyNumberFormat="1" applyFont="1" applyFill="1" applyBorder="1" applyAlignment="1">
      <alignment vertical="top" wrapText="1"/>
    </xf>
    <xf numFmtId="3" fontId="71" fillId="47" borderId="60" xfId="0" applyNumberFormat="1" applyFont="1" applyFill="1" applyBorder="1"/>
    <xf numFmtId="1" fontId="94" fillId="34" borderId="3" xfId="0" applyNumberFormat="1" applyFont="1" applyFill="1" applyBorder="1" applyAlignment="1">
      <alignment vertical="top" wrapText="1"/>
    </xf>
    <xf numFmtId="1" fontId="94" fillId="34" borderId="3" xfId="0" applyNumberFormat="1" applyFont="1" applyFill="1" applyBorder="1"/>
    <xf numFmtId="0" fontId="15" fillId="15" borderId="3" xfId="0" applyFont="1" applyFill="1" applyBorder="1" applyAlignment="1">
      <alignment vertical="top" wrapText="1"/>
    </xf>
    <xf numFmtId="0" fontId="71" fillId="15" borderId="3" xfId="0" applyFont="1" applyFill="1" applyBorder="1"/>
    <xf numFmtId="164" fontId="71" fillId="15" borderId="3" xfId="0" applyNumberFormat="1" applyFont="1" applyFill="1" applyBorder="1"/>
    <xf numFmtId="0" fontId="6" fillId="15" borderId="8" xfId="0" applyFont="1" applyFill="1" applyBorder="1" applyAlignment="1">
      <alignment vertical="top" wrapText="1"/>
    </xf>
    <xf numFmtId="0" fontId="74" fillId="46" borderId="8" xfId="0" applyFont="1" applyFill="1" applyBorder="1" applyAlignment="1">
      <alignment vertical="center" wrapText="1"/>
    </xf>
    <xf numFmtId="0" fontId="7" fillId="34" borderId="8" xfId="0" applyFont="1" applyFill="1" applyBorder="1" applyAlignment="1">
      <alignment vertical="top" wrapText="1"/>
    </xf>
    <xf numFmtId="0" fontId="19" fillId="7" borderId="7" xfId="0" applyFont="1" applyFill="1" applyBorder="1" applyAlignment="1">
      <alignment horizontal="center" vertical="center"/>
    </xf>
    <xf numFmtId="4" fontId="15" fillId="5" borderId="8" xfId="0" applyNumberFormat="1" applyFont="1" applyFill="1" applyBorder="1" applyAlignment="1">
      <alignment vertical="top" wrapText="1"/>
    </xf>
    <xf numFmtId="49" fontId="96" fillId="5" borderId="8" xfId="0" applyNumberFormat="1" applyFont="1" applyFill="1" applyBorder="1" applyAlignment="1">
      <alignment vertical="top" wrapText="1"/>
    </xf>
    <xf numFmtId="0" fontId="96" fillId="5" borderId="8" xfId="0" applyFont="1" applyFill="1" applyBorder="1" applyAlignment="1">
      <alignment vertical="top" wrapText="1"/>
    </xf>
    <xf numFmtId="182" fontId="96" fillId="5" borderId="8" xfId="0" applyNumberFormat="1" applyFont="1" applyFill="1" applyBorder="1" applyAlignment="1">
      <alignment vertical="top" wrapText="1"/>
    </xf>
    <xf numFmtId="170" fontId="96" fillId="5" borderId="8" xfId="0" applyNumberFormat="1" applyFont="1" applyFill="1" applyBorder="1" applyAlignment="1">
      <alignment vertical="top" wrapText="1"/>
    </xf>
    <xf numFmtId="0" fontId="60" fillId="15" borderId="8" xfId="0" applyFont="1" applyFill="1" applyBorder="1" applyAlignment="1">
      <alignment wrapText="1"/>
    </xf>
    <xf numFmtId="0" fontId="97" fillId="40" borderId="8" xfId="0" applyFont="1" applyFill="1" applyBorder="1" applyAlignment="1">
      <alignment horizontal="left" vertical="center"/>
    </xf>
    <xf numFmtId="0" fontId="99" fillId="41" borderId="8" xfId="0" applyFont="1" applyFill="1" applyBorder="1" applyAlignment="1">
      <alignment horizontal="left" vertical="center"/>
    </xf>
    <xf numFmtId="0" fontId="98" fillId="40" borderId="8" xfId="0" applyFont="1" applyFill="1" applyBorder="1" applyAlignment="1">
      <alignment horizontal="left" vertical="center"/>
    </xf>
    <xf numFmtId="0" fontId="100" fillId="41" borderId="8" xfId="0" applyFont="1" applyFill="1" applyBorder="1" applyAlignment="1">
      <alignment horizontal="left" vertical="center"/>
    </xf>
    <xf numFmtId="0" fontId="101" fillId="4" borderId="8" xfId="0" applyFont="1" applyFill="1" applyBorder="1" applyAlignment="1">
      <alignment vertical="top" wrapText="1"/>
    </xf>
    <xf numFmtId="164" fontId="101" fillId="32" borderId="8" xfId="0" applyNumberFormat="1" applyFont="1" applyFill="1" applyBorder="1" applyAlignment="1">
      <alignment vertical="top" wrapText="1"/>
    </xf>
    <xf numFmtId="0" fontId="101" fillId="15" borderId="8" xfId="0" applyFont="1" applyFill="1" applyBorder="1" applyAlignment="1">
      <alignment vertical="top" wrapText="1"/>
    </xf>
    <xf numFmtId="0" fontId="9" fillId="10" borderId="3" xfId="0" applyFont="1" applyFill="1" applyBorder="1" applyAlignment="1">
      <alignment horizontal="center" vertical="center" wrapText="1"/>
    </xf>
    <xf numFmtId="0" fontId="9" fillId="10" borderId="57" xfId="0" applyFont="1" applyFill="1" applyBorder="1" applyAlignment="1">
      <alignment horizontal="center" vertical="center" wrapText="1"/>
    </xf>
    <xf numFmtId="0" fontId="9" fillId="10" borderId="4" xfId="0" applyFont="1" applyFill="1" applyBorder="1" applyAlignment="1">
      <alignment horizontal="center" vertical="center" wrapText="1"/>
    </xf>
    <xf numFmtId="0" fontId="9" fillId="10" borderId="19" xfId="0" applyFont="1" applyFill="1" applyBorder="1" applyAlignment="1">
      <alignment horizontal="center" vertical="center" wrapText="1"/>
    </xf>
    <xf numFmtId="0" fontId="9" fillId="10" borderId="0" xfId="0" applyFont="1" applyFill="1" applyAlignment="1">
      <alignment horizontal="center" vertical="center" wrapText="1"/>
    </xf>
    <xf numFmtId="0" fontId="9" fillId="10" borderId="83" xfId="0" applyFont="1" applyFill="1" applyBorder="1" applyAlignment="1">
      <alignment horizontal="center" vertical="center" wrapText="1"/>
    </xf>
    <xf numFmtId="0" fontId="9" fillId="10" borderId="5" xfId="0" applyFont="1" applyFill="1" applyBorder="1" applyAlignment="1">
      <alignment horizontal="center" vertical="center" wrapText="1"/>
    </xf>
    <xf numFmtId="0" fontId="9" fillId="10" borderId="22" xfId="0" applyFont="1" applyFill="1" applyBorder="1" applyAlignment="1">
      <alignment horizontal="center" vertical="center" wrapText="1"/>
    </xf>
    <xf numFmtId="0" fontId="9" fillId="10" borderId="6" xfId="0" applyFont="1" applyFill="1" applyBorder="1" applyAlignment="1">
      <alignment horizontal="center" vertical="center" wrapText="1"/>
    </xf>
    <xf numFmtId="169" fontId="96" fillId="40" borderId="8" xfId="0" applyNumberFormat="1" applyFont="1" applyFill="1" applyBorder="1" applyAlignment="1">
      <alignment horizontal="right" vertical="center"/>
    </xf>
    <xf numFmtId="2" fontId="96" fillId="40" borderId="8" xfId="0" applyNumberFormat="1" applyFont="1" applyFill="1" applyBorder="1" applyAlignment="1">
      <alignment horizontal="center" vertical="center"/>
    </xf>
    <xf numFmtId="169" fontId="96" fillId="41" borderId="8" xfId="0" applyNumberFormat="1" applyFont="1" applyFill="1" applyBorder="1" applyAlignment="1">
      <alignment horizontal="right" vertical="center"/>
    </xf>
    <xf numFmtId="2" fontId="96" fillId="41" borderId="8" xfId="0" applyNumberFormat="1" applyFont="1" applyFill="1" applyBorder="1" applyAlignment="1">
      <alignment horizontal="center" vertical="center"/>
    </xf>
    <xf numFmtId="168" fontId="96" fillId="41" borderId="8" xfId="0" applyNumberFormat="1" applyFont="1" applyFill="1" applyBorder="1" applyAlignment="1">
      <alignment horizontal="right" vertical="center"/>
    </xf>
    <xf numFmtId="168" fontId="96" fillId="40" borderId="8" xfId="0" applyNumberFormat="1" applyFont="1" applyFill="1" applyBorder="1" applyAlignment="1">
      <alignment horizontal="right" vertical="center"/>
    </xf>
    <xf numFmtId="168" fontId="102" fillId="41" borderId="8" xfId="0" applyNumberFormat="1" applyFont="1" applyFill="1" applyBorder="1" applyAlignment="1">
      <alignment horizontal="center" vertical="center"/>
    </xf>
    <xf numFmtId="168" fontId="102" fillId="40" borderId="8" xfId="0" applyNumberFormat="1" applyFont="1" applyFill="1" applyBorder="1" applyAlignment="1">
      <alignment horizontal="center" vertical="center"/>
    </xf>
    <xf numFmtId="165" fontId="88" fillId="13" borderId="77" xfId="0" applyNumberFormat="1" applyFont="1" applyFill="1" applyBorder="1"/>
    <xf numFmtId="165" fontId="88" fillId="13" borderId="79" xfId="0" applyNumberFormat="1" applyFont="1" applyFill="1" applyBorder="1"/>
    <xf numFmtId="184" fontId="7" fillId="37" borderId="8" xfId="0" applyNumberFormat="1" applyFont="1" applyFill="1" applyBorder="1" applyAlignment="1">
      <alignment vertical="center" wrapText="1"/>
    </xf>
    <xf numFmtId="165" fontId="6" fillId="5" borderId="8" xfId="0" applyNumberFormat="1" applyFont="1" applyFill="1" applyBorder="1" applyAlignment="1">
      <alignment vertical="top" wrapText="1"/>
    </xf>
    <xf numFmtId="164" fontId="71" fillId="47" borderId="8" xfId="0" applyNumberFormat="1" applyFont="1" applyFill="1" applyBorder="1"/>
    <xf numFmtId="184" fontId="71" fillId="47" borderId="8" xfId="0" applyNumberFormat="1" applyFont="1" applyFill="1" applyBorder="1"/>
    <xf numFmtId="165" fontId="71" fillId="47" borderId="8" xfId="0" applyNumberFormat="1" applyFont="1" applyFill="1" applyBorder="1"/>
    <xf numFmtId="184" fontId="60" fillId="6" borderId="8" xfId="0" applyNumberFormat="1" applyFont="1" applyFill="1" applyBorder="1" applyAlignment="1">
      <alignment vertical="top" wrapText="1"/>
    </xf>
    <xf numFmtId="184" fontId="57" fillId="6" borderId="8" xfId="0" applyNumberFormat="1" applyFont="1" applyFill="1" applyBorder="1" applyAlignment="1">
      <alignment vertical="top" wrapText="1"/>
    </xf>
    <xf numFmtId="184" fontId="57" fillId="32" borderId="3" xfId="0" applyNumberFormat="1" applyFont="1" applyFill="1" applyBorder="1" applyAlignment="1">
      <alignment vertical="top" wrapText="1"/>
    </xf>
    <xf numFmtId="184" fontId="15" fillId="32" borderId="3" xfId="0" applyNumberFormat="1" applyFont="1" applyFill="1" applyBorder="1" applyAlignment="1">
      <alignment vertical="top" wrapText="1"/>
    </xf>
    <xf numFmtId="184" fontId="71" fillId="47" borderId="60" xfId="0" applyNumberFormat="1" applyFont="1" applyFill="1" applyBorder="1"/>
    <xf numFmtId="184" fontId="71" fillId="32" borderId="8" xfId="0" applyNumberFormat="1" applyFont="1" applyFill="1" applyBorder="1" applyAlignment="1">
      <alignment vertical="top" wrapText="1"/>
    </xf>
    <xf numFmtId="184" fontId="71" fillId="6" borderId="8" xfId="0" applyNumberFormat="1" applyFont="1" applyFill="1" applyBorder="1" applyAlignment="1">
      <alignment vertical="top" wrapText="1"/>
    </xf>
    <xf numFmtId="184" fontId="6" fillId="32" borderId="8" xfId="0" applyNumberFormat="1" applyFont="1" applyFill="1" applyBorder="1" applyAlignment="1">
      <alignment vertical="top" wrapText="1"/>
    </xf>
    <xf numFmtId="0" fontId="6" fillId="66" borderId="0" xfId="0" applyFont="1" applyFill="1" applyAlignment="1">
      <alignment vertical="top" wrapText="1"/>
    </xf>
    <xf numFmtId="165" fontId="57" fillId="66" borderId="0" xfId="0" applyNumberFormat="1" applyFont="1" applyFill="1" applyAlignment="1">
      <alignment vertical="top" wrapText="1"/>
    </xf>
    <xf numFmtId="0" fontId="74" fillId="67" borderId="0" xfId="0" applyFont="1" applyFill="1" applyAlignment="1">
      <alignment vertical="center" wrapText="1"/>
    </xf>
    <xf numFmtId="0" fontId="15" fillId="67" borderId="0" xfId="0" applyFont="1" applyFill="1"/>
    <xf numFmtId="165" fontId="71" fillId="68" borderId="0" xfId="0" applyNumberFormat="1" applyFont="1" applyFill="1"/>
    <xf numFmtId="0" fontId="19" fillId="70" borderId="8" xfId="0" applyFont="1" applyFill="1" applyBorder="1" applyAlignment="1">
      <alignment horizontal="center" vertical="center" wrapText="1"/>
    </xf>
    <xf numFmtId="0" fontId="19" fillId="70" borderId="23" xfId="0" applyFont="1" applyFill="1" applyBorder="1" applyAlignment="1">
      <alignment horizontal="center" vertical="center" wrapText="1"/>
    </xf>
    <xf numFmtId="0" fontId="19" fillId="71" borderId="7" xfId="0" applyFont="1" applyFill="1" applyBorder="1" applyAlignment="1">
      <alignment horizontal="center" vertical="center" wrapText="1"/>
    </xf>
    <xf numFmtId="0" fontId="5" fillId="71" borderId="7" xfId="0" applyFont="1" applyFill="1" applyBorder="1" applyAlignment="1">
      <alignment horizontal="center" vertical="center" wrapText="1"/>
    </xf>
    <xf numFmtId="0" fontId="19" fillId="71" borderId="62" xfId="0" applyFont="1" applyFill="1" applyBorder="1" applyAlignment="1">
      <alignment horizontal="center" vertical="center" wrapText="1"/>
    </xf>
    <xf numFmtId="0" fontId="19" fillId="72" borderId="0" xfId="0" applyFont="1" applyFill="1" applyAlignment="1">
      <alignment horizontal="center" vertical="center" wrapText="1"/>
    </xf>
    <xf numFmtId="0" fontId="19" fillId="72" borderId="19" xfId="0" applyFont="1" applyFill="1" applyBorder="1" applyAlignment="1">
      <alignment horizontal="center" vertical="center" wrapText="1"/>
    </xf>
    <xf numFmtId="0" fontId="5" fillId="73" borderId="7" xfId="0" applyFont="1" applyFill="1" applyBorder="1" applyAlignment="1">
      <alignment horizontal="center" vertical="center" wrapText="1"/>
    </xf>
    <xf numFmtId="0" fontId="19" fillId="73" borderId="7" xfId="0" applyFont="1" applyFill="1" applyBorder="1" applyAlignment="1">
      <alignment horizontal="center" vertical="center" wrapText="1"/>
    </xf>
    <xf numFmtId="0" fontId="5" fillId="74" borderId="7" xfId="0" applyFont="1" applyFill="1" applyBorder="1" applyAlignment="1">
      <alignment horizontal="center" vertical="center" wrapText="1"/>
    </xf>
    <xf numFmtId="0" fontId="19" fillId="74" borderId="7" xfId="0" applyFont="1" applyFill="1" applyBorder="1" applyAlignment="1">
      <alignment horizontal="center" vertical="center" wrapText="1"/>
    </xf>
    <xf numFmtId="0" fontId="19" fillId="76" borderId="8" xfId="0" applyFont="1" applyFill="1" applyBorder="1" applyAlignment="1">
      <alignment horizontal="center" vertical="center" wrapText="1"/>
    </xf>
    <xf numFmtId="0" fontId="19" fillId="76" borderId="23" xfId="0" applyFont="1" applyFill="1" applyBorder="1" applyAlignment="1">
      <alignment horizontal="center" vertical="center" wrapText="1"/>
    </xf>
    <xf numFmtId="0" fontId="103" fillId="0" borderId="0" xfId="0" applyFont="1"/>
    <xf numFmtId="185" fontId="83" fillId="0" borderId="0" xfId="0" applyNumberFormat="1" applyFont="1"/>
    <xf numFmtId="0" fontId="5" fillId="77" borderId="7" xfId="0" applyFont="1" applyFill="1" applyBorder="1" applyAlignment="1">
      <alignment horizontal="center" vertical="center" wrapText="1"/>
    </xf>
    <xf numFmtId="0" fontId="19" fillId="77" borderId="7" xfId="0" applyFont="1" applyFill="1" applyBorder="1" applyAlignment="1">
      <alignment horizontal="center" vertical="center" wrapText="1"/>
    </xf>
    <xf numFmtId="0" fontId="19" fillId="77" borderId="0" xfId="0" applyFont="1" applyFill="1" applyAlignment="1">
      <alignment horizontal="center" vertical="center" wrapText="1"/>
    </xf>
    <xf numFmtId="0" fontId="19" fillId="77" borderId="0" xfId="0" applyFont="1" applyFill="1" applyAlignment="1">
      <alignment horizontal="center" vertical="center"/>
    </xf>
    <xf numFmtId="0" fontId="5" fillId="77" borderId="0" xfId="0" applyFont="1" applyFill="1" applyAlignment="1">
      <alignment horizontal="center" vertical="center" wrapText="1"/>
    </xf>
    <xf numFmtId="0" fontId="19" fillId="77" borderId="19" xfId="0" applyFont="1" applyFill="1" applyBorder="1" applyAlignment="1">
      <alignment horizontal="center" vertical="center" wrapText="1"/>
    </xf>
    <xf numFmtId="0" fontId="19" fillId="77" borderId="20" xfId="0" applyFont="1" applyFill="1" applyBorder="1" applyAlignment="1">
      <alignment horizontal="center" vertical="center" wrapText="1"/>
    </xf>
    <xf numFmtId="0" fontId="59" fillId="77" borderId="40" xfId="0" applyFont="1" applyFill="1" applyBorder="1" applyAlignment="1">
      <alignment vertical="center"/>
    </xf>
    <xf numFmtId="0" fontId="18" fillId="78" borderId="0" xfId="0" applyFont="1" applyFill="1"/>
    <xf numFmtId="14" fontId="105" fillId="78" borderId="0" xfId="0" applyNumberFormat="1" applyFont="1" applyFill="1"/>
    <xf numFmtId="14" fontId="106" fillId="78" borderId="0" xfId="0" applyNumberFormat="1" applyFont="1" applyFill="1"/>
    <xf numFmtId="172" fontId="71" fillId="6" borderId="8" xfId="0" applyNumberFormat="1" applyFont="1" applyFill="1" applyBorder="1" applyAlignment="1">
      <alignment vertical="top" wrapText="1"/>
    </xf>
    <xf numFmtId="166" fontId="71" fillId="6" borderId="8" xfId="0" applyNumberFormat="1" applyFont="1" applyFill="1" applyBorder="1" applyAlignment="1">
      <alignment vertical="top" wrapText="1"/>
    </xf>
    <xf numFmtId="2" fontId="71" fillId="6" borderId="8" xfId="0" applyNumberFormat="1" applyFont="1" applyFill="1" applyBorder="1" applyAlignment="1">
      <alignment vertical="top" wrapText="1"/>
    </xf>
    <xf numFmtId="166" fontId="71" fillId="6" borderId="8" xfId="0" applyNumberFormat="1" applyFont="1" applyFill="1" applyBorder="1" applyAlignment="1">
      <alignment horizontal="right" vertical="top" wrapText="1"/>
    </xf>
    <xf numFmtId="172" fontId="71" fillId="6" borderId="8" xfId="0" applyNumberFormat="1" applyFont="1" applyFill="1" applyBorder="1" applyAlignment="1">
      <alignment vertical="center" wrapText="1"/>
    </xf>
    <xf numFmtId="4" fontId="71" fillId="6" borderId="8" xfId="0" applyNumberFormat="1" applyFont="1" applyFill="1" applyBorder="1" applyAlignment="1">
      <alignment vertical="center" wrapText="1"/>
    </xf>
    <xf numFmtId="2" fontId="107" fillId="17" borderId="18" xfId="0" applyNumberFormat="1" applyFont="1" applyFill="1" applyBorder="1" applyAlignment="1">
      <alignment horizontal="center" vertical="center"/>
    </xf>
    <xf numFmtId="2" fontId="107" fillId="23" borderId="18" xfId="0" applyNumberFormat="1" applyFont="1" applyFill="1" applyBorder="1" applyAlignment="1">
      <alignment horizontal="center" vertical="center"/>
    </xf>
    <xf numFmtId="2" fontId="107" fillId="20" borderId="18" xfId="0" applyNumberFormat="1" applyFont="1" applyFill="1" applyBorder="1" applyAlignment="1">
      <alignment horizontal="center" vertical="center"/>
    </xf>
    <xf numFmtId="2" fontId="107" fillId="25" borderId="18" xfId="0" applyNumberFormat="1" applyFont="1" applyFill="1" applyBorder="1" applyAlignment="1">
      <alignment horizontal="center" vertical="center"/>
    </xf>
    <xf numFmtId="2" fontId="107" fillId="26" borderId="18" xfId="0" applyNumberFormat="1" applyFont="1" applyFill="1" applyBorder="1" applyAlignment="1">
      <alignment horizontal="center" vertical="center"/>
    </xf>
    <xf numFmtId="2" fontId="107" fillId="26" borderId="21" xfId="0" applyNumberFormat="1" applyFont="1" applyFill="1" applyBorder="1" applyAlignment="1">
      <alignment horizontal="center" vertical="center"/>
    </xf>
    <xf numFmtId="166" fontId="108" fillId="13" borderId="77" xfId="0" applyNumberFormat="1" applyFont="1" applyFill="1" applyBorder="1"/>
    <xf numFmtId="166" fontId="108" fillId="13" borderId="79" xfId="0" applyNumberFormat="1" applyFont="1" applyFill="1" applyBorder="1"/>
    <xf numFmtId="4" fontId="108" fillId="13" borderId="77" xfId="0" applyNumberFormat="1" applyFont="1" applyFill="1" applyBorder="1"/>
    <xf numFmtId="4" fontId="108" fillId="13" borderId="79" xfId="0" applyNumberFormat="1" applyFont="1" applyFill="1" applyBorder="1"/>
    <xf numFmtId="166" fontId="108" fillId="13" borderId="73" xfId="0" applyNumberFormat="1" applyFont="1" applyFill="1" applyBorder="1"/>
    <xf numFmtId="166" fontId="108" fillId="13" borderId="80" xfId="0" applyNumberFormat="1" applyFont="1" applyFill="1" applyBorder="1"/>
    <xf numFmtId="164" fontId="108" fillId="13" borderId="73" xfId="0" applyNumberFormat="1" applyFont="1" applyFill="1" applyBorder="1"/>
    <xf numFmtId="2" fontId="108" fillId="13" borderId="73" xfId="0" applyNumberFormat="1" applyFont="1" applyFill="1" applyBorder="1"/>
    <xf numFmtId="164" fontId="108" fillId="13" borderId="80" xfId="0" applyNumberFormat="1" applyFont="1" applyFill="1" applyBorder="1"/>
    <xf numFmtId="2" fontId="108" fillId="13" borderId="80" xfId="0" applyNumberFormat="1" applyFont="1" applyFill="1" applyBorder="1"/>
    <xf numFmtId="0" fontId="84" fillId="14" borderId="65" xfId="0" applyFont="1" applyFill="1" applyBorder="1"/>
    <xf numFmtId="166" fontId="59" fillId="14" borderId="65" xfId="0" applyNumberFormat="1" applyFont="1" applyFill="1" applyBorder="1"/>
    <xf numFmtId="0" fontId="59" fillId="14" borderId="65" xfId="0" applyFont="1" applyFill="1" applyBorder="1"/>
    <xf numFmtId="166" fontId="84" fillId="14" borderId="65" xfId="0" applyNumberFormat="1" applyFont="1" applyFill="1" applyBorder="1"/>
    <xf numFmtId="164" fontId="84" fillId="14" borderId="65" xfId="0" applyNumberFormat="1" applyFont="1" applyFill="1" applyBorder="1"/>
    <xf numFmtId="174" fontId="96" fillId="44" borderId="18" xfId="0" applyNumberFormat="1" applyFont="1" applyFill="1" applyBorder="1" applyAlignment="1">
      <alignment horizontal="center" vertical="center"/>
    </xf>
    <xf numFmtId="174" fontId="109" fillId="49" borderId="18" xfId="0" applyNumberFormat="1" applyFont="1" applyFill="1" applyBorder="1" applyAlignment="1">
      <alignment horizontal="center" vertical="center"/>
    </xf>
    <xf numFmtId="174" fontId="109" fillId="50" borderId="18" xfId="0" applyNumberFormat="1" applyFont="1" applyFill="1" applyBorder="1" applyAlignment="1">
      <alignment horizontal="center" vertical="center"/>
    </xf>
    <xf numFmtId="174" fontId="109" fillId="51" borderId="18" xfId="0" applyNumberFormat="1" applyFont="1" applyFill="1" applyBorder="1" applyAlignment="1">
      <alignment horizontal="center" vertical="center"/>
    </xf>
    <xf numFmtId="174" fontId="109" fillId="52" borderId="18" xfId="0" applyNumberFormat="1" applyFont="1" applyFill="1" applyBorder="1" applyAlignment="1">
      <alignment horizontal="center" vertical="center"/>
    </xf>
    <xf numFmtId="174" fontId="109" fillId="52" borderId="21" xfId="0" applyNumberFormat="1" applyFont="1" applyFill="1" applyBorder="1" applyAlignment="1">
      <alignment horizontal="center" vertical="center"/>
    </xf>
    <xf numFmtId="2" fontId="96" fillId="44" borderId="18" xfId="0" applyNumberFormat="1" applyFont="1" applyFill="1" applyBorder="1" applyAlignment="1">
      <alignment horizontal="center" vertical="center"/>
    </xf>
    <xf numFmtId="2" fontId="109" fillId="49" borderId="18" xfId="0" applyNumberFormat="1" applyFont="1" applyFill="1" applyBorder="1" applyAlignment="1">
      <alignment horizontal="center" vertical="center"/>
    </xf>
    <xf numFmtId="2" fontId="109" fillId="50" borderId="18" xfId="0" applyNumberFormat="1" applyFont="1" applyFill="1" applyBorder="1" applyAlignment="1">
      <alignment horizontal="center" vertical="center"/>
    </xf>
    <xf numFmtId="2" fontId="109" fillId="51" borderId="18" xfId="0" applyNumberFormat="1" applyFont="1" applyFill="1" applyBorder="1" applyAlignment="1">
      <alignment horizontal="center" vertical="center"/>
    </xf>
    <xf numFmtId="2" fontId="109" fillId="52" borderId="18" xfId="0" applyNumberFormat="1" applyFont="1" applyFill="1" applyBorder="1" applyAlignment="1">
      <alignment horizontal="center" vertical="center"/>
    </xf>
    <xf numFmtId="2" fontId="109" fillId="52" borderId="21" xfId="0" applyNumberFormat="1" applyFont="1" applyFill="1" applyBorder="1" applyAlignment="1">
      <alignment horizontal="center" vertical="center"/>
    </xf>
    <xf numFmtId="0" fontId="96" fillId="44" borderId="18" xfId="0" applyFont="1" applyFill="1" applyBorder="1" applyAlignment="1">
      <alignment horizontal="center" vertical="center"/>
    </xf>
    <xf numFmtId="0" fontId="109" fillId="49" borderId="18" xfId="0" applyFont="1" applyFill="1" applyBorder="1" applyAlignment="1">
      <alignment horizontal="center" vertical="center"/>
    </xf>
    <xf numFmtId="0" fontId="109" fillId="50" borderId="18" xfId="0" applyFont="1" applyFill="1" applyBorder="1" applyAlignment="1">
      <alignment horizontal="center" vertical="center"/>
    </xf>
    <xf numFmtId="0" fontId="109" fillId="51" borderId="18" xfId="0" applyFont="1" applyFill="1" applyBorder="1" applyAlignment="1">
      <alignment horizontal="center" vertical="center"/>
    </xf>
    <xf numFmtId="0" fontId="109" fillId="52" borderId="18" xfId="0" applyFont="1" applyFill="1" applyBorder="1" applyAlignment="1">
      <alignment horizontal="center" vertical="center"/>
    </xf>
    <xf numFmtId="0" fontId="109" fillId="52" borderId="21" xfId="0" applyFont="1" applyFill="1" applyBorder="1" applyAlignment="1">
      <alignment horizontal="center" vertical="center"/>
    </xf>
    <xf numFmtId="183" fontId="71" fillId="6" borderId="8" xfId="0" applyNumberFormat="1" applyFont="1" applyFill="1" applyBorder="1" applyAlignment="1">
      <alignment vertical="top" wrapText="1"/>
    </xf>
    <xf numFmtId="164" fontId="71" fillId="6" borderId="8" xfId="0" applyNumberFormat="1" applyFont="1" applyFill="1" applyBorder="1" applyAlignment="1">
      <alignment vertical="top" wrapText="1"/>
    </xf>
    <xf numFmtId="164" fontId="96" fillId="5" borderId="8" xfId="0" applyNumberFormat="1" applyFont="1" applyFill="1" applyBorder="1" applyAlignment="1">
      <alignment vertical="top" wrapText="1"/>
    </xf>
    <xf numFmtId="164" fontId="110" fillId="5" borderId="8" xfId="0" applyNumberFormat="1" applyFont="1" applyFill="1" applyBorder="1" applyAlignment="1">
      <alignment vertical="top" wrapText="1"/>
    </xf>
    <xf numFmtId="184" fontId="96" fillId="5" borderId="8" xfId="0" applyNumberFormat="1" applyFont="1" applyFill="1" applyBorder="1" applyAlignment="1">
      <alignment vertical="top" wrapText="1"/>
    </xf>
    <xf numFmtId="4" fontId="96" fillId="5" borderId="8" xfId="0" applyNumberFormat="1" applyFont="1" applyFill="1" applyBorder="1" applyAlignment="1">
      <alignment vertical="top" wrapText="1"/>
    </xf>
    <xf numFmtId="3" fontId="96" fillId="53" borderId="60" xfId="0" applyNumberFormat="1" applyFont="1" applyFill="1" applyBorder="1"/>
    <xf numFmtId="184" fontId="96" fillId="53" borderId="60" xfId="0" applyNumberFormat="1" applyFont="1" applyFill="1" applyBorder="1"/>
    <xf numFmtId="4" fontId="96" fillId="37" borderId="8" xfId="0" applyNumberFormat="1" applyFont="1" applyFill="1" applyBorder="1" applyAlignment="1">
      <alignment vertical="top" wrapText="1"/>
    </xf>
    <xf numFmtId="0" fontId="19" fillId="39" borderId="0" xfId="0" applyFont="1" applyFill="1" applyAlignment="1">
      <alignment horizontal="left" vertical="center" indent="1"/>
    </xf>
    <xf numFmtId="0" fontId="19" fillId="42" borderId="0" xfId="0" applyFont="1" applyFill="1" applyAlignment="1">
      <alignment horizontal="center" vertical="center"/>
    </xf>
    <xf numFmtId="0" fontId="64" fillId="4" borderId="3" xfId="0" applyFont="1" applyFill="1" applyBorder="1" applyAlignment="1">
      <alignment horizontal="center" vertical="center"/>
    </xf>
    <xf numFmtId="0" fontId="64" fillId="4" borderId="5" xfId="0" applyFont="1" applyFill="1" applyBorder="1" applyAlignment="1">
      <alignment horizontal="center" vertical="center"/>
    </xf>
    <xf numFmtId="0" fontId="64" fillId="4" borderId="62" xfId="0" applyFont="1" applyFill="1" applyBorder="1" applyAlignment="1">
      <alignment horizontal="center" vertical="center"/>
    </xf>
    <xf numFmtId="0" fontId="64" fillId="4" borderId="58" xfId="0" applyFont="1" applyFill="1" applyBorder="1" applyAlignment="1">
      <alignment horizontal="center" vertical="center"/>
    </xf>
    <xf numFmtId="0" fontId="63" fillId="2" borderId="0" xfId="0" applyFont="1" applyFill="1" applyAlignment="1">
      <alignment horizontal="center" vertical="center"/>
    </xf>
    <xf numFmtId="0" fontId="63" fillId="2" borderId="66" xfId="0" applyFont="1" applyFill="1" applyBorder="1" applyAlignment="1">
      <alignment horizontal="center" vertical="center"/>
    </xf>
    <xf numFmtId="0" fontId="17" fillId="4" borderId="1" xfId="0" applyFont="1" applyFill="1" applyBorder="1" applyAlignment="1">
      <alignment horizontal="center" vertical="center"/>
    </xf>
    <xf numFmtId="0" fontId="17" fillId="4" borderId="2" xfId="0" applyFont="1" applyFill="1" applyBorder="1" applyAlignment="1">
      <alignment horizontal="center" vertical="center"/>
    </xf>
    <xf numFmtId="167" fontId="65" fillId="4" borderId="3" xfId="0" applyNumberFormat="1" applyFont="1" applyFill="1" applyBorder="1" applyAlignment="1">
      <alignment horizontal="center" vertical="center"/>
    </xf>
    <xf numFmtId="167" fontId="65" fillId="4" borderId="4" xfId="0" applyNumberFormat="1" applyFont="1" applyFill="1" applyBorder="1" applyAlignment="1">
      <alignment horizontal="center" vertical="center"/>
    </xf>
    <xf numFmtId="167" fontId="65" fillId="4" borderId="5" xfId="0" applyNumberFormat="1" applyFont="1" applyFill="1" applyBorder="1" applyAlignment="1">
      <alignment horizontal="center" vertical="center"/>
    </xf>
    <xf numFmtId="167" fontId="65" fillId="4" borderId="6" xfId="0" applyNumberFormat="1" applyFont="1" applyFill="1" applyBorder="1" applyAlignment="1">
      <alignment horizontal="center" vertical="center"/>
    </xf>
    <xf numFmtId="166" fontId="64" fillId="4" borderId="3" xfId="0" applyNumberFormat="1" applyFont="1" applyFill="1" applyBorder="1" applyAlignment="1">
      <alignment horizontal="center" vertical="center"/>
    </xf>
    <xf numFmtId="166" fontId="64" fillId="4" borderId="4" xfId="0" applyNumberFormat="1" applyFont="1" applyFill="1" applyBorder="1" applyAlignment="1">
      <alignment horizontal="center" vertical="center"/>
    </xf>
    <xf numFmtId="166" fontId="64" fillId="4" borderId="5" xfId="0" applyNumberFormat="1" applyFont="1" applyFill="1" applyBorder="1" applyAlignment="1">
      <alignment horizontal="center" vertical="center"/>
    </xf>
    <xf numFmtId="166" fontId="64" fillId="4" borderId="6" xfId="0" applyNumberFormat="1" applyFont="1" applyFill="1" applyBorder="1" applyAlignment="1">
      <alignment horizontal="center" vertical="center"/>
    </xf>
    <xf numFmtId="0" fontId="64" fillId="4" borderId="7" xfId="0" applyFont="1" applyFill="1" applyBorder="1" applyAlignment="1">
      <alignment horizontal="center" vertical="center"/>
    </xf>
    <xf numFmtId="186" fontId="64" fillId="4" borderId="3" xfId="0" applyNumberFormat="1" applyFont="1" applyFill="1" applyBorder="1" applyAlignment="1">
      <alignment horizontal="center" vertical="center"/>
    </xf>
    <xf numFmtId="186" fontId="64" fillId="4" borderId="5" xfId="0" applyNumberFormat="1" applyFont="1" applyFill="1" applyBorder="1" applyAlignment="1">
      <alignment horizontal="center" vertical="center"/>
    </xf>
    <xf numFmtId="0" fontId="21" fillId="15" borderId="72" xfId="0" applyFont="1" applyFill="1" applyBorder="1" applyAlignment="1">
      <alignment wrapText="1"/>
    </xf>
    <xf numFmtId="0" fontId="1" fillId="2" borderId="0" xfId="0" applyFont="1" applyFill="1" applyAlignment="1">
      <alignment horizontal="left" vertical="center"/>
    </xf>
    <xf numFmtId="0" fontId="21" fillId="3" borderId="0" xfId="0" applyFont="1" applyFill="1" applyAlignment="1">
      <alignment horizontal="left" vertical="center" wrapText="1"/>
    </xf>
    <xf numFmtId="0" fontId="2" fillId="3" borderId="0" xfId="0" applyFont="1" applyFill="1" applyAlignment="1">
      <alignment horizontal="left" vertical="center" wrapText="1"/>
    </xf>
    <xf numFmtId="0" fontId="20" fillId="2" borderId="0" xfId="0" applyFont="1" applyFill="1" applyAlignment="1">
      <alignment horizontal="left" vertical="center"/>
    </xf>
    <xf numFmtId="0" fontId="8" fillId="2" borderId="0" xfId="0" applyFont="1" applyFill="1" applyAlignment="1">
      <alignment horizontal="left" vertical="center"/>
    </xf>
    <xf numFmtId="0" fontId="20" fillId="8" borderId="0" xfId="0" applyFont="1" applyFill="1" applyAlignment="1">
      <alignment horizontal="left" vertical="center"/>
    </xf>
    <xf numFmtId="0" fontId="8" fillId="8" borderId="0" xfId="0" applyFont="1" applyFill="1" applyAlignment="1">
      <alignment horizontal="left" vertical="center"/>
    </xf>
    <xf numFmtId="0" fontId="20" fillId="9" borderId="0" xfId="0" applyFont="1" applyFill="1" applyAlignment="1">
      <alignment horizontal="left" vertical="center"/>
    </xf>
    <xf numFmtId="0" fontId="2" fillId="3" borderId="0" xfId="0" applyFont="1" applyFill="1" applyAlignment="1">
      <alignment vertical="center" wrapText="1"/>
    </xf>
    <xf numFmtId="0" fontId="59" fillId="43" borderId="51" xfId="0" applyFont="1" applyFill="1" applyBorder="1" applyAlignment="1">
      <alignment horizontal="left" vertical="center"/>
    </xf>
    <xf numFmtId="0" fontId="59" fillId="43" borderId="52" xfId="0" applyFont="1" applyFill="1" applyBorder="1" applyAlignment="1">
      <alignment horizontal="left" vertical="center"/>
    </xf>
    <xf numFmtId="0" fontId="59" fillId="43" borderId="53" xfId="0" applyFont="1" applyFill="1" applyBorder="1" applyAlignment="1">
      <alignment horizontal="left" vertical="center"/>
    </xf>
    <xf numFmtId="0" fontId="69" fillId="46" borderId="0" xfId="0" applyFont="1" applyFill="1" applyAlignment="1">
      <alignment vertical="top" wrapText="1"/>
    </xf>
    <xf numFmtId="0" fontId="43" fillId="2" borderId="22" xfId="0" applyFont="1" applyFill="1" applyBorder="1" applyAlignment="1">
      <alignment horizontal="center" vertical="center"/>
    </xf>
    <xf numFmtId="0" fontId="43" fillId="9" borderId="22" xfId="0" applyFont="1" applyFill="1" applyBorder="1" applyAlignment="1">
      <alignment horizontal="center" vertical="center"/>
    </xf>
    <xf numFmtId="0" fontId="48" fillId="31" borderId="0" xfId="0" applyFont="1" applyFill="1" applyAlignment="1">
      <alignment horizontal="center"/>
    </xf>
    <xf numFmtId="0" fontId="20" fillId="71" borderId="0" xfId="0" applyFont="1" applyFill="1" applyAlignment="1">
      <alignment horizontal="left" vertical="center"/>
    </xf>
    <xf numFmtId="0" fontId="8" fillId="71" borderId="0" xfId="0" applyFont="1" applyFill="1" applyAlignment="1">
      <alignment horizontal="left" vertical="center"/>
    </xf>
    <xf numFmtId="0" fontId="0" fillId="0" borderId="0" xfId="0"/>
    <xf numFmtId="0" fontId="8" fillId="77" borderId="0" xfId="0" applyFont="1" applyFill="1" applyAlignment="1">
      <alignment horizontal="left" vertical="center"/>
    </xf>
    <xf numFmtId="0" fontId="8" fillId="74" borderId="0" xfId="0" applyFont="1" applyFill="1" applyAlignment="1">
      <alignment horizontal="left" vertical="center"/>
    </xf>
    <xf numFmtId="0" fontId="8" fillId="73" borderId="0" xfId="0" applyFont="1" applyFill="1" applyAlignment="1">
      <alignment horizontal="left" vertical="center"/>
    </xf>
    <xf numFmtId="0" fontId="20" fillId="75" borderId="0" xfId="0" applyFont="1" applyFill="1" applyAlignment="1">
      <alignment vertical="center"/>
    </xf>
    <xf numFmtId="0" fontId="8" fillId="54" borderId="59" xfId="0" applyFont="1" applyFill="1" applyBorder="1" applyAlignment="1">
      <alignment horizontal="left" vertical="center"/>
    </xf>
    <xf numFmtId="0" fontId="58" fillId="72" borderId="0" xfId="0" applyFont="1" applyFill="1" applyAlignment="1">
      <alignment vertical="center"/>
    </xf>
    <xf numFmtId="0" fontId="20" fillId="69" borderId="0" xfId="0" applyFont="1" applyFill="1" applyAlignment="1">
      <alignment vertical="center"/>
    </xf>
    <xf numFmtId="0" fontId="51" fillId="2" borderId="0" xfId="0" applyFont="1" applyFill="1" applyAlignment="1">
      <alignment horizontal="center" vertical="center"/>
    </xf>
    <xf numFmtId="0" fontId="52" fillId="3" borderId="0" xfId="0" applyFont="1" applyFill="1" applyAlignment="1">
      <alignment horizontal="center" vertical="center" wrapText="1"/>
    </xf>
    <xf numFmtId="0" fontId="52" fillId="3" borderId="29" xfId="0" applyFont="1" applyFill="1" applyBorder="1" applyAlignment="1">
      <alignment horizontal="center" vertical="center" wrapText="1"/>
    </xf>
    <xf numFmtId="0" fontId="43" fillId="35" borderId="28" xfId="0" applyFont="1" applyFill="1" applyBorder="1" applyAlignment="1">
      <alignment horizontal="center" vertical="center"/>
    </xf>
    <xf numFmtId="0" fontId="53" fillId="35" borderId="29" xfId="0" applyFont="1" applyFill="1" applyBorder="1" applyAlignment="1">
      <alignment horizontal="center" vertical="center"/>
    </xf>
    <xf numFmtId="4" fontId="60" fillId="37" borderId="37" xfId="0" applyNumberFormat="1" applyFont="1" applyFill="1" applyBorder="1" applyAlignment="1">
      <alignment vertical="top"/>
    </xf>
    <xf numFmtId="4" fontId="60" fillId="37" borderId="39" xfId="0" applyNumberFormat="1" applyFont="1" applyFill="1" applyBorder="1" applyAlignment="1">
      <alignment vertical="top"/>
    </xf>
    <xf numFmtId="0" fontId="8" fillId="77" borderId="22" xfId="0" applyFont="1" applyFill="1" applyBorder="1" applyAlignment="1">
      <alignment horizontal="left" vertical="center"/>
    </xf>
    <xf numFmtId="0" fontId="58" fillId="77" borderId="34" xfId="0" applyFont="1" applyFill="1" applyBorder="1" applyAlignment="1">
      <alignment horizontal="left" vertical="center"/>
    </xf>
    <xf numFmtId="0" fontId="59" fillId="77" borderId="0" xfId="0" applyFont="1" applyFill="1" applyAlignment="1">
      <alignment horizontal="right" vertical="center"/>
    </xf>
    <xf numFmtId="0" fontId="75" fillId="10" borderId="1" xfId="0" applyFont="1" applyFill="1" applyBorder="1" applyAlignment="1">
      <alignment horizontal="center" vertical="center" wrapText="1"/>
    </xf>
    <xf numFmtId="0" fontId="75" fillId="10" borderId="63" xfId="0" applyFont="1" applyFill="1" applyBorder="1" applyAlignment="1">
      <alignment horizontal="center" vertical="center" wrapText="1"/>
    </xf>
    <xf numFmtId="0" fontId="75" fillId="10" borderId="2" xfId="0" applyFont="1" applyFill="1" applyBorder="1" applyAlignment="1">
      <alignment horizontal="center" vertical="center" wrapText="1"/>
    </xf>
    <xf numFmtId="0" fontId="58" fillId="43" borderId="1" xfId="0" applyFont="1" applyFill="1" applyBorder="1" applyAlignment="1">
      <alignment horizontal="center" vertical="center" wrapText="1"/>
    </xf>
    <xf numFmtId="0" fontId="58" fillId="43" borderId="63" xfId="0" applyFont="1" applyFill="1" applyBorder="1" applyAlignment="1">
      <alignment horizontal="center" vertical="center" wrapText="1"/>
    </xf>
    <xf numFmtId="0" fontId="58" fillId="43" borderId="2" xfId="0" applyFont="1" applyFill="1" applyBorder="1" applyAlignment="1">
      <alignment horizontal="center" vertical="center" wrapText="1"/>
    </xf>
    <xf numFmtId="0" fontId="58" fillId="43" borderId="62" xfId="0" applyFont="1" applyFill="1" applyBorder="1" applyAlignment="1">
      <alignment horizontal="center" vertical="center" textRotation="90" wrapText="1"/>
    </xf>
    <xf numFmtId="0" fontId="58" fillId="43" borderId="20" xfId="0" applyFont="1" applyFill="1" applyBorder="1" applyAlignment="1">
      <alignment horizontal="center" vertical="center" textRotation="90" wrapText="1"/>
    </xf>
    <xf numFmtId="0" fontId="58" fillId="43" borderId="58" xfId="0" applyFont="1" applyFill="1" applyBorder="1" applyAlignment="1">
      <alignment horizontal="center" vertical="center" textRotation="90" wrapText="1"/>
    </xf>
    <xf numFmtId="177" fontId="77" fillId="32" borderId="1" xfId="0" applyNumberFormat="1" applyFont="1" applyFill="1" applyBorder="1" applyAlignment="1">
      <alignment horizontal="right" vertical="center" wrapText="1"/>
    </xf>
    <xf numFmtId="177" fontId="77" fillId="32" borderId="63" xfId="0" applyNumberFormat="1" applyFont="1" applyFill="1" applyBorder="1" applyAlignment="1">
      <alignment horizontal="right" vertical="center" wrapText="1"/>
    </xf>
    <xf numFmtId="177" fontId="77" fillId="32" borderId="2" xfId="0" applyNumberFormat="1" applyFont="1" applyFill="1" applyBorder="1" applyAlignment="1">
      <alignment horizontal="right" vertical="center" wrapText="1"/>
    </xf>
    <xf numFmtId="164" fontId="77" fillId="32" borderId="1" xfId="0" applyNumberFormat="1" applyFont="1" applyFill="1" applyBorder="1" applyAlignment="1">
      <alignment horizontal="right" vertical="center" wrapText="1"/>
    </xf>
    <xf numFmtId="164" fontId="77" fillId="32" borderId="63" xfId="0" applyNumberFormat="1" applyFont="1" applyFill="1" applyBorder="1" applyAlignment="1">
      <alignment horizontal="right" vertical="center" wrapText="1"/>
    </xf>
    <xf numFmtId="164" fontId="77" fillId="32" borderId="2" xfId="0" applyNumberFormat="1" applyFont="1" applyFill="1" applyBorder="1" applyAlignment="1">
      <alignment horizontal="right" vertical="center" wrapText="1"/>
    </xf>
    <xf numFmtId="178" fontId="77" fillId="32" borderId="1" xfId="0" applyNumberFormat="1" applyFont="1" applyFill="1" applyBorder="1" applyAlignment="1">
      <alignment horizontal="right" vertical="center" wrapText="1"/>
    </xf>
    <xf numFmtId="178" fontId="77" fillId="32" borderId="63" xfId="0" applyNumberFormat="1" applyFont="1" applyFill="1" applyBorder="1" applyAlignment="1">
      <alignment horizontal="right" vertical="center" wrapText="1"/>
    </xf>
    <xf numFmtId="178" fontId="77" fillId="32" borderId="2" xfId="0" applyNumberFormat="1" applyFont="1" applyFill="1" applyBorder="1" applyAlignment="1">
      <alignment horizontal="right" vertical="center" wrapText="1"/>
    </xf>
    <xf numFmtId="179" fontId="77" fillId="32" borderId="1" xfId="0" applyNumberFormat="1" applyFont="1" applyFill="1" applyBorder="1" applyAlignment="1">
      <alignment horizontal="right" vertical="center" wrapText="1"/>
    </xf>
    <xf numFmtId="179" fontId="77" fillId="32" borderId="63" xfId="0" applyNumberFormat="1" applyFont="1" applyFill="1" applyBorder="1" applyAlignment="1">
      <alignment horizontal="right" vertical="center" wrapText="1"/>
    </xf>
    <xf numFmtId="179" fontId="77" fillId="32" borderId="2" xfId="0" applyNumberFormat="1" applyFont="1" applyFill="1" applyBorder="1" applyAlignment="1">
      <alignment horizontal="right" vertical="center" wrapText="1"/>
    </xf>
    <xf numFmtId="10" fontId="77" fillId="32" borderId="1" xfId="0" applyNumberFormat="1" applyFont="1" applyFill="1" applyBorder="1" applyAlignment="1">
      <alignment horizontal="right" vertical="center" wrapText="1"/>
    </xf>
    <xf numFmtId="10" fontId="77" fillId="32" borderId="63" xfId="0" applyNumberFormat="1" applyFont="1" applyFill="1" applyBorder="1" applyAlignment="1">
      <alignment horizontal="right" vertical="center" wrapText="1"/>
    </xf>
    <xf numFmtId="10" fontId="77" fillId="32" borderId="2" xfId="0" applyNumberFormat="1" applyFont="1" applyFill="1" applyBorder="1" applyAlignment="1">
      <alignment horizontal="right" vertical="center" wrapText="1"/>
    </xf>
    <xf numFmtId="0" fontId="82" fillId="11" borderId="9" xfId="0" applyFont="1" applyFill="1" applyBorder="1" applyAlignment="1">
      <alignment horizontal="center" vertical="center" wrapText="1"/>
    </xf>
    <xf numFmtId="0" fontId="82" fillId="11" borderId="10" xfId="0" applyFont="1" applyFill="1" applyBorder="1" applyAlignment="1">
      <alignment horizontal="center" vertical="center" wrapText="1"/>
    </xf>
    <xf numFmtId="0" fontId="82" fillId="11" borderId="11" xfId="0" applyFont="1" applyFill="1" applyBorder="1" applyAlignment="1">
      <alignment horizontal="center" vertical="center" wrapText="1"/>
    </xf>
    <xf numFmtId="0" fontId="82" fillId="11" borderId="12" xfId="0" applyFont="1" applyFill="1" applyBorder="1" applyAlignment="1">
      <alignment horizontal="center" vertical="center" wrapText="1"/>
    </xf>
    <xf numFmtId="0" fontId="82" fillId="11" borderId="0" xfId="0" applyFont="1" applyFill="1" applyAlignment="1">
      <alignment horizontal="center" vertical="center" wrapText="1"/>
    </xf>
    <xf numFmtId="0" fontId="82" fillId="11" borderId="13" xfId="0" applyFont="1" applyFill="1" applyBorder="1" applyAlignment="1">
      <alignment horizontal="center" vertical="center" wrapText="1"/>
    </xf>
    <xf numFmtId="0" fontId="82" fillId="11" borderId="14" xfId="0" applyFont="1" applyFill="1" applyBorder="1" applyAlignment="1">
      <alignment horizontal="center" vertical="center" wrapText="1"/>
    </xf>
    <xf numFmtId="0" fontId="82" fillId="11" borderId="15" xfId="0" applyFont="1" applyFill="1" applyBorder="1" applyAlignment="1">
      <alignment horizontal="center" vertical="center" wrapText="1"/>
    </xf>
    <xf numFmtId="0" fontId="82" fillId="11" borderId="16" xfId="0" applyFont="1" applyFill="1" applyBorder="1" applyAlignment="1">
      <alignment horizontal="center" vertical="center" wrapText="1"/>
    </xf>
    <xf numFmtId="0" fontId="58" fillId="43" borderId="69" xfId="0" applyFont="1" applyFill="1" applyBorder="1"/>
    <xf numFmtId="0" fontId="58" fillId="43" borderId="70" xfId="0" applyFont="1" applyFill="1" applyBorder="1"/>
    <xf numFmtId="0" fontId="58" fillId="43" borderId="68" xfId="0" applyFont="1" applyFill="1" applyBorder="1"/>
    <xf numFmtId="0" fontId="86" fillId="65" borderId="69" xfId="0" applyFont="1" applyFill="1" applyBorder="1" applyAlignment="1">
      <alignment wrapText="1"/>
    </xf>
    <xf numFmtId="0" fontId="86" fillId="65" borderId="70" xfId="0" applyFont="1" applyFill="1" applyBorder="1" applyAlignment="1">
      <alignment wrapText="1"/>
    </xf>
    <xf numFmtId="0" fontId="86" fillId="65" borderId="68" xfId="0" applyFont="1" applyFill="1" applyBorder="1" applyAlignment="1">
      <alignment wrapText="1"/>
    </xf>
    <xf numFmtId="0" fontId="3" fillId="4" borderId="1" xfId="0" applyFont="1" applyFill="1" applyBorder="1" applyAlignment="1">
      <alignment horizontal="center" vertical="center"/>
    </xf>
    <xf numFmtId="0" fontId="3" fillId="4" borderId="2" xfId="0" applyFont="1" applyFill="1" applyBorder="1" applyAlignment="1">
      <alignment horizontal="center" vertical="center"/>
    </xf>
    <xf numFmtId="0" fontId="4" fillId="4" borderId="3" xfId="0" applyFont="1" applyFill="1" applyBorder="1" applyAlignment="1">
      <alignment horizontal="center" vertical="center"/>
    </xf>
    <xf numFmtId="0" fontId="4" fillId="4" borderId="4" xfId="0" applyFont="1" applyFill="1" applyBorder="1" applyAlignment="1">
      <alignment horizontal="center" vertical="center"/>
    </xf>
    <xf numFmtId="0" fontId="4" fillId="4" borderId="5" xfId="0" applyFont="1" applyFill="1" applyBorder="1" applyAlignment="1">
      <alignment horizontal="center" vertical="center"/>
    </xf>
    <xf numFmtId="0" fontId="4" fillId="4" borderId="6" xfId="0" applyFont="1" applyFill="1" applyBorder="1" applyAlignment="1">
      <alignment horizontal="center" vertical="center"/>
    </xf>
    <xf numFmtId="176" fontId="4" fillId="4" borderId="3" xfId="0" applyNumberFormat="1" applyFont="1" applyFill="1" applyBorder="1" applyAlignment="1">
      <alignment horizontal="center" vertical="center"/>
    </xf>
    <xf numFmtId="176" fontId="4" fillId="4" borderId="4" xfId="0" applyNumberFormat="1" applyFont="1" applyFill="1" applyBorder="1" applyAlignment="1">
      <alignment horizontal="center" vertical="center"/>
    </xf>
    <xf numFmtId="176" fontId="4" fillId="4" borderId="5" xfId="0" applyNumberFormat="1" applyFont="1" applyFill="1" applyBorder="1" applyAlignment="1">
      <alignment horizontal="center" vertical="center"/>
    </xf>
    <xf numFmtId="176" fontId="4" fillId="4" borderId="6" xfId="0" applyNumberFormat="1" applyFont="1" applyFill="1" applyBorder="1" applyAlignment="1">
      <alignment horizontal="center" vertical="center"/>
    </xf>
    <xf numFmtId="175" fontId="11" fillId="4" borderId="3" xfId="0" applyNumberFormat="1" applyFont="1" applyFill="1" applyBorder="1" applyAlignment="1">
      <alignment horizontal="center" vertical="center"/>
    </xf>
    <xf numFmtId="175" fontId="11" fillId="4" borderId="4" xfId="0" applyNumberFormat="1" applyFont="1" applyFill="1" applyBorder="1" applyAlignment="1">
      <alignment horizontal="center" vertical="center"/>
    </xf>
    <xf numFmtId="175" fontId="11" fillId="4" borderId="5" xfId="0" applyNumberFormat="1" applyFont="1" applyFill="1" applyBorder="1" applyAlignment="1">
      <alignment horizontal="center" vertical="center"/>
    </xf>
    <xf numFmtId="175" fontId="11" fillId="4" borderId="6" xfId="0" applyNumberFormat="1" applyFont="1" applyFill="1" applyBorder="1" applyAlignment="1">
      <alignment horizontal="center" vertical="center"/>
    </xf>
    <xf numFmtId="175" fontId="12" fillId="4" borderId="3" xfId="0" applyNumberFormat="1" applyFont="1" applyFill="1" applyBorder="1" applyAlignment="1">
      <alignment horizontal="center" vertical="center"/>
    </xf>
    <xf numFmtId="175" fontId="12" fillId="4" borderId="4" xfId="0" applyNumberFormat="1" applyFont="1" applyFill="1" applyBorder="1" applyAlignment="1">
      <alignment horizontal="center" vertical="center"/>
    </xf>
    <xf numFmtId="175" fontId="12" fillId="4" borderId="5" xfId="0" applyNumberFormat="1" applyFont="1" applyFill="1" applyBorder="1" applyAlignment="1">
      <alignment horizontal="center" vertical="center"/>
    </xf>
    <xf numFmtId="175" fontId="12" fillId="4" borderId="6" xfId="0" applyNumberFormat="1" applyFont="1" applyFill="1" applyBorder="1" applyAlignment="1">
      <alignment horizontal="center" vertical="center"/>
    </xf>
    <xf numFmtId="175" fontId="4" fillId="4" borderId="3" xfId="0" applyNumberFormat="1" applyFont="1" applyFill="1" applyBorder="1" applyAlignment="1">
      <alignment horizontal="center" vertical="center"/>
    </xf>
    <xf numFmtId="175" fontId="4" fillId="4" borderId="4" xfId="0" applyNumberFormat="1" applyFont="1" applyFill="1" applyBorder="1" applyAlignment="1">
      <alignment horizontal="center" vertical="center"/>
    </xf>
    <xf numFmtId="175" fontId="4" fillId="4" borderId="5" xfId="0" applyNumberFormat="1" applyFont="1" applyFill="1" applyBorder="1" applyAlignment="1">
      <alignment horizontal="center" vertical="center"/>
    </xf>
    <xf numFmtId="175" fontId="4" fillId="4" borderId="6" xfId="0" applyNumberFormat="1" applyFont="1" applyFill="1" applyBorder="1" applyAlignment="1">
      <alignment horizontal="center" vertical="center"/>
    </xf>
    <xf numFmtId="0" fontId="95" fillId="4" borderId="3" xfId="0" applyFont="1" applyFill="1" applyBorder="1" applyAlignment="1">
      <alignment horizontal="center" vertical="center"/>
    </xf>
    <xf numFmtId="0" fontId="95" fillId="4" borderId="4" xfId="0" applyFont="1" applyFill="1" applyBorder="1" applyAlignment="1">
      <alignment horizontal="center" vertical="center"/>
    </xf>
    <xf numFmtId="0" fontId="95" fillId="4" borderId="5" xfId="0" applyFont="1" applyFill="1" applyBorder="1" applyAlignment="1">
      <alignment horizontal="center" vertical="center"/>
    </xf>
    <xf numFmtId="0" fontId="95" fillId="4" borderId="6" xfId="0" applyFont="1" applyFill="1" applyBorder="1" applyAlignment="1">
      <alignment horizontal="center" vertical="center"/>
    </xf>
    <xf numFmtId="164" fontId="104" fillId="4" borderId="62" xfId="0" applyNumberFormat="1" applyFont="1" applyFill="1" applyBorder="1" applyAlignment="1">
      <alignment horizontal="center" vertical="center"/>
    </xf>
    <xf numFmtId="164" fontId="104" fillId="4" borderId="58" xfId="0" applyNumberFormat="1" applyFont="1" applyFill="1" applyBorder="1" applyAlignment="1">
      <alignment horizontal="center" vertical="center"/>
    </xf>
    <xf numFmtId="0" fontId="9" fillId="10" borderId="7" xfId="0" applyFont="1" applyFill="1" applyBorder="1" applyAlignment="1">
      <alignment horizontal="center" vertical="center" wrapText="1"/>
    </xf>
    <xf numFmtId="0" fontId="75" fillId="55" borderId="1" xfId="0" applyFont="1" applyFill="1" applyBorder="1" applyAlignment="1">
      <alignment horizontal="center" vertical="center" wrapText="1"/>
    </xf>
    <xf numFmtId="0" fontId="9" fillId="55" borderId="63" xfId="0" applyFont="1" applyFill="1" applyBorder="1" applyAlignment="1">
      <alignment horizontal="center" vertical="center" wrapText="1"/>
    </xf>
    <xf numFmtId="0" fontId="9" fillId="55" borderId="2" xfId="0" applyFont="1" applyFill="1" applyBorder="1" applyAlignment="1">
      <alignment horizontal="center" vertical="center" wrapText="1"/>
    </xf>
    <xf numFmtId="0" fontId="76" fillId="46" borderId="64" xfId="0" applyFont="1" applyFill="1" applyBorder="1" applyAlignment="1">
      <alignment horizontal="left" vertical="center" indent="1"/>
    </xf>
    <xf numFmtId="0" fontId="46" fillId="5" borderId="7" xfId="0" applyFont="1" applyFill="1" applyBorder="1" applyAlignment="1">
      <alignment vertical="top" wrapText="1"/>
    </xf>
    <xf numFmtId="0" fontId="14" fillId="5" borderId="7" xfId="0" applyFont="1" applyFill="1" applyBorder="1" applyAlignment="1">
      <alignment vertical="top" wrapText="1"/>
    </xf>
    <xf numFmtId="0" fontId="90" fillId="4" borderId="77" xfId="0" applyFont="1" applyFill="1" applyBorder="1" applyAlignment="1">
      <alignment horizontal="center" vertical="center"/>
    </xf>
    <xf numFmtId="0" fontId="90" fillId="4" borderId="76" xfId="0" applyFont="1" applyFill="1" applyBorder="1" applyAlignment="1">
      <alignment horizontal="center" vertical="center"/>
    </xf>
    <xf numFmtId="180" fontId="4" fillId="4" borderId="79" xfId="0" applyNumberFormat="1" applyFont="1" applyFill="1" applyBorder="1" applyAlignment="1">
      <alignment horizontal="center" vertical="center"/>
    </xf>
    <xf numFmtId="180" fontId="4" fillId="4" borderId="78" xfId="0" applyNumberFormat="1" applyFont="1" applyFill="1" applyBorder="1" applyAlignment="1">
      <alignment horizontal="center" vertical="center"/>
    </xf>
    <xf numFmtId="180" fontId="4" fillId="4" borderId="75" xfId="0" applyNumberFormat="1" applyFont="1" applyFill="1" applyBorder="1" applyAlignment="1">
      <alignment horizontal="center" vertical="center"/>
    </xf>
    <xf numFmtId="180" fontId="4" fillId="4" borderId="74" xfId="0" applyNumberFormat="1" applyFont="1" applyFill="1" applyBorder="1" applyAlignment="1">
      <alignment horizontal="center" vertical="center"/>
    </xf>
    <xf numFmtId="0" fontId="13" fillId="4" borderId="79" xfId="0" applyFont="1" applyFill="1" applyBorder="1" applyAlignment="1">
      <alignment horizontal="center" vertical="center"/>
    </xf>
    <xf numFmtId="0" fontId="13" fillId="4" borderId="78" xfId="0" applyFont="1" applyFill="1" applyBorder="1" applyAlignment="1">
      <alignment horizontal="center" vertical="center"/>
    </xf>
    <xf numFmtId="0" fontId="13" fillId="4" borderId="75" xfId="0" applyFont="1" applyFill="1" applyBorder="1" applyAlignment="1">
      <alignment horizontal="center" vertical="center"/>
    </xf>
    <xf numFmtId="0" fontId="13" fillId="4" borderId="74" xfId="0" applyFont="1" applyFill="1" applyBorder="1" applyAlignment="1">
      <alignment horizontal="center" vertical="center"/>
    </xf>
    <xf numFmtId="181" fontId="11" fillId="4" borderId="80" xfId="0" applyNumberFormat="1" applyFont="1" applyFill="1" applyBorder="1" applyAlignment="1">
      <alignment horizontal="center" vertical="center"/>
    </xf>
    <xf numFmtId="181" fontId="11" fillId="4" borderId="81" xfId="0" applyNumberFormat="1" applyFont="1" applyFill="1" applyBorder="1" applyAlignment="1">
      <alignment horizontal="center" vertical="center"/>
    </xf>
    <xf numFmtId="0" fontId="93" fillId="0" borderId="80" xfId="0" applyFont="1" applyBorder="1" applyAlignment="1">
      <alignment horizontal="center" vertical="center"/>
    </xf>
    <xf numFmtId="0" fontId="93" fillId="0" borderId="81" xfId="0" applyFont="1" applyBorder="1" applyAlignment="1">
      <alignment horizontal="center" vertical="center"/>
    </xf>
    <xf numFmtId="0" fontId="92" fillId="4" borderId="80" xfId="0" applyFont="1" applyFill="1" applyBorder="1" applyAlignment="1">
      <alignment horizontal="center" vertical="center"/>
    </xf>
    <xf numFmtId="0" fontId="92" fillId="4" borderId="81" xfId="0" applyFont="1" applyFill="1" applyBorder="1" applyAlignment="1">
      <alignment horizontal="center" vertical="center"/>
    </xf>
    <xf numFmtId="0" fontId="91" fillId="0" borderId="80" xfId="0" applyFont="1" applyBorder="1" applyAlignment="1">
      <alignment horizontal="center" vertical="center"/>
    </xf>
    <xf numFmtId="0" fontId="91" fillId="0" borderId="81" xfId="0" applyFont="1" applyBorder="1" applyAlignment="1">
      <alignment horizontal="center" vertical="center"/>
    </xf>
    <xf numFmtId="181" fontId="12" fillId="4" borderId="80" xfId="0" applyNumberFormat="1" applyFont="1" applyFill="1" applyBorder="1" applyAlignment="1">
      <alignment horizontal="center" vertical="center"/>
    </xf>
    <xf numFmtId="181" fontId="12" fillId="4" borderId="81" xfId="0" applyNumberFormat="1" applyFont="1" applyFill="1" applyBorder="1" applyAlignment="1">
      <alignment horizontal="center" vertical="center"/>
    </xf>
    <xf numFmtId="164" fontId="91" fillId="0" borderId="80" xfId="0" applyNumberFormat="1" applyFont="1" applyBorder="1" applyAlignment="1">
      <alignment horizontal="center" vertical="center"/>
    </xf>
    <xf numFmtId="164" fontId="91" fillId="0" borderId="81" xfId="0" applyNumberFormat="1" applyFont="1" applyBorder="1" applyAlignment="1">
      <alignment horizontal="center" vertical="center"/>
    </xf>
  </cellXfs>
  <cellStyles count="2">
    <cellStyle name="Hyperlink" xfId="1" builtinId="8"/>
    <cellStyle name="Normal" xfId="0" builtinId="0"/>
  </cellStyles>
  <dxfs count="317">
    <dxf>
      <font>
        <b val="0"/>
        <i val="0"/>
        <strike val="0"/>
        <condense val="0"/>
        <extend val="0"/>
        <outline val="0"/>
        <shadow val="0"/>
        <u val="none"/>
        <vertAlign val="baseline"/>
        <sz val="9"/>
        <color rgb="FF111827"/>
        <name val="Aptos"/>
        <family val="2"/>
        <scheme val="none"/>
      </font>
      <fill>
        <patternFill patternType="solid">
          <fgColor indexed="64"/>
          <bgColor rgb="FFFFFFFF"/>
        </patternFill>
      </fill>
      <alignment horizontal="general" vertical="top" textRotation="0" wrapText="1" indent="0" justifyLastLine="0" shrinkToFit="0" readingOrder="0"/>
      <border diagonalUp="0" diagonalDown="0">
        <left style="thin">
          <color rgb="FFE5E7EB"/>
        </left>
        <right style="thin">
          <color rgb="FFE5E7EB"/>
        </right>
        <top style="thin">
          <color rgb="FFE5E7EB"/>
        </top>
        <bottom style="thin">
          <color rgb="FFE5E7EB"/>
        </bottom>
        <vertical/>
        <horizontal/>
      </border>
    </dxf>
    <dxf>
      <font>
        <b val="0"/>
        <i val="0"/>
        <strike val="0"/>
        <condense val="0"/>
        <extend val="0"/>
        <outline val="0"/>
        <shadow val="0"/>
        <u val="none"/>
        <vertAlign val="baseline"/>
        <sz val="9"/>
        <color rgb="FF111827"/>
        <name val="Aptos"/>
        <family val="2"/>
        <scheme val="none"/>
      </font>
      <fill>
        <patternFill patternType="solid">
          <fgColor indexed="64"/>
          <bgColor rgb="FFFFF2CC"/>
        </patternFill>
      </fill>
      <alignment horizontal="general" vertical="top" textRotation="0" wrapText="1" indent="0" justifyLastLine="0" shrinkToFit="0" readingOrder="0"/>
      <border diagonalUp="0" diagonalDown="0">
        <left style="thin">
          <color rgb="FFE5E7EB"/>
        </left>
        <right/>
        <top style="thin">
          <color rgb="FFE5E7EB"/>
        </top>
        <bottom style="thin">
          <color rgb="FFE5E7EB"/>
        </bottom>
        <vertical/>
        <horizontal/>
      </border>
    </dxf>
    <dxf>
      <font>
        <b val="0"/>
        <i val="0"/>
        <strike val="0"/>
        <condense val="0"/>
        <extend val="0"/>
        <outline val="0"/>
        <shadow val="0"/>
        <u val="none"/>
        <vertAlign val="baseline"/>
        <sz val="9"/>
        <color rgb="FF111827"/>
        <name val="Aptos"/>
        <family val="2"/>
        <scheme val="none"/>
      </font>
      <fill>
        <patternFill patternType="solid">
          <fgColor indexed="64"/>
          <bgColor rgb="FFFFFFFF"/>
        </patternFill>
      </fill>
      <alignment horizontal="general" vertical="top" textRotation="0" wrapText="1" indent="0" justifyLastLine="0" shrinkToFit="0" readingOrder="0"/>
      <border diagonalUp="0" diagonalDown="0">
        <left style="thin">
          <color rgb="FFE5E7EB"/>
        </left>
        <right/>
        <top style="thin">
          <color rgb="FFE5E7EB"/>
        </top>
        <bottom style="thin">
          <color rgb="FFE5E7EB"/>
        </bottom>
        <vertical/>
        <horizontal/>
      </border>
    </dxf>
    <dxf>
      <border outline="0">
        <top style="thin">
          <color rgb="FFD7DEE5"/>
        </top>
        <bottom style="thin">
          <color rgb="FFE5E7EB"/>
        </bottom>
      </border>
    </dxf>
    <dxf>
      <font>
        <b/>
        <i val="0"/>
        <strike val="0"/>
        <condense val="0"/>
        <extend val="0"/>
        <outline val="0"/>
        <shadow val="0"/>
        <u val="none"/>
        <vertAlign val="baseline"/>
        <sz val="10"/>
        <color rgb="FFFFFFFF"/>
        <name val="Aptos"/>
        <family val="2"/>
        <scheme val="none"/>
      </font>
      <fill>
        <patternFill patternType="solid">
          <fgColor indexed="64"/>
          <bgColor rgb="FF102A43"/>
        </patternFill>
      </fill>
      <alignment horizontal="center" vertical="center" textRotation="0" wrapText="1" indent="0" justifyLastLine="0" shrinkToFit="0" readingOrder="0"/>
    </dxf>
    <dxf>
      <font>
        <color indexed="10"/>
      </font>
      <fill>
        <patternFill>
          <bgColor indexed="45"/>
        </patternFill>
      </fill>
    </dxf>
    <dxf>
      <font>
        <color indexed="53"/>
      </font>
      <fill>
        <patternFill>
          <bgColor indexed="43"/>
        </patternFill>
      </fill>
    </dxf>
    <dxf>
      <font>
        <color indexed="17"/>
      </font>
      <fill>
        <patternFill>
          <bgColor indexed="42"/>
        </patternFill>
      </fill>
    </dxf>
    <dxf>
      <font>
        <color theme="5"/>
      </font>
    </dxf>
    <dxf>
      <font>
        <color rgb="FF92D050"/>
      </font>
    </dxf>
    <dxf>
      <font>
        <color rgb="FFC00000"/>
      </font>
    </dxf>
    <dxf>
      <font>
        <b/>
        <i val="0"/>
        <strike val="0"/>
        <condense val="0"/>
        <extend val="0"/>
        <outline val="0"/>
        <shadow val="0"/>
        <u val="none"/>
        <vertAlign val="baseline"/>
        <sz val="9"/>
        <color rgb="FF854D0E"/>
        <name val="Aptos"/>
        <family val="2"/>
        <scheme val="none"/>
      </font>
      <fill>
        <patternFill patternType="solid">
          <fgColor indexed="64"/>
          <bgColor rgb="FFFEF9C3"/>
        </patternFill>
      </fill>
      <alignment horizontal="center" vertical="center" textRotation="0" wrapText="0" indent="0" justifyLastLine="0" shrinkToFit="0" readingOrder="0"/>
      <border diagonalUp="0" diagonalDown="0">
        <left style="thin">
          <color rgb="FFDDEBF7"/>
        </left>
        <right/>
        <top style="thin">
          <color rgb="FFDDEBF7"/>
        </top>
        <bottom style="thin">
          <color rgb="FFDDEBF7"/>
        </bottom>
        <vertical style="thin">
          <color rgb="FFDDEBF7"/>
        </vertical>
        <horizontal style="thin">
          <color rgb="FFDDEBF7"/>
        </horizontal>
      </border>
    </dxf>
    <dxf>
      <font>
        <b val="0"/>
        <i val="0"/>
        <strike val="0"/>
        <condense val="0"/>
        <extend val="0"/>
        <outline val="0"/>
        <shadow val="0"/>
        <u val="none"/>
        <vertAlign val="baseline"/>
        <sz val="11"/>
        <color theme="1"/>
        <name val="Carlito"/>
        <scheme val="none"/>
      </font>
      <numFmt numFmtId="164" formatCode="0.0%"/>
      <fill>
        <patternFill patternType="solid">
          <fgColor indexed="64"/>
          <bgColor rgb="FFFFF2CC"/>
        </patternFill>
      </fill>
      <border diagonalUp="0" diagonalDown="0">
        <left style="thin">
          <color rgb="FFDDEBF7"/>
        </left>
        <right style="thin">
          <color rgb="FFDDEBF7"/>
        </right>
        <top style="thin">
          <color rgb="FFDDEBF7"/>
        </top>
        <bottom style="thin">
          <color rgb="FFDDEBF7"/>
        </bottom>
        <vertical style="thin">
          <color rgb="FFDDEBF7"/>
        </vertical>
        <horizontal style="thin">
          <color rgb="FFDDEBF7"/>
        </horizontal>
      </border>
    </dxf>
    <dxf>
      <font>
        <b val="0"/>
        <i val="0"/>
        <strike val="0"/>
        <condense val="0"/>
        <extend val="0"/>
        <outline val="0"/>
        <shadow val="0"/>
        <u val="none"/>
        <vertAlign val="baseline"/>
        <sz val="11"/>
        <color theme="1"/>
        <name val="Carlito"/>
        <scheme val="none"/>
      </font>
      <numFmt numFmtId="3" formatCode="#,##0"/>
      <fill>
        <patternFill patternType="solid">
          <fgColor indexed="64"/>
          <bgColor rgb="FFFFF2CC"/>
        </patternFill>
      </fill>
      <border diagonalUp="0" diagonalDown="0">
        <left style="thin">
          <color rgb="FFDDEBF7"/>
        </left>
        <right style="thin">
          <color rgb="FFDDEBF7"/>
        </right>
        <top style="thin">
          <color rgb="FFDDEBF7"/>
        </top>
        <bottom style="thin">
          <color rgb="FFDDEBF7"/>
        </bottom>
        <vertical style="thin">
          <color rgb="FFDDEBF7"/>
        </vertical>
        <horizontal style="thin">
          <color rgb="FFDDEBF7"/>
        </horizontal>
      </border>
    </dxf>
    <dxf>
      <font>
        <b val="0"/>
        <i val="0"/>
        <strike val="0"/>
        <condense val="0"/>
        <extend val="0"/>
        <outline val="0"/>
        <shadow val="0"/>
        <u val="none"/>
        <vertAlign val="baseline"/>
        <sz val="10"/>
        <color rgb="FF425466"/>
        <name val="Aptos"/>
        <family val="2"/>
        <scheme val="none"/>
      </font>
      <fill>
        <patternFill patternType="solid">
          <fgColor indexed="64"/>
          <bgColor rgb="FFF3F6F8"/>
        </patternFill>
      </fill>
      <border diagonalUp="0" diagonalDown="0">
        <left/>
        <right style="thin">
          <color rgb="FFDDEBF7"/>
        </right>
        <top style="thin">
          <color rgb="FFDDEBF7"/>
        </top>
        <bottom style="thin">
          <color rgb="FFDDEBF7"/>
        </bottom>
        <vertical style="thin">
          <color rgb="FFDDEBF7"/>
        </vertical>
        <horizontal style="thin">
          <color rgb="FFDDEBF7"/>
        </horizontal>
      </border>
    </dxf>
    <dxf>
      <border outline="0">
        <left style="thin">
          <color rgb="FFDDEBF7"/>
        </left>
        <top style="thin">
          <color rgb="FFDDEBF7"/>
        </top>
        <bottom style="thin">
          <color rgb="FFDDEBF7"/>
        </bottom>
      </border>
    </dxf>
    <dxf>
      <font>
        <b/>
        <i val="0"/>
        <strike val="0"/>
        <condense val="0"/>
        <extend val="0"/>
        <outline val="0"/>
        <shadow val="0"/>
        <u val="none"/>
        <vertAlign val="baseline"/>
        <sz val="11"/>
        <color theme="0"/>
        <name val="Aptos"/>
        <family val="2"/>
        <scheme val="none"/>
      </font>
      <fill>
        <patternFill patternType="solid">
          <fgColor indexed="64"/>
          <bgColor rgb="FF102A43"/>
        </patternFill>
      </fill>
      <border diagonalUp="0" diagonalDown="0">
        <left style="thin">
          <color rgb="FFDDEBF7"/>
        </left>
        <right style="thin">
          <color rgb="FFDDEBF7"/>
        </right>
        <top/>
        <bottom/>
        <vertical style="thin">
          <color rgb="FFDDEBF7"/>
        </vertical>
        <horizontal style="thin">
          <color rgb="FFDDEBF7"/>
        </horizontal>
      </border>
    </dxf>
    <dxf>
      <font>
        <color indexed="10"/>
      </font>
      <fill>
        <patternFill>
          <bgColor indexed="45"/>
        </patternFill>
      </fill>
    </dxf>
    <dxf>
      <font>
        <color indexed="53"/>
      </font>
      <fill>
        <patternFill>
          <bgColor indexed="43"/>
        </patternFill>
      </fill>
    </dxf>
    <dxf>
      <font>
        <color indexed="17"/>
      </font>
      <fill>
        <patternFill>
          <bgColor indexed="42"/>
        </patternFill>
      </fill>
    </dxf>
    <dxf>
      <font>
        <color theme="5"/>
      </font>
    </dxf>
    <dxf>
      <font>
        <color rgb="FF92D050"/>
      </font>
    </dxf>
    <dxf>
      <font>
        <color rgb="FFC00000"/>
      </font>
    </dxf>
    <dxf>
      <font>
        <b val="0"/>
        <i val="0"/>
        <strike val="0"/>
        <condense val="0"/>
        <extend val="0"/>
        <outline val="0"/>
        <shadow val="0"/>
        <u val="none"/>
        <vertAlign val="baseline"/>
        <sz val="9"/>
        <color rgb="FF111827"/>
        <name val="Aptos"/>
        <scheme val="none"/>
      </font>
      <fill>
        <patternFill patternType="solid">
          <fgColor indexed="64"/>
          <bgColor rgb="FFFFF2CC"/>
        </patternFill>
      </fill>
      <alignment horizontal="general" vertical="top" textRotation="0" wrapText="1" indent="0" justifyLastLine="0" shrinkToFit="0" readingOrder="0"/>
      <border diagonalUp="0" diagonalDown="0">
        <left style="thin">
          <color rgb="FFE5E7EB"/>
        </left>
        <right style="thin">
          <color rgb="FFE5E7EB"/>
        </right>
        <top style="thin">
          <color rgb="FFE5E7EB"/>
        </top>
        <bottom style="thin">
          <color rgb="FFE5E7EB"/>
        </bottom>
        <vertical/>
        <horizontal/>
      </border>
    </dxf>
    <dxf>
      <font>
        <b val="0"/>
        <i val="0"/>
        <strike val="0"/>
        <condense val="0"/>
        <extend val="0"/>
        <outline val="0"/>
        <shadow val="0"/>
        <u val="none"/>
        <vertAlign val="baseline"/>
        <sz val="9"/>
        <color rgb="FF111827"/>
        <name val="Aptos"/>
        <scheme val="none"/>
      </font>
      <fill>
        <patternFill patternType="solid">
          <fgColor indexed="64"/>
          <bgColor rgb="FFFFF2CC"/>
        </patternFill>
      </fill>
      <alignment horizontal="general" vertical="top" textRotation="0" wrapText="1" indent="0" justifyLastLine="0" shrinkToFit="0" readingOrder="0"/>
      <border diagonalUp="0" diagonalDown="0">
        <left style="thin">
          <color rgb="FFE5E7EB"/>
        </left>
        <right style="thin">
          <color rgb="FFE5E7EB"/>
        </right>
        <top style="thin">
          <color rgb="FFE5E7EB"/>
        </top>
        <bottom style="thin">
          <color rgb="FFE5E7EB"/>
        </bottom>
        <vertical/>
        <horizontal/>
      </border>
    </dxf>
    <dxf>
      <font>
        <b val="0"/>
        <i val="0"/>
        <strike val="0"/>
        <condense val="0"/>
        <extend val="0"/>
        <outline val="0"/>
        <shadow val="0"/>
        <u val="none"/>
        <vertAlign val="baseline"/>
        <sz val="9"/>
        <color rgb="FF111827"/>
        <name val="Aptos"/>
        <scheme val="none"/>
      </font>
      <fill>
        <patternFill patternType="solid">
          <fgColor indexed="64"/>
          <bgColor rgb="FFFFF2CC"/>
        </patternFill>
      </fill>
      <alignment horizontal="general" vertical="top" textRotation="0" wrapText="1" indent="0" justifyLastLine="0" shrinkToFit="0" readingOrder="0"/>
      <border diagonalUp="0" diagonalDown="0">
        <left style="thin">
          <color rgb="FFE5E7EB"/>
        </left>
        <right style="thin">
          <color rgb="FFE5E7EB"/>
        </right>
        <top style="thin">
          <color rgb="FFE5E7EB"/>
        </top>
        <bottom style="thin">
          <color rgb="FFE5E7EB"/>
        </bottom>
        <vertical/>
        <horizontal/>
      </border>
    </dxf>
    <dxf>
      <numFmt numFmtId="4" formatCode="#,##0.00"/>
    </dxf>
    <dxf>
      <font>
        <b val="0"/>
        <i val="0"/>
        <strike val="0"/>
        <condense val="0"/>
        <extend val="0"/>
        <outline val="0"/>
        <shadow val="0"/>
        <u val="none"/>
        <vertAlign val="baseline"/>
        <sz val="9"/>
        <color rgb="FF102A43"/>
        <name val="Aptos"/>
        <family val="2"/>
        <scheme val="none"/>
      </font>
      <fill>
        <patternFill patternType="solid">
          <fgColor indexed="64"/>
          <bgColor rgb="FFF9FAC4"/>
        </patternFill>
      </fill>
      <alignment horizontal="general" vertical="top" textRotation="0" wrapText="1" indent="0" justifyLastLine="0" shrinkToFit="0" readingOrder="0"/>
      <border diagonalUp="0" diagonalDown="0" outline="0">
        <left style="thin">
          <color rgb="FFE5E7EB"/>
        </left>
        <right style="thin">
          <color rgb="FFE5E7EB"/>
        </right>
        <top style="thin">
          <color rgb="FFE5E7EB"/>
        </top>
        <bottom style="thin">
          <color rgb="FFE5E7EB"/>
        </bottom>
      </border>
    </dxf>
    <dxf>
      <font>
        <b val="0"/>
        <i val="0"/>
        <strike val="0"/>
        <condense val="0"/>
        <extend val="0"/>
        <outline val="0"/>
        <shadow val="0"/>
        <u val="none"/>
        <vertAlign val="baseline"/>
        <sz val="9"/>
        <color rgb="FF111827"/>
        <name val="Aptos"/>
        <family val="2"/>
        <scheme val="none"/>
      </font>
      <fill>
        <patternFill patternType="solid">
          <fgColor indexed="64"/>
          <bgColor rgb="FFFFFFFF"/>
        </patternFill>
      </fill>
      <alignment horizontal="general" vertical="top" textRotation="0" wrapText="1" indent="0" justifyLastLine="0" shrinkToFit="0" readingOrder="0"/>
      <border diagonalUp="0" diagonalDown="0" outline="0">
        <left style="thin">
          <color rgb="FFE5E7EB"/>
        </left>
        <right style="thin">
          <color rgb="FFE5E7EB"/>
        </right>
        <top style="thin">
          <color rgb="FFE5E7EB"/>
        </top>
        <bottom style="thin">
          <color rgb="FFE5E7EB"/>
        </bottom>
      </border>
    </dxf>
    <dxf>
      <border outline="0">
        <top style="thin">
          <color rgb="FFD7DEE5"/>
        </top>
        <bottom style="thin">
          <color rgb="FFE5E7EB"/>
        </bottom>
      </border>
    </dxf>
    <dxf>
      <font>
        <b/>
        <i val="0"/>
        <strike val="0"/>
        <condense val="0"/>
        <extend val="0"/>
        <outline val="0"/>
        <shadow val="0"/>
        <u val="none"/>
        <vertAlign val="baseline"/>
        <sz val="10"/>
        <color rgb="FFFFFFFF"/>
        <name val="Aptos"/>
        <family val="2"/>
        <scheme val="none"/>
      </font>
      <fill>
        <patternFill patternType="solid">
          <fgColor indexed="64"/>
          <bgColor rgb="FF0B3B63"/>
        </patternFill>
      </fill>
      <alignment horizontal="center" vertical="center" textRotation="0" wrapText="1" indent="0" justifyLastLine="0" shrinkToFit="0" readingOrder="0"/>
    </dxf>
    <dxf>
      <font>
        <b val="0"/>
        <i val="0"/>
        <strike val="0"/>
        <condense val="0"/>
        <extend val="0"/>
        <outline val="0"/>
        <shadow val="0"/>
        <u val="none"/>
        <vertAlign val="baseline"/>
        <sz val="9"/>
        <color rgb="FF111827"/>
        <name val="Aptos"/>
        <scheme val="none"/>
      </font>
      <numFmt numFmtId="0" formatCode="General"/>
      <fill>
        <patternFill patternType="solid">
          <fgColor indexed="64"/>
          <bgColor rgb="FFF9FAC4"/>
        </patternFill>
      </fill>
      <alignment horizontal="general" vertical="top" textRotation="0" wrapText="1" indent="0" justifyLastLine="0" shrinkToFit="0" readingOrder="0"/>
      <border diagonalUp="0" diagonalDown="0">
        <left style="thin">
          <color rgb="FFE5E7EB"/>
        </left>
        <right style="thin">
          <color rgb="FFE5E7EB"/>
        </right>
        <top style="thin">
          <color rgb="FFE5E7EB"/>
        </top>
        <bottom style="thin">
          <color rgb="FFE5E7EB"/>
        </bottom>
      </border>
    </dxf>
    <dxf>
      <font>
        <b val="0"/>
        <i val="0"/>
        <strike val="0"/>
        <condense val="0"/>
        <extend val="0"/>
        <outline val="0"/>
        <shadow val="0"/>
        <u val="none"/>
        <vertAlign val="baseline"/>
        <sz val="9"/>
        <color rgb="FF111827"/>
        <name val="Aptos"/>
        <scheme val="none"/>
      </font>
      <fill>
        <patternFill patternType="solid">
          <fgColor indexed="64"/>
          <bgColor rgb="FFF9FAC4"/>
        </patternFill>
      </fill>
      <alignment horizontal="general" vertical="top" textRotation="0" wrapText="1" indent="0" justifyLastLine="0" shrinkToFit="0" readingOrder="0"/>
      <border diagonalUp="0" diagonalDown="0" outline="0">
        <left style="thin">
          <color rgb="FFE5E7EB"/>
        </left>
        <right style="thin">
          <color rgb="FFE5E7EB"/>
        </right>
        <top style="thin">
          <color rgb="FFE5E7EB"/>
        </top>
        <bottom style="thin">
          <color rgb="FFE5E7EB"/>
        </bottom>
      </border>
    </dxf>
    <dxf>
      <font>
        <b val="0"/>
        <i val="0"/>
        <strike val="0"/>
        <condense val="0"/>
        <extend val="0"/>
        <outline val="0"/>
        <shadow val="0"/>
        <u val="none"/>
        <vertAlign val="baseline"/>
        <sz val="9"/>
        <color rgb="FF111827"/>
        <name val="Aptos"/>
        <scheme val="none"/>
      </font>
      <fill>
        <patternFill patternType="solid">
          <fgColor indexed="64"/>
          <bgColor rgb="FFF9FAC4"/>
        </patternFill>
      </fill>
      <alignment horizontal="general" vertical="top" textRotation="0" wrapText="1" indent="0" justifyLastLine="0" shrinkToFit="0" readingOrder="0"/>
      <border diagonalUp="0" diagonalDown="0" outline="0">
        <left style="thin">
          <color rgb="FFE5E7EB"/>
        </left>
        <right style="thin">
          <color rgb="FFE5E7EB"/>
        </right>
        <top style="thin">
          <color rgb="FFE5E7EB"/>
        </top>
        <bottom style="thin">
          <color rgb="FFE5E7EB"/>
        </bottom>
      </border>
    </dxf>
    <dxf>
      <fill>
        <patternFill patternType="solid">
          <fgColor indexed="64"/>
          <bgColor rgb="FFF9FAC4"/>
        </patternFill>
      </fill>
      <border outline="0">
        <left style="thin">
          <color rgb="FFE5E7EB"/>
        </left>
        <right style="thin">
          <color rgb="FFE5E7EB"/>
        </right>
      </border>
    </dxf>
    <dxf>
      <font>
        <b val="0"/>
        <i val="0"/>
        <strike val="0"/>
        <condense val="0"/>
        <extend val="0"/>
        <outline val="0"/>
        <shadow val="0"/>
        <u val="none"/>
        <vertAlign val="baseline"/>
        <sz val="9"/>
        <color rgb="FF111827"/>
        <name val="Aptos"/>
        <family val="2"/>
        <scheme val="none"/>
      </font>
      <numFmt numFmtId="14" formatCode="0.00%"/>
      <fill>
        <patternFill patternType="solid">
          <fgColor indexed="64"/>
          <bgColor rgb="FFF9FAC4"/>
        </patternFill>
      </fill>
      <alignment horizontal="general" vertical="top" textRotation="0" wrapText="1" indent="0" justifyLastLine="0" shrinkToFit="0" readingOrder="0"/>
      <border diagonalUp="0" diagonalDown="0" outline="0">
        <left style="thin">
          <color rgb="FFE5E7EB"/>
        </left>
        <right style="thin">
          <color rgb="FFE5E7EB"/>
        </right>
        <top style="thin">
          <color rgb="FFE5E7EB"/>
        </top>
        <bottom style="thin">
          <color rgb="FFE5E7EB"/>
        </bottom>
      </border>
    </dxf>
    <dxf>
      <font>
        <b val="0"/>
        <i val="0"/>
        <strike val="0"/>
        <condense val="0"/>
        <extend val="0"/>
        <outline val="0"/>
        <shadow val="0"/>
        <u val="none"/>
        <vertAlign val="baseline"/>
        <sz val="9"/>
        <color rgb="FF111827"/>
        <name val="Aptos"/>
        <family val="2"/>
        <scheme val="none"/>
      </font>
      <fill>
        <patternFill patternType="solid">
          <fgColor indexed="64"/>
          <bgColor rgb="FFF9FAC4"/>
        </patternFill>
      </fill>
      <alignment horizontal="general" vertical="top" textRotation="0" wrapText="1" indent="0" justifyLastLine="0" shrinkToFit="0" readingOrder="0"/>
      <border diagonalUp="0" diagonalDown="0" outline="0">
        <left style="thin">
          <color rgb="FFE5E7EB"/>
        </left>
        <right style="thin">
          <color rgb="FFE5E7EB"/>
        </right>
        <top style="thin">
          <color rgb="FFE5E7EB"/>
        </top>
        <bottom style="thin">
          <color rgb="FFE5E7EB"/>
        </bottom>
      </border>
    </dxf>
    <dxf>
      <font>
        <b/>
      </font>
      <border outline="0">
        <left/>
        <right style="thin">
          <color rgb="FFE5E7EB"/>
        </right>
      </border>
    </dxf>
    <dxf>
      <font>
        <sz val="9"/>
        <color rgb="FF111827"/>
        <name val="Aptos"/>
        <family val="2"/>
      </font>
      <numFmt numFmtId="19" formatCode="m/d/yyyy"/>
      <fill>
        <patternFill patternType="solid">
          <fgColor indexed="64"/>
          <bgColor rgb="FFF9FAC4"/>
        </patternFill>
      </fill>
      <alignment horizontal="general" vertical="top" textRotation="0" wrapText="1" indent="0" justifyLastLine="0" shrinkToFit="0" readingOrder="0"/>
      <border diagonalUp="0" diagonalDown="0">
        <left style="thin">
          <color rgb="FFE5E7EB"/>
        </left>
        <right style="thin">
          <color rgb="FFE5E7EB"/>
        </right>
        <top/>
        <bottom style="thin">
          <color rgb="FFE5E7EB"/>
        </bottom>
        <vertical/>
        <horizontal/>
      </border>
    </dxf>
    <dxf>
      <font>
        <b val="0"/>
        <i val="0"/>
        <strike val="0"/>
        <condense val="0"/>
        <extend val="0"/>
        <outline val="0"/>
        <shadow val="0"/>
        <u val="none"/>
        <vertAlign val="baseline"/>
        <sz val="9"/>
        <color rgb="FF111827"/>
        <name val="Aptos"/>
        <scheme val="none"/>
      </font>
      <numFmt numFmtId="19" formatCode="m/d/yyyy"/>
      <fill>
        <patternFill patternType="solid">
          <fgColor indexed="64"/>
          <bgColor rgb="FFF9FAC4"/>
        </patternFill>
      </fill>
      <alignment horizontal="general" vertical="top" textRotation="0" wrapText="1" indent="0" justifyLastLine="0" shrinkToFit="0" readingOrder="0"/>
      <border diagonalUp="0" diagonalDown="0" outline="0">
        <left style="thin">
          <color rgb="FFE5E7EB"/>
        </left>
        <right style="thin">
          <color rgb="FFE5E7EB"/>
        </right>
        <top/>
        <bottom style="thin">
          <color rgb="FFE5E7EB"/>
        </bottom>
      </border>
    </dxf>
    <dxf>
      <font>
        <b val="0"/>
        <i val="0"/>
        <strike val="0"/>
        <condense val="0"/>
        <extend val="0"/>
        <outline val="0"/>
        <shadow val="0"/>
        <u val="none"/>
        <vertAlign val="baseline"/>
        <sz val="9"/>
        <color rgb="FF111827"/>
        <name val="Aptos"/>
        <scheme val="none"/>
      </font>
      <numFmt numFmtId="173" formatCode="#,##0.00\ \ &quot;/ m³&quot;"/>
      <fill>
        <patternFill patternType="solid">
          <fgColor indexed="64"/>
          <bgColor rgb="FFF9FAC4"/>
        </patternFill>
      </fill>
      <alignment horizontal="general" vertical="top" textRotation="0" wrapText="1" indent="0" justifyLastLine="0" shrinkToFit="0" readingOrder="0"/>
      <border diagonalUp="0" diagonalDown="0" outline="0">
        <left style="thin">
          <color rgb="FFE5E7EB"/>
        </left>
        <right style="thin">
          <color rgb="FFE5E7EB"/>
        </right>
        <top style="thin">
          <color rgb="FFE5E7EB"/>
        </top>
        <bottom style="thin">
          <color rgb="FFE5E7EB"/>
        </bottom>
      </border>
    </dxf>
    <dxf>
      <font>
        <b val="0"/>
        <i val="0"/>
        <strike val="0"/>
        <condense val="0"/>
        <extend val="0"/>
        <outline val="0"/>
        <shadow val="0"/>
        <u val="none"/>
        <vertAlign val="baseline"/>
        <sz val="9"/>
        <color rgb="FF111827"/>
        <name val="Aptos"/>
        <scheme val="none"/>
      </font>
      <numFmt numFmtId="4" formatCode="#,##0.00"/>
      <fill>
        <patternFill patternType="solid">
          <fgColor indexed="64"/>
          <bgColor rgb="FFF9FAC4"/>
        </patternFill>
      </fill>
      <alignment horizontal="general" vertical="top" textRotation="0" wrapText="1" indent="0" justifyLastLine="0" shrinkToFit="0" readingOrder="0"/>
      <border diagonalUp="0" diagonalDown="0" outline="0">
        <left style="thin">
          <color rgb="FFE5E7EB"/>
        </left>
        <right style="thin">
          <color rgb="FFE5E7EB"/>
        </right>
        <top style="thin">
          <color rgb="FFE5E7EB"/>
        </top>
        <bottom style="thin">
          <color rgb="FFE5E7EB"/>
        </bottom>
      </border>
    </dxf>
    <dxf>
      <font>
        <strike val="0"/>
        <outline val="0"/>
        <shadow val="0"/>
        <u val="none"/>
        <vertAlign val="baseline"/>
        <sz val="9"/>
        <color rgb="FF1F4E9C"/>
        <name val="Aptos"/>
        <scheme val="none"/>
      </font>
      <numFmt numFmtId="4" formatCode="#,##0.00"/>
      <fill>
        <patternFill patternType="solid">
          <fgColor indexed="64"/>
          <bgColor rgb="FFF9FAC4"/>
        </patternFill>
      </fill>
      <border outline="0">
        <left style="thin">
          <color rgb="FFE5E7EB"/>
        </left>
      </border>
    </dxf>
    <dxf>
      <font>
        <b val="0"/>
        <i val="0"/>
        <strike val="0"/>
        <condense val="0"/>
        <extend val="0"/>
        <outline val="0"/>
        <shadow val="0"/>
        <u val="none"/>
        <vertAlign val="baseline"/>
        <sz val="9"/>
        <color rgb="FF1F4E9C"/>
        <name val="Aptos"/>
        <scheme val="none"/>
      </font>
      <numFmt numFmtId="4" formatCode="#,##0.00"/>
      <fill>
        <patternFill patternType="solid">
          <fgColor indexed="64"/>
          <bgColor rgb="FFF9FAC4"/>
        </patternFill>
      </fill>
      <alignment horizontal="general" vertical="top" textRotation="0" wrapText="1" indent="0" justifyLastLine="0" shrinkToFit="0" readingOrder="0"/>
      <border diagonalUp="0" diagonalDown="0" outline="0">
        <left/>
        <right style="thin">
          <color rgb="FFE5E7EB"/>
        </right>
        <top style="thin">
          <color rgb="FFE5E7EB"/>
        </top>
        <bottom style="thin">
          <color rgb="FFE5E7EB"/>
        </bottom>
      </border>
    </dxf>
    <dxf>
      <font>
        <b/>
        <i val="0"/>
        <strike val="0"/>
        <condense val="0"/>
        <extend val="0"/>
        <outline val="0"/>
        <shadow val="0"/>
        <u val="none"/>
        <vertAlign val="baseline"/>
        <sz val="9"/>
        <color rgb="FF111827"/>
        <name val="Aptos"/>
        <family val="2"/>
        <scheme val="none"/>
      </font>
      <fill>
        <patternFill patternType="solid">
          <fgColor indexed="64"/>
          <bgColor rgb="FFFFF2CC"/>
        </patternFill>
      </fill>
      <alignment horizontal="general" vertical="top" textRotation="0" wrapText="1" indent="0" justifyLastLine="0" shrinkToFit="0" readingOrder="0"/>
      <border diagonalUp="0" diagonalDown="0" outline="0">
        <left style="thin">
          <color rgb="FFE5E7EB"/>
        </left>
        <right style="thin">
          <color rgb="FFE5E7EB"/>
        </right>
        <top style="thin">
          <color rgb="FFE5E7EB"/>
        </top>
        <bottom style="thin">
          <color rgb="FFE5E7EB"/>
        </bottom>
      </border>
    </dxf>
    <dxf>
      <fill>
        <patternFill patternType="solid">
          <fgColor indexed="64"/>
          <bgColor rgb="FFF9FAC4"/>
        </patternFill>
      </fill>
      <border outline="0">
        <left style="thin">
          <color rgb="FFE5E7EB"/>
        </left>
      </border>
    </dxf>
    <dxf>
      <fill>
        <patternFill patternType="solid">
          <fgColor indexed="64"/>
          <bgColor rgb="FFF9FAC4"/>
        </patternFill>
      </fill>
      <border outline="0">
        <left style="thin">
          <color rgb="FFE5E7EB"/>
        </left>
        <right style="thin">
          <color rgb="FFE5E7EB"/>
        </right>
      </border>
    </dxf>
    <dxf>
      <fill>
        <patternFill patternType="solid">
          <fgColor indexed="64"/>
          <bgColor rgb="FFF9FAC4"/>
        </patternFill>
      </fill>
      <border outline="0">
        <right style="thin">
          <color rgb="FFE5E7EB"/>
        </right>
      </border>
    </dxf>
    <dxf>
      <fill>
        <patternFill patternType="solid">
          <fgColor indexed="64"/>
          <bgColor rgb="FF0B3B63"/>
        </patternFill>
      </fill>
    </dxf>
    <dxf>
      <font>
        <color indexed="17"/>
      </font>
      <fill>
        <patternFill>
          <bgColor indexed="42"/>
        </patternFill>
      </fill>
    </dxf>
    <dxf>
      <font>
        <color indexed="12"/>
      </font>
      <fill>
        <patternFill>
          <bgColor indexed="44"/>
        </patternFill>
      </fill>
    </dxf>
    <dxf>
      <font>
        <color indexed="53"/>
      </font>
      <fill>
        <patternFill>
          <bgColor indexed="43"/>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theme="5"/>
      </font>
      <fill>
        <patternFill>
          <bgColor theme="5" tint="0.59996337778862885"/>
        </patternFill>
      </fill>
    </dxf>
    <dxf>
      <font>
        <color theme="6" tint="-0.24994659260841701"/>
      </font>
      <fill>
        <patternFill>
          <bgColor theme="6" tint="0.59996337778862885"/>
        </patternFill>
      </fill>
    </dxf>
    <dxf>
      <font>
        <color theme="5" tint="-0.499984740745262"/>
      </font>
      <fill>
        <patternFill>
          <bgColor rgb="FFFFEB9C"/>
        </patternFill>
      </fill>
    </dxf>
    <dxf>
      <font>
        <color rgb="FFC00000"/>
      </font>
      <fill>
        <patternFill>
          <bgColor rgb="FFFFCDCD"/>
        </patternFill>
      </fill>
    </dxf>
    <dxf>
      <font>
        <b val="0"/>
        <i val="0"/>
        <strike val="0"/>
        <condense val="0"/>
        <extend val="0"/>
        <outline val="0"/>
        <shadow val="0"/>
        <u val="none"/>
        <vertAlign val="baseline"/>
        <sz val="9"/>
        <color rgb="FF111827"/>
        <name val="Aptos"/>
        <scheme val="none"/>
      </font>
      <numFmt numFmtId="0" formatCode="General"/>
      <fill>
        <patternFill patternType="solid">
          <fgColor indexed="64"/>
          <bgColor rgb="FFFFF2CC"/>
        </patternFill>
      </fill>
      <alignment horizontal="general" vertical="top" textRotation="0" wrapText="1" indent="0" justifyLastLine="0" shrinkToFit="0" readingOrder="0"/>
      <border diagonalUp="0" diagonalDown="0">
        <left style="thin">
          <color rgb="FFE5E7EB"/>
        </left>
        <right style="thin">
          <color rgb="FFE5E7EB"/>
        </right>
        <top style="thin">
          <color rgb="FFE5E7EB"/>
        </top>
        <bottom style="thin">
          <color rgb="FFE5E7EB"/>
        </bottom>
        <vertical/>
        <horizontal/>
      </border>
    </dxf>
    <dxf>
      <font>
        <b val="0"/>
        <i val="0"/>
        <strike val="0"/>
        <condense val="0"/>
        <extend val="0"/>
        <outline val="0"/>
        <shadow val="0"/>
        <u val="none"/>
        <vertAlign val="baseline"/>
        <sz val="9"/>
        <color rgb="FF111827"/>
        <name val="Aptos"/>
        <scheme val="none"/>
      </font>
      <fill>
        <patternFill patternType="solid">
          <fgColor indexed="64"/>
          <bgColor rgb="FFFFF2CC"/>
        </patternFill>
      </fill>
      <alignment horizontal="general" vertical="top" textRotation="0" wrapText="1" indent="0" justifyLastLine="0" shrinkToFit="0" readingOrder="0"/>
      <border diagonalUp="0" diagonalDown="0">
        <left style="thin">
          <color rgb="FFE5E7EB"/>
        </left>
        <right style="thin">
          <color rgb="FFE5E7EB"/>
        </right>
        <top style="thin">
          <color rgb="FFE5E7EB"/>
        </top>
        <bottom style="thin">
          <color rgb="FFE5E7EB"/>
        </bottom>
        <vertical/>
        <horizontal/>
      </border>
    </dxf>
    <dxf>
      <font>
        <color rgb="FF9C0006"/>
      </font>
      <fill>
        <patternFill>
          <bgColor rgb="FFF4CCCC"/>
        </patternFill>
      </fill>
    </dxf>
    <dxf>
      <font>
        <color rgb="FFB25900"/>
      </font>
      <fill>
        <patternFill>
          <bgColor rgb="FFFCE4D6"/>
        </patternFill>
      </fill>
    </dxf>
    <dxf>
      <font>
        <color rgb="FF9C6500"/>
      </font>
      <fill>
        <patternFill>
          <bgColor rgb="FFFFF2CC"/>
        </patternFill>
      </fill>
    </dxf>
    <dxf>
      <font>
        <color rgb="FF006100"/>
      </font>
      <fill>
        <patternFill>
          <bgColor rgb="FFD9EAD3"/>
        </patternFill>
      </fill>
    </dxf>
    <dxf>
      <font>
        <color rgb="FF006100"/>
      </font>
      <fill>
        <patternFill>
          <bgColor rgb="FFE7F4EA"/>
        </patternFill>
      </fill>
    </dxf>
    <dxf>
      <font>
        <b/>
        <i val="0"/>
        <color theme="0"/>
      </font>
      <fill>
        <patternFill>
          <bgColor rgb="FF9C0006"/>
        </patternFill>
      </fill>
    </dxf>
    <dxf>
      <font>
        <color rgb="FF9C6500"/>
      </font>
      <fill>
        <patternFill>
          <bgColor rgb="FFFFF2CC"/>
        </patternFill>
      </fill>
    </dxf>
    <dxf>
      <font>
        <color rgb="FF006100"/>
      </font>
      <fill>
        <patternFill>
          <bgColor rgb="FFE7F4EA"/>
        </patternFill>
      </fill>
    </dxf>
    <dxf>
      <font>
        <color rgb="FF9C0006"/>
      </font>
      <fill>
        <patternFill>
          <fgColor rgb="FFF4CCCC"/>
          <bgColor rgb="FFF4CCCC"/>
        </patternFill>
      </fill>
    </dxf>
    <dxf>
      <font>
        <color rgb="FF9C0006"/>
      </font>
      <fill>
        <patternFill>
          <bgColor rgb="FFF4CCCC"/>
        </patternFill>
      </fill>
    </dxf>
    <dxf>
      <font>
        <color rgb="FFB25900"/>
      </font>
      <fill>
        <patternFill>
          <bgColor rgb="FFFCE4D6"/>
        </patternFill>
      </fill>
    </dxf>
    <dxf>
      <font>
        <color rgb="FF9C6500"/>
      </font>
      <fill>
        <patternFill>
          <bgColor rgb="FFFFF2CC"/>
        </patternFill>
      </fill>
    </dxf>
    <dxf>
      <font>
        <color rgb="FF006100"/>
      </font>
      <fill>
        <patternFill>
          <bgColor rgb="FFD9EAD3"/>
        </patternFill>
      </fill>
    </dxf>
    <dxf>
      <font>
        <color rgb="FF006100"/>
      </font>
      <fill>
        <patternFill>
          <bgColor rgb="FFE7F4EA"/>
        </patternFill>
      </fill>
    </dxf>
    <dxf>
      <font>
        <b val="0"/>
        <i val="0"/>
        <strike val="0"/>
        <condense val="0"/>
        <extend val="0"/>
        <outline val="0"/>
        <shadow val="0"/>
        <u val="none"/>
        <vertAlign val="baseline"/>
        <sz val="9"/>
        <color rgb="FF111827"/>
        <name val="Aptos"/>
        <family val="2"/>
        <scheme val="none"/>
      </font>
      <fill>
        <patternFill patternType="solid">
          <fgColor indexed="64"/>
          <bgColor theme="0"/>
        </patternFill>
      </fill>
      <alignment horizontal="general" vertical="top" textRotation="0" wrapText="1" indent="0" justifyLastLine="0" shrinkToFit="0" readingOrder="0"/>
      <border diagonalUp="0" diagonalDown="0" outline="0">
        <left style="thin">
          <color rgb="FFD7DEE5"/>
        </left>
        <right/>
        <top style="thin">
          <color rgb="FFD7DEE5"/>
        </top>
        <bottom/>
      </border>
    </dxf>
    <dxf>
      <font>
        <b val="0"/>
        <i val="0"/>
        <strike val="0"/>
        <condense val="0"/>
        <extend val="0"/>
        <outline val="0"/>
        <shadow val="0"/>
        <u val="none"/>
        <vertAlign val="baseline"/>
        <sz val="9"/>
        <color rgb="FF111827"/>
        <name val="Aptos"/>
        <family val="2"/>
        <scheme val="none"/>
      </font>
      <numFmt numFmtId="164" formatCode="0.0%"/>
      <fill>
        <patternFill patternType="solid">
          <fgColor indexed="64"/>
          <bgColor rgb="FFDDEBF7"/>
        </patternFill>
      </fill>
      <alignment horizontal="general" vertical="top" textRotation="0" wrapText="1" indent="0" justifyLastLine="0" shrinkToFit="0" readingOrder="0"/>
      <border diagonalUp="0" diagonalDown="0" outline="0">
        <left style="thin">
          <color rgb="FFD7DEE5"/>
        </left>
        <right style="thin">
          <color rgb="FFD7DEE5"/>
        </right>
        <top style="thin">
          <color rgb="FFD7DEE5"/>
        </top>
        <bottom/>
      </border>
    </dxf>
    <dxf>
      <font>
        <b val="0"/>
        <i val="0"/>
        <strike val="0"/>
        <condense val="0"/>
        <extend val="0"/>
        <outline val="0"/>
        <shadow val="0"/>
        <u val="none"/>
        <vertAlign val="baseline"/>
        <sz val="9"/>
        <color rgb="FF102A43"/>
        <name val="Aptos"/>
        <family val="2"/>
        <scheme val="none"/>
      </font>
      <numFmt numFmtId="184" formatCode="#,##0.00\ &quot;Cr&quot;"/>
      <fill>
        <patternFill patternType="solid">
          <fgColor indexed="64"/>
          <bgColor rgb="FFDDEBF7"/>
        </patternFill>
      </fill>
      <alignment horizontal="general" vertical="top" textRotation="0" wrapText="1" indent="0" justifyLastLine="0" shrinkToFit="0" readingOrder="0"/>
      <border diagonalUp="0" diagonalDown="0">
        <left style="thin">
          <color rgb="FFD7DEE5"/>
        </left>
        <right/>
        <top style="thin">
          <color rgb="FFD7DEE5"/>
        </top>
        <bottom/>
        <vertical/>
        <horizontal/>
      </border>
    </dxf>
    <dxf>
      <font>
        <b val="0"/>
        <i val="0"/>
        <strike val="0"/>
        <condense val="0"/>
        <extend val="0"/>
        <outline val="0"/>
        <shadow val="0"/>
        <u val="none"/>
        <vertAlign val="baseline"/>
        <sz val="9"/>
        <color rgb="FF102A43"/>
        <name val="Aptos"/>
        <family val="2"/>
        <scheme val="none"/>
      </font>
      <numFmt numFmtId="184" formatCode="#,##0.00\ &quot;Cr&quot;"/>
      <fill>
        <patternFill patternType="solid">
          <fgColor indexed="64"/>
          <bgColor rgb="FFDDEBF7"/>
        </patternFill>
      </fill>
      <alignment horizontal="general" vertical="top" textRotation="0" wrapText="1" indent="0" justifyLastLine="0" shrinkToFit="0" readingOrder="0"/>
      <border diagonalUp="0" diagonalDown="0">
        <left style="thin">
          <color rgb="FFD7DEE5"/>
        </left>
        <right/>
        <top style="thin">
          <color rgb="FFD7DEE5"/>
        </top>
        <bottom/>
        <vertical/>
        <horizontal/>
      </border>
    </dxf>
    <dxf>
      <font>
        <b val="0"/>
        <i val="0"/>
        <strike val="0"/>
        <condense val="0"/>
        <extend val="0"/>
        <outline val="0"/>
        <shadow val="0"/>
        <u val="none"/>
        <vertAlign val="baseline"/>
        <sz val="9"/>
        <color rgb="FF102A43"/>
        <name val="Aptos"/>
        <family val="2"/>
        <scheme val="none"/>
      </font>
      <numFmt numFmtId="184" formatCode="#,##0.00\ &quot;Cr&quot;"/>
      <fill>
        <patternFill patternType="solid">
          <fgColor indexed="64"/>
          <bgColor rgb="FFDDEBF7"/>
        </patternFill>
      </fill>
      <alignment horizontal="general" vertical="top" textRotation="0" wrapText="1" indent="0" justifyLastLine="0" shrinkToFit="0" readingOrder="0"/>
      <border diagonalUp="0" diagonalDown="0">
        <left style="thin">
          <color rgb="FFD7DEE5"/>
        </left>
        <right/>
        <top style="thin">
          <color rgb="FFD7DEE5"/>
        </top>
        <bottom/>
        <vertical/>
        <horizontal/>
      </border>
    </dxf>
    <dxf>
      <font>
        <b val="0"/>
        <i val="0"/>
        <strike val="0"/>
        <condense val="0"/>
        <extend val="0"/>
        <outline val="0"/>
        <shadow val="0"/>
        <u val="none"/>
        <vertAlign val="baseline"/>
        <sz val="9"/>
        <color rgb="FF102A43"/>
        <name val="Aptos"/>
        <family val="2"/>
        <scheme val="none"/>
      </font>
      <numFmt numFmtId="4" formatCode="#,##0.00"/>
      <fill>
        <patternFill patternType="solid">
          <fgColor indexed="64"/>
          <bgColor rgb="FFDDEBF7"/>
        </patternFill>
      </fill>
      <alignment horizontal="general" vertical="top" textRotation="0" wrapText="1" indent="0" justifyLastLine="0" shrinkToFit="0" readingOrder="0"/>
      <border diagonalUp="0" diagonalDown="0">
        <left style="thin">
          <color rgb="FFD7DEE5"/>
        </left>
        <right/>
        <top style="thin">
          <color rgb="FFD7DEE5"/>
        </top>
        <bottom/>
        <vertical/>
        <horizontal/>
      </border>
    </dxf>
    <dxf>
      <font>
        <b val="0"/>
        <i val="0"/>
        <strike val="0"/>
        <condense val="0"/>
        <extend val="0"/>
        <outline val="0"/>
        <shadow val="0"/>
        <u val="none"/>
        <vertAlign val="baseline"/>
        <sz val="9"/>
        <color rgb="FF102A43"/>
        <name val="Aptos"/>
        <family val="2"/>
        <scheme val="none"/>
      </font>
      <numFmt numFmtId="184" formatCode="#,##0.00\ &quot;Cr&quot;"/>
      <fill>
        <patternFill patternType="solid">
          <fgColor indexed="64"/>
          <bgColor rgb="FFDDEBF7"/>
        </patternFill>
      </fill>
      <alignment horizontal="general" vertical="top" textRotation="0" wrapText="1" indent="0" justifyLastLine="0" shrinkToFit="0" readingOrder="0"/>
      <border diagonalUp="0" diagonalDown="0">
        <left style="thin">
          <color rgb="FFD7DEE5"/>
        </left>
        <right/>
        <top style="thin">
          <color rgb="FFD7DEE5"/>
        </top>
        <bottom/>
        <vertical/>
        <horizontal/>
      </border>
    </dxf>
    <dxf>
      <font>
        <b val="0"/>
        <i val="0"/>
        <strike val="0"/>
        <condense val="0"/>
        <extend val="0"/>
        <outline val="0"/>
        <shadow val="0"/>
        <u val="none"/>
        <vertAlign val="baseline"/>
        <sz val="9"/>
        <color rgb="FF111827"/>
        <name val="Aptos"/>
        <family val="2"/>
        <scheme val="none"/>
      </font>
      <numFmt numFmtId="2" formatCode="0.00"/>
      <fill>
        <patternFill patternType="solid">
          <fgColor indexed="64"/>
          <bgColor rgb="FFDDEBF7"/>
        </patternFill>
      </fill>
      <alignment horizontal="general" vertical="top" textRotation="0" wrapText="1" indent="0" justifyLastLine="0" shrinkToFit="0" readingOrder="0"/>
      <border diagonalUp="0" diagonalDown="0">
        <left style="thin">
          <color rgb="FFD7DEE5"/>
        </left>
        <right/>
        <top style="thin">
          <color rgb="FFD7DEE5"/>
        </top>
        <bottom/>
        <vertical/>
        <horizontal/>
      </border>
    </dxf>
    <dxf>
      <font>
        <b val="0"/>
        <i val="0"/>
        <strike val="0"/>
        <condense val="0"/>
        <extend val="0"/>
        <outline val="0"/>
        <shadow val="0"/>
        <u val="none"/>
        <vertAlign val="baseline"/>
        <sz val="9"/>
        <color rgb="FF111827"/>
        <name val="Aptos"/>
        <family val="2"/>
        <scheme val="none"/>
      </font>
      <numFmt numFmtId="3" formatCode="#,##0"/>
      <fill>
        <patternFill patternType="solid">
          <fgColor indexed="64"/>
          <bgColor rgb="FFDDEBF7"/>
        </patternFill>
      </fill>
      <alignment horizontal="general" vertical="top" textRotation="0" wrapText="1" indent="0" justifyLastLine="0" shrinkToFit="0" readingOrder="0"/>
      <border diagonalUp="0" diagonalDown="0">
        <left style="thin">
          <color rgb="FFD7DEE5"/>
        </left>
        <right/>
        <top style="thin">
          <color rgb="FFD7DEE5"/>
        </top>
        <bottom/>
        <vertical/>
        <horizontal/>
      </border>
    </dxf>
    <dxf>
      <font>
        <b val="0"/>
        <i val="0"/>
        <strike val="0"/>
        <condense val="0"/>
        <extend val="0"/>
        <outline val="0"/>
        <shadow val="0"/>
        <u val="none"/>
        <vertAlign val="baseline"/>
        <sz val="9"/>
        <color rgb="FF111827"/>
        <name val="Aptos"/>
        <family val="2"/>
        <scheme val="none"/>
      </font>
      <numFmt numFmtId="164" formatCode="0.0%"/>
      <fill>
        <patternFill patternType="solid">
          <fgColor indexed="64"/>
          <bgColor rgb="FFDDEBF7"/>
        </patternFill>
      </fill>
      <alignment horizontal="general" vertical="top" textRotation="0" wrapText="1" indent="0" justifyLastLine="0" shrinkToFit="0" readingOrder="0"/>
      <border diagonalUp="0" diagonalDown="0">
        <left style="thin">
          <color rgb="FFD7DEE5"/>
        </left>
        <right/>
        <top style="thin">
          <color rgb="FFD7DEE5"/>
        </top>
        <bottom/>
        <vertical/>
        <horizontal/>
      </border>
    </dxf>
    <dxf>
      <font>
        <b val="0"/>
        <i val="0"/>
        <strike val="0"/>
        <condense val="0"/>
        <extend val="0"/>
        <outline val="0"/>
        <shadow val="0"/>
        <u val="none"/>
        <vertAlign val="baseline"/>
        <sz val="9"/>
        <color rgb="FF102A43"/>
        <name val="Aptos"/>
        <family val="2"/>
        <scheme val="none"/>
      </font>
      <numFmt numFmtId="184" formatCode="#,##0.00\ &quot;Cr&quot;"/>
      <fill>
        <patternFill patternType="solid">
          <fgColor indexed="64"/>
          <bgColor rgb="FFDDEBF7"/>
        </patternFill>
      </fill>
      <alignment horizontal="general" vertical="top" textRotation="0" wrapText="1" indent="0" justifyLastLine="0" shrinkToFit="0" readingOrder="0"/>
      <border diagonalUp="0" diagonalDown="0">
        <left style="thin">
          <color rgb="FFD7DEE5"/>
        </left>
        <right/>
        <top style="thin">
          <color rgb="FFD7DEE5"/>
        </top>
        <bottom/>
        <vertical/>
        <horizontal/>
      </border>
    </dxf>
    <dxf>
      <font>
        <b val="0"/>
        <i val="0"/>
        <strike val="0"/>
        <condense val="0"/>
        <extend val="0"/>
        <outline val="0"/>
        <shadow val="0"/>
        <u val="none"/>
        <vertAlign val="baseline"/>
        <sz val="9"/>
        <color rgb="FF102A43"/>
        <name val="Aptos"/>
        <family val="2"/>
        <scheme val="none"/>
      </font>
      <numFmt numFmtId="184" formatCode="#,##0.00\ &quot;Cr&quot;"/>
      <fill>
        <patternFill patternType="solid">
          <fgColor indexed="64"/>
          <bgColor rgb="FFDDEBF7"/>
        </patternFill>
      </fill>
      <alignment horizontal="general" vertical="top" textRotation="0" wrapText="1" indent="0" justifyLastLine="0" shrinkToFit="0" readingOrder="0"/>
      <border diagonalUp="0" diagonalDown="0">
        <left style="thin">
          <color rgb="FFD7DEE5"/>
        </left>
        <right/>
        <top style="thin">
          <color rgb="FFD7DEE5"/>
        </top>
        <bottom/>
        <vertical/>
        <horizontal/>
      </border>
    </dxf>
    <dxf>
      <font>
        <b val="0"/>
        <i val="0"/>
        <strike val="0"/>
        <condense val="0"/>
        <extend val="0"/>
        <outline val="0"/>
        <shadow val="0"/>
        <u val="none"/>
        <vertAlign val="baseline"/>
        <sz val="9"/>
        <color rgb="FF102A43"/>
        <name val="Aptos"/>
        <family val="2"/>
        <scheme val="none"/>
      </font>
      <numFmt numFmtId="184" formatCode="#,##0.00\ &quot;Cr&quot;"/>
      <fill>
        <patternFill patternType="solid">
          <fgColor indexed="64"/>
          <bgColor rgb="FFDDEBF7"/>
        </patternFill>
      </fill>
      <alignment horizontal="general" vertical="top" textRotation="0" wrapText="1" indent="0" justifyLastLine="0" shrinkToFit="0" readingOrder="0"/>
      <border diagonalUp="0" diagonalDown="0">
        <left style="thin">
          <color rgb="FFD7DEE5"/>
        </left>
        <right/>
        <top style="thin">
          <color rgb="FFD7DEE5"/>
        </top>
        <bottom/>
        <vertical/>
        <horizontal/>
      </border>
    </dxf>
    <dxf>
      <font>
        <b val="0"/>
        <i val="0"/>
        <strike val="0"/>
        <condense val="0"/>
        <extend val="0"/>
        <outline val="0"/>
        <shadow val="0"/>
        <u val="none"/>
        <vertAlign val="baseline"/>
        <sz val="9"/>
        <color rgb="FF102A43"/>
        <name val="Aptos"/>
        <family val="2"/>
        <scheme val="none"/>
      </font>
      <numFmt numFmtId="4" formatCode="#,##0.00"/>
      <fill>
        <patternFill patternType="solid">
          <fgColor indexed="64"/>
          <bgColor rgb="FFDDEBF7"/>
        </patternFill>
      </fill>
      <alignment horizontal="general" vertical="top" textRotation="0" wrapText="1" indent="0" justifyLastLine="0" shrinkToFit="0" readingOrder="0"/>
      <border diagonalUp="0" diagonalDown="0">
        <left style="thin">
          <color rgb="FFD7DEE5"/>
        </left>
        <right/>
        <top style="thin">
          <color rgb="FFD7DEE5"/>
        </top>
        <bottom/>
        <vertical/>
        <horizontal/>
      </border>
    </dxf>
    <dxf>
      <font>
        <b val="0"/>
        <i val="0"/>
        <strike val="0"/>
        <condense val="0"/>
        <extend val="0"/>
        <outline val="0"/>
        <shadow val="0"/>
        <u val="none"/>
        <vertAlign val="baseline"/>
        <sz val="9"/>
        <color rgb="FF102A43"/>
        <name val="Aptos"/>
        <family val="2"/>
        <scheme val="none"/>
      </font>
      <numFmt numFmtId="184" formatCode="#,##0.00\ &quot;Cr&quot;"/>
      <fill>
        <patternFill patternType="solid">
          <fgColor indexed="64"/>
          <bgColor rgb="FFDDEBF7"/>
        </patternFill>
      </fill>
      <alignment horizontal="general" vertical="top" textRotation="0" wrapText="1" indent="0" justifyLastLine="0" shrinkToFit="0" readingOrder="0"/>
      <border diagonalUp="0" diagonalDown="0">
        <left style="thin">
          <color rgb="FFD7DEE5"/>
        </left>
        <right/>
        <top style="thin">
          <color rgb="FFD7DEE5"/>
        </top>
        <bottom/>
        <vertical/>
        <horizontal/>
      </border>
    </dxf>
    <dxf>
      <font>
        <b val="0"/>
        <i val="0"/>
        <strike val="0"/>
        <condense val="0"/>
        <extend val="0"/>
        <outline val="0"/>
        <shadow val="0"/>
        <u val="none"/>
        <vertAlign val="baseline"/>
        <sz val="9"/>
        <color rgb="FF111827"/>
        <name val="Aptos"/>
        <family val="2"/>
        <scheme val="none"/>
      </font>
      <numFmt numFmtId="2" formatCode="0.00"/>
      <fill>
        <patternFill patternType="solid">
          <fgColor indexed="64"/>
          <bgColor rgb="FFDDEBF7"/>
        </patternFill>
      </fill>
      <alignment horizontal="general" vertical="top" textRotation="0" wrapText="1" indent="0" justifyLastLine="0" shrinkToFit="0" readingOrder="0"/>
      <border diagonalUp="0" diagonalDown="0">
        <left style="thin">
          <color rgb="FFD7DEE5"/>
        </left>
        <right/>
        <top style="thin">
          <color rgb="FFD7DEE5"/>
        </top>
        <bottom/>
        <vertical/>
        <horizontal/>
      </border>
    </dxf>
    <dxf>
      <font>
        <b val="0"/>
        <i val="0"/>
        <strike val="0"/>
        <condense val="0"/>
        <extend val="0"/>
        <outline val="0"/>
        <shadow val="0"/>
        <u val="none"/>
        <vertAlign val="baseline"/>
        <sz val="9"/>
        <color rgb="FF111827"/>
        <name val="Aptos"/>
        <family val="2"/>
        <scheme val="none"/>
      </font>
      <numFmt numFmtId="3" formatCode="#,##0"/>
      <fill>
        <patternFill patternType="solid">
          <fgColor indexed="64"/>
          <bgColor rgb="FFDDEBF7"/>
        </patternFill>
      </fill>
      <alignment horizontal="general" vertical="top" textRotation="0" wrapText="1" indent="0" justifyLastLine="0" shrinkToFit="0" readingOrder="0"/>
      <border diagonalUp="0" diagonalDown="0">
        <left style="thin">
          <color rgb="FFD7DEE5"/>
        </left>
        <right/>
        <top style="thin">
          <color rgb="FFD7DEE5"/>
        </top>
        <bottom/>
        <vertical/>
        <horizontal/>
      </border>
    </dxf>
    <dxf>
      <font>
        <b val="0"/>
        <i val="0"/>
        <strike val="0"/>
        <condense val="0"/>
        <extend val="0"/>
        <outline val="0"/>
        <shadow val="0"/>
        <u val="none"/>
        <vertAlign val="baseline"/>
        <sz val="9"/>
        <color rgb="FF111827"/>
        <name val="Aptos"/>
        <family val="2"/>
        <scheme val="none"/>
      </font>
      <numFmt numFmtId="164" formatCode="0.0%"/>
      <fill>
        <patternFill patternType="solid">
          <fgColor indexed="64"/>
          <bgColor rgb="FFDDEBF7"/>
        </patternFill>
      </fill>
      <alignment horizontal="general" vertical="top" textRotation="0" wrapText="1" indent="0" justifyLastLine="0" shrinkToFit="0" readingOrder="0"/>
      <border diagonalUp="0" diagonalDown="0">
        <left style="thin">
          <color rgb="FFD7DEE5"/>
        </left>
        <right/>
        <top style="thin">
          <color rgb="FFD7DEE5"/>
        </top>
        <bottom/>
      </border>
    </dxf>
    <dxf>
      <font>
        <b val="0"/>
        <i val="0"/>
        <strike val="0"/>
        <condense val="0"/>
        <extend val="0"/>
        <outline val="0"/>
        <shadow val="0"/>
        <u val="none"/>
        <vertAlign val="baseline"/>
        <sz val="9"/>
        <color rgb="FF111827"/>
        <name val="Aptos"/>
        <family val="2"/>
        <scheme val="none"/>
      </font>
      <numFmt numFmtId="184" formatCode="#,##0.00\ &quot;Cr&quot;"/>
      <fill>
        <patternFill patternType="solid">
          <fgColor indexed="64"/>
          <bgColor rgb="FFDDEBF7"/>
        </patternFill>
      </fill>
      <alignment horizontal="general" vertical="top" textRotation="0" wrapText="1" indent="0" justifyLastLine="0" shrinkToFit="0" readingOrder="0"/>
      <border diagonalUp="0" diagonalDown="0">
        <left style="thin">
          <color rgb="FFD7DEE5"/>
        </left>
        <right style="thin">
          <color rgb="FFD7DEE5"/>
        </right>
        <top style="thin">
          <color rgb="FFD7DEE5"/>
        </top>
        <bottom/>
      </border>
    </dxf>
    <dxf>
      <font>
        <b val="0"/>
        <i val="0"/>
        <strike val="0"/>
        <condense val="0"/>
        <extend val="0"/>
        <outline val="0"/>
        <shadow val="0"/>
        <u val="none"/>
        <vertAlign val="baseline"/>
        <sz val="9"/>
        <color rgb="FF102A43"/>
        <name val="Aptos"/>
        <family val="2"/>
        <scheme val="none"/>
      </font>
      <numFmt numFmtId="184" formatCode="#,##0.00\ &quot;Cr&quot;"/>
      <fill>
        <patternFill patternType="solid">
          <fgColor indexed="64"/>
          <bgColor rgb="FFDDEBF7"/>
        </patternFill>
      </fill>
      <alignment horizontal="general" vertical="top" textRotation="0" wrapText="1" indent="0" justifyLastLine="0" shrinkToFit="0" readingOrder="0"/>
      <border diagonalUp="0" diagonalDown="0">
        <left style="thin">
          <color rgb="FFD7DEE5"/>
        </left>
        <right/>
        <top style="thin">
          <color rgb="FFD7DEE5"/>
        </top>
        <bottom/>
        <vertical/>
        <horizontal/>
      </border>
    </dxf>
    <dxf>
      <font>
        <b val="0"/>
        <i val="0"/>
        <strike val="0"/>
        <condense val="0"/>
        <extend val="0"/>
        <outline val="0"/>
        <shadow val="0"/>
        <u val="none"/>
        <vertAlign val="baseline"/>
        <sz val="9"/>
        <color rgb="FF102A43"/>
        <name val="Aptos"/>
        <family val="2"/>
        <scheme val="none"/>
      </font>
      <numFmt numFmtId="184" formatCode="#,##0.00\ &quot;Cr&quot;"/>
      <fill>
        <patternFill patternType="solid">
          <fgColor indexed="64"/>
          <bgColor rgb="FFDDEBF7"/>
        </patternFill>
      </fill>
      <alignment horizontal="general" vertical="top" textRotation="0" wrapText="1" indent="0" justifyLastLine="0" shrinkToFit="0" readingOrder="0"/>
      <border diagonalUp="0" diagonalDown="0">
        <left style="thin">
          <color rgb="FFD7DEE5"/>
        </left>
        <right/>
        <top style="thin">
          <color rgb="FFD7DEE5"/>
        </top>
        <bottom/>
        <vertical/>
        <horizontal/>
      </border>
    </dxf>
    <dxf>
      <font>
        <b val="0"/>
        <i val="0"/>
        <strike val="0"/>
        <condense val="0"/>
        <extend val="0"/>
        <outline val="0"/>
        <shadow val="0"/>
        <u val="none"/>
        <vertAlign val="baseline"/>
        <sz val="9"/>
        <color rgb="FF102A43"/>
        <name val="Aptos"/>
        <family val="2"/>
        <scheme val="none"/>
      </font>
      <numFmt numFmtId="4" formatCode="#,##0.00"/>
      <fill>
        <patternFill patternType="solid">
          <fgColor indexed="64"/>
          <bgColor rgb="FFDDEBF7"/>
        </patternFill>
      </fill>
      <alignment horizontal="general" vertical="top" textRotation="0" wrapText="1" indent="0" justifyLastLine="0" shrinkToFit="0" readingOrder="0"/>
      <border diagonalUp="0" diagonalDown="0">
        <left style="thin">
          <color rgb="FFD7DEE5"/>
        </left>
        <right/>
        <top style="thin">
          <color rgb="FFD7DEE5"/>
        </top>
        <bottom/>
        <vertical/>
        <horizontal/>
      </border>
    </dxf>
    <dxf>
      <font>
        <b val="0"/>
        <i val="0"/>
        <strike val="0"/>
        <condense val="0"/>
        <extend val="0"/>
        <outline val="0"/>
        <shadow val="0"/>
        <u val="none"/>
        <vertAlign val="baseline"/>
        <sz val="9"/>
        <color rgb="FF102A43"/>
        <name val="Aptos"/>
        <family val="2"/>
        <scheme val="none"/>
      </font>
      <numFmt numFmtId="184" formatCode="#,##0.00\ &quot;Cr&quot;"/>
      <fill>
        <patternFill patternType="solid">
          <fgColor indexed="64"/>
          <bgColor rgb="FFDDEBF7"/>
        </patternFill>
      </fill>
      <alignment horizontal="general" vertical="top" textRotation="0" wrapText="1" indent="0" justifyLastLine="0" shrinkToFit="0" readingOrder="0"/>
      <border diagonalUp="0" diagonalDown="0">
        <left style="thin">
          <color rgb="FFD7DEE5"/>
        </left>
        <right/>
        <top style="thin">
          <color rgb="FFD7DEE5"/>
        </top>
        <bottom/>
        <vertical/>
        <horizontal/>
      </border>
    </dxf>
    <dxf>
      <font>
        <b val="0"/>
        <i val="0"/>
        <strike val="0"/>
        <condense val="0"/>
        <extend val="0"/>
        <outline val="0"/>
        <shadow val="0"/>
        <u val="none"/>
        <vertAlign val="baseline"/>
        <sz val="9"/>
        <color rgb="FF102A43"/>
        <name val="Aptos"/>
        <family val="2"/>
        <scheme val="none"/>
      </font>
      <numFmt numFmtId="4" formatCode="#,##0.00"/>
      <fill>
        <patternFill patternType="solid">
          <fgColor indexed="64"/>
          <bgColor rgb="FFDDEBF7"/>
        </patternFill>
      </fill>
      <alignment horizontal="general" vertical="top" textRotation="0" wrapText="1" indent="0" justifyLastLine="0" shrinkToFit="0" readingOrder="0"/>
      <border diagonalUp="0" diagonalDown="0">
        <left style="thin">
          <color rgb="FFD7DEE5"/>
        </left>
        <right/>
        <top style="thin">
          <color rgb="FFD7DEE5"/>
        </top>
        <bottom/>
        <vertical/>
        <horizontal/>
      </border>
    </dxf>
    <dxf>
      <font>
        <b val="0"/>
        <i val="0"/>
        <strike val="0"/>
        <condense val="0"/>
        <extend val="0"/>
        <outline val="0"/>
        <shadow val="0"/>
        <u val="none"/>
        <vertAlign val="baseline"/>
        <sz val="9"/>
        <color rgb="FF111827"/>
        <name val="Aptos"/>
        <family val="2"/>
        <scheme val="none"/>
      </font>
      <numFmt numFmtId="3" formatCode="#,##0"/>
      <fill>
        <patternFill patternType="solid">
          <fgColor indexed="64"/>
          <bgColor rgb="FFDDEBF7"/>
        </patternFill>
      </fill>
      <alignment horizontal="general" vertical="top" textRotation="0" wrapText="1" indent="0" justifyLastLine="0" shrinkToFit="0" readingOrder="0"/>
      <border diagonalUp="0" diagonalDown="0" outline="0">
        <left/>
        <right/>
        <top style="thin">
          <color rgb="FFD7DEE5"/>
        </top>
        <bottom/>
      </border>
    </dxf>
    <dxf>
      <font>
        <b val="0"/>
        <i val="0"/>
        <strike val="0"/>
        <condense val="0"/>
        <extend val="0"/>
        <outline val="0"/>
        <shadow val="0"/>
        <u val="none"/>
        <vertAlign val="baseline"/>
        <sz val="9"/>
        <color rgb="FF002060"/>
        <name val="Aptos"/>
        <family val="2"/>
        <scheme val="none"/>
      </font>
      <numFmt numFmtId="1" formatCode="0"/>
      <fill>
        <patternFill patternType="solid">
          <fgColor indexed="64"/>
          <bgColor rgb="FFFFF2CC"/>
        </patternFill>
      </fill>
      <alignment horizontal="general" vertical="top" textRotation="0" wrapText="1" indent="0" justifyLastLine="0" shrinkToFit="0" readingOrder="0"/>
      <border diagonalUp="0" diagonalDown="0" outline="0">
        <left style="thin">
          <color rgb="FFD7DEE5"/>
        </left>
        <right/>
        <top style="thin">
          <color rgb="FFD7DEE5"/>
        </top>
        <bottom/>
      </border>
    </dxf>
    <dxf>
      <font>
        <b val="0"/>
        <i val="0"/>
        <strike val="0"/>
        <condense val="0"/>
        <extend val="0"/>
        <outline val="0"/>
        <shadow val="0"/>
        <u val="none"/>
        <vertAlign val="baseline"/>
        <sz val="9"/>
        <color rgb="FF111827"/>
        <name val="Aptos"/>
        <family val="2"/>
        <scheme val="none"/>
      </font>
      <fill>
        <patternFill patternType="solid">
          <fgColor indexed="64"/>
          <bgColor rgb="FFFFFFFF"/>
        </patternFill>
      </fill>
      <alignment horizontal="general" vertical="top" textRotation="0" wrapText="1" indent="0" justifyLastLine="0" shrinkToFit="0" readingOrder="0"/>
      <border diagonalUp="0" diagonalDown="0" outline="0">
        <left/>
        <right style="thin">
          <color rgb="FFD7DEE5"/>
        </right>
        <top style="thin">
          <color rgb="FFD7DEE5"/>
        </top>
        <bottom/>
      </border>
    </dxf>
    <dxf>
      <border outline="0">
        <left style="thin">
          <color rgb="FFD7DEE5"/>
        </left>
        <right style="thin">
          <color rgb="FFD7DEE5"/>
        </right>
        <top style="thin">
          <color rgb="FFD7DEE5"/>
        </top>
        <bottom style="thin">
          <color rgb="FFD7DEE5"/>
        </bottom>
      </border>
    </dxf>
    <dxf>
      <font>
        <b/>
        <i val="0"/>
        <strike val="0"/>
        <condense val="0"/>
        <extend val="0"/>
        <outline val="0"/>
        <shadow val="0"/>
        <u val="none"/>
        <vertAlign val="baseline"/>
        <sz val="10"/>
        <color rgb="FFFFFFFF"/>
        <name val="Aptos"/>
        <family val="2"/>
        <scheme val="none"/>
      </font>
      <fill>
        <patternFill patternType="solid">
          <fgColor indexed="64"/>
          <bgColor rgb="FF33D565"/>
        </patternFill>
      </fill>
      <alignment horizontal="center" vertical="center" textRotation="0" wrapText="1" indent="0" justifyLastLine="0" shrinkToFit="0" readingOrder="0"/>
    </dxf>
    <dxf>
      <font>
        <strike val="0"/>
        <outline val="0"/>
        <shadow val="0"/>
        <u val="none"/>
        <vertAlign val="baseline"/>
        <sz val="9"/>
        <name val="Aptos"/>
        <family val="2"/>
        <scheme val="none"/>
      </font>
      <alignment horizontal="general" vertical="center" textRotation="0" wrapText="1" indent="0" justifyLastLine="0" shrinkToFit="0" readingOrder="0"/>
      <border diagonalUp="0" diagonalDown="0" outline="0">
        <left/>
        <right style="thin">
          <color rgb="FFE5E7EB"/>
        </right>
        <top style="thin">
          <color rgb="FFE5E7EB"/>
        </top>
        <bottom style="thin">
          <color rgb="FFE5E7EB"/>
        </bottom>
      </border>
    </dxf>
    <dxf>
      <font>
        <strike val="0"/>
        <outline val="0"/>
        <shadow val="0"/>
        <u val="none"/>
        <vertAlign val="baseline"/>
        <sz val="9"/>
        <color theme="1"/>
        <name val="Aptos"/>
        <family val="2"/>
        <scheme val="none"/>
      </font>
      <border diagonalUp="0" diagonalDown="0" outline="0">
        <left/>
        <right/>
        <top style="thin">
          <color rgb="FFE5E7EB"/>
        </top>
        <bottom style="thin">
          <color rgb="FFE5E7EB"/>
        </bottom>
      </border>
    </dxf>
    <dxf>
      <font>
        <strike val="0"/>
        <outline val="0"/>
        <shadow val="0"/>
        <u val="none"/>
        <vertAlign val="baseline"/>
        <sz val="9"/>
        <color theme="1"/>
        <name val="Aptos"/>
        <family val="2"/>
        <scheme val="none"/>
      </font>
      <border diagonalUp="0" diagonalDown="0" outline="0">
        <left/>
        <right/>
        <top style="thin">
          <color rgb="FFE5E7EB"/>
        </top>
        <bottom style="thin">
          <color rgb="FFE5E7EB"/>
        </bottom>
      </border>
    </dxf>
    <dxf>
      <font>
        <strike val="0"/>
        <outline val="0"/>
        <shadow val="0"/>
        <u val="none"/>
        <vertAlign val="baseline"/>
        <sz val="9"/>
        <name val="Aptos"/>
        <family val="2"/>
        <scheme val="none"/>
      </font>
      <border diagonalUp="0" diagonalDown="0" outline="0">
        <left/>
        <right/>
        <top style="thin">
          <color rgb="FFE5E7EB"/>
        </top>
        <bottom style="thin">
          <color rgb="FFE5E7EB"/>
        </bottom>
      </border>
    </dxf>
    <dxf>
      <font>
        <strike val="0"/>
        <outline val="0"/>
        <shadow val="0"/>
        <u val="none"/>
        <vertAlign val="baseline"/>
        <sz val="9"/>
        <name val="Aptos"/>
        <family val="2"/>
        <scheme val="none"/>
      </font>
      <border diagonalUp="0" diagonalDown="0">
        <left/>
        <right/>
        <top style="thin">
          <color rgb="FFE5E7EB"/>
        </top>
        <bottom style="thin">
          <color rgb="FFE5E7EB"/>
        </bottom>
        <vertical/>
        <horizontal style="thin">
          <color rgb="FFE5E7EB"/>
        </horizontal>
      </border>
    </dxf>
    <dxf>
      <font>
        <strike val="0"/>
        <outline val="0"/>
        <shadow val="0"/>
        <u val="none"/>
        <vertAlign val="baseline"/>
        <sz val="9"/>
        <name val="Aptos"/>
        <family val="2"/>
        <scheme val="none"/>
      </font>
      <border diagonalUp="0" diagonalDown="0">
        <left style="thin">
          <color rgb="FFE5E7EB"/>
        </left>
        <right/>
        <top style="thin">
          <color rgb="FFE5E7EB"/>
        </top>
        <bottom style="thin">
          <color rgb="FFE5E7EB"/>
        </bottom>
        <vertical/>
        <horizontal style="thin">
          <color rgb="FFE5E7EB"/>
        </horizontal>
      </border>
    </dxf>
    <dxf>
      <font>
        <strike val="0"/>
        <outline val="0"/>
        <shadow val="0"/>
        <u val="none"/>
        <vertAlign val="baseline"/>
        <sz val="9"/>
        <name val="Aptos"/>
        <family val="2"/>
        <scheme val="none"/>
      </font>
    </dxf>
    <dxf>
      <font>
        <strike val="0"/>
        <outline val="0"/>
        <shadow val="0"/>
        <u val="none"/>
        <vertAlign val="baseline"/>
        <sz val="10"/>
        <color rgb="FFFFFFFF"/>
        <name val="Aptos"/>
        <family val="2"/>
        <scheme val="none"/>
      </font>
      <fill>
        <patternFill patternType="solid">
          <fgColor rgb="FF121928"/>
          <bgColor rgb="FF7D5FDF"/>
        </patternFill>
      </fill>
    </dxf>
    <dxf>
      <font>
        <b val="0"/>
        <i/>
        <strike val="0"/>
        <condense val="0"/>
        <extend val="0"/>
        <outline val="0"/>
        <shadow val="0"/>
        <u val="none"/>
        <vertAlign val="baseline"/>
        <sz val="8"/>
        <color rgb="FF44546A"/>
        <name val="Aptos"/>
        <family val="2"/>
        <scheme val="none"/>
      </font>
      <fill>
        <patternFill patternType="solid">
          <fgColor rgb="FFF3F6F9"/>
          <bgColor rgb="FFFFFFFF"/>
        </patternFill>
      </fill>
      <alignment horizontal="general" vertical="center" textRotation="0" wrapText="1" indent="0" justifyLastLine="0" shrinkToFit="0" readingOrder="0"/>
      <border diagonalUp="0" diagonalDown="0">
        <left style="thin">
          <color rgb="FFE5E7EB"/>
        </left>
        <right style="thin">
          <color rgb="FFE5E7EB"/>
        </right>
        <top style="thin">
          <color rgb="FFE5E7EB"/>
        </top>
        <bottom style="thin">
          <color rgb="FFE5E7EB"/>
        </bottom>
        <vertical/>
        <horizontal style="thin">
          <color rgb="FFE5E7EB"/>
        </horizontal>
      </border>
    </dxf>
    <dxf>
      <numFmt numFmtId="184" formatCode="#,##0.00\ &quot;Cr&quot;"/>
    </dxf>
    <dxf>
      <numFmt numFmtId="184" formatCode="#,##0.00\ &quot;Cr&quot;"/>
    </dxf>
    <dxf>
      <numFmt numFmtId="184" formatCode="#,##0.00\ &quot;Cr&quot;"/>
    </dxf>
    <dxf>
      <fill>
        <patternFill patternType="solid">
          <fgColor indexed="64"/>
          <bgColor rgb="FFFFCE33"/>
        </patternFill>
      </fill>
    </dxf>
    <dxf>
      <font>
        <i/>
        <strike val="0"/>
        <outline val="0"/>
        <shadow val="0"/>
        <u val="none"/>
        <vertAlign val="baseline"/>
        <sz val="9"/>
        <color rgb="FF44546A"/>
        <name val="Aptos"/>
        <family val="2"/>
        <scheme val="none"/>
      </font>
      <fill>
        <patternFill patternType="solid">
          <fgColor rgb="FFF3F6F9"/>
          <bgColor rgb="FFFFFFFF"/>
        </patternFill>
      </fill>
      <alignment horizontal="general" vertical="center" textRotation="0" wrapText="1" indent="0" justifyLastLine="0" shrinkToFit="0" readingOrder="0"/>
      <border diagonalUp="0" diagonalDown="0" outline="0">
        <left style="thin">
          <color rgb="FFE5E7EB"/>
        </left>
        <right style="thin">
          <color rgb="FFE5E7EB"/>
        </right>
        <top style="thin">
          <color rgb="FFE5E7EB"/>
        </top>
        <bottom style="thin">
          <color rgb="FFE5E7EB"/>
        </bottom>
      </border>
    </dxf>
    <dxf>
      <font>
        <strike val="0"/>
        <outline val="0"/>
        <shadow val="0"/>
        <u val="none"/>
        <vertAlign val="baseline"/>
        <sz val="9"/>
        <name val="Aptos"/>
        <family val="2"/>
        <scheme val="none"/>
      </font>
      <border outline="0">
        <left style="thin">
          <color rgb="FFE5E7EB"/>
        </left>
        <right style="thin">
          <color rgb="FFE5E7EB"/>
        </right>
      </border>
    </dxf>
    <dxf>
      <font>
        <strike val="0"/>
        <outline val="0"/>
        <shadow val="0"/>
        <u val="none"/>
        <vertAlign val="baseline"/>
        <sz val="9"/>
        <name val="Aptos"/>
        <family val="2"/>
        <scheme val="none"/>
      </font>
      <border outline="0">
        <left style="thin">
          <color rgb="FFE5E7EB"/>
        </left>
        <right style="thin">
          <color rgb="FFE5E7EB"/>
        </right>
      </border>
    </dxf>
    <dxf>
      <font>
        <strike val="0"/>
        <outline val="0"/>
        <shadow val="0"/>
        <u val="none"/>
        <vertAlign val="baseline"/>
        <sz val="9"/>
        <name val="Aptos"/>
        <family val="2"/>
        <scheme val="none"/>
      </font>
      <numFmt numFmtId="4" formatCode="#,##0.00"/>
      <border outline="0">
        <right style="thin">
          <color rgb="FFE5E7EB"/>
        </right>
      </border>
    </dxf>
    <dxf>
      <border outline="0">
        <right style="thin">
          <color rgb="FFE5E7EB"/>
        </right>
      </border>
    </dxf>
    <dxf>
      <fill>
        <patternFill patternType="solid">
          <fgColor indexed="64"/>
          <bgColor rgb="FF77ABDF"/>
        </patternFill>
      </fill>
    </dxf>
    <dxf>
      <border outline="0">
        <left style="thin">
          <color rgb="FFE5E7EB"/>
        </left>
      </border>
    </dxf>
    <dxf>
      <font>
        <strike val="0"/>
        <outline val="0"/>
        <shadow val="0"/>
        <u val="none"/>
        <vertAlign val="baseline"/>
        <sz val="9"/>
        <color theme="1"/>
        <name val="Aptos"/>
        <scheme val="none"/>
      </font>
      <fill>
        <patternFill patternType="solid">
          <fgColor indexed="64"/>
          <bgColor rgb="FFDDEBF7"/>
        </patternFill>
      </fill>
      <border outline="0">
        <left style="thin">
          <color rgb="FFE5E7EB"/>
        </left>
      </border>
    </dxf>
    <dxf>
      <font>
        <strike val="0"/>
        <outline val="0"/>
        <shadow val="0"/>
        <u val="none"/>
        <vertAlign val="baseline"/>
        <sz val="9"/>
        <color theme="1"/>
        <name val="Aptos"/>
        <scheme val="none"/>
      </font>
      <fill>
        <patternFill patternType="solid">
          <fgColor indexed="64"/>
          <bgColor rgb="FFDDEBF7"/>
        </patternFill>
      </fill>
      <border outline="0">
        <right style="thin">
          <color rgb="FFE5E7EB"/>
        </right>
      </border>
    </dxf>
    <dxf>
      <border outline="0">
        <right style="thin">
          <color rgb="FFE5E7EB"/>
        </right>
      </border>
    </dxf>
    <dxf>
      <fill>
        <patternFill patternType="solid">
          <fgColor indexed="64"/>
          <bgColor rgb="FF37A5FF"/>
        </patternFill>
      </fill>
    </dxf>
    <dxf>
      <border outline="0">
        <left style="thin">
          <color rgb="FFE5E7EB"/>
        </left>
      </border>
    </dxf>
    <dxf>
      <font>
        <strike val="0"/>
        <outline val="0"/>
        <shadow val="0"/>
        <u val="none"/>
        <vertAlign val="baseline"/>
        <sz val="9"/>
        <color theme="1"/>
        <name val="Aptos"/>
        <scheme val="none"/>
      </font>
      <numFmt numFmtId="184" formatCode="#,##0.00\ &quot;Cr&quot;"/>
      <border>
        <left style="thin">
          <color rgb="FFE5E7EB"/>
        </left>
      </border>
    </dxf>
    <dxf>
      <font>
        <strike val="0"/>
        <outline val="0"/>
        <shadow val="0"/>
        <u val="none"/>
        <vertAlign val="baseline"/>
        <sz val="9"/>
        <color theme="1"/>
        <name val="Aptos"/>
        <scheme val="none"/>
      </font>
      <numFmt numFmtId="184" formatCode="#,##0.00\ &quot;Cr&quot;"/>
      <border>
        <right style="thin">
          <color rgb="FFE5E7EB"/>
        </right>
      </border>
    </dxf>
    <dxf>
      <numFmt numFmtId="184" formatCode="#,##0.00\ &quot;Cr&quot;"/>
      <border>
        <right style="thin">
          <color rgb="FFE5E7EB"/>
        </right>
      </border>
    </dxf>
    <dxf>
      <fill>
        <patternFill patternType="solid">
          <fgColor indexed="64"/>
          <bgColor rgb="FFFF6A05"/>
        </patternFill>
      </fill>
    </dxf>
    <dxf>
      <fill>
        <patternFill patternType="solid">
          <fgColor indexed="64"/>
          <bgColor theme="0"/>
        </patternFill>
      </fill>
    </dxf>
    <dxf>
      <numFmt numFmtId="164" formatCode="0.0%"/>
      <border outline="0">
        <right style="thin">
          <color rgb="FFE5E7EB"/>
        </right>
      </border>
    </dxf>
    <dxf>
      <numFmt numFmtId="164" formatCode="0.0%"/>
    </dxf>
    <dxf>
      <numFmt numFmtId="164" formatCode="0.0%"/>
    </dxf>
    <dxf>
      <fill>
        <patternFill patternType="solid">
          <fgColor indexed="64"/>
          <bgColor rgb="FF0B3B63"/>
        </patternFill>
      </fill>
    </dxf>
    <dxf>
      <font>
        <color rgb="FFFFFFFF"/>
      </font>
      <fill>
        <patternFill>
          <bgColor rgb="FF27AE60"/>
        </patternFill>
      </fill>
    </dxf>
    <dxf>
      <font>
        <color rgb="FF000000"/>
      </font>
      <fill>
        <patternFill>
          <bgColor rgb="FFF39C12"/>
        </patternFill>
      </fill>
    </dxf>
    <dxf>
      <font>
        <color rgb="FFFFFFFF"/>
      </font>
      <fill>
        <patternFill>
          <bgColor rgb="FFC0392B"/>
        </patternFill>
      </fill>
    </dxf>
    <dxf>
      <font>
        <color theme="0"/>
      </font>
      <fill>
        <patternFill>
          <bgColor rgb="FF27AE60"/>
        </patternFill>
      </fill>
    </dxf>
    <dxf>
      <font>
        <color theme="0"/>
      </font>
      <fill>
        <patternFill>
          <bgColor rgb="FFC0392B"/>
        </patternFill>
      </fill>
    </dxf>
    <dxf>
      <font>
        <color rgb="FFFFFFFF"/>
      </font>
      <fill>
        <patternFill>
          <bgColor rgb="FF27AE60"/>
        </patternFill>
      </fill>
    </dxf>
    <dxf>
      <font>
        <color rgb="FF000000"/>
      </font>
      <fill>
        <patternFill>
          <bgColor rgb="FFF39C12"/>
        </patternFill>
      </fill>
    </dxf>
    <dxf>
      <font>
        <color rgb="FFFFFFFF"/>
      </font>
      <fill>
        <patternFill>
          <bgColor rgb="FFC0392B"/>
        </patternFill>
      </fill>
    </dxf>
    <dxf>
      <font>
        <strike val="0"/>
        <outline val="0"/>
        <shadow val="0"/>
        <u val="none"/>
        <vertAlign val="baseline"/>
        <sz val="9"/>
        <color auto="1"/>
        <name val="Aptos"/>
        <family val="2"/>
        <scheme val="none"/>
      </font>
      <numFmt numFmtId="0" formatCode="General"/>
      <border diagonalUp="0" diagonalDown="0" outline="0">
        <left style="thin">
          <color rgb="FFCBD5E1"/>
        </left>
        <right style="thin">
          <color rgb="FFCBD5E1"/>
        </right>
        <top style="thin">
          <color rgb="FFCBD5E1"/>
        </top>
        <bottom style="thin">
          <color rgb="FFCBD5E1"/>
        </bottom>
      </border>
    </dxf>
    <dxf>
      <font>
        <strike val="0"/>
        <outline val="0"/>
        <shadow val="0"/>
        <u val="none"/>
        <vertAlign val="baseline"/>
        <sz val="9"/>
        <color auto="1"/>
        <name val="Aptos"/>
        <family val="2"/>
        <scheme val="none"/>
      </font>
      <numFmt numFmtId="0" formatCode="General"/>
      <alignment horizontal="general" vertical="bottom" textRotation="0" wrapText="1" indent="0" justifyLastLine="0" shrinkToFit="0" readingOrder="0"/>
      <border diagonalUp="0" diagonalDown="0" outline="0">
        <left style="thin">
          <color rgb="FFCBD5E1"/>
        </left>
        <right style="thin">
          <color rgb="FFCBD5E1"/>
        </right>
        <top style="thin">
          <color rgb="FFCBD5E1"/>
        </top>
        <bottom style="thin">
          <color rgb="FFCBD5E1"/>
        </bottom>
      </border>
    </dxf>
    <dxf>
      <font>
        <b/>
        <strike val="0"/>
        <outline val="0"/>
        <shadow val="0"/>
        <u val="none"/>
        <vertAlign val="baseline"/>
        <sz val="9"/>
        <color auto="1"/>
        <name val="Aptos"/>
        <family val="2"/>
        <scheme val="none"/>
      </font>
      <numFmt numFmtId="0" formatCode="General"/>
      <border diagonalUp="0" diagonalDown="0" outline="0">
        <left style="thin">
          <color rgb="FFCBD5E1"/>
        </left>
        <right style="thin">
          <color rgb="FFCBD5E1"/>
        </right>
        <top style="thin">
          <color rgb="FFCBD5E1"/>
        </top>
        <bottom style="thin">
          <color rgb="FFCBD5E1"/>
        </bottom>
      </border>
    </dxf>
    <dxf>
      <font>
        <strike val="0"/>
        <outline val="0"/>
        <shadow val="0"/>
        <u val="none"/>
        <vertAlign val="baseline"/>
        <sz val="9"/>
        <color auto="1"/>
        <name val="Aptos"/>
        <family val="2"/>
        <scheme val="none"/>
      </font>
      <numFmt numFmtId="0" formatCode="General"/>
      <border diagonalUp="0" diagonalDown="0">
        <left style="thin">
          <color rgb="FFCBD5E1"/>
        </left>
        <right style="thin">
          <color rgb="FFCBD5E1"/>
        </right>
        <top style="thin">
          <color rgb="FFCBD5E1"/>
        </top>
        <bottom style="thin">
          <color rgb="FFCBD5E1"/>
        </bottom>
        <vertical style="thin">
          <color rgb="FFCBD5E1"/>
        </vertical>
        <horizontal style="thin">
          <color rgb="FFCBD5E1"/>
        </horizontal>
      </border>
    </dxf>
    <dxf>
      <font>
        <strike val="0"/>
        <outline val="0"/>
        <shadow val="0"/>
        <u val="none"/>
        <vertAlign val="baseline"/>
        <sz val="9"/>
        <color auto="1"/>
        <name val="Aptos"/>
        <family val="2"/>
        <scheme val="none"/>
      </font>
      <numFmt numFmtId="0" formatCode="General"/>
      <border diagonalUp="0" diagonalDown="0">
        <left style="thin">
          <color rgb="FFCBD5E1"/>
        </left>
        <right style="thin">
          <color rgb="FFCBD5E1"/>
        </right>
        <top style="thin">
          <color rgb="FFCBD5E1"/>
        </top>
        <bottom style="thin">
          <color rgb="FFCBD5E1"/>
        </bottom>
        <vertical style="thin">
          <color rgb="FFCBD5E1"/>
        </vertical>
        <horizontal style="thin">
          <color rgb="FFCBD5E1"/>
        </horizontal>
      </border>
    </dxf>
    <dxf>
      <font>
        <strike val="0"/>
        <outline val="0"/>
        <shadow val="0"/>
        <u val="none"/>
        <vertAlign val="baseline"/>
        <sz val="9"/>
        <color auto="1"/>
        <name val="Aptos"/>
        <family val="2"/>
        <scheme val="none"/>
      </font>
      <numFmt numFmtId="0" formatCode="General"/>
      <border diagonalUp="0" diagonalDown="0">
        <left style="thin">
          <color rgb="FFCBD5E1"/>
        </left>
        <right style="thin">
          <color rgb="FFCBD5E1"/>
        </right>
        <top style="thin">
          <color rgb="FFCBD5E1"/>
        </top>
        <bottom style="thin">
          <color rgb="FFCBD5E1"/>
        </bottom>
        <vertical style="thin">
          <color rgb="FFCBD5E1"/>
        </vertical>
        <horizontal style="thin">
          <color rgb="FFCBD5E1"/>
        </horizontal>
      </border>
    </dxf>
    <dxf>
      <font>
        <strike val="0"/>
        <outline val="0"/>
        <shadow val="0"/>
        <u val="none"/>
        <vertAlign val="baseline"/>
        <sz val="9"/>
        <color auto="1"/>
        <name val="Aptos"/>
        <family val="2"/>
        <scheme val="none"/>
      </font>
      <numFmt numFmtId="0" formatCode="General"/>
      <border diagonalUp="0" diagonalDown="0">
        <left style="thin">
          <color rgb="FFCBD5E1"/>
        </left>
        <right style="thin">
          <color rgb="FFCBD5E1"/>
        </right>
        <top style="thin">
          <color rgb="FFCBD5E1"/>
        </top>
        <bottom style="thin">
          <color rgb="FFCBD5E1"/>
        </bottom>
        <vertical style="thin">
          <color rgb="FFCBD5E1"/>
        </vertical>
        <horizontal style="thin">
          <color rgb="FFCBD5E1"/>
        </horizontal>
      </border>
    </dxf>
    <dxf>
      <font>
        <strike val="0"/>
        <outline val="0"/>
        <shadow val="0"/>
        <u val="none"/>
        <vertAlign val="baseline"/>
        <sz val="9"/>
        <color auto="1"/>
        <name val="Aptos"/>
        <family val="2"/>
        <scheme val="none"/>
      </font>
      <numFmt numFmtId="0" formatCode="General"/>
      <border diagonalUp="0" diagonalDown="0" outline="0">
        <left style="thin">
          <color rgb="FFCBD5E1"/>
        </left>
        <right style="thin">
          <color rgb="FFCBD5E1"/>
        </right>
        <top style="thin">
          <color rgb="FFCBD5E1"/>
        </top>
        <bottom style="thin">
          <color rgb="FFCBD5E1"/>
        </bottom>
      </border>
    </dxf>
    <dxf>
      <font>
        <strike val="0"/>
        <outline val="0"/>
        <shadow val="0"/>
        <u val="none"/>
        <vertAlign val="baseline"/>
        <sz val="9"/>
        <color auto="1"/>
        <name val="Aptos"/>
        <family val="2"/>
        <scheme val="none"/>
      </font>
      <numFmt numFmtId="1" formatCode="0"/>
      <border diagonalUp="0" diagonalDown="0">
        <left style="thin">
          <color rgb="FFCBD5E1"/>
        </left>
        <right style="thin">
          <color rgb="FFCBD5E1"/>
        </right>
        <top style="thin">
          <color rgb="FFCBD5E1"/>
        </top>
        <bottom style="thin">
          <color rgb="FFCBD5E1"/>
        </bottom>
      </border>
    </dxf>
    <dxf>
      <font>
        <strike val="0"/>
        <outline val="0"/>
        <shadow val="0"/>
        <u val="none"/>
        <vertAlign val="baseline"/>
        <sz val="9"/>
        <color auto="1"/>
        <name val="Aptos"/>
        <family val="2"/>
        <scheme val="none"/>
      </font>
      <numFmt numFmtId="0" formatCode="General"/>
      <border diagonalUp="0" diagonalDown="0" outline="0">
        <left style="thin">
          <color rgb="FFCBD5E1"/>
        </left>
        <right style="thin">
          <color rgb="FFCBD5E1"/>
        </right>
        <top style="thin">
          <color rgb="FFCBD5E1"/>
        </top>
        <bottom style="thin">
          <color rgb="FFCBD5E1"/>
        </bottom>
      </border>
    </dxf>
    <dxf>
      <font>
        <strike val="0"/>
        <outline val="0"/>
        <shadow val="0"/>
        <u val="none"/>
        <vertAlign val="baseline"/>
        <sz val="9"/>
        <color auto="1"/>
        <name val="Aptos"/>
        <family val="2"/>
        <scheme val="none"/>
      </font>
      <numFmt numFmtId="164" formatCode="0.0%"/>
      <border diagonalUp="0" diagonalDown="0">
        <left style="thin">
          <color rgb="FFCBD5E1"/>
        </left>
        <right style="thin">
          <color rgb="FFCBD5E1"/>
        </right>
        <top style="thin">
          <color rgb="FFCBD5E1"/>
        </top>
        <bottom style="thin">
          <color rgb="FFCBD5E1"/>
        </bottom>
        <vertical style="thin">
          <color rgb="FFCBD5E1"/>
        </vertical>
        <horizontal style="thin">
          <color rgb="FFCBD5E1"/>
        </horizontal>
      </border>
    </dxf>
    <dxf>
      <font>
        <strike val="0"/>
        <outline val="0"/>
        <shadow val="0"/>
        <u val="none"/>
        <vertAlign val="baseline"/>
        <sz val="9"/>
        <color auto="1"/>
        <name val="Aptos"/>
        <family val="2"/>
        <scheme val="none"/>
      </font>
      <numFmt numFmtId="164" formatCode="0.0%"/>
      <border diagonalUp="0" diagonalDown="0">
        <left style="thin">
          <color rgb="FFCBD5E1"/>
        </left>
        <right style="thin">
          <color rgb="FFCBD5E1"/>
        </right>
        <top style="thin">
          <color rgb="FFCBD5E1"/>
        </top>
        <bottom style="thin">
          <color rgb="FFCBD5E1"/>
        </bottom>
        <vertical style="thin">
          <color rgb="FFCBD5E1"/>
        </vertical>
        <horizontal style="thin">
          <color rgb="FFCBD5E1"/>
        </horizontal>
      </border>
    </dxf>
    <dxf>
      <font>
        <strike val="0"/>
        <outline val="0"/>
        <shadow val="0"/>
        <u val="none"/>
        <vertAlign val="baseline"/>
        <sz val="9"/>
        <color auto="1"/>
        <name val="Aptos"/>
        <family val="2"/>
        <scheme val="none"/>
      </font>
      <numFmt numFmtId="4" formatCode="#,##0.00"/>
      <border diagonalUp="0" diagonalDown="0">
        <left style="thin">
          <color rgb="FFCBD5E1"/>
        </left>
        <right style="thin">
          <color rgb="FFCBD5E1"/>
        </right>
        <top style="thin">
          <color rgb="FFCBD5E1"/>
        </top>
        <bottom style="thin">
          <color rgb="FFCBD5E1"/>
        </bottom>
        <vertical style="thin">
          <color rgb="FFCBD5E1"/>
        </vertical>
        <horizontal style="thin">
          <color rgb="FFCBD5E1"/>
        </horizontal>
      </border>
    </dxf>
    <dxf>
      <font>
        <strike val="0"/>
        <outline val="0"/>
        <shadow val="0"/>
        <u val="none"/>
        <vertAlign val="baseline"/>
        <sz val="9"/>
        <color auto="1"/>
        <name val="Aptos"/>
        <family val="2"/>
        <scheme val="none"/>
      </font>
      <numFmt numFmtId="4" formatCode="#,##0.00"/>
      <border diagonalUp="0" diagonalDown="0" outline="0">
        <left style="thin">
          <color rgb="FFCBD5E1"/>
        </left>
        <right style="thin">
          <color rgb="FFCBD5E1"/>
        </right>
        <top style="thin">
          <color rgb="FFCBD5E1"/>
        </top>
        <bottom style="thin">
          <color rgb="FFCBD5E1"/>
        </bottom>
      </border>
    </dxf>
    <dxf>
      <font>
        <b val="0"/>
        <i val="0"/>
        <strike val="0"/>
        <condense val="0"/>
        <extend val="0"/>
        <outline val="0"/>
        <shadow val="0"/>
        <u val="none"/>
        <vertAlign val="baseline"/>
        <sz val="9"/>
        <color auto="1"/>
        <name val="Aptos"/>
        <family val="2"/>
        <scheme val="none"/>
      </font>
      <numFmt numFmtId="164" formatCode="0.0%"/>
      <fill>
        <patternFill patternType="solid">
          <fgColor indexed="64"/>
          <bgColor rgb="FFFFE4E6"/>
        </patternFill>
      </fill>
      <border diagonalUp="0" diagonalDown="0">
        <left style="thin">
          <color rgb="FFCBD5E1"/>
        </left>
        <right style="thin">
          <color rgb="FFCBD5E1"/>
        </right>
        <top style="thin">
          <color rgb="FFCBD5E1"/>
        </top>
        <bottom style="thin">
          <color rgb="FFCBD5E1"/>
        </bottom>
      </border>
    </dxf>
    <dxf>
      <font>
        <strike val="0"/>
        <outline val="0"/>
        <shadow val="0"/>
        <u val="none"/>
        <vertAlign val="baseline"/>
        <sz val="9"/>
        <color auto="1"/>
        <name val="Aptos"/>
        <family val="2"/>
        <scheme val="none"/>
      </font>
      <numFmt numFmtId="4" formatCode="#,##0.00"/>
      <border diagonalUp="0" diagonalDown="0" outline="0">
        <left style="thin">
          <color rgb="FFCBD5E1"/>
        </left>
        <right style="thin">
          <color rgb="FFCBD5E1"/>
        </right>
        <top style="thin">
          <color rgb="FFCBD5E1"/>
        </top>
        <bottom style="thin">
          <color rgb="FFCBD5E1"/>
        </bottom>
      </border>
    </dxf>
    <dxf>
      <font>
        <strike val="0"/>
        <outline val="0"/>
        <shadow val="0"/>
        <u val="none"/>
        <vertAlign val="baseline"/>
        <sz val="9"/>
        <color auto="1"/>
        <name val="Aptos"/>
        <family val="2"/>
        <scheme val="none"/>
      </font>
      <numFmt numFmtId="4" formatCode="#,##0.00"/>
      <border diagonalUp="0" diagonalDown="0">
        <left style="thin">
          <color rgb="FFCBD5E1"/>
        </left>
        <right style="thin">
          <color rgb="FFCBD5E1"/>
        </right>
        <top style="thin">
          <color rgb="FFCBD5E1"/>
        </top>
        <bottom style="thin">
          <color rgb="FFCBD5E1"/>
        </bottom>
        <vertical style="thin">
          <color rgb="FFCBD5E1"/>
        </vertical>
        <horizontal style="thin">
          <color rgb="FFCBD5E1"/>
        </horizontal>
      </border>
    </dxf>
    <dxf>
      <font>
        <strike val="0"/>
        <outline val="0"/>
        <shadow val="0"/>
        <u val="none"/>
        <vertAlign val="baseline"/>
        <sz val="9"/>
        <color auto="1"/>
        <name val="Aptos"/>
        <family val="2"/>
        <scheme val="none"/>
      </font>
      <numFmt numFmtId="4" formatCode="#,##0.00"/>
      <border diagonalUp="0" diagonalDown="0" outline="0">
        <left style="thin">
          <color rgb="FFCBD5E1"/>
        </left>
        <right style="thin">
          <color rgb="FFCBD5E1"/>
        </right>
        <top style="thin">
          <color rgb="FFCBD5E1"/>
        </top>
        <bottom style="thin">
          <color rgb="FFCBD5E1"/>
        </bottom>
      </border>
    </dxf>
    <dxf>
      <font>
        <b val="0"/>
        <i val="0"/>
        <strike val="0"/>
        <condense val="0"/>
        <extend val="0"/>
        <outline val="0"/>
        <shadow val="0"/>
        <u val="none"/>
        <vertAlign val="baseline"/>
        <sz val="9"/>
        <color rgb="FF1F4E9C"/>
        <name val="Calibri"/>
        <family val="2"/>
        <scheme val="none"/>
      </font>
      <fill>
        <patternFill patternType="solid">
          <fgColor indexed="64"/>
          <bgColor rgb="FFFEE2E2"/>
        </patternFill>
      </fill>
      <alignment horizontal="center" vertical="center" textRotation="0" wrapText="0" indent="0" justifyLastLine="0" shrinkToFit="0" readingOrder="0"/>
      <border diagonalUp="0" diagonalDown="0" outline="0">
        <left style="thin">
          <color rgb="FFCBD5E1"/>
        </left>
        <right style="thin">
          <color rgb="FFCBD5E1"/>
        </right>
        <top style="thin">
          <color rgb="FFCBD5E1"/>
        </top>
        <bottom style="thin">
          <color rgb="FFCBD5E1"/>
        </bottom>
      </border>
    </dxf>
    <dxf>
      <font>
        <b val="0"/>
        <i val="0"/>
        <strike val="0"/>
        <condense val="0"/>
        <extend val="0"/>
        <outline val="0"/>
        <shadow val="0"/>
        <u val="none"/>
        <vertAlign val="baseline"/>
        <sz val="9"/>
        <color theme="1"/>
        <name val="Calibri"/>
        <family val="2"/>
        <scheme val="none"/>
      </font>
      <numFmt numFmtId="2" formatCode="0.00"/>
      <fill>
        <patternFill patternType="solid">
          <fgColor indexed="64"/>
          <bgColor rgb="FFFFE4E6"/>
        </patternFill>
      </fill>
      <alignment horizontal="center" vertical="center" textRotation="0" wrapText="0" indent="0" justifyLastLine="0" shrinkToFit="0" readingOrder="0"/>
      <border diagonalUp="0" diagonalDown="0" outline="0">
        <left style="thin">
          <color rgb="FFCBD5E1"/>
        </left>
        <right style="thin">
          <color rgb="FFCBD5E1"/>
        </right>
        <top style="thin">
          <color rgb="FFCBD5E1"/>
        </top>
        <bottom style="thin">
          <color rgb="FFCBD5E1"/>
        </bottom>
      </border>
    </dxf>
    <dxf>
      <font>
        <b val="0"/>
        <i val="0"/>
        <strike val="0"/>
        <condense val="0"/>
        <extend val="0"/>
        <outline val="0"/>
        <shadow val="0"/>
        <u val="none"/>
        <vertAlign val="baseline"/>
        <sz val="9"/>
        <color rgb="FF1F4E9C"/>
        <name val="Calibri"/>
        <family val="2"/>
        <scheme val="none"/>
      </font>
      <numFmt numFmtId="2" formatCode="0.00"/>
      <fill>
        <patternFill patternType="solid">
          <fgColor indexed="64"/>
          <bgColor rgb="FFFEE2E2"/>
        </patternFill>
      </fill>
      <alignment horizontal="center" vertical="center" textRotation="0" wrapText="0" indent="0" justifyLastLine="0" shrinkToFit="0" readingOrder="0"/>
      <border diagonalUp="0" diagonalDown="0" outline="0">
        <left style="thin">
          <color rgb="FFCBD5E1"/>
        </left>
        <right style="thin">
          <color rgb="FFCBD5E1"/>
        </right>
        <top style="thin">
          <color rgb="FFCBD5E1"/>
        </top>
        <bottom style="thin">
          <color rgb="FFCBD5E1"/>
        </bottom>
      </border>
    </dxf>
    <dxf>
      <font>
        <b val="0"/>
        <i val="0"/>
        <strike val="0"/>
        <condense val="0"/>
        <extend val="0"/>
        <outline val="0"/>
        <shadow val="0"/>
        <u val="none"/>
        <vertAlign val="baseline"/>
        <sz val="9"/>
        <color rgb="FF1F4E9C"/>
        <name val="Calibri"/>
        <family val="2"/>
        <scheme val="none"/>
      </font>
      <numFmt numFmtId="174" formatCode="0.00000"/>
      <fill>
        <patternFill patternType="solid">
          <fgColor indexed="64"/>
          <bgColor rgb="FFFEE2E2"/>
        </patternFill>
      </fill>
      <alignment horizontal="center" vertical="center" textRotation="0" wrapText="0" indent="0" justifyLastLine="0" shrinkToFit="0" readingOrder="0"/>
      <border diagonalUp="0" diagonalDown="0" outline="0">
        <left style="thin">
          <color rgb="FFCBD5E1"/>
        </left>
        <right style="thin">
          <color rgb="FFCBD5E1"/>
        </right>
        <top style="thin">
          <color rgb="FFCBD5E1"/>
        </top>
        <bottom style="thin">
          <color rgb="FFCBD5E1"/>
        </bottom>
      </border>
    </dxf>
    <dxf>
      <font>
        <b val="0"/>
        <i val="0"/>
        <strike val="0"/>
        <condense val="0"/>
        <extend val="0"/>
        <outline val="0"/>
        <shadow val="0"/>
        <u val="none"/>
        <vertAlign val="baseline"/>
        <sz val="9"/>
        <color rgb="FF1F4E9C"/>
        <name val="Calibri"/>
        <family val="2"/>
        <scheme val="none"/>
      </font>
      <numFmt numFmtId="174" formatCode="0.00000"/>
      <fill>
        <patternFill patternType="solid">
          <fgColor indexed="64"/>
          <bgColor rgb="FFFEE2E2"/>
        </patternFill>
      </fill>
      <alignment horizontal="center" vertical="center" textRotation="0" wrapText="0" indent="0" justifyLastLine="0" shrinkToFit="0" readingOrder="0"/>
      <border diagonalUp="0" diagonalDown="0" outline="0">
        <left/>
        <right style="thin">
          <color rgb="FFCBD5E1"/>
        </right>
        <top style="thin">
          <color rgb="FFCBD5E1"/>
        </top>
        <bottom style="thin">
          <color rgb="FFCBD5E1"/>
        </bottom>
      </border>
    </dxf>
    <dxf>
      <font>
        <b val="0"/>
        <i val="0"/>
        <strike val="0"/>
        <condense val="0"/>
        <extend val="0"/>
        <outline val="0"/>
        <shadow val="0"/>
        <u val="none"/>
        <vertAlign val="baseline"/>
        <sz val="9"/>
        <color theme="1"/>
        <name val="Calibri"/>
        <family val="2"/>
        <scheme val="none"/>
      </font>
      <fill>
        <patternFill patternType="solid">
          <fgColor indexed="64"/>
          <bgColor rgb="FFFEE2E2"/>
        </patternFill>
      </fill>
      <alignment horizontal="center" vertical="center" textRotation="0" wrapText="0" indent="0" justifyLastLine="0" shrinkToFit="0" readingOrder="0"/>
      <border diagonalUp="0" diagonalDown="0" outline="0">
        <left style="thin">
          <color rgb="FFCBD5E1"/>
        </left>
        <right style="thin">
          <color rgb="FFCBD5E1"/>
        </right>
        <top style="thin">
          <color rgb="FFCBD5E1"/>
        </top>
        <bottom style="thin">
          <color rgb="FFCBD5E1"/>
        </bottom>
      </border>
    </dxf>
    <dxf>
      <font>
        <b/>
        <i val="0"/>
        <strike val="0"/>
        <condense val="0"/>
        <extend val="0"/>
        <outline val="0"/>
        <shadow val="0"/>
        <u val="none"/>
        <vertAlign val="baseline"/>
        <sz val="9"/>
        <color rgb="FF991B1B"/>
        <name val="Calibri"/>
        <family val="2"/>
        <scheme val="none"/>
      </font>
      <fill>
        <patternFill patternType="solid">
          <fgColor indexed="64"/>
          <bgColor rgb="FFFEE2E2"/>
        </patternFill>
      </fill>
      <alignment horizontal="center" vertical="center" textRotation="0" wrapText="0" indent="0" justifyLastLine="0" shrinkToFit="0" readingOrder="0"/>
      <border diagonalUp="0" diagonalDown="0" outline="0">
        <left style="thin">
          <color rgb="FFCBD5E1"/>
        </left>
        <right/>
        <top style="thin">
          <color rgb="FFCBD5E1"/>
        </top>
        <bottom style="thin">
          <color rgb="FFCBD5E1"/>
        </bottom>
      </border>
    </dxf>
    <dxf>
      <font>
        <b val="0"/>
        <i val="0"/>
        <strike val="0"/>
        <condense val="0"/>
        <extend val="0"/>
        <outline val="0"/>
        <shadow val="0"/>
        <u val="none"/>
        <vertAlign val="baseline"/>
        <sz val="9"/>
        <color rgb="FF1E293B"/>
        <name val="Calibri"/>
        <family val="2"/>
        <scheme val="none"/>
      </font>
      <fill>
        <patternFill patternType="solid">
          <fgColor indexed="64"/>
          <bgColor rgb="FFFFE4E6"/>
        </patternFill>
      </fill>
      <alignment horizontal="center" vertical="center" textRotation="0" wrapText="1" indent="0" justifyLastLine="0" shrinkToFit="0" readingOrder="0"/>
      <border diagonalUp="0" diagonalDown="0">
        <left style="thin">
          <color rgb="FFCBD5E1"/>
        </left>
        <right style="thin">
          <color rgb="FFCBD5E1"/>
        </right>
        <top style="thin">
          <color rgb="FFCBD5E1"/>
        </top>
        <bottom style="thin">
          <color rgb="FFCBD5E1"/>
        </bottom>
        <vertical/>
        <horizontal/>
      </border>
    </dxf>
    <dxf>
      <font>
        <b val="0"/>
        <i val="0"/>
        <strike val="0"/>
        <condense val="0"/>
        <extend val="0"/>
        <outline val="0"/>
        <shadow val="0"/>
        <u val="none"/>
        <vertAlign val="baseline"/>
        <sz val="9"/>
        <color rgb="FF1E293B"/>
        <name val="Calibri"/>
        <family val="2"/>
        <scheme val="none"/>
      </font>
      <fill>
        <patternFill patternType="solid">
          <fgColor indexed="64"/>
          <bgColor rgb="FFFFE4E6"/>
        </patternFill>
      </fill>
      <alignment horizontal="center" vertical="center" textRotation="0" wrapText="1" indent="0" justifyLastLine="0" shrinkToFit="0" readingOrder="0"/>
      <border diagonalUp="0" diagonalDown="0">
        <left style="thin">
          <color rgb="FFCBD5E1"/>
        </left>
        <right style="thin">
          <color rgb="FFCBD5E1"/>
        </right>
        <top style="thin">
          <color rgb="FFCBD5E1"/>
        </top>
        <bottom style="thin">
          <color rgb="FFCBD5E1"/>
        </bottom>
        <vertical/>
        <horizontal/>
      </border>
    </dxf>
    <dxf>
      <font>
        <b val="0"/>
        <i val="0"/>
        <strike val="0"/>
        <condense val="0"/>
        <extend val="0"/>
        <outline val="0"/>
        <shadow val="0"/>
        <u val="none"/>
        <vertAlign val="baseline"/>
        <sz val="9"/>
        <color rgb="FF334155"/>
        <name val="Calibri"/>
        <family val="2"/>
        <scheme val="none"/>
      </font>
      <fill>
        <patternFill patternType="solid">
          <fgColor indexed="64"/>
          <bgColor rgb="FFFFE4E6"/>
        </patternFill>
      </fill>
      <alignment horizontal="center" vertical="center" textRotation="0" wrapText="0" indent="0" justifyLastLine="0" shrinkToFit="0" readingOrder="0"/>
      <border diagonalUp="0" diagonalDown="0" outline="0">
        <left style="thin">
          <color rgb="FFCBD5E1"/>
        </left>
        <right style="thin">
          <color rgb="FFCBD5E1"/>
        </right>
        <top style="thin">
          <color rgb="FFCBD5E1"/>
        </top>
        <bottom style="thin">
          <color rgb="FFCBD5E1"/>
        </bottom>
      </border>
    </dxf>
    <dxf>
      <font>
        <b/>
        <i val="0"/>
        <strike val="0"/>
        <condense val="0"/>
        <extend val="0"/>
        <outline val="0"/>
        <shadow val="0"/>
        <u val="none"/>
        <vertAlign val="baseline"/>
        <sz val="9"/>
        <color rgb="FF881337"/>
        <name val="Calibri"/>
        <family val="2"/>
        <scheme val="none"/>
      </font>
      <numFmt numFmtId="164" formatCode="0.0%"/>
      <fill>
        <patternFill patternType="solid">
          <fgColor indexed="64"/>
          <bgColor rgb="FFFFE4E6"/>
        </patternFill>
      </fill>
      <alignment horizontal="center" vertical="center" textRotation="0" wrapText="0" indent="0" justifyLastLine="0" shrinkToFit="0" readingOrder="0"/>
      <border diagonalUp="0" diagonalDown="0">
        <left style="thin">
          <color rgb="FFCBD5E1"/>
        </left>
        <right style="thin">
          <color rgb="FFCBD5E1"/>
        </right>
        <top style="thin">
          <color rgb="FFCBD5E1"/>
        </top>
        <bottom style="thin">
          <color rgb="FFCBD5E1"/>
        </bottom>
      </border>
    </dxf>
    <dxf>
      <font>
        <b val="0"/>
        <i val="0"/>
        <strike val="0"/>
        <condense val="0"/>
        <extend val="0"/>
        <outline val="0"/>
        <shadow val="0"/>
        <u val="none"/>
        <vertAlign val="baseline"/>
        <sz val="9"/>
        <color rgb="FF334155"/>
        <name val="Calibri"/>
        <family val="2"/>
        <scheme val="none"/>
      </font>
      <fill>
        <patternFill patternType="solid">
          <fgColor indexed="64"/>
          <bgColor rgb="FFFFE4E6"/>
        </patternFill>
      </fill>
      <alignment horizontal="center" vertical="center" textRotation="0" wrapText="0" indent="0" justifyLastLine="0" shrinkToFit="0" readingOrder="0"/>
      <border diagonalUp="0" diagonalDown="0" outline="0">
        <left style="thin">
          <color rgb="FFCBD5E1"/>
        </left>
        <right style="thin">
          <color rgb="FFCBD5E1"/>
        </right>
        <top style="thin">
          <color rgb="FFCBD5E1"/>
        </top>
        <bottom style="thin">
          <color rgb="FFCBD5E1"/>
        </bottom>
      </border>
    </dxf>
    <dxf>
      <font>
        <b val="0"/>
        <i val="0"/>
        <strike val="0"/>
        <condense val="0"/>
        <extend val="0"/>
        <outline val="0"/>
        <shadow val="0"/>
        <u val="none"/>
        <vertAlign val="baseline"/>
        <sz val="9"/>
        <color rgb="FF153D64"/>
        <name val="Calibri"/>
        <family val="2"/>
        <scheme val="none"/>
      </font>
      <numFmt numFmtId="2" formatCode="0.00"/>
      <fill>
        <patternFill patternType="solid">
          <fgColor indexed="64"/>
          <bgColor rgb="FFFFE4E6"/>
        </patternFill>
      </fill>
      <alignment horizontal="center" vertical="center" textRotation="0" wrapText="0" indent="0" justifyLastLine="0" shrinkToFit="0" readingOrder="0"/>
      <border diagonalUp="0" diagonalDown="0">
        <left style="thin">
          <color rgb="FFCBD5E1"/>
        </left>
        <right style="thin">
          <color rgb="FFCBD5E1"/>
        </right>
        <top style="thin">
          <color rgb="FFCBD5E1"/>
        </top>
        <bottom style="thin">
          <color rgb="FFCBD5E1"/>
        </bottom>
      </border>
    </dxf>
    <dxf>
      <font>
        <b val="0"/>
        <i val="0"/>
        <strike val="0"/>
        <condense val="0"/>
        <extend val="0"/>
        <outline val="0"/>
        <shadow val="0"/>
        <u val="none"/>
        <vertAlign val="baseline"/>
        <sz val="9"/>
        <color rgb="FF1E293B"/>
        <name val="Calibri"/>
        <family val="2"/>
        <scheme val="none"/>
      </font>
      <fill>
        <patternFill patternType="solid">
          <fgColor indexed="64"/>
          <bgColor rgb="FFFFE4E6"/>
        </patternFill>
      </fill>
      <alignment horizontal="center" vertical="center" textRotation="0" wrapText="0" indent="0" justifyLastLine="0" shrinkToFit="0" readingOrder="0"/>
      <border diagonalUp="0" diagonalDown="0" outline="0">
        <left style="thin">
          <color rgb="FFCBD5E1"/>
        </left>
        <right style="thin">
          <color rgb="FFCBD5E1"/>
        </right>
        <top style="thin">
          <color rgb="FFCBD5E1"/>
        </top>
        <bottom style="thin">
          <color rgb="FFCBD5E1"/>
        </bottom>
      </border>
    </dxf>
    <dxf>
      <font>
        <b/>
        <i val="0"/>
        <strike val="0"/>
        <condense val="0"/>
        <extend val="0"/>
        <outline val="0"/>
        <shadow val="0"/>
        <u val="none"/>
        <vertAlign val="baseline"/>
        <sz val="9"/>
        <color rgb="FF881337"/>
        <name val="Calibri"/>
        <family val="2"/>
        <scheme val="none"/>
      </font>
      <fill>
        <patternFill patternType="solid">
          <fgColor indexed="64"/>
          <bgColor rgb="FFFFE4E6"/>
        </patternFill>
      </fill>
      <alignment horizontal="center" vertical="center" textRotation="0" wrapText="0" indent="0" justifyLastLine="0" shrinkToFit="0" readingOrder="0"/>
      <border diagonalUp="0" diagonalDown="0">
        <left style="thin">
          <color rgb="FFCBD5E1"/>
        </left>
        <right style="thin">
          <color rgb="FFCBD5E1"/>
        </right>
        <top style="thin">
          <color rgb="FFCBD5E1"/>
        </top>
        <bottom style="thin">
          <color rgb="FFCBD5E1"/>
        </bottom>
        <vertical/>
        <horizontal/>
      </border>
    </dxf>
    <dxf>
      <font>
        <b/>
        <i val="0"/>
        <strike val="0"/>
        <condense val="0"/>
        <extend val="0"/>
        <outline val="0"/>
        <shadow val="0"/>
        <u val="none"/>
        <vertAlign val="baseline"/>
        <sz val="8"/>
        <color rgb="FFFFFFFF"/>
        <name val="Calibri"/>
        <family val="2"/>
        <scheme val="none"/>
      </font>
      <fill>
        <patternFill patternType="solid">
          <fgColor indexed="64"/>
          <bgColor rgb="FFBE123C"/>
        </patternFill>
      </fill>
      <alignment horizontal="center" vertical="center" textRotation="0" wrapText="0" indent="0" justifyLastLine="0" shrinkToFit="0" readingOrder="0"/>
      <border diagonalUp="0" diagonalDown="0">
        <left style="thin">
          <color rgb="FFCBD5E1"/>
        </left>
        <right style="thin">
          <color rgb="FFCBD5E1"/>
        </right>
        <top style="thin">
          <color rgb="FFCBD5E1"/>
        </top>
        <bottom style="thin">
          <color rgb="FFCBD5E1"/>
        </bottom>
        <vertical/>
        <horizontal/>
      </border>
    </dxf>
    <dxf>
      <border outline="0">
        <top style="thin">
          <color rgb="FFD7DEE5"/>
        </top>
        <bottom style="thin">
          <color rgb="FFCBD5E1"/>
        </bottom>
      </border>
    </dxf>
    <dxf>
      <font>
        <b/>
        <i val="0"/>
        <strike val="0"/>
        <condense val="0"/>
        <extend val="0"/>
        <outline val="0"/>
        <shadow val="0"/>
        <u val="none"/>
        <vertAlign val="baseline"/>
        <sz val="10"/>
        <color rgb="FFFFFFFF"/>
        <name val="Aptos"/>
        <family val="2"/>
        <scheme val="none"/>
      </font>
      <fill>
        <patternFill patternType="solid">
          <fgColor indexed="64"/>
          <bgColor rgb="FF102A43"/>
        </patternFill>
      </fill>
      <alignment horizontal="center" vertical="center" textRotation="0" wrapText="1" indent="0" justifyLastLine="0" shrinkToFit="0" readingOrder="0"/>
      <border diagonalUp="0" diagonalDown="0" outline="0">
        <left style="thin">
          <color rgb="FFD7DEE5"/>
        </left>
        <right style="thin">
          <color rgb="FFD7DEE5"/>
        </right>
        <top/>
        <bottom/>
      </border>
    </dxf>
    <dxf>
      <font>
        <color indexed="17"/>
      </font>
      <fill>
        <patternFill>
          <bgColor indexed="42"/>
        </patternFill>
      </fill>
    </dxf>
    <dxf>
      <font>
        <color indexed="53"/>
      </font>
      <fill>
        <patternFill>
          <bgColor indexed="43"/>
        </patternFill>
      </fill>
    </dxf>
    <dxf>
      <font>
        <color indexed="10"/>
      </font>
      <fill>
        <patternFill>
          <bgColor indexed="45"/>
        </patternFill>
      </fill>
    </dxf>
    <dxf>
      <font>
        <color indexed="17"/>
      </font>
      <fill>
        <patternFill>
          <bgColor indexed="42"/>
        </patternFill>
      </fill>
    </dxf>
    <dxf>
      <font>
        <color indexed="53"/>
      </font>
      <fill>
        <patternFill>
          <bgColor indexed="43"/>
        </patternFill>
      </fill>
    </dxf>
    <dxf>
      <font>
        <color indexed="10"/>
      </font>
      <fill>
        <patternFill>
          <bgColor indexed="45"/>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b val="0"/>
        <i val="0"/>
        <strike val="0"/>
        <condense val="0"/>
        <extend val="0"/>
        <outline val="0"/>
        <shadow val="0"/>
        <u val="none"/>
        <vertAlign val="baseline"/>
        <sz val="10"/>
        <color theme="1"/>
        <name val="Aptos"/>
        <family val="2"/>
        <scheme val="none"/>
      </font>
      <numFmt numFmtId="2" formatCode="0.00"/>
      <fill>
        <patternFill patternType="solid">
          <fgColor indexed="64"/>
          <bgColor rgb="FFE9EEF3"/>
        </patternFill>
      </fill>
      <border diagonalUp="0" diagonalDown="0" outline="0">
        <left style="thin">
          <color rgb="FFE9EEF3"/>
        </left>
        <right style="thin">
          <color rgb="FFE9EEF3"/>
        </right>
        <top style="thin">
          <color rgb="FFE9EEF3"/>
        </top>
        <bottom/>
      </border>
    </dxf>
    <dxf>
      <font>
        <b val="0"/>
        <i val="0"/>
        <strike val="0"/>
        <condense val="0"/>
        <extend val="0"/>
        <outline val="0"/>
        <shadow val="0"/>
        <u val="none"/>
        <vertAlign val="baseline"/>
        <sz val="10"/>
        <color theme="1"/>
        <name val="Aptos"/>
        <family val="2"/>
        <scheme val="none"/>
      </font>
      <numFmt numFmtId="166" formatCode="[$₹-4009]\ #,##0.00"/>
      <fill>
        <patternFill patternType="solid">
          <fgColor indexed="64"/>
          <bgColor rgb="FFE9EEF3"/>
        </patternFill>
      </fill>
      <border diagonalUp="0" diagonalDown="0" outline="0">
        <left style="thin">
          <color rgb="FFE9EEF3"/>
        </left>
        <right style="thin">
          <color rgb="FFE9EEF3"/>
        </right>
        <top style="thin">
          <color rgb="FFE9EEF3"/>
        </top>
        <bottom/>
      </border>
    </dxf>
    <dxf>
      <font>
        <b val="0"/>
        <i val="0"/>
        <strike val="0"/>
        <condense val="0"/>
        <extend val="0"/>
        <outline val="0"/>
        <shadow val="0"/>
        <u val="none"/>
        <vertAlign val="baseline"/>
        <sz val="10"/>
        <color theme="1"/>
        <name val="Aptos"/>
        <family val="2"/>
        <scheme val="none"/>
      </font>
      <numFmt numFmtId="164" formatCode="0.0%"/>
      <fill>
        <patternFill patternType="solid">
          <fgColor indexed="64"/>
          <bgColor rgb="FFE9EEF3"/>
        </patternFill>
      </fill>
      <border diagonalUp="0" diagonalDown="0" outline="0">
        <left style="thin">
          <color rgb="FFE9EEF3"/>
        </left>
        <right style="thin">
          <color rgb="FFE9EEF3"/>
        </right>
        <top style="thin">
          <color rgb="FFE9EEF3"/>
        </top>
        <bottom/>
      </border>
    </dxf>
    <dxf>
      <font>
        <b val="0"/>
        <i val="0"/>
        <strike val="0"/>
        <condense val="0"/>
        <extend val="0"/>
        <outline val="0"/>
        <shadow val="0"/>
        <u val="none"/>
        <vertAlign val="baseline"/>
        <sz val="10"/>
        <color theme="1"/>
        <name val="Aptos"/>
        <family val="2"/>
        <scheme val="none"/>
      </font>
      <numFmt numFmtId="166" formatCode="[$₹-4009]\ #,##0.00"/>
      <fill>
        <patternFill patternType="solid">
          <fgColor indexed="64"/>
          <bgColor rgb="FFE9EEF3"/>
        </patternFill>
      </fill>
      <border diagonalUp="0" diagonalDown="0" outline="0">
        <left style="thin">
          <color rgb="FFE9EEF3"/>
        </left>
        <right style="thin">
          <color rgb="FFE9EEF3"/>
        </right>
        <top style="thin">
          <color rgb="FFE9EEF3"/>
        </top>
        <bottom/>
      </border>
    </dxf>
    <dxf>
      <font>
        <b val="0"/>
        <i val="0"/>
        <strike val="0"/>
        <condense val="0"/>
        <extend val="0"/>
        <outline val="0"/>
        <shadow val="0"/>
        <u val="none"/>
        <vertAlign val="baseline"/>
        <sz val="10"/>
        <color rgb="FF104861"/>
        <name val="Aptos"/>
        <family val="2"/>
        <scheme val="none"/>
      </font>
      <fill>
        <patternFill patternType="solid">
          <fgColor indexed="64"/>
          <bgColor rgb="FFE9EEF3"/>
        </patternFill>
      </fill>
      <border diagonalUp="0" diagonalDown="0">
        <left style="thin">
          <color rgb="FFE9EEF3"/>
        </left>
        <right style="thin">
          <color rgb="FFE9EEF3"/>
        </right>
        <top style="thin">
          <color rgb="FFE9EEF3"/>
        </top>
        <bottom/>
        <vertical/>
        <horizontal/>
      </border>
    </dxf>
    <dxf>
      <border outline="0">
        <top style="thin">
          <color rgb="FFE9EEF3"/>
        </top>
        <bottom style="thin">
          <color rgb="FF104861"/>
        </bottom>
      </border>
    </dxf>
    <dxf>
      <font>
        <b val="0"/>
        <i val="0"/>
        <strike val="0"/>
        <condense val="0"/>
        <extend val="0"/>
        <outline val="0"/>
        <shadow val="0"/>
        <u val="none"/>
        <vertAlign val="baseline"/>
        <sz val="10"/>
        <color rgb="FF104861"/>
        <name val="Aptos"/>
        <family val="2"/>
        <scheme val="none"/>
      </font>
      <fill>
        <patternFill patternType="solid">
          <fgColor indexed="64"/>
          <bgColor rgb="FFE9EEF3"/>
        </patternFill>
      </fill>
    </dxf>
    <dxf>
      <border outline="0">
        <bottom style="thin">
          <color rgb="FFE9EEF3"/>
        </bottom>
      </border>
    </dxf>
    <dxf>
      <font>
        <b/>
        <i val="0"/>
        <strike val="0"/>
        <condense val="0"/>
        <extend val="0"/>
        <outline val="0"/>
        <shadow val="0"/>
        <u val="none"/>
        <vertAlign val="baseline"/>
        <sz val="11"/>
        <color theme="0"/>
        <name val="Aptos"/>
        <family val="2"/>
        <scheme val="none"/>
      </font>
      <fill>
        <patternFill patternType="solid">
          <fgColor indexed="64"/>
          <bgColor rgb="FF0B3A66"/>
        </patternFill>
      </fill>
      <alignment horizontal="center" vertical="bottom" textRotation="0" wrapText="0" indent="0" justifyLastLine="0" shrinkToFit="0" readingOrder="0"/>
      <border diagonalUp="0" diagonalDown="0" outline="0">
        <left style="thin">
          <color rgb="FFE9EEF3"/>
        </left>
        <right style="thin">
          <color rgb="FFE9EEF3"/>
        </right>
        <top/>
        <bottom/>
      </border>
    </dxf>
    <dxf>
      <font>
        <b val="0"/>
        <i val="0"/>
        <strike val="0"/>
        <condense val="0"/>
        <extend val="0"/>
        <outline val="0"/>
        <shadow val="0"/>
        <u val="none"/>
        <vertAlign val="baseline"/>
        <sz val="10"/>
        <color theme="4" tint="-0.249977111117893"/>
        <name val="Aptos"/>
        <family val="2"/>
        <scheme val="none"/>
      </font>
      <numFmt numFmtId="165" formatCode="0.0"/>
      <fill>
        <patternFill patternType="solid">
          <fgColor indexed="64"/>
          <bgColor rgb="FFE9EEF3"/>
        </patternFill>
      </fill>
      <border diagonalUp="0" diagonalDown="0">
        <left style="thin">
          <color rgb="FFE9EEF3"/>
        </left>
        <right/>
        <top style="thin">
          <color rgb="FFE9EEF3"/>
        </top>
        <bottom style="thin">
          <color rgb="FFE9EEF3"/>
        </bottom>
      </border>
    </dxf>
    <dxf>
      <font>
        <b val="0"/>
        <i val="0"/>
        <strike val="0"/>
        <condense val="0"/>
        <extend val="0"/>
        <outline val="0"/>
        <shadow val="0"/>
        <u val="none"/>
        <vertAlign val="baseline"/>
        <sz val="10"/>
        <color theme="4" tint="-0.249977111117893"/>
        <name val="Aptos"/>
        <family val="2"/>
        <scheme val="none"/>
      </font>
      <fill>
        <patternFill patternType="solid">
          <fgColor indexed="64"/>
          <bgColor rgb="FFE9EEF3"/>
        </patternFill>
      </fill>
      <border diagonalUp="0" diagonalDown="0" outline="0">
        <left/>
        <right style="thin">
          <color rgb="FFE9EEF3"/>
        </right>
        <top style="thin">
          <color rgb="FFE9EEF3"/>
        </top>
        <bottom style="thin">
          <color rgb="FFE9EEF3"/>
        </bottom>
      </border>
    </dxf>
    <dxf>
      <border>
        <top style="thin">
          <color rgb="FFE9EEF3"/>
        </top>
      </border>
    </dxf>
    <dxf>
      <border diagonalUp="0" diagonalDown="0">
        <left style="thin">
          <color rgb="FFE9EEF3"/>
        </left>
        <right style="thin">
          <color rgb="FFE9EEF3"/>
        </right>
        <top style="thin">
          <color rgb="FFE9EEF3"/>
        </top>
        <bottom style="thin">
          <color rgb="FFE9EEF3"/>
        </bottom>
      </border>
    </dxf>
    <dxf>
      <border>
        <bottom style="thin">
          <color rgb="FFE9EEF3"/>
        </bottom>
      </border>
    </dxf>
    <dxf>
      <border diagonalUp="0" diagonalDown="0">
        <left style="thin">
          <color rgb="FFE9EEF3"/>
        </left>
        <right style="thin">
          <color rgb="FFE9EEF3"/>
        </right>
        <top/>
        <bottom/>
        <vertical style="thin">
          <color rgb="FFE9EEF3"/>
        </vertical>
        <horizontal style="thin">
          <color rgb="FFE9EEF3"/>
        </horizontal>
      </border>
    </dxf>
    <dxf>
      <font>
        <b val="0"/>
        <i val="0"/>
        <strike val="0"/>
        <condense val="0"/>
        <extend val="0"/>
        <outline val="0"/>
        <shadow val="0"/>
        <u val="none"/>
        <vertAlign val="baseline"/>
        <sz val="10"/>
        <color theme="1"/>
        <name val="Aptos"/>
        <family val="2"/>
        <scheme val="none"/>
      </font>
      <numFmt numFmtId="4" formatCode="#,##0.00"/>
      <fill>
        <patternFill patternType="solid">
          <fgColor indexed="64"/>
          <bgColor rgb="FFE9EEF3"/>
        </patternFill>
      </fill>
      <border diagonalUp="0" diagonalDown="0" outline="0">
        <left style="thin">
          <color rgb="FFE9EEF3"/>
        </left>
        <right/>
        <top style="thin">
          <color rgb="FFE9EEF3"/>
        </top>
        <bottom style="thin">
          <color rgb="FFE9EEF3"/>
        </bottom>
      </border>
    </dxf>
    <dxf>
      <font>
        <b val="0"/>
        <i val="0"/>
        <strike val="0"/>
        <condense val="0"/>
        <extend val="0"/>
        <outline val="0"/>
        <shadow val="0"/>
        <u val="none"/>
        <vertAlign val="baseline"/>
        <sz val="10"/>
        <color theme="4" tint="-0.249977111117893"/>
        <name val="Aptos"/>
        <family val="2"/>
        <scheme val="none"/>
      </font>
      <fill>
        <patternFill patternType="solid">
          <fgColor indexed="64"/>
          <bgColor rgb="FFE9EEF3"/>
        </patternFill>
      </fill>
      <border diagonalUp="0" diagonalDown="0" outline="0">
        <left/>
        <right style="thin">
          <color rgb="FFE9EEF3"/>
        </right>
        <top style="thin">
          <color rgb="FFE9EEF3"/>
        </top>
        <bottom style="thin">
          <color rgb="FFE9EEF3"/>
        </bottom>
      </border>
    </dxf>
    <dxf>
      <border>
        <top style="thin">
          <color rgb="FFE9EEF3"/>
        </top>
      </border>
    </dxf>
    <dxf>
      <border diagonalUp="0" diagonalDown="0">
        <left style="thin">
          <color rgb="FFE9EEF3"/>
        </left>
        <right style="thin">
          <color rgb="FFE9EEF3"/>
        </right>
        <top style="thin">
          <color rgb="FFE9EEF3"/>
        </top>
        <bottom style="thin">
          <color rgb="FFE9EEF3"/>
        </bottom>
      </border>
    </dxf>
    <dxf>
      <border>
        <bottom style="thin">
          <color rgb="FFE9EEF3"/>
        </bottom>
      </border>
    </dxf>
    <dxf>
      <border diagonalUp="0" diagonalDown="0">
        <left style="thin">
          <color rgb="FFE9EEF3"/>
        </left>
        <right style="thin">
          <color rgb="FFE9EEF3"/>
        </right>
        <top/>
        <bottom/>
        <vertical style="thin">
          <color rgb="FFE9EEF3"/>
        </vertical>
        <horizontal style="thin">
          <color rgb="FFE9EEF3"/>
        </horizontal>
      </border>
    </dxf>
    <dxf>
      <font>
        <b val="0"/>
        <i val="0"/>
        <strike val="0"/>
        <condense val="0"/>
        <extend val="0"/>
        <outline val="0"/>
        <shadow val="0"/>
        <u val="none"/>
        <vertAlign val="baseline"/>
        <sz val="10"/>
        <color theme="1"/>
        <name val="Aptos"/>
        <family val="2"/>
        <scheme val="none"/>
      </font>
      <numFmt numFmtId="166" formatCode="[$₹-4009]\ #,##0.00"/>
      <fill>
        <patternFill patternType="solid">
          <fgColor indexed="64"/>
          <bgColor rgb="FFE9EEF3"/>
        </patternFill>
      </fill>
      <border diagonalUp="0" diagonalDown="0" outline="0">
        <left style="thin">
          <color rgb="FFE9EEF3"/>
        </left>
        <right/>
        <top style="thin">
          <color rgb="FFE9EEF3"/>
        </top>
        <bottom style="thin">
          <color rgb="FFE9EEF3"/>
        </bottom>
      </border>
    </dxf>
    <dxf>
      <font>
        <b val="0"/>
        <i val="0"/>
        <strike val="0"/>
        <condense val="0"/>
        <extend val="0"/>
        <outline val="0"/>
        <shadow val="0"/>
        <u val="none"/>
        <vertAlign val="baseline"/>
        <sz val="10"/>
        <color theme="4" tint="-0.249977111117893"/>
        <name val="Aptos"/>
        <family val="2"/>
        <scheme val="none"/>
      </font>
      <fill>
        <patternFill patternType="solid">
          <fgColor indexed="64"/>
          <bgColor rgb="FFE9EEF3"/>
        </patternFill>
      </fill>
      <border diagonalUp="0" diagonalDown="0" outline="0">
        <left/>
        <right style="thin">
          <color rgb="FFE9EEF3"/>
        </right>
        <top style="thin">
          <color rgb="FFE9EEF3"/>
        </top>
        <bottom style="thin">
          <color rgb="FFE9EEF3"/>
        </bottom>
      </border>
    </dxf>
    <dxf>
      <border>
        <top style="thin">
          <color rgb="FFE9EEF3"/>
        </top>
      </border>
    </dxf>
    <dxf>
      <border diagonalUp="0" diagonalDown="0">
        <left style="thin">
          <color rgb="FFE9EEF3"/>
        </left>
        <right style="thin">
          <color rgb="FFE9EEF3"/>
        </right>
        <top style="thin">
          <color rgb="FFE9EEF3"/>
        </top>
        <bottom style="thin">
          <color rgb="FFE9EEF3"/>
        </bottom>
      </border>
    </dxf>
    <dxf>
      <border>
        <bottom style="thin">
          <color rgb="FFE9EEF3"/>
        </bottom>
      </border>
    </dxf>
    <dxf>
      <border diagonalUp="0" diagonalDown="0">
        <left style="thin">
          <color rgb="FFE9EEF3"/>
        </left>
        <right style="thin">
          <color rgb="FFE9EEF3"/>
        </right>
        <top/>
        <bottom/>
        <vertical style="thin">
          <color rgb="FFE9EEF3"/>
        </vertical>
        <horizontal style="thin">
          <color rgb="FFE9EEF3"/>
        </horizontal>
      </border>
    </dxf>
    <dxf>
      <font>
        <strike val="0"/>
        <outline val="0"/>
        <shadow val="0"/>
        <u val="none"/>
        <vertAlign val="baseline"/>
        <sz val="10"/>
        <color theme="1"/>
        <name val="Aptos"/>
        <family val="2"/>
        <scheme val="none"/>
      </font>
      <numFmt numFmtId="166" formatCode="[$₹-4009]\ #,##0.00"/>
      <border diagonalUp="0" diagonalDown="0" outline="0">
        <left style="thin">
          <color rgb="FFE9EEF3"/>
        </left>
        <right/>
        <top style="thin">
          <color rgb="FFE9EEF3"/>
        </top>
        <bottom style="thin">
          <color rgb="FFE9EEF3"/>
        </bottom>
      </border>
    </dxf>
    <dxf>
      <font>
        <b val="0"/>
        <i val="0"/>
        <strike val="0"/>
        <condense val="0"/>
        <extend val="0"/>
        <outline val="0"/>
        <shadow val="0"/>
        <u val="none"/>
        <vertAlign val="baseline"/>
        <sz val="10"/>
        <color theme="4" tint="-0.249977111117893"/>
        <name val="Aptos"/>
        <family val="2"/>
        <scheme val="none"/>
      </font>
      <fill>
        <patternFill patternType="solid">
          <fgColor indexed="64"/>
          <bgColor rgb="FFE9EEF3"/>
        </patternFill>
      </fill>
      <border diagonalUp="0" diagonalDown="0" outline="0">
        <left/>
        <right style="thin">
          <color rgb="FFE9EEF3"/>
        </right>
        <top style="thin">
          <color rgb="FFE9EEF3"/>
        </top>
        <bottom style="thin">
          <color rgb="FFE9EEF3"/>
        </bottom>
      </border>
    </dxf>
    <dxf>
      <border>
        <top style="thin">
          <color rgb="FFE9EEF3"/>
        </top>
      </border>
    </dxf>
    <dxf>
      <border diagonalUp="0" diagonalDown="0">
        <left style="thin">
          <color rgb="FFE9EEF3"/>
        </left>
        <right style="thin">
          <color rgb="FFE9EEF3"/>
        </right>
        <top style="thin">
          <color rgb="FFE9EEF3"/>
        </top>
        <bottom style="thin">
          <color rgb="FFE9EEF3"/>
        </bottom>
      </border>
    </dxf>
    <dxf>
      <border>
        <bottom style="thin">
          <color rgb="FFE9EEF3"/>
        </bottom>
      </border>
    </dxf>
    <dxf>
      <border diagonalUp="0" diagonalDown="0">
        <left style="thin">
          <color rgb="FFE9EEF3"/>
        </left>
        <right style="thin">
          <color rgb="FFE9EEF3"/>
        </right>
        <top/>
        <bottom/>
        <vertical style="thin">
          <color rgb="FFE9EEF3"/>
        </vertical>
        <horizontal style="thin">
          <color rgb="FFE9EEF3"/>
        </horizontal>
      </border>
    </dxf>
    <dxf>
      <font>
        <sz val="9"/>
        <color rgb="FF111827"/>
        <name val="Aptos"/>
        <family val="2"/>
      </font>
      <fill>
        <patternFill patternType="solid">
          <fgColor indexed="64"/>
          <bgColor rgb="FFFFF2CC"/>
        </patternFill>
      </fill>
      <alignment horizontal="general" vertical="center" textRotation="0" wrapText="1" indent="0" justifyLastLine="0" shrinkToFit="0" readingOrder="0"/>
      <border diagonalUp="0" diagonalDown="0">
        <left style="thin">
          <color rgb="FFE5E7EB"/>
        </left>
        <right style="thin">
          <color rgb="FFE5E7EB"/>
        </right>
        <top style="thin">
          <color rgb="FFE5E7EB"/>
        </top>
        <bottom style="thin">
          <color rgb="FFE5E7EB"/>
        </bottom>
        <vertical/>
        <horizontal/>
      </border>
    </dxf>
    <dxf>
      <numFmt numFmtId="0" formatCode="General"/>
      <alignment horizontal="general" vertical="center" textRotation="0" wrapText="1" indent="0" justifyLastLine="0" shrinkToFit="0" readingOrder="0"/>
      <border>
        <left style="thin">
          <color rgb="FFE5E7EB"/>
        </left>
      </border>
    </dxf>
    <dxf>
      <numFmt numFmtId="184" formatCode="#,##0.00\ &quot;Cr&quot;"/>
      <fill>
        <patternFill patternType="solid">
          <fgColor indexed="64"/>
          <bgColor rgb="FFF9FAC4"/>
        </patternFill>
      </fill>
      <alignment horizontal="general" vertical="center" textRotation="0" wrapText="1" indent="0" justifyLastLine="0" shrinkToFit="0" readingOrder="0"/>
      <border>
        <left style="thin">
          <color rgb="FFE5E7EB"/>
        </left>
      </border>
    </dxf>
    <dxf>
      <numFmt numFmtId="13" formatCode="0%"/>
      <alignment horizontal="general" vertical="center" textRotation="0" wrapText="1" indent="0" justifyLastLine="0" shrinkToFit="0" readingOrder="0"/>
      <border outline="0">
        <right style="thin">
          <color rgb="FFE5E7EB"/>
        </right>
      </border>
    </dxf>
    <dxf>
      <alignment horizontal="general" vertical="center" textRotation="0" wrapText="1" indent="0" justifyLastLine="0" shrinkToFit="0" readingOrder="0"/>
      <border outline="0">
        <right style="thin">
          <color rgb="FFE5E7EB"/>
        </right>
      </border>
    </dxf>
    <dxf>
      <alignment horizontal="general" vertical="center" textRotation="0" wrapText="1" indent="0" justifyLastLine="0" shrinkToFit="0" readingOrder="0"/>
    </dxf>
    <dxf>
      <font>
        <strike val="0"/>
        <outline val="0"/>
        <shadow val="0"/>
        <u val="none"/>
        <vertAlign val="baseline"/>
        <sz val="9"/>
        <color theme="1"/>
        <name val="Aptos"/>
        <scheme val="none"/>
      </font>
      <numFmt numFmtId="4" formatCode="#,##0.00"/>
      <alignment horizontal="general" vertical="center" textRotation="0" wrapText="1" indent="0" justifyLastLine="0" shrinkToFit="0" readingOrder="0"/>
      <border outline="0">
        <left style="thin">
          <color rgb="FFE5E7EB"/>
        </left>
      </border>
    </dxf>
    <dxf>
      <font>
        <strike val="0"/>
        <outline val="0"/>
        <shadow val="0"/>
        <u val="none"/>
        <vertAlign val="baseline"/>
        <sz val="9"/>
        <color theme="1"/>
        <name val="Aptos"/>
        <scheme val="none"/>
      </font>
      <numFmt numFmtId="172" formatCode="#,##0.00\ &quot;m³&quot;"/>
      <alignment horizontal="general" vertical="center" textRotation="0" wrapText="1" indent="0" justifyLastLine="0" shrinkToFit="0" readingOrder="0"/>
      <border outline="0">
        <right style="thin">
          <color rgb="FFE5E7EB"/>
        </right>
      </border>
    </dxf>
    <dxf>
      <alignment horizontal="general" vertical="center" textRotation="0" wrapText="1" indent="0" justifyLastLine="0" shrinkToFit="0" readingOrder="0"/>
      <border outline="0">
        <right style="thin">
          <color rgb="FFE5E7EB"/>
        </right>
      </border>
    </dxf>
    <dxf>
      <font>
        <sz val="9"/>
        <color rgb="FF111827"/>
        <name val="Aptos"/>
        <family val="2"/>
      </font>
      <fill>
        <patternFill patternType="solid">
          <fgColor indexed="64"/>
          <bgColor rgb="FFFFF2CC"/>
        </patternFill>
      </fill>
      <alignment horizontal="general" vertical="center" textRotation="0" wrapText="1" indent="0" justifyLastLine="0" shrinkToFit="0" readingOrder="0"/>
      <border diagonalUp="0" diagonalDown="0">
        <left style="thin">
          <color rgb="FFE5E7EB"/>
        </left>
        <right style="thin">
          <color rgb="FFE5E7EB"/>
        </right>
        <top style="thin">
          <color rgb="FFE5E7EB"/>
        </top>
        <bottom style="thin">
          <color rgb="FFE5E7EB"/>
        </bottom>
        <vertical/>
        <horizontal/>
      </border>
    </dxf>
    <dxf>
      <alignment horizontal="general" vertical="center" textRotation="0" wrapText="1" indent="0" justifyLastLine="0" shrinkToFit="0" readingOrder="0"/>
    </dxf>
    <dxf>
      <alignment horizontal="general" vertical="center" textRotation="0" wrapText="1" indent="0" justifyLastLine="0" shrinkToFit="0" readingOrder="0"/>
    </dxf>
    <dxf>
      <font>
        <b val="0"/>
        <i val="0"/>
        <strike val="0"/>
        <condense val="0"/>
        <extend val="0"/>
        <outline val="0"/>
        <shadow val="0"/>
        <u val="none"/>
        <vertAlign val="baseline"/>
        <sz val="9"/>
        <color rgb="FF102A43"/>
        <name val="Aptos"/>
        <scheme val="none"/>
      </font>
      <numFmt numFmtId="166" formatCode="[$₹-4009]\ #,##0.00"/>
      <fill>
        <patternFill patternType="solid">
          <fgColor indexed="64"/>
          <bgColor rgb="FFDDEBF7"/>
        </patternFill>
      </fill>
      <alignment horizontal="general" vertical="top" textRotation="0" wrapText="1" indent="0" justifyLastLine="0" shrinkToFit="0" readingOrder="0"/>
      <border diagonalUp="0" diagonalDown="0" outline="0">
        <left style="thin">
          <color rgb="FFE5E7EB"/>
        </left>
        <right style="thin">
          <color rgb="FFE5E7EB"/>
        </right>
        <top style="thin">
          <color rgb="FFE5E7EB"/>
        </top>
        <bottom style="thin">
          <color rgb="FFE5E7EB"/>
        </bottom>
      </border>
    </dxf>
    <dxf>
      <numFmt numFmtId="166" formatCode="[$₹-4009]\ #,##0.00"/>
      <border>
        <left style="thin">
          <color rgb="FFE5E7EB"/>
        </left>
      </border>
    </dxf>
    <dxf>
      <numFmt numFmtId="172" formatCode="#,##0.00\ &quot;m³&quot;"/>
      <border>
        <left style="thin">
          <color rgb="FFE5E7EB"/>
        </left>
        <right style="thin">
          <color rgb="FFE5E7EB"/>
        </right>
      </border>
    </dxf>
    <dxf>
      <numFmt numFmtId="172" formatCode="#,##0.00\ &quot;m³&quot;"/>
      <border>
        <right style="thin">
          <color rgb="FFE5E7EB"/>
        </right>
      </border>
    </dxf>
    <dxf>
      <numFmt numFmtId="4" formatCode="#,##0.00"/>
      <border>
        <right style="thin">
          <color rgb="FFE5E7EB"/>
        </right>
      </border>
    </dxf>
    <dxf>
      <font>
        <color indexed="10"/>
      </font>
      <fill>
        <patternFill>
          <bgColor indexed="45"/>
        </patternFill>
      </fill>
    </dxf>
    <dxf>
      <font>
        <color indexed="53"/>
      </font>
      <fill>
        <patternFill>
          <bgColor indexed="43"/>
        </patternFill>
      </fill>
    </dxf>
    <dxf>
      <font>
        <color indexed="17"/>
      </font>
      <fill>
        <patternFill>
          <bgColor indexed="42"/>
        </patternFill>
      </fill>
    </dxf>
    <dxf>
      <font>
        <b val="0"/>
        <i val="0"/>
        <strike val="0"/>
        <condense val="0"/>
        <extend val="0"/>
        <outline val="0"/>
        <shadow val="0"/>
        <u val="none"/>
        <vertAlign val="baseline"/>
        <sz val="9"/>
        <color auto="1"/>
        <name val="Aptos"/>
        <family val="2"/>
        <scheme val="none"/>
      </font>
      <numFmt numFmtId="164" formatCode="0.0%"/>
      <fill>
        <patternFill patternType="solid">
          <fgColor indexed="64"/>
          <bgColor rgb="FFFFF2CC"/>
        </patternFill>
      </fill>
      <alignment horizontal="general" vertical="center" textRotation="0" wrapText="0" indent="0" justifyLastLine="0" shrinkToFit="0" readingOrder="0"/>
      <border diagonalUp="0" diagonalDown="0" outline="0">
        <left style="thin">
          <color rgb="FFE0E0E0"/>
        </left>
        <right style="thin">
          <color rgb="FFE0E0E0"/>
        </right>
        <top style="thin">
          <color rgb="FFE0E0E0"/>
        </top>
        <bottom style="thin">
          <color rgb="FFE0E0E0"/>
        </bottom>
      </border>
    </dxf>
    <dxf>
      <font>
        <b val="0"/>
        <i val="0"/>
        <strike val="0"/>
        <condense val="0"/>
        <extend val="0"/>
        <outline val="0"/>
        <shadow val="0"/>
        <u val="none"/>
        <vertAlign val="baseline"/>
        <sz val="9"/>
        <color auto="1"/>
        <name val="Aptos"/>
        <family val="2"/>
        <scheme val="none"/>
      </font>
      <numFmt numFmtId="4" formatCode="#,##0.00"/>
      <fill>
        <patternFill patternType="solid">
          <fgColor indexed="64"/>
          <bgColor rgb="FFFFF2CC"/>
        </patternFill>
      </fill>
      <alignment horizontal="general" vertical="center" textRotation="0" wrapText="0" indent="0" justifyLastLine="0" shrinkToFit="0" readingOrder="0"/>
      <border diagonalUp="0" diagonalDown="0" outline="0">
        <left style="thin">
          <color rgb="FFE0E0E0"/>
        </left>
        <right style="thin">
          <color rgb="FFE0E0E0"/>
        </right>
        <top style="thin">
          <color rgb="FFE0E0E0"/>
        </top>
        <bottom style="thin">
          <color rgb="FFE0E0E0"/>
        </bottom>
      </border>
    </dxf>
    <dxf>
      <font>
        <b val="0"/>
        <i val="0"/>
        <strike val="0"/>
        <condense val="0"/>
        <extend val="0"/>
        <outline val="0"/>
        <shadow val="0"/>
        <u val="none"/>
        <vertAlign val="baseline"/>
        <sz val="9"/>
        <color auto="1"/>
        <name val="Aptos"/>
        <family val="2"/>
        <scheme val="none"/>
      </font>
      <numFmt numFmtId="3" formatCode="#,##0"/>
      <fill>
        <patternFill patternType="solid">
          <fgColor indexed="64"/>
          <bgColor rgb="FFFFF2CC"/>
        </patternFill>
      </fill>
      <alignment horizontal="general" vertical="center" textRotation="0" wrapText="0" indent="0" justifyLastLine="0" shrinkToFit="0" readingOrder="0"/>
      <border diagonalUp="0" diagonalDown="0" outline="0">
        <left style="thin">
          <color rgb="FFE0E0E0"/>
        </left>
        <right style="thin">
          <color rgb="FFE0E0E0"/>
        </right>
        <top style="thin">
          <color rgb="FFE0E0E0"/>
        </top>
        <bottom style="thin">
          <color rgb="FFE0E0E0"/>
        </bottom>
      </border>
    </dxf>
    <dxf>
      <font>
        <b val="0"/>
        <i val="0"/>
        <strike val="0"/>
        <condense val="0"/>
        <extend val="0"/>
        <outline val="0"/>
        <shadow val="0"/>
        <u val="none"/>
        <vertAlign val="baseline"/>
        <sz val="9"/>
        <color auto="1"/>
        <name val="Aptos"/>
        <family val="2"/>
        <scheme val="none"/>
      </font>
      <numFmt numFmtId="3" formatCode="#,##0"/>
      <fill>
        <patternFill patternType="solid">
          <fgColor indexed="64"/>
          <bgColor rgb="FFFFF2CC"/>
        </patternFill>
      </fill>
      <alignment horizontal="general" vertical="center" textRotation="0" wrapText="0" indent="0" justifyLastLine="0" shrinkToFit="0" readingOrder="0"/>
      <border diagonalUp="0" diagonalDown="0" outline="0">
        <left style="thin">
          <color rgb="FFE0E0E0"/>
        </left>
        <right style="thin">
          <color rgb="FFE0E0E0"/>
        </right>
        <top style="thin">
          <color rgb="FFE0E0E0"/>
        </top>
        <bottom style="thin">
          <color rgb="FFE0E0E0"/>
        </bottom>
      </border>
    </dxf>
    <dxf>
      <font>
        <b val="0"/>
        <i val="0"/>
        <strike val="0"/>
        <condense val="0"/>
        <extend val="0"/>
        <outline val="0"/>
        <shadow val="0"/>
        <u val="none"/>
        <vertAlign val="baseline"/>
        <sz val="9"/>
        <color auto="1"/>
        <name val="Aptos"/>
        <family val="2"/>
        <scheme val="none"/>
      </font>
      <numFmt numFmtId="3" formatCode="#,##0"/>
      <fill>
        <patternFill patternType="solid">
          <fgColor indexed="64"/>
          <bgColor rgb="FFFFF2CC"/>
        </patternFill>
      </fill>
      <alignment horizontal="general" vertical="center" textRotation="0" wrapText="0" indent="0" justifyLastLine="0" shrinkToFit="0" readingOrder="0"/>
      <border diagonalUp="0" diagonalDown="0" outline="0">
        <left style="thin">
          <color rgb="FFE0E0E0"/>
        </left>
        <right style="thin">
          <color rgb="FFE0E0E0"/>
        </right>
        <top style="thin">
          <color rgb="FFE0E0E0"/>
        </top>
        <bottom style="thin">
          <color rgb="FFE0E0E0"/>
        </bottom>
      </border>
    </dxf>
    <dxf>
      <font>
        <b val="0"/>
        <i val="0"/>
        <strike val="0"/>
        <condense val="0"/>
        <extend val="0"/>
        <outline val="0"/>
        <shadow val="0"/>
        <u val="none"/>
        <vertAlign val="baseline"/>
        <sz val="9"/>
        <color auto="1"/>
        <name val="Aptos"/>
        <family val="2"/>
        <scheme val="none"/>
      </font>
      <fill>
        <patternFill patternType="solid">
          <fgColor indexed="64"/>
          <bgColor rgb="FFFFF2CC"/>
        </patternFill>
      </fill>
      <alignment horizontal="general" vertical="center" textRotation="0" wrapText="0" indent="0" justifyLastLine="0" shrinkToFit="0" readingOrder="0"/>
      <border diagonalUp="0" diagonalDown="0" outline="0">
        <left style="thin">
          <color rgb="FFE0E0E0"/>
        </left>
        <right style="thin">
          <color rgb="FFE0E0E0"/>
        </right>
        <top style="thin">
          <color rgb="FFE0E0E0"/>
        </top>
        <bottom style="thin">
          <color rgb="FFE0E0E0"/>
        </bottom>
      </border>
    </dxf>
    <dxf>
      <font>
        <b/>
        <i val="0"/>
        <strike val="0"/>
        <condense val="0"/>
        <extend val="0"/>
        <outline val="0"/>
        <shadow val="0"/>
        <u val="none"/>
        <vertAlign val="baseline"/>
        <sz val="9"/>
        <color rgb="FF111827"/>
        <name val="Aptos"/>
        <family val="2"/>
        <scheme val="none"/>
      </font>
      <numFmt numFmtId="30" formatCode="@"/>
      <fill>
        <patternFill patternType="solid">
          <fgColor indexed="64"/>
          <bgColor rgb="FFFFF2CC"/>
        </patternFill>
      </fill>
      <alignment horizontal="general" vertical="center" textRotation="0" wrapText="1" indent="0" justifyLastLine="0" shrinkToFit="0" readingOrder="0"/>
      <border diagonalUp="0" diagonalDown="0" outline="0">
        <left style="thin">
          <color rgb="FFE0E0E0"/>
        </left>
        <right style="thin">
          <color rgb="FFE0E0E0"/>
        </right>
        <top style="thin">
          <color rgb="FFE0E0E0"/>
        </top>
        <bottom style="thin">
          <color rgb="FFE0E0E0"/>
        </bottom>
      </border>
    </dxf>
    <dxf>
      <border outline="0">
        <top style="thin">
          <color theme="0"/>
        </top>
        <bottom style="thin">
          <color rgb="FFE0E0E0"/>
        </bottom>
      </border>
    </dxf>
    <dxf>
      <font>
        <b val="0"/>
        <i val="0"/>
        <strike val="0"/>
        <condense val="0"/>
        <extend val="0"/>
        <outline val="0"/>
        <shadow val="0"/>
        <u val="none"/>
        <vertAlign val="baseline"/>
        <sz val="9"/>
        <color auto="1"/>
        <name val="Aptos"/>
        <family val="2"/>
        <scheme val="none"/>
      </font>
      <fill>
        <patternFill patternType="solid">
          <fgColor indexed="64"/>
          <bgColor rgb="FFFFF2CC"/>
        </patternFill>
      </fill>
      <alignment horizontal="general" vertical="center" textRotation="0" wrapText="0" indent="0" justifyLastLine="0" shrinkToFit="0" readingOrder="0"/>
    </dxf>
    <dxf>
      <font>
        <b/>
        <i val="0"/>
        <strike val="0"/>
        <condense val="0"/>
        <extend val="0"/>
        <outline val="0"/>
        <shadow val="0"/>
        <u val="none"/>
        <vertAlign val="baseline"/>
        <sz val="10"/>
        <color rgb="FFFFFFFF"/>
        <name val="Aptos"/>
        <family val="2"/>
        <scheme val="none"/>
      </font>
      <fill>
        <patternFill patternType="solid">
          <fgColor rgb="FF333399"/>
          <bgColor rgb="FF003865"/>
        </patternFill>
      </fill>
      <alignment horizontal="center" vertical="center" textRotation="0" wrapText="0" indent="0" justifyLastLine="0" shrinkToFit="0" readingOrder="0"/>
      <border diagonalUp="0" diagonalDown="0" outline="0">
        <left style="thin">
          <color theme="0"/>
        </left>
        <right style="thin">
          <color theme="0"/>
        </right>
        <top/>
        <bottom/>
      </border>
    </dxf>
    <dxf>
      <font>
        <strike val="0"/>
        <outline val="0"/>
        <shadow val="0"/>
        <u val="none"/>
        <vertAlign val="baseline"/>
        <sz val="9"/>
        <name val="Aptos"/>
        <family val="2"/>
        <scheme val="none"/>
      </font>
      <numFmt numFmtId="14" formatCode="0.00%"/>
      <fill>
        <patternFill patternType="solid">
          <fgColor indexed="64"/>
          <bgColor rgb="FFFFF2CC"/>
        </patternFill>
      </fill>
      <border diagonalUp="0" diagonalDown="0" outline="0">
        <left style="thin">
          <color rgb="FFE0E0E0"/>
        </left>
        <right style="thin">
          <color rgb="FFE0E0E0"/>
        </right>
        <top style="thin">
          <color rgb="FFE0E0E0"/>
        </top>
        <bottom style="thin">
          <color rgb="FFE0E0E0"/>
        </bottom>
      </border>
    </dxf>
    <dxf>
      <font>
        <strike val="0"/>
        <outline val="0"/>
        <shadow val="0"/>
        <u val="none"/>
        <vertAlign val="baseline"/>
        <sz val="9"/>
        <name val="Aptos"/>
        <family val="2"/>
        <scheme val="none"/>
      </font>
      <numFmt numFmtId="3" formatCode="#,##0"/>
      <fill>
        <patternFill patternType="solid">
          <fgColor indexed="64"/>
          <bgColor rgb="FFFFF2CC"/>
        </patternFill>
      </fill>
      <border diagonalUp="0" diagonalDown="0" outline="0">
        <left style="thin">
          <color rgb="FFE0E0E0"/>
        </left>
        <right style="thin">
          <color rgb="FFE0E0E0"/>
        </right>
        <top style="thin">
          <color rgb="FFE0E0E0"/>
        </top>
        <bottom style="thin">
          <color rgb="FFE0E0E0"/>
        </bottom>
      </border>
    </dxf>
    <dxf>
      <font>
        <strike val="0"/>
        <outline val="0"/>
        <shadow val="0"/>
        <u val="none"/>
        <vertAlign val="baseline"/>
        <sz val="9"/>
        <name val="Aptos"/>
        <family val="2"/>
        <scheme val="none"/>
      </font>
      <numFmt numFmtId="3" formatCode="#,##0"/>
      <fill>
        <patternFill patternType="solid">
          <fgColor indexed="64"/>
          <bgColor rgb="FFFFF2CC"/>
        </patternFill>
      </fill>
      <border diagonalUp="0" diagonalDown="0" outline="0">
        <left style="thin">
          <color rgb="FFE0E0E0"/>
        </left>
        <right style="thin">
          <color rgb="FFE0E0E0"/>
        </right>
        <top style="thin">
          <color rgb="FFE0E0E0"/>
        </top>
        <bottom style="thin">
          <color rgb="FFE0E0E0"/>
        </bottom>
      </border>
    </dxf>
    <dxf>
      <font>
        <strike val="0"/>
        <outline val="0"/>
        <shadow val="0"/>
        <u val="none"/>
        <vertAlign val="baseline"/>
        <sz val="9"/>
        <name val="Aptos"/>
        <family val="2"/>
        <scheme val="none"/>
      </font>
      <numFmt numFmtId="3" formatCode="#,##0"/>
      <fill>
        <patternFill patternType="solid">
          <fgColor indexed="64"/>
          <bgColor rgb="FFFFF2CC"/>
        </patternFill>
      </fill>
      <border diagonalUp="0" diagonalDown="0" outline="0">
        <left style="thin">
          <color rgb="FFE0E0E0"/>
        </left>
        <right style="thin">
          <color rgb="FFE0E0E0"/>
        </right>
        <top style="thin">
          <color rgb="FFE0E0E0"/>
        </top>
        <bottom style="thin">
          <color rgb="FFE0E0E0"/>
        </bottom>
      </border>
    </dxf>
    <dxf>
      <font>
        <strike val="0"/>
        <outline val="0"/>
        <shadow val="0"/>
        <u val="none"/>
        <vertAlign val="baseline"/>
        <sz val="9"/>
        <name val="Aptos"/>
        <family val="2"/>
        <scheme val="none"/>
      </font>
      <numFmt numFmtId="3" formatCode="#,##0"/>
      <fill>
        <patternFill patternType="solid">
          <fgColor indexed="64"/>
          <bgColor rgb="FFFFF2CC"/>
        </patternFill>
      </fill>
      <border diagonalUp="0" diagonalDown="0" outline="0">
        <left style="thin">
          <color rgb="FFE0E0E0"/>
        </left>
        <right style="thin">
          <color rgb="FFE0E0E0"/>
        </right>
        <top style="thin">
          <color rgb="FFE0E0E0"/>
        </top>
        <bottom style="thin">
          <color rgb="FFE0E0E0"/>
        </bottom>
      </border>
    </dxf>
    <dxf>
      <font>
        <b val="0"/>
        <i val="0"/>
        <strike val="0"/>
        <condense val="0"/>
        <extend val="0"/>
        <outline val="0"/>
        <shadow val="0"/>
        <u val="none"/>
        <vertAlign val="baseline"/>
        <sz val="9"/>
        <color rgb="FF111827"/>
        <name val="Aptos"/>
        <family val="2"/>
        <scheme val="none"/>
      </font>
      <fill>
        <patternFill patternType="solid">
          <fgColor indexed="64"/>
          <bgColor rgb="FFFFF2CC"/>
        </patternFill>
      </fill>
      <alignment horizontal="general" vertical="top" textRotation="0" wrapText="1" indent="0" justifyLastLine="0" shrinkToFit="0" readingOrder="0"/>
      <border diagonalUp="0" diagonalDown="0" outline="0">
        <left style="thin">
          <color rgb="FFE0E0E0"/>
        </left>
        <right style="thin">
          <color rgb="FFE0E0E0"/>
        </right>
        <top style="thin">
          <color rgb="FFE0E0E0"/>
        </top>
        <bottom style="thin">
          <color rgb="FFE0E0E0"/>
        </bottom>
      </border>
    </dxf>
    <dxf>
      <font>
        <b val="0"/>
        <i val="0"/>
        <strike val="0"/>
        <condense val="0"/>
        <extend val="0"/>
        <outline val="0"/>
        <shadow val="0"/>
        <u val="none"/>
        <vertAlign val="baseline"/>
        <sz val="9"/>
        <color rgb="FF111827"/>
        <name val="Aptos"/>
        <family val="2"/>
        <scheme val="none"/>
      </font>
      <fill>
        <patternFill patternType="solid">
          <fgColor indexed="64"/>
          <bgColor rgb="FFFFF2CC"/>
        </patternFill>
      </fill>
      <alignment horizontal="general" vertical="top" textRotation="0" wrapText="1" indent="0" justifyLastLine="0" shrinkToFit="0" readingOrder="0"/>
      <border diagonalUp="0" diagonalDown="0" outline="0">
        <left style="thin">
          <color rgb="FFE0E0E0"/>
        </left>
        <right style="thin">
          <color rgb="FFE0E0E0"/>
        </right>
        <top style="thin">
          <color rgb="FFE0E0E0"/>
        </top>
        <bottom style="thin">
          <color rgb="FFE0E0E0"/>
        </bottom>
      </border>
    </dxf>
    <dxf>
      <font>
        <strike val="0"/>
        <outline val="0"/>
        <shadow val="0"/>
        <u val="none"/>
        <vertAlign val="baseline"/>
        <sz val="9"/>
        <name val="Aptos"/>
        <family val="2"/>
        <scheme val="none"/>
      </font>
      <fill>
        <patternFill patternType="solid">
          <fgColor indexed="64"/>
          <bgColor rgb="FFFFF2CC"/>
        </patternFill>
      </fill>
    </dxf>
    <dxf>
      <border>
        <bottom style="thin">
          <color theme="0"/>
        </bottom>
      </border>
    </dxf>
    <dxf>
      <font>
        <b/>
        <i val="0"/>
        <strike val="0"/>
        <condense val="0"/>
        <extend val="0"/>
        <outline val="0"/>
        <shadow val="0"/>
        <u val="none"/>
        <vertAlign val="baseline"/>
        <sz val="10"/>
        <color rgb="FFFFFFFF"/>
        <name val="Aptos"/>
        <family val="2"/>
        <scheme val="none"/>
      </font>
      <fill>
        <patternFill patternType="solid">
          <fgColor rgb="FF333399"/>
          <bgColor rgb="FF003865"/>
        </patternFill>
      </fill>
      <alignment horizontal="center" vertical="center"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ertAlign val="baseline"/>
        <sz val="9"/>
        <color rgb="FF467886"/>
        <name val="Aptos"/>
        <family val="2"/>
        <scheme val="none"/>
      </font>
      <fill>
        <patternFill patternType="solid">
          <fgColor indexed="64"/>
          <bgColor rgb="FFFFF2CC"/>
        </patternFill>
      </fill>
      <alignment horizontal="general" vertical="top" textRotation="0" wrapText="0" indent="0" justifyLastLine="0" shrinkToFit="0" readingOrder="0"/>
      <border diagonalUp="0" diagonalDown="0" outline="0">
        <left/>
        <right style="thin">
          <color rgb="FFE5E7EB"/>
        </right>
        <top style="thin">
          <color rgb="FFE5E7EB"/>
        </top>
        <bottom style="thin">
          <color rgb="FFE5E7EB"/>
        </bottom>
      </border>
    </dxf>
    <dxf>
      <font>
        <b val="0"/>
        <i val="0"/>
        <strike val="0"/>
        <condense val="0"/>
        <extend val="0"/>
        <outline val="0"/>
        <shadow val="0"/>
        <u val="none"/>
        <vertAlign val="baseline"/>
        <sz val="9"/>
        <color rgb="FF111827"/>
        <name val="Aptos"/>
        <family val="2"/>
        <scheme val="none"/>
      </font>
      <fill>
        <patternFill patternType="solid">
          <fgColor indexed="64"/>
          <bgColor rgb="FFFFF2CC"/>
        </patternFill>
      </fill>
      <alignment horizontal="general" vertical="top" textRotation="0" wrapText="1" indent="0" justifyLastLine="0" shrinkToFit="0" readingOrder="0"/>
      <border diagonalUp="0" diagonalDown="0" outline="0">
        <left style="thin">
          <color rgb="FFE5E7EB"/>
        </left>
        <right style="thin">
          <color rgb="FFE5E7EB"/>
        </right>
        <top style="thin">
          <color rgb="FFE5E7EB"/>
        </top>
        <bottom style="thin">
          <color rgb="FFE5E7EB"/>
        </bottom>
      </border>
    </dxf>
    <dxf>
      <font>
        <b val="0"/>
        <i val="0"/>
        <strike val="0"/>
        <condense val="0"/>
        <extend val="0"/>
        <outline val="0"/>
        <shadow val="0"/>
        <u val="none"/>
        <vertAlign val="baseline"/>
        <sz val="9"/>
        <color theme="1"/>
        <name val="Aptos"/>
        <family val="2"/>
        <scheme val="none"/>
      </font>
      <numFmt numFmtId="184" formatCode="#,##0.00\ &quot;Cr&quot;"/>
      <fill>
        <patternFill patternType="solid">
          <fgColor indexed="64"/>
          <bgColor rgb="FFDDEBF7"/>
        </patternFill>
      </fill>
      <alignment horizontal="general" vertical="top" textRotation="0" wrapText="1" indent="0" justifyLastLine="0" shrinkToFit="0" readingOrder="0"/>
      <border diagonalUp="0" diagonalDown="0" outline="0">
        <left style="thin">
          <color rgb="FFE5E7EB"/>
        </left>
        <right/>
        <top style="thin">
          <color rgb="FFE5E7EB"/>
        </top>
        <bottom style="thin">
          <color rgb="FFE5E7EB"/>
        </bottom>
      </border>
    </dxf>
    <dxf>
      <font>
        <b val="0"/>
        <i val="0"/>
        <strike val="0"/>
        <condense val="0"/>
        <extend val="0"/>
        <outline val="0"/>
        <shadow val="0"/>
        <u val="none"/>
        <vertAlign val="baseline"/>
        <sz val="9"/>
        <color rgb="FF111827"/>
        <name val="Aptos"/>
        <family val="2"/>
        <scheme val="none"/>
      </font>
      <numFmt numFmtId="166" formatCode="[$₹-4009]\ #,##0.00"/>
      <fill>
        <patternFill patternType="solid">
          <fgColor indexed="64"/>
          <bgColor rgb="FFFFF2CC"/>
        </patternFill>
      </fill>
      <alignment horizontal="general" vertical="top" textRotation="0" wrapText="1" indent="0" justifyLastLine="0" shrinkToFit="0" readingOrder="0"/>
      <border diagonalUp="0" diagonalDown="0" outline="0">
        <left style="thin">
          <color rgb="FFE5E7EB"/>
        </left>
        <right style="thin">
          <color rgb="FFE5E7EB"/>
        </right>
        <top style="thin">
          <color rgb="FFE5E7EB"/>
        </top>
        <bottom style="thin">
          <color rgb="FFE5E7EB"/>
        </bottom>
      </border>
    </dxf>
    <dxf>
      <font>
        <b val="0"/>
        <i val="0"/>
        <strike val="0"/>
        <condense val="0"/>
        <extend val="0"/>
        <outline val="0"/>
        <shadow val="0"/>
        <u val="none"/>
        <vertAlign val="baseline"/>
        <sz val="9"/>
        <color rgb="FF111827"/>
        <name val="Aptos"/>
        <family val="2"/>
        <scheme val="none"/>
      </font>
      <numFmt numFmtId="172" formatCode="#,##0.00\ &quot;m³&quot;"/>
      <fill>
        <patternFill patternType="solid">
          <fgColor indexed="64"/>
          <bgColor rgb="FFFFF2CC"/>
        </patternFill>
      </fill>
      <alignment horizontal="general" vertical="top" textRotation="0" wrapText="1" indent="0" justifyLastLine="0" shrinkToFit="0" readingOrder="0"/>
      <border diagonalUp="0" diagonalDown="0" outline="0">
        <left style="thin">
          <color rgb="FFE5E7EB"/>
        </left>
        <right style="thin">
          <color rgb="FFE5E7EB"/>
        </right>
        <top style="thin">
          <color rgb="FFE5E7EB"/>
        </top>
        <bottom style="thin">
          <color rgb="FFE5E7EB"/>
        </bottom>
      </border>
    </dxf>
    <dxf>
      <font>
        <b val="0"/>
        <i val="0"/>
        <strike val="0"/>
        <condense val="0"/>
        <extend val="0"/>
        <outline val="0"/>
        <shadow val="0"/>
        <u val="none"/>
        <vertAlign val="baseline"/>
        <sz val="9"/>
        <color rgb="FF111827"/>
        <name val="Aptos"/>
        <family val="2"/>
        <scheme val="none"/>
      </font>
      <numFmt numFmtId="171" formatCode="#,##0.00\ &quot;m³ / sq m&quot;"/>
      <fill>
        <patternFill patternType="solid">
          <fgColor indexed="64"/>
          <bgColor rgb="FFFFF2CC"/>
        </patternFill>
      </fill>
      <alignment horizontal="general" vertical="top" textRotation="0" wrapText="1" indent="0" justifyLastLine="0" shrinkToFit="0" readingOrder="0"/>
      <border diagonalUp="0" diagonalDown="0">
        <left style="thin">
          <color rgb="FFE5E7EB"/>
        </left>
        <right style="thin">
          <color rgb="FFE5E7EB"/>
        </right>
        <top style="thin">
          <color rgb="FFE5E7EB"/>
        </top>
        <bottom style="thin">
          <color rgb="FFE5E7EB"/>
        </bottom>
      </border>
    </dxf>
    <dxf>
      <font>
        <b val="0"/>
        <i val="0"/>
        <strike val="0"/>
        <condense val="0"/>
        <extend val="0"/>
        <outline val="0"/>
        <shadow val="0"/>
        <u val="none"/>
        <vertAlign val="baseline"/>
        <sz val="9"/>
        <color theme="3" tint="9.9948118533890809E-2"/>
        <name val="Aptos"/>
        <family val="2"/>
        <scheme val="none"/>
      </font>
      <numFmt numFmtId="170" formatCode="#,##0\ &quot;sq m&quot;"/>
      <fill>
        <patternFill patternType="solid">
          <fgColor indexed="64"/>
          <bgColor rgb="FFFFF2CC"/>
        </patternFill>
      </fill>
      <alignment horizontal="general" vertical="top" textRotation="0" wrapText="1" indent="0" justifyLastLine="0" shrinkToFit="0" readingOrder="0"/>
      <border diagonalUp="0" diagonalDown="0" outline="0">
        <left style="thin">
          <color rgb="FFE5E7EB"/>
        </left>
        <right style="thin">
          <color rgb="FFE5E7EB"/>
        </right>
        <top style="thin">
          <color rgb="FFE5E7EB"/>
        </top>
        <bottom style="thin">
          <color rgb="FFE5E7EB"/>
        </bottom>
      </border>
    </dxf>
    <dxf>
      <font>
        <b val="0"/>
        <i val="0"/>
        <strike val="0"/>
        <condense val="0"/>
        <extend val="0"/>
        <outline val="0"/>
        <shadow val="0"/>
        <u val="none"/>
        <vertAlign val="baseline"/>
        <sz val="9"/>
        <color rgb="FF1F4E9C"/>
        <name val="Aptos"/>
        <family val="2"/>
        <scheme val="none"/>
      </font>
      <numFmt numFmtId="170" formatCode="#,##0\ &quot;sq m&quot;"/>
      <fill>
        <patternFill patternType="solid">
          <fgColor indexed="64"/>
          <bgColor rgb="FFFFF2CC"/>
        </patternFill>
      </fill>
      <alignment horizontal="general" vertical="top" textRotation="0" wrapText="1" indent="0" justifyLastLine="0" shrinkToFit="0" readingOrder="0"/>
      <border diagonalUp="0" diagonalDown="0" outline="0">
        <left style="thin">
          <color rgb="FFE5E7EB"/>
        </left>
        <right style="thin">
          <color rgb="FFE5E7EB"/>
        </right>
        <top style="thin">
          <color rgb="FFE5E7EB"/>
        </top>
        <bottom style="thin">
          <color rgb="FFE5E7EB"/>
        </bottom>
      </border>
    </dxf>
    <dxf>
      <font>
        <b val="0"/>
        <i val="0"/>
        <strike val="0"/>
        <condense val="0"/>
        <extend val="0"/>
        <outline val="0"/>
        <shadow val="0"/>
        <u val="none"/>
        <vertAlign val="baseline"/>
        <sz val="9"/>
        <color rgb="FF1F4E9C"/>
        <name val="Aptos"/>
        <family val="2"/>
        <scheme val="none"/>
      </font>
      <numFmt numFmtId="182" formatCode="m/d/yy;@"/>
      <fill>
        <patternFill patternType="solid">
          <fgColor indexed="64"/>
          <bgColor rgb="FFFFF2CC"/>
        </patternFill>
      </fill>
      <alignment horizontal="general" vertical="top" textRotation="0" wrapText="1" indent="0" justifyLastLine="0" shrinkToFit="0" readingOrder="0"/>
      <border diagonalUp="0" diagonalDown="0" outline="0">
        <left style="thin">
          <color rgb="FFE5E7EB"/>
        </left>
        <right style="thin">
          <color rgb="FFE5E7EB"/>
        </right>
        <top style="thin">
          <color rgb="FFE5E7EB"/>
        </top>
        <bottom style="thin">
          <color rgb="FFE5E7EB"/>
        </bottom>
      </border>
    </dxf>
    <dxf>
      <font>
        <b val="0"/>
        <i val="0"/>
        <strike val="0"/>
        <condense val="0"/>
        <extend val="0"/>
        <outline val="0"/>
        <shadow val="0"/>
        <u val="none"/>
        <vertAlign val="baseline"/>
        <sz val="9"/>
        <color rgb="FF1F4E9C"/>
        <name val="Aptos"/>
        <family val="2"/>
        <scheme val="none"/>
      </font>
      <numFmt numFmtId="182" formatCode="m/d/yy;@"/>
      <fill>
        <patternFill patternType="solid">
          <fgColor indexed="64"/>
          <bgColor rgb="FFFFF2CC"/>
        </patternFill>
      </fill>
      <alignment horizontal="general" vertical="top" textRotation="0" wrapText="1" indent="0" justifyLastLine="0" shrinkToFit="0" readingOrder="0"/>
      <border diagonalUp="0" diagonalDown="0" outline="0">
        <left style="thin">
          <color rgb="FFE5E7EB"/>
        </left>
        <right style="thin">
          <color rgb="FFE5E7EB"/>
        </right>
        <top style="thin">
          <color rgb="FFE5E7EB"/>
        </top>
        <bottom style="thin">
          <color rgb="FFE5E7EB"/>
        </bottom>
      </border>
    </dxf>
    <dxf>
      <font>
        <b val="0"/>
        <i val="0"/>
        <strike val="0"/>
        <condense val="0"/>
        <extend val="0"/>
        <outline val="0"/>
        <shadow val="0"/>
        <u val="none"/>
        <vertAlign val="baseline"/>
        <sz val="9"/>
        <color rgb="FF111827"/>
        <name val="Aptos"/>
        <family val="2"/>
        <scheme val="none"/>
      </font>
      <numFmt numFmtId="0" formatCode="General"/>
      <fill>
        <patternFill patternType="solid">
          <fgColor indexed="64"/>
          <bgColor rgb="FFFFF2CC"/>
        </patternFill>
      </fill>
      <alignment horizontal="general" vertical="top" textRotation="0" wrapText="1" indent="0" justifyLastLine="0" shrinkToFit="0" readingOrder="0"/>
      <border diagonalUp="0" diagonalDown="0" outline="0">
        <left/>
        <right style="thin">
          <color rgb="FFE5E7EB"/>
        </right>
        <top style="thin">
          <color rgb="FFE5E7EB"/>
        </top>
        <bottom style="thin">
          <color rgb="FFE5E7EB"/>
        </bottom>
      </border>
    </dxf>
    <dxf>
      <font>
        <b val="0"/>
        <i val="0"/>
        <strike val="0"/>
        <condense val="0"/>
        <extend val="0"/>
        <outline val="0"/>
        <shadow val="0"/>
        <u val="none"/>
        <vertAlign val="baseline"/>
        <sz val="9"/>
        <color rgb="FF111827"/>
        <name val="Aptos"/>
        <family val="2"/>
        <scheme val="none"/>
      </font>
      <numFmt numFmtId="30" formatCode="@"/>
      <fill>
        <patternFill patternType="solid">
          <fgColor indexed="64"/>
          <bgColor rgb="FFFFF2CC"/>
        </patternFill>
      </fill>
      <alignment horizontal="general" vertical="top" textRotation="0" wrapText="1" indent="0" justifyLastLine="0" shrinkToFit="0" readingOrder="0"/>
      <border diagonalUp="0" diagonalDown="0" outline="0">
        <left style="thin">
          <color rgb="FFE5E7EB"/>
        </left>
        <right style="thin">
          <color rgb="FFE5E7EB"/>
        </right>
        <top style="thin">
          <color rgb="FFE5E7EB"/>
        </top>
        <bottom style="thin">
          <color rgb="FFE5E7EB"/>
        </bottom>
      </border>
    </dxf>
    <dxf>
      <font>
        <b val="0"/>
        <i val="0"/>
        <strike val="0"/>
        <condense val="0"/>
        <extend val="0"/>
        <outline val="0"/>
        <shadow val="0"/>
        <u val="none"/>
        <vertAlign val="baseline"/>
        <sz val="9"/>
        <color rgb="FF1F4E9C"/>
        <name val="Aptos"/>
        <family val="2"/>
        <scheme val="none"/>
      </font>
      <fill>
        <patternFill patternType="solid">
          <fgColor indexed="64"/>
          <bgColor rgb="FFFFF2CC"/>
        </patternFill>
      </fill>
      <alignment horizontal="general" vertical="top" textRotation="0" wrapText="1" indent="0" justifyLastLine="0" shrinkToFit="0" readingOrder="0"/>
      <border diagonalUp="0" diagonalDown="0" outline="0">
        <left style="thin">
          <color rgb="FFE5E7EB"/>
        </left>
        <right/>
        <top style="thin">
          <color rgb="FFE5E7EB"/>
        </top>
        <bottom style="thin">
          <color rgb="FFE5E7EB"/>
        </bottom>
      </border>
    </dxf>
    <dxf>
      <font>
        <b val="0"/>
        <i val="0"/>
        <strike val="0"/>
        <condense val="0"/>
        <extend val="0"/>
        <outline val="0"/>
        <shadow val="0"/>
        <u val="none"/>
        <vertAlign val="baseline"/>
        <sz val="9"/>
        <color rgb="FF1F4E9C"/>
        <name val="Aptos"/>
        <family val="2"/>
        <scheme val="none"/>
      </font>
      <numFmt numFmtId="30" formatCode="@"/>
      <fill>
        <patternFill patternType="solid">
          <fgColor indexed="64"/>
          <bgColor rgb="FFFFF2CC"/>
        </patternFill>
      </fill>
      <alignment horizontal="general" vertical="top" textRotation="0" wrapText="1" indent="0" justifyLastLine="0" shrinkToFit="0" readingOrder="0"/>
      <border diagonalUp="0" diagonalDown="0" outline="0">
        <left style="thin">
          <color rgb="FFE5E7EB"/>
        </left>
        <right style="thin">
          <color rgb="FFE5E7EB"/>
        </right>
        <top style="thin">
          <color rgb="FFE5E7EB"/>
        </top>
        <bottom style="thin">
          <color rgb="FFE5E7EB"/>
        </bottom>
      </border>
    </dxf>
    <dxf>
      <font>
        <b val="0"/>
        <i val="0"/>
        <strike val="0"/>
        <condense val="0"/>
        <extend val="0"/>
        <outline val="0"/>
        <shadow val="0"/>
        <u val="none"/>
        <vertAlign val="baseline"/>
        <sz val="9"/>
        <color rgb="FF1F4E9C"/>
        <name val="Aptos"/>
        <family val="2"/>
        <scheme val="none"/>
      </font>
      <numFmt numFmtId="30" formatCode="@"/>
      <fill>
        <patternFill patternType="solid">
          <fgColor indexed="64"/>
          <bgColor rgb="FFFFF2CC"/>
        </patternFill>
      </fill>
      <alignment horizontal="general" vertical="top" textRotation="0" wrapText="1" indent="0" justifyLastLine="0" shrinkToFit="0" readingOrder="0"/>
      <border diagonalUp="0" diagonalDown="0" outline="0">
        <left style="thin">
          <color rgb="FFE5E7EB"/>
        </left>
        <right style="thin">
          <color rgb="FFE5E7EB"/>
        </right>
        <top style="thin">
          <color rgb="FFE5E7EB"/>
        </top>
        <bottom style="thin">
          <color rgb="FFE5E7EB"/>
        </bottom>
      </border>
    </dxf>
    <dxf>
      <font>
        <b val="0"/>
        <i val="0"/>
        <strike val="0"/>
        <condense val="0"/>
        <extend val="0"/>
        <outline val="0"/>
        <shadow val="0"/>
        <u val="none"/>
        <vertAlign val="baseline"/>
        <sz val="9"/>
        <color auto="1"/>
        <name val="Aptos"/>
        <family val="2"/>
        <scheme val="none"/>
      </font>
      <numFmt numFmtId="0" formatCode="General"/>
      <fill>
        <patternFill patternType="solid">
          <fgColor indexed="64"/>
          <bgColor rgb="FFFFF2CC"/>
        </patternFill>
      </fill>
      <alignment horizontal="general" vertical="top" textRotation="0" wrapText="1" indent="0" justifyLastLine="0" shrinkToFit="0" readingOrder="0"/>
      <border diagonalUp="0" diagonalDown="0" outline="0">
        <left style="thin">
          <color rgb="FFE5E7EB"/>
        </left>
        <right style="thin">
          <color rgb="FFE5E7EB"/>
        </right>
        <top style="thin">
          <color rgb="FFE5E7EB"/>
        </top>
        <bottom style="thin">
          <color rgb="FFE5E7EB"/>
        </bottom>
      </border>
    </dxf>
    <dxf>
      <border outline="0">
        <top style="thin">
          <color rgb="FFD7DEE5"/>
        </top>
      </border>
    </dxf>
    <dxf>
      <font>
        <strike val="0"/>
        <outline val="0"/>
        <shadow val="0"/>
        <vertAlign val="baseline"/>
        <name val="Aptos"/>
        <family val="2"/>
        <scheme val="none"/>
      </font>
    </dxf>
    <dxf>
      <font>
        <b/>
        <i val="0"/>
        <strike val="0"/>
        <condense val="0"/>
        <extend val="0"/>
        <outline val="0"/>
        <shadow val="0"/>
        <u val="none"/>
        <vertAlign val="baseline"/>
        <sz val="10"/>
        <color rgb="FFFFFFFF"/>
        <name val="Aptos"/>
        <family val="2"/>
        <scheme val="none"/>
      </font>
      <fill>
        <patternFill patternType="solid">
          <fgColor indexed="64"/>
          <bgColor rgb="FF003865"/>
        </patternFill>
      </fill>
      <alignment horizontal="center" vertical="center" textRotation="0" wrapText="1" indent="0" justifyLastLine="0" shrinkToFit="0" readingOrder="0"/>
    </dxf>
    <dxf>
      <font>
        <color indexed="10"/>
      </font>
      <fill>
        <patternFill>
          <bgColor indexed="45"/>
        </patternFill>
      </fill>
    </dxf>
    <dxf>
      <font>
        <color indexed="12"/>
      </font>
      <fill>
        <patternFill>
          <bgColor indexed="44"/>
        </patternFill>
      </fill>
    </dxf>
    <dxf>
      <font>
        <color indexed="53"/>
      </font>
      <fill>
        <patternFill>
          <bgColor indexed="43"/>
        </patternFill>
      </fill>
    </dxf>
    <dxf>
      <font>
        <color indexed="17"/>
      </font>
      <fill>
        <patternFill>
          <bgColor indexed="42"/>
        </patternFill>
      </fill>
    </dxf>
    <dxf>
      <font>
        <color rgb="FF1E5631"/>
      </font>
      <fill>
        <patternFill>
          <bgColor rgb="FFC6EFCE"/>
        </patternFill>
      </fill>
    </dxf>
    <dxf>
      <font>
        <color theme="6" tint="-0.499984740745262"/>
      </font>
      <fill>
        <patternFill>
          <bgColor rgb="FFC6EFCE"/>
        </patternFill>
      </fill>
    </dxf>
    <dxf>
      <font>
        <color rgb="FF9C0006"/>
      </font>
      <fill>
        <patternFill>
          <bgColor rgb="FFFFC7CE"/>
        </patternFill>
      </fill>
    </dxf>
    <dxf>
      <font>
        <color rgb="FF1B3A6B"/>
      </font>
    </dxf>
    <dxf>
      <font>
        <color rgb="FF7030A0"/>
      </font>
    </dxf>
    <dxf>
      <font>
        <color rgb="FFC55A11"/>
      </font>
    </dxf>
    <dxf>
      <font>
        <color rgb="FF375623"/>
      </font>
    </dxf>
    <dxf>
      <font>
        <color rgb="FF1B3A6B"/>
      </font>
    </dxf>
    <dxf>
      <font>
        <color rgb="FF7030A0"/>
      </font>
    </dxf>
    <dxf>
      <font>
        <color rgb="FFC55A11"/>
      </font>
    </dxf>
    <dxf>
      <font>
        <color rgb="FF375623"/>
      </font>
    </dxf>
    <dxf>
      <font>
        <b val="0"/>
        <i val="0"/>
        <strike val="0"/>
        <condense val="0"/>
        <extend val="0"/>
        <outline val="0"/>
        <shadow val="0"/>
        <u val="none"/>
        <vertAlign val="baseline"/>
        <sz val="9"/>
        <color auto="1"/>
        <name val="Aptos"/>
        <family val="2"/>
        <scheme val="none"/>
      </font>
      <fill>
        <patternFill patternType="solid">
          <fgColor indexed="64"/>
          <bgColor theme="0"/>
        </patternFill>
      </fill>
      <alignment horizontal="general" vertical="bottom" textRotation="0" wrapText="1" indent="0" justifyLastLine="0" shrinkToFit="0" readingOrder="0"/>
      <border diagonalUp="0" diagonalDown="0" outline="0">
        <left style="thin">
          <color rgb="FFE5E7EB"/>
        </left>
        <right style="thin">
          <color rgb="FFE5E7EB"/>
        </right>
        <top style="thin">
          <color rgb="FFE5E7EB"/>
        </top>
        <bottom style="thin">
          <color rgb="FFE5E7EB"/>
        </bottom>
      </border>
    </dxf>
    <dxf>
      <font>
        <b val="0"/>
        <i val="0"/>
        <strike val="0"/>
        <condense val="0"/>
        <extend val="0"/>
        <outline val="0"/>
        <shadow val="0"/>
        <u val="none"/>
        <vertAlign val="baseline"/>
        <sz val="9"/>
        <color rgb="FF000000"/>
        <name val="Aptos"/>
        <family val="2"/>
        <scheme val="none"/>
      </font>
      <fill>
        <patternFill patternType="solid">
          <fgColor rgb="FFFFF2CC"/>
          <bgColor rgb="FFFFF2CC"/>
        </patternFill>
      </fill>
      <alignment horizontal="left" vertical="center" textRotation="0" wrapText="0" indent="0" justifyLastLine="0" shrinkToFit="0" readingOrder="0"/>
      <border diagonalUp="0" diagonalDown="0" outline="0">
        <left style="thin">
          <color rgb="FFE5E7EB"/>
        </left>
        <right style="thin">
          <color rgb="FFE5E7EB"/>
        </right>
        <top style="thin">
          <color rgb="FFE5E7EB"/>
        </top>
        <bottom style="thin">
          <color rgb="FFE5E7EB"/>
        </bottom>
      </border>
    </dxf>
    <dxf>
      <font>
        <b/>
        <i val="0"/>
        <strike val="0"/>
        <condense val="0"/>
        <extend val="0"/>
        <outline val="0"/>
        <shadow val="0"/>
        <u val="none"/>
        <vertAlign val="baseline"/>
        <sz val="9"/>
        <color rgb="FF1F4E9C"/>
        <name val="Aptos"/>
        <family val="2"/>
        <scheme val="none"/>
      </font>
      <numFmt numFmtId="168" formatCode="\₹#,##0"/>
      <fill>
        <patternFill patternType="solid">
          <fgColor rgb="FFFFF2CC"/>
          <bgColor rgb="FFFFF2CC"/>
        </patternFill>
      </fill>
      <alignment horizontal="center" vertical="center" textRotation="0" wrapText="0" indent="0" justifyLastLine="0" shrinkToFit="0" readingOrder="0"/>
      <border diagonalUp="0" diagonalDown="0" outline="0">
        <left style="thin">
          <color rgb="FFE5E7EB"/>
        </left>
        <right style="thin">
          <color rgb="FFE5E7EB"/>
        </right>
        <top style="thin">
          <color rgb="FFE5E7EB"/>
        </top>
        <bottom style="thin">
          <color rgb="FFE5E7EB"/>
        </bottom>
      </border>
    </dxf>
    <dxf>
      <font>
        <b val="0"/>
        <i val="0"/>
        <strike val="0"/>
        <condense val="0"/>
        <extend val="0"/>
        <outline val="0"/>
        <shadow val="0"/>
        <u val="none"/>
        <vertAlign val="baseline"/>
        <sz val="9"/>
        <color rgb="FF1F4E9C"/>
        <name val="Aptos"/>
        <family val="2"/>
        <scheme val="none"/>
      </font>
      <numFmt numFmtId="168" formatCode="\₹#,##0"/>
      <fill>
        <patternFill patternType="solid">
          <fgColor rgb="FFFFF2CC"/>
          <bgColor rgb="FFFFF2CC"/>
        </patternFill>
      </fill>
      <alignment horizontal="right" vertical="center" textRotation="0" wrapText="0" indent="0" justifyLastLine="0" shrinkToFit="0" readingOrder="0"/>
      <border diagonalUp="0" diagonalDown="0" outline="0">
        <left style="thin">
          <color rgb="FFE5E7EB"/>
        </left>
        <right style="thin">
          <color rgb="FFE5E7EB"/>
        </right>
        <top style="thin">
          <color rgb="FFE5E7EB"/>
        </top>
        <bottom style="thin">
          <color rgb="FFE5E7EB"/>
        </bottom>
      </border>
    </dxf>
    <dxf>
      <font>
        <b val="0"/>
        <i val="0"/>
        <strike val="0"/>
        <condense val="0"/>
        <extend val="0"/>
        <outline val="0"/>
        <shadow val="0"/>
        <u val="none"/>
        <vertAlign val="baseline"/>
        <sz val="9"/>
        <color rgb="FF1F4E9C"/>
        <name val="Aptos"/>
        <family val="2"/>
        <scheme val="none"/>
      </font>
      <numFmt numFmtId="168" formatCode="\₹#,##0"/>
      <fill>
        <patternFill patternType="solid">
          <fgColor rgb="FFFFF2CC"/>
          <bgColor rgb="FFFFF2CC"/>
        </patternFill>
      </fill>
      <alignment horizontal="right" vertical="center" textRotation="0" wrapText="0" indent="0" justifyLastLine="0" shrinkToFit="0" readingOrder="0"/>
      <border diagonalUp="0" diagonalDown="0" outline="0">
        <left/>
        <right style="thin">
          <color rgb="FFE5E7EB"/>
        </right>
        <top style="thin">
          <color rgb="FFE5E7EB"/>
        </top>
        <bottom style="thin">
          <color rgb="FFE5E7EB"/>
        </bottom>
      </border>
    </dxf>
    <dxf>
      <font>
        <b val="0"/>
        <i val="0"/>
        <strike val="0"/>
        <condense val="0"/>
        <extend val="0"/>
        <outline val="0"/>
        <shadow val="0"/>
        <u val="none"/>
        <vertAlign val="baseline"/>
        <sz val="9"/>
        <color rgb="FF000000"/>
        <name val="Aptos"/>
        <family val="2"/>
        <scheme val="none"/>
      </font>
      <fill>
        <patternFill patternType="solid">
          <fgColor rgb="FFFFF2CC"/>
          <bgColor rgb="FFFFF2CC"/>
        </patternFill>
      </fill>
      <alignment horizontal="left" vertical="center" textRotation="0" wrapText="0" indent="0" justifyLastLine="0" shrinkToFit="0" readingOrder="0"/>
      <border diagonalUp="0" diagonalDown="0" outline="0">
        <left style="thin">
          <color rgb="FFE5E7EB"/>
        </left>
        <right style="thin">
          <color rgb="FFE5E7EB"/>
        </right>
        <top style="thin">
          <color rgb="FFE5E7EB"/>
        </top>
        <bottom style="thin">
          <color rgb="FFE5E7EB"/>
        </bottom>
      </border>
    </dxf>
    <dxf>
      <border outline="0">
        <top style="medium">
          <color theme="0"/>
        </top>
        <bottom style="thin">
          <color rgb="FFBFBFBF"/>
        </bottom>
      </border>
    </dxf>
    <dxf>
      <border outline="0">
        <bottom style="medium">
          <color theme="0"/>
        </bottom>
      </border>
    </dxf>
    <dxf>
      <font>
        <b/>
        <i val="0"/>
        <strike val="0"/>
        <condense val="0"/>
        <extend val="0"/>
        <outline val="0"/>
        <shadow val="0"/>
        <u val="none"/>
        <vertAlign val="baseline"/>
        <sz val="10"/>
        <color rgb="FFFFFFFF"/>
        <name val="Aptos"/>
        <family val="2"/>
        <scheme val="none"/>
      </font>
      <fill>
        <patternFill patternType="solid">
          <fgColor rgb="FF333399"/>
          <bgColor rgb="FF003865"/>
        </patternFill>
      </fill>
      <alignment horizontal="center" vertical="center" textRotation="0" wrapText="1" indent="0" justifyLastLine="0" shrinkToFit="0" readingOrder="0"/>
      <border diagonalUp="0" diagonalDown="0" outline="0">
        <left style="medium">
          <color theme="0"/>
        </left>
        <right style="medium">
          <color theme="0"/>
        </right>
        <top/>
        <bottom/>
      </border>
    </dxf>
    <dxf>
      <font>
        <b val="0"/>
        <i val="0"/>
        <strike val="0"/>
        <condense val="0"/>
        <extend val="0"/>
        <outline val="0"/>
        <shadow val="0"/>
        <u val="none"/>
        <vertAlign val="baseline"/>
        <sz val="9"/>
        <color auto="1"/>
        <name val="Aptos"/>
        <family val="2"/>
        <scheme val="none"/>
      </font>
      <fill>
        <patternFill patternType="solid">
          <fgColor indexed="64"/>
          <bgColor theme="0"/>
        </patternFill>
      </fill>
      <border diagonalUp="0" diagonalDown="0" outline="0">
        <left style="thin">
          <color rgb="FFE5E7EB"/>
        </left>
        <right style="thin">
          <color rgb="FFE5E7EB"/>
        </right>
        <top style="thin">
          <color rgb="FFE5E7EB"/>
        </top>
        <bottom style="thin">
          <color rgb="FFE5E7EB"/>
        </bottom>
      </border>
    </dxf>
    <dxf>
      <border diagonalUp="0" diagonalDown="0" outline="0">
        <left style="thin">
          <color rgb="FFE5E7EB"/>
        </left>
        <right style="thin">
          <color rgb="FFE5E7EB"/>
        </right>
        <top style="thin">
          <color rgb="FFE5E7EB"/>
        </top>
        <bottom style="thin">
          <color rgb="FFE5E7EB"/>
        </bottom>
      </border>
    </dxf>
    <dxf>
      <font>
        <strike val="0"/>
        <outline val="0"/>
        <shadow val="0"/>
        <u val="none"/>
        <vertAlign val="baseline"/>
        <sz val="9"/>
        <color rgb="FF1F4E9C"/>
        <name val="Aptos"/>
        <family val="2"/>
        <scheme val="none"/>
      </font>
      <border diagonalUp="0" diagonalDown="0" outline="0">
        <left style="thin">
          <color rgb="FFE5E7EB"/>
        </left>
        <right style="thin">
          <color rgb="FFE5E7EB"/>
        </right>
        <top style="thin">
          <color rgb="FFE5E7EB"/>
        </top>
        <bottom style="thin">
          <color rgb="FFE5E7EB"/>
        </bottom>
      </border>
    </dxf>
    <dxf>
      <font>
        <strike val="0"/>
        <outline val="0"/>
        <shadow val="0"/>
        <u val="none"/>
        <vertAlign val="baseline"/>
        <sz val="9"/>
        <color rgb="FF1F4E9C"/>
        <name val="Aptos"/>
        <family val="2"/>
        <scheme val="none"/>
      </font>
      <border diagonalUp="0" diagonalDown="0" outline="0">
        <left style="thin">
          <color rgb="FFE5E7EB"/>
        </left>
        <right style="thin">
          <color rgb="FFE5E7EB"/>
        </right>
        <top style="thin">
          <color rgb="FFE5E7EB"/>
        </top>
        <bottom style="thin">
          <color rgb="FFE5E7EB"/>
        </bottom>
      </border>
    </dxf>
    <dxf>
      <font>
        <strike val="0"/>
        <outline val="0"/>
        <shadow val="0"/>
        <u val="none"/>
        <vertAlign val="baseline"/>
        <sz val="9"/>
        <color rgb="FF1F4E9C"/>
        <name val="Aptos"/>
        <family val="2"/>
        <scheme val="none"/>
      </font>
      <border diagonalUp="0" diagonalDown="0" outline="0">
        <left style="thin">
          <color rgb="FFE5E7EB"/>
        </left>
        <right style="thin">
          <color rgb="FFE5E7EB"/>
        </right>
        <top style="thin">
          <color rgb="FFE5E7EB"/>
        </top>
        <bottom style="thin">
          <color rgb="FFE5E7EB"/>
        </bottom>
      </border>
    </dxf>
    <dxf>
      <font>
        <strike val="0"/>
        <outline val="0"/>
        <shadow val="0"/>
        <u val="none"/>
        <vertAlign val="baseline"/>
        <sz val="9"/>
        <color rgb="FF1F4E9C"/>
        <name val="Aptos"/>
        <family val="2"/>
        <scheme val="none"/>
      </font>
      <border diagonalUp="0" diagonalDown="0" outline="0">
        <left/>
        <right style="thin">
          <color rgb="FFE5E7EB"/>
        </right>
        <top style="thin">
          <color rgb="FFE5E7EB"/>
        </top>
        <bottom style="thin">
          <color rgb="FFE5E7EB"/>
        </bottom>
      </border>
    </dxf>
    <dxf>
      <font>
        <b val="0"/>
      </font>
      <border diagonalUp="0" diagonalDown="0" outline="0">
        <left style="thin">
          <color rgb="FFE5E7EB"/>
        </left>
        <right style="thin">
          <color rgb="FFE5E7EB"/>
        </right>
        <top style="thin">
          <color rgb="FFE5E7EB"/>
        </top>
        <bottom style="thin">
          <color rgb="FFE5E7EB"/>
        </bottom>
      </border>
    </dxf>
    <dxf>
      <border outline="0">
        <top style="medium">
          <color theme="0"/>
        </top>
        <bottom style="thin">
          <color rgb="FFBFBFBF"/>
        </bottom>
      </border>
    </dxf>
    <dxf>
      <border outline="0">
        <bottom style="medium">
          <color theme="0"/>
        </bottom>
      </border>
    </dxf>
    <dxf>
      <font>
        <b/>
        <i val="0"/>
        <strike val="0"/>
        <condense val="0"/>
        <extend val="0"/>
        <outline val="0"/>
        <shadow val="0"/>
        <u val="none"/>
        <vertAlign val="baseline"/>
        <sz val="10"/>
        <color rgb="FFFFFFFF"/>
        <name val="Aptos"/>
        <family val="2"/>
        <scheme val="none"/>
      </font>
      <fill>
        <patternFill patternType="solid">
          <fgColor rgb="FF333399"/>
          <bgColor rgb="FF003865"/>
        </patternFill>
      </fill>
      <alignment horizontal="center" vertical="center" textRotation="0" wrapText="1" indent="0" justifyLastLine="0" shrinkToFit="0" readingOrder="0"/>
      <border diagonalUp="0" diagonalDown="0" outline="0">
        <left style="medium">
          <color theme="0"/>
        </left>
        <right style="medium">
          <color theme="0"/>
        </right>
        <top/>
        <bottom/>
      </border>
    </dxf>
  </dxfs>
  <tableStyles count="0" defaultTableStyle="TableStyleMedium2" defaultPivotStyle="PivotStyleLight16"/>
  <colors>
    <mruColors>
      <color rgb="FF1C2A43"/>
      <color rgb="FFFF6A05"/>
      <color rgb="FFD4AF37"/>
      <color rgb="FFFFFF93"/>
      <color rgb="FF1F4E9C"/>
      <color rgb="FF0B3A66"/>
      <color rgb="FF153D64"/>
      <color rgb="FFF8F6F0"/>
      <color rgb="FF0B3B63"/>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TAM/SAM/SOM Revenue View</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solidFill>
              <a:srgbClr val="003865"/>
            </a:solidFill>
            <a:ln>
              <a:noFill/>
            </a:ln>
            <a:effectLst/>
          </c:spPr>
          <c:invertIfNegative val="0"/>
          <c:dPt>
            <c:idx val="1"/>
            <c:invertIfNegative val="0"/>
            <c:bubble3D val="0"/>
            <c:spPr>
              <a:solidFill>
                <a:schemeClr val="accent2"/>
              </a:solidFill>
              <a:ln>
                <a:noFill/>
              </a:ln>
              <a:effectLst/>
            </c:spPr>
            <c:extLst>
              <c:ext xmlns:c16="http://schemas.microsoft.com/office/drawing/2014/chart" uri="{C3380CC4-5D6E-409C-BE32-E72D297353CC}">
                <c16:uniqueId val="{00000000-6EF8-4818-AF15-D463531A334F}"/>
              </c:ext>
            </c:extLst>
          </c:dPt>
          <c:dPt>
            <c:idx val="2"/>
            <c:invertIfNegative val="0"/>
            <c:bubble3D val="0"/>
            <c:spPr>
              <a:solidFill>
                <a:srgbClr val="1B7F3A"/>
              </a:solidFill>
              <a:ln>
                <a:noFill/>
              </a:ln>
              <a:effectLst/>
            </c:spPr>
            <c:extLst>
              <c:ext xmlns:c16="http://schemas.microsoft.com/office/drawing/2014/chart" uri="{C3380CC4-5D6E-409C-BE32-E72D297353CC}">
                <c16:uniqueId val="{00000001-6EF8-4818-AF15-D463531A334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TAM_SAM_SOM!$H$38:$H$40</c:f>
              <c:strCache>
                <c:ptCount val="3"/>
                <c:pt idx="0">
                  <c:v>TAM</c:v>
                </c:pt>
                <c:pt idx="1">
                  <c:v>SAM</c:v>
                </c:pt>
                <c:pt idx="2">
                  <c:v>SOM Year 3</c:v>
                </c:pt>
              </c:strCache>
            </c:strRef>
          </c:cat>
          <c:val>
            <c:numRef>
              <c:f>TAM_SAM_SOM!$I$38:$I$40</c:f>
              <c:numCache>
                <c:formatCode>[$₹-4009]\ #,##0.00</c:formatCode>
                <c:ptCount val="3"/>
                <c:pt idx="0">
                  <c:v>26760.217739999996</c:v>
                </c:pt>
                <c:pt idx="1">
                  <c:v>25943.411520000031</c:v>
                </c:pt>
                <c:pt idx="2">
                  <c:v>5188.6823040000063</c:v>
                </c:pt>
              </c:numCache>
            </c:numRef>
          </c:val>
          <c:extLst>
            <c:ext xmlns:c16="http://schemas.microsoft.com/office/drawing/2014/chart" uri="{C3380CC4-5D6E-409C-BE32-E72D297353CC}">
              <c16:uniqueId val="{00000000-96E8-4CDC-BA3F-4A9AD6D73075}"/>
            </c:ext>
          </c:extLst>
        </c:ser>
        <c:dLbls>
          <c:dLblPos val="ctr"/>
          <c:showLegendKey val="0"/>
          <c:showVal val="1"/>
          <c:showCatName val="0"/>
          <c:showSerName val="0"/>
          <c:showPercent val="0"/>
          <c:showBubbleSize val="0"/>
        </c:dLbls>
        <c:gapWidth val="150"/>
        <c:overlap val="100"/>
        <c:axId val="1213989615"/>
        <c:axId val="1213979055"/>
      </c:barChart>
      <c:catAx>
        <c:axId val="121398961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979055"/>
        <c:crosses val="autoZero"/>
        <c:auto val="1"/>
        <c:lblAlgn val="ctr"/>
        <c:lblOffset val="100"/>
        <c:noMultiLvlLbl val="0"/>
      </c:catAx>
      <c:valAx>
        <c:axId val="1213979055"/>
        <c:scaling>
          <c:orientation val="minMax"/>
        </c:scaling>
        <c:delete val="0"/>
        <c:axPos val="l"/>
        <c:numFmt formatCode="[$₹-4009]\ #,##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989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US"/>
              <a:t>DISTRICT-WISE REACHABLE DEMAND</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TAM_SAM_SOM!$H$44:$H$48</c:f>
              <c:strCache>
                <c:ptCount val="5"/>
                <c:pt idx="0">
                  <c:v>Surat</c:v>
                </c:pt>
                <c:pt idx="1">
                  <c:v>Valsad</c:v>
                </c:pt>
                <c:pt idx="2">
                  <c:v>Bharuch</c:v>
                </c:pt>
                <c:pt idx="3">
                  <c:v>Navsari</c:v>
                </c:pt>
                <c:pt idx="4">
                  <c:v>Tapi</c:v>
                </c:pt>
              </c:strCache>
            </c:strRef>
          </c:cat>
          <c:val>
            <c:numRef>
              <c:f>TAM_SAM_SOM!$I$44:$I$48</c:f>
              <c:numCache>
                <c:formatCode>#,##0.00</c:formatCode>
                <c:ptCount val="5"/>
                <c:pt idx="0">
                  <c:v>30337154</c:v>
                </c:pt>
                <c:pt idx="1">
                  <c:v>5596922</c:v>
                </c:pt>
                <c:pt idx="2">
                  <c:v>5536111</c:v>
                </c:pt>
                <c:pt idx="3">
                  <c:v>1273745.3999999999</c:v>
                </c:pt>
                <c:pt idx="4">
                  <c:v>0</c:v>
                </c:pt>
              </c:numCache>
            </c:numRef>
          </c:val>
          <c:extLst>
            <c:ext xmlns:c16="http://schemas.microsoft.com/office/drawing/2014/chart" uri="{C3380CC4-5D6E-409C-BE32-E72D297353CC}">
              <c16:uniqueId val="{00000000-88D7-44C0-9CC0-79F7F1E661BF}"/>
            </c:ext>
          </c:extLst>
        </c:ser>
        <c:dLbls>
          <c:dLblPos val="ctr"/>
          <c:showLegendKey val="0"/>
          <c:showVal val="1"/>
          <c:showCatName val="0"/>
          <c:showSerName val="0"/>
          <c:showPercent val="0"/>
          <c:showBubbleSize val="0"/>
        </c:dLbls>
        <c:gapWidth val="150"/>
        <c:axId val="166577183"/>
        <c:axId val="166570943"/>
      </c:barChart>
      <c:catAx>
        <c:axId val="16657718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570943"/>
        <c:crosses val="autoZero"/>
        <c:auto val="1"/>
        <c:lblAlgn val="ctr"/>
        <c:lblOffset val="100"/>
        <c:noMultiLvlLbl val="0"/>
      </c:catAx>
      <c:valAx>
        <c:axId val="166570943"/>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5771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CATEGORY-WISE MARKET VALUE</a:t>
            </a:r>
          </a:p>
        </c:rich>
      </c:tx>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1"/>
            </a:solidFill>
            <a:ln>
              <a:noFill/>
            </a:ln>
            <a:effectLst>
              <a:outerShdw blurRad="63500" sx="102000" sy="102000" algn="ctr" rotWithShape="0">
                <a:prstClr val="black">
                  <a:alpha val="20000"/>
                </a:prstClr>
              </a:outerShdw>
            </a:effectLst>
          </c:spPr>
          <c:invertIfNegative val="0"/>
          <c:dPt>
            <c:idx val="0"/>
            <c:invertIfNegative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A-4FB3-4E8B-90B6-19D78E41340B}"/>
              </c:ext>
            </c:extLst>
          </c:dPt>
          <c:dPt>
            <c:idx val="1"/>
            <c:invertIfNegative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C814-4821-A6B4-8F90C0B7FB2F}"/>
              </c:ext>
            </c:extLst>
          </c:dPt>
          <c:dPt>
            <c:idx val="2"/>
            <c:invertIfNegative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8-4FB3-4E8B-90B6-19D78E41340B}"/>
              </c:ext>
            </c:extLst>
          </c:dPt>
          <c:dPt>
            <c:idx val="3"/>
            <c:invertIfNegative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C814-4821-A6B4-8F90C0B7FB2F}"/>
              </c:ext>
            </c:extLst>
          </c:dPt>
          <c:dPt>
            <c:idx val="4"/>
            <c:invertIfNegative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4FB3-4E8B-90B6-19D78E41340B}"/>
              </c:ext>
            </c:extLst>
          </c:dPt>
          <c:dPt>
            <c:idx val="5"/>
            <c:invertIfNegative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4FB3-4E8B-90B6-19D78E41340B}"/>
              </c:ext>
            </c:extLst>
          </c:dPt>
          <c:dLbls>
            <c:dLbl>
              <c:idx val="0"/>
              <c:tx>
                <c:rich>
                  <a:bodyPr/>
                  <a:lstStyle/>
                  <a:p>
                    <a:fld id="{30E3A706-966D-45B0-9B2A-03CE25ECE8D4}" type="VALUE">
                      <a:rPr lang="en-US" baseline="0"/>
                      <a:pPr/>
                      <a:t>[VALUE]</a:t>
                    </a:fld>
                    <a:endParaRPr lang="en-US"/>
                  </a:p>
                </c:rich>
              </c:tx>
              <c:dLblPos val="outEnd"/>
              <c:showLegendKey val="0"/>
              <c:showVal val="1"/>
              <c:showCatName val="1"/>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A-4FB3-4E8B-90B6-19D78E41340B}"/>
                </c:ext>
              </c:extLst>
            </c:dLbl>
            <c:dLbl>
              <c:idx val="1"/>
              <c:tx>
                <c:rich>
                  <a:bodyPr/>
                  <a:lstStyle/>
                  <a:p>
                    <a:fld id="{DB5D6F61-83D9-4415-946E-B6EE7F6AD9C7}" type="VALUE">
                      <a:rPr lang="en-US" baseline="0"/>
                      <a:pPr/>
                      <a:t>[VALUE]</a:t>
                    </a:fld>
                    <a:endParaRPr lang="en-US"/>
                  </a:p>
                </c:rich>
              </c:tx>
              <c:dLblPos val="outEnd"/>
              <c:showLegendKey val="0"/>
              <c:showVal val="1"/>
              <c:showCatName val="1"/>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C814-4821-A6B4-8F90C0B7FB2F}"/>
                </c:ext>
              </c:extLst>
            </c:dLbl>
            <c:dLbl>
              <c:idx val="2"/>
              <c:tx>
                <c:rich>
                  <a:bodyPr/>
                  <a:lstStyle/>
                  <a:p>
                    <a:fld id="{B5FB4A22-301D-49AC-9841-E3563E03779D}" type="VALUE">
                      <a:rPr lang="en-US" baseline="0"/>
                      <a:pPr/>
                      <a:t>[VALUE]</a:t>
                    </a:fld>
                    <a:endParaRPr lang="en-US"/>
                  </a:p>
                </c:rich>
              </c:tx>
              <c:dLblPos val="outEnd"/>
              <c:showLegendKey val="0"/>
              <c:showVal val="1"/>
              <c:showCatName val="1"/>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8-4FB3-4E8B-90B6-19D78E41340B}"/>
                </c:ext>
              </c:extLst>
            </c:dLbl>
            <c:dLbl>
              <c:idx val="3"/>
              <c:tx>
                <c:rich>
                  <a:bodyPr/>
                  <a:lstStyle/>
                  <a:p>
                    <a:fld id="{F3C76C48-6C18-4B0B-AF4A-ADD0F2480B4C}" type="VALUE">
                      <a:rPr lang="en-US" baseline="0"/>
                      <a:pPr/>
                      <a:t>[VALUE]</a:t>
                    </a:fld>
                    <a:endParaRPr lang="en-US"/>
                  </a:p>
                </c:rich>
              </c:tx>
              <c:dLblPos val="outEnd"/>
              <c:showLegendKey val="0"/>
              <c:showVal val="1"/>
              <c:showCatName val="1"/>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7-C814-4821-A6B4-8F90C0B7FB2F}"/>
                </c:ext>
              </c:extLst>
            </c:dLbl>
            <c:dLbl>
              <c:idx val="4"/>
              <c:tx>
                <c:rich>
                  <a:bodyPr/>
                  <a:lstStyle/>
                  <a:p>
                    <a:fld id="{DD0127D7-F2FB-4ED4-B2F9-E1B67E3F6E3A}" type="VALUE">
                      <a:rPr lang="en-US" baseline="0"/>
                      <a:pPr/>
                      <a:t>[VALUE]</a:t>
                    </a:fld>
                    <a:endParaRPr lang="en-US"/>
                  </a:p>
                </c:rich>
              </c:tx>
              <c:dLblPos val="outEnd"/>
              <c:showLegendKey val="0"/>
              <c:showVal val="1"/>
              <c:showCatName val="1"/>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9-4FB3-4E8B-90B6-19D78E41340B}"/>
                </c:ext>
              </c:extLst>
            </c:dLbl>
            <c:dLbl>
              <c:idx val="5"/>
              <c:tx>
                <c:rich>
                  <a:bodyPr/>
                  <a:lstStyle/>
                  <a:p>
                    <a:r>
                      <a:rPr lang="en-US" baseline="0"/>
                      <a:t> </a:t>
                    </a:r>
                    <a:fld id="{35F05A87-3DBF-4AA1-B089-21DDB54A20FA}" type="VALUE">
                      <a:rPr lang="en-US" baseline="0"/>
                      <a:pPr/>
                      <a:t>[VALUE]</a:t>
                    </a:fld>
                    <a:endParaRPr lang="en-US" baseline="0"/>
                  </a:p>
                </c:rich>
              </c:tx>
              <c:dLblPos val="outEnd"/>
              <c:showLegendKey val="0"/>
              <c:showVal val="1"/>
              <c:showCatName val="1"/>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7-4FB3-4E8B-90B6-19D78E41340B}"/>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TAM_SAM_SOM!$K$38:$K$43</c:f>
              <c:strCache>
                <c:ptCount val="6"/>
                <c:pt idx="0">
                  <c:v>Commercial</c:v>
                </c:pt>
                <c:pt idx="1">
                  <c:v>Industrial / Manufacturing</c:v>
                </c:pt>
                <c:pt idx="2">
                  <c:v>Residential/Group Housing</c:v>
                </c:pt>
                <c:pt idx="3">
                  <c:v>Mixed Development</c:v>
                </c:pt>
                <c:pt idx="4">
                  <c:v>Plotted Development</c:v>
                </c:pt>
                <c:pt idx="5">
                  <c:v>Infrastructure</c:v>
                </c:pt>
              </c:strCache>
            </c:strRef>
          </c:cat>
          <c:val>
            <c:numRef>
              <c:f>TAM_SAM_SOM!$L$38:$L$43</c:f>
              <c:numCache>
                <c:formatCode>[$₹-4009]\ #,##0.00</c:formatCode>
                <c:ptCount val="6"/>
                <c:pt idx="0">
                  <c:v>3736.3234999999963</c:v>
                </c:pt>
                <c:pt idx="1">
                  <c:v>0</c:v>
                </c:pt>
                <c:pt idx="2">
                  <c:v>10850.78654999999</c:v>
                </c:pt>
                <c:pt idx="3">
                  <c:v>6435.8952000000072</c:v>
                </c:pt>
                <c:pt idx="4">
                  <c:v>1937.2577399999996</c:v>
                </c:pt>
                <c:pt idx="5">
                  <c:v>3799.9547500000003</c:v>
                </c:pt>
              </c:numCache>
            </c:numRef>
          </c:val>
          <c:extLst>
            <c:ext xmlns:c16="http://schemas.microsoft.com/office/drawing/2014/chart" uri="{C3380CC4-5D6E-409C-BE32-E72D297353CC}">
              <c16:uniqueId val="{00000000-4FB3-4E8B-90B6-19D78E41340B}"/>
            </c:ext>
          </c:extLst>
        </c:ser>
        <c:dLbls>
          <c:showLegendKey val="0"/>
          <c:showVal val="0"/>
          <c:showCatName val="0"/>
          <c:showSerName val="0"/>
          <c:showPercent val="0"/>
          <c:showBubbleSize val="0"/>
        </c:dLbls>
        <c:gapWidth val="100"/>
        <c:axId val="722790959"/>
        <c:axId val="722796719"/>
      </c:barChart>
      <c:valAx>
        <c:axId val="722796719"/>
        <c:scaling>
          <c:orientation val="minMax"/>
        </c:scaling>
        <c:delete val="0"/>
        <c:axPos val="b"/>
        <c:numFmt formatCode="[$₹-4009]\ #,##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2790959"/>
        <c:crosses val="autoZero"/>
        <c:crossBetween val="between"/>
      </c:valAx>
      <c:catAx>
        <c:axId val="722790959"/>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2796719"/>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a:lstStyle/>
          <a:p>
            <a:pPr>
              <a:defRPr sz="1800" b="1" strike="noStrike" spc="-1">
                <a:solidFill>
                  <a:srgbClr val="000000"/>
                </a:solidFill>
                <a:latin typeface="Calibri"/>
                <a:ea typeface="Calibri"/>
              </a:defRPr>
            </a:pPr>
            <a:r>
              <a:rPr lang="en-US" sz="1500" b="1" strike="noStrike" spc="-1">
                <a:solidFill>
                  <a:schemeClr val="bg1">
                    <a:lumMod val="65000"/>
                  </a:schemeClr>
                </a:solidFill>
                <a:latin typeface="Aptos" panose="020B0004020202020204" pitchFamily="34" charset="0"/>
                <a:ea typeface="Calibri"/>
              </a:rPr>
              <a:t>Market</a:t>
            </a:r>
            <a:r>
              <a:rPr lang="en-US" sz="1500" b="1" strike="noStrike" spc="-1" baseline="0">
                <a:solidFill>
                  <a:schemeClr val="bg1">
                    <a:lumMod val="65000"/>
                  </a:schemeClr>
                </a:solidFill>
                <a:latin typeface="Aptos" panose="020B0004020202020204" pitchFamily="34" charset="0"/>
                <a:ea typeface="Calibri"/>
              </a:rPr>
              <a:t> Opportunity Analysis (₹ Cr)</a:t>
            </a:r>
            <a:endParaRPr lang="en-US" sz="1500" b="1" strike="noStrike" spc="-1">
              <a:solidFill>
                <a:schemeClr val="bg1">
                  <a:lumMod val="65000"/>
                </a:schemeClr>
              </a:solidFill>
              <a:latin typeface="Aptos" panose="020B0004020202020204" pitchFamily="34" charset="0"/>
              <a:ea typeface="Calibri"/>
            </a:endParaRPr>
          </a:p>
        </c:rich>
      </c:tx>
      <c:overlay val="0"/>
      <c:spPr>
        <a:noFill/>
        <a:ln w="0">
          <a:noFill/>
        </a:ln>
      </c:spPr>
    </c:title>
    <c:autoTitleDeleted val="0"/>
    <c:plotArea>
      <c:layout/>
      <c:barChart>
        <c:barDir val="bar"/>
        <c:grouping val="clustered"/>
        <c:varyColors val="0"/>
        <c:ser>
          <c:idx val="0"/>
          <c:order val="0"/>
          <c:tx>
            <c:strRef>
              <c:f>TAM_SAM_SOM!$I$37</c:f>
              <c:strCache>
                <c:ptCount val="1"/>
                <c:pt idx="0">
                  <c:v>Market Value (₹ Cr)</c:v>
                </c:pt>
              </c:strCache>
            </c:strRef>
          </c:tx>
          <c:spPr>
            <a:solidFill>
              <a:srgbClr val="003865"/>
            </a:solidFill>
            <a:ln w="0">
              <a:solidFill>
                <a:srgbClr val="000000"/>
              </a:solidFill>
            </a:ln>
          </c:spPr>
          <c:invertIfNegative val="0"/>
          <c:dLbls>
            <c:spPr>
              <a:noFill/>
              <a:ln>
                <a:noFill/>
              </a:ln>
              <a:effectLst/>
            </c:spPr>
            <c:txPr>
              <a:bodyPr wrap="square"/>
              <a:lstStyle/>
              <a:p>
                <a:pPr>
                  <a:defRPr sz="1000" b="0" strike="noStrike" spc="-1">
                    <a:solidFill>
                      <a:srgbClr val="000000"/>
                    </a:solidFill>
                    <a:latin typeface="Calibri"/>
                    <a:ea typeface="Calibri"/>
                  </a:defRPr>
                </a:pPr>
                <a:endParaRPr lang="en-US"/>
              </a:p>
            </c:txPr>
            <c:dLblPos val="outEnd"/>
            <c:showLegendKey val="0"/>
            <c:showVal val="1"/>
            <c:showCatName val="0"/>
            <c:showSerName val="0"/>
            <c:showPercent val="0"/>
            <c:showBubbleSize val="1"/>
            <c:separator>; </c:separator>
            <c:showLeaderLines val="0"/>
            <c:extLst>
              <c:ext xmlns:c15="http://schemas.microsoft.com/office/drawing/2012/chart" uri="{CE6537A1-D6FC-4f65-9D91-7224C49458BB}">
                <c15:showLeaderLines val="1"/>
              </c:ext>
            </c:extLst>
          </c:dLbls>
          <c:cat>
            <c:strRef>
              <c:f>TAM_SAM_SOM!$H$38:$H$40</c:f>
              <c:strCache>
                <c:ptCount val="3"/>
                <c:pt idx="0">
                  <c:v>TAM</c:v>
                </c:pt>
                <c:pt idx="1">
                  <c:v>SAM</c:v>
                </c:pt>
                <c:pt idx="2">
                  <c:v>SOM Year 3</c:v>
                </c:pt>
              </c:strCache>
            </c:strRef>
          </c:cat>
          <c:val>
            <c:numRef>
              <c:f>TAM_SAM_SOM!$I$38:$I$40</c:f>
              <c:numCache>
                <c:formatCode>[$₹-4009]\ #,##0.00</c:formatCode>
                <c:ptCount val="3"/>
                <c:pt idx="0">
                  <c:v>26760.217739999996</c:v>
                </c:pt>
                <c:pt idx="1">
                  <c:v>25943.411520000031</c:v>
                </c:pt>
                <c:pt idx="2">
                  <c:v>5188.6823040000063</c:v>
                </c:pt>
              </c:numCache>
            </c:numRef>
          </c:val>
          <c:extLst>
            <c:ext xmlns:c16="http://schemas.microsoft.com/office/drawing/2014/chart" uri="{C3380CC4-5D6E-409C-BE32-E72D297353CC}">
              <c16:uniqueId val="{00000000-2622-46F2-93A0-0ADFDF61DE75}"/>
            </c:ext>
          </c:extLst>
        </c:ser>
        <c:dLbls>
          <c:showLegendKey val="0"/>
          <c:showVal val="0"/>
          <c:showCatName val="0"/>
          <c:showSerName val="0"/>
          <c:showPercent val="0"/>
          <c:showBubbleSize val="0"/>
        </c:dLbls>
        <c:gapWidth val="150"/>
        <c:axId val="40167611"/>
        <c:axId val="41978626"/>
      </c:barChart>
      <c:catAx>
        <c:axId val="40167611"/>
        <c:scaling>
          <c:orientation val="minMax"/>
        </c:scaling>
        <c:delete val="0"/>
        <c:axPos val="l"/>
        <c:title>
          <c:tx>
            <c:rich>
              <a:bodyPr rot="-5400000"/>
              <a:lstStyle/>
              <a:p>
                <a:pPr>
                  <a:defRPr sz="1000" b="1" strike="noStrike" spc="-1">
                    <a:solidFill>
                      <a:srgbClr val="000000"/>
                    </a:solidFill>
                    <a:latin typeface="Calibri"/>
                    <a:ea typeface="Calibri"/>
                  </a:defRPr>
                </a:pPr>
                <a:r>
                  <a:rPr lang="en-US" sz="1000" b="1" strike="noStrike" spc="-1">
                    <a:solidFill>
                      <a:srgbClr val="000000"/>
                    </a:solidFill>
                    <a:latin typeface="Calibri"/>
                    <a:ea typeface="Calibri"/>
                  </a:rPr>
                  <a:t>Market Value (INR Cr)</a:t>
                </a:r>
              </a:p>
            </c:rich>
          </c:tx>
          <c:overlay val="0"/>
          <c:spPr>
            <a:noFill/>
            <a:ln w="0">
              <a:noFill/>
            </a:ln>
          </c:spPr>
        </c:title>
        <c:numFmt formatCode="General" sourceLinked="0"/>
        <c:majorTickMark val="none"/>
        <c:minorTickMark val="none"/>
        <c:tickLblPos val="nextTo"/>
        <c:spPr>
          <a:ln w="0">
            <a:solidFill>
              <a:srgbClr val="B3B3B3"/>
            </a:solidFill>
          </a:ln>
        </c:spPr>
        <c:txPr>
          <a:bodyPr/>
          <a:lstStyle/>
          <a:p>
            <a:pPr>
              <a:defRPr sz="1000" b="0" strike="noStrike" spc="-1">
                <a:solidFill>
                  <a:srgbClr val="000000"/>
                </a:solidFill>
                <a:latin typeface="Calibri"/>
                <a:ea typeface="Calibri"/>
              </a:defRPr>
            </a:pPr>
            <a:endParaRPr lang="en-US"/>
          </a:p>
        </c:txPr>
        <c:crossAx val="41978626"/>
        <c:crosses val="autoZero"/>
        <c:auto val="1"/>
        <c:lblAlgn val="ctr"/>
        <c:lblOffset val="100"/>
        <c:noMultiLvlLbl val="0"/>
      </c:catAx>
      <c:valAx>
        <c:axId val="41978626"/>
        <c:scaling>
          <c:orientation val="minMax"/>
        </c:scaling>
        <c:delete val="0"/>
        <c:axPos val="b"/>
        <c:numFmt formatCode="[$₹-4009]\ #,##0.00" sourceLinked="0"/>
        <c:majorTickMark val="none"/>
        <c:minorTickMark val="none"/>
        <c:tickLblPos val="nextTo"/>
        <c:spPr>
          <a:ln w="0">
            <a:solidFill>
              <a:srgbClr val="B3B3B3"/>
            </a:solidFill>
          </a:ln>
        </c:spPr>
        <c:txPr>
          <a:bodyPr/>
          <a:lstStyle/>
          <a:p>
            <a:pPr>
              <a:defRPr sz="1000" b="0" strike="noStrike" spc="-1">
                <a:solidFill>
                  <a:srgbClr val="000000"/>
                </a:solidFill>
                <a:latin typeface="Calibri"/>
                <a:ea typeface="Calibri"/>
              </a:defRPr>
            </a:pPr>
            <a:endParaRPr lang="en-US"/>
          </a:p>
        </c:txPr>
        <c:crossAx val="40167611"/>
        <c:crosses val="autoZero"/>
        <c:crossBetween val="between"/>
      </c:valAx>
      <c:spPr>
        <a:noFill/>
        <a:ln w="0">
          <a:noFill/>
        </a:ln>
      </c:spPr>
    </c:plotArea>
    <c:plotVisOnly val="1"/>
    <c:dispBlanksAs val="gap"/>
    <c:showDLblsOverMax val="1"/>
  </c:chart>
  <c:spPr>
    <a:solidFill>
      <a:srgbClr val="FFFFFF"/>
    </a:solidFill>
    <a:ln w="9360">
      <a:solidFill>
        <a:srgbClr val="D9D9D9"/>
      </a:solidFill>
      <a:roun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a:lstStyle/>
          <a:p>
            <a:pPr>
              <a:defRPr sz="1800" b="1" strike="noStrike" spc="-1">
                <a:solidFill>
                  <a:srgbClr val="000000"/>
                </a:solidFill>
                <a:latin typeface="Calibri"/>
                <a:ea typeface="Calibri"/>
              </a:defRPr>
            </a:pPr>
            <a:r>
              <a:rPr lang="en-US" sz="1800" b="1" strike="noStrike" spc="-1">
                <a:solidFill>
                  <a:srgbClr val="000000"/>
                </a:solidFill>
                <a:latin typeface="Calibri"/>
                <a:ea typeface="Calibri"/>
              </a:rPr>
              <a:t>Competitor Base by Strategic Threat Level</a:t>
            </a:r>
          </a:p>
        </c:rich>
      </c:tx>
      <c:overlay val="0"/>
      <c:spPr>
        <a:noFill/>
        <a:ln w="0">
          <a:noFill/>
        </a:ln>
      </c:spPr>
    </c:title>
    <c:autoTitleDeleted val="0"/>
    <c:plotArea>
      <c:layout/>
      <c:pieChart>
        <c:varyColors val="1"/>
        <c:ser>
          <c:idx val="0"/>
          <c:order val="0"/>
          <c:tx>
            <c:strRef>
              <c:f>Competitors!$B$101</c:f>
              <c:strCache>
                <c:ptCount val="1"/>
                <c:pt idx="0">
                  <c:v># Competitors</c:v>
                </c:pt>
              </c:strCache>
            </c:strRef>
          </c:tx>
          <c:spPr>
            <a:solidFill>
              <a:srgbClr val="156082"/>
            </a:solidFill>
            <a:ln w="0">
              <a:noFill/>
            </a:ln>
          </c:spPr>
          <c:dPt>
            <c:idx val="0"/>
            <c:bubble3D val="0"/>
            <c:spPr>
              <a:solidFill>
                <a:srgbClr val="70AD47"/>
              </a:solidFill>
              <a:ln w="0">
                <a:noFill/>
              </a:ln>
            </c:spPr>
            <c:extLst>
              <c:ext xmlns:c16="http://schemas.microsoft.com/office/drawing/2014/chart" uri="{C3380CC4-5D6E-409C-BE32-E72D297353CC}">
                <c16:uniqueId val="{00000001-FC3F-4C69-86AC-45F8A0D20B24}"/>
              </c:ext>
            </c:extLst>
          </c:dPt>
          <c:dPt>
            <c:idx val="1"/>
            <c:bubble3D val="0"/>
            <c:spPr>
              <a:solidFill>
                <a:srgbClr val="FFC000"/>
              </a:solidFill>
              <a:ln w="0">
                <a:noFill/>
              </a:ln>
            </c:spPr>
            <c:extLst>
              <c:ext xmlns:c16="http://schemas.microsoft.com/office/drawing/2014/chart" uri="{C3380CC4-5D6E-409C-BE32-E72D297353CC}">
                <c16:uniqueId val="{00000003-FC3F-4C69-86AC-45F8A0D20B24}"/>
              </c:ext>
            </c:extLst>
          </c:dPt>
          <c:dPt>
            <c:idx val="2"/>
            <c:bubble3D val="0"/>
            <c:spPr>
              <a:solidFill>
                <a:srgbClr val="C00000"/>
              </a:solidFill>
              <a:ln w="0">
                <a:noFill/>
              </a:ln>
            </c:spPr>
            <c:extLst>
              <c:ext xmlns:c16="http://schemas.microsoft.com/office/drawing/2014/chart" uri="{C3380CC4-5D6E-409C-BE32-E72D297353CC}">
                <c16:uniqueId val="{00000005-FC3F-4C69-86AC-45F8A0D20B24}"/>
              </c:ext>
            </c:extLst>
          </c:dPt>
          <c:dPt>
            <c:idx val="3"/>
            <c:bubble3D val="0"/>
            <c:spPr>
              <a:solidFill>
                <a:srgbClr val="7030A0"/>
              </a:solidFill>
              <a:ln w="0">
                <a:noFill/>
              </a:ln>
            </c:spPr>
            <c:extLst>
              <c:ext xmlns:c16="http://schemas.microsoft.com/office/drawing/2014/chart" uri="{C3380CC4-5D6E-409C-BE32-E72D297353CC}">
                <c16:uniqueId val="{00000007-FC3F-4C69-86AC-45F8A0D20B24}"/>
              </c:ext>
            </c:extLst>
          </c:dPt>
          <c:dLbls>
            <c:dLbl>
              <c:idx val="0"/>
              <c:spPr/>
              <c:txPr>
                <a:bodyPr wrap="square"/>
                <a:lstStyle/>
                <a:p>
                  <a:pPr>
                    <a:defRPr sz="1000" b="0" strike="noStrike" spc="-1">
                      <a:solidFill>
                        <a:srgbClr val="000000"/>
                      </a:solidFill>
                      <a:latin typeface="Calibri"/>
                      <a:ea typeface="Calibri"/>
                    </a:defRPr>
                  </a:pPr>
                  <a:endParaRPr lang="en-US"/>
                </a:p>
              </c:txPr>
              <c:dLblPos val="bestFit"/>
              <c:showLegendKey val="0"/>
              <c:showVal val="1"/>
              <c:showCatName val="0"/>
              <c:showSerName val="0"/>
              <c:showPercent val="1"/>
              <c:showBubbleSize val="1"/>
              <c:extLst>
                <c:ext xmlns:c15="http://schemas.microsoft.com/office/drawing/2012/chart" uri="{CE6537A1-D6FC-4f65-9D91-7224C49458BB}"/>
                <c:ext xmlns:c16="http://schemas.microsoft.com/office/drawing/2014/chart" uri="{C3380CC4-5D6E-409C-BE32-E72D297353CC}">
                  <c16:uniqueId val="{00000001-FC3F-4C69-86AC-45F8A0D20B24}"/>
                </c:ext>
              </c:extLst>
            </c:dLbl>
            <c:dLbl>
              <c:idx val="1"/>
              <c:spPr/>
              <c:txPr>
                <a:bodyPr wrap="square"/>
                <a:lstStyle/>
                <a:p>
                  <a:pPr>
                    <a:defRPr sz="1000" b="0" strike="noStrike" spc="-1">
                      <a:solidFill>
                        <a:srgbClr val="000000"/>
                      </a:solidFill>
                      <a:latin typeface="Calibri"/>
                      <a:ea typeface="Calibri"/>
                    </a:defRPr>
                  </a:pPr>
                  <a:endParaRPr lang="en-US"/>
                </a:p>
              </c:txPr>
              <c:dLblPos val="bestFit"/>
              <c:showLegendKey val="0"/>
              <c:showVal val="1"/>
              <c:showCatName val="0"/>
              <c:showSerName val="0"/>
              <c:showPercent val="1"/>
              <c:showBubbleSize val="1"/>
              <c:extLst>
                <c:ext xmlns:c15="http://schemas.microsoft.com/office/drawing/2012/chart" uri="{CE6537A1-D6FC-4f65-9D91-7224C49458BB}"/>
                <c:ext xmlns:c16="http://schemas.microsoft.com/office/drawing/2014/chart" uri="{C3380CC4-5D6E-409C-BE32-E72D297353CC}">
                  <c16:uniqueId val="{00000003-FC3F-4C69-86AC-45F8A0D20B24}"/>
                </c:ext>
              </c:extLst>
            </c:dLbl>
            <c:dLbl>
              <c:idx val="2"/>
              <c:spPr/>
              <c:txPr>
                <a:bodyPr wrap="square"/>
                <a:lstStyle/>
                <a:p>
                  <a:pPr>
                    <a:defRPr sz="1000" b="0" strike="noStrike" spc="-1">
                      <a:solidFill>
                        <a:srgbClr val="000000"/>
                      </a:solidFill>
                      <a:latin typeface="Calibri"/>
                      <a:ea typeface="Calibri"/>
                    </a:defRPr>
                  </a:pPr>
                  <a:endParaRPr lang="en-US"/>
                </a:p>
              </c:txPr>
              <c:dLblPos val="bestFit"/>
              <c:showLegendKey val="0"/>
              <c:showVal val="1"/>
              <c:showCatName val="0"/>
              <c:showSerName val="0"/>
              <c:showPercent val="1"/>
              <c:showBubbleSize val="1"/>
              <c:extLst>
                <c:ext xmlns:c15="http://schemas.microsoft.com/office/drawing/2012/chart" uri="{CE6537A1-D6FC-4f65-9D91-7224C49458BB}"/>
                <c:ext xmlns:c16="http://schemas.microsoft.com/office/drawing/2014/chart" uri="{C3380CC4-5D6E-409C-BE32-E72D297353CC}">
                  <c16:uniqueId val="{00000005-FC3F-4C69-86AC-45F8A0D20B24}"/>
                </c:ext>
              </c:extLst>
            </c:dLbl>
            <c:dLbl>
              <c:idx val="3"/>
              <c:spPr/>
              <c:txPr>
                <a:bodyPr wrap="square"/>
                <a:lstStyle/>
                <a:p>
                  <a:pPr>
                    <a:defRPr sz="1000" b="0" strike="noStrike" spc="-1">
                      <a:solidFill>
                        <a:srgbClr val="000000"/>
                      </a:solidFill>
                      <a:latin typeface="Calibri"/>
                      <a:ea typeface="Calibri"/>
                    </a:defRPr>
                  </a:pPr>
                  <a:endParaRPr lang="en-US"/>
                </a:p>
              </c:txPr>
              <c:dLblPos val="bestFit"/>
              <c:showLegendKey val="0"/>
              <c:showVal val="1"/>
              <c:showCatName val="0"/>
              <c:showSerName val="0"/>
              <c:showPercent val="1"/>
              <c:showBubbleSize val="1"/>
              <c:extLst>
                <c:ext xmlns:c15="http://schemas.microsoft.com/office/drawing/2012/chart" uri="{CE6537A1-D6FC-4f65-9D91-7224C49458BB}"/>
                <c:ext xmlns:c16="http://schemas.microsoft.com/office/drawing/2014/chart" uri="{C3380CC4-5D6E-409C-BE32-E72D297353CC}">
                  <c16:uniqueId val="{00000007-FC3F-4C69-86AC-45F8A0D20B24}"/>
                </c:ext>
              </c:extLst>
            </c:dLbl>
            <c:spPr>
              <a:noFill/>
              <a:ln>
                <a:noFill/>
              </a:ln>
              <a:effectLst/>
            </c:spPr>
            <c:txPr>
              <a:bodyPr wrap="square"/>
              <a:lstStyle/>
              <a:p>
                <a:pPr>
                  <a:defRPr sz="1000" b="0" strike="noStrike" spc="-1">
                    <a:solidFill>
                      <a:srgbClr val="000000"/>
                    </a:solidFill>
                    <a:latin typeface="Calibri"/>
                    <a:ea typeface="Calibri"/>
                  </a:defRPr>
                </a:pPr>
                <a:endParaRPr lang="en-US"/>
              </a:p>
            </c:txPr>
            <c:dLblPos val="bestFit"/>
            <c:showLegendKey val="0"/>
            <c:showVal val="1"/>
            <c:showCatName val="0"/>
            <c:showSerName val="0"/>
            <c:showPercent val="1"/>
            <c:showBubbleSize val="1"/>
            <c:separator>; </c:separator>
            <c:showLeaderLines val="1"/>
            <c:extLst>
              <c:ext xmlns:c15="http://schemas.microsoft.com/office/drawing/2012/chart" uri="{CE6537A1-D6FC-4f65-9D91-7224C49458BB}"/>
            </c:extLst>
          </c:dLbls>
          <c:cat>
            <c:strRef>
              <c:f>Competitors!$A$102:$A$105</c:f>
              <c:strCache>
                <c:ptCount val="4"/>
                <c:pt idx="0">
                  <c:v>Low</c:v>
                </c:pt>
                <c:pt idx="1">
                  <c:v>Medium</c:v>
                </c:pt>
                <c:pt idx="2">
                  <c:v>High</c:v>
                </c:pt>
                <c:pt idx="3">
                  <c:v>Very High</c:v>
                </c:pt>
              </c:strCache>
            </c:strRef>
          </c:cat>
          <c:val>
            <c:numRef>
              <c:f>Competitors!$B$102:$B$105</c:f>
              <c:numCache>
                <c:formatCode>#,##0</c:formatCode>
                <c:ptCount val="4"/>
                <c:pt idx="0">
                  <c:v>16</c:v>
                </c:pt>
                <c:pt idx="1">
                  <c:v>26</c:v>
                </c:pt>
                <c:pt idx="2">
                  <c:v>24</c:v>
                </c:pt>
                <c:pt idx="3">
                  <c:v>0</c:v>
                </c:pt>
              </c:numCache>
            </c:numRef>
          </c:val>
          <c:extLst>
            <c:ext xmlns:c16="http://schemas.microsoft.com/office/drawing/2014/chart" uri="{C3380CC4-5D6E-409C-BE32-E72D297353CC}">
              <c16:uniqueId val="{00000008-FC3F-4C69-86AC-45F8A0D20B24}"/>
            </c:ext>
          </c:extLst>
        </c:ser>
        <c:dLbls>
          <c:showLegendKey val="0"/>
          <c:showVal val="0"/>
          <c:showCatName val="0"/>
          <c:showSerName val="0"/>
          <c:showPercent val="0"/>
          <c:showBubbleSize val="0"/>
          <c:showLeaderLines val="1"/>
        </c:dLbls>
        <c:firstSliceAng val="0"/>
      </c:pieChart>
      <c:spPr>
        <a:noFill/>
        <a:ln w="0">
          <a:noFill/>
        </a:ln>
      </c:spPr>
    </c:plotArea>
    <c:legend>
      <c:legendPos val="r"/>
      <c:overlay val="0"/>
      <c:spPr>
        <a:noFill/>
        <a:ln w="0">
          <a:noFill/>
        </a:ln>
      </c:spPr>
      <c:txPr>
        <a:bodyPr/>
        <a:lstStyle/>
        <a:p>
          <a:pPr>
            <a:defRPr sz="1000" b="0" strike="noStrike" spc="-1">
              <a:solidFill>
                <a:srgbClr val="000000"/>
              </a:solidFill>
              <a:latin typeface="Calibri"/>
              <a:ea typeface="Calibri"/>
            </a:defRPr>
          </a:pPr>
          <a:endParaRPr lang="en-US"/>
        </a:p>
      </c:txPr>
    </c:legend>
    <c:plotVisOnly val="1"/>
    <c:dispBlanksAs val="gap"/>
    <c:showDLblsOverMax val="1"/>
  </c:chart>
  <c:spPr>
    <a:solidFill>
      <a:srgbClr val="FFFFFF"/>
    </a:solidFill>
    <a:ln w="9360">
      <a:solidFill>
        <a:srgbClr val="D9D9D9"/>
      </a:solidFill>
      <a:round/>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Competitive Landscape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Competitors!$B$5:$B$64</c15:sqref>
                  </c15:fullRef>
                </c:ext>
              </c:extLst>
              <c:f>(Competitors!$B$5:$B$6,Competitors!$B$14,Competitors!$B$37,Competitors!$B$48:$B$51,Competitors!$B$62:$B$64)</c:f>
              <c:strCache>
                <c:ptCount val="11"/>
                <c:pt idx="0">
                  <c:v>RDC Concrete (India)</c:v>
                </c:pt>
                <c:pt idx="1">
                  <c:v>RMIX Ready-Mix</c:v>
                </c:pt>
                <c:pt idx="2">
                  <c:v>AC Plus Ready Mix</c:v>
                </c:pt>
                <c:pt idx="3">
                  <c:v>Uday Infra Projects</c:v>
                </c:pt>
                <c:pt idx="4">
                  <c:v>AC Plus Ready Mix</c:v>
                </c:pt>
                <c:pt idx="5">
                  <c:v>Hare Krishna RMC LLP</c:v>
                </c:pt>
                <c:pt idx="6">
                  <c:v>Kesar Infra</c:v>
                </c:pt>
                <c:pt idx="7">
                  <c:v>Shree Ram Ready-Mix Concrete</c:v>
                </c:pt>
                <c:pt idx="8">
                  <c:v>Krishna Concrete / Procon RMC</c:v>
                </c:pt>
                <c:pt idx="9">
                  <c:v>VNS Readymix</c:v>
                </c:pt>
                <c:pt idx="10">
                  <c:v>Venkateshwara Asphalt &amp; Concrete Mix</c:v>
                </c:pt>
              </c:strCache>
            </c:strRef>
          </c:cat>
          <c:val>
            <c:numRef>
              <c:extLst>
                <c:ext xmlns:c15="http://schemas.microsoft.com/office/drawing/2012/chart" uri="{02D57815-91ED-43cb-92C2-25804820EDAC}">
                  <c15:fullRef>
                    <c15:sqref>Competitors!$F$5:$F$64</c15:sqref>
                  </c15:fullRef>
                </c:ext>
              </c:extLst>
              <c:f>(Competitors!$F$5:$F$6,Competitors!$F$14,Competitors!$F$37,Competitors!$F$48:$F$51,Competitors!$F$62:$F$64)</c:f>
              <c:numCache>
                <c:formatCode>0.0%</c:formatCode>
                <c:ptCount val="11"/>
                <c:pt idx="0">
                  <c:v>5.4029716343989197E-2</c:v>
                </c:pt>
                <c:pt idx="1">
                  <c:v>6.7537145429986498E-2</c:v>
                </c:pt>
                <c:pt idx="2">
                  <c:v>9.0049527239981983E-3</c:v>
                </c:pt>
                <c:pt idx="3">
                  <c:v>8.5547050877982894E-2</c:v>
                </c:pt>
                <c:pt idx="4">
                  <c:v>2.4313372354795137E-2</c:v>
                </c:pt>
                <c:pt idx="5">
                  <c:v>1.9810895992796038E-2</c:v>
                </c:pt>
                <c:pt idx="6">
                  <c:v>2.0261143628995948E-2</c:v>
                </c:pt>
                <c:pt idx="7">
                  <c:v>1.8009905447996397E-2</c:v>
                </c:pt>
                <c:pt idx="8">
                  <c:v>1.4407924358397118E-2</c:v>
                </c:pt>
                <c:pt idx="9">
                  <c:v>1.0355695632597929E-2</c:v>
                </c:pt>
                <c:pt idx="10">
                  <c:v>9.4552003601981096E-3</c:v>
                </c:pt>
              </c:numCache>
            </c:numRef>
          </c:val>
          <c:extLst>
            <c:ext xmlns:c16="http://schemas.microsoft.com/office/drawing/2014/chart" uri="{C3380CC4-5D6E-409C-BE32-E72D297353CC}">
              <c16:uniqueId val="{00000000-648E-4DC3-B5D2-5D5077D201E2}"/>
            </c:ext>
          </c:extLst>
        </c:ser>
        <c:dLbls>
          <c:dLblPos val="outEnd"/>
          <c:showLegendKey val="0"/>
          <c:showVal val="1"/>
          <c:showCatName val="0"/>
          <c:showSerName val="0"/>
          <c:showPercent val="0"/>
          <c:showBubbleSize val="0"/>
        </c:dLbls>
        <c:gapWidth val="219"/>
        <c:axId val="1929426224"/>
        <c:axId val="1864024848"/>
      </c:barChart>
      <c:catAx>
        <c:axId val="1929426224"/>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4024848"/>
        <c:crosses val="autoZero"/>
        <c:auto val="1"/>
        <c:lblAlgn val="ctr"/>
        <c:lblOffset val="100"/>
        <c:noMultiLvlLbl val="0"/>
      </c:catAx>
      <c:valAx>
        <c:axId val="1864024848"/>
        <c:scaling>
          <c:orientation val="minMax"/>
        </c:scaling>
        <c:delete val="0"/>
        <c:axPos val="b"/>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94262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tx1"/>
    </cs:fontRef>
    <cs:spPr>
      <a:gradFill>
        <a:gsLst>
          <a:gs pos="100000">
            <a:schemeClr val="phClr">
              <a:alpha val="0"/>
            </a:schemeClr>
          </a:gs>
          <a:gs pos="50000">
            <a:schemeClr val="phClr"/>
          </a:gs>
        </a:gsLst>
        <a:lin ang="5400000" scaled="0"/>
      </a:g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tx1">
            <a:lumMod val="5000"/>
            <a:lumOff val="9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svg"/><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image" Target="../media/image12.png"/><Relationship Id="rId17" Type="http://schemas.openxmlformats.org/officeDocument/2006/relationships/image" Target="../media/image17.sv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svg"/><Relationship Id="rId5" Type="http://schemas.openxmlformats.org/officeDocument/2006/relationships/image" Target="../media/image5.svg"/><Relationship Id="rId15" Type="http://schemas.openxmlformats.org/officeDocument/2006/relationships/image" Target="../media/image15.sv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sv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3</xdr:col>
      <xdr:colOff>270656</xdr:colOff>
      <xdr:row>1</xdr:row>
      <xdr:rowOff>83280</xdr:rowOff>
    </xdr:from>
    <xdr:to>
      <xdr:col>26</xdr:col>
      <xdr:colOff>10410</xdr:colOff>
      <xdr:row>6</xdr:row>
      <xdr:rowOff>10411</xdr:rowOff>
    </xdr:to>
    <xdr:sp macro="" textlink="">
      <xdr:nvSpPr>
        <xdr:cNvPr id="3" name="Rectangle 2">
          <a:extLst>
            <a:ext uri="{FF2B5EF4-FFF2-40B4-BE49-F238E27FC236}">
              <a16:creationId xmlns:a16="http://schemas.microsoft.com/office/drawing/2014/main" id="{3BEC84E8-7519-8767-A928-51F6A6959066}"/>
            </a:ext>
          </a:extLst>
        </xdr:cNvPr>
        <xdr:cNvSpPr/>
      </xdr:nvSpPr>
      <xdr:spPr>
        <a:xfrm>
          <a:off x="2238115" y="270657"/>
          <a:ext cx="15021393" cy="864016"/>
        </a:xfrm>
        <a:prstGeom prst="rect">
          <a:avLst/>
        </a:prstGeom>
        <a:solidFill>
          <a:srgbClr val="1C2A4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t>     </a:t>
          </a:r>
          <a:r>
            <a:rPr lang="en-US" sz="2900" b="1">
              <a:solidFill>
                <a:srgbClr val="D4AF37"/>
              </a:solidFill>
              <a:latin typeface="Aptos display" panose="020B0004020202020204" pitchFamily="34" charset="0"/>
            </a:rPr>
            <a:t>MARKET</a:t>
          </a:r>
          <a:r>
            <a:rPr lang="en-US" sz="2900" b="1" baseline="0">
              <a:solidFill>
                <a:srgbClr val="D4AF37"/>
              </a:solidFill>
              <a:latin typeface="Aptos display" panose="020B0004020202020204" pitchFamily="34" charset="0"/>
            </a:rPr>
            <a:t> ENTRY FEASIBILITY STUDY</a:t>
          </a:r>
          <a:endParaRPr lang="en-US" sz="2900" b="1">
            <a:solidFill>
              <a:srgbClr val="D4AF37"/>
            </a:solidFill>
            <a:latin typeface="Aptos display" panose="020B0004020202020204" pitchFamily="34" charset="0"/>
          </a:endParaRPr>
        </a:p>
      </xdr:txBody>
    </xdr:sp>
    <xdr:clientData/>
  </xdr:twoCellAnchor>
  <xdr:oneCellAnchor>
    <xdr:from>
      <xdr:col>11</xdr:col>
      <xdr:colOff>395575</xdr:colOff>
      <xdr:row>3</xdr:row>
      <xdr:rowOff>72870</xdr:rowOff>
    </xdr:from>
    <xdr:ext cx="4469813" cy="295850"/>
    <xdr:sp macro="" textlink="">
      <xdr:nvSpPr>
        <xdr:cNvPr id="4" name="TextBox 3">
          <a:extLst>
            <a:ext uri="{FF2B5EF4-FFF2-40B4-BE49-F238E27FC236}">
              <a16:creationId xmlns:a16="http://schemas.microsoft.com/office/drawing/2014/main" id="{EF4D7C93-EE94-E17F-B112-13FE31D1F0B8}"/>
            </a:ext>
          </a:extLst>
        </xdr:cNvPr>
        <xdr:cNvSpPr txBox="1"/>
      </xdr:nvSpPr>
      <xdr:spPr>
        <a:xfrm>
          <a:off x="7609591" y="635001"/>
          <a:ext cx="4469813"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300" b="0">
              <a:solidFill>
                <a:schemeClr val="bg1"/>
              </a:solidFill>
              <a:latin typeface="Aptos" panose="020B0004020202020204" pitchFamily="34" charset="0"/>
            </a:rPr>
            <a:t>Ready-Mix Concrete</a:t>
          </a:r>
          <a:r>
            <a:rPr lang="en-US" sz="1300" b="0" baseline="0">
              <a:solidFill>
                <a:schemeClr val="bg1"/>
              </a:solidFill>
              <a:latin typeface="Aptos" panose="020B0004020202020204" pitchFamily="34" charset="0"/>
            </a:rPr>
            <a:t> (RMC) Market Opportunity Assessment</a:t>
          </a:r>
          <a:endParaRPr lang="en-US" sz="1300" b="0">
            <a:solidFill>
              <a:schemeClr val="bg1"/>
            </a:solidFill>
            <a:latin typeface="Aptos" panose="020B0004020202020204" pitchFamily="34" charset="0"/>
          </a:endParaRPr>
        </a:p>
      </xdr:txBody>
    </xdr:sp>
    <xdr:clientData/>
  </xdr:oneCellAnchor>
  <xdr:oneCellAnchor>
    <xdr:from>
      <xdr:col>12</xdr:col>
      <xdr:colOff>20820</xdr:colOff>
      <xdr:row>4</xdr:row>
      <xdr:rowOff>104099</xdr:rowOff>
    </xdr:from>
    <xdr:ext cx="3745962" cy="248851"/>
    <xdr:sp macro="" textlink="">
      <xdr:nvSpPr>
        <xdr:cNvPr id="5" name="TextBox 4">
          <a:extLst>
            <a:ext uri="{FF2B5EF4-FFF2-40B4-BE49-F238E27FC236}">
              <a16:creationId xmlns:a16="http://schemas.microsoft.com/office/drawing/2014/main" id="{E2C2EE76-9110-1DB7-6C8B-5F3CC4D51364}"/>
            </a:ext>
          </a:extLst>
        </xdr:cNvPr>
        <xdr:cNvSpPr txBox="1"/>
      </xdr:nvSpPr>
      <xdr:spPr>
        <a:xfrm>
          <a:off x="7890656" y="853607"/>
          <a:ext cx="3745962"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000">
              <a:solidFill>
                <a:schemeClr val="bg1"/>
              </a:solidFill>
              <a:latin typeface="Aptos" panose="020B0004020202020204" pitchFamily="34" charset="0"/>
            </a:rPr>
            <a:t>SOUTH</a:t>
          </a:r>
          <a:r>
            <a:rPr lang="en-US" sz="1000" baseline="0">
              <a:solidFill>
                <a:schemeClr val="bg1"/>
              </a:solidFill>
              <a:latin typeface="Aptos" panose="020B0004020202020204" pitchFamily="34" charset="0"/>
            </a:rPr>
            <a:t> GUJARAT REGION | Surat, Valsad, Tapi, Navsari, Bharuch</a:t>
          </a:r>
          <a:endParaRPr lang="en-US" sz="1000">
            <a:solidFill>
              <a:schemeClr val="bg1"/>
            </a:solidFill>
            <a:latin typeface="Aptos" panose="020B0004020202020204" pitchFamily="34" charset="0"/>
          </a:endParaRPr>
        </a:p>
      </xdr:txBody>
    </xdr:sp>
    <xdr:clientData/>
  </xdr:oneCellAnchor>
  <xdr:twoCellAnchor editAs="oneCell">
    <xdr:from>
      <xdr:col>8</xdr:col>
      <xdr:colOff>260246</xdr:colOff>
      <xdr:row>6</xdr:row>
      <xdr:rowOff>93689</xdr:rowOff>
    </xdr:from>
    <xdr:to>
      <xdr:col>20</xdr:col>
      <xdr:colOff>405984</xdr:colOff>
      <xdr:row>24</xdr:row>
      <xdr:rowOff>83279</xdr:rowOff>
    </xdr:to>
    <xdr:pic>
      <xdr:nvPicPr>
        <xdr:cNvPr id="9" name="Picture 8">
          <a:extLst>
            <a:ext uri="{FF2B5EF4-FFF2-40B4-BE49-F238E27FC236}">
              <a16:creationId xmlns:a16="http://schemas.microsoft.com/office/drawing/2014/main" id="{D50F5201-77A0-6CD9-4179-6B8A488770DF}"/>
            </a:ext>
          </a:extLst>
        </xdr:cNvPr>
        <xdr:cNvPicPr>
          <a:picLocks noChangeAspect="1"/>
        </xdr:cNvPicPr>
      </xdr:nvPicPr>
      <xdr:blipFill>
        <a:blip xmlns:r="http://schemas.openxmlformats.org/officeDocument/2006/relationships" r:embed="rId1">
          <a:alphaModFix amt="20000"/>
          <a:extLst>
            <a:ext uri="{28A0092B-C50C-407E-A947-70E740481C1C}">
              <a14:useLocalDpi xmlns:a14="http://schemas.microsoft.com/office/drawing/2010/main" val="0"/>
            </a:ext>
          </a:extLst>
        </a:blip>
        <a:stretch>
          <a:fillRect/>
        </a:stretch>
      </xdr:blipFill>
      <xdr:spPr>
        <a:xfrm>
          <a:off x="5506803" y="1217951"/>
          <a:ext cx="8015574" cy="3424836"/>
        </a:xfrm>
        <a:prstGeom prst="rect">
          <a:avLst/>
        </a:prstGeom>
        <a:effectLst>
          <a:outerShdw blurRad="63500" sx="102000" sy="102000" algn="ctr" rotWithShape="0">
            <a:prstClr val="black">
              <a:alpha val="40000"/>
            </a:prstClr>
          </a:outerShdw>
        </a:effectLst>
      </xdr:spPr>
    </xdr:pic>
    <xdr:clientData/>
  </xdr:twoCellAnchor>
  <xdr:twoCellAnchor>
    <xdr:from>
      <xdr:col>4</xdr:col>
      <xdr:colOff>0</xdr:colOff>
      <xdr:row>7</xdr:row>
      <xdr:rowOff>0</xdr:rowOff>
    </xdr:from>
    <xdr:to>
      <xdr:col>8</xdr:col>
      <xdr:colOff>93689</xdr:colOff>
      <xdr:row>11</xdr:row>
      <xdr:rowOff>20819</xdr:rowOff>
    </xdr:to>
    <xdr:sp macro="" textlink="">
      <xdr:nvSpPr>
        <xdr:cNvPr id="10" name="Rectangle: Rounded Corners 9">
          <a:extLst>
            <a:ext uri="{FF2B5EF4-FFF2-40B4-BE49-F238E27FC236}">
              <a16:creationId xmlns:a16="http://schemas.microsoft.com/office/drawing/2014/main" id="{E9D1DDCC-4209-F8DF-DADF-8ADB4C926018}"/>
            </a:ext>
          </a:extLst>
        </xdr:cNvPr>
        <xdr:cNvSpPr/>
      </xdr:nvSpPr>
      <xdr:spPr>
        <a:xfrm>
          <a:off x="2623279" y="1311639"/>
          <a:ext cx="2716967" cy="770328"/>
        </a:xfrm>
        <a:prstGeom prst="roundRect">
          <a:avLst/>
        </a:prstGeom>
        <a:solidFill>
          <a:schemeClr val="bg1"/>
        </a:solidFill>
        <a:ln>
          <a:solidFill>
            <a:schemeClr val="bg1">
              <a:lumMod val="85000"/>
            </a:schemeClr>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solidFill>
                <a:schemeClr val="tx2"/>
              </a:solidFill>
              <a:latin typeface="Aptos" panose="020B0004020202020204" pitchFamily="34" charset="0"/>
            </a:rPr>
            <a:t>               Project Type</a:t>
          </a:r>
        </a:p>
      </xdr:txBody>
    </xdr:sp>
    <xdr:clientData/>
  </xdr:twoCellAnchor>
  <xdr:twoCellAnchor>
    <xdr:from>
      <xdr:col>4</xdr:col>
      <xdr:colOff>0</xdr:colOff>
      <xdr:row>12</xdr:row>
      <xdr:rowOff>0</xdr:rowOff>
    </xdr:from>
    <xdr:to>
      <xdr:col>8</xdr:col>
      <xdr:colOff>93689</xdr:colOff>
      <xdr:row>16</xdr:row>
      <xdr:rowOff>20820</xdr:rowOff>
    </xdr:to>
    <xdr:sp macro="" textlink="">
      <xdr:nvSpPr>
        <xdr:cNvPr id="13" name="Rectangle: Rounded Corners 12">
          <a:extLst>
            <a:ext uri="{FF2B5EF4-FFF2-40B4-BE49-F238E27FC236}">
              <a16:creationId xmlns:a16="http://schemas.microsoft.com/office/drawing/2014/main" id="{86AD33EE-0D7F-441D-980E-29000410ECBD}"/>
            </a:ext>
          </a:extLst>
        </xdr:cNvPr>
        <xdr:cNvSpPr/>
      </xdr:nvSpPr>
      <xdr:spPr>
        <a:xfrm>
          <a:off x="2623279" y="2248525"/>
          <a:ext cx="2716967" cy="770328"/>
        </a:xfrm>
        <a:prstGeom prst="roundRect">
          <a:avLst/>
        </a:prstGeom>
        <a:solidFill>
          <a:schemeClr val="bg1"/>
        </a:solidFill>
        <a:ln>
          <a:solidFill>
            <a:schemeClr val="bg1">
              <a:lumMod val="85000"/>
            </a:schemeClr>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t>                    </a:t>
          </a:r>
          <a:r>
            <a:rPr lang="en-US" sz="1600" b="1" baseline="0">
              <a:solidFill>
                <a:srgbClr val="1C2A43"/>
              </a:solidFill>
              <a:latin typeface="Aptos" panose="020B0004020202020204" pitchFamily="34" charset="0"/>
            </a:rPr>
            <a:t>INDUSTRY</a:t>
          </a:r>
          <a:endParaRPr lang="en-US" sz="1600" b="1">
            <a:solidFill>
              <a:srgbClr val="1C2A43"/>
            </a:solidFill>
            <a:latin typeface="Aptos" panose="020B0004020202020204" pitchFamily="34" charset="0"/>
          </a:endParaRPr>
        </a:p>
      </xdr:txBody>
    </xdr:sp>
    <xdr:clientData/>
  </xdr:twoCellAnchor>
  <xdr:twoCellAnchor>
    <xdr:from>
      <xdr:col>4</xdr:col>
      <xdr:colOff>0</xdr:colOff>
      <xdr:row>17</xdr:row>
      <xdr:rowOff>0</xdr:rowOff>
    </xdr:from>
    <xdr:to>
      <xdr:col>8</xdr:col>
      <xdr:colOff>93689</xdr:colOff>
      <xdr:row>21</xdr:row>
      <xdr:rowOff>20820</xdr:rowOff>
    </xdr:to>
    <xdr:sp macro="" textlink="">
      <xdr:nvSpPr>
        <xdr:cNvPr id="14" name="Rectangle: Rounded Corners 13">
          <a:extLst>
            <a:ext uri="{FF2B5EF4-FFF2-40B4-BE49-F238E27FC236}">
              <a16:creationId xmlns:a16="http://schemas.microsoft.com/office/drawing/2014/main" id="{BA2F8B53-7D9C-4DA8-BC56-C49A319B4723}"/>
            </a:ext>
          </a:extLst>
        </xdr:cNvPr>
        <xdr:cNvSpPr/>
      </xdr:nvSpPr>
      <xdr:spPr>
        <a:xfrm>
          <a:off x="2623279" y="3185410"/>
          <a:ext cx="2716967" cy="770328"/>
        </a:xfrm>
        <a:prstGeom prst="roundRect">
          <a:avLst/>
        </a:prstGeom>
        <a:solidFill>
          <a:schemeClr val="bg1"/>
        </a:solidFill>
        <a:ln>
          <a:solidFill>
            <a:schemeClr val="bg1">
              <a:lumMod val="85000"/>
            </a:schemeClr>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r>
            <a:rPr lang="en-US" sz="1600" b="1">
              <a:solidFill>
                <a:srgbClr val="1C2A43"/>
              </a:solidFill>
              <a:latin typeface="Aptos" panose="020B0004020202020204" pitchFamily="34" charset="0"/>
            </a:rPr>
            <a:t>Company Studied</a:t>
          </a:r>
          <a:endParaRPr lang="en-US" sz="1600" b="1">
            <a:latin typeface="Aptos" panose="020B0004020202020204" pitchFamily="34" charset="0"/>
          </a:endParaRPr>
        </a:p>
      </xdr:txBody>
    </xdr:sp>
    <xdr:clientData/>
  </xdr:twoCellAnchor>
  <xdr:twoCellAnchor>
    <xdr:from>
      <xdr:col>20</xdr:col>
      <xdr:colOff>572542</xdr:colOff>
      <xdr:row>7</xdr:row>
      <xdr:rowOff>0</xdr:rowOff>
    </xdr:from>
    <xdr:to>
      <xdr:col>25</xdr:col>
      <xdr:colOff>52049</xdr:colOff>
      <xdr:row>10</xdr:row>
      <xdr:rowOff>10410</xdr:rowOff>
    </xdr:to>
    <xdr:sp macro="" textlink="">
      <xdr:nvSpPr>
        <xdr:cNvPr id="16" name="Rectangle: Rounded Corners 15">
          <a:extLst>
            <a:ext uri="{FF2B5EF4-FFF2-40B4-BE49-F238E27FC236}">
              <a16:creationId xmlns:a16="http://schemas.microsoft.com/office/drawing/2014/main" id="{4BE4C84E-07E7-4976-BF40-A4CBB149C855}"/>
            </a:ext>
          </a:extLst>
        </xdr:cNvPr>
        <xdr:cNvSpPr/>
      </xdr:nvSpPr>
      <xdr:spPr>
        <a:xfrm>
          <a:off x="13688935" y="1311639"/>
          <a:ext cx="2758606" cy="572541"/>
        </a:xfrm>
        <a:prstGeom prst="roundRect">
          <a:avLst/>
        </a:prstGeom>
        <a:solidFill>
          <a:schemeClr val="tx2">
            <a:lumMod val="10000"/>
            <a:lumOff val="90000"/>
          </a:schemeClr>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r>
            <a:rPr lang="en-US" sz="1400" b="1">
              <a:solidFill>
                <a:srgbClr val="1C2A43"/>
              </a:solidFill>
              <a:latin typeface="Aptos" panose="020B0004020202020204" pitchFamily="34" charset="0"/>
            </a:rPr>
            <a:t>PREPARED BY</a:t>
          </a:r>
        </a:p>
      </xdr:txBody>
    </xdr:sp>
    <xdr:clientData/>
  </xdr:twoCellAnchor>
  <xdr:twoCellAnchor editAs="oneCell">
    <xdr:from>
      <xdr:col>4</xdr:col>
      <xdr:colOff>-1</xdr:colOff>
      <xdr:row>7</xdr:row>
      <xdr:rowOff>31230</xdr:rowOff>
    </xdr:from>
    <xdr:to>
      <xdr:col>5</xdr:col>
      <xdr:colOff>20819</xdr:colOff>
      <xdr:row>11</xdr:row>
      <xdr:rowOff>10409</xdr:rowOff>
    </xdr:to>
    <xdr:pic>
      <xdr:nvPicPr>
        <xdr:cNvPr id="23" name="Graphic 22" descr="Bar graph with upward trend with solid fill">
          <a:extLst>
            <a:ext uri="{FF2B5EF4-FFF2-40B4-BE49-F238E27FC236}">
              <a16:creationId xmlns:a16="http://schemas.microsoft.com/office/drawing/2014/main" id="{524E351C-1D36-61E3-1E69-B5C37160AF22}"/>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623278" y="1342869"/>
          <a:ext cx="676639" cy="728688"/>
        </a:xfrm>
        <a:prstGeom prst="rect">
          <a:avLst/>
        </a:prstGeom>
      </xdr:spPr>
    </xdr:pic>
    <xdr:clientData/>
  </xdr:twoCellAnchor>
  <xdr:oneCellAnchor>
    <xdr:from>
      <xdr:col>5</xdr:col>
      <xdr:colOff>1</xdr:colOff>
      <xdr:row>8</xdr:row>
      <xdr:rowOff>166558</xdr:rowOff>
    </xdr:from>
    <xdr:ext cx="2081404" cy="295850"/>
    <xdr:sp macro="" textlink="">
      <xdr:nvSpPr>
        <xdr:cNvPr id="24" name="TextBox 23">
          <a:extLst>
            <a:ext uri="{FF2B5EF4-FFF2-40B4-BE49-F238E27FC236}">
              <a16:creationId xmlns:a16="http://schemas.microsoft.com/office/drawing/2014/main" id="{9D76786F-1DE1-A8D9-32AC-EA3F393CC279}"/>
            </a:ext>
          </a:extLst>
        </xdr:cNvPr>
        <xdr:cNvSpPr txBox="1"/>
      </xdr:nvSpPr>
      <xdr:spPr>
        <a:xfrm>
          <a:off x="3279099" y="1665574"/>
          <a:ext cx="2081404"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300">
              <a:solidFill>
                <a:srgbClr val="1C2A43"/>
              </a:solidFill>
              <a:latin typeface="Aptos" panose="020B0004020202020204" pitchFamily="34" charset="0"/>
            </a:rPr>
            <a:t>Business Analytics Project</a:t>
          </a:r>
        </a:p>
      </xdr:txBody>
    </xdr:sp>
    <xdr:clientData/>
  </xdr:oneCellAnchor>
  <xdr:twoCellAnchor editAs="oneCell">
    <xdr:from>
      <xdr:col>3</xdr:col>
      <xdr:colOff>572540</xdr:colOff>
      <xdr:row>11</xdr:row>
      <xdr:rowOff>104098</xdr:rowOff>
    </xdr:from>
    <xdr:to>
      <xdr:col>5</xdr:col>
      <xdr:colOff>41640</xdr:colOff>
      <xdr:row>16</xdr:row>
      <xdr:rowOff>81613</xdr:rowOff>
    </xdr:to>
    <xdr:pic>
      <xdr:nvPicPr>
        <xdr:cNvPr id="26" name="Graphic 25" descr="Books on shelf with solid fill">
          <a:extLst>
            <a:ext uri="{FF2B5EF4-FFF2-40B4-BE49-F238E27FC236}">
              <a16:creationId xmlns:a16="http://schemas.microsoft.com/office/drawing/2014/main" id="{B1AD4219-BB85-1589-E44E-5326E52669E8}"/>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539999" y="2165246"/>
          <a:ext cx="780739" cy="914400"/>
        </a:xfrm>
        <a:prstGeom prst="rect">
          <a:avLst/>
        </a:prstGeom>
      </xdr:spPr>
    </xdr:pic>
    <xdr:clientData/>
  </xdr:twoCellAnchor>
  <xdr:oneCellAnchor>
    <xdr:from>
      <xdr:col>5</xdr:col>
      <xdr:colOff>0</xdr:colOff>
      <xdr:row>14</xdr:row>
      <xdr:rowOff>0</xdr:rowOff>
    </xdr:from>
    <xdr:ext cx="1837170" cy="295850"/>
    <xdr:sp macro="" textlink="">
      <xdr:nvSpPr>
        <xdr:cNvPr id="27" name="TextBox 26">
          <a:extLst>
            <a:ext uri="{FF2B5EF4-FFF2-40B4-BE49-F238E27FC236}">
              <a16:creationId xmlns:a16="http://schemas.microsoft.com/office/drawing/2014/main" id="{FF256BC4-E329-79D2-E531-22DC38087A2A}"/>
            </a:ext>
          </a:extLst>
        </xdr:cNvPr>
        <xdr:cNvSpPr txBox="1"/>
      </xdr:nvSpPr>
      <xdr:spPr>
        <a:xfrm>
          <a:off x="3279098" y="2623279"/>
          <a:ext cx="1837170"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300">
              <a:solidFill>
                <a:srgbClr val="1C2A43"/>
              </a:solidFill>
              <a:latin typeface="Aptos" panose="020B0004020202020204" pitchFamily="34" charset="0"/>
            </a:rPr>
            <a:t>Construction</a:t>
          </a:r>
          <a:r>
            <a:rPr lang="en-US" sz="1300" baseline="0">
              <a:solidFill>
                <a:srgbClr val="1C2A43"/>
              </a:solidFill>
              <a:latin typeface="Aptos" panose="020B0004020202020204" pitchFamily="34" charset="0"/>
            </a:rPr>
            <a:t> Materials</a:t>
          </a:r>
          <a:endParaRPr lang="en-US" sz="1300">
            <a:solidFill>
              <a:srgbClr val="1C2A43"/>
            </a:solidFill>
            <a:latin typeface="Aptos" panose="020B0004020202020204" pitchFamily="34" charset="0"/>
          </a:endParaRPr>
        </a:p>
      </xdr:txBody>
    </xdr:sp>
    <xdr:clientData/>
  </xdr:oneCellAnchor>
  <xdr:twoCellAnchor editAs="oneCell">
    <xdr:from>
      <xdr:col>4</xdr:col>
      <xdr:colOff>20819</xdr:colOff>
      <xdr:row>16</xdr:row>
      <xdr:rowOff>124919</xdr:rowOff>
    </xdr:from>
    <xdr:to>
      <xdr:col>5</xdr:col>
      <xdr:colOff>104099</xdr:colOff>
      <xdr:row>21</xdr:row>
      <xdr:rowOff>39975</xdr:rowOff>
    </xdr:to>
    <xdr:pic>
      <xdr:nvPicPr>
        <xdr:cNvPr id="29" name="Graphic 28" descr="Truck with solid fill">
          <a:extLst>
            <a:ext uri="{FF2B5EF4-FFF2-40B4-BE49-F238E27FC236}">
              <a16:creationId xmlns:a16="http://schemas.microsoft.com/office/drawing/2014/main" id="{196AEF06-7721-E90B-5B7B-268C1DF32F86}"/>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644098" y="3122952"/>
          <a:ext cx="739099" cy="914400"/>
        </a:xfrm>
        <a:prstGeom prst="rect">
          <a:avLst/>
        </a:prstGeom>
      </xdr:spPr>
    </xdr:pic>
    <xdr:clientData/>
  </xdr:twoCellAnchor>
  <xdr:oneCellAnchor>
    <xdr:from>
      <xdr:col>5</xdr:col>
      <xdr:colOff>31231</xdr:colOff>
      <xdr:row>18</xdr:row>
      <xdr:rowOff>104098</xdr:rowOff>
    </xdr:from>
    <xdr:ext cx="1925820" cy="499367"/>
    <xdr:sp macro="" textlink="">
      <xdr:nvSpPr>
        <xdr:cNvPr id="31" name="TextBox 30">
          <a:extLst>
            <a:ext uri="{FF2B5EF4-FFF2-40B4-BE49-F238E27FC236}">
              <a16:creationId xmlns:a16="http://schemas.microsoft.com/office/drawing/2014/main" id="{C3B82107-8D26-DB8E-E971-BD35F5AC94DB}"/>
            </a:ext>
          </a:extLst>
        </xdr:cNvPr>
        <xdr:cNvSpPr txBox="1"/>
      </xdr:nvSpPr>
      <xdr:spPr>
        <a:xfrm>
          <a:off x="3310329" y="3476885"/>
          <a:ext cx="1925820" cy="4993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300">
              <a:solidFill>
                <a:srgbClr val="1C2A43"/>
              </a:solidFill>
              <a:latin typeface="Aptos" panose="020B0004020202020204" pitchFamily="34" charset="0"/>
            </a:rPr>
            <a:t>UltraTech Cement LTD (RMC)</a:t>
          </a:r>
          <a:r>
            <a:rPr lang="en-US" sz="1300" baseline="0">
              <a:solidFill>
                <a:srgbClr val="1C2A43"/>
              </a:solidFill>
              <a:latin typeface="Aptos" panose="020B0004020202020204" pitchFamily="34" charset="0"/>
            </a:rPr>
            <a:t> </a:t>
          </a:r>
          <a:r>
            <a:rPr lang="en-US" sz="1300">
              <a:solidFill>
                <a:srgbClr val="1C2A43"/>
              </a:solidFill>
              <a:latin typeface="Aptos" panose="020B0004020202020204" pitchFamily="34" charset="0"/>
            </a:rPr>
            <a:t>Case Study</a:t>
          </a:r>
        </a:p>
      </xdr:txBody>
    </xdr:sp>
    <xdr:clientData/>
  </xdr:oneCellAnchor>
  <xdr:twoCellAnchor editAs="oneCell">
    <xdr:from>
      <xdr:col>20</xdr:col>
      <xdr:colOff>572542</xdr:colOff>
      <xdr:row>7</xdr:row>
      <xdr:rowOff>41640</xdr:rowOff>
    </xdr:from>
    <xdr:to>
      <xdr:col>21</xdr:col>
      <xdr:colOff>458033</xdr:colOff>
      <xdr:row>9</xdr:row>
      <xdr:rowOff>145739</xdr:rowOff>
    </xdr:to>
    <xdr:pic>
      <xdr:nvPicPr>
        <xdr:cNvPr id="33" name="Graphic 32" descr="Male profile with solid fill">
          <a:extLst>
            <a:ext uri="{FF2B5EF4-FFF2-40B4-BE49-F238E27FC236}">
              <a16:creationId xmlns:a16="http://schemas.microsoft.com/office/drawing/2014/main" id="{7AB5B483-0FF2-0186-040D-C9E3AF2DA75A}"/>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3688935" y="1353279"/>
          <a:ext cx="541311" cy="478853"/>
        </a:xfrm>
        <a:prstGeom prst="rect">
          <a:avLst/>
        </a:prstGeom>
      </xdr:spPr>
    </xdr:pic>
    <xdr:clientData/>
  </xdr:twoCellAnchor>
  <xdr:oneCellAnchor>
    <xdr:from>
      <xdr:col>21</xdr:col>
      <xdr:colOff>562130</xdr:colOff>
      <xdr:row>8</xdr:row>
      <xdr:rowOff>52049</xdr:rowOff>
    </xdr:from>
    <xdr:ext cx="1345112" cy="311496"/>
    <xdr:sp macro="" textlink="">
      <xdr:nvSpPr>
        <xdr:cNvPr id="35" name="TextBox 34">
          <a:extLst>
            <a:ext uri="{FF2B5EF4-FFF2-40B4-BE49-F238E27FC236}">
              <a16:creationId xmlns:a16="http://schemas.microsoft.com/office/drawing/2014/main" id="{37A46C57-9EA1-1D25-56AC-E79BA5E121A8}"/>
            </a:ext>
          </a:extLst>
        </xdr:cNvPr>
        <xdr:cNvSpPr txBox="1"/>
      </xdr:nvSpPr>
      <xdr:spPr>
        <a:xfrm>
          <a:off x="14334343" y="1551065"/>
          <a:ext cx="1345112"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a:latin typeface="Aptos" panose="020B0004020202020204" pitchFamily="34" charset="0"/>
            </a:rPr>
            <a:t>Abhinav Dubey</a:t>
          </a:r>
        </a:p>
      </xdr:txBody>
    </xdr:sp>
    <xdr:clientData/>
  </xdr:oneCellAnchor>
  <xdr:twoCellAnchor editAs="oneCell">
    <xdr:from>
      <xdr:col>20</xdr:col>
      <xdr:colOff>572540</xdr:colOff>
      <xdr:row>11</xdr:row>
      <xdr:rowOff>2</xdr:rowOff>
    </xdr:from>
    <xdr:to>
      <xdr:col>21</xdr:col>
      <xdr:colOff>355632</xdr:colOff>
      <xdr:row>13</xdr:row>
      <xdr:rowOff>17466</xdr:rowOff>
    </xdr:to>
    <xdr:pic>
      <xdr:nvPicPr>
        <xdr:cNvPr id="37" name="Graphic 36" descr="Ribbon with solid fill">
          <a:extLst>
            <a:ext uri="{FF2B5EF4-FFF2-40B4-BE49-F238E27FC236}">
              <a16:creationId xmlns:a16="http://schemas.microsoft.com/office/drawing/2014/main" id="{C0D9A7DF-FD77-55E4-2ADF-12B136E10BE5}"/>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3688933" y="2061150"/>
          <a:ext cx="438912" cy="392218"/>
        </a:xfrm>
        <a:prstGeom prst="rect">
          <a:avLst/>
        </a:prstGeom>
      </xdr:spPr>
    </xdr:pic>
    <xdr:clientData/>
  </xdr:twoCellAnchor>
  <xdr:oneCellAnchor>
    <xdr:from>
      <xdr:col>21</xdr:col>
      <xdr:colOff>603771</xdr:colOff>
      <xdr:row>10</xdr:row>
      <xdr:rowOff>104098</xdr:rowOff>
    </xdr:from>
    <xdr:ext cx="625620" cy="311496"/>
    <xdr:sp macro="" textlink="">
      <xdr:nvSpPr>
        <xdr:cNvPr id="38" name="TextBox 37">
          <a:extLst>
            <a:ext uri="{FF2B5EF4-FFF2-40B4-BE49-F238E27FC236}">
              <a16:creationId xmlns:a16="http://schemas.microsoft.com/office/drawing/2014/main" id="{1FF8771F-CE33-2BF6-B58C-B73ED177E296}"/>
            </a:ext>
          </a:extLst>
        </xdr:cNvPr>
        <xdr:cNvSpPr txBox="1"/>
      </xdr:nvSpPr>
      <xdr:spPr>
        <a:xfrm>
          <a:off x="14375984" y="1977868"/>
          <a:ext cx="62562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a:solidFill>
                <a:srgbClr val="1C2A43"/>
              </a:solidFill>
              <a:latin typeface="Aptos" panose="020B0004020202020204" pitchFamily="34" charset="0"/>
            </a:rPr>
            <a:t>ROLE</a:t>
          </a:r>
        </a:p>
      </xdr:txBody>
    </xdr:sp>
    <xdr:clientData/>
  </xdr:oneCellAnchor>
  <xdr:oneCellAnchor>
    <xdr:from>
      <xdr:col>21</xdr:col>
      <xdr:colOff>603771</xdr:colOff>
      <xdr:row>11</xdr:row>
      <xdr:rowOff>124917</xdr:rowOff>
    </xdr:from>
    <xdr:ext cx="1179810" cy="295850"/>
    <xdr:sp macro="" textlink="">
      <xdr:nvSpPr>
        <xdr:cNvPr id="39" name="TextBox 38">
          <a:extLst>
            <a:ext uri="{FF2B5EF4-FFF2-40B4-BE49-F238E27FC236}">
              <a16:creationId xmlns:a16="http://schemas.microsoft.com/office/drawing/2014/main" id="{7388F3B2-9625-3D28-6D75-B1C034C3051B}"/>
            </a:ext>
          </a:extLst>
        </xdr:cNvPr>
        <xdr:cNvSpPr txBox="1"/>
      </xdr:nvSpPr>
      <xdr:spPr>
        <a:xfrm>
          <a:off x="14375984" y="2186065"/>
          <a:ext cx="1179810"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300">
              <a:solidFill>
                <a:srgbClr val="1C2A43"/>
              </a:solidFill>
              <a:latin typeface="Aptos" panose="020B0004020202020204" pitchFamily="34" charset="0"/>
            </a:rPr>
            <a:t>MIS</a:t>
          </a:r>
          <a:r>
            <a:rPr lang="en-US" sz="1300" baseline="0">
              <a:solidFill>
                <a:srgbClr val="1C2A43"/>
              </a:solidFill>
              <a:latin typeface="Aptos" panose="020B0004020202020204" pitchFamily="34" charset="0"/>
            </a:rPr>
            <a:t> Executive</a:t>
          </a:r>
          <a:endParaRPr lang="en-US" sz="1300">
            <a:solidFill>
              <a:srgbClr val="1C2A43"/>
            </a:solidFill>
            <a:latin typeface="Aptos" panose="020B0004020202020204" pitchFamily="34" charset="0"/>
          </a:endParaRPr>
        </a:p>
      </xdr:txBody>
    </xdr:sp>
    <xdr:clientData/>
  </xdr:oneCellAnchor>
  <xdr:twoCellAnchor editAs="oneCell">
    <xdr:from>
      <xdr:col>20</xdr:col>
      <xdr:colOff>593362</xdr:colOff>
      <xdr:row>14</xdr:row>
      <xdr:rowOff>62458</xdr:rowOff>
    </xdr:from>
    <xdr:to>
      <xdr:col>21</xdr:col>
      <xdr:colOff>376454</xdr:colOff>
      <xdr:row>15</xdr:row>
      <xdr:rowOff>185977</xdr:rowOff>
    </xdr:to>
    <xdr:pic>
      <xdr:nvPicPr>
        <xdr:cNvPr id="41" name="Graphic 40" descr="Tools with solid fill">
          <a:extLst>
            <a:ext uri="{FF2B5EF4-FFF2-40B4-BE49-F238E27FC236}">
              <a16:creationId xmlns:a16="http://schemas.microsoft.com/office/drawing/2014/main" id="{0387EB77-FA64-2488-5B3B-F446D07AF1CD}"/>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3709755" y="2685737"/>
          <a:ext cx="438912" cy="310896"/>
        </a:xfrm>
        <a:prstGeom prst="rect">
          <a:avLst/>
        </a:prstGeom>
      </xdr:spPr>
    </xdr:pic>
    <xdr:clientData/>
  </xdr:twoCellAnchor>
  <xdr:oneCellAnchor>
    <xdr:from>
      <xdr:col>21</xdr:col>
      <xdr:colOff>593360</xdr:colOff>
      <xdr:row>13</xdr:row>
      <xdr:rowOff>104098</xdr:rowOff>
    </xdr:from>
    <xdr:ext cx="1238159" cy="311496"/>
    <xdr:sp macro="" textlink="">
      <xdr:nvSpPr>
        <xdr:cNvPr id="42" name="TextBox 41">
          <a:extLst>
            <a:ext uri="{FF2B5EF4-FFF2-40B4-BE49-F238E27FC236}">
              <a16:creationId xmlns:a16="http://schemas.microsoft.com/office/drawing/2014/main" id="{95C687D5-D00F-0A4C-9BAE-8267D4F0463D}"/>
            </a:ext>
          </a:extLst>
        </xdr:cNvPr>
        <xdr:cNvSpPr txBox="1"/>
      </xdr:nvSpPr>
      <xdr:spPr>
        <a:xfrm>
          <a:off x="14365573" y="2540000"/>
          <a:ext cx="1238159"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a:solidFill>
                <a:srgbClr val="1C2A43"/>
              </a:solidFill>
              <a:latin typeface="Aptos" panose="020B0004020202020204" pitchFamily="34" charset="0"/>
            </a:rPr>
            <a:t>TOOLS</a:t>
          </a:r>
          <a:r>
            <a:rPr lang="en-US" sz="1400" b="1" baseline="0">
              <a:solidFill>
                <a:srgbClr val="1C2A43"/>
              </a:solidFill>
              <a:latin typeface="Aptos" panose="020B0004020202020204" pitchFamily="34" charset="0"/>
            </a:rPr>
            <a:t> USED</a:t>
          </a:r>
          <a:endParaRPr lang="en-US" sz="1400" b="1">
            <a:solidFill>
              <a:srgbClr val="1C2A43"/>
            </a:solidFill>
            <a:latin typeface="Aptos" panose="020B0004020202020204" pitchFamily="34" charset="0"/>
          </a:endParaRPr>
        </a:p>
      </xdr:txBody>
    </xdr:sp>
    <xdr:clientData/>
  </xdr:oneCellAnchor>
  <xdr:oneCellAnchor>
    <xdr:from>
      <xdr:col>21</xdr:col>
      <xdr:colOff>593361</xdr:colOff>
      <xdr:row>14</xdr:row>
      <xdr:rowOff>93688</xdr:rowOff>
    </xdr:from>
    <xdr:ext cx="2879956" cy="499367"/>
    <xdr:sp macro="" textlink="">
      <xdr:nvSpPr>
        <xdr:cNvPr id="43" name="TextBox 42">
          <a:extLst>
            <a:ext uri="{FF2B5EF4-FFF2-40B4-BE49-F238E27FC236}">
              <a16:creationId xmlns:a16="http://schemas.microsoft.com/office/drawing/2014/main" id="{8252FB32-F8DB-642A-EECD-248C83649EA3}"/>
            </a:ext>
          </a:extLst>
        </xdr:cNvPr>
        <xdr:cNvSpPr txBox="1"/>
      </xdr:nvSpPr>
      <xdr:spPr>
        <a:xfrm>
          <a:off x="14365574" y="2716967"/>
          <a:ext cx="2879956" cy="4993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300">
              <a:solidFill>
                <a:srgbClr val="1C2A43"/>
              </a:solidFill>
              <a:latin typeface="Aptos" panose="020B0004020202020204" pitchFamily="34" charset="0"/>
            </a:rPr>
            <a:t>Advanced</a:t>
          </a:r>
          <a:r>
            <a:rPr lang="en-US" sz="1300" baseline="0">
              <a:solidFill>
                <a:srgbClr val="1C2A43"/>
              </a:solidFill>
              <a:latin typeface="Aptos" panose="020B0004020202020204" pitchFamily="34" charset="0"/>
            </a:rPr>
            <a:t> Excel, Financial Modelling, </a:t>
          </a:r>
        </a:p>
        <a:p>
          <a:r>
            <a:rPr lang="en-US" sz="1300" baseline="0">
              <a:solidFill>
                <a:srgbClr val="1C2A43"/>
              </a:solidFill>
              <a:latin typeface="Aptos" panose="020B0004020202020204" pitchFamily="34" charset="0"/>
            </a:rPr>
            <a:t>Market Research</a:t>
          </a:r>
          <a:endParaRPr lang="en-US" sz="1300">
            <a:solidFill>
              <a:srgbClr val="1C2A43"/>
            </a:solidFill>
            <a:latin typeface="Aptos" panose="020B0004020202020204" pitchFamily="34" charset="0"/>
          </a:endParaRPr>
        </a:p>
      </xdr:txBody>
    </xdr:sp>
    <xdr:clientData/>
  </xdr:oneCellAnchor>
  <xdr:twoCellAnchor editAs="oneCell">
    <xdr:from>
      <xdr:col>20</xdr:col>
      <xdr:colOff>593361</xdr:colOff>
      <xdr:row>16</xdr:row>
      <xdr:rowOff>145737</xdr:rowOff>
    </xdr:from>
    <xdr:to>
      <xdr:col>21</xdr:col>
      <xdr:colOff>395574</xdr:colOff>
      <xdr:row>19</xdr:row>
      <xdr:rowOff>20820</xdr:rowOff>
    </xdr:to>
    <xdr:pic>
      <xdr:nvPicPr>
        <xdr:cNvPr id="45" name="Graphic 44" descr="Daily calendar with solid fill">
          <a:extLst>
            <a:ext uri="{FF2B5EF4-FFF2-40B4-BE49-F238E27FC236}">
              <a16:creationId xmlns:a16="http://schemas.microsoft.com/office/drawing/2014/main" id="{0174F43B-7569-819D-E72E-798730A5B1E3}"/>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3709754" y="3143770"/>
          <a:ext cx="458033" cy="468443"/>
        </a:xfrm>
        <a:prstGeom prst="rect">
          <a:avLst/>
        </a:prstGeom>
      </xdr:spPr>
    </xdr:pic>
    <xdr:clientData/>
  </xdr:twoCellAnchor>
  <xdr:oneCellAnchor>
    <xdr:from>
      <xdr:col>21</xdr:col>
      <xdr:colOff>614181</xdr:colOff>
      <xdr:row>16</xdr:row>
      <xdr:rowOff>176966</xdr:rowOff>
    </xdr:from>
    <xdr:ext cx="616579" cy="311496"/>
    <xdr:sp macro="" textlink="">
      <xdr:nvSpPr>
        <xdr:cNvPr id="46" name="TextBox 45">
          <a:extLst>
            <a:ext uri="{FF2B5EF4-FFF2-40B4-BE49-F238E27FC236}">
              <a16:creationId xmlns:a16="http://schemas.microsoft.com/office/drawing/2014/main" id="{F97E0D9C-E72E-D202-EFB8-05FE9DA075A9}"/>
            </a:ext>
          </a:extLst>
        </xdr:cNvPr>
        <xdr:cNvSpPr txBox="1"/>
      </xdr:nvSpPr>
      <xdr:spPr>
        <a:xfrm>
          <a:off x="14386394" y="3174999"/>
          <a:ext cx="616579"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a:solidFill>
                <a:srgbClr val="1C2A43"/>
              </a:solidFill>
              <a:latin typeface="Aptos" panose="020B0004020202020204" pitchFamily="34" charset="0"/>
            </a:rPr>
            <a:t>DATE</a:t>
          </a:r>
        </a:p>
      </xdr:txBody>
    </xdr:sp>
    <xdr:clientData/>
  </xdr:oneCellAnchor>
  <xdr:twoCellAnchor editAs="oneCell">
    <xdr:from>
      <xdr:col>20</xdr:col>
      <xdr:colOff>593362</xdr:colOff>
      <xdr:row>19</xdr:row>
      <xdr:rowOff>104099</xdr:rowOff>
    </xdr:from>
    <xdr:to>
      <xdr:col>21</xdr:col>
      <xdr:colOff>447624</xdr:colOff>
      <xdr:row>21</xdr:row>
      <xdr:rowOff>166558</xdr:rowOff>
    </xdr:to>
    <xdr:pic>
      <xdr:nvPicPr>
        <xdr:cNvPr id="49" name="Graphic 48" descr="Document with solid fill">
          <a:extLst>
            <a:ext uri="{FF2B5EF4-FFF2-40B4-BE49-F238E27FC236}">
              <a16:creationId xmlns:a16="http://schemas.microsoft.com/office/drawing/2014/main" id="{3AC4DE8B-A9FB-DB41-7581-0E1867D68E70}"/>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3709755" y="3695492"/>
          <a:ext cx="510082" cy="468443"/>
        </a:xfrm>
        <a:prstGeom prst="rect">
          <a:avLst/>
        </a:prstGeom>
      </xdr:spPr>
    </xdr:pic>
    <xdr:clientData/>
  </xdr:twoCellAnchor>
  <xdr:oneCellAnchor>
    <xdr:from>
      <xdr:col>21</xdr:col>
      <xdr:colOff>614181</xdr:colOff>
      <xdr:row>19</xdr:row>
      <xdr:rowOff>72869</xdr:rowOff>
    </xdr:from>
    <xdr:ext cx="934358" cy="311496"/>
    <xdr:sp macro="" textlink="">
      <xdr:nvSpPr>
        <xdr:cNvPr id="50" name="TextBox 49">
          <a:extLst>
            <a:ext uri="{FF2B5EF4-FFF2-40B4-BE49-F238E27FC236}">
              <a16:creationId xmlns:a16="http://schemas.microsoft.com/office/drawing/2014/main" id="{B3747B34-BFBA-0011-5153-86DD962154E5}"/>
            </a:ext>
          </a:extLst>
        </xdr:cNvPr>
        <xdr:cNvSpPr txBox="1"/>
      </xdr:nvSpPr>
      <xdr:spPr>
        <a:xfrm>
          <a:off x="14386394" y="3664262"/>
          <a:ext cx="934358"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a:solidFill>
                <a:srgbClr val="1C2A43"/>
              </a:solidFill>
              <a:latin typeface="Aptos" panose="020B0004020202020204" pitchFamily="34" charset="0"/>
            </a:rPr>
            <a:t>VERSION</a:t>
          </a:r>
        </a:p>
      </xdr:txBody>
    </xdr:sp>
    <xdr:clientData/>
  </xdr:oneCellAnchor>
  <xdr:oneCellAnchor>
    <xdr:from>
      <xdr:col>21</xdr:col>
      <xdr:colOff>624590</xdr:colOff>
      <xdr:row>20</xdr:row>
      <xdr:rowOff>93688</xdr:rowOff>
    </xdr:from>
    <xdr:ext cx="410433" cy="295850"/>
    <xdr:sp macro="" textlink="">
      <xdr:nvSpPr>
        <xdr:cNvPr id="51" name="TextBox 50">
          <a:extLst>
            <a:ext uri="{FF2B5EF4-FFF2-40B4-BE49-F238E27FC236}">
              <a16:creationId xmlns:a16="http://schemas.microsoft.com/office/drawing/2014/main" id="{01D9DD72-65BF-13F9-5CF5-8EFBAAD32553}"/>
            </a:ext>
          </a:extLst>
        </xdr:cNvPr>
        <xdr:cNvSpPr txBox="1"/>
      </xdr:nvSpPr>
      <xdr:spPr>
        <a:xfrm>
          <a:off x="14396803" y="3903688"/>
          <a:ext cx="410433"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300">
              <a:solidFill>
                <a:srgbClr val="1C2A43"/>
              </a:solidFill>
              <a:latin typeface="Aptos" panose="020B0004020202020204" pitchFamily="34" charset="0"/>
            </a:rPr>
            <a:t>1.0</a:t>
          </a:r>
        </a:p>
      </xdr:txBody>
    </xdr:sp>
    <xdr:clientData/>
  </xdr:oneCellAnchor>
  <xdr:twoCellAnchor>
    <xdr:from>
      <xdr:col>4</xdr:col>
      <xdr:colOff>20819</xdr:colOff>
      <xdr:row>22</xdr:row>
      <xdr:rowOff>62459</xdr:rowOff>
    </xdr:from>
    <xdr:to>
      <xdr:col>25</xdr:col>
      <xdr:colOff>104098</xdr:colOff>
      <xdr:row>26</xdr:row>
      <xdr:rowOff>20820</xdr:rowOff>
    </xdr:to>
    <xdr:sp macro="" textlink="">
      <xdr:nvSpPr>
        <xdr:cNvPr id="52" name="Rectangle: Rounded Corners 51">
          <a:extLst>
            <a:ext uri="{FF2B5EF4-FFF2-40B4-BE49-F238E27FC236}">
              <a16:creationId xmlns:a16="http://schemas.microsoft.com/office/drawing/2014/main" id="{BED89B41-5A7F-AE51-AAEC-3EA22643CCC9}"/>
            </a:ext>
          </a:extLst>
        </xdr:cNvPr>
        <xdr:cNvSpPr/>
      </xdr:nvSpPr>
      <xdr:spPr>
        <a:xfrm>
          <a:off x="2644098" y="4247213"/>
          <a:ext cx="14053279" cy="707869"/>
        </a:xfrm>
        <a:prstGeom prst="roundRect">
          <a:avLst/>
        </a:prstGeom>
        <a:solidFill>
          <a:schemeClr val="tx2">
            <a:lumMod val="10000"/>
            <a:lumOff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300">
              <a:solidFill>
                <a:srgbClr val="1C2A43"/>
              </a:solidFill>
              <a:latin typeface="Aptos" panose="020B0004020202020204" pitchFamily="34" charset="0"/>
            </a:rPr>
            <a:t>Independent</a:t>
          </a:r>
          <a:r>
            <a:rPr lang="en-US" sz="1300" baseline="0">
              <a:solidFill>
                <a:srgbClr val="1C2A43"/>
              </a:solidFill>
              <a:latin typeface="Aptos" panose="020B0004020202020204" pitchFamily="34" charset="0"/>
            </a:rPr>
            <a:t> Analytical Project developed for Learning, portfolio demonstration and business analysis purpose. All calculations, dashboard, financial Models, market estimates and recommendations are independently prepared using publicy available information and consultant assumptions. The project is not comissioned, endorsed or affilitated with UltraTech Cement LTD (RMC)</a:t>
          </a:r>
          <a:endParaRPr lang="en-US" sz="1300">
            <a:solidFill>
              <a:srgbClr val="1C2A43"/>
            </a:solidFill>
            <a:latin typeface="Aptos" panose="020B00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0</xdr:colOff>
      <xdr:row>3</xdr:row>
      <xdr:rowOff>4509</xdr:rowOff>
    </xdr:from>
    <xdr:to>
      <xdr:col>12</xdr:col>
      <xdr:colOff>0</xdr:colOff>
      <xdr:row>12</xdr:row>
      <xdr:rowOff>71414</xdr:rowOff>
    </xdr:to>
    <xdr:graphicFrame macro="">
      <xdr:nvGraphicFramePr>
        <xdr:cNvPr id="2" name="Chart 1">
          <a:extLst>
            <a:ext uri="{FF2B5EF4-FFF2-40B4-BE49-F238E27FC236}">
              <a16:creationId xmlns:a16="http://schemas.microsoft.com/office/drawing/2014/main" id="{EEC7D9DF-70F1-111E-D695-1ED4227704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15</xdr:row>
      <xdr:rowOff>17336</xdr:rowOff>
    </xdr:from>
    <xdr:to>
      <xdr:col>12</xdr:col>
      <xdr:colOff>1</xdr:colOff>
      <xdr:row>22</xdr:row>
      <xdr:rowOff>18405</xdr:rowOff>
    </xdr:to>
    <xdr:graphicFrame macro="">
      <xdr:nvGraphicFramePr>
        <xdr:cNvPr id="4" name="Chart 3">
          <a:extLst>
            <a:ext uri="{FF2B5EF4-FFF2-40B4-BE49-F238E27FC236}">
              <a16:creationId xmlns:a16="http://schemas.microsoft.com/office/drawing/2014/main" id="{FE9720B5-71E3-E1D3-CC65-A839706469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7775</xdr:colOff>
      <xdr:row>24</xdr:row>
      <xdr:rowOff>26537</xdr:rowOff>
    </xdr:from>
    <xdr:to>
      <xdr:col>11</xdr:col>
      <xdr:colOff>1568061</xdr:colOff>
      <xdr:row>32</xdr:row>
      <xdr:rowOff>118323</xdr:rowOff>
    </xdr:to>
    <xdr:graphicFrame macro="">
      <xdr:nvGraphicFramePr>
        <xdr:cNvPr id="5" name="Chart 4">
          <a:extLst>
            <a:ext uri="{FF2B5EF4-FFF2-40B4-BE49-F238E27FC236}">
              <a16:creationId xmlns:a16="http://schemas.microsoft.com/office/drawing/2014/main" id="{D4140D64-F7D2-029E-80DD-DA0B595801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xdr:colOff>
      <xdr:row>8</xdr:row>
      <xdr:rowOff>1</xdr:rowOff>
    </xdr:from>
    <xdr:to>
      <xdr:col>6</xdr:col>
      <xdr:colOff>0</xdr:colOff>
      <xdr:row>19</xdr:row>
      <xdr:rowOff>171710</xdr:rowOff>
    </xdr:to>
    <xdr:graphicFrame macro="">
      <xdr:nvGraphicFramePr>
        <xdr:cNvPr id="2" name="Chart 1">
          <a:extLst>
            <a:ext uri="{FF2B5EF4-FFF2-40B4-BE49-F238E27FC236}">
              <a16:creationId xmlns:a16="http://schemas.microsoft.com/office/drawing/2014/main" id="{B3CC36CE-DA95-4297-A9A2-ED59070F6E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22</xdr:row>
      <xdr:rowOff>0</xdr:rowOff>
    </xdr:from>
    <xdr:to>
      <xdr:col>6</xdr:col>
      <xdr:colOff>21648</xdr:colOff>
      <xdr:row>32</xdr:row>
      <xdr:rowOff>21648</xdr:rowOff>
    </xdr:to>
    <xdr:graphicFrame macro="">
      <xdr:nvGraphicFramePr>
        <xdr:cNvPr id="4" name="Chart 3">
          <a:extLst>
            <a:ext uri="{FF2B5EF4-FFF2-40B4-BE49-F238E27FC236}">
              <a16:creationId xmlns:a16="http://schemas.microsoft.com/office/drawing/2014/main" id="{1F40321A-E0BC-40BC-8E4B-3663D2D571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336983</xdr:colOff>
      <xdr:row>7</xdr:row>
      <xdr:rowOff>173183</xdr:rowOff>
    </xdr:from>
    <xdr:to>
      <xdr:col>13</xdr:col>
      <xdr:colOff>7215</xdr:colOff>
      <xdr:row>20</xdr:row>
      <xdr:rowOff>14433</xdr:rowOff>
    </xdr:to>
    <xdr:graphicFrame macro="">
      <xdr:nvGraphicFramePr>
        <xdr:cNvPr id="5" name="Chart 4">
          <a:extLst>
            <a:ext uri="{FF2B5EF4-FFF2-40B4-BE49-F238E27FC236}">
              <a16:creationId xmlns:a16="http://schemas.microsoft.com/office/drawing/2014/main" id="{17A3E415-4445-7494-69DB-590C66C70C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FBF09EC-8FC8-4EB4-B070-319D0ED9FF0C}" name="Market_Data" displayName="Market_Data" ref="A8:P3073" totalsRowShown="0" headerRowDxfId="282" dataDxfId="281" tableBorderDxfId="280">
  <autoFilter ref="A8:P3073" xr:uid="{CFBF09EC-8FC8-4EB4-B070-319D0ED9FF0C}"/>
  <tableColumns count="16">
    <tableColumn id="1" xr3:uid="{D1DFDAFE-DAEE-43E0-AB9B-99AA36A6460F}" name="Project ID" dataDxfId="279">
      <calculatedColumnFormula>_xlfn.XLOOKUP(B9,$S$9:$S$14,$T$9:$T$14)&amp;"-"&amp;
IF(E9="Residential/Group Housing","RES",
IF(E9="Commercial","COM",
IF(E9="Mixed Development","MIX",
IF(E9="Plotted Development","PLT","OTH"))))
&amp;"-"&amp;TEXT(COUNTIFS($B$9:B9,B9,$E$9:E9,E9),"0000")</calculatedColumnFormula>
    </tableColumn>
    <tableColumn id="2" xr3:uid="{1D57A706-3AD0-4420-BBB8-657237E12C8B}" name="District" dataDxfId="278"/>
    <tableColumn id="3" xr3:uid="{B5EBC598-157B-4F9C-A7DA-E0BD43D4EF59}" name="City/Town" dataDxfId="277"/>
    <tableColumn id="4" xr3:uid="{73FE4484-7E18-496A-AB77-BE4DF0EB5827}" name="Project Name" dataDxfId="276"/>
    <tableColumn id="5" xr3:uid="{F80615A6-4ADA-46C4-9E3C-639F5AF6F55F}" name="Project Type" dataDxfId="275"/>
    <tableColumn id="6" xr3:uid="{13163EB9-A8E6-4F9F-9A48-93FC1E3F3C58}" name="Status" dataDxfId="274">
      <calculatedColumnFormula>IF(OR(Market_Data[[#This Row],[Start Date]]="",Market_Data[[#This Row],[Completion Date]]=""),"Needs Validation",IF(Market_Data[[#This Row],[Start Date]]&gt;TODAY(),"Planned",IF(Market_Data[[#This Row],[Completion Date]]&lt;TODAY(),"Completed","Ongoing")))</calculatedColumnFormula>
    </tableColumn>
    <tableColumn id="7" xr3:uid="{E8961AD0-5557-494A-A3F7-7551EC9DF5C3}" name="Start Date" dataDxfId="273"/>
    <tableColumn id="8" xr3:uid="{0EE5E91A-48A2-4E26-9FF5-3627B8B19B48}" name="Completion Date" dataDxfId="272"/>
    <tableColumn id="15" xr3:uid="{21891100-EDB0-4EB7-B1E5-96AC7641A4F0}" name="Estimated Built Up Area (sq m)" dataDxfId="271"/>
    <tableColumn id="16" xr3:uid="{1AF91636-D534-4DB4-8E47-8211DB758023}" name="BUA Validation" dataDxfId="270">
      <calculatedColumnFormula>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calculatedColumnFormula>
    </tableColumn>
    <tableColumn id="14" xr3:uid="{97D1667D-84B2-4A66-BF9B-AE8FEA2F53ED}" name="Concrete Intensity_x000a_(m³ / sq m)" dataDxfId="269">
      <calculatedColumnFormula>_xlfn.XLOOKUP(Market_Data[[#This Row],[Project Type]],tbl_assumptions_market[Project Category (RERA)],tbl_assumptions_market[Concrete Intensity
(m³ / sq m BUA)],"",0)</calculatedColumnFormula>
    </tableColumn>
    <tableColumn id="9" xr3:uid="{7AEDD569-A05E-4FD1-8D19-106CA1B78483}" name="Estimated Concrete Demand (m³)" dataDxfId="268">
      <calculatedColumnFormula>ROUND(Market_Data[[#This Row],[Estimated Built Up Area (sq m)]]*Market_Data[[#This Row],[Concrete Intensity
(m³ / sq m)]],0)</calculatedColumnFormula>
    </tableColumn>
    <tableColumn id="10" xr3:uid="{0037562B-7C3C-4B56-B513-39178C789431}" name="Avg Price per (₹ / m³)" dataDxfId="267">
      <calculatedColumnFormula>_xlfn.XLOOKUP(Market_Data[[#This Row],[District]],tbl_district_price[District],tbl_district_price[Standard Price
(INR/m³)],"",0)</calculatedColumnFormula>
    </tableColumn>
    <tableColumn id="11" xr3:uid="{44AC8BD2-3B4F-421E-93DD-87FD9F2B5F0E}" name="Estimated Market Value (₹ Cr)" dataDxfId="266">
      <calculatedColumnFormula>IF(OR(Market_Data[[#This Row],[Estimated Concrete Demand (m³)]]="",Market_Data[[#This Row],[Avg Price per (₹ / m³)]]=""),"",Market_Data[[#This Row],[Estimated Concrete Demand (m³)]]*Market_Data[[#This Row],[Avg Price per (₹ / m³)]]/10000000)</calculatedColumnFormula>
    </tableColumn>
    <tableColumn id="12" xr3:uid="{C6AF302C-CF8F-4BA8-AB44-63F7050EB4BE}" name="Scale" dataDxfId="265">
      <calculatedColumnFormula>IF(Market_Data[[#This Row],[Estimated Concrete Demand (m³)]]="","",
IF(Market_Data[[#This Row],[Estimated Concrete Demand (m³)]]&lt;10000,"Small",
IF(Market_Data[[#This Row],[Estimated Concrete Demand (m³)]]&lt;25000,"Medium",
IF(Market_Data[[#This Row],[Estimated Concrete Demand (m³)]]&lt;100000,"Large","Mega"))))</calculatedColumnFormula>
    </tableColumn>
    <tableColumn id="13" xr3:uid="{98414036-8AFE-46AC-8EE4-60758D42386F}" name="Source" dataDxfId="264" dataCellStyle="Hyperlink">
      <calculatedColumnFormula>HYPERLINK(
"https://gujrera.gujarat.gov.in",
"GujRERA")</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29E24C4-2196-4A07-9017-1A9B55AE61B6}" name="Summary_tbl" displayName="Summary_tbl" ref="S8:Y14" totalsRowShown="0" headerRowDxfId="263" dataDxfId="261" headerRowBorderDxfId="262">
  <tableColumns count="7">
    <tableColumn id="1" xr3:uid="{536A023B-3CF6-4B45-B5C9-8C343E24AC50}" name="District" dataDxfId="260"/>
    <tableColumn id="2" xr3:uid="{71E0A7B3-51E0-4194-9496-E58B8F8A1FD8}" name="Code" dataDxfId="259"/>
    <tableColumn id="3" xr3:uid="{D256C4C8-C078-4AA5-A327-0AEA233E676B}" name="No. of_x000a_Projects" dataDxfId="258">
      <calculatedColumnFormula>COUNTIF(Market_Data[District],S9)</calculatedColumnFormula>
    </tableColumn>
    <tableColumn id="4" xr3:uid="{6B3594A3-0C1E-4B28-8915-143F2C47D507}" name="Total BUA_x000a_(sq m)" dataDxfId="257">
      <calculatedColumnFormula>SUMIF(Market_Data[District],S9,Market_Data[Estimated Built Up Area (sq m)])</calculatedColumnFormula>
    </tableColumn>
    <tableColumn id="5" xr3:uid="{9B10239A-436E-4157-8733-937997CA8393}" name="Total Concrete_x000a_Demand (m³)" dataDxfId="256">
      <calculatedColumnFormula>SUMIF(Market_Data[District],S9,Market_Data[Estimated Concrete Demand (m³)])</calculatedColumnFormula>
    </tableColumn>
    <tableColumn id="6" xr3:uid="{6B89A8A9-134A-430D-BFFD-0BE7C02BBFDB}" name="Total Concrete_x000a_Cost (₹/Cr)" dataDxfId="255">
      <calculatedColumnFormula>SUMIF(Market_Data[District],S9,Market_Data[Estimated Market Value (₹ Cr)])</calculatedColumnFormula>
    </tableColumn>
    <tableColumn id="7" xr3:uid="{16217B73-C594-4CB4-A999-FC9C1EA8BDF5}" name="% of Total Cost" dataDxfId="254">
      <calculatedColumnFormula>X9/SUM(X9:X14)</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388A4C6-3881-4E03-93BD-91500DB2946E}" name="Project_tbl" displayName="Project_tbl" ref="S16:Y21" totalsRowShown="0" headerRowDxfId="253" dataDxfId="252" tableBorderDxfId="251">
  <tableColumns count="7">
    <tableColumn id="1" xr3:uid="{CA13A56E-41DC-43FD-B2D5-2CC8CC175EA6}" name="Project Category" dataDxfId="250"/>
    <tableColumn id="2" xr3:uid="{CF80ED21-FA25-4880-8415-CB9F3BAF9CA0}" name="Code" dataDxfId="249"/>
    <tableColumn id="3" xr3:uid="{1E96220B-424E-46DE-944B-8E298695BDCF}" name="No. of_x000a_Projects" dataDxfId="248">
      <calculatedColumnFormula>IFERROR(COUNTIF(Market_Data[Project Type],S17),"")</calculatedColumnFormula>
    </tableColumn>
    <tableColumn id="4" xr3:uid="{2BCBE67A-61D4-4CA7-9CB9-D3E13818D6F4}" name="Total BUA_x000a_(sq m)" dataDxfId="247">
      <calculatedColumnFormula>IFERROR(SUMIF(Market_Data[Project Type],S17,Market_Data[Estimated Built Up Area (sq m)]),"")</calculatedColumnFormula>
    </tableColumn>
    <tableColumn id="5" xr3:uid="{F339450C-6145-4DD5-BD36-F6E206096A95}" name="Total Concrete_x000a_Demand (m³)" dataDxfId="246">
      <calculatedColumnFormula>IFERROR(SUMIF(Market_Data[Project Type],S17,Market_Data[Estimated Concrete Demand (m³)]),"")</calculatedColumnFormula>
    </tableColumn>
    <tableColumn id="6" xr3:uid="{3B626450-6A12-451B-8310-E50EF868A08C}" name="Total Concrete_x000a_Cost (₹/Cr)" dataDxfId="245">
      <calculatedColumnFormula>IFERROR(SUMIF(Market_Data[Project Type],S17,Market_Data[Estimated Market Value (₹ Cr)]),"")</calculatedColumnFormula>
    </tableColumn>
    <tableColumn id="7" xr3:uid="{8CDB923A-A642-4B9F-8CEF-BBEE140B22E1}" name="% of Total Cost" dataDxfId="244">
      <calculatedColumnFormula>IFERROR(X17/SUM(X17:X21),"")</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BF41C46-D5B3-4888-B798-1BED61D6B61A}" name="tbl_assumptions_market" displayName="tbl_assumptions_market" ref="A4:G8" totalsRowShown="0" headerRowDxfId="316" headerRowBorderDxfId="315" tableBorderDxfId="314">
  <tableColumns count="7">
    <tableColumn id="1" xr3:uid="{5EC14C73-5C16-47AC-8994-7B0360938468}" name="Project Category (RERA)" dataDxfId="313"/>
    <tableColumn id="2" xr3:uid="{B1098955-7136-4DB6-BAFE-6019A8120B36}" name="BUA Min (sq m)" dataDxfId="312"/>
    <tableColumn id="3" xr3:uid="{2F4D3DCF-E2D0-4922-817A-DD9512B367BD}" name="BUA Max (sq m)" dataDxfId="311"/>
    <tableColumn id="4" xr3:uid="{2B7679DE-4218-4D29-9F68-846DD07A3B6C}" name="Typical BUA (sq m)" dataDxfId="310"/>
    <tableColumn id="5" xr3:uid="{888175B8-DECE-45BA-815D-5AB25BFDA1F1}" name="Concrete Intensity_x000a_(m³ / sq m BUA)" dataDxfId="309"/>
    <tableColumn id="6" xr3:uid="{0080559B-532B-4D27-9D5A-AD488C93EB2B}" name="Structural Basis" dataDxfId="308"/>
    <tableColumn id="7" xr3:uid="{EFB32E46-3281-407F-B3FD-8B400CCCAB03}" name="Source" dataDxfId="30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C85B9DC7-116A-4CCB-A14F-97B0BB457727}" name="tbl_district_price" displayName="tbl_district_price" ref="A11:F16" totalsRowShown="0" headerRowDxfId="306" headerRowBorderDxfId="305" tableBorderDxfId="304">
  <tableColumns count="6">
    <tableColumn id="1" xr3:uid="{ACAE7A58-9E7E-4618-8D4B-DDB617776EA2}" name="District" dataDxfId="303"/>
    <tableColumn id="2" xr3:uid="{E55DD133-3858-417A-BCE0-796F7468C1E2}" name="Min Price_x000a_(INR/m³)" dataDxfId="302"/>
    <tableColumn id="3" xr3:uid="{89104F9B-E03D-4CD1-84C0-8B09942B9FE9}" name="Max Price_x000a_(INR/m³)" dataDxfId="301"/>
    <tableColumn id="4" xr3:uid="{CBE00010-BB68-480C-8460-C76710253B6E}" name="Standard Price_x000a_(INR/m³)" dataDxfId="300"/>
    <tableColumn id="5" xr3:uid="{DA717932-81C4-4CD2-9278-2EAF19B91835}" name="Market Remarks" dataDxfId="299"/>
    <tableColumn id="6" xr3:uid="{24A2DE0A-A080-4873-8537-03DAE04A7C12}" name="Source" dataDxfId="29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_tam" displayName="tbl_tam" ref="A5:F12">
  <tableColumns count="6">
    <tableColumn id="1" xr3:uid="{00000000-0010-0000-0100-000001000000}" name="Category"/>
    <tableColumn id="2" xr3:uid="{00000000-0010-0000-0100-000002000000}" name="No. of Projects" dataDxfId="240">
      <calculatedColumnFormula>IF(COUNTA(Market_Data!$D$9:$D$1048576)=0,"",COUNTIF(Market_Data!$E$9:$E$1048576,A6))</calculatedColumnFormula>
    </tableColumn>
    <tableColumn id="3" xr3:uid="{00000000-0010-0000-0100-000003000000}" name="Avg Concrete Usage (m³)" dataDxfId="239">
      <calculatedColumnFormula>AVERAGEIF(Market_Data!$E$9:$E$1048576,A6,Market_Data!J9:J1048576)</calculatedColumnFormula>
    </tableColumn>
    <tableColumn id="4" xr3:uid="{00000000-0010-0000-0100-000004000000}" name="Total Demand (m³)" dataDxfId="238">
      <calculatedColumnFormula>IF(COUNTA(Market_Data!$D$9:$D$1048576)=0,"",SUMIF(Market_Data!$E$9:$E$1048576,A6,Market_Data!$I$9:$I$1048576))</calculatedColumnFormula>
    </tableColumn>
    <tableColumn id="5" xr3:uid="{00000000-0010-0000-0100-000005000000}" name="Avg Price (₹/m³)" dataDxfId="237">
      <calculatedColumnFormula>IF(D6=0,"",F6*10000000/D6)</calculatedColumnFormula>
    </tableColumn>
    <tableColumn id="6" xr3:uid="{00000000-0010-0000-0100-000006000000}" name="Market Value (₹ Cr)" dataDxfId="236">
      <calculatedColumnFormula>IF(COUNTA(Market_Data!$D$9:$D$1048576)=0,"",SUMIF(Market_Data!$E$9:$E$1048576,A6,Market_Data!$K$9:$K$1048576))</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bl_sam" displayName="tbl_sam" ref="A17:E22" dataDxfId="235">
  <tableColumns count="5">
    <tableColumn id="1" xr3:uid="{00000000-0010-0000-0200-000001000000}" name="District/Zone" dataDxfId="234"/>
    <tableColumn id="2" xr3:uid="{00000000-0010-0000-0200-000002000000}" name="Included in SAM?" dataDxfId="233"/>
    <tableColumn id="3" xr3:uid="{00000000-0010-0000-0200-000003000000}" name="Reason" dataDxfId="232"/>
    <tableColumn id="4" xr3:uid="{00000000-0010-0000-0200-000004000000}" name="Estimated Reachable Demand (m³)" dataDxfId="231">
      <calculatedColumnFormula>IFERROR((SUMIF(Market_Data[District],tbl_sam[[#This Row],[District/Zone]],Market_Data[Estimated Concrete Demand (m³)])+SUMIFS(tbl_infrastructure_projects[Estimated Concrete Demand (m³)],tbl_infrastructure_projects[District],tbl_sam[[#This Row],[District/Zone]],tbl_infrastructure_projects[Include in TAM?],"Yes"))*SUMIF(tbl_reachability[Included in Sam?],tbl_sam[[#This Row],[Included in SAM?]],tbl_reachability[Reachability]),"")</calculatedColumnFormula>
    </tableColumn>
    <tableColumn id="5" xr3:uid="{00000000-0010-0000-0200-000005000000}" name="Reachable Market Value" dataDxfId="230">
      <calculatedColumnFormula>IFERROR((SUMIF(Market_Data[District],tbl_sam[[#This Row],[District/Zone]],Market_Data[Estimated Market Value (₹ Cr)])+SUMIFS(tbl_infrastructure_projects[Estimated Market Value (₹ Cr)],tbl_infrastructure_projects[District],tbl_sam[[#This Row],[District/Zone]],tbl_infrastructure_projects[Include in TAM?],"Yes"))*SUMIF(tbl_reachability[Included in Sam?],tbl_sam[[#This Row],[Included in SAM?]],tbl_reachability[Reachability]),"")</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bl_som" displayName="tbl_som" ref="A26:E31" dataDxfId="229">
  <tableColumns count="5">
    <tableColumn id="1" xr3:uid="{00000000-0010-0000-0300-000001000000}" name="Year" dataDxfId="228"/>
    <tableColumn id="2" xr3:uid="{00000000-0010-0000-0300-000002000000}" name="Market Capture %" dataDxfId="227"/>
    <tableColumn id="3" xr3:uid="{00000000-0010-0000-0300-000003000000}" name="Revenue Potential (₹ Cr)" dataDxfId="226">
      <calculatedColumnFormula>IFERROR(SUM(tbl_sam[Reachable Market Value])*tbl_som[[#This Row],[Market Capture %]],"")</calculatedColumnFormula>
    </tableColumn>
    <tableColumn id="4" xr3:uid="{00000000-0010-0000-0300-000004000000}" name="Revenue Growth %" dataDxfId="225">
      <calculatedColumnFormula>""</calculatedColumnFormula>
    </tableColumn>
    <tableColumn id="5" xr3:uid="{AA045ADF-7642-429E-8AB7-291163F013F2}" name="Strategic Focus" dataDxfId="22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C575F9D-CE9C-498D-8D4B-0804467F2A99}" name="tbl_MarketValue" displayName="tbl_MarketValue" ref="H37:I40" totalsRowShown="0" headerRowDxfId="223" headerRowBorderDxfId="222" tableBorderDxfId="221" totalsRowBorderDxfId="220">
  <tableColumns count="2">
    <tableColumn id="1" xr3:uid="{B34B042F-7EE4-4763-8746-CD7745F3C108}" name="Stage" dataDxfId="219"/>
    <tableColumn id="2" xr3:uid="{0A6DF6F5-487E-4558-8E2B-E87FEA127143}" name="Market Value (₹ Cr)" dataDxfId="218"/>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9E068BC8-A568-4608-AD81-65044F3E04A3}" name="tbl_Category" displayName="tbl_Category" ref="K37:L43" totalsRowShown="0" headerRowDxfId="217" headerRowBorderDxfId="216" tableBorderDxfId="215" totalsRowBorderDxfId="214">
  <tableColumns count="2">
    <tableColumn id="1" xr3:uid="{0F78F2A2-AD24-4934-9194-F807F2D69025}" name="Category" dataDxfId="213"/>
    <tableColumn id="2" xr3:uid="{1A0CA1FF-D16B-4198-A917-96123DBE0543}" name="Market Value (₹ Cr)" dataDxfId="212">
      <calculatedColumnFormula>F6</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B8CEAB5F-751D-404F-9586-6F6C638F0F6C}" name="tbl_Reachable_Demand" displayName="tbl_Reachable_Demand" ref="H43:I48" totalsRowShown="0" headerRowDxfId="211" headerRowBorderDxfId="210" tableBorderDxfId="209" totalsRowBorderDxfId="208">
  <tableColumns count="2">
    <tableColumn id="1" xr3:uid="{9ACF2AF5-0F71-45D0-9635-3A183D8EA8DA}" name="District" dataDxfId="207">
      <calculatedColumnFormula>A18</calculatedColumnFormula>
    </tableColumn>
    <tableColumn id="2" xr3:uid="{138C01F6-661D-4713-A50F-100176D1CF98}" name="Reachable Demand (m³)" dataDxfId="206">
      <calculatedColumnFormula>D18</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949418E-9DDE-4CF2-9DB4-47DA87CA42DB}" name="tbl_reachability" displayName="tbl_reachability" ref="K45:L48" totalsRowShown="0" headerRowDxfId="205" headerRowBorderDxfId="204" tableBorderDxfId="203" totalsRowBorderDxfId="202">
  <tableColumns count="2">
    <tableColumn id="1" xr3:uid="{1C7CFA0D-7B13-4078-B836-18B40F46E3BF}" name="Included in Sam?" dataDxfId="201"/>
    <tableColumn id="2" xr3:uid="{4A032518-3A93-49CF-8CB5-1C3531814F75}" name="Reachability" dataDxfId="200"/>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D7034813-EBB6-442B-AE41-0D42274DEAA6}" name="Table34" displayName="Table34" ref="H50:L56" totalsRowShown="0" headerRowDxfId="199" dataDxfId="197" headerRowBorderDxfId="198" tableBorderDxfId="196">
  <tableColumns count="5">
    <tableColumn id="1" xr3:uid="{3F87280E-0160-46D0-BBF9-5CDD8DED9677}" name="District" dataDxfId="195"/>
    <tableColumn id="2" xr3:uid="{9E931F6C-5BB9-42F6-A739-46077068FBA5}" name="TAM (₹ Cr)" dataDxfId="194"/>
    <tableColumn id="3" xr3:uid="{9550DCB4-E476-4D8B-AFE0-329B3499D882}" name="Reachability %" dataDxfId="193"/>
    <tableColumn id="4" xr3:uid="{81BC5031-2AF8-447A-87B7-1955A53D3834}" name="SAM (₹ Cr)" dataDxfId="192"/>
    <tableColumn id="5" xr3:uid="{6382DC0F-49AB-45D1-A0BF-DB41376BBBE2}" name="Reduction %" dataDxfId="191"/>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BDC3DCB-CEB0-4A34-A019-CD33345F8347}" name="tbl_Competitors" displayName="tbl_Competitors" ref="A4:AH70" totalsRowShown="0" headerRowDxfId="181" tableBorderDxfId="180">
  <tableColumns count="34">
    <tableColumn id="1" xr3:uid="{870166A6-3774-46C4-84FB-208C1BC6F408}" name="Zone" dataDxfId="179"/>
    <tableColumn id="2" xr3:uid="{348641B1-DA77-40D4-BF95-851221D00E0F}" name="Competitor" dataDxfId="178"/>
    <tableColumn id="3" xr3:uid="{B3E8D832-A4C3-4969-A38D-3BD023DD4371}" name="Location" dataDxfId="177"/>
    <tableColumn id="4" xr3:uid="{0946B184-5808-4B67-99E5-9AF061F8AD94}" name="Estimated Capacity (m³/month)" dataDxfId="176"/>
    <tableColumn id="5" xr3:uid="{F8552477-ED35-4AE4-83C1-21AB1995B535}" name="Market Position" dataDxfId="175"/>
    <tableColumn id="6" xr3:uid="{AFA9A9E0-309E-4615-8896-D9577E10E49C}" name="Estimated Market Share %" dataDxfId="174">
      <calculatedColumnFormula>tbl_Competitors[[#This Row],[Annual Capacity]]/SUM(tbl_Competitors[Annual Capacity])</calculatedColumnFormula>
    </tableColumn>
    <tableColumn id="7" xr3:uid="{BDB62806-89D3-43D7-A5F1-15EB5F584F22}" name="Pricing Level" dataDxfId="173"/>
    <tableColumn id="8" xr3:uid="{E4D7A1E1-D908-4B7F-9E7D-0B69ABDE77D7}" name="Strengths" dataDxfId="172"/>
    <tableColumn id="9" xr3:uid="{EA912703-1EB0-427E-ADCC-B36CE2B46B63}" name="Weaknesses" dataDxfId="171"/>
    <tableColumn id="10" xr3:uid="{297E792F-3AFB-4650-8DCE-6A6D3CDFDFD8}" name="Strategic Threat Level" dataDxfId="170"/>
    <tableColumn id="32" xr3:uid="{7EC92FF2-BAE9-4319-90DC-295CE614D943}" name="Plant Count" dataDxfId="169"/>
    <tableColumn id="31" xr3:uid="{401A3B13-C5E5-4FAB-B023-8E88E8467C2B}" name="Latitude" dataDxfId="168"/>
    <tableColumn id="30" xr3:uid="{3FFD7980-7D43-4A4C-8566-31F45A8262FC}" name="Longitude" dataDxfId="167"/>
    <tableColumn id="29" xr3:uid="{8F56C3BE-8875-48B3-9822-A8E883FE3721}" name="Distance from Proposed Plant (km)" dataDxfId="166"/>
    <tableColumn id="27" xr3:uid="{A3BE0CC8-379A-4EC8-84DB-9ECE274BE1F5}" name="Distance Validation" dataDxfId="165">
      <calculatedColumnFormula>IF(tbl_Competitors[[#This Row],[Distance from Proposed Plant (km)]]&gt;tbl_Competitors[[#This Row],[Radius (Km)]],"Outside Radius","Within Radius")</calculatedColumnFormula>
    </tableColumn>
    <tableColumn id="28" xr3:uid="{FB1715CA-D7D7-4658-83AC-AA40CC411A2B}" name="Radius (Km)" dataDxfId="164"/>
    <tableColumn id="11" xr3:uid="{B9C25CBC-7AA7-4865-83D0-957DFF1876D4}" name="Capacity Min" dataDxfId="163">
      <calculatedColumnFormula>IFERROR(--SUBSTITUTE(TRIM(LEFT(SUBSTITUTE(tbl_Competitors[[#This Row],[Estimated Capacity (m³/month)]],"–","-"),FIND("-",SUBSTITUTE(tbl_Competitors[[#This Row],[Estimated Capacity (m³/month)]],"–","-"))-1)),",",""),"Invalid Format")</calculatedColumnFormula>
    </tableColumn>
    <tableColumn id="12" xr3:uid="{386B4F0D-7D96-4E22-B687-D1EF1AF58BDE}" name="Capacity Max" dataDxfId="162">
      <calculatedColumnFormula>IFERROR(--SUBSTITUTE(TRIM(MID(SUBSTITUTE(tbl_Competitors[[#This Row],[Estimated Capacity (m³/month)]],"–","-"),FIND("-",SUBSTITUTE(tbl_Competitors[[#This Row],[Estimated Capacity (m³/month)]],"–","-"))+1,99)),",",""),"Invalid Format")</calculatedColumnFormula>
    </tableColumn>
    <tableColumn id="13" xr3:uid="{F89C2763-90BA-4064-9144-B56295D4D4AC}" name="Capacity Midpoint" dataDxfId="161">
      <calculatedColumnFormula>IFERROR(AVERAGE(tbl_Competitors[[#This Row],[Capacity Min]],tbl_Competitors[[#This Row],[Capacity Max]]),"")</calculatedColumnFormula>
    </tableColumn>
    <tableColumn id="15" xr3:uid="{9E5221F4-DE7B-43B1-A070-307EF218B8AC}" name="Capacity Range Width %" dataDxfId="160">
      <calculatedColumnFormula>IF(tbl_Competitors[[#This Row],[Capacity Midpoint]]=0,"",(tbl_Competitors[[#This Row],[Capacity Max]]-tbl_Competitors[[#This Row],[Capacity Min]])/tbl_Competitors[[#This Row],[Capacity Midpoint]])</calculatedColumnFormula>
    </tableColumn>
    <tableColumn id="14" xr3:uid="{108AB20F-5DE3-4231-882E-50647AAF22FE}" name="Annual Capacity" dataDxfId="159">
      <calculatedColumnFormula>IFERROR(tbl_Competitors[[#This Row],[Capacity Midpoint]]*12,"")</calculatedColumnFormula>
    </tableColumn>
    <tableColumn id="16" xr3:uid="{516D7AA2-E0FF-410C-87C3-11E83A720EBA}" name="Zone Capacity Total" dataDxfId="158">
      <calculatedColumnFormula>IFERROR(SUMIFS(tbl_Competitors[Capacity Midpoint],tbl_Competitors[Zone],tbl_Competitors[[#This Row],[Zone]]),"")</calculatedColumnFormula>
    </tableColumn>
    <tableColumn id="17" xr3:uid="{25BFFD48-EC9F-4499-A5E1-D600512DCE23}" name="Capacity Share %" dataDxfId="157">
      <calculatedColumnFormula>IFERROR(tbl_Competitors[[#This Row],[Capacity Midpoint]]/tbl_Competitors[[#This Row],[Zone Capacity Total]],"")</calculatedColumnFormula>
    </tableColumn>
    <tableColumn id="18" xr3:uid="{35CCA14D-C4E7-473D-A936-C630E16D0F96}" name="Zone Market Share Coverage %" dataDxfId="156">
      <calculatedColumnFormula>IFERROR(SUMIFS(tbl_Competitors[Estimated Market Share %],tbl_Competitors[Zone],tbl_Competitors[[#This Row],[Zone]]),"")</calculatedColumnFormula>
    </tableColumn>
    <tableColumn id="19" xr3:uid="{66A84C17-BD76-4E47-9E58-586041B189E5}" name="Commercial / Captive Flag" dataDxfId="155">
      <calculatedColumnFormula>IF(OR(ISNUMBER(SEARCH("Captive",tbl_Competitors[[#This Row],[Market Position]])),tbl_Competitors[[#This Row],[Estimated Market Share %]]="N/A - Captive",tbl_Competitors[[#This Row],[Pricing Level]]="Internal Cost",tbl_Competitors[[#This Row],[Pricing Level]]="Captive"),"Captive / Project-Based","Commercial / Open Market")</calculatedColumnFormula>
    </tableColumn>
    <tableColumn id="20" xr3:uid="{3B3BA7FD-44CF-45F2-BE98-DA757B65F653}" name="Pricing Pressure Score" dataDxfId="154">
      <calculatedColumnFormula>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calculatedColumnFormula>
    </tableColumn>
    <tableColumn id="21" xr3:uid="{3603A843-3CB3-4CBD-A9E7-9BA51F248968}" name="Threat Score" dataDxfId="153">
      <calculatedColumnFormula>IF(tbl_Competitors[[#This Row],[Strategic Threat Level]]="High",3,IF(tbl_Competitors[[#This Row],[Strategic Threat Level]]="Medium",2,IF(tbl_Competitors[[#This Row],[Strategic Threat Level]]="Low",1,"")))</calculatedColumnFormula>
    </tableColumn>
    <tableColumn id="22" xr3:uid="{77434380-72CC-4AEC-8445-105ED801FA39}" name="High Threat Flag" dataDxfId="152">
      <calculatedColumnFormula>IF(tbl_Competitors[[#This Row],[Strategic Threat Level]]="High","Yes","No")</calculatedColumnFormula>
    </tableColumn>
    <tableColumn id="23" xr3:uid="{6EBF82EB-134A-4B5A-B2D8-AB772B13DF2F}" name="Low-Cost Competitor Flag" dataDxfId="151">
      <calculatedColumnFormula>IF(OR(tbl_Competitors[[#This Row],[Pricing Level]]="Lowest",tbl_Competitors[[#This Row],[Pricing Level]]="Low-Cost",tbl_Competitors[[#This Row],[Pricing Level]]="Cost-Effective"),"Yes","No")</calculatedColumnFormula>
    </tableColumn>
    <tableColumn id="24" xr3:uid="{18523FFD-FB4F-4EA0-906E-FCB83B38233F}" name="Market Share Validation Flag" dataDxfId="150">
      <calculatedColumnFormula>IF(tbl_Competitors[[#This Row],[Commercial / Captive Flag]]="Captive / Project-Based","Captive - Exclude from Open Market Share",IF(tbl_Competitors[[#This Row],[Estimated Market Share %]]="","Needs Validation",IF(tbl_Competitors[[#This Row],[Zone Market Share Coverage %]]&gt;1.05,"Zone Share Exceeds 100%","OK")))</calculatedColumnFormula>
    </tableColumn>
    <tableColumn id="25" xr3:uid="{7BA3A9D5-71F7-43CF-A6DF-BB1C19D3A4B4}" name="Capacity Validation Flag" dataDxfId="149">
      <calculatedColumnFormula>IF(OR(tbl_Competitors[[#This Row],[Capacity Min]]="Invalid Format",tbl_Competitors[[#This Row],[Capacity Max]]="Invalid Format"),"Needs Capacity Validation",IF(tbl_Competitors[[#This Row],[Capacity Min]]&gt;tbl_Competitors[[#This Row],[Capacity Max]],"Capacity Range Error","OK"))</calculatedColumnFormula>
    </tableColumn>
    <tableColumn id="26" xr3:uid="{5660B684-4B6D-420D-BBF2-816458199AB6}" name="Overall Competitor Priority" dataDxfId="148">
      <calculatedColumnFormula>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calculatedColumnFormula>
    </tableColumn>
    <tableColumn id="36" xr3:uid="{768C611D-FB11-49AD-B3FB-4EF9DE7021B9}" name="Source / Evidence" dataDxfId="147"/>
    <tableColumn id="37" xr3:uid="{5F5EDF55-E2FD-412F-BFB0-A31C832D99D5}" name="Verification Status" dataDxfId="14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bl_fin_assumptions" displayName="tbl_fin_assumptions" ref="A5:F12" headerRowDxfId="137">
  <tableColumns count="6">
    <tableColumn id="1" xr3:uid="{00000000-0010-0000-0800-000001000000}" name="Line Item"/>
    <tableColumn id="2" xr3:uid="{00000000-0010-0000-0800-000002000000}" name="Unit"/>
    <tableColumn id="3" xr3:uid="{00000000-0010-0000-0800-000003000000}" name="Base Case" dataDxfId="136">
      <calculatedColumnFormula>TAM_SAM_SOM!B27</calculatedColumnFormula>
    </tableColumn>
    <tableColumn id="4" xr3:uid="{00000000-0010-0000-0800-000004000000}" name="Optimistic Case" dataDxfId="135">
      <calculatedColumnFormula>tbl_fin_assumptions[[#This Row],[Base Case]]*2</calculatedColumnFormula>
    </tableColumn>
    <tableColumn id="5" xr3:uid="{00000000-0010-0000-0800-000005000000}" name="Pessimistic Case" dataDxfId="134">
      <calculatedColumnFormula>tbl_fin_assumptions[[#This Row],[Base Case]]*0.6</calculatedColumnFormula>
    </tableColumn>
    <tableColumn id="6" xr3:uid="{00000000-0010-0000-0800-000006000000}" name="Notes" dataDxfId="13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bl_capex" displayName="tbl_capex" ref="A16:F24" headerRowDxfId="132">
  <tableColumns count="6">
    <tableColumn id="1" xr3:uid="{00000000-0010-0000-0900-000001000000}" name="Line Item"/>
    <tableColumn id="2" xr3:uid="{00000000-0010-0000-0900-000002000000}" name="Unit"/>
    <tableColumn id="3" xr3:uid="{00000000-0010-0000-0900-000003000000}" name="Base Case" dataDxfId="131"/>
    <tableColumn id="4" xr3:uid="{00000000-0010-0000-0900-000004000000}" name="Optimistic Case" dataDxfId="130"/>
    <tableColumn id="5" xr3:uid="{00000000-0010-0000-0900-000005000000}" name="Pessimistic Case" dataDxfId="129"/>
    <tableColumn id="6" xr3:uid="{00000000-0010-0000-0900-000006000000}" name="Notes" dataDxfId="128"/>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bl_opex" displayName="tbl_opex" ref="A28:F37" headerRowDxfId="127">
  <tableColumns count="6">
    <tableColumn id="1" xr3:uid="{00000000-0010-0000-0A00-000001000000}" name="Line Item"/>
    <tableColumn id="2" xr3:uid="{00000000-0010-0000-0A00-000002000000}" name="Unit"/>
    <tableColumn id="3" xr3:uid="{00000000-0010-0000-0A00-000003000000}" name="Base Case" dataDxfId="126"/>
    <tableColumn id="4" xr3:uid="{00000000-0010-0000-0A00-000004000000}" name="Optimistic Case" dataDxfId="125"/>
    <tableColumn id="5" xr3:uid="{00000000-0010-0000-0A00-000005000000}" name="Pessimistic Case" dataDxfId="124"/>
    <tableColumn id="6" xr3:uid="{00000000-0010-0000-0A00-000006000000}" name="Notes" dataDxfId="123"/>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bl_financial_outputs" displayName="tbl_financial_outputs" ref="A59:F66" headerRowDxfId="122">
  <tableColumns count="6">
    <tableColumn id="1" xr3:uid="{00000000-0010-0000-0C00-000001000000}" name="Line Item"/>
    <tableColumn id="2" xr3:uid="{00000000-0010-0000-0C00-000002000000}" name="Unit" dataDxfId="121"/>
    <tableColumn id="3" xr3:uid="{00000000-0010-0000-0C00-000003000000}" name="Base Case" dataDxfId="120">
      <calculatedColumnFormula>$B$54*C24</calculatedColumnFormula>
    </tableColumn>
    <tableColumn id="4" xr3:uid="{00000000-0010-0000-0C00-000004000000}" name="Optimistic Case" dataDxfId="119"/>
    <tableColumn id="5" xr3:uid="{00000000-0010-0000-0C00-000005000000}" name="Pessimistic Case" dataDxfId="118"/>
    <tableColumn id="6" xr3:uid="{00000000-0010-0000-0C00-000006000000}" name="Notes" dataDxfId="117"/>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51B01E9-15F1-4274-827C-1EDF9B6F8D97}" name="tbl_cash_flow" displayName="tbl_cash_flow" ref="A79:F86" headerRowDxfId="116">
  <tableColumns count="6">
    <tableColumn id="1" xr3:uid="{771BAE8E-F628-4F32-86F1-86EDFD4219D2}" name="Year"/>
    <tableColumn id="2" xr3:uid="{99FC9FF1-E08D-407F-8C3A-A72EE51F61A5}" name="Unit"/>
    <tableColumn id="3" xr3:uid="{E6FF812F-F49E-4813-B57D-D7C7AF888061}" name="Base Case" dataDxfId="115">
      <calculatedColumnFormula>IFERROR(-$B$51*C24,"")</calculatedColumnFormula>
    </tableColumn>
    <tableColumn id="4" xr3:uid="{051F8920-87E4-42B9-AD29-B4B63EA8CFE0}" name="Optimistic Case" dataDxfId="114"/>
    <tableColumn id="5" xr3:uid="{17A77226-8068-4AFC-87D2-088F1F0444A9}" name="Pessimistic Case" dataDxfId="113"/>
    <tableColumn id="6" xr3:uid="{99A1F362-1690-4701-99FD-BB43DDFFB3B8}" name="Notes" dataDxfId="112"/>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B7BB8736-1ED2-46E7-B3D2-2D3CE9CF4F9D}" name="tbl_plant_capacity" displayName="tbl_plant_capacity" ref="A41:F47" totalsRowShown="0" headerRowDxfId="111" dataDxfId="110">
  <tableColumns count="6">
    <tableColumn id="1" xr3:uid="{1BA57517-2118-482B-B9CA-73FD59DBC983}" name="Line Item" dataDxfId="109"/>
    <tableColumn id="2" xr3:uid="{AB78BF20-2D0E-4C29-97EB-5E844C882A0D}" name="Unit" dataDxfId="108"/>
    <tableColumn id="3" xr3:uid="{960F62E9-C865-4796-801D-A88D86DD6BD1}" name="Base Case" dataDxfId="107"/>
    <tableColumn id="4" xr3:uid="{EAA45396-BD08-4E1C-B3F7-7B608EE7C3B1}" name="Optimistic Case" dataDxfId="106"/>
    <tableColumn id="5" xr3:uid="{E3090E29-3215-4460-A0CF-61259C268EEC}" name="Pessimistic Case" dataDxfId="105"/>
    <tableColumn id="6" xr3:uid="{CE4FC6E6-7932-4B63-9EFA-B53A3959E9DD}" name="Notes" dataDxfId="104"/>
  </tableColumns>
  <tableStyleInfo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E02E35D4-C883-49A7-894F-9871F8F4203C}" name="tbl_Revenue" displayName="tbl_Revenue" ref="A50:AA55" totalsRowShown="0" headerRowDxfId="103" tableBorderDxfId="102">
  <tableColumns count="27">
    <tableColumn id="1" xr3:uid="{7E2B9038-B23B-4CED-94DE-7AECA966B5C8}" name="Year" dataDxfId="101"/>
    <tableColumn id="2" xr3:uid="{94D88FF9-C77F-4CFF-9D98-AB58E7A2FD9D}" name="Cumulative Plants" dataDxfId="100"/>
    <tableColumn id="3" xr3:uid="{6B127E54-B339-4BDD-8C75-D7E84F66EEC5}" name="Base Volume (m³)" dataDxfId="99">
      <calculatedColumnFormula>Financial_Model!$B51*$C$46</calculatedColumnFormula>
    </tableColumn>
    <tableColumn id="4" xr3:uid="{B9E446C5-BA9D-4508-8C8B-32CC82A52BB3}" name="Base Avg Price / m³" dataDxfId="98">
      <calculatedColumnFormula>D50*1.03</calculatedColumnFormula>
    </tableColumn>
    <tableColumn id="5" xr3:uid="{456C4A6F-59F3-459F-BC5C-1A288557A729}" name="Base Revenue (₹ Cr)" dataDxfId="97">
      <calculatedColumnFormula>IFERROR(C51*D51/10000000,"")</calculatedColumnFormula>
    </tableColumn>
    <tableColumn id="6" xr3:uid="{90ADD3C0-77C6-4D39-BFE4-ABDDE2B6A933}" name="Base Unit Cost (₹ / m³)" dataDxfId="96">
      <calculatedColumnFormula>F50*1.03</calculatedColumnFormula>
    </tableColumn>
    <tableColumn id="7" xr3:uid="{00E26C8D-A7E0-4E60-8D4C-124EC2B6FF9A}" name="Base Gross Profit (₹ Cr)" dataDxfId="95">
      <calculatedColumnFormula>Financial_Model!$C51*(Financial_Model!$D51-Financial_Model!$F51)/10000000</calculatedColumnFormula>
    </tableColumn>
    <tableColumn id="8" xr3:uid="{D6DF19AE-8DC2-43C7-98F5-33FDBF7CE052}" name="Base Fix Overhead (₹ Cr)" dataDxfId="94">
      <calculatedColumnFormula>Financial_Model!$B51*$C$47</calculatedColumnFormula>
    </tableColumn>
    <tableColumn id="9" xr3:uid="{9B507B8A-8167-4742-889E-9FE1D2ACB25A}" name="Base EBITDA (₹ Cr)" dataDxfId="93">
      <calculatedColumnFormula>Financial_Model!$G51-Financial_Model!$H51</calculatedColumnFormula>
    </tableColumn>
    <tableColumn id="10" xr3:uid="{AE653FF2-FB94-46BD-9E7E-5E8D0B3412EE}" name="Base Implied Capture %" dataDxfId="92">
      <calculatedColumnFormula>IFERROR(Financial_Model!$C51/SUM(tbl_sam[Estimated Reachable Demand (m³)]),"")</calculatedColumnFormula>
    </tableColumn>
    <tableColumn id="12" xr3:uid="{373B8892-EEDF-49D0-AFE5-F00FC862D4F6}" name="Opt Volume (m³)" dataDxfId="91">
      <calculatedColumnFormula>$B51*$D$46</calculatedColumnFormula>
    </tableColumn>
    <tableColumn id="13" xr3:uid="{F92A3883-6AF3-4F5C-89F9-364BA99FC1B1}" name="Opt Avg Price / m³" dataDxfId="90">
      <calculatedColumnFormula>L50*1.03</calculatedColumnFormula>
    </tableColumn>
    <tableColumn id="14" xr3:uid="{B5226366-56BD-416D-888D-31C08A82FF45}" name="Opt Revenue (₹ Cr)" dataDxfId="89">
      <calculatedColumnFormula>IFERROR(K51*L51/10000000,"")</calculatedColumnFormula>
    </tableColumn>
    <tableColumn id="24" xr3:uid="{605D5B95-912D-4EB9-884F-1FAE08BAD321}" name="Opt Unit Cost (₹ / m³)" dataDxfId="88">
      <calculatedColumnFormula>$D37</calculatedColumnFormula>
    </tableColumn>
    <tableColumn id="23" xr3:uid="{2FD546B2-4F2E-4850-A056-AA17AE0F4BBC}" name="Opt Gross Profit (₹ Cr)" dataDxfId="87">
      <calculatedColumnFormula>tbl_Revenue[[#This Row],[Opt Volume (m³)]]*(tbl_Revenue[[#This Row],[Opt Avg Price / m³]]-tbl_Revenue[[#This Row],[Opt Unit Cost (₹ / m³)]])/10000000</calculatedColumnFormula>
    </tableColumn>
    <tableColumn id="22" xr3:uid="{267D65EA-1DF9-4DA5-9D8F-44BCFD53F8CB}" name="Opt Fix Overhead (₹ Cr)" dataDxfId="86">
      <calculatedColumnFormula>tbl_Revenue[[#This Row],[Cumulative Plants]]*$D$47</calculatedColumnFormula>
    </tableColumn>
    <tableColumn id="15" xr3:uid="{DDD63296-67DA-45D4-8618-563ECA02C044}" name="Opt EBITDA (₹ Cr)" dataDxfId="85">
      <calculatedColumnFormula>tbl_Revenue[[#This Row],[Opt Gross Profit (₹ Cr)]]-tbl_Revenue[[#This Row],[Opt Fix Overhead (₹ Cr)]]</calculatedColumnFormula>
    </tableColumn>
    <tableColumn id="11" xr3:uid="{C52CF4D8-803E-492E-B57E-B5DEB7BC3278}" name="Opt Implied Capture %" dataDxfId="84">
      <calculatedColumnFormula>IFERROR(tbl_Revenue[[#This Row],[Opt Volume (m³)]]/SUM(tbl_sam[Estimated Reachable Demand (m³)]),"")</calculatedColumnFormula>
    </tableColumn>
    <tableColumn id="17" xr3:uid="{0495E890-3349-4E49-AC40-D4EDAA933C46}" name="Pess Volume (m³)" dataDxfId="83">
      <calculatedColumnFormula>IFERROR(tbl_Revenue[[#This Row],[Cumulative Plants]]*$E$46,"")</calculatedColumnFormula>
    </tableColumn>
    <tableColumn id="18" xr3:uid="{580D4C43-C4AB-47F1-ACD3-C29FF1CFB87C}" name="Pess Avg Price / m³" dataDxfId="82">
      <calculatedColumnFormula>T50*1.03</calculatedColumnFormula>
    </tableColumn>
    <tableColumn id="19" xr3:uid="{2203E2B0-DD69-4A8E-AAE9-366FF03CD4F0}" name="Pess Revenue (₹ Cr)" dataDxfId="81">
      <calculatedColumnFormula>IFERROR(S51*T51/10000000,"")</calculatedColumnFormula>
    </tableColumn>
    <tableColumn id="27" xr3:uid="{7C926C4D-B9C3-441A-B466-0024F1C14084}" name="Pess Unit Cost (₹/m³)" dataDxfId="80">
      <calculatedColumnFormula>E37</calculatedColumnFormula>
    </tableColumn>
    <tableColumn id="26" xr3:uid="{8FA00B12-EF01-49AF-B835-0C3388787B7E}" name="Pess Gross Profit (₹ Cr)" dataDxfId="79">
      <calculatedColumnFormula>tbl_Revenue[[#This Row],[Pess Volume (m³)]]*(tbl_Revenue[[#This Row],[Pess Avg Price / m³]]-tbl_Revenue[[#This Row],[Pess Unit Cost (₹/m³)]])/10000000</calculatedColumnFormula>
    </tableColumn>
    <tableColumn id="25" xr3:uid="{98EA2C36-8F7F-4705-B272-8524146634DA}" name="Pess Fixed Overhead (₹ Cr)" dataDxfId="78">
      <calculatedColumnFormula>tbl_Revenue[[#This Row],[Cumulative Plants]]*$E$47</calculatedColumnFormula>
    </tableColumn>
    <tableColumn id="20" xr3:uid="{C4043B4A-DEA9-4F93-8E02-269ADA70D98C}" name="Pess EBITDA (₹ Cr)" dataDxfId="77">
      <calculatedColumnFormula>tbl_Revenue[[#This Row],[Pess Gross Profit (₹ Cr)]]-tbl_Revenue[[#This Row],[Pess Fixed Overhead (₹ Cr)]]</calculatedColumnFormula>
    </tableColumn>
    <tableColumn id="16" xr3:uid="{16227150-1856-4736-9EE8-3636DA2486A2}" name="Pess Capture %" dataDxfId="76">
      <calculatedColumnFormula>IFERROR(tbl_Revenue[[#This Row],[Pess Volume (m³)]]/SUM(tbl_sam[Estimated Reachable Demand (m³)]),"")</calculatedColumnFormula>
    </tableColumn>
    <tableColumn id="21" xr3:uid="{91022125-682D-40BE-A7F2-2D8EF672135C}" name="Notes" dataDxfId="75"/>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bl_risk_analysis" displayName="tbl_risk_analysis" ref="C7:H26">
  <autoFilter ref="C7:H26" xr:uid="{00000000-000C-0000-FFFF-FFFF0D000000}"/>
  <sortState xmlns:xlrd2="http://schemas.microsoft.com/office/spreadsheetml/2017/richdata2" ref="C8:H26">
    <sortCondition ref="F7:F26"/>
  </sortState>
  <tableColumns count="6">
    <tableColumn id="1" xr3:uid="{00000000-0010-0000-0D00-000001000000}" name="Risk"/>
    <tableColumn id="2" xr3:uid="{00000000-0010-0000-0D00-000002000000}" name="Probability"/>
    <tableColumn id="3" xr3:uid="{00000000-0010-0000-0D00-000003000000}" name="Impact" dataDxfId="60"/>
    <tableColumn id="4" xr3:uid="{00000000-0010-0000-0D00-000004000000}" name="Severity"/>
    <tableColumn id="6" xr3:uid="{1F8607FF-EA88-4EC1-B990-A0AD8DF2C7BA}" name="Risk Rating" dataDxfId="59">
      <calculatedColumnFormula>IF(tbl_risk_analysis[[#This Row],[Severity]]="","",IF(tbl_risk_analysis[[#This Row],[Severity]]&gt;=20,"Critical",IF(tbl_risk_analysis[[#This Row],[Severity]]&gt;=15,"High",IF(tbl_risk_analysis[[#This Row],[Severity]]&gt;=8,"Medium","Low"))))</calculatedColumnFormula>
    </tableColumn>
    <tableColumn id="5" xr3:uid="{00000000-0010-0000-0D00-000005000000}" name="Mitigation Strategy"/>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bl_infrastructure_projects" displayName="tbl_infrastructure_projects" ref="A4:Q26" headerRowDxfId="48">
  <autoFilter ref="A4:Q26" xr:uid="{00000000-000C-0000-FFFF-FFFF0E000000}"/>
  <tableColumns count="17">
    <tableColumn id="1" xr3:uid="{00000000-0010-0000-0E00-000001000000}" name="Project Name" dataDxfId="47"/>
    <tableColumn id="2" xr3:uid="{00000000-0010-0000-0E00-000002000000}" name="Project Type" dataDxfId="46"/>
    <tableColumn id="3" xr3:uid="{00000000-0010-0000-0E00-000003000000}" name="District" dataDxfId="45"/>
    <tableColumn id="10" xr3:uid="{78A1E3D6-32BF-4A6B-AB39-9CEFFC3BFBA0}" name="Status" dataDxfId="44"/>
    <tableColumn id="9" xr3:uid="{E61AFA34-4A0A-47C9-801B-CB91E11E039B}" name="Estimated Project Cost (₹ Cr)" dataDxfId="43"/>
    <tableColumn id="4" xr3:uid="{00000000-0010-0000-0E00-000004000000}" name="Estimated Concrete Demand (m³)" dataDxfId="42"/>
    <tableColumn id="15" xr3:uid="{2459E9C1-BACE-4F43-8F4C-C4428CC312ED}" name="Estimated Market Value (₹ Cr)" dataDxfId="41">
      <calculatedColumnFormula>IF(tbl_infrastructure_projects[[#This Row],[Include in TAM?]]&lt;&gt;"Yes","",IFERROR(tbl_infrastructure_projects[[#This Row],[Estimated Concrete Demand (m³)]]*tbl_infrastructure_projects[[#This Row],[Avg Price per (₹ / m³)]]/10000000,""))</calculatedColumnFormula>
    </tableColumn>
    <tableColumn id="12" xr3:uid="{2960E9EA-8339-42C9-AB04-4CB6A6310E4E}" name="Avg Price per (₹ / m³)" dataDxfId="40">
      <calculatedColumnFormula>IFERROR(INDEX(tbl_assumptions_log[Value],MATCH(tbl_infrastructure_projects[[#This Row],[Project Type]],tbl_assumptions_log[Assumption Category],0)),"")</calculatedColumnFormula>
    </tableColumn>
    <tableColumn id="18" xr3:uid="{BF4F924F-830D-4BB9-A322-EF58D51B9259}" name="Start Date" dataDxfId="39"/>
    <tableColumn id="5" xr3:uid="{00000000-0010-0000-0E00-000005000000}" name="Completion Date" dataDxfId="38"/>
    <tableColumn id="6" xr3:uid="{00000000-0010-0000-0E00-000006000000}" name="Strategic Importance" dataDxfId="37"/>
    <tableColumn id="8" xr3:uid="{0100CBAC-2262-4C95-9C4D-A0C078E83AD2}" name="Demand Tier" dataDxfId="36">
      <calculatedColumnFormula>IF(tbl_infrastructure_projects[[#This Row],[Estimated Concrete Demand (m³)]]&gt;=250000,"Tier 1",IF(tbl_infrastructure_projects[[#This Row],[Estimated Concrete Demand (m³)]]&gt;=50000,"Tier 2","Tier 3"))</calculatedColumnFormula>
    </tableColumn>
    <tableColumn id="11" xr3:uid="{3A0C7C74-1ACC-4C11-A35B-D070BF4211A1}" name="Demand Contribution %" dataDxfId="35">
      <calculatedColumnFormula>IFERROR(tbl_infrastructure_projects[[#This Row],[Estimated Concrete Demand (m³)]]/SUM(tbl_infrastructure_projects[Estimated Concrete Demand (m³)]),"")</calculatedColumnFormula>
    </tableColumn>
    <tableColumn id="7" xr3:uid="{00000000-0010-0000-0E00-000007000000}" name="Source" dataDxfId="34"/>
    <tableColumn id="13" xr3:uid="{C42ADCC2-DCCE-4971-BE1B-A8E38047112F}" name="Verification Status" dataDxfId="33"/>
    <tableColumn id="16" xr3:uid="{DD224AB4-1CAA-4BC1-94E5-FAE8C7AB5B7A}" name="Notes" dataDxfId="32"/>
    <tableColumn id="14" xr3:uid="{8B6C0143-C7DA-468C-831D-46D0BE85BD41}" name="Include in TAM?" dataDxfId="31">
      <calculatedColumnFormula>IF(tbl_infrastructure_projects[[#This Row],[Project Name]]="","",IF(COUNTIF(Market_Data[Project Name],tbl_infrastructure_projects[[#This Row],[Project Name]])&gt;0,"No - Duplicate in Market_Data",IF(COUNTIF(Market_Data[District],tbl_infrastructure_projects[[#This Row],[District]])=0,"No - Outside Model Geography","Yes")))</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01F76DA-D3DB-433A-A4E1-2B1764B40674}" name="Table7" displayName="Table7" ref="S5:T16" totalsRowShown="0" headerRowDxfId="30" tableBorderDxfId="29">
  <tableColumns count="2">
    <tableColumn id="1" xr3:uid="{E93F7462-ED08-42F9-A642-BBA0C14024C3}" name="Metric" dataDxfId="28"/>
    <tableColumn id="2" xr3:uid="{BDDC8735-8E8C-4A43-87D6-74BDCEBA0C7C}" name="Formula" dataDxfId="27"/>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tbl_assumptions_log" displayName="tbl_assumptions_log" ref="A4:H36">
  <tableColumns count="8">
    <tableColumn id="1" xr3:uid="{00000000-0010-0000-1000-000001000000}" name="Assumption Category"/>
    <tableColumn id="2" xr3:uid="{00000000-0010-0000-1000-000002000000}" name="Assumption"/>
    <tableColumn id="3" xr3:uid="{00000000-0010-0000-1000-000003000000}" name="Value" dataDxfId="26">
      <calculatedColumnFormula>IFERROR(SUM(tbl_sam[Reachable Market Value])*10000000/SUM(tbl_sam[Estimated Reachable Demand (m³)]),"")</calculatedColumnFormula>
    </tableColumn>
    <tableColumn id="4" xr3:uid="{00000000-0010-0000-1000-000004000000}" name="Unit"/>
    <tableColumn id="7" xr3:uid="{2E0C1A58-10E0-425F-99B8-0EC488FB8B81}" name="Source" dataDxfId="25"/>
    <tableColumn id="8" xr3:uid="{3638F7FD-5C22-4AE7-BF60-6B9AD7A961AB}" name="Status" dataDxfId="24"/>
    <tableColumn id="9" xr3:uid="{AD06B459-FBF7-489C-AD62-162E5F8E1729}" name="Sensitivity" dataDxfId="23"/>
    <tableColumn id="5" xr3:uid="{00000000-0010-0000-1000-000005000000}" name="Notes"/>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FEB37EE7-FFE9-4E08-A572-E13AF61F3B2D}" name="tbl_SampleDataQuality" displayName="tbl_SampleDataQuality" ref="A36:D41" totalsRowShown="0" headerRowDxfId="16" tableBorderDxfId="15">
  <tableColumns count="4">
    <tableColumn id="1" xr3:uid="{B7979942-CE53-412D-A703-44288670BF77}" name="District" dataDxfId="14"/>
    <tableColumn id="2" xr3:uid="{976298DF-89D4-4A05-A810-6C7F394C25C6}" name="Project Count" dataDxfId="13">
      <calculatedColumnFormula>COUNTIF(Market_Data[District],Dashboard!A37)</calculatedColumnFormula>
    </tableColumn>
    <tableColumn id="3" xr3:uid="{EBB94615-1601-41CE-931D-E5052832D3A2}" name="Sample Share (%)" dataDxfId="12">
      <calculatedColumnFormula>IFERROR(Dashboard!$B37/SUM(Dashboard!$B$37:$B$41),"")</calculatedColumnFormula>
    </tableColumn>
    <tableColumn id="4" xr3:uid="{027DA44C-129A-4FD9-8408-A53BB6114F4C}" name="Data Quality" dataDxfId="11">
      <calculatedColumnFormula>IFERROR(IF(Dashboard!$B37&gt;=500,"High",IF(Dashboard!$B37&gt;=100,"Medium","Low")),"")</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F831490D-F855-42C9-9C20-3E50B5D10CE6}" name="Table22" displayName="Table22" ref="A11:C20" totalsRowShown="0" headerRowDxfId="4" tableBorderDxfId="3">
  <tableColumns count="3">
    <tableColumn id="1" xr3:uid="{805A1192-EAB1-45C7-A180-D416D07DC430}" name="Section" dataDxfId="2"/>
    <tableColumn id="2" xr3:uid="{9BBED51C-759B-4DC2-98D7-A7C4EAB2DFE9}" name="Management Summary / Analyst Notes" dataDxfId="1"/>
    <tableColumn id="3" xr3:uid="{A34F03B3-AA7D-48C7-BF10-1B8FFB821A6E}" name="Linked Model Reference" dataDxfId="0"/>
  </tableColumns>
  <tableStyleInfo name="TableStyleMedium2" showFirstColumn="0" showLastColumn="0" showRowStripes="1" showColumnStripes="0"/>
</table>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a:ea typeface="Calibri"/>
        <a:cs typeface="Calibri"/>
      </a:majorFont>
      <a:minorFont>
        <a:latin typeface="Calibri"/>
        <a:ea typeface="Calibri"/>
        <a:cs typeface="Calibri"/>
      </a:minorFont>
    </a:fontScheme>
    <a:fmtScheme name="ChatGPT">
      <a:fillStyleLst>
        <a:solidFill>
          <a:schemeClr val="phClr"/>
        </a:solidFill>
        <a:solidFill>
          <a:schemeClr val="dk1"/>
        </a:solidFill>
        <a:solidFill>
          <a:schemeClr val="accent1"/>
        </a:soli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hyperlink" Target="https://gujrera.gujarat.gov.in/" TargetMode="External"/><Relationship Id="rId1" Type="http://schemas.openxmlformats.org/officeDocument/2006/relationships/hyperlink" Target="https://gujrera.gujarat.gov.in/" TargetMode="External"/><Relationship Id="rId5" Type="http://schemas.openxmlformats.org/officeDocument/2006/relationships/table" Target="../tables/table3.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table" Target="../tables/table7.xml"/><Relationship Id="rId7" Type="http://schemas.openxmlformats.org/officeDocument/2006/relationships/table" Target="../tables/table11.xml"/><Relationship Id="rId2" Type="http://schemas.openxmlformats.org/officeDocument/2006/relationships/table" Target="../tables/table6.xml"/><Relationship Id="rId1" Type="http://schemas.openxmlformats.org/officeDocument/2006/relationships/drawing" Target="../drawings/drawing2.xml"/><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 Id="rId9" Type="http://schemas.openxmlformats.org/officeDocument/2006/relationships/table" Target="../tables/table1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7.xml"/><Relationship Id="rId7" Type="http://schemas.openxmlformats.org/officeDocument/2006/relationships/table" Target="../tables/table21.xml"/><Relationship Id="rId2" Type="http://schemas.openxmlformats.org/officeDocument/2006/relationships/table" Target="../tables/table16.xml"/><Relationship Id="rId1" Type="http://schemas.openxmlformats.org/officeDocument/2006/relationships/table" Target="../tables/table15.xml"/><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table" Target="../tables/table18.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table" Target="../tables/table2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D8C14-F7CF-43B8-B03B-3A12C92FE702}">
  <sheetPr codeName="Sheet1">
    <tabColor theme="4"/>
  </sheetPr>
  <dimension ref="W19:W20"/>
  <sheetViews>
    <sheetView showGridLines="0" zoomScale="61" workbookViewId="0">
      <selection activeCell="B9" sqref="B9"/>
    </sheetView>
  </sheetViews>
  <sheetFormatPr defaultRowHeight="14.5"/>
  <cols>
    <col min="1" max="22" width="8.6640625" style="394"/>
    <col min="23" max="23" width="11.1640625" style="394" bestFit="1" customWidth="1"/>
    <col min="24" max="16384" width="8.6640625" style="394"/>
  </cols>
  <sheetData>
    <row r="19" spans="23:23" ht="17">
      <c r="W19" s="396">
        <f ca="1">TODAY()</f>
        <v>46286</v>
      </c>
    </row>
    <row r="20" spans="23:23" ht="17">
      <c r="W20" s="395"/>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D4AF37"/>
  </sheetPr>
  <dimension ref="A1:BQ3073"/>
  <sheetViews>
    <sheetView showGridLines="0" zoomScale="81" zoomScaleNormal="68" workbookViewId="0">
      <selection activeCell="S16" sqref="S16"/>
    </sheetView>
  </sheetViews>
  <sheetFormatPr defaultRowHeight="14.5"/>
  <cols>
    <col min="1" max="1" width="14.6640625" style="9" bestFit="1" customWidth="1"/>
    <col min="2" max="2" width="13.75" style="9" customWidth="1"/>
    <col min="3" max="3" width="15.6640625" style="9" customWidth="1"/>
    <col min="4" max="4" width="28.75" style="9" customWidth="1"/>
    <col min="5" max="5" width="23.75" style="9" customWidth="1"/>
    <col min="6" max="6" width="19.4140625" style="9" customWidth="1"/>
    <col min="7" max="7" width="16.9140625" style="9" customWidth="1"/>
    <col min="8" max="8" width="16.08203125" style="9" customWidth="1"/>
    <col min="9" max="9" width="19" style="9" customWidth="1"/>
    <col min="10" max="10" width="20.5" style="9" customWidth="1"/>
    <col min="11" max="11" width="17.4140625" style="9" customWidth="1"/>
    <col min="12" max="12" width="15" style="9" customWidth="1"/>
    <col min="13" max="13" width="22.9140625" style="9" bestFit="1" customWidth="1"/>
    <col min="14" max="14" width="32.5" style="9" customWidth="1"/>
    <col min="15" max="15" width="19.58203125" style="9" customWidth="1"/>
    <col min="16" max="17" width="8.6640625" style="9"/>
    <col min="18" max="18" width="23.33203125" style="9" bestFit="1" customWidth="1"/>
    <col min="19" max="19" width="19.9140625" style="9" bestFit="1" customWidth="1"/>
    <col min="20" max="20" width="4.9140625" style="9" bestFit="1" customWidth="1"/>
    <col min="21" max="21" width="12.83203125" style="9" bestFit="1" customWidth="1"/>
    <col min="22" max="22" width="14.1640625" style="9" bestFit="1" customWidth="1"/>
    <col min="23" max="23" width="22.58203125" style="9" bestFit="1" customWidth="1"/>
    <col min="24" max="24" width="20.75" style="9" bestFit="1" customWidth="1"/>
    <col min="25" max="25" width="12.4140625" style="9" bestFit="1" customWidth="1"/>
    <col min="26" max="16384" width="8.6640625" style="9"/>
  </cols>
  <sheetData>
    <row r="1" spans="1:69" ht="20" customHeight="1">
      <c r="A1" s="457" t="s">
        <v>0</v>
      </c>
      <c r="B1" s="457"/>
      <c r="C1" s="457"/>
      <c r="D1" s="457"/>
      <c r="E1" s="457"/>
      <c r="F1" s="457"/>
      <c r="G1" s="457"/>
      <c r="H1" s="457"/>
      <c r="I1" s="457"/>
      <c r="J1" s="457"/>
      <c r="K1" s="457"/>
      <c r="L1" s="457"/>
      <c r="M1" s="457"/>
      <c r="N1" s="457"/>
      <c r="O1" s="457"/>
      <c r="P1" s="458"/>
    </row>
    <row r="2" spans="1:69">
      <c r="P2" s="270"/>
    </row>
    <row r="3" spans="1:69">
      <c r="A3" s="252" t="s">
        <v>1</v>
      </c>
      <c r="B3" s="459" t="s">
        <v>22</v>
      </c>
      <c r="C3" s="460" t="s">
        <v>2</v>
      </c>
      <c r="D3" s="252" t="s">
        <v>3263</v>
      </c>
      <c r="E3" s="459" t="s">
        <v>3</v>
      </c>
      <c r="F3" s="460"/>
      <c r="G3" s="252" t="s">
        <v>4</v>
      </c>
      <c r="H3" s="269" t="s">
        <v>5</v>
      </c>
      <c r="I3" s="269" t="s">
        <v>4056</v>
      </c>
      <c r="P3" s="270"/>
    </row>
    <row r="4" spans="1:69" ht="14" customHeight="1">
      <c r="A4" s="453">
        <f>IF(COUNTA(Market_Data!$D$9:$D$3073)=0,"",COUNTA(Market_Data!$D$9:$D$3073))</f>
        <v>3065</v>
      </c>
      <c r="B4" s="461">
        <f>IF(COUNTA(Market_Data!$D$9:$D$3073)=0,"",SUM(Market_Data!$L$9:$L$3073))</f>
        <v>37859917</v>
      </c>
      <c r="C4" s="462"/>
      <c r="D4" s="470">
        <f>IF(COUNTA(Market_Data!$D$9:$D$3073)=0,"",SUM(Market_Data!$N$9:$N$3073))</f>
        <v>22960.262990000021</v>
      </c>
      <c r="E4" s="465">
        <f>IFERROR(IF(COUNTA(Market_Data!$D$9:$D$3073)=0,"",SUM(Market_Data!$N$9:$N$3073)*10000000/SUM(Market_Data!$L$9:$L$3073)),"")</f>
        <v>6064.53072519943</v>
      </c>
      <c r="F4" s="466"/>
      <c r="G4" s="453" cm="1">
        <f t="array" ref="G4">ROUND(SUMPRODUCT((Market_Data!$B$9:$B$3073&lt;&gt;"")/COUNTIF(Market_Data!$B$9:$B$3073,Market_Data!$B$9:$B$3073&amp;"")),0)</f>
        <v>5</v>
      </c>
      <c r="H4" s="469">
        <f>IFERROR(COUNTA(Market_Data[Source])/COUNTA(Market_Data[Project Name]),"")</f>
        <v>1</v>
      </c>
      <c r="I4" s="455">
        <f>COUNTIF(Market_Data[BUA Validation],"Review Required")</f>
        <v>613</v>
      </c>
      <c r="P4" s="270"/>
    </row>
    <row r="5" spans="1:69" ht="14" customHeight="1">
      <c r="A5" s="454"/>
      <c r="B5" s="463"/>
      <c r="C5" s="464"/>
      <c r="D5" s="471"/>
      <c r="E5" s="467"/>
      <c r="F5" s="468"/>
      <c r="G5" s="454"/>
      <c r="H5" s="469"/>
      <c r="I5" s="456"/>
      <c r="P5" s="270"/>
    </row>
    <row r="6" spans="1:69">
      <c r="P6" s="270"/>
    </row>
    <row r="7" spans="1:69">
      <c r="P7" s="270"/>
    </row>
    <row r="8" spans="1:69" ht="24.5" customHeight="1">
      <c r="A8" s="113" t="s">
        <v>3827</v>
      </c>
      <c r="B8" s="113" t="s">
        <v>6</v>
      </c>
      <c r="C8" s="113" t="s">
        <v>7</v>
      </c>
      <c r="D8" s="113" t="s">
        <v>8</v>
      </c>
      <c r="E8" s="113" t="s">
        <v>9</v>
      </c>
      <c r="F8" s="113" t="s">
        <v>10</v>
      </c>
      <c r="G8" s="113" t="s">
        <v>11</v>
      </c>
      <c r="H8" s="113" t="s">
        <v>12</v>
      </c>
      <c r="I8" s="113" t="s">
        <v>4055</v>
      </c>
      <c r="J8" s="113" t="s">
        <v>4054</v>
      </c>
      <c r="K8" s="113" t="s">
        <v>3850</v>
      </c>
      <c r="L8" s="113" t="s">
        <v>13</v>
      </c>
      <c r="M8" s="113" t="s">
        <v>3851</v>
      </c>
      <c r="N8" s="113" t="s">
        <v>3863</v>
      </c>
      <c r="O8" s="113" t="s">
        <v>16</v>
      </c>
      <c r="P8" s="131" t="s">
        <v>17</v>
      </c>
      <c r="S8" s="114" t="s">
        <v>6</v>
      </c>
      <c r="T8" s="114" t="s">
        <v>3821</v>
      </c>
      <c r="U8" s="114" t="s">
        <v>3852</v>
      </c>
      <c r="V8" s="114" t="s">
        <v>3853</v>
      </c>
      <c r="W8" s="114" t="s">
        <v>3854</v>
      </c>
      <c r="X8" s="114" t="s">
        <v>3856</v>
      </c>
      <c r="Y8" s="114" t="s">
        <v>3855</v>
      </c>
    </row>
    <row r="9" spans="1:69">
      <c r="A9" s="129" t="str">
        <f>_xlfn.XLOOKUP(B9,$S$9:$S$14,$T$9:$T$14)&amp;"-"&amp;
IF(E9="Residential/Group Housing","RES",
IF(E9="Commercial","COM",
IF(E9="Mixed Development","MIX",
IF(E9="Plotted Development","PLT","OTH"))))
&amp;"-"&amp;TEXT(COUNTIFS($B$9:B9,B9,$E$9:E9,E9),"0000")</f>
        <v>BHR-RES-0001</v>
      </c>
      <c r="B9" s="322" t="s">
        <v>36</v>
      </c>
      <c r="C9" s="322" t="s">
        <v>36</v>
      </c>
      <c r="D9" s="323" t="s">
        <v>191</v>
      </c>
      <c r="E9" s="132" t="s">
        <v>24</v>
      </c>
      <c r="F9" s="97" t="str">
        <f ca="1">IF(OR(Market_Data[[#This Row],[Start Date]]="",Market_Data[[#This Row],[Completion Date]]=""),"Needs Validation",IF(Market_Data[[#This Row],[Start Date]]&gt;TODAY(),"Planned",IF(Market_Data[[#This Row],[Completion Date]]&lt;TODAY(),"Completed","Ongoing")))</f>
        <v>Ongoing</v>
      </c>
      <c r="G9" s="324">
        <v>45108</v>
      </c>
      <c r="H9" s="324">
        <v>46752</v>
      </c>
      <c r="I9" s="325">
        <v>57500</v>
      </c>
      <c r="J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 s="133">
        <f>_xlfn.XLOOKUP(Market_Data[[#This Row],[Project Type]],tbl_assumptions_market[Project Category (RERA)],tbl_assumptions_market[Concrete Intensity
(m³ / sq m BUA)],"",0)</f>
        <v>0.45</v>
      </c>
      <c r="L9" s="134">
        <f>ROUND(Market_Data[[#This Row],[Estimated Built Up Area (sq m)]]*Market_Data[[#This Row],[Concrete Intensity
(m³ / sq m)]],0)</f>
        <v>25875</v>
      </c>
      <c r="M9" s="135">
        <f>_xlfn.XLOOKUP(Market_Data[[#This Row],[District]],tbl_district_price[District],tbl_district_price[Standard Price
(INR/m³)],"",0)</f>
        <v>5800</v>
      </c>
      <c r="N9" s="364">
        <f>IF(OR(Market_Data[[#This Row],[Estimated Concrete Demand (m³)]]="",Market_Data[[#This Row],[Avg Price per (₹ / m³)]]=""),"",Market_Data[[#This Row],[Estimated Concrete Demand (m³)]]*Market_Data[[#This Row],[Avg Price per (₹ / m³)]]/10000000)</f>
        <v>15.0075</v>
      </c>
      <c r="O9" s="97" t="str">
        <f>IF(Market_Data[[#This Row],[Estimated Concrete Demand (m³)]]="","",
IF(Market_Data[[#This Row],[Estimated Concrete Demand (m³)]]&lt;10000,"Small",
IF(Market_Data[[#This Row],[Estimated Concrete Demand (m³)]]&lt;25000,"Medium",
IF(Market_Data[[#This Row],[Estimated Concrete Demand (m³)]]&lt;100000,"Large","Mega"))))</f>
        <v>Large</v>
      </c>
      <c r="P9" s="287" t="str">
        <f>HYPERLINK(
"https://gujrera.gujarat.gov.in",
"GujRERA")</f>
        <v>GujRERA</v>
      </c>
      <c r="S9" s="130" t="s">
        <v>36</v>
      </c>
      <c r="T9" s="130" t="s">
        <v>3822</v>
      </c>
      <c r="U9" s="136">
        <f>COUNTIF(Market_Data[District],S9)</f>
        <v>195</v>
      </c>
      <c r="V9" s="136">
        <f>SUMIF(Market_Data[District],S9,Market_Data[Estimated Built Up Area (sq m)])</f>
        <v>6436100</v>
      </c>
      <c r="W9" s="136">
        <f>SUMIF(Market_Data[District],S9,Market_Data[Estimated Concrete Demand (m³)])</f>
        <v>2786814</v>
      </c>
      <c r="X9" s="136">
        <f>SUMIF(Market_Data[District],S9,Market_Data[Estimated Market Value (₹ Cr)])</f>
        <v>1616.3521200000002</v>
      </c>
      <c r="Y9" s="137">
        <f>IFERROR(X9/$X$14,"")</f>
        <v>7.0397805142910441E-2</v>
      </c>
    </row>
    <row r="10" spans="1:69">
      <c r="A10" s="129" t="str">
        <f>_xlfn.XLOOKUP(B10,$S$9:$S$14,$T$9:$T$14)&amp;"-"&amp;
IF(E10="Residential/Group Housing","RES",
IF(E10="Commercial","COM",
IF(E10="Mixed Development","MIX",
IF(E10="Plotted Development","PLT","OTH"))))
&amp;"-"&amp;TEXT(COUNTIFS($B$9:B10,B10,$E$9:E10,E10),"0000")</f>
        <v>BHR-MIX-0001</v>
      </c>
      <c r="B10" s="322" t="s">
        <v>36</v>
      </c>
      <c r="C10" s="322" t="s">
        <v>36</v>
      </c>
      <c r="D10" s="323" t="s">
        <v>193</v>
      </c>
      <c r="E10" s="132" t="s">
        <v>25</v>
      </c>
      <c r="F10" s="97" t="str">
        <f ca="1">IF(OR(Market_Data[[#This Row],[Start Date]]="",Market_Data[[#This Row],[Completion Date]]=""),"Needs Validation",IF(Market_Data[[#This Row],[Start Date]]&gt;TODAY(),"Planned",IF(Market_Data[[#This Row],[Completion Date]]&lt;TODAY(),"Completed","Ongoing")))</f>
        <v>Completed</v>
      </c>
      <c r="G10" s="324">
        <v>41640</v>
      </c>
      <c r="H10" s="324">
        <v>43465</v>
      </c>
      <c r="I10" s="325">
        <v>80800</v>
      </c>
      <c r="J1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 s="133">
        <f>_xlfn.XLOOKUP(Market_Data[[#This Row],[Project Type]],tbl_assumptions_market[Project Category (RERA)],tbl_assumptions_market[Concrete Intensity
(m³ / sq m BUA)],"",0)</f>
        <v>0.42</v>
      </c>
      <c r="L10" s="134">
        <f>ROUND(Market_Data[[#This Row],[Estimated Built Up Area (sq m)]]*Market_Data[[#This Row],[Concrete Intensity
(m³ / sq m)]],0)</f>
        <v>33936</v>
      </c>
      <c r="M10" s="135">
        <f>_xlfn.XLOOKUP(Market_Data[[#This Row],[District]],tbl_district_price[District],tbl_district_price[Standard Price
(INR/m³)],"",0)</f>
        <v>5800</v>
      </c>
      <c r="N10" s="364">
        <f>IF(OR(Market_Data[[#This Row],[Estimated Concrete Demand (m³)]]="",Market_Data[[#This Row],[Avg Price per (₹ / m³)]]=""),"",Market_Data[[#This Row],[Estimated Concrete Demand (m³)]]*Market_Data[[#This Row],[Avg Price per (₹ / m³)]]/10000000)</f>
        <v>19.682880000000001</v>
      </c>
      <c r="O10" s="97" t="str">
        <f>IF(Market_Data[[#This Row],[Estimated Concrete Demand (m³)]]="","",
IF(Market_Data[[#This Row],[Estimated Concrete Demand (m³)]]&lt;10000,"Small",
IF(Market_Data[[#This Row],[Estimated Concrete Demand (m³)]]&lt;25000,"Medium",
IF(Market_Data[[#This Row],[Estimated Concrete Demand (m³)]]&lt;100000,"Large","Mega"))))</f>
        <v>Large</v>
      </c>
      <c r="P10" s="287" t="str">
        <f t="shared" ref="P10:P73" si="0">HYPERLINK(
"https://gujrera.gujarat.gov.in",
"GujRERA")</f>
        <v>GujRERA</v>
      </c>
      <c r="S10" s="130" t="s">
        <v>34</v>
      </c>
      <c r="T10" s="130" t="s">
        <v>3823</v>
      </c>
      <c r="U10" s="136">
        <f>COUNTIF(Market_Data[District],S10)</f>
        <v>2406</v>
      </c>
      <c r="V10" s="136">
        <f>SUMIF(Market_Data[District],S10,Market_Data[Estimated Built Up Area (sq m)])</f>
        <v>73675800</v>
      </c>
      <c r="W10" s="136">
        <f>SUMIF(Market_Data[District],S10,Market_Data[Estimated Concrete Demand (m³)])</f>
        <v>28673898</v>
      </c>
      <c r="X10" s="136">
        <f>SUMIF(Market_Data[District],S10,Market_Data[Estimated Market Value (₹ Cr)])</f>
        <v>17777.816760000027</v>
      </c>
      <c r="Y10" s="137">
        <f t="shared" ref="Y10:Y13" si="1">IFERROR(X10/$X$14,"")</f>
        <v>0.77428628616940787</v>
      </c>
      <c r="BQ10" s="9" t="s">
        <v>192</v>
      </c>
    </row>
    <row r="11" spans="1:69">
      <c r="A11" s="129" t="str">
        <f>_xlfn.XLOOKUP(B11,$S$9:$S$14,$T$9:$T$14)&amp;"-"&amp;
IF(E11="Residential/Group Housing","RES",
IF(E11="Commercial","COM",
IF(E11="Mixed Development","MIX",
IF(E11="Plotted Development","PLT","OTH"))))
&amp;"-"&amp;TEXT(COUNTIFS($B$9:B11,B11,$E$9:E11,E11),"0000")</f>
        <v>BHR-RES-0002</v>
      </c>
      <c r="B11" s="322" t="s">
        <v>36</v>
      </c>
      <c r="C11" s="322" t="s">
        <v>36</v>
      </c>
      <c r="D11" s="323" t="s">
        <v>195</v>
      </c>
      <c r="E11" s="132" t="s">
        <v>24</v>
      </c>
      <c r="F11" s="97" t="str">
        <f ca="1">IF(OR(Market_Data[[#This Row],[Start Date]]="",Market_Data[[#This Row],[Completion Date]]=""),"Needs Validation",IF(Market_Data[[#This Row],[Start Date]]&gt;TODAY(),"Planned",IF(Market_Data[[#This Row],[Completion Date]]&lt;TODAY(),"Completed","Ongoing")))</f>
        <v>Ongoing</v>
      </c>
      <c r="G11" s="324">
        <v>44651</v>
      </c>
      <c r="H11" s="324">
        <v>46477</v>
      </c>
      <c r="I11" s="325">
        <v>45900</v>
      </c>
      <c r="J1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 s="133">
        <f>_xlfn.XLOOKUP(Market_Data[[#This Row],[Project Type]],tbl_assumptions_market[Project Category (RERA)],tbl_assumptions_market[Concrete Intensity
(m³ / sq m BUA)],"",0)</f>
        <v>0.45</v>
      </c>
      <c r="L11" s="134">
        <f>ROUND(Market_Data[[#This Row],[Estimated Built Up Area (sq m)]]*Market_Data[[#This Row],[Concrete Intensity
(m³ / sq m)]],0)</f>
        <v>20655</v>
      </c>
      <c r="M11" s="135">
        <f>_xlfn.XLOOKUP(Market_Data[[#This Row],[District]],tbl_district_price[District],tbl_district_price[Standard Price
(INR/m³)],"",0)</f>
        <v>5800</v>
      </c>
      <c r="N11" s="364">
        <f>IF(OR(Market_Data[[#This Row],[Estimated Concrete Demand (m³)]]="",Market_Data[[#This Row],[Avg Price per (₹ / m³)]]=""),"",Market_Data[[#This Row],[Estimated Concrete Demand (m³)]]*Market_Data[[#This Row],[Avg Price per (₹ / m³)]]/10000000)</f>
        <v>11.979900000000001</v>
      </c>
      <c r="O11" s="97" t="str">
        <f>IF(Market_Data[[#This Row],[Estimated Concrete Demand (m³)]]="","",
IF(Market_Data[[#This Row],[Estimated Concrete Demand (m³)]]&lt;10000,"Small",
IF(Market_Data[[#This Row],[Estimated Concrete Demand (m³)]]&lt;25000,"Medium",
IF(Market_Data[[#This Row],[Estimated Concrete Demand (m³)]]&lt;100000,"Large","Mega"))))</f>
        <v>Medium</v>
      </c>
      <c r="P11" s="287" t="str">
        <f t="shared" si="0"/>
        <v>GujRERA</v>
      </c>
      <c r="S11" s="130" t="s">
        <v>35</v>
      </c>
      <c r="T11" s="130" t="s">
        <v>3824</v>
      </c>
      <c r="U11" s="136">
        <f>COUNTIF(Market_Data[District],S11)</f>
        <v>345</v>
      </c>
      <c r="V11" s="136">
        <f>SUMIF(Market_Data[District],S11,Market_Data[Estimated Built Up Area (sq m)])</f>
        <v>10992100</v>
      </c>
      <c r="W11" s="136">
        <f>SUMIF(Market_Data[District],S11,Market_Data[Estimated Concrete Demand (m³)])</f>
        <v>4782778</v>
      </c>
      <c r="X11" s="136">
        <f>SUMIF(Market_Data[District],S11,Market_Data[Estimated Market Value (₹ Cr)])</f>
        <v>2678.3556800000006</v>
      </c>
      <c r="Y11" s="137">
        <f t="shared" si="1"/>
        <v>0.11665178579036813</v>
      </c>
      <c r="BQ11" s="9" t="s">
        <v>194</v>
      </c>
    </row>
    <row r="12" spans="1:69">
      <c r="A12" s="129" t="str">
        <f>_xlfn.XLOOKUP(B12,$S$9:$S$14,$T$9:$T$14)&amp;"-"&amp;
IF(E12="Residential/Group Housing","RES",
IF(E12="Commercial","COM",
IF(E12="Mixed Development","MIX",
IF(E12="Plotted Development","PLT","OTH"))))
&amp;"-"&amp;TEXT(COUNTIFS($B$9:B12,B12,$E$9:E12,E12),"0000")</f>
        <v>BHR-COM-0001</v>
      </c>
      <c r="B12" s="322" t="s">
        <v>36</v>
      </c>
      <c r="C12" s="322" t="s">
        <v>36</v>
      </c>
      <c r="D12" s="323" t="s">
        <v>197</v>
      </c>
      <c r="E12" s="132" t="s">
        <v>23</v>
      </c>
      <c r="F12" s="97" t="str">
        <f ca="1">IF(OR(Market_Data[[#This Row],[Start Date]]="",Market_Data[[#This Row],[Completion Date]]=""),"Needs Validation",IF(Market_Data[[#This Row],[Start Date]]&gt;TODAY(),"Planned",IF(Market_Data[[#This Row],[Completion Date]]&lt;TODAY(),"Completed","Ongoing")))</f>
        <v>Completed</v>
      </c>
      <c r="G12" s="324">
        <v>44327</v>
      </c>
      <c r="H12" s="324">
        <v>46112</v>
      </c>
      <c r="I12" s="325">
        <v>34700</v>
      </c>
      <c r="J1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2" s="133">
        <f>_xlfn.XLOOKUP(Market_Data[[#This Row],[Project Type]],tbl_assumptions_market[Project Category (RERA)],tbl_assumptions_market[Concrete Intensity
(m³ / sq m BUA)],"",0)</f>
        <v>0.5</v>
      </c>
      <c r="L12" s="134">
        <f>ROUND(Market_Data[[#This Row],[Estimated Built Up Area (sq m)]]*Market_Data[[#This Row],[Concrete Intensity
(m³ / sq m)]],0)</f>
        <v>17350</v>
      </c>
      <c r="M12" s="135">
        <f>_xlfn.XLOOKUP(Market_Data[[#This Row],[District]],tbl_district_price[District],tbl_district_price[Standard Price
(INR/m³)],"",0)</f>
        <v>5800</v>
      </c>
      <c r="N12" s="364">
        <f>IF(OR(Market_Data[[#This Row],[Estimated Concrete Demand (m³)]]="",Market_Data[[#This Row],[Avg Price per (₹ / m³)]]=""),"",Market_Data[[#This Row],[Estimated Concrete Demand (m³)]]*Market_Data[[#This Row],[Avg Price per (₹ / m³)]]/10000000)</f>
        <v>10.063000000000001</v>
      </c>
      <c r="O12" s="97" t="str">
        <f>IF(Market_Data[[#This Row],[Estimated Concrete Demand (m³)]]="","",
IF(Market_Data[[#This Row],[Estimated Concrete Demand (m³)]]&lt;10000,"Small",
IF(Market_Data[[#This Row],[Estimated Concrete Demand (m³)]]&lt;25000,"Medium",
IF(Market_Data[[#This Row],[Estimated Concrete Demand (m³)]]&lt;100000,"Large","Mega"))))</f>
        <v>Medium</v>
      </c>
      <c r="P12" s="287" t="str">
        <f t="shared" si="0"/>
        <v>GujRERA</v>
      </c>
      <c r="S12" s="130" t="s">
        <v>37</v>
      </c>
      <c r="T12" s="130" t="s">
        <v>3825</v>
      </c>
      <c r="U12" s="136">
        <f>COUNTIF(Market_Data[District],S12)</f>
        <v>115</v>
      </c>
      <c r="V12" s="136">
        <f>SUMIF(Market_Data[District],S12,Market_Data[Estimated Built Up Area (sq m)])</f>
        <v>3736100</v>
      </c>
      <c r="W12" s="136">
        <f>SUMIF(Market_Data[District],S12,Market_Data[Estimated Concrete Demand (m³)])</f>
        <v>1573213</v>
      </c>
      <c r="X12" s="136">
        <f>SUMIF(Market_Data[District],S12,Market_Data[Estimated Market Value (₹ Cr)])</f>
        <v>865.26715000000013</v>
      </c>
      <c r="Y12" s="137">
        <f t="shared" si="1"/>
        <v>3.768541982192683E-2</v>
      </c>
      <c r="BQ12" s="9" t="s">
        <v>286</v>
      </c>
    </row>
    <row r="13" spans="1:69">
      <c r="A13" s="129" t="str">
        <f>_xlfn.XLOOKUP(B13,$S$9:$S$14,$T$9:$T$14)&amp;"-"&amp;
IF(E13="Residential/Group Housing","RES",
IF(E13="Commercial","COM",
IF(E13="Mixed Development","MIX",
IF(E13="Plotted Development","PLT","OTH"))))
&amp;"-"&amp;TEXT(COUNTIFS($B$9:B13,B13,$E$9:E13,E13),"0000")</f>
        <v>BHR-MIX-0002</v>
      </c>
      <c r="B13" s="322" t="s">
        <v>36</v>
      </c>
      <c r="C13" s="322" t="s">
        <v>36</v>
      </c>
      <c r="D13" s="323" t="s">
        <v>198</v>
      </c>
      <c r="E13" s="132" t="s">
        <v>25</v>
      </c>
      <c r="F13" s="97" t="str">
        <f ca="1">IF(OR(Market_Data[[#This Row],[Start Date]]="",Market_Data[[#This Row],[Completion Date]]=""),"Needs Validation",IF(Market_Data[[#This Row],[Start Date]]&gt;TODAY(),"Planned",IF(Market_Data[[#This Row],[Completion Date]]&lt;TODAY(),"Completed","Ongoing")))</f>
        <v>Completed</v>
      </c>
      <c r="G13" s="324">
        <v>43467</v>
      </c>
      <c r="H13" s="324">
        <v>45930</v>
      </c>
      <c r="I13" s="325">
        <v>12300</v>
      </c>
      <c r="J1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 s="133">
        <f>_xlfn.XLOOKUP(Market_Data[[#This Row],[Project Type]],tbl_assumptions_market[Project Category (RERA)],tbl_assumptions_market[Concrete Intensity
(m³ / sq m BUA)],"",0)</f>
        <v>0.42</v>
      </c>
      <c r="L13" s="134">
        <f>ROUND(Market_Data[[#This Row],[Estimated Built Up Area (sq m)]]*Market_Data[[#This Row],[Concrete Intensity
(m³ / sq m)]],0)</f>
        <v>5166</v>
      </c>
      <c r="M13" s="135">
        <f>_xlfn.XLOOKUP(Market_Data[[#This Row],[District]],tbl_district_price[District],tbl_district_price[Standard Price
(INR/m³)],"",0)</f>
        <v>5800</v>
      </c>
      <c r="N13" s="364">
        <f>IF(OR(Market_Data[[#This Row],[Estimated Concrete Demand (m³)]]="",Market_Data[[#This Row],[Avg Price per (₹ / m³)]]=""),"",Market_Data[[#This Row],[Estimated Concrete Demand (m³)]]*Market_Data[[#This Row],[Avg Price per (₹ / m³)]]/10000000)</f>
        <v>2.9962800000000001</v>
      </c>
      <c r="O13" s="97" t="str">
        <f>IF(Market_Data[[#This Row],[Estimated Concrete Demand (m³)]]="","",
IF(Market_Data[[#This Row],[Estimated Concrete Demand (m³)]]&lt;10000,"Small",
IF(Market_Data[[#This Row],[Estimated Concrete Demand (m³)]]&lt;25000,"Medium",
IF(Market_Data[[#This Row],[Estimated Concrete Demand (m³)]]&lt;100000,"Large","Mega"))))</f>
        <v>Small</v>
      </c>
      <c r="P13" s="287" t="str">
        <f t="shared" si="0"/>
        <v>GujRERA</v>
      </c>
      <c r="S13" s="130" t="s">
        <v>38</v>
      </c>
      <c r="T13" s="130" t="s">
        <v>3826</v>
      </c>
      <c r="U13" s="136">
        <f>COUNTIF(Market_Data[District],S13)</f>
        <v>4</v>
      </c>
      <c r="V13" s="136">
        <f>SUMIF(Market_Data[District],S13,Market_Data[Estimated Built Up Area (sq m)])</f>
        <v>94700</v>
      </c>
      <c r="W13" s="136">
        <f>SUMIF(Market_Data[District],S13,Market_Data[Estimated Concrete Demand (m³)])</f>
        <v>43214</v>
      </c>
      <c r="X13" s="136">
        <f>SUMIF(Market_Data[District],S13,Market_Data[Estimated Market Value (₹ Cr)])</f>
        <v>22.47128</v>
      </c>
      <c r="Y13" s="137">
        <f t="shared" si="1"/>
        <v>9.7870307538668023E-4</v>
      </c>
      <c r="BQ13" s="9" t="s">
        <v>196</v>
      </c>
    </row>
    <row r="14" spans="1:69" ht="19.5" customHeight="1">
      <c r="A14" s="129" t="str">
        <f>_xlfn.XLOOKUP(B14,$S$9:$S$14,$T$9:$T$14)&amp;"-"&amp;
IF(E14="Residential/Group Housing","RES",
IF(E14="Commercial","COM",
IF(E14="Mixed Development","MIX",
IF(E14="Plotted Development","PLT","OTH"))))
&amp;"-"&amp;TEXT(COUNTIFS($B$9:B14,B14,$E$9:E14,E14),"0000")</f>
        <v>BHR-COM-0002</v>
      </c>
      <c r="B14" s="322" t="s">
        <v>36</v>
      </c>
      <c r="C14" s="322" t="s">
        <v>36</v>
      </c>
      <c r="D14" s="323" t="s">
        <v>199</v>
      </c>
      <c r="E14" s="132" t="s">
        <v>23</v>
      </c>
      <c r="F14" s="97" t="str">
        <f ca="1">IF(OR(Market_Data[[#This Row],[Start Date]]="",Market_Data[[#This Row],[Completion Date]]=""),"Needs Validation",IF(Market_Data[[#This Row],[Start Date]]&gt;TODAY(),"Planned",IF(Market_Data[[#This Row],[Completion Date]]&lt;TODAY(),"Completed","Ongoing")))</f>
        <v>Completed</v>
      </c>
      <c r="G14" s="324">
        <v>42505</v>
      </c>
      <c r="H14" s="324">
        <v>44195</v>
      </c>
      <c r="I14" s="325">
        <v>31600</v>
      </c>
      <c r="J1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4" s="133">
        <f>_xlfn.XLOOKUP(Market_Data[[#This Row],[Project Type]],tbl_assumptions_market[Project Category (RERA)],tbl_assumptions_market[Concrete Intensity
(m³ / sq m BUA)],"",0)</f>
        <v>0.5</v>
      </c>
      <c r="L14" s="134">
        <f>ROUND(Market_Data[[#This Row],[Estimated Built Up Area (sq m)]]*Market_Data[[#This Row],[Concrete Intensity
(m³ / sq m)]],0)</f>
        <v>15800</v>
      </c>
      <c r="M14" s="135">
        <f>_xlfn.XLOOKUP(Market_Data[[#This Row],[District]],tbl_district_price[District],tbl_district_price[Standard Price
(INR/m³)],"",0)</f>
        <v>5800</v>
      </c>
      <c r="N14" s="364">
        <f>IF(OR(Market_Data[[#This Row],[Estimated Concrete Demand (m³)]]="",Market_Data[[#This Row],[Avg Price per (₹ / m³)]]=""),"",Market_Data[[#This Row],[Estimated Concrete Demand (m³)]]*Market_Data[[#This Row],[Avg Price per (₹ / m³)]]/10000000)</f>
        <v>9.1639999999999997</v>
      </c>
      <c r="O14" s="97" t="str">
        <f>IF(Market_Data[[#This Row],[Estimated Concrete Demand (m³)]]="","",
IF(Market_Data[[#This Row],[Estimated Concrete Demand (m³)]]&lt;10000,"Small",
IF(Market_Data[[#This Row],[Estimated Concrete Demand (m³)]]&lt;25000,"Medium",
IF(Market_Data[[#This Row],[Estimated Concrete Demand (m³)]]&lt;100000,"Large","Mega"))))</f>
        <v>Medium</v>
      </c>
      <c r="P14" s="287" t="str">
        <f t="shared" si="0"/>
        <v>GujRERA</v>
      </c>
      <c r="S14" s="128" t="s">
        <v>3862</v>
      </c>
      <c r="T14" s="128"/>
      <c r="U14" s="125">
        <f>SUM(U9:U13)</f>
        <v>3065</v>
      </c>
      <c r="V14" s="125">
        <f>SUM(V9:V13)</f>
        <v>94934800</v>
      </c>
      <c r="W14" s="125">
        <f>SUM(W9:W13)</f>
        <v>37859917</v>
      </c>
      <c r="X14" s="125">
        <f>SUM(X9:X13)</f>
        <v>22960.262990000028</v>
      </c>
      <c r="Y14" s="140">
        <f>SUM(Y9:Y13)</f>
        <v>1</v>
      </c>
    </row>
    <row r="15" spans="1:69">
      <c r="A15" s="129" t="str">
        <f>_xlfn.XLOOKUP(B15,$S$9:$S$14,$T$9:$T$14)&amp;"-"&amp;
IF(E15="Residential/Group Housing","RES",
IF(E15="Commercial","COM",
IF(E15="Mixed Development","MIX",
IF(E15="Plotted Development","PLT","OTH"))))
&amp;"-"&amp;TEXT(COUNTIFS($B$9:B15,B15,$E$9:E15,E15),"0000")</f>
        <v>BHR-MIX-0003</v>
      </c>
      <c r="B15" s="322" t="s">
        <v>36</v>
      </c>
      <c r="C15" s="322" t="s">
        <v>36</v>
      </c>
      <c r="D15" s="323" t="s">
        <v>200</v>
      </c>
      <c r="E15" s="132" t="s">
        <v>25</v>
      </c>
      <c r="F15" s="97" t="str">
        <f ca="1">IF(OR(Market_Data[[#This Row],[Start Date]]="",Market_Data[[#This Row],[Completion Date]]=""),"Needs Validation",IF(Market_Data[[#This Row],[Start Date]]&gt;TODAY(),"Planned",IF(Market_Data[[#This Row],[Completion Date]]&lt;TODAY(),"Completed","Ongoing")))</f>
        <v>Ongoing</v>
      </c>
      <c r="G15" s="324">
        <v>44965</v>
      </c>
      <c r="H15" s="324">
        <v>46843</v>
      </c>
      <c r="I15" s="325">
        <v>56600</v>
      </c>
      <c r="J1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 s="133">
        <f>_xlfn.XLOOKUP(Market_Data[[#This Row],[Project Type]],tbl_assumptions_market[Project Category (RERA)],tbl_assumptions_market[Concrete Intensity
(m³ / sq m BUA)],"",0)</f>
        <v>0.42</v>
      </c>
      <c r="L15" s="134">
        <f>ROUND(Market_Data[[#This Row],[Estimated Built Up Area (sq m)]]*Market_Data[[#This Row],[Concrete Intensity
(m³ / sq m)]],0)</f>
        <v>23772</v>
      </c>
      <c r="M15" s="135">
        <f>_xlfn.XLOOKUP(Market_Data[[#This Row],[District]],tbl_district_price[District],tbl_district_price[Standard Price
(INR/m³)],"",0)</f>
        <v>5800</v>
      </c>
      <c r="N15" s="364">
        <f>IF(OR(Market_Data[[#This Row],[Estimated Concrete Demand (m³)]]="",Market_Data[[#This Row],[Avg Price per (₹ / m³)]]=""),"",Market_Data[[#This Row],[Estimated Concrete Demand (m³)]]*Market_Data[[#This Row],[Avg Price per (₹ / m³)]]/10000000)</f>
        <v>13.78776</v>
      </c>
      <c r="O15" s="97" t="str">
        <f>IF(Market_Data[[#This Row],[Estimated Concrete Demand (m³)]]="","",
IF(Market_Data[[#This Row],[Estimated Concrete Demand (m³)]]&lt;10000,"Small",
IF(Market_Data[[#This Row],[Estimated Concrete Demand (m³)]]&lt;25000,"Medium",
IF(Market_Data[[#This Row],[Estimated Concrete Demand (m³)]]&lt;100000,"Large","Mega"))))</f>
        <v>Medium</v>
      </c>
      <c r="P15" s="287" t="str">
        <f t="shared" si="0"/>
        <v>GujRERA</v>
      </c>
    </row>
    <row r="16" spans="1:69" ht="24.5" customHeight="1">
      <c r="A16" s="129" t="str">
        <f>_xlfn.XLOOKUP(B16,$S$9:$S$14,$T$9:$T$14)&amp;"-"&amp;
IF(E16="Residential/Group Housing","RES",
IF(E16="Commercial","COM",
IF(E16="Mixed Development","MIX",
IF(E16="Plotted Development","PLT","OTH"))))
&amp;"-"&amp;TEXT(COUNTIFS($B$9:B16,B16,$E$9:E16,E16),"0000")</f>
        <v>BHR-RES-0003</v>
      </c>
      <c r="B16" s="322" t="s">
        <v>36</v>
      </c>
      <c r="C16" s="322" t="s">
        <v>36</v>
      </c>
      <c r="D16" s="323" t="s">
        <v>201</v>
      </c>
      <c r="E16" s="132" t="s">
        <v>24</v>
      </c>
      <c r="F16" s="97" t="str">
        <f ca="1">IF(OR(Market_Data[[#This Row],[Start Date]]="",Market_Data[[#This Row],[Completion Date]]=""),"Needs Validation",IF(Market_Data[[#This Row],[Start Date]]&gt;TODAY(),"Planned",IF(Market_Data[[#This Row],[Completion Date]]&lt;TODAY(),"Completed","Ongoing")))</f>
        <v>Completed</v>
      </c>
      <c r="G16" s="324">
        <v>43191</v>
      </c>
      <c r="H16" s="324">
        <v>44834</v>
      </c>
      <c r="I16" s="325">
        <v>58300</v>
      </c>
      <c r="J1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 s="133">
        <f>_xlfn.XLOOKUP(Market_Data[[#This Row],[Project Type]],tbl_assumptions_market[Project Category (RERA)],tbl_assumptions_market[Concrete Intensity
(m³ / sq m BUA)],"",0)</f>
        <v>0.45</v>
      </c>
      <c r="L16" s="134">
        <f>ROUND(Market_Data[[#This Row],[Estimated Built Up Area (sq m)]]*Market_Data[[#This Row],[Concrete Intensity
(m³ / sq m)]],0)</f>
        <v>26235</v>
      </c>
      <c r="M16" s="135">
        <f>_xlfn.XLOOKUP(Market_Data[[#This Row],[District]],tbl_district_price[District],tbl_district_price[Standard Price
(INR/m³)],"",0)</f>
        <v>5800</v>
      </c>
      <c r="N16" s="364">
        <f>IF(OR(Market_Data[[#This Row],[Estimated Concrete Demand (m³)]]="",Market_Data[[#This Row],[Avg Price per (₹ / m³)]]=""),"",Market_Data[[#This Row],[Estimated Concrete Demand (m³)]]*Market_Data[[#This Row],[Avg Price per (₹ / m³)]]/10000000)</f>
        <v>15.2163</v>
      </c>
      <c r="O16" s="97" t="str">
        <f>IF(Market_Data[[#This Row],[Estimated Concrete Demand (m³)]]="","",
IF(Market_Data[[#This Row],[Estimated Concrete Demand (m³)]]&lt;10000,"Small",
IF(Market_Data[[#This Row],[Estimated Concrete Demand (m³)]]&lt;25000,"Medium",
IF(Market_Data[[#This Row],[Estimated Concrete Demand (m³)]]&lt;100000,"Large","Mega"))))</f>
        <v>Large</v>
      </c>
      <c r="P16" s="287" t="str">
        <f t="shared" si="0"/>
        <v>GujRERA</v>
      </c>
      <c r="S16" s="119" t="s">
        <v>3857</v>
      </c>
      <c r="T16" s="119" t="s">
        <v>3821</v>
      </c>
      <c r="U16" s="119" t="s">
        <v>3852</v>
      </c>
      <c r="V16" s="119" t="s">
        <v>3853</v>
      </c>
      <c r="W16" s="119" t="s">
        <v>3854</v>
      </c>
      <c r="X16" s="119" t="s">
        <v>3856</v>
      </c>
      <c r="Y16" s="119" t="s">
        <v>3855</v>
      </c>
    </row>
    <row r="17" spans="1:25">
      <c r="A17" s="129" t="str">
        <f>_xlfn.XLOOKUP(B17,$S$9:$S$14,$T$9:$T$14)&amp;"-"&amp;
IF(E17="Residential/Group Housing","RES",
IF(E17="Commercial","COM",
IF(E17="Mixed Development","MIX",
IF(E17="Plotted Development","PLT","OTH"))))
&amp;"-"&amp;TEXT(COUNTIFS($B$9:B17,B17,$E$9:E17,E17),"0000")</f>
        <v>BHR-COM-0003</v>
      </c>
      <c r="B17" s="322" t="s">
        <v>36</v>
      </c>
      <c r="C17" s="322" t="s">
        <v>36</v>
      </c>
      <c r="D17" s="323" t="s">
        <v>202</v>
      </c>
      <c r="E17" s="132" t="s">
        <v>23</v>
      </c>
      <c r="F17" s="97" t="str">
        <f ca="1">IF(OR(Market_Data[[#This Row],[Start Date]]="",Market_Data[[#This Row],[Completion Date]]=""),"Needs Validation",IF(Market_Data[[#This Row],[Start Date]]&gt;TODAY(),"Planned",IF(Market_Data[[#This Row],[Completion Date]]&lt;TODAY(),"Completed","Ongoing")))</f>
        <v>Ongoing</v>
      </c>
      <c r="G17" s="324">
        <v>45819</v>
      </c>
      <c r="H17" s="324">
        <v>48304</v>
      </c>
      <c r="I17" s="325">
        <v>57900</v>
      </c>
      <c r="J1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7" s="133">
        <f>_xlfn.XLOOKUP(Market_Data[[#This Row],[Project Type]],tbl_assumptions_market[Project Category (RERA)],tbl_assumptions_market[Concrete Intensity
(m³ / sq m BUA)],"",0)</f>
        <v>0.5</v>
      </c>
      <c r="L17" s="134">
        <f>ROUND(Market_Data[[#This Row],[Estimated Built Up Area (sq m)]]*Market_Data[[#This Row],[Concrete Intensity
(m³ / sq m)]],0)</f>
        <v>28950</v>
      </c>
      <c r="M17" s="135">
        <f>_xlfn.XLOOKUP(Market_Data[[#This Row],[District]],tbl_district_price[District],tbl_district_price[Standard Price
(INR/m³)],"",0)</f>
        <v>5800</v>
      </c>
      <c r="N17" s="364">
        <f>IF(OR(Market_Data[[#This Row],[Estimated Concrete Demand (m³)]]="",Market_Data[[#This Row],[Avg Price per (₹ / m³)]]=""),"",Market_Data[[#This Row],[Estimated Concrete Demand (m³)]]*Market_Data[[#This Row],[Avg Price per (₹ / m³)]]/10000000)</f>
        <v>16.791</v>
      </c>
      <c r="O17" s="97" t="str">
        <f>IF(Market_Data[[#This Row],[Estimated Concrete Demand (m³)]]="","",
IF(Market_Data[[#This Row],[Estimated Concrete Demand (m³)]]&lt;10000,"Small",
IF(Market_Data[[#This Row],[Estimated Concrete Demand (m³)]]&lt;25000,"Medium",
IF(Market_Data[[#This Row],[Estimated Concrete Demand (m³)]]&lt;100000,"Large","Mega"))))</f>
        <v>Large</v>
      </c>
      <c r="P17" s="287" t="str">
        <f t="shared" si="0"/>
        <v>GujRERA</v>
      </c>
      <c r="S17" s="138" t="s">
        <v>24</v>
      </c>
      <c r="T17" s="115" t="s">
        <v>3858</v>
      </c>
      <c r="U17" s="116">
        <f>IFERROR(COUNTIF(Market_Data[Project Type],S17),"")</f>
        <v>1201</v>
      </c>
      <c r="V17" s="116">
        <f>IFERROR(SUMIF(Market_Data[Project Type],S17,Market_Data[Estimated Built Up Area (sq m)]),"")</f>
        <v>39704700</v>
      </c>
      <c r="W17" s="116">
        <f>IFERROR(SUMIF(Market_Data[Project Type],S17,Market_Data[Estimated Concrete Demand (m³)]),"")</f>
        <v>17867115</v>
      </c>
      <c r="X17" s="117">
        <f>IFERROR(SUMIF(Market_Data[Project Type],S17,Market_Data[Estimated Market Value (₹ Cr)]),"")</f>
        <v>10850.78654999999</v>
      </c>
      <c r="Y17" s="118">
        <f>IFERROR(X17/$X$21,"")</f>
        <v>0.47258981984334802</v>
      </c>
    </row>
    <row r="18" spans="1:25">
      <c r="A18" s="129" t="str">
        <f>_xlfn.XLOOKUP(B18,$S$9:$S$14,$T$9:$T$14)&amp;"-"&amp;
IF(E18="Residential/Group Housing","RES",
IF(E18="Commercial","COM",
IF(E18="Mixed Development","MIX",
IF(E18="Plotted Development","PLT","OTH"))))
&amp;"-"&amp;TEXT(COUNTIFS($B$9:B18,B18,$E$9:E18,E18),"0000")</f>
        <v>BHR-RES-0004</v>
      </c>
      <c r="B18" s="322" t="s">
        <v>36</v>
      </c>
      <c r="C18" s="322" t="s">
        <v>36</v>
      </c>
      <c r="D18" s="323" t="s">
        <v>203</v>
      </c>
      <c r="E18" s="132" t="s">
        <v>24</v>
      </c>
      <c r="F18" s="97" t="str">
        <f ca="1">IF(OR(Market_Data[[#This Row],[Start Date]]="",Market_Data[[#This Row],[Completion Date]]=""),"Needs Validation",IF(Market_Data[[#This Row],[Start Date]]&gt;TODAY(),"Planned",IF(Market_Data[[#This Row],[Completion Date]]&lt;TODAY(),"Completed","Ongoing")))</f>
        <v>Ongoing</v>
      </c>
      <c r="G18" s="324">
        <v>45028</v>
      </c>
      <c r="H18" s="324">
        <v>46843</v>
      </c>
      <c r="I18" s="325">
        <v>37600</v>
      </c>
      <c r="J1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 s="133">
        <f>_xlfn.XLOOKUP(Market_Data[[#This Row],[Project Type]],tbl_assumptions_market[Project Category (RERA)],tbl_assumptions_market[Concrete Intensity
(m³ / sq m BUA)],"",0)</f>
        <v>0.45</v>
      </c>
      <c r="L18" s="134">
        <f>ROUND(Market_Data[[#This Row],[Estimated Built Up Area (sq m)]]*Market_Data[[#This Row],[Concrete Intensity
(m³ / sq m)]],0)</f>
        <v>16920</v>
      </c>
      <c r="M18" s="135">
        <f>_xlfn.XLOOKUP(Market_Data[[#This Row],[District]],tbl_district_price[District],tbl_district_price[Standard Price
(INR/m³)],"",0)</f>
        <v>5800</v>
      </c>
      <c r="N18" s="364">
        <f>IF(OR(Market_Data[[#This Row],[Estimated Concrete Demand (m³)]]="",Market_Data[[#This Row],[Avg Price per (₹ / m³)]]=""),"",Market_Data[[#This Row],[Estimated Concrete Demand (m³)]]*Market_Data[[#This Row],[Avg Price per (₹ / m³)]]/10000000)</f>
        <v>9.8135999999999992</v>
      </c>
      <c r="O18" s="97" t="str">
        <f>IF(Market_Data[[#This Row],[Estimated Concrete Demand (m³)]]="","",
IF(Market_Data[[#This Row],[Estimated Concrete Demand (m³)]]&lt;10000,"Small",
IF(Market_Data[[#This Row],[Estimated Concrete Demand (m³)]]&lt;25000,"Medium",
IF(Market_Data[[#This Row],[Estimated Concrete Demand (m³)]]&lt;100000,"Large","Mega"))))</f>
        <v>Medium</v>
      </c>
      <c r="P18" s="287" t="str">
        <f t="shared" si="0"/>
        <v>GujRERA</v>
      </c>
      <c r="S18" s="138" t="s">
        <v>23</v>
      </c>
      <c r="T18" s="115" t="s">
        <v>3859</v>
      </c>
      <c r="U18" s="116">
        <f>IFERROR(COUNTIF(Market_Data[Project Type],S18),"")</f>
        <v>528</v>
      </c>
      <c r="V18" s="116">
        <f>IFERROR(SUMIF(Market_Data[Project Type],S18,Market_Data[Estimated Built Up Area (sq m)]),"")</f>
        <v>12214100</v>
      </c>
      <c r="W18" s="116">
        <f>IFERROR(SUMIF(Market_Data[Project Type],S18,Market_Data[Estimated Concrete Demand (m³)]),"")</f>
        <v>6107050</v>
      </c>
      <c r="X18" s="117">
        <f>IFERROR(SUMIF(Market_Data[Project Type],S18,Market_Data[Estimated Market Value (₹ Cr)]),"")</f>
        <v>3736.3234999999963</v>
      </c>
      <c r="Y18" s="118">
        <f t="shared" ref="Y18:Y20" si="2">IFERROR(X18/$X$21,"")</f>
        <v>0.16272999580306624</v>
      </c>
    </row>
    <row r="19" spans="1:25">
      <c r="A19" s="129" t="str">
        <f>_xlfn.XLOOKUP(B19,$S$9:$S$14,$T$9:$T$14)&amp;"-"&amp;
IF(E19="Residential/Group Housing","RES",
IF(E19="Commercial","COM",
IF(E19="Mixed Development","MIX",
IF(E19="Plotted Development","PLT","OTH"))))
&amp;"-"&amp;TEXT(COUNTIFS($B$9:B19,B19,$E$9:E19,E19),"0000")</f>
        <v>BHR-RES-0005</v>
      </c>
      <c r="B19" s="322" t="s">
        <v>36</v>
      </c>
      <c r="C19" s="322" t="s">
        <v>36</v>
      </c>
      <c r="D19" s="323" t="s">
        <v>204</v>
      </c>
      <c r="E19" s="132" t="s">
        <v>24</v>
      </c>
      <c r="F19" s="97" t="str">
        <f ca="1">IF(OR(Market_Data[[#This Row],[Start Date]]="",Market_Data[[#This Row],[Completion Date]]=""),"Needs Validation",IF(Market_Data[[#This Row],[Start Date]]&gt;TODAY(),"Planned",IF(Market_Data[[#This Row],[Completion Date]]&lt;TODAY(),"Completed","Ongoing")))</f>
        <v>Ongoing</v>
      </c>
      <c r="G19" s="324">
        <v>44982</v>
      </c>
      <c r="H19" s="324">
        <v>46387</v>
      </c>
      <c r="I19" s="325">
        <v>20100</v>
      </c>
      <c r="J1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 s="133">
        <f>_xlfn.XLOOKUP(Market_Data[[#This Row],[Project Type]],tbl_assumptions_market[Project Category (RERA)],tbl_assumptions_market[Concrete Intensity
(m³ / sq m BUA)],"",0)</f>
        <v>0.45</v>
      </c>
      <c r="L19" s="134">
        <f>ROUND(Market_Data[[#This Row],[Estimated Built Up Area (sq m)]]*Market_Data[[#This Row],[Concrete Intensity
(m³ / sq m)]],0)</f>
        <v>9045</v>
      </c>
      <c r="M19" s="135">
        <f>_xlfn.XLOOKUP(Market_Data[[#This Row],[District]],tbl_district_price[District],tbl_district_price[Standard Price
(INR/m³)],"",0)</f>
        <v>5800</v>
      </c>
      <c r="N19" s="364">
        <f>IF(OR(Market_Data[[#This Row],[Estimated Concrete Demand (m³)]]="",Market_Data[[#This Row],[Avg Price per (₹ / m³)]]=""),"",Market_Data[[#This Row],[Estimated Concrete Demand (m³)]]*Market_Data[[#This Row],[Avg Price per (₹ / m³)]]/10000000)</f>
        <v>5.2461000000000002</v>
      </c>
      <c r="O19" s="97" t="str">
        <f>IF(Market_Data[[#This Row],[Estimated Concrete Demand (m³)]]="","",
IF(Market_Data[[#This Row],[Estimated Concrete Demand (m³)]]&lt;10000,"Small",
IF(Market_Data[[#This Row],[Estimated Concrete Demand (m³)]]&lt;25000,"Medium",
IF(Market_Data[[#This Row],[Estimated Concrete Demand (m³)]]&lt;100000,"Large","Mega"))))</f>
        <v>Small</v>
      </c>
      <c r="P19" s="287" t="str">
        <f t="shared" si="0"/>
        <v>GujRERA</v>
      </c>
      <c r="S19" s="138" t="s">
        <v>25</v>
      </c>
      <c r="T19" s="115" t="s">
        <v>3860</v>
      </c>
      <c r="U19" s="116">
        <f>IFERROR(COUNTIF(Market_Data[Project Type],S19),"")</f>
        <v>793</v>
      </c>
      <c r="V19" s="116">
        <f>IFERROR(SUMIF(Market_Data[Project Type],S19,Market_Data[Estimated Built Up Area (sq m)]),"")</f>
        <v>25595300</v>
      </c>
      <c r="W19" s="116">
        <f>IFERROR(SUMIF(Market_Data[Project Type],S19,Market_Data[Estimated Concrete Demand (m³)]),"")</f>
        <v>10750026</v>
      </c>
      <c r="X19" s="117">
        <f>IFERROR(SUMIF(Market_Data[Project Type],S19,Market_Data[Estimated Market Value (₹ Cr)]),"")</f>
        <v>6435.8952000000072</v>
      </c>
      <c r="Y19" s="118">
        <f t="shared" si="2"/>
        <v>0.28030581369225022</v>
      </c>
    </row>
    <row r="20" spans="1:25" ht="22.5" customHeight="1">
      <c r="A20" s="129" t="str">
        <f>_xlfn.XLOOKUP(B20,$S$9:$S$14,$T$9:$T$14)&amp;"-"&amp;
IF(E20="Residential/Group Housing","RES",
IF(E20="Commercial","COM",
IF(E20="Mixed Development","MIX",
IF(E20="Plotted Development","PLT","OTH"))))
&amp;"-"&amp;TEXT(COUNTIFS($B$9:B20,B20,$E$9:E20,E20),"0000")</f>
        <v>BHR-RES-0006</v>
      </c>
      <c r="B20" s="322" t="s">
        <v>36</v>
      </c>
      <c r="C20" s="322" t="s">
        <v>36</v>
      </c>
      <c r="D20" s="323" t="s">
        <v>205</v>
      </c>
      <c r="E20" s="132" t="s">
        <v>24</v>
      </c>
      <c r="F20" s="97" t="str">
        <f ca="1">IF(OR(Market_Data[[#This Row],[Start Date]]="",Market_Data[[#This Row],[Completion Date]]=""),"Needs Validation",IF(Market_Data[[#This Row],[Start Date]]&gt;TODAY(),"Planned",IF(Market_Data[[#This Row],[Completion Date]]&lt;TODAY(),"Completed","Ongoing")))</f>
        <v>Ongoing</v>
      </c>
      <c r="G20" s="324">
        <v>45162</v>
      </c>
      <c r="H20" s="324">
        <v>46965</v>
      </c>
      <c r="I20" s="325">
        <v>34900</v>
      </c>
      <c r="J2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 s="133">
        <f>_xlfn.XLOOKUP(Market_Data[[#This Row],[Project Type]],tbl_assumptions_market[Project Category (RERA)],tbl_assumptions_market[Concrete Intensity
(m³ / sq m BUA)],"",0)</f>
        <v>0.45</v>
      </c>
      <c r="L20" s="134">
        <f>ROUND(Market_Data[[#This Row],[Estimated Built Up Area (sq m)]]*Market_Data[[#This Row],[Concrete Intensity
(m³ / sq m)]],0)</f>
        <v>15705</v>
      </c>
      <c r="M20" s="135">
        <f>_xlfn.XLOOKUP(Market_Data[[#This Row],[District]],tbl_district_price[District],tbl_district_price[Standard Price
(INR/m³)],"",0)</f>
        <v>5800</v>
      </c>
      <c r="N20" s="364">
        <f>IF(OR(Market_Data[[#This Row],[Estimated Concrete Demand (m³)]]="",Market_Data[[#This Row],[Avg Price per (₹ / m³)]]=""),"",Market_Data[[#This Row],[Estimated Concrete Demand (m³)]]*Market_Data[[#This Row],[Avg Price per (₹ / m³)]]/10000000)</f>
        <v>9.1089000000000002</v>
      </c>
      <c r="O20" s="97" t="str">
        <f>IF(Market_Data[[#This Row],[Estimated Concrete Demand (m³)]]="","",
IF(Market_Data[[#This Row],[Estimated Concrete Demand (m³)]]&lt;10000,"Small",
IF(Market_Data[[#This Row],[Estimated Concrete Demand (m³)]]&lt;25000,"Medium",
IF(Market_Data[[#This Row],[Estimated Concrete Demand (m³)]]&lt;100000,"Large","Mega"))))</f>
        <v>Medium</v>
      </c>
      <c r="P20" s="287" t="str">
        <f t="shared" si="0"/>
        <v>GujRERA</v>
      </c>
      <c r="S20" s="139" t="s">
        <v>26</v>
      </c>
      <c r="T20" s="120" t="s">
        <v>3861</v>
      </c>
      <c r="U20" s="121">
        <f>IFERROR(COUNTIF(Market_Data[Project Type],S20),"")</f>
        <v>543</v>
      </c>
      <c r="V20" s="121">
        <f>IFERROR(SUMIF(Market_Data[Project Type],S20,Market_Data[Estimated Built Up Area (sq m)]),"")</f>
        <v>17420700</v>
      </c>
      <c r="W20" s="121">
        <f>IFERROR(SUMIF(Market_Data[Project Type],S20,Market_Data[Estimated Concrete Demand (m³)]),"")</f>
        <v>3135726</v>
      </c>
      <c r="X20" s="122">
        <f>IFERROR(SUMIF(Market_Data[Project Type],S20,Market_Data[Estimated Market Value (₹ Cr)]),"")</f>
        <v>1937.2577399999996</v>
      </c>
      <c r="Y20" s="118">
        <f t="shared" si="2"/>
        <v>8.4374370661335352E-2</v>
      </c>
    </row>
    <row r="21" spans="1:25" ht="19.5" customHeight="1">
      <c r="A21" s="129" t="str">
        <f>_xlfn.XLOOKUP(B21,$S$9:$S$14,$T$9:$T$14)&amp;"-"&amp;
IF(E21="Residential/Group Housing","RES",
IF(E21="Commercial","COM",
IF(E21="Mixed Development","MIX",
IF(E21="Plotted Development","PLT","OTH"))))
&amp;"-"&amp;TEXT(COUNTIFS($B$9:B21,B21,$E$9:E21,E21),"0000")</f>
        <v>BHR-RES-0007</v>
      </c>
      <c r="B21" s="322" t="s">
        <v>36</v>
      </c>
      <c r="C21" s="322" t="s">
        <v>36</v>
      </c>
      <c r="D21" s="323" t="s">
        <v>206</v>
      </c>
      <c r="E21" s="132" t="s">
        <v>24</v>
      </c>
      <c r="F21" s="97" t="str">
        <f ca="1">IF(OR(Market_Data[[#This Row],[Start Date]]="",Market_Data[[#This Row],[Completion Date]]=""),"Needs Validation",IF(Market_Data[[#This Row],[Start Date]]&gt;TODAY(),"Planned",IF(Market_Data[[#This Row],[Completion Date]]&lt;TODAY(),"Completed","Ongoing")))</f>
        <v>Completed</v>
      </c>
      <c r="G21" s="324">
        <v>42837</v>
      </c>
      <c r="H21" s="324">
        <v>45199</v>
      </c>
      <c r="I21" s="325">
        <v>39600</v>
      </c>
      <c r="J2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 s="133">
        <f>_xlfn.XLOOKUP(Market_Data[[#This Row],[Project Type]],tbl_assumptions_market[Project Category (RERA)],tbl_assumptions_market[Concrete Intensity
(m³ / sq m BUA)],"",0)</f>
        <v>0.45</v>
      </c>
      <c r="L21" s="134">
        <f>ROUND(Market_Data[[#This Row],[Estimated Built Up Area (sq m)]]*Market_Data[[#This Row],[Concrete Intensity
(m³ / sq m)]],0)</f>
        <v>17820</v>
      </c>
      <c r="M21" s="135">
        <f>_xlfn.XLOOKUP(Market_Data[[#This Row],[District]],tbl_district_price[District],tbl_district_price[Standard Price
(INR/m³)],"",0)</f>
        <v>5800</v>
      </c>
      <c r="N21" s="364">
        <f>IF(OR(Market_Data[[#This Row],[Estimated Concrete Demand (m³)]]="",Market_Data[[#This Row],[Avg Price per (₹ / m³)]]=""),"",Market_Data[[#This Row],[Estimated Concrete Demand (m³)]]*Market_Data[[#This Row],[Avg Price per (₹ / m³)]]/10000000)</f>
        <v>10.335599999999999</v>
      </c>
      <c r="O21" s="97" t="str">
        <f>IF(Market_Data[[#This Row],[Estimated Concrete Demand (m³)]]="","",
IF(Market_Data[[#This Row],[Estimated Concrete Demand (m³)]]&lt;10000,"Small",
IF(Market_Data[[#This Row],[Estimated Concrete Demand (m³)]]&lt;25000,"Medium",
IF(Market_Data[[#This Row],[Estimated Concrete Demand (m³)]]&lt;100000,"Large","Mega"))))</f>
        <v>Medium</v>
      </c>
      <c r="P21" s="287" t="str">
        <f t="shared" si="0"/>
        <v>GujRERA</v>
      </c>
      <c r="S21" s="123" t="s">
        <v>3862</v>
      </c>
      <c r="T21" s="124"/>
      <c r="U21" s="125">
        <f>SUM(U17:U20)</f>
        <v>3065</v>
      </c>
      <c r="V21" s="125">
        <f>SUM(V17:V20)</f>
        <v>94934800</v>
      </c>
      <c r="W21" s="125">
        <f>SUM(W17:W20)</f>
        <v>37859917</v>
      </c>
      <c r="X21" s="126">
        <f>SUM(X17:X20)</f>
        <v>22960.262989999996</v>
      </c>
      <c r="Y21" s="127">
        <f>SUM(Y17:Y20)</f>
        <v>0.99999999999999978</v>
      </c>
    </row>
    <row r="22" spans="1:25">
      <c r="A22" s="129" t="str">
        <f>_xlfn.XLOOKUP(B22,$S$9:$S$14,$T$9:$T$14)&amp;"-"&amp;
IF(E22="Residential/Group Housing","RES",
IF(E22="Commercial","COM",
IF(E22="Mixed Development","MIX",
IF(E22="Plotted Development","PLT","OTH"))))
&amp;"-"&amp;TEXT(COUNTIFS($B$9:B22,B22,$E$9:E22,E22),"0000")</f>
        <v>BHR-RES-0008</v>
      </c>
      <c r="B22" s="322" t="s">
        <v>36</v>
      </c>
      <c r="C22" s="322" t="s">
        <v>36</v>
      </c>
      <c r="D22" s="323" t="s">
        <v>207</v>
      </c>
      <c r="E22" s="132" t="s">
        <v>24</v>
      </c>
      <c r="F22" s="97" t="str">
        <f ca="1">IF(OR(Market_Data[[#This Row],[Start Date]]="",Market_Data[[#This Row],[Completion Date]]=""),"Needs Validation",IF(Market_Data[[#This Row],[Start Date]]&gt;TODAY(),"Planned",IF(Market_Data[[#This Row],[Completion Date]]&lt;TODAY(),"Completed","Ongoing")))</f>
        <v>Ongoing</v>
      </c>
      <c r="G22" s="324">
        <v>42859</v>
      </c>
      <c r="H22" s="324">
        <v>46356</v>
      </c>
      <c r="I22" s="325">
        <v>18600</v>
      </c>
      <c r="J2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 s="133">
        <f>_xlfn.XLOOKUP(Market_Data[[#This Row],[Project Type]],tbl_assumptions_market[Project Category (RERA)],tbl_assumptions_market[Concrete Intensity
(m³ / sq m BUA)],"",0)</f>
        <v>0.45</v>
      </c>
      <c r="L22" s="134">
        <f>ROUND(Market_Data[[#This Row],[Estimated Built Up Area (sq m)]]*Market_Data[[#This Row],[Concrete Intensity
(m³ / sq m)]],0)</f>
        <v>8370</v>
      </c>
      <c r="M22" s="135">
        <f>_xlfn.XLOOKUP(Market_Data[[#This Row],[District]],tbl_district_price[District],tbl_district_price[Standard Price
(INR/m³)],"",0)</f>
        <v>5800</v>
      </c>
      <c r="N22" s="364">
        <f>IF(OR(Market_Data[[#This Row],[Estimated Concrete Demand (m³)]]="",Market_Data[[#This Row],[Avg Price per (₹ / m³)]]=""),"",Market_Data[[#This Row],[Estimated Concrete Demand (m³)]]*Market_Data[[#This Row],[Avg Price per (₹ / m³)]]/10000000)</f>
        <v>4.8545999999999996</v>
      </c>
      <c r="O22" s="97" t="str">
        <f>IF(Market_Data[[#This Row],[Estimated Concrete Demand (m³)]]="","",
IF(Market_Data[[#This Row],[Estimated Concrete Demand (m³)]]&lt;10000,"Small",
IF(Market_Data[[#This Row],[Estimated Concrete Demand (m³)]]&lt;25000,"Medium",
IF(Market_Data[[#This Row],[Estimated Concrete Demand (m³)]]&lt;100000,"Large","Mega"))))</f>
        <v>Small</v>
      </c>
      <c r="P22" s="287" t="str">
        <f t="shared" si="0"/>
        <v>GujRERA</v>
      </c>
    </row>
    <row r="23" spans="1:25">
      <c r="A23" s="129" t="str">
        <f>_xlfn.XLOOKUP(B23,$S$9:$S$14,$T$9:$T$14)&amp;"-"&amp;
IF(E23="Residential/Group Housing","RES",
IF(E23="Commercial","COM",
IF(E23="Mixed Development","MIX",
IF(E23="Plotted Development","PLT","OTH"))))
&amp;"-"&amp;TEXT(COUNTIFS($B$9:B23,B23,$E$9:E23,E23),"0000")</f>
        <v>BHR-RES-0009</v>
      </c>
      <c r="B23" s="322" t="s">
        <v>36</v>
      </c>
      <c r="C23" s="322" t="s">
        <v>36</v>
      </c>
      <c r="D23" s="323" t="s">
        <v>208</v>
      </c>
      <c r="E23" s="132" t="s">
        <v>24</v>
      </c>
      <c r="F23" s="97" t="str">
        <f ca="1">IF(OR(Market_Data[[#This Row],[Start Date]]="",Market_Data[[#This Row],[Completion Date]]=""),"Needs Validation",IF(Market_Data[[#This Row],[Start Date]]&gt;TODAY(),"Planned",IF(Market_Data[[#This Row],[Completion Date]]&lt;TODAY(),"Completed","Ongoing")))</f>
        <v>Completed</v>
      </c>
      <c r="G23" s="324">
        <v>43586</v>
      </c>
      <c r="H23" s="324">
        <v>45657</v>
      </c>
      <c r="I23" s="325">
        <v>57700</v>
      </c>
      <c r="J2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 s="133">
        <f>_xlfn.XLOOKUP(Market_Data[[#This Row],[Project Type]],tbl_assumptions_market[Project Category (RERA)],tbl_assumptions_market[Concrete Intensity
(m³ / sq m BUA)],"",0)</f>
        <v>0.45</v>
      </c>
      <c r="L23" s="134">
        <f>ROUND(Market_Data[[#This Row],[Estimated Built Up Area (sq m)]]*Market_Data[[#This Row],[Concrete Intensity
(m³ / sq m)]],0)</f>
        <v>25965</v>
      </c>
      <c r="M23" s="135">
        <f>_xlfn.XLOOKUP(Market_Data[[#This Row],[District]],tbl_district_price[District],tbl_district_price[Standard Price
(INR/m³)],"",0)</f>
        <v>5800</v>
      </c>
      <c r="N23" s="364">
        <f>IF(OR(Market_Data[[#This Row],[Estimated Concrete Demand (m³)]]="",Market_Data[[#This Row],[Avg Price per (₹ / m³)]]=""),"",Market_Data[[#This Row],[Estimated Concrete Demand (m³)]]*Market_Data[[#This Row],[Avg Price per (₹ / m³)]]/10000000)</f>
        <v>15.059699999999999</v>
      </c>
      <c r="O23" s="97" t="str">
        <f>IF(Market_Data[[#This Row],[Estimated Concrete Demand (m³)]]="","",
IF(Market_Data[[#This Row],[Estimated Concrete Demand (m³)]]&lt;10000,"Small",
IF(Market_Data[[#This Row],[Estimated Concrete Demand (m³)]]&lt;25000,"Medium",
IF(Market_Data[[#This Row],[Estimated Concrete Demand (m³)]]&lt;100000,"Large","Mega"))))</f>
        <v>Large</v>
      </c>
      <c r="P23" s="287" t="str">
        <f t="shared" si="0"/>
        <v>GujRERA</v>
      </c>
    </row>
    <row r="24" spans="1:25">
      <c r="A24" s="129" t="str">
        <f>_xlfn.XLOOKUP(B24,$S$9:$S$14,$T$9:$T$14)&amp;"-"&amp;
IF(E24="Residential/Group Housing","RES",
IF(E24="Commercial","COM",
IF(E24="Mixed Development","MIX",
IF(E24="Plotted Development","PLT","OTH"))))
&amp;"-"&amp;TEXT(COUNTIFS($B$9:B24,B24,$E$9:E24,E24),"0000")</f>
        <v>BHR-RES-0010</v>
      </c>
      <c r="B24" s="322" t="s">
        <v>36</v>
      </c>
      <c r="C24" s="322" t="s">
        <v>36</v>
      </c>
      <c r="D24" s="323" t="s">
        <v>209</v>
      </c>
      <c r="E24" s="132" t="s">
        <v>24</v>
      </c>
      <c r="F24" s="97" t="str">
        <f ca="1">IF(OR(Market_Data[[#This Row],[Start Date]]="",Market_Data[[#This Row],[Completion Date]]=""),"Needs Validation",IF(Market_Data[[#This Row],[Start Date]]&gt;TODAY(),"Planned",IF(Market_Data[[#This Row],[Completion Date]]&lt;TODAY(),"Completed","Ongoing")))</f>
        <v>Ongoing</v>
      </c>
      <c r="G24" s="324">
        <v>46051</v>
      </c>
      <c r="H24" s="324">
        <v>48579</v>
      </c>
      <c r="I24" s="325">
        <v>34100</v>
      </c>
      <c r="J2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 s="133">
        <f>_xlfn.XLOOKUP(Market_Data[[#This Row],[Project Type]],tbl_assumptions_market[Project Category (RERA)],tbl_assumptions_market[Concrete Intensity
(m³ / sq m BUA)],"",0)</f>
        <v>0.45</v>
      </c>
      <c r="L24" s="134">
        <f>ROUND(Market_Data[[#This Row],[Estimated Built Up Area (sq m)]]*Market_Data[[#This Row],[Concrete Intensity
(m³ / sq m)]],0)</f>
        <v>15345</v>
      </c>
      <c r="M24" s="135">
        <f>_xlfn.XLOOKUP(Market_Data[[#This Row],[District]],tbl_district_price[District],tbl_district_price[Standard Price
(INR/m³)],"",0)</f>
        <v>5800</v>
      </c>
      <c r="N24" s="364">
        <f>IF(OR(Market_Data[[#This Row],[Estimated Concrete Demand (m³)]]="",Market_Data[[#This Row],[Avg Price per (₹ / m³)]]=""),"",Market_Data[[#This Row],[Estimated Concrete Demand (m³)]]*Market_Data[[#This Row],[Avg Price per (₹ / m³)]]/10000000)</f>
        <v>8.9001000000000001</v>
      </c>
      <c r="O24" s="97" t="str">
        <f>IF(Market_Data[[#This Row],[Estimated Concrete Demand (m³)]]="","",
IF(Market_Data[[#This Row],[Estimated Concrete Demand (m³)]]&lt;10000,"Small",
IF(Market_Data[[#This Row],[Estimated Concrete Demand (m³)]]&lt;25000,"Medium",
IF(Market_Data[[#This Row],[Estimated Concrete Demand (m³)]]&lt;100000,"Large","Mega"))))</f>
        <v>Medium</v>
      </c>
      <c r="P24" s="287" t="str">
        <f t="shared" si="0"/>
        <v>GujRERA</v>
      </c>
    </row>
    <row r="25" spans="1:25">
      <c r="A25" s="129" t="str">
        <f>_xlfn.XLOOKUP(B25,$S$9:$S$14,$T$9:$T$14)&amp;"-"&amp;
IF(E25="Residential/Group Housing","RES",
IF(E25="Commercial","COM",
IF(E25="Mixed Development","MIX",
IF(E25="Plotted Development","PLT","OTH"))))
&amp;"-"&amp;TEXT(COUNTIFS($B$9:B25,B25,$E$9:E25,E25),"0000")</f>
        <v>BHR-MIX-0004</v>
      </c>
      <c r="B25" s="322" t="s">
        <v>36</v>
      </c>
      <c r="C25" s="322" t="s">
        <v>36</v>
      </c>
      <c r="D25" s="323" t="s">
        <v>210</v>
      </c>
      <c r="E25" s="132" t="s">
        <v>25</v>
      </c>
      <c r="F25" s="97" t="str">
        <f ca="1">IF(OR(Market_Data[[#This Row],[Start Date]]="",Market_Data[[#This Row],[Completion Date]]=""),"Needs Validation",IF(Market_Data[[#This Row],[Start Date]]&gt;TODAY(),"Planned",IF(Market_Data[[#This Row],[Completion Date]]&lt;TODAY(),"Completed","Ongoing")))</f>
        <v>Ongoing</v>
      </c>
      <c r="G25" s="324">
        <v>44210</v>
      </c>
      <c r="H25" s="324">
        <v>46477</v>
      </c>
      <c r="I25" s="325">
        <v>22400</v>
      </c>
      <c r="J2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 s="133">
        <f>_xlfn.XLOOKUP(Market_Data[[#This Row],[Project Type]],tbl_assumptions_market[Project Category (RERA)],tbl_assumptions_market[Concrete Intensity
(m³ / sq m BUA)],"",0)</f>
        <v>0.42</v>
      </c>
      <c r="L25" s="134">
        <f>ROUND(Market_Data[[#This Row],[Estimated Built Up Area (sq m)]]*Market_Data[[#This Row],[Concrete Intensity
(m³ / sq m)]],0)</f>
        <v>9408</v>
      </c>
      <c r="M25" s="135">
        <f>_xlfn.XLOOKUP(Market_Data[[#This Row],[District]],tbl_district_price[District],tbl_district_price[Standard Price
(INR/m³)],"",0)</f>
        <v>5800</v>
      </c>
      <c r="N25" s="364">
        <f>IF(OR(Market_Data[[#This Row],[Estimated Concrete Demand (m³)]]="",Market_Data[[#This Row],[Avg Price per (₹ / m³)]]=""),"",Market_Data[[#This Row],[Estimated Concrete Demand (m³)]]*Market_Data[[#This Row],[Avg Price per (₹ / m³)]]/10000000)</f>
        <v>5.4566400000000002</v>
      </c>
      <c r="O25" s="97" t="str">
        <f>IF(Market_Data[[#This Row],[Estimated Concrete Demand (m³)]]="","",
IF(Market_Data[[#This Row],[Estimated Concrete Demand (m³)]]&lt;10000,"Small",
IF(Market_Data[[#This Row],[Estimated Concrete Demand (m³)]]&lt;25000,"Medium",
IF(Market_Data[[#This Row],[Estimated Concrete Demand (m³)]]&lt;100000,"Large","Mega"))))</f>
        <v>Small</v>
      </c>
      <c r="P25" s="287" t="str">
        <f t="shared" si="0"/>
        <v>GujRERA</v>
      </c>
    </row>
    <row r="26" spans="1:25">
      <c r="A26" s="129" t="str">
        <f>_xlfn.XLOOKUP(B26,$S$9:$S$14,$T$9:$T$14)&amp;"-"&amp;
IF(E26="Residential/Group Housing","RES",
IF(E26="Commercial","COM",
IF(E26="Mixed Development","MIX",
IF(E26="Plotted Development","PLT","OTH"))))
&amp;"-"&amp;TEXT(COUNTIFS($B$9:B26,B26,$E$9:E26,E26),"0000")</f>
        <v>BHR-RES-0011</v>
      </c>
      <c r="B26" s="322" t="s">
        <v>36</v>
      </c>
      <c r="C26" s="322" t="s">
        <v>36</v>
      </c>
      <c r="D26" s="323" t="s">
        <v>211</v>
      </c>
      <c r="E26" s="132" t="s">
        <v>24</v>
      </c>
      <c r="F26" s="97" t="str">
        <f ca="1">IF(OR(Market_Data[[#This Row],[Start Date]]="",Market_Data[[#This Row],[Completion Date]]=""),"Needs Validation",IF(Market_Data[[#This Row],[Start Date]]&gt;TODAY(),"Planned",IF(Market_Data[[#This Row],[Completion Date]]&lt;TODAY(),"Completed","Ongoing")))</f>
        <v>Completed</v>
      </c>
      <c r="G26" s="324">
        <v>42527</v>
      </c>
      <c r="H26" s="324">
        <v>45199</v>
      </c>
      <c r="I26" s="325">
        <v>29100</v>
      </c>
      <c r="J2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 s="133">
        <f>_xlfn.XLOOKUP(Market_Data[[#This Row],[Project Type]],tbl_assumptions_market[Project Category (RERA)],tbl_assumptions_market[Concrete Intensity
(m³ / sq m BUA)],"",0)</f>
        <v>0.45</v>
      </c>
      <c r="L26" s="134">
        <f>ROUND(Market_Data[[#This Row],[Estimated Built Up Area (sq m)]]*Market_Data[[#This Row],[Concrete Intensity
(m³ / sq m)]],0)</f>
        <v>13095</v>
      </c>
      <c r="M26" s="135">
        <f>_xlfn.XLOOKUP(Market_Data[[#This Row],[District]],tbl_district_price[District],tbl_district_price[Standard Price
(INR/m³)],"",0)</f>
        <v>5800</v>
      </c>
      <c r="N26" s="364">
        <f>IF(OR(Market_Data[[#This Row],[Estimated Concrete Demand (m³)]]="",Market_Data[[#This Row],[Avg Price per (₹ / m³)]]=""),"",Market_Data[[#This Row],[Estimated Concrete Demand (m³)]]*Market_Data[[#This Row],[Avg Price per (₹ / m³)]]/10000000)</f>
        <v>7.5951000000000004</v>
      </c>
      <c r="O26" s="97" t="str">
        <f>IF(Market_Data[[#This Row],[Estimated Concrete Demand (m³)]]="","",
IF(Market_Data[[#This Row],[Estimated Concrete Demand (m³)]]&lt;10000,"Small",
IF(Market_Data[[#This Row],[Estimated Concrete Demand (m³)]]&lt;25000,"Medium",
IF(Market_Data[[#This Row],[Estimated Concrete Demand (m³)]]&lt;100000,"Large","Mega"))))</f>
        <v>Medium</v>
      </c>
      <c r="P26" s="287" t="str">
        <f t="shared" si="0"/>
        <v>GujRERA</v>
      </c>
    </row>
    <row r="27" spans="1:25">
      <c r="A27" s="129" t="str">
        <f>_xlfn.XLOOKUP(B27,$S$9:$S$14,$T$9:$T$14)&amp;"-"&amp;
IF(E27="Residential/Group Housing","RES",
IF(E27="Commercial","COM",
IF(E27="Mixed Development","MIX",
IF(E27="Plotted Development","PLT","OTH"))))
&amp;"-"&amp;TEXT(COUNTIFS($B$9:B27,B27,$E$9:E27,E27),"0000")</f>
        <v>BHR-MIX-0005</v>
      </c>
      <c r="B27" s="322" t="s">
        <v>36</v>
      </c>
      <c r="C27" s="322" t="s">
        <v>36</v>
      </c>
      <c r="D27" s="323" t="s">
        <v>212</v>
      </c>
      <c r="E27" s="132" t="s">
        <v>25</v>
      </c>
      <c r="F27" s="97" t="str">
        <f ca="1">IF(OR(Market_Data[[#This Row],[Start Date]]="",Market_Data[[#This Row],[Completion Date]]=""),"Needs Validation",IF(Market_Data[[#This Row],[Start Date]]&gt;TODAY(),"Planned",IF(Market_Data[[#This Row],[Completion Date]]&lt;TODAY(),"Completed","Ongoing")))</f>
        <v>Completed</v>
      </c>
      <c r="G27" s="324">
        <v>44140</v>
      </c>
      <c r="H27" s="324">
        <v>46022</v>
      </c>
      <c r="I27" s="325">
        <v>8100</v>
      </c>
      <c r="J2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7" s="133">
        <f>_xlfn.XLOOKUP(Market_Data[[#This Row],[Project Type]],tbl_assumptions_market[Project Category (RERA)],tbl_assumptions_market[Concrete Intensity
(m³ / sq m BUA)],"",0)</f>
        <v>0.42</v>
      </c>
      <c r="L27" s="134">
        <f>ROUND(Market_Data[[#This Row],[Estimated Built Up Area (sq m)]]*Market_Data[[#This Row],[Concrete Intensity
(m³ / sq m)]],0)</f>
        <v>3402</v>
      </c>
      <c r="M27" s="135">
        <f>_xlfn.XLOOKUP(Market_Data[[#This Row],[District]],tbl_district_price[District],tbl_district_price[Standard Price
(INR/m³)],"",0)</f>
        <v>5800</v>
      </c>
      <c r="N27" s="364">
        <f>IF(OR(Market_Data[[#This Row],[Estimated Concrete Demand (m³)]]="",Market_Data[[#This Row],[Avg Price per (₹ / m³)]]=""),"",Market_Data[[#This Row],[Estimated Concrete Demand (m³)]]*Market_Data[[#This Row],[Avg Price per (₹ / m³)]]/10000000)</f>
        <v>1.97316</v>
      </c>
      <c r="O27" s="97" t="str">
        <f>IF(Market_Data[[#This Row],[Estimated Concrete Demand (m³)]]="","",
IF(Market_Data[[#This Row],[Estimated Concrete Demand (m³)]]&lt;10000,"Small",
IF(Market_Data[[#This Row],[Estimated Concrete Demand (m³)]]&lt;25000,"Medium",
IF(Market_Data[[#This Row],[Estimated Concrete Demand (m³)]]&lt;100000,"Large","Mega"))))</f>
        <v>Small</v>
      </c>
      <c r="P27" s="287" t="str">
        <f t="shared" si="0"/>
        <v>GujRERA</v>
      </c>
    </row>
    <row r="28" spans="1:25">
      <c r="A28" s="129" t="str">
        <f>_xlfn.XLOOKUP(B28,$S$9:$S$14,$T$9:$T$14)&amp;"-"&amp;
IF(E28="Residential/Group Housing","RES",
IF(E28="Commercial","COM",
IF(E28="Mixed Development","MIX",
IF(E28="Plotted Development","PLT","OTH"))))
&amp;"-"&amp;TEXT(COUNTIFS($B$9:B28,B28,$E$9:E28,E28),"0000")</f>
        <v>BHR-MIX-0006</v>
      </c>
      <c r="B28" s="322" t="s">
        <v>36</v>
      </c>
      <c r="C28" s="322" t="s">
        <v>36</v>
      </c>
      <c r="D28" s="323" t="s">
        <v>213</v>
      </c>
      <c r="E28" s="132" t="s">
        <v>25</v>
      </c>
      <c r="F28" s="97" t="str">
        <f ca="1">IF(OR(Market_Data[[#This Row],[Start Date]]="",Market_Data[[#This Row],[Completion Date]]=""),"Needs Validation",IF(Market_Data[[#This Row],[Start Date]]&gt;TODAY(),"Planned",IF(Market_Data[[#This Row],[Completion Date]]&lt;TODAY(),"Completed","Ongoing")))</f>
        <v>Completed</v>
      </c>
      <c r="G28" s="324">
        <v>41907</v>
      </c>
      <c r="H28" s="324">
        <v>44104</v>
      </c>
      <c r="I28" s="325">
        <v>37300</v>
      </c>
      <c r="J2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 s="133">
        <f>_xlfn.XLOOKUP(Market_Data[[#This Row],[Project Type]],tbl_assumptions_market[Project Category (RERA)],tbl_assumptions_market[Concrete Intensity
(m³ / sq m BUA)],"",0)</f>
        <v>0.42</v>
      </c>
      <c r="L28" s="134">
        <f>ROUND(Market_Data[[#This Row],[Estimated Built Up Area (sq m)]]*Market_Data[[#This Row],[Concrete Intensity
(m³ / sq m)]],0)</f>
        <v>15666</v>
      </c>
      <c r="M28" s="135">
        <f>_xlfn.XLOOKUP(Market_Data[[#This Row],[District]],tbl_district_price[District],tbl_district_price[Standard Price
(INR/m³)],"",0)</f>
        <v>5800</v>
      </c>
      <c r="N28" s="364">
        <f>IF(OR(Market_Data[[#This Row],[Estimated Concrete Demand (m³)]]="",Market_Data[[#This Row],[Avg Price per (₹ / m³)]]=""),"",Market_Data[[#This Row],[Estimated Concrete Demand (m³)]]*Market_Data[[#This Row],[Avg Price per (₹ / m³)]]/10000000)</f>
        <v>9.0862800000000004</v>
      </c>
      <c r="O28" s="97" t="str">
        <f>IF(Market_Data[[#This Row],[Estimated Concrete Demand (m³)]]="","",
IF(Market_Data[[#This Row],[Estimated Concrete Demand (m³)]]&lt;10000,"Small",
IF(Market_Data[[#This Row],[Estimated Concrete Demand (m³)]]&lt;25000,"Medium",
IF(Market_Data[[#This Row],[Estimated Concrete Demand (m³)]]&lt;100000,"Large","Mega"))))</f>
        <v>Medium</v>
      </c>
      <c r="P28" s="287" t="str">
        <f t="shared" si="0"/>
        <v>GujRERA</v>
      </c>
    </row>
    <row r="29" spans="1:25">
      <c r="A29" s="129" t="str">
        <f>_xlfn.XLOOKUP(B29,$S$9:$S$14,$T$9:$T$14)&amp;"-"&amp;
IF(E29="Residential/Group Housing","RES",
IF(E29="Commercial","COM",
IF(E29="Mixed Development","MIX",
IF(E29="Plotted Development","PLT","OTH"))))
&amp;"-"&amp;TEXT(COUNTIFS($B$9:B29,B29,$E$9:E29,E29),"0000")</f>
        <v>BHR-RES-0012</v>
      </c>
      <c r="B29" s="322" t="s">
        <v>36</v>
      </c>
      <c r="C29" s="322" t="s">
        <v>36</v>
      </c>
      <c r="D29" s="323" t="s">
        <v>214</v>
      </c>
      <c r="E29" s="132" t="s">
        <v>24</v>
      </c>
      <c r="F29" s="97" t="str">
        <f ca="1">IF(OR(Market_Data[[#This Row],[Start Date]]="",Market_Data[[#This Row],[Completion Date]]=""),"Needs Validation",IF(Market_Data[[#This Row],[Start Date]]&gt;TODAY(),"Planned",IF(Market_Data[[#This Row],[Completion Date]]&lt;TODAY(),"Completed","Ongoing")))</f>
        <v>Ongoing</v>
      </c>
      <c r="G29" s="324">
        <v>45992</v>
      </c>
      <c r="H29" s="324">
        <v>47848</v>
      </c>
      <c r="I29" s="325">
        <v>21800</v>
      </c>
      <c r="J2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 s="133">
        <f>_xlfn.XLOOKUP(Market_Data[[#This Row],[Project Type]],tbl_assumptions_market[Project Category (RERA)],tbl_assumptions_market[Concrete Intensity
(m³ / sq m BUA)],"",0)</f>
        <v>0.45</v>
      </c>
      <c r="L29" s="134">
        <f>ROUND(Market_Data[[#This Row],[Estimated Built Up Area (sq m)]]*Market_Data[[#This Row],[Concrete Intensity
(m³ / sq m)]],0)</f>
        <v>9810</v>
      </c>
      <c r="M29" s="135">
        <f>_xlfn.XLOOKUP(Market_Data[[#This Row],[District]],tbl_district_price[District],tbl_district_price[Standard Price
(INR/m³)],"",0)</f>
        <v>5800</v>
      </c>
      <c r="N29" s="364">
        <f>IF(OR(Market_Data[[#This Row],[Estimated Concrete Demand (m³)]]="",Market_Data[[#This Row],[Avg Price per (₹ / m³)]]=""),"",Market_Data[[#This Row],[Estimated Concrete Demand (m³)]]*Market_Data[[#This Row],[Avg Price per (₹ / m³)]]/10000000)</f>
        <v>5.6898</v>
      </c>
      <c r="O29" s="97" t="str">
        <f>IF(Market_Data[[#This Row],[Estimated Concrete Demand (m³)]]="","",
IF(Market_Data[[#This Row],[Estimated Concrete Demand (m³)]]&lt;10000,"Small",
IF(Market_Data[[#This Row],[Estimated Concrete Demand (m³)]]&lt;25000,"Medium",
IF(Market_Data[[#This Row],[Estimated Concrete Demand (m³)]]&lt;100000,"Large","Mega"))))</f>
        <v>Small</v>
      </c>
      <c r="P29" s="287" t="str">
        <f t="shared" si="0"/>
        <v>GujRERA</v>
      </c>
    </row>
    <row r="30" spans="1:25">
      <c r="A30" s="129" t="str">
        <f>_xlfn.XLOOKUP(B30,$S$9:$S$14,$T$9:$T$14)&amp;"-"&amp;
IF(E30="Residential/Group Housing","RES",
IF(E30="Commercial","COM",
IF(E30="Mixed Development","MIX",
IF(E30="Plotted Development","PLT","OTH"))))
&amp;"-"&amp;TEXT(COUNTIFS($B$9:B30,B30,$E$9:E30,E30),"0000")</f>
        <v>BHR-MIX-0007</v>
      </c>
      <c r="B30" s="322" t="s">
        <v>36</v>
      </c>
      <c r="C30" s="322" t="s">
        <v>36</v>
      </c>
      <c r="D30" s="323" t="s">
        <v>215</v>
      </c>
      <c r="E30" s="132" t="s">
        <v>25</v>
      </c>
      <c r="F30" s="97" t="str">
        <f ca="1">IF(OR(Market_Data[[#This Row],[Start Date]]="",Market_Data[[#This Row],[Completion Date]]=""),"Needs Validation",IF(Market_Data[[#This Row],[Start Date]]&gt;TODAY(),"Planned",IF(Market_Data[[#This Row],[Completion Date]]&lt;TODAY(),"Completed","Ongoing")))</f>
        <v>Completed</v>
      </c>
      <c r="G30" s="324">
        <v>41183</v>
      </c>
      <c r="H30" s="324">
        <v>45747</v>
      </c>
      <c r="I30" s="325">
        <v>55900</v>
      </c>
      <c r="J3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 s="133">
        <f>_xlfn.XLOOKUP(Market_Data[[#This Row],[Project Type]],tbl_assumptions_market[Project Category (RERA)],tbl_assumptions_market[Concrete Intensity
(m³ / sq m BUA)],"",0)</f>
        <v>0.42</v>
      </c>
      <c r="L30" s="134">
        <f>ROUND(Market_Data[[#This Row],[Estimated Built Up Area (sq m)]]*Market_Data[[#This Row],[Concrete Intensity
(m³ / sq m)]],0)</f>
        <v>23478</v>
      </c>
      <c r="M30" s="135">
        <f>_xlfn.XLOOKUP(Market_Data[[#This Row],[District]],tbl_district_price[District],tbl_district_price[Standard Price
(INR/m³)],"",0)</f>
        <v>5800</v>
      </c>
      <c r="N30" s="364">
        <f>IF(OR(Market_Data[[#This Row],[Estimated Concrete Demand (m³)]]="",Market_Data[[#This Row],[Avg Price per (₹ / m³)]]=""),"",Market_Data[[#This Row],[Estimated Concrete Demand (m³)]]*Market_Data[[#This Row],[Avg Price per (₹ / m³)]]/10000000)</f>
        <v>13.617240000000001</v>
      </c>
      <c r="O30" s="97" t="str">
        <f>IF(Market_Data[[#This Row],[Estimated Concrete Demand (m³)]]="","",
IF(Market_Data[[#This Row],[Estimated Concrete Demand (m³)]]&lt;10000,"Small",
IF(Market_Data[[#This Row],[Estimated Concrete Demand (m³)]]&lt;25000,"Medium",
IF(Market_Data[[#This Row],[Estimated Concrete Demand (m³)]]&lt;100000,"Large","Mega"))))</f>
        <v>Medium</v>
      </c>
      <c r="P30" s="287" t="str">
        <f t="shared" si="0"/>
        <v>GujRERA</v>
      </c>
    </row>
    <row r="31" spans="1:25">
      <c r="A31" s="129" t="str">
        <f>_xlfn.XLOOKUP(B31,$S$9:$S$14,$T$9:$T$14)&amp;"-"&amp;
IF(E31="Residential/Group Housing","RES",
IF(E31="Commercial","COM",
IF(E31="Mixed Development","MIX",
IF(E31="Plotted Development","PLT","OTH"))))
&amp;"-"&amp;TEXT(COUNTIFS($B$9:B31,B31,$E$9:E31,E31),"0000")</f>
        <v>BHR-MIX-0008</v>
      </c>
      <c r="B31" s="322" t="s">
        <v>36</v>
      </c>
      <c r="C31" s="322" t="s">
        <v>36</v>
      </c>
      <c r="D31" s="323" t="s">
        <v>216</v>
      </c>
      <c r="E31" s="132" t="s">
        <v>25</v>
      </c>
      <c r="F31" s="97" t="str">
        <f ca="1">IF(OR(Market_Data[[#This Row],[Start Date]]="",Market_Data[[#This Row],[Completion Date]]=""),"Needs Validation",IF(Market_Data[[#This Row],[Start Date]]&gt;TODAY(),"Planned",IF(Market_Data[[#This Row],[Completion Date]]&lt;TODAY(),"Completed","Ongoing")))</f>
        <v>Completed</v>
      </c>
      <c r="G31" s="324">
        <v>43871</v>
      </c>
      <c r="H31" s="324">
        <v>46022</v>
      </c>
      <c r="I31" s="325">
        <v>19400</v>
      </c>
      <c r="J3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1" s="133">
        <f>_xlfn.XLOOKUP(Market_Data[[#This Row],[Project Type]],tbl_assumptions_market[Project Category (RERA)],tbl_assumptions_market[Concrete Intensity
(m³ / sq m BUA)],"",0)</f>
        <v>0.42</v>
      </c>
      <c r="L31" s="134">
        <f>ROUND(Market_Data[[#This Row],[Estimated Built Up Area (sq m)]]*Market_Data[[#This Row],[Concrete Intensity
(m³ / sq m)]],0)</f>
        <v>8148</v>
      </c>
      <c r="M31" s="135">
        <f>_xlfn.XLOOKUP(Market_Data[[#This Row],[District]],tbl_district_price[District],tbl_district_price[Standard Price
(INR/m³)],"",0)</f>
        <v>5800</v>
      </c>
      <c r="N31" s="364">
        <f>IF(OR(Market_Data[[#This Row],[Estimated Concrete Demand (m³)]]="",Market_Data[[#This Row],[Avg Price per (₹ / m³)]]=""),"",Market_Data[[#This Row],[Estimated Concrete Demand (m³)]]*Market_Data[[#This Row],[Avg Price per (₹ / m³)]]/10000000)</f>
        <v>4.7258399999999998</v>
      </c>
      <c r="O31" s="97" t="str">
        <f>IF(Market_Data[[#This Row],[Estimated Concrete Demand (m³)]]="","",
IF(Market_Data[[#This Row],[Estimated Concrete Demand (m³)]]&lt;10000,"Small",
IF(Market_Data[[#This Row],[Estimated Concrete Demand (m³)]]&lt;25000,"Medium",
IF(Market_Data[[#This Row],[Estimated Concrete Demand (m³)]]&lt;100000,"Large","Mega"))))</f>
        <v>Small</v>
      </c>
      <c r="P31" s="287" t="str">
        <f t="shared" si="0"/>
        <v>GujRERA</v>
      </c>
    </row>
    <row r="32" spans="1:25">
      <c r="A32" s="129" t="str">
        <f>_xlfn.XLOOKUP(B32,$S$9:$S$14,$T$9:$T$14)&amp;"-"&amp;
IF(E32="Residential/Group Housing","RES",
IF(E32="Commercial","COM",
IF(E32="Mixed Development","MIX",
IF(E32="Plotted Development","PLT","OTH"))))
&amp;"-"&amp;TEXT(COUNTIFS($B$9:B32,B32,$E$9:E32,E32),"0000")</f>
        <v>BHR-COM-0004</v>
      </c>
      <c r="B32" s="322" t="s">
        <v>36</v>
      </c>
      <c r="C32" s="322" t="s">
        <v>36</v>
      </c>
      <c r="D32" s="323" t="s">
        <v>217</v>
      </c>
      <c r="E32" s="132" t="s">
        <v>23</v>
      </c>
      <c r="F32" s="97" t="str">
        <f ca="1">IF(OR(Market_Data[[#This Row],[Start Date]]="",Market_Data[[#This Row],[Completion Date]]=""),"Needs Validation",IF(Market_Data[[#This Row],[Start Date]]&gt;TODAY(),"Planned",IF(Market_Data[[#This Row],[Completion Date]]&lt;TODAY(),"Completed","Ongoing")))</f>
        <v>Completed</v>
      </c>
      <c r="G32" s="324">
        <v>42681</v>
      </c>
      <c r="H32" s="324">
        <v>45199</v>
      </c>
      <c r="I32" s="325">
        <v>16200</v>
      </c>
      <c r="J3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2" s="133">
        <f>_xlfn.XLOOKUP(Market_Data[[#This Row],[Project Type]],tbl_assumptions_market[Project Category (RERA)],tbl_assumptions_market[Concrete Intensity
(m³ / sq m BUA)],"",0)</f>
        <v>0.5</v>
      </c>
      <c r="L32" s="134">
        <f>ROUND(Market_Data[[#This Row],[Estimated Built Up Area (sq m)]]*Market_Data[[#This Row],[Concrete Intensity
(m³ / sq m)]],0)</f>
        <v>8100</v>
      </c>
      <c r="M32" s="135">
        <f>_xlfn.XLOOKUP(Market_Data[[#This Row],[District]],tbl_district_price[District],tbl_district_price[Standard Price
(INR/m³)],"",0)</f>
        <v>5800</v>
      </c>
      <c r="N32" s="364">
        <f>IF(OR(Market_Data[[#This Row],[Estimated Concrete Demand (m³)]]="",Market_Data[[#This Row],[Avg Price per (₹ / m³)]]=""),"",Market_Data[[#This Row],[Estimated Concrete Demand (m³)]]*Market_Data[[#This Row],[Avg Price per (₹ / m³)]]/10000000)</f>
        <v>4.6980000000000004</v>
      </c>
      <c r="O32" s="97" t="str">
        <f>IF(Market_Data[[#This Row],[Estimated Concrete Demand (m³)]]="","",
IF(Market_Data[[#This Row],[Estimated Concrete Demand (m³)]]&lt;10000,"Small",
IF(Market_Data[[#This Row],[Estimated Concrete Demand (m³)]]&lt;25000,"Medium",
IF(Market_Data[[#This Row],[Estimated Concrete Demand (m³)]]&lt;100000,"Large","Mega"))))</f>
        <v>Small</v>
      </c>
      <c r="P32" s="287" t="str">
        <f t="shared" si="0"/>
        <v>GujRERA</v>
      </c>
    </row>
    <row r="33" spans="1:16">
      <c r="A33" s="129" t="str">
        <f>_xlfn.XLOOKUP(B33,$S$9:$S$14,$T$9:$T$14)&amp;"-"&amp;
IF(E33="Residential/Group Housing","RES",
IF(E33="Commercial","COM",
IF(E33="Mixed Development","MIX",
IF(E33="Plotted Development","PLT","OTH"))))
&amp;"-"&amp;TEXT(COUNTIFS($B$9:B33,B33,$E$9:E33,E33),"0000")</f>
        <v>BHR-RES-0013</v>
      </c>
      <c r="B33" s="322" t="s">
        <v>36</v>
      </c>
      <c r="C33" s="322" t="s">
        <v>36</v>
      </c>
      <c r="D33" s="323" t="s">
        <v>218</v>
      </c>
      <c r="E33" s="132" t="s">
        <v>24</v>
      </c>
      <c r="F33" s="97" t="str">
        <f ca="1">IF(OR(Market_Data[[#This Row],[Start Date]]="",Market_Data[[#This Row],[Completion Date]]=""),"Needs Validation",IF(Market_Data[[#This Row],[Start Date]]&gt;TODAY(),"Planned",IF(Market_Data[[#This Row],[Completion Date]]&lt;TODAY(),"Completed","Ongoing")))</f>
        <v>Completed</v>
      </c>
      <c r="G33" s="324">
        <v>43306</v>
      </c>
      <c r="H33" s="324">
        <v>45838</v>
      </c>
      <c r="I33" s="325">
        <v>94300</v>
      </c>
      <c r="J3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33" s="133">
        <f>_xlfn.XLOOKUP(Market_Data[[#This Row],[Project Type]],tbl_assumptions_market[Project Category (RERA)],tbl_assumptions_market[Concrete Intensity
(m³ / sq m BUA)],"",0)</f>
        <v>0.45</v>
      </c>
      <c r="L33" s="134">
        <f>ROUND(Market_Data[[#This Row],[Estimated Built Up Area (sq m)]]*Market_Data[[#This Row],[Concrete Intensity
(m³ / sq m)]],0)</f>
        <v>42435</v>
      </c>
      <c r="M33" s="135">
        <f>_xlfn.XLOOKUP(Market_Data[[#This Row],[District]],tbl_district_price[District],tbl_district_price[Standard Price
(INR/m³)],"",0)</f>
        <v>5800</v>
      </c>
      <c r="N33" s="364">
        <f>IF(OR(Market_Data[[#This Row],[Estimated Concrete Demand (m³)]]="",Market_Data[[#This Row],[Avg Price per (₹ / m³)]]=""),"",Market_Data[[#This Row],[Estimated Concrete Demand (m³)]]*Market_Data[[#This Row],[Avg Price per (₹ / m³)]]/10000000)</f>
        <v>24.612300000000001</v>
      </c>
      <c r="O33" s="97" t="str">
        <f>IF(Market_Data[[#This Row],[Estimated Concrete Demand (m³)]]="","",
IF(Market_Data[[#This Row],[Estimated Concrete Demand (m³)]]&lt;10000,"Small",
IF(Market_Data[[#This Row],[Estimated Concrete Demand (m³)]]&lt;25000,"Medium",
IF(Market_Data[[#This Row],[Estimated Concrete Demand (m³)]]&lt;100000,"Large","Mega"))))</f>
        <v>Large</v>
      </c>
      <c r="P33" s="287" t="str">
        <f t="shared" si="0"/>
        <v>GujRERA</v>
      </c>
    </row>
    <row r="34" spans="1:16">
      <c r="A34" s="129" t="str">
        <f>_xlfn.XLOOKUP(B34,$S$9:$S$14,$T$9:$T$14)&amp;"-"&amp;
IF(E34="Residential/Group Housing","RES",
IF(E34="Commercial","COM",
IF(E34="Mixed Development","MIX",
IF(E34="Plotted Development","PLT","OTH"))))
&amp;"-"&amp;TEXT(COUNTIFS($B$9:B34,B34,$E$9:E34,E34),"0000")</f>
        <v>BHR-PLT-0001</v>
      </c>
      <c r="B34" s="322" t="s">
        <v>36</v>
      </c>
      <c r="C34" s="322" t="s">
        <v>36</v>
      </c>
      <c r="D34" s="323" t="s">
        <v>219</v>
      </c>
      <c r="E34" s="132" t="s">
        <v>26</v>
      </c>
      <c r="F34" s="97" t="str">
        <f ca="1">IF(OR(Market_Data[[#This Row],[Start Date]]="",Market_Data[[#This Row],[Completion Date]]=""),"Needs Validation",IF(Market_Data[[#This Row],[Start Date]]&gt;TODAY(),"Planned",IF(Market_Data[[#This Row],[Completion Date]]&lt;TODAY(),"Completed","Ongoing")))</f>
        <v>Completed</v>
      </c>
      <c r="G34" s="324">
        <v>44515</v>
      </c>
      <c r="H34" s="324">
        <v>45657</v>
      </c>
      <c r="I34" s="325">
        <v>19900</v>
      </c>
      <c r="J3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4" s="133">
        <f>_xlfn.XLOOKUP(Market_Data[[#This Row],[Project Type]],tbl_assumptions_market[Project Category (RERA)],tbl_assumptions_market[Concrete Intensity
(m³ / sq m BUA)],"",0)</f>
        <v>0.18</v>
      </c>
      <c r="L34" s="134">
        <f>ROUND(Market_Data[[#This Row],[Estimated Built Up Area (sq m)]]*Market_Data[[#This Row],[Concrete Intensity
(m³ / sq m)]],0)</f>
        <v>3582</v>
      </c>
      <c r="M34" s="135">
        <f>_xlfn.XLOOKUP(Market_Data[[#This Row],[District]],tbl_district_price[District],tbl_district_price[Standard Price
(INR/m³)],"",0)</f>
        <v>5800</v>
      </c>
      <c r="N34" s="364">
        <f>IF(OR(Market_Data[[#This Row],[Estimated Concrete Demand (m³)]]="",Market_Data[[#This Row],[Avg Price per (₹ / m³)]]=""),"",Market_Data[[#This Row],[Estimated Concrete Demand (m³)]]*Market_Data[[#This Row],[Avg Price per (₹ / m³)]]/10000000)</f>
        <v>2.0775600000000001</v>
      </c>
      <c r="O34" s="97" t="str">
        <f>IF(Market_Data[[#This Row],[Estimated Concrete Demand (m³)]]="","",
IF(Market_Data[[#This Row],[Estimated Concrete Demand (m³)]]&lt;10000,"Small",
IF(Market_Data[[#This Row],[Estimated Concrete Demand (m³)]]&lt;25000,"Medium",
IF(Market_Data[[#This Row],[Estimated Concrete Demand (m³)]]&lt;100000,"Large","Mega"))))</f>
        <v>Small</v>
      </c>
      <c r="P34" s="287" t="str">
        <f t="shared" si="0"/>
        <v>GujRERA</v>
      </c>
    </row>
    <row r="35" spans="1:16">
      <c r="A35" s="129" t="str">
        <f>_xlfn.XLOOKUP(B35,$S$9:$S$14,$T$9:$T$14)&amp;"-"&amp;
IF(E35="Residential/Group Housing","RES",
IF(E35="Commercial","COM",
IF(E35="Mixed Development","MIX",
IF(E35="Plotted Development","PLT","OTH"))))
&amp;"-"&amp;TEXT(COUNTIFS($B$9:B35,B35,$E$9:E35,E35),"0000")</f>
        <v>BHR-COM-0005</v>
      </c>
      <c r="B35" s="322" t="s">
        <v>36</v>
      </c>
      <c r="C35" s="322" t="s">
        <v>36</v>
      </c>
      <c r="D35" s="323" t="s">
        <v>220</v>
      </c>
      <c r="E35" s="132" t="s">
        <v>23</v>
      </c>
      <c r="F35" s="97" t="str">
        <f ca="1">IF(OR(Market_Data[[#This Row],[Start Date]]="",Market_Data[[#This Row],[Completion Date]]=""),"Needs Validation",IF(Market_Data[[#This Row],[Start Date]]&gt;TODAY(),"Planned",IF(Market_Data[[#This Row],[Completion Date]]&lt;TODAY(),"Completed","Ongoing")))</f>
        <v>Completed</v>
      </c>
      <c r="G35" s="324">
        <v>43269</v>
      </c>
      <c r="H35" s="324">
        <v>45442</v>
      </c>
      <c r="I35" s="325">
        <v>7500</v>
      </c>
      <c r="J3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5" s="133">
        <f>_xlfn.XLOOKUP(Market_Data[[#This Row],[Project Type]],tbl_assumptions_market[Project Category (RERA)],tbl_assumptions_market[Concrete Intensity
(m³ / sq m BUA)],"",0)</f>
        <v>0.5</v>
      </c>
      <c r="L35" s="134">
        <f>ROUND(Market_Data[[#This Row],[Estimated Built Up Area (sq m)]]*Market_Data[[#This Row],[Concrete Intensity
(m³ / sq m)]],0)</f>
        <v>3750</v>
      </c>
      <c r="M35" s="135">
        <f>_xlfn.XLOOKUP(Market_Data[[#This Row],[District]],tbl_district_price[District],tbl_district_price[Standard Price
(INR/m³)],"",0)</f>
        <v>5800</v>
      </c>
      <c r="N35" s="364">
        <f>IF(OR(Market_Data[[#This Row],[Estimated Concrete Demand (m³)]]="",Market_Data[[#This Row],[Avg Price per (₹ / m³)]]=""),"",Market_Data[[#This Row],[Estimated Concrete Demand (m³)]]*Market_Data[[#This Row],[Avg Price per (₹ / m³)]]/10000000)</f>
        <v>2.1749999999999998</v>
      </c>
      <c r="O35" s="97" t="str">
        <f>IF(Market_Data[[#This Row],[Estimated Concrete Demand (m³)]]="","",
IF(Market_Data[[#This Row],[Estimated Concrete Demand (m³)]]&lt;10000,"Small",
IF(Market_Data[[#This Row],[Estimated Concrete Demand (m³)]]&lt;25000,"Medium",
IF(Market_Data[[#This Row],[Estimated Concrete Demand (m³)]]&lt;100000,"Large","Mega"))))</f>
        <v>Small</v>
      </c>
      <c r="P35" s="287" t="str">
        <f t="shared" si="0"/>
        <v>GujRERA</v>
      </c>
    </row>
    <row r="36" spans="1:16">
      <c r="A36" s="129" t="str">
        <f>_xlfn.XLOOKUP(B36,$S$9:$S$14,$T$9:$T$14)&amp;"-"&amp;
IF(E36="Residential/Group Housing","RES",
IF(E36="Commercial","COM",
IF(E36="Mixed Development","MIX",
IF(E36="Plotted Development","PLT","OTH"))))
&amp;"-"&amp;TEXT(COUNTIFS($B$9:B36,B36,$E$9:E36,E36),"0000")</f>
        <v>BHR-RES-0014</v>
      </c>
      <c r="B36" s="322" t="s">
        <v>36</v>
      </c>
      <c r="C36" s="322" t="s">
        <v>36</v>
      </c>
      <c r="D36" s="323" t="s">
        <v>221</v>
      </c>
      <c r="E36" s="132" t="s">
        <v>24</v>
      </c>
      <c r="F36" s="97" t="str">
        <f ca="1">IF(OR(Market_Data[[#This Row],[Start Date]]="",Market_Data[[#This Row],[Completion Date]]=""),"Needs Validation",IF(Market_Data[[#This Row],[Start Date]]&gt;TODAY(),"Planned",IF(Market_Data[[#This Row],[Completion Date]]&lt;TODAY(),"Completed","Ongoing")))</f>
        <v>Ongoing</v>
      </c>
      <c r="G36" s="324">
        <v>44989</v>
      </c>
      <c r="H36" s="324">
        <v>46848</v>
      </c>
      <c r="I36" s="325">
        <v>24600</v>
      </c>
      <c r="J3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6" s="133">
        <f>_xlfn.XLOOKUP(Market_Data[[#This Row],[Project Type]],tbl_assumptions_market[Project Category (RERA)],tbl_assumptions_market[Concrete Intensity
(m³ / sq m BUA)],"",0)</f>
        <v>0.45</v>
      </c>
      <c r="L36" s="134">
        <f>ROUND(Market_Data[[#This Row],[Estimated Built Up Area (sq m)]]*Market_Data[[#This Row],[Concrete Intensity
(m³ / sq m)]],0)</f>
        <v>11070</v>
      </c>
      <c r="M36" s="135">
        <f>_xlfn.XLOOKUP(Market_Data[[#This Row],[District]],tbl_district_price[District],tbl_district_price[Standard Price
(INR/m³)],"",0)</f>
        <v>5800</v>
      </c>
      <c r="N36" s="364">
        <f>IF(OR(Market_Data[[#This Row],[Estimated Concrete Demand (m³)]]="",Market_Data[[#This Row],[Avg Price per (₹ / m³)]]=""),"",Market_Data[[#This Row],[Estimated Concrete Demand (m³)]]*Market_Data[[#This Row],[Avg Price per (₹ / m³)]]/10000000)</f>
        <v>6.4206000000000003</v>
      </c>
      <c r="O36" s="97" t="str">
        <f>IF(Market_Data[[#This Row],[Estimated Concrete Demand (m³)]]="","",
IF(Market_Data[[#This Row],[Estimated Concrete Demand (m³)]]&lt;10000,"Small",
IF(Market_Data[[#This Row],[Estimated Concrete Demand (m³)]]&lt;25000,"Medium",
IF(Market_Data[[#This Row],[Estimated Concrete Demand (m³)]]&lt;100000,"Large","Mega"))))</f>
        <v>Medium</v>
      </c>
      <c r="P36" s="287" t="str">
        <f t="shared" si="0"/>
        <v>GujRERA</v>
      </c>
    </row>
    <row r="37" spans="1:16">
      <c r="A37" s="129" t="str">
        <f>_xlfn.XLOOKUP(B37,$S$9:$S$14,$T$9:$T$14)&amp;"-"&amp;
IF(E37="Residential/Group Housing","RES",
IF(E37="Commercial","COM",
IF(E37="Mixed Development","MIX",
IF(E37="Plotted Development","PLT","OTH"))))
&amp;"-"&amp;TEXT(COUNTIFS($B$9:B37,B37,$E$9:E37,E37),"0000")</f>
        <v>BHR-PLT-0002</v>
      </c>
      <c r="B37" s="322" t="s">
        <v>36</v>
      </c>
      <c r="C37" s="322" t="s">
        <v>34</v>
      </c>
      <c r="D37" s="323" t="s">
        <v>222</v>
      </c>
      <c r="E37" s="132" t="s">
        <v>26</v>
      </c>
      <c r="F37" s="97" t="str">
        <f ca="1">IF(OR(Market_Data[[#This Row],[Start Date]]="",Market_Data[[#This Row],[Completion Date]]=""),"Needs Validation",IF(Market_Data[[#This Row],[Start Date]]&gt;TODAY(),"Planned",IF(Market_Data[[#This Row],[Completion Date]]&lt;TODAY(),"Completed","Ongoing")))</f>
        <v>Completed</v>
      </c>
      <c r="G37" s="324">
        <v>42931</v>
      </c>
      <c r="H37" s="324">
        <v>45122</v>
      </c>
      <c r="I37" s="325">
        <v>41900</v>
      </c>
      <c r="J3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37" s="133">
        <f>_xlfn.XLOOKUP(Market_Data[[#This Row],[Project Type]],tbl_assumptions_market[Project Category (RERA)],tbl_assumptions_market[Concrete Intensity
(m³ / sq m BUA)],"",0)</f>
        <v>0.18</v>
      </c>
      <c r="L37" s="134">
        <f>ROUND(Market_Data[[#This Row],[Estimated Built Up Area (sq m)]]*Market_Data[[#This Row],[Concrete Intensity
(m³ / sq m)]],0)</f>
        <v>7542</v>
      </c>
      <c r="M37" s="135">
        <f>_xlfn.XLOOKUP(Market_Data[[#This Row],[District]],tbl_district_price[District],tbl_district_price[Standard Price
(INR/m³)],"",0)</f>
        <v>5800</v>
      </c>
      <c r="N37" s="364">
        <f>IF(OR(Market_Data[[#This Row],[Estimated Concrete Demand (m³)]]="",Market_Data[[#This Row],[Avg Price per (₹ / m³)]]=""),"",Market_Data[[#This Row],[Estimated Concrete Demand (m³)]]*Market_Data[[#This Row],[Avg Price per (₹ / m³)]]/10000000)</f>
        <v>4.3743600000000002</v>
      </c>
      <c r="O37" s="97" t="str">
        <f>IF(Market_Data[[#This Row],[Estimated Concrete Demand (m³)]]="","",
IF(Market_Data[[#This Row],[Estimated Concrete Demand (m³)]]&lt;10000,"Small",
IF(Market_Data[[#This Row],[Estimated Concrete Demand (m³)]]&lt;25000,"Medium",
IF(Market_Data[[#This Row],[Estimated Concrete Demand (m³)]]&lt;100000,"Large","Mega"))))</f>
        <v>Small</v>
      </c>
      <c r="P37" s="287" t="str">
        <f t="shared" si="0"/>
        <v>GujRERA</v>
      </c>
    </row>
    <row r="38" spans="1:16">
      <c r="A38" s="129" t="str">
        <f>_xlfn.XLOOKUP(B38,$S$9:$S$14,$T$9:$T$14)&amp;"-"&amp;
IF(E38="Residential/Group Housing","RES",
IF(E38="Commercial","COM",
IF(E38="Mixed Development","MIX",
IF(E38="Plotted Development","PLT","OTH"))))
&amp;"-"&amp;TEXT(COUNTIFS($B$9:B38,B38,$E$9:E38,E38),"0000")</f>
        <v>BHR-MIX-0009</v>
      </c>
      <c r="B38" s="322" t="s">
        <v>36</v>
      </c>
      <c r="C38" s="322" t="s">
        <v>36</v>
      </c>
      <c r="D38" s="323" t="s">
        <v>223</v>
      </c>
      <c r="E38" s="132" t="s">
        <v>25</v>
      </c>
      <c r="F38" s="97" t="str">
        <f ca="1">IF(OR(Market_Data[[#This Row],[Start Date]]="",Market_Data[[#This Row],[Completion Date]]=""),"Needs Validation",IF(Market_Data[[#This Row],[Start Date]]&gt;TODAY(),"Planned",IF(Market_Data[[#This Row],[Completion Date]]&lt;TODAY(),"Completed","Ongoing")))</f>
        <v>Ongoing</v>
      </c>
      <c r="G38" s="324">
        <v>45292</v>
      </c>
      <c r="H38" s="324">
        <v>47118</v>
      </c>
      <c r="I38" s="325">
        <v>17600</v>
      </c>
      <c r="J3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8" s="133">
        <f>_xlfn.XLOOKUP(Market_Data[[#This Row],[Project Type]],tbl_assumptions_market[Project Category (RERA)],tbl_assumptions_market[Concrete Intensity
(m³ / sq m BUA)],"",0)</f>
        <v>0.42</v>
      </c>
      <c r="L38" s="134">
        <f>ROUND(Market_Data[[#This Row],[Estimated Built Up Area (sq m)]]*Market_Data[[#This Row],[Concrete Intensity
(m³ / sq m)]],0)</f>
        <v>7392</v>
      </c>
      <c r="M38" s="135">
        <f>_xlfn.XLOOKUP(Market_Data[[#This Row],[District]],tbl_district_price[District],tbl_district_price[Standard Price
(INR/m³)],"",0)</f>
        <v>5800</v>
      </c>
      <c r="N38" s="364">
        <f>IF(OR(Market_Data[[#This Row],[Estimated Concrete Demand (m³)]]="",Market_Data[[#This Row],[Avg Price per (₹ / m³)]]=""),"",Market_Data[[#This Row],[Estimated Concrete Demand (m³)]]*Market_Data[[#This Row],[Avg Price per (₹ / m³)]]/10000000)</f>
        <v>4.2873599999999996</v>
      </c>
      <c r="O38" s="97" t="str">
        <f>IF(Market_Data[[#This Row],[Estimated Concrete Demand (m³)]]="","",
IF(Market_Data[[#This Row],[Estimated Concrete Demand (m³)]]&lt;10000,"Small",
IF(Market_Data[[#This Row],[Estimated Concrete Demand (m³)]]&lt;25000,"Medium",
IF(Market_Data[[#This Row],[Estimated Concrete Demand (m³)]]&lt;100000,"Large","Mega"))))</f>
        <v>Small</v>
      </c>
      <c r="P38" s="287" t="str">
        <f t="shared" si="0"/>
        <v>GujRERA</v>
      </c>
    </row>
    <row r="39" spans="1:16">
      <c r="A39" s="129" t="str">
        <f>_xlfn.XLOOKUP(B39,$S$9:$S$14,$T$9:$T$14)&amp;"-"&amp;
IF(E39="Residential/Group Housing","RES",
IF(E39="Commercial","COM",
IF(E39="Mixed Development","MIX",
IF(E39="Plotted Development","PLT","OTH"))))
&amp;"-"&amp;TEXT(COUNTIFS($B$9:B39,B39,$E$9:E39,E39),"0000")</f>
        <v>BHR-MIX-0010</v>
      </c>
      <c r="B39" s="322" t="s">
        <v>36</v>
      </c>
      <c r="C39" s="322" t="s">
        <v>36</v>
      </c>
      <c r="D39" s="323" t="s">
        <v>224</v>
      </c>
      <c r="E39" s="132" t="s">
        <v>25</v>
      </c>
      <c r="F39" s="97" t="str">
        <f ca="1">IF(OR(Market_Data[[#This Row],[Start Date]]="",Market_Data[[#This Row],[Completion Date]]=""),"Needs Validation",IF(Market_Data[[#This Row],[Start Date]]&gt;TODAY(),"Planned",IF(Market_Data[[#This Row],[Completion Date]]&lt;TODAY(),"Completed","Ongoing")))</f>
        <v>Ongoing</v>
      </c>
      <c r="G39" s="324">
        <v>45673</v>
      </c>
      <c r="H39" s="324">
        <v>47118</v>
      </c>
      <c r="I39" s="325">
        <v>54600</v>
      </c>
      <c r="J3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9" s="133">
        <f>_xlfn.XLOOKUP(Market_Data[[#This Row],[Project Type]],tbl_assumptions_market[Project Category (RERA)],tbl_assumptions_market[Concrete Intensity
(m³ / sq m BUA)],"",0)</f>
        <v>0.42</v>
      </c>
      <c r="L39" s="134">
        <f>ROUND(Market_Data[[#This Row],[Estimated Built Up Area (sq m)]]*Market_Data[[#This Row],[Concrete Intensity
(m³ / sq m)]],0)</f>
        <v>22932</v>
      </c>
      <c r="M39" s="135">
        <f>_xlfn.XLOOKUP(Market_Data[[#This Row],[District]],tbl_district_price[District],tbl_district_price[Standard Price
(INR/m³)],"",0)</f>
        <v>5800</v>
      </c>
      <c r="N39" s="364">
        <f>IF(OR(Market_Data[[#This Row],[Estimated Concrete Demand (m³)]]="",Market_Data[[#This Row],[Avg Price per (₹ / m³)]]=""),"",Market_Data[[#This Row],[Estimated Concrete Demand (m³)]]*Market_Data[[#This Row],[Avg Price per (₹ / m³)]]/10000000)</f>
        <v>13.300560000000001</v>
      </c>
      <c r="O39" s="97" t="str">
        <f>IF(Market_Data[[#This Row],[Estimated Concrete Demand (m³)]]="","",
IF(Market_Data[[#This Row],[Estimated Concrete Demand (m³)]]&lt;10000,"Small",
IF(Market_Data[[#This Row],[Estimated Concrete Demand (m³)]]&lt;25000,"Medium",
IF(Market_Data[[#This Row],[Estimated Concrete Demand (m³)]]&lt;100000,"Large","Mega"))))</f>
        <v>Medium</v>
      </c>
      <c r="P39" s="287" t="str">
        <f t="shared" si="0"/>
        <v>GujRERA</v>
      </c>
    </row>
    <row r="40" spans="1:16">
      <c r="A40" s="129" t="str">
        <f>_xlfn.XLOOKUP(B40,$S$9:$S$14,$T$9:$T$14)&amp;"-"&amp;
IF(E40="Residential/Group Housing","RES",
IF(E40="Commercial","COM",
IF(E40="Mixed Development","MIX",
IF(E40="Plotted Development","PLT","OTH"))))
&amp;"-"&amp;TEXT(COUNTIFS($B$9:B40,B40,$E$9:E40,E40),"0000")</f>
        <v>BHR-RES-0015</v>
      </c>
      <c r="B40" s="322" t="s">
        <v>36</v>
      </c>
      <c r="C40" s="322" t="s">
        <v>36</v>
      </c>
      <c r="D40" s="323" t="s">
        <v>225</v>
      </c>
      <c r="E40" s="132" t="s">
        <v>24</v>
      </c>
      <c r="F40" s="97" t="str">
        <f ca="1">IF(OR(Market_Data[[#This Row],[Start Date]]="",Market_Data[[#This Row],[Completion Date]]=""),"Needs Validation",IF(Market_Data[[#This Row],[Start Date]]&gt;TODAY(),"Planned",IF(Market_Data[[#This Row],[Completion Date]]&lt;TODAY(),"Completed","Ongoing")))</f>
        <v>Ongoing</v>
      </c>
      <c r="G40" s="324">
        <v>45974</v>
      </c>
      <c r="H40" s="324">
        <v>47848</v>
      </c>
      <c r="I40" s="325">
        <v>22300</v>
      </c>
      <c r="J4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0" s="133">
        <f>_xlfn.XLOOKUP(Market_Data[[#This Row],[Project Type]],tbl_assumptions_market[Project Category (RERA)],tbl_assumptions_market[Concrete Intensity
(m³ / sq m BUA)],"",0)</f>
        <v>0.45</v>
      </c>
      <c r="L40" s="134">
        <f>ROUND(Market_Data[[#This Row],[Estimated Built Up Area (sq m)]]*Market_Data[[#This Row],[Concrete Intensity
(m³ / sq m)]],0)</f>
        <v>10035</v>
      </c>
      <c r="M40" s="135">
        <f>_xlfn.XLOOKUP(Market_Data[[#This Row],[District]],tbl_district_price[District],tbl_district_price[Standard Price
(INR/m³)],"",0)</f>
        <v>5800</v>
      </c>
      <c r="N40" s="364">
        <f>IF(OR(Market_Data[[#This Row],[Estimated Concrete Demand (m³)]]="",Market_Data[[#This Row],[Avg Price per (₹ / m³)]]=""),"",Market_Data[[#This Row],[Estimated Concrete Demand (m³)]]*Market_Data[[#This Row],[Avg Price per (₹ / m³)]]/10000000)</f>
        <v>5.8202999999999996</v>
      </c>
      <c r="O40" s="97" t="str">
        <f>IF(Market_Data[[#This Row],[Estimated Concrete Demand (m³)]]="","",
IF(Market_Data[[#This Row],[Estimated Concrete Demand (m³)]]&lt;10000,"Small",
IF(Market_Data[[#This Row],[Estimated Concrete Demand (m³)]]&lt;25000,"Medium",
IF(Market_Data[[#This Row],[Estimated Concrete Demand (m³)]]&lt;100000,"Large","Mega"))))</f>
        <v>Medium</v>
      </c>
      <c r="P40" s="287" t="str">
        <f t="shared" si="0"/>
        <v>GujRERA</v>
      </c>
    </row>
    <row r="41" spans="1:16">
      <c r="A41" s="129" t="str">
        <f>_xlfn.XLOOKUP(B41,$S$9:$S$14,$T$9:$T$14)&amp;"-"&amp;
IF(E41="Residential/Group Housing","RES",
IF(E41="Commercial","COM",
IF(E41="Mixed Development","MIX",
IF(E41="Plotted Development","PLT","OTH"))))
&amp;"-"&amp;TEXT(COUNTIFS($B$9:B41,B41,$E$9:E41,E41),"0000")</f>
        <v>BHR-RES-0016</v>
      </c>
      <c r="B41" s="322" t="s">
        <v>36</v>
      </c>
      <c r="C41" s="322" t="s">
        <v>36</v>
      </c>
      <c r="D41" s="323" t="s">
        <v>226</v>
      </c>
      <c r="E41" s="132" t="s">
        <v>24</v>
      </c>
      <c r="F41" s="97" t="str">
        <f ca="1">IF(OR(Market_Data[[#This Row],[Start Date]]="",Market_Data[[#This Row],[Completion Date]]=""),"Needs Validation",IF(Market_Data[[#This Row],[Start Date]]&gt;TODAY(),"Planned",IF(Market_Data[[#This Row],[Completion Date]]&lt;TODAY(),"Completed","Ongoing")))</f>
        <v>Completed</v>
      </c>
      <c r="G41" s="324">
        <v>42454</v>
      </c>
      <c r="H41" s="324">
        <v>45016</v>
      </c>
      <c r="I41" s="325">
        <v>46900</v>
      </c>
      <c r="J4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1" s="133">
        <f>_xlfn.XLOOKUP(Market_Data[[#This Row],[Project Type]],tbl_assumptions_market[Project Category (RERA)],tbl_assumptions_market[Concrete Intensity
(m³ / sq m BUA)],"",0)</f>
        <v>0.45</v>
      </c>
      <c r="L41" s="134">
        <f>ROUND(Market_Data[[#This Row],[Estimated Built Up Area (sq m)]]*Market_Data[[#This Row],[Concrete Intensity
(m³ / sq m)]],0)</f>
        <v>21105</v>
      </c>
      <c r="M41" s="135">
        <f>_xlfn.XLOOKUP(Market_Data[[#This Row],[District]],tbl_district_price[District],tbl_district_price[Standard Price
(INR/m³)],"",0)</f>
        <v>5800</v>
      </c>
      <c r="N41" s="364">
        <f>IF(OR(Market_Data[[#This Row],[Estimated Concrete Demand (m³)]]="",Market_Data[[#This Row],[Avg Price per (₹ / m³)]]=""),"",Market_Data[[#This Row],[Estimated Concrete Demand (m³)]]*Market_Data[[#This Row],[Avg Price per (₹ / m³)]]/10000000)</f>
        <v>12.2409</v>
      </c>
      <c r="O41" s="97" t="str">
        <f>IF(Market_Data[[#This Row],[Estimated Concrete Demand (m³)]]="","",
IF(Market_Data[[#This Row],[Estimated Concrete Demand (m³)]]&lt;10000,"Small",
IF(Market_Data[[#This Row],[Estimated Concrete Demand (m³)]]&lt;25000,"Medium",
IF(Market_Data[[#This Row],[Estimated Concrete Demand (m³)]]&lt;100000,"Large","Mega"))))</f>
        <v>Medium</v>
      </c>
      <c r="P41" s="287" t="str">
        <f t="shared" si="0"/>
        <v>GujRERA</v>
      </c>
    </row>
    <row r="42" spans="1:16">
      <c r="A42" s="129" t="str">
        <f>_xlfn.XLOOKUP(B42,$S$9:$S$14,$T$9:$T$14)&amp;"-"&amp;
IF(E42="Residential/Group Housing","RES",
IF(E42="Commercial","COM",
IF(E42="Mixed Development","MIX",
IF(E42="Plotted Development","PLT","OTH"))))
&amp;"-"&amp;TEXT(COUNTIFS($B$9:B42,B42,$E$9:E42,E42),"0000")</f>
        <v>BHR-RES-0017</v>
      </c>
      <c r="B42" s="322" t="s">
        <v>36</v>
      </c>
      <c r="C42" s="322" t="s">
        <v>36</v>
      </c>
      <c r="D42" s="323" t="s">
        <v>227</v>
      </c>
      <c r="E42" s="132" t="s">
        <v>24</v>
      </c>
      <c r="F42" s="97" t="str">
        <f ca="1">IF(OR(Market_Data[[#This Row],[Start Date]]="",Market_Data[[#This Row],[Completion Date]]=""),"Needs Validation",IF(Market_Data[[#This Row],[Start Date]]&gt;TODAY(),"Planned",IF(Market_Data[[#This Row],[Completion Date]]&lt;TODAY(),"Completed","Ongoing")))</f>
        <v>Completed</v>
      </c>
      <c r="G42" s="324">
        <v>42760</v>
      </c>
      <c r="H42" s="324">
        <v>43688</v>
      </c>
      <c r="I42" s="325">
        <v>56300</v>
      </c>
      <c r="J4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2" s="133">
        <f>_xlfn.XLOOKUP(Market_Data[[#This Row],[Project Type]],tbl_assumptions_market[Project Category (RERA)],tbl_assumptions_market[Concrete Intensity
(m³ / sq m BUA)],"",0)</f>
        <v>0.45</v>
      </c>
      <c r="L42" s="134">
        <f>ROUND(Market_Data[[#This Row],[Estimated Built Up Area (sq m)]]*Market_Data[[#This Row],[Concrete Intensity
(m³ / sq m)]],0)</f>
        <v>25335</v>
      </c>
      <c r="M42" s="135">
        <f>_xlfn.XLOOKUP(Market_Data[[#This Row],[District]],tbl_district_price[District],tbl_district_price[Standard Price
(INR/m³)],"",0)</f>
        <v>5800</v>
      </c>
      <c r="N42" s="364">
        <f>IF(OR(Market_Data[[#This Row],[Estimated Concrete Demand (m³)]]="",Market_Data[[#This Row],[Avg Price per (₹ / m³)]]=""),"",Market_Data[[#This Row],[Estimated Concrete Demand (m³)]]*Market_Data[[#This Row],[Avg Price per (₹ / m³)]]/10000000)</f>
        <v>14.6943</v>
      </c>
      <c r="O42" s="97" t="str">
        <f>IF(Market_Data[[#This Row],[Estimated Concrete Demand (m³)]]="","",
IF(Market_Data[[#This Row],[Estimated Concrete Demand (m³)]]&lt;10000,"Small",
IF(Market_Data[[#This Row],[Estimated Concrete Demand (m³)]]&lt;25000,"Medium",
IF(Market_Data[[#This Row],[Estimated Concrete Demand (m³)]]&lt;100000,"Large","Mega"))))</f>
        <v>Large</v>
      </c>
      <c r="P42" s="287" t="str">
        <f t="shared" si="0"/>
        <v>GujRERA</v>
      </c>
    </row>
    <row r="43" spans="1:16">
      <c r="A43" s="129" t="str">
        <f>_xlfn.XLOOKUP(B43,$S$9:$S$14,$T$9:$T$14)&amp;"-"&amp;
IF(E43="Residential/Group Housing","RES",
IF(E43="Commercial","COM",
IF(E43="Mixed Development","MIX",
IF(E43="Plotted Development","PLT","OTH"))))
&amp;"-"&amp;TEXT(COUNTIFS($B$9:B43,B43,$E$9:E43,E43),"0000")</f>
        <v>BHR-MIX-0011</v>
      </c>
      <c r="B43" s="322" t="s">
        <v>36</v>
      </c>
      <c r="C43" s="322" t="s">
        <v>36</v>
      </c>
      <c r="D43" s="323" t="s">
        <v>228</v>
      </c>
      <c r="E43" s="132" t="s">
        <v>25</v>
      </c>
      <c r="F43" s="97" t="str">
        <f ca="1">IF(OR(Market_Data[[#This Row],[Start Date]]="",Market_Data[[#This Row],[Completion Date]]=""),"Needs Validation",IF(Market_Data[[#This Row],[Start Date]]&gt;TODAY(),"Planned",IF(Market_Data[[#This Row],[Completion Date]]&lt;TODAY(),"Completed","Ongoing")))</f>
        <v>Completed</v>
      </c>
      <c r="G43" s="324">
        <v>44237</v>
      </c>
      <c r="H43" s="324">
        <v>46022</v>
      </c>
      <c r="I43" s="325">
        <v>42200</v>
      </c>
      <c r="J4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3" s="133">
        <f>_xlfn.XLOOKUP(Market_Data[[#This Row],[Project Type]],tbl_assumptions_market[Project Category (RERA)],tbl_assumptions_market[Concrete Intensity
(m³ / sq m BUA)],"",0)</f>
        <v>0.42</v>
      </c>
      <c r="L43" s="134">
        <f>ROUND(Market_Data[[#This Row],[Estimated Built Up Area (sq m)]]*Market_Data[[#This Row],[Concrete Intensity
(m³ / sq m)]],0)</f>
        <v>17724</v>
      </c>
      <c r="M43" s="135">
        <f>_xlfn.XLOOKUP(Market_Data[[#This Row],[District]],tbl_district_price[District],tbl_district_price[Standard Price
(INR/m³)],"",0)</f>
        <v>5800</v>
      </c>
      <c r="N43" s="364">
        <f>IF(OR(Market_Data[[#This Row],[Estimated Concrete Demand (m³)]]="",Market_Data[[#This Row],[Avg Price per (₹ / m³)]]=""),"",Market_Data[[#This Row],[Estimated Concrete Demand (m³)]]*Market_Data[[#This Row],[Avg Price per (₹ / m³)]]/10000000)</f>
        <v>10.279920000000001</v>
      </c>
      <c r="O43" s="97" t="str">
        <f>IF(Market_Data[[#This Row],[Estimated Concrete Demand (m³)]]="","",
IF(Market_Data[[#This Row],[Estimated Concrete Demand (m³)]]&lt;10000,"Small",
IF(Market_Data[[#This Row],[Estimated Concrete Demand (m³)]]&lt;25000,"Medium",
IF(Market_Data[[#This Row],[Estimated Concrete Demand (m³)]]&lt;100000,"Large","Mega"))))</f>
        <v>Medium</v>
      </c>
      <c r="P43" s="287" t="str">
        <f t="shared" si="0"/>
        <v>GujRERA</v>
      </c>
    </row>
    <row r="44" spans="1:16">
      <c r="A44" s="129" t="str">
        <f>_xlfn.XLOOKUP(B44,$S$9:$S$14,$T$9:$T$14)&amp;"-"&amp;
IF(E44="Residential/Group Housing","RES",
IF(E44="Commercial","COM",
IF(E44="Mixed Development","MIX",
IF(E44="Plotted Development","PLT","OTH"))))
&amp;"-"&amp;TEXT(COUNTIFS($B$9:B44,B44,$E$9:E44,E44),"0000")</f>
        <v>BHR-RES-0018</v>
      </c>
      <c r="B44" s="322" t="s">
        <v>36</v>
      </c>
      <c r="C44" s="322" t="s">
        <v>36</v>
      </c>
      <c r="D44" s="323" t="s">
        <v>229</v>
      </c>
      <c r="E44" s="132" t="s">
        <v>24</v>
      </c>
      <c r="F44" s="97" t="str">
        <f ca="1">IF(OR(Market_Data[[#This Row],[Start Date]]="",Market_Data[[#This Row],[Completion Date]]=""),"Needs Validation",IF(Market_Data[[#This Row],[Start Date]]&gt;TODAY(),"Planned",IF(Market_Data[[#This Row],[Completion Date]]&lt;TODAY(),"Completed","Ongoing")))</f>
        <v>Ongoing</v>
      </c>
      <c r="G44" s="324">
        <v>45261</v>
      </c>
      <c r="H44" s="324">
        <v>46477</v>
      </c>
      <c r="I44" s="325">
        <v>23900</v>
      </c>
      <c r="J4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4" s="133">
        <f>_xlfn.XLOOKUP(Market_Data[[#This Row],[Project Type]],tbl_assumptions_market[Project Category (RERA)],tbl_assumptions_market[Concrete Intensity
(m³ / sq m BUA)],"",0)</f>
        <v>0.45</v>
      </c>
      <c r="L44" s="134">
        <f>ROUND(Market_Data[[#This Row],[Estimated Built Up Area (sq m)]]*Market_Data[[#This Row],[Concrete Intensity
(m³ / sq m)]],0)</f>
        <v>10755</v>
      </c>
      <c r="M44" s="135">
        <f>_xlfn.XLOOKUP(Market_Data[[#This Row],[District]],tbl_district_price[District],tbl_district_price[Standard Price
(INR/m³)],"",0)</f>
        <v>5800</v>
      </c>
      <c r="N44" s="364">
        <f>IF(OR(Market_Data[[#This Row],[Estimated Concrete Demand (m³)]]="",Market_Data[[#This Row],[Avg Price per (₹ / m³)]]=""),"",Market_Data[[#This Row],[Estimated Concrete Demand (m³)]]*Market_Data[[#This Row],[Avg Price per (₹ / m³)]]/10000000)</f>
        <v>6.2378999999999998</v>
      </c>
      <c r="O44" s="97" t="str">
        <f>IF(Market_Data[[#This Row],[Estimated Concrete Demand (m³)]]="","",
IF(Market_Data[[#This Row],[Estimated Concrete Demand (m³)]]&lt;10000,"Small",
IF(Market_Data[[#This Row],[Estimated Concrete Demand (m³)]]&lt;25000,"Medium",
IF(Market_Data[[#This Row],[Estimated Concrete Demand (m³)]]&lt;100000,"Large","Mega"))))</f>
        <v>Medium</v>
      </c>
      <c r="P44" s="287" t="str">
        <f t="shared" si="0"/>
        <v>GujRERA</v>
      </c>
    </row>
    <row r="45" spans="1:16">
      <c r="A45" s="129" t="str">
        <f>_xlfn.XLOOKUP(B45,$S$9:$S$14,$T$9:$T$14)&amp;"-"&amp;
IF(E45="Residential/Group Housing","RES",
IF(E45="Commercial","COM",
IF(E45="Mixed Development","MIX",
IF(E45="Plotted Development","PLT","OTH"))))
&amp;"-"&amp;TEXT(COUNTIFS($B$9:B45,B45,$E$9:E45,E45),"0000")</f>
        <v>BHR-RES-0019</v>
      </c>
      <c r="B45" s="322" t="s">
        <v>36</v>
      </c>
      <c r="C45" s="322" t="s">
        <v>36</v>
      </c>
      <c r="D45" s="323" t="s">
        <v>230</v>
      </c>
      <c r="E45" s="132" t="s">
        <v>24</v>
      </c>
      <c r="F45" s="97" t="str">
        <f ca="1">IF(OR(Market_Data[[#This Row],[Start Date]]="",Market_Data[[#This Row],[Completion Date]]=""),"Needs Validation",IF(Market_Data[[#This Row],[Start Date]]&gt;TODAY(),"Planned",IF(Market_Data[[#This Row],[Completion Date]]&lt;TODAY(),"Completed","Ongoing")))</f>
        <v>Ongoing</v>
      </c>
      <c r="G45" s="324">
        <v>45976</v>
      </c>
      <c r="H45" s="324">
        <v>47787</v>
      </c>
      <c r="I45" s="325">
        <v>40700</v>
      </c>
      <c r="J4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5" s="133">
        <f>_xlfn.XLOOKUP(Market_Data[[#This Row],[Project Type]],tbl_assumptions_market[Project Category (RERA)],tbl_assumptions_market[Concrete Intensity
(m³ / sq m BUA)],"",0)</f>
        <v>0.45</v>
      </c>
      <c r="L45" s="134">
        <f>ROUND(Market_Data[[#This Row],[Estimated Built Up Area (sq m)]]*Market_Data[[#This Row],[Concrete Intensity
(m³ / sq m)]],0)</f>
        <v>18315</v>
      </c>
      <c r="M45" s="135">
        <f>_xlfn.XLOOKUP(Market_Data[[#This Row],[District]],tbl_district_price[District],tbl_district_price[Standard Price
(INR/m³)],"",0)</f>
        <v>5800</v>
      </c>
      <c r="N45" s="364">
        <f>IF(OR(Market_Data[[#This Row],[Estimated Concrete Demand (m³)]]="",Market_Data[[#This Row],[Avg Price per (₹ / m³)]]=""),"",Market_Data[[#This Row],[Estimated Concrete Demand (m³)]]*Market_Data[[#This Row],[Avg Price per (₹ / m³)]]/10000000)</f>
        <v>10.6227</v>
      </c>
      <c r="O45" s="97" t="str">
        <f>IF(Market_Data[[#This Row],[Estimated Concrete Demand (m³)]]="","",
IF(Market_Data[[#This Row],[Estimated Concrete Demand (m³)]]&lt;10000,"Small",
IF(Market_Data[[#This Row],[Estimated Concrete Demand (m³)]]&lt;25000,"Medium",
IF(Market_Data[[#This Row],[Estimated Concrete Demand (m³)]]&lt;100000,"Large","Mega"))))</f>
        <v>Medium</v>
      </c>
      <c r="P45" s="287" t="str">
        <f t="shared" si="0"/>
        <v>GujRERA</v>
      </c>
    </row>
    <row r="46" spans="1:16">
      <c r="A46" s="129" t="str">
        <f>_xlfn.XLOOKUP(B46,$S$9:$S$14,$T$9:$T$14)&amp;"-"&amp;
IF(E46="Residential/Group Housing","RES",
IF(E46="Commercial","COM",
IF(E46="Mixed Development","MIX",
IF(E46="Plotted Development","PLT","OTH"))))
&amp;"-"&amp;TEXT(COUNTIFS($B$9:B46,B46,$E$9:E46,E46),"0000")</f>
        <v>BHR-COM-0006</v>
      </c>
      <c r="B46" s="322" t="s">
        <v>36</v>
      </c>
      <c r="C46" s="322" t="s">
        <v>36</v>
      </c>
      <c r="D46" s="323" t="s">
        <v>231</v>
      </c>
      <c r="E46" s="132" t="s">
        <v>23</v>
      </c>
      <c r="F46" s="97" t="str">
        <f ca="1">IF(OR(Market_Data[[#This Row],[Start Date]]="",Market_Data[[#This Row],[Completion Date]]=""),"Needs Validation",IF(Market_Data[[#This Row],[Start Date]]&gt;TODAY(),"Planned",IF(Market_Data[[#This Row],[Completion Date]]&lt;TODAY(),"Completed","Ongoing")))</f>
        <v>Ongoing</v>
      </c>
      <c r="G46" s="324">
        <v>45813</v>
      </c>
      <c r="H46" s="324">
        <v>47634</v>
      </c>
      <c r="I46" s="325">
        <v>15700</v>
      </c>
      <c r="J4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6" s="133">
        <f>_xlfn.XLOOKUP(Market_Data[[#This Row],[Project Type]],tbl_assumptions_market[Project Category (RERA)],tbl_assumptions_market[Concrete Intensity
(m³ / sq m BUA)],"",0)</f>
        <v>0.5</v>
      </c>
      <c r="L46" s="134">
        <f>ROUND(Market_Data[[#This Row],[Estimated Built Up Area (sq m)]]*Market_Data[[#This Row],[Concrete Intensity
(m³ / sq m)]],0)</f>
        <v>7850</v>
      </c>
      <c r="M46" s="135">
        <f>_xlfn.XLOOKUP(Market_Data[[#This Row],[District]],tbl_district_price[District],tbl_district_price[Standard Price
(INR/m³)],"",0)</f>
        <v>5800</v>
      </c>
      <c r="N46" s="364">
        <f>IF(OR(Market_Data[[#This Row],[Estimated Concrete Demand (m³)]]="",Market_Data[[#This Row],[Avg Price per (₹ / m³)]]=""),"",Market_Data[[#This Row],[Estimated Concrete Demand (m³)]]*Market_Data[[#This Row],[Avg Price per (₹ / m³)]]/10000000)</f>
        <v>4.5529999999999999</v>
      </c>
      <c r="O46" s="97" t="str">
        <f>IF(Market_Data[[#This Row],[Estimated Concrete Demand (m³)]]="","",
IF(Market_Data[[#This Row],[Estimated Concrete Demand (m³)]]&lt;10000,"Small",
IF(Market_Data[[#This Row],[Estimated Concrete Demand (m³)]]&lt;25000,"Medium",
IF(Market_Data[[#This Row],[Estimated Concrete Demand (m³)]]&lt;100000,"Large","Mega"))))</f>
        <v>Small</v>
      </c>
      <c r="P46" s="287" t="str">
        <f t="shared" si="0"/>
        <v>GujRERA</v>
      </c>
    </row>
    <row r="47" spans="1:16">
      <c r="A47" s="129" t="str">
        <f>_xlfn.XLOOKUP(B47,$S$9:$S$14,$T$9:$T$14)&amp;"-"&amp;
IF(E47="Residential/Group Housing","RES",
IF(E47="Commercial","COM",
IF(E47="Mixed Development","MIX",
IF(E47="Plotted Development","PLT","OTH"))))
&amp;"-"&amp;TEXT(COUNTIFS($B$9:B47,B47,$E$9:E47,E47),"0000")</f>
        <v>BHR-COM-0007</v>
      </c>
      <c r="B47" s="322" t="s">
        <v>36</v>
      </c>
      <c r="C47" s="322" t="s">
        <v>36</v>
      </c>
      <c r="D47" s="323" t="s">
        <v>232</v>
      </c>
      <c r="E47" s="132" t="s">
        <v>23</v>
      </c>
      <c r="F47" s="97" t="str">
        <f ca="1">IF(OR(Market_Data[[#This Row],[Start Date]]="",Market_Data[[#This Row],[Completion Date]]=""),"Needs Validation",IF(Market_Data[[#This Row],[Start Date]]&gt;TODAY(),"Planned",IF(Market_Data[[#This Row],[Completion Date]]&lt;TODAY(),"Completed","Ongoing")))</f>
        <v>Completed</v>
      </c>
      <c r="G47" s="324">
        <v>43585</v>
      </c>
      <c r="H47" s="324">
        <v>45837</v>
      </c>
      <c r="I47" s="325">
        <v>116700</v>
      </c>
      <c r="J4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47" s="133">
        <f>_xlfn.XLOOKUP(Market_Data[[#This Row],[Project Type]],tbl_assumptions_market[Project Category (RERA)],tbl_assumptions_market[Concrete Intensity
(m³ / sq m BUA)],"",0)</f>
        <v>0.5</v>
      </c>
      <c r="L47" s="134">
        <f>ROUND(Market_Data[[#This Row],[Estimated Built Up Area (sq m)]]*Market_Data[[#This Row],[Concrete Intensity
(m³ / sq m)]],0)</f>
        <v>58350</v>
      </c>
      <c r="M47" s="135">
        <f>_xlfn.XLOOKUP(Market_Data[[#This Row],[District]],tbl_district_price[District],tbl_district_price[Standard Price
(INR/m³)],"",0)</f>
        <v>5800</v>
      </c>
      <c r="N47" s="364">
        <f>IF(OR(Market_Data[[#This Row],[Estimated Concrete Demand (m³)]]="",Market_Data[[#This Row],[Avg Price per (₹ / m³)]]=""),"",Market_Data[[#This Row],[Estimated Concrete Demand (m³)]]*Market_Data[[#This Row],[Avg Price per (₹ / m³)]]/10000000)</f>
        <v>33.843000000000004</v>
      </c>
      <c r="O47" s="97" t="str">
        <f>IF(Market_Data[[#This Row],[Estimated Concrete Demand (m³)]]="","",
IF(Market_Data[[#This Row],[Estimated Concrete Demand (m³)]]&lt;10000,"Small",
IF(Market_Data[[#This Row],[Estimated Concrete Demand (m³)]]&lt;25000,"Medium",
IF(Market_Data[[#This Row],[Estimated Concrete Demand (m³)]]&lt;100000,"Large","Mega"))))</f>
        <v>Large</v>
      </c>
      <c r="P47" s="287" t="str">
        <f t="shared" si="0"/>
        <v>GujRERA</v>
      </c>
    </row>
    <row r="48" spans="1:16">
      <c r="A48" s="129" t="str">
        <f>_xlfn.XLOOKUP(B48,$S$9:$S$14,$T$9:$T$14)&amp;"-"&amp;
IF(E48="Residential/Group Housing","RES",
IF(E48="Commercial","COM",
IF(E48="Mixed Development","MIX",
IF(E48="Plotted Development","PLT","OTH"))))
&amp;"-"&amp;TEXT(COUNTIFS($B$9:B48,B48,$E$9:E48,E48),"0000")</f>
        <v>BHR-RES-0020</v>
      </c>
      <c r="B48" s="322" t="s">
        <v>36</v>
      </c>
      <c r="C48" s="322" t="s">
        <v>36</v>
      </c>
      <c r="D48" s="323" t="s">
        <v>233</v>
      </c>
      <c r="E48" s="132" t="s">
        <v>24</v>
      </c>
      <c r="F48" s="97" t="str">
        <f ca="1">IF(OR(Market_Data[[#This Row],[Start Date]]="",Market_Data[[#This Row],[Completion Date]]=""),"Needs Validation",IF(Market_Data[[#This Row],[Start Date]]&gt;TODAY(),"Planned",IF(Market_Data[[#This Row],[Completion Date]]&lt;TODAY(),"Completed","Ongoing")))</f>
        <v>Completed</v>
      </c>
      <c r="G48" s="324">
        <v>43132</v>
      </c>
      <c r="H48" s="324">
        <v>44834</v>
      </c>
      <c r="I48" s="325">
        <v>3100</v>
      </c>
      <c r="J4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8" s="133">
        <f>_xlfn.XLOOKUP(Market_Data[[#This Row],[Project Type]],tbl_assumptions_market[Project Category (RERA)],tbl_assumptions_market[Concrete Intensity
(m³ / sq m BUA)],"",0)</f>
        <v>0.45</v>
      </c>
      <c r="L48" s="134">
        <f>ROUND(Market_Data[[#This Row],[Estimated Built Up Area (sq m)]]*Market_Data[[#This Row],[Concrete Intensity
(m³ / sq m)]],0)</f>
        <v>1395</v>
      </c>
      <c r="M48" s="135">
        <f>_xlfn.XLOOKUP(Market_Data[[#This Row],[District]],tbl_district_price[District],tbl_district_price[Standard Price
(INR/m³)],"",0)</f>
        <v>5800</v>
      </c>
      <c r="N48" s="364">
        <f>IF(OR(Market_Data[[#This Row],[Estimated Concrete Demand (m³)]]="",Market_Data[[#This Row],[Avg Price per (₹ / m³)]]=""),"",Market_Data[[#This Row],[Estimated Concrete Demand (m³)]]*Market_Data[[#This Row],[Avg Price per (₹ / m³)]]/10000000)</f>
        <v>0.80910000000000004</v>
      </c>
      <c r="O48" s="97" t="str">
        <f>IF(Market_Data[[#This Row],[Estimated Concrete Demand (m³)]]="","",
IF(Market_Data[[#This Row],[Estimated Concrete Demand (m³)]]&lt;10000,"Small",
IF(Market_Data[[#This Row],[Estimated Concrete Demand (m³)]]&lt;25000,"Medium",
IF(Market_Data[[#This Row],[Estimated Concrete Demand (m³)]]&lt;100000,"Large","Mega"))))</f>
        <v>Small</v>
      </c>
      <c r="P48" s="287" t="str">
        <f t="shared" si="0"/>
        <v>GujRERA</v>
      </c>
    </row>
    <row r="49" spans="1:16">
      <c r="A49" s="129" t="str">
        <f>_xlfn.XLOOKUP(B49,$S$9:$S$14,$T$9:$T$14)&amp;"-"&amp;
IF(E49="Residential/Group Housing","RES",
IF(E49="Commercial","COM",
IF(E49="Mixed Development","MIX",
IF(E49="Plotted Development","PLT","OTH"))))
&amp;"-"&amp;TEXT(COUNTIFS($B$9:B49,B49,$E$9:E49,E49),"0000")</f>
        <v>BHR-RES-0021</v>
      </c>
      <c r="B49" s="322" t="s">
        <v>36</v>
      </c>
      <c r="C49" s="322" t="s">
        <v>36</v>
      </c>
      <c r="D49" s="323" t="s">
        <v>234</v>
      </c>
      <c r="E49" s="132" t="s">
        <v>24</v>
      </c>
      <c r="F49" s="97" t="str">
        <f ca="1">IF(OR(Market_Data[[#This Row],[Start Date]]="",Market_Data[[#This Row],[Completion Date]]=""),"Needs Validation",IF(Market_Data[[#This Row],[Start Date]]&gt;TODAY(),"Planned",IF(Market_Data[[#This Row],[Completion Date]]&lt;TODAY(),"Completed","Ongoing")))</f>
        <v>Completed</v>
      </c>
      <c r="G49" s="324">
        <v>44743</v>
      </c>
      <c r="H49" s="324">
        <v>46234</v>
      </c>
      <c r="I49" s="325">
        <v>7300</v>
      </c>
      <c r="J4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9" s="133">
        <f>_xlfn.XLOOKUP(Market_Data[[#This Row],[Project Type]],tbl_assumptions_market[Project Category (RERA)],tbl_assumptions_market[Concrete Intensity
(m³ / sq m BUA)],"",0)</f>
        <v>0.45</v>
      </c>
      <c r="L49" s="134">
        <f>ROUND(Market_Data[[#This Row],[Estimated Built Up Area (sq m)]]*Market_Data[[#This Row],[Concrete Intensity
(m³ / sq m)]],0)</f>
        <v>3285</v>
      </c>
      <c r="M49" s="135">
        <f>_xlfn.XLOOKUP(Market_Data[[#This Row],[District]],tbl_district_price[District],tbl_district_price[Standard Price
(INR/m³)],"",0)</f>
        <v>5800</v>
      </c>
      <c r="N49" s="364">
        <f>IF(OR(Market_Data[[#This Row],[Estimated Concrete Demand (m³)]]="",Market_Data[[#This Row],[Avg Price per (₹ / m³)]]=""),"",Market_Data[[#This Row],[Estimated Concrete Demand (m³)]]*Market_Data[[#This Row],[Avg Price per (₹ / m³)]]/10000000)</f>
        <v>1.9053</v>
      </c>
      <c r="O49" s="97" t="str">
        <f>IF(Market_Data[[#This Row],[Estimated Concrete Demand (m³)]]="","",
IF(Market_Data[[#This Row],[Estimated Concrete Demand (m³)]]&lt;10000,"Small",
IF(Market_Data[[#This Row],[Estimated Concrete Demand (m³)]]&lt;25000,"Medium",
IF(Market_Data[[#This Row],[Estimated Concrete Demand (m³)]]&lt;100000,"Large","Mega"))))</f>
        <v>Small</v>
      </c>
      <c r="P49" s="287" t="str">
        <f t="shared" si="0"/>
        <v>GujRERA</v>
      </c>
    </row>
    <row r="50" spans="1:16">
      <c r="A50" s="129" t="str">
        <f>_xlfn.XLOOKUP(B50,$S$9:$S$14,$T$9:$T$14)&amp;"-"&amp;
IF(E50="Residential/Group Housing","RES",
IF(E50="Commercial","COM",
IF(E50="Mixed Development","MIX",
IF(E50="Plotted Development","PLT","OTH"))))
&amp;"-"&amp;TEXT(COUNTIFS($B$9:B50,B50,$E$9:E50,E50),"0000")</f>
        <v>BHR-MIX-0012</v>
      </c>
      <c r="B50" s="322" t="s">
        <v>36</v>
      </c>
      <c r="C50" s="322" t="s">
        <v>36</v>
      </c>
      <c r="D50" s="323" t="s">
        <v>235</v>
      </c>
      <c r="E50" s="132" t="s">
        <v>25</v>
      </c>
      <c r="F50" s="97" t="str">
        <f ca="1">IF(OR(Market_Data[[#This Row],[Start Date]]="",Market_Data[[#This Row],[Completion Date]]=""),"Needs Validation",IF(Market_Data[[#This Row],[Start Date]]&gt;TODAY(),"Planned",IF(Market_Data[[#This Row],[Completion Date]]&lt;TODAY(),"Completed","Ongoing")))</f>
        <v>Ongoing</v>
      </c>
      <c r="G50" s="324">
        <v>44348</v>
      </c>
      <c r="H50" s="324">
        <v>46387</v>
      </c>
      <c r="I50" s="325">
        <v>19300</v>
      </c>
      <c r="J5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0" s="133">
        <f>_xlfn.XLOOKUP(Market_Data[[#This Row],[Project Type]],tbl_assumptions_market[Project Category (RERA)],tbl_assumptions_market[Concrete Intensity
(m³ / sq m BUA)],"",0)</f>
        <v>0.42</v>
      </c>
      <c r="L50" s="134">
        <f>ROUND(Market_Data[[#This Row],[Estimated Built Up Area (sq m)]]*Market_Data[[#This Row],[Concrete Intensity
(m³ / sq m)]],0)</f>
        <v>8106</v>
      </c>
      <c r="M50" s="135">
        <f>_xlfn.XLOOKUP(Market_Data[[#This Row],[District]],tbl_district_price[District],tbl_district_price[Standard Price
(INR/m³)],"",0)</f>
        <v>5800</v>
      </c>
      <c r="N50" s="364">
        <f>IF(OR(Market_Data[[#This Row],[Estimated Concrete Demand (m³)]]="",Market_Data[[#This Row],[Avg Price per (₹ / m³)]]=""),"",Market_Data[[#This Row],[Estimated Concrete Demand (m³)]]*Market_Data[[#This Row],[Avg Price per (₹ / m³)]]/10000000)</f>
        <v>4.7014800000000001</v>
      </c>
      <c r="O50" s="97" t="str">
        <f>IF(Market_Data[[#This Row],[Estimated Concrete Demand (m³)]]="","",
IF(Market_Data[[#This Row],[Estimated Concrete Demand (m³)]]&lt;10000,"Small",
IF(Market_Data[[#This Row],[Estimated Concrete Demand (m³)]]&lt;25000,"Medium",
IF(Market_Data[[#This Row],[Estimated Concrete Demand (m³)]]&lt;100000,"Large","Mega"))))</f>
        <v>Small</v>
      </c>
      <c r="P50" s="287" t="str">
        <f t="shared" si="0"/>
        <v>GujRERA</v>
      </c>
    </row>
    <row r="51" spans="1:16">
      <c r="A51" s="129" t="str">
        <f>_xlfn.XLOOKUP(B51,$S$9:$S$14,$T$9:$T$14)&amp;"-"&amp;
IF(E51="Residential/Group Housing","RES",
IF(E51="Commercial","COM",
IF(E51="Mixed Development","MIX",
IF(E51="Plotted Development","PLT","OTH"))))
&amp;"-"&amp;TEXT(COUNTIFS($B$9:B51,B51,$E$9:E51,E51),"0000")</f>
        <v>BHR-COM-0008</v>
      </c>
      <c r="B51" s="322" t="s">
        <v>36</v>
      </c>
      <c r="C51" s="322" t="s">
        <v>36</v>
      </c>
      <c r="D51" s="323" t="s">
        <v>236</v>
      </c>
      <c r="E51" s="132" t="s">
        <v>23</v>
      </c>
      <c r="F51" s="97" t="str">
        <f ca="1">IF(OR(Market_Data[[#This Row],[Start Date]]="",Market_Data[[#This Row],[Completion Date]]=""),"Needs Validation",IF(Market_Data[[#This Row],[Start Date]]&gt;TODAY(),"Planned",IF(Market_Data[[#This Row],[Completion Date]]&lt;TODAY(),"Completed","Ongoing")))</f>
        <v>Completed</v>
      </c>
      <c r="G51" s="324">
        <v>42461</v>
      </c>
      <c r="H51" s="324">
        <v>43555</v>
      </c>
      <c r="I51" s="325">
        <v>7700</v>
      </c>
      <c r="J5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1" s="133">
        <f>_xlfn.XLOOKUP(Market_Data[[#This Row],[Project Type]],tbl_assumptions_market[Project Category (RERA)],tbl_assumptions_market[Concrete Intensity
(m³ / sq m BUA)],"",0)</f>
        <v>0.5</v>
      </c>
      <c r="L51" s="134">
        <f>ROUND(Market_Data[[#This Row],[Estimated Built Up Area (sq m)]]*Market_Data[[#This Row],[Concrete Intensity
(m³ / sq m)]],0)</f>
        <v>3850</v>
      </c>
      <c r="M51" s="135">
        <f>_xlfn.XLOOKUP(Market_Data[[#This Row],[District]],tbl_district_price[District],tbl_district_price[Standard Price
(INR/m³)],"",0)</f>
        <v>5800</v>
      </c>
      <c r="N51" s="364">
        <f>IF(OR(Market_Data[[#This Row],[Estimated Concrete Demand (m³)]]="",Market_Data[[#This Row],[Avg Price per (₹ / m³)]]=""),"",Market_Data[[#This Row],[Estimated Concrete Demand (m³)]]*Market_Data[[#This Row],[Avg Price per (₹ / m³)]]/10000000)</f>
        <v>2.2330000000000001</v>
      </c>
      <c r="O51" s="97" t="str">
        <f>IF(Market_Data[[#This Row],[Estimated Concrete Demand (m³)]]="","",
IF(Market_Data[[#This Row],[Estimated Concrete Demand (m³)]]&lt;10000,"Small",
IF(Market_Data[[#This Row],[Estimated Concrete Demand (m³)]]&lt;25000,"Medium",
IF(Market_Data[[#This Row],[Estimated Concrete Demand (m³)]]&lt;100000,"Large","Mega"))))</f>
        <v>Small</v>
      </c>
      <c r="P51" s="287" t="str">
        <f t="shared" si="0"/>
        <v>GujRERA</v>
      </c>
    </row>
    <row r="52" spans="1:16">
      <c r="A52" s="129" t="str">
        <f>_xlfn.XLOOKUP(B52,$S$9:$S$14,$T$9:$T$14)&amp;"-"&amp;
IF(E52="Residential/Group Housing","RES",
IF(E52="Commercial","COM",
IF(E52="Mixed Development","MIX",
IF(E52="Plotted Development","PLT","OTH"))))
&amp;"-"&amp;TEXT(COUNTIFS($B$9:B52,B52,$E$9:E52,E52),"0000")</f>
        <v>BHR-RES-0022</v>
      </c>
      <c r="B52" s="322" t="s">
        <v>36</v>
      </c>
      <c r="C52" s="322" t="s">
        <v>36</v>
      </c>
      <c r="D52" s="323" t="s">
        <v>237</v>
      </c>
      <c r="E52" s="132" t="s">
        <v>24</v>
      </c>
      <c r="F52" s="97" t="str">
        <f ca="1">IF(OR(Market_Data[[#This Row],[Start Date]]="",Market_Data[[#This Row],[Completion Date]]=""),"Needs Validation",IF(Market_Data[[#This Row],[Start Date]]&gt;TODAY(),"Planned",IF(Market_Data[[#This Row],[Completion Date]]&lt;TODAY(),"Completed","Ongoing")))</f>
        <v>Completed</v>
      </c>
      <c r="G52" s="324">
        <v>43766</v>
      </c>
      <c r="H52" s="324">
        <v>45473</v>
      </c>
      <c r="I52" s="325">
        <v>42700</v>
      </c>
      <c r="J5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2" s="133">
        <f>_xlfn.XLOOKUP(Market_Data[[#This Row],[Project Type]],tbl_assumptions_market[Project Category (RERA)],tbl_assumptions_market[Concrete Intensity
(m³ / sq m BUA)],"",0)</f>
        <v>0.45</v>
      </c>
      <c r="L52" s="134">
        <f>ROUND(Market_Data[[#This Row],[Estimated Built Up Area (sq m)]]*Market_Data[[#This Row],[Concrete Intensity
(m³ / sq m)]],0)</f>
        <v>19215</v>
      </c>
      <c r="M52" s="135">
        <f>_xlfn.XLOOKUP(Market_Data[[#This Row],[District]],tbl_district_price[District],tbl_district_price[Standard Price
(INR/m³)],"",0)</f>
        <v>5800</v>
      </c>
      <c r="N52" s="364">
        <f>IF(OR(Market_Data[[#This Row],[Estimated Concrete Demand (m³)]]="",Market_Data[[#This Row],[Avg Price per (₹ / m³)]]=""),"",Market_Data[[#This Row],[Estimated Concrete Demand (m³)]]*Market_Data[[#This Row],[Avg Price per (₹ / m³)]]/10000000)</f>
        <v>11.1447</v>
      </c>
      <c r="O52" s="97" t="str">
        <f>IF(Market_Data[[#This Row],[Estimated Concrete Demand (m³)]]="","",
IF(Market_Data[[#This Row],[Estimated Concrete Demand (m³)]]&lt;10000,"Small",
IF(Market_Data[[#This Row],[Estimated Concrete Demand (m³)]]&lt;25000,"Medium",
IF(Market_Data[[#This Row],[Estimated Concrete Demand (m³)]]&lt;100000,"Large","Mega"))))</f>
        <v>Medium</v>
      </c>
      <c r="P52" s="287" t="str">
        <f t="shared" si="0"/>
        <v>GujRERA</v>
      </c>
    </row>
    <row r="53" spans="1:16">
      <c r="A53" s="129" t="str">
        <f>_xlfn.XLOOKUP(B53,$S$9:$S$14,$T$9:$T$14)&amp;"-"&amp;
IF(E53="Residential/Group Housing","RES",
IF(E53="Commercial","COM",
IF(E53="Mixed Development","MIX",
IF(E53="Plotted Development","PLT","OTH"))))
&amp;"-"&amp;TEXT(COUNTIFS($B$9:B53,B53,$E$9:E53,E53),"0000")</f>
        <v>BHR-RES-0023</v>
      </c>
      <c r="B53" s="322" t="s">
        <v>36</v>
      </c>
      <c r="C53" s="322" t="s">
        <v>36</v>
      </c>
      <c r="D53" s="323" t="s">
        <v>238</v>
      </c>
      <c r="E53" s="132" t="s">
        <v>24</v>
      </c>
      <c r="F53" s="97" t="str">
        <f ca="1">IF(OR(Market_Data[[#This Row],[Start Date]]="",Market_Data[[#This Row],[Completion Date]]=""),"Needs Validation",IF(Market_Data[[#This Row],[Start Date]]&gt;TODAY(),"Planned",IF(Market_Data[[#This Row],[Completion Date]]&lt;TODAY(),"Completed","Ongoing")))</f>
        <v>Ongoing</v>
      </c>
      <c r="G53" s="324">
        <v>44896</v>
      </c>
      <c r="H53" s="324">
        <v>46752</v>
      </c>
      <c r="I53" s="325">
        <v>7200</v>
      </c>
      <c r="J5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3" s="133">
        <f>_xlfn.XLOOKUP(Market_Data[[#This Row],[Project Type]],tbl_assumptions_market[Project Category (RERA)],tbl_assumptions_market[Concrete Intensity
(m³ / sq m BUA)],"",0)</f>
        <v>0.45</v>
      </c>
      <c r="L53" s="134">
        <f>ROUND(Market_Data[[#This Row],[Estimated Built Up Area (sq m)]]*Market_Data[[#This Row],[Concrete Intensity
(m³ / sq m)]],0)</f>
        <v>3240</v>
      </c>
      <c r="M53" s="135">
        <f>_xlfn.XLOOKUP(Market_Data[[#This Row],[District]],tbl_district_price[District],tbl_district_price[Standard Price
(INR/m³)],"",0)</f>
        <v>5800</v>
      </c>
      <c r="N53" s="364">
        <f>IF(OR(Market_Data[[#This Row],[Estimated Concrete Demand (m³)]]="",Market_Data[[#This Row],[Avg Price per (₹ / m³)]]=""),"",Market_Data[[#This Row],[Estimated Concrete Demand (m³)]]*Market_Data[[#This Row],[Avg Price per (₹ / m³)]]/10000000)</f>
        <v>1.8792</v>
      </c>
      <c r="O53" s="97" t="str">
        <f>IF(Market_Data[[#This Row],[Estimated Concrete Demand (m³)]]="","",
IF(Market_Data[[#This Row],[Estimated Concrete Demand (m³)]]&lt;10000,"Small",
IF(Market_Data[[#This Row],[Estimated Concrete Demand (m³)]]&lt;25000,"Medium",
IF(Market_Data[[#This Row],[Estimated Concrete Demand (m³)]]&lt;100000,"Large","Mega"))))</f>
        <v>Small</v>
      </c>
      <c r="P53" s="287" t="str">
        <f t="shared" si="0"/>
        <v>GujRERA</v>
      </c>
    </row>
    <row r="54" spans="1:16">
      <c r="A54" s="129" t="str">
        <f>_xlfn.XLOOKUP(B54,$S$9:$S$14,$T$9:$T$14)&amp;"-"&amp;
IF(E54="Residential/Group Housing","RES",
IF(E54="Commercial","COM",
IF(E54="Mixed Development","MIX",
IF(E54="Plotted Development","PLT","OTH"))))
&amp;"-"&amp;TEXT(COUNTIFS($B$9:B54,B54,$E$9:E54,E54),"0000")</f>
        <v>BHR-MIX-0013</v>
      </c>
      <c r="B54" s="322" t="s">
        <v>36</v>
      </c>
      <c r="C54" s="322" t="s">
        <v>36</v>
      </c>
      <c r="D54" s="323" t="s">
        <v>239</v>
      </c>
      <c r="E54" s="132" t="s">
        <v>25</v>
      </c>
      <c r="F54" s="97" t="str">
        <f ca="1">IF(OR(Market_Data[[#This Row],[Start Date]]="",Market_Data[[#This Row],[Completion Date]]=""),"Needs Validation",IF(Market_Data[[#This Row],[Start Date]]&gt;TODAY(),"Planned",IF(Market_Data[[#This Row],[Completion Date]]&lt;TODAY(),"Completed","Ongoing")))</f>
        <v>Ongoing</v>
      </c>
      <c r="G54" s="324">
        <v>45435</v>
      </c>
      <c r="H54" s="324">
        <v>47483</v>
      </c>
      <c r="I54" s="325">
        <v>28200</v>
      </c>
      <c r="J5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4" s="133">
        <f>_xlfn.XLOOKUP(Market_Data[[#This Row],[Project Type]],tbl_assumptions_market[Project Category (RERA)],tbl_assumptions_market[Concrete Intensity
(m³ / sq m BUA)],"",0)</f>
        <v>0.42</v>
      </c>
      <c r="L54" s="134">
        <f>ROUND(Market_Data[[#This Row],[Estimated Built Up Area (sq m)]]*Market_Data[[#This Row],[Concrete Intensity
(m³ / sq m)]],0)</f>
        <v>11844</v>
      </c>
      <c r="M54" s="135">
        <f>_xlfn.XLOOKUP(Market_Data[[#This Row],[District]],tbl_district_price[District],tbl_district_price[Standard Price
(INR/m³)],"",0)</f>
        <v>5800</v>
      </c>
      <c r="N54" s="364">
        <f>IF(OR(Market_Data[[#This Row],[Estimated Concrete Demand (m³)]]="",Market_Data[[#This Row],[Avg Price per (₹ / m³)]]=""),"",Market_Data[[#This Row],[Estimated Concrete Demand (m³)]]*Market_Data[[#This Row],[Avg Price per (₹ / m³)]]/10000000)</f>
        <v>6.8695199999999996</v>
      </c>
      <c r="O54" s="97" t="str">
        <f>IF(Market_Data[[#This Row],[Estimated Concrete Demand (m³)]]="","",
IF(Market_Data[[#This Row],[Estimated Concrete Demand (m³)]]&lt;10000,"Small",
IF(Market_Data[[#This Row],[Estimated Concrete Demand (m³)]]&lt;25000,"Medium",
IF(Market_Data[[#This Row],[Estimated Concrete Demand (m³)]]&lt;100000,"Large","Mega"))))</f>
        <v>Medium</v>
      </c>
      <c r="P54" s="287" t="str">
        <f t="shared" si="0"/>
        <v>GujRERA</v>
      </c>
    </row>
    <row r="55" spans="1:16">
      <c r="A55" s="129" t="str">
        <f>_xlfn.XLOOKUP(B55,$S$9:$S$14,$T$9:$T$14)&amp;"-"&amp;
IF(E55="Residential/Group Housing","RES",
IF(E55="Commercial","COM",
IF(E55="Mixed Development","MIX",
IF(E55="Plotted Development","PLT","OTH"))))
&amp;"-"&amp;TEXT(COUNTIFS($B$9:B55,B55,$E$9:E55,E55),"0000")</f>
        <v>BHR-RES-0024</v>
      </c>
      <c r="B55" s="322" t="s">
        <v>36</v>
      </c>
      <c r="C55" s="322" t="s">
        <v>36</v>
      </c>
      <c r="D55" s="323" t="s">
        <v>240</v>
      </c>
      <c r="E55" s="132" t="s">
        <v>24</v>
      </c>
      <c r="F55" s="97" t="str">
        <f ca="1">IF(OR(Market_Data[[#This Row],[Start Date]]="",Market_Data[[#This Row],[Completion Date]]=""),"Needs Validation",IF(Market_Data[[#This Row],[Start Date]]&gt;TODAY(),"Planned",IF(Market_Data[[#This Row],[Completion Date]]&lt;TODAY(),"Completed","Ongoing")))</f>
        <v>Ongoing</v>
      </c>
      <c r="G55" s="324">
        <v>45495</v>
      </c>
      <c r="H55" s="324">
        <v>47482</v>
      </c>
      <c r="I55" s="325">
        <v>24200</v>
      </c>
      <c r="J5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5" s="133">
        <f>_xlfn.XLOOKUP(Market_Data[[#This Row],[Project Type]],tbl_assumptions_market[Project Category (RERA)],tbl_assumptions_market[Concrete Intensity
(m³ / sq m BUA)],"",0)</f>
        <v>0.45</v>
      </c>
      <c r="L55" s="134">
        <f>ROUND(Market_Data[[#This Row],[Estimated Built Up Area (sq m)]]*Market_Data[[#This Row],[Concrete Intensity
(m³ / sq m)]],0)</f>
        <v>10890</v>
      </c>
      <c r="M55" s="135">
        <f>_xlfn.XLOOKUP(Market_Data[[#This Row],[District]],tbl_district_price[District],tbl_district_price[Standard Price
(INR/m³)],"",0)</f>
        <v>5800</v>
      </c>
      <c r="N55" s="364">
        <f>IF(OR(Market_Data[[#This Row],[Estimated Concrete Demand (m³)]]="",Market_Data[[#This Row],[Avg Price per (₹ / m³)]]=""),"",Market_Data[[#This Row],[Estimated Concrete Demand (m³)]]*Market_Data[[#This Row],[Avg Price per (₹ / m³)]]/10000000)</f>
        <v>6.3162000000000003</v>
      </c>
      <c r="O55" s="97" t="str">
        <f>IF(Market_Data[[#This Row],[Estimated Concrete Demand (m³)]]="","",
IF(Market_Data[[#This Row],[Estimated Concrete Demand (m³)]]&lt;10000,"Small",
IF(Market_Data[[#This Row],[Estimated Concrete Demand (m³)]]&lt;25000,"Medium",
IF(Market_Data[[#This Row],[Estimated Concrete Demand (m³)]]&lt;100000,"Large","Mega"))))</f>
        <v>Medium</v>
      </c>
      <c r="P55" s="287" t="str">
        <f t="shared" si="0"/>
        <v>GujRERA</v>
      </c>
    </row>
    <row r="56" spans="1:16">
      <c r="A56" s="129" t="str">
        <f>_xlfn.XLOOKUP(B56,$S$9:$S$14,$T$9:$T$14)&amp;"-"&amp;
IF(E56="Residential/Group Housing","RES",
IF(E56="Commercial","COM",
IF(E56="Mixed Development","MIX",
IF(E56="Plotted Development","PLT","OTH"))))
&amp;"-"&amp;TEXT(COUNTIFS($B$9:B56,B56,$E$9:E56,E56),"0000")</f>
        <v>BHR-MIX-0014</v>
      </c>
      <c r="B56" s="322" t="s">
        <v>36</v>
      </c>
      <c r="C56" s="322" t="s">
        <v>36</v>
      </c>
      <c r="D56" s="323" t="s">
        <v>241</v>
      </c>
      <c r="E56" s="132" t="s">
        <v>25</v>
      </c>
      <c r="F56" s="97" t="str">
        <f ca="1">IF(OR(Market_Data[[#This Row],[Start Date]]="",Market_Data[[#This Row],[Completion Date]]=""),"Needs Validation",IF(Market_Data[[#This Row],[Start Date]]&gt;TODAY(),"Planned",IF(Market_Data[[#This Row],[Completion Date]]&lt;TODAY(),"Completed","Ongoing")))</f>
        <v>Completed</v>
      </c>
      <c r="G56" s="324">
        <v>43893</v>
      </c>
      <c r="H56" s="324">
        <v>46203</v>
      </c>
      <c r="I56" s="325">
        <v>53600</v>
      </c>
      <c r="J5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6" s="133">
        <f>_xlfn.XLOOKUP(Market_Data[[#This Row],[Project Type]],tbl_assumptions_market[Project Category (RERA)],tbl_assumptions_market[Concrete Intensity
(m³ / sq m BUA)],"",0)</f>
        <v>0.42</v>
      </c>
      <c r="L56" s="134">
        <f>ROUND(Market_Data[[#This Row],[Estimated Built Up Area (sq m)]]*Market_Data[[#This Row],[Concrete Intensity
(m³ / sq m)]],0)</f>
        <v>22512</v>
      </c>
      <c r="M56" s="135">
        <f>_xlfn.XLOOKUP(Market_Data[[#This Row],[District]],tbl_district_price[District],tbl_district_price[Standard Price
(INR/m³)],"",0)</f>
        <v>5800</v>
      </c>
      <c r="N56" s="364">
        <f>IF(OR(Market_Data[[#This Row],[Estimated Concrete Demand (m³)]]="",Market_Data[[#This Row],[Avg Price per (₹ / m³)]]=""),"",Market_Data[[#This Row],[Estimated Concrete Demand (m³)]]*Market_Data[[#This Row],[Avg Price per (₹ / m³)]]/10000000)</f>
        <v>13.05696</v>
      </c>
      <c r="O56" s="97" t="str">
        <f>IF(Market_Data[[#This Row],[Estimated Concrete Demand (m³)]]="","",
IF(Market_Data[[#This Row],[Estimated Concrete Demand (m³)]]&lt;10000,"Small",
IF(Market_Data[[#This Row],[Estimated Concrete Demand (m³)]]&lt;25000,"Medium",
IF(Market_Data[[#This Row],[Estimated Concrete Demand (m³)]]&lt;100000,"Large","Mega"))))</f>
        <v>Medium</v>
      </c>
      <c r="P56" s="287" t="str">
        <f t="shared" si="0"/>
        <v>GujRERA</v>
      </c>
    </row>
    <row r="57" spans="1:16">
      <c r="A57" s="129" t="str">
        <f>_xlfn.XLOOKUP(B57,$S$9:$S$14,$T$9:$T$14)&amp;"-"&amp;
IF(E57="Residential/Group Housing","RES",
IF(E57="Commercial","COM",
IF(E57="Mixed Development","MIX",
IF(E57="Plotted Development","PLT","OTH"))))
&amp;"-"&amp;TEXT(COUNTIFS($B$9:B57,B57,$E$9:E57,E57),"0000")</f>
        <v>BHR-COM-0009</v>
      </c>
      <c r="B57" s="322" t="s">
        <v>36</v>
      </c>
      <c r="C57" s="322" t="s">
        <v>36</v>
      </c>
      <c r="D57" s="323" t="s">
        <v>242</v>
      </c>
      <c r="E57" s="132" t="s">
        <v>23</v>
      </c>
      <c r="F57" s="97" t="str">
        <f ca="1">IF(OR(Market_Data[[#This Row],[Start Date]]="",Market_Data[[#This Row],[Completion Date]]=""),"Needs Validation",IF(Market_Data[[#This Row],[Start Date]]&gt;TODAY(),"Planned",IF(Market_Data[[#This Row],[Completion Date]]&lt;TODAY(),"Completed","Ongoing")))</f>
        <v>Completed</v>
      </c>
      <c r="G57" s="324">
        <v>43101</v>
      </c>
      <c r="H57" s="324">
        <v>44546</v>
      </c>
      <c r="I57" s="325">
        <v>2200</v>
      </c>
      <c r="J5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7" s="133">
        <f>_xlfn.XLOOKUP(Market_Data[[#This Row],[Project Type]],tbl_assumptions_market[Project Category (RERA)],tbl_assumptions_market[Concrete Intensity
(m³ / sq m BUA)],"",0)</f>
        <v>0.5</v>
      </c>
      <c r="L57" s="134">
        <f>ROUND(Market_Data[[#This Row],[Estimated Built Up Area (sq m)]]*Market_Data[[#This Row],[Concrete Intensity
(m³ / sq m)]],0)</f>
        <v>1100</v>
      </c>
      <c r="M57" s="135">
        <f>_xlfn.XLOOKUP(Market_Data[[#This Row],[District]],tbl_district_price[District],tbl_district_price[Standard Price
(INR/m³)],"",0)</f>
        <v>5800</v>
      </c>
      <c r="N57" s="364">
        <f>IF(OR(Market_Data[[#This Row],[Estimated Concrete Demand (m³)]]="",Market_Data[[#This Row],[Avg Price per (₹ / m³)]]=""),"",Market_Data[[#This Row],[Estimated Concrete Demand (m³)]]*Market_Data[[#This Row],[Avg Price per (₹ / m³)]]/10000000)</f>
        <v>0.63800000000000001</v>
      </c>
      <c r="O57" s="97" t="str">
        <f>IF(Market_Data[[#This Row],[Estimated Concrete Demand (m³)]]="","",
IF(Market_Data[[#This Row],[Estimated Concrete Demand (m³)]]&lt;10000,"Small",
IF(Market_Data[[#This Row],[Estimated Concrete Demand (m³)]]&lt;25000,"Medium",
IF(Market_Data[[#This Row],[Estimated Concrete Demand (m³)]]&lt;100000,"Large","Mega"))))</f>
        <v>Small</v>
      </c>
      <c r="P57" s="287" t="str">
        <f t="shared" si="0"/>
        <v>GujRERA</v>
      </c>
    </row>
    <row r="58" spans="1:16">
      <c r="A58" s="129" t="str">
        <f>_xlfn.XLOOKUP(B58,$S$9:$S$14,$T$9:$T$14)&amp;"-"&amp;
IF(E58="Residential/Group Housing","RES",
IF(E58="Commercial","COM",
IF(E58="Mixed Development","MIX",
IF(E58="Plotted Development","PLT","OTH"))))
&amp;"-"&amp;TEXT(COUNTIFS($B$9:B58,B58,$E$9:E58,E58),"0000")</f>
        <v>BHR-MIX-0015</v>
      </c>
      <c r="B58" s="322" t="s">
        <v>36</v>
      </c>
      <c r="C58" s="322" t="s">
        <v>36</v>
      </c>
      <c r="D58" s="323" t="s">
        <v>243</v>
      </c>
      <c r="E58" s="132" t="s">
        <v>25</v>
      </c>
      <c r="F58" s="97" t="str">
        <f ca="1">IF(OR(Market_Data[[#This Row],[Start Date]]="",Market_Data[[#This Row],[Completion Date]]=""),"Needs Validation",IF(Market_Data[[#This Row],[Start Date]]&gt;TODAY(),"Planned",IF(Market_Data[[#This Row],[Completion Date]]&lt;TODAY(),"Completed","Ongoing")))</f>
        <v>Completed</v>
      </c>
      <c r="G58" s="324">
        <v>44593</v>
      </c>
      <c r="H58" s="324">
        <v>46203</v>
      </c>
      <c r="I58" s="325">
        <v>9200</v>
      </c>
      <c r="J5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58" s="133">
        <f>_xlfn.XLOOKUP(Market_Data[[#This Row],[Project Type]],tbl_assumptions_market[Project Category (RERA)],tbl_assumptions_market[Concrete Intensity
(m³ / sq m BUA)],"",0)</f>
        <v>0.42</v>
      </c>
      <c r="L58" s="134">
        <f>ROUND(Market_Data[[#This Row],[Estimated Built Up Area (sq m)]]*Market_Data[[#This Row],[Concrete Intensity
(m³ / sq m)]],0)</f>
        <v>3864</v>
      </c>
      <c r="M58" s="135">
        <f>_xlfn.XLOOKUP(Market_Data[[#This Row],[District]],tbl_district_price[District],tbl_district_price[Standard Price
(INR/m³)],"",0)</f>
        <v>5800</v>
      </c>
      <c r="N58" s="364">
        <f>IF(OR(Market_Data[[#This Row],[Estimated Concrete Demand (m³)]]="",Market_Data[[#This Row],[Avg Price per (₹ / m³)]]=""),"",Market_Data[[#This Row],[Estimated Concrete Demand (m³)]]*Market_Data[[#This Row],[Avg Price per (₹ / m³)]]/10000000)</f>
        <v>2.24112</v>
      </c>
      <c r="O58" s="97" t="str">
        <f>IF(Market_Data[[#This Row],[Estimated Concrete Demand (m³)]]="","",
IF(Market_Data[[#This Row],[Estimated Concrete Demand (m³)]]&lt;10000,"Small",
IF(Market_Data[[#This Row],[Estimated Concrete Demand (m³)]]&lt;25000,"Medium",
IF(Market_Data[[#This Row],[Estimated Concrete Demand (m³)]]&lt;100000,"Large","Mega"))))</f>
        <v>Small</v>
      </c>
      <c r="P58" s="287" t="str">
        <f t="shared" si="0"/>
        <v>GujRERA</v>
      </c>
    </row>
    <row r="59" spans="1:16">
      <c r="A59" s="129" t="str">
        <f>_xlfn.XLOOKUP(B59,$S$9:$S$14,$T$9:$T$14)&amp;"-"&amp;
IF(E59="Residential/Group Housing","RES",
IF(E59="Commercial","COM",
IF(E59="Mixed Development","MIX",
IF(E59="Plotted Development","PLT","OTH"))))
&amp;"-"&amp;TEXT(COUNTIFS($B$9:B59,B59,$E$9:E59,E59),"0000")</f>
        <v>BHR-MIX-0016</v>
      </c>
      <c r="B59" s="322" t="s">
        <v>36</v>
      </c>
      <c r="C59" s="322" t="s">
        <v>36</v>
      </c>
      <c r="D59" s="323" t="s">
        <v>244</v>
      </c>
      <c r="E59" s="132" t="s">
        <v>25</v>
      </c>
      <c r="F59" s="97" t="str">
        <f ca="1">IF(OR(Market_Data[[#This Row],[Start Date]]="",Market_Data[[#This Row],[Completion Date]]=""),"Needs Validation",IF(Market_Data[[#This Row],[Start Date]]&gt;TODAY(),"Planned",IF(Market_Data[[#This Row],[Completion Date]]&lt;TODAY(),"Completed","Ongoing")))</f>
        <v>Completed</v>
      </c>
      <c r="G59" s="324">
        <v>43466</v>
      </c>
      <c r="H59" s="324">
        <v>45838</v>
      </c>
      <c r="I59" s="325">
        <v>19200</v>
      </c>
      <c r="J5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9" s="133">
        <f>_xlfn.XLOOKUP(Market_Data[[#This Row],[Project Type]],tbl_assumptions_market[Project Category (RERA)],tbl_assumptions_market[Concrete Intensity
(m³ / sq m BUA)],"",0)</f>
        <v>0.42</v>
      </c>
      <c r="L59" s="134">
        <f>ROUND(Market_Data[[#This Row],[Estimated Built Up Area (sq m)]]*Market_Data[[#This Row],[Concrete Intensity
(m³ / sq m)]],0)</f>
        <v>8064</v>
      </c>
      <c r="M59" s="135">
        <f>_xlfn.XLOOKUP(Market_Data[[#This Row],[District]],tbl_district_price[District],tbl_district_price[Standard Price
(INR/m³)],"",0)</f>
        <v>5800</v>
      </c>
      <c r="N59" s="364">
        <f>IF(OR(Market_Data[[#This Row],[Estimated Concrete Demand (m³)]]="",Market_Data[[#This Row],[Avg Price per (₹ / m³)]]=""),"",Market_Data[[#This Row],[Estimated Concrete Demand (m³)]]*Market_Data[[#This Row],[Avg Price per (₹ / m³)]]/10000000)</f>
        <v>4.6771200000000004</v>
      </c>
      <c r="O59" s="97" t="str">
        <f>IF(Market_Data[[#This Row],[Estimated Concrete Demand (m³)]]="","",
IF(Market_Data[[#This Row],[Estimated Concrete Demand (m³)]]&lt;10000,"Small",
IF(Market_Data[[#This Row],[Estimated Concrete Demand (m³)]]&lt;25000,"Medium",
IF(Market_Data[[#This Row],[Estimated Concrete Demand (m³)]]&lt;100000,"Large","Mega"))))</f>
        <v>Small</v>
      </c>
      <c r="P59" s="287" t="str">
        <f t="shared" si="0"/>
        <v>GujRERA</v>
      </c>
    </row>
    <row r="60" spans="1:16">
      <c r="A60" s="129" t="str">
        <f>_xlfn.XLOOKUP(B60,$S$9:$S$14,$T$9:$T$14)&amp;"-"&amp;
IF(E60="Residential/Group Housing","RES",
IF(E60="Commercial","COM",
IF(E60="Mixed Development","MIX",
IF(E60="Plotted Development","PLT","OTH"))))
&amp;"-"&amp;TEXT(COUNTIFS($B$9:B60,B60,$E$9:E60,E60),"0000")</f>
        <v>BHR-MIX-0017</v>
      </c>
      <c r="B60" s="322" t="s">
        <v>36</v>
      </c>
      <c r="C60" s="322" t="s">
        <v>36</v>
      </c>
      <c r="D60" s="323" t="s">
        <v>245</v>
      </c>
      <c r="E60" s="132" t="s">
        <v>25</v>
      </c>
      <c r="F60" s="97" t="str">
        <f ca="1">IF(OR(Market_Data[[#This Row],[Start Date]]="",Market_Data[[#This Row],[Completion Date]]=""),"Needs Validation",IF(Market_Data[[#This Row],[Start Date]]&gt;TODAY(),"Planned",IF(Market_Data[[#This Row],[Completion Date]]&lt;TODAY(),"Completed","Ongoing")))</f>
        <v>Completed</v>
      </c>
      <c r="G60" s="324">
        <v>43861</v>
      </c>
      <c r="H60" s="324">
        <v>45107</v>
      </c>
      <c r="I60" s="325">
        <v>12800</v>
      </c>
      <c r="J6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0" s="133">
        <f>_xlfn.XLOOKUP(Market_Data[[#This Row],[Project Type]],tbl_assumptions_market[Project Category (RERA)],tbl_assumptions_market[Concrete Intensity
(m³ / sq m BUA)],"",0)</f>
        <v>0.42</v>
      </c>
      <c r="L60" s="134">
        <f>ROUND(Market_Data[[#This Row],[Estimated Built Up Area (sq m)]]*Market_Data[[#This Row],[Concrete Intensity
(m³ / sq m)]],0)</f>
        <v>5376</v>
      </c>
      <c r="M60" s="135">
        <f>_xlfn.XLOOKUP(Market_Data[[#This Row],[District]],tbl_district_price[District],tbl_district_price[Standard Price
(INR/m³)],"",0)</f>
        <v>5800</v>
      </c>
      <c r="N60" s="364">
        <f>IF(OR(Market_Data[[#This Row],[Estimated Concrete Demand (m³)]]="",Market_Data[[#This Row],[Avg Price per (₹ / m³)]]=""),"",Market_Data[[#This Row],[Estimated Concrete Demand (m³)]]*Market_Data[[#This Row],[Avg Price per (₹ / m³)]]/10000000)</f>
        <v>3.11808</v>
      </c>
      <c r="O60" s="97" t="str">
        <f>IF(Market_Data[[#This Row],[Estimated Concrete Demand (m³)]]="","",
IF(Market_Data[[#This Row],[Estimated Concrete Demand (m³)]]&lt;10000,"Small",
IF(Market_Data[[#This Row],[Estimated Concrete Demand (m³)]]&lt;25000,"Medium",
IF(Market_Data[[#This Row],[Estimated Concrete Demand (m³)]]&lt;100000,"Large","Mega"))))</f>
        <v>Small</v>
      </c>
      <c r="P60" s="287" t="str">
        <f t="shared" si="0"/>
        <v>GujRERA</v>
      </c>
    </row>
    <row r="61" spans="1:16">
      <c r="A61" s="129" t="str">
        <f>_xlfn.XLOOKUP(B61,$S$9:$S$14,$T$9:$T$14)&amp;"-"&amp;
IF(E61="Residential/Group Housing","RES",
IF(E61="Commercial","COM",
IF(E61="Mixed Development","MIX",
IF(E61="Plotted Development","PLT","OTH"))))
&amp;"-"&amp;TEXT(COUNTIFS($B$9:B61,B61,$E$9:E61,E61),"0000")</f>
        <v>BHR-MIX-0018</v>
      </c>
      <c r="B61" s="322" t="s">
        <v>36</v>
      </c>
      <c r="C61" s="322" t="s">
        <v>36</v>
      </c>
      <c r="D61" s="323" t="s">
        <v>246</v>
      </c>
      <c r="E61" s="132" t="s">
        <v>25</v>
      </c>
      <c r="F61" s="97" t="str">
        <f ca="1">IF(OR(Market_Data[[#This Row],[Start Date]]="",Market_Data[[#This Row],[Completion Date]]=""),"Needs Validation",IF(Market_Data[[#This Row],[Start Date]]&gt;TODAY(),"Planned",IF(Market_Data[[#This Row],[Completion Date]]&lt;TODAY(),"Completed","Ongoing")))</f>
        <v>Completed</v>
      </c>
      <c r="G61" s="324">
        <v>44656</v>
      </c>
      <c r="H61" s="324">
        <v>46204</v>
      </c>
      <c r="I61" s="325">
        <v>50200</v>
      </c>
      <c r="J6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1" s="133">
        <f>_xlfn.XLOOKUP(Market_Data[[#This Row],[Project Type]],tbl_assumptions_market[Project Category (RERA)],tbl_assumptions_market[Concrete Intensity
(m³ / sq m BUA)],"",0)</f>
        <v>0.42</v>
      </c>
      <c r="L61" s="134">
        <f>ROUND(Market_Data[[#This Row],[Estimated Built Up Area (sq m)]]*Market_Data[[#This Row],[Concrete Intensity
(m³ / sq m)]],0)</f>
        <v>21084</v>
      </c>
      <c r="M61" s="135">
        <f>_xlfn.XLOOKUP(Market_Data[[#This Row],[District]],tbl_district_price[District],tbl_district_price[Standard Price
(INR/m³)],"",0)</f>
        <v>5800</v>
      </c>
      <c r="N61" s="364">
        <f>IF(OR(Market_Data[[#This Row],[Estimated Concrete Demand (m³)]]="",Market_Data[[#This Row],[Avg Price per (₹ / m³)]]=""),"",Market_Data[[#This Row],[Estimated Concrete Demand (m³)]]*Market_Data[[#This Row],[Avg Price per (₹ / m³)]]/10000000)</f>
        <v>12.228719999999999</v>
      </c>
      <c r="O61" s="97" t="str">
        <f>IF(Market_Data[[#This Row],[Estimated Concrete Demand (m³)]]="","",
IF(Market_Data[[#This Row],[Estimated Concrete Demand (m³)]]&lt;10000,"Small",
IF(Market_Data[[#This Row],[Estimated Concrete Demand (m³)]]&lt;25000,"Medium",
IF(Market_Data[[#This Row],[Estimated Concrete Demand (m³)]]&lt;100000,"Large","Mega"))))</f>
        <v>Medium</v>
      </c>
      <c r="P61" s="287" t="str">
        <f t="shared" si="0"/>
        <v>GujRERA</v>
      </c>
    </row>
    <row r="62" spans="1:16">
      <c r="A62" s="129" t="str">
        <f>_xlfn.XLOOKUP(B62,$S$9:$S$14,$T$9:$T$14)&amp;"-"&amp;
IF(E62="Residential/Group Housing","RES",
IF(E62="Commercial","COM",
IF(E62="Mixed Development","MIX",
IF(E62="Plotted Development","PLT","OTH"))))
&amp;"-"&amp;TEXT(COUNTIFS($B$9:B62,B62,$E$9:E62,E62),"0000")</f>
        <v>BHR-MIX-0019</v>
      </c>
      <c r="B62" s="322" t="s">
        <v>36</v>
      </c>
      <c r="C62" s="322" t="s">
        <v>36</v>
      </c>
      <c r="D62" s="323" t="s">
        <v>247</v>
      </c>
      <c r="E62" s="132" t="s">
        <v>25</v>
      </c>
      <c r="F62" s="97" t="str">
        <f ca="1">IF(OR(Market_Data[[#This Row],[Start Date]]="",Market_Data[[#This Row],[Completion Date]]=""),"Needs Validation",IF(Market_Data[[#This Row],[Start Date]]&gt;TODAY(),"Planned",IF(Market_Data[[#This Row],[Completion Date]]&lt;TODAY(),"Completed","Ongoing")))</f>
        <v>Completed</v>
      </c>
      <c r="G62" s="324">
        <v>43831</v>
      </c>
      <c r="H62" s="324">
        <v>46202</v>
      </c>
      <c r="I62" s="325">
        <v>35900</v>
      </c>
      <c r="J6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2" s="133">
        <f>_xlfn.XLOOKUP(Market_Data[[#This Row],[Project Type]],tbl_assumptions_market[Project Category (RERA)],tbl_assumptions_market[Concrete Intensity
(m³ / sq m BUA)],"",0)</f>
        <v>0.42</v>
      </c>
      <c r="L62" s="134">
        <f>ROUND(Market_Data[[#This Row],[Estimated Built Up Area (sq m)]]*Market_Data[[#This Row],[Concrete Intensity
(m³ / sq m)]],0)</f>
        <v>15078</v>
      </c>
      <c r="M62" s="135">
        <f>_xlfn.XLOOKUP(Market_Data[[#This Row],[District]],tbl_district_price[District],tbl_district_price[Standard Price
(INR/m³)],"",0)</f>
        <v>5800</v>
      </c>
      <c r="N62" s="364">
        <f>IF(OR(Market_Data[[#This Row],[Estimated Concrete Demand (m³)]]="",Market_Data[[#This Row],[Avg Price per (₹ / m³)]]=""),"",Market_Data[[#This Row],[Estimated Concrete Demand (m³)]]*Market_Data[[#This Row],[Avg Price per (₹ / m³)]]/10000000)</f>
        <v>8.7452400000000008</v>
      </c>
      <c r="O62" s="97" t="str">
        <f>IF(Market_Data[[#This Row],[Estimated Concrete Demand (m³)]]="","",
IF(Market_Data[[#This Row],[Estimated Concrete Demand (m³)]]&lt;10000,"Small",
IF(Market_Data[[#This Row],[Estimated Concrete Demand (m³)]]&lt;25000,"Medium",
IF(Market_Data[[#This Row],[Estimated Concrete Demand (m³)]]&lt;100000,"Large","Mega"))))</f>
        <v>Medium</v>
      </c>
      <c r="P62" s="287" t="str">
        <f t="shared" si="0"/>
        <v>GujRERA</v>
      </c>
    </row>
    <row r="63" spans="1:16">
      <c r="A63" s="129" t="str">
        <f>_xlfn.XLOOKUP(B63,$S$9:$S$14,$T$9:$T$14)&amp;"-"&amp;
IF(E63="Residential/Group Housing","RES",
IF(E63="Commercial","COM",
IF(E63="Mixed Development","MIX",
IF(E63="Plotted Development","PLT","OTH"))))
&amp;"-"&amp;TEXT(COUNTIFS($B$9:B63,B63,$E$9:E63,E63),"0000")</f>
        <v>BHR-MIX-0020</v>
      </c>
      <c r="B63" s="322" t="s">
        <v>36</v>
      </c>
      <c r="C63" s="322" t="s">
        <v>36</v>
      </c>
      <c r="D63" s="323" t="s">
        <v>248</v>
      </c>
      <c r="E63" s="132" t="s">
        <v>25</v>
      </c>
      <c r="F63" s="97" t="str">
        <f ca="1">IF(OR(Market_Data[[#This Row],[Start Date]]="",Market_Data[[#This Row],[Completion Date]]=""),"Needs Validation",IF(Market_Data[[#This Row],[Start Date]]&gt;TODAY(),"Planned",IF(Market_Data[[#This Row],[Completion Date]]&lt;TODAY(),"Completed","Ongoing")))</f>
        <v>Completed</v>
      </c>
      <c r="G63" s="324">
        <v>43313</v>
      </c>
      <c r="H63" s="324">
        <v>45495</v>
      </c>
      <c r="I63" s="325">
        <v>36000</v>
      </c>
      <c r="J6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3" s="133">
        <f>_xlfn.XLOOKUP(Market_Data[[#This Row],[Project Type]],tbl_assumptions_market[Project Category (RERA)],tbl_assumptions_market[Concrete Intensity
(m³ / sq m BUA)],"",0)</f>
        <v>0.42</v>
      </c>
      <c r="L63" s="134">
        <f>ROUND(Market_Data[[#This Row],[Estimated Built Up Area (sq m)]]*Market_Data[[#This Row],[Concrete Intensity
(m³ / sq m)]],0)</f>
        <v>15120</v>
      </c>
      <c r="M63" s="135">
        <f>_xlfn.XLOOKUP(Market_Data[[#This Row],[District]],tbl_district_price[District],tbl_district_price[Standard Price
(INR/m³)],"",0)</f>
        <v>5800</v>
      </c>
      <c r="N63" s="364">
        <f>IF(OR(Market_Data[[#This Row],[Estimated Concrete Demand (m³)]]="",Market_Data[[#This Row],[Avg Price per (₹ / m³)]]=""),"",Market_Data[[#This Row],[Estimated Concrete Demand (m³)]]*Market_Data[[#This Row],[Avg Price per (₹ / m³)]]/10000000)</f>
        <v>8.7696000000000005</v>
      </c>
      <c r="O63" s="97" t="str">
        <f>IF(Market_Data[[#This Row],[Estimated Concrete Demand (m³)]]="","",
IF(Market_Data[[#This Row],[Estimated Concrete Demand (m³)]]&lt;10000,"Small",
IF(Market_Data[[#This Row],[Estimated Concrete Demand (m³)]]&lt;25000,"Medium",
IF(Market_Data[[#This Row],[Estimated Concrete Demand (m³)]]&lt;100000,"Large","Mega"))))</f>
        <v>Medium</v>
      </c>
      <c r="P63" s="287" t="str">
        <f t="shared" si="0"/>
        <v>GujRERA</v>
      </c>
    </row>
    <row r="64" spans="1:16">
      <c r="A64" s="129" t="str">
        <f>_xlfn.XLOOKUP(B64,$S$9:$S$14,$T$9:$T$14)&amp;"-"&amp;
IF(E64="Residential/Group Housing","RES",
IF(E64="Commercial","COM",
IF(E64="Mixed Development","MIX",
IF(E64="Plotted Development","PLT","OTH"))))
&amp;"-"&amp;TEXT(COUNTIFS($B$9:B64,B64,$E$9:E64,E64),"0000")</f>
        <v>BHR-RES-0025</v>
      </c>
      <c r="B64" s="322" t="s">
        <v>36</v>
      </c>
      <c r="C64" s="322" t="s">
        <v>36</v>
      </c>
      <c r="D64" s="323" t="s">
        <v>249</v>
      </c>
      <c r="E64" s="132" t="s">
        <v>24</v>
      </c>
      <c r="F64" s="97" t="str">
        <f ca="1">IF(OR(Market_Data[[#This Row],[Start Date]]="",Market_Data[[#This Row],[Completion Date]]=""),"Needs Validation",IF(Market_Data[[#This Row],[Start Date]]&gt;TODAY(),"Planned",IF(Market_Data[[#This Row],[Completion Date]]&lt;TODAY(),"Completed","Ongoing")))</f>
        <v>Completed</v>
      </c>
      <c r="G64" s="324">
        <v>43049</v>
      </c>
      <c r="H64" s="324">
        <v>45473</v>
      </c>
      <c r="I64" s="325">
        <v>36700</v>
      </c>
      <c r="J6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4" s="133">
        <f>_xlfn.XLOOKUP(Market_Data[[#This Row],[Project Type]],tbl_assumptions_market[Project Category (RERA)],tbl_assumptions_market[Concrete Intensity
(m³ / sq m BUA)],"",0)</f>
        <v>0.45</v>
      </c>
      <c r="L64" s="134">
        <f>ROUND(Market_Data[[#This Row],[Estimated Built Up Area (sq m)]]*Market_Data[[#This Row],[Concrete Intensity
(m³ / sq m)]],0)</f>
        <v>16515</v>
      </c>
      <c r="M64" s="135">
        <f>_xlfn.XLOOKUP(Market_Data[[#This Row],[District]],tbl_district_price[District],tbl_district_price[Standard Price
(INR/m³)],"",0)</f>
        <v>5800</v>
      </c>
      <c r="N64" s="364">
        <f>IF(OR(Market_Data[[#This Row],[Estimated Concrete Demand (m³)]]="",Market_Data[[#This Row],[Avg Price per (₹ / m³)]]=""),"",Market_Data[[#This Row],[Estimated Concrete Demand (m³)]]*Market_Data[[#This Row],[Avg Price per (₹ / m³)]]/10000000)</f>
        <v>9.5786999999999995</v>
      </c>
      <c r="O64" s="97" t="str">
        <f>IF(Market_Data[[#This Row],[Estimated Concrete Demand (m³)]]="","",
IF(Market_Data[[#This Row],[Estimated Concrete Demand (m³)]]&lt;10000,"Small",
IF(Market_Data[[#This Row],[Estimated Concrete Demand (m³)]]&lt;25000,"Medium",
IF(Market_Data[[#This Row],[Estimated Concrete Demand (m³)]]&lt;100000,"Large","Mega"))))</f>
        <v>Medium</v>
      </c>
      <c r="P64" s="287" t="str">
        <f t="shared" si="0"/>
        <v>GujRERA</v>
      </c>
    </row>
    <row r="65" spans="1:16">
      <c r="A65" s="129" t="str">
        <f>_xlfn.XLOOKUP(B65,$S$9:$S$14,$T$9:$T$14)&amp;"-"&amp;
IF(E65="Residential/Group Housing","RES",
IF(E65="Commercial","COM",
IF(E65="Mixed Development","MIX",
IF(E65="Plotted Development","PLT","OTH"))))
&amp;"-"&amp;TEXT(COUNTIFS($B$9:B65,B65,$E$9:E65,E65),"0000")</f>
        <v>BHR-RES-0026</v>
      </c>
      <c r="B65" s="322" t="s">
        <v>36</v>
      </c>
      <c r="C65" s="322" t="s">
        <v>36</v>
      </c>
      <c r="D65" s="323" t="s">
        <v>250</v>
      </c>
      <c r="E65" s="132" t="s">
        <v>24</v>
      </c>
      <c r="F65" s="97" t="str">
        <f ca="1">IF(OR(Market_Data[[#This Row],[Start Date]]="",Market_Data[[#This Row],[Completion Date]]=""),"Needs Validation",IF(Market_Data[[#This Row],[Start Date]]&gt;TODAY(),"Planned",IF(Market_Data[[#This Row],[Completion Date]]&lt;TODAY(),"Completed","Ongoing")))</f>
        <v>Ongoing</v>
      </c>
      <c r="G65" s="324">
        <v>44256</v>
      </c>
      <c r="H65" s="324">
        <v>46387</v>
      </c>
      <c r="I65" s="325">
        <v>19100</v>
      </c>
      <c r="J6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5" s="133">
        <f>_xlfn.XLOOKUP(Market_Data[[#This Row],[Project Type]],tbl_assumptions_market[Project Category (RERA)],tbl_assumptions_market[Concrete Intensity
(m³ / sq m BUA)],"",0)</f>
        <v>0.45</v>
      </c>
      <c r="L65" s="134">
        <f>ROUND(Market_Data[[#This Row],[Estimated Built Up Area (sq m)]]*Market_Data[[#This Row],[Concrete Intensity
(m³ / sq m)]],0)</f>
        <v>8595</v>
      </c>
      <c r="M65" s="135">
        <f>_xlfn.XLOOKUP(Market_Data[[#This Row],[District]],tbl_district_price[District],tbl_district_price[Standard Price
(INR/m³)],"",0)</f>
        <v>5800</v>
      </c>
      <c r="N65" s="364">
        <f>IF(OR(Market_Data[[#This Row],[Estimated Concrete Demand (m³)]]="",Market_Data[[#This Row],[Avg Price per (₹ / m³)]]=""),"",Market_Data[[#This Row],[Estimated Concrete Demand (m³)]]*Market_Data[[#This Row],[Avg Price per (₹ / m³)]]/10000000)</f>
        <v>4.9851000000000001</v>
      </c>
      <c r="O65" s="97" t="str">
        <f>IF(Market_Data[[#This Row],[Estimated Concrete Demand (m³)]]="","",
IF(Market_Data[[#This Row],[Estimated Concrete Demand (m³)]]&lt;10000,"Small",
IF(Market_Data[[#This Row],[Estimated Concrete Demand (m³)]]&lt;25000,"Medium",
IF(Market_Data[[#This Row],[Estimated Concrete Demand (m³)]]&lt;100000,"Large","Mega"))))</f>
        <v>Small</v>
      </c>
      <c r="P65" s="287" t="str">
        <f t="shared" si="0"/>
        <v>GujRERA</v>
      </c>
    </row>
    <row r="66" spans="1:16">
      <c r="A66" s="129" t="str">
        <f>_xlfn.XLOOKUP(B66,$S$9:$S$14,$T$9:$T$14)&amp;"-"&amp;
IF(E66="Residential/Group Housing","RES",
IF(E66="Commercial","COM",
IF(E66="Mixed Development","MIX",
IF(E66="Plotted Development","PLT","OTH"))))
&amp;"-"&amp;TEXT(COUNTIFS($B$9:B66,B66,$E$9:E66,E66),"0000")</f>
        <v>BHR-MIX-0021</v>
      </c>
      <c r="B66" s="322" t="s">
        <v>36</v>
      </c>
      <c r="C66" s="322" t="s">
        <v>36</v>
      </c>
      <c r="D66" s="323" t="s">
        <v>251</v>
      </c>
      <c r="E66" s="132" t="s">
        <v>25</v>
      </c>
      <c r="F66" s="97" t="str">
        <f ca="1">IF(OR(Market_Data[[#This Row],[Start Date]]="",Market_Data[[#This Row],[Completion Date]]=""),"Needs Validation",IF(Market_Data[[#This Row],[Start Date]]&gt;TODAY(),"Planned",IF(Market_Data[[#This Row],[Completion Date]]&lt;TODAY(),"Completed","Ongoing")))</f>
        <v>Completed</v>
      </c>
      <c r="G66" s="324">
        <v>44493</v>
      </c>
      <c r="H66" s="324">
        <v>46022</v>
      </c>
      <c r="I66" s="325">
        <v>40000</v>
      </c>
      <c r="J6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6" s="133">
        <f>_xlfn.XLOOKUP(Market_Data[[#This Row],[Project Type]],tbl_assumptions_market[Project Category (RERA)],tbl_assumptions_market[Concrete Intensity
(m³ / sq m BUA)],"",0)</f>
        <v>0.42</v>
      </c>
      <c r="L66" s="134">
        <f>ROUND(Market_Data[[#This Row],[Estimated Built Up Area (sq m)]]*Market_Data[[#This Row],[Concrete Intensity
(m³ / sq m)]],0)</f>
        <v>16800</v>
      </c>
      <c r="M66" s="135">
        <f>_xlfn.XLOOKUP(Market_Data[[#This Row],[District]],tbl_district_price[District],tbl_district_price[Standard Price
(INR/m³)],"",0)</f>
        <v>5800</v>
      </c>
      <c r="N66" s="364">
        <f>IF(OR(Market_Data[[#This Row],[Estimated Concrete Demand (m³)]]="",Market_Data[[#This Row],[Avg Price per (₹ / m³)]]=""),"",Market_Data[[#This Row],[Estimated Concrete Demand (m³)]]*Market_Data[[#This Row],[Avg Price per (₹ / m³)]]/10000000)</f>
        <v>9.7439999999999998</v>
      </c>
      <c r="O66" s="97" t="str">
        <f>IF(Market_Data[[#This Row],[Estimated Concrete Demand (m³)]]="","",
IF(Market_Data[[#This Row],[Estimated Concrete Demand (m³)]]&lt;10000,"Small",
IF(Market_Data[[#This Row],[Estimated Concrete Demand (m³)]]&lt;25000,"Medium",
IF(Market_Data[[#This Row],[Estimated Concrete Demand (m³)]]&lt;100000,"Large","Mega"))))</f>
        <v>Medium</v>
      </c>
      <c r="P66" s="287" t="str">
        <f t="shared" si="0"/>
        <v>GujRERA</v>
      </c>
    </row>
    <row r="67" spans="1:16">
      <c r="A67" s="129" t="str">
        <f>_xlfn.XLOOKUP(B67,$S$9:$S$14,$T$9:$T$14)&amp;"-"&amp;
IF(E67="Residential/Group Housing","RES",
IF(E67="Commercial","COM",
IF(E67="Mixed Development","MIX",
IF(E67="Plotted Development","PLT","OTH"))))
&amp;"-"&amp;TEXT(COUNTIFS($B$9:B67,B67,$E$9:E67,E67),"0000")</f>
        <v>BHR-RES-0027</v>
      </c>
      <c r="B67" s="322" t="s">
        <v>36</v>
      </c>
      <c r="C67" s="322" t="s">
        <v>36</v>
      </c>
      <c r="D67" s="323" t="s">
        <v>252</v>
      </c>
      <c r="E67" s="132" t="s">
        <v>24</v>
      </c>
      <c r="F67" s="97" t="str">
        <f ca="1">IF(OR(Market_Data[[#This Row],[Start Date]]="",Market_Data[[#This Row],[Completion Date]]=""),"Needs Validation",IF(Market_Data[[#This Row],[Start Date]]&gt;TODAY(),"Planned",IF(Market_Data[[#This Row],[Completion Date]]&lt;TODAY(),"Completed","Ongoing")))</f>
        <v>Completed</v>
      </c>
      <c r="G67" s="324">
        <v>43435</v>
      </c>
      <c r="H67" s="324">
        <v>45016</v>
      </c>
      <c r="I67" s="325">
        <v>11700</v>
      </c>
      <c r="J6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7" s="133">
        <f>_xlfn.XLOOKUP(Market_Data[[#This Row],[Project Type]],tbl_assumptions_market[Project Category (RERA)],tbl_assumptions_market[Concrete Intensity
(m³ / sq m BUA)],"",0)</f>
        <v>0.45</v>
      </c>
      <c r="L67" s="134">
        <f>ROUND(Market_Data[[#This Row],[Estimated Built Up Area (sq m)]]*Market_Data[[#This Row],[Concrete Intensity
(m³ / sq m)]],0)</f>
        <v>5265</v>
      </c>
      <c r="M67" s="135">
        <f>_xlfn.XLOOKUP(Market_Data[[#This Row],[District]],tbl_district_price[District],tbl_district_price[Standard Price
(INR/m³)],"",0)</f>
        <v>5800</v>
      </c>
      <c r="N67" s="364">
        <f>IF(OR(Market_Data[[#This Row],[Estimated Concrete Demand (m³)]]="",Market_Data[[#This Row],[Avg Price per (₹ / m³)]]=""),"",Market_Data[[#This Row],[Estimated Concrete Demand (m³)]]*Market_Data[[#This Row],[Avg Price per (₹ / m³)]]/10000000)</f>
        <v>3.0537000000000001</v>
      </c>
      <c r="O67" s="97" t="str">
        <f>IF(Market_Data[[#This Row],[Estimated Concrete Demand (m³)]]="","",
IF(Market_Data[[#This Row],[Estimated Concrete Demand (m³)]]&lt;10000,"Small",
IF(Market_Data[[#This Row],[Estimated Concrete Demand (m³)]]&lt;25000,"Medium",
IF(Market_Data[[#This Row],[Estimated Concrete Demand (m³)]]&lt;100000,"Large","Mega"))))</f>
        <v>Small</v>
      </c>
      <c r="P67" s="287" t="str">
        <f t="shared" si="0"/>
        <v>GujRERA</v>
      </c>
    </row>
    <row r="68" spans="1:16">
      <c r="A68" s="129" t="str">
        <f>_xlfn.XLOOKUP(B68,$S$9:$S$14,$T$9:$T$14)&amp;"-"&amp;
IF(E68="Residential/Group Housing","RES",
IF(E68="Commercial","COM",
IF(E68="Mixed Development","MIX",
IF(E68="Plotted Development","PLT","OTH"))))
&amp;"-"&amp;TEXT(COUNTIFS($B$9:B68,B68,$E$9:E68,E68),"0000")</f>
        <v>BHR-RES-0028</v>
      </c>
      <c r="B68" s="322" t="s">
        <v>36</v>
      </c>
      <c r="C68" s="322" t="s">
        <v>36</v>
      </c>
      <c r="D68" s="323" t="s">
        <v>253</v>
      </c>
      <c r="E68" s="132" t="s">
        <v>24</v>
      </c>
      <c r="F68" s="97" t="str">
        <f ca="1">IF(OR(Market_Data[[#This Row],[Start Date]]="",Market_Data[[#This Row],[Completion Date]]=""),"Needs Validation",IF(Market_Data[[#This Row],[Start Date]]&gt;TODAY(),"Planned",IF(Market_Data[[#This Row],[Completion Date]]&lt;TODAY(),"Completed","Ongoing")))</f>
        <v>Completed</v>
      </c>
      <c r="G68" s="324">
        <v>42200</v>
      </c>
      <c r="H68" s="324">
        <v>45046</v>
      </c>
      <c r="I68" s="325">
        <v>31600</v>
      </c>
      <c r="J6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8" s="133">
        <f>_xlfn.XLOOKUP(Market_Data[[#This Row],[Project Type]],tbl_assumptions_market[Project Category (RERA)],tbl_assumptions_market[Concrete Intensity
(m³ / sq m BUA)],"",0)</f>
        <v>0.45</v>
      </c>
      <c r="L68" s="134">
        <f>ROUND(Market_Data[[#This Row],[Estimated Built Up Area (sq m)]]*Market_Data[[#This Row],[Concrete Intensity
(m³ / sq m)]],0)</f>
        <v>14220</v>
      </c>
      <c r="M68" s="135">
        <f>_xlfn.XLOOKUP(Market_Data[[#This Row],[District]],tbl_district_price[District],tbl_district_price[Standard Price
(INR/m³)],"",0)</f>
        <v>5800</v>
      </c>
      <c r="N68" s="364">
        <f>IF(OR(Market_Data[[#This Row],[Estimated Concrete Demand (m³)]]="",Market_Data[[#This Row],[Avg Price per (₹ / m³)]]=""),"",Market_Data[[#This Row],[Estimated Concrete Demand (m³)]]*Market_Data[[#This Row],[Avg Price per (₹ / m³)]]/10000000)</f>
        <v>8.2476000000000003</v>
      </c>
      <c r="O68" s="97" t="str">
        <f>IF(Market_Data[[#This Row],[Estimated Concrete Demand (m³)]]="","",
IF(Market_Data[[#This Row],[Estimated Concrete Demand (m³)]]&lt;10000,"Small",
IF(Market_Data[[#This Row],[Estimated Concrete Demand (m³)]]&lt;25000,"Medium",
IF(Market_Data[[#This Row],[Estimated Concrete Demand (m³)]]&lt;100000,"Large","Mega"))))</f>
        <v>Medium</v>
      </c>
      <c r="P68" s="287" t="str">
        <f t="shared" si="0"/>
        <v>GujRERA</v>
      </c>
    </row>
    <row r="69" spans="1:16">
      <c r="A69" s="129" t="str">
        <f>_xlfn.XLOOKUP(B69,$S$9:$S$14,$T$9:$T$14)&amp;"-"&amp;
IF(E69="Residential/Group Housing","RES",
IF(E69="Commercial","COM",
IF(E69="Mixed Development","MIX",
IF(E69="Plotted Development","PLT","OTH"))))
&amp;"-"&amp;TEXT(COUNTIFS($B$9:B69,B69,$E$9:E69,E69),"0000")</f>
        <v>BHR-RES-0029</v>
      </c>
      <c r="B69" s="322" t="s">
        <v>36</v>
      </c>
      <c r="C69" s="322" t="s">
        <v>36</v>
      </c>
      <c r="D69" s="323" t="s">
        <v>254</v>
      </c>
      <c r="E69" s="132" t="s">
        <v>24</v>
      </c>
      <c r="F69" s="97" t="str">
        <f ca="1">IF(OR(Market_Data[[#This Row],[Start Date]]="",Market_Data[[#This Row],[Completion Date]]=""),"Needs Validation",IF(Market_Data[[#This Row],[Start Date]]&gt;TODAY(),"Planned",IF(Market_Data[[#This Row],[Completion Date]]&lt;TODAY(),"Completed","Ongoing")))</f>
        <v>Ongoing</v>
      </c>
      <c r="G69" s="324">
        <v>45108</v>
      </c>
      <c r="H69" s="324">
        <v>46996</v>
      </c>
      <c r="I69" s="325">
        <v>54700</v>
      </c>
      <c r="J6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9" s="133">
        <f>_xlfn.XLOOKUP(Market_Data[[#This Row],[Project Type]],tbl_assumptions_market[Project Category (RERA)],tbl_assumptions_market[Concrete Intensity
(m³ / sq m BUA)],"",0)</f>
        <v>0.45</v>
      </c>
      <c r="L69" s="134">
        <f>ROUND(Market_Data[[#This Row],[Estimated Built Up Area (sq m)]]*Market_Data[[#This Row],[Concrete Intensity
(m³ / sq m)]],0)</f>
        <v>24615</v>
      </c>
      <c r="M69" s="135">
        <f>_xlfn.XLOOKUP(Market_Data[[#This Row],[District]],tbl_district_price[District],tbl_district_price[Standard Price
(INR/m³)],"",0)</f>
        <v>5800</v>
      </c>
      <c r="N69" s="364">
        <f>IF(OR(Market_Data[[#This Row],[Estimated Concrete Demand (m³)]]="",Market_Data[[#This Row],[Avg Price per (₹ / m³)]]=""),"",Market_Data[[#This Row],[Estimated Concrete Demand (m³)]]*Market_Data[[#This Row],[Avg Price per (₹ / m³)]]/10000000)</f>
        <v>14.2767</v>
      </c>
      <c r="O69" s="97" t="str">
        <f>IF(Market_Data[[#This Row],[Estimated Concrete Demand (m³)]]="","",
IF(Market_Data[[#This Row],[Estimated Concrete Demand (m³)]]&lt;10000,"Small",
IF(Market_Data[[#This Row],[Estimated Concrete Demand (m³)]]&lt;25000,"Medium",
IF(Market_Data[[#This Row],[Estimated Concrete Demand (m³)]]&lt;100000,"Large","Mega"))))</f>
        <v>Medium</v>
      </c>
      <c r="P69" s="287" t="str">
        <f t="shared" si="0"/>
        <v>GujRERA</v>
      </c>
    </row>
    <row r="70" spans="1:16">
      <c r="A70" s="129" t="str">
        <f>_xlfn.XLOOKUP(B70,$S$9:$S$14,$T$9:$T$14)&amp;"-"&amp;
IF(E70="Residential/Group Housing","RES",
IF(E70="Commercial","COM",
IF(E70="Mixed Development","MIX",
IF(E70="Plotted Development","PLT","OTH"))))
&amp;"-"&amp;TEXT(COUNTIFS($B$9:B70,B70,$E$9:E70,E70),"0000")</f>
        <v>BHR-RES-0030</v>
      </c>
      <c r="B70" s="322" t="s">
        <v>36</v>
      </c>
      <c r="C70" s="322" t="s">
        <v>36</v>
      </c>
      <c r="D70" s="323" t="s">
        <v>255</v>
      </c>
      <c r="E70" s="132" t="s">
        <v>24</v>
      </c>
      <c r="F70" s="97" t="str">
        <f ca="1">IF(OR(Market_Data[[#This Row],[Start Date]]="",Market_Data[[#This Row],[Completion Date]]=""),"Needs Validation",IF(Market_Data[[#This Row],[Start Date]]&gt;TODAY(),"Planned",IF(Market_Data[[#This Row],[Completion Date]]&lt;TODAY(),"Completed","Ongoing")))</f>
        <v>Completed</v>
      </c>
      <c r="G70" s="324">
        <v>40934</v>
      </c>
      <c r="H70" s="324">
        <v>43555</v>
      </c>
      <c r="I70" s="325">
        <v>13200</v>
      </c>
      <c r="J7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0" s="133">
        <f>_xlfn.XLOOKUP(Market_Data[[#This Row],[Project Type]],tbl_assumptions_market[Project Category (RERA)],tbl_assumptions_market[Concrete Intensity
(m³ / sq m BUA)],"",0)</f>
        <v>0.45</v>
      </c>
      <c r="L70" s="134">
        <f>ROUND(Market_Data[[#This Row],[Estimated Built Up Area (sq m)]]*Market_Data[[#This Row],[Concrete Intensity
(m³ / sq m)]],0)</f>
        <v>5940</v>
      </c>
      <c r="M70" s="135">
        <f>_xlfn.XLOOKUP(Market_Data[[#This Row],[District]],tbl_district_price[District],tbl_district_price[Standard Price
(INR/m³)],"",0)</f>
        <v>5800</v>
      </c>
      <c r="N70" s="364">
        <f>IF(OR(Market_Data[[#This Row],[Estimated Concrete Demand (m³)]]="",Market_Data[[#This Row],[Avg Price per (₹ / m³)]]=""),"",Market_Data[[#This Row],[Estimated Concrete Demand (m³)]]*Market_Data[[#This Row],[Avg Price per (₹ / m³)]]/10000000)</f>
        <v>3.4451999999999998</v>
      </c>
      <c r="O70" s="97" t="str">
        <f>IF(Market_Data[[#This Row],[Estimated Concrete Demand (m³)]]="","",
IF(Market_Data[[#This Row],[Estimated Concrete Demand (m³)]]&lt;10000,"Small",
IF(Market_Data[[#This Row],[Estimated Concrete Demand (m³)]]&lt;25000,"Medium",
IF(Market_Data[[#This Row],[Estimated Concrete Demand (m³)]]&lt;100000,"Large","Mega"))))</f>
        <v>Small</v>
      </c>
      <c r="P70" s="287" t="str">
        <f t="shared" si="0"/>
        <v>GujRERA</v>
      </c>
    </row>
    <row r="71" spans="1:16">
      <c r="A71" s="129" t="str">
        <f>_xlfn.XLOOKUP(B71,$S$9:$S$14,$T$9:$T$14)&amp;"-"&amp;
IF(E71="Residential/Group Housing","RES",
IF(E71="Commercial","COM",
IF(E71="Mixed Development","MIX",
IF(E71="Plotted Development","PLT","OTH"))))
&amp;"-"&amp;TEXT(COUNTIFS($B$9:B71,B71,$E$9:E71,E71),"0000")</f>
        <v>BHR-RES-0031</v>
      </c>
      <c r="B71" s="322" t="s">
        <v>36</v>
      </c>
      <c r="C71" s="322" t="s">
        <v>36</v>
      </c>
      <c r="D71" s="323" t="s">
        <v>256</v>
      </c>
      <c r="E71" s="132" t="s">
        <v>24</v>
      </c>
      <c r="F71" s="97" t="str">
        <f ca="1">IF(OR(Market_Data[[#This Row],[Start Date]]="",Market_Data[[#This Row],[Completion Date]]=""),"Needs Validation",IF(Market_Data[[#This Row],[Start Date]]&gt;TODAY(),"Planned",IF(Market_Data[[#This Row],[Completion Date]]&lt;TODAY(),"Completed","Ongoing")))</f>
        <v>Ongoing</v>
      </c>
      <c r="G71" s="324">
        <v>45414</v>
      </c>
      <c r="H71" s="324">
        <v>46327</v>
      </c>
      <c r="I71" s="325">
        <v>7000</v>
      </c>
      <c r="J7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1" s="133">
        <f>_xlfn.XLOOKUP(Market_Data[[#This Row],[Project Type]],tbl_assumptions_market[Project Category (RERA)],tbl_assumptions_market[Concrete Intensity
(m³ / sq m BUA)],"",0)</f>
        <v>0.45</v>
      </c>
      <c r="L71" s="134">
        <f>ROUND(Market_Data[[#This Row],[Estimated Built Up Area (sq m)]]*Market_Data[[#This Row],[Concrete Intensity
(m³ / sq m)]],0)</f>
        <v>3150</v>
      </c>
      <c r="M71" s="135">
        <f>_xlfn.XLOOKUP(Market_Data[[#This Row],[District]],tbl_district_price[District],tbl_district_price[Standard Price
(INR/m³)],"",0)</f>
        <v>5800</v>
      </c>
      <c r="N71" s="364">
        <f>IF(OR(Market_Data[[#This Row],[Estimated Concrete Demand (m³)]]="",Market_Data[[#This Row],[Avg Price per (₹ / m³)]]=""),"",Market_Data[[#This Row],[Estimated Concrete Demand (m³)]]*Market_Data[[#This Row],[Avg Price per (₹ / m³)]]/10000000)</f>
        <v>1.827</v>
      </c>
      <c r="O71" s="97" t="str">
        <f>IF(Market_Data[[#This Row],[Estimated Concrete Demand (m³)]]="","",
IF(Market_Data[[#This Row],[Estimated Concrete Demand (m³)]]&lt;10000,"Small",
IF(Market_Data[[#This Row],[Estimated Concrete Demand (m³)]]&lt;25000,"Medium",
IF(Market_Data[[#This Row],[Estimated Concrete Demand (m³)]]&lt;100000,"Large","Mega"))))</f>
        <v>Small</v>
      </c>
      <c r="P71" s="287" t="str">
        <f t="shared" si="0"/>
        <v>GujRERA</v>
      </c>
    </row>
    <row r="72" spans="1:16">
      <c r="A72" s="129" t="str">
        <f>_xlfn.XLOOKUP(B72,$S$9:$S$14,$T$9:$T$14)&amp;"-"&amp;
IF(E72="Residential/Group Housing","RES",
IF(E72="Commercial","COM",
IF(E72="Mixed Development","MIX",
IF(E72="Plotted Development","PLT","OTH"))))
&amp;"-"&amp;TEXT(COUNTIFS($B$9:B72,B72,$E$9:E72,E72),"0000")</f>
        <v>BHR-RES-0032</v>
      </c>
      <c r="B72" s="322" t="s">
        <v>36</v>
      </c>
      <c r="C72" s="322" t="s">
        <v>36</v>
      </c>
      <c r="D72" s="323" t="s">
        <v>257</v>
      </c>
      <c r="E72" s="132" t="s">
        <v>24</v>
      </c>
      <c r="F72" s="97" t="str">
        <f ca="1">IF(OR(Market_Data[[#This Row],[Start Date]]="",Market_Data[[#This Row],[Completion Date]]=""),"Needs Validation",IF(Market_Data[[#This Row],[Start Date]]&gt;TODAY(),"Planned",IF(Market_Data[[#This Row],[Completion Date]]&lt;TODAY(),"Completed","Ongoing")))</f>
        <v>Completed</v>
      </c>
      <c r="G72" s="324">
        <v>42663</v>
      </c>
      <c r="H72" s="324">
        <v>44650</v>
      </c>
      <c r="I72" s="325">
        <v>6000</v>
      </c>
      <c r="J7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2" s="133">
        <f>_xlfn.XLOOKUP(Market_Data[[#This Row],[Project Type]],tbl_assumptions_market[Project Category (RERA)],tbl_assumptions_market[Concrete Intensity
(m³ / sq m BUA)],"",0)</f>
        <v>0.45</v>
      </c>
      <c r="L72" s="134">
        <f>ROUND(Market_Data[[#This Row],[Estimated Built Up Area (sq m)]]*Market_Data[[#This Row],[Concrete Intensity
(m³ / sq m)]],0)</f>
        <v>2700</v>
      </c>
      <c r="M72" s="135">
        <f>_xlfn.XLOOKUP(Market_Data[[#This Row],[District]],tbl_district_price[District],tbl_district_price[Standard Price
(INR/m³)],"",0)</f>
        <v>5800</v>
      </c>
      <c r="N72" s="364">
        <f>IF(OR(Market_Data[[#This Row],[Estimated Concrete Demand (m³)]]="",Market_Data[[#This Row],[Avg Price per (₹ / m³)]]=""),"",Market_Data[[#This Row],[Estimated Concrete Demand (m³)]]*Market_Data[[#This Row],[Avg Price per (₹ / m³)]]/10000000)</f>
        <v>1.5660000000000001</v>
      </c>
      <c r="O72" s="97" t="str">
        <f>IF(Market_Data[[#This Row],[Estimated Concrete Demand (m³)]]="","",
IF(Market_Data[[#This Row],[Estimated Concrete Demand (m³)]]&lt;10000,"Small",
IF(Market_Data[[#This Row],[Estimated Concrete Demand (m³)]]&lt;25000,"Medium",
IF(Market_Data[[#This Row],[Estimated Concrete Demand (m³)]]&lt;100000,"Large","Mega"))))</f>
        <v>Small</v>
      </c>
      <c r="P72" s="287" t="str">
        <f t="shared" si="0"/>
        <v>GujRERA</v>
      </c>
    </row>
    <row r="73" spans="1:16">
      <c r="A73" s="129" t="str">
        <f>_xlfn.XLOOKUP(B73,$S$9:$S$14,$T$9:$T$14)&amp;"-"&amp;
IF(E73="Residential/Group Housing","RES",
IF(E73="Commercial","COM",
IF(E73="Mixed Development","MIX",
IF(E73="Plotted Development","PLT","OTH"))))
&amp;"-"&amp;TEXT(COUNTIFS($B$9:B73,B73,$E$9:E73,E73),"0000")</f>
        <v>BHR-RES-0033</v>
      </c>
      <c r="B73" s="322" t="s">
        <v>36</v>
      </c>
      <c r="C73" s="322" t="s">
        <v>36</v>
      </c>
      <c r="D73" s="323" t="s">
        <v>258</v>
      </c>
      <c r="E73" s="132" t="s">
        <v>24</v>
      </c>
      <c r="F73" s="97" t="str">
        <f ca="1">IF(OR(Market_Data[[#This Row],[Start Date]]="",Market_Data[[#This Row],[Completion Date]]=""),"Needs Validation",IF(Market_Data[[#This Row],[Start Date]]&gt;TODAY(),"Planned",IF(Market_Data[[#This Row],[Completion Date]]&lt;TODAY(),"Completed","Ongoing")))</f>
        <v>Ongoing</v>
      </c>
      <c r="G73" s="324">
        <v>44866</v>
      </c>
      <c r="H73" s="324">
        <v>46691</v>
      </c>
      <c r="I73" s="325">
        <v>3700</v>
      </c>
      <c r="J7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3" s="133">
        <f>_xlfn.XLOOKUP(Market_Data[[#This Row],[Project Type]],tbl_assumptions_market[Project Category (RERA)],tbl_assumptions_market[Concrete Intensity
(m³ / sq m BUA)],"",0)</f>
        <v>0.45</v>
      </c>
      <c r="L73" s="134">
        <f>ROUND(Market_Data[[#This Row],[Estimated Built Up Area (sq m)]]*Market_Data[[#This Row],[Concrete Intensity
(m³ / sq m)]],0)</f>
        <v>1665</v>
      </c>
      <c r="M73" s="135">
        <f>_xlfn.XLOOKUP(Market_Data[[#This Row],[District]],tbl_district_price[District],tbl_district_price[Standard Price
(INR/m³)],"",0)</f>
        <v>5800</v>
      </c>
      <c r="N73" s="364">
        <f>IF(OR(Market_Data[[#This Row],[Estimated Concrete Demand (m³)]]="",Market_Data[[#This Row],[Avg Price per (₹ / m³)]]=""),"",Market_Data[[#This Row],[Estimated Concrete Demand (m³)]]*Market_Data[[#This Row],[Avg Price per (₹ / m³)]]/10000000)</f>
        <v>0.9657</v>
      </c>
      <c r="O73" s="97" t="str">
        <f>IF(Market_Data[[#This Row],[Estimated Concrete Demand (m³)]]="","",
IF(Market_Data[[#This Row],[Estimated Concrete Demand (m³)]]&lt;10000,"Small",
IF(Market_Data[[#This Row],[Estimated Concrete Demand (m³)]]&lt;25000,"Medium",
IF(Market_Data[[#This Row],[Estimated Concrete Demand (m³)]]&lt;100000,"Large","Mega"))))</f>
        <v>Small</v>
      </c>
      <c r="P73" s="287" t="str">
        <f t="shared" si="0"/>
        <v>GujRERA</v>
      </c>
    </row>
    <row r="74" spans="1:16">
      <c r="A74" s="129" t="str">
        <f>_xlfn.XLOOKUP(B74,$S$9:$S$14,$T$9:$T$14)&amp;"-"&amp;
IF(E74="Residential/Group Housing","RES",
IF(E74="Commercial","COM",
IF(E74="Mixed Development","MIX",
IF(E74="Plotted Development","PLT","OTH"))))
&amp;"-"&amp;TEXT(COUNTIFS($B$9:B74,B74,$E$9:E74,E74),"0000")</f>
        <v>BHR-RES-0034</v>
      </c>
      <c r="B74" s="322" t="s">
        <v>36</v>
      </c>
      <c r="C74" s="322" t="s">
        <v>36</v>
      </c>
      <c r="D74" s="323" t="s">
        <v>259</v>
      </c>
      <c r="E74" s="132" t="s">
        <v>24</v>
      </c>
      <c r="F74" s="97" t="str">
        <f ca="1">IF(OR(Market_Data[[#This Row],[Start Date]]="",Market_Data[[#This Row],[Completion Date]]=""),"Needs Validation",IF(Market_Data[[#This Row],[Start Date]]&gt;TODAY(),"Planned",IF(Market_Data[[#This Row],[Completion Date]]&lt;TODAY(),"Completed","Ongoing")))</f>
        <v>Ongoing</v>
      </c>
      <c r="G74" s="324">
        <v>44759</v>
      </c>
      <c r="H74" s="324">
        <v>46477</v>
      </c>
      <c r="I74" s="325">
        <v>16600</v>
      </c>
      <c r="J7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4" s="133">
        <f>_xlfn.XLOOKUP(Market_Data[[#This Row],[Project Type]],tbl_assumptions_market[Project Category (RERA)],tbl_assumptions_market[Concrete Intensity
(m³ / sq m BUA)],"",0)</f>
        <v>0.45</v>
      </c>
      <c r="L74" s="134">
        <f>ROUND(Market_Data[[#This Row],[Estimated Built Up Area (sq m)]]*Market_Data[[#This Row],[Concrete Intensity
(m³ / sq m)]],0)</f>
        <v>7470</v>
      </c>
      <c r="M74" s="135">
        <f>_xlfn.XLOOKUP(Market_Data[[#This Row],[District]],tbl_district_price[District],tbl_district_price[Standard Price
(INR/m³)],"",0)</f>
        <v>5800</v>
      </c>
      <c r="N74" s="364">
        <f>IF(OR(Market_Data[[#This Row],[Estimated Concrete Demand (m³)]]="",Market_Data[[#This Row],[Avg Price per (₹ / m³)]]=""),"",Market_Data[[#This Row],[Estimated Concrete Demand (m³)]]*Market_Data[[#This Row],[Avg Price per (₹ / m³)]]/10000000)</f>
        <v>4.3326000000000002</v>
      </c>
      <c r="O74" s="97" t="str">
        <f>IF(Market_Data[[#This Row],[Estimated Concrete Demand (m³)]]="","",
IF(Market_Data[[#This Row],[Estimated Concrete Demand (m³)]]&lt;10000,"Small",
IF(Market_Data[[#This Row],[Estimated Concrete Demand (m³)]]&lt;25000,"Medium",
IF(Market_Data[[#This Row],[Estimated Concrete Demand (m³)]]&lt;100000,"Large","Mega"))))</f>
        <v>Small</v>
      </c>
      <c r="P74" s="287" t="str">
        <f t="shared" ref="P74:P137" si="3">HYPERLINK(
"https://gujrera.gujarat.gov.in",
"GujRERA")</f>
        <v>GujRERA</v>
      </c>
    </row>
    <row r="75" spans="1:16">
      <c r="A75" s="129" t="str">
        <f>_xlfn.XLOOKUP(B75,$S$9:$S$14,$T$9:$T$14)&amp;"-"&amp;
IF(E75="Residential/Group Housing","RES",
IF(E75="Commercial","COM",
IF(E75="Mixed Development","MIX",
IF(E75="Plotted Development","PLT","OTH"))))
&amp;"-"&amp;TEXT(COUNTIFS($B$9:B75,B75,$E$9:E75,E75),"0000")</f>
        <v>BHR-MIX-0022</v>
      </c>
      <c r="B75" s="322" t="s">
        <v>36</v>
      </c>
      <c r="C75" s="322" t="s">
        <v>36</v>
      </c>
      <c r="D75" s="323" t="s">
        <v>260</v>
      </c>
      <c r="E75" s="132" t="s">
        <v>25</v>
      </c>
      <c r="F75" s="97" t="str">
        <f ca="1">IF(OR(Market_Data[[#This Row],[Start Date]]="",Market_Data[[#This Row],[Completion Date]]=""),"Needs Validation",IF(Market_Data[[#This Row],[Start Date]]&gt;TODAY(),"Planned",IF(Market_Data[[#This Row],[Completion Date]]&lt;TODAY(),"Completed","Ongoing")))</f>
        <v>Completed</v>
      </c>
      <c r="G75" s="324">
        <v>42461</v>
      </c>
      <c r="H75" s="324">
        <v>43646</v>
      </c>
      <c r="I75" s="325">
        <v>6200</v>
      </c>
      <c r="J7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75" s="133">
        <f>_xlfn.XLOOKUP(Market_Data[[#This Row],[Project Type]],tbl_assumptions_market[Project Category (RERA)],tbl_assumptions_market[Concrete Intensity
(m³ / sq m BUA)],"",0)</f>
        <v>0.42</v>
      </c>
      <c r="L75" s="134">
        <f>ROUND(Market_Data[[#This Row],[Estimated Built Up Area (sq m)]]*Market_Data[[#This Row],[Concrete Intensity
(m³ / sq m)]],0)</f>
        <v>2604</v>
      </c>
      <c r="M75" s="135">
        <f>_xlfn.XLOOKUP(Market_Data[[#This Row],[District]],tbl_district_price[District],tbl_district_price[Standard Price
(INR/m³)],"",0)</f>
        <v>5800</v>
      </c>
      <c r="N75" s="364">
        <f>IF(OR(Market_Data[[#This Row],[Estimated Concrete Demand (m³)]]="",Market_Data[[#This Row],[Avg Price per (₹ / m³)]]=""),"",Market_Data[[#This Row],[Estimated Concrete Demand (m³)]]*Market_Data[[#This Row],[Avg Price per (₹ / m³)]]/10000000)</f>
        <v>1.5103200000000001</v>
      </c>
      <c r="O75" s="97" t="str">
        <f>IF(Market_Data[[#This Row],[Estimated Concrete Demand (m³)]]="","",
IF(Market_Data[[#This Row],[Estimated Concrete Demand (m³)]]&lt;10000,"Small",
IF(Market_Data[[#This Row],[Estimated Concrete Demand (m³)]]&lt;25000,"Medium",
IF(Market_Data[[#This Row],[Estimated Concrete Demand (m³)]]&lt;100000,"Large","Mega"))))</f>
        <v>Small</v>
      </c>
      <c r="P75" s="287" t="str">
        <f t="shared" si="3"/>
        <v>GujRERA</v>
      </c>
    </row>
    <row r="76" spans="1:16">
      <c r="A76" s="129" t="str">
        <f>_xlfn.XLOOKUP(B76,$S$9:$S$14,$T$9:$T$14)&amp;"-"&amp;
IF(E76="Residential/Group Housing","RES",
IF(E76="Commercial","COM",
IF(E76="Mixed Development","MIX",
IF(E76="Plotted Development","PLT","OTH"))))
&amp;"-"&amp;TEXT(COUNTIFS($B$9:B76,B76,$E$9:E76,E76),"0000")</f>
        <v>BHR-MIX-0023</v>
      </c>
      <c r="B76" s="322" t="s">
        <v>36</v>
      </c>
      <c r="C76" s="322" t="s">
        <v>36</v>
      </c>
      <c r="D76" s="323" t="s">
        <v>261</v>
      </c>
      <c r="E76" s="132" t="s">
        <v>25</v>
      </c>
      <c r="F76" s="97" t="str">
        <f ca="1">IF(OR(Market_Data[[#This Row],[Start Date]]="",Market_Data[[#This Row],[Completion Date]]=""),"Needs Validation",IF(Market_Data[[#This Row],[Start Date]]&gt;TODAY(),"Planned",IF(Market_Data[[#This Row],[Completion Date]]&lt;TODAY(),"Completed","Ongoing")))</f>
        <v>Ongoing</v>
      </c>
      <c r="G76" s="324">
        <v>44515</v>
      </c>
      <c r="H76" s="324">
        <v>46357</v>
      </c>
      <c r="I76" s="325">
        <v>7500</v>
      </c>
      <c r="J7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76" s="133">
        <f>_xlfn.XLOOKUP(Market_Data[[#This Row],[Project Type]],tbl_assumptions_market[Project Category (RERA)],tbl_assumptions_market[Concrete Intensity
(m³ / sq m BUA)],"",0)</f>
        <v>0.42</v>
      </c>
      <c r="L76" s="134">
        <f>ROUND(Market_Data[[#This Row],[Estimated Built Up Area (sq m)]]*Market_Data[[#This Row],[Concrete Intensity
(m³ / sq m)]],0)</f>
        <v>3150</v>
      </c>
      <c r="M76" s="135">
        <f>_xlfn.XLOOKUP(Market_Data[[#This Row],[District]],tbl_district_price[District],tbl_district_price[Standard Price
(INR/m³)],"",0)</f>
        <v>5800</v>
      </c>
      <c r="N76" s="364">
        <f>IF(OR(Market_Data[[#This Row],[Estimated Concrete Demand (m³)]]="",Market_Data[[#This Row],[Avg Price per (₹ / m³)]]=""),"",Market_Data[[#This Row],[Estimated Concrete Demand (m³)]]*Market_Data[[#This Row],[Avg Price per (₹ / m³)]]/10000000)</f>
        <v>1.827</v>
      </c>
      <c r="O76" s="97" t="str">
        <f>IF(Market_Data[[#This Row],[Estimated Concrete Demand (m³)]]="","",
IF(Market_Data[[#This Row],[Estimated Concrete Demand (m³)]]&lt;10000,"Small",
IF(Market_Data[[#This Row],[Estimated Concrete Demand (m³)]]&lt;25000,"Medium",
IF(Market_Data[[#This Row],[Estimated Concrete Demand (m³)]]&lt;100000,"Large","Mega"))))</f>
        <v>Small</v>
      </c>
      <c r="P76" s="287" t="str">
        <f t="shared" si="3"/>
        <v>GujRERA</v>
      </c>
    </row>
    <row r="77" spans="1:16">
      <c r="A77" s="129" t="str">
        <f>_xlfn.XLOOKUP(B77,$S$9:$S$14,$T$9:$T$14)&amp;"-"&amp;
IF(E77="Residential/Group Housing","RES",
IF(E77="Commercial","COM",
IF(E77="Mixed Development","MIX",
IF(E77="Plotted Development","PLT","OTH"))))
&amp;"-"&amp;TEXT(COUNTIFS($B$9:B77,B77,$E$9:E77,E77),"0000")</f>
        <v>BHR-RES-0035</v>
      </c>
      <c r="B77" s="322" t="s">
        <v>36</v>
      </c>
      <c r="C77" s="322" t="s">
        <v>36</v>
      </c>
      <c r="D77" s="323" t="s">
        <v>262</v>
      </c>
      <c r="E77" s="132" t="s">
        <v>24</v>
      </c>
      <c r="F77" s="97" t="str">
        <f ca="1">IF(OR(Market_Data[[#This Row],[Start Date]]="",Market_Data[[#This Row],[Completion Date]]=""),"Needs Validation",IF(Market_Data[[#This Row],[Start Date]]&gt;TODAY(),"Planned",IF(Market_Data[[#This Row],[Completion Date]]&lt;TODAY(),"Completed","Ongoing")))</f>
        <v>Ongoing</v>
      </c>
      <c r="G77" s="324">
        <v>41379</v>
      </c>
      <c r="H77" s="324">
        <v>47149</v>
      </c>
      <c r="I77" s="325">
        <v>50300</v>
      </c>
      <c r="J7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7" s="133">
        <f>_xlfn.XLOOKUP(Market_Data[[#This Row],[Project Type]],tbl_assumptions_market[Project Category (RERA)],tbl_assumptions_market[Concrete Intensity
(m³ / sq m BUA)],"",0)</f>
        <v>0.45</v>
      </c>
      <c r="L77" s="134">
        <f>ROUND(Market_Data[[#This Row],[Estimated Built Up Area (sq m)]]*Market_Data[[#This Row],[Concrete Intensity
(m³ / sq m)]],0)</f>
        <v>22635</v>
      </c>
      <c r="M77" s="135">
        <f>_xlfn.XLOOKUP(Market_Data[[#This Row],[District]],tbl_district_price[District],tbl_district_price[Standard Price
(INR/m³)],"",0)</f>
        <v>5800</v>
      </c>
      <c r="N77" s="364">
        <f>IF(OR(Market_Data[[#This Row],[Estimated Concrete Demand (m³)]]="",Market_Data[[#This Row],[Avg Price per (₹ / m³)]]=""),"",Market_Data[[#This Row],[Estimated Concrete Demand (m³)]]*Market_Data[[#This Row],[Avg Price per (₹ / m³)]]/10000000)</f>
        <v>13.128299999999999</v>
      </c>
      <c r="O77" s="97" t="str">
        <f>IF(Market_Data[[#This Row],[Estimated Concrete Demand (m³)]]="","",
IF(Market_Data[[#This Row],[Estimated Concrete Demand (m³)]]&lt;10000,"Small",
IF(Market_Data[[#This Row],[Estimated Concrete Demand (m³)]]&lt;25000,"Medium",
IF(Market_Data[[#This Row],[Estimated Concrete Demand (m³)]]&lt;100000,"Large","Mega"))))</f>
        <v>Medium</v>
      </c>
      <c r="P77" s="287" t="str">
        <f t="shared" si="3"/>
        <v>GujRERA</v>
      </c>
    </row>
    <row r="78" spans="1:16">
      <c r="A78" s="129" t="str">
        <f>_xlfn.XLOOKUP(B78,$S$9:$S$14,$T$9:$T$14)&amp;"-"&amp;
IF(E78="Residential/Group Housing","RES",
IF(E78="Commercial","COM",
IF(E78="Mixed Development","MIX",
IF(E78="Plotted Development","PLT","OTH"))))
&amp;"-"&amp;TEXT(COUNTIFS($B$9:B78,B78,$E$9:E78,E78),"0000")</f>
        <v>BHR-RES-0036</v>
      </c>
      <c r="B78" s="322" t="s">
        <v>36</v>
      </c>
      <c r="C78" s="322" t="s">
        <v>36</v>
      </c>
      <c r="D78" s="323" t="s">
        <v>263</v>
      </c>
      <c r="E78" s="132" t="s">
        <v>24</v>
      </c>
      <c r="F78" s="97" t="str">
        <f ca="1">IF(OR(Market_Data[[#This Row],[Start Date]]="",Market_Data[[#This Row],[Completion Date]]=""),"Needs Validation",IF(Market_Data[[#This Row],[Start Date]]&gt;TODAY(),"Planned",IF(Market_Data[[#This Row],[Completion Date]]&lt;TODAY(),"Completed","Ongoing")))</f>
        <v>Ongoing</v>
      </c>
      <c r="G78" s="324">
        <v>45631</v>
      </c>
      <c r="H78" s="324">
        <v>46752</v>
      </c>
      <c r="I78" s="325">
        <v>5100</v>
      </c>
      <c r="J7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8" s="133">
        <f>_xlfn.XLOOKUP(Market_Data[[#This Row],[Project Type]],tbl_assumptions_market[Project Category (RERA)],tbl_assumptions_market[Concrete Intensity
(m³ / sq m BUA)],"",0)</f>
        <v>0.45</v>
      </c>
      <c r="L78" s="134">
        <f>ROUND(Market_Data[[#This Row],[Estimated Built Up Area (sq m)]]*Market_Data[[#This Row],[Concrete Intensity
(m³ / sq m)]],0)</f>
        <v>2295</v>
      </c>
      <c r="M78" s="135">
        <f>_xlfn.XLOOKUP(Market_Data[[#This Row],[District]],tbl_district_price[District],tbl_district_price[Standard Price
(INR/m³)],"",0)</f>
        <v>5800</v>
      </c>
      <c r="N78" s="364">
        <f>IF(OR(Market_Data[[#This Row],[Estimated Concrete Demand (m³)]]="",Market_Data[[#This Row],[Avg Price per (₹ / m³)]]=""),"",Market_Data[[#This Row],[Estimated Concrete Demand (m³)]]*Market_Data[[#This Row],[Avg Price per (₹ / m³)]]/10000000)</f>
        <v>1.3310999999999999</v>
      </c>
      <c r="O78" s="97" t="str">
        <f>IF(Market_Data[[#This Row],[Estimated Concrete Demand (m³)]]="","",
IF(Market_Data[[#This Row],[Estimated Concrete Demand (m³)]]&lt;10000,"Small",
IF(Market_Data[[#This Row],[Estimated Concrete Demand (m³)]]&lt;25000,"Medium",
IF(Market_Data[[#This Row],[Estimated Concrete Demand (m³)]]&lt;100000,"Large","Mega"))))</f>
        <v>Small</v>
      </c>
      <c r="P78" s="287" t="str">
        <f t="shared" si="3"/>
        <v>GujRERA</v>
      </c>
    </row>
    <row r="79" spans="1:16">
      <c r="A79" s="129" t="str">
        <f>_xlfn.XLOOKUP(B79,$S$9:$S$14,$T$9:$T$14)&amp;"-"&amp;
IF(E79="Residential/Group Housing","RES",
IF(E79="Commercial","COM",
IF(E79="Mixed Development","MIX",
IF(E79="Plotted Development","PLT","OTH"))))
&amp;"-"&amp;TEXT(COUNTIFS($B$9:B79,B79,$E$9:E79,E79),"0000")</f>
        <v>BHR-RES-0037</v>
      </c>
      <c r="B79" s="322" t="s">
        <v>36</v>
      </c>
      <c r="C79" s="322" t="s">
        <v>36</v>
      </c>
      <c r="D79" s="323" t="s">
        <v>264</v>
      </c>
      <c r="E79" s="132" t="s">
        <v>24</v>
      </c>
      <c r="F79" s="97" t="str">
        <f ca="1">IF(OR(Market_Data[[#This Row],[Start Date]]="",Market_Data[[#This Row],[Completion Date]]=""),"Needs Validation",IF(Market_Data[[#This Row],[Start Date]]&gt;TODAY(),"Planned",IF(Market_Data[[#This Row],[Completion Date]]&lt;TODAY(),"Completed","Ongoing")))</f>
        <v>Ongoing</v>
      </c>
      <c r="G79" s="324">
        <v>45631</v>
      </c>
      <c r="H79" s="324">
        <v>46752</v>
      </c>
      <c r="I79" s="325">
        <v>9900</v>
      </c>
      <c r="J7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9" s="133">
        <f>_xlfn.XLOOKUP(Market_Data[[#This Row],[Project Type]],tbl_assumptions_market[Project Category (RERA)],tbl_assumptions_market[Concrete Intensity
(m³ / sq m BUA)],"",0)</f>
        <v>0.45</v>
      </c>
      <c r="L79" s="134">
        <f>ROUND(Market_Data[[#This Row],[Estimated Built Up Area (sq m)]]*Market_Data[[#This Row],[Concrete Intensity
(m³ / sq m)]],0)</f>
        <v>4455</v>
      </c>
      <c r="M79" s="135">
        <f>_xlfn.XLOOKUP(Market_Data[[#This Row],[District]],tbl_district_price[District],tbl_district_price[Standard Price
(INR/m³)],"",0)</f>
        <v>5800</v>
      </c>
      <c r="N79" s="364">
        <f>IF(OR(Market_Data[[#This Row],[Estimated Concrete Demand (m³)]]="",Market_Data[[#This Row],[Avg Price per (₹ / m³)]]=""),"",Market_Data[[#This Row],[Estimated Concrete Demand (m³)]]*Market_Data[[#This Row],[Avg Price per (₹ / m³)]]/10000000)</f>
        <v>2.5838999999999999</v>
      </c>
      <c r="O79" s="97" t="str">
        <f>IF(Market_Data[[#This Row],[Estimated Concrete Demand (m³)]]="","",
IF(Market_Data[[#This Row],[Estimated Concrete Demand (m³)]]&lt;10000,"Small",
IF(Market_Data[[#This Row],[Estimated Concrete Demand (m³)]]&lt;25000,"Medium",
IF(Market_Data[[#This Row],[Estimated Concrete Demand (m³)]]&lt;100000,"Large","Mega"))))</f>
        <v>Small</v>
      </c>
      <c r="P79" s="287" t="str">
        <f t="shared" si="3"/>
        <v>GujRERA</v>
      </c>
    </row>
    <row r="80" spans="1:16">
      <c r="A80" s="129" t="str">
        <f>_xlfn.XLOOKUP(B80,$S$9:$S$14,$T$9:$T$14)&amp;"-"&amp;
IF(E80="Residential/Group Housing","RES",
IF(E80="Commercial","COM",
IF(E80="Mixed Development","MIX",
IF(E80="Plotted Development","PLT","OTH"))))
&amp;"-"&amp;TEXT(COUNTIFS($B$9:B80,B80,$E$9:E80,E80),"0000")</f>
        <v>BHR-RES-0038</v>
      </c>
      <c r="B80" s="322" t="s">
        <v>36</v>
      </c>
      <c r="C80" s="322" t="s">
        <v>36</v>
      </c>
      <c r="D80" s="323" t="s">
        <v>265</v>
      </c>
      <c r="E80" s="132" t="s">
        <v>24</v>
      </c>
      <c r="F80" s="97" t="str">
        <f ca="1">IF(OR(Market_Data[[#This Row],[Start Date]]="",Market_Data[[#This Row],[Completion Date]]=""),"Needs Validation",IF(Market_Data[[#This Row],[Start Date]]&gt;TODAY(),"Planned",IF(Market_Data[[#This Row],[Completion Date]]&lt;TODAY(),"Completed","Ongoing")))</f>
        <v>Ongoing</v>
      </c>
      <c r="G80" s="324">
        <v>44835</v>
      </c>
      <c r="H80" s="324">
        <v>46387</v>
      </c>
      <c r="I80" s="325">
        <v>18200</v>
      </c>
      <c r="J8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0" s="133">
        <f>_xlfn.XLOOKUP(Market_Data[[#This Row],[Project Type]],tbl_assumptions_market[Project Category (RERA)],tbl_assumptions_market[Concrete Intensity
(m³ / sq m BUA)],"",0)</f>
        <v>0.45</v>
      </c>
      <c r="L80" s="134">
        <f>ROUND(Market_Data[[#This Row],[Estimated Built Up Area (sq m)]]*Market_Data[[#This Row],[Concrete Intensity
(m³ / sq m)]],0)</f>
        <v>8190</v>
      </c>
      <c r="M80" s="135">
        <f>_xlfn.XLOOKUP(Market_Data[[#This Row],[District]],tbl_district_price[District],tbl_district_price[Standard Price
(INR/m³)],"",0)</f>
        <v>5800</v>
      </c>
      <c r="N80" s="364">
        <f>IF(OR(Market_Data[[#This Row],[Estimated Concrete Demand (m³)]]="",Market_Data[[#This Row],[Avg Price per (₹ / m³)]]=""),"",Market_Data[[#This Row],[Estimated Concrete Demand (m³)]]*Market_Data[[#This Row],[Avg Price per (₹ / m³)]]/10000000)</f>
        <v>4.7502000000000004</v>
      </c>
      <c r="O80" s="97" t="str">
        <f>IF(Market_Data[[#This Row],[Estimated Concrete Demand (m³)]]="","",
IF(Market_Data[[#This Row],[Estimated Concrete Demand (m³)]]&lt;10000,"Small",
IF(Market_Data[[#This Row],[Estimated Concrete Demand (m³)]]&lt;25000,"Medium",
IF(Market_Data[[#This Row],[Estimated Concrete Demand (m³)]]&lt;100000,"Large","Mega"))))</f>
        <v>Small</v>
      </c>
      <c r="P80" s="287" t="str">
        <f t="shared" si="3"/>
        <v>GujRERA</v>
      </c>
    </row>
    <row r="81" spans="1:16">
      <c r="A81" s="129" t="str">
        <f>_xlfn.XLOOKUP(B81,$S$9:$S$14,$T$9:$T$14)&amp;"-"&amp;
IF(E81="Residential/Group Housing","RES",
IF(E81="Commercial","COM",
IF(E81="Mixed Development","MIX",
IF(E81="Plotted Development","PLT","OTH"))))
&amp;"-"&amp;TEXT(COUNTIFS($B$9:B81,B81,$E$9:E81,E81),"0000")</f>
        <v>BHR-MIX-0024</v>
      </c>
      <c r="B81" s="322" t="s">
        <v>36</v>
      </c>
      <c r="C81" s="322" t="s">
        <v>36</v>
      </c>
      <c r="D81" s="323" t="s">
        <v>266</v>
      </c>
      <c r="E81" s="132" t="s">
        <v>25</v>
      </c>
      <c r="F81" s="97" t="str">
        <f ca="1">IF(OR(Market_Data[[#This Row],[Start Date]]="",Market_Data[[#This Row],[Completion Date]]=""),"Needs Validation",IF(Market_Data[[#This Row],[Start Date]]&gt;TODAY(),"Planned",IF(Market_Data[[#This Row],[Completion Date]]&lt;TODAY(),"Completed","Ongoing")))</f>
        <v>Completed</v>
      </c>
      <c r="G81" s="324">
        <v>44927</v>
      </c>
      <c r="H81" s="324">
        <v>46203</v>
      </c>
      <c r="I81" s="325">
        <v>34600</v>
      </c>
      <c r="J8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1" s="133">
        <f>_xlfn.XLOOKUP(Market_Data[[#This Row],[Project Type]],tbl_assumptions_market[Project Category (RERA)],tbl_assumptions_market[Concrete Intensity
(m³ / sq m BUA)],"",0)</f>
        <v>0.42</v>
      </c>
      <c r="L81" s="134">
        <f>ROUND(Market_Data[[#This Row],[Estimated Built Up Area (sq m)]]*Market_Data[[#This Row],[Concrete Intensity
(m³ / sq m)]],0)</f>
        <v>14532</v>
      </c>
      <c r="M81" s="135">
        <f>_xlfn.XLOOKUP(Market_Data[[#This Row],[District]],tbl_district_price[District],tbl_district_price[Standard Price
(INR/m³)],"",0)</f>
        <v>5800</v>
      </c>
      <c r="N81" s="364">
        <f>IF(OR(Market_Data[[#This Row],[Estimated Concrete Demand (m³)]]="",Market_Data[[#This Row],[Avg Price per (₹ / m³)]]=""),"",Market_Data[[#This Row],[Estimated Concrete Demand (m³)]]*Market_Data[[#This Row],[Avg Price per (₹ / m³)]]/10000000)</f>
        <v>8.4285599999999992</v>
      </c>
      <c r="O81" s="97" t="str">
        <f>IF(Market_Data[[#This Row],[Estimated Concrete Demand (m³)]]="","",
IF(Market_Data[[#This Row],[Estimated Concrete Demand (m³)]]&lt;10000,"Small",
IF(Market_Data[[#This Row],[Estimated Concrete Demand (m³)]]&lt;25000,"Medium",
IF(Market_Data[[#This Row],[Estimated Concrete Demand (m³)]]&lt;100000,"Large","Mega"))))</f>
        <v>Medium</v>
      </c>
      <c r="P81" s="287" t="str">
        <f t="shared" si="3"/>
        <v>GujRERA</v>
      </c>
    </row>
    <row r="82" spans="1:16">
      <c r="A82" s="129" t="str">
        <f>_xlfn.XLOOKUP(B82,$S$9:$S$14,$T$9:$T$14)&amp;"-"&amp;
IF(E82="Residential/Group Housing","RES",
IF(E82="Commercial","COM",
IF(E82="Mixed Development","MIX",
IF(E82="Plotted Development","PLT","OTH"))))
&amp;"-"&amp;TEXT(COUNTIFS($B$9:B82,B82,$E$9:E82,E82),"0000")</f>
        <v>BHR-COM-0010</v>
      </c>
      <c r="B82" s="322" t="s">
        <v>36</v>
      </c>
      <c r="C82" s="322" t="s">
        <v>36</v>
      </c>
      <c r="D82" s="323" t="s">
        <v>267</v>
      </c>
      <c r="E82" s="132" t="s">
        <v>23</v>
      </c>
      <c r="F82" s="97" t="str">
        <f ca="1">IF(OR(Market_Data[[#This Row],[Start Date]]="",Market_Data[[#This Row],[Completion Date]]=""),"Needs Validation",IF(Market_Data[[#This Row],[Start Date]]&gt;TODAY(),"Planned",IF(Market_Data[[#This Row],[Completion Date]]&lt;TODAY(),"Completed","Ongoing")))</f>
        <v>Ongoing</v>
      </c>
      <c r="G82" s="324">
        <v>45292</v>
      </c>
      <c r="H82" s="324">
        <v>47118</v>
      </c>
      <c r="I82" s="325">
        <v>36300</v>
      </c>
      <c r="J8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82" s="133">
        <f>_xlfn.XLOOKUP(Market_Data[[#This Row],[Project Type]],tbl_assumptions_market[Project Category (RERA)],tbl_assumptions_market[Concrete Intensity
(m³ / sq m BUA)],"",0)</f>
        <v>0.5</v>
      </c>
      <c r="L82" s="134">
        <f>ROUND(Market_Data[[#This Row],[Estimated Built Up Area (sq m)]]*Market_Data[[#This Row],[Concrete Intensity
(m³ / sq m)]],0)</f>
        <v>18150</v>
      </c>
      <c r="M82" s="135">
        <f>_xlfn.XLOOKUP(Market_Data[[#This Row],[District]],tbl_district_price[District],tbl_district_price[Standard Price
(INR/m³)],"",0)</f>
        <v>5800</v>
      </c>
      <c r="N82" s="364">
        <f>IF(OR(Market_Data[[#This Row],[Estimated Concrete Demand (m³)]]="",Market_Data[[#This Row],[Avg Price per (₹ / m³)]]=""),"",Market_Data[[#This Row],[Estimated Concrete Demand (m³)]]*Market_Data[[#This Row],[Avg Price per (₹ / m³)]]/10000000)</f>
        <v>10.526999999999999</v>
      </c>
      <c r="O82" s="97" t="str">
        <f>IF(Market_Data[[#This Row],[Estimated Concrete Demand (m³)]]="","",
IF(Market_Data[[#This Row],[Estimated Concrete Demand (m³)]]&lt;10000,"Small",
IF(Market_Data[[#This Row],[Estimated Concrete Demand (m³)]]&lt;25000,"Medium",
IF(Market_Data[[#This Row],[Estimated Concrete Demand (m³)]]&lt;100000,"Large","Mega"))))</f>
        <v>Medium</v>
      </c>
      <c r="P82" s="287" t="str">
        <f t="shared" si="3"/>
        <v>GujRERA</v>
      </c>
    </row>
    <row r="83" spans="1:16">
      <c r="A83" s="129" t="str">
        <f>_xlfn.XLOOKUP(B83,$S$9:$S$14,$T$9:$T$14)&amp;"-"&amp;
IF(E83="Residential/Group Housing","RES",
IF(E83="Commercial","COM",
IF(E83="Mixed Development","MIX",
IF(E83="Plotted Development","PLT","OTH"))))
&amp;"-"&amp;TEXT(COUNTIFS($B$9:B83,B83,$E$9:E83,E83),"0000")</f>
        <v>BHR-COM-0011</v>
      </c>
      <c r="B83" s="322" t="s">
        <v>36</v>
      </c>
      <c r="C83" s="322" t="s">
        <v>36</v>
      </c>
      <c r="D83" s="323" t="s">
        <v>268</v>
      </c>
      <c r="E83" s="132" t="s">
        <v>23</v>
      </c>
      <c r="F83" s="97" t="str">
        <f ca="1">IF(OR(Market_Data[[#This Row],[Start Date]]="",Market_Data[[#This Row],[Completion Date]]=""),"Needs Validation",IF(Market_Data[[#This Row],[Start Date]]&gt;TODAY(),"Planned",IF(Market_Data[[#This Row],[Completion Date]]&lt;TODAY(),"Completed","Ongoing")))</f>
        <v>Ongoing</v>
      </c>
      <c r="G83" s="324">
        <v>42828</v>
      </c>
      <c r="H83" s="324">
        <v>47391</v>
      </c>
      <c r="I83" s="325">
        <v>27000</v>
      </c>
      <c r="J8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83" s="133">
        <f>_xlfn.XLOOKUP(Market_Data[[#This Row],[Project Type]],tbl_assumptions_market[Project Category (RERA)],tbl_assumptions_market[Concrete Intensity
(m³ / sq m BUA)],"",0)</f>
        <v>0.5</v>
      </c>
      <c r="L83" s="134">
        <f>ROUND(Market_Data[[#This Row],[Estimated Built Up Area (sq m)]]*Market_Data[[#This Row],[Concrete Intensity
(m³ / sq m)]],0)</f>
        <v>13500</v>
      </c>
      <c r="M83" s="135">
        <f>_xlfn.XLOOKUP(Market_Data[[#This Row],[District]],tbl_district_price[District],tbl_district_price[Standard Price
(INR/m³)],"",0)</f>
        <v>5800</v>
      </c>
      <c r="N83" s="364">
        <f>IF(OR(Market_Data[[#This Row],[Estimated Concrete Demand (m³)]]="",Market_Data[[#This Row],[Avg Price per (₹ / m³)]]=""),"",Market_Data[[#This Row],[Estimated Concrete Demand (m³)]]*Market_Data[[#This Row],[Avg Price per (₹ / m³)]]/10000000)</f>
        <v>7.83</v>
      </c>
      <c r="O83" s="97" t="str">
        <f>IF(Market_Data[[#This Row],[Estimated Concrete Demand (m³)]]="","",
IF(Market_Data[[#This Row],[Estimated Concrete Demand (m³)]]&lt;10000,"Small",
IF(Market_Data[[#This Row],[Estimated Concrete Demand (m³)]]&lt;25000,"Medium",
IF(Market_Data[[#This Row],[Estimated Concrete Demand (m³)]]&lt;100000,"Large","Mega"))))</f>
        <v>Medium</v>
      </c>
      <c r="P83" s="287" t="str">
        <f t="shared" si="3"/>
        <v>GujRERA</v>
      </c>
    </row>
    <row r="84" spans="1:16">
      <c r="A84" s="129" t="str">
        <f>_xlfn.XLOOKUP(B84,$S$9:$S$14,$T$9:$T$14)&amp;"-"&amp;
IF(E84="Residential/Group Housing","RES",
IF(E84="Commercial","COM",
IF(E84="Mixed Development","MIX",
IF(E84="Plotted Development","PLT","OTH"))))
&amp;"-"&amp;TEXT(COUNTIFS($B$9:B84,B84,$E$9:E84,E84),"0000")</f>
        <v>BHR-RES-0039</v>
      </c>
      <c r="B84" s="322" t="s">
        <v>36</v>
      </c>
      <c r="C84" s="322" t="s">
        <v>36</v>
      </c>
      <c r="D84" s="323" t="s">
        <v>269</v>
      </c>
      <c r="E84" s="132" t="s">
        <v>24</v>
      </c>
      <c r="F84" s="97" t="str">
        <f ca="1">IF(OR(Market_Data[[#This Row],[Start Date]]="",Market_Data[[#This Row],[Completion Date]]=""),"Needs Validation",IF(Market_Data[[#This Row],[Start Date]]&gt;TODAY(),"Planned",IF(Market_Data[[#This Row],[Completion Date]]&lt;TODAY(),"Completed","Ongoing")))</f>
        <v>Ongoing</v>
      </c>
      <c r="G84" s="324">
        <v>45110</v>
      </c>
      <c r="H84" s="324">
        <v>47483</v>
      </c>
      <c r="I84" s="325">
        <v>11600</v>
      </c>
      <c r="J8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4" s="133">
        <f>_xlfn.XLOOKUP(Market_Data[[#This Row],[Project Type]],tbl_assumptions_market[Project Category (RERA)],tbl_assumptions_market[Concrete Intensity
(m³ / sq m BUA)],"",0)</f>
        <v>0.45</v>
      </c>
      <c r="L84" s="134">
        <f>ROUND(Market_Data[[#This Row],[Estimated Built Up Area (sq m)]]*Market_Data[[#This Row],[Concrete Intensity
(m³ / sq m)]],0)</f>
        <v>5220</v>
      </c>
      <c r="M84" s="135">
        <f>_xlfn.XLOOKUP(Market_Data[[#This Row],[District]],tbl_district_price[District],tbl_district_price[Standard Price
(INR/m³)],"",0)</f>
        <v>5800</v>
      </c>
      <c r="N84" s="364">
        <f>IF(OR(Market_Data[[#This Row],[Estimated Concrete Demand (m³)]]="",Market_Data[[#This Row],[Avg Price per (₹ / m³)]]=""),"",Market_Data[[#This Row],[Estimated Concrete Demand (m³)]]*Market_Data[[#This Row],[Avg Price per (₹ / m³)]]/10000000)</f>
        <v>3.0276000000000001</v>
      </c>
      <c r="O84" s="97" t="str">
        <f>IF(Market_Data[[#This Row],[Estimated Concrete Demand (m³)]]="","",
IF(Market_Data[[#This Row],[Estimated Concrete Demand (m³)]]&lt;10000,"Small",
IF(Market_Data[[#This Row],[Estimated Concrete Demand (m³)]]&lt;25000,"Medium",
IF(Market_Data[[#This Row],[Estimated Concrete Demand (m³)]]&lt;100000,"Large","Mega"))))</f>
        <v>Small</v>
      </c>
      <c r="P84" s="287" t="str">
        <f t="shared" si="3"/>
        <v>GujRERA</v>
      </c>
    </row>
    <row r="85" spans="1:16">
      <c r="A85" s="129" t="str">
        <f>_xlfn.XLOOKUP(B85,$S$9:$S$14,$T$9:$T$14)&amp;"-"&amp;
IF(E85="Residential/Group Housing","RES",
IF(E85="Commercial","COM",
IF(E85="Mixed Development","MIX",
IF(E85="Plotted Development","PLT","OTH"))))
&amp;"-"&amp;TEXT(COUNTIFS($B$9:B85,B85,$E$9:E85,E85),"0000")</f>
        <v>BHR-MIX-0025</v>
      </c>
      <c r="B85" s="322" t="s">
        <v>36</v>
      </c>
      <c r="C85" s="322" t="s">
        <v>36</v>
      </c>
      <c r="D85" s="323" t="s">
        <v>270</v>
      </c>
      <c r="E85" s="132" t="s">
        <v>25</v>
      </c>
      <c r="F85" s="97" t="str">
        <f ca="1">IF(OR(Market_Data[[#This Row],[Start Date]]="",Market_Data[[#This Row],[Completion Date]]=""),"Needs Validation",IF(Market_Data[[#This Row],[Start Date]]&gt;TODAY(),"Planned",IF(Market_Data[[#This Row],[Completion Date]]&lt;TODAY(),"Completed","Ongoing")))</f>
        <v>Ongoing</v>
      </c>
      <c r="G85" s="324">
        <v>43403</v>
      </c>
      <c r="H85" s="324">
        <v>46387</v>
      </c>
      <c r="I85" s="325">
        <v>40600</v>
      </c>
      <c r="J8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5" s="133">
        <f>_xlfn.XLOOKUP(Market_Data[[#This Row],[Project Type]],tbl_assumptions_market[Project Category (RERA)],tbl_assumptions_market[Concrete Intensity
(m³ / sq m BUA)],"",0)</f>
        <v>0.42</v>
      </c>
      <c r="L85" s="134">
        <f>ROUND(Market_Data[[#This Row],[Estimated Built Up Area (sq m)]]*Market_Data[[#This Row],[Concrete Intensity
(m³ / sq m)]],0)</f>
        <v>17052</v>
      </c>
      <c r="M85" s="135">
        <f>_xlfn.XLOOKUP(Market_Data[[#This Row],[District]],tbl_district_price[District],tbl_district_price[Standard Price
(INR/m³)],"",0)</f>
        <v>5800</v>
      </c>
      <c r="N85" s="364">
        <f>IF(OR(Market_Data[[#This Row],[Estimated Concrete Demand (m³)]]="",Market_Data[[#This Row],[Avg Price per (₹ / m³)]]=""),"",Market_Data[[#This Row],[Estimated Concrete Demand (m³)]]*Market_Data[[#This Row],[Avg Price per (₹ / m³)]]/10000000)</f>
        <v>9.8901599999999998</v>
      </c>
      <c r="O85" s="97" t="str">
        <f>IF(Market_Data[[#This Row],[Estimated Concrete Demand (m³)]]="","",
IF(Market_Data[[#This Row],[Estimated Concrete Demand (m³)]]&lt;10000,"Small",
IF(Market_Data[[#This Row],[Estimated Concrete Demand (m³)]]&lt;25000,"Medium",
IF(Market_Data[[#This Row],[Estimated Concrete Demand (m³)]]&lt;100000,"Large","Mega"))))</f>
        <v>Medium</v>
      </c>
      <c r="P85" s="287" t="str">
        <f t="shared" si="3"/>
        <v>GujRERA</v>
      </c>
    </row>
    <row r="86" spans="1:16">
      <c r="A86" s="129" t="str">
        <f>_xlfn.XLOOKUP(B86,$S$9:$S$14,$T$9:$T$14)&amp;"-"&amp;
IF(E86="Residential/Group Housing","RES",
IF(E86="Commercial","COM",
IF(E86="Mixed Development","MIX",
IF(E86="Plotted Development","PLT","OTH"))))
&amp;"-"&amp;TEXT(COUNTIFS($B$9:B86,B86,$E$9:E86,E86),"0000")</f>
        <v>BHR-MIX-0026</v>
      </c>
      <c r="B86" s="322" t="s">
        <v>36</v>
      </c>
      <c r="C86" s="322" t="s">
        <v>36</v>
      </c>
      <c r="D86" s="323" t="s">
        <v>271</v>
      </c>
      <c r="E86" s="132" t="s">
        <v>25</v>
      </c>
      <c r="F86" s="97" t="str">
        <f ca="1">IF(OR(Market_Data[[#This Row],[Start Date]]="",Market_Data[[#This Row],[Completion Date]]=""),"Needs Validation",IF(Market_Data[[#This Row],[Start Date]]&gt;TODAY(),"Planned",IF(Market_Data[[#This Row],[Completion Date]]&lt;TODAY(),"Completed","Ongoing")))</f>
        <v>Ongoing</v>
      </c>
      <c r="G86" s="324">
        <v>45778</v>
      </c>
      <c r="H86" s="324">
        <v>47391</v>
      </c>
      <c r="I86" s="325">
        <v>15700</v>
      </c>
      <c r="J8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6" s="133">
        <f>_xlfn.XLOOKUP(Market_Data[[#This Row],[Project Type]],tbl_assumptions_market[Project Category (RERA)],tbl_assumptions_market[Concrete Intensity
(m³ / sq m BUA)],"",0)</f>
        <v>0.42</v>
      </c>
      <c r="L86" s="134">
        <f>ROUND(Market_Data[[#This Row],[Estimated Built Up Area (sq m)]]*Market_Data[[#This Row],[Concrete Intensity
(m³ / sq m)]],0)</f>
        <v>6594</v>
      </c>
      <c r="M86" s="135">
        <f>_xlfn.XLOOKUP(Market_Data[[#This Row],[District]],tbl_district_price[District],tbl_district_price[Standard Price
(INR/m³)],"",0)</f>
        <v>5800</v>
      </c>
      <c r="N86" s="364">
        <f>IF(OR(Market_Data[[#This Row],[Estimated Concrete Demand (m³)]]="",Market_Data[[#This Row],[Avg Price per (₹ / m³)]]=""),"",Market_Data[[#This Row],[Estimated Concrete Demand (m³)]]*Market_Data[[#This Row],[Avg Price per (₹ / m³)]]/10000000)</f>
        <v>3.8245200000000001</v>
      </c>
      <c r="O86" s="97" t="str">
        <f>IF(Market_Data[[#This Row],[Estimated Concrete Demand (m³)]]="","",
IF(Market_Data[[#This Row],[Estimated Concrete Demand (m³)]]&lt;10000,"Small",
IF(Market_Data[[#This Row],[Estimated Concrete Demand (m³)]]&lt;25000,"Medium",
IF(Market_Data[[#This Row],[Estimated Concrete Demand (m³)]]&lt;100000,"Large","Mega"))))</f>
        <v>Small</v>
      </c>
      <c r="P86" s="287" t="str">
        <f t="shared" si="3"/>
        <v>GujRERA</v>
      </c>
    </row>
    <row r="87" spans="1:16">
      <c r="A87" s="129" t="str">
        <f>_xlfn.XLOOKUP(B87,$S$9:$S$14,$T$9:$T$14)&amp;"-"&amp;
IF(E87="Residential/Group Housing","RES",
IF(E87="Commercial","COM",
IF(E87="Mixed Development","MIX",
IF(E87="Plotted Development","PLT","OTH"))))
&amp;"-"&amp;TEXT(COUNTIFS($B$9:B87,B87,$E$9:E87,E87),"0000")</f>
        <v>BHR-MIX-0027</v>
      </c>
      <c r="B87" s="322" t="s">
        <v>36</v>
      </c>
      <c r="C87" s="322" t="s">
        <v>36</v>
      </c>
      <c r="D87" s="323" t="s">
        <v>272</v>
      </c>
      <c r="E87" s="132" t="s">
        <v>25</v>
      </c>
      <c r="F87" s="97" t="str">
        <f ca="1">IF(OR(Market_Data[[#This Row],[Start Date]]="",Market_Data[[#This Row],[Completion Date]]=""),"Needs Validation",IF(Market_Data[[#This Row],[Start Date]]&gt;TODAY(),"Planned",IF(Market_Data[[#This Row],[Completion Date]]&lt;TODAY(),"Completed","Ongoing")))</f>
        <v>Ongoing</v>
      </c>
      <c r="G87" s="324">
        <v>44958</v>
      </c>
      <c r="H87" s="324">
        <v>46387</v>
      </c>
      <c r="I87" s="325">
        <v>28900</v>
      </c>
      <c r="J8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7" s="133">
        <f>_xlfn.XLOOKUP(Market_Data[[#This Row],[Project Type]],tbl_assumptions_market[Project Category (RERA)],tbl_assumptions_market[Concrete Intensity
(m³ / sq m BUA)],"",0)</f>
        <v>0.42</v>
      </c>
      <c r="L87" s="134">
        <f>ROUND(Market_Data[[#This Row],[Estimated Built Up Area (sq m)]]*Market_Data[[#This Row],[Concrete Intensity
(m³ / sq m)]],0)</f>
        <v>12138</v>
      </c>
      <c r="M87" s="135">
        <f>_xlfn.XLOOKUP(Market_Data[[#This Row],[District]],tbl_district_price[District],tbl_district_price[Standard Price
(INR/m³)],"",0)</f>
        <v>5800</v>
      </c>
      <c r="N87" s="364">
        <f>IF(OR(Market_Data[[#This Row],[Estimated Concrete Demand (m³)]]="",Market_Data[[#This Row],[Avg Price per (₹ / m³)]]=""),"",Market_Data[[#This Row],[Estimated Concrete Demand (m³)]]*Market_Data[[#This Row],[Avg Price per (₹ / m³)]]/10000000)</f>
        <v>7.0400400000000003</v>
      </c>
      <c r="O87" s="97" t="str">
        <f>IF(Market_Data[[#This Row],[Estimated Concrete Demand (m³)]]="","",
IF(Market_Data[[#This Row],[Estimated Concrete Demand (m³)]]&lt;10000,"Small",
IF(Market_Data[[#This Row],[Estimated Concrete Demand (m³)]]&lt;25000,"Medium",
IF(Market_Data[[#This Row],[Estimated Concrete Demand (m³)]]&lt;100000,"Large","Mega"))))</f>
        <v>Medium</v>
      </c>
      <c r="P87" s="287" t="str">
        <f t="shared" si="3"/>
        <v>GujRERA</v>
      </c>
    </row>
    <row r="88" spans="1:16">
      <c r="A88" s="129" t="str">
        <f>_xlfn.XLOOKUP(B88,$S$9:$S$14,$T$9:$T$14)&amp;"-"&amp;
IF(E88="Residential/Group Housing","RES",
IF(E88="Commercial","COM",
IF(E88="Mixed Development","MIX",
IF(E88="Plotted Development","PLT","OTH"))))
&amp;"-"&amp;TEXT(COUNTIFS($B$9:B88,B88,$E$9:E88,E88),"0000")</f>
        <v>BHR-RES-0040</v>
      </c>
      <c r="B88" s="322" t="s">
        <v>36</v>
      </c>
      <c r="C88" s="322" t="s">
        <v>36</v>
      </c>
      <c r="D88" s="323" t="s">
        <v>273</v>
      </c>
      <c r="E88" s="132" t="s">
        <v>24</v>
      </c>
      <c r="F88" s="97" t="str">
        <f ca="1">IF(OR(Market_Data[[#This Row],[Start Date]]="",Market_Data[[#This Row],[Completion Date]]=""),"Needs Validation",IF(Market_Data[[#This Row],[Start Date]]&gt;TODAY(),"Planned",IF(Market_Data[[#This Row],[Completion Date]]&lt;TODAY(),"Completed","Ongoing")))</f>
        <v>Completed</v>
      </c>
      <c r="G88" s="324">
        <v>42461</v>
      </c>
      <c r="H88" s="324">
        <v>44834</v>
      </c>
      <c r="I88" s="325">
        <v>57900</v>
      </c>
      <c r="J8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8" s="133">
        <f>_xlfn.XLOOKUP(Market_Data[[#This Row],[Project Type]],tbl_assumptions_market[Project Category (RERA)],tbl_assumptions_market[Concrete Intensity
(m³ / sq m BUA)],"",0)</f>
        <v>0.45</v>
      </c>
      <c r="L88" s="134">
        <f>ROUND(Market_Data[[#This Row],[Estimated Built Up Area (sq m)]]*Market_Data[[#This Row],[Concrete Intensity
(m³ / sq m)]],0)</f>
        <v>26055</v>
      </c>
      <c r="M88" s="135">
        <f>_xlfn.XLOOKUP(Market_Data[[#This Row],[District]],tbl_district_price[District],tbl_district_price[Standard Price
(INR/m³)],"",0)</f>
        <v>5800</v>
      </c>
      <c r="N88" s="364">
        <f>IF(OR(Market_Data[[#This Row],[Estimated Concrete Demand (m³)]]="",Market_Data[[#This Row],[Avg Price per (₹ / m³)]]=""),"",Market_Data[[#This Row],[Estimated Concrete Demand (m³)]]*Market_Data[[#This Row],[Avg Price per (₹ / m³)]]/10000000)</f>
        <v>15.1119</v>
      </c>
      <c r="O88" s="97" t="str">
        <f>IF(Market_Data[[#This Row],[Estimated Concrete Demand (m³)]]="","",
IF(Market_Data[[#This Row],[Estimated Concrete Demand (m³)]]&lt;10000,"Small",
IF(Market_Data[[#This Row],[Estimated Concrete Demand (m³)]]&lt;25000,"Medium",
IF(Market_Data[[#This Row],[Estimated Concrete Demand (m³)]]&lt;100000,"Large","Mega"))))</f>
        <v>Large</v>
      </c>
      <c r="P88" s="287" t="str">
        <f t="shared" si="3"/>
        <v>GujRERA</v>
      </c>
    </row>
    <row r="89" spans="1:16">
      <c r="A89" s="129" t="str">
        <f>_xlfn.XLOOKUP(B89,$S$9:$S$14,$T$9:$T$14)&amp;"-"&amp;
IF(E89="Residential/Group Housing","RES",
IF(E89="Commercial","COM",
IF(E89="Mixed Development","MIX",
IF(E89="Plotted Development","PLT","OTH"))))
&amp;"-"&amp;TEXT(COUNTIFS($B$9:B89,B89,$E$9:E89,E89),"0000")</f>
        <v>BHR-MIX-0028</v>
      </c>
      <c r="B89" s="322" t="s">
        <v>36</v>
      </c>
      <c r="C89" s="322" t="s">
        <v>36</v>
      </c>
      <c r="D89" s="323" t="s">
        <v>274</v>
      </c>
      <c r="E89" s="132" t="s">
        <v>25</v>
      </c>
      <c r="F89" s="97" t="str">
        <f ca="1">IF(OR(Market_Data[[#This Row],[Start Date]]="",Market_Data[[#This Row],[Completion Date]]=""),"Needs Validation",IF(Market_Data[[#This Row],[Start Date]]&gt;TODAY(),"Planned",IF(Market_Data[[#This Row],[Completion Date]]&lt;TODAY(),"Completed","Ongoing")))</f>
        <v>Completed</v>
      </c>
      <c r="G89" s="324">
        <v>44238</v>
      </c>
      <c r="H89" s="324">
        <v>45656</v>
      </c>
      <c r="I89" s="325">
        <v>46500</v>
      </c>
      <c r="J8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9" s="133">
        <f>_xlfn.XLOOKUP(Market_Data[[#This Row],[Project Type]],tbl_assumptions_market[Project Category (RERA)],tbl_assumptions_market[Concrete Intensity
(m³ / sq m BUA)],"",0)</f>
        <v>0.42</v>
      </c>
      <c r="L89" s="134">
        <f>ROUND(Market_Data[[#This Row],[Estimated Built Up Area (sq m)]]*Market_Data[[#This Row],[Concrete Intensity
(m³ / sq m)]],0)</f>
        <v>19530</v>
      </c>
      <c r="M89" s="135">
        <f>_xlfn.XLOOKUP(Market_Data[[#This Row],[District]],tbl_district_price[District],tbl_district_price[Standard Price
(INR/m³)],"",0)</f>
        <v>5800</v>
      </c>
      <c r="N89" s="364">
        <f>IF(OR(Market_Data[[#This Row],[Estimated Concrete Demand (m³)]]="",Market_Data[[#This Row],[Avg Price per (₹ / m³)]]=""),"",Market_Data[[#This Row],[Estimated Concrete Demand (m³)]]*Market_Data[[#This Row],[Avg Price per (₹ / m³)]]/10000000)</f>
        <v>11.327400000000001</v>
      </c>
      <c r="O89" s="97" t="str">
        <f>IF(Market_Data[[#This Row],[Estimated Concrete Demand (m³)]]="","",
IF(Market_Data[[#This Row],[Estimated Concrete Demand (m³)]]&lt;10000,"Small",
IF(Market_Data[[#This Row],[Estimated Concrete Demand (m³)]]&lt;25000,"Medium",
IF(Market_Data[[#This Row],[Estimated Concrete Demand (m³)]]&lt;100000,"Large","Mega"))))</f>
        <v>Medium</v>
      </c>
      <c r="P89" s="287" t="str">
        <f t="shared" si="3"/>
        <v>GujRERA</v>
      </c>
    </row>
    <row r="90" spans="1:16">
      <c r="A90" s="129" t="str">
        <f>_xlfn.XLOOKUP(B90,$S$9:$S$14,$T$9:$T$14)&amp;"-"&amp;
IF(E90="Residential/Group Housing","RES",
IF(E90="Commercial","COM",
IF(E90="Mixed Development","MIX",
IF(E90="Plotted Development","PLT","OTH"))))
&amp;"-"&amp;TEXT(COUNTIFS($B$9:B90,B90,$E$9:E90,E90),"0000")</f>
        <v>BHR-COM-0012</v>
      </c>
      <c r="B90" s="322" t="s">
        <v>36</v>
      </c>
      <c r="C90" s="322" t="s">
        <v>36</v>
      </c>
      <c r="D90" s="323" t="s">
        <v>275</v>
      </c>
      <c r="E90" s="132" t="s">
        <v>23</v>
      </c>
      <c r="F90" s="97" t="str">
        <f ca="1">IF(OR(Market_Data[[#This Row],[Start Date]]="",Market_Data[[#This Row],[Completion Date]]=""),"Needs Validation",IF(Market_Data[[#This Row],[Start Date]]&gt;TODAY(),"Planned",IF(Market_Data[[#This Row],[Completion Date]]&lt;TODAY(),"Completed","Ongoing")))</f>
        <v>Completed</v>
      </c>
      <c r="G90" s="324">
        <v>45115</v>
      </c>
      <c r="H90" s="324">
        <v>46022</v>
      </c>
      <c r="I90" s="325">
        <v>21200</v>
      </c>
      <c r="J9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90" s="133">
        <f>_xlfn.XLOOKUP(Market_Data[[#This Row],[Project Type]],tbl_assumptions_market[Project Category (RERA)],tbl_assumptions_market[Concrete Intensity
(m³ / sq m BUA)],"",0)</f>
        <v>0.5</v>
      </c>
      <c r="L90" s="134">
        <f>ROUND(Market_Data[[#This Row],[Estimated Built Up Area (sq m)]]*Market_Data[[#This Row],[Concrete Intensity
(m³ / sq m)]],0)</f>
        <v>10600</v>
      </c>
      <c r="M90" s="135">
        <f>_xlfn.XLOOKUP(Market_Data[[#This Row],[District]],tbl_district_price[District],tbl_district_price[Standard Price
(INR/m³)],"",0)</f>
        <v>5800</v>
      </c>
      <c r="N90" s="364">
        <f>IF(OR(Market_Data[[#This Row],[Estimated Concrete Demand (m³)]]="",Market_Data[[#This Row],[Avg Price per (₹ / m³)]]=""),"",Market_Data[[#This Row],[Estimated Concrete Demand (m³)]]*Market_Data[[#This Row],[Avg Price per (₹ / m³)]]/10000000)</f>
        <v>6.1479999999999997</v>
      </c>
      <c r="O90" s="97" t="str">
        <f>IF(Market_Data[[#This Row],[Estimated Concrete Demand (m³)]]="","",
IF(Market_Data[[#This Row],[Estimated Concrete Demand (m³)]]&lt;10000,"Small",
IF(Market_Data[[#This Row],[Estimated Concrete Demand (m³)]]&lt;25000,"Medium",
IF(Market_Data[[#This Row],[Estimated Concrete Demand (m³)]]&lt;100000,"Large","Mega"))))</f>
        <v>Medium</v>
      </c>
      <c r="P90" s="287" t="str">
        <f t="shared" si="3"/>
        <v>GujRERA</v>
      </c>
    </row>
    <row r="91" spans="1:16">
      <c r="A91" s="129" t="str">
        <f>_xlfn.XLOOKUP(B91,$S$9:$S$14,$T$9:$T$14)&amp;"-"&amp;
IF(E91="Residential/Group Housing","RES",
IF(E91="Commercial","COM",
IF(E91="Mixed Development","MIX",
IF(E91="Plotted Development","PLT","OTH"))))
&amp;"-"&amp;TEXT(COUNTIFS($B$9:B91,B91,$E$9:E91,E91),"0000")</f>
        <v>BHR-RES-0041</v>
      </c>
      <c r="B91" s="322" t="s">
        <v>36</v>
      </c>
      <c r="C91" s="322" t="s">
        <v>36</v>
      </c>
      <c r="D91" s="323" t="s">
        <v>276</v>
      </c>
      <c r="E91" s="132" t="s">
        <v>24</v>
      </c>
      <c r="F91" s="97" t="str">
        <f ca="1">IF(OR(Market_Data[[#This Row],[Start Date]]="",Market_Data[[#This Row],[Completion Date]]=""),"Needs Validation",IF(Market_Data[[#This Row],[Start Date]]&gt;TODAY(),"Planned",IF(Market_Data[[#This Row],[Completion Date]]&lt;TODAY(),"Completed","Ongoing")))</f>
        <v>Ongoing</v>
      </c>
      <c r="G91" s="324">
        <v>45181</v>
      </c>
      <c r="H91" s="324">
        <v>47118</v>
      </c>
      <c r="I91" s="325">
        <v>57600</v>
      </c>
      <c r="J9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1" s="133">
        <f>_xlfn.XLOOKUP(Market_Data[[#This Row],[Project Type]],tbl_assumptions_market[Project Category (RERA)],tbl_assumptions_market[Concrete Intensity
(m³ / sq m BUA)],"",0)</f>
        <v>0.45</v>
      </c>
      <c r="L91" s="134">
        <f>ROUND(Market_Data[[#This Row],[Estimated Built Up Area (sq m)]]*Market_Data[[#This Row],[Concrete Intensity
(m³ / sq m)]],0)</f>
        <v>25920</v>
      </c>
      <c r="M91" s="135">
        <f>_xlfn.XLOOKUP(Market_Data[[#This Row],[District]],tbl_district_price[District],tbl_district_price[Standard Price
(INR/m³)],"",0)</f>
        <v>5800</v>
      </c>
      <c r="N91" s="364">
        <f>IF(OR(Market_Data[[#This Row],[Estimated Concrete Demand (m³)]]="",Market_Data[[#This Row],[Avg Price per (₹ / m³)]]=""),"",Market_Data[[#This Row],[Estimated Concrete Demand (m³)]]*Market_Data[[#This Row],[Avg Price per (₹ / m³)]]/10000000)</f>
        <v>15.0336</v>
      </c>
      <c r="O91" s="97" t="str">
        <f>IF(Market_Data[[#This Row],[Estimated Concrete Demand (m³)]]="","",
IF(Market_Data[[#This Row],[Estimated Concrete Demand (m³)]]&lt;10000,"Small",
IF(Market_Data[[#This Row],[Estimated Concrete Demand (m³)]]&lt;25000,"Medium",
IF(Market_Data[[#This Row],[Estimated Concrete Demand (m³)]]&lt;100000,"Large","Mega"))))</f>
        <v>Large</v>
      </c>
      <c r="P91" s="287" t="str">
        <f t="shared" si="3"/>
        <v>GujRERA</v>
      </c>
    </row>
    <row r="92" spans="1:16">
      <c r="A92" s="129" t="str">
        <f>_xlfn.XLOOKUP(B92,$S$9:$S$14,$T$9:$T$14)&amp;"-"&amp;
IF(E92="Residential/Group Housing","RES",
IF(E92="Commercial","COM",
IF(E92="Mixed Development","MIX",
IF(E92="Plotted Development","PLT","OTH"))))
&amp;"-"&amp;TEXT(COUNTIFS($B$9:B92,B92,$E$9:E92,E92),"0000")</f>
        <v>BHR-RES-0042</v>
      </c>
      <c r="B92" s="322" t="s">
        <v>36</v>
      </c>
      <c r="C92" s="322" t="s">
        <v>36</v>
      </c>
      <c r="D92" s="323" t="s">
        <v>277</v>
      </c>
      <c r="E92" s="132" t="s">
        <v>24</v>
      </c>
      <c r="F92" s="97" t="str">
        <f ca="1">IF(OR(Market_Data[[#This Row],[Start Date]]="",Market_Data[[#This Row],[Completion Date]]=""),"Needs Validation",IF(Market_Data[[#This Row],[Start Date]]&gt;TODAY(),"Planned",IF(Market_Data[[#This Row],[Completion Date]]&lt;TODAY(),"Completed","Ongoing")))</f>
        <v>Ongoing</v>
      </c>
      <c r="G92" s="324">
        <v>45404</v>
      </c>
      <c r="H92" s="324">
        <v>46387</v>
      </c>
      <c r="I92" s="325">
        <v>15700</v>
      </c>
      <c r="J9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2" s="133">
        <f>_xlfn.XLOOKUP(Market_Data[[#This Row],[Project Type]],tbl_assumptions_market[Project Category (RERA)],tbl_assumptions_market[Concrete Intensity
(m³ / sq m BUA)],"",0)</f>
        <v>0.45</v>
      </c>
      <c r="L92" s="134">
        <f>ROUND(Market_Data[[#This Row],[Estimated Built Up Area (sq m)]]*Market_Data[[#This Row],[Concrete Intensity
(m³ / sq m)]],0)</f>
        <v>7065</v>
      </c>
      <c r="M92" s="135">
        <f>_xlfn.XLOOKUP(Market_Data[[#This Row],[District]],tbl_district_price[District],tbl_district_price[Standard Price
(INR/m³)],"",0)</f>
        <v>5800</v>
      </c>
      <c r="N92" s="364">
        <f>IF(OR(Market_Data[[#This Row],[Estimated Concrete Demand (m³)]]="",Market_Data[[#This Row],[Avg Price per (₹ / m³)]]=""),"",Market_Data[[#This Row],[Estimated Concrete Demand (m³)]]*Market_Data[[#This Row],[Avg Price per (₹ / m³)]]/10000000)</f>
        <v>4.0976999999999997</v>
      </c>
      <c r="O92" s="97" t="str">
        <f>IF(Market_Data[[#This Row],[Estimated Concrete Demand (m³)]]="","",
IF(Market_Data[[#This Row],[Estimated Concrete Demand (m³)]]&lt;10000,"Small",
IF(Market_Data[[#This Row],[Estimated Concrete Demand (m³)]]&lt;25000,"Medium",
IF(Market_Data[[#This Row],[Estimated Concrete Demand (m³)]]&lt;100000,"Large","Mega"))))</f>
        <v>Small</v>
      </c>
      <c r="P92" s="287" t="str">
        <f t="shared" si="3"/>
        <v>GujRERA</v>
      </c>
    </row>
    <row r="93" spans="1:16">
      <c r="A93" s="129" t="str">
        <f>_xlfn.XLOOKUP(B93,$S$9:$S$14,$T$9:$T$14)&amp;"-"&amp;
IF(E93="Residential/Group Housing","RES",
IF(E93="Commercial","COM",
IF(E93="Mixed Development","MIX",
IF(E93="Plotted Development","PLT","OTH"))))
&amp;"-"&amp;TEXT(COUNTIFS($B$9:B93,B93,$E$9:E93,E93),"0000")</f>
        <v>BHR-RES-0043</v>
      </c>
      <c r="B93" s="322" t="s">
        <v>36</v>
      </c>
      <c r="C93" s="322" t="s">
        <v>36</v>
      </c>
      <c r="D93" s="323" t="s">
        <v>278</v>
      </c>
      <c r="E93" s="132" t="s">
        <v>24</v>
      </c>
      <c r="F93" s="97" t="str">
        <f ca="1">IF(OR(Market_Data[[#This Row],[Start Date]]="",Market_Data[[#This Row],[Completion Date]]=""),"Needs Validation",IF(Market_Data[[#This Row],[Start Date]]&gt;TODAY(),"Planned",IF(Market_Data[[#This Row],[Completion Date]]&lt;TODAY(),"Completed","Ongoing")))</f>
        <v>Ongoing</v>
      </c>
      <c r="G93" s="324">
        <v>45174</v>
      </c>
      <c r="H93" s="324">
        <v>46843</v>
      </c>
      <c r="I93" s="325">
        <v>42000</v>
      </c>
      <c r="J9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3" s="133">
        <f>_xlfn.XLOOKUP(Market_Data[[#This Row],[Project Type]],tbl_assumptions_market[Project Category (RERA)],tbl_assumptions_market[Concrete Intensity
(m³ / sq m BUA)],"",0)</f>
        <v>0.45</v>
      </c>
      <c r="L93" s="134">
        <f>ROUND(Market_Data[[#This Row],[Estimated Built Up Area (sq m)]]*Market_Data[[#This Row],[Concrete Intensity
(m³ / sq m)]],0)</f>
        <v>18900</v>
      </c>
      <c r="M93" s="135">
        <f>_xlfn.XLOOKUP(Market_Data[[#This Row],[District]],tbl_district_price[District],tbl_district_price[Standard Price
(INR/m³)],"",0)</f>
        <v>5800</v>
      </c>
      <c r="N93" s="364">
        <f>IF(OR(Market_Data[[#This Row],[Estimated Concrete Demand (m³)]]="",Market_Data[[#This Row],[Avg Price per (₹ / m³)]]=""),"",Market_Data[[#This Row],[Estimated Concrete Demand (m³)]]*Market_Data[[#This Row],[Avg Price per (₹ / m³)]]/10000000)</f>
        <v>10.962</v>
      </c>
      <c r="O93" s="97" t="str">
        <f>IF(Market_Data[[#This Row],[Estimated Concrete Demand (m³)]]="","",
IF(Market_Data[[#This Row],[Estimated Concrete Demand (m³)]]&lt;10000,"Small",
IF(Market_Data[[#This Row],[Estimated Concrete Demand (m³)]]&lt;25000,"Medium",
IF(Market_Data[[#This Row],[Estimated Concrete Demand (m³)]]&lt;100000,"Large","Mega"))))</f>
        <v>Medium</v>
      </c>
      <c r="P93" s="287" t="str">
        <f t="shared" si="3"/>
        <v>GujRERA</v>
      </c>
    </row>
    <row r="94" spans="1:16">
      <c r="A94" s="129" t="str">
        <f>_xlfn.XLOOKUP(B94,$S$9:$S$14,$T$9:$T$14)&amp;"-"&amp;
IF(E94="Residential/Group Housing","RES",
IF(E94="Commercial","COM",
IF(E94="Mixed Development","MIX",
IF(E94="Plotted Development","PLT","OTH"))))
&amp;"-"&amp;TEXT(COUNTIFS($B$9:B94,B94,$E$9:E94,E94),"0000")</f>
        <v>BHR-PLT-0003</v>
      </c>
      <c r="B94" s="322" t="s">
        <v>36</v>
      </c>
      <c r="C94" s="322" t="s">
        <v>36</v>
      </c>
      <c r="D94" s="323" t="s">
        <v>279</v>
      </c>
      <c r="E94" s="132" t="s">
        <v>26</v>
      </c>
      <c r="F94" s="97" t="str">
        <f ca="1">IF(OR(Market_Data[[#This Row],[Start Date]]="",Market_Data[[#This Row],[Completion Date]]=""),"Needs Validation",IF(Market_Data[[#This Row],[Start Date]]&gt;TODAY(),"Planned",IF(Market_Data[[#This Row],[Completion Date]]&lt;TODAY(),"Completed","Ongoing")))</f>
        <v>Completed</v>
      </c>
      <c r="G94" s="324">
        <v>43025</v>
      </c>
      <c r="H94" s="324">
        <v>44718</v>
      </c>
      <c r="I94" s="325">
        <v>41800</v>
      </c>
      <c r="J9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94" s="133">
        <f>_xlfn.XLOOKUP(Market_Data[[#This Row],[Project Type]],tbl_assumptions_market[Project Category (RERA)],tbl_assumptions_market[Concrete Intensity
(m³ / sq m BUA)],"",0)</f>
        <v>0.18</v>
      </c>
      <c r="L94" s="134">
        <f>ROUND(Market_Data[[#This Row],[Estimated Built Up Area (sq m)]]*Market_Data[[#This Row],[Concrete Intensity
(m³ / sq m)]],0)</f>
        <v>7524</v>
      </c>
      <c r="M94" s="135">
        <f>_xlfn.XLOOKUP(Market_Data[[#This Row],[District]],tbl_district_price[District],tbl_district_price[Standard Price
(INR/m³)],"",0)</f>
        <v>5800</v>
      </c>
      <c r="N94" s="364">
        <f>IF(OR(Market_Data[[#This Row],[Estimated Concrete Demand (m³)]]="",Market_Data[[#This Row],[Avg Price per (₹ / m³)]]=""),"",Market_Data[[#This Row],[Estimated Concrete Demand (m³)]]*Market_Data[[#This Row],[Avg Price per (₹ / m³)]]/10000000)</f>
        <v>4.3639200000000002</v>
      </c>
      <c r="O94" s="97" t="str">
        <f>IF(Market_Data[[#This Row],[Estimated Concrete Demand (m³)]]="","",
IF(Market_Data[[#This Row],[Estimated Concrete Demand (m³)]]&lt;10000,"Small",
IF(Market_Data[[#This Row],[Estimated Concrete Demand (m³)]]&lt;25000,"Medium",
IF(Market_Data[[#This Row],[Estimated Concrete Demand (m³)]]&lt;100000,"Large","Mega"))))</f>
        <v>Small</v>
      </c>
      <c r="P94" s="287" t="str">
        <f t="shared" si="3"/>
        <v>GujRERA</v>
      </c>
    </row>
    <row r="95" spans="1:16">
      <c r="A95" s="129" t="str">
        <f>_xlfn.XLOOKUP(B95,$S$9:$S$14,$T$9:$T$14)&amp;"-"&amp;
IF(E95="Residential/Group Housing","RES",
IF(E95="Commercial","COM",
IF(E95="Mixed Development","MIX",
IF(E95="Plotted Development","PLT","OTH"))))
&amp;"-"&amp;TEXT(COUNTIFS($B$9:B95,B95,$E$9:E95,E95),"0000")</f>
        <v>BHR-PLT-0004</v>
      </c>
      <c r="B95" s="322" t="s">
        <v>36</v>
      </c>
      <c r="C95" s="322" t="s">
        <v>36</v>
      </c>
      <c r="D95" s="323" t="s">
        <v>280</v>
      </c>
      <c r="E95" s="132" t="s">
        <v>26</v>
      </c>
      <c r="F95" s="97" t="str">
        <f ca="1">IF(OR(Market_Data[[#This Row],[Start Date]]="",Market_Data[[#This Row],[Completion Date]]=""),"Needs Validation",IF(Market_Data[[#This Row],[Start Date]]&gt;TODAY(),"Planned",IF(Market_Data[[#This Row],[Completion Date]]&lt;TODAY(),"Completed","Ongoing")))</f>
        <v>Completed</v>
      </c>
      <c r="G95" s="324">
        <v>43025</v>
      </c>
      <c r="H95" s="324">
        <v>44718</v>
      </c>
      <c r="I95" s="325">
        <v>19800</v>
      </c>
      <c r="J9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5" s="133">
        <f>_xlfn.XLOOKUP(Market_Data[[#This Row],[Project Type]],tbl_assumptions_market[Project Category (RERA)],tbl_assumptions_market[Concrete Intensity
(m³ / sq m BUA)],"",0)</f>
        <v>0.18</v>
      </c>
      <c r="L95" s="134">
        <f>ROUND(Market_Data[[#This Row],[Estimated Built Up Area (sq m)]]*Market_Data[[#This Row],[Concrete Intensity
(m³ / sq m)]],0)</f>
        <v>3564</v>
      </c>
      <c r="M95" s="135">
        <f>_xlfn.XLOOKUP(Market_Data[[#This Row],[District]],tbl_district_price[District],tbl_district_price[Standard Price
(INR/m³)],"",0)</f>
        <v>5800</v>
      </c>
      <c r="N95" s="364">
        <f>IF(OR(Market_Data[[#This Row],[Estimated Concrete Demand (m³)]]="",Market_Data[[#This Row],[Avg Price per (₹ / m³)]]=""),"",Market_Data[[#This Row],[Estimated Concrete Demand (m³)]]*Market_Data[[#This Row],[Avg Price per (₹ / m³)]]/10000000)</f>
        <v>2.0671200000000001</v>
      </c>
      <c r="O95" s="97" t="str">
        <f>IF(Market_Data[[#This Row],[Estimated Concrete Demand (m³)]]="","",
IF(Market_Data[[#This Row],[Estimated Concrete Demand (m³)]]&lt;10000,"Small",
IF(Market_Data[[#This Row],[Estimated Concrete Demand (m³)]]&lt;25000,"Medium",
IF(Market_Data[[#This Row],[Estimated Concrete Demand (m³)]]&lt;100000,"Large","Mega"))))</f>
        <v>Small</v>
      </c>
      <c r="P95" s="287" t="str">
        <f t="shared" si="3"/>
        <v>GujRERA</v>
      </c>
    </row>
    <row r="96" spans="1:16">
      <c r="A96" s="129" t="str">
        <f>_xlfn.XLOOKUP(B96,$S$9:$S$14,$T$9:$T$14)&amp;"-"&amp;
IF(E96="Residential/Group Housing","RES",
IF(E96="Commercial","COM",
IF(E96="Mixed Development","MIX",
IF(E96="Plotted Development","PLT","OTH"))))
&amp;"-"&amp;TEXT(COUNTIFS($B$9:B96,B96,$E$9:E96,E96),"0000")</f>
        <v>BHR-PLT-0005</v>
      </c>
      <c r="B96" s="322" t="s">
        <v>36</v>
      </c>
      <c r="C96" s="322" t="s">
        <v>36</v>
      </c>
      <c r="D96" s="323" t="s">
        <v>281</v>
      </c>
      <c r="E96" s="132" t="s">
        <v>26</v>
      </c>
      <c r="F96" s="97" t="str">
        <f ca="1">IF(OR(Market_Data[[#This Row],[Start Date]]="",Market_Data[[#This Row],[Completion Date]]=""),"Needs Validation",IF(Market_Data[[#This Row],[Start Date]]&gt;TODAY(),"Planned",IF(Market_Data[[#This Row],[Completion Date]]&lt;TODAY(),"Completed","Ongoing")))</f>
        <v>Completed</v>
      </c>
      <c r="G96" s="324">
        <v>43025</v>
      </c>
      <c r="H96" s="324">
        <v>44718</v>
      </c>
      <c r="I96" s="325">
        <v>35200</v>
      </c>
      <c r="J9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96" s="133">
        <f>_xlfn.XLOOKUP(Market_Data[[#This Row],[Project Type]],tbl_assumptions_market[Project Category (RERA)],tbl_assumptions_market[Concrete Intensity
(m³ / sq m BUA)],"",0)</f>
        <v>0.18</v>
      </c>
      <c r="L96" s="134">
        <f>ROUND(Market_Data[[#This Row],[Estimated Built Up Area (sq m)]]*Market_Data[[#This Row],[Concrete Intensity
(m³ / sq m)]],0)</f>
        <v>6336</v>
      </c>
      <c r="M96" s="135">
        <f>_xlfn.XLOOKUP(Market_Data[[#This Row],[District]],tbl_district_price[District],tbl_district_price[Standard Price
(INR/m³)],"",0)</f>
        <v>5800</v>
      </c>
      <c r="N96" s="364">
        <f>IF(OR(Market_Data[[#This Row],[Estimated Concrete Demand (m³)]]="",Market_Data[[#This Row],[Avg Price per (₹ / m³)]]=""),"",Market_Data[[#This Row],[Estimated Concrete Demand (m³)]]*Market_Data[[#This Row],[Avg Price per (₹ / m³)]]/10000000)</f>
        <v>3.6748799999999999</v>
      </c>
      <c r="O96" s="97" t="str">
        <f>IF(Market_Data[[#This Row],[Estimated Concrete Demand (m³)]]="","",
IF(Market_Data[[#This Row],[Estimated Concrete Demand (m³)]]&lt;10000,"Small",
IF(Market_Data[[#This Row],[Estimated Concrete Demand (m³)]]&lt;25000,"Medium",
IF(Market_Data[[#This Row],[Estimated Concrete Demand (m³)]]&lt;100000,"Large","Mega"))))</f>
        <v>Small</v>
      </c>
      <c r="P96" s="287" t="str">
        <f t="shared" si="3"/>
        <v>GujRERA</v>
      </c>
    </row>
    <row r="97" spans="1:16">
      <c r="A97" s="129" t="str">
        <f>_xlfn.XLOOKUP(B97,$S$9:$S$14,$T$9:$T$14)&amp;"-"&amp;
IF(E97="Residential/Group Housing","RES",
IF(E97="Commercial","COM",
IF(E97="Mixed Development","MIX",
IF(E97="Plotted Development","PLT","OTH"))))
&amp;"-"&amp;TEXT(COUNTIFS($B$9:B97,B97,$E$9:E97,E97),"0000")</f>
        <v>BHR-PLT-0006</v>
      </c>
      <c r="B97" s="322" t="s">
        <v>36</v>
      </c>
      <c r="C97" s="322" t="s">
        <v>36</v>
      </c>
      <c r="D97" s="323" t="s">
        <v>282</v>
      </c>
      <c r="E97" s="132" t="s">
        <v>26</v>
      </c>
      <c r="F97" s="97" t="str">
        <f ca="1">IF(OR(Market_Data[[#This Row],[Start Date]]="",Market_Data[[#This Row],[Completion Date]]=""),"Needs Validation",IF(Market_Data[[#This Row],[Start Date]]&gt;TODAY(),"Planned",IF(Market_Data[[#This Row],[Completion Date]]&lt;TODAY(),"Completed","Ongoing")))</f>
        <v>Completed</v>
      </c>
      <c r="G97" s="324">
        <v>43025</v>
      </c>
      <c r="H97" s="324">
        <v>44718</v>
      </c>
      <c r="I97" s="325">
        <v>22000</v>
      </c>
      <c r="J9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7" s="133">
        <f>_xlfn.XLOOKUP(Market_Data[[#This Row],[Project Type]],tbl_assumptions_market[Project Category (RERA)],tbl_assumptions_market[Concrete Intensity
(m³ / sq m BUA)],"",0)</f>
        <v>0.18</v>
      </c>
      <c r="L97" s="134">
        <f>ROUND(Market_Data[[#This Row],[Estimated Built Up Area (sq m)]]*Market_Data[[#This Row],[Concrete Intensity
(m³ / sq m)]],0)</f>
        <v>3960</v>
      </c>
      <c r="M97" s="135">
        <f>_xlfn.XLOOKUP(Market_Data[[#This Row],[District]],tbl_district_price[District],tbl_district_price[Standard Price
(INR/m³)],"",0)</f>
        <v>5800</v>
      </c>
      <c r="N97" s="364">
        <f>IF(OR(Market_Data[[#This Row],[Estimated Concrete Demand (m³)]]="",Market_Data[[#This Row],[Avg Price per (₹ / m³)]]=""),"",Market_Data[[#This Row],[Estimated Concrete Demand (m³)]]*Market_Data[[#This Row],[Avg Price per (₹ / m³)]]/10000000)</f>
        <v>2.2968000000000002</v>
      </c>
      <c r="O97" s="97" t="str">
        <f>IF(Market_Data[[#This Row],[Estimated Concrete Demand (m³)]]="","",
IF(Market_Data[[#This Row],[Estimated Concrete Demand (m³)]]&lt;10000,"Small",
IF(Market_Data[[#This Row],[Estimated Concrete Demand (m³)]]&lt;25000,"Medium",
IF(Market_Data[[#This Row],[Estimated Concrete Demand (m³)]]&lt;100000,"Large","Mega"))))</f>
        <v>Small</v>
      </c>
      <c r="P97" s="287" t="str">
        <f t="shared" si="3"/>
        <v>GujRERA</v>
      </c>
    </row>
    <row r="98" spans="1:16">
      <c r="A98" s="129" t="str">
        <f>_xlfn.XLOOKUP(B98,$S$9:$S$14,$T$9:$T$14)&amp;"-"&amp;
IF(E98="Residential/Group Housing","RES",
IF(E98="Commercial","COM",
IF(E98="Mixed Development","MIX",
IF(E98="Plotted Development","PLT","OTH"))))
&amp;"-"&amp;TEXT(COUNTIFS($B$9:B98,B98,$E$9:E98,E98),"0000")</f>
        <v>BHR-PLT-0007</v>
      </c>
      <c r="B98" s="322" t="s">
        <v>36</v>
      </c>
      <c r="C98" s="322" t="s">
        <v>36</v>
      </c>
      <c r="D98" s="323" t="s">
        <v>283</v>
      </c>
      <c r="E98" s="132" t="s">
        <v>26</v>
      </c>
      <c r="F98" s="97" t="str">
        <f ca="1">IF(OR(Market_Data[[#This Row],[Start Date]]="",Market_Data[[#This Row],[Completion Date]]=""),"Needs Validation",IF(Market_Data[[#This Row],[Start Date]]&gt;TODAY(),"Planned",IF(Market_Data[[#This Row],[Completion Date]]&lt;TODAY(),"Completed","Ongoing")))</f>
        <v>Completed</v>
      </c>
      <c r="G98" s="324">
        <v>43123</v>
      </c>
      <c r="H98" s="324">
        <v>45838</v>
      </c>
      <c r="I98" s="325">
        <v>46600</v>
      </c>
      <c r="J9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98" s="133">
        <f>_xlfn.XLOOKUP(Market_Data[[#This Row],[Project Type]],tbl_assumptions_market[Project Category (RERA)],tbl_assumptions_market[Concrete Intensity
(m³ / sq m BUA)],"",0)</f>
        <v>0.18</v>
      </c>
      <c r="L98" s="134">
        <f>ROUND(Market_Data[[#This Row],[Estimated Built Up Area (sq m)]]*Market_Data[[#This Row],[Concrete Intensity
(m³ / sq m)]],0)</f>
        <v>8388</v>
      </c>
      <c r="M98" s="135">
        <f>_xlfn.XLOOKUP(Market_Data[[#This Row],[District]],tbl_district_price[District],tbl_district_price[Standard Price
(INR/m³)],"",0)</f>
        <v>5800</v>
      </c>
      <c r="N98" s="364">
        <f>IF(OR(Market_Data[[#This Row],[Estimated Concrete Demand (m³)]]="",Market_Data[[#This Row],[Avg Price per (₹ / m³)]]=""),"",Market_Data[[#This Row],[Estimated Concrete Demand (m³)]]*Market_Data[[#This Row],[Avg Price per (₹ / m³)]]/10000000)</f>
        <v>4.8650399999999996</v>
      </c>
      <c r="O98" s="97" t="str">
        <f>IF(Market_Data[[#This Row],[Estimated Concrete Demand (m³)]]="","",
IF(Market_Data[[#This Row],[Estimated Concrete Demand (m³)]]&lt;10000,"Small",
IF(Market_Data[[#This Row],[Estimated Concrete Demand (m³)]]&lt;25000,"Medium",
IF(Market_Data[[#This Row],[Estimated Concrete Demand (m³)]]&lt;100000,"Large","Mega"))))</f>
        <v>Small</v>
      </c>
      <c r="P98" s="287" t="str">
        <f t="shared" si="3"/>
        <v>GujRERA</v>
      </c>
    </row>
    <row r="99" spans="1:16">
      <c r="A99" s="129" t="str">
        <f>_xlfn.XLOOKUP(B99,$S$9:$S$14,$T$9:$T$14)&amp;"-"&amp;
IF(E99="Residential/Group Housing","RES",
IF(E99="Commercial","COM",
IF(E99="Mixed Development","MIX",
IF(E99="Plotted Development","PLT","OTH"))))
&amp;"-"&amp;TEXT(COUNTIFS($B$9:B99,B99,$E$9:E99,E99),"0000")</f>
        <v>BHR-RES-0044</v>
      </c>
      <c r="B99" s="322" t="s">
        <v>36</v>
      </c>
      <c r="C99" s="322" t="s">
        <v>36</v>
      </c>
      <c r="D99" s="323" t="s">
        <v>284</v>
      </c>
      <c r="E99" s="132" t="s">
        <v>24</v>
      </c>
      <c r="F99" s="97" t="str">
        <f ca="1">IF(OR(Market_Data[[#This Row],[Start Date]]="",Market_Data[[#This Row],[Completion Date]]=""),"Needs Validation",IF(Market_Data[[#This Row],[Start Date]]&gt;TODAY(),"Planned",IF(Market_Data[[#This Row],[Completion Date]]&lt;TODAY(),"Completed","Ongoing")))</f>
        <v>Completed</v>
      </c>
      <c r="G99" s="324">
        <v>42715</v>
      </c>
      <c r="H99" s="324">
        <v>43921</v>
      </c>
      <c r="I99" s="325">
        <v>52100</v>
      </c>
      <c r="J9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9" s="133">
        <f>_xlfn.XLOOKUP(Market_Data[[#This Row],[Project Type]],tbl_assumptions_market[Project Category (RERA)],tbl_assumptions_market[Concrete Intensity
(m³ / sq m BUA)],"",0)</f>
        <v>0.45</v>
      </c>
      <c r="L99" s="134">
        <f>ROUND(Market_Data[[#This Row],[Estimated Built Up Area (sq m)]]*Market_Data[[#This Row],[Concrete Intensity
(m³ / sq m)]],0)</f>
        <v>23445</v>
      </c>
      <c r="M99" s="135">
        <f>_xlfn.XLOOKUP(Market_Data[[#This Row],[District]],tbl_district_price[District],tbl_district_price[Standard Price
(INR/m³)],"",0)</f>
        <v>5800</v>
      </c>
      <c r="N99" s="364">
        <f>IF(OR(Market_Data[[#This Row],[Estimated Concrete Demand (m³)]]="",Market_Data[[#This Row],[Avg Price per (₹ / m³)]]=""),"",Market_Data[[#This Row],[Estimated Concrete Demand (m³)]]*Market_Data[[#This Row],[Avg Price per (₹ / m³)]]/10000000)</f>
        <v>13.598100000000001</v>
      </c>
      <c r="O99" s="97" t="str">
        <f>IF(Market_Data[[#This Row],[Estimated Concrete Demand (m³)]]="","",
IF(Market_Data[[#This Row],[Estimated Concrete Demand (m³)]]&lt;10000,"Small",
IF(Market_Data[[#This Row],[Estimated Concrete Demand (m³)]]&lt;25000,"Medium",
IF(Market_Data[[#This Row],[Estimated Concrete Demand (m³)]]&lt;100000,"Large","Mega"))))</f>
        <v>Medium</v>
      </c>
      <c r="P99" s="287" t="str">
        <f t="shared" si="3"/>
        <v>GujRERA</v>
      </c>
    </row>
    <row r="100" spans="1:16">
      <c r="A100" s="129" t="str">
        <f>_xlfn.XLOOKUP(B100,$S$9:$S$14,$T$9:$T$14)&amp;"-"&amp;
IF(E100="Residential/Group Housing","RES",
IF(E100="Commercial","COM",
IF(E100="Mixed Development","MIX",
IF(E100="Plotted Development","PLT","OTH"))))
&amp;"-"&amp;TEXT(COUNTIFS($B$9:B100,B100,$E$9:E100,E100),"0000")</f>
        <v>BHR-COM-0013</v>
      </c>
      <c r="B100" s="322" t="s">
        <v>36</v>
      </c>
      <c r="C100" s="322" t="s">
        <v>36</v>
      </c>
      <c r="D100" s="323" t="s">
        <v>285</v>
      </c>
      <c r="E100" s="132" t="s">
        <v>23</v>
      </c>
      <c r="F100" s="97" t="str">
        <f ca="1">IF(OR(Market_Data[[#This Row],[Start Date]]="",Market_Data[[#This Row],[Completion Date]]=""),"Needs Validation",IF(Market_Data[[#This Row],[Start Date]]&gt;TODAY(),"Planned",IF(Market_Data[[#This Row],[Completion Date]]&lt;TODAY(),"Completed","Ongoing")))</f>
        <v>Completed</v>
      </c>
      <c r="G100" s="324">
        <v>43435</v>
      </c>
      <c r="H100" s="324">
        <v>45930</v>
      </c>
      <c r="I100" s="325">
        <v>96300</v>
      </c>
      <c r="J10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00" s="133">
        <f>_xlfn.XLOOKUP(Market_Data[[#This Row],[Project Type]],tbl_assumptions_market[Project Category (RERA)],tbl_assumptions_market[Concrete Intensity
(m³ / sq m BUA)],"",0)</f>
        <v>0.5</v>
      </c>
      <c r="L100" s="134">
        <f>ROUND(Market_Data[[#This Row],[Estimated Built Up Area (sq m)]]*Market_Data[[#This Row],[Concrete Intensity
(m³ / sq m)]],0)</f>
        <v>48150</v>
      </c>
      <c r="M100" s="135">
        <f>_xlfn.XLOOKUP(Market_Data[[#This Row],[District]],tbl_district_price[District],tbl_district_price[Standard Price
(INR/m³)],"",0)</f>
        <v>5800</v>
      </c>
      <c r="N100" s="364">
        <f>IF(OR(Market_Data[[#This Row],[Estimated Concrete Demand (m³)]]="",Market_Data[[#This Row],[Avg Price per (₹ / m³)]]=""),"",Market_Data[[#This Row],[Estimated Concrete Demand (m³)]]*Market_Data[[#This Row],[Avg Price per (₹ / m³)]]/10000000)</f>
        <v>27.927</v>
      </c>
      <c r="O100" s="97" t="str">
        <f>IF(Market_Data[[#This Row],[Estimated Concrete Demand (m³)]]="","",
IF(Market_Data[[#This Row],[Estimated Concrete Demand (m³)]]&lt;10000,"Small",
IF(Market_Data[[#This Row],[Estimated Concrete Demand (m³)]]&lt;25000,"Medium",
IF(Market_Data[[#This Row],[Estimated Concrete Demand (m³)]]&lt;100000,"Large","Mega"))))</f>
        <v>Large</v>
      </c>
      <c r="P100" s="287" t="str">
        <f t="shared" si="3"/>
        <v>GujRERA</v>
      </c>
    </row>
    <row r="101" spans="1:16">
      <c r="A101" s="129" t="str">
        <f>_xlfn.XLOOKUP(B101,$S$9:$S$14,$T$9:$T$14)&amp;"-"&amp;
IF(E101="Residential/Group Housing","RES",
IF(E101="Commercial","COM",
IF(E101="Mixed Development","MIX",
IF(E101="Plotted Development","PLT","OTH"))))
&amp;"-"&amp;TEXT(COUNTIFS($B$9:B101,B101,$E$9:E101,E101),"0000")</f>
        <v>BHR-RES-0045</v>
      </c>
      <c r="B101" s="322" t="s">
        <v>36</v>
      </c>
      <c r="C101" s="322" t="s">
        <v>36</v>
      </c>
      <c r="D101" s="323" t="s">
        <v>287</v>
      </c>
      <c r="E101" s="132" t="s">
        <v>24</v>
      </c>
      <c r="F101" s="97" t="str">
        <f ca="1">IF(OR(Market_Data[[#This Row],[Start Date]]="",Market_Data[[#This Row],[Completion Date]]=""),"Needs Validation",IF(Market_Data[[#This Row],[Start Date]]&gt;TODAY(),"Planned",IF(Market_Data[[#This Row],[Completion Date]]&lt;TODAY(),"Completed","Ongoing")))</f>
        <v>Ongoing</v>
      </c>
      <c r="G101" s="324">
        <v>43373</v>
      </c>
      <c r="H101" s="324">
        <v>46295</v>
      </c>
      <c r="I101" s="325">
        <v>81300</v>
      </c>
      <c r="J10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01" s="133">
        <f>_xlfn.XLOOKUP(Market_Data[[#This Row],[Project Type]],tbl_assumptions_market[Project Category (RERA)],tbl_assumptions_market[Concrete Intensity
(m³ / sq m BUA)],"",0)</f>
        <v>0.45</v>
      </c>
      <c r="L101" s="134">
        <f>ROUND(Market_Data[[#This Row],[Estimated Built Up Area (sq m)]]*Market_Data[[#This Row],[Concrete Intensity
(m³ / sq m)]],0)</f>
        <v>36585</v>
      </c>
      <c r="M101" s="135">
        <f>_xlfn.XLOOKUP(Market_Data[[#This Row],[District]],tbl_district_price[District],tbl_district_price[Standard Price
(INR/m³)],"",0)</f>
        <v>5800</v>
      </c>
      <c r="N101" s="364">
        <f>IF(OR(Market_Data[[#This Row],[Estimated Concrete Demand (m³)]]="",Market_Data[[#This Row],[Avg Price per (₹ / m³)]]=""),"",Market_Data[[#This Row],[Estimated Concrete Demand (m³)]]*Market_Data[[#This Row],[Avg Price per (₹ / m³)]]/10000000)</f>
        <v>21.2193</v>
      </c>
      <c r="O101" s="97" t="str">
        <f>IF(Market_Data[[#This Row],[Estimated Concrete Demand (m³)]]="","",
IF(Market_Data[[#This Row],[Estimated Concrete Demand (m³)]]&lt;10000,"Small",
IF(Market_Data[[#This Row],[Estimated Concrete Demand (m³)]]&lt;25000,"Medium",
IF(Market_Data[[#This Row],[Estimated Concrete Demand (m³)]]&lt;100000,"Large","Mega"))))</f>
        <v>Large</v>
      </c>
      <c r="P101" s="287" t="str">
        <f t="shared" si="3"/>
        <v>GujRERA</v>
      </c>
    </row>
    <row r="102" spans="1:16">
      <c r="A102" s="129" t="str">
        <f>_xlfn.XLOOKUP(B102,$S$9:$S$14,$T$9:$T$14)&amp;"-"&amp;
IF(E102="Residential/Group Housing","RES",
IF(E102="Commercial","COM",
IF(E102="Mixed Development","MIX",
IF(E102="Plotted Development","PLT","OTH"))))
&amp;"-"&amp;TEXT(COUNTIFS($B$9:B102,B102,$E$9:E102,E102),"0000")</f>
        <v>BHR-MIX-0029</v>
      </c>
      <c r="B102" s="322" t="s">
        <v>36</v>
      </c>
      <c r="C102" s="322" t="s">
        <v>36</v>
      </c>
      <c r="D102" s="323" t="s">
        <v>288</v>
      </c>
      <c r="E102" s="132" t="s">
        <v>25</v>
      </c>
      <c r="F102" s="97" t="str">
        <f ca="1">IF(OR(Market_Data[[#This Row],[Start Date]]="",Market_Data[[#This Row],[Completion Date]]=""),"Needs Validation",IF(Market_Data[[#This Row],[Start Date]]&gt;TODAY(),"Planned",IF(Market_Data[[#This Row],[Completion Date]]&lt;TODAY(),"Completed","Ongoing")))</f>
        <v>Ongoing</v>
      </c>
      <c r="G102" s="324">
        <v>45017</v>
      </c>
      <c r="H102" s="324">
        <v>47573</v>
      </c>
      <c r="I102" s="325">
        <v>18200</v>
      </c>
      <c r="J10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2" s="133">
        <f>_xlfn.XLOOKUP(Market_Data[[#This Row],[Project Type]],tbl_assumptions_market[Project Category (RERA)],tbl_assumptions_market[Concrete Intensity
(m³ / sq m BUA)],"",0)</f>
        <v>0.42</v>
      </c>
      <c r="L102" s="134">
        <f>ROUND(Market_Data[[#This Row],[Estimated Built Up Area (sq m)]]*Market_Data[[#This Row],[Concrete Intensity
(m³ / sq m)]],0)</f>
        <v>7644</v>
      </c>
      <c r="M102" s="135">
        <f>_xlfn.XLOOKUP(Market_Data[[#This Row],[District]],tbl_district_price[District],tbl_district_price[Standard Price
(INR/m³)],"",0)</f>
        <v>5800</v>
      </c>
      <c r="N102" s="364">
        <f>IF(OR(Market_Data[[#This Row],[Estimated Concrete Demand (m³)]]="",Market_Data[[#This Row],[Avg Price per (₹ / m³)]]=""),"",Market_Data[[#This Row],[Estimated Concrete Demand (m³)]]*Market_Data[[#This Row],[Avg Price per (₹ / m³)]]/10000000)</f>
        <v>4.4335199999999997</v>
      </c>
      <c r="O102" s="97" t="str">
        <f>IF(Market_Data[[#This Row],[Estimated Concrete Demand (m³)]]="","",
IF(Market_Data[[#This Row],[Estimated Concrete Demand (m³)]]&lt;10000,"Small",
IF(Market_Data[[#This Row],[Estimated Concrete Demand (m³)]]&lt;25000,"Medium",
IF(Market_Data[[#This Row],[Estimated Concrete Demand (m³)]]&lt;100000,"Large","Mega"))))</f>
        <v>Small</v>
      </c>
      <c r="P102" s="287" t="str">
        <f t="shared" si="3"/>
        <v>GujRERA</v>
      </c>
    </row>
    <row r="103" spans="1:16">
      <c r="A103" s="129" t="str">
        <f>_xlfn.XLOOKUP(B103,$S$9:$S$14,$T$9:$T$14)&amp;"-"&amp;
IF(E103="Residential/Group Housing","RES",
IF(E103="Commercial","COM",
IF(E103="Mixed Development","MIX",
IF(E103="Plotted Development","PLT","OTH"))))
&amp;"-"&amp;TEXT(COUNTIFS($B$9:B103,B103,$E$9:E103,E103),"0000")</f>
        <v>BHR-COM-0014</v>
      </c>
      <c r="B103" s="322" t="s">
        <v>36</v>
      </c>
      <c r="C103" s="322" t="s">
        <v>36</v>
      </c>
      <c r="D103" s="323" t="s">
        <v>289</v>
      </c>
      <c r="E103" s="132" t="s">
        <v>23</v>
      </c>
      <c r="F103" s="97" t="str">
        <f ca="1">IF(OR(Market_Data[[#This Row],[Start Date]]="",Market_Data[[#This Row],[Completion Date]]=""),"Needs Validation",IF(Market_Data[[#This Row],[Start Date]]&gt;TODAY(),"Planned",IF(Market_Data[[#This Row],[Completion Date]]&lt;TODAY(),"Completed","Ongoing")))</f>
        <v>Ongoing</v>
      </c>
      <c r="G103" s="324">
        <v>45721</v>
      </c>
      <c r="H103" s="324">
        <v>47542</v>
      </c>
      <c r="I103" s="325">
        <v>53800</v>
      </c>
      <c r="J10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03" s="133">
        <f>_xlfn.XLOOKUP(Market_Data[[#This Row],[Project Type]],tbl_assumptions_market[Project Category (RERA)],tbl_assumptions_market[Concrete Intensity
(m³ / sq m BUA)],"",0)</f>
        <v>0.5</v>
      </c>
      <c r="L103" s="134">
        <f>ROUND(Market_Data[[#This Row],[Estimated Built Up Area (sq m)]]*Market_Data[[#This Row],[Concrete Intensity
(m³ / sq m)]],0)</f>
        <v>26900</v>
      </c>
      <c r="M103" s="135">
        <f>_xlfn.XLOOKUP(Market_Data[[#This Row],[District]],tbl_district_price[District],tbl_district_price[Standard Price
(INR/m³)],"",0)</f>
        <v>5800</v>
      </c>
      <c r="N103" s="364">
        <f>IF(OR(Market_Data[[#This Row],[Estimated Concrete Demand (m³)]]="",Market_Data[[#This Row],[Avg Price per (₹ / m³)]]=""),"",Market_Data[[#This Row],[Estimated Concrete Demand (m³)]]*Market_Data[[#This Row],[Avg Price per (₹ / m³)]]/10000000)</f>
        <v>15.602</v>
      </c>
      <c r="O103" s="97" t="str">
        <f>IF(Market_Data[[#This Row],[Estimated Concrete Demand (m³)]]="","",
IF(Market_Data[[#This Row],[Estimated Concrete Demand (m³)]]&lt;10000,"Small",
IF(Market_Data[[#This Row],[Estimated Concrete Demand (m³)]]&lt;25000,"Medium",
IF(Market_Data[[#This Row],[Estimated Concrete Demand (m³)]]&lt;100000,"Large","Mega"))))</f>
        <v>Large</v>
      </c>
      <c r="P103" s="287" t="str">
        <f t="shared" si="3"/>
        <v>GujRERA</v>
      </c>
    </row>
    <row r="104" spans="1:16">
      <c r="A104" s="129" t="str">
        <f>_xlfn.XLOOKUP(B104,$S$9:$S$14,$T$9:$T$14)&amp;"-"&amp;
IF(E104="Residential/Group Housing","RES",
IF(E104="Commercial","COM",
IF(E104="Mixed Development","MIX",
IF(E104="Plotted Development","PLT","OTH"))))
&amp;"-"&amp;TEXT(COUNTIFS($B$9:B104,B104,$E$9:E104,E104),"0000")</f>
        <v>BHR-MIX-0030</v>
      </c>
      <c r="B104" s="322" t="s">
        <v>36</v>
      </c>
      <c r="C104" s="322" t="s">
        <v>36</v>
      </c>
      <c r="D104" s="323" t="s">
        <v>290</v>
      </c>
      <c r="E104" s="132" t="s">
        <v>25</v>
      </c>
      <c r="F104" s="97" t="str">
        <f ca="1">IF(OR(Market_Data[[#This Row],[Start Date]]="",Market_Data[[#This Row],[Completion Date]]=""),"Needs Validation",IF(Market_Data[[#This Row],[Start Date]]&gt;TODAY(),"Planned",IF(Market_Data[[#This Row],[Completion Date]]&lt;TODAY(),"Completed","Ongoing")))</f>
        <v>Ongoing</v>
      </c>
      <c r="G104" s="324">
        <v>45092</v>
      </c>
      <c r="H104" s="324">
        <v>47118</v>
      </c>
      <c r="I104" s="325">
        <v>54800</v>
      </c>
      <c r="J10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4" s="133">
        <f>_xlfn.XLOOKUP(Market_Data[[#This Row],[Project Type]],tbl_assumptions_market[Project Category (RERA)],tbl_assumptions_market[Concrete Intensity
(m³ / sq m BUA)],"",0)</f>
        <v>0.42</v>
      </c>
      <c r="L104" s="134">
        <f>ROUND(Market_Data[[#This Row],[Estimated Built Up Area (sq m)]]*Market_Data[[#This Row],[Concrete Intensity
(m³ / sq m)]],0)</f>
        <v>23016</v>
      </c>
      <c r="M104" s="135">
        <f>_xlfn.XLOOKUP(Market_Data[[#This Row],[District]],tbl_district_price[District],tbl_district_price[Standard Price
(INR/m³)],"",0)</f>
        <v>5800</v>
      </c>
      <c r="N104" s="364">
        <f>IF(OR(Market_Data[[#This Row],[Estimated Concrete Demand (m³)]]="",Market_Data[[#This Row],[Avg Price per (₹ / m³)]]=""),"",Market_Data[[#This Row],[Estimated Concrete Demand (m³)]]*Market_Data[[#This Row],[Avg Price per (₹ / m³)]]/10000000)</f>
        <v>13.34928</v>
      </c>
      <c r="O104" s="97" t="str">
        <f>IF(Market_Data[[#This Row],[Estimated Concrete Demand (m³)]]="","",
IF(Market_Data[[#This Row],[Estimated Concrete Demand (m³)]]&lt;10000,"Small",
IF(Market_Data[[#This Row],[Estimated Concrete Demand (m³)]]&lt;25000,"Medium",
IF(Market_Data[[#This Row],[Estimated Concrete Demand (m³)]]&lt;100000,"Large","Mega"))))</f>
        <v>Medium</v>
      </c>
      <c r="P104" s="287" t="str">
        <f t="shared" si="3"/>
        <v>GujRERA</v>
      </c>
    </row>
    <row r="105" spans="1:16">
      <c r="A105" s="129" t="str">
        <f>_xlfn.XLOOKUP(B105,$S$9:$S$14,$T$9:$T$14)&amp;"-"&amp;
IF(E105="Residential/Group Housing","RES",
IF(E105="Commercial","COM",
IF(E105="Mixed Development","MIX",
IF(E105="Plotted Development","PLT","OTH"))))
&amp;"-"&amp;TEXT(COUNTIFS($B$9:B105,B105,$E$9:E105,E105),"0000")</f>
        <v>BHR-RES-0046</v>
      </c>
      <c r="B105" s="322" t="s">
        <v>36</v>
      </c>
      <c r="C105" s="322" t="s">
        <v>36</v>
      </c>
      <c r="D105" s="323" t="s">
        <v>291</v>
      </c>
      <c r="E105" s="132" t="s">
        <v>24</v>
      </c>
      <c r="F105" s="97" t="str">
        <f ca="1">IF(OR(Market_Data[[#This Row],[Start Date]]="",Market_Data[[#This Row],[Completion Date]]=""),"Needs Validation",IF(Market_Data[[#This Row],[Start Date]]&gt;TODAY(),"Planned",IF(Market_Data[[#This Row],[Completion Date]]&lt;TODAY(),"Completed","Ongoing")))</f>
        <v>Completed</v>
      </c>
      <c r="G105" s="324">
        <v>42719</v>
      </c>
      <c r="H105" s="324">
        <v>44651</v>
      </c>
      <c r="I105" s="325">
        <v>31300</v>
      </c>
      <c r="J10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5" s="133">
        <f>_xlfn.XLOOKUP(Market_Data[[#This Row],[Project Type]],tbl_assumptions_market[Project Category (RERA)],tbl_assumptions_market[Concrete Intensity
(m³ / sq m BUA)],"",0)</f>
        <v>0.45</v>
      </c>
      <c r="L105" s="134">
        <f>ROUND(Market_Data[[#This Row],[Estimated Built Up Area (sq m)]]*Market_Data[[#This Row],[Concrete Intensity
(m³ / sq m)]],0)</f>
        <v>14085</v>
      </c>
      <c r="M105" s="135">
        <f>_xlfn.XLOOKUP(Market_Data[[#This Row],[District]],tbl_district_price[District],tbl_district_price[Standard Price
(INR/m³)],"",0)</f>
        <v>5800</v>
      </c>
      <c r="N105" s="364">
        <f>IF(OR(Market_Data[[#This Row],[Estimated Concrete Demand (m³)]]="",Market_Data[[#This Row],[Avg Price per (₹ / m³)]]=""),"",Market_Data[[#This Row],[Estimated Concrete Demand (m³)]]*Market_Data[[#This Row],[Avg Price per (₹ / m³)]]/10000000)</f>
        <v>8.1692999999999998</v>
      </c>
      <c r="O105" s="97" t="str">
        <f>IF(Market_Data[[#This Row],[Estimated Concrete Demand (m³)]]="","",
IF(Market_Data[[#This Row],[Estimated Concrete Demand (m³)]]&lt;10000,"Small",
IF(Market_Data[[#This Row],[Estimated Concrete Demand (m³)]]&lt;25000,"Medium",
IF(Market_Data[[#This Row],[Estimated Concrete Demand (m³)]]&lt;100000,"Large","Mega"))))</f>
        <v>Medium</v>
      </c>
      <c r="P105" s="287" t="str">
        <f t="shared" si="3"/>
        <v>GujRERA</v>
      </c>
    </row>
    <row r="106" spans="1:16">
      <c r="A106" s="129" t="str">
        <f>_xlfn.XLOOKUP(B106,$S$9:$S$14,$T$9:$T$14)&amp;"-"&amp;
IF(E106="Residential/Group Housing","RES",
IF(E106="Commercial","COM",
IF(E106="Mixed Development","MIX",
IF(E106="Plotted Development","PLT","OTH"))))
&amp;"-"&amp;TEXT(COUNTIFS($B$9:B106,B106,$E$9:E106,E106),"0000")</f>
        <v>BHR-MIX-0031</v>
      </c>
      <c r="B106" s="322" t="s">
        <v>36</v>
      </c>
      <c r="C106" s="322" t="s">
        <v>36</v>
      </c>
      <c r="D106" s="323" t="s">
        <v>292</v>
      </c>
      <c r="E106" s="132" t="s">
        <v>25</v>
      </c>
      <c r="F106" s="97" t="str">
        <f ca="1">IF(OR(Market_Data[[#This Row],[Start Date]]="",Market_Data[[#This Row],[Completion Date]]=""),"Needs Validation",IF(Market_Data[[#This Row],[Start Date]]&gt;TODAY(),"Planned",IF(Market_Data[[#This Row],[Completion Date]]&lt;TODAY(),"Completed","Ongoing")))</f>
        <v>Ongoing</v>
      </c>
      <c r="G106" s="324">
        <v>43282</v>
      </c>
      <c r="H106" s="324">
        <v>46295</v>
      </c>
      <c r="I106" s="325">
        <v>35200</v>
      </c>
      <c r="J10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6" s="133">
        <f>_xlfn.XLOOKUP(Market_Data[[#This Row],[Project Type]],tbl_assumptions_market[Project Category (RERA)],tbl_assumptions_market[Concrete Intensity
(m³ / sq m BUA)],"",0)</f>
        <v>0.42</v>
      </c>
      <c r="L106" s="134">
        <f>ROUND(Market_Data[[#This Row],[Estimated Built Up Area (sq m)]]*Market_Data[[#This Row],[Concrete Intensity
(m³ / sq m)]],0)</f>
        <v>14784</v>
      </c>
      <c r="M106" s="135">
        <f>_xlfn.XLOOKUP(Market_Data[[#This Row],[District]],tbl_district_price[District],tbl_district_price[Standard Price
(INR/m³)],"",0)</f>
        <v>5800</v>
      </c>
      <c r="N106" s="364">
        <f>IF(OR(Market_Data[[#This Row],[Estimated Concrete Demand (m³)]]="",Market_Data[[#This Row],[Avg Price per (₹ / m³)]]=""),"",Market_Data[[#This Row],[Estimated Concrete Demand (m³)]]*Market_Data[[#This Row],[Avg Price per (₹ / m³)]]/10000000)</f>
        <v>8.5747199999999992</v>
      </c>
      <c r="O106" s="97" t="str">
        <f>IF(Market_Data[[#This Row],[Estimated Concrete Demand (m³)]]="","",
IF(Market_Data[[#This Row],[Estimated Concrete Demand (m³)]]&lt;10000,"Small",
IF(Market_Data[[#This Row],[Estimated Concrete Demand (m³)]]&lt;25000,"Medium",
IF(Market_Data[[#This Row],[Estimated Concrete Demand (m³)]]&lt;100000,"Large","Mega"))))</f>
        <v>Medium</v>
      </c>
      <c r="P106" s="287" t="str">
        <f t="shared" si="3"/>
        <v>GujRERA</v>
      </c>
    </row>
    <row r="107" spans="1:16">
      <c r="A107" s="129" t="str">
        <f>_xlfn.XLOOKUP(B107,$S$9:$S$14,$T$9:$T$14)&amp;"-"&amp;
IF(E107="Residential/Group Housing","RES",
IF(E107="Commercial","COM",
IF(E107="Mixed Development","MIX",
IF(E107="Plotted Development","PLT","OTH"))))
&amp;"-"&amp;TEXT(COUNTIFS($B$9:B107,B107,$E$9:E107,E107),"0000")</f>
        <v>BHR-RES-0047</v>
      </c>
      <c r="B107" s="322" t="s">
        <v>36</v>
      </c>
      <c r="C107" s="322" t="s">
        <v>36</v>
      </c>
      <c r="D107" s="323" t="s">
        <v>293</v>
      </c>
      <c r="E107" s="132" t="s">
        <v>24</v>
      </c>
      <c r="F107" s="97" t="str">
        <f ca="1">IF(OR(Market_Data[[#This Row],[Start Date]]="",Market_Data[[#This Row],[Completion Date]]=""),"Needs Validation",IF(Market_Data[[#This Row],[Start Date]]&gt;TODAY(),"Planned",IF(Market_Data[[#This Row],[Completion Date]]&lt;TODAY(),"Completed","Ongoing")))</f>
        <v>Ongoing</v>
      </c>
      <c r="G107" s="324">
        <v>45474</v>
      </c>
      <c r="H107" s="324">
        <v>47208</v>
      </c>
      <c r="I107" s="325">
        <v>18000</v>
      </c>
      <c r="J10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7" s="133">
        <f>_xlfn.XLOOKUP(Market_Data[[#This Row],[Project Type]],tbl_assumptions_market[Project Category (RERA)],tbl_assumptions_market[Concrete Intensity
(m³ / sq m BUA)],"",0)</f>
        <v>0.45</v>
      </c>
      <c r="L107" s="134">
        <f>ROUND(Market_Data[[#This Row],[Estimated Built Up Area (sq m)]]*Market_Data[[#This Row],[Concrete Intensity
(m³ / sq m)]],0)</f>
        <v>8100</v>
      </c>
      <c r="M107" s="135">
        <f>_xlfn.XLOOKUP(Market_Data[[#This Row],[District]],tbl_district_price[District],tbl_district_price[Standard Price
(INR/m³)],"",0)</f>
        <v>5800</v>
      </c>
      <c r="N107" s="364">
        <f>IF(OR(Market_Data[[#This Row],[Estimated Concrete Demand (m³)]]="",Market_Data[[#This Row],[Avg Price per (₹ / m³)]]=""),"",Market_Data[[#This Row],[Estimated Concrete Demand (m³)]]*Market_Data[[#This Row],[Avg Price per (₹ / m³)]]/10000000)</f>
        <v>4.6980000000000004</v>
      </c>
      <c r="O107" s="97" t="str">
        <f>IF(Market_Data[[#This Row],[Estimated Concrete Demand (m³)]]="","",
IF(Market_Data[[#This Row],[Estimated Concrete Demand (m³)]]&lt;10000,"Small",
IF(Market_Data[[#This Row],[Estimated Concrete Demand (m³)]]&lt;25000,"Medium",
IF(Market_Data[[#This Row],[Estimated Concrete Demand (m³)]]&lt;100000,"Large","Mega"))))</f>
        <v>Small</v>
      </c>
      <c r="P107" s="287" t="str">
        <f t="shared" si="3"/>
        <v>GujRERA</v>
      </c>
    </row>
    <row r="108" spans="1:16">
      <c r="A108" s="129" t="str">
        <f>_xlfn.XLOOKUP(B108,$S$9:$S$14,$T$9:$T$14)&amp;"-"&amp;
IF(E108="Residential/Group Housing","RES",
IF(E108="Commercial","COM",
IF(E108="Mixed Development","MIX",
IF(E108="Plotted Development","PLT","OTH"))))
&amp;"-"&amp;TEXT(COUNTIFS($B$9:B108,B108,$E$9:E108,E108),"0000")</f>
        <v>BHR-RES-0048</v>
      </c>
      <c r="B108" s="322" t="s">
        <v>36</v>
      </c>
      <c r="C108" s="322" t="s">
        <v>36</v>
      </c>
      <c r="D108" s="323" t="s">
        <v>294</v>
      </c>
      <c r="E108" s="132" t="s">
        <v>24</v>
      </c>
      <c r="F108" s="97" t="str">
        <f ca="1">IF(OR(Market_Data[[#This Row],[Start Date]]="",Market_Data[[#This Row],[Completion Date]]=""),"Needs Validation",IF(Market_Data[[#This Row],[Start Date]]&gt;TODAY(),"Planned",IF(Market_Data[[#This Row],[Completion Date]]&lt;TODAY(),"Completed","Ongoing")))</f>
        <v>Completed</v>
      </c>
      <c r="G108" s="324">
        <v>44713</v>
      </c>
      <c r="H108" s="324">
        <v>46022</v>
      </c>
      <c r="I108" s="325">
        <v>43600</v>
      </c>
      <c r="J10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8" s="133">
        <f>_xlfn.XLOOKUP(Market_Data[[#This Row],[Project Type]],tbl_assumptions_market[Project Category (RERA)],tbl_assumptions_market[Concrete Intensity
(m³ / sq m BUA)],"",0)</f>
        <v>0.45</v>
      </c>
      <c r="L108" s="134">
        <f>ROUND(Market_Data[[#This Row],[Estimated Built Up Area (sq m)]]*Market_Data[[#This Row],[Concrete Intensity
(m³ / sq m)]],0)</f>
        <v>19620</v>
      </c>
      <c r="M108" s="135">
        <f>_xlfn.XLOOKUP(Market_Data[[#This Row],[District]],tbl_district_price[District],tbl_district_price[Standard Price
(INR/m³)],"",0)</f>
        <v>5800</v>
      </c>
      <c r="N108" s="364">
        <f>IF(OR(Market_Data[[#This Row],[Estimated Concrete Demand (m³)]]="",Market_Data[[#This Row],[Avg Price per (₹ / m³)]]=""),"",Market_Data[[#This Row],[Estimated Concrete Demand (m³)]]*Market_Data[[#This Row],[Avg Price per (₹ / m³)]]/10000000)</f>
        <v>11.3796</v>
      </c>
      <c r="O108" s="97" t="str">
        <f>IF(Market_Data[[#This Row],[Estimated Concrete Demand (m³)]]="","",
IF(Market_Data[[#This Row],[Estimated Concrete Demand (m³)]]&lt;10000,"Small",
IF(Market_Data[[#This Row],[Estimated Concrete Demand (m³)]]&lt;25000,"Medium",
IF(Market_Data[[#This Row],[Estimated Concrete Demand (m³)]]&lt;100000,"Large","Mega"))))</f>
        <v>Medium</v>
      </c>
      <c r="P108" s="287" t="str">
        <f t="shared" si="3"/>
        <v>GujRERA</v>
      </c>
    </row>
    <row r="109" spans="1:16">
      <c r="A109" s="129" t="str">
        <f>_xlfn.XLOOKUP(B109,$S$9:$S$14,$T$9:$T$14)&amp;"-"&amp;
IF(E109="Residential/Group Housing","RES",
IF(E109="Commercial","COM",
IF(E109="Mixed Development","MIX",
IF(E109="Plotted Development","PLT","OTH"))))
&amp;"-"&amp;TEXT(COUNTIFS($B$9:B109,B109,$E$9:E109,E109),"0000")</f>
        <v>BHR-COM-0015</v>
      </c>
      <c r="B109" s="322" t="s">
        <v>36</v>
      </c>
      <c r="C109" s="322" t="s">
        <v>36</v>
      </c>
      <c r="D109" s="323" t="s">
        <v>295</v>
      </c>
      <c r="E109" s="132" t="s">
        <v>23</v>
      </c>
      <c r="F109" s="97" t="str">
        <f ca="1">IF(OR(Market_Data[[#This Row],[Start Date]]="",Market_Data[[#This Row],[Completion Date]]=""),"Needs Validation",IF(Market_Data[[#This Row],[Start Date]]&gt;TODAY(),"Planned",IF(Market_Data[[#This Row],[Completion Date]]&lt;TODAY(),"Completed","Ongoing")))</f>
        <v>Completed</v>
      </c>
      <c r="G109" s="324">
        <v>44743</v>
      </c>
      <c r="H109" s="324">
        <v>45747</v>
      </c>
      <c r="I109" s="325">
        <v>50400</v>
      </c>
      <c r="J10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09" s="133">
        <f>_xlfn.XLOOKUP(Market_Data[[#This Row],[Project Type]],tbl_assumptions_market[Project Category (RERA)],tbl_assumptions_market[Concrete Intensity
(m³ / sq m BUA)],"",0)</f>
        <v>0.5</v>
      </c>
      <c r="L109" s="134">
        <f>ROUND(Market_Data[[#This Row],[Estimated Built Up Area (sq m)]]*Market_Data[[#This Row],[Concrete Intensity
(m³ / sq m)]],0)</f>
        <v>25200</v>
      </c>
      <c r="M109" s="135">
        <f>_xlfn.XLOOKUP(Market_Data[[#This Row],[District]],tbl_district_price[District],tbl_district_price[Standard Price
(INR/m³)],"",0)</f>
        <v>5800</v>
      </c>
      <c r="N109" s="364">
        <f>IF(OR(Market_Data[[#This Row],[Estimated Concrete Demand (m³)]]="",Market_Data[[#This Row],[Avg Price per (₹ / m³)]]=""),"",Market_Data[[#This Row],[Estimated Concrete Demand (m³)]]*Market_Data[[#This Row],[Avg Price per (₹ / m³)]]/10000000)</f>
        <v>14.616</v>
      </c>
      <c r="O109" s="97" t="str">
        <f>IF(Market_Data[[#This Row],[Estimated Concrete Demand (m³)]]="","",
IF(Market_Data[[#This Row],[Estimated Concrete Demand (m³)]]&lt;10000,"Small",
IF(Market_Data[[#This Row],[Estimated Concrete Demand (m³)]]&lt;25000,"Medium",
IF(Market_Data[[#This Row],[Estimated Concrete Demand (m³)]]&lt;100000,"Large","Mega"))))</f>
        <v>Large</v>
      </c>
      <c r="P109" s="287" t="str">
        <f t="shared" si="3"/>
        <v>GujRERA</v>
      </c>
    </row>
    <row r="110" spans="1:16">
      <c r="A110" s="129" t="str">
        <f>_xlfn.XLOOKUP(B110,$S$9:$S$14,$T$9:$T$14)&amp;"-"&amp;
IF(E110="Residential/Group Housing","RES",
IF(E110="Commercial","COM",
IF(E110="Mixed Development","MIX",
IF(E110="Plotted Development","PLT","OTH"))))
&amp;"-"&amp;TEXT(COUNTIFS($B$9:B110,B110,$E$9:E110,E110),"0000")</f>
        <v>BHR-MIX-0032</v>
      </c>
      <c r="B110" s="322" t="s">
        <v>36</v>
      </c>
      <c r="C110" s="322" t="s">
        <v>36</v>
      </c>
      <c r="D110" s="323" t="s">
        <v>296</v>
      </c>
      <c r="E110" s="132" t="s">
        <v>25</v>
      </c>
      <c r="F110" s="97" t="str">
        <f ca="1">IF(OR(Market_Data[[#This Row],[Start Date]]="",Market_Data[[#This Row],[Completion Date]]=""),"Needs Validation",IF(Market_Data[[#This Row],[Start Date]]&gt;TODAY(),"Planned",IF(Market_Data[[#This Row],[Completion Date]]&lt;TODAY(),"Completed","Ongoing")))</f>
        <v>Completed</v>
      </c>
      <c r="G110" s="324">
        <v>43922</v>
      </c>
      <c r="H110" s="324">
        <v>45107</v>
      </c>
      <c r="I110" s="325">
        <v>40900</v>
      </c>
      <c r="J11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0" s="133">
        <f>_xlfn.XLOOKUP(Market_Data[[#This Row],[Project Type]],tbl_assumptions_market[Project Category (RERA)],tbl_assumptions_market[Concrete Intensity
(m³ / sq m BUA)],"",0)</f>
        <v>0.42</v>
      </c>
      <c r="L110" s="134">
        <f>ROUND(Market_Data[[#This Row],[Estimated Built Up Area (sq m)]]*Market_Data[[#This Row],[Concrete Intensity
(m³ / sq m)]],0)</f>
        <v>17178</v>
      </c>
      <c r="M110" s="135">
        <f>_xlfn.XLOOKUP(Market_Data[[#This Row],[District]],tbl_district_price[District],tbl_district_price[Standard Price
(INR/m³)],"",0)</f>
        <v>5800</v>
      </c>
      <c r="N110" s="364">
        <f>IF(OR(Market_Data[[#This Row],[Estimated Concrete Demand (m³)]]="",Market_Data[[#This Row],[Avg Price per (₹ / m³)]]=""),"",Market_Data[[#This Row],[Estimated Concrete Demand (m³)]]*Market_Data[[#This Row],[Avg Price per (₹ / m³)]]/10000000)</f>
        <v>9.9632400000000008</v>
      </c>
      <c r="O110" s="97" t="str">
        <f>IF(Market_Data[[#This Row],[Estimated Concrete Demand (m³)]]="","",
IF(Market_Data[[#This Row],[Estimated Concrete Demand (m³)]]&lt;10000,"Small",
IF(Market_Data[[#This Row],[Estimated Concrete Demand (m³)]]&lt;25000,"Medium",
IF(Market_Data[[#This Row],[Estimated Concrete Demand (m³)]]&lt;100000,"Large","Mega"))))</f>
        <v>Medium</v>
      </c>
      <c r="P110" s="287" t="str">
        <f t="shared" si="3"/>
        <v>GujRERA</v>
      </c>
    </row>
    <row r="111" spans="1:16">
      <c r="A111" s="129" t="str">
        <f>_xlfn.XLOOKUP(B111,$S$9:$S$14,$T$9:$T$14)&amp;"-"&amp;
IF(E111="Residential/Group Housing","RES",
IF(E111="Commercial","COM",
IF(E111="Mixed Development","MIX",
IF(E111="Plotted Development","PLT","OTH"))))
&amp;"-"&amp;TEXT(COUNTIFS($B$9:B111,B111,$E$9:E111,E111),"0000")</f>
        <v>BHR-RES-0049</v>
      </c>
      <c r="B111" s="322" t="s">
        <v>36</v>
      </c>
      <c r="C111" s="322" t="s">
        <v>36</v>
      </c>
      <c r="D111" s="323" t="s">
        <v>297</v>
      </c>
      <c r="E111" s="132" t="s">
        <v>24</v>
      </c>
      <c r="F111" s="97" t="str">
        <f ca="1">IF(OR(Market_Data[[#This Row],[Start Date]]="",Market_Data[[#This Row],[Completion Date]]=""),"Needs Validation",IF(Market_Data[[#This Row],[Start Date]]&gt;TODAY(),"Planned",IF(Market_Data[[#This Row],[Completion Date]]&lt;TODAY(),"Completed","Ongoing")))</f>
        <v>Completed</v>
      </c>
      <c r="G111" s="324">
        <v>42917</v>
      </c>
      <c r="H111" s="324">
        <v>44104</v>
      </c>
      <c r="I111" s="325">
        <v>27700</v>
      </c>
      <c r="J11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1" s="133">
        <f>_xlfn.XLOOKUP(Market_Data[[#This Row],[Project Type]],tbl_assumptions_market[Project Category (RERA)],tbl_assumptions_market[Concrete Intensity
(m³ / sq m BUA)],"",0)</f>
        <v>0.45</v>
      </c>
      <c r="L111" s="134">
        <f>ROUND(Market_Data[[#This Row],[Estimated Built Up Area (sq m)]]*Market_Data[[#This Row],[Concrete Intensity
(m³ / sq m)]],0)</f>
        <v>12465</v>
      </c>
      <c r="M111" s="135">
        <f>_xlfn.XLOOKUP(Market_Data[[#This Row],[District]],tbl_district_price[District],tbl_district_price[Standard Price
(INR/m³)],"",0)</f>
        <v>5800</v>
      </c>
      <c r="N111" s="364">
        <f>IF(OR(Market_Data[[#This Row],[Estimated Concrete Demand (m³)]]="",Market_Data[[#This Row],[Avg Price per (₹ / m³)]]=""),"",Market_Data[[#This Row],[Estimated Concrete Demand (m³)]]*Market_Data[[#This Row],[Avg Price per (₹ / m³)]]/10000000)</f>
        <v>7.2297000000000002</v>
      </c>
      <c r="O111" s="97" t="str">
        <f>IF(Market_Data[[#This Row],[Estimated Concrete Demand (m³)]]="","",
IF(Market_Data[[#This Row],[Estimated Concrete Demand (m³)]]&lt;10000,"Small",
IF(Market_Data[[#This Row],[Estimated Concrete Demand (m³)]]&lt;25000,"Medium",
IF(Market_Data[[#This Row],[Estimated Concrete Demand (m³)]]&lt;100000,"Large","Mega"))))</f>
        <v>Medium</v>
      </c>
      <c r="P111" s="287" t="str">
        <f t="shared" si="3"/>
        <v>GujRERA</v>
      </c>
    </row>
    <row r="112" spans="1:16">
      <c r="A112" s="129" t="str">
        <f>_xlfn.XLOOKUP(B112,$S$9:$S$14,$T$9:$T$14)&amp;"-"&amp;
IF(E112="Residential/Group Housing","RES",
IF(E112="Commercial","COM",
IF(E112="Mixed Development","MIX",
IF(E112="Plotted Development","PLT","OTH"))))
&amp;"-"&amp;TEXT(COUNTIFS($B$9:B112,B112,$E$9:E112,E112),"0000")</f>
        <v>BHR-MIX-0033</v>
      </c>
      <c r="B112" s="322" t="s">
        <v>36</v>
      </c>
      <c r="C112" s="322" t="s">
        <v>36</v>
      </c>
      <c r="D112" s="323" t="s">
        <v>298</v>
      </c>
      <c r="E112" s="132" t="s">
        <v>25</v>
      </c>
      <c r="F112" s="97" t="str">
        <f ca="1">IF(OR(Market_Data[[#This Row],[Start Date]]="",Market_Data[[#This Row],[Completion Date]]=""),"Needs Validation",IF(Market_Data[[#This Row],[Start Date]]&gt;TODAY(),"Planned",IF(Market_Data[[#This Row],[Completion Date]]&lt;TODAY(),"Completed","Ongoing")))</f>
        <v>Ongoing</v>
      </c>
      <c r="G112" s="324">
        <v>45411</v>
      </c>
      <c r="H112" s="324">
        <v>47483</v>
      </c>
      <c r="I112" s="325">
        <v>46600</v>
      </c>
      <c r="J11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2" s="133">
        <f>_xlfn.XLOOKUP(Market_Data[[#This Row],[Project Type]],tbl_assumptions_market[Project Category (RERA)],tbl_assumptions_market[Concrete Intensity
(m³ / sq m BUA)],"",0)</f>
        <v>0.42</v>
      </c>
      <c r="L112" s="134">
        <f>ROUND(Market_Data[[#This Row],[Estimated Built Up Area (sq m)]]*Market_Data[[#This Row],[Concrete Intensity
(m³ / sq m)]],0)</f>
        <v>19572</v>
      </c>
      <c r="M112" s="135">
        <f>_xlfn.XLOOKUP(Market_Data[[#This Row],[District]],tbl_district_price[District],tbl_district_price[Standard Price
(INR/m³)],"",0)</f>
        <v>5800</v>
      </c>
      <c r="N112" s="364">
        <f>IF(OR(Market_Data[[#This Row],[Estimated Concrete Demand (m³)]]="",Market_Data[[#This Row],[Avg Price per (₹ / m³)]]=""),"",Market_Data[[#This Row],[Estimated Concrete Demand (m³)]]*Market_Data[[#This Row],[Avg Price per (₹ / m³)]]/10000000)</f>
        <v>11.351760000000001</v>
      </c>
      <c r="O112" s="97" t="str">
        <f>IF(Market_Data[[#This Row],[Estimated Concrete Demand (m³)]]="","",
IF(Market_Data[[#This Row],[Estimated Concrete Demand (m³)]]&lt;10000,"Small",
IF(Market_Data[[#This Row],[Estimated Concrete Demand (m³)]]&lt;25000,"Medium",
IF(Market_Data[[#This Row],[Estimated Concrete Demand (m³)]]&lt;100000,"Large","Mega"))))</f>
        <v>Medium</v>
      </c>
      <c r="P112" s="287" t="str">
        <f t="shared" si="3"/>
        <v>GujRERA</v>
      </c>
    </row>
    <row r="113" spans="1:16">
      <c r="A113" s="129" t="str">
        <f>_xlfn.XLOOKUP(B113,$S$9:$S$14,$T$9:$T$14)&amp;"-"&amp;
IF(E113="Residential/Group Housing","RES",
IF(E113="Commercial","COM",
IF(E113="Mixed Development","MIX",
IF(E113="Plotted Development","PLT","OTH"))))
&amp;"-"&amp;TEXT(COUNTIFS($B$9:B113,B113,$E$9:E113,E113),"0000")</f>
        <v>BHR-RES-0050</v>
      </c>
      <c r="B113" s="322" t="s">
        <v>36</v>
      </c>
      <c r="C113" s="322" t="s">
        <v>36</v>
      </c>
      <c r="D113" s="323" t="s">
        <v>299</v>
      </c>
      <c r="E113" s="132" t="s">
        <v>24</v>
      </c>
      <c r="F113" s="97" t="str">
        <f ca="1">IF(OR(Market_Data[[#This Row],[Start Date]]="",Market_Data[[#This Row],[Completion Date]]=""),"Needs Validation",IF(Market_Data[[#This Row],[Start Date]]&gt;TODAY(),"Planned",IF(Market_Data[[#This Row],[Completion Date]]&lt;TODAY(),"Completed","Ongoing")))</f>
        <v>Completed</v>
      </c>
      <c r="G113" s="324">
        <v>43191</v>
      </c>
      <c r="H113" s="324">
        <v>45473</v>
      </c>
      <c r="I113" s="325">
        <v>21600</v>
      </c>
      <c r="J11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3" s="133">
        <f>_xlfn.XLOOKUP(Market_Data[[#This Row],[Project Type]],tbl_assumptions_market[Project Category (RERA)],tbl_assumptions_market[Concrete Intensity
(m³ / sq m BUA)],"",0)</f>
        <v>0.45</v>
      </c>
      <c r="L113" s="134">
        <f>ROUND(Market_Data[[#This Row],[Estimated Built Up Area (sq m)]]*Market_Data[[#This Row],[Concrete Intensity
(m³ / sq m)]],0)</f>
        <v>9720</v>
      </c>
      <c r="M113" s="135">
        <f>_xlfn.XLOOKUP(Market_Data[[#This Row],[District]],tbl_district_price[District],tbl_district_price[Standard Price
(INR/m³)],"",0)</f>
        <v>5800</v>
      </c>
      <c r="N113" s="364">
        <f>IF(OR(Market_Data[[#This Row],[Estimated Concrete Demand (m³)]]="",Market_Data[[#This Row],[Avg Price per (₹ / m³)]]=""),"",Market_Data[[#This Row],[Estimated Concrete Demand (m³)]]*Market_Data[[#This Row],[Avg Price per (₹ / m³)]]/10000000)</f>
        <v>5.6375999999999999</v>
      </c>
      <c r="O113" s="97" t="str">
        <f>IF(Market_Data[[#This Row],[Estimated Concrete Demand (m³)]]="","",
IF(Market_Data[[#This Row],[Estimated Concrete Demand (m³)]]&lt;10000,"Small",
IF(Market_Data[[#This Row],[Estimated Concrete Demand (m³)]]&lt;25000,"Medium",
IF(Market_Data[[#This Row],[Estimated Concrete Demand (m³)]]&lt;100000,"Large","Mega"))))</f>
        <v>Small</v>
      </c>
      <c r="P113" s="287" t="str">
        <f t="shared" si="3"/>
        <v>GujRERA</v>
      </c>
    </row>
    <row r="114" spans="1:16">
      <c r="A114" s="129" t="str">
        <f>_xlfn.XLOOKUP(B114,$S$9:$S$14,$T$9:$T$14)&amp;"-"&amp;
IF(E114="Residential/Group Housing","RES",
IF(E114="Commercial","COM",
IF(E114="Mixed Development","MIX",
IF(E114="Plotted Development","PLT","OTH"))))
&amp;"-"&amp;TEXT(COUNTIFS($B$9:B114,B114,$E$9:E114,E114),"0000")</f>
        <v>BHR-COM-0016</v>
      </c>
      <c r="B114" s="322" t="s">
        <v>36</v>
      </c>
      <c r="C114" s="322" t="s">
        <v>36</v>
      </c>
      <c r="D114" s="323" t="s">
        <v>300</v>
      </c>
      <c r="E114" s="132" t="s">
        <v>23</v>
      </c>
      <c r="F114" s="97" t="str">
        <f ca="1">IF(OR(Market_Data[[#This Row],[Start Date]]="",Market_Data[[#This Row],[Completion Date]]=""),"Needs Validation",IF(Market_Data[[#This Row],[Start Date]]&gt;TODAY(),"Planned",IF(Market_Data[[#This Row],[Completion Date]]&lt;TODAY(),"Completed","Ongoing")))</f>
        <v>Ongoing</v>
      </c>
      <c r="G114" s="324">
        <v>45261</v>
      </c>
      <c r="H114" s="324">
        <v>47118</v>
      </c>
      <c r="I114" s="325">
        <v>45600</v>
      </c>
      <c r="J11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14" s="133">
        <f>_xlfn.XLOOKUP(Market_Data[[#This Row],[Project Type]],tbl_assumptions_market[Project Category (RERA)],tbl_assumptions_market[Concrete Intensity
(m³ / sq m BUA)],"",0)</f>
        <v>0.5</v>
      </c>
      <c r="L114" s="134">
        <f>ROUND(Market_Data[[#This Row],[Estimated Built Up Area (sq m)]]*Market_Data[[#This Row],[Concrete Intensity
(m³ / sq m)]],0)</f>
        <v>22800</v>
      </c>
      <c r="M114" s="135">
        <f>_xlfn.XLOOKUP(Market_Data[[#This Row],[District]],tbl_district_price[District],tbl_district_price[Standard Price
(INR/m³)],"",0)</f>
        <v>5800</v>
      </c>
      <c r="N114" s="364">
        <f>IF(OR(Market_Data[[#This Row],[Estimated Concrete Demand (m³)]]="",Market_Data[[#This Row],[Avg Price per (₹ / m³)]]=""),"",Market_Data[[#This Row],[Estimated Concrete Demand (m³)]]*Market_Data[[#This Row],[Avg Price per (₹ / m³)]]/10000000)</f>
        <v>13.224</v>
      </c>
      <c r="O114" s="97" t="str">
        <f>IF(Market_Data[[#This Row],[Estimated Concrete Demand (m³)]]="","",
IF(Market_Data[[#This Row],[Estimated Concrete Demand (m³)]]&lt;10000,"Small",
IF(Market_Data[[#This Row],[Estimated Concrete Demand (m³)]]&lt;25000,"Medium",
IF(Market_Data[[#This Row],[Estimated Concrete Demand (m³)]]&lt;100000,"Large","Mega"))))</f>
        <v>Medium</v>
      </c>
      <c r="P114" s="287" t="str">
        <f t="shared" si="3"/>
        <v>GujRERA</v>
      </c>
    </row>
    <row r="115" spans="1:16">
      <c r="A115" s="129" t="str">
        <f>_xlfn.XLOOKUP(B115,$S$9:$S$14,$T$9:$T$14)&amp;"-"&amp;
IF(E115="Residential/Group Housing","RES",
IF(E115="Commercial","COM",
IF(E115="Mixed Development","MIX",
IF(E115="Plotted Development","PLT","OTH"))))
&amp;"-"&amp;TEXT(COUNTIFS($B$9:B115,B115,$E$9:E115,E115),"0000")</f>
        <v>BHR-RES-0051</v>
      </c>
      <c r="B115" s="322" t="s">
        <v>36</v>
      </c>
      <c r="C115" s="322" t="s">
        <v>36</v>
      </c>
      <c r="D115" s="323" t="s">
        <v>301</v>
      </c>
      <c r="E115" s="132" t="s">
        <v>24</v>
      </c>
      <c r="F115" s="97" t="str">
        <f ca="1">IF(OR(Market_Data[[#This Row],[Start Date]]="",Market_Data[[#This Row],[Completion Date]]=""),"Needs Validation",IF(Market_Data[[#This Row],[Start Date]]&gt;TODAY(),"Planned",IF(Market_Data[[#This Row],[Completion Date]]&lt;TODAY(),"Completed","Ongoing")))</f>
        <v>Completed</v>
      </c>
      <c r="G115" s="324">
        <v>42572</v>
      </c>
      <c r="H115" s="324">
        <v>44834</v>
      </c>
      <c r="I115" s="325">
        <v>12100</v>
      </c>
      <c r="J11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5" s="133">
        <f>_xlfn.XLOOKUP(Market_Data[[#This Row],[Project Type]],tbl_assumptions_market[Project Category (RERA)],tbl_assumptions_market[Concrete Intensity
(m³ / sq m BUA)],"",0)</f>
        <v>0.45</v>
      </c>
      <c r="L115" s="134">
        <f>ROUND(Market_Data[[#This Row],[Estimated Built Up Area (sq m)]]*Market_Data[[#This Row],[Concrete Intensity
(m³ / sq m)]],0)</f>
        <v>5445</v>
      </c>
      <c r="M115" s="135">
        <f>_xlfn.XLOOKUP(Market_Data[[#This Row],[District]],tbl_district_price[District],tbl_district_price[Standard Price
(INR/m³)],"",0)</f>
        <v>5800</v>
      </c>
      <c r="N115" s="364">
        <f>IF(OR(Market_Data[[#This Row],[Estimated Concrete Demand (m³)]]="",Market_Data[[#This Row],[Avg Price per (₹ / m³)]]=""),"",Market_Data[[#This Row],[Estimated Concrete Demand (m³)]]*Market_Data[[#This Row],[Avg Price per (₹ / m³)]]/10000000)</f>
        <v>3.1581000000000001</v>
      </c>
      <c r="O115" s="97" t="str">
        <f>IF(Market_Data[[#This Row],[Estimated Concrete Demand (m³)]]="","",
IF(Market_Data[[#This Row],[Estimated Concrete Demand (m³)]]&lt;10000,"Small",
IF(Market_Data[[#This Row],[Estimated Concrete Demand (m³)]]&lt;25000,"Medium",
IF(Market_Data[[#This Row],[Estimated Concrete Demand (m³)]]&lt;100000,"Large","Mega"))))</f>
        <v>Small</v>
      </c>
      <c r="P115" s="287" t="str">
        <f t="shared" si="3"/>
        <v>GujRERA</v>
      </c>
    </row>
    <row r="116" spans="1:16">
      <c r="A116" s="129" t="str">
        <f>_xlfn.XLOOKUP(B116,$S$9:$S$14,$T$9:$T$14)&amp;"-"&amp;
IF(E116="Residential/Group Housing","RES",
IF(E116="Commercial","COM",
IF(E116="Mixed Development","MIX",
IF(E116="Plotted Development","PLT","OTH"))))
&amp;"-"&amp;TEXT(COUNTIFS($B$9:B116,B116,$E$9:E116,E116),"0000")</f>
        <v>BHR-MIX-0034</v>
      </c>
      <c r="B116" s="322" t="s">
        <v>36</v>
      </c>
      <c r="C116" s="322" t="s">
        <v>36</v>
      </c>
      <c r="D116" s="323" t="s">
        <v>302</v>
      </c>
      <c r="E116" s="132" t="s">
        <v>25</v>
      </c>
      <c r="F116" s="97" t="str">
        <f ca="1">IF(OR(Market_Data[[#This Row],[Start Date]]="",Market_Data[[#This Row],[Completion Date]]=""),"Needs Validation",IF(Market_Data[[#This Row],[Start Date]]&gt;TODAY(),"Planned",IF(Market_Data[[#This Row],[Completion Date]]&lt;TODAY(),"Completed","Ongoing")))</f>
        <v>Completed</v>
      </c>
      <c r="G116" s="324">
        <v>43831</v>
      </c>
      <c r="H116" s="324">
        <v>45199</v>
      </c>
      <c r="I116" s="325">
        <v>25700</v>
      </c>
      <c r="J11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6" s="133">
        <f>_xlfn.XLOOKUP(Market_Data[[#This Row],[Project Type]],tbl_assumptions_market[Project Category (RERA)],tbl_assumptions_market[Concrete Intensity
(m³ / sq m BUA)],"",0)</f>
        <v>0.42</v>
      </c>
      <c r="L116" s="134">
        <f>ROUND(Market_Data[[#This Row],[Estimated Built Up Area (sq m)]]*Market_Data[[#This Row],[Concrete Intensity
(m³ / sq m)]],0)</f>
        <v>10794</v>
      </c>
      <c r="M116" s="135">
        <f>_xlfn.XLOOKUP(Market_Data[[#This Row],[District]],tbl_district_price[District],tbl_district_price[Standard Price
(INR/m³)],"",0)</f>
        <v>5800</v>
      </c>
      <c r="N116" s="364">
        <f>IF(OR(Market_Data[[#This Row],[Estimated Concrete Demand (m³)]]="",Market_Data[[#This Row],[Avg Price per (₹ / m³)]]=""),"",Market_Data[[#This Row],[Estimated Concrete Demand (m³)]]*Market_Data[[#This Row],[Avg Price per (₹ / m³)]]/10000000)</f>
        <v>6.2605199999999996</v>
      </c>
      <c r="O116" s="97" t="str">
        <f>IF(Market_Data[[#This Row],[Estimated Concrete Demand (m³)]]="","",
IF(Market_Data[[#This Row],[Estimated Concrete Demand (m³)]]&lt;10000,"Small",
IF(Market_Data[[#This Row],[Estimated Concrete Demand (m³)]]&lt;25000,"Medium",
IF(Market_Data[[#This Row],[Estimated Concrete Demand (m³)]]&lt;100000,"Large","Mega"))))</f>
        <v>Medium</v>
      </c>
      <c r="P116" s="287" t="str">
        <f t="shared" si="3"/>
        <v>GujRERA</v>
      </c>
    </row>
    <row r="117" spans="1:16">
      <c r="A117" s="129" t="str">
        <f>_xlfn.XLOOKUP(B117,$S$9:$S$14,$T$9:$T$14)&amp;"-"&amp;
IF(E117="Residential/Group Housing","RES",
IF(E117="Commercial","COM",
IF(E117="Mixed Development","MIX",
IF(E117="Plotted Development","PLT","OTH"))))
&amp;"-"&amp;TEXT(COUNTIFS($B$9:B117,B117,$E$9:E117,E117),"0000")</f>
        <v>BHR-MIX-0035</v>
      </c>
      <c r="B117" s="322" t="s">
        <v>36</v>
      </c>
      <c r="C117" s="322" t="s">
        <v>36</v>
      </c>
      <c r="D117" s="323" t="s">
        <v>303</v>
      </c>
      <c r="E117" s="132" t="s">
        <v>25</v>
      </c>
      <c r="F117" s="97" t="str">
        <f ca="1">IF(OR(Market_Data[[#This Row],[Start Date]]="",Market_Data[[#This Row],[Completion Date]]=""),"Needs Validation",IF(Market_Data[[#This Row],[Start Date]]&gt;TODAY(),"Planned",IF(Market_Data[[#This Row],[Completion Date]]&lt;TODAY(),"Completed","Ongoing")))</f>
        <v>Ongoing</v>
      </c>
      <c r="G117" s="324">
        <v>44958</v>
      </c>
      <c r="H117" s="324">
        <v>47118</v>
      </c>
      <c r="I117" s="325">
        <v>39000</v>
      </c>
      <c r="J11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7" s="133">
        <f>_xlfn.XLOOKUP(Market_Data[[#This Row],[Project Type]],tbl_assumptions_market[Project Category (RERA)],tbl_assumptions_market[Concrete Intensity
(m³ / sq m BUA)],"",0)</f>
        <v>0.42</v>
      </c>
      <c r="L117" s="134">
        <f>ROUND(Market_Data[[#This Row],[Estimated Built Up Area (sq m)]]*Market_Data[[#This Row],[Concrete Intensity
(m³ / sq m)]],0)</f>
        <v>16380</v>
      </c>
      <c r="M117" s="135">
        <f>_xlfn.XLOOKUP(Market_Data[[#This Row],[District]],tbl_district_price[District],tbl_district_price[Standard Price
(INR/m³)],"",0)</f>
        <v>5800</v>
      </c>
      <c r="N117" s="364">
        <f>IF(OR(Market_Data[[#This Row],[Estimated Concrete Demand (m³)]]="",Market_Data[[#This Row],[Avg Price per (₹ / m³)]]=""),"",Market_Data[[#This Row],[Estimated Concrete Demand (m³)]]*Market_Data[[#This Row],[Avg Price per (₹ / m³)]]/10000000)</f>
        <v>9.5004000000000008</v>
      </c>
      <c r="O117" s="97" t="str">
        <f>IF(Market_Data[[#This Row],[Estimated Concrete Demand (m³)]]="","",
IF(Market_Data[[#This Row],[Estimated Concrete Demand (m³)]]&lt;10000,"Small",
IF(Market_Data[[#This Row],[Estimated Concrete Demand (m³)]]&lt;25000,"Medium",
IF(Market_Data[[#This Row],[Estimated Concrete Demand (m³)]]&lt;100000,"Large","Mega"))))</f>
        <v>Medium</v>
      </c>
      <c r="P117" s="287" t="str">
        <f t="shared" si="3"/>
        <v>GujRERA</v>
      </c>
    </row>
    <row r="118" spans="1:16">
      <c r="A118" s="129" t="str">
        <f>_xlfn.XLOOKUP(B118,$S$9:$S$14,$T$9:$T$14)&amp;"-"&amp;
IF(E118="Residential/Group Housing","RES",
IF(E118="Commercial","COM",
IF(E118="Mixed Development","MIX",
IF(E118="Plotted Development","PLT","OTH"))))
&amp;"-"&amp;TEXT(COUNTIFS($B$9:B118,B118,$E$9:E118,E118),"0000")</f>
        <v>BHR-MIX-0036</v>
      </c>
      <c r="B118" s="322" t="s">
        <v>36</v>
      </c>
      <c r="C118" s="322" t="s">
        <v>36</v>
      </c>
      <c r="D118" s="323" t="s">
        <v>304</v>
      </c>
      <c r="E118" s="132" t="s">
        <v>25</v>
      </c>
      <c r="F118" s="97" t="str">
        <f ca="1">IF(OR(Market_Data[[#This Row],[Start Date]]="",Market_Data[[#This Row],[Completion Date]]=""),"Needs Validation",IF(Market_Data[[#This Row],[Start Date]]&gt;TODAY(),"Planned",IF(Market_Data[[#This Row],[Completion Date]]&lt;TODAY(),"Completed","Ongoing")))</f>
        <v>Completed</v>
      </c>
      <c r="G118" s="324">
        <v>43435</v>
      </c>
      <c r="H118" s="324">
        <v>44772</v>
      </c>
      <c r="I118" s="325">
        <v>4100</v>
      </c>
      <c r="J11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18" s="133">
        <f>_xlfn.XLOOKUP(Market_Data[[#This Row],[Project Type]],tbl_assumptions_market[Project Category (RERA)],tbl_assumptions_market[Concrete Intensity
(m³ / sq m BUA)],"",0)</f>
        <v>0.42</v>
      </c>
      <c r="L118" s="134">
        <f>ROUND(Market_Data[[#This Row],[Estimated Built Up Area (sq m)]]*Market_Data[[#This Row],[Concrete Intensity
(m³ / sq m)]],0)</f>
        <v>1722</v>
      </c>
      <c r="M118" s="135">
        <f>_xlfn.XLOOKUP(Market_Data[[#This Row],[District]],tbl_district_price[District],tbl_district_price[Standard Price
(INR/m³)],"",0)</f>
        <v>5800</v>
      </c>
      <c r="N118" s="364">
        <f>IF(OR(Market_Data[[#This Row],[Estimated Concrete Demand (m³)]]="",Market_Data[[#This Row],[Avg Price per (₹ / m³)]]=""),"",Market_Data[[#This Row],[Estimated Concrete Demand (m³)]]*Market_Data[[#This Row],[Avg Price per (₹ / m³)]]/10000000)</f>
        <v>0.99875999999999998</v>
      </c>
      <c r="O118" s="97" t="str">
        <f>IF(Market_Data[[#This Row],[Estimated Concrete Demand (m³)]]="","",
IF(Market_Data[[#This Row],[Estimated Concrete Demand (m³)]]&lt;10000,"Small",
IF(Market_Data[[#This Row],[Estimated Concrete Demand (m³)]]&lt;25000,"Medium",
IF(Market_Data[[#This Row],[Estimated Concrete Demand (m³)]]&lt;100000,"Large","Mega"))))</f>
        <v>Small</v>
      </c>
      <c r="P118" s="287" t="str">
        <f t="shared" si="3"/>
        <v>GujRERA</v>
      </c>
    </row>
    <row r="119" spans="1:16">
      <c r="A119" s="129" t="str">
        <f>_xlfn.XLOOKUP(B119,$S$9:$S$14,$T$9:$T$14)&amp;"-"&amp;
IF(E119="Residential/Group Housing","RES",
IF(E119="Commercial","COM",
IF(E119="Mixed Development","MIX",
IF(E119="Plotted Development","PLT","OTH"))))
&amp;"-"&amp;TEXT(COUNTIFS($B$9:B119,B119,$E$9:E119,E119),"0000")</f>
        <v>BHR-MIX-0037</v>
      </c>
      <c r="B119" s="322" t="s">
        <v>36</v>
      </c>
      <c r="C119" s="322" t="s">
        <v>36</v>
      </c>
      <c r="D119" s="323" t="s">
        <v>305</v>
      </c>
      <c r="E119" s="132" t="s">
        <v>25</v>
      </c>
      <c r="F119" s="97" t="str">
        <f ca="1">IF(OR(Market_Data[[#This Row],[Start Date]]="",Market_Data[[#This Row],[Completion Date]]=""),"Needs Validation",IF(Market_Data[[#This Row],[Start Date]]&gt;TODAY(),"Planned",IF(Market_Data[[#This Row],[Completion Date]]&lt;TODAY(),"Completed","Ongoing")))</f>
        <v>Completed</v>
      </c>
      <c r="G119" s="324">
        <v>44037</v>
      </c>
      <c r="H119" s="324">
        <v>44926</v>
      </c>
      <c r="I119" s="325">
        <v>45200</v>
      </c>
      <c r="J11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9" s="133">
        <f>_xlfn.XLOOKUP(Market_Data[[#This Row],[Project Type]],tbl_assumptions_market[Project Category (RERA)],tbl_assumptions_market[Concrete Intensity
(m³ / sq m BUA)],"",0)</f>
        <v>0.42</v>
      </c>
      <c r="L119" s="134">
        <f>ROUND(Market_Data[[#This Row],[Estimated Built Up Area (sq m)]]*Market_Data[[#This Row],[Concrete Intensity
(m³ / sq m)]],0)</f>
        <v>18984</v>
      </c>
      <c r="M119" s="135">
        <f>_xlfn.XLOOKUP(Market_Data[[#This Row],[District]],tbl_district_price[District],tbl_district_price[Standard Price
(INR/m³)],"",0)</f>
        <v>5800</v>
      </c>
      <c r="N119" s="364">
        <f>IF(OR(Market_Data[[#This Row],[Estimated Concrete Demand (m³)]]="",Market_Data[[#This Row],[Avg Price per (₹ / m³)]]=""),"",Market_Data[[#This Row],[Estimated Concrete Demand (m³)]]*Market_Data[[#This Row],[Avg Price per (₹ / m³)]]/10000000)</f>
        <v>11.010719999999999</v>
      </c>
      <c r="O119" s="97" t="str">
        <f>IF(Market_Data[[#This Row],[Estimated Concrete Demand (m³)]]="","",
IF(Market_Data[[#This Row],[Estimated Concrete Demand (m³)]]&lt;10000,"Small",
IF(Market_Data[[#This Row],[Estimated Concrete Demand (m³)]]&lt;25000,"Medium",
IF(Market_Data[[#This Row],[Estimated Concrete Demand (m³)]]&lt;100000,"Large","Mega"))))</f>
        <v>Medium</v>
      </c>
      <c r="P119" s="287" t="str">
        <f t="shared" si="3"/>
        <v>GujRERA</v>
      </c>
    </row>
    <row r="120" spans="1:16">
      <c r="A120" s="129" t="str">
        <f>_xlfn.XLOOKUP(B120,$S$9:$S$14,$T$9:$T$14)&amp;"-"&amp;
IF(E120="Residential/Group Housing","RES",
IF(E120="Commercial","COM",
IF(E120="Mixed Development","MIX",
IF(E120="Plotted Development","PLT","OTH"))))
&amp;"-"&amp;TEXT(COUNTIFS($B$9:B120,B120,$E$9:E120,E120),"0000")</f>
        <v>BHR-RES-0052</v>
      </c>
      <c r="B120" s="322" t="s">
        <v>36</v>
      </c>
      <c r="C120" s="322" t="s">
        <v>36</v>
      </c>
      <c r="D120" s="323" t="s">
        <v>306</v>
      </c>
      <c r="E120" s="132" t="s">
        <v>24</v>
      </c>
      <c r="F120" s="97" t="str">
        <f ca="1">IF(OR(Market_Data[[#This Row],[Start Date]]="",Market_Data[[#This Row],[Completion Date]]=""),"Needs Validation",IF(Market_Data[[#This Row],[Start Date]]&gt;TODAY(),"Planned",IF(Market_Data[[#This Row],[Completion Date]]&lt;TODAY(),"Completed","Ongoing")))</f>
        <v>Ongoing</v>
      </c>
      <c r="G120" s="324">
        <v>45201</v>
      </c>
      <c r="H120" s="324">
        <v>47026</v>
      </c>
      <c r="I120" s="325">
        <v>77800</v>
      </c>
      <c r="J12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20" s="133">
        <f>_xlfn.XLOOKUP(Market_Data[[#This Row],[Project Type]],tbl_assumptions_market[Project Category (RERA)],tbl_assumptions_market[Concrete Intensity
(m³ / sq m BUA)],"",0)</f>
        <v>0.45</v>
      </c>
      <c r="L120" s="134">
        <f>ROUND(Market_Data[[#This Row],[Estimated Built Up Area (sq m)]]*Market_Data[[#This Row],[Concrete Intensity
(m³ / sq m)]],0)</f>
        <v>35010</v>
      </c>
      <c r="M120" s="135">
        <f>_xlfn.XLOOKUP(Market_Data[[#This Row],[District]],tbl_district_price[District],tbl_district_price[Standard Price
(INR/m³)],"",0)</f>
        <v>5800</v>
      </c>
      <c r="N120" s="364">
        <f>IF(OR(Market_Data[[#This Row],[Estimated Concrete Demand (m³)]]="",Market_Data[[#This Row],[Avg Price per (₹ / m³)]]=""),"",Market_Data[[#This Row],[Estimated Concrete Demand (m³)]]*Market_Data[[#This Row],[Avg Price per (₹ / m³)]]/10000000)</f>
        <v>20.305800000000001</v>
      </c>
      <c r="O120" s="97" t="str">
        <f>IF(Market_Data[[#This Row],[Estimated Concrete Demand (m³)]]="","",
IF(Market_Data[[#This Row],[Estimated Concrete Demand (m³)]]&lt;10000,"Small",
IF(Market_Data[[#This Row],[Estimated Concrete Demand (m³)]]&lt;25000,"Medium",
IF(Market_Data[[#This Row],[Estimated Concrete Demand (m³)]]&lt;100000,"Large","Mega"))))</f>
        <v>Large</v>
      </c>
      <c r="P120" s="287" t="str">
        <f t="shared" si="3"/>
        <v>GujRERA</v>
      </c>
    </row>
    <row r="121" spans="1:16">
      <c r="A121" s="129" t="str">
        <f>_xlfn.XLOOKUP(B121,$S$9:$S$14,$T$9:$T$14)&amp;"-"&amp;
IF(E121="Residential/Group Housing","RES",
IF(E121="Commercial","COM",
IF(E121="Mixed Development","MIX",
IF(E121="Plotted Development","PLT","OTH"))))
&amp;"-"&amp;TEXT(COUNTIFS($B$9:B121,B121,$E$9:E121,E121),"0000")</f>
        <v>BHR-MIX-0038</v>
      </c>
      <c r="B121" s="322" t="s">
        <v>36</v>
      </c>
      <c r="C121" s="322" t="s">
        <v>36</v>
      </c>
      <c r="D121" s="323" t="s">
        <v>307</v>
      </c>
      <c r="E121" s="132" t="s">
        <v>25</v>
      </c>
      <c r="F121" s="97" t="str">
        <f ca="1">IF(OR(Market_Data[[#This Row],[Start Date]]="",Market_Data[[#This Row],[Completion Date]]=""),"Needs Validation",IF(Market_Data[[#This Row],[Start Date]]&gt;TODAY(),"Planned",IF(Market_Data[[#This Row],[Completion Date]]&lt;TODAY(),"Completed","Ongoing")))</f>
        <v>Completed</v>
      </c>
      <c r="G121" s="324">
        <v>44242</v>
      </c>
      <c r="H121" s="324">
        <v>45535</v>
      </c>
      <c r="I121" s="325">
        <v>31400</v>
      </c>
      <c r="J12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1" s="133">
        <f>_xlfn.XLOOKUP(Market_Data[[#This Row],[Project Type]],tbl_assumptions_market[Project Category (RERA)],tbl_assumptions_market[Concrete Intensity
(m³ / sq m BUA)],"",0)</f>
        <v>0.42</v>
      </c>
      <c r="L121" s="134">
        <f>ROUND(Market_Data[[#This Row],[Estimated Built Up Area (sq m)]]*Market_Data[[#This Row],[Concrete Intensity
(m³ / sq m)]],0)</f>
        <v>13188</v>
      </c>
      <c r="M121" s="135">
        <f>_xlfn.XLOOKUP(Market_Data[[#This Row],[District]],tbl_district_price[District],tbl_district_price[Standard Price
(INR/m³)],"",0)</f>
        <v>5800</v>
      </c>
      <c r="N121" s="364">
        <f>IF(OR(Market_Data[[#This Row],[Estimated Concrete Demand (m³)]]="",Market_Data[[#This Row],[Avg Price per (₹ / m³)]]=""),"",Market_Data[[#This Row],[Estimated Concrete Demand (m³)]]*Market_Data[[#This Row],[Avg Price per (₹ / m³)]]/10000000)</f>
        <v>7.6490400000000003</v>
      </c>
      <c r="O121" s="97" t="str">
        <f>IF(Market_Data[[#This Row],[Estimated Concrete Demand (m³)]]="","",
IF(Market_Data[[#This Row],[Estimated Concrete Demand (m³)]]&lt;10000,"Small",
IF(Market_Data[[#This Row],[Estimated Concrete Demand (m³)]]&lt;25000,"Medium",
IF(Market_Data[[#This Row],[Estimated Concrete Demand (m³)]]&lt;100000,"Large","Mega"))))</f>
        <v>Medium</v>
      </c>
      <c r="P121" s="287" t="str">
        <f t="shared" si="3"/>
        <v>GujRERA</v>
      </c>
    </row>
    <row r="122" spans="1:16">
      <c r="A122" s="129" t="str">
        <f>_xlfn.XLOOKUP(B122,$S$9:$S$14,$T$9:$T$14)&amp;"-"&amp;
IF(E122="Residential/Group Housing","RES",
IF(E122="Commercial","COM",
IF(E122="Mixed Development","MIX",
IF(E122="Plotted Development","PLT","OTH"))))
&amp;"-"&amp;TEXT(COUNTIFS($B$9:B122,B122,$E$9:E122,E122),"0000")</f>
        <v>BHR-RES-0053</v>
      </c>
      <c r="B122" s="322" t="s">
        <v>36</v>
      </c>
      <c r="C122" s="322" t="s">
        <v>36</v>
      </c>
      <c r="D122" s="323" t="s">
        <v>308</v>
      </c>
      <c r="E122" s="132" t="s">
        <v>24</v>
      </c>
      <c r="F122" s="97" t="str">
        <f ca="1">IF(OR(Market_Data[[#This Row],[Start Date]]="",Market_Data[[#This Row],[Completion Date]]=""),"Needs Validation",IF(Market_Data[[#This Row],[Start Date]]&gt;TODAY(),"Planned",IF(Market_Data[[#This Row],[Completion Date]]&lt;TODAY(),"Completed","Ongoing")))</f>
        <v>Completed</v>
      </c>
      <c r="G122" s="324">
        <v>44323</v>
      </c>
      <c r="H122" s="324">
        <v>45657</v>
      </c>
      <c r="I122" s="325">
        <v>53900</v>
      </c>
      <c r="J12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2" s="133">
        <f>_xlfn.XLOOKUP(Market_Data[[#This Row],[Project Type]],tbl_assumptions_market[Project Category (RERA)],tbl_assumptions_market[Concrete Intensity
(m³ / sq m BUA)],"",0)</f>
        <v>0.45</v>
      </c>
      <c r="L122" s="134">
        <f>ROUND(Market_Data[[#This Row],[Estimated Built Up Area (sq m)]]*Market_Data[[#This Row],[Concrete Intensity
(m³ / sq m)]],0)</f>
        <v>24255</v>
      </c>
      <c r="M122" s="135">
        <f>_xlfn.XLOOKUP(Market_Data[[#This Row],[District]],tbl_district_price[District],tbl_district_price[Standard Price
(INR/m³)],"",0)</f>
        <v>5800</v>
      </c>
      <c r="N122" s="364">
        <f>IF(OR(Market_Data[[#This Row],[Estimated Concrete Demand (m³)]]="",Market_Data[[#This Row],[Avg Price per (₹ / m³)]]=""),"",Market_Data[[#This Row],[Estimated Concrete Demand (m³)]]*Market_Data[[#This Row],[Avg Price per (₹ / m³)]]/10000000)</f>
        <v>14.0679</v>
      </c>
      <c r="O122" s="97" t="str">
        <f>IF(Market_Data[[#This Row],[Estimated Concrete Demand (m³)]]="","",
IF(Market_Data[[#This Row],[Estimated Concrete Demand (m³)]]&lt;10000,"Small",
IF(Market_Data[[#This Row],[Estimated Concrete Demand (m³)]]&lt;25000,"Medium",
IF(Market_Data[[#This Row],[Estimated Concrete Demand (m³)]]&lt;100000,"Large","Mega"))))</f>
        <v>Medium</v>
      </c>
      <c r="P122" s="287" t="str">
        <f t="shared" si="3"/>
        <v>GujRERA</v>
      </c>
    </row>
    <row r="123" spans="1:16">
      <c r="A123" s="129" t="str">
        <f>_xlfn.XLOOKUP(B123,$S$9:$S$14,$T$9:$T$14)&amp;"-"&amp;
IF(E123="Residential/Group Housing","RES",
IF(E123="Commercial","COM",
IF(E123="Mixed Development","MIX",
IF(E123="Plotted Development","PLT","OTH"))))
&amp;"-"&amp;TEXT(COUNTIFS($B$9:B123,B123,$E$9:E123,E123),"0000")</f>
        <v>BHR-RES-0054</v>
      </c>
      <c r="B123" s="322" t="s">
        <v>36</v>
      </c>
      <c r="C123" s="322" t="s">
        <v>36</v>
      </c>
      <c r="D123" s="323" t="s">
        <v>309</v>
      </c>
      <c r="E123" s="132" t="s">
        <v>24</v>
      </c>
      <c r="F123" s="97" t="str">
        <f ca="1">IF(OR(Market_Data[[#This Row],[Start Date]]="",Market_Data[[#This Row],[Completion Date]]=""),"Needs Validation",IF(Market_Data[[#This Row],[Start Date]]&gt;TODAY(),"Planned",IF(Market_Data[[#This Row],[Completion Date]]&lt;TODAY(),"Completed","Ongoing")))</f>
        <v>Ongoing</v>
      </c>
      <c r="G123" s="324">
        <v>45488</v>
      </c>
      <c r="H123" s="324">
        <v>47299</v>
      </c>
      <c r="I123" s="325">
        <v>20200</v>
      </c>
      <c r="J12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3" s="133">
        <f>_xlfn.XLOOKUP(Market_Data[[#This Row],[Project Type]],tbl_assumptions_market[Project Category (RERA)],tbl_assumptions_market[Concrete Intensity
(m³ / sq m BUA)],"",0)</f>
        <v>0.45</v>
      </c>
      <c r="L123" s="134">
        <f>ROUND(Market_Data[[#This Row],[Estimated Built Up Area (sq m)]]*Market_Data[[#This Row],[Concrete Intensity
(m³ / sq m)]],0)</f>
        <v>9090</v>
      </c>
      <c r="M123" s="135">
        <f>_xlfn.XLOOKUP(Market_Data[[#This Row],[District]],tbl_district_price[District],tbl_district_price[Standard Price
(INR/m³)],"",0)</f>
        <v>5800</v>
      </c>
      <c r="N123" s="364">
        <f>IF(OR(Market_Data[[#This Row],[Estimated Concrete Demand (m³)]]="",Market_Data[[#This Row],[Avg Price per (₹ / m³)]]=""),"",Market_Data[[#This Row],[Estimated Concrete Demand (m³)]]*Market_Data[[#This Row],[Avg Price per (₹ / m³)]]/10000000)</f>
        <v>5.2721999999999998</v>
      </c>
      <c r="O123" s="97" t="str">
        <f>IF(Market_Data[[#This Row],[Estimated Concrete Demand (m³)]]="","",
IF(Market_Data[[#This Row],[Estimated Concrete Demand (m³)]]&lt;10000,"Small",
IF(Market_Data[[#This Row],[Estimated Concrete Demand (m³)]]&lt;25000,"Medium",
IF(Market_Data[[#This Row],[Estimated Concrete Demand (m³)]]&lt;100000,"Large","Mega"))))</f>
        <v>Small</v>
      </c>
      <c r="P123" s="287" t="str">
        <f t="shared" si="3"/>
        <v>GujRERA</v>
      </c>
    </row>
    <row r="124" spans="1:16">
      <c r="A124" s="129" t="str">
        <f>_xlfn.XLOOKUP(B124,$S$9:$S$14,$T$9:$T$14)&amp;"-"&amp;
IF(E124="Residential/Group Housing","RES",
IF(E124="Commercial","COM",
IF(E124="Mixed Development","MIX",
IF(E124="Plotted Development","PLT","OTH"))))
&amp;"-"&amp;TEXT(COUNTIFS($B$9:B124,B124,$E$9:E124,E124),"0000")</f>
        <v>BHR-MIX-0039</v>
      </c>
      <c r="B124" s="322" t="s">
        <v>36</v>
      </c>
      <c r="C124" s="322" t="s">
        <v>36</v>
      </c>
      <c r="D124" s="323" t="s">
        <v>310</v>
      </c>
      <c r="E124" s="132" t="s">
        <v>25</v>
      </c>
      <c r="F124" s="97" t="str">
        <f ca="1">IF(OR(Market_Data[[#This Row],[Start Date]]="",Market_Data[[#This Row],[Completion Date]]=""),"Needs Validation",IF(Market_Data[[#This Row],[Start Date]]&gt;TODAY(),"Planned",IF(Market_Data[[#This Row],[Completion Date]]&lt;TODAY(),"Completed","Ongoing")))</f>
        <v>Ongoing</v>
      </c>
      <c r="G124" s="324">
        <v>45323</v>
      </c>
      <c r="H124" s="324">
        <v>47848</v>
      </c>
      <c r="I124" s="325">
        <v>10300</v>
      </c>
      <c r="J12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4" s="133">
        <f>_xlfn.XLOOKUP(Market_Data[[#This Row],[Project Type]],tbl_assumptions_market[Project Category (RERA)],tbl_assumptions_market[Concrete Intensity
(m³ / sq m BUA)],"",0)</f>
        <v>0.42</v>
      </c>
      <c r="L124" s="134">
        <f>ROUND(Market_Data[[#This Row],[Estimated Built Up Area (sq m)]]*Market_Data[[#This Row],[Concrete Intensity
(m³ / sq m)]],0)</f>
        <v>4326</v>
      </c>
      <c r="M124" s="135">
        <f>_xlfn.XLOOKUP(Market_Data[[#This Row],[District]],tbl_district_price[District],tbl_district_price[Standard Price
(INR/m³)],"",0)</f>
        <v>5800</v>
      </c>
      <c r="N124" s="364">
        <f>IF(OR(Market_Data[[#This Row],[Estimated Concrete Demand (m³)]]="",Market_Data[[#This Row],[Avg Price per (₹ / m³)]]=""),"",Market_Data[[#This Row],[Estimated Concrete Demand (m³)]]*Market_Data[[#This Row],[Avg Price per (₹ / m³)]]/10000000)</f>
        <v>2.50908</v>
      </c>
      <c r="O124" s="97" t="str">
        <f>IF(Market_Data[[#This Row],[Estimated Concrete Demand (m³)]]="","",
IF(Market_Data[[#This Row],[Estimated Concrete Demand (m³)]]&lt;10000,"Small",
IF(Market_Data[[#This Row],[Estimated Concrete Demand (m³)]]&lt;25000,"Medium",
IF(Market_Data[[#This Row],[Estimated Concrete Demand (m³)]]&lt;100000,"Large","Mega"))))</f>
        <v>Small</v>
      </c>
      <c r="P124" s="287" t="str">
        <f t="shared" si="3"/>
        <v>GujRERA</v>
      </c>
    </row>
    <row r="125" spans="1:16">
      <c r="A125" s="129" t="str">
        <f>_xlfn.XLOOKUP(B125,$S$9:$S$14,$T$9:$T$14)&amp;"-"&amp;
IF(E125="Residential/Group Housing","RES",
IF(E125="Commercial","COM",
IF(E125="Mixed Development","MIX",
IF(E125="Plotted Development","PLT","OTH"))))
&amp;"-"&amp;TEXT(COUNTIFS($B$9:B125,B125,$E$9:E125,E125),"0000")</f>
        <v>BHR-MIX-0040</v>
      </c>
      <c r="B125" s="322" t="s">
        <v>36</v>
      </c>
      <c r="C125" s="322" t="s">
        <v>36</v>
      </c>
      <c r="D125" s="323" t="s">
        <v>311</v>
      </c>
      <c r="E125" s="132" t="s">
        <v>25</v>
      </c>
      <c r="F125" s="97" t="str">
        <f ca="1">IF(OR(Market_Data[[#This Row],[Start Date]]="",Market_Data[[#This Row],[Completion Date]]=""),"Needs Validation",IF(Market_Data[[#This Row],[Start Date]]&gt;TODAY(),"Planned",IF(Market_Data[[#This Row],[Completion Date]]&lt;TODAY(),"Completed","Ongoing")))</f>
        <v>Completed</v>
      </c>
      <c r="G125" s="324">
        <v>42782</v>
      </c>
      <c r="H125" s="324">
        <v>43982</v>
      </c>
      <c r="I125" s="325">
        <v>9900</v>
      </c>
      <c r="J12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25" s="133">
        <f>_xlfn.XLOOKUP(Market_Data[[#This Row],[Project Type]],tbl_assumptions_market[Project Category (RERA)],tbl_assumptions_market[Concrete Intensity
(m³ / sq m BUA)],"",0)</f>
        <v>0.42</v>
      </c>
      <c r="L125" s="134">
        <f>ROUND(Market_Data[[#This Row],[Estimated Built Up Area (sq m)]]*Market_Data[[#This Row],[Concrete Intensity
(m³ / sq m)]],0)</f>
        <v>4158</v>
      </c>
      <c r="M125" s="135">
        <f>_xlfn.XLOOKUP(Market_Data[[#This Row],[District]],tbl_district_price[District],tbl_district_price[Standard Price
(INR/m³)],"",0)</f>
        <v>5800</v>
      </c>
      <c r="N125" s="364">
        <f>IF(OR(Market_Data[[#This Row],[Estimated Concrete Demand (m³)]]="",Market_Data[[#This Row],[Avg Price per (₹ / m³)]]=""),"",Market_Data[[#This Row],[Estimated Concrete Demand (m³)]]*Market_Data[[#This Row],[Avg Price per (₹ / m³)]]/10000000)</f>
        <v>2.4116399999999998</v>
      </c>
      <c r="O125" s="97" t="str">
        <f>IF(Market_Data[[#This Row],[Estimated Concrete Demand (m³)]]="","",
IF(Market_Data[[#This Row],[Estimated Concrete Demand (m³)]]&lt;10000,"Small",
IF(Market_Data[[#This Row],[Estimated Concrete Demand (m³)]]&lt;25000,"Medium",
IF(Market_Data[[#This Row],[Estimated Concrete Demand (m³)]]&lt;100000,"Large","Mega"))))</f>
        <v>Small</v>
      </c>
      <c r="P125" s="287" t="str">
        <f t="shared" si="3"/>
        <v>GujRERA</v>
      </c>
    </row>
    <row r="126" spans="1:16">
      <c r="A126" s="129" t="str">
        <f>_xlfn.XLOOKUP(B126,$S$9:$S$14,$T$9:$T$14)&amp;"-"&amp;
IF(E126="Residential/Group Housing","RES",
IF(E126="Commercial","COM",
IF(E126="Mixed Development","MIX",
IF(E126="Plotted Development","PLT","OTH"))))
&amp;"-"&amp;TEXT(COUNTIFS($B$9:B126,B126,$E$9:E126,E126),"0000")</f>
        <v>BHR-MIX-0041</v>
      </c>
      <c r="B126" s="322" t="s">
        <v>36</v>
      </c>
      <c r="C126" s="322" t="s">
        <v>36</v>
      </c>
      <c r="D126" s="323" t="s">
        <v>312</v>
      </c>
      <c r="E126" s="132" t="s">
        <v>25</v>
      </c>
      <c r="F126" s="97" t="str">
        <f ca="1">IF(OR(Market_Data[[#This Row],[Start Date]]="",Market_Data[[#This Row],[Completion Date]]=""),"Needs Validation",IF(Market_Data[[#This Row],[Start Date]]&gt;TODAY(),"Planned",IF(Market_Data[[#This Row],[Completion Date]]&lt;TODAY(),"Completed","Ongoing")))</f>
        <v>Ongoing</v>
      </c>
      <c r="G126" s="324">
        <v>43723</v>
      </c>
      <c r="H126" s="324">
        <v>46934</v>
      </c>
      <c r="I126" s="325">
        <v>47300</v>
      </c>
      <c r="J12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6" s="133">
        <f>_xlfn.XLOOKUP(Market_Data[[#This Row],[Project Type]],tbl_assumptions_market[Project Category (RERA)],tbl_assumptions_market[Concrete Intensity
(m³ / sq m BUA)],"",0)</f>
        <v>0.42</v>
      </c>
      <c r="L126" s="134">
        <f>ROUND(Market_Data[[#This Row],[Estimated Built Up Area (sq m)]]*Market_Data[[#This Row],[Concrete Intensity
(m³ / sq m)]],0)</f>
        <v>19866</v>
      </c>
      <c r="M126" s="135">
        <f>_xlfn.XLOOKUP(Market_Data[[#This Row],[District]],tbl_district_price[District],tbl_district_price[Standard Price
(INR/m³)],"",0)</f>
        <v>5800</v>
      </c>
      <c r="N126" s="364">
        <f>IF(OR(Market_Data[[#This Row],[Estimated Concrete Demand (m³)]]="",Market_Data[[#This Row],[Avg Price per (₹ / m³)]]=""),"",Market_Data[[#This Row],[Estimated Concrete Demand (m³)]]*Market_Data[[#This Row],[Avg Price per (₹ / m³)]]/10000000)</f>
        <v>11.52228</v>
      </c>
      <c r="O126" s="97" t="str">
        <f>IF(Market_Data[[#This Row],[Estimated Concrete Demand (m³)]]="","",
IF(Market_Data[[#This Row],[Estimated Concrete Demand (m³)]]&lt;10000,"Small",
IF(Market_Data[[#This Row],[Estimated Concrete Demand (m³)]]&lt;25000,"Medium",
IF(Market_Data[[#This Row],[Estimated Concrete Demand (m³)]]&lt;100000,"Large","Mega"))))</f>
        <v>Medium</v>
      </c>
      <c r="P126" s="287" t="str">
        <f t="shared" si="3"/>
        <v>GujRERA</v>
      </c>
    </row>
    <row r="127" spans="1:16">
      <c r="A127" s="129" t="str">
        <f>_xlfn.XLOOKUP(B127,$S$9:$S$14,$T$9:$T$14)&amp;"-"&amp;
IF(E127="Residential/Group Housing","RES",
IF(E127="Commercial","COM",
IF(E127="Mixed Development","MIX",
IF(E127="Plotted Development","PLT","OTH"))))
&amp;"-"&amp;TEXT(COUNTIFS($B$9:B127,B127,$E$9:E127,E127),"0000")</f>
        <v>BHR-MIX-0042</v>
      </c>
      <c r="B127" s="322" t="s">
        <v>36</v>
      </c>
      <c r="C127" s="322" t="s">
        <v>36</v>
      </c>
      <c r="D127" s="323" t="s">
        <v>313</v>
      </c>
      <c r="E127" s="132" t="s">
        <v>25</v>
      </c>
      <c r="F127" s="97" t="str">
        <f ca="1">IF(OR(Market_Data[[#This Row],[Start Date]]="",Market_Data[[#This Row],[Completion Date]]=""),"Needs Validation",IF(Market_Data[[#This Row],[Start Date]]&gt;TODAY(),"Planned",IF(Market_Data[[#This Row],[Completion Date]]&lt;TODAY(),"Completed","Ongoing")))</f>
        <v>Ongoing</v>
      </c>
      <c r="G127" s="324">
        <v>44496</v>
      </c>
      <c r="H127" s="324">
        <v>46387</v>
      </c>
      <c r="I127" s="325">
        <v>22900</v>
      </c>
      <c r="J12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7" s="133">
        <f>_xlfn.XLOOKUP(Market_Data[[#This Row],[Project Type]],tbl_assumptions_market[Project Category (RERA)],tbl_assumptions_market[Concrete Intensity
(m³ / sq m BUA)],"",0)</f>
        <v>0.42</v>
      </c>
      <c r="L127" s="134">
        <f>ROUND(Market_Data[[#This Row],[Estimated Built Up Area (sq m)]]*Market_Data[[#This Row],[Concrete Intensity
(m³ / sq m)]],0)</f>
        <v>9618</v>
      </c>
      <c r="M127" s="135">
        <f>_xlfn.XLOOKUP(Market_Data[[#This Row],[District]],tbl_district_price[District],tbl_district_price[Standard Price
(INR/m³)],"",0)</f>
        <v>5800</v>
      </c>
      <c r="N127" s="364">
        <f>IF(OR(Market_Data[[#This Row],[Estimated Concrete Demand (m³)]]="",Market_Data[[#This Row],[Avg Price per (₹ / m³)]]=""),"",Market_Data[[#This Row],[Estimated Concrete Demand (m³)]]*Market_Data[[#This Row],[Avg Price per (₹ / m³)]]/10000000)</f>
        <v>5.5784399999999996</v>
      </c>
      <c r="O127" s="97" t="str">
        <f>IF(Market_Data[[#This Row],[Estimated Concrete Demand (m³)]]="","",
IF(Market_Data[[#This Row],[Estimated Concrete Demand (m³)]]&lt;10000,"Small",
IF(Market_Data[[#This Row],[Estimated Concrete Demand (m³)]]&lt;25000,"Medium",
IF(Market_Data[[#This Row],[Estimated Concrete Demand (m³)]]&lt;100000,"Large","Mega"))))</f>
        <v>Small</v>
      </c>
      <c r="P127" s="287" t="str">
        <f t="shared" si="3"/>
        <v>GujRERA</v>
      </c>
    </row>
    <row r="128" spans="1:16">
      <c r="A128" s="129" t="str">
        <f>_xlfn.XLOOKUP(B128,$S$9:$S$14,$T$9:$T$14)&amp;"-"&amp;
IF(E128="Residential/Group Housing","RES",
IF(E128="Commercial","COM",
IF(E128="Mixed Development","MIX",
IF(E128="Plotted Development","PLT","OTH"))))
&amp;"-"&amp;TEXT(COUNTIFS($B$9:B128,B128,$E$9:E128,E128),"0000")</f>
        <v>BHR-MIX-0043</v>
      </c>
      <c r="B128" s="322" t="s">
        <v>36</v>
      </c>
      <c r="C128" s="322" t="s">
        <v>36</v>
      </c>
      <c r="D128" s="323" t="s">
        <v>314</v>
      </c>
      <c r="E128" s="132" t="s">
        <v>25</v>
      </c>
      <c r="F128" s="97" t="str">
        <f ca="1">IF(OR(Market_Data[[#This Row],[Start Date]]="",Market_Data[[#This Row],[Completion Date]]=""),"Needs Validation",IF(Market_Data[[#This Row],[Start Date]]&gt;TODAY(),"Planned",IF(Market_Data[[#This Row],[Completion Date]]&lt;TODAY(),"Completed","Ongoing")))</f>
        <v>Ongoing</v>
      </c>
      <c r="G128" s="324">
        <v>45078</v>
      </c>
      <c r="H128" s="324">
        <v>46736</v>
      </c>
      <c r="I128" s="325">
        <v>40000</v>
      </c>
      <c r="J12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8" s="133">
        <f>_xlfn.XLOOKUP(Market_Data[[#This Row],[Project Type]],tbl_assumptions_market[Project Category (RERA)],tbl_assumptions_market[Concrete Intensity
(m³ / sq m BUA)],"",0)</f>
        <v>0.42</v>
      </c>
      <c r="L128" s="134">
        <f>ROUND(Market_Data[[#This Row],[Estimated Built Up Area (sq m)]]*Market_Data[[#This Row],[Concrete Intensity
(m³ / sq m)]],0)</f>
        <v>16800</v>
      </c>
      <c r="M128" s="135">
        <f>_xlfn.XLOOKUP(Market_Data[[#This Row],[District]],tbl_district_price[District],tbl_district_price[Standard Price
(INR/m³)],"",0)</f>
        <v>5800</v>
      </c>
      <c r="N128" s="364">
        <f>IF(OR(Market_Data[[#This Row],[Estimated Concrete Demand (m³)]]="",Market_Data[[#This Row],[Avg Price per (₹ / m³)]]=""),"",Market_Data[[#This Row],[Estimated Concrete Demand (m³)]]*Market_Data[[#This Row],[Avg Price per (₹ / m³)]]/10000000)</f>
        <v>9.7439999999999998</v>
      </c>
      <c r="O128" s="97" t="str">
        <f>IF(Market_Data[[#This Row],[Estimated Concrete Demand (m³)]]="","",
IF(Market_Data[[#This Row],[Estimated Concrete Demand (m³)]]&lt;10000,"Small",
IF(Market_Data[[#This Row],[Estimated Concrete Demand (m³)]]&lt;25000,"Medium",
IF(Market_Data[[#This Row],[Estimated Concrete Demand (m³)]]&lt;100000,"Large","Mega"))))</f>
        <v>Medium</v>
      </c>
      <c r="P128" s="287" t="str">
        <f t="shared" si="3"/>
        <v>GujRERA</v>
      </c>
    </row>
    <row r="129" spans="1:16">
      <c r="A129" s="129" t="str">
        <f>_xlfn.XLOOKUP(B129,$S$9:$S$14,$T$9:$T$14)&amp;"-"&amp;
IF(E129="Residential/Group Housing","RES",
IF(E129="Commercial","COM",
IF(E129="Mixed Development","MIX",
IF(E129="Plotted Development","PLT","OTH"))))
&amp;"-"&amp;TEXT(COUNTIFS($B$9:B129,B129,$E$9:E129,E129),"0000")</f>
        <v>BHR-RES-0055</v>
      </c>
      <c r="B129" s="322" t="s">
        <v>36</v>
      </c>
      <c r="C129" s="322" t="s">
        <v>36</v>
      </c>
      <c r="D129" s="323" t="s">
        <v>315</v>
      </c>
      <c r="E129" s="132" t="s">
        <v>24</v>
      </c>
      <c r="F129" s="97" t="str">
        <f ca="1">IF(OR(Market_Data[[#This Row],[Start Date]]="",Market_Data[[#This Row],[Completion Date]]=""),"Needs Validation",IF(Market_Data[[#This Row],[Start Date]]&gt;TODAY(),"Planned",IF(Market_Data[[#This Row],[Completion Date]]&lt;TODAY(),"Completed","Ongoing")))</f>
        <v>Ongoing</v>
      </c>
      <c r="G129" s="324">
        <v>45597</v>
      </c>
      <c r="H129" s="324">
        <v>46873</v>
      </c>
      <c r="I129" s="325">
        <v>5300</v>
      </c>
      <c r="J12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9" s="133">
        <f>_xlfn.XLOOKUP(Market_Data[[#This Row],[Project Type]],tbl_assumptions_market[Project Category (RERA)],tbl_assumptions_market[Concrete Intensity
(m³ / sq m BUA)],"",0)</f>
        <v>0.45</v>
      </c>
      <c r="L129" s="134">
        <f>ROUND(Market_Data[[#This Row],[Estimated Built Up Area (sq m)]]*Market_Data[[#This Row],[Concrete Intensity
(m³ / sq m)]],0)</f>
        <v>2385</v>
      </c>
      <c r="M129" s="135">
        <f>_xlfn.XLOOKUP(Market_Data[[#This Row],[District]],tbl_district_price[District],tbl_district_price[Standard Price
(INR/m³)],"",0)</f>
        <v>5800</v>
      </c>
      <c r="N129" s="364">
        <f>IF(OR(Market_Data[[#This Row],[Estimated Concrete Demand (m³)]]="",Market_Data[[#This Row],[Avg Price per (₹ / m³)]]=""),"",Market_Data[[#This Row],[Estimated Concrete Demand (m³)]]*Market_Data[[#This Row],[Avg Price per (₹ / m³)]]/10000000)</f>
        <v>1.3833</v>
      </c>
      <c r="O129" s="97" t="str">
        <f>IF(Market_Data[[#This Row],[Estimated Concrete Demand (m³)]]="","",
IF(Market_Data[[#This Row],[Estimated Concrete Demand (m³)]]&lt;10000,"Small",
IF(Market_Data[[#This Row],[Estimated Concrete Demand (m³)]]&lt;25000,"Medium",
IF(Market_Data[[#This Row],[Estimated Concrete Demand (m³)]]&lt;100000,"Large","Mega"))))</f>
        <v>Small</v>
      </c>
      <c r="P129" s="287" t="str">
        <f t="shared" si="3"/>
        <v>GujRERA</v>
      </c>
    </row>
    <row r="130" spans="1:16">
      <c r="A130" s="129" t="str">
        <f>_xlfn.XLOOKUP(B130,$S$9:$S$14,$T$9:$T$14)&amp;"-"&amp;
IF(E130="Residential/Group Housing","RES",
IF(E130="Commercial","COM",
IF(E130="Mixed Development","MIX",
IF(E130="Plotted Development","PLT","OTH"))))
&amp;"-"&amp;TEXT(COUNTIFS($B$9:B130,B130,$E$9:E130,E130),"0000")</f>
        <v>BHR-MIX-0044</v>
      </c>
      <c r="B130" s="322" t="s">
        <v>36</v>
      </c>
      <c r="C130" s="322" t="s">
        <v>36</v>
      </c>
      <c r="D130" s="323" t="s">
        <v>316</v>
      </c>
      <c r="E130" s="132" t="s">
        <v>25</v>
      </c>
      <c r="F130" s="97" t="str">
        <f ca="1">IF(OR(Market_Data[[#This Row],[Start Date]]="",Market_Data[[#This Row],[Completion Date]]=""),"Needs Validation",IF(Market_Data[[#This Row],[Start Date]]&gt;TODAY(),"Planned",IF(Market_Data[[#This Row],[Completion Date]]&lt;TODAY(),"Completed","Ongoing")))</f>
        <v>Ongoing</v>
      </c>
      <c r="G130" s="324">
        <v>44705</v>
      </c>
      <c r="H130" s="324">
        <v>46752</v>
      </c>
      <c r="I130" s="325">
        <v>42900</v>
      </c>
      <c r="J13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0" s="133">
        <f>_xlfn.XLOOKUP(Market_Data[[#This Row],[Project Type]],tbl_assumptions_market[Project Category (RERA)],tbl_assumptions_market[Concrete Intensity
(m³ / sq m BUA)],"",0)</f>
        <v>0.42</v>
      </c>
      <c r="L130" s="134">
        <f>ROUND(Market_Data[[#This Row],[Estimated Built Up Area (sq m)]]*Market_Data[[#This Row],[Concrete Intensity
(m³ / sq m)]],0)</f>
        <v>18018</v>
      </c>
      <c r="M130" s="135">
        <f>_xlfn.XLOOKUP(Market_Data[[#This Row],[District]],tbl_district_price[District],tbl_district_price[Standard Price
(INR/m³)],"",0)</f>
        <v>5800</v>
      </c>
      <c r="N130" s="364">
        <f>IF(OR(Market_Data[[#This Row],[Estimated Concrete Demand (m³)]]="",Market_Data[[#This Row],[Avg Price per (₹ / m³)]]=""),"",Market_Data[[#This Row],[Estimated Concrete Demand (m³)]]*Market_Data[[#This Row],[Avg Price per (₹ / m³)]]/10000000)</f>
        <v>10.45044</v>
      </c>
      <c r="O130" s="97" t="str">
        <f>IF(Market_Data[[#This Row],[Estimated Concrete Demand (m³)]]="","",
IF(Market_Data[[#This Row],[Estimated Concrete Demand (m³)]]&lt;10000,"Small",
IF(Market_Data[[#This Row],[Estimated Concrete Demand (m³)]]&lt;25000,"Medium",
IF(Market_Data[[#This Row],[Estimated Concrete Demand (m³)]]&lt;100000,"Large","Mega"))))</f>
        <v>Medium</v>
      </c>
      <c r="P130" s="287" t="str">
        <f t="shared" si="3"/>
        <v>GujRERA</v>
      </c>
    </row>
    <row r="131" spans="1:16">
      <c r="A131" s="129" t="str">
        <f>_xlfn.XLOOKUP(B131,$S$9:$S$14,$T$9:$T$14)&amp;"-"&amp;
IF(E131="Residential/Group Housing","RES",
IF(E131="Commercial","COM",
IF(E131="Mixed Development","MIX",
IF(E131="Plotted Development","PLT","OTH"))))
&amp;"-"&amp;TEXT(COUNTIFS($B$9:B131,B131,$E$9:E131,E131),"0000")</f>
        <v>BHR-RES-0056</v>
      </c>
      <c r="B131" s="322" t="s">
        <v>36</v>
      </c>
      <c r="C131" s="322" t="s">
        <v>36</v>
      </c>
      <c r="D131" s="323" t="s">
        <v>317</v>
      </c>
      <c r="E131" s="132" t="s">
        <v>24</v>
      </c>
      <c r="F131" s="97" t="str">
        <f ca="1">IF(OR(Market_Data[[#This Row],[Start Date]]="",Market_Data[[#This Row],[Completion Date]]=""),"Needs Validation",IF(Market_Data[[#This Row],[Start Date]]&gt;TODAY(),"Planned",IF(Market_Data[[#This Row],[Completion Date]]&lt;TODAY(),"Completed","Ongoing")))</f>
        <v>Ongoing</v>
      </c>
      <c r="G131" s="324">
        <v>44228</v>
      </c>
      <c r="H131" s="324">
        <v>46477</v>
      </c>
      <c r="I131" s="325">
        <v>52700</v>
      </c>
      <c r="J13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1" s="133">
        <f>_xlfn.XLOOKUP(Market_Data[[#This Row],[Project Type]],tbl_assumptions_market[Project Category (RERA)],tbl_assumptions_market[Concrete Intensity
(m³ / sq m BUA)],"",0)</f>
        <v>0.45</v>
      </c>
      <c r="L131" s="134">
        <f>ROUND(Market_Data[[#This Row],[Estimated Built Up Area (sq m)]]*Market_Data[[#This Row],[Concrete Intensity
(m³ / sq m)]],0)</f>
        <v>23715</v>
      </c>
      <c r="M131" s="135">
        <f>_xlfn.XLOOKUP(Market_Data[[#This Row],[District]],tbl_district_price[District],tbl_district_price[Standard Price
(INR/m³)],"",0)</f>
        <v>5800</v>
      </c>
      <c r="N131" s="364">
        <f>IF(OR(Market_Data[[#This Row],[Estimated Concrete Demand (m³)]]="",Market_Data[[#This Row],[Avg Price per (₹ / m³)]]=""),"",Market_Data[[#This Row],[Estimated Concrete Demand (m³)]]*Market_Data[[#This Row],[Avg Price per (₹ / m³)]]/10000000)</f>
        <v>13.7547</v>
      </c>
      <c r="O131" s="97" t="str">
        <f>IF(Market_Data[[#This Row],[Estimated Concrete Demand (m³)]]="","",
IF(Market_Data[[#This Row],[Estimated Concrete Demand (m³)]]&lt;10000,"Small",
IF(Market_Data[[#This Row],[Estimated Concrete Demand (m³)]]&lt;25000,"Medium",
IF(Market_Data[[#This Row],[Estimated Concrete Demand (m³)]]&lt;100000,"Large","Mega"))))</f>
        <v>Medium</v>
      </c>
      <c r="P131" s="287" t="str">
        <f t="shared" si="3"/>
        <v>GujRERA</v>
      </c>
    </row>
    <row r="132" spans="1:16">
      <c r="A132" s="129" t="str">
        <f>_xlfn.XLOOKUP(B132,$S$9:$S$14,$T$9:$T$14)&amp;"-"&amp;
IF(E132="Residential/Group Housing","RES",
IF(E132="Commercial","COM",
IF(E132="Mixed Development","MIX",
IF(E132="Plotted Development","PLT","OTH"))))
&amp;"-"&amp;TEXT(COUNTIFS($B$9:B132,B132,$E$9:E132,E132),"0000")</f>
        <v>BHR-RES-0057</v>
      </c>
      <c r="B132" s="322" t="s">
        <v>36</v>
      </c>
      <c r="C132" s="322" t="s">
        <v>36</v>
      </c>
      <c r="D132" s="323" t="s">
        <v>318</v>
      </c>
      <c r="E132" s="132" t="s">
        <v>24</v>
      </c>
      <c r="F132" s="97" t="str">
        <f ca="1">IF(OR(Market_Data[[#This Row],[Start Date]]="",Market_Data[[#This Row],[Completion Date]]=""),"Needs Validation",IF(Market_Data[[#This Row],[Start Date]]&gt;TODAY(),"Planned",IF(Market_Data[[#This Row],[Completion Date]]&lt;TODAY(),"Completed","Ongoing")))</f>
        <v>Completed</v>
      </c>
      <c r="G132" s="324">
        <v>42850</v>
      </c>
      <c r="H132" s="324">
        <v>43830</v>
      </c>
      <c r="I132" s="325">
        <v>14600</v>
      </c>
      <c r="J13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2" s="133">
        <f>_xlfn.XLOOKUP(Market_Data[[#This Row],[Project Type]],tbl_assumptions_market[Project Category (RERA)],tbl_assumptions_market[Concrete Intensity
(m³ / sq m BUA)],"",0)</f>
        <v>0.45</v>
      </c>
      <c r="L132" s="134">
        <f>ROUND(Market_Data[[#This Row],[Estimated Built Up Area (sq m)]]*Market_Data[[#This Row],[Concrete Intensity
(m³ / sq m)]],0)</f>
        <v>6570</v>
      </c>
      <c r="M132" s="135">
        <f>_xlfn.XLOOKUP(Market_Data[[#This Row],[District]],tbl_district_price[District],tbl_district_price[Standard Price
(INR/m³)],"",0)</f>
        <v>5800</v>
      </c>
      <c r="N132" s="364">
        <f>IF(OR(Market_Data[[#This Row],[Estimated Concrete Demand (m³)]]="",Market_Data[[#This Row],[Avg Price per (₹ / m³)]]=""),"",Market_Data[[#This Row],[Estimated Concrete Demand (m³)]]*Market_Data[[#This Row],[Avg Price per (₹ / m³)]]/10000000)</f>
        <v>3.8106</v>
      </c>
      <c r="O132" s="97" t="str">
        <f>IF(Market_Data[[#This Row],[Estimated Concrete Demand (m³)]]="","",
IF(Market_Data[[#This Row],[Estimated Concrete Demand (m³)]]&lt;10000,"Small",
IF(Market_Data[[#This Row],[Estimated Concrete Demand (m³)]]&lt;25000,"Medium",
IF(Market_Data[[#This Row],[Estimated Concrete Demand (m³)]]&lt;100000,"Large","Mega"))))</f>
        <v>Small</v>
      </c>
      <c r="P132" s="287" t="str">
        <f t="shared" si="3"/>
        <v>GujRERA</v>
      </c>
    </row>
    <row r="133" spans="1:16">
      <c r="A133" s="129" t="str">
        <f>_xlfn.XLOOKUP(B133,$S$9:$S$14,$T$9:$T$14)&amp;"-"&amp;
IF(E133="Residential/Group Housing","RES",
IF(E133="Commercial","COM",
IF(E133="Mixed Development","MIX",
IF(E133="Plotted Development","PLT","OTH"))))
&amp;"-"&amp;TEXT(COUNTIFS($B$9:B133,B133,$E$9:E133,E133),"0000")</f>
        <v>BHR-COM-0017</v>
      </c>
      <c r="B133" s="322" t="s">
        <v>36</v>
      </c>
      <c r="C133" s="322" t="s">
        <v>36</v>
      </c>
      <c r="D133" s="323" t="s">
        <v>319</v>
      </c>
      <c r="E133" s="132" t="s">
        <v>23</v>
      </c>
      <c r="F133" s="97" t="str">
        <f ca="1">IF(OR(Market_Data[[#This Row],[Start Date]]="",Market_Data[[#This Row],[Completion Date]]=""),"Needs Validation",IF(Market_Data[[#This Row],[Start Date]]&gt;TODAY(),"Planned",IF(Market_Data[[#This Row],[Completion Date]]&lt;TODAY(),"Completed","Ongoing")))</f>
        <v>Completed</v>
      </c>
      <c r="G133" s="324">
        <v>42865</v>
      </c>
      <c r="H133" s="324">
        <v>44469</v>
      </c>
      <c r="I133" s="325">
        <v>53700</v>
      </c>
      <c r="J13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33" s="133">
        <f>_xlfn.XLOOKUP(Market_Data[[#This Row],[Project Type]],tbl_assumptions_market[Project Category (RERA)],tbl_assumptions_market[Concrete Intensity
(m³ / sq m BUA)],"",0)</f>
        <v>0.5</v>
      </c>
      <c r="L133" s="134">
        <f>ROUND(Market_Data[[#This Row],[Estimated Built Up Area (sq m)]]*Market_Data[[#This Row],[Concrete Intensity
(m³ / sq m)]],0)</f>
        <v>26850</v>
      </c>
      <c r="M133" s="135">
        <f>_xlfn.XLOOKUP(Market_Data[[#This Row],[District]],tbl_district_price[District],tbl_district_price[Standard Price
(INR/m³)],"",0)</f>
        <v>5800</v>
      </c>
      <c r="N133" s="364">
        <f>IF(OR(Market_Data[[#This Row],[Estimated Concrete Demand (m³)]]="",Market_Data[[#This Row],[Avg Price per (₹ / m³)]]=""),"",Market_Data[[#This Row],[Estimated Concrete Demand (m³)]]*Market_Data[[#This Row],[Avg Price per (₹ / m³)]]/10000000)</f>
        <v>15.573</v>
      </c>
      <c r="O133" s="97" t="str">
        <f>IF(Market_Data[[#This Row],[Estimated Concrete Demand (m³)]]="","",
IF(Market_Data[[#This Row],[Estimated Concrete Demand (m³)]]&lt;10000,"Small",
IF(Market_Data[[#This Row],[Estimated Concrete Demand (m³)]]&lt;25000,"Medium",
IF(Market_Data[[#This Row],[Estimated Concrete Demand (m³)]]&lt;100000,"Large","Mega"))))</f>
        <v>Large</v>
      </c>
      <c r="P133" s="287" t="str">
        <f t="shared" si="3"/>
        <v>GujRERA</v>
      </c>
    </row>
    <row r="134" spans="1:16">
      <c r="A134" s="129" t="str">
        <f>_xlfn.XLOOKUP(B134,$S$9:$S$14,$T$9:$T$14)&amp;"-"&amp;
IF(E134="Residential/Group Housing","RES",
IF(E134="Commercial","COM",
IF(E134="Mixed Development","MIX",
IF(E134="Plotted Development","PLT","OTH"))))
&amp;"-"&amp;TEXT(COUNTIFS($B$9:B134,B134,$E$9:E134,E134),"0000")</f>
        <v>BHR-PLT-0008</v>
      </c>
      <c r="B134" s="322" t="s">
        <v>36</v>
      </c>
      <c r="C134" s="322" t="s">
        <v>36</v>
      </c>
      <c r="D134" s="323" t="s">
        <v>320</v>
      </c>
      <c r="E134" s="132" t="s">
        <v>26</v>
      </c>
      <c r="F134" s="97" t="str">
        <f ca="1">IF(OR(Market_Data[[#This Row],[Start Date]]="",Market_Data[[#This Row],[Completion Date]]=""),"Needs Validation",IF(Market_Data[[#This Row],[Start Date]]&gt;TODAY(),"Planned",IF(Market_Data[[#This Row],[Completion Date]]&lt;TODAY(),"Completed","Ongoing")))</f>
        <v>Completed</v>
      </c>
      <c r="G134" s="324">
        <v>43132</v>
      </c>
      <c r="H134" s="324">
        <v>44834</v>
      </c>
      <c r="I134" s="325">
        <v>4100</v>
      </c>
      <c r="J13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4" s="133">
        <f>_xlfn.XLOOKUP(Market_Data[[#This Row],[Project Type]],tbl_assumptions_market[Project Category (RERA)],tbl_assumptions_market[Concrete Intensity
(m³ / sq m BUA)],"",0)</f>
        <v>0.18</v>
      </c>
      <c r="L134" s="134">
        <f>ROUND(Market_Data[[#This Row],[Estimated Built Up Area (sq m)]]*Market_Data[[#This Row],[Concrete Intensity
(m³ / sq m)]],0)</f>
        <v>738</v>
      </c>
      <c r="M134" s="135">
        <f>_xlfn.XLOOKUP(Market_Data[[#This Row],[District]],tbl_district_price[District],tbl_district_price[Standard Price
(INR/m³)],"",0)</f>
        <v>5800</v>
      </c>
      <c r="N134" s="364">
        <f>IF(OR(Market_Data[[#This Row],[Estimated Concrete Demand (m³)]]="",Market_Data[[#This Row],[Avg Price per (₹ / m³)]]=""),"",Market_Data[[#This Row],[Estimated Concrete Demand (m³)]]*Market_Data[[#This Row],[Avg Price per (₹ / m³)]]/10000000)</f>
        <v>0.42803999999999998</v>
      </c>
      <c r="O134" s="97" t="str">
        <f>IF(Market_Data[[#This Row],[Estimated Concrete Demand (m³)]]="","",
IF(Market_Data[[#This Row],[Estimated Concrete Demand (m³)]]&lt;10000,"Small",
IF(Market_Data[[#This Row],[Estimated Concrete Demand (m³)]]&lt;25000,"Medium",
IF(Market_Data[[#This Row],[Estimated Concrete Demand (m³)]]&lt;100000,"Large","Mega"))))</f>
        <v>Small</v>
      </c>
      <c r="P134" s="287" t="str">
        <f t="shared" si="3"/>
        <v>GujRERA</v>
      </c>
    </row>
    <row r="135" spans="1:16">
      <c r="A135" s="129" t="str">
        <f>_xlfn.XLOOKUP(B135,$S$9:$S$14,$T$9:$T$14)&amp;"-"&amp;
IF(E135="Residential/Group Housing","RES",
IF(E135="Commercial","COM",
IF(E135="Mixed Development","MIX",
IF(E135="Plotted Development","PLT","OTH"))))
&amp;"-"&amp;TEXT(COUNTIFS($B$9:B135,B135,$E$9:E135,E135),"0000")</f>
        <v>BHR-MIX-0045</v>
      </c>
      <c r="B135" s="322" t="s">
        <v>36</v>
      </c>
      <c r="C135" s="322" t="s">
        <v>36</v>
      </c>
      <c r="D135" s="323" t="s">
        <v>321</v>
      </c>
      <c r="E135" s="132" t="s">
        <v>25</v>
      </c>
      <c r="F135" s="97" t="str">
        <f ca="1">IF(OR(Market_Data[[#This Row],[Start Date]]="",Market_Data[[#This Row],[Completion Date]]=""),"Needs Validation",IF(Market_Data[[#This Row],[Start Date]]&gt;TODAY(),"Planned",IF(Market_Data[[#This Row],[Completion Date]]&lt;TODAY(),"Completed","Ongoing")))</f>
        <v>Completed</v>
      </c>
      <c r="G135" s="324">
        <v>44237</v>
      </c>
      <c r="H135" s="324">
        <v>45747</v>
      </c>
      <c r="I135" s="325">
        <v>22800</v>
      </c>
      <c r="J13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5" s="133">
        <f>_xlfn.XLOOKUP(Market_Data[[#This Row],[Project Type]],tbl_assumptions_market[Project Category (RERA)],tbl_assumptions_market[Concrete Intensity
(m³ / sq m BUA)],"",0)</f>
        <v>0.42</v>
      </c>
      <c r="L135" s="134">
        <f>ROUND(Market_Data[[#This Row],[Estimated Built Up Area (sq m)]]*Market_Data[[#This Row],[Concrete Intensity
(m³ / sq m)]],0)</f>
        <v>9576</v>
      </c>
      <c r="M135" s="135">
        <f>_xlfn.XLOOKUP(Market_Data[[#This Row],[District]],tbl_district_price[District],tbl_district_price[Standard Price
(INR/m³)],"",0)</f>
        <v>5800</v>
      </c>
      <c r="N135" s="364">
        <f>IF(OR(Market_Data[[#This Row],[Estimated Concrete Demand (m³)]]="",Market_Data[[#This Row],[Avg Price per (₹ / m³)]]=""),"",Market_Data[[#This Row],[Estimated Concrete Demand (m³)]]*Market_Data[[#This Row],[Avg Price per (₹ / m³)]]/10000000)</f>
        <v>5.5540799999999999</v>
      </c>
      <c r="O135" s="97" t="str">
        <f>IF(Market_Data[[#This Row],[Estimated Concrete Demand (m³)]]="","",
IF(Market_Data[[#This Row],[Estimated Concrete Demand (m³)]]&lt;10000,"Small",
IF(Market_Data[[#This Row],[Estimated Concrete Demand (m³)]]&lt;25000,"Medium",
IF(Market_Data[[#This Row],[Estimated Concrete Demand (m³)]]&lt;100000,"Large","Mega"))))</f>
        <v>Small</v>
      </c>
      <c r="P135" s="287" t="str">
        <f t="shared" si="3"/>
        <v>GujRERA</v>
      </c>
    </row>
    <row r="136" spans="1:16">
      <c r="A136" s="129" t="str">
        <f>_xlfn.XLOOKUP(B136,$S$9:$S$14,$T$9:$T$14)&amp;"-"&amp;
IF(E136="Residential/Group Housing","RES",
IF(E136="Commercial","COM",
IF(E136="Mixed Development","MIX",
IF(E136="Plotted Development","PLT","OTH"))))
&amp;"-"&amp;TEXT(COUNTIFS($B$9:B136,B136,$E$9:E136,E136),"0000")</f>
        <v>BHR-MIX-0046</v>
      </c>
      <c r="B136" s="322" t="s">
        <v>36</v>
      </c>
      <c r="C136" s="322" t="s">
        <v>36</v>
      </c>
      <c r="D136" s="323" t="s">
        <v>322</v>
      </c>
      <c r="E136" s="132" t="s">
        <v>25</v>
      </c>
      <c r="F136" s="97" t="str">
        <f ca="1">IF(OR(Market_Data[[#This Row],[Start Date]]="",Market_Data[[#This Row],[Completion Date]]=""),"Needs Validation",IF(Market_Data[[#This Row],[Start Date]]&gt;TODAY(),"Planned",IF(Market_Data[[#This Row],[Completion Date]]&lt;TODAY(),"Completed","Ongoing")))</f>
        <v>Ongoing</v>
      </c>
      <c r="G136" s="324">
        <v>44933</v>
      </c>
      <c r="H136" s="324">
        <v>46843</v>
      </c>
      <c r="I136" s="325">
        <v>17500</v>
      </c>
      <c r="J13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6" s="133">
        <f>_xlfn.XLOOKUP(Market_Data[[#This Row],[Project Type]],tbl_assumptions_market[Project Category (RERA)],tbl_assumptions_market[Concrete Intensity
(m³ / sq m BUA)],"",0)</f>
        <v>0.42</v>
      </c>
      <c r="L136" s="134">
        <f>ROUND(Market_Data[[#This Row],[Estimated Built Up Area (sq m)]]*Market_Data[[#This Row],[Concrete Intensity
(m³ / sq m)]],0)</f>
        <v>7350</v>
      </c>
      <c r="M136" s="135">
        <f>_xlfn.XLOOKUP(Market_Data[[#This Row],[District]],tbl_district_price[District],tbl_district_price[Standard Price
(INR/m³)],"",0)</f>
        <v>5800</v>
      </c>
      <c r="N136" s="364">
        <f>IF(OR(Market_Data[[#This Row],[Estimated Concrete Demand (m³)]]="",Market_Data[[#This Row],[Avg Price per (₹ / m³)]]=""),"",Market_Data[[#This Row],[Estimated Concrete Demand (m³)]]*Market_Data[[#This Row],[Avg Price per (₹ / m³)]]/10000000)</f>
        <v>4.2629999999999999</v>
      </c>
      <c r="O136" s="97" t="str">
        <f>IF(Market_Data[[#This Row],[Estimated Concrete Demand (m³)]]="","",
IF(Market_Data[[#This Row],[Estimated Concrete Demand (m³)]]&lt;10000,"Small",
IF(Market_Data[[#This Row],[Estimated Concrete Demand (m³)]]&lt;25000,"Medium",
IF(Market_Data[[#This Row],[Estimated Concrete Demand (m³)]]&lt;100000,"Large","Mega"))))</f>
        <v>Small</v>
      </c>
      <c r="P136" s="287" t="str">
        <f t="shared" si="3"/>
        <v>GujRERA</v>
      </c>
    </row>
    <row r="137" spans="1:16">
      <c r="A137" s="129" t="str">
        <f>_xlfn.XLOOKUP(B137,$S$9:$S$14,$T$9:$T$14)&amp;"-"&amp;
IF(E137="Residential/Group Housing","RES",
IF(E137="Commercial","COM",
IF(E137="Mixed Development","MIX",
IF(E137="Plotted Development","PLT","OTH"))))
&amp;"-"&amp;TEXT(COUNTIFS($B$9:B137,B137,$E$9:E137,E137),"0000")</f>
        <v>BHR-MIX-0047</v>
      </c>
      <c r="B137" s="322" t="s">
        <v>36</v>
      </c>
      <c r="C137" s="322" t="s">
        <v>36</v>
      </c>
      <c r="D137" s="323" t="s">
        <v>323</v>
      </c>
      <c r="E137" s="132" t="s">
        <v>25</v>
      </c>
      <c r="F137" s="97" t="str">
        <f ca="1">IF(OR(Market_Data[[#This Row],[Start Date]]="",Market_Data[[#This Row],[Completion Date]]=""),"Needs Validation",IF(Market_Data[[#This Row],[Start Date]]&gt;TODAY(),"Planned",IF(Market_Data[[#This Row],[Completion Date]]&lt;TODAY(),"Completed","Ongoing")))</f>
        <v>Completed</v>
      </c>
      <c r="G137" s="324">
        <v>42401</v>
      </c>
      <c r="H137" s="324">
        <v>45930</v>
      </c>
      <c r="I137" s="325">
        <v>18500</v>
      </c>
      <c r="J13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7" s="133">
        <f>_xlfn.XLOOKUP(Market_Data[[#This Row],[Project Type]],tbl_assumptions_market[Project Category (RERA)],tbl_assumptions_market[Concrete Intensity
(m³ / sq m BUA)],"",0)</f>
        <v>0.42</v>
      </c>
      <c r="L137" s="134">
        <f>ROUND(Market_Data[[#This Row],[Estimated Built Up Area (sq m)]]*Market_Data[[#This Row],[Concrete Intensity
(m³ / sq m)]],0)</f>
        <v>7770</v>
      </c>
      <c r="M137" s="135">
        <f>_xlfn.XLOOKUP(Market_Data[[#This Row],[District]],tbl_district_price[District],tbl_district_price[Standard Price
(INR/m³)],"",0)</f>
        <v>5800</v>
      </c>
      <c r="N137" s="364">
        <f>IF(OR(Market_Data[[#This Row],[Estimated Concrete Demand (m³)]]="",Market_Data[[#This Row],[Avg Price per (₹ / m³)]]=""),"",Market_Data[[#This Row],[Estimated Concrete Demand (m³)]]*Market_Data[[#This Row],[Avg Price per (₹ / m³)]]/10000000)</f>
        <v>4.5065999999999997</v>
      </c>
      <c r="O137" s="97" t="str">
        <f>IF(Market_Data[[#This Row],[Estimated Concrete Demand (m³)]]="","",
IF(Market_Data[[#This Row],[Estimated Concrete Demand (m³)]]&lt;10000,"Small",
IF(Market_Data[[#This Row],[Estimated Concrete Demand (m³)]]&lt;25000,"Medium",
IF(Market_Data[[#This Row],[Estimated Concrete Demand (m³)]]&lt;100000,"Large","Mega"))))</f>
        <v>Small</v>
      </c>
      <c r="P137" s="287" t="str">
        <f t="shared" si="3"/>
        <v>GujRERA</v>
      </c>
    </row>
    <row r="138" spans="1:16">
      <c r="A138" s="129" t="str">
        <f>_xlfn.XLOOKUP(B138,$S$9:$S$14,$T$9:$T$14)&amp;"-"&amp;
IF(E138="Residential/Group Housing","RES",
IF(E138="Commercial","COM",
IF(E138="Mixed Development","MIX",
IF(E138="Plotted Development","PLT","OTH"))))
&amp;"-"&amp;TEXT(COUNTIFS($B$9:B138,B138,$E$9:E138,E138),"0000")</f>
        <v>BHR-MIX-0048</v>
      </c>
      <c r="B138" s="322" t="s">
        <v>36</v>
      </c>
      <c r="C138" s="322" t="s">
        <v>36</v>
      </c>
      <c r="D138" s="323" t="s">
        <v>324</v>
      </c>
      <c r="E138" s="132" t="s">
        <v>25</v>
      </c>
      <c r="F138" s="97" t="str">
        <f ca="1">IF(OR(Market_Data[[#This Row],[Start Date]]="",Market_Data[[#This Row],[Completion Date]]=""),"Needs Validation",IF(Market_Data[[#This Row],[Start Date]]&gt;TODAY(),"Planned",IF(Market_Data[[#This Row],[Completion Date]]&lt;TODAY(),"Completed","Ongoing")))</f>
        <v>Ongoing</v>
      </c>
      <c r="G138" s="324">
        <v>42643</v>
      </c>
      <c r="H138" s="324">
        <v>46660</v>
      </c>
      <c r="I138" s="325">
        <v>38100</v>
      </c>
      <c r="J13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8" s="133">
        <f>_xlfn.XLOOKUP(Market_Data[[#This Row],[Project Type]],tbl_assumptions_market[Project Category (RERA)],tbl_assumptions_market[Concrete Intensity
(m³ / sq m BUA)],"",0)</f>
        <v>0.42</v>
      </c>
      <c r="L138" s="134">
        <f>ROUND(Market_Data[[#This Row],[Estimated Built Up Area (sq m)]]*Market_Data[[#This Row],[Concrete Intensity
(m³ / sq m)]],0)</f>
        <v>16002</v>
      </c>
      <c r="M138" s="135">
        <f>_xlfn.XLOOKUP(Market_Data[[#This Row],[District]],tbl_district_price[District],tbl_district_price[Standard Price
(INR/m³)],"",0)</f>
        <v>5800</v>
      </c>
      <c r="N138" s="364">
        <f>IF(OR(Market_Data[[#This Row],[Estimated Concrete Demand (m³)]]="",Market_Data[[#This Row],[Avg Price per (₹ / m³)]]=""),"",Market_Data[[#This Row],[Estimated Concrete Demand (m³)]]*Market_Data[[#This Row],[Avg Price per (₹ / m³)]]/10000000)</f>
        <v>9.2811599999999999</v>
      </c>
      <c r="O138" s="97" t="str">
        <f>IF(Market_Data[[#This Row],[Estimated Concrete Demand (m³)]]="","",
IF(Market_Data[[#This Row],[Estimated Concrete Demand (m³)]]&lt;10000,"Small",
IF(Market_Data[[#This Row],[Estimated Concrete Demand (m³)]]&lt;25000,"Medium",
IF(Market_Data[[#This Row],[Estimated Concrete Demand (m³)]]&lt;100000,"Large","Mega"))))</f>
        <v>Medium</v>
      </c>
      <c r="P138" s="287" t="str">
        <f t="shared" ref="P138:P201" si="4">HYPERLINK(
"https://gujrera.gujarat.gov.in",
"GujRERA")</f>
        <v>GujRERA</v>
      </c>
    </row>
    <row r="139" spans="1:16">
      <c r="A139" s="129" t="str">
        <f>_xlfn.XLOOKUP(B139,$S$9:$S$14,$T$9:$T$14)&amp;"-"&amp;
IF(E139="Residential/Group Housing","RES",
IF(E139="Commercial","COM",
IF(E139="Mixed Development","MIX",
IF(E139="Plotted Development","PLT","OTH"))))
&amp;"-"&amp;TEXT(COUNTIFS($B$9:B139,B139,$E$9:E139,E139),"0000")</f>
        <v>BHR-RES-0058</v>
      </c>
      <c r="B139" s="322" t="s">
        <v>36</v>
      </c>
      <c r="C139" s="322" t="s">
        <v>36</v>
      </c>
      <c r="D139" s="323" t="s">
        <v>325</v>
      </c>
      <c r="E139" s="132" t="s">
        <v>24</v>
      </c>
      <c r="F139" s="97" t="str">
        <f ca="1">IF(OR(Market_Data[[#This Row],[Start Date]]="",Market_Data[[#This Row],[Completion Date]]=""),"Needs Validation",IF(Market_Data[[#This Row],[Start Date]]&gt;TODAY(),"Planned",IF(Market_Data[[#This Row],[Completion Date]]&lt;TODAY(),"Completed","Ongoing")))</f>
        <v>Ongoing</v>
      </c>
      <c r="G139" s="324">
        <v>45292</v>
      </c>
      <c r="H139" s="324">
        <v>46538</v>
      </c>
      <c r="I139" s="325">
        <v>46000</v>
      </c>
      <c r="J13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9" s="133">
        <f>_xlfn.XLOOKUP(Market_Data[[#This Row],[Project Type]],tbl_assumptions_market[Project Category (RERA)],tbl_assumptions_market[Concrete Intensity
(m³ / sq m BUA)],"",0)</f>
        <v>0.45</v>
      </c>
      <c r="L139" s="134">
        <f>ROUND(Market_Data[[#This Row],[Estimated Built Up Area (sq m)]]*Market_Data[[#This Row],[Concrete Intensity
(m³ / sq m)]],0)</f>
        <v>20700</v>
      </c>
      <c r="M139" s="135">
        <f>_xlfn.XLOOKUP(Market_Data[[#This Row],[District]],tbl_district_price[District],tbl_district_price[Standard Price
(INR/m³)],"",0)</f>
        <v>5800</v>
      </c>
      <c r="N139" s="364">
        <f>IF(OR(Market_Data[[#This Row],[Estimated Concrete Demand (m³)]]="",Market_Data[[#This Row],[Avg Price per (₹ / m³)]]=""),"",Market_Data[[#This Row],[Estimated Concrete Demand (m³)]]*Market_Data[[#This Row],[Avg Price per (₹ / m³)]]/10000000)</f>
        <v>12.006</v>
      </c>
      <c r="O139" s="97" t="str">
        <f>IF(Market_Data[[#This Row],[Estimated Concrete Demand (m³)]]="","",
IF(Market_Data[[#This Row],[Estimated Concrete Demand (m³)]]&lt;10000,"Small",
IF(Market_Data[[#This Row],[Estimated Concrete Demand (m³)]]&lt;25000,"Medium",
IF(Market_Data[[#This Row],[Estimated Concrete Demand (m³)]]&lt;100000,"Large","Mega"))))</f>
        <v>Medium</v>
      </c>
      <c r="P139" s="287" t="str">
        <f t="shared" si="4"/>
        <v>GujRERA</v>
      </c>
    </row>
    <row r="140" spans="1:16">
      <c r="A140" s="129" t="str">
        <f>_xlfn.XLOOKUP(B140,$S$9:$S$14,$T$9:$T$14)&amp;"-"&amp;
IF(E140="Residential/Group Housing","RES",
IF(E140="Commercial","COM",
IF(E140="Mixed Development","MIX",
IF(E140="Plotted Development","PLT","OTH"))))
&amp;"-"&amp;TEXT(COUNTIFS($B$9:B140,B140,$E$9:E140,E140),"0000")</f>
        <v>BHR-RES-0059</v>
      </c>
      <c r="B140" s="322" t="s">
        <v>36</v>
      </c>
      <c r="C140" s="322" t="s">
        <v>36</v>
      </c>
      <c r="D140" s="323" t="s">
        <v>326</v>
      </c>
      <c r="E140" s="132" t="s">
        <v>24</v>
      </c>
      <c r="F140" s="97" t="str">
        <f ca="1">IF(OR(Market_Data[[#This Row],[Start Date]]="",Market_Data[[#This Row],[Completion Date]]=""),"Needs Validation",IF(Market_Data[[#This Row],[Start Date]]&gt;TODAY(),"Planned",IF(Market_Data[[#This Row],[Completion Date]]&lt;TODAY(),"Completed","Ongoing")))</f>
        <v>Completed</v>
      </c>
      <c r="G140" s="324">
        <v>45017</v>
      </c>
      <c r="H140" s="324">
        <v>46112</v>
      </c>
      <c r="I140" s="325">
        <v>24500</v>
      </c>
      <c r="J14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0" s="133">
        <f>_xlfn.XLOOKUP(Market_Data[[#This Row],[Project Type]],tbl_assumptions_market[Project Category (RERA)],tbl_assumptions_market[Concrete Intensity
(m³ / sq m BUA)],"",0)</f>
        <v>0.45</v>
      </c>
      <c r="L140" s="134">
        <f>ROUND(Market_Data[[#This Row],[Estimated Built Up Area (sq m)]]*Market_Data[[#This Row],[Concrete Intensity
(m³ / sq m)]],0)</f>
        <v>11025</v>
      </c>
      <c r="M140" s="135">
        <f>_xlfn.XLOOKUP(Market_Data[[#This Row],[District]],tbl_district_price[District],tbl_district_price[Standard Price
(INR/m³)],"",0)</f>
        <v>5800</v>
      </c>
      <c r="N140" s="364">
        <f>IF(OR(Market_Data[[#This Row],[Estimated Concrete Demand (m³)]]="",Market_Data[[#This Row],[Avg Price per (₹ / m³)]]=""),"",Market_Data[[#This Row],[Estimated Concrete Demand (m³)]]*Market_Data[[#This Row],[Avg Price per (₹ / m³)]]/10000000)</f>
        <v>6.3944999999999999</v>
      </c>
      <c r="O140" s="97" t="str">
        <f>IF(Market_Data[[#This Row],[Estimated Concrete Demand (m³)]]="","",
IF(Market_Data[[#This Row],[Estimated Concrete Demand (m³)]]&lt;10000,"Small",
IF(Market_Data[[#This Row],[Estimated Concrete Demand (m³)]]&lt;25000,"Medium",
IF(Market_Data[[#This Row],[Estimated Concrete Demand (m³)]]&lt;100000,"Large","Mega"))))</f>
        <v>Medium</v>
      </c>
      <c r="P140" s="287" t="str">
        <f t="shared" si="4"/>
        <v>GujRERA</v>
      </c>
    </row>
    <row r="141" spans="1:16">
      <c r="A141" s="129" t="str">
        <f>_xlfn.XLOOKUP(B141,$S$9:$S$14,$T$9:$T$14)&amp;"-"&amp;
IF(E141="Residential/Group Housing","RES",
IF(E141="Commercial","COM",
IF(E141="Mixed Development","MIX",
IF(E141="Plotted Development","PLT","OTH"))))
&amp;"-"&amp;TEXT(COUNTIFS($B$9:B141,B141,$E$9:E141,E141),"0000")</f>
        <v>BHR-MIX-0049</v>
      </c>
      <c r="B141" s="322" t="s">
        <v>36</v>
      </c>
      <c r="C141" s="322" t="s">
        <v>36</v>
      </c>
      <c r="D141" s="323" t="s">
        <v>327</v>
      </c>
      <c r="E141" s="132" t="s">
        <v>25</v>
      </c>
      <c r="F141" s="97" t="str">
        <f ca="1">IF(OR(Market_Data[[#This Row],[Start Date]]="",Market_Data[[#This Row],[Completion Date]]=""),"Needs Validation",IF(Market_Data[[#This Row],[Start Date]]&gt;TODAY(),"Planned",IF(Market_Data[[#This Row],[Completion Date]]&lt;TODAY(),"Completed","Ongoing")))</f>
        <v>Completed</v>
      </c>
      <c r="G141" s="324">
        <v>42370</v>
      </c>
      <c r="H141" s="324">
        <v>45930</v>
      </c>
      <c r="I141" s="325">
        <v>15400</v>
      </c>
      <c r="J14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1" s="133">
        <f>_xlfn.XLOOKUP(Market_Data[[#This Row],[Project Type]],tbl_assumptions_market[Project Category (RERA)],tbl_assumptions_market[Concrete Intensity
(m³ / sq m BUA)],"",0)</f>
        <v>0.42</v>
      </c>
      <c r="L141" s="134">
        <f>ROUND(Market_Data[[#This Row],[Estimated Built Up Area (sq m)]]*Market_Data[[#This Row],[Concrete Intensity
(m³ / sq m)]],0)</f>
        <v>6468</v>
      </c>
      <c r="M141" s="135">
        <f>_xlfn.XLOOKUP(Market_Data[[#This Row],[District]],tbl_district_price[District],tbl_district_price[Standard Price
(INR/m³)],"",0)</f>
        <v>5800</v>
      </c>
      <c r="N141" s="364">
        <f>IF(OR(Market_Data[[#This Row],[Estimated Concrete Demand (m³)]]="",Market_Data[[#This Row],[Avg Price per (₹ / m³)]]=""),"",Market_Data[[#This Row],[Estimated Concrete Demand (m³)]]*Market_Data[[#This Row],[Avg Price per (₹ / m³)]]/10000000)</f>
        <v>3.7514400000000001</v>
      </c>
      <c r="O141" s="97" t="str">
        <f>IF(Market_Data[[#This Row],[Estimated Concrete Demand (m³)]]="","",
IF(Market_Data[[#This Row],[Estimated Concrete Demand (m³)]]&lt;10000,"Small",
IF(Market_Data[[#This Row],[Estimated Concrete Demand (m³)]]&lt;25000,"Medium",
IF(Market_Data[[#This Row],[Estimated Concrete Demand (m³)]]&lt;100000,"Large","Mega"))))</f>
        <v>Small</v>
      </c>
      <c r="P141" s="287" t="str">
        <f t="shared" si="4"/>
        <v>GujRERA</v>
      </c>
    </row>
    <row r="142" spans="1:16">
      <c r="A142" s="129" t="str">
        <f>_xlfn.XLOOKUP(B142,$S$9:$S$14,$T$9:$T$14)&amp;"-"&amp;
IF(E142="Residential/Group Housing","RES",
IF(E142="Commercial","COM",
IF(E142="Mixed Development","MIX",
IF(E142="Plotted Development","PLT","OTH"))))
&amp;"-"&amp;TEXT(COUNTIFS($B$9:B142,B142,$E$9:E142,E142),"0000")</f>
        <v>BHR-MIX-0050</v>
      </c>
      <c r="B142" s="322" t="s">
        <v>36</v>
      </c>
      <c r="C142" s="322" t="s">
        <v>36</v>
      </c>
      <c r="D142" s="323" t="s">
        <v>328</v>
      </c>
      <c r="E142" s="132" t="s">
        <v>25</v>
      </c>
      <c r="F142" s="97" t="str">
        <f ca="1">IF(OR(Market_Data[[#This Row],[Start Date]]="",Market_Data[[#This Row],[Completion Date]]=""),"Needs Validation",IF(Market_Data[[#This Row],[Start Date]]&gt;TODAY(),"Planned",IF(Market_Data[[#This Row],[Completion Date]]&lt;TODAY(),"Completed","Ongoing")))</f>
        <v>Ongoing</v>
      </c>
      <c r="G142" s="324">
        <v>44866</v>
      </c>
      <c r="H142" s="324">
        <v>47118</v>
      </c>
      <c r="I142" s="325">
        <v>16700</v>
      </c>
      <c r="J14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2" s="133">
        <f>_xlfn.XLOOKUP(Market_Data[[#This Row],[Project Type]],tbl_assumptions_market[Project Category (RERA)],tbl_assumptions_market[Concrete Intensity
(m³ / sq m BUA)],"",0)</f>
        <v>0.42</v>
      </c>
      <c r="L142" s="134">
        <f>ROUND(Market_Data[[#This Row],[Estimated Built Up Area (sq m)]]*Market_Data[[#This Row],[Concrete Intensity
(m³ / sq m)]],0)</f>
        <v>7014</v>
      </c>
      <c r="M142" s="135">
        <f>_xlfn.XLOOKUP(Market_Data[[#This Row],[District]],tbl_district_price[District],tbl_district_price[Standard Price
(INR/m³)],"",0)</f>
        <v>5800</v>
      </c>
      <c r="N142" s="364">
        <f>IF(OR(Market_Data[[#This Row],[Estimated Concrete Demand (m³)]]="",Market_Data[[#This Row],[Avg Price per (₹ / m³)]]=""),"",Market_Data[[#This Row],[Estimated Concrete Demand (m³)]]*Market_Data[[#This Row],[Avg Price per (₹ / m³)]]/10000000)</f>
        <v>4.0681200000000004</v>
      </c>
      <c r="O142" s="97" t="str">
        <f>IF(Market_Data[[#This Row],[Estimated Concrete Demand (m³)]]="","",
IF(Market_Data[[#This Row],[Estimated Concrete Demand (m³)]]&lt;10000,"Small",
IF(Market_Data[[#This Row],[Estimated Concrete Demand (m³)]]&lt;25000,"Medium",
IF(Market_Data[[#This Row],[Estimated Concrete Demand (m³)]]&lt;100000,"Large","Mega"))))</f>
        <v>Small</v>
      </c>
      <c r="P142" s="287" t="str">
        <f t="shared" si="4"/>
        <v>GujRERA</v>
      </c>
    </row>
    <row r="143" spans="1:16">
      <c r="A143" s="129" t="str">
        <f>_xlfn.XLOOKUP(B143,$S$9:$S$14,$T$9:$T$14)&amp;"-"&amp;
IF(E143="Residential/Group Housing","RES",
IF(E143="Commercial","COM",
IF(E143="Mixed Development","MIX",
IF(E143="Plotted Development","PLT","OTH"))))
&amp;"-"&amp;TEXT(COUNTIFS($B$9:B143,B143,$E$9:E143,E143),"0000")</f>
        <v>BHR-RES-0060</v>
      </c>
      <c r="B143" s="322" t="s">
        <v>36</v>
      </c>
      <c r="C143" s="322" t="s">
        <v>36</v>
      </c>
      <c r="D143" s="323" t="s">
        <v>329</v>
      </c>
      <c r="E143" s="132" t="s">
        <v>24</v>
      </c>
      <c r="F143" s="97" t="str">
        <f ca="1">IF(OR(Market_Data[[#This Row],[Start Date]]="",Market_Data[[#This Row],[Completion Date]]=""),"Needs Validation",IF(Market_Data[[#This Row],[Start Date]]&gt;TODAY(),"Planned",IF(Market_Data[[#This Row],[Completion Date]]&lt;TODAY(),"Completed","Ongoing")))</f>
        <v>Ongoing</v>
      </c>
      <c r="G143" s="324">
        <v>45017</v>
      </c>
      <c r="H143" s="324">
        <v>47118</v>
      </c>
      <c r="I143" s="325">
        <v>23400</v>
      </c>
      <c r="J14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3" s="133">
        <f>_xlfn.XLOOKUP(Market_Data[[#This Row],[Project Type]],tbl_assumptions_market[Project Category (RERA)],tbl_assumptions_market[Concrete Intensity
(m³ / sq m BUA)],"",0)</f>
        <v>0.45</v>
      </c>
      <c r="L143" s="134">
        <f>ROUND(Market_Data[[#This Row],[Estimated Built Up Area (sq m)]]*Market_Data[[#This Row],[Concrete Intensity
(m³ / sq m)]],0)</f>
        <v>10530</v>
      </c>
      <c r="M143" s="135">
        <f>_xlfn.XLOOKUP(Market_Data[[#This Row],[District]],tbl_district_price[District],tbl_district_price[Standard Price
(INR/m³)],"",0)</f>
        <v>5800</v>
      </c>
      <c r="N143" s="364">
        <f>IF(OR(Market_Data[[#This Row],[Estimated Concrete Demand (m³)]]="",Market_Data[[#This Row],[Avg Price per (₹ / m³)]]=""),"",Market_Data[[#This Row],[Estimated Concrete Demand (m³)]]*Market_Data[[#This Row],[Avg Price per (₹ / m³)]]/10000000)</f>
        <v>6.1074000000000002</v>
      </c>
      <c r="O143" s="97" t="str">
        <f>IF(Market_Data[[#This Row],[Estimated Concrete Demand (m³)]]="","",
IF(Market_Data[[#This Row],[Estimated Concrete Demand (m³)]]&lt;10000,"Small",
IF(Market_Data[[#This Row],[Estimated Concrete Demand (m³)]]&lt;25000,"Medium",
IF(Market_Data[[#This Row],[Estimated Concrete Demand (m³)]]&lt;100000,"Large","Mega"))))</f>
        <v>Medium</v>
      </c>
      <c r="P143" s="287" t="str">
        <f t="shared" si="4"/>
        <v>GujRERA</v>
      </c>
    </row>
    <row r="144" spans="1:16">
      <c r="A144" s="129" t="str">
        <f>_xlfn.XLOOKUP(B144,$S$9:$S$14,$T$9:$T$14)&amp;"-"&amp;
IF(E144="Residential/Group Housing","RES",
IF(E144="Commercial","COM",
IF(E144="Mixed Development","MIX",
IF(E144="Plotted Development","PLT","OTH"))))
&amp;"-"&amp;TEXT(COUNTIFS($B$9:B144,B144,$E$9:E144,E144),"0000")</f>
        <v>BHR-RES-0061</v>
      </c>
      <c r="B144" s="322" t="s">
        <v>36</v>
      </c>
      <c r="C144" s="322" t="s">
        <v>36</v>
      </c>
      <c r="D144" s="323" t="s">
        <v>330</v>
      </c>
      <c r="E144" s="132" t="s">
        <v>24</v>
      </c>
      <c r="F144" s="97" t="str">
        <f ca="1">IF(OR(Market_Data[[#This Row],[Start Date]]="",Market_Data[[#This Row],[Completion Date]]=""),"Needs Validation",IF(Market_Data[[#This Row],[Start Date]]&gt;TODAY(),"Planned",IF(Market_Data[[#This Row],[Completion Date]]&lt;TODAY(),"Completed","Ongoing")))</f>
        <v>Completed</v>
      </c>
      <c r="G144" s="324">
        <v>42491</v>
      </c>
      <c r="H144" s="324">
        <v>45930</v>
      </c>
      <c r="I144" s="325">
        <v>25000</v>
      </c>
      <c r="J14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4" s="133">
        <f>_xlfn.XLOOKUP(Market_Data[[#This Row],[Project Type]],tbl_assumptions_market[Project Category (RERA)],tbl_assumptions_market[Concrete Intensity
(m³ / sq m BUA)],"",0)</f>
        <v>0.45</v>
      </c>
      <c r="L144" s="134">
        <f>ROUND(Market_Data[[#This Row],[Estimated Built Up Area (sq m)]]*Market_Data[[#This Row],[Concrete Intensity
(m³ / sq m)]],0)</f>
        <v>11250</v>
      </c>
      <c r="M144" s="135">
        <f>_xlfn.XLOOKUP(Market_Data[[#This Row],[District]],tbl_district_price[District],tbl_district_price[Standard Price
(INR/m³)],"",0)</f>
        <v>5800</v>
      </c>
      <c r="N144" s="364">
        <f>IF(OR(Market_Data[[#This Row],[Estimated Concrete Demand (m³)]]="",Market_Data[[#This Row],[Avg Price per (₹ / m³)]]=""),"",Market_Data[[#This Row],[Estimated Concrete Demand (m³)]]*Market_Data[[#This Row],[Avg Price per (₹ / m³)]]/10000000)</f>
        <v>6.5250000000000004</v>
      </c>
      <c r="O144" s="97" t="str">
        <f>IF(Market_Data[[#This Row],[Estimated Concrete Demand (m³)]]="","",
IF(Market_Data[[#This Row],[Estimated Concrete Demand (m³)]]&lt;10000,"Small",
IF(Market_Data[[#This Row],[Estimated Concrete Demand (m³)]]&lt;25000,"Medium",
IF(Market_Data[[#This Row],[Estimated Concrete Demand (m³)]]&lt;100000,"Large","Mega"))))</f>
        <v>Medium</v>
      </c>
      <c r="P144" s="287" t="str">
        <f t="shared" si="4"/>
        <v>GujRERA</v>
      </c>
    </row>
    <row r="145" spans="1:16">
      <c r="A145" s="129" t="str">
        <f>_xlfn.XLOOKUP(B145,$S$9:$S$14,$T$9:$T$14)&amp;"-"&amp;
IF(E145="Residential/Group Housing","RES",
IF(E145="Commercial","COM",
IF(E145="Mixed Development","MIX",
IF(E145="Plotted Development","PLT","OTH"))))
&amp;"-"&amp;TEXT(COUNTIFS($B$9:B145,B145,$E$9:E145,E145),"0000")</f>
        <v>BHR-RES-0062</v>
      </c>
      <c r="B145" s="322" t="s">
        <v>36</v>
      </c>
      <c r="C145" s="322" t="s">
        <v>36</v>
      </c>
      <c r="D145" s="323" t="s">
        <v>331</v>
      </c>
      <c r="E145" s="132" t="s">
        <v>24</v>
      </c>
      <c r="F145" s="97" t="str">
        <f ca="1">IF(OR(Market_Data[[#This Row],[Start Date]]="",Market_Data[[#This Row],[Completion Date]]=""),"Needs Validation",IF(Market_Data[[#This Row],[Start Date]]&gt;TODAY(),"Planned",IF(Market_Data[[#This Row],[Completion Date]]&lt;TODAY(),"Completed","Ongoing")))</f>
        <v>Ongoing</v>
      </c>
      <c r="G145" s="324">
        <v>42369</v>
      </c>
      <c r="H145" s="324">
        <v>46660</v>
      </c>
      <c r="I145" s="325">
        <v>147600</v>
      </c>
      <c r="J14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45" s="133">
        <f>_xlfn.XLOOKUP(Market_Data[[#This Row],[Project Type]],tbl_assumptions_market[Project Category (RERA)],tbl_assumptions_market[Concrete Intensity
(m³ / sq m BUA)],"",0)</f>
        <v>0.45</v>
      </c>
      <c r="L145" s="134">
        <f>ROUND(Market_Data[[#This Row],[Estimated Built Up Area (sq m)]]*Market_Data[[#This Row],[Concrete Intensity
(m³ / sq m)]],0)</f>
        <v>66420</v>
      </c>
      <c r="M145" s="135">
        <f>_xlfn.XLOOKUP(Market_Data[[#This Row],[District]],tbl_district_price[District],tbl_district_price[Standard Price
(INR/m³)],"",0)</f>
        <v>5800</v>
      </c>
      <c r="N145" s="364">
        <f>IF(OR(Market_Data[[#This Row],[Estimated Concrete Demand (m³)]]="",Market_Data[[#This Row],[Avg Price per (₹ / m³)]]=""),"",Market_Data[[#This Row],[Estimated Concrete Demand (m³)]]*Market_Data[[#This Row],[Avg Price per (₹ / m³)]]/10000000)</f>
        <v>38.523600000000002</v>
      </c>
      <c r="O145" s="97" t="str">
        <f>IF(Market_Data[[#This Row],[Estimated Concrete Demand (m³)]]="","",
IF(Market_Data[[#This Row],[Estimated Concrete Demand (m³)]]&lt;10000,"Small",
IF(Market_Data[[#This Row],[Estimated Concrete Demand (m³)]]&lt;25000,"Medium",
IF(Market_Data[[#This Row],[Estimated Concrete Demand (m³)]]&lt;100000,"Large","Mega"))))</f>
        <v>Large</v>
      </c>
      <c r="P145" s="287" t="str">
        <f t="shared" si="4"/>
        <v>GujRERA</v>
      </c>
    </row>
    <row r="146" spans="1:16">
      <c r="A146" s="129" t="str">
        <f>_xlfn.XLOOKUP(B146,$S$9:$S$14,$T$9:$T$14)&amp;"-"&amp;
IF(E146="Residential/Group Housing","RES",
IF(E146="Commercial","COM",
IF(E146="Mixed Development","MIX",
IF(E146="Plotted Development","PLT","OTH"))))
&amp;"-"&amp;TEXT(COUNTIFS($B$9:B146,B146,$E$9:E146,E146),"0000")</f>
        <v>BHR-RES-0063</v>
      </c>
      <c r="B146" s="322" t="s">
        <v>36</v>
      </c>
      <c r="C146" s="322" t="s">
        <v>36</v>
      </c>
      <c r="D146" s="323" t="s">
        <v>332</v>
      </c>
      <c r="E146" s="132" t="s">
        <v>24</v>
      </c>
      <c r="F146" s="97" t="str">
        <f ca="1">IF(OR(Market_Data[[#This Row],[Start Date]]="",Market_Data[[#This Row],[Completion Date]]=""),"Needs Validation",IF(Market_Data[[#This Row],[Start Date]]&gt;TODAY(),"Planned",IF(Market_Data[[#This Row],[Completion Date]]&lt;TODAY(),"Completed","Ongoing")))</f>
        <v>Completed</v>
      </c>
      <c r="G146" s="324">
        <v>42217</v>
      </c>
      <c r="H146" s="324">
        <v>45930</v>
      </c>
      <c r="I146" s="325">
        <v>44200</v>
      </c>
      <c r="J14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6" s="133">
        <f>_xlfn.XLOOKUP(Market_Data[[#This Row],[Project Type]],tbl_assumptions_market[Project Category (RERA)],tbl_assumptions_market[Concrete Intensity
(m³ / sq m BUA)],"",0)</f>
        <v>0.45</v>
      </c>
      <c r="L146" s="134">
        <f>ROUND(Market_Data[[#This Row],[Estimated Built Up Area (sq m)]]*Market_Data[[#This Row],[Concrete Intensity
(m³ / sq m)]],0)</f>
        <v>19890</v>
      </c>
      <c r="M146" s="135">
        <f>_xlfn.XLOOKUP(Market_Data[[#This Row],[District]],tbl_district_price[District],tbl_district_price[Standard Price
(INR/m³)],"",0)</f>
        <v>5800</v>
      </c>
      <c r="N146" s="364">
        <f>IF(OR(Market_Data[[#This Row],[Estimated Concrete Demand (m³)]]="",Market_Data[[#This Row],[Avg Price per (₹ / m³)]]=""),"",Market_Data[[#This Row],[Estimated Concrete Demand (m³)]]*Market_Data[[#This Row],[Avg Price per (₹ / m³)]]/10000000)</f>
        <v>11.536199999999999</v>
      </c>
      <c r="O146" s="97" t="str">
        <f>IF(Market_Data[[#This Row],[Estimated Concrete Demand (m³)]]="","",
IF(Market_Data[[#This Row],[Estimated Concrete Demand (m³)]]&lt;10000,"Small",
IF(Market_Data[[#This Row],[Estimated Concrete Demand (m³)]]&lt;25000,"Medium",
IF(Market_Data[[#This Row],[Estimated Concrete Demand (m³)]]&lt;100000,"Large","Mega"))))</f>
        <v>Medium</v>
      </c>
      <c r="P146" s="287" t="str">
        <f t="shared" si="4"/>
        <v>GujRERA</v>
      </c>
    </row>
    <row r="147" spans="1:16">
      <c r="A147" s="129" t="str">
        <f>_xlfn.XLOOKUP(B147,$S$9:$S$14,$T$9:$T$14)&amp;"-"&amp;
IF(E147="Residential/Group Housing","RES",
IF(E147="Commercial","COM",
IF(E147="Mixed Development","MIX",
IF(E147="Plotted Development","PLT","OTH"))))
&amp;"-"&amp;TEXT(COUNTIFS($B$9:B147,B147,$E$9:E147,E147),"0000")</f>
        <v>BHR-RES-0064</v>
      </c>
      <c r="B147" s="322" t="s">
        <v>36</v>
      </c>
      <c r="C147" s="322" t="s">
        <v>36</v>
      </c>
      <c r="D147" s="323" t="s">
        <v>333</v>
      </c>
      <c r="E147" s="132" t="s">
        <v>24</v>
      </c>
      <c r="F147" s="97" t="str">
        <f ca="1">IF(OR(Market_Data[[#This Row],[Start Date]]="",Market_Data[[#This Row],[Completion Date]]=""),"Needs Validation",IF(Market_Data[[#This Row],[Start Date]]&gt;TODAY(),"Planned",IF(Market_Data[[#This Row],[Completion Date]]&lt;TODAY(),"Completed","Ongoing")))</f>
        <v>Completed</v>
      </c>
      <c r="G147" s="324">
        <v>43040</v>
      </c>
      <c r="H147" s="324">
        <v>45930</v>
      </c>
      <c r="I147" s="325">
        <v>27400</v>
      </c>
      <c r="J14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7" s="133">
        <f>_xlfn.XLOOKUP(Market_Data[[#This Row],[Project Type]],tbl_assumptions_market[Project Category (RERA)],tbl_assumptions_market[Concrete Intensity
(m³ / sq m BUA)],"",0)</f>
        <v>0.45</v>
      </c>
      <c r="L147" s="134">
        <f>ROUND(Market_Data[[#This Row],[Estimated Built Up Area (sq m)]]*Market_Data[[#This Row],[Concrete Intensity
(m³ / sq m)]],0)</f>
        <v>12330</v>
      </c>
      <c r="M147" s="135">
        <f>_xlfn.XLOOKUP(Market_Data[[#This Row],[District]],tbl_district_price[District],tbl_district_price[Standard Price
(INR/m³)],"",0)</f>
        <v>5800</v>
      </c>
      <c r="N147" s="364">
        <f>IF(OR(Market_Data[[#This Row],[Estimated Concrete Demand (m³)]]="",Market_Data[[#This Row],[Avg Price per (₹ / m³)]]=""),"",Market_Data[[#This Row],[Estimated Concrete Demand (m³)]]*Market_Data[[#This Row],[Avg Price per (₹ / m³)]]/10000000)</f>
        <v>7.1513999999999998</v>
      </c>
      <c r="O147" s="97" t="str">
        <f>IF(Market_Data[[#This Row],[Estimated Concrete Demand (m³)]]="","",
IF(Market_Data[[#This Row],[Estimated Concrete Demand (m³)]]&lt;10000,"Small",
IF(Market_Data[[#This Row],[Estimated Concrete Demand (m³)]]&lt;25000,"Medium",
IF(Market_Data[[#This Row],[Estimated Concrete Demand (m³)]]&lt;100000,"Large","Mega"))))</f>
        <v>Medium</v>
      </c>
      <c r="P147" s="287" t="str">
        <f t="shared" si="4"/>
        <v>GujRERA</v>
      </c>
    </row>
    <row r="148" spans="1:16">
      <c r="A148" s="129" t="str">
        <f>_xlfn.XLOOKUP(B148,$S$9:$S$14,$T$9:$T$14)&amp;"-"&amp;
IF(E148="Residential/Group Housing","RES",
IF(E148="Commercial","COM",
IF(E148="Mixed Development","MIX",
IF(E148="Plotted Development","PLT","OTH"))))
&amp;"-"&amp;TEXT(COUNTIFS($B$9:B148,B148,$E$9:E148,E148),"0000")</f>
        <v>BHR-RES-0065</v>
      </c>
      <c r="B148" s="322" t="s">
        <v>36</v>
      </c>
      <c r="C148" s="322" t="s">
        <v>36</v>
      </c>
      <c r="D148" s="323" t="s">
        <v>334</v>
      </c>
      <c r="E148" s="132" t="s">
        <v>24</v>
      </c>
      <c r="F148" s="97" t="str">
        <f ca="1">IF(OR(Market_Data[[#This Row],[Start Date]]="",Market_Data[[#This Row],[Completion Date]]=""),"Needs Validation",IF(Market_Data[[#This Row],[Start Date]]&gt;TODAY(),"Planned",IF(Market_Data[[#This Row],[Completion Date]]&lt;TODAY(),"Completed","Ongoing")))</f>
        <v>Ongoing</v>
      </c>
      <c r="G148" s="324">
        <v>45047</v>
      </c>
      <c r="H148" s="324">
        <v>47118</v>
      </c>
      <c r="I148" s="325">
        <v>16800</v>
      </c>
      <c r="J14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8" s="133">
        <f>_xlfn.XLOOKUP(Market_Data[[#This Row],[Project Type]],tbl_assumptions_market[Project Category (RERA)],tbl_assumptions_market[Concrete Intensity
(m³ / sq m BUA)],"",0)</f>
        <v>0.45</v>
      </c>
      <c r="L148" s="134">
        <f>ROUND(Market_Data[[#This Row],[Estimated Built Up Area (sq m)]]*Market_Data[[#This Row],[Concrete Intensity
(m³ / sq m)]],0)</f>
        <v>7560</v>
      </c>
      <c r="M148" s="135">
        <f>_xlfn.XLOOKUP(Market_Data[[#This Row],[District]],tbl_district_price[District],tbl_district_price[Standard Price
(INR/m³)],"",0)</f>
        <v>5800</v>
      </c>
      <c r="N148" s="364">
        <f>IF(OR(Market_Data[[#This Row],[Estimated Concrete Demand (m³)]]="",Market_Data[[#This Row],[Avg Price per (₹ / m³)]]=""),"",Market_Data[[#This Row],[Estimated Concrete Demand (m³)]]*Market_Data[[#This Row],[Avg Price per (₹ / m³)]]/10000000)</f>
        <v>4.3848000000000003</v>
      </c>
      <c r="O148" s="97" t="str">
        <f>IF(Market_Data[[#This Row],[Estimated Concrete Demand (m³)]]="","",
IF(Market_Data[[#This Row],[Estimated Concrete Demand (m³)]]&lt;10000,"Small",
IF(Market_Data[[#This Row],[Estimated Concrete Demand (m³)]]&lt;25000,"Medium",
IF(Market_Data[[#This Row],[Estimated Concrete Demand (m³)]]&lt;100000,"Large","Mega"))))</f>
        <v>Small</v>
      </c>
      <c r="P148" s="287" t="str">
        <f t="shared" si="4"/>
        <v>GujRERA</v>
      </c>
    </row>
    <row r="149" spans="1:16">
      <c r="A149" s="129" t="str">
        <f>_xlfn.XLOOKUP(B149,$S$9:$S$14,$T$9:$T$14)&amp;"-"&amp;
IF(E149="Residential/Group Housing","RES",
IF(E149="Commercial","COM",
IF(E149="Mixed Development","MIX",
IF(E149="Plotted Development","PLT","OTH"))))
&amp;"-"&amp;TEXT(COUNTIFS($B$9:B149,B149,$E$9:E149,E149),"0000")</f>
        <v>BHR-COM-0018</v>
      </c>
      <c r="B149" s="322" t="s">
        <v>36</v>
      </c>
      <c r="C149" s="322" t="s">
        <v>36</v>
      </c>
      <c r="D149" s="323" t="s">
        <v>335</v>
      </c>
      <c r="E149" s="132" t="s">
        <v>23</v>
      </c>
      <c r="F149" s="97" t="str">
        <f ca="1">IF(OR(Market_Data[[#This Row],[Start Date]]="",Market_Data[[#This Row],[Completion Date]]=""),"Needs Validation",IF(Market_Data[[#This Row],[Start Date]]&gt;TODAY(),"Planned",IF(Market_Data[[#This Row],[Completion Date]]&lt;TODAY(),"Completed","Ongoing")))</f>
        <v>Completed</v>
      </c>
      <c r="G149" s="324">
        <v>44013</v>
      </c>
      <c r="H149" s="324">
        <v>45016</v>
      </c>
      <c r="I149" s="325">
        <v>2500</v>
      </c>
      <c r="J14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9" s="133">
        <f>_xlfn.XLOOKUP(Market_Data[[#This Row],[Project Type]],tbl_assumptions_market[Project Category (RERA)],tbl_assumptions_market[Concrete Intensity
(m³ / sq m BUA)],"",0)</f>
        <v>0.5</v>
      </c>
      <c r="L149" s="134">
        <f>ROUND(Market_Data[[#This Row],[Estimated Built Up Area (sq m)]]*Market_Data[[#This Row],[Concrete Intensity
(m³ / sq m)]],0)</f>
        <v>1250</v>
      </c>
      <c r="M149" s="135">
        <f>_xlfn.XLOOKUP(Market_Data[[#This Row],[District]],tbl_district_price[District],tbl_district_price[Standard Price
(INR/m³)],"",0)</f>
        <v>5800</v>
      </c>
      <c r="N149" s="364">
        <f>IF(OR(Market_Data[[#This Row],[Estimated Concrete Demand (m³)]]="",Market_Data[[#This Row],[Avg Price per (₹ / m³)]]=""),"",Market_Data[[#This Row],[Estimated Concrete Demand (m³)]]*Market_Data[[#This Row],[Avg Price per (₹ / m³)]]/10000000)</f>
        <v>0.72499999999999998</v>
      </c>
      <c r="O149" s="97" t="str">
        <f>IF(Market_Data[[#This Row],[Estimated Concrete Demand (m³)]]="","",
IF(Market_Data[[#This Row],[Estimated Concrete Demand (m³)]]&lt;10000,"Small",
IF(Market_Data[[#This Row],[Estimated Concrete Demand (m³)]]&lt;25000,"Medium",
IF(Market_Data[[#This Row],[Estimated Concrete Demand (m³)]]&lt;100000,"Large","Mega"))))</f>
        <v>Small</v>
      </c>
      <c r="P149" s="287" t="str">
        <f t="shared" si="4"/>
        <v>GujRERA</v>
      </c>
    </row>
    <row r="150" spans="1:16">
      <c r="A150" s="129" t="str">
        <f>_xlfn.XLOOKUP(B150,$S$9:$S$14,$T$9:$T$14)&amp;"-"&amp;
IF(E150="Residential/Group Housing","RES",
IF(E150="Commercial","COM",
IF(E150="Mixed Development","MIX",
IF(E150="Plotted Development","PLT","OTH"))))
&amp;"-"&amp;TEXT(COUNTIFS($B$9:B150,B150,$E$9:E150,E150),"0000")</f>
        <v>BHR-RES-0066</v>
      </c>
      <c r="B150" s="322" t="s">
        <v>36</v>
      </c>
      <c r="C150" s="322" t="s">
        <v>36</v>
      </c>
      <c r="D150" s="323" t="s">
        <v>336</v>
      </c>
      <c r="E150" s="132" t="s">
        <v>24</v>
      </c>
      <c r="F150" s="97" t="str">
        <f ca="1">IF(OR(Market_Data[[#This Row],[Start Date]]="",Market_Data[[#This Row],[Completion Date]]=""),"Needs Validation",IF(Market_Data[[#This Row],[Start Date]]&gt;TODAY(),"Planned",IF(Market_Data[[#This Row],[Completion Date]]&lt;TODAY(),"Completed","Ongoing")))</f>
        <v>Ongoing</v>
      </c>
      <c r="G150" s="324">
        <v>45688</v>
      </c>
      <c r="H150" s="324">
        <v>46996</v>
      </c>
      <c r="I150" s="325">
        <v>17200</v>
      </c>
      <c r="J15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0" s="133">
        <f>_xlfn.XLOOKUP(Market_Data[[#This Row],[Project Type]],tbl_assumptions_market[Project Category (RERA)],tbl_assumptions_market[Concrete Intensity
(m³ / sq m BUA)],"",0)</f>
        <v>0.45</v>
      </c>
      <c r="L150" s="134">
        <f>ROUND(Market_Data[[#This Row],[Estimated Built Up Area (sq m)]]*Market_Data[[#This Row],[Concrete Intensity
(m³ / sq m)]],0)</f>
        <v>7740</v>
      </c>
      <c r="M150" s="135">
        <f>_xlfn.XLOOKUP(Market_Data[[#This Row],[District]],tbl_district_price[District],tbl_district_price[Standard Price
(INR/m³)],"",0)</f>
        <v>5800</v>
      </c>
      <c r="N150" s="364">
        <f>IF(OR(Market_Data[[#This Row],[Estimated Concrete Demand (m³)]]="",Market_Data[[#This Row],[Avg Price per (₹ / m³)]]=""),"",Market_Data[[#This Row],[Estimated Concrete Demand (m³)]]*Market_Data[[#This Row],[Avg Price per (₹ / m³)]]/10000000)</f>
        <v>4.4892000000000003</v>
      </c>
      <c r="O150" s="97" t="str">
        <f>IF(Market_Data[[#This Row],[Estimated Concrete Demand (m³)]]="","",
IF(Market_Data[[#This Row],[Estimated Concrete Demand (m³)]]&lt;10000,"Small",
IF(Market_Data[[#This Row],[Estimated Concrete Demand (m³)]]&lt;25000,"Medium",
IF(Market_Data[[#This Row],[Estimated Concrete Demand (m³)]]&lt;100000,"Large","Mega"))))</f>
        <v>Small</v>
      </c>
      <c r="P150" s="287" t="str">
        <f t="shared" si="4"/>
        <v>GujRERA</v>
      </c>
    </row>
    <row r="151" spans="1:16">
      <c r="A151" s="129" t="str">
        <f>_xlfn.XLOOKUP(B151,$S$9:$S$14,$T$9:$T$14)&amp;"-"&amp;
IF(E151="Residential/Group Housing","RES",
IF(E151="Commercial","COM",
IF(E151="Mixed Development","MIX",
IF(E151="Plotted Development","PLT","OTH"))))
&amp;"-"&amp;TEXT(COUNTIFS($B$9:B151,B151,$E$9:E151,E151),"0000")</f>
        <v>BHR-MIX-0051</v>
      </c>
      <c r="B151" s="322" t="s">
        <v>36</v>
      </c>
      <c r="C151" s="322" t="s">
        <v>36</v>
      </c>
      <c r="D151" s="323" t="s">
        <v>337</v>
      </c>
      <c r="E151" s="132" t="s">
        <v>25</v>
      </c>
      <c r="F151" s="97" t="str">
        <f ca="1">IF(OR(Market_Data[[#This Row],[Start Date]]="",Market_Data[[#This Row],[Completion Date]]=""),"Needs Validation",IF(Market_Data[[#This Row],[Start Date]]&gt;TODAY(),"Planned",IF(Market_Data[[#This Row],[Completion Date]]&lt;TODAY(),"Completed","Ongoing")))</f>
        <v>Ongoing</v>
      </c>
      <c r="G151" s="324">
        <v>44666</v>
      </c>
      <c r="H151" s="324">
        <v>46477</v>
      </c>
      <c r="I151" s="325">
        <v>2800</v>
      </c>
      <c r="J15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51" s="133">
        <f>_xlfn.XLOOKUP(Market_Data[[#This Row],[Project Type]],tbl_assumptions_market[Project Category (RERA)],tbl_assumptions_market[Concrete Intensity
(m³ / sq m BUA)],"",0)</f>
        <v>0.42</v>
      </c>
      <c r="L151" s="134">
        <f>ROUND(Market_Data[[#This Row],[Estimated Built Up Area (sq m)]]*Market_Data[[#This Row],[Concrete Intensity
(m³ / sq m)]],0)</f>
        <v>1176</v>
      </c>
      <c r="M151" s="135">
        <f>_xlfn.XLOOKUP(Market_Data[[#This Row],[District]],tbl_district_price[District],tbl_district_price[Standard Price
(INR/m³)],"",0)</f>
        <v>5800</v>
      </c>
      <c r="N151" s="364">
        <f>IF(OR(Market_Data[[#This Row],[Estimated Concrete Demand (m³)]]="",Market_Data[[#This Row],[Avg Price per (₹ / m³)]]=""),"",Market_Data[[#This Row],[Estimated Concrete Demand (m³)]]*Market_Data[[#This Row],[Avg Price per (₹ / m³)]]/10000000)</f>
        <v>0.68208000000000002</v>
      </c>
      <c r="O151" s="97" t="str">
        <f>IF(Market_Data[[#This Row],[Estimated Concrete Demand (m³)]]="","",
IF(Market_Data[[#This Row],[Estimated Concrete Demand (m³)]]&lt;10000,"Small",
IF(Market_Data[[#This Row],[Estimated Concrete Demand (m³)]]&lt;25000,"Medium",
IF(Market_Data[[#This Row],[Estimated Concrete Demand (m³)]]&lt;100000,"Large","Mega"))))</f>
        <v>Small</v>
      </c>
      <c r="P151" s="287" t="str">
        <f t="shared" si="4"/>
        <v>GujRERA</v>
      </c>
    </row>
    <row r="152" spans="1:16">
      <c r="A152" s="129" t="str">
        <f>_xlfn.XLOOKUP(B152,$S$9:$S$14,$T$9:$T$14)&amp;"-"&amp;
IF(E152="Residential/Group Housing","RES",
IF(E152="Commercial","COM",
IF(E152="Mixed Development","MIX",
IF(E152="Plotted Development","PLT","OTH"))))
&amp;"-"&amp;TEXT(COUNTIFS($B$9:B152,B152,$E$9:E152,E152),"0000")</f>
        <v>BHR-RES-0067</v>
      </c>
      <c r="B152" s="322" t="s">
        <v>36</v>
      </c>
      <c r="C152" s="322" t="s">
        <v>36</v>
      </c>
      <c r="D152" s="323" t="s">
        <v>338</v>
      </c>
      <c r="E152" s="132" t="s">
        <v>24</v>
      </c>
      <c r="F152" s="97" t="str">
        <f ca="1">IF(OR(Market_Data[[#This Row],[Start Date]]="",Market_Data[[#This Row],[Completion Date]]=""),"Needs Validation",IF(Market_Data[[#This Row],[Start Date]]&gt;TODAY(),"Planned",IF(Market_Data[[#This Row],[Completion Date]]&lt;TODAY(),"Completed","Ongoing")))</f>
        <v>Ongoing</v>
      </c>
      <c r="G152" s="324">
        <v>45809</v>
      </c>
      <c r="H152" s="324">
        <v>46934</v>
      </c>
      <c r="I152" s="325">
        <v>13300</v>
      </c>
      <c r="J15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2" s="133">
        <f>_xlfn.XLOOKUP(Market_Data[[#This Row],[Project Type]],tbl_assumptions_market[Project Category (RERA)],tbl_assumptions_market[Concrete Intensity
(m³ / sq m BUA)],"",0)</f>
        <v>0.45</v>
      </c>
      <c r="L152" s="134">
        <f>ROUND(Market_Data[[#This Row],[Estimated Built Up Area (sq m)]]*Market_Data[[#This Row],[Concrete Intensity
(m³ / sq m)]],0)</f>
        <v>5985</v>
      </c>
      <c r="M152" s="135">
        <f>_xlfn.XLOOKUP(Market_Data[[#This Row],[District]],tbl_district_price[District],tbl_district_price[Standard Price
(INR/m³)],"",0)</f>
        <v>5800</v>
      </c>
      <c r="N152" s="364">
        <f>IF(OR(Market_Data[[#This Row],[Estimated Concrete Demand (m³)]]="",Market_Data[[#This Row],[Avg Price per (₹ / m³)]]=""),"",Market_Data[[#This Row],[Estimated Concrete Demand (m³)]]*Market_Data[[#This Row],[Avg Price per (₹ / m³)]]/10000000)</f>
        <v>3.4712999999999998</v>
      </c>
      <c r="O152" s="97" t="str">
        <f>IF(Market_Data[[#This Row],[Estimated Concrete Demand (m³)]]="","",
IF(Market_Data[[#This Row],[Estimated Concrete Demand (m³)]]&lt;10000,"Small",
IF(Market_Data[[#This Row],[Estimated Concrete Demand (m³)]]&lt;25000,"Medium",
IF(Market_Data[[#This Row],[Estimated Concrete Demand (m³)]]&lt;100000,"Large","Mega"))))</f>
        <v>Small</v>
      </c>
      <c r="P152" s="287" t="str">
        <f t="shared" si="4"/>
        <v>GujRERA</v>
      </c>
    </row>
    <row r="153" spans="1:16">
      <c r="A153" s="129" t="str">
        <f>_xlfn.XLOOKUP(B153,$S$9:$S$14,$T$9:$T$14)&amp;"-"&amp;
IF(E153="Residential/Group Housing","RES",
IF(E153="Commercial","COM",
IF(E153="Mixed Development","MIX",
IF(E153="Plotted Development","PLT","OTH"))))
&amp;"-"&amp;TEXT(COUNTIFS($B$9:B153,B153,$E$9:E153,E153),"0000")</f>
        <v>BHR-MIX-0052</v>
      </c>
      <c r="B153" s="322" t="s">
        <v>36</v>
      </c>
      <c r="C153" s="322" t="s">
        <v>36</v>
      </c>
      <c r="D153" s="323" t="s">
        <v>339</v>
      </c>
      <c r="E153" s="132" t="s">
        <v>25</v>
      </c>
      <c r="F153" s="97" t="str">
        <f ca="1">IF(OR(Market_Data[[#This Row],[Start Date]]="",Market_Data[[#This Row],[Completion Date]]=""),"Needs Validation",IF(Market_Data[[#This Row],[Start Date]]&gt;TODAY(),"Planned",IF(Market_Data[[#This Row],[Completion Date]]&lt;TODAY(),"Completed","Ongoing")))</f>
        <v>Completed</v>
      </c>
      <c r="G153" s="324">
        <v>43210</v>
      </c>
      <c r="H153" s="324">
        <v>45199</v>
      </c>
      <c r="I153" s="325">
        <v>15700</v>
      </c>
      <c r="J15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3" s="133">
        <f>_xlfn.XLOOKUP(Market_Data[[#This Row],[Project Type]],tbl_assumptions_market[Project Category (RERA)],tbl_assumptions_market[Concrete Intensity
(m³ / sq m BUA)],"",0)</f>
        <v>0.42</v>
      </c>
      <c r="L153" s="134">
        <f>ROUND(Market_Data[[#This Row],[Estimated Built Up Area (sq m)]]*Market_Data[[#This Row],[Concrete Intensity
(m³ / sq m)]],0)</f>
        <v>6594</v>
      </c>
      <c r="M153" s="135">
        <f>_xlfn.XLOOKUP(Market_Data[[#This Row],[District]],tbl_district_price[District],tbl_district_price[Standard Price
(INR/m³)],"",0)</f>
        <v>5800</v>
      </c>
      <c r="N153" s="364">
        <f>IF(OR(Market_Data[[#This Row],[Estimated Concrete Demand (m³)]]="",Market_Data[[#This Row],[Avg Price per (₹ / m³)]]=""),"",Market_Data[[#This Row],[Estimated Concrete Demand (m³)]]*Market_Data[[#This Row],[Avg Price per (₹ / m³)]]/10000000)</f>
        <v>3.8245200000000001</v>
      </c>
      <c r="O153" s="97" t="str">
        <f>IF(Market_Data[[#This Row],[Estimated Concrete Demand (m³)]]="","",
IF(Market_Data[[#This Row],[Estimated Concrete Demand (m³)]]&lt;10000,"Small",
IF(Market_Data[[#This Row],[Estimated Concrete Demand (m³)]]&lt;25000,"Medium",
IF(Market_Data[[#This Row],[Estimated Concrete Demand (m³)]]&lt;100000,"Large","Mega"))))</f>
        <v>Small</v>
      </c>
      <c r="P153" s="287" t="str">
        <f t="shared" si="4"/>
        <v>GujRERA</v>
      </c>
    </row>
    <row r="154" spans="1:16">
      <c r="A154" s="129" t="str">
        <f>_xlfn.XLOOKUP(B154,$S$9:$S$14,$T$9:$T$14)&amp;"-"&amp;
IF(E154="Residential/Group Housing","RES",
IF(E154="Commercial","COM",
IF(E154="Mixed Development","MIX",
IF(E154="Plotted Development","PLT","OTH"))))
&amp;"-"&amp;TEXT(COUNTIFS($B$9:B154,B154,$E$9:E154,E154),"0000")</f>
        <v>BHR-MIX-0053</v>
      </c>
      <c r="B154" s="322" t="s">
        <v>36</v>
      </c>
      <c r="C154" s="322" t="s">
        <v>36</v>
      </c>
      <c r="D154" s="323" t="s">
        <v>340</v>
      </c>
      <c r="E154" s="132" t="s">
        <v>25</v>
      </c>
      <c r="F154" s="97" t="str">
        <f ca="1">IF(OR(Market_Data[[#This Row],[Start Date]]="",Market_Data[[#This Row],[Completion Date]]=""),"Needs Validation",IF(Market_Data[[#This Row],[Start Date]]&gt;TODAY(),"Planned",IF(Market_Data[[#This Row],[Completion Date]]&lt;TODAY(),"Completed","Ongoing")))</f>
        <v>Ongoing</v>
      </c>
      <c r="G154" s="324">
        <v>45261</v>
      </c>
      <c r="H154" s="324">
        <v>47573</v>
      </c>
      <c r="I154" s="325">
        <v>59500</v>
      </c>
      <c r="J15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4" s="133">
        <f>_xlfn.XLOOKUP(Market_Data[[#This Row],[Project Type]],tbl_assumptions_market[Project Category (RERA)],tbl_assumptions_market[Concrete Intensity
(m³ / sq m BUA)],"",0)</f>
        <v>0.42</v>
      </c>
      <c r="L154" s="134">
        <f>ROUND(Market_Data[[#This Row],[Estimated Built Up Area (sq m)]]*Market_Data[[#This Row],[Concrete Intensity
(m³ / sq m)]],0)</f>
        <v>24990</v>
      </c>
      <c r="M154" s="135">
        <f>_xlfn.XLOOKUP(Market_Data[[#This Row],[District]],tbl_district_price[District],tbl_district_price[Standard Price
(INR/m³)],"",0)</f>
        <v>5800</v>
      </c>
      <c r="N154" s="364">
        <f>IF(OR(Market_Data[[#This Row],[Estimated Concrete Demand (m³)]]="",Market_Data[[#This Row],[Avg Price per (₹ / m³)]]=""),"",Market_Data[[#This Row],[Estimated Concrete Demand (m³)]]*Market_Data[[#This Row],[Avg Price per (₹ / m³)]]/10000000)</f>
        <v>14.494199999999999</v>
      </c>
      <c r="O154" s="97" t="str">
        <f>IF(Market_Data[[#This Row],[Estimated Concrete Demand (m³)]]="","",
IF(Market_Data[[#This Row],[Estimated Concrete Demand (m³)]]&lt;10000,"Small",
IF(Market_Data[[#This Row],[Estimated Concrete Demand (m³)]]&lt;25000,"Medium",
IF(Market_Data[[#This Row],[Estimated Concrete Demand (m³)]]&lt;100000,"Large","Mega"))))</f>
        <v>Medium</v>
      </c>
      <c r="P154" s="287" t="str">
        <f t="shared" si="4"/>
        <v>GujRERA</v>
      </c>
    </row>
    <row r="155" spans="1:16">
      <c r="A155" s="129" t="str">
        <f>_xlfn.XLOOKUP(B155,$S$9:$S$14,$T$9:$T$14)&amp;"-"&amp;
IF(E155="Residential/Group Housing","RES",
IF(E155="Commercial","COM",
IF(E155="Mixed Development","MIX",
IF(E155="Plotted Development","PLT","OTH"))))
&amp;"-"&amp;TEXT(COUNTIFS($B$9:B155,B155,$E$9:E155,E155),"0000")</f>
        <v>BHR-RES-0068</v>
      </c>
      <c r="B155" s="322" t="s">
        <v>36</v>
      </c>
      <c r="C155" s="322" t="s">
        <v>36</v>
      </c>
      <c r="D155" s="323" t="s">
        <v>341</v>
      </c>
      <c r="E155" s="132" t="s">
        <v>24</v>
      </c>
      <c r="F155" s="97" t="str">
        <f ca="1">IF(OR(Market_Data[[#This Row],[Start Date]]="",Market_Data[[#This Row],[Completion Date]]=""),"Needs Validation",IF(Market_Data[[#This Row],[Start Date]]&gt;TODAY(),"Planned",IF(Market_Data[[#This Row],[Completion Date]]&lt;TODAY(),"Completed","Ongoing")))</f>
        <v>Completed</v>
      </c>
      <c r="G155" s="324">
        <v>42736</v>
      </c>
      <c r="H155" s="324">
        <v>44255</v>
      </c>
      <c r="I155" s="325">
        <v>59900</v>
      </c>
      <c r="J15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5" s="133">
        <f>_xlfn.XLOOKUP(Market_Data[[#This Row],[Project Type]],tbl_assumptions_market[Project Category (RERA)],tbl_assumptions_market[Concrete Intensity
(m³ / sq m BUA)],"",0)</f>
        <v>0.45</v>
      </c>
      <c r="L155" s="134">
        <f>ROUND(Market_Data[[#This Row],[Estimated Built Up Area (sq m)]]*Market_Data[[#This Row],[Concrete Intensity
(m³ / sq m)]],0)</f>
        <v>26955</v>
      </c>
      <c r="M155" s="135">
        <f>_xlfn.XLOOKUP(Market_Data[[#This Row],[District]],tbl_district_price[District],tbl_district_price[Standard Price
(INR/m³)],"",0)</f>
        <v>5800</v>
      </c>
      <c r="N155" s="364">
        <f>IF(OR(Market_Data[[#This Row],[Estimated Concrete Demand (m³)]]="",Market_Data[[#This Row],[Avg Price per (₹ / m³)]]=""),"",Market_Data[[#This Row],[Estimated Concrete Demand (m³)]]*Market_Data[[#This Row],[Avg Price per (₹ / m³)]]/10000000)</f>
        <v>15.633900000000001</v>
      </c>
      <c r="O155" s="97" t="str">
        <f>IF(Market_Data[[#This Row],[Estimated Concrete Demand (m³)]]="","",
IF(Market_Data[[#This Row],[Estimated Concrete Demand (m³)]]&lt;10000,"Small",
IF(Market_Data[[#This Row],[Estimated Concrete Demand (m³)]]&lt;25000,"Medium",
IF(Market_Data[[#This Row],[Estimated Concrete Demand (m³)]]&lt;100000,"Large","Mega"))))</f>
        <v>Large</v>
      </c>
      <c r="P155" s="287" t="str">
        <f t="shared" si="4"/>
        <v>GujRERA</v>
      </c>
    </row>
    <row r="156" spans="1:16">
      <c r="A156" s="129" t="str">
        <f>_xlfn.XLOOKUP(B156,$S$9:$S$14,$T$9:$T$14)&amp;"-"&amp;
IF(E156="Residential/Group Housing","RES",
IF(E156="Commercial","COM",
IF(E156="Mixed Development","MIX",
IF(E156="Plotted Development","PLT","OTH"))))
&amp;"-"&amp;TEXT(COUNTIFS($B$9:B156,B156,$E$9:E156,E156),"0000")</f>
        <v>BHR-MIX-0054</v>
      </c>
      <c r="B156" s="322" t="s">
        <v>36</v>
      </c>
      <c r="C156" s="322" t="s">
        <v>36</v>
      </c>
      <c r="D156" s="323" t="s">
        <v>342</v>
      </c>
      <c r="E156" s="132" t="s">
        <v>25</v>
      </c>
      <c r="F156" s="97" t="str">
        <f ca="1">IF(OR(Market_Data[[#This Row],[Start Date]]="",Market_Data[[#This Row],[Completion Date]]=""),"Needs Validation",IF(Market_Data[[#This Row],[Start Date]]&gt;TODAY(),"Planned",IF(Market_Data[[#This Row],[Completion Date]]&lt;TODAY(),"Completed","Ongoing")))</f>
        <v>Ongoing</v>
      </c>
      <c r="G156" s="324">
        <v>44650</v>
      </c>
      <c r="H156" s="324">
        <v>46387</v>
      </c>
      <c r="I156" s="325">
        <v>51500</v>
      </c>
      <c r="J15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6" s="133">
        <f>_xlfn.XLOOKUP(Market_Data[[#This Row],[Project Type]],tbl_assumptions_market[Project Category (RERA)],tbl_assumptions_market[Concrete Intensity
(m³ / sq m BUA)],"",0)</f>
        <v>0.42</v>
      </c>
      <c r="L156" s="134">
        <f>ROUND(Market_Data[[#This Row],[Estimated Built Up Area (sq m)]]*Market_Data[[#This Row],[Concrete Intensity
(m³ / sq m)]],0)</f>
        <v>21630</v>
      </c>
      <c r="M156" s="135">
        <f>_xlfn.XLOOKUP(Market_Data[[#This Row],[District]],tbl_district_price[District],tbl_district_price[Standard Price
(INR/m³)],"",0)</f>
        <v>5800</v>
      </c>
      <c r="N156" s="364">
        <f>IF(OR(Market_Data[[#This Row],[Estimated Concrete Demand (m³)]]="",Market_Data[[#This Row],[Avg Price per (₹ / m³)]]=""),"",Market_Data[[#This Row],[Estimated Concrete Demand (m³)]]*Market_Data[[#This Row],[Avg Price per (₹ / m³)]]/10000000)</f>
        <v>12.545400000000001</v>
      </c>
      <c r="O156" s="97" t="str">
        <f>IF(Market_Data[[#This Row],[Estimated Concrete Demand (m³)]]="","",
IF(Market_Data[[#This Row],[Estimated Concrete Demand (m³)]]&lt;10000,"Small",
IF(Market_Data[[#This Row],[Estimated Concrete Demand (m³)]]&lt;25000,"Medium",
IF(Market_Data[[#This Row],[Estimated Concrete Demand (m³)]]&lt;100000,"Large","Mega"))))</f>
        <v>Medium</v>
      </c>
      <c r="P156" s="287" t="str">
        <f t="shared" si="4"/>
        <v>GujRERA</v>
      </c>
    </row>
    <row r="157" spans="1:16">
      <c r="A157" s="129" t="str">
        <f>_xlfn.XLOOKUP(B157,$S$9:$S$14,$T$9:$T$14)&amp;"-"&amp;
IF(E157="Residential/Group Housing","RES",
IF(E157="Commercial","COM",
IF(E157="Mixed Development","MIX",
IF(E157="Plotted Development","PLT","OTH"))))
&amp;"-"&amp;TEXT(COUNTIFS($B$9:B157,B157,$E$9:E157,E157),"0000")</f>
        <v>BHR-RES-0069</v>
      </c>
      <c r="B157" s="322" t="s">
        <v>36</v>
      </c>
      <c r="C157" s="322" t="s">
        <v>36</v>
      </c>
      <c r="D157" s="323" t="s">
        <v>343</v>
      </c>
      <c r="E157" s="132" t="s">
        <v>24</v>
      </c>
      <c r="F157" s="97" t="str">
        <f ca="1">IF(OR(Market_Data[[#This Row],[Start Date]]="",Market_Data[[#This Row],[Completion Date]]=""),"Needs Validation",IF(Market_Data[[#This Row],[Start Date]]&gt;TODAY(),"Planned",IF(Market_Data[[#This Row],[Completion Date]]&lt;TODAY(),"Completed","Ongoing")))</f>
        <v>Completed</v>
      </c>
      <c r="G157" s="324">
        <v>42247</v>
      </c>
      <c r="H157" s="324">
        <v>45473</v>
      </c>
      <c r="I157" s="325">
        <v>31200</v>
      </c>
      <c r="J15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7" s="133">
        <f>_xlfn.XLOOKUP(Market_Data[[#This Row],[Project Type]],tbl_assumptions_market[Project Category (RERA)],tbl_assumptions_market[Concrete Intensity
(m³ / sq m BUA)],"",0)</f>
        <v>0.45</v>
      </c>
      <c r="L157" s="134">
        <f>ROUND(Market_Data[[#This Row],[Estimated Built Up Area (sq m)]]*Market_Data[[#This Row],[Concrete Intensity
(m³ / sq m)]],0)</f>
        <v>14040</v>
      </c>
      <c r="M157" s="135">
        <f>_xlfn.XLOOKUP(Market_Data[[#This Row],[District]],tbl_district_price[District],tbl_district_price[Standard Price
(INR/m³)],"",0)</f>
        <v>5800</v>
      </c>
      <c r="N157" s="364">
        <f>IF(OR(Market_Data[[#This Row],[Estimated Concrete Demand (m³)]]="",Market_Data[[#This Row],[Avg Price per (₹ / m³)]]=""),"",Market_Data[[#This Row],[Estimated Concrete Demand (m³)]]*Market_Data[[#This Row],[Avg Price per (₹ / m³)]]/10000000)</f>
        <v>8.1432000000000002</v>
      </c>
      <c r="O157" s="97" t="str">
        <f>IF(Market_Data[[#This Row],[Estimated Concrete Demand (m³)]]="","",
IF(Market_Data[[#This Row],[Estimated Concrete Demand (m³)]]&lt;10000,"Small",
IF(Market_Data[[#This Row],[Estimated Concrete Demand (m³)]]&lt;25000,"Medium",
IF(Market_Data[[#This Row],[Estimated Concrete Demand (m³)]]&lt;100000,"Large","Mega"))))</f>
        <v>Medium</v>
      </c>
      <c r="P157" s="287" t="str">
        <f t="shared" si="4"/>
        <v>GujRERA</v>
      </c>
    </row>
    <row r="158" spans="1:16">
      <c r="A158" s="129" t="str">
        <f>_xlfn.XLOOKUP(B158,$S$9:$S$14,$T$9:$T$14)&amp;"-"&amp;
IF(E158="Residential/Group Housing","RES",
IF(E158="Commercial","COM",
IF(E158="Mixed Development","MIX",
IF(E158="Plotted Development","PLT","OTH"))))
&amp;"-"&amp;TEXT(COUNTIFS($B$9:B158,B158,$E$9:E158,E158),"0000")</f>
        <v>BHR-COM-0019</v>
      </c>
      <c r="B158" s="322" t="s">
        <v>36</v>
      </c>
      <c r="C158" s="322" t="s">
        <v>36</v>
      </c>
      <c r="D158" s="323" t="s">
        <v>344</v>
      </c>
      <c r="E158" s="132" t="s">
        <v>23</v>
      </c>
      <c r="F158" s="97" t="str">
        <f ca="1">IF(OR(Market_Data[[#This Row],[Start Date]]="",Market_Data[[#This Row],[Completion Date]]=""),"Needs Validation",IF(Market_Data[[#This Row],[Start Date]]&gt;TODAY(),"Planned",IF(Market_Data[[#This Row],[Completion Date]]&lt;TODAY(),"Completed","Ongoing")))</f>
        <v>Completed</v>
      </c>
      <c r="G158" s="324">
        <v>43481</v>
      </c>
      <c r="H158" s="324">
        <v>45565</v>
      </c>
      <c r="I158" s="325">
        <v>14700</v>
      </c>
      <c r="J15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8" s="133">
        <f>_xlfn.XLOOKUP(Market_Data[[#This Row],[Project Type]],tbl_assumptions_market[Project Category (RERA)],tbl_assumptions_market[Concrete Intensity
(m³ / sq m BUA)],"",0)</f>
        <v>0.5</v>
      </c>
      <c r="L158" s="134">
        <f>ROUND(Market_Data[[#This Row],[Estimated Built Up Area (sq m)]]*Market_Data[[#This Row],[Concrete Intensity
(m³ / sq m)]],0)</f>
        <v>7350</v>
      </c>
      <c r="M158" s="135">
        <f>_xlfn.XLOOKUP(Market_Data[[#This Row],[District]],tbl_district_price[District],tbl_district_price[Standard Price
(INR/m³)],"",0)</f>
        <v>5800</v>
      </c>
      <c r="N158" s="364">
        <f>IF(OR(Market_Data[[#This Row],[Estimated Concrete Demand (m³)]]="",Market_Data[[#This Row],[Avg Price per (₹ / m³)]]=""),"",Market_Data[[#This Row],[Estimated Concrete Demand (m³)]]*Market_Data[[#This Row],[Avg Price per (₹ / m³)]]/10000000)</f>
        <v>4.2629999999999999</v>
      </c>
      <c r="O158" s="97" t="str">
        <f>IF(Market_Data[[#This Row],[Estimated Concrete Demand (m³)]]="","",
IF(Market_Data[[#This Row],[Estimated Concrete Demand (m³)]]&lt;10000,"Small",
IF(Market_Data[[#This Row],[Estimated Concrete Demand (m³)]]&lt;25000,"Medium",
IF(Market_Data[[#This Row],[Estimated Concrete Demand (m³)]]&lt;100000,"Large","Mega"))))</f>
        <v>Small</v>
      </c>
      <c r="P158" s="287" t="str">
        <f t="shared" si="4"/>
        <v>GujRERA</v>
      </c>
    </row>
    <row r="159" spans="1:16">
      <c r="A159" s="129" t="str">
        <f>_xlfn.XLOOKUP(B159,$S$9:$S$14,$T$9:$T$14)&amp;"-"&amp;
IF(E159="Residential/Group Housing","RES",
IF(E159="Commercial","COM",
IF(E159="Mixed Development","MIX",
IF(E159="Plotted Development","PLT","OTH"))))
&amp;"-"&amp;TEXT(COUNTIFS($B$9:B159,B159,$E$9:E159,E159),"0000")</f>
        <v>BHR-RES-0070</v>
      </c>
      <c r="B159" s="322" t="s">
        <v>36</v>
      </c>
      <c r="C159" s="322" t="s">
        <v>36</v>
      </c>
      <c r="D159" s="323" t="s">
        <v>345</v>
      </c>
      <c r="E159" s="132" t="s">
        <v>24</v>
      </c>
      <c r="F159" s="97" t="str">
        <f ca="1">IF(OR(Market_Data[[#This Row],[Start Date]]="",Market_Data[[#This Row],[Completion Date]]=""),"Needs Validation",IF(Market_Data[[#This Row],[Start Date]]&gt;TODAY(),"Planned",IF(Market_Data[[#This Row],[Completion Date]]&lt;TODAY(),"Completed","Ongoing")))</f>
        <v>Ongoing</v>
      </c>
      <c r="G159" s="324">
        <v>45413</v>
      </c>
      <c r="H159" s="324">
        <v>47118</v>
      </c>
      <c r="I159" s="325">
        <v>26300</v>
      </c>
      <c r="J15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9" s="133">
        <f>_xlfn.XLOOKUP(Market_Data[[#This Row],[Project Type]],tbl_assumptions_market[Project Category (RERA)],tbl_assumptions_market[Concrete Intensity
(m³ / sq m BUA)],"",0)</f>
        <v>0.45</v>
      </c>
      <c r="L159" s="134">
        <f>ROUND(Market_Data[[#This Row],[Estimated Built Up Area (sq m)]]*Market_Data[[#This Row],[Concrete Intensity
(m³ / sq m)]],0)</f>
        <v>11835</v>
      </c>
      <c r="M159" s="135">
        <f>_xlfn.XLOOKUP(Market_Data[[#This Row],[District]],tbl_district_price[District],tbl_district_price[Standard Price
(INR/m³)],"",0)</f>
        <v>5800</v>
      </c>
      <c r="N159" s="364">
        <f>IF(OR(Market_Data[[#This Row],[Estimated Concrete Demand (m³)]]="",Market_Data[[#This Row],[Avg Price per (₹ / m³)]]=""),"",Market_Data[[#This Row],[Estimated Concrete Demand (m³)]]*Market_Data[[#This Row],[Avg Price per (₹ / m³)]]/10000000)</f>
        <v>6.8643000000000001</v>
      </c>
      <c r="O159" s="97" t="str">
        <f>IF(Market_Data[[#This Row],[Estimated Concrete Demand (m³)]]="","",
IF(Market_Data[[#This Row],[Estimated Concrete Demand (m³)]]&lt;10000,"Small",
IF(Market_Data[[#This Row],[Estimated Concrete Demand (m³)]]&lt;25000,"Medium",
IF(Market_Data[[#This Row],[Estimated Concrete Demand (m³)]]&lt;100000,"Large","Mega"))))</f>
        <v>Medium</v>
      </c>
      <c r="P159" s="287" t="str">
        <f t="shared" si="4"/>
        <v>GujRERA</v>
      </c>
    </row>
    <row r="160" spans="1:16">
      <c r="A160" s="129" t="str">
        <f>_xlfn.XLOOKUP(B160,$S$9:$S$14,$T$9:$T$14)&amp;"-"&amp;
IF(E160="Residential/Group Housing","RES",
IF(E160="Commercial","COM",
IF(E160="Mixed Development","MIX",
IF(E160="Plotted Development","PLT","OTH"))))
&amp;"-"&amp;TEXT(COUNTIFS($B$9:B160,B160,$E$9:E160,E160),"0000")</f>
        <v>BHR-RES-0071</v>
      </c>
      <c r="B160" s="322" t="s">
        <v>36</v>
      </c>
      <c r="C160" s="322" t="s">
        <v>36</v>
      </c>
      <c r="D160" s="323" t="s">
        <v>346</v>
      </c>
      <c r="E160" s="132" t="s">
        <v>24</v>
      </c>
      <c r="F160" s="97" t="str">
        <f ca="1">IF(OR(Market_Data[[#This Row],[Start Date]]="",Market_Data[[#This Row],[Completion Date]]=""),"Needs Validation",IF(Market_Data[[#This Row],[Start Date]]&gt;TODAY(),"Planned",IF(Market_Data[[#This Row],[Completion Date]]&lt;TODAY(),"Completed","Ongoing")))</f>
        <v>Ongoing</v>
      </c>
      <c r="G160" s="324">
        <v>44927</v>
      </c>
      <c r="H160" s="324">
        <v>46843</v>
      </c>
      <c r="I160" s="325">
        <v>33900</v>
      </c>
      <c r="J16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0" s="133">
        <f>_xlfn.XLOOKUP(Market_Data[[#This Row],[Project Type]],tbl_assumptions_market[Project Category (RERA)],tbl_assumptions_market[Concrete Intensity
(m³ / sq m BUA)],"",0)</f>
        <v>0.45</v>
      </c>
      <c r="L160" s="134">
        <f>ROUND(Market_Data[[#This Row],[Estimated Built Up Area (sq m)]]*Market_Data[[#This Row],[Concrete Intensity
(m³ / sq m)]],0)</f>
        <v>15255</v>
      </c>
      <c r="M160" s="135">
        <f>_xlfn.XLOOKUP(Market_Data[[#This Row],[District]],tbl_district_price[District],tbl_district_price[Standard Price
(INR/m³)],"",0)</f>
        <v>5800</v>
      </c>
      <c r="N160" s="364">
        <f>IF(OR(Market_Data[[#This Row],[Estimated Concrete Demand (m³)]]="",Market_Data[[#This Row],[Avg Price per (₹ / m³)]]=""),"",Market_Data[[#This Row],[Estimated Concrete Demand (m³)]]*Market_Data[[#This Row],[Avg Price per (₹ / m³)]]/10000000)</f>
        <v>8.8478999999999992</v>
      </c>
      <c r="O160" s="97" t="str">
        <f>IF(Market_Data[[#This Row],[Estimated Concrete Demand (m³)]]="","",
IF(Market_Data[[#This Row],[Estimated Concrete Demand (m³)]]&lt;10000,"Small",
IF(Market_Data[[#This Row],[Estimated Concrete Demand (m³)]]&lt;25000,"Medium",
IF(Market_Data[[#This Row],[Estimated Concrete Demand (m³)]]&lt;100000,"Large","Mega"))))</f>
        <v>Medium</v>
      </c>
      <c r="P160" s="287" t="str">
        <f t="shared" si="4"/>
        <v>GujRERA</v>
      </c>
    </row>
    <row r="161" spans="1:16">
      <c r="A161" s="129" t="str">
        <f>_xlfn.XLOOKUP(B161,$S$9:$S$14,$T$9:$T$14)&amp;"-"&amp;
IF(E161="Residential/Group Housing","RES",
IF(E161="Commercial","COM",
IF(E161="Mixed Development","MIX",
IF(E161="Plotted Development","PLT","OTH"))))
&amp;"-"&amp;TEXT(COUNTIFS($B$9:B161,B161,$E$9:E161,E161),"0000")</f>
        <v>BHR-MIX-0055</v>
      </c>
      <c r="B161" s="322" t="s">
        <v>36</v>
      </c>
      <c r="C161" s="322" t="s">
        <v>36</v>
      </c>
      <c r="D161" s="323" t="s">
        <v>347</v>
      </c>
      <c r="E161" s="132" t="s">
        <v>25</v>
      </c>
      <c r="F161" s="97" t="str">
        <f ca="1">IF(OR(Market_Data[[#This Row],[Start Date]]="",Market_Data[[#This Row],[Completion Date]]=""),"Needs Validation",IF(Market_Data[[#This Row],[Start Date]]&gt;TODAY(),"Planned",IF(Market_Data[[#This Row],[Completion Date]]&lt;TODAY(),"Completed","Ongoing")))</f>
        <v>Ongoing</v>
      </c>
      <c r="G161" s="324">
        <v>44651</v>
      </c>
      <c r="H161" s="324">
        <v>46568</v>
      </c>
      <c r="I161" s="325">
        <v>7600</v>
      </c>
      <c r="J16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61" s="133">
        <f>_xlfn.XLOOKUP(Market_Data[[#This Row],[Project Type]],tbl_assumptions_market[Project Category (RERA)],tbl_assumptions_market[Concrete Intensity
(m³ / sq m BUA)],"",0)</f>
        <v>0.42</v>
      </c>
      <c r="L161" s="134">
        <f>ROUND(Market_Data[[#This Row],[Estimated Built Up Area (sq m)]]*Market_Data[[#This Row],[Concrete Intensity
(m³ / sq m)]],0)</f>
        <v>3192</v>
      </c>
      <c r="M161" s="135">
        <f>_xlfn.XLOOKUP(Market_Data[[#This Row],[District]],tbl_district_price[District],tbl_district_price[Standard Price
(INR/m³)],"",0)</f>
        <v>5800</v>
      </c>
      <c r="N161" s="364">
        <f>IF(OR(Market_Data[[#This Row],[Estimated Concrete Demand (m³)]]="",Market_Data[[#This Row],[Avg Price per (₹ / m³)]]=""),"",Market_Data[[#This Row],[Estimated Concrete Demand (m³)]]*Market_Data[[#This Row],[Avg Price per (₹ / m³)]]/10000000)</f>
        <v>1.8513599999999999</v>
      </c>
      <c r="O161" s="97" t="str">
        <f>IF(Market_Data[[#This Row],[Estimated Concrete Demand (m³)]]="","",
IF(Market_Data[[#This Row],[Estimated Concrete Demand (m³)]]&lt;10000,"Small",
IF(Market_Data[[#This Row],[Estimated Concrete Demand (m³)]]&lt;25000,"Medium",
IF(Market_Data[[#This Row],[Estimated Concrete Demand (m³)]]&lt;100000,"Large","Mega"))))</f>
        <v>Small</v>
      </c>
      <c r="P161" s="287" t="str">
        <f t="shared" si="4"/>
        <v>GujRERA</v>
      </c>
    </row>
    <row r="162" spans="1:16">
      <c r="A162" s="129" t="str">
        <f>_xlfn.XLOOKUP(B162,$S$9:$S$14,$T$9:$T$14)&amp;"-"&amp;
IF(E162="Residential/Group Housing","RES",
IF(E162="Commercial","COM",
IF(E162="Mixed Development","MIX",
IF(E162="Plotted Development","PLT","OTH"))))
&amp;"-"&amp;TEXT(COUNTIFS($B$9:B162,B162,$E$9:E162,E162),"0000")</f>
        <v>BHR-MIX-0056</v>
      </c>
      <c r="B162" s="322" t="s">
        <v>36</v>
      </c>
      <c r="C162" s="322" t="s">
        <v>36</v>
      </c>
      <c r="D162" s="323" t="s">
        <v>348</v>
      </c>
      <c r="E162" s="132" t="s">
        <v>25</v>
      </c>
      <c r="F162" s="97" t="str">
        <f ca="1">IF(OR(Market_Data[[#This Row],[Start Date]]="",Market_Data[[#This Row],[Completion Date]]=""),"Needs Validation",IF(Market_Data[[#This Row],[Start Date]]&gt;TODAY(),"Planned",IF(Market_Data[[#This Row],[Completion Date]]&lt;TODAY(),"Completed","Ongoing")))</f>
        <v>Completed</v>
      </c>
      <c r="G162" s="324">
        <v>43279</v>
      </c>
      <c r="H162" s="324">
        <v>45199</v>
      </c>
      <c r="I162" s="325">
        <v>65700</v>
      </c>
      <c r="J16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2" s="133">
        <f>_xlfn.XLOOKUP(Market_Data[[#This Row],[Project Type]],tbl_assumptions_market[Project Category (RERA)],tbl_assumptions_market[Concrete Intensity
(m³ / sq m BUA)],"",0)</f>
        <v>0.42</v>
      </c>
      <c r="L162" s="134">
        <f>ROUND(Market_Data[[#This Row],[Estimated Built Up Area (sq m)]]*Market_Data[[#This Row],[Concrete Intensity
(m³ / sq m)]],0)</f>
        <v>27594</v>
      </c>
      <c r="M162" s="135">
        <f>_xlfn.XLOOKUP(Market_Data[[#This Row],[District]],tbl_district_price[District],tbl_district_price[Standard Price
(INR/m³)],"",0)</f>
        <v>5800</v>
      </c>
      <c r="N162" s="364">
        <f>IF(OR(Market_Data[[#This Row],[Estimated Concrete Demand (m³)]]="",Market_Data[[#This Row],[Avg Price per (₹ / m³)]]=""),"",Market_Data[[#This Row],[Estimated Concrete Demand (m³)]]*Market_Data[[#This Row],[Avg Price per (₹ / m³)]]/10000000)</f>
        <v>16.004519999999999</v>
      </c>
      <c r="O162" s="97" t="str">
        <f>IF(Market_Data[[#This Row],[Estimated Concrete Demand (m³)]]="","",
IF(Market_Data[[#This Row],[Estimated Concrete Demand (m³)]]&lt;10000,"Small",
IF(Market_Data[[#This Row],[Estimated Concrete Demand (m³)]]&lt;25000,"Medium",
IF(Market_Data[[#This Row],[Estimated Concrete Demand (m³)]]&lt;100000,"Large","Mega"))))</f>
        <v>Large</v>
      </c>
      <c r="P162" s="287" t="str">
        <f t="shared" si="4"/>
        <v>GujRERA</v>
      </c>
    </row>
    <row r="163" spans="1:16">
      <c r="A163" s="129" t="str">
        <f>_xlfn.XLOOKUP(B163,$S$9:$S$14,$T$9:$T$14)&amp;"-"&amp;
IF(E163="Residential/Group Housing","RES",
IF(E163="Commercial","COM",
IF(E163="Mixed Development","MIX",
IF(E163="Plotted Development","PLT","OTH"))))
&amp;"-"&amp;TEXT(COUNTIFS($B$9:B163,B163,$E$9:E163,E163),"0000")</f>
        <v>BHR-PLT-0009</v>
      </c>
      <c r="B163" s="322" t="s">
        <v>36</v>
      </c>
      <c r="C163" s="322" t="s">
        <v>36</v>
      </c>
      <c r="D163" s="323" t="s">
        <v>349</v>
      </c>
      <c r="E163" s="132" t="s">
        <v>26</v>
      </c>
      <c r="F163" s="97" t="str">
        <f ca="1">IF(OR(Market_Data[[#This Row],[Start Date]]="",Market_Data[[#This Row],[Completion Date]]=""),"Needs Validation",IF(Market_Data[[#This Row],[Start Date]]&gt;TODAY(),"Planned",IF(Market_Data[[#This Row],[Completion Date]]&lt;TODAY(),"Completed","Ongoing")))</f>
        <v>Completed</v>
      </c>
      <c r="G163" s="324">
        <v>42957</v>
      </c>
      <c r="H163" s="324">
        <v>44104</v>
      </c>
      <c r="I163" s="325">
        <v>31600</v>
      </c>
      <c r="J16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63" s="133">
        <f>_xlfn.XLOOKUP(Market_Data[[#This Row],[Project Type]],tbl_assumptions_market[Project Category (RERA)],tbl_assumptions_market[Concrete Intensity
(m³ / sq m BUA)],"",0)</f>
        <v>0.18</v>
      </c>
      <c r="L163" s="134">
        <f>ROUND(Market_Data[[#This Row],[Estimated Built Up Area (sq m)]]*Market_Data[[#This Row],[Concrete Intensity
(m³ / sq m)]],0)</f>
        <v>5688</v>
      </c>
      <c r="M163" s="135">
        <f>_xlfn.XLOOKUP(Market_Data[[#This Row],[District]],tbl_district_price[District],tbl_district_price[Standard Price
(INR/m³)],"",0)</f>
        <v>5800</v>
      </c>
      <c r="N163" s="364">
        <f>IF(OR(Market_Data[[#This Row],[Estimated Concrete Demand (m³)]]="",Market_Data[[#This Row],[Avg Price per (₹ / m³)]]=""),"",Market_Data[[#This Row],[Estimated Concrete Demand (m³)]]*Market_Data[[#This Row],[Avg Price per (₹ / m³)]]/10000000)</f>
        <v>3.2990400000000002</v>
      </c>
      <c r="O163" s="97" t="str">
        <f>IF(Market_Data[[#This Row],[Estimated Concrete Demand (m³)]]="","",
IF(Market_Data[[#This Row],[Estimated Concrete Demand (m³)]]&lt;10000,"Small",
IF(Market_Data[[#This Row],[Estimated Concrete Demand (m³)]]&lt;25000,"Medium",
IF(Market_Data[[#This Row],[Estimated Concrete Demand (m³)]]&lt;100000,"Large","Mega"))))</f>
        <v>Small</v>
      </c>
      <c r="P163" s="287" t="str">
        <f t="shared" si="4"/>
        <v>GujRERA</v>
      </c>
    </row>
    <row r="164" spans="1:16">
      <c r="A164" s="129" t="str">
        <f>_xlfn.XLOOKUP(B164,$S$9:$S$14,$T$9:$T$14)&amp;"-"&amp;
IF(E164="Residential/Group Housing","RES",
IF(E164="Commercial","COM",
IF(E164="Mixed Development","MIX",
IF(E164="Plotted Development","PLT","OTH"))))
&amp;"-"&amp;TEXT(COUNTIFS($B$9:B164,B164,$E$9:E164,E164),"0000")</f>
        <v>BHR-MIX-0057</v>
      </c>
      <c r="B164" s="322" t="s">
        <v>36</v>
      </c>
      <c r="C164" s="322" t="s">
        <v>36</v>
      </c>
      <c r="D164" s="323" t="s">
        <v>350</v>
      </c>
      <c r="E164" s="132" t="s">
        <v>25</v>
      </c>
      <c r="F164" s="97" t="str">
        <f ca="1">IF(OR(Market_Data[[#This Row],[Start Date]]="",Market_Data[[#This Row],[Completion Date]]=""),"Needs Validation",IF(Market_Data[[#This Row],[Start Date]]&gt;TODAY(),"Planned",IF(Market_Data[[#This Row],[Completion Date]]&lt;TODAY(),"Completed","Ongoing")))</f>
        <v>Ongoing</v>
      </c>
      <c r="G164" s="324">
        <v>45502</v>
      </c>
      <c r="H164" s="324">
        <v>47118</v>
      </c>
      <c r="I164" s="325">
        <v>41300</v>
      </c>
      <c r="J16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4" s="133">
        <f>_xlfn.XLOOKUP(Market_Data[[#This Row],[Project Type]],tbl_assumptions_market[Project Category (RERA)],tbl_assumptions_market[Concrete Intensity
(m³ / sq m BUA)],"",0)</f>
        <v>0.42</v>
      </c>
      <c r="L164" s="134">
        <f>ROUND(Market_Data[[#This Row],[Estimated Built Up Area (sq m)]]*Market_Data[[#This Row],[Concrete Intensity
(m³ / sq m)]],0)</f>
        <v>17346</v>
      </c>
      <c r="M164" s="135">
        <f>_xlfn.XLOOKUP(Market_Data[[#This Row],[District]],tbl_district_price[District],tbl_district_price[Standard Price
(INR/m³)],"",0)</f>
        <v>5800</v>
      </c>
      <c r="N164" s="364">
        <f>IF(OR(Market_Data[[#This Row],[Estimated Concrete Demand (m³)]]="",Market_Data[[#This Row],[Avg Price per (₹ / m³)]]=""),"",Market_Data[[#This Row],[Estimated Concrete Demand (m³)]]*Market_Data[[#This Row],[Avg Price per (₹ / m³)]]/10000000)</f>
        <v>10.06068</v>
      </c>
      <c r="O164" s="97" t="str">
        <f>IF(Market_Data[[#This Row],[Estimated Concrete Demand (m³)]]="","",
IF(Market_Data[[#This Row],[Estimated Concrete Demand (m³)]]&lt;10000,"Small",
IF(Market_Data[[#This Row],[Estimated Concrete Demand (m³)]]&lt;25000,"Medium",
IF(Market_Data[[#This Row],[Estimated Concrete Demand (m³)]]&lt;100000,"Large","Mega"))))</f>
        <v>Medium</v>
      </c>
      <c r="P164" s="287" t="str">
        <f t="shared" si="4"/>
        <v>GujRERA</v>
      </c>
    </row>
    <row r="165" spans="1:16" ht="24">
      <c r="A165" s="129" t="str">
        <f>_xlfn.XLOOKUP(B165,$S$9:$S$14,$T$9:$T$14)&amp;"-"&amp;
IF(E165="Residential/Group Housing","RES",
IF(E165="Commercial","COM",
IF(E165="Mixed Development","MIX",
IF(E165="Plotted Development","PLT","OTH"))))
&amp;"-"&amp;TEXT(COUNTIFS($B$9:B165,B165,$E$9:E165,E165),"0000")</f>
        <v>BHR-RES-0072</v>
      </c>
      <c r="B165" s="322" t="s">
        <v>36</v>
      </c>
      <c r="C165" s="322" t="s">
        <v>36</v>
      </c>
      <c r="D165" s="323" t="s">
        <v>351</v>
      </c>
      <c r="E165" s="132" t="s">
        <v>24</v>
      </c>
      <c r="F165" s="97" t="str">
        <f ca="1">IF(OR(Market_Data[[#This Row],[Start Date]]="",Market_Data[[#This Row],[Completion Date]]=""),"Needs Validation",IF(Market_Data[[#This Row],[Start Date]]&gt;TODAY(),"Planned",IF(Market_Data[[#This Row],[Completion Date]]&lt;TODAY(),"Completed","Ongoing")))</f>
        <v>Completed</v>
      </c>
      <c r="G165" s="324">
        <v>42870</v>
      </c>
      <c r="H165" s="324">
        <v>44195</v>
      </c>
      <c r="I165" s="325">
        <v>22300</v>
      </c>
      <c r="J16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5" s="133">
        <f>_xlfn.XLOOKUP(Market_Data[[#This Row],[Project Type]],tbl_assumptions_market[Project Category (RERA)],tbl_assumptions_market[Concrete Intensity
(m³ / sq m BUA)],"",0)</f>
        <v>0.45</v>
      </c>
      <c r="L165" s="134">
        <f>ROUND(Market_Data[[#This Row],[Estimated Built Up Area (sq m)]]*Market_Data[[#This Row],[Concrete Intensity
(m³ / sq m)]],0)</f>
        <v>10035</v>
      </c>
      <c r="M165" s="135">
        <f>_xlfn.XLOOKUP(Market_Data[[#This Row],[District]],tbl_district_price[District],tbl_district_price[Standard Price
(INR/m³)],"",0)</f>
        <v>5800</v>
      </c>
      <c r="N165" s="364">
        <f>IF(OR(Market_Data[[#This Row],[Estimated Concrete Demand (m³)]]="",Market_Data[[#This Row],[Avg Price per (₹ / m³)]]=""),"",Market_Data[[#This Row],[Estimated Concrete Demand (m³)]]*Market_Data[[#This Row],[Avg Price per (₹ / m³)]]/10000000)</f>
        <v>5.8202999999999996</v>
      </c>
      <c r="O165" s="97" t="str">
        <f>IF(Market_Data[[#This Row],[Estimated Concrete Demand (m³)]]="","",
IF(Market_Data[[#This Row],[Estimated Concrete Demand (m³)]]&lt;10000,"Small",
IF(Market_Data[[#This Row],[Estimated Concrete Demand (m³)]]&lt;25000,"Medium",
IF(Market_Data[[#This Row],[Estimated Concrete Demand (m³)]]&lt;100000,"Large","Mega"))))</f>
        <v>Medium</v>
      </c>
      <c r="P165" s="287" t="str">
        <f t="shared" si="4"/>
        <v>GujRERA</v>
      </c>
    </row>
    <row r="166" spans="1:16">
      <c r="A166" s="129" t="str">
        <f>_xlfn.XLOOKUP(B166,$S$9:$S$14,$T$9:$T$14)&amp;"-"&amp;
IF(E166="Residential/Group Housing","RES",
IF(E166="Commercial","COM",
IF(E166="Mixed Development","MIX",
IF(E166="Plotted Development","PLT","OTH"))))
&amp;"-"&amp;TEXT(COUNTIFS($B$9:B166,B166,$E$9:E166,E166),"0000")</f>
        <v>BHR-RES-0073</v>
      </c>
      <c r="B166" s="322" t="s">
        <v>36</v>
      </c>
      <c r="C166" s="322" t="s">
        <v>36</v>
      </c>
      <c r="D166" s="323" t="s">
        <v>352</v>
      </c>
      <c r="E166" s="132" t="s">
        <v>24</v>
      </c>
      <c r="F166" s="97" t="str">
        <f ca="1">IF(OR(Market_Data[[#This Row],[Start Date]]="",Market_Data[[#This Row],[Completion Date]]=""),"Needs Validation",IF(Market_Data[[#This Row],[Start Date]]&gt;TODAY(),"Planned",IF(Market_Data[[#This Row],[Completion Date]]&lt;TODAY(),"Completed","Ongoing")))</f>
        <v>Completed</v>
      </c>
      <c r="G166" s="324">
        <v>42942</v>
      </c>
      <c r="H166" s="324">
        <v>44377</v>
      </c>
      <c r="I166" s="325">
        <v>50800</v>
      </c>
      <c r="J16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6" s="133">
        <f>_xlfn.XLOOKUP(Market_Data[[#This Row],[Project Type]],tbl_assumptions_market[Project Category (RERA)],tbl_assumptions_market[Concrete Intensity
(m³ / sq m BUA)],"",0)</f>
        <v>0.45</v>
      </c>
      <c r="L166" s="134">
        <f>ROUND(Market_Data[[#This Row],[Estimated Built Up Area (sq m)]]*Market_Data[[#This Row],[Concrete Intensity
(m³ / sq m)]],0)</f>
        <v>22860</v>
      </c>
      <c r="M166" s="135">
        <f>_xlfn.XLOOKUP(Market_Data[[#This Row],[District]],tbl_district_price[District],tbl_district_price[Standard Price
(INR/m³)],"",0)</f>
        <v>5800</v>
      </c>
      <c r="N166" s="364">
        <f>IF(OR(Market_Data[[#This Row],[Estimated Concrete Demand (m³)]]="",Market_Data[[#This Row],[Avg Price per (₹ / m³)]]=""),"",Market_Data[[#This Row],[Estimated Concrete Demand (m³)]]*Market_Data[[#This Row],[Avg Price per (₹ / m³)]]/10000000)</f>
        <v>13.258800000000001</v>
      </c>
      <c r="O166" s="97" t="str">
        <f>IF(Market_Data[[#This Row],[Estimated Concrete Demand (m³)]]="","",
IF(Market_Data[[#This Row],[Estimated Concrete Demand (m³)]]&lt;10000,"Small",
IF(Market_Data[[#This Row],[Estimated Concrete Demand (m³)]]&lt;25000,"Medium",
IF(Market_Data[[#This Row],[Estimated Concrete Demand (m³)]]&lt;100000,"Large","Mega"))))</f>
        <v>Medium</v>
      </c>
      <c r="P166" s="287" t="str">
        <f t="shared" si="4"/>
        <v>GujRERA</v>
      </c>
    </row>
    <row r="167" spans="1:16">
      <c r="A167" s="129" t="str">
        <f>_xlfn.XLOOKUP(B167,$S$9:$S$14,$T$9:$T$14)&amp;"-"&amp;
IF(E167="Residential/Group Housing","RES",
IF(E167="Commercial","COM",
IF(E167="Mixed Development","MIX",
IF(E167="Plotted Development","PLT","OTH"))))
&amp;"-"&amp;TEXT(COUNTIFS($B$9:B167,B167,$E$9:E167,E167),"0000")</f>
        <v>BHR-MIX-0058</v>
      </c>
      <c r="B167" s="322" t="s">
        <v>36</v>
      </c>
      <c r="C167" s="322" t="s">
        <v>36</v>
      </c>
      <c r="D167" s="323" t="s">
        <v>353</v>
      </c>
      <c r="E167" s="132" t="s">
        <v>25</v>
      </c>
      <c r="F167" s="97" t="str">
        <f ca="1">IF(OR(Market_Data[[#This Row],[Start Date]]="",Market_Data[[#This Row],[Completion Date]]=""),"Needs Validation",IF(Market_Data[[#This Row],[Start Date]]&gt;TODAY(),"Planned",IF(Market_Data[[#This Row],[Completion Date]]&lt;TODAY(),"Completed","Ongoing")))</f>
        <v>Ongoing</v>
      </c>
      <c r="G167" s="324">
        <v>43525</v>
      </c>
      <c r="H167" s="324">
        <v>46387</v>
      </c>
      <c r="I167" s="325">
        <v>20300</v>
      </c>
      <c r="J16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7" s="133">
        <f>_xlfn.XLOOKUP(Market_Data[[#This Row],[Project Type]],tbl_assumptions_market[Project Category (RERA)],tbl_assumptions_market[Concrete Intensity
(m³ / sq m BUA)],"",0)</f>
        <v>0.42</v>
      </c>
      <c r="L167" s="134">
        <f>ROUND(Market_Data[[#This Row],[Estimated Built Up Area (sq m)]]*Market_Data[[#This Row],[Concrete Intensity
(m³ / sq m)]],0)</f>
        <v>8526</v>
      </c>
      <c r="M167" s="135">
        <f>_xlfn.XLOOKUP(Market_Data[[#This Row],[District]],tbl_district_price[District],tbl_district_price[Standard Price
(INR/m³)],"",0)</f>
        <v>5800</v>
      </c>
      <c r="N167" s="364">
        <f>IF(OR(Market_Data[[#This Row],[Estimated Concrete Demand (m³)]]="",Market_Data[[#This Row],[Avg Price per (₹ / m³)]]=""),"",Market_Data[[#This Row],[Estimated Concrete Demand (m³)]]*Market_Data[[#This Row],[Avg Price per (₹ / m³)]]/10000000)</f>
        <v>4.9450799999999999</v>
      </c>
      <c r="O167" s="97" t="str">
        <f>IF(Market_Data[[#This Row],[Estimated Concrete Demand (m³)]]="","",
IF(Market_Data[[#This Row],[Estimated Concrete Demand (m³)]]&lt;10000,"Small",
IF(Market_Data[[#This Row],[Estimated Concrete Demand (m³)]]&lt;25000,"Medium",
IF(Market_Data[[#This Row],[Estimated Concrete Demand (m³)]]&lt;100000,"Large","Mega"))))</f>
        <v>Small</v>
      </c>
      <c r="P167" s="287" t="str">
        <f t="shared" si="4"/>
        <v>GujRERA</v>
      </c>
    </row>
    <row r="168" spans="1:16">
      <c r="A168" s="129" t="str">
        <f>_xlfn.XLOOKUP(B168,$S$9:$S$14,$T$9:$T$14)&amp;"-"&amp;
IF(E168="Residential/Group Housing","RES",
IF(E168="Commercial","COM",
IF(E168="Mixed Development","MIX",
IF(E168="Plotted Development","PLT","OTH"))))
&amp;"-"&amp;TEXT(COUNTIFS($B$9:B168,B168,$E$9:E168,E168),"0000")</f>
        <v>BHR-MIX-0059</v>
      </c>
      <c r="B168" s="322" t="s">
        <v>36</v>
      </c>
      <c r="C168" s="322" t="s">
        <v>36</v>
      </c>
      <c r="D168" s="323" t="s">
        <v>354</v>
      </c>
      <c r="E168" s="132" t="s">
        <v>25</v>
      </c>
      <c r="F168" s="97" t="str">
        <f ca="1">IF(OR(Market_Data[[#This Row],[Start Date]]="",Market_Data[[#This Row],[Completion Date]]=""),"Needs Validation",IF(Market_Data[[#This Row],[Start Date]]&gt;TODAY(),"Planned",IF(Market_Data[[#This Row],[Completion Date]]&lt;TODAY(),"Completed","Ongoing")))</f>
        <v>Completed</v>
      </c>
      <c r="G168" s="324">
        <v>42384</v>
      </c>
      <c r="H168" s="324">
        <v>43251</v>
      </c>
      <c r="I168" s="325">
        <v>10100</v>
      </c>
      <c r="J16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8" s="133">
        <f>_xlfn.XLOOKUP(Market_Data[[#This Row],[Project Type]],tbl_assumptions_market[Project Category (RERA)],tbl_assumptions_market[Concrete Intensity
(m³ / sq m BUA)],"",0)</f>
        <v>0.42</v>
      </c>
      <c r="L168" s="134">
        <f>ROUND(Market_Data[[#This Row],[Estimated Built Up Area (sq m)]]*Market_Data[[#This Row],[Concrete Intensity
(m³ / sq m)]],0)</f>
        <v>4242</v>
      </c>
      <c r="M168" s="135">
        <f>_xlfn.XLOOKUP(Market_Data[[#This Row],[District]],tbl_district_price[District],tbl_district_price[Standard Price
(INR/m³)],"",0)</f>
        <v>5800</v>
      </c>
      <c r="N168" s="364">
        <f>IF(OR(Market_Data[[#This Row],[Estimated Concrete Demand (m³)]]="",Market_Data[[#This Row],[Avg Price per (₹ / m³)]]=""),"",Market_Data[[#This Row],[Estimated Concrete Demand (m³)]]*Market_Data[[#This Row],[Avg Price per (₹ / m³)]]/10000000)</f>
        <v>2.4603600000000001</v>
      </c>
      <c r="O168" s="97" t="str">
        <f>IF(Market_Data[[#This Row],[Estimated Concrete Demand (m³)]]="","",
IF(Market_Data[[#This Row],[Estimated Concrete Demand (m³)]]&lt;10000,"Small",
IF(Market_Data[[#This Row],[Estimated Concrete Demand (m³)]]&lt;25000,"Medium",
IF(Market_Data[[#This Row],[Estimated Concrete Demand (m³)]]&lt;100000,"Large","Mega"))))</f>
        <v>Small</v>
      </c>
      <c r="P168" s="287" t="str">
        <f t="shared" si="4"/>
        <v>GujRERA</v>
      </c>
    </row>
    <row r="169" spans="1:16">
      <c r="A169" s="129" t="str">
        <f>_xlfn.XLOOKUP(B169,$S$9:$S$14,$T$9:$T$14)&amp;"-"&amp;
IF(E169="Residential/Group Housing","RES",
IF(E169="Commercial","COM",
IF(E169="Mixed Development","MIX",
IF(E169="Plotted Development","PLT","OTH"))))
&amp;"-"&amp;TEXT(COUNTIFS($B$9:B169,B169,$E$9:E169,E169),"0000")</f>
        <v>BHR-RES-0074</v>
      </c>
      <c r="B169" s="322" t="s">
        <v>36</v>
      </c>
      <c r="C169" s="322" t="s">
        <v>36</v>
      </c>
      <c r="D169" s="323" t="s">
        <v>355</v>
      </c>
      <c r="E169" s="132" t="s">
        <v>24</v>
      </c>
      <c r="F169" s="97" t="str">
        <f ca="1">IF(OR(Market_Data[[#This Row],[Start Date]]="",Market_Data[[#This Row],[Completion Date]]=""),"Needs Validation",IF(Market_Data[[#This Row],[Start Date]]&gt;TODAY(),"Planned",IF(Market_Data[[#This Row],[Completion Date]]&lt;TODAY(),"Completed","Ongoing")))</f>
        <v>Completed</v>
      </c>
      <c r="G169" s="324">
        <v>42661</v>
      </c>
      <c r="H169" s="324">
        <v>44669</v>
      </c>
      <c r="I169" s="325">
        <v>130500</v>
      </c>
      <c r="J16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69" s="133">
        <f>_xlfn.XLOOKUP(Market_Data[[#This Row],[Project Type]],tbl_assumptions_market[Project Category (RERA)],tbl_assumptions_market[Concrete Intensity
(m³ / sq m BUA)],"",0)</f>
        <v>0.45</v>
      </c>
      <c r="L169" s="134">
        <f>ROUND(Market_Data[[#This Row],[Estimated Built Up Area (sq m)]]*Market_Data[[#This Row],[Concrete Intensity
(m³ / sq m)]],0)</f>
        <v>58725</v>
      </c>
      <c r="M169" s="135">
        <f>_xlfn.XLOOKUP(Market_Data[[#This Row],[District]],tbl_district_price[District],tbl_district_price[Standard Price
(INR/m³)],"",0)</f>
        <v>5800</v>
      </c>
      <c r="N169" s="364">
        <f>IF(OR(Market_Data[[#This Row],[Estimated Concrete Demand (m³)]]="",Market_Data[[#This Row],[Avg Price per (₹ / m³)]]=""),"",Market_Data[[#This Row],[Estimated Concrete Demand (m³)]]*Market_Data[[#This Row],[Avg Price per (₹ / m³)]]/10000000)</f>
        <v>34.060499999999998</v>
      </c>
      <c r="O169" s="97" t="str">
        <f>IF(Market_Data[[#This Row],[Estimated Concrete Demand (m³)]]="","",
IF(Market_Data[[#This Row],[Estimated Concrete Demand (m³)]]&lt;10000,"Small",
IF(Market_Data[[#This Row],[Estimated Concrete Demand (m³)]]&lt;25000,"Medium",
IF(Market_Data[[#This Row],[Estimated Concrete Demand (m³)]]&lt;100000,"Large","Mega"))))</f>
        <v>Large</v>
      </c>
      <c r="P169" s="287" t="str">
        <f t="shared" si="4"/>
        <v>GujRERA</v>
      </c>
    </row>
    <row r="170" spans="1:16">
      <c r="A170" s="129" t="str">
        <f>_xlfn.XLOOKUP(B170,$S$9:$S$14,$T$9:$T$14)&amp;"-"&amp;
IF(E170="Residential/Group Housing","RES",
IF(E170="Commercial","COM",
IF(E170="Mixed Development","MIX",
IF(E170="Plotted Development","PLT","OTH"))))
&amp;"-"&amp;TEXT(COUNTIFS($B$9:B170,B170,$E$9:E170,E170),"0000")</f>
        <v>BHR-MIX-0060</v>
      </c>
      <c r="B170" s="322" t="s">
        <v>36</v>
      </c>
      <c r="C170" s="322" t="s">
        <v>36</v>
      </c>
      <c r="D170" s="323" t="s">
        <v>356</v>
      </c>
      <c r="E170" s="132" t="s">
        <v>25</v>
      </c>
      <c r="F170" s="97" t="str">
        <f ca="1">IF(OR(Market_Data[[#This Row],[Start Date]]="",Market_Data[[#This Row],[Completion Date]]=""),"Needs Validation",IF(Market_Data[[#This Row],[Start Date]]&gt;TODAY(),"Planned",IF(Market_Data[[#This Row],[Completion Date]]&lt;TODAY(),"Completed","Ongoing")))</f>
        <v>Ongoing</v>
      </c>
      <c r="G170" s="324">
        <v>45017</v>
      </c>
      <c r="H170" s="324">
        <v>47118</v>
      </c>
      <c r="I170" s="325">
        <v>4300</v>
      </c>
      <c r="J17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70" s="133">
        <f>_xlfn.XLOOKUP(Market_Data[[#This Row],[Project Type]],tbl_assumptions_market[Project Category (RERA)],tbl_assumptions_market[Concrete Intensity
(m³ / sq m BUA)],"",0)</f>
        <v>0.42</v>
      </c>
      <c r="L170" s="134">
        <f>ROUND(Market_Data[[#This Row],[Estimated Built Up Area (sq m)]]*Market_Data[[#This Row],[Concrete Intensity
(m³ / sq m)]],0)</f>
        <v>1806</v>
      </c>
      <c r="M170" s="135">
        <f>_xlfn.XLOOKUP(Market_Data[[#This Row],[District]],tbl_district_price[District],tbl_district_price[Standard Price
(INR/m³)],"",0)</f>
        <v>5800</v>
      </c>
      <c r="N170" s="364">
        <f>IF(OR(Market_Data[[#This Row],[Estimated Concrete Demand (m³)]]="",Market_Data[[#This Row],[Avg Price per (₹ / m³)]]=""),"",Market_Data[[#This Row],[Estimated Concrete Demand (m³)]]*Market_Data[[#This Row],[Avg Price per (₹ / m³)]]/10000000)</f>
        <v>1.04748</v>
      </c>
      <c r="O170" s="97" t="str">
        <f>IF(Market_Data[[#This Row],[Estimated Concrete Demand (m³)]]="","",
IF(Market_Data[[#This Row],[Estimated Concrete Demand (m³)]]&lt;10000,"Small",
IF(Market_Data[[#This Row],[Estimated Concrete Demand (m³)]]&lt;25000,"Medium",
IF(Market_Data[[#This Row],[Estimated Concrete Demand (m³)]]&lt;100000,"Large","Mega"))))</f>
        <v>Small</v>
      </c>
      <c r="P170" s="287" t="str">
        <f t="shared" si="4"/>
        <v>GujRERA</v>
      </c>
    </row>
    <row r="171" spans="1:16">
      <c r="A171" s="129" t="str">
        <f>_xlfn.XLOOKUP(B171,$S$9:$S$14,$T$9:$T$14)&amp;"-"&amp;
IF(E171="Residential/Group Housing","RES",
IF(E171="Commercial","COM",
IF(E171="Mixed Development","MIX",
IF(E171="Plotted Development","PLT","OTH"))))
&amp;"-"&amp;TEXT(COUNTIFS($B$9:B171,B171,$E$9:E171,E171),"0000")</f>
        <v>BHR-COM-0020</v>
      </c>
      <c r="B171" s="322" t="s">
        <v>36</v>
      </c>
      <c r="C171" s="322" t="s">
        <v>36</v>
      </c>
      <c r="D171" s="323" t="s">
        <v>357</v>
      </c>
      <c r="E171" s="132" t="s">
        <v>23</v>
      </c>
      <c r="F171" s="97" t="str">
        <f ca="1">IF(OR(Market_Data[[#This Row],[Start Date]]="",Market_Data[[#This Row],[Completion Date]]=""),"Needs Validation",IF(Market_Data[[#This Row],[Start Date]]&gt;TODAY(),"Planned",IF(Market_Data[[#This Row],[Completion Date]]&lt;TODAY(),"Completed","Ongoing")))</f>
        <v>Ongoing</v>
      </c>
      <c r="G171" s="324">
        <v>44621</v>
      </c>
      <c r="H171" s="324">
        <v>46630</v>
      </c>
      <c r="I171" s="325">
        <v>25300</v>
      </c>
      <c r="J17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71" s="133">
        <f>_xlfn.XLOOKUP(Market_Data[[#This Row],[Project Type]],tbl_assumptions_market[Project Category (RERA)],tbl_assumptions_market[Concrete Intensity
(m³ / sq m BUA)],"",0)</f>
        <v>0.5</v>
      </c>
      <c r="L171" s="134">
        <f>ROUND(Market_Data[[#This Row],[Estimated Built Up Area (sq m)]]*Market_Data[[#This Row],[Concrete Intensity
(m³ / sq m)]],0)</f>
        <v>12650</v>
      </c>
      <c r="M171" s="135">
        <f>_xlfn.XLOOKUP(Market_Data[[#This Row],[District]],tbl_district_price[District],tbl_district_price[Standard Price
(INR/m³)],"",0)</f>
        <v>5800</v>
      </c>
      <c r="N171" s="364">
        <f>IF(OR(Market_Data[[#This Row],[Estimated Concrete Demand (m³)]]="",Market_Data[[#This Row],[Avg Price per (₹ / m³)]]=""),"",Market_Data[[#This Row],[Estimated Concrete Demand (m³)]]*Market_Data[[#This Row],[Avg Price per (₹ / m³)]]/10000000)</f>
        <v>7.3369999999999997</v>
      </c>
      <c r="O171" s="97" t="str">
        <f>IF(Market_Data[[#This Row],[Estimated Concrete Demand (m³)]]="","",
IF(Market_Data[[#This Row],[Estimated Concrete Demand (m³)]]&lt;10000,"Small",
IF(Market_Data[[#This Row],[Estimated Concrete Demand (m³)]]&lt;25000,"Medium",
IF(Market_Data[[#This Row],[Estimated Concrete Demand (m³)]]&lt;100000,"Large","Mega"))))</f>
        <v>Medium</v>
      </c>
      <c r="P171" s="287" t="str">
        <f t="shared" si="4"/>
        <v>GujRERA</v>
      </c>
    </row>
    <row r="172" spans="1:16">
      <c r="A172" s="129" t="str">
        <f>_xlfn.XLOOKUP(B172,$S$9:$S$14,$T$9:$T$14)&amp;"-"&amp;
IF(E172="Residential/Group Housing","RES",
IF(E172="Commercial","COM",
IF(E172="Mixed Development","MIX",
IF(E172="Plotted Development","PLT","OTH"))))
&amp;"-"&amp;TEXT(COUNTIFS($B$9:B172,B172,$E$9:E172,E172),"0000")</f>
        <v>BHR-MIX-0061</v>
      </c>
      <c r="B172" s="322" t="s">
        <v>36</v>
      </c>
      <c r="C172" s="322" t="s">
        <v>36</v>
      </c>
      <c r="D172" s="323" t="s">
        <v>358</v>
      </c>
      <c r="E172" s="132" t="s">
        <v>25</v>
      </c>
      <c r="F172" s="97" t="str">
        <f ca="1">IF(OR(Market_Data[[#This Row],[Start Date]]="",Market_Data[[#This Row],[Completion Date]]=""),"Needs Validation",IF(Market_Data[[#This Row],[Start Date]]&gt;TODAY(),"Planned",IF(Market_Data[[#This Row],[Completion Date]]&lt;TODAY(),"Completed","Ongoing")))</f>
        <v>Completed</v>
      </c>
      <c r="G172" s="324">
        <v>42149</v>
      </c>
      <c r="H172" s="324">
        <v>43555</v>
      </c>
      <c r="I172" s="325">
        <v>28600</v>
      </c>
      <c r="J17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2" s="133">
        <f>_xlfn.XLOOKUP(Market_Data[[#This Row],[Project Type]],tbl_assumptions_market[Project Category (RERA)],tbl_assumptions_market[Concrete Intensity
(m³ / sq m BUA)],"",0)</f>
        <v>0.42</v>
      </c>
      <c r="L172" s="134">
        <f>ROUND(Market_Data[[#This Row],[Estimated Built Up Area (sq m)]]*Market_Data[[#This Row],[Concrete Intensity
(m³ / sq m)]],0)</f>
        <v>12012</v>
      </c>
      <c r="M172" s="135">
        <f>_xlfn.XLOOKUP(Market_Data[[#This Row],[District]],tbl_district_price[District],tbl_district_price[Standard Price
(INR/m³)],"",0)</f>
        <v>5800</v>
      </c>
      <c r="N172" s="364">
        <f>IF(OR(Market_Data[[#This Row],[Estimated Concrete Demand (m³)]]="",Market_Data[[#This Row],[Avg Price per (₹ / m³)]]=""),"",Market_Data[[#This Row],[Estimated Concrete Demand (m³)]]*Market_Data[[#This Row],[Avg Price per (₹ / m³)]]/10000000)</f>
        <v>6.9669600000000003</v>
      </c>
      <c r="O172" s="97" t="str">
        <f>IF(Market_Data[[#This Row],[Estimated Concrete Demand (m³)]]="","",
IF(Market_Data[[#This Row],[Estimated Concrete Demand (m³)]]&lt;10000,"Small",
IF(Market_Data[[#This Row],[Estimated Concrete Demand (m³)]]&lt;25000,"Medium",
IF(Market_Data[[#This Row],[Estimated Concrete Demand (m³)]]&lt;100000,"Large","Mega"))))</f>
        <v>Medium</v>
      </c>
      <c r="P172" s="287" t="str">
        <f t="shared" si="4"/>
        <v>GujRERA</v>
      </c>
    </row>
    <row r="173" spans="1:16">
      <c r="A173" s="129" t="str">
        <f>_xlfn.XLOOKUP(B173,$S$9:$S$14,$T$9:$T$14)&amp;"-"&amp;
IF(E173="Residential/Group Housing","RES",
IF(E173="Commercial","COM",
IF(E173="Mixed Development","MIX",
IF(E173="Plotted Development","PLT","OTH"))))
&amp;"-"&amp;TEXT(COUNTIFS($B$9:B173,B173,$E$9:E173,E173),"0000")</f>
        <v>BHR-MIX-0062</v>
      </c>
      <c r="B173" s="322" t="s">
        <v>36</v>
      </c>
      <c r="C173" s="322" t="s">
        <v>36</v>
      </c>
      <c r="D173" s="323" t="s">
        <v>359</v>
      </c>
      <c r="E173" s="132" t="s">
        <v>25</v>
      </c>
      <c r="F173" s="97" t="str">
        <f ca="1">IF(OR(Market_Data[[#This Row],[Start Date]]="",Market_Data[[#This Row],[Completion Date]]=""),"Needs Validation",IF(Market_Data[[#This Row],[Start Date]]&gt;TODAY(),"Planned",IF(Market_Data[[#This Row],[Completion Date]]&lt;TODAY(),"Completed","Ongoing")))</f>
        <v>Completed</v>
      </c>
      <c r="G173" s="324">
        <v>43814</v>
      </c>
      <c r="H173" s="324">
        <v>45565</v>
      </c>
      <c r="I173" s="325">
        <v>2700</v>
      </c>
      <c r="J17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73" s="133">
        <f>_xlfn.XLOOKUP(Market_Data[[#This Row],[Project Type]],tbl_assumptions_market[Project Category (RERA)],tbl_assumptions_market[Concrete Intensity
(m³ / sq m BUA)],"",0)</f>
        <v>0.42</v>
      </c>
      <c r="L173" s="134">
        <f>ROUND(Market_Data[[#This Row],[Estimated Built Up Area (sq m)]]*Market_Data[[#This Row],[Concrete Intensity
(m³ / sq m)]],0)</f>
        <v>1134</v>
      </c>
      <c r="M173" s="135">
        <f>_xlfn.XLOOKUP(Market_Data[[#This Row],[District]],tbl_district_price[District],tbl_district_price[Standard Price
(INR/m³)],"",0)</f>
        <v>5800</v>
      </c>
      <c r="N173" s="364">
        <f>IF(OR(Market_Data[[#This Row],[Estimated Concrete Demand (m³)]]="",Market_Data[[#This Row],[Avg Price per (₹ / m³)]]=""),"",Market_Data[[#This Row],[Estimated Concrete Demand (m³)]]*Market_Data[[#This Row],[Avg Price per (₹ / m³)]]/10000000)</f>
        <v>0.65771999999999997</v>
      </c>
      <c r="O173" s="97" t="str">
        <f>IF(Market_Data[[#This Row],[Estimated Concrete Demand (m³)]]="","",
IF(Market_Data[[#This Row],[Estimated Concrete Demand (m³)]]&lt;10000,"Small",
IF(Market_Data[[#This Row],[Estimated Concrete Demand (m³)]]&lt;25000,"Medium",
IF(Market_Data[[#This Row],[Estimated Concrete Demand (m³)]]&lt;100000,"Large","Mega"))))</f>
        <v>Small</v>
      </c>
      <c r="P173" s="287" t="str">
        <f t="shared" si="4"/>
        <v>GujRERA</v>
      </c>
    </row>
    <row r="174" spans="1:16">
      <c r="A174" s="129" t="str">
        <f>_xlfn.XLOOKUP(B174,$S$9:$S$14,$T$9:$T$14)&amp;"-"&amp;
IF(E174="Residential/Group Housing","RES",
IF(E174="Commercial","COM",
IF(E174="Mixed Development","MIX",
IF(E174="Plotted Development","PLT","OTH"))))
&amp;"-"&amp;TEXT(COUNTIFS($B$9:B174,B174,$E$9:E174,E174),"0000")</f>
        <v>BHR-MIX-0063</v>
      </c>
      <c r="B174" s="322" t="s">
        <v>36</v>
      </c>
      <c r="C174" s="322" t="s">
        <v>36</v>
      </c>
      <c r="D174" s="323" t="s">
        <v>360</v>
      </c>
      <c r="E174" s="132" t="s">
        <v>25</v>
      </c>
      <c r="F174" s="97" t="str">
        <f ca="1">IF(OR(Market_Data[[#This Row],[Start Date]]="",Market_Data[[#This Row],[Completion Date]]=""),"Needs Validation",IF(Market_Data[[#This Row],[Start Date]]&gt;TODAY(),"Planned",IF(Market_Data[[#This Row],[Completion Date]]&lt;TODAY(),"Completed","Ongoing")))</f>
        <v>Ongoing</v>
      </c>
      <c r="G174" s="324">
        <v>45010</v>
      </c>
      <c r="H174" s="324">
        <v>46843</v>
      </c>
      <c r="I174" s="325">
        <v>17600</v>
      </c>
      <c r="J17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4" s="133">
        <f>_xlfn.XLOOKUP(Market_Data[[#This Row],[Project Type]],tbl_assumptions_market[Project Category (RERA)],tbl_assumptions_market[Concrete Intensity
(m³ / sq m BUA)],"",0)</f>
        <v>0.42</v>
      </c>
      <c r="L174" s="134">
        <f>ROUND(Market_Data[[#This Row],[Estimated Built Up Area (sq m)]]*Market_Data[[#This Row],[Concrete Intensity
(m³ / sq m)]],0)</f>
        <v>7392</v>
      </c>
      <c r="M174" s="135">
        <f>_xlfn.XLOOKUP(Market_Data[[#This Row],[District]],tbl_district_price[District],tbl_district_price[Standard Price
(INR/m³)],"",0)</f>
        <v>5800</v>
      </c>
      <c r="N174" s="364">
        <f>IF(OR(Market_Data[[#This Row],[Estimated Concrete Demand (m³)]]="",Market_Data[[#This Row],[Avg Price per (₹ / m³)]]=""),"",Market_Data[[#This Row],[Estimated Concrete Demand (m³)]]*Market_Data[[#This Row],[Avg Price per (₹ / m³)]]/10000000)</f>
        <v>4.2873599999999996</v>
      </c>
      <c r="O174" s="97" t="str">
        <f>IF(Market_Data[[#This Row],[Estimated Concrete Demand (m³)]]="","",
IF(Market_Data[[#This Row],[Estimated Concrete Demand (m³)]]&lt;10000,"Small",
IF(Market_Data[[#This Row],[Estimated Concrete Demand (m³)]]&lt;25000,"Medium",
IF(Market_Data[[#This Row],[Estimated Concrete Demand (m³)]]&lt;100000,"Large","Mega"))))</f>
        <v>Small</v>
      </c>
      <c r="P174" s="287" t="str">
        <f t="shared" si="4"/>
        <v>GujRERA</v>
      </c>
    </row>
    <row r="175" spans="1:16">
      <c r="A175" s="129" t="str">
        <f>_xlfn.XLOOKUP(B175,$S$9:$S$14,$T$9:$T$14)&amp;"-"&amp;
IF(E175="Residential/Group Housing","RES",
IF(E175="Commercial","COM",
IF(E175="Mixed Development","MIX",
IF(E175="Plotted Development","PLT","OTH"))))
&amp;"-"&amp;TEXT(COUNTIFS($B$9:B175,B175,$E$9:E175,E175),"0000")</f>
        <v>BHR-MIX-0064</v>
      </c>
      <c r="B175" s="322" t="s">
        <v>36</v>
      </c>
      <c r="C175" s="322" t="s">
        <v>34</v>
      </c>
      <c r="D175" s="323" t="s">
        <v>361</v>
      </c>
      <c r="E175" s="132" t="s">
        <v>25</v>
      </c>
      <c r="F175" s="97" t="str">
        <f ca="1">IF(OR(Market_Data[[#This Row],[Start Date]]="",Market_Data[[#This Row],[Completion Date]]=""),"Needs Validation",IF(Market_Data[[#This Row],[Start Date]]&gt;TODAY(),"Planned",IF(Market_Data[[#This Row],[Completion Date]]&lt;TODAY(),"Completed","Ongoing")))</f>
        <v>Ongoing</v>
      </c>
      <c r="G175" s="324">
        <v>44790</v>
      </c>
      <c r="H175" s="324">
        <v>47208</v>
      </c>
      <c r="I175" s="325">
        <v>50200</v>
      </c>
      <c r="J17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5" s="133">
        <f>_xlfn.XLOOKUP(Market_Data[[#This Row],[Project Type]],tbl_assumptions_market[Project Category (RERA)],tbl_assumptions_market[Concrete Intensity
(m³ / sq m BUA)],"",0)</f>
        <v>0.42</v>
      </c>
      <c r="L175" s="134">
        <f>ROUND(Market_Data[[#This Row],[Estimated Built Up Area (sq m)]]*Market_Data[[#This Row],[Concrete Intensity
(m³ / sq m)]],0)</f>
        <v>21084</v>
      </c>
      <c r="M175" s="135">
        <f>_xlfn.XLOOKUP(Market_Data[[#This Row],[District]],tbl_district_price[District],tbl_district_price[Standard Price
(INR/m³)],"",0)</f>
        <v>5800</v>
      </c>
      <c r="N175" s="364">
        <f>IF(OR(Market_Data[[#This Row],[Estimated Concrete Demand (m³)]]="",Market_Data[[#This Row],[Avg Price per (₹ / m³)]]=""),"",Market_Data[[#This Row],[Estimated Concrete Demand (m³)]]*Market_Data[[#This Row],[Avg Price per (₹ / m³)]]/10000000)</f>
        <v>12.228719999999999</v>
      </c>
      <c r="O175" s="97" t="str">
        <f>IF(Market_Data[[#This Row],[Estimated Concrete Demand (m³)]]="","",
IF(Market_Data[[#This Row],[Estimated Concrete Demand (m³)]]&lt;10000,"Small",
IF(Market_Data[[#This Row],[Estimated Concrete Demand (m³)]]&lt;25000,"Medium",
IF(Market_Data[[#This Row],[Estimated Concrete Demand (m³)]]&lt;100000,"Large","Mega"))))</f>
        <v>Medium</v>
      </c>
      <c r="P175" s="287" t="str">
        <f t="shared" si="4"/>
        <v>GujRERA</v>
      </c>
    </row>
    <row r="176" spans="1:16">
      <c r="A176" s="129" t="str">
        <f>_xlfn.XLOOKUP(B176,$S$9:$S$14,$T$9:$T$14)&amp;"-"&amp;
IF(E176="Residential/Group Housing","RES",
IF(E176="Commercial","COM",
IF(E176="Mixed Development","MIX",
IF(E176="Plotted Development","PLT","OTH"))))
&amp;"-"&amp;TEXT(COUNTIFS($B$9:B176,B176,$E$9:E176,E176),"0000")</f>
        <v>BHR-MIX-0065</v>
      </c>
      <c r="B176" s="322" t="s">
        <v>36</v>
      </c>
      <c r="C176" s="322" t="s">
        <v>36</v>
      </c>
      <c r="D176" s="323" t="s">
        <v>362</v>
      </c>
      <c r="E176" s="132" t="s">
        <v>25</v>
      </c>
      <c r="F176" s="97" t="str">
        <f ca="1">IF(OR(Market_Data[[#This Row],[Start Date]]="",Market_Data[[#This Row],[Completion Date]]=""),"Needs Validation",IF(Market_Data[[#This Row],[Start Date]]&gt;TODAY(),"Planned",IF(Market_Data[[#This Row],[Completion Date]]&lt;TODAY(),"Completed","Ongoing")))</f>
        <v>Completed</v>
      </c>
      <c r="G176" s="324">
        <v>42248</v>
      </c>
      <c r="H176" s="324">
        <v>45930</v>
      </c>
      <c r="I176" s="325">
        <v>53300</v>
      </c>
      <c r="J17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6" s="133">
        <f>_xlfn.XLOOKUP(Market_Data[[#This Row],[Project Type]],tbl_assumptions_market[Project Category (RERA)],tbl_assumptions_market[Concrete Intensity
(m³ / sq m BUA)],"",0)</f>
        <v>0.42</v>
      </c>
      <c r="L176" s="134">
        <f>ROUND(Market_Data[[#This Row],[Estimated Built Up Area (sq m)]]*Market_Data[[#This Row],[Concrete Intensity
(m³ / sq m)]],0)</f>
        <v>22386</v>
      </c>
      <c r="M176" s="135">
        <f>_xlfn.XLOOKUP(Market_Data[[#This Row],[District]],tbl_district_price[District],tbl_district_price[Standard Price
(INR/m³)],"",0)</f>
        <v>5800</v>
      </c>
      <c r="N176" s="364">
        <f>IF(OR(Market_Data[[#This Row],[Estimated Concrete Demand (m³)]]="",Market_Data[[#This Row],[Avg Price per (₹ / m³)]]=""),"",Market_Data[[#This Row],[Estimated Concrete Demand (m³)]]*Market_Data[[#This Row],[Avg Price per (₹ / m³)]]/10000000)</f>
        <v>12.983879999999999</v>
      </c>
      <c r="O176" s="97" t="str">
        <f>IF(Market_Data[[#This Row],[Estimated Concrete Demand (m³)]]="","",
IF(Market_Data[[#This Row],[Estimated Concrete Demand (m³)]]&lt;10000,"Small",
IF(Market_Data[[#This Row],[Estimated Concrete Demand (m³)]]&lt;25000,"Medium",
IF(Market_Data[[#This Row],[Estimated Concrete Demand (m³)]]&lt;100000,"Large","Mega"))))</f>
        <v>Medium</v>
      </c>
      <c r="P176" s="287" t="str">
        <f t="shared" si="4"/>
        <v>GujRERA</v>
      </c>
    </row>
    <row r="177" spans="1:16">
      <c r="A177" s="129" t="str">
        <f>_xlfn.XLOOKUP(B177,$S$9:$S$14,$T$9:$T$14)&amp;"-"&amp;
IF(E177="Residential/Group Housing","RES",
IF(E177="Commercial","COM",
IF(E177="Mixed Development","MIX",
IF(E177="Plotted Development","PLT","OTH"))))
&amp;"-"&amp;TEXT(COUNTIFS($B$9:B177,B177,$E$9:E177,E177),"0000")</f>
        <v>BHR-COM-0021</v>
      </c>
      <c r="B177" s="322" t="s">
        <v>36</v>
      </c>
      <c r="C177" s="322" t="s">
        <v>36</v>
      </c>
      <c r="D177" s="323" t="s">
        <v>363</v>
      </c>
      <c r="E177" s="132" t="s">
        <v>23</v>
      </c>
      <c r="F177" s="97" t="str">
        <f ca="1">IF(OR(Market_Data[[#This Row],[Start Date]]="",Market_Data[[#This Row],[Completion Date]]=""),"Needs Validation",IF(Market_Data[[#This Row],[Start Date]]&gt;TODAY(),"Planned",IF(Market_Data[[#This Row],[Completion Date]]&lt;TODAY(),"Completed","Ongoing")))</f>
        <v>Completed</v>
      </c>
      <c r="G177" s="324">
        <v>43101</v>
      </c>
      <c r="H177" s="324">
        <v>43846</v>
      </c>
      <c r="I177" s="325">
        <v>25800</v>
      </c>
      <c r="J17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77" s="133">
        <f>_xlfn.XLOOKUP(Market_Data[[#This Row],[Project Type]],tbl_assumptions_market[Project Category (RERA)],tbl_assumptions_market[Concrete Intensity
(m³ / sq m BUA)],"",0)</f>
        <v>0.5</v>
      </c>
      <c r="L177" s="134">
        <f>ROUND(Market_Data[[#This Row],[Estimated Built Up Area (sq m)]]*Market_Data[[#This Row],[Concrete Intensity
(m³ / sq m)]],0)</f>
        <v>12900</v>
      </c>
      <c r="M177" s="135">
        <f>_xlfn.XLOOKUP(Market_Data[[#This Row],[District]],tbl_district_price[District],tbl_district_price[Standard Price
(INR/m³)],"",0)</f>
        <v>5800</v>
      </c>
      <c r="N177" s="364">
        <f>IF(OR(Market_Data[[#This Row],[Estimated Concrete Demand (m³)]]="",Market_Data[[#This Row],[Avg Price per (₹ / m³)]]=""),"",Market_Data[[#This Row],[Estimated Concrete Demand (m³)]]*Market_Data[[#This Row],[Avg Price per (₹ / m³)]]/10000000)</f>
        <v>7.4820000000000002</v>
      </c>
      <c r="O177" s="97" t="str">
        <f>IF(Market_Data[[#This Row],[Estimated Concrete Demand (m³)]]="","",
IF(Market_Data[[#This Row],[Estimated Concrete Demand (m³)]]&lt;10000,"Small",
IF(Market_Data[[#This Row],[Estimated Concrete Demand (m³)]]&lt;25000,"Medium",
IF(Market_Data[[#This Row],[Estimated Concrete Demand (m³)]]&lt;100000,"Large","Mega"))))</f>
        <v>Medium</v>
      </c>
      <c r="P177" s="287" t="str">
        <f t="shared" si="4"/>
        <v>GujRERA</v>
      </c>
    </row>
    <row r="178" spans="1:16">
      <c r="A178" s="129" t="str">
        <f>_xlfn.XLOOKUP(B178,$S$9:$S$14,$T$9:$T$14)&amp;"-"&amp;
IF(E178="Residential/Group Housing","RES",
IF(E178="Commercial","COM",
IF(E178="Mixed Development","MIX",
IF(E178="Plotted Development","PLT","OTH"))))
&amp;"-"&amp;TEXT(COUNTIFS($B$9:B178,B178,$E$9:E178,E178),"0000")</f>
        <v>BHR-RES-0075</v>
      </c>
      <c r="B178" s="322" t="s">
        <v>36</v>
      </c>
      <c r="C178" s="322" t="s">
        <v>36</v>
      </c>
      <c r="D178" s="323" t="s">
        <v>364</v>
      </c>
      <c r="E178" s="132" t="s">
        <v>24</v>
      </c>
      <c r="F178" s="97" t="str">
        <f ca="1">IF(OR(Market_Data[[#This Row],[Start Date]]="",Market_Data[[#This Row],[Completion Date]]=""),"Needs Validation",IF(Market_Data[[#This Row],[Start Date]]&gt;TODAY(),"Planned",IF(Market_Data[[#This Row],[Completion Date]]&lt;TODAY(),"Completed","Ongoing")))</f>
        <v>Ongoing</v>
      </c>
      <c r="G178" s="324">
        <v>43452</v>
      </c>
      <c r="H178" s="324">
        <v>46295</v>
      </c>
      <c r="I178" s="325">
        <v>17300</v>
      </c>
      <c r="J17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8" s="133">
        <f>_xlfn.XLOOKUP(Market_Data[[#This Row],[Project Type]],tbl_assumptions_market[Project Category (RERA)],tbl_assumptions_market[Concrete Intensity
(m³ / sq m BUA)],"",0)</f>
        <v>0.45</v>
      </c>
      <c r="L178" s="134">
        <f>ROUND(Market_Data[[#This Row],[Estimated Built Up Area (sq m)]]*Market_Data[[#This Row],[Concrete Intensity
(m³ / sq m)]],0)</f>
        <v>7785</v>
      </c>
      <c r="M178" s="135">
        <f>_xlfn.XLOOKUP(Market_Data[[#This Row],[District]],tbl_district_price[District],tbl_district_price[Standard Price
(INR/m³)],"",0)</f>
        <v>5800</v>
      </c>
      <c r="N178" s="364">
        <f>IF(OR(Market_Data[[#This Row],[Estimated Concrete Demand (m³)]]="",Market_Data[[#This Row],[Avg Price per (₹ / m³)]]=""),"",Market_Data[[#This Row],[Estimated Concrete Demand (m³)]]*Market_Data[[#This Row],[Avg Price per (₹ / m³)]]/10000000)</f>
        <v>4.5152999999999999</v>
      </c>
      <c r="O178" s="97" t="str">
        <f>IF(Market_Data[[#This Row],[Estimated Concrete Demand (m³)]]="","",
IF(Market_Data[[#This Row],[Estimated Concrete Demand (m³)]]&lt;10000,"Small",
IF(Market_Data[[#This Row],[Estimated Concrete Demand (m³)]]&lt;25000,"Medium",
IF(Market_Data[[#This Row],[Estimated Concrete Demand (m³)]]&lt;100000,"Large","Mega"))))</f>
        <v>Small</v>
      </c>
      <c r="P178" s="287" t="str">
        <f t="shared" si="4"/>
        <v>GujRERA</v>
      </c>
    </row>
    <row r="179" spans="1:16">
      <c r="A179" s="129" t="str">
        <f>_xlfn.XLOOKUP(B179,$S$9:$S$14,$T$9:$T$14)&amp;"-"&amp;
IF(E179="Residential/Group Housing","RES",
IF(E179="Commercial","COM",
IF(E179="Mixed Development","MIX",
IF(E179="Plotted Development","PLT","OTH"))))
&amp;"-"&amp;TEXT(COUNTIFS($B$9:B179,B179,$E$9:E179,E179),"0000")</f>
        <v>BHR-RES-0076</v>
      </c>
      <c r="B179" s="322" t="s">
        <v>36</v>
      </c>
      <c r="C179" s="322" t="s">
        <v>36</v>
      </c>
      <c r="D179" s="323" t="s">
        <v>365</v>
      </c>
      <c r="E179" s="132" t="s">
        <v>24</v>
      </c>
      <c r="F179" s="97" t="str">
        <f ca="1">IF(OR(Market_Data[[#This Row],[Start Date]]="",Market_Data[[#This Row],[Completion Date]]=""),"Needs Validation",IF(Market_Data[[#This Row],[Start Date]]&gt;TODAY(),"Planned",IF(Market_Data[[#This Row],[Completion Date]]&lt;TODAY(),"Completed","Ongoing")))</f>
        <v>Completed</v>
      </c>
      <c r="G179" s="324">
        <v>43033</v>
      </c>
      <c r="H179" s="324">
        <v>44560</v>
      </c>
      <c r="I179" s="325">
        <v>17700</v>
      </c>
      <c r="J17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9" s="133">
        <f>_xlfn.XLOOKUP(Market_Data[[#This Row],[Project Type]],tbl_assumptions_market[Project Category (RERA)],tbl_assumptions_market[Concrete Intensity
(m³ / sq m BUA)],"",0)</f>
        <v>0.45</v>
      </c>
      <c r="L179" s="134">
        <f>ROUND(Market_Data[[#This Row],[Estimated Built Up Area (sq m)]]*Market_Data[[#This Row],[Concrete Intensity
(m³ / sq m)]],0)</f>
        <v>7965</v>
      </c>
      <c r="M179" s="135">
        <f>_xlfn.XLOOKUP(Market_Data[[#This Row],[District]],tbl_district_price[District],tbl_district_price[Standard Price
(INR/m³)],"",0)</f>
        <v>5800</v>
      </c>
      <c r="N179" s="364">
        <f>IF(OR(Market_Data[[#This Row],[Estimated Concrete Demand (m³)]]="",Market_Data[[#This Row],[Avg Price per (₹ / m³)]]=""),"",Market_Data[[#This Row],[Estimated Concrete Demand (m³)]]*Market_Data[[#This Row],[Avg Price per (₹ / m³)]]/10000000)</f>
        <v>4.6196999999999999</v>
      </c>
      <c r="O179" s="97" t="str">
        <f>IF(Market_Data[[#This Row],[Estimated Concrete Demand (m³)]]="","",
IF(Market_Data[[#This Row],[Estimated Concrete Demand (m³)]]&lt;10000,"Small",
IF(Market_Data[[#This Row],[Estimated Concrete Demand (m³)]]&lt;25000,"Medium",
IF(Market_Data[[#This Row],[Estimated Concrete Demand (m³)]]&lt;100000,"Large","Mega"))))</f>
        <v>Small</v>
      </c>
      <c r="P179" s="287" t="str">
        <f t="shared" si="4"/>
        <v>GujRERA</v>
      </c>
    </row>
    <row r="180" spans="1:16">
      <c r="A180" s="129" t="str">
        <f>_xlfn.XLOOKUP(B180,$S$9:$S$14,$T$9:$T$14)&amp;"-"&amp;
IF(E180="Residential/Group Housing","RES",
IF(E180="Commercial","COM",
IF(E180="Mixed Development","MIX",
IF(E180="Plotted Development","PLT","OTH"))))
&amp;"-"&amp;TEXT(COUNTIFS($B$9:B180,B180,$E$9:E180,E180),"0000")</f>
        <v>BHR-MIX-0066</v>
      </c>
      <c r="B180" s="322" t="s">
        <v>36</v>
      </c>
      <c r="C180" s="322" t="s">
        <v>36</v>
      </c>
      <c r="D180" s="323" t="s">
        <v>366</v>
      </c>
      <c r="E180" s="132" t="s">
        <v>25</v>
      </c>
      <c r="F180" s="97" t="str">
        <f ca="1">IF(OR(Market_Data[[#This Row],[Start Date]]="",Market_Data[[#This Row],[Completion Date]]=""),"Needs Validation",IF(Market_Data[[#This Row],[Start Date]]&gt;TODAY(),"Planned",IF(Market_Data[[#This Row],[Completion Date]]&lt;TODAY(),"Completed","Ongoing")))</f>
        <v>Ongoing</v>
      </c>
      <c r="G180" s="324">
        <v>44287</v>
      </c>
      <c r="H180" s="324">
        <v>46387</v>
      </c>
      <c r="I180" s="325">
        <v>54900</v>
      </c>
      <c r="J18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0" s="133">
        <f>_xlfn.XLOOKUP(Market_Data[[#This Row],[Project Type]],tbl_assumptions_market[Project Category (RERA)],tbl_assumptions_market[Concrete Intensity
(m³ / sq m BUA)],"",0)</f>
        <v>0.42</v>
      </c>
      <c r="L180" s="134">
        <f>ROUND(Market_Data[[#This Row],[Estimated Built Up Area (sq m)]]*Market_Data[[#This Row],[Concrete Intensity
(m³ / sq m)]],0)</f>
        <v>23058</v>
      </c>
      <c r="M180" s="135">
        <f>_xlfn.XLOOKUP(Market_Data[[#This Row],[District]],tbl_district_price[District],tbl_district_price[Standard Price
(INR/m³)],"",0)</f>
        <v>5800</v>
      </c>
      <c r="N180" s="364">
        <f>IF(OR(Market_Data[[#This Row],[Estimated Concrete Demand (m³)]]="",Market_Data[[#This Row],[Avg Price per (₹ / m³)]]=""),"",Market_Data[[#This Row],[Estimated Concrete Demand (m³)]]*Market_Data[[#This Row],[Avg Price per (₹ / m³)]]/10000000)</f>
        <v>13.37364</v>
      </c>
      <c r="O180" s="97" t="str">
        <f>IF(Market_Data[[#This Row],[Estimated Concrete Demand (m³)]]="","",
IF(Market_Data[[#This Row],[Estimated Concrete Demand (m³)]]&lt;10000,"Small",
IF(Market_Data[[#This Row],[Estimated Concrete Demand (m³)]]&lt;25000,"Medium",
IF(Market_Data[[#This Row],[Estimated Concrete Demand (m³)]]&lt;100000,"Large","Mega"))))</f>
        <v>Medium</v>
      </c>
      <c r="P180" s="287" t="str">
        <f t="shared" si="4"/>
        <v>GujRERA</v>
      </c>
    </row>
    <row r="181" spans="1:16">
      <c r="A181" s="129" t="str">
        <f>_xlfn.XLOOKUP(B181,$S$9:$S$14,$T$9:$T$14)&amp;"-"&amp;
IF(E181="Residential/Group Housing","RES",
IF(E181="Commercial","COM",
IF(E181="Mixed Development","MIX",
IF(E181="Plotted Development","PLT","OTH"))))
&amp;"-"&amp;TEXT(COUNTIFS($B$9:B181,B181,$E$9:E181,E181),"0000")</f>
        <v>BHR-MIX-0067</v>
      </c>
      <c r="B181" s="322" t="s">
        <v>36</v>
      </c>
      <c r="C181" s="322" t="s">
        <v>36</v>
      </c>
      <c r="D181" s="323" t="s">
        <v>367</v>
      </c>
      <c r="E181" s="132" t="s">
        <v>25</v>
      </c>
      <c r="F181" s="97" t="str">
        <f ca="1">IF(OR(Market_Data[[#This Row],[Start Date]]="",Market_Data[[#This Row],[Completion Date]]=""),"Needs Validation",IF(Market_Data[[#This Row],[Start Date]]&gt;TODAY(),"Planned",IF(Market_Data[[#This Row],[Completion Date]]&lt;TODAY(),"Completed","Ongoing")))</f>
        <v>Ongoing</v>
      </c>
      <c r="G181" s="324">
        <v>44866</v>
      </c>
      <c r="H181" s="324">
        <v>46752</v>
      </c>
      <c r="I181" s="325">
        <v>56800</v>
      </c>
      <c r="J18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1" s="133">
        <f>_xlfn.XLOOKUP(Market_Data[[#This Row],[Project Type]],tbl_assumptions_market[Project Category (RERA)],tbl_assumptions_market[Concrete Intensity
(m³ / sq m BUA)],"",0)</f>
        <v>0.42</v>
      </c>
      <c r="L181" s="134">
        <f>ROUND(Market_Data[[#This Row],[Estimated Built Up Area (sq m)]]*Market_Data[[#This Row],[Concrete Intensity
(m³ / sq m)]],0)</f>
        <v>23856</v>
      </c>
      <c r="M181" s="135">
        <f>_xlfn.XLOOKUP(Market_Data[[#This Row],[District]],tbl_district_price[District],tbl_district_price[Standard Price
(INR/m³)],"",0)</f>
        <v>5800</v>
      </c>
      <c r="N181" s="364">
        <f>IF(OR(Market_Data[[#This Row],[Estimated Concrete Demand (m³)]]="",Market_Data[[#This Row],[Avg Price per (₹ / m³)]]=""),"",Market_Data[[#This Row],[Estimated Concrete Demand (m³)]]*Market_Data[[#This Row],[Avg Price per (₹ / m³)]]/10000000)</f>
        <v>13.83648</v>
      </c>
      <c r="O181" s="97" t="str">
        <f>IF(Market_Data[[#This Row],[Estimated Concrete Demand (m³)]]="","",
IF(Market_Data[[#This Row],[Estimated Concrete Demand (m³)]]&lt;10000,"Small",
IF(Market_Data[[#This Row],[Estimated Concrete Demand (m³)]]&lt;25000,"Medium",
IF(Market_Data[[#This Row],[Estimated Concrete Demand (m³)]]&lt;100000,"Large","Mega"))))</f>
        <v>Medium</v>
      </c>
      <c r="P181" s="287" t="str">
        <f t="shared" si="4"/>
        <v>GujRERA</v>
      </c>
    </row>
    <row r="182" spans="1:16">
      <c r="A182" s="129" t="str">
        <f>_xlfn.XLOOKUP(B182,$S$9:$S$14,$T$9:$T$14)&amp;"-"&amp;
IF(E182="Residential/Group Housing","RES",
IF(E182="Commercial","COM",
IF(E182="Mixed Development","MIX",
IF(E182="Plotted Development","PLT","OTH"))))
&amp;"-"&amp;TEXT(COUNTIFS($B$9:B182,B182,$E$9:E182,E182),"0000")</f>
        <v>BHR-COM-0022</v>
      </c>
      <c r="B182" s="322" t="s">
        <v>36</v>
      </c>
      <c r="C182" s="322" t="s">
        <v>36</v>
      </c>
      <c r="D182" s="323" t="s">
        <v>368</v>
      </c>
      <c r="E182" s="132" t="s">
        <v>23</v>
      </c>
      <c r="F182" s="97" t="str">
        <f ca="1">IF(OR(Market_Data[[#This Row],[Start Date]]="",Market_Data[[#This Row],[Completion Date]]=""),"Needs Validation",IF(Market_Data[[#This Row],[Start Date]]&gt;TODAY(),"Planned",IF(Market_Data[[#This Row],[Completion Date]]&lt;TODAY(),"Completed","Ongoing")))</f>
        <v>Completed</v>
      </c>
      <c r="G182" s="324">
        <v>43814</v>
      </c>
      <c r="H182" s="324">
        <v>46203</v>
      </c>
      <c r="I182" s="325">
        <v>10500</v>
      </c>
      <c r="J18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2" s="133">
        <f>_xlfn.XLOOKUP(Market_Data[[#This Row],[Project Type]],tbl_assumptions_market[Project Category (RERA)],tbl_assumptions_market[Concrete Intensity
(m³ / sq m BUA)],"",0)</f>
        <v>0.5</v>
      </c>
      <c r="L182" s="134">
        <f>ROUND(Market_Data[[#This Row],[Estimated Built Up Area (sq m)]]*Market_Data[[#This Row],[Concrete Intensity
(m³ / sq m)]],0)</f>
        <v>5250</v>
      </c>
      <c r="M182" s="135">
        <f>_xlfn.XLOOKUP(Market_Data[[#This Row],[District]],tbl_district_price[District],tbl_district_price[Standard Price
(INR/m³)],"",0)</f>
        <v>5800</v>
      </c>
      <c r="N182" s="364">
        <f>IF(OR(Market_Data[[#This Row],[Estimated Concrete Demand (m³)]]="",Market_Data[[#This Row],[Avg Price per (₹ / m³)]]=""),"",Market_Data[[#This Row],[Estimated Concrete Demand (m³)]]*Market_Data[[#This Row],[Avg Price per (₹ / m³)]]/10000000)</f>
        <v>3.0449999999999999</v>
      </c>
      <c r="O182" s="97" t="str">
        <f>IF(Market_Data[[#This Row],[Estimated Concrete Demand (m³)]]="","",
IF(Market_Data[[#This Row],[Estimated Concrete Demand (m³)]]&lt;10000,"Small",
IF(Market_Data[[#This Row],[Estimated Concrete Demand (m³)]]&lt;25000,"Medium",
IF(Market_Data[[#This Row],[Estimated Concrete Demand (m³)]]&lt;100000,"Large","Mega"))))</f>
        <v>Small</v>
      </c>
      <c r="P182" s="287" t="str">
        <f t="shared" si="4"/>
        <v>GujRERA</v>
      </c>
    </row>
    <row r="183" spans="1:16">
      <c r="A183" s="129" t="str">
        <f>_xlfn.XLOOKUP(B183,$S$9:$S$14,$T$9:$T$14)&amp;"-"&amp;
IF(E183="Residential/Group Housing","RES",
IF(E183="Commercial","COM",
IF(E183="Mixed Development","MIX",
IF(E183="Plotted Development","PLT","OTH"))))
&amp;"-"&amp;TEXT(COUNTIFS($B$9:B183,B183,$E$9:E183,E183),"0000")</f>
        <v>BHR-RES-0077</v>
      </c>
      <c r="B183" s="322" t="s">
        <v>36</v>
      </c>
      <c r="C183" s="322" t="s">
        <v>36</v>
      </c>
      <c r="D183" s="323" t="s">
        <v>369</v>
      </c>
      <c r="E183" s="132" t="s">
        <v>24</v>
      </c>
      <c r="F183" s="97" t="str">
        <f ca="1">IF(OR(Market_Data[[#This Row],[Start Date]]="",Market_Data[[#This Row],[Completion Date]]=""),"Needs Validation",IF(Market_Data[[#This Row],[Start Date]]&gt;TODAY(),"Planned",IF(Market_Data[[#This Row],[Completion Date]]&lt;TODAY(),"Completed","Ongoing")))</f>
        <v>Ongoing</v>
      </c>
      <c r="G183" s="324">
        <v>45986</v>
      </c>
      <c r="H183" s="324">
        <v>47848</v>
      </c>
      <c r="I183" s="325">
        <v>28500</v>
      </c>
      <c r="J18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3" s="133">
        <f>_xlfn.XLOOKUP(Market_Data[[#This Row],[Project Type]],tbl_assumptions_market[Project Category (RERA)],tbl_assumptions_market[Concrete Intensity
(m³ / sq m BUA)],"",0)</f>
        <v>0.45</v>
      </c>
      <c r="L183" s="134">
        <f>ROUND(Market_Data[[#This Row],[Estimated Built Up Area (sq m)]]*Market_Data[[#This Row],[Concrete Intensity
(m³ / sq m)]],0)</f>
        <v>12825</v>
      </c>
      <c r="M183" s="135">
        <f>_xlfn.XLOOKUP(Market_Data[[#This Row],[District]],tbl_district_price[District],tbl_district_price[Standard Price
(INR/m³)],"",0)</f>
        <v>5800</v>
      </c>
      <c r="N183" s="364">
        <f>IF(OR(Market_Data[[#This Row],[Estimated Concrete Demand (m³)]]="",Market_Data[[#This Row],[Avg Price per (₹ / m³)]]=""),"",Market_Data[[#This Row],[Estimated Concrete Demand (m³)]]*Market_Data[[#This Row],[Avg Price per (₹ / m³)]]/10000000)</f>
        <v>7.4385000000000003</v>
      </c>
      <c r="O183" s="97" t="str">
        <f>IF(Market_Data[[#This Row],[Estimated Concrete Demand (m³)]]="","",
IF(Market_Data[[#This Row],[Estimated Concrete Demand (m³)]]&lt;10000,"Small",
IF(Market_Data[[#This Row],[Estimated Concrete Demand (m³)]]&lt;25000,"Medium",
IF(Market_Data[[#This Row],[Estimated Concrete Demand (m³)]]&lt;100000,"Large","Mega"))))</f>
        <v>Medium</v>
      </c>
      <c r="P183" s="287" t="str">
        <f t="shared" si="4"/>
        <v>GujRERA</v>
      </c>
    </row>
    <row r="184" spans="1:16">
      <c r="A184" s="129" t="str">
        <f>_xlfn.XLOOKUP(B184,$S$9:$S$14,$T$9:$T$14)&amp;"-"&amp;
IF(E184="Residential/Group Housing","RES",
IF(E184="Commercial","COM",
IF(E184="Mixed Development","MIX",
IF(E184="Plotted Development","PLT","OTH"))))
&amp;"-"&amp;TEXT(COUNTIFS($B$9:B184,B184,$E$9:E184,E184),"0000")</f>
        <v>BHR-MIX-0068</v>
      </c>
      <c r="B184" s="322" t="s">
        <v>36</v>
      </c>
      <c r="C184" s="322" t="s">
        <v>36</v>
      </c>
      <c r="D184" s="323" t="s">
        <v>370</v>
      </c>
      <c r="E184" s="132" t="s">
        <v>25</v>
      </c>
      <c r="F184" s="97" t="str">
        <f ca="1">IF(OR(Market_Data[[#This Row],[Start Date]]="",Market_Data[[#This Row],[Completion Date]]=""),"Needs Validation",IF(Market_Data[[#This Row],[Start Date]]&gt;TODAY(),"Planned",IF(Market_Data[[#This Row],[Completion Date]]&lt;TODAY(),"Completed","Ongoing")))</f>
        <v>Ongoing</v>
      </c>
      <c r="G184" s="324">
        <v>44846</v>
      </c>
      <c r="H184" s="324">
        <v>47848</v>
      </c>
      <c r="I184" s="325">
        <v>50400</v>
      </c>
      <c r="J18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4" s="133">
        <f>_xlfn.XLOOKUP(Market_Data[[#This Row],[Project Type]],tbl_assumptions_market[Project Category (RERA)],tbl_assumptions_market[Concrete Intensity
(m³ / sq m BUA)],"",0)</f>
        <v>0.42</v>
      </c>
      <c r="L184" s="134">
        <f>ROUND(Market_Data[[#This Row],[Estimated Built Up Area (sq m)]]*Market_Data[[#This Row],[Concrete Intensity
(m³ / sq m)]],0)</f>
        <v>21168</v>
      </c>
      <c r="M184" s="135">
        <f>_xlfn.XLOOKUP(Market_Data[[#This Row],[District]],tbl_district_price[District],tbl_district_price[Standard Price
(INR/m³)],"",0)</f>
        <v>5800</v>
      </c>
      <c r="N184" s="364">
        <f>IF(OR(Market_Data[[#This Row],[Estimated Concrete Demand (m³)]]="",Market_Data[[#This Row],[Avg Price per (₹ / m³)]]=""),"",Market_Data[[#This Row],[Estimated Concrete Demand (m³)]]*Market_Data[[#This Row],[Avg Price per (₹ / m³)]]/10000000)</f>
        <v>12.27744</v>
      </c>
      <c r="O184" s="97" t="str">
        <f>IF(Market_Data[[#This Row],[Estimated Concrete Demand (m³)]]="","",
IF(Market_Data[[#This Row],[Estimated Concrete Demand (m³)]]&lt;10000,"Small",
IF(Market_Data[[#This Row],[Estimated Concrete Demand (m³)]]&lt;25000,"Medium",
IF(Market_Data[[#This Row],[Estimated Concrete Demand (m³)]]&lt;100000,"Large","Mega"))))</f>
        <v>Medium</v>
      </c>
      <c r="P184" s="287" t="str">
        <f t="shared" si="4"/>
        <v>GujRERA</v>
      </c>
    </row>
    <row r="185" spans="1:16">
      <c r="A185" s="129" t="str">
        <f>_xlfn.XLOOKUP(B185,$S$9:$S$14,$T$9:$T$14)&amp;"-"&amp;
IF(E185="Residential/Group Housing","RES",
IF(E185="Commercial","COM",
IF(E185="Mixed Development","MIX",
IF(E185="Plotted Development","PLT","OTH"))))
&amp;"-"&amp;TEXT(COUNTIFS($B$9:B185,B185,$E$9:E185,E185),"0000")</f>
        <v>BHR-MIX-0069</v>
      </c>
      <c r="B185" s="322" t="s">
        <v>36</v>
      </c>
      <c r="C185" s="322" t="s">
        <v>36</v>
      </c>
      <c r="D185" s="323" t="s">
        <v>371</v>
      </c>
      <c r="E185" s="132" t="s">
        <v>25</v>
      </c>
      <c r="F185" s="97" t="str">
        <f ca="1">IF(OR(Market_Data[[#This Row],[Start Date]]="",Market_Data[[#This Row],[Completion Date]]=""),"Needs Validation",IF(Market_Data[[#This Row],[Start Date]]&gt;TODAY(),"Planned",IF(Market_Data[[#This Row],[Completion Date]]&lt;TODAY(),"Completed","Ongoing")))</f>
        <v>Completed</v>
      </c>
      <c r="G185" s="324">
        <v>44359</v>
      </c>
      <c r="H185" s="324">
        <v>46203</v>
      </c>
      <c r="I185" s="325">
        <v>18700</v>
      </c>
      <c r="J18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5" s="133">
        <f>_xlfn.XLOOKUP(Market_Data[[#This Row],[Project Type]],tbl_assumptions_market[Project Category (RERA)],tbl_assumptions_market[Concrete Intensity
(m³ / sq m BUA)],"",0)</f>
        <v>0.42</v>
      </c>
      <c r="L185" s="134">
        <f>ROUND(Market_Data[[#This Row],[Estimated Built Up Area (sq m)]]*Market_Data[[#This Row],[Concrete Intensity
(m³ / sq m)]],0)</f>
        <v>7854</v>
      </c>
      <c r="M185" s="135">
        <f>_xlfn.XLOOKUP(Market_Data[[#This Row],[District]],tbl_district_price[District],tbl_district_price[Standard Price
(INR/m³)],"",0)</f>
        <v>5800</v>
      </c>
      <c r="N185" s="364">
        <f>IF(OR(Market_Data[[#This Row],[Estimated Concrete Demand (m³)]]="",Market_Data[[#This Row],[Avg Price per (₹ / m³)]]=""),"",Market_Data[[#This Row],[Estimated Concrete Demand (m³)]]*Market_Data[[#This Row],[Avg Price per (₹ / m³)]]/10000000)</f>
        <v>4.55532</v>
      </c>
      <c r="O185" s="97" t="str">
        <f>IF(Market_Data[[#This Row],[Estimated Concrete Demand (m³)]]="","",
IF(Market_Data[[#This Row],[Estimated Concrete Demand (m³)]]&lt;10000,"Small",
IF(Market_Data[[#This Row],[Estimated Concrete Demand (m³)]]&lt;25000,"Medium",
IF(Market_Data[[#This Row],[Estimated Concrete Demand (m³)]]&lt;100000,"Large","Mega"))))</f>
        <v>Small</v>
      </c>
      <c r="P185" s="287" t="str">
        <f t="shared" si="4"/>
        <v>GujRERA</v>
      </c>
    </row>
    <row r="186" spans="1:16">
      <c r="A186" s="129" t="str">
        <f>_xlfn.XLOOKUP(B186,$S$9:$S$14,$T$9:$T$14)&amp;"-"&amp;
IF(E186="Residential/Group Housing","RES",
IF(E186="Commercial","COM",
IF(E186="Mixed Development","MIX",
IF(E186="Plotted Development","PLT","OTH"))))
&amp;"-"&amp;TEXT(COUNTIFS($B$9:B186,B186,$E$9:E186,E186),"0000")</f>
        <v>BHR-RES-0078</v>
      </c>
      <c r="B186" s="322" t="s">
        <v>36</v>
      </c>
      <c r="C186" s="322" t="s">
        <v>36</v>
      </c>
      <c r="D186" s="323" t="s">
        <v>372</v>
      </c>
      <c r="E186" s="132" t="s">
        <v>24</v>
      </c>
      <c r="F186" s="97" t="str">
        <f ca="1">IF(OR(Market_Data[[#This Row],[Start Date]]="",Market_Data[[#This Row],[Completion Date]]=""),"Needs Validation",IF(Market_Data[[#This Row],[Start Date]]&gt;TODAY(),"Planned",IF(Market_Data[[#This Row],[Completion Date]]&lt;TODAY(),"Completed","Ongoing")))</f>
        <v>Ongoing</v>
      </c>
      <c r="G186" s="324">
        <v>45449</v>
      </c>
      <c r="H186" s="324">
        <v>46843</v>
      </c>
      <c r="I186" s="325">
        <v>28200</v>
      </c>
      <c r="J18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6" s="133">
        <f>_xlfn.XLOOKUP(Market_Data[[#This Row],[Project Type]],tbl_assumptions_market[Project Category (RERA)],tbl_assumptions_market[Concrete Intensity
(m³ / sq m BUA)],"",0)</f>
        <v>0.45</v>
      </c>
      <c r="L186" s="134">
        <f>ROUND(Market_Data[[#This Row],[Estimated Built Up Area (sq m)]]*Market_Data[[#This Row],[Concrete Intensity
(m³ / sq m)]],0)</f>
        <v>12690</v>
      </c>
      <c r="M186" s="135">
        <f>_xlfn.XLOOKUP(Market_Data[[#This Row],[District]],tbl_district_price[District],tbl_district_price[Standard Price
(INR/m³)],"",0)</f>
        <v>5800</v>
      </c>
      <c r="N186" s="364">
        <f>IF(OR(Market_Data[[#This Row],[Estimated Concrete Demand (m³)]]="",Market_Data[[#This Row],[Avg Price per (₹ / m³)]]=""),"",Market_Data[[#This Row],[Estimated Concrete Demand (m³)]]*Market_Data[[#This Row],[Avg Price per (₹ / m³)]]/10000000)</f>
        <v>7.3601999999999999</v>
      </c>
      <c r="O186" s="97" t="str">
        <f>IF(Market_Data[[#This Row],[Estimated Concrete Demand (m³)]]="","",
IF(Market_Data[[#This Row],[Estimated Concrete Demand (m³)]]&lt;10000,"Small",
IF(Market_Data[[#This Row],[Estimated Concrete Demand (m³)]]&lt;25000,"Medium",
IF(Market_Data[[#This Row],[Estimated Concrete Demand (m³)]]&lt;100000,"Large","Mega"))))</f>
        <v>Medium</v>
      </c>
      <c r="P186" s="287" t="str">
        <f t="shared" si="4"/>
        <v>GujRERA</v>
      </c>
    </row>
    <row r="187" spans="1:16">
      <c r="A187" s="129" t="str">
        <f>_xlfn.XLOOKUP(B187,$S$9:$S$14,$T$9:$T$14)&amp;"-"&amp;
IF(E187="Residential/Group Housing","RES",
IF(E187="Commercial","COM",
IF(E187="Mixed Development","MIX",
IF(E187="Plotted Development","PLT","OTH"))))
&amp;"-"&amp;TEXT(COUNTIFS($B$9:B187,B187,$E$9:E187,E187),"0000")</f>
        <v>BHR-RES-0079</v>
      </c>
      <c r="B187" s="322" t="s">
        <v>36</v>
      </c>
      <c r="C187" s="322" t="s">
        <v>36</v>
      </c>
      <c r="D187" s="323" t="s">
        <v>373</v>
      </c>
      <c r="E187" s="132" t="s">
        <v>24</v>
      </c>
      <c r="F187" s="97" t="str">
        <f ca="1">IF(OR(Market_Data[[#This Row],[Start Date]]="",Market_Data[[#This Row],[Completion Date]]=""),"Needs Validation",IF(Market_Data[[#This Row],[Start Date]]&gt;TODAY(),"Planned",IF(Market_Data[[#This Row],[Completion Date]]&lt;TODAY(),"Completed","Ongoing")))</f>
        <v>Ongoing</v>
      </c>
      <c r="G187" s="324">
        <v>45282</v>
      </c>
      <c r="H187" s="324">
        <v>46691</v>
      </c>
      <c r="I187" s="325">
        <v>27800</v>
      </c>
      <c r="J18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7" s="133">
        <f>_xlfn.XLOOKUP(Market_Data[[#This Row],[Project Type]],tbl_assumptions_market[Project Category (RERA)],tbl_assumptions_market[Concrete Intensity
(m³ / sq m BUA)],"",0)</f>
        <v>0.45</v>
      </c>
      <c r="L187" s="134">
        <f>ROUND(Market_Data[[#This Row],[Estimated Built Up Area (sq m)]]*Market_Data[[#This Row],[Concrete Intensity
(m³ / sq m)]],0)</f>
        <v>12510</v>
      </c>
      <c r="M187" s="135">
        <f>_xlfn.XLOOKUP(Market_Data[[#This Row],[District]],tbl_district_price[District],tbl_district_price[Standard Price
(INR/m³)],"",0)</f>
        <v>5800</v>
      </c>
      <c r="N187" s="364">
        <f>IF(OR(Market_Data[[#This Row],[Estimated Concrete Demand (m³)]]="",Market_Data[[#This Row],[Avg Price per (₹ / m³)]]=""),"",Market_Data[[#This Row],[Estimated Concrete Demand (m³)]]*Market_Data[[#This Row],[Avg Price per (₹ / m³)]]/10000000)</f>
        <v>7.2557999999999998</v>
      </c>
      <c r="O187" s="97" t="str">
        <f>IF(Market_Data[[#This Row],[Estimated Concrete Demand (m³)]]="","",
IF(Market_Data[[#This Row],[Estimated Concrete Demand (m³)]]&lt;10000,"Small",
IF(Market_Data[[#This Row],[Estimated Concrete Demand (m³)]]&lt;25000,"Medium",
IF(Market_Data[[#This Row],[Estimated Concrete Demand (m³)]]&lt;100000,"Large","Mega"))))</f>
        <v>Medium</v>
      </c>
      <c r="P187" s="287" t="str">
        <f t="shared" si="4"/>
        <v>GujRERA</v>
      </c>
    </row>
    <row r="188" spans="1:16">
      <c r="A188" s="129" t="str">
        <f>_xlfn.XLOOKUP(B188,$S$9:$S$14,$T$9:$T$14)&amp;"-"&amp;
IF(E188="Residential/Group Housing","RES",
IF(E188="Commercial","COM",
IF(E188="Mixed Development","MIX",
IF(E188="Plotted Development","PLT","OTH"))))
&amp;"-"&amp;TEXT(COUNTIFS($B$9:B188,B188,$E$9:E188,E188),"0000")</f>
        <v>BHR-MIX-0070</v>
      </c>
      <c r="B188" s="322" t="s">
        <v>36</v>
      </c>
      <c r="C188" s="322" t="s">
        <v>36</v>
      </c>
      <c r="D188" s="323" t="s">
        <v>374</v>
      </c>
      <c r="E188" s="132" t="s">
        <v>25</v>
      </c>
      <c r="F188" s="97" t="str">
        <f ca="1">IF(OR(Market_Data[[#This Row],[Start Date]]="",Market_Data[[#This Row],[Completion Date]]=""),"Needs Validation",IF(Market_Data[[#This Row],[Start Date]]&gt;TODAY(),"Planned",IF(Market_Data[[#This Row],[Completion Date]]&lt;TODAY(),"Completed","Ongoing")))</f>
        <v>Completed</v>
      </c>
      <c r="G188" s="324">
        <v>43300</v>
      </c>
      <c r="H188" s="324">
        <v>46081</v>
      </c>
      <c r="I188" s="325">
        <v>110200</v>
      </c>
      <c r="J18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8" s="133">
        <f>_xlfn.XLOOKUP(Market_Data[[#This Row],[Project Type]],tbl_assumptions_market[Project Category (RERA)],tbl_assumptions_market[Concrete Intensity
(m³ / sq m BUA)],"",0)</f>
        <v>0.42</v>
      </c>
      <c r="L188" s="134">
        <f>ROUND(Market_Data[[#This Row],[Estimated Built Up Area (sq m)]]*Market_Data[[#This Row],[Concrete Intensity
(m³ / sq m)]],0)</f>
        <v>46284</v>
      </c>
      <c r="M188" s="135">
        <f>_xlfn.XLOOKUP(Market_Data[[#This Row],[District]],tbl_district_price[District],tbl_district_price[Standard Price
(INR/m³)],"",0)</f>
        <v>5800</v>
      </c>
      <c r="N188" s="364">
        <f>IF(OR(Market_Data[[#This Row],[Estimated Concrete Demand (m³)]]="",Market_Data[[#This Row],[Avg Price per (₹ / m³)]]=""),"",Market_Data[[#This Row],[Estimated Concrete Demand (m³)]]*Market_Data[[#This Row],[Avg Price per (₹ / m³)]]/10000000)</f>
        <v>26.844719999999999</v>
      </c>
      <c r="O188" s="97" t="str">
        <f>IF(Market_Data[[#This Row],[Estimated Concrete Demand (m³)]]="","",
IF(Market_Data[[#This Row],[Estimated Concrete Demand (m³)]]&lt;10000,"Small",
IF(Market_Data[[#This Row],[Estimated Concrete Demand (m³)]]&lt;25000,"Medium",
IF(Market_Data[[#This Row],[Estimated Concrete Demand (m³)]]&lt;100000,"Large","Mega"))))</f>
        <v>Large</v>
      </c>
      <c r="P188" s="287" t="str">
        <f t="shared" si="4"/>
        <v>GujRERA</v>
      </c>
    </row>
    <row r="189" spans="1:16">
      <c r="A189" s="129" t="str">
        <f>_xlfn.XLOOKUP(B189,$S$9:$S$14,$T$9:$T$14)&amp;"-"&amp;
IF(E189="Residential/Group Housing","RES",
IF(E189="Commercial","COM",
IF(E189="Mixed Development","MIX",
IF(E189="Plotted Development","PLT","OTH"))))
&amp;"-"&amp;TEXT(COUNTIFS($B$9:B189,B189,$E$9:E189,E189),"0000")</f>
        <v>BHR-RES-0080</v>
      </c>
      <c r="B189" s="322" t="s">
        <v>36</v>
      </c>
      <c r="C189" s="322" t="s">
        <v>36</v>
      </c>
      <c r="D189" s="323" t="s">
        <v>375</v>
      </c>
      <c r="E189" s="132" t="s">
        <v>24</v>
      </c>
      <c r="F189" s="97" t="str">
        <f ca="1">IF(OR(Market_Data[[#This Row],[Start Date]]="",Market_Data[[#This Row],[Completion Date]]=""),"Needs Validation",IF(Market_Data[[#This Row],[Start Date]]&gt;TODAY(),"Planned",IF(Market_Data[[#This Row],[Completion Date]]&lt;TODAY(),"Completed","Ongoing")))</f>
        <v>Ongoing</v>
      </c>
      <c r="G189" s="324">
        <v>45766</v>
      </c>
      <c r="H189" s="324">
        <v>47573</v>
      </c>
      <c r="I189" s="325">
        <v>4800</v>
      </c>
      <c r="J18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9" s="133">
        <f>_xlfn.XLOOKUP(Market_Data[[#This Row],[Project Type]],tbl_assumptions_market[Project Category (RERA)],tbl_assumptions_market[Concrete Intensity
(m³ / sq m BUA)],"",0)</f>
        <v>0.45</v>
      </c>
      <c r="L189" s="134">
        <f>ROUND(Market_Data[[#This Row],[Estimated Built Up Area (sq m)]]*Market_Data[[#This Row],[Concrete Intensity
(m³ / sq m)]],0)</f>
        <v>2160</v>
      </c>
      <c r="M189" s="135">
        <f>_xlfn.XLOOKUP(Market_Data[[#This Row],[District]],tbl_district_price[District],tbl_district_price[Standard Price
(INR/m³)],"",0)</f>
        <v>5800</v>
      </c>
      <c r="N189" s="364">
        <f>IF(OR(Market_Data[[#This Row],[Estimated Concrete Demand (m³)]]="",Market_Data[[#This Row],[Avg Price per (₹ / m³)]]=""),"",Market_Data[[#This Row],[Estimated Concrete Demand (m³)]]*Market_Data[[#This Row],[Avg Price per (₹ / m³)]]/10000000)</f>
        <v>1.2527999999999999</v>
      </c>
      <c r="O189" s="97" t="str">
        <f>IF(Market_Data[[#This Row],[Estimated Concrete Demand (m³)]]="","",
IF(Market_Data[[#This Row],[Estimated Concrete Demand (m³)]]&lt;10000,"Small",
IF(Market_Data[[#This Row],[Estimated Concrete Demand (m³)]]&lt;25000,"Medium",
IF(Market_Data[[#This Row],[Estimated Concrete Demand (m³)]]&lt;100000,"Large","Mega"))))</f>
        <v>Small</v>
      </c>
      <c r="P189" s="287" t="str">
        <f t="shared" si="4"/>
        <v>GujRERA</v>
      </c>
    </row>
    <row r="190" spans="1:16">
      <c r="A190" s="129" t="str">
        <f>_xlfn.XLOOKUP(B190,$S$9:$S$14,$T$9:$T$14)&amp;"-"&amp;
IF(E190="Residential/Group Housing","RES",
IF(E190="Commercial","COM",
IF(E190="Mixed Development","MIX",
IF(E190="Plotted Development","PLT","OTH"))))
&amp;"-"&amp;TEXT(COUNTIFS($B$9:B190,B190,$E$9:E190,E190),"0000")</f>
        <v>BHR-MIX-0071</v>
      </c>
      <c r="B190" s="322" t="s">
        <v>36</v>
      </c>
      <c r="C190" s="322" t="s">
        <v>36</v>
      </c>
      <c r="D190" s="323" t="s">
        <v>376</v>
      </c>
      <c r="E190" s="132" t="s">
        <v>25</v>
      </c>
      <c r="F190" s="97" t="str">
        <f ca="1">IF(OR(Market_Data[[#This Row],[Start Date]]="",Market_Data[[#This Row],[Completion Date]]=""),"Needs Validation",IF(Market_Data[[#This Row],[Start Date]]&gt;TODAY(),"Planned",IF(Market_Data[[#This Row],[Completion Date]]&lt;TODAY(),"Completed","Ongoing")))</f>
        <v>Ongoing</v>
      </c>
      <c r="G190" s="324">
        <v>44682</v>
      </c>
      <c r="H190" s="324">
        <v>47118</v>
      </c>
      <c r="I190" s="325">
        <v>58700</v>
      </c>
      <c r="J19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0" s="133">
        <f>_xlfn.XLOOKUP(Market_Data[[#This Row],[Project Type]],tbl_assumptions_market[Project Category (RERA)],tbl_assumptions_market[Concrete Intensity
(m³ / sq m BUA)],"",0)</f>
        <v>0.42</v>
      </c>
      <c r="L190" s="134">
        <f>ROUND(Market_Data[[#This Row],[Estimated Built Up Area (sq m)]]*Market_Data[[#This Row],[Concrete Intensity
(m³ / sq m)]],0)</f>
        <v>24654</v>
      </c>
      <c r="M190" s="135">
        <f>_xlfn.XLOOKUP(Market_Data[[#This Row],[District]],tbl_district_price[District],tbl_district_price[Standard Price
(INR/m³)],"",0)</f>
        <v>5800</v>
      </c>
      <c r="N190" s="364">
        <f>IF(OR(Market_Data[[#This Row],[Estimated Concrete Demand (m³)]]="",Market_Data[[#This Row],[Avg Price per (₹ / m³)]]=""),"",Market_Data[[#This Row],[Estimated Concrete Demand (m³)]]*Market_Data[[#This Row],[Avg Price per (₹ / m³)]]/10000000)</f>
        <v>14.29932</v>
      </c>
      <c r="O190" s="97" t="str">
        <f>IF(Market_Data[[#This Row],[Estimated Concrete Demand (m³)]]="","",
IF(Market_Data[[#This Row],[Estimated Concrete Demand (m³)]]&lt;10000,"Small",
IF(Market_Data[[#This Row],[Estimated Concrete Demand (m³)]]&lt;25000,"Medium",
IF(Market_Data[[#This Row],[Estimated Concrete Demand (m³)]]&lt;100000,"Large","Mega"))))</f>
        <v>Medium</v>
      </c>
      <c r="P190" s="287" t="str">
        <f t="shared" si="4"/>
        <v>GujRERA</v>
      </c>
    </row>
    <row r="191" spans="1:16">
      <c r="A191" s="129" t="str">
        <f>_xlfn.XLOOKUP(B191,$S$9:$S$14,$T$9:$T$14)&amp;"-"&amp;
IF(E191="Residential/Group Housing","RES",
IF(E191="Commercial","COM",
IF(E191="Mixed Development","MIX",
IF(E191="Plotted Development","PLT","OTH"))))
&amp;"-"&amp;TEXT(COUNTIFS($B$9:B191,B191,$E$9:E191,E191),"0000")</f>
        <v>BHR-RES-0081</v>
      </c>
      <c r="B191" s="322" t="s">
        <v>36</v>
      </c>
      <c r="C191" s="322" t="s">
        <v>36</v>
      </c>
      <c r="D191" s="323" t="s">
        <v>377</v>
      </c>
      <c r="E191" s="132" t="s">
        <v>24</v>
      </c>
      <c r="F191" s="97" t="str">
        <f ca="1">IF(OR(Market_Data[[#This Row],[Start Date]]="",Market_Data[[#This Row],[Completion Date]]=""),"Needs Validation",IF(Market_Data[[#This Row],[Start Date]]&gt;TODAY(),"Planned",IF(Market_Data[[#This Row],[Completion Date]]&lt;TODAY(),"Completed","Ongoing")))</f>
        <v>Completed</v>
      </c>
      <c r="G191" s="324">
        <v>43525</v>
      </c>
      <c r="H191" s="324">
        <v>44742</v>
      </c>
      <c r="I191" s="325">
        <v>45600</v>
      </c>
      <c r="J19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1" s="133">
        <f>_xlfn.XLOOKUP(Market_Data[[#This Row],[Project Type]],tbl_assumptions_market[Project Category (RERA)],tbl_assumptions_market[Concrete Intensity
(m³ / sq m BUA)],"",0)</f>
        <v>0.45</v>
      </c>
      <c r="L191" s="134">
        <f>ROUND(Market_Data[[#This Row],[Estimated Built Up Area (sq m)]]*Market_Data[[#This Row],[Concrete Intensity
(m³ / sq m)]],0)</f>
        <v>20520</v>
      </c>
      <c r="M191" s="135">
        <f>_xlfn.XLOOKUP(Market_Data[[#This Row],[District]],tbl_district_price[District],tbl_district_price[Standard Price
(INR/m³)],"",0)</f>
        <v>5800</v>
      </c>
      <c r="N191" s="364">
        <f>IF(OR(Market_Data[[#This Row],[Estimated Concrete Demand (m³)]]="",Market_Data[[#This Row],[Avg Price per (₹ / m³)]]=""),"",Market_Data[[#This Row],[Estimated Concrete Demand (m³)]]*Market_Data[[#This Row],[Avg Price per (₹ / m³)]]/10000000)</f>
        <v>11.9016</v>
      </c>
      <c r="O191" s="97" t="str">
        <f>IF(Market_Data[[#This Row],[Estimated Concrete Demand (m³)]]="","",
IF(Market_Data[[#This Row],[Estimated Concrete Demand (m³)]]&lt;10000,"Small",
IF(Market_Data[[#This Row],[Estimated Concrete Demand (m³)]]&lt;25000,"Medium",
IF(Market_Data[[#This Row],[Estimated Concrete Demand (m³)]]&lt;100000,"Large","Mega"))))</f>
        <v>Medium</v>
      </c>
      <c r="P191" s="287" t="str">
        <f t="shared" si="4"/>
        <v>GujRERA</v>
      </c>
    </row>
    <row r="192" spans="1:16">
      <c r="A192" s="129" t="str">
        <f>_xlfn.XLOOKUP(B192,$S$9:$S$14,$T$9:$T$14)&amp;"-"&amp;
IF(E192="Residential/Group Housing","RES",
IF(E192="Commercial","COM",
IF(E192="Mixed Development","MIX",
IF(E192="Plotted Development","PLT","OTH"))))
&amp;"-"&amp;TEXT(COUNTIFS($B$9:B192,B192,$E$9:E192,E192),"0000")</f>
        <v>BHR-RES-0082</v>
      </c>
      <c r="B192" s="322" t="s">
        <v>36</v>
      </c>
      <c r="C192" s="322" t="s">
        <v>36</v>
      </c>
      <c r="D192" s="323" t="s">
        <v>378</v>
      </c>
      <c r="E192" s="132" t="s">
        <v>24</v>
      </c>
      <c r="F192" s="97" t="str">
        <f ca="1">IF(OR(Market_Data[[#This Row],[Start Date]]="",Market_Data[[#This Row],[Completion Date]]=""),"Needs Validation",IF(Market_Data[[#This Row],[Start Date]]&gt;TODAY(),"Planned",IF(Market_Data[[#This Row],[Completion Date]]&lt;TODAY(),"Completed","Ongoing")))</f>
        <v>Completed</v>
      </c>
      <c r="G192" s="324">
        <v>43040</v>
      </c>
      <c r="H192" s="324">
        <v>44742</v>
      </c>
      <c r="I192" s="325">
        <v>11600</v>
      </c>
      <c r="J19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2" s="133">
        <f>_xlfn.XLOOKUP(Market_Data[[#This Row],[Project Type]],tbl_assumptions_market[Project Category (RERA)],tbl_assumptions_market[Concrete Intensity
(m³ / sq m BUA)],"",0)</f>
        <v>0.45</v>
      </c>
      <c r="L192" s="134">
        <f>ROUND(Market_Data[[#This Row],[Estimated Built Up Area (sq m)]]*Market_Data[[#This Row],[Concrete Intensity
(m³ / sq m)]],0)</f>
        <v>5220</v>
      </c>
      <c r="M192" s="135">
        <f>_xlfn.XLOOKUP(Market_Data[[#This Row],[District]],tbl_district_price[District],tbl_district_price[Standard Price
(INR/m³)],"",0)</f>
        <v>5800</v>
      </c>
      <c r="N192" s="364">
        <f>IF(OR(Market_Data[[#This Row],[Estimated Concrete Demand (m³)]]="",Market_Data[[#This Row],[Avg Price per (₹ / m³)]]=""),"",Market_Data[[#This Row],[Estimated Concrete Demand (m³)]]*Market_Data[[#This Row],[Avg Price per (₹ / m³)]]/10000000)</f>
        <v>3.0276000000000001</v>
      </c>
      <c r="O192" s="97" t="str">
        <f>IF(Market_Data[[#This Row],[Estimated Concrete Demand (m³)]]="","",
IF(Market_Data[[#This Row],[Estimated Concrete Demand (m³)]]&lt;10000,"Small",
IF(Market_Data[[#This Row],[Estimated Concrete Demand (m³)]]&lt;25000,"Medium",
IF(Market_Data[[#This Row],[Estimated Concrete Demand (m³)]]&lt;100000,"Large","Mega"))))</f>
        <v>Small</v>
      </c>
      <c r="P192" s="287" t="str">
        <f t="shared" si="4"/>
        <v>GujRERA</v>
      </c>
    </row>
    <row r="193" spans="1:16">
      <c r="A193" s="129" t="str">
        <f>_xlfn.XLOOKUP(B193,$S$9:$S$14,$T$9:$T$14)&amp;"-"&amp;
IF(E193="Residential/Group Housing","RES",
IF(E193="Commercial","COM",
IF(E193="Mixed Development","MIX",
IF(E193="Plotted Development","PLT","OTH"))))
&amp;"-"&amp;TEXT(COUNTIFS($B$9:B193,B193,$E$9:E193,E193),"0000")</f>
        <v>BHR-RES-0083</v>
      </c>
      <c r="B193" s="322" t="s">
        <v>36</v>
      </c>
      <c r="C193" s="322" t="s">
        <v>36</v>
      </c>
      <c r="D193" s="323" t="s">
        <v>379</v>
      </c>
      <c r="E193" s="132" t="s">
        <v>24</v>
      </c>
      <c r="F193" s="97" t="str">
        <f ca="1">IF(OR(Market_Data[[#This Row],[Start Date]]="",Market_Data[[#This Row],[Completion Date]]=""),"Needs Validation",IF(Market_Data[[#This Row],[Start Date]]&gt;TODAY(),"Planned",IF(Market_Data[[#This Row],[Completion Date]]&lt;TODAY(),"Completed","Ongoing")))</f>
        <v>Ongoing</v>
      </c>
      <c r="G193" s="324">
        <v>45870</v>
      </c>
      <c r="H193" s="324">
        <v>47634</v>
      </c>
      <c r="I193" s="325">
        <v>44600</v>
      </c>
      <c r="J19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3" s="133">
        <f>_xlfn.XLOOKUP(Market_Data[[#This Row],[Project Type]],tbl_assumptions_market[Project Category (RERA)],tbl_assumptions_market[Concrete Intensity
(m³ / sq m BUA)],"",0)</f>
        <v>0.45</v>
      </c>
      <c r="L193" s="134">
        <f>ROUND(Market_Data[[#This Row],[Estimated Built Up Area (sq m)]]*Market_Data[[#This Row],[Concrete Intensity
(m³ / sq m)]],0)</f>
        <v>20070</v>
      </c>
      <c r="M193" s="135">
        <f>_xlfn.XLOOKUP(Market_Data[[#This Row],[District]],tbl_district_price[District],tbl_district_price[Standard Price
(INR/m³)],"",0)</f>
        <v>5800</v>
      </c>
      <c r="N193" s="364">
        <f>IF(OR(Market_Data[[#This Row],[Estimated Concrete Demand (m³)]]="",Market_Data[[#This Row],[Avg Price per (₹ / m³)]]=""),"",Market_Data[[#This Row],[Estimated Concrete Demand (m³)]]*Market_Data[[#This Row],[Avg Price per (₹ / m³)]]/10000000)</f>
        <v>11.640599999999999</v>
      </c>
      <c r="O193" s="97" t="str">
        <f>IF(Market_Data[[#This Row],[Estimated Concrete Demand (m³)]]="","",
IF(Market_Data[[#This Row],[Estimated Concrete Demand (m³)]]&lt;10000,"Small",
IF(Market_Data[[#This Row],[Estimated Concrete Demand (m³)]]&lt;25000,"Medium",
IF(Market_Data[[#This Row],[Estimated Concrete Demand (m³)]]&lt;100000,"Large","Mega"))))</f>
        <v>Medium</v>
      </c>
      <c r="P193" s="287" t="str">
        <f t="shared" si="4"/>
        <v>GujRERA</v>
      </c>
    </row>
    <row r="194" spans="1:16">
      <c r="A194" s="129" t="str">
        <f>_xlfn.XLOOKUP(B194,$S$9:$S$14,$T$9:$T$14)&amp;"-"&amp;
IF(E194="Residential/Group Housing","RES",
IF(E194="Commercial","COM",
IF(E194="Mixed Development","MIX",
IF(E194="Plotted Development","PLT","OTH"))))
&amp;"-"&amp;TEXT(COUNTIFS($B$9:B194,B194,$E$9:E194,E194),"0000")</f>
        <v>BHR-MIX-0072</v>
      </c>
      <c r="B194" s="322" t="s">
        <v>36</v>
      </c>
      <c r="C194" s="322" t="s">
        <v>36</v>
      </c>
      <c r="D194" s="323" t="s">
        <v>380</v>
      </c>
      <c r="E194" s="132" t="s">
        <v>25</v>
      </c>
      <c r="F194" s="97" t="str">
        <f ca="1">IF(OR(Market_Data[[#This Row],[Start Date]]="",Market_Data[[#This Row],[Completion Date]]=""),"Needs Validation",IF(Market_Data[[#This Row],[Start Date]]&gt;TODAY(),"Planned",IF(Market_Data[[#This Row],[Completion Date]]&lt;TODAY(),"Completed","Ongoing")))</f>
        <v>Ongoing</v>
      </c>
      <c r="G194" s="324">
        <v>45890</v>
      </c>
      <c r="H194" s="324">
        <v>47848</v>
      </c>
      <c r="I194" s="325">
        <v>16900</v>
      </c>
      <c r="J19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4" s="133">
        <f>_xlfn.XLOOKUP(Market_Data[[#This Row],[Project Type]],tbl_assumptions_market[Project Category (RERA)],tbl_assumptions_market[Concrete Intensity
(m³ / sq m BUA)],"",0)</f>
        <v>0.42</v>
      </c>
      <c r="L194" s="134">
        <f>ROUND(Market_Data[[#This Row],[Estimated Built Up Area (sq m)]]*Market_Data[[#This Row],[Concrete Intensity
(m³ / sq m)]],0)</f>
        <v>7098</v>
      </c>
      <c r="M194" s="135">
        <f>_xlfn.XLOOKUP(Market_Data[[#This Row],[District]],tbl_district_price[District],tbl_district_price[Standard Price
(INR/m³)],"",0)</f>
        <v>5800</v>
      </c>
      <c r="N194" s="364">
        <f>IF(OR(Market_Data[[#This Row],[Estimated Concrete Demand (m³)]]="",Market_Data[[#This Row],[Avg Price per (₹ / m³)]]=""),"",Market_Data[[#This Row],[Estimated Concrete Demand (m³)]]*Market_Data[[#This Row],[Avg Price per (₹ / m³)]]/10000000)</f>
        <v>4.1168399999999998</v>
      </c>
      <c r="O194" s="97" t="str">
        <f>IF(Market_Data[[#This Row],[Estimated Concrete Demand (m³)]]="","",
IF(Market_Data[[#This Row],[Estimated Concrete Demand (m³)]]&lt;10000,"Small",
IF(Market_Data[[#This Row],[Estimated Concrete Demand (m³)]]&lt;25000,"Medium",
IF(Market_Data[[#This Row],[Estimated Concrete Demand (m³)]]&lt;100000,"Large","Mega"))))</f>
        <v>Small</v>
      </c>
      <c r="P194" s="287" t="str">
        <f t="shared" si="4"/>
        <v>GujRERA</v>
      </c>
    </row>
    <row r="195" spans="1:16">
      <c r="A195" s="129" t="str">
        <f>_xlfn.XLOOKUP(B195,$S$9:$S$14,$T$9:$T$14)&amp;"-"&amp;
IF(E195="Residential/Group Housing","RES",
IF(E195="Commercial","COM",
IF(E195="Mixed Development","MIX",
IF(E195="Plotted Development","PLT","OTH"))))
&amp;"-"&amp;TEXT(COUNTIFS($B$9:B195,B195,$E$9:E195,E195),"0000")</f>
        <v>BHR-MIX-0073</v>
      </c>
      <c r="B195" s="322" t="s">
        <v>36</v>
      </c>
      <c r="C195" s="322" t="s">
        <v>36</v>
      </c>
      <c r="D195" s="323" t="s">
        <v>381</v>
      </c>
      <c r="E195" s="132" t="s">
        <v>25</v>
      </c>
      <c r="F195" s="97" t="str">
        <f ca="1">IF(OR(Market_Data[[#This Row],[Start Date]]="",Market_Data[[#This Row],[Completion Date]]=""),"Needs Validation",IF(Market_Data[[#This Row],[Start Date]]&gt;TODAY(),"Planned",IF(Market_Data[[#This Row],[Completion Date]]&lt;TODAY(),"Completed","Ongoing")))</f>
        <v>Completed</v>
      </c>
      <c r="G195" s="324">
        <v>44075</v>
      </c>
      <c r="H195" s="324">
        <v>46022</v>
      </c>
      <c r="I195" s="325">
        <v>25600</v>
      </c>
      <c r="J19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5" s="133">
        <f>_xlfn.XLOOKUP(Market_Data[[#This Row],[Project Type]],tbl_assumptions_market[Project Category (RERA)],tbl_assumptions_market[Concrete Intensity
(m³ / sq m BUA)],"",0)</f>
        <v>0.42</v>
      </c>
      <c r="L195" s="134">
        <f>ROUND(Market_Data[[#This Row],[Estimated Built Up Area (sq m)]]*Market_Data[[#This Row],[Concrete Intensity
(m³ / sq m)]],0)</f>
        <v>10752</v>
      </c>
      <c r="M195" s="135">
        <f>_xlfn.XLOOKUP(Market_Data[[#This Row],[District]],tbl_district_price[District],tbl_district_price[Standard Price
(INR/m³)],"",0)</f>
        <v>5800</v>
      </c>
      <c r="N195" s="364">
        <f>IF(OR(Market_Data[[#This Row],[Estimated Concrete Demand (m³)]]="",Market_Data[[#This Row],[Avg Price per (₹ / m³)]]=""),"",Market_Data[[#This Row],[Estimated Concrete Demand (m³)]]*Market_Data[[#This Row],[Avg Price per (₹ / m³)]]/10000000)</f>
        <v>6.2361599999999999</v>
      </c>
      <c r="O195" s="97" t="str">
        <f>IF(Market_Data[[#This Row],[Estimated Concrete Demand (m³)]]="","",
IF(Market_Data[[#This Row],[Estimated Concrete Demand (m³)]]&lt;10000,"Small",
IF(Market_Data[[#This Row],[Estimated Concrete Demand (m³)]]&lt;25000,"Medium",
IF(Market_Data[[#This Row],[Estimated Concrete Demand (m³)]]&lt;100000,"Large","Mega"))))</f>
        <v>Medium</v>
      </c>
      <c r="P195" s="287" t="str">
        <f t="shared" si="4"/>
        <v>GujRERA</v>
      </c>
    </row>
    <row r="196" spans="1:16">
      <c r="A196" s="129" t="str">
        <f>_xlfn.XLOOKUP(B196,$S$9:$S$14,$T$9:$T$14)&amp;"-"&amp;
IF(E196="Residential/Group Housing","RES",
IF(E196="Commercial","COM",
IF(E196="Mixed Development","MIX",
IF(E196="Plotted Development","PLT","OTH"))))
&amp;"-"&amp;TEXT(COUNTIFS($B$9:B196,B196,$E$9:E196,E196),"0000")</f>
        <v>BHR-MIX-0074</v>
      </c>
      <c r="B196" s="322" t="s">
        <v>36</v>
      </c>
      <c r="C196" s="322" t="s">
        <v>36</v>
      </c>
      <c r="D196" s="323" t="s">
        <v>382</v>
      </c>
      <c r="E196" s="132" t="s">
        <v>25</v>
      </c>
      <c r="F196" s="97" t="str">
        <f ca="1">IF(OR(Market_Data[[#This Row],[Start Date]]="",Market_Data[[#This Row],[Completion Date]]=""),"Needs Validation",IF(Market_Data[[#This Row],[Start Date]]&gt;TODAY(),"Planned",IF(Market_Data[[#This Row],[Completion Date]]&lt;TODAY(),"Completed","Ongoing")))</f>
        <v>Ongoing</v>
      </c>
      <c r="G196" s="324">
        <v>45005</v>
      </c>
      <c r="H196" s="324">
        <v>47118</v>
      </c>
      <c r="I196" s="325">
        <v>31900</v>
      </c>
      <c r="J19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6" s="133">
        <f>_xlfn.XLOOKUP(Market_Data[[#This Row],[Project Type]],tbl_assumptions_market[Project Category (RERA)],tbl_assumptions_market[Concrete Intensity
(m³ / sq m BUA)],"",0)</f>
        <v>0.42</v>
      </c>
      <c r="L196" s="134">
        <f>ROUND(Market_Data[[#This Row],[Estimated Built Up Area (sq m)]]*Market_Data[[#This Row],[Concrete Intensity
(m³ / sq m)]],0)</f>
        <v>13398</v>
      </c>
      <c r="M196" s="135">
        <f>_xlfn.XLOOKUP(Market_Data[[#This Row],[District]],tbl_district_price[District],tbl_district_price[Standard Price
(INR/m³)],"",0)</f>
        <v>5800</v>
      </c>
      <c r="N196" s="364">
        <f>IF(OR(Market_Data[[#This Row],[Estimated Concrete Demand (m³)]]="",Market_Data[[#This Row],[Avg Price per (₹ / m³)]]=""),"",Market_Data[[#This Row],[Estimated Concrete Demand (m³)]]*Market_Data[[#This Row],[Avg Price per (₹ / m³)]]/10000000)</f>
        <v>7.7708399999999997</v>
      </c>
      <c r="O196" s="97" t="str">
        <f>IF(Market_Data[[#This Row],[Estimated Concrete Demand (m³)]]="","",
IF(Market_Data[[#This Row],[Estimated Concrete Demand (m³)]]&lt;10000,"Small",
IF(Market_Data[[#This Row],[Estimated Concrete Demand (m³)]]&lt;25000,"Medium",
IF(Market_Data[[#This Row],[Estimated Concrete Demand (m³)]]&lt;100000,"Large","Mega"))))</f>
        <v>Medium</v>
      </c>
      <c r="P196" s="287" t="str">
        <f t="shared" si="4"/>
        <v>GujRERA</v>
      </c>
    </row>
    <row r="197" spans="1:16">
      <c r="A197" s="129" t="str">
        <f>_xlfn.XLOOKUP(B197,$S$9:$S$14,$T$9:$T$14)&amp;"-"&amp;
IF(E197="Residential/Group Housing","RES",
IF(E197="Commercial","COM",
IF(E197="Mixed Development","MIX",
IF(E197="Plotted Development","PLT","OTH"))))
&amp;"-"&amp;TEXT(COUNTIFS($B$9:B197,B197,$E$9:E197,E197),"0000")</f>
        <v>BHR-MIX-0075</v>
      </c>
      <c r="B197" s="322" t="s">
        <v>36</v>
      </c>
      <c r="C197" s="322" t="s">
        <v>36</v>
      </c>
      <c r="D197" s="323" t="s">
        <v>383</v>
      </c>
      <c r="E197" s="132" t="s">
        <v>25</v>
      </c>
      <c r="F197" s="97" t="str">
        <f ca="1">IF(OR(Market_Data[[#This Row],[Start Date]]="",Market_Data[[#This Row],[Completion Date]]=""),"Needs Validation",IF(Market_Data[[#This Row],[Start Date]]&gt;TODAY(),"Planned",IF(Market_Data[[#This Row],[Completion Date]]&lt;TODAY(),"Completed","Ongoing")))</f>
        <v>Completed</v>
      </c>
      <c r="G197" s="324">
        <v>44755</v>
      </c>
      <c r="H197" s="324">
        <v>46022</v>
      </c>
      <c r="I197" s="325">
        <v>42000</v>
      </c>
      <c r="J19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7" s="133">
        <f>_xlfn.XLOOKUP(Market_Data[[#This Row],[Project Type]],tbl_assumptions_market[Project Category (RERA)],tbl_assumptions_market[Concrete Intensity
(m³ / sq m BUA)],"",0)</f>
        <v>0.42</v>
      </c>
      <c r="L197" s="134">
        <f>ROUND(Market_Data[[#This Row],[Estimated Built Up Area (sq m)]]*Market_Data[[#This Row],[Concrete Intensity
(m³ / sq m)]],0)</f>
        <v>17640</v>
      </c>
      <c r="M197" s="135">
        <f>_xlfn.XLOOKUP(Market_Data[[#This Row],[District]],tbl_district_price[District],tbl_district_price[Standard Price
(INR/m³)],"",0)</f>
        <v>5800</v>
      </c>
      <c r="N197" s="364">
        <f>IF(OR(Market_Data[[#This Row],[Estimated Concrete Demand (m³)]]="",Market_Data[[#This Row],[Avg Price per (₹ / m³)]]=""),"",Market_Data[[#This Row],[Estimated Concrete Demand (m³)]]*Market_Data[[#This Row],[Avg Price per (₹ / m³)]]/10000000)</f>
        <v>10.231199999999999</v>
      </c>
      <c r="O197" s="97" t="str">
        <f>IF(Market_Data[[#This Row],[Estimated Concrete Demand (m³)]]="","",
IF(Market_Data[[#This Row],[Estimated Concrete Demand (m³)]]&lt;10000,"Small",
IF(Market_Data[[#This Row],[Estimated Concrete Demand (m³)]]&lt;25000,"Medium",
IF(Market_Data[[#This Row],[Estimated Concrete Demand (m³)]]&lt;100000,"Large","Mega"))))</f>
        <v>Medium</v>
      </c>
      <c r="P197" s="287" t="str">
        <f t="shared" si="4"/>
        <v>GujRERA</v>
      </c>
    </row>
    <row r="198" spans="1:16">
      <c r="A198" s="129" t="str">
        <f>_xlfn.XLOOKUP(B198,$S$9:$S$14,$T$9:$T$14)&amp;"-"&amp;
IF(E198="Residential/Group Housing","RES",
IF(E198="Commercial","COM",
IF(E198="Mixed Development","MIX",
IF(E198="Plotted Development","PLT","OTH"))))
&amp;"-"&amp;TEXT(COUNTIFS($B$9:B198,B198,$E$9:E198,E198),"0000")</f>
        <v>BHR-RES-0084</v>
      </c>
      <c r="B198" s="322" t="s">
        <v>36</v>
      </c>
      <c r="C198" s="322" t="s">
        <v>36</v>
      </c>
      <c r="D198" s="323" t="s">
        <v>384</v>
      </c>
      <c r="E198" s="132" t="s">
        <v>24</v>
      </c>
      <c r="F198" s="97" t="str">
        <f ca="1">IF(OR(Market_Data[[#This Row],[Start Date]]="",Market_Data[[#This Row],[Completion Date]]=""),"Needs Validation",IF(Market_Data[[#This Row],[Start Date]]&gt;TODAY(),"Planned",IF(Market_Data[[#This Row],[Completion Date]]&lt;TODAY(),"Completed","Ongoing")))</f>
        <v>Completed</v>
      </c>
      <c r="G198" s="324">
        <v>42767</v>
      </c>
      <c r="H198" s="324">
        <v>45565</v>
      </c>
      <c r="I198" s="325">
        <v>23900</v>
      </c>
      <c r="J19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8" s="133">
        <f>_xlfn.XLOOKUP(Market_Data[[#This Row],[Project Type]],tbl_assumptions_market[Project Category (RERA)],tbl_assumptions_market[Concrete Intensity
(m³ / sq m BUA)],"",0)</f>
        <v>0.45</v>
      </c>
      <c r="L198" s="134">
        <f>ROUND(Market_Data[[#This Row],[Estimated Built Up Area (sq m)]]*Market_Data[[#This Row],[Concrete Intensity
(m³ / sq m)]],0)</f>
        <v>10755</v>
      </c>
      <c r="M198" s="135">
        <f>_xlfn.XLOOKUP(Market_Data[[#This Row],[District]],tbl_district_price[District],tbl_district_price[Standard Price
(INR/m³)],"",0)</f>
        <v>5800</v>
      </c>
      <c r="N198" s="364">
        <f>IF(OR(Market_Data[[#This Row],[Estimated Concrete Demand (m³)]]="",Market_Data[[#This Row],[Avg Price per (₹ / m³)]]=""),"",Market_Data[[#This Row],[Estimated Concrete Demand (m³)]]*Market_Data[[#This Row],[Avg Price per (₹ / m³)]]/10000000)</f>
        <v>6.2378999999999998</v>
      </c>
      <c r="O198" s="97" t="str">
        <f>IF(Market_Data[[#This Row],[Estimated Concrete Demand (m³)]]="","",
IF(Market_Data[[#This Row],[Estimated Concrete Demand (m³)]]&lt;10000,"Small",
IF(Market_Data[[#This Row],[Estimated Concrete Demand (m³)]]&lt;25000,"Medium",
IF(Market_Data[[#This Row],[Estimated Concrete Demand (m³)]]&lt;100000,"Large","Mega"))))</f>
        <v>Medium</v>
      </c>
      <c r="P198" s="287" t="str">
        <f t="shared" si="4"/>
        <v>GujRERA</v>
      </c>
    </row>
    <row r="199" spans="1:16">
      <c r="A199" s="129" t="str">
        <f>_xlfn.XLOOKUP(B199,$S$9:$S$14,$T$9:$T$14)&amp;"-"&amp;
IF(E199="Residential/Group Housing","RES",
IF(E199="Commercial","COM",
IF(E199="Mixed Development","MIX",
IF(E199="Plotted Development","PLT","OTH"))))
&amp;"-"&amp;TEXT(COUNTIFS($B$9:B199,B199,$E$9:E199,E199),"0000")</f>
        <v>BHR-MIX-0076</v>
      </c>
      <c r="B199" s="322" t="s">
        <v>36</v>
      </c>
      <c r="C199" s="322" t="s">
        <v>36</v>
      </c>
      <c r="D199" s="323" t="s">
        <v>385</v>
      </c>
      <c r="E199" s="132" t="s">
        <v>25</v>
      </c>
      <c r="F199" s="97" t="str">
        <f ca="1">IF(OR(Market_Data[[#This Row],[Start Date]]="",Market_Data[[#This Row],[Completion Date]]=""),"Needs Validation",IF(Market_Data[[#This Row],[Start Date]]&gt;TODAY(),"Planned",IF(Market_Data[[#This Row],[Completion Date]]&lt;TODAY(),"Completed","Ongoing")))</f>
        <v>Completed</v>
      </c>
      <c r="G199" s="324">
        <v>44013</v>
      </c>
      <c r="H199" s="324">
        <v>45107</v>
      </c>
      <c r="I199" s="325">
        <v>5100</v>
      </c>
      <c r="J19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99" s="133">
        <f>_xlfn.XLOOKUP(Market_Data[[#This Row],[Project Type]],tbl_assumptions_market[Project Category (RERA)],tbl_assumptions_market[Concrete Intensity
(m³ / sq m BUA)],"",0)</f>
        <v>0.42</v>
      </c>
      <c r="L199" s="134">
        <f>ROUND(Market_Data[[#This Row],[Estimated Built Up Area (sq m)]]*Market_Data[[#This Row],[Concrete Intensity
(m³ / sq m)]],0)</f>
        <v>2142</v>
      </c>
      <c r="M199" s="135">
        <f>_xlfn.XLOOKUP(Market_Data[[#This Row],[District]],tbl_district_price[District],tbl_district_price[Standard Price
(INR/m³)],"",0)</f>
        <v>5800</v>
      </c>
      <c r="N199" s="364">
        <f>IF(OR(Market_Data[[#This Row],[Estimated Concrete Demand (m³)]]="",Market_Data[[#This Row],[Avg Price per (₹ / m³)]]=""),"",Market_Data[[#This Row],[Estimated Concrete Demand (m³)]]*Market_Data[[#This Row],[Avg Price per (₹ / m³)]]/10000000)</f>
        <v>1.2423599999999999</v>
      </c>
      <c r="O199" s="97" t="str">
        <f>IF(Market_Data[[#This Row],[Estimated Concrete Demand (m³)]]="","",
IF(Market_Data[[#This Row],[Estimated Concrete Demand (m³)]]&lt;10000,"Small",
IF(Market_Data[[#This Row],[Estimated Concrete Demand (m³)]]&lt;25000,"Medium",
IF(Market_Data[[#This Row],[Estimated Concrete Demand (m³)]]&lt;100000,"Large","Mega"))))</f>
        <v>Small</v>
      </c>
      <c r="P199" s="287" t="str">
        <f t="shared" si="4"/>
        <v>GujRERA</v>
      </c>
    </row>
    <row r="200" spans="1:16">
      <c r="A200" s="129" t="str">
        <f>_xlfn.XLOOKUP(B200,$S$9:$S$14,$T$9:$T$14)&amp;"-"&amp;
IF(E200="Residential/Group Housing","RES",
IF(E200="Commercial","COM",
IF(E200="Mixed Development","MIX",
IF(E200="Plotted Development","PLT","OTH"))))
&amp;"-"&amp;TEXT(COUNTIFS($B$9:B200,B200,$E$9:E200,E200),"0000")</f>
        <v>BHR-MIX-0077</v>
      </c>
      <c r="B200" s="322" t="s">
        <v>36</v>
      </c>
      <c r="C200" s="322" t="s">
        <v>36</v>
      </c>
      <c r="D200" s="323" t="s">
        <v>386</v>
      </c>
      <c r="E200" s="132" t="s">
        <v>25</v>
      </c>
      <c r="F200" s="97" t="str">
        <f ca="1">IF(OR(Market_Data[[#This Row],[Start Date]]="",Market_Data[[#This Row],[Completion Date]]=""),"Needs Validation",IF(Market_Data[[#This Row],[Start Date]]&gt;TODAY(),"Planned",IF(Market_Data[[#This Row],[Completion Date]]&lt;TODAY(),"Completed","Ongoing")))</f>
        <v>Ongoing</v>
      </c>
      <c r="G200" s="324">
        <v>45456</v>
      </c>
      <c r="H200" s="324">
        <v>47299</v>
      </c>
      <c r="I200" s="325">
        <v>48400</v>
      </c>
      <c r="J20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0" s="133">
        <f>_xlfn.XLOOKUP(Market_Data[[#This Row],[Project Type]],tbl_assumptions_market[Project Category (RERA)],tbl_assumptions_market[Concrete Intensity
(m³ / sq m BUA)],"",0)</f>
        <v>0.42</v>
      </c>
      <c r="L200" s="134">
        <f>ROUND(Market_Data[[#This Row],[Estimated Built Up Area (sq m)]]*Market_Data[[#This Row],[Concrete Intensity
(m³ / sq m)]],0)</f>
        <v>20328</v>
      </c>
      <c r="M200" s="135">
        <f>_xlfn.XLOOKUP(Market_Data[[#This Row],[District]],tbl_district_price[District],tbl_district_price[Standard Price
(INR/m³)],"",0)</f>
        <v>5800</v>
      </c>
      <c r="N200" s="364">
        <f>IF(OR(Market_Data[[#This Row],[Estimated Concrete Demand (m³)]]="",Market_Data[[#This Row],[Avg Price per (₹ / m³)]]=""),"",Market_Data[[#This Row],[Estimated Concrete Demand (m³)]]*Market_Data[[#This Row],[Avg Price per (₹ / m³)]]/10000000)</f>
        <v>11.790240000000001</v>
      </c>
      <c r="O200" s="97" t="str">
        <f>IF(Market_Data[[#This Row],[Estimated Concrete Demand (m³)]]="","",
IF(Market_Data[[#This Row],[Estimated Concrete Demand (m³)]]&lt;10000,"Small",
IF(Market_Data[[#This Row],[Estimated Concrete Demand (m³)]]&lt;25000,"Medium",
IF(Market_Data[[#This Row],[Estimated Concrete Demand (m³)]]&lt;100000,"Large","Mega"))))</f>
        <v>Medium</v>
      </c>
      <c r="P200" s="287" t="str">
        <f t="shared" si="4"/>
        <v>GujRERA</v>
      </c>
    </row>
    <row r="201" spans="1:16">
      <c r="A201" s="129" t="str">
        <f>_xlfn.XLOOKUP(B201,$S$9:$S$14,$T$9:$T$14)&amp;"-"&amp;
IF(E201="Residential/Group Housing","RES",
IF(E201="Commercial","COM",
IF(E201="Mixed Development","MIX",
IF(E201="Plotted Development","PLT","OTH"))))
&amp;"-"&amp;TEXT(COUNTIFS($B$9:B201,B201,$E$9:E201,E201),"0000")</f>
        <v>BHR-RES-0085</v>
      </c>
      <c r="B201" s="322" t="s">
        <v>36</v>
      </c>
      <c r="C201" s="322" t="s">
        <v>36</v>
      </c>
      <c r="D201" s="323" t="s">
        <v>387</v>
      </c>
      <c r="E201" s="132" t="s">
        <v>24</v>
      </c>
      <c r="F201" s="97" t="str">
        <f ca="1">IF(OR(Market_Data[[#This Row],[Start Date]]="",Market_Data[[#This Row],[Completion Date]]=""),"Needs Validation",IF(Market_Data[[#This Row],[Start Date]]&gt;TODAY(),"Planned",IF(Market_Data[[#This Row],[Completion Date]]&lt;TODAY(),"Completed","Ongoing")))</f>
        <v>Completed</v>
      </c>
      <c r="G201" s="324">
        <v>44100</v>
      </c>
      <c r="H201" s="324">
        <v>45992</v>
      </c>
      <c r="I201" s="325">
        <v>7500</v>
      </c>
      <c r="J20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1" s="133">
        <f>_xlfn.XLOOKUP(Market_Data[[#This Row],[Project Type]],tbl_assumptions_market[Project Category (RERA)],tbl_assumptions_market[Concrete Intensity
(m³ / sq m BUA)],"",0)</f>
        <v>0.45</v>
      </c>
      <c r="L201" s="134">
        <f>ROUND(Market_Data[[#This Row],[Estimated Built Up Area (sq m)]]*Market_Data[[#This Row],[Concrete Intensity
(m³ / sq m)]],0)</f>
        <v>3375</v>
      </c>
      <c r="M201" s="135">
        <f>_xlfn.XLOOKUP(Market_Data[[#This Row],[District]],tbl_district_price[District],tbl_district_price[Standard Price
(INR/m³)],"",0)</f>
        <v>5800</v>
      </c>
      <c r="N201" s="364">
        <f>IF(OR(Market_Data[[#This Row],[Estimated Concrete Demand (m³)]]="",Market_Data[[#This Row],[Avg Price per (₹ / m³)]]=""),"",Market_Data[[#This Row],[Estimated Concrete Demand (m³)]]*Market_Data[[#This Row],[Avg Price per (₹ / m³)]]/10000000)</f>
        <v>1.9575</v>
      </c>
      <c r="O201" s="97" t="str">
        <f>IF(Market_Data[[#This Row],[Estimated Concrete Demand (m³)]]="","",
IF(Market_Data[[#This Row],[Estimated Concrete Demand (m³)]]&lt;10000,"Small",
IF(Market_Data[[#This Row],[Estimated Concrete Demand (m³)]]&lt;25000,"Medium",
IF(Market_Data[[#This Row],[Estimated Concrete Demand (m³)]]&lt;100000,"Large","Mega"))))</f>
        <v>Small</v>
      </c>
      <c r="P201" s="287" t="str">
        <f t="shared" si="4"/>
        <v>GujRERA</v>
      </c>
    </row>
    <row r="202" spans="1:16">
      <c r="A202" s="129" t="str">
        <f>_xlfn.XLOOKUP(B202,$S$9:$S$14,$T$9:$T$14)&amp;"-"&amp;
IF(E202="Residential/Group Housing","RES",
IF(E202="Commercial","COM",
IF(E202="Mixed Development","MIX",
IF(E202="Plotted Development","PLT","OTH"))))
&amp;"-"&amp;TEXT(COUNTIFS($B$9:B202,B202,$E$9:E202,E202),"0000")</f>
        <v>BHR-RES-0086</v>
      </c>
      <c r="B202" s="322" t="s">
        <v>36</v>
      </c>
      <c r="C202" s="322" t="s">
        <v>36</v>
      </c>
      <c r="D202" s="323" t="s">
        <v>388</v>
      </c>
      <c r="E202" s="132" t="s">
        <v>24</v>
      </c>
      <c r="F202" s="97" t="str">
        <f ca="1">IF(OR(Market_Data[[#This Row],[Start Date]]="",Market_Data[[#This Row],[Completion Date]]=""),"Needs Validation",IF(Market_Data[[#This Row],[Start Date]]&gt;TODAY(),"Planned",IF(Market_Data[[#This Row],[Completion Date]]&lt;TODAY(),"Completed","Ongoing")))</f>
        <v>Completed</v>
      </c>
      <c r="G202" s="324">
        <v>44737</v>
      </c>
      <c r="H202" s="324">
        <v>46022</v>
      </c>
      <c r="I202" s="325">
        <v>55500</v>
      </c>
      <c r="J20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2" s="133">
        <f>_xlfn.XLOOKUP(Market_Data[[#This Row],[Project Type]],tbl_assumptions_market[Project Category (RERA)],tbl_assumptions_market[Concrete Intensity
(m³ / sq m BUA)],"",0)</f>
        <v>0.45</v>
      </c>
      <c r="L202" s="134">
        <f>ROUND(Market_Data[[#This Row],[Estimated Built Up Area (sq m)]]*Market_Data[[#This Row],[Concrete Intensity
(m³ / sq m)]],0)</f>
        <v>24975</v>
      </c>
      <c r="M202" s="135">
        <f>_xlfn.XLOOKUP(Market_Data[[#This Row],[District]],tbl_district_price[District],tbl_district_price[Standard Price
(INR/m³)],"",0)</f>
        <v>5800</v>
      </c>
      <c r="N202" s="364">
        <f>IF(OR(Market_Data[[#This Row],[Estimated Concrete Demand (m³)]]="",Market_Data[[#This Row],[Avg Price per (₹ / m³)]]=""),"",Market_Data[[#This Row],[Estimated Concrete Demand (m³)]]*Market_Data[[#This Row],[Avg Price per (₹ / m³)]]/10000000)</f>
        <v>14.4855</v>
      </c>
      <c r="O202" s="97" t="str">
        <f>IF(Market_Data[[#This Row],[Estimated Concrete Demand (m³)]]="","",
IF(Market_Data[[#This Row],[Estimated Concrete Demand (m³)]]&lt;10000,"Small",
IF(Market_Data[[#This Row],[Estimated Concrete Demand (m³)]]&lt;25000,"Medium",
IF(Market_Data[[#This Row],[Estimated Concrete Demand (m³)]]&lt;100000,"Large","Mega"))))</f>
        <v>Medium</v>
      </c>
      <c r="P202" s="287" t="str">
        <f t="shared" ref="P202:P265" si="5">HYPERLINK(
"https://gujrera.gujarat.gov.in",
"GujRERA")</f>
        <v>GujRERA</v>
      </c>
    </row>
    <row r="203" spans="1:16">
      <c r="A203" s="129" t="str">
        <f>_xlfn.XLOOKUP(B203,$S$9:$S$14,$T$9:$T$14)&amp;"-"&amp;
IF(E203="Residential/Group Housing","RES",
IF(E203="Commercial","COM",
IF(E203="Mixed Development","MIX",
IF(E203="Plotted Development","PLT","OTH"))))
&amp;"-"&amp;TEXT(COUNTIFS($B$9:B203,B203,$E$9:E203,E203),"0000")</f>
        <v>BHR-MIX-0078</v>
      </c>
      <c r="B203" s="322" t="s">
        <v>36</v>
      </c>
      <c r="C203" s="322" t="s">
        <v>36</v>
      </c>
      <c r="D203" s="323" t="s">
        <v>389</v>
      </c>
      <c r="E203" s="132" t="s">
        <v>25</v>
      </c>
      <c r="F203" s="97" t="str">
        <f ca="1">IF(OR(Market_Data[[#This Row],[Start Date]]="",Market_Data[[#This Row],[Completion Date]]=""),"Needs Validation",IF(Market_Data[[#This Row],[Start Date]]&gt;TODAY(),"Planned",IF(Market_Data[[#This Row],[Completion Date]]&lt;TODAY(),"Completed","Ongoing")))</f>
        <v>Ongoing</v>
      </c>
      <c r="G203" s="324">
        <v>45536</v>
      </c>
      <c r="H203" s="324">
        <v>47361</v>
      </c>
      <c r="I203" s="325">
        <v>51300</v>
      </c>
      <c r="J20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3" s="133">
        <f>_xlfn.XLOOKUP(Market_Data[[#This Row],[Project Type]],tbl_assumptions_market[Project Category (RERA)],tbl_assumptions_market[Concrete Intensity
(m³ / sq m BUA)],"",0)</f>
        <v>0.42</v>
      </c>
      <c r="L203" s="134">
        <f>ROUND(Market_Data[[#This Row],[Estimated Built Up Area (sq m)]]*Market_Data[[#This Row],[Concrete Intensity
(m³ / sq m)]],0)</f>
        <v>21546</v>
      </c>
      <c r="M203" s="135">
        <f>_xlfn.XLOOKUP(Market_Data[[#This Row],[District]],tbl_district_price[District],tbl_district_price[Standard Price
(INR/m³)],"",0)</f>
        <v>5800</v>
      </c>
      <c r="N203" s="364">
        <f>IF(OR(Market_Data[[#This Row],[Estimated Concrete Demand (m³)]]="",Market_Data[[#This Row],[Avg Price per (₹ / m³)]]=""),"",Market_Data[[#This Row],[Estimated Concrete Demand (m³)]]*Market_Data[[#This Row],[Avg Price per (₹ / m³)]]/10000000)</f>
        <v>12.49668</v>
      </c>
      <c r="O203" s="97" t="str">
        <f>IF(Market_Data[[#This Row],[Estimated Concrete Demand (m³)]]="","",
IF(Market_Data[[#This Row],[Estimated Concrete Demand (m³)]]&lt;10000,"Small",
IF(Market_Data[[#This Row],[Estimated Concrete Demand (m³)]]&lt;25000,"Medium",
IF(Market_Data[[#This Row],[Estimated Concrete Demand (m³)]]&lt;100000,"Large","Mega"))))</f>
        <v>Medium</v>
      </c>
      <c r="P203" s="287" t="str">
        <f t="shared" si="5"/>
        <v>GujRERA</v>
      </c>
    </row>
    <row r="204" spans="1:16">
      <c r="A204" s="129" t="str">
        <f>_xlfn.XLOOKUP(B204,$S$9:$S$14,$T$9:$T$14)&amp;"-"&amp;
IF(E204="Residential/Group Housing","RES",
IF(E204="Commercial","COM",
IF(E204="Mixed Development","MIX",
IF(E204="Plotted Development","PLT","OTH"))))
&amp;"-"&amp;TEXT(COUNTIFS($B$9:B204,B204,$E$9:E204,E204),"0000")</f>
        <v>NAV-MIX-0001</v>
      </c>
      <c r="B204" s="322" t="s">
        <v>37</v>
      </c>
      <c r="C204" s="322" t="s">
        <v>37</v>
      </c>
      <c r="D204" s="323" t="s">
        <v>390</v>
      </c>
      <c r="E204" s="132" t="s">
        <v>25</v>
      </c>
      <c r="F204" s="97" t="str">
        <f ca="1">IF(OR(Market_Data[[#This Row],[Start Date]]="",Market_Data[[#This Row],[Completion Date]]=""),"Needs Validation",IF(Market_Data[[#This Row],[Start Date]]&gt;TODAY(),"Planned",IF(Market_Data[[#This Row],[Completion Date]]&lt;TODAY(),"Completed","Ongoing")))</f>
        <v>Completed</v>
      </c>
      <c r="G204" s="324">
        <v>42136</v>
      </c>
      <c r="H204" s="324">
        <v>43792</v>
      </c>
      <c r="I204" s="325">
        <v>90100</v>
      </c>
      <c r="J20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4" s="133">
        <f>_xlfn.XLOOKUP(Market_Data[[#This Row],[Project Type]],tbl_assumptions_market[Project Category (RERA)],tbl_assumptions_market[Concrete Intensity
(m³ / sq m BUA)],"",0)</f>
        <v>0.42</v>
      </c>
      <c r="L204" s="134">
        <f>ROUND(Market_Data[[#This Row],[Estimated Built Up Area (sq m)]]*Market_Data[[#This Row],[Concrete Intensity
(m³ / sq m)]],0)</f>
        <v>37842</v>
      </c>
      <c r="M204" s="135">
        <f>_xlfn.XLOOKUP(Market_Data[[#This Row],[District]],tbl_district_price[District],tbl_district_price[Standard Price
(INR/m³)],"",0)</f>
        <v>5500</v>
      </c>
      <c r="N204" s="364">
        <f>IF(OR(Market_Data[[#This Row],[Estimated Concrete Demand (m³)]]="",Market_Data[[#This Row],[Avg Price per (₹ / m³)]]=""),"",Market_Data[[#This Row],[Estimated Concrete Demand (m³)]]*Market_Data[[#This Row],[Avg Price per (₹ / m³)]]/10000000)</f>
        <v>20.813099999999999</v>
      </c>
      <c r="O204" s="97" t="str">
        <f>IF(Market_Data[[#This Row],[Estimated Concrete Demand (m³)]]="","",
IF(Market_Data[[#This Row],[Estimated Concrete Demand (m³)]]&lt;10000,"Small",
IF(Market_Data[[#This Row],[Estimated Concrete Demand (m³)]]&lt;25000,"Medium",
IF(Market_Data[[#This Row],[Estimated Concrete Demand (m³)]]&lt;100000,"Large","Mega"))))</f>
        <v>Large</v>
      </c>
      <c r="P204" s="287" t="str">
        <f t="shared" si="5"/>
        <v>GujRERA</v>
      </c>
    </row>
    <row r="205" spans="1:16">
      <c r="A205" s="129" t="str">
        <f>_xlfn.XLOOKUP(B205,$S$9:$S$14,$T$9:$T$14)&amp;"-"&amp;
IF(E205="Residential/Group Housing","RES",
IF(E205="Commercial","COM",
IF(E205="Mixed Development","MIX",
IF(E205="Plotted Development","PLT","OTH"))))
&amp;"-"&amp;TEXT(COUNTIFS($B$9:B205,B205,$E$9:E205,E205),"0000")</f>
        <v>NAV-RES-0001</v>
      </c>
      <c r="B205" s="322" t="s">
        <v>37</v>
      </c>
      <c r="C205" s="322" t="s">
        <v>37</v>
      </c>
      <c r="D205" s="323" t="s">
        <v>391</v>
      </c>
      <c r="E205" s="132" t="s">
        <v>24</v>
      </c>
      <c r="F205" s="97" t="str">
        <f ca="1">IF(OR(Market_Data[[#This Row],[Start Date]]="",Market_Data[[#This Row],[Completion Date]]=""),"Needs Validation",IF(Market_Data[[#This Row],[Start Date]]&gt;TODAY(),"Planned",IF(Market_Data[[#This Row],[Completion Date]]&lt;TODAY(),"Completed","Ongoing")))</f>
        <v>Ongoing</v>
      </c>
      <c r="G205" s="324">
        <v>45289</v>
      </c>
      <c r="H205" s="324">
        <v>46752</v>
      </c>
      <c r="I205" s="325">
        <v>27500</v>
      </c>
      <c r="J20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5" s="133">
        <f>_xlfn.XLOOKUP(Market_Data[[#This Row],[Project Type]],tbl_assumptions_market[Project Category (RERA)],tbl_assumptions_market[Concrete Intensity
(m³ / sq m BUA)],"",0)</f>
        <v>0.45</v>
      </c>
      <c r="L205" s="134">
        <f>ROUND(Market_Data[[#This Row],[Estimated Built Up Area (sq m)]]*Market_Data[[#This Row],[Concrete Intensity
(m³ / sq m)]],0)</f>
        <v>12375</v>
      </c>
      <c r="M205" s="135">
        <f>_xlfn.XLOOKUP(Market_Data[[#This Row],[District]],tbl_district_price[District],tbl_district_price[Standard Price
(INR/m³)],"",0)</f>
        <v>5500</v>
      </c>
      <c r="N205" s="364">
        <f>IF(OR(Market_Data[[#This Row],[Estimated Concrete Demand (m³)]]="",Market_Data[[#This Row],[Avg Price per (₹ / m³)]]=""),"",Market_Data[[#This Row],[Estimated Concrete Demand (m³)]]*Market_Data[[#This Row],[Avg Price per (₹ / m³)]]/10000000)</f>
        <v>6.8062500000000004</v>
      </c>
      <c r="O205" s="97" t="str">
        <f>IF(Market_Data[[#This Row],[Estimated Concrete Demand (m³)]]="","",
IF(Market_Data[[#This Row],[Estimated Concrete Demand (m³)]]&lt;10000,"Small",
IF(Market_Data[[#This Row],[Estimated Concrete Demand (m³)]]&lt;25000,"Medium",
IF(Market_Data[[#This Row],[Estimated Concrete Demand (m³)]]&lt;100000,"Large","Mega"))))</f>
        <v>Medium</v>
      </c>
      <c r="P205" s="287" t="str">
        <f t="shared" si="5"/>
        <v>GujRERA</v>
      </c>
    </row>
    <row r="206" spans="1:16">
      <c r="A206" s="129" t="str">
        <f>_xlfn.XLOOKUP(B206,$S$9:$S$14,$T$9:$T$14)&amp;"-"&amp;
IF(E206="Residential/Group Housing","RES",
IF(E206="Commercial","COM",
IF(E206="Mixed Development","MIX",
IF(E206="Plotted Development","PLT","OTH"))))
&amp;"-"&amp;TEXT(COUNTIFS($B$9:B206,B206,$E$9:E206,E206),"0000")</f>
        <v>NAV-MIX-0002</v>
      </c>
      <c r="B206" s="322" t="s">
        <v>37</v>
      </c>
      <c r="C206" s="322" t="s">
        <v>37</v>
      </c>
      <c r="D206" s="323" t="s">
        <v>392</v>
      </c>
      <c r="E206" s="132" t="s">
        <v>25</v>
      </c>
      <c r="F206" s="97" t="str">
        <f ca="1">IF(OR(Market_Data[[#This Row],[Start Date]]="",Market_Data[[#This Row],[Completion Date]]=""),"Needs Validation",IF(Market_Data[[#This Row],[Start Date]]&gt;TODAY(),"Planned",IF(Market_Data[[#This Row],[Completion Date]]&lt;TODAY(),"Completed","Ongoing")))</f>
        <v>Ongoing</v>
      </c>
      <c r="G206" s="324">
        <v>44566</v>
      </c>
      <c r="H206" s="324">
        <v>47118</v>
      </c>
      <c r="I206" s="325">
        <v>9600</v>
      </c>
      <c r="J20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06" s="133">
        <f>_xlfn.XLOOKUP(Market_Data[[#This Row],[Project Type]],tbl_assumptions_market[Project Category (RERA)],tbl_assumptions_market[Concrete Intensity
(m³ / sq m BUA)],"",0)</f>
        <v>0.42</v>
      </c>
      <c r="L206" s="134">
        <f>ROUND(Market_Data[[#This Row],[Estimated Built Up Area (sq m)]]*Market_Data[[#This Row],[Concrete Intensity
(m³ / sq m)]],0)</f>
        <v>4032</v>
      </c>
      <c r="M206" s="135">
        <f>_xlfn.XLOOKUP(Market_Data[[#This Row],[District]],tbl_district_price[District],tbl_district_price[Standard Price
(INR/m³)],"",0)</f>
        <v>5500</v>
      </c>
      <c r="N206" s="364">
        <f>IF(OR(Market_Data[[#This Row],[Estimated Concrete Demand (m³)]]="",Market_Data[[#This Row],[Avg Price per (₹ / m³)]]=""),"",Market_Data[[#This Row],[Estimated Concrete Demand (m³)]]*Market_Data[[#This Row],[Avg Price per (₹ / m³)]]/10000000)</f>
        <v>2.2176</v>
      </c>
      <c r="O206" s="97" t="str">
        <f>IF(Market_Data[[#This Row],[Estimated Concrete Demand (m³)]]="","",
IF(Market_Data[[#This Row],[Estimated Concrete Demand (m³)]]&lt;10000,"Small",
IF(Market_Data[[#This Row],[Estimated Concrete Demand (m³)]]&lt;25000,"Medium",
IF(Market_Data[[#This Row],[Estimated Concrete Demand (m³)]]&lt;100000,"Large","Mega"))))</f>
        <v>Small</v>
      </c>
      <c r="P206" s="287" t="str">
        <f t="shared" si="5"/>
        <v>GujRERA</v>
      </c>
    </row>
    <row r="207" spans="1:16">
      <c r="A207" s="129" t="str">
        <f>_xlfn.XLOOKUP(B207,$S$9:$S$14,$T$9:$T$14)&amp;"-"&amp;
IF(E207="Residential/Group Housing","RES",
IF(E207="Commercial","COM",
IF(E207="Mixed Development","MIX",
IF(E207="Plotted Development","PLT","OTH"))))
&amp;"-"&amp;TEXT(COUNTIFS($B$9:B207,B207,$E$9:E207,E207),"0000")</f>
        <v>NAV-RES-0002</v>
      </c>
      <c r="B207" s="322" t="s">
        <v>37</v>
      </c>
      <c r="C207" s="322" t="s">
        <v>37</v>
      </c>
      <c r="D207" s="323" t="s">
        <v>393</v>
      </c>
      <c r="E207" s="132" t="s">
        <v>24</v>
      </c>
      <c r="F207" s="97" t="str">
        <f ca="1">IF(OR(Market_Data[[#This Row],[Start Date]]="",Market_Data[[#This Row],[Completion Date]]=""),"Needs Validation",IF(Market_Data[[#This Row],[Start Date]]&gt;TODAY(),"Planned",IF(Market_Data[[#This Row],[Completion Date]]&lt;TODAY(),"Completed","Ongoing")))</f>
        <v>Completed</v>
      </c>
      <c r="G207" s="324">
        <v>43581</v>
      </c>
      <c r="H207" s="324">
        <v>45107</v>
      </c>
      <c r="I207" s="325">
        <v>49200</v>
      </c>
      <c r="J20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7" s="133">
        <f>_xlfn.XLOOKUP(Market_Data[[#This Row],[Project Type]],tbl_assumptions_market[Project Category (RERA)],tbl_assumptions_market[Concrete Intensity
(m³ / sq m BUA)],"",0)</f>
        <v>0.45</v>
      </c>
      <c r="L207" s="134">
        <f>ROUND(Market_Data[[#This Row],[Estimated Built Up Area (sq m)]]*Market_Data[[#This Row],[Concrete Intensity
(m³ / sq m)]],0)</f>
        <v>22140</v>
      </c>
      <c r="M207" s="135">
        <f>_xlfn.XLOOKUP(Market_Data[[#This Row],[District]],tbl_district_price[District],tbl_district_price[Standard Price
(INR/m³)],"",0)</f>
        <v>5500</v>
      </c>
      <c r="N207" s="364">
        <f>IF(OR(Market_Data[[#This Row],[Estimated Concrete Demand (m³)]]="",Market_Data[[#This Row],[Avg Price per (₹ / m³)]]=""),"",Market_Data[[#This Row],[Estimated Concrete Demand (m³)]]*Market_Data[[#This Row],[Avg Price per (₹ / m³)]]/10000000)</f>
        <v>12.177</v>
      </c>
      <c r="O207" s="97" t="str">
        <f>IF(Market_Data[[#This Row],[Estimated Concrete Demand (m³)]]="","",
IF(Market_Data[[#This Row],[Estimated Concrete Demand (m³)]]&lt;10000,"Small",
IF(Market_Data[[#This Row],[Estimated Concrete Demand (m³)]]&lt;25000,"Medium",
IF(Market_Data[[#This Row],[Estimated Concrete Demand (m³)]]&lt;100000,"Large","Mega"))))</f>
        <v>Medium</v>
      </c>
      <c r="P207" s="287" t="str">
        <f t="shared" si="5"/>
        <v>GujRERA</v>
      </c>
    </row>
    <row r="208" spans="1:16">
      <c r="A208" s="129" t="str">
        <f>_xlfn.XLOOKUP(B208,$S$9:$S$14,$T$9:$T$14)&amp;"-"&amp;
IF(E208="Residential/Group Housing","RES",
IF(E208="Commercial","COM",
IF(E208="Mixed Development","MIX",
IF(E208="Plotted Development","PLT","OTH"))))
&amp;"-"&amp;TEXT(COUNTIFS($B$9:B208,B208,$E$9:E208,E208),"0000")</f>
        <v>NAV-RES-0003</v>
      </c>
      <c r="B208" s="322" t="s">
        <v>37</v>
      </c>
      <c r="C208" s="322" t="s">
        <v>37</v>
      </c>
      <c r="D208" s="323" t="s">
        <v>394</v>
      </c>
      <c r="E208" s="132" t="s">
        <v>24</v>
      </c>
      <c r="F208" s="97" t="str">
        <f ca="1">IF(OR(Market_Data[[#This Row],[Start Date]]="",Market_Data[[#This Row],[Completion Date]]=""),"Needs Validation",IF(Market_Data[[#This Row],[Start Date]]&gt;TODAY(),"Planned",IF(Market_Data[[#This Row],[Completion Date]]&lt;TODAY(),"Completed","Ongoing")))</f>
        <v>Ongoing</v>
      </c>
      <c r="G208" s="324">
        <v>45261</v>
      </c>
      <c r="H208" s="324">
        <v>46387</v>
      </c>
      <c r="I208" s="325">
        <v>23800</v>
      </c>
      <c r="J20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8" s="133">
        <f>_xlfn.XLOOKUP(Market_Data[[#This Row],[Project Type]],tbl_assumptions_market[Project Category (RERA)],tbl_assumptions_market[Concrete Intensity
(m³ / sq m BUA)],"",0)</f>
        <v>0.45</v>
      </c>
      <c r="L208" s="134">
        <f>ROUND(Market_Data[[#This Row],[Estimated Built Up Area (sq m)]]*Market_Data[[#This Row],[Concrete Intensity
(m³ / sq m)]],0)</f>
        <v>10710</v>
      </c>
      <c r="M208" s="135">
        <f>_xlfn.XLOOKUP(Market_Data[[#This Row],[District]],tbl_district_price[District],tbl_district_price[Standard Price
(INR/m³)],"",0)</f>
        <v>5500</v>
      </c>
      <c r="N208" s="364">
        <f>IF(OR(Market_Data[[#This Row],[Estimated Concrete Demand (m³)]]="",Market_Data[[#This Row],[Avg Price per (₹ / m³)]]=""),"",Market_Data[[#This Row],[Estimated Concrete Demand (m³)]]*Market_Data[[#This Row],[Avg Price per (₹ / m³)]]/10000000)</f>
        <v>5.8905000000000003</v>
      </c>
      <c r="O208" s="97" t="str">
        <f>IF(Market_Data[[#This Row],[Estimated Concrete Demand (m³)]]="","",
IF(Market_Data[[#This Row],[Estimated Concrete Demand (m³)]]&lt;10000,"Small",
IF(Market_Data[[#This Row],[Estimated Concrete Demand (m³)]]&lt;25000,"Medium",
IF(Market_Data[[#This Row],[Estimated Concrete Demand (m³)]]&lt;100000,"Large","Mega"))))</f>
        <v>Medium</v>
      </c>
      <c r="P208" s="287" t="str">
        <f t="shared" si="5"/>
        <v>GujRERA</v>
      </c>
    </row>
    <row r="209" spans="1:16">
      <c r="A209" s="129" t="str">
        <f>_xlfn.XLOOKUP(B209,$S$9:$S$14,$T$9:$T$14)&amp;"-"&amp;
IF(E209="Residential/Group Housing","RES",
IF(E209="Commercial","COM",
IF(E209="Mixed Development","MIX",
IF(E209="Plotted Development","PLT","OTH"))))
&amp;"-"&amp;TEXT(COUNTIFS($B$9:B209,B209,$E$9:E209,E209),"0000")</f>
        <v>NAV-MIX-0003</v>
      </c>
      <c r="B209" s="322" t="s">
        <v>37</v>
      </c>
      <c r="C209" s="322" t="s">
        <v>37</v>
      </c>
      <c r="D209" s="323" t="s">
        <v>395</v>
      </c>
      <c r="E209" s="132" t="s">
        <v>25</v>
      </c>
      <c r="F209" s="97" t="str">
        <f ca="1">IF(OR(Market_Data[[#This Row],[Start Date]]="",Market_Data[[#This Row],[Completion Date]]=""),"Needs Validation",IF(Market_Data[[#This Row],[Start Date]]&gt;TODAY(),"Planned",IF(Market_Data[[#This Row],[Completion Date]]&lt;TODAY(),"Completed","Ongoing")))</f>
        <v>Completed</v>
      </c>
      <c r="G209" s="324">
        <v>43344</v>
      </c>
      <c r="H209" s="324">
        <v>46203</v>
      </c>
      <c r="I209" s="325">
        <v>12000</v>
      </c>
      <c r="J20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9" s="133">
        <f>_xlfn.XLOOKUP(Market_Data[[#This Row],[Project Type]],tbl_assumptions_market[Project Category (RERA)],tbl_assumptions_market[Concrete Intensity
(m³ / sq m BUA)],"",0)</f>
        <v>0.42</v>
      </c>
      <c r="L209" s="134">
        <f>ROUND(Market_Data[[#This Row],[Estimated Built Up Area (sq m)]]*Market_Data[[#This Row],[Concrete Intensity
(m³ / sq m)]],0)</f>
        <v>5040</v>
      </c>
      <c r="M209" s="135">
        <f>_xlfn.XLOOKUP(Market_Data[[#This Row],[District]],tbl_district_price[District],tbl_district_price[Standard Price
(INR/m³)],"",0)</f>
        <v>5500</v>
      </c>
      <c r="N209" s="364">
        <f>IF(OR(Market_Data[[#This Row],[Estimated Concrete Demand (m³)]]="",Market_Data[[#This Row],[Avg Price per (₹ / m³)]]=""),"",Market_Data[[#This Row],[Estimated Concrete Demand (m³)]]*Market_Data[[#This Row],[Avg Price per (₹ / m³)]]/10000000)</f>
        <v>2.7719999999999998</v>
      </c>
      <c r="O209" s="97" t="str">
        <f>IF(Market_Data[[#This Row],[Estimated Concrete Demand (m³)]]="","",
IF(Market_Data[[#This Row],[Estimated Concrete Demand (m³)]]&lt;10000,"Small",
IF(Market_Data[[#This Row],[Estimated Concrete Demand (m³)]]&lt;25000,"Medium",
IF(Market_Data[[#This Row],[Estimated Concrete Demand (m³)]]&lt;100000,"Large","Mega"))))</f>
        <v>Small</v>
      </c>
      <c r="P209" s="287" t="str">
        <f t="shared" si="5"/>
        <v>GujRERA</v>
      </c>
    </row>
    <row r="210" spans="1:16">
      <c r="A210" s="129" t="str">
        <f>_xlfn.XLOOKUP(B210,$S$9:$S$14,$T$9:$T$14)&amp;"-"&amp;
IF(E210="Residential/Group Housing","RES",
IF(E210="Commercial","COM",
IF(E210="Mixed Development","MIX",
IF(E210="Plotted Development","PLT","OTH"))))
&amp;"-"&amp;TEXT(COUNTIFS($B$9:B210,B210,$E$9:E210,E210),"0000")</f>
        <v>NAV-MIX-0004</v>
      </c>
      <c r="B210" s="322" t="s">
        <v>37</v>
      </c>
      <c r="C210" s="322" t="s">
        <v>37</v>
      </c>
      <c r="D210" s="323" t="s">
        <v>396</v>
      </c>
      <c r="E210" s="132" t="s">
        <v>25</v>
      </c>
      <c r="F210" s="97" t="str">
        <f ca="1">IF(OR(Market_Data[[#This Row],[Start Date]]="",Market_Data[[#This Row],[Completion Date]]=""),"Needs Validation",IF(Market_Data[[#This Row],[Start Date]]&gt;TODAY(),"Planned",IF(Market_Data[[#This Row],[Completion Date]]&lt;TODAY(),"Completed","Ongoing")))</f>
        <v>Completed</v>
      </c>
      <c r="G210" s="324">
        <v>44494</v>
      </c>
      <c r="H210" s="324">
        <v>46022</v>
      </c>
      <c r="I210" s="325">
        <v>19700</v>
      </c>
      <c r="J21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0" s="133">
        <f>_xlfn.XLOOKUP(Market_Data[[#This Row],[Project Type]],tbl_assumptions_market[Project Category (RERA)],tbl_assumptions_market[Concrete Intensity
(m³ / sq m BUA)],"",0)</f>
        <v>0.42</v>
      </c>
      <c r="L210" s="134">
        <f>ROUND(Market_Data[[#This Row],[Estimated Built Up Area (sq m)]]*Market_Data[[#This Row],[Concrete Intensity
(m³ / sq m)]],0)</f>
        <v>8274</v>
      </c>
      <c r="M210" s="135">
        <f>_xlfn.XLOOKUP(Market_Data[[#This Row],[District]],tbl_district_price[District],tbl_district_price[Standard Price
(INR/m³)],"",0)</f>
        <v>5500</v>
      </c>
      <c r="N210" s="364">
        <f>IF(OR(Market_Data[[#This Row],[Estimated Concrete Demand (m³)]]="",Market_Data[[#This Row],[Avg Price per (₹ / m³)]]=""),"",Market_Data[[#This Row],[Estimated Concrete Demand (m³)]]*Market_Data[[#This Row],[Avg Price per (₹ / m³)]]/10000000)</f>
        <v>4.5507</v>
      </c>
      <c r="O210" s="97" t="str">
        <f>IF(Market_Data[[#This Row],[Estimated Concrete Demand (m³)]]="","",
IF(Market_Data[[#This Row],[Estimated Concrete Demand (m³)]]&lt;10000,"Small",
IF(Market_Data[[#This Row],[Estimated Concrete Demand (m³)]]&lt;25000,"Medium",
IF(Market_Data[[#This Row],[Estimated Concrete Demand (m³)]]&lt;100000,"Large","Mega"))))</f>
        <v>Small</v>
      </c>
      <c r="P210" s="287" t="str">
        <f t="shared" si="5"/>
        <v>GujRERA</v>
      </c>
    </row>
    <row r="211" spans="1:16">
      <c r="A211" s="129" t="str">
        <f>_xlfn.XLOOKUP(B211,$S$9:$S$14,$T$9:$T$14)&amp;"-"&amp;
IF(E211="Residential/Group Housing","RES",
IF(E211="Commercial","COM",
IF(E211="Mixed Development","MIX",
IF(E211="Plotted Development","PLT","OTH"))))
&amp;"-"&amp;TEXT(COUNTIFS($B$9:B211,B211,$E$9:E211,E211),"0000")</f>
        <v>NAV-RES-0004</v>
      </c>
      <c r="B211" s="322" t="s">
        <v>37</v>
      </c>
      <c r="C211" s="322" t="s">
        <v>37</v>
      </c>
      <c r="D211" s="323" t="s">
        <v>397</v>
      </c>
      <c r="E211" s="132" t="s">
        <v>24</v>
      </c>
      <c r="F211" s="97" t="str">
        <f ca="1">IF(OR(Market_Data[[#This Row],[Start Date]]="",Market_Data[[#This Row],[Completion Date]]=""),"Needs Validation",IF(Market_Data[[#This Row],[Start Date]]&gt;TODAY(),"Planned",IF(Market_Data[[#This Row],[Completion Date]]&lt;TODAY(),"Completed","Ongoing")))</f>
        <v>Completed</v>
      </c>
      <c r="G211" s="324">
        <v>41654</v>
      </c>
      <c r="H211" s="324">
        <v>44377</v>
      </c>
      <c r="I211" s="325">
        <v>39000</v>
      </c>
      <c r="J21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1" s="133">
        <f>_xlfn.XLOOKUP(Market_Data[[#This Row],[Project Type]],tbl_assumptions_market[Project Category (RERA)],tbl_assumptions_market[Concrete Intensity
(m³ / sq m BUA)],"",0)</f>
        <v>0.45</v>
      </c>
      <c r="L211" s="134">
        <f>ROUND(Market_Data[[#This Row],[Estimated Built Up Area (sq m)]]*Market_Data[[#This Row],[Concrete Intensity
(m³ / sq m)]],0)</f>
        <v>17550</v>
      </c>
      <c r="M211" s="135">
        <f>_xlfn.XLOOKUP(Market_Data[[#This Row],[District]],tbl_district_price[District],tbl_district_price[Standard Price
(INR/m³)],"",0)</f>
        <v>5500</v>
      </c>
      <c r="N211" s="364">
        <f>IF(OR(Market_Data[[#This Row],[Estimated Concrete Demand (m³)]]="",Market_Data[[#This Row],[Avg Price per (₹ / m³)]]=""),"",Market_Data[[#This Row],[Estimated Concrete Demand (m³)]]*Market_Data[[#This Row],[Avg Price per (₹ / m³)]]/10000000)</f>
        <v>9.6524999999999999</v>
      </c>
      <c r="O211" s="97" t="str">
        <f>IF(Market_Data[[#This Row],[Estimated Concrete Demand (m³)]]="","",
IF(Market_Data[[#This Row],[Estimated Concrete Demand (m³)]]&lt;10000,"Small",
IF(Market_Data[[#This Row],[Estimated Concrete Demand (m³)]]&lt;25000,"Medium",
IF(Market_Data[[#This Row],[Estimated Concrete Demand (m³)]]&lt;100000,"Large","Mega"))))</f>
        <v>Medium</v>
      </c>
      <c r="P211" s="287" t="str">
        <f t="shared" si="5"/>
        <v>GujRERA</v>
      </c>
    </row>
    <row r="212" spans="1:16">
      <c r="A212" s="129" t="str">
        <f>_xlfn.XLOOKUP(B212,$S$9:$S$14,$T$9:$T$14)&amp;"-"&amp;
IF(E212="Residential/Group Housing","RES",
IF(E212="Commercial","COM",
IF(E212="Mixed Development","MIX",
IF(E212="Plotted Development","PLT","OTH"))))
&amp;"-"&amp;TEXT(COUNTIFS($B$9:B212,B212,$E$9:E212,E212),"0000")</f>
        <v>NAV-MIX-0005</v>
      </c>
      <c r="B212" s="322" t="s">
        <v>37</v>
      </c>
      <c r="C212" s="322" t="s">
        <v>37</v>
      </c>
      <c r="D212" s="323" t="s">
        <v>398</v>
      </c>
      <c r="E212" s="132" t="s">
        <v>25</v>
      </c>
      <c r="F212" s="97" t="str">
        <f ca="1">IF(OR(Market_Data[[#This Row],[Start Date]]="",Market_Data[[#This Row],[Completion Date]]=""),"Needs Validation",IF(Market_Data[[#This Row],[Start Date]]&gt;TODAY(),"Planned",IF(Market_Data[[#This Row],[Completion Date]]&lt;TODAY(),"Completed","Ongoing")))</f>
        <v>Ongoing</v>
      </c>
      <c r="G212" s="324">
        <v>43252</v>
      </c>
      <c r="H212" s="324">
        <v>47036</v>
      </c>
      <c r="I212" s="325">
        <v>39400</v>
      </c>
      <c r="J21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2" s="133">
        <f>_xlfn.XLOOKUP(Market_Data[[#This Row],[Project Type]],tbl_assumptions_market[Project Category (RERA)],tbl_assumptions_market[Concrete Intensity
(m³ / sq m BUA)],"",0)</f>
        <v>0.42</v>
      </c>
      <c r="L212" s="134">
        <f>ROUND(Market_Data[[#This Row],[Estimated Built Up Area (sq m)]]*Market_Data[[#This Row],[Concrete Intensity
(m³ / sq m)]],0)</f>
        <v>16548</v>
      </c>
      <c r="M212" s="135">
        <f>_xlfn.XLOOKUP(Market_Data[[#This Row],[District]],tbl_district_price[District],tbl_district_price[Standard Price
(INR/m³)],"",0)</f>
        <v>5500</v>
      </c>
      <c r="N212" s="364">
        <f>IF(OR(Market_Data[[#This Row],[Estimated Concrete Demand (m³)]]="",Market_Data[[#This Row],[Avg Price per (₹ / m³)]]=""),"",Market_Data[[#This Row],[Estimated Concrete Demand (m³)]]*Market_Data[[#This Row],[Avg Price per (₹ / m³)]]/10000000)</f>
        <v>9.1013999999999999</v>
      </c>
      <c r="O212" s="97" t="str">
        <f>IF(Market_Data[[#This Row],[Estimated Concrete Demand (m³)]]="","",
IF(Market_Data[[#This Row],[Estimated Concrete Demand (m³)]]&lt;10000,"Small",
IF(Market_Data[[#This Row],[Estimated Concrete Demand (m³)]]&lt;25000,"Medium",
IF(Market_Data[[#This Row],[Estimated Concrete Demand (m³)]]&lt;100000,"Large","Mega"))))</f>
        <v>Medium</v>
      </c>
      <c r="P212" s="287" t="str">
        <f t="shared" si="5"/>
        <v>GujRERA</v>
      </c>
    </row>
    <row r="213" spans="1:16">
      <c r="A213" s="129" t="str">
        <f>_xlfn.XLOOKUP(B213,$S$9:$S$14,$T$9:$T$14)&amp;"-"&amp;
IF(E213="Residential/Group Housing","RES",
IF(E213="Commercial","COM",
IF(E213="Mixed Development","MIX",
IF(E213="Plotted Development","PLT","OTH"))))
&amp;"-"&amp;TEXT(COUNTIFS($B$9:B213,B213,$E$9:E213,E213),"0000")</f>
        <v>NAV-MIX-0006</v>
      </c>
      <c r="B213" s="322" t="s">
        <v>37</v>
      </c>
      <c r="C213" s="322" t="s">
        <v>37</v>
      </c>
      <c r="D213" s="323" t="s">
        <v>399</v>
      </c>
      <c r="E213" s="132" t="s">
        <v>25</v>
      </c>
      <c r="F213" s="97" t="str">
        <f ca="1">IF(OR(Market_Data[[#This Row],[Start Date]]="",Market_Data[[#This Row],[Completion Date]]=""),"Needs Validation",IF(Market_Data[[#This Row],[Start Date]]&gt;TODAY(),"Planned",IF(Market_Data[[#This Row],[Completion Date]]&lt;TODAY(),"Completed","Ongoing")))</f>
        <v>Completed</v>
      </c>
      <c r="G213" s="324">
        <v>43344</v>
      </c>
      <c r="H213" s="324">
        <v>44671</v>
      </c>
      <c r="I213" s="325">
        <v>2900</v>
      </c>
      <c r="J21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13" s="133">
        <f>_xlfn.XLOOKUP(Market_Data[[#This Row],[Project Type]],tbl_assumptions_market[Project Category (RERA)],tbl_assumptions_market[Concrete Intensity
(m³ / sq m BUA)],"",0)</f>
        <v>0.42</v>
      </c>
      <c r="L213" s="134">
        <f>ROUND(Market_Data[[#This Row],[Estimated Built Up Area (sq m)]]*Market_Data[[#This Row],[Concrete Intensity
(m³ / sq m)]],0)</f>
        <v>1218</v>
      </c>
      <c r="M213" s="135">
        <f>_xlfn.XLOOKUP(Market_Data[[#This Row],[District]],tbl_district_price[District],tbl_district_price[Standard Price
(INR/m³)],"",0)</f>
        <v>5500</v>
      </c>
      <c r="N213" s="364">
        <f>IF(OR(Market_Data[[#This Row],[Estimated Concrete Demand (m³)]]="",Market_Data[[#This Row],[Avg Price per (₹ / m³)]]=""),"",Market_Data[[#This Row],[Estimated Concrete Demand (m³)]]*Market_Data[[#This Row],[Avg Price per (₹ / m³)]]/10000000)</f>
        <v>0.66990000000000005</v>
      </c>
      <c r="O213" s="97" t="str">
        <f>IF(Market_Data[[#This Row],[Estimated Concrete Demand (m³)]]="","",
IF(Market_Data[[#This Row],[Estimated Concrete Demand (m³)]]&lt;10000,"Small",
IF(Market_Data[[#This Row],[Estimated Concrete Demand (m³)]]&lt;25000,"Medium",
IF(Market_Data[[#This Row],[Estimated Concrete Demand (m³)]]&lt;100000,"Large","Mega"))))</f>
        <v>Small</v>
      </c>
      <c r="P213" s="287" t="str">
        <f t="shared" si="5"/>
        <v>GujRERA</v>
      </c>
    </row>
    <row r="214" spans="1:16">
      <c r="A214" s="129" t="str">
        <f>_xlfn.XLOOKUP(B214,$S$9:$S$14,$T$9:$T$14)&amp;"-"&amp;
IF(E214="Residential/Group Housing","RES",
IF(E214="Commercial","COM",
IF(E214="Mixed Development","MIX",
IF(E214="Plotted Development","PLT","OTH"))))
&amp;"-"&amp;TEXT(COUNTIFS($B$9:B214,B214,$E$9:E214,E214),"0000")</f>
        <v>NAV-PLT-0001</v>
      </c>
      <c r="B214" s="322" t="s">
        <v>37</v>
      </c>
      <c r="C214" s="322" t="s">
        <v>37</v>
      </c>
      <c r="D214" s="323" t="s">
        <v>400</v>
      </c>
      <c r="E214" s="132" t="s">
        <v>26</v>
      </c>
      <c r="F214" s="97" t="str">
        <f ca="1">IF(OR(Market_Data[[#This Row],[Start Date]]="",Market_Data[[#This Row],[Completion Date]]=""),"Needs Validation",IF(Market_Data[[#This Row],[Start Date]]&gt;TODAY(),"Planned",IF(Market_Data[[#This Row],[Completion Date]]&lt;TODAY(),"Completed","Ongoing")))</f>
        <v>Ongoing</v>
      </c>
      <c r="G214" s="324">
        <v>45468</v>
      </c>
      <c r="H214" s="324">
        <v>47483</v>
      </c>
      <c r="I214" s="325">
        <v>16700</v>
      </c>
      <c r="J21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4" s="133">
        <f>_xlfn.XLOOKUP(Market_Data[[#This Row],[Project Type]],tbl_assumptions_market[Project Category (RERA)],tbl_assumptions_market[Concrete Intensity
(m³ / sq m BUA)],"",0)</f>
        <v>0.18</v>
      </c>
      <c r="L214" s="134">
        <f>ROUND(Market_Data[[#This Row],[Estimated Built Up Area (sq m)]]*Market_Data[[#This Row],[Concrete Intensity
(m³ / sq m)]],0)</f>
        <v>3006</v>
      </c>
      <c r="M214" s="135">
        <f>_xlfn.XLOOKUP(Market_Data[[#This Row],[District]],tbl_district_price[District],tbl_district_price[Standard Price
(INR/m³)],"",0)</f>
        <v>5500</v>
      </c>
      <c r="N214" s="364">
        <f>IF(OR(Market_Data[[#This Row],[Estimated Concrete Demand (m³)]]="",Market_Data[[#This Row],[Avg Price per (₹ / m³)]]=""),"",Market_Data[[#This Row],[Estimated Concrete Demand (m³)]]*Market_Data[[#This Row],[Avg Price per (₹ / m³)]]/10000000)</f>
        <v>1.6533</v>
      </c>
      <c r="O214" s="97" t="str">
        <f>IF(Market_Data[[#This Row],[Estimated Concrete Demand (m³)]]="","",
IF(Market_Data[[#This Row],[Estimated Concrete Demand (m³)]]&lt;10000,"Small",
IF(Market_Data[[#This Row],[Estimated Concrete Demand (m³)]]&lt;25000,"Medium",
IF(Market_Data[[#This Row],[Estimated Concrete Demand (m³)]]&lt;100000,"Large","Mega"))))</f>
        <v>Small</v>
      </c>
      <c r="P214" s="287" t="str">
        <f t="shared" si="5"/>
        <v>GujRERA</v>
      </c>
    </row>
    <row r="215" spans="1:16">
      <c r="A215" s="129" t="str">
        <f>_xlfn.XLOOKUP(B215,$S$9:$S$14,$T$9:$T$14)&amp;"-"&amp;
IF(E215="Residential/Group Housing","RES",
IF(E215="Commercial","COM",
IF(E215="Mixed Development","MIX",
IF(E215="Plotted Development","PLT","OTH"))))
&amp;"-"&amp;TEXT(COUNTIFS($B$9:B215,B215,$E$9:E215,E215),"0000")</f>
        <v>NAV-COM-0001</v>
      </c>
      <c r="B215" s="322" t="s">
        <v>37</v>
      </c>
      <c r="C215" s="322" t="s">
        <v>37</v>
      </c>
      <c r="D215" s="323" t="s">
        <v>401</v>
      </c>
      <c r="E215" s="132" t="s">
        <v>23</v>
      </c>
      <c r="F215" s="97" t="str">
        <f ca="1">IF(OR(Market_Data[[#This Row],[Start Date]]="",Market_Data[[#This Row],[Completion Date]]=""),"Needs Validation",IF(Market_Data[[#This Row],[Start Date]]&gt;TODAY(),"Planned",IF(Market_Data[[#This Row],[Completion Date]]&lt;TODAY(),"Completed","Ongoing")))</f>
        <v>Ongoing</v>
      </c>
      <c r="G215" s="324">
        <v>44797</v>
      </c>
      <c r="H215" s="324">
        <v>48213</v>
      </c>
      <c r="I215" s="325">
        <v>11000</v>
      </c>
      <c r="J21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5" s="133">
        <f>_xlfn.XLOOKUP(Market_Data[[#This Row],[Project Type]],tbl_assumptions_market[Project Category (RERA)],tbl_assumptions_market[Concrete Intensity
(m³ / sq m BUA)],"",0)</f>
        <v>0.5</v>
      </c>
      <c r="L215" s="134">
        <f>ROUND(Market_Data[[#This Row],[Estimated Built Up Area (sq m)]]*Market_Data[[#This Row],[Concrete Intensity
(m³ / sq m)]],0)</f>
        <v>5500</v>
      </c>
      <c r="M215" s="135">
        <f>_xlfn.XLOOKUP(Market_Data[[#This Row],[District]],tbl_district_price[District],tbl_district_price[Standard Price
(INR/m³)],"",0)</f>
        <v>5500</v>
      </c>
      <c r="N215" s="364">
        <f>IF(OR(Market_Data[[#This Row],[Estimated Concrete Demand (m³)]]="",Market_Data[[#This Row],[Avg Price per (₹ / m³)]]=""),"",Market_Data[[#This Row],[Estimated Concrete Demand (m³)]]*Market_Data[[#This Row],[Avg Price per (₹ / m³)]]/10000000)</f>
        <v>3.0249999999999999</v>
      </c>
      <c r="O215" s="97" t="str">
        <f>IF(Market_Data[[#This Row],[Estimated Concrete Demand (m³)]]="","",
IF(Market_Data[[#This Row],[Estimated Concrete Demand (m³)]]&lt;10000,"Small",
IF(Market_Data[[#This Row],[Estimated Concrete Demand (m³)]]&lt;25000,"Medium",
IF(Market_Data[[#This Row],[Estimated Concrete Demand (m³)]]&lt;100000,"Large","Mega"))))</f>
        <v>Small</v>
      </c>
      <c r="P215" s="287" t="str">
        <f t="shared" si="5"/>
        <v>GujRERA</v>
      </c>
    </row>
    <row r="216" spans="1:16">
      <c r="A216" s="129" t="str">
        <f>_xlfn.XLOOKUP(B216,$S$9:$S$14,$T$9:$T$14)&amp;"-"&amp;
IF(E216="Residential/Group Housing","RES",
IF(E216="Commercial","COM",
IF(E216="Mixed Development","MIX",
IF(E216="Plotted Development","PLT","OTH"))))
&amp;"-"&amp;TEXT(COUNTIFS($B$9:B216,B216,$E$9:E216,E216),"0000")</f>
        <v>NAV-MIX-0007</v>
      </c>
      <c r="B216" s="322" t="s">
        <v>37</v>
      </c>
      <c r="C216" s="322" t="s">
        <v>37</v>
      </c>
      <c r="D216" s="323" t="s">
        <v>402</v>
      </c>
      <c r="E216" s="132" t="s">
        <v>25</v>
      </c>
      <c r="F216" s="97" t="str">
        <f ca="1">IF(OR(Market_Data[[#This Row],[Start Date]]="",Market_Data[[#This Row],[Completion Date]]=""),"Needs Validation",IF(Market_Data[[#This Row],[Start Date]]&gt;TODAY(),"Planned",IF(Market_Data[[#This Row],[Completion Date]]&lt;TODAY(),"Completed","Ongoing")))</f>
        <v>Completed</v>
      </c>
      <c r="G216" s="324">
        <v>44470</v>
      </c>
      <c r="H216" s="324">
        <v>46054</v>
      </c>
      <c r="I216" s="325">
        <v>6900</v>
      </c>
      <c r="J21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16" s="133">
        <f>_xlfn.XLOOKUP(Market_Data[[#This Row],[Project Type]],tbl_assumptions_market[Project Category (RERA)],tbl_assumptions_market[Concrete Intensity
(m³ / sq m BUA)],"",0)</f>
        <v>0.42</v>
      </c>
      <c r="L216" s="134">
        <f>ROUND(Market_Data[[#This Row],[Estimated Built Up Area (sq m)]]*Market_Data[[#This Row],[Concrete Intensity
(m³ / sq m)]],0)</f>
        <v>2898</v>
      </c>
      <c r="M216" s="135">
        <f>_xlfn.XLOOKUP(Market_Data[[#This Row],[District]],tbl_district_price[District],tbl_district_price[Standard Price
(INR/m³)],"",0)</f>
        <v>5500</v>
      </c>
      <c r="N216" s="364">
        <f>IF(OR(Market_Data[[#This Row],[Estimated Concrete Demand (m³)]]="",Market_Data[[#This Row],[Avg Price per (₹ / m³)]]=""),"",Market_Data[[#This Row],[Estimated Concrete Demand (m³)]]*Market_Data[[#This Row],[Avg Price per (₹ / m³)]]/10000000)</f>
        <v>1.5939000000000001</v>
      </c>
      <c r="O216" s="97" t="str">
        <f>IF(Market_Data[[#This Row],[Estimated Concrete Demand (m³)]]="","",
IF(Market_Data[[#This Row],[Estimated Concrete Demand (m³)]]&lt;10000,"Small",
IF(Market_Data[[#This Row],[Estimated Concrete Demand (m³)]]&lt;25000,"Medium",
IF(Market_Data[[#This Row],[Estimated Concrete Demand (m³)]]&lt;100000,"Large","Mega"))))</f>
        <v>Small</v>
      </c>
      <c r="P216" s="287" t="str">
        <f t="shared" si="5"/>
        <v>GujRERA</v>
      </c>
    </row>
    <row r="217" spans="1:16">
      <c r="A217" s="129" t="str">
        <f>_xlfn.XLOOKUP(B217,$S$9:$S$14,$T$9:$T$14)&amp;"-"&amp;
IF(E217="Residential/Group Housing","RES",
IF(E217="Commercial","COM",
IF(E217="Mixed Development","MIX",
IF(E217="Plotted Development","PLT","OTH"))))
&amp;"-"&amp;TEXT(COUNTIFS($B$9:B217,B217,$E$9:E217,E217),"0000")</f>
        <v>NAV-MIX-0008</v>
      </c>
      <c r="B217" s="322" t="s">
        <v>37</v>
      </c>
      <c r="C217" s="322" t="s">
        <v>37</v>
      </c>
      <c r="D217" s="323" t="s">
        <v>403</v>
      </c>
      <c r="E217" s="132" t="s">
        <v>25</v>
      </c>
      <c r="F217" s="97" t="str">
        <f ca="1">IF(OR(Market_Data[[#This Row],[Start Date]]="",Market_Data[[#This Row],[Completion Date]]=""),"Needs Validation",IF(Market_Data[[#This Row],[Start Date]]&gt;TODAY(),"Planned",IF(Market_Data[[#This Row],[Completion Date]]&lt;TODAY(),"Completed","Ongoing")))</f>
        <v>Completed</v>
      </c>
      <c r="G217" s="324">
        <v>43282</v>
      </c>
      <c r="H217" s="324">
        <v>45596</v>
      </c>
      <c r="I217" s="325">
        <v>11300</v>
      </c>
      <c r="J21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7" s="133">
        <f>_xlfn.XLOOKUP(Market_Data[[#This Row],[Project Type]],tbl_assumptions_market[Project Category (RERA)],tbl_assumptions_market[Concrete Intensity
(m³ / sq m BUA)],"",0)</f>
        <v>0.42</v>
      </c>
      <c r="L217" s="134">
        <f>ROUND(Market_Data[[#This Row],[Estimated Built Up Area (sq m)]]*Market_Data[[#This Row],[Concrete Intensity
(m³ / sq m)]],0)</f>
        <v>4746</v>
      </c>
      <c r="M217" s="135">
        <f>_xlfn.XLOOKUP(Market_Data[[#This Row],[District]],tbl_district_price[District],tbl_district_price[Standard Price
(INR/m³)],"",0)</f>
        <v>5500</v>
      </c>
      <c r="N217" s="364">
        <f>IF(OR(Market_Data[[#This Row],[Estimated Concrete Demand (m³)]]="",Market_Data[[#This Row],[Avg Price per (₹ / m³)]]=""),"",Market_Data[[#This Row],[Estimated Concrete Demand (m³)]]*Market_Data[[#This Row],[Avg Price per (₹ / m³)]]/10000000)</f>
        <v>2.6103000000000001</v>
      </c>
      <c r="O217" s="97" t="str">
        <f>IF(Market_Data[[#This Row],[Estimated Concrete Demand (m³)]]="","",
IF(Market_Data[[#This Row],[Estimated Concrete Demand (m³)]]&lt;10000,"Small",
IF(Market_Data[[#This Row],[Estimated Concrete Demand (m³)]]&lt;25000,"Medium",
IF(Market_Data[[#This Row],[Estimated Concrete Demand (m³)]]&lt;100000,"Large","Mega"))))</f>
        <v>Small</v>
      </c>
      <c r="P217" s="287" t="str">
        <f t="shared" si="5"/>
        <v>GujRERA</v>
      </c>
    </row>
    <row r="218" spans="1:16">
      <c r="A218" s="129" t="str">
        <f>_xlfn.XLOOKUP(B218,$S$9:$S$14,$T$9:$T$14)&amp;"-"&amp;
IF(E218="Residential/Group Housing","RES",
IF(E218="Commercial","COM",
IF(E218="Mixed Development","MIX",
IF(E218="Plotted Development","PLT","OTH"))))
&amp;"-"&amp;TEXT(COUNTIFS($B$9:B218,B218,$E$9:E218,E218),"0000")</f>
        <v>NAV-COM-0002</v>
      </c>
      <c r="B218" s="322" t="s">
        <v>37</v>
      </c>
      <c r="C218" s="322" t="s">
        <v>37</v>
      </c>
      <c r="D218" s="323" t="s">
        <v>404</v>
      </c>
      <c r="E218" s="132" t="s">
        <v>23</v>
      </c>
      <c r="F218" s="97" t="str">
        <f ca="1">IF(OR(Market_Data[[#This Row],[Start Date]]="",Market_Data[[#This Row],[Completion Date]]=""),"Needs Validation",IF(Market_Data[[#This Row],[Start Date]]&gt;TODAY(),"Planned",IF(Market_Data[[#This Row],[Completion Date]]&lt;TODAY(),"Completed","Ongoing")))</f>
        <v>Completed</v>
      </c>
      <c r="G218" s="324">
        <v>43236</v>
      </c>
      <c r="H218" s="324">
        <v>46203</v>
      </c>
      <c r="I218" s="325">
        <v>81400</v>
      </c>
      <c r="J21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18" s="133">
        <f>_xlfn.XLOOKUP(Market_Data[[#This Row],[Project Type]],tbl_assumptions_market[Project Category (RERA)],tbl_assumptions_market[Concrete Intensity
(m³ / sq m BUA)],"",0)</f>
        <v>0.5</v>
      </c>
      <c r="L218" s="134">
        <f>ROUND(Market_Data[[#This Row],[Estimated Built Up Area (sq m)]]*Market_Data[[#This Row],[Concrete Intensity
(m³ / sq m)]],0)</f>
        <v>40700</v>
      </c>
      <c r="M218" s="135">
        <f>_xlfn.XLOOKUP(Market_Data[[#This Row],[District]],tbl_district_price[District],tbl_district_price[Standard Price
(INR/m³)],"",0)</f>
        <v>5500</v>
      </c>
      <c r="N218" s="364">
        <f>IF(OR(Market_Data[[#This Row],[Estimated Concrete Demand (m³)]]="",Market_Data[[#This Row],[Avg Price per (₹ / m³)]]=""),"",Market_Data[[#This Row],[Estimated Concrete Demand (m³)]]*Market_Data[[#This Row],[Avg Price per (₹ / m³)]]/10000000)</f>
        <v>22.385000000000002</v>
      </c>
      <c r="O218" s="97" t="str">
        <f>IF(Market_Data[[#This Row],[Estimated Concrete Demand (m³)]]="","",
IF(Market_Data[[#This Row],[Estimated Concrete Demand (m³)]]&lt;10000,"Small",
IF(Market_Data[[#This Row],[Estimated Concrete Demand (m³)]]&lt;25000,"Medium",
IF(Market_Data[[#This Row],[Estimated Concrete Demand (m³)]]&lt;100000,"Large","Mega"))))</f>
        <v>Large</v>
      </c>
      <c r="P218" s="287" t="str">
        <f t="shared" si="5"/>
        <v>GujRERA</v>
      </c>
    </row>
    <row r="219" spans="1:16">
      <c r="A219" s="129" t="str">
        <f>_xlfn.XLOOKUP(B219,$S$9:$S$14,$T$9:$T$14)&amp;"-"&amp;
IF(E219="Residential/Group Housing","RES",
IF(E219="Commercial","COM",
IF(E219="Mixed Development","MIX",
IF(E219="Plotted Development","PLT","OTH"))))
&amp;"-"&amp;TEXT(COUNTIFS($B$9:B219,B219,$E$9:E219,E219),"0000")</f>
        <v>NAV-MIX-0009</v>
      </c>
      <c r="B219" s="322" t="s">
        <v>37</v>
      </c>
      <c r="C219" s="322" t="s">
        <v>37</v>
      </c>
      <c r="D219" s="323" t="s">
        <v>405</v>
      </c>
      <c r="E219" s="132" t="s">
        <v>25</v>
      </c>
      <c r="F219" s="97" t="str">
        <f ca="1">IF(OR(Market_Data[[#This Row],[Start Date]]="",Market_Data[[#This Row],[Completion Date]]=""),"Needs Validation",IF(Market_Data[[#This Row],[Start Date]]&gt;TODAY(),"Planned",IF(Market_Data[[#This Row],[Completion Date]]&lt;TODAY(),"Completed","Ongoing")))</f>
        <v>Ongoing</v>
      </c>
      <c r="G219" s="324">
        <v>45748</v>
      </c>
      <c r="H219" s="324">
        <v>47848</v>
      </c>
      <c r="I219" s="325">
        <v>22900</v>
      </c>
      <c r="J21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9" s="133">
        <f>_xlfn.XLOOKUP(Market_Data[[#This Row],[Project Type]],tbl_assumptions_market[Project Category (RERA)],tbl_assumptions_market[Concrete Intensity
(m³ / sq m BUA)],"",0)</f>
        <v>0.42</v>
      </c>
      <c r="L219" s="134">
        <f>ROUND(Market_Data[[#This Row],[Estimated Built Up Area (sq m)]]*Market_Data[[#This Row],[Concrete Intensity
(m³ / sq m)]],0)</f>
        <v>9618</v>
      </c>
      <c r="M219" s="135">
        <f>_xlfn.XLOOKUP(Market_Data[[#This Row],[District]],tbl_district_price[District],tbl_district_price[Standard Price
(INR/m³)],"",0)</f>
        <v>5500</v>
      </c>
      <c r="N219" s="364">
        <f>IF(OR(Market_Data[[#This Row],[Estimated Concrete Demand (m³)]]="",Market_Data[[#This Row],[Avg Price per (₹ / m³)]]=""),"",Market_Data[[#This Row],[Estimated Concrete Demand (m³)]]*Market_Data[[#This Row],[Avg Price per (₹ / m³)]]/10000000)</f>
        <v>5.2899000000000003</v>
      </c>
      <c r="O219" s="97" t="str">
        <f>IF(Market_Data[[#This Row],[Estimated Concrete Demand (m³)]]="","",
IF(Market_Data[[#This Row],[Estimated Concrete Demand (m³)]]&lt;10000,"Small",
IF(Market_Data[[#This Row],[Estimated Concrete Demand (m³)]]&lt;25000,"Medium",
IF(Market_Data[[#This Row],[Estimated Concrete Demand (m³)]]&lt;100000,"Large","Mega"))))</f>
        <v>Small</v>
      </c>
      <c r="P219" s="287" t="str">
        <f t="shared" si="5"/>
        <v>GujRERA</v>
      </c>
    </row>
    <row r="220" spans="1:16">
      <c r="A220" s="129" t="str">
        <f>_xlfn.XLOOKUP(B220,$S$9:$S$14,$T$9:$T$14)&amp;"-"&amp;
IF(E220="Residential/Group Housing","RES",
IF(E220="Commercial","COM",
IF(E220="Mixed Development","MIX",
IF(E220="Plotted Development","PLT","OTH"))))
&amp;"-"&amp;TEXT(COUNTIFS($B$9:B220,B220,$E$9:E220,E220),"0000")</f>
        <v>NAV-MIX-0010</v>
      </c>
      <c r="B220" s="322" t="s">
        <v>37</v>
      </c>
      <c r="C220" s="322" t="s">
        <v>37</v>
      </c>
      <c r="D220" s="323" t="s">
        <v>406</v>
      </c>
      <c r="E220" s="132" t="s">
        <v>25</v>
      </c>
      <c r="F220" s="97" t="str">
        <f ca="1">IF(OR(Market_Data[[#This Row],[Start Date]]="",Market_Data[[#This Row],[Completion Date]]=""),"Needs Validation",IF(Market_Data[[#This Row],[Start Date]]&gt;TODAY(),"Planned",IF(Market_Data[[#This Row],[Completion Date]]&lt;TODAY(),"Completed","Ongoing")))</f>
        <v>Completed</v>
      </c>
      <c r="G220" s="324">
        <v>43556</v>
      </c>
      <c r="H220" s="324">
        <v>46203</v>
      </c>
      <c r="I220" s="325">
        <v>18200</v>
      </c>
      <c r="J22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0" s="133">
        <f>_xlfn.XLOOKUP(Market_Data[[#This Row],[Project Type]],tbl_assumptions_market[Project Category (RERA)],tbl_assumptions_market[Concrete Intensity
(m³ / sq m BUA)],"",0)</f>
        <v>0.42</v>
      </c>
      <c r="L220" s="134">
        <f>ROUND(Market_Data[[#This Row],[Estimated Built Up Area (sq m)]]*Market_Data[[#This Row],[Concrete Intensity
(m³ / sq m)]],0)</f>
        <v>7644</v>
      </c>
      <c r="M220" s="135">
        <f>_xlfn.XLOOKUP(Market_Data[[#This Row],[District]],tbl_district_price[District],tbl_district_price[Standard Price
(INR/m³)],"",0)</f>
        <v>5500</v>
      </c>
      <c r="N220" s="364">
        <f>IF(OR(Market_Data[[#This Row],[Estimated Concrete Demand (m³)]]="",Market_Data[[#This Row],[Avg Price per (₹ / m³)]]=""),"",Market_Data[[#This Row],[Estimated Concrete Demand (m³)]]*Market_Data[[#This Row],[Avg Price per (₹ / m³)]]/10000000)</f>
        <v>4.2042000000000002</v>
      </c>
      <c r="O220" s="97" t="str">
        <f>IF(Market_Data[[#This Row],[Estimated Concrete Demand (m³)]]="","",
IF(Market_Data[[#This Row],[Estimated Concrete Demand (m³)]]&lt;10000,"Small",
IF(Market_Data[[#This Row],[Estimated Concrete Demand (m³)]]&lt;25000,"Medium",
IF(Market_Data[[#This Row],[Estimated Concrete Demand (m³)]]&lt;100000,"Large","Mega"))))</f>
        <v>Small</v>
      </c>
      <c r="P220" s="287" t="str">
        <f t="shared" si="5"/>
        <v>GujRERA</v>
      </c>
    </row>
    <row r="221" spans="1:16">
      <c r="A221" s="129" t="str">
        <f>_xlfn.XLOOKUP(B221,$S$9:$S$14,$T$9:$T$14)&amp;"-"&amp;
IF(E221="Residential/Group Housing","RES",
IF(E221="Commercial","COM",
IF(E221="Mixed Development","MIX",
IF(E221="Plotted Development","PLT","OTH"))))
&amp;"-"&amp;TEXT(COUNTIFS($B$9:B221,B221,$E$9:E221,E221),"0000")</f>
        <v>NAV-RES-0005</v>
      </c>
      <c r="B221" s="322" t="s">
        <v>37</v>
      </c>
      <c r="C221" s="322" t="s">
        <v>37</v>
      </c>
      <c r="D221" s="323" t="s">
        <v>407</v>
      </c>
      <c r="E221" s="132" t="s">
        <v>24</v>
      </c>
      <c r="F221" s="97" t="str">
        <f ca="1">IF(OR(Market_Data[[#This Row],[Start Date]]="",Market_Data[[#This Row],[Completion Date]]=""),"Needs Validation",IF(Market_Data[[#This Row],[Start Date]]&gt;TODAY(),"Planned",IF(Market_Data[[#This Row],[Completion Date]]&lt;TODAY(),"Completed","Ongoing")))</f>
        <v>Ongoing</v>
      </c>
      <c r="G221" s="324">
        <v>45658</v>
      </c>
      <c r="H221" s="324">
        <v>47848</v>
      </c>
      <c r="I221" s="325">
        <v>56500</v>
      </c>
      <c r="J22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1" s="133">
        <f>_xlfn.XLOOKUP(Market_Data[[#This Row],[Project Type]],tbl_assumptions_market[Project Category (RERA)],tbl_assumptions_market[Concrete Intensity
(m³ / sq m BUA)],"",0)</f>
        <v>0.45</v>
      </c>
      <c r="L221" s="134">
        <f>ROUND(Market_Data[[#This Row],[Estimated Built Up Area (sq m)]]*Market_Data[[#This Row],[Concrete Intensity
(m³ / sq m)]],0)</f>
        <v>25425</v>
      </c>
      <c r="M221" s="135">
        <f>_xlfn.XLOOKUP(Market_Data[[#This Row],[District]],tbl_district_price[District],tbl_district_price[Standard Price
(INR/m³)],"",0)</f>
        <v>5500</v>
      </c>
      <c r="N221" s="364">
        <f>IF(OR(Market_Data[[#This Row],[Estimated Concrete Demand (m³)]]="",Market_Data[[#This Row],[Avg Price per (₹ / m³)]]=""),"",Market_Data[[#This Row],[Estimated Concrete Demand (m³)]]*Market_Data[[#This Row],[Avg Price per (₹ / m³)]]/10000000)</f>
        <v>13.983750000000001</v>
      </c>
      <c r="O221" s="97" t="str">
        <f>IF(Market_Data[[#This Row],[Estimated Concrete Demand (m³)]]="","",
IF(Market_Data[[#This Row],[Estimated Concrete Demand (m³)]]&lt;10000,"Small",
IF(Market_Data[[#This Row],[Estimated Concrete Demand (m³)]]&lt;25000,"Medium",
IF(Market_Data[[#This Row],[Estimated Concrete Demand (m³)]]&lt;100000,"Large","Mega"))))</f>
        <v>Large</v>
      </c>
      <c r="P221" s="287" t="str">
        <f t="shared" si="5"/>
        <v>GujRERA</v>
      </c>
    </row>
    <row r="222" spans="1:16">
      <c r="A222" s="129" t="str">
        <f>_xlfn.XLOOKUP(B222,$S$9:$S$14,$T$9:$T$14)&amp;"-"&amp;
IF(E222="Residential/Group Housing","RES",
IF(E222="Commercial","COM",
IF(E222="Mixed Development","MIX",
IF(E222="Plotted Development","PLT","OTH"))))
&amp;"-"&amp;TEXT(COUNTIFS($B$9:B222,B222,$E$9:E222,E222),"0000")</f>
        <v>NAV-MIX-0011</v>
      </c>
      <c r="B222" s="322" t="s">
        <v>37</v>
      </c>
      <c r="C222" s="322" t="s">
        <v>37</v>
      </c>
      <c r="D222" s="323" t="s">
        <v>408</v>
      </c>
      <c r="E222" s="132" t="s">
        <v>25</v>
      </c>
      <c r="F222" s="97" t="str">
        <f ca="1">IF(OR(Market_Data[[#This Row],[Start Date]]="",Market_Data[[#This Row],[Completion Date]]=""),"Needs Validation",IF(Market_Data[[#This Row],[Start Date]]&gt;TODAY(),"Planned",IF(Market_Data[[#This Row],[Completion Date]]&lt;TODAY(),"Completed","Ongoing")))</f>
        <v>Completed</v>
      </c>
      <c r="G222" s="324">
        <v>43252</v>
      </c>
      <c r="H222" s="324">
        <v>46203</v>
      </c>
      <c r="I222" s="325">
        <v>30800</v>
      </c>
      <c r="J22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2" s="133">
        <f>_xlfn.XLOOKUP(Market_Data[[#This Row],[Project Type]],tbl_assumptions_market[Project Category (RERA)],tbl_assumptions_market[Concrete Intensity
(m³ / sq m BUA)],"",0)</f>
        <v>0.42</v>
      </c>
      <c r="L222" s="134">
        <f>ROUND(Market_Data[[#This Row],[Estimated Built Up Area (sq m)]]*Market_Data[[#This Row],[Concrete Intensity
(m³ / sq m)]],0)</f>
        <v>12936</v>
      </c>
      <c r="M222" s="135">
        <f>_xlfn.XLOOKUP(Market_Data[[#This Row],[District]],tbl_district_price[District],tbl_district_price[Standard Price
(INR/m³)],"",0)</f>
        <v>5500</v>
      </c>
      <c r="N222" s="364">
        <f>IF(OR(Market_Data[[#This Row],[Estimated Concrete Demand (m³)]]="",Market_Data[[#This Row],[Avg Price per (₹ / m³)]]=""),"",Market_Data[[#This Row],[Estimated Concrete Demand (m³)]]*Market_Data[[#This Row],[Avg Price per (₹ / m³)]]/10000000)</f>
        <v>7.1147999999999998</v>
      </c>
      <c r="O222" s="97" t="str">
        <f>IF(Market_Data[[#This Row],[Estimated Concrete Demand (m³)]]="","",
IF(Market_Data[[#This Row],[Estimated Concrete Demand (m³)]]&lt;10000,"Small",
IF(Market_Data[[#This Row],[Estimated Concrete Demand (m³)]]&lt;25000,"Medium",
IF(Market_Data[[#This Row],[Estimated Concrete Demand (m³)]]&lt;100000,"Large","Mega"))))</f>
        <v>Medium</v>
      </c>
      <c r="P222" s="287" t="str">
        <f t="shared" si="5"/>
        <v>GujRERA</v>
      </c>
    </row>
    <row r="223" spans="1:16">
      <c r="A223" s="129" t="str">
        <f>_xlfn.XLOOKUP(B223,$S$9:$S$14,$T$9:$T$14)&amp;"-"&amp;
IF(E223="Residential/Group Housing","RES",
IF(E223="Commercial","COM",
IF(E223="Mixed Development","MIX",
IF(E223="Plotted Development","PLT","OTH"))))
&amp;"-"&amp;TEXT(COUNTIFS($B$9:B223,B223,$E$9:E223,E223),"0000")</f>
        <v>NAV-RES-0006</v>
      </c>
      <c r="B223" s="322" t="s">
        <v>37</v>
      </c>
      <c r="C223" s="322" t="s">
        <v>37</v>
      </c>
      <c r="D223" s="323" t="s">
        <v>409</v>
      </c>
      <c r="E223" s="132" t="s">
        <v>24</v>
      </c>
      <c r="F223" s="97" t="str">
        <f ca="1">IF(OR(Market_Data[[#This Row],[Start Date]]="",Market_Data[[#This Row],[Completion Date]]=""),"Needs Validation",IF(Market_Data[[#This Row],[Start Date]]&gt;TODAY(),"Planned",IF(Market_Data[[#This Row],[Completion Date]]&lt;TODAY(),"Completed","Ongoing")))</f>
        <v>Ongoing</v>
      </c>
      <c r="G223" s="324">
        <v>45093</v>
      </c>
      <c r="H223" s="324">
        <v>47118</v>
      </c>
      <c r="I223" s="325">
        <v>33200</v>
      </c>
      <c r="J22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3" s="133">
        <f>_xlfn.XLOOKUP(Market_Data[[#This Row],[Project Type]],tbl_assumptions_market[Project Category (RERA)],tbl_assumptions_market[Concrete Intensity
(m³ / sq m BUA)],"",0)</f>
        <v>0.45</v>
      </c>
      <c r="L223" s="134">
        <f>ROUND(Market_Data[[#This Row],[Estimated Built Up Area (sq m)]]*Market_Data[[#This Row],[Concrete Intensity
(m³ / sq m)]],0)</f>
        <v>14940</v>
      </c>
      <c r="M223" s="135">
        <f>_xlfn.XLOOKUP(Market_Data[[#This Row],[District]],tbl_district_price[District],tbl_district_price[Standard Price
(INR/m³)],"",0)</f>
        <v>5500</v>
      </c>
      <c r="N223" s="364">
        <f>IF(OR(Market_Data[[#This Row],[Estimated Concrete Demand (m³)]]="",Market_Data[[#This Row],[Avg Price per (₹ / m³)]]=""),"",Market_Data[[#This Row],[Estimated Concrete Demand (m³)]]*Market_Data[[#This Row],[Avg Price per (₹ / m³)]]/10000000)</f>
        <v>8.2170000000000005</v>
      </c>
      <c r="O223" s="97" t="str">
        <f>IF(Market_Data[[#This Row],[Estimated Concrete Demand (m³)]]="","",
IF(Market_Data[[#This Row],[Estimated Concrete Demand (m³)]]&lt;10000,"Small",
IF(Market_Data[[#This Row],[Estimated Concrete Demand (m³)]]&lt;25000,"Medium",
IF(Market_Data[[#This Row],[Estimated Concrete Demand (m³)]]&lt;100000,"Large","Mega"))))</f>
        <v>Medium</v>
      </c>
      <c r="P223" s="287" t="str">
        <f t="shared" si="5"/>
        <v>GujRERA</v>
      </c>
    </row>
    <row r="224" spans="1:16">
      <c r="A224" s="129" t="str">
        <f>_xlfn.XLOOKUP(B224,$S$9:$S$14,$T$9:$T$14)&amp;"-"&amp;
IF(E224="Residential/Group Housing","RES",
IF(E224="Commercial","COM",
IF(E224="Mixed Development","MIX",
IF(E224="Plotted Development","PLT","OTH"))))
&amp;"-"&amp;TEXT(COUNTIFS($B$9:B224,B224,$E$9:E224,E224),"0000")</f>
        <v>NAV-PLT-0002</v>
      </c>
      <c r="B224" s="322" t="s">
        <v>37</v>
      </c>
      <c r="C224" s="322" t="s">
        <v>37</v>
      </c>
      <c r="D224" s="323" t="s">
        <v>410</v>
      </c>
      <c r="E224" s="132" t="s">
        <v>26</v>
      </c>
      <c r="F224" s="97" t="str">
        <f ca="1">IF(OR(Market_Data[[#This Row],[Start Date]]="",Market_Data[[#This Row],[Completion Date]]=""),"Needs Validation",IF(Market_Data[[#This Row],[Start Date]]&gt;TODAY(),"Planned",IF(Market_Data[[#This Row],[Completion Date]]&lt;TODAY(),"Completed","Ongoing")))</f>
        <v>Ongoing</v>
      </c>
      <c r="G224" s="324">
        <v>45336</v>
      </c>
      <c r="H224" s="324">
        <v>47118</v>
      </c>
      <c r="I224" s="325">
        <v>58400</v>
      </c>
      <c r="J22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24" s="133">
        <f>_xlfn.XLOOKUP(Market_Data[[#This Row],[Project Type]],tbl_assumptions_market[Project Category (RERA)],tbl_assumptions_market[Concrete Intensity
(m³ / sq m BUA)],"",0)</f>
        <v>0.18</v>
      </c>
      <c r="L224" s="134">
        <f>ROUND(Market_Data[[#This Row],[Estimated Built Up Area (sq m)]]*Market_Data[[#This Row],[Concrete Intensity
(m³ / sq m)]],0)</f>
        <v>10512</v>
      </c>
      <c r="M224" s="135">
        <f>_xlfn.XLOOKUP(Market_Data[[#This Row],[District]],tbl_district_price[District],tbl_district_price[Standard Price
(INR/m³)],"",0)</f>
        <v>5500</v>
      </c>
      <c r="N224" s="364">
        <f>IF(OR(Market_Data[[#This Row],[Estimated Concrete Demand (m³)]]="",Market_Data[[#This Row],[Avg Price per (₹ / m³)]]=""),"",Market_Data[[#This Row],[Estimated Concrete Demand (m³)]]*Market_Data[[#This Row],[Avg Price per (₹ / m³)]]/10000000)</f>
        <v>5.7816000000000001</v>
      </c>
      <c r="O224" s="97" t="str">
        <f>IF(Market_Data[[#This Row],[Estimated Concrete Demand (m³)]]="","",
IF(Market_Data[[#This Row],[Estimated Concrete Demand (m³)]]&lt;10000,"Small",
IF(Market_Data[[#This Row],[Estimated Concrete Demand (m³)]]&lt;25000,"Medium",
IF(Market_Data[[#This Row],[Estimated Concrete Demand (m³)]]&lt;100000,"Large","Mega"))))</f>
        <v>Medium</v>
      </c>
      <c r="P224" s="287" t="str">
        <f t="shared" si="5"/>
        <v>GujRERA</v>
      </c>
    </row>
    <row r="225" spans="1:16">
      <c r="A225" s="129" t="str">
        <f>_xlfn.XLOOKUP(B225,$S$9:$S$14,$T$9:$T$14)&amp;"-"&amp;
IF(E225="Residential/Group Housing","RES",
IF(E225="Commercial","COM",
IF(E225="Mixed Development","MIX",
IF(E225="Plotted Development","PLT","OTH"))))
&amp;"-"&amp;TEXT(COUNTIFS($B$9:B225,B225,$E$9:E225,E225),"0000")</f>
        <v>NAV-MIX-0012</v>
      </c>
      <c r="B225" s="322" t="s">
        <v>37</v>
      </c>
      <c r="C225" s="322" t="s">
        <v>37</v>
      </c>
      <c r="D225" s="323" t="s">
        <v>411</v>
      </c>
      <c r="E225" s="132" t="s">
        <v>25</v>
      </c>
      <c r="F225" s="97" t="str">
        <f ca="1">IF(OR(Market_Data[[#This Row],[Start Date]]="",Market_Data[[#This Row],[Completion Date]]=""),"Needs Validation",IF(Market_Data[[#This Row],[Start Date]]&gt;TODAY(),"Planned",IF(Market_Data[[#This Row],[Completion Date]]&lt;TODAY(),"Completed","Ongoing")))</f>
        <v>Ongoing</v>
      </c>
      <c r="G225" s="324">
        <v>44866</v>
      </c>
      <c r="H225" s="324">
        <v>46843</v>
      </c>
      <c r="I225" s="325">
        <v>21900</v>
      </c>
      <c r="J22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5" s="133">
        <f>_xlfn.XLOOKUP(Market_Data[[#This Row],[Project Type]],tbl_assumptions_market[Project Category (RERA)],tbl_assumptions_market[Concrete Intensity
(m³ / sq m BUA)],"",0)</f>
        <v>0.42</v>
      </c>
      <c r="L225" s="134">
        <f>ROUND(Market_Data[[#This Row],[Estimated Built Up Area (sq m)]]*Market_Data[[#This Row],[Concrete Intensity
(m³ / sq m)]],0)</f>
        <v>9198</v>
      </c>
      <c r="M225" s="135">
        <f>_xlfn.XLOOKUP(Market_Data[[#This Row],[District]],tbl_district_price[District],tbl_district_price[Standard Price
(INR/m³)],"",0)</f>
        <v>5500</v>
      </c>
      <c r="N225" s="364">
        <f>IF(OR(Market_Data[[#This Row],[Estimated Concrete Demand (m³)]]="",Market_Data[[#This Row],[Avg Price per (₹ / m³)]]=""),"",Market_Data[[#This Row],[Estimated Concrete Demand (m³)]]*Market_Data[[#This Row],[Avg Price per (₹ / m³)]]/10000000)</f>
        <v>5.0589000000000004</v>
      </c>
      <c r="O225" s="97" t="str">
        <f>IF(Market_Data[[#This Row],[Estimated Concrete Demand (m³)]]="","",
IF(Market_Data[[#This Row],[Estimated Concrete Demand (m³)]]&lt;10000,"Small",
IF(Market_Data[[#This Row],[Estimated Concrete Demand (m³)]]&lt;25000,"Medium",
IF(Market_Data[[#This Row],[Estimated Concrete Demand (m³)]]&lt;100000,"Large","Mega"))))</f>
        <v>Small</v>
      </c>
      <c r="P225" s="287" t="str">
        <f t="shared" si="5"/>
        <v>GujRERA</v>
      </c>
    </row>
    <row r="226" spans="1:16">
      <c r="A226" s="129" t="str">
        <f>_xlfn.XLOOKUP(B226,$S$9:$S$14,$T$9:$T$14)&amp;"-"&amp;
IF(E226="Residential/Group Housing","RES",
IF(E226="Commercial","COM",
IF(E226="Mixed Development","MIX",
IF(E226="Plotted Development","PLT","OTH"))))
&amp;"-"&amp;TEXT(COUNTIFS($B$9:B226,B226,$E$9:E226,E226),"0000")</f>
        <v>NAV-MIX-0013</v>
      </c>
      <c r="B226" s="322" t="s">
        <v>37</v>
      </c>
      <c r="C226" s="322" t="s">
        <v>37</v>
      </c>
      <c r="D226" s="323" t="s">
        <v>412</v>
      </c>
      <c r="E226" s="132" t="s">
        <v>25</v>
      </c>
      <c r="F226" s="97" t="str">
        <f ca="1">IF(OR(Market_Data[[#This Row],[Start Date]]="",Market_Data[[#This Row],[Completion Date]]=""),"Needs Validation",IF(Market_Data[[#This Row],[Start Date]]&gt;TODAY(),"Planned",IF(Market_Data[[#This Row],[Completion Date]]&lt;TODAY(),"Completed","Ongoing")))</f>
        <v>Ongoing</v>
      </c>
      <c r="G226" s="324">
        <v>45653</v>
      </c>
      <c r="H226" s="324">
        <v>47573</v>
      </c>
      <c r="I226" s="325">
        <v>46300</v>
      </c>
      <c r="J22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6" s="133">
        <f>_xlfn.XLOOKUP(Market_Data[[#This Row],[Project Type]],tbl_assumptions_market[Project Category (RERA)],tbl_assumptions_market[Concrete Intensity
(m³ / sq m BUA)],"",0)</f>
        <v>0.42</v>
      </c>
      <c r="L226" s="134">
        <f>ROUND(Market_Data[[#This Row],[Estimated Built Up Area (sq m)]]*Market_Data[[#This Row],[Concrete Intensity
(m³ / sq m)]],0)</f>
        <v>19446</v>
      </c>
      <c r="M226" s="135">
        <f>_xlfn.XLOOKUP(Market_Data[[#This Row],[District]],tbl_district_price[District],tbl_district_price[Standard Price
(INR/m³)],"",0)</f>
        <v>5500</v>
      </c>
      <c r="N226" s="364">
        <f>IF(OR(Market_Data[[#This Row],[Estimated Concrete Demand (m³)]]="",Market_Data[[#This Row],[Avg Price per (₹ / m³)]]=""),"",Market_Data[[#This Row],[Estimated Concrete Demand (m³)]]*Market_Data[[#This Row],[Avg Price per (₹ / m³)]]/10000000)</f>
        <v>10.6953</v>
      </c>
      <c r="O226" s="97" t="str">
        <f>IF(Market_Data[[#This Row],[Estimated Concrete Demand (m³)]]="","",
IF(Market_Data[[#This Row],[Estimated Concrete Demand (m³)]]&lt;10000,"Small",
IF(Market_Data[[#This Row],[Estimated Concrete Demand (m³)]]&lt;25000,"Medium",
IF(Market_Data[[#This Row],[Estimated Concrete Demand (m³)]]&lt;100000,"Large","Mega"))))</f>
        <v>Medium</v>
      </c>
      <c r="P226" s="287" t="str">
        <f t="shared" si="5"/>
        <v>GujRERA</v>
      </c>
    </row>
    <row r="227" spans="1:16">
      <c r="A227" s="129" t="str">
        <f>_xlfn.XLOOKUP(B227,$S$9:$S$14,$T$9:$T$14)&amp;"-"&amp;
IF(E227="Residential/Group Housing","RES",
IF(E227="Commercial","COM",
IF(E227="Mixed Development","MIX",
IF(E227="Plotted Development","PLT","OTH"))))
&amp;"-"&amp;TEXT(COUNTIFS($B$9:B227,B227,$E$9:E227,E227),"0000")</f>
        <v>NAV-RES-0007</v>
      </c>
      <c r="B227" s="322" t="s">
        <v>37</v>
      </c>
      <c r="C227" s="322" t="s">
        <v>37</v>
      </c>
      <c r="D227" s="323" t="s">
        <v>413</v>
      </c>
      <c r="E227" s="132" t="s">
        <v>24</v>
      </c>
      <c r="F227" s="97" t="str">
        <f ca="1">IF(OR(Market_Data[[#This Row],[Start Date]]="",Market_Data[[#This Row],[Completion Date]]=""),"Needs Validation",IF(Market_Data[[#This Row],[Start Date]]&gt;TODAY(),"Planned",IF(Market_Data[[#This Row],[Completion Date]]&lt;TODAY(),"Completed","Ongoing")))</f>
        <v>Completed</v>
      </c>
      <c r="G227" s="324">
        <v>44328</v>
      </c>
      <c r="H227" s="324">
        <v>45731</v>
      </c>
      <c r="I227" s="325">
        <v>79300</v>
      </c>
      <c r="J22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27" s="133">
        <f>_xlfn.XLOOKUP(Market_Data[[#This Row],[Project Type]],tbl_assumptions_market[Project Category (RERA)],tbl_assumptions_market[Concrete Intensity
(m³ / sq m BUA)],"",0)</f>
        <v>0.45</v>
      </c>
      <c r="L227" s="134">
        <f>ROUND(Market_Data[[#This Row],[Estimated Built Up Area (sq m)]]*Market_Data[[#This Row],[Concrete Intensity
(m³ / sq m)]],0)</f>
        <v>35685</v>
      </c>
      <c r="M227" s="135">
        <f>_xlfn.XLOOKUP(Market_Data[[#This Row],[District]],tbl_district_price[District],tbl_district_price[Standard Price
(INR/m³)],"",0)</f>
        <v>5500</v>
      </c>
      <c r="N227" s="364">
        <f>IF(OR(Market_Data[[#This Row],[Estimated Concrete Demand (m³)]]="",Market_Data[[#This Row],[Avg Price per (₹ / m³)]]=""),"",Market_Data[[#This Row],[Estimated Concrete Demand (m³)]]*Market_Data[[#This Row],[Avg Price per (₹ / m³)]]/10000000)</f>
        <v>19.626750000000001</v>
      </c>
      <c r="O227" s="97" t="str">
        <f>IF(Market_Data[[#This Row],[Estimated Concrete Demand (m³)]]="","",
IF(Market_Data[[#This Row],[Estimated Concrete Demand (m³)]]&lt;10000,"Small",
IF(Market_Data[[#This Row],[Estimated Concrete Demand (m³)]]&lt;25000,"Medium",
IF(Market_Data[[#This Row],[Estimated Concrete Demand (m³)]]&lt;100000,"Large","Mega"))))</f>
        <v>Large</v>
      </c>
      <c r="P227" s="287" t="str">
        <f t="shared" si="5"/>
        <v>GujRERA</v>
      </c>
    </row>
    <row r="228" spans="1:16">
      <c r="A228" s="129" t="str">
        <f>_xlfn.XLOOKUP(B228,$S$9:$S$14,$T$9:$T$14)&amp;"-"&amp;
IF(E228="Residential/Group Housing","RES",
IF(E228="Commercial","COM",
IF(E228="Mixed Development","MIX",
IF(E228="Plotted Development","PLT","OTH"))))
&amp;"-"&amp;TEXT(COUNTIFS($B$9:B228,B228,$E$9:E228,E228),"0000")</f>
        <v>NAV-MIX-0014</v>
      </c>
      <c r="B228" s="322" t="s">
        <v>37</v>
      </c>
      <c r="C228" s="322" t="s">
        <v>37</v>
      </c>
      <c r="D228" s="323" t="s">
        <v>414</v>
      </c>
      <c r="E228" s="132" t="s">
        <v>25</v>
      </c>
      <c r="F228" s="97" t="str">
        <f ca="1">IF(OR(Market_Data[[#This Row],[Start Date]]="",Market_Data[[#This Row],[Completion Date]]=""),"Needs Validation",IF(Market_Data[[#This Row],[Start Date]]&gt;TODAY(),"Planned",IF(Market_Data[[#This Row],[Completion Date]]&lt;TODAY(),"Completed","Ongoing")))</f>
        <v>Completed</v>
      </c>
      <c r="G228" s="324">
        <v>43215</v>
      </c>
      <c r="H228" s="324">
        <v>46203</v>
      </c>
      <c r="I228" s="325">
        <v>16900</v>
      </c>
      <c r="J22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8" s="133">
        <f>_xlfn.XLOOKUP(Market_Data[[#This Row],[Project Type]],tbl_assumptions_market[Project Category (RERA)],tbl_assumptions_market[Concrete Intensity
(m³ / sq m BUA)],"",0)</f>
        <v>0.42</v>
      </c>
      <c r="L228" s="134">
        <f>ROUND(Market_Data[[#This Row],[Estimated Built Up Area (sq m)]]*Market_Data[[#This Row],[Concrete Intensity
(m³ / sq m)]],0)</f>
        <v>7098</v>
      </c>
      <c r="M228" s="135">
        <f>_xlfn.XLOOKUP(Market_Data[[#This Row],[District]],tbl_district_price[District],tbl_district_price[Standard Price
(INR/m³)],"",0)</f>
        <v>5500</v>
      </c>
      <c r="N228" s="364">
        <f>IF(OR(Market_Data[[#This Row],[Estimated Concrete Demand (m³)]]="",Market_Data[[#This Row],[Avg Price per (₹ / m³)]]=""),"",Market_Data[[#This Row],[Estimated Concrete Demand (m³)]]*Market_Data[[#This Row],[Avg Price per (₹ / m³)]]/10000000)</f>
        <v>3.9039000000000001</v>
      </c>
      <c r="O228" s="97" t="str">
        <f>IF(Market_Data[[#This Row],[Estimated Concrete Demand (m³)]]="","",
IF(Market_Data[[#This Row],[Estimated Concrete Demand (m³)]]&lt;10000,"Small",
IF(Market_Data[[#This Row],[Estimated Concrete Demand (m³)]]&lt;25000,"Medium",
IF(Market_Data[[#This Row],[Estimated Concrete Demand (m³)]]&lt;100000,"Large","Mega"))))</f>
        <v>Small</v>
      </c>
      <c r="P228" s="287" t="str">
        <f t="shared" si="5"/>
        <v>GujRERA</v>
      </c>
    </row>
    <row r="229" spans="1:16">
      <c r="A229" s="129" t="str">
        <f>_xlfn.XLOOKUP(B229,$S$9:$S$14,$T$9:$T$14)&amp;"-"&amp;
IF(E229="Residential/Group Housing","RES",
IF(E229="Commercial","COM",
IF(E229="Mixed Development","MIX",
IF(E229="Plotted Development","PLT","OTH"))))
&amp;"-"&amp;TEXT(COUNTIFS($B$9:B229,B229,$E$9:E229,E229),"0000")</f>
        <v>NAV-MIX-0015</v>
      </c>
      <c r="B229" s="322" t="s">
        <v>37</v>
      </c>
      <c r="C229" s="322" t="s">
        <v>37</v>
      </c>
      <c r="D229" s="323" t="s">
        <v>415</v>
      </c>
      <c r="E229" s="132" t="s">
        <v>25</v>
      </c>
      <c r="F229" s="97" t="str">
        <f ca="1">IF(OR(Market_Data[[#This Row],[Start Date]]="",Market_Data[[#This Row],[Completion Date]]=""),"Needs Validation",IF(Market_Data[[#This Row],[Start Date]]&gt;TODAY(),"Planned",IF(Market_Data[[#This Row],[Completion Date]]&lt;TODAY(),"Completed","Ongoing")))</f>
        <v>Ongoing</v>
      </c>
      <c r="G229" s="324">
        <v>45658</v>
      </c>
      <c r="H229" s="324">
        <v>47848</v>
      </c>
      <c r="I229" s="325">
        <v>2100</v>
      </c>
      <c r="J22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29" s="133">
        <f>_xlfn.XLOOKUP(Market_Data[[#This Row],[Project Type]],tbl_assumptions_market[Project Category (RERA)],tbl_assumptions_market[Concrete Intensity
(m³ / sq m BUA)],"",0)</f>
        <v>0.42</v>
      </c>
      <c r="L229" s="134">
        <f>ROUND(Market_Data[[#This Row],[Estimated Built Up Area (sq m)]]*Market_Data[[#This Row],[Concrete Intensity
(m³ / sq m)]],0)</f>
        <v>882</v>
      </c>
      <c r="M229" s="135">
        <f>_xlfn.XLOOKUP(Market_Data[[#This Row],[District]],tbl_district_price[District],tbl_district_price[Standard Price
(INR/m³)],"",0)</f>
        <v>5500</v>
      </c>
      <c r="N229" s="364">
        <f>IF(OR(Market_Data[[#This Row],[Estimated Concrete Demand (m³)]]="",Market_Data[[#This Row],[Avg Price per (₹ / m³)]]=""),"",Market_Data[[#This Row],[Estimated Concrete Demand (m³)]]*Market_Data[[#This Row],[Avg Price per (₹ / m³)]]/10000000)</f>
        <v>0.48509999999999998</v>
      </c>
      <c r="O229" s="97" t="str">
        <f>IF(Market_Data[[#This Row],[Estimated Concrete Demand (m³)]]="","",
IF(Market_Data[[#This Row],[Estimated Concrete Demand (m³)]]&lt;10000,"Small",
IF(Market_Data[[#This Row],[Estimated Concrete Demand (m³)]]&lt;25000,"Medium",
IF(Market_Data[[#This Row],[Estimated Concrete Demand (m³)]]&lt;100000,"Large","Mega"))))</f>
        <v>Small</v>
      </c>
      <c r="P229" s="287" t="str">
        <f t="shared" si="5"/>
        <v>GujRERA</v>
      </c>
    </row>
    <row r="230" spans="1:16">
      <c r="A230" s="129" t="str">
        <f>_xlfn.XLOOKUP(B230,$S$9:$S$14,$T$9:$T$14)&amp;"-"&amp;
IF(E230="Residential/Group Housing","RES",
IF(E230="Commercial","COM",
IF(E230="Mixed Development","MIX",
IF(E230="Plotted Development","PLT","OTH"))))
&amp;"-"&amp;TEXT(COUNTIFS($B$9:B230,B230,$E$9:E230,E230),"0000")</f>
        <v>NAV-MIX-0016</v>
      </c>
      <c r="B230" s="322" t="s">
        <v>37</v>
      </c>
      <c r="C230" s="322" t="s">
        <v>37</v>
      </c>
      <c r="D230" s="323" t="s">
        <v>416</v>
      </c>
      <c r="E230" s="132" t="s">
        <v>25</v>
      </c>
      <c r="F230" s="97" t="str">
        <f ca="1">IF(OR(Market_Data[[#This Row],[Start Date]]="",Market_Data[[#This Row],[Completion Date]]=""),"Needs Validation",IF(Market_Data[[#This Row],[Start Date]]&gt;TODAY(),"Planned",IF(Market_Data[[#This Row],[Completion Date]]&lt;TODAY(),"Completed","Ongoing")))</f>
        <v>Completed</v>
      </c>
      <c r="G230" s="324">
        <v>43556</v>
      </c>
      <c r="H230" s="324">
        <v>46203</v>
      </c>
      <c r="I230" s="325">
        <v>44300</v>
      </c>
      <c r="J23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0" s="133">
        <f>_xlfn.XLOOKUP(Market_Data[[#This Row],[Project Type]],tbl_assumptions_market[Project Category (RERA)],tbl_assumptions_market[Concrete Intensity
(m³ / sq m BUA)],"",0)</f>
        <v>0.42</v>
      </c>
      <c r="L230" s="134">
        <f>ROUND(Market_Data[[#This Row],[Estimated Built Up Area (sq m)]]*Market_Data[[#This Row],[Concrete Intensity
(m³ / sq m)]],0)</f>
        <v>18606</v>
      </c>
      <c r="M230" s="135">
        <f>_xlfn.XLOOKUP(Market_Data[[#This Row],[District]],tbl_district_price[District],tbl_district_price[Standard Price
(INR/m³)],"",0)</f>
        <v>5500</v>
      </c>
      <c r="N230" s="364">
        <f>IF(OR(Market_Data[[#This Row],[Estimated Concrete Demand (m³)]]="",Market_Data[[#This Row],[Avg Price per (₹ / m³)]]=""),"",Market_Data[[#This Row],[Estimated Concrete Demand (m³)]]*Market_Data[[#This Row],[Avg Price per (₹ / m³)]]/10000000)</f>
        <v>10.2333</v>
      </c>
      <c r="O230" s="97" t="str">
        <f>IF(Market_Data[[#This Row],[Estimated Concrete Demand (m³)]]="","",
IF(Market_Data[[#This Row],[Estimated Concrete Demand (m³)]]&lt;10000,"Small",
IF(Market_Data[[#This Row],[Estimated Concrete Demand (m³)]]&lt;25000,"Medium",
IF(Market_Data[[#This Row],[Estimated Concrete Demand (m³)]]&lt;100000,"Large","Mega"))))</f>
        <v>Medium</v>
      </c>
      <c r="P230" s="287" t="str">
        <f t="shared" si="5"/>
        <v>GujRERA</v>
      </c>
    </row>
    <row r="231" spans="1:16">
      <c r="A231" s="129" t="str">
        <f>_xlfn.XLOOKUP(B231,$S$9:$S$14,$T$9:$T$14)&amp;"-"&amp;
IF(E231="Residential/Group Housing","RES",
IF(E231="Commercial","COM",
IF(E231="Mixed Development","MIX",
IF(E231="Plotted Development","PLT","OTH"))))
&amp;"-"&amp;TEXT(COUNTIFS($B$9:B231,B231,$E$9:E231,E231),"0000")</f>
        <v>NAV-MIX-0017</v>
      </c>
      <c r="B231" s="322" t="s">
        <v>37</v>
      </c>
      <c r="C231" s="322" t="s">
        <v>37</v>
      </c>
      <c r="D231" s="323" t="s">
        <v>417</v>
      </c>
      <c r="E231" s="132" t="s">
        <v>25</v>
      </c>
      <c r="F231" s="97" t="str">
        <f ca="1">IF(OR(Market_Data[[#This Row],[Start Date]]="",Market_Data[[#This Row],[Completion Date]]=""),"Needs Validation",IF(Market_Data[[#This Row],[Start Date]]&gt;TODAY(),"Planned",IF(Market_Data[[#This Row],[Completion Date]]&lt;TODAY(),"Completed","Ongoing")))</f>
        <v>Ongoing</v>
      </c>
      <c r="G231" s="324">
        <v>45047</v>
      </c>
      <c r="H231" s="324">
        <v>47118</v>
      </c>
      <c r="I231" s="325">
        <v>32400</v>
      </c>
      <c r="J23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1" s="133">
        <f>_xlfn.XLOOKUP(Market_Data[[#This Row],[Project Type]],tbl_assumptions_market[Project Category (RERA)],tbl_assumptions_market[Concrete Intensity
(m³ / sq m BUA)],"",0)</f>
        <v>0.42</v>
      </c>
      <c r="L231" s="134">
        <f>ROUND(Market_Data[[#This Row],[Estimated Built Up Area (sq m)]]*Market_Data[[#This Row],[Concrete Intensity
(m³ / sq m)]],0)</f>
        <v>13608</v>
      </c>
      <c r="M231" s="135">
        <f>_xlfn.XLOOKUP(Market_Data[[#This Row],[District]],tbl_district_price[District],tbl_district_price[Standard Price
(INR/m³)],"",0)</f>
        <v>5500</v>
      </c>
      <c r="N231" s="364">
        <f>IF(OR(Market_Data[[#This Row],[Estimated Concrete Demand (m³)]]="",Market_Data[[#This Row],[Avg Price per (₹ / m³)]]=""),"",Market_Data[[#This Row],[Estimated Concrete Demand (m³)]]*Market_Data[[#This Row],[Avg Price per (₹ / m³)]]/10000000)</f>
        <v>7.4843999999999999</v>
      </c>
      <c r="O231" s="97" t="str">
        <f>IF(Market_Data[[#This Row],[Estimated Concrete Demand (m³)]]="","",
IF(Market_Data[[#This Row],[Estimated Concrete Demand (m³)]]&lt;10000,"Small",
IF(Market_Data[[#This Row],[Estimated Concrete Demand (m³)]]&lt;25000,"Medium",
IF(Market_Data[[#This Row],[Estimated Concrete Demand (m³)]]&lt;100000,"Large","Mega"))))</f>
        <v>Medium</v>
      </c>
      <c r="P231" s="287" t="str">
        <f t="shared" si="5"/>
        <v>GujRERA</v>
      </c>
    </row>
    <row r="232" spans="1:16">
      <c r="A232" s="129" t="str">
        <f>_xlfn.XLOOKUP(B232,$S$9:$S$14,$T$9:$T$14)&amp;"-"&amp;
IF(E232="Residential/Group Housing","RES",
IF(E232="Commercial","COM",
IF(E232="Mixed Development","MIX",
IF(E232="Plotted Development","PLT","OTH"))))
&amp;"-"&amp;TEXT(COUNTIFS($B$9:B232,B232,$E$9:E232,E232),"0000")</f>
        <v>NAV-MIX-0018</v>
      </c>
      <c r="B232" s="322" t="s">
        <v>37</v>
      </c>
      <c r="C232" s="322" t="s">
        <v>37</v>
      </c>
      <c r="D232" s="323" t="s">
        <v>418</v>
      </c>
      <c r="E232" s="132" t="s">
        <v>25</v>
      </c>
      <c r="F232" s="97" t="str">
        <f ca="1">IF(OR(Market_Data[[#This Row],[Start Date]]="",Market_Data[[#This Row],[Completion Date]]=""),"Needs Validation",IF(Market_Data[[#This Row],[Start Date]]&gt;TODAY(),"Planned",IF(Market_Data[[#This Row],[Completion Date]]&lt;TODAY(),"Completed","Ongoing")))</f>
        <v>Ongoing</v>
      </c>
      <c r="G232" s="324">
        <v>44652</v>
      </c>
      <c r="H232" s="324">
        <v>47848</v>
      </c>
      <c r="I232" s="325">
        <v>8600</v>
      </c>
      <c r="J23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32" s="133">
        <f>_xlfn.XLOOKUP(Market_Data[[#This Row],[Project Type]],tbl_assumptions_market[Project Category (RERA)],tbl_assumptions_market[Concrete Intensity
(m³ / sq m BUA)],"",0)</f>
        <v>0.42</v>
      </c>
      <c r="L232" s="134">
        <f>ROUND(Market_Data[[#This Row],[Estimated Built Up Area (sq m)]]*Market_Data[[#This Row],[Concrete Intensity
(m³ / sq m)]],0)</f>
        <v>3612</v>
      </c>
      <c r="M232" s="135">
        <f>_xlfn.XLOOKUP(Market_Data[[#This Row],[District]],tbl_district_price[District],tbl_district_price[Standard Price
(INR/m³)],"",0)</f>
        <v>5500</v>
      </c>
      <c r="N232" s="364">
        <f>IF(OR(Market_Data[[#This Row],[Estimated Concrete Demand (m³)]]="",Market_Data[[#This Row],[Avg Price per (₹ / m³)]]=""),"",Market_Data[[#This Row],[Estimated Concrete Demand (m³)]]*Market_Data[[#This Row],[Avg Price per (₹ / m³)]]/10000000)</f>
        <v>1.9865999999999999</v>
      </c>
      <c r="O232" s="97" t="str">
        <f>IF(Market_Data[[#This Row],[Estimated Concrete Demand (m³)]]="","",
IF(Market_Data[[#This Row],[Estimated Concrete Demand (m³)]]&lt;10000,"Small",
IF(Market_Data[[#This Row],[Estimated Concrete Demand (m³)]]&lt;25000,"Medium",
IF(Market_Data[[#This Row],[Estimated Concrete Demand (m³)]]&lt;100000,"Large","Mega"))))</f>
        <v>Small</v>
      </c>
      <c r="P232" s="287" t="str">
        <f t="shared" si="5"/>
        <v>GujRERA</v>
      </c>
    </row>
    <row r="233" spans="1:16">
      <c r="A233" s="129" t="str">
        <f>_xlfn.XLOOKUP(B233,$S$9:$S$14,$T$9:$T$14)&amp;"-"&amp;
IF(E233="Residential/Group Housing","RES",
IF(E233="Commercial","COM",
IF(E233="Mixed Development","MIX",
IF(E233="Plotted Development","PLT","OTH"))))
&amp;"-"&amp;TEXT(COUNTIFS($B$9:B233,B233,$E$9:E233,E233),"0000")</f>
        <v>NAV-MIX-0019</v>
      </c>
      <c r="B233" s="322" t="s">
        <v>37</v>
      </c>
      <c r="C233" s="322" t="s">
        <v>37</v>
      </c>
      <c r="D233" s="323" t="s">
        <v>419</v>
      </c>
      <c r="E233" s="132" t="s">
        <v>25</v>
      </c>
      <c r="F233" s="97" t="str">
        <f ca="1">IF(OR(Market_Data[[#This Row],[Start Date]]="",Market_Data[[#This Row],[Completion Date]]=""),"Needs Validation",IF(Market_Data[[#This Row],[Start Date]]&gt;TODAY(),"Planned",IF(Market_Data[[#This Row],[Completion Date]]&lt;TODAY(),"Completed","Ongoing")))</f>
        <v>Ongoing</v>
      </c>
      <c r="G233" s="324">
        <v>44980</v>
      </c>
      <c r="H233" s="324">
        <v>46752</v>
      </c>
      <c r="I233" s="325">
        <v>41600</v>
      </c>
      <c r="J23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3" s="133">
        <f>_xlfn.XLOOKUP(Market_Data[[#This Row],[Project Type]],tbl_assumptions_market[Project Category (RERA)],tbl_assumptions_market[Concrete Intensity
(m³ / sq m BUA)],"",0)</f>
        <v>0.42</v>
      </c>
      <c r="L233" s="134">
        <f>ROUND(Market_Data[[#This Row],[Estimated Built Up Area (sq m)]]*Market_Data[[#This Row],[Concrete Intensity
(m³ / sq m)]],0)</f>
        <v>17472</v>
      </c>
      <c r="M233" s="135">
        <f>_xlfn.XLOOKUP(Market_Data[[#This Row],[District]],tbl_district_price[District],tbl_district_price[Standard Price
(INR/m³)],"",0)</f>
        <v>5500</v>
      </c>
      <c r="N233" s="364">
        <f>IF(OR(Market_Data[[#This Row],[Estimated Concrete Demand (m³)]]="",Market_Data[[#This Row],[Avg Price per (₹ / m³)]]=""),"",Market_Data[[#This Row],[Estimated Concrete Demand (m³)]]*Market_Data[[#This Row],[Avg Price per (₹ / m³)]]/10000000)</f>
        <v>9.6096000000000004</v>
      </c>
      <c r="O233" s="97" t="str">
        <f>IF(Market_Data[[#This Row],[Estimated Concrete Demand (m³)]]="","",
IF(Market_Data[[#This Row],[Estimated Concrete Demand (m³)]]&lt;10000,"Small",
IF(Market_Data[[#This Row],[Estimated Concrete Demand (m³)]]&lt;25000,"Medium",
IF(Market_Data[[#This Row],[Estimated Concrete Demand (m³)]]&lt;100000,"Large","Mega"))))</f>
        <v>Medium</v>
      </c>
      <c r="P233" s="287" t="str">
        <f t="shared" si="5"/>
        <v>GujRERA</v>
      </c>
    </row>
    <row r="234" spans="1:16">
      <c r="A234" s="129" t="str">
        <f>_xlfn.XLOOKUP(B234,$S$9:$S$14,$T$9:$T$14)&amp;"-"&amp;
IF(E234="Residential/Group Housing","RES",
IF(E234="Commercial","COM",
IF(E234="Mixed Development","MIX",
IF(E234="Plotted Development","PLT","OTH"))))
&amp;"-"&amp;TEXT(COUNTIFS($B$9:B234,B234,$E$9:E234,E234),"0000")</f>
        <v>NAV-RES-0008</v>
      </c>
      <c r="B234" s="322" t="s">
        <v>37</v>
      </c>
      <c r="C234" s="322" t="s">
        <v>37</v>
      </c>
      <c r="D234" s="323" t="s">
        <v>420</v>
      </c>
      <c r="E234" s="132" t="s">
        <v>24</v>
      </c>
      <c r="F234" s="97" t="str">
        <f ca="1">IF(OR(Market_Data[[#This Row],[Start Date]]="",Market_Data[[#This Row],[Completion Date]]=""),"Needs Validation",IF(Market_Data[[#This Row],[Start Date]]&gt;TODAY(),"Planned",IF(Market_Data[[#This Row],[Completion Date]]&lt;TODAY(),"Completed","Ongoing")))</f>
        <v>Completed</v>
      </c>
      <c r="G234" s="324">
        <v>44525</v>
      </c>
      <c r="H234" s="324">
        <v>46011</v>
      </c>
      <c r="I234" s="325">
        <v>15800</v>
      </c>
      <c r="J23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4" s="133">
        <f>_xlfn.XLOOKUP(Market_Data[[#This Row],[Project Type]],tbl_assumptions_market[Project Category (RERA)],tbl_assumptions_market[Concrete Intensity
(m³ / sq m BUA)],"",0)</f>
        <v>0.45</v>
      </c>
      <c r="L234" s="134">
        <f>ROUND(Market_Data[[#This Row],[Estimated Built Up Area (sq m)]]*Market_Data[[#This Row],[Concrete Intensity
(m³ / sq m)]],0)</f>
        <v>7110</v>
      </c>
      <c r="M234" s="135">
        <f>_xlfn.XLOOKUP(Market_Data[[#This Row],[District]],tbl_district_price[District],tbl_district_price[Standard Price
(INR/m³)],"",0)</f>
        <v>5500</v>
      </c>
      <c r="N234" s="364">
        <f>IF(OR(Market_Data[[#This Row],[Estimated Concrete Demand (m³)]]="",Market_Data[[#This Row],[Avg Price per (₹ / m³)]]=""),"",Market_Data[[#This Row],[Estimated Concrete Demand (m³)]]*Market_Data[[#This Row],[Avg Price per (₹ / m³)]]/10000000)</f>
        <v>3.9104999999999999</v>
      </c>
      <c r="O234" s="97" t="str">
        <f>IF(Market_Data[[#This Row],[Estimated Concrete Demand (m³)]]="","",
IF(Market_Data[[#This Row],[Estimated Concrete Demand (m³)]]&lt;10000,"Small",
IF(Market_Data[[#This Row],[Estimated Concrete Demand (m³)]]&lt;25000,"Medium",
IF(Market_Data[[#This Row],[Estimated Concrete Demand (m³)]]&lt;100000,"Large","Mega"))))</f>
        <v>Small</v>
      </c>
      <c r="P234" s="287" t="str">
        <f t="shared" si="5"/>
        <v>GujRERA</v>
      </c>
    </row>
    <row r="235" spans="1:16">
      <c r="A235" s="129" t="str">
        <f>_xlfn.XLOOKUP(B235,$S$9:$S$14,$T$9:$T$14)&amp;"-"&amp;
IF(E235="Residential/Group Housing","RES",
IF(E235="Commercial","COM",
IF(E235="Mixed Development","MIX",
IF(E235="Plotted Development","PLT","OTH"))))
&amp;"-"&amp;TEXT(COUNTIFS($B$9:B235,B235,$E$9:E235,E235),"0000")</f>
        <v>NAV-MIX-0020</v>
      </c>
      <c r="B235" s="322" t="s">
        <v>37</v>
      </c>
      <c r="C235" s="322" t="s">
        <v>37</v>
      </c>
      <c r="D235" s="323" t="s">
        <v>421</v>
      </c>
      <c r="E235" s="132" t="s">
        <v>25</v>
      </c>
      <c r="F235" s="97" t="str">
        <f ca="1">IF(OR(Market_Data[[#This Row],[Start Date]]="",Market_Data[[#This Row],[Completion Date]]=""),"Needs Validation",IF(Market_Data[[#This Row],[Start Date]]&gt;TODAY(),"Planned",IF(Market_Data[[#This Row],[Completion Date]]&lt;TODAY(),"Completed","Ongoing")))</f>
        <v>Completed</v>
      </c>
      <c r="G235" s="324">
        <v>44271</v>
      </c>
      <c r="H235" s="324">
        <v>46112</v>
      </c>
      <c r="I235" s="325">
        <v>41100</v>
      </c>
      <c r="J23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5" s="133">
        <f>_xlfn.XLOOKUP(Market_Data[[#This Row],[Project Type]],tbl_assumptions_market[Project Category (RERA)],tbl_assumptions_market[Concrete Intensity
(m³ / sq m BUA)],"",0)</f>
        <v>0.42</v>
      </c>
      <c r="L235" s="134">
        <f>ROUND(Market_Data[[#This Row],[Estimated Built Up Area (sq m)]]*Market_Data[[#This Row],[Concrete Intensity
(m³ / sq m)]],0)</f>
        <v>17262</v>
      </c>
      <c r="M235" s="135">
        <f>_xlfn.XLOOKUP(Market_Data[[#This Row],[District]],tbl_district_price[District],tbl_district_price[Standard Price
(INR/m³)],"",0)</f>
        <v>5500</v>
      </c>
      <c r="N235" s="364">
        <f>IF(OR(Market_Data[[#This Row],[Estimated Concrete Demand (m³)]]="",Market_Data[[#This Row],[Avg Price per (₹ / m³)]]=""),"",Market_Data[[#This Row],[Estimated Concrete Demand (m³)]]*Market_Data[[#This Row],[Avg Price per (₹ / m³)]]/10000000)</f>
        <v>9.4940999999999995</v>
      </c>
      <c r="O235" s="97" t="str">
        <f>IF(Market_Data[[#This Row],[Estimated Concrete Demand (m³)]]="","",
IF(Market_Data[[#This Row],[Estimated Concrete Demand (m³)]]&lt;10000,"Small",
IF(Market_Data[[#This Row],[Estimated Concrete Demand (m³)]]&lt;25000,"Medium",
IF(Market_Data[[#This Row],[Estimated Concrete Demand (m³)]]&lt;100000,"Large","Mega"))))</f>
        <v>Medium</v>
      </c>
      <c r="P235" s="287" t="str">
        <f t="shared" si="5"/>
        <v>GujRERA</v>
      </c>
    </row>
    <row r="236" spans="1:16">
      <c r="A236" s="129" t="str">
        <f>_xlfn.XLOOKUP(B236,$S$9:$S$14,$T$9:$T$14)&amp;"-"&amp;
IF(E236="Residential/Group Housing","RES",
IF(E236="Commercial","COM",
IF(E236="Mixed Development","MIX",
IF(E236="Plotted Development","PLT","OTH"))))
&amp;"-"&amp;TEXT(COUNTIFS($B$9:B236,B236,$E$9:E236,E236),"0000")</f>
        <v>NAV-MIX-0021</v>
      </c>
      <c r="B236" s="322" t="s">
        <v>37</v>
      </c>
      <c r="C236" s="322" t="s">
        <v>37</v>
      </c>
      <c r="D236" s="323" t="s">
        <v>422</v>
      </c>
      <c r="E236" s="132" t="s">
        <v>25</v>
      </c>
      <c r="F236" s="97" t="str">
        <f ca="1">IF(OR(Market_Data[[#This Row],[Start Date]]="",Market_Data[[#This Row],[Completion Date]]=""),"Needs Validation",IF(Market_Data[[#This Row],[Start Date]]&gt;TODAY(),"Planned",IF(Market_Data[[#This Row],[Completion Date]]&lt;TODAY(),"Completed","Ongoing")))</f>
        <v>Completed</v>
      </c>
      <c r="G236" s="324">
        <v>44835</v>
      </c>
      <c r="H236" s="324">
        <v>46022</v>
      </c>
      <c r="I236" s="325">
        <v>59800</v>
      </c>
      <c r="J23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6" s="133">
        <f>_xlfn.XLOOKUP(Market_Data[[#This Row],[Project Type]],tbl_assumptions_market[Project Category (RERA)],tbl_assumptions_market[Concrete Intensity
(m³ / sq m BUA)],"",0)</f>
        <v>0.42</v>
      </c>
      <c r="L236" s="134">
        <f>ROUND(Market_Data[[#This Row],[Estimated Built Up Area (sq m)]]*Market_Data[[#This Row],[Concrete Intensity
(m³ / sq m)]],0)</f>
        <v>25116</v>
      </c>
      <c r="M236" s="135">
        <f>_xlfn.XLOOKUP(Market_Data[[#This Row],[District]],tbl_district_price[District],tbl_district_price[Standard Price
(INR/m³)],"",0)</f>
        <v>5500</v>
      </c>
      <c r="N236" s="364">
        <f>IF(OR(Market_Data[[#This Row],[Estimated Concrete Demand (m³)]]="",Market_Data[[#This Row],[Avg Price per (₹ / m³)]]=""),"",Market_Data[[#This Row],[Estimated Concrete Demand (m³)]]*Market_Data[[#This Row],[Avg Price per (₹ / m³)]]/10000000)</f>
        <v>13.813800000000001</v>
      </c>
      <c r="O236" s="97" t="str">
        <f>IF(Market_Data[[#This Row],[Estimated Concrete Demand (m³)]]="","",
IF(Market_Data[[#This Row],[Estimated Concrete Demand (m³)]]&lt;10000,"Small",
IF(Market_Data[[#This Row],[Estimated Concrete Demand (m³)]]&lt;25000,"Medium",
IF(Market_Data[[#This Row],[Estimated Concrete Demand (m³)]]&lt;100000,"Large","Mega"))))</f>
        <v>Large</v>
      </c>
      <c r="P236" s="287" t="str">
        <f t="shared" si="5"/>
        <v>GujRERA</v>
      </c>
    </row>
    <row r="237" spans="1:16">
      <c r="A237" s="129" t="str">
        <f>_xlfn.XLOOKUP(B237,$S$9:$S$14,$T$9:$T$14)&amp;"-"&amp;
IF(E237="Residential/Group Housing","RES",
IF(E237="Commercial","COM",
IF(E237="Mixed Development","MIX",
IF(E237="Plotted Development","PLT","OTH"))))
&amp;"-"&amp;TEXT(COUNTIFS($B$9:B237,B237,$E$9:E237,E237),"0000")</f>
        <v>NAV-RES-0009</v>
      </c>
      <c r="B237" s="322" t="s">
        <v>37</v>
      </c>
      <c r="C237" s="322" t="s">
        <v>37</v>
      </c>
      <c r="D237" s="323" t="s">
        <v>423</v>
      </c>
      <c r="E237" s="132" t="s">
        <v>24</v>
      </c>
      <c r="F237" s="97" t="str">
        <f ca="1">IF(OR(Market_Data[[#This Row],[Start Date]]="",Market_Data[[#This Row],[Completion Date]]=""),"Needs Validation",IF(Market_Data[[#This Row],[Start Date]]&gt;TODAY(),"Planned",IF(Market_Data[[#This Row],[Completion Date]]&lt;TODAY(),"Completed","Ongoing")))</f>
        <v>Ongoing</v>
      </c>
      <c r="G237" s="324">
        <v>45292</v>
      </c>
      <c r="H237" s="324">
        <v>47118</v>
      </c>
      <c r="I237" s="325">
        <v>21200</v>
      </c>
      <c r="J23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7" s="133">
        <f>_xlfn.XLOOKUP(Market_Data[[#This Row],[Project Type]],tbl_assumptions_market[Project Category (RERA)],tbl_assumptions_market[Concrete Intensity
(m³ / sq m BUA)],"",0)</f>
        <v>0.45</v>
      </c>
      <c r="L237" s="134">
        <f>ROUND(Market_Data[[#This Row],[Estimated Built Up Area (sq m)]]*Market_Data[[#This Row],[Concrete Intensity
(m³ / sq m)]],0)</f>
        <v>9540</v>
      </c>
      <c r="M237" s="135">
        <f>_xlfn.XLOOKUP(Market_Data[[#This Row],[District]],tbl_district_price[District],tbl_district_price[Standard Price
(INR/m³)],"",0)</f>
        <v>5500</v>
      </c>
      <c r="N237" s="364">
        <f>IF(OR(Market_Data[[#This Row],[Estimated Concrete Demand (m³)]]="",Market_Data[[#This Row],[Avg Price per (₹ / m³)]]=""),"",Market_Data[[#This Row],[Estimated Concrete Demand (m³)]]*Market_Data[[#This Row],[Avg Price per (₹ / m³)]]/10000000)</f>
        <v>5.2469999999999999</v>
      </c>
      <c r="O237" s="97" t="str">
        <f>IF(Market_Data[[#This Row],[Estimated Concrete Demand (m³)]]="","",
IF(Market_Data[[#This Row],[Estimated Concrete Demand (m³)]]&lt;10000,"Small",
IF(Market_Data[[#This Row],[Estimated Concrete Demand (m³)]]&lt;25000,"Medium",
IF(Market_Data[[#This Row],[Estimated Concrete Demand (m³)]]&lt;100000,"Large","Mega"))))</f>
        <v>Small</v>
      </c>
      <c r="P237" s="287" t="str">
        <f t="shared" si="5"/>
        <v>GujRERA</v>
      </c>
    </row>
    <row r="238" spans="1:16">
      <c r="A238" s="129" t="str">
        <f>_xlfn.XLOOKUP(B238,$S$9:$S$14,$T$9:$T$14)&amp;"-"&amp;
IF(E238="Residential/Group Housing","RES",
IF(E238="Commercial","COM",
IF(E238="Mixed Development","MIX",
IF(E238="Plotted Development","PLT","OTH"))))
&amp;"-"&amp;TEXT(COUNTIFS($B$9:B238,B238,$E$9:E238,E238),"0000")</f>
        <v>NAV-MIX-0022</v>
      </c>
      <c r="B238" s="322" t="s">
        <v>37</v>
      </c>
      <c r="C238" s="322" t="s">
        <v>37</v>
      </c>
      <c r="D238" s="323" t="s">
        <v>424</v>
      </c>
      <c r="E238" s="132" t="s">
        <v>25</v>
      </c>
      <c r="F238" s="97" t="str">
        <f ca="1">IF(OR(Market_Data[[#This Row],[Start Date]]="",Market_Data[[#This Row],[Completion Date]]=""),"Needs Validation",IF(Market_Data[[#This Row],[Start Date]]&gt;TODAY(),"Planned",IF(Market_Data[[#This Row],[Completion Date]]&lt;TODAY(),"Completed","Ongoing")))</f>
        <v>Completed</v>
      </c>
      <c r="G238" s="324">
        <v>43282</v>
      </c>
      <c r="H238" s="324">
        <v>45473</v>
      </c>
      <c r="I238" s="325">
        <v>18300</v>
      </c>
      <c r="J23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8" s="133">
        <f>_xlfn.XLOOKUP(Market_Data[[#This Row],[Project Type]],tbl_assumptions_market[Project Category (RERA)],tbl_assumptions_market[Concrete Intensity
(m³ / sq m BUA)],"",0)</f>
        <v>0.42</v>
      </c>
      <c r="L238" s="134">
        <f>ROUND(Market_Data[[#This Row],[Estimated Built Up Area (sq m)]]*Market_Data[[#This Row],[Concrete Intensity
(m³ / sq m)]],0)</f>
        <v>7686</v>
      </c>
      <c r="M238" s="135">
        <f>_xlfn.XLOOKUP(Market_Data[[#This Row],[District]],tbl_district_price[District],tbl_district_price[Standard Price
(INR/m³)],"",0)</f>
        <v>5500</v>
      </c>
      <c r="N238" s="364">
        <f>IF(OR(Market_Data[[#This Row],[Estimated Concrete Demand (m³)]]="",Market_Data[[#This Row],[Avg Price per (₹ / m³)]]=""),"",Market_Data[[#This Row],[Estimated Concrete Demand (m³)]]*Market_Data[[#This Row],[Avg Price per (₹ / m³)]]/10000000)</f>
        <v>4.2272999999999996</v>
      </c>
      <c r="O238" s="97" t="str">
        <f>IF(Market_Data[[#This Row],[Estimated Concrete Demand (m³)]]="","",
IF(Market_Data[[#This Row],[Estimated Concrete Demand (m³)]]&lt;10000,"Small",
IF(Market_Data[[#This Row],[Estimated Concrete Demand (m³)]]&lt;25000,"Medium",
IF(Market_Data[[#This Row],[Estimated Concrete Demand (m³)]]&lt;100000,"Large","Mega"))))</f>
        <v>Small</v>
      </c>
      <c r="P238" s="287" t="str">
        <f t="shared" si="5"/>
        <v>GujRERA</v>
      </c>
    </row>
    <row r="239" spans="1:16">
      <c r="A239" s="129" t="str">
        <f>_xlfn.XLOOKUP(B239,$S$9:$S$14,$T$9:$T$14)&amp;"-"&amp;
IF(E239="Residential/Group Housing","RES",
IF(E239="Commercial","COM",
IF(E239="Mixed Development","MIX",
IF(E239="Plotted Development","PLT","OTH"))))
&amp;"-"&amp;TEXT(COUNTIFS($B$9:B239,B239,$E$9:E239,E239),"0000")</f>
        <v>NAV-RES-0010</v>
      </c>
      <c r="B239" s="322" t="s">
        <v>37</v>
      </c>
      <c r="C239" s="322" t="s">
        <v>37</v>
      </c>
      <c r="D239" s="323" t="s">
        <v>425</v>
      </c>
      <c r="E239" s="132" t="s">
        <v>24</v>
      </c>
      <c r="F239" s="97" t="str">
        <f ca="1">IF(OR(Market_Data[[#This Row],[Start Date]]="",Market_Data[[#This Row],[Completion Date]]=""),"Needs Validation",IF(Market_Data[[#This Row],[Start Date]]&gt;TODAY(),"Planned",IF(Market_Data[[#This Row],[Completion Date]]&lt;TODAY(),"Completed","Ongoing")))</f>
        <v>Completed</v>
      </c>
      <c r="G239" s="324">
        <v>44200</v>
      </c>
      <c r="H239" s="324">
        <v>46022</v>
      </c>
      <c r="I239" s="325">
        <v>49900</v>
      </c>
      <c r="J23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9" s="133">
        <f>_xlfn.XLOOKUP(Market_Data[[#This Row],[Project Type]],tbl_assumptions_market[Project Category (RERA)],tbl_assumptions_market[Concrete Intensity
(m³ / sq m BUA)],"",0)</f>
        <v>0.45</v>
      </c>
      <c r="L239" s="134">
        <f>ROUND(Market_Data[[#This Row],[Estimated Built Up Area (sq m)]]*Market_Data[[#This Row],[Concrete Intensity
(m³ / sq m)]],0)</f>
        <v>22455</v>
      </c>
      <c r="M239" s="135">
        <f>_xlfn.XLOOKUP(Market_Data[[#This Row],[District]],tbl_district_price[District],tbl_district_price[Standard Price
(INR/m³)],"",0)</f>
        <v>5500</v>
      </c>
      <c r="N239" s="364">
        <f>IF(OR(Market_Data[[#This Row],[Estimated Concrete Demand (m³)]]="",Market_Data[[#This Row],[Avg Price per (₹ / m³)]]=""),"",Market_Data[[#This Row],[Estimated Concrete Demand (m³)]]*Market_Data[[#This Row],[Avg Price per (₹ / m³)]]/10000000)</f>
        <v>12.350250000000001</v>
      </c>
      <c r="O239" s="97" t="str">
        <f>IF(Market_Data[[#This Row],[Estimated Concrete Demand (m³)]]="","",
IF(Market_Data[[#This Row],[Estimated Concrete Demand (m³)]]&lt;10000,"Small",
IF(Market_Data[[#This Row],[Estimated Concrete Demand (m³)]]&lt;25000,"Medium",
IF(Market_Data[[#This Row],[Estimated Concrete Demand (m³)]]&lt;100000,"Large","Mega"))))</f>
        <v>Medium</v>
      </c>
      <c r="P239" s="287" t="str">
        <f t="shared" si="5"/>
        <v>GujRERA</v>
      </c>
    </row>
    <row r="240" spans="1:16">
      <c r="A240" s="129" t="str">
        <f>_xlfn.XLOOKUP(B240,$S$9:$S$14,$T$9:$T$14)&amp;"-"&amp;
IF(E240="Residential/Group Housing","RES",
IF(E240="Commercial","COM",
IF(E240="Mixed Development","MIX",
IF(E240="Plotted Development","PLT","OTH"))))
&amp;"-"&amp;TEXT(COUNTIFS($B$9:B240,B240,$E$9:E240,E240),"0000")</f>
        <v>NAV-MIX-0023</v>
      </c>
      <c r="B240" s="322" t="s">
        <v>37</v>
      </c>
      <c r="C240" s="322" t="s">
        <v>37</v>
      </c>
      <c r="D240" s="323" t="s">
        <v>426</v>
      </c>
      <c r="E240" s="132" t="s">
        <v>25</v>
      </c>
      <c r="F240" s="97" t="str">
        <f ca="1">IF(OR(Market_Data[[#This Row],[Start Date]]="",Market_Data[[#This Row],[Completion Date]]=""),"Needs Validation",IF(Market_Data[[#This Row],[Start Date]]&gt;TODAY(),"Planned",IF(Market_Data[[#This Row],[Completion Date]]&lt;TODAY(),"Completed","Ongoing")))</f>
        <v>Ongoing</v>
      </c>
      <c r="G240" s="324">
        <v>44989</v>
      </c>
      <c r="H240" s="324">
        <v>48579</v>
      </c>
      <c r="I240" s="325">
        <v>59900</v>
      </c>
      <c r="J24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0" s="133">
        <f>_xlfn.XLOOKUP(Market_Data[[#This Row],[Project Type]],tbl_assumptions_market[Project Category (RERA)],tbl_assumptions_market[Concrete Intensity
(m³ / sq m BUA)],"",0)</f>
        <v>0.42</v>
      </c>
      <c r="L240" s="134">
        <f>ROUND(Market_Data[[#This Row],[Estimated Built Up Area (sq m)]]*Market_Data[[#This Row],[Concrete Intensity
(m³ / sq m)]],0)</f>
        <v>25158</v>
      </c>
      <c r="M240" s="135">
        <f>_xlfn.XLOOKUP(Market_Data[[#This Row],[District]],tbl_district_price[District],tbl_district_price[Standard Price
(INR/m³)],"",0)</f>
        <v>5500</v>
      </c>
      <c r="N240" s="364">
        <f>IF(OR(Market_Data[[#This Row],[Estimated Concrete Demand (m³)]]="",Market_Data[[#This Row],[Avg Price per (₹ / m³)]]=""),"",Market_Data[[#This Row],[Estimated Concrete Demand (m³)]]*Market_Data[[#This Row],[Avg Price per (₹ / m³)]]/10000000)</f>
        <v>13.8369</v>
      </c>
      <c r="O240" s="97" t="str">
        <f>IF(Market_Data[[#This Row],[Estimated Concrete Demand (m³)]]="","",
IF(Market_Data[[#This Row],[Estimated Concrete Demand (m³)]]&lt;10000,"Small",
IF(Market_Data[[#This Row],[Estimated Concrete Demand (m³)]]&lt;25000,"Medium",
IF(Market_Data[[#This Row],[Estimated Concrete Demand (m³)]]&lt;100000,"Large","Mega"))))</f>
        <v>Large</v>
      </c>
      <c r="P240" s="287" t="str">
        <f t="shared" si="5"/>
        <v>GujRERA</v>
      </c>
    </row>
    <row r="241" spans="1:16">
      <c r="A241" s="129" t="str">
        <f>_xlfn.XLOOKUP(B241,$S$9:$S$14,$T$9:$T$14)&amp;"-"&amp;
IF(E241="Residential/Group Housing","RES",
IF(E241="Commercial","COM",
IF(E241="Mixed Development","MIX",
IF(E241="Plotted Development","PLT","OTH"))))
&amp;"-"&amp;TEXT(COUNTIFS($B$9:B241,B241,$E$9:E241,E241),"0000")</f>
        <v>NAV-PLT-0003</v>
      </c>
      <c r="B241" s="322" t="s">
        <v>37</v>
      </c>
      <c r="C241" s="322" t="s">
        <v>37</v>
      </c>
      <c r="D241" s="323" t="s">
        <v>427</v>
      </c>
      <c r="E241" s="132" t="s">
        <v>26</v>
      </c>
      <c r="F241" s="97" t="str">
        <f ca="1">IF(OR(Market_Data[[#This Row],[Start Date]]="",Market_Data[[#This Row],[Completion Date]]=""),"Needs Validation",IF(Market_Data[[#This Row],[Start Date]]&gt;TODAY(),"Planned",IF(Market_Data[[#This Row],[Completion Date]]&lt;TODAY(),"Completed","Ongoing")))</f>
        <v>Completed</v>
      </c>
      <c r="G241" s="324">
        <v>44652</v>
      </c>
      <c r="H241" s="324">
        <v>45107</v>
      </c>
      <c r="I241" s="325">
        <v>113400</v>
      </c>
      <c r="J24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41" s="133">
        <f>_xlfn.XLOOKUP(Market_Data[[#This Row],[Project Type]],tbl_assumptions_market[Project Category (RERA)],tbl_assumptions_market[Concrete Intensity
(m³ / sq m BUA)],"",0)</f>
        <v>0.18</v>
      </c>
      <c r="L241" s="134">
        <f>ROUND(Market_Data[[#This Row],[Estimated Built Up Area (sq m)]]*Market_Data[[#This Row],[Concrete Intensity
(m³ / sq m)]],0)</f>
        <v>20412</v>
      </c>
      <c r="M241" s="135">
        <f>_xlfn.XLOOKUP(Market_Data[[#This Row],[District]],tbl_district_price[District],tbl_district_price[Standard Price
(INR/m³)],"",0)</f>
        <v>5500</v>
      </c>
      <c r="N241" s="364">
        <f>IF(OR(Market_Data[[#This Row],[Estimated Concrete Demand (m³)]]="",Market_Data[[#This Row],[Avg Price per (₹ / m³)]]=""),"",Market_Data[[#This Row],[Estimated Concrete Demand (m³)]]*Market_Data[[#This Row],[Avg Price per (₹ / m³)]]/10000000)</f>
        <v>11.226599999999999</v>
      </c>
      <c r="O241" s="97" t="str">
        <f>IF(Market_Data[[#This Row],[Estimated Concrete Demand (m³)]]="","",
IF(Market_Data[[#This Row],[Estimated Concrete Demand (m³)]]&lt;10000,"Small",
IF(Market_Data[[#This Row],[Estimated Concrete Demand (m³)]]&lt;25000,"Medium",
IF(Market_Data[[#This Row],[Estimated Concrete Demand (m³)]]&lt;100000,"Large","Mega"))))</f>
        <v>Medium</v>
      </c>
      <c r="P241" s="287" t="str">
        <f t="shared" si="5"/>
        <v>GujRERA</v>
      </c>
    </row>
    <row r="242" spans="1:16">
      <c r="A242" s="129" t="str">
        <f>_xlfn.XLOOKUP(B242,$S$9:$S$14,$T$9:$T$14)&amp;"-"&amp;
IF(E242="Residential/Group Housing","RES",
IF(E242="Commercial","COM",
IF(E242="Mixed Development","MIX",
IF(E242="Plotted Development","PLT","OTH"))))
&amp;"-"&amp;TEXT(COUNTIFS($B$9:B242,B242,$E$9:E242,E242),"0000")</f>
        <v>NAV-MIX-0024</v>
      </c>
      <c r="B242" s="322" t="s">
        <v>37</v>
      </c>
      <c r="C242" s="322" t="s">
        <v>37</v>
      </c>
      <c r="D242" s="323" t="s">
        <v>428</v>
      </c>
      <c r="E242" s="132" t="s">
        <v>25</v>
      </c>
      <c r="F242" s="97" t="str">
        <f ca="1">IF(OR(Market_Data[[#This Row],[Start Date]]="",Market_Data[[#This Row],[Completion Date]]=""),"Needs Validation",IF(Market_Data[[#This Row],[Start Date]]&gt;TODAY(),"Planned",IF(Market_Data[[#This Row],[Completion Date]]&lt;TODAY(),"Completed","Ongoing")))</f>
        <v>Ongoing</v>
      </c>
      <c r="G242" s="324">
        <v>43131</v>
      </c>
      <c r="H242" s="324">
        <v>48029</v>
      </c>
      <c r="I242" s="325">
        <v>38000</v>
      </c>
      <c r="J24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2" s="133">
        <f>_xlfn.XLOOKUP(Market_Data[[#This Row],[Project Type]],tbl_assumptions_market[Project Category (RERA)],tbl_assumptions_market[Concrete Intensity
(m³ / sq m BUA)],"",0)</f>
        <v>0.42</v>
      </c>
      <c r="L242" s="134">
        <f>ROUND(Market_Data[[#This Row],[Estimated Built Up Area (sq m)]]*Market_Data[[#This Row],[Concrete Intensity
(m³ / sq m)]],0)</f>
        <v>15960</v>
      </c>
      <c r="M242" s="135">
        <f>_xlfn.XLOOKUP(Market_Data[[#This Row],[District]],tbl_district_price[District],tbl_district_price[Standard Price
(INR/m³)],"",0)</f>
        <v>5500</v>
      </c>
      <c r="N242" s="364">
        <f>IF(OR(Market_Data[[#This Row],[Estimated Concrete Demand (m³)]]="",Market_Data[[#This Row],[Avg Price per (₹ / m³)]]=""),"",Market_Data[[#This Row],[Estimated Concrete Demand (m³)]]*Market_Data[[#This Row],[Avg Price per (₹ / m³)]]/10000000)</f>
        <v>8.7780000000000005</v>
      </c>
      <c r="O242" s="97" t="str">
        <f>IF(Market_Data[[#This Row],[Estimated Concrete Demand (m³)]]="","",
IF(Market_Data[[#This Row],[Estimated Concrete Demand (m³)]]&lt;10000,"Small",
IF(Market_Data[[#This Row],[Estimated Concrete Demand (m³)]]&lt;25000,"Medium",
IF(Market_Data[[#This Row],[Estimated Concrete Demand (m³)]]&lt;100000,"Large","Mega"))))</f>
        <v>Medium</v>
      </c>
      <c r="P242" s="287" t="str">
        <f t="shared" si="5"/>
        <v>GujRERA</v>
      </c>
    </row>
    <row r="243" spans="1:16">
      <c r="A243" s="129" t="str">
        <f>_xlfn.XLOOKUP(B243,$S$9:$S$14,$T$9:$T$14)&amp;"-"&amp;
IF(E243="Residential/Group Housing","RES",
IF(E243="Commercial","COM",
IF(E243="Mixed Development","MIX",
IF(E243="Plotted Development","PLT","OTH"))))
&amp;"-"&amp;TEXT(COUNTIFS($B$9:B243,B243,$E$9:E243,E243),"0000")</f>
        <v>NAV-RES-0011</v>
      </c>
      <c r="B243" s="322" t="s">
        <v>37</v>
      </c>
      <c r="C243" s="322" t="s">
        <v>37</v>
      </c>
      <c r="D243" s="323" t="s">
        <v>429</v>
      </c>
      <c r="E243" s="132" t="s">
        <v>24</v>
      </c>
      <c r="F243" s="97" t="str">
        <f ca="1">IF(OR(Market_Data[[#This Row],[Start Date]]="",Market_Data[[#This Row],[Completion Date]]=""),"Needs Validation",IF(Market_Data[[#This Row],[Start Date]]&gt;TODAY(),"Planned",IF(Market_Data[[#This Row],[Completion Date]]&lt;TODAY(),"Completed","Ongoing")))</f>
        <v>Completed</v>
      </c>
      <c r="G243" s="324">
        <v>42853</v>
      </c>
      <c r="H243" s="324">
        <v>43402</v>
      </c>
      <c r="I243" s="325">
        <v>17100</v>
      </c>
      <c r="J24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3" s="133">
        <f>_xlfn.XLOOKUP(Market_Data[[#This Row],[Project Type]],tbl_assumptions_market[Project Category (RERA)],tbl_assumptions_market[Concrete Intensity
(m³ / sq m BUA)],"",0)</f>
        <v>0.45</v>
      </c>
      <c r="L243" s="134">
        <f>ROUND(Market_Data[[#This Row],[Estimated Built Up Area (sq m)]]*Market_Data[[#This Row],[Concrete Intensity
(m³ / sq m)]],0)</f>
        <v>7695</v>
      </c>
      <c r="M243" s="135">
        <f>_xlfn.XLOOKUP(Market_Data[[#This Row],[District]],tbl_district_price[District],tbl_district_price[Standard Price
(INR/m³)],"",0)</f>
        <v>5500</v>
      </c>
      <c r="N243" s="364">
        <f>IF(OR(Market_Data[[#This Row],[Estimated Concrete Demand (m³)]]="",Market_Data[[#This Row],[Avg Price per (₹ / m³)]]=""),"",Market_Data[[#This Row],[Estimated Concrete Demand (m³)]]*Market_Data[[#This Row],[Avg Price per (₹ / m³)]]/10000000)</f>
        <v>4.2322499999999996</v>
      </c>
      <c r="O243" s="97" t="str">
        <f>IF(Market_Data[[#This Row],[Estimated Concrete Demand (m³)]]="","",
IF(Market_Data[[#This Row],[Estimated Concrete Demand (m³)]]&lt;10000,"Small",
IF(Market_Data[[#This Row],[Estimated Concrete Demand (m³)]]&lt;25000,"Medium",
IF(Market_Data[[#This Row],[Estimated Concrete Demand (m³)]]&lt;100000,"Large","Mega"))))</f>
        <v>Small</v>
      </c>
      <c r="P243" s="287" t="str">
        <f t="shared" si="5"/>
        <v>GujRERA</v>
      </c>
    </row>
    <row r="244" spans="1:16">
      <c r="A244" s="129" t="str">
        <f>_xlfn.XLOOKUP(B244,$S$9:$S$14,$T$9:$T$14)&amp;"-"&amp;
IF(E244="Residential/Group Housing","RES",
IF(E244="Commercial","COM",
IF(E244="Mixed Development","MIX",
IF(E244="Plotted Development","PLT","OTH"))))
&amp;"-"&amp;TEXT(COUNTIFS($B$9:B244,B244,$E$9:E244,E244),"0000")</f>
        <v>NAV-MIX-0025</v>
      </c>
      <c r="B244" s="322" t="s">
        <v>37</v>
      </c>
      <c r="C244" s="322" t="s">
        <v>37</v>
      </c>
      <c r="D244" s="323" t="s">
        <v>430</v>
      </c>
      <c r="E244" s="132" t="s">
        <v>25</v>
      </c>
      <c r="F244" s="97" t="str">
        <f ca="1">IF(OR(Market_Data[[#This Row],[Start Date]]="",Market_Data[[#This Row],[Completion Date]]=""),"Needs Validation",IF(Market_Data[[#This Row],[Start Date]]&gt;TODAY(),"Planned",IF(Market_Data[[#This Row],[Completion Date]]&lt;TODAY(),"Completed","Ongoing")))</f>
        <v>Completed</v>
      </c>
      <c r="G244" s="324">
        <v>43560</v>
      </c>
      <c r="H244" s="324">
        <v>44977</v>
      </c>
      <c r="I244" s="325">
        <v>35000</v>
      </c>
      <c r="J24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4" s="133">
        <f>_xlfn.XLOOKUP(Market_Data[[#This Row],[Project Type]],tbl_assumptions_market[Project Category (RERA)],tbl_assumptions_market[Concrete Intensity
(m³ / sq m BUA)],"",0)</f>
        <v>0.42</v>
      </c>
      <c r="L244" s="134">
        <f>ROUND(Market_Data[[#This Row],[Estimated Built Up Area (sq m)]]*Market_Data[[#This Row],[Concrete Intensity
(m³ / sq m)]],0)</f>
        <v>14700</v>
      </c>
      <c r="M244" s="135">
        <f>_xlfn.XLOOKUP(Market_Data[[#This Row],[District]],tbl_district_price[District],tbl_district_price[Standard Price
(INR/m³)],"",0)</f>
        <v>5500</v>
      </c>
      <c r="N244" s="364">
        <f>IF(OR(Market_Data[[#This Row],[Estimated Concrete Demand (m³)]]="",Market_Data[[#This Row],[Avg Price per (₹ / m³)]]=""),"",Market_Data[[#This Row],[Estimated Concrete Demand (m³)]]*Market_Data[[#This Row],[Avg Price per (₹ / m³)]]/10000000)</f>
        <v>8.0850000000000009</v>
      </c>
      <c r="O244" s="97" t="str">
        <f>IF(Market_Data[[#This Row],[Estimated Concrete Demand (m³)]]="","",
IF(Market_Data[[#This Row],[Estimated Concrete Demand (m³)]]&lt;10000,"Small",
IF(Market_Data[[#This Row],[Estimated Concrete Demand (m³)]]&lt;25000,"Medium",
IF(Market_Data[[#This Row],[Estimated Concrete Demand (m³)]]&lt;100000,"Large","Mega"))))</f>
        <v>Medium</v>
      </c>
      <c r="P244" s="287" t="str">
        <f t="shared" si="5"/>
        <v>GujRERA</v>
      </c>
    </row>
    <row r="245" spans="1:16">
      <c r="A245" s="129" t="str">
        <f>_xlfn.XLOOKUP(B245,$S$9:$S$14,$T$9:$T$14)&amp;"-"&amp;
IF(E245="Residential/Group Housing","RES",
IF(E245="Commercial","COM",
IF(E245="Mixed Development","MIX",
IF(E245="Plotted Development","PLT","OTH"))))
&amp;"-"&amp;TEXT(COUNTIFS($B$9:B245,B245,$E$9:E245,E245),"0000")</f>
        <v>NAV-RES-0012</v>
      </c>
      <c r="B245" s="322" t="s">
        <v>37</v>
      </c>
      <c r="C245" s="322" t="s">
        <v>37</v>
      </c>
      <c r="D245" s="323" t="s">
        <v>431</v>
      </c>
      <c r="E245" s="132" t="s">
        <v>24</v>
      </c>
      <c r="F245" s="97" t="str">
        <f ca="1">IF(OR(Market_Data[[#This Row],[Start Date]]="",Market_Data[[#This Row],[Completion Date]]=""),"Needs Validation",IF(Market_Data[[#This Row],[Start Date]]&gt;TODAY(),"Planned",IF(Market_Data[[#This Row],[Completion Date]]&lt;TODAY(),"Completed","Ongoing")))</f>
        <v>Completed</v>
      </c>
      <c r="G245" s="324">
        <v>43343</v>
      </c>
      <c r="H245" s="324">
        <v>45838</v>
      </c>
      <c r="I245" s="325">
        <v>23500</v>
      </c>
      <c r="J24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5" s="133">
        <f>_xlfn.XLOOKUP(Market_Data[[#This Row],[Project Type]],tbl_assumptions_market[Project Category (RERA)],tbl_assumptions_market[Concrete Intensity
(m³ / sq m BUA)],"",0)</f>
        <v>0.45</v>
      </c>
      <c r="L245" s="134">
        <f>ROUND(Market_Data[[#This Row],[Estimated Built Up Area (sq m)]]*Market_Data[[#This Row],[Concrete Intensity
(m³ / sq m)]],0)</f>
        <v>10575</v>
      </c>
      <c r="M245" s="135">
        <f>_xlfn.XLOOKUP(Market_Data[[#This Row],[District]],tbl_district_price[District],tbl_district_price[Standard Price
(INR/m³)],"",0)</f>
        <v>5500</v>
      </c>
      <c r="N245" s="364">
        <f>IF(OR(Market_Data[[#This Row],[Estimated Concrete Demand (m³)]]="",Market_Data[[#This Row],[Avg Price per (₹ / m³)]]=""),"",Market_Data[[#This Row],[Estimated Concrete Demand (m³)]]*Market_Data[[#This Row],[Avg Price per (₹ / m³)]]/10000000)</f>
        <v>5.8162500000000001</v>
      </c>
      <c r="O245" s="97" t="str">
        <f>IF(Market_Data[[#This Row],[Estimated Concrete Demand (m³)]]="","",
IF(Market_Data[[#This Row],[Estimated Concrete Demand (m³)]]&lt;10000,"Small",
IF(Market_Data[[#This Row],[Estimated Concrete Demand (m³)]]&lt;25000,"Medium",
IF(Market_Data[[#This Row],[Estimated Concrete Demand (m³)]]&lt;100000,"Large","Mega"))))</f>
        <v>Medium</v>
      </c>
      <c r="P245" s="287" t="str">
        <f t="shared" si="5"/>
        <v>GujRERA</v>
      </c>
    </row>
    <row r="246" spans="1:16">
      <c r="A246" s="129" t="str">
        <f>_xlfn.XLOOKUP(B246,$S$9:$S$14,$T$9:$T$14)&amp;"-"&amp;
IF(E246="Residential/Group Housing","RES",
IF(E246="Commercial","COM",
IF(E246="Mixed Development","MIX",
IF(E246="Plotted Development","PLT","OTH"))))
&amp;"-"&amp;TEXT(COUNTIFS($B$9:B246,B246,$E$9:E246,E246),"0000")</f>
        <v>NAV-COM-0003</v>
      </c>
      <c r="B246" s="322" t="s">
        <v>37</v>
      </c>
      <c r="C246" s="322" t="s">
        <v>37</v>
      </c>
      <c r="D246" s="323" t="s">
        <v>432</v>
      </c>
      <c r="E246" s="132" t="s">
        <v>23</v>
      </c>
      <c r="F246" s="97" t="str">
        <f ca="1">IF(OR(Market_Data[[#This Row],[Start Date]]="",Market_Data[[#This Row],[Completion Date]]=""),"Needs Validation",IF(Market_Data[[#This Row],[Start Date]]&gt;TODAY(),"Planned",IF(Market_Data[[#This Row],[Completion Date]]&lt;TODAY(),"Completed","Ongoing")))</f>
        <v>Completed</v>
      </c>
      <c r="G246" s="324">
        <v>45222</v>
      </c>
      <c r="H246" s="324">
        <v>45747</v>
      </c>
      <c r="I246" s="325">
        <v>5800</v>
      </c>
      <c r="J24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6" s="133">
        <f>_xlfn.XLOOKUP(Market_Data[[#This Row],[Project Type]],tbl_assumptions_market[Project Category (RERA)],tbl_assumptions_market[Concrete Intensity
(m³ / sq m BUA)],"",0)</f>
        <v>0.5</v>
      </c>
      <c r="L246" s="134">
        <f>ROUND(Market_Data[[#This Row],[Estimated Built Up Area (sq m)]]*Market_Data[[#This Row],[Concrete Intensity
(m³ / sq m)]],0)</f>
        <v>2900</v>
      </c>
      <c r="M246" s="135">
        <f>_xlfn.XLOOKUP(Market_Data[[#This Row],[District]],tbl_district_price[District],tbl_district_price[Standard Price
(INR/m³)],"",0)</f>
        <v>5500</v>
      </c>
      <c r="N246" s="364">
        <f>IF(OR(Market_Data[[#This Row],[Estimated Concrete Demand (m³)]]="",Market_Data[[#This Row],[Avg Price per (₹ / m³)]]=""),"",Market_Data[[#This Row],[Estimated Concrete Demand (m³)]]*Market_Data[[#This Row],[Avg Price per (₹ / m³)]]/10000000)</f>
        <v>1.595</v>
      </c>
      <c r="O246" s="97" t="str">
        <f>IF(Market_Data[[#This Row],[Estimated Concrete Demand (m³)]]="","",
IF(Market_Data[[#This Row],[Estimated Concrete Demand (m³)]]&lt;10000,"Small",
IF(Market_Data[[#This Row],[Estimated Concrete Demand (m³)]]&lt;25000,"Medium",
IF(Market_Data[[#This Row],[Estimated Concrete Demand (m³)]]&lt;100000,"Large","Mega"))))</f>
        <v>Small</v>
      </c>
      <c r="P246" s="287" t="str">
        <f t="shared" si="5"/>
        <v>GujRERA</v>
      </c>
    </row>
    <row r="247" spans="1:16">
      <c r="A247" s="129" t="str">
        <f>_xlfn.XLOOKUP(B247,$S$9:$S$14,$T$9:$T$14)&amp;"-"&amp;
IF(E247="Residential/Group Housing","RES",
IF(E247="Commercial","COM",
IF(E247="Mixed Development","MIX",
IF(E247="Plotted Development","PLT","OTH"))))
&amp;"-"&amp;TEXT(COUNTIFS($B$9:B247,B247,$E$9:E247,E247),"0000")</f>
        <v>NAV-RES-0013</v>
      </c>
      <c r="B247" s="322" t="s">
        <v>37</v>
      </c>
      <c r="C247" s="322" t="s">
        <v>37</v>
      </c>
      <c r="D247" s="323" t="s">
        <v>433</v>
      </c>
      <c r="E247" s="132" t="s">
        <v>24</v>
      </c>
      <c r="F247" s="97" t="str">
        <f ca="1">IF(OR(Market_Data[[#This Row],[Start Date]]="",Market_Data[[#This Row],[Completion Date]]=""),"Needs Validation",IF(Market_Data[[#This Row],[Start Date]]&gt;TODAY(),"Planned",IF(Market_Data[[#This Row],[Completion Date]]&lt;TODAY(),"Completed","Ongoing")))</f>
        <v>Completed</v>
      </c>
      <c r="G247" s="324">
        <v>43559</v>
      </c>
      <c r="H247" s="324">
        <v>45657</v>
      </c>
      <c r="I247" s="325">
        <v>27100</v>
      </c>
      <c r="J24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7" s="133">
        <f>_xlfn.XLOOKUP(Market_Data[[#This Row],[Project Type]],tbl_assumptions_market[Project Category (RERA)],tbl_assumptions_market[Concrete Intensity
(m³ / sq m BUA)],"",0)</f>
        <v>0.45</v>
      </c>
      <c r="L247" s="134">
        <f>ROUND(Market_Data[[#This Row],[Estimated Built Up Area (sq m)]]*Market_Data[[#This Row],[Concrete Intensity
(m³ / sq m)]],0)</f>
        <v>12195</v>
      </c>
      <c r="M247" s="135">
        <f>_xlfn.XLOOKUP(Market_Data[[#This Row],[District]],tbl_district_price[District],tbl_district_price[Standard Price
(INR/m³)],"",0)</f>
        <v>5500</v>
      </c>
      <c r="N247" s="364">
        <f>IF(OR(Market_Data[[#This Row],[Estimated Concrete Demand (m³)]]="",Market_Data[[#This Row],[Avg Price per (₹ / m³)]]=""),"",Market_Data[[#This Row],[Estimated Concrete Demand (m³)]]*Market_Data[[#This Row],[Avg Price per (₹ / m³)]]/10000000)</f>
        <v>6.7072500000000002</v>
      </c>
      <c r="O247" s="97" t="str">
        <f>IF(Market_Data[[#This Row],[Estimated Concrete Demand (m³)]]="","",
IF(Market_Data[[#This Row],[Estimated Concrete Demand (m³)]]&lt;10000,"Small",
IF(Market_Data[[#This Row],[Estimated Concrete Demand (m³)]]&lt;25000,"Medium",
IF(Market_Data[[#This Row],[Estimated Concrete Demand (m³)]]&lt;100000,"Large","Mega"))))</f>
        <v>Medium</v>
      </c>
      <c r="P247" s="287" t="str">
        <f t="shared" si="5"/>
        <v>GujRERA</v>
      </c>
    </row>
    <row r="248" spans="1:16">
      <c r="A248" s="129" t="str">
        <f>_xlfn.XLOOKUP(B248,$S$9:$S$14,$T$9:$T$14)&amp;"-"&amp;
IF(E248="Residential/Group Housing","RES",
IF(E248="Commercial","COM",
IF(E248="Mixed Development","MIX",
IF(E248="Plotted Development","PLT","OTH"))))
&amp;"-"&amp;TEXT(COUNTIFS($B$9:B248,B248,$E$9:E248,E248),"0000")</f>
        <v>NAV-RES-0014</v>
      </c>
      <c r="B248" s="322" t="s">
        <v>37</v>
      </c>
      <c r="C248" s="322" t="s">
        <v>37</v>
      </c>
      <c r="D248" s="323" t="s">
        <v>434</v>
      </c>
      <c r="E248" s="132" t="s">
        <v>24</v>
      </c>
      <c r="F248" s="97" t="str">
        <f ca="1">IF(OR(Market_Data[[#This Row],[Start Date]]="",Market_Data[[#This Row],[Completion Date]]=""),"Needs Validation",IF(Market_Data[[#This Row],[Start Date]]&gt;TODAY(),"Planned",IF(Market_Data[[#This Row],[Completion Date]]&lt;TODAY(),"Completed","Ongoing")))</f>
        <v>Completed</v>
      </c>
      <c r="G248" s="324">
        <v>42856</v>
      </c>
      <c r="H248" s="324">
        <v>44499</v>
      </c>
      <c r="I248" s="325">
        <v>40800</v>
      </c>
      <c r="J24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8" s="133">
        <f>_xlfn.XLOOKUP(Market_Data[[#This Row],[Project Type]],tbl_assumptions_market[Project Category (RERA)],tbl_assumptions_market[Concrete Intensity
(m³ / sq m BUA)],"",0)</f>
        <v>0.45</v>
      </c>
      <c r="L248" s="134">
        <f>ROUND(Market_Data[[#This Row],[Estimated Built Up Area (sq m)]]*Market_Data[[#This Row],[Concrete Intensity
(m³ / sq m)]],0)</f>
        <v>18360</v>
      </c>
      <c r="M248" s="135">
        <f>_xlfn.XLOOKUP(Market_Data[[#This Row],[District]],tbl_district_price[District],tbl_district_price[Standard Price
(INR/m³)],"",0)</f>
        <v>5500</v>
      </c>
      <c r="N248" s="364">
        <f>IF(OR(Market_Data[[#This Row],[Estimated Concrete Demand (m³)]]="",Market_Data[[#This Row],[Avg Price per (₹ / m³)]]=""),"",Market_Data[[#This Row],[Estimated Concrete Demand (m³)]]*Market_Data[[#This Row],[Avg Price per (₹ / m³)]]/10000000)</f>
        <v>10.098000000000001</v>
      </c>
      <c r="O248" s="97" t="str">
        <f>IF(Market_Data[[#This Row],[Estimated Concrete Demand (m³)]]="","",
IF(Market_Data[[#This Row],[Estimated Concrete Demand (m³)]]&lt;10000,"Small",
IF(Market_Data[[#This Row],[Estimated Concrete Demand (m³)]]&lt;25000,"Medium",
IF(Market_Data[[#This Row],[Estimated Concrete Demand (m³)]]&lt;100000,"Large","Mega"))))</f>
        <v>Medium</v>
      </c>
      <c r="P248" s="287" t="str">
        <f t="shared" si="5"/>
        <v>GujRERA</v>
      </c>
    </row>
    <row r="249" spans="1:16">
      <c r="A249" s="129" t="str">
        <f>_xlfn.XLOOKUP(B249,$S$9:$S$14,$T$9:$T$14)&amp;"-"&amp;
IF(E249="Residential/Group Housing","RES",
IF(E249="Commercial","COM",
IF(E249="Mixed Development","MIX",
IF(E249="Plotted Development","PLT","OTH"))))
&amp;"-"&amp;TEXT(COUNTIFS($B$9:B249,B249,$E$9:E249,E249),"0000")</f>
        <v>NAV-RES-0015</v>
      </c>
      <c r="B249" s="322" t="s">
        <v>37</v>
      </c>
      <c r="C249" s="322" t="s">
        <v>37</v>
      </c>
      <c r="D249" s="323" t="s">
        <v>435</v>
      </c>
      <c r="E249" s="132" t="s">
        <v>24</v>
      </c>
      <c r="F249" s="97" t="str">
        <f ca="1">IF(OR(Market_Data[[#This Row],[Start Date]]="",Market_Data[[#This Row],[Completion Date]]=""),"Needs Validation",IF(Market_Data[[#This Row],[Start Date]]&gt;TODAY(),"Planned",IF(Market_Data[[#This Row],[Completion Date]]&lt;TODAY(),"Completed","Ongoing")))</f>
        <v>Completed</v>
      </c>
      <c r="G249" s="324">
        <v>44551</v>
      </c>
      <c r="H249" s="324">
        <v>45291</v>
      </c>
      <c r="I249" s="325">
        <v>39100</v>
      </c>
      <c r="J24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9" s="133">
        <f>_xlfn.XLOOKUP(Market_Data[[#This Row],[Project Type]],tbl_assumptions_market[Project Category (RERA)],tbl_assumptions_market[Concrete Intensity
(m³ / sq m BUA)],"",0)</f>
        <v>0.45</v>
      </c>
      <c r="L249" s="134">
        <f>ROUND(Market_Data[[#This Row],[Estimated Built Up Area (sq m)]]*Market_Data[[#This Row],[Concrete Intensity
(m³ / sq m)]],0)</f>
        <v>17595</v>
      </c>
      <c r="M249" s="135">
        <f>_xlfn.XLOOKUP(Market_Data[[#This Row],[District]],tbl_district_price[District],tbl_district_price[Standard Price
(INR/m³)],"",0)</f>
        <v>5500</v>
      </c>
      <c r="N249" s="364">
        <f>IF(OR(Market_Data[[#This Row],[Estimated Concrete Demand (m³)]]="",Market_Data[[#This Row],[Avg Price per (₹ / m³)]]=""),"",Market_Data[[#This Row],[Estimated Concrete Demand (m³)]]*Market_Data[[#This Row],[Avg Price per (₹ / m³)]]/10000000)</f>
        <v>9.6772500000000008</v>
      </c>
      <c r="O249" s="97" t="str">
        <f>IF(Market_Data[[#This Row],[Estimated Concrete Demand (m³)]]="","",
IF(Market_Data[[#This Row],[Estimated Concrete Demand (m³)]]&lt;10000,"Small",
IF(Market_Data[[#This Row],[Estimated Concrete Demand (m³)]]&lt;25000,"Medium",
IF(Market_Data[[#This Row],[Estimated Concrete Demand (m³)]]&lt;100000,"Large","Mega"))))</f>
        <v>Medium</v>
      </c>
      <c r="P249" s="287" t="str">
        <f t="shared" si="5"/>
        <v>GujRERA</v>
      </c>
    </row>
    <row r="250" spans="1:16">
      <c r="A250" s="129" t="str">
        <f>_xlfn.XLOOKUP(B250,$S$9:$S$14,$T$9:$T$14)&amp;"-"&amp;
IF(E250="Residential/Group Housing","RES",
IF(E250="Commercial","COM",
IF(E250="Mixed Development","MIX",
IF(E250="Plotted Development","PLT","OTH"))))
&amp;"-"&amp;TEXT(COUNTIFS($B$9:B250,B250,$E$9:E250,E250),"0000")</f>
        <v>NAV-RES-0016</v>
      </c>
      <c r="B250" s="322" t="s">
        <v>37</v>
      </c>
      <c r="C250" s="322" t="s">
        <v>37</v>
      </c>
      <c r="D250" s="323" t="s">
        <v>436</v>
      </c>
      <c r="E250" s="132" t="s">
        <v>24</v>
      </c>
      <c r="F250" s="97" t="str">
        <f ca="1">IF(OR(Market_Data[[#This Row],[Start Date]]="",Market_Data[[#This Row],[Completion Date]]=""),"Needs Validation",IF(Market_Data[[#This Row],[Start Date]]&gt;TODAY(),"Planned",IF(Market_Data[[#This Row],[Completion Date]]&lt;TODAY(),"Completed","Ongoing")))</f>
        <v>Ongoing</v>
      </c>
      <c r="G250" s="324">
        <v>44562</v>
      </c>
      <c r="H250" s="324">
        <v>47118</v>
      </c>
      <c r="I250" s="325">
        <v>27900</v>
      </c>
      <c r="J25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0" s="133">
        <f>_xlfn.XLOOKUP(Market_Data[[#This Row],[Project Type]],tbl_assumptions_market[Project Category (RERA)],tbl_assumptions_market[Concrete Intensity
(m³ / sq m BUA)],"",0)</f>
        <v>0.45</v>
      </c>
      <c r="L250" s="134">
        <f>ROUND(Market_Data[[#This Row],[Estimated Built Up Area (sq m)]]*Market_Data[[#This Row],[Concrete Intensity
(m³ / sq m)]],0)</f>
        <v>12555</v>
      </c>
      <c r="M250" s="135">
        <f>_xlfn.XLOOKUP(Market_Data[[#This Row],[District]],tbl_district_price[District],tbl_district_price[Standard Price
(INR/m³)],"",0)</f>
        <v>5500</v>
      </c>
      <c r="N250" s="364">
        <f>IF(OR(Market_Data[[#This Row],[Estimated Concrete Demand (m³)]]="",Market_Data[[#This Row],[Avg Price per (₹ / m³)]]=""),"",Market_Data[[#This Row],[Estimated Concrete Demand (m³)]]*Market_Data[[#This Row],[Avg Price per (₹ / m³)]]/10000000)</f>
        <v>6.9052499999999997</v>
      </c>
      <c r="O250" s="97" t="str">
        <f>IF(Market_Data[[#This Row],[Estimated Concrete Demand (m³)]]="","",
IF(Market_Data[[#This Row],[Estimated Concrete Demand (m³)]]&lt;10000,"Small",
IF(Market_Data[[#This Row],[Estimated Concrete Demand (m³)]]&lt;25000,"Medium",
IF(Market_Data[[#This Row],[Estimated Concrete Demand (m³)]]&lt;100000,"Large","Mega"))))</f>
        <v>Medium</v>
      </c>
      <c r="P250" s="287" t="str">
        <f t="shared" si="5"/>
        <v>GujRERA</v>
      </c>
    </row>
    <row r="251" spans="1:16">
      <c r="A251" s="129" t="str">
        <f>_xlfn.XLOOKUP(B251,$S$9:$S$14,$T$9:$T$14)&amp;"-"&amp;
IF(E251="Residential/Group Housing","RES",
IF(E251="Commercial","COM",
IF(E251="Mixed Development","MIX",
IF(E251="Plotted Development","PLT","OTH"))))
&amp;"-"&amp;TEXT(COUNTIFS($B$9:B251,B251,$E$9:E251,E251),"0000")</f>
        <v>NAV-MIX-0026</v>
      </c>
      <c r="B251" s="322" t="s">
        <v>37</v>
      </c>
      <c r="C251" s="322" t="s">
        <v>37</v>
      </c>
      <c r="D251" s="323" t="s">
        <v>437</v>
      </c>
      <c r="E251" s="132" t="s">
        <v>25</v>
      </c>
      <c r="F251" s="97" t="str">
        <f ca="1">IF(OR(Market_Data[[#This Row],[Start Date]]="",Market_Data[[#This Row],[Completion Date]]=""),"Needs Validation",IF(Market_Data[[#This Row],[Start Date]]&gt;TODAY(),"Planned",IF(Market_Data[[#This Row],[Completion Date]]&lt;TODAY(),"Completed","Ongoing")))</f>
        <v>Completed</v>
      </c>
      <c r="G251" s="324">
        <v>44749</v>
      </c>
      <c r="H251" s="324">
        <v>46022</v>
      </c>
      <c r="I251" s="325">
        <v>36200</v>
      </c>
      <c r="J25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1" s="133">
        <f>_xlfn.XLOOKUP(Market_Data[[#This Row],[Project Type]],tbl_assumptions_market[Project Category (RERA)],tbl_assumptions_market[Concrete Intensity
(m³ / sq m BUA)],"",0)</f>
        <v>0.42</v>
      </c>
      <c r="L251" s="134">
        <f>ROUND(Market_Data[[#This Row],[Estimated Built Up Area (sq m)]]*Market_Data[[#This Row],[Concrete Intensity
(m³ / sq m)]],0)</f>
        <v>15204</v>
      </c>
      <c r="M251" s="135">
        <f>_xlfn.XLOOKUP(Market_Data[[#This Row],[District]],tbl_district_price[District],tbl_district_price[Standard Price
(INR/m³)],"",0)</f>
        <v>5500</v>
      </c>
      <c r="N251" s="364">
        <f>IF(OR(Market_Data[[#This Row],[Estimated Concrete Demand (m³)]]="",Market_Data[[#This Row],[Avg Price per (₹ / m³)]]=""),"",Market_Data[[#This Row],[Estimated Concrete Demand (m³)]]*Market_Data[[#This Row],[Avg Price per (₹ / m³)]]/10000000)</f>
        <v>8.3621999999999996</v>
      </c>
      <c r="O251" s="97" t="str">
        <f>IF(Market_Data[[#This Row],[Estimated Concrete Demand (m³)]]="","",
IF(Market_Data[[#This Row],[Estimated Concrete Demand (m³)]]&lt;10000,"Small",
IF(Market_Data[[#This Row],[Estimated Concrete Demand (m³)]]&lt;25000,"Medium",
IF(Market_Data[[#This Row],[Estimated Concrete Demand (m³)]]&lt;100000,"Large","Mega"))))</f>
        <v>Medium</v>
      </c>
      <c r="P251" s="287" t="str">
        <f t="shared" si="5"/>
        <v>GujRERA</v>
      </c>
    </row>
    <row r="252" spans="1:16">
      <c r="A252" s="129" t="str">
        <f>_xlfn.XLOOKUP(B252,$S$9:$S$14,$T$9:$T$14)&amp;"-"&amp;
IF(E252="Residential/Group Housing","RES",
IF(E252="Commercial","COM",
IF(E252="Mixed Development","MIX",
IF(E252="Plotted Development","PLT","OTH"))))
&amp;"-"&amp;TEXT(COUNTIFS($B$9:B252,B252,$E$9:E252,E252),"0000")</f>
        <v>NAV-MIX-0027</v>
      </c>
      <c r="B252" s="322" t="s">
        <v>37</v>
      </c>
      <c r="C252" s="322" t="s">
        <v>37</v>
      </c>
      <c r="D252" s="323" t="s">
        <v>438</v>
      </c>
      <c r="E252" s="132" t="s">
        <v>25</v>
      </c>
      <c r="F252" s="97" t="str">
        <f ca="1">IF(OR(Market_Data[[#This Row],[Start Date]]="",Market_Data[[#This Row],[Completion Date]]=""),"Needs Validation",IF(Market_Data[[#This Row],[Start Date]]&gt;TODAY(),"Planned",IF(Market_Data[[#This Row],[Completion Date]]&lt;TODAY(),"Completed","Ongoing")))</f>
        <v>Completed</v>
      </c>
      <c r="G252" s="324">
        <v>43571</v>
      </c>
      <c r="H252" s="324">
        <v>46203</v>
      </c>
      <c r="I252" s="325">
        <v>36400</v>
      </c>
      <c r="J25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2" s="133">
        <f>_xlfn.XLOOKUP(Market_Data[[#This Row],[Project Type]],tbl_assumptions_market[Project Category (RERA)],tbl_assumptions_market[Concrete Intensity
(m³ / sq m BUA)],"",0)</f>
        <v>0.42</v>
      </c>
      <c r="L252" s="134">
        <f>ROUND(Market_Data[[#This Row],[Estimated Built Up Area (sq m)]]*Market_Data[[#This Row],[Concrete Intensity
(m³ / sq m)]],0)</f>
        <v>15288</v>
      </c>
      <c r="M252" s="135">
        <f>_xlfn.XLOOKUP(Market_Data[[#This Row],[District]],tbl_district_price[District],tbl_district_price[Standard Price
(INR/m³)],"",0)</f>
        <v>5500</v>
      </c>
      <c r="N252" s="364">
        <f>IF(OR(Market_Data[[#This Row],[Estimated Concrete Demand (m³)]]="",Market_Data[[#This Row],[Avg Price per (₹ / m³)]]=""),"",Market_Data[[#This Row],[Estimated Concrete Demand (m³)]]*Market_Data[[#This Row],[Avg Price per (₹ / m³)]]/10000000)</f>
        <v>8.4084000000000003</v>
      </c>
      <c r="O252" s="97" t="str">
        <f>IF(Market_Data[[#This Row],[Estimated Concrete Demand (m³)]]="","",
IF(Market_Data[[#This Row],[Estimated Concrete Demand (m³)]]&lt;10000,"Small",
IF(Market_Data[[#This Row],[Estimated Concrete Demand (m³)]]&lt;25000,"Medium",
IF(Market_Data[[#This Row],[Estimated Concrete Demand (m³)]]&lt;100000,"Large","Mega"))))</f>
        <v>Medium</v>
      </c>
      <c r="P252" s="287" t="str">
        <f t="shared" si="5"/>
        <v>GujRERA</v>
      </c>
    </row>
    <row r="253" spans="1:16">
      <c r="A253" s="129" t="str">
        <f>_xlfn.XLOOKUP(B253,$S$9:$S$14,$T$9:$T$14)&amp;"-"&amp;
IF(E253="Residential/Group Housing","RES",
IF(E253="Commercial","COM",
IF(E253="Mixed Development","MIX",
IF(E253="Plotted Development","PLT","OTH"))))
&amp;"-"&amp;TEXT(COUNTIFS($B$9:B253,B253,$E$9:E253,E253),"0000")</f>
        <v>NAV-MIX-0028</v>
      </c>
      <c r="B253" s="322" t="s">
        <v>37</v>
      </c>
      <c r="C253" s="322" t="s">
        <v>37</v>
      </c>
      <c r="D253" s="323" t="s">
        <v>439</v>
      </c>
      <c r="E253" s="132" t="s">
        <v>25</v>
      </c>
      <c r="F253" s="97" t="str">
        <f ca="1">IF(OR(Market_Data[[#This Row],[Start Date]]="",Market_Data[[#This Row],[Completion Date]]=""),"Needs Validation",IF(Market_Data[[#This Row],[Start Date]]&gt;TODAY(),"Planned",IF(Market_Data[[#This Row],[Completion Date]]&lt;TODAY(),"Completed","Ongoing")))</f>
        <v>Completed</v>
      </c>
      <c r="G253" s="324">
        <v>43435</v>
      </c>
      <c r="H253" s="324">
        <v>44711</v>
      </c>
      <c r="I253" s="325">
        <v>19800</v>
      </c>
      <c r="J25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3" s="133">
        <f>_xlfn.XLOOKUP(Market_Data[[#This Row],[Project Type]],tbl_assumptions_market[Project Category (RERA)],tbl_assumptions_market[Concrete Intensity
(m³ / sq m BUA)],"",0)</f>
        <v>0.42</v>
      </c>
      <c r="L253" s="134">
        <f>ROUND(Market_Data[[#This Row],[Estimated Built Up Area (sq m)]]*Market_Data[[#This Row],[Concrete Intensity
(m³ / sq m)]],0)</f>
        <v>8316</v>
      </c>
      <c r="M253" s="135">
        <f>_xlfn.XLOOKUP(Market_Data[[#This Row],[District]],tbl_district_price[District],tbl_district_price[Standard Price
(INR/m³)],"",0)</f>
        <v>5500</v>
      </c>
      <c r="N253" s="364">
        <f>IF(OR(Market_Data[[#This Row],[Estimated Concrete Demand (m³)]]="",Market_Data[[#This Row],[Avg Price per (₹ / m³)]]=""),"",Market_Data[[#This Row],[Estimated Concrete Demand (m³)]]*Market_Data[[#This Row],[Avg Price per (₹ / m³)]]/10000000)</f>
        <v>4.5738000000000003</v>
      </c>
      <c r="O253" s="97" t="str">
        <f>IF(Market_Data[[#This Row],[Estimated Concrete Demand (m³)]]="","",
IF(Market_Data[[#This Row],[Estimated Concrete Demand (m³)]]&lt;10000,"Small",
IF(Market_Data[[#This Row],[Estimated Concrete Demand (m³)]]&lt;25000,"Medium",
IF(Market_Data[[#This Row],[Estimated Concrete Demand (m³)]]&lt;100000,"Large","Mega"))))</f>
        <v>Small</v>
      </c>
      <c r="P253" s="287" t="str">
        <f t="shared" si="5"/>
        <v>GujRERA</v>
      </c>
    </row>
    <row r="254" spans="1:16">
      <c r="A254" s="129" t="str">
        <f>_xlfn.XLOOKUP(B254,$S$9:$S$14,$T$9:$T$14)&amp;"-"&amp;
IF(E254="Residential/Group Housing","RES",
IF(E254="Commercial","COM",
IF(E254="Mixed Development","MIX",
IF(E254="Plotted Development","PLT","OTH"))))
&amp;"-"&amp;TEXT(COUNTIFS($B$9:B254,B254,$E$9:E254,E254),"0000")</f>
        <v>NAV-MIX-0029</v>
      </c>
      <c r="B254" s="322" t="s">
        <v>37</v>
      </c>
      <c r="C254" s="322" t="s">
        <v>37</v>
      </c>
      <c r="D254" s="323" t="s">
        <v>440</v>
      </c>
      <c r="E254" s="132" t="s">
        <v>25</v>
      </c>
      <c r="F254" s="97" t="str">
        <f ca="1">IF(OR(Market_Data[[#This Row],[Start Date]]="",Market_Data[[#This Row],[Completion Date]]=""),"Needs Validation",IF(Market_Data[[#This Row],[Start Date]]&gt;TODAY(),"Planned",IF(Market_Data[[#This Row],[Completion Date]]&lt;TODAY(),"Completed","Ongoing")))</f>
        <v>Ongoing</v>
      </c>
      <c r="G254" s="324">
        <v>45433</v>
      </c>
      <c r="H254" s="324">
        <v>47118</v>
      </c>
      <c r="I254" s="325">
        <v>29800</v>
      </c>
      <c r="J25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4" s="133">
        <f>_xlfn.XLOOKUP(Market_Data[[#This Row],[Project Type]],tbl_assumptions_market[Project Category (RERA)],tbl_assumptions_market[Concrete Intensity
(m³ / sq m BUA)],"",0)</f>
        <v>0.42</v>
      </c>
      <c r="L254" s="134">
        <f>ROUND(Market_Data[[#This Row],[Estimated Built Up Area (sq m)]]*Market_Data[[#This Row],[Concrete Intensity
(m³ / sq m)]],0)</f>
        <v>12516</v>
      </c>
      <c r="M254" s="135">
        <f>_xlfn.XLOOKUP(Market_Data[[#This Row],[District]],tbl_district_price[District],tbl_district_price[Standard Price
(INR/m³)],"",0)</f>
        <v>5500</v>
      </c>
      <c r="N254" s="364">
        <f>IF(OR(Market_Data[[#This Row],[Estimated Concrete Demand (m³)]]="",Market_Data[[#This Row],[Avg Price per (₹ / m³)]]=""),"",Market_Data[[#This Row],[Estimated Concrete Demand (m³)]]*Market_Data[[#This Row],[Avg Price per (₹ / m³)]]/10000000)</f>
        <v>6.8837999999999999</v>
      </c>
      <c r="O254" s="97" t="str">
        <f>IF(Market_Data[[#This Row],[Estimated Concrete Demand (m³)]]="","",
IF(Market_Data[[#This Row],[Estimated Concrete Demand (m³)]]&lt;10000,"Small",
IF(Market_Data[[#This Row],[Estimated Concrete Demand (m³)]]&lt;25000,"Medium",
IF(Market_Data[[#This Row],[Estimated Concrete Demand (m³)]]&lt;100000,"Large","Mega"))))</f>
        <v>Medium</v>
      </c>
      <c r="P254" s="287" t="str">
        <f t="shared" si="5"/>
        <v>GujRERA</v>
      </c>
    </row>
    <row r="255" spans="1:16">
      <c r="A255" s="129" t="str">
        <f>_xlfn.XLOOKUP(B255,$S$9:$S$14,$T$9:$T$14)&amp;"-"&amp;
IF(E255="Residential/Group Housing","RES",
IF(E255="Commercial","COM",
IF(E255="Mixed Development","MIX",
IF(E255="Plotted Development","PLT","OTH"))))
&amp;"-"&amp;TEXT(COUNTIFS($B$9:B255,B255,$E$9:E255,E255),"0000")</f>
        <v>NAV-MIX-0030</v>
      </c>
      <c r="B255" s="322" t="s">
        <v>37</v>
      </c>
      <c r="C255" s="322" t="s">
        <v>37</v>
      </c>
      <c r="D255" s="323" t="s">
        <v>441</v>
      </c>
      <c r="E255" s="132" t="s">
        <v>25</v>
      </c>
      <c r="F255" s="97" t="str">
        <f ca="1">IF(OR(Market_Data[[#This Row],[Start Date]]="",Market_Data[[#This Row],[Completion Date]]=""),"Needs Validation",IF(Market_Data[[#This Row],[Start Date]]&gt;TODAY(),"Planned",IF(Market_Data[[#This Row],[Completion Date]]&lt;TODAY(),"Completed","Ongoing")))</f>
        <v>Completed</v>
      </c>
      <c r="G255" s="324">
        <v>43250</v>
      </c>
      <c r="H255" s="324">
        <v>44491</v>
      </c>
      <c r="I255" s="325">
        <v>28600</v>
      </c>
      <c r="J25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5" s="133">
        <f>_xlfn.XLOOKUP(Market_Data[[#This Row],[Project Type]],tbl_assumptions_market[Project Category (RERA)],tbl_assumptions_market[Concrete Intensity
(m³ / sq m BUA)],"",0)</f>
        <v>0.42</v>
      </c>
      <c r="L255" s="134">
        <f>ROUND(Market_Data[[#This Row],[Estimated Built Up Area (sq m)]]*Market_Data[[#This Row],[Concrete Intensity
(m³ / sq m)]],0)</f>
        <v>12012</v>
      </c>
      <c r="M255" s="135">
        <f>_xlfn.XLOOKUP(Market_Data[[#This Row],[District]],tbl_district_price[District],tbl_district_price[Standard Price
(INR/m³)],"",0)</f>
        <v>5500</v>
      </c>
      <c r="N255" s="364">
        <f>IF(OR(Market_Data[[#This Row],[Estimated Concrete Demand (m³)]]="",Market_Data[[#This Row],[Avg Price per (₹ / m³)]]=""),"",Market_Data[[#This Row],[Estimated Concrete Demand (m³)]]*Market_Data[[#This Row],[Avg Price per (₹ / m³)]]/10000000)</f>
        <v>6.6066000000000003</v>
      </c>
      <c r="O255" s="97" t="str">
        <f>IF(Market_Data[[#This Row],[Estimated Concrete Demand (m³)]]="","",
IF(Market_Data[[#This Row],[Estimated Concrete Demand (m³)]]&lt;10000,"Small",
IF(Market_Data[[#This Row],[Estimated Concrete Demand (m³)]]&lt;25000,"Medium",
IF(Market_Data[[#This Row],[Estimated Concrete Demand (m³)]]&lt;100000,"Large","Mega"))))</f>
        <v>Medium</v>
      </c>
      <c r="P255" s="287" t="str">
        <f t="shared" si="5"/>
        <v>GujRERA</v>
      </c>
    </row>
    <row r="256" spans="1:16">
      <c r="A256" s="129" t="str">
        <f>_xlfn.XLOOKUP(B256,$S$9:$S$14,$T$9:$T$14)&amp;"-"&amp;
IF(E256="Residential/Group Housing","RES",
IF(E256="Commercial","COM",
IF(E256="Mixed Development","MIX",
IF(E256="Plotted Development","PLT","OTH"))))
&amp;"-"&amp;TEXT(COUNTIFS($B$9:B256,B256,$E$9:E256,E256),"0000")</f>
        <v>NAV-RES-0017</v>
      </c>
      <c r="B256" s="322" t="s">
        <v>37</v>
      </c>
      <c r="C256" s="322" t="s">
        <v>37</v>
      </c>
      <c r="D256" s="323" t="s">
        <v>442</v>
      </c>
      <c r="E256" s="132" t="s">
        <v>24</v>
      </c>
      <c r="F256" s="97" t="str">
        <f ca="1">IF(OR(Market_Data[[#This Row],[Start Date]]="",Market_Data[[#This Row],[Completion Date]]=""),"Needs Validation",IF(Market_Data[[#This Row],[Start Date]]&gt;TODAY(),"Planned",IF(Market_Data[[#This Row],[Completion Date]]&lt;TODAY(),"Completed","Ongoing")))</f>
        <v>Completed</v>
      </c>
      <c r="G256" s="324">
        <v>43473</v>
      </c>
      <c r="H256" s="324">
        <v>45838</v>
      </c>
      <c r="I256" s="325">
        <v>47300</v>
      </c>
      <c r="J25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6" s="133">
        <f>_xlfn.XLOOKUP(Market_Data[[#This Row],[Project Type]],tbl_assumptions_market[Project Category (RERA)],tbl_assumptions_market[Concrete Intensity
(m³ / sq m BUA)],"",0)</f>
        <v>0.45</v>
      </c>
      <c r="L256" s="134">
        <f>ROUND(Market_Data[[#This Row],[Estimated Built Up Area (sq m)]]*Market_Data[[#This Row],[Concrete Intensity
(m³ / sq m)]],0)</f>
        <v>21285</v>
      </c>
      <c r="M256" s="135">
        <f>_xlfn.XLOOKUP(Market_Data[[#This Row],[District]],tbl_district_price[District],tbl_district_price[Standard Price
(INR/m³)],"",0)</f>
        <v>5500</v>
      </c>
      <c r="N256" s="364">
        <f>IF(OR(Market_Data[[#This Row],[Estimated Concrete Demand (m³)]]="",Market_Data[[#This Row],[Avg Price per (₹ / m³)]]=""),"",Market_Data[[#This Row],[Estimated Concrete Demand (m³)]]*Market_Data[[#This Row],[Avg Price per (₹ / m³)]]/10000000)</f>
        <v>11.70675</v>
      </c>
      <c r="O256" s="97" t="str">
        <f>IF(Market_Data[[#This Row],[Estimated Concrete Demand (m³)]]="","",
IF(Market_Data[[#This Row],[Estimated Concrete Demand (m³)]]&lt;10000,"Small",
IF(Market_Data[[#This Row],[Estimated Concrete Demand (m³)]]&lt;25000,"Medium",
IF(Market_Data[[#This Row],[Estimated Concrete Demand (m³)]]&lt;100000,"Large","Mega"))))</f>
        <v>Medium</v>
      </c>
      <c r="P256" s="287" t="str">
        <f t="shared" si="5"/>
        <v>GujRERA</v>
      </c>
    </row>
    <row r="257" spans="1:16">
      <c r="A257" s="129" t="str">
        <f>_xlfn.XLOOKUP(B257,$S$9:$S$14,$T$9:$T$14)&amp;"-"&amp;
IF(E257="Residential/Group Housing","RES",
IF(E257="Commercial","COM",
IF(E257="Mixed Development","MIX",
IF(E257="Plotted Development","PLT","OTH"))))
&amp;"-"&amp;TEXT(COUNTIFS($B$9:B257,B257,$E$9:E257,E257),"0000")</f>
        <v>NAV-MIX-0031</v>
      </c>
      <c r="B257" s="322" t="s">
        <v>37</v>
      </c>
      <c r="C257" s="322" t="s">
        <v>37</v>
      </c>
      <c r="D257" s="323" t="s">
        <v>443</v>
      </c>
      <c r="E257" s="132" t="s">
        <v>25</v>
      </c>
      <c r="F257" s="97" t="str">
        <f ca="1">IF(OR(Market_Data[[#This Row],[Start Date]]="",Market_Data[[#This Row],[Completion Date]]=""),"Needs Validation",IF(Market_Data[[#This Row],[Start Date]]&gt;TODAY(),"Planned",IF(Market_Data[[#This Row],[Completion Date]]&lt;TODAY(),"Completed","Ongoing")))</f>
        <v>Ongoing</v>
      </c>
      <c r="G257" s="324">
        <v>45758</v>
      </c>
      <c r="H257" s="324">
        <v>48213</v>
      </c>
      <c r="I257" s="325">
        <v>18200</v>
      </c>
      <c r="J25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7" s="133">
        <f>_xlfn.XLOOKUP(Market_Data[[#This Row],[Project Type]],tbl_assumptions_market[Project Category (RERA)],tbl_assumptions_market[Concrete Intensity
(m³ / sq m BUA)],"",0)</f>
        <v>0.42</v>
      </c>
      <c r="L257" s="134">
        <f>ROUND(Market_Data[[#This Row],[Estimated Built Up Area (sq m)]]*Market_Data[[#This Row],[Concrete Intensity
(m³ / sq m)]],0)</f>
        <v>7644</v>
      </c>
      <c r="M257" s="135">
        <f>_xlfn.XLOOKUP(Market_Data[[#This Row],[District]],tbl_district_price[District],tbl_district_price[Standard Price
(INR/m³)],"",0)</f>
        <v>5500</v>
      </c>
      <c r="N257" s="364">
        <f>IF(OR(Market_Data[[#This Row],[Estimated Concrete Demand (m³)]]="",Market_Data[[#This Row],[Avg Price per (₹ / m³)]]=""),"",Market_Data[[#This Row],[Estimated Concrete Demand (m³)]]*Market_Data[[#This Row],[Avg Price per (₹ / m³)]]/10000000)</f>
        <v>4.2042000000000002</v>
      </c>
      <c r="O257" s="97" t="str">
        <f>IF(Market_Data[[#This Row],[Estimated Concrete Demand (m³)]]="","",
IF(Market_Data[[#This Row],[Estimated Concrete Demand (m³)]]&lt;10000,"Small",
IF(Market_Data[[#This Row],[Estimated Concrete Demand (m³)]]&lt;25000,"Medium",
IF(Market_Data[[#This Row],[Estimated Concrete Demand (m³)]]&lt;100000,"Large","Mega"))))</f>
        <v>Small</v>
      </c>
      <c r="P257" s="287" t="str">
        <f t="shared" si="5"/>
        <v>GujRERA</v>
      </c>
    </row>
    <row r="258" spans="1:16">
      <c r="A258" s="129" t="str">
        <f>_xlfn.XLOOKUP(B258,$S$9:$S$14,$T$9:$T$14)&amp;"-"&amp;
IF(E258="Residential/Group Housing","RES",
IF(E258="Commercial","COM",
IF(E258="Mixed Development","MIX",
IF(E258="Plotted Development","PLT","OTH"))))
&amp;"-"&amp;TEXT(COUNTIFS($B$9:B258,B258,$E$9:E258,E258),"0000")</f>
        <v>NAV-RES-0018</v>
      </c>
      <c r="B258" s="322" t="s">
        <v>37</v>
      </c>
      <c r="C258" s="322" t="s">
        <v>37</v>
      </c>
      <c r="D258" s="323" t="s">
        <v>444</v>
      </c>
      <c r="E258" s="132" t="s">
        <v>24</v>
      </c>
      <c r="F258" s="97" t="str">
        <f ca="1">IF(OR(Market_Data[[#This Row],[Start Date]]="",Market_Data[[#This Row],[Completion Date]]=""),"Needs Validation",IF(Market_Data[[#This Row],[Start Date]]&gt;TODAY(),"Planned",IF(Market_Data[[#This Row],[Completion Date]]&lt;TODAY(),"Completed","Ongoing")))</f>
        <v>Completed</v>
      </c>
      <c r="G258" s="324">
        <v>42815</v>
      </c>
      <c r="H258" s="324">
        <v>44733</v>
      </c>
      <c r="I258" s="325">
        <v>32500</v>
      </c>
      <c r="J25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8" s="133">
        <f>_xlfn.XLOOKUP(Market_Data[[#This Row],[Project Type]],tbl_assumptions_market[Project Category (RERA)],tbl_assumptions_market[Concrete Intensity
(m³ / sq m BUA)],"",0)</f>
        <v>0.45</v>
      </c>
      <c r="L258" s="134">
        <f>ROUND(Market_Data[[#This Row],[Estimated Built Up Area (sq m)]]*Market_Data[[#This Row],[Concrete Intensity
(m³ / sq m)]],0)</f>
        <v>14625</v>
      </c>
      <c r="M258" s="135">
        <f>_xlfn.XLOOKUP(Market_Data[[#This Row],[District]],tbl_district_price[District],tbl_district_price[Standard Price
(INR/m³)],"",0)</f>
        <v>5500</v>
      </c>
      <c r="N258" s="364">
        <f>IF(OR(Market_Data[[#This Row],[Estimated Concrete Demand (m³)]]="",Market_Data[[#This Row],[Avg Price per (₹ / m³)]]=""),"",Market_Data[[#This Row],[Estimated Concrete Demand (m³)]]*Market_Data[[#This Row],[Avg Price per (₹ / m³)]]/10000000)</f>
        <v>8.0437499999999993</v>
      </c>
      <c r="O258" s="97" t="str">
        <f>IF(Market_Data[[#This Row],[Estimated Concrete Demand (m³)]]="","",
IF(Market_Data[[#This Row],[Estimated Concrete Demand (m³)]]&lt;10000,"Small",
IF(Market_Data[[#This Row],[Estimated Concrete Demand (m³)]]&lt;25000,"Medium",
IF(Market_Data[[#This Row],[Estimated Concrete Demand (m³)]]&lt;100000,"Large","Mega"))))</f>
        <v>Medium</v>
      </c>
      <c r="P258" s="287" t="str">
        <f t="shared" si="5"/>
        <v>GujRERA</v>
      </c>
    </row>
    <row r="259" spans="1:16">
      <c r="A259" s="129" t="str">
        <f>_xlfn.XLOOKUP(B259,$S$9:$S$14,$T$9:$T$14)&amp;"-"&amp;
IF(E259="Residential/Group Housing","RES",
IF(E259="Commercial","COM",
IF(E259="Mixed Development","MIX",
IF(E259="Plotted Development","PLT","OTH"))))
&amp;"-"&amp;TEXT(COUNTIFS($B$9:B259,B259,$E$9:E259,E259),"0000")</f>
        <v>NAV-MIX-0032</v>
      </c>
      <c r="B259" s="322" t="s">
        <v>37</v>
      </c>
      <c r="C259" s="322" t="s">
        <v>37</v>
      </c>
      <c r="D259" s="323" t="s">
        <v>445</v>
      </c>
      <c r="E259" s="132" t="s">
        <v>25</v>
      </c>
      <c r="F259" s="97" t="str">
        <f ca="1">IF(OR(Market_Data[[#This Row],[Start Date]]="",Market_Data[[#This Row],[Completion Date]]=""),"Needs Validation",IF(Market_Data[[#This Row],[Start Date]]&gt;TODAY(),"Planned",IF(Market_Data[[#This Row],[Completion Date]]&lt;TODAY(),"Completed","Ongoing")))</f>
        <v>Completed</v>
      </c>
      <c r="G259" s="324">
        <v>42895</v>
      </c>
      <c r="H259" s="324">
        <v>44264</v>
      </c>
      <c r="I259" s="325">
        <v>32100</v>
      </c>
      <c r="J25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9" s="133">
        <f>_xlfn.XLOOKUP(Market_Data[[#This Row],[Project Type]],tbl_assumptions_market[Project Category (RERA)],tbl_assumptions_market[Concrete Intensity
(m³ / sq m BUA)],"",0)</f>
        <v>0.42</v>
      </c>
      <c r="L259" s="134">
        <f>ROUND(Market_Data[[#This Row],[Estimated Built Up Area (sq m)]]*Market_Data[[#This Row],[Concrete Intensity
(m³ / sq m)]],0)</f>
        <v>13482</v>
      </c>
      <c r="M259" s="135">
        <f>_xlfn.XLOOKUP(Market_Data[[#This Row],[District]],tbl_district_price[District],tbl_district_price[Standard Price
(INR/m³)],"",0)</f>
        <v>5500</v>
      </c>
      <c r="N259" s="364">
        <f>IF(OR(Market_Data[[#This Row],[Estimated Concrete Demand (m³)]]="",Market_Data[[#This Row],[Avg Price per (₹ / m³)]]=""),"",Market_Data[[#This Row],[Estimated Concrete Demand (m³)]]*Market_Data[[#This Row],[Avg Price per (₹ / m³)]]/10000000)</f>
        <v>7.4150999999999998</v>
      </c>
      <c r="O259" s="97" t="str">
        <f>IF(Market_Data[[#This Row],[Estimated Concrete Demand (m³)]]="","",
IF(Market_Data[[#This Row],[Estimated Concrete Demand (m³)]]&lt;10000,"Small",
IF(Market_Data[[#This Row],[Estimated Concrete Demand (m³)]]&lt;25000,"Medium",
IF(Market_Data[[#This Row],[Estimated Concrete Demand (m³)]]&lt;100000,"Large","Mega"))))</f>
        <v>Medium</v>
      </c>
      <c r="P259" s="287" t="str">
        <f t="shared" si="5"/>
        <v>GujRERA</v>
      </c>
    </row>
    <row r="260" spans="1:16">
      <c r="A260" s="129" t="str">
        <f>_xlfn.XLOOKUP(B260,$S$9:$S$14,$T$9:$T$14)&amp;"-"&amp;
IF(E260="Residential/Group Housing","RES",
IF(E260="Commercial","COM",
IF(E260="Mixed Development","MIX",
IF(E260="Plotted Development","PLT","OTH"))))
&amp;"-"&amp;TEXT(COUNTIFS($B$9:B260,B260,$E$9:E260,E260),"0000")</f>
        <v>NAV-MIX-0033</v>
      </c>
      <c r="B260" s="322" t="s">
        <v>37</v>
      </c>
      <c r="C260" s="322" t="s">
        <v>37</v>
      </c>
      <c r="D260" s="323" t="s">
        <v>446</v>
      </c>
      <c r="E260" s="132" t="s">
        <v>25</v>
      </c>
      <c r="F260" s="97" t="str">
        <f ca="1">IF(OR(Market_Data[[#This Row],[Start Date]]="",Market_Data[[#This Row],[Completion Date]]=""),"Needs Validation",IF(Market_Data[[#This Row],[Start Date]]&gt;TODAY(),"Planned",IF(Market_Data[[#This Row],[Completion Date]]&lt;TODAY(),"Completed","Ongoing")))</f>
        <v>Completed</v>
      </c>
      <c r="G260" s="324">
        <v>43348</v>
      </c>
      <c r="H260" s="324">
        <v>46092</v>
      </c>
      <c r="I260" s="325">
        <v>21300</v>
      </c>
      <c r="J26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0" s="133">
        <f>_xlfn.XLOOKUP(Market_Data[[#This Row],[Project Type]],tbl_assumptions_market[Project Category (RERA)],tbl_assumptions_market[Concrete Intensity
(m³ / sq m BUA)],"",0)</f>
        <v>0.42</v>
      </c>
      <c r="L260" s="134">
        <f>ROUND(Market_Data[[#This Row],[Estimated Built Up Area (sq m)]]*Market_Data[[#This Row],[Concrete Intensity
(m³ / sq m)]],0)</f>
        <v>8946</v>
      </c>
      <c r="M260" s="135">
        <f>_xlfn.XLOOKUP(Market_Data[[#This Row],[District]],tbl_district_price[District],tbl_district_price[Standard Price
(INR/m³)],"",0)</f>
        <v>5500</v>
      </c>
      <c r="N260" s="364">
        <f>IF(OR(Market_Data[[#This Row],[Estimated Concrete Demand (m³)]]="",Market_Data[[#This Row],[Avg Price per (₹ / m³)]]=""),"",Market_Data[[#This Row],[Estimated Concrete Demand (m³)]]*Market_Data[[#This Row],[Avg Price per (₹ / m³)]]/10000000)</f>
        <v>4.9203000000000001</v>
      </c>
      <c r="O260" s="97" t="str">
        <f>IF(Market_Data[[#This Row],[Estimated Concrete Demand (m³)]]="","",
IF(Market_Data[[#This Row],[Estimated Concrete Demand (m³)]]&lt;10000,"Small",
IF(Market_Data[[#This Row],[Estimated Concrete Demand (m³)]]&lt;25000,"Medium",
IF(Market_Data[[#This Row],[Estimated Concrete Demand (m³)]]&lt;100000,"Large","Mega"))))</f>
        <v>Small</v>
      </c>
      <c r="P260" s="287" t="str">
        <f t="shared" si="5"/>
        <v>GujRERA</v>
      </c>
    </row>
    <row r="261" spans="1:16">
      <c r="A261" s="129" t="str">
        <f>_xlfn.XLOOKUP(B261,$S$9:$S$14,$T$9:$T$14)&amp;"-"&amp;
IF(E261="Residential/Group Housing","RES",
IF(E261="Commercial","COM",
IF(E261="Mixed Development","MIX",
IF(E261="Plotted Development","PLT","OTH"))))
&amp;"-"&amp;TEXT(COUNTIFS($B$9:B261,B261,$E$9:E261,E261),"0000")</f>
        <v>NAV-MIX-0034</v>
      </c>
      <c r="B261" s="322" t="s">
        <v>37</v>
      </c>
      <c r="C261" s="322" t="s">
        <v>37</v>
      </c>
      <c r="D261" s="323" t="s">
        <v>447</v>
      </c>
      <c r="E261" s="132" t="s">
        <v>25</v>
      </c>
      <c r="F261" s="97" t="str">
        <f ca="1">IF(OR(Market_Data[[#This Row],[Start Date]]="",Market_Data[[#This Row],[Completion Date]]=""),"Needs Validation",IF(Market_Data[[#This Row],[Start Date]]&gt;TODAY(),"Planned",IF(Market_Data[[#This Row],[Completion Date]]&lt;TODAY(),"Completed","Ongoing")))</f>
        <v>Ongoing</v>
      </c>
      <c r="G261" s="324">
        <v>44621</v>
      </c>
      <c r="H261" s="324">
        <v>47848</v>
      </c>
      <c r="I261" s="325">
        <v>46900</v>
      </c>
      <c r="J26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1" s="133">
        <f>_xlfn.XLOOKUP(Market_Data[[#This Row],[Project Type]],tbl_assumptions_market[Project Category (RERA)],tbl_assumptions_market[Concrete Intensity
(m³ / sq m BUA)],"",0)</f>
        <v>0.42</v>
      </c>
      <c r="L261" s="134">
        <f>ROUND(Market_Data[[#This Row],[Estimated Built Up Area (sq m)]]*Market_Data[[#This Row],[Concrete Intensity
(m³ / sq m)]],0)</f>
        <v>19698</v>
      </c>
      <c r="M261" s="135">
        <f>_xlfn.XLOOKUP(Market_Data[[#This Row],[District]],tbl_district_price[District],tbl_district_price[Standard Price
(INR/m³)],"",0)</f>
        <v>5500</v>
      </c>
      <c r="N261" s="364">
        <f>IF(OR(Market_Data[[#This Row],[Estimated Concrete Demand (m³)]]="",Market_Data[[#This Row],[Avg Price per (₹ / m³)]]=""),"",Market_Data[[#This Row],[Estimated Concrete Demand (m³)]]*Market_Data[[#This Row],[Avg Price per (₹ / m³)]]/10000000)</f>
        <v>10.8339</v>
      </c>
      <c r="O261" s="97" t="str">
        <f>IF(Market_Data[[#This Row],[Estimated Concrete Demand (m³)]]="","",
IF(Market_Data[[#This Row],[Estimated Concrete Demand (m³)]]&lt;10000,"Small",
IF(Market_Data[[#This Row],[Estimated Concrete Demand (m³)]]&lt;25000,"Medium",
IF(Market_Data[[#This Row],[Estimated Concrete Demand (m³)]]&lt;100000,"Large","Mega"))))</f>
        <v>Medium</v>
      </c>
      <c r="P261" s="287" t="str">
        <f t="shared" si="5"/>
        <v>GujRERA</v>
      </c>
    </row>
    <row r="262" spans="1:16">
      <c r="A262" s="129" t="str">
        <f>_xlfn.XLOOKUP(B262,$S$9:$S$14,$T$9:$T$14)&amp;"-"&amp;
IF(E262="Residential/Group Housing","RES",
IF(E262="Commercial","COM",
IF(E262="Mixed Development","MIX",
IF(E262="Plotted Development","PLT","OTH"))))
&amp;"-"&amp;TEXT(COUNTIFS($B$9:B262,B262,$E$9:E262,E262),"0000")</f>
        <v>NAV-RES-0019</v>
      </c>
      <c r="B262" s="322" t="s">
        <v>37</v>
      </c>
      <c r="C262" s="322" t="s">
        <v>37</v>
      </c>
      <c r="D262" s="323" t="s">
        <v>448</v>
      </c>
      <c r="E262" s="132" t="s">
        <v>24</v>
      </c>
      <c r="F262" s="97" t="str">
        <f ca="1">IF(OR(Market_Data[[#This Row],[Start Date]]="",Market_Data[[#This Row],[Completion Date]]=""),"Needs Validation",IF(Market_Data[[#This Row],[Start Date]]&gt;TODAY(),"Planned",IF(Market_Data[[#This Row],[Completion Date]]&lt;TODAY(),"Completed","Ongoing")))</f>
        <v>Ongoing</v>
      </c>
      <c r="G262" s="324">
        <v>44755</v>
      </c>
      <c r="H262" s="324">
        <v>46477</v>
      </c>
      <c r="I262" s="325">
        <v>20400</v>
      </c>
      <c r="J26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2" s="133">
        <f>_xlfn.XLOOKUP(Market_Data[[#This Row],[Project Type]],tbl_assumptions_market[Project Category (RERA)],tbl_assumptions_market[Concrete Intensity
(m³ / sq m BUA)],"",0)</f>
        <v>0.45</v>
      </c>
      <c r="L262" s="134">
        <f>ROUND(Market_Data[[#This Row],[Estimated Built Up Area (sq m)]]*Market_Data[[#This Row],[Concrete Intensity
(m³ / sq m)]],0)</f>
        <v>9180</v>
      </c>
      <c r="M262" s="135">
        <f>_xlfn.XLOOKUP(Market_Data[[#This Row],[District]],tbl_district_price[District],tbl_district_price[Standard Price
(INR/m³)],"",0)</f>
        <v>5500</v>
      </c>
      <c r="N262" s="364">
        <f>IF(OR(Market_Data[[#This Row],[Estimated Concrete Demand (m³)]]="",Market_Data[[#This Row],[Avg Price per (₹ / m³)]]=""),"",Market_Data[[#This Row],[Estimated Concrete Demand (m³)]]*Market_Data[[#This Row],[Avg Price per (₹ / m³)]]/10000000)</f>
        <v>5.0490000000000004</v>
      </c>
      <c r="O262" s="97" t="str">
        <f>IF(Market_Data[[#This Row],[Estimated Concrete Demand (m³)]]="","",
IF(Market_Data[[#This Row],[Estimated Concrete Demand (m³)]]&lt;10000,"Small",
IF(Market_Data[[#This Row],[Estimated Concrete Demand (m³)]]&lt;25000,"Medium",
IF(Market_Data[[#This Row],[Estimated Concrete Demand (m³)]]&lt;100000,"Large","Mega"))))</f>
        <v>Small</v>
      </c>
      <c r="P262" s="287" t="str">
        <f t="shared" si="5"/>
        <v>GujRERA</v>
      </c>
    </row>
    <row r="263" spans="1:16">
      <c r="A263" s="129" t="str">
        <f>_xlfn.XLOOKUP(B263,$S$9:$S$14,$T$9:$T$14)&amp;"-"&amp;
IF(E263="Residential/Group Housing","RES",
IF(E263="Commercial","COM",
IF(E263="Mixed Development","MIX",
IF(E263="Plotted Development","PLT","OTH"))))
&amp;"-"&amp;TEXT(COUNTIFS($B$9:B263,B263,$E$9:E263,E263),"0000")</f>
        <v>NAV-MIX-0035</v>
      </c>
      <c r="B263" s="322" t="s">
        <v>37</v>
      </c>
      <c r="C263" s="322" t="s">
        <v>37</v>
      </c>
      <c r="D263" s="323" t="s">
        <v>449</v>
      </c>
      <c r="E263" s="132" t="s">
        <v>25</v>
      </c>
      <c r="F263" s="97" t="str">
        <f ca="1">IF(OR(Market_Data[[#This Row],[Start Date]]="",Market_Data[[#This Row],[Completion Date]]=""),"Needs Validation",IF(Market_Data[[#This Row],[Start Date]]&gt;TODAY(),"Planned",IF(Market_Data[[#This Row],[Completion Date]]&lt;TODAY(),"Completed","Ongoing")))</f>
        <v>Ongoing</v>
      </c>
      <c r="G263" s="324">
        <v>45945</v>
      </c>
      <c r="H263" s="324">
        <v>48944</v>
      </c>
      <c r="I263" s="325">
        <v>32900</v>
      </c>
      <c r="J26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3" s="133">
        <f>_xlfn.XLOOKUP(Market_Data[[#This Row],[Project Type]],tbl_assumptions_market[Project Category (RERA)],tbl_assumptions_market[Concrete Intensity
(m³ / sq m BUA)],"",0)</f>
        <v>0.42</v>
      </c>
      <c r="L263" s="134">
        <f>ROUND(Market_Data[[#This Row],[Estimated Built Up Area (sq m)]]*Market_Data[[#This Row],[Concrete Intensity
(m³ / sq m)]],0)</f>
        <v>13818</v>
      </c>
      <c r="M263" s="135">
        <f>_xlfn.XLOOKUP(Market_Data[[#This Row],[District]],tbl_district_price[District],tbl_district_price[Standard Price
(INR/m³)],"",0)</f>
        <v>5500</v>
      </c>
      <c r="N263" s="364">
        <f>IF(OR(Market_Data[[#This Row],[Estimated Concrete Demand (m³)]]="",Market_Data[[#This Row],[Avg Price per (₹ / m³)]]=""),"",Market_Data[[#This Row],[Estimated Concrete Demand (m³)]]*Market_Data[[#This Row],[Avg Price per (₹ / m³)]]/10000000)</f>
        <v>7.5998999999999999</v>
      </c>
      <c r="O263" s="97" t="str">
        <f>IF(Market_Data[[#This Row],[Estimated Concrete Demand (m³)]]="","",
IF(Market_Data[[#This Row],[Estimated Concrete Demand (m³)]]&lt;10000,"Small",
IF(Market_Data[[#This Row],[Estimated Concrete Demand (m³)]]&lt;25000,"Medium",
IF(Market_Data[[#This Row],[Estimated Concrete Demand (m³)]]&lt;100000,"Large","Mega"))))</f>
        <v>Medium</v>
      </c>
      <c r="P263" s="287" t="str">
        <f t="shared" si="5"/>
        <v>GujRERA</v>
      </c>
    </row>
    <row r="264" spans="1:16">
      <c r="A264" s="129" t="str">
        <f>_xlfn.XLOOKUP(B264,$S$9:$S$14,$T$9:$T$14)&amp;"-"&amp;
IF(E264="Residential/Group Housing","RES",
IF(E264="Commercial","COM",
IF(E264="Mixed Development","MIX",
IF(E264="Plotted Development","PLT","OTH"))))
&amp;"-"&amp;TEXT(COUNTIFS($B$9:B264,B264,$E$9:E264,E264),"0000")</f>
        <v>NAV-RES-0020</v>
      </c>
      <c r="B264" s="322" t="s">
        <v>37</v>
      </c>
      <c r="C264" s="322" t="s">
        <v>37</v>
      </c>
      <c r="D264" s="323" t="s">
        <v>450</v>
      </c>
      <c r="E264" s="132" t="s">
        <v>24</v>
      </c>
      <c r="F264" s="97" t="str">
        <f ca="1">IF(OR(Market_Data[[#This Row],[Start Date]]="",Market_Data[[#This Row],[Completion Date]]=""),"Needs Validation",IF(Market_Data[[#This Row],[Start Date]]&gt;TODAY(),"Planned",IF(Market_Data[[#This Row],[Completion Date]]&lt;TODAY(),"Completed","Ongoing")))</f>
        <v>Completed</v>
      </c>
      <c r="G264" s="324">
        <v>42206</v>
      </c>
      <c r="H264" s="324">
        <v>44926</v>
      </c>
      <c r="I264" s="325">
        <v>34500</v>
      </c>
      <c r="J26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4" s="133">
        <f>_xlfn.XLOOKUP(Market_Data[[#This Row],[Project Type]],tbl_assumptions_market[Project Category (RERA)],tbl_assumptions_market[Concrete Intensity
(m³ / sq m BUA)],"",0)</f>
        <v>0.45</v>
      </c>
      <c r="L264" s="134">
        <f>ROUND(Market_Data[[#This Row],[Estimated Built Up Area (sq m)]]*Market_Data[[#This Row],[Concrete Intensity
(m³ / sq m)]],0)</f>
        <v>15525</v>
      </c>
      <c r="M264" s="135">
        <f>_xlfn.XLOOKUP(Market_Data[[#This Row],[District]],tbl_district_price[District],tbl_district_price[Standard Price
(INR/m³)],"",0)</f>
        <v>5500</v>
      </c>
      <c r="N264" s="364">
        <f>IF(OR(Market_Data[[#This Row],[Estimated Concrete Demand (m³)]]="",Market_Data[[#This Row],[Avg Price per (₹ / m³)]]=""),"",Market_Data[[#This Row],[Estimated Concrete Demand (m³)]]*Market_Data[[#This Row],[Avg Price per (₹ / m³)]]/10000000)</f>
        <v>8.5387500000000003</v>
      </c>
      <c r="O264" s="97" t="str">
        <f>IF(Market_Data[[#This Row],[Estimated Concrete Demand (m³)]]="","",
IF(Market_Data[[#This Row],[Estimated Concrete Demand (m³)]]&lt;10000,"Small",
IF(Market_Data[[#This Row],[Estimated Concrete Demand (m³)]]&lt;25000,"Medium",
IF(Market_Data[[#This Row],[Estimated Concrete Demand (m³)]]&lt;100000,"Large","Mega"))))</f>
        <v>Medium</v>
      </c>
      <c r="P264" s="287" t="str">
        <f t="shared" si="5"/>
        <v>GujRERA</v>
      </c>
    </row>
    <row r="265" spans="1:16">
      <c r="A265" s="129" t="str">
        <f>_xlfn.XLOOKUP(B265,$S$9:$S$14,$T$9:$T$14)&amp;"-"&amp;
IF(E265="Residential/Group Housing","RES",
IF(E265="Commercial","COM",
IF(E265="Mixed Development","MIX",
IF(E265="Plotted Development","PLT","OTH"))))
&amp;"-"&amp;TEXT(COUNTIFS($B$9:B265,B265,$E$9:E265,E265),"0000")</f>
        <v>NAV-RES-0021</v>
      </c>
      <c r="B265" s="322" t="s">
        <v>37</v>
      </c>
      <c r="C265" s="322" t="s">
        <v>37</v>
      </c>
      <c r="D265" s="323" t="s">
        <v>451</v>
      </c>
      <c r="E265" s="132" t="s">
        <v>24</v>
      </c>
      <c r="F265" s="97" t="str">
        <f ca="1">IF(OR(Market_Data[[#This Row],[Start Date]]="",Market_Data[[#This Row],[Completion Date]]=""),"Needs Validation",IF(Market_Data[[#This Row],[Start Date]]&gt;TODAY(),"Planned",IF(Market_Data[[#This Row],[Completion Date]]&lt;TODAY(),"Completed","Ongoing")))</f>
        <v>Completed</v>
      </c>
      <c r="G265" s="324">
        <v>44075</v>
      </c>
      <c r="H265" s="324">
        <v>45291</v>
      </c>
      <c r="I265" s="325">
        <v>30600</v>
      </c>
      <c r="J26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5" s="133">
        <f>_xlfn.XLOOKUP(Market_Data[[#This Row],[Project Type]],tbl_assumptions_market[Project Category (RERA)],tbl_assumptions_market[Concrete Intensity
(m³ / sq m BUA)],"",0)</f>
        <v>0.45</v>
      </c>
      <c r="L265" s="134">
        <f>ROUND(Market_Data[[#This Row],[Estimated Built Up Area (sq m)]]*Market_Data[[#This Row],[Concrete Intensity
(m³ / sq m)]],0)</f>
        <v>13770</v>
      </c>
      <c r="M265" s="135">
        <f>_xlfn.XLOOKUP(Market_Data[[#This Row],[District]],tbl_district_price[District],tbl_district_price[Standard Price
(INR/m³)],"",0)</f>
        <v>5500</v>
      </c>
      <c r="N265" s="364">
        <f>IF(OR(Market_Data[[#This Row],[Estimated Concrete Demand (m³)]]="",Market_Data[[#This Row],[Avg Price per (₹ / m³)]]=""),"",Market_Data[[#This Row],[Estimated Concrete Demand (m³)]]*Market_Data[[#This Row],[Avg Price per (₹ / m³)]]/10000000)</f>
        <v>7.5735000000000001</v>
      </c>
      <c r="O265" s="97" t="str">
        <f>IF(Market_Data[[#This Row],[Estimated Concrete Demand (m³)]]="","",
IF(Market_Data[[#This Row],[Estimated Concrete Demand (m³)]]&lt;10000,"Small",
IF(Market_Data[[#This Row],[Estimated Concrete Demand (m³)]]&lt;25000,"Medium",
IF(Market_Data[[#This Row],[Estimated Concrete Demand (m³)]]&lt;100000,"Large","Mega"))))</f>
        <v>Medium</v>
      </c>
      <c r="P265" s="287" t="str">
        <f t="shared" si="5"/>
        <v>GujRERA</v>
      </c>
    </row>
    <row r="266" spans="1:16">
      <c r="A266" s="129" t="str">
        <f>_xlfn.XLOOKUP(B266,$S$9:$S$14,$T$9:$T$14)&amp;"-"&amp;
IF(E266="Residential/Group Housing","RES",
IF(E266="Commercial","COM",
IF(E266="Mixed Development","MIX",
IF(E266="Plotted Development","PLT","OTH"))))
&amp;"-"&amp;TEXT(COUNTIFS($B$9:B266,B266,$E$9:E266,E266),"0000")</f>
        <v>NAV-RES-0022</v>
      </c>
      <c r="B266" s="322" t="s">
        <v>37</v>
      </c>
      <c r="C266" s="322" t="s">
        <v>37</v>
      </c>
      <c r="D266" s="323" t="s">
        <v>452</v>
      </c>
      <c r="E266" s="132" t="s">
        <v>24</v>
      </c>
      <c r="F266" s="97" t="str">
        <f ca="1">IF(OR(Market_Data[[#This Row],[Start Date]]="",Market_Data[[#This Row],[Completion Date]]=""),"Needs Validation",IF(Market_Data[[#This Row],[Start Date]]&gt;TODAY(),"Planned",IF(Market_Data[[#This Row],[Completion Date]]&lt;TODAY(),"Completed","Ongoing")))</f>
        <v>Completed</v>
      </c>
      <c r="G266" s="324">
        <v>43671</v>
      </c>
      <c r="H266" s="324">
        <v>45312</v>
      </c>
      <c r="I266" s="325">
        <v>58000</v>
      </c>
      <c r="J26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6" s="133">
        <f>_xlfn.XLOOKUP(Market_Data[[#This Row],[Project Type]],tbl_assumptions_market[Project Category (RERA)],tbl_assumptions_market[Concrete Intensity
(m³ / sq m BUA)],"",0)</f>
        <v>0.45</v>
      </c>
      <c r="L266" s="134">
        <f>ROUND(Market_Data[[#This Row],[Estimated Built Up Area (sq m)]]*Market_Data[[#This Row],[Concrete Intensity
(m³ / sq m)]],0)</f>
        <v>26100</v>
      </c>
      <c r="M266" s="135">
        <f>_xlfn.XLOOKUP(Market_Data[[#This Row],[District]],tbl_district_price[District],tbl_district_price[Standard Price
(INR/m³)],"",0)</f>
        <v>5500</v>
      </c>
      <c r="N266" s="364">
        <f>IF(OR(Market_Data[[#This Row],[Estimated Concrete Demand (m³)]]="",Market_Data[[#This Row],[Avg Price per (₹ / m³)]]=""),"",Market_Data[[#This Row],[Estimated Concrete Demand (m³)]]*Market_Data[[#This Row],[Avg Price per (₹ / m³)]]/10000000)</f>
        <v>14.355</v>
      </c>
      <c r="O266" s="97" t="str">
        <f>IF(Market_Data[[#This Row],[Estimated Concrete Demand (m³)]]="","",
IF(Market_Data[[#This Row],[Estimated Concrete Demand (m³)]]&lt;10000,"Small",
IF(Market_Data[[#This Row],[Estimated Concrete Demand (m³)]]&lt;25000,"Medium",
IF(Market_Data[[#This Row],[Estimated Concrete Demand (m³)]]&lt;100000,"Large","Mega"))))</f>
        <v>Large</v>
      </c>
      <c r="P266" s="287" t="str">
        <f t="shared" ref="P266:P329" si="6">HYPERLINK(
"https://gujrera.gujarat.gov.in",
"GujRERA")</f>
        <v>GujRERA</v>
      </c>
    </row>
    <row r="267" spans="1:16">
      <c r="A267" s="129" t="str">
        <f>_xlfn.XLOOKUP(B267,$S$9:$S$14,$T$9:$T$14)&amp;"-"&amp;
IF(E267="Residential/Group Housing","RES",
IF(E267="Commercial","COM",
IF(E267="Mixed Development","MIX",
IF(E267="Plotted Development","PLT","OTH"))))
&amp;"-"&amp;TEXT(COUNTIFS($B$9:B267,B267,$E$9:E267,E267),"0000")</f>
        <v>NAV-MIX-0036</v>
      </c>
      <c r="B267" s="322" t="s">
        <v>37</v>
      </c>
      <c r="C267" s="322" t="s">
        <v>37</v>
      </c>
      <c r="D267" s="323" t="s">
        <v>453</v>
      </c>
      <c r="E267" s="132" t="s">
        <v>25</v>
      </c>
      <c r="F267" s="97" t="str">
        <f ca="1">IF(OR(Market_Data[[#This Row],[Start Date]]="",Market_Data[[#This Row],[Completion Date]]=""),"Needs Validation",IF(Market_Data[[#This Row],[Start Date]]&gt;TODAY(),"Planned",IF(Market_Data[[#This Row],[Completion Date]]&lt;TODAY(),"Completed","Ongoing")))</f>
        <v>Completed</v>
      </c>
      <c r="G267" s="324">
        <v>43266</v>
      </c>
      <c r="H267" s="324">
        <v>45473</v>
      </c>
      <c r="I267" s="325">
        <v>38600</v>
      </c>
      <c r="J26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7" s="133">
        <f>_xlfn.XLOOKUP(Market_Data[[#This Row],[Project Type]],tbl_assumptions_market[Project Category (RERA)],tbl_assumptions_market[Concrete Intensity
(m³ / sq m BUA)],"",0)</f>
        <v>0.42</v>
      </c>
      <c r="L267" s="134">
        <f>ROUND(Market_Data[[#This Row],[Estimated Built Up Area (sq m)]]*Market_Data[[#This Row],[Concrete Intensity
(m³ / sq m)]],0)</f>
        <v>16212</v>
      </c>
      <c r="M267" s="135">
        <f>_xlfn.XLOOKUP(Market_Data[[#This Row],[District]],tbl_district_price[District],tbl_district_price[Standard Price
(INR/m³)],"",0)</f>
        <v>5500</v>
      </c>
      <c r="N267" s="364">
        <f>IF(OR(Market_Data[[#This Row],[Estimated Concrete Demand (m³)]]="",Market_Data[[#This Row],[Avg Price per (₹ / m³)]]=""),"",Market_Data[[#This Row],[Estimated Concrete Demand (m³)]]*Market_Data[[#This Row],[Avg Price per (₹ / m³)]]/10000000)</f>
        <v>8.9166000000000007</v>
      </c>
      <c r="O267" s="97" t="str">
        <f>IF(Market_Data[[#This Row],[Estimated Concrete Demand (m³)]]="","",
IF(Market_Data[[#This Row],[Estimated Concrete Demand (m³)]]&lt;10000,"Small",
IF(Market_Data[[#This Row],[Estimated Concrete Demand (m³)]]&lt;25000,"Medium",
IF(Market_Data[[#This Row],[Estimated Concrete Demand (m³)]]&lt;100000,"Large","Mega"))))</f>
        <v>Medium</v>
      </c>
      <c r="P267" s="287" t="str">
        <f t="shared" si="6"/>
        <v>GujRERA</v>
      </c>
    </row>
    <row r="268" spans="1:16">
      <c r="A268" s="129" t="str">
        <f>_xlfn.XLOOKUP(B268,$S$9:$S$14,$T$9:$T$14)&amp;"-"&amp;
IF(E268="Residential/Group Housing","RES",
IF(E268="Commercial","COM",
IF(E268="Mixed Development","MIX",
IF(E268="Plotted Development","PLT","OTH"))))
&amp;"-"&amp;TEXT(COUNTIFS($B$9:B268,B268,$E$9:E268,E268),"0000")</f>
        <v>NAV-RES-0023</v>
      </c>
      <c r="B268" s="322" t="s">
        <v>37</v>
      </c>
      <c r="C268" s="322" t="s">
        <v>37</v>
      </c>
      <c r="D268" s="323" t="s">
        <v>454</v>
      </c>
      <c r="E268" s="132" t="s">
        <v>24</v>
      </c>
      <c r="F268" s="97" t="str">
        <f ca="1">IF(OR(Market_Data[[#This Row],[Start Date]]="",Market_Data[[#This Row],[Completion Date]]=""),"Needs Validation",IF(Market_Data[[#This Row],[Start Date]]&gt;TODAY(),"Planned",IF(Market_Data[[#This Row],[Completion Date]]&lt;TODAY(),"Completed","Ongoing")))</f>
        <v>Completed</v>
      </c>
      <c r="G268" s="324">
        <v>43803</v>
      </c>
      <c r="H268" s="324">
        <v>45777</v>
      </c>
      <c r="I268" s="325">
        <v>7800</v>
      </c>
      <c r="J26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8" s="133">
        <f>_xlfn.XLOOKUP(Market_Data[[#This Row],[Project Type]],tbl_assumptions_market[Project Category (RERA)],tbl_assumptions_market[Concrete Intensity
(m³ / sq m BUA)],"",0)</f>
        <v>0.45</v>
      </c>
      <c r="L268" s="134">
        <f>ROUND(Market_Data[[#This Row],[Estimated Built Up Area (sq m)]]*Market_Data[[#This Row],[Concrete Intensity
(m³ / sq m)]],0)</f>
        <v>3510</v>
      </c>
      <c r="M268" s="135">
        <f>_xlfn.XLOOKUP(Market_Data[[#This Row],[District]],tbl_district_price[District],tbl_district_price[Standard Price
(INR/m³)],"",0)</f>
        <v>5500</v>
      </c>
      <c r="N268" s="364">
        <f>IF(OR(Market_Data[[#This Row],[Estimated Concrete Demand (m³)]]="",Market_Data[[#This Row],[Avg Price per (₹ / m³)]]=""),"",Market_Data[[#This Row],[Estimated Concrete Demand (m³)]]*Market_Data[[#This Row],[Avg Price per (₹ / m³)]]/10000000)</f>
        <v>1.9305000000000001</v>
      </c>
      <c r="O268" s="97" t="str">
        <f>IF(Market_Data[[#This Row],[Estimated Concrete Demand (m³)]]="","",
IF(Market_Data[[#This Row],[Estimated Concrete Demand (m³)]]&lt;10000,"Small",
IF(Market_Data[[#This Row],[Estimated Concrete Demand (m³)]]&lt;25000,"Medium",
IF(Market_Data[[#This Row],[Estimated Concrete Demand (m³)]]&lt;100000,"Large","Mega"))))</f>
        <v>Small</v>
      </c>
      <c r="P268" s="287" t="str">
        <f t="shared" si="6"/>
        <v>GujRERA</v>
      </c>
    </row>
    <row r="269" spans="1:16">
      <c r="A269" s="129" t="str">
        <f>_xlfn.XLOOKUP(B269,$S$9:$S$14,$T$9:$T$14)&amp;"-"&amp;
IF(E269="Residential/Group Housing","RES",
IF(E269="Commercial","COM",
IF(E269="Mixed Development","MIX",
IF(E269="Plotted Development","PLT","OTH"))))
&amp;"-"&amp;TEXT(COUNTIFS($B$9:B269,B269,$E$9:E269,E269),"0000")</f>
        <v>NAV-RES-0024</v>
      </c>
      <c r="B269" s="322" t="s">
        <v>37</v>
      </c>
      <c r="C269" s="322" t="s">
        <v>37</v>
      </c>
      <c r="D269" s="323" t="s">
        <v>455</v>
      </c>
      <c r="E269" s="132" t="s">
        <v>24</v>
      </c>
      <c r="F269" s="97" t="str">
        <f ca="1">IF(OR(Market_Data[[#This Row],[Start Date]]="",Market_Data[[#This Row],[Completion Date]]=""),"Needs Validation",IF(Market_Data[[#This Row],[Start Date]]&gt;TODAY(),"Planned",IF(Market_Data[[#This Row],[Completion Date]]&lt;TODAY(),"Completed","Ongoing")))</f>
        <v>Ongoing</v>
      </c>
      <c r="G269" s="324">
        <v>46014</v>
      </c>
      <c r="H269" s="324">
        <v>48213</v>
      </c>
      <c r="I269" s="325">
        <v>3200</v>
      </c>
      <c r="J26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9" s="133">
        <f>_xlfn.XLOOKUP(Market_Data[[#This Row],[Project Type]],tbl_assumptions_market[Project Category (RERA)],tbl_assumptions_market[Concrete Intensity
(m³ / sq m BUA)],"",0)</f>
        <v>0.45</v>
      </c>
      <c r="L269" s="134">
        <f>ROUND(Market_Data[[#This Row],[Estimated Built Up Area (sq m)]]*Market_Data[[#This Row],[Concrete Intensity
(m³ / sq m)]],0)</f>
        <v>1440</v>
      </c>
      <c r="M269" s="135">
        <f>_xlfn.XLOOKUP(Market_Data[[#This Row],[District]],tbl_district_price[District],tbl_district_price[Standard Price
(INR/m³)],"",0)</f>
        <v>5500</v>
      </c>
      <c r="N269" s="364">
        <f>IF(OR(Market_Data[[#This Row],[Estimated Concrete Demand (m³)]]="",Market_Data[[#This Row],[Avg Price per (₹ / m³)]]=""),"",Market_Data[[#This Row],[Estimated Concrete Demand (m³)]]*Market_Data[[#This Row],[Avg Price per (₹ / m³)]]/10000000)</f>
        <v>0.79200000000000004</v>
      </c>
      <c r="O269" s="97" t="str">
        <f>IF(Market_Data[[#This Row],[Estimated Concrete Demand (m³)]]="","",
IF(Market_Data[[#This Row],[Estimated Concrete Demand (m³)]]&lt;10000,"Small",
IF(Market_Data[[#This Row],[Estimated Concrete Demand (m³)]]&lt;25000,"Medium",
IF(Market_Data[[#This Row],[Estimated Concrete Demand (m³)]]&lt;100000,"Large","Mega"))))</f>
        <v>Small</v>
      </c>
      <c r="P269" s="287" t="str">
        <f t="shared" si="6"/>
        <v>GujRERA</v>
      </c>
    </row>
    <row r="270" spans="1:16">
      <c r="A270" s="129" t="str">
        <f>_xlfn.XLOOKUP(B270,$S$9:$S$14,$T$9:$T$14)&amp;"-"&amp;
IF(E270="Residential/Group Housing","RES",
IF(E270="Commercial","COM",
IF(E270="Mixed Development","MIX",
IF(E270="Plotted Development","PLT","OTH"))))
&amp;"-"&amp;TEXT(COUNTIFS($B$9:B270,B270,$E$9:E270,E270),"0000")</f>
        <v>NAV-RES-0025</v>
      </c>
      <c r="B270" s="322" t="s">
        <v>37</v>
      </c>
      <c r="C270" s="322" t="s">
        <v>37</v>
      </c>
      <c r="D270" s="323" t="s">
        <v>456</v>
      </c>
      <c r="E270" s="132" t="s">
        <v>24</v>
      </c>
      <c r="F270" s="97" t="str">
        <f ca="1">IF(OR(Market_Data[[#This Row],[Start Date]]="",Market_Data[[#This Row],[Completion Date]]=""),"Needs Validation",IF(Market_Data[[#This Row],[Start Date]]&gt;TODAY(),"Planned",IF(Market_Data[[#This Row],[Completion Date]]&lt;TODAY(),"Completed","Ongoing")))</f>
        <v>Completed</v>
      </c>
      <c r="G270" s="324">
        <v>41632</v>
      </c>
      <c r="H270" s="324">
        <v>44742</v>
      </c>
      <c r="I270" s="325">
        <v>3200</v>
      </c>
      <c r="J27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0" s="133">
        <f>_xlfn.XLOOKUP(Market_Data[[#This Row],[Project Type]],tbl_assumptions_market[Project Category (RERA)],tbl_assumptions_market[Concrete Intensity
(m³ / sq m BUA)],"",0)</f>
        <v>0.45</v>
      </c>
      <c r="L270" s="134">
        <f>ROUND(Market_Data[[#This Row],[Estimated Built Up Area (sq m)]]*Market_Data[[#This Row],[Concrete Intensity
(m³ / sq m)]],0)</f>
        <v>1440</v>
      </c>
      <c r="M270" s="135">
        <f>_xlfn.XLOOKUP(Market_Data[[#This Row],[District]],tbl_district_price[District],tbl_district_price[Standard Price
(INR/m³)],"",0)</f>
        <v>5500</v>
      </c>
      <c r="N270" s="364">
        <f>IF(OR(Market_Data[[#This Row],[Estimated Concrete Demand (m³)]]="",Market_Data[[#This Row],[Avg Price per (₹ / m³)]]=""),"",Market_Data[[#This Row],[Estimated Concrete Demand (m³)]]*Market_Data[[#This Row],[Avg Price per (₹ / m³)]]/10000000)</f>
        <v>0.79200000000000004</v>
      </c>
      <c r="O270" s="97" t="str">
        <f>IF(Market_Data[[#This Row],[Estimated Concrete Demand (m³)]]="","",
IF(Market_Data[[#This Row],[Estimated Concrete Demand (m³)]]&lt;10000,"Small",
IF(Market_Data[[#This Row],[Estimated Concrete Demand (m³)]]&lt;25000,"Medium",
IF(Market_Data[[#This Row],[Estimated Concrete Demand (m³)]]&lt;100000,"Large","Mega"))))</f>
        <v>Small</v>
      </c>
      <c r="P270" s="287" t="str">
        <f t="shared" si="6"/>
        <v>GujRERA</v>
      </c>
    </row>
    <row r="271" spans="1:16">
      <c r="A271" s="129" t="str">
        <f>_xlfn.XLOOKUP(B271,$S$9:$S$14,$T$9:$T$14)&amp;"-"&amp;
IF(E271="Residential/Group Housing","RES",
IF(E271="Commercial","COM",
IF(E271="Mixed Development","MIX",
IF(E271="Plotted Development","PLT","OTH"))))
&amp;"-"&amp;TEXT(COUNTIFS($B$9:B271,B271,$E$9:E271,E271),"0000")</f>
        <v>NAV-MIX-0037</v>
      </c>
      <c r="B271" s="322" t="s">
        <v>37</v>
      </c>
      <c r="C271" s="322" t="s">
        <v>37</v>
      </c>
      <c r="D271" s="323" t="s">
        <v>457</v>
      </c>
      <c r="E271" s="132" t="s">
        <v>25</v>
      </c>
      <c r="F271" s="97" t="str">
        <f ca="1">IF(OR(Market_Data[[#This Row],[Start Date]]="",Market_Data[[#This Row],[Completion Date]]=""),"Needs Validation",IF(Market_Data[[#This Row],[Start Date]]&gt;TODAY(),"Planned",IF(Market_Data[[#This Row],[Completion Date]]&lt;TODAY(),"Completed","Ongoing")))</f>
        <v>Completed</v>
      </c>
      <c r="G271" s="324">
        <v>43466</v>
      </c>
      <c r="H271" s="324">
        <v>46203</v>
      </c>
      <c r="I271" s="325">
        <v>21200</v>
      </c>
      <c r="J27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1" s="133">
        <f>_xlfn.XLOOKUP(Market_Data[[#This Row],[Project Type]],tbl_assumptions_market[Project Category (RERA)],tbl_assumptions_market[Concrete Intensity
(m³ / sq m BUA)],"",0)</f>
        <v>0.42</v>
      </c>
      <c r="L271" s="134">
        <f>ROUND(Market_Data[[#This Row],[Estimated Built Up Area (sq m)]]*Market_Data[[#This Row],[Concrete Intensity
(m³ / sq m)]],0)</f>
        <v>8904</v>
      </c>
      <c r="M271" s="135">
        <f>_xlfn.XLOOKUP(Market_Data[[#This Row],[District]],tbl_district_price[District],tbl_district_price[Standard Price
(INR/m³)],"",0)</f>
        <v>5500</v>
      </c>
      <c r="N271" s="364">
        <f>IF(OR(Market_Data[[#This Row],[Estimated Concrete Demand (m³)]]="",Market_Data[[#This Row],[Avg Price per (₹ / m³)]]=""),"",Market_Data[[#This Row],[Estimated Concrete Demand (m³)]]*Market_Data[[#This Row],[Avg Price per (₹ / m³)]]/10000000)</f>
        <v>4.8971999999999998</v>
      </c>
      <c r="O271" s="97" t="str">
        <f>IF(Market_Data[[#This Row],[Estimated Concrete Demand (m³)]]="","",
IF(Market_Data[[#This Row],[Estimated Concrete Demand (m³)]]&lt;10000,"Small",
IF(Market_Data[[#This Row],[Estimated Concrete Demand (m³)]]&lt;25000,"Medium",
IF(Market_Data[[#This Row],[Estimated Concrete Demand (m³)]]&lt;100000,"Large","Mega"))))</f>
        <v>Small</v>
      </c>
      <c r="P271" s="287" t="str">
        <f t="shared" si="6"/>
        <v>GujRERA</v>
      </c>
    </row>
    <row r="272" spans="1:16">
      <c r="A272" s="129" t="str">
        <f>_xlfn.XLOOKUP(B272,$S$9:$S$14,$T$9:$T$14)&amp;"-"&amp;
IF(E272="Residential/Group Housing","RES",
IF(E272="Commercial","COM",
IF(E272="Mixed Development","MIX",
IF(E272="Plotted Development","PLT","OTH"))))
&amp;"-"&amp;TEXT(COUNTIFS($B$9:B272,B272,$E$9:E272,E272),"0000")</f>
        <v>NAV-MIX-0038</v>
      </c>
      <c r="B272" s="322" t="s">
        <v>37</v>
      </c>
      <c r="C272" s="322" t="s">
        <v>37</v>
      </c>
      <c r="D272" s="323" t="s">
        <v>458</v>
      </c>
      <c r="E272" s="132" t="s">
        <v>25</v>
      </c>
      <c r="F272" s="97" t="str">
        <f ca="1">IF(OR(Market_Data[[#This Row],[Start Date]]="",Market_Data[[#This Row],[Completion Date]]=""),"Needs Validation",IF(Market_Data[[#This Row],[Start Date]]&gt;TODAY(),"Planned",IF(Market_Data[[#This Row],[Completion Date]]&lt;TODAY(),"Completed","Ongoing")))</f>
        <v>Ongoing</v>
      </c>
      <c r="G272" s="324">
        <v>45680</v>
      </c>
      <c r="H272" s="324">
        <v>47573</v>
      </c>
      <c r="I272" s="325">
        <v>28000</v>
      </c>
      <c r="J27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2" s="133">
        <f>_xlfn.XLOOKUP(Market_Data[[#This Row],[Project Type]],tbl_assumptions_market[Project Category (RERA)],tbl_assumptions_market[Concrete Intensity
(m³ / sq m BUA)],"",0)</f>
        <v>0.42</v>
      </c>
      <c r="L272" s="134">
        <f>ROUND(Market_Data[[#This Row],[Estimated Built Up Area (sq m)]]*Market_Data[[#This Row],[Concrete Intensity
(m³ / sq m)]],0)</f>
        <v>11760</v>
      </c>
      <c r="M272" s="135">
        <f>_xlfn.XLOOKUP(Market_Data[[#This Row],[District]],tbl_district_price[District],tbl_district_price[Standard Price
(INR/m³)],"",0)</f>
        <v>5500</v>
      </c>
      <c r="N272" s="364">
        <f>IF(OR(Market_Data[[#This Row],[Estimated Concrete Demand (m³)]]="",Market_Data[[#This Row],[Avg Price per (₹ / m³)]]=""),"",Market_Data[[#This Row],[Estimated Concrete Demand (m³)]]*Market_Data[[#This Row],[Avg Price per (₹ / m³)]]/10000000)</f>
        <v>6.468</v>
      </c>
      <c r="O272" s="97" t="str">
        <f>IF(Market_Data[[#This Row],[Estimated Concrete Demand (m³)]]="","",
IF(Market_Data[[#This Row],[Estimated Concrete Demand (m³)]]&lt;10000,"Small",
IF(Market_Data[[#This Row],[Estimated Concrete Demand (m³)]]&lt;25000,"Medium",
IF(Market_Data[[#This Row],[Estimated Concrete Demand (m³)]]&lt;100000,"Large","Mega"))))</f>
        <v>Medium</v>
      </c>
      <c r="P272" s="287" t="str">
        <f t="shared" si="6"/>
        <v>GujRERA</v>
      </c>
    </row>
    <row r="273" spans="1:16">
      <c r="A273" s="129" t="str">
        <f>_xlfn.XLOOKUP(B273,$S$9:$S$14,$T$9:$T$14)&amp;"-"&amp;
IF(E273="Residential/Group Housing","RES",
IF(E273="Commercial","COM",
IF(E273="Mixed Development","MIX",
IF(E273="Plotted Development","PLT","OTH"))))
&amp;"-"&amp;TEXT(COUNTIFS($B$9:B273,B273,$E$9:E273,E273),"0000")</f>
        <v>NAV-MIX-0039</v>
      </c>
      <c r="B273" s="322" t="s">
        <v>37</v>
      </c>
      <c r="C273" s="322" t="s">
        <v>37</v>
      </c>
      <c r="D273" s="323" t="s">
        <v>459</v>
      </c>
      <c r="E273" s="132" t="s">
        <v>25</v>
      </c>
      <c r="F273" s="97" t="str">
        <f ca="1">IF(OR(Market_Data[[#This Row],[Start Date]]="",Market_Data[[#This Row],[Completion Date]]=""),"Needs Validation",IF(Market_Data[[#This Row],[Start Date]]&gt;TODAY(),"Planned",IF(Market_Data[[#This Row],[Completion Date]]&lt;TODAY(),"Completed","Ongoing")))</f>
        <v>Ongoing</v>
      </c>
      <c r="G273" s="324">
        <v>44562</v>
      </c>
      <c r="H273" s="324">
        <v>47118</v>
      </c>
      <c r="I273" s="325">
        <v>38000</v>
      </c>
      <c r="J27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3" s="133">
        <f>_xlfn.XLOOKUP(Market_Data[[#This Row],[Project Type]],tbl_assumptions_market[Project Category (RERA)],tbl_assumptions_market[Concrete Intensity
(m³ / sq m BUA)],"",0)</f>
        <v>0.42</v>
      </c>
      <c r="L273" s="134">
        <f>ROUND(Market_Data[[#This Row],[Estimated Built Up Area (sq m)]]*Market_Data[[#This Row],[Concrete Intensity
(m³ / sq m)]],0)</f>
        <v>15960</v>
      </c>
      <c r="M273" s="135">
        <f>_xlfn.XLOOKUP(Market_Data[[#This Row],[District]],tbl_district_price[District],tbl_district_price[Standard Price
(INR/m³)],"",0)</f>
        <v>5500</v>
      </c>
      <c r="N273" s="364">
        <f>IF(OR(Market_Data[[#This Row],[Estimated Concrete Demand (m³)]]="",Market_Data[[#This Row],[Avg Price per (₹ / m³)]]=""),"",Market_Data[[#This Row],[Estimated Concrete Demand (m³)]]*Market_Data[[#This Row],[Avg Price per (₹ / m³)]]/10000000)</f>
        <v>8.7780000000000005</v>
      </c>
      <c r="O273" s="97" t="str">
        <f>IF(Market_Data[[#This Row],[Estimated Concrete Demand (m³)]]="","",
IF(Market_Data[[#This Row],[Estimated Concrete Demand (m³)]]&lt;10000,"Small",
IF(Market_Data[[#This Row],[Estimated Concrete Demand (m³)]]&lt;25000,"Medium",
IF(Market_Data[[#This Row],[Estimated Concrete Demand (m³)]]&lt;100000,"Large","Mega"))))</f>
        <v>Medium</v>
      </c>
      <c r="P273" s="287" t="str">
        <f t="shared" si="6"/>
        <v>GujRERA</v>
      </c>
    </row>
    <row r="274" spans="1:16">
      <c r="A274" s="129" t="str">
        <f>_xlfn.XLOOKUP(B274,$S$9:$S$14,$T$9:$T$14)&amp;"-"&amp;
IF(E274="Residential/Group Housing","RES",
IF(E274="Commercial","COM",
IF(E274="Mixed Development","MIX",
IF(E274="Plotted Development","PLT","OTH"))))
&amp;"-"&amp;TEXT(COUNTIFS($B$9:B274,B274,$E$9:E274,E274),"0000")</f>
        <v>NAV-COM-0004</v>
      </c>
      <c r="B274" s="322" t="s">
        <v>37</v>
      </c>
      <c r="C274" s="322" t="s">
        <v>37</v>
      </c>
      <c r="D274" s="323" t="s">
        <v>460</v>
      </c>
      <c r="E274" s="132" t="s">
        <v>23</v>
      </c>
      <c r="F274" s="97" t="str">
        <f ca="1">IF(OR(Market_Data[[#This Row],[Start Date]]="",Market_Data[[#This Row],[Completion Date]]=""),"Needs Validation",IF(Market_Data[[#This Row],[Start Date]]&gt;TODAY(),"Planned",IF(Market_Data[[#This Row],[Completion Date]]&lt;TODAY(),"Completed","Ongoing")))</f>
        <v>Completed</v>
      </c>
      <c r="G274" s="324">
        <v>44044</v>
      </c>
      <c r="H274" s="324">
        <v>45657</v>
      </c>
      <c r="I274" s="325">
        <v>12400</v>
      </c>
      <c r="J27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4" s="133">
        <f>_xlfn.XLOOKUP(Market_Data[[#This Row],[Project Type]],tbl_assumptions_market[Project Category (RERA)],tbl_assumptions_market[Concrete Intensity
(m³ / sq m BUA)],"",0)</f>
        <v>0.5</v>
      </c>
      <c r="L274" s="134">
        <f>ROUND(Market_Data[[#This Row],[Estimated Built Up Area (sq m)]]*Market_Data[[#This Row],[Concrete Intensity
(m³ / sq m)]],0)</f>
        <v>6200</v>
      </c>
      <c r="M274" s="135">
        <f>_xlfn.XLOOKUP(Market_Data[[#This Row],[District]],tbl_district_price[District],tbl_district_price[Standard Price
(INR/m³)],"",0)</f>
        <v>5500</v>
      </c>
      <c r="N274" s="364">
        <f>IF(OR(Market_Data[[#This Row],[Estimated Concrete Demand (m³)]]="",Market_Data[[#This Row],[Avg Price per (₹ / m³)]]=""),"",Market_Data[[#This Row],[Estimated Concrete Demand (m³)]]*Market_Data[[#This Row],[Avg Price per (₹ / m³)]]/10000000)</f>
        <v>3.41</v>
      </c>
      <c r="O274" s="97" t="str">
        <f>IF(Market_Data[[#This Row],[Estimated Concrete Demand (m³)]]="","",
IF(Market_Data[[#This Row],[Estimated Concrete Demand (m³)]]&lt;10000,"Small",
IF(Market_Data[[#This Row],[Estimated Concrete Demand (m³)]]&lt;25000,"Medium",
IF(Market_Data[[#This Row],[Estimated Concrete Demand (m³)]]&lt;100000,"Large","Mega"))))</f>
        <v>Small</v>
      </c>
      <c r="P274" s="287" t="str">
        <f t="shared" si="6"/>
        <v>GujRERA</v>
      </c>
    </row>
    <row r="275" spans="1:16">
      <c r="A275" s="129" t="str">
        <f>_xlfn.XLOOKUP(B275,$S$9:$S$14,$T$9:$T$14)&amp;"-"&amp;
IF(E275="Residential/Group Housing","RES",
IF(E275="Commercial","COM",
IF(E275="Mixed Development","MIX",
IF(E275="Plotted Development","PLT","OTH"))))
&amp;"-"&amp;TEXT(COUNTIFS($B$9:B275,B275,$E$9:E275,E275),"0000")</f>
        <v>NAV-MIX-0040</v>
      </c>
      <c r="B275" s="322" t="s">
        <v>37</v>
      </c>
      <c r="C275" s="322" t="s">
        <v>37</v>
      </c>
      <c r="D275" s="323" t="s">
        <v>461</v>
      </c>
      <c r="E275" s="132" t="s">
        <v>25</v>
      </c>
      <c r="F275" s="97" t="str">
        <f ca="1">IF(OR(Market_Data[[#This Row],[Start Date]]="",Market_Data[[#This Row],[Completion Date]]=""),"Needs Validation",IF(Market_Data[[#This Row],[Start Date]]&gt;TODAY(),"Planned",IF(Market_Data[[#This Row],[Completion Date]]&lt;TODAY(),"Completed","Ongoing")))</f>
        <v>Completed</v>
      </c>
      <c r="G275" s="324">
        <v>43147</v>
      </c>
      <c r="H275" s="324">
        <v>44377</v>
      </c>
      <c r="I275" s="325">
        <v>15100</v>
      </c>
      <c r="J27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5" s="133">
        <f>_xlfn.XLOOKUP(Market_Data[[#This Row],[Project Type]],tbl_assumptions_market[Project Category (RERA)],tbl_assumptions_market[Concrete Intensity
(m³ / sq m BUA)],"",0)</f>
        <v>0.42</v>
      </c>
      <c r="L275" s="134">
        <f>ROUND(Market_Data[[#This Row],[Estimated Built Up Area (sq m)]]*Market_Data[[#This Row],[Concrete Intensity
(m³ / sq m)]],0)</f>
        <v>6342</v>
      </c>
      <c r="M275" s="135">
        <f>_xlfn.XLOOKUP(Market_Data[[#This Row],[District]],tbl_district_price[District],tbl_district_price[Standard Price
(INR/m³)],"",0)</f>
        <v>5500</v>
      </c>
      <c r="N275" s="364">
        <f>IF(OR(Market_Data[[#This Row],[Estimated Concrete Demand (m³)]]="",Market_Data[[#This Row],[Avg Price per (₹ / m³)]]=""),"",Market_Data[[#This Row],[Estimated Concrete Demand (m³)]]*Market_Data[[#This Row],[Avg Price per (₹ / m³)]]/10000000)</f>
        <v>3.4881000000000002</v>
      </c>
      <c r="O275" s="97" t="str">
        <f>IF(Market_Data[[#This Row],[Estimated Concrete Demand (m³)]]="","",
IF(Market_Data[[#This Row],[Estimated Concrete Demand (m³)]]&lt;10000,"Small",
IF(Market_Data[[#This Row],[Estimated Concrete Demand (m³)]]&lt;25000,"Medium",
IF(Market_Data[[#This Row],[Estimated Concrete Demand (m³)]]&lt;100000,"Large","Mega"))))</f>
        <v>Small</v>
      </c>
      <c r="P275" s="287" t="str">
        <f t="shared" si="6"/>
        <v>GujRERA</v>
      </c>
    </row>
    <row r="276" spans="1:16">
      <c r="A276" s="129" t="str">
        <f>_xlfn.XLOOKUP(B276,$S$9:$S$14,$T$9:$T$14)&amp;"-"&amp;
IF(E276="Residential/Group Housing","RES",
IF(E276="Commercial","COM",
IF(E276="Mixed Development","MIX",
IF(E276="Plotted Development","PLT","OTH"))))
&amp;"-"&amp;TEXT(COUNTIFS($B$9:B276,B276,$E$9:E276,E276),"0000")</f>
        <v>NAV-MIX-0041</v>
      </c>
      <c r="B276" s="322" t="s">
        <v>37</v>
      </c>
      <c r="C276" s="322" t="s">
        <v>37</v>
      </c>
      <c r="D276" s="323" t="s">
        <v>462</v>
      </c>
      <c r="E276" s="132" t="s">
        <v>25</v>
      </c>
      <c r="F276" s="97" t="str">
        <f ca="1">IF(OR(Market_Data[[#This Row],[Start Date]]="",Market_Data[[#This Row],[Completion Date]]=""),"Needs Validation",IF(Market_Data[[#This Row],[Start Date]]&gt;TODAY(),"Planned",IF(Market_Data[[#This Row],[Completion Date]]&lt;TODAY(),"Completed","Ongoing")))</f>
        <v>Ongoing</v>
      </c>
      <c r="G276" s="324">
        <v>44564</v>
      </c>
      <c r="H276" s="324">
        <v>46387</v>
      </c>
      <c r="I276" s="325">
        <v>54600</v>
      </c>
      <c r="J27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6" s="133">
        <f>_xlfn.XLOOKUP(Market_Data[[#This Row],[Project Type]],tbl_assumptions_market[Project Category (RERA)],tbl_assumptions_market[Concrete Intensity
(m³ / sq m BUA)],"",0)</f>
        <v>0.42</v>
      </c>
      <c r="L276" s="134">
        <f>ROUND(Market_Data[[#This Row],[Estimated Built Up Area (sq m)]]*Market_Data[[#This Row],[Concrete Intensity
(m³ / sq m)]],0)</f>
        <v>22932</v>
      </c>
      <c r="M276" s="135">
        <f>_xlfn.XLOOKUP(Market_Data[[#This Row],[District]],tbl_district_price[District],tbl_district_price[Standard Price
(INR/m³)],"",0)</f>
        <v>5500</v>
      </c>
      <c r="N276" s="364">
        <f>IF(OR(Market_Data[[#This Row],[Estimated Concrete Demand (m³)]]="",Market_Data[[#This Row],[Avg Price per (₹ / m³)]]=""),"",Market_Data[[#This Row],[Estimated Concrete Demand (m³)]]*Market_Data[[#This Row],[Avg Price per (₹ / m³)]]/10000000)</f>
        <v>12.6126</v>
      </c>
      <c r="O276" s="97" t="str">
        <f>IF(Market_Data[[#This Row],[Estimated Concrete Demand (m³)]]="","",
IF(Market_Data[[#This Row],[Estimated Concrete Demand (m³)]]&lt;10000,"Small",
IF(Market_Data[[#This Row],[Estimated Concrete Demand (m³)]]&lt;25000,"Medium",
IF(Market_Data[[#This Row],[Estimated Concrete Demand (m³)]]&lt;100000,"Large","Mega"))))</f>
        <v>Medium</v>
      </c>
      <c r="P276" s="287" t="str">
        <f t="shared" si="6"/>
        <v>GujRERA</v>
      </c>
    </row>
    <row r="277" spans="1:16">
      <c r="A277" s="129" t="str">
        <f>_xlfn.XLOOKUP(B277,$S$9:$S$14,$T$9:$T$14)&amp;"-"&amp;
IF(E277="Residential/Group Housing","RES",
IF(E277="Commercial","COM",
IF(E277="Mixed Development","MIX",
IF(E277="Plotted Development","PLT","OTH"))))
&amp;"-"&amp;TEXT(COUNTIFS($B$9:B277,B277,$E$9:E277,E277),"0000")</f>
        <v>NAV-RES-0026</v>
      </c>
      <c r="B277" s="322" t="s">
        <v>37</v>
      </c>
      <c r="C277" s="322" t="s">
        <v>37</v>
      </c>
      <c r="D277" s="323" t="s">
        <v>463</v>
      </c>
      <c r="E277" s="132" t="s">
        <v>24</v>
      </c>
      <c r="F277" s="97" t="str">
        <f ca="1">IF(OR(Market_Data[[#This Row],[Start Date]]="",Market_Data[[#This Row],[Completion Date]]=""),"Needs Validation",IF(Market_Data[[#This Row],[Start Date]]&gt;TODAY(),"Planned",IF(Market_Data[[#This Row],[Completion Date]]&lt;TODAY(),"Completed","Ongoing")))</f>
        <v>Completed</v>
      </c>
      <c r="G277" s="324">
        <v>43556</v>
      </c>
      <c r="H277" s="324">
        <v>45473</v>
      </c>
      <c r="I277" s="325">
        <v>6300</v>
      </c>
      <c r="J27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7" s="133">
        <f>_xlfn.XLOOKUP(Market_Data[[#This Row],[Project Type]],tbl_assumptions_market[Project Category (RERA)],tbl_assumptions_market[Concrete Intensity
(m³ / sq m BUA)],"",0)</f>
        <v>0.45</v>
      </c>
      <c r="L277" s="134">
        <f>ROUND(Market_Data[[#This Row],[Estimated Built Up Area (sq m)]]*Market_Data[[#This Row],[Concrete Intensity
(m³ / sq m)]],0)</f>
        <v>2835</v>
      </c>
      <c r="M277" s="135">
        <f>_xlfn.XLOOKUP(Market_Data[[#This Row],[District]],tbl_district_price[District],tbl_district_price[Standard Price
(INR/m³)],"",0)</f>
        <v>5500</v>
      </c>
      <c r="N277" s="364">
        <f>IF(OR(Market_Data[[#This Row],[Estimated Concrete Demand (m³)]]="",Market_Data[[#This Row],[Avg Price per (₹ / m³)]]=""),"",Market_Data[[#This Row],[Estimated Concrete Demand (m³)]]*Market_Data[[#This Row],[Avg Price per (₹ / m³)]]/10000000)</f>
        <v>1.55925</v>
      </c>
      <c r="O277" s="97" t="str">
        <f>IF(Market_Data[[#This Row],[Estimated Concrete Demand (m³)]]="","",
IF(Market_Data[[#This Row],[Estimated Concrete Demand (m³)]]&lt;10000,"Small",
IF(Market_Data[[#This Row],[Estimated Concrete Demand (m³)]]&lt;25000,"Medium",
IF(Market_Data[[#This Row],[Estimated Concrete Demand (m³)]]&lt;100000,"Large","Mega"))))</f>
        <v>Small</v>
      </c>
      <c r="P277" s="287" t="str">
        <f t="shared" si="6"/>
        <v>GujRERA</v>
      </c>
    </row>
    <row r="278" spans="1:16">
      <c r="A278" s="129" t="str">
        <f>_xlfn.XLOOKUP(B278,$S$9:$S$14,$T$9:$T$14)&amp;"-"&amp;
IF(E278="Residential/Group Housing","RES",
IF(E278="Commercial","COM",
IF(E278="Mixed Development","MIX",
IF(E278="Plotted Development","PLT","OTH"))))
&amp;"-"&amp;TEXT(COUNTIFS($B$9:B278,B278,$E$9:E278,E278),"0000")</f>
        <v>NAV-RES-0027</v>
      </c>
      <c r="B278" s="322" t="s">
        <v>37</v>
      </c>
      <c r="C278" s="322" t="s">
        <v>37</v>
      </c>
      <c r="D278" s="323" t="s">
        <v>464</v>
      </c>
      <c r="E278" s="132" t="s">
        <v>24</v>
      </c>
      <c r="F278" s="97" t="str">
        <f ca="1">IF(OR(Market_Data[[#This Row],[Start Date]]="",Market_Data[[#This Row],[Completion Date]]=""),"Needs Validation",IF(Market_Data[[#This Row],[Start Date]]&gt;TODAY(),"Planned",IF(Market_Data[[#This Row],[Completion Date]]&lt;TODAY(),"Completed","Ongoing")))</f>
        <v>Completed</v>
      </c>
      <c r="G278" s="324">
        <v>43230</v>
      </c>
      <c r="H278" s="324">
        <v>45107</v>
      </c>
      <c r="I278" s="325">
        <v>34900</v>
      </c>
      <c r="J27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8" s="133">
        <f>_xlfn.XLOOKUP(Market_Data[[#This Row],[Project Type]],tbl_assumptions_market[Project Category (RERA)],tbl_assumptions_market[Concrete Intensity
(m³ / sq m BUA)],"",0)</f>
        <v>0.45</v>
      </c>
      <c r="L278" s="134">
        <f>ROUND(Market_Data[[#This Row],[Estimated Built Up Area (sq m)]]*Market_Data[[#This Row],[Concrete Intensity
(m³ / sq m)]],0)</f>
        <v>15705</v>
      </c>
      <c r="M278" s="135">
        <f>_xlfn.XLOOKUP(Market_Data[[#This Row],[District]],tbl_district_price[District],tbl_district_price[Standard Price
(INR/m³)],"",0)</f>
        <v>5500</v>
      </c>
      <c r="N278" s="364">
        <f>IF(OR(Market_Data[[#This Row],[Estimated Concrete Demand (m³)]]="",Market_Data[[#This Row],[Avg Price per (₹ / m³)]]=""),"",Market_Data[[#This Row],[Estimated Concrete Demand (m³)]]*Market_Data[[#This Row],[Avg Price per (₹ / m³)]]/10000000)</f>
        <v>8.6377500000000005</v>
      </c>
      <c r="O278" s="97" t="str">
        <f>IF(Market_Data[[#This Row],[Estimated Concrete Demand (m³)]]="","",
IF(Market_Data[[#This Row],[Estimated Concrete Demand (m³)]]&lt;10000,"Small",
IF(Market_Data[[#This Row],[Estimated Concrete Demand (m³)]]&lt;25000,"Medium",
IF(Market_Data[[#This Row],[Estimated Concrete Demand (m³)]]&lt;100000,"Large","Mega"))))</f>
        <v>Medium</v>
      </c>
      <c r="P278" s="287" t="str">
        <f t="shared" si="6"/>
        <v>GujRERA</v>
      </c>
    </row>
    <row r="279" spans="1:16">
      <c r="A279" s="129" t="str">
        <f>_xlfn.XLOOKUP(B279,$S$9:$S$14,$T$9:$T$14)&amp;"-"&amp;
IF(E279="Residential/Group Housing","RES",
IF(E279="Commercial","COM",
IF(E279="Mixed Development","MIX",
IF(E279="Plotted Development","PLT","OTH"))))
&amp;"-"&amp;TEXT(COUNTIFS($B$9:B279,B279,$E$9:E279,E279),"0000")</f>
        <v>NAV-RES-0028</v>
      </c>
      <c r="B279" s="322" t="s">
        <v>37</v>
      </c>
      <c r="C279" s="322" t="s">
        <v>37</v>
      </c>
      <c r="D279" s="323" t="s">
        <v>465</v>
      </c>
      <c r="E279" s="132" t="s">
        <v>24</v>
      </c>
      <c r="F279" s="97" t="str">
        <f ca="1">IF(OR(Market_Data[[#This Row],[Start Date]]="",Market_Data[[#This Row],[Completion Date]]=""),"Needs Validation",IF(Market_Data[[#This Row],[Start Date]]&gt;TODAY(),"Planned",IF(Market_Data[[#This Row],[Completion Date]]&lt;TODAY(),"Completed","Ongoing")))</f>
        <v>Completed</v>
      </c>
      <c r="G279" s="324">
        <v>41861</v>
      </c>
      <c r="H279" s="324">
        <v>44286</v>
      </c>
      <c r="I279" s="325">
        <v>29900</v>
      </c>
      <c r="J27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9" s="133">
        <f>_xlfn.XLOOKUP(Market_Data[[#This Row],[Project Type]],tbl_assumptions_market[Project Category (RERA)],tbl_assumptions_market[Concrete Intensity
(m³ / sq m BUA)],"",0)</f>
        <v>0.45</v>
      </c>
      <c r="L279" s="134">
        <f>ROUND(Market_Data[[#This Row],[Estimated Built Up Area (sq m)]]*Market_Data[[#This Row],[Concrete Intensity
(m³ / sq m)]],0)</f>
        <v>13455</v>
      </c>
      <c r="M279" s="135">
        <f>_xlfn.XLOOKUP(Market_Data[[#This Row],[District]],tbl_district_price[District],tbl_district_price[Standard Price
(INR/m³)],"",0)</f>
        <v>5500</v>
      </c>
      <c r="N279" s="364">
        <f>IF(OR(Market_Data[[#This Row],[Estimated Concrete Demand (m³)]]="",Market_Data[[#This Row],[Avg Price per (₹ / m³)]]=""),"",Market_Data[[#This Row],[Estimated Concrete Demand (m³)]]*Market_Data[[#This Row],[Avg Price per (₹ / m³)]]/10000000)</f>
        <v>7.4002499999999998</v>
      </c>
      <c r="O279" s="97" t="str">
        <f>IF(Market_Data[[#This Row],[Estimated Concrete Demand (m³)]]="","",
IF(Market_Data[[#This Row],[Estimated Concrete Demand (m³)]]&lt;10000,"Small",
IF(Market_Data[[#This Row],[Estimated Concrete Demand (m³)]]&lt;25000,"Medium",
IF(Market_Data[[#This Row],[Estimated Concrete Demand (m³)]]&lt;100000,"Large","Mega"))))</f>
        <v>Medium</v>
      </c>
      <c r="P279" s="287" t="str">
        <f t="shared" si="6"/>
        <v>GujRERA</v>
      </c>
    </row>
    <row r="280" spans="1:16">
      <c r="A280" s="129" t="str">
        <f>_xlfn.XLOOKUP(B280,$S$9:$S$14,$T$9:$T$14)&amp;"-"&amp;
IF(E280="Residential/Group Housing","RES",
IF(E280="Commercial","COM",
IF(E280="Mixed Development","MIX",
IF(E280="Plotted Development","PLT","OTH"))))
&amp;"-"&amp;TEXT(COUNTIFS($B$9:B280,B280,$E$9:E280,E280),"0000")</f>
        <v>NAV-MIX-0042</v>
      </c>
      <c r="B280" s="322" t="s">
        <v>37</v>
      </c>
      <c r="C280" s="322" t="s">
        <v>34</v>
      </c>
      <c r="D280" s="323" t="s">
        <v>466</v>
      </c>
      <c r="E280" s="132" t="s">
        <v>25</v>
      </c>
      <c r="F280" s="97" t="str">
        <f ca="1">IF(OR(Market_Data[[#This Row],[Start Date]]="",Market_Data[[#This Row],[Completion Date]]=""),"Needs Validation",IF(Market_Data[[#This Row],[Start Date]]&gt;TODAY(),"Planned",IF(Market_Data[[#This Row],[Completion Date]]&lt;TODAY(),"Completed","Ongoing")))</f>
        <v>Completed</v>
      </c>
      <c r="G280" s="324">
        <v>43723</v>
      </c>
      <c r="H280" s="324">
        <v>44999</v>
      </c>
      <c r="I280" s="325">
        <v>49500</v>
      </c>
      <c r="J28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0" s="133">
        <f>_xlfn.XLOOKUP(Market_Data[[#This Row],[Project Type]],tbl_assumptions_market[Project Category (RERA)],tbl_assumptions_market[Concrete Intensity
(m³ / sq m BUA)],"",0)</f>
        <v>0.42</v>
      </c>
      <c r="L280" s="134">
        <f>ROUND(Market_Data[[#This Row],[Estimated Built Up Area (sq m)]]*Market_Data[[#This Row],[Concrete Intensity
(m³ / sq m)]],0)</f>
        <v>20790</v>
      </c>
      <c r="M280" s="135">
        <f>_xlfn.XLOOKUP(Market_Data[[#This Row],[District]],tbl_district_price[District],tbl_district_price[Standard Price
(INR/m³)],"",0)</f>
        <v>5500</v>
      </c>
      <c r="N280" s="364">
        <f>IF(OR(Market_Data[[#This Row],[Estimated Concrete Demand (m³)]]="",Market_Data[[#This Row],[Avg Price per (₹ / m³)]]=""),"",Market_Data[[#This Row],[Estimated Concrete Demand (m³)]]*Market_Data[[#This Row],[Avg Price per (₹ / m³)]]/10000000)</f>
        <v>11.4345</v>
      </c>
      <c r="O280" s="97" t="str">
        <f>IF(Market_Data[[#This Row],[Estimated Concrete Demand (m³)]]="","",
IF(Market_Data[[#This Row],[Estimated Concrete Demand (m³)]]&lt;10000,"Small",
IF(Market_Data[[#This Row],[Estimated Concrete Demand (m³)]]&lt;25000,"Medium",
IF(Market_Data[[#This Row],[Estimated Concrete Demand (m³)]]&lt;100000,"Large","Mega"))))</f>
        <v>Medium</v>
      </c>
      <c r="P280" s="287" t="str">
        <f t="shared" si="6"/>
        <v>GujRERA</v>
      </c>
    </row>
    <row r="281" spans="1:16">
      <c r="A281" s="129" t="str">
        <f>_xlfn.XLOOKUP(B281,$S$9:$S$14,$T$9:$T$14)&amp;"-"&amp;
IF(E281="Residential/Group Housing","RES",
IF(E281="Commercial","COM",
IF(E281="Mixed Development","MIX",
IF(E281="Plotted Development","PLT","OTH"))))
&amp;"-"&amp;TEXT(COUNTIFS($B$9:B281,B281,$E$9:E281,E281),"0000")</f>
        <v>NAV-MIX-0043</v>
      </c>
      <c r="B281" s="322" t="s">
        <v>37</v>
      </c>
      <c r="C281" s="322" t="s">
        <v>37</v>
      </c>
      <c r="D281" s="323" t="s">
        <v>467</v>
      </c>
      <c r="E281" s="132" t="s">
        <v>25</v>
      </c>
      <c r="F281" s="97" t="str">
        <f ca="1">IF(OR(Market_Data[[#This Row],[Start Date]]="",Market_Data[[#This Row],[Completion Date]]=""),"Needs Validation",IF(Market_Data[[#This Row],[Start Date]]&gt;TODAY(),"Planned",IF(Market_Data[[#This Row],[Completion Date]]&lt;TODAY(),"Completed","Ongoing")))</f>
        <v>Completed</v>
      </c>
      <c r="G281" s="324">
        <v>44440</v>
      </c>
      <c r="H281" s="324">
        <v>46112</v>
      </c>
      <c r="I281" s="325">
        <v>9300</v>
      </c>
      <c r="J28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81" s="133">
        <f>_xlfn.XLOOKUP(Market_Data[[#This Row],[Project Type]],tbl_assumptions_market[Project Category (RERA)],tbl_assumptions_market[Concrete Intensity
(m³ / sq m BUA)],"",0)</f>
        <v>0.42</v>
      </c>
      <c r="L281" s="134">
        <f>ROUND(Market_Data[[#This Row],[Estimated Built Up Area (sq m)]]*Market_Data[[#This Row],[Concrete Intensity
(m³ / sq m)]],0)</f>
        <v>3906</v>
      </c>
      <c r="M281" s="135">
        <f>_xlfn.XLOOKUP(Market_Data[[#This Row],[District]],tbl_district_price[District],tbl_district_price[Standard Price
(INR/m³)],"",0)</f>
        <v>5500</v>
      </c>
      <c r="N281" s="364">
        <f>IF(OR(Market_Data[[#This Row],[Estimated Concrete Demand (m³)]]="",Market_Data[[#This Row],[Avg Price per (₹ / m³)]]=""),"",Market_Data[[#This Row],[Estimated Concrete Demand (m³)]]*Market_Data[[#This Row],[Avg Price per (₹ / m³)]]/10000000)</f>
        <v>2.1482999999999999</v>
      </c>
      <c r="O281" s="97" t="str">
        <f>IF(Market_Data[[#This Row],[Estimated Concrete Demand (m³)]]="","",
IF(Market_Data[[#This Row],[Estimated Concrete Demand (m³)]]&lt;10000,"Small",
IF(Market_Data[[#This Row],[Estimated Concrete Demand (m³)]]&lt;25000,"Medium",
IF(Market_Data[[#This Row],[Estimated Concrete Demand (m³)]]&lt;100000,"Large","Mega"))))</f>
        <v>Small</v>
      </c>
      <c r="P281" s="287" t="str">
        <f t="shared" si="6"/>
        <v>GujRERA</v>
      </c>
    </row>
    <row r="282" spans="1:16">
      <c r="A282" s="129" t="str">
        <f>_xlfn.XLOOKUP(B282,$S$9:$S$14,$T$9:$T$14)&amp;"-"&amp;
IF(E282="Residential/Group Housing","RES",
IF(E282="Commercial","COM",
IF(E282="Mixed Development","MIX",
IF(E282="Plotted Development","PLT","OTH"))))
&amp;"-"&amp;TEXT(COUNTIFS($B$9:B282,B282,$E$9:E282,E282),"0000")</f>
        <v>NAV-MIX-0044</v>
      </c>
      <c r="B282" s="322" t="s">
        <v>37</v>
      </c>
      <c r="C282" s="322" t="s">
        <v>37</v>
      </c>
      <c r="D282" s="323" t="s">
        <v>468</v>
      </c>
      <c r="E282" s="132" t="s">
        <v>25</v>
      </c>
      <c r="F282" s="97" t="str">
        <f ca="1">IF(OR(Market_Data[[#This Row],[Start Date]]="",Market_Data[[#This Row],[Completion Date]]=""),"Needs Validation",IF(Market_Data[[#This Row],[Start Date]]&gt;TODAY(),"Planned",IF(Market_Data[[#This Row],[Completion Date]]&lt;TODAY(),"Completed","Ongoing")))</f>
        <v>Completed</v>
      </c>
      <c r="G282" s="324">
        <v>42901</v>
      </c>
      <c r="H282" s="324">
        <v>44155</v>
      </c>
      <c r="I282" s="325">
        <v>49400</v>
      </c>
      <c r="J28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2" s="133">
        <f>_xlfn.XLOOKUP(Market_Data[[#This Row],[Project Type]],tbl_assumptions_market[Project Category (RERA)],tbl_assumptions_market[Concrete Intensity
(m³ / sq m BUA)],"",0)</f>
        <v>0.42</v>
      </c>
      <c r="L282" s="134">
        <f>ROUND(Market_Data[[#This Row],[Estimated Built Up Area (sq m)]]*Market_Data[[#This Row],[Concrete Intensity
(m³ / sq m)]],0)</f>
        <v>20748</v>
      </c>
      <c r="M282" s="135">
        <f>_xlfn.XLOOKUP(Market_Data[[#This Row],[District]],tbl_district_price[District],tbl_district_price[Standard Price
(INR/m³)],"",0)</f>
        <v>5500</v>
      </c>
      <c r="N282" s="364">
        <f>IF(OR(Market_Data[[#This Row],[Estimated Concrete Demand (m³)]]="",Market_Data[[#This Row],[Avg Price per (₹ / m³)]]=""),"",Market_Data[[#This Row],[Estimated Concrete Demand (m³)]]*Market_Data[[#This Row],[Avg Price per (₹ / m³)]]/10000000)</f>
        <v>11.4114</v>
      </c>
      <c r="O282" s="97" t="str">
        <f>IF(Market_Data[[#This Row],[Estimated Concrete Demand (m³)]]="","",
IF(Market_Data[[#This Row],[Estimated Concrete Demand (m³)]]&lt;10000,"Small",
IF(Market_Data[[#This Row],[Estimated Concrete Demand (m³)]]&lt;25000,"Medium",
IF(Market_Data[[#This Row],[Estimated Concrete Demand (m³)]]&lt;100000,"Large","Mega"))))</f>
        <v>Medium</v>
      </c>
      <c r="P282" s="287" t="str">
        <f t="shared" si="6"/>
        <v>GujRERA</v>
      </c>
    </row>
    <row r="283" spans="1:16">
      <c r="A283" s="129" t="str">
        <f>_xlfn.XLOOKUP(B283,$S$9:$S$14,$T$9:$T$14)&amp;"-"&amp;
IF(E283="Residential/Group Housing","RES",
IF(E283="Commercial","COM",
IF(E283="Mixed Development","MIX",
IF(E283="Plotted Development","PLT","OTH"))))
&amp;"-"&amp;TEXT(COUNTIFS($B$9:B283,B283,$E$9:E283,E283),"0000")</f>
        <v>NAV-RES-0029</v>
      </c>
      <c r="B283" s="322" t="s">
        <v>37</v>
      </c>
      <c r="C283" s="322" t="s">
        <v>37</v>
      </c>
      <c r="D283" s="323" t="s">
        <v>469</v>
      </c>
      <c r="E283" s="132" t="s">
        <v>24</v>
      </c>
      <c r="F283" s="97" t="str">
        <f ca="1">IF(OR(Market_Data[[#This Row],[Start Date]]="",Market_Data[[#This Row],[Completion Date]]=""),"Needs Validation",IF(Market_Data[[#This Row],[Start Date]]&gt;TODAY(),"Planned",IF(Market_Data[[#This Row],[Completion Date]]&lt;TODAY(),"Completed","Ongoing")))</f>
        <v>Ongoing</v>
      </c>
      <c r="G283" s="324">
        <v>45224</v>
      </c>
      <c r="H283" s="324">
        <v>47483</v>
      </c>
      <c r="I283" s="325">
        <v>19300</v>
      </c>
      <c r="J28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3" s="133">
        <f>_xlfn.XLOOKUP(Market_Data[[#This Row],[Project Type]],tbl_assumptions_market[Project Category (RERA)],tbl_assumptions_market[Concrete Intensity
(m³ / sq m BUA)],"",0)</f>
        <v>0.45</v>
      </c>
      <c r="L283" s="134">
        <f>ROUND(Market_Data[[#This Row],[Estimated Built Up Area (sq m)]]*Market_Data[[#This Row],[Concrete Intensity
(m³ / sq m)]],0)</f>
        <v>8685</v>
      </c>
      <c r="M283" s="135">
        <f>_xlfn.XLOOKUP(Market_Data[[#This Row],[District]],tbl_district_price[District],tbl_district_price[Standard Price
(INR/m³)],"",0)</f>
        <v>5500</v>
      </c>
      <c r="N283" s="364">
        <f>IF(OR(Market_Data[[#This Row],[Estimated Concrete Demand (m³)]]="",Market_Data[[#This Row],[Avg Price per (₹ / m³)]]=""),"",Market_Data[[#This Row],[Estimated Concrete Demand (m³)]]*Market_Data[[#This Row],[Avg Price per (₹ / m³)]]/10000000)</f>
        <v>4.7767499999999998</v>
      </c>
      <c r="O283" s="97" t="str">
        <f>IF(Market_Data[[#This Row],[Estimated Concrete Demand (m³)]]="","",
IF(Market_Data[[#This Row],[Estimated Concrete Demand (m³)]]&lt;10000,"Small",
IF(Market_Data[[#This Row],[Estimated Concrete Demand (m³)]]&lt;25000,"Medium",
IF(Market_Data[[#This Row],[Estimated Concrete Demand (m³)]]&lt;100000,"Large","Mega"))))</f>
        <v>Small</v>
      </c>
      <c r="P283" s="287" t="str">
        <f t="shared" si="6"/>
        <v>GujRERA</v>
      </c>
    </row>
    <row r="284" spans="1:16">
      <c r="A284" s="129" t="str">
        <f>_xlfn.XLOOKUP(B284,$S$9:$S$14,$T$9:$T$14)&amp;"-"&amp;
IF(E284="Residential/Group Housing","RES",
IF(E284="Commercial","COM",
IF(E284="Mixed Development","MIX",
IF(E284="Plotted Development","PLT","OTH"))))
&amp;"-"&amp;TEXT(COUNTIFS($B$9:B284,B284,$E$9:E284,E284),"0000")</f>
        <v>NAV-COM-0005</v>
      </c>
      <c r="B284" s="322" t="s">
        <v>37</v>
      </c>
      <c r="C284" s="322" t="s">
        <v>37</v>
      </c>
      <c r="D284" s="323" t="s">
        <v>470</v>
      </c>
      <c r="E284" s="132" t="s">
        <v>23</v>
      </c>
      <c r="F284" s="97" t="str">
        <f ca="1">IF(OR(Market_Data[[#This Row],[Start Date]]="",Market_Data[[#This Row],[Completion Date]]=""),"Needs Validation",IF(Market_Data[[#This Row],[Start Date]]&gt;TODAY(),"Planned",IF(Market_Data[[#This Row],[Completion Date]]&lt;TODAY(),"Completed","Ongoing")))</f>
        <v>Ongoing</v>
      </c>
      <c r="G284" s="324">
        <v>43748</v>
      </c>
      <c r="H284" s="324">
        <v>47118</v>
      </c>
      <c r="I284" s="325">
        <v>1200</v>
      </c>
      <c r="J28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4" s="133">
        <f>_xlfn.XLOOKUP(Market_Data[[#This Row],[Project Type]],tbl_assumptions_market[Project Category (RERA)],tbl_assumptions_market[Concrete Intensity
(m³ / sq m BUA)],"",0)</f>
        <v>0.5</v>
      </c>
      <c r="L284" s="134">
        <f>ROUND(Market_Data[[#This Row],[Estimated Built Up Area (sq m)]]*Market_Data[[#This Row],[Concrete Intensity
(m³ / sq m)]],0)</f>
        <v>600</v>
      </c>
      <c r="M284" s="135">
        <f>_xlfn.XLOOKUP(Market_Data[[#This Row],[District]],tbl_district_price[District],tbl_district_price[Standard Price
(INR/m³)],"",0)</f>
        <v>5500</v>
      </c>
      <c r="N284" s="364">
        <f>IF(OR(Market_Data[[#This Row],[Estimated Concrete Demand (m³)]]="",Market_Data[[#This Row],[Avg Price per (₹ / m³)]]=""),"",Market_Data[[#This Row],[Estimated Concrete Demand (m³)]]*Market_Data[[#This Row],[Avg Price per (₹ / m³)]]/10000000)</f>
        <v>0.33</v>
      </c>
      <c r="O284" s="97" t="str">
        <f>IF(Market_Data[[#This Row],[Estimated Concrete Demand (m³)]]="","",
IF(Market_Data[[#This Row],[Estimated Concrete Demand (m³)]]&lt;10000,"Small",
IF(Market_Data[[#This Row],[Estimated Concrete Demand (m³)]]&lt;25000,"Medium",
IF(Market_Data[[#This Row],[Estimated Concrete Demand (m³)]]&lt;100000,"Large","Mega"))))</f>
        <v>Small</v>
      </c>
      <c r="P284" s="287" t="str">
        <f t="shared" si="6"/>
        <v>GujRERA</v>
      </c>
    </row>
    <row r="285" spans="1:16">
      <c r="A285" s="129" t="str">
        <f>_xlfn.XLOOKUP(B285,$S$9:$S$14,$T$9:$T$14)&amp;"-"&amp;
IF(E285="Residential/Group Housing","RES",
IF(E285="Commercial","COM",
IF(E285="Mixed Development","MIX",
IF(E285="Plotted Development","PLT","OTH"))))
&amp;"-"&amp;TEXT(COUNTIFS($B$9:B285,B285,$E$9:E285,E285),"0000")</f>
        <v>NAV-COM-0006</v>
      </c>
      <c r="B285" s="322" t="s">
        <v>37</v>
      </c>
      <c r="C285" s="322" t="s">
        <v>37</v>
      </c>
      <c r="D285" s="323" t="s">
        <v>471</v>
      </c>
      <c r="E285" s="132" t="s">
        <v>23</v>
      </c>
      <c r="F285" s="97" t="str">
        <f ca="1">IF(OR(Market_Data[[#This Row],[Start Date]]="",Market_Data[[#This Row],[Completion Date]]=""),"Needs Validation",IF(Market_Data[[#This Row],[Start Date]]&gt;TODAY(),"Planned",IF(Market_Data[[#This Row],[Completion Date]]&lt;TODAY(),"Completed","Ongoing")))</f>
        <v>Completed</v>
      </c>
      <c r="G285" s="324">
        <v>44873</v>
      </c>
      <c r="H285" s="324">
        <v>45993</v>
      </c>
      <c r="I285" s="325">
        <v>12400</v>
      </c>
      <c r="J28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5" s="133">
        <f>_xlfn.XLOOKUP(Market_Data[[#This Row],[Project Type]],tbl_assumptions_market[Project Category (RERA)],tbl_assumptions_market[Concrete Intensity
(m³ / sq m BUA)],"",0)</f>
        <v>0.5</v>
      </c>
      <c r="L285" s="134">
        <f>ROUND(Market_Data[[#This Row],[Estimated Built Up Area (sq m)]]*Market_Data[[#This Row],[Concrete Intensity
(m³ / sq m)]],0)</f>
        <v>6200</v>
      </c>
      <c r="M285" s="135">
        <f>_xlfn.XLOOKUP(Market_Data[[#This Row],[District]],tbl_district_price[District],tbl_district_price[Standard Price
(INR/m³)],"",0)</f>
        <v>5500</v>
      </c>
      <c r="N285" s="364">
        <f>IF(OR(Market_Data[[#This Row],[Estimated Concrete Demand (m³)]]="",Market_Data[[#This Row],[Avg Price per (₹ / m³)]]=""),"",Market_Data[[#This Row],[Estimated Concrete Demand (m³)]]*Market_Data[[#This Row],[Avg Price per (₹ / m³)]]/10000000)</f>
        <v>3.41</v>
      </c>
      <c r="O285" s="97" t="str">
        <f>IF(Market_Data[[#This Row],[Estimated Concrete Demand (m³)]]="","",
IF(Market_Data[[#This Row],[Estimated Concrete Demand (m³)]]&lt;10000,"Small",
IF(Market_Data[[#This Row],[Estimated Concrete Demand (m³)]]&lt;25000,"Medium",
IF(Market_Data[[#This Row],[Estimated Concrete Demand (m³)]]&lt;100000,"Large","Mega"))))</f>
        <v>Small</v>
      </c>
      <c r="P285" s="287" t="str">
        <f t="shared" si="6"/>
        <v>GujRERA</v>
      </c>
    </row>
    <row r="286" spans="1:16">
      <c r="A286" s="129" t="str">
        <f>_xlfn.XLOOKUP(B286,$S$9:$S$14,$T$9:$T$14)&amp;"-"&amp;
IF(E286="Residential/Group Housing","RES",
IF(E286="Commercial","COM",
IF(E286="Mixed Development","MIX",
IF(E286="Plotted Development","PLT","OTH"))))
&amp;"-"&amp;TEXT(COUNTIFS($B$9:B286,B286,$E$9:E286,E286),"0000")</f>
        <v>NAV-MIX-0045</v>
      </c>
      <c r="B286" s="322" t="s">
        <v>37</v>
      </c>
      <c r="C286" s="322" t="s">
        <v>37</v>
      </c>
      <c r="D286" s="323" t="s">
        <v>472</v>
      </c>
      <c r="E286" s="132" t="s">
        <v>25</v>
      </c>
      <c r="F286" s="97" t="str">
        <f ca="1">IF(OR(Market_Data[[#This Row],[Start Date]]="",Market_Data[[#This Row],[Completion Date]]=""),"Needs Validation",IF(Market_Data[[#This Row],[Start Date]]&gt;TODAY(),"Planned",IF(Market_Data[[#This Row],[Completion Date]]&lt;TODAY(),"Completed","Ongoing")))</f>
        <v>Ongoing</v>
      </c>
      <c r="G286" s="324">
        <v>44989</v>
      </c>
      <c r="H286" s="324">
        <v>47118</v>
      </c>
      <c r="I286" s="325">
        <v>53000</v>
      </c>
      <c r="J28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6" s="133">
        <f>_xlfn.XLOOKUP(Market_Data[[#This Row],[Project Type]],tbl_assumptions_market[Project Category (RERA)],tbl_assumptions_market[Concrete Intensity
(m³ / sq m BUA)],"",0)</f>
        <v>0.42</v>
      </c>
      <c r="L286" s="134">
        <f>ROUND(Market_Data[[#This Row],[Estimated Built Up Area (sq m)]]*Market_Data[[#This Row],[Concrete Intensity
(m³ / sq m)]],0)</f>
        <v>22260</v>
      </c>
      <c r="M286" s="135">
        <f>_xlfn.XLOOKUP(Market_Data[[#This Row],[District]],tbl_district_price[District],tbl_district_price[Standard Price
(INR/m³)],"",0)</f>
        <v>5500</v>
      </c>
      <c r="N286" s="364">
        <f>IF(OR(Market_Data[[#This Row],[Estimated Concrete Demand (m³)]]="",Market_Data[[#This Row],[Avg Price per (₹ / m³)]]=""),"",Market_Data[[#This Row],[Estimated Concrete Demand (m³)]]*Market_Data[[#This Row],[Avg Price per (₹ / m³)]]/10000000)</f>
        <v>12.243</v>
      </c>
      <c r="O286" s="97" t="str">
        <f>IF(Market_Data[[#This Row],[Estimated Concrete Demand (m³)]]="","",
IF(Market_Data[[#This Row],[Estimated Concrete Demand (m³)]]&lt;10000,"Small",
IF(Market_Data[[#This Row],[Estimated Concrete Demand (m³)]]&lt;25000,"Medium",
IF(Market_Data[[#This Row],[Estimated Concrete Demand (m³)]]&lt;100000,"Large","Mega"))))</f>
        <v>Medium</v>
      </c>
      <c r="P286" s="287" t="str">
        <f t="shared" si="6"/>
        <v>GujRERA</v>
      </c>
    </row>
    <row r="287" spans="1:16">
      <c r="A287" s="129" t="str">
        <f>_xlfn.XLOOKUP(B287,$S$9:$S$14,$T$9:$T$14)&amp;"-"&amp;
IF(E287="Residential/Group Housing","RES",
IF(E287="Commercial","COM",
IF(E287="Mixed Development","MIX",
IF(E287="Plotted Development","PLT","OTH"))))
&amp;"-"&amp;TEXT(COUNTIFS($B$9:B287,B287,$E$9:E287,E287),"0000")</f>
        <v>NAV-RES-0030</v>
      </c>
      <c r="B287" s="322" t="s">
        <v>37</v>
      </c>
      <c r="C287" s="322" t="s">
        <v>34</v>
      </c>
      <c r="D287" s="323" t="s">
        <v>473</v>
      </c>
      <c r="E287" s="132" t="s">
        <v>24</v>
      </c>
      <c r="F287" s="97" t="str">
        <f ca="1">IF(OR(Market_Data[[#This Row],[Start Date]]="",Market_Data[[#This Row],[Completion Date]]=""),"Needs Validation",IF(Market_Data[[#This Row],[Start Date]]&gt;TODAY(),"Planned",IF(Market_Data[[#This Row],[Completion Date]]&lt;TODAY(),"Completed","Ongoing")))</f>
        <v>Completed</v>
      </c>
      <c r="G287" s="324">
        <v>43753</v>
      </c>
      <c r="H287" s="324">
        <v>45218</v>
      </c>
      <c r="I287" s="325">
        <v>30200</v>
      </c>
      <c r="J28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7" s="133">
        <f>_xlfn.XLOOKUP(Market_Data[[#This Row],[Project Type]],tbl_assumptions_market[Project Category (RERA)],tbl_assumptions_market[Concrete Intensity
(m³ / sq m BUA)],"",0)</f>
        <v>0.45</v>
      </c>
      <c r="L287" s="134">
        <f>ROUND(Market_Data[[#This Row],[Estimated Built Up Area (sq m)]]*Market_Data[[#This Row],[Concrete Intensity
(m³ / sq m)]],0)</f>
        <v>13590</v>
      </c>
      <c r="M287" s="135">
        <f>_xlfn.XLOOKUP(Market_Data[[#This Row],[District]],tbl_district_price[District],tbl_district_price[Standard Price
(INR/m³)],"",0)</f>
        <v>5500</v>
      </c>
      <c r="N287" s="364">
        <f>IF(OR(Market_Data[[#This Row],[Estimated Concrete Demand (m³)]]="",Market_Data[[#This Row],[Avg Price per (₹ / m³)]]=""),"",Market_Data[[#This Row],[Estimated Concrete Demand (m³)]]*Market_Data[[#This Row],[Avg Price per (₹ / m³)]]/10000000)</f>
        <v>7.4744999999999999</v>
      </c>
      <c r="O287" s="97" t="str">
        <f>IF(Market_Data[[#This Row],[Estimated Concrete Demand (m³)]]="","",
IF(Market_Data[[#This Row],[Estimated Concrete Demand (m³)]]&lt;10000,"Small",
IF(Market_Data[[#This Row],[Estimated Concrete Demand (m³)]]&lt;25000,"Medium",
IF(Market_Data[[#This Row],[Estimated Concrete Demand (m³)]]&lt;100000,"Large","Mega"))))</f>
        <v>Medium</v>
      </c>
      <c r="P287" s="287" t="str">
        <f t="shared" si="6"/>
        <v>GujRERA</v>
      </c>
    </row>
    <row r="288" spans="1:16">
      <c r="A288" s="129" t="str">
        <f>_xlfn.XLOOKUP(B288,$S$9:$S$14,$T$9:$T$14)&amp;"-"&amp;
IF(E288="Residential/Group Housing","RES",
IF(E288="Commercial","COM",
IF(E288="Mixed Development","MIX",
IF(E288="Plotted Development","PLT","OTH"))))
&amp;"-"&amp;TEXT(COUNTIFS($B$9:B288,B288,$E$9:E288,E288),"0000")</f>
        <v>NAV-MIX-0046</v>
      </c>
      <c r="B288" s="322" t="s">
        <v>37</v>
      </c>
      <c r="C288" s="322" t="s">
        <v>37</v>
      </c>
      <c r="D288" s="323" t="s">
        <v>474</v>
      </c>
      <c r="E288" s="132" t="s">
        <v>25</v>
      </c>
      <c r="F288" s="97" t="str">
        <f ca="1">IF(OR(Market_Data[[#This Row],[Start Date]]="",Market_Data[[#This Row],[Completion Date]]=""),"Needs Validation",IF(Market_Data[[#This Row],[Start Date]]&gt;TODAY(),"Planned",IF(Market_Data[[#This Row],[Completion Date]]&lt;TODAY(),"Completed","Ongoing")))</f>
        <v>Completed</v>
      </c>
      <c r="G288" s="324">
        <v>44210</v>
      </c>
      <c r="H288" s="324">
        <v>46022</v>
      </c>
      <c r="I288" s="325">
        <v>26600</v>
      </c>
      <c r="J28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8" s="133">
        <f>_xlfn.XLOOKUP(Market_Data[[#This Row],[Project Type]],tbl_assumptions_market[Project Category (RERA)],tbl_assumptions_market[Concrete Intensity
(m³ / sq m BUA)],"",0)</f>
        <v>0.42</v>
      </c>
      <c r="L288" s="134">
        <f>ROUND(Market_Data[[#This Row],[Estimated Built Up Area (sq m)]]*Market_Data[[#This Row],[Concrete Intensity
(m³ / sq m)]],0)</f>
        <v>11172</v>
      </c>
      <c r="M288" s="135">
        <f>_xlfn.XLOOKUP(Market_Data[[#This Row],[District]],tbl_district_price[District],tbl_district_price[Standard Price
(INR/m³)],"",0)</f>
        <v>5500</v>
      </c>
      <c r="N288" s="364">
        <f>IF(OR(Market_Data[[#This Row],[Estimated Concrete Demand (m³)]]="",Market_Data[[#This Row],[Avg Price per (₹ / m³)]]=""),"",Market_Data[[#This Row],[Estimated Concrete Demand (m³)]]*Market_Data[[#This Row],[Avg Price per (₹ / m³)]]/10000000)</f>
        <v>6.1445999999999996</v>
      </c>
      <c r="O288" s="97" t="str">
        <f>IF(Market_Data[[#This Row],[Estimated Concrete Demand (m³)]]="","",
IF(Market_Data[[#This Row],[Estimated Concrete Demand (m³)]]&lt;10000,"Small",
IF(Market_Data[[#This Row],[Estimated Concrete Demand (m³)]]&lt;25000,"Medium",
IF(Market_Data[[#This Row],[Estimated Concrete Demand (m³)]]&lt;100000,"Large","Mega"))))</f>
        <v>Medium</v>
      </c>
      <c r="P288" s="287" t="str">
        <f t="shared" si="6"/>
        <v>GujRERA</v>
      </c>
    </row>
    <row r="289" spans="1:16">
      <c r="A289" s="129" t="str">
        <f>_xlfn.XLOOKUP(B289,$S$9:$S$14,$T$9:$T$14)&amp;"-"&amp;
IF(E289="Residential/Group Housing","RES",
IF(E289="Commercial","COM",
IF(E289="Mixed Development","MIX",
IF(E289="Plotted Development","PLT","OTH"))))
&amp;"-"&amp;TEXT(COUNTIFS($B$9:B289,B289,$E$9:E289,E289),"0000")</f>
        <v>NAV-MIX-0047</v>
      </c>
      <c r="B289" s="322" t="s">
        <v>37</v>
      </c>
      <c r="C289" s="322" t="s">
        <v>37</v>
      </c>
      <c r="D289" s="323" t="s">
        <v>475</v>
      </c>
      <c r="E289" s="132" t="s">
        <v>25</v>
      </c>
      <c r="F289" s="97" t="str">
        <f ca="1">IF(OR(Market_Data[[#This Row],[Start Date]]="",Market_Data[[#This Row],[Completion Date]]=""),"Needs Validation",IF(Market_Data[[#This Row],[Start Date]]&gt;TODAY(),"Planned",IF(Market_Data[[#This Row],[Completion Date]]&lt;TODAY(),"Completed","Ongoing")))</f>
        <v>Completed</v>
      </c>
      <c r="G289" s="324">
        <v>43863</v>
      </c>
      <c r="H289" s="324">
        <v>45051</v>
      </c>
      <c r="I289" s="325">
        <v>24500</v>
      </c>
      <c r="J28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9" s="133">
        <f>_xlfn.XLOOKUP(Market_Data[[#This Row],[Project Type]],tbl_assumptions_market[Project Category (RERA)],tbl_assumptions_market[Concrete Intensity
(m³ / sq m BUA)],"",0)</f>
        <v>0.42</v>
      </c>
      <c r="L289" s="134">
        <f>ROUND(Market_Data[[#This Row],[Estimated Built Up Area (sq m)]]*Market_Data[[#This Row],[Concrete Intensity
(m³ / sq m)]],0)</f>
        <v>10290</v>
      </c>
      <c r="M289" s="135">
        <f>_xlfn.XLOOKUP(Market_Data[[#This Row],[District]],tbl_district_price[District],tbl_district_price[Standard Price
(INR/m³)],"",0)</f>
        <v>5500</v>
      </c>
      <c r="N289" s="364">
        <f>IF(OR(Market_Data[[#This Row],[Estimated Concrete Demand (m³)]]="",Market_Data[[#This Row],[Avg Price per (₹ / m³)]]=""),"",Market_Data[[#This Row],[Estimated Concrete Demand (m³)]]*Market_Data[[#This Row],[Avg Price per (₹ / m³)]]/10000000)</f>
        <v>5.6595000000000004</v>
      </c>
      <c r="O289" s="97" t="str">
        <f>IF(Market_Data[[#This Row],[Estimated Concrete Demand (m³)]]="","",
IF(Market_Data[[#This Row],[Estimated Concrete Demand (m³)]]&lt;10000,"Small",
IF(Market_Data[[#This Row],[Estimated Concrete Demand (m³)]]&lt;25000,"Medium",
IF(Market_Data[[#This Row],[Estimated Concrete Demand (m³)]]&lt;100000,"Large","Mega"))))</f>
        <v>Medium</v>
      </c>
      <c r="P289" s="287" t="str">
        <f t="shared" si="6"/>
        <v>GujRERA</v>
      </c>
    </row>
    <row r="290" spans="1:16">
      <c r="A290" s="129" t="str">
        <f>_xlfn.XLOOKUP(B290,$S$9:$S$14,$T$9:$T$14)&amp;"-"&amp;
IF(E290="Residential/Group Housing","RES",
IF(E290="Commercial","COM",
IF(E290="Mixed Development","MIX",
IF(E290="Plotted Development","PLT","OTH"))))
&amp;"-"&amp;TEXT(COUNTIFS($B$9:B290,B290,$E$9:E290,E290),"0000")</f>
        <v>NAV-RES-0031</v>
      </c>
      <c r="B290" s="322" t="s">
        <v>37</v>
      </c>
      <c r="C290" s="322" t="s">
        <v>37</v>
      </c>
      <c r="D290" s="323" t="s">
        <v>476</v>
      </c>
      <c r="E290" s="132" t="s">
        <v>24</v>
      </c>
      <c r="F290" s="97" t="str">
        <f ca="1">IF(OR(Market_Data[[#This Row],[Start Date]]="",Market_Data[[#This Row],[Completion Date]]=""),"Needs Validation",IF(Market_Data[[#This Row],[Start Date]]&gt;TODAY(),"Planned",IF(Market_Data[[#This Row],[Completion Date]]&lt;TODAY(),"Completed","Ongoing")))</f>
        <v>Ongoing</v>
      </c>
      <c r="G290" s="324">
        <v>45187</v>
      </c>
      <c r="H290" s="324">
        <v>47848</v>
      </c>
      <c r="I290" s="325">
        <v>15100</v>
      </c>
      <c r="J29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0" s="133">
        <f>_xlfn.XLOOKUP(Market_Data[[#This Row],[Project Type]],tbl_assumptions_market[Project Category (RERA)],tbl_assumptions_market[Concrete Intensity
(m³ / sq m BUA)],"",0)</f>
        <v>0.45</v>
      </c>
      <c r="L290" s="134">
        <f>ROUND(Market_Data[[#This Row],[Estimated Built Up Area (sq m)]]*Market_Data[[#This Row],[Concrete Intensity
(m³ / sq m)]],0)</f>
        <v>6795</v>
      </c>
      <c r="M290" s="135">
        <f>_xlfn.XLOOKUP(Market_Data[[#This Row],[District]],tbl_district_price[District],tbl_district_price[Standard Price
(INR/m³)],"",0)</f>
        <v>5500</v>
      </c>
      <c r="N290" s="364">
        <f>IF(OR(Market_Data[[#This Row],[Estimated Concrete Demand (m³)]]="",Market_Data[[#This Row],[Avg Price per (₹ / m³)]]=""),"",Market_Data[[#This Row],[Estimated Concrete Demand (m³)]]*Market_Data[[#This Row],[Avg Price per (₹ / m³)]]/10000000)</f>
        <v>3.73725</v>
      </c>
      <c r="O290" s="97" t="str">
        <f>IF(Market_Data[[#This Row],[Estimated Concrete Demand (m³)]]="","",
IF(Market_Data[[#This Row],[Estimated Concrete Demand (m³)]]&lt;10000,"Small",
IF(Market_Data[[#This Row],[Estimated Concrete Demand (m³)]]&lt;25000,"Medium",
IF(Market_Data[[#This Row],[Estimated Concrete Demand (m³)]]&lt;100000,"Large","Mega"))))</f>
        <v>Small</v>
      </c>
      <c r="P290" s="287" t="str">
        <f t="shared" si="6"/>
        <v>GujRERA</v>
      </c>
    </row>
    <row r="291" spans="1:16">
      <c r="A291" s="129" t="str">
        <f>_xlfn.XLOOKUP(B291,$S$9:$S$14,$T$9:$T$14)&amp;"-"&amp;
IF(E291="Residential/Group Housing","RES",
IF(E291="Commercial","COM",
IF(E291="Mixed Development","MIX",
IF(E291="Plotted Development","PLT","OTH"))))
&amp;"-"&amp;TEXT(COUNTIFS($B$9:B291,B291,$E$9:E291,E291),"0000")</f>
        <v>NAV-MIX-0048</v>
      </c>
      <c r="B291" s="322" t="s">
        <v>37</v>
      </c>
      <c r="C291" s="322" t="s">
        <v>37</v>
      </c>
      <c r="D291" s="323" t="s">
        <v>477</v>
      </c>
      <c r="E291" s="132" t="s">
        <v>25</v>
      </c>
      <c r="F291" s="97" t="str">
        <f ca="1">IF(OR(Market_Data[[#This Row],[Start Date]]="",Market_Data[[#This Row],[Completion Date]]=""),"Needs Validation",IF(Market_Data[[#This Row],[Start Date]]&gt;TODAY(),"Planned",IF(Market_Data[[#This Row],[Completion Date]]&lt;TODAY(),"Completed","Ongoing")))</f>
        <v>Ongoing</v>
      </c>
      <c r="G291" s="324">
        <v>45142</v>
      </c>
      <c r="H291" s="324">
        <v>46752</v>
      </c>
      <c r="I291" s="325">
        <v>17600</v>
      </c>
      <c r="J29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1" s="133">
        <f>_xlfn.XLOOKUP(Market_Data[[#This Row],[Project Type]],tbl_assumptions_market[Project Category (RERA)],tbl_assumptions_market[Concrete Intensity
(m³ / sq m BUA)],"",0)</f>
        <v>0.42</v>
      </c>
      <c r="L291" s="134">
        <f>ROUND(Market_Data[[#This Row],[Estimated Built Up Area (sq m)]]*Market_Data[[#This Row],[Concrete Intensity
(m³ / sq m)]],0)</f>
        <v>7392</v>
      </c>
      <c r="M291" s="135">
        <f>_xlfn.XLOOKUP(Market_Data[[#This Row],[District]],tbl_district_price[District],tbl_district_price[Standard Price
(INR/m³)],"",0)</f>
        <v>5500</v>
      </c>
      <c r="N291" s="364">
        <f>IF(OR(Market_Data[[#This Row],[Estimated Concrete Demand (m³)]]="",Market_Data[[#This Row],[Avg Price per (₹ / m³)]]=""),"",Market_Data[[#This Row],[Estimated Concrete Demand (m³)]]*Market_Data[[#This Row],[Avg Price per (₹ / m³)]]/10000000)</f>
        <v>4.0655999999999999</v>
      </c>
      <c r="O291" s="97" t="str">
        <f>IF(Market_Data[[#This Row],[Estimated Concrete Demand (m³)]]="","",
IF(Market_Data[[#This Row],[Estimated Concrete Demand (m³)]]&lt;10000,"Small",
IF(Market_Data[[#This Row],[Estimated Concrete Demand (m³)]]&lt;25000,"Medium",
IF(Market_Data[[#This Row],[Estimated Concrete Demand (m³)]]&lt;100000,"Large","Mega"))))</f>
        <v>Small</v>
      </c>
      <c r="P291" s="287" t="str">
        <f t="shared" si="6"/>
        <v>GujRERA</v>
      </c>
    </row>
    <row r="292" spans="1:16">
      <c r="A292" s="129" t="str">
        <f>_xlfn.XLOOKUP(B292,$S$9:$S$14,$T$9:$T$14)&amp;"-"&amp;
IF(E292="Residential/Group Housing","RES",
IF(E292="Commercial","COM",
IF(E292="Mixed Development","MIX",
IF(E292="Plotted Development","PLT","OTH"))))
&amp;"-"&amp;TEXT(COUNTIFS($B$9:B292,B292,$E$9:E292,E292),"0000")</f>
        <v>NAV-MIX-0049</v>
      </c>
      <c r="B292" s="322" t="s">
        <v>37</v>
      </c>
      <c r="C292" s="322" t="s">
        <v>37</v>
      </c>
      <c r="D292" s="323" t="s">
        <v>478</v>
      </c>
      <c r="E292" s="132" t="s">
        <v>25</v>
      </c>
      <c r="F292" s="97" t="str">
        <f ca="1">IF(OR(Market_Data[[#This Row],[Start Date]]="",Market_Data[[#This Row],[Completion Date]]=""),"Needs Validation",IF(Market_Data[[#This Row],[Start Date]]&gt;TODAY(),"Planned",IF(Market_Data[[#This Row],[Completion Date]]&lt;TODAY(),"Completed","Ongoing")))</f>
        <v>Completed</v>
      </c>
      <c r="G292" s="324">
        <v>43221</v>
      </c>
      <c r="H292" s="324">
        <v>45107</v>
      </c>
      <c r="I292" s="325">
        <v>52300</v>
      </c>
      <c r="J29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2" s="133">
        <f>_xlfn.XLOOKUP(Market_Data[[#This Row],[Project Type]],tbl_assumptions_market[Project Category (RERA)],tbl_assumptions_market[Concrete Intensity
(m³ / sq m BUA)],"",0)</f>
        <v>0.42</v>
      </c>
      <c r="L292" s="134">
        <f>ROUND(Market_Data[[#This Row],[Estimated Built Up Area (sq m)]]*Market_Data[[#This Row],[Concrete Intensity
(m³ / sq m)]],0)</f>
        <v>21966</v>
      </c>
      <c r="M292" s="135">
        <f>_xlfn.XLOOKUP(Market_Data[[#This Row],[District]],tbl_district_price[District],tbl_district_price[Standard Price
(INR/m³)],"",0)</f>
        <v>5500</v>
      </c>
      <c r="N292" s="364">
        <f>IF(OR(Market_Data[[#This Row],[Estimated Concrete Demand (m³)]]="",Market_Data[[#This Row],[Avg Price per (₹ / m³)]]=""),"",Market_Data[[#This Row],[Estimated Concrete Demand (m³)]]*Market_Data[[#This Row],[Avg Price per (₹ / m³)]]/10000000)</f>
        <v>12.081300000000001</v>
      </c>
      <c r="O292" s="97" t="str">
        <f>IF(Market_Data[[#This Row],[Estimated Concrete Demand (m³)]]="","",
IF(Market_Data[[#This Row],[Estimated Concrete Demand (m³)]]&lt;10000,"Small",
IF(Market_Data[[#This Row],[Estimated Concrete Demand (m³)]]&lt;25000,"Medium",
IF(Market_Data[[#This Row],[Estimated Concrete Demand (m³)]]&lt;100000,"Large","Mega"))))</f>
        <v>Medium</v>
      </c>
      <c r="P292" s="287" t="str">
        <f t="shared" si="6"/>
        <v>GujRERA</v>
      </c>
    </row>
    <row r="293" spans="1:16">
      <c r="A293" s="129" t="str">
        <f>_xlfn.XLOOKUP(B293,$S$9:$S$14,$T$9:$T$14)&amp;"-"&amp;
IF(E293="Residential/Group Housing","RES",
IF(E293="Commercial","COM",
IF(E293="Mixed Development","MIX",
IF(E293="Plotted Development","PLT","OTH"))))
&amp;"-"&amp;TEXT(COUNTIFS($B$9:B293,B293,$E$9:E293,E293),"0000")</f>
        <v>NAV-MIX-0050</v>
      </c>
      <c r="B293" s="322" t="s">
        <v>37</v>
      </c>
      <c r="C293" s="322" t="s">
        <v>37</v>
      </c>
      <c r="D293" s="323" t="s">
        <v>479</v>
      </c>
      <c r="E293" s="132" t="s">
        <v>25</v>
      </c>
      <c r="F293" s="97" t="str">
        <f ca="1">IF(OR(Market_Data[[#This Row],[Start Date]]="",Market_Data[[#This Row],[Completion Date]]=""),"Needs Validation",IF(Market_Data[[#This Row],[Start Date]]&gt;TODAY(),"Planned",IF(Market_Data[[#This Row],[Completion Date]]&lt;TODAY(),"Completed","Ongoing")))</f>
        <v>Completed</v>
      </c>
      <c r="G293" s="324">
        <v>44060</v>
      </c>
      <c r="H293" s="324">
        <v>45291</v>
      </c>
      <c r="I293" s="325">
        <v>25200</v>
      </c>
      <c r="J29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3" s="133">
        <f>_xlfn.XLOOKUP(Market_Data[[#This Row],[Project Type]],tbl_assumptions_market[Project Category (RERA)],tbl_assumptions_market[Concrete Intensity
(m³ / sq m BUA)],"",0)</f>
        <v>0.42</v>
      </c>
      <c r="L293" s="134">
        <f>ROUND(Market_Data[[#This Row],[Estimated Built Up Area (sq m)]]*Market_Data[[#This Row],[Concrete Intensity
(m³ / sq m)]],0)</f>
        <v>10584</v>
      </c>
      <c r="M293" s="135">
        <f>_xlfn.XLOOKUP(Market_Data[[#This Row],[District]],tbl_district_price[District],tbl_district_price[Standard Price
(INR/m³)],"",0)</f>
        <v>5500</v>
      </c>
      <c r="N293" s="364">
        <f>IF(OR(Market_Data[[#This Row],[Estimated Concrete Demand (m³)]]="",Market_Data[[#This Row],[Avg Price per (₹ / m³)]]=""),"",Market_Data[[#This Row],[Estimated Concrete Demand (m³)]]*Market_Data[[#This Row],[Avg Price per (₹ / m³)]]/10000000)</f>
        <v>5.8212000000000002</v>
      </c>
      <c r="O293" s="97" t="str">
        <f>IF(Market_Data[[#This Row],[Estimated Concrete Demand (m³)]]="","",
IF(Market_Data[[#This Row],[Estimated Concrete Demand (m³)]]&lt;10000,"Small",
IF(Market_Data[[#This Row],[Estimated Concrete Demand (m³)]]&lt;25000,"Medium",
IF(Market_Data[[#This Row],[Estimated Concrete Demand (m³)]]&lt;100000,"Large","Mega"))))</f>
        <v>Medium</v>
      </c>
      <c r="P293" s="287" t="str">
        <f t="shared" si="6"/>
        <v>GujRERA</v>
      </c>
    </row>
    <row r="294" spans="1:16">
      <c r="A294" s="129" t="str">
        <f>_xlfn.XLOOKUP(B294,$S$9:$S$14,$T$9:$T$14)&amp;"-"&amp;
IF(E294="Residential/Group Housing","RES",
IF(E294="Commercial","COM",
IF(E294="Mixed Development","MIX",
IF(E294="Plotted Development","PLT","OTH"))))
&amp;"-"&amp;TEXT(COUNTIFS($B$9:B294,B294,$E$9:E294,E294),"0000")</f>
        <v>NAV-MIX-0051</v>
      </c>
      <c r="B294" s="322" t="s">
        <v>37</v>
      </c>
      <c r="C294" s="322" t="s">
        <v>37</v>
      </c>
      <c r="D294" s="323" t="s">
        <v>480</v>
      </c>
      <c r="E294" s="132" t="s">
        <v>25</v>
      </c>
      <c r="F294" s="97" t="str">
        <f ca="1">IF(OR(Market_Data[[#This Row],[Start Date]]="",Market_Data[[#This Row],[Completion Date]]=""),"Needs Validation",IF(Market_Data[[#This Row],[Start Date]]&gt;TODAY(),"Planned",IF(Market_Data[[#This Row],[Completion Date]]&lt;TODAY(),"Completed","Ongoing")))</f>
        <v>Ongoing</v>
      </c>
      <c r="G294" s="324">
        <v>44621</v>
      </c>
      <c r="H294" s="324">
        <v>47118</v>
      </c>
      <c r="I294" s="325">
        <v>16800</v>
      </c>
      <c r="J29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4" s="133">
        <f>_xlfn.XLOOKUP(Market_Data[[#This Row],[Project Type]],tbl_assumptions_market[Project Category (RERA)],tbl_assumptions_market[Concrete Intensity
(m³ / sq m BUA)],"",0)</f>
        <v>0.42</v>
      </c>
      <c r="L294" s="134">
        <f>ROUND(Market_Data[[#This Row],[Estimated Built Up Area (sq m)]]*Market_Data[[#This Row],[Concrete Intensity
(m³ / sq m)]],0)</f>
        <v>7056</v>
      </c>
      <c r="M294" s="135">
        <f>_xlfn.XLOOKUP(Market_Data[[#This Row],[District]],tbl_district_price[District],tbl_district_price[Standard Price
(INR/m³)],"",0)</f>
        <v>5500</v>
      </c>
      <c r="N294" s="364">
        <f>IF(OR(Market_Data[[#This Row],[Estimated Concrete Demand (m³)]]="",Market_Data[[#This Row],[Avg Price per (₹ / m³)]]=""),"",Market_Data[[#This Row],[Estimated Concrete Demand (m³)]]*Market_Data[[#This Row],[Avg Price per (₹ / m³)]]/10000000)</f>
        <v>3.8807999999999998</v>
      </c>
      <c r="O294" s="97" t="str">
        <f>IF(Market_Data[[#This Row],[Estimated Concrete Demand (m³)]]="","",
IF(Market_Data[[#This Row],[Estimated Concrete Demand (m³)]]&lt;10000,"Small",
IF(Market_Data[[#This Row],[Estimated Concrete Demand (m³)]]&lt;25000,"Medium",
IF(Market_Data[[#This Row],[Estimated Concrete Demand (m³)]]&lt;100000,"Large","Mega"))))</f>
        <v>Small</v>
      </c>
      <c r="P294" s="287" t="str">
        <f t="shared" si="6"/>
        <v>GujRERA</v>
      </c>
    </row>
    <row r="295" spans="1:16">
      <c r="A295" s="129" t="str">
        <f>_xlfn.XLOOKUP(B295,$S$9:$S$14,$T$9:$T$14)&amp;"-"&amp;
IF(E295="Residential/Group Housing","RES",
IF(E295="Commercial","COM",
IF(E295="Mixed Development","MIX",
IF(E295="Plotted Development","PLT","OTH"))))
&amp;"-"&amp;TEXT(COUNTIFS($B$9:B295,B295,$E$9:E295,E295),"0000")</f>
        <v>NAV-MIX-0052</v>
      </c>
      <c r="B295" s="322" t="s">
        <v>37</v>
      </c>
      <c r="C295" s="322" t="s">
        <v>37</v>
      </c>
      <c r="D295" s="323" t="s">
        <v>481</v>
      </c>
      <c r="E295" s="132" t="s">
        <v>25</v>
      </c>
      <c r="F295" s="97" t="str">
        <f ca="1">IF(OR(Market_Data[[#This Row],[Start Date]]="",Market_Data[[#This Row],[Completion Date]]=""),"Needs Validation",IF(Market_Data[[#This Row],[Start Date]]&gt;TODAY(),"Planned",IF(Market_Data[[#This Row],[Completion Date]]&lt;TODAY(),"Completed","Ongoing")))</f>
        <v>Ongoing</v>
      </c>
      <c r="G295" s="324">
        <v>44986</v>
      </c>
      <c r="H295" s="324">
        <v>46752</v>
      </c>
      <c r="I295" s="325">
        <v>31100</v>
      </c>
      <c r="J29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5" s="133">
        <f>_xlfn.XLOOKUP(Market_Data[[#This Row],[Project Type]],tbl_assumptions_market[Project Category (RERA)],tbl_assumptions_market[Concrete Intensity
(m³ / sq m BUA)],"",0)</f>
        <v>0.42</v>
      </c>
      <c r="L295" s="134">
        <f>ROUND(Market_Data[[#This Row],[Estimated Built Up Area (sq m)]]*Market_Data[[#This Row],[Concrete Intensity
(m³ / sq m)]],0)</f>
        <v>13062</v>
      </c>
      <c r="M295" s="135">
        <f>_xlfn.XLOOKUP(Market_Data[[#This Row],[District]],tbl_district_price[District],tbl_district_price[Standard Price
(INR/m³)],"",0)</f>
        <v>5500</v>
      </c>
      <c r="N295" s="364">
        <f>IF(OR(Market_Data[[#This Row],[Estimated Concrete Demand (m³)]]="",Market_Data[[#This Row],[Avg Price per (₹ / m³)]]=""),"",Market_Data[[#This Row],[Estimated Concrete Demand (m³)]]*Market_Data[[#This Row],[Avg Price per (₹ / m³)]]/10000000)</f>
        <v>7.1840999999999999</v>
      </c>
      <c r="O295" s="97" t="str">
        <f>IF(Market_Data[[#This Row],[Estimated Concrete Demand (m³)]]="","",
IF(Market_Data[[#This Row],[Estimated Concrete Demand (m³)]]&lt;10000,"Small",
IF(Market_Data[[#This Row],[Estimated Concrete Demand (m³)]]&lt;25000,"Medium",
IF(Market_Data[[#This Row],[Estimated Concrete Demand (m³)]]&lt;100000,"Large","Mega"))))</f>
        <v>Medium</v>
      </c>
      <c r="P295" s="287" t="str">
        <f t="shared" si="6"/>
        <v>GujRERA</v>
      </c>
    </row>
    <row r="296" spans="1:16">
      <c r="A296" s="129" t="str">
        <f>_xlfn.XLOOKUP(B296,$S$9:$S$14,$T$9:$T$14)&amp;"-"&amp;
IF(E296="Residential/Group Housing","RES",
IF(E296="Commercial","COM",
IF(E296="Mixed Development","MIX",
IF(E296="Plotted Development","PLT","OTH"))))
&amp;"-"&amp;TEXT(COUNTIFS($B$9:B296,B296,$E$9:E296,E296),"0000")</f>
        <v>NAV-MIX-0053</v>
      </c>
      <c r="B296" s="322" t="s">
        <v>37</v>
      </c>
      <c r="C296" s="322" t="s">
        <v>37</v>
      </c>
      <c r="D296" s="323" t="s">
        <v>482</v>
      </c>
      <c r="E296" s="132" t="s">
        <v>25</v>
      </c>
      <c r="F296" s="97" t="str">
        <f ca="1">IF(OR(Market_Data[[#This Row],[Start Date]]="",Market_Data[[#This Row],[Completion Date]]=""),"Needs Validation",IF(Market_Data[[#This Row],[Start Date]]&gt;TODAY(),"Planned",IF(Market_Data[[#This Row],[Completion Date]]&lt;TODAY(),"Completed","Ongoing")))</f>
        <v>Completed</v>
      </c>
      <c r="G296" s="324">
        <v>43181</v>
      </c>
      <c r="H296" s="324">
        <v>44377</v>
      </c>
      <c r="I296" s="325">
        <v>52600</v>
      </c>
      <c r="J29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6" s="133">
        <f>_xlfn.XLOOKUP(Market_Data[[#This Row],[Project Type]],tbl_assumptions_market[Project Category (RERA)],tbl_assumptions_market[Concrete Intensity
(m³ / sq m BUA)],"",0)</f>
        <v>0.42</v>
      </c>
      <c r="L296" s="134">
        <f>ROUND(Market_Data[[#This Row],[Estimated Built Up Area (sq m)]]*Market_Data[[#This Row],[Concrete Intensity
(m³ / sq m)]],0)</f>
        <v>22092</v>
      </c>
      <c r="M296" s="135">
        <f>_xlfn.XLOOKUP(Market_Data[[#This Row],[District]],tbl_district_price[District],tbl_district_price[Standard Price
(INR/m³)],"",0)</f>
        <v>5500</v>
      </c>
      <c r="N296" s="364">
        <f>IF(OR(Market_Data[[#This Row],[Estimated Concrete Demand (m³)]]="",Market_Data[[#This Row],[Avg Price per (₹ / m³)]]=""),"",Market_Data[[#This Row],[Estimated Concrete Demand (m³)]]*Market_Data[[#This Row],[Avg Price per (₹ / m³)]]/10000000)</f>
        <v>12.150600000000001</v>
      </c>
      <c r="O296" s="97" t="str">
        <f>IF(Market_Data[[#This Row],[Estimated Concrete Demand (m³)]]="","",
IF(Market_Data[[#This Row],[Estimated Concrete Demand (m³)]]&lt;10000,"Small",
IF(Market_Data[[#This Row],[Estimated Concrete Demand (m³)]]&lt;25000,"Medium",
IF(Market_Data[[#This Row],[Estimated Concrete Demand (m³)]]&lt;100000,"Large","Mega"))))</f>
        <v>Medium</v>
      </c>
      <c r="P296" s="287" t="str">
        <f t="shared" si="6"/>
        <v>GujRERA</v>
      </c>
    </row>
    <row r="297" spans="1:16">
      <c r="A297" s="129" t="str">
        <f>_xlfn.XLOOKUP(B297,$S$9:$S$14,$T$9:$T$14)&amp;"-"&amp;
IF(E297="Residential/Group Housing","RES",
IF(E297="Commercial","COM",
IF(E297="Mixed Development","MIX",
IF(E297="Plotted Development","PLT","OTH"))))
&amp;"-"&amp;TEXT(COUNTIFS($B$9:B297,B297,$E$9:E297,E297),"0000")</f>
        <v>NAV-MIX-0054</v>
      </c>
      <c r="B297" s="322" t="s">
        <v>37</v>
      </c>
      <c r="C297" s="322" t="s">
        <v>37</v>
      </c>
      <c r="D297" s="323" t="s">
        <v>483</v>
      </c>
      <c r="E297" s="132" t="s">
        <v>25</v>
      </c>
      <c r="F297" s="97" t="str">
        <f ca="1">IF(OR(Market_Data[[#This Row],[Start Date]]="",Market_Data[[#This Row],[Completion Date]]=""),"Needs Validation",IF(Market_Data[[#This Row],[Start Date]]&gt;TODAY(),"Planned",IF(Market_Data[[#This Row],[Completion Date]]&lt;TODAY(),"Completed","Ongoing")))</f>
        <v>Completed</v>
      </c>
      <c r="G297" s="324">
        <v>44613</v>
      </c>
      <c r="H297" s="324">
        <v>45382</v>
      </c>
      <c r="I297" s="325">
        <v>51900</v>
      </c>
      <c r="J29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7" s="133">
        <f>_xlfn.XLOOKUP(Market_Data[[#This Row],[Project Type]],tbl_assumptions_market[Project Category (RERA)],tbl_assumptions_market[Concrete Intensity
(m³ / sq m BUA)],"",0)</f>
        <v>0.42</v>
      </c>
      <c r="L297" s="134">
        <f>ROUND(Market_Data[[#This Row],[Estimated Built Up Area (sq m)]]*Market_Data[[#This Row],[Concrete Intensity
(m³ / sq m)]],0)</f>
        <v>21798</v>
      </c>
      <c r="M297" s="135">
        <f>_xlfn.XLOOKUP(Market_Data[[#This Row],[District]],tbl_district_price[District],tbl_district_price[Standard Price
(INR/m³)],"",0)</f>
        <v>5500</v>
      </c>
      <c r="N297" s="364">
        <f>IF(OR(Market_Data[[#This Row],[Estimated Concrete Demand (m³)]]="",Market_Data[[#This Row],[Avg Price per (₹ / m³)]]=""),"",Market_Data[[#This Row],[Estimated Concrete Demand (m³)]]*Market_Data[[#This Row],[Avg Price per (₹ / m³)]]/10000000)</f>
        <v>11.988899999999999</v>
      </c>
      <c r="O297" s="97" t="str">
        <f>IF(Market_Data[[#This Row],[Estimated Concrete Demand (m³)]]="","",
IF(Market_Data[[#This Row],[Estimated Concrete Demand (m³)]]&lt;10000,"Small",
IF(Market_Data[[#This Row],[Estimated Concrete Demand (m³)]]&lt;25000,"Medium",
IF(Market_Data[[#This Row],[Estimated Concrete Demand (m³)]]&lt;100000,"Large","Mega"))))</f>
        <v>Medium</v>
      </c>
      <c r="P297" s="287" t="str">
        <f t="shared" si="6"/>
        <v>GujRERA</v>
      </c>
    </row>
    <row r="298" spans="1:16">
      <c r="A298" s="129" t="str">
        <f>_xlfn.XLOOKUP(B298,$S$9:$S$14,$T$9:$T$14)&amp;"-"&amp;
IF(E298="Residential/Group Housing","RES",
IF(E298="Commercial","COM",
IF(E298="Mixed Development","MIX",
IF(E298="Plotted Development","PLT","OTH"))))
&amp;"-"&amp;TEXT(COUNTIFS($B$9:B298,B298,$E$9:E298,E298),"0000")</f>
        <v>NAV-MIX-0055</v>
      </c>
      <c r="B298" s="322" t="s">
        <v>37</v>
      </c>
      <c r="C298" s="322" t="s">
        <v>37</v>
      </c>
      <c r="D298" s="323" t="s">
        <v>484</v>
      </c>
      <c r="E298" s="132" t="s">
        <v>25</v>
      </c>
      <c r="F298" s="97" t="str">
        <f ca="1">IF(OR(Market_Data[[#This Row],[Start Date]]="",Market_Data[[#This Row],[Completion Date]]=""),"Needs Validation",IF(Market_Data[[#This Row],[Start Date]]&gt;TODAY(),"Planned",IF(Market_Data[[#This Row],[Completion Date]]&lt;TODAY(),"Completed","Ongoing")))</f>
        <v>Ongoing</v>
      </c>
      <c r="G298" s="324">
        <v>45689</v>
      </c>
      <c r="H298" s="324">
        <v>47208</v>
      </c>
      <c r="I298" s="325">
        <v>53300</v>
      </c>
      <c r="J29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8" s="133">
        <f>_xlfn.XLOOKUP(Market_Data[[#This Row],[Project Type]],tbl_assumptions_market[Project Category (RERA)],tbl_assumptions_market[Concrete Intensity
(m³ / sq m BUA)],"",0)</f>
        <v>0.42</v>
      </c>
      <c r="L298" s="134">
        <f>ROUND(Market_Data[[#This Row],[Estimated Built Up Area (sq m)]]*Market_Data[[#This Row],[Concrete Intensity
(m³ / sq m)]],0)</f>
        <v>22386</v>
      </c>
      <c r="M298" s="135">
        <f>_xlfn.XLOOKUP(Market_Data[[#This Row],[District]],tbl_district_price[District],tbl_district_price[Standard Price
(INR/m³)],"",0)</f>
        <v>5500</v>
      </c>
      <c r="N298" s="364">
        <f>IF(OR(Market_Data[[#This Row],[Estimated Concrete Demand (m³)]]="",Market_Data[[#This Row],[Avg Price per (₹ / m³)]]=""),"",Market_Data[[#This Row],[Estimated Concrete Demand (m³)]]*Market_Data[[#This Row],[Avg Price per (₹ / m³)]]/10000000)</f>
        <v>12.3123</v>
      </c>
      <c r="O298" s="97" t="str">
        <f>IF(Market_Data[[#This Row],[Estimated Concrete Demand (m³)]]="","",
IF(Market_Data[[#This Row],[Estimated Concrete Demand (m³)]]&lt;10000,"Small",
IF(Market_Data[[#This Row],[Estimated Concrete Demand (m³)]]&lt;25000,"Medium",
IF(Market_Data[[#This Row],[Estimated Concrete Demand (m³)]]&lt;100000,"Large","Mega"))))</f>
        <v>Medium</v>
      </c>
      <c r="P298" s="287" t="str">
        <f t="shared" si="6"/>
        <v>GujRERA</v>
      </c>
    </row>
    <row r="299" spans="1:16">
      <c r="A299" s="129" t="str">
        <f>_xlfn.XLOOKUP(B299,$S$9:$S$14,$T$9:$T$14)&amp;"-"&amp;
IF(E299="Residential/Group Housing","RES",
IF(E299="Commercial","COM",
IF(E299="Mixed Development","MIX",
IF(E299="Plotted Development","PLT","OTH"))))
&amp;"-"&amp;TEXT(COUNTIFS($B$9:B299,B299,$E$9:E299,E299),"0000")</f>
        <v>NAV-MIX-0056</v>
      </c>
      <c r="B299" s="322" t="s">
        <v>37</v>
      </c>
      <c r="C299" s="322" t="s">
        <v>37</v>
      </c>
      <c r="D299" s="323" t="s">
        <v>485</v>
      </c>
      <c r="E299" s="132" t="s">
        <v>25</v>
      </c>
      <c r="F299" s="97" t="str">
        <f ca="1">IF(OR(Market_Data[[#This Row],[Start Date]]="",Market_Data[[#This Row],[Completion Date]]=""),"Needs Validation",IF(Market_Data[[#This Row],[Start Date]]&gt;TODAY(),"Planned",IF(Market_Data[[#This Row],[Completion Date]]&lt;TODAY(),"Completed","Ongoing")))</f>
        <v>Ongoing</v>
      </c>
      <c r="G299" s="324">
        <v>45292</v>
      </c>
      <c r="H299" s="324">
        <v>46843</v>
      </c>
      <c r="I299" s="325">
        <v>15400</v>
      </c>
      <c r="J29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9" s="133">
        <f>_xlfn.XLOOKUP(Market_Data[[#This Row],[Project Type]],tbl_assumptions_market[Project Category (RERA)],tbl_assumptions_market[Concrete Intensity
(m³ / sq m BUA)],"",0)</f>
        <v>0.42</v>
      </c>
      <c r="L299" s="134">
        <f>ROUND(Market_Data[[#This Row],[Estimated Built Up Area (sq m)]]*Market_Data[[#This Row],[Concrete Intensity
(m³ / sq m)]],0)</f>
        <v>6468</v>
      </c>
      <c r="M299" s="135">
        <f>_xlfn.XLOOKUP(Market_Data[[#This Row],[District]],tbl_district_price[District],tbl_district_price[Standard Price
(INR/m³)],"",0)</f>
        <v>5500</v>
      </c>
      <c r="N299" s="364">
        <f>IF(OR(Market_Data[[#This Row],[Estimated Concrete Demand (m³)]]="",Market_Data[[#This Row],[Avg Price per (₹ / m³)]]=""),"",Market_Data[[#This Row],[Estimated Concrete Demand (m³)]]*Market_Data[[#This Row],[Avg Price per (₹ / m³)]]/10000000)</f>
        <v>3.5573999999999999</v>
      </c>
      <c r="O299" s="97" t="str">
        <f>IF(Market_Data[[#This Row],[Estimated Concrete Demand (m³)]]="","",
IF(Market_Data[[#This Row],[Estimated Concrete Demand (m³)]]&lt;10000,"Small",
IF(Market_Data[[#This Row],[Estimated Concrete Demand (m³)]]&lt;25000,"Medium",
IF(Market_Data[[#This Row],[Estimated Concrete Demand (m³)]]&lt;100000,"Large","Mega"))))</f>
        <v>Small</v>
      </c>
      <c r="P299" s="287" t="str">
        <f t="shared" si="6"/>
        <v>GujRERA</v>
      </c>
    </row>
    <row r="300" spans="1:16">
      <c r="A300" s="129" t="str">
        <f>_xlfn.XLOOKUP(B300,$S$9:$S$14,$T$9:$T$14)&amp;"-"&amp;
IF(E300="Residential/Group Housing","RES",
IF(E300="Commercial","COM",
IF(E300="Mixed Development","MIX",
IF(E300="Plotted Development","PLT","OTH"))))
&amp;"-"&amp;TEXT(COUNTIFS($B$9:B300,B300,$E$9:E300,E300),"0000")</f>
        <v>NAV-RES-0032</v>
      </c>
      <c r="B300" s="322" t="s">
        <v>37</v>
      </c>
      <c r="C300" s="322" t="s">
        <v>37</v>
      </c>
      <c r="D300" s="323" t="s">
        <v>486</v>
      </c>
      <c r="E300" s="132" t="s">
        <v>24</v>
      </c>
      <c r="F300" s="97" t="str">
        <f ca="1">IF(OR(Market_Data[[#This Row],[Start Date]]="",Market_Data[[#This Row],[Completion Date]]=""),"Needs Validation",IF(Market_Data[[#This Row],[Start Date]]&gt;TODAY(),"Planned",IF(Market_Data[[#This Row],[Completion Date]]&lt;TODAY(),"Completed","Ongoing")))</f>
        <v>Ongoing</v>
      </c>
      <c r="G300" s="324">
        <v>45717</v>
      </c>
      <c r="H300" s="324">
        <v>46477</v>
      </c>
      <c r="I300" s="325">
        <v>57500</v>
      </c>
      <c r="J30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0" s="133">
        <f>_xlfn.XLOOKUP(Market_Data[[#This Row],[Project Type]],tbl_assumptions_market[Project Category (RERA)],tbl_assumptions_market[Concrete Intensity
(m³ / sq m BUA)],"",0)</f>
        <v>0.45</v>
      </c>
      <c r="L300" s="134">
        <f>ROUND(Market_Data[[#This Row],[Estimated Built Up Area (sq m)]]*Market_Data[[#This Row],[Concrete Intensity
(m³ / sq m)]],0)</f>
        <v>25875</v>
      </c>
      <c r="M300" s="135">
        <f>_xlfn.XLOOKUP(Market_Data[[#This Row],[District]],tbl_district_price[District],tbl_district_price[Standard Price
(INR/m³)],"",0)</f>
        <v>5500</v>
      </c>
      <c r="N300" s="364">
        <f>IF(OR(Market_Data[[#This Row],[Estimated Concrete Demand (m³)]]="",Market_Data[[#This Row],[Avg Price per (₹ / m³)]]=""),"",Market_Data[[#This Row],[Estimated Concrete Demand (m³)]]*Market_Data[[#This Row],[Avg Price per (₹ / m³)]]/10000000)</f>
        <v>14.231249999999999</v>
      </c>
      <c r="O300" s="97" t="str">
        <f>IF(Market_Data[[#This Row],[Estimated Concrete Demand (m³)]]="","",
IF(Market_Data[[#This Row],[Estimated Concrete Demand (m³)]]&lt;10000,"Small",
IF(Market_Data[[#This Row],[Estimated Concrete Demand (m³)]]&lt;25000,"Medium",
IF(Market_Data[[#This Row],[Estimated Concrete Demand (m³)]]&lt;100000,"Large","Mega"))))</f>
        <v>Large</v>
      </c>
      <c r="P300" s="287" t="str">
        <f t="shared" si="6"/>
        <v>GujRERA</v>
      </c>
    </row>
    <row r="301" spans="1:16">
      <c r="A301" s="129" t="str">
        <f>_xlfn.XLOOKUP(B301,$S$9:$S$14,$T$9:$T$14)&amp;"-"&amp;
IF(E301="Residential/Group Housing","RES",
IF(E301="Commercial","COM",
IF(E301="Mixed Development","MIX",
IF(E301="Plotted Development","PLT","OTH"))))
&amp;"-"&amp;TEXT(COUNTIFS($B$9:B301,B301,$E$9:E301,E301),"0000")</f>
        <v>NAV-MIX-0057</v>
      </c>
      <c r="B301" s="322" t="s">
        <v>37</v>
      </c>
      <c r="C301" s="322" t="s">
        <v>37</v>
      </c>
      <c r="D301" s="323" t="s">
        <v>487</v>
      </c>
      <c r="E301" s="132" t="s">
        <v>25</v>
      </c>
      <c r="F301" s="97" t="str">
        <f ca="1">IF(OR(Market_Data[[#This Row],[Start Date]]="",Market_Data[[#This Row],[Completion Date]]=""),"Needs Validation",IF(Market_Data[[#This Row],[Start Date]]&gt;TODAY(),"Planned",IF(Market_Data[[#This Row],[Completion Date]]&lt;TODAY(),"Completed","Ongoing")))</f>
        <v>Ongoing</v>
      </c>
      <c r="G301" s="324">
        <v>44270</v>
      </c>
      <c r="H301" s="324">
        <v>46843</v>
      </c>
      <c r="I301" s="325">
        <v>12800</v>
      </c>
      <c r="J30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1" s="133">
        <f>_xlfn.XLOOKUP(Market_Data[[#This Row],[Project Type]],tbl_assumptions_market[Project Category (RERA)],tbl_assumptions_market[Concrete Intensity
(m³ / sq m BUA)],"",0)</f>
        <v>0.42</v>
      </c>
      <c r="L301" s="134">
        <f>ROUND(Market_Data[[#This Row],[Estimated Built Up Area (sq m)]]*Market_Data[[#This Row],[Concrete Intensity
(m³ / sq m)]],0)</f>
        <v>5376</v>
      </c>
      <c r="M301" s="135">
        <f>_xlfn.XLOOKUP(Market_Data[[#This Row],[District]],tbl_district_price[District],tbl_district_price[Standard Price
(INR/m³)],"",0)</f>
        <v>5500</v>
      </c>
      <c r="N301" s="364">
        <f>IF(OR(Market_Data[[#This Row],[Estimated Concrete Demand (m³)]]="",Market_Data[[#This Row],[Avg Price per (₹ / m³)]]=""),"",Market_Data[[#This Row],[Estimated Concrete Demand (m³)]]*Market_Data[[#This Row],[Avg Price per (₹ / m³)]]/10000000)</f>
        <v>2.9567999999999999</v>
      </c>
      <c r="O301" s="97" t="str">
        <f>IF(Market_Data[[#This Row],[Estimated Concrete Demand (m³)]]="","",
IF(Market_Data[[#This Row],[Estimated Concrete Demand (m³)]]&lt;10000,"Small",
IF(Market_Data[[#This Row],[Estimated Concrete Demand (m³)]]&lt;25000,"Medium",
IF(Market_Data[[#This Row],[Estimated Concrete Demand (m³)]]&lt;100000,"Large","Mega"))))</f>
        <v>Small</v>
      </c>
      <c r="P301" s="287" t="str">
        <f t="shared" si="6"/>
        <v>GujRERA</v>
      </c>
    </row>
    <row r="302" spans="1:16">
      <c r="A302" s="129" t="str">
        <f>_xlfn.XLOOKUP(B302,$S$9:$S$14,$T$9:$T$14)&amp;"-"&amp;
IF(E302="Residential/Group Housing","RES",
IF(E302="Commercial","COM",
IF(E302="Mixed Development","MIX",
IF(E302="Plotted Development","PLT","OTH"))))
&amp;"-"&amp;TEXT(COUNTIFS($B$9:B302,B302,$E$9:E302,E302),"0000")</f>
        <v>NAV-MIX-0058</v>
      </c>
      <c r="B302" s="322" t="s">
        <v>37</v>
      </c>
      <c r="C302" s="322" t="s">
        <v>37</v>
      </c>
      <c r="D302" s="323" t="s">
        <v>488</v>
      </c>
      <c r="E302" s="132" t="s">
        <v>25</v>
      </c>
      <c r="F302" s="97" t="str">
        <f ca="1">IF(OR(Market_Data[[#This Row],[Start Date]]="",Market_Data[[#This Row],[Completion Date]]=""),"Needs Validation",IF(Market_Data[[#This Row],[Start Date]]&gt;TODAY(),"Planned",IF(Market_Data[[#This Row],[Completion Date]]&lt;TODAY(),"Completed","Ongoing")))</f>
        <v>Completed</v>
      </c>
      <c r="G302" s="324">
        <v>43179</v>
      </c>
      <c r="H302" s="324">
        <v>43921</v>
      </c>
      <c r="I302" s="325">
        <v>16800</v>
      </c>
      <c r="J30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2" s="133">
        <f>_xlfn.XLOOKUP(Market_Data[[#This Row],[Project Type]],tbl_assumptions_market[Project Category (RERA)],tbl_assumptions_market[Concrete Intensity
(m³ / sq m BUA)],"",0)</f>
        <v>0.42</v>
      </c>
      <c r="L302" s="134">
        <f>ROUND(Market_Data[[#This Row],[Estimated Built Up Area (sq m)]]*Market_Data[[#This Row],[Concrete Intensity
(m³ / sq m)]],0)</f>
        <v>7056</v>
      </c>
      <c r="M302" s="135">
        <f>_xlfn.XLOOKUP(Market_Data[[#This Row],[District]],tbl_district_price[District],tbl_district_price[Standard Price
(INR/m³)],"",0)</f>
        <v>5500</v>
      </c>
      <c r="N302" s="364">
        <f>IF(OR(Market_Data[[#This Row],[Estimated Concrete Demand (m³)]]="",Market_Data[[#This Row],[Avg Price per (₹ / m³)]]=""),"",Market_Data[[#This Row],[Estimated Concrete Demand (m³)]]*Market_Data[[#This Row],[Avg Price per (₹ / m³)]]/10000000)</f>
        <v>3.8807999999999998</v>
      </c>
      <c r="O302" s="97" t="str">
        <f>IF(Market_Data[[#This Row],[Estimated Concrete Demand (m³)]]="","",
IF(Market_Data[[#This Row],[Estimated Concrete Demand (m³)]]&lt;10000,"Small",
IF(Market_Data[[#This Row],[Estimated Concrete Demand (m³)]]&lt;25000,"Medium",
IF(Market_Data[[#This Row],[Estimated Concrete Demand (m³)]]&lt;100000,"Large","Mega"))))</f>
        <v>Small</v>
      </c>
      <c r="P302" s="287" t="str">
        <f t="shared" si="6"/>
        <v>GujRERA</v>
      </c>
    </row>
    <row r="303" spans="1:16">
      <c r="A303" s="129" t="str">
        <f>_xlfn.XLOOKUP(B303,$S$9:$S$14,$T$9:$T$14)&amp;"-"&amp;
IF(E303="Residential/Group Housing","RES",
IF(E303="Commercial","COM",
IF(E303="Mixed Development","MIX",
IF(E303="Plotted Development","PLT","OTH"))))
&amp;"-"&amp;TEXT(COUNTIFS($B$9:B303,B303,$E$9:E303,E303),"0000")</f>
        <v>NAV-MIX-0059</v>
      </c>
      <c r="B303" s="322" t="s">
        <v>37</v>
      </c>
      <c r="C303" s="322" t="s">
        <v>37</v>
      </c>
      <c r="D303" s="323" t="s">
        <v>489</v>
      </c>
      <c r="E303" s="132" t="s">
        <v>25</v>
      </c>
      <c r="F303" s="97" t="str">
        <f ca="1">IF(OR(Market_Data[[#This Row],[Start Date]]="",Market_Data[[#This Row],[Completion Date]]=""),"Needs Validation",IF(Market_Data[[#This Row],[Start Date]]&gt;TODAY(),"Planned",IF(Market_Data[[#This Row],[Completion Date]]&lt;TODAY(),"Completed","Ongoing")))</f>
        <v>Ongoing</v>
      </c>
      <c r="G303" s="324">
        <v>45078</v>
      </c>
      <c r="H303" s="324">
        <v>47483</v>
      </c>
      <c r="I303" s="325">
        <v>49500</v>
      </c>
      <c r="J30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3" s="133">
        <f>_xlfn.XLOOKUP(Market_Data[[#This Row],[Project Type]],tbl_assumptions_market[Project Category (RERA)],tbl_assumptions_market[Concrete Intensity
(m³ / sq m BUA)],"",0)</f>
        <v>0.42</v>
      </c>
      <c r="L303" s="134">
        <f>ROUND(Market_Data[[#This Row],[Estimated Built Up Area (sq m)]]*Market_Data[[#This Row],[Concrete Intensity
(m³ / sq m)]],0)</f>
        <v>20790</v>
      </c>
      <c r="M303" s="135">
        <f>_xlfn.XLOOKUP(Market_Data[[#This Row],[District]],tbl_district_price[District],tbl_district_price[Standard Price
(INR/m³)],"",0)</f>
        <v>5500</v>
      </c>
      <c r="N303" s="364">
        <f>IF(OR(Market_Data[[#This Row],[Estimated Concrete Demand (m³)]]="",Market_Data[[#This Row],[Avg Price per (₹ / m³)]]=""),"",Market_Data[[#This Row],[Estimated Concrete Demand (m³)]]*Market_Data[[#This Row],[Avg Price per (₹ / m³)]]/10000000)</f>
        <v>11.4345</v>
      </c>
      <c r="O303" s="97" t="str">
        <f>IF(Market_Data[[#This Row],[Estimated Concrete Demand (m³)]]="","",
IF(Market_Data[[#This Row],[Estimated Concrete Demand (m³)]]&lt;10000,"Small",
IF(Market_Data[[#This Row],[Estimated Concrete Demand (m³)]]&lt;25000,"Medium",
IF(Market_Data[[#This Row],[Estimated Concrete Demand (m³)]]&lt;100000,"Large","Mega"))))</f>
        <v>Medium</v>
      </c>
      <c r="P303" s="287" t="str">
        <f t="shared" si="6"/>
        <v>GujRERA</v>
      </c>
    </row>
    <row r="304" spans="1:16">
      <c r="A304" s="129" t="str">
        <f>_xlfn.XLOOKUP(B304,$S$9:$S$14,$T$9:$T$14)&amp;"-"&amp;
IF(E304="Residential/Group Housing","RES",
IF(E304="Commercial","COM",
IF(E304="Mixed Development","MIX",
IF(E304="Plotted Development","PLT","OTH"))))
&amp;"-"&amp;TEXT(COUNTIFS($B$9:B304,B304,$E$9:E304,E304),"0000")</f>
        <v>NAV-COM-0007</v>
      </c>
      <c r="B304" s="322" t="s">
        <v>37</v>
      </c>
      <c r="C304" s="322" t="s">
        <v>37</v>
      </c>
      <c r="D304" s="323" t="s">
        <v>490</v>
      </c>
      <c r="E304" s="132" t="s">
        <v>23</v>
      </c>
      <c r="F304" s="97" t="str">
        <f ca="1">IF(OR(Market_Data[[#This Row],[Start Date]]="",Market_Data[[#This Row],[Completion Date]]=""),"Needs Validation",IF(Market_Data[[#This Row],[Start Date]]&gt;TODAY(),"Planned",IF(Market_Data[[#This Row],[Completion Date]]&lt;TODAY(),"Completed","Ongoing")))</f>
        <v>Ongoing</v>
      </c>
      <c r="G304" s="324">
        <v>44302</v>
      </c>
      <c r="H304" s="324">
        <v>46387</v>
      </c>
      <c r="I304" s="325">
        <v>16000</v>
      </c>
      <c r="J30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4" s="133">
        <f>_xlfn.XLOOKUP(Market_Data[[#This Row],[Project Type]],tbl_assumptions_market[Project Category (RERA)],tbl_assumptions_market[Concrete Intensity
(m³ / sq m BUA)],"",0)</f>
        <v>0.5</v>
      </c>
      <c r="L304" s="134">
        <f>ROUND(Market_Data[[#This Row],[Estimated Built Up Area (sq m)]]*Market_Data[[#This Row],[Concrete Intensity
(m³ / sq m)]],0)</f>
        <v>8000</v>
      </c>
      <c r="M304" s="135">
        <f>_xlfn.XLOOKUP(Market_Data[[#This Row],[District]],tbl_district_price[District],tbl_district_price[Standard Price
(INR/m³)],"",0)</f>
        <v>5500</v>
      </c>
      <c r="N304" s="364">
        <f>IF(OR(Market_Data[[#This Row],[Estimated Concrete Demand (m³)]]="",Market_Data[[#This Row],[Avg Price per (₹ / m³)]]=""),"",Market_Data[[#This Row],[Estimated Concrete Demand (m³)]]*Market_Data[[#This Row],[Avg Price per (₹ / m³)]]/10000000)</f>
        <v>4.4000000000000004</v>
      </c>
      <c r="O304" s="97" t="str">
        <f>IF(Market_Data[[#This Row],[Estimated Concrete Demand (m³)]]="","",
IF(Market_Data[[#This Row],[Estimated Concrete Demand (m³)]]&lt;10000,"Small",
IF(Market_Data[[#This Row],[Estimated Concrete Demand (m³)]]&lt;25000,"Medium",
IF(Market_Data[[#This Row],[Estimated Concrete Demand (m³)]]&lt;100000,"Large","Mega"))))</f>
        <v>Small</v>
      </c>
      <c r="P304" s="287" t="str">
        <f t="shared" si="6"/>
        <v>GujRERA</v>
      </c>
    </row>
    <row r="305" spans="1:16">
      <c r="A305" s="129" t="str">
        <f>_xlfn.XLOOKUP(B305,$S$9:$S$14,$T$9:$T$14)&amp;"-"&amp;
IF(E305="Residential/Group Housing","RES",
IF(E305="Commercial","COM",
IF(E305="Mixed Development","MIX",
IF(E305="Plotted Development","PLT","OTH"))))
&amp;"-"&amp;TEXT(COUNTIFS($B$9:B305,B305,$E$9:E305,E305),"0000")</f>
        <v>NAV-COM-0008</v>
      </c>
      <c r="B305" s="322" t="s">
        <v>37</v>
      </c>
      <c r="C305" s="322" t="s">
        <v>37</v>
      </c>
      <c r="D305" s="323" t="s">
        <v>491</v>
      </c>
      <c r="E305" s="132" t="s">
        <v>23</v>
      </c>
      <c r="F305" s="97" t="str">
        <f ca="1">IF(OR(Market_Data[[#This Row],[Start Date]]="",Market_Data[[#This Row],[Completion Date]]=""),"Needs Validation",IF(Market_Data[[#This Row],[Start Date]]&gt;TODAY(),"Planned",IF(Market_Data[[#This Row],[Completion Date]]&lt;TODAY(),"Completed","Ongoing")))</f>
        <v>Ongoing</v>
      </c>
      <c r="G305" s="324">
        <v>45108</v>
      </c>
      <c r="H305" s="324">
        <v>46843</v>
      </c>
      <c r="I305" s="325">
        <v>53800</v>
      </c>
      <c r="J30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305" s="133">
        <f>_xlfn.XLOOKUP(Market_Data[[#This Row],[Project Type]],tbl_assumptions_market[Project Category (RERA)],tbl_assumptions_market[Concrete Intensity
(m³ / sq m BUA)],"",0)</f>
        <v>0.5</v>
      </c>
      <c r="L305" s="134">
        <f>ROUND(Market_Data[[#This Row],[Estimated Built Up Area (sq m)]]*Market_Data[[#This Row],[Concrete Intensity
(m³ / sq m)]],0)</f>
        <v>26900</v>
      </c>
      <c r="M305" s="135">
        <f>_xlfn.XLOOKUP(Market_Data[[#This Row],[District]],tbl_district_price[District],tbl_district_price[Standard Price
(INR/m³)],"",0)</f>
        <v>5500</v>
      </c>
      <c r="N305" s="364">
        <f>IF(OR(Market_Data[[#This Row],[Estimated Concrete Demand (m³)]]="",Market_Data[[#This Row],[Avg Price per (₹ / m³)]]=""),"",Market_Data[[#This Row],[Estimated Concrete Demand (m³)]]*Market_Data[[#This Row],[Avg Price per (₹ / m³)]]/10000000)</f>
        <v>14.795</v>
      </c>
      <c r="O305" s="97" t="str">
        <f>IF(Market_Data[[#This Row],[Estimated Concrete Demand (m³)]]="","",
IF(Market_Data[[#This Row],[Estimated Concrete Demand (m³)]]&lt;10000,"Small",
IF(Market_Data[[#This Row],[Estimated Concrete Demand (m³)]]&lt;25000,"Medium",
IF(Market_Data[[#This Row],[Estimated Concrete Demand (m³)]]&lt;100000,"Large","Mega"))))</f>
        <v>Large</v>
      </c>
      <c r="P305" s="287" t="str">
        <f t="shared" si="6"/>
        <v>GujRERA</v>
      </c>
    </row>
    <row r="306" spans="1:16">
      <c r="A306" s="129" t="str">
        <f>_xlfn.XLOOKUP(B306,$S$9:$S$14,$T$9:$T$14)&amp;"-"&amp;
IF(E306="Residential/Group Housing","RES",
IF(E306="Commercial","COM",
IF(E306="Mixed Development","MIX",
IF(E306="Plotted Development","PLT","OTH"))))
&amp;"-"&amp;TEXT(COUNTIFS($B$9:B306,B306,$E$9:E306,E306),"0000")</f>
        <v>NAV-MIX-0060</v>
      </c>
      <c r="B306" s="322" t="s">
        <v>37</v>
      </c>
      <c r="C306" s="322" t="s">
        <v>37</v>
      </c>
      <c r="D306" s="323" t="s">
        <v>492</v>
      </c>
      <c r="E306" s="132" t="s">
        <v>25</v>
      </c>
      <c r="F306" s="97" t="str">
        <f ca="1">IF(OR(Market_Data[[#This Row],[Start Date]]="",Market_Data[[#This Row],[Completion Date]]=""),"Needs Validation",IF(Market_Data[[#This Row],[Start Date]]&gt;TODAY(),"Planned",IF(Market_Data[[#This Row],[Completion Date]]&lt;TODAY(),"Completed","Ongoing")))</f>
        <v>Completed</v>
      </c>
      <c r="G306" s="324">
        <v>42830</v>
      </c>
      <c r="H306" s="324">
        <v>44630</v>
      </c>
      <c r="I306" s="325">
        <v>5300</v>
      </c>
      <c r="J30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306" s="133">
        <f>_xlfn.XLOOKUP(Market_Data[[#This Row],[Project Type]],tbl_assumptions_market[Project Category (RERA)],tbl_assumptions_market[Concrete Intensity
(m³ / sq m BUA)],"",0)</f>
        <v>0.42</v>
      </c>
      <c r="L306" s="134">
        <f>ROUND(Market_Data[[#This Row],[Estimated Built Up Area (sq m)]]*Market_Data[[#This Row],[Concrete Intensity
(m³ / sq m)]],0)</f>
        <v>2226</v>
      </c>
      <c r="M306" s="135">
        <f>_xlfn.XLOOKUP(Market_Data[[#This Row],[District]],tbl_district_price[District],tbl_district_price[Standard Price
(INR/m³)],"",0)</f>
        <v>5500</v>
      </c>
      <c r="N306" s="364">
        <f>IF(OR(Market_Data[[#This Row],[Estimated Concrete Demand (m³)]]="",Market_Data[[#This Row],[Avg Price per (₹ / m³)]]=""),"",Market_Data[[#This Row],[Estimated Concrete Demand (m³)]]*Market_Data[[#This Row],[Avg Price per (₹ / m³)]]/10000000)</f>
        <v>1.2242999999999999</v>
      </c>
      <c r="O306" s="97" t="str">
        <f>IF(Market_Data[[#This Row],[Estimated Concrete Demand (m³)]]="","",
IF(Market_Data[[#This Row],[Estimated Concrete Demand (m³)]]&lt;10000,"Small",
IF(Market_Data[[#This Row],[Estimated Concrete Demand (m³)]]&lt;25000,"Medium",
IF(Market_Data[[#This Row],[Estimated Concrete Demand (m³)]]&lt;100000,"Large","Mega"))))</f>
        <v>Small</v>
      </c>
      <c r="P306" s="287" t="str">
        <f t="shared" si="6"/>
        <v>GujRERA</v>
      </c>
    </row>
    <row r="307" spans="1:16">
      <c r="A307" s="129" t="str">
        <f>_xlfn.XLOOKUP(B307,$S$9:$S$14,$T$9:$T$14)&amp;"-"&amp;
IF(E307="Residential/Group Housing","RES",
IF(E307="Commercial","COM",
IF(E307="Mixed Development","MIX",
IF(E307="Plotted Development","PLT","OTH"))))
&amp;"-"&amp;TEXT(COUNTIFS($B$9:B307,B307,$E$9:E307,E307),"0000")</f>
        <v>NAV-COM-0009</v>
      </c>
      <c r="B307" s="322" t="s">
        <v>37</v>
      </c>
      <c r="C307" s="322" t="s">
        <v>37</v>
      </c>
      <c r="D307" s="323" t="s">
        <v>493</v>
      </c>
      <c r="E307" s="132" t="s">
        <v>23</v>
      </c>
      <c r="F307" s="97" t="str">
        <f ca="1">IF(OR(Market_Data[[#This Row],[Start Date]]="",Market_Data[[#This Row],[Completion Date]]=""),"Needs Validation",IF(Market_Data[[#This Row],[Start Date]]&gt;TODAY(),"Planned",IF(Market_Data[[#This Row],[Completion Date]]&lt;TODAY(),"Completed","Ongoing")))</f>
        <v>Completed</v>
      </c>
      <c r="G307" s="324">
        <v>42553</v>
      </c>
      <c r="H307" s="324">
        <v>45322</v>
      </c>
      <c r="I307" s="325">
        <v>2100</v>
      </c>
      <c r="J30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7" s="133">
        <f>_xlfn.XLOOKUP(Market_Data[[#This Row],[Project Type]],tbl_assumptions_market[Project Category (RERA)],tbl_assumptions_market[Concrete Intensity
(m³ / sq m BUA)],"",0)</f>
        <v>0.5</v>
      </c>
      <c r="L307" s="134">
        <f>ROUND(Market_Data[[#This Row],[Estimated Built Up Area (sq m)]]*Market_Data[[#This Row],[Concrete Intensity
(m³ / sq m)]],0)</f>
        <v>1050</v>
      </c>
      <c r="M307" s="135">
        <f>_xlfn.XLOOKUP(Market_Data[[#This Row],[District]],tbl_district_price[District],tbl_district_price[Standard Price
(INR/m³)],"",0)</f>
        <v>5500</v>
      </c>
      <c r="N307" s="364">
        <f>IF(OR(Market_Data[[#This Row],[Estimated Concrete Demand (m³)]]="",Market_Data[[#This Row],[Avg Price per (₹ / m³)]]=""),"",Market_Data[[#This Row],[Estimated Concrete Demand (m³)]]*Market_Data[[#This Row],[Avg Price per (₹ / m³)]]/10000000)</f>
        <v>0.57750000000000001</v>
      </c>
      <c r="O307" s="97" t="str">
        <f>IF(Market_Data[[#This Row],[Estimated Concrete Demand (m³)]]="","",
IF(Market_Data[[#This Row],[Estimated Concrete Demand (m³)]]&lt;10000,"Small",
IF(Market_Data[[#This Row],[Estimated Concrete Demand (m³)]]&lt;25000,"Medium",
IF(Market_Data[[#This Row],[Estimated Concrete Demand (m³)]]&lt;100000,"Large","Mega"))))</f>
        <v>Small</v>
      </c>
      <c r="P307" s="287" t="str">
        <f t="shared" si="6"/>
        <v>GujRERA</v>
      </c>
    </row>
    <row r="308" spans="1:16">
      <c r="A308" s="129" t="str">
        <f>_xlfn.XLOOKUP(B308,$S$9:$S$14,$T$9:$T$14)&amp;"-"&amp;
IF(E308="Residential/Group Housing","RES",
IF(E308="Commercial","COM",
IF(E308="Mixed Development","MIX",
IF(E308="Plotted Development","PLT","OTH"))))
&amp;"-"&amp;TEXT(COUNTIFS($B$9:B308,B308,$E$9:E308,E308),"0000")</f>
        <v>NAV-MIX-0061</v>
      </c>
      <c r="B308" s="322" t="s">
        <v>37</v>
      </c>
      <c r="C308" s="322" t="s">
        <v>37</v>
      </c>
      <c r="D308" s="323" t="s">
        <v>494</v>
      </c>
      <c r="E308" s="132" t="s">
        <v>25</v>
      </c>
      <c r="F308" s="97" t="str">
        <f ca="1">IF(OR(Market_Data[[#This Row],[Start Date]]="",Market_Data[[#This Row],[Completion Date]]=""),"Needs Validation",IF(Market_Data[[#This Row],[Start Date]]&gt;TODAY(),"Planned",IF(Market_Data[[#This Row],[Completion Date]]&lt;TODAY(),"Completed","Ongoing")))</f>
        <v>Completed</v>
      </c>
      <c r="G308" s="324">
        <v>43525</v>
      </c>
      <c r="H308" s="324">
        <v>46203</v>
      </c>
      <c r="I308" s="325">
        <v>45400</v>
      </c>
      <c r="J30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8" s="133">
        <f>_xlfn.XLOOKUP(Market_Data[[#This Row],[Project Type]],tbl_assumptions_market[Project Category (RERA)],tbl_assumptions_market[Concrete Intensity
(m³ / sq m BUA)],"",0)</f>
        <v>0.42</v>
      </c>
      <c r="L308" s="134">
        <f>ROUND(Market_Data[[#This Row],[Estimated Built Up Area (sq m)]]*Market_Data[[#This Row],[Concrete Intensity
(m³ / sq m)]],0)</f>
        <v>19068</v>
      </c>
      <c r="M308" s="135">
        <f>_xlfn.XLOOKUP(Market_Data[[#This Row],[District]],tbl_district_price[District],tbl_district_price[Standard Price
(INR/m³)],"",0)</f>
        <v>5500</v>
      </c>
      <c r="N308" s="364">
        <f>IF(OR(Market_Data[[#This Row],[Estimated Concrete Demand (m³)]]="",Market_Data[[#This Row],[Avg Price per (₹ / m³)]]=""),"",Market_Data[[#This Row],[Estimated Concrete Demand (m³)]]*Market_Data[[#This Row],[Avg Price per (₹ / m³)]]/10000000)</f>
        <v>10.487399999999999</v>
      </c>
      <c r="O308" s="97" t="str">
        <f>IF(Market_Data[[#This Row],[Estimated Concrete Demand (m³)]]="","",
IF(Market_Data[[#This Row],[Estimated Concrete Demand (m³)]]&lt;10000,"Small",
IF(Market_Data[[#This Row],[Estimated Concrete Demand (m³)]]&lt;25000,"Medium",
IF(Market_Data[[#This Row],[Estimated Concrete Demand (m³)]]&lt;100000,"Large","Mega"))))</f>
        <v>Medium</v>
      </c>
      <c r="P308" s="287" t="str">
        <f t="shared" si="6"/>
        <v>GujRERA</v>
      </c>
    </row>
    <row r="309" spans="1:16">
      <c r="A309" s="129" t="str">
        <f>_xlfn.XLOOKUP(B309,$S$9:$S$14,$T$9:$T$14)&amp;"-"&amp;
IF(E309="Residential/Group Housing","RES",
IF(E309="Commercial","COM",
IF(E309="Mixed Development","MIX",
IF(E309="Plotted Development","PLT","OTH"))))
&amp;"-"&amp;TEXT(COUNTIFS($B$9:B309,B309,$E$9:E309,E309),"0000")</f>
        <v>NAV-MIX-0062</v>
      </c>
      <c r="B309" s="322" t="s">
        <v>37</v>
      </c>
      <c r="C309" s="322" t="s">
        <v>37</v>
      </c>
      <c r="D309" s="323" t="s">
        <v>495</v>
      </c>
      <c r="E309" s="132" t="s">
        <v>25</v>
      </c>
      <c r="F309" s="97" t="str">
        <f ca="1">IF(OR(Market_Data[[#This Row],[Start Date]]="",Market_Data[[#This Row],[Completion Date]]=""),"Needs Validation",IF(Market_Data[[#This Row],[Start Date]]&gt;TODAY(),"Planned",IF(Market_Data[[#This Row],[Completion Date]]&lt;TODAY(),"Completed","Ongoing")))</f>
        <v>Completed</v>
      </c>
      <c r="G309" s="324">
        <v>43618</v>
      </c>
      <c r="H309" s="324">
        <v>45107</v>
      </c>
      <c r="I309" s="325">
        <v>46200</v>
      </c>
      <c r="J30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9" s="133">
        <f>_xlfn.XLOOKUP(Market_Data[[#This Row],[Project Type]],tbl_assumptions_market[Project Category (RERA)],tbl_assumptions_market[Concrete Intensity
(m³ / sq m BUA)],"",0)</f>
        <v>0.42</v>
      </c>
      <c r="L309" s="134">
        <f>ROUND(Market_Data[[#This Row],[Estimated Built Up Area (sq m)]]*Market_Data[[#This Row],[Concrete Intensity
(m³ / sq m)]],0)</f>
        <v>19404</v>
      </c>
      <c r="M309" s="135">
        <f>_xlfn.XLOOKUP(Market_Data[[#This Row],[District]],tbl_district_price[District],tbl_district_price[Standard Price
(INR/m³)],"",0)</f>
        <v>5500</v>
      </c>
      <c r="N309" s="364">
        <f>IF(OR(Market_Data[[#This Row],[Estimated Concrete Demand (m³)]]="",Market_Data[[#This Row],[Avg Price per (₹ / m³)]]=""),"",Market_Data[[#This Row],[Estimated Concrete Demand (m³)]]*Market_Data[[#This Row],[Avg Price per (₹ / m³)]]/10000000)</f>
        <v>10.6722</v>
      </c>
      <c r="O309" s="97" t="str">
        <f>IF(Market_Data[[#This Row],[Estimated Concrete Demand (m³)]]="","",
IF(Market_Data[[#This Row],[Estimated Concrete Demand (m³)]]&lt;10000,"Small",
IF(Market_Data[[#This Row],[Estimated Concrete Demand (m³)]]&lt;25000,"Medium",
IF(Market_Data[[#This Row],[Estimated Concrete Demand (m³)]]&lt;100000,"Large","Mega"))))</f>
        <v>Medium</v>
      </c>
      <c r="P309" s="287" t="str">
        <f t="shared" si="6"/>
        <v>GujRERA</v>
      </c>
    </row>
    <row r="310" spans="1:16">
      <c r="A310" s="129" t="str">
        <f>_xlfn.XLOOKUP(B310,$S$9:$S$14,$T$9:$T$14)&amp;"-"&amp;
IF(E310="Residential/Group Housing","RES",
IF(E310="Commercial","COM",
IF(E310="Mixed Development","MIX",
IF(E310="Plotted Development","PLT","OTH"))))
&amp;"-"&amp;TEXT(COUNTIFS($B$9:B310,B310,$E$9:E310,E310),"0000")</f>
        <v>NAV-MIX-0063</v>
      </c>
      <c r="B310" s="322" t="s">
        <v>37</v>
      </c>
      <c r="C310" s="322" t="s">
        <v>37</v>
      </c>
      <c r="D310" s="323" t="s">
        <v>496</v>
      </c>
      <c r="E310" s="132" t="s">
        <v>25</v>
      </c>
      <c r="F310" s="97" t="str">
        <f ca="1">IF(OR(Market_Data[[#This Row],[Start Date]]="",Market_Data[[#This Row],[Completion Date]]=""),"Needs Validation",IF(Market_Data[[#This Row],[Start Date]]&gt;TODAY(),"Planned",IF(Market_Data[[#This Row],[Completion Date]]&lt;TODAY(),"Completed","Ongoing")))</f>
        <v>Completed</v>
      </c>
      <c r="G310" s="324">
        <v>43556</v>
      </c>
      <c r="H310" s="324">
        <v>45107</v>
      </c>
      <c r="I310" s="325">
        <v>23700</v>
      </c>
      <c r="J31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10" s="133">
        <f>_xlfn.XLOOKUP(Market_Data[[#This Row],[Project Type]],tbl_assumptions_market[Project Category (RERA)],tbl_assumptions_market[Concrete Intensity
(m³ / sq m BUA)],"",0)</f>
        <v>0.42</v>
      </c>
      <c r="L310" s="134">
        <f>ROUND(Market_Data[[#This Row],[Estimated Built Up Area (sq m)]]*Market_Data[[#This Row],[Concrete Intensity
(m³ / sq m)]],0)</f>
        <v>9954</v>
      </c>
      <c r="M310" s="135">
        <f>_xlfn.XLOOKUP(Market_Data[[#This Row],[District]],tbl_district_price[District],tbl_district_price[Standard Price
(INR/m³)],"",0)</f>
        <v>5500</v>
      </c>
      <c r="N310" s="364">
        <f>IF(OR(Market_Data[[#This Row],[Estimated Concrete Demand (m³)]]="",Market_Data[[#This Row],[Avg Price per (₹ / m³)]]=""),"",Market_Data[[#This Row],[Estimated Concrete Demand (m³)]]*Market_Data[[#This Row],[Avg Price per (₹ / m³)]]/10000000)</f>
        <v>5.4747000000000003</v>
      </c>
      <c r="O310" s="97" t="str">
        <f>IF(Market_Data[[#This Row],[Estimated Concrete Demand (m³)]]="","",
IF(Market_Data[[#This Row],[Estimated Concrete Demand (m³)]]&lt;10000,"Small",
IF(Market_Data[[#This Row],[Estimated Concrete Demand (m³)]]&lt;25000,"Medium",
IF(Market_Data[[#This Row],[Estimated Concrete Demand (m³)]]&lt;100000,"Large","Mega"))))</f>
        <v>Small</v>
      </c>
      <c r="P310" s="287" t="str">
        <f t="shared" si="6"/>
        <v>GujRERA</v>
      </c>
    </row>
    <row r="311" spans="1:16">
      <c r="A311" s="129" t="str">
        <f>_xlfn.XLOOKUP(B311,$S$9:$S$14,$T$9:$T$14)&amp;"-"&amp;
IF(E311="Residential/Group Housing","RES",
IF(E311="Commercial","COM",
IF(E311="Mixed Development","MIX",
IF(E311="Plotted Development","PLT","OTH"))))
&amp;"-"&amp;TEXT(COUNTIFS($B$9:B311,B311,$E$9:E311,E311),"0000")</f>
        <v>NAV-MIX-0064</v>
      </c>
      <c r="B311" s="322" t="s">
        <v>37</v>
      </c>
      <c r="C311" s="322" t="s">
        <v>37</v>
      </c>
      <c r="D311" s="323" t="s">
        <v>497</v>
      </c>
      <c r="E311" s="132" t="s">
        <v>25</v>
      </c>
      <c r="F311" s="97" t="str">
        <f ca="1">IF(OR(Market_Data[[#This Row],[Start Date]]="",Market_Data[[#This Row],[Completion Date]]=""),"Needs Validation",IF(Market_Data[[#This Row],[Start Date]]&gt;TODAY(),"Planned",IF(Market_Data[[#This Row],[Completion Date]]&lt;TODAY(),"Completed","Ongoing")))</f>
        <v>Completed</v>
      </c>
      <c r="G311" s="324">
        <v>42501</v>
      </c>
      <c r="H311" s="324">
        <v>45565</v>
      </c>
      <c r="I311" s="325">
        <v>8200</v>
      </c>
      <c r="J31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311" s="133">
        <f>_xlfn.XLOOKUP(Market_Data[[#This Row],[Project Type]],tbl_assumptions_market[Project Category (RERA)],tbl_assumptions_market[Concrete Intensity
(m³ / sq m BUA)],"",0)</f>
        <v>0.42</v>
      </c>
      <c r="L311" s="134">
        <f>ROUND(Market_Data[[#This Row],[Estimated Built Up Area (sq m)]]*Market_Data[[#This Row],[Concrete Intensity
(m³ / sq m)]],0)</f>
        <v>3444</v>
      </c>
      <c r="M311" s="135">
        <f>_xlfn.XLOOKUP(Market_Data[[#This Row],[District]],tbl_district_price[District],tbl_district_price[Standard Price
(INR/m³)],"",0)</f>
        <v>5500</v>
      </c>
      <c r="N311" s="364">
        <f>IF(OR(Market_Data[[#This Row],[Estimated Concrete Demand (m³)]]="",Market_Data[[#This Row],[Avg Price per (₹ / m³)]]=""),"",Market_Data[[#This Row],[Estimated Concrete Demand (m³)]]*Market_Data[[#This Row],[Avg Price per (₹ / m³)]]/10000000)</f>
        <v>1.8942000000000001</v>
      </c>
      <c r="O311" s="97" t="str">
        <f>IF(Market_Data[[#This Row],[Estimated Concrete Demand (m³)]]="","",
IF(Market_Data[[#This Row],[Estimated Concrete Demand (m³)]]&lt;10000,"Small",
IF(Market_Data[[#This Row],[Estimated Concrete Demand (m³)]]&lt;25000,"Medium",
IF(Market_Data[[#This Row],[Estimated Concrete Demand (m³)]]&lt;100000,"Large","Mega"))))</f>
        <v>Small</v>
      </c>
      <c r="P311" s="287" t="str">
        <f t="shared" si="6"/>
        <v>GujRERA</v>
      </c>
    </row>
    <row r="312" spans="1:16">
      <c r="A312" s="129" t="str">
        <f>_xlfn.XLOOKUP(B312,$S$9:$S$14,$T$9:$T$14)&amp;"-"&amp;
IF(E312="Residential/Group Housing","RES",
IF(E312="Commercial","COM",
IF(E312="Mixed Development","MIX",
IF(E312="Plotted Development","PLT","OTH"))))
&amp;"-"&amp;TEXT(COUNTIFS($B$9:B312,B312,$E$9:E312,E312),"0000")</f>
        <v>NAV-MIX-0065</v>
      </c>
      <c r="B312" s="322" t="s">
        <v>37</v>
      </c>
      <c r="C312" s="322" t="s">
        <v>37</v>
      </c>
      <c r="D312" s="323" t="s">
        <v>498</v>
      </c>
      <c r="E312" s="132" t="s">
        <v>25</v>
      </c>
      <c r="F312" s="97" t="str">
        <f ca="1">IF(OR(Market_Data[[#This Row],[Start Date]]="",Market_Data[[#This Row],[Completion Date]]=""),"Needs Validation",IF(Market_Data[[#This Row],[Start Date]]&gt;TODAY(),"Planned",IF(Market_Data[[#This Row],[Completion Date]]&lt;TODAY(),"Completed","Ongoing")))</f>
        <v>Completed</v>
      </c>
      <c r="G312" s="324">
        <v>42886</v>
      </c>
      <c r="H312" s="324">
        <v>43987</v>
      </c>
      <c r="I312" s="325">
        <v>103700</v>
      </c>
      <c r="J31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12" s="133">
        <f>_xlfn.XLOOKUP(Market_Data[[#This Row],[Project Type]],tbl_assumptions_market[Project Category (RERA)],tbl_assumptions_market[Concrete Intensity
(m³ / sq m BUA)],"",0)</f>
        <v>0.42</v>
      </c>
      <c r="L312" s="134">
        <f>ROUND(Market_Data[[#This Row],[Estimated Built Up Area (sq m)]]*Market_Data[[#This Row],[Concrete Intensity
(m³ / sq m)]],0)</f>
        <v>43554</v>
      </c>
      <c r="M312" s="135">
        <f>_xlfn.XLOOKUP(Market_Data[[#This Row],[District]],tbl_district_price[District],tbl_district_price[Standard Price
(INR/m³)],"",0)</f>
        <v>5500</v>
      </c>
      <c r="N312" s="364">
        <f>IF(OR(Market_Data[[#This Row],[Estimated Concrete Demand (m³)]]="",Market_Data[[#This Row],[Avg Price per (₹ / m³)]]=""),"",Market_Data[[#This Row],[Estimated Concrete Demand (m³)]]*Market_Data[[#This Row],[Avg Price per (₹ / m³)]]/10000000)</f>
        <v>23.954699999999999</v>
      </c>
      <c r="O312" s="97" t="str">
        <f>IF(Market_Data[[#This Row],[Estimated Concrete Demand (m³)]]="","",
IF(Market_Data[[#This Row],[Estimated Concrete Demand (m³)]]&lt;10000,"Small",
IF(Market_Data[[#This Row],[Estimated Concrete Demand (m³)]]&lt;25000,"Medium",
IF(Market_Data[[#This Row],[Estimated Concrete Demand (m³)]]&lt;100000,"Large","Mega"))))</f>
        <v>Large</v>
      </c>
      <c r="P312" s="287" t="str">
        <f t="shared" si="6"/>
        <v>GujRERA</v>
      </c>
    </row>
    <row r="313" spans="1:16">
      <c r="A313" s="129" t="str">
        <f>_xlfn.XLOOKUP(B313,$S$9:$S$14,$T$9:$T$14)&amp;"-"&amp;
IF(E313="Residential/Group Housing","RES",
IF(E313="Commercial","COM",
IF(E313="Mixed Development","MIX",
IF(E313="Plotted Development","PLT","OTH"))))
&amp;"-"&amp;TEXT(COUNTIFS($B$9:B313,B313,$E$9:E313,E313),"0000")</f>
        <v>NAV-MIX-0066</v>
      </c>
      <c r="B313" s="322" t="s">
        <v>37</v>
      </c>
      <c r="C313" s="322" t="s">
        <v>37</v>
      </c>
      <c r="D313" s="323" t="s">
        <v>499</v>
      </c>
      <c r="E313" s="132" t="s">
        <v>25</v>
      </c>
      <c r="F313" s="97" t="str">
        <f ca="1">IF(OR(Market_Data[[#This Row],[Start Date]]="",Market_Data[[#This Row],[Completion Date]]=""),"Needs Validation",IF(Market_Data[[#This Row],[Start Date]]&gt;TODAY(),"Planned",IF(Market_Data[[#This Row],[Completion Date]]&lt;TODAY(),"Completed","Ongoing")))</f>
        <v>Completed</v>
      </c>
      <c r="G313" s="324">
        <v>43753</v>
      </c>
      <c r="H313" s="324">
        <v>45838</v>
      </c>
      <c r="I313" s="325">
        <v>48600</v>
      </c>
      <c r="J31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13" s="133">
        <f>_xlfn.XLOOKUP(Market_Data[[#This Row],[Project Type]],tbl_assumptions_market[Project Category (RERA)],tbl_assumptions_market[Concrete Intensity
(m³ / sq m BUA)],"",0)</f>
        <v>0.42</v>
      </c>
      <c r="L313" s="134">
        <f>ROUND(Market_Data[[#This Row],[Estimated Built Up Area (sq m)]]*Market_Data[[#This Row],[Concrete Intensity
(m³ / sq m)]],0)</f>
        <v>20412</v>
      </c>
      <c r="M313" s="135">
        <f>_xlfn.XLOOKUP(Market_Data[[#This Row],[District]],tbl_district_price[District],tbl_district_price[Standard Price
(INR/m³)],"",0)</f>
        <v>5500</v>
      </c>
      <c r="N313" s="364">
        <f>IF(OR(Market_Data[[#This Row],[Estimated Concrete Demand (m³)]]="",Market_Data[[#This Row],[Avg Price per (₹ / m³)]]=""),"",Market_Data[[#This Row],[Estimated Concrete Demand (m³)]]*Market_Data[[#This Row],[Avg Price per (₹ / m³)]]/10000000)</f>
        <v>11.226599999999999</v>
      </c>
      <c r="O313" s="97" t="str">
        <f>IF(Market_Data[[#This Row],[Estimated Concrete Demand (m³)]]="","",
IF(Market_Data[[#This Row],[Estimated Concrete Demand (m³)]]&lt;10000,"Small",
IF(Market_Data[[#This Row],[Estimated Concrete Demand (m³)]]&lt;25000,"Medium",
IF(Market_Data[[#This Row],[Estimated Concrete Demand (m³)]]&lt;100000,"Large","Mega"))))</f>
        <v>Medium</v>
      </c>
      <c r="P313" s="287" t="str">
        <f t="shared" si="6"/>
        <v>GujRERA</v>
      </c>
    </row>
    <row r="314" spans="1:16">
      <c r="A314" s="129" t="str">
        <f>_xlfn.XLOOKUP(B314,$S$9:$S$14,$T$9:$T$14)&amp;"-"&amp;
IF(E314="Residential/Group Housing","RES",
IF(E314="Commercial","COM",
IF(E314="Mixed Development","MIX",
IF(E314="Plotted Development","PLT","OTH"))))
&amp;"-"&amp;TEXT(COUNTIFS($B$9:B314,B314,$E$9:E314,E314),"0000")</f>
        <v>NAV-RES-0033</v>
      </c>
      <c r="B314" s="322" t="s">
        <v>37</v>
      </c>
      <c r="C314" s="322" t="s">
        <v>37</v>
      </c>
      <c r="D314" s="323" t="s">
        <v>500</v>
      </c>
      <c r="E314" s="132" t="s">
        <v>24</v>
      </c>
      <c r="F314" s="97" t="str">
        <f ca="1">IF(OR(Market_Data[[#This Row],[Start Date]]="",Market_Data[[#This Row],[Completion Date]]=""),"Needs Validation",IF(Market_Data[[#This Row],[Start Date]]&gt;TODAY(),"Planned",IF(Market_Data[[#This Row],[Completion Date]]&lt;TODAY(),"Completed","Ongoing")))</f>
        <v>Completed</v>
      </c>
      <c r="G314" s="324">
        <v>45031</v>
      </c>
      <c r="H314" s="324">
        <v>46022</v>
      </c>
      <c r="I314" s="325">
        <v>48500</v>
      </c>
      <c r="J31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14" s="133">
        <f>_xlfn.XLOOKUP(Market_Data[[#This Row],[Project Type]],tbl_assumptions_market[Project Category (RERA)],tbl_assumptions_market[Concrete Intensity
(m³ / sq m BUA)],"",0)</f>
        <v>0.45</v>
      </c>
      <c r="L314" s="134">
        <f>ROUND(Market_Data[[#This Row],[Estimated Built Up Area (sq m)]]*Market_Data[[#This Row],[Concrete Intensity
(m³ / sq m)]],0)</f>
        <v>21825</v>
      </c>
      <c r="M314" s="135">
        <f>_xlfn.XLOOKUP(Market_Data[[#This Row],[District]],tbl_district_price[District],tbl_district_price[Standard Price
(INR/m³)],"",0)</f>
        <v>5500</v>
      </c>
      <c r="N314" s="364">
        <f>IF(OR(Market_Data[[#This Row],[Estimated Concrete Demand (m³)]]="",Market_Data[[#This Row],[Avg Price per (₹ / m³)]]=""),"",Market_Data[[#This Row],[Estimated Concrete Demand (m³)]]*Market_Data[[#This Row],[Avg Price per (₹ / m³)]]/10000000)</f>
        <v>12.00375</v>
      </c>
      <c r="O314" s="97" t="str">
        <f>IF(Market_Data[[#This Row],[Estimated Concrete Demand (m³)]]="","",
IF(Market_Data[[#This Row],[Estimated Concrete Demand (m³)]]&lt;10000,"Small",
IF(Market_Data[[#This Row],[Estimated Concrete Demand (m³)]]&lt;25000,"Medium",
IF(Market_Data[[#This Row],[Estimated Concrete Demand (m³)]]&lt;100000,"Large","Mega"))))</f>
        <v>Medium</v>
      </c>
      <c r="P314" s="287" t="str">
        <f t="shared" si="6"/>
        <v>GujRERA</v>
      </c>
    </row>
    <row r="315" spans="1:16">
      <c r="A315" s="129" t="str">
        <f>_xlfn.XLOOKUP(B315,$S$9:$S$14,$T$9:$T$14)&amp;"-"&amp;
IF(E315="Residential/Group Housing","RES",
IF(E315="Commercial","COM",
IF(E315="Mixed Development","MIX",
IF(E315="Plotted Development","PLT","OTH"))))
&amp;"-"&amp;TEXT(COUNTIFS($B$9:B315,B315,$E$9:E315,E315),"0000")</f>
        <v>NAV-RES-0034</v>
      </c>
      <c r="B315" s="322" t="s">
        <v>37</v>
      </c>
      <c r="C315" s="322" t="s">
        <v>37</v>
      </c>
      <c r="D315" s="323" t="s">
        <v>501</v>
      </c>
      <c r="E315" s="132" t="s">
        <v>24</v>
      </c>
      <c r="F315" s="97" t="str">
        <f ca="1">IF(OR(Market_Data[[#This Row],[Start Date]]="",Market_Data[[#This Row],[Completion Date]]=""),"Needs Validation",IF(Market_Data[[#This Row],[Start Date]]&gt;TODAY(),"Planned",IF(Market_Data[[#This Row],[Completion Date]]&lt;TODAY(),"Completed","Ongoing")))</f>
        <v>Completed</v>
      </c>
      <c r="G315" s="324">
        <v>43216</v>
      </c>
      <c r="H315" s="324">
        <v>45040</v>
      </c>
      <c r="I315" s="325">
        <v>53200</v>
      </c>
      <c r="J31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15" s="133">
        <f>_xlfn.XLOOKUP(Market_Data[[#This Row],[Project Type]],tbl_assumptions_market[Project Category (RERA)],tbl_assumptions_market[Concrete Intensity
(m³ / sq m BUA)],"",0)</f>
        <v>0.45</v>
      </c>
      <c r="L315" s="134">
        <f>ROUND(Market_Data[[#This Row],[Estimated Built Up Area (sq m)]]*Market_Data[[#This Row],[Concrete Intensity
(m³ / sq m)]],0)</f>
        <v>23940</v>
      </c>
      <c r="M315" s="135">
        <f>_xlfn.XLOOKUP(Market_Data[[#This Row],[District]],tbl_district_price[District],tbl_district_price[Standard Price
(INR/m³)],"",0)</f>
        <v>5500</v>
      </c>
      <c r="N315" s="364">
        <f>IF(OR(Market_Data[[#This Row],[Estimated Concrete Demand (m³)]]="",Market_Data[[#This Row],[Avg Price per (₹ / m³)]]=""),"",Market_Data[[#This Row],[Estimated Concrete Demand (m³)]]*Market_Data[[#This Row],[Avg Price per (₹ / m³)]]/10000000)</f>
        <v>13.167</v>
      </c>
      <c r="O315" s="97" t="str">
        <f>IF(Market_Data[[#This Row],[Estimated Concrete Demand (m³)]]="","",
IF(Market_Data[[#This Row],[Estimated Concrete Demand (m³)]]&lt;10000,"Small",
IF(Market_Data[[#This Row],[Estimated Concrete Demand (m³)]]&lt;25000,"Medium",
IF(Market_Data[[#This Row],[Estimated Concrete Demand (m³)]]&lt;100000,"Large","Mega"))))</f>
        <v>Medium</v>
      </c>
      <c r="P315" s="287" t="str">
        <f t="shared" si="6"/>
        <v>GujRERA</v>
      </c>
    </row>
    <row r="316" spans="1:16">
      <c r="A316" s="129" t="str">
        <f>_xlfn.XLOOKUP(B316,$S$9:$S$14,$T$9:$T$14)&amp;"-"&amp;
IF(E316="Residential/Group Housing","RES",
IF(E316="Commercial","COM",
IF(E316="Mixed Development","MIX",
IF(E316="Plotted Development","PLT","OTH"))))
&amp;"-"&amp;TEXT(COUNTIFS($B$9:B316,B316,$E$9:E316,E316),"0000")</f>
        <v>NAV-RES-0035</v>
      </c>
      <c r="B316" s="322" t="s">
        <v>37</v>
      </c>
      <c r="C316" s="322" t="s">
        <v>37</v>
      </c>
      <c r="D316" s="323" t="s">
        <v>502</v>
      </c>
      <c r="E316" s="132" t="s">
        <v>24</v>
      </c>
      <c r="F316" s="97" t="str">
        <f ca="1">IF(OR(Market_Data[[#This Row],[Start Date]]="",Market_Data[[#This Row],[Completion Date]]=""),"Needs Validation",IF(Market_Data[[#This Row],[Start Date]]&gt;TODAY(),"Planned",IF(Market_Data[[#This Row],[Completion Date]]&lt;TODAY(),"Completed","Ongoing")))</f>
        <v>Completed</v>
      </c>
      <c r="G316" s="324">
        <v>44013</v>
      </c>
      <c r="H316" s="324">
        <v>45291</v>
      </c>
      <c r="I316" s="325">
        <v>16800</v>
      </c>
      <c r="J31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16" s="133">
        <f>_xlfn.XLOOKUP(Market_Data[[#This Row],[Project Type]],tbl_assumptions_market[Project Category (RERA)],tbl_assumptions_market[Concrete Intensity
(m³ / sq m BUA)],"",0)</f>
        <v>0.45</v>
      </c>
      <c r="L316" s="134">
        <f>ROUND(Market_Data[[#This Row],[Estimated Built Up Area (sq m)]]*Market_Data[[#This Row],[Concrete Intensity
(m³ / sq m)]],0)</f>
        <v>7560</v>
      </c>
      <c r="M316" s="135">
        <f>_xlfn.XLOOKUP(Market_Data[[#This Row],[District]],tbl_district_price[District],tbl_district_price[Standard Price
(INR/m³)],"",0)</f>
        <v>5500</v>
      </c>
      <c r="N316" s="364">
        <f>IF(OR(Market_Data[[#This Row],[Estimated Concrete Demand (m³)]]="",Market_Data[[#This Row],[Avg Price per (₹ / m³)]]=""),"",Market_Data[[#This Row],[Estimated Concrete Demand (m³)]]*Market_Data[[#This Row],[Avg Price per (₹ / m³)]]/10000000)</f>
        <v>4.1580000000000004</v>
      </c>
      <c r="O316" s="97" t="str">
        <f>IF(Market_Data[[#This Row],[Estimated Concrete Demand (m³)]]="","",
IF(Market_Data[[#This Row],[Estimated Concrete Demand (m³)]]&lt;10000,"Small",
IF(Market_Data[[#This Row],[Estimated Concrete Demand (m³)]]&lt;25000,"Medium",
IF(Market_Data[[#This Row],[Estimated Concrete Demand (m³)]]&lt;100000,"Large","Mega"))))</f>
        <v>Small</v>
      </c>
      <c r="P316" s="287" t="str">
        <f t="shared" si="6"/>
        <v>GujRERA</v>
      </c>
    </row>
    <row r="317" spans="1:16">
      <c r="A317" s="129" t="str">
        <f>_xlfn.XLOOKUP(B317,$S$9:$S$14,$T$9:$T$14)&amp;"-"&amp;
IF(E317="Residential/Group Housing","RES",
IF(E317="Commercial","COM",
IF(E317="Mixed Development","MIX",
IF(E317="Plotted Development","PLT","OTH"))))
&amp;"-"&amp;TEXT(COUNTIFS($B$9:B317,B317,$E$9:E317,E317),"0000")</f>
        <v>NAV-MIX-0067</v>
      </c>
      <c r="B317" s="322" t="s">
        <v>37</v>
      </c>
      <c r="C317" s="322" t="s">
        <v>37</v>
      </c>
      <c r="D317" s="323" t="s">
        <v>503</v>
      </c>
      <c r="E317" s="132" t="s">
        <v>25</v>
      </c>
      <c r="F317" s="97" t="str">
        <f ca="1">IF(OR(Market_Data[[#This Row],[Start Date]]="",Market_Data[[#This Row],[Completion Date]]=""),"Needs Validation",IF(Market_Data[[#This Row],[Start Date]]&gt;TODAY(),"Planned",IF(Market_Data[[#This Row],[Completion Date]]&lt;TODAY(),"Completed","Ongoing")))</f>
        <v>Completed</v>
      </c>
      <c r="G317" s="324">
        <v>44885</v>
      </c>
      <c r="H317" s="324">
        <v>46203</v>
      </c>
      <c r="I317" s="325">
        <v>55500</v>
      </c>
      <c r="J31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17" s="133">
        <f>_xlfn.XLOOKUP(Market_Data[[#This Row],[Project Type]],tbl_assumptions_market[Project Category (RERA)],tbl_assumptions_market[Concrete Intensity
(m³ / sq m BUA)],"",0)</f>
        <v>0.42</v>
      </c>
      <c r="L317" s="134">
        <f>ROUND(Market_Data[[#This Row],[Estimated Built Up Area (sq m)]]*Market_Data[[#This Row],[Concrete Intensity
(m³ / sq m)]],0)</f>
        <v>23310</v>
      </c>
      <c r="M317" s="135">
        <f>_xlfn.XLOOKUP(Market_Data[[#This Row],[District]],tbl_district_price[District],tbl_district_price[Standard Price
(INR/m³)],"",0)</f>
        <v>5500</v>
      </c>
      <c r="N317" s="364">
        <f>IF(OR(Market_Data[[#This Row],[Estimated Concrete Demand (m³)]]="",Market_Data[[#This Row],[Avg Price per (₹ / m³)]]=""),"",Market_Data[[#This Row],[Estimated Concrete Demand (m³)]]*Market_Data[[#This Row],[Avg Price per (₹ / m³)]]/10000000)</f>
        <v>12.820499999999999</v>
      </c>
      <c r="O317" s="97" t="str">
        <f>IF(Market_Data[[#This Row],[Estimated Concrete Demand (m³)]]="","",
IF(Market_Data[[#This Row],[Estimated Concrete Demand (m³)]]&lt;10000,"Small",
IF(Market_Data[[#This Row],[Estimated Concrete Demand (m³)]]&lt;25000,"Medium",
IF(Market_Data[[#This Row],[Estimated Concrete Demand (m³)]]&lt;100000,"Large","Mega"))))</f>
        <v>Medium</v>
      </c>
      <c r="P317" s="287" t="str">
        <f t="shared" si="6"/>
        <v>GujRERA</v>
      </c>
    </row>
    <row r="318" spans="1:16">
      <c r="A318" s="129" t="str">
        <f>_xlfn.XLOOKUP(B318,$S$9:$S$14,$T$9:$T$14)&amp;"-"&amp;
IF(E318="Residential/Group Housing","RES",
IF(E318="Commercial","COM",
IF(E318="Mixed Development","MIX",
IF(E318="Plotted Development","PLT","OTH"))))
&amp;"-"&amp;TEXT(COUNTIFS($B$9:B318,B318,$E$9:E318,E318),"0000")</f>
        <v>NAV-MIX-0068</v>
      </c>
      <c r="B318" s="322" t="s">
        <v>37</v>
      </c>
      <c r="C318" s="322" t="s">
        <v>37</v>
      </c>
      <c r="D318" s="323" t="s">
        <v>504</v>
      </c>
      <c r="E318" s="132" t="s">
        <v>25</v>
      </c>
      <c r="F318" s="97" t="str">
        <f ca="1">IF(OR(Market_Data[[#This Row],[Start Date]]="",Market_Data[[#This Row],[Completion Date]]=""),"Needs Validation",IF(Market_Data[[#This Row],[Start Date]]&gt;TODAY(),"Planned",IF(Market_Data[[#This Row],[Completion Date]]&lt;TODAY(),"Completed","Ongoing")))</f>
        <v>Ongoing</v>
      </c>
      <c r="G318" s="324">
        <v>45292</v>
      </c>
      <c r="H318" s="324">
        <v>46660</v>
      </c>
      <c r="I318" s="325">
        <v>59500</v>
      </c>
      <c r="J31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18" s="133">
        <f>_xlfn.XLOOKUP(Market_Data[[#This Row],[Project Type]],tbl_assumptions_market[Project Category (RERA)],tbl_assumptions_market[Concrete Intensity
(m³ / sq m BUA)],"",0)</f>
        <v>0.42</v>
      </c>
      <c r="L318" s="134">
        <f>ROUND(Market_Data[[#This Row],[Estimated Built Up Area (sq m)]]*Market_Data[[#This Row],[Concrete Intensity
(m³ / sq m)]],0)</f>
        <v>24990</v>
      </c>
      <c r="M318" s="135">
        <f>_xlfn.XLOOKUP(Market_Data[[#This Row],[District]],tbl_district_price[District],tbl_district_price[Standard Price
(INR/m³)],"",0)</f>
        <v>5500</v>
      </c>
      <c r="N318" s="364">
        <f>IF(OR(Market_Data[[#This Row],[Estimated Concrete Demand (m³)]]="",Market_Data[[#This Row],[Avg Price per (₹ / m³)]]=""),"",Market_Data[[#This Row],[Estimated Concrete Demand (m³)]]*Market_Data[[#This Row],[Avg Price per (₹ / m³)]]/10000000)</f>
        <v>13.7445</v>
      </c>
      <c r="O318" s="97" t="str">
        <f>IF(Market_Data[[#This Row],[Estimated Concrete Demand (m³)]]="","",
IF(Market_Data[[#This Row],[Estimated Concrete Demand (m³)]]&lt;10000,"Small",
IF(Market_Data[[#This Row],[Estimated Concrete Demand (m³)]]&lt;25000,"Medium",
IF(Market_Data[[#This Row],[Estimated Concrete Demand (m³)]]&lt;100000,"Large","Mega"))))</f>
        <v>Medium</v>
      </c>
      <c r="P318" s="287" t="str">
        <f t="shared" si="6"/>
        <v>GujRERA</v>
      </c>
    </row>
    <row r="319" spans="1:16">
      <c r="A319" s="129" t="str">
        <f>_xlfn.XLOOKUP(B319,$S$9:$S$14,$T$9:$T$14)&amp;"-"&amp;
IF(E319="Residential/Group Housing","RES",
IF(E319="Commercial","COM",
IF(E319="Mixed Development","MIX",
IF(E319="Plotted Development","PLT","OTH"))))
&amp;"-"&amp;TEXT(COUNTIFS($B$9:B319,B319,$E$9:E319,E319),"0000")</f>
        <v>SUR-PLT-0001</v>
      </c>
      <c r="B319" s="322" t="s">
        <v>34</v>
      </c>
      <c r="C319" s="322" t="s">
        <v>34</v>
      </c>
      <c r="D319" s="323" t="s">
        <v>505</v>
      </c>
      <c r="E319" s="132" t="s">
        <v>26</v>
      </c>
      <c r="F319" s="97" t="str">
        <f ca="1">IF(OR(Market_Data[[#This Row],[Start Date]]="",Market_Data[[#This Row],[Completion Date]]=""),"Needs Validation",IF(Market_Data[[#This Row],[Start Date]]&gt;TODAY(),"Planned",IF(Market_Data[[#This Row],[Completion Date]]&lt;TODAY(),"Completed","Ongoing")))</f>
        <v>Ongoing</v>
      </c>
      <c r="G319" s="324">
        <v>45898</v>
      </c>
      <c r="H319" s="324">
        <v>46752</v>
      </c>
      <c r="I319" s="325">
        <v>12500</v>
      </c>
      <c r="J31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19" s="133">
        <f>_xlfn.XLOOKUP(Market_Data[[#This Row],[Project Type]],tbl_assumptions_market[Project Category (RERA)],tbl_assumptions_market[Concrete Intensity
(m³ / sq m BUA)],"",0)</f>
        <v>0.18</v>
      </c>
      <c r="L319" s="134">
        <f>ROUND(Market_Data[[#This Row],[Estimated Built Up Area (sq m)]]*Market_Data[[#This Row],[Concrete Intensity
(m³ / sq m)]],0)</f>
        <v>2250</v>
      </c>
      <c r="M319" s="135">
        <f>_xlfn.XLOOKUP(Market_Data[[#This Row],[District]],tbl_district_price[District],tbl_district_price[Standard Price
(INR/m³)],"",0)</f>
        <v>6200</v>
      </c>
      <c r="N319" s="364">
        <f>IF(OR(Market_Data[[#This Row],[Estimated Concrete Demand (m³)]]="",Market_Data[[#This Row],[Avg Price per (₹ / m³)]]=""),"",Market_Data[[#This Row],[Estimated Concrete Demand (m³)]]*Market_Data[[#This Row],[Avg Price per (₹ / m³)]]/10000000)</f>
        <v>1.395</v>
      </c>
      <c r="O319" s="97" t="str">
        <f>IF(Market_Data[[#This Row],[Estimated Concrete Demand (m³)]]="","",
IF(Market_Data[[#This Row],[Estimated Concrete Demand (m³)]]&lt;10000,"Small",
IF(Market_Data[[#This Row],[Estimated Concrete Demand (m³)]]&lt;25000,"Medium",
IF(Market_Data[[#This Row],[Estimated Concrete Demand (m³)]]&lt;100000,"Large","Mega"))))</f>
        <v>Small</v>
      </c>
      <c r="P319" s="287" t="str">
        <f t="shared" si="6"/>
        <v>GujRERA</v>
      </c>
    </row>
    <row r="320" spans="1:16" ht="36">
      <c r="A320" s="129" t="str">
        <f>_xlfn.XLOOKUP(B320,$S$9:$S$14,$T$9:$T$14)&amp;"-"&amp;
IF(E320="Residential/Group Housing","RES",
IF(E320="Commercial","COM",
IF(E320="Mixed Development","MIX",
IF(E320="Plotted Development","PLT","OTH"))))
&amp;"-"&amp;TEXT(COUNTIFS($B$9:B320,B320,$E$9:E320,E320),"0000")</f>
        <v>SUR-MIX-0001</v>
      </c>
      <c r="B320" s="322" t="s">
        <v>34</v>
      </c>
      <c r="C320" s="322" t="s">
        <v>34</v>
      </c>
      <c r="D320" s="323" t="s">
        <v>506</v>
      </c>
      <c r="E320" s="132" t="s">
        <v>25</v>
      </c>
      <c r="F320" s="97" t="str">
        <f ca="1">IF(OR(Market_Data[[#This Row],[Start Date]]="",Market_Data[[#This Row],[Completion Date]]=""),"Needs Validation",IF(Market_Data[[#This Row],[Start Date]]&gt;TODAY(),"Planned",IF(Market_Data[[#This Row],[Completion Date]]&lt;TODAY(),"Completed","Ongoing")))</f>
        <v>Completed</v>
      </c>
      <c r="G320" s="324">
        <v>43191</v>
      </c>
      <c r="H320" s="324">
        <v>44560</v>
      </c>
      <c r="I320" s="325">
        <v>36700</v>
      </c>
      <c r="J32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20" s="133">
        <f>_xlfn.XLOOKUP(Market_Data[[#This Row],[Project Type]],tbl_assumptions_market[Project Category (RERA)],tbl_assumptions_market[Concrete Intensity
(m³ / sq m BUA)],"",0)</f>
        <v>0.42</v>
      </c>
      <c r="L320" s="134">
        <f>ROUND(Market_Data[[#This Row],[Estimated Built Up Area (sq m)]]*Market_Data[[#This Row],[Concrete Intensity
(m³ / sq m)]],0)</f>
        <v>15414</v>
      </c>
      <c r="M320" s="135">
        <f>_xlfn.XLOOKUP(Market_Data[[#This Row],[District]],tbl_district_price[District],tbl_district_price[Standard Price
(INR/m³)],"",0)</f>
        <v>6200</v>
      </c>
      <c r="N320" s="364">
        <f>IF(OR(Market_Data[[#This Row],[Estimated Concrete Demand (m³)]]="",Market_Data[[#This Row],[Avg Price per (₹ / m³)]]=""),"",Market_Data[[#This Row],[Estimated Concrete Demand (m³)]]*Market_Data[[#This Row],[Avg Price per (₹ / m³)]]/10000000)</f>
        <v>9.5566800000000001</v>
      </c>
      <c r="O320" s="97" t="str">
        <f>IF(Market_Data[[#This Row],[Estimated Concrete Demand (m³)]]="","",
IF(Market_Data[[#This Row],[Estimated Concrete Demand (m³)]]&lt;10000,"Small",
IF(Market_Data[[#This Row],[Estimated Concrete Demand (m³)]]&lt;25000,"Medium",
IF(Market_Data[[#This Row],[Estimated Concrete Demand (m³)]]&lt;100000,"Large","Mega"))))</f>
        <v>Medium</v>
      </c>
      <c r="P320" s="287" t="str">
        <f t="shared" si="6"/>
        <v>GujRERA</v>
      </c>
    </row>
    <row r="321" spans="1:16" ht="24">
      <c r="A321" s="129" t="str">
        <f>_xlfn.XLOOKUP(B321,$S$9:$S$14,$T$9:$T$14)&amp;"-"&amp;
IF(E321="Residential/Group Housing","RES",
IF(E321="Commercial","COM",
IF(E321="Mixed Development","MIX",
IF(E321="Plotted Development","PLT","OTH"))))
&amp;"-"&amp;TEXT(COUNTIFS($B$9:B321,B321,$E$9:E321,E321),"0000")</f>
        <v>SUR-MIX-0002</v>
      </c>
      <c r="B321" s="322" t="s">
        <v>34</v>
      </c>
      <c r="C321" s="322" t="s">
        <v>34</v>
      </c>
      <c r="D321" s="323" t="s">
        <v>507</v>
      </c>
      <c r="E321" s="132" t="s">
        <v>25</v>
      </c>
      <c r="F321" s="97" t="str">
        <f ca="1">IF(OR(Market_Data[[#This Row],[Start Date]]="",Market_Data[[#This Row],[Completion Date]]=""),"Needs Validation",IF(Market_Data[[#This Row],[Start Date]]&gt;TODAY(),"Planned",IF(Market_Data[[#This Row],[Completion Date]]&lt;TODAY(),"Completed","Ongoing")))</f>
        <v>Completed</v>
      </c>
      <c r="G321" s="324">
        <v>43353</v>
      </c>
      <c r="H321" s="324">
        <v>45107</v>
      </c>
      <c r="I321" s="325">
        <v>75200</v>
      </c>
      <c r="J32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21" s="133">
        <f>_xlfn.XLOOKUP(Market_Data[[#This Row],[Project Type]],tbl_assumptions_market[Project Category (RERA)],tbl_assumptions_market[Concrete Intensity
(m³ / sq m BUA)],"",0)</f>
        <v>0.42</v>
      </c>
      <c r="L321" s="134">
        <f>ROUND(Market_Data[[#This Row],[Estimated Built Up Area (sq m)]]*Market_Data[[#This Row],[Concrete Intensity
(m³ / sq m)]],0)</f>
        <v>31584</v>
      </c>
      <c r="M321" s="135">
        <f>_xlfn.XLOOKUP(Market_Data[[#This Row],[District]],tbl_district_price[District],tbl_district_price[Standard Price
(INR/m³)],"",0)</f>
        <v>6200</v>
      </c>
      <c r="N321" s="364">
        <f>IF(OR(Market_Data[[#This Row],[Estimated Concrete Demand (m³)]]="",Market_Data[[#This Row],[Avg Price per (₹ / m³)]]=""),"",Market_Data[[#This Row],[Estimated Concrete Demand (m³)]]*Market_Data[[#This Row],[Avg Price per (₹ / m³)]]/10000000)</f>
        <v>19.582080000000001</v>
      </c>
      <c r="O321" s="97" t="str">
        <f>IF(Market_Data[[#This Row],[Estimated Concrete Demand (m³)]]="","",
IF(Market_Data[[#This Row],[Estimated Concrete Demand (m³)]]&lt;10000,"Small",
IF(Market_Data[[#This Row],[Estimated Concrete Demand (m³)]]&lt;25000,"Medium",
IF(Market_Data[[#This Row],[Estimated Concrete Demand (m³)]]&lt;100000,"Large","Mega"))))</f>
        <v>Large</v>
      </c>
      <c r="P321" s="287" t="str">
        <f t="shared" si="6"/>
        <v>GujRERA</v>
      </c>
    </row>
    <row r="322" spans="1:16">
      <c r="A322" s="129" t="str">
        <f>_xlfn.XLOOKUP(B322,$S$9:$S$14,$T$9:$T$14)&amp;"-"&amp;
IF(E322="Residential/Group Housing","RES",
IF(E322="Commercial","COM",
IF(E322="Mixed Development","MIX",
IF(E322="Plotted Development","PLT","OTH"))))
&amp;"-"&amp;TEXT(COUNTIFS($B$9:B322,B322,$E$9:E322,E322),"0000")</f>
        <v>SUR-RES-0001</v>
      </c>
      <c r="B322" s="322" t="s">
        <v>34</v>
      </c>
      <c r="C322" s="322" t="s">
        <v>34</v>
      </c>
      <c r="D322" s="323" t="s">
        <v>508</v>
      </c>
      <c r="E322" s="132" t="s">
        <v>24</v>
      </c>
      <c r="F322" s="97" t="str">
        <f ca="1">IF(OR(Market_Data[[#This Row],[Start Date]]="",Market_Data[[#This Row],[Completion Date]]=""),"Needs Validation",IF(Market_Data[[#This Row],[Start Date]]&gt;TODAY(),"Planned",IF(Market_Data[[#This Row],[Completion Date]]&lt;TODAY(),"Completed","Ongoing")))</f>
        <v>Completed</v>
      </c>
      <c r="G322" s="324">
        <v>42440</v>
      </c>
      <c r="H322" s="324">
        <v>43555</v>
      </c>
      <c r="I322" s="325">
        <v>53600</v>
      </c>
      <c r="J32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22" s="133">
        <f>_xlfn.XLOOKUP(Market_Data[[#This Row],[Project Type]],tbl_assumptions_market[Project Category (RERA)],tbl_assumptions_market[Concrete Intensity
(m³ / sq m BUA)],"",0)</f>
        <v>0.45</v>
      </c>
      <c r="L322" s="134">
        <f>ROUND(Market_Data[[#This Row],[Estimated Built Up Area (sq m)]]*Market_Data[[#This Row],[Concrete Intensity
(m³ / sq m)]],0)</f>
        <v>24120</v>
      </c>
      <c r="M322" s="135">
        <f>_xlfn.XLOOKUP(Market_Data[[#This Row],[District]],tbl_district_price[District],tbl_district_price[Standard Price
(INR/m³)],"",0)</f>
        <v>6200</v>
      </c>
      <c r="N322" s="364">
        <f>IF(OR(Market_Data[[#This Row],[Estimated Concrete Demand (m³)]]="",Market_Data[[#This Row],[Avg Price per (₹ / m³)]]=""),"",Market_Data[[#This Row],[Estimated Concrete Demand (m³)]]*Market_Data[[#This Row],[Avg Price per (₹ / m³)]]/10000000)</f>
        <v>14.9544</v>
      </c>
      <c r="O322" s="97" t="str">
        <f>IF(Market_Data[[#This Row],[Estimated Concrete Demand (m³)]]="","",
IF(Market_Data[[#This Row],[Estimated Concrete Demand (m³)]]&lt;10000,"Small",
IF(Market_Data[[#This Row],[Estimated Concrete Demand (m³)]]&lt;25000,"Medium",
IF(Market_Data[[#This Row],[Estimated Concrete Demand (m³)]]&lt;100000,"Large","Mega"))))</f>
        <v>Medium</v>
      </c>
      <c r="P322" s="287" t="str">
        <f t="shared" si="6"/>
        <v>GujRERA</v>
      </c>
    </row>
    <row r="323" spans="1:16">
      <c r="A323" s="129" t="str">
        <f>_xlfn.XLOOKUP(B323,$S$9:$S$14,$T$9:$T$14)&amp;"-"&amp;
IF(E323="Residential/Group Housing","RES",
IF(E323="Commercial","COM",
IF(E323="Mixed Development","MIX",
IF(E323="Plotted Development","PLT","OTH"))))
&amp;"-"&amp;TEXT(COUNTIFS($B$9:B323,B323,$E$9:E323,E323),"0000")</f>
        <v>SUR-RES-0002</v>
      </c>
      <c r="B323" s="322" t="s">
        <v>34</v>
      </c>
      <c r="C323" s="322" t="s">
        <v>509</v>
      </c>
      <c r="D323" s="323" t="s">
        <v>510</v>
      </c>
      <c r="E323" s="132" t="s">
        <v>24</v>
      </c>
      <c r="F323" s="97" t="str">
        <f ca="1">IF(OR(Market_Data[[#This Row],[Start Date]]="",Market_Data[[#This Row],[Completion Date]]=""),"Needs Validation",IF(Market_Data[[#This Row],[Start Date]]&gt;TODAY(),"Planned",IF(Market_Data[[#This Row],[Completion Date]]&lt;TODAY(),"Completed","Ongoing")))</f>
        <v>Completed</v>
      </c>
      <c r="G323" s="324">
        <v>41694</v>
      </c>
      <c r="H323" s="324">
        <v>43427</v>
      </c>
      <c r="I323" s="325">
        <v>6200</v>
      </c>
      <c r="J32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23" s="133">
        <f>_xlfn.XLOOKUP(Market_Data[[#This Row],[Project Type]],tbl_assumptions_market[Project Category (RERA)],tbl_assumptions_market[Concrete Intensity
(m³ / sq m BUA)],"",0)</f>
        <v>0.45</v>
      </c>
      <c r="L323" s="134">
        <f>ROUND(Market_Data[[#This Row],[Estimated Built Up Area (sq m)]]*Market_Data[[#This Row],[Concrete Intensity
(m³ / sq m)]],0)</f>
        <v>2790</v>
      </c>
      <c r="M323" s="135">
        <f>_xlfn.XLOOKUP(Market_Data[[#This Row],[District]],tbl_district_price[District],tbl_district_price[Standard Price
(INR/m³)],"",0)</f>
        <v>6200</v>
      </c>
      <c r="N323" s="364">
        <f>IF(OR(Market_Data[[#This Row],[Estimated Concrete Demand (m³)]]="",Market_Data[[#This Row],[Avg Price per (₹ / m³)]]=""),"",Market_Data[[#This Row],[Estimated Concrete Demand (m³)]]*Market_Data[[#This Row],[Avg Price per (₹ / m³)]]/10000000)</f>
        <v>1.7298</v>
      </c>
      <c r="O323" s="97" t="str">
        <f>IF(Market_Data[[#This Row],[Estimated Concrete Demand (m³)]]="","",
IF(Market_Data[[#This Row],[Estimated Concrete Demand (m³)]]&lt;10000,"Small",
IF(Market_Data[[#This Row],[Estimated Concrete Demand (m³)]]&lt;25000,"Medium",
IF(Market_Data[[#This Row],[Estimated Concrete Demand (m³)]]&lt;100000,"Large","Mega"))))</f>
        <v>Small</v>
      </c>
      <c r="P323" s="287" t="str">
        <f t="shared" si="6"/>
        <v>GujRERA</v>
      </c>
    </row>
    <row r="324" spans="1:16" ht="24">
      <c r="A324" s="129" t="str">
        <f>_xlfn.XLOOKUP(B324,$S$9:$S$14,$T$9:$T$14)&amp;"-"&amp;
IF(E324="Residential/Group Housing","RES",
IF(E324="Commercial","COM",
IF(E324="Mixed Development","MIX",
IF(E324="Plotted Development","PLT","OTH"))))
&amp;"-"&amp;TEXT(COUNTIFS($B$9:B324,B324,$E$9:E324,E324),"0000")</f>
        <v>SUR-RES-0003</v>
      </c>
      <c r="B324" s="322" t="s">
        <v>34</v>
      </c>
      <c r="C324" s="322" t="s">
        <v>34</v>
      </c>
      <c r="D324" s="323" t="s">
        <v>511</v>
      </c>
      <c r="E324" s="132" t="s">
        <v>24</v>
      </c>
      <c r="F324" s="97" t="str">
        <f ca="1">IF(OR(Market_Data[[#This Row],[Start Date]]="",Market_Data[[#This Row],[Completion Date]]=""),"Needs Validation",IF(Market_Data[[#This Row],[Start Date]]&gt;TODAY(),"Planned",IF(Market_Data[[#This Row],[Completion Date]]&lt;TODAY(),"Completed","Ongoing")))</f>
        <v>Completed</v>
      </c>
      <c r="G324" s="324">
        <v>43472</v>
      </c>
      <c r="H324" s="324">
        <v>45107</v>
      </c>
      <c r="I324" s="325">
        <v>31800</v>
      </c>
      <c r="J32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24" s="133">
        <f>_xlfn.XLOOKUP(Market_Data[[#This Row],[Project Type]],tbl_assumptions_market[Project Category (RERA)],tbl_assumptions_market[Concrete Intensity
(m³ / sq m BUA)],"",0)</f>
        <v>0.45</v>
      </c>
      <c r="L324" s="134">
        <f>ROUND(Market_Data[[#This Row],[Estimated Built Up Area (sq m)]]*Market_Data[[#This Row],[Concrete Intensity
(m³ / sq m)]],0)</f>
        <v>14310</v>
      </c>
      <c r="M324" s="135">
        <f>_xlfn.XLOOKUP(Market_Data[[#This Row],[District]],tbl_district_price[District],tbl_district_price[Standard Price
(INR/m³)],"",0)</f>
        <v>6200</v>
      </c>
      <c r="N324" s="364">
        <f>IF(OR(Market_Data[[#This Row],[Estimated Concrete Demand (m³)]]="",Market_Data[[#This Row],[Avg Price per (₹ / m³)]]=""),"",Market_Data[[#This Row],[Estimated Concrete Demand (m³)]]*Market_Data[[#This Row],[Avg Price per (₹ / m³)]]/10000000)</f>
        <v>8.8721999999999994</v>
      </c>
      <c r="O324" s="97" t="str">
        <f>IF(Market_Data[[#This Row],[Estimated Concrete Demand (m³)]]="","",
IF(Market_Data[[#This Row],[Estimated Concrete Demand (m³)]]&lt;10000,"Small",
IF(Market_Data[[#This Row],[Estimated Concrete Demand (m³)]]&lt;25000,"Medium",
IF(Market_Data[[#This Row],[Estimated Concrete Demand (m³)]]&lt;100000,"Large","Mega"))))</f>
        <v>Medium</v>
      </c>
      <c r="P324" s="287" t="str">
        <f t="shared" si="6"/>
        <v>GujRERA</v>
      </c>
    </row>
    <row r="325" spans="1:16" ht="24">
      <c r="A325" s="129" t="str">
        <f>_xlfn.XLOOKUP(B325,$S$9:$S$14,$T$9:$T$14)&amp;"-"&amp;
IF(E325="Residential/Group Housing","RES",
IF(E325="Commercial","COM",
IF(E325="Mixed Development","MIX",
IF(E325="Plotted Development","PLT","OTH"))))
&amp;"-"&amp;TEXT(COUNTIFS($B$9:B325,B325,$E$9:E325,E325),"0000")</f>
        <v>SUR-MIX-0003</v>
      </c>
      <c r="B325" s="322" t="s">
        <v>34</v>
      </c>
      <c r="C325" s="322" t="s">
        <v>509</v>
      </c>
      <c r="D325" s="323" t="s">
        <v>512</v>
      </c>
      <c r="E325" s="132" t="s">
        <v>25</v>
      </c>
      <c r="F325" s="97" t="str">
        <f ca="1">IF(OR(Market_Data[[#This Row],[Start Date]]="",Market_Data[[#This Row],[Completion Date]]=""),"Needs Validation",IF(Market_Data[[#This Row],[Start Date]]&gt;TODAY(),"Planned",IF(Market_Data[[#This Row],[Completion Date]]&lt;TODAY(),"Completed","Ongoing")))</f>
        <v>Completed</v>
      </c>
      <c r="G325" s="324">
        <v>41694</v>
      </c>
      <c r="H325" s="324">
        <v>43427</v>
      </c>
      <c r="I325" s="325">
        <v>67300</v>
      </c>
      <c r="J32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25" s="133">
        <f>_xlfn.XLOOKUP(Market_Data[[#This Row],[Project Type]],tbl_assumptions_market[Project Category (RERA)],tbl_assumptions_market[Concrete Intensity
(m³ / sq m BUA)],"",0)</f>
        <v>0.42</v>
      </c>
      <c r="L325" s="134">
        <f>ROUND(Market_Data[[#This Row],[Estimated Built Up Area (sq m)]]*Market_Data[[#This Row],[Concrete Intensity
(m³ / sq m)]],0)</f>
        <v>28266</v>
      </c>
      <c r="M325" s="135">
        <f>_xlfn.XLOOKUP(Market_Data[[#This Row],[District]],tbl_district_price[District],tbl_district_price[Standard Price
(INR/m³)],"",0)</f>
        <v>6200</v>
      </c>
      <c r="N325" s="364">
        <f>IF(OR(Market_Data[[#This Row],[Estimated Concrete Demand (m³)]]="",Market_Data[[#This Row],[Avg Price per (₹ / m³)]]=""),"",Market_Data[[#This Row],[Estimated Concrete Demand (m³)]]*Market_Data[[#This Row],[Avg Price per (₹ / m³)]]/10000000)</f>
        <v>17.524920000000002</v>
      </c>
      <c r="O325" s="97" t="str">
        <f>IF(Market_Data[[#This Row],[Estimated Concrete Demand (m³)]]="","",
IF(Market_Data[[#This Row],[Estimated Concrete Demand (m³)]]&lt;10000,"Small",
IF(Market_Data[[#This Row],[Estimated Concrete Demand (m³)]]&lt;25000,"Medium",
IF(Market_Data[[#This Row],[Estimated Concrete Demand (m³)]]&lt;100000,"Large","Mega"))))</f>
        <v>Large</v>
      </c>
      <c r="P325" s="287" t="str">
        <f t="shared" si="6"/>
        <v>GujRERA</v>
      </c>
    </row>
    <row r="326" spans="1:16">
      <c r="A326" s="129" t="str">
        <f>_xlfn.XLOOKUP(B326,$S$9:$S$14,$T$9:$T$14)&amp;"-"&amp;
IF(E326="Residential/Group Housing","RES",
IF(E326="Commercial","COM",
IF(E326="Mixed Development","MIX",
IF(E326="Plotted Development","PLT","OTH"))))
&amp;"-"&amp;TEXT(COUNTIFS($B$9:B326,B326,$E$9:E326,E326),"0000")</f>
        <v>SUR-MIX-0004</v>
      </c>
      <c r="B326" s="322" t="s">
        <v>34</v>
      </c>
      <c r="C326" s="322" t="s">
        <v>34</v>
      </c>
      <c r="D326" s="323" t="s">
        <v>513</v>
      </c>
      <c r="E326" s="132" t="s">
        <v>25</v>
      </c>
      <c r="F326" s="97" t="str">
        <f ca="1">IF(OR(Market_Data[[#This Row],[Start Date]]="",Market_Data[[#This Row],[Completion Date]]=""),"Needs Validation",IF(Market_Data[[#This Row],[Start Date]]&gt;TODAY(),"Planned",IF(Market_Data[[#This Row],[Completion Date]]&lt;TODAY(),"Completed","Ongoing")))</f>
        <v>Completed</v>
      </c>
      <c r="G326" s="324">
        <v>41703</v>
      </c>
      <c r="H326" s="324">
        <v>43427</v>
      </c>
      <c r="I326" s="325">
        <v>137500</v>
      </c>
      <c r="J32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26" s="133">
        <f>_xlfn.XLOOKUP(Market_Data[[#This Row],[Project Type]],tbl_assumptions_market[Project Category (RERA)],tbl_assumptions_market[Concrete Intensity
(m³ / sq m BUA)],"",0)</f>
        <v>0.42</v>
      </c>
      <c r="L326" s="134">
        <f>ROUND(Market_Data[[#This Row],[Estimated Built Up Area (sq m)]]*Market_Data[[#This Row],[Concrete Intensity
(m³ / sq m)]],0)</f>
        <v>57750</v>
      </c>
      <c r="M326" s="135">
        <f>_xlfn.XLOOKUP(Market_Data[[#This Row],[District]],tbl_district_price[District],tbl_district_price[Standard Price
(INR/m³)],"",0)</f>
        <v>6200</v>
      </c>
      <c r="N326" s="364">
        <f>IF(OR(Market_Data[[#This Row],[Estimated Concrete Demand (m³)]]="",Market_Data[[#This Row],[Avg Price per (₹ / m³)]]=""),"",Market_Data[[#This Row],[Estimated Concrete Demand (m³)]]*Market_Data[[#This Row],[Avg Price per (₹ / m³)]]/10000000)</f>
        <v>35.805</v>
      </c>
      <c r="O326" s="97" t="str">
        <f>IF(Market_Data[[#This Row],[Estimated Concrete Demand (m³)]]="","",
IF(Market_Data[[#This Row],[Estimated Concrete Demand (m³)]]&lt;10000,"Small",
IF(Market_Data[[#This Row],[Estimated Concrete Demand (m³)]]&lt;25000,"Medium",
IF(Market_Data[[#This Row],[Estimated Concrete Demand (m³)]]&lt;100000,"Large","Mega"))))</f>
        <v>Large</v>
      </c>
      <c r="P326" s="287" t="str">
        <f t="shared" si="6"/>
        <v>GujRERA</v>
      </c>
    </row>
    <row r="327" spans="1:16">
      <c r="A327" s="129" t="str">
        <f>_xlfn.XLOOKUP(B327,$S$9:$S$14,$T$9:$T$14)&amp;"-"&amp;
IF(E327="Residential/Group Housing","RES",
IF(E327="Commercial","COM",
IF(E327="Mixed Development","MIX",
IF(E327="Plotted Development","PLT","OTH"))))
&amp;"-"&amp;TEXT(COUNTIFS($B$9:B327,B327,$E$9:E327,E327),"0000")</f>
        <v>SUR-COM-0001</v>
      </c>
      <c r="B327" s="322" t="s">
        <v>34</v>
      </c>
      <c r="C327" s="322" t="s">
        <v>34</v>
      </c>
      <c r="D327" s="323" t="s">
        <v>514</v>
      </c>
      <c r="E327" s="132" t="s">
        <v>23</v>
      </c>
      <c r="F327" s="97" t="str">
        <f ca="1">IF(OR(Market_Data[[#This Row],[Start Date]]="",Market_Data[[#This Row],[Completion Date]]=""),"Needs Validation",IF(Market_Data[[#This Row],[Start Date]]&gt;TODAY(),"Planned",IF(Market_Data[[#This Row],[Completion Date]]&lt;TODAY(),"Completed","Ongoing")))</f>
        <v>Completed</v>
      </c>
      <c r="G327" s="324">
        <v>43472</v>
      </c>
      <c r="H327" s="324">
        <v>45015</v>
      </c>
      <c r="I327" s="325">
        <v>17300</v>
      </c>
      <c r="J32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27" s="133">
        <f>_xlfn.XLOOKUP(Market_Data[[#This Row],[Project Type]],tbl_assumptions_market[Project Category (RERA)],tbl_assumptions_market[Concrete Intensity
(m³ / sq m BUA)],"",0)</f>
        <v>0.5</v>
      </c>
      <c r="L327" s="134">
        <f>ROUND(Market_Data[[#This Row],[Estimated Built Up Area (sq m)]]*Market_Data[[#This Row],[Concrete Intensity
(m³ / sq m)]],0)</f>
        <v>8650</v>
      </c>
      <c r="M327" s="135">
        <f>_xlfn.XLOOKUP(Market_Data[[#This Row],[District]],tbl_district_price[District],tbl_district_price[Standard Price
(INR/m³)],"",0)</f>
        <v>6200</v>
      </c>
      <c r="N327" s="364">
        <f>IF(OR(Market_Data[[#This Row],[Estimated Concrete Demand (m³)]]="",Market_Data[[#This Row],[Avg Price per (₹ / m³)]]=""),"",Market_Data[[#This Row],[Estimated Concrete Demand (m³)]]*Market_Data[[#This Row],[Avg Price per (₹ / m³)]]/10000000)</f>
        <v>5.3630000000000004</v>
      </c>
      <c r="O327" s="97" t="str">
        <f>IF(Market_Data[[#This Row],[Estimated Concrete Demand (m³)]]="","",
IF(Market_Data[[#This Row],[Estimated Concrete Demand (m³)]]&lt;10000,"Small",
IF(Market_Data[[#This Row],[Estimated Concrete Demand (m³)]]&lt;25000,"Medium",
IF(Market_Data[[#This Row],[Estimated Concrete Demand (m³)]]&lt;100000,"Large","Mega"))))</f>
        <v>Small</v>
      </c>
      <c r="P327" s="287" t="str">
        <f t="shared" si="6"/>
        <v>GujRERA</v>
      </c>
    </row>
    <row r="328" spans="1:16" ht="36">
      <c r="A328" s="129" t="str">
        <f>_xlfn.XLOOKUP(B328,$S$9:$S$14,$T$9:$T$14)&amp;"-"&amp;
IF(E328="Residential/Group Housing","RES",
IF(E328="Commercial","COM",
IF(E328="Mixed Development","MIX",
IF(E328="Plotted Development","PLT","OTH"))))
&amp;"-"&amp;TEXT(COUNTIFS($B$9:B328,B328,$E$9:E328,E328),"0000")</f>
        <v>SUR-MIX-0005</v>
      </c>
      <c r="B328" s="322" t="s">
        <v>34</v>
      </c>
      <c r="C328" s="322" t="s">
        <v>509</v>
      </c>
      <c r="D328" s="323" t="s">
        <v>515</v>
      </c>
      <c r="E328" s="132" t="s">
        <v>25</v>
      </c>
      <c r="F328" s="97" t="str">
        <f ca="1">IF(OR(Market_Data[[#This Row],[Start Date]]="",Market_Data[[#This Row],[Completion Date]]=""),"Needs Validation",IF(Market_Data[[#This Row],[Start Date]]&gt;TODAY(),"Planned",IF(Market_Data[[#This Row],[Completion Date]]&lt;TODAY(),"Completed","Ongoing")))</f>
        <v>Completed</v>
      </c>
      <c r="G328" s="324">
        <v>44147</v>
      </c>
      <c r="H328" s="324">
        <v>45230</v>
      </c>
      <c r="I328" s="325">
        <v>78300</v>
      </c>
      <c r="J32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28" s="133">
        <f>_xlfn.XLOOKUP(Market_Data[[#This Row],[Project Type]],tbl_assumptions_market[Project Category (RERA)],tbl_assumptions_market[Concrete Intensity
(m³ / sq m BUA)],"",0)</f>
        <v>0.42</v>
      </c>
      <c r="L328" s="134">
        <f>ROUND(Market_Data[[#This Row],[Estimated Built Up Area (sq m)]]*Market_Data[[#This Row],[Concrete Intensity
(m³ / sq m)]],0)</f>
        <v>32886</v>
      </c>
      <c r="M328" s="135">
        <f>_xlfn.XLOOKUP(Market_Data[[#This Row],[District]],tbl_district_price[District],tbl_district_price[Standard Price
(INR/m³)],"",0)</f>
        <v>6200</v>
      </c>
      <c r="N328" s="364">
        <f>IF(OR(Market_Data[[#This Row],[Estimated Concrete Demand (m³)]]="",Market_Data[[#This Row],[Avg Price per (₹ / m³)]]=""),"",Market_Data[[#This Row],[Estimated Concrete Demand (m³)]]*Market_Data[[#This Row],[Avg Price per (₹ / m³)]]/10000000)</f>
        <v>20.389320000000001</v>
      </c>
      <c r="O328" s="97" t="str">
        <f>IF(Market_Data[[#This Row],[Estimated Concrete Demand (m³)]]="","",
IF(Market_Data[[#This Row],[Estimated Concrete Demand (m³)]]&lt;10000,"Small",
IF(Market_Data[[#This Row],[Estimated Concrete Demand (m³)]]&lt;25000,"Medium",
IF(Market_Data[[#This Row],[Estimated Concrete Demand (m³)]]&lt;100000,"Large","Mega"))))</f>
        <v>Large</v>
      </c>
      <c r="P328" s="287" t="str">
        <f t="shared" si="6"/>
        <v>GujRERA</v>
      </c>
    </row>
    <row r="329" spans="1:16">
      <c r="A329" s="129" t="str">
        <f>_xlfn.XLOOKUP(B329,$S$9:$S$14,$T$9:$T$14)&amp;"-"&amp;
IF(E329="Residential/Group Housing","RES",
IF(E329="Commercial","COM",
IF(E329="Mixed Development","MIX",
IF(E329="Plotted Development","PLT","OTH"))))
&amp;"-"&amp;TEXT(COUNTIFS($B$9:B329,B329,$E$9:E329,E329),"0000")</f>
        <v>SUR-PLT-0002</v>
      </c>
      <c r="B329" s="322" t="s">
        <v>34</v>
      </c>
      <c r="C329" s="322" t="s">
        <v>34</v>
      </c>
      <c r="D329" s="323" t="s">
        <v>516</v>
      </c>
      <c r="E329" s="132" t="s">
        <v>26</v>
      </c>
      <c r="F329" s="97" t="str">
        <f ca="1">IF(OR(Market_Data[[#This Row],[Start Date]]="",Market_Data[[#This Row],[Completion Date]]=""),"Needs Validation",IF(Market_Data[[#This Row],[Start Date]]&gt;TODAY(),"Planned",IF(Market_Data[[#This Row],[Completion Date]]&lt;TODAY(),"Completed","Ongoing")))</f>
        <v>Ongoing</v>
      </c>
      <c r="G329" s="324">
        <v>45379</v>
      </c>
      <c r="H329" s="324">
        <v>47208</v>
      </c>
      <c r="I329" s="325">
        <v>52600</v>
      </c>
      <c r="J32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329" s="133">
        <f>_xlfn.XLOOKUP(Market_Data[[#This Row],[Project Type]],tbl_assumptions_market[Project Category (RERA)],tbl_assumptions_market[Concrete Intensity
(m³ / sq m BUA)],"",0)</f>
        <v>0.18</v>
      </c>
      <c r="L329" s="134">
        <f>ROUND(Market_Data[[#This Row],[Estimated Built Up Area (sq m)]]*Market_Data[[#This Row],[Concrete Intensity
(m³ / sq m)]],0)</f>
        <v>9468</v>
      </c>
      <c r="M329" s="135">
        <f>_xlfn.XLOOKUP(Market_Data[[#This Row],[District]],tbl_district_price[District],tbl_district_price[Standard Price
(INR/m³)],"",0)</f>
        <v>6200</v>
      </c>
      <c r="N329" s="364">
        <f>IF(OR(Market_Data[[#This Row],[Estimated Concrete Demand (m³)]]="",Market_Data[[#This Row],[Avg Price per (₹ / m³)]]=""),"",Market_Data[[#This Row],[Estimated Concrete Demand (m³)]]*Market_Data[[#This Row],[Avg Price per (₹ / m³)]]/10000000)</f>
        <v>5.8701600000000003</v>
      </c>
      <c r="O329" s="97" t="str">
        <f>IF(Market_Data[[#This Row],[Estimated Concrete Demand (m³)]]="","",
IF(Market_Data[[#This Row],[Estimated Concrete Demand (m³)]]&lt;10000,"Small",
IF(Market_Data[[#This Row],[Estimated Concrete Demand (m³)]]&lt;25000,"Medium",
IF(Market_Data[[#This Row],[Estimated Concrete Demand (m³)]]&lt;100000,"Large","Mega"))))</f>
        <v>Small</v>
      </c>
      <c r="P329" s="287" t="str">
        <f t="shared" si="6"/>
        <v>GujRERA</v>
      </c>
    </row>
    <row r="330" spans="1:16">
      <c r="A330" s="129" t="str">
        <f>_xlfn.XLOOKUP(B330,$S$9:$S$14,$T$9:$T$14)&amp;"-"&amp;
IF(E330="Residential/Group Housing","RES",
IF(E330="Commercial","COM",
IF(E330="Mixed Development","MIX",
IF(E330="Plotted Development","PLT","OTH"))))
&amp;"-"&amp;TEXT(COUNTIFS($B$9:B330,B330,$E$9:E330,E330),"0000")</f>
        <v>SUR-RES-0004</v>
      </c>
      <c r="B330" s="322" t="s">
        <v>34</v>
      </c>
      <c r="C330" s="322" t="s">
        <v>34</v>
      </c>
      <c r="D330" s="323" t="s">
        <v>517</v>
      </c>
      <c r="E330" s="132" t="s">
        <v>24</v>
      </c>
      <c r="F330" s="97" t="str">
        <f ca="1">IF(OR(Market_Data[[#This Row],[Start Date]]="",Market_Data[[#This Row],[Completion Date]]=""),"Needs Validation",IF(Market_Data[[#This Row],[Start Date]]&gt;TODAY(),"Planned",IF(Market_Data[[#This Row],[Completion Date]]&lt;TODAY(),"Completed","Ongoing")))</f>
        <v>Ongoing</v>
      </c>
      <c r="G330" s="324">
        <v>45793</v>
      </c>
      <c r="H330" s="324">
        <v>47573</v>
      </c>
      <c r="I330" s="325">
        <v>48900</v>
      </c>
      <c r="J33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30" s="133">
        <f>_xlfn.XLOOKUP(Market_Data[[#This Row],[Project Type]],tbl_assumptions_market[Project Category (RERA)],tbl_assumptions_market[Concrete Intensity
(m³ / sq m BUA)],"",0)</f>
        <v>0.45</v>
      </c>
      <c r="L330" s="134">
        <f>ROUND(Market_Data[[#This Row],[Estimated Built Up Area (sq m)]]*Market_Data[[#This Row],[Concrete Intensity
(m³ / sq m)]],0)</f>
        <v>22005</v>
      </c>
      <c r="M330" s="135">
        <f>_xlfn.XLOOKUP(Market_Data[[#This Row],[District]],tbl_district_price[District],tbl_district_price[Standard Price
(INR/m³)],"",0)</f>
        <v>6200</v>
      </c>
      <c r="N330" s="364">
        <f>IF(OR(Market_Data[[#This Row],[Estimated Concrete Demand (m³)]]="",Market_Data[[#This Row],[Avg Price per (₹ / m³)]]=""),"",Market_Data[[#This Row],[Estimated Concrete Demand (m³)]]*Market_Data[[#This Row],[Avg Price per (₹ / m³)]]/10000000)</f>
        <v>13.6431</v>
      </c>
      <c r="O330" s="97" t="str">
        <f>IF(Market_Data[[#This Row],[Estimated Concrete Demand (m³)]]="","",
IF(Market_Data[[#This Row],[Estimated Concrete Demand (m³)]]&lt;10000,"Small",
IF(Market_Data[[#This Row],[Estimated Concrete Demand (m³)]]&lt;25000,"Medium",
IF(Market_Data[[#This Row],[Estimated Concrete Demand (m³)]]&lt;100000,"Large","Mega"))))</f>
        <v>Medium</v>
      </c>
      <c r="P330" s="287" t="str">
        <f t="shared" ref="P330:P393" si="7">HYPERLINK(
"https://gujrera.gujarat.gov.in",
"GujRERA")</f>
        <v>GujRERA</v>
      </c>
    </row>
    <row r="331" spans="1:16">
      <c r="A331" s="129" t="str">
        <f>_xlfn.XLOOKUP(B331,$S$9:$S$14,$T$9:$T$14)&amp;"-"&amp;
IF(E331="Residential/Group Housing","RES",
IF(E331="Commercial","COM",
IF(E331="Mixed Development","MIX",
IF(E331="Plotted Development","PLT","OTH"))))
&amp;"-"&amp;TEXT(COUNTIFS($B$9:B331,B331,$E$9:E331,E331),"0000")</f>
        <v>SUR-PLT-0003</v>
      </c>
      <c r="B331" s="322" t="s">
        <v>34</v>
      </c>
      <c r="C331" s="322" t="s">
        <v>34</v>
      </c>
      <c r="D331" s="323" t="s">
        <v>518</v>
      </c>
      <c r="E331" s="132" t="s">
        <v>26</v>
      </c>
      <c r="F331" s="97" t="str">
        <f ca="1">IF(OR(Market_Data[[#This Row],[Start Date]]="",Market_Data[[#This Row],[Completion Date]]=""),"Needs Validation",IF(Market_Data[[#This Row],[Start Date]]&gt;TODAY(),"Planned",IF(Market_Data[[#This Row],[Completion Date]]&lt;TODAY(),"Completed","Ongoing")))</f>
        <v>Ongoing</v>
      </c>
      <c r="G331" s="324">
        <v>45189</v>
      </c>
      <c r="H331" s="324">
        <v>46387</v>
      </c>
      <c r="I331" s="325">
        <v>4900</v>
      </c>
      <c r="J33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31" s="133">
        <f>_xlfn.XLOOKUP(Market_Data[[#This Row],[Project Type]],tbl_assumptions_market[Project Category (RERA)],tbl_assumptions_market[Concrete Intensity
(m³ / sq m BUA)],"",0)</f>
        <v>0.18</v>
      </c>
      <c r="L331" s="134">
        <f>ROUND(Market_Data[[#This Row],[Estimated Built Up Area (sq m)]]*Market_Data[[#This Row],[Concrete Intensity
(m³ / sq m)]],0)</f>
        <v>882</v>
      </c>
      <c r="M331" s="135">
        <f>_xlfn.XLOOKUP(Market_Data[[#This Row],[District]],tbl_district_price[District],tbl_district_price[Standard Price
(INR/m³)],"",0)</f>
        <v>6200</v>
      </c>
      <c r="N331" s="364">
        <f>IF(OR(Market_Data[[#This Row],[Estimated Concrete Demand (m³)]]="",Market_Data[[#This Row],[Avg Price per (₹ / m³)]]=""),"",Market_Data[[#This Row],[Estimated Concrete Demand (m³)]]*Market_Data[[#This Row],[Avg Price per (₹ / m³)]]/10000000)</f>
        <v>0.54683999999999999</v>
      </c>
      <c r="O331" s="97" t="str">
        <f>IF(Market_Data[[#This Row],[Estimated Concrete Demand (m³)]]="","",
IF(Market_Data[[#This Row],[Estimated Concrete Demand (m³)]]&lt;10000,"Small",
IF(Market_Data[[#This Row],[Estimated Concrete Demand (m³)]]&lt;25000,"Medium",
IF(Market_Data[[#This Row],[Estimated Concrete Demand (m³)]]&lt;100000,"Large","Mega"))))</f>
        <v>Small</v>
      </c>
      <c r="P331" s="287" t="str">
        <f t="shared" si="7"/>
        <v>GujRERA</v>
      </c>
    </row>
    <row r="332" spans="1:16">
      <c r="A332" s="129" t="str">
        <f>_xlfn.XLOOKUP(B332,$S$9:$S$14,$T$9:$T$14)&amp;"-"&amp;
IF(E332="Residential/Group Housing","RES",
IF(E332="Commercial","COM",
IF(E332="Mixed Development","MIX",
IF(E332="Plotted Development","PLT","OTH"))))
&amp;"-"&amp;TEXT(COUNTIFS($B$9:B332,B332,$E$9:E332,E332),"0000")</f>
        <v>SUR-COM-0002</v>
      </c>
      <c r="B332" s="322" t="s">
        <v>34</v>
      </c>
      <c r="C332" s="322" t="s">
        <v>34</v>
      </c>
      <c r="D332" s="323" t="s">
        <v>519</v>
      </c>
      <c r="E332" s="132" t="s">
        <v>23</v>
      </c>
      <c r="F332" s="97" t="str">
        <f ca="1">IF(OR(Market_Data[[#This Row],[Start Date]]="",Market_Data[[#This Row],[Completion Date]]=""),"Needs Validation",IF(Market_Data[[#This Row],[Start Date]]&gt;TODAY(),"Planned",IF(Market_Data[[#This Row],[Completion Date]]&lt;TODAY(),"Completed","Ongoing")))</f>
        <v>Completed</v>
      </c>
      <c r="G332" s="324">
        <v>43173</v>
      </c>
      <c r="H332" s="324">
        <v>45473</v>
      </c>
      <c r="I332" s="325">
        <v>8100</v>
      </c>
      <c r="J33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32" s="133">
        <f>_xlfn.XLOOKUP(Market_Data[[#This Row],[Project Type]],tbl_assumptions_market[Project Category (RERA)],tbl_assumptions_market[Concrete Intensity
(m³ / sq m BUA)],"",0)</f>
        <v>0.5</v>
      </c>
      <c r="L332" s="134">
        <f>ROUND(Market_Data[[#This Row],[Estimated Built Up Area (sq m)]]*Market_Data[[#This Row],[Concrete Intensity
(m³ / sq m)]],0)</f>
        <v>4050</v>
      </c>
      <c r="M332" s="135">
        <f>_xlfn.XLOOKUP(Market_Data[[#This Row],[District]],tbl_district_price[District],tbl_district_price[Standard Price
(INR/m³)],"",0)</f>
        <v>6200</v>
      </c>
      <c r="N332" s="364">
        <f>IF(OR(Market_Data[[#This Row],[Estimated Concrete Demand (m³)]]="",Market_Data[[#This Row],[Avg Price per (₹ / m³)]]=""),"",Market_Data[[#This Row],[Estimated Concrete Demand (m³)]]*Market_Data[[#This Row],[Avg Price per (₹ / m³)]]/10000000)</f>
        <v>2.5110000000000001</v>
      </c>
      <c r="O332" s="97" t="str">
        <f>IF(Market_Data[[#This Row],[Estimated Concrete Demand (m³)]]="","",
IF(Market_Data[[#This Row],[Estimated Concrete Demand (m³)]]&lt;10000,"Small",
IF(Market_Data[[#This Row],[Estimated Concrete Demand (m³)]]&lt;25000,"Medium",
IF(Market_Data[[#This Row],[Estimated Concrete Demand (m³)]]&lt;100000,"Large","Mega"))))</f>
        <v>Small</v>
      </c>
      <c r="P332" s="287" t="str">
        <f t="shared" si="7"/>
        <v>GujRERA</v>
      </c>
    </row>
    <row r="333" spans="1:16">
      <c r="A333" s="129" t="str">
        <f>_xlfn.XLOOKUP(B333,$S$9:$S$14,$T$9:$T$14)&amp;"-"&amp;
IF(E333="Residential/Group Housing","RES",
IF(E333="Commercial","COM",
IF(E333="Mixed Development","MIX",
IF(E333="Plotted Development","PLT","OTH"))))
&amp;"-"&amp;TEXT(COUNTIFS($B$9:B333,B333,$E$9:E333,E333),"0000")</f>
        <v>SUR-RES-0005</v>
      </c>
      <c r="B333" s="322" t="s">
        <v>34</v>
      </c>
      <c r="C333" s="322" t="s">
        <v>34</v>
      </c>
      <c r="D333" s="323" t="s">
        <v>520</v>
      </c>
      <c r="E333" s="132" t="s">
        <v>24</v>
      </c>
      <c r="F333" s="97" t="str">
        <f ca="1">IF(OR(Market_Data[[#This Row],[Start Date]]="",Market_Data[[#This Row],[Completion Date]]=""),"Needs Validation",IF(Market_Data[[#This Row],[Start Date]]&gt;TODAY(),"Planned",IF(Market_Data[[#This Row],[Completion Date]]&lt;TODAY(),"Completed","Ongoing")))</f>
        <v>Completed</v>
      </c>
      <c r="G333" s="324">
        <v>43104</v>
      </c>
      <c r="H333" s="324">
        <v>44195</v>
      </c>
      <c r="I333" s="325">
        <v>46600</v>
      </c>
      <c r="J33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33" s="133">
        <f>_xlfn.XLOOKUP(Market_Data[[#This Row],[Project Type]],tbl_assumptions_market[Project Category (RERA)],tbl_assumptions_market[Concrete Intensity
(m³ / sq m BUA)],"",0)</f>
        <v>0.45</v>
      </c>
      <c r="L333" s="134">
        <f>ROUND(Market_Data[[#This Row],[Estimated Built Up Area (sq m)]]*Market_Data[[#This Row],[Concrete Intensity
(m³ / sq m)]],0)</f>
        <v>20970</v>
      </c>
      <c r="M333" s="135">
        <f>_xlfn.XLOOKUP(Market_Data[[#This Row],[District]],tbl_district_price[District],tbl_district_price[Standard Price
(INR/m³)],"",0)</f>
        <v>6200</v>
      </c>
      <c r="N333" s="364">
        <f>IF(OR(Market_Data[[#This Row],[Estimated Concrete Demand (m³)]]="",Market_Data[[#This Row],[Avg Price per (₹ / m³)]]=""),"",Market_Data[[#This Row],[Estimated Concrete Demand (m³)]]*Market_Data[[#This Row],[Avg Price per (₹ / m³)]]/10000000)</f>
        <v>13.0014</v>
      </c>
      <c r="O333" s="97" t="str">
        <f>IF(Market_Data[[#This Row],[Estimated Concrete Demand (m³)]]="","",
IF(Market_Data[[#This Row],[Estimated Concrete Demand (m³)]]&lt;10000,"Small",
IF(Market_Data[[#This Row],[Estimated Concrete Demand (m³)]]&lt;25000,"Medium",
IF(Market_Data[[#This Row],[Estimated Concrete Demand (m³)]]&lt;100000,"Large","Mega"))))</f>
        <v>Medium</v>
      </c>
      <c r="P333" s="287" t="str">
        <f t="shared" si="7"/>
        <v>GujRERA</v>
      </c>
    </row>
    <row r="334" spans="1:16">
      <c r="A334" s="129" t="str">
        <f>_xlfn.XLOOKUP(B334,$S$9:$S$14,$T$9:$T$14)&amp;"-"&amp;
IF(E334="Residential/Group Housing","RES",
IF(E334="Commercial","COM",
IF(E334="Mixed Development","MIX",
IF(E334="Plotted Development","PLT","OTH"))))
&amp;"-"&amp;TEXT(COUNTIFS($B$9:B334,B334,$E$9:E334,E334),"0000")</f>
        <v>SUR-RES-0006</v>
      </c>
      <c r="B334" s="322" t="s">
        <v>34</v>
      </c>
      <c r="C334" s="322" t="s">
        <v>34</v>
      </c>
      <c r="D334" s="323" t="s">
        <v>521</v>
      </c>
      <c r="E334" s="132" t="s">
        <v>24</v>
      </c>
      <c r="F334" s="97" t="str">
        <f ca="1">IF(OR(Market_Data[[#This Row],[Start Date]]="",Market_Data[[#This Row],[Completion Date]]=""),"Needs Validation",IF(Market_Data[[#This Row],[Start Date]]&gt;TODAY(),"Planned",IF(Market_Data[[#This Row],[Completion Date]]&lt;TODAY(),"Completed","Ongoing")))</f>
        <v>Completed</v>
      </c>
      <c r="G334" s="324">
        <v>43265</v>
      </c>
      <c r="H334" s="324">
        <v>44742</v>
      </c>
      <c r="I334" s="325">
        <v>2000</v>
      </c>
      <c r="J33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34" s="133">
        <f>_xlfn.XLOOKUP(Market_Data[[#This Row],[Project Type]],tbl_assumptions_market[Project Category (RERA)],tbl_assumptions_market[Concrete Intensity
(m³ / sq m BUA)],"",0)</f>
        <v>0.45</v>
      </c>
      <c r="L334" s="134">
        <f>ROUND(Market_Data[[#This Row],[Estimated Built Up Area (sq m)]]*Market_Data[[#This Row],[Concrete Intensity
(m³ / sq m)]],0)</f>
        <v>900</v>
      </c>
      <c r="M334" s="135">
        <f>_xlfn.XLOOKUP(Market_Data[[#This Row],[District]],tbl_district_price[District],tbl_district_price[Standard Price
(INR/m³)],"",0)</f>
        <v>6200</v>
      </c>
      <c r="N334" s="364">
        <f>IF(OR(Market_Data[[#This Row],[Estimated Concrete Demand (m³)]]="",Market_Data[[#This Row],[Avg Price per (₹ / m³)]]=""),"",Market_Data[[#This Row],[Estimated Concrete Demand (m³)]]*Market_Data[[#This Row],[Avg Price per (₹ / m³)]]/10000000)</f>
        <v>0.55800000000000005</v>
      </c>
      <c r="O334" s="97" t="str">
        <f>IF(Market_Data[[#This Row],[Estimated Concrete Demand (m³)]]="","",
IF(Market_Data[[#This Row],[Estimated Concrete Demand (m³)]]&lt;10000,"Small",
IF(Market_Data[[#This Row],[Estimated Concrete Demand (m³)]]&lt;25000,"Medium",
IF(Market_Data[[#This Row],[Estimated Concrete Demand (m³)]]&lt;100000,"Large","Mega"))))</f>
        <v>Small</v>
      </c>
      <c r="P334" s="287" t="str">
        <f t="shared" si="7"/>
        <v>GujRERA</v>
      </c>
    </row>
    <row r="335" spans="1:16">
      <c r="A335" s="129" t="str">
        <f>_xlfn.XLOOKUP(B335,$S$9:$S$14,$T$9:$T$14)&amp;"-"&amp;
IF(E335="Residential/Group Housing","RES",
IF(E335="Commercial","COM",
IF(E335="Mixed Development","MIX",
IF(E335="Plotted Development","PLT","OTH"))))
&amp;"-"&amp;TEXT(COUNTIFS($B$9:B335,B335,$E$9:E335,E335),"0000")</f>
        <v>SUR-PLT-0004</v>
      </c>
      <c r="B335" s="322" t="s">
        <v>34</v>
      </c>
      <c r="C335" s="322" t="s">
        <v>34</v>
      </c>
      <c r="D335" s="323" t="s">
        <v>522</v>
      </c>
      <c r="E335" s="132" t="s">
        <v>26</v>
      </c>
      <c r="F335" s="97" t="str">
        <f ca="1">IF(OR(Market_Data[[#This Row],[Start Date]]="",Market_Data[[#This Row],[Completion Date]]=""),"Needs Validation",IF(Market_Data[[#This Row],[Start Date]]&gt;TODAY(),"Planned",IF(Market_Data[[#This Row],[Completion Date]]&lt;TODAY(),"Completed","Ongoing")))</f>
        <v>Completed</v>
      </c>
      <c r="G335" s="324">
        <v>44988</v>
      </c>
      <c r="H335" s="324">
        <v>45747</v>
      </c>
      <c r="I335" s="325">
        <v>19400</v>
      </c>
      <c r="J33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35" s="133">
        <f>_xlfn.XLOOKUP(Market_Data[[#This Row],[Project Type]],tbl_assumptions_market[Project Category (RERA)],tbl_assumptions_market[Concrete Intensity
(m³ / sq m BUA)],"",0)</f>
        <v>0.18</v>
      </c>
      <c r="L335" s="134">
        <f>ROUND(Market_Data[[#This Row],[Estimated Built Up Area (sq m)]]*Market_Data[[#This Row],[Concrete Intensity
(m³ / sq m)]],0)</f>
        <v>3492</v>
      </c>
      <c r="M335" s="135">
        <f>_xlfn.XLOOKUP(Market_Data[[#This Row],[District]],tbl_district_price[District],tbl_district_price[Standard Price
(INR/m³)],"",0)</f>
        <v>6200</v>
      </c>
      <c r="N335" s="364">
        <f>IF(OR(Market_Data[[#This Row],[Estimated Concrete Demand (m³)]]="",Market_Data[[#This Row],[Avg Price per (₹ / m³)]]=""),"",Market_Data[[#This Row],[Estimated Concrete Demand (m³)]]*Market_Data[[#This Row],[Avg Price per (₹ / m³)]]/10000000)</f>
        <v>2.1650399999999999</v>
      </c>
      <c r="O335" s="97" t="str">
        <f>IF(Market_Data[[#This Row],[Estimated Concrete Demand (m³)]]="","",
IF(Market_Data[[#This Row],[Estimated Concrete Demand (m³)]]&lt;10000,"Small",
IF(Market_Data[[#This Row],[Estimated Concrete Demand (m³)]]&lt;25000,"Medium",
IF(Market_Data[[#This Row],[Estimated Concrete Demand (m³)]]&lt;100000,"Large","Mega"))))</f>
        <v>Small</v>
      </c>
      <c r="P335" s="287" t="str">
        <f t="shared" si="7"/>
        <v>GujRERA</v>
      </c>
    </row>
    <row r="336" spans="1:16">
      <c r="A336" s="129" t="str">
        <f>_xlfn.XLOOKUP(B336,$S$9:$S$14,$T$9:$T$14)&amp;"-"&amp;
IF(E336="Residential/Group Housing","RES",
IF(E336="Commercial","COM",
IF(E336="Mixed Development","MIX",
IF(E336="Plotted Development","PLT","OTH"))))
&amp;"-"&amp;TEXT(COUNTIFS($B$9:B336,B336,$E$9:E336,E336),"0000")</f>
        <v>SUR-COM-0003</v>
      </c>
      <c r="B336" s="322" t="s">
        <v>34</v>
      </c>
      <c r="C336" s="322" t="s">
        <v>34</v>
      </c>
      <c r="D336" s="323" t="s">
        <v>523</v>
      </c>
      <c r="E336" s="132" t="s">
        <v>23</v>
      </c>
      <c r="F336" s="97" t="str">
        <f ca="1">IF(OR(Market_Data[[#This Row],[Start Date]]="",Market_Data[[#This Row],[Completion Date]]=""),"Needs Validation",IF(Market_Data[[#This Row],[Start Date]]&gt;TODAY(),"Planned",IF(Market_Data[[#This Row],[Completion Date]]&lt;TODAY(),"Completed","Ongoing")))</f>
        <v>Completed</v>
      </c>
      <c r="G336" s="324">
        <v>44419</v>
      </c>
      <c r="H336" s="324">
        <v>45879</v>
      </c>
      <c r="I336" s="325">
        <v>14700</v>
      </c>
      <c r="J33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36" s="133">
        <f>_xlfn.XLOOKUP(Market_Data[[#This Row],[Project Type]],tbl_assumptions_market[Project Category (RERA)],tbl_assumptions_market[Concrete Intensity
(m³ / sq m BUA)],"",0)</f>
        <v>0.5</v>
      </c>
      <c r="L336" s="134">
        <f>ROUND(Market_Data[[#This Row],[Estimated Built Up Area (sq m)]]*Market_Data[[#This Row],[Concrete Intensity
(m³ / sq m)]],0)</f>
        <v>7350</v>
      </c>
      <c r="M336" s="135">
        <f>_xlfn.XLOOKUP(Market_Data[[#This Row],[District]],tbl_district_price[District],tbl_district_price[Standard Price
(INR/m³)],"",0)</f>
        <v>6200</v>
      </c>
      <c r="N336" s="364">
        <f>IF(OR(Market_Data[[#This Row],[Estimated Concrete Demand (m³)]]="",Market_Data[[#This Row],[Avg Price per (₹ / m³)]]=""),"",Market_Data[[#This Row],[Estimated Concrete Demand (m³)]]*Market_Data[[#This Row],[Avg Price per (₹ / m³)]]/10000000)</f>
        <v>4.5570000000000004</v>
      </c>
      <c r="O336" s="97" t="str">
        <f>IF(Market_Data[[#This Row],[Estimated Concrete Demand (m³)]]="","",
IF(Market_Data[[#This Row],[Estimated Concrete Demand (m³)]]&lt;10000,"Small",
IF(Market_Data[[#This Row],[Estimated Concrete Demand (m³)]]&lt;25000,"Medium",
IF(Market_Data[[#This Row],[Estimated Concrete Demand (m³)]]&lt;100000,"Large","Mega"))))</f>
        <v>Small</v>
      </c>
      <c r="P336" s="287" t="str">
        <f t="shared" si="7"/>
        <v>GujRERA</v>
      </c>
    </row>
    <row r="337" spans="1:16">
      <c r="A337" s="129" t="str">
        <f>_xlfn.XLOOKUP(B337,$S$9:$S$14,$T$9:$T$14)&amp;"-"&amp;
IF(E337="Residential/Group Housing","RES",
IF(E337="Commercial","COM",
IF(E337="Mixed Development","MIX",
IF(E337="Plotted Development","PLT","OTH"))))
&amp;"-"&amp;TEXT(COUNTIFS($B$9:B337,B337,$E$9:E337,E337),"0000")</f>
        <v>SUR-RES-0007</v>
      </c>
      <c r="B337" s="322" t="s">
        <v>34</v>
      </c>
      <c r="C337" s="322" t="s">
        <v>34</v>
      </c>
      <c r="D337" s="323" t="s">
        <v>524</v>
      </c>
      <c r="E337" s="132" t="s">
        <v>24</v>
      </c>
      <c r="F337" s="97" t="str">
        <f ca="1">IF(OR(Market_Data[[#This Row],[Start Date]]="",Market_Data[[#This Row],[Completion Date]]=""),"Needs Validation",IF(Market_Data[[#This Row],[Start Date]]&gt;TODAY(),"Planned",IF(Market_Data[[#This Row],[Completion Date]]&lt;TODAY(),"Completed","Ongoing")))</f>
        <v>Ongoing</v>
      </c>
      <c r="G337" s="324">
        <v>45231</v>
      </c>
      <c r="H337" s="324">
        <v>47118</v>
      </c>
      <c r="I337" s="325">
        <v>101900</v>
      </c>
      <c r="J33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337" s="133">
        <f>_xlfn.XLOOKUP(Market_Data[[#This Row],[Project Type]],tbl_assumptions_market[Project Category (RERA)],tbl_assumptions_market[Concrete Intensity
(m³ / sq m BUA)],"",0)</f>
        <v>0.45</v>
      </c>
      <c r="L337" s="134">
        <f>ROUND(Market_Data[[#This Row],[Estimated Built Up Area (sq m)]]*Market_Data[[#This Row],[Concrete Intensity
(m³ / sq m)]],0)</f>
        <v>45855</v>
      </c>
      <c r="M337" s="135">
        <f>_xlfn.XLOOKUP(Market_Data[[#This Row],[District]],tbl_district_price[District],tbl_district_price[Standard Price
(INR/m³)],"",0)</f>
        <v>6200</v>
      </c>
      <c r="N337" s="364">
        <f>IF(OR(Market_Data[[#This Row],[Estimated Concrete Demand (m³)]]="",Market_Data[[#This Row],[Avg Price per (₹ / m³)]]=""),"",Market_Data[[#This Row],[Estimated Concrete Demand (m³)]]*Market_Data[[#This Row],[Avg Price per (₹ / m³)]]/10000000)</f>
        <v>28.430099999999999</v>
      </c>
      <c r="O337" s="97" t="str">
        <f>IF(Market_Data[[#This Row],[Estimated Concrete Demand (m³)]]="","",
IF(Market_Data[[#This Row],[Estimated Concrete Demand (m³)]]&lt;10000,"Small",
IF(Market_Data[[#This Row],[Estimated Concrete Demand (m³)]]&lt;25000,"Medium",
IF(Market_Data[[#This Row],[Estimated Concrete Demand (m³)]]&lt;100000,"Large","Mega"))))</f>
        <v>Large</v>
      </c>
      <c r="P337" s="287" t="str">
        <f t="shared" si="7"/>
        <v>GujRERA</v>
      </c>
    </row>
    <row r="338" spans="1:16">
      <c r="A338" s="129" t="str">
        <f>_xlfn.XLOOKUP(B338,$S$9:$S$14,$T$9:$T$14)&amp;"-"&amp;
IF(E338="Residential/Group Housing","RES",
IF(E338="Commercial","COM",
IF(E338="Mixed Development","MIX",
IF(E338="Plotted Development","PLT","OTH"))))
&amp;"-"&amp;TEXT(COUNTIFS($B$9:B338,B338,$E$9:E338,E338),"0000")</f>
        <v>SUR-COM-0004</v>
      </c>
      <c r="B338" s="322" t="s">
        <v>34</v>
      </c>
      <c r="C338" s="322" t="s">
        <v>34</v>
      </c>
      <c r="D338" s="323" t="s">
        <v>525</v>
      </c>
      <c r="E338" s="132" t="s">
        <v>23</v>
      </c>
      <c r="F338" s="97" t="str">
        <f ca="1">IF(OR(Market_Data[[#This Row],[Start Date]]="",Market_Data[[#This Row],[Completion Date]]=""),"Needs Validation",IF(Market_Data[[#This Row],[Start Date]]&gt;TODAY(),"Planned",IF(Market_Data[[#This Row],[Completion Date]]&lt;TODAY(),"Completed","Ongoing")))</f>
        <v>Completed</v>
      </c>
      <c r="G338" s="324">
        <v>41551</v>
      </c>
      <c r="H338" s="324">
        <v>43555</v>
      </c>
      <c r="I338" s="325">
        <v>8600</v>
      </c>
      <c r="J33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38" s="133">
        <f>_xlfn.XLOOKUP(Market_Data[[#This Row],[Project Type]],tbl_assumptions_market[Project Category (RERA)],tbl_assumptions_market[Concrete Intensity
(m³ / sq m BUA)],"",0)</f>
        <v>0.5</v>
      </c>
      <c r="L338" s="134">
        <f>ROUND(Market_Data[[#This Row],[Estimated Built Up Area (sq m)]]*Market_Data[[#This Row],[Concrete Intensity
(m³ / sq m)]],0)</f>
        <v>4300</v>
      </c>
      <c r="M338" s="135">
        <f>_xlfn.XLOOKUP(Market_Data[[#This Row],[District]],tbl_district_price[District],tbl_district_price[Standard Price
(INR/m³)],"",0)</f>
        <v>6200</v>
      </c>
      <c r="N338" s="364">
        <f>IF(OR(Market_Data[[#This Row],[Estimated Concrete Demand (m³)]]="",Market_Data[[#This Row],[Avg Price per (₹ / m³)]]=""),"",Market_Data[[#This Row],[Estimated Concrete Demand (m³)]]*Market_Data[[#This Row],[Avg Price per (₹ / m³)]]/10000000)</f>
        <v>2.6659999999999999</v>
      </c>
      <c r="O338" s="97" t="str">
        <f>IF(Market_Data[[#This Row],[Estimated Concrete Demand (m³)]]="","",
IF(Market_Data[[#This Row],[Estimated Concrete Demand (m³)]]&lt;10000,"Small",
IF(Market_Data[[#This Row],[Estimated Concrete Demand (m³)]]&lt;25000,"Medium",
IF(Market_Data[[#This Row],[Estimated Concrete Demand (m³)]]&lt;100000,"Large","Mega"))))</f>
        <v>Small</v>
      </c>
      <c r="P338" s="287" t="str">
        <f t="shared" si="7"/>
        <v>GujRERA</v>
      </c>
    </row>
    <row r="339" spans="1:16">
      <c r="A339" s="129" t="str">
        <f>_xlfn.XLOOKUP(B339,$S$9:$S$14,$T$9:$T$14)&amp;"-"&amp;
IF(E339="Residential/Group Housing","RES",
IF(E339="Commercial","COM",
IF(E339="Mixed Development","MIX",
IF(E339="Plotted Development","PLT","OTH"))))
&amp;"-"&amp;TEXT(COUNTIFS($B$9:B339,B339,$E$9:E339,E339),"0000")</f>
        <v>SUR-RES-0008</v>
      </c>
      <c r="B339" s="322" t="s">
        <v>34</v>
      </c>
      <c r="C339" s="322" t="s">
        <v>34</v>
      </c>
      <c r="D339" s="323" t="s">
        <v>526</v>
      </c>
      <c r="E339" s="132" t="s">
        <v>24</v>
      </c>
      <c r="F339" s="97" t="str">
        <f ca="1">IF(OR(Market_Data[[#This Row],[Start Date]]="",Market_Data[[#This Row],[Completion Date]]=""),"Needs Validation",IF(Market_Data[[#This Row],[Start Date]]&gt;TODAY(),"Planned",IF(Market_Data[[#This Row],[Completion Date]]&lt;TODAY(),"Completed","Ongoing")))</f>
        <v>Completed</v>
      </c>
      <c r="G339" s="324">
        <v>39171</v>
      </c>
      <c r="H339" s="324">
        <v>44256</v>
      </c>
      <c r="I339" s="325">
        <v>15300</v>
      </c>
      <c r="J33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39" s="133">
        <f>_xlfn.XLOOKUP(Market_Data[[#This Row],[Project Type]],tbl_assumptions_market[Project Category (RERA)],tbl_assumptions_market[Concrete Intensity
(m³ / sq m BUA)],"",0)</f>
        <v>0.45</v>
      </c>
      <c r="L339" s="134">
        <f>ROUND(Market_Data[[#This Row],[Estimated Built Up Area (sq m)]]*Market_Data[[#This Row],[Concrete Intensity
(m³ / sq m)]],0)</f>
        <v>6885</v>
      </c>
      <c r="M339" s="135">
        <f>_xlfn.XLOOKUP(Market_Data[[#This Row],[District]],tbl_district_price[District],tbl_district_price[Standard Price
(INR/m³)],"",0)</f>
        <v>6200</v>
      </c>
      <c r="N339" s="364">
        <f>IF(OR(Market_Data[[#This Row],[Estimated Concrete Demand (m³)]]="",Market_Data[[#This Row],[Avg Price per (₹ / m³)]]=""),"",Market_Data[[#This Row],[Estimated Concrete Demand (m³)]]*Market_Data[[#This Row],[Avg Price per (₹ / m³)]]/10000000)</f>
        <v>4.2686999999999999</v>
      </c>
      <c r="O339" s="97" t="str">
        <f>IF(Market_Data[[#This Row],[Estimated Concrete Demand (m³)]]="","",
IF(Market_Data[[#This Row],[Estimated Concrete Demand (m³)]]&lt;10000,"Small",
IF(Market_Data[[#This Row],[Estimated Concrete Demand (m³)]]&lt;25000,"Medium",
IF(Market_Data[[#This Row],[Estimated Concrete Demand (m³)]]&lt;100000,"Large","Mega"))))</f>
        <v>Small</v>
      </c>
      <c r="P339" s="287" t="str">
        <f t="shared" si="7"/>
        <v>GujRERA</v>
      </c>
    </row>
    <row r="340" spans="1:16">
      <c r="A340" s="129" t="str">
        <f>_xlfn.XLOOKUP(B340,$S$9:$S$14,$T$9:$T$14)&amp;"-"&amp;
IF(E340="Residential/Group Housing","RES",
IF(E340="Commercial","COM",
IF(E340="Mixed Development","MIX",
IF(E340="Plotted Development","PLT","OTH"))))
&amp;"-"&amp;TEXT(COUNTIFS($B$9:B340,B340,$E$9:E340,E340),"0000")</f>
        <v>SUR-RES-0009</v>
      </c>
      <c r="B340" s="322" t="s">
        <v>34</v>
      </c>
      <c r="C340" s="322" t="s">
        <v>34</v>
      </c>
      <c r="D340" s="323" t="s">
        <v>527</v>
      </c>
      <c r="E340" s="132" t="s">
        <v>24</v>
      </c>
      <c r="F340" s="97" t="str">
        <f ca="1">IF(OR(Market_Data[[#This Row],[Start Date]]="",Market_Data[[#This Row],[Completion Date]]=""),"Needs Validation",IF(Market_Data[[#This Row],[Start Date]]&gt;TODAY(),"Planned",IF(Market_Data[[#This Row],[Completion Date]]&lt;TODAY(),"Completed","Ongoing")))</f>
        <v>Completed</v>
      </c>
      <c r="G340" s="324">
        <v>44531</v>
      </c>
      <c r="H340" s="324">
        <v>46022</v>
      </c>
      <c r="I340" s="325">
        <v>56800</v>
      </c>
      <c r="J34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40" s="133">
        <f>_xlfn.XLOOKUP(Market_Data[[#This Row],[Project Type]],tbl_assumptions_market[Project Category (RERA)],tbl_assumptions_market[Concrete Intensity
(m³ / sq m BUA)],"",0)</f>
        <v>0.45</v>
      </c>
      <c r="L340" s="134">
        <f>ROUND(Market_Data[[#This Row],[Estimated Built Up Area (sq m)]]*Market_Data[[#This Row],[Concrete Intensity
(m³ / sq m)]],0)</f>
        <v>25560</v>
      </c>
      <c r="M340" s="135">
        <f>_xlfn.XLOOKUP(Market_Data[[#This Row],[District]],tbl_district_price[District],tbl_district_price[Standard Price
(INR/m³)],"",0)</f>
        <v>6200</v>
      </c>
      <c r="N340" s="364">
        <f>IF(OR(Market_Data[[#This Row],[Estimated Concrete Demand (m³)]]="",Market_Data[[#This Row],[Avg Price per (₹ / m³)]]=""),"",Market_Data[[#This Row],[Estimated Concrete Demand (m³)]]*Market_Data[[#This Row],[Avg Price per (₹ / m³)]]/10000000)</f>
        <v>15.847200000000001</v>
      </c>
      <c r="O340" s="97" t="str">
        <f>IF(Market_Data[[#This Row],[Estimated Concrete Demand (m³)]]="","",
IF(Market_Data[[#This Row],[Estimated Concrete Demand (m³)]]&lt;10000,"Small",
IF(Market_Data[[#This Row],[Estimated Concrete Demand (m³)]]&lt;25000,"Medium",
IF(Market_Data[[#This Row],[Estimated Concrete Demand (m³)]]&lt;100000,"Large","Mega"))))</f>
        <v>Large</v>
      </c>
      <c r="P340" s="287" t="str">
        <f t="shared" si="7"/>
        <v>GujRERA</v>
      </c>
    </row>
    <row r="341" spans="1:16">
      <c r="A341" s="129" t="str">
        <f>_xlfn.XLOOKUP(B341,$S$9:$S$14,$T$9:$T$14)&amp;"-"&amp;
IF(E341="Residential/Group Housing","RES",
IF(E341="Commercial","COM",
IF(E341="Mixed Development","MIX",
IF(E341="Plotted Development","PLT","OTH"))))
&amp;"-"&amp;TEXT(COUNTIFS($B$9:B341,B341,$E$9:E341,E341),"0000")</f>
        <v>SUR-PLT-0005</v>
      </c>
      <c r="B341" s="322" t="s">
        <v>34</v>
      </c>
      <c r="C341" s="322" t="s">
        <v>34</v>
      </c>
      <c r="D341" s="323" t="s">
        <v>528</v>
      </c>
      <c r="E341" s="132" t="s">
        <v>26</v>
      </c>
      <c r="F341" s="97" t="str">
        <f ca="1">IF(OR(Market_Data[[#This Row],[Start Date]]="",Market_Data[[#This Row],[Completion Date]]=""),"Needs Validation",IF(Market_Data[[#This Row],[Start Date]]&gt;TODAY(),"Planned",IF(Market_Data[[#This Row],[Completion Date]]&lt;TODAY(),"Completed","Ongoing")))</f>
        <v>Ongoing</v>
      </c>
      <c r="G341" s="324">
        <v>45833</v>
      </c>
      <c r="H341" s="324">
        <v>46752</v>
      </c>
      <c r="I341" s="325">
        <v>14900</v>
      </c>
      <c r="J34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41" s="133">
        <f>_xlfn.XLOOKUP(Market_Data[[#This Row],[Project Type]],tbl_assumptions_market[Project Category (RERA)],tbl_assumptions_market[Concrete Intensity
(m³ / sq m BUA)],"",0)</f>
        <v>0.18</v>
      </c>
      <c r="L341" s="134">
        <f>ROUND(Market_Data[[#This Row],[Estimated Built Up Area (sq m)]]*Market_Data[[#This Row],[Concrete Intensity
(m³ / sq m)]],0)</f>
        <v>2682</v>
      </c>
      <c r="M341" s="135">
        <f>_xlfn.XLOOKUP(Market_Data[[#This Row],[District]],tbl_district_price[District],tbl_district_price[Standard Price
(INR/m³)],"",0)</f>
        <v>6200</v>
      </c>
      <c r="N341" s="364">
        <f>IF(OR(Market_Data[[#This Row],[Estimated Concrete Demand (m³)]]="",Market_Data[[#This Row],[Avg Price per (₹ / m³)]]=""),"",Market_Data[[#This Row],[Estimated Concrete Demand (m³)]]*Market_Data[[#This Row],[Avg Price per (₹ / m³)]]/10000000)</f>
        <v>1.6628400000000001</v>
      </c>
      <c r="O341" s="97" t="str">
        <f>IF(Market_Data[[#This Row],[Estimated Concrete Demand (m³)]]="","",
IF(Market_Data[[#This Row],[Estimated Concrete Demand (m³)]]&lt;10000,"Small",
IF(Market_Data[[#This Row],[Estimated Concrete Demand (m³)]]&lt;25000,"Medium",
IF(Market_Data[[#This Row],[Estimated Concrete Demand (m³)]]&lt;100000,"Large","Mega"))))</f>
        <v>Small</v>
      </c>
      <c r="P341" s="287" t="str">
        <f t="shared" si="7"/>
        <v>GujRERA</v>
      </c>
    </row>
    <row r="342" spans="1:16">
      <c r="A342" s="129" t="str">
        <f>_xlfn.XLOOKUP(B342,$S$9:$S$14,$T$9:$T$14)&amp;"-"&amp;
IF(E342="Residential/Group Housing","RES",
IF(E342="Commercial","COM",
IF(E342="Mixed Development","MIX",
IF(E342="Plotted Development","PLT","OTH"))))
&amp;"-"&amp;TEXT(COUNTIFS($B$9:B342,B342,$E$9:E342,E342),"0000")</f>
        <v>SUR-MIX-0006</v>
      </c>
      <c r="B342" s="322" t="s">
        <v>34</v>
      </c>
      <c r="C342" s="322" t="s">
        <v>34</v>
      </c>
      <c r="D342" s="323" t="s">
        <v>529</v>
      </c>
      <c r="E342" s="132" t="s">
        <v>25</v>
      </c>
      <c r="F342" s="97" t="str">
        <f ca="1">IF(OR(Market_Data[[#This Row],[Start Date]]="",Market_Data[[#This Row],[Completion Date]]=""),"Needs Validation",IF(Market_Data[[#This Row],[Start Date]]&gt;TODAY(),"Planned",IF(Market_Data[[#This Row],[Completion Date]]&lt;TODAY(),"Completed","Ongoing")))</f>
        <v>Completed</v>
      </c>
      <c r="G342" s="324">
        <v>43589</v>
      </c>
      <c r="H342" s="324">
        <v>46203</v>
      </c>
      <c r="I342" s="325">
        <v>34800</v>
      </c>
      <c r="J34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42" s="133">
        <f>_xlfn.XLOOKUP(Market_Data[[#This Row],[Project Type]],tbl_assumptions_market[Project Category (RERA)],tbl_assumptions_market[Concrete Intensity
(m³ / sq m BUA)],"",0)</f>
        <v>0.42</v>
      </c>
      <c r="L342" s="134">
        <f>ROUND(Market_Data[[#This Row],[Estimated Built Up Area (sq m)]]*Market_Data[[#This Row],[Concrete Intensity
(m³ / sq m)]],0)</f>
        <v>14616</v>
      </c>
      <c r="M342" s="135">
        <f>_xlfn.XLOOKUP(Market_Data[[#This Row],[District]],tbl_district_price[District],tbl_district_price[Standard Price
(INR/m³)],"",0)</f>
        <v>6200</v>
      </c>
      <c r="N342" s="364">
        <f>IF(OR(Market_Data[[#This Row],[Estimated Concrete Demand (m³)]]="",Market_Data[[#This Row],[Avg Price per (₹ / m³)]]=""),"",Market_Data[[#This Row],[Estimated Concrete Demand (m³)]]*Market_Data[[#This Row],[Avg Price per (₹ / m³)]]/10000000)</f>
        <v>9.0619200000000006</v>
      </c>
      <c r="O342" s="97" t="str">
        <f>IF(Market_Data[[#This Row],[Estimated Concrete Demand (m³)]]="","",
IF(Market_Data[[#This Row],[Estimated Concrete Demand (m³)]]&lt;10000,"Small",
IF(Market_Data[[#This Row],[Estimated Concrete Demand (m³)]]&lt;25000,"Medium",
IF(Market_Data[[#This Row],[Estimated Concrete Demand (m³)]]&lt;100000,"Large","Mega"))))</f>
        <v>Medium</v>
      </c>
      <c r="P342" s="287" t="str">
        <f t="shared" si="7"/>
        <v>GujRERA</v>
      </c>
    </row>
    <row r="343" spans="1:16">
      <c r="A343" s="129" t="str">
        <f>_xlfn.XLOOKUP(B343,$S$9:$S$14,$T$9:$T$14)&amp;"-"&amp;
IF(E343="Residential/Group Housing","RES",
IF(E343="Commercial","COM",
IF(E343="Mixed Development","MIX",
IF(E343="Plotted Development","PLT","OTH"))))
&amp;"-"&amp;TEXT(COUNTIFS($B$9:B343,B343,$E$9:E343,E343),"0000")</f>
        <v>SUR-RES-0010</v>
      </c>
      <c r="B343" s="322" t="s">
        <v>34</v>
      </c>
      <c r="C343" s="322" t="s">
        <v>34</v>
      </c>
      <c r="D343" s="323" t="s">
        <v>530</v>
      </c>
      <c r="E343" s="132" t="s">
        <v>24</v>
      </c>
      <c r="F343" s="97" t="str">
        <f ca="1">IF(OR(Market_Data[[#This Row],[Start Date]]="",Market_Data[[#This Row],[Completion Date]]=""),"Needs Validation",IF(Market_Data[[#This Row],[Start Date]]&gt;TODAY(),"Planned",IF(Market_Data[[#This Row],[Completion Date]]&lt;TODAY(),"Completed","Ongoing")))</f>
        <v>Ongoing</v>
      </c>
      <c r="G343" s="324">
        <v>44841</v>
      </c>
      <c r="H343" s="324">
        <v>46752</v>
      </c>
      <c r="I343" s="325">
        <v>35800</v>
      </c>
      <c r="J34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43" s="133">
        <f>_xlfn.XLOOKUP(Market_Data[[#This Row],[Project Type]],tbl_assumptions_market[Project Category (RERA)],tbl_assumptions_market[Concrete Intensity
(m³ / sq m BUA)],"",0)</f>
        <v>0.45</v>
      </c>
      <c r="L343" s="134">
        <f>ROUND(Market_Data[[#This Row],[Estimated Built Up Area (sq m)]]*Market_Data[[#This Row],[Concrete Intensity
(m³ / sq m)]],0)</f>
        <v>16110</v>
      </c>
      <c r="M343" s="135">
        <f>_xlfn.XLOOKUP(Market_Data[[#This Row],[District]],tbl_district_price[District],tbl_district_price[Standard Price
(INR/m³)],"",0)</f>
        <v>6200</v>
      </c>
      <c r="N343" s="364">
        <f>IF(OR(Market_Data[[#This Row],[Estimated Concrete Demand (m³)]]="",Market_Data[[#This Row],[Avg Price per (₹ / m³)]]=""),"",Market_Data[[#This Row],[Estimated Concrete Demand (m³)]]*Market_Data[[#This Row],[Avg Price per (₹ / m³)]]/10000000)</f>
        <v>9.9882000000000009</v>
      </c>
      <c r="O343" s="97" t="str">
        <f>IF(Market_Data[[#This Row],[Estimated Concrete Demand (m³)]]="","",
IF(Market_Data[[#This Row],[Estimated Concrete Demand (m³)]]&lt;10000,"Small",
IF(Market_Data[[#This Row],[Estimated Concrete Demand (m³)]]&lt;25000,"Medium",
IF(Market_Data[[#This Row],[Estimated Concrete Demand (m³)]]&lt;100000,"Large","Mega"))))</f>
        <v>Medium</v>
      </c>
      <c r="P343" s="287" t="str">
        <f t="shared" si="7"/>
        <v>GujRERA</v>
      </c>
    </row>
    <row r="344" spans="1:16">
      <c r="A344" s="129" t="str">
        <f>_xlfn.XLOOKUP(B344,$S$9:$S$14,$T$9:$T$14)&amp;"-"&amp;
IF(E344="Residential/Group Housing","RES",
IF(E344="Commercial","COM",
IF(E344="Mixed Development","MIX",
IF(E344="Plotted Development","PLT","OTH"))))
&amp;"-"&amp;TEXT(COUNTIFS($B$9:B344,B344,$E$9:E344,E344),"0000")</f>
        <v>SUR-COM-0005</v>
      </c>
      <c r="B344" s="322" t="s">
        <v>34</v>
      </c>
      <c r="C344" s="322" t="s">
        <v>34</v>
      </c>
      <c r="D344" s="323" t="s">
        <v>531</v>
      </c>
      <c r="E344" s="132" t="s">
        <v>23</v>
      </c>
      <c r="F344" s="97" t="str">
        <f ca="1">IF(OR(Market_Data[[#This Row],[Start Date]]="",Market_Data[[#This Row],[Completion Date]]=""),"Needs Validation",IF(Market_Data[[#This Row],[Start Date]]&gt;TODAY(),"Planned",IF(Market_Data[[#This Row],[Completion Date]]&lt;TODAY(),"Completed","Ongoing")))</f>
        <v>Ongoing</v>
      </c>
      <c r="G344" s="324">
        <v>45757</v>
      </c>
      <c r="H344" s="324">
        <v>47483</v>
      </c>
      <c r="I344" s="325">
        <v>22900</v>
      </c>
      <c r="J34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344" s="133">
        <f>_xlfn.XLOOKUP(Market_Data[[#This Row],[Project Type]],tbl_assumptions_market[Project Category (RERA)],tbl_assumptions_market[Concrete Intensity
(m³ / sq m BUA)],"",0)</f>
        <v>0.5</v>
      </c>
      <c r="L344" s="134">
        <f>ROUND(Market_Data[[#This Row],[Estimated Built Up Area (sq m)]]*Market_Data[[#This Row],[Concrete Intensity
(m³ / sq m)]],0)</f>
        <v>11450</v>
      </c>
      <c r="M344" s="135">
        <f>_xlfn.XLOOKUP(Market_Data[[#This Row],[District]],tbl_district_price[District],tbl_district_price[Standard Price
(INR/m³)],"",0)</f>
        <v>6200</v>
      </c>
      <c r="N344" s="364">
        <f>IF(OR(Market_Data[[#This Row],[Estimated Concrete Demand (m³)]]="",Market_Data[[#This Row],[Avg Price per (₹ / m³)]]=""),"",Market_Data[[#This Row],[Estimated Concrete Demand (m³)]]*Market_Data[[#This Row],[Avg Price per (₹ / m³)]]/10000000)</f>
        <v>7.0990000000000002</v>
      </c>
      <c r="O344" s="97" t="str">
        <f>IF(Market_Data[[#This Row],[Estimated Concrete Demand (m³)]]="","",
IF(Market_Data[[#This Row],[Estimated Concrete Demand (m³)]]&lt;10000,"Small",
IF(Market_Data[[#This Row],[Estimated Concrete Demand (m³)]]&lt;25000,"Medium",
IF(Market_Data[[#This Row],[Estimated Concrete Demand (m³)]]&lt;100000,"Large","Mega"))))</f>
        <v>Medium</v>
      </c>
      <c r="P344" s="287" t="str">
        <f t="shared" si="7"/>
        <v>GujRERA</v>
      </c>
    </row>
    <row r="345" spans="1:16">
      <c r="A345" s="129" t="str">
        <f>_xlfn.XLOOKUP(B345,$S$9:$S$14,$T$9:$T$14)&amp;"-"&amp;
IF(E345="Residential/Group Housing","RES",
IF(E345="Commercial","COM",
IF(E345="Mixed Development","MIX",
IF(E345="Plotted Development","PLT","OTH"))))
&amp;"-"&amp;TEXT(COUNTIFS($B$9:B345,B345,$E$9:E345,E345),"0000")</f>
        <v>SUR-COM-0006</v>
      </c>
      <c r="B345" s="322" t="s">
        <v>34</v>
      </c>
      <c r="C345" s="322" t="s">
        <v>34</v>
      </c>
      <c r="D345" s="323" t="s">
        <v>532</v>
      </c>
      <c r="E345" s="132" t="s">
        <v>23</v>
      </c>
      <c r="F345" s="97" t="str">
        <f ca="1">IF(OR(Market_Data[[#This Row],[Start Date]]="",Market_Data[[#This Row],[Completion Date]]=""),"Needs Validation",IF(Market_Data[[#This Row],[Start Date]]&gt;TODAY(),"Planned",IF(Market_Data[[#This Row],[Completion Date]]&lt;TODAY(),"Completed","Ongoing")))</f>
        <v>Completed</v>
      </c>
      <c r="G345" s="324">
        <v>42859</v>
      </c>
      <c r="H345" s="324">
        <v>44073</v>
      </c>
      <c r="I345" s="325">
        <v>12000</v>
      </c>
      <c r="J34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45" s="133">
        <f>_xlfn.XLOOKUP(Market_Data[[#This Row],[Project Type]],tbl_assumptions_market[Project Category (RERA)],tbl_assumptions_market[Concrete Intensity
(m³ / sq m BUA)],"",0)</f>
        <v>0.5</v>
      </c>
      <c r="L345" s="134">
        <f>ROUND(Market_Data[[#This Row],[Estimated Built Up Area (sq m)]]*Market_Data[[#This Row],[Concrete Intensity
(m³ / sq m)]],0)</f>
        <v>6000</v>
      </c>
      <c r="M345" s="135">
        <f>_xlfn.XLOOKUP(Market_Data[[#This Row],[District]],tbl_district_price[District],tbl_district_price[Standard Price
(INR/m³)],"",0)</f>
        <v>6200</v>
      </c>
      <c r="N345" s="364">
        <f>IF(OR(Market_Data[[#This Row],[Estimated Concrete Demand (m³)]]="",Market_Data[[#This Row],[Avg Price per (₹ / m³)]]=""),"",Market_Data[[#This Row],[Estimated Concrete Demand (m³)]]*Market_Data[[#This Row],[Avg Price per (₹ / m³)]]/10000000)</f>
        <v>3.72</v>
      </c>
      <c r="O345" s="97" t="str">
        <f>IF(Market_Data[[#This Row],[Estimated Concrete Demand (m³)]]="","",
IF(Market_Data[[#This Row],[Estimated Concrete Demand (m³)]]&lt;10000,"Small",
IF(Market_Data[[#This Row],[Estimated Concrete Demand (m³)]]&lt;25000,"Medium",
IF(Market_Data[[#This Row],[Estimated Concrete Demand (m³)]]&lt;100000,"Large","Mega"))))</f>
        <v>Small</v>
      </c>
      <c r="P345" s="287" t="str">
        <f t="shared" si="7"/>
        <v>GujRERA</v>
      </c>
    </row>
    <row r="346" spans="1:16">
      <c r="A346" s="129" t="str">
        <f>_xlfn.XLOOKUP(B346,$S$9:$S$14,$T$9:$T$14)&amp;"-"&amp;
IF(E346="Residential/Group Housing","RES",
IF(E346="Commercial","COM",
IF(E346="Mixed Development","MIX",
IF(E346="Plotted Development","PLT","OTH"))))
&amp;"-"&amp;TEXT(COUNTIFS($B$9:B346,B346,$E$9:E346,E346),"0000")</f>
        <v>SUR-COM-0007</v>
      </c>
      <c r="B346" s="322" t="s">
        <v>34</v>
      </c>
      <c r="C346" s="322" t="s">
        <v>34</v>
      </c>
      <c r="D346" s="323" t="s">
        <v>533</v>
      </c>
      <c r="E346" s="132" t="s">
        <v>23</v>
      </c>
      <c r="F346" s="97" t="str">
        <f ca="1">IF(OR(Market_Data[[#This Row],[Start Date]]="",Market_Data[[#This Row],[Completion Date]]=""),"Needs Validation",IF(Market_Data[[#This Row],[Start Date]]&gt;TODAY(),"Planned",IF(Market_Data[[#This Row],[Completion Date]]&lt;TODAY(),"Completed","Ongoing")))</f>
        <v>Completed</v>
      </c>
      <c r="G346" s="324">
        <v>42983</v>
      </c>
      <c r="H346" s="324">
        <v>44089</v>
      </c>
      <c r="I346" s="325">
        <v>46700</v>
      </c>
      <c r="J34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346" s="133">
        <f>_xlfn.XLOOKUP(Market_Data[[#This Row],[Project Type]],tbl_assumptions_market[Project Category (RERA)],tbl_assumptions_market[Concrete Intensity
(m³ / sq m BUA)],"",0)</f>
        <v>0.5</v>
      </c>
      <c r="L346" s="134">
        <f>ROUND(Market_Data[[#This Row],[Estimated Built Up Area (sq m)]]*Market_Data[[#This Row],[Concrete Intensity
(m³ / sq m)]],0)</f>
        <v>23350</v>
      </c>
      <c r="M346" s="135">
        <f>_xlfn.XLOOKUP(Market_Data[[#This Row],[District]],tbl_district_price[District],tbl_district_price[Standard Price
(INR/m³)],"",0)</f>
        <v>6200</v>
      </c>
      <c r="N346" s="364">
        <f>IF(OR(Market_Data[[#This Row],[Estimated Concrete Demand (m³)]]="",Market_Data[[#This Row],[Avg Price per (₹ / m³)]]=""),"",Market_Data[[#This Row],[Estimated Concrete Demand (m³)]]*Market_Data[[#This Row],[Avg Price per (₹ / m³)]]/10000000)</f>
        <v>14.477</v>
      </c>
      <c r="O346" s="97" t="str">
        <f>IF(Market_Data[[#This Row],[Estimated Concrete Demand (m³)]]="","",
IF(Market_Data[[#This Row],[Estimated Concrete Demand (m³)]]&lt;10000,"Small",
IF(Market_Data[[#This Row],[Estimated Concrete Demand (m³)]]&lt;25000,"Medium",
IF(Market_Data[[#This Row],[Estimated Concrete Demand (m³)]]&lt;100000,"Large","Mega"))))</f>
        <v>Medium</v>
      </c>
      <c r="P346" s="287" t="str">
        <f t="shared" si="7"/>
        <v>GujRERA</v>
      </c>
    </row>
    <row r="347" spans="1:16">
      <c r="A347" s="129" t="str">
        <f>_xlfn.XLOOKUP(B347,$S$9:$S$14,$T$9:$T$14)&amp;"-"&amp;
IF(E347="Residential/Group Housing","RES",
IF(E347="Commercial","COM",
IF(E347="Mixed Development","MIX",
IF(E347="Plotted Development","PLT","OTH"))))
&amp;"-"&amp;TEXT(COUNTIFS($B$9:B347,B347,$E$9:E347,E347),"0000")</f>
        <v>SUR-MIX-0007</v>
      </c>
      <c r="B347" s="322" t="s">
        <v>34</v>
      </c>
      <c r="C347" s="322" t="s">
        <v>34</v>
      </c>
      <c r="D347" s="323" t="s">
        <v>534</v>
      </c>
      <c r="E347" s="132" t="s">
        <v>25</v>
      </c>
      <c r="F347" s="97" t="str">
        <f ca="1">IF(OR(Market_Data[[#This Row],[Start Date]]="",Market_Data[[#This Row],[Completion Date]]=""),"Needs Validation",IF(Market_Data[[#This Row],[Start Date]]&gt;TODAY(),"Planned",IF(Market_Data[[#This Row],[Completion Date]]&lt;TODAY(),"Completed","Ongoing")))</f>
        <v>Ongoing</v>
      </c>
      <c r="G347" s="324">
        <v>45778</v>
      </c>
      <c r="H347" s="324">
        <v>47634</v>
      </c>
      <c r="I347" s="325">
        <v>58700</v>
      </c>
      <c r="J34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47" s="133">
        <f>_xlfn.XLOOKUP(Market_Data[[#This Row],[Project Type]],tbl_assumptions_market[Project Category (RERA)],tbl_assumptions_market[Concrete Intensity
(m³ / sq m BUA)],"",0)</f>
        <v>0.42</v>
      </c>
      <c r="L347" s="134">
        <f>ROUND(Market_Data[[#This Row],[Estimated Built Up Area (sq m)]]*Market_Data[[#This Row],[Concrete Intensity
(m³ / sq m)]],0)</f>
        <v>24654</v>
      </c>
      <c r="M347" s="135">
        <f>_xlfn.XLOOKUP(Market_Data[[#This Row],[District]],tbl_district_price[District],tbl_district_price[Standard Price
(INR/m³)],"",0)</f>
        <v>6200</v>
      </c>
      <c r="N347" s="364">
        <f>IF(OR(Market_Data[[#This Row],[Estimated Concrete Demand (m³)]]="",Market_Data[[#This Row],[Avg Price per (₹ / m³)]]=""),"",Market_Data[[#This Row],[Estimated Concrete Demand (m³)]]*Market_Data[[#This Row],[Avg Price per (₹ / m³)]]/10000000)</f>
        <v>15.28548</v>
      </c>
      <c r="O347" s="97" t="str">
        <f>IF(Market_Data[[#This Row],[Estimated Concrete Demand (m³)]]="","",
IF(Market_Data[[#This Row],[Estimated Concrete Demand (m³)]]&lt;10000,"Small",
IF(Market_Data[[#This Row],[Estimated Concrete Demand (m³)]]&lt;25000,"Medium",
IF(Market_Data[[#This Row],[Estimated Concrete Demand (m³)]]&lt;100000,"Large","Mega"))))</f>
        <v>Medium</v>
      </c>
      <c r="P347" s="287" t="str">
        <f t="shared" si="7"/>
        <v>GujRERA</v>
      </c>
    </row>
    <row r="348" spans="1:16">
      <c r="A348" s="129" t="str">
        <f>_xlfn.XLOOKUP(B348,$S$9:$S$14,$T$9:$T$14)&amp;"-"&amp;
IF(E348="Residential/Group Housing","RES",
IF(E348="Commercial","COM",
IF(E348="Mixed Development","MIX",
IF(E348="Plotted Development","PLT","OTH"))))
&amp;"-"&amp;TEXT(COUNTIFS($B$9:B348,B348,$E$9:E348,E348),"0000")</f>
        <v>SUR-RES-0011</v>
      </c>
      <c r="B348" s="322" t="s">
        <v>34</v>
      </c>
      <c r="C348" s="322" t="s">
        <v>34</v>
      </c>
      <c r="D348" s="323" t="s">
        <v>535</v>
      </c>
      <c r="E348" s="132" t="s">
        <v>24</v>
      </c>
      <c r="F348" s="97" t="str">
        <f ca="1">IF(OR(Market_Data[[#This Row],[Start Date]]="",Market_Data[[#This Row],[Completion Date]]=""),"Needs Validation",IF(Market_Data[[#This Row],[Start Date]]&gt;TODAY(),"Planned",IF(Market_Data[[#This Row],[Completion Date]]&lt;TODAY(),"Completed","Ongoing")))</f>
        <v>Completed</v>
      </c>
      <c r="G348" s="324">
        <v>44849</v>
      </c>
      <c r="H348" s="324">
        <v>45961</v>
      </c>
      <c r="I348" s="325">
        <v>57200</v>
      </c>
      <c r="J34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48" s="133">
        <f>_xlfn.XLOOKUP(Market_Data[[#This Row],[Project Type]],tbl_assumptions_market[Project Category (RERA)],tbl_assumptions_market[Concrete Intensity
(m³ / sq m BUA)],"",0)</f>
        <v>0.45</v>
      </c>
      <c r="L348" s="134">
        <f>ROUND(Market_Data[[#This Row],[Estimated Built Up Area (sq m)]]*Market_Data[[#This Row],[Concrete Intensity
(m³ / sq m)]],0)</f>
        <v>25740</v>
      </c>
      <c r="M348" s="135">
        <f>_xlfn.XLOOKUP(Market_Data[[#This Row],[District]],tbl_district_price[District],tbl_district_price[Standard Price
(INR/m³)],"",0)</f>
        <v>6200</v>
      </c>
      <c r="N348" s="364">
        <f>IF(OR(Market_Data[[#This Row],[Estimated Concrete Demand (m³)]]="",Market_Data[[#This Row],[Avg Price per (₹ / m³)]]=""),"",Market_Data[[#This Row],[Estimated Concrete Demand (m³)]]*Market_Data[[#This Row],[Avg Price per (₹ / m³)]]/10000000)</f>
        <v>15.9588</v>
      </c>
      <c r="O348" s="97" t="str">
        <f>IF(Market_Data[[#This Row],[Estimated Concrete Demand (m³)]]="","",
IF(Market_Data[[#This Row],[Estimated Concrete Demand (m³)]]&lt;10000,"Small",
IF(Market_Data[[#This Row],[Estimated Concrete Demand (m³)]]&lt;25000,"Medium",
IF(Market_Data[[#This Row],[Estimated Concrete Demand (m³)]]&lt;100000,"Large","Mega"))))</f>
        <v>Large</v>
      </c>
      <c r="P348" s="287" t="str">
        <f t="shared" si="7"/>
        <v>GujRERA</v>
      </c>
    </row>
    <row r="349" spans="1:16">
      <c r="A349" s="129" t="str">
        <f>_xlfn.XLOOKUP(B349,$S$9:$S$14,$T$9:$T$14)&amp;"-"&amp;
IF(E349="Residential/Group Housing","RES",
IF(E349="Commercial","COM",
IF(E349="Mixed Development","MIX",
IF(E349="Plotted Development","PLT","OTH"))))
&amp;"-"&amp;TEXT(COUNTIFS($B$9:B349,B349,$E$9:E349,E349),"0000")</f>
        <v>SUR-PLT-0006</v>
      </c>
      <c r="B349" s="322" t="s">
        <v>34</v>
      </c>
      <c r="C349" s="322" t="s">
        <v>34</v>
      </c>
      <c r="D349" s="323" t="s">
        <v>536</v>
      </c>
      <c r="E349" s="132" t="s">
        <v>26</v>
      </c>
      <c r="F349" s="97" t="str">
        <f ca="1">IF(OR(Market_Data[[#This Row],[Start Date]]="",Market_Data[[#This Row],[Completion Date]]=""),"Needs Validation",IF(Market_Data[[#This Row],[Start Date]]&gt;TODAY(),"Planned",IF(Market_Data[[#This Row],[Completion Date]]&lt;TODAY(),"Completed","Ongoing")))</f>
        <v>Ongoing</v>
      </c>
      <c r="G349" s="324">
        <v>45808</v>
      </c>
      <c r="H349" s="324">
        <v>47483</v>
      </c>
      <c r="I349" s="325">
        <v>45100</v>
      </c>
      <c r="J34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349" s="133">
        <f>_xlfn.XLOOKUP(Market_Data[[#This Row],[Project Type]],tbl_assumptions_market[Project Category (RERA)],tbl_assumptions_market[Concrete Intensity
(m³ / sq m BUA)],"",0)</f>
        <v>0.18</v>
      </c>
      <c r="L349" s="134">
        <f>ROUND(Market_Data[[#This Row],[Estimated Built Up Area (sq m)]]*Market_Data[[#This Row],[Concrete Intensity
(m³ / sq m)]],0)</f>
        <v>8118</v>
      </c>
      <c r="M349" s="135">
        <f>_xlfn.XLOOKUP(Market_Data[[#This Row],[District]],tbl_district_price[District],tbl_district_price[Standard Price
(INR/m³)],"",0)</f>
        <v>6200</v>
      </c>
      <c r="N349" s="364">
        <f>IF(OR(Market_Data[[#This Row],[Estimated Concrete Demand (m³)]]="",Market_Data[[#This Row],[Avg Price per (₹ / m³)]]=""),"",Market_Data[[#This Row],[Estimated Concrete Demand (m³)]]*Market_Data[[#This Row],[Avg Price per (₹ / m³)]]/10000000)</f>
        <v>5.0331599999999996</v>
      </c>
      <c r="O349" s="97" t="str">
        <f>IF(Market_Data[[#This Row],[Estimated Concrete Demand (m³)]]="","",
IF(Market_Data[[#This Row],[Estimated Concrete Demand (m³)]]&lt;10000,"Small",
IF(Market_Data[[#This Row],[Estimated Concrete Demand (m³)]]&lt;25000,"Medium",
IF(Market_Data[[#This Row],[Estimated Concrete Demand (m³)]]&lt;100000,"Large","Mega"))))</f>
        <v>Small</v>
      </c>
      <c r="P349" s="287" t="str">
        <f t="shared" si="7"/>
        <v>GujRERA</v>
      </c>
    </row>
    <row r="350" spans="1:16">
      <c r="A350" s="129" t="str">
        <f>_xlfn.XLOOKUP(B350,$S$9:$S$14,$T$9:$T$14)&amp;"-"&amp;
IF(E350="Residential/Group Housing","RES",
IF(E350="Commercial","COM",
IF(E350="Mixed Development","MIX",
IF(E350="Plotted Development","PLT","OTH"))))
&amp;"-"&amp;TEXT(COUNTIFS($B$9:B350,B350,$E$9:E350,E350),"0000")</f>
        <v>SUR-PLT-0007</v>
      </c>
      <c r="B350" s="322" t="s">
        <v>34</v>
      </c>
      <c r="C350" s="322" t="s">
        <v>34</v>
      </c>
      <c r="D350" s="323" t="s">
        <v>537</v>
      </c>
      <c r="E350" s="132" t="s">
        <v>26</v>
      </c>
      <c r="F350" s="97" t="str">
        <f ca="1">IF(OR(Market_Data[[#This Row],[Start Date]]="",Market_Data[[#This Row],[Completion Date]]=""),"Needs Validation",IF(Market_Data[[#This Row],[Start Date]]&gt;TODAY(),"Planned",IF(Market_Data[[#This Row],[Completion Date]]&lt;TODAY(),"Completed","Ongoing")))</f>
        <v>Ongoing</v>
      </c>
      <c r="G350" s="324">
        <v>45090</v>
      </c>
      <c r="H350" s="324">
        <v>46387</v>
      </c>
      <c r="I350" s="325">
        <v>25600</v>
      </c>
      <c r="J35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50" s="133">
        <f>_xlfn.XLOOKUP(Market_Data[[#This Row],[Project Type]],tbl_assumptions_market[Project Category (RERA)],tbl_assumptions_market[Concrete Intensity
(m³ / sq m BUA)],"",0)</f>
        <v>0.18</v>
      </c>
      <c r="L350" s="134">
        <f>ROUND(Market_Data[[#This Row],[Estimated Built Up Area (sq m)]]*Market_Data[[#This Row],[Concrete Intensity
(m³ / sq m)]],0)</f>
        <v>4608</v>
      </c>
      <c r="M350" s="135">
        <f>_xlfn.XLOOKUP(Market_Data[[#This Row],[District]],tbl_district_price[District],tbl_district_price[Standard Price
(INR/m³)],"",0)</f>
        <v>6200</v>
      </c>
      <c r="N350" s="364">
        <f>IF(OR(Market_Data[[#This Row],[Estimated Concrete Demand (m³)]]="",Market_Data[[#This Row],[Avg Price per (₹ / m³)]]=""),"",Market_Data[[#This Row],[Estimated Concrete Demand (m³)]]*Market_Data[[#This Row],[Avg Price per (₹ / m³)]]/10000000)</f>
        <v>2.8569599999999999</v>
      </c>
      <c r="O350" s="97" t="str">
        <f>IF(Market_Data[[#This Row],[Estimated Concrete Demand (m³)]]="","",
IF(Market_Data[[#This Row],[Estimated Concrete Demand (m³)]]&lt;10000,"Small",
IF(Market_Data[[#This Row],[Estimated Concrete Demand (m³)]]&lt;25000,"Medium",
IF(Market_Data[[#This Row],[Estimated Concrete Demand (m³)]]&lt;100000,"Large","Mega"))))</f>
        <v>Small</v>
      </c>
      <c r="P350" s="287" t="str">
        <f t="shared" si="7"/>
        <v>GujRERA</v>
      </c>
    </row>
    <row r="351" spans="1:16">
      <c r="A351" s="129" t="str">
        <f>_xlfn.XLOOKUP(B351,$S$9:$S$14,$T$9:$T$14)&amp;"-"&amp;
IF(E351="Residential/Group Housing","RES",
IF(E351="Commercial","COM",
IF(E351="Mixed Development","MIX",
IF(E351="Plotted Development","PLT","OTH"))))
&amp;"-"&amp;TEXT(COUNTIFS($B$9:B351,B351,$E$9:E351,E351),"0000")</f>
        <v>SUR-MIX-0008</v>
      </c>
      <c r="B351" s="322" t="s">
        <v>34</v>
      </c>
      <c r="C351" s="322" t="s">
        <v>34</v>
      </c>
      <c r="D351" s="323" t="s">
        <v>538</v>
      </c>
      <c r="E351" s="132" t="s">
        <v>25</v>
      </c>
      <c r="F351" s="97" t="str">
        <f ca="1">IF(OR(Market_Data[[#This Row],[Start Date]]="",Market_Data[[#This Row],[Completion Date]]=""),"Needs Validation",IF(Market_Data[[#This Row],[Start Date]]&gt;TODAY(),"Planned",IF(Market_Data[[#This Row],[Completion Date]]&lt;TODAY(),"Completed","Ongoing")))</f>
        <v>Completed</v>
      </c>
      <c r="G351" s="324">
        <v>42552</v>
      </c>
      <c r="H351" s="324">
        <v>43830</v>
      </c>
      <c r="I351" s="325">
        <v>55200</v>
      </c>
      <c r="J35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51" s="133">
        <f>_xlfn.XLOOKUP(Market_Data[[#This Row],[Project Type]],tbl_assumptions_market[Project Category (RERA)],tbl_assumptions_market[Concrete Intensity
(m³ / sq m BUA)],"",0)</f>
        <v>0.42</v>
      </c>
      <c r="L351" s="134">
        <f>ROUND(Market_Data[[#This Row],[Estimated Built Up Area (sq m)]]*Market_Data[[#This Row],[Concrete Intensity
(m³ / sq m)]],0)</f>
        <v>23184</v>
      </c>
      <c r="M351" s="135">
        <f>_xlfn.XLOOKUP(Market_Data[[#This Row],[District]],tbl_district_price[District],tbl_district_price[Standard Price
(INR/m³)],"",0)</f>
        <v>6200</v>
      </c>
      <c r="N351" s="364">
        <f>IF(OR(Market_Data[[#This Row],[Estimated Concrete Demand (m³)]]="",Market_Data[[#This Row],[Avg Price per (₹ / m³)]]=""),"",Market_Data[[#This Row],[Estimated Concrete Demand (m³)]]*Market_Data[[#This Row],[Avg Price per (₹ / m³)]]/10000000)</f>
        <v>14.374079999999999</v>
      </c>
      <c r="O351" s="97" t="str">
        <f>IF(Market_Data[[#This Row],[Estimated Concrete Demand (m³)]]="","",
IF(Market_Data[[#This Row],[Estimated Concrete Demand (m³)]]&lt;10000,"Small",
IF(Market_Data[[#This Row],[Estimated Concrete Demand (m³)]]&lt;25000,"Medium",
IF(Market_Data[[#This Row],[Estimated Concrete Demand (m³)]]&lt;100000,"Large","Mega"))))</f>
        <v>Medium</v>
      </c>
      <c r="P351" s="287" t="str">
        <f t="shared" si="7"/>
        <v>GujRERA</v>
      </c>
    </row>
    <row r="352" spans="1:16">
      <c r="A352" s="129" t="str">
        <f>_xlfn.XLOOKUP(B352,$S$9:$S$14,$T$9:$T$14)&amp;"-"&amp;
IF(E352="Residential/Group Housing","RES",
IF(E352="Commercial","COM",
IF(E352="Mixed Development","MIX",
IF(E352="Plotted Development","PLT","OTH"))))
&amp;"-"&amp;TEXT(COUNTIFS($B$9:B352,B352,$E$9:E352,E352),"0000")</f>
        <v>SUR-COM-0008</v>
      </c>
      <c r="B352" s="322" t="s">
        <v>34</v>
      </c>
      <c r="C352" s="322" t="s">
        <v>34</v>
      </c>
      <c r="D352" s="323" t="s">
        <v>539</v>
      </c>
      <c r="E352" s="132" t="s">
        <v>23</v>
      </c>
      <c r="F352" s="97" t="str">
        <f ca="1">IF(OR(Market_Data[[#This Row],[Start Date]]="",Market_Data[[#This Row],[Completion Date]]=""),"Needs Validation",IF(Market_Data[[#This Row],[Start Date]]&gt;TODAY(),"Planned",IF(Market_Data[[#This Row],[Completion Date]]&lt;TODAY(),"Completed","Ongoing")))</f>
        <v>Completed</v>
      </c>
      <c r="G352" s="324">
        <v>42238</v>
      </c>
      <c r="H352" s="324">
        <v>43465</v>
      </c>
      <c r="I352" s="325">
        <v>42600</v>
      </c>
      <c r="J35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352" s="133">
        <f>_xlfn.XLOOKUP(Market_Data[[#This Row],[Project Type]],tbl_assumptions_market[Project Category (RERA)],tbl_assumptions_market[Concrete Intensity
(m³ / sq m BUA)],"",0)</f>
        <v>0.5</v>
      </c>
      <c r="L352" s="134">
        <f>ROUND(Market_Data[[#This Row],[Estimated Built Up Area (sq m)]]*Market_Data[[#This Row],[Concrete Intensity
(m³ / sq m)]],0)</f>
        <v>21300</v>
      </c>
      <c r="M352" s="135">
        <f>_xlfn.XLOOKUP(Market_Data[[#This Row],[District]],tbl_district_price[District],tbl_district_price[Standard Price
(INR/m³)],"",0)</f>
        <v>6200</v>
      </c>
      <c r="N352" s="364">
        <f>IF(OR(Market_Data[[#This Row],[Estimated Concrete Demand (m³)]]="",Market_Data[[#This Row],[Avg Price per (₹ / m³)]]=""),"",Market_Data[[#This Row],[Estimated Concrete Demand (m³)]]*Market_Data[[#This Row],[Avg Price per (₹ / m³)]]/10000000)</f>
        <v>13.206</v>
      </c>
      <c r="O352" s="97" t="str">
        <f>IF(Market_Data[[#This Row],[Estimated Concrete Demand (m³)]]="","",
IF(Market_Data[[#This Row],[Estimated Concrete Demand (m³)]]&lt;10000,"Small",
IF(Market_Data[[#This Row],[Estimated Concrete Demand (m³)]]&lt;25000,"Medium",
IF(Market_Data[[#This Row],[Estimated Concrete Demand (m³)]]&lt;100000,"Large","Mega"))))</f>
        <v>Medium</v>
      </c>
      <c r="P352" s="287" t="str">
        <f t="shared" si="7"/>
        <v>GujRERA</v>
      </c>
    </row>
    <row r="353" spans="1:16">
      <c r="A353" s="129" t="str">
        <f>_xlfn.XLOOKUP(B353,$S$9:$S$14,$T$9:$T$14)&amp;"-"&amp;
IF(E353="Residential/Group Housing","RES",
IF(E353="Commercial","COM",
IF(E353="Mixed Development","MIX",
IF(E353="Plotted Development","PLT","OTH"))))
&amp;"-"&amp;TEXT(COUNTIFS($B$9:B353,B353,$E$9:E353,E353),"0000")</f>
        <v>SUR-COM-0009</v>
      </c>
      <c r="B353" s="322" t="s">
        <v>34</v>
      </c>
      <c r="C353" s="322" t="s">
        <v>34</v>
      </c>
      <c r="D353" s="323" t="s">
        <v>540</v>
      </c>
      <c r="E353" s="132" t="s">
        <v>23</v>
      </c>
      <c r="F353" s="97" t="str">
        <f ca="1">IF(OR(Market_Data[[#This Row],[Start Date]]="",Market_Data[[#This Row],[Completion Date]]=""),"Needs Validation",IF(Market_Data[[#This Row],[Start Date]]&gt;TODAY(),"Planned",IF(Market_Data[[#This Row],[Completion Date]]&lt;TODAY(),"Completed","Ongoing")))</f>
        <v>Completed</v>
      </c>
      <c r="G353" s="324">
        <v>43138</v>
      </c>
      <c r="H353" s="324">
        <v>45260</v>
      </c>
      <c r="I353" s="325">
        <v>7700</v>
      </c>
      <c r="J35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53" s="133">
        <f>_xlfn.XLOOKUP(Market_Data[[#This Row],[Project Type]],tbl_assumptions_market[Project Category (RERA)],tbl_assumptions_market[Concrete Intensity
(m³ / sq m BUA)],"",0)</f>
        <v>0.5</v>
      </c>
      <c r="L353" s="134">
        <f>ROUND(Market_Data[[#This Row],[Estimated Built Up Area (sq m)]]*Market_Data[[#This Row],[Concrete Intensity
(m³ / sq m)]],0)</f>
        <v>3850</v>
      </c>
      <c r="M353" s="135">
        <f>_xlfn.XLOOKUP(Market_Data[[#This Row],[District]],tbl_district_price[District],tbl_district_price[Standard Price
(INR/m³)],"",0)</f>
        <v>6200</v>
      </c>
      <c r="N353" s="364">
        <f>IF(OR(Market_Data[[#This Row],[Estimated Concrete Demand (m³)]]="",Market_Data[[#This Row],[Avg Price per (₹ / m³)]]=""),"",Market_Data[[#This Row],[Estimated Concrete Demand (m³)]]*Market_Data[[#This Row],[Avg Price per (₹ / m³)]]/10000000)</f>
        <v>2.387</v>
      </c>
      <c r="O353" s="97" t="str">
        <f>IF(Market_Data[[#This Row],[Estimated Concrete Demand (m³)]]="","",
IF(Market_Data[[#This Row],[Estimated Concrete Demand (m³)]]&lt;10000,"Small",
IF(Market_Data[[#This Row],[Estimated Concrete Demand (m³)]]&lt;25000,"Medium",
IF(Market_Data[[#This Row],[Estimated Concrete Demand (m³)]]&lt;100000,"Large","Mega"))))</f>
        <v>Small</v>
      </c>
      <c r="P353" s="287" t="str">
        <f t="shared" si="7"/>
        <v>GujRERA</v>
      </c>
    </row>
    <row r="354" spans="1:16">
      <c r="A354" s="129" t="str">
        <f>_xlfn.XLOOKUP(B354,$S$9:$S$14,$T$9:$T$14)&amp;"-"&amp;
IF(E354="Residential/Group Housing","RES",
IF(E354="Commercial","COM",
IF(E354="Mixed Development","MIX",
IF(E354="Plotted Development","PLT","OTH"))))
&amp;"-"&amp;TEXT(COUNTIFS($B$9:B354,B354,$E$9:E354,E354),"0000")</f>
        <v>SUR-RES-0012</v>
      </c>
      <c r="B354" s="322" t="s">
        <v>34</v>
      </c>
      <c r="C354" s="322" t="s">
        <v>34</v>
      </c>
      <c r="D354" s="323" t="s">
        <v>541</v>
      </c>
      <c r="E354" s="132" t="s">
        <v>24</v>
      </c>
      <c r="F354" s="97" t="str">
        <f ca="1">IF(OR(Market_Data[[#This Row],[Start Date]]="",Market_Data[[#This Row],[Completion Date]]=""),"Needs Validation",IF(Market_Data[[#This Row],[Start Date]]&gt;TODAY(),"Planned",IF(Market_Data[[#This Row],[Completion Date]]&lt;TODAY(),"Completed","Ongoing")))</f>
        <v>Completed</v>
      </c>
      <c r="G354" s="324">
        <v>43059</v>
      </c>
      <c r="H354" s="324">
        <v>44834</v>
      </c>
      <c r="I354" s="325">
        <v>26700</v>
      </c>
      <c r="J35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54" s="133">
        <f>_xlfn.XLOOKUP(Market_Data[[#This Row],[Project Type]],tbl_assumptions_market[Project Category (RERA)],tbl_assumptions_market[Concrete Intensity
(m³ / sq m BUA)],"",0)</f>
        <v>0.45</v>
      </c>
      <c r="L354" s="134">
        <f>ROUND(Market_Data[[#This Row],[Estimated Built Up Area (sq m)]]*Market_Data[[#This Row],[Concrete Intensity
(m³ / sq m)]],0)</f>
        <v>12015</v>
      </c>
      <c r="M354" s="135">
        <f>_xlfn.XLOOKUP(Market_Data[[#This Row],[District]],tbl_district_price[District],tbl_district_price[Standard Price
(INR/m³)],"",0)</f>
        <v>6200</v>
      </c>
      <c r="N354" s="364">
        <f>IF(OR(Market_Data[[#This Row],[Estimated Concrete Demand (m³)]]="",Market_Data[[#This Row],[Avg Price per (₹ / m³)]]=""),"",Market_Data[[#This Row],[Estimated Concrete Demand (m³)]]*Market_Data[[#This Row],[Avg Price per (₹ / m³)]]/10000000)</f>
        <v>7.4493</v>
      </c>
      <c r="O354" s="97" t="str">
        <f>IF(Market_Data[[#This Row],[Estimated Concrete Demand (m³)]]="","",
IF(Market_Data[[#This Row],[Estimated Concrete Demand (m³)]]&lt;10000,"Small",
IF(Market_Data[[#This Row],[Estimated Concrete Demand (m³)]]&lt;25000,"Medium",
IF(Market_Data[[#This Row],[Estimated Concrete Demand (m³)]]&lt;100000,"Large","Mega"))))</f>
        <v>Medium</v>
      </c>
      <c r="P354" s="287" t="str">
        <f t="shared" si="7"/>
        <v>GujRERA</v>
      </c>
    </row>
    <row r="355" spans="1:16">
      <c r="A355" s="129" t="str">
        <f>_xlfn.XLOOKUP(B355,$S$9:$S$14,$T$9:$T$14)&amp;"-"&amp;
IF(E355="Residential/Group Housing","RES",
IF(E355="Commercial","COM",
IF(E355="Mixed Development","MIX",
IF(E355="Plotted Development","PLT","OTH"))))
&amp;"-"&amp;TEXT(COUNTIFS($B$9:B355,B355,$E$9:E355,E355),"0000")</f>
        <v>SUR-MIX-0009</v>
      </c>
      <c r="B355" s="322" t="s">
        <v>34</v>
      </c>
      <c r="C355" s="322" t="s">
        <v>34</v>
      </c>
      <c r="D355" s="323" t="s">
        <v>542</v>
      </c>
      <c r="E355" s="132" t="s">
        <v>25</v>
      </c>
      <c r="F355" s="97" t="str">
        <f ca="1">IF(OR(Market_Data[[#This Row],[Start Date]]="",Market_Data[[#This Row],[Completion Date]]=""),"Needs Validation",IF(Market_Data[[#This Row],[Start Date]]&gt;TODAY(),"Planned",IF(Market_Data[[#This Row],[Completion Date]]&lt;TODAY(),"Completed","Ongoing")))</f>
        <v>Ongoing</v>
      </c>
      <c r="G355" s="324">
        <v>44175</v>
      </c>
      <c r="H355" s="324">
        <v>46387</v>
      </c>
      <c r="I355" s="325">
        <v>39600</v>
      </c>
      <c r="J35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55" s="133">
        <f>_xlfn.XLOOKUP(Market_Data[[#This Row],[Project Type]],tbl_assumptions_market[Project Category (RERA)],tbl_assumptions_market[Concrete Intensity
(m³ / sq m BUA)],"",0)</f>
        <v>0.42</v>
      </c>
      <c r="L355" s="134">
        <f>ROUND(Market_Data[[#This Row],[Estimated Built Up Area (sq m)]]*Market_Data[[#This Row],[Concrete Intensity
(m³ / sq m)]],0)</f>
        <v>16632</v>
      </c>
      <c r="M355" s="135">
        <f>_xlfn.XLOOKUP(Market_Data[[#This Row],[District]],tbl_district_price[District],tbl_district_price[Standard Price
(INR/m³)],"",0)</f>
        <v>6200</v>
      </c>
      <c r="N355" s="364">
        <f>IF(OR(Market_Data[[#This Row],[Estimated Concrete Demand (m³)]]="",Market_Data[[#This Row],[Avg Price per (₹ / m³)]]=""),"",Market_Data[[#This Row],[Estimated Concrete Demand (m³)]]*Market_Data[[#This Row],[Avg Price per (₹ / m³)]]/10000000)</f>
        <v>10.31184</v>
      </c>
      <c r="O355" s="97" t="str">
        <f>IF(Market_Data[[#This Row],[Estimated Concrete Demand (m³)]]="","",
IF(Market_Data[[#This Row],[Estimated Concrete Demand (m³)]]&lt;10000,"Small",
IF(Market_Data[[#This Row],[Estimated Concrete Demand (m³)]]&lt;25000,"Medium",
IF(Market_Data[[#This Row],[Estimated Concrete Demand (m³)]]&lt;100000,"Large","Mega"))))</f>
        <v>Medium</v>
      </c>
      <c r="P355" s="287" t="str">
        <f t="shared" si="7"/>
        <v>GujRERA</v>
      </c>
    </row>
    <row r="356" spans="1:16">
      <c r="A356" s="129" t="str">
        <f>_xlfn.XLOOKUP(B356,$S$9:$S$14,$T$9:$T$14)&amp;"-"&amp;
IF(E356="Residential/Group Housing","RES",
IF(E356="Commercial","COM",
IF(E356="Mixed Development","MIX",
IF(E356="Plotted Development","PLT","OTH"))))
&amp;"-"&amp;TEXT(COUNTIFS($B$9:B356,B356,$E$9:E356,E356),"0000")</f>
        <v>SUR-RES-0013</v>
      </c>
      <c r="B356" s="322" t="s">
        <v>34</v>
      </c>
      <c r="C356" s="322" t="s">
        <v>34</v>
      </c>
      <c r="D356" s="323" t="s">
        <v>543</v>
      </c>
      <c r="E356" s="132" t="s">
        <v>24</v>
      </c>
      <c r="F356" s="97" t="str">
        <f ca="1">IF(OR(Market_Data[[#This Row],[Start Date]]="",Market_Data[[#This Row],[Completion Date]]=""),"Needs Validation",IF(Market_Data[[#This Row],[Start Date]]&gt;TODAY(),"Planned",IF(Market_Data[[#This Row],[Completion Date]]&lt;TODAY(),"Completed","Ongoing")))</f>
        <v>Completed</v>
      </c>
      <c r="G356" s="324">
        <v>41489</v>
      </c>
      <c r="H356" s="324">
        <v>43465</v>
      </c>
      <c r="I356" s="325">
        <v>9100</v>
      </c>
      <c r="J35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56" s="133">
        <f>_xlfn.XLOOKUP(Market_Data[[#This Row],[Project Type]],tbl_assumptions_market[Project Category (RERA)],tbl_assumptions_market[Concrete Intensity
(m³ / sq m BUA)],"",0)</f>
        <v>0.45</v>
      </c>
      <c r="L356" s="134">
        <f>ROUND(Market_Data[[#This Row],[Estimated Built Up Area (sq m)]]*Market_Data[[#This Row],[Concrete Intensity
(m³ / sq m)]],0)</f>
        <v>4095</v>
      </c>
      <c r="M356" s="135">
        <f>_xlfn.XLOOKUP(Market_Data[[#This Row],[District]],tbl_district_price[District],tbl_district_price[Standard Price
(INR/m³)],"",0)</f>
        <v>6200</v>
      </c>
      <c r="N356" s="364">
        <f>IF(OR(Market_Data[[#This Row],[Estimated Concrete Demand (m³)]]="",Market_Data[[#This Row],[Avg Price per (₹ / m³)]]=""),"",Market_Data[[#This Row],[Estimated Concrete Demand (m³)]]*Market_Data[[#This Row],[Avg Price per (₹ / m³)]]/10000000)</f>
        <v>2.5388999999999999</v>
      </c>
      <c r="O356" s="97" t="str">
        <f>IF(Market_Data[[#This Row],[Estimated Concrete Demand (m³)]]="","",
IF(Market_Data[[#This Row],[Estimated Concrete Demand (m³)]]&lt;10000,"Small",
IF(Market_Data[[#This Row],[Estimated Concrete Demand (m³)]]&lt;25000,"Medium",
IF(Market_Data[[#This Row],[Estimated Concrete Demand (m³)]]&lt;100000,"Large","Mega"))))</f>
        <v>Small</v>
      </c>
      <c r="P356" s="287" t="str">
        <f t="shared" si="7"/>
        <v>GujRERA</v>
      </c>
    </row>
    <row r="357" spans="1:16">
      <c r="A357" s="129" t="str">
        <f>_xlfn.XLOOKUP(B357,$S$9:$S$14,$T$9:$T$14)&amp;"-"&amp;
IF(E357="Residential/Group Housing","RES",
IF(E357="Commercial","COM",
IF(E357="Mixed Development","MIX",
IF(E357="Plotted Development","PLT","OTH"))))
&amp;"-"&amp;TEXT(COUNTIFS($B$9:B357,B357,$E$9:E357,E357),"0000")</f>
        <v>SUR-PLT-0008</v>
      </c>
      <c r="B357" s="322" t="s">
        <v>34</v>
      </c>
      <c r="C357" s="322" t="s">
        <v>34</v>
      </c>
      <c r="D357" s="323" t="s">
        <v>544</v>
      </c>
      <c r="E357" s="132" t="s">
        <v>26</v>
      </c>
      <c r="F357" s="97" t="str">
        <f ca="1">IF(OR(Market_Data[[#This Row],[Start Date]]="",Market_Data[[#This Row],[Completion Date]]=""),"Needs Validation",IF(Market_Data[[#This Row],[Start Date]]&gt;TODAY(),"Planned",IF(Market_Data[[#This Row],[Completion Date]]&lt;TODAY(),"Completed","Ongoing")))</f>
        <v>Ongoing</v>
      </c>
      <c r="G357" s="324">
        <v>44755</v>
      </c>
      <c r="H357" s="324">
        <v>47118</v>
      </c>
      <c r="I357" s="325">
        <v>15900</v>
      </c>
      <c r="J35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57" s="133">
        <f>_xlfn.XLOOKUP(Market_Data[[#This Row],[Project Type]],tbl_assumptions_market[Project Category (RERA)],tbl_assumptions_market[Concrete Intensity
(m³ / sq m BUA)],"",0)</f>
        <v>0.18</v>
      </c>
      <c r="L357" s="134">
        <f>ROUND(Market_Data[[#This Row],[Estimated Built Up Area (sq m)]]*Market_Data[[#This Row],[Concrete Intensity
(m³ / sq m)]],0)</f>
        <v>2862</v>
      </c>
      <c r="M357" s="135">
        <f>_xlfn.XLOOKUP(Market_Data[[#This Row],[District]],tbl_district_price[District],tbl_district_price[Standard Price
(INR/m³)],"",0)</f>
        <v>6200</v>
      </c>
      <c r="N357" s="364">
        <f>IF(OR(Market_Data[[#This Row],[Estimated Concrete Demand (m³)]]="",Market_Data[[#This Row],[Avg Price per (₹ / m³)]]=""),"",Market_Data[[#This Row],[Estimated Concrete Demand (m³)]]*Market_Data[[#This Row],[Avg Price per (₹ / m³)]]/10000000)</f>
        <v>1.77444</v>
      </c>
      <c r="O357" s="97" t="str">
        <f>IF(Market_Data[[#This Row],[Estimated Concrete Demand (m³)]]="","",
IF(Market_Data[[#This Row],[Estimated Concrete Demand (m³)]]&lt;10000,"Small",
IF(Market_Data[[#This Row],[Estimated Concrete Demand (m³)]]&lt;25000,"Medium",
IF(Market_Data[[#This Row],[Estimated Concrete Demand (m³)]]&lt;100000,"Large","Mega"))))</f>
        <v>Small</v>
      </c>
      <c r="P357" s="287" t="str">
        <f t="shared" si="7"/>
        <v>GujRERA</v>
      </c>
    </row>
    <row r="358" spans="1:16">
      <c r="A358" s="129" t="str">
        <f>_xlfn.XLOOKUP(B358,$S$9:$S$14,$T$9:$T$14)&amp;"-"&amp;
IF(E358="Residential/Group Housing","RES",
IF(E358="Commercial","COM",
IF(E358="Mixed Development","MIX",
IF(E358="Plotted Development","PLT","OTH"))))
&amp;"-"&amp;TEXT(COUNTIFS($B$9:B358,B358,$E$9:E358,E358),"0000")</f>
        <v>SUR-MIX-0010</v>
      </c>
      <c r="B358" s="322" t="s">
        <v>34</v>
      </c>
      <c r="C358" s="322" t="s">
        <v>34</v>
      </c>
      <c r="D358" s="323" t="s">
        <v>545</v>
      </c>
      <c r="E358" s="132" t="s">
        <v>25</v>
      </c>
      <c r="F358" s="97" t="str">
        <f ca="1">IF(OR(Market_Data[[#This Row],[Start Date]]="",Market_Data[[#This Row],[Completion Date]]=""),"Needs Validation",IF(Market_Data[[#This Row],[Start Date]]&gt;TODAY(),"Planned",IF(Market_Data[[#This Row],[Completion Date]]&lt;TODAY(),"Completed","Ongoing")))</f>
        <v>Completed</v>
      </c>
      <c r="G358" s="324">
        <v>44261</v>
      </c>
      <c r="H358" s="324">
        <v>45382</v>
      </c>
      <c r="I358" s="325">
        <v>11800</v>
      </c>
      <c r="J35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58" s="133">
        <f>_xlfn.XLOOKUP(Market_Data[[#This Row],[Project Type]],tbl_assumptions_market[Project Category (RERA)],tbl_assumptions_market[Concrete Intensity
(m³ / sq m BUA)],"",0)</f>
        <v>0.42</v>
      </c>
      <c r="L358" s="134">
        <f>ROUND(Market_Data[[#This Row],[Estimated Built Up Area (sq m)]]*Market_Data[[#This Row],[Concrete Intensity
(m³ / sq m)]],0)</f>
        <v>4956</v>
      </c>
      <c r="M358" s="135">
        <f>_xlfn.XLOOKUP(Market_Data[[#This Row],[District]],tbl_district_price[District],tbl_district_price[Standard Price
(INR/m³)],"",0)</f>
        <v>6200</v>
      </c>
      <c r="N358" s="364">
        <f>IF(OR(Market_Data[[#This Row],[Estimated Concrete Demand (m³)]]="",Market_Data[[#This Row],[Avg Price per (₹ / m³)]]=""),"",Market_Data[[#This Row],[Estimated Concrete Demand (m³)]]*Market_Data[[#This Row],[Avg Price per (₹ / m³)]]/10000000)</f>
        <v>3.0727199999999999</v>
      </c>
      <c r="O358" s="97" t="str">
        <f>IF(Market_Data[[#This Row],[Estimated Concrete Demand (m³)]]="","",
IF(Market_Data[[#This Row],[Estimated Concrete Demand (m³)]]&lt;10000,"Small",
IF(Market_Data[[#This Row],[Estimated Concrete Demand (m³)]]&lt;25000,"Medium",
IF(Market_Data[[#This Row],[Estimated Concrete Demand (m³)]]&lt;100000,"Large","Mega"))))</f>
        <v>Small</v>
      </c>
      <c r="P358" s="287" t="str">
        <f t="shared" si="7"/>
        <v>GujRERA</v>
      </c>
    </row>
    <row r="359" spans="1:16">
      <c r="A359" s="129" t="str">
        <f>_xlfn.XLOOKUP(B359,$S$9:$S$14,$T$9:$T$14)&amp;"-"&amp;
IF(E359="Residential/Group Housing","RES",
IF(E359="Commercial","COM",
IF(E359="Mixed Development","MIX",
IF(E359="Plotted Development","PLT","OTH"))))
&amp;"-"&amp;TEXT(COUNTIFS($B$9:B359,B359,$E$9:E359,E359),"0000")</f>
        <v>SUR-MIX-0011</v>
      </c>
      <c r="B359" s="322" t="s">
        <v>34</v>
      </c>
      <c r="C359" s="322" t="s">
        <v>34</v>
      </c>
      <c r="D359" s="323" t="s">
        <v>546</v>
      </c>
      <c r="E359" s="132" t="s">
        <v>25</v>
      </c>
      <c r="F359" s="97" t="str">
        <f ca="1">IF(OR(Market_Data[[#This Row],[Start Date]]="",Market_Data[[#This Row],[Completion Date]]=""),"Needs Validation",IF(Market_Data[[#This Row],[Start Date]]&gt;TODAY(),"Planned",IF(Market_Data[[#This Row],[Completion Date]]&lt;TODAY(),"Completed","Ongoing")))</f>
        <v>Ongoing</v>
      </c>
      <c r="G359" s="324">
        <v>45766</v>
      </c>
      <c r="H359" s="324">
        <v>47483</v>
      </c>
      <c r="I359" s="325">
        <v>27600</v>
      </c>
      <c r="J35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59" s="133">
        <f>_xlfn.XLOOKUP(Market_Data[[#This Row],[Project Type]],tbl_assumptions_market[Project Category (RERA)],tbl_assumptions_market[Concrete Intensity
(m³ / sq m BUA)],"",0)</f>
        <v>0.42</v>
      </c>
      <c r="L359" s="134">
        <f>ROUND(Market_Data[[#This Row],[Estimated Built Up Area (sq m)]]*Market_Data[[#This Row],[Concrete Intensity
(m³ / sq m)]],0)</f>
        <v>11592</v>
      </c>
      <c r="M359" s="135">
        <f>_xlfn.XLOOKUP(Market_Data[[#This Row],[District]],tbl_district_price[District],tbl_district_price[Standard Price
(INR/m³)],"",0)</f>
        <v>6200</v>
      </c>
      <c r="N359" s="364">
        <f>IF(OR(Market_Data[[#This Row],[Estimated Concrete Demand (m³)]]="",Market_Data[[#This Row],[Avg Price per (₹ / m³)]]=""),"",Market_Data[[#This Row],[Estimated Concrete Demand (m³)]]*Market_Data[[#This Row],[Avg Price per (₹ / m³)]]/10000000)</f>
        <v>7.1870399999999997</v>
      </c>
      <c r="O359" s="97" t="str">
        <f>IF(Market_Data[[#This Row],[Estimated Concrete Demand (m³)]]="","",
IF(Market_Data[[#This Row],[Estimated Concrete Demand (m³)]]&lt;10000,"Small",
IF(Market_Data[[#This Row],[Estimated Concrete Demand (m³)]]&lt;25000,"Medium",
IF(Market_Data[[#This Row],[Estimated Concrete Demand (m³)]]&lt;100000,"Large","Mega"))))</f>
        <v>Medium</v>
      </c>
      <c r="P359" s="287" t="str">
        <f t="shared" si="7"/>
        <v>GujRERA</v>
      </c>
    </row>
    <row r="360" spans="1:16">
      <c r="A360" s="129" t="str">
        <f>_xlfn.XLOOKUP(B360,$S$9:$S$14,$T$9:$T$14)&amp;"-"&amp;
IF(E360="Residential/Group Housing","RES",
IF(E360="Commercial","COM",
IF(E360="Mixed Development","MIX",
IF(E360="Plotted Development","PLT","OTH"))))
&amp;"-"&amp;TEXT(COUNTIFS($B$9:B360,B360,$E$9:E360,E360),"0000")</f>
        <v>SUR-MIX-0012</v>
      </c>
      <c r="B360" s="322" t="s">
        <v>34</v>
      </c>
      <c r="C360" s="322" t="s">
        <v>34</v>
      </c>
      <c r="D360" s="323" t="s">
        <v>547</v>
      </c>
      <c r="E360" s="132" t="s">
        <v>25</v>
      </c>
      <c r="F360" s="97" t="str">
        <f ca="1">IF(OR(Market_Data[[#This Row],[Start Date]]="",Market_Data[[#This Row],[Completion Date]]=""),"Needs Validation",IF(Market_Data[[#This Row],[Start Date]]&gt;TODAY(),"Planned",IF(Market_Data[[#This Row],[Completion Date]]&lt;TODAY(),"Completed","Ongoing")))</f>
        <v>Ongoing</v>
      </c>
      <c r="G360" s="324">
        <v>45646</v>
      </c>
      <c r="H360" s="324">
        <v>47483</v>
      </c>
      <c r="I360" s="325">
        <v>51300</v>
      </c>
      <c r="J36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60" s="133">
        <f>_xlfn.XLOOKUP(Market_Data[[#This Row],[Project Type]],tbl_assumptions_market[Project Category (RERA)],tbl_assumptions_market[Concrete Intensity
(m³ / sq m BUA)],"",0)</f>
        <v>0.42</v>
      </c>
      <c r="L360" s="134">
        <f>ROUND(Market_Data[[#This Row],[Estimated Built Up Area (sq m)]]*Market_Data[[#This Row],[Concrete Intensity
(m³ / sq m)]],0)</f>
        <v>21546</v>
      </c>
      <c r="M360" s="135">
        <f>_xlfn.XLOOKUP(Market_Data[[#This Row],[District]],tbl_district_price[District],tbl_district_price[Standard Price
(INR/m³)],"",0)</f>
        <v>6200</v>
      </c>
      <c r="N360" s="364">
        <f>IF(OR(Market_Data[[#This Row],[Estimated Concrete Demand (m³)]]="",Market_Data[[#This Row],[Avg Price per (₹ / m³)]]=""),"",Market_Data[[#This Row],[Estimated Concrete Demand (m³)]]*Market_Data[[#This Row],[Avg Price per (₹ / m³)]]/10000000)</f>
        <v>13.35852</v>
      </c>
      <c r="O360" s="97" t="str">
        <f>IF(Market_Data[[#This Row],[Estimated Concrete Demand (m³)]]="","",
IF(Market_Data[[#This Row],[Estimated Concrete Demand (m³)]]&lt;10000,"Small",
IF(Market_Data[[#This Row],[Estimated Concrete Demand (m³)]]&lt;25000,"Medium",
IF(Market_Data[[#This Row],[Estimated Concrete Demand (m³)]]&lt;100000,"Large","Mega"))))</f>
        <v>Medium</v>
      </c>
      <c r="P360" s="287" t="str">
        <f t="shared" si="7"/>
        <v>GujRERA</v>
      </c>
    </row>
    <row r="361" spans="1:16">
      <c r="A361" s="129" t="str">
        <f>_xlfn.XLOOKUP(B361,$S$9:$S$14,$T$9:$T$14)&amp;"-"&amp;
IF(E361="Residential/Group Housing","RES",
IF(E361="Commercial","COM",
IF(E361="Mixed Development","MIX",
IF(E361="Plotted Development","PLT","OTH"))))
&amp;"-"&amp;TEXT(COUNTIFS($B$9:B361,B361,$E$9:E361,E361),"0000")</f>
        <v>SUR-PLT-0009</v>
      </c>
      <c r="B361" s="322" t="s">
        <v>34</v>
      </c>
      <c r="C361" s="322" t="s">
        <v>34</v>
      </c>
      <c r="D361" s="323" t="s">
        <v>548</v>
      </c>
      <c r="E361" s="132" t="s">
        <v>26</v>
      </c>
      <c r="F361" s="97" t="str">
        <f ca="1">IF(OR(Market_Data[[#This Row],[Start Date]]="",Market_Data[[#This Row],[Completion Date]]=""),"Needs Validation",IF(Market_Data[[#This Row],[Start Date]]&gt;TODAY(),"Planned",IF(Market_Data[[#This Row],[Completion Date]]&lt;TODAY(),"Completed","Ongoing")))</f>
        <v>Ongoing</v>
      </c>
      <c r="G361" s="324">
        <v>45192</v>
      </c>
      <c r="H361" s="324">
        <v>46387</v>
      </c>
      <c r="I361" s="325">
        <v>40700</v>
      </c>
      <c r="J36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361" s="133">
        <f>_xlfn.XLOOKUP(Market_Data[[#This Row],[Project Type]],tbl_assumptions_market[Project Category (RERA)],tbl_assumptions_market[Concrete Intensity
(m³ / sq m BUA)],"",0)</f>
        <v>0.18</v>
      </c>
      <c r="L361" s="134">
        <f>ROUND(Market_Data[[#This Row],[Estimated Built Up Area (sq m)]]*Market_Data[[#This Row],[Concrete Intensity
(m³ / sq m)]],0)</f>
        <v>7326</v>
      </c>
      <c r="M361" s="135">
        <f>_xlfn.XLOOKUP(Market_Data[[#This Row],[District]],tbl_district_price[District],tbl_district_price[Standard Price
(INR/m³)],"",0)</f>
        <v>6200</v>
      </c>
      <c r="N361" s="364">
        <f>IF(OR(Market_Data[[#This Row],[Estimated Concrete Demand (m³)]]="",Market_Data[[#This Row],[Avg Price per (₹ / m³)]]=""),"",Market_Data[[#This Row],[Estimated Concrete Demand (m³)]]*Market_Data[[#This Row],[Avg Price per (₹ / m³)]]/10000000)</f>
        <v>4.5421199999999997</v>
      </c>
      <c r="O361" s="97" t="str">
        <f>IF(Market_Data[[#This Row],[Estimated Concrete Demand (m³)]]="","",
IF(Market_Data[[#This Row],[Estimated Concrete Demand (m³)]]&lt;10000,"Small",
IF(Market_Data[[#This Row],[Estimated Concrete Demand (m³)]]&lt;25000,"Medium",
IF(Market_Data[[#This Row],[Estimated Concrete Demand (m³)]]&lt;100000,"Large","Mega"))))</f>
        <v>Small</v>
      </c>
      <c r="P361" s="287" t="str">
        <f t="shared" si="7"/>
        <v>GujRERA</v>
      </c>
    </row>
    <row r="362" spans="1:16">
      <c r="A362" s="129" t="str">
        <f>_xlfn.XLOOKUP(B362,$S$9:$S$14,$T$9:$T$14)&amp;"-"&amp;
IF(E362="Residential/Group Housing","RES",
IF(E362="Commercial","COM",
IF(E362="Mixed Development","MIX",
IF(E362="Plotted Development","PLT","OTH"))))
&amp;"-"&amp;TEXT(COUNTIFS($B$9:B362,B362,$E$9:E362,E362),"0000")</f>
        <v>SUR-PLT-0010</v>
      </c>
      <c r="B362" s="322" t="s">
        <v>34</v>
      </c>
      <c r="C362" s="322" t="s">
        <v>34</v>
      </c>
      <c r="D362" s="323" t="s">
        <v>549</v>
      </c>
      <c r="E362" s="132" t="s">
        <v>26</v>
      </c>
      <c r="F362" s="97" t="str">
        <f ca="1">IF(OR(Market_Data[[#This Row],[Start Date]]="",Market_Data[[#This Row],[Completion Date]]=""),"Needs Validation",IF(Market_Data[[#This Row],[Start Date]]&gt;TODAY(),"Planned",IF(Market_Data[[#This Row],[Completion Date]]&lt;TODAY(),"Completed","Ongoing")))</f>
        <v>Ongoing</v>
      </c>
      <c r="G362" s="324">
        <v>45566</v>
      </c>
      <c r="H362" s="324">
        <v>46387</v>
      </c>
      <c r="I362" s="325">
        <v>28500</v>
      </c>
      <c r="J36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62" s="133">
        <f>_xlfn.XLOOKUP(Market_Data[[#This Row],[Project Type]],tbl_assumptions_market[Project Category (RERA)],tbl_assumptions_market[Concrete Intensity
(m³ / sq m BUA)],"",0)</f>
        <v>0.18</v>
      </c>
      <c r="L362" s="134">
        <f>ROUND(Market_Data[[#This Row],[Estimated Built Up Area (sq m)]]*Market_Data[[#This Row],[Concrete Intensity
(m³ / sq m)]],0)</f>
        <v>5130</v>
      </c>
      <c r="M362" s="135">
        <f>_xlfn.XLOOKUP(Market_Data[[#This Row],[District]],tbl_district_price[District],tbl_district_price[Standard Price
(INR/m³)],"",0)</f>
        <v>6200</v>
      </c>
      <c r="N362" s="364">
        <f>IF(OR(Market_Data[[#This Row],[Estimated Concrete Demand (m³)]]="",Market_Data[[#This Row],[Avg Price per (₹ / m³)]]=""),"",Market_Data[[#This Row],[Estimated Concrete Demand (m³)]]*Market_Data[[#This Row],[Avg Price per (₹ / m³)]]/10000000)</f>
        <v>3.1806000000000001</v>
      </c>
      <c r="O362" s="97" t="str">
        <f>IF(Market_Data[[#This Row],[Estimated Concrete Demand (m³)]]="","",
IF(Market_Data[[#This Row],[Estimated Concrete Demand (m³)]]&lt;10000,"Small",
IF(Market_Data[[#This Row],[Estimated Concrete Demand (m³)]]&lt;25000,"Medium",
IF(Market_Data[[#This Row],[Estimated Concrete Demand (m³)]]&lt;100000,"Large","Mega"))))</f>
        <v>Small</v>
      </c>
      <c r="P362" s="287" t="str">
        <f t="shared" si="7"/>
        <v>GujRERA</v>
      </c>
    </row>
    <row r="363" spans="1:16">
      <c r="A363" s="129" t="str">
        <f>_xlfn.XLOOKUP(B363,$S$9:$S$14,$T$9:$T$14)&amp;"-"&amp;
IF(E363="Residential/Group Housing","RES",
IF(E363="Commercial","COM",
IF(E363="Mixed Development","MIX",
IF(E363="Plotted Development","PLT","OTH"))))
&amp;"-"&amp;TEXT(COUNTIFS($B$9:B363,B363,$E$9:E363,E363),"0000")</f>
        <v>SUR-COM-0010</v>
      </c>
      <c r="B363" s="322" t="s">
        <v>34</v>
      </c>
      <c r="C363" s="322" t="s">
        <v>34</v>
      </c>
      <c r="D363" s="323" t="s">
        <v>550</v>
      </c>
      <c r="E363" s="132" t="s">
        <v>23</v>
      </c>
      <c r="F363" s="97" t="str">
        <f ca="1">IF(OR(Market_Data[[#This Row],[Start Date]]="",Market_Data[[#This Row],[Completion Date]]=""),"Needs Validation",IF(Market_Data[[#This Row],[Start Date]]&gt;TODAY(),"Planned",IF(Market_Data[[#This Row],[Completion Date]]&lt;TODAY(),"Completed","Ongoing")))</f>
        <v>Completed</v>
      </c>
      <c r="G363" s="324">
        <v>44652</v>
      </c>
      <c r="H363" s="324">
        <v>45747</v>
      </c>
      <c r="I363" s="325">
        <v>24700</v>
      </c>
      <c r="J36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363" s="133">
        <f>_xlfn.XLOOKUP(Market_Data[[#This Row],[Project Type]],tbl_assumptions_market[Project Category (RERA)],tbl_assumptions_market[Concrete Intensity
(m³ / sq m BUA)],"",0)</f>
        <v>0.5</v>
      </c>
      <c r="L363" s="134">
        <f>ROUND(Market_Data[[#This Row],[Estimated Built Up Area (sq m)]]*Market_Data[[#This Row],[Concrete Intensity
(m³ / sq m)]],0)</f>
        <v>12350</v>
      </c>
      <c r="M363" s="135">
        <f>_xlfn.XLOOKUP(Market_Data[[#This Row],[District]],tbl_district_price[District],tbl_district_price[Standard Price
(INR/m³)],"",0)</f>
        <v>6200</v>
      </c>
      <c r="N363" s="364">
        <f>IF(OR(Market_Data[[#This Row],[Estimated Concrete Demand (m³)]]="",Market_Data[[#This Row],[Avg Price per (₹ / m³)]]=""),"",Market_Data[[#This Row],[Estimated Concrete Demand (m³)]]*Market_Data[[#This Row],[Avg Price per (₹ / m³)]]/10000000)</f>
        <v>7.657</v>
      </c>
      <c r="O363" s="97" t="str">
        <f>IF(Market_Data[[#This Row],[Estimated Concrete Demand (m³)]]="","",
IF(Market_Data[[#This Row],[Estimated Concrete Demand (m³)]]&lt;10000,"Small",
IF(Market_Data[[#This Row],[Estimated Concrete Demand (m³)]]&lt;25000,"Medium",
IF(Market_Data[[#This Row],[Estimated Concrete Demand (m³)]]&lt;100000,"Large","Mega"))))</f>
        <v>Medium</v>
      </c>
      <c r="P363" s="287" t="str">
        <f t="shared" si="7"/>
        <v>GujRERA</v>
      </c>
    </row>
    <row r="364" spans="1:16">
      <c r="A364" s="129" t="str">
        <f>_xlfn.XLOOKUP(B364,$S$9:$S$14,$T$9:$T$14)&amp;"-"&amp;
IF(E364="Residential/Group Housing","RES",
IF(E364="Commercial","COM",
IF(E364="Mixed Development","MIX",
IF(E364="Plotted Development","PLT","OTH"))))
&amp;"-"&amp;TEXT(COUNTIFS($B$9:B364,B364,$E$9:E364,E364),"0000")</f>
        <v>SUR-RES-0014</v>
      </c>
      <c r="B364" s="322" t="s">
        <v>34</v>
      </c>
      <c r="C364" s="322" t="s">
        <v>34</v>
      </c>
      <c r="D364" s="323" t="s">
        <v>551</v>
      </c>
      <c r="E364" s="132" t="s">
        <v>24</v>
      </c>
      <c r="F364" s="97" t="str">
        <f ca="1">IF(OR(Market_Data[[#This Row],[Start Date]]="",Market_Data[[#This Row],[Completion Date]]=""),"Needs Validation",IF(Market_Data[[#This Row],[Start Date]]&gt;TODAY(),"Planned",IF(Market_Data[[#This Row],[Completion Date]]&lt;TODAY(),"Completed","Ongoing")))</f>
        <v>Ongoing</v>
      </c>
      <c r="G364" s="324">
        <v>44896</v>
      </c>
      <c r="H364" s="324">
        <v>46387</v>
      </c>
      <c r="I364" s="325">
        <v>22200</v>
      </c>
      <c r="J36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64" s="133">
        <f>_xlfn.XLOOKUP(Market_Data[[#This Row],[Project Type]],tbl_assumptions_market[Project Category (RERA)],tbl_assumptions_market[Concrete Intensity
(m³ / sq m BUA)],"",0)</f>
        <v>0.45</v>
      </c>
      <c r="L364" s="134">
        <f>ROUND(Market_Data[[#This Row],[Estimated Built Up Area (sq m)]]*Market_Data[[#This Row],[Concrete Intensity
(m³ / sq m)]],0)</f>
        <v>9990</v>
      </c>
      <c r="M364" s="135">
        <f>_xlfn.XLOOKUP(Market_Data[[#This Row],[District]],tbl_district_price[District],tbl_district_price[Standard Price
(INR/m³)],"",0)</f>
        <v>6200</v>
      </c>
      <c r="N364" s="364">
        <f>IF(OR(Market_Data[[#This Row],[Estimated Concrete Demand (m³)]]="",Market_Data[[#This Row],[Avg Price per (₹ / m³)]]=""),"",Market_Data[[#This Row],[Estimated Concrete Demand (m³)]]*Market_Data[[#This Row],[Avg Price per (₹ / m³)]]/10000000)</f>
        <v>6.1938000000000004</v>
      </c>
      <c r="O364" s="97" t="str">
        <f>IF(Market_Data[[#This Row],[Estimated Concrete Demand (m³)]]="","",
IF(Market_Data[[#This Row],[Estimated Concrete Demand (m³)]]&lt;10000,"Small",
IF(Market_Data[[#This Row],[Estimated Concrete Demand (m³)]]&lt;25000,"Medium",
IF(Market_Data[[#This Row],[Estimated Concrete Demand (m³)]]&lt;100000,"Large","Mega"))))</f>
        <v>Small</v>
      </c>
      <c r="P364" s="287" t="str">
        <f t="shared" si="7"/>
        <v>GujRERA</v>
      </c>
    </row>
    <row r="365" spans="1:16">
      <c r="A365" s="129" t="str">
        <f>_xlfn.XLOOKUP(B365,$S$9:$S$14,$T$9:$T$14)&amp;"-"&amp;
IF(E365="Residential/Group Housing","RES",
IF(E365="Commercial","COM",
IF(E365="Mixed Development","MIX",
IF(E365="Plotted Development","PLT","OTH"))))
&amp;"-"&amp;TEXT(COUNTIFS($B$9:B365,B365,$E$9:E365,E365),"0000")</f>
        <v>SUR-RES-0015</v>
      </c>
      <c r="B365" s="322" t="s">
        <v>34</v>
      </c>
      <c r="C365" s="322" t="s">
        <v>34</v>
      </c>
      <c r="D365" s="323" t="s">
        <v>552</v>
      </c>
      <c r="E365" s="132" t="s">
        <v>24</v>
      </c>
      <c r="F365" s="97" t="str">
        <f ca="1">IF(OR(Market_Data[[#This Row],[Start Date]]="",Market_Data[[#This Row],[Completion Date]]=""),"Needs Validation",IF(Market_Data[[#This Row],[Start Date]]&gt;TODAY(),"Planned",IF(Market_Data[[#This Row],[Completion Date]]&lt;TODAY(),"Completed","Ongoing")))</f>
        <v>Ongoing</v>
      </c>
      <c r="G365" s="324">
        <v>44896</v>
      </c>
      <c r="H365" s="324">
        <v>46387</v>
      </c>
      <c r="I365" s="325">
        <v>12200</v>
      </c>
      <c r="J36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65" s="133">
        <f>_xlfn.XLOOKUP(Market_Data[[#This Row],[Project Type]],tbl_assumptions_market[Project Category (RERA)],tbl_assumptions_market[Concrete Intensity
(m³ / sq m BUA)],"",0)</f>
        <v>0.45</v>
      </c>
      <c r="L365" s="134">
        <f>ROUND(Market_Data[[#This Row],[Estimated Built Up Area (sq m)]]*Market_Data[[#This Row],[Concrete Intensity
(m³ / sq m)]],0)</f>
        <v>5490</v>
      </c>
      <c r="M365" s="135">
        <f>_xlfn.XLOOKUP(Market_Data[[#This Row],[District]],tbl_district_price[District],tbl_district_price[Standard Price
(INR/m³)],"",0)</f>
        <v>6200</v>
      </c>
      <c r="N365" s="364">
        <f>IF(OR(Market_Data[[#This Row],[Estimated Concrete Demand (m³)]]="",Market_Data[[#This Row],[Avg Price per (₹ / m³)]]=""),"",Market_Data[[#This Row],[Estimated Concrete Demand (m³)]]*Market_Data[[#This Row],[Avg Price per (₹ / m³)]]/10000000)</f>
        <v>3.4037999999999999</v>
      </c>
      <c r="O365" s="97" t="str">
        <f>IF(Market_Data[[#This Row],[Estimated Concrete Demand (m³)]]="","",
IF(Market_Data[[#This Row],[Estimated Concrete Demand (m³)]]&lt;10000,"Small",
IF(Market_Data[[#This Row],[Estimated Concrete Demand (m³)]]&lt;25000,"Medium",
IF(Market_Data[[#This Row],[Estimated Concrete Demand (m³)]]&lt;100000,"Large","Mega"))))</f>
        <v>Small</v>
      </c>
      <c r="P365" s="287" t="str">
        <f t="shared" si="7"/>
        <v>GujRERA</v>
      </c>
    </row>
    <row r="366" spans="1:16">
      <c r="A366" s="129" t="str">
        <f>_xlfn.XLOOKUP(B366,$S$9:$S$14,$T$9:$T$14)&amp;"-"&amp;
IF(E366="Residential/Group Housing","RES",
IF(E366="Commercial","COM",
IF(E366="Mixed Development","MIX",
IF(E366="Plotted Development","PLT","OTH"))))
&amp;"-"&amp;TEXT(COUNTIFS($B$9:B366,B366,$E$9:E366,E366),"0000")</f>
        <v>SUR-RES-0016</v>
      </c>
      <c r="B366" s="322" t="s">
        <v>34</v>
      </c>
      <c r="C366" s="322" t="s">
        <v>34</v>
      </c>
      <c r="D366" s="323" t="s">
        <v>553</v>
      </c>
      <c r="E366" s="132" t="s">
        <v>24</v>
      </c>
      <c r="F366" s="97" t="str">
        <f ca="1">IF(OR(Market_Data[[#This Row],[Start Date]]="",Market_Data[[#This Row],[Completion Date]]=""),"Needs Validation",IF(Market_Data[[#This Row],[Start Date]]&gt;TODAY(),"Planned",IF(Market_Data[[#This Row],[Completion Date]]&lt;TODAY(),"Completed","Ongoing")))</f>
        <v>Ongoing</v>
      </c>
      <c r="G366" s="324">
        <v>44896</v>
      </c>
      <c r="H366" s="324">
        <v>46387</v>
      </c>
      <c r="I366" s="325">
        <v>20700</v>
      </c>
      <c r="J36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66" s="133">
        <f>_xlfn.XLOOKUP(Market_Data[[#This Row],[Project Type]],tbl_assumptions_market[Project Category (RERA)],tbl_assumptions_market[Concrete Intensity
(m³ / sq m BUA)],"",0)</f>
        <v>0.45</v>
      </c>
      <c r="L366" s="134">
        <f>ROUND(Market_Data[[#This Row],[Estimated Built Up Area (sq m)]]*Market_Data[[#This Row],[Concrete Intensity
(m³ / sq m)]],0)</f>
        <v>9315</v>
      </c>
      <c r="M366" s="135">
        <f>_xlfn.XLOOKUP(Market_Data[[#This Row],[District]],tbl_district_price[District],tbl_district_price[Standard Price
(INR/m³)],"",0)</f>
        <v>6200</v>
      </c>
      <c r="N366" s="364">
        <f>IF(OR(Market_Data[[#This Row],[Estimated Concrete Demand (m³)]]="",Market_Data[[#This Row],[Avg Price per (₹ / m³)]]=""),"",Market_Data[[#This Row],[Estimated Concrete Demand (m³)]]*Market_Data[[#This Row],[Avg Price per (₹ / m³)]]/10000000)</f>
        <v>5.7752999999999997</v>
      </c>
      <c r="O366" s="97" t="str">
        <f>IF(Market_Data[[#This Row],[Estimated Concrete Demand (m³)]]="","",
IF(Market_Data[[#This Row],[Estimated Concrete Demand (m³)]]&lt;10000,"Small",
IF(Market_Data[[#This Row],[Estimated Concrete Demand (m³)]]&lt;25000,"Medium",
IF(Market_Data[[#This Row],[Estimated Concrete Demand (m³)]]&lt;100000,"Large","Mega"))))</f>
        <v>Small</v>
      </c>
      <c r="P366" s="287" t="str">
        <f t="shared" si="7"/>
        <v>GujRERA</v>
      </c>
    </row>
    <row r="367" spans="1:16">
      <c r="A367" s="129" t="str">
        <f>_xlfn.XLOOKUP(B367,$S$9:$S$14,$T$9:$T$14)&amp;"-"&amp;
IF(E367="Residential/Group Housing","RES",
IF(E367="Commercial","COM",
IF(E367="Mixed Development","MIX",
IF(E367="Plotted Development","PLT","OTH"))))
&amp;"-"&amp;TEXT(COUNTIFS($B$9:B367,B367,$E$9:E367,E367),"0000")</f>
        <v>SUR-PLT-0011</v>
      </c>
      <c r="B367" s="322" t="s">
        <v>34</v>
      </c>
      <c r="C367" s="322" t="s">
        <v>34</v>
      </c>
      <c r="D367" s="323" t="s">
        <v>554</v>
      </c>
      <c r="E367" s="132" t="s">
        <v>26</v>
      </c>
      <c r="F367" s="97" t="str">
        <f ca="1">IF(OR(Market_Data[[#This Row],[Start Date]]="",Market_Data[[#This Row],[Completion Date]]=""),"Needs Validation",IF(Market_Data[[#This Row],[Start Date]]&gt;TODAY(),"Planned",IF(Market_Data[[#This Row],[Completion Date]]&lt;TODAY(),"Completed","Ongoing")))</f>
        <v>Ongoing</v>
      </c>
      <c r="G367" s="324">
        <v>44599</v>
      </c>
      <c r="H367" s="324">
        <v>46387</v>
      </c>
      <c r="I367" s="325">
        <v>13700</v>
      </c>
      <c r="J36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67" s="133">
        <f>_xlfn.XLOOKUP(Market_Data[[#This Row],[Project Type]],tbl_assumptions_market[Project Category (RERA)],tbl_assumptions_market[Concrete Intensity
(m³ / sq m BUA)],"",0)</f>
        <v>0.18</v>
      </c>
      <c r="L367" s="134">
        <f>ROUND(Market_Data[[#This Row],[Estimated Built Up Area (sq m)]]*Market_Data[[#This Row],[Concrete Intensity
(m³ / sq m)]],0)</f>
        <v>2466</v>
      </c>
      <c r="M367" s="135">
        <f>_xlfn.XLOOKUP(Market_Data[[#This Row],[District]],tbl_district_price[District],tbl_district_price[Standard Price
(INR/m³)],"",0)</f>
        <v>6200</v>
      </c>
      <c r="N367" s="364">
        <f>IF(OR(Market_Data[[#This Row],[Estimated Concrete Demand (m³)]]="",Market_Data[[#This Row],[Avg Price per (₹ / m³)]]=""),"",Market_Data[[#This Row],[Estimated Concrete Demand (m³)]]*Market_Data[[#This Row],[Avg Price per (₹ / m³)]]/10000000)</f>
        <v>1.5289200000000001</v>
      </c>
      <c r="O367" s="97" t="str">
        <f>IF(Market_Data[[#This Row],[Estimated Concrete Demand (m³)]]="","",
IF(Market_Data[[#This Row],[Estimated Concrete Demand (m³)]]&lt;10000,"Small",
IF(Market_Data[[#This Row],[Estimated Concrete Demand (m³)]]&lt;25000,"Medium",
IF(Market_Data[[#This Row],[Estimated Concrete Demand (m³)]]&lt;100000,"Large","Mega"))))</f>
        <v>Small</v>
      </c>
      <c r="P367" s="287" t="str">
        <f t="shared" si="7"/>
        <v>GujRERA</v>
      </c>
    </row>
    <row r="368" spans="1:16">
      <c r="A368" s="129" t="str">
        <f>_xlfn.XLOOKUP(B368,$S$9:$S$14,$T$9:$T$14)&amp;"-"&amp;
IF(E368="Residential/Group Housing","RES",
IF(E368="Commercial","COM",
IF(E368="Mixed Development","MIX",
IF(E368="Plotted Development","PLT","OTH"))))
&amp;"-"&amp;TEXT(COUNTIFS($B$9:B368,B368,$E$9:E368,E368),"0000")</f>
        <v>SUR-PLT-0012</v>
      </c>
      <c r="B368" s="322" t="s">
        <v>34</v>
      </c>
      <c r="C368" s="322" t="s">
        <v>34</v>
      </c>
      <c r="D368" s="323" t="s">
        <v>555</v>
      </c>
      <c r="E368" s="132" t="s">
        <v>26</v>
      </c>
      <c r="F368" s="97" t="str">
        <f ca="1">IF(OR(Market_Data[[#This Row],[Start Date]]="",Market_Data[[#This Row],[Completion Date]]=""),"Needs Validation",IF(Market_Data[[#This Row],[Start Date]]&gt;TODAY(),"Planned",IF(Market_Data[[#This Row],[Completion Date]]&lt;TODAY(),"Completed","Ongoing")))</f>
        <v>Completed</v>
      </c>
      <c r="G368" s="324">
        <v>44770</v>
      </c>
      <c r="H368" s="324">
        <v>46112</v>
      </c>
      <c r="I368" s="325">
        <v>22100</v>
      </c>
      <c r="J36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68" s="133">
        <f>_xlfn.XLOOKUP(Market_Data[[#This Row],[Project Type]],tbl_assumptions_market[Project Category (RERA)],tbl_assumptions_market[Concrete Intensity
(m³ / sq m BUA)],"",0)</f>
        <v>0.18</v>
      </c>
      <c r="L368" s="134">
        <f>ROUND(Market_Data[[#This Row],[Estimated Built Up Area (sq m)]]*Market_Data[[#This Row],[Concrete Intensity
(m³ / sq m)]],0)</f>
        <v>3978</v>
      </c>
      <c r="M368" s="135">
        <f>_xlfn.XLOOKUP(Market_Data[[#This Row],[District]],tbl_district_price[District],tbl_district_price[Standard Price
(INR/m³)],"",0)</f>
        <v>6200</v>
      </c>
      <c r="N368" s="364">
        <f>IF(OR(Market_Data[[#This Row],[Estimated Concrete Demand (m³)]]="",Market_Data[[#This Row],[Avg Price per (₹ / m³)]]=""),"",Market_Data[[#This Row],[Estimated Concrete Demand (m³)]]*Market_Data[[#This Row],[Avg Price per (₹ / m³)]]/10000000)</f>
        <v>2.4663599999999999</v>
      </c>
      <c r="O368" s="97" t="str">
        <f>IF(Market_Data[[#This Row],[Estimated Concrete Demand (m³)]]="","",
IF(Market_Data[[#This Row],[Estimated Concrete Demand (m³)]]&lt;10000,"Small",
IF(Market_Data[[#This Row],[Estimated Concrete Demand (m³)]]&lt;25000,"Medium",
IF(Market_Data[[#This Row],[Estimated Concrete Demand (m³)]]&lt;100000,"Large","Mega"))))</f>
        <v>Small</v>
      </c>
      <c r="P368" s="287" t="str">
        <f t="shared" si="7"/>
        <v>GujRERA</v>
      </c>
    </row>
    <row r="369" spans="1:16">
      <c r="A369" s="129" t="str">
        <f>_xlfn.XLOOKUP(B369,$S$9:$S$14,$T$9:$T$14)&amp;"-"&amp;
IF(E369="Residential/Group Housing","RES",
IF(E369="Commercial","COM",
IF(E369="Mixed Development","MIX",
IF(E369="Plotted Development","PLT","OTH"))))
&amp;"-"&amp;TEXT(COUNTIFS($B$9:B369,B369,$E$9:E369,E369),"0000")</f>
        <v>SUR-MIX-0013</v>
      </c>
      <c r="B369" s="322" t="s">
        <v>34</v>
      </c>
      <c r="C369" s="322" t="s">
        <v>34</v>
      </c>
      <c r="D369" s="323" t="s">
        <v>556</v>
      </c>
      <c r="E369" s="132" t="s">
        <v>25</v>
      </c>
      <c r="F369" s="97" t="str">
        <f ca="1">IF(OR(Market_Data[[#This Row],[Start Date]]="",Market_Data[[#This Row],[Completion Date]]=""),"Needs Validation",IF(Market_Data[[#This Row],[Start Date]]&gt;TODAY(),"Planned",IF(Market_Data[[#This Row],[Completion Date]]&lt;TODAY(),"Completed","Ongoing")))</f>
        <v>Completed</v>
      </c>
      <c r="G369" s="324">
        <v>42136</v>
      </c>
      <c r="H369" s="324">
        <v>43800</v>
      </c>
      <c r="I369" s="325">
        <v>6000</v>
      </c>
      <c r="J36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369" s="133">
        <f>_xlfn.XLOOKUP(Market_Data[[#This Row],[Project Type]],tbl_assumptions_market[Project Category (RERA)],tbl_assumptions_market[Concrete Intensity
(m³ / sq m BUA)],"",0)</f>
        <v>0.42</v>
      </c>
      <c r="L369" s="134">
        <f>ROUND(Market_Data[[#This Row],[Estimated Built Up Area (sq m)]]*Market_Data[[#This Row],[Concrete Intensity
(m³ / sq m)]],0)</f>
        <v>2520</v>
      </c>
      <c r="M369" s="135">
        <f>_xlfn.XLOOKUP(Market_Data[[#This Row],[District]],tbl_district_price[District],tbl_district_price[Standard Price
(INR/m³)],"",0)</f>
        <v>6200</v>
      </c>
      <c r="N369" s="364">
        <f>IF(OR(Market_Data[[#This Row],[Estimated Concrete Demand (m³)]]="",Market_Data[[#This Row],[Avg Price per (₹ / m³)]]=""),"",Market_Data[[#This Row],[Estimated Concrete Demand (m³)]]*Market_Data[[#This Row],[Avg Price per (₹ / m³)]]/10000000)</f>
        <v>1.5624</v>
      </c>
      <c r="O369" s="97" t="str">
        <f>IF(Market_Data[[#This Row],[Estimated Concrete Demand (m³)]]="","",
IF(Market_Data[[#This Row],[Estimated Concrete Demand (m³)]]&lt;10000,"Small",
IF(Market_Data[[#This Row],[Estimated Concrete Demand (m³)]]&lt;25000,"Medium",
IF(Market_Data[[#This Row],[Estimated Concrete Demand (m³)]]&lt;100000,"Large","Mega"))))</f>
        <v>Small</v>
      </c>
      <c r="P369" s="287" t="str">
        <f t="shared" si="7"/>
        <v>GujRERA</v>
      </c>
    </row>
    <row r="370" spans="1:16">
      <c r="A370" s="129" t="str">
        <f>_xlfn.XLOOKUP(B370,$S$9:$S$14,$T$9:$T$14)&amp;"-"&amp;
IF(E370="Residential/Group Housing","RES",
IF(E370="Commercial","COM",
IF(E370="Mixed Development","MIX",
IF(E370="Plotted Development","PLT","OTH"))))
&amp;"-"&amp;TEXT(COUNTIFS($B$9:B370,B370,$E$9:E370,E370),"0000")</f>
        <v>SUR-RES-0017</v>
      </c>
      <c r="B370" s="322" t="s">
        <v>34</v>
      </c>
      <c r="C370" s="322" t="s">
        <v>34</v>
      </c>
      <c r="D370" s="323" t="s">
        <v>557</v>
      </c>
      <c r="E370" s="132" t="s">
        <v>24</v>
      </c>
      <c r="F370" s="97" t="str">
        <f ca="1">IF(OR(Market_Data[[#This Row],[Start Date]]="",Market_Data[[#This Row],[Completion Date]]=""),"Needs Validation",IF(Market_Data[[#This Row],[Start Date]]&gt;TODAY(),"Planned",IF(Market_Data[[#This Row],[Completion Date]]&lt;TODAY(),"Completed","Ongoing")))</f>
        <v>Completed</v>
      </c>
      <c r="G370" s="324">
        <v>40770</v>
      </c>
      <c r="H370" s="324">
        <v>43920</v>
      </c>
      <c r="I370" s="325">
        <v>19000</v>
      </c>
      <c r="J37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70" s="133">
        <f>_xlfn.XLOOKUP(Market_Data[[#This Row],[Project Type]],tbl_assumptions_market[Project Category (RERA)],tbl_assumptions_market[Concrete Intensity
(m³ / sq m BUA)],"",0)</f>
        <v>0.45</v>
      </c>
      <c r="L370" s="134">
        <f>ROUND(Market_Data[[#This Row],[Estimated Built Up Area (sq m)]]*Market_Data[[#This Row],[Concrete Intensity
(m³ / sq m)]],0)</f>
        <v>8550</v>
      </c>
      <c r="M370" s="135">
        <f>_xlfn.XLOOKUP(Market_Data[[#This Row],[District]],tbl_district_price[District],tbl_district_price[Standard Price
(INR/m³)],"",0)</f>
        <v>6200</v>
      </c>
      <c r="N370" s="364">
        <f>IF(OR(Market_Data[[#This Row],[Estimated Concrete Demand (m³)]]="",Market_Data[[#This Row],[Avg Price per (₹ / m³)]]=""),"",Market_Data[[#This Row],[Estimated Concrete Demand (m³)]]*Market_Data[[#This Row],[Avg Price per (₹ / m³)]]/10000000)</f>
        <v>5.3010000000000002</v>
      </c>
      <c r="O370" s="97" t="str">
        <f>IF(Market_Data[[#This Row],[Estimated Concrete Demand (m³)]]="","",
IF(Market_Data[[#This Row],[Estimated Concrete Demand (m³)]]&lt;10000,"Small",
IF(Market_Data[[#This Row],[Estimated Concrete Demand (m³)]]&lt;25000,"Medium",
IF(Market_Data[[#This Row],[Estimated Concrete Demand (m³)]]&lt;100000,"Large","Mega"))))</f>
        <v>Small</v>
      </c>
      <c r="P370" s="287" t="str">
        <f t="shared" si="7"/>
        <v>GujRERA</v>
      </c>
    </row>
    <row r="371" spans="1:16">
      <c r="A371" s="129" t="str">
        <f>_xlfn.XLOOKUP(B371,$S$9:$S$14,$T$9:$T$14)&amp;"-"&amp;
IF(E371="Residential/Group Housing","RES",
IF(E371="Commercial","COM",
IF(E371="Mixed Development","MIX",
IF(E371="Plotted Development","PLT","OTH"))))
&amp;"-"&amp;TEXT(COUNTIFS($B$9:B371,B371,$E$9:E371,E371),"0000")</f>
        <v>SUR-RES-0018</v>
      </c>
      <c r="B371" s="322" t="s">
        <v>34</v>
      </c>
      <c r="C371" s="322" t="s">
        <v>34</v>
      </c>
      <c r="D371" s="323" t="s">
        <v>558</v>
      </c>
      <c r="E371" s="132" t="s">
        <v>24</v>
      </c>
      <c r="F371" s="97" t="str">
        <f ca="1">IF(OR(Market_Data[[#This Row],[Start Date]]="",Market_Data[[#This Row],[Completion Date]]=""),"Needs Validation",IF(Market_Data[[#This Row],[Start Date]]&gt;TODAY(),"Planned",IF(Market_Data[[#This Row],[Completion Date]]&lt;TODAY(),"Completed","Ongoing")))</f>
        <v>Completed</v>
      </c>
      <c r="G371" s="324">
        <v>43132</v>
      </c>
      <c r="H371" s="324">
        <v>44469</v>
      </c>
      <c r="I371" s="325">
        <v>49100</v>
      </c>
      <c r="J37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71" s="133">
        <f>_xlfn.XLOOKUP(Market_Data[[#This Row],[Project Type]],tbl_assumptions_market[Project Category (RERA)],tbl_assumptions_market[Concrete Intensity
(m³ / sq m BUA)],"",0)</f>
        <v>0.45</v>
      </c>
      <c r="L371" s="134">
        <f>ROUND(Market_Data[[#This Row],[Estimated Built Up Area (sq m)]]*Market_Data[[#This Row],[Concrete Intensity
(m³ / sq m)]],0)</f>
        <v>22095</v>
      </c>
      <c r="M371" s="135">
        <f>_xlfn.XLOOKUP(Market_Data[[#This Row],[District]],tbl_district_price[District],tbl_district_price[Standard Price
(INR/m³)],"",0)</f>
        <v>6200</v>
      </c>
      <c r="N371" s="364">
        <f>IF(OR(Market_Data[[#This Row],[Estimated Concrete Demand (m³)]]="",Market_Data[[#This Row],[Avg Price per (₹ / m³)]]=""),"",Market_Data[[#This Row],[Estimated Concrete Demand (m³)]]*Market_Data[[#This Row],[Avg Price per (₹ / m³)]]/10000000)</f>
        <v>13.6989</v>
      </c>
      <c r="O371" s="97" t="str">
        <f>IF(Market_Data[[#This Row],[Estimated Concrete Demand (m³)]]="","",
IF(Market_Data[[#This Row],[Estimated Concrete Demand (m³)]]&lt;10000,"Small",
IF(Market_Data[[#This Row],[Estimated Concrete Demand (m³)]]&lt;25000,"Medium",
IF(Market_Data[[#This Row],[Estimated Concrete Demand (m³)]]&lt;100000,"Large","Mega"))))</f>
        <v>Medium</v>
      </c>
      <c r="P371" s="287" t="str">
        <f t="shared" si="7"/>
        <v>GujRERA</v>
      </c>
    </row>
    <row r="372" spans="1:16">
      <c r="A372" s="129" t="str">
        <f>_xlfn.XLOOKUP(B372,$S$9:$S$14,$T$9:$T$14)&amp;"-"&amp;
IF(E372="Residential/Group Housing","RES",
IF(E372="Commercial","COM",
IF(E372="Mixed Development","MIX",
IF(E372="Plotted Development","PLT","OTH"))))
&amp;"-"&amp;TEXT(COUNTIFS($B$9:B372,B372,$E$9:E372,E372),"0000")</f>
        <v>SUR-COM-0011</v>
      </c>
      <c r="B372" s="322" t="s">
        <v>34</v>
      </c>
      <c r="C372" s="322" t="s">
        <v>34</v>
      </c>
      <c r="D372" s="323" t="s">
        <v>559</v>
      </c>
      <c r="E372" s="132" t="s">
        <v>23</v>
      </c>
      <c r="F372" s="97" t="str">
        <f ca="1">IF(OR(Market_Data[[#This Row],[Start Date]]="",Market_Data[[#This Row],[Completion Date]]=""),"Needs Validation",IF(Market_Data[[#This Row],[Start Date]]&gt;TODAY(),"Planned",IF(Market_Data[[#This Row],[Completion Date]]&lt;TODAY(),"Completed","Ongoing")))</f>
        <v>Completed</v>
      </c>
      <c r="G372" s="324">
        <v>42366</v>
      </c>
      <c r="H372" s="324">
        <v>43738</v>
      </c>
      <c r="I372" s="325">
        <v>16000</v>
      </c>
      <c r="J37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72" s="133">
        <f>_xlfn.XLOOKUP(Market_Data[[#This Row],[Project Type]],tbl_assumptions_market[Project Category (RERA)],tbl_assumptions_market[Concrete Intensity
(m³ / sq m BUA)],"",0)</f>
        <v>0.5</v>
      </c>
      <c r="L372" s="134">
        <f>ROUND(Market_Data[[#This Row],[Estimated Built Up Area (sq m)]]*Market_Data[[#This Row],[Concrete Intensity
(m³ / sq m)]],0)</f>
        <v>8000</v>
      </c>
      <c r="M372" s="135">
        <f>_xlfn.XLOOKUP(Market_Data[[#This Row],[District]],tbl_district_price[District],tbl_district_price[Standard Price
(INR/m³)],"",0)</f>
        <v>6200</v>
      </c>
      <c r="N372" s="364">
        <f>IF(OR(Market_Data[[#This Row],[Estimated Concrete Demand (m³)]]="",Market_Data[[#This Row],[Avg Price per (₹ / m³)]]=""),"",Market_Data[[#This Row],[Estimated Concrete Demand (m³)]]*Market_Data[[#This Row],[Avg Price per (₹ / m³)]]/10000000)</f>
        <v>4.96</v>
      </c>
      <c r="O372" s="97" t="str">
        <f>IF(Market_Data[[#This Row],[Estimated Concrete Demand (m³)]]="","",
IF(Market_Data[[#This Row],[Estimated Concrete Demand (m³)]]&lt;10000,"Small",
IF(Market_Data[[#This Row],[Estimated Concrete Demand (m³)]]&lt;25000,"Medium",
IF(Market_Data[[#This Row],[Estimated Concrete Demand (m³)]]&lt;100000,"Large","Mega"))))</f>
        <v>Small</v>
      </c>
      <c r="P372" s="287" t="str">
        <f t="shared" si="7"/>
        <v>GujRERA</v>
      </c>
    </row>
    <row r="373" spans="1:16">
      <c r="A373" s="129" t="str">
        <f>_xlfn.XLOOKUP(B373,$S$9:$S$14,$T$9:$T$14)&amp;"-"&amp;
IF(E373="Residential/Group Housing","RES",
IF(E373="Commercial","COM",
IF(E373="Mixed Development","MIX",
IF(E373="Plotted Development","PLT","OTH"))))
&amp;"-"&amp;TEXT(COUNTIFS($B$9:B373,B373,$E$9:E373,E373),"0000")</f>
        <v>SUR-RES-0019</v>
      </c>
      <c r="B373" s="322" t="s">
        <v>34</v>
      </c>
      <c r="C373" s="322" t="s">
        <v>34</v>
      </c>
      <c r="D373" s="323" t="s">
        <v>560</v>
      </c>
      <c r="E373" s="132" t="s">
        <v>24</v>
      </c>
      <c r="F373" s="97" t="str">
        <f ca="1">IF(OR(Market_Data[[#This Row],[Start Date]]="",Market_Data[[#This Row],[Completion Date]]=""),"Needs Validation",IF(Market_Data[[#This Row],[Start Date]]&gt;TODAY(),"Planned",IF(Market_Data[[#This Row],[Completion Date]]&lt;TODAY(),"Completed","Ongoing")))</f>
        <v>Completed</v>
      </c>
      <c r="G373" s="324">
        <v>43258</v>
      </c>
      <c r="H373" s="324">
        <v>45199</v>
      </c>
      <c r="I373" s="325">
        <v>39000</v>
      </c>
      <c r="J37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73" s="133">
        <f>_xlfn.XLOOKUP(Market_Data[[#This Row],[Project Type]],tbl_assumptions_market[Project Category (RERA)],tbl_assumptions_market[Concrete Intensity
(m³ / sq m BUA)],"",0)</f>
        <v>0.45</v>
      </c>
      <c r="L373" s="134">
        <f>ROUND(Market_Data[[#This Row],[Estimated Built Up Area (sq m)]]*Market_Data[[#This Row],[Concrete Intensity
(m³ / sq m)]],0)</f>
        <v>17550</v>
      </c>
      <c r="M373" s="135">
        <f>_xlfn.XLOOKUP(Market_Data[[#This Row],[District]],tbl_district_price[District],tbl_district_price[Standard Price
(INR/m³)],"",0)</f>
        <v>6200</v>
      </c>
      <c r="N373" s="364">
        <f>IF(OR(Market_Data[[#This Row],[Estimated Concrete Demand (m³)]]="",Market_Data[[#This Row],[Avg Price per (₹ / m³)]]=""),"",Market_Data[[#This Row],[Estimated Concrete Demand (m³)]]*Market_Data[[#This Row],[Avg Price per (₹ / m³)]]/10000000)</f>
        <v>10.881</v>
      </c>
      <c r="O373" s="97" t="str">
        <f>IF(Market_Data[[#This Row],[Estimated Concrete Demand (m³)]]="","",
IF(Market_Data[[#This Row],[Estimated Concrete Demand (m³)]]&lt;10000,"Small",
IF(Market_Data[[#This Row],[Estimated Concrete Demand (m³)]]&lt;25000,"Medium",
IF(Market_Data[[#This Row],[Estimated Concrete Demand (m³)]]&lt;100000,"Large","Mega"))))</f>
        <v>Medium</v>
      </c>
      <c r="P373" s="287" t="str">
        <f t="shared" si="7"/>
        <v>GujRERA</v>
      </c>
    </row>
    <row r="374" spans="1:16">
      <c r="A374" s="129" t="str">
        <f>_xlfn.XLOOKUP(B374,$S$9:$S$14,$T$9:$T$14)&amp;"-"&amp;
IF(E374="Residential/Group Housing","RES",
IF(E374="Commercial","COM",
IF(E374="Mixed Development","MIX",
IF(E374="Plotted Development","PLT","OTH"))))
&amp;"-"&amp;TEXT(COUNTIFS($B$9:B374,B374,$E$9:E374,E374),"0000")</f>
        <v>SUR-RES-0020</v>
      </c>
      <c r="B374" s="322" t="s">
        <v>34</v>
      </c>
      <c r="C374" s="322" t="s">
        <v>34</v>
      </c>
      <c r="D374" s="323" t="s">
        <v>561</v>
      </c>
      <c r="E374" s="132" t="s">
        <v>24</v>
      </c>
      <c r="F374" s="97" t="str">
        <f ca="1">IF(OR(Market_Data[[#This Row],[Start Date]]="",Market_Data[[#This Row],[Completion Date]]=""),"Needs Validation",IF(Market_Data[[#This Row],[Start Date]]&gt;TODAY(),"Planned",IF(Market_Data[[#This Row],[Completion Date]]&lt;TODAY(),"Completed","Ongoing")))</f>
        <v>Ongoing</v>
      </c>
      <c r="G374" s="324">
        <v>45029</v>
      </c>
      <c r="H374" s="324">
        <v>47118</v>
      </c>
      <c r="I374" s="325">
        <v>42800</v>
      </c>
      <c r="J37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74" s="133">
        <f>_xlfn.XLOOKUP(Market_Data[[#This Row],[Project Type]],tbl_assumptions_market[Project Category (RERA)],tbl_assumptions_market[Concrete Intensity
(m³ / sq m BUA)],"",0)</f>
        <v>0.45</v>
      </c>
      <c r="L374" s="134">
        <f>ROUND(Market_Data[[#This Row],[Estimated Built Up Area (sq m)]]*Market_Data[[#This Row],[Concrete Intensity
(m³ / sq m)]],0)</f>
        <v>19260</v>
      </c>
      <c r="M374" s="135">
        <f>_xlfn.XLOOKUP(Market_Data[[#This Row],[District]],tbl_district_price[District],tbl_district_price[Standard Price
(INR/m³)],"",0)</f>
        <v>6200</v>
      </c>
      <c r="N374" s="364">
        <f>IF(OR(Market_Data[[#This Row],[Estimated Concrete Demand (m³)]]="",Market_Data[[#This Row],[Avg Price per (₹ / m³)]]=""),"",Market_Data[[#This Row],[Estimated Concrete Demand (m³)]]*Market_Data[[#This Row],[Avg Price per (₹ / m³)]]/10000000)</f>
        <v>11.9412</v>
      </c>
      <c r="O374" s="97" t="str">
        <f>IF(Market_Data[[#This Row],[Estimated Concrete Demand (m³)]]="","",
IF(Market_Data[[#This Row],[Estimated Concrete Demand (m³)]]&lt;10000,"Small",
IF(Market_Data[[#This Row],[Estimated Concrete Demand (m³)]]&lt;25000,"Medium",
IF(Market_Data[[#This Row],[Estimated Concrete Demand (m³)]]&lt;100000,"Large","Mega"))))</f>
        <v>Medium</v>
      </c>
      <c r="P374" s="287" t="str">
        <f t="shared" si="7"/>
        <v>GujRERA</v>
      </c>
    </row>
    <row r="375" spans="1:16">
      <c r="A375" s="129" t="str">
        <f>_xlfn.XLOOKUP(B375,$S$9:$S$14,$T$9:$T$14)&amp;"-"&amp;
IF(E375="Residential/Group Housing","RES",
IF(E375="Commercial","COM",
IF(E375="Mixed Development","MIX",
IF(E375="Plotted Development","PLT","OTH"))))
&amp;"-"&amp;TEXT(COUNTIFS($B$9:B375,B375,$E$9:E375,E375),"0000")</f>
        <v>SUR-COM-0012</v>
      </c>
      <c r="B375" s="322" t="s">
        <v>34</v>
      </c>
      <c r="C375" s="322" t="s">
        <v>34</v>
      </c>
      <c r="D375" s="323" t="s">
        <v>562</v>
      </c>
      <c r="E375" s="132" t="s">
        <v>23</v>
      </c>
      <c r="F375" s="97" t="str">
        <f ca="1">IF(OR(Market_Data[[#This Row],[Start Date]]="",Market_Data[[#This Row],[Completion Date]]=""),"Needs Validation",IF(Market_Data[[#This Row],[Start Date]]&gt;TODAY(),"Planned",IF(Market_Data[[#This Row],[Completion Date]]&lt;TODAY(),"Completed","Ongoing")))</f>
        <v>Completed</v>
      </c>
      <c r="G375" s="324">
        <v>43369</v>
      </c>
      <c r="H375" s="324">
        <v>45747</v>
      </c>
      <c r="I375" s="325">
        <v>1300</v>
      </c>
      <c r="J37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75" s="133">
        <f>_xlfn.XLOOKUP(Market_Data[[#This Row],[Project Type]],tbl_assumptions_market[Project Category (RERA)],tbl_assumptions_market[Concrete Intensity
(m³ / sq m BUA)],"",0)</f>
        <v>0.5</v>
      </c>
      <c r="L375" s="134">
        <f>ROUND(Market_Data[[#This Row],[Estimated Built Up Area (sq m)]]*Market_Data[[#This Row],[Concrete Intensity
(m³ / sq m)]],0)</f>
        <v>650</v>
      </c>
      <c r="M375" s="135">
        <f>_xlfn.XLOOKUP(Market_Data[[#This Row],[District]],tbl_district_price[District],tbl_district_price[Standard Price
(INR/m³)],"",0)</f>
        <v>6200</v>
      </c>
      <c r="N375" s="364">
        <f>IF(OR(Market_Data[[#This Row],[Estimated Concrete Demand (m³)]]="",Market_Data[[#This Row],[Avg Price per (₹ / m³)]]=""),"",Market_Data[[#This Row],[Estimated Concrete Demand (m³)]]*Market_Data[[#This Row],[Avg Price per (₹ / m³)]]/10000000)</f>
        <v>0.40300000000000002</v>
      </c>
      <c r="O375" s="97" t="str">
        <f>IF(Market_Data[[#This Row],[Estimated Concrete Demand (m³)]]="","",
IF(Market_Data[[#This Row],[Estimated Concrete Demand (m³)]]&lt;10000,"Small",
IF(Market_Data[[#This Row],[Estimated Concrete Demand (m³)]]&lt;25000,"Medium",
IF(Market_Data[[#This Row],[Estimated Concrete Demand (m³)]]&lt;100000,"Large","Mega"))))</f>
        <v>Small</v>
      </c>
      <c r="P375" s="287" t="str">
        <f t="shared" si="7"/>
        <v>GujRERA</v>
      </c>
    </row>
    <row r="376" spans="1:16">
      <c r="A376" s="129" t="str">
        <f>_xlfn.XLOOKUP(B376,$S$9:$S$14,$T$9:$T$14)&amp;"-"&amp;
IF(E376="Residential/Group Housing","RES",
IF(E376="Commercial","COM",
IF(E376="Mixed Development","MIX",
IF(E376="Plotted Development","PLT","OTH"))))
&amp;"-"&amp;TEXT(COUNTIFS($B$9:B376,B376,$E$9:E376,E376),"0000")</f>
        <v>SUR-COM-0013</v>
      </c>
      <c r="B376" s="322" t="s">
        <v>34</v>
      </c>
      <c r="C376" s="322" t="s">
        <v>34</v>
      </c>
      <c r="D376" s="323" t="s">
        <v>563</v>
      </c>
      <c r="E376" s="132" t="s">
        <v>23</v>
      </c>
      <c r="F376" s="97" t="str">
        <f ca="1">IF(OR(Market_Data[[#This Row],[Start Date]]="",Market_Data[[#This Row],[Completion Date]]=""),"Needs Validation",IF(Market_Data[[#This Row],[Start Date]]&gt;TODAY(),"Planned",IF(Market_Data[[#This Row],[Completion Date]]&lt;TODAY(),"Completed","Ongoing")))</f>
        <v>Completed</v>
      </c>
      <c r="G376" s="324">
        <v>43150</v>
      </c>
      <c r="H376" s="324">
        <v>44712</v>
      </c>
      <c r="I376" s="325">
        <v>36500</v>
      </c>
      <c r="J37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376" s="133">
        <f>_xlfn.XLOOKUP(Market_Data[[#This Row],[Project Type]],tbl_assumptions_market[Project Category (RERA)],tbl_assumptions_market[Concrete Intensity
(m³ / sq m BUA)],"",0)</f>
        <v>0.5</v>
      </c>
      <c r="L376" s="134">
        <f>ROUND(Market_Data[[#This Row],[Estimated Built Up Area (sq m)]]*Market_Data[[#This Row],[Concrete Intensity
(m³ / sq m)]],0)</f>
        <v>18250</v>
      </c>
      <c r="M376" s="135">
        <f>_xlfn.XLOOKUP(Market_Data[[#This Row],[District]],tbl_district_price[District],tbl_district_price[Standard Price
(INR/m³)],"",0)</f>
        <v>6200</v>
      </c>
      <c r="N376" s="364">
        <f>IF(OR(Market_Data[[#This Row],[Estimated Concrete Demand (m³)]]="",Market_Data[[#This Row],[Avg Price per (₹ / m³)]]=""),"",Market_Data[[#This Row],[Estimated Concrete Demand (m³)]]*Market_Data[[#This Row],[Avg Price per (₹ / m³)]]/10000000)</f>
        <v>11.315</v>
      </c>
      <c r="O376" s="97" t="str">
        <f>IF(Market_Data[[#This Row],[Estimated Concrete Demand (m³)]]="","",
IF(Market_Data[[#This Row],[Estimated Concrete Demand (m³)]]&lt;10000,"Small",
IF(Market_Data[[#This Row],[Estimated Concrete Demand (m³)]]&lt;25000,"Medium",
IF(Market_Data[[#This Row],[Estimated Concrete Demand (m³)]]&lt;100000,"Large","Mega"))))</f>
        <v>Medium</v>
      </c>
      <c r="P376" s="287" t="str">
        <f t="shared" si="7"/>
        <v>GujRERA</v>
      </c>
    </row>
    <row r="377" spans="1:16">
      <c r="A377" s="129" t="str">
        <f>_xlfn.XLOOKUP(B377,$S$9:$S$14,$T$9:$T$14)&amp;"-"&amp;
IF(E377="Residential/Group Housing","RES",
IF(E377="Commercial","COM",
IF(E377="Mixed Development","MIX",
IF(E377="Plotted Development","PLT","OTH"))))
&amp;"-"&amp;TEXT(COUNTIFS($B$9:B377,B377,$E$9:E377,E377),"0000")</f>
        <v>SUR-MIX-0014</v>
      </c>
      <c r="B377" s="322" t="s">
        <v>34</v>
      </c>
      <c r="C377" s="322" t="s">
        <v>34</v>
      </c>
      <c r="D377" s="323" t="s">
        <v>564</v>
      </c>
      <c r="E377" s="132" t="s">
        <v>25</v>
      </c>
      <c r="F377" s="97" t="str">
        <f ca="1">IF(OR(Market_Data[[#This Row],[Start Date]]="",Market_Data[[#This Row],[Completion Date]]=""),"Needs Validation",IF(Market_Data[[#This Row],[Start Date]]&gt;TODAY(),"Planned",IF(Market_Data[[#This Row],[Completion Date]]&lt;TODAY(),"Completed","Ongoing")))</f>
        <v>Ongoing</v>
      </c>
      <c r="G377" s="324">
        <v>46118</v>
      </c>
      <c r="H377" s="324">
        <v>48213</v>
      </c>
      <c r="I377" s="325">
        <v>45600</v>
      </c>
      <c r="J37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77" s="133">
        <f>_xlfn.XLOOKUP(Market_Data[[#This Row],[Project Type]],tbl_assumptions_market[Project Category (RERA)],tbl_assumptions_market[Concrete Intensity
(m³ / sq m BUA)],"",0)</f>
        <v>0.42</v>
      </c>
      <c r="L377" s="134">
        <f>ROUND(Market_Data[[#This Row],[Estimated Built Up Area (sq m)]]*Market_Data[[#This Row],[Concrete Intensity
(m³ / sq m)]],0)</f>
        <v>19152</v>
      </c>
      <c r="M377" s="135">
        <f>_xlfn.XLOOKUP(Market_Data[[#This Row],[District]],tbl_district_price[District],tbl_district_price[Standard Price
(INR/m³)],"",0)</f>
        <v>6200</v>
      </c>
      <c r="N377" s="364">
        <f>IF(OR(Market_Data[[#This Row],[Estimated Concrete Demand (m³)]]="",Market_Data[[#This Row],[Avg Price per (₹ / m³)]]=""),"",Market_Data[[#This Row],[Estimated Concrete Demand (m³)]]*Market_Data[[#This Row],[Avg Price per (₹ / m³)]]/10000000)</f>
        <v>11.87424</v>
      </c>
      <c r="O377" s="97" t="str">
        <f>IF(Market_Data[[#This Row],[Estimated Concrete Demand (m³)]]="","",
IF(Market_Data[[#This Row],[Estimated Concrete Demand (m³)]]&lt;10000,"Small",
IF(Market_Data[[#This Row],[Estimated Concrete Demand (m³)]]&lt;25000,"Medium",
IF(Market_Data[[#This Row],[Estimated Concrete Demand (m³)]]&lt;100000,"Large","Mega"))))</f>
        <v>Medium</v>
      </c>
      <c r="P377" s="287" t="str">
        <f t="shared" si="7"/>
        <v>GujRERA</v>
      </c>
    </row>
    <row r="378" spans="1:16">
      <c r="A378" s="129" t="str">
        <f>_xlfn.XLOOKUP(B378,$S$9:$S$14,$T$9:$T$14)&amp;"-"&amp;
IF(E378="Residential/Group Housing","RES",
IF(E378="Commercial","COM",
IF(E378="Mixed Development","MIX",
IF(E378="Plotted Development","PLT","OTH"))))
&amp;"-"&amp;TEXT(COUNTIFS($B$9:B378,B378,$E$9:E378,E378),"0000")</f>
        <v>SUR-COM-0014</v>
      </c>
      <c r="B378" s="322" t="s">
        <v>34</v>
      </c>
      <c r="C378" s="322" t="s">
        <v>34</v>
      </c>
      <c r="D378" s="323" t="s">
        <v>565</v>
      </c>
      <c r="E378" s="132" t="s">
        <v>23</v>
      </c>
      <c r="F378" s="97" t="str">
        <f ca="1">IF(OR(Market_Data[[#This Row],[Start Date]]="",Market_Data[[#This Row],[Completion Date]]=""),"Needs Validation",IF(Market_Data[[#This Row],[Start Date]]&gt;TODAY(),"Planned",IF(Market_Data[[#This Row],[Completion Date]]&lt;TODAY(),"Completed","Ongoing")))</f>
        <v>Ongoing</v>
      </c>
      <c r="G378" s="324">
        <v>45292</v>
      </c>
      <c r="H378" s="324">
        <v>47118</v>
      </c>
      <c r="I378" s="325">
        <v>47900</v>
      </c>
      <c r="J37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378" s="133">
        <f>_xlfn.XLOOKUP(Market_Data[[#This Row],[Project Type]],tbl_assumptions_market[Project Category (RERA)],tbl_assumptions_market[Concrete Intensity
(m³ / sq m BUA)],"",0)</f>
        <v>0.5</v>
      </c>
      <c r="L378" s="134">
        <f>ROUND(Market_Data[[#This Row],[Estimated Built Up Area (sq m)]]*Market_Data[[#This Row],[Concrete Intensity
(m³ / sq m)]],0)</f>
        <v>23950</v>
      </c>
      <c r="M378" s="135">
        <f>_xlfn.XLOOKUP(Market_Data[[#This Row],[District]],tbl_district_price[District],tbl_district_price[Standard Price
(INR/m³)],"",0)</f>
        <v>6200</v>
      </c>
      <c r="N378" s="364">
        <f>IF(OR(Market_Data[[#This Row],[Estimated Concrete Demand (m³)]]="",Market_Data[[#This Row],[Avg Price per (₹ / m³)]]=""),"",Market_Data[[#This Row],[Estimated Concrete Demand (m³)]]*Market_Data[[#This Row],[Avg Price per (₹ / m³)]]/10000000)</f>
        <v>14.849</v>
      </c>
      <c r="O378" s="97" t="str">
        <f>IF(Market_Data[[#This Row],[Estimated Concrete Demand (m³)]]="","",
IF(Market_Data[[#This Row],[Estimated Concrete Demand (m³)]]&lt;10000,"Small",
IF(Market_Data[[#This Row],[Estimated Concrete Demand (m³)]]&lt;25000,"Medium",
IF(Market_Data[[#This Row],[Estimated Concrete Demand (m³)]]&lt;100000,"Large","Mega"))))</f>
        <v>Medium</v>
      </c>
      <c r="P378" s="287" t="str">
        <f t="shared" si="7"/>
        <v>GujRERA</v>
      </c>
    </row>
    <row r="379" spans="1:16">
      <c r="A379" s="129" t="str">
        <f>_xlfn.XLOOKUP(B379,$S$9:$S$14,$T$9:$T$14)&amp;"-"&amp;
IF(E379="Residential/Group Housing","RES",
IF(E379="Commercial","COM",
IF(E379="Mixed Development","MIX",
IF(E379="Plotted Development","PLT","OTH"))))
&amp;"-"&amp;TEXT(COUNTIFS($B$9:B379,B379,$E$9:E379,E379),"0000")</f>
        <v>SUR-RES-0021</v>
      </c>
      <c r="B379" s="322" t="s">
        <v>34</v>
      </c>
      <c r="C379" s="322" t="s">
        <v>34</v>
      </c>
      <c r="D379" s="323" t="s">
        <v>566</v>
      </c>
      <c r="E379" s="132" t="s">
        <v>24</v>
      </c>
      <c r="F379" s="97" t="str">
        <f ca="1">IF(OR(Market_Data[[#This Row],[Start Date]]="",Market_Data[[#This Row],[Completion Date]]=""),"Needs Validation",IF(Market_Data[[#This Row],[Start Date]]&gt;TODAY(),"Planned",IF(Market_Data[[#This Row],[Completion Date]]&lt;TODAY(),"Completed","Ongoing")))</f>
        <v>Ongoing</v>
      </c>
      <c r="G379" s="324">
        <v>44849</v>
      </c>
      <c r="H379" s="324">
        <v>47848</v>
      </c>
      <c r="I379" s="325">
        <v>57800</v>
      </c>
      <c r="J37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79" s="133">
        <f>_xlfn.XLOOKUP(Market_Data[[#This Row],[Project Type]],tbl_assumptions_market[Project Category (RERA)],tbl_assumptions_market[Concrete Intensity
(m³ / sq m BUA)],"",0)</f>
        <v>0.45</v>
      </c>
      <c r="L379" s="134">
        <f>ROUND(Market_Data[[#This Row],[Estimated Built Up Area (sq m)]]*Market_Data[[#This Row],[Concrete Intensity
(m³ / sq m)]],0)</f>
        <v>26010</v>
      </c>
      <c r="M379" s="135">
        <f>_xlfn.XLOOKUP(Market_Data[[#This Row],[District]],tbl_district_price[District],tbl_district_price[Standard Price
(INR/m³)],"",0)</f>
        <v>6200</v>
      </c>
      <c r="N379" s="364">
        <f>IF(OR(Market_Data[[#This Row],[Estimated Concrete Demand (m³)]]="",Market_Data[[#This Row],[Avg Price per (₹ / m³)]]=""),"",Market_Data[[#This Row],[Estimated Concrete Demand (m³)]]*Market_Data[[#This Row],[Avg Price per (₹ / m³)]]/10000000)</f>
        <v>16.126200000000001</v>
      </c>
      <c r="O379" s="97" t="str">
        <f>IF(Market_Data[[#This Row],[Estimated Concrete Demand (m³)]]="","",
IF(Market_Data[[#This Row],[Estimated Concrete Demand (m³)]]&lt;10000,"Small",
IF(Market_Data[[#This Row],[Estimated Concrete Demand (m³)]]&lt;25000,"Medium",
IF(Market_Data[[#This Row],[Estimated Concrete Demand (m³)]]&lt;100000,"Large","Mega"))))</f>
        <v>Large</v>
      </c>
      <c r="P379" s="287" t="str">
        <f t="shared" si="7"/>
        <v>GujRERA</v>
      </c>
    </row>
    <row r="380" spans="1:16">
      <c r="A380" s="129" t="str">
        <f>_xlfn.XLOOKUP(B380,$S$9:$S$14,$T$9:$T$14)&amp;"-"&amp;
IF(E380="Residential/Group Housing","RES",
IF(E380="Commercial","COM",
IF(E380="Mixed Development","MIX",
IF(E380="Plotted Development","PLT","OTH"))))
&amp;"-"&amp;TEXT(COUNTIFS($B$9:B380,B380,$E$9:E380,E380),"0000")</f>
        <v>SUR-PLT-0013</v>
      </c>
      <c r="B380" s="322" t="s">
        <v>34</v>
      </c>
      <c r="C380" s="322" t="s">
        <v>34</v>
      </c>
      <c r="D380" s="323" t="s">
        <v>567</v>
      </c>
      <c r="E380" s="132" t="s">
        <v>26</v>
      </c>
      <c r="F380" s="97" t="str">
        <f ca="1">IF(OR(Market_Data[[#This Row],[Start Date]]="",Market_Data[[#This Row],[Completion Date]]=""),"Needs Validation",IF(Market_Data[[#This Row],[Start Date]]&gt;TODAY(),"Planned",IF(Market_Data[[#This Row],[Completion Date]]&lt;TODAY(),"Completed","Ongoing")))</f>
        <v>Ongoing</v>
      </c>
      <c r="G380" s="324">
        <v>45894</v>
      </c>
      <c r="H380" s="324">
        <v>47118</v>
      </c>
      <c r="I380" s="325">
        <v>8400</v>
      </c>
      <c r="J38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80" s="133">
        <f>_xlfn.XLOOKUP(Market_Data[[#This Row],[Project Type]],tbl_assumptions_market[Project Category (RERA)],tbl_assumptions_market[Concrete Intensity
(m³ / sq m BUA)],"",0)</f>
        <v>0.18</v>
      </c>
      <c r="L380" s="134">
        <f>ROUND(Market_Data[[#This Row],[Estimated Built Up Area (sq m)]]*Market_Data[[#This Row],[Concrete Intensity
(m³ / sq m)]],0)</f>
        <v>1512</v>
      </c>
      <c r="M380" s="135">
        <f>_xlfn.XLOOKUP(Market_Data[[#This Row],[District]],tbl_district_price[District],tbl_district_price[Standard Price
(INR/m³)],"",0)</f>
        <v>6200</v>
      </c>
      <c r="N380" s="364">
        <f>IF(OR(Market_Data[[#This Row],[Estimated Concrete Demand (m³)]]="",Market_Data[[#This Row],[Avg Price per (₹ / m³)]]=""),"",Market_Data[[#This Row],[Estimated Concrete Demand (m³)]]*Market_Data[[#This Row],[Avg Price per (₹ / m³)]]/10000000)</f>
        <v>0.93744000000000005</v>
      </c>
      <c r="O380" s="97" t="str">
        <f>IF(Market_Data[[#This Row],[Estimated Concrete Demand (m³)]]="","",
IF(Market_Data[[#This Row],[Estimated Concrete Demand (m³)]]&lt;10000,"Small",
IF(Market_Data[[#This Row],[Estimated Concrete Demand (m³)]]&lt;25000,"Medium",
IF(Market_Data[[#This Row],[Estimated Concrete Demand (m³)]]&lt;100000,"Large","Mega"))))</f>
        <v>Small</v>
      </c>
      <c r="P380" s="287" t="str">
        <f t="shared" si="7"/>
        <v>GujRERA</v>
      </c>
    </row>
    <row r="381" spans="1:16">
      <c r="A381" s="129" t="str">
        <f>_xlfn.XLOOKUP(B381,$S$9:$S$14,$T$9:$T$14)&amp;"-"&amp;
IF(E381="Residential/Group Housing","RES",
IF(E381="Commercial","COM",
IF(E381="Mixed Development","MIX",
IF(E381="Plotted Development","PLT","OTH"))))
&amp;"-"&amp;TEXT(COUNTIFS($B$9:B381,B381,$E$9:E381,E381),"0000")</f>
        <v>SUR-PLT-0014</v>
      </c>
      <c r="B381" s="322" t="s">
        <v>34</v>
      </c>
      <c r="C381" s="322" t="s">
        <v>34</v>
      </c>
      <c r="D381" s="323" t="s">
        <v>568</v>
      </c>
      <c r="E381" s="132" t="s">
        <v>26</v>
      </c>
      <c r="F381" s="97" t="str">
        <f ca="1">IF(OR(Market_Data[[#This Row],[Start Date]]="",Market_Data[[#This Row],[Completion Date]]=""),"Needs Validation",IF(Market_Data[[#This Row],[Start Date]]&gt;TODAY(),"Planned",IF(Market_Data[[#This Row],[Completion Date]]&lt;TODAY(),"Completed","Ongoing")))</f>
        <v>Ongoing</v>
      </c>
      <c r="G381" s="324">
        <v>44959</v>
      </c>
      <c r="H381" s="324">
        <v>46752</v>
      </c>
      <c r="I381" s="325">
        <v>16400</v>
      </c>
      <c r="J38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81" s="133">
        <f>_xlfn.XLOOKUP(Market_Data[[#This Row],[Project Type]],tbl_assumptions_market[Project Category (RERA)],tbl_assumptions_market[Concrete Intensity
(m³ / sq m BUA)],"",0)</f>
        <v>0.18</v>
      </c>
      <c r="L381" s="134">
        <f>ROUND(Market_Data[[#This Row],[Estimated Built Up Area (sq m)]]*Market_Data[[#This Row],[Concrete Intensity
(m³ / sq m)]],0)</f>
        <v>2952</v>
      </c>
      <c r="M381" s="135">
        <f>_xlfn.XLOOKUP(Market_Data[[#This Row],[District]],tbl_district_price[District],tbl_district_price[Standard Price
(INR/m³)],"",0)</f>
        <v>6200</v>
      </c>
      <c r="N381" s="364">
        <f>IF(OR(Market_Data[[#This Row],[Estimated Concrete Demand (m³)]]="",Market_Data[[#This Row],[Avg Price per (₹ / m³)]]=""),"",Market_Data[[#This Row],[Estimated Concrete Demand (m³)]]*Market_Data[[#This Row],[Avg Price per (₹ / m³)]]/10000000)</f>
        <v>1.8302400000000001</v>
      </c>
      <c r="O381" s="97" t="str">
        <f>IF(Market_Data[[#This Row],[Estimated Concrete Demand (m³)]]="","",
IF(Market_Data[[#This Row],[Estimated Concrete Demand (m³)]]&lt;10000,"Small",
IF(Market_Data[[#This Row],[Estimated Concrete Demand (m³)]]&lt;25000,"Medium",
IF(Market_Data[[#This Row],[Estimated Concrete Demand (m³)]]&lt;100000,"Large","Mega"))))</f>
        <v>Small</v>
      </c>
      <c r="P381" s="287" t="str">
        <f t="shared" si="7"/>
        <v>GujRERA</v>
      </c>
    </row>
    <row r="382" spans="1:16">
      <c r="A382" s="129" t="str">
        <f>_xlfn.XLOOKUP(B382,$S$9:$S$14,$T$9:$T$14)&amp;"-"&amp;
IF(E382="Residential/Group Housing","RES",
IF(E382="Commercial","COM",
IF(E382="Mixed Development","MIX",
IF(E382="Plotted Development","PLT","OTH"))))
&amp;"-"&amp;TEXT(COUNTIFS($B$9:B382,B382,$E$9:E382,E382),"0000")</f>
        <v>SUR-PLT-0015</v>
      </c>
      <c r="B382" s="322" t="s">
        <v>34</v>
      </c>
      <c r="C382" s="322" t="s">
        <v>34</v>
      </c>
      <c r="D382" s="323" t="s">
        <v>569</v>
      </c>
      <c r="E382" s="132" t="s">
        <v>26</v>
      </c>
      <c r="F382" s="97" t="str">
        <f ca="1">IF(OR(Market_Data[[#This Row],[Start Date]]="",Market_Data[[#This Row],[Completion Date]]=""),"Needs Validation",IF(Market_Data[[#This Row],[Start Date]]&gt;TODAY(),"Planned",IF(Market_Data[[#This Row],[Completion Date]]&lt;TODAY(),"Completed","Ongoing")))</f>
        <v>Ongoing</v>
      </c>
      <c r="G382" s="324">
        <v>45128</v>
      </c>
      <c r="H382" s="324">
        <v>46752</v>
      </c>
      <c r="I382" s="325">
        <v>50600</v>
      </c>
      <c r="J38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382" s="133">
        <f>_xlfn.XLOOKUP(Market_Data[[#This Row],[Project Type]],tbl_assumptions_market[Project Category (RERA)],tbl_assumptions_market[Concrete Intensity
(m³ / sq m BUA)],"",0)</f>
        <v>0.18</v>
      </c>
      <c r="L382" s="134">
        <f>ROUND(Market_Data[[#This Row],[Estimated Built Up Area (sq m)]]*Market_Data[[#This Row],[Concrete Intensity
(m³ / sq m)]],0)</f>
        <v>9108</v>
      </c>
      <c r="M382" s="135">
        <f>_xlfn.XLOOKUP(Market_Data[[#This Row],[District]],tbl_district_price[District],tbl_district_price[Standard Price
(INR/m³)],"",0)</f>
        <v>6200</v>
      </c>
      <c r="N382" s="364">
        <f>IF(OR(Market_Data[[#This Row],[Estimated Concrete Demand (m³)]]="",Market_Data[[#This Row],[Avg Price per (₹ / m³)]]=""),"",Market_Data[[#This Row],[Estimated Concrete Demand (m³)]]*Market_Data[[#This Row],[Avg Price per (₹ / m³)]]/10000000)</f>
        <v>5.64696</v>
      </c>
      <c r="O382" s="97" t="str">
        <f>IF(Market_Data[[#This Row],[Estimated Concrete Demand (m³)]]="","",
IF(Market_Data[[#This Row],[Estimated Concrete Demand (m³)]]&lt;10000,"Small",
IF(Market_Data[[#This Row],[Estimated Concrete Demand (m³)]]&lt;25000,"Medium",
IF(Market_Data[[#This Row],[Estimated Concrete Demand (m³)]]&lt;100000,"Large","Mega"))))</f>
        <v>Small</v>
      </c>
      <c r="P382" s="287" t="str">
        <f t="shared" si="7"/>
        <v>GujRERA</v>
      </c>
    </row>
    <row r="383" spans="1:16">
      <c r="A383" s="129" t="str">
        <f>_xlfn.XLOOKUP(B383,$S$9:$S$14,$T$9:$T$14)&amp;"-"&amp;
IF(E383="Residential/Group Housing","RES",
IF(E383="Commercial","COM",
IF(E383="Mixed Development","MIX",
IF(E383="Plotted Development","PLT","OTH"))))
&amp;"-"&amp;TEXT(COUNTIFS($B$9:B383,B383,$E$9:E383,E383),"0000")</f>
        <v>SUR-COM-0015</v>
      </c>
      <c r="B383" s="322" t="s">
        <v>34</v>
      </c>
      <c r="C383" s="322" t="s">
        <v>34</v>
      </c>
      <c r="D383" s="323" t="s">
        <v>570</v>
      </c>
      <c r="E383" s="132" t="s">
        <v>23</v>
      </c>
      <c r="F383" s="97" t="str">
        <f ca="1">IF(OR(Market_Data[[#This Row],[Start Date]]="",Market_Data[[#This Row],[Completion Date]]=""),"Needs Validation",IF(Market_Data[[#This Row],[Start Date]]&gt;TODAY(),"Planned",IF(Market_Data[[#This Row],[Completion Date]]&lt;TODAY(),"Completed","Ongoing")))</f>
        <v>Completed</v>
      </c>
      <c r="G383" s="324">
        <v>42975</v>
      </c>
      <c r="H383" s="324">
        <v>44255</v>
      </c>
      <c r="I383" s="325">
        <v>1700</v>
      </c>
      <c r="J38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83" s="133">
        <f>_xlfn.XLOOKUP(Market_Data[[#This Row],[Project Type]],tbl_assumptions_market[Project Category (RERA)],tbl_assumptions_market[Concrete Intensity
(m³ / sq m BUA)],"",0)</f>
        <v>0.5</v>
      </c>
      <c r="L383" s="134">
        <f>ROUND(Market_Data[[#This Row],[Estimated Built Up Area (sq m)]]*Market_Data[[#This Row],[Concrete Intensity
(m³ / sq m)]],0)</f>
        <v>850</v>
      </c>
      <c r="M383" s="135">
        <f>_xlfn.XLOOKUP(Market_Data[[#This Row],[District]],tbl_district_price[District],tbl_district_price[Standard Price
(INR/m³)],"",0)</f>
        <v>6200</v>
      </c>
      <c r="N383" s="364">
        <f>IF(OR(Market_Data[[#This Row],[Estimated Concrete Demand (m³)]]="",Market_Data[[#This Row],[Avg Price per (₹ / m³)]]=""),"",Market_Data[[#This Row],[Estimated Concrete Demand (m³)]]*Market_Data[[#This Row],[Avg Price per (₹ / m³)]]/10000000)</f>
        <v>0.52700000000000002</v>
      </c>
      <c r="O383" s="97" t="str">
        <f>IF(Market_Data[[#This Row],[Estimated Concrete Demand (m³)]]="","",
IF(Market_Data[[#This Row],[Estimated Concrete Demand (m³)]]&lt;10000,"Small",
IF(Market_Data[[#This Row],[Estimated Concrete Demand (m³)]]&lt;25000,"Medium",
IF(Market_Data[[#This Row],[Estimated Concrete Demand (m³)]]&lt;100000,"Large","Mega"))))</f>
        <v>Small</v>
      </c>
      <c r="P383" s="287" t="str">
        <f t="shared" si="7"/>
        <v>GujRERA</v>
      </c>
    </row>
    <row r="384" spans="1:16">
      <c r="A384" s="129" t="str">
        <f>_xlfn.XLOOKUP(B384,$S$9:$S$14,$T$9:$T$14)&amp;"-"&amp;
IF(E384="Residential/Group Housing","RES",
IF(E384="Commercial","COM",
IF(E384="Mixed Development","MIX",
IF(E384="Plotted Development","PLT","OTH"))))
&amp;"-"&amp;TEXT(COUNTIFS($B$9:B384,B384,$E$9:E384,E384),"0000")</f>
        <v>SUR-PLT-0016</v>
      </c>
      <c r="B384" s="322" t="s">
        <v>34</v>
      </c>
      <c r="C384" s="322" t="s">
        <v>34</v>
      </c>
      <c r="D384" s="323" t="s">
        <v>571</v>
      </c>
      <c r="E384" s="132" t="s">
        <v>26</v>
      </c>
      <c r="F384" s="97" t="str">
        <f ca="1">IF(OR(Market_Data[[#This Row],[Start Date]]="",Market_Data[[#This Row],[Completion Date]]=""),"Needs Validation",IF(Market_Data[[#This Row],[Start Date]]&gt;TODAY(),"Planned",IF(Market_Data[[#This Row],[Completion Date]]&lt;TODAY(),"Completed","Ongoing")))</f>
        <v>Ongoing</v>
      </c>
      <c r="G384" s="324">
        <v>44510</v>
      </c>
      <c r="H384" s="324">
        <v>46387</v>
      </c>
      <c r="I384" s="325">
        <v>16100</v>
      </c>
      <c r="J38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84" s="133">
        <f>_xlfn.XLOOKUP(Market_Data[[#This Row],[Project Type]],tbl_assumptions_market[Project Category (RERA)],tbl_assumptions_market[Concrete Intensity
(m³ / sq m BUA)],"",0)</f>
        <v>0.18</v>
      </c>
      <c r="L384" s="134">
        <f>ROUND(Market_Data[[#This Row],[Estimated Built Up Area (sq m)]]*Market_Data[[#This Row],[Concrete Intensity
(m³ / sq m)]],0)</f>
        <v>2898</v>
      </c>
      <c r="M384" s="135">
        <f>_xlfn.XLOOKUP(Market_Data[[#This Row],[District]],tbl_district_price[District],tbl_district_price[Standard Price
(INR/m³)],"",0)</f>
        <v>6200</v>
      </c>
      <c r="N384" s="364">
        <f>IF(OR(Market_Data[[#This Row],[Estimated Concrete Demand (m³)]]="",Market_Data[[#This Row],[Avg Price per (₹ / m³)]]=""),"",Market_Data[[#This Row],[Estimated Concrete Demand (m³)]]*Market_Data[[#This Row],[Avg Price per (₹ / m³)]]/10000000)</f>
        <v>1.7967599999999999</v>
      </c>
      <c r="O384" s="97" t="str">
        <f>IF(Market_Data[[#This Row],[Estimated Concrete Demand (m³)]]="","",
IF(Market_Data[[#This Row],[Estimated Concrete Demand (m³)]]&lt;10000,"Small",
IF(Market_Data[[#This Row],[Estimated Concrete Demand (m³)]]&lt;25000,"Medium",
IF(Market_Data[[#This Row],[Estimated Concrete Demand (m³)]]&lt;100000,"Large","Mega"))))</f>
        <v>Small</v>
      </c>
      <c r="P384" s="287" t="str">
        <f t="shared" si="7"/>
        <v>GujRERA</v>
      </c>
    </row>
    <row r="385" spans="1:16">
      <c r="A385" s="129" t="str">
        <f>_xlfn.XLOOKUP(B385,$S$9:$S$14,$T$9:$T$14)&amp;"-"&amp;
IF(E385="Residential/Group Housing","RES",
IF(E385="Commercial","COM",
IF(E385="Mixed Development","MIX",
IF(E385="Plotted Development","PLT","OTH"))))
&amp;"-"&amp;TEXT(COUNTIFS($B$9:B385,B385,$E$9:E385,E385),"0000")</f>
        <v>SUR-RES-0022</v>
      </c>
      <c r="B385" s="322" t="s">
        <v>34</v>
      </c>
      <c r="C385" s="322" t="s">
        <v>34</v>
      </c>
      <c r="D385" s="323" t="s">
        <v>572</v>
      </c>
      <c r="E385" s="132" t="s">
        <v>24</v>
      </c>
      <c r="F385" s="97" t="str">
        <f ca="1">IF(OR(Market_Data[[#This Row],[Start Date]]="",Market_Data[[#This Row],[Completion Date]]=""),"Needs Validation",IF(Market_Data[[#This Row],[Start Date]]&gt;TODAY(),"Planned",IF(Market_Data[[#This Row],[Completion Date]]&lt;TODAY(),"Completed","Ongoing")))</f>
        <v>Ongoing</v>
      </c>
      <c r="G385" s="324">
        <v>45200</v>
      </c>
      <c r="H385" s="324">
        <v>47422</v>
      </c>
      <c r="I385" s="325">
        <v>6600</v>
      </c>
      <c r="J38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85" s="133">
        <f>_xlfn.XLOOKUP(Market_Data[[#This Row],[Project Type]],tbl_assumptions_market[Project Category (RERA)],tbl_assumptions_market[Concrete Intensity
(m³ / sq m BUA)],"",0)</f>
        <v>0.45</v>
      </c>
      <c r="L385" s="134">
        <f>ROUND(Market_Data[[#This Row],[Estimated Built Up Area (sq m)]]*Market_Data[[#This Row],[Concrete Intensity
(m³ / sq m)]],0)</f>
        <v>2970</v>
      </c>
      <c r="M385" s="135">
        <f>_xlfn.XLOOKUP(Market_Data[[#This Row],[District]],tbl_district_price[District],tbl_district_price[Standard Price
(INR/m³)],"",0)</f>
        <v>6200</v>
      </c>
      <c r="N385" s="364">
        <f>IF(OR(Market_Data[[#This Row],[Estimated Concrete Demand (m³)]]="",Market_Data[[#This Row],[Avg Price per (₹ / m³)]]=""),"",Market_Data[[#This Row],[Estimated Concrete Demand (m³)]]*Market_Data[[#This Row],[Avg Price per (₹ / m³)]]/10000000)</f>
        <v>1.8413999999999999</v>
      </c>
      <c r="O385" s="97" t="str">
        <f>IF(Market_Data[[#This Row],[Estimated Concrete Demand (m³)]]="","",
IF(Market_Data[[#This Row],[Estimated Concrete Demand (m³)]]&lt;10000,"Small",
IF(Market_Data[[#This Row],[Estimated Concrete Demand (m³)]]&lt;25000,"Medium",
IF(Market_Data[[#This Row],[Estimated Concrete Demand (m³)]]&lt;100000,"Large","Mega"))))</f>
        <v>Small</v>
      </c>
      <c r="P385" s="287" t="str">
        <f t="shared" si="7"/>
        <v>GujRERA</v>
      </c>
    </row>
    <row r="386" spans="1:16">
      <c r="A386" s="129" t="str">
        <f>_xlfn.XLOOKUP(B386,$S$9:$S$14,$T$9:$T$14)&amp;"-"&amp;
IF(E386="Residential/Group Housing","RES",
IF(E386="Commercial","COM",
IF(E386="Mixed Development","MIX",
IF(E386="Plotted Development","PLT","OTH"))))
&amp;"-"&amp;TEXT(COUNTIFS($B$9:B386,B386,$E$9:E386,E386),"0000")</f>
        <v>SUR-RES-0023</v>
      </c>
      <c r="B386" s="322" t="s">
        <v>34</v>
      </c>
      <c r="C386" s="322" t="s">
        <v>34</v>
      </c>
      <c r="D386" s="323" t="s">
        <v>573</v>
      </c>
      <c r="E386" s="132" t="s">
        <v>24</v>
      </c>
      <c r="F386" s="97" t="str">
        <f ca="1">IF(OR(Market_Data[[#This Row],[Start Date]]="",Market_Data[[#This Row],[Completion Date]]=""),"Needs Validation",IF(Market_Data[[#This Row],[Start Date]]&gt;TODAY(),"Planned",IF(Market_Data[[#This Row],[Completion Date]]&lt;TODAY(),"Completed","Ongoing")))</f>
        <v>Ongoing</v>
      </c>
      <c r="G386" s="324">
        <v>45586</v>
      </c>
      <c r="H386" s="324">
        <v>47118</v>
      </c>
      <c r="I386" s="325">
        <v>8500</v>
      </c>
      <c r="J38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86" s="133">
        <f>_xlfn.XLOOKUP(Market_Data[[#This Row],[Project Type]],tbl_assumptions_market[Project Category (RERA)],tbl_assumptions_market[Concrete Intensity
(m³ / sq m BUA)],"",0)</f>
        <v>0.45</v>
      </c>
      <c r="L386" s="134">
        <f>ROUND(Market_Data[[#This Row],[Estimated Built Up Area (sq m)]]*Market_Data[[#This Row],[Concrete Intensity
(m³ / sq m)]],0)</f>
        <v>3825</v>
      </c>
      <c r="M386" s="135">
        <f>_xlfn.XLOOKUP(Market_Data[[#This Row],[District]],tbl_district_price[District],tbl_district_price[Standard Price
(INR/m³)],"",0)</f>
        <v>6200</v>
      </c>
      <c r="N386" s="364">
        <f>IF(OR(Market_Data[[#This Row],[Estimated Concrete Demand (m³)]]="",Market_Data[[#This Row],[Avg Price per (₹ / m³)]]=""),"",Market_Data[[#This Row],[Estimated Concrete Demand (m³)]]*Market_Data[[#This Row],[Avg Price per (₹ / m³)]]/10000000)</f>
        <v>2.3715000000000002</v>
      </c>
      <c r="O386" s="97" t="str">
        <f>IF(Market_Data[[#This Row],[Estimated Concrete Demand (m³)]]="","",
IF(Market_Data[[#This Row],[Estimated Concrete Demand (m³)]]&lt;10000,"Small",
IF(Market_Data[[#This Row],[Estimated Concrete Demand (m³)]]&lt;25000,"Medium",
IF(Market_Data[[#This Row],[Estimated Concrete Demand (m³)]]&lt;100000,"Large","Mega"))))</f>
        <v>Small</v>
      </c>
      <c r="P386" s="287" t="str">
        <f t="shared" si="7"/>
        <v>GujRERA</v>
      </c>
    </row>
    <row r="387" spans="1:16">
      <c r="A387" s="129" t="str">
        <f>_xlfn.XLOOKUP(B387,$S$9:$S$14,$T$9:$T$14)&amp;"-"&amp;
IF(E387="Residential/Group Housing","RES",
IF(E387="Commercial","COM",
IF(E387="Mixed Development","MIX",
IF(E387="Plotted Development","PLT","OTH"))))
&amp;"-"&amp;TEXT(COUNTIFS($B$9:B387,B387,$E$9:E387,E387),"0000")</f>
        <v>SUR-PLT-0017</v>
      </c>
      <c r="B387" s="322" t="s">
        <v>34</v>
      </c>
      <c r="C387" s="322" t="s">
        <v>34</v>
      </c>
      <c r="D387" s="323" t="s">
        <v>574</v>
      </c>
      <c r="E387" s="132" t="s">
        <v>26</v>
      </c>
      <c r="F387" s="97" t="str">
        <f ca="1">IF(OR(Market_Data[[#This Row],[Start Date]]="",Market_Data[[#This Row],[Completion Date]]=""),"Needs Validation",IF(Market_Data[[#This Row],[Start Date]]&gt;TODAY(),"Planned",IF(Market_Data[[#This Row],[Completion Date]]&lt;TODAY(),"Completed","Ongoing")))</f>
        <v>Ongoing</v>
      </c>
      <c r="G387" s="324">
        <v>45972</v>
      </c>
      <c r="H387" s="324">
        <v>47118</v>
      </c>
      <c r="I387" s="325">
        <v>4500</v>
      </c>
      <c r="J38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87" s="133">
        <f>_xlfn.XLOOKUP(Market_Data[[#This Row],[Project Type]],tbl_assumptions_market[Project Category (RERA)],tbl_assumptions_market[Concrete Intensity
(m³ / sq m BUA)],"",0)</f>
        <v>0.18</v>
      </c>
      <c r="L387" s="134">
        <f>ROUND(Market_Data[[#This Row],[Estimated Built Up Area (sq m)]]*Market_Data[[#This Row],[Concrete Intensity
(m³ / sq m)]],0)</f>
        <v>810</v>
      </c>
      <c r="M387" s="135">
        <f>_xlfn.XLOOKUP(Market_Data[[#This Row],[District]],tbl_district_price[District],tbl_district_price[Standard Price
(INR/m³)],"",0)</f>
        <v>6200</v>
      </c>
      <c r="N387" s="364">
        <f>IF(OR(Market_Data[[#This Row],[Estimated Concrete Demand (m³)]]="",Market_Data[[#This Row],[Avg Price per (₹ / m³)]]=""),"",Market_Data[[#This Row],[Estimated Concrete Demand (m³)]]*Market_Data[[#This Row],[Avg Price per (₹ / m³)]]/10000000)</f>
        <v>0.50219999999999998</v>
      </c>
      <c r="O387" s="97" t="str">
        <f>IF(Market_Data[[#This Row],[Estimated Concrete Demand (m³)]]="","",
IF(Market_Data[[#This Row],[Estimated Concrete Demand (m³)]]&lt;10000,"Small",
IF(Market_Data[[#This Row],[Estimated Concrete Demand (m³)]]&lt;25000,"Medium",
IF(Market_Data[[#This Row],[Estimated Concrete Demand (m³)]]&lt;100000,"Large","Mega"))))</f>
        <v>Small</v>
      </c>
      <c r="P387" s="287" t="str">
        <f t="shared" si="7"/>
        <v>GujRERA</v>
      </c>
    </row>
    <row r="388" spans="1:16">
      <c r="A388" s="129" t="str">
        <f>_xlfn.XLOOKUP(B388,$S$9:$S$14,$T$9:$T$14)&amp;"-"&amp;
IF(E388="Residential/Group Housing","RES",
IF(E388="Commercial","COM",
IF(E388="Mixed Development","MIX",
IF(E388="Plotted Development","PLT","OTH"))))
&amp;"-"&amp;TEXT(COUNTIFS($B$9:B388,B388,$E$9:E388,E388),"0000")</f>
        <v>SUR-PLT-0018</v>
      </c>
      <c r="B388" s="322" t="s">
        <v>34</v>
      </c>
      <c r="C388" s="322" t="s">
        <v>34</v>
      </c>
      <c r="D388" s="323" t="s">
        <v>575</v>
      </c>
      <c r="E388" s="132" t="s">
        <v>26</v>
      </c>
      <c r="F388" s="97" t="str">
        <f ca="1">IF(OR(Market_Data[[#This Row],[Start Date]]="",Market_Data[[#This Row],[Completion Date]]=""),"Needs Validation",IF(Market_Data[[#This Row],[Start Date]]&gt;TODAY(),"Planned",IF(Market_Data[[#This Row],[Completion Date]]&lt;TODAY(),"Completed","Ongoing")))</f>
        <v>Ongoing</v>
      </c>
      <c r="G388" s="324">
        <v>45778</v>
      </c>
      <c r="H388" s="324">
        <v>47208</v>
      </c>
      <c r="I388" s="325">
        <v>32300</v>
      </c>
      <c r="J38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388" s="133">
        <f>_xlfn.XLOOKUP(Market_Data[[#This Row],[Project Type]],tbl_assumptions_market[Project Category (RERA)],tbl_assumptions_market[Concrete Intensity
(m³ / sq m BUA)],"",0)</f>
        <v>0.18</v>
      </c>
      <c r="L388" s="134">
        <f>ROUND(Market_Data[[#This Row],[Estimated Built Up Area (sq m)]]*Market_Data[[#This Row],[Concrete Intensity
(m³ / sq m)]],0)</f>
        <v>5814</v>
      </c>
      <c r="M388" s="135">
        <f>_xlfn.XLOOKUP(Market_Data[[#This Row],[District]],tbl_district_price[District],tbl_district_price[Standard Price
(INR/m³)],"",0)</f>
        <v>6200</v>
      </c>
      <c r="N388" s="364">
        <f>IF(OR(Market_Data[[#This Row],[Estimated Concrete Demand (m³)]]="",Market_Data[[#This Row],[Avg Price per (₹ / m³)]]=""),"",Market_Data[[#This Row],[Estimated Concrete Demand (m³)]]*Market_Data[[#This Row],[Avg Price per (₹ / m³)]]/10000000)</f>
        <v>3.6046800000000001</v>
      </c>
      <c r="O388" s="97" t="str">
        <f>IF(Market_Data[[#This Row],[Estimated Concrete Demand (m³)]]="","",
IF(Market_Data[[#This Row],[Estimated Concrete Demand (m³)]]&lt;10000,"Small",
IF(Market_Data[[#This Row],[Estimated Concrete Demand (m³)]]&lt;25000,"Medium",
IF(Market_Data[[#This Row],[Estimated Concrete Demand (m³)]]&lt;100000,"Large","Mega"))))</f>
        <v>Small</v>
      </c>
      <c r="P388" s="287" t="str">
        <f t="shared" si="7"/>
        <v>GujRERA</v>
      </c>
    </row>
    <row r="389" spans="1:16">
      <c r="A389" s="129" t="str">
        <f>_xlfn.XLOOKUP(B389,$S$9:$S$14,$T$9:$T$14)&amp;"-"&amp;
IF(E389="Residential/Group Housing","RES",
IF(E389="Commercial","COM",
IF(E389="Mixed Development","MIX",
IF(E389="Plotted Development","PLT","OTH"))))
&amp;"-"&amp;TEXT(COUNTIFS($B$9:B389,B389,$E$9:E389,E389),"0000")</f>
        <v>SUR-MIX-0015</v>
      </c>
      <c r="B389" s="322" t="s">
        <v>34</v>
      </c>
      <c r="C389" s="322" t="s">
        <v>34</v>
      </c>
      <c r="D389" s="323" t="s">
        <v>576</v>
      </c>
      <c r="E389" s="132" t="s">
        <v>25</v>
      </c>
      <c r="F389" s="97" t="str">
        <f ca="1">IF(OR(Market_Data[[#This Row],[Start Date]]="",Market_Data[[#This Row],[Completion Date]]=""),"Needs Validation",IF(Market_Data[[#This Row],[Start Date]]&gt;TODAY(),"Planned",IF(Market_Data[[#This Row],[Completion Date]]&lt;TODAY(),"Completed","Ongoing")))</f>
        <v>Ongoing</v>
      </c>
      <c r="G389" s="324">
        <v>43560</v>
      </c>
      <c r="H389" s="324">
        <v>46604</v>
      </c>
      <c r="I389" s="325">
        <v>38100</v>
      </c>
      <c r="J38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89" s="133">
        <f>_xlfn.XLOOKUP(Market_Data[[#This Row],[Project Type]],tbl_assumptions_market[Project Category (RERA)],tbl_assumptions_market[Concrete Intensity
(m³ / sq m BUA)],"",0)</f>
        <v>0.42</v>
      </c>
      <c r="L389" s="134">
        <f>ROUND(Market_Data[[#This Row],[Estimated Built Up Area (sq m)]]*Market_Data[[#This Row],[Concrete Intensity
(m³ / sq m)]],0)</f>
        <v>16002</v>
      </c>
      <c r="M389" s="135">
        <f>_xlfn.XLOOKUP(Market_Data[[#This Row],[District]],tbl_district_price[District],tbl_district_price[Standard Price
(INR/m³)],"",0)</f>
        <v>6200</v>
      </c>
      <c r="N389" s="364">
        <f>IF(OR(Market_Data[[#This Row],[Estimated Concrete Demand (m³)]]="",Market_Data[[#This Row],[Avg Price per (₹ / m³)]]=""),"",Market_Data[[#This Row],[Estimated Concrete Demand (m³)]]*Market_Data[[#This Row],[Avg Price per (₹ / m³)]]/10000000)</f>
        <v>9.9212399999999992</v>
      </c>
      <c r="O389" s="97" t="str">
        <f>IF(Market_Data[[#This Row],[Estimated Concrete Demand (m³)]]="","",
IF(Market_Data[[#This Row],[Estimated Concrete Demand (m³)]]&lt;10000,"Small",
IF(Market_Data[[#This Row],[Estimated Concrete Demand (m³)]]&lt;25000,"Medium",
IF(Market_Data[[#This Row],[Estimated Concrete Demand (m³)]]&lt;100000,"Large","Mega"))))</f>
        <v>Medium</v>
      </c>
      <c r="P389" s="287" t="str">
        <f t="shared" si="7"/>
        <v>GujRERA</v>
      </c>
    </row>
    <row r="390" spans="1:16">
      <c r="A390" s="129" t="str">
        <f>_xlfn.XLOOKUP(B390,$S$9:$S$14,$T$9:$T$14)&amp;"-"&amp;
IF(E390="Residential/Group Housing","RES",
IF(E390="Commercial","COM",
IF(E390="Mixed Development","MIX",
IF(E390="Plotted Development","PLT","OTH"))))
&amp;"-"&amp;TEXT(COUNTIFS($B$9:B390,B390,$E$9:E390,E390),"0000")</f>
        <v>SUR-RES-0024</v>
      </c>
      <c r="B390" s="322" t="s">
        <v>34</v>
      </c>
      <c r="C390" s="322" t="s">
        <v>34</v>
      </c>
      <c r="D390" s="323" t="s">
        <v>577</v>
      </c>
      <c r="E390" s="132" t="s">
        <v>24</v>
      </c>
      <c r="F390" s="97" t="str">
        <f ca="1">IF(OR(Market_Data[[#This Row],[Start Date]]="",Market_Data[[#This Row],[Completion Date]]=""),"Needs Validation",IF(Market_Data[[#This Row],[Start Date]]&gt;TODAY(),"Planned",IF(Market_Data[[#This Row],[Completion Date]]&lt;TODAY(),"Completed","Ongoing")))</f>
        <v>Completed</v>
      </c>
      <c r="G390" s="324">
        <v>43040</v>
      </c>
      <c r="H390" s="324">
        <v>44285</v>
      </c>
      <c r="I390" s="325">
        <v>23000</v>
      </c>
      <c r="J39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90" s="133">
        <f>_xlfn.XLOOKUP(Market_Data[[#This Row],[Project Type]],tbl_assumptions_market[Project Category (RERA)],tbl_assumptions_market[Concrete Intensity
(m³ / sq m BUA)],"",0)</f>
        <v>0.45</v>
      </c>
      <c r="L390" s="134">
        <f>ROUND(Market_Data[[#This Row],[Estimated Built Up Area (sq m)]]*Market_Data[[#This Row],[Concrete Intensity
(m³ / sq m)]],0)</f>
        <v>10350</v>
      </c>
      <c r="M390" s="135">
        <f>_xlfn.XLOOKUP(Market_Data[[#This Row],[District]],tbl_district_price[District],tbl_district_price[Standard Price
(INR/m³)],"",0)</f>
        <v>6200</v>
      </c>
      <c r="N390" s="364">
        <f>IF(OR(Market_Data[[#This Row],[Estimated Concrete Demand (m³)]]="",Market_Data[[#This Row],[Avg Price per (₹ / m³)]]=""),"",Market_Data[[#This Row],[Estimated Concrete Demand (m³)]]*Market_Data[[#This Row],[Avg Price per (₹ / m³)]]/10000000)</f>
        <v>6.4169999999999998</v>
      </c>
      <c r="O390" s="97" t="str">
        <f>IF(Market_Data[[#This Row],[Estimated Concrete Demand (m³)]]="","",
IF(Market_Data[[#This Row],[Estimated Concrete Demand (m³)]]&lt;10000,"Small",
IF(Market_Data[[#This Row],[Estimated Concrete Demand (m³)]]&lt;25000,"Medium",
IF(Market_Data[[#This Row],[Estimated Concrete Demand (m³)]]&lt;100000,"Large","Mega"))))</f>
        <v>Medium</v>
      </c>
      <c r="P390" s="287" t="str">
        <f t="shared" si="7"/>
        <v>GujRERA</v>
      </c>
    </row>
    <row r="391" spans="1:16">
      <c r="A391" s="129" t="str">
        <f>_xlfn.XLOOKUP(B391,$S$9:$S$14,$T$9:$T$14)&amp;"-"&amp;
IF(E391="Residential/Group Housing","RES",
IF(E391="Commercial","COM",
IF(E391="Mixed Development","MIX",
IF(E391="Plotted Development","PLT","OTH"))))
&amp;"-"&amp;TEXT(COUNTIFS($B$9:B391,B391,$E$9:E391,E391),"0000")</f>
        <v>SUR-RES-0025</v>
      </c>
      <c r="B391" s="322" t="s">
        <v>34</v>
      </c>
      <c r="C391" s="322" t="s">
        <v>34</v>
      </c>
      <c r="D391" s="323" t="s">
        <v>578</v>
      </c>
      <c r="E391" s="132" t="s">
        <v>24</v>
      </c>
      <c r="F391" s="97" t="str">
        <f ca="1">IF(OR(Market_Data[[#This Row],[Start Date]]="",Market_Data[[#This Row],[Completion Date]]=""),"Needs Validation",IF(Market_Data[[#This Row],[Start Date]]&gt;TODAY(),"Planned",IF(Market_Data[[#This Row],[Completion Date]]&lt;TODAY(),"Completed","Ongoing")))</f>
        <v>Ongoing</v>
      </c>
      <c r="G391" s="324">
        <v>45937</v>
      </c>
      <c r="H391" s="324">
        <v>47848</v>
      </c>
      <c r="I391" s="325">
        <v>9500</v>
      </c>
      <c r="J39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91" s="133">
        <f>_xlfn.XLOOKUP(Market_Data[[#This Row],[Project Type]],tbl_assumptions_market[Project Category (RERA)],tbl_assumptions_market[Concrete Intensity
(m³ / sq m BUA)],"",0)</f>
        <v>0.45</v>
      </c>
      <c r="L391" s="134">
        <f>ROUND(Market_Data[[#This Row],[Estimated Built Up Area (sq m)]]*Market_Data[[#This Row],[Concrete Intensity
(m³ / sq m)]],0)</f>
        <v>4275</v>
      </c>
      <c r="M391" s="135">
        <f>_xlfn.XLOOKUP(Market_Data[[#This Row],[District]],tbl_district_price[District],tbl_district_price[Standard Price
(INR/m³)],"",0)</f>
        <v>6200</v>
      </c>
      <c r="N391" s="364">
        <f>IF(OR(Market_Data[[#This Row],[Estimated Concrete Demand (m³)]]="",Market_Data[[#This Row],[Avg Price per (₹ / m³)]]=""),"",Market_Data[[#This Row],[Estimated Concrete Demand (m³)]]*Market_Data[[#This Row],[Avg Price per (₹ / m³)]]/10000000)</f>
        <v>2.6505000000000001</v>
      </c>
      <c r="O391" s="97" t="str">
        <f>IF(Market_Data[[#This Row],[Estimated Concrete Demand (m³)]]="","",
IF(Market_Data[[#This Row],[Estimated Concrete Demand (m³)]]&lt;10000,"Small",
IF(Market_Data[[#This Row],[Estimated Concrete Demand (m³)]]&lt;25000,"Medium",
IF(Market_Data[[#This Row],[Estimated Concrete Demand (m³)]]&lt;100000,"Large","Mega"))))</f>
        <v>Small</v>
      </c>
      <c r="P391" s="287" t="str">
        <f t="shared" si="7"/>
        <v>GujRERA</v>
      </c>
    </row>
    <row r="392" spans="1:16">
      <c r="A392" s="129" t="str">
        <f>_xlfn.XLOOKUP(B392,$S$9:$S$14,$T$9:$T$14)&amp;"-"&amp;
IF(E392="Residential/Group Housing","RES",
IF(E392="Commercial","COM",
IF(E392="Mixed Development","MIX",
IF(E392="Plotted Development","PLT","OTH"))))
&amp;"-"&amp;TEXT(COUNTIFS($B$9:B392,B392,$E$9:E392,E392),"0000")</f>
        <v>SUR-RES-0026</v>
      </c>
      <c r="B392" s="322" t="s">
        <v>34</v>
      </c>
      <c r="C392" s="322" t="s">
        <v>34</v>
      </c>
      <c r="D392" s="323" t="s">
        <v>579</v>
      </c>
      <c r="E392" s="132" t="s">
        <v>24</v>
      </c>
      <c r="F392" s="97" t="str">
        <f ca="1">IF(OR(Market_Data[[#This Row],[Start Date]]="",Market_Data[[#This Row],[Completion Date]]=""),"Needs Validation",IF(Market_Data[[#This Row],[Start Date]]&gt;TODAY(),"Planned",IF(Market_Data[[#This Row],[Completion Date]]&lt;TODAY(),"Completed","Ongoing")))</f>
        <v>Completed</v>
      </c>
      <c r="G392" s="324">
        <v>43281</v>
      </c>
      <c r="H392" s="324">
        <v>45595</v>
      </c>
      <c r="I392" s="325">
        <v>43300</v>
      </c>
      <c r="J39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92" s="133">
        <f>_xlfn.XLOOKUP(Market_Data[[#This Row],[Project Type]],tbl_assumptions_market[Project Category (RERA)],tbl_assumptions_market[Concrete Intensity
(m³ / sq m BUA)],"",0)</f>
        <v>0.45</v>
      </c>
      <c r="L392" s="134">
        <f>ROUND(Market_Data[[#This Row],[Estimated Built Up Area (sq m)]]*Market_Data[[#This Row],[Concrete Intensity
(m³ / sq m)]],0)</f>
        <v>19485</v>
      </c>
      <c r="M392" s="135">
        <f>_xlfn.XLOOKUP(Market_Data[[#This Row],[District]],tbl_district_price[District],tbl_district_price[Standard Price
(INR/m³)],"",0)</f>
        <v>6200</v>
      </c>
      <c r="N392" s="364">
        <f>IF(OR(Market_Data[[#This Row],[Estimated Concrete Demand (m³)]]="",Market_Data[[#This Row],[Avg Price per (₹ / m³)]]=""),"",Market_Data[[#This Row],[Estimated Concrete Demand (m³)]]*Market_Data[[#This Row],[Avg Price per (₹ / m³)]]/10000000)</f>
        <v>12.0807</v>
      </c>
      <c r="O392" s="97" t="str">
        <f>IF(Market_Data[[#This Row],[Estimated Concrete Demand (m³)]]="","",
IF(Market_Data[[#This Row],[Estimated Concrete Demand (m³)]]&lt;10000,"Small",
IF(Market_Data[[#This Row],[Estimated Concrete Demand (m³)]]&lt;25000,"Medium",
IF(Market_Data[[#This Row],[Estimated Concrete Demand (m³)]]&lt;100000,"Large","Mega"))))</f>
        <v>Medium</v>
      </c>
      <c r="P392" s="287" t="str">
        <f t="shared" si="7"/>
        <v>GujRERA</v>
      </c>
    </row>
    <row r="393" spans="1:16">
      <c r="A393" s="129" t="str">
        <f>_xlfn.XLOOKUP(B393,$S$9:$S$14,$T$9:$T$14)&amp;"-"&amp;
IF(E393="Residential/Group Housing","RES",
IF(E393="Commercial","COM",
IF(E393="Mixed Development","MIX",
IF(E393="Plotted Development","PLT","OTH"))))
&amp;"-"&amp;TEXT(COUNTIFS($B$9:B393,B393,$E$9:E393,E393),"0000")</f>
        <v>SUR-PLT-0019</v>
      </c>
      <c r="B393" s="322" t="s">
        <v>34</v>
      </c>
      <c r="C393" s="322" t="s">
        <v>34</v>
      </c>
      <c r="D393" s="323" t="s">
        <v>580</v>
      </c>
      <c r="E393" s="132" t="s">
        <v>26</v>
      </c>
      <c r="F393" s="97" t="str">
        <f ca="1">IF(OR(Market_Data[[#This Row],[Start Date]]="",Market_Data[[#This Row],[Completion Date]]=""),"Needs Validation",IF(Market_Data[[#This Row],[Start Date]]&gt;TODAY(),"Planned",IF(Market_Data[[#This Row],[Completion Date]]&lt;TODAY(),"Completed","Ongoing")))</f>
        <v>Ongoing</v>
      </c>
      <c r="G393" s="324">
        <v>45608</v>
      </c>
      <c r="H393" s="324">
        <v>46843</v>
      </c>
      <c r="I393" s="325">
        <v>18100</v>
      </c>
      <c r="J39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93" s="133">
        <f>_xlfn.XLOOKUP(Market_Data[[#This Row],[Project Type]],tbl_assumptions_market[Project Category (RERA)],tbl_assumptions_market[Concrete Intensity
(m³ / sq m BUA)],"",0)</f>
        <v>0.18</v>
      </c>
      <c r="L393" s="134">
        <f>ROUND(Market_Data[[#This Row],[Estimated Built Up Area (sq m)]]*Market_Data[[#This Row],[Concrete Intensity
(m³ / sq m)]],0)</f>
        <v>3258</v>
      </c>
      <c r="M393" s="135">
        <f>_xlfn.XLOOKUP(Market_Data[[#This Row],[District]],tbl_district_price[District],tbl_district_price[Standard Price
(INR/m³)],"",0)</f>
        <v>6200</v>
      </c>
      <c r="N393" s="364">
        <f>IF(OR(Market_Data[[#This Row],[Estimated Concrete Demand (m³)]]="",Market_Data[[#This Row],[Avg Price per (₹ / m³)]]=""),"",Market_Data[[#This Row],[Estimated Concrete Demand (m³)]]*Market_Data[[#This Row],[Avg Price per (₹ / m³)]]/10000000)</f>
        <v>2.0199600000000002</v>
      </c>
      <c r="O393" s="97" t="str">
        <f>IF(Market_Data[[#This Row],[Estimated Concrete Demand (m³)]]="","",
IF(Market_Data[[#This Row],[Estimated Concrete Demand (m³)]]&lt;10000,"Small",
IF(Market_Data[[#This Row],[Estimated Concrete Demand (m³)]]&lt;25000,"Medium",
IF(Market_Data[[#This Row],[Estimated Concrete Demand (m³)]]&lt;100000,"Large","Mega"))))</f>
        <v>Small</v>
      </c>
      <c r="P393" s="287" t="str">
        <f t="shared" si="7"/>
        <v>GujRERA</v>
      </c>
    </row>
    <row r="394" spans="1:16">
      <c r="A394" s="129" t="str">
        <f>_xlfn.XLOOKUP(B394,$S$9:$S$14,$T$9:$T$14)&amp;"-"&amp;
IF(E394="Residential/Group Housing","RES",
IF(E394="Commercial","COM",
IF(E394="Mixed Development","MIX",
IF(E394="Plotted Development","PLT","OTH"))))
&amp;"-"&amp;TEXT(COUNTIFS($B$9:B394,B394,$E$9:E394,E394),"0000")</f>
        <v>SUR-MIX-0016</v>
      </c>
      <c r="B394" s="322" t="s">
        <v>34</v>
      </c>
      <c r="C394" s="322" t="s">
        <v>34</v>
      </c>
      <c r="D394" s="323" t="s">
        <v>581</v>
      </c>
      <c r="E394" s="132" t="s">
        <v>25</v>
      </c>
      <c r="F394" s="97" t="str">
        <f ca="1">IF(OR(Market_Data[[#This Row],[Start Date]]="",Market_Data[[#This Row],[Completion Date]]=""),"Needs Validation",IF(Market_Data[[#This Row],[Start Date]]&gt;TODAY(),"Planned",IF(Market_Data[[#This Row],[Completion Date]]&lt;TODAY(),"Completed","Ongoing")))</f>
        <v>Completed</v>
      </c>
      <c r="G394" s="324">
        <v>42545</v>
      </c>
      <c r="H394" s="324">
        <v>44316</v>
      </c>
      <c r="I394" s="325">
        <v>45700</v>
      </c>
      <c r="J39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94" s="133">
        <f>_xlfn.XLOOKUP(Market_Data[[#This Row],[Project Type]],tbl_assumptions_market[Project Category (RERA)],tbl_assumptions_market[Concrete Intensity
(m³ / sq m BUA)],"",0)</f>
        <v>0.42</v>
      </c>
      <c r="L394" s="134">
        <f>ROUND(Market_Data[[#This Row],[Estimated Built Up Area (sq m)]]*Market_Data[[#This Row],[Concrete Intensity
(m³ / sq m)]],0)</f>
        <v>19194</v>
      </c>
      <c r="M394" s="135">
        <f>_xlfn.XLOOKUP(Market_Data[[#This Row],[District]],tbl_district_price[District],tbl_district_price[Standard Price
(INR/m³)],"",0)</f>
        <v>6200</v>
      </c>
      <c r="N394" s="364">
        <f>IF(OR(Market_Data[[#This Row],[Estimated Concrete Demand (m³)]]="",Market_Data[[#This Row],[Avg Price per (₹ / m³)]]=""),"",Market_Data[[#This Row],[Estimated Concrete Demand (m³)]]*Market_Data[[#This Row],[Avg Price per (₹ / m³)]]/10000000)</f>
        <v>11.90028</v>
      </c>
      <c r="O394" s="97" t="str">
        <f>IF(Market_Data[[#This Row],[Estimated Concrete Demand (m³)]]="","",
IF(Market_Data[[#This Row],[Estimated Concrete Demand (m³)]]&lt;10000,"Small",
IF(Market_Data[[#This Row],[Estimated Concrete Demand (m³)]]&lt;25000,"Medium",
IF(Market_Data[[#This Row],[Estimated Concrete Demand (m³)]]&lt;100000,"Large","Mega"))))</f>
        <v>Medium</v>
      </c>
      <c r="P394" s="287" t="str">
        <f t="shared" ref="P394:P457" si="8">HYPERLINK(
"https://gujrera.gujarat.gov.in",
"GujRERA")</f>
        <v>GujRERA</v>
      </c>
    </row>
    <row r="395" spans="1:16">
      <c r="A395" s="129" t="str">
        <f>_xlfn.XLOOKUP(B395,$S$9:$S$14,$T$9:$T$14)&amp;"-"&amp;
IF(E395="Residential/Group Housing","RES",
IF(E395="Commercial","COM",
IF(E395="Mixed Development","MIX",
IF(E395="Plotted Development","PLT","OTH"))))
&amp;"-"&amp;TEXT(COUNTIFS($B$9:B395,B395,$E$9:E395,E395),"0000")</f>
        <v>SUR-COM-0016</v>
      </c>
      <c r="B395" s="322" t="s">
        <v>34</v>
      </c>
      <c r="C395" s="322" t="s">
        <v>34</v>
      </c>
      <c r="D395" s="323" t="s">
        <v>582</v>
      </c>
      <c r="E395" s="132" t="s">
        <v>23</v>
      </c>
      <c r="F395" s="97" t="str">
        <f ca="1">IF(OR(Market_Data[[#This Row],[Start Date]]="",Market_Data[[#This Row],[Completion Date]]=""),"Needs Validation",IF(Market_Data[[#This Row],[Start Date]]&gt;TODAY(),"Planned",IF(Market_Data[[#This Row],[Completion Date]]&lt;TODAY(),"Completed","Ongoing")))</f>
        <v>Ongoing</v>
      </c>
      <c r="G395" s="324">
        <v>45726</v>
      </c>
      <c r="H395" s="324">
        <v>46477</v>
      </c>
      <c r="I395" s="325">
        <v>20500</v>
      </c>
      <c r="J39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395" s="133">
        <f>_xlfn.XLOOKUP(Market_Data[[#This Row],[Project Type]],tbl_assumptions_market[Project Category (RERA)],tbl_assumptions_market[Concrete Intensity
(m³ / sq m BUA)],"",0)</f>
        <v>0.5</v>
      </c>
      <c r="L395" s="134">
        <f>ROUND(Market_Data[[#This Row],[Estimated Built Up Area (sq m)]]*Market_Data[[#This Row],[Concrete Intensity
(m³ / sq m)]],0)</f>
        <v>10250</v>
      </c>
      <c r="M395" s="135">
        <f>_xlfn.XLOOKUP(Market_Data[[#This Row],[District]],tbl_district_price[District],tbl_district_price[Standard Price
(INR/m³)],"",0)</f>
        <v>6200</v>
      </c>
      <c r="N395" s="364">
        <f>IF(OR(Market_Data[[#This Row],[Estimated Concrete Demand (m³)]]="",Market_Data[[#This Row],[Avg Price per (₹ / m³)]]=""),"",Market_Data[[#This Row],[Estimated Concrete Demand (m³)]]*Market_Data[[#This Row],[Avg Price per (₹ / m³)]]/10000000)</f>
        <v>6.3550000000000004</v>
      </c>
      <c r="O395" s="97" t="str">
        <f>IF(Market_Data[[#This Row],[Estimated Concrete Demand (m³)]]="","",
IF(Market_Data[[#This Row],[Estimated Concrete Demand (m³)]]&lt;10000,"Small",
IF(Market_Data[[#This Row],[Estimated Concrete Demand (m³)]]&lt;25000,"Medium",
IF(Market_Data[[#This Row],[Estimated Concrete Demand (m³)]]&lt;100000,"Large","Mega"))))</f>
        <v>Medium</v>
      </c>
      <c r="P395" s="287" t="str">
        <f t="shared" si="8"/>
        <v>GujRERA</v>
      </c>
    </row>
    <row r="396" spans="1:16">
      <c r="A396" s="129" t="str">
        <f>_xlfn.XLOOKUP(B396,$S$9:$S$14,$T$9:$T$14)&amp;"-"&amp;
IF(E396="Residential/Group Housing","RES",
IF(E396="Commercial","COM",
IF(E396="Mixed Development","MIX",
IF(E396="Plotted Development","PLT","OTH"))))
&amp;"-"&amp;TEXT(COUNTIFS($B$9:B396,B396,$E$9:E396,E396),"0000")</f>
        <v>SUR-RES-0027</v>
      </c>
      <c r="B396" s="322" t="s">
        <v>34</v>
      </c>
      <c r="C396" s="322" t="s">
        <v>34</v>
      </c>
      <c r="D396" s="323" t="s">
        <v>583</v>
      </c>
      <c r="E396" s="132" t="s">
        <v>24</v>
      </c>
      <c r="F396" s="97" t="str">
        <f ca="1">IF(OR(Market_Data[[#This Row],[Start Date]]="",Market_Data[[#This Row],[Completion Date]]=""),"Needs Validation",IF(Market_Data[[#This Row],[Start Date]]&gt;TODAY(),"Planned",IF(Market_Data[[#This Row],[Completion Date]]&lt;TODAY(),"Completed","Ongoing")))</f>
        <v>Ongoing</v>
      </c>
      <c r="G396" s="324">
        <v>44682</v>
      </c>
      <c r="H396" s="324">
        <v>47848</v>
      </c>
      <c r="I396" s="325">
        <v>50900</v>
      </c>
      <c r="J39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96" s="133">
        <f>_xlfn.XLOOKUP(Market_Data[[#This Row],[Project Type]],tbl_assumptions_market[Project Category (RERA)],tbl_assumptions_market[Concrete Intensity
(m³ / sq m BUA)],"",0)</f>
        <v>0.45</v>
      </c>
      <c r="L396" s="134">
        <f>ROUND(Market_Data[[#This Row],[Estimated Built Up Area (sq m)]]*Market_Data[[#This Row],[Concrete Intensity
(m³ / sq m)]],0)</f>
        <v>22905</v>
      </c>
      <c r="M396" s="135">
        <f>_xlfn.XLOOKUP(Market_Data[[#This Row],[District]],tbl_district_price[District],tbl_district_price[Standard Price
(INR/m³)],"",0)</f>
        <v>6200</v>
      </c>
      <c r="N396" s="364">
        <f>IF(OR(Market_Data[[#This Row],[Estimated Concrete Demand (m³)]]="",Market_Data[[#This Row],[Avg Price per (₹ / m³)]]=""),"",Market_Data[[#This Row],[Estimated Concrete Demand (m³)]]*Market_Data[[#This Row],[Avg Price per (₹ / m³)]]/10000000)</f>
        <v>14.2011</v>
      </c>
      <c r="O396" s="97" t="str">
        <f>IF(Market_Data[[#This Row],[Estimated Concrete Demand (m³)]]="","",
IF(Market_Data[[#This Row],[Estimated Concrete Demand (m³)]]&lt;10000,"Small",
IF(Market_Data[[#This Row],[Estimated Concrete Demand (m³)]]&lt;25000,"Medium",
IF(Market_Data[[#This Row],[Estimated Concrete Demand (m³)]]&lt;100000,"Large","Mega"))))</f>
        <v>Medium</v>
      </c>
      <c r="P396" s="287" t="str">
        <f t="shared" si="8"/>
        <v>GujRERA</v>
      </c>
    </row>
    <row r="397" spans="1:16">
      <c r="A397" s="129" t="str">
        <f>_xlfn.XLOOKUP(B397,$S$9:$S$14,$T$9:$T$14)&amp;"-"&amp;
IF(E397="Residential/Group Housing","RES",
IF(E397="Commercial","COM",
IF(E397="Mixed Development","MIX",
IF(E397="Plotted Development","PLT","OTH"))))
&amp;"-"&amp;TEXT(COUNTIFS($B$9:B397,B397,$E$9:E397,E397),"0000")</f>
        <v>SUR-RES-0028</v>
      </c>
      <c r="B397" s="322" t="s">
        <v>34</v>
      </c>
      <c r="C397" s="322" t="s">
        <v>34</v>
      </c>
      <c r="D397" s="323" t="s">
        <v>584</v>
      </c>
      <c r="E397" s="132" t="s">
        <v>24</v>
      </c>
      <c r="F397" s="97" t="str">
        <f ca="1">IF(OR(Market_Data[[#This Row],[Start Date]]="",Market_Data[[#This Row],[Completion Date]]=""),"Needs Validation",IF(Market_Data[[#This Row],[Start Date]]&gt;TODAY(),"Planned",IF(Market_Data[[#This Row],[Completion Date]]&lt;TODAY(),"Completed","Ongoing")))</f>
        <v>Completed</v>
      </c>
      <c r="G397" s="324">
        <v>43497</v>
      </c>
      <c r="H397" s="324">
        <v>45015</v>
      </c>
      <c r="I397" s="325">
        <v>15500</v>
      </c>
      <c r="J39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97" s="133">
        <f>_xlfn.XLOOKUP(Market_Data[[#This Row],[Project Type]],tbl_assumptions_market[Project Category (RERA)],tbl_assumptions_market[Concrete Intensity
(m³ / sq m BUA)],"",0)</f>
        <v>0.45</v>
      </c>
      <c r="L397" s="134">
        <f>ROUND(Market_Data[[#This Row],[Estimated Built Up Area (sq m)]]*Market_Data[[#This Row],[Concrete Intensity
(m³ / sq m)]],0)</f>
        <v>6975</v>
      </c>
      <c r="M397" s="135">
        <f>_xlfn.XLOOKUP(Market_Data[[#This Row],[District]],tbl_district_price[District],tbl_district_price[Standard Price
(INR/m³)],"",0)</f>
        <v>6200</v>
      </c>
      <c r="N397" s="364">
        <f>IF(OR(Market_Data[[#This Row],[Estimated Concrete Demand (m³)]]="",Market_Data[[#This Row],[Avg Price per (₹ / m³)]]=""),"",Market_Data[[#This Row],[Estimated Concrete Demand (m³)]]*Market_Data[[#This Row],[Avg Price per (₹ / m³)]]/10000000)</f>
        <v>4.3244999999999996</v>
      </c>
      <c r="O397" s="97" t="str">
        <f>IF(Market_Data[[#This Row],[Estimated Concrete Demand (m³)]]="","",
IF(Market_Data[[#This Row],[Estimated Concrete Demand (m³)]]&lt;10000,"Small",
IF(Market_Data[[#This Row],[Estimated Concrete Demand (m³)]]&lt;25000,"Medium",
IF(Market_Data[[#This Row],[Estimated Concrete Demand (m³)]]&lt;100000,"Large","Mega"))))</f>
        <v>Small</v>
      </c>
      <c r="P397" s="287" t="str">
        <f t="shared" si="8"/>
        <v>GujRERA</v>
      </c>
    </row>
    <row r="398" spans="1:16">
      <c r="A398" s="129" t="str">
        <f>_xlfn.XLOOKUP(B398,$S$9:$S$14,$T$9:$T$14)&amp;"-"&amp;
IF(E398="Residential/Group Housing","RES",
IF(E398="Commercial","COM",
IF(E398="Mixed Development","MIX",
IF(E398="Plotted Development","PLT","OTH"))))
&amp;"-"&amp;TEXT(COUNTIFS($B$9:B398,B398,$E$9:E398,E398),"0000")</f>
        <v>SUR-RES-0029</v>
      </c>
      <c r="B398" s="322" t="s">
        <v>34</v>
      </c>
      <c r="C398" s="322" t="s">
        <v>34</v>
      </c>
      <c r="D398" s="323" t="s">
        <v>585</v>
      </c>
      <c r="E398" s="132" t="s">
        <v>24</v>
      </c>
      <c r="F398" s="97" t="str">
        <f ca="1">IF(OR(Market_Data[[#This Row],[Start Date]]="",Market_Data[[#This Row],[Completion Date]]=""),"Needs Validation",IF(Market_Data[[#This Row],[Start Date]]&gt;TODAY(),"Planned",IF(Market_Data[[#This Row],[Completion Date]]&lt;TODAY(),"Completed","Ongoing")))</f>
        <v>Ongoing</v>
      </c>
      <c r="G398" s="324">
        <v>45883</v>
      </c>
      <c r="H398" s="324">
        <v>48213</v>
      </c>
      <c r="I398" s="325">
        <v>12400</v>
      </c>
      <c r="J39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98" s="133">
        <f>_xlfn.XLOOKUP(Market_Data[[#This Row],[Project Type]],tbl_assumptions_market[Project Category (RERA)],tbl_assumptions_market[Concrete Intensity
(m³ / sq m BUA)],"",0)</f>
        <v>0.45</v>
      </c>
      <c r="L398" s="134">
        <f>ROUND(Market_Data[[#This Row],[Estimated Built Up Area (sq m)]]*Market_Data[[#This Row],[Concrete Intensity
(m³ / sq m)]],0)</f>
        <v>5580</v>
      </c>
      <c r="M398" s="135">
        <f>_xlfn.XLOOKUP(Market_Data[[#This Row],[District]],tbl_district_price[District],tbl_district_price[Standard Price
(INR/m³)],"",0)</f>
        <v>6200</v>
      </c>
      <c r="N398" s="364">
        <f>IF(OR(Market_Data[[#This Row],[Estimated Concrete Demand (m³)]]="",Market_Data[[#This Row],[Avg Price per (₹ / m³)]]=""),"",Market_Data[[#This Row],[Estimated Concrete Demand (m³)]]*Market_Data[[#This Row],[Avg Price per (₹ / m³)]]/10000000)</f>
        <v>3.4596</v>
      </c>
      <c r="O398" s="97" t="str">
        <f>IF(Market_Data[[#This Row],[Estimated Concrete Demand (m³)]]="","",
IF(Market_Data[[#This Row],[Estimated Concrete Demand (m³)]]&lt;10000,"Small",
IF(Market_Data[[#This Row],[Estimated Concrete Demand (m³)]]&lt;25000,"Medium",
IF(Market_Data[[#This Row],[Estimated Concrete Demand (m³)]]&lt;100000,"Large","Mega"))))</f>
        <v>Small</v>
      </c>
      <c r="P398" s="287" t="str">
        <f t="shared" si="8"/>
        <v>GujRERA</v>
      </c>
    </row>
    <row r="399" spans="1:16">
      <c r="A399" s="129" t="str">
        <f>_xlfn.XLOOKUP(B399,$S$9:$S$14,$T$9:$T$14)&amp;"-"&amp;
IF(E399="Residential/Group Housing","RES",
IF(E399="Commercial","COM",
IF(E399="Mixed Development","MIX",
IF(E399="Plotted Development","PLT","OTH"))))
&amp;"-"&amp;TEXT(COUNTIFS($B$9:B399,B399,$E$9:E399,E399),"0000")</f>
        <v>SUR-MIX-0017</v>
      </c>
      <c r="B399" s="322" t="s">
        <v>34</v>
      </c>
      <c r="C399" s="322" t="s">
        <v>34</v>
      </c>
      <c r="D399" s="323" t="s">
        <v>586</v>
      </c>
      <c r="E399" s="132" t="s">
        <v>25</v>
      </c>
      <c r="F399" s="97" t="str">
        <f ca="1">IF(OR(Market_Data[[#This Row],[Start Date]]="",Market_Data[[#This Row],[Completion Date]]=""),"Needs Validation",IF(Market_Data[[#This Row],[Start Date]]&gt;TODAY(),"Planned",IF(Market_Data[[#This Row],[Completion Date]]&lt;TODAY(),"Completed","Ongoing")))</f>
        <v>Ongoing</v>
      </c>
      <c r="G399" s="324">
        <v>45468</v>
      </c>
      <c r="H399" s="324">
        <v>47269</v>
      </c>
      <c r="I399" s="325">
        <v>10800</v>
      </c>
      <c r="J39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99" s="133">
        <f>_xlfn.XLOOKUP(Market_Data[[#This Row],[Project Type]],tbl_assumptions_market[Project Category (RERA)],tbl_assumptions_market[Concrete Intensity
(m³ / sq m BUA)],"",0)</f>
        <v>0.42</v>
      </c>
      <c r="L399" s="134">
        <f>ROUND(Market_Data[[#This Row],[Estimated Built Up Area (sq m)]]*Market_Data[[#This Row],[Concrete Intensity
(m³ / sq m)]],0)</f>
        <v>4536</v>
      </c>
      <c r="M399" s="135">
        <f>_xlfn.XLOOKUP(Market_Data[[#This Row],[District]],tbl_district_price[District],tbl_district_price[Standard Price
(INR/m³)],"",0)</f>
        <v>6200</v>
      </c>
      <c r="N399" s="364">
        <f>IF(OR(Market_Data[[#This Row],[Estimated Concrete Demand (m³)]]="",Market_Data[[#This Row],[Avg Price per (₹ / m³)]]=""),"",Market_Data[[#This Row],[Estimated Concrete Demand (m³)]]*Market_Data[[#This Row],[Avg Price per (₹ / m³)]]/10000000)</f>
        <v>2.8123200000000002</v>
      </c>
      <c r="O399" s="97" t="str">
        <f>IF(Market_Data[[#This Row],[Estimated Concrete Demand (m³)]]="","",
IF(Market_Data[[#This Row],[Estimated Concrete Demand (m³)]]&lt;10000,"Small",
IF(Market_Data[[#This Row],[Estimated Concrete Demand (m³)]]&lt;25000,"Medium",
IF(Market_Data[[#This Row],[Estimated Concrete Demand (m³)]]&lt;100000,"Large","Mega"))))</f>
        <v>Small</v>
      </c>
      <c r="P399" s="287" t="str">
        <f t="shared" si="8"/>
        <v>GujRERA</v>
      </c>
    </row>
    <row r="400" spans="1:16">
      <c r="A400" s="129" t="str">
        <f>_xlfn.XLOOKUP(B400,$S$9:$S$14,$T$9:$T$14)&amp;"-"&amp;
IF(E400="Residential/Group Housing","RES",
IF(E400="Commercial","COM",
IF(E400="Mixed Development","MIX",
IF(E400="Plotted Development","PLT","OTH"))))
&amp;"-"&amp;TEXT(COUNTIFS($B$9:B400,B400,$E$9:E400,E400),"0000")</f>
        <v>SUR-PLT-0020</v>
      </c>
      <c r="B400" s="322" t="s">
        <v>34</v>
      </c>
      <c r="C400" s="322" t="s">
        <v>34</v>
      </c>
      <c r="D400" s="323" t="s">
        <v>587</v>
      </c>
      <c r="E400" s="132" t="s">
        <v>26</v>
      </c>
      <c r="F400" s="97" t="str">
        <f ca="1">IF(OR(Market_Data[[#This Row],[Start Date]]="",Market_Data[[#This Row],[Completion Date]]=""),"Needs Validation",IF(Market_Data[[#This Row],[Start Date]]&gt;TODAY(),"Planned",IF(Market_Data[[#This Row],[Completion Date]]&lt;TODAY(),"Completed","Ongoing")))</f>
        <v>Ongoing</v>
      </c>
      <c r="G400" s="324">
        <v>44938</v>
      </c>
      <c r="H400" s="324">
        <v>46387</v>
      </c>
      <c r="I400" s="325">
        <v>40100</v>
      </c>
      <c r="J40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400" s="133">
        <f>_xlfn.XLOOKUP(Market_Data[[#This Row],[Project Type]],tbl_assumptions_market[Project Category (RERA)],tbl_assumptions_market[Concrete Intensity
(m³ / sq m BUA)],"",0)</f>
        <v>0.18</v>
      </c>
      <c r="L400" s="134">
        <f>ROUND(Market_Data[[#This Row],[Estimated Built Up Area (sq m)]]*Market_Data[[#This Row],[Concrete Intensity
(m³ / sq m)]],0)</f>
        <v>7218</v>
      </c>
      <c r="M400" s="135">
        <f>_xlfn.XLOOKUP(Market_Data[[#This Row],[District]],tbl_district_price[District],tbl_district_price[Standard Price
(INR/m³)],"",0)</f>
        <v>6200</v>
      </c>
      <c r="N400" s="364">
        <f>IF(OR(Market_Data[[#This Row],[Estimated Concrete Demand (m³)]]="",Market_Data[[#This Row],[Avg Price per (₹ / m³)]]=""),"",Market_Data[[#This Row],[Estimated Concrete Demand (m³)]]*Market_Data[[#This Row],[Avg Price per (₹ / m³)]]/10000000)</f>
        <v>4.4751599999999998</v>
      </c>
      <c r="O400" s="97" t="str">
        <f>IF(Market_Data[[#This Row],[Estimated Concrete Demand (m³)]]="","",
IF(Market_Data[[#This Row],[Estimated Concrete Demand (m³)]]&lt;10000,"Small",
IF(Market_Data[[#This Row],[Estimated Concrete Demand (m³)]]&lt;25000,"Medium",
IF(Market_Data[[#This Row],[Estimated Concrete Demand (m³)]]&lt;100000,"Large","Mega"))))</f>
        <v>Small</v>
      </c>
      <c r="P400" s="287" t="str">
        <f t="shared" si="8"/>
        <v>GujRERA</v>
      </c>
    </row>
    <row r="401" spans="1:16">
      <c r="A401" s="129" t="str">
        <f>_xlfn.XLOOKUP(B401,$S$9:$S$14,$T$9:$T$14)&amp;"-"&amp;
IF(E401="Residential/Group Housing","RES",
IF(E401="Commercial","COM",
IF(E401="Mixed Development","MIX",
IF(E401="Plotted Development","PLT","OTH"))))
&amp;"-"&amp;TEXT(COUNTIFS($B$9:B401,B401,$E$9:E401,E401),"0000")</f>
        <v>SUR-RES-0030</v>
      </c>
      <c r="B401" s="322" t="s">
        <v>34</v>
      </c>
      <c r="C401" s="322" t="s">
        <v>34</v>
      </c>
      <c r="D401" s="323" t="s">
        <v>588</v>
      </c>
      <c r="E401" s="132" t="s">
        <v>24</v>
      </c>
      <c r="F401" s="97" t="str">
        <f ca="1">IF(OR(Market_Data[[#This Row],[Start Date]]="",Market_Data[[#This Row],[Completion Date]]=""),"Needs Validation",IF(Market_Data[[#This Row],[Start Date]]&gt;TODAY(),"Planned",IF(Market_Data[[#This Row],[Completion Date]]&lt;TODAY(),"Completed","Ongoing")))</f>
        <v>Ongoing</v>
      </c>
      <c r="G401" s="324">
        <v>45652</v>
      </c>
      <c r="H401" s="324">
        <v>47848</v>
      </c>
      <c r="I401" s="325">
        <v>54500</v>
      </c>
      <c r="J40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01" s="133">
        <f>_xlfn.XLOOKUP(Market_Data[[#This Row],[Project Type]],tbl_assumptions_market[Project Category (RERA)],tbl_assumptions_market[Concrete Intensity
(m³ / sq m BUA)],"",0)</f>
        <v>0.45</v>
      </c>
      <c r="L401" s="134">
        <f>ROUND(Market_Data[[#This Row],[Estimated Built Up Area (sq m)]]*Market_Data[[#This Row],[Concrete Intensity
(m³ / sq m)]],0)</f>
        <v>24525</v>
      </c>
      <c r="M401" s="135">
        <f>_xlfn.XLOOKUP(Market_Data[[#This Row],[District]],tbl_district_price[District],tbl_district_price[Standard Price
(INR/m³)],"",0)</f>
        <v>6200</v>
      </c>
      <c r="N401" s="364">
        <f>IF(OR(Market_Data[[#This Row],[Estimated Concrete Demand (m³)]]="",Market_Data[[#This Row],[Avg Price per (₹ / m³)]]=""),"",Market_Data[[#This Row],[Estimated Concrete Demand (m³)]]*Market_Data[[#This Row],[Avg Price per (₹ / m³)]]/10000000)</f>
        <v>15.205500000000001</v>
      </c>
      <c r="O401" s="97" t="str">
        <f>IF(Market_Data[[#This Row],[Estimated Concrete Demand (m³)]]="","",
IF(Market_Data[[#This Row],[Estimated Concrete Demand (m³)]]&lt;10000,"Small",
IF(Market_Data[[#This Row],[Estimated Concrete Demand (m³)]]&lt;25000,"Medium",
IF(Market_Data[[#This Row],[Estimated Concrete Demand (m³)]]&lt;100000,"Large","Mega"))))</f>
        <v>Medium</v>
      </c>
      <c r="P401" s="287" t="str">
        <f t="shared" si="8"/>
        <v>GujRERA</v>
      </c>
    </row>
    <row r="402" spans="1:16">
      <c r="A402" s="129" t="str">
        <f>_xlfn.XLOOKUP(B402,$S$9:$S$14,$T$9:$T$14)&amp;"-"&amp;
IF(E402="Residential/Group Housing","RES",
IF(E402="Commercial","COM",
IF(E402="Mixed Development","MIX",
IF(E402="Plotted Development","PLT","OTH"))))
&amp;"-"&amp;TEXT(COUNTIFS($B$9:B402,B402,$E$9:E402,E402),"0000")</f>
        <v>SUR-PLT-0021</v>
      </c>
      <c r="B402" s="322" t="s">
        <v>34</v>
      </c>
      <c r="C402" s="322" t="s">
        <v>34</v>
      </c>
      <c r="D402" s="323" t="s">
        <v>589</v>
      </c>
      <c r="E402" s="132" t="s">
        <v>26</v>
      </c>
      <c r="F402" s="97" t="str">
        <f ca="1">IF(OR(Market_Data[[#This Row],[Start Date]]="",Market_Data[[#This Row],[Completion Date]]=""),"Needs Validation",IF(Market_Data[[#This Row],[Start Date]]&gt;TODAY(),"Planned",IF(Market_Data[[#This Row],[Completion Date]]&lt;TODAY(),"Completed","Ongoing")))</f>
        <v>Ongoing</v>
      </c>
      <c r="G402" s="324">
        <v>45689</v>
      </c>
      <c r="H402" s="324">
        <v>47118</v>
      </c>
      <c r="I402" s="325">
        <v>21800</v>
      </c>
      <c r="J40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02" s="133">
        <f>_xlfn.XLOOKUP(Market_Data[[#This Row],[Project Type]],tbl_assumptions_market[Project Category (RERA)],tbl_assumptions_market[Concrete Intensity
(m³ / sq m BUA)],"",0)</f>
        <v>0.18</v>
      </c>
      <c r="L402" s="134">
        <f>ROUND(Market_Data[[#This Row],[Estimated Built Up Area (sq m)]]*Market_Data[[#This Row],[Concrete Intensity
(m³ / sq m)]],0)</f>
        <v>3924</v>
      </c>
      <c r="M402" s="135">
        <f>_xlfn.XLOOKUP(Market_Data[[#This Row],[District]],tbl_district_price[District],tbl_district_price[Standard Price
(INR/m³)],"",0)</f>
        <v>6200</v>
      </c>
      <c r="N402" s="364">
        <f>IF(OR(Market_Data[[#This Row],[Estimated Concrete Demand (m³)]]="",Market_Data[[#This Row],[Avg Price per (₹ / m³)]]=""),"",Market_Data[[#This Row],[Estimated Concrete Demand (m³)]]*Market_Data[[#This Row],[Avg Price per (₹ / m³)]]/10000000)</f>
        <v>2.4328799999999999</v>
      </c>
      <c r="O402" s="97" t="str">
        <f>IF(Market_Data[[#This Row],[Estimated Concrete Demand (m³)]]="","",
IF(Market_Data[[#This Row],[Estimated Concrete Demand (m³)]]&lt;10000,"Small",
IF(Market_Data[[#This Row],[Estimated Concrete Demand (m³)]]&lt;25000,"Medium",
IF(Market_Data[[#This Row],[Estimated Concrete Demand (m³)]]&lt;100000,"Large","Mega"))))</f>
        <v>Small</v>
      </c>
      <c r="P402" s="287" t="str">
        <f t="shared" si="8"/>
        <v>GujRERA</v>
      </c>
    </row>
    <row r="403" spans="1:16">
      <c r="A403" s="129" t="str">
        <f>_xlfn.XLOOKUP(B403,$S$9:$S$14,$T$9:$T$14)&amp;"-"&amp;
IF(E403="Residential/Group Housing","RES",
IF(E403="Commercial","COM",
IF(E403="Mixed Development","MIX",
IF(E403="Plotted Development","PLT","OTH"))))
&amp;"-"&amp;TEXT(COUNTIFS($B$9:B403,B403,$E$9:E403,E403),"0000")</f>
        <v>SUR-RES-0031</v>
      </c>
      <c r="B403" s="322" t="s">
        <v>34</v>
      </c>
      <c r="C403" s="322" t="s">
        <v>34</v>
      </c>
      <c r="D403" s="323" t="s">
        <v>590</v>
      </c>
      <c r="E403" s="132" t="s">
        <v>24</v>
      </c>
      <c r="F403" s="97" t="str">
        <f ca="1">IF(OR(Market_Data[[#This Row],[Start Date]]="",Market_Data[[#This Row],[Completion Date]]=""),"Needs Validation",IF(Market_Data[[#This Row],[Start Date]]&gt;TODAY(),"Planned",IF(Market_Data[[#This Row],[Completion Date]]&lt;TODAY(),"Completed","Ongoing")))</f>
        <v>Ongoing</v>
      </c>
      <c r="G403" s="324">
        <v>44958</v>
      </c>
      <c r="H403" s="324">
        <v>49674</v>
      </c>
      <c r="I403" s="325">
        <v>47800</v>
      </c>
      <c r="J40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03" s="133">
        <f>_xlfn.XLOOKUP(Market_Data[[#This Row],[Project Type]],tbl_assumptions_market[Project Category (RERA)],tbl_assumptions_market[Concrete Intensity
(m³ / sq m BUA)],"",0)</f>
        <v>0.45</v>
      </c>
      <c r="L403" s="134">
        <f>ROUND(Market_Data[[#This Row],[Estimated Built Up Area (sq m)]]*Market_Data[[#This Row],[Concrete Intensity
(m³ / sq m)]],0)</f>
        <v>21510</v>
      </c>
      <c r="M403" s="135">
        <f>_xlfn.XLOOKUP(Market_Data[[#This Row],[District]],tbl_district_price[District],tbl_district_price[Standard Price
(INR/m³)],"",0)</f>
        <v>6200</v>
      </c>
      <c r="N403" s="364">
        <f>IF(OR(Market_Data[[#This Row],[Estimated Concrete Demand (m³)]]="",Market_Data[[#This Row],[Avg Price per (₹ / m³)]]=""),"",Market_Data[[#This Row],[Estimated Concrete Demand (m³)]]*Market_Data[[#This Row],[Avg Price per (₹ / m³)]]/10000000)</f>
        <v>13.3362</v>
      </c>
      <c r="O403" s="97" t="str">
        <f>IF(Market_Data[[#This Row],[Estimated Concrete Demand (m³)]]="","",
IF(Market_Data[[#This Row],[Estimated Concrete Demand (m³)]]&lt;10000,"Small",
IF(Market_Data[[#This Row],[Estimated Concrete Demand (m³)]]&lt;25000,"Medium",
IF(Market_Data[[#This Row],[Estimated Concrete Demand (m³)]]&lt;100000,"Large","Mega"))))</f>
        <v>Medium</v>
      </c>
      <c r="P403" s="287" t="str">
        <f t="shared" si="8"/>
        <v>GujRERA</v>
      </c>
    </row>
    <row r="404" spans="1:16">
      <c r="A404" s="129" t="str">
        <f>_xlfn.XLOOKUP(B404,$S$9:$S$14,$T$9:$T$14)&amp;"-"&amp;
IF(E404="Residential/Group Housing","RES",
IF(E404="Commercial","COM",
IF(E404="Mixed Development","MIX",
IF(E404="Plotted Development","PLT","OTH"))))
&amp;"-"&amp;TEXT(COUNTIFS($B$9:B404,B404,$E$9:E404,E404),"0000")</f>
        <v>SUR-MIX-0018</v>
      </c>
      <c r="B404" s="322" t="s">
        <v>34</v>
      </c>
      <c r="C404" s="322" t="s">
        <v>34</v>
      </c>
      <c r="D404" s="323" t="s">
        <v>591</v>
      </c>
      <c r="E404" s="132" t="s">
        <v>25</v>
      </c>
      <c r="F404" s="97" t="str">
        <f ca="1">IF(OR(Market_Data[[#This Row],[Start Date]]="",Market_Data[[#This Row],[Completion Date]]=""),"Needs Validation",IF(Market_Data[[#This Row],[Start Date]]&gt;TODAY(),"Planned",IF(Market_Data[[#This Row],[Completion Date]]&lt;TODAY(),"Completed","Ongoing")))</f>
        <v>Completed</v>
      </c>
      <c r="G404" s="324">
        <v>43711</v>
      </c>
      <c r="H404" s="324">
        <v>45930</v>
      </c>
      <c r="I404" s="325">
        <v>40800</v>
      </c>
      <c r="J40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04" s="133">
        <f>_xlfn.XLOOKUP(Market_Data[[#This Row],[Project Type]],tbl_assumptions_market[Project Category (RERA)],tbl_assumptions_market[Concrete Intensity
(m³ / sq m BUA)],"",0)</f>
        <v>0.42</v>
      </c>
      <c r="L404" s="134">
        <f>ROUND(Market_Data[[#This Row],[Estimated Built Up Area (sq m)]]*Market_Data[[#This Row],[Concrete Intensity
(m³ / sq m)]],0)</f>
        <v>17136</v>
      </c>
      <c r="M404" s="135">
        <f>_xlfn.XLOOKUP(Market_Data[[#This Row],[District]],tbl_district_price[District],tbl_district_price[Standard Price
(INR/m³)],"",0)</f>
        <v>6200</v>
      </c>
      <c r="N404" s="364">
        <f>IF(OR(Market_Data[[#This Row],[Estimated Concrete Demand (m³)]]="",Market_Data[[#This Row],[Avg Price per (₹ / m³)]]=""),"",Market_Data[[#This Row],[Estimated Concrete Demand (m³)]]*Market_Data[[#This Row],[Avg Price per (₹ / m³)]]/10000000)</f>
        <v>10.624320000000001</v>
      </c>
      <c r="O404" s="97" t="str">
        <f>IF(Market_Data[[#This Row],[Estimated Concrete Demand (m³)]]="","",
IF(Market_Data[[#This Row],[Estimated Concrete Demand (m³)]]&lt;10000,"Small",
IF(Market_Data[[#This Row],[Estimated Concrete Demand (m³)]]&lt;25000,"Medium",
IF(Market_Data[[#This Row],[Estimated Concrete Demand (m³)]]&lt;100000,"Large","Mega"))))</f>
        <v>Medium</v>
      </c>
      <c r="P404" s="287" t="str">
        <f t="shared" si="8"/>
        <v>GujRERA</v>
      </c>
    </row>
    <row r="405" spans="1:16">
      <c r="A405" s="129" t="str">
        <f>_xlfn.XLOOKUP(B405,$S$9:$S$14,$T$9:$T$14)&amp;"-"&amp;
IF(E405="Residential/Group Housing","RES",
IF(E405="Commercial","COM",
IF(E405="Mixed Development","MIX",
IF(E405="Plotted Development","PLT","OTH"))))
&amp;"-"&amp;TEXT(COUNTIFS($B$9:B405,B405,$E$9:E405,E405),"0000")</f>
        <v>SUR-PLT-0022</v>
      </c>
      <c r="B405" s="322" t="s">
        <v>34</v>
      </c>
      <c r="C405" s="322" t="s">
        <v>34</v>
      </c>
      <c r="D405" s="323" t="s">
        <v>592</v>
      </c>
      <c r="E405" s="132" t="s">
        <v>26</v>
      </c>
      <c r="F405" s="97" t="str">
        <f ca="1">IF(OR(Market_Data[[#This Row],[Start Date]]="",Market_Data[[#This Row],[Completion Date]]=""),"Needs Validation",IF(Market_Data[[#This Row],[Start Date]]&gt;TODAY(),"Planned",IF(Market_Data[[#This Row],[Completion Date]]&lt;TODAY(),"Completed","Ongoing")))</f>
        <v>Completed</v>
      </c>
      <c r="G405" s="324">
        <v>42346</v>
      </c>
      <c r="H405" s="324">
        <v>44834</v>
      </c>
      <c r="I405" s="325">
        <v>26700</v>
      </c>
      <c r="J40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05" s="133">
        <f>_xlfn.XLOOKUP(Market_Data[[#This Row],[Project Type]],tbl_assumptions_market[Project Category (RERA)],tbl_assumptions_market[Concrete Intensity
(m³ / sq m BUA)],"",0)</f>
        <v>0.18</v>
      </c>
      <c r="L405" s="134">
        <f>ROUND(Market_Data[[#This Row],[Estimated Built Up Area (sq m)]]*Market_Data[[#This Row],[Concrete Intensity
(m³ / sq m)]],0)</f>
        <v>4806</v>
      </c>
      <c r="M405" s="135">
        <f>_xlfn.XLOOKUP(Market_Data[[#This Row],[District]],tbl_district_price[District],tbl_district_price[Standard Price
(INR/m³)],"",0)</f>
        <v>6200</v>
      </c>
      <c r="N405" s="364">
        <f>IF(OR(Market_Data[[#This Row],[Estimated Concrete Demand (m³)]]="",Market_Data[[#This Row],[Avg Price per (₹ / m³)]]=""),"",Market_Data[[#This Row],[Estimated Concrete Demand (m³)]]*Market_Data[[#This Row],[Avg Price per (₹ / m³)]]/10000000)</f>
        <v>2.9797199999999999</v>
      </c>
      <c r="O405" s="97" t="str">
        <f>IF(Market_Data[[#This Row],[Estimated Concrete Demand (m³)]]="","",
IF(Market_Data[[#This Row],[Estimated Concrete Demand (m³)]]&lt;10000,"Small",
IF(Market_Data[[#This Row],[Estimated Concrete Demand (m³)]]&lt;25000,"Medium",
IF(Market_Data[[#This Row],[Estimated Concrete Demand (m³)]]&lt;100000,"Large","Mega"))))</f>
        <v>Small</v>
      </c>
      <c r="P405" s="287" t="str">
        <f t="shared" si="8"/>
        <v>GujRERA</v>
      </c>
    </row>
    <row r="406" spans="1:16">
      <c r="A406" s="129" t="str">
        <f>_xlfn.XLOOKUP(B406,$S$9:$S$14,$T$9:$T$14)&amp;"-"&amp;
IF(E406="Residential/Group Housing","RES",
IF(E406="Commercial","COM",
IF(E406="Mixed Development","MIX",
IF(E406="Plotted Development","PLT","OTH"))))
&amp;"-"&amp;TEXT(COUNTIFS($B$9:B406,B406,$E$9:E406,E406),"0000")</f>
        <v>SUR-RES-0032</v>
      </c>
      <c r="B406" s="322" t="s">
        <v>34</v>
      </c>
      <c r="C406" s="322" t="s">
        <v>34</v>
      </c>
      <c r="D406" s="323" t="s">
        <v>593</v>
      </c>
      <c r="E406" s="132" t="s">
        <v>24</v>
      </c>
      <c r="F406" s="97" t="str">
        <f ca="1">IF(OR(Market_Data[[#This Row],[Start Date]]="",Market_Data[[#This Row],[Completion Date]]=""),"Needs Validation",IF(Market_Data[[#This Row],[Start Date]]&gt;TODAY(),"Planned",IF(Market_Data[[#This Row],[Completion Date]]&lt;TODAY(),"Completed","Ongoing")))</f>
        <v>Ongoing</v>
      </c>
      <c r="G406" s="324">
        <v>41549</v>
      </c>
      <c r="H406" s="324">
        <v>47564</v>
      </c>
      <c r="I406" s="325">
        <v>44300</v>
      </c>
      <c r="J40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06" s="133">
        <f>_xlfn.XLOOKUP(Market_Data[[#This Row],[Project Type]],tbl_assumptions_market[Project Category (RERA)],tbl_assumptions_market[Concrete Intensity
(m³ / sq m BUA)],"",0)</f>
        <v>0.45</v>
      </c>
      <c r="L406" s="134">
        <f>ROUND(Market_Data[[#This Row],[Estimated Built Up Area (sq m)]]*Market_Data[[#This Row],[Concrete Intensity
(m³ / sq m)]],0)</f>
        <v>19935</v>
      </c>
      <c r="M406" s="135">
        <f>_xlfn.XLOOKUP(Market_Data[[#This Row],[District]],tbl_district_price[District],tbl_district_price[Standard Price
(INR/m³)],"",0)</f>
        <v>6200</v>
      </c>
      <c r="N406" s="364">
        <f>IF(OR(Market_Data[[#This Row],[Estimated Concrete Demand (m³)]]="",Market_Data[[#This Row],[Avg Price per (₹ / m³)]]=""),"",Market_Data[[#This Row],[Estimated Concrete Demand (m³)]]*Market_Data[[#This Row],[Avg Price per (₹ / m³)]]/10000000)</f>
        <v>12.3597</v>
      </c>
      <c r="O406" s="97" t="str">
        <f>IF(Market_Data[[#This Row],[Estimated Concrete Demand (m³)]]="","",
IF(Market_Data[[#This Row],[Estimated Concrete Demand (m³)]]&lt;10000,"Small",
IF(Market_Data[[#This Row],[Estimated Concrete Demand (m³)]]&lt;25000,"Medium",
IF(Market_Data[[#This Row],[Estimated Concrete Demand (m³)]]&lt;100000,"Large","Mega"))))</f>
        <v>Medium</v>
      </c>
      <c r="P406" s="287" t="str">
        <f t="shared" si="8"/>
        <v>GujRERA</v>
      </c>
    </row>
    <row r="407" spans="1:16">
      <c r="A407" s="129" t="str">
        <f>_xlfn.XLOOKUP(B407,$S$9:$S$14,$T$9:$T$14)&amp;"-"&amp;
IF(E407="Residential/Group Housing","RES",
IF(E407="Commercial","COM",
IF(E407="Mixed Development","MIX",
IF(E407="Plotted Development","PLT","OTH"))))
&amp;"-"&amp;TEXT(COUNTIFS($B$9:B407,B407,$E$9:E407,E407),"0000")</f>
        <v>SUR-PLT-0023</v>
      </c>
      <c r="B407" s="322" t="s">
        <v>34</v>
      </c>
      <c r="C407" s="322" t="s">
        <v>34</v>
      </c>
      <c r="D407" s="323" t="s">
        <v>594</v>
      </c>
      <c r="E407" s="132" t="s">
        <v>26</v>
      </c>
      <c r="F407" s="97" t="str">
        <f ca="1">IF(OR(Market_Data[[#This Row],[Start Date]]="",Market_Data[[#This Row],[Completion Date]]=""),"Needs Validation",IF(Market_Data[[#This Row],[Start Date]]&gt;TODAY(),"Planned",IF(Market_Data[[#This Row],[Completion Date]]&lt;TODAY(),"Completed","Ongoing")))</f>
        <v>Completed</v>
      </c>
      <c r="G407" s="324">
        <v>44525</v>
      </c>
      <c r="H407" s="324">
        <v>45747</v>
      </c>
      <c r="I407" s="325">
        <v>39300</v>
      </c>
      <c r="J40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407" s="133">
        <f>_xlfn.XLOOKUP(Market_Data[[#This Row],[Project Type]],tbl_assumptions_market[Project Category (RERA)],tbl_assumptions_market[Concrete Intensity
(m³ / sq m BUA)],"",0)</f>
        <v>0.18</v>
      </c>
      <c r="L407" s="134">
        <f>ROUND(Market_Data[[#This Row],[Estimated Built Up Area (sq m)]]*Market_Data[[#This Row],[Concrete Intensity
(m³ / sq m)]],0)</f>
        <v>7074</v>
      </c>
      <c r="M407" s="135">
        <f>_xlfn.XLOOKUP(Market_Data[[#This Row],[District]],tbl_district_price[District],tbl_district_price[Standard Price
(INR/m³)],"",0)</f>
        <v>6200</v>
      </c>
      <c r="N407" s="364">
        <f>IF(OR(Market_Data[[#This Row],[Estimated Concrete Demand (m³)]]="",Market_Data[[#This Row],[Avg Price per (₹ / m³)]]=""),"",Market_Data[[#This Row],[Estimated Concrete Demand (m³)]]*Market_Data[[#This Row],[Avg Price per (₹ / m³)]]/10000000)</f>
        <v>4.3858800000000002</v>
      </c>
      <c r="O407" s="97" t="str">
        <f>IF(Market_Data[[#This Row],[Estimated Concrete Demand (m³)]]="","",
IF(Market_Data[[#This Row],[Estimated Concrete Demand (m³)]]&lt;10000,"Small",
IF(Market_Data[[#This Row],[Estimated Concrete Demand (m³)]]&lt;25000,"Medium",
IF(Market_Data[[#This Row],[Estimated Concrete Demand (m³)]]&lt;100000,"Large","Mega"))))</f>
        <v>Small</v>
      </c>
      <c r="P407" s="287" t="str">
        <f t="shared" si="8"/>
        <v>GujRERA</v>
      </c>
    </row>
    <row r="408" spans="1:16">
      <c r="A408" s="129" t="str">
        <f>_xlfn.XLOOKUP(B408,$S$9:$S$14,$T$9:$T$14)&amp;"-"&amp;
IF(E408="Residential/Group Housing","RES",
IF(E408="Commercial","COM",
IF(E408="Mixed Development","MIX",
IF(E408="Plotted Development","PLT","OTH"))))
&amp;"-"&amp;TEXT(COUNTIFS($B$9:B408,B408,$E$9:E408,E408),"0000")</f>
        <v>SUR-RES-0033</v>
      </c>
      <c r="B408" s="322" t="s">
        <v>34</v>
      </c>
      <c r="C408" s="322" t="s">
        <v>34</v>
      </c>
      <c r="D408" s="323" t="s">
        <v>595</v>
      </c>
      <c r="E408" s="132" t="s">
        <v>24</v>
      </c>
      <c r="F408" s="97" t="str">
        <f ca="1">IF(OR(Market_Data[[#This Row],[Start Date]]="",Market_Data[[#This Row],[Completion Date]]=""),"Needs Validation",IF(Market_Data[[#This Row],[Start Date]]&gt;TODAY(),"Planned",IF(Market_Data[[#This Row],[Completion Date]]&lt;TODAY(),"Completed","Ongoing")))</f>
        <v>Ongoing</v>
      </c>
      <c r="G408" s="324">
        <v>45034</v>
      </c>
      <c r="H408" s="324">
        <v>46477</v>
      </c>
      <c r="I408" s="325">
        <v>49600</v>
      </c>
      <c r="J40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08" s="133">
        <f>_xlfn.XLOOKUP(Market_Data[[#This Row],[Project Type]],tbl_assumptions_market[Project Category (RERA)],tbl_assumptions_market[Concrete Intensity
(m³ / sq m BUA)],"",0)</f>
        <v>0.45</v>
      </c>
      <c r="L408" s="134">
        <f>ROUND(Market_Data[[#This Row],[Estimated Built Up Area (sq m)]]*Market_Data[[#This Row],[Concrete Intensity
(m³ / sq m)]],0)</f>
        <v>22320</v>
      </c>
      <c r="M408" s="135">
        <f>_xlfn.XLOOKUP(Market_Data[[#This Row],[District]],tbl_district_price[District],tbl_district_price[Standard Price
(INR/m³)],"",0)</f>
        <v>6200</v>
      </c>
      <c r="N408" s="364">
        <f>IF(OR(Market_Data[[#This Row],[Estimated Concrete Demand (m³)]]="",Market_Data[[#This Row],[Avg Price per (₹ / m³)]]=""),"",Market_Data[[#This Row],[Estimated Concrete Demand (m³)]]*Market_Data[[#This Row],[Avg Price per (₹ / m³)]]/10000000)</f>
        <v>13.8384</v>
      </c>
      <c r="O408" s="97" t="str">
        <f>IF(Market_Data[[#This Row],[Estimated Concrete Demand (m³)]]="","",
IF(Market_Data[[#This Row],[Estimated Concrete Demand (m³)]]&lt;10000,"Small",
IF(Market_Data[[#This Row],[Estimated Concrete Demand (m³)]]&lt;25000,"Medium",
IF(Market_Data[[#This Row],[Estimated Concrete Demand (m³)]]&lt;100000,"Large","Mega"))))</f>
        <v>Medium</v>
      </c>
      <c r="P408" s="287" t="str">
        <f t="shared" si="8"/>
        <v>GujRERA</v>
      </c>
    </row>
    <row r="409" spans="1:16">
      <c r="A409" s="129" t="str">
        <f>_xlfn.XLOOKUP(B409,$S$9:$S$14,$T$9:$T$14)&amp;"-"&amp;
IF(E409="Residential/Group Housing","RES",
IF(E409="Commercial","COM",
IF(E409="Mixed Development","MIX",
IF(E409="Plotted Development","PLT","OTH"))))
&amp;"-"&amp;TEXT(COUNTIFS($B$9:B409,B409,$E$9:E409,E409),"0000")</f>
        <v>SUR-RES-0034</v>
      </c>
      <c r="B409" s="322" t="s">
        <v>34</v>
      </c>
      <c r="C409" s="322" t="s">
        <v>34</v>
      </c>
      <c r="D409" s="323" t="s">
        <v>596</v>
      </c>
      <c r="E409" s="132" t="s">
        <v>24</v>
      </c>
      <c r="F409" s="97" t="str">
        <f ca="1">IF(OR(Market_Data[[#This Row],[Start Date]]="",Market_Data[[#This Row],[Completion Date]]=""),"Needs Validation",IF(Market_Data[[#This Row],[Start Date]]&gt;TODAY(),"Planned",IF(Market_Data[[#This Row],[Completion Date]]&lt;TODAY(),"Completed","Ongoing")))</f>
        <v>Ongoing</v>
      </c>
      <c r="G409" s="324">
        <v>45839</v>
      </c>
      <c r="H409" s="324">
        <v>48579</v>
      </c>
      <c r="I409" s="325">
        <v>49900</v>
      </c>
      <c r="J40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09" s="133">
        <f>_xlfn.XLOOKUP(Market_Data[[#This Row],[Project Type]],tbl_assumptions_market[Project Category (RERA)],tbl_assumptions_market[Concrete Intensity
(m³ / sq m BUA)],"",0)</f>
        <v>0.45</v>
      </c>
      <c r="L409" s="134">
        <f>ROUND(Market_Data[[#This Row],[Estimated Built Up Area (sq m)]]*Market_Data[[#This Row],[Concrete Intensity
(m³ / sq m)]],0)</f>
        <v>22455</v>
      </c>
      <c r="M409" s="135">
        <f>_xlfn.XLOOKUP(Market_Data[[#This Row],[District]],tbl_district_price[District],tbl_district_price[Standard Price
(INR/m³)],"",0)</f>
        <v>6200</v>
      </c>
      <c r="N409" s="364">
        <f>IF(OR(Market_Data[[#This Row],[Estimated Concrete Demand (m³)]]="",Market_Data[[#This Row],[Avg Price per (₹ / m³)]]=""),"",Market_Data[[#This Row],[Estimated Concrete Demand (m³)]]*Market_Data[[#This Row],[Avg Price per (₹ / m³)]]/10000000)</f>
        <v>13.9221</v>
      </c>
      <c r="O409" s="97" t="str">
        <f>IF(Market_Data[[#This Row],[Estimated Concrete Demand (m³)]]="","",
IF(Market_Data[[#This Row],[Estimated Concrete Demand (m³)]]&lt;10000,"Small",
IF(Market_Data[[#This Row],[Estimated Concrete Demand (m³)]]&lt;25000,"Medium",
IF(Market_Data[[#This Row],[Estimated Concrete Demand (m³)]]&lt;100000,"Large","Mega"))))</f>
        <v>Medium</v>
      </c>
      <c r="P409" s="287" t="str">
        <f t="shared" si="8"/>
        <v>GujRERA</v>
      </c>
    </row>
    <row r="410" spans="1:16">
      <c r="A410" s="129" t="str">
        <f>_xlfn.XLOOKUP(B410,$S$9:$S$14,$T$9:$T$14)&amp;"-"&amp;
IF(E410="Residential/Group Housing","RES",
IF(E410="Commercial","COM",
IF(E410="Mixed Development","MIX",
IF(E410="Plotted Development","PLT","OTH"))))
&amp;"-"&amp;TEXT(COUNTIFS($B$9:B410,B410,$E$9:E410,E410),"0000")</f>
        <v>SUR-MIX-0019</v>
      </c>
      <c r="B410" s="322" t="s">
        <v>34</v>
      </c>
      <c r="C410" s="322" t="s">
        <v>34</v>
      </c>
      <c r="D410" s="323" t="s">
        <v>597</v>
      </c>
      <c r="E410" s="132" t="s">
        <v>25</v>
      </c>
      <c r="F410" s="97" t="str">
        <f ca="1">IF(OR(Market_Data[[#This Row],[Start Date]]="",Market_Data[[#This Row],[Completion Date]]=""),"Needs Validation",IF(Market_Data[[#This Row],[Start Date]]&gt;TODAY(),"Planned",IF(Market_Data[[#This Row],[Completion Date]]&lt;TODAY(),"Completed","Ongoing")))</f>
        <v>Completed</v>
      </c>
      <c r="G410" s="324">
        <v>42198</v>
      </c>
      <c r="H410" s="324">
        <v>44104</v>
      </c>
      <c r="I410" s="325">
        <v>27200</v>
      </c>
      <c r="J41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10" s="133">
        <f>_xlfn.XLOOKUP(Market_Data[[#This Row],[Project Type]],tbl_assumptions_market[Project Category (RERA)],tbl_assumptions_market[Concrete Intensity
(m³ / sq m BUA)],"",0)</f>
        <v>0.42</v>
      </c>
      <c r="L410" s="134">
        <f>ROUND(Market_Data[[#This Row],[Estimated Built Up Area (sq m)]]*Market_Data[[#This Row],[Concrete Intensity
(m³ / sq m)]],0)</f>
        <v>11424</v>
      </c>
      <c r="M410" s="135">
        <f>_xlfn.XLOOKUP(Market_Data[[#This Row],[District]],tbl_district_price[District],tbl_district_price[Standard Price
(INR/m³)],"",0)</f>
        <v>6200</v>
      </c>
      <c r="N410" s="364">
        <f>IF(OR(Market_Data[[#This Row],[Estimated Concrete Demand (m³)]]="",Market_Data[[#This Row],[Avg Price per (₹ / m³)]]=""),"",Market_Data[[#This Row],[Estimated Concrete Demand (m³)]]*Market_Data[[#This Row],[Avg Price per (₹ / m³)]]/10000000)</f>
        <v>7.0828800000000003</v>
      </c>
      <c r="O410" s="97" t="str">
        <f>IF(Market_Data[[#This Row],[Estimated Concrete Demand (m³)]]="","",
IF(Market_Data[[#This Row],[Estimated Concrete Demand (m³)]]&lt;10000,"Small",
IF(Market_Data[[#This Row],[Estimated Concrete Demand (m³)]]&lt;25000,"Medium",
IF(Market_Data[[#This Row],[Estimated Concrete Demand (m³)]]&lt;100000,"Large","Mega"))))</f>
        <v>Medium</v>
      </c>
      <c r="P410" s="287" t="str">
        <f t="shared" si="8"/>
        <v>GujRERA</v>
      </c>
    </row>
    <row r="411" spans="1:16">
      <c r="A411" s="129" t="str">
        <f>_xlfn.XLOOKUP(B411,$S$9:$S$14,$T$9:$T$14)&amp;"-"&amp;
IF(E411="Residential/Group Housing","RES",
IF(E411="Commercial","COM",
IF(E411="Mixed Development","MIX",
IF(E411="Plotted Development","PLT","OTH"))))
&amp;"-"&amp;TEXT(COUNTIFS($B$9:B411,B411,$E$9:E411,E411),"0000")</f>
        <v>SUR-RES-0035</v>
      </c>
      <c r="B411" s="322" t="s">
        <v>34</v>
      </c>
      <c r="C411" s="322" t="s">
        <v>34</v>
      </c>
      <c r="D411" s="323" t="s">
        <v>598</v>
      </c>
      <c r="E411" s="132" t="s">
        <v>24</v>
      </c>
      <c r="F411" s="97" t="str">
        <f ca="1">IF(OR(Market_Data[[#This Row],[Start Date]]="",Market_Data[[#This Row],[Completion Date]]=""),"Needs Validation",IF(Market_Data[[#This Row],[Start Date]]&gt;TODAY(),"Planned",IF(Market_Data[[#This Row],[Completion Date]]&lt;TODAY(),"Completed","Ongoing")))</f>
        <v>Completed</v>
      </c>
      <c r="G411" s="324">
        <v>43191</v>
      </c>
      <c r="H411" s="324">
        <v>45199</v>
      </c>
      <c r="I411" s="325">
        <v>15000</v>
      </c>
      <c r="J41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11" s="133">
        <f>_xlfn.XLOOKUP(Market_Data[[#This Row],[Project Type]],tbl_assumptions_market[Project Category (RERA)],tbl_assumptions_market[Concrete Intensity
(m³ / sq m BUA)],"",0)</f>
        <v>0.45</v>
      </c>
      <c r="L411" s="134">
        <f>ROUND(Market_Data[[#This Row],[Estimated Built Up Area (sq m)]]*Market_Data[[#This Row],[Concrete Intensity
(m³ / sq m)]],0)</f>
        <v>6750</v>
      </c>
      <c r="M411" s="135">
        <f>_xlfn.XLOOKUP(Market_Data[[#This Row],[District]],tbl_district_price[District],tbl_district_price[Standard Price
(INR/m³)],"",0)</f>
        <v>6200</v>
      </c>
      <c r="N411" s="364">
        <f>IF(OR(Market_Data[[#This Row],[Estimated Concrete Demand (m³)]]="",Market_Data[[#This Row],[Avg Price per (₹ / m³)]]=""),"",Market_Data[[#This Row],[Estimated Concrete Demand (m³)]]*Market_Data[[#This Row],[Avg Price per (₹ / m³)]]/10000000)</f>
        <v>4.1849999999999996</v>
      </c>
      <c r="O411" s="97" t="str">
        <f>IF(Market_Data[[#This Row],[Estimated Concrete Demand (m³)]]="","",
IF(Market_Data[[#This Row],[Estimated Concrete Demand (m³)]]&lt;10000,"Small",
IF(Market_Data[[#This Row],[Estimated Concrete Demand (m³)]]&lt;25000,"Medium",
IF(Market_Data[[#This Row],[Estimated Concrete Demand (m³)]]&lt;100000,"Large","Mega"))))</f>
        <v>Small</v>
      </c>
      <c r="P411" s="287" t="str">
        <f t="shared" si="8"/>
        <v>GujRERA</v>
      </c>
    </row>
    <row r="412" spans="1:16">
      <c r="A412" s="129" t="str">
        <f>_xlfn.XLOOKUP(B412,$S$9:$S$14,$T$9:$T$14)&amp;"-"&amp;
IF(E412="Residential/Group Housing","RES",
IF(E412="Commercial","COM",
IF(E412="Mixed Development","MIX",
IF(E412="Plotted Development","PLT","OTH"))))
&amp;"-"&amp;TEXT(COUNTIFS($B$9:B412,B412,$E$9:E412,E412),"0000")</f>
        <v>SUR-PLT-0024</v>
      </c>
      <c r="B412" s="322" t="s">
        <v>34</v>
      </c>
      <c r="C412" s="322" t="s">
        <v>34</v>
      </c>
      <c r="D412" s="323" t="s">
        <v>599</v>
      </c>
      <c r="E412" s="132" t="s">
        <v>26</v>
      </c>
      <c r="F412" s="97" t="str">
        <f ca="1">IF(OR(Market_Data[[#This Row],[Start Date]]="",Market_Data[[#This Row],[Completion Date]]=""),"Needs Validation",IF(Market_Data[[#This Row],[Start Date]]&gt;TODAY(),"Planned",IF(Market_Data[[#This Row],[Completion Date]]&lt;TODAY(),"Completed","Ongoing")))</f>
        <v>Completed</v>
      </c>
      <c r="G412" s="324">
        <v>43349</v>
      </c>
      <c r="H412" s="324">
        <v>45838</v>
      </c>
      <c r="I412" s="325">
        <v>31000</v>
      </c>
      <c r="J41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412" s="133">
        <f>_xlfn.XLOOKUP(Market_Data[[#This Row],[Project Type]],tbl_assumptions_market[Project Category (RERA)],tbl_assumptions_market[Concrete Intensity
(m³ / sq m BUA)],"",0)</f>
        <v>0.18</v>
      </c>
      <c r="L412" s="134">
        <f>ROUND(Market_Data[[#This Row],[Estimated Built Up Area (sq m)]]*Market_Data[[#This Row],[Concrete Intensity
(m³ / sq m)]],0)</f>
        <v>5580</v>
      </c>
      <c r="M412" s="135">
        <f>_xlfn.XLOOKUP(Market_Data[[#This Row],[District]],tbl_district_price[District],tbl_district_price[Standard Price
(INR/m³)],"",0)</f>
        <v>6200</v>
      </c>
      <c r="N412" s="364">
        <f>IF(OR(Market_Data[[#This Row],[Estimated Concrete Demand (m³)]]="",Market_Data[[#This Row],[Avg Price per (₹ / m³)]]=""),"",Market_Data[[#This Row],[Estimated Concrete Demand (m³)]]*Market_Data[[#This Row],[Avg Price per (₹ / m³)]]/10000000)</f>
        <v>3.4596</v>
      </c>
      <c r="O412" s="97" t="str">
        <f>IF(Market_Data[[#This Row],[Estimated Concrete Demand (m³)]]="","",
IF(Market_Data[[#This Row],[Estimated Concrete Demand (m³)]]&lt;10000,"Small",
IF(Market_Data[[#This Row],[Estimated Concrete Demand (m³)]]&lt;25000,"Medium",
IF(Market_Data[[#This Row],[Estimated Concrete Demand (m³)]]&lt;100000,"Large","Mega"))))</f>
        <v>Small</v>
      </c>
      <c r="P412" s="287" t="str">
        <f t="shared" si="8"/>
        <v>GujRERA</v>
      </c>
    </row>
    <row r="413" spans="1:16">
      <c r="A413" s="129" t="str">
        <f>_xlfn.XLOOKUP(B413,$S$9:$S$14,$T$9:$T$14)&amp;"-"&amp;
IF(E413="Residential/Group Housing","RES",
IF(E413="Commercial","COM",
IF(E413="Mixed Development","MIX",
IF(E413="Plotted Development","PLT","OTH"))))
&amp;"-"&amp;TEXT(COUNTIFS($B$9:B413,B413,$E$9:E413,E413),"0000")</f>
        <v>SUR-MIX-0020</v>
      </c>
      <c r="B413" s="322" t="s">
        <v>34</v>
      </c>
      <c r="C413" s="322" t="s">
        <v>34</v>
      </c>
      <c r="D413" s="323" t="s">
        <v>600</v>
      </c>
      <c r="E413" s="132" t="s">
        <v>25</v>
      </c>
      <c r="F413" s="97" t="str">
        <f ca="1">IF(OR(Market_Data[[#This Row],[Start Date]]="",Market_Data[[#This Row],[Completion Date]]=""),"Needs Validation",IF(Market_Data[[#This Row],[Start Date]]&gt;TODAY(),"Planned",IF(Market_Data[[#This Row],[Completion Date]]&lt;TODAY(),"Completed","Ongoing")))</f>
        <v>Completed</v>
      </c>
      <c r="G413" s="324">
        <v>41906</v>
      </c>
      <c r="H413" s="324">
        <v>44377</v>
      </c>
      <c r="I413" s="325">
        <v>7700</v>
      </c>
      <c r="J41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413" s="133">
        <f>_xlfn.XLOOKUP(Market_Data[[#This Row],[Project Type]],tbl_assumptions_market[Project Category (RERA)],tbl_assumptions_market[Concrete Intensity
(m³ / sq m BUA)],"",0)</f>
        <v>0.42</v>
      </c>
      <c r="L413" s="134">
        <f>ROUND(Market_Data[[#This Row],[Estimated Built Up Area (sq m)]]*Market_Data[[#This Row],[Concrete Intensity
(m³ / sq m)]],0)</f>
        <v>3234</v>
      </c>
      <c r="M413" s="135">
        <f>_xlfn.XLOOKUP(Market_Data[[#This Row],[District]],tbl_district_price[District],tbl_district_price[Standard Price
(INR/m³)],"",0)</f>
        <v>6200</v>
      </c>
      <c r="N413" s="364">
        <f>IF(OR(Market_Data[[#This Row],[Estimated Concrete Demand (m³)]]="",Market_Data[[#This Row],[Avg Price per (₹ / m³)]]=""),"",Market_Data[[#This Row],[Estimated Concrete Demand (m³)]]*Market_Data[[#This Row],[Avg Price per (₹ / m³)]]/10000000)</f>
        <v>2.00508</v>
      </c>
      <c r="O413" s="97" t="str">
        <f>IF(Market_Data[[#This Row],[Estimated Concrete Demand (m³)]]="","",
IF(Market_Data[[#This Row],[Estimated Concrete Demand (m³)]]&lt;10000,"Small",
IF(Market_Data[[#This Row],[Estimated Concrete Demand (m³)]]&lt;25000,"Medium",
IF(Market_Data[[#This Row],[Estimated Concrete Demand (m³)]]&lt;100000,"Large","Mega"))))</f>
        <v>Small</v>
      </c>
      <c r="P413" s="287" t="str">
        <f t="shared" si="8"/>
        <v>GujRERA</v>
      </c>
    </row>
    <row r="414" spans="1:16">
      <c r="A414" s="129" t="str">
        <f>_xlfn.XLOOKUP(B414,$S$9:$S$14,$T$9:$T$14)&amp;"-"&amp;
IF(E414="Residential/Group Housing","RES",
IF(E414="Commercial","COM",
IF(E414="Mixed Development","MIX",
IF(E414="Plotted Development","PLT","OTH"))))
&amp;"-"&amp;TEXT(COUNTIFS($B$9:B414,B414,$E$9:E414,E414),"0000")</f>
        <v>SUR-PLT-0025</v>
      </c>
      <c r="B414" s="322" t="s">
        <v>34</v>
      </c>
      <c r="C414" s="322" t="s">
        <v>34</v>
      </c>
      <c r="D414" s="323" t="s">
        <v>601</v>
      </c>
      <c r="E414" s="132" t="s">
        <v>26</v>
      </c>
      <c r="F414" s="97" t="str">
        <f ca="1">IF(OR(Market_Data[[#This Row],[Start Date]]="",Market_Data[[#This Row],[Completion Date]]=""),"Needs Validation",IF(Market_Data[[#This Row],[Start Date]]&gt;TODAY(),"Planned",IF(Market_Data[[#This Row],[Completion Date]]&lt;TODAY(),"Completed","Ongoing")))</f>
        <v>Completed</v>
      </c>
      <c r="G414" s="324">
        <v>44702</v>
      </c>
      <c r="H414" s="324">
        <v>45657</v>
      </c>
      <c r="I414" s="325">
        <v>34900</v>
      </c>
      <c r="J41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414" s="133">
        <f>_xlfn.XLOOKUP(Market_Data[[#This Row],[Project Type]],tbl_assumptions_market[Project Category (RERA)],tbl_assumptions_market[Concrete Intensity
(m³ / sq m BUA)],"",0)</f>
        <v>0.18</v>
      </c>
      <c r="L414" s="134">
        <f>ROUND(Market_Data[[#This Row],[Estimated Built Up Area (sq m)]]*Market_Data[[#This Row],[Concrete Intensity
(m³ / sq m)]],0)</f>
        <v>6282</v>
      </c>
      <c r="M414" s="135">
        <f>_xlfn.XLOOKUP(Market_Data[[#This Row],[District]],tbl_district_price[District],tbl_district_price[Standard Price
(INR/m³)],"",0)</f>
        <v>6200</v>
      </c>
      <c r="N414" s="364">
        <f>IF(OR(Market_Data[[#This Row],[Estimated Concrete Demand (m³)]]="",Market_Data[[#This Row],[Avg Price per (₹ / m³)]]=""),"",Market_Data[[#This Row],[Estimated Concrete Demand (m³)]]*Market_Data[[#This Row],[Avg Price per (₹ / m³)]]/10000000)</f>
        <v>3.8948399999999999</v>
      </c>
      <c r="O414" s="97" t="str">
        <f>IF(Market_Data[[#This Row],[Estimated Concrete Demand (m³)]]="","",
IF(Market_Data[[#This Row],[Estimated Concrete Demand (m³)]]&lt;10000,"Small",
IF(Market_Data[[#This Row],[Estimated Concrete Demand (m³)]]&lt;25000,"Medium",
IF(Market_Data[[#This Row],[Estimated Concrete Demand (m³)]]&lt;100000,"Large","Mega"))))</f>
        <v>Small</v>
      </c>
      <c r="P414" s="287" t="str">
        <f t="shared" si="8"/>
        <v>GujRERA</v>
      </c>
    </row>
    <row r="415" spans="1:16">
      <c r="A415" s="129" t="str">
        <f>_xlfn.XLOOKUP(B415,$S$9:$S$14,$T$9:$T$14)&amp;"-"&amp;
IF(E415="Residential/Group Housing","RES",
IF(E415="Commercial","COM",
IF(E415="Mixed Development","MIX",
IF(E415="Plotted Development","PLT","OTH"))))
&amp;"-"&amp;TEXT(COUNTIFS($B$9:B415,B415,$E$9:E415,E415),"0000")</f>
        <v>SUR-MIX-0021</v>
      </c>
      <c r="B415" s="322" t="s">
        <v>34</v>
      </c>
      <c r="C415" s="322" t="s">
        <v>34</v>
      </c>
      <c r="D415" s="323" t="s">
        <v>602</v>
      </c>
      <c r="E415" s="132" t="s">
        <v>25</v>
      </c>
      <c r="F415" s="97" t="str">
        <f ca="1">IF(OR(Market_Data[[#This Row],[Start Date]]="",Market_Data[[#This Row],[Completion Date]]=""),"Needs Validation",IF(Market_Data[[#This Row],[Start Date]]&gt;TODAY(),"Planned",IF(Market_Data[[#This Row],[Completion Date]]&lt;TODAY(),"Completed","Ongoing")))</f>
        <v>Completed</v>
      </c>
      <c r="G415" s="324">
        <v>41614</v>
      </c>
      <c r="H415" s="324">
        <v>43830</v>
      </c>
      <c r="I415" s="325">
        <v>111500</v>
      </c>
      <c r="J41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15" s="133">
        <f>_xlfn.XLOOKUP(Market_Data[[#This Row],[Project Type]],tbl_assumptions_market[Project Category (RERA)],tbl_assumptions_market[Concrete Intensity
(m³ / sq m BUA)],"",0)</f>
        <v>0.42</v>
      </c>
      <c r="L415" s="134">
        <f>ROUND(Market_Data[[#This Row],[Estimated Built Up Area (sq m)]]*Market_Data[[#This Row],[Concrete Intensity
(m³ / sq m)]],0)</f>
        <v>46830</v>
      </c>
      <c r="M415" s="135">
        <f>_xlfn.XLOOKUP(Market_Data[[#This Row],[District]],tbl_district_price[District],tbl_district_price[Standard Price
(INR/m³)],"",0)</f>
        <v>6200</v>
      </c>
      <c r="N415" s="364">
        <f>IF(OR(Market_Data[[#This Row],[Estimated Concrete Demand (m³)]]="",Market_Data[[#This Row],[Avg Price per (₹ / m³)]]=""),"",Market_Data[[#This Row],[Estimated Concrete Demand (m³)]]*Market_Data[[#This Row],[Avg Price per (₹ / m³)]]/10000000)</f>
        <v>29.034600000000001</v>
      </c>
      <c r="O415" s="97" t="str">
        <f>IF(Market_Data[[#This Row],[Estimated Concrete Demand (m³)]]="","",
IF(Market_Data[[#This Row],[Estimated Concrete Demand (m³)]]&lt;10000,"Small",
IF(Market_Data[[#This Row],[Estimated Concrete Demand (m³)]]&lt;25000,"Medium",
IF(Market_Data[[#This Row],[Estimated Concrete Demand (m³)]]&lt;100000,"Large","Mega"))))</f>
        <v>Large</v>
      </c>
      <c r="P415" s="287" t="str">
        <f t="shared" si="8"/>
        <v>GujRERA</v>
      </c>
    </row>
    <row r="416" spans="1:16">
      <c r="A416" s="129" t="str">
        <f>_xlfn.XLOOKUP(B416,$S$9:$S$14,$T$9:$T$14)&amp;"-"&amp;
IF(E416="Residential/Group Housing","RES",
IF(E416="Commercial","COM",
IF(E416="Mixed Development","MIX",
IF(E416="Plotted Development","PLT","OTH"))))
&amp;"-"&amp;TEXT(COUNTIFS($B$9:B416,B416,$E$9:E416,E416),"0000")</f>
        <v>SUR-RES-0036</v>
      </c>
      <c r="B416" s="322" t="s">
        <v>34</v>
      </c>
      <c r="C416" s="322" t="s">
        <v>34</v>
      </c>
      <c r="D416" s="323" t="s">
        <v>603</v>
      </c>
      <c r="E416" s="132" t="s">
        <v>24</v>
      </c>
      <c r="F416" s="97" t="str">
        <f ca="1">IF(OR(Market_Data[[#This Row],[Start Date]]="",Market_Data[[#This Row],[Completion Date]]=""),"Needs Validation",IF(Market_Data[[#This Row],[Start Date]]&gt;TODAY(),"Planned",IF(Market_Data[[#This Row],[Completion Date]]&lt;TODAY(),"Completed","Ongoing")))</f>
        <v>Ongoing</v>
      </c>
      <c r="G416" s="324">
        <v>45870</v>
      </c>
      <c r="H416" s="324">
        <v>47391</v>
      </c>
      <c r="I416" s="325">
        <v>85500</v>
      </c>
      <c r="J41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416" s="133">
        <f>_xlfn.XLOOKUP(Market_Data[[#This Row],[Project Type]],tbl_assumptions_market[Project Category (RERA)],tbl_assumptions_market[Concrete Intensity
(m³ / sq m BUA)],"",0)</f>
        <v>0.45</v>
      </c>
      <c r="L416" s="134">
        <f>ROUND(Market_Data[[#This Row],[Estimated Built Up Area (sq m)]]*Market_Data[[#This Row],[Concrete Intensity
(m³ / sq m)]],0)</f>
        <v>38475</v>
      </c>
      <c r="M416" s="135">
        <f>_xlfn.XLOOKUP(Market_Data[[#This Row],[District]],tbl_district_price[District],tbl_district_price[Standard Price
(INR/m³)],"",0)</f>
        <v>6200</v>
      </c>
      <c r="N416" s="364">
        <f>IF(OR(Market_Data[[#This Row],[Estimated Concrete Demand (m³)]]="",Market_Data[[#This Row],[Avg Price per (₹ / m³)]]=""),"",Market_Data[[#This Row],[Estimated Concrete Demand (m³)]]*Market_Data[[#This Row],[Avg Price per (₹ / m³)]]/10000000)</f>
        <v>23.854500000000002</v>
      </c>
      <c r="O416" s="97" t="str">
        <f>IF(Market_Data[[#This Row],[Estimated Concrete Demand (m³)]]="","",
IF(Market_Data[[#This Row],[Estimated Concrete Demand (m³)]]&lt;10000,"Small",
IF(Market_Data[[#This Row],[Estimated Concrete Demand (m³)]]&lt;25000,"Medium",
IF(Market_Data[[#This Row],[Estimated Concrete Demand (m³)]]&lt;100000,"Large","Mega"))))</f>
        <v>Large</v>
      </c>
      <c r="P416" s="287" t="str">
        <f t="shared" si="8"/>
        <v>GujRERA</v>
      </c>
    </row>
    <row r="417" spans="1:16">
      <c r="A417" s="129" t="str">
        <f>_xlfn.XLOOKUP(B417,$S$9:$S$14,$T$9:$T$14)&amp;"-"&amp;
IF(E417="Residential/Group Housing","RES",
IF(E417="Commercial","COM",
IF(E417="Mixed Development","MIX",
IF(E417="Plotted Development","PLT","OTH"))))
&amp;"-"&amp;TEXT(COUNTIFS($B$9:B417,B417,$E$9:E417,E417),"0000")</f>
        <v>SUR-RES-0037</v>
      </c>
      <c r="B417" s="322" t="s">
        <v>34</v>
      </c>
      <c r="C417" s="322" t="s">
        <v>34</v>
      </c>
      <c r="D417" s="323" t="s">
        <v>604</v>
      </c>
      <c r="E417" s="132" t="s">
        <v>24</v>
      </c>
      <c r="F417" s="97" t="str">
        <f ca="1">IF(OR(Market_Data[[#This Row],[Start Date]]="",Market_Data[[#This Row],[Completion Date]]=""),"Needs Validation",IF(Market_Data[[#This Row],[Start Date]]&gt;TODAY(),"Planned",IF(Market_Data[[#This Row],[Completion Date]]&lt;TODAY(),"Completed","Ongoing")))</f>
        <v>Completed</v>
      </c>
      <c r="G417" s="324">
        <v>44151</v>
      </c>
      <c r="H417" s="324">
        <v>45657</v>
      </c>
      <c r="I417" s="325">
        <v>41700</v>
      </c>
      <c r="J41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17" s="133">
        <f>_xlfn.XLOOKUP(Market_Data[[#This Row],[Project Type]],tbl_assumptions_market[Project Category (RERA)],tbl_assumptions_market[Concrete Intensity
(m³ / sq m BUA)],"",0)</f>
        <v>0.45</v>
      </c>
      <c r="L417" s="134">
        <f>ROUND(Market_Data[[#This Row],[Estimated Built Up Area (sq m)]]*Market_Data[[#This Row],[Concrete Intensity
(m³ / sq m)]],0)</f>
        <v>18765</v>
      </c>
      <c r="M417" s="135">
        <f>_xlfn.XLOOKUP(Market_Data[[#This Row],[District]],tbl_district_price[District],tbl_district_price[Standard Price
(INR/m³)],"",0)</f>
        <v>6200</v>
      </c>
      <c r="N417" s="364">
        <f>IF(OR(Market_Data[[#This Row],[Estimated Concrete Demand (m³)]]="",Market_Data[[#This Row],[Avg Price per (₹ / m³)]]=""),"",Market_Data[[#This Row],[Estimated Concrete Demand (m³)]]*Market_Data[[#This Row],[Avg Price per (₹ / m³)]]/10000000)</f>
        <v>11.6343</v>
      </c>
      <c r="O417" s="97" t="str">
        <f>IF(Market_Data[[#This Row],[Estimated Concrete Demand (m³)]]="","",
IF(Market_Data[[#This Row],[Estimated Concrete Demand (m³)]]&lt;10000,"Small",
IF(Market_Data[[#This Row],[Estimated Concrete Demand (m³)]]&lt;25000,"Medium",
IF(Market_Data[[#This Row],[Estimated Concrete Demand (m³)]]&lt;100000,"Large","Mega"))))</f>
        <v>Medium</v>
      </c>
      <c r="P417" s="287" t="str">
        <f t="shared" si="8"/>
        <v>GujRERA</v>
      </c>
    </row>
    <row r="418" spans="1:16">
      <c r="A418" s="129" t="str">
        <f>_xlfn.XLOOKUP(B418,$S$9:$S$14,$T$9:$T$14)&amp;"-"&amp;
IF(E418="Residential/Group Housing","RES",
IF(E418="Commercial","COM",
IF(E418="Mixed Development","MIX",
IF(E418="Plotted Development","PLT","OTH"))))
&amp;"-"&amp;TEXT(COUNTIFS($B$9:B418,B418,$E$9:E418,E418),"0000")</f>
        <v>SUR-COM-0017</v>
      </c>
      <c r="B418" s="322" t="s">
        <v>34</v>
      </c>
      <c r="C418" s="322" t="s">
        <v>34</v>
      </c>
      <c r="D418" s="323" t="s">
        <v>605</v>
      </c>
      <c r="E418" s="132" t="s">
        <v>23</v>
      </c>
      <c r="F418" s="97" t="str">
        <f ca="1">IF(OR(Market_Data[[#This Row],[Start Date]]="",Market_Data[[#This Row],[Completion Date]]=""),"Needs Validation",IF(Market_Data[[#This Row],[Start Date]]&gt;TODAY(),"Planned",IF(Market_Data[[#This Row],[Completion Date]]&lt;TODAY(),"Completed","Ongoing")))</f>
        <v>Ongoing</v>
      </c>
      <c r="G418" s="324">
        <v>44257</v>
      </c>
      <c r="H418" s="324">
        <v>46843</v>
      </c>
      <c r="I418" s="325">
        <v>16400</v>
      </c>
      <c r="J41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18" s="133">
        <f>_xlfn.XLOOKUP(Market_Data[[#This Row],[Project Type]],tbl_assumptions_market[Project Category (RERA)],tbl_assumptions_market[Concrete Intensity
(m³ / sq m BUA)],"",0)</f>
        <v>0.5</v>
      </c>
      <c r="L418" s="134">
        <f>ROUND(Market_Data[[#This Row],[Estimated Built Up Area (sq m)]]*Market_Data[[#This Row],[Concrete Intensity
(m³ / sq m)]],0)</f>
        <v>8200</v>
      </c>
      <c r="M418" s="135">
        <f>_xlfn.XLOOKUP(Market_Data[[#This Row],[District]],tbl_district_price[District],tbl_district_price[Standard Price
(INR/m³)],"",0)</f>
        <v>6200</v>
      </c>
      <c r="N418" s="364">
        <f>IF(OR(Market_Data[[#This Row],[Estimated Concrete Demand (m³)]]="",Market_Data[[#This Row],[Avg Price per (₹ / m³)]]=""),"",Market_Data[[#This Row],[Estimated Concrete Demand (m³)]]*Market_Data[[#This Row],[Avg Price per (₹ / m³)]]/10000000)</f>
        <v>5.0839999999999996</v>
      </c>
      <c r="O418" s="97" t="str">
        <f>IF(Market_Data[[#This Row],[Estimated Concrete Demand (m³)]]="","",
IF(Market_Data[[#This Row],[Estimated Concrete Demand (m³)]]&lt;10000,"Small",
IF(Market_Data[[#This Row],[Estimated Concrete Demand (m³)]]&lt;25000,"Medium",
IF(Market_Data[[#This Row],[Estimated Concrete Demand (m³)]]&lt;100000,"Large","Mega"))))</f>
        <v>Small</v>
      </c>
      <c r="P418" s="287" t="str">
        <f t="shared" si="8"/>
        <v>GujRERA</v>
      </c>
    </row>
    <row r="419" spans="1:16">
      <c r="A419" s="129" t="str">
        <f>_xlfn.XLOOKUP(B419,$S$9:$S$14,$T$9:$T$14)&amp;"-"&amp;
IF(E419="Residential/Group Housing","RES",
IF(E419="Commercial","COM",
IF(E419="Mixed Development","MIX",
IF(E419="Plotted Development","PLT","OTH"))))
&amp;"-"&amp;TEXT(COUNTIFS($B$9:B419,B419,$E$9:E419,E419),"0000")</f>
        <v>SUR-MIX-0022</v>
      </c>
      <c r="B419" s="322" t="s">
        <v>34</v>
      </c>
      <c r="C419" s="322" t="s">
        <v>34</v>
      </c>
      <c r="D419" s="323" t="s">
        <v>606</v>
      </c>
      <c r="E419" s="132" t="s">
        <v>25</v>
      </c>
      <c r="F419" s="97" t="str">
        <f ca="1">IF(OR(Market_Data[[#This Row],[Start Date]]="",Market_Data[[#This Row],[Completion Date]]=""),"Needs Validation",IF(Market_Data[[#This Row],[Start Date]]&gt;TODAY(),"Planned",IF(Market_Data[[#This Row],[Completion Date]]&lt;TODAY(),"Completed","Ongoing")))</f>
        <v>Completed</v>
      </c>
      <c r="G419" s="324">
        <v>43556</v>
      </c>
      <c r="H419" s="324">
        <v>45930</v>
      </c>
      <c r="I419" s="325">
        <v>36500</v>
      </c>
      <c r="J41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19" s="133">
        <f>_xlfn.XLOOKUP(Market_Data[[#This Row],[Project Type]],tbl_assumptions_market[Project Category (RERA)],tbl_assumptions_market[Concrete Intensity
(m³ / sq m BUA)],"",0)</f>
        <v>0.42</v>
      </c>
      <c r="L419" s="134">
        <f>ROUND(Market_Data[[#This Row],[Estimated Built Up Area (sq m)]]*Market_Data[[#This Row],[Concrete Intensity
(m³ / sq m)]],0)</f>
        <v>15330</v>
      </c>
      <c r="M419" s="135">
        <f>_xlfn.XLOOKUP(Market_Data[[#This Row],[District]],tbl_district_price[District],tbl_district_price[Standard Price
(INR/m³)],"",0)</f>
        <v>6200</v>
      </c>
      <c r="N419" s="364">
        <f>IF(OR(Market_Data[[#This Row],[Estimated Concrete Demand (m³)]]="",Market_Data[[#This Row],[Avg Price per (₹ / m³)]]=""),"",Market_Data[[#This Row],[Estimated Concrete Demand (m³)]]*Market_Data[[#This Row],[Avg Price per (₹ / m³)]]/10000000)</f>
        <v>9.5045999999999999</v>
      </c>
      <c r="O419" s="97" t="str">
        <f>IF(Market_Data[[#This Row],[Estimated Concrete Demand (m³)]]="","",
IF(Market_Data[[#This Row],[Estimated Concrete Demand (m³)]]&lt;10000,"Small",
IF(Market_Data[[#This Row],[Estimated Concrete Demand (m³)]]&lt;25000,"Medium",
IF(Market_Data[[#This Row],[Estimated Concrete Demand (m³)]]&lt;100000,"Large","Mega"))))</f>
        <v>Medium</v>
      </c>
      <c r="P419" s="287" t="str">
        <f t="shared" si="8"/>
        <v>GujRERA</v>
      </c>
    </row>
    <row r="420" spans="1:16">
      <c r="A420" s="129" t="str">
        <f>_xlfn.XLOOKUP(B420,$S$9:$S$14,$T$9:$T$14)&amp;"-"&amp;
IF(E420="Residential/Group Housing","RES",
IF(E420="Commercial","COM",
IF(E420="Mixed Development","MIX",
IF(E420="Plotted Development","PLT","OTH"))))
&amp;"-"&amp;TEXT(COUNTIFS($B$9:B420,B420,$E$9:E420,E420),"0000")</f>
        <v>SUR-PLT-0026</v>
      </c>
      <c r="B420" s="322" t="s">
        <v>34</v>
      </c>
      <c r="C420" s="322" t="s">
        <v>34</v>
      </c>
      <c r="D420" s="323" t="s">
        <v>607</v>
      </c>
      <c r="E420" s="132" t="s">
        <v>26</v>
      </c>
      <c r="F420" s="97" t="str">
        <f ca="1">IF(OR(Market_Data[[#This Row],[Start Date]]="",Market_Data[[#This Row],[Completion Date]]=""),"Needs Validation",IF(Market_Data[[#This Row],[Start Date]]&gt;TODAY(),"Planned",IF(Market_Data[[#This Row],[Completion Date]]&lt;TODAY(),"Completed","Ongoing")))</f>
        <v>Ongoing</v>
      </c>
      <c r="G420" s="324">
        <v>45889</v>
      </c>
      <c r="H420" s="324">
        <v>47118</v>
      </c>
      <c r="I420" s="325">
        <v>57200</v>
      </c>
      <c r="J42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420" s="133">
        <f>_xlfn.XLOOKUP(Market_Data[[#This Row],[Project Type]],tbl_assumptions_market[Project Category (RERA)],tbl_assumptions_market[Concrete Intensity
(m³ / sq m BUA)],"",0)</f>
        <v>0.18</v>
      </c>
      <c r="L420" s="134">
        <f>ROUND(Market_Data[[#This Row],[Estimated Built Up Area (sq m)]]*Market_Data[[#This Row],[Concrete Intensity
(m³ / sq m)]],0)</f>
        <v>10296</v>
      </c>
      <c r="M420" s="135">
        <f>_xlfn.XLOOKUP(Market_Data[[#This Row],[District]],tbl_district_price[District],tbl_district_price[Standard Price
(INR/m³)],"",0)</f>
        <v>6200</v>
      </c>
      <c r="N420" s="364">
        <f>IF(OR(Market_Data[[#This Row],[Estimated Concrete Demand (m³)]]="",Market_Data[[#This Row],[Avg Price per (₹ / m³)]]=""),"",Market_Data[[#This Row],[Estimated Concrete Demand (m³)]]*Market_Data[[#This Row],[Avg Price per (₹ / m³)]]/10000000)</f>
        <v>6.3835199999999999</v>
      </c>
      <c r="O420" s="97" t="str">
        <f>IF(Market_Data[[#This Row],[Estimated Concrete Demand (m³)]]="","",
IF(Market_Data[[#This Row],[Estimated Concrete Demand (m³)]]&lt;10000,"Small",
IF(Market_Data[[#This Row],[Estimated Concrete Demand (m³)]]&lt;25000,"Medium",
IF(Market_Data[[#This Row],[Estimated Concrete Demand (m³)]]&lt;100000,"Large","Mega"))))</f>
        <v>Medium</v>
      </c>
      <c r="P420" s="287" t="str">
        <f t="shared" si="8"/>
        <v>GujRERA</v>
      </c>
    </row>
    <row r="421" spans="1:16">
      <c r="A421" s="129" t="str">
        <f>_xlfn.XLOOKUP(B421,$S$9:$S$14,$T$9:$T$14)&amp;"-"&amp;
IF(E421="Residential/Group Housing","RES",
IF(E421="Commercial","COM",
IF(E421="Mixed Development","MIX",
IF(E421="Plotted Development","PLT","OTH"))))
&amp;"-"&amp;TEXT(COUNTIFS($B$9:B421,B421,$E$9:E421,E421),"0000")</f>
        <v>SUR-MIX-0023</v>
      </c>
      <c r="B421" s="322" t="s">
        <v>34</v>
      </c>
      <c r="C421" s="322" t="s">
        <v>34</v>
      </c>
      <c r="D421" s="323" t="s">
        <v>608</v>
      </c>
      <c r="E421" s="132" t="s">
        <v>25</v>
      </c>
      <c r="F421" s="97" t="str">
        <f ca="1">IF(OR(Market_Data[[#This Row],[Start Date]]="",Market_Data[[#This Row],[Completion Date]]=""),"Needs Validation",IF(Market_Data[[#This Row],[Start Date]]&gt;TODAY(),"Planned",IF(Market_Data[[#This Row],[Completion Date]]&lt;TODAY(),"Completed","Ongoing")))</f>
        <v>Completed</v>
      </c>
      <c r="G421" s="324">
        <v>42192</v>
      </c>
      <c r="H421" s="324">
        <v>44469</v>
      </c>
      <c r="I421" s="325">
        <v>39700</v>
      </c>
      <c r="J42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21" s="133">
        <f>_xlfn.XLOOKUP(Market_Data[[#This Row],[Project Type]],tbl_assumptions_market[Project Category (RERA)],tbl_assumptions_market[Concrete Intensity
(m³ / sq m BUA)],"",0)</f>
        <v>0.42</v>
      </c>
      <c r="L421" s="134">
        <f>ROUND(Market_Data[[#This Row],[Estimated Built Up Area (sq m)]]*Market_Data[[#This Row],[Concrete Intensity
(m³ / sq m)]],0)</f>
        <v>16674</v>
      </c>
      <c r="M421" s="135">
        <f>_xlfn.XLOOKUP(Market_Data[[#This Row],[District]],tbl_district_price[District],tbl_district_price[Standard Price
(INR/m³)],"",0)</f>
        <v>6200</v>
      </c>
      <c r="N421" s="364">
        <f>IF(OR(Market_Data[[#This Row],[Estimated Concrete Demand (m³)]]="",Market_Data[[#This Row],[Avg Price per (₹ / m³)]]=""),"",Market_Data[[#This Row],[Estimated Concrete Demand (m³)]]*Market_Data[[#This Row],[Avg Price per (₹ / m³)]]/10000000)</f>
        <v>10.33788</v>
      </c>
      <c r="O421" s="97" t="str">
        <f>IF(Market_Data[[#This Row],[Estimated Concrete Demand (m³)]]="","",
IF(Market_Data[[#This Row],[Estimated Concrete Demand (m³)]]&lt;10000,"Small",
IF(Market_Data[[#This Row],[Estimated Concrete Demand (m³)]]&lt;25000,"Medium",
IF(Market_Data[[#This Row],[Estimated Concrete Demand (m³)]]&lt;100000,"Large","Mega"))))</f>
        <v>Medium</v>
      </c>
      <c r="P421" s="287" t="str">
        <f t="shared" si="8"/>
        <v>GujRERA</v>
      </c>
    </row>
    <row r="422" spans="1:16">
      <c r="A422" s="129" t="str">
        <f>_xlfn.XLOOKUP(B422,$S$9:$S$14,$T$9:$T$14)&amp;"-"&amp;
IF(E422="Residential/Group Housing","RES",
IF(E422="Commercial","COM",
IF(E422="Mixed Development","MIX",
IF(E422="Plotted Development","PLT","OTH"))))
&amp;"-"&amp;TEXT(COUNTIFS($B$9:B422,B422,$E$9:E422,E422),"0000")</f>
        <v>SUR-PLT-0027</v>
      </c>
      <c r="B422" s="322" t="s">
        <v>34</v>
      </c>
      <c r="C422" s="322" t="s">
        <v>34</v>
      </c>
      <c r="D422" s="323" t="s">
        <v>609</v>
      </c>
      <c r="E422" s="132" t="s">
        <v>26</v>
      </c>
      <c r="F422" s="97" t="str">
        <f ca="1">IF(OR(Market_Data[[#This Row],[Start Date]]="",Market_Data[[#This Row],[Completion Date]]=""),"Needs Validation",IF(Market_Data[[#This Row],[Start Date]]&gt;TODAY(),"Planned",IF(Market_Data[[#This Row],[Completion Date]]&lt;TODAY(),"Completed","Ongoing")))</f>
        <v>Ongoing</v>
      </c>
      <c r="G422" s="324">
        <v>45644</v>
      </c>
      <c r="H422" s="324">
        <v>46752</v>
      </c>
      <c r="I422" s="325">
        <v>51200</v>
      </c>
      <c r="J42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422" s="133">
        <f>_xlfn.XLOOKUP(Market_Data[[#This Row],[Project Type]],tbl_assumptions_market[Project Category (RERA)],tbl_assumptions_market[Concrete Intensity
(m³ / sq m BUA)],"",0)</f>
        <v>0.18</v>
      </c>
      <c r="L422" s="134">
        <f>ROUND(Market_Data[[#This Row],[Estimated Built Up Area (sq m)]]*Market_Data[[#This Row],[Concrete Intensity
(m³ / sq m)]],0)</f>
        <v>9216</v>
      </c>
      <c r="M422" s="135">
        <f>_xlfn.XLOOKUP(Market_Data[[#This Row],[District]],tbl_district_price[District],tbl_district_price[Standard Price
(INR/m³)],"",0)</f>
        <v>6200</v>
      </c>
      <c r="N422" s="364">
        <f>IF(OR(Market_Data[[#This Row],[Estimated Concrete Demand (m³)]]="",Market_Data[[#This Row],[Avg Price per (₹ / m³)]]=""),"",Market_Data[[#This Row],[Estimated Concrete Demand (m³)]]*Market_Data[[#This Row],[Avg Price per (₹ / m³)]]/10000000)</f>
        <v>5.7139199999999999</v>
      </c>
      <c r="O422" s="97" t="str">
        <f>IF(Market_Data[[#This Row],[Estimated Concrete Demand (m³)]]="","",
IF(Market_Data[[#This Row],[Estimated Concrete Demand (m³)]]&lt;10000,"Small",
IF(Market_Data[[#This Row],[Estimated Concrete Demand (m³)]]&lt;25000,"Medium",
IF(Market_Data[[#This Row],[Estimated Concrete Demand (m³)]]&lt;100000,"Large","Mega"))))</f>
        <v>Small</v>
      </c>
      <c r="P422" s="287" t="str">
        <f t="shared" si="8"/>
        <v>GujRERA</v>
      </c>
    </row>
    <row r="423" spans="1:16">
      <c r="A423" s="129" t="str">
        <f>_xlfn.XLOOKUP(B423,$S$9:$S$14,$T$9:$T$14)&amp;"-"&amp;
IF(E423="Residential/Group Housing","RES",
IF(E423="Commercial","COM",
IF(E423="Mixed Development","MIX",
IF(E423="Plotted Development","PLT","OTH"))))
&amp;"-"&amp;TEXT(COUNTIFS($B$9:B423,B423,$E$9:E423,E423),"0000")</f>
        <v>SUR-PLT-0028</v>
      </c>
      <c r="B423" s="322" t="s">
        <v>34</v>
      </c>
      <c r="C423" s="322" t="s">
        <v>34</v>
      </c>
      <c r="D423" s="323" t="s">
        <v>610</v>
      </c>
      <c r="E423" s="132" t="s">
        <v>26</v>
      </c>
      <c r="F423" s="97" t="str">
        <f ca="1">IF(OR(Market_Data[[#This Row],[Start Date]]="",Market_Data[[#This Row],[Completion Date]]=""),"Needs Validation",IF(Market_Data[[#This Row],[Start Date]]&gt;TODAY(),"Planned",IF(Market_Data[[#This Row],[Completion Date]]&lt;TODAY(),"Completed","Ongoing")))</f>
        <v>Ongoing</v>
      </c>
      <c r="G423" s="324">
        <v>44758</v>
      </c>
      <c r="H423" s="324">
        <v>46752</v>
      </c>
      <c r="I423" s="325">
        <v>26800</v>
      </c>
      <c r="J42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23" s="133">
        <f>_xlfn.XLOOKUP(Market_Data[[#This Row],[Project Type]],tbl_assumptions_market[Project Category (RERA)],tbl_assumptions_market[Concrete Intensity
(m³ / sq m BUA)],"",0)</f>
        <v>0.18</v>
      </c>
      <c r="L423" s="134">
        <f>ROUND(Market_Data[[#This Row],[Estimated Built Up Area (sq m)]]*Market_Data[[#This Row],[Concrete Intensity
(m³ / sq m)]],0)</f>
        <v>4824</v>
      </c>
      <c r="M423" s="135">
        <f>_xlfn.XLOOKUP(Market_Data[[#This Row],[District]],tbl_district_price[District],tbl_district_price[Standard Price
(INR/m³)],"",0)</f>
        <v>6200</v>
      </c>
      <c r="N423" s="364">
        <f>IF(OR(Market_Data[[#This Row],[Estimated Concrete Demand (m³)]]="",Market_Data[[#This Row],[Avg Price per (₹ / m³)]]=""),"",Market_Data[[#This Row],[Estimated Concrete Demand (m³)]]*Market_Data[[#This Row],[Avg Price per (₹ / m³)]]/10000000)</f>
        <v>2.9908800000000002</v>
      </c>
      <c r="O423" s="97" t="str">
        <f>IF(Market_Data[[#This Row],[Estimated Concrete Demand (m³)]]="","",
IF(Market_Data[[#This Row],[Estimated Concrete Demand (m³)]]&lt;10000,"Small",
IF(Market_Data[[#This Row],[Estimated Concrete Demand (m³)]]&lt;25000,"Medium",
IF(Market_Data[[#This Row],[Estimated Concrete Demand (m³)]]&lt;100000,"Large","Mega"))))</f>
        <v>Small</v>
      </c>
      <c r="P423" s="287" t="str">
        <f t="shared" si="8"/>
        <v>GujRERA</v>
      </c>
    </row>
    <row r="424" spans="1:16">
      <c r="A424" s="129" t="str">
        <f>_xlfn.XLOOKUP(B424,$S$9:$S$14,$T$9:$T$14)&amp;"-"&amp;
IF(E424="Residential/Group Housing","RES",
IF(E424="Commercial","COM",
IF(E424="Mixed Development","MIX",
IF(E424="Plotted Development","PLT","OTH"))))
&amp;"-"&amp;TEXT(COUNTIFS($B$9:B424,B424,$E$9:E424,E424),"0000")</f>
        <v>SUR-PLT-0029</v>
      </c>
      <c r="B424" s="322" t="s">
        <v>34</v>
      </c>
      <c r="C424" s="322" t="s">
        <v>34</v>
      </c>
      <c r="D424" s="323" t="s">
        <v>611</v>
      </c>
      <c r="E424" s="132" t="s">
        <v>26</v>
      </c>
      <c r="F424" s="97" t="str">
        <f ca="1">IF(OR(Market_Data[[#This Row],[Start Date]]="",Market_Data[[#This Row],[Completion Date]]=""),"Needs Validation",IF(Market_Data[[#This Row],[Start Date]]&gt;TODAY(),"Planned",IF(Market_Data[[#This Row],[Completion Date]]&lt;TODAY(),"Completed","Ongoing")))</f>
        <v>Ongoing</v>
      </c>
      <c r="G424" s="324">
        <v>44746</v>
      </c>
      <c r="H424" s="324">
        <v>46752</v>
      </c>
      <c r="I424" s="325">
        <v>10900</v>
      </c>
      <c r="J42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24" s="133">
        <f>_xlfn.XLOOKUP(Market_Data[[#This Row],[Project Type]],tbl_assumptions_market[Project Category (RERA)],tbl_assumptions_market[Concrete Intensity
(m³ / sq m BUA)],"",0)</f>
        <v>0.18</v>
      </c>
      <c r="L424" s="134">
        <f>ROUND(Market_Data[[#This Row],[Estimated Built Up Area (sq m)]]*Market_Data[[#This Row],[Concrete Intensity
(m³ / sq m)]],0)</f>
        <v>1962</v>
      </c>
      <c r="M424" s="135">
        <f>_xlfn.XLOOKUP(Market_Data[[#This Row],[District]],tbl_district_price[District],tbl_district_price[Standard Price
(INR/m³)],"",0)</f>
        <v>6200</v>
      </c>
      <c r="N424" s="364">
        <f>IF(OR(Market_Data[[#This Row],[Estimated Concrete Demand (m³)]]="",Market_Data[[#This Row],[Avg Price per (₹ / m³)]]=""),"",Market_Data[[#This Row],[Estimated Concrete Demand (m³)]]*Market_Data[[#This Row],[Avg Price per (₹ / m³)]]/10000000)</f>
        <v>1.21644</v>
      </c>
      <c r="O424" s="97" t="str">
        <f>IF(Market_Data[[#This Row],[Estimated Concrete Demand (m³)]]="","",
IF(Market_Data[[#This Row],[Estimated Concrete Demand (m³)]]&lt;10000,"Small",
IF(Market_Data[[#This Row],[Estimated Concrete Demand (m³)]]&lt;25000,"Medium",
IF(Market_Data[[#This Row],[Estimated Concrete Demand (m³)]]&lt;100000,"Large","Mega"))))</f>
        <v>Small</v>
      </c>
      <c r="P424" s="287" t="str">
        <f t="shared" si="8"/>
        <v>GujRERA</v>
      </c>
    </row>
    <row r="425" spans="1:16">
      <c r="A425" s="129" t="str">
        <f>_xlfn.XLOOKUP(B425,$S$9:$S$14,$T$9:$T$14)&amp;"-"&amp;
IF(E425="Residential/Group Housing","RES",
IF(E425="Commercial","COM",
IF(E425="Mixed Development","MIX",
IF(E425="Plotted Development","PLT","OTH"))))
&amp;"-"&amp;TEXT(COUNTIFS($B$9:B425,B425,$E$9:E425,E425),"0000")</f>
        <v>SUR-PLT-0030</v>
      </c>
      <c r="B425" s="322" t="s">
        <v>34</v>
      </c>
      <c r="C425" s="322" t="s">
        <v>34</v>
      </c>
      <c r="D425" s="323" t="s">
        <v>612</v>
      </c>
      <c r="E425" s="132" t="s">
        <v>26</v>
      </c>
      <c r="F425" s="97" t="str">
        <f ca="1">IF(OR(Market_Data[[#This Row],[Start Date]]="",Market_Data[[#This Row],[Completion Date]]=""),"Needs Validation",IF(Market_Data[[#This Row],[Start Date]]&gt;TODAY(),"Planned",IF(Market_Data[[#This Row],[Completion Date]]&lt;TODAY(),"Completed","Ongoing")))</f>
        <v>Ongoing</v>
      </c>
      <c r="G425" s="324">
        <v>44758</v>
      </c>
      <c r="H425" s="324">
        <v>46752</v>
      </c>
      <c r="I425" s="325">
        <v>25100</v>
      </c>
      <c r="J42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25" s="133">
        <f>_xlfn.XLOOKUP(Market_Data[[#This Row],[Project Type]],tbl_assumptions_market[Project Category (RERA)],tbl_assumptions_market[Concrete Intensity
(m³ / sq m BUA)],"",0)</f>
        <v>0.18</v>
      </c>
      <c r="L425" s="134">
        <f>ROUND(Market_Data[[#This Row],[Estimated Built Up Area (sq m)]]*Market_Data[[#This Row],[Concrete Intensity
(m³ / sq m)]],0)</f>
        <v>4518</v>
      </c>
      <c r="M425" s="135">
        <f>_xlfn.XLOOKUP(Market_Data[[#This Row],[District]],tbl_district_price[District],tbl_district_price[Standard Price
(INR/m³)],"",0)</f>
        <v>6200</v>
      </c>
      <c r="N425" s="364">
        <f>IF(OR(Market_Data[[#This Row],[Estimated Concrete Demand (m³)]]="",Market_Data[[#This Row],[Avg Price per (₹ / m³)]]=""),"",Market_Data[[#This Row],[Estimated Concrete Demand (m³)]]*Market_Data[[#This Row],[Avg Price per (₹ / m³)]]/10000000)</f>
        <v>2.8011599999999999</v>
      </c>
      <c r="O425" s="97" t="str">
        <f>IF(Market_Data[[#This Row],[Estimated Concrete Demand (m³)]]="","",
IF(Market_Data[[#This Row],[Estimated Concrete Demand (m³)]]&lt;10000,"Small",
IF(Market_Data[[#This Row],[Estimated Concrete Demand (m³)]]&lt;25000,"Medium",
IF(Market_Data[[#This Row],[Estimated Concrete Demand (m³)]]&lt;100000,"Large","Mega"))))</f>
        <v>Small</v>
      </c>
      <c r="P425" s="287" t="str">
        <f t="shared" si="8"/>
        <v>GujRERA</v>
      </c>
    </row>
    <row r="426" spans="1:16">
      <c r="A426" s="129" t="str">
        <f>_xlfn.XLOOKUP(B426,$S$9:$S$14,$T$9:$T$14)&amp;"-"&amp;
IF(E426="Residential/Group Housing","RES",
IF(E426="Commercial","COM",
IF(E426="Mixed Development","MIX",
IF(E426="Plotted Development","PLT","OTH"))))
&amp;"-"&amp;TEXT(COUNTIFS($B$9:B426,B426,$E$9:E426,E426),"0000")</f>
        <v>SUR-PLT-0031</v>
      </c>
      <c r="B426" s="322" t="s">
        <v>34</v>
      </c>
      <c r="C426" s="322" t="s">
        <v>34</v>
      </c>
      <c r="D426" s="323" t="s">
        <v>613</v>
      </c>
      <c r="E426" s="132" t="s">
        <v>26</v>
      </c>
      <c r="F426" s="97" t="str">
        <f ca="1">IF(OR(Market_Data[[#This Row],[Start Date]]="",Market_Data[[#This Row],[Completion Date]]=""),"Needs Validation",IF(Market_Data[[#This Row],[Start Date]]&gt;TODAY(),"Planned",IF(Market_Data[[#This Row],[Completion Date]]&lt;TODAY(),"Completed","Ongoing")))</f>
        <v>Ongoing</v>
      </c>
      <c r="G426" s="324">
        <v>44754</v>
      </c>
      <c r="H426" s="324">
        <v>46752</v>
      </c>
      <c r="I426" s="325">
        <v>43700</v>
      </c>
      <c r="J42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426" s="133">
        <f>_xlfn.XLOOKUP(Market_Data[[#This Row],[Project Type]],tbl_assumptions_market[Project Category (RERA)],tbl_assumptions_market[Concrete Intensity
(m³ / sq m BUA)],"",0)</f>
        <v>0.18</v>
      </c>
      <c r="L426" s="134">
        <f>ROUND(Market_Data[[#This Row],[Estimated Built Up Area (sq m)]]*Market_Data[[#This Row],[Concrete Intensity
(m³ / sq m)]],0)</f>
        <v>7866</v>
      </c>
      <c r="M426" s="135">
        <f>_xlfn.XLOOKUP(Market_Data[[#This Row],[District]],tbl_district_price[District],tbl_district_price[Standard Price
(INR/m³)],"",0)</f>
        <v>6200</v>
      </c>
      <c r="N426" s="364">
        <f>IF(OR(Market_Data[[#This Row],[Estimated Concrete Demand (m³)]]="",Market_Data[[#This Row],[Avg Price per (₹ / m³)]]=""),"",Market_Data[[#This Row],[Estimated Concrete Demand (m³)]]*Market_Data[[#This Row],[Avg Price per (₹ / m³)]]/10000000)</f>
        <v>4.8769200000000001</v>
      </c>
      <c r="O426" s="97" t="str">
        <f>IF(Market_Data[[#This Row],[Estimated Concrete Demand (m³)]]="","",
IF(Market_Data[[#This Row],[Estimated Concrete Demand (m³)]]&lt;10000,"Small",
IF(Market_Data[[#This Row],[Estimated Concrete Demand (m³)]]&lt;25000,"Medium",
IF(Market_Data[[#This Row],[Estimated Concrete Demand (m³)]]&lt;100000,"Large","Mega"))))</f>
        <v>Small</v>
      </c>
      <c r="P426" s="287" t="str">
        <f t="shared" si="8"/>
        <v>GujRERA</v>
      </c>
    </row>
    <row r="427" spans="1:16">
      <c r="A427" s="129" t="str">
        <f>_xlfn.XLOOKUP(B427,$S$9:$S$14,$T$9:$T$14)&amp;"-"&amp;
IF(E427="Residential/Group Housing","RES",
IF(E427="Commercial","COM",
IF(E427="Mixed Development","MIX",
IF(E427="Plotted Development","PLT","OTH"))))
&amp;"-"&amp;TEXT(COUNTIFS($B$9:B427,B427,$E$9:E427,E427),"0000")</f>
        <v>SUR-PLT-0032</v>
      </c>
      <c r="B427" s="322" t="s">
        <v>34</v>
      </c>
      <c r="C427" s="322" t="s">
        <v>34</v>
      </c>
      <c r="D427" s="323" t="s">
        <v>614</v>
      </c>
      <c r="E427" s="132" t="s">
        <v>26</v>
      </c>
      <c r="F427" s="97" t="str">
        <f ca="1">IF(OR(Market_Data[[#This Row],[Start Date]]="",Market_Data[[#This Row],[Completion Date]]=""),"Needs Validation",IF(Market_Data[[#This Row],[Start Date]]&gt;TODAY(),"Planned",IF(Market_Data[[#This Row],[Completion Date]]&lt;TODAY(),"Completed","Ongoing")))</f>
        <v>Ongoing</v>
      </c>
      <c r="G427" s="324">
        <v>44749</v>
      </c>
      <c r="H427" s="324">
        <v>46752</v>
      </c>
      <c r="I427" s="325">
        <v>45700</v>
      </c>
      <c r="J42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427" s="133">
        <f>_xlfn.XLOOKUP(Market_Data[[#This Row],[Project Type]],tbl_assumptions_market[Project Category (RERA)],tbl_assumptions_market[Concrete Intensity
(m³ / sq m BUA)],"",0)</f>
        <v>0.18</v>
      </c>
      <c r="L427" s="134">
        <f>ROUND(Market_Data[[#This Row],[Estimated Built Up Area (sq m)]]*Market_Data[[#This Row],[Concrete Intensity
(m³ / sq m)]],0)</f>
        <v>8226</v>
      </c>
      <c r="M427" s="135">
        <f>_xlfn.XLOOKUP(Market_Data[[#This Row],[District]],tbl_district_price[District],tbl_district_price[Standard Price
(INR/m³)],"",0)</f>
        <v>6200</v>
      </c>
      <c r="N427" s="364">
        <f>IF(OR(Market_Data[[#This Row],[Estimated Concrete Demand (m³)]]="",Market_Data[[#This Row],[Avg Price per (₹ / m³)]]=""),"",Market_Data[[#This Row],[Estimated Concrete Demand (m³)]]*Market_Data[[#This Row],[Avg Price per (₹ / m³)]]/10000000)</f>
        <v>5.1001200000000004</v>
      </c>
      <c r="O427" s="97" t="str">
        <f>IF(Market_Data[[#This Row],[Estimated Concrete Demand (m³)]]="","",
IF(Market_Data[[#This Row],[Estimated Concrete Demand (m³)]]&lt;10000,"Small",
IF(Market_Data[[#This Row],[Estimated Concrete Demand (m³)]]&lt;25000,"Medium",
IF(Market_Data[[#This Row],[Estimated Concrete Demand (m³)]]&lt;100000,"Large","Mega"))))</f>
        <v>Small</v>
      </c>
      <c r="P427" s="287" t="str">
        <f t="shared" si="8"/>
        <v>GujRERA</v>
      </c>
    </row>
    <row r="428" spans="1:16">
      <c r="A428" s="129" t="str">
        <f>_xlfn.XLOOKUP(B428,$S$9:$S$14,$T$9:$T$14)&amp;"-"&amp;
IF(E428="Residential/Group Housing","RES",
IF(E428="Commercial","COM",
IF(E428="Mixed Development","MIX",
IF(E428="Plotted Development","PLT","OTH"))))
&amp;"-"&amp;TEXT(COUNTIFS($B$9:B428,B428,$E$9:E428,E428),"0000")</f>
        <v>SUR-PLT-0033</v>
      </c>
      <c r="B428" s="322" t="s">
        <v>34</v>
      </c>
      <c r="C428" s="322" t="s">
        <v>34</v>
      </c>
      <c r="D428" s="323" t="s">
        <v>615</v>
      </c>
      <c r="E428" s="132" t="s">
        <v>26</v>
      </c>
      <c r="F428" s="97" t="str">
        <f ca="1">IF(OR(Market_Data[[#This Row],[Start Date]]="",Market_Data[[#This Row],[Completion Date]]=""),"Needs Validation",IF(Market_Data[[#This Row],[Start Date]]&gt;TODAY(),"Planned",IF(Market_Data[[#This Row],[Completion Date]]&lt;TODAY(),"Completed","Ongoing")))</f>
        <v>Ongoing</v>
      </c>
      <c r="G428" s="324">
        <v>44758</v>
      </c>
      <c r="H428" s="324">
        <v>46752</v>
      </c>
      <c r="I428" s="325">
        <v>44200</v>
      </c>
      <c r="J42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428" s="133">
        <f>_xlfn.XLOOKUP(Market_Data[[#This Row],[Project Type]],tbl_assumptions_market[Project Category (RERA)],tbl_assumptions_market[Concrete Intensity
(m³ / sq m BUA)],"",0)</f>
        <v>0.18</v>
      </c>
      <c r="L428" s="134">
        <f>ROUND(Market_Data[[#This Row],[Estimated Built Up Area (sq m)]]*Market_Data[[#This Row],[Concrete Intensity
(m³ / sq m)]],0)</f>
        <v>7956</v>
      </c>
      <c r="M428" s="135">
        <f>_xlfn.XLOOKUP(Market_Data[[#This Row],[District]],tbl_district_price[District],tbl_district_price[Standard Price
(INR/m³)],"",0)</f>
        <v>6200</v>
      </c>
      <c r="N428" s="364">
        <f>IF(OR(Market_Data[[#This Row],[Estimated Concrete Demand (m³)]]="",Market_Data[[#This Row],[Avg Price per (₹ / m³)]]=""),"",Market_Data[[#This Row],[Estimated Concrete Demand (m³)]]*Market_Data[[#This Row],[Avg Price per (₹ / m³)]]/10000000)</f>
        <v>4.9327199999999998</v>
      </c>
      <c r="O428" s="97" t="str">
        <f>IF(Market_Data[[#This Row],[Estimated Concrete Demand (m³)]]="","",
IF(Market_Data[[#This Row],[Estimated Concrete Demand (m³)]]&lt;10000,"Small",
IF(Market_Data[[#This Row],[Estimated Concrete Demand (m³)]]&lt;25000,"Medium",
IF(Market_Data[[#This Row],[Estimated Concrete Demand (m³)]]&lt;100000,"Large","Mega"))))</f>
        <v>Small</v>
      </c>
      <c r="P428" s="287" t="str">
        <f t="shared" si="8"/>
        <v>GujRERA</v>
      </c>
    </row>
    <row r="429" spans="1:16">
      <c r="A429" s="129" t="str">
        <f>_xlfn.XLOOKUP(B429,$S$9:$S$14,$T$9:$T$14)&amp;"-"&amp;
IF(E429="Residential/Group Housing","RES",
IF(E429="Commercial","COM",
IF(E429="Mixed Development","MIX",
IF(E429="Plotted Development","PLT","OTH"))))
&amp;"-"&amp;TEXT(COUNTIFS($B$9:B429,B429,$E$9:E429,E429),"0000")</f>
        <v>SUR-PLT-0034</v>
      </c>
      <c r="B429" s="322" t="s">
        <v>34</v>
      </c>
      <c r="C429" s="322" t="s">
        <v>34</v>
      </c>
      <c r="D429" s="323" t="s">
        <v>616</v>
      </c>
      <c r="E429" s="132" t="s">
        <v>26</v>
      </c>
      <c r="F429" s="97" t="str">
        <f ca="1">IF(OR(Market_Data[[#This Row],[Start Date]]="",Market_Data[[#This Row],[Completion Date]]=""),"Needs Validation",IF(Market_Data[[#This Row],[Start Date]]&gt;TODAY(),"Planned",IF(Market_Data[[#This Row],[Completion Date]]&lt;TODAY(),"Completed","Ongoing")))</f>
        <v>Ongoing</v>
      </c>
      <c r="G429" s="324">
        <v>44746</v>
      </c>
      <c r="H429" s="324">
        <v>46752</v>
      </c>
      <c r="I429" s="325">
        <v>52500</v>
      </c>
      <c r="J42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429" s="133">
        <f>_xlfn.XLOOKUP(Market_Data[[#This Row],[Project Type]],tbl_assumptions_market[Project Category (RERA)],tbl_assumptions_market[Concrete Intensity
(m³ / sq m BUA)],"",0)</f>
        <v>0.18</v>
      </c>
      <c r="L429" s="134">
        <f>ROUND(Market_Data[[#This Row],[Estimated Built Up Area (sq m)]]*Market_Data[[#This Row],[Concrete Intensity
(m³ / sq m)]],0)</f>
        <v>9450</v>
      </c>
      <c r="M429" s="135">
        <f>_xlfn.XLOOKUP(Market_Data[[#This Row],[District]],tbl_district_price[District],tbl_district_price[Standard Price
(INR/m³)],"",0)</f>
        <v>6200</v>
      </c>
      <c r="N429" s="364">
        <f>IF(OR(Market_Data[[#This Row],[Estimated Concrete Demand (m³)]]="",Market_Data[[#This Row],[Avg Price per (₹ / m³)]]=""),"",Market_Data[[#This Row],[Estimated Concrete Demand (m³)]]*Market_Data[[#This Row],[Avg Price per (₹ / m³)]]/10000000)</f>
        <v>5.859</v>
      </c>
      <c r="O429" s="97" t="str">
        <f>IF(Market_Data[[#This Row],[Estimated Concrete Demand (m³)]]="","",
IF(Market_Data[[#This Row],[Estimated Concrete Demand (m³)]]&lt;10000,"Small",
IF(Market_Data[[#This Row],[Estimated Concrete Demand (m³)]]&lt;25000,"Medium",
IF(Market_Data[[#This Row],[Estimated Concrete Demand (m³)]]&lt;100000,"Large","Mega"))))</f>
        <v>Small</v>
      </c>
      <c r="P429" s="287" t="str">
        <f t="shared" si="8"/>
        <v>GujRERA</v>
      </c>
    </row>
    <row r="430" spans="1:16">
      <c r="A430" s="129" t="str">
        <f>_xlfn.XLOOKUP(B430,$S$9:$S$14,$T$9:$T$14)&amp;"-"&amp;
IF(E430="Residential/Group Housing","RES",
IF(E430="Commercial","COM",
IF(E430="Mixed Development","MIX",
IF(E430="Plotted Development","PLT","OTH"))))
&amp;"-"&amp;TEXT(COUNTIFS($B$9:B430,B430,$E$9:E430,E430),"0000")</f>
        <v>SUR-PLT-0035</v>
      </c>
      <c r="B430" s="322" t="s">
        <v>34</v>
      </c>
      <c r="C430" s="322" t="s">
        <v>34</v>
      </c>
      <c r="D430" s="323" t="s">
        <v>617</v>
      </c>
      <c r="E430" s="132" t="s">
        <v>26</v>
      </c>
      <c r="F430" s="97" t="str">
        <f ca="1">IF(OR(Market_Data[[#This Row],[Start Date]]="",Market_Data[[#This Row],[Completion Date]]=""),"Needs Validation",IF(Market_Data[[#This Row],[Start Date]]&gt;TODAY(),"Planned",IF(Market_Data[[#This Row],[Completion Date]]&lt;TODAY(),"Completed","Ongoing")))</f>
        <v>Ongoing</v>
      </c>
      <c r="G430" s="324">
        <v>45978</v>
      </c>
      <c r="H430" s="324">
        <v>47118</v>
      </c>
      <c r="I430" s="325">
        <v>36400</v>
      </c>
      <c r="J43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430" s="133">
        <f>_xlfn.XLOOKUP(Market_Data[[#This Row],[Project Type]],tbl_assumptions_market[Project Category (RERA)],tbl_assumptions_market[Concrete Intensity
(m³ / sq m BUA)],"",0)</f>
        <v>0.18</v>
      </c>
      <c r="L430" s="134">
        <f>ROUND(Market_Data[[#This Row],[Estimated Built Up Area (sq m)]]*Market_Data[[#This Row],[Concrete Intensity
(m³ / sq m)]],0)</f>
        <v>6552</v>
      </c>
      <c r="M430" s="135">
        <f>_xlfn.XLOOKUP(Market_Data[[#This Row],[District]],tbl_district_price[District],tbl_district_price[Standard Price
(INR/m³)],"",0)</f>
        <v>6200</v>
      </c>
      <c r="N430" s="364">
        <f>IF(OR(Market_Data[[#This Row],[Estimated Concrete Demand (m³)]]="",Market_Data[[#This Row],[Avg Price per (₹ / m³)]]=""),"",Market_Data[[#This Row],[Estimated Concrete Demand (m³)]]*Market_Data[[#This Row],[Avg Price per (₹ / m³)]]/10000000)</f>
        <v>4.0622400000000001</v>
      </c>
      <c r="O430" s="97" t="str">
        <f>IF(Market_Data[[#This Row],[Estimated Concrete Demand (m³)]]="","",
IF(Market_Data[[#This Row],[Estimated Concrete Demand (m³)]]&lt;10000,"Small",
IF(Market_Data[[#This Row],[Estimated Concrete Demand (m³)]]&lt;25000,"Medium",
IF(Market_Data[[#This Row],[Estimated Concrete Demand (m³)]]&lt;100000,"Large","Mega"))))</f>
        <v>Small</v>
      </c>
      <c r="P430" s="287" t="str">
        <f t="shared" si="8"/>
        <v>GujRERA</v>
      </c>
    </row>
    <row r="431" spans="1:16">
      <c r="A431" s="129" t="str">
        <f>_xlfn.XLOOKUP(B431,$S$9:$S$14,$T$9:$T$14)&amp;"-"&amp;
IF(E431="Residential/Group Housing","RES",
IF(E431="Commercial","COM",
IF(E431="Mixed Development","MIX",
IF(E431="Plotted Development","PLT","OTH"))))
&amp;"-"&amp;TEXT(COUNTIFS($B$9:B431,B431,$E$9:E431,E431),"0000")</f>
        <v>SUR-PLT-0036</v>
      </c>
      <c r="B431" s="322" t="s">
        <v>34</v>
      </c>
      <c r="C431" s="322" t="s">
        <v>34</v>
      </c>
      <c r="D431" s="323" t="s">
        <v>618</v>
      </c>
      <c r="E431" s="132" t="s">
        <v>26</v>
      </c>
      <c r="F431" s="97" t="str">
        <f ca="1">IF(OR(Market_Data[[#This Row],[Start Date]]="",Market_Data[[#This Row],[Completion Date]]=""),"Needs Validation",IF(Market_Data[[#This Row],[Start Date]]&gt;TODAY(),"Planned",IF(Market_Data[[#This Row],[Completion Date]]&lt;TODAY(),"Completed","Ongoing")))</f>
        <v>Ongoing</v>
      </c>
      <c r="G431" s="324">
        <v>45806</v>
      </c>
      <c r="H431" s="324">
        <v>47483</v>
      </c>
      <c r="I431" s="325">
        <v>17900</v>
      </c>
      <c r="J43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31" s="133">
        <f>_xlfn.XLOOKUP(Market_Data[[#This Row],[Project Type]],tbl_assumptions_market[Project Category (RERA)],tbl_assumptions_market[Concrete Intensity
(m³ / sq m BUA)],"",0)</f>
        <v>0.18</v>
      </c>
      <c r="L431" s="134">
        <f>ROUND(Market_Data[[#This Row],[Estimated Built Up Area (sq m)]]*Market_Data[[#This Row],[Concrete Intensity
(m³ / sq m)]],0)</f>
        <v>3222</v>
      </c>
      <c r="M431" s="135">
        <f>_xlfn.XLOOKUP(Market_Data[[#This Row],[District]],tbl_district_price[District],tbl_district_price[Standard Price
(INR/m³)],"",0)</f>
        <v>6200</v>
      </c>
      <c r="N431" s="364">
        <f>IF(OR(Market_Data[[#This Row],[Estimated Concrete Demand (m³)]]="",Market_Data[[#This Row],[Avg Price per (₹ / m³)]]=""),"",Market_Data[[#This Row],[Estimated Concrete Demand (m³)]]*Market_Data[[#This Row],[Avg Price per (₹ / m³)]]/10000000)</f>
        <v>1.9976400000000001</v>
      </c>
      <c r="O431" s="97" t="str">
        <f>IF(Market_Data[[#This Row],[Estimated Concrete Demand (m³)]]="","",
IF(Market_Data[[#This Row],[Estimated Concrete Demand (m³)]]&lt;10000,"Small",
IF(Market_Data[[#This Row],[Estimated Concrete Demand (m³)]]&lt;25000,"Medium",
IF(Market_Data[[#This Row],[Estimated Concrete Demand (m³)]]&lt;100000,"Large","Mega"))))</f>
        <v>Small</v>
      </c>
      <c r="P431" s="287" t="str">
        <f t="shared" si="8"/>
        <v>GujRERA</v>
      </c>
    </row>
    <row r="432" spans="1:16">
      <c r="A432" s="129" t="str">
        <f>_xlfn.XLOOKUP(B432,$S$9:$S$14,$T$9:$T$14)&amp;"-"&amp;
IF(E432="Residential/Group Housing","RES",
IF(E432="Commercial","COM",
IF(E432="Mixed Development","MIX",
IF(E432="Plotted Development","PLT","OTH"))))
&amp;"-"&amp;TEXT(COUNTIFS($B$9:B432,B432,$E$9:E432,E432),"0000")</f>
        <v>SUR-RES-0038</v>
      </c>
      <c r="B432" s="322" t="s">
        <v>34</v>
      </c>
      <c r="C432" s="322" t="s">
        <v>34</v>
      </c>
      <c r="D432" s="323" t="s">
        <v>619</v>
      </c>
      <c r="E432" s="132" t="s">
        <v>24</v>
      </c>
      <c r="F432" s="97" t="str">
        <f ca="1">IF(OR(Market_Data[[#This Row],[Start Date]]="",Market_Data[[#This Row],[Completion Date]]=""),"Needs Validation",IF(Market_Data[[#This Row],[Start Date]]&gt;TODAY(),"Planned",IF(Market_Data[[#This Row],[Completion Date]]&lt;TODAY(),"Completed","Ongoing")))</f>
        <v>Completed</v>
      </c>
      <c r="G432" s="324">
        <v>43435</v>
      </c>
      <c r="H432" s="324">
        <v>45565</v>
      </c>
      <c r="I432" s="325">
        <v>17000</v>
      </c>
      <c r="J43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32" s="133">
        <f>_xlfn.XLOOKUP(Market_Data[[#This Row],[Project Type]],tbl_assumptions_market[Project Category (RERA)],tbl_assumptions_market[Concrete Intensity
(m³ / sq m BUA)],"",0)</f>
        <v>0.45</v>
      </c>
      <c r="L432" s="134">
        <f>ROUND(Market_Data[[#This Row],[Estimated Built Up Area (sq m)]]*Market_Data[[#This Row],[Concrete Intensity
(m³ / sq m)]],0)</f>
        <v>7650</v>
      </c>
      <c r="M432" s="135">
        <f>_xlfn.XLOOKUP(Market_Data[[#This Row],[District]],tbl_district_price[District],tbl_district_price[Standard Price
(INR/m³)],"",0)</f>
        <v>6200</v>
      </c>
      <c r="N432" s="364">
        <f>IF(OR(Market_Data[[#This Row],[Estimated Concrete Demand (m³)]]="",Market_Data[[#This Row],[Avg Price per (₹ / m³)]]=""),"",Market_Data[[#This Row],[Estimated Concrete Demand (m³)]]*Market_Data[[#This Row],[Avg Price per (₹ / m³)]]/10000000)</f>
        <v>4.7430000000000003</v>
      </c>
      <c r="O432" s="97" t="str">
        <f>IF(Market_Data[[#This Row],[Estimated Concrete Demand (m³)]]="","",
IF(Market_Data[[#This Row],[Estimated Concrete Demand (m³)]]&lt;10000,"Small",
IF(Market_Data[[#This Row],[Estimated Concrete Demand (m³)]]&lt;25000,"Medium",
IF(Market_Data[[#This Row],[Estimated Concrete Demand (m³)]]&lt;100000,"Large","Mega"))))</f>
        <v>Small</v>
      </c>
      <c r="P432" s="287" t="str">
        <f t="shared" si="8"/>
        <v>GujRERA</v>
      </c>
    </row>
    <row r="433" spans="1:16">
      <c r="A433" s="129" t="str">
        <f>_xlfn.XLOOKUP(B433,$S$9:$S$14,$T$9:$T$14)&amp;"-"&amp;
IF(E433="Residential/Group Housing","RES",
IF(E433="Commercial","COM",
IF(E433="Mixed Development","MIX",
IF(E433="Plotted Development","PLT","OTH"))))
&amp;"-"&amp;TEXT(COUNTIFS($B$9:B433,B433,$E$9:E433,E433),"0000")</f>
        <v>SUR-PLT-0037</v>
      </c>
      <c r="B433" s="322" t="s">
        <v>34</v>
      </c>
      <c r="C433" s="322" t="s">
        <v>34</v>
      </c>
      <c r="D433" s="323" t="s">
        <v>620</v>
      </c>
      <c r="E433" s="132" t="s">
        <v>26</v>
      </c>
      <c r="F433" s="97" t="str">
        <f ca="1">IF(OR(Market_Data[[#This Row],[Start Date]]="",Market_Data[[#This Row],[Completion Date]]=""),"Needs Validation",IF(Market_Data[[#This Row],[Start Date]]&gt;TODAY(),"Planned",IF(Market_Data[[#This Row],[Completion Date]]&lt;TODAY(),"Completed","Ongoing")))</f>
        <v>Ongoing</v>
      </c>
      <c r="G433" s="324">
        <v>45566</v>
      </c>
      <c r="H433" s="324">
        <v>46752</v>
      </c>
      <c r="I433" s="325">
        <v>40400</v>
      </c>
      <c r="J43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433" s="133">
        <f>_xlfn.XLOOKUP(Market_Data[[#This Row],[Project Type]],tbl_assumptions_market[Project Category (RERA)],tbl_assumptions_market[Concrete Intensity
(m³ / sq m BUA)],"",0)</f>
        <v>0.18</v>
      </c>
      <c r="L433" s="134">
        <f>ROUND(Market_Data[[#This Row],[Estimated Built Up Area (sq m)]]*Market_Data[[#This Row],[Concrete Intensity
(m³ / sq m)]],0)</f>
        <v>7272</v>
      </c>
      <c r="M433" s="135">
        <f>_xlfn.XLOOKUP(Market_Data[[#This Row],[District]],tbl_district_price[District],tbl_district_price[Standard Price
(INR/m³)],"",0)</f>
        <v>6200</v>
      </c>
      <c r="N433" s="364">
        <f>IF(OR(Market_Data[[#This Row],[Estimated Concrete Demand (m³)]]="",Market_Data[[#This Row],[Avg Price per (₹ / m³)]]=""),"",Market_Data[[#This Row],[Estimated Concrete Demand (m³)]]*Market_Data[[#This Row],[Avg Price per (₹ / m³)]]/10000000)</f>
        <v>4.5086399999999998</v>
      </c>
      <c r="O433" s="97" t="str">
        <f>IF(Market_Data[[#This Row],[Estimated Concrete Demand (m³)]]="","",
IF(Market_Data[[#This Row],[Estimated Concrete Demand (m³)]]&lt;10000,"Small",
IF(Market_Data[[#This Row],[Estimated Concrete Demand (m³)]]&lt;25000,"Medium",
IF(Market_Data[[#This Row],[Estimated Concrete Demand (m³)]]&lt;100000,"Large","Mega"))))</f>
        <v>Small</v>
      </c>
      <c r="P433" s="287" t="str">
        <f t="shared" si="8"/>
        <v>GujRERA</v>
      </c>
    </row>
    <row r="434" spans="1:16">
      <c r="A434" s="129" t="str">
        <f>_xlfn.XLOOKUP(B434,$S$9:$S$14,$T$9:$T$14)&amp;"-"&amp;
IF(E434="Residential/Group Housing","RES",
IF(E434="Commercial","COM",
IF(E434="Mixed Development","MIX",
IF(E434="Plotted Development","PLT","OTH"))))
&amp;"-"&amp;TEXT(COUNTIFS($B$9:B434,B434,$E$9:E434,E434),"0000")</f>
        <v>SUR-MIX-0024</v>
      </c>
      <c r="B434" s="322" t="s">
        <v>34</v>
      </c>
      <c r="C434" s="322" t="s">
        <v>34</v>
      </c>
      <c r="D434" s="323" t="s">
        <v>621</v>
      </c>
      <c r="E434" s="132" t="s">
        <v>25</v>
      </c>
      <c r="F434" s="97" t="str">
        <f ca="1">IF(OR(Market_Data[[#This Row],[Start Date]]="",Market_Data[[#This Row],[Completion Date]]=""),"Needs Validation",IF(Market_Data[[#This Row],[Start Date]]&gt;TODAY(),"Planned",IF(Market_Data[[#This Row],[Completion Date]]&lt;TODAY(),"Completed","Ongoing")))</f>
        <v>Ongoing</v>
      </c>
      <c r="G434" s="324">
        <v>45031</v>
      </c>
      <c r="H434" s="324">
        <v>47844</v>
      </c>
      <c r="I434" s="325">
        <v>37300</v>
      </c>
      <c r="J43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34" s="133">
        <f>_xlfn.XLOOKUP(Market_Data[[#This Row],[Project Type]],tbl_assumptions_market[Project Category (RERA)],tbl_assumptions_market[Concrete Intensity
(m³ / sq m BUA)],"",0)</f>
        <v>0.42</v>
      </c>
      <c r="L434" s="134">
        <f>ROUND(Market_Data[[#This Row],[Estimated Built Up Area (sq m)]]*Market_Data[[#This Row],[Concrete Intensity
(m³ / sq m)]],0)</f>
        <v>15666</v>
      </c>
      <c r="M434" s="135">
        <f>_xlfn.XLOOKUP(Market_Data[[#This Row],[District]],tbl_district_price[District],tbl_district_price[Standard Price
(INR/m³)],"",0)</f>
        <v>6200</v>
      </c>
      <c r="N434" s="364">
        <f>IF(OR(Market_Data[[#This Row],[Estimated Concrete Demand (m³)]]="",Market_Data[[#This Row],[Avg Price per (₹ / m³)]]=""),"",Market_Data[[#This Row],[Estimated Concrete Demand (m³)]]*Market_Data[[#This Row],[Avg Price per (₹ / m³)]]/10000000)</f>
        <v>9.7129200000000004</v>
      </c>
      <c r="O434" s="97" t="str">
        <f>IF(Market_Data[[#This Row],[Estimated Concrete Demand (m³)]]="","",
IF(Market_Data[[#This Row],[Estimated Concrete Demand (m³)]]&lt;10000,"Small",
IF(Market_Data[[#This Row],[Estimated Concrete Demand (m³)]]&lt;25000,"Medium",
IF(Market_Data[[#This Row],[Estimated Concrete Demand (m³)]]&lt;100000,"Large","Mega"))))</f>
        <v>Medium</v>
      </c>
      <c r="P434" s="287" t="str">
        <f t="shared" si="8"/>
        <v>GujRERA</v>
      </c>
    </row>
    <row r="435" spans="1:16">
      <c r="A435" s="129" t="str">
        <f>_xlfn.XLOOKUP(B435,$S$9:$S$14,$T$9:$T$14)&amp;"-"&amp;
IF(E435="Residential/Group Housing","RES",
IF(E435="Commercial","COM",
IF(E435="Mixed Development","MIX",
IF(E435="Plotted Development","PLT","OTH"))))
&amp;"-"&amp;TEXT(COUNTIFS($B$9:B435,B435,$E$9:E435,E435),"0000")</f>
        <v>SUR-MIX-0025</v>
      </c>
      <c r="B435" s="322" t="s">
        <v>34</v>
      </c>
      <c r="C435" s="322" t="s">
        <v>34</v>
      </c>
      <c r="D435" s="323" t="s">
        <v>622</v>
      </c>
      <c r="E435" s="132" t="s">
        <v>25</v>
      </c>
      <c r="F435" s="97" t="str">
        <f ca="1">IF(OR(Market_Data[[#This Row],[Start Date]]="",Market_Data[[#This Row],[Completion Date]]=""),"Needs Validation",IF(Market_Data[[#This Row],[Start Date]]&gt;TODAY(),"Planned",IF(Market_Data[[#This Row],[Completion Date]]&lt;TODAY(),"Completed","Ongoing")))</f>
        <v>Ongoing</v>
      </c>
      <c r="G435" s="324">
        <v>43642</v>
      </c>
      <c r="H435" s="324">
        <v>46931</v>
      </c>
      <c r="I435" s="325">
        <v>14600</v>
      </c>
      <c r="J43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35" s="133">
        <f>_xlfn.XLOOKUP(Market_Data[[#This Row],[Project Type]],tbl_assumptions_market[Project Category (RERA)],tbl_assumptions_market[Concrete Intensity
(m³ / sq m BUA)],"",0)</f>
        <v>0.42</v>
      </c>
      <c r="L435" s="134">
        <f>ROUND(Market_Data[[#This Row],[Estimated Built Up Area (sq m)]]*Market_Data[[#This Row],[Concrete Intensity
(m³ / sq m)]],0)</f>
        <v>6132</v>
      </c>
      <c r="M435" s="135">
        <f>_xlfn.XLOOKUP(Market_Data[[#This Row],[District]],tbl_district_price[District],tbl_district_price[Standard Price
(INR/m³)],"",0)</f>
        <v>6200</v>
      </c>
      <c r="N435" s="364">
        <f>IF(OR(Market_Data[[#This Row],[Estimated Concrete Demand (m³)]]="",Market_Data[[#This Row],[Avg Price per (₹ / m³)]]=""),"",Market_Data[[#This Row],[Estimated Concrete Demand (m³)]]*Market_Data[[#This Row],[Avg Price per (₹ / m³)]]/10000000)</f>
        <v>3.8018399999999999</v>
      </c>
      <c r="O435" s="97" t="str">
        <f>IF(Market_Data[[#This Row],[Estimated Concrete Demand (m³)]]="","",
IF(Market_Data[[#This Row],[Estimated Concrete Demand (m³)]]&lt;10000,"Small",
IF(Market_Data[[#This Row],[Estimated Concrete Demand (m³)]]&lt;25000,"Medium",
IF(Market_Data[[#This Row],[Estimated Concrete Demand (m³)]]&lt;100000,"Large","Mega"))))</f>
        <v>Small</v>
      </c>
      <c r="P435" s="287" t="str">
        <f t="shared" si="8"/>
        <v>GujRERA</v>
      </c>
    </row>
    <row r="436" spans="1:16">
      <c r="A436" s="129" t="str">
        <f>_xlfn.XLOOKUP(B436,$S$9:$S$14,$T$9:$T$14)&amp;"-"&amp;
IF(E436="Residential/Group Housing","RES",
IF(E436="Commercial","COM",
IF(E436="Mixed Development","MIX",
IF(E436="Plotted Development","PLT","OTH"))))
&amp;"-"&amp;TEXT(COUNTIFS($B$9:B436,B436,$E$9:E436,E436),"0000")</f>
        <v>SUR-PLT-0038</v>
      </c>
      <c r="B436" s="322" t="s">
        <v>34</v>
      </c>
      <c r="C436" s="322" t="s">
        <v>34</v>
      </c>
      <c r="D436" s="323" t="s">
        <v>623</v>
      </c>
      <c r="E436" s="132" t="s">
        <v>26</v>
      </c>
      <c r="F436" s="97" t="str">
        <f ca="1">IF(OR(Market_Data[[#This Row],[Start Date]]="",Market_Data[[#This Row],[Completion Date]]=""),"Needs Validation",IF(Market_Data[[#This Row],[Start Date]]&gt;TODAY(),"Planned",IF(Market_Data[[#This Row],[Completion Date]]&lt;TODAY(),"Completed","Ongoing")))</f>
        <v>Completed</v>
      </c>
      <c r="G436" s="324">
        <v>41380</v>
      </c>
      <c r="H436" s="324">
        <v>44285</v>
      </c>
      <c r="I436" s="325">
        <v>14300</v>
      </c>
      <c r="J43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36" s="133">
        <f>_xlfn.XLOOKUP(Market_Data[[#This Row],[Project Type]],tbl_assumptions_market[Project Category (RERA)],tbl_assumptions_market[Concrete Intensity
(m³ / sq m BUA)],"",0)</f>
        <v>0.18</v>
      </c>
      <c r="L436" s="134">
        <f>ROUND(Market_Data[[#This Row],[Estimated Built Up Area (sq m)]]*Market_Data[[#This Row],[Concrete Intensity
(m³ / sq m)]],0)</f>
        <v>2574</v>
      </c>
      <c r="M436" s="135">
        <f>_xlfn.XLOOKUP(Market_Data[[#This Row],[District]],tbl_district_price[District],tbl_district_price[Standard Price
(INR/m³)],"",0)</f>
        <v>6200</v>
      </c>
      <c r="N436" s="364">
        <f>IF(OR(Market_Data[[#This Row],[Estimated Concrete Demand (m³)]]="",Market_Data[[#This Row],[Avg Price per (₹ / m³)]]=""),"",Market_Data[[#This Row],[Estimated Concrete Demand (m³)]]*Market_Data[[#This Row],[Avg Price per (₹ / m³)]]/10000000)</f>
        <v>1.59588</v>
      </c>
      <c r="O436" s="97" t="str">
        <f>IF(Market_Data[[#This Row],[Estimated Concrete Demand (m³)]]="","",
IF(Market_Data[[#This Row],[Estimated Concrete Demand (m³)]]&lt;10000,"Small",
IF(Market_Data[[#This Row],[Estimated Concrete Demand (m³)]]&lt;25000,"Medium",
IF(Market_Data[[#This Row],[Estimated Concrete Demand (m³)]]&lt;100000,"Large","Mega"))))</f>
        <v>Small</v>
      </c>
      <c r="P436" s="287" t="str">
        <f t="shared" si="8"/>
        <v>GujRERA</v>
      </c>
    </row>
    <row r="437" spans="1:16">
      <c r="A437" s="129" t="str">
        <f>_xlfn.XLOOKUP(B437,$S$9:$S$14,$T$9:$T$14)&amp;"-"&amp;
IF(E437="Residential/Group Housing","RES",
IF(E437="Commercial","COM",
IF(E437="Mixed Development","MIX",
IF(E437="Plotted Development","PLT","OTH"))))
&amp;"-"&amp;TEXT(COUNTIFS($B$9:B437,B437,$E$9:E437,E437),"0000")</f>
        <v>SUR-MIX-0026</v>
      </c>
      <c r="B437" s="322" t="s">
        <v>34</v>
      </c>
      <c r="C437" s="322" t="s">
        <v>34</v>
      </c>
      <c r="D437" s="323" t="s">
        <v>624</v>
      </c>
      <c r="E437" s="132" t="s">
        <v>25</v>
      </c>
      <c r="F437" s="97" t="str">
        <f ca="1">IF(OR(Market_Data[[#This Row],[Start Date]]="",Market_Data[[#This Row],[Completion Date]]=""),"Needs Validation",IF(Market_Data[[#This Row],[Start Date]]&gt;TODAY(),"Planned",IF(Market_Data[[#This Row],[Completion Date]]&lt;TODAY(),"Completed","Ongoing")))</f>
        <v>Ongoing</v>
      </c>
      <c r="G437" s="324">
        <v>45753</v>
      </c>
      <c r="H437" s="324">
        <v>47848</v>
      </c>
      <c r="I437" s="325">
        <v>19300</v>
      </c>
      <c r="J43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37" s="133">
        <f>_xlfn.XLOOKUP(Market_Data[[#This Row],[Project Type]],tbl_assumptions_market[Project Category (RERA)],tbl_assumptions_market[Concrete Intensity
(m³ / sq m BUA)],"",0)</f>
        <v>0.42</v>
      </c>
      <c r="L437" s="134">
        <f>ROUND(Market_Data[[#This Row],[Estimated Built Up Area (sq m)]]*Market_Data[[#This Row],[Concrete Intensity
(m³ / sq m)]],0)</f>
        <v>8106</v>
      </c>
      <c r="M437" s="135">
        <f>_xlfn.XLOOKUP(Market_Data[[#This Row],[District]],tbl_district_price[District],tbl_district_price[Standard Price
(INR/m³)],"",0)</f>
        <v>6200</v>
      </c>
      <c r="N437" s="364">
        <f>IF(OR(Market_Data[[#This Row],[Estimated Concrete Demand (m³)]]="",Market_Data[[#This Row],[Avg Price per (₹ / m³)]]=""),"",Market_Data[[#This Row],[Estimated Concrete Demand (m³)]]*Market_Data[[#This Row],[Avg Price per (₹ / m³)]]/10000000)</f>
        <v>5.0257199999999997</v>
      </c>
      <c r="O437" s="97" t="str">
        <f>IF(Market_Data[[#This Row],[Estimated Concrete Demand (m³)]]="","",
IF(Market_Data[[#This Row],[Estimated Concrete Demand (m³)]]&lt;10000,"Small",
IF(Market_Data[[#This Row],[Estimated Concrete Demand (m³)]]&lt;25000,"Medium",
IF(Market_Data[[#This Row],[Estimated Concrete Demand (m³)]]&lt;100000,"Large","Mega"))))</f>
        <v>Small</v>
      </c>
      <c r="P437" s="287" t="str">
        <f t="shared" si="8"/>
        <v>GujRERA</v>
      </c>
    </row>
    <row r="438" spans="1:16">
      <c r="A438" s="129" t="str">
        <f>_xlfn.XLOOKUP(B438,$S$9:$S$14,$T$9:$T$14)&amp;"-"&amp;
IF(E438="Residential/Group Housing","RES",
IF(E438="Commercial","COM",
IF(E438="Mixed Development","MIX",
IF(E438="Plotted Development","PLT","OTH"))))
&amp;"-"&amp;TEXT(COUNTIFS($B$9:B438,B438,$E$9:E438,E438),"0000")</f>
        <v>SUR-PLT-0039</v>
      </c>
      <c r="B438" s="322" t="s">
        <v>34</v>
      </c>
      <c r="C438" s="322" t="s">
        <v>34</v>
      </c>
      <c r="D438" s="323" t="s">
        <v>625</v>
      </c>
      <c r="E438" s="132" t="s">
        <v>26</v>
      </c>
      <c r="F438" s="97" t="str">
        <f ca="1">IF(OR(Market_Data[[#This Row],[Start Date]]="",Market_Data[[#This Row],[Completion Date]]=""),"Needs Validation",IF(Market_Data[[#This Row],[Start Date]]&gt;TODAY(),"Planned",IF(Market_Data[[#This Row],[Completion Date]]&lt;TODAY(),"Completed","Ongoing")))</f>
        <v>Ongoing</v>
      </c>
      <c r="G438" s="324">
        <v>45413</v>
      </c>
      <c r="H438" s="324">
        <v>46752</v>
      </c>
      <c r="I438" s="325">
        <v>17000</v>
      </c>
      <c r="J43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38" s="133">
        <f>_xlfn.XLOOKUP(Market_Data[[#This Row],[Project Type]],tbl_assumptions_market[Project Category (RERA)],tbl_assumptions_market[Concrete Intensity
(m³ / sq m BUA)],"",0)</f>
        <v>0.18</v>
      </c>
      <c r="L438" s="134">
        <f>ROUND(Market_Data[[#This Row],[Estimated Built Up Area (sq m)]]*Market_Data[[#This Row],[Concrete Intensity
(m³ / sq m)]],0)</f>
        <v>3060</v>
      </c>
      <c r="M438" s="135">
        <f>_xlfn.XLOOKUP(Market_Data[[#This Row],[District]],tbl_district_price[District],tbl_district_price[Standard Price
(INR/m³)],"",0)</f>
        <v>6200</v>
      </c>
      <c r="N438" s="364">
        <f>IF(OR(Market_Data[[#This Row],[Estimated Concrete Demand (m³)]]="",Market_Data[[#This Row],[Avg Price per (₹ / m³)]]=""),"",Market_Data[[#This Row],[Estimated Concrete Demand (m³)]]*Market_Data[[#This Row],[Avg Price per (₹ / m³)]]/10000000)</f>
        <v>1.8972</v>
      </c>
      <c r="O438" s="97" t="str">
        <f>IF(Market_Data[[#This Row],[Estimated Concrete Demand (m³)]]="","",
IF(Market_Data[[#This Row],[Estimated Concrete Demand (m³)]]&lt;10000,"Small",
IF(Market_Data[[#This Row],[Estimated Concrete Demand (m³)]]&lt;25000,"Medium",
IF(Market_Data[[#This Row],[Estimated Concrete Demand (m³)]]&lt;100000,"Large","Mega"))))</f>
        <v>Small</v>
      </c>
      <c r="P438" s="287" t="str">
        <f t="shared" si="8"/>
        <v>GujRERA</v>
      </c>
    </row>
    <row r="439" spans="1:16">
      <c r="A439" s="129" t="str">
        <f>_xlfn.XLOOKUP(B439,$S$9:$S$14,$T$9:$T$14)&amp;"-"&amp;
IF(E439="Residential/Group Housing","RES",
IF(E439="Commercial","COM",
IF(E439="Mixed Development","MIX",
IF(E439="Plotted Development","PLT","OTH"))))
&amp;"-"&amp;TEXT(COUNTIFS($B$9:B439,B439,$E$9:E439,E439),"0000")</f>
        <v>SUR-PLT-0040</v>
      </c>
      <c r="B439" s="322" t="s">
        <v>34</v>
      </c>
      <c r="C439" s="322" t="s">
        <v>34</v>
      </c>
      <c r="D439" s="323" t="s">
        <v>626</v>
      </c>
      <c r="E439" s="132" t="s">
        <v>26</v>
      </c>
      <c r="F439" s="97" t="str">
        <f ca="1">IF(OR(Market_Data[[#This Row],[Start Date]]="",Market_Data[[#This Row],[Completion Date]]=""),"Needs Validation",IF(Market_Data[[#This Row],[Start Date]]&gt;TODAY(),"Planned",IF(Market_Data[[#This Row],[Completion Date]]&lt;TODAY(),"Completed","Ongoing")))</f>
        <v>Ongoing</v>
      </c>
      <c r="G439" s="324">
        <v>45413</v>
      </c>
      <c r="H439" s="324">
        <v>46752</v>
      </c>
      <c r="I439" s="325">
        <v>138600</v>
      </c>
      <c r="J43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439" s="133">
        <f>_xlfn.XLOOKUP(Market_Data[[#This Row],[Project Type]],tbl_assumptions_market[Project Category (RERA)],tbl_assumptions_market[Concrete Intensity
(m³ / sq m BUA)],"",0)</f>
        <v>0.18</v>
      </c>
      <c r="L439" s="134">
        <f>ROUND(Market_Data[[#This Row],[Estimated Built Up Area (sq m)]]*Market_Data[[#This Row],[Concrete Intensity
(m³ / sq m)]],0)</f>
        <v>24948</v>
      </c>
      <c r="M439" s="135">
        <f>_xlfn.XLOOKUP(Market_Data[[#This Row],[District]],tbl_district_price[District],tbl_district_price[Standard Price
(INR/m³)],"",0)</f>
        <v>6200</v>
      </c>
      <c r="N439" s="364">
        <f>IF(OR(Market_Data[[#This Row],[Estimated Concrete Demand (m³)]]="",Market_Data[[#This Row],[Avg Price per (₹ / m³)]]=""),"",Market_Data[[#This Row],[Estimated Concrete Demand (m³)]]*Market_Data[[#This Row],[Avg Price per (₹ / m³)]]/10000000)</f>
        <v>15.46776</v>
      </c>
      <c r="O439" s="97" t="str">
        <f>IF(Market_Data[[#This Row],[Estimated Concrete Demand (m³)]]="","",
IF(Market_Data[[#This Row],[Estimated Concrete Demand (m³)]]&lt;10000,"Small",
IF(Market_Data[[#This Row],[Estimated Concrete Demand (m³)]]&lt;25000,"Medium",
IF(Market_Data[[#This Row],[Estimated Concrete Demand (m³)]]&lt;100000,"Large","Mega"))))</f>
        <v>Medium</v>
      </c>
      <c r="P439" s="287" t="str">
        <f t="shared" si="8"/>
        <v>GujRERA</v>
      </c>
    </row>
    <row r="440" spans="1:16">
      <c r="A440" s="129" t="str">
        <f>_xlfn.XLOOKUP(B440,$S$9:$S$14,$T$9:$T$14)&amp;"-"&amp;
IF(E440="Residential/Group Housing","RES",
IF(E440="Commercial","COM",
IF(E440="Mixed Development","MIX",
IF(E440="Plotted Development","PLT","OTH"))))
&amp;"-"&amp;TEXT(COUNTIFS($B$9:B440,B440,$E$9:E440,E440),"0000")</f>
        <v>SUR-MIX-0027</v>
      </c>
      <c r="B440" s="322" t="s">
        <v>34</v>
      </c>
      <c r="C440" s="322" t="s">
        <v>34</v>
      </c>
      <c r="D440" s="323" t="s">
        <v>627</v>
      </c>
      <c r="E440" s="132" t="s">
        <v>25</v>
      </c>
      <c r="F440" s="97" t="str">
        <f ca="1">IF(OR(Market_Data[[#This Row],[Start Date]]="",Market_Data[[#This Row],[Completion Date]]=""),"Needs Validation",IF(Market_Data[[#This Row],[Start Date]]&gt;TODAY(),"Planned",IF(Market_Data[[#This Row],[Completion Date]]&lt;TODAY(),"Completed","Ongoing")))</f>
        <v>Completed</v>
      </c>
      <c r="G440" s="324">
        <v>43472</v>
      </c>
      <c r="H440" s="324">
        <v>46202</v>
      </c>
      <c r="I440" s="325">
        <v>46300</v>
      </c>
      <c r="J44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40" s="133">
        <f>_xlfn.XLOOKUP(Market_Data[[#This Row],[Project Type]],tbl_assumptions_market[Project Category (RERA)],tbl_assumptions_market[Concrete Intensity
(m³ / sq m BUA)],"",0)</f>
        <v>0.42</v>
      </c>
      <c r="L440" s="134">
        <f>ROUND(Market_Data[[#This Row],[Estimated Built Up Area (sq m)]]*Market_Data[[#This Row],[Concrete Intensity
(m³ / sq m)]],0)</f>
        <v>19446</v>
      </c>
      <c r="M440" s="135">
        <f>_xlfn.XLOOKUP(Market_Data[[#This Row],[District]],tbl_district_price[District],tbl_district_price[Standard Price
(INR/m³)],"",0)</f>
        <v>6200</v>
      </c>
      <c r="N440" s="364">
        <f>IF(OR(Market_Data[[#This Row],[Estimated Concrete Demand (m³)]]="",Market_Data[[#This Row],[Avg Price per (₹ / m³)]]=""),"",Market_Data[[#This Row],[Estimated Concrete Demand (m³)]]*Market_Data[[#This Row],[Avg Price per (₹ / m³)]]/10000000)</f>
        <v>12.056520000000001</v>
      </c>
      <c r="O440" s="97" t="str">
        <f>IF(Market_Data[[#This Row],[Estimated Concrete Demand (m³)]]="","",
IF(Market_Data[[#This Row],[Estimated Concrete Demand (m³)]]&lt;10000,"Small",
IF(Market_Data[[#This Row],[Estimated Concrete Demand (m³)]]&lt;25000,"Medium",
IF(Market_Data[[#This Row],[Estimated Concrete Demand (m³)]]&lt;100000,"Large","Mega"))))</f>
        <v>Medium</v>
      </c>
      <c r="P440" s="287" t="str">
        <f t="shared" si="8"/>
        <v>GujRERA</v>
      </c>
    </row>
    <row r="441" spans="1:16">
      <c r="A441" s="129" t="str">
        <f>_xlfn.XLOOKUP(B441,$S$9:$S$14,$T$9:$T$14)&amp;"-"&amp;
IF(E441="Residential/Group Housing","RES",
IF(E441="Commercial","COM",
IF(E441="Mixed Development","MIX",
IF(E441="Plotted Development","PLT","OTH"))))
&amp;"-"&amp;TEXT(COUNTIFS($B$9:B441,B441,$E$9:E441,E441),"0000")</f>
        <v>SUR-RES-0039</v>
      </c>
      <c r="B441" s="322" t="s">
        <v>34</v>
      </c>
      <c r="C441" s="322" t="s">
        <v>34</v>
      </c>
      <c r="D441" s="323" t="s">
        <v>628</v>
      </c>
      <c r="E441" s="132" t="s">
        <v>24</v>
      </c>
      <c r="F441" s="97" t="str">
        <f ca="1">IF(OR(Market_Data[[#This Row],[Start Date]]="",Market_Data[[#This Row],[Completion Date]]=""),"Needs Validation",IF(Market_Data[[#This Row],[Start Date]]&gt;TODAY(),"Planned",IF(Market_Data[[#This Row],[Completion Date]]&lt;TODAY(),"Completed","Ongoing")))</f>
        <v>Ongoing</v>
      </c>
      <c r="G441" s="324">
        <v>44239</v>
      </c>
      <c r="H441" s="324">
        <v>46752</v>
      </c>
      <c r="I441" s="325">
        <v>19900</v>
      </c>
      <c r="J44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41" s="133">
        <f>_xlfn.XLOOKUP(Market_Data[[#This Row],[Project Type]],tbl_assumptions_market[Project Category (RERA)],tbl_assumptions_market[Concrete Intensity
(m³ / sq m BUA)],"",0)</f>
        <v>0.45</v>
      </c>
      <c r="L441" s="134">
        <f>ROUND(Market_Data[[#This Row],[Estimated Built Up Area (sq m)]]*Market_Data[[#This Row],[Concrete Intensity
(m³ / sq m)]],0)</f>
        <v>8955</v>
      </c>
      <c r="M441" s="135">
        <f>_xlfn.XLOOKUP(Market_Data[[#This Row],[District]],tbl_district_price[District],tbl_district_price[Standard Price
(INR/m³)],"",0)</f>
        <v>6200</v>
      </c>
      <c r="N441" s="364">
        <f>IF(OR(Market_Data[[#This Row],[Estimated Concrete Demand (m³)]]="",Market_Data[[#This Row],[Avg Price per (₹ / m³)]]=""),"",Market_Data[[#This Row],[Estimated Concrete Demand (m³)]]*Market_Data[[#This Row],[Avg Price per (₹ / m³)]]/10000000)</f>
        <v>5.5521000000000003</v>
      </c>
      <c r="O441" s="97" t="str">
        <f>IF(Market_Data[[#This Row],[Estimated Concrete Demand (m³)]]="","",
IF(Market_Data[[#This Row],[Estimated Concrete Demand (m³)]]&lt;10000,"Small",
IF(Market_Data[[#This Row],[Estimated Concrete Demand (m³)]]&lt;25000,"Medium",
IF(Market_Data[[#This Row],[Estimated Concrete Demand (m³)]]&lt;100000,"Large","Mega"))))</f>
        <v>Small</v>
      </c>
      <c r="P441" s="287" t="str">
        <f t="shared" si="8"/>
        <v>GujRERA</v>
      </c>
    </row>
    <row r="442" spans="1:16">
      <c r="A442" s="129" t="str">
        <f>_xlfn.XLOOKUP(B442,$S$9:$S$14,$T$9:$T$14)&amp;"-"&amp;
IF(E442="Residential/Group Housing","RES",
IF(E442="Commercial","COM",
IF(E442="Mixed Development","MIX",
IF(E442="Plotted Development","PLT","OTH"))))
&amp;"-"&amp;TEXT(COUNTIFS($B$9:B442,B442,$E$9:E442,E442),"0000")</f>
        <v>SUR-PLT-0041</v>
      </c>
      <c r="B442" s="322" t="s">
        <v>34</v>
      </c>
      <c r="C442" s="322" t="s">
        <v>34</v>
      </c>
      <c r="D442" s="323" t="s">
        <v>629</v>
      </c>
      <c r="E442" s="132" t="s">
        <v>26</v>
      </c>
      <c r="F442" s="97" t="str">
        <f ca="1">IF(OR(Market_Data[[#This Row],[Start Date]]="",Market_Data[[#This Row],[Completion Date]]=""),"Needs Validation",IF(Market_Data[[#This Row],[Start Date]]&gt;TODAY(),"Planned",IF(Market_Data[[#This Row],[Completion Date]]&lt;TODAY(),"Completed","Ongoing")))</f>
        <v>Ongoing</v>
      </c>
      <c r="G442" s="324">
        <v>45637</v>
      </c>
      <c r="H442" s="324">
        <v>46752</v>
      </c>
      <c r="I442" s="325">
        <v>25700</v>
      </c>
      <c r="J44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42" s="133">
        <f>_xlfn.XLOOKUP(Market_Data[[#This Row],[Project Type]],tbl_assumptions_market[Project Category (RERA)],tbl_assumptions_market[Concrete Intensity
(m³ / sq m BUA)],"",0)</f>
        <v>0.18</v>
      </c>
      <c r="L442" s="134">
        <f>ROUND(Market_Data[[#This Row],[Estimated Built Up Area (sq m)]]*Market_Data[[#This Row],[Concrete Intensity
(m³ / sq m)]],0)</f>
        <v>4626</v>
      </c>
      <c r="M442" s="135">
        <f>_xlfn.XLOOKUP(Market_Data[[#This Row],[District]],tbl_district_price[District],tbl_district_price[Standard Price
(INR/m³)],"",0)</f>
        <v>6200</v>
      </c>
      <c r="N442" s="364">
        <f>IF(OR(Market_Data[[#This Row],[Estimated Concrete Demand (m³)]]="",Market_Data[[#This Row],[Avg Price per (₹ / m³)]]=""),"",Market_Data[[#This Row],[Estimated Concrete Demand (m³)]]*Market_Data[[#This Row],[Avg Price per (₹ / m³)]]/10000000)</f>
        <v>2.8681199999999998</v>
      </c>
      <c r="O442" s="97" t="str">
        <f>IF(Market_Data[[#This Row],[Estimated Concrete Demand (m³)]]="","",
IF(Market_Data[[#This Row],[Estimated Concrete Demand (m³)]]&lt;10000,"Small",
IF(Market_Data[[#This Row],[Estimated Concrete Demand (m³)]]&lt;25000,"Medium",
IF(Market_Data[[#This Row],[Estimated Concrete Demand (m³)]]&lt;100000,"Large","Mega"))))</f>
        <v>Small</v>
      </c>
      <c r="P442" s="287" t="str">
        <f t="shared" si="8"/>
        <v>GujRERA</v>
      </c>
    </row>
    <row r="443" spans="1:16">
      <c r="A443" s="129" t="str">
        <f>_xlfn.XLOOKUP(B443,$S$9:$S$14,$T$9:$T$14)&amp;"-"&amp;
IF(E443="Residential/Group Housing","RES",
IF(E443="Commercial","COM",
IF(E443="Mixed Development","MIX",
IF(E443="Plotted Development","PLT","OTH"))))
&amp;"-"&amp;TEXT(COUNTIFS($B$9:B443,B443,$E$9:E443,E443),"0000")</f>
        <v>SUR-PLT-0042</v>
      </c>
      <c r="B443" s="322" t="s">
        <v>34</v>
      </c>
      <c r="C443" s="322" t="s">
        <v>34</v>
      </c>
      <c r="D443" s="323" t="s">
        <v>630</v>
      </c>
      <c r="E443" s="132" t="s">
        <v>26</v>
      </c>
      <c r="F443" s="97" t="str">
        <f ca="1">IF(OR(Market_Data[[#This Row],[Start Date]]="",Market_Data[[#This Row],[Completion Date]]=""),"Needs Validation",IF(Market_Data[[#This Row],[Start Date]]&gt;TODAY(),"Planned",IF(Market_Data[[#This Row],[Completion Date]]&lt;TODAY(),"Completed","Ongoing")))</f>
        <v>Ongoing</v>
      </c>
      <c r="G443" s="324">
        <v>45266</v>
      </c>
      <c r="H443" s="324">
        <v>46752</v>
      </c>
      <c r="I443" s="325">
        <v>54800</v>
      </c>
      <c r="J44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443" s="133">
        <f>_xlfn.XLOOKUP(Market_Data[[#This Row],[Project Type]],tbl_assumptions_market[Project Category (RERA)],tbl_assumptions_market[Concrete Intensity
(m³ / sq m BUA)],"",0)</f>
        <v>0.18</v>
      </c>
      <c r="L443" s="134">
        <f>ROUND(Market_Data[[#This Row],[Estimated Built Up Area (sq m)]]*Market_Data[[#This Row],[Concrete Intensity
(m³ / sq m)]],0)</f>
        <v>9864</v>
      </c>
      <c r="M443" s="135">
        <f>_xlfn.XLOOKUP(Market_Data[[#This Row],[District]],tbl_district_price[District],tbl_district_price[Standard Price
(INR/m³)],"",0)</f>
        <v>6200</v>
      </c>
      <c r="N443" s="364">
        <f>IF(OR(Market_Data[[#This Row],[Estimated Concrete Demand (m³)]]="",Market_Data[[#This Row],[Avg Price per (₹ / m³)]]=""),"",Market_Data[[#This Row],[Estimated Concrete Demand (m³)]]*Market_Data[[#This Row],[Avg Price per (₹ / m³)]]/10000000)</f>
        <v>6.1156800000000002</v>
      </c>
      <c r="O443" s="97" t="str">
        <f>IF(Market_Data[[#This Row],[Estimated Concrete Demand (m³)]]="","",
IF(Market_Data[[#This Row],[Estimated Concrete Demand (m³)]]&lt;10000,"Small",
IF(Market_Data[[#This Row],[Estimated Concrete Demand (m³)]]&lt;25000,"Medium",
IF(Market_Data[[#This Row],[Estimated Concrete Demand (m³)]]&lt;100000,"Large","Mega"))))</f>
        <v>Small</v>
      </c>
      <c r="P443" s="287" t="str">
        <f t="shared" si="8"/>
        <v>GujRERA</v>
      </c>
    </row>
    <row r="444" spans="1:16">
      <c r="A444" s="129" t="str">
        <f>_xlfn.XLOOKUP(B444,$S$9:$S$14,$T$9:$T$14)&amp;"-"&amp;
IF(E444="Residential/Group Housing","RES",
IF(E444="Commercial","COM",
IF(E444="Mixed Development","MIX",
IF(E444="Plotted Development","PLT","OTH"))))
&amp;"-"&amp;TEXT(COUNTIFS($B$9:B444,B444,$E$9:E444,E444),"0000")</f>
        <v>SUR-RES-0040</v>
      </c>
      <c r="B444" s="322" t="s">
        <v>34</v>
      </c>
      <c r="C444" s="322" t="s">
        <v>34</v>
      </c>
      <c r="D444" s="323" t="s">
        <v>631</v>
      </c>
      <c r="E444" s="132" t="s">
        <v>24</v>
      </c>
      <c r="F444" s="97" t="str">
        <f ca="1">IF(OR(Market_Data[[#This Row],[Start Date]]="",Market_Data[[#This Row],[Completion Date]]=""),"Needs Validation",IF(Market_Data[[#This Row],[Start Date]]&gt;TODAY(),"Planned",IF(Market_Data[[#This Row],[Completion Date]]&lt;TODAY(),"Completed","Ongoing")))</f>
        <v>Ongoing</v>
      </c>
      <c r="G444" s="324">
        <v>44652</v>
      </c>
      <c r="H444" s="324">
        <v>46477</v>
      </c>
      <c r="I444" s="325">
        <v>15800</v>
      </c>
      <c r="J44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44" s="133">
        <f>_xlfn.XLOOKUP(Market_Data[[#This Row],[Project Type]],tbl_assumptions_market[Project Category (RERA)],tbl_assumptions_market[Concrete Intensity
(m³ / sq m BUA)],"",0)</f>
        <v>0.45</v>
      </c>
      <c r="L444" s="134">
        <f>ROUND(Market_Data[[#This Row],[Estimated Built Up Area (sq m)]]*Market_Data[[#This Row],[Concrete Intensity
(m³ / sq m)]],0)</f>
        <v>7110</v>
      </c>
      <c r="M444" s="135">
        <f>_xlfn.XLOOKUP(Market_Data[[#This Row],[District]],tbl_district_price[District],tbl_district_price[Standard Price
(INR/m³)],"",0)</f>
        <v>6200</v>
      </c>
      <c r="N444" s="364">
        <f>IF(OR(Market_Data[[#This Row],[Estimated Concrete Demand (m³)]]="",Market_Data[[#This Row],[Avg Price per (₹ / m³)]]=""),"",Market_Data[[#This Row],[Estimated Concrete Demand (m³)]]*Market_Data[[#This Row],[Avg Price per (₹ / m³)]]/10000000)</f>
        <v>4.4081999999999999</v>
      </c>
      <c r="O444" s="97" t="str">
        <f>IF(Market_Data[[#This Row],[Estimated Concrete Demand (m³)]]="","",
IF(Market_Data[[#This Row],[Estimated Concrete Demand (m³)]]&lt;10000,"Small",
IF(Market_Data[[#This Row],[Estimated Concrete Demand (m³)]]&lt;25000,"Medium",
IF(Market_Data[[#This Row],[Estimated Concrete Demand (m³)]]&lt;100000,"Large","Mega"))))</f>
        <v>Small</v>
      </c>
      <c r="P444" s="287" t="str">
        <f t="shared" si="8"/>
        <v>GujRERA</v>
      </c>
    </row>
    <row r="445" spans="1:16">
      <c r="A445" s="129" t="str">
        <f>_xlfn.XLOOKUP(B445,$S$9:$S$14,$T$9:$T$14)&amp;"-"&amp;
IF(E445="Residential/Group Housing","RES",
IF(E445="Commercial","COM",
IF(E445="Mixed Development","MIX",
IF(E445="Plotted Development","PLT","OTH"))))
&amp;"-"&amp;TEXT(COUNTIFS($B$9:B445,B445,$E$9:E445,E445),"0000")</f>
        <v>SUR-PLT-0043</v>
      </c>
      <c r="B445" s="322" t="s">
        <v>34</v>
      </c>
      <c r="C445" s="322" t="s">
        <v>34</v>
      </c>
      <c r="D445" s="323" t="s">
        <v>632</v>
      </c>
      <c r="E445" s="132" t="s">
        <v>26</v>
      </c>
      <c r="F445" s="97" t="str">
        <f ca="1">IF(OR(Market_Data[[#This Row],[Start Date]]="",Market_Data[[#This Row],[Completion Date]]=""),"Needs Validation",IF(Market_Data[[#This Row],[Start Date]]&gt;TODAY(),"Planned",IF(Market_Data[[#This Row],[Completion Date]]&lt;TODAY(),"Completed","Ongoing")))</f>
        <v>Ongoing</v>
      </c>
      <c r="G445" s="324">
        <v>44701</v>
      </c>
      <c r="H445" s="324">
        <v>46387</v>
      </c>
      <c r="I445" s="325">
        <v>10100</v>
      </c>
      <c r="J44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45" s="133">
        <f>_xlfn.XLOOKUP(Market_Data[[#This Row],[Project Type]],tbl_assumptions_market[Project Category (RERA)],tbl_assumptions_market[Concrete Intensity
(m³ / sq m BUA)],"",0)</f>
        <v>0.18</v>
      </c>
      <c r="L445" s="134">
        <f>ROUND(Market_Data[[#This Row],[Estimated Built Up Area (sq m)]]*Market_Data[[#This Row],[Concrete Intensity
(m³ / sq m)]],0)</f>
        <v>1818</v>
      </c>
      <c r="M445" s="135">
        <f>_xlfn.XLOOKUP(Market_Data[[#This Row],[District]],tbl_district_price[District],tbl_district_price[Standard Price
(INR/m³)],"",0)</f>
        <v>6200</v>
      </c>
      <c r="N445" s="364">
        <f>IF(OR(Market_Data[[#This Row],[Estimated Concrete Demand (m³)]]="",Market_Data[[#This Row],[Avg Price per (₹ / m³)]]=""),"",Market_Data[[#This Row],[Estimated Concrete Demand (m³)]]*Market_Data[[#This Row],[Avg Price per (₹ / m³)]]/10000000)</f>
        <v>1.1271599999999999</v>
      </c>
      <c r="O445" s="97" t="str">
        <f>IF(Market_Data[[#This Row],[Estimated Concrete Demand (m³)]]="","",
IF(Market_Data[[#This Row],[Estimated Concrete Demand (m³)]]&lt;10000,"Small",
IF(Market_Data[[#This Row],[Estimated Concrete Demand (m³)]]&lt;25000,"Medium",
IF(Market_Data[[#This Row],[Estimated Concrete Demand (m³)]]&lt;100000,"Large","Mega"))))</f>
        <v>Small</v>
      </c>
      <c r="P445" s="287" t="str">
        <f t="shared" si="8"/>
        <v>GujRERA</v>
      </c>
    </row>
    <row r="446" spans="1:16">
      <c r="A446" s="129" t="str">
        <f>_xlfn.XLOOKUP(B446,$S$9:$S$14,$T$9:$T$14)&amp;"-"&amp;
IF(E446="Residential/Group Housing","RES",
IF(E446="Commercial","COM",
IF(E446="Mixed Development","MIX",
IF(E446="Plotted Development","PLT","OTH"))))
&amp;"-"&amp;TEXT(COUNTIFS($B$9:B446,B446,$E$9:E446,E446),"0000")</f>
        <v>SUR-COM-0018</v>
      </c>
      <c r="B446" s="322" t="s">
        <v>34</v>
      </c>
      <c r="C446" s="322" t="s">
        <v>34</v>
      </c>
      <c r="D446" s="323" t="s">
        <v>633</v>
      </c>
      <c r="E446" s="132" t="s">
        <v>23</v>
      </c>
      <c r="F446" s="97" t="str">
        <f ca="1">IF(OR(Market_Data[[#This Row],[Start Date]]="",Market_Data[[#This Row],[Completion Date]]=""),"Needs Validation",IF(Market_Data[[#This Row],[Start Date]]&gt;TODAY(),"Planned",IF(Market_Data[[#This Row],[Completion Date]]&lt;TODAY(),"Completed","Ongoing")))</f>
        <v>Ongoing</v>
      </c>
      <c r="G446" s="324">
        <v>45756</v>
      </c>
      <c r="H446" s="324">
        <v>47848</v>
      </c>
      <c r="I446" s="325">
        <v>43600</v>
      </c>
      <c r="J44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446" s="133">
        <f>_xlfn.XLOOKUP(Market_Data[[#This Row],[Project Type]],tbl_assumptions_market[Project Category (RERA)],tbl_assumptions_market[Concrete Intensity
(m³ / sq m BUA)],"",0)</f>
        <v>0.5</v>
      </c>
      <c r="L446" s="134">
        <f>ROUND(Market_Data[[#This Row],[Estimated Built Up Area (sq m)]]*Market_Data[[#This Row],[Concrete Intensity
(m³ / sq m)]],0)</f>
        <v>21800</v>
      </c>
      <c r="M446" s="135">
        <f>_xlfn.XLOOKUP(Market_Data[[#This Row],[District]],tbl_district_price[District],tbl_district_price[Standard Price
(INR/m³)],"",0)</f>
        <v>6200</v>
      </c>
      <c r="N446" s="364">
        <f>IF(OR(Market_Data[[#This Row],[Estimated Concrete Demand (m³)]]="",Market_Data[[#This Row],[Avg Price per (₹ / m³)]]=""),"",Market_Data[[#This Row],[Estimated Concrete Demand (m³)]]*Market_Data[[#This Row],[Avg Price per (₹ / m³)]]/10000000)</f>
        <v>13.516</v>
      </c>
      <c r="O446" s="97" t="str">
        <f>IF(Market_Data[[#This Row],[Estimated Concrete Demand (m³)]]="","",
IF(Market_Data[[#This Row],[Estimated Concrete Demand (m³)]]&lt;10000,"Small",
IF(Market_Data[[#This Row],[Estimated Concrete Demand (m³)]]&lt;25000,"Medium",
IF(Market_Data[[#This Row],[Estimated Concrete Demand (m³)]]&lt;100000,"Large","Mega"))))</f>
        <v>Medium</v>
      </c>
      <c r="P446" s="287" t="str">
        <f t="shared" si="8"/>
        <v>GujRERA</v>
      </c>
    </row>
    <row r="447" spans="1:16">
      <c r="A447" s="129" t="str">
        <f>_xlfn.XLOOKUP(B447,$S$9:$S$14,$T$9:$T$14)&amp;"-"&amp;
IF(E447="Residential/Group Housing","RES",
IF(E447="Commercial","COM",
IF(E447="Mixed Development","MIX",
IF(E447="Plotted Development","PLT","OTH"))))
&amp;"-"&amp;TEXT(COUNTIFS($B$9:B447,B447,$E$9:E447,E447),"0000")</f>
        <v>SUR-PLT-0044</v>
      </c>
      <c r="B447" s="322" t="s">
        <v>34</v>
      </c>
      <c r="C447" s="322" t="s">
        <v>34</v>
      </c>
      <c r="D447" s="323" t="s">
        <v>634</v>
      </c>
      <c r="E447" s="132" t="s">
        <v>26</v>
      </c>
      <c r="F447" s="97" t="str">
        <f ca="1">IF(OR(Market_Data[[#This Row],[Start Date]]="",Market_Data[[#This Row],[Completion Date]]=""),"Needs Validation",IF(Market_Data[[#This Row],[Start Date]]&gt;TODAY(),"Planned",IF(Market_Data[[#This Row],[Completion Date]]&lt;TODAY(),"Completed","Ongoing")))</f>
        <v>Ongoing</v>
      </c>
      <c r="G447" s="324">
        <v>45752</v>
      </c>
      <c r="H447" s="324">
        <v>47483</v>
      </c>
      <c r="I447" s="325">
        <v>35400</v>
      </c>
      <c r="J44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447" s="133">
        <f>_xlfn.XLOOKUP(Market_Data[[#This Row],[Project Type]],tbl_assumptions_market[Project Category (RERA)],tbl_assumptions_market[Concrete Intensity
(m³ / sq m BUA)],"",0)</f>
        <v>0.18</v>
      </c>
      <c r="L447" s="134">
        <f>ROUND(Market_Data[[#This Row],[Estimated Built Up Area (sq m)]]*Market_Data[[#This Row],[Concrete Intensity
(m³ / sq m)]],0)</f>
        <v>6372</v>
      </c>
      <c r="M447" s="135">
        <f>_xlfn.XLOOKUP(Market_Data[[#This Row],[District]],tbl_district_price[District],tbl_district_price[Standard Price
(INR/m³)],"",0)</f>
        <v>6200</v>
      </c>
      <c r="N447" s="364">
        <f>IF(OR(Market_Data[[#This Row],[Estimated Concrete Demand (m³)]]="",Market_Data[[#This Row],[Avg Price per (₹ / m³)]]=""),"",Market_Data[[#This Row],[Estimated Concrete Demand (m³)]]*Market_Data[[#This Row],[Avg Price per (₹ / m³)]]/10000000)</f>
        <v>3.9506399999999999</v>
      </c>
      <c r="O447" s="97" t="str">
        <f>IF(Market_Data[[#This Row],[Estimated Concrete Demand (m³)]]="","",
IF(Market_Data[[#This Row],[Estimated Concrete Demand (m³)]]&lt;10000,"Small",
IF(Market_Data[[#This Row],[Estimated Concrete Demand (m³)]]&lt;25000,"Medium",
IF(Market_Data[[#This Row],[Estimated Concrete Demand (m³)]]&lt;100000,"Large","Mega"))))</f>
        <v>Small</v>
      </c>
      <c r="P447" s="287" t="str">
        <f t="shared" si="8"/>
        <v>GujRERA</v>
      </c>
    </row>
    <row r="448" spans="1:16">
      <c r="A448" s="129" t="str">
        <f>_xlfn.XLOOKUP(B448,$S$9:$S$14,$T$9:$T$14)&amp;"-"&amp;
IF(E448="Residential/Group Housing","RES",
IF(E448="Commercial","COM",
IF(E448="Mixed Development","MIX",
IF(E448="Plotted Development","PLT","OTH"))))
&amp;"-"&amp;TEXT(COUNTIFS($B$9:B448,B448,$E$9:E448,E448),"0000")</f>
        <v>SUR-PLT-0045</v>
      </c>
      <c r="B448" s="322" t="s">
        <v>34</v>
      </c>
      <c r="C448" s="322" t="s">
        <v>34</v>
      </c>
      <c r="D448" s="323" t="s">
        <v>635</v>
      </c>
      <c r="E448" s="132" t="s">
        <v>26</v>
      </c>
      <c r="F448" s="97" t="str">
        <f ca="1">IF(OR(Market_Data[[#This Row],[Start Date]]="",Market_Data[[#This Row],[Completion Date]]=""),"Needs Validation",IF(Market_Data[[#This Row],[Start Date]]&gt;TODAY(),"Planned",IF(Market_Data[[#This Row],[Completion Date]]&lt;TODAY(),"Completed","Ongoing")))</f>
        <v>Ongoing</v>
      </c>
      <c r="G448" s="324">
        <v>45698</v>
      </c>
      <c r="H448" s="324">
        <v>46752</v>
      </c>
      <c r="I448" s="325">
        <v>23200</v>
      </c>
      <c r="J44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48" s="133">
        <f>_xlfn.XLOOKUP(Market_Data[[#This Row],[Project Type]],tbl_assumptions_market[Project Category (RERA)],tbl_assumptions_market[Concrete Intensity
(m³ / sq m BUA)],"",0)</f>
        <v>0.18</v>
      </c>
      <c r="L448" s="134">
        <f>ROUND(Market_Data[[#This Row],[Estimated Built Up Area (sq m)]]*Market_Data[[#This Row],[Concrete Intensity
(m³ / sq m)]],0)</f>
        <v>4176</v>
      </c>
      <c r="M448" s="135">
        <f>_xlfn.XLOOKUP(Market_Data[[#This Row],[District]],tbl_district_price[District],tbl_district_price[Standard Price
(INR/m³)],"",0)</f>
        <v>6200</v>
      </c>
      <c r="N448" s="364">
        <f>IF(OR(Market_Data[[#This Row],[Estimated Concrete Demand (m³)]]="",Market_Data[[#This Row],[Avg Price per (₹ / m³)]]=""),"",Market_Data[[#This Row],[Estimated Concrete Demand (m³)]]*Market_Data[[#This Row],[Avg Price per (₹ / m³)]]/10000000)</f>
        <v>2.5891199999999999</v>
      </c>
      <c r="O448" s="97" t="str">
        <f>IF(Market_Data[[#This Row],[Estimated Concrete Demand (m³)]]="","",
IF(Market_Data[[#This Row],[Estimated Concrete Demand (m³)]]&lt;10000,"Small",
IF(Market_Data[[#This Row],[Estimated Concrete Demand (m³)]]&lt;25000,"Medium",
IF(Market_Data[[#This Row],[Estimated Concrete Demand (m³)]]&lt;100000,"Large","Mega"))))</f>
        <v>Small</v>
      </c>
      <c r="P448" s="287" t="str">
        <f t="shared" si="8"/>
        <v>GujRERA</v>
      </c>
    </row>
    <row r="449" spans="1:16">
      <c r="A449" s="129" t="str">
        <f>_xlfn.XLOOKUP(B449,$S$9:$S$14,$T$9:$T$14)&amp;"-"&amp;
IF(E449="Residential/Group Housing","RES",
IF(E449="Commercial","COM",
IF(E449="Mixed Development","MIX",
IF(E449="Plotted Development","PLT","OTH"))))
&amp;"-"&amp;TEXT(COUNTIFS($B$9:B449,B449,$E$9:E449,E449),"0000")</f>
        <v>SUR-MIX-0028</v>
      </c>
      <c r="B449" s="322" t="s">
        <v>34</v>
      </c>
      <c r="C449" s="322" t="s">
        <v>34</v>
      </c>
      <c r="D449" s="323" t="s">
        <v>636</v>
      </c>
      <c r="E449" s="132" t="s">
        <v>25</v>
      </c>
      <c r="F449" s="97" t="str">
        <f ca="1">IF(OR(Market_Data[[#This Row],[Start Date]]="",Market_Data[[#This Row],[Completion Date]]=""),"Needs Validation",IF(Market_Data[[#This Row],[Start Date]]&gt;TODAY(),"Planned",IF(Market_Data[[#This Row],[Completion Date]]&lt;TODAY(),"Completed","Ongoing")))</f>
        <v>Ongoing</v>
      </c>
      <c r="G449" s="324">
        <v>45346</v>
      </c>
      <c r="H449" s="324">
        <v>47208</v>
      </c>
      <c r="I449" s="325">
        <v>7700</v>
      </c>
      <c r="J44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449" s="133">
        <f>_xlfn.XLOOKUP(Market_Data[[#This Row],[Project Type]],tbl_assumptions_market[Project Category (RERA)],tbl_assumptions_market[Concrete Intensity
(m³ / sq m BUA)],"",0)</f>
        <v>0.42</v>
      </c>
      <c r="L449" s="134">
        <f>ROUND(Market_Data[[#This Row],[Estimated Built Up Area (sq m)]]*Market_Data[[#This Row],[Concrete Intensity
(m³ / sq m)]],0)</f>
        <v>3234</v>
      </c>
      <c r="M449" s="135">
        <f>_xlfn.XLOOKUP(Market_Data[[#This Row],[District]],tbl_district_price[District],tbl_district_price[Standard Price
(INR/m³)],"",0)</f>
        <v>6200</v>
      </c>
      <c r="N449" s="364">
        <f>IF(OR(Market_Data[[#This Row],[Estimated Concrete Demand (m³)]]="",Market_Data[[#This Row],[Avg Price per (₹ / m³)]]=""),"",Market_Data[[#This Row],[Estimated Concrete Demand (m³)]]*Market_Data[[#This Row],[Avg Price per (₹ / m³)]]/10000000)</f>
        <v>2.00508</v>
      </c>
      <c r="O449" s="97" t="str">
        <f>IF(Market_Data[[#This Row],[Estimated Concrete Demand (m³)]]="","",
IF(Market_Data[[#This Row],[Estimated Concrete Demand (m³)]]&lt;10000,"Small",
IF(Market_Data[[#This Row],[Estimated Concrete Demand (m³)]]&lt;25000,"Medium",
IF(Market_Data[[#This Row],[Estimated Concrete Demand (m³)]]&lt;100000,"Large","Mega"))))</f>
        <v>Small</v>
      </c>
      <c r="P449" s="287" t="str">
        <f t="shared" si="8"/>
        <v>GujRERA</v>
      </c>
    </row>
    <row r="450" spans="1:16">
      <c r="A450" s="129" t="str">
        <f>_xlfn.XLOOKUP(B450,$S$9:$S$14,$T$9:$T$14)&amp;"-"&amp;
IF(E450="Residential/Group Housing","RES",
IF(E450="Commercial","COM",
IF(E450="Mixed Development","MIX",
IF(E450="Plotted Development","PLT","OTH"))))
&amp;"-"&amp;TEXT(COUNTIFS($B$9:B450,B450,$E$9:E450,E450),"0000")</f>
        <v>SUR-PLT-0046</v>
      </c>
      <c r="B450" s="322" t="s">
        <v>34</v>
      </c>
      <c r="C450" s="322" t="s">
        <v>34</v>
      </c>
      <c r="D450" s="323" t="s">
        <v>637</v>
      </c>
      <c r="E450" s="132" t="s">
        <v>26</v>
      </c>
      <c r="F450" s="97" t="str">
        <f ca="1">IF(OR(Market_Data[[#This Row],[Start Date]]="",Market_Data[[#This Row],[Completion Date]]=""),"Needs Validation",IF(Market_Data[[#This Row],[Start Date]]&gt;TODAY(),"Planned",IF(Market_Data[[#This Row],[Completion Date]]&lt;TODAY(),"Completed","Ongoing")))</f>
        <v>Ongoing</v>
      </c>
      <c r="G450" s="324">
        <v>45962</v>
      </c>
      <c r="H450" s="324">
        <v>47421</v>
      </c>
      <c r="I450" s="325">
        <v>18000</v>
      </c>
      <c r="J45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50" s="133">
        <f>_xlfn.XLOOKUP(Market_Data[[#This Row],[Project Type]],tbl_assumptions_market[Project Category (RERA)],tbl_assumptions_market[Concrete Intensity
(m³ / sq m BUA)],"",0)</f>
        <v>0.18</v>
      </c>
      <c r="L450" s="134">
        <f>ROUND(Market_Data[[#This Row],[Estimated Built Up Area (sq m)]]*Market_Data[[#This Row],[Concrete Intensity
(m³ / sq m)]],0)</f>
        <v>3240</v>
      </c>
      <c r="M450" s="135">
        <f>_xlfn.XLOOKUP(Market_Data[[#This Row],[District]],tbl_district_price[District],tbl_district_price[Standard Price
(INR/m³)],"",0)</f>
        <v>6200</v>
      </c>
      <c r="N450" s="364">
        <f>IF(OR(Market_Data[[#This Row],[Estimated Concrete Demand (m³)]]="",Market_Data[[#This Row],[Avg Price per (₹ / m³)]]=""),"",Market_Data[[#This Row],[Estimated Concrete Demand (m³)]]*Market_Data[[#This Row],[Avg Price per (₹ / m³)]]/10000000)</f>
        <v>2.0087999999999999</v>
      </c>
      <c r="O450" s="97" t="str">
        <f>IF(Market_Data[[#This Row],[Estimated Concrete Demand (m³)]]="","",
IF(Market_Data[[#This Row],[Estimated Concrete Demand (m³)]]&lt;10000,"Small",
IF(Market_Data[[#This Row],[Estimated Concrete Demand (m³)]]&lt;25000,"Medium",
IF(Market_Data[[#This Row],[Estimated Concrete Demand (m³)]]&lt;100000,"Large","Mega"))))</f>
        <v>Small</v>
      </c>
      <c r="P450" s="287" t="str">
        <f t="shared" si="8"/>
        <v>GujRERA</v>
      </c>
    </row>
    <row r="451" spans="1:16">
      <c r="A451" s="129" t="str">
        <f>_xlfn.XLOOKUP(B451,$S$9:$S$14,$T$9:$T$14)&amp;"-"&amp;
IF(E451="Residential/Group Housing","RES",
IF(E451="Commercial","COM",
IF(E451="Mixed Development","MIX",
IF(E451="Plotted Development","PLT","OTH"))))
&amp;"-"&amp;TEXT(COUNTIFS($B$9:B451,B451,$E$9:E451,E451),"0000")</f>
        <v>SUR-RES-0041</v>
      </c>
      <c r="B451" s="322" t="s">
        <v>34</v>
      </c>
      <c r="C451" s="322" t="s">
        <v>34</v>
      </c>
      <c r="D451" s="323" t="s">
        <v>638</v>
      </c>
      <c r="E451" s="132" t="s">
        <v>24</v>
      </c>
      <c r="F451" s="97" t="str">
        <f ca="1">IF(OR(Market_Data[[#This Row],[Start Date]]="",Market_Data[[#This Row],[Completion Date]]=""),"Needs Validation",IF(Market_Data[[#This Row],[Start Date]]&gt;TODAY(),"Planned",IF(Market_Data[[#This Row],[Completion Date]]&lt;TODAY(),"Completed","Ongoing")))</f>
        <v>Ongoing</v>
      </c>
      <c r="G451" s="324">
        <v>45839</v>
      </c>
      <c r="H451" s="324">
        <v>47848</v>
      </c>
      <c r="I451" s="325">
        <v>14400</v>
      </c>
      <c r="J45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51" s="133">
        <f>_xlfn.XLOOKUP(Market_Data[[#This Row],[Project Type]],tbl_assumptions_market[Project Category (RERA)],tbl_assumptions_market[Concrete Intensity
(m³ / sq m BUA)],"",0)</f>
        <v>0.45</v>
      </c>
      <c r="L451" s="134">
        <f>ROUND(Market_Data[[#This Row],[Estimated Built Up Area (sq m)]]*Market_Data[[#This Row],[Concrete Intensity
(m³ / sq m)]],0)</f>
        <v>6480</v>
      </c>
      <c r="M451" s="135">
        <f>_xlfn.XLOOKUP(Market_Data[[#This Row],[District]],tbl_district_price[District],tbl_district_price[Standard Price
(INR/m³)],"",0)</f>
        <v>6200</v>
      </c>
      <c r="N451" s="364">
        <f>IF(OR(Market_Data[[#This Row],[Estimated Concrete Demand (m³)]]="",Market_Data[[#This Row],[Avg Price per (₹ / m³)]]=""),"",Market_Data[[#This Row],[Estimated Concrete Demand (m³)]]*Market_Data[[#This Row],[Avg Price per (₹ / m³)]]/10000000)</f>
        <v>4.0175999999999998</v>
      </c>
      <c r="O451" s="97" t="str">
        <f>IF(Market_Data[[#This Row],[Estimated Concrete Demand (m³)]]="","",
IF(Market_Data[[#This Row],[Estimated Concrete Demand (m³)]]&lt;10000,"Small",
IF(Market_Data[[#This Row],[Estimated Concrete Demand (m³)]]&lt;25000,"Medium",
IF(Market_Data[[#This Row],[Estimated Concrete Demand (m³)]]&lt;100000,"Large","Mega"))))</f>
        <v>Small</v>
      </c>
      <c r="P451" s="287" t="str">
        <f t="shared" si="8"/>
        <v>GujRERA</v>
      </c>
    </row>
    <row r="452" spans="1:16">
      <c r="A452" s="129" t="str">
        <f>_xlfn.XLOOKUP(B452,$S$9:$S$14,$T$9:$T$14)&amp;"-"&amp;
IF(E452="Residential/Group Housing","RES",
IF(E452="Commercial","COM",
IF(E452="Mixed Development","MIX",
IF(E452="Plotted Development","PLT","OTH"))))
&amp;"-"&amp;TEXT(COUNTIFS($B$9:B452,B452,$E$9:E452,E452),"0000")</f>
        <v>SUR-COM-0019</v>
      </c>
      <c r="B452" s="322" t="s">
        <v>34</v>
      </c>
      <c r="C452" s="322" t="s">
        <v>34</v>
      </c>
      <c r="D452" s="323" t="s">
        <v>639</v>
      </c>
      <c r="E452" s="132" t="s">
        <v>23</v>
      </c>
      <c r="F452" s="97" t="str">
        <f ca="1">IF(OR(Market_Data[[#This Row],[Start Date]]="",Market_Data[[#This Row],[Completion Date]]=""),"Needs Validation",IF(Market_Data[[#This Row],[Start Date]]&gt;TODAY(),"Planned",IF(Market_Data[[#This Row],[Completion Date]]&lt;TODAY(),"Completed","Ongoing")))</f>
        <v>Completed</v>
      </c>
      <c r="G452" s="324">
        <v>42796</v>
      </c>
      <c r="H452" s="324">
        <v>43555</v>
      </c>
      <c r="I452" s="325">
        <v>6900</v>
      </c>
      <c r="J45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52" s="133">
        <f>_xlfn.XLOOKUP(Market_Data[[#This Row],[Project Type]],tbl_assumptions_market[Project Category (RERA)],tbl_assumptions_market[Concrete Intensity
(m³ / sq m BUA)],"",0)</f>
        <v>0.5</v>
      </c>
      <c r="L452" s="134">
        <f>ROUND(Market_Data[[#This Row],[Estimated Built Up Area (sq m)]]*Market_Data[[#This Row],[Concrete Intensity
(m³ / sq m)]],0)</f>
        <v>3450</v>
      </c>
      <c r="M452" s="135">
        <f>_xlfn.XLOOKUP(Market_Data[[#This Row],[District]],tbl_district_price[District],tbl_district_price[Standard Price
(INR/m³)],"",0)</f>
        <v>6200</v>
      </c>
      <c r="N452" s="364">
        <f>IF(OR(Market_Data[[#This Row],[Estimated Concrete Demand (m³)]]="",Market_Data[[#This Row],[Avg Price per (₹ / m³)]]=""),"",Market_Data[[#This Row],[Estimated Concrete Demand (m³)]]*Market_Data[[#This Row],[Avg Price per (₹ / m³)]]/10000000)</f>
        <v>2.1389999999999998</v>
      </c>
      <c r="O452" s="97" t="str">
        <f>IF(Market_Data[[#This Row],[Estimated Concrete Demand (m³)]]="","",
IF(Market_Data[[#This Row],[Estimated Concrete Demand (m³)]]&lt;10000,"Small",
IF(Market_Data[[#This Row],[Estimated Concrete Demand (m³)]]&lt;25000,"Medium",
IF(Market_Data[[#This Row],[Estimated Concrete Demand (m³)]]&lt;100000,"Large","Mega"))))</f>
        <v>Small</v>
      </c>
      <c r="P452" s="287" t="str">
        <f t="shared" si="8"/>
        <v>GujRERA</v>
      </c>
    </row>
    <row r="453" spans="1:16">
      <c r="A453" s="129" t="str">
        <f>_xlfn.XLOOKUP(B453,$S$9:$S$14,$T$9:$T$14)&amp;"-"&amp;
IF(E453="Residential/Group Housing","RES",
IF(E453="Commercial","COM",
IF(E453="Mixed Development","MIX",
IF(E453="Plotted Development","PLT","OTH"))))
&amp;"-"&amp;TEXT(COUNTIFS($B$9:B453,B453,$E$9:E453,E453),"0000")</f>
        <v>SUR-COM-0020</v>
      </c>
      <c r="B453" s="322" t="s">
        <v>34</v>
      </c>
      <c r="C453" s="322" t="s">
        <v>34</v>
      </c>
      <c r="D453" s="323" t="s">
        <v>640</v>
      </c>
      <c r="E453" s="132" t="s">
        <v>23</v>
      </c>
      <c r="F453" s="97" t="str">
        <f ca="1">IF(OR(Market_Data[[#This Row],[Start Date]]="",Market_Data[[#This Row],[Completion Date]]=""),"Needs Validation",IF(Market_Data[[#This Row],[Start Date]]&gt;TODAY(),"Planned",IF(Market_Data[[#This Row],[Completion Date]]&lt;TODAY(),"Completed","Ongoing")))</f>
        <v>Completed</v>
      </c>
      <c r="G453" s="324">
        <v>42832</v>
      </c>
      <c r="H453" s="324">
        <v>43677</v>
      </c>
      <c r="I453" s="325">
        <v>12900</v>
      </c>
      <c r="J45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53" s="133">
        <f>_xlfn.XLOOKUP(Market_Data[[#This Row],[Project Type]],tbl_assumptions_market[Project Category (RERA)],tbl_assumptions_market[Concrete Intensity
(m³ / sq m BUA)],"",0)</f>
        <v>0.5</v>
      </c>
      <c r="L453" s="134">
        <f>ROUND(Market_Data[[#This Row],[Estimated Built Up Area (sq m)]]*Market_Data[[#This Row],[Concrete Intensity
(m³ / sq m)]],0)</f>
        <v>6450</v>
      </c>
      <c r="M453" s="135">
        <f>_xlfn.XLOOKUP(Market_Data[[#This Row],[District]],tbl_district_price[District],tbl_district_price[Standard Price
(INR/m³)],"",0)</f>
        <v>6200</v>
      </c>
      <c r="N453" s="364">
        <f>IF(OR(Market_Data[[#This Row],[Estimated Concrete Demand (m³)]]="",Market_Data[[#This Row],[Avg Price per (₹ / m³)]]=""),"",Market_Data[[#This Row],[Estimated Concrete Demand (m³)]]*Market_Data[[#This Row],[Avg Price per (₹ / m³)]]/10000000)</f>
        <v>3.9990000000000001</v>
      </c>
      <c r="O453" s="97" t="str">
        <f>IF(Market_Data[[#This Row],[Estimated Concrete Demand (m³)]]="","",
IF(Market_Data[[#This Row],[Estimated Concrete Demand (m³)]]&lt;10000,"Small",
IF(Market_Data[[#This Row],[Estimated Concrete Demand (m³)]]&lt;25000,"Medium",
IF(Market_Data[[#This Row],[Estimated Concrete Demand (m³)]]&lt;100000,"Large","Mega"))))</f>
        <v>Small</v>
      </c>
      <c r="P453" s="287" t="str">
        <f t="shared" si="8"/>
        <v>GujRERA</v>
      </c>
    </row>
    <row r="454" spans="1:16">
      <c r="A454" s="129" t="str">
        <f>_xlfn.XLOOKUP(B454,$S$9:$S$14,$T$9:$T$14)&amp;"-"&amp;
IF(E454="Residential/Group Housing","RES",
IF(E454="Commercial","COM",
IF(E454="Mixed Development","MIX",
IF(E454="Plotted Development","PLT","OTH"))))
&amp;"-"&amp;TEXT(COUNTIFS($B$9:B454,B454,$E$9:E454,E454),"0000")</f>
        <v>SUR-COM-0021</v>
      </c>
      <c r="B454" s="322" t="s">
        <v>34</v>
      </c>
      <c r="C454" s="322" t="s">
        <v>34</v>
      </c>
      <c r="D454" s="323" t="s">
        <v>641</v>
      </c>
      <c r="E454" s="132" t="s">
        <v>23</v>
      </c>
      <c r="F454" s="97" t="str">
        <f ca="1">IF(OR(Market_Data[[#This Row],[Start Date]]="",Market_Data[[#This Row],[Completion Date]]=""),"Needs Validation",IF(Market_Data[[#This Row],[Start Date]]&gt;TODAY(),"Planned",IF(Market_Data[[#This Row],[Completion Date]]&lt;TODAY(),"Completed","Ongoing")))</f>
        <v>Completed</v>
      </c>
      <c r="G454" s="324">
        <v>43235</v>
      </c>
      <c r="H454" s="324">
        <v>44408</v>
      </c>
      <c r="I454" s="325">
        <v>3600</v>
      </c>
      <c r="J45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54" s="133">
        <f>_xlfn.XLOOKUP(Market_Data[[#This Row],[Project Type]],tbl_assumptions_market[Project Category (RERA)],tbl_assumptions_market[Concrete Intensity
(m³ / sq m BUA)],"",0)</f>
        <v>0.5</v>
      </c>
      <c r="L454" s="134">
        <f>ROUND(Market_Data[[#This Row],[Estimated Built Up Area (sq m)]]*Market_Data[[#This Row],[Concrete Intensity
(m³ / sq m)]],0)</f>
        <v>1800</v>
      </c>
      <c r="M454" s="135">
        <f>_xlfn.XLOOKUP(Market_Data[[#This Row],[District]],tbl_district_price[District],tbl_district_price[Standard Price
(INR/m³)],"",0)</f>
        <v>6200</v>
      </c>
      <c r="N454" s="364">
        <f>IF(OR(Market_Data[[#This Row],[Estimated Concrete Demand (m³)]]="",Market_Data[[#This Row],[Avg Price per (₹ / m³)]]=""),"",Market_Data[[#This Row],[Estimated Concrete Demand (m³)]]*Market_Data[[#This Row],[Avg Price per (₹ / m³)]]/10000000)</f>
        <v>1.1160000000000001</v>
      </c>
      <c r="O454" s="97" t="str">
        <f>IF(Market_Data[[#This Row],[Estimated Concrete Demand (m³)]]="","",
IF(Market_Data[[#This Row],[Estimated Concrete Demand (m³)]]&lt;10000,"Small",
IF(Market_Data[[#This Row],[Estimated Concrete Demand (m³)]]&lt;25000,"Medium",
IF(Market_Data[[#This Row],[Estimated Concrete Demand (m³)]]&lt;100000,"Large","Mega"))))</f>
        <v>Small</v>
      </c>
      <c r="P454" s="287" t="str">
        <f t="shared" si="8"/>
        <v>GujRERA</v>
      </c>
    </row>
    <row r="455" spans="1:16">
      <c r="A455" s="129" t="str">
        <f>_xlfn.XLOOKUP(B455,$S$9:$S$14,$T$9:$T$14)&amp;"-"&amp;
IF(E455="Residential/Group Housing","RES",
IF(E455="Commercial","COM",
IF(E455="Mixed Development","MIX",
IF(E455="Plotted Development","PLT","OTH"))))
&amp;"-"&amp;TEXT(COUNTIFS($B$9:B455,B455,$E$9:E455,E455),"0000")</f>
        <v>SUR-MIX-0029</v>
      </c>
      <c r="B455" s="322" t="s">
        <v>34</v>
      </c>
      <c r="C455" s="322" t="s">
        <v>34</v>
      </c>
      <c r="D455" s="323" t="s">
        <v>642</v>
      </c>
      <c r="E455" s="132" t="s">
        <v>25</v>
      </c>
      <c r="F455" s="97" t="str">
        <f ca="1">IF(OR(Market_Data[[#This Row],[Start Date]]="",Market_Data[[#This Row],[Completion Date]]=""),"Needs Validation",IF(Market_Data[[#This Row],[Start Date]]&gt;TODAY(),"Planned",IF(Market_Data[[#This Row],[Completion Date]]&lt;TODAY(),"Completed","Ongoing")))</f>
        <v>Ongoing</v>
      </c>
      <c r="G455" s="324">
        <v>45003</v>
      </c>
      <c r="H455" s="324">
        <v>46476</v>
      </c>
      <c r="I455" s="325">
        <v>19500</v>
      </c>
      <c r="J45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55" s="133">
        <f>_xlfn.XLOOKUP(Market_Data[[#This Row],[Project Type]],tbl_assumptions_market[Project Category (RERA)],tbl_assumptions_market[Concrete Intensity
(m³ / sq m BUA)],"",0)</f>
        <v>0.42</v>
      </c>
      <c r="L455" s="134">
        <f>ROUND(Market_Data[[#This Row],[Estimated Built Up Area (sq m)]]*Market_Data[[#This Row],[Concrete Intensity
(m³ / sq m)]],0)</f>
        <v>8190</v>
      </c>
      <c r="M455" s="135">
        <f>_xlfn.XLOOKUP(Market_Data[[#This Row],[District]],tbl_district_price[District],tbl_district_price[Standard Price
(INR/m³)],"",0)</f>
        <v>6200</v>
      </c>
      <c r="N455" s="364">
        <f>IF(OR(Market_Data[[#This Row],[Estimated Concrete Demand (m³)]]="",Market_Data[[#This Row],[Avg Price per (₹ / m³)]]=""),"",Market_Data[[#This Row],[Estimated Concrete Demand (m³)]]*Market_Data[[#This Row],[Avg Price per (₹ / m³)]]/10000000)</f>
        <v>5.0777999999999999</v>
      </c>
      <c r="O455" s="97" t="str">
        <f>IF(Market_Data[[#This Row],[Estimated Concrete Demand (m³)]]="","",
IF(Market_Data[[#This Row],[Estimated Concrete Demand (m³)]]&lt;10000,"Small",
IF(Market_Data[[#This Row],[Estimated Concrete Demand (m³)]]&lt;25000,"Medium",
IF(Market_Data[[#This Row],[Estimated Concrete Demand (m³)]]&lt;100000,"Large","Mega"))))</f>
        <v>Small</v>
      </c>
      <c r="P455" s="287" t="str">
        <f t="shared" si="8"/>
        <v>GujRERA</v>
      </c>
    </row>
    <row r="456" spans="1:16">
      <c r="A456" s="129" t="str">
        <f>_xlfn.XLOOKUP(B456,$S$9:$S$14,$T$9:$T$14)&amp;"-"&amp;
IF(E456="Residential/Group Housing","RES",
IF(E456="Commercial","COM",
IF(E456="Mixed Development","MIX",
IF(E456="Plotted Development","PLT","OTH"))))
&amp;"-"&amp;TEXT(COUNTIFS($B$9:B456,B456,$E$9:E456,E456),"0000")</f>
        <v>SUR-RES-0042</v>
      </c>
      <c r="B456" s="322" t="s">
        <v>34</v>
      </c>
      <c r="C456" s="322" t="s">
        <v>34</v>
      </c>
      <c r="D456" s="323" t="s">
        <v>643</v>
      </c>
      <c r="E456" s="132" t="s">
        <v>24</v>
      </c>
      <c r="F456" s="97" t="str">
        <f ca="1">IF(OR(Market_Data[[#This Row],[Start Date]]="",Market_Data[[#This Row],[Completion Date]]=""),"Needs Validation",IF(Market_Data[[#This Row],[Start Date]]&gt;TODAY(),"Planned",IF(Market_Data[[#This Row],[Completion Date]]&lt;TODAY(),"Completed","Ongoing")))</f>
        <v>Completed</v>
      </c>
      <c r="G456" s="324">
        <v>42271</v>
      </c>
      <c r="H456" s="324">
        <v>43830</v>
      </c>
      <c r="I456" s="325">
        <v>14500</v>
      </c>
      <c r="J45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56" s="133">
        <f>_xlfn.XLOOKUP(Market_Data[[#This Row],[Project Type]],tbl_assumptions_market[Project Category (RERA)],tbl_assumptions_market[Concrete Intensity
(m³ / sq m BUA)],"",0)</f>
        <v>0.45</v>
      </c>
      <c r="L456" s="134">
        <f>ROUND(Market_Data[[#This Row],[Estimated Built Up Area (sq m)]]*Market_Data[[#This Row],[Concrete Intensity
(m³ / sq m)]],0)</f>
        <v>6525</v>
      </c>
      <c r="M456" s="135">
        <f>_xlfn.XLOOKUP(Market_Data[[#This Row],[District]],tbl_district_price[District],tbl_district_price[Standard Price
(INR/m³)],"",0)</f>
        <v>6200</v>
      </c>
      <c r="N456" s="364">
        <f>IF(OR(Market_Data[[#This Row],[Estimated Concrete Demand (m³)]]="",Market_Data[[#This Row],[Avg Price per (₹ / m³)]]=""),"",Market_Data[[#This Row],[Estimated Concrete Demand (m³)]]*Market_Data[[#This Row],[Avg Price per (₹ / m³)]]/10000000)</f>
        <v>4.0454999999999997</v>
      </c>
      <c r="O456" s="97" t="str">
        <f>IF(Market_Data[[#This Row],[Estimated Concrete Demand (m³)]]="","",
IF(Market_Data[[#This Row],[Estimated Concrete Demand (m³)]]&lt;10000,"Small",
IF(Market_Data[[#This Row],[Estimated Concrete Demand (m³)]]&lt;25000,"Medium",
IF(Market_Data[[#This Row],[Estimated Concrete Demand (m³)]]&lt;100000,"Large","Mega"))))</f>
        <v>Small</v>
      </c>
      <c r="P456" s="287" t="str">
        <f t="shared" si="8"/>
        <v>GujRERA</v>
      </c>
    </row>
    <row r="457" spans="1:16">
      <c r="A457" s="129" t="str">
        <f>_xlfn.XLOOKUP(B457,$S$9:$S$14,$T$9:$T$14)&amp;"-"&amp;
IF(E457="Residential/Group Housing","RES",
IF(E457="Commercial","COM",
IF(E457="Mixed Development","MIX",
IF(E457="Plotted Development","PLT","OTH"))))
&amp;"-"&amp;TEXT(COUNTIFS($B$9:B457,B457,$E$9:E457,E457),"0000")</f>
        <v>SUR-MIX-0030</v>
      </c>
      <c r="B457" s="322" t="s">
        <v>34</v>
      </c>
      <c r="C457" s="322" t="s">
        <v>34</v>
      </c>
      <c r="D457" s="323" t="s">
        <v>644</v>
      </c>
      <c r="E457" s="132" t="s">
        <v>25</v>
      </c>
      <c r="F457" s="97" t="str">
        <f ca="1">IF(OR(Market_Data[[#This Row],[Start Date]]="",Market_Data[[#This Row],[Completion Date]]=""),"Needs Validation",IF(Market_Data[[#This Row],[Start Date]]&gt;TODAY(),"Planned",IF(Market_Data[[#This Row],[Completion Date]]&lt;TODAY(),"Completed","Ongoing")))</f>
        <v>Completed</v>
      </c>
      <c r="G457" s="324">
        <v>43466</v>
      </c>
      <c r="H457" s="324">
        <v>45472</v>
      </c>
      <c r="I457" s="325">
        <v>30500</v>
      </c>
      <c r="J45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57" s="133">
        <f>_xlfn.XLOOKUP(Market_Data[[#This Row],[Project Type]],tbl_assumptions_market[Project Category (RERA)],tbl_assumptions_market[Concrete Intensity
(m³ / sq m BUA)],"",0)</f>
        <v>0.42</v>
      </c>
      <c r="L457" s="134">
        <f>ROUND(Market_Data[[#This Row],[Estimated Built Up Area (sq m)]]*Market_Data[[#This Row],[Concrete Intensity
(m³ / sq m)]],0)</f>
        <v>12810</v>
      </c>
      <c r="M457" s="135">
        <f>_xlfn.XLOOKUP(Market_Data[[#This Row],[District]],tbl_district_price[District],tbl_district_price[Standard Price
(INR/m³)],"",0)</f>
        <v>6200</v>
      </c>
      <c r="N457" s="364">
        <f>IF(OR(Market_Data[[#This Row],[Estimated Concrete Demand (m³)]]="",Market_Data[[#This Row],[Avg Price per (₹ / m³)]]=""),"",Market_Data[[#This Row],[Estimated Concrete Demand (m³)]]*Market_Data[[#This Row],[Avg Price per (₹ / m³)]]/10000000)</f>
        <v>7.9421999999999997</v>
      </c>
      <c r="O457" s="97" t="str">
        <f>IF(Market_Data[[#This Row],[Estimated Concrete Demand (m³)]]="","",
IF(Market_Data[[#This Row],[Estimated Concrete Demand (m³)]]&lt;10000,"Small",
IF(Market_Data[[#This Row],[Estimated Concrete Demand (m³)]]&lt;25000,"Medium",
IF(Market_Data[[#This Row],[Estimated Concrete Demand (m³)]]&lt;100000,"Large","Mega"))))</f>
        <v>Medium</v>
      </c>
      <c r="P457" s="287" t="str">
        <f t="shared" si="8"/>
        <v>GujRERA</v>
      </c>
    </row>
    <row r="458" spans="1:16">
      <c r="A458" s="129" t="str">
        <f>_xlfn.XLOOKUP(B458,$S$9:$S$14,$T$9:$T$14)&amp;"-"&amp;
IF(E458="Residential/Group Housing","RES",
IF(E458="Commercial","COM",
IF(E458="Mixed Development","MIX",
IF(E458="Plotted Development","PLT","OTH"))))
&amp;"-"&amp;TEXT(COUNTIFS($B$9:B458,B458,$E$9:E458,E458),"0000")</f>
        <v>SUR-MIX-0031</v>
      </c>
      <c r="B458" s="322" t="s">
        <v>34</v>
      </c>
      <c r="C458" s="322" t="s">
        <v>34</v>
      </c>
      <c r="D458" s="323" t="s">
        <v>645</v>
      </c>
      <c r="E458" s="132" t="s">
        <v>25</v>
      </c>
      <c r="F458" s="97" t="str">
        <f ca="1">IF(OR(Market_Data[[#This Row],[Start Date]]="",Market_Data[[#This Row],[Completion Date]]=""),"Needs Validation",IF(Market_Data[[#This Row],[Start Date]]&gt;TODAY(),"Planned",IF(Market_Data[[#This Row],[Completion Date]]&lt;TODAY(),"Completed","Ongoing")))</f>
        <v>Ongoing</v>
      </c>
      <c r="G458" s="324">
        <v>44896</v>
      </c>
      <c r="H458" s="324">
        <v>46387</v>
      </c>
      <c r="I458" s="325">
        <v>18300</v>
      </c>
      <c r="J45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58" s="133">
        <f>_xlfn.XLOOKUP(Market_Data[[#This Row],[Project Type]],tbl_assumptions_market[Project Category (RERA)],tbl_assumptions_market[Concrete Intensity
(m³ / sq m BUA)],"",0)</f>
        <v>0.42</v>
      </c>
      <c r="L458" s="134">
        <f>ROUND(Market_Data[[#This Row],[Estimated Built Up Area (sq m)]]*Market_Data[[#This Row],[Concrete Intensity
(m³ / sq m)]],0)</f>
        <v>7686</v>
      </c>
      <c r="M458" s="135">
        <f>_xlfn.XLOOKUP(Market_Data[[#This Row],[District]],tbl_district_price[District],tbl_district_price[Standard Price
(INR/m³)],"",0)</f>
        <v>6200</v>
      </c>
      <c r="N458" s="364">
        <f>IF(OR(Market_Data[[#This Row],[Estimated Concrete Demand (m³)]]="",Market_Data[[#This Row],[Avg Price per (₹ / m³)]]=""),"",Market_Data[[#This Row],[Estimated Concrete Demand (m³)]]*Market_Data[[#This Row],[Avg Price per (₹ / m³)]]/10000000)</f>
        <v>4.76532</v>
      </c>
      <c r="O458" s="97" t="str">
        <f>IF(Market_Data[[#This Row],[Estimated Concrete Demand (m³)]]="","",
IF(Market_Data[[#This Row],[Estimated Concrete Demand (m³)]]&lt;10000,"Small",
IF(Market_Data[[#This Row],[Estimated Concrete Demand (m³)]]&lt;25000,"Medium",
IF(Market_Data[[#This Row],[Estimated Concrete Demand (m³)]]&lt;100000,"Large","Mega"))))</f>
        <v>Small</v>
      </c>
      <c r="P458" s="287" t="str">
        <f t="shared" ref="P458:P521" si="9">HYPERLINK(
"https://gujrera.gujarat.gov.in",
"GujRERA")</f>
        <v>GujRERA</v>
      </c>
    </row>
    <row r="459" spans="1:16">
      <c r="A459" s="129" t="str">
        <f>_xlfn.XLOOKUP(B459,$S$9:$S$14,$T$9:$T$14)&amp;"-"&amp;
IF(E459="Residential/Group Housing","RES",
IF(E459="Commercial","COM",
IF(E459="Mixed Development","MIX",
IF(E459="Plotted Development","PLT","OTH"))))
&amp;"-"&amp;TEXT(COUNTIFS($B$9:B459,B459,$E$9:E459,E459),"0000")</f>
        <v>SUR-PLT-0047</v>
      </c>
      <c r="B459" s="322" t="s">
        <v>34</v>
      </c>
      <c r="C459" s="322" t="s">
        <v>34</v>
      </c>
      <c r="D459" s="323" t="s">
        <v>646</v>
      </c>
      <c r="E459" s="132" t="s">
        <v>26</v>
      </c>
      <c r="F459" s="97" t="str">
        <f ca="1">IF(OR(Market_Data[[#This Row],[Start Date]]="",Market_Data[[#This Row],[Completion Date]]=""),"Needs Validation",IF(Market_Data[[#This Row],[Start Date]]&gt;TODAY(),"Planned",IF(Market_Data[[#This Row],[Completion Date]]&lt;TODAY(),"Completed","Ongoing")))</f>
        <v>Completed</v>
      </c>
      <c r="G459" s="324">
        <v>45066</v>
      </c>
      <c r="H459" s="324">
        <v>45746</v>
      </c>
      <c r="I459" s="325">
        <v>57000</v>
      </c>
      <c r="J45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459" s="133">
        <f>_xlfn.XLOOKUP(Market_Data[[#This Row],[Project Type]],tbl_assumptions_market[Project Category (RERA)],tbl_assumptions_market[Concrete Intensity
(m³ / sq m BUA)],"",0)</f>
        <v>0.18</v>
      </c>
      <c r="L459" s="134">
        <f>ROUND(Market_Data[[#This Row],[Estimated Built Up Area (sq m)]]*Market_Data[[#This Row],[Concrete Intensity
(m³ / sq m)]],0)</f>
        <v>10260</v>
      </c>
      <c r="M459" s="135">
        <f>_xlfn.XLOOKUP(Market_Data[[#This Row],[District]],tbl_district_price[District],tbl_district_price[Standard Price
(INR/m³)],"",0)</f>
        <v>6200</v>
      </c>
      <c r="N459" s="364">
        <f>IF(OR(Market_Data[[#This Row],[Estimated Concrete Demand (m³)]]="",Market_Data[[#This Row],[Avg Price per (₹ / m³)]]=""),"",Market_Data[[#This Row],[Estimated Concrete Demand (m³)]]*Market_Data[[#This Row],[Avg Price per (₹ / m³)]]/10000000)</f>
        <v>6.3612000000000002</v>
      </c>
      <c r="O459" s="97" t="str">
        <f>IF(Market_Data[[#This Row],[Estimated Concrete Demand (m³)]]="","",
IF(Market_Data[[#This Row],[Estimated Concrete Demand (m³)]]&lt;10000,"Small",
IF(Market_Data[[#This Row],[Estimated Concrete Demand (m³)]]&lt;25000,"Medium",
IF(Market_Data[[#This Row],[Estimated Concrete Demand (m³)]]&lt;100000,"Large","Mega"))))</f>
        <v>Medium</v>
      </c>
      <c r="P459" s="287" t="str">
        <f t="shared" si="9"/>
        <v>GujRERA</v>
      </c>
    </row>
    <row r="460" spans="1:16">
      <c r="A460" s="129" t="str">
        <f>_xlfn.XLOOKUP(B460,$S$9:$S$14,$T$9:$T$14)&amp;"-"&amp;
IF(E460="Residential/Group Housing","RES",
IF(E460="Commercial","COM",
IF(E460="Mixed Development","MIX",
IF(E460="Plotted Development","PLT","OTH"))))
&amp;"-"&amp;TEXT(COUNTIFS($B$9:B460,B460,$E$9:E460,E460),"0000")</f>
        <v>SUR-MIX-0032</v>
      </c>
      <c r="B460" s="322" t="s">
        <v>34</v>
      </c>
      <c r="C460" s="322" t="s">
        <v>34</v>
      </c>
      <c r="D460" s="323" t="s">
        <v>647</v>
      </c>
      <c r="E460" s="132" t="s">
        <v>25</v>
      </c>
      <c r="F460" s="97" t="str">
        <f ca="1">IF(OR(Market_Data[[#This Row],[Start Date]]="",Market_Data[[#This Row],[Completion Date]]=""),"Needs Validation",IF(Market_Data[[#This Row],[Start Date]]&gt;TODAY(),"Planned",IF(Market_Data[[#This Row],[Completion Date]]&lt;TODAY(),"Completed","Ongoing")))</f>
        <v>Ongoing</v>
      </c>
      <c r="G460" s="324">
        <v>44986</v>
      </c>
      <c r="H460" s="324">
        <v>47118</v>
      </c>
      <c r="I460" s="325">
        <v>31300</v>
      </c>
      <c r="J46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60" s="133">
        <f>_xlfn.XLOOKUP(Market_Data[[#This Row],[Project Type]],tbl_assumptions_market[Project Category (RERA)],tbl_assumptions_market[Concrete Intensity
(m³ / sq m BUA)],"",0)</f>
        <v>0.42</v>
      </c>
      <c r="L460" s="134">
        <f>ROUND(Market_Data[[#This Row],[Estimated Built Up Area (sq m)]]*Market_Data[[#This Row],[Concrete Intensity
(m³ / sq m)]],0)</f>
        <v>13146</v>
      </c>
      <c r="M460" s="135">
        <f>_xlfn.XLOOKUP(Market_Data[[#This Row],[District]],tbl_district_price[District],tbl_district_price[Standard Price
(INR/m³)],"",0)</f>
        <v>6200</v>
      </c>
      <c r="N460" s="364">
        <f>IF(OR(Market_Data[[#This Row],[Estimated Concrete Demand (m³)]]="",Market_Data[[#This Row],[Avg Price per (₹ / m³)]]=""),"",Market_Data[[#This Row],[Estimated Concrete Demand (m³)]]*Market_Data[[#This Row],[Avg Price per (₹ / m³)]]/10000000)</f>
        <v>8.1505200000000002</v>
      </c>
      <c r="O460" s="97" t="str">
        <f>IF(Market_Data[[#This Row],[Estimated Concrete Demand (m³)]]="","",
IF(Market_Data[[#This Row],[Estimated Concrete Demand (m³)]]&lt;10000,"Small",
IF(Market_Data[[#This Row],[Estimated Concrete Demand (m³)]]&lt;25000,"Medium",
IF(Market_Data[[#This Row],[Estimated Concrete Demand (m³)]]&lt;100000,"Large","Mega"))))</f>
        <v>Medium</v>
      </c>
      <c r="P460" s="287" t="str">
        <f t="shared" si="9"/>
        <v>GujRERA</v>
      </c>
    </row>
    <row r="461" spans="1:16">
      <c r="A461" s="129" t="str">
        <f>_xlfn.XLOOKUP(B461,$S$9:$S$14,$T$9:$T$14)&amp;"-"&amp;
IF(E461="Residential/Group Housing","RES",
IF(E461="Commercial","COM",
IF(E461="Mixed Development","MIX",
IF(E461="Plotted Development","PLT","OTH"))))
&amp;"-"&amp;TEXT(COUNTIFS($B$9:B461,B461,$E$9:E461,E461),"0000")</f>
        <v>SUR-COM-0022</v>
      </c>
      <c r="B461" s="322" t="s">
        <v>34</v>
      </c>
      <c r="C461" s="322" t="s">
        <v>34</v>
      </c>
      <c r="D461" s="323" t="s">
        <v>648</v>
      </c>
      <c r="E461" s="132" t="s">
        <v>23</v>
      </c>
      <c r="F461" s="97" t="str">
        <f ca="1">IF(OR(Market_Data[[#This Row],[Start Date]]="",Market_Data[[#This Row],[Completion Date]]=""),"Needs Validation",IF(Market_Data[[#This Row],[Start Date]]&gt;TODAY(),"Planned",IF(Market_Data[[#This Row],[Completion Date]]&lt;TODAY(),"Completed","Ongoing")))</f>
        <v>Completed</v>
      </c>
      <c r="G461" s="324">
        <v>43332</v>
      </c>
      <c r="H461" s="324">
        <v>45595</v>
      </c>
      <c r="I461" s="325">
        <v>1600</v>
      </c>
      <c r="J46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61" s="133">
        <f>_xlfn.XLOOKUP(Market_Data[[#This Row],[Project Type]],tbl_assumptions_market[Project Category (RERA)],tbl_assumptions_market[Concrete Intensity
(m³ / sq m BUA)],"",0)</f>
        <v>0.5</v>
      </c>
      <c r="L461" s="134">
        <f>ROUND(Market_Data[[#This Row],[Estimated Built Up Area (sq m)]]*Market_Data[[#This Row],[Concrete Intensity
(m³ / sq m)]],0)</f>
        <v>800</v>
      </c>
      <c r="M461" s="135">
        <f>_xlfn.XLOOKUP(Market_Data[[#This Row],[District]],tbl_district_price[District],tbl_district_price[Standard Price
(INR/m³)],"",0)</f>
        <v>6200</v>
      </c>
      <c r="N461" s="364">
        <f>IF(OR(Market_Data[[#This Row],[Estimated Concrete Demand (m³)]]="",Market_Data[[#This Row],[Avg Price per (₹ / m³)]]=""),"",Market_Data[[#This Row],[Estimated Concrete Demand (m³)]]*Market_Data[[#This Row],[Avg Price per (₹ / m³)]]/10000000)</f>
        <v>0.496</v>
      </c>
      <c r="O461" s="97" t="str">
        <f>IF(Market_Data[[#This Row],[Estimated Concrete Demand (m³)]]="","",
IF(Market_Data[[#This Row],[Estimated Concrete Demand (m³)]]&lt;10000,"Small",
IF(Market_Data[[#This Row],[Estimated Concrete Demand (m³)]]&lt;25000,"Medium",
IF(Market_Data[[#This Row],[Estimated Concrete Demand (m³)]]&lt;100000,"Large","Mega"))))</f>
        <v>Small</v>
      </c>
      <c r="P461" s="287" t="str">
        <f t="shared" si="9"/>
        <v>GujRERA</v>
      </c>
    </row>
    <row r="462" spans="1:16">
      <c r="A462" s="129" t="str">
        <f>_xlfn.XLOOKUP(B462,$S$9:$S$14,$T$9:$T$14)&amp;"-"&amp;
IF(E462="Residential/Group Housing","RES",
IF(E462="Commercial","COM",
IF(E462="Mixed Development","MIX",
IF(E462="Plotted Development","PLT","OTH"))))
&amp;"-"&amp;TEXT(COUNTIFS($B$9:B462,B462,$E$9:E462,E462),"0000")</f>
        <v>SUR-MIX-0033</v>
      </c>
      <c r="B462" s="322" t="s">
        <v>34</v>
      </c>
      <c r="C462" s="322" t="s">
        <v>34</v>
      </c>
      <c r="D462" s="323" t="s">
        <v>649</v>
      </c>
      <c r="E462" s="132" t="s">
        <v>25</v>
      </c>
      <c r="F462" s="97" t="str">
        <f ca="1">IF(OR(Market_Data[[#This Row],[Start Date]]="",Market_Data[[#This Row],[Completion Date]]=""),"Needs Validation",IF(Market_Data[[#This Row],[Start Date]]&gt;TODAY(),"Planned",IF(Market_Data[[#This Row],[Completion Date]]&lt;TODAY(),"Completed","Ongoing")))</f>
        <v>Ongoing</v>
      </c>
      <c r="G462" s="324">
        <v>44562</v>
      </c>
      <c r="H462" s="324">
        <v>46386</v>
      </c>
      <c r="I462" s="325">
        <v>39700</v>
      </c>
      <c r="J46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62" s="133">
        <f>_xlfn.XLOOKUP(Market_Data[[#This Row],[Project Type]],tbl_assumptions_market[Project Category (RERA)],tbl_assumptions_market[Concrete Intensity
(m³ / sq m BUA)],"",0)</f>
        <v>0.42</v>
      </c>
      <c r="L462" s="134">
        <f>ROUND(Market_Data[[#This Row],[Estimated Built Up Area (sq m)]]*Market_Data[[#This Row],[Concrete Intensity
(m³ / sq m)]],0)</f>
        <v>16674</v>
      </c>
      <c r="M462" s="135">
        <f>_xlfn.XLOOKUP(Market_Data[[#This Row],[District]],tbl_district_price[District],tbl_district_price[Standard Price
(INR/m³)],"",0)</f>
        <v>6200</v>
      </c>
      <c r="N462" s="364">
        <f>IF(OR(Market_Data[[#This Row],[Estimated Concrete Demand (m³)]]="",Market_Data[[#This Row],[Avg Price per (₹ / m³)]]=""),"",Market_Data[[#This Row],[Estimated Concrete Demand (m³)]]*Market_Data[[#This Row],[Avg Price per (₹ / m³)]]/10000000)</f>
        <v>10.33788</v>
      </c>
      <c r="O462" s="97" t="str">
        <f>IF(Market_Data[[#This Row],[Estimated Concrete Demand (m³)]]="","",
IF(Market_Data[[#This Row],[Estimated Concrete Demand (m³)]]&lt;10000,"Small",
IF(Market_Data[[#This Row],[Estimated Concrete Demand (m³)]]&lt;25000,"Medium",
IF(Market_Data[[#This Row],[Estimated Concrete Demand (m³)]]&lt;100000,"Large","Mega"))))</f>
        <v>Medium</v>
      </c>
      <c r="P462" s="287" t="str">
        <f t="shared" si="9"/>
        <v>GujRERA</v>
      </c>
    </row>
    <row r="463" spans="1:16">
      <c r="A463" s="129" t="str">
        <f>_xlfn.XLOOKUP(B463,$S$9:$S$14,$T$9:$T$14)&amp;"-"&amp;
IF(E463="Residential/Group Housing","RES",
IF(E463="Commercial","COM",
IF(E463="Mixed Development","MIX",
IF(E463="Plotted Development","PLT","OTH"))))
&amp;"-"&amp;TEXT(COUNTIFS($B$9:B463,B463,$E$9:E463,E463),"0000")</f>
        <v>SUR-RES-0043</v>
      </c>
      <c r="B463" s="322" t="s">
        <v>34</v>
      </c>
      <c r="C463" s="322" t="s">
        <v>34</v>
      </c>
      <c r="D463" s="323" t="s">
        <v>650</v>
      </c>
      <c r="E463" s="132" t="s">
        <v>24</v>
      </c>
      <c r="F463" s="97" t="str">
        <f ca="1">IF(OR(Market_Data[[#This Row],[Start Date]]="",Market_Data[[#This Row],[Completion Date]]=""),"Needs Validation",IF(Market_Data[[#This Row],[Start Date]]&gt;TODAY(),"Planned",IF(Market_Data[[#This Row],[Completion Date]]&lt;TODAY(),"Completed","Ongoing")))</f>
        <v>Ongoing</v>
      </c>
      <c r="G463" s="324">
        <v>45352</v>
      </c>
      <c r="H463" s="324">
        <v>46843</v>
      </c>
      <c r="I463" s="325">
        <v>54800</v>
      </c>
      <c r="J46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63" s="133">
        <f>_xlfn.XLOOKUP(Market_Data[[#This Row],[Project Type]],tbl_assumptions_market[Project Category (RERA)],tbl_assumptions_market[Concrete Intensity
(m³ / sq m BUA)],"",0)</f>
        <v>0.45</v>
      </c>
      <c r="L463" s="134">
        <f>ROUND(Market_Data[[#This Row],[Estimated Built Up Area (sq m)]]*Market_Data[[#This Row],[Concrete Intensity
(m³ / sq m)]],0)</f>
        <v>24660</v>
      </c>
      <c r="M463" s="135">
        <f>_xlfn.XLOOKUP(Market_Data[[#This Row],[District]],tbl_district_price[District],tbl_district_price[Standard Price
(INR/m³)],"",0)</f>
        <v>6200</v>
      </c>
      <c r="N463" s="364">
        <f>IF(OR(Market_Data[[#This Row],[Estimated Concrete Demand (m³)]]="",Market_Data[[#This Row],[Avg Price per (₹ / m³)]]=""),"",Market_Data[[#This Row],[Estimated Concrete Demand (m³)]]*Market_Data[[#This Row],[Avg Price per (₹ / m³)]]/10000000)</f>
        <v>15.289199999999999</v>
      </c>
      <c r="O463" s="97" t="str">
        <f>IF(Market_Data[[#This Row],[Estimated Concrete Demand (m³)]]="","",
IF(Market_Data[[#This Row],[Estimated Concrete Demand (m³)]]&lt;10000,"Small",
IF(Market_Data[[#This Row],[Estimated Concrete Demand (m³)]]&lt;25000,"Medium",
IF(Market_Data[[#This Row],[Estimated Concrete Demand (m³)]]&lt;100000,"Large","Mega"))))</f>
        <v>Medium</v>
      </c>
      <c r="P463" s="287" t="str">
        <f t="shared" si="9"/>
        <v>GujRERA</v>
      </c>
    </row>
    <row r="464" spans="1:16">
      <c r="A464" s="129" t="str">
        <f>_xlfn.XLOOKUP(B464,$S$9:$S$14,$T$9:$T$14)&amp;"-"&amp;
IF(E464="Residential/Group Housing","RES",
IF(E464="Commercial","COM",
IF(E464="Mixed Development","MIX",
IF(E464="Plotted Development","PLT","OTH"))))
&amp;"-"&amp;TEXT(COUNTIFS($B$9:B464,B464,$E$9:E464,E464),"0000")</f>
        <v>SUR-MIX-0034</v>
      </c>
      <c r="B464" s="322" t="s">
        <v>34</v>
      </c>
      <c r="C464" s="322" t="s">
        <v>34</v>
      </c>
      <c r="D464" s="323" t="s">
        <v>651</v>
      </c>
      <c r="E464" s="132" t="s">
        <v>25</v>
      </c>
      <c r="F464" s="97" t="str">
        <f ca="1">IF(OR(Market_Data[[#This Row],[Start Date]]="",Market_Data[[#This Row],[Completion Date]]=""),"Needs Validation",IF(Market_Data[[#This Row],[Start Date]]&gt;TODAY(),"Planned",IF(Market_Data[[#This Row],[Completion Date]]&lt;TODAY(),"Completed","Ongoing")))</f>
        <v>Completed</v>
      </c>
      <c r="G464" s="324">
        <v>41544</v>
      </c>
      <c r="H464" s="324">
        <v>44196</v>
      </c>
      <c r="I464" s="325">
        <v>58000</v>
      </c>
      <c r="J46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64" s="133">
        <f>_xlfn.XLOOKUP(Market_Data[[#This Row],[Project Type]],tbl_assumptions_market[Project Category (RERA)],tbl_assumptions_market[Concrete Intensity
(m³ / sq m BUA)],"",0)</f>
        <v>0.42</v>
      </c>
      <c r="L464" s="134">
        <f>ROUND(Market_Data[[#This Row],[Estimated Built Up Area (sq m)]]*Market_Data[[#This Row],[Concrete Intensity
(m³ / sq m)]],0)</f>
        <v>24360</v>
      </c>
      <c r="M464" s="135">
        <f>_xlfn.XLOOKUP(Market_Data[[#This Row],[District]],tbl_district_price[District],tbl_district_price[Standard Price
(INR/m³)],"",0)</f>
        <v>6200</v>
      </c>
      <c r="N464" s="364">
        <f>IF(OR(Market_Data[[#This Row],[Estimated Concrete Demand (m³)]]="",Market_Data[[#This Row],[Avg Price per (₹ / m³)]]=""),"",Market_Data[[#This Row],[Estimated Concrete Demand (m³)]]*Market_Data[[#This Row],[Avg Price per (₹ / m³)]]/10000000)</f>
        <v>15.103199999999999</v>
      </c>
      <c r="O464" s="97" t="str">
        <f>IF(Market_Data[[#This Row],[Estimated Concrete Demand (m³)]]="","",
IF(Market_Data[[#This Row],[Estimated Concrete Demand (m³)]]&lt;10000,"Small",
IF(Market_Data[[#This Row],[Estimated Concrete Demand (m³)]]&lt;25000,"Medium",
IF(Market_Data[[#This Row],[Estimated Concrete Demand (m³)]]&lt;100000,"Large","Mega"))))</f>
        <v>Medium</v>
      </c>
      <c r="P464" s="287" t="str">
        <f t="shared" si="9"/>
        <v>GujRERA</v>
      </c>
    </row>
    <row r="465" spans="1:16">
      <c r="A465" s="129" t="str">
        <f>_xlfn.XLOOKUP(B465,$S$9:$S$14,$T$9:$T$14)&amp;"-"&amp;
IF(E465="Residential/Group Housing","RES",
IF(E465="Commercial","COM",
IF(E465="Mixed Development","MIX",
IF(E465="Plotted Development","PLT","OTH"))))
&amp;"-"&amp;TEXT(COUNTIFS($B$9:B465,B465,$E$9:E465,E465),"0000")</f>
        <v>SUR-RES-0044</v>
      </c>
      <c r="B465" s="322" t="s">
        <v>34</v>
      </c>
      <c r="C465" s="322" t="s">
        <v>34</v>
      </c>
      <c r="D465" s="323" t="s">
        <v>652</v>
      </c>
      <c r="E465" s="132" t="s">
        <v>24</v>
      </c>
      <c r="F465" s="97" t="str">
        <f ca="1">IF(OR(Market_Data[[#This Row],[Start Date]]="",Market_Data[[#This Row],[Completion Date]]=""),"Needs Validation",IF(Market_Data[[#This Row],[Start Date]]&gt;TODAY(),"Planned",IF(Market_Data[[#This Row],[Completion Date]]&lt;TODAY(),"Completed","Ongoing")))</f>
        <v>Ongoing</v>
      </c>
      <c r="G465" s="324">
        <v>45519</v>
      </c>
      <c r="H465" s="324">
        <v>46476</v>
      </c>
      <c r="I465" s="325">
        <v>43600</v>
      </c>
      <c r="J46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65" s="133">
        <f>_xlfn.XLOOKUP(Market_Data[[#This Row],[Project Type]],tbl_assumptions_market[Project Category (RERA)],tbl_assumptions_market[Concrete Intensity
(m³ / sq m BUA)],"",0)</f>
        <v>0.45</v>
      </c>
      <c r="L465" s="134">
        <f>ROUND(Market_Data[[#This Row],[Estimated Built Up Area (sq m)]]*Market_Data[[#This Row],[Concrete Intensity
(m³ / sq m)]],0)</f>
        <v>19620</v>
      </c>
      <c r="M465" s="135">
        <f>_xlfn.XLOOKUP(Market_Data[[#This Row],[District]],tbl_district_price[District],tbl_district_price[Standard Price
(INR/m³)],"",0)</f>
        <v>6200</v>
      </c>
      <c r="N465" s="364">
        <f>IF(OR(Market_Data[[#This Row],[Estimated Concrete Demand (m³)]]="",Market_Data[[#This Row],[Avg Price per (₹ / m³)]]=""),"",Market_Data[[#This Row],[Estimated Concrete Demand (m³)]]*Market_Data[[#This Row],[Avg Price per (₹ / m³)]]/10000000)</f>
        <v>12.164400000000001</v>
      </c>
      <c r="O465" s="97" t="str">
        <f>IF(Market_Data[[#This Row],[Estimated Concrete Demand (m³)]]="","",
IF(Market_Data[[#This Row],[Estimated Concrete Demand (m³)]]&lt;10000,"Small",
IF(Market_Data[[#This Row],[Estimated Concrete Demand (m³)]]&lt;25000,"Medium",
IF(Market_Data[[#This Row],[Estimated Concrete Demand (m³)]]&lt;100000,"Large","Mega"))))</f>
        <v>Medium</v>
      </c>
      <c r="P465" s="287" t="str">
        <f t="shared" si="9"/>
        <v>GujRERA</v>
      </c>
    </row>
    <row r="466" spans="1:16">
      <c r="A466" s="129" t="str">
        <f>_xlfn.XLOOKUP(B466,$S$9:$S$14,$T$9:$T$14)&amp;"-"&amp;
IF(E466="Residential/Group Housing","RES",
IF(E466="Commercial","COM",
IF(E466="Mixed Development","MIX",
IF(E466="Plotted Development","PLT","OTH"))))
&amp;"-"&amp;TEXT(COUNTIFS($B$9:B466,B466,$E$9:E466,E466),"0000")</f>
        <v>SUR-RES-0045</v>
      </c>
      <c r="B466" s="322" t="s">
        <v>34</v>
      </c>
      <c r="C466" s="322" t="s">
        <v>34</v>
      </c>
      <c r="D466" s="323" t="s">
        <v>653</v>
      </c>
      <c r="E466" s="132" t="s">
        <v>24</v>
      </c>
      <c r="F466" s="97" t="str">
        <f ca="1">IF(OR(Market_Data[[#This Row],[Start Date]]="",Market_Data[[#This Row],[Completion Date]]=""),"Needs Validation",IF(Market_Data[[#This Row],[Start Date]]&gt;TODAY(),"Planned",IF(Market_Data[[#This Row],[Completion Date]]&lt;TODAY(),"Completed","Ongoing")))</f>
        <v>Ongoing</v>
      </c>
      <c r="G466" s="324">
        <v>44880</v>
      </c>
      <c r="H466" s="324">
        <v>46387</v>
      </c>
      <c r="I466" s="325">
        <v>36300</v>
      </c>
      <c r="J46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66" s="133">
        <f>_xlfn.XLOOKUP(Market_Data[[#This Row],[Project Type]],tbl_assumptions_market[Project Category (RERA)],tbl_assumptions_market[Concrete Intensity
(m³ / sq m BUA)],"",0)</f>
        <v>0.45</v>
      </c>
      <c r="L466" s="134">
        <f>ROUND(Market_Data[[#This Row],[Estimated Built Up Area (sq m)]]*Market_Data[[#This Row],[Concrete Intensity
(m³ / sq m)]],0)</f>
        <v>16335</v>
      </c>
      <c r="M466" s="135">
        <f>_xlfn.XLOOKUP(Market_Data[[#This Row],[District]],tbl_district_price[District],tbl_district_price[Standard Price
(INR/m³)],"",0)</f>
        <v>6200</v>
      </c>
      <c r="N466" s="364">
        <f>IF(OR(Market_Data[[#This Row],[Estimated Concrete Demand (m³)]]="",Market_Data[[#This Row],[Avg Price per (₹ / m³)]]=""),"",Market_Data[[#This Row],[Estimated Concrete Demand (m³)]]*Market_Data[[#This Row],[Avg Price per (₹ / m³)]]/10000000)</f>
        <v>10.127700000000001</v>
      </c>
      <c r="O466" s="97" t="str">
        <f>IF(Market_Data[[#This Row],[Estimated Concrete Demand (m³)]]="","",
IF(Market_Data[[#This Row],[Estimated Concrete Demand (m³)]]&lt;10000,"Small",
IF(Market_Data[[#This Row],[Estimated Concrete Demand (m³)]]&lt;25000,"Medium",
IF(Market_Data[[#This Row],[Estimated Concrete Demand (m³)]]&lt;100000,"Large","Mega"))))</f>
        <v>Medium</v>
      </c>
      <c r="P466" s="287" t="str">
        <f t="shared" si="9"/>
        <v>GujRERA</v>
      </c>
    </row>
    <row r="467" spans="1:16">
      <c r="A467" s="129" t="str">
        <f>_xlfn.XLOOKUP(B467,$S$9:$S$14,$T$9:$T$14)&amp;"-"&amp;
IF(E467="Residential/Group Housing","RES",
IF(E467="Commercial","COM",
IF(E467="Mixed Development","MIX",
IF(E467="Plotted Development","PLT","OTH"))))
&amp;"-"&amp;TEXT(COUNTIFS($B$9:B467,B467,$E$9:E467,E467),"0000")</f>
        <v>SUR-RES-0046</v>
      </c>
      <c r="B467" s="322" t="s">
        <v>34</v>
      </c>
      <c r="C467" s="322" t="s">
        <v>34</v>
      </c>
      <c r="D467" s="323" t="s">
        <v>654</v>
      </c>
      <c r="E467" s="132" t="s">
        <v>24</v>
      </c>
      <c r="F467" s="97" t="str">
        <f ca="1">IF(OR(Market_Data[[#This Row],[Start Date]]="",Market_Data[[#This Row],[Completion Date]]=""),"Needs Validation",IF(Market_Data[[#This Row],[Start Date]]&gt;TODAY(),"Planned",IF(Market_Data[[#This Row],[Completion Date]]&lt;TODAY(),"Completed","Ongoing")))</f>
        <v>Ongoing</v>
      </c>
      <c r="G467" s="324">
        <v>45918</v>
      </c>
      <c r="H467" s="324">
        <v>47573</v>
      </c>
      <c r="I467" s="325">
        <v>12500</v>
      </c>
      <c r="J46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67" s="133">
        <f>_xlfn.XLOOKUP(Market_Data[[#This Row],[Project Type]],tbl_assumptions_market[Project Category (RERA)],tbl_assumptions_market[Concrete Intensity
(m³ / sq m BUA)],"",0)</f>
        <v>0.45</v>
      </c>
      <c r="L467" s="134">
        <f>ROUND(Market_Data[[#This Row],[Estimated Built Up Area (sq m)]]*Market_Data[[#This Row],[Concrete Intensity
(m³ / sq m)]],0)</f>
        <v>5625</v>
      </c>
      <c r="M467" s="135">
        <f>_xlfn.XLOOKUP(Market_Data[[#This Row],[District]],tbl_district_price[District],tbl_district_price[Standard Price
(INR/m³)],"",0)</f>
        <v>6200</v>
      </c>
      <c r="N467" s="364">
        <f>IF(OR(Market_Data[[#This Row],[Estimated Concrete Demand (m³)]]="",Market_Data[[#This Row],[Avg Price per (₹ / m³)]]=""),"",Market_Data[[#This Row],[Estimated Concrete Demand (m³)]]*Market_Data[[#This Row],[Avg Price per (₹ / m³)]]/10000000)</f>
        <v>3.4874999999999998</v>
      </c>
      <c r="O467" s="97" t="str">
        <f>IF(Market_Data[[#This Row],[Estimated Concrete Demand (m³)]]="","",
IF(Market_Data[[#This Row],[Estimated Concrete Demand (m³)]]&lt;10000,"Small",
IF(Market_Data[[#This Row],[Estimated Concrete Demand (m³)]]&lt;25000,"Medium",
IF(Market_Data[[#This Row],[Estimated Concrete Demand (m³)]]&lt;100000,"Large","Mega"))))</f>
        <v>Small</v>
      </c>
      <c r="P467" s="287" t="str">
        <f t="shared" si="9"/>
        <v>GujRERA</v>
      </c>
    </row>
    <row r="468" spans="1:16">
      <c r="A468" s="129" t="str">
        <f>_xlfn.XLOOKUP(B468,$S$9:$S$14,$T$9:$T$14)&amp;"-"&amp;
IF(E468="Residential/Group Housing","RES",
IF(E468="Commercial","COM",
IF(E468="Mixed Development","MIX",
IF(E468="Plotted Development","PLT","OTH"))))
&amp;"-"&amp;TEXT(COUNTIFS($B$9:B468,B468,$E$9:E468,E468),"0000")</f>
        <v>SUR-PLT-0048</v>
      </c>
      <c r="B468" s="322" t="s">
        <v>34</v>
      </c>
      <c r="C468" s="322" t="s">
        <v>34</v>
      </c>
      <c r="D468" s="323" t="s">
        <v>655</v>
      </c>
      <c r="E468" s="132" t="s">
        <v>26</v>
      </c>
      <c r="F468" s="97" t="str">
        <f ca="1">IF(OR(Market_Data[[#This Row],[Start Date]]="",Market_Data[[#This Row],[Completion Date]]=""),"Needs Validation",IF(Market_Data[[#This Row],[Start Date]]&gt;TODAY(),"Planned",IF(Market_Data[[#This Row],[Completion Date]]&lt;TODAY(),"Completed","Ongoing")))</f>
        <v>Ongoing</v>
      </c>
      <c r="G468" s="324">
        <v>45377</v>
      </c>
      <c r="H468" s="324">
        <v>47118</v>
      </c>
      <c r="I468" s="325">
        <v>29000</v>
      </c>
      <c r="J46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68" s="133">
        <f>_xlfn.XLOOKUP(Market_Data[[#This Row],[Project Type]],tbl_assumptions_market[Project Category (RERA)],tbl_assumptions_market[Concrete Intensity
(m³ / sq m BUA)],"",0)</f>
        <v>0.18</v>
      </c>
      <c r="L468" s="134">
        <f>ROUND(Market_Data[[#This Row],[Estimated Built Up Area (sq m)]]*Market_Data[[#This Row],[Concrete Intensity
(m³ / sq m)]],0)</f>
        <v>5220</v>
      </c>
      <c r="M468" s="135">
        <f>_xlfn.XLOOKUP(Market_Data[[#This Row],[District]],tbl_district_price[District],tbl_district_price[Standard Price
(INR/m³)],"",0)</f>
        <v>6200</v>
      </c>
      <c r="N468" s="364">
        <f>IF(OR(Market_Data[[#This Row],[Estimated Concrete Demand (m³)]]="",Market_Data[[#This Row],[Avg Price per (₹ / m³)]]=""),"",Market_Data[[#This Row],[Estimated Concrete Demand (m³)]]*Market_Data[[#This Row],[Avg Price per (₹ / m³)]]/10000000)</f>
        <v>3.2364000000000002</v>
      </c>
      <c r="O468" s="97" t="str">
        <f>IF(Market_Data[[#This Row],[Estimated Concrete Demand (m³)]]="","",
IF(Market_Data[[#This Row],[Estimated Concrete Demand (m³)]]&lt;10000,"Small",
IF(Market_Data[[#This Row],[Estimated Concrete Demand (m³)]]&lt;25000,"Medium",
IF(Market_Data[[#This Row],[Estimated Concrete Demand (m³)]]&lt;100000,"Large","Mega"))))</f>
        <v>Small</v>
      </c>
      <c r="P468" s="287" t="str">
        <f t="shared" si="9"/>
        <v>GujRERA</v>
      </c>
    </row>
    <row r="469" spans="1:16">
      <c r="A469" s="129" t="str">
        <f>_xlfn.XLOOKUP(B469,$S$9:$S$14,$T$9:$T$14)&amp;"-"&amp;
IF(E469="Residential/Group Housing","RES",
IF(E469="Commercial","COM",
IF(E469="Mixed Development","MIX",
IF(E469="Plotted Development","PLT","OTH"))))
&amp;"-"&amp;TEXT(COUNTIFS($B$9:B469,B469,$E$9:E469,E469),"0000")</f>
        <v>SUR-RES-0047</v>
      </c>
      <c r="B469" s="322" t="s">
        <v>34</v>
      </c>
      <c r="C469" s="322" t="s">
        <v>34</v>
      </c>
      <c r="D469" s="323" t="s">
        <v>656</v>
      </c>
      <c r="E469" s="132" t="s">
        <v>24</v>
      </c>
      <c r="F469" s="97" t="str">
        <f ca="1">IF(OR(Market_Data[[#This Row],[Start Date]]="",Market_Data[[#This Row],[Completion Date]]=""),"Needs Validation",IF(Market_Data[[#This Row],[Start Date]]&gt;TODAY(),"Planned",IF(Market_Data[[#This Row],[Completion Date]]&lt;TODAY(),"Completed","Ongoing")))</f>
        <v>Ongoing</v>
      </c>
      <c r="G469" s="324">
        <v>46013</v>
      </c>
      <c r="H469" s="324">
        <v>47848</v>
      </c>
      <c r="I469" s="325">
        <v>14500</v>
      </c>
      <c r="J46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69" s="133">
        <f>_xlfn.XLOOKUP(Market_Data[[#This Row],[Project Type]],tbl_assumptions_market[Project Category (RERA)],tbl_assumptions_market[Concrete Intensity
(m³ / sq m BUA)],"",0)</f>
        <v>0.45</v>
      </c>
      <c r="L469" s="134">
        <f>ROUND(Market_Data[[#This Row],[Estimated Built Up Area (sq m)]]*Market_Data[[#This Row],[Concrete Intensity
(m³ / sq m)]],0)</f>
        <v>6525</v>
      </c>
      <c r="M469" s="135">
        <f>_xlfn.XLOOKUP(Market_Data[[#This Row],[District]],tbl_district_price[District],tbl_district_price[Standard Price
(INR/m³)],"",0)</f>
        <v>6200</v>
      </c>
      <c r="N469" s="364">
        <f>IF(OR(Market_Data[[#This Row],[Estimated Concrete Demand (m³)]]="",Market_Data[[#This Row],[Avg Price per (₹ / m³)]]=""),"",Market_Data[[#This Row],[Estimated Concrete Demand (m³)]]*Market_Data[[#This Row],[Avg Price per (₹ / m³)]]/10000000)</f>
        <v>4.0454999999999997</v>
      </c>
      <c r="O469" s="97" t="str">
        <f>IF(Market_Data[[#This Row],[Estimated Concrete Demand (m³)]]="","",
IF(Market_Data[[#This Row],[Estimated Concrete Demand (m³)]]&lt;10000,"Small",
IF(Market_Data[[#This Row],[Estimated Concrete Demand (m³)]]&lt;25000,"Medium",
IF(Market_Data[[#This Row],[Estimated Concrete Demand (m³)]]&lt;100000,"Large","Mega"))))</f>
        <v>Small</v>
      </c>
      <c r="P469" s="287" t="str">
        <f t="shared" si="9"/>
        <v>GujRERA</v>
      </c>
    </row>
    <row r="470" spans="1:16">
      <c r="A470" s="129" t="str">
        <f>_xlfn.XLOOKUP(B470,$S$9:$S$14,$T$9:$T$14)&amp;"-"&amp;
IF(E470="Residential/Group Housing","RES",
IF(E470="Commercial","COM",
IF(E470="Mixed Development","MIX",
IF(E470="Plotted Development","PLT","OTH"))))
&amp;"-"&amp;TEXT(COUNTIFS($B$9:B470,B470,$E$9:E470,E470),"0000")</f>
        <v>SUR-MIX-0035</v>
      </c>
      <c r="B470" s="322" t="s">
        <v>34</v>
      </c>
      <c r="C470" s="322" t="s">
        <v>34</v>
      </c>
      <c r="D470" s="323" t="s">
        <v>657</v>
      </c>
      <c r="E470" s="132" t="s">
        <v>25</v>
      </c>
      <c r="F470" s="97" t="str">
        <f ca="1">IF(OR(Market_Data[[#This Row],[Start Date]]="",Market_Data[[#This Row],[Completion Date]]=""),"Needs Validation",IF(Market_Data[[#This Row],[Start Date]]&gt;TODAY(),"Planned",IF(Market_Data[[#This Row],[Completion Date]]&lt;TODAY(),"Completed","Ongoing")))</f>
        <v>Completed</v>
      </c>
      <c r="G470" s="324">
        <v>43398</v>
      </c>
      <c r="H470" s="324">
        <v>45473</v>
      </c>
      <c r="I470" s="325">
        <v>11600</v>
      </c>
      <c r="J47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70" s="133">
        <f>_xlfn.XLOOKUP(Market_Data[[#This Row],[Project Type]],tbl_assumptions_market[Project Category (RERA)],tbl_assumptions_market[Concrete Intensity
(m³ / sq m BUA)],"",0)</f>
        <v>0.42</v>
      </c>
      <c r="L470" s="134">
        <f>ROUND(Market_Data[[#This Row],[Estimated Built Up Area (sq m)]]*Market_Data[[#This Row],[Concrete Intensity
(m³ / sq m)]],0)</f>
        <v>4872</v>
      </c>
      <c r="M470" s="135">
        <f>_xlfn.XLOOKUP(Market_Data[[#This Row],[District]],tbl_district_price[District],tbl_district_price[Standard Price
(INR/m³)],"",0)</f>
        <v>6200</v>
      </c>
      <c r="N470" s="364">
        <f>IF(OR(Market_Data[[#This Row],[Estimated Concrete Demand (m³)]]="",Market_Data[[#This Row],[Avg Price per (₹ / m³)]]=""),"",Market_Data[[#This Row],[Estimated Concrete Demand (m³)]]*Market_Data[[#This Row],[Avg Price per (₹ / m³)]]/10000000)</f>
        <v>3.0206400000000002</v>
      </c>
      <c r="O470" s="97" t="str">
        <f>IF(Market_Data[[#This Row],[Estimated Concrete Demand (m³)]]="","",
IF(Market_Data[[#This Row],[Estimated Concrete Demand (m³)]]&lt;10000,"Small",
IF(Market_Data[[#This Row],[Estimated Concrete Demand (m³)]]&lt;25000,"Medium",
IF(Market_Data[[#This Row],[Estimated Concrete Demand (m³)]]&lt;100000,"Large","Mega"))))</f>
        <v>Small</v>
      </c>
      <c r="P470" s="287" t="str">
        <f t="shared" si="9"/>
        <v>GujRERA</v>
      </c>
    </row>
    <row r="471" spans="1:16">
      <c r="A471" s="129" t="str">
        <f>_xlfn.XLOOKUP(B471,$S$9:$S$14,$T$9:$T$14)&amp;"-"&amp;
IF(E471="Residential/Group Housing","RES",
IF(E471="Commercial","COM",
IF(E471="Mixed Development","MIX",
IF(E471="Plotted Development","PLT","OTH"))))
&amp;"-"&amp;TEXT(COUNTIFS($B$9:B471,B471,$E$9:E471,E471),"0000")</f>
        <v>SUR-MIX-0036</v>
      </c>
      <c r="B471" s="322" t="s">
        <v>34</v>
      </c>
      <c r="C471" s="322" t="s">
        <v>34</v>
      </c>
      <c r="D471" s="323" t="s">
        <v>658</v>
      </c>
      <c r="E471" s="132" t="s">
        <v>25</v>
      </c>
      <c r="F471" s="97" t="str">
        <f ca="1">IF(OR(Market_Data[[#This Row],[Start Date]]="",Market_Data[[#This Row],[Completion Date]]=""),"Needs Validation",IF(Market_Data[[#This Row],[Start Date]]&gt;TODAY(),"Planned",IF(Market_Data[[#This Row],[Completion Date]]&lt;TODAY(),"Completed","Ongoing")))</f>
        <v>Ongoing</v>
      </c>
      <c r="G471" s="324">
        <v>45411</v>
      </c>
      <c r="H471" s="324">
        <v>47118</v>
      </c>
      <c r="I471" s="325">
        <v>16700</v>
      </c>
      <c r="J47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71" s="133">
        <f>_xlfn.XLOOKUP(Market_Data[[#This Row],[Project Type]],tbl_assumptions_market[Project Category (RERA)],tbl_assumptions_market[Concrete Intensity
(m³ / sq m BUA)],"",0)</f>
        <v>0.42</v>
      </c>
      <c r="L471" s="134">
        <f>ROUND(Market_Data[[#This Row],[Estimated Built Up Area (sq m)]]*Market_Data[[#This Row],[Concrete Intensity
(m³ / sq m)]],0)</f>
        <v>7014</v>
      </c>
      <c r="M471" s="135">
        <f>_xlfn.XLOOKUP(Market_Data[[#This Row],[District]],tbl_district_price[District],tbl_district_price[Standard Price
(INR/m³)],"",0)</f>
        <v>6200</v>
      </c>
      <c r="N471" s="364">
        <f>IF(OR(Market_Data[[#This Row],[Estimated Concrete Demand (m³)]]="",Market_Data[[#This Row],[Avg Price per (₹ / m³)]]=""),"",Market_Data[[#This Row],[Estimated Concrete Demand (m³)]]*Market_Data[[#This Row],[Avg Price per (₹ / m³)]]/10000000)</f>
        <v>4.3486799999999999</v>
      </c>
      <c r="O471" s="97" t="str">
        <f>IF(Market_Data[[#This Row],[Estimated Concrete Demand (m³)]]="","",
IF(Market_Data[[#This Row],[Estimated Concrete Demand (m³)]]&lt;10000,"Small",
IF(Market_Data[[#This Row],[Estimated Concrete Demand (m³)]]&lt;25000,"Medium",
IF(Market_Data[[#This Row],[Estimated Concrete Demand (m³)]]&lt;100000,"Large","Mega"))))</f>
        <v>Small</v>
      </c>
      <c r="P471" s="287" t="str">
        <f t="shared" si="9"/>
        <v>GujRERA</v>
      </c>
    </row>
    <row r="472" spans="1:16">
      <c r="A472" s="129" t="str">
        <f>_xlfn.XLOOKUP(B472,$S$9:$S$14,$T$9:$T$14)&amp;"-"&amp;
IF(E472="Residential/Group Housing","RES",
IF(E472="Commercial","COM",
IF(E472="Mixed Development","MIX",
IF(E472="Plotted Development","PLT","OTH"))))
&amp;"-"&amp;TEXT(COUNTIFS($B$9:B472,B472,$E$9:E472,E472),"0000")</f>
        <v>SUR-MIX-0037</v>
      </c>
      <c r="B472" s="322" t="s">
        <v>34</v>
      </c>
      <c r="C472" s="322" t="s">
        <v>34</v>
      </c>
      <c r="D472" s="323" t="s">
        <v>659</v>
      </c>
      <c r="E472" s="132" t="s">
        <v>25</v>
      </c>
      <c r="F472" s="97" t="str">
        <f ca="1">IF(OR(Market_Data[[#This Row],[Start Date]]="",Market_Data[[#This Row],[Completion Date]]=""),"Needs Validation",IF(Market_Data[[#This Row],[Start Date]]&gt;TODAY(),"Planned",IF(Market_Data[[#This Row],[Completion Date]]&lt;TODAY(),"Completed","Ongoing")))</f>
        <v>Ongoing</v>
      </c>
      <c r="G472" s="324">
        <v>44740</v>
      </c>
      <c r="H472" s="324">
        <v>46752</v>
      </c>
      <c r="I472" s="325">
        <v>6800</v>
      </c>
      <c r="J47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472" s="133">
        <f>_xlfn.XLOOKUP(Market_Data[[#This Row],[Project Type]],tbl_assumptions_market[Project Category (RERA)],tbl_assumptions_market[Concrete Intensity
(m³ / sq m BUA)],"",0)</f>
        <v>0.42</v>
      </c>
      <c r="L472" s="134">
        <f>ROUND(Market_Data[[#This Row],[Estimated Built Up Area (sq m)]]*Market_Data[[#This Row],[Concrete Intensity
(m³ / sq m)]],0)</f>
        <v>2856</v>
      </c>
      <c r="M472" s="135">
        <f>_xlfn.XLOOKUP(Market_Data[[#This Row],[District]],tbl_district_price[District],tbl_district_price[Standard Price
(INR/m³)],"",0)</f>
        <v>6200</v>
      </c>
      <c r="N472" s="364">
        <f>IF(OR(Market_Data[[#This Row],[Estimated Concrete Demand (m³)]]="",Market_Data[[#This Row],[Avg Price per (₹ / m³)]]=""),"",Market_Data[[#This Row],[Estimated Concrete Demand (m³)]]*Market_Data[[#This Row],[Avg Price per (₹ / m³)]]/10000000)</f>
        <v>1.7707200000000001</v>
      </c>
      <c r="O472" s="97" t="str">
        <f>IF(Market_Data[[#This Row],[Estimated Concrete Demand (m³)]]="","",
IF(Market_Data[[#This Row],[Estimated Concrete Demand (m³)]]&lt;10000,"Small",
IF(Market_Data[[#This Row],[Estimated Concrete Demand (m³)]]&lt;25000,"Medium",
IF(Market_Data[[#This Row],[Estimated Concrete Demand (m³)]]&lt;100000,"Large","Mega"))))</f>
        <v>Small</v>
      </c>
      <c r="P472" s="287" t="str">
        <f t="shared" si="9"/>
        <v>GujRERA</v>
      </c>
    </row>
    <row r="473" spans="1:16">
      <c r="A473" s="129" t="str">
        <f>_xlfn.XLOOKUP(B473,$S$9:$S$14,$T$9:$T$14)&amp;"-"&amp;
IF(E473="Residential/Group Housing","RES",
IF(E473="Commercial","COM",
IF(E473="Mixed Development","MIX",
IF(E473="Plotted Development","PLT","OTH"))))
&amp;"-"&amp;TEXT(COUNTIFS($B$9:B473,B473,$E$9:E473,E473),"0000")</f>
        <v>SUR-RES-0048</v>
      </c>
      <c r="B473" s="322" t="s">
        <v>34</v>
      </c>
      <c r="C473" s="322" t="s">
        <v>34</v>
      </c>
      <c r="D473" s="323" t="s">
        <v>660</v>
      </c>
      <c r="E473" s="132" t="s">
        <v>24</v>
      </c>
      <c r="F473" s="97" t="str">
        <f ca="1">IF(OR(Market_Data[[#This Row],[Start Date]]="",Market_Data[[#This Row],[Completion Date]]=""),"Needs Validation",IF(Market_Data[[#This Row],[Start Date]]&gt;TODAY(),"Planned",IF(Market_Data[[#This Row],[Completion Date]]&lt;TODAY(),"Completed","Ongoing")))</f>
        <v>Ongoing</v>
      </c>
      <c r="G473" s="324">
        <v>42894</v>
      </c>
      <c r="H473" s="324">
        <v>46364</v>
      </c>
      <c r="I473" s="325">
        <v>36800</v>
      </c>
      <c r="J47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73" s="133">
        <f>_xlfn.XLOOKUP(Market_Data[[#This Row],[Project Type]],tbl_assumptions_market[Project Category (RERA)],tbl_assumptions_market[Concrete Intensity
(m³ / sq m BUA)],"",0)</f>
        <v>0.45</v>
      </c>
      <c r="L473" s="134">
        <f>ROUND(Market_Data[[#This Row],[Estimated Built Up Area (sq m)]]*Market_Data[[#This Row],[Concrete Intensity
(m³ / sq m)]],0)</f>
        <v>16560</v>
      </c>
      <c r="M473" s="135">
        <f>_xlfn.XLOOKUP(Market_Data[[#This Row],[District]],tbl_district_price[District],tbl_district_price[Standard Price
(INR/m³)],"",0)</f>
        <v>6200</v>
      </c>
      <c r="N473" s="364">
        <f>IF(OR(Market_Data[[#This Row],[Estimated Concrete Demand (m³)]]="",Market_Data[[#This Row],[Avg Price per (₹ / m³)]]=""),"",Market_Data[[#This Row],[Estimated Concrete Demand (m³)]]*Market_Data[[#This Row],[Avg Price per (₹ / m³)]]/10000000)</f>
        <v>10.267200000000001</v>
      </c>
      <c r="O473" s="97" t="str">
        <f>IF(Market_Data[[#This Row],[Estimated Concrete Demand (m³)]]="","",
IF(Market_Data[[#This Row],[Estimated Concrete Demand (m³)]]&lt;10000,"Small",
IF(Market_Data[[#This Row],[Estimated Concrete Demand (m³)]]&lt;25000,"Medium",
IF(Market_Data[[#This Row],[Estimated Concrete Demand (m³)]]&lt;100000,"Large","Mega"))))</f>
        <v>Medium</v>
      </c>
      <c r="P473" s="287" t="str">
        <f t="shared" si="9"/>
        <v>GujRERA</v>
      </c>
    </row>
    <row r="474" spans="1:16">
      <c r="A474" s="129" t="str">
        <f>_xlfn.XLOOKUP(B474,$S$9:$S$14,$T$9:$T$14)&amp;"-"&amp;
IF(E474="Residential/Group Housing","RES",
IF(E474="Commercial","COM",
IF(E474="Mixed Development","MIX",
IF(E474="Plotted Development","PLT","OTH"))))
&amp;"-"&amp;TEXT(COUNTIFS($B$9:B474,B474,$E$9:E474,E474),"0000")</f>
        <v>SUR-RES-0049</v>
      </c>
      <c r="B474" s="322" t="s">
        <v>34</v>
      </c>
      <c r="C474" s="322" t="s">
        <v>34</v>
      </c>
      <c r="D474" s="323" t="s">
        <v>661</v>
      </c>
      <c r="E474" s="132" t="s">
        <v>24</v>
      </c>
      <c r="F474" s="97" t="str">
        <f ca="1">IF(OR(Market_Data[[#This Row],[Start Date]]="",Market_Data[[#This Row],[Completion Date]]=""),"Needs Validation",IF(Market_Data[[#This Row],[Start Date]]&gt;TODAY(),"Planned",IF(Market_Data[[#This Row],[Completion Date]]&lt;TODAY(),"Completed","Ongoing")))</f>
        <v>Ongoing</v>
      </c>
      <c r="G474" s="324">
        <v>45289</v>
      </c>
      <c r="H474" s="324">
        <v>47118</v>
      </c>
      <c r="I474" s="325">
        <v>7800</v>
      </c>
      <c r="J47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74" s="133">
        <f>_xlfn.XLOOKUP(Market_Data[[#This Row],[Project Type]],tbl_assumptions_market[Project Category (RERA)],tbl_assumptions_market[Concrete Intensity
(m³ / sq m BUA)],"",0)</f>
        <v>0.45</v>
      </c>
      <c r="L474" s="134">
        <f>ROUND(Market_Data[[#This Row],[Estimated Built Up Area (sq m)]]*Market_Data[[#This Row],[Concrete Intensity
(m³ / sq m)]],0)</f>
        <v>3510</v>
      </c>
      <c r="M474" s="135">
        <f>_xlfn.XLOOKUP(Market_Data[[#This Row],[District]],tbl_district_price[District],tbl_district_price[Standard Price
(INR/m³)],"",0)</f>
        <v>6200</v>
      </c>
      <c r="N474" s="364">
        <f>IF(OR(Market_Data[[#This Row],[Estimated Concrete Demand (m³)]]="",Market_Data[[#This Row],[Avg Price per (₹ / m³)]]=""),"",Market_Data[[#This Row],[Estimated Concrete Demand (m³)]]*Market_Data[[#This Row],[Avg Price per (₹ / m³)]]/10000000)</f>
        <v>2.1762000000000001</v>
      </c>
      <c r="O474" s="97" t="str">
        <f>IF(Market_Data[[#This Row],[Estimated Concrete Demand (m³)]]="","",
IF(Market_Data[[#This Row],[Estimated Concrete Demand (m³)]]&lt;10000,"Small",
IF(Market_Data[[#This Row],[Estimated Concrete Demand (m³)]]&lt;25000,"Medium",
IF(Market_Data[[#This Row],[Estimated Concrete Demand (m³)]]&lt;100000,"Large","Mega"))))</f>
        <v>Small</v>
      </c>
      <c r="P474" s="287" t="str">
        <f t="shared" si="9"/>
        <v>GujRERA</v>
      </c>
    </row>
    <row r="475" spans="1:16">
      <c r="A475" s="129" t="str">
        <f>_xlfn.XLOOKUP(B475,$S$9:$S$14,$T$9:$T$14)&amp;"-"&amp;
IF(E475="Residential/Group Housing","RES",
IF(E475="Commercial","COM",
IF(E475="Mixed Development","MIX",
IF(E475="Plotted Development","PLT","OTH"))))
&amp;"-"&amp;TEXT(COUNTIFS($B$9:B475,B475,$E$9:E475,E475),"0000")</f>
        <v>SUR-RES-0050</v>
      </c>
      <c r="B475" s="322" t="s">
        <v>34</v>
      </c>
      <c r="C475" s="322" t="s">
        <v>34</v>
      </c>
      <c r="D475" s="323" t="s">
        <v>662</v>
      </c>
      <c r="E475" s="132" t="s">
        <v>24</v>
      </c>
      <c r="F475" s="97" t="str">
        <f ca="1">IF(OR(Market_Data[[#This Row],[Start Date]]="",Market_Data[[#This Row],[Completion Date]]=""),"Needs Validation",IF(Market_Data[[#This Row],[Start Date]]&gt;TODAY(),"Planned",IF(Market_Data[[#This Row],[Completion Date]]&lt;TODAY(),"Completed","Ongoing")))</f>
        <v>Ongoing</v>
      </c>
      <c r="G475" s="324">
        <v>44501</v>
      </c>
      <c r="H475" s="324">
        <v>46387</v>
      </c>
      <c r="I475" s="325">
        <v>34500</v>
      </c>
      <c r="J47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75" s="133">
        <f>_xlfn.XLOOKUP(Market_Data[[#This Row],[Project Type]],tbl_assumptions_market[Project Category (RERA)],tbl_assumptions_market[Concrete Intensity
(m³ / sq m BUA)],"",0)</f>
        <v>0.45</v>
      </c>
      <c r="L475" s="134">
        <f>ROUND(Market_Data[[#This Row],[Estimated Built Up Area (sq m)]]*Market_Data[[#This Row],[Concrete Intensity
(m³ / sq m)]],0)</f>
        <v>15525</v>
      </c>
      <c r="M475" s="135">
        <f>_xlfn.XLOOKUP(Market_Data[[#This Row],[District]],tbl_district_price[District],tbl_district_price[Standard Price
(INR/m³)],"",0)</f>
        <v>6200</v>
      </c>
      <c r="N475" s="364">
        <f>IF(OR(Market_Data[[#This Row],[Estimated Concrete Demand (m³)]]="",Market_Data[[#This Row],[Avg Price per (₹ / m³)]]=""),"",Market_Data[[#This Row],[Estimated Concrete Demand (m³)]]*Market_Data[[#This Row],[Avg Price per (₹ / m³)]]/10000000)</f>
        <v>9.6255000000000006</v>
      </c>
      <c r="O475" s="97" t="str">
        <f>IF(Market_Data[[#This Row],[Estimated Concrete Demand (m³)]]="","",
IF(Market_Data[[#This Row],[Estimated Concrete Demand (m³)]]&lt;10000,"Small",
IF(Market_Data[[#This Row],[Estimated Concrete Demand (m³)]]&lt;25000,"Medium",
IF(Market_Data[[#This Row],[Estimated Concrete Demand (m³)]]&lt;100000,"Large","Mega"))))</f>
        <v>Medium</v>
      </c>
      <c r="P475" s="287" t="str">
        <f t="shared" si="9"/>
        <v>GujRERA</v>
      </c>
    </row>
    <row r="476" spans="1:16">
      <c r="A476" s="129" t="str">
        <f>_xlfn.XLOOKUP(B476,$S$9:$S$14,$T$9:$T$14)&amp;"-"&amp;
IF(E476="Residential/Group Housing","RES",
IF(E476="Commercial","COM",
IF(E476="Mixed Development","MIX",
IF(E476="Plotted Development","PLT","OTH"))))
&amp;"-"&amp;TEXT(COUNTIFS($B$9:B476,B476,$E$9:E476,E476),"0000")</f>
        <v>SUR-RES-0051</v>
      </c>
      <c r="B476" s="322" t="s">
        <v>34</v>
      </c>
      <c r="C476" s="322" t="s">
        <v>34</v>
      </c>
      <c r="D476" s="323" t="s">
        <v>663</v>
      </c>
      <c r="E476" s="132" t="s">
        <v>24</v>
      </c>
      <c r="F476" s="97" t="str">
        <f ca="1">IF(OR(Market_Data[[#This Row],[Start Date]]="",Market_Data[[#This Row],[Completion Date]]=""),"Needs Validation",IF(Market_Data[[#This Row],[Start Date]]&gt;TODAY(),"Planned",IF(Market_Data[[#This Row],[Completion Date]]&lt;TODAY(),"Completed","Ongoing")))</f>
        <v>Completed</v>
      </c>
      <c r="G476" s="324">
        <v>44454</v>
      </c>
      <c r="H476" s="324">
        <v>45900</v>
      </c>
      <c r="I476" s="325">
        <v>25300</v>
      </c>
      <c r="J47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76" s="133">
        <f>_xlfn.XLOOKUP(Market_Data[[#This Row],[Project Type]],tbl_assumptions_market[Project Category (RERA)],tbl_assumptions_market[Concrete Intensity
(m³ / sq m BUA)],"",0)</f>
        <v>0.45</v>
      </c>
      <c r="L476" s="134">
        <f>ROUND(Market_Data[[#This Row],[Estimated Built Up Area (sq m)]]*Market_Data[[#This Row],[Concrete Intensity
(m³ / sq m)]],0)</f>
        <v>11385</v>
      </c>
      <c r="M476" s="135">
        <f>_xlfn.XLOOKUP(Market_Data[[#This Row],[District]],tbl_district_price[District],tbl_district_price[Standard Price
(INR/m³)],"",0)</f>
        <v>6200</v>
      </c>
      <c r="N476" s="364">
        <f>IF(OR(Market_Data[[#This Row],[Estimated Concrete Demand (m³)]]="",Market_Data[[#This Row],[Avg Price per (₹ / m³)]]=""),"",Market_Data[[#This Row],[Estimated Concrete Demand (m³)]]*Market_Data[[#This Row],[Avg Price per (₹ / m³)]]/10000000)</f>
        <v>7.0587</v>
      </c>
      <c r="O476" s="97" t="str">
        <f>IF(Market_Data[[#This Row],[Estimated Concrete Demand (m³)]]="","",
IF(Market_Data[[#This Row],[Estimated Concrete Demand (m³)]]&lt;10000,"Small",
IF(Market_Data[[#This Row],[Estimated Concrete Demand (m³)]]&lt;25000,"Medium",
IF(Market_Data[[#This Row],[Estimated Concrete Demand (m³)]]&lt;100000,"Large","Mega"))))</f>
        <v>Medium</v>
      </c>
      <c r="P476" s="287" t="str">
        <f t="shared" si="9"/>
        <v>GujRERA</v>
      </c>
    </row>
    <row r="477" spans="1:16">
      <c r="A477" s="129" t="str">
        <f>_xlfn.XLOOKUP(B477,$S$9:$S$14,$T$9:$T$14)&amp;"-"&amp;
IF(E477="Residential/Group Housing","RES",
IF(E477="Commercial","COM",
IF(E477="Mixed Development","MIX",
IF(E477="Plotted Development","PLT","OTH"))))
&amp;"-"&amp;TEXT(COUNTIFS($B$9:B477,B477,$E$9:E477,E477),"0000")</f>
        <v>SUR-RES-0052</v>
      </c>
      <c r="B477" s="322" t="s">
        <v>34</v>
      </c>
      <c r="C477" s="322" t="s">
        <v>34</v>
      </c>
      <c r="D477" s="323" t="s">
        <v>664</v>
      </c>
      <c r="E477" s="132" t="s">
        <v>24</v>
      </c>
      <c r="F477" s="97" t="str">
        <f ca="1">IF(OR(Market_Data[[#This Row],[Start Date]]="",Market_Data[[#This Row],[Completion Date]]=""),"Needs Validation",IF(Market_Data[[#This Row],[Start Date]]&gt;TODAY(),"Planned",IF(Market_Data[[#This Row],[Completion Date]]&lt;TODAY(),"Completed","Ongoing")))</f>
        <v>Completed</v>
      </c>
      <c r="G477" s="324">
        <v>43131</v>
      </c>
      <c r="H477" s="324">
        <v>45381</v>
      </c>
      <c r="I477" s="325">
        <v>53300</v>
      </c>
      <c r="J47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77" s="133">
        <f>_xlfn.XLOOKUP(Market_Data[[#This Row],[Project Type]],tbl_assumptions_market[Project Category (RERA)],tbl_assumptions_market[Concrete Intensity
(m³ / sq m BUA)],"",0)</f>
        <v>0.45</v>
      </c>
      <c r="L477" s="134">
        <f>ROUND(Market_Data[[#This Row],[Estimated Built Up Area (sq m)]]*Market_Data[[#This Row],[Concrete Intensity
(m³ / sq m)]],0)</f>
        <v>23985</v>
      </c>
      <c r="M477" s="135">
        <f>_xlfn.XLOOKUP(Market_Data[[#This Row],[District]],tbl_district_price[District],tbl_district_price[Standard Price
(INR/m³)],"",0)</f>
        <v>6200</v>
      </c>
      <c r="N477" s="364">
        <f>IF(OR(Market_Data[[#This Row],[Estimated Concrete Demand (m³)]]="",Market_Data[[#This Row],[Avg Price per (₹ / m³)]]=""),"",Market_Data[[#This Row],[Estimated Concrete Demand (m³)]]*Market_Data[[#This Row],[Avg Price per (₹ / m³)]]/10000000)</f>
        <v>14.870699999999999</v>
      </c>
      <c r="O477" s="97" t="str">
        <f>IF(Market_Data[[#This Row],[Estimated Concrete Demand (m³)]]="","",
IF(Market_Data[[#This Row],[Estimated Concrete Demand (m³)]]&lt;10000,"Small",
IF(Market_Data[[#This Row],[Estimated Concrete Demand (m³)]]&lt;25000,"Medium",
IF(Market_Data[[#This Row],[Estimated Concrete Demand (m³)]]&lt;100000,"Large","Mega"))))</f>
        <v>Medium</v>
      </c>
      <c r="P477" s="287" t="str">
        <f t="shared" si="9"/>
        <v>GujRERA</v>
      </c>
    </row>
    <row r="478" spans="1:16">
      <c r="A478" s="129" t="str">
        <f>_xlfn.XLOOKUP(B478,$S$9:$S$14,$T$9:$T$14)&amp;"-"&amp;
IF(E478="Residential/Group Housing","RES",
IF(E478="Commercial","COM",
IF(E478="Mixed Development","MIX",
IF(E478="Plotted Development","PLT","OTH"))))
&amp;"-"&amp;TEXT(COUNTIFS($B$9:B478,B478,$E$9:E478,E478),"0000")</f>
        <v>SUR-RES-0053</v>
      </c>
      <c r="B478" s="322" t="s">
        <v>34</v>
      </c>
      <c r="C478" s="322" t="s">
        <v>34</v>
      </c>
      <c r="D478" s="323" t="s">
        <v>665</v>
      </c>
      <c r="E478" s="132" t="s">
        <v>24</v>
      </c>
      <c r="F478" s="97" t="str">
        <f ca="1">IF(OR(Market_Data[[#This Row],[Start Date]]="",Market_Data[[#This Row],[Completion Date]]=""),"Needs Validation",IF(Market_Data[[#This Row],[Start Date]]&gt;TODAY(),"Planned",IF(Market_Data[[#This Row],[Completion Date]]&lt;TODAY(),"Completed","Ongoing")))</f>
        <v>Completed</v>
      </c>
      <c r="G478" s="324">
        <v>43397</v>
      </c>
      <c r="H478" s="324">
        <v>44834</v>
      </c>
      <c r="I478" s="325">
        <v>8100</v>
      </c>
      <c r="J47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78" s="133">
        <f>_xlfn.XLOOKUP(Market_Data[[#This Row],[Project Type]],tbl_assumptions_market[Project Category (RERA)],tbl_assumptions_market[Concrete Intensity
(m³ / sq m BUA)],"",0)</f>
        <v>0.45</v>
      </c>
      <c r="L478" s="134">
        <f>ROUND(Market_Data[[#This Row],[Estimated Built Up Area (sq m)]]*Market_Data[[#This Row],[Concrete Intensity
(m³ / sq m)]],0)</f>
        <v>3645</v>
      </c>
      <c r="M478" s="135">
        <f>_xlfn.XLOOKUP(Market_Data[[#This Row],[District]],tbl_district_price[District],tbl_district_price[Standard Price
(INR/m³)],"",0)</f>
        <v>6200</v>
      </c>
      <c r="N478" s="364">
        <f>IF(OR(Market_Data[[#This Row],[Estimated Concrete Demand (m³)]]="",Market_Data[[#This Row],[Avg Price per (₹ / m³)]]=""),"",Market_Data[[#This Row],[Estimated Concrete Demand (m³)]]*Market_Data[[#This Row],[Avg Price per (₹ / m³)]]/10000000)</f>
        <v>2.2599</v>
      </c>
      <c r="O478" s="97" t="str">
        <f>IF(Market_Data[[#This Row],[Estimated Concrete Demand (m³)]]="","",
IF(Market_Data[[#This Row],[Estimated Concrete Demand (m³)]]&lt;10000,"Small",
IF(Market_Data[[#This Row],[Estimated Concrete Demand (m³)]]&lt;25000,"Medium",
IF(Market_Data[[#This Row],[Estimated Concrete Demand (m³)]]&lt;100000,"Large","Mega"))))</f>
        <v>Small</v>
      </c>
      <c r="P478" s="287" t="str">
        <f t="shared" si="9"/>
        <v>GujRERA</v>
      </c>
    </row>
    <row r="479" spans="1:16">
      <c r="A479" s="129" t="str">
        <f>_xlfn.XLOOKUP(B479,$S$9:$S$14,$T$9:$T$14)&amp;"-"&amp;
IF(E479="Residential/Group Housing","RES",
IF(E479="Commercial","COM",
IF(E479="Mixed Development","MIX",
IF(E479="Plotted Development","PLT","OTH"))))
&amp;"-"&amp;TEXT(COUNTIFS($B$9:B479,B479,$E$9:E479,E479),"0000")</f>
        <v>SUR-MIX-0038</v>
      </c>
      <c r="B479" s="322" t="s">
        <v>34</v>
      </c>
      <c r="C479" s="322" t="s">
        <v>34</v>
      </c>
      <c r="D479" s="323" t="s">
        <v>666</v>
      </c>
      <c r="E479" s="132" t="s">
        <v>25</v>
      </c>
      <c r="F479" s="97" t="str">
        <f ca="1">IF(OR(Market_Data[[#This Row],[Start Date]]="",Market_Data[[#This Row],[Completion Date]]=""),"Needs Validation",IF(Market_Data[[#This Row],[Start Date]]&gt;TODAY(),"Planned",IF(Market_Data[[#This Row],[Completion Date]]&lt;TODAY(),"Completed","Ongoing")))</f>
        <v>Completed</v>
      </c>
      <c r="G479" s="324">
        <v>40026</v>
      </c>
      <c r="H479" s="324">
        <v>45107</v>
      </c>
      <c r="I479" s="325">
        <v>16900</v>
      </c>
      <c r="J47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79" s="133">
        <f>_xlfn.XLOOKUP(Market_Data[[#This Row],[Project Type]],tbl_assumptions_market[Project Category (RERA)],tbl_assumptions_market[Concrete Intensity
(m³ / sq m BUA)],"",0)</f>
        <v>0.42</v>
      </c>
      <c r="L479" s="134">
        <f>ROUND(Market_Data[[#This Row],[Estimated Built Up Area (sq m)]]*Market_Data[[#This Row],[Concrete Intensity
(m³ / sq m)]],0)</f>
        <v>7098</v>
      </c>
      <c r="M479" s="135">
        <f>_xlfn.XLOOKUP(Market_Data[[#This Row],[District]],tbl_district_price[District],tbl_district_price[Standard Price
(INR/m³)],"",0)</f>
        <v>6200</v>
      </c>
      <c r="N479" s="364">
        <f>IF(OR(Market_Data[[#This Row],[Estimated Concrete Demand (m³)]]="",Market_Data[[#This Row],[Avg Price per (₹ / m³)]]=""),"",Market_Data[[#This Row],[Estimated Concrete Demand (m³)]]*Market_Data[[#This Row],[Avg Price per (₹ / m³)]]/10000000)</f>
        <v>4.40076</v>
      </c>
      <c r="O479" s="97" t="str">
        <f>IF(Market_Data[[#This Row],[Estimated Concrete Demand (m³)]]="","",
IF(Market_Data[[#This Row],[Estimated Concrete Demand (m³)]]&lt;10000,"Small",
IF(Market_Data[[#This Row],[Estimated Concrete Demand (m³)]]&lt;25000,"Medium",
IF(Market_Data[[#This Row],[Estimated Concrete Demand (m³)]]&lt;100000,"Large","Mega"))))</f>
        <v>Small</v>
      </c>
      <c r="P479" s="287" t="str">
        <f t="shared" si="9"/>
        <v>GujRERA</v>
      </c>
    </row>
    <row r="480" spans="1:16">
      <c r="A480" s="129" t="str">
        <f>_xlfn.XLOOKUP(B480,$S$9:$S$14,$T$9:$T$14)&amp;"-"&amp;
IF(E480="Residential/Group Housing","RES",
IF(E480="Commercial","COM",
IF(E480="Mixed Development","MIX",
IF(E480="Plotted Development","PLT","OTH"))))
&amp;"-"&amp;TEXT(COUNTIFS($B$9:B480,B480,$E$9:E480,E480),"0000")</f>
        <v>SUR-MIX-0039</v>
      </c>
      <c r="B480" s="322" t="s">
        <v>34</v>
      </c>
      <c r="C480" s="322" t="s">
        <v>34</v>
      </c>
      <c r="D480" s="323" t="s">
        <v>667</v>
      </c>
      <c r="E480" s="132" t="s">
        <v>25</v>
      </c>
      <c r="F480" s="97" t="str">
        <f ca="1">IF(OR(Market_Data[[#This Row],[Start Date]]="",Market_Data[[#This Row],[Completion Date]]=""),"Needs Validation",IF(Market_Data[[#This Row],[Start Date]]&gt;TODAY(),"Planned",IF(Market_Data[[#This Row],[Completion Date]]&lt;TODAY(),"Completed","Ongoing")))</f>
        <v>Completed</v>
      </c>
      <c r="G480" s="324">
        <v>42310</v>
      </c>
      <c r="H480" s="324">
        <v>44377</v>
      </c>
      <c r="I480" s="325">
        <v>47900</v>
      </c>
      <c r="J48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80" s="133">
        <f>_xlfn.XLOOKUP(Market_Data[[#This Row],[Project Type]],tbl_assumptions_market[Project Category (RERA)],tbl_assumptions_market[Concrete Intensity
(m³ / sq m BUA)],"",0)</f>
        <v>0.42</v>
      </c>
      <c r="L480" s="134">
        <f>ROUND(Market_Data[[#This Row],[Estimated Built Up Area (sq m)]]*Market_Data[[#This Row],[Concrete Intensity
(m³ / sq m)]],0)</f>
        <v>20118</v>
      </c>
      <c r="M480" s="135">
        <f>_xlfn.XLOOKUP(Market_Data[[#This Row],[District]],tbl_district_price[District],tbl_district_price[Standard Price
(INR/m³)],"",0)</f>
        <v>6200</v>
      </c>
      <c r="N480" s="364">
        <f>IF(OR(Market_Data[[#This Row],[Estimated Concrete Demand (m³)]]="",Market_Data[[#This Row],[Avg Price per (₹ / m³)]]=""),"",Market_Data[[#This Row],[Estimated Concrete Demand (m³)]]*Market_Data[[#This Row],[Avg Price per (₹ / m³)]]/10000000)</f>
        <v>12.47316</v>
      </c>
      <c r="O480" s="97" t="str">
        <f>IF(Market_Data[[#This Row],[Estimated Concrete Demand (m³)]]="","",
IF(Market_Data[[#This Row],[Estimated Concrete Demand (m³)]]&lt;10000,"Small",
IF(Market_Data[[#This Row],[Estimated Concrete Demand (m³)]]&lt;25000,"Medium",
IF(Market_Data[[#This Row],[Estimated Concrete Demand (m³)]]&lt;100000,"Large","Mega"))))</f>
        <v>Medium</v>
      </c>
      <c r="P480" s="287" t="str">
        <f t="shared" si="9"/>
        <v>GujRERA</v>
      </c>
    </row>
    <row r="481" spans="1:16">
      <c r="A481" s="129" t="str">
        <f>_xlfn.XLOOKUP(B481,$S$9:$S$14,$T$9:$T$14)&amp;"-"&amp;
IF(E481="Residential/Group Housing","RES",
IF(E481="Commercial","COM",
IF(E481="Mixed Development","MIX",
IF(E481="Plotted Development","PLT","OTH"))))
&amp;"-"&amp;TEXT(COUNTIFS($B$9:B481,B481,$E$9:E481,E481),"0000")</f>
        <v>SUR-COM-0023</v>
      </c>
      <c r="B481" s="322" t="s">
        <v>34</v>
      </c>
      <c r="C481" s="322" t="s">
        <v>34</v>
      </c>
      <c r="D481" s="323" t="s">
        <v>668</v>
      </c>
      <c r="E481" s="132" t="s">
        <v>23</v>
      </c>
      <c r="F481" s="97" t="str">
        <f ca="1">IF(OR(Market_Data[[#This Row],[Start Date]]="",Market_Data[[#This Row],[Completion Date]]=""),"Needs Validation",IF(Market_Data[[#This Row],[Start Date]]&gt;TODAY(),"Planned",IF(Market_Data[[#This Row],[Completion Date]]&lt;TODAY(),"Completed","Ongoing")))</f>
        <v>Completed</v>
      </c>
      <c r="G481" s="324">
        <v>42537</v>
      </c>
      <c r="H481" s="324">
        <v>44372</v>
      </c>
      <c r="I481" s="325">
        <v>2900</v>
      </c>
      <c r="J48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81" s="133">
        <f>_xlfn.XLOOKUP(Market_Data[[#This Row],[Project Type]],tbl_assumptions_market[Project Category (RERA)],tbl_assumptions_market[Concrete Intensity
(m³ / sq m BUA)],"",0)</f>
        <v>0.5</v>
      </c>
      <c r="L481" s="134">
        <f>ROUND(Market_Data[[#This Row],[Estimated Built Up Area (sq m)]]*Market_Data[[#This Row],[Concrete Intensity
(m³ / sq m)]],0)</f>
        <v>1450</v>
      </c>
      <c r="M481" s="135">
        <f>_xlfn.XLOOKUP(Market_Data[[#This Row],[District]],tbl_district_price[District],tbl_district_price[Standard Price
(INR/m³)],"",0)</f>
        <v>6200</v>
      </c>
      <c r="N481" s="364">
        <f>IF(OR(Market_Data[[#This Row],[Estimated Concrete Demand (m³)]]="",Market_Data[[#This Row],[Avg Price per (₹ / m³)]]=""),"",Market_Data[[#This Row],[Estimated Concrete Demand (m³)]]*Market_Data[[#This Row],[Avg Price per (₹ / m³)]]/10000000)</f>
        <v>0.89900000000000002</v>
      </c>
      <c r="O481" s="97" t="str">
        <f>IF(Market_Data[[#This Row],[Estimated Concrete Demand (m³)]]="","",
IF(Market_Data[[#This Row],[Estimated Concrete Demand (m³)]]&lt;10000,"Small",
IF(Market_Data[[#This Row],[Estimated Concrete Demand (m³)]]&lt;25000,"Medium",
IF(Market_Data[[#This Row],[Estimated Concrete Demand (m³)]]&lt;100000,"Large","Mega"))))</f>
        <v>Small</v>
      </c>
      <c r="P481" s="287" t="str">
        <f t="shared" si="9"/>
        <v>GujRERA</v>
      </c>
    </row>
    <row r="482" spans="1:16">
      <c r="A482" s="129" t="str">
        <f>_xlfn.XLOOKUP(B482,$S$9:$S$14,$T$9:$T$14)&amp;"-"&amp;
IF(E482="Residential/Group Housing","RES",
IF(E482="Commercial","COM",
IF(E482="Mixed Development","MIX",
IF(E482="Plotted Development","PLT","OTH"))))
&amp;"-"&amp;TEXT(COUNTIFS($B$9:B482,B482,$E$9:E482,E482),"0000")</f>
        <v>SUR-RES-0054</v>
      </c>
      <c r="B482" s="322" t="s">
        <v>34</v>
      </c>
      <c r="C482" s="322" t="s">
        <v>34</v>
      </c>
      <c r="D482" s="323" t="s">
        <v>669</v>
      </c>
      <c r="E482" s="132" t="s">
        <v>24</v>
      </c>
      <c r="F482" s="97" t="str">
        <f ca="1">IF(OR(Market_Data[[#This Row],[Start Date]]="",Market_Data[[#This Row],[Completion Date]]=""),"Needs Validation",IF(Market_Data[[#This Row],[Start Date]]&gt;TODAY(),"Planned",IF(Market_Data[[#This Row],[Completion Date]]&lt;TODAY(),"Completed","Ongoing")))</f>
        <v>Completed</v>
      </c>
      <c r="G482" s="324">
        <v>43160</v>
      </c>
      <c r="H482" s="324">
        <v>44985</v>
      </c>
      <c r="I482" s="325">
        <v>3700</v>
      </c>
      <c r="J48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82" s="133">
        <f>_xlfn.XLOOKUP(Market_Data[[#This Row],[Project Type]],tbl_assumptions_market[Project Category (RERA)],tbl_assumptions_market[Concrete Intensity
(m³ / sq m BUA)],"",0)</f>
        <v>0.45</v>
      </c>
      <c r="L482" s="134">
        <f>ROUND(Market_Data[[#This Row],[Estimated Built Up Area (sq m)]]*Market_Data[[#This Row],[Concrete Intensity
(m³ / sq m)]],0)</f>
        <v>1665</v>
      </c>
      <c r="M482" s="135">
        <f>_xlfn.XLOOKUP(Market_Data[[#This Row],[District]],tbl_district_price[District],tbl_district_price[Standard Price
(INR/m³)],"",0)</f>
        <v>6200</v>
      </c>
      <c r="N482" s="364">
        <f>IF(OR(Market_Data[[#This Row],[Estimated Concrete Demand (m³)]]="",Market_Data[[#This Row],[Avg Price per (₹ / m³)]]=""),"",Market_Data[[#This Row],[Estimated Concrete Demand (m³)]]*Market_Data[[#This Row],[Avg Price per (₹ / m³)]]/10000000)</f>
        <v>1.0323</v>
      </c>
      <c r="O482" s="97" t="str">
        <f>IF(Market_Data[[#This Row],[Estimated Concrete Demand (m³)]]="","",
IF(Market_Data[[#This Row],[Estimated Concrete Demand (m³)]]&lt;10000,"Small",
IF(Market_Data[[#This Row],[Estimated Concrete Demand (m³)]]&lt;25000,"Medium",
IF(Market_Data[[#This Row],[Estimated Concrete Demand (m³)]]&lt;100000,"Large","Mega"))))</f>
        <v>Small</v>
      </c>
      <c r="P482" s="287" t="str">
        <f t="shared" si="9"/>
        <v>GujRERA</v>
      </c>
    </row>
    <row r="483" spans="1:16">
      <c r="A483" s="129" t="str">
        <f>_xlfn.XLOOKUP(B483,$S$9:$S$14,$T$9:$T$14)&amp;"-"&amp;
IF(E483="Residential/Group Housing","RES",
IF(E483="Commercial","COM",
IF(E483="Mixed Development","MIX",
IF(E483="Plotted Development","PLT","OTH"))))
&amp;"-"&amp;TEXT(COUNTIFS($B$9:B483,B483,$E$9:E483,E483),"0000")</f>
        <v>SUR-RES-0055</v>
      </c>
      <c r="B483" s="322" t="s">
        <v>34</v>
      </c>
      <c r="C483" s="322" t="s">
        <v>34</v>
      </c>
      <c r="D483" s="323" t="s">
        <v>670</v>
      </c>
      <c r="E483" s="132" t="s">
        <v>24</v>
      </c>
      <c r="F483" s="97" t="str">
        <f ca="1">IF(OR(Market_Data[[#This Row],[Start Date]]="",Market_Data[[#This Row],[Completion Date]]=""),"Needs Validation",IF(Market_Data[[#This Row],[Start Date]]&gt;TODAY(),"Planned",IF(Market_Data[[#This Row],[Completion Date]]&lt;TODAY(),"Completed","Ongoing")))</f>
        <v>Completed</v>
      </c>
      <c r="G483" s="324">
        <v>42917</v>
      </c>
      <c r="H483" s="324">
        <v>44469</v>
      </c>
      <c r="I483" s="325">
        <v>18100</v>
      </c>
      <c r="J48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83" s="133">
        <f>_xlfn.XLOOKUP(Market_Data[[#This Row],[Project Type]],tbl_assumptions_market[Project Category (RERA)],tbl_assumptions_market[Concrete Intensity
(m³ / sq m BUA)],"",0)</f>
        <v>0.45</v>
      </c>
      <c r="L483" s="134">
        <f>ROUND(Market_Data[[#This Row],[Estimated Built Up Area (sq m)]]*Market_Data[[#This Row],[Concrete Intensity
(m³ / sq m)]],0)</f>
        <v>8145</v>
      </c>
      <c r="M483" s="135">
        <f>_xlfn.XLOOKUP(Market_Data[[#This Row],[District]],tbl_district_price[District],tbl_district_price[Standard Price
(INR/m³)],"",0)</f>
        <v>6200</v>
      </c>
      <c r="N483" s="364">
        <f>IF(OR(Market_Data[[#This Row],[Estimated Concrete Demand (m³)]]="",Market_Data[[#This Row],[Avg Price per (₹ / m³)]]=""),"",Market_Data[[#This Row],[Estimated Concrete Demand (m³)]]*Market_Data[[#This Row],[Avg Price per (₹ / m³)]]/10000000)</f>
        <v>5.0499000000000001</v>
      </c>
      <c r="O483" s="97" t="str">
        <f>IF(Market_Data[[#This Row],[Estimated Concrete Demand (m³)]]="","",
IF(Market_Data[[#This Row],[Estimated Concrete Demand (m³)]]&lt;10000,"Small",
IF(Market_Data[[#This Row],[Estimated Concrete Demand (m³)]]&lt;25000,"Medium",
IF(Market_Data[[#This Row],[Estimated Concrete Demand (m³)]]&lt;100000,"Large","Mega"))))</f>
        <v>Small</v>
      </c>
      <c r="P483" s="287" t="str">
        <f t="shared" si="9"/>
        <v>GujRERA</v>
      </c>
    </row>
    <row r="484" spans="1:16">
      <c r="A484" s="129" t="str">
        <f>_xlfn.XLOOKUP(B484,$S$9:$S$14,$T$9:$T$14)&amp;"-"&amp;
IF(E484="Residential/Group Housing","RES",
IF(E484="Commercial","COM",
IF(E484="Mixed Development","MIX",
IF(E484="Plotted Development","PLT","OTH"))))
&amp;"-"&amp;TEXT(COUNTIFS($B$9:B484,B484,$E$9:E484,E484),"0000")</f>
        <v>SUR-PLT-0049</v>
      </c>
      <c r="B484" s="322" t="s">
        <v>34</v>
      </c>
      <c r="C484" s="322" t="s">
        <v>34</v>
      </c>
      <c r="D484" s="323" t="s">
        <v>671</v>
      </c>
      <c r="E484" s="132" t="s">
        <v>26</v>
      </c>
      <c r="F484" s="97" t="str">
        <f ca="1">IF(OR(Market_Data[[#This Row],[Start Date]]="",Market_Data[[#This Row],[Completion Date]]=""),"Needs Validation",IF(Market_Data[[#This Row],[Start Date]]&gt;TODAY(),"Planned",IF(Market_Data[[#This Row],[Completion Date]]&lt;TODAY(),"Completed","Ongoing")))</f>
        <v>Completed</v>
      </c>
      <c r="G484" s="324">
        <v>45616</v>
      </c>
      <c r="H484" s="324">
        <v>46203</v>
      </c>
      <c r="I484" s="325">
        <v>36300</v>
      </c>
      <c r="J48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484" s="133">
        <f>_xlfn.XLOOKUP(Market_Data[[#This Row],[Project Type]],tbl_assumptions_market[Project Category (RERA)],tbl_assumptions_market[Concrete Intensity
(m³ / sq m BUA)],"",0)</f>
        <v>0.18</v>
      </c>
      <c r="L484" s="134">
        <f>ROUND(Market_Data[[#This Row],[Estimated Built Up Area (sq m)]]*Market_Data[[#This Row],[Concrete Intensity
(m³ / sq m)]],0)</f>
        <v>6534</v>
      </c>
      <c r="M484" s="135">
        <f>_xlfn.XLOOKUP(Market_Data[[#This Row],[District]],tbl_district_price[District],tbl_district_price[Standard Price
(INR/m³)],"",0)</f>
        <v>6200</v>
      </c>
      <c r="N484" s="364">
        <f>IF(OR(Market_Data[[#This Row],[Estimated Concrete Demand (m³)]]="",Market_Data[[#This Row],[Avg Price per (₹ / m³)]]=""),"",Market_Data[[#This Row],[Estimated Concrete Demand (m³)]]*Market_Data[[#This Row],[Avg Price per (₹ / m³)]]/10000000)</f>
        <v>4.0510799999999998</v>
      </c>
      <c r="O484" s="97" t="str">
        <f>IF(Market_Data[[#This Row],[Estimated Concrete Demand (m³)]]="","",
IF(Market_Data[[#This Row],[Estimated Concrete Demand (m³)]]&lt;10000,"Small",
IF(Market_Data[[#This Row],[Estimated Concrete Demand (m³)]]&lt;25000,"Medium",
IF(Market_Data[[#This Row],[Estimated Concrete Demand (m³)]]&lt;100000,"Large","Mega"))))</f>
        <v>Small</v>
      </c>
      <c r="P484" s="287" t="str">
        <f t="shared" si="9"/>
        <v>GujRERA</v>
      </c>
    </row>
    <row r="485" spans="1:16">
      <c r="A485" s="129" t="str">
        <f>_xlfn.XLOOKUP(B485,$S$9:$S$14,$T$9:$T$14)&amp;"-"&amp;
IF(E485="Residential/Group Housing","RES",
IF(E485="Commercial","COM",
IF(E485="Mixed Development","MIX",
IF(E485="Plotted Development","PLT","OTH"))))
&amp;"-"&amp;TEXT(COUNTIFS($B$9:B485,B485,$E$9:E485,E485),"0000")</f>
        <v>SUR-RES-0056</v>
      </c>
      <c r="B485" s="322" t="s">
        <v>34</v>
      </c>
      <c r="C485" s="322" t="s">
        <v>34</v>
      </c>
      <c r="D485" s="323" t="s">
        <v>672</v>
      </c>
      <c r="E485" s="132" t="s">
        <v>24</v>
      </c>
      <c r="F485" s="97" t="str">
        <f ca="1">IF(OR(Market_Data[[#This Row],[Start Date]]="",Market_Data[[#This Row],[Completion Date]]=""),"Needs Validation",IF(Market_Data[[#This Row],[Start Date]]&gt;TODAY(),"Planned",IF(Market_Data[[#This Row],[Completion Date]]&lt;TODAY(),"Completed","Ongoing")))</f>
        <v>Completed</v>
      </c>
      <c r="G485" s="324">
        <v>42586</v>
      </c>
      <c r="H485" s="324">
        <v>43921</v>
      </c>
      <c r="I485" s="325">
        <v>50300</v>
      </c>
      <c r="J48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85" s="133">
        <f>_xlfn.XLOOKUP(Market_Data[[#This Row],[Project Type]],tbl_assumptions_market[Project Category (RERA)],tbl_assumptions_market[Concrete Intensity
(m³ / sq m BUA)],"",0)</f>
        <v>0.45</v>
      </c>
      <c r="L485" s="134">
        <f>ROUND(Market_Data[[#This Row],[Estimated Built Up Area (sq m)]]*Market_Data[[#This Row],[Concrete Intensity
(m³ / sq m)]],0)</f>
        <v>22635</v>
      </c>
      <c r="M485" s="135">
        <f>_xlfn.XLOOKUP(Market_Data[[#This Row],[District]],tbl_district_price[District],tbl_district_price[Standard Price
(INR/m³)],"",0)</f>
        <v>6200</v>
      </c>
      <c r="N485" s="364">
        <f>IF(OR(Market_Data[[#This Row],[Estimated Concrete Demand (m³)]]="",Market_Data[[#This Row],[Avg Price per (₹ / m³)]]=""),"",Market_Data[[#This Row],[Estimated Concrete Demand (m³)]]*Market_Data[[#This Row],[Avg Price per (₹ / m³)]]/10000000)</f>
        <v>14.0337</v>
      </c>
      <c r="O485" s="97" t="str">
        <f>IF(Market_Data[[#This Row],[Estimated Concrete Demand (m³)]]="","",
IF(Market_Data[[#This Row],[Estimated Concrete Demand (m³)]]&lt;10000,"Small",
IF(Market_Data[[#This Row],[Estimated Concrete Demand (m³)]]&lt;25000,"Medium",
IF(Market_Data[[#This Row],[Estimated Concrete Demand (m³)]]&lt;100000,"Large","Mega"))))</f>
        <v>Medium</v>
      </c>
      <c r="P485" s="287" t="str">
        <f t="shared" si="9"/>
        <v>GujRERA</v>
      </c>
    </row>
    <row r="486" spans="1:16">
      <c r="A486" s="129" t="str">
        <f>_xlfn.XLOOKUP(B486,$S$9:$S$14,$T$9:$T$14)&amp;"-"&amp;
IF(E486="Residential/Group Housing","RES",
IF(E486="Commercial","COM",
IF(E486="Mixed Development","MIX",
IF(E486="Plotted Development","PLT","OTH"))))
&amp;"-"&amp;TEXT(COUNTIFS($B$9:B486,B486,$E$9:E486,E486),"0000")</f>
        <v>SUR-PLT-0050</v>
      </c>
      <c r="B486" s="322" t="s">
        <v>34</v>
      </c>
      <c r="C486" s="322" t="s">
        <v>34</v>
      </c>
      <c r="D486" s="323" t="s">
        <v>673</v>
      </c>
      <c r="E486" s="132" t="s">
        <v>26</v>
      </c>
      <c r="F486" s="97" t="str">
        <f ca="1">IF(OR(Market_Data[[#This Row],[Start Date]]="",Market_Data[[#This Row],[Completion Date]]=""),"Needs Validation",IF(Market_Data[[#This Row],[Start Date]]&gt;TODAY(),"Planned",IF(Market_Data[[#This Row],[Completion Date]]&lt;TODAY(),"Completed","Ongoing")))</f>
        <v>Ongoing</v>
      </c>
      <c r="G486" s="324">
        <v>45435</v>
      </c>
      <c r="H486" s="324">
        <v>47118</v>
      </c>
      <c r="I486" s="325">
        <v>58400</v>
      </c>
      <c r="J48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486" s="133">
        <f>_xlfn.XLOOKUP(Market_Data[[#This Row],[Project Type]],tbl_assumptions_market[Project Category (RERA)],tbl_assumptions_market[Concrete Intensity
(m³ / sq m BUA)],"",0)</f>
        <v>0.18</v>
      </c>
      <c r="L486" s="134">
        <f>ROUND(Market_Data[[#This Row],[Estimated Built Up Area (sq m)]]*Market_Data[[#This Row],[Concrete Intensity
(m³ / sq m)]],0)</f>
        <v>10512</v>
      </c>
      <c r="M486" s="135">
        <f>_xlfn.XLOOKUP(Market_Data[[#This Row],[District]],tbl_district_price[District],tbl_district_price[Standard Price
(INR/m³)],"",0)</f>
        <v>6200</v>
      </c>
      <c r="N486" s="364">
        <f>IF(OR(Market_Data[[#This Row],[Estimated Concrete Demand (m³)]]="",Market_Data[[#This Row],[Avg Price per (₹ / m³)]]=""),"",Market_Data[[#This Row],[Estimated Concrete Demand (m³)]]*Market_Data[[#This Row],[Avg Price per (₹ / m³)]]/10000000)</f>
        <v>6.5174399999999997</v>
      </c>
      <c r="O486" s="97" t="str">
        <f>IF(Market_Data[[#This Row],[Estimated Concrete Demand (m³)]]="","",
IF(Market_Data[[#This Row],[Estimated Concrete Demand (m³)]]&lt;10000,"Small",
IF(Market_Data[[#This Row],[Estimated Concrete Demand (m³)]]&lt;25000,"Medium",
IF(Market_Data[[#This Row],[Estimated Concrete Demand (m³)]]&lt;100000,"Large","Mega"))))</f>
        <v>Medium</v>
      </c>
      <c r="P486" s="287" t="str">
        <f t="shared" si="9"/>
        <v>GujRERA</v>
      </c>
    </row>
    <row r="487" spans="1:16">
      <c r="A487" s="129" t="str">
        <f>_xlfn.XLOOKUP(B487,$S$9:$S$14,$T$9:$T$14)&amp;"-"&amp;
IF(E487="Residential/Group Housing","RES",
IF(E487="Commercial","COM",
IF(E487="Mixed Development","MIX",
IF(E487="Plotted Development","PLT","OTH"))))
&amp;"-"&amp;TEXT(COUNTIFS($B$9:B487,B487,$E$9:E487,E487),"0000")</f>
        <v>SUR-COM-0024</v>
      </c>
      <c r="B487" s="322" t="s">
        <v>34</v>
      </c>
      <c r="C487" s="322" t="s">
        <v>34</v>
      </c>
      <c r="D487" s="323" t="s">
        <v>674</v>
      </c>
      <c r="E487" s="132" t="s">
        <v>23</v>
      </c>
      <c r="F487" s="97" t="str">
        <f ca="1">IF(OR(Market_Data[[#This Row],[Start Date]]="",Market_Data[[#This Row],[Completion Date]]=""),"Needs Validation",IF(Market_Data[[#This Row],[Start Date]]&gt;TODAY(),"Planned",IF(Market_Data[[#This Row],[Completion Date]]&lt;TODAY(),"Completed","Ongoing")))</f>
        <v>Completed</v>
      </c>
      <c r="G487" s="324">
        <v>42501</v>
      </c>
      <c r="H487" s="324">
        <v>43555</v>
      </c>
      <c r="I487" s="325">
        <v>10800</v>
      </c>
      <c r="J48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87" s="133">
        <f>_xlfn.XLOOKUP(Market_Data[[#This Row],[Project Type]],tbl_assumptions_market[Project Category (RERA)],tbl_assumptions_market[Concrete Intensity
(m³ / sq m BUA)],"",0)</f>
        <v>0.5</v>
      </c>
      <c r="L487" s="134">
        <f>ROUND(Market_Data[[#This Row],[Estimated Built Up Area (sq m)]]*Market_Data[[#This Row],[Concrete Intensity
(m³ / sq m)]],0)</f>
        <v>5400</v>
      </c>
      <c r="M487" s="135">
        <f>_xlfn.XLOOKUP(Market_Data[[#This Row],[District]],tbl_district_price[District],tbl_district_price[Standard Price
(INR/m³)],"",0)</f>
        <v>6200</v>
      </c>
      <c r="N487" s="364">
        <f>IF(OR(Market_Data[[#This Row],[Estimated Concrete Demand (m³)]]="",Market_Data[[#This Row],[Avg Price per (₹ / m³)]]=""),"",Market_Data[[#This Row],[Estimated Concrete Demand (m³)]]*Market_Data[[#This Row],[Avg Price per (₹ / m³)]]/10000000)</f>
        <v>3.3479999999999999</v>
      </c>
      <c r="O487" s="97" t="str">
        <f>IF(Market_Data[[#This Row],[Estimated Concrete Demand (m³)]]="","",
IF(Market_Data[[#This Row],[Estimated Concrete Demand (m³)]]&lt;10000,"Small",
IF(Market_Data[[#This Row],[Estimated Concrete Demand (m³)]]&lt;25000,"Medium",
IF(Market_Data[[#This Row],[Estimated Concrete Demand (m³)]]&lt;100000,"Large","Mega"))))</f>
        <v>Small</v>
      </c>
      <c r="P487" s="287" t="str">
        <f t="shared" si="9"/>
        <v>GujRERA</v>
      </c>
    </row>
    <row r="488" spans="1:16">
      <c r="A488" s="129" t="str">
        <f>_xlfn.XLOOKUP(B488,$S$9:$S$14,$T$9:$T$14)&amp;"-"&amp;
IF(E488="Residential/Group Housing","RES",
IF(E488="Commercial","COM",
IF(E488="Mixed Development","MIX",
IF(E488="Plotted Development","PLT","OTH"))))
&amp;"-"&amp;TEXT(COUNTIFS($B$9:B488,B488,$E$9:E488,E488),"0000")</f>
        <v>SUR-COM-0025</v>
      </c>
      <c r="B488" s="322" t="s">
        <v>34</v>
      </c>
      <c r="C488" s="322" t="s">
        <v>34</v>
      </c>
      <c r="D488" s="323" t="s">
        <v>675</v>
      </c>
      <c r="E488" s="132" t="s">
        <v>23</v>
      </c>
      <c r="F488" s="97" t="str">
        <f ca="1">IF(OR(Market_Data[[#This Row],[Start Date]]="",Market_Data[[#This Row],[Completion Date]]=""),"Needs Validation",IF(Market_Data[[#This Row],[Start Date]]&gt;TODAY(),"Planned",IF(Market_Data[[#This Row],[Completion Date]]&lt;TODAY(),"Completed","Ongoing")))</f>
        <v>Ongoing</v>
      </c>
      <c r="G488" s="324">
        <v>45588</v>
      </c>
      <c r="H488" s="324">
        <v>47848</v>
      </c>
      <c r="I488" s="325">
        <v>7500</v>
      </c>
      <c r="J48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88" s="133">
        <f>_xlfn.XLOOKUP(Market_Data[[#This Row],[Project Type]],tbl_assumptions_market[Project Category (RERA)],tbl_assumptions_market[Concrete Intensity
(m³ / sq m BUA)],"",0)</f>
        <v>0.5</v>
      </c>
      <c r="L488" s="134">
        <f>ROUND(Market_Data[[#This Row],[Estimated Built Up Area (sq m)]]*Market_Data[[#This Row],[Concrete Intensity
(m³ / sq m)]],0)</f>
        <v>3750</v>
      </c>
      <c r="M488" s="135">
        <f>_xlfn.XLOOKUP(Market_Data[[#This Row],[District]],tbl_district_price[District],tbl_district_price[Standard Price
(INR/m³)],"",0)</f>
        <v>6200</v>
      </c>
      <c r="N488" s="364">
        <f>IF(OR(Market_Data[[#This Row],[Estimated Concrete Demand (m³)]]="",Market_Data[[#This Row],[Avg Price per (₹ / m³)]]=""),"",Market_Data[[#This Row],[Estimated Concrete Demand (m³)]]*Market_Data[[#This Row],[Avg Price per (₹ / m³)]]/10000000)</f>
        <v>2.3250000000000002</v>
      </c>
      <c r="O488" s="97" t="str">
        <f>IF(Market_Data[[#This Row],[Estimated Concrete Demand (m³)]]="","",
IF(Market_Data[[#This Row],[Estimated Concrete Demand (m³)]]&lt;10000,"Small",
IF(Market_Data[[#This Row],[Estimated Concrete Demand (m³)]]&lt;25000,"Medium",
IF(Market_Data[[#This Row],[Estimated Concrete Demand (m³)]]&lt;100000,"Large","Mega"))))</f>
        <v>Small</v>
      </c>
      <c r="P488" s="287" t="str">
        <f t="shared" si="9"/>
        <v>GujRERA</v>
      </c>
    </row>
    <row r="489" spans="1:16">
      <c r="A489" s="129" t="str">
        <f>_xlfn.XLOOKUP(B489,$S$9:$S$14,$T$9:$T$14)&amp;"-"&amp;
IF(E489="Residential/Group Housing","RES",
IF(E489="Commercial","COM",
IF(E489="Mixed Development","MIX",
IF(E489="Plotted Development","PLT","OTH"))))
&amp;"-"&amp;TEXT(COUNTIFS($B$9:B489,B489,$E$9:E489,E489),"0000")</f>
        <v>SUR-COM-0026</v>
      </c>
      <c r="B489" s="322" t="s">
        <v>34</v>
      </c>
      <c r="C489" s="322" t="s">
        <v>34</v>
      </c>
      <c r="D489" s="323" t="s">
        <v>676</v>
      </c>
      <c r="E489" s="132" t="s">
        <v>23</v>
      </c>
      <c r="F489" s="97" t="str">
        <f ca="1">IF(OR(Market_Data[[#This Row],[Start Date]]="",Market_Data[[#This Row],[Completion Date]]=""),"Needs Validation",IF(Market_Data[[#This Row],[Start Date]]&gt;TODAY(),"Planned",IF(Market_Data[[#This Row],[Completion Date]]&lt;TODAY(),"Completed","Ongoing")))</f>
        <v>Ongoing</v>
      </c>
      <c r="G489" s="324">
        <v>45594</v>
      </c>
      <c r="H489" s="324">
        <v>47848</v>
      </c>
      <c r="I489" s="325">
        <v>15400</v>
      </c>
      <c r="J48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89" s="133">
        <f>_xlfn.XLOOKUP(Market_Data[[#This Row],[Project Type]],tbl_assumptions_market[Project Category (RERA)],tbl_assumptions_market[Concrete Intensity
(m³ / sq m BUA)],"",0)</f>
        <v>0.5</v>
      </c>
      <c r="L489" s="134">
        <f>ROUND(Market_Data[[#This Row],[Estimated Built Up Area (sq m)]]*Market_Data[[#This Row],[Concrete Intensity
(m³ / sq m)]],0)</f>
        <v>7700</v>
      </c>
      <c r="M489" s="135">
        <f>_xlfn.XLOOKUP(Market_Data[[#This Row],[District]],tbl_district_price[District],tbl_district_price[Standard Price
(INR/m³)],"",0)</f>
        <v>6200</v>
      </c>
      <c r="N489" s="364">
        <f>IF(OR(Market_Data[[#This Row],[Estimated Concrete Demand (m³)]]="",Market_Data[[#This Row],[Avg Price per (₹ / m³)]]=""),"",Market_Data[[#This Row],[Estimated Concrete Demand (m³)]]*Market_Data[[#This Row],[Avg Price per (₹ / m³)]]/10000000)</f>
        <v>4.774</v>
      </c>
      <c r="O489" s="97" t="str">
        <f>IF(Market_Data[[#This Row],[Estimated Concrete Demand (m³)]]="","",
IF(Market_Data[[#This Row],[Estimated Concrete Demand (m³)]]&lt;10000,"Small",
IF(Market_Data[[#This Row],[Estimated Concrete Demand (m³)]]&lt;25000,"Medium",
IF(Market_Data[[#This Row],[Estimated Concrete Demand (m³)]]&lt;100000,"Large","Mega"))))</f>
        <v>Small</v>
      </c>
      <c r="P489" s="287" t="str">
        <f t="shared" si="9"/>
        <v>GujRERA</v>
      </c>
    </row>
    <row r="490" spans="1:16">
      <c r="A490" s="129" t="str">
        <f>_xlfn.XLOOKUP(B490,$S$9:$S$14,$T$9:$T$14)&amp;"-"&amp;
IF(E490="Residential/Group Housing","RES",
IF(E490="Commercial","COM",
IF(E490="Mixed Development","MIX",
IF(E490="Plotted Development","PLT","OTH"))))
&amp;"-"&amp;TEXT(COUNTIFS($B$9:B490,B490,$E$9:E490,E490),"0000")</f>
        <v>SUR-PLT-0051</v>
      </c>
      <c r="B490" s="322" t="s">
        <v>34</v>
      </c>
      <c r="C490" s="322" t="s">
        <v>34</v>
      </c>
      <c r="D490" s="323" t="s">
        <v>677</v>
      </c>
      <c r="E490" s="132" t="s">
        <v>26</v>
      </c>
      <c r="F490" s="97" t="str">
        <f ca="1">IF(OR(Market_Data[[#This Row],[Start Date]]="",Market_Data[[#This Row],[Completion Date]]=""),"Needs Validation",IF(Market_Data[[#This Row],[Start Date]]&gt;TODAY(),"Planned",IF(Market_Data[[#This Row],[Completion Date]]&lt;TODAY(),"Completed","Ongoing")))</f>
        <v>Ongoing</v>
      </c>
      <c r="G490" s="324">
        <v>45210</v>
      </c>
      <c r="H490" s="324">
        <v>46752</v>
      </c>
      <c r="I490" s="325">
        <v>32500</v>
      </c>
      <c r="J49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490" s="133">
        <f>_xlfn.XLOOKUP(Market_Data[[#This Row],[Project Type]],tbl_assumptions_market[Project Category (RERA)],tbl_assumptions_market[Concrete Intensity
(m³ / sq m BUA)],"",0)</f>
        <v>0.18</v>
      </c>
      <c r="L490" s="134">
        <f>ROUND(Market_Data[[#This Row],[Estimated Built Up Area (sq m)]]*Market_Data[[#This Row],[Concrete Intensity
(m³ / sq m)]],0)</f>
        <v>5850</v>
      </c>
      <c r="M490" s="135">
        <f>_xlfn.XLOOKUP(Market_Data[[#This Row],[District]],tbl_district_price[District],tbl_district_price[Standard Price
(INR/m³)],"",0)</f>
        <v>6200</v>
      </c>
      <c r="N490" s="364">
        <f>IF(OR(Market_Data[[#This Row],[Estimated Concrete Demand (m³)]]="",Market_Data[[#This Row],[Avg Price per (₹ / m³)]]=""),"",Market_Data[[#This Row],[Estimated Concrete Demand (m³)]]*Market_Data[[#This Row],[Avg Price per (₹ / m³)]]/10000000)</f>
        <v>3.6269999999999998</v>
      </c>
      <c r="O490" s="97" t="str">
        <f>IF(Market_Data[[#This Row],[Estimated Concrete Demand (m³)]]="","",
IF(Market_Data[[#This Row],[Estimated Concrete Demand (m³)]]&lt;10000,"Small",
IF(Market_Data[[#This Row],[Estimated Concrete Demand (m³)]]&lt;25000,"Medium",
IF(Market_Data[[#This Row],[Estimated Concrete Demand (m³)]]&lt;100000,"Large","Mega"))))</f>
        <v>Small</v>
      </c>
      <c r="P490" s="287" t="str">
        <f t="shared" si="9"/>
        <v>GujRERA</v>
      </c>
    </row>
    <row r="491" spans="1:16">
      <c r="A491" s="129" t="str">
        <f>_xlfn.XLOOKUP(B491,$S$9:$S$14,$T$9:$T$14)&amp;"-"&amp;
IF(E491="Residential/Group Housing","RES",
IF(E491="Commercial","COM",
IF(E491="Mixed Development","MIX",
IF(E491="Plotted Development","PLT","OTH"))))
&amp;"-"&amp;TEXT(COUNTIFS($B$9:B491,B491,$E$9:E491,E491),"0000")</f>
        <v>SUR-PLT-0052</v>
      </c>
      <c r="B491" s="322" t="s">
        <v>34</v>
      </c>
      <c r="C491" s="322" t="s">
        <v>34</v>
      </c>
      <c r="D491" s="323" t="s">
        <v>678</v>
      </c>
      <c r="E491" s="132" t="s">
        <v>26</v>
      </c>
      <c r="F491" s="97" t="str">
        <f ca="1">IF(OR(Market_Data[[#This Row],[Start Date]]="",Market_Data[[#This Row],[Completion Date]]=""),"Needs Validation",IF(Market_Data[[#This Row],[Start Date]]&gt;TODAY(),"Planned",IF(Market_Data[[#This Row],[Completion Date]]&lt;TODAY(),"Completed","Ongoing")))</f>
        <v>Completed</v>
      </c>
      <c r="G491" s="324">
        <v>45717</v>
      </c>
      <c r="H491" s="324">
        <v>46112</v>
      </c>
      <c r="I491" s="325">
        <v>55400</v>
      </c>
      <c r="J49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491" s="133">
        <f>_xlfn.XLOOKUP(Market_Data[[#This Row],[Project Type]],tbl_assumptions_market[Project Category (RERA)],tbl_assumptions_market[Concrete Intensity
(m³ / sq m BUA)],"",0)</f>
        <v>0.18</v>
      </c>
      <c r="L491" s="134">
        <f>ROUND(Market_Data[[#This Row],[Estimated Built Up Area (sq m)]]*Market_Data[[#This Row],[Concrete Intensity
(m³ / sq m)]],0)</f>
        <v>9972</v>
      </c>
      <c r="M491" s="135">
        <f>_xlfn.XLOOKUP(Market_Data[[#This Row],[District]],tbl_district_price[District],tbl_district_price[Standard Price
(INR/m³)],"",0)</f>
        <v>6200</v>
      </c>
      <c r="N491" s="364">
        <f>IF(OR(Market_Data[[#This Row],[Estimated Concrete Demand (m³)]]="",Market_Data[[#This Row],[Avg Price per (₹ / m³)]]=""),"",Market_Data[[#This Row],[Estimated Concrete Demand (m³)]]*Market_Data[[#This Row],[Avg Price per (₹ / m³)]]/10000000)</f>
        <v>6.1826400000000001</v>
      </c>
      <c r="O491" s="97" t="str">
        <f>IF(Market_Data[[#This Row],[Estimated Concrete Demand (m³)]]="","",
IF(Market_Data[[#This Row],[Estimated Concrete Demand (m³)]]&lt;10000,"Small",
IF(Market_Data[[#This Row],[Estimated Concrete Demand (m³)]]&lt;25000,"Medium",
IF(Market_Data[[#This Row],[Estimated Concrete Demand (m³)]]&lt;100000,"Large","Mega"))))</f>
        <v>Small</v>
      </c>
      <c r="P491" s="287" t="str">
        <f t="shared" si="9"/>
        <v>GujRERA</v>
      </c>
    </row>
    <row r="492" spans="1:16">
      <c r="A492" s="129" t="str">
        <f>_xlfn.XLOOKUP(B492,$S$9:$S$14,$T$9:$T$14)&amp;"-"&amp;
IF(E492="Residential/Group Housing","RES",
IF(E492="Commercial","COM",
IF(E492="Mixed Development","MIX",
IF(E492="Plotted Development","PLT","OTH"))))
&amp;"-"&amp;TEXT(COUNTIFS($B$9:B492,B492,$E$9:E492,E492),"0000")</f>
        <v>SUR-PLT-0053</v>
      </c>
      <c r="B492" s="322" t="s">
        <v>34</v>
      </c>
      <c r="C492" s="322" t="s">
        <v>34</v>
      </c>
      <c r="D492" s="323" t="s">
        <v>679</v>
      </c>
      <c r="E492" s="132" t="s">
        <v>26</v>
      </c>
      <c r="F492" s="97" t="str">
        <f ca="1">IF(OR(Market_Data[[#This Row],[Start Date]]="",Market_Data[[#This Row],[Completion Date]]=""),"Needs Validation",IF(Market_Data[[#This Row],[Start Date]]&gt;TODAY(),"Planned",IF(Market_Data[[#This Row],[Completion Date]]&lt;TODAY(),"Completed","Ongoing")))</f>
        <v>Ongoing</v>
      </c>
      <c r="G492" s="324">
        <v>45349</v>
      </c>
      <c r="H492" s="324">
        <v>46752</v>
      </c>
      <c r="I492" s="325">
        <v>38000</v>
      </c>
      <c r="J49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492" s="133">
        <f>_xlfn.XLOOKUP(Market_Data[[#This Row],[Project Type]],tbl_assumptions_market[Project Category (RERA)],tbl_assumptions_market[Concrete Intensity
(m³ / sq m BUA)],"",0)</f>
        <v>0.18</v>
      </c>
      <c r="L492" s="134">
        <f>ROUND(Market_Data[[#This Row],[Estimated Built Up Area (sq m)]]*Market_Data[[#This Row],[Concrete Intensity
(m³ / sq m)]],0)</f>
        <v>6840</v>
      </c>
      <c r="M492" s="135">
        <f>_xlfn.XLOOKUP(Market_Data[[#This Row],[District]],tbl_district_price[District],tbl_district_price[Standard Price
(INR/m³)],"",0)</f>
        <v>6200</v>
      </c>
      <c r="N492" s="364">
        <f>IF(OR(Market_Data[[#This Row],[Estimated Concrete Demand (m³)]]="",Market_Data[[#This Row],[Avg Price per (₹ / m³)]]=""),"",Market_Data[[#This Row],[Estimated Concrete Demand (m³)]]*Market_Data[[#This Row],[Avg Price per (₹ / m³)]]/10000000)</f>
        <v>4.2408000000000001</v>
      </c>
      <c r="O492" s="97" t="str">
        <f>IF(Market_Data[[#This Row],[Estimated Concrete Demand (m³)]]="","",
IF(Market_Data[[#This Row],[Estimated Concrete Demand (m³)]]&lt;10000,"Small",
IF(Market_Data[[#This Row],[Estimated Concrete Demand (m³)]]&lt;25000,"Medium",
IF(Market_Data[[#This Row],[Estimated Concrete Demand (m³)]]&lt;100000,"Large","Mega"))))</f>
        <v>Small</v>
      </c>
      <c r="P492" s="287" t="str">
        <f t="shared" si="9"/>
        <v>GujRERA</v>
      </c>
    </row>
    <row r="493" spans="1:16">
      <c r="A493" s="129" t="str">
        <f>_xlfn.XLOOKUP(B493,$S$9:$S$14,$T$9:$T$14)&amp;"-"&amp;
IF(E493="Residential/Group Housing","RES",
IF(E493="Commercial","COM",
IF(E493="Mixed Development","MIX",
IF(E493="Plotted Development","PLT","OTH"))))
&amp;"-"&amp;TEXT(COUNTIFS($B$9:B493,B493,$E$9:E493,E493),"0000")</f>
        <v>SUR-PLT-0054</v>
      </c>
      <c r="B493" s="322" t="s">
        <v>34</v>
      </c>
      <c r="C493" s="322" t="s">
        <v>34</v>
      </c>
      <c r="D493" s="323" t="s">
        <v>680</v>
      </c>
      <c r="E493" s="132" t="s">
        <v>26</v>
      </c>
      <c r="F493" s="97" t="str">
        <f ca="1">IF(OR(Market_Data[[#This Row],[Start Date]]="",Market_Data[[#This Row],[Completion Date]]=""),"Needs Validation",IF(Market_Data[[#This Row],[Start Date]]&gt;TODAY(),"Planned",IF(Market_Data[[#This Row],[Completion Date]]&lt;TODAY(),"Completed","Ongoing")))</f>
        <v>Ongoing</v>
      </c>
      <c r="G493" s="324">
        <v>45349</v>
      </c>
      <c r="H493" s="324">
        <v>46752</v>
      </c>
      <c r="I493" s="325">
        <v>11800</v>
      </c>
      <c r="J49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93" s="133">
        <f>_xlfn.XLOOKUP(Market_Data[[#This Row],[Project Type]],tbl_assumptions_market[Project Category (RERA)],tbl_assumptions_market[Concrete Intensity
(m³ / sq m BUA)],"",0)</f>
        <v>0.18</v>
      </c>
      <c r="L493" s="134">
        <f>ROUND(Market_Data[[#This Row],[Estimated Built Up Area (sq m)]]*Market_Data[[#This Row],[Concrete Intensity
(m³ / sq m)]],0)</f>
        <v>2124</v>
      </c>
      <c r="M493" s="135">
        <f>_xlfn.XLOOKUP(Market_Data[[#This Row],[District]],tbl_district_price[District],tbl_district_price[Standard Price
(INR/m³)],"",0)</f>
        <v>6200</v>
      </c>
      <c r="N493" s="364">
        <f>IF(OR(Market_Data[[#This Row],[Estimated Concrete Demand (m³)]]="",Market_Data[[#This Row],[Avg Price per (₹ / m³)]]=""),"",Market_Data[[#This Row],[Estimated Concrete Demand (m³)]]*Market_Data[[#This Row],[Avg Price per (₹ / m³)]]/10000000)</f>
        <v>1.3168800000000001</v>
      </c>
      <c r="O493" s="97" t="str">
        <f>IF(Market_Data[[#This Row],[Estimated Concrete Demand (m³)]]="","",
IF(Market_Data[[#This Row],[Estimated Concrete Demand (m³)]]&lt;10000,"Small",
IF(Market_Data[[#This Row],[Estimated Concrete Demand (m³)]]&lt;25000,"Medium",
IF(Market_Data[[#This Row],[Estimated Concrete Demand (m³)]]&lt;100000,"Large","Mega"))))</f>
        <v>Small</v>
      </c>
      <c r="P493" s="287" t="str">
        <f t="shared" si="9"/>
        <v>GujRERA</v>
      </c>
    </row>
    <row r="494" spans="1:16">
      <c r="A494" s="129" t="str">
        <f>_xlfn.XLOOKUP(B494,$S$9:$S$14,$T$9:$T$14)&amp;"-"&amp;
IF(E494="Residential/Group Housing","RES",
IF(E494="Commercial","COM",
IF(E494="Mixed Development","MIX",
IF(E494="Plotted Development","PLT","OTH"))))
&amp;"-"&amp;TEXT(COUNTIFS($B$9:B494,B494,$E$9:E494,E494),"0000")</f>
        <v>SUR-RES-0057</v>
      </c>
      <c r="B494" s="322" t="s">
        <v>34</v>
      </c>
      <c r="C494" s="322" t="s">
        <v>34</v>
      </c>
      <c r="D494" s="323" t="s">
        <v>681</v>
      </c>
      <c r="E494" s="132" t="s">
        <v>24</v>
      </c>
      <c r="F494" s="97" t="str">
        <f ca="1">IF(OR(Market_Data[[#This Row],[Start Date]]="",Market_Data[[#This Row],[Completion Date]]=""),"Needs Validation",IF(Market_Data[[#This Row],[Start Date]]&gt;TODAY(),"Planned",IF(Market_Data[[#This Row],[Completion Date]]&lt;TODAY(),"Completed","Ongoing")))</f>
        <v>Completed</v>
      </c>
      <c r="G494" s="324">
        <v>43717</v>
      </c>
      <c r="H494" s="324">
        <v>46203</v>
      </c>
      <c r="I494" s="325">
        <v>37600</v>
      </c>
      <c r="J49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94" s="133">
        <f>_xlfn.XLOOKUP(Market_Data[[#This Row],[Project Type]],tbl_assumptions_market[Project Category (RERA)],tbl_assumptions_market[Concrete Intensity
(m³ / sq m BUA)],"",0)</f>
        <v>0.45</v>
      </c>
      <c r="L494" s="134">
        <f>ROUND(Market_Data[[#This Row],[Estimated Built Up Area (sq m)]]*Market_Data[[#This Row],[Concrete Intensity
(m³ / sq m)]],0)</f>
        <v>16920</v>
      </c>
      <c r="M494" s="135">
        <f>_xlfn.XLOOKUP(Market_Data[[#This Row],[District]],tbl_district_price[District],tbl_district_price[Standard Price
(INR/m³)],"",0)</f>
        <v>6200</v>
      </c>
      <c r="N494" s="364">
        <f>IF(OR(Market_Data[[#This Row],[Estimated Concrete Demand (m³)]]="",Market_Data[[#This Row],[Avg Price per (₹ / m³)]]=""),"",Market_Data[[#This Row],[Estimated Concrete Demand (m³)]]*Market_Data[[#This Row],[Avg Price per (₹ / m³)]]/10000000)</f>
        <v>10.490399999999999</v>
      </c>
      <c r="O494" s="97" t="str">
        <f>IF(Market_Data[[#This Row],[Estimated Concrete Demand (m³)]]="","",
IF(Market_Data[[#This Row],[Estimated Concrete Demand (m³)]]&lt;10000,"Small",
IF(Market_Data[[#This Row],[Estimated Concrete Demand (m³)]]&lt;25000,"Medium",
IF(Market_Data[[#This Row],[Estimated Concrete Demand (m³)]]&lt;100000,"Large","Mega"))))</f>
        <v>Medium</v>
      </c>
      <c r="P494" s="287" t="str">
        <f t="shared" si="9"/>
        <v>GujRERA</v>
      </c>
    </row>
    <row r="495" spans="1:16">
      <c r="A495" s="129" t="str">
        <f>_xlfn.XLOOKUP(B495,$S$9:$S$14,$T$9:$T$14)&amp;"-"&amp;
IF(E495="Residential/Group Housing","RES",
IF(E495="Commercial","COM",
IF(E495="Mixed Development","MIX",
IF(E495="Plotted Development","PLT","OTH"))))
&amp;"-"&amp;TEXT(COUNTIFS($B$9:B495,B495,$E$9:E495,E495),"0000")</f>
        <v>SUR-RES-0058</v>
      </c>
      <c r="B495" s="322" t="s">
        <v>34</v>
      </c>
      <c r="C495" s="322" t="s">
        <v>34</v>
      </c>
      <c r="D495" s="323" t="s">
        <v>682</v>
      </c>
      <c r="E495" s="132" t="s">
        <v>24</v>
      </c>
      <c r="F495" s="97" t="str">
        <f ca="1">IF(OR(Market_Data[[#This Row],[Start Date]]="",Market_Data[[#This Row],[Completion Date]]=""),"Needs Validation",IF(Market_Data[[#This Row],[Start Date]]&gt;TODAY(),"Planned",IF(Market_Data[[#This Row],[Completion Date]]&lt;TODAY(),"Completed","Ongoing")))</f>
        <v>Ongoing</v>
      </c>
      <c r="G495" s="324">
        <v>45365</v>
      </c>
      <c r="H495" s="324">
        <v>47483</v>
      </c>
      <c r="I495" s="325">
        <v>8200</v>
      </c>
      <c r="J49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95" s="133">
        <f>_xlfn.XLOOKUP(Market_Data[[#This Row],[Project Type]],tbl_assumptions_market[Project Category (RERA)],tbl_assumptions_market[Concrete Intensity
(m³ / sq m BUA)],"",0)</f>
        <v>0.45</v>
      </c>
      <c r="L495" s="134">
        <f>ROUND(Market_Data[[#This Row],[Estimated Built Up Area (sq m)]]*Market_Data[[#This Row],[Concrete Intensity
(m³ / sq m)]],0)</f>
        <v>3690</v>
      </c>
      <c r="M495" s="135">
        <f>_xlfn.XLOOKUP(Market_Data[[#This Row],[District]],tbl_district_price[District],tbl_district_price[Standard Price
(INR/m³)],"",0)</f>
        <v>6200</v>
      </c>
      <c r="N495" s="364">
        <f>IF(OR(Market_Data[[#This Row],[Estimated Concrete Demand (m³)]]="",Market_Data[[#This Row],[Avg Price per (₹ / m³)]]=""),"",Market_Data[[#This Row],[Estimated Concrete Demand (m³)]]*Market_Data[[#This Row],[Avg Price per (₹ / m³)]]/10000000)</f>
        <v>2.2877999999999998</v>
      </c>
      <c r="O495" s="97" t="str">
        <f>IF(Market_Data[[#This Row],[Estimated Concrete Demand (m³)]]="","",
IF(Market_Data[[#This Row],[Estimated Concrete Demand (m³)]]&lt;10000,"Small",
IF(Market_Data[[#This Row],[Estimated Concrete Demand (m³)]]&lt;25000,"Medium",
IF(Market_Data[[#This Row],[Estimated Concrete Demand (m³)]]&lt;100000,"Large","Mega"))))</f>
        <v>Small</v>
      </c>
      <c r="P495" s="287" t="str">
        <f t="shared" si="9"/>
        <v>GujRERA</v>
      </c>
    </row>
    <row r="496" spans="1:16">
      <c r="A496" s="129" t="str">
        <f>_xlfn.XLOOKUP(B496,$S$9:$S$14,$T$9:$T$14)&amp;"-"&amp;
IF(E496="Residential/Group Housing","RES",
IF(E496="Commercial","COM",
IF(E496="Mixed Development","MIX",
IF(E496="Plotted Development","PLT","OTH"))))
&amp;"-"&amp;TEXT(COUNTIFS($B$9:B496,B496,$E$9:E496,E496),"0000")</f>
        <v>SUR-RES-0059</v>
      </c>
      <c r="B496" s="322" t="s">
        <v>34</v>
      </c>
      <c r="C496" s="322" t="s">
        <v>34</v>
      </c>
      <c r="D496" s="323" t="s">
        <v>683</v>
      </c>
      <c r="E496" s="132" t="s">
        <v>24</v>
      </c>
      <c r="F496" s="97" t="str">
        <f ca="1">IF(OR(Market_Data[[#This Row],[Start Date]]="",Market_Data[[#This Row],[Completion Date]]=""),"Needs Validation",IF(Market_Data[[#This Row],[Start Date]]&gt;TODAY(),"Planned",IF(Market_Data[[#This Row],[Completion Date]]&lt;TODAY(),"Completed","Ongoing")))</f>
        <v>Ongoing</v>
      </c>
      <c r="G496" s="324">
        <v>44649</v>
      </c>
      <c r="H496" s="324">
        <v>46752</v>
      </c>
      <c r="I496" s="325">
        <v>33500</v>
      </c>
      <c r="J49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96" s="133">
        <f>_xlfn.XLOOKUP(Market_Data[[#This Row],[Project Type]],tbl_assumptions_market[Project Category (RERA)],tbl_assumptions_market[Concrete Intensity
(m³ / sq m BUA)],"",0)</f>
        <v>0.45</v>
      </c>
      <c r="L496" s="134">
        <f>ROUND(Market_Data[[#This Row],[Estimated Built Up Area (sq m)]]*Market_Data[[#This Row],[Concrete Intensity
(m³ / sq m)]],0)</f>
        <v>15075</v>
      </c>
      <c r="M496" s="135">
        <f>_xlfn.XLOOKUP(Market_Data[[#This Row],[District]],tbl_district_price[District],tbl_district_price[Standard Price
(INR/m³)],"",0)</f>
        <v>6200</v>
      </c>
      <c r="N496" s="364">
        <f>IF(OR(Market_Data[[#This Row],[Estimated Concrete Demand (m³)]]="",Market_Data[[#This Row],[Avg Price per (₹ / m³)]]=""),"",Market_Data[[#This Row],[Estimated Concrete Demand (m³)]]*Market_Data[[#This Row],[Avg Price per (₹ / m³)]]/10000000)</f>
        <v>9.3465000000000007</v>
      </c>
      <c r="O496" s="97" t="str">
        <f>IF(Market_Data[[#This Row],[Estimated Concrete Demand (m³)]]="","",
IF(Market_Data[[#This Row],[Estimated Concrete Demand (m³)]]&lt;10000,"Small",
IF(Market_Data[[#This Row],[Estimated Concrete Demand (m³)]]&lt;25000,"Medium",
IF(Market_Data[[#This Row],[Estimated Concrete Demand (m³)]]&lt;100000,"Large","Mega"))))</f>
        <v>Medium</v>
      </c>
      <c r="P496" s="287" t="str">
        <f t="shared" si="9"/>
        <v>GujRERA</v>
      </c>
    </row>
    <row r="497" spans="1:16">
      <c r="A497" s="129" t="str">
        <f>_xlfn.XLOOKUP(B497,$S$9:$S$14,$T$9:$T$14)&amp;"-"&amp;
IF(E497="Residential/Group Housing","RES",
IF(E497="Commercial","COM",
IF(E497="Mixed Development","MIX",
IF(E497="Plotted Development","PLT","OTH"))))
&amp;"-"&amp;TEXT(COUNTIFS($B$9:B497,B497,$E$9:E497,E497),"0000")</f>
        <v>SUR-MIX-0040</v>
      </c>
      <c r="B497" s="322" t="s">
        <v>34</v>
      </c>
      <c r="C497" s="322" t="s">
        <v>34</v>
      </c>
      <c r="D497" s="323" t="s">
        <v>684</v>
      </c>
      <c r="E497" s="132" t="s">
        <v>25</v>
      </c>
      <c r="F497" s="97" t="str">
        <f ca="1">IF(OR(Market_Data[[#This Row],[Start Date]]="",Market_Data[[#This Row],[Completion Date]]=""),"Needs Validation",IF(Market_Data[[#This Row],[Start Date]]&gt;TODAY(),"Planned",IF(Market_Data[[#This Row],[Completion Date]]&lt;TODAY(),"Completed","Ongoing")))</f>
        <v>Ongoing</v>
      </c>
      <c r="G497" s="324">
        <v>45698</v>
      </c>
      <c r="H497" s="324">
        <v>47118</v>
      </c>
      <c r="I497" s="325">
        <v>35300</v>
      </c>
      <c r="J49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97" s="133">
        <f>_xlfn.XLOOKUP(Market_Data[[#This Row],[Project Type]],tbl_assumptions_market[Project Category (RERA)],tbl_assumptions_market[Concrete Intensity
(m³ / sq m BUA)],"",0)</f>
        <v>0.42</v>
      </c>
      <c r="L497" s="134">
        <f>ROUND(Market_Data[[#This Row],[Estimated Built Up Area (sq m)]]*Market_Data[[#This Row],[Concrete Intensity
(m³ / sq m)]],0)</f>
        <v>14826</v>
      </c>
      <c r="M497" s="135">
        <f>_xlfn.XLOOKUP(Market_Data[[#This Row],[District]],tbl_district_price[District],tbl_district_price[Standard Price
(INR/m³)],"",0)</f>
        <v>6200</v>
      </c>
      <c r="N497" s="364">
        <f>IF(OR(Market_Data[[#This Row],[Estimated Concrete Demand (m³)]]="",Market_Data[[#This Row],[Avg Price per (₹ / m³)]]=""),"",Market_Data[[#This Row],[Estimated Concrete Demand (m³)]]*Market_Data[[#This Row],[Avg Price per (₹ / m³)]]/10000000)</f>
        <v>9.1921199999999992</v>
      </c>
      <c r="O497" s="97" t="str">
        <f>IF(Market_Data[[#This Row],[Estimated Concrete Demand (m³)]]="","",
IF(Market_Data[[#This Row],[Estimated Concrete Demand (m³)]]&lt;10000,"Small",
IF(Market_Data[[#This Row],[Estimated Concrete Demand (m³)]]&lt;25000,"Medium",
IF(Market_Data[[#This Row],[Estimated Concrete Demand (m³)]]&lt;100000,"Large","Mega"))))</f>
        <v>Medium</v>
      </c>
      <c r="P497" s="287" t="str">
        <f t="shared" si="9"/>
        <v>GujRERA</v>
      </c>
    </row>
    <row r="498" spans="1:16">
      <c r="A498" s="129" t="str">
        <f>_xlfn.XLOOKUP(B498,$S$9:$S$14,$T$9:$T$14)&amp;"-"&amp;
IF(E498="Residential/Group Housing","RES",
IF(E498="Commercial","COM",
IF(E498="Mixed Development","MIX",
IF(E498="Plotted Development","PLT","OTH"))))
&amp;"-"&amp;TEXT(COUNTIFS($B$9:B498,B498,$E$9:E498,E498),"0000")</f>
        <v>SUR-MIX-0041</v>
      </c>
      <c r="B498" s="322" t="s">
        <v>34</v>
      </c>
      <c r="C498" s="322" t="s">
        <v>34</v>
      </c>
      <c r="D498" s="323" t="s">
        <v>685</v>
      </c>
      <c r="E498" s="132" t="s">
        <v>25</v>
      </c>
      <c r="F498" s="97" t="str">
        <f ca="1">IF(OR(Market_Data[[#This Row],[Start Date]]="",Market_Data[[#This Row],[Completion Date]]=""),"Needs Validation",IF(Market_Data[[#This Row],[Start Date]]&gt;TODAY(),"Planned",IF(Market_Data[[#This Row],[Completion Date]]&lt;TODAY(),"Completed","Ongoing")))</f>
        <v>Ongoing</v>
      </c>
      <c r="G498" s="324">
        <v>44614</v>
      </c>
      <c r="H498" s="324">
        <v>46752</v>
      </c>
      <c r="I498" s="325">
        <v>26000</v>
      </c>
      <c r="J49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98" s="133">
        <f>_xlfn.XLOOKUP(Market_Data[[#This Row],[Project Type]],tbl_assumptions_market[Project Category (RERA)],tbl_assumptions_market[Concrete Intensity
(m³ / sq m BUA)],"",0)</f>
        <v>0.42</v>
      </c>
      <c r="L498" s="134">
        <f>ROUND(Market_Data[[#This Row],[Estimated Built Up Area (sq m)]]*Market_Data[[#This Row],[Concrete Intensity
(m³ / sq m)]],0)</f>
        <v>10920</v>
      </c>
      <c r="M498" s="135">
        <f>_xlfn.XLOOKUP(Market_Data[[#This Row],[District]],tbl_district_price[District],tbl_district_price[Standard Price
(INR/m³)],"",0)</f>
        <v>6200</v>
      </c>
      <c r="N498" s="364">
        <f>IF(OR(Market_Data[[#This Row],[Estimated Concrete Demand (m³)]]="",Market_Data[[#This Row],[Avg Price per (₹ / m³)]]=""),"",Market_Data[[#This Row],[Estimated Concrete Demand (m³)]]*Market_Data[[#This Row],[Avg Price per (₹ / m³)]]/10000000)</f>
        <v>6.7704000000000004</v>
      </c>
      <c r="O498" s="97" t="str">
        <f>IF(Market_Data[[#This Row],[Estimated Concrete Demand (m³)]]="","",
IF(Market_Data[[#This Row],[Estimated Concrete Demand (m³)]]&lt;10000,"Small",
IF(Market_Data[[#This Row],[Estimated Concrete Demand (m³)]]&lt;25000,"Medium",
IF(Market_Data[[#This Row],[Estimated Concrete Demand (m³)]]&lt;100000,"Large","Mega"))))</f>
        <v>Medium</v>
      </c>
      <c r="P498" s="287" t="str">
        <f t="shared" si="9"/>
        <v>GujRERA</v>
      </c>
    </row>
    <row r="499" spans="1:16">
      <c r="A499" s="129" t="str">
        <f>_xlfn.XLOOKUP(B499,$S$9:$S$14,$T$9:$T$14)&amp;"-"&amp;
IF(E499="Residential/Group Housing","RES",
IF(E499="Commercial","COM",
IF(E499="Mixed Development","MIX",
IF(E499="Plotted Development","PLT","OTH"))))
&amp;"-"&amp;TEXT(COUNTIFS($B$9:B499,B499,$E$9:E499,E499),"0000")</f>
        <v>SUR-MIX-0042</v>
      </c>
      <c r="B499" s="322" t="s">
        <v>34</v>
      </c>
      <c r="C499" s="322" t="s">
        <v>34</v>
      </c>
      <c r="D499" s="323" t="s">
        <v>686</v>
      </c>
      <c r="E499" s="132" t="s">
        <v>25</v>
      </c>
      <c r="F499" s="97" t="str">
        <f ca="1">IF(OR(Market_Data[[#This Row],[Start Date]]="",Market_Data[[#This Row],[Completion Date]]=""),"Needs Validation",IF(Market_Data[[#This Row],[Start Date]]&gt;TODAY(),"Planned",IF(Market_Data[[#This Row],[Completion Date]]&lt;TODAY(),"Completed","Ongoing")))</f>
        <v>Completed</v>
      </c>
      <c r="G499" s="324">
        <v>42942</v>
      </c>
      <c r="H499" s="324">
        <v>44983</v>
      </c>
      <c r="I499" s="325">
        <v>51500</v>
      </c>
      <c r="J49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499" s="133">
        <f>_xlfn.XLOOKUP(Market_Data[[#This Row],[Project Type]],tbl_assumptions_market[Project Category (RERA)],tbl_assumptions_market[Concrete Intensity
(m³ / sq m BUA)],"",0)</f>
        <v>0.42</v>
      </c>
      <c r="L499" s="134">
        <f>ROUND(Market_Data[[#This Row],[Estimated Built Up Area (sq m)]]*Market_Data[[#This Row],[Concrete Intensity
(m³ / sq m)]],0)</f>
        <v>21630</v>
      </c>
      <c r="M499" s="135">
        <f>_xlfn.XLOOKUP(Market_Data[[#This Row],[District]],tbl_district_price[District],tbl_district_price[Standard Price
(INR/m³)],"",0)</f>
        <v>6200</v>
      </c>
      <c r="N499" s="364">
        <f>IF(OR(Market_Data[[#This Row],[Estimated Concrete Demand (m³)]]="",Market_Data[[#This Row],[Avg Price per (₹ / m³)]]=""),"",Market_Data[[#This Row],[Estimated Concrete Demand (m³)]]*Market_Data[[#This Row],[Avg Price per (₹ / m³)]]/10000000)</f>
        <v>13.410600000000001</v>
      </c>
      <c r="O499" s="97" t="str">
        <f>IF(Market_Data[[#This Row],[Estimated Concrete Demand (m³)]]="","",
IF(Market_Data[[#This Row],[Estimated Concrete Demand (m³)]]&lt;10000,"Small",
IF(Market_Data[[#This Row],[Estimated Concrete Demand (m³)]]&lt;25000,"Medium",
IF(Market_Data[[#This Row],[Estimated Concrete Demand (m³)]]&lt;100000,"Large","Mega"))))</f>
        <v>Medium</v>
      </c>
      <c r="P499" s="287" t="str">
        <f t="shared" si="9"/>
        <v>GujRERA</v>
      </c>
    </row>
    <row r="500" spans="1:16">
      <c r="A500" s="129" t="str">
        <f>_xlfn.XLOOKUP(B500,$S$9:$S$14,$T$9:$T$14)&amp;"-"&amp;
IF(E500="Residential/Group Housing","RES",
IF(E500="Commercial","COM",
IF(E500="Mixed Development","MIX",
IF(E500="Plotted Development","PLT","OTH"))))
&amp;"-"&amp;TEXT(COUNTIFS($B$9:B500,B500,$E$9:E500,E500),"0000")</f>
        <v>SUR-COM-0027</v>
      </c>
      <c r="B500" s="322" t="s">
        <v>34</v>
      </c>
      <c r="C500" s="322" t="s">
        <v>34</v>
      </c>
      <c r="D500" s="323" t="s">
        <v>687</v>
      </c>
      <c r="E500" s="132" t="s">
        <v>23</v>
      </c>
      <c r="F500" s="97" t="str">
        <f ca="1">IF(OR(Market_Data[[#This Row],[Start Date]]="",Market_Data[[#This Row],[Completion Date]]=""),"Needs Validation",IF(Market_Data[[#This Row],[Start Date]]&gt;TODAY(),"Planned",IF(Market_Data[[#This Row],[Completion Date]]&lt;TODAY(),"Completed","Ongoing")))</f>
        <v>Completed</v>
      </c>
      <c r="G500" s="324">
        <v>42531</v>
      </c>
      <c r="H500" s="324">
        <v>43814</v>
      </c>
      <c r="I500" s="325">
        <v>8400</v>
      </c>
      <c r="J50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00" s="133">
        <f>_xlfn.XLOOKUP(Market_Data[[#This Row],[Project Type]],tbl_assumptions_market[Project Category (RERA)],tbl_assumptions_market[Concrete Intensity
(m³ / sq m BUA)],"",0)</f>
        <v>0.5</v>
      </c>
      <c r="L500" s="134">
        <f>ROUND(Market_Data[[#This Row],[Estimated Built Up Area (sq m)]]*Market_Data[[#This Row],[Concrete Intensity
(m³ / sq m)]],0)</f>
        <v>4200</v>
      </c>
      <c r="M500" s="135">
        <f>_xlfn.XLOOKUP(Market_Data[[#This Row],[District]],tbl_district_price[District],tbl_district_price[Standard Price
(INR/m³)],"",0)</f>
        <v>6200</v>
      </c>
      <c r="N500" s="364">
        <f>IF(OR(Market_Data[[#This Row],[Estimated Concrete Demand (m³)]]="",Market_Data[[#This Row],[Avg Price per (₹ / m³)]]=""),"",Market_Data[[#This Row],[Estimated Concrete Demand (m³)]]*Market_Data[[#This Row],[Avg Price per (₹ / m³)]]/10000000)</f>
        <v>2.6040000000000001</v>
      </c>
      <c r="O500" s="97" t="str">
        <f>IF(Market_Data[[#This Row],[Estimated Concrete Demand (m³)]]="","",
IF(Market_Data[[#This Row],[Estimated Concrete Demand (m³)]]&lt;10000,"Small",
IF(Market_Data[[#This Row],[Estimated Concrete Demand (m³)]]&lt;25000,"Medium",
IF(Market_Data[[#This Row],[Estimated Concrete Demand (m³)]]&lt;100000,"Large","Mega"))))</f>
        <v>Small</v>
      </c>
      <c r="P500" s="287" t="str">
        <f t="shared" si="9"/>
        <v>GujRERA</v>
      </c>
    </row>
    <row r="501" spans="1:16">
      <c r="A501" s="129" t="str">
        <f>_xlfn.XLOOKUP(B501,$S$9:$S$14,$T$9:$T$14)&amp;"-"&amp;
IF(E501="Residential/Group Housing","RES",
IF(E501="Commercial","COM",
IF(E501="Mixed Development","MIX",
IF(E501="Plotted Development","PLT","OTH"))))
&amp;"-"&amp;TEXT(COUNTIFS($B$9:B501,B501,$E$9:E501,E501),"0000")</f>
        <v>SUR-PLT-0055</v>
      </c>
      <c r="B501" s="322" t="s">
        <v>34</v>
      </c>
      <c r="C501" s="322" t="s">
        <v>34</v>
      </c>
      <c r="D501" s="323" t="s">
        <v>688</v>
      </c>
      <c r="E501" s="132" t="s">
        <v>26</v>
      </c>
      <c r="F501" s="97" t="str">
        <f ca="1">IF(OR(Market_Data[[#This Row],[Start Date]]="",Market_Data[[#This Row],[Completion Date]]=""),"Needs Validation",IF(Market_Data[[#This Row],[Start Date]]&gt;TODAY(),"Planned",IF(Market_Data[[#This Row],[Completion Date]]&lt;TODAY(),"Completed","Ongoing")))</f>
        <v>Ongoing</v>
      </c>
      <c r="G501" s="324">
        <v>45383</v>
      </c>
      <c r="H501" s="324">
        <v>46387</v>
      </c>
      <c r="I501" s="325">
        <v>6800</v>
      </c>
      <c r="J50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01" s="133">
        <f>_xlfn.XLOOKUP(Market_Data[[#This Row],[Project Type]],tbl_assumptions_market[Project Category (RERA)],tbl_assumptions_market[Concrete Intensity
(m³ / sq m BUA)],"",0)</f>
        <v>0.18</v>
      </c>
      <c r="L501" s="134">
        <f>ROUND(Market_Data[[#This Row],[Estimated Built Up Area (sq m)]]*Market_Data[[#This Row],[Concrete Intensity
(m³ / sq m)]],0)</f>
        <v>1224</v>
      </c>
      <c r="M501" s="135">
        <f>_xlfn.XLOOKUP(Market_Data[[#This Row],[District]],tbl_district_price[District],tbl_district_price[Standard Price
(INR/m³)],"",0)</f>
        <v>6200</v>
      </c>
      <c r="N501" s="364">
        <f>IF(OR(Market_Data[[#This Row],[Estimated Concrete Demand (m³)]]="",Market_Data[[#This Row],[Avg Price per (₹ / m³)]]=""),"",Market_Data[[#This Row],[Estimated Concrete Demand (m³)]]*Market_Data[[#This Row],[Avg Price per (₹ / m³)]]/10000000)</f>
        <v>0.75888</v>
      </c>
      <c r="O501" s="97" t="str">
        <f>IF(Market_Data[[#This Row],[Estimated Concrete Demand (m³)]]="","",
IF(Market_Data[[#This Row],[Estimated Concrete Demand (m³)]]&lt;10000,"Small",
IF(Market_Data[[#This Row],[Estimated Concrete Demand (m³)]]&lt;25000,"Medium",
IF(Market_Data[[#This Row],[Estimated Concrete Demand (m³)]]&lt;100000,"Large","Mega"))))</f>
        <v>Small</v>
      </c>
      <c r="P501" s="287" t="str">
        <f t="shared" si="9"/>
        <v>GujRERA</v>
      </c>
    </row>
    <row r="502" spans="1:16">
      <c r="A502" s="129" t="str">
        <f>_xlfn.XLOOKUP(B502,$S$9:$S$14,$T$9:$T$14)&amp;"-"&amp;
IF(E502="Residential/Group Housing","RES",
IF(E502="Commercial","COM",
IF(E502="Mixed Development","MIX",
IF(E502="Plotted Development","PLT","OTH"))))
&amp;"-"&amp;TEXT(COUNTIFS($B$9:B502,B502,$E$9:E502,E502),"0000")</f>
        <v>SUR-RES-0060</v>
      </c>
      <c r="B502" s="322" t="s">
        <v>34</v>
      </c>
      <c r="C502" s="322" t="s">
        <v>34</v>
      </c>
      <c r="D502" s="323" t="s">
        <v>689</v>
      </c>
      <c r="E502" s="132" t="s">
        <v>24</v>
      </c>
      <c r="F502" s="97" t="str">
        <f ca="1">IF(OR(Market_Data[[#This Row],[Start Date]]="",Market_Data[[#This Row],[Completion Date]]=""),"Needs Validation",IF(Market_Data[[#This Row],[Start Date]]&gt;TODAY(),"Planned",IF(Market_Data[[#This Row],[Completion Date]]&lt;TODAY(),"Completed","Ongoing")))</f>
        <v>Ongoing</v>
      </c>
      <c r="G502" s="324">
        <v>45506</v>
      </c>
      <c r="H502" s="324">
        <v>47848</v>
      </c>
      <c r="I502" s="325">
        <v>9300</v>
      </c>
      <c r="J50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02" s="133">
        <f>_xlfn.XLOOKUP(Market_Data[[#This Row],[Project Type]],tbl_assumptions_market[Project Category (RERA)],tbl_assumptions_market[Concrete Intensity
(m³ / sq m BUA)],"",0)</f>
        <v>0.45</v>
      </c>
      <c r="L502" s="134">
        <f>ROUND(Market_Data[[#This Row],[Estimated Built Up Area (sq m)]]*Market_Data[[#This Row],[Concrete Intensity
(m³ / sq m)]],0)</f>
        <v>4185</v>
      </c>
      <c r="M502" s="135">
        <f>_xlfn.XLOOKUP(Market_Data[[#This Row],[District]],tbl_district_price[District],tbl_district_price[Standard Price
(INR/m³)],"",0)</f>
        <v>6200</v>
      </c>
      <c r="N502" s="364">
        <f>IF(OR(Market_Data[[#This Row],[Estimated Concrete Demand (m³)]]="",Market_Data[[#This Row],[Avg Price per (₹ / m³)]]=""),"",Market_Data[[#This Row],[Estimated Concrete Demand (m³)]]*Market_Data[[#This Row],[Avg Price per (₹ / m³)]]/10000000)</f>
        <v>2.5947</v>
      </c>
      <c r="O502" s="97" t="str">
        <f>IF(Market_Data[[#This Row],[Estimated Concrete Demand (m³)]]="","",
IF(Market_Data[[#This Row],[Estimated Concrete Demand (m³)]]&lt;10000,"Small",
IF(Market_Data[[#This Row],[Estimated Concrete Demand (m³)]]&lt;25000,"Medium",
IF(Market_Data[[#This Row],[Estimated Concrete Demand (m³)]]&lt;100000,"Large","Mega"))))</f>
        <v>Small</v>
      </c>
      <c r="P502" s="287" t="str">
        <f t="shared" si="9"/>
        <v>GujRERA</v>
      </c>
    </row>
    <row r="503" spans="1:16">
      <c r="A503" s="129" t="str">
        <f>_xlfn.XLOOKUP(B503,$S$9:$S$14,$T$9:$T$14)&amp;"-"&amp;
IF(E503="Residential/Group Housing","RES",
IF(E503="Commercial","COM",
IF(E503="Mixed Development","MIX",
IF(E503="Plotted Development","PLT","OTH"))))
&amp;"-"&amp;TEXT(COUNTIFS($B$9:B503,B503,$E$9:E503,E503),"0000")</f>
        <v>SUR-RES-0061</v>
      </c>
      <c r="B503" s="322" t="s">
        <v>34</v>
      </c>
      <c r="C503" s="322" t="s">
        <v>34</v>
      </c>
      <c r="D503" s="323" t="s">
        <v>690</v>
      </c>
      <c r="E503" s="132" t="s">
        <v>24</v>
      </c>
      <c r="F503" s="97" t="str">
        <f ca="1">IF(OR(Market_Data[[#This Row],[Start Date]]="",Market_Data[[#This Row],[Completion Date]]=""),"Needs Validation",IF(Market_Data[[#This Row],[Start Date]]&gt;TODAY(),"Planned",IF(Market_Data[[#This Row],[Completion Date]]&lt;TODAY(),"Completed","Ongoing")))</f>
        <v>Completed</v>
      </c>
      <c r="G503" s="324">
        <v>44481</v>
      </c>
      <c r="H503" s="324">
        <v>45576</v>
      </c>
      <c r="I503" s="325">
        <v>46700</v>
      </c>
      <c r="J50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03" s="133">
        <f>_xlfn.XLOOKUP(Market_Data[[#This Row],[Project Type]],tbl_assumptions_market[Project Category (RERA)],tbl_assumptions_market[Concrete Intensity
(m³ / sq m BUA)],"",0)</f>
        <v>0.45</v>
      </c>
      <c r="L503" s="134">
        <f>ROUND(Market_Data[[#This Row],[Estimated Built Up Area (sq m)]]*Market_Data[[#This Row],[Concrete Intensity
(m³ / sq m)]],0)</f>
        <v>21015</v>
      </c>
      <c r="M503" s="135">
        <f>_xlfn.XLOOKUP(Market_Data[[#This Row],[District]],tbl_district_price[District],tbl_district_price[Standard Price
(INR/m³)],"",0)</f>
        <v>6200</v>
      </c>
      <c r="N503" s="364">
        <f>IF(OR(Market_Data[[#This Row],[Estimated Concrete Demand (m³)]]="",Market_Data[[#This Row],[Avg Price per (₹ / m³)]]=""),"",Market_Data[[#This Row],[Estimated Concrete Demand (m³)]]*Market_Data[[#This Row],[Avg Price per (₹ / m³)]]/10000000)</f>
        <v>13.029299999999999</v>
      </c>
      <c r="O503" s="97" t="str">
        <f>IF(Market_Data[[#This Row],[Estimated Concrete Demand (m³)]]="","",
IF(Market_Data[[#This Row],[Estimated Concrete Demand (m³)]]&lt;10000,"Small",
IF(Market_Data[[#This Row],[Estimated Concrete Demand (m³)]]&lt;25000,"Medium",
IF(Market_Data[[#This Row],[Estimated Concrete Demand (m³)]]&lt;100000,"Large","Mega"))))</f>
        <v>Medium</v>
      </c>
      <c r="P503" s="287" t="str">
        <f t="shared" si="9"/>
        <v>GujRERA</v>
      </c>
    </row>
    <row r="504" spans="1:16">
      <c r="A504" s="129" t="str">
        <f>_xlfn.XLOOKUP(B504,$S$9:$S$14,$T$9:$T$14)&amp;"-"&amp;
IF(E504="Residential/Group Housing","RES",
IF(E504="Commercial","COM",
IF(E504="Mixed Development","MIX",
IF(E504="Plotted Development","PLT","OTH"))))
&amp;"-"&amp;TEXT(COUNTIFS($B$9:B504,B504,$E$9:E504,E504),"0000")</f>
        <v>SUR-RES-0062</v>
      </c>
      <c r="B504" s="322" t="s">
        <v>34</v>
      </c>
      <c r="C504" s="322" t="s">
        <v>34</v>
      </c>
      <c r="D504" s="323" t="s">
        <v>691</v>
      </c>
      <c r="E504" s="132" t="s">
        <v>24</v>
      </c>
      <c r="F504" s="97" t="str">
        <f ca="1">IF(OR(Market_Data[[#This Row],[Start Date]]="",Market_Data[[#This Row],[Completion Date]]=""),"Needs Validation",IF(Market_Data[[#This Row],[Start Date]]&gt;TODAY(),"Planned",IF(Market_Data[[#This Row],[Completion Date]]&lt;TODAY(),"Completed","Ongoing")))</f>
        <v>Ongoing</v>
      </c>
      <c r="G504" s="324">
        <v>45292</v>
      </c>
      <c r="H504" s="324">
        <v>46996</v>
      </c>
      <c r="I504" s="325">
        <v>48100</v>
      </c>
      <c r="J50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04" s="133">
        <f>_xlfn.XLOOKUP(Market_Data[[#This Row],[Project Type]],tbl_assumptions_market[Project Category (RERA)],tbl_assumptions_market[Concrete Intensity
(m³ / sq m BUA)],"",0)</f>
        <v>0.45</v>
      </c>
      <c r="L504" s="134">
        <f>ROUND(Market_Data[[#This Row],[Estimated Built Up Area (sq m)]]*Market_Data[[#This Row],[Concrete Intensity
(m³ / sq m)]],0)</f>
        <v>21645</v>
      </c>
      <c r="M504" s="135">
        <f>_xlfn.XLOOKUP(Market_Data[[#This Row],[District]],tbl_district_price[District],tbl_district_price[Standard Price
(INR/m³)],"",0)</f>
        <v>6200</v>
      </c>
      <c r="N504" s="364">
        <f>IF(OR(Market_Data[[#This Row],[Estimated Concrete Demand (m³)]]="",Market_Data[[#This Row],[Avg Price per (₹ / m³)]]=""),"",Market_Data[[#This Row],[Estimated Concrete Demand (m³)]]*Market_Data[[#This Row],[Avg Price per (₹ / m³)]]/10000000)</f>
        <v>13.4199</v>
      </c>
      <c r="O504" s="97" t="str">
        <f>IF(Market_Data[[#This Row],[Estimated Concrete Demand (m³)]]="","",
IF(Market_Data[[#This Row],[Estimated Concrete Demand (m³)]]&lt;10000,"Small",
IF(Market_Data[[#This Row],[Estimated Concrete Demand (m³)]]&lt;25000,"Medium",
IF(Market_Data[[#This Row],[Estimated Concrete Demand (m³)]]&lt;100000,"Large","Mega"))))</f>
        <v>Medium</v>
      </c>
      <c r="P504" s="287" t="str">
        <f t="shared" si="9"/>
        <v>GujRERA</v>
      </c>
    </row>
    <row r="505" spans="1:16">
      <c r="A505" s="129" t="str">
        <f>_xlfn.XLOOKUP(B505,$S$9:$S$14,$T$9:$T$14)&amp;"-"&amp;
IF(E505="Residential/Group Housing","RES",
IF(E505="Commercial","COM",
IF(E505="Mixed Development","MIX",
IF(E505="Plotted Development","PLT","OTH"))))
&amp;"-"&amp;TEXT(COUNTIFS($B$9:B505,B505,$E$9:E505,E505),"0000")</f>
        <v>SUR-PLT-0056</v>
      </c>
      <c r="B505" s="322" t="s">
        <v>34</v>
      </c>
      <c r="C505" s="322" t="s">
        <v>34</v>
      </c>
      <c r="D505" s="323" t="s">
        <v>692</v>
      </c>
      <c r="E505" s="132" t="s">
        <v>26</v>
      </c>
      <c r="F505" s="97" t="str">
        <f ca="1">IF(OR(Market_Data[[#This Row],[Start Date]]="",Market_Data[[#This Row],[Completion Date]]=""),"Needs Validation",IF(Market_Data[[#This Row],[Start Date]]&gt;TODAY(),"Planned",IF(Market_Data[[#This Row],[Completion Date]]&lt;TODAY(),"Completed","Ongoing")))</f>
        <v>Completed</v>
      </c>
      <c r="G505" s="324">
        <v>44496</v>
      </c>
      <c r="H505" s="324">
        <v>45199</v>
      </c>
      <c r="I505" s="325">
        <v>39500</v>
      </c>
      <c r="J50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505" s="133">
        <f>_xlfn.XLOOKUP(Market_Data[[#This Row],[Project Type]],tbl_assumptions_market[Project Category (RERA)],tbl_assumptions_market[Concrete Intensity
(m³ / sq m BUA)],"",0)</f>
        <v>0.18</v>
      </c>
      <c r="L505" s="134">
        <f>ROUND(Market_Data[[#This Row],[Estimated Built Up Area (sq m)]]*Market_Data[[#This Row],[Concrete Intensity
(m³ / sq m)]],0)</f>
        <v>7110</v>
      </c>
      <c r="M505" s="135">
        <f>_xlfn.XLOOKUP(Market_Data[[#This Row],[District]],tbl_district_price[District],tbl_district_price[Standard Price
(INR/m³)],"",0)</f>
        <v>6200</v>
      </c>
      <c r="N505" s="364">
        <f>IF(OR(Market_Data[[#This Row],[Estimated Concrete Demand (m³)]]="",Market_Data[[#This Row],[Avg Price per (₹ / m³)]]=""),"",Market_Data[[#This Row],[Estimated Concrete Demand (m³)]]*Market_Data[[#This Row],[Avg Price per (₹ / m³)]]/10000000)</f>
        <v>4.4081999999999999</v>
      </c>
      <c r="O505" s="97" t="str">
        <f>IF(Market_Data[[#This Row],[Estimated Concrete Demand (m³)]]="","",
IF(Market_Data[[#This Row],[Estimated Concrete Demand (m³)]]&lt;10000,"Small",
IF(Market_Data[[#This Row],[Estimated Concrete Demand (m³)]]&lt;25000,"Medium",
IF(Market_Data[[#This Row],[Estimated Concrete Demand (m³)]]&lt;100000,"Large","Mega"))))</f>
        <v>Small</v>
      </c>
      <c r="P505" s="287" t="str">
        <f t="shared" si="9"/>
        <v>GujRERA</v>
      </c>
    </row>
    <row r="506" spans="1:16">
      <c r="A506" s="129" t="str">
        <f>_xlfn.XLOOKUP(B506,$S$9:$S$14,$T$9:$T$14)&amp;"-"&amp;
IF(E506="Residential/Group Housing","RES",
IF(E506="Commercial","COM",
IF(E506="Mixed Development","MIX",
IF(E506="Plotted Development","PLT","OTH"))))
&amp;"-"&amp;TEXT(COUNTIFS($B$9:B506,B506,$E$9:E506,E506),"0000")</f>
        <v>SUR-PLT-0057</v>
      </c>
      <c r="B506" s="322" t="s">
        <v>34</v>
      </c>
      <c r="C506" s="322" t="s">
        <v>34</v>
      </c>
      <c r="D506" s="323" t="s">
        <v>693</v>
      </c>
      <c r="E506" s="132" t="s">
        <v>26</v>
      </c>
      <c r="F506" s="97" t="str">
        <f ca="1">IF(OR(Market_Data[[#This Row],[Start Date]]="",Market_Data[[#This Row],[Completion Date]]=""),"Needs Validation",IF(Market_Data[[#This Row],[Start Date]]&gt;TODAY(),"Planned",IF(Market_Data[[#This Row],[Completion Date]]&lt;TODAY(),"Completed","Ongoing")))</f>
        <v>Ongoing</v>
      </c>
      <c r="G506" s="324">
        <v>45323</v>
      </c>
      <c r="H506" s="324">
        <v>46295</v>
      </c>
      <c r="I506" s="325">
        <v>55200</v>
      </c>
      <c r="J50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506" s="133">
        <f>_xlfn.XLOOKUP(Market_Data[[#This Row],[Project Type]],tbl_assumptions_market[Project Category (RERA)],tbl_assumptions_market[Concrete Intensity
(m³ / sq m BUA)],"",0)</f>
        <v>0.18</v>
      </c>
      <c r="L506" s="134">
        <f>ROUND(Market_Data[[#This Row],[Estimated Built Up Area (sq m)]]*Market_Data[[#This Row],[Concrete Intensity
(m³ / sq m)]],0)</f>
        <v>9936</v>
      </c>
      <c r="M506" s="135">
        <f>_xlfn.XLOOKUP(Market_Data[[#This Row],[District]],tbl_district_price[District],tbl_district_price[Standard Price
(INR/m³)],"",0)</f>
        <v>6200</v>
      </c>
      <c r="N506" s="364">
        <f>IF(OR(Market_Data[[#This Row],[Estimated Concrete Demand (m³)]]="",Market_Data[[#This Row],[Avg Price per (₹ / m³)]]=""),"",Market_Data[[#This Row],[Estimated Concrete Demand (m³)]]*Market_Data[[#This Row],[Avg Price per (₹ / m³)]]/10000000)</f>
        <v>6.1603199999999996</v>
      </c>
      <c r="O506" s="97" t="str">
        <f>IF(Market_Data[[#This Row],[Estimated Concrete Demand (m³)]]="","",
IF(Market_Data[[#This Row],[Estimated Concrete Demand (m³)]]&lt;10000,"Small",
IF(Market_Data[[#This Row],[Estimated Concrete Demand (m³)]]&lt;25000,"Medium",
IF(Market_Data[[#This Row],[Estimated Concrete Demand (m³)]]&lt;100000,"Large","Mega"))))</f>
        <v>Small</v>
      </c>
      <c r="P506" s="287" t="str">
        <f t="shared" si="9"/>
        <v>GujRERA</v>
      </c>
    </row>
    <row r="507" spans="1:16">
      <c r="A507" s="129" t="str">
        <f>_xlfn.XLOOKUP(B507,$S$9:$S$14,$T$9:$T$14)&amp;"-"&amp;
IF(E507="Residential/Group Housing","RES",
IF(E507="Commercial","COM",
IF(E507="Mixed Development","MIX",
IF(E507="Plotted Development","PLT","OTH"))))
&amp;"-"&amp;TEXT(COUNTIFS($B$9:B507,B507,$E$9:E507,E507),"0000")</f>
        <v>SUR-COM-0028</v>
      </c>
      <c r="B507" s="322" t="s">
        <v>34</v>
      </c>
      <c r="C507" s="322" t="s">
        <v>34</v>
      </c>
      <c r="D507" s="323" t="s">
        <v>694</v>
      </c>
      <c r="E507" s="132" t="s">
        <v>23</v>
      </c>
      <c r="F507" s="97" t="str">
        <f ca="1">IF(OR(Market_Data[[#This Row],[Start Date]]="",Market_Data[[#This Row],[Completion Date]]=""),"Needs Validation",IF(Market_Data[[#This Row],[Start Date]]&gt;TODAY(),"Planned",IF(Market_Data[[#This Row],[Completion Date]]&lt;TODAY(),"Completed","Ongoing")))</f>
        <v>Completed</v>
      </c>
      <c r="G507" s="324">
        <v>44410</v>
      </c>
      <c r="H507" s="324">
        <v>46234</v>
      </c>
      <c r="I507" s="325">
        <v>37600</v>
      </c>
      <c r="J50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507" s="133">
        <f>_xlfn.XLOOKUP(Market_Data[[#This Row],[Project Type]],tbl_assumptions_market[Project Category (RERA)],tbl_assumptions_market[Concrete Intensity
(m³ / sq m BUA)],"",0)</f>
        <v>0.5</v>
      </c>
      <c r="L507" s="134">
        <f>ROUND(Market_Data[[#This Row],[Estimated Built Up Area (sq m)]]*Market_Data[[#This Row],[Concrete Intensity
(m³ / sq m)]],0)</f>
        <v>18800</v>
      </c>
      <c r="M507" s="135">
        <f>_xlfn.XLOOKUP(Market_Data[[#This Row],[District]],tbl_district_price[District],tbl_district_price[Standard Price
(INR/m³)],"",0)</f>
        <v>6200</v>
      </c>
      <c r="N507" s="364">
        <f>IF(OR(Market_Data[[#This Row],[Estimated Concrete Demand (m³)]]="",Market_Data[[#This Row],[Avg Price per (₹ / m³)]]=""),"",Market_Data[[#This Row],[Estimated Concrete Demand (m³)]]*Market_Data[[#This Row],[Avg Price per (₹ / m³)]]/10000000)</f>
        <v>11.656000000000001</v>
      </c>
      <c r="O507" s="97" t="str">
        <f>IF(Market_Data[[#This Row],[Estimated Concrete Demand (m³)]]="","",
IF(Market_Data[[#This Row],[Estimated Concrete Demand (m³)]]&lt;10000,"Small",
IF(Market_Data[[#This Row],[Estimated Concrete Demand (m³)]]&lt;25000,"Medium",
IF(Market_Data[[#This Row],[Estimated Concrete Demand (m³)]]&lt;100000,"Large","Mega"))))</f>
        <v>Medium</v>
      </c>
      <c r="P507" s="287" t="str">
        <f t="shared" si="9"/>
        <v>GujRERA</v>
      </c>
    </row>
    <row r="508" spans="1:16">
      <c r="A508" s="129" t="str">
        <f>_xlfn.XLOOKUP(B508,$S$9:$S$14,$T$9:$T$14)&amp;"-"&amp;
IF(E508="Residential/Group Housing","RES",
IF(E508="Commercial","COM",
IF(E508="Mixed Development","MIX",
IF(E508="Plotted Development","PLT","OTH"))))
&amp;"-"&amp;TEXT(COUNTIFS($B$9:B508,B508,$E$9:E508,E508),"0000")</f>
        <v>SUR-MIX-0043</v>
      </c>
      <c r="B508" s="322" t="s">
        <v>34</v>
      </c>
      <c r="C508" s="322" t="s">
        <v>34</v>
      </c>
      <c r="D508" s="323" t="s">
        <v>695</v>
      </c>
      <c r="E508" s="132" t="s">
        <v>25</v>
      </c>
      <c r="F508" s="97" t="str">
        <f ca="1">IF(OR(Market_Data[[#This Row],[Start Date]]="",Market_Data[[#This Row],[Completion Date]]=""),"Needs Validation",IF(Market_Data[[#This Row],[Start Date]]&gt;TODAY(),"Planned",IF(Market_Data[[#This Row],[Completion Date]]&lt;TODAY(),"Completed","Ongoing")))</f>
        <v>Ongoing</v>
      </c>
      <c r="G508" s="324">
        <v>44753</v>
      </c>
      <c r="H508" s="324">
        <v>46568</v>
      </c>
      <c r="I508" s="325">
        <v>11500</v>
      </c>
      <c r="J50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08" s="133">
        <f>_xlfn.XLOOKUP(Market_Data[[#This Row],[Project Type]],tbl_assumptions_market[Project Category (RERA)],tbl_assumptions_market[Concrete Intensity
(m³ / sq m BUA)],"",0)</f>
        <v>0.42</v>
      </c>
      <c r="L508" s="134">
        <f>ROUND(Market_Data[[#This Row],[Estimated Built Up Area (sq m)]]*Market_Data[[#This Row],[Concrete Intensity
(m³ / sq m)]],0)</f>
        <v>4830</v>
      </c>
      <c r="M508" s="135">
        <f>_xlfn.XLOOKUP(Market_Data[[#This Row],[District]],tbl_district_price[District],tbl_district_price[Standard Price
(INR/m³)],"",0)</f>
        <v>6200</v>
      </c>
      <c r="N508" s="364">
        <f>IF(OR(Market_Data[[#This Row],[Estimated Concrete Demand (m³)]]="",Market_Data[[#This Row],[Avg Price per (₹ / m³)]]=""),"",Market_Data[[#This Row],[Estimated Concrete Demand (m³)]]*Market_Data[[#This Row],[Avg Price per (₹ / m³)]]/10000000)</f>
        <v>2.9946000000000002</v>
      </c>
      <c r="O508" s="97" t="str">
        <f>IF(Market_Data[[#This Row],[Estimated Concrete Demand (m³)]]="","",
IF(Market_Data[[#This Row],[Estimated Concrete Demand (m³)]]&lt;10000,"Small",
IF(Market_Data[[#This Row],[Estimated Concrete Demand (m³)]]&lt;25000,"Medium",
IF(Market_Data[[#This Row],[Estimated Concrete Demand (m³)]]&lt;100000,"Large","Mega"))))</f>
        <v>Small</v>
      </c>
      <c r="P508" s="287" t="str">
        <f t="shared" si="9"/>
        <v>GujRERA</v>
      </c>
    </row>
    <row r="509" spans="1:16">
      <c r="A509" s="129" t="str">
        <f>_xlfn.XLOOKUP(B509,$S$9:$S$14,$T$9:$T$14)&amp;"-"&amp;
IF(E509="Residential/Group Housing","RES",
IF(E509="Commercial","COM",
IF(E509="Mixed Development","MIX",
IF(E509="Plotted Development","PLT","OTH"))))
&amp;"-"&amp;TEXT(COUNTIFS($B$9:B509,B509,$E$9:E509,E509),"0000")</f>
        <v>SUR-MIX-0044</v>
      </c>
      <c r="B509" s="322" t="s">
        <v>34</v>
      </c>
      <c r="C509" s="322" t="s">
        <v>34</v>
      </c>
      <c r="D509" s="323" t="s">
        <v>696</v>
      </c>
      <c r="E509" s="132" t="s">
        <v>25</v>
      </c>
      <c r="F509" s="97" t="str">
        <f ca="1">IF(OR(Market_Data[[#This Row],[Start Date]]="",Market_Data[[#This Row],[Completion Date]]=""),"Needs Validation",IF(Market_Data[[#This Row],[Start Date]]&gt;TODAY(),"Planned",IF(Market_Data[[#This Row],[Completion Date]]&lt;TODAY(),"Completed","Ongoing")))</f>
        <v>Completed</v>
      </c>
      <c r="G509" s="324">
        <v>43229</v>
      </c>
      <c r="H509" s="324">
        <v>45838</v>
      </c>
      <c r="I509" s="325">
        <v>49700</v>
      </c>
      <c r="J50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09" s="133">
        <f>_xlfn.XLOOKUP(Market_Data[[#This Row],[Project Type]],tbl_assumptions_market[Project Category (RERA)],tbl_assumptions_market[Concrete Intensity
(m³ / sq m BUA)],"",0)</f>
        <v>0.42</v>
      </c>
      <c r="L509" s="134">
        <f>ROUND(Market_Data[[#This Row],[Estimated Built Up Area (sq m)]]*Market_Data[[#This Row],[Concrete Intensity
(m³ / sq m)]],0)</f>
        <v>20874</v>
      </c>
      <c r="M509" s="135">
        <f>_xlfn.XLOOKUP(Market_Data[[#This Row],[District]],tbl_district_price[District],tbl_district_price[Standard Price
(INR/m³)],"",0)</f>
        <v>6200</v>
      </c>
      <c r="N509" s="364">
        <f>IF(OR(Market_Data[[#This Row],[Estimated Concrete Demand (m³)]]="",Market_Data[[#This Row],[Avg Price per (₹ / m³)]]=""),"",Market_Data[[#This Row],[Estimated Concrete Demand (m³)]]*Market_Data[[#This Row],[Avg Price per (₹ / m³)]]/10000000)</f>
        <v>12.941879999999999</v>
      </c>
      <c r="O509" s="97" t="str">
        <f>IF(Market_Data[[#This Row],[Estimated Concrete Demand (m³)]]="","",
IF(Market_Data[[#This Row],[Estimated Concrete Demand (m³)]]&lt;10000,"Small",
IF(Market_Data[[#This Row],[Estimated Concrete Demand (m³)]]&lt;25000,"Medium",
IF(Market_Data[[#This Row],[Estimated Concrete Demand (m³)]]&lt;100000,"Large","Mega"))))</f>
        <v>Medium</v>
      </c>
      <c r="P509" s="287" t="str">
        <f t="shared" si="9"/>
        <v>GujRERA</v>
      </c>
    </row>
    <row r="510" spans="1:16">
      <c r="A510" s="129" t="str">
        <f>_xlfn.XLOOKUP(B510,$S$9:$S$14,$T$9:$T$14)&amp;"-"&amp;
IF(E510="Residential/Group Housing","RES",
IF(E510="Commercial","COM",
IF(E510="Mixed Development","MIX",
IF(E510="Plotted Development","PLT","OTH"))))
&amp;"-"&amp;TEXT(COUNTIFS($B$9:B510,B510,$E$9:E510,E510),"0000")</f>
        <v>SUR-COM-0029</v>
      </c>
      <c r="B510" s="322" t="s">
        <v>34</v>
      </c>
      <c r="C510" s="322" t="s">
        <v>34</v>
      </c>
      <c r="D510" s="323" t="s">
        <v>697</v>
      </c>
      <c r="E510" s="132" t="s">
        <v>23</v>
      </c>
      <c r="F510" s="97" t="str">
        <f ca="1">IF(OR(Market_Data[[#This Row],[Start Date]]="",Market_Data[[#This Row],[Completion Date]]=""),"Needs Validation",IF(Market_Data[[#This Row],[Start Date]]&gt;TODAY(),"Planned",IF(Market_Data[[#This Row],[Completion Date]]&lt;TODAY(),"Completed","Ongoing")))</f>
        <v>Completed</v>
      </c>
      <c r="G510" s="324">
        <v>42380</v>
      </c>
      <c r="H510" s="324">
        <v>43555</v>
      </c>
      <c r="I510" s="325">
        <v>3900</v>
      </c>
      <c r="J51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10" s="133">
        <f>_xlfn.XLOOKUP(Market_Data[[#This Row],[Project Type]],tbl_assumptions_market[Project Category (RERA)],tbl_assumptions_market[Concrete Intensity
(m³ / sq m BUA)],"",0)</f>
        <v>0.5</v>
      </c>
      <c r="L510" s="134">
        <f>ROUND(Market_Data[[#This Row],[Estimated Built Up Area (sq m)]]*Market_Data[[#This Row],[Concrete Intensity
(m³ / sq m)]],0)</f>
        <v>1950</v>
      </c>
      <c r="M510" s="135">
        <f>_xlfn.XLOOKUP(Market_Data[[#This Row],[District]],tbl_district_price[District],tbl_district_price[Standard Price
(INR/m³)],"",0)</f>
        <v>6200</v>
      </c>
      <c r="N510" s="364">
        <f>IF(OR(Market_Data[[#This Row],[Estimated Concrete Demand (m³)]]="",Market_Data[[#This Row],[Avg Price per (₹ / m³)]]=""),"",Market_Data[[#This Row],[Estimated Concrete Demand (m³)]]*Market_Data[[#This Row],[Avg Price per (₹ / m³)]]/10000000)</f>
        <v>1.2090000000000001</v>
      </c>
      <c r="O510" s="97" t="str">
        <f>IF(Market_Data[[#This Row],[Estimated Concrete Demand (m³)]]="","",
IF(Market_Data[[#This Row],[Estimated Concrete Demand (m³)]]&lt;10000,"Small",
IF(Market_Data[[#This Row],[Estimated Concrete Demand (m³)]]&lt;25000,"Medium",
IF(Market_Data[[#This Row],[Estimated Concrete Demand (m³)]]&lt;100000,"Large","Mega"))))</f>
        <v>Small</v>
      </c>
      <c r="P510" s="287" t="str">
        <f t="shared" si="9"/>
        <v>GujRERA</v>
      </c>
    </row>
    <row r="511" spans="1:16">
      <c r="A511" s="129" t="str">
        <f>_xlfn.XLOOKUP(B511,$S$9:$S$14,$T$9:$T$14)&amp;"-"&amp;
IF(E511="Residential/Group Housing","RES",
IF(E511="Commercial","COM",
IF(E511="Mixed Development","MIX",
IF(E511="Plotted Development","PLT","OTH"))))
&amp;"-"&amp;TEXT(COUNTIFS($B$9:B511,B511,$E$9:E511,E511),"0000")</f>
        <v>SUR-PLT-0058</v>
      </c>
      <c r="B511" s="322" t="s">
        <v>34</v>
      </c>
      <c r="C511" s="322" t="s">
        <v>34</v>
      </c>
      <c r="D511" s="323" t="s">
        <v>698</v>
      </c>
      <c r="E511" s="132" t="s">
        <v>26</v>
      </c>
      <c r="F511" s="97" t="str">
        <f ca="1">IF(OR(Market_Data[[#This Row],[Start Date]]="",Market_Data[[#This Row],[Completion Date]]=""),"Needs Validation",IF(Market_Data[[#This Row],[Start Date]]&gt;TODAY(),"Planned",IF(Market_Data[[#This Row],[Completion Date]]&lt;TODAY(),"Completed","Ongoing")))</f>
        <v>Ongoing</v>
      </c>
      <c r="G511" s="324">
        <v>44771</v>
      </c>
      <c r="H511" s="324">
        <v>46387</v>
      </c>
      <c r="I511" s="325">
        <v>26100</v>
      </c>
      <c r="J51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11" s="133">
        <f>_xlfn.XLOOKUP(Market_Data[[#This Row],[Project Type]],tbl_assumptions_market[Project Category (RERA)],tbl_assumptions_market[Concrete Intensity
(m³ / sq m BUA)],"",0)</f>
        <v>0.18</v>
      </c>
      <c r="L511" s="134">
        <f>ROUND(Market_Data[[#This Row],[Estimated Built Up Area (sq m)]]*Market_Data[[#This Row],[Concrete Intensity
(m³ / sq m)]],0)</f>
        <v>4698</v>
      </c>
      <c r="M511" s="135">
        <f>_xlfn.XLOOKUP(Market_Data[[#This Row],[District]],tbl_district_price[District],tbl_district_price[Standard Price
(INR/m³)],"",0)</f>
        <v>6200</v>
      </c>
      <c r="N511" s="364">
        <f>IF(OR(Market_Data[[#This Row],[Estimated Concrete Demand (m³)]]="",Market_Data[[#This Row],[Avg Price per (₹ / m³)]]=""),"",Market_Data[[#This Row],[Estimated Concrete Demand (m³)]]*Market_Data[[#This Row],[Avg Price per (₹ / m³)]]/10000000)</f>
        <v>2.91276</v>
      </c>
      <c r="O511" s="97" t="str">
        <f>IF(Market_Data[[#This Row],[Estimated Concrete Demand (m³)]]="","",
IF(Market_Data[[#This Row],[Estimated Concrete Demand (m³)]]&lt;10000,"Small",
IF(Market_Data[[#This Row],[Estimated Concrete Demand (m³)]]&lt;25000,"Medium",
IF(Market_Data[[#This Row],[Estimated Concrete Demand (m³)]]&lt;100000,"Large","Mega"))))</f>
        <v>Small</v>
      </c>
      <c r="P511" s="287" t="str">
        <f t="shared" si="9"/>
        <v>GujRERA</v>
      </c>
    </row>
    <row r="512" spans="1:16">
      <c r="A512" s="129" t="str">
        <f>_xlfn.XLOOKUP(B512,$S$9:$S$14,$T$9:$T$14)&amp;"-"&amp;
IF(E512="Residential/Group Housing","RES",
IF(E512="Commercial","COM",
IF(E512="Mixed Development","MIX",
IF(E512="Plotted Development","PLT","OTH"))))
&amp;"-"&amp;TEXT(COUNTIFS($B$9:B512,B512,$E$9:E512,E512),"0000")</f>
        <v>SUR-PLT-0059</v>
      </c>
      <c r="B512" s="322" t="s">
        <v>34</v>
      </c>
      <c r="C512" s="322" t="s">
        <v>34</v>
      </c>
      <c r="D512" s="323" t="s">
        <v>699</v>
      </c>
      <c r="E512" s="132" t="s">
        <v>26</v>
      </c>
      <c r="F512" s="97" t="str">
        <f ca="1">IF(OR(Market_Data[[#This Row],[Start Date]]="",Market_Data[[#This Row],[Completion Date]]=""),"Needs Validation",IF(Market_Data[[#This Row],[Start Date]]&gt;TODAY(),"Planned",IF(Market_Data[[#This Row],[Completion Date]]&lt;TODAY(),"Completed","Ongoing")))</f>
        <v>Ongoing</v>
      </c>
      <c r="G512" s="324">
        <v>44771</v>
      </c>
      <c r="H512" s="324">
        <v>46387</v>
      </c>
      <c r="I512" s="325">
        <v>59600</v>
      </c>
      <c r="J51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512" s="133">
        <f>_xlfn.XLOOKUP(Market_Data[[#This Row],[Project Type]],tbl_assumptions_market[Project Category (RERA)],tbl_assumptions_market[Concrete Intensity
(m³ / sq m BUA)],"",0)</f>
        <v>0.18</v>
      </c>
      <c r="L512" s="134">
        <f>ROUND(Market_Data[[#This Row],[Estimated Built Up Area (sq m)]]*Market_Data[[#This Row],[Concrete Intensity
(m³ / sq m)]],0)</f>
        <v>10728</v>
      </c>
      <c r="M512" s="135">
        <f>_xlfn.XLOOKUP(Market_Data[[#This Row],[District]],tbl_district_price[District],tbl_district_price[Standard Price
(INR/m³)],"",0)</f>
        <v>6200</v>
      </c>
      <c r="N512" s="364">
        <f>IF(OR(Market_Data[[#This Row],[Estimated Concrete Demand (m³)]]="",Market_Data[[#This Row],[Avg Price per (₹ / m³)]]=""),"",Market_Data[[#This Row],[Estimated Concrete Demand (m³)]]*Market_Data[[#This Row],[Avg Price per (₹ / m³)]]/10000000)</f>
        <v>6.6513600000000004</v>
      </c>
      <c r="O512" s="97" t="str">
        <f>IF(Market_Data[[#This Row],[Estimated Concrete Demand (m³)]]="","",
IF(Market_Data[[#This Row],[Estimated Concrete Demand (m³)]]&lt;10000,"Small",
IF(Market_Data[[#This Row],[Estimated Concrete Demand (m³)]]&lt;25000,"Medium",
IF(Market_Data[[#This Row],[Estimated Concrete Demand (m³)]]&lt;100000,"Large","Mega"))))</f>
        <v>Medium</v>
      </c>
      <c r="P512" s="287" t="str">
        <f t="shared" si="9"/>
        <v>GujRERA</v>
      </c>
    </row>
    <row r="513" spans="1:16">
      <c r="A513" s="129" t="str">
        <f>_xlfn.XLOOKUP(B513,$S$9:$S$14,$T$9:$T$14)&amp;"-"&amp;
IF(E513="Residential/Group Housing","RES",
IF(E513="Commercial","COM",
IF(E513="Mixed Development","MIX",
IF(E513="Plotted Development","PLT","OTH"))))
&amp;"-"&amp;TEXT(COUNTIFS($B$9:B513,B513,$E$9:E513,E513),"0000")</f>
        <v>SUR-PLT-0060</v>
      </c>
      <c r="B513" s="322" t="s">
        <v>34</v>
      </c>
      <c r="C513" s="322" t="s">
        <v>34</v>
      </c>
      <c r="D513" s="323" t="s">
        <v>700</v>
      </c>
      <c r="E513" s="132" t="s">
        <v>26</v>
      </c>
      <c r="F513" s="97" t="str">
        <f ca="1">IF(OR(Market_Data[[#This Row],[Start Date]]="",Market_Data[[#This Row],[Completion Date]]=""),"Needs Validation",IF(Market_Data[[#This Row],[Start Date]]&gt;TODAY(),"Planned",IF(Market_Data[[#This Row],[Completion Date]]&lt;TODAY(),"Completed","Ongoing")))</f>
        <v>Completed</v>
      </c>
      <c r="G513" s="324">
        <v>44585</v>
      </c>
      <c r="H513" s="324">
        <v>46022</v>
      </c>
      <c r="I513" s="325">
        <v>36200</v>
      </c>
      <c r="J51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513" s="133">
        <f>_xlfn.XLOOKUP(Market_Data[[#This Row],[Project Type]],tbl_assumptions_market[Project Category (RERA)],tbl_assumptions_market[Concrete Intensity
(m³ / sq m BUA)],"",0)</f>
        <v>0.18</v>
      </c>
      <c r="L513" s="134">
        <f>ROUND(Market_Data[[#This Row],[Estimated Built Up Area (sq m)]]*Market_Data[[#This Row],[Concrete Intensity
(m³ / sq m)]],0)</f>
        <v>6516</v>
      </c>
      <c r="M513" s="135">
        <f>_xlfn.XLOOKUP(Market_Data[[#This Row],[District]],tbl_district_price[District],tbl_district_price[Standard Price
(INR/m³)],"",0)</f>
        <v>6200</v>
      </c>
      <c r="N513" s="364">
        <f>IF(OR(Market_Data[[#This Row],[Estimated Concrete Demand (m³)]]="",Market_Data[[#This Row],[Avg Price per (₹ / m³)]]=""),"",Market_Data[[#This Row],[Estimated Concrete Demand (m³)]]*Market_Data[[#This Row],[Avg Price per (₹ / m³)]]/10000000)</f>
        <v>4.0399200000000004</v>
      </c>
      <c r="O513" s="97" t="str">
        <f>IF(Market_Data[[#This Row],[Estimated Concrete Demand (m³)]]="","",
IF(Market_Data[[#This Row],[Estimated Concrete Demand (m³)]]&lt;10000,"Small",
IF(Market_Data[[#This Row],[Estimated Concrete Demand (m³)]]&lt;25000,"Medium",
IF(Market_Data[[#This Row],[Estimated Concrete Demand (m³)]]&lt;100000,"Large","Mega"))))</f>
        <v>Small</v>
      </c>
      <c r="P513" s="287" t="str">
        <f t="shared" si="9"/>
        <v>GujRERA</v>
      </c>
    </row>
    <row r="514" spans="1:16">
      <c r="A514" s="129" t="str">
        <f>_xlfn.XLOOKUP(B514,$S$9:$S$14,$T$9:$T$14)&amp;"-"&amp;
IF(E514="Residential/Group Housing","RES",
IF(E514="Commercial","COM",
IF(E514="Mixed Development","MIX",
IF(E514="Plotted Development","PLT","OTH"))))
&amp;"-"&amp;TEXT(COUNTIFS($B$9:B514,B514,$E$9:E514,E514),"0000")</f>
        <v>SUR-RES-0063</v>
      </c>
      <c r="B514" s="322" t="s">
        <v>34</v>
      </c>
      <c r="C514" s="322" t="s">
        <v>34</v>
      </c>
      <c r="D514" s="323" t="s">
        <v>701</v>
      </c>
      <c r="E514" s="132" t="s">
        <v>24</v>
      </c>
      <c r="F514" s="97" t="str">
        <f ca="1">IF(OR(Market_Data[[#This Row],[Start Date]]="",Market_Data[[#This Row],[Completion Date]]=""),"Needs Validation",IF(Market_Data[[#This Row],[Start Date]]&gt;TODAY(),"Planned",IF(Market_Data[[#This Row],[Completion Date]]&lt;TODAY(),"Completed","Ongoing")))</f>
        <v>Ongoing</v>
      </c>
      <c r="G514" s="324">
        <v>43518</v>
      </c>
      <c r="H514" s="324">
        <v>46568</v>
      </c>
      <c r="I514" s="325">
        <v>2300</v>
      </c>
      <c r="J51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14" s="133">
        <f>_xlfn.XLOOKUP(Market_Data[[#This Row],[Project Type]],tbl_assumptions_market[Project Category (RERA)],tbl_assumptions_market[Concrete Intensity
(m³ / sq m BUA)],"",0)</f>
        <v>0.45</v>
      </c>
      <c r="L514" s="134">
        <f>ROUND(Market_Data[[#This Row],[Estimated Built Up Area (sq m)]]*Market_Data[[#This Row],[Concrete Intensity
(m³ / sq m)]],0)</f>
        <v>1035</v>
      </c>
      <c r="M514" s="135">
        <f>_xlfn.XLOOKUP(Market_Data[[#This Row],[District]],tbl_district_price[District],tbl_district_price[Standard Price
(INR/m³)],"",0)</f>
        <v>6200</v>
      </c>
      <c r="N514" s="364">
        <f>IF(OR(Market_Data[[#This Row],[Estimated Concrete Demand (m³)]]="",Market_Data[[#This Row],[Avg Price per (₹ / m³)]]=""),"",Market_Data[[#This Row],[Estimated Concrete Demand (m³)]]*Market_Data[[#This Row],[Avg Price per (₹ / m³)]]/10000000)</f>
        <v>0.64170000000000005</v>
      </c>
      <c r="O514" s="97" t="str">
        <f>IF(Market_Data[[#This Row],[Estimated Concrete Demand (m³)]]="","",
IF(Market_Data[[#This Row],[Estimated Concrete Demand (m³)]]&lt;10000,"Small",
IF(Market_Data[[#This Row],[Estimated Concrete Demand (m³)]]&lt;25000,"Medium",
IF(Market_Data[[#This Row],[Estimated Concrete Demand (m³)]]&lt;100000,"Large","Mega"))))</f>
        <v>Small</v>
      </c>
      <c r="P514" s="287" t="str">
        <f t="shared" si="9"/>
        <v>GujRERA</v>
      </c>
    </row>
    <row r="515" spans="1:16">
      <c r="A515" s="129" t="str">
        <f>_xlfn.XLOOKUP(B515,$S$9:$S$14,$T$9:$T$14)&amp;"-"&amp;
IF(E515="Residential/Group Housing","RES",
IF(E515="Commercial","COM",
IF(E515="Mixed Development","MIX",
IF(E515="Plotted Development","PLT","OTH"))))
&amp;"-"&amp;TEXT(COUNTIFS($B$9:B515,B515,$E$9:E515,E515),"0000")</f>
        <v>SUR-PLT-0061</v>
      </c>
      <c r="B515" s="322" t="s">
        <v>34</v>
      </c>
      <c r="C515" s="322" t="s">
        <v>34</v>
      </c>
      <c r="D515" s="323" t="s">
        <v>702</v>
      </c>
      <c r="E515" s="132" t="s">
        <v>26</v>
      </c>
      <c r="F515" s="97" t="str">
        <f ca="1">IF(OR(Market_Data[[#This Row],[Start Date]]="",Market_Data[[#This Row],[Completion Date]]=""),"Needs Validation",IF(Market_Data[[#This Row],[Start Date]]&gt;TODAY(),"Planned",IF(Market_Data[[#This Row],[Completion Date]]&lt;TODAY(),"Completed","Ongoing")))</f>
        <v>Ongoing</v>
      </c>
      <c r="G515" s="324">
        <v>45184</v>
      </c>
      <c r="H515" s="324">
        <v>46752</v>
      </c>
      <c r="I515" s="325">
        <v>49900</v>
      </c>
      <c r="J51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515" s="133">
        <f>_xlfn.XLOOKUP(Market_Data[[#This Row],[Project Type]],tbl_assumptions_market[Project Category (RERA)],tbl_assumptions_market[Concrete Intensity
(m³ / sq m BUA)],"",0)</f>
        <v>0.18</v>
      </c>
      <c r="L515" s="134">
        <f>ROUND(Market_Data[[#This Row],[Estimated Built Up Area (sq m)]]*Market_Data[[#This Row],[Concrete Intensity
(m³ / sq m)]],0)</f>
        <v>8982</v>
      </c>
      <c r="M515" s="135">
        <f>_xlfn.XLOOKUP(Market_Data[[#This Row],[District]],tbl_district_price[District],tbl_district_price[Standard Price
(INR/m³)],"",0)</f>
        <v>6200</v>
      </c>
      <c r="N515" s="364">
        <f>IF(OR(Market_Data[[#This Row],[Estimated Concrete Demand (m³)]]="",Market_Data[[#This Row],[Avg Price per (₹ / m³)]]=""),"",Market_Data[[#This Row],[Estimated Concrete Demand (m³)]]*Market_Data[[#This Row],[Avg Price per (₹ / m³)]]/10000000)</f>
        <v>5.5688399999999998</v>
      </c>
      <c r="O515" s="97" t="str">
        <f>IF(Market_Data[[#This Row],[Estimated Concrete Demand (m³)]]="","",
IF(Market_Data[[#This Row],[Estimated Concrete Demand (m³)]]&lt;10000,"Small",
IF(Market_Data[[#This Row],[Estimated Concrete Demand (m³)]]&lt;25000,"Medium",
IF(Market_Data[[#This Row],[Estimated Concrete Demand (m³)]]&lt;100000,"Large","Mega"))))</f>
        <v>Small</v>
      </c>
      <c r="P515" s="287" t="str">
        <f t="shared" si="9"/>
        <v>GujRERA</v>
      </c>
    </row>
    <row r="516" spans="1:16">
      <c r="A516" s="129" t="str">
        <f>_xlfn.XLOOKUP(B516,$S$9:$S$14,$T$9:$T$14)&amp;"-"&amp;
IF(E516="Residential/Group Housing","RES",
IF(E516="Commercial","COM",
IF(E516="Mixed Development","MIX",
IF(E516="Plotted Development","PLT","OTH"))))
&amp;"-"&amp;TEXT(COUNTIFS($B$9:B516,B516,$E$9:E516,E516),"0000")</f>
        <v>SUR-PLT-0062</v>
      </c>
      <c r="B516" s="322" t="s">
        <v>34</v>
      </c>
      <c r="C516" s="322" t="s">
        <v>34</v>
      </c>
      <c r="D516" s="323" t="s">
        <v>703</v>
      </c>
      <c r="E516" s="132" t="s">
        <v>26</v>
      </c>
      <c r="F516" s="97" t="str">
        <f ca="1">IF(OR(Market_Data[[#This Row],[Start Date]]="",Market_Data[[#This Row],[Completion Date]]=""),"Needs Validation",IF(Market_Data[[#This Row],[Start Date]]&gt;TODAY(),"Planned",IF(Market_Data[[#This Row],[Completion Date]]&lt;TODAY(),"Completed","Ongoing")))</f>
        <v>Completed</v>
      </c>
      <c r="G516" s="324">
        <v>44628</v>
      </c>
      <c r="H516" s="324">
        <v>45657</v>
      </c>
      <c r="I516" s="325">
        <v>50700</v>
      </c>
      <c r="J51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516" s="133">
        <f>_xlfn.XLOOKUP(Market_Data[[#This Row],[Project Type]],tbl_assumptions_market[Project Category (RERA)],tbl_assumptions_market[Concrete Intensity
(m³ / sq m BUA)],"",0)</f>
        <v>0.18</v>
      </c>
      <c r="L516" s="134">
        <f>ROUND(Market_Data[[#This Row],[Estimated Built Up Area (sq m)]]*Market_Data[[#This Row],[Concrete Intensity
(m³ / sq m)]],0)</f>
        <v>9126</v>
      </c>
      <c r="M516" s="135">
        <f>_xlfn.XLOOKUP(Market_Data[[#This Row],[District]],tbl_district_price[District],tbl_district_price[Standard Price
(INR/m³)],"",0)</f>
        <v>6200</v>
      </c>
      <c r="N516" s="364">
        <f>IF(OR(Market_Data[[#This Row],[Estimated Concrete Demand (m³)]]="",Market_Data[[#This Row],[Avg Price per (₹ / m³)]]=""),"",Market_Data[[#This Row],[Estimated Concrete Demand (m³)]]*Market_Data[[#This Row],[Avg Price per (₹ / m³)]]/10000000)</f>
        <v>5.6581200000000003</v>
      </c>
      <c r="O516" s="97" t="str">
        <f>IF(Market_Data[[#This Row],[Estimated Concrete Demand (m³)]]="","",
IF(Market_Data[[#This Row],[Estimated Concrete Demand (m³)]]&lt;10000,"Small",
IF(Market_Data[[#This Row],[Estimated Concrete Demand (m³)]]&lt;25000,"Medium",
IF(Market_Data[[#This Row],[Estimated Concrete Demand (m³)]]&lt;100000,"Large","Mega"))))</f>
        <v>Small</v>
      </c>
      <c r="P516" s="287" t="str">
        <f t="shared" si="9"/>
        <v>GujRERA</v>
      </c>
    </row>
    <row r="517" spans="1:16">
      <c r="A517" s="129" t="str">
        <f>_xlfn.XLOOKUP(B517,$S$9:$S$14,$T$9:$T$14)&amp;"-"&amp;
IF(E517="Residential/Group Housing","RES",
IF(E517="Commercial","COM",
IF(E517="Mixed Development","MIX",
IF(E517="Plotted Development","PLT","OTH"))))
&amp;"-"&amp;TEXT(COUNTIFS($B$9:B517,B517,$E$9:E517,E517),"0000")</f>
        <v>SUR-PLT-0063</v>
      </c>
      <c r="B517" s="322" t="s">
        <v>34</v>
      </c>
      <c r="C517" s="322" t="s">
        <v>34</v>
      </c>
      <c r="D517" s="323" t="s">
        <v>704</v>
      </c>
      <c r="E517" s="132" t="s">
        <v>26</v>
      </c>
      <c r="F517" s="97" t="str">
        <f ca="1">IF(OR(Market_Data[[#This Row],[Start Date]]="",Market_Data[[#This Row],[Completion Date]]=""),"Needs Validation",IF(Market_Data[[#This Row],[Start Date]]&gt;TODAY(),"Planned",IF(Market_Data[[#This Row],[Completion Date]]&lt;TODAY(),"Completed","Ongoing")))</f>
        <v>Ongoing</v>
      </c>
      <c r="G517" s="324">
        <v>45748</v>
      </c>
      <c r="H517" s="324">
        <v>46843</v>
      </c>
      <c r="I517" s="325">
        <v>31400</v>
      </c>
      <c r="J51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517" s="133">
        <f>_xlfn.XLOOKUP(Market_Data[[#This Row],[Project Type]],tbl_assumptions_market[Project Category (RERA)],tbl_assumptions_market[Concrete Intensity
(m³ / sq m BUA)],"",0)</f>
        <v>0.18</v>
      </c>
      <c r="L517" s="134">
        <f>ROUND(Market_Data[[#This Row],[Estimated Built Up Area (sq m)]]*Market_Data[[#This Row],[Concrete Intensity
(m³ / sq m)]],0)</f>
        <v>5652</v>
      </c>
      <c r="M517" s="135">
        <f>_xlfn.XLOOKUP(Market_Data[[#This Row],[District]],tbl_district_price[District],tbl_district_price[Standard Price
(INR/m³)],"",0)</f>
        <v>6200</v>
      </c>
      <c r="N517" s="364">
        <f>IF(OR(Market_Data[[#This Row],[Estimated Concrete Demand (m³)]]="",Market_Data[[#This Row],[Avg Price per (₹ / m³)]]=""),"",Market_Data[[#This Row],[Estimated Concrete Demand (m³)]]*Market_Data[[#This Row],[Avg Price per (₹ / m³)]]/10000000)</f>
        <v>3.5042399999999998</v>
      </c>
      <c r="O517" s="97" t="str">
        <f>IF(Market_Data[[#This Row],[Estimated Concrete Demand (m³)]]="","",
IF(Market_Data[[#This Row],[Estimated Concrete Demand (m³)]]&lt;10000,"Small",
IF(Market_Data[[#This Row],[Estimated Concrete Demand (m³)]]&lt;25000,"Medium",
IF(Market_Data[[#This Row],[Estimated Concrete Demand (m³)]]&lt;100000,"Large","Mega"))))</f>
        <v>Small</v>
      </c>
      <c r="P517" s="287" t="str">
        <f t="shared" si="9"/>
        <v>GujRERA</v>
      </c>
    </row>
    <row r="518" spans="1:16">
      <c r="A518" s="129" t="str">
        <f>_xlfn.XLOOKUP(B518,$S$9:$S$14,$T$9:$T$14)&amp;"-"&amp;
IF(E518="Residential/Group Housing","RES",
IF(E518="Commercial","COM",
IF(E518="Mixed Development","MIX",
IF(E518="Plotted Development","PLT","OTH"))))
&amp;"-"&amp;TEXT(COUNTIFS($B$9:B518,B518,$E$9:E518,E518),"0000")</f>
        <v>SUR-RES-0064</v>
      </c>
      <c r="B518" s="322" t="s">
        <v>34</v>
      </c>
      <c r="C518" s="322" t="s">
        <v>34</v>
      </c>
      <c r="D518" s="323" t="s">
        <v>705</v>
      </c>
      <c r="E518" s="132" t="s">
        <v>24</v>
      </c>
      <c r="F518" s="97" t="str">
        <f ca="1">IF(OR(Market_Data[[#This Row],[Start Date]]="",Market_Data[[#This Row],[Completion Date]]=""),"Needs Validation",IF(Market_Data[[#This Row],[Start Date]]&gt;TODAY(),"Planned",IF(Market_Data[[#This Row],[Completion Date]]&lt;TODAY(),"Completed","Ongoing")))</f>
        <v>Completed</v>
      </c>
      <c r="G518" s="324">
        <v>44013</v>
      </c>
      <c r="H518" s="324">
        <v>45291</v>
      </c>
      <c r="I518" s="325">
        <v>57500</v>
      </c>
      <c r="J51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18" s="133">
        <f>_xlfn.XLOOKUP(Market_Data[[#This Row],[Project Type]],tbl_assumptions_market[Project Category (RERA)],tbl_assumptions_market[Concrete Intensity
(m³ / sq m BUA)],"",0)</f>
        <v>0.45</v>
      </c>
      <c r="L518" s="134">
        <f>ROUND(Market_Data[[#This Row],[Estimated Built Up Area (sq m)]]*Market_Data[[#This Row],[Concrete Intensity
(m³ / sq m)]],0)</f>
        <v>25875</v>
      </c>
      <c r="M518" s="135">
        <f>_xlfn.XLOOKUP(Market_Data[[#This Row],[District]],tbl_district_price[District],tbl_district_price[Standard Price
(INR/m³)],"",0)</f>
        <v>6200</v>
      </c>
      <c r="N518" s="364">
        <f>IF(OR(Market_Data[[#This Row],[Estimated Concrete Demand (m³)]]="",Market_Data[[#This Row],[Avg Price per (₹ / m³)]]=""),"",Market_Data[[#This Row],[Estimated Concrete Demand (m³)]]*Market_Data[[#This Row],[Avg Price per (₹ / m³)]]/10000000)</f>
        <v>16.0425</v>
      </c>
      <c r="O518" s="97" t="str">
        <f>IF(Market_Data[[#This Row],[Estimated Concrete Demand (m³)]]="","",
IF(Market_Data[[#This Row],[Estimated Concrete Demand (m³)]]&lt;10000,"Small",
IF(Market_Data[[#This Row],[Estimated Concrete Demand (m³)]]&lt;25000,"Medium",
IF(Market_Data[[#This Row],[Estimated Concrete Demand (m³)]]&lt;100000,"Large","Mega"))))</f>
        <v>Large</v>
      </c>
      <c r="P518" s="287" t="str">
        <f t="shared" si="9"/>
        <v>GujRERA</v>
      </c>
    </row>
    <row r="519" spans="1:16">
      <c r="A519" s="129" t="str">
        <f>_xlfn.XLOOKUP(B519,$S$9:$S$14,$T$9:$T$14)&amp;"-"&amp;
IF(E519="Residential/Group Housing","RES",
IF(E519="Commercial","COM",
IF(E519="Mixed Development","MIX",
IF(E519="Plotted Development","PLT","OTH"))))
&amp;"-"&amp;TEXT(COUNTIFS($B$9:B519,B519,$E$9:E519,E519),"0000")</f>
        <v>SUR-RES-0065</v>
      </c>
      <c r="B519" s="322" t="s">
        <v>34</v>
      </c>
      <c r="C519" s="322" t="s">
        <v>34</v>
      </c>
      <c r="D519" s="323" t="s">
        <v>706</v>
      </c>
      <c r="E519" s="132" t="s">
        <v>24</v>
      </c>
      <c r="F519" s="97" t="str">
        <f ca="1">IF(OR(Market_Data[[#This Row],[Start Date]]="",Market_Data[[#This Row],[Completion Date]]=""),"Needs Validation",IF(Market_Data[[#This Row],[Start Date]]&gt;TODAY(),"Planned",IF(Market_Data[[#This Row],[Completion Date]]&lt;TODAY(),"Completed","Ongoing")))</f>
        <v>Ongoing</v>
      </c>
      <c r="G519" s="324">
        <v>45293</v>
      </c>
      <c r="H519" s="324">
        <v>47848</v>
      </c>
      <c r="I519" s="325">
        <v>35800</v>
      </c>
      <c r="J51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19" s="133">
        <f>_xlfn.XLOOKUP(Market_Data[[#This Row],[Project Type]],tbl_assumptions_market[Project Category (RERA)],tbl_assumptions_market[Concrete Intensity
(m³ / sq m BUA)],"",0)</f>
        <v>0.45</v>
      </c>
      <c r="L519" s="134">
        <f>ROUND(Market_Data[[#This Row],[Estimated Built Up Area (sq m)]]*Market_Data[[#This Row],[Concrete Intensity
(m³ / sq m)]],0)</f>
        <v>16110</v>
      </c>
      <c r="M519" s="135">
        <f>_xlfn.XLOOKUP(Market_Data[[#This Row],[District]],tbl_district_price[District],tbl_district_price[Standard Price
(INR/m³)],"",0)</f>
        <v>6200</v>
      </c>
      <c r="N519" s="364">
        <f>IF(OR(Market_Data[[#This Row],[Estimated Concrete Demand (m³)]]="",Market_Data[[#This Row],[Avg Price per (₹ / m³)]]=""),"",Market_Data[[#This Row],[Estimated Concrete Demand (m³)]]*Market_Data[[#This Row],[Avg Price per (₹ / m³)]]/10000000)</f>
        <v>9.9882000000000009</v>
      </c>
      <c r="O519" s="97" t="str">
        <f>IF(Market_Data[[#This Row],[Estimated Concrete Demand (m³)]]="","",
IF(Market_Data[[#This Row],[Estimated Concrete Demand (m³)]]&lt;10000,"Small",
IF(Market_Data[[#This Row],[Estimated Concrete Demand (m³)]]&lt;25000,"Medium",
IF(Market_Data[[#This Row],[Estimated Concrete Demand (m³)]]&lt;100000,"Large","Mega"))))</f>
        <v>Medium</v>
      </c>
      <c r="P519" s="287" t="str">
        <f t="shared" si="9"/>
        <v>GujRERA</v>
      </c>
    </row>
    <row r="520" spans="1:16">
      <c r="A520" s="129" t="str">
        <f>_xlfn.XLOOKUP(B520,$S$9:$S$14,$T$9:$T$14)&amp;"-"&amp;
IF(E520="Residential/Group Housing","RES",
IF(E520="Commercial","COM",
IF(E520="Mixed Development","MIX",
IF(E520="Plotted Development","PLT","OTH"))))
&amp;"-"&amp;TEXT(COUNTIFS($B$9:B520,B520,$E$9:E520,E520),"0000")</f>
        <v>SUR-RES-0066</v>
      </c>
      <c r="B520" s="322" t="s">
        <v>34</v>
      </c>
      <c r="C520" s="322" t="s">
        <v>34</v>
      </c>
      <c r="D520" s="323" t="s">
        <v>707</v>
      </c>
      <c r="E520" s="132" t="s">
        <v>24</v>
      </c>
      <c r="F520" s="97" t="str">
        <f ca="1">IF(OR(Market_Data[[#This Row],[Start Date]]="",Market_Data[[#This Row],[Completion Date]]=""),"Needs Validation",IF(Market_Data[[#This Row],[Start Date]]&gt;TODAY(),"Planned",IF(Market_Data[[#This Row],[Completion Date]]&lt;TODAY(),"Completed","Ongoing")))</f>
        <v>Completed</v>
      </c>
      <c r="G520" s="324">
        <v>43221</v>
      </c>
      <c r="H520" s="324">
        <v>45992</v>
      </c>
      <c r="I520" s="325">
        <v>45100</v>
      </c>
      <c r="J52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20" s="133">
        <f>_xlfn.XLOOKUP(Market_Data[[#This Row],[Project Type]],tbl_assumptions_market[Project Category (RERA)],tbl_assumptions_market[Concrete Intensity
(m³ / sq m BUA)],"",0)</f>
        <v>0.45</v>
      </c>
      <c r="L520" s="134">
        <f>ROUND(Market_Data[[#This Row],[Estimated Built Up Area (sq m)]]*Market_Data[[#This Row],[Concrete Intensity
(m³ / sq m)]],0)</f>
        <v>20295</v>
      </c>
      <c r="M520" s="135">
        <f>_xlfn.XLOOKUP(Market_Data[[#This Row],[District]],tbl_district_price[District],tbl_district_price[Standard Price
(INR/m³)],"",0)</f>
        <v>6200</v>
      </c>
      <c r="N520" s="364">
        <f>IF(OR(Market_Data[[#This Row],[Estimated Concrete Demand (m³)]]="",Market_Data[[#This Row],[Avg Price per (₹ / m³)]]=""),"",Market_Data[[#This Row],[Estimated Concrete Demand (m³)]]*Market_Data[[#This Row],[Avg Price per (₹ / m³)]]/10000000)</f>
        <v>12.5829</v>
      </c>
      <c r="O520" s="97" t="str">
        <f>IF(Market_Data[[#This Row],[Estimated Concrete Demand (m³)]]="","",
IF(Market_Data[[#This Row],[Estimated Concrete Demand (m³)]]&lt;10000,"Small",
IF(Market_Data[[#This Row],[Estimated Concrete Demand (m³)]]&lt;25000,"Medium",
IF(Market_Data[[#This Row],[Estimated Concrete Demand (m³)]]&lt;100000,"Large","Mega"))))</f>
        <v>Medium</v>
      </c>
      <c r="P520" s="287" t="str">
        <f t="shared" si="9"/>
        <v>GujRERA</v>
      </c>
    </row>
    <row r="521" spans="1:16">
      <c r="A521" s="129" t="str">
        <f>_xlfn.XLOOKUP(B521,$S$9:$S$14,$T$9:$T$14)&amp;"-"&amp;
IF(E521="Residential/Group Housing","RES",
IF(E521="Commercial","COM",
IF(E521="Mixed Development","MIX",
IF(E521="Plotted Development","PLT","OTH"))))
&amp;"-"&amp;TEXT(COUNTIFS($B$9:B521,B521,$E$9:E521,E521),"0000")</f>
        <v>SUR-MIX-0045</v>
      </c>
      <c r="B521" s="322" t="s">
        <v>34</v>
      </c>
      <c r="C521" s="322" t="s">
        <v>34</v>
      </c>
      <c r="D521" s="323" t="s">
        <v>708</v>
      </c>
      <c r="E521" s="132" t="s">
        <v>25</v>
      </c>
      <c r="F521" s="97" t="str">
        <f ca="1">IF(OR(Market_Data[[#This Row],[Start Date]]="",Market_Data[[#This Row],[Completion Date]]=""),"Needs Validation",IF(Market_Data[[#This Row],[Start Date]]&gt;TODAY(),"Planned",IF(Market_Data[[#This Row],[Completion Date]]&lt;TODAY(),"Completed","Ongoing")))</f>
        <v>Completed</v>
      </c>
      <c r="G521" s="324">
        <v>42822</v>
      </c>
      <c r="H521" s="324">
        <v>44286</v>
      </c>
      <c r="I521" s="325">
        <v>41200</v>
      </c>
      <c r="J52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21" s="133">
        <f>_xlfn.XLOOKUP(Market_Data[[#This Row],[Project Type]],tbl_assumptions_market[Project Category (RERA)],tbl_assumptions_market[Concrete Intensity
(m³ / sq m BUA)],"",0)</f>
        <v>0.42</v>
      </c>
      <c r="L521" s="134">
        <f>ROUND(Market_Data[[#This Row],[Estimated Built Up Area (sq m)]]*Market_Data[[#This Row],[Concrete Intensity
(m³ / sq m)]],0)</f>
        <v>17304</v>
      </c>
      <c r="M521" s="135">
        <f>_xlfn.XLOOKUP(Market_Data[[#This Row],[District]],tbl_district_price[District],tbl_district_price[Standard Price
(INR/m³)],"",0)</f>
        <v>6200</v>
      </c>
      <c r="N521" s="364">
        <f>IF(OR(Market_Data[[#This Row],[Estimated Concrete Demand (m³)]]="",Market_Data[[#This Row],[Avg Price per (₹ / m³)]]=""),"",Market_Data[[#This Row],[Estimated Concrete Demand (m³)]]*Market_Data[[#This Row],[Avg Price per (₹ / m³)]]/10000000)</f>
        <v>10.728479999999999</v>
      </c>
      <c r="O521" s="97" t="str">
        <f>IF(Market_Data[[#This Row],[Estimated Concrete Demand (m³)]]="","",
IF(Market_Data[[#This Row],[Estimated Concrete Demand (m³)]]&lt;10000,"Small",
IF(Market_Data[[#This Row],[Estimated Concrete Demand (m³)]]&lt;25000,"Medium",
IF(Market_Data[[#This Row],[Estimated Concrete Demand (m³)]]&lt;100000,"Large","Mega"))))</f>
        <v>Medium</v>
      </c>
      <c r="P521" s="287" t="str">
        <f t="shared" si="9"/>
        <v>GujRERA</v>
      </c>
    </row>
    <row r="522" spans="1:16">
      <c r="A522" s="129" t="str">
        <f>_xlfn.XLOOKUP(B522,$S$9:$S$14,$T$9:$T$14)&amp;"-"&amp;
IF(E522="Residential/Group Housing","RES",
IF(E522="Commercial","COM",
IF(E522="Mixed Development","MIX",
IF(E522="Plotted Development","PLT","OTH"))))
&amp;"-"&amp;TEXT(COUNTIFS($B$9:B522,B522,$E$9:E522,E522),"0000")</f>
        <v>SUR-PLT-0064</v>
      </c>
      <c r="B522" s="322" t="s">
        <v>34</v>
      </c>
      <c r="C522" s="322" t="s">
        <v>34</v>
      </c>
      <c r="D522" s="323" t="s">
        <v>709</v>
      </c>
      <c r="E522" s="132" t="s">
        <v>26</v>
      </c>
      <c r="F522" s="97" t="str">
        <f ca="1">IF(OR(Market_Data[[#This Row],[Start Date]]="",Market_Data[[#This Row],[Completion Date]]=""),"Needs Validation",IF(Market_Data[[#This Row],[Start Date]]&gt;TODAY(),"Planned",IF(Market_Data[[#This Row],[Completion Date]]&lt;TODAY(),"Completed","Ongoing")))</f>
        <v>Ongoing</v>
      </c>
      <c r="G522" s="324">
        <v>45797</v>
      </c>
      <c r="H522" s="324">
        <v>47149</v>
      </c>
      <c r="I522" s="325">
        <v>16800</v>
      </c>
      <c r="J52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22" s="133">
        <f>_xlfn.XLOOKUP(Market_Data[[#This Row],[Project Type]],tbl_assumptions_market[Project Category (RERA)],tbl_assumptions_market[Concrete Intensity
(m³ / sq m BUA)],"",0)</f>
        <v>0.18</v>
      </c>
      <c r="L522" s="134">
        <f>ROUND(Market_Data[[#This Row],[Estimated Built Up Area (sq m)]]*Market_Data[[#This Row],[Concrete Intensity
(m³ / sq m)]],0)</f>
        <v>3024</v>
      </c>
      <c r="M522" s="135">
        <f>_xlfn.XLOOKUP(Market_Data[[#This Row],[District]],tbl_district_price[District],tbl_district_price[Standard Price
(INR/m³)],"",0)</f>
        <v>6200</v>
      </c>
      <c r="N522" s="364">
        <f>IF(OR(Market_Data[[#This Row],[Estimated Concrete Demand (m³)]]="",Market_Data[[#This Row],[Avg Price per (₹ / m³)]]=""),"",Market_Data[[#This Row],[Estimated Concrete Demand (m³)]]*Market_Data[[#This Row],[Avg Price per (₹ / m³)]]/10000000)</f>
        <v>1.8748800000000001</v>
      </c>
      <c r="O522" s="97" t="str">
        <f>IF(Market_Data[[#This Row],[Estimated Concrete Demand (m³)]]="","",
IF(Market_Data[[#This Row],[Estimated Concrete Demand (m³)]]&lt;10000,"Small",
IF(Market_Data[[#This Row],[Estimated Concrete Demand (m³)]]&lt;25000,"Medium",
IF(Market_Data[[#This Row],[Estimated Concrete Demand (m³)]]&lt;100000,"Large","Mega"))))</f>
        <v>Small</v>
      </c>
      <c r="P522" s="287" t="str">
        <f t="shared" ref="P522:P585" si="10">HYPERLINK(
"https://gujrera.gujarat.gov.in",
"GujRERA")</f>
        <v>GujRERA</v>
      </c>
    </row>
    <row r="523" spans="1:16">
      <c r="A523" s="129" t="str">
        <f>_xlfn.XLOOKUP(B523,$S$9:$S$14,$T$9:$T$14)&amp;"-"&amp;
IF(E523="Residential/Group Housing","RES",
IF(E523="Commercial","COM",
IF(E523="Mixed Development","MIX",
IF(E523="Plotted Development","PLT","OTH"))))
&amp;"-"&amp;TEXT(COUNTIFS($B$9:B523,B523,$E$9:E523,E523),"0000")</f>
        <v>SUR-RES-0067</v>
      </c>
      <c r="B523" s="322" t="s">
        <v>34</v>
      </c>
      <c r="C523" s="322" t="s">
        <v>34</v>
      </c>
      <c r="D523" s="323" t="s">
        <v>710</v>
      </c>
      <c r="E523" s="132" t="s">
        <v>24</v>
      </c>
      <c r="F523" s="97" t="str">
        <f ca="1">IF(OR(Market_Data[[#This Row],[Start Date]]="",Market_Data[[#This Row],[Completion Date]]=""),"Needs Validation",IF(Market_Data[[#This Row],[Start Date]]&gt;TODAY(),"Planned",IF(Market_Data[[#This Row],[Completion Date]]&lt;TODAY(),"Completed","Ongoing")))</f>
        <v>Ongoing</v>
      </c>
      <c r="G523" s="324">
        <v>45218</v>
      </c>
      <c r="H523" s="324">
        <v>46387</v>
      </c>
      <c r="I523" s="325">
        <v>48500</v>
      </c>
      <c r="J52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23" s="133">
        <f>_xlfn.XLOOKUP(Market_Data[[#This Row],[Project Type]],tbl_assumptions_market[Project Category (RERA)],tbl_assumptions_market[Concrete Intensity
(m³ / sq m BUA)],"",0)</f>
        <v>0.45</v>
      </c>
      <c r="L523" s="134">
        <f>ROUND(Market_Data[[#This Row],[Estimated Built Up Area (sq m)]]*Market_Data[[#This Row],[Concrete Intensity
(m³ / sq m)]],0)</f>
        <v>21825</v>
      </c>
      <c r="M523" s="135">
        <f>_xlfn.XLOOKUP(Market_Data[[#This Row],[District]],tbl_district_price[District],tbl_district_price[Standard Price
(INR/m³)],"",0)</f>
        <v>6200</v>
      </c>
      <c r="N523" s="364">
        <f>IF(OR(Market_Data[[#This Row],[Estimated Concrete Demand (m³)]]="",Market_Data[[#This Row],[Avg Price per (₹ / m³)]]=""),"",Market_Data[[#This Row],[Estimated Concrete Demand (m³)]]*Market_Data[[#This Row],[Avg Price per (₹ / m³)]]/10000000)</f>
        <v>13.531499999999999</v>
      </c>
      <c r="O523" s="97" t="str">
        <f>IF(Market_Data[[#This Row],[Estimated Concrete Demand (m³)]]="","",
IF(Market_Data[[#This Row],[Estimated Concrete Demand (m³)]]&lt;10000,"Small",
IF(Market_Data[[#This Row],[Estimated Concrete Demand (m³)]]&lt;25000,"Medium",
IF(Market_Data[[#This Row],[Estimated Concrete Demand (m³)]]&lt;100000,"Large","Mega"))))</f>
        <v>Medium</v>
      </c>
      <c r="P523" s="287" t="str">
        <f t="shared" si="10"/>
        <v>GujRERA</v>
      </c>
    </row>
    <row r="524" spans="1:16">
      <c r="A524" s="129" t="str">
        <f>_xlfn.XLOOKUP(B524,$S$9:$S$14,$T$9:$T$14)&amp;"-"&amp;
IF(E524="Residential/Group Housing","RES",
IF(E524="Commercial","COM",
IF(E524="Mixed Development","MIX",
IF(E524="Plotted Development","PLT","OTH"))))
&amp;"-"&amp;TEXT(COUNTIFS($B$9:B524,B524,$E$9:E524,E524),"0000")</f>
        <v>SUR-RES-0068</v>
      </c>
      <c r="B524" s="322" t="s">
        <v>34</v>
      </c>
      <c r="C524" s="322" t="s">
        <v>34</v>
      </c>
      <c r="D524" s="323" t="s">
        <v>711</v>
      </c>
      <c r="E524" s="132" t="s">
        <v>24</v>
      </c>
      <c r="F524" s="97" t="str">
        <f ca="1">IF(OR(Market_Data[[#This Row],[Start Date]]="",Market_Data[[#This Row],[Completion Date]]=""),"Needs Validation",IF(Market_Data[[#This Row],[Start Date]]&gt;TODAY(),"Planned",IF(Market_Data[[#This Row],[Completion Date]]&lt;TODAY(),"Completed","Ongoing")))</f>
        <v>Completed</v>
      </c>
      <c r="G524" s="324">
        <v>44348</v>
      </c>
      <c r="H524" s="324">
        <v>45657</v>
      </c>
      <c r="I524" s="325">
        <v>46900</v>
      </c>
      <c r="J52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24" s="133">
        <f>_xlfn.XLOOKUP(Market_Data[[#This Row],[Project Type]],tbl_assumptions_market[Project Category (RERA)],tbl_assumptions_market[Concrete Intensity
(m³ / sq m BUA)],"",0)</f>
        <v>0.45</v>
      </c>
      <c r="L524" s="134">
        <f>ROUND(Market_Data[[#This Row],[Estimated Built Up Area (sq m)]]*Market_Data[[#This Row],[Concrete Intensity
(m³ / sq m)]],0)</f>
        <v>21105</v>
      </c>
      <c r="M524" s="135">
        <f>_xlfn.XLOOKUP(Market_Data[[#This Row],[District]],tbl_district_price[District],tbl_district_price[Standard Price
(INR/m³)],"",0)</f>
        <v>6200</v>
      </c>
      <c r="N524" s="364">
        <f>IF(OR(Market_Data[[#This Row],[Estimated Concrete Demand (m³)]]="",Market_Data[[#This Row],[Avg Price per (₹ / m³)]]=""),"",Market_Data[[#This Row],[Estimated Concrete Demand (m³)]]*Market_Data[[#This Row],[Avg Price per (₹ / m³)]]/10000000)</f>
        <v>13.085100000000001</v>
      </c>
      <c r="O524" s="97" t="str">
        <f>IF(Market_Data[[#This Row],[Estimated Concrete Demand (m³)]]="","",
IF(Market_Data[[#This Row],[Estimated Concrete Demand (m³)]]&lt;10000,"Small",
IF(Market_Data[[#This Row],[Estimated Concrete Demand (m³)]]&lt;25000,"Medium",
IF(Market_Data[[#This Row],[Estimated Concrete Demand (m³)]]&lt;100000,"Large","Mega"))))</f>
        <v>Medium</v>
      </c>
      <c r="P524" s="287" t="str">
        <f t="shared" si="10"/>
        <v>GujRERA</v>
      </c>
    </row>
    <row r="525" spans="1:16">
      <c r="A525" s="129" t="str">
        <f>_xlfn.XLOOKUP(B525,$S$9:$S$14,$T$9:$T$14)&amp;"-"&amp;
IF(E525="Residential/Group Housing","RES",
IF(E525="Commercial","COM",
IF(E525="Mixed Development","MIX",
IF(E525="Plotted Development","PLT","OTH"))))
&amp;"-"&amp;TEXT(COUNTIFS($B$9:B525,B525,$E$9:E525,E525),"0000")</f>
        <v>SUR-RES-0069</v>
      </c>
      <c r="B525" s="322" t="s">
        <v>34</v>
      </c>
      <c r="C525" s="322" t="s">
        <v>34</v>
      </c>
      <c r="D525" s="323" t="s">
        <v>712</v>
      </c>
      <c r="E525" s="132" t="s">
        <v>24</v>
      </c>
      <c r="F525" s="97" t="str">
        <f ca="1">IF(OR(Market_Data[[#This Row],[Start Date]]="",Market_Data[[#This Row],[Completion Date]]=""),"Needs Validation",IF(Market_Data[[#This Row],[Start Date]]&gt;TODAY(),"Planned",IF(Market_Data[[#This Row],[Completion Date]]&lt;TODAY(),"Completed","Ongoing")))</f>
        <v>Ongoing</v>
      </c>
      <c r="G525" s="324">
        <v>46038</v>
      </c>
      <c r="H525" s="324">
        <v>47208</v>
      </c>
      <c r="I525" s="325">
        <v>11500</v>
      </c>
      <c r="J52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25" s="133">
        <f>_xlfn.XLOOKUP(Market_Data[[#This Row],[Project Type]],tbl_assumptions_market[Project Category (RERA)],tbl_assumptions_market[Concrete Intensity
(m³ / sq m BUA)],"",0)</f>
        <v>0.45</v>
      </c>
      <c r="L525" s="134">
        <f>ROUND(Market_Data[[#This Row],[Estimated Built Up Area (sq m)]]*Market_Data[[#This Row],[Concrete Intensity
(m³ / sq m)]],0)</f>
        <v>5175</v>
      </c>
      <c r="M525" s="135">
        <f>_xlfn.XLOOKUP(Market_Data[[#This Row],[District]],tbl_district_price[District],tbl_district_price[Standard Price
(INR/m³)],"",0)</f>
        <v>6200</v>
      </c>
      <c r="N525" s="364">
        <f>IF(OR(Market_Data[[#This Row],[Estimated Concrete Demand (m³)]]="",Market_Data[[#This Row],[Avg Price per (₹ / m³)]]=""),"",Market_Data[[#This Row],[Estimated Concrete Demand (m³)]]*Market_Data[[#This Row],[Avg Price per (₹ / m³)]]/10000000)</f>
        <v>3.2084999999999999</v>
      </c>
      <c r="O525" s="97" t="str">
        <f>IF(Market_Data[[#This Row],[Estimated Concrete Demand (m³)]]="","",
IF(Market_Data[[#This Row],[Estimated Concrete Demand (m³)]]&lt;10000,"Small",
IF(Market_Data[[#This Row],[Estimated Concrete Demand (m³)]]&lt;25000,"Medium",
IF(Market_Data[[#This Row],[Estimated Concrete Demand (m³)]]&lt;100000,"Large","Mega"))))</f>
        <v>Small</v>
      </c>
      <c r="P525" s="287" t="str">
        <f t="shared" si="10"/>
        <v>GujRERA</v>
      </c>
    </row>
    <row r="526" spans="1:16">
      <c r="A526" s="129" t="str">
        <f>_xlfn.XLOOKUP(B526,$S$9:$S$14,$T$9:$T$14)&amp;"-"&amp;
IF(E526="Residential/Group Housing","RES",
IF(E526="Commercial","COM",
IF(E526="Mixed Development","MIX",
IF(E526="Plotted Development","PLT","OTH"))))
&amp;"-"&amp;TEXT(COUNTIFS($B$9:B526,B526,$E$9:E526,E526),"0000")</f>
        <v>SUR-COM-0030</v>
      </c>
      <c r="B526" s="322" t="s">
        <v>34</v>
      </c>
      <c r="C526" s="322" t="s">
        <v>34</v>
      </c>
      <c r="D526" s="323" t="s">
        <v>713</v>
      </c>
      <c r="E526" s="132" t="s">
        <v>23</v>
      </c>
      <c r="F526" s="97" t="str">
        <f ca="1">IF(OR(Market_Data[[#This Row],[Start Date]]="",Market_Data[[#This Row],[Completion Date]]=""),"Needs Validation",IF(Market_Data[[#This Row],[Start Date]]&gt;TODAY(),"Planned",IF(Market_Data[[#This Row],[Completion Date]]&lt;TODAY(),"Completed","Ongoing")))</f>
        <v>Completed</v>
      </c>
      <c r="G526" s="324">
        <v>42237</v>
      </c>
      <c r="H526" s="324">
        <v>43555</v>
      </c>
      <c r="I526" s="325">
        <v>12600</v>
      </c>
      <c r="J52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26" s="133">
        <f>_xlfn.XLOOKUP(Market_Data[[#This Row],[Project Type]],tbl_assumptions_market[Project Category (RERA)],tbl_assumptions_market[Concrete Intensity
(m³ / sq m BUA)],"",0)</f>
        <v>0.5</v>
      </c>
      <c r="L526" s="134">
        <f>ROUND(Market_Data[[#This Row],[Estimated Built Up Area (sq m)]]*Market_Data[[#This Row],[Concrete Intensity
(m³ / sq m)]],0)</f>
        <v>6300</v>
      </c>
      <c r="M526" s="135">
        <f>_xlfn.XLOOKUP(Market_Data[[#This Row],[District]],tbl_district_price[District],tbl_district_price[Standard Price
(INR/m³)],"",0)</f>
        <v>6200</v>
      </c>
      <c r="N526" s="364">
        <f>IF(OR(Market_Data[[#This Row],[Estimated Concrete Demand (m³)]]="",Market_Data[[#This Row],[Avg Price per (₹ / m³)]]=""),"",Market_Data[[#This Row],[Estimated Concrete Demand (m³)]]*Market_Data[[#This Row],[Avg Price per (₹ / m³)]]/10000000)</f>
        <v>3.9060000000000001</v>
      </c>
      <c r="O526" s="97" t="str">
        <f>IF(Market_Data[[#This Row],[Estimated Concrete Demand (m³)]]="","",
IF(Market_Data[[#This Row],[Estimated Concrete Demand (m³)]]&lt;10000,"Small",
IF(Market_Data[[#This Row],[Estimated Concrete Demand (m³)]]&lt;25000,"Medium",
IF(Market_Data[[#This Row],[Estimated Concrete Demand (m³)]]&lt;100000,"Large","Mega"))))</f>
        <v>Small</v>
      </c>
      <c r="P526" s="287" t="str">
        <f t="shared" si="10"/>
        <v>GujRERA</v>
      </c>
    </row>
    <row r="527" spans="1:16">
      <c r="A527" s="129" t="str">
        <f>_xlfn.XLOOKUP(B527,$S$9:$S$14,$T$9:$T$14)&amp;"-"&amp;
IF(E527="Residential/Group Housing","RES",
IF(E527="Commercial","COM",
IF(E527="Mixed Development","MIX",
IF(E527="Plotted Development","PLT","OTH"))))
&amp;"-"&amp;TEXT(COUNTIFS($B$9:B527,B527,$E$9:E527,E527),"0000")</f>
        <v>SUR-RES-0070</v>
      </c>
      <c r="B527" s="322" t="s">
        <v>34</v>
      </c>
      <c r="C527" s="322" t="s">
        <v>34</v>
      </c>
      <c r="D527" s="323" t="s">
        <v>714</v>
      </c>
      <c r="E527" s="132" t="s">
        <v>24</v>
      </c>
      <c r="F527" s="97" t="str">
        <f ca="1">IF(OR(Market_Data[[#This Row],[Start Date]]="",Market_Data[[#This Row],[Completion Date]]=""),"Needs Validation",IF(Market_Data[[#This Row],[Start Date]]&gt;TODAY(),"Planned",IF(Market_Data[[#This Row],[Completion Date]]&lt;TODAY(),"Completed","Ongoing")))</f>
        <v>Completed</v>
      </c>
      <c r="G527" s="324">
        <v>43540</v>
      </c>
      <c r="H527" s="324">
        <v>45836</v>
      </c>
      <c r="I527" s="325">
        <v>55500</v>
      </c>
      <c r="J52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27" s="133">
        <f>_xlfn.XLOOKUP(Market_Data[[#This Row],[Project Type]],tbl_assumptions_market[Project Category (RERA)],tbl_assumptions_market[Concrete Intensity
(m³ / sq m BUA)],"",0)</f>
        <v>0.45</v>
      </c>
      <c r="L527" s="134">
        <f>ROUND(Market_Data[[#This Row],[Estimated Built Up Area (sq m)]]*Market_Data[[#This Row],[Concrete Intensity
(m³ / sq m)]],0)</f>
        <v>24975</v>
      </c>
      <c r="M527" s="135">
        <f>_xlfn.XLOOKUP(Market_Data[[#This Row],[District]],tbl_district_price[District],tbl_district_price[Standard Price
(INR/m³)],"",0)</f>
        <v>6200</v>
      </c>
      <c r="N527" s="364">
        <f>IF(OR(Market_Data[[#This Row],[Estimated Concrete Demand (m³)]]="",Market_Data[[#This Row],[Avg Price per (₹ / m³)]]=""),"",Market_Data[[#This Row],[Estimated Concrete Demand (m³)]]*Market_Data[[#This Row],[Avg Price per (₹ / m³)]]/10000000)</f>
        <v>15.484500000000001</v>
      </c>
      <c r="O527" s="97" t="str">
        <f>IF(Market_Data[[#This Row],[Estimated Concrete Demand (m³)]]="","",
IF(Market_Data[[#This Row],[Estimated Concrete Demand (m³)]]&lt;10000,"Small",
IF(Market_Data[[#This Row],[Estimated Concrete Demand (m³)]]&lt;25000,"Medium",
IF(Market_Data[[#This Row],[Estimated Concrete Demand (m³)]]&lt;100000,"Large","Mega"))))</f>
        <v>Medium</v>
      </c>
      <c r="P527" s="287" t="str">
        <f t="shared" si="10"/>
        <v>GujRERA</v>
      </c>
    </row>
    <row r="528" spans="1:16">
      <c r="A528" s="129" t="str">
        <f>_xlfn.XLOOKUP(B528,$S$9:$S$14,$T$9:$T$14)&amp;"-"&amp;
IF(E528="Residential/Group Housing","RES",
IF(E528="Commercial","COM",
IF(E528="Mixed Development","MIX",
IF(E528="Plotted Development","PLT","OTH"))))
&amp;"-"&amp;TEXT(COUNTIFS($B$9:B528,B528,$E$9:E528,E528),"0000")</f>
        <v>SUR-COM-0031</v>
      </c>
      <c r="B528" s="322" t="s">
        <v>34</v>
      </c>
      <c r="C528" s="322" t="s">
        <v>34</v>
      </c>
      <c r="D528" s="323" t="s">
        <v>715</v>
      </c>
      <c r="E528" s="132" t="s">
        <v>23</v>
      </c>
      <c r="F528" s="97" t="str">
        <f ca="1">IF(OR(Market_Data[[#This Row],[Start Date]]="",Market_Data[[#This Row],[Completion Date]]=""),"Needs Validation",IF(Market_Data[[#This Row],[Start Date]]&gt;TODAY(),"Planned",IF(Market_Data[[#This Row],[Completion Date]]&lt;TODAY(),"Completed","Ongoing")))</f>
        <v>Completed</v>
      </c>
      <c r="G528" s="324">
        <v>42401</v>
      </c>
      <c r="H528" s="324">
        <v>44201</v>
      </c>
      <c r="I528" s="325">
        <v>14700</v>
      </c>
      <c r="J52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28" s="133">
        <f>_xlfn.XLOOKUP(Market_Data[[#This Row],[Project Type]],tbl_assumptions_market[Project Category (RERA)],tbl_assumptions_market[Concrete Intensity
(m³ / sq m BUA)],"",0)</f>
        <v>0.5</v>
      </c>
      <c r="L528" s="134">
        <f>ROUND(Market_Data[[#This Row],[Estimated Built Up Area (sq m)]]*Market_Data[[#This Row],[Concrete Intensity
(m³ / sq m)]],0)</f>
        <v>7350</v>
      </c>
      <c r="M528" s="135">
        <f>_xlfn.XLOOKUP(Market_Data[[#This Row],[District]],tbl_district_price[District],tbl_district_price[Standard Price
(INR/m³)],"",0)</f>
        <v>6200</v>
      </c>
      <c r="N528" s="364">
        <f>IF(OR(Market_Data[[#This Row],[Estimated Concrete Demand (m³)]]="",Market_Data[[#This Row],[Avg Price per (₹ / m³)]]=""),"",Market_Data[[#This Row],[Estimated Concrete Demand (m³)]]*Market_Data[[#This Row],[Avg Price per (₹ / m³)]]/10000000)</f>
        <v>4.5570000000000004</v>
      </c>
      <c r="O528" s="97" t="str">
        <f>IF(Market_Data[[#This Row],[Estimated Concrete Demand (m³)]]="","",
IF(Market_Data[[#This Row],[Estimated Concrete Demand (m³)]]&lt;10000,"Small",
IF(Market_Data[[#This Row],[Estimated Concrete Demand (m³)]]&lt;25000,"Medium",
IF(Market_Data[[#This Row],[Estimated Concrete Demand (m³)]]&lt;100000,"Large","Mega"))))</f>
        <v>Small</v>
      </c>
      <c r="P528" s="287" t="str">
        <f t="shared" si="10"/>
        <v>GujRERA</v>
      </c>
    </row>
    <row r="529" spans="1:16">
      <c r="A529" s="129" t="str">
        <f>_xlfn.XLOOKUP(B529,$S$9:$S$14,$T$9:$T$14)&amp;"-"&amp;
IF(E529="Residential/Group Housing","RES",
IF(E529="Commercial","COM",
IF(E529="Mixed Development","MIX",
IF(E529="Plotted Development","PLT","OTH"))))
&amp;"-"&amp;TEXT(COUNTIFS($B$9:B529,B529,$E$9:E529,E529),"0000")</f>
        <v>SUR-COM-0032</v>
      </c>
      <c r="B529" s="322" t="s">
        <v>34</v>
      </c>
      <c r="C529" s="322" t="s">
        <v>34</v>
      </c>
      <c r="D529" s="323" t="s">
        <v>716</v>
      </c>
      <c r="E529" s="132" t="s">
        <v>23</v>
      </c>
      <c r="F529" s="97" t="str">
        <f ca="1">IF(OR(Market_Data[[#This Row],[Start Date]]="",Market_Data[[#This Row],[Completion Date]]=""),"Needs Validation",IF(Market_Data[[#This Row],[Start Date]]&gt;TODAY(),"Planned",IF(Market_Data[[#This Row],[Completion Date]]&lt;TODAY(),"Completed","Ongoing")))</f>
        <v>Completed</v>
      </c>
      <c r="G529" s="324">
        <v>42833</v>
      </c>
      <c r="H529" s="324">
        <v>44104</v>
      </c>
      <c r="I529" s="325">
        <v>12500</v>
      </c>
      <c r="J52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29" s="133">
        <f>_xlfn.XLOOKUP(Market_Data[[#This Row],[Project Type]],tbl_assumptions_market[Project Category (RERA)],tbl_assumptions_market[Concrete Intensity
(m³ / sq m BUA)],"",0)</f>
        <v>0.5</v>
      </c>
      <c r="L529" s="134">
        <f>ROUND(Market_Data[[#This Row],[Estimated Built Up Area (sq m)]]*Market_Data[[#This Row],[Concrete Intensity
(m³ / sq m)]],0)</f>
        <v>6250</v>
      </c>
      <c r="M529" s="135">
        <f>_xlfn.XLOOKUP(Market_Data[[#This Row],[District]],tbl_district_price[District],tbl_district_price[Standard Price
(INR/m³)],"",0)</f>
        <v>6200</v>
      </c>
      <c r="N529" s="364">
        <f>IF(OR(Market_Data[[#This Row],[Estimated Concrete Demand (m³)]]="",Market_Data[[#This Row],[Avg Price per (₹ / m³)]]=""),"",Market_Data[[#This Row],[Estimated Concrete Demand (m³)]]*Market_Data[[#This Row],[Avg Price per (₹ / m³)]]/10000000)</f>
        <v>3.875</v>
      </c>
      <c r="O529" s="97" t="str">
        <f>IF(Market_Data[[#This Row],[Estimated Concrete Demand (m³)]]="","",
IF(Market_Data[[#This Row],[Estimated Concrete Demand (m³)]]&lt;10000,"Small",
IF(Market_Data[[#This Row],[Estimated Concrete Demand (m³)]]&lt;25000,"Medium",
IF(Market_Data[[#This Row],[Estimated Concrete Demand (m³)]]&lt;100000,"Large","Mega"))))</f>
        <v>Small</v>
      </c>
      <c r="P529" s="287" t="str">
        <f t="shared" si="10"/>
        <v>GujRERA</v>
      </c>
    </row>
    <row r="530" spans="1:16">
      <c r="A530" s="129" t="str">
        <f>_xlfn.XLOOKUP(B530,$S$9:$S$14,$T$9:$T$14)&amp;"-"&amp;
IF(E530="Residential/Group Housing","RES",
IF(E530="Commercial","COM",
IF(E530="Mixed Development","MIX",
IF(E530="Plotted Development","PLT","OTH"))))
&amp;"-"&amp;TEXT(COUNTIFS($B$9:B530,B530,$E$9:E530,E530),"0000")</f>
        <v>SUR-RES-0071</v>
      </c>
      <c r="B530" s="322" t="s">
        <v>34</v>
      </c>
      <c r="C530" s="322" t="s">
        <v>34</v>
      </c>
      <c r="D530" s="323" t="s">
        <v>717</v>
      </c>
      <c r="E530" s="132" t="s">
        <v>24</v>
      </c>
      <c r="F530" s="97" t="str">
        <f ca="1">IF(OR(Market_Data[[#This Row],[Start Date]]="",Market_Data[[#This Row],[Completion Date]]=""),"Needs Validation",IF(Market_Data[[#This Row],[Start Date]]&gt;TODAY(),"Planned",IF(Market_Data[[#This Row],[Completion Date]]&lt;TODAY(),"Completed","Ongoing")))</f>
        <v>Completed</v>
      </c>
      <c r="G530" s="324">
        <v>43431</v>
      </c>
      <c r="H530" s="324">
        <v>45564</v>
      </c>
      <c r="I530" s="325">
        <v>30300</v>
      </c>
      <c r="J53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30" s="133">
        <f>_xlfn.XLOOKUP(Market_Data[[#This Row],[Project Type]],tbl_assumptions_market[Project Category (RERA)],tbl_assumptions_market[Concrete Intensity
(m³ / sq m BUA)],"",0)</f>
        <v>0.45</v>
      </c>
      <c r="L530" s="134">
        <f>ROUND(Market_Data[[#This Row],[Estimated Built Up Area (sq m)]]*Market_Data[[#This Row],[Concrete Intensity
(m³ / sq m)]],0)</f>
        <v>13635</v>
      </c>
      <c r="M530" s="135">
        <f>_xlfn.XLOOKUP(Market_Data[[#This Row],[District]],tbl_district_price[District],tbl_district_price[Standard Price
(INR/m³)],"",0)</f>
        <v>6200</v>
      </c>
      <c r="N530" s="364">
        <f>IF(OR(Market_Data[[#This Row],[Estimated Concrete Demand (m³)]]="",Market_Data[[#This Row],[Avg Price per (₹ / m³)]]=""),"",Market_Data[[#This Row],[Estimated Concrete Demand (m³)]]*Market_Data[[#This Row],[Avg Price per (₹ / m³)]]/10000000)</f>
        <v>8.4536999999999995</v>
      </c>
      <c r="O530" s="97" t="str">
        <f>IF(Market_Data[[#This Row],[Estimated Concrete Demand (m³)]]="","",
IF(Market_Data[[#This Row],[Estimated Concrete Demand (m³)]]&lt;10000,"Small",
IF(Market_Data[[#This Row],[Estimated Concrete Demand (m³)]]&lt;25000,"Medium",
IF(Market_Data[[#This Row],[Estimated Concrete Demand (m³)]]&lt;100000,"Large","Mega"))))</f>
        <v>Medium</v>
      </c>
      <c r="P530" s="287" t="str">
        <f t="shared" si="10"/>
        <v>GujRERA</v>
      </c>
    </row>
    <row r="531" spans="1:16">
      <c r="A531" s="129" t="str">
        <f>_xlfn.XLOOKUP(B531,$S$9:$S$14,$T$9:$T$14)&amp;"-"&amp;
IF(E531="Residential/Group Housing","RES",
IF(E531="Commercial","COM",
IF(E531="Mixed Development","MIX",
IF(E531="Plotted Development","PLT","OTH"))))
&amp;"-"&amp;TEXT(COUNTIFS($B$9:B531,B531,$E$9:E531,E531),"0000")</f>
        <v>SUR-COM-0033</v>
      </c>
      <c r="B531" s="322" t="s">
        <v>34</v>
      </c>
      <c r="C531" s="322" t="s">
        <v>34</v>
      </c>
      <c r="D531" s="323" t="s">
        <v>718</v>
      </c>
      <c r="E531" s="132" t="s">
        <v>23</v>
      </c>
      <c r="F531" s="97" t="str">
        <f ca="1">IF(OR(Market_Data[[#This Row],[Start Date]]="",Market_Data[[#This Row],[Completion Date]]=""),"Needs Validation",IF(Market_Data[[#This Row],[Start Date]]&gt;TODAY(),"Planned",IF(Market_Data[[#This Row],[Completion Date]]&lt;TODAY(),"Completed","Ongoing")))</f>
        <v>Completed</v>
      </c>
      <c r="G531" s="324">
        <v>42059</v>
      </c>
      <c r="H531" s="324">
        <v>43039</v>
      </c>
      <c r="I531" s="325">
        <v>6300</v>
      </c>
      <c r="J53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31" s="133">
        <f>_xlfn.XLOOKUP(Market_Data[[#This Row],[Project Type]],tbl_assumptions_market[Project Category (RERA)],tbl_assumptions_market[Concrete Intensity
(m³ / sq m BUA)],"",0)</f>
        <v>0.5</v>
      </c>
      <c r="L531" s="134">
        <f>ROUND(Market_Data[[#This Row],[Estimated Built Up Area (sq m)]]*Market_Data[[#This Row],[Concrete Intensity
(m³ / sq m)]],0)</f>
        <v>3150</v>
      </c>
      <c r="M531" s="135">
        <f>_xlfn.XLOOKUP(Market_Data[[#This Row],[District]],tbl_district_price[District],tbl_district_price[Standard Price
(INR/m³)],"",0)</f>
        <v>6200</v>
      </c>
      <c r="N531" s="364">
        <f>IF(OR(Market_Data[[#This Row],[Estimated Concrete Demand (m³)]]="",Market_Data[[#This Row],[Avg Price per (₹ / m³)]]=""),"",Market_Data[[#This Row],[Estimated Concrete Demand (m³)]]*Market_Data[[#This Row],[Avg Price per (₹ / m³)]]/10000000)</f>
        <v>1.9530000000000001</v>
      </c>
      <c r="O531" s="97" t="str">
        <f>IF(Market_Data[[#This Row],[Estimated Concrete Demand (m³)]]="","",
IF(Market_Data[[#This Row],[Estimated Concrete Demand (m³)]]&lt;10000,"Small",
IF(Market_Data[[#This Row],[Estimated Concrete Demand (m³)]]&lt;25000,"Medium",
IF(Market_Data[[#This Row],[Estimated Concrete Demand (m³)]]&lt;100000,"Large","Mega"))))</f>
        <v>Small</v>
      </c>
      <c r="P531" s="287" t="str">
        <f t="shared" si="10"/>
        <v>GujRERA</v>
      </c>
    </row>
    <row r="532" spans="1:16">
      <c r="A532" s="129" t="str">
        <f>_xlfn.XLOOKUP(B532,$S$9:$S$14,$T$9:$T$14)&amp;"-"&amp;
IF(E532="Residential/Group Housing","RES",
IF(E532="Commercial","COM",
IF(E532="Mixed Development","MIX",
IF(E532="Plotted Development","PLT","OTH"))))
&amp;"-"&amp;TEXT(COUNTIFS($B$9:B532,B532,$E$9:E532,E532),"0000")</f>
        <v>SUR-RES-0072</v>
      </c>
      <c r="B532" s="322" t="s">
        <v>34</v>
      </c>
      <c r="C532" s="322" t="s">
        <v>34</v>
      </c>
      <c r="D532" s="323" t="s">
        <v>719</v>
      </c>
      <c r="E532" s="132" t="s">
        <v>24</v>
      </c>
      <c r="F532" s="97" t="str">
        <f ca="1">IF(OR(Market_Data[[#This Row],[Start Date]]="",Market_Data[[#This Row],[Completion Date]]=""),"Needs Validation",IF(Market_Data[[#This Row],[Start Date]]&gt;TODAY(),"Planned",IF(Market_Data[[#This Row],[Completion Date]]&lt;TODAY(),"Completed","Ongoing")))</f>
        <v>Completed</v>
      </c>
      <c r="G532" s="324">
        <v>44571</v>
      </c>
      <c r="H532" s="324">
        <v>45382</v>
      </c>
      <c r="I532" s="325">
        <v>19500</v>
      </c>
      <c r="J53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32" s="133">
        <f>_xlfn.XLOOKUP(Market_Data[[#This Row],[Project Type]],tbl_assumptions_market[Project Category (RERA)],tbl_assumptions_market[Concrete Intensity
(m³ / sq m BUA)],"",0)</f>
        <v>0.45</v>
      </c>
      <c r="L532" s="134">
        <f>ROUND(Market_Data[[#This Row],[Estimated Built Up Area (sq m)]]*Market_Data[[#This Row],[Concrete Intensity
(m³ / sq m)]],0)</f>
        <v>8775</v>
      </c>
      <c r="M532" s="135">
        <f>_xlfn.XLOOKUP(Market_Data[[#This Row],[District]],tbl_district_price[District],tbl_district_price[Standard Price
(INR/m³)],"",0)</f>
        <v>6200</v>
      </c>
      <c r="N532" s="364">
        <f>IF(OR(Market_Data[[#This Row],[Estimated Concrete Demand (m³)]]="",Market_Data[[#This Row],[Avg Price per (₹ / m³)]]=""),"",Market_Data[[#This Row],[Estimated Concrete Demand (m³)]]*Market_Data[[#This Row],[Avg Price per (₹ / m³)]]/10000000)</f>
        <v>5.4405000000000001</v>
      </c>
      <c r="O532" s="97" t="str">
        <f>IF(Market_Data[[#This Row],[Estimated Concrete Demand (m³)]]="","",
IF(Market_Data[[#This Row],[Estimated Concrete Demand (m³)]]&lt;10000,"Small",
IF(Market_Data[[#This Row],[Estimated Concrete Demand (m³)]]&lt;25000,"Medium",
IF(Market_Data[[#This Row],[Estimated Concrete Demand (m³)]]&lt;100000,"Large","Mega"))))</f>
        <v>Small</v>
      </c>
      <c r="P532" s="287" t="str">
        <f t="shared" si="10"/>
        <v>GujRERA</v>
      </c>
    </row>
    <row r="533" spans="1:16">
      <c r="A533" s="129" t="str">
        <f>_xlfn.XLOOKUP(B533,$S$9:$S$14,$T$9:$T$14)&amp;"-"&amp;
IF(E533="Residential/Group Housing","RES",
IF(E533="Commercial","COM",
IF(E533="Mixed Development","MIX",
IF(E533="Plotted Development","PLT","OTH"))))
&amp;"-"&amp;TEXT(COUNTIFS($B$9:B533,B533,$E$9:E533,E533),"0000")</f>
        <v>SUR-PLT-0065</v>
      </c>
      <c r="B533" s="322" t="s">
        <v>34</v>
      </c>
      <c r="C533" s="322" t="s">
        <v>34</v>
      </c>
      <c r="D533" s="323" t="s">
        <v>720</v>
      </c>
      <c r="E533" s="132" t="s">
        <v>26</v>
      </c>
      <c r="F533" s="97" t="str">
        <f ca="1">IF(OR(Market_Data[[#This Row],[Start Date]]="",Market_Data[[#This Row],[Completion Date]]=""),"Needs Validation",IF(Market_Data[[#This Row],[Start Date]]&gt;TODAY(),"Planned",IF(Market_Data[[#This Row],[Completion Date]]&lt;TODAY(),"Completed","Ongoing")))</f>
        <v>Completed</v>
      </c>
      <c r="G533" s="324">
        <v>44602</v>
      </c>
      <c r="H533" s="324">
        <v>45657</v>
      </c>
      <c r="I533" s="325">
        <v>51300</v>
      </c>
      <c r="J53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533" s="133">
        <f>_xlfn.XLOOKUP(Market_Data[[#This Row],[Project Type]],tbl_assumptions_market[Project Category (RERA)],tbl_assumptions_market[Concrete Intensity
(m³ / sq m BUA)],"",0)</f>
        <v>0.18</v>
      </c>
      <c r="L533" s="134">
        <f>ROUND(Market_Data[[#This Row],[Estimated Built Up Area (sq m)]]*Market_Data[[#This Row],[Concrete Intensity
(m³ / sq m)]],0)</f>
        <v>9234</v>
      </c>
      <c r="M533" s="135">
        <f>_xlfn.XLOOKUP(Market_Data[[#This Row],[District]],tbl_district_price[District],tbl_district_price[Standard Price
(INR/m³)],"",0)</f>
        <v>6200</v>
      </c>
      <c r="N533" s="364">
        <f>IF(OR(Market_Data[[#This Row],[Estimated Concrete Demand (m³)]]="",Market_Data[[#This Row],[Avg Price per (₹ / m³)]]=""),"",Market_Data[[#This Row],[Estimated Concrete Demand (m³)]]*Market_Data[[#This Row],[Avg Price per (₹ / m³)]]/10000000)</f>
        <v>5.7250800000000002</v>
      </c>
      <c r="O533" s="97" t="str">
        <f>IF(Market_Data[[#This Row],[Estimated Concrete Demand (m³)]]="","",
IF(Market_Data[[#This Row],[Estimated Concrete Demand (m³)]]&lt;10000,"Small",
IF(Market_Data[[#This Row],[Estimated Concrete Demand (m³)]]&lt;25000,"Medium",
IF(Market_Data[[#This Row],[Estimated Concrete Demand (m³)]]&lt;100000,"Large","Mega"))))</f>
        <v>Small</v>
      </c>
      <c r="P533" s="287" t="str">
        <f t="shared" si="10"/>
        <v>GujRERA</v>
      </c>
    </row>
    <row r="534" spans="1:16">
      <c r="A534" s="129" t="str">
        <f>_xlfn.XLOOKUP(B534,$S$9:$S$14,$T$9:$T$14)&amp;"-"&amp;
IF(E534="Residential/Group Housing","RES",
IF(E534="Commercial","COM",
IF(E534="Mixed Development","MIX",
IF(E534="Plotted Development","PLT","OTH"))))
&amp;"-"&amp;TEXT(COUNTIFS($B$9:B534,B534,$E$9:E534,E534),"0000")</f>
        <v>SUR-COM-0034</v>
      </c>
      <c r="B534" s="322" t="s">
        <v>34</v>
      </c>
      <c r="C534" s="322" t="s">
        <v>34</v>
      </c>
      <c r="D534" s="323" t="s">
        <v>721</v>
      </c>
      <c r="E534" s="132" t="s">
        <v>23</v>
      </c>
      <c r="F534" s="97" t="str">
        <f ca="1">IF(OR(Market_Data[[#This Row],[Start Date]]="",Market_Data[[#This Row],[Completion Date]]=""),"Needs Validation",IF(Market_Data[[#This Row],[Start Date]]&gt;TODAY(),"Planned",IF(Market_Data[[#This Row],[Completion Date]]&lt;TODAY(),"Completed","Ongoing")))</f>
        <v>Completed</v>
      </c>
      <c r="G534" s="324">
        <v>44234</v>
      </c>
      <c r="H534" s="324">
        <v>45382</v>
      </c>
      <c r="I534" s="325">
        <v>56000</v>
      </c>
      <c r="J53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534" s="133">
        <f>_xlfn.XLOOKUP(Market_Data[[#This Row],[Project Type]],tbl_assumptions_market[Project Category (RERA)],tbl_assumptions_market[Concrete Intensity
(m³ / sq m BUA)],"",0)</f>
        <v>0.5</v>
      </c>
      <c r="L534" s="134">
        <f>ROUND(Market_Data[[#This Row],[Estimated Built Up Area (sq m)]]*Market_Data[[#This Row],[Concrete Intensity
(m³ / sq m)]],0)</f>
        <v>28000</v>
      </c>
      <c r="M534" s="135">
        <f>_xlfn.XLOOKUP(Market_Data[[#This Row],[District]],tbl_district_price[District],tbl_district_price[Standard Price
(INR/m³)],"",0)</f>
        <v>6200</v>
      </c>
      <c r="N534" s="364">
        <f>IF(OR(Market_Data[[#This Row],[Estimated Concrete Demand (m³)]]="",Market_Data[[#This Row],[Avg Price per (₹ / m³)]]=""),"",Market_Data[[#This Row],[Estimated Concrete Demand (m³)]]*Market_Data[[#This Row],[Avg Price per (₹ / m³)]]/10000000)</f>
        <v>17.36</v>
      </c>
      <c r="O534" s="97" t="str">
        <f>IF(Market_Data[[#This Row],[Estimated Concrete Demand (m³)]]="","",
IF(Market_Data[[#This Row],[Estimated Concrete Demand (m³)]]&lt;10000,"Small",
IF(Market_Data[[#This Row],[Estimated Concrete Demand (m³)]]&lt;25000,"Medium",
IF(Market_Data[[#This Row],[Estimated Concrete Demand (m³)]]&lt;100000,"Large","Mega"))))</f>
        <v>Large</v>
      </c>
      <c r="P534" s="287" t="str">
        <f t="shared" si="10"/>
        <v>GujRERA</v>
      </c>
    </row>
    <row r="535" spans="1:16">
      <c r="A535" s="129" t="str">
        <f>_xlfn.XLOOKUP(B535,$S$9:$S$14,$T$9:$T$14)&amp;"-"&amp;
IF(E535="Residential/Group Housing","RES",
IF(E535="Commercial","COM",
IF(E535="Mixed Development","MIX",
IF(E535="Plotted Development","PLT","OTH"))))
&amp;"-"&amp;TEXT(COUNTIFS($B$9:B535,B535,$E$9:E535,E535),"0000")</f>
        <v>SUR-RES-0073</v>
      </c>
      <c r="B535" s="322" t="s">
        <v>34</v>
      </c>
      <c r="C535" s="322" t="s">
        <v>34</v>
      </c>
      <c r="D535" s="323" t="s">
        <v>722</v>
      </c>
      <c r="E535" s="132" t="s">
        <v>24</v>
      </c>
      <c r="F535" s="97" t="str">
        <f ca="1">IF(OR(Market_Data[[#This Row],[Start Date]]="",Market_Data[[#This Row],[Completion Date]]=""),"Needs Validation",IF(Market_Data[[#This Row],[Start Date]]&gt;TODAY(),"Planned",IF(Market_Data[[#This Row],[Completion Date]]&lt;TODAY(),"Completed","Ongoing")))</f>
        <v>Ongoing</v>
      </c>
      <c r="G535" s="324">
        <v>44503</v>
      </c>
      <c r="H535" s="324">
        <v>46387</v>
      </c>
      <c r="I535" s="325">
        <v>55300</v>
      </c>
      <c r="J53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35" s="133">
        <f>_xlfn.XLOOKUP(Market_Data[[#This Row],[Project Type]],tbl_assumptions_market[Project Category (RERA)],tbl_assumptions_market[Concrete Intensity
(m³ / sq m BUA)],"",0)</f>
        <v>0.45</v>
      </c>
      <c r="L535" s="134">
        <f>ROUND(Market_Data[[#This Row],[Estimated Built Up Area (sq m)]]*Market_Data[[#This Row],[Concrete Intensity
(m³ / sq m)]],0)</f>
        <v>24885</v>
      </c>
      <c r="M535" s="135">
        <f>_xlfn.XLOOKUP(Market_Data[[#This Row],[District]],tbl_district_price[District],tbl_district_price[Standard Price
(INR/m³)],"",0)</f>
        <v>6200</v>
      </c>
      <c r="N535" s="364">
        <f>IF(OR(Market_Data[[#This Row],[Estimated Concrete Demand (m³)]]="",Market_Data[[#This Row],[Avg Price per (₹ / m³)]]=""),"",Market_Data[[#This Row],[Estimated Concrete Demand (m³)]]*Market_Data[[#This Row],[Avg Price per (₹ / m³)]]/10000000)</f>
        <v>15.428699999999999</v>
      </c>
      <c r="O535" s="97" t="str">
        <f>IF(Market_Data[[#This Row],[Estimated Concrete Demand (m³)]]="","",
IF(Market_Data[[#This Row],[Estimated Concrete Demand (m³)]]&lt;10000,"Small",
IF(Market_Data[[#This Row],[Estimated Concrete Demand (m³)]]&lt;25000,"Medium",
IF(Market_Data[[#This Row],[Estimated Concrete Demand (m³)]]&lt;100000,"Large","Mega"))))</f>
        <v>Medium</v>
      </c>
      <c r="P535" s="287" t="str">
        <f t="shared" si="10"/>
        <v>GujRERA</v>
      </c>
    </row>
    <row r="536" spans="1:16">
      <c r="A536" s="129" t="str">
        <f>_xlfn.XLOOKUP(B536,$S$9:$S$14,$T$9:$T$14)&amp;"-"&amp;
IF(E536="Residential/Group Housing","RES",
IF(E536="Commercial","COM",
IF(E536="Mixed Development","MIX",
IF(E536="Plotted Development","PLT","OTH"))))
&amp;"-"&amp;TEXT(COUNTIFS($B$9:B536,B536,$E$9:E536,E536),"0000")</f>
        <v>SUR-COM-0035</v>
      </c>
      <c r="B536" s="322" t="s">
        <v>34</v>
      </c>
      <c r="C536" s="322" t="s">
        <v>34</v>
      </c>
      <c r="D536" s="323" t="s">
        <v>723</v>
      </c>
      <c r="E536" s="132" t="s">
        <v>23</v>
      </c>
      <c r="F536" s="97" t="str">
        <f ca="1">IF(OR(Market_Data[[#This Row],[Start Date]]="",Market_Data[[#This Row],[Completion Date]]=""),"Needs Validation",IF(Market_Data[[#This Row],[Start Date]]&gt;TODAY(),"Planned",IF(Market_Data[[#This Row],[Completion Date]]&lt;TODAY(),"Completed","Ongoing")))</f>
        <v>Ongoing</v>
      </c>
      <c r="G536" s="324">
        <v>46022</v>
      </c>
      <c r="H536" s="324">
        <v>47848</v>
      </c>
      <c r="I536" s="325">
        <v>34500</v>
      </c>
      <c r="J53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536" s="133">
        <f>_xlfn.XLOOKUP(Market_Data[[#This Row],[Project Type]],tbl_assumptions_market[Project Category (RERA)],tbl_assumptions_market[Concrete Intensity
(m³ / sq m BUA)],"",0)</f>
        <v>0.5</v>
      </c>
      <c r="L536" s="134">
        <f>ROUND(Market_Data[[#This Row],[Estimated Built Up Area (sq m)]]*Market_Data[[#This Row],[Concrete Intensity
(m³ / sq m)]],0)</f>
        <v>17250</v>
      </c>
      <c r="M536" s="135">
        <f>_xlfn.XLOOKUP(Market_Data[[#This Row],[District]],tbl_district_price[District],tbl_district_price[Standard Price
(INR/m³)],"",0)</f>
        <v>6200</v>
      </c>
      <c r="N536" s="364">
        <f>IF(OR(Market_Data[[#This Row],[Estimated Concrete Demand (m³)]]="",Market_Data[[#This Row],[Avg Price per (₹ / m³)]]=""),"",Market_Data[[#This Row],[Estimated Concrete Demand (m³)]]*Market_Data[[#This Row],[Avg Price per (₹ / m³)]]/10000000)</f>
        <v>10.695</v>
      </c>
      <c r="O536" s="97" t="str">
        <f>IF(Market_Data[[#This Row],[Estimated Concrete Demand (m³)]]="","",
IF(Market_Data[[#This Row],[Estimated Concrete Demand (m³)]]&lt;10000,"Small",
IF(Market_Data[[#This Row],[Estimated Concrete Demand (m³)]]&lt;25000,"Medium",
IF(Market_Data[[#This Row],[Estimated Concrete Demand (m³)]]&lt;100000,"Large","Mega"))))</f>
        <v>Medium</v>
      </c>
      <c r="P536" s="287" t="str">
        <f t="shared" si="10"/>
        <v>GujRERA</v>
      </c>
    </row>
    <row r="537" spans="1:16">
      <c r="A537" s="129" t="str">
        <f>_xlfn.XLOOKUP(B537,$S$9:$S$14,$T$9:$T$14)&amp;"-"&amp;
IF(E537="Residential/Group Housing","RES",
IF(E537="Commercial","COM",
IF(E537="Mixed Development","MIX",
IF(E537="Plotted Development","PLT","OTH"))))
&amp;"-"&amp;TEXT(COUNTIFS($B$9:B537,B537,$E$9:E537,E537),"0000")</f>
        <v>SUR-MIX-0046</v>
      </c>
      <c r="B537" s="322" t="s">
        <v>34</v>
      </c>
      <c r="C537" s="322" t="s">
        <v>724</v>
      </c>
      <c r="D537" s="323" t="s">
        <v>725</v>
      </c>
      <c r="E537" s="132" t="s">
        <v>25</v>
      </c>
      <c r="F537" s="97" t="str">
        <f ca="1">IF(OR(Market_Data[[#This Row],[Start Date]]="",Market_Data[[#This Row],[Completion Date]]=""),"Needs Validation",IF(Market_Data[[#This Row],[Start Date]]&gt;TODAY(),"Planned",IF(Market_Data[[#This Row],[Completion Date]]&lt;TODAY(),"Completed","Ongoing")))</f>
        <v>Ongoing</v>
      </c>
      <c r="G537" s="324">
        <v>44682</v>
      </c>
      <c r="H537" s="324">
        <v>47208</v>
      </c>
      <c r="I537" s="325">
        <v>47300</v>
      </c>
      <c r="J53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37" s="133">
        <f>_xlfn.XLOOKUP(Market_Data[[#This Row],[Project Type]],tbl_assumptions_market[Project Category (RERA)],tbl_assumptions_market[Concrete Intensity
(m³ / sq m BUA)],"",0)</f>
        <v>0.42</v>
      </c>
      <c r="L537" s="134">
        <f>ROUND(Market_Data[[#This Row],[Estimated Built Up Area (sq m)]]*Market_Data[[#This Row],[Concrete Intensity
(m³ / sq m)]],0)</f>
        <v>19866</v>
      </c>
      <c r="M537" s="135">
        <f>_xlfn.XLOOKUP(Market_Data[[#This Row],[District]],tbl_district_price[District],tbl_district_price[Standard Price
(INR/m³)],"",0)</f>
        <v>6200</v>
      </c>
      <c r="N537" s="364">
        <f>IF(OR(Market_Data[[#This Row],[Estimated Concrete Demand (m³)]]="",Market_Data[[#This Row],[Avg Price per (₹ / m³)]]=""),"",Market_Data[[#This Row],[Estimated Concrete Demand (m³)]]*Market_Data[[#This Row],[Avg Price per (₹ / m³)]]/10000000)</f>
        <v>12.31692</v>
      </c>
      <c r="O537" s="97" t="str">
        <f>IF(Market_Data[[#This Row],[Estimated Concrete Demand (m³)]]="","",
IF(Market_Data[[#This Row],[Estimated Concrete Demand (m³)]]&lt;10000,"Small",
IF(Market_Data[[#This Row],[Estimated Concrete Demand (m³)]]&lt;25000,"Medium",
IF(Market_Data[[#This Row],[Estimated Concrete Demand (m³)]]&lt;100000,"Large","Mega"))))</f>
        <v>Medium</v>
      </c>
      <c r="P537" s="287" t="str">
        <f t="shared" si="10"/>
        <v>GujRERA</v>
      </c>
    </row>
    <row r="538" spans="1:16">
      <c r="A538" s="129" t="str">
        <f>_xlfn.XLOOKUP(B538,$S$9:$S$14,$T$9:$T$14)&amp;"-"&amp;
IF(E538="Residential/Group Housing","RES",
IF(E538="Commercial","COM",
IF(E538="Mixed Development","MIX",
IF(E538="Plotted Development","PLT","OTH"))))
&amp;"-"&amp;TEXT(COUNTIFS($B$9:B538,B538,$E$9:E538,E538),"0000")</f>
        <v>SUR-COM-0036</v>
      </c>
      <c r="B538" s="322" t="s">
        <v>34</v>
      </c>
      <c r="C538" s="322" t="s">
        <v>34</v>
      </c>
      <c r="D538" s="323" t="s">
        <v>726</v>
      </c>
      <c r="E538" s="132" t="s">
        <v>23</v>
      </c>
      <c r="F538" s="97" t="str">
        <f ca="1">IF(OR(Market_Data[[#This Row],[Start Date]]="",Market_Data[[#This Row],[Completion Date]]=""),"Needs Validation",IF(Market_Data[[#This Row],[Start Date]]&gt;TODAY(),"Planned",IF(Market_Data[[#This Row],[Completion Date]]&lt;TODAY(),"Completed","Ongoing")))</f>
        <v>Completed</v>
      </c>
      <c r="G538" s="324">
        <v>45001</v>
      </c>
      <c r="H538" s="324">
        <v>46022</v>
      </c>
      <c r="I538" s="325">
        <v>7500</v>
      </c>
      <c r="J53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38" s="133">
        <f>_xlfn.XLOOKUP(Market_Data[[#This Row],[Project Type]],tbl_assumptions_market[Project Category (RERA)],tbl_assumptions_market[Concrete Intensity
(m³ / sq m BUA)],"",0)</f>
        <v>0.5</v>
      </c>
      <c r="L538" s="134">
        <f>ROUND(Market_Data[[#This Row],[Estimated Built Up Area (sq m)]]*Market_Data[[#This Row],[Concrete Intensity
(m³ / sq m)]],0)</f>
        <v>3750</v>
      </c>
      <c r="M538" s="135">
        <f>_xlfn.XLOOKUP(Market_Data[[#This Row],[District]],tbl_district_price[District],tbl_district_price[Standard Price
(INR/m³)],"",0)</f>
        <v>6200</v>
      </c>
      <c r="N538" s="364">
        <f>IF(OR(Market_Data[[#This Row],[Estimated Concrete Demand (m³)]]="",Market_Data[[#This Row],[Avg Price per (₹ / m³)]]=""),"",Market_Data[[#This Row],[Estimated Concrete Demand (m³)]]*Market_Data[[#This Row],[Avg Price per (₹ / m³)]]/10000000)</f>
        <v>2.3250000000000002</v>
      </c>
      <c r="O538" s="97" t="str">
        <f>IF(Market_Data[[#This Row],[Estimated Concrete Demand (m³)]]="","",
IF(Market_Data[[#This Row],[Estimated Concrete Demand (m³)]]&lt;10000,"Small",
IF(Market_Data[[#This Row],[Estimated Concrete Demand (m³)]]&lt;25000,"Medium",
IF(Market_Data[[#This Row],[Estimated Concrete Demand (m³)]]&lt;100000,"Large","Mega"))))</f>
        <v>Small</v>
      </c>
      <c r="P538" s="287" t="str">
        <f t="shared" si="10"/>
        <v>GujRERA</v>
      </c>
    </row>
    <row r="539" spans="1:16">
      <c r="A539" s="129" t="str">
        <f>_xlfn.XLOOKUP(B539,$S$9:$S$14,$T$9:$T$14)&amp;"-"&amp;
IF(E539="Residential/Group Housing","RES",
IF(E539="Commercial","COM",
IF(E539="Mixed Development","MIX",
IF(E539="Plotted Development","PLT","OTH"))))
&amp;"-"&amp;TEXT(COUNTIFS($B$9:B539,B539,$E$9:E539,E539),"0000")</f>
        <v>SUR-COM-0037</v>
      </c>
      <c r="B539" s="322" t="s">
        <v>34</v>
      </c>
      <c r="C539" s="322" t="s">
        <v>34</v>
      </c>
      <c r="D539" s="323" t="s">
        <v>727</v>
      </c>
      <c r="E539" s="132" t="s">
        <v>23</v>
      </c>
      <c r="F539" s="97" t="str">
        <f ca="1">IF(OR(Market_Data[[#This Row],[Start Date]]="",Market_Data[[#This Row],[Completion Date]]=""),"Needs Validation",IF(Market_Data[[#This Row],[Start Date]]&gt;TODAY(),"Planned",IF(Market_Data[[#This Row],[Completion Date]]&lt;TODAY(),"Completed","Ongoing")))</f>
        <v>Completed</v>
      </c>
      <c r="G539" s="324">
        <v>42917</v>
      </c>
      <c r="H539" s="324">
        <v>44742</v>
      </c>
      <c r="I539" s="325">
        <v>19900</v>
      </c>
      <c r="J53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39" s="133">
        <f>_xlfn.XLOOKUP(Market_Data[[#This Row],[Project Type]],tbl_assumptions_market[Project Category (RERA)],tbl_assumptions_market[Concrete Intensity
(m³ / sq m BUA)],"",0)</f>
        <v>0.5</v>
      </c>
      <c r="L539" s="134">
        <f>ROUND(Market_Data[[#This Row],[Estimated Built Up Area (sq m)]]*Market_Data[[#This Row],[Concrete Intensity
(m³ / sq m)]],0)</f>
        <v>9950</v>
      </c>
      <c r="M539" s="135">
        <f>_xlfn.XLOOKUP(Market_Data[[#This Row],[District]],tbl_district_price[District],tbl_district_price[Standard Price
(INR/m³)],"",0)</f>
        <v>6200</v>
      </c>
      <c r="N539" s="364">
        <f>IF(OR(Market_Data[[#This Row],[Estimated Concrete Demand (m³)]]="",Market_Data[[#This Row],[Avg Price per (₹ / m³)]]=""),"",Market_Data[[#This Row],[Estimated Concrete Demand (m³)]]*Market_Data[[#This Row],[Avg Price per (₹ / m³)]]/10000000)</f>
        <v>6.1689999999999996</v>
      </c>
      <c r="O539" s="97" t="str">
        <f>IF(Market_Data[[#This Row],[Estimated Concrete Demand (m³)]]="","",
IF(Market_Data[[#This Row],[Estimated Concrete Demand (m³)]]&lt;10000,"Small",
IF(Market_Data[[#This Row],[Estimated Concrete Demand (m³)]]&lt;25000,"Medium",
IF(Market_Data[[#This Row],[Estimated Concrete Demand (m³)]]&lt;100000,"Large","Mega"))))</f>
        <v>Small</v>
      </c>
      <c r="P539" s="287" t="str">
        <f t="shared" si="10"/>
        <v>GujRERA</v>
      </c>
    </row>
    <row r="540" spans="1:16">
      <c r="A540" s="129" t="str">
        <f>_xlfn.XLOOKUP(B540,$S$9:$S$14,$T$9:$T$14)&amp;"-"&amp;
IF(E540="Residential/Group Housing","RES",
IF(E540="Commercial","COM",
IF(E540="Mixed Development","MIX",
IF(E540="Plotted Development","PLT","OTH"))))
&amp;"-"&amp;TEXT(COUNTIFS($B$9:B540,B540,$E$9:E540,E540),"0000")</f>
        <v>SUR-COM-0038</v>
      </c>
      <c r="B540" s="322" t="s">
        <v>34</v>
      </c>
      <c r="C540" s="322" t="s">
        <v>34</v>
      </c>
      <c r="D540" s="323" t="s">
        <v>728</v>
      </c>
      <c r="E540" s="132" t="s">
        <v>23</v>
      </c>
      <c r="F540" s="97" t="str">
        <f ca="1">IF(OR(Market_Data[[#This Row],[Start Date]]="",Market_Data[[#This Row],[Completion Date]]=""),"Needs Validation",IF(Market_Data[[#This Row],[Start Date]]&gt;TODAY(),"Planned",IF(Market_Data[[#This Row],[Completion Date]]&lt;TODAY(),"Completed","Ongoing")))</f>
        <v>Completed</v>
      </c>
      <c r="G540" s="324">
        <v>42495</v>
      </c>
      <c r="H540" s="324">
        <v>44377</v>
      </c>
      <c r="I540" s="325">
        <v>12700</v>
      </c>
      <c r="J54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40" s="133">
        <f>_xlfn.XLOOKUP(Market_Data[[#This Row],[Project Type]],tbl_assumptions_market[Project Category (RERA)],tbl_assumptions_market[Concrete Intensity
(m³ / sq m BUA)],"",0)</f>
        <v>0.5</v>
      </c>
      <c r="L540" s="134">
        <f>ROUND(Market_Data[[#This Row],[Estimated Built Up Area (sq m)]]*Market_Data[[#This Row],[Concrete Intensity
(m³ / sq m)]],0)</f>
        <v>6350</v>
      </c>
      <c r="M540" s="135">
        <f>_xlfn.XLOOKUP(Market_Data[[#This Row],[District]],tbl_district_price[District],tbl_district_price[Standard Price
(INR/m³)],"",0)</f>
        <v>6200</v>
      </c>
      <c r="N540" s="364">
        <f>IF(OR(Market_Data[[#This Row],[Estimated Concrete Demand (m³)]]="",Market_Data[[#This Row],[Avg Price per (₹ / m³)]]=""),"",Market_Data[[#This Row],[Estimated Concrete Demand (m³)]]*Market_Data[[#This Row],[Avg Price per (₹ / m³)]]/10000000)</f>
        <v>3.9369999999999998</v>
      </c>
      <c r="O540" s="97" t="str">
        <f>IF(Market_Data[[#This Row],[Estimated Concrete Demand (m³)]]="","",
IF(Market_Data[[#This Row],[Estimated Concrete Demand (m³)]]&lt;10000,"Small",
IF(Market_Data[[#This Row],[Estimated Concrete Demand (m³)]]&lt;25000,"Medium",
IF(Market_Data[[#This Row],[Estimated Concrete Demand (m³)]]&lt;100000,"Large","Mega"))))</f>
        <v>Small</v>
      </c>
      <c r="P540" s="287" t="str">
        <f t="shared" si="10"/>
        <v>GujRERA</v>
      </c>
    </row>
    <row r="541" spans="1:16">
      <c r="A541" s="129" t="str">
        <f>_xlfn.XLOOKUP(B541,$S$9:$S$14,$T$9:$T$14)&amp;"-"&amp;
IF(E541="Residential/Group Housing","RES",
IF(E541="Commercial","COM",
IF(E541="Mixed Development","MIX",
IF(E541="Plotted Development","PLT","OTH"))))
&amp;"-"&amp;TEXT(COUNTIFS($B$9:B541,B541,$E$9:E541,E541),"0000")</f>
        <v>SUR-COM-0039</v>
      </c>
      <c r="B541" s="322" t="s">
        <v>34</v>
      </c>
      <c r="C541" s="322" t="s">
        <v>34</v>
      </c>
      <c r="D541" s="323" t="s">
        <v>729</v>
      </c>
      <c r="E541" s="132" t="s">
        <v>23</v>
      </c>
      <c r="F541" s="97" t="str">
        <f ca="1">IF(OR(Market_Data[[#This Row],[Start Date]]="",Market_Data[[#This Row],[Completion Date]]=""),"Needs Validation",IF(Market_Data[[#This Row],[Start Date]]&gt;TODAY(),"Planned",IF(Market_Data[[#This Row],[Completion Date]]&lt;TODAY(),"Completed","Ongoing")))</f>
        <v>Ongoing</v>
      </c>
      <c r="G541" s="324">
        <v>45370</v>
      </c>
      <c r="H541" s="324">
        <v>47483</v>
      </c>
      <c r="I541" s="325">
        <v>11100</v>
      </c>
      <c r="J54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41" s="133">
        <f>_xlfn.XLOOKUP(Market_Data[[#This Row],[Project Type]],tbl_assumptions_market[Project Category (RERA)],tbl_assumptions_market[Concrete Intensity
(m³ / sq m BUA)],"",0)</f>
        <v>0.5</v>
      </c>
      <c r="L541" s="134">
        <f>ROUND(Market_Data[[#This Row],[Estimated Built Up Area (sq m)]]*Market_Data[[#This Row],[Concrete Intensity
(m³ / sq m)]],0)</f>
        <v>5550</v>
      </c>
      <c r="M541" s="135">
        <f>_xlfn.XLOOKUP(Market_Data[[#This Row],[District]],tbl_district_price[District],tbl_district_price[Standard Price
(INR/m³)],"",0)</f>
        <v>6200</v>
      </c>
      <c r="N541" s="364">
        <f>IF(OR(Market_Data[[#This Row],[Estimated Concrete Demand (m³)]]="",Market_Data[[#This Row],[Avg Price per (₹ / m³)]]=""),"",Market_Data[[#This Row],[Estimated Concrete Demand (m³)]]*Market_Data[[#This Row],[Avg Price per (₹ / m³)]]/10000000)</f>
        <v>3.4409999999999998</v>
      </c>
      <c r="O541" s="97" t="str">
        <f>IF(Market_Data[[#This Row],[Estimated Concrete Demand (m³)]]="","",
IF(Market_Data[[#This Row],[Estimated Concrete Demand (m³)]]&lt;10000,"Small",
IF(Market_Data[[#This Row],[Estimated Concrete Demand (m³)]]&lt;25000,"Medium",
IF(Market_Data[[#This Row],[Estimated Concrete Demand (m³)]]&lt;100000,"Large","Mega"))))</f>
        <v>Small</v>
      </c>
      <c r="P541" s="287" t="str">
        <f t="shared" si="10"/>
        <v>GujRERA</v>
      </c>
    </row>
    <row r="542" spans="1:16">
      <c r="A542" s="129" t="str">
        <f>_xlfn.XLOOKUP(B542,$S$9:$S$14,$T$9:$T$14)&amp;"-"&amp;
IF(E542="Residential/Group Housing","RES",
IF(E542="Commercial","COM",
IF(E542="Mixed Development","MIX",
IF(E542="Plotted Development","PLT","OTH"))))
&amp;"-"&amp;TEXT(COUNTIFS($B$9:B542,B542,$E$9:E542,E542),"0000")</f>
        <v>SUR-RES-0074</v>
      </c>
      <c r="B542" s="322" t="s">
        <v>34</v>
      </c>
      <c r="C542" s="322" t="s">
        <v>34</v>
      </c>
      <c r="D542" s="323" t="s">
        <v>730</v>
      </c>
      <c r="E542" s="132" t="s">
        <v>24</v>
      </c>
      <c r="F542" s="97" t="str">
        <f ca="1">IF(OR(Market_Data[[#This Row],[Start Date]]="",Market_Data[[#This Row],[Completion Date]]=""),"Needs Validation",IF(Market_Data[[#This Row],[Start Date]]&gt;TODAY(),"Planned",IF(Market_Data[[#This Row],[Completion Date]]&lt;TODAY(),"Completed","Ongoing")))</f>
        <v>Ongoing</v>
      </c>
      <c r="G542" s="324">
        <v>44468</v>
      </c>
      <c r="H542" s="324">
        <v>47118</v>
      </c>
      <c r="I542" s="325">
        <v>41200</v>
      </c>
      <c r="J54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42" s="133">
        <f>_xlfn.XLOOKUP(Market_Data[[#This Row],[Project Type]],tbl_assumptions_market[Project Category (RERA)],tbl_assumptions_market[Concrete Intensity
(m³ / sq m BUA)],"",0)</f>
        <v>0.45</v>
      </c>
      <c r="L542" s="134">
        <f>ROUND(Market_Data[[#This Row],[Estimated Built Up Area (sq m)]]*Market_Data[[#This Row],[Concrete Intensity
(m³ / sq m)]],0)</f>
        <v>18540</v>
      </c>
      <c r="M542" s="135">
        <f>_xlfn.XLOOKUP(Market_Data[[#This Row],[District]],tbl_district_price[District],tbl_district_price[Standard Price
(INR/m³)],"",0)</f>
        <v>6200</v>
      </c>
      <c r="N542" s="364">
        <f>IF(OR(Market_Data[[#This Row],[Estimated Concrete Demand (m³)]]="",Market_Data[[#This Row],[Avg Price per (₹ / m³)]]=""),"",Market_Data[[#This Row],[Estimated Concrete Demand (m³)]]*Market_Data[[#This Row],[Avg Price per (₹ / m³)]]/10000000)</f>
        <v>11.4948</v>
      </c>
      <c r="O542" s="97" t="str">
        <f>IF(Market_Data[[#This Row],[Estimated Concrete Demand (m³)]]="","",
IF(Market_Data[[#This Row],[Estimated Concrete Demand (m³)]]&lt;10000,"Small",
IF(Market_Data[[#This Row],[Estimated Concrete Demand (m³)]]&lt;25000,"Medium",
IF(Market_Data[[#This Row],[Estimated Concrete Demand (m³)]]&lt;100000,"Large","Mega"))))</f>
        <v>Medium</v>
      </c>
      <c r="P542" s="287" t="str">
        <f t="shared" si="10"/>
        <v>GujRERA</v>
      </c>
    </row>
    <row r="543" spans="1:16">
      <c r="A543" s="129" t="str">
        <f>_xlfn.XLOOKUP(B543,$S$9:$S$14,$T$9:$T$14)&amp;"-"&amp;
IF(E543="Residential/Group Housing","RES",
IF(E543="Commercial","COM",
IF(E543="Mixed Development","MIX",
IF(E543="Plotted Development","PLT","OTH"))))
&amp;"-"&amp;TEXT(COUNTIFS($B$9:B543,B543,$E$9:E543,E543),"0000")</f>
        <v>SUR-RES-0075</v>
      </c>
      <c r="B543" s="322" t="s">
        <v>34</v>
      </c>
      <c r="C543" s="322" t="s">
        <v>34</v>
      </c>
      <c r="D543" s="323" t="s">
        <v>731</v>
      </c>
      <c r="E543" s="132" t="s">
        <v>24</v>
      </c>
      <c r="F543" s="97" t="str">
        <f ca="1">IF(OR(Market_Data[[#This Row],[Start Date]]="",Market_Data[[#This Row],[Completion Date]]=""),"Needs Validation",IF(Market_Data[[#This Row],[Start Date]]&gt;TODAY(),"Planned",IF(Market_Data[[#This Row],[Completion Date]]&lt;TODAY(),"Completed","Ongoing")))</f>
        <v>Completed</v>
      </c>
      <c r="G543" s="324">
        <v>41409</v>
      </c>
      <c r="H543" s="324">
        <v>44377</v>
      </c>
      <c r="I543" s="325">
        <v>55200</v>
      </c>
      <c r="J54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43" s="133">
        <f>_xlfn.XLOOKUP(Market_Data[[#This Row],[Project Type]],tbl_assumptions_market[Project Category (RERA)],tbl_assumptions_market[Concrete Intensity
(m³ / sq m BUA)],"",0)</f>
        <v>0.45</v>
      </c>
      <c r="L543" s="134">
        <f>ROUND(Market_Data[[#This Row],[Estimated Built Up Area (sq m)]]*Market_Data[[#This Row],[Concrete Intensity
(m³ / sq m)]],0)</f>
        <v>24840</v>
      </c>
      <c r="M543" s="135">
        <f>_xlfn.XLOOKUP(Market_Data[[#This Row],[District]],tbl_district_price[District],tbl_district_price[Standard Price
(INR/m³)],"",0)</f>
        <v>6200</v>
      </c>
      <c r="N543" s="364">
        <f>IF(OR(Market_Data[[#This Row],[Estimated Concrete Demand (m³)]]="",Market_Data[[#This Row],[Avg Price per (₹ / m³)]]=""),"",Market_Data[[#This Row],[Estimated Concrete Demand (m³)]]*Market_Data[[#This Row],[Avg Price per (₹ / m³)]]/10000000)</f>
        <v>15.4008</v>
      </c>
      <c r="O543" s="97" t="str">
        <f>IF(Market_Data[[#This Row],[Estimated Concrete Demand (m³)]]="","",
IF(Market_Data[[#This Row],[Estimated Concrete Demand (m³)]]&lt;10000,"Small",
IF(Market_Data[[#This Row],[Estimated Concrete Demand (m³)]]&lt;25000,"Medium",
IF(Market_Data[[#This Row],[Estimated Concrete Demand (m³)]]&lt;100000,"Large","Mega"))))</f>
        <v>Medium</v>
      </c>
      <c r="P543" s="287" t="str">
        <f t="shared" si="10"/>
        <v>GujRERA</v>
      </c>
    </row>
    <row r="544" spans="1:16">
      <c r="A544" s="129" t="str">
        <f>_xlfn.XLOOKUP(B544,$S$9:$S$14,$T$9:$T$14)&amp;"-"&amp;
IF(E544="Residential/Group Housing","RES",
IF(E544="Commercial","COM",
IF(E544="Mixed Development","MIX",
IF(E544="Plotted Development","PLT","OTH"))))
&amp;"-"&amp;TEXT(COUNTIFS($B$9:B544,B544,$E$9:E544,E544),"0000")</f>
        <v>SUR-RES-0076</v>
      </c>
      <c r="B544" s="322" t="s">
        <v>34</v>
      </c>
      <c r="C544" s="322" t="s">
        <v>34</v>
      </c>
      <c r="D544" s="323" t="s">
        <v>732</v>
      </c>
      <c r="E544" s="132" t="s">
        <v>24</v>
      </c>
      <c r="F544" s="97" t="str">
        <f ca="1">IF(OR(Market_Data[[#This Row],[Start Date]]="",Market_Data[[#This Row],[Completion Date]]=""),"Needs Validation",IF(Market_Data[[#This Row],[Start Date]]&gt;TODAY(),"Planned",IF(Market_Data[[#This Row],[Completion Date]]&lt;TODAY(),"Completed","Ongoing")))</f>
        <v>Ongoing</v>
      </c>
      <c r="G544" s="324">
        <v>45100</v>
      </c>
      <c r="H544" s="324">
        <v>46843</v>
      </c>
      <c r="I544" s="325">
        <v>8500</v>
      </c>
      <c r="J54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44" s="133">
        <f>_xlfn.XLOOKUP(Market_Data[[#This Row],[Project Type]],tbl_assumptions_market[Project Category (RERA)],tbl_assumptions_market[Concrete Intensity
(m³ / sq m BUA)],"",0)</f>
        <v>0.45</v>
      </c>
      <c r="L544" s="134">
        <f>ROUND(Market_Data[[#This Row],[Estimated Built Up Area (sq m)]]*Market_Data[[#This Row],[Concrete Intensity
(m³ / sq m)]],0)</f>
        <v>3825</v>
      </c>
      <c r="M544" s="135">
        <f>_xlfn.XLOOKUP(Market_Data[[#This Row],[District]],tbl_district_price[District],tbl_district_price[Standard Price
(INR/m³)],"",0)</f>
        <v>6200</v>
      </c>
      <c r="N544" s="364">
        <f>IF(OR(Market_Data[[#This Row],[Estimated Concrete Demand (m³)]]="",Market_Data[[#This Row],[Avg Price per (₹ / m³)]]=""),"",Market_Data[[#This Row],[Estimated Concrete Demand (m³)]]*Market_Data[[#This Row],[Avg Price per (₹ / m³)]]/10000000)</f>
        <v>2.3715000000000002</v>
      </c>
      <c r="O544" s="97" t="str">
        <f>IF(Market_Data[[#This Row],[Estimated Concrete Demand (m³)]]="","",
IF(Market_Data[[#This Row],[Estimated Concrete Demand (m³)]]&lt;10000,"Small",
IF(Market_Data[[#This Row],[Estimated Concrete Demand (m³)]]&lt;25000,"Medium",
IF(Market_Data[[#This Row],[Estimated Concrete Demand (m³)]]&lt;100000,"Large","Mega"))))</f>
        <v>Small</v>
      </c>
      <c r="P544" s="287" t="str">
        <f t="shared" si="10"/>
        <v>GujRERA</v>
      </c>
    </row>
    <row r="545" spans="1:16">
      <c r="A545" s="129" t="str">
        <f>_xlfn.XLOOKUP(B545,$S$9:$S$14,$T$9:$T$14)&amp;"-"&amp;
IF(E545="Residential/Group Housing","RES",
IF(E545="Commercial","COM",
IF(E545="Mixed Development","MIX",
IF(E545="Plotted Development","PLT","OTH"))))
&amp;"-"&amp;TEXT(COUNTIFS($B$9:B545,B545,$E$9:E545,E545),"0000")</f>
        <v>SUR-RES-0077</v>
      </c>
      <c r="B545" s="322" t="s">
        <v>34</v>
      </c>
      <c r="C545" s="322" t="s">
        <v>34</v>
      </c>
      <c r="D545" s="323" t="s">
        <v>733</v>
      </c>
      <c r="E545" s="132" t="s">
        <v>24</v>
      </c>
      <c r="F545" s="97" t="str">
        <f ca="1">IF(OR(Market_Data[[#This Row],[Start Date]]="",Market_Data[[#This Row],[Completion Date]]=""),"Needs Validation",IF(Market_Data[[#This Row],[Start Date]]&gt;TODAY(),"Planned",IF(Market_Data[[#This Row],[Completion Date]]&lt;TODAY(),"Completed","Ongoing")))</f>
        <v>Completed</v>
      </c>
      <c r="G545" s="324">
        <v>41698</v>
      </c>
      <c r="H545" s="324">
        <v>45838</v>
      </c>
      <c r="I545" s="325">
        <v>38600</v>
      </c>
      <c r="J54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45" s="133">
        <f>_xlfn.XLOOKUP(Market_Data[[#This Row],[Project Type]],tbl_assumptions_market[Project Category (RERA)],tbl_assumptions_market[Concrete Intensity
(m³ / sq m BUA)],"",0)</f>
        <v>0.45</v>
      </c>
      <c r="L545" s="134">
        <f>ROUND(Market_Data[[#This Row],[Estimated Built Up Area (sq m)]]*Market_Data[[#This Row],[Concrete Intensity
(m³ / sq m)]],0)</f>
        <v>17370</v>
      </c>
      <c r="M545" s="135">
        <f>_xlfn.XLOOKUP(Market_Data[[#This Row],[District]],tbl_district_price[District],tbl_district_price[Standard Price
(INR/m³)],"",0)</f>
        <v>6200</v>
      </c>
      <c r="N545" s="364">
        <f>IF(OR(Market_Data[[#This Row],[Estimated Concrete Demand (m³)]]="",Market_Data[[#This Row],[Avg Price per (₹ / m³)]]=""),"",Market_Data[[#This Row],[Estimated Concrete Demand (m³)]]*Market_Data[[#This Row],[Avg Price per (₹ / m³)]]/10000000)</f>
        <v>10.769399999999999</v>
      </c>
      <c r="O545" s="97" t="str">
        <f>IF(Market_Data[[#This Row],[Estimated Concrete Demand (m³)]]="","",
IF(Market_Data[[#This Row],[Estimated Concrete Demand (m³)]]&lt;10000,"Small",
IF(Market_Data[[#This Row],[Estimated Concrete Demand (m³)]]&lt;25000,"Medium",
IF(Market_Data[[#This Row],[Estimated Concrete Demand (m³)]]&lt;100000,"Large","Mega"))))</f>
        <v>Medium</v>
      </c>
      <c r="P545" s="287" t="str">
        <f t="shared" si="10"/>
        <v>GujRERA</v>
      </c>
    </row>
    <row r="546" spans="1:16">
      <c r="A546" s="129" t="str">
        <f>_xlfn.XLOOKUP(B546,$S$9:$S$14,$T$9:$T$14)&amp;"-"&amp;
IF(E546="Residential/Group Housing","RES",
IF(E546="Commercial","COM",
IF(E546="Mixed Development","MIX",
IF(E546="Plotted Development","PLT","OTH"))))
&amp;"-"&amp;TEXT(COUNTIFS($B$9:B546,B546,$E$9:E546,E546),"0000")</f>
        <v>SUR-RES-0078</v>
      </c>
      <c r="B546" s="322" t="s">
        <v>34</v>
      </c>
      <c r="C546" s="322" t="s">
        <v>34</v>
      </c>
      <c r="D546" s="323" t="s">
        <v>734</v>
      </c>
      <c r="E546" s="132" t="s">
        <v>24</v>
      </c>
      <c r="F546" s="97" t="str">
        <f ca="1">IF(OR(Market_Data[[#This Row],[Start Date]]="",Market_Data[[#This Row],[Completion Date]]=""),"Needs Validation",IF(Market_Data[[#This Row],[Start Date]]&gt;TODAY(),"Planned",IF(Market_Data[[#This Row],[Completion Date]]&lt;TODAY(),"Completed","Ongoing")))</f>
        <v>Ongoing</v>
      </c>
      <c r="G546" s="324">
        <v>45273</v>
      </c>
      <c r="H546" s="324">
        <v>47483</v>
      </c>
      <c r="I546" s="325">
        <v>36000</v>
      </c>
      <c r="J54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46" s="133">
        <f>_xlfn.XLOOKUP(Market_Data[[#This Row],[Project Type]],tbl_assumptions_market[Project Category (RERA)],tbl_assumptions_market[Concrete Intensity
(m³ / sq m BUA)],"",0)</f>
        <v>0.45</v>
      </c>
      <c r="L546" s="134">
        <f>ROUND(Market_Data[[#This Row],[Estimated Built Up Area (sq m)]]*Market_Data[[#This Row],[Concrete Intensity
(m³ / sq m)]],0)</f>
        <v>16200</v>
      </c>
      <c r="M546" s="135">
        <f>_xlfn.XLOOKUP(Market_Data[[#This Row],[District]],tbl_district_price[District],tbl_district_price[Standard Price
(INR/m³)],"",0)</f>
        <v>6200</v>
      </c>
      <c r="N546" s="364">
        <f>IF(OR(Market_Data[[#This Row],[Estimated Concrete Demand (m³)]]="",Market_Data[[#This Row],[Avg Price per (₹ / m³)]]=""),"",Market_Data[[#This Row],[Estimated Concrete Demand (m³)]]*Market_Data[[#This Row],[Avg Price per (₹ / m³)]]/10000000)</f>
        <v>10.044</v>
      </c>
      <c r="O546" s="97" t="str">
        <f>IF(Market_Data[[#This Row],[Estimated Concrete Demand (m³)]]="","",
IF(Market_Data[[#This Row],[Estimated Concrete Demand (m³)]]&lt;10000,"Small",
IF(Market_Data[[#This Row],[Estimated Concrete Demand (m³)]]&lt;25000,"Medium",
IF(Market_Data[[#This Row],[Estimated Concrete Demand (m³)]]&lt;100000,"Large","Mega"))))</f>
        <v>Medium</v>
      </c>
      <c r="P546" s="287" t="str">
        <f t="shared" si="10"/>
        <v>GujRERA</v>
      </c>
    </row>
    <row r="547" spans="1:16">
      <c r="A547" s="129" t="str">
        <f>_xlfn.XLOOKUP(B547,$S$9:$S$14,$T$9:$T$14)&amp;"-"&amp;
IF(E547="Residential/Group Housing","RES",
IF(E547="Commercial","COM",
IF(E547="Mixed Development","MIX",
IF(E547="Plotted Development","PLT","OTH"))))
&amp;"-"&amp;TEXT(COUNTIFS($B$9:B547,B547,$E$9:E547,E547),"0000")</f>
        <v>SUR-RES-0079</v>
      </c>
      <c r="B547" s="322" t="s">
        <v>34</v>
      </c>
      <c r="C547" s="322" t="s">
        <v>34</v>
      </c>
      <c r="D547" s="323" t="s">
        <v>735</v>
      </c>
      <c r="E547" s="132" t="s">
        <v>24</v>
      </c>
      <c r="F547" s="97" t="str">
        <f ca="1">IF(OR(Market_Data[[#This Row],[Start Date]]="",Market_Data[[#This Row],[Completion Date]]=""),"Needs Validation",IF(Market_Data[[#This Row],[Start Date]]&gt;TODAY(),"Planned",IF(Market_Data[[#This Row],[Completion Date]]&lt;TODAY(),"Completed","Ongoing")))</f>
        <v>Ongoing</v>
      </c>
      <c r="G547" s="324">
        <v>44728</v>
      </c>
      <c r="H547" s="324">
        <v>47118</v>
      </c>
      <c r="I547" s="325">
        <v>53400</v>
      </c>
      <c r="J54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47" s="133">
        <f>_xlfn.XLOOKUP(Market_Data[[#This Row],[Project Type]],tbl_assumptions_market[Project Category (RERA)],tbl_assumptions_market[Concrete Intensity
(m³ / sq m BUA)],"",0)</f>
        <v>0.45</v>
      </c>
      <c r="L547" s="134">
        <f>ROUND(Market_Data[[#This Row],[Estimated Built Up Area (sq m)]]*Market_Data[[#This Row],[Concrete Intensity
(m³ / sq m)]],0)</f>
        <v>24030</v>
      </c>
      <c r="M547" s="135">
        <f>_xlfn.XLOOKUP(Market_Data[[#This Row],[District]],tbl_district_price[District],tbl_district_price[Standard Price
(INR/m³)],"",0)</f>
        <v>6200</v>
      </c>
      <c r="N547" s="364">
        <f>IF(OR(Market_Data[[#This Row],[Estimated Concrete Demand (m³)]]="",Market_Data[[#This Row],[Avg Price per (₹ / m³)]]=""),"",Market_Data[[#This Row],[Estimated Concrete Demand (m³)]]*Market_Data[[#This Row],[Avg Price per (₹ / m³)]]/10000000)</f>
        <v>14.8986</v>
      </c>
      <c r="O547" s="97" t="str">
        <f>IF(Market_Data[[#This Row],[Estimated Concrete Demand (m³)]]="","",
IF(Market_Data[[#This Row],[Estimated Concrete Demand (m³)]]&lt;10000,"Small",
IF(Market_Data[[#This Row],[Estimated Concrete Demand (m³)]]&lt;25000,"Medium",
IF(Market_Data[[#This Row],[Estimated Concrete Demand (m³)]]&lt;100000,"Large","Mega"))))</f>
        <v>Medium</v>
      </c>
      <c r="P547" s="287" t="str">
        <f t="shared" si="10"/>
        <v>GujRERA</v>
      </c>
    </row>
    <row r="548" spans="1:16">
      <c r="A548" s="129" t="str">
        <f>_xlfn.XLOOKUP(B548,$S$9:$S$14,$T$9:$T$14)&amp;"-"&amp;
IF(E548="Residential/Group Housing","RES",
IF(E548="Commercial","COM",
IF(E548="Mixed Development","MIX",
IF(E548="Plotted Development","PLT","OTH"))))
&amp;"-"&amp;TEXT(COUNTIFS($B$9:B548,B548,$E$9:E548,E548),"0000")</f>
        <v>SUR-RES-0080</v>
      </c>
      <c r="B548" s="322" t="s">
        <v>34</v>
      </c>
      <c r="C548" s="322" t="s">
        <v>34</v>
      </c>
      <c r="D548" s="323" t="s">
        <v>736</v>
      </c>
      <c r="E548" s="132" t="s">
        <v>24</v>
      </c>
      <c r="F548" s="97" t="str">
        <f ca="1">IF(OR(Market_Data[[#This Row],[Start Date]]="",Market_Data[[#This Row],[Completion Date]]=""),"Needs Validation",IF(Market_Data[[#This Row],[Start Date]]&gt;TODAY(),"Planned",IF(Market_Data[[#This Row],[Completion Date]]&lt;TODAY(),"Completed","Ongoing")))</f>
        <v>Ongoing</v>
      </c>
      <c r="G548" s="324">
        <v>44649</v>
      </c>
      <c r="H548" s="324">
        <v>48304</v>
      </c>
      <c r="I548" s="325">
        <v>32400</v>
      </c>
      <c r="J54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48" s="133">
        <f>_xlfn.XLOOKUP(Market_Data[[#This Row],[Project Type]],tbl_assumptions_market[Project Category (RERA)],tbl_assumptions_market[Concrete Intensity
(m³ / sq m BUA)],"",0)</f>
        <v>0.45</v>
      </c>
      <c r="L548" s="134">
        <f>ROUND(Market_Data[[#This Row],[Estimated Built Up Area (sq m)]]*Market_Data[[#This Row],[Concrete Intensity
(m³ / sq m)]],0)</f>
        <v>14580</v>
      </c>
      <c r="M548" s="135">
        <f>_xlfn.XLOOKUP(Market_Data[[#This Row],[District]],tbl_district_price[District],tbl_district_price[Standard Price
(INR/m³)],"",0)</f>
        <v>6200</v>
      </c>
      <c r="N548" s="364">
        <f>IF(OR(Market_Data[[#This Row],[Estimated Concrete Demand (m³)]]="",Market_Data[[#This Row],[Avg Price per (₹ / m³)]]=""),"",Market_Data[[#This Row],[Estimated Concrete Demand (m³)]]*Market_Data[[#This Row],[Avg Price per (₹ / m³)]]/10000000)</f>
        <v>9.0396000000000001</v>
      </c>
      <c r="O548" s="97" t="str">
        <f>IF(Market_Data[[#This Row],[Estimated Concrete Demand (m³)]]="","",
IF(Market_Data[[#This Row],[Estimated Concrete Demand (m³)]]&lt;10000,"Small",
IF(Market_Data[[#This Row],[Estimated Concrete Demand (m³)]]&lt;25000,"Medium",
IF(Market_Data[[#This Row],[Estimated Concrete Demand (m³)]]&lt;100000,"Large","Mega"))))</f>
        <v>Medium</v>
      </c>
      <c r="P548" s="287" t="str">
        <f t="shared" si="10"/>
        <v>GujRERA</v>
      </c>
    </row>
    <row r="549" spans="1:16">
      <c r="A549" s="129" t="str">
        <f>_xlfn.XLOOKUP(B549,$S$9:$S$14,$T$9:$T$14)&amp;"-"&amp;
IF(E549="Residential/Group Housing","RES",
IF(E549="Commercial","COM",
IF(E549="Mixed Development","MIX",
IF(E549="Plotted Development","PLT","OTH"))))
&amp;"-"&amp;TEXT(COUNTIFS($B$9:B549,B549,$E$9:E549,E549),"0000")</f>
        <v>SUR-PLT-0066</v>
      </c>
      <c r="B549" s="322" t="s">
        <v>34</v>
      </c>
      <c r="C549" s="322" t="s">
        <v>34</v>
      </c>
      <c r="D549" s="323" t="s">
        <v>737</v>
      </c>
      <c r="E549" s="132" t="s">
        <v>26</v>
      </c>
      <c r="F549" s="97" t="str">
        <f ca="1">IF(OR(Market_Data[[#This Row],[Start Date]]="",Market_Data[[#This Row],[Completion Date]]=""),"Needs Validation",IF(Market_Data[[#This Row],[Start Date]]&gt;TODAY(),"Planned",IF(Market_Data[[#This Row],[Completion Date]]&lt;TODAY(),"Completed","Ongoing")))</f>
        <v>Ongoing</v>
      </c>
      <c r="G549" s="324">
        <v>45845</v>
      </c>
      <c r="H549" s="324">
        <v>47483</v>
      </c>
      <c r="I549" s="325">
        <v>46000</v>
      </c>
      <c r="J54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549" s="133">
        <f>_xlfn.XLOOKUP(Market_Data[[#This Row],[Project Type]],tbl_assumptions_market[Project Category (RERA)],tbl_assumptions_market[Concrete Intensity
(m³ / sq m BUA)],"",0)</f>
        <v>0.18</v>
      </c>
      <c r="L549" s="134">
        <f>ROUND(Market_Data[[#This Row],[Estimated Built Up Area (sq m)]]*Market_Data[[#This Row],[Concrete Intensity
(m³ / sq m)]],0)</f>
        <v>8280</v>
      </c>
      <c r="M549" s="135">
        <f>_xlfn.XLOOKUP(Market_Data[[#This Row],[District]],tbl_district_price[District],tbl_district_price[Standard Price
(INR/m³)],"",0)</f>
        <v>6200</v>
      </c>
      <c r="N549" s="364">
        <f>IF(OR(Market_Data[[#This Row],[Estimated Concrete Demand (m³)]]="",Market_Data[[#This Row],[Avg Price per (₹ / m³)]]=""),"",Market_Data[[#This Row],[Estimated Concrete Demand (m³)]]*Market_Data[[#This Row],[Avg Price per (₹ / m³)]]/10000000)</f>
        <v>5.1336000000000004</v>
      </c>
      <c r="O549" s="97" t="str">
        <f>IF(Market_Data[[#This Row],[Estimated Concrete Demand (m³)]]="","",
IF(Market_Data[[#This Row],[Estimated Concrete Demand (m³)]]&lt;10000,"Small",
IF(Market_Data[[#This Row],[Estimated Concrete Demand (m³)]]&lt;25000,"Medium",
IF(Market_Data[[#This Row],[Estimated Concrete Demand (m³)]]&lt;100000,"Large","Mega"))))</f>
        <v>Small</v>
      </c>
      <c r="P549" s="287" t="str">
        <f t="shared" si="10"/>
        <v>GujRERA</v>
      </c>
    </row>
    <row r="550" spans="1:16">
      <c r="A550" s="129" t="str">
        <f>_xlfn.XLOOKUP(B550,$S$9:$S$14,$T$9:$T$14)&amp;"-"&amp;
IF(E550="Residential/Group Housing","RES",
IF(E550="Commercial","COM",
IF(E550="Mixed Development","MIX",
IF(E550="Plotted Development","PLT","OTH"))))
&amp;"-"&amp;TEXT(COUNTIFS($B$9:B550,B550,$E$9:E550,E550),"0000")</f>
        <v>SUR-RES-0081</v>
      </c>
      <c r="B550" s="322" t="s">
        <v>34</v>
      </c>
      <c r="C550" s="322" t="s">
        <v>738</v>
      </c>
      <c r="D550" s="323" t="s">
        <v>739</v>
      </c>
      <c r="E550" s="132" t="s">
        <v>24</v>
      </c>
      <c r="F550" s="97" t="str">
        <f ca="1">IF(OR(Market_Data[[#This Row],[Start Date]]="",Market_Data[[#This Row],[Completion Date]]=""),"Needs Validation",IF(Market_Data[[#This Row],[Start Date]]&gt;TODAY(),"Planned",IF(Market_Data[[#This Row],[Completion Date]]&lt;TODAY(),"Completed","Ongoing")))</f>
        <v>Completed</v>
      </c>
      <c r="G550" s="324">
        <v>41696</v>
      </c>
      <c r="H550" s="324">
        <v>45107</v>
      </c>
      <c r="I550" s="325">
        <v>58300</v>
      </c>
      <c r="J55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50" s="133">
        <f>_xlfn.XLOOKUP(Market_Data[[#This Row],[Project Type]],tbl_assumptions_market[Project Category (RERA)],tbl_assumptions_market[Concrete Intensity
(m³ / sq m BUA)],"",0)</f>
        <v>0.45</v>
      </c>
      <c r="L550" s="134">
        <f>ROUND(Market_Data[[#This Row],[Estimated Built Up Area (sq m)]]*Market_Data[[#This Row],[Concrete Intensity
(m³ / sq m)]],0)</f>
        <v>26235</v>
      </c>
      <c r="M550" s="135">
        <f>_xlfn.XLOOKUP(Market_Data[[#This Row],[District]],tbl_district_price[District],tbl_district_price[Standard Price
(INR/m³)],"",0)</f>
        <v>6200</v>
      </c>
      <c r="N550" s="364">
        <f>IF(OR(Market_Data[[#This Row],[Estimated Concrete Demand (m³)]]="",Market_Data[[#This Row],[Avg Price per (₹ / m³)]]=""),"",Market_Data[[#This Row],[Estimated Concrete Demand (m³)]]*Market_Data[[#This Row],[Avg Price per (₹ / m³)]]/10000000)</f>
        <v>16.265699999999999</v>
      </c>
      <c r="O550" s="97" t="str">
        <f>IF(Market_Data[[#This Row],[Estimated Concrete Demand (m³)]]="","",
IF(Market_Data[[#This Row],[Estimated Concrete Demand (m³)]]&lt;10000,"Small",
IF(Market_Data[[#This Row],[Estimated Concrete Demand (m³)]]&lt;25000,"Medium",
IF(Market_Data[[#This Row],[Estimated Concrete Demand (m³)]]&lt;100000,"Large","Mega"))))</f>
        <v>Large</v>
      </c>
      <c r="P550" s="287" t="str">
        <f t="shared" si="10"/>
        <v>GujRERA</v>
      </c>
    </row>
    <row r="551" spans="1:16">
      <c r="A551" s="129" t="str">
        <f>_xlfn.XLOOKUP(B551,$S$9:$S$14,$T$9:$T$14)&amp;"-"&amp;
IF(E551="Residential/Group Housing","RES",
IF(E551="Commercial","COM",
IF(E551="Mixed Development","MIX",
IF(E551="Plotted Development","PLT","OTH"))))
&amp;"-"&amp;TEXT(COUNTIFS($B$9:B551,B551,$E$9:E551,E551),"0000")</f>
        <v>SUR-COM-0040</v>
      </c>
      <c r="B551" s="322" t="s">
        <v>34</v>
      </c>
      <c r="C551" s="322" t="s">
        <v>34</v>
      </c>
      <c r="D551" s="323" t="s">
        <v>740</v>
      </c>
      <c r="E551" s="132" t="s">
        <v>23</v>
      </c>
      <c r="F551" s="97" t="str">
        <f ca="1">IF(OR(Market_Data[[#This Row],[Start Date]]="",Market_Data[[#This Row],[Completion Date]]=""),"Needs Validation",IF(Market_Data[[#This Row],[Start Date]]&gt;TODAY(),"Planned",IF(Market_Data[[#This Row],[Completion Date]]&lt;TODAY(),"Completed","Ongoing")))</f>
        <v>Ongoing</v>
      </c>
      <c r="G551" s="324">
        <v>44707</v>
      </c>
      <c r="H551" s="324">
        <v>48579</v>
      </c>
      <c r="I551" s="325">
        <v>3400</v>
      </c>
      <c r="J55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51" s="133">
        <f>_xlfn.XLOOKUP(Market_Data[[#This Row],[Project Type]],tbl_assumptions_market[Project Category (RERA)],tbl_assumptions_market[Concrete Intensity
(m³ / sq m BUA)],"",0)</f>
        <v>0.5</v>
      </c>
      <c r="L551" s="134">
        <f>ROUND(Market_Data[[#This Row],[Estimated Built Up Area (sq m)]]*Market_Data[[#This Row],[Concrete Intensity
(m³ / sq m)]],0)</f>
        <v>1700</v>
      </c>
      <c r="M551" s="135">
        <f>_xlfn.XLOOKUP(Market_Data[[#This Row],[District]],tbl_district_price[District],tbl_district_price[Standard Price
(INR/m³)],"",0)</f>
        <v>6200</v>
      </c>
      <c r="N551" s="364">
        <f>IF(OR(Market_Data[[#This Row],[Estimated Concrete Demand (m³)]]="",Market_Data[[#This Row],[Avg Price per (₹ / m³)]]=""),"",Market_Data[[#This Row],[Estimated Concrete Demand (m³)]]*Market_Data[[#This Row],[Avg Price per (₹ / m³)]]/10000000)</f>
        <v>1.054</v>
      </c>
      <c r="O551" s="97" t="str">
        <f>IF(Market_Data[[#This Row],[Estimated Concrete Demand (m³)]]="","",
IF(Market_Data[[#This Row],[Estimated Concrete Demand (m³)]]&lt;10000,"Small",
IF(Market_Data[[#This Row],[Estimated Concrete Demand (m³)]]&lt;25000,"Medium",
IF(Market_Data[[#This Row],[Estimated Concrete Demand (m³)]]&lt;100000,"Large","Mega"))))</f>
        <v>Small</v>
      </c>
      <c r="P551" s="287" t="str">
        <f t="shared" si="10"/>
        <v>GujRERA</v>
      </c>
    </row>
    <row r="552" spans="1:16">
      <c r="A552" s="129" t="str">
        <f>_xlfn.XLOOKUP(B552,$S$9:$S$14,$T$9:$T$14)&amp;"-"&amp;
IF(E552="Residential/Group Housing","RES",
IF(E552="Commercial","COM",
IF(E552="Mixed Development","MIX",
IF(E552="Plotted Development","PLT","OTH"))))
&amp;"-"&amp;TEXT(COUNTIFS($B$9:B552,B552,$E$9:E552,E552),"0000")</f>
        <v>SUR-RES-0082</v>
      </c>
      <c r="B552" s="322" t="s">
        <v>34</v>
      </c>
      <c r="C552" s="322" t="s">
        <v>34</v>
      </c>
      <c r="D552" s="323" t="s">
        <v>741</v>
      </c>
      <c r="E552" s="132" t="s">
        <v>24</v>
      </c>
      <c r="F552" s="97" t="str">
        <f ca="1">IF(OR(Market_Data[[#This Row],[Start Date]]="",Market_Data[[#This Row],[Completion Date]]=""),"Needs Validation",IF(Market_Data[[#This Row],[Start Date]]&gt;TODAY(),"Planned",IF(Market_Data[[#This Row],[Completion Date]]&lt;TODAY(),"Completed","Ongoing")))</f>
        <v>Ongoing</v>
      </c>
      <c r="G552" s="324">
        <v>45037</v>
      </c>
      <c r="H552" s="324">
        <v>47208</v>
      </c>
      <c r="I552" s="325">
        <v>49700</v>
      </c>
      <c r="J55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52" s="133">
        <f>_xlfn.XLOOKUP(Market_Data[[#This Row],[Project Type]],tbl_assumptions_market[Project Category (RERA)],tbl_assumptions_market[Concrete Intensity
(m³ / sq m BUA)],"",0)</f>
        <v>0.45</v>
      </c>
      <c r="L552" s="134">
        <f>ROUND(Market_Data[[#This Row],[Estimated Built Up Area (sq m)]]*Market_Data[[#This Row],[Concrete Intensity
(m³ / sq m)]],0)</f>
        <v>22365</v>
      </c>
      <c r="M552" s="135">
        <f>_xlfn.XLOOKUP(Market_Data[[#This Row],[District]],tbl_district_price[District],tbl_district_price[Standard Price
(INR/m³)],"",0)</f>
        <v>6200</v>
      </c>
      <c r="N552" s="364">
        <f>IF(OR(Market_Data[[#This Row],[Estimated Concrete Demand (m³)]]="",Market_Data[[#This Row],[Avg Price per (₹ / m³)]]=""),"",Market_Data[[#This Row],[Estimated Concrete Demand (m³)]]*Market_Data[[#This Row],[Avg Price per (₹ / m³)]]/10000000)</f>
        <v>13.866300000000001</v>
      </c>
      <c r="O552" s="97" t="str">
        <f>IF(Market_Data[[#This Row],[Estimated Concrete Demand (m³)]]="","",
IF(Market_Data[[#This Row],[Estimated Concrete Demand (m³)]]&lt;10000,"Small",
IF(Market_Data[[#This Row],[Estimated Concrete Demand (m³)]]&lt;25000,"Medium",
IF(Market_Data[[#This Row],[Estimated Concrete Demand (m³)]]&lt;100000,"Large","Mega"))))</f>
        <v>Medium</v>
      </c>
      <c r="P552" s="287" t="str">
        <f t="shared" si="10"/>
        <v>GujRERA</v>
      </c>
    </row>
    <row r="553" spans="1:16">
      <c r="A553" s="129" t="str">
        <f>_xlfn.XLOOKUP(B553,$S$9:$S$14,$T$9:$T$14)&amp;"-"&amp;
IF(E553="Residential/Group Housing","RES",
IF(E553="Commercial","COM",
IF(E553="Mixed Development","MIX",
IF(E553="Plotted Development","PLT","OTH"))))
&amp;"-"&amp;TEXT(COUNTIFS($B$9:B553,B553,$E$9:E553,E553),"0000")</f>
        <v>SUR-RES-0083</v>
      </c>
      <c r="B553" s="322" t="s">
        <v>34</v>
      </c>
      <c r="C553" s="322" t="s">
        <v>34</v>
      </c>
      <c r="D553" s="323" t="s">
        <v>742</v>
      </c>
      <c r="E553" s="132" t="s">
        <v>24</v>
      </c>
      <c r="F553" s="97" t="str">
        <f ca="1">IF(OR(Market_Data[[#This Row],[Start Date]]="",Market_Data[[#This Row],[Completion Date]]=""),"Needs Validation",IF(Market_Data[[#This Row],[Start Date]]&gt;TODAY(),"Planned",IF(Market_Data[[#This Row],[Completion Date]]&lt;TODAY(),"Completed","Ongoing")))</f>
        <v>Ongoing</v>
      </c>
      <c r="G553" s="324">
        <v>45385</v>
      </c>
      <c r="H553" s="324">
        <v>47483</v>
      </c>
      <c r="I553" s="325">
        <v>43900</v>
      </c>
      <c r="J55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53" s="133">
        <f>_xlfn.XLOOKUP(Market_Data[[#This Row],[Project Type]],tbl_assumptions_market[Project Category (RERA)],tbl_assumptions_market[Concrete Intensity
(m³ / sq m BUA)],"",0)</f>
        <v>0.45</v>
      </c>
      <c r="L553" s="134">
        <f>ROUND(Market_Data[[#This Row],[Estimated Built Up Area (sq m)]]*Market_Data[[#This Row],[Concrete Intensity
(m³ / sq m)]],0)</f>
        <v>19755</v>
      </c>
      <c r="M553" s="135">
        <f>_xlfn.XLOOKUP(Market_Data[[#This Row],[District]],tbl_district_price[District],tbl_district_price[Standard Price
(INR/m³)],"",0)</f>
        <v>6200</v>
      </c>
      <c r="N553" s="364">
        <f>IF(OR(Market_Data[[#This Row],[Estimated Concrete Demand (m³)]]="",Market_Data[[#This Row],[Avg Price per (₹ / m³)]]=""),"",Market_Data[[#This Row],[Estimated Concrete Demand (m³)]]*Market_Data[[#This Row],[Avg Price per (₹ / m³)]]/10000000)</f>
        <v>12.248100000000001</v>
      </c>
      <c r="O553" s="97" t="str">
        <f>IF(Market_Data[[#This Row],[Estimated Concrete Demand (m³)]]="","",
IF(Market_Data[[#This Row],[Estimated Concrete Demand (m³)]]&lt;10000,"Small",
IF(Market_Data[[#This Row],[Estimated Concrete Demand (m³)]]&lt;25000,"Medium",
IF(Market_Data[[#This Row],[Estimated Concrete Demand (m³)]]&lt;100000,"Large","Mega"))))</f>
        <v>Medium</v>
      </c>
      <c r="P553" s="287" t="str">
        <f t="shared" si="10"/>
        <v>GujRERA</v>
      </c>
    </row>
    <row r="554" spans="1:16">
      <c r="A554" s="129" t="str">
        <f>_xlfn.XLOOKUP(B554,$S$9:$S$14,$T$9:$T$14)&amp;"-"&amp;
IF(E554="Residential/Group Housing","RES",
IF(E554="Commercial","COM",
IF(E554="Mixed Development","MIX",
IF(E554="Plotted Development","PLT","OTH"))))
&amp;"-"&amp;TEXT(COUNTIFS($B$9:B554,B554,$E$9:E554,E554),"0000")</f>
        <v>SUR-RES-0084</v>
      </c>
      <c r="B554" s="322" t="s">
        <v>34</v>
      </c>
      <c r="C554" s="322" t="s">
        <v>34</v>
      </c>
      <c r="D554" s="323" t="s">
        <v>743</v>
      </c>
      <c r="E554" s="132" t="s">
        <v>24</v>
      </c>
      <c r="F554" s="97" t="str">
        <f ca="1">IF(OR(Market_Data[[#This Row],[Start Date]]="",Market_Data[[#This Row],[Completion Date]]=""),"Needs Validation",IF(Market_Data[[#This Row],[Start Date]]&gt;TODAY(),"Planned",IF(Market_Data[[#This Row],[Completion Date]]&lt;TODAY(),"Completed","Ongoing")))</f>
        <v>Ongoing</v>
      </c>
      <c r="G554" s="324">
        <v>45391</v>
      </c>
      <c r="H554" s="324">
        <v>47483</v>
      </c>
      <c r="I554" s="325">
        <v>21100</v>
      </c>
      <c r="J55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54" s="133">
        <f>_xlfn.XLOOKUP(Market_Data[[#This Row],[Project Type]],tbl_assumptions_market[Project Category (RERA)],tbl_assumptions_market[Concrete Intensity
(m³ / sq m BUA)],"",0)</f>
        <v>0.45</v>
      </c>
      <c r="L554" s="134">
        <f>ROUND(Market_Data[[#This Row],[Estimated Built Up Area (sq m)]]*Market_Data[[#This Row],[Concrete Intensity
(m³ / sq m)]],0)</f>
        <v>9495</v>
      </c>
      <c r="M554" s="135">
        <f>_xlfn.XLOOKUP(Market_Data[[#This Row],[District]],tbl_district_price[District],tbl_district_price[Standard Price
(INR/m³)],"",0)</f>
        <v>6200</v>
      </c>
      <c r="N554" s="364">
        <f>IF(OR(Market_Data[[#This Row],[Estimated Concrete Demand (m³)]]="",Market_Data[[#This Row],[Avg Price per (₹ / m³)]]=""),"",Market_Data[[#This Row],[Estimated Concrete Demand (m³)]]*Market_Data[[#This Row],[Avg Price per (₹ / m³)]]/10000000)</f>
        <v>5.8868999999999998</v>
      </c>
      <c r="O554" s="97" t="str">
        <f>IF(Market_Data[[#This Row],[Estimated Concrete Demand (m³)]]="","",
IF(Market_Data[[#This Row],[Estimated Concrete Demand (m³)]]&lt;10000,"Small",
IF(Market_Data[[#This Row],[Estimated Concrete Demand (m³)]]&lt;25000,"Medium",
IF(Market_Data[[#This Row],[Estimated Concrete Demand (m³)]]&lt;100000,"Large","Mega"))))</f>
        <v>Small</v>
      </c>
      <c r="P554" s="287" t="str">
        <f t="shared" si="10"/>
        <v>GujRERA</v>
      </c>
    </row>
    <row r="555" spans="1:16">
      <c r="A555" s="129" t="str">
        <f>_xlfn.XLOOKUP(B555,$S$9:$S$14,$T$9:$T$14)&amp;"-"&amp;
IF(E555="Residential/Group Housing","RES",
IF(E555="Commercial","COM",
IF(E555="Mixed Development","MIX",
IF(E555="Plotted Development","PLT","OTH"))))
&amp;"-"&amp;TEXT(COUNTIFS($B$9:B555,B555,$E$9:E555,E555),"0000")</f>
        <v>SUR-RES-0085</v>
      </c>
      <c r="B555" s="322" t="s">
        <v>34</v>
      </c>
      <c r="C555" s="322" t="s">
        <v>34</v>
      </c>
      <c r="D555" s="323" t="s">
        <v>744</v>
      </c>
      <c r="E555" s="132" t="s">
        <v>24</v>
      </c>
      <c r="F555" s="97" t="str">
        <f ca="1">IF(OR(Market_Data[[#This Row],[Start Date]]="",Market_Data[[#This Row],[Completion Date]]=""),"Needs Validation",IF(Market_Data[[#This Row],[Start Date]]&gt;TODAY(),"Planned",IF(Market_Data[[#This Row],[Completion Date]]&lt;TODAY(),"Completed","Ongoing")))</f>
        <v>Ongoing</v>
      </c>
      <c r="G555" s="324">
        <v>44677</v>
      </c>
      <c r="H555" s="324">
        <v>48579</v>
      </c>
      <c r="I555" s="325">
        <v>5400</v>
      </c>
      <c r="J55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55" s="133">
        <f>_xlfn.XLOOKUP(Market_Data[[#This Row],[Project Type]],tbl_assumptions_market[Project Category (RERA)],tbl_assumptions_market[Concrete Intensity
(m³ / sq m BUA)],"",0)</f>
        <v>0.45</v>
      </c>
      <c r="L555" s="134">
        <f>ROUND(Market_Data[[#This Row],[Estimated Built Up Area (sq m)]]*Market_Data[[#This Row],[Concrete Intensity
(m³ / sq m)]],0)</f>
        <v>2430</v>
      </c>
      <c r="M555" s="135">
        <f>_xlfn.XLOOKUP(Market_Data[[#This Row],[District]],tbl_district_price[District],tbl_district_price[Standard Price
(INR/m³)],"",0)</f>
        <v>6200</v>
      </c>
      <c r="N555" s="364">
        <f>IF(OR(Market_Data[[#This Row],[Estimated Concrete Demand (m³)]]="",Market_Data[[#This Row],[Avg Price per (₹ / m³)]]=""),"",Market_Data[[#This Row],[Estimated Concrete Demand (m³)]]*Market_Data[[#This Row],[Avg Price per (₹ / m³)]]/10000000)</f>
        <v>1.5065999999999999</v>
      </c>
      <c r="O555" s="97" t="str">
        <f>IF(Market_Data[[#This Row],[Estimated Concrete Demand (m³)]]="","",
IF(Market_Data[[#This Row],[Estimated Concrete Demand (m³)]]&lt;10000,"Small",
IF(Market_Data[[#This Row],[Estimated Concrete Demand (m³)]]&lt;25000,"Medium",
IF(Market_Data[[#This Row],[Estimated Concrete Demand (m³)]]&lt;100000,"Large","Mega"))))</f>
        <v>Small</v>
      </c>
      <c r="P555" s="287" t="str">
        <f t="shared" si="10"/>
        <v>GujRERA</v>
      </c>
    </row>
    <row r="556" spans="1:16">
      <c r="A556" s="129" t="str">
        <f>_xlfn.XLOOKUP(B556,$S$9:$S$14,$T$9:$T$14)&amp;"-"&amp;
IF(E556="Residential/Group Housing","RES",
IF(E556="Commercial","COM",
IF(E556="Mixed Development","MIX",
IF(E556="Plotted Development","PLT","OTH"))))
&amp;"-"&amp;TEXT(COUNTIFS($B$9:B556,B556,$E$9:E556,E556),"0000")</f>
        <v>SUR-RES-0086</v>
      </c>
      <c r="B556" s="322" t="s">
        <v>34</v>
      </c>
      <c r="C556" s="322" t="s">
        <v>34</v>
      </c>
      <c r="D556" s="323" t="s">
        <v>745</v>
      </c>
      <c r="E556" s="132" t="s">
        <v>24</v>
      </c>
      <c r="F556" s="97" t="str">
        <f ca="1">IF(OR(Market_Data[[#This Row],[Start Date]]="",Market_Data[[#This Row],[Completion Date]]=""),"Needs Validation",IF(Market_Data[[#This Row],[Start Date]]&gt;TODAY(),"Planned",IF(Market_Data[[#This Row],[Completion Date]]&lt;TODAY(),"Completed","Ongoing")))</f>
        <v>Ongoing</v>
      </c>
      <c r="G556" s="324">
        <v>45029</v>
      </c>
      <c r="H556" s="324">
        <v>47483</v>
      </c>
      <c r="I556" s="325">
        <v>29200</v>
      </c>
      <c r="J55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56" s="133">
        <f>_xlfn.XLOOKUP(Market_Data[[#This Row],[Project Type]],tbl_assumptions_market[Project Category (RERA)],tbl_assumptions_market[Concrete Intensity
(m³ / sq m BUA)],"",0)</f>
        <v>0.45</v>
      </c>
      <c r="L556" s="134">
        <f>ROUND(Market_Data[[#This Row],[Estimated Built Up Area (sq m)]]*Market_Data[[#This Row],[Concrete Intensity
(m³ / sq m)]],0)</f>
        <v>13140</v>
      </c>
      <c r="M556" s="135">
        <f>_xlfn.XLOOKUP(Market_Data[[#This Row],[District]],tbl_district_price[District],tbl_district_price[Standard Price
(INR/m³)],"",0)</f>
        <v>6200</v>
      </c>
      <c r="N556" s="364">
        <f>IF(OR(Market_Data[[#This Row],[Estimated Concrete Demand (m³)]]="",Market_Data[[#This Row],[Avg Price per (₹ / m³)]]=""),"",Market_Data[[#This Row],[Estimated Concrete Demand (m³)]]*Market_Data[[#This Row],[Avg Price per (₹ / m³)]]/10000000)</f>
        <v>8.1468000000000007</v>
      </c>
      <c r="O556" s="97" t="str">
        <f>IF(Market_Data[[#This Row],[Estimated Concrete Demand (m³)]]="","",
IF(Market_Data[[#This Row],[Estimated Concrete Demand (m³)]]&lt;10000,"Small",
IF(Market_Data[[#This Row],[Estimated Concrete Demand (m³)]]&lt;25000,"Medium",
IF(Market_Data[[#This Row],[Estimated Concrete Demand (m³)]]&lt;100000,"Large","Mega"))))</f>
        <v>Medium</v>
      </c>
      <c r="P556" s="287" t="str">
        <f t="shared" si="10"/>
        <v>GujRERA</v>
      </c>
    </row>
    <row r="557" spans="1:16">
      <c r="A557" s="129" t="str">
        <f>_xlfn.XLOOKUP(B557,$S$9:$S$14,$T$9:$T$14)&amp;"-"&amp;
IF(E557="Residential/Group Housing","RES",
IF(E557="Commercial","COM",
IF(E557="Mixed Development","MIX",
IF(E557="Plotted Development","PLT","OTH"))))
&amp;"-"&amp;TEXT(COUNTIFS($B$9:B557,B557,$E$9:E557,E557),"0000")</f>
        <v>SUR-RES-0087</v>
      </c>
      <c r="B557" s="322" t="s">
        <v>34</v>
      </c>
      <c r="C557" s="322" t="s">
        <v>34</v>
      </c>
      <c r="D557" s="323" t="s">
        <v>746</v>
      </c>
      <c r="E557" s="132" t="s">
        <v>24</v>
      </c>
      <c r="F557" s="97" t="str">
        <f ca="1">IF(OR(Market_Data[[#This Row],[Start Date]]="",Market_Data[[#This Row],[Completion Date]]=""),"Needs Validation",IF(Market_Data[[#This Row],[Start Date]]&gt;TODAY(),"Planned",IF(Market_Data[[#This Row],[Completion Date]]&lt;TODAY(),"Completed","Ongoing")))</f>
        <v>Ongoing</v>
      </c>
      <c r="G557" s="324">
        <v>44667</v>
      </c>
      <c r="H557" s="324">
        <v>48579</v>
      </c>
      <c r="I557" s="325">
        <v>5000</v>
      </c>
      <c r="J55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57" s="133">
        <f>_xlfn.XLOOKUP(Market_Data[[#This Row],[Project Type]],tbl_assumptions_market[Project Category (RERA)],tbl_assumptions_market[Concrete Intensity
(m³ / sq m BUA)],"",0)</f>
        <v>0.45</v>
      </c>
      <c r="L557" s="134">
        <f>ROUND(Market_Data[[#This Row],[Estimated Built Up Area (sq m)]]*Market_Data[[#This Row],[Concrete Intensity
(m³ / sq m)]],0)</f>
        <v>2250</v>
      </c>
      <c r="M557" s="135">
        <f>_xlfn.XLOOKUP(Market_Data[[#This Row],[District]],tbl_district_price[District],tbl_district_price[Standard Price
(INR/m³)],"",0)</f>
        <v>6200</v>
      </c>
      <c r="N557" s="364">
        <f>IF(OR(Market_Data[[#This Row],[Estimated Concrete Demand (m³)]]="",Market_Data[[#This Row],[Avg Price per (₹ / m³)]]=""),"",Market_Data[[#This Row],[Estimated Concrete Demand (m³)]]*Market_Data[[#This Row],[Avg Price per (₹ / m³)]]/10000000)</f>
        <v>1.395</v>
      </c>
      <c r="O557" s="97" t="str">
        <f>IF(Market_Data[[#This Row],[Estimated Concrete Demand (m³)]]="","",
IF(Market_Data[[#This Row],[Estimated Concrete Demand (m³)]]&lt;10000,"Small",
IF(Market_Data[[#This Row],[Estimated Concrete Demand (m³)]]&lt;25000,"Medium",
IF(Market_Data[[#This Row],[Estimated Concrete Demand (m³)]]&lt;100000,"Large","Mega"))))</f>
        <v>Small</v>
      </c>
      <c r="P557" s="287" t="str">
        <f t="shared" si="10"/>
        <v>GujRERA</v>
      </c>
    </row>
    <row r="558" spans="1:16">
      <c r="A558" s="129" t="str">
        <f>_xlfn.XLOOKUP(B558,$S$9:$S$14,$T$9:$T$14)&amp;"-"&amp;
IF(E558="Residential/Group Housing","RES",
IF(E558="Commercial","COM",
IF(E558="Mixed Development","MIX",
IF(E558="Plotted Development","PLT","OTH"))))
&amp;"-"&amp;TEXT(COUNTIFS($B$9:B558,B558,$E$9:E558,E558),"0000")</f>
        <v>SUR-RES-0088</v>
      </c>
      <c r="B558" s="322" t="s">
        <v>34</v>
      </c>
      <c r="C558" s="322" t="s">
        <v>34</v>
      </c>
      <c r="D558" s="323" t="s">
        <v>747</v>
      </c>
      <c r="E558" s="132" t="s">
        <v>24</v>
      </c>
      <c r="F558" s="97" t="str">
        <f ca="1">IF(OR(Market_Data[[#This Row],[Start Date]]="",Market_Data[[#This Row],[Completion Date]]=""),"Needs Validation",IF(Market_Data[[#This Row],[Start Date]]&gt;TODAY(),"Planned",IF(Market_Data[[#This Row],[Completion Date]]&lt;TODAY(),"Completed","Ongoing")))</f>
        <v>Completed</v>
      </c>
      <c r="G558" s="324">
        <v>42189</v>
      </c>
      <c r="H558" s="324">
        <v>43646</v>
      </c>
      <c r="I558" s="325">
        <v>59000</v>
      </c>
      <c r="J55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58" s="133">
        <f>_xlfn.XLOOKUP(Market_Data[[#This Row],[Project Type]],tbl_assumptions_market[Project Category (RERA)],tbl_assumptions_market[Concrete Intensity
(m³ / sq m BUA)],"",0)</f>
        <v>0.45</v>
      </c>
      <c r="L558" s="134">
        <f>ROUND(Market_Data[[#This Row],[Estimated Built Up Area (sq m)]]*Market_Data[[#This Row],[Concrete Intensity
(m³ / sq m)]],0)</f>
        <v>26550</v>
      </c>
      <c r="M558" s="135">
        <f>_xlfn.XLOOKUP(Market_Data[[#This Row],[District]],tbl_district_price[District],tbl_district_price[Standard Price
(INR/m³)],"",0)</f>
        <v>6200</v>
      </c>
      <c r="N558" s="364">
        <f>IF(OR(Market_Data[[#This Row],[Estimated Concrete Demand (m³)]]="",Market_Data[[#This Row],[Avg Price per (₹ / m³)]]=""),"",Market_Data[[#This Row],[Estimated Concrete Demand (m³)]]*Market_Data[[#This Row],[Avg Price per (₹ / m³)]]/10000000)</f>
        <v>16.460999999999999</v>
      </c>
      <c r="O558" s="97" t="str">
        <f>IF(Market_Data[[#This Row],[Estimated Concrete Demand (m³)]]="","",
IF(Market_Data[[#This Row],[Estimated Concrete Demand (m³)]]&lt;10000,"Small",
IF(Market_Data[[#This Row],[Estimated Concrete Demand (m³)]]&lt;25000,"Medium",
IF(Market_Data[[#This Row],[Estimated Concrete Demand (m³)]]&lt;100000,"Large","Mega"))))</f>
        <v>Large</v>
      </c>
      <c r="P558" s="287" t="str">
        <f t="shared" si="10"/>
        <v>GujRERA</v>
      </c>
    </row>
    <row r="559" spans="1:16">
      <c r="A559" s="129" t="str">
        <f>_xlfn.XLOOKUP(B559,$S$9:$S$14,$T$9:$T$14)&amp;"-"&amp;
IF(E559="Residential/Group Housing","RES",
IF(E559="Commercial","COM",
IF(E559="Mixed Development","MIX",
IF(E559="Plotted Development","PLT","OTH"))))
&amp;"-"&amp;TEXT(COUNTIFS($B$9:B559,B559,$E$9:E559,E559),"0000")</f>
        <v>SUR-RES-0089</v>
      </c>
      <c r="B559" s="322" t="s">
        <v>34</v>
      </c>
      <c r="C559" s="322" t="s">
        <v>34</v>
      </c>
      <c r="D559" s="323" t="s">
        <v>748</v>
      </c>
      <c r="E559" s="132" t="s">
        <v>24</v>
      </c>
      <c r="F559" s="97" t="str">
        <f ca="1">IF(OR(Market_Data[[#This Row],[Start Date]]="",Market_Data[[#This Row],[Completion Date]]=""),"Needs Validation",IF(Market_Data[[#This Row],[Start Date]]&gt;TODAY(),"Planned",IF(Market_Data[[#This Row],[Completion Date]]&lt;TODAY(),"Completed","Ongoing")))</f>
        <v>Ongoing</v>
      </c>
      <c r="G559" s="324">
        <v>45590</v>
      </c>
      <c r="H559" s="324">
        <v>47848</v>
      </c>
      <c r="I559" s="325">
        <v>43200</v>
      </c>
      <c r="J55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59" s="133">
        <f>_xlfn.XLOOKUP(Market_Data[[#This Row],[Project Type]],tbl_assumptions_market[Project Category (RERA)],tbl_assumptions_market[Concrete Intensity
(m³ / sq m BUA)],"",0)</f>
        <v>0.45</v>
      </c>
      <c r="L559" s="134">
        <f>ROUND(Market_Data[[#This Row],[Estimated Built Up Area (sq m)]]*Market_Data[[#This Row],[Concrete Intensity
(m³ / sq m)]],0)</f>
        <v>19440</v>
      </c>
      <c r="M559" s="135">
        <f>_xlfn.XLOOKUP(Market_Data[[#This Row],[District]],tbl_district_price[District],tbl_district_price[Standard Price
(INR/m³)],"",0)</f>
        <v>6200</v>
      </c>
      <c r="N559" s="364">
        <f>IF(OR(Market_Data[[#This Row],[Estimated Concrete Demand (m³)]]="",Market_Data[[#This Row],[Avg Price per (₹ / m³)]]=""),"",Market_Data[[#This Row],[Estimated Concrete Demand (m³)]]*Market_Data[[#This Row],[Avg Price per (₹ / m³)]]/10000000)</f>
        <v>12.0528</v>
      </c>
      <c r="O559" s="97" t="str">
        <f>IF(Market_Data[[#This Row],[Estimated Concrete Demand (m³)]]="","",
IF(Market_Data[[#This Row],[Estimated Concrete Demand (m³)]]&lt;10000,"Small",
IF(Market_Data[[#This Row],[Estimated Concrete Demand (m³)]]&lt;25000,"Medium",
IF(Market_Data[[#This Row],[Estimated Concrete Demand (m³)]]&lt;100000,"Large","Mega"))))</f>
        <v>Medium</v>
      </c>
      <c r="P559" s="287" t="str">
        <f t="shared" si="10"/>
        <v>GujRERA</v>
      </c>
    </row>
    <row r="560" spans="1:16">
      <c r="A560" s="129" t="str">
        <f>_xlfn.XLOOKUP(B560,$S$9:$S$14,$T$9:$T$14)&amp;"-"&amp;
IF(E560="Residential/Group Housing","RES",
IF(E560="Commercial","COM",
IF(E560="Mixed Development","MIX",
IF(E560="Plotted Development","PLT","OTH"))))
&amp;"-"&amp;TEXT(COUNTIFS($B$9:B560,B560,$E$9:E560,E560),"0000")</f>
        <v>SUR-COM-0041</v>
      </c>
      <c r="B560" s="322" t="s">
        <v>34</v>
      </c>
      <c r="C560" s="322" t="s">
        <v>34</v>
      </c>
      <c r="D560" s="323" t="s">
        <v>749</v>
      </c>
      <c r="E560" s="132" t="s">
        <v>23</v>
      </c>
      <c r="F560" s="97" t="str">
        <f ca="1">IF(OR(Market_Data[[#This Row],[Start Date]]="",Market_Data[[#This Row],[Completion Date]]=""),"Needs Validation",IF(Market_Data[[#This Row],[Start Date]]&gt;TODAY(),"Planned",IF(Market_Data[[#This Row],[Completion Date]]&lt;TODAY(),"Completed","Ongoing")))</f>
        <v>Ongoing</v>
      </c>
      <c r="G560" s="324">
        <v>43237</v>
      </c>
      <c r="H560" s="324">
        <v>46568</v>
      </c>
      <c r="I560" s="325">
        <v>16700</v>
      </c>
      <c r="J56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60" s="133">
        <f>_xlfn.XLOOKUP(Market_Data[[#This Row],[Project Type]],tbl_assumptions_market[Project Category (RERA)],tbl_assumptions_market[Concrete Intensity
(m³ / sq m BUA)],"",0)</f>
        <v>0.5</v>
      </c>
      <c r="L560" s="134">
        <f>ROUND(Market_Data[[#This Row],[Estimated Built Up Area (sq m)]]*Market_Data[[#This Row],[Concrete Intensity
(m³ / sq m)]],0)</f>
        <v>8350</v>
      </c>
      <c r="M560" s="135">
        <f>_xlfn.XLOOKUP(Market_Data[[#This Row],[District]],tbl_district_price[District],tbl_district_price[Standard Price
(INR/m³)],"",0)</f>
        <v>6200</v>
      </c>
      <c r="N560" s="364">
        <f>IF(OR(Market_Data[[#This Row],[Estimated Concrete Demand (m³)]]="",Market_Data[[#This Row],[Avg Price per (₹ / m³)]]=""),"",Market_Data[[#This Row],[Estimated Concrete Demand (m³)]]*Market_Data[[#This Row],[Avg Price per (₹ / m³)]]/10000000)</f>
        <v>5.1769999999999996</v>
      </c>
      <c r="O560" s="97" t="str">
        <f>IF(Market_Data[[#This Row],[Estimated Concrete Demand (m³)]]="","",
IF(Market_Data[[#This Row],[Estimated Concrete Demand (m³)]]&lt;10000,"Small",
IF(Market_Data[[#This Row],[Estimated Concrete Demand (m³)]]&lt;25000,"Medium",
IF(Market_Data[[#This Row],[Estimated Concrete Demand (m³)]]&lt;100000,"Large","Mega"))))</f>
        <v>Small</v>
      </c>
      <c r="P560" s="287" t="str">
        <f t="shared" si="10"/>
        <v>GujRERA</v>
      </c>
    </row>
    <row r="561" spans="1:16">
      <c r="A561" s="129" t="str">
        <f>_xlfn.XLOOKUP(B561,$S$9:$S$14,$T$9:$T$14)&amp;"-"&amp;
IF(E561="Residential/Group Housing","RES",
IF(E561="Commercial","COM",
IF(E561="Mixed Development","MIX",
IF(E561="Plotted Development","PLT","OTH"))))
&amp;"-"&amp;TEXT(COUNTIFS($B$9:B561,B561,$E$9:E561,E561),"0000")</f>
        <v>SUR-RES-0090</v>
      </c>
      <c r="B561" s="322" t="s">
        <v>34</v>
      </c>
      <c r="C561" s="322" t="s">
        <v>34</v>
      </c>
      <c r="D561" s="323" t="s">
        <v>750</v>
      </c>
      <c r="E561" s="132" t="s">
        <v>24</v>
      </c>
      <c r="F561" s="97" t="str">
        <f ca="1">IF(OR(Market_Data[[#This Row],[Start Date]]="",Market_Data[[#This Row],[Completion Date]]=""),"Needs Validation",IF(Market_Data[[#This Row],[Start Date]]&gt;TODAY(),"Planned",IF(Market_Data[[#This Row],[Completion Date]]&lt;TODAY(),"Completed","Ongoing")))</f>
        <v>Ongoing</v>
      </c>
      <c r="G561" s="324">
        <v>45414</v>
      </c>
      <c r="H561" s="324">
        <v>48213</v>
      </c>
      <c r="I561" s="325">
        <v>17400</v>
      </c>
      <c r="J56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61" s="133">
        <f>_xlfn.XLOOKUP(Market_Data[[#This Row],[Project Type]],tbl_assumptions_market[Project Category (RERA)],tbl_assumptions_market[Concrete Intensity
(m³ / sq m BUA)],"",0)</f>
        <v>0.45</v>
      </c>
      <c r="L561" s="134">
        <f>ROUND(Market_Data[[#This Row],[Estimated Built Up Area (sq m)]]*Market_Data[[#This Row],[Concrete Intensity
(m³ / sq m)]],0)</f>
        <v>7830</v>
      </c>
      <c r="M561" s="135">
        <f>_xlfn.XLOOKUP(Market_Data[[#This Row],[District]],tbl_district_price[District],tbl_district_price[Standard Price
(INR/m³)],"",0)</f>
        <v>6200</v>
      </c>
      <c r="N561" s="364">
        <f>IF(OR(Market_Data[[#This Row],[Estimated Concrete Demand (m³)]]="",Market_Data[[#This Row],[Avg Price per (₹ / m³)]]=""),"",Market_Data[[#This Row],[Estimated Concrete Demand (m³)]]*Market_Data[[#This Row],[Avg Price per (₹ / m³)]]/10000000)</f>
        <v>4.8545999999999996</v>
      </c>
      <c r="O561" s="97" t="str">
        <f>IF(Market_Data[[#This Row],[Estimated Concrete Demand (m³)]]="","",
IF(Market_Data[[#This Row],[Estimated Concrete Demand (m³)]]&lt;10000,"Small",
IF(Market_Data[[#This Row],[Estimated Concrete Demand (m³)]]&lt;25000,"Medium",
IF(Market_Data[[#This Row],[Estimated Concrete Demand (m³)]]&lt;100000,"Large","Mega"))))</f>
        <v>Small</v>
      </c>
      <c r="P561" s="287" t="str">
        <f t="shared" si="10"/>
        <v>GujRERA</v>
      </c>
    </row>
    <row r="562" spans="1:16">
      <c r="A562" s="129" t="str">
        <f>_xlfn.XLOOKUP(B562,$S$9:$S$14,$T$9:$T$14)&amp;"-"&amp;
IF(E562="Residential/Group Housing","RES",
IF(E562="Commercial","COM",
IF(E562="Mixed Development","MIX",
IF(E562="Plotted Development","PLT","OTH"))))
&amp;"-"&amp;TEXT(COUNTIFS($B$9:B562,B562,$E$9:E562,E562),"0000")</f>
        <v>SUR-COM-0042</v>
      </c>
      <c r="B562" s="322" t="s">
        <v>34</v>
      </c>
      <c r="C562" s="322" t="s">
        <v>34</v>
      </c>
      <c r="D562" s="323" t="s">
        <v>751</v>
      </c>
      <c r="E562" s="132" t="s">
        <v>23</v>
      </c>
      <c r="F562" s="97" t="str">
        <f ca="1">IF(OR(Market_Data[[#This Row],[Start Date]]="",Market_Data[[#This Row],[Completion Date]]=""),"Needs Validation",IF(Market_Data[[#This Row],[Start Date]]&gt;TODAY(),"Planned",IF(Market_Data[[#This Row],[Completion Date]]&lt;TODAY(),"Completed","Ongoing")))</f>
        <v>Ongoing</v>
      </c>
      <c r="G562" s="324">
        <v>45322</v>
      </c>
      <c r="H562" s="324">
        <v>47483</v>
      </c>
      <c r="I562" s="325">
        <v>2700</v>
      </c>
      <c r="J56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62" s="133">
        <f>_xlfn.XLOOKUP(Market_Data[[#This Row],[Project Type]],tbl_assumptions_market[Project Category (RERA)],tbl_assumptions_market[Concrete Intensity
(m³ / sq m BUA)],"",0)</f>
        <v>0.5</v>
      </c>
      <c r="L562" s="134">
        <f>ROUND(Market_Data[[#This Row],[Estimated Built Up Area (sq m)]]*Market_Data[[#This Row],[Concrete Intensity
(m³ / sq m)]],0)</f>
        <v>1350</v>
      </c>
      <c r="M562" s="135">
        <f>_xlfn.XLOOKUP(Market_Data[[#This Row],[District]],tbl_district_price[District],tbl_district_price[Standard Price
(INR/m³)],"",0)</f>
        <v>6200</v>
      </c>
      <c r="N562" s="364">
        <f>IF(OR(Market_Data[[#This Row],[Estimated Concrete Demand (m³)]]="",Market_Data[[#This Row],[Avg Price per (₹ / m³)]]=""),"",Market_Data[[#This Row],[Estimated Concrete Demand (m³)]]*Market_Data[[#This Row],[Avg Price per (₹ / m³)]]/10000000)</f>
        <v>0.83699999999999997</v>
      </c>
      <c r="O562" s="97" t="str">
        <f>IF(Market_Data[[#This Row],[Estimated Concrete Demand (m³)]]="","",
IF(Market_Data[[#This Row],[Estimated Concrete Demand (m³)]]&lt;10000,"Small",
IF(Market_Data[[#This Row],[Estimated Concrete Demand (m³)]]&lt;25000,"Medium",
IF(Market_Data[[#This Row],[Estimated Concrete Demand (m³)]]&lt;100000,"Large","Mega"))))</f>
        <v>Small</v>
      </c>
      <c r="P562" s="287" t="str">
        <f t="shared" si="10"/>
        <v>GujRERA</v>
      </c>
    </row>
    <row r="563" spans="1:16">
      <c r="A563" s="129" t="str">
        <f>_xlfn.XLOOKUP(B563,$S$9:$S$14,$T$9:$T$14)&amp;"-"&amp;
IF(E563="Residential/Group Housing","RES",
IF(E563="Commercial","COM",
IF(E563="Mixed Development","MIX",
IF(E563="Plotted Development","PLT","OTH"))))
&amp;"-"&amp;TEXT(COUNTIFS($B$9:B563,B563,$E$9:E563,E563),"0000")</f>
        <v>SUR-COM-0043</v>
      </c>
      <c r="B563" s="322" t="s">
        <v>34</v>
      </c>
      <c r="C563" s="322" t="s">
        <v>34</v>
      </c>
      <c r="D563" s="323" t="s">
        <v>752</v>
      </c>
      <c r="E563" s="132" t="s">
        <v>23</v>
      </c>
      <c r="F563" s="97" t="str">
        <f ca="1">IF(OR(Market_Data[[#This Row],[Start Date]]="",Market_Data[[#This Row],[Completion Date]]=""),"Needs Validation",IF(Market_Data[[#This Row],[Start Date]]&gt;TODAY(),"Planned",IF(Market_Data[[#This Row],[Completion Date]]&lt;TODAY(),"Completed","Ongoing")))</f>
        <v>Completed</v>
      </c>
      <c r="G563" s="324">
        <v>42229</v>
      </c>
      <c r="H563" s="324">
        <v>44286</v>
      </c>
      <c r="I563" s="325">
        <v>2200</v>
      </c>
      <c r="J56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63" s="133">
        <f>_xlfn.XLOOKUP(Market_Data[[#This Row],[Project Type]],tbl_assumptions_market[Project Category (RERA)],tbl_assumptions_market[Concrete Intensity
(m³ / sq m BUA)],"",0)</f>
        <v>0.5</v>
      </c>
      <c r="L563" s="134">
        <f>ROUND(Market_Data[[#This Row],[Estimated Built Up Area (sq m)]]*Market_Data[[#This Row],[Concrete Intensity
(m³ / sq m)]],0)</f>
        <v>1100</v>
      </c>
      <c r="M563" s="135">
        <f>_xlfn.XLOOKUP(Market_Data[[#This Row],[District]],tbl_district_price[District],tbl_district_price[Standard Price
(INR/m³)],"",0)</f>
        <v>6200</v>
      </c>
      <c r="N563" s="364">
        <f>IF(OR(Market_Data[[#This Row],[Estimated Concrete Demand (m³)]]="",Market_Data[[#This Row],[Avg Price per (₹ / m³)]]=""),"",Market_Data[[#This Row],[Estimated Concrete Demand (m³)]]*Market_Data[[#This Row],[Avg Price per (₹ / m³)]]/10000000)</f>
        <v>0.68200000000000005</v>
      </c>
      <c r="O563" s="97" t="str">
        <f>IF(Market_Data[[#This Row],[Estimated Concrete Demand (m³)]]="","",
IF(Market_Data[[#This Row],[Estimated Concrete Demand (m³)]]&lt;10000,"Small",
IF(Market_Data[[#This Row],[Estimated Concrete Demand (m³)]]&lt;25000,"Medium",
IF(Market_Data[[#This Row],[Estimated Concrete Demand (m³)]]&lt;100000,"Large","Mega"))))</f>
        <v>Small</v>
      </c>
      <c r="P563" s="287" t="str">
        <f t="shared" si="10"/>
        <v>GujRERA</v>
      </c>
    </row>
    <row r="564" spans="1:16">
      <c r="A564" s="129" t="str">
        <f>_xlfn.XLOOKUP(B564,$S$9:$S$14,$T$9:$T$14)&amp;"-"&amp;
IF(E564="Residential/Group Housing","RES",
IF(E564="Commercial","COM",
IF(E564="Mixed Development","MIX",
IF(E564="Plotted Development","PLT","OTH"))))
&amp;"-"&amp;TEXT(COUNTIFS($B$9:B564,B564,$E$9:E564,E564),"0000")</f>
        <v>SUR-COM-0044</v>
      </c>
      <c r="B564" s="322" t="s">
        <v>34</v>
      </c>
      <c r="C564" s="322" t="s">
        <v>34</v>
      </c>
      <c r="D564" s="323" t="s">
        <v>753</v>
      </c>
      <c r="E564" s="132" t="s">
        <v>23</v>
      </c>
      <c r="F564" s="97" t="str">
        <f ca="1">IF(OR(Market_Data[[#This Row],[Start Date]]="",Market_Data[[#This Row],[Completion Date]]=""),"Needs Validation",IF(Market_Data[[#This Row],[Start Date]]&gt;TODAY(),"Planned",IF(Market_Data[[#This Row],[Completion Date]]&lt;TODAY(),"Completed","Ongoing")))</f>
        <v>Ongoing</v>
      </c>
      <c r="G564" s="324">
        <v>43406</v>
      </c>
      <c r="H564" s="324">
        <v>47026</v>
      </c>
      <c r="I564" s="325">
        <v>14500</v>
      </c>
      <c r="J56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64" s="133">
        <f>_xlfn.XLOOKUP(Market_Data[[#This Row],[Project Type]],tbl_assumptions_market[Project Category (RERA)],tbl_assumptions_market[Concrete Intensity
(m³ / sq m BUA)],"",0)</f>
        <v>0.5</v>
      </c>
      <c r="L564" s="134">
        <f>ROUND(Market_Data[[#This Row],[Estimated Built Up Area (sq m)]]*Market_Data[[#This Row],[Concrete Intensity
(m³ / sq m)]],0)</f>
        <v>7250</v>
      </c>
      <c r="M564" s="135">
        <f>_xlfn.XLOOKUP(Market_Data[[#This Row],[District]],tbl_district_price[District],tbl_district_price[Standard Price
(INR/m³)],"",0)</f>
        <v>6200</v>
      </c>
      <c r="N564" s="364">
        <f>IF(OR(Market_Data[[#This Row],[Estimated Concrete Demand (m³)]]="",Market_Data[[#This Row],[Avg Price per (₹ / m³)]]=""),"",Market_Data[[#This Row],[Estimated Concrete Demand (m³)]]*Market_Data[[#This Row],[Avg Price per (₹ / m³)]]/10000000)</f>
        <v>4.4950000000000001</v>
      </c>
      <c r="O564" s="97" t="str">
        <f>IF(Market_Data[[#This Row],[Estimated Concrete Demand (m³)]]="","",
IF(Market_Data[[#This Row],[Estimated Concrete Demand (m³)]]&lt;10000,"Small",
IF(Market_Data[[#This Row],[Estimated Concrete Demand (m³)]]&lt;25000,"Medium",
IF(Market_Data[[#This Row],[Estimated Concrete Demand (m³)]]&lt;100000,"Large","Mega"))))</f>
        <v>Small</v>
      </c>
      <c r="P564" s="287" t="str">
        <f t="shared" si="10"/>
        <v>GujRERA</v>
      </c>
    </row>
    <row r="565" spans="1:16">
      <c r="A565" s="129" t="str">
        <f>_xlfn.XLOOKUP(B565,$S$9:$S$14,$T$9:$T$14)&amp;"-"&amp;
IF(E565="Residential/Group Housing","RES",
IF(E565="Commercial","COM",
IF(E565="Mixed Development","MIX",
IF(E565="Plotted Development","PLT","OTH"))))
&amp;"-"&amp;TEXT(COUNTIFS($B$9:B565,B565,$E$9:E565,E565),"0000")</f>
        <v>SUR-MIX-0047</v>
      </c>
      <c r="B565" s="322" t="s">
        <v>34</v>
      </c>
      <c r="C565" s="322" t="s">
        <v>34</v>
      </c>
      <c r="D565" s="323" t="s">
        <v>754</v>
      </c>
      <c r="E565" s="132" t="s">
        <v>25</v>
      </c>
      <c r="F565" s="97" t="str">
        <f ca="1">IF(OR(Market_Data[[#This Row],[Start Date]]="",Market_Data[[#This Row],[Completion Date]]=""),"Needs Validation",IF(Market_Data[[#This Row],[Start Date]]&gt;TODAY(),"Planned",IF(Market_Data[[#This Row],[Completion Date]]&lt;TODAY(),"Completed","Ongoing")))</f>
        <v>Ongoing</v>
      </c>
      <c r="G565" s="324">
        <v>45658</v>
      </c>
      <c r="H565" s="324">
        <v>46568</v>
      </c>
      <c r="I565" s="325">
        <v>36200</v>
      </c>
      <c r="J56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65" s="133">
        <f>_xlfn.XLOOKUP(Market_Data[[#This Row],[Project Type]],tbl_assumptions_market[Project Category (RERA)],tbl_assumptions_market[Concrete Intensity
(m³ / sq m BUA)],"",0)</f>
        <v>0.42</v>
      </c>
      <c r="L565" s="134">
        <f>ROUND(Market_Data[[#This Row],[Estimated Built Up Area (sq m)]]*Market_Data[[#This Row],[Concrete Intensity
(m³ / sq m)]],0)</f>
        <v>15204</v>
      </c>
      <c r="M565" s="135">
        <f>_xlfn.XLOOKUP(Market_Data[[#This Row],[District]],tbl_district_price[District],tbl_district_price[Standard Price
(INR/m³)],"",0)</f>
        <v>6200</v>
      </c>
      <c r="N565" s="364">
        <f>IF(OR(Market_Data[[#This Row],[Estimated Concrete Demand (m³)]]="",Market_Data[[#This Row],[Avg Price per (₹ / m³)]]=""),"",Market_Data[[#This Row],[Estimated Concrete Demand (m³)]]*Market_Data[[#This Row],[Avg Price per (₹ / m³)]]/10000000)</f>
        <v>9.4264799999999997</v>
      </c>
      <c r="O565" s="97" t="str">
        <f>IF(Market_Data[[#This Row],[Estimated Concrete Demand (m³)]]="","",
IF(Market_Data[[#This Row],[Estimated Concrete Demand (m³)]]&lt;10000,"Small",
IF(Market_Data[[#This Row],[Estimated Concrete Demand (m³)]]&lt;25000,"Medium",
IF(Market_Data[[#This Row],[Estimated Concrete Demand (m³)]]&lt;100000,"Large","Mega"))))</f>
        <v>Medium</v>
      </c>
      <c r="P565" s="287" t="str">
        <f t="shared" si="10"/>
        <v>GujRERA</v>
      </c>
    </row>
    <row r="566" spans="1:16">
      <c r="A566" s="129" t="str">
        <f>_xlfn.XLOOKUP(B566,$S$9:$S$14,$T$9:$T$14)&amp;"-"&amp;
IF(E566="Residential/Group Housing","RES",
IF(E566="Commercial","COM",
IF(E566="Mixed Development","MIX",
IF(E566="Plotted Development","PLT","OTH"))))
&amp;"-"&amp;TEXT(COUNTIFS($B$9:B566,B566,$E$9:E566,E566),"0000")</f>
        <v>SUR-RES-0091</v>
      </c>
      <c r="B566" s="322" t="s">
        <v>34</v>
      </c>
      <c r="C566" s="322" t="s">
        <v>34</v>
      </c>
      <c r="D566" s="323" t="s">
        <v>755</v>
      </c>
      <c r="E566" s="132" t="s">
        <v>24</v>
      </c>
      <c r="F566" s="97" t="str">
        <f ca="1">IF(OR(Market_Data[[#This Row],[Start Date]]="",Market_Data[[#This Row],[Completion Date]]=""),"Needs Validation",IF(Market_Data[[#This Row],[Start Date]]&gt;TODAY(),"Planned",IF(Market_Data[[#This Row],[Completion Date]]&lt;TODAY(),"Completed","Ongoing")))</f>
        <v>Completed</v>
      </c>
      <c r="G566" s="324">
        <v>44595</v>
      </c>
      <c r="H566" s="324">
        <v>46056</v>
      </c>
      <c r="I566" s="325">
        <v>47100</v>
      </c>
      <c r="J56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66" s="133">
        <f>_xlfn.XLOOKUP(Market_Data[[#This Row],[Project Type]],tbl_assumptions_market[Project Category (RERA)],tbl_assumptions_market[Concrete Intensity
(m³ / sq m BUA)],"",0)</f>
        <v>0.45</v>
      </c>
      <c r="L566" s="134">
        <f>ROUND(Market_Data[[#This Row],[Estimated Built Up Area (sq m)]]*Market_Data[[#This Row],[Concrete Intensity
(m³ / sq m)]],0)</f>
        <v>21195</v>
      </c>
      <c r="M566" s="135">
        <f>_xlfn.XLOOKUP(Market_Data[[#This Row],[District]],tbl_district_price[District],tbl_district_price[Standard Price
(INR/m³)],"",0)</f>
        <v>6200</v>
      </c>
      <c r="N566" s="364">
        <f>IF(OR(Market_Data[[#This Row],[Estimated Concrete Demand (m³)]]="",Market_Data[[#This Row],[Avg Price per (₹ / m³)]]=""),"",Market_Data[[#This Row],[Estimated Concrete Demand (m³)]]*Market_Data[[#This Row],[Avg Price per (₹ / m³)]]/10000000)</f>
        <v>13.1409</v>
      </c>
      <c r="O566" s="97" t="str">
        <f>IF(Market_Data[[#This Row],[Estimated Concrete Demand (m³)]]="","",
IF(Market_Data[[#This Row],[Estimated Concrete Demand (m³)]]&lt;10000,"Small",
IF(Market_Data[[#This Row],[Estimated Concrete Demand (m³)]]&lt;25000,"Medium",
IF(Market_Data[[#This Row],[Estimated Concrete Demand (m³)]]&lt;100000,"Large","Mega"))))</f>
        <v>Medium</v>
      </c>
      <c r="P566" s="287" t="str">
        <f t="shared" si="10"/>
        <v>GujRERA</v>
      </c>
    </row>
    <row r="567" spans="1:16">
      <c r="A567" s="129" t="str">
        <f>_xlfn.XLOOKUP(B567,$S$9:$S$14,$T$9:$T$14)&amp;"-"&amp;
IF(E567="Residential/Group Housing","RES",
IF(E567="Commercial","COM",
IF(E567="Mixed Development","MIX",
IF(E567="Plotted Development","PLT","OTH"))))
&amp;"-"&amp;TEXT(COUNTIFS($B$9:B567,B567,$E$9:E567,E567),"0000")</f>
        <v>SUR-RES-0092</v>
      </c>
      <c r="B567" s="322" t="s">
        <v>34</v>
      </c>
      <c r="C567" s="322" t="s">
        <v>34</v>
      </c>
      <c r="D567" s="323" t="s">
        <v>756</v>
      </c>
      <c r="E567" s="132" t="s">
        <v>24</v>
      </c>
      <c r="F567" s="97" t="str">
        <f ca="1">IF(OR(Market_Data[[#This Row],[Start Date]]="",Market_Data[[#This Row],[Completion Date]]=""),"Needs Validation",IF(Market_Data[[#This Row],[Start Date]]&gt;TODAY(),"Planned",IF(Market_Data[[#This Row],[Completion Date]]&lt;TODAY(),"Completed","Ongoing")))</f>
        <v>Ongoing</v>
      </c>
      <c r="G567" s="324">
        <v>44870</v>
      </c>
      <c r="H567" s="324">
        <v>46387</v>
      </c>
      <c r="I567" s="325">
        <v>35100</v>
      </c>
      <c r="J56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67" s="133">
        <f>_xlfn.XLOOKUP(Market_Data[[#This Row],[Project Type]],tbl_assumptions_market[Project Category (RERA)],tbl_assumptions_market[Concrete Intensity
(m³ / sq m BUA)],"",0)</f>
        <v>0.45</v>
      </c>
      <c r="L567" s="134">
        <f>ROUND(Market_Data[[#This Row],[Estimated Built Up Area (sq m)]]*Market_Data[[#This Row],[Concrete Intensity
(m³ / sq m)]],0)</f>
        <v>15795</v>
      </c>
      <c r="M567" s="135">
        <f>_xlfn.XLOOKUP(Market_Data[[#This Row],[District]],tbl_district_price[District],tbl_district_price[Standard Price
(INR/m³)],"",0)</f>
        <v>6200</v>
      </c>
      <c r="N567" s="364">
        <f>IF(OR(Market_Data[[#This Row],[Estimated Concrete Demand (m³)]]="",Market_Data[[#This Row],[Avg Price per (₹ / m³)]]=""),"",Market_Data[[#This Row],[Estimated Concrete Demand (m³)]]*Market_Data[[#This Row],[Avg Price per (₹ / m³)]]/10000000)</f>
        <v>9.7928999999999995</v>
      </c>
      <c r="O567" s="97" t="str">
        <f>IF(Market_Data[[#This Row],[Estimated Concrete Demand (m³)]]="","",
IF(Market_Data[[#This Row],[Estimated Concrete Demand (m³)]]&lt;10000,"Small",
IF(Market_Data[[#This Row],[Estimated Concrete Demand (m³)]]&lt;25000,"Medium",
IF(Market_Data[[#This Row],[Estimated Concrete Demand (m³)]]&lt;100000,"Large","Mega"))))</f>
        <v>Medium</v>
      </c>
      <c r="P567" s="287" t="str">
        <f t="shared" si="10"/>
        <v>GujRERA</v>
      </c>
    </row>
    <row r="568" spans="1:16">
      <c r="A568" s="129" t="str">
        <f>_xlfn.XLOOKUP(B568,$S$9:$S$14,$T$9:$T$14)&amp;"-"&amp;
IF(E568="Residential/Group Housing","RES",
IF(E568="Commercial","COM",
IF(E568="Mixed Development","MIX",
IF(E568="Plotted Development","PLT","OTH"))))
&amp;"-"&amp;TEXT(COUNTIFS($B$9:B568,B568,$E$9:E568,E568),"0000")</f>
        <v>SUR-RES-0093</v>
      </c>
      <c r="B568" s="322" t="s">
        <v>34</v>
      </c>
      <c r="C568" s="322" t="s">
        <v>34</v>
      </c>
      <c r="D568" s="323" t="s">
        <v>757</v>
      </c>
      <c r="E568" s="132" t="s">
        <v>24</v>
      </c>
      <c r="F568" s="97" t="str">
        <f ca="1">IF(OR(Market_Data[[#This Row],[Start Date]]="",Market_Data[[#This Row],[Completion Date]]=""),"Needs Validation",IF(Market_Data[[#This Row],[Start Date]]&gt;TODAY(),"Planned",IF(Market_Data[[#This Row],[Completion Date]]&lt;TODAY(),"Completed","Ongoing")))</f>
        <v>Ongoing</v>
      </c>
      <c r="G568" s="324">
        <v>44984</v>
      </c>
      <c r="H568" s="324">
        <v>46387</v>
      </c>
      <c r="I568" s="325">
        <v>59800</v>
      </c>
      <c r="J56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68" s="133">
        <f>_xlfn.XLOOKUP(Market_Data[[#This Row],[Project Type]],tbl_assumptions_market[Project Category (RERA)],tbl_assumptions_market[Concrete Intensity
(m³ / sq m BUA)],"",0)</f>
        <v>0.45</v>
      </c>
      <c r="L568" s="134">
        <f>ROUND(Market_Data[[#This Row],[Estimated Built Up Area (sq m)]]*Market_Data[[#This Row],[Concrete Intensity
(m³ / sq m)]],0)</f>
        <v>26910</v>
      </c>
      <c r="M568" s="135">
        <f>_xlfn.XLOOKUP(Market_Data[[#This Row],[District]],tbl_district_price[District],tbl_district_price[Standard Price
(INR/m³)],"",0)</f>
        <v>6200</v>
      </c>
      <c r="N568" s="364">
        <f>IF(OR(Market_Data[[#This Row],[Estimated Concrete Demand (m³)]]="",Market_Data[[#This Row],[Avg Price per (₹ / m³)]]=""),"",Market_Data[[#This Row],[Estimated Concrete Demand (m³)]]*Market_Data[[#This Row],[Avg Price per (₹ / m³)]]/10000000)</f>
        <v>16.684200000000001</v>
      </c>
      <c r="O568" s="97" t="str">
        <f>IF(Market_Data[[#This Row],[Estimated Concrete Demand (m³)]]="","",
IF(Market_Data[[#This Row],[Estimated Concrete Demand (m³)]]&lt;10000,"Small",
IF(Market_Data[[#This Row],[Estimated Concrete Demand (m³)]]&lt;25000,"Medium",
IF(Market_Data[[#This Row],[Estimated Concrete Demand (m³)]]&lt;100000,"Large","Mega"))))</f>
        <v>Large</v>
      </c>
      <c r="P568" s="287" t="str">
        <f t="shared" si="10"/>
        <v>GujRERA</v>
      </c>
    </row>
    <row r="569" spans="1:16">
      <c r="A569" s="129" t="str">
        <f>_xlfn.XLOOKUP(B569,$S$9:$S$14,$T$9:$T$14)&amp;"-"&amp;
IF(E569="Residential/Group Housing","RES",
IF(E569="Commercial","COM",
IF(E569="Mixed Development","MIX",
IF(E569="Plotted Development","PLT","OTH"))))
&amp;"-"&amp;TEXT(COUNTIFS($B$9:B569,B569,$E$9:E569,E569),"0000")</f>
        <v>SUR-RES-0094</v>
      </c>
      <c r="B569" s="322" t="s">
        <v>34</v>
      </c>
      <c r="C569" s="322" t="s">
        <v>34</v>
      </c>
      <c r="D569" s="323" t="s">
        <v>758</v>
      </c>
      <c r="E569" s="132" t="s">
        <v>24</v>
      </c>
      <c r="F569" s="97" t="str">
        <f ca="1">IF(OR(Market_Data[[#This Row],[Start Date]]="",Market_Data[[#This Row],[Completion Date]]=""),"Needs Validation",IF(Market_Data[[#This Row],[Start Date]]&gt;TODAY(),"Planned",IF(Market_Data[[#This Row],[Completion Date]]&lt;TODAY(),"Completed","Ongoing")))</f>
        <v>Ongoing</v>
      </c>
      <c r="G569" s="324">
        <v>45261</v>
      </c>
      <c r="H569" s="324">
        <v>47118</v>
      </c>
      <c r="I569" s="325">
        <v>17900</v>
      </c>
      <c r="J56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69" s="133">
        <f>_xlfn.XLOOKUP(Market_Data[[#This Row],[Project Type]],tbl_assumptions_market[Project Category (RERA)],tbl_assumptions_market[Concrete Intensity
(m³ / sq m BUA)],"",0)</f>
        <v>0.45</v>
      </c>
      <c r="L569" s="134">
        <f>ROUND(Market_Data[[#This Row],[Estimated Built Up Area (sq m)]]*Market_Data[[#This Row],[Concrete Intensity
(m³ / sq m)]],0)</f>
        <v>8055</v>
      </c>
      <c r="M569" s="135">
        <f>_xlfn.XLOOKUP(Market_Data[[#This Row],[District]],tbl_district_price[District],tbl_district_price[Standard Price
(INR/m³)],"",0)</f>
        <v>6200</v>
      </c>
      <c r="N569" s="364">
        <f>IF(OR(Market_Data[[#This Row],[Estimated Concrete Demand (m³)]]="",Market_Data[[#This Row],[Avg Price per (₹ / m³)]]=""),"",Market_Data[[#This Row],[Estimated Concrete Demand (m³)]]*Market_Data[[#This Row],[Avg Price per (₹ / m³)]]/10000000)</f>
        <v>4.9941000000000004</v>
      </c>
      <c r="O569" s="97" t="str">
        <f>IF(Market_Data[[#This Row],[Estimated Concrete Demand (m³)]]="","",
IF(Market_Data[[#This Row],[Estimated Concrete Demand (m³)]]&lt;10000,"Small",
IF(Market_Data[[#This Row],[Estimated Concrete Demand (m³)]]&lt;25000,"Medium",
IF(Market_Data[[#This Row],[Estimated Concrete Demand (m³)]]&lt;100000,"Large","Mega"))))</f>
        <v>Small</v>
      </c>
      <c r="P569" s="287" t="str">
        <f t="shared" si="10"/>
        <v>GujRERA</v>
      </c>
    </row>
    <row r="570" spans="1:16">
      <c r="A570" s="129" t="str">
        <f>_xlfn.XLOOKUP(B570,$S$9:$S$14,$T$9:$T$14)&amp;"-"&amp;
IF(E570="Residential/Group Housing","RES",
IF(E570="Commercial","COM",
IF(E570="Mixed Development","MIX",
IF(E570="Plotted Development","PLT","OTH"))))
&amp;"-"&amp;TEXT(COUNTIFS($B$9:B570,B570,$E$9:E570,E570),"0000")</f>
        <v>SUR-MIX-0048</v>
      </c>
      <c r="B570" s="322" t="s">
        <v>34</v>
      </c>
      <c r="C570" s="322" t="s">
        <v>34</v>
      </c>
      <c r="D570" s="323" t="s">
        <v>759</v>
      </c>
      <c r="E570" s="132" t="s">
        <v>25</v>
      </c>
      <c r="F570" s="97" t="str">
        <f ca="1">IF(OR(Market_Data[[#This Row],[Start Date]]="",Market_Data[[#This Row],[Completion Date]]=""),"Needs Validation",IF(Market_Data[[#This Row],[Start Date]]&gt;TODAY(),"Planned",IF(Market_Data[[#This Row],[Completion Date]]&lt;TODAY(),"Completed","Ongoing")))</f>
        <v>Ongoing</v>
      </c>
      <c r="G570" s="324">
        <v>46022</v>
      </c>
      <c r="H570" s="324">
        <v>48213</v>
      </c>
      <c r="I570" s="325">
        <v>49200</v>
      </c>
      <c r="J57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70" s="133">
        <f>_xlfn.XLOOKUP(Market_Data[[#This Row],[Project Type]],tbl_assumptions_market[Project Category (RERA)],tbl_assumptions_market[Concrete Intensity
(m³ / sq m BUA)],"",0)</f>
        <v>0.42</v>
      </c>
      <c r="L570" s="134">
        <f>ROUND(Market_Data[[#This Row],[Estimated Built Up Area (sq m)]]*Market_Data[[#This Row],[Concrete Intensity
(m³ / sq m)]],0)</f>
        <v>20664</v>
      </c>
      <c r="M570" s="135">
        <f>_xlfn.XLOOKUP(Market_Data[[#This Row],[District]],tbl_district_price[District],tbl_district_price[Standard Price
(INR/m³)],"",0)</f>
        <v>6200</v>
      </c>
      <c r="N570" s="364">
        <f>IF(OR(Market_Data[[#This Row],[Estimated Concrete Demand (m³)]]="",Market_Data[[#This Row],[Avg Price per (₹ / m³)]]=""),"",Market_Data[[#This Row],[Estimated Concrete Demand (m³)]]*Market_Data[[#This Row],[Avg Price per (₹ / m³)]]/10000000)</f>
        <v>12.811680000000001</v>
      </c>
      <c r="O570" s="97" t="str">
        <f>IF(Market_Data[[#This Row],[Estimated Concrete Demand (m³)]]="","",
IF(Market_Data[[#This Row],[Estimated Concrete Demand (m³)]]&lt;10000,"Small",
IF(Market_Data[[#This Row],[Estimated Concrete Demand (m³)]]&lt;25000,"Medium",
IF(Market_Data[[#This Row],[Estimated Concrete Demand (m³)]]&lt;100000,"Large","Mega"))))</f>
        <v>Medium</v>
      </c>
      <c r="P570" s="287" t="str">
        <f t="shared" si="10"/>
        <v>GujRERA</v>
      </c>
    </row>
    <row r="571" spans="1:16">
      <c r="A571" s="129" t="str">
        <f>_xlfn.XLOOKUP(B571,$S$9:$S$14,$T$9:$T$14)&amp;"-"&amp;
IF(E571="Residential/Group Housing","RES",
IF(E571="Commercial","COM",
IF(E571="Mixed Development","MIX",
IF(E571="Plotted Development","PLT","OTH"))))
&amp;"-"&amp;TEXT(COUNTIFS($B$9:B571,B571,$E$9:E571,E571),"0000")</f>
        <v>SUR-COM-0045</v>
      </c>
      <c r="B571" s="322" t="s">
        <v>34</v>
      </c>
      <c r="C571" s="322" t="s">
        <v>34</v>
      </c>
      <c r="D571" s="323" t="s">
        <v>760</v>
      </c>
      <c r="E571" s="132" t="s">
        <v>23</v>
      </c>
      <c r="F571" s="97" t="str">
        <f ca="1">IF(OR(Market_Data[[#This Row],[Start Date]]="",Market_Data[[#This Row],[Completion Date]]=""),"Needs Validation",IF(Market_Data[[#This Row],[Start Date]]&gt;TODAY(),"Planned",IF(Market_Data[[#This Row],[Completion Date]]&lt;TODAY(),"Completed","Ongoing")))</f>
        <v>Ongoing</v>
      </c>
      <c r="G571" s="324">
        <v>45597</v>
      </c>
      <c r="H571" s="324">
        <v>46691</v>
      </c>
      <c r="I571" s="325">
        <v>6000</v>
      </c>
      <c r="J57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71" s="133">
        <f>_xlfn.XLOOKUP(Market_Data[[#This Row],[Project Type]],tbl_assumptions_market[Project Category (RERA)],tbl_assumptions_market[Concrete Intensity
(m³ / sq m BUA)],"",0)</f>
        <v>0.5</v>
      </c>
      <c r="L571" s="134">
        <f>ROUND(Market_Data[[#This Row],[Estimated Built Up Area (sq m)]]*Market_Data[[#This Row],[Concrete Intensity
(m³ / sq m)]],0)</f>
        <v>3000</v>
      </c>
      <c r="M571" s="135">
        <f>_xlfn.XLOOKUP(Market_Data[[#This Row],[District]],tbl_district_price[District],tbl_district_price[Standard Price
(INR/m³)],"",0)</f>
        <v>6200</v>
      </c>
      <c r="N571" s="364">
        <f>IF(OR(Market_Data[[#This Row],[Estimated Concrete Demand (m³)]]="",Market_Data[[#This Row],[Avg Price per (₹ / m³)]]=""),"",Market_Data[[#This Row],[Estimated Concrete Demand (m³)]]*Market_Data[[#This Row],[Avg Price per (₹ / m³)]]/10000000)</f>
        <v>1.86</v>
      </c>
      <c r="O571" s="97" t="str">
        <f>IF(Market_Data[[#This Row],[Estimated Concrete Demand (m³)]]="","",
IF(Market_Data[[#This Row],[Estimated Concrete Demand (m³)]]&lt;10000,"Small",
IF(Market_Data[[#This Row],[Estimated Concrete Demand (m³)]]&lt;25000,"Medium",
IF(Market_Data[[#This Row],[Estimated Concrete Demand (m³)]]&lt;100000,"Large","Mega"))))</f>
        <v>Small</v>
      </c>
      <c r="P571" s="287" t="str">
        <f t="shared" si="10"/>
        <v>GujRERA</v>
      </c>
    </row>
    <row r="572" spans="1:16">
      <c r="A572" s="129" t="str">
        <f>_xlfn.XLOOKUP(B572,$S$9:$S$14,$T$9:$T$14)&amp;"-"&amp;
IF(E572="Residential/Group Housing","RES",
IF(E572="Commercial","COM",
IF(E572="Mixed Development","MIX",
IF(E572="Plotted Development","PLT","OTH"))))
&amp;"-"&amp;TEXT(COUNTIFS($B$9:B572,B572,$E$9:E572,E572),"0000")</f>
        <v>SUR-RES-0095</v>
      </c>
      <c r="B572" s="322" t="s">
        <v>34</v>
      </c>
      <c r="C572" s="322" t="s">
        <v>34</v>
      </c>
      <c r="D572" s="323" t="s">
        <v>761</v>
      </c>
      <c r="E572" s="132" t="s">
        <v>24</v>
      </c>
      <c r="F572" s="97" t="str">
        <f ca="1">IF(OR(Market_Data[[#This Row],[Start Date]]="",Market_Data[[#This Row],[Completion Date]]=""),"Needs Validation",IF(Market_Data[[#This Row],[Start Date]]&gt;TODAY(),"Planned",IF(Market_Data[[#This Row],[Completion Date]]&lt;TODAY(),"Completed","Ongoing")))</f>
        <v>Ongoing</v>
      </c>
      <c r="G572" s="324">
        <v>45824</v>
      </c>
      <c r="H572" s="324">
        <v>47483</v>
      </c>
      <c r="I572" s="325">
        <v>56300</v>
      </c>
      <c r="J57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72" s="133">
        <f>_xlfn.XLOOKUP(Market_Data[[#This Row],[Project Type]],tbl_assumptions_market[Project Category (RERA)],tbl_assumptions_market[Concrete Intensity
(m³ / sq m BUA)],"",0)</f>
        <v>0.45</v>
      </c>
      <c r="L572" s="134">
        <f>ROUND(Market_Data[[#This Row],[Estimated Built Up Area (sq m)]]*Market_Data[[#This Row],[Concrete Intensity
(m³ / sq m)]],0)</f>
        <v>25335</v>
      </c>
      <c r="M572" s="135">
        <f>_xlfn.XLOOKUP(Market_Data[[#This Row],[District]],tbl_district_price[District],tbl_district_price[Standard Price
(INR/m³)],"",0)</f>
        <v>6200</v>
      </c>
      <c r="N572" s="364">
        <f>IF(OR(Market_Data[[#This Row],[Estimated Concrete Demand (m³)]]="",Market_Data[[#This Row],[Avg Price per (₹ / m³)]]=""),"",Market_Data[[#This Row],[Estimated Concrete Demand (m³)]]*Market_Data[[#This Row],[Avg Price per (₹ / m³)]]/10000000)</f>
        <v>15.707700000000001</v>
      </c>
      <c r="O572" s="97" t="str">
        <f>IF(Market_Data[[#This Row],[Estimated Concrete Demand (m³)]]="","",
IF(Market_Data[[#This Row],[Estimated Concrete Demand (m³)]]&lt;10000,"Small",
IF(Market_Data[[#This Row],[Estimated Concrete Demand (m³)]]&lt;25000,"Medium",
IF(Market_Data[[#This Row],[Estimated Concrete Demand (m³)]]&lt;100000,"Large","Mega"))))</f>
        <v>Large</v>
      </c>
      <c r="P572" s="287" t="str">
        <f t="shared" si="10"/>
        <v>GujRERA</v>
      </c>
    </row>
    <row r="573" spans="1:16">
      <c r="A573" s="129" t="str">
        <f>_xlfn.XLOOKUP(B573,$S$9:$S$14,$T$9:$T$14)&amp;"-"&amp;
IF(E573="Residential/Group Housing","RES",
IF(E573="Commercial","COM",
IF(E573="Mixed Development","MIX",
IF(E573="Plotted Development","PLT","OTH"))))
&amp;"-"&amp;TEXT(COUNTIFS($B$9:B573,B573,$E$9:E573,E573),"0000")</f>
        <v>SUR-RES-0096</v>
      </c>
      <c r="B573" s="322" t="s">
        <v>34</v>
      </c>
      <c r="C573" s="322" t="s">
        <v>34</v>
      </c>
      <c r="D573" s="323" t="s">
        <v>762</v>
      </c>
      <c r="E573" s="132" t="s">
        <v>24</v>
      </c>
      <c r="F573" s="97" t="str">
        <f ca="1">IF(OR(Market_Data[[#This Row],[Start Date]]="",Market_Data[[#This Row],[Completion Date]]=""),"Needs Validation",IF(Market_Data[[#This Row],[Start Date]]&gt;TODAY(),"Planned",IF(Market_Data[[#This Row],[Completion Date]]&lt;TODAY(),"Completed","Ongoing")))</f>
        <v>Ongoing</v>
      </c>
      <c r="G573" s="324">
        <v>45748</v>
      </c>
      <c r="H573" s="324">
        <v>47573</v>
      </c>
      <c r="I573" s="325">
        <v>49400</v>
      </c>
      <c r="J57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73" s="133">
        <f>_xlfn.XLOOKUP(Market_Data[[#This Row],[Project Type]],tbl_assumptions_market[Project Category (RERA)],tbl_assumptions_market[Concrete Intensity
(m³ / sq m BUA)],"",0)</f>
        <v>0.45</v>
      </c>
      <c r="L573" s="134">
        <f>ROUND(Market_Data[[#This Row],[Estimated Built Up Area (sq m)]]*Market_Data[[#This Row],[Concrete Intensity
(m³ / sq m)]],0)</f>
        <v>22230</v>
      </c>
      <c r="M573" s="135">
        <f>_xlfn.XLOOKUP(Market_Data[[#This Row],[District]],tbl_district_price[District],tbl_district_price[Standard Price
(INR/m³)],"",0)</f>
        <v>6200</v>
      </c>
      <c r="N573" s="364">
        <f>IF(OR(Market_Data[[#This Row],[Estimated Concrete Demand (m³)]]="",Market_Data[[#This Row],[Avg Price per (₹ / m³)]]=""),"",Market_Data[[#This Row],[Estimated Concrete Demand (m³)]]*Market_Data[[#This Row],[Avg Price per (₹ / m³)]]/10000000)</f>
        <v>13.7826</v>
      </c>
      <c r="O573" s="97" t="str">
        <f>IF(Market_Data[[#This Row],[Estimated Concrete Demand (m³)]]="","",
IF(Market_Data[[#This Row],[Estimated Concrete Demand (m³)]]&lt;10000,"Small",
IF(Market_Data[[#This Row],[Estimated Concrete Demand (m³)]]&lt;25000,"Medium",
IF(Market_Data[[#This Row],[Estimated Concrete Demand (m³)]]&lt;100000,"Large","Mega"))))</f>
        <v>Medium</v>
      </c>
      <c r="P573" s="287" t="str">
        <f t="shared" si="10"/>
        <v>GujRERA</v>
      </c>
    </row>
    <row r="574" spans="1:16">
      <c r="A574" s="129" t="str">
        <f>_xlfn.XLOOKUP(B574,$S$9:$S$14,$T$9:$T$14)&amp;"-"&amp;
IF(E574="Residential/Group Housing","RES",
IF(E574="Commercial","COM",
IF(E574="Mixed Development","MIX",
IF(E574="Plotted Development","PLT","OTH"))))
&amp;"-"&amp;TEXT(COUNTIFS($B$9:B574,B574,$E$9:E574,E574),"0000")</f>
        <v>SUR-PLT-0067</v>
      </c>
      <c r="B574" s="322" t="s">
        <v>34</v>
      </c>
      <c r="C574" s="322" t="s">
        <v>34</v>
      </c>
      <c r="D574" s="323" t="s">
        <v>763</v>
      </c>
      <c r="E574" s="132" t="s">
        <v>26</v>
      </c>
      <c r="F574" s="97" t="str">
        <f ca="1">IF(OR(Market_Data[[#This Row],[Start Date]]="",Market_Data[[#This Row],[Completion Date]]=""),"Needs Validation",IF(Market_Data[[#This Row],[Start Date]]&gt;TODAY(),"Planned",IF(Market_Data[[#This Row],[Completion Date]]&lt;TODAY(),"Completed","Ongoing")))</f>
        <v>Ongoing</v>
      </c>
      <c r="G574" s="324">
        <v>45337</v>
      </c>
      <c r="H574" s="324">
        <v>46752</v>
      </c>
      <c r="I574" s="325">
        <v>57700</v>
      </c>
      <c r="J57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574" s="133">
        <f>_xlfn.XLOOKUP(Market_Data[[#This Row],[Project Type]],tbl_assumptions_market[Project Category (RERA)],tbl_assumptions_market[Concrete Intensity
(m³ / sq m BUA)],"",0)</f>
        <v>0.18</v>
      </c>
      <c r="L574" s="134">
        <f>ROUND(Market_Data[[#This Row],[Estimated Built Up Area (sq m)]]*Market_Data[[#This Row],[Concrete Intensity
(m³ / sq m)]],0)</f>
        <v>10386</v>
      </c>
      <c r="M574" s="135">
        <f>_xlfn.XLOOKUP(Market_Data[[#This Row],[District]],tbl_district_price[District],tbl_district_price[Standard Price
(INR/m³)],"",0)</f>
        <v>6200</v>
      </c>
      <c r="N574" s="364">
        <f>IF(OR(Market_Data[[#This Row],[Estimated Concrete Demand (m³)]]="",Market_Data[[#This Row],[Avg Price per (₹ / m³)]]=""),"",Market_Data[[#This Row],[Estimated Concrete Demand (m³)]]*Market_Data[[#This Row],[Avg Price per (₹ / m³)]]/10000000)</f>
        <v>6.4393200000000004</v>
      </c>
      <c r="O574" s="97" t="str">
        <f>IF(Market_Data[[#This Row],[Estimated Concrete Demand (m³)]]="","",
IF(Market_Data[[#This Row],[Estimated Concrete Demand (m³)]]&lt;10000,"Small",
IF(Market_Data[[#This Row],[Estimated Concrete Demand (m³)]]&lt;25000,"Medium",
IF(Market_Data[[#This Row],[Estimated Concrete Demand (m³)]]&lt;100000,"Large","Mega"))))</f>
        <v>Medium</v>
      </c>
      <c r="P574" s="287" t="str">
        <f t="shared" si="10"/>
        <v>GujRERA</v>
      </c>
    </row>
    <row r="575" spans="1:16">
      <c r="A575" s="129" t="str">
        <f>_xlfn.XLOOKUP(B575,$S$9:$S$14,$T$9:$T$14)&amp;"-"&amp;
IF(E575="Residential/Group Housing","RES",
IF(E575="Commercial","COM",
IF(E575="Mixed Development","MIX",
IF(E575="Plotted Development","PLT","OTH"))))
&amp;"-"&amp;TEXT(COUNTIFS($B$9:B575,B575,$E$9:E575,E575),"0000")</f>
        <v>SUR-PLT-0068</v>
      </c>
      <c r="B575" s="322" t="s">
        <v>34</v>
      </c>
      <c r="C575" s="322" t="s">
        <v>34</v>
      </c>
      <c r="D575" s="323" t="s">
        <v>764</v>
      </c>
      <c r="E575" s="132" t="s">
        <v>26</v>
      </c>
      <c r="F575" s="97" t="str">
        <f ca="1">IF(OR(Market_Data[[#This Row],[Start Date]]="",Market_Data[[#This Row],[Completion Date]]=""),"Needs Validation",IF(Market_Data[[#This Row],[Start Date]]&gt;TODAY(),"Planned",IF(Market_Data[[#This Row],[Completion Date]]&lt;TODAY(),"Completed","Ongoing")))</f>
        <v>Ongoing</v>
      </c>
      <c r="G575" s="324">
        <v>45589</v>
      </c>
      <c r="H575" s="324">
        <v>46752</v>
      </c>
      <c r="I575" s="325">
        <v>29600</v>
      </c>
      <c r="J57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75" s="133">
        <f>_xlfn.XLOOKUP(Market_Data[[#This Row],[Project Type]],tbl_assumptions_market[Project Category (RERA)],tbl_assumptions_market[Concrete Intensity
(m³ / sq m BUA)],"",0)</f>
        <v>0.18</v>
      </c>
      <c r="L575" s="134">
        <f>ROUND(Market_Data[[#This Row],[Estimated Built Up Area (sq m)]]*Market_Data[[#This Row],[Concrete Intensity
(m³ / sq m)]],0)</f>
        <v>5328</v>
      </c>
      <c r="M575" s="135">
        <f>_xlfn.XLOOKUP(Market_Data[[#This Row],[District]],tbl_district_price[District],tbl_district_price[Standard Price
(INR/m³)],"",0)</f>
        <v>6200</v>
      </c>
      <c r="N575" s="364">
        <f>IF(OR(Market_Data[[#This Row],[Estimated Concrete Demand (m³)]]="",Market_Data[[#This Row],[Avg Price per (₹ / m³)]]=""),"",Market_Data[[#This Row],[Estimated Concrete Demand (m³)]]*Market_Data[[#This Row],[Avg Price per (₹ / m³)]]/10000000)</f>
        <v>3.3033600000000001</v>
      </c>
      <c r="O575" s="97" t="str">
        <f>IF(Market_Data[[#This Row],[Estimated Concrete Demand (m³)]]="","",
IF(Market_Data[[#This Row],[Estimated Concrete Demand (m³)]]&lt;10000,"Small",
IF(Market_Data[[#This Row],[Estimated Concrete Demand (m³)]]&lt;25000,"Medium",
IF(Market_Data[[#This Row],[Estimated Concrete Demand (m³)]]&lt;100000,"Large","Mega"))))</f>
        <v>Small</v>
      </c>
      <c r="P575" s="287" t="str">
        <f t="shared" si="10"/>
        <v>GujRERA</v>
      </c>
    </row>
    <row r="576" spans="1:16">
      <c r="A576" s="129" t="str">
        <f>_xlfn.XLOOKUP(B576,$S$9:$S$14,$T$9:$T$14)&amp;"-"&amp;
IF(E576="Residential/Group Housing","RES",
IF(E576="Commercial","COM",
IF(E576="Mixed Development","MIX",
IF(E576="Plotted Development","PLT","OTH"))))
&amp;"-"&amp;TEXT(COUNTIFS($B$9:B576,B576,$E$9:E576,E576),"0000")</f>
        <v>SUR-RES-0097</v>
      </c>
      <c r="B576" s="322" t="s">
        <v>34</v>
      </c>
      <c r="C576" s="322" t="s">
        <v>34</v>
      </c>
      <c r="D576" s="323" t="s">
        <v>765</v>
      </c>
      <c r="E576" s="132" t="s">
        <v>24</v>
      </c>
      <c r="F576" s="97" t="str">
        <f ca="1">IF(OR(Market_Data[[#This Row],[Start Date]]="",Market_Data[[#This Row],[Completion Date]]=""),"Needs Validation",IF(Market_Data[[#This Row],[Start Date]]&gt;TODAY(),"Planned",IF(Market_Data[[#This Row],[Completion Date]]&lt;TODAY(),"Completed","Ongoing")))</f>
        <v>Ongoing</v>
      </c>
      <c r="G576" s="324">
        <v>43911</v>
      </c>
      <c r="H576" s="324">
        <v>47118</v>
      </c>
      <c r="I576" s="325">
        <v>10300</v>
      </c>
      <c r="J57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76" s="133">
        <f>_xlfn.XLOOKUP(Market_Data[[#This Row],[Project Type]],tbl_assumptions_market[Project Category (RERA)],tbl_assumptions_market[Concrete Intensity
(m³ / sq m BUA)],"",0)</f>
        <v>0.45</v>
      </c>
      <c r="L576" s="134">
        <f>ROUND(Market_Data[[#This Row],[Estimated Built Up Area (sq m)]]*Market_Data[[#This Row],[Concrete Intensity
(m³ / sq m)]],0)</f>
        <v>4635</v>
      </c>
      <c r="M576" s="135">
        <f>_xlfn.XLOOKUP(Market_Data[[#This Row],[District]],tbl_district_price[District],tbl_district_price[Standard Price
(INR/m³)],"",0)</f>
        <v>6200</v>
      </c>
      <c r="N576" s="364">
        <f>IF(OR(Market_Data[[#This Row],[Estimated Concrete Demand (m³)]]="",Market_Data[[#This Row],[Avg Price per (₹ / m³)]]=""),"",Market_Data[[#This Row],[Estimated Concrete Demand (m³)]]*Market_Data[[#This Row],[Avg Price per (₹ / m³)]]/10000000)</f>
        <v>2.8736999999999999</v>
      </c>
      <c r="O576" s="97" t="str">
        <f>IF(Market_Data[[#This Row],[Estimated Concrete Demand (m³)]]="","",
IF(Market_Data[[#This Row],[Estimated Concrete Demand (m³)]]&lt;10000,"Small",
IF(Market_Data[[#This Row],[Estimated Concrete Demand (m³)]]&lt;25000,"Medium",
IF(Market_Data[[#This Row],[Estimated Concrete Demand (m³)]]&lt;100000,"Large","Mega"))))</f>
        <v>Small</v>
      </c>
      <c r="P576" s="287" t="str">
        <f t="shared" si="10"/>
        <v>GujRERA</v>
      </c>
    </row>
    <row r="577" spans="1:16">
      <c r="A577" s="129" t="str">
        <f>_xlfn.XLOOKUP(B577,$S$9:$S$14,$T$9:$T$14)&amp;"-"&amp;
IF(E577="Residential/Group Housing","RES",
IF(E577="Commercial","COM",
IF(E577="Mixed Development","MIX",
IF(E577="Plotted Development","PLT","OTH"))))
&amp;"-"&amp;TEXT(COUNTIFS($B$9:B577,B577,$E$9:E577,E577),"0000")</f>
        <v>SUR-MIX-0049</v>
      </c>
      <c r="B577" s="322" t="s">
        <v>34</v>
      </c>
      <c r="C577" s="322" t="s">
        <v>34</v>
      </c>
      <c r="D577" s="323" t="s">
        <v>766</v>
      </c>
      <c r="E577" s="132" t="s">
        <v>25</v>
      </c>
      <c r="F577" s="97" t="str">
        <f ca="1">IF(OR(Market_Data[[#This Row],[Start Date]]="",Market_Data[[#This Row],[Completion Date]]=""),"Needs Validation",IF(Market_Data[[#This Row],[Start Date]]&gt;TODAY(),"Planned",IF(Market_Data[[#This Row],[Completion Date]]&lt;TODAY(),"Completed","Ongoing")))</f>
        <v>Completed</v>
      </c>
      <c r="G577" s="324">
        <v>43862</v>
      </c>
      <c r="H577" s="324">
        <v>46203</v>
      </c>
      <c r="I577" s="325">
        <v>27900</v>
      </c>
      <c r="J57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77" s="133">
        <f>_xlfn.XLOOKUP(Market_Data[[#This Row],[Project Type]],tbl_assumptions_market[Project Category (RERA)],tbl_assumptions_market[Concrete Intensity
(m³ / sq m BUA)],"",0)</f>
        <v>0.42</v>
      </c>
      <c r="L577" s="134">
        <f>ROUND(Market_Data[[#This Row],[Estimated Built Up Area (sq m)]]*Market_Data[[#This Row],[Concrete Intensity
(m³ / sq m)]],0)</f>
        <v>11718</v>
      </c>
      <c r="M577" s="135">
        <f>_xlfn.XLOOKUP(Market_Data[[#This Row],[District]],tbl_district_price[District],tbl_district_price[Standard Price
(INR/m³)],"",0)</f>
        <v>6200</v>
      </c>
      <c r="N577" s="364">
        <f>IF(OR(Market_Data[[#This Row],[Estimated Concrete Demand (m³)]]="",Market_Data[[#This Row],[Avg Price per (₹ / m³)]]=""),"",Market_Data[[#This Row],[Estimated Concrete Demand (m³)]]*Market_Data[[#This Row],[Avg Price per (₹ / m³)]]/10000000)</f>
        <v>7.2651599999999998</v>
      </c>
      <c r="O577" s="97" t="str">
        <f>IF(Market_Data[[#This Row],[Estimated Concrete Demand (m³)]]="","",
IF(Market_Data[[#This Row],[Estimated Concrete Demand (m³)]]&lt;10000,"Small",
IF(Market_Data[[#This Row],[Estimated Concrete Demand (m³)]]&lt;25000,"Medium",
IF(Market_Data[[#This Row],[Estimated Concrete Demand (m³)]]&lt;100000,"Large","Mega"))))</f>
        <v>Medium</v>
      </c>
      <c r="P577" s="287" t="str">
        <f t="shared" si="10"/>
        <v>GujRERA</v>
      </c>
    </row>
    <row r="578" spans="1:16">
      <c r="A578" s="129" t="str">
        <f>_xlfn.XLOOKUP(B578,$S$9:$S$14,$T$9:$T$14)&amp;"-"&amp;
IF(E578="Residential/Group Housing","RES",
IF(E578="Commercial","COM",
IF(E578="Mixed Development","MIX",
IF(E578="Plotted Development","PLT","OTH"))))
&amp;"-"&amp;TEXT(COUNTIFS($B$9:B578,B578,$E$9:E578,E578),"0000")</f>
        <v>SUR-PLT-0069</v>
      </c>
      <c r="B578" s="322" t="s">
        <v>34</v>
      </c>
      <c r="C578" s="322" t="s">
        <v>34</v>
      </c>
      <c r="D578" s="323" t="s">
        <v>767</v>
      </c>
      <c r="E578" s="132" t="s">
        <v>26</v>
      </c>
      <c r="F578" s="97" t="str">
        <f ca="1">IF(OR(Market_Data[[#This Row],[Start Date]]="",Market_Data[[#This Row],[Completion Date]]=""),"Needs Validation",IF(Market_Data[[#This Row],[Start Date]]&gt;TODAY(),"Planned",IF(Market_Data[[#This Row],[Completion Date]]&lt;TODAY(),"Completed","Ongoing")))</f>
        <v>Ongoing</v>
      </c>
      <c r="G578" s="324">
        <v>45366</v>
      </c>
      <c r="H578" s="324">
        <v>46387</v>
      </c>
      <c r="I578" s="325">
        <v>55700</v>
      </c>
      <c r="J57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578" s="133">
        <f>_xlfn.XLOOKUP(Market_Data[[#This Row],[Project Type]],tbl_assumptions_market[Project Category (RERA)],tbl_assumptions_market[Concrete Intensity
(m³ / sq m BUA)],"",0)</f>
        <v>0.18</v>
      </c>
      <c r="L578" s="134">
        <f>ROUND(Market_Data[[#This Row],[Estimated Built Up Area (sq m)]]*Market_Data[[#This Row],[Concrete Intensity
(m³ / sq m)]],0)</f>
        <v>10026</v>
      </c>
      <c r="M578" s="135">
        <f>_xlfn.XLOOKUP(Market_Data[[#This Row],[District]],tbl_district_price[District],tbl_district_price[Standard Price
(INR/m³)],"",0)</f>
        <v>6200</v>
      </c>
      <c r="N578" s="364">
        <f>IF(OR(Market_Data[[#This Row],[Estimated Concrete Demand (m³)]]="",Market_Data[[#This Row],[Avg Price per (₹ / m³)]]=""),"",Market_Data[[#This Row],[Estimated Concrete Demand (m³)]]*Market_Data[[#This Row],[Avg Price per (₹ / m³)]]/10000000)</f>
        <v>6.2161200000000001</v>
      </c>
      <c r="O578" s="97" t="str">
        <f>IF(Market_Data[[#This Row],[Estimated Concrete Demand (m³)]]="","",
IF(Market_Data[[#This Row],[Estimated Concrete Demand (m³)]]&lt;10000,"Small",
IF(Market_Data[[#This Row],[Estimated Concrete Demand (m³)]]&lt;25000,"Medium",
IF(Market_Data[[#This Row],[Estimated Concrete Demand (m³)]]&lt;100000,"Large","Mega"))))</f>
        <v>Medium</v>
      </c>
      <c r="P578" s="287" t="str">
        <f t="shared" si="10"/>
        <v>GujRERA</v>
      </c>
    </row>
    <row r="579" spans="1:16">
      <c r="A579" s="129" t="str">
        <f>_xlfn.XLOOKUP(B579,$S$9:$S$14,$T$9:$T$14)&amp;"-"&amp;
IF(E579="Residential/Group Housing","RES",
IF(E579="Commercial","COM",
IF(E579="Mixed Development","MIX",
IF(E579="Plotted Development","PLT","OTH"))))
&amp;"-"&amp;TEXT(COUNTIFS($B$9:B579,B579,$E$9:E579,E579),"0000")</f>
        <v>SUR-PLT-0070</v>
      </c>
      <c r="B579" s="322" t="s">
        <v>34</v>
      </c>
      <c r="C579" s="322" t="s">
        <v>34</v>
      </c>
      <c r="D579" s="323" t="s">
        <v>768</v>
      </c>
      <c r="E579" s="132" t="s">
        <v>26</v>
      </c>
      <c r="F579" s="97" t="str">
        <f ca="1">IF(OR(Market_Data[[#This Row],[Start Date]]="",Market_Data[[#This Row],[Completion Date]]=""),"Needs Validation",IF(Market_Data[[#This Row],[Start Date]]&gt;TODAY(),"Planned",IF(Market_Data[[#This Row],[Completion Date]]&lt;TODAY(),"Completed","Ongoing")))</f>
        <v>Ongoing</v>
      </c>
      <c r="G579" s="324">
        <v>45442</v>
      </c>
      <c r="H579" s="324">
        <v>46477</v>
      </c>
      <c r="I579" s="325">
        <v>41500</v>
      </c>
      <c r="J57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579" s="133">
        <f>_xlfn.XLOOKUP(Market_Data[[#This Row],[Project Type]],tbl_assumptions_market[Project Category (RERA)],tbl_assumptions_market[Concrete Intensity
(m³ / sq m BUA)],"",0)</f>
        <v>0.18</v>
      </c>
      <c r="L579" s="134">
        <f>ROUND(Market_Data[[#This Row],[Estimated Built Up Area (sq m)]]*Market_Data[[#This Row],[Concrete Intensity
(m³ / sq m)]],0)</f>
        <v>7470</v>
      </c>
      <c r="M579" s="135">
        <f>_xlfn.XLOOKUP(Market_Data[[#This Row],[District]],tbl_district_price[District],tbl_district_price[Standard Price
(INR/m³)],"",0)</f>
        <v>6200</v>
      </c>
      <c r="N579" s="364">
        <f>IF(OR(Market_Data[[#This Row],[Estimated Concrete Demand (m³)]]="",Market_Data[[#This Row],[Avg Price per (₹ / m³)]]=""),"",Market_Data[[#This Row],[Estimated Concrete Demand (m³)]]*Market_Data[[#This Row],[Avg Price per (₹ / m³)]]/10000000)</f>
        <v>4.6314000000000002</v>
      </c>
      <c r="O579" s="97" t="str">
        <f>IF(Market_Data[[#This Row],[Estimated Concrete Demand (m³)]]="","",
IF(Market_Data[[#This Row],[Estimated Concrete Demand (m³)]]&lt;10000,"Small",
IF(Market_Data[[#This Row],[Estimated Concrete Demand (m³)]]&lt;25000,"Medium",
IF(Market_Data[[#This Row],[Estimated Concrete Demand (m³)]]&lt;100000,"Large","Mega"))))</f>
        <v>Small</v>
      </c>
      <c r="P579" s="287" t="str">
        <f t="shared" si="10"/>
        <v>GujRERA</v>
      </c>
    </row>
    <row r="580" spans="1:16">
      <c r="A580" s="129" t="str">
        <f>_xlfn.XLOOKUP(B580,$S$9:$S$14,$T$9:$T$14)&amp;"-"&amp;
IF(E580="Residential/Group Housing","RES",
IF(E580="Commercial","COM",
IF(E580="Mixed Development","MIX",
IF(E580="Plotted Development","PLT","OTH"))))
&amp;"-"&amp;TEXT(COUNTIFS($B$9:B580,B580,$E$9:E580,E580),"0000")</f>
        <v>SUR-COM-0046</v>
      </c>
      <c r="B580" s="322" t="s">
        <v>34</v>
      </c>
      <c r="C580" s="322" t="s">
        <v>34</v>
      </c>
      <c r="D580" s="323" t="s">
        <v>769</v>
      </c>
      <c r="E580" s="132" t="s">
        <v>23</v>
      </c>
      <c r="F580" s="97" t="str">
        <f ca="1">IF(OR(Market_Data[[#This Row],[Start Date]]="",Market_Data[[#This Row],[Completion Date]]=""),"Needs Validation",IF(Market_Data[[#This Row],[Start Date]]&gt;TODAY(),"Planned",IF(Market_Data[[#This Row],[Completion Date]]&lt;TODAY(),"Completed","Ongoing")))</f>
        <v>Ongoing</v>
      </c>
      <c r="G580" s="324">
        <v>45748</v>
      </c>
      <c r="H580" s="324">
        <v>47573</v>
      </c>
      <c r="I580" s="325">
        <v>1600</v>
      </c>
      <c r="J58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80" s="133">
        <f>_xlfn.XLOOKUP(Market_Data[[#This Row],[Project Type]],tbl_assumptions_market[Project Category (RERA)],tbl_assumptions_market[Concrete Intensity
(m³ / sq m BUA)],"",0)</f>
        <v>0.5</v>
      </c>
      <c r="L580" s="134">
        <f>ROUND(Market_Data[[#This Row],[Estimated Built Up Area (sq m)]]*Market_Data[[#This Row],[Concrete Intensity
(m³ / sq m)]],0)</f>
        <v>800</v>
      </c>
      <c r="M580" s="135">
        <f>_xlfn.XLOOKUP(Market_Data[[#This Row],[District]],tbl_district_price[District],tbl_district_price[Standard Price
(INR/m³)],"",0)</f>
        <v>6200</v>
      </c>
      <c r="N580" s="364">
        <f>IF(OR(Market_Data[[#This Row],[Estimated Concrete Demand (m³)]]="",Market_Data[[#This Row],[Avg Price per (₹ / m³)]]=""),"",Market_Data[[#This Row],[Estimated Concrete Demand (m³)]]*Market_Data[[#This Row],[Avg Price per (₹ / m³)]]/10000000)</f>
        <v>0.496</v>
      </c>
      <c r="O580" s="97" t="str">
        <f>IF(Market_Data[[#This Row],[Estimated Concrete Demand (m³)]]="","",
IF(Market_Data[[#This Row],[Estimated Concrete Demand (m³)]]&lt;10000,"Small",
IF(Market_Data[[#This Row],[Estimated Concrete Demand (m³)]]&lt;25000,"Medium",
IF(Market_Data[[#This Row],[Estimated Concrete Demand (m³)]]&lt;100000,"Large","Mega"))))</f>
        <v>Small</v>
      </c>
      <c r="P580" s="287" t="str">
        <f t="shared" si="10"/>
        <v>GujRERA</v>
      </c>
    </row>
    <row r="581" spans="1:16">
      <c r="A581" s="129" t="str">
        <f>_xlfn.XLOOKUP(B581,$S$9:$S$14,$T$9:$T$14)&amp;"-"&amp;
IF(E581="Residential/Group Housing","RES",
IF(E581="Commercial","COM",
IF(E581="Mixed Development","MIX",
IF(E581="Plotted Development","PLT","OTH"))))
&amp;"-"&amp;TEXT(COUNTIFS($B$9:B581,B581,$E$9:E581,E581),"0000")</f>
        <v>SUR-PLT-0071</v>
      </c>
      <c r="B581" s="322" t="s">
        <v>34</v>
      </c>
      <c r="C581" s="322" t="s">
        <v>34</v>
      </c>
      <c r="D581" s="323" t="s">
        <v>770</v>
      </c>
      <c r="E581" s="132" t="s">
        <v>26</v>
      </c>
      <c r="F581" s="97" t="str">
        <f ca="1">IF(OR(Market_Data[[#This Row],[Start Date]]="",Market_Data[[#This Row],[Completion Date]]=""),"Needs Validation",IF(Market_Data[[#This Row],[Start Date]]&gt;TODAY(),"Planned",IF(Market_Data[[#This Row],[Completion Date]]&lt;TODAY(),"Completed","Ongoing")))</f>
        <v>Ongoing</v>
      </c>
      <c r="G581" s="324">
        <v>45240</v>
      </c>
      <c r="H581" s="324">
        <v>46752</v>
      </c>
      <c r="I581" s="325">
        <v>52900</v>
      </c>
      <c r="J58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581" s="133">
        <f>_xlfn.XLOOKUP(Market_Data[[#This Row],[Project Type]],tbl_assumptions_market[Project Category (RERA)],tbl_assumptions_market[Concrete Intensity
(m³ / sq m BUA)],"",0)</f>
        <v>0.18</v>
      </c>
      <c r="L581" s="134">
        <f>ROUND(Market_Data[[#This Row],[Estimated Built Up Area (sq m)]]*Market_Data[[#This Row],[Concrete Intensity
(m³ / sq m)]],0)</f>
        <v>9522</v>
      </c>
      <c r="M581" s="135">
        <f>_xlfn.XLOOKUP(Market_Data[[#This Row],[District]],tbl_district_price[District],tbl_district_price[Standard Price
(INR/m³)],"",0)</f>
        <v>6200</v>
      </c>
      <c r="N581" s="364">
        <f>IF(OR(Market_Data[[#This Row],[Estimated Concrete Demand (m³)]]="",Market_Data[[#This Row],[Avg Price per (₹ / m³)]]=""),"",Market_Data[[#This Row],[Estimated Concrete Demand (m³)]]*Market_Data[[#This Row],[Avg Price per (₹ / m³)]]/10000000)</f>
        <v>5.9036400000000002</v>
      </c>
      <c r="O581" s="97" t="str">
        <f>IF(Market_Data[[#This Row],[Estimated Concrete Demand (m³)]]="","",
IF(Market_Data[[#This Row],[Estimated Concrete Demand (m³)]]&lt;10000,"Small",
IF(Market_Data[[#This Row],[Estimated Concrete Demand (m³)]]&lt;25000,"Medium",
IF(Market_Data[[#This Row],[Estimated Concrete Demand (m³)]]&lt;100000,"Large","Mega"))))</f>
        <v>Small</v>
      </c>
      <c r="P581" s="287" t="str">
        <f t="shared" si="10"/>
        <v>GujRERA</v>
      </c>
    </row>
    <row r="582" spans="1:16">
      <c r="A582" s="129" t="str">
        <f>_xlfn.XLOOKUP(B582,$S$9:$S$14,$T$9:$T$14)&amp;"-"&amp;
IF(E582="Residential/Group Housing","RES",
IF(E582="Commercial","COM",
IF(E582="Mixed Development","MIX",
IF(E582="Plotted Development","PLT","OTH"))))
&amp;"-"&amp;TEXT(COUNTIFS($B$9:B582,B582,$E$9:E582,E582),"0000")</f>
        <v>SUR-MIX-0050</v>
      </c>
      <c r="B582" s="322" t="s">
        <v>34</v>
      </c>
      <c r="C582" s="322" t="s">
        <v>34</v>
      </c>
      <c r="D582" s="323" t="s">
        <v>771</v>
      </c>
      <c r="E582" s="132" t="s">
        <v>25</v>
      </c>
      <c r="F582" s="97" t="str">
        <f ca="1">IF(OR(Market_Data[[#This Row],[Start Date]]="",Market_Data[[#This Row],[Completion Date]]=""),"Needs Validation",IF(Market_Data[[#This Row],[Start Date]]&gt;TODAY(),"Planned",IF(Market_Data[[#This Row],[Completion Date]]&lt;TODAY(),"Completed","Ongoing")))</f>
        <v>Ongoing</v>
      </c>
      <c r="G582" s="324">
        <v>45838</v>
      </c>
      <c r="H582" s="324">
        <v>47299</v>
      </c>
      <c r="I582" s="325">
        <v>41300</v>
      </c>
      <c r="J58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82" s="133">
        <f>_xlfn.XLOOKUP(Market_Data[[#This Row],[Project Type]],tbl_assumptions_market[Project Category (RERA)],tbl_assumptions_market[Concrete Intensity
(m³ / sq m BUA)],"",0)</f>
        <v>0.42</v>
      </c>
      <c r="L582" s="134">
        <f>ROUND(Market_Data[[#This Row],[Estimated Built Up Area (sq m)]]*Market_Data[[#This Row],[Concrete Intensity
(m³ / sq m)]],0)</f>
        <v>17346</v>
      </c>
      <c r="M582" s="135">
        <f>_xlfn.XLOOKUP(Market_Data[[#This Row],[District]],tbl_district_price[District],tbl_district_price[Standard Price
(INR/m³)],"",0)</f>
        <v>6200</v>
      </c>
      <c r="N582" s="364">
        <f>IF(OR(Market_Data[[#This Row],[Estimated Concrete Demand (m³)]]="",Market_Data[[#This Row],[Avg Price per (₹ / m³)]]=""),"",Market_Data[[#This Row],[Estimated Concrete Demand (m³)]]*Market_Data[[#This Row],[Avg Price per (₹ / m³)]]/10000000)</f>
        <v>10.754519999999999</v>
      </c>
      <c r="O582" s="97" t="str">
        <f>IF(Market_Data[[#This Row],[Estimated Concrete Demand (m³)]]="","",
IF(Market_Data[[#This Row],[Estimated Concrete Demand (m³)]]&lt;10000,"Small",
IF(Market_Data[[#This Row],[Estimated Concrete Demand (m³)]]&lt;25000,"Medium",
IF(Market_Data[[#This Row],[Estimated Concrete Demand (m³)]]&lt;100000,"Large","Mega"))))</f>
        <v>Medium</v>
      </c>
      <c r="P582" s="287" t="str">
        <f t="shared" si="10"/>
        <v>GujRERA</v>
      </c>
    </row>
    <row r="583" spans="1:16">
      <c r="A583" s="129" t="str">
        <f>_xlfn.XLOOKUP(B583,$S$9:$S$14,$T$9:$T$14)&amp;"-"&amp;
IF(E583="Residential/Group Housing","RES",
IF(E583="Commercial","COM",
IF(E583="Mixed Development","MIX",
IF(E583="Plotted Development","PLT","OTH"))))
&amp;"-"&amp;TEXT(COUNTIFS($B$9:B583,B583,$E$9:E583,E583),"0000")</f>
        <v>SUR-PLT-0072</v>
      </c>
      <c r="B583" s="322" t="s">
        <v>34</v>
      </c>
      <c r="C583" s="322" t="s">
        <v>34</v>
      </c>
      <c r="D583" s="323" t="s">
        <v>772</v>
      </c>
      <c r="E583" s="132" t="s">
        <v>26</v>
      </c>
      <c r="F583" s="97" t="str">
        <f ca="1">IF(OR(Market_Data[[#This Row],[Start Date]]="",Market_Data[[#This Row],[Completion Date]]=""),"Needs Validation",IF(Market_Data[[#This Row],[Start Date]]&gt;TODAY(),"Planned",IF(Market_Data[[#This Row],[Completion Date]]&lt;TODAY(),"Completed","Ongoing")))</f>
        <v>Ongoing</v>
      </c>
      <c r="G583" s="324">
        <v>45689</v>
      </c>
      <c r="H583" s="324">
        <v>47118</v>
      </c>
      <c r="I583" s="325">
        <v>19100</v>
      </c>
      <c r="J58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83" s="133">
        <f>_xlfn.XLOOKUP(Market_Data[[#This Row],[Project Type]],tbl_assumptions_market[Project Category (RERA)],tbl_assumptions_market[Concrete Intensity
(m³ / sq m BUA)],"",0)</f>
        <v>0.18</v>
      </c>
      <c r="L583" s="134">
        <f>ROUND(Market_Data[[#This Row],[Estimated Built Up Area (sq m)]]*Market_Data[[#This Row],[Concrete Intensity
(m³ / sq m)]],0)</f>
        <v>3438</v>
      </c>
      <c r="M583" s="135">
        <f>_xlfn.XLOOKUP(Market_Data[[#This Row],[District]],tbl_district_price[District],tbl_district_price[Standard Price
(INR/m³)],"",0)</f>
        <v>6200</v>
      </c>
      <c r="N583" s="364">
        <f>IF(OR(Market_Data[[#This Row],[Estimated Concrete Demand (m³)]]="",Market_Data[[#This Row],[Avg Price per (₹ / m³)]]=""),"",Market_Data[[#This Row],[Estimated Concrete Demand (m³)]]*Market_Data[[#This Row],[Avg Price per (₹ / m³)]]/10000000)</f>
        <v>2.1315599999999999</v>
      </c>
      <c r="O583" s="97" t="str">
        <f>IF(Market_Data[[#This Row],[Estimated Concrete Demand (m³)]]="","",
IF(Market_Data[[#This Row],[Estimated Concrete Demand (m³)]]&lt;10000,"Small",
IF(Market_Data[[#This Row],[Estimated Concrete Demand (m³)]]&lt;25000,"Medium",
IF(Market_Data[[#This Row],[Estimated Concrete Demand (m³)]]&lt;100000,"Large","Mega"))))</f>
        <v>Small</v>
      </c>
      <c r="P583" s="287" t="str">
        <f t="shared" si="10"/>
        <v>GujRERA</v>
      </c>
    </row>
    <row r="584" spans="1:16">
      <c r="A584" s="129" t="str">
        <f>_xlfn.XLOOKUP(B584,$S$9:$S$14,$T$9:$T$14)&amp;"-"&amp;
IF(E584="Residential/Group Housing","RES",
IF(E584="Commercial","COM",
IF(E584="Mixed Development","MIX",
IF(E584="Plotted Development","PLT","OTH"))))
&amp;"-"&amp;TEXT(COUNTIFS($B$9:B584,B584,$E$9:E584,E584),"0000")</f>
        <v>SUR-RES-0098</v>
      </c>
      <c r="B584" s="322" t="s">
        <v>34</v>
      </c>
      <c r="C584" s="322" t="s">
        <v>34</v>
      </c>
      <c r="D584" s="323" t="s">
        <v>773</v>
      </c>
      <c r="E584" s="132" t="s">
        <v>24</v>
      </c>
      <c r="F584" s="97" t="str">
        <f ca="1">IF(OR(Market_Data[[#This Row],[Start Date]]="",Market_Data[[#This Row],[Completion Date]]=""),"Needs Validation",IF(Market_Data[[#This Row],[Start Date]]&gt;TODAY(),"Planned",IF(Market_Data[[#This Row],[Completion Date]]&lt;TODAY(),"Completed","Ongoing")))</f>
        <v>Completed</v>
      </c>
      <c r="G584" s="324">
        <v>44662</v>
      </c>
      <c r="H584" s="324">
        <v>46022</v>
      </c>
      <c r="I584" s="325">
        <v>51300</v>
      </c>
      <c r="J58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84" s="133">
        <f>_xlfn.XLOOKUP(Market_Data[[#This Row],[Project Type]],tbl_assumptions_market[Project Category (RERA)],tbl_assumptions_market[Concrete Intensity
(m³ / sq m BUA)],"",0)</f>
        <v>0.45</v>
      </c>
      <c r="L584" s="134">
        <f>ROUND(Market_Data[[#This Row],[Estimated Built Up Area (sq m)]]*Market_Data[[#This Row],[Concrete Intensity
(m³ / sq m)]],0)</f>
        <v>23085</v>
      </c>
      <c r="M584" s="135">
        <f>_xlfn.XLOOKUP(Market_Data[[#This Row],[District]],tbl_district_price[District],tbl_district_price[Standard Price
(INR/m³)],"",0)</f>
        <v>6200</v>
      </c>
      <c r="N584" s="364">
        <f>IF(OR(Market_Data[[#This Row],[Estimated Concrete Demand (m³)]]="",Market_Data[[#This Row],[Avg Price per (₹ / m³)]]=""),"",Market_Data[[#This Row],[Estimated Concrete Demand (m³)]]*Market_Data[[#This Row],[Avg Price per (₹ / m³)]]/10000000)</f>
        <v>14.3127</v>
      </c>
      <c r="O584" s="97" t="str">
        <f>IF(Market_Data[[#This Row],[Estimated Concrete Demand (m³)]]="","",
IF(Market_Data[[#This Row],[Estimated Concrete Demand (m³)]]&lt;10000,"Small",
IF(Market_Data[[#This Row],[Estimated Concrete Demand (m³)]]&lt;25000,"Medium",
IF(Market_Data[[#This Row],[Estimated Concrete Demand (m³)]]&lt;100000,"Large","Mega"))))</f>
        <v>Medium</v>
      </c>
      <c r="P584" s="287" t="str">
        <f t="shared" si="10"/>
        <v>GujRERA</v>
      </c>
    </row>
    <row r="585" spans="1:16">
      <c r="A585" s="129" t="str">
        <f>_xlfn.XLOOKUP(B585,$S$9:$S$14,$T$9:$T$14)&amp;"-"&amp;
IF(E585="Residential/Group Housing","RES",
IF(E585="Commercial","COM",
IF(E585="Mixed Development","MIX",
IF(E585="Plotted Development","PLT","OTH"))))
&amp;"-"&amp;TEXT(COUNTIFS($B$9:B585,B585,$E$9:E585,E585),"0000")</f>
        <v>SUR-MIX-0051</v>
      </c>
      <c r="B585" s="322" t="s">
        <v>34</v>
      </c>
      <c r="C585" s="322" t="s">
        <v>34</v>
      </c>
      <c r="D585" s="323" t="s">
        <v>774</v>
      </c>
      <c r="E585" s="132" t="s">
        <v>25</v>
      </c>
      <c r="F585" s="97" t="str">
        <f ca="1">IF(OR(Market_Data[[#This Row],[Start Date]]="",Market_Data[[#This Row],[Completion Date]]=""),"Needs Validation",IF(Market_Data[[#This Row],[Start Date]]&gt;TODAY(),"Planned",IF(Market_Data[[#This Row],[Completion Date]]&lt;TODAY(),"Completed","Ongoing")))</f>
        <v>Completed</v>
      </c>
      <c r="G585" s="324">
        <v>43405</v>
      </c>
      <c r="H585" s="324">
        <v>45838</v>
      </c>
      <c r="I585" s="325">
        <v>37800</v>
      </c>
      <c r="J58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85" s="133">
        <f>_xlfn.XLOOKUP(Market_Data[[#This Row],[Project Type]],tbl_assumptions_market[Project Category (RERA)],tbl_assumptions_market[Concrete Intensity
(m³ / sq m BUA)],"",0)</f>
        <v>0.42</v>
      </c>
      <c r="L585" s="134">
        <f>ROUND(Market_Data[[#This Row],[Estimated Built Up Area (sq m)]]*Market_Data[[#This Row],[Concrete Intensity
(m³ / sq m)]],0)</f>
        <v>15876</v>
      </c>
      <c r="M585" s="135">
        <f>_xlfn.XLOOKUP(Market_Data[[#This Row],[District]],tbl_district_price[District],tbl_district_price[Standard Price
(INR/m³)],"",0)</f>
        <v>6200</v>
      </c>
      <c r="N585" s="364">
        <f>IF(OR(Market_Data[[#This Row],[Estimated Concrete Demand (m³)]]="",Market_Data[[#This Row],[Avg Price per (₹ / m³)]]=""),"",Market_Data[[#This Row],[Estimated Concrete Demand (m³)]]*Market_Data[[#This Row],[Avg Price per (₹ / m³)]]/10000000)</f>
        <v>9.8431200000000008</v>
      </c>
      <c r="O585" s="97" t="str">
        <f>IF(Market_Data[[#This Row],[Estimated Concrete Demand (m³)]]="","",
IF(Market_Data[[#This Row],[Estimated Concrete Demand (m³)]]&lt;10000,"Small",
IF(Market_Data[[#This Row],[Estimated Concrete Demand (m³)]]&lt;25000,"Medium",
IF(Market_Data[[#This Row],[Estimated Concrete Demand (m³)]]&lt;100000,"Large","Mega"))))</f>
        <v>Medium</v>
      </c>
      <c r="P585" s="287" t="str">
        <f t="shared" si="10"/>
        <v>GujRERA</v>
      </c>
    </row>
    <row r="586" spans="1:16">
      <c r="A586" s="129" t="str">
        <f>_xlfn.XLOOKUP(B586,$S$9:$S$14,$T$9:$T$14)&amp;"-"&amp;
IF(E586="Residential/Group Housing","RES",
IF(E586="Commercial","COM",
IF(E586="Mixed Development","MIX",
IF(E586="Plotted Development","PLT","OTH"))))
&amp;"-"&amp;TEXT(COUNTIFS($B$9:B586,B586,$E$9:E586,E586),"0000")</f>
        <v>SUR-COM-0047</v>
      </c>
      <c r="B586" s="322" t="s">
        <v>34</v>
      </c>
      <c r="C586" s="322" t="s">
        <v>34</v>
      </c>
      <c r="D586" s="323" t="s">
        <v>775</v>
      </c>
      <c r="E586" s="132" t="s">
        <v>23</v>
      </c>
      <c r="F586" s="97" t="str">
        <f ca="1">IF(OR(Market_Data[[#This Row],[Start Date]]="",Market_Data[[#This Row],[Completion Date]]=""),"Needs Validation",IF(Market_Data[[#This Row],[Start Date]]&gt;TODAY(),"Planned",IF(Market_Data[[#This Row],[Completion Date]]&lt;TODAY(),"Completed","Ongoing")))</f>
        <v>Ongoing</v>
      </c>
      <c r="G586" s="324">
        <v>45569</v>
      </c>
      <c r="H586" s="324">
        <v>47118</v>
      </c>
      <c r="I586" s="325">
        <v>8500</v>
      </c>
      <c r="J58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86" s="133">
        <f>_xlfn.XLOOKUP(Market_Data[[#This Row],[Project Type]],tbl_assumptions_market[Project Category (RERA)],tbl_assumptions_market[Concrete Intensity
(m³ / sq m BUA)],"",0)</f>
        <v>0.5</v>
      </c>
      <c r="L586" s="134">
        <f>ROUND(Market_Data[[#This Row],[Estimated Built Up Area (sq m)]]*Market_Data[[#This Row],[Concrete Intensity
(m³ / sq m)]],0)</f>
        <v>4250</v>
      </c>
      <c r="M586" s="135">
        <f>_xlfn.XLOOKUP(Market_Data[[#This Row],[District]],tbl_district_price[District],tbl_district_price[Standard Price
(INR/m³)],"",0)</f>
        <v>6200</v>
      </c>
      <c r="N586" s="364">
        <f>IF(OR(Market_Data[[#This Row],[Estimated Concrete Demand (m³)]]="",Market_Data[[#This Row],[Avg Price per (₹ / m³)]]=""),"",Market_Data[[#This Row],[Estimated Concrete Demand (m³)]]*Market_Data[[#This Row],[Avg Price per (₹ / m³)]]/10000000)</f>
        <v>2.6349999999999998</v>
      </c>
      <c r="O586" s="97" t="str">
        <f>IF(Market_Data[[#This Row],[Estimated Concrete Demand (m³)]]="","",
IF(Market_Data[[#This Row],[Estimated Concrete Demand (m³)]]&lt;10000,"Small",
IF(Market_Data[[#This Row],[Estimated Concrete Demand (m³)]]&lt;25000,"Medium",
IF(Market_Data[[#This Row],[Estimated Concrete Demand (m³)]]&lt;100000,"Large","Mega"))))</f>
        <v>Small</v>
      </c>
      <c r="P586" s="287" t="str">
        <f t="shared" ref="P586:P649" si="11">HYPERLINK(
"https://gujrera.gujarat.gov.in",
"GujRERA")</f>
        <v>GujRERA</v>
      </c>
    </row>
    <row r="587" spans="1:16">
      <c r="A587" s="129" t="str">
        <f>_xlfn.XLOOKUP(B587,$S$9:$S$14,$T$9:$T$14)&amp;"-"&amp;
IF(E587="Residential/Group Housing","RES",
IF(E587="Commercial","COM",
IF(E587="Mixed Development","MIX",
IF(E587="Plotted Development","PLT","OTH"))))
&amp;"-"&amp;TEXT(COUNTIFS($B$9:B587,B587,$E$9:E587,E587),"0000")</f>
        <v>SUR-RES-0099</v>
      </c>
      <c r="B587" s="322" t="s">
        <v>34</v>
      </c>
      <c r="C587" s="322" t="s">
        <v>34</v>
      </c>
      <c r="D587" s="323" t="s">
        <v>776</v>
      </c>
      <c r="E587" s="132" t="s">
        <v>24</v>
      </c>
      <c r="F587" s="97" t="str">
        <f ca="1">IF(OR(Market_Data[[#This Row],[Start Date]]="",Market_Data[[#This Row],[Completion Date]]=""),"Needs Validation",IF(Market_Data[[#This Row],[Start Date]]&gt;TODAY(),"Planned",IF(Market_Data[[#This Row],[Completion Date]]&lt;TODAY(),"Completed","Ongoing")))</f>
        <v>Ongoing</v>
      </c>
      <c r="G587" s="324">
        <v>45645</v>
      </c>
      <c r="H587" s="324">
        <v>47483</v>
      </c>
      <c r="I587" s="325">
        <v>5400</v>
      </c>
      <c r="J58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87" s="133">
        <f>_xlfn.XLOOKUP(Market_Data[[#This Row],[Project Type]],tbl_assumptions_market[Project Category (RERA)],tbl_assumptions_market[Concrete Intensity
(m³ / sq m BUA)],"",0)</f>
        <v>0.45</v>
      </c>
      <c r="L587" s="134">
        <f>ROUND(Market_Data[[#This Row],[Estimated Built Up Area (sq m)]]*Market_Data[[#This Row],[Concrete Intensity
(m³ / sq m)]],0)</f>
        <v>2430</v>
      </c>
      <c r="M587" s="135">
        <f>_xlfn.XLOOKUP(Market_Data[[#This Row],[District]],tbl_district_price[District],tbl_district_price[Standard Price
(INR/m³)],"",0)</f>
        <v>6200</v>
      </c>
      <c r="N587" s="364">
        <f>IF(OR(Market_Data[[#This Row],[Estimated Concrete Demand (m³)]]="",Market_Data[[#This Row],[Avg Price per (₹ / m³)]]=""),"",Market_Data[[#This Row],[Estimated Concrete Demand (m³)]]*Market_Data[[#This Row],[Avg Price per (₹ / m³)]]/10000000)</f>
        <v>1.5065999999999999</v>
      </c>
      <c r="O587" s="97" t="str">
        <f>IF(Market_Data[[#This Row],[Estimated Concrete Demand (m³)]]="","",
IF(Market_Data[[#This Row],[Estimated Concrete Demand (m³)]]&lt;10000,"Small",
IF(Market_Data[[#This Row],[Estimated Concrete Demand (m³)]]&lt;25000,"Medium",
IF(Market_Data[[#This Row],[Estimated Concrete Demand (m³)]]&lt;100000,"Large","Mega"))))</f>
        <v>Small</v>
      </c>
      <c r="P587" s="287" t="str">
        <f t="shared" si="11"/>
        <v>GujRERA</v>
      </c>
    </row>
    <row r="588" spans="1:16">
      <c r="A588" s="129" t="str">
        <f>_xlfn.XLOOKUP(B588,$S$9:$S$14,$T$9:$T$14)&amp;"-"&amp;
IF(E588="Residential/Group Housing","RES",
IF(E588="Commercial","COM",
IF(E588="Mixed Development","MIX",
IF(E588="Plotted Development","PLT","OTH"))))
&amp;"-"&amp;TEXT(COUNTIFS($B$9:B588,B588,$E$9:E588,E588),"0000")</f>
        <v>SUR-MIX-0052</v>
      </c>
      <c r="B588" s="322" t="s">
        <v>34</v>
      </c>
      <c r="C588" s="322" t="s">
        <v>34</v>
      </c>
      <c r="D588" s="323" t="s">
        <v>777</v>
      </c>
      <c r="E588" s="132" t="s">
        <v>25</v>
      </c>
      <c r="F588" s="97" t="str">
        <f ca="1">IF(OR(Market_Data[[#This Row],[Start Date]]="",Market_Data[[#This Row],[Completion Date]]=""),"Needs Validation",IF(Market_Data[[#This Row],[Start Date]]&gt;TODAY(),"Planned",IF(Market_Data[[#This Row],[Completion Date]]&lt;TODAY(),"Completed","Ongoing")))</f>
        <v>Completed</v>
      </c>
      <c r="G588" s="324">
        <v>43620</v>
      </c>
      <c r="H588" s="324">
        <v>45746</v>
      </c>
      <c r="I588" s="325">
        <v>51600</v>
      </c>
      <c r="J58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88" s="133">
        <f>_xlfn.XLOOKUP(Market_Data[[#This Row],[Project Type]],tbl_assumptions_market[Project Category (RERA)],tbl_assumptions_market[Concrete Intensity
(m³ / sq m BUA)],"",0)</f>
        <v>0.42</v>
      </c>
      <c r="L588" s="134">
        <f>ROUND(Market_Data[[#This Row],[Estimated Built Up Area (sq m)]]*Market_Data[[#This Row],[Concrete Intensity
(m³ / sq m)]],0)</f>
        <v>21672</v>
      </c>
      <c r="M588" s="135">
        <f>_xlfn.XLOOKUP(Market_Data[[#This Row],[District]],tbl_district_price[District],tbl_district_price[Standard Price
(INR/m³)],"",0)</f>
        <v>6200</v>
      </c>
      <c r="N588" s="364">
        <f>IF(OR(Market_Data[[#This Row],[Estimated Concrete Demand (m³)]]="",Market_Data[[#This Row],[Avg Price per (₹ / m³)]]=""),"",Market_Data[[#This Row],[Estimated Concrete Demand (m³)]]*Market_Data[[#This Row],[Avg Price per (₹ / m³)]]/10000000)</f>
        <v>13.436640000000001</v>
      </c>
      <c r="O588" s="97" t="str">
        <f>IF(Market_Data[[#This Row],[Estimated Concrete Demand (m³)]]="","",
IF(Market_Data[[#This Row],[Estimated Concrete Demand (m³)]]&lt;10000,"Small",
IF(Market_Data[[#This Row],[Estimated Concrete Demand (m³)]]&lt;25000,"Medium",
IF(Market_Data[[#This Row],[Estimated Concrete Demand (m³)]]&lt;100000,"Large","Mega"))))</f>
        <v>Medium</v>
      </c>
      <c r="P588" s="287" t="str">
        <f t="shared" si="11"/>
        <v>GujRERA</v>
      </c>
    </row>
    <row r="589" spans="1:16">
      <c r="A589" s="129" t="str">
        <f>_xlfn.XLOOKUP(B589,$S$9:$S$14,$T$9:$T$14)&amp;"-"&amp;
IF(E589="Residential/Group Housing","RES",
IF(E589="Commercial","COM",
IF(E589="Mixed Development","MIX",
IF(E589="Plotted Development","PLT","OTH"))))
&amp;"-"&amp;TEXT(COUNTIFS($B$9:B589,B589,$E$9:E589,E589),"0000")</f>
        <v>SUR-PLT-0073</v>
      </c>
      <c r="B589" s="322" t="s">
        <v>34</v>
      </c>
      <c r="C589" s="322" t="s">
        <v>34</v>
      </c>
      <c r="D589" s="323" t="s">
        <v>778</v>
      </c>
      <c r="E589" s="132" t="s">
        <v>26</v>
      </c>
      <c r="F589" s="97" t="str">
        <f ca="1">IF(OR(Market_Data[[#This Row],[Start Date]]="",Market_Data[[#This Row],[Completion Date]]=""),"Needs Validation",IF(Market_Data[[#This Row],[Start Date]]&gt;TODAY(),"Planned",IF(Market_Data[[#This Row],[Completion Date]]&lt;TODAY(),"Completed","Ongoing")))</f>
        <v>Ongoing</v>
      </c>
      <c r="G589" s="324">
        <v>45390</v>
      </c>
      <c r="H589" s="324">
        <v>46387</v>
      </c>
      <c r="I589" s="325">
        <v>37400</v>
      </c>
      <c r="J58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589" s="133">
        <f>_xlfn.XLOOKUP(Market_Data[[#This Row],[Project Type]],tbl_assumptions_market[Project Category (RERA)],tbl_assumptions_market[Concrete Intensity
(m³ / sq m BUA)],"",0)</f>
        <v>0.18</v>
      </c>
      <c r="L589" s="134">
        <f>ROUND(Market_Data[[#This Row],[Estimated Built Up Area (sq m)]]*Market_Data[[#This Row],[Concrete Intensity
(m³ / sq m)]],0)</f>
        <v>6732</v>
      </c>
      <c r="M589" s="135">
        <f>_xlfn.XLOOKUP(Market_Data[[#This Row],[District]],tbl_district_price[District],tbl_district_price[Standard Price
(INR/m³)],"",0)</f>
        <v>6200</v>
      </c>
      <c r="N589" s="364">
        <f>IF(OR(Market_Data[[#This Row],[Estimated Concrete Demand (m³)]]="",Market_Data[[#This Row],[Avg Price per (₹ / m³)]]=""),"",Market_Data[[#This Row],[Estimated Concrete Demand (m³)]]*Market_Data[[#This Row],[Avg Price per (₹ / m³)]]/10000000)</f>
        <v>4.1738400000000002</v>
      </c>
      <c r="O589" s="97" t="str">
        <f>IF(Market_Data[[#This Row],[Estimated Concrete Demand (m³)]]="","",
IF(Market_Data[[#This Row],[Estimated Concrete Demand (m³)]]&lt;10000,"Small",
IF(Market_Data[[#This Row],[Estimated Concrete Demand (m³)]]&lt;25000,"Medium",
IF(Market_Data[[#This Row],[Estimated Concrete Demand (m³)]]&lt;100000,"Large","Mega"))))</f>
        <v>Small</v>
      </c>
      <c r="P589" s="287" t="str">
        <f t="shared" si="11"/>
        <v>GujRERA</v>
      </c>
    </row>
    <row r="590" spans="1:16">
      <c r="A590" s="129" t="str">
        <f>_xlfn.XLOOKUP(B590,$S$9:$S$14,$T$9:$T$14)&amp;"-"&amp;
IF(E590="Residential/Group Housing","RES",
IF(E590="Commercial","COM",
IF(E590="Mixed Development","MIX",
IF(E590="Plotted Development","PLT","OTH"))))
&amp;"-"&amp;TEXT(COUNTIFS($B$9:B590,B590,$E$9:E590,E590),"0000")</f>
        <v>SUR-PLT-0074</v>
      </c>
      <c r="B590" s="322" t="s">
        <v>34</v>
      </c>
      <c r="C590" s="322" t="s">
        <v>34</v>
      </c>
      <c r="D590" s="323" t="s">
        <v>779</v>
      </c>
      <c r="E590" s="132" t="s">
        <v>26</v>
      </c>
      <c r="F590" s="97" t="str">
        <f ca="1">IF(OR(Market_Data[[#This Row],[Start Date]]="",Market_Data[[#This Row],[Completion Date]]=""),"Needs Validation",IF(Market_Data[[#This Row],[Start Date]]&gt;TODAY(),"Planned",IF(Market_Data[[#This Row],[Completion Date]]&lt;TODAY(),"Completed","Ongoing")))</f>
        <v>Ongoing</v>
      </c>
      <c r="G590" s="324">
        <v>46098</v>
      </c>
      <c r="H590" s="324">
        <v>46752</v>
      </c>
      <c r="I590" s="325">
        <v>40800</v>
      </c>
      <c r="J59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590" s="133">
        <f>_xlfn.XLOOKUP(Market_Data[[#This Row],[Project Type]],tbl_assumptions_market[Project Category (RERA)],tbl_assumptions_market[Concrete Intensity
(m³ / sq m BUA)],"",0)</f>
        <v>0.18</v>
      </c>
      <c r="L590" s="134">
        <f>ROUND(Market_Data[[#This Row],[Estimated Built Up Area (sq m)]]*Market_Data[[#This Row],[Concrete Intensity
(m³ / sq m)]],0)</f>
        <v>7344</v>
      </c>
      <c r="M590" s="135">
        <f>_xlfn.XLOOKUP(Market_Data[[#This Row],[District]],tbl_district_price[District],tbl_district_price[Standard Price
(INR/m³)],"",0)</f>
        <v>6200</v>
      </c>
      <c r="N590" s="364">
        <f>IF(OR(Market_Data[[#This Row],[Estimated Concrete Demand (m³)]]="",Market_Data[[#This Row],[Avg Price per (₹ / m³)]]=""),"",Market_Data[[#This Row],[Estimated Concrete Demand (m³)]]*Market_Data[[#This Row],[Avg Price per (₹ / m³)]]/10000000)</f>
        <v>4.55328</v>
      </c>
      <c r="O590" s="97" t="str">
        <f>IF(Market_Data[[#This Row],[Estimated Concrete Demand (m³)]]="","",
IF(Market_Data[[#This Row],[Estimated Concrete Demand (m³)]]&lt;10000,"Small",
IF(Market_Data[[#This Row],[Estimated Concrete Demand (m³)]]&lt;25000,"Medium",
IF(Market_Data[[#This Row],[Estimated Concrete Demand (m³)]]&lt;100000,"Large","Mega"))))</f>
        <v>Small</v>
      </c>
      <c r="P590" s="287" t="str">
        <f t="shared" si="11"/>
        <v>GujRERA</v>
      </c>
    </row>
    <row r="591" spans="1:16">
      <c r="A591" s="129" t="str">
        <f>_xlfn.XLOOKUP(B591,$S$9:$S$14,$T$9:$T$14)&amp;"-"&amp;
IF(E591="Residential/Group Housing","RES",
IF(E591="Commercial","COM",
IF(E591="Mixed Development","MIX",
IF(E591="Plotted Development","PLT","OTH"))))
&amp;"-"&amp;TEXT(COUNTIFS($B$9:B591,B591,$E$9:E591,E591),"0000")</f>
        <v>SUR-RES-0100</v>
      </c>
      <c r="B591" s="322" t="s">
        <v>34</v>
      </c>
      <c r="C591" s="322" t="s">
        <v>34</v>
      </c>
      <c r="D591" s="323" t="s">
        <v>780</v>
      </c>
      <c r="E591" s="132" t="s">
        <v>24</v>
      </c>
      <c r="F591" s="97" t="str">
        <f ca="1">IF(OR(Market_Data[[#This Row],[Start Date]]="",Market_Data[[#This Row],[Completion Date]]=""),"Needs Validation",IF(Market_Data[[#This Row],[Start Date]]&gt;TODAY(),"Planned",IF(Market_Data[[#This Row],[Completion Date]]&lt;TODAY(),"Completed","Ongoing")))</f>
        <v>Completed</v>
      </c>
      <c r="G591" s="324">
        <v>41790</v>
      </c>
      <c r="H591" s="324">
        <v>45838</v>
      </c>
      <c r="I591" s="325">
        <v>43600</v>
      </c>
      <c r="J59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91" s="133">
        <f>_xlfn.XLOOKUP(Market_Data[[#This Row],[Project Type]],tbl_assumptions_market[Project Category (RERA)],tbl_assumptions_market[Concrete Intensity
(m³ / sq m BUA)],"",0)</f>
        <v>0.45</v>
      </c>
      <c r="L591" s="134">
        <f>ROUND(Market_Data[[#This Row],[Estimated Built Up Area (sq m)]]*Market_Data[[#This Row],[Concrete Intensity
(m³ / sq m)]],0)</f>
        <v>19620</v>
      </c>
      <c r="M591" s="135">
        <f>_xlfn.XLOOKUP(Market_Data[[#This Row],[District]],tbl_district_price[District],tbl_district_price[Standard Price
(INR/m³)],"",0)</f>
        <v>6200</v>
      </c>
      <c r="N591" s="364">
        <f>IF(OR(Market_Data[[#This Row],[Estimated Concrete Demand (m³)]]="",Market_Data[[#This Row],[Avg Price per (₹ / m³)]]=""),"",Market_Data[[#This Row],[Estimated Concrete Demand (m³)]]*Market_Data[[#This Row],[Avg Price per (₹ / m³)]]/10000000)</f>
        <v>12.164400000000001</v>
      </c>
      <c r="O591" s="97" t="str">
        <f>IF(Market_Data[[#This Row],[Estimated Concrete Demand (m³)]]="","",
IF(Market_Data[[#This Row],[Estimated Concrete Demand (m³)]]&lt;10000,"Small",
IF(Market_Data[[#This Row],[Estimated Concrete Demand (m³)]]&lt;25000,"Medium",
IF(Market_Data[[#This Row],[Estimated Concrete Demand (m³)]]&lt;100000,"Large","Mega"))))</f>
        <v>Medium</v>
      </c>
      <c r="P591" s="287" t="str">
        <f t="shared" si="11"/>
        <v>GujRERA</v>
      </c>
    </row>
    <row r="592" spans="1:16">
      <c r="A592" s="129" t="str">
        <f>_xlfn.XLOOKUP(B592,$S$9:$S$14,$T$9:$T$14)&amp;"-"&amp;
IF(E592="Residential/Group Housing","RES",
IF(E592="Commercial","COM",
IF(E592="Mixed Development","MIX",
IF(E592="Plotted Development","PLT","OTH"))))
&amp;"-"&amp;TEXT(COUNTIFS($B$9:B592,B592,$E$9:E592,E592),"0000")</f>
        <v>SUR-MIX-0053</v>
      </c>
      <c r="B592" s="322" t="s">
        <v>34</v>
      </c>
      <c r="C592" s="322" t="s">
        <v>34</v>
      </c>
      <c r="D592" s="323" t="s">
        <v>781</v>
      </c>
      <c r="E592" s="132" t="s">
        <v>25</v>
      </c>
      <c r="F592" s="97" t="str">
        <f ca="1">IF(OR(Market_Data[[#This Row],[Start Date]]="",Market_Data[[#This Row],[Completion Date]]=""),"Needs Validation",IF(Market_Data[[#This Row],[Start Date]]&gt;TODAY(),"Planned",IF(Market_Data[[#This Row],[Completion Date]]&lt;TODAY(),"Completed","Ongoing")))</f>
        <v>Ongoing</v>
      </c>
      <c r="G592" s="324">
        <v>44855</v>
      </c>
      <c r="H592" s="324">
        <v>46327</v>
      </c>
      <c r="I592" s="325">
        <v>39800</v>
      </c>
      <c r="J59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92" s="133">
        <f>_xlfn.XLOOKUP(Market_Data[[#This Row],[Project Type]],tbl_assumptions_market[Project Category (RERA)],tbl_assumptions_market[Concrete Intensity
(m³ / sq m BUA)],"",0)</f>
        <v>0.42</v>
      </c>
      <c r="L592" s="134">
        <f>ROUND(Market_Data[[#This Row],[Estimated Built Up Area (sq m)]]*Market_Data[[#This Row],[Concrete Intensity
(m³ / sq m)]],0)</f>
        <v>16716</v>
      </c>
      <c r="M592" s="135">
        <f>_xlfn.XLOOKUP(Market_Data[[#This Row],[District]],tbl_district_price[District],tbl_district_price[Standard Price
(INR/m³)],"",0)</f>
        <v>6200</v>
      </c>
      <c r="N592" s="364">
        <f>IF(OR(Market_Data[[#This Row],[Estimated Concrete Demand (m³)]]="",Market_Data[[#This Row],[Avg Price per (₹ / m³)]]=""),"",Market_Data[[#This Row],[Estimated Concrete Demand (m³)]]*Market_Data[[#This Row],[Avg Price per (₹ / m³)]]/10000000)</f>
        <v>10.36392</v>
      </c>
      <c r="O592" s="97" t="str">
        <f>IF(Market_Data[[#This Row],[Estimated Concrete Demand (m³)]]="","",
IF(Market_Data[[#This Row],[Estimated Concrete Demand (m³)]]&lt;10000,"Small",
IF(Market_Data[[#This Row],[Estimated Concrete Demand (m³)]]&lt;25000,"Medium",
IF(Market_Data[[#This Row],[Estimated Concrete Demand (m³)]]&lt;100000,"Large","Mega"))))</f>
        <v>Medium</v>
      </c>
      <c r="P592" s="287" t="str">
        <f t="shared" si="11"/>
        <v>GujRERA</v>
      </c>
    </row>
    <row r="593" spans="1:16">
      <c r="A593" s="129" t="str">
        <f>_xlfn.XLOOKUP(B593,$S$9:$S$14,$T$9:$T$14)&amp;"-"&amp;
IF(E593="Residential/Group Housing","RES",
IF(E593="Commercial","COM",
IF(E593="Mixed Development","MIX",
IF(E593="Plotted Development","PLT","OTH"))))
&amp;"-"&amp;TEXT(COUNTIFS($B$9:B593,B593,$E$9:E593,E593),"0000")</f>
        <v>SUR-COM-0048</v>
      </c>
      <c r="B593" s="322" t="s">
        <v>34</v>
      </c>
      <c r="C593" s="322" t="s">
        <v>34</v>
      </c>
      <c r="D593" s="323" t="s">
        <v>782</v>
      </c>
      <c r="E593" s="132" t="s">
        <v>23</v>
      </c>
      <c r="F593" s="97" t="str">
        <f ca="1">IF(OR(Market_Data[[#This Row],[Start Date]]="",Market_Data[[#This Row],[Completion Date]]=""),"Needs Validation",IF(Market_Data[[#This Row],[Start Date]]&gt;TODAY(),"Planned",IF(Market_Data[[#This Row],[Completion Date]]&lt;TODAY(),"Completed","Ongoing")))</f>
        <v>Completed</v>
      </c>
      <c r="G593" s="324">
        <v>43617</v>
      </c>
      <c r="H593" s="324">
        <v>46022</v>
      </c>
      <c r="I593" s="325">
        <v>17800</v>
      </c>
      <c r="J59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93" s="133">
        <f>_xlfn.XLOOKUP(Market_Data[[#This Row],[Project Type]],tbl_assumptions_market[Project Category (RERA)],tbl_assumptions_market[Concrete Intensity
(m³ / sq m BUA)],"",0)</f>
        <v>0.5</v>
      </c>
      <c r="L593" s="134">
        <f>ROUND(Market_Data[[#This Row],[Estimated Built Up Area (sq m)]]*Market_Data[[#This Row],[Concrete Intensity
(m³ / sq m)]],0)</f>
        <v>8900</v>
      </c>
      <c r="M593" s="135">
        <f>_xlfn.XLOOKUP(Market_Data[[#This Row],[District]],tbl_district_price[District],tbl_district_price[Standard Price
(INR/m³)],"",0)</f>
        <v>6200</v>
      </c>
      <c r="N593" s="364">
        <f>IF(OR(Market_Data[[#This Row],[Estimated Concrete Demand (m³)]]="",Market_Data[[#This Row],[Avg Price per (₹ / m³)]]=""),"",Market_Data[[#This Row],[Estimated Concrete Demand (m³)]]*Market_Data[[#This Row],[Avg Price per (₹ / m³)]]/10000000)</f>
        <v>5.5179999999999998</v>
      </c>
      <c r="O593" s="97" t="str">
        <f>IF(Market_Data[[#This Row],[Estimated Concrete Demand (m³)]]="","",
IF(Market_Data[[#This Row],[Estimated Concrete Demand (m³)]]&lt;10000,"Small",
IF(Market_Data[[#This Row],[Estimated Concrete Demand (m³)]]&lt;25000,"Medium",
IF(Market_Data[[#This Row],[Estimated Concrete Demand (m³)]]&lt;100000,"Large","Mega"))))</f>
        <v>Small</v>
      </c>
      <c r="P593" s="287" t="str">
        <f t="shared" si="11"/>
        <v>GujRERA</v>
      </c>
    </row>
    <row r="594" spans="1:16">
      <c r="A594" s="129" t="str">
        <f>_xlfn.XLOOKUP(B594,$S$9:$S$14,$T$9:$T$14)&amp;"-"&amp;
IF(E594="Residential/Group Housing","RES",
IF(E594="Commercial","COM",
IF(E594="Mixed Development","MIX",
IF(E594="Plotted Development","PLT","OTH"))))
&amp;"-"&amp;TEXT(COUNTIFS($B$9:B594,B594,$E$9:E594,E594),"0000")</f>
        <v>SUR-RES-0101</v>
      </c>
      <c r="B594" s="322" t="s">
        <v>34</v>
      </c>
      <c r="C594" s="322" t="s">
        <v>34</v>
      </c>
      <c r="D594" s="323" t="s">
        <v>783</v>
      </c>
      <c r="E594" s="132" t="s">
        <v>24</v>
      </c>
      <c r="F594" s="97" t="str">
        <f ca="1">IF(OR(Market_Data[[#This Row],[Start Date]]="",Market_Data[[#This Row],[Completion Date]]=""),"Needs Validation",IF(Market_Data[[#This Row],[Start Date]]&gt;TODAY(),"Planned",IF(Market_Data[[#This Row],[Completion Date]]&lt;TODAY(),"Completed","Ongoing")))</f>
        <v>Completed</v>
      </c>
      <c r="G594" s="324">
        <v>41885</v>
      </c>
      <c r="H594" s="324">
        <v>45107</v>
      </c>
      <c r="I594" s="325">
        <v>36200</v>
      </c>
      <c r="J59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94" s="133">
        <f>_xlfn.XLOOKUP(Market_Data[[#This Row],[Project Type]],tbl_assumptions_market[Project Category (RERA)],tbl_assumptions_market[Concrete Intensity
(m³ / sq m BUA)],"",0)</f>
        <v>0.45</v>
      </c>
      <c r="L594" s="134">
        <f>ROUND(Market_Data[[#This Row],[Estimated Built Up Area (sq m)]]*Market_Data[[#This Row],[Concrete Intensity
(m³ / sq m)]],0)</f>
        <v>16290</v>
      </c>
      <c r="M594" s="135">
        <f>_xlfn.XLOOKUP(Market_Data[[#This Row],[District]],tbl_district_price[District],tbl_district_price[Standard Price
(INR/m³)],"",0)</f>
        <v>6200</v>
      </c>
      <c r="N594" s="364">
        <f>IF(OR(Market_Data[[#This Row],[Estimated Concrete Demand (m³)]]="",Market_Data[[#This Row],[Avg Price per (₹ / m³)]]=""),"",Market_Data[[#This Row],[Estimated Concrete Demand (m³)]]*Market_Data[[#This Row],[Avg Price per (₹ / m³)]]/10000000)</f>
        <v>10.0998</v>
      </c>
      <c r="O594" s="97" t="str">
        <f>IF(Market_Data[[#This Row],[Estimated Concrete Demand (m³)]]="","",
IF(Market_Data[[#This Row],[Estimated Concrete Demand (m³)]]&lt;10000,"Small",
IF(Market_Data[[#This Row],[Estimated Concrete Demand (m³)]]&lt;25000,"Medium",
IF(Market_Data[[#This Row],[Estimated Concrete Demand (m³)]]&lt;100000,"Large","Mega"))))</f>
        <v>Medium</v>
      </c>
      <c r="P594" s="287" t="str">
        <f t="shared" si="11"/>
        <v>GujRERA</v>
      </c>
    </row>
    <row r="595" spans="1:16">
      <c r="A595" s="129" t="str">
        <f>_xlfn.XLOOKUP(B595,$S$9:$S$14,$T$9:$T$14)&amp;"-"&amp;
IF(E595="Residential/Group Housing","RES",
IF(E595="Commercial","COM",
IF(E595="Mixed Development","MIX",
IF(E595="Plotted Development","PLT","OTH"))))
&amp;"-"&amp;TEXT(COUNTIFS($B$9:B595,B595,$E$9:E595,E595),"0000")</f>
        <v>SUR-RES-0102</v>
      </c>
      <c r="B595" s="322" t="s">
        <v>34</v>
      </c>
      <c r="C595" s="322" t="s">
        <v>34</v>
      </c>
      <c r="D595" s="323" t="s">
        <v>784</v>
      </c>
      <c r="E595" s="132" t="s">
        <v>24</v>
      </c>
      <c r="F595" s="97" t="str">
        <f ca="1">IF(OR(Market_Data[[#This Row],[Start Date]]="",Market_Data[[#This Row],[Completion Date]]=""),"Needs Validation",IF(Market_Data[[#This Row],[Start Date]]&gt;TODAY(),"Planned",IF(Market_Data[[#This Row],[Completion Date]]&lt;TODAY(),"Completed","Ongoing")))</f>
        <v>Completed</v>
      </c>
      <c r="G595" s="324">
        <v>41730</v>
      </c>
      <c r="H595" s="324">
        <v>44104</v>
      </c>
      <c r="I595" s="325">
        <v>6200</v>
      </c>
      <c r="J59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95" s="133">
        <f>_xlfn.XLOOKUP(Market_Data[[#This Row],[Project Type]],tbl_assumptions_market[Project Category (RERA)],tbl_assumptions_market[Concrete Intensity
(m³ / sq m BUA)],"",0)</f>
        <v>0.45</v>
      </c>
      <c r="L595" s="134">
        <f>ROUND(Market_Data[[#This Row],[Estimated Built Up Area (sq m)]]*Market_Data[[#This Row],[Concrete Intensity
(m³ / sq m)]],0)</f>
        <v>2790</v>
      </c>
      <c r="M595" s="135">
        <f>_xlfn.XLOOKUP(Market_Data[[#This Row],[District]],tbl_district_price[District],tbl_district_price[Standard Price
(INR/m³)],"",0)</f>
        <v>6200</v>
      </c>
      <c r="N595" s="364">
        <f>IF(OR(Market_Data[[#This Row],[Estimated Concrete Demand (m³)]]="",Market_Data[[#This Row],[Avg Price per (₹ / m³)]]=""),"",Market_Data[[#This Row],[Estimated Concrete Demand (m³)]]*Market_Data[[#This Row],[Avg Price per (₹ / m³)]]/10000000)</f>
        <v>1.7298</v>
      </c>
      <c r="O595" s="97" t="str">
        <f>IF(Market_Data[[#This Row],[Estimated Concrete Demand (m³)]]="","",
IF(Market_Data[[#This Row],[Estimated Concrete Demand (m³)]]&lt;10000,"Small",
IF(Market_Data[[#This Row],[Estimated Concrete Demand (m³)]]&lt;25000,"Medium",
IF(Market_Data[[#This Row],[Estimated Concrete Demand (m³)]]&lt;100000,"Large","Mega"))))</f>
        <v>Small</v>
      </c>
      <c r="P595" s="287" t="str">
        <f t="shared" si="11"/>
        <v>GujRERA</v>
      </c>
    </row>
    <row r="596" spans="1:16">
      <c r="A596" s="129" t="str">
        <f>_xlfn.XLOOKUP(B596,$S$9:$S$14,$T$9:$T$14)&amp;"-"&amp;
IF(E596="Residential/Group Housing","RES",
IF(E596="Commercial","COM",
IF(E596="Mixed Development","MIX",
IF(E596="Plotted Development","PLT","OTH"))))
&amp;"-"&amp;TEXT(COUNTIFS($B$9:B596,B596,$E$9:E596,E596),"0000")</f>
        <v>SUR-COM-0049</v>
      </c>
      <c r="B596" s="322" t="s">
        <v>34</v>
      </c>
      <c r="C596" s="322" t="s">
        <v>34</v>
      </c>
      <c r="D596" s="323" t="s">
        <v>785</v>
      </c>
      <c r="E596" s="132" t="s">
        <v>23</v>
      </c>
      <c r="F596" s="97" t="str">
        <f ca="1">IF(OR(Market_Data[[#This Row],[Start Date]]="",Market_Data[[#This Row],[Completion Date]]=""),"Needs Validation",IF(Market_Data[[#This Row],[Start Date]]&gt;TODAY(),"Planned",IF(Market_Data[[#This Row],[Completion Date]]&lt;TODAY(),"Completed","Ongoing")))</f>
        <v>Completed</v>
      </c>
      <c r="G596" s="324">
        <v>43162</v>
      </c>
      <c r="H596" s="324">
        <v>45836</v>
      </c>
      <c r="I596" s="325">
        <v>3700</v>
      </c>
      <c r="J59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96" s="133">
        <f>_xlfn.XLOOKUP(Market_Data[[#This Row],[Project Type]],tbl_assumptions_market[Project Category (RERA)],tbl_assumptions_market[Concrete Intensity
(m³ / sq m BUA)],"",0)</f>
        <v>0.5</v>
      </c>
      <c r="L596" s="134">
        <f>ROUND(Market_Data[[#This Row],[Estimated Built Up Area (sq m)]]*Market_Data[[#This Row],[Concrete Intensity
(m³ / sq m)]],0)</f>
        <v>1850</v>
      </c>
      <c r="M596" s="135">
        <f>_xlfn.XLOOKUP(Market_Data[[#This Row],[District]],tbl_district_price[District],tbl_district_price[Standard Price
(INR/m³)],"",0)</f>
        <v>6200</v>
      </c>
      <c r="N596" s="364">
        <f>IF(OR(Market_Data[[#This Row],[Estimated Concrete Demand (m³)]]="",Market_Data[[#This Row],[Avg Price per (₹ / m³)]]=""),"",Market_Data[[#This Row],[Estimated Concrete Demand (m³)]]*Market_Data[[#This Row],[Avg Price per (₹ / m³)]]/10000000)</f>
        <v>1.147</v>
      </c>
      <c r="O596" s="97" t="str">
        <f>IF(Market_Data[[#This Row],[Estimated Concrete Demand (m³)]]="","",
IF(Market_Data[[#This Row],[Estimated Concrete Demand (m³)]]&lt;10000,"Small",
IF(Market_Data[[#This Row],[Estimated Concrete Demand (m³)]]&lt;25000,"Medium",
IF(Market_Data[[#This Row],[Estimated Concrete Demand (m³)]]&lt;100000,"Large","Mega"))))</f>
        <v>Small</v>
      </c>
      <c r="P596" s="287" t="str">
        <f t="shared" si="11"/>
        <v>GujRERA</v>
      </c>
    </row>
    <row r="597" spans="1:16">
      <c r="A597" s="129" t="str">
        <f>_xlfn.XLOOKUP(B597,$S$9:$S$14,$T$9:$T$14)&amp;"-"&amp;
IF(E597="Residential/Group Housing","RES",
IF(E597="Commercial","COM",
IF(E597="Mixed Development","MIX",
IF(E597="Plotted Development","PLT","OTH"))))
&amp;"-"&amp;TEXT(COUNTIFS($B$9:B597,B597,$E$9:E597,E597),"0000")</f>
        <v>SUR-COM-0050</v>
      </c>
      <c r="B597" s="322" t="s">
        <v>34</v>
      </c>
      <c r="C597" s="322" t="s">
        <v>34</v>
      </c>
      <c r="D597" s="323" t="s">
        <v>786</v>
      </c>
      <c r="E597" s="132" t="s">
        <v>23</v>
      </c>
      <c r="F597" s="97" t="str">
        <f ca="1">IF(OR(Market_Data[[#This Row],[Start Date]]="",Market_Data[[#This Row],[Completion Date]]=""),"Needs Validation",IF(Market_Data[[#This Row],[Start Date]]&gt;TODAY(),"Planned",IF(Market_Data[[#This Row],[Completion Date]]&lt;TODAY(),"Completed","Ongoing")))</f>
        <v>Completed</v>
      </c>
      <c r="G597" s="324">
        <v>42371</v>
      </c>
      <c r="H597" s="324">
        <v>43555</v>
      </c>
      <c r="I597" s="325">
        <v>8900</v>
      </c>
      <c r="J59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97" s="133">
        <f>_xlfn.XLOOKUP(Market_Data[[#This Row],[Project Type]],tbl_assumptions_market[Project Category (RERA)],tbl_assumptions_market[Concrete Intensity
(m³ / sq m BUA)],"",0)</f>
        <v>0.5</v>
      </c>
      <c r="L597" s="134">
        <f>ROUND(Market_Data[[#This Row],[Estimated Built Up Area (sq m)]]*Market_Data[[#This Row],[Concrete Intensity
(m³ / sq m)]],0)</f>
        <v>4450</v>
      </c>
      <c r="M597" s="135">
        <f>_xlfn.XLOOKUP(Market_Data[[#This Row],[District]],tbl_district_price[District],tbl_district_price[Standard Price
(INR/m³)],"",0)</f>
        <v>6200</v>
      </c>
      <c r="N597" s="364">
        <f>IF(OR(Market_Data[[#This Row],[Estimated Concrete Demand (m³)]]="",Market_Data[[#This Row],[Avg Price per (₹ / m³)]]=""),"",Market_Data[[#This Row],[Estimated Concrete Demand (m³)]]*Market_Data[[#This Row],[Avg Price per (₹ / m³)]]/10000000)</f>
        <v>2.7589999999999999</v>
      </c>
      <c r="O597" s="97" t="str">
        <f>IF(Market_Data[[#This Row],[Estimated Concrete Demand (m³)]]="","",
IF(Market_Data[[#This Row],[Estimated Concrete Demand (m³)]]&lt;10000,"Small",
IF(Market_Data[[#This Row],[Estimated Concrete Demand (m³)]]&lt;25000,"Medium",
IF(Market_Data[[#This Row],[Estimated Concrete Demand (m³)]]&lt;100000,"Large","Mega"))))</f>
        <v>Small</v>
      </c>
      <c r="P597" s="287" t="str">
        <f t="shared" si="11"/>
        <v>GujRERA</v>
      </c>
    </row>
    <row r="598" spans="1:16">
      <c r="A598" s="129" t="str">
        <f>_xlfn.XLOOKUP(B598,$S$9:$S$14,$T$9:$T$14)&amp;"-"&amp;
IF(E598="Residential/Group Housing","RES",
IF(E598="Commercial","COM",
IF(E598="Mixed Development","MIX",
IF(E598="Plotted Development","PLT","OTH"))))
&amp;"-"&amp;TEXT(COUNTIFS($B$9:B598,B598,$E$9:E598,E598),"0000")</f>
        <v>SUR-RES-0103</v>
      </c>
      <c r="B598" s="322" t="s">
        <v>34</v>
      </c>
      <c r="C598" s="322" t="s">
        <v>34</v>
      </c>
      <c r="D598" s="323" t="s">
        <v>787</v>
      </c>
      <c r="E598" s="132" t="s">
        <v>24</v>
      </c>
      <c r="F598" s="97" t="str">
        <f ca="1">IF(OR(Market_Data[[#This Row],[Start Date]]="",Market_Data[[#This Row],[Completion Date]]=""),"Needs Validation",IF(Market_Data[[#This Row],[Start Date]]&gt;TODAY(),"Planned",IF(Market_Data[[#This Row],[Completion Date]]&lt;TODAY(),"Completed","Ongoing")))</f>
        <v>Completed</v>
      </c>
      <c r="G598" s="324">
        <v>42887</v>
      </c>
      <c r="H598" s="324">
        <v>44742</v>
      </c>
      <c r="I598" s="325">
        <v>58500</v>
      </c>
      <c r="J59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598" s="133">
        <f>_xlfn.XLOOKUP(Market_Data[[#This Row],[Project Type]],tbl_assumptions_market[Project Category (RERA)],tbl_assumptions_market[Concrete Intensity
(m³ / sq m BUA)],"",0)</f>
        <v>0.45</v>
      </c>
      <c r="L598" s="134">
        <f>ROUND(Market_Data[[#This Row],[Estimated Built Up Area (sq m)]]*Market_Data[[#This Row],[Concrete Intensity
(m³ / sq m)]],0)</f>
        <v>26325</v>
      </c>
      <c r="M598" s="135">
        <f>_xlfn.XLOOKUP(Market_Data[[#This Row],[District]],tbl_district_price[District],tbl_district_price[Standard Price
(INR/m³)],"",0)</f>
        <v>6200</v>
      </c>
      <c r="N598" s="364">
        <f>IF(OR(Market_Data[[#This Row],[Estimated Concrete Demand (m³)]]="",Market_Data[[#This Row],[Avg Price per (₹ / m³)]]=""),"",Market_Data[[#This Row],[Estimated Concrete Demand (m³)]]*Market_Data[[#This Row],[Avg Price per (₹ / m³)]]/10000000)</f>
        <v>16.3215</v>
      </c>
      <c r="O598" s="97" t="str">
        <f>IF(Market_Data[[#This Row],[Estimated Concrete Demand (m³)]]="","",
IF(Market_Data[[#This Row],[Estimated Concrete Demand (m³)]]&lt;10000,"Small",
IF(Market_Data[[#This Row],[Estimated Concrete Demand (m³)]]&lt;25000,"Medium",
IF(Market_Data[[#This Row],[Estimated Concrete Demand (m³)]]&lt;100000,"Large","Mega"))))</f>
        <v>Large</v>
      </c>
      <c r="P598" s="287" t="str">
        <f t="shared" si="11"/>
        <v>GujRERA</v>
      </c>
    </row>
    <row r="599" spans="1:16">
      <c r="A599" s="129" t="str">
        <f>_xlfn.XLOOKUP(B599,$S$9:$S$14,$T$9:$T$14)&amp;"-"&amp;
IF(E599="Residential/Group Housing","RES",
IF(E599="Commercial","COM",
IF(E599="Mixed Development","MIX",
IF(E599="Plotted Development","PLT","OTH"))))
&amp;"-"&amp;TEXT(COUNTIFS($B$9:B599,B599,$E$9:E599,E599),"0000")</f>
        <v>SUR-COM-0051</v>
      </c>
      <c r="B599" s="322" t="s">
        <v>34</v>
      </c>
      <c r="C599" s="322" t="s">
        <v>34</v>
      </c>
      <c r="D599" s="323" t="s">
        <v>788</v>
      </c>
      <c r="E599" s="132" t="s">
        <v>23</v>
      </c>
      <c r="F599" s="97" t="str">
        <f ca="1">IF(OR(Market_Data[[#This Row],[Start Date]]="",Market_Data[[#This Row],[Completion Date]]=""),"Needs Validation",IF(Market_Data[[#This Row],[Start Date]]&gt;TODAY(),"Planned",IF(Market_Data[[#This Row],[Completion Date]]&lt;TODAY(),"Completed","Ongoing")))</f>
        <v>Completed</v>
      </c>
      <c r="G599" s="324">
        <v>41205</v>
      </c>
      <c r="H599" s="324">
        <v>43797</v>
      </c>
      <c r="I599" s="325">
        <v>31600</v>
      </c>
      <c r="J59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599" s="133">
        <f>_xlfn.XLOOKUP(Market_Data[[#This Row],[Project Type]],tbl_assumptions_market[Project Category (RERA)],tbl_assumptions_market[Concrete Intensity
(m³ / sq m BUA)],"",0)</f>
        <v>0.5</v>
      </c>
      <c r="L599" s="134">
        <f>ROUND(Market_Data[[#This Row],[Estimated Built Up Area (sq m)]]*Market_Data[[#This Row],[Concrete Intensity
(m³ / sq m)]],0)</f>
        <v>15800</v>
      </c>
      <c r="M599" s="135">
        <f>_xlfn.XLOOKUP(Market_Data[[#This Row],[District]],tbl_district_price[District],tbl_district_price[Standard Price
(INR/m³)],"",0)</f>
        <v>6200</v>
      </c>
      <c r="N599" s="364">
        <f>IF(OR(Market_Data[[#This Row],[Estimated Concrete Demand (m³)]]="",Market_Data[[#This Row],[Avg Price per (₹ / m³)]]=""),"",Market_Data[[#This Row],[Estimated Concrete Demand (m³)]]*Market_Data[[#This Row],[Avg Price per (₹ / m³)]]/10000000)</f>
        <v>9.7959999999999994</v>
      </c>
      <c r="O599" s="97" t="str">
        <f>IF(Market_Data[[#This Row],[Estimated Concrete Demand (m³)]]="","",
IF(Market_Data[[#This Row],[Estimated Concrete Demand (m³)]]&lt;10000,"Small",
IF(Market_Data[[#This Row],[Estimated Concrete Demand (m³)]]&lt;25000,"Medium",
IF(Market_Data[[#This Row],[Estimated Concrete Demand (m³)]]&lt;100000,"Large","Mega"))))</f>
        <v>Medium</v>
      </c>
      <c r="P599" s="287" t="str">
        <f t="shared" si="11"/>
        <v>GujRERA</v>
      </c>
    </row>
    <row r="600" spans="1:16">
      <c r="A600" s="129" t="str">
        <f>_xlfn.XLOOKUP(B600,$S$9:$S$14,$T$9:$T$14)&amp;"-"&amp;
IF(E600="Residential/Group Housing","RES",
IF(E600="Commercial","COM",
IF(E600="Mixed Development","MIX",
IF(E600="Plotted Development","PLT","OTH"))))
&amp;"-"&amp;TEXT(COUNTIFS($B$9:B600,B600,$E$9:E600,E600),"0000")</f>
        <v>SUR-RES-0104</v>
      </c>
      <c r="B600" s="322" t="s">
        <v>34</v>
      </c>
      <c r="C600" s="322" t="s">
        <v>34</v>
      </c>
      <c r="D600" s="323" t="s">
        <v>789</v>
      </c>
      <c r="E600" s="132" t="s">
        <v>24</v>
      </c>
      <c r="F600" s="97" t="str">
        <f ca="1">IF(OR(Market_Data[[#This Row],[Start Date]]="",Market_Data[[#This Row],[Completion Date]]=""),"Needs Validation",IF(Market_Data[[#This Row],[Start Date]]&gt;TODAY(),"Planned",IF(Market_Data[[#This Row],[Completion Date]]&lt;TODAY(),"Completed","Ongoing")))</f>
        <v>Ongoing</v>
      </c>
      <c r="G600" s="324">
        <v>45315</v>
      </c>
      <c r="H600" s="324">
        <v>46752</v>
      </c>
      <c r="I600" s="325">
        <v>41800</v>
      </c>
      <c r="J60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00" s="133">
        <f>_xlfn.XLOOKUP(Market_Data[[#This Row],[Project Type]],tbl_assumptions_market[Project Category (RERA)],tbl_assumptions_market[Concrete Intensity
(m³ / sq m BUA)],"",0)</f>
        <v>0.45</v>
      </c>
      <c r="L600" s="134">
        <f>ROUND(Market_Data[[#This Row],[Estimated Built Up Area (sq m)]]*Market_Data[[#This Row],[Concrete Intensity
(m³ / sq m)]],0)</f>
        <v>18810</v>
      </c>
      <c r="M600" s="135">
        <f>_xlfn.XLOOKUP(Market_Data[[#This Row],[District]],tbl_district_price[District],tbl_district_price[Standard Price
(INR/m³)],"",0)</f>
        <v>6200</v>
      </c>
      <c r="N600" s="364">
        <f>IF(OR(Market_Data[[#This Row],[Estimated Concrete Demand (m³)]]="",Market_Data[[#This Row],[Avg Price per (₹ / m³)]]=""),"",Market_Data[[#This Row],[Estimated Concrete Demand (m³)]]*Market_Data[[#This Row],[Avg Price per (₹ / m³)]]/10000000)</f>
        <v>11.6622</v>
      </c>
      <c r="O600" s="97" t="str">
        <f>IF(Market_Data[[#This Row],[Estimated Concrete Demand (m³)]]="","",
IF(Market_Data[[#This Row],[Estimated Concrete Demand (m³)]]&lt;10000,"Small",
IF(Market_Data[[#This Row],[Estimated Concrete Demand (m³)]]&lt;25000,"Medium",
IF(Market_Data[[#This Row],[Estimated Concrete Demand (m³)]]&lt;100000,"Large","Mega"))))</f>
        <v>Medium</v>
      </c>
      <c r="P600" s="287" t="str">
        <f t="shared" si="11"/>
        <v>GujRERA</v>
      </c>
    </row>
    <row r="601" spans="1:16">
      <c r="A601" s="129" t="str">
        <f>_xlfn.XLOOKUP(B601,$S$9:$S$14,$T$9:$T$14)&amp;"-"&amp;
IF(E601="Residential/Group Housing","RES",
IF(E601="Commercial","COM",
IF(E601="Mixed Development","MIX",
IF(E601="Plotted Development","PLT","OTH"))))
&amp;"-"&amp;TEXT(COUNTIFS($B$9:B601,B601,$E$9:E601,E601),"0000")</f>
        <v>SUR-MIX-0054</v>
      </c>
      <c r="B601" s="322" t="s">
        <v>34</v>
      </c>
      <c r="C601" s="322" t="s">
        <v>34</v>
      </c>
      <c r="D601" s="323" t="s">
        <v>790</v>
      </c>
      <c r="E601" s="132" t="s">
        <v>25</v>
      </c>
      <c r="F601" s="97" t="str">
        <f ca="1">IF(OR(Market_Data[[#This Row],[Start Date]]="",Market_Data[[#This Row],[Completion Date]]=""),"Needs Validation",IF(Market_Data[[#This Row],[Start Date]]&gt;TODAY(),"Planned",IF(Market_Data[[#This Row],[Completion Date]]&lt;TODAY(),"Completed","Ongoing")))</f>
        <v>Ongoing</v>
      </c>
      <c r="G601" s="324">
        <v>45793</v>
      </c>
      <c r="H601" s="324">
        <v>47848</v>
      </c>
      <c r="I601" s="325">
        <v>44200</v>
      </c>
      <c r="J60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01" s="133">
        <f>_xlfn.XLOOKUP(Market_Data[[#This Row],[Project Type]],tbl_assumptions_market[Project Category (RERA)],tbl_assumptions_market[Concrete Intensity
(m³ / sq m BUA)],"",0)</f>
        <v>0.42</v>
      </c>
      <c r="L601" s="134">
        <f>ROUND(Market_Data[[#This Row],[Estimated Built Up Area (sq m)]]*Market_Data[[#This Row],[Concrete Intensity
(m³ / sq m)]],0)</f>
        <v>18564</v>
      </c>
      <c r="M601" s="135">
        <f>_xlfn.XLOOKUP(Market_Data[[#This Row],[District]],tbl_district_price[District],tbl_district_price[Standard Price
(INR/m³)],"",0)</f>
        <v>6200</v>
      </c>
      <c r="N601" s="364">
        <f>IF(OR(Market_Data[[#This Row],[Estimated Concrete Demand (m³)]]="",Market_Data[[#This Row],[Avg Price per (₹ / m³)]]=""),"",Market_Data[[#This Row],[Estimated Concrete Demand (m³)]]*Market_Data[[#This Row],[Avg Price per (₹ / m³)]]/10000000)</f>
        <v>11.509679999999999</v>
      </c>
      <c r="O601" s="97" t="str">
        <f>IF(Market_Data[[#This Row],[Estimated Concrete Demand (m³)]]="","",
IF(Market_Data[[#This Row],[Estimated Concrete Demand (m³)]]&lt;10000,"Small",
IF(Market_Data[[#This Row],[Estimated Concrete Demand (m³)]]&lt;25000,"Medium",
IF(Market_Data[[#This Row],[Estimated Concrete Demand (m³)]]&lt;100000,"Large","Mega"))))</f>
        <v>Medium</v>
      </c>
      <c r="P601" s="287" t="str">
        <f t="shared" si="11"/>
        <v>GujRERA</v>
      </c>
    </row>
    <row r="602" spans="1:16">
      <c r="A602" s="129" t="str">
        <f>_xlfn.XLOOKUP(B602,$S$9:$S$14,$T$9:$T$14)&amp;"-"&amp;
IF(E602="Residential/Group Housing","RES",
IF(E602="Commercial","COM",
IF(E602="Mixed Development","MIX",
IF(E602="Plotted Development","PLT","OTH"))))
&amp;"-"&amp;TEXT(COUNTIFS($B$9:B602,B602,$E$9:E602,E602),"0000")</f>
        <v>SUR-RES-0105</v>
      </c>
      <c r="B602" s="322" t="s">
        <v>34</v>
      </c>
      <c r="C602" s="322" t="s">
        <v>34</v>
      </c>
      <c r="D602" s="323" t="s">
        <v>791</v>
      </c>
      <c r="E602" s="132" t="s">
        <v>24</v>
      </c>
      <c r="F602" s="97" t="str">
        <f ca="1">IF(OR(Market_Data[[#This Row],[Start Date]]="",Market_Data[[#This Row],[Completion Date]]=""),"Needs Validation",IF(Market_Data[[#This Row],[Start Date]]&gt;TODAY(),"Planned",IF(Market_Data[[#This Row],[Completion Date]]&lt;TODAY(),"Completed","Ongoing")))</f>
        <v>Ongoing</v>
      </c>
      <c r="G602" s="324">
        <v>45282</v>
      </c>
      <c r="H602" s="324">
        <v>47483</v>
      </c>
      <c r="I602" s="325">
        <v>51700</v>
      </c>
      <c r="J60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02" s="133">
        <f>_xlfn.XLOOKUP(Market_Data[[#This Row],[Project Type]],tbl_assumptions_market[Project Category (RERA)],tbl_assumptions_market[Concrete Intensity
(m³ / sq m BUA)],"",0)</f>
        <v>0.45</v>
      </c>
      <c r="L602" s="134">
        <f>ROUND(Market_Data[[#This Row],[Estimated Built Up Area (sq m)]]*Market_Data[[#This Row],[Concrete Intensity
(m³ / sq m)]],0)</f>
        <v>23265</v>
      </c>
      <c r="M602" s="135">
        <f>_xlfn.XLOOKUP(Market_Data[[#This Row],[District]],tbl_district_price[District],tbl_district_price[Standard Price
(INR/m³)],"",0)</f>
        <v>6200</v>
      </c>
      <c r="N602" s="364">
        <f>IF(OR(Market_Data[[#This Row],[Estimated Concrete Demand (m³)]]="",Market_Data[[#This Row],[Avg Price per (₹ / m³)]]=""),"",Market_Data[[#This Row],[Estimated Concrete Demand (m³)]]*Market_Data[[#This Row],[Avg Price per (₹ / m³)]]/10000000)</f>
        <v>14.424300000000001</v>
      </c>
      <c r="O602" s="97" t="str">
        <f>IF(Market_Data[[#This Row],[Estimated Concrete Demand (m³)]]="","",
IF(Market_Data[[#This Row],[Estimated Concrete Demand (m³)]]&lt;10000,"Small",
IF(Market_Data[[#This Row],[Estimated Concrete Demand (m³)]]&lt;25000,"Medium",
IF(Market_Data[[#This Row],[Estimated Concrete Demand (m³)]]&lt;100000,"Large","Mega"))))</f>
        <v>Medium</v>
      </c>
      <c r="P602" s="287" t="str">
        <f t="shared" si="11"/>
        <v>GujRERA</v>
      </c>
    </row>
    <row r="603" spans="1:16">
      <c r="A603" s="129" t="str">
        <f>_xlfn.XLOOKUP(B603,$S$9:$S$14,$T$9:$T$14)&amp;"-"&amp;
IF(E603="Residential/Group Housing","RES",
IF(E603="Commercial","COM",
IF(E603="Mixed Development","MIX",
IF(E603="Plotted Development","PLT","OTH"))))
&amp;"-"&amp;TEXT(COUNTIFS($B$9:B603,B603,$E$9:E603,E603),"0000")</f>
        <v>SUR-MIX-0055</v>
      </c>
      <c r="B603" s="322" t="s">
        <v>34</v>
      </c>
      <c r="C603" s="322" t="s">
        <v>34</v>
      </c>
      <c r="D603" s="323" t="s">
        <v>792</v>
      </c>
      <c r="E603" s="132" t="s">
        <v>25</v>
      </c>
      <c r="F603" s="97" t="str">
        <f ca="1">IF(OR(Market_Data[[#This Row],[Start Date]]="",Market_Data[[#This Row],[Completion Date]]=""),"Needs Validation",IF(Market_Data[[#This Row],[Start Date]]&gt;TODAY(),"Planned",IF(Market_Data[[#This Row],[Completion Date]]&lt;TODAY(),"Completed","Ongoing")))</f>
        <v>Completed</v>
      </c>
      <c r="G603" s="324">
        <v>41609</v>
      </c>
      <c r="H603" s="324">
        <v>43829</v>
      </c>
      <c r="I603" s="325">
        <v>46300</v>
      </c>
      <c r="J60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03" s="133">
        <f>_xlfn.XLOOKUP(Market_Data[[#This Row],[Project Type]],tbl_assumptions_market[Project Category (RERA)],tbl_assumptions_market[Concrete Intensity
(m³ / sq m BUA)],"",0)</f>
        <v>0.42</v>
      </c>
      <c r="L603" s="134">
        <f>ROUND(Market_Data[[#This Row],[Estimated Built Up Area (sq m)]]*Market_Data[[#This Row],[Concrete Intensity
(m³ / sq m)]],0)</f>
        <v>19446</v>
      </c>
      <c r="M603" s="135">
        <f>_xlfn.XLOOKUP(Market_Data[[#This Row],[District]],tbl_district_price[District],tbl_district_price[Standard Price
(INR/m³)],"",0)</f>
        <v>6200</v>
      </c>
      <c r="N603" s="364">
        <f>IF(OR(Market_Data[[#This Row],[Estimated Concrete Demand (m³)]]="",Market_Data[[#This Row],[Avg Price per (₹ / m³)]]=""),"",Market_Data[[#This Row],[Estimated Concrete Demand (m³)]]*Market_Data[[#This Row],[Avg Price per (₹ / m³)]]/10000000)</f>
        <v>12.056520000000001</v>
      </c>
      <c r="O603" s="97" t="str">
        <f>IF(Market_Data[[#This Row],[Estimated Concrete Demand (m³)]]="","",
IF(Market_Data[[#This Row],[Estimated Concrete Demand (m³)]]&lt;10000,"Small",
IF(Market_Data[[#This Row],[Estimated Concrete Demand (m³)]]&lt;25000,"Medium",
IF(Market_Data[[#This Row],[Estimated Concrete Demand (m³)]]&lt;100000,"Large","Mega"))))</f>
        <v>Medium</v>
      </c>
      <c r="P603" s="287" t="str">
        <f t="shared" si="11"/>
        <v>GujRERA</v>
      </c>
    </row>
    <row r="604" spans="1:16">
      <c r="A604" s="129" t="str">
        <f>_xlfn.XLOOKUP(B604,$S$9:$S$14,$T$9:$T$14)&amp;"-"&amp;
IF(E604="Residential/Group Housing","RES",
IF(E604="Commercial","COM",
IF(E604="Mixed Development","MIX",
IF(E604="Plotted Development","PLT","OTH"))))
&amp;"-"&amp;TEXT(COUNTIFS($B$9:B604,B604,$E$9:E604,E604),"0000")</f>
        <v>SUR-RES-0106</v>
      </c>
      <c r="B604" s="322" t="s">
        <v>34</v>
      </c>
      <c r="C604" s="322" t="s">
        <v>34</v>
      </c>
      <c r="D604" s="323" t="s">
        <v>793</v>
      </c>
      <c r="E604" s="132" t="s">
        <v>24</v>
      </c>
      <c r="F604" s="97" t="str">
        <f ca="1">IF(OR(Market_Data[[#This Row],[Start Date]]="",Market_Data[[#This Row],[Completion Date]]=""),"Needs Validation",IF(Market_Data[[#This Row],[Start Date]]&gt;TODAY(),"Planned",IF(Market_Data[[#This Row],[Completion Date]]&lt;TODAY(),"Completed","Ongoing")))</f>
        <v>Completed</v>
      </c>
      <c r="G604" s="324">
        <v>43003</v>
      </c>
      <c r="H604" s="324">
        <v>44742</v>
      </c>
      <c r="I604" s="325">
        <v>21500</v>
      </c>
      <c r="J60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04" s="133">
        <f>_xlfn.XLOOKUP(Market_Data[[#This Row],[Project Type]],tbl_assumptions_market[Project Category (RERA)],tbl_assumptions_market[Concrete Intensity
(m³ / sq m BUA)],"",0)</f>
        <v>0.45</v>
      </c>
      <c r="L604" s="134">
        <f>ROUND(Market_Data[[#This Row],[Estimated Built Up Area (sq m)]]*Market_Data[[#This Row],[Concrete Intensity
(m³ / sq m)]],0)</f>
        <v>9675</v>
      </c>
      <c r="M604" s="135">
        <f>_xlfn.XLOOKUP(Market_Data[[#This Row],[District]],tbl_district_price[District],tbl_district_price[Standard Price
(INR/m³)],"",0)</f>
        <v>6200</v>
      </c>
      <c r="N604" s="364">
        <f>IF(OR(Market_Data[[#This Row],[Estimated Concrete Demand (m³)]]="",Market_Data[[#This Row],[Avg Price per (₹ / m³)]]=""),"",Market_Data[[#This Row],[Estimated Concrete Demand (m³)]]*Market_Data[[#This Row],[Avg Price per (₹ / m³)]]/10000000)</f>
        <v>5.9984999999999999</v>
      </c>
      <c r="O604" s="97" t="str">
        <f>IF(Market_Data[[#This Row],[Estimated Concrete Demand (m³)]]="","",
IF(Market_Data[[#This Row],[Estimated Concrete Demand (m³)]]&lt;10000,"Small",
IF(Market_Data[[#This Row],[Estimated Concrete Demand (m³)]]&lt;25000,"Medium",
IF(Market_Data[[#This Row],[Estimated Concrete Demand (m³)]]&lt;100000,"Large","Mega"))))</f>
        <v>Small</v>
      </c>
      <c r="P604" s="287" t="str">
        <f t="shared" si="11"/>
        <v>GujRERA</v>
      </c>
    </row>
    <row r="605" spans="1:16">
      <c r="A605" s="129" t="str">
        <f>_xlfn.XLOOKUP(B605,$S$9:$S$14,$T$9:$T$14)&amp;"-"&amp;
IF(E605="Residential/Group Housing","RES",
IF(E605="Commercial","COM",
IF(E605="Mixed Development","MIX",
IF(E605="Plotted Development","PLT","OTH"))))
&amp;"-"&amp;TEXT(COUNTIFS($B$9:B605,B605,$E$9:E605,E605),"0000")</f>
        <v>SUR-RES-0107</v>
      </c>
      <c r="B605" s="322" t="s">
        <v>34</v>
      </c>
      <c r="C605" s="322" t="s">
        <v>34</v>
      </c>
      <c r="D605" s="323" t="s">
        <v>794</v>
      </c>
      <c r="E605" s="132" t="s">
        <v>24</v>
      </c>
      <c r="F605" s="97" t="str">
        <f ca="1">IF(OR(Market_Data[[#This Row],[Start Date]]="",Market_Data[[#This Row],[Completion Date]]=""),"Needs Validation",IF(Market_Data[[#This Row],[Start Date]]&gt;TODAY(),"Planned",IF(Market_Data[[#This Row],[Completion Date]]&lt;TODAY(),"Completed","Ongoing")))</f>
        <v>Completed</v>
      </c>
      <c r="G605" s="324">
        <v>43435</v>
      </c>
      <c r="H605" s="324">
        <v>44742</v>
      </c>
      <c r="I605" s="325">
        <v>2900</v>
      </c>
      <c r="J60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05" s="133">
        <f>_xlfn.XLOOKUP(Market_Data[[#This Row],[Project Type]],tbl_assumptions_market[Project Category (RERA)],tbl_assumptions_market[Concrete Intensity
(m³ / sq m BUA)],"",0)</f>
        <v>0.45</v>
      </c>
      <c r="L605" s="134">
        <f>ROUND(Market_Data[[#This Row],[Estimated Built Up Area (sq m)]]*Market_Data[[#This Row],[Concrete Intensity
(m³ / sq m)]],0)</f>
        <v>1305</v>
      </c>
      <c r="M605" s="135">
        <f>_xlfn.XLOOKUP(Market_Data[[#This Row],[District]],tbl_district_price[District],tbl_district_price[Standard Price
(INR/m³)],"",0)</f>
        <v>6200</v>
      </c>
      <c r="N605" s="364">
        <f>IF(OR(Market_Data[[#This Row],[Estimated Concrete Demand (m³)]]="",Market_Data[[#This Row],[Avg Price per (₹ / m³)]]=""),"",Market_Data[[#This Row],[Estimated Concrete Demand (m³)]]*Market_Data[[#This Row],[Avg Price per (₹ / m³)]]/10000000)</f>
        <v>0.80910000000000004</v>
      </c>
      <c r="O605" s="97" t="str">
        <f>IF(Market_Data[[#This Row],[Estimated Concrete Demand (m³)]]="","",
IF(Market_Data[[#This Row],[Estimated Concrete Demand (m³)]]&lt;10000,"Small",
IF(Market_Data[[#This Row],[Estimated Concrete Demand (m³)]]&lt;25000,"Medium",
IF(Market_Data[[#This Row],[Estimated Concrete Demand (m³)]]&lt;100000,"Large","Mega"))))</f>
        <v>Small</v>
      </c>
      <c r="P605" s="287" t="str">
        <f t="shared" si="11"/>
        <v>GujRERA</v>
      </c>
    </row>
    <row r="606" spans="1:16">
      <c r="A606" s="129" t="str">
        <f>_xlfn.XLOOKUP(B606,$S$9:$S$14,$T$9:$T$14)&amp;"-"&amp;
IF(E606="Residential/Group Housing","RES",
IF(E606="Commercial","COM",
IF(E606="Mixed Development","MIX",
IF(E606="Plotted Development","PLT","OTH"))))
&amp;"-"&amp;TEXT(COUNTIFS($B$9:B606,B606,$E$9:E606,E606),"0000")</f>
        <v>SUR-MIX-0056</v>
      </c>
      <c r="B606" s="322" t="s">
        <v>34</v>
      </c>
      <c r="C606" s="322" t="s">
        <v>34</v>
      </c>
      <c r="D606" s="323" t="s">
        <v>795</v>
      </c>
      <c r="E606" s="132" t="s">
        <v>25</v>
      </c>
      <c r="F606" s="97" t="str">
        <f ca="1">IF(OR(Market_Data[[#This Row],[Start Date]]="",Market_Data[[#This Row],[Completion Date]]=""),"Needs Validation",IF(Market_Data[[#This Row],[Start Date]]&gt;TODAY(),"Planned",IF(Market_Data[[#This Row],[Completion Date]]&lt;TODAY(),"Completed","Ongoing")))</f>
        <v>Ongoing</v>
      </c>
      <c r="G606" s="324">
        <v>44279</v>
      </c>
      <c r="H606" s="324">
        <v>46387</v>
      </c>
      <c r="I606" s="325">
        <v>3700</v>
      </c>
      <c r="J60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606" s="133">
        <f>_xlfn.XLOOKUP(Market_Data[[#This Row],[Project Type]],tbl_assumptions_market[Project Category (RERA)],tbl_assumptions_market[Concrete Intensity
(m³ / sq m BUA)],"",0)</f>
        <v>0.42</v>
      </c>
      <c r="L606" s="134">
        <f>ROUND(Market_Data[[#This Row],[Estimated Built Up Area (sq m)]]*Market_Data[[#This Row],[Concrete Intensity
(m³ / sq m)]],0)</f>
        <v>1554</v>
      </c>
      <c r="M606" s="135">
        <f>_xlfn.XLOOKUP(Market_Data[[#This Row],[District]],tbl_district_price[District],tbl_district_price[Standard Price
(INR/m³)],"",0)</f>
        <v>6200</v>
      </c>
      <c r="N606" s="364">
        <f>IF(OR(Market_Data[[#This Row],[Estimated Concrete Demand (m³)]]="",Market_Data[[#This Row],[Avg Price per (₹ / m³)]]=""),"",Market_Data[[#This Row],[Estimated Concrete Demand (m³)]]*Market_Data[[#This Row],[Avg Price per (₹ / m³)]]/10000000)</f>
        <v>0.96348</v>
      </c>
      <c r="O606" s="97" t="str">
        <f>IF(Market_Data[[#This Row],[Estimated Concrete Demand (m³)]]="","",
IF(Market_Data[[#This Row],[Estimated Concrete Demand (m³)]]&lt;10000,"Small",
IF(Market_Data[[#This Row],[Estimated Concrete Demand (m³)]]&lt;25000,"Medium",
IF(Market_Data[[#This Row],[Estimated Concrete Demand (m³)]]&lt;100000,"Large","Mega"))))</f>
        <v>Small</v>
      </c>
      <c r="P606" s="287" t="str">
        <f t="shared" si="11"/>
        <v>GujRERA</v>
      </c>
    </row>
    <row r="607" spans="1:16">
      <c r="A607" s="129" t="str">
        <f>_xlfn.XLOOKUP(B607,$S$9:$S$14,$T$9:$T$14)&amp;"-"&amp;
IF(E607="Residential/Group Housing","RES",
IF(E607="Commercial","COM",
IF(E607="Mixed Development","MIX",
IF(E607="Plotted Development","PLT","OTH"))))
&amp;"-"&amp;TEXT(COUNTIFS($B$9:B607,B607,$E$9:E607,E607),"0000")</f>
        <v>SUR-RES-0108</v>
      </c>
      <c r="B607" s="322" t="s">
        <v>34</v>
      </c>
      <c r="C607" s="322" t="s">
        <v>796</v>
      </c>
      <c r="D607" s="323" t="s">
        <v>797</v>
      </c>
      <c r="E607" s="132" t="s">
        <v>24</v>
      </c>
      <c r="F607" s="97" t="str">
        <f ca="1">IF(OR(Market_Data[[#This Row],[Start Date]]="",Market_Data[[#This Row],[Completion Date]]=""),"Needs Validation",IF(Market_Data[[#This Row],[Start Date]]&gt;TODAY(),"Planned",IF(Market_Data[[#This Row],[Completion Date]]&lt;TODAY(),"Completed","Ongoing")))</f>
        <v>Ongoing</v>
      </c>
      <c r="G607" s="324">
        <v>44247</v>
      </c>
      <c r="H607" s="324">
        <v>46387</v>
      </c>
      <c r="I607" s="325">
        <v>4000</v>
      </c>
      <c r="J60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07" s="133">
        <f>_xlfn.XLOOKUP(Market_Data[[#This Row],[Project Type]],tbl_assumptions_market[Project Category (RERA)],tbl_assumptions_market[Concrete Intensity
(m³ / sq m BUA)],"",0)</f>
        <v>0.45</v>
      </c>
      <c r="L607" s="134">
        <f>ROUND(Market_Data[[#This Row],[Estimated Built Up Area (sq m)]]*Market_Data[[#This Row],[Concrete Intensity
(m³ / sq m)]],0)</f>
        <v>1800</v>
      </c>
      <c r="M607" s="135">
        <f>_xlfn.XLOOKUP(Market_Data[[#This Row],[District]],tbl_district_price[District],tbl_district_price[Standard Price
(INR/m³)],"",0)</f>
        <v>6200</v>
      </c>
      <c r="N607" s="364">
        <f>IF(OR(Market_Data[[#This Row],[Estimated Concrete Demand (m³)]]="",Market_Data[[#This Row],[Avg Price per (₹ / m³)]]=""),"",Market_Data[[#This Row],[Estimated Concrete Demand (m³)]]*Market_Data[[#This Row],[Avg Price per (₹ / m³)]]/10000000)</f>
        <v>1.1160000000000001</v>
      </c>
      <c r="O607" s="97" t="str">
        <f>IF(Market_Data[[#This Row],[Estimated Concrete Demand (m³)]]="","",
IF(Market_Data[[#This Row],[Estimated Concrete Demand (m³)]]&lt;10000,"Small",
IF(Market_Data[[#This Row],[Estimated Concrete Demand (m³)]]&lt;25000,"Medium",
IF(Market_Data[[#This Row],[Estimated Concrete Demand (m³)]]&lt;100000,"Large","Mega"))))</f>
        <v>Small</v>
      </c>
      <c r="P607" s="287" t="str">
        <f t="shared" si="11"/>
        <v>GujRERA</v>
      </c>
    </row>
    <row r="608" spans="1:16">
      <c r="A608" s="129" t="str">
        <f>_xlfn.XLOOKUP(B608,$S$9:$S$14,$T$9:$T$14)&amp;"-"&amp;
IF(E608="Residential/Group Housing","RES",
IF(E608="Commercial","COM",
IF(E608="Mixed Development","MIX",
IF(E608="Plotted Development","PLT","OTH"))))
&amp;"-"&amp;TEXT(COUNTIFS($B$9:B608,B608,$E$9:E608,E608),"0000")</f>
        <v>SUR-RES-0109</v>
      </c>
      <c r="B608" s="322" t="s">
        <v>34</v>
      </c>
      <c r="C608" s="322" t="s">
        <v>34</v>
      </c>
      <c r="D608" s="323" t="s">
        <v>798</v>
      </c>
      <c r="E608" s="132" t="s">
        <v>24</v>
      </c>
      <c r="F608" s="97" t="str">
        <f ca="1">IF(OR(Market_Data[[#This Row],[Start Date]]="",Market_Data[[#This Row],[Completion Date]]=""),"Needs Validation",IF(Market_Data[[#This Row],[Start Date]]&gt;TODAY(),"Planned",IF(Market_Data[[#This Row],[Completion Date]]&lt;TODAY(),"Completed","Ongoing")))</f>
        <v>Completed</v>
      </c>
      <c r="G608" s="324">
        <v>42448</v>
      </c>
      <c r="H608" s="324">
        <v>43830</v>
      </c>
      <c r="I608" s="325">
        <v>41700</v>
      </c>
      <c r="J60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08" s="133">
        <f>_xlfn.XLOOKUP(Market_Data[[#This Row],[Project Type]],tbl_assumptions_market[Project Category (RERA)],tbl_assumptions_market[Concrete Intensity
(m³ / sq m BUA)],"",0)</f>
        <v>0.45</v>
      </c>
      <c r="L608" s="134">
        <f>ROUND(Market_Data[[#This Row],[Estimated Built Up Area (sq m)]]*Market_Data[[#This Row],[Concrete Intensity
(m³ / sq m)]],0)</f>
        <v>18765</v>
      </c>
      <c r="M608" s="135">
        <f>_xlfn.XLOOKUP(Market_Data[[#This Row],[District]],tbl_district_price[District],tbl_district_price[Standard Price
(INR/m³)],"",0)</f>
        <v>6200</v>
      </c>
      <c r="N608" s="364">
        <f>IF(OR(Market_Data[[#This Row],[Estimated Concrete Demand (m³)]]="",Market_Data[[#This Row],[Avg Price per (₹ / m³)]]=""),"",Market_Data[[#This Row],[Estimated Concrete Demand (m³)]]*Market_Data[[#This Row],[Avg Price per (₹ / m³)]]/10000000)</f>
        <v>11.6343</v>
      </c>
      <c r="O608" s="97" t="str">
        <f>IF(Market_Data[[#This Row],[Estimated Concrete Demand (m³)]]="","",
IF(Market_Data[[#This Row],[Estimated Concrete Demand (m³)]]&lt;10000,"Small",
IF(Market_Data[[#This Row],[Estimated Concrete Demand (m³)]]&lt;25000,"Medium",
IF(Market_Data[[#This Row],[Estimated Concrete Demand (m³)]]&lt;100000,"Large","Mega"))))</f>
        <v>Medium</v>
      </c>
      <c r="P608" s="287" t="str">
        <f t="shared" si="11"/>
        <v>GujRERA</v>
      </c>
    </row>
    <row r="609" spans="1:16">
      <c r="A609" s="129" t="str">
        <f>_xlfn.XLOOKUP(B609,$S$9:$S$14,$T$9:$T$14)&amp;"-"&amp;
IF(E609="Residential/Group Housing","RES",
IF(E609="Commercial","COM",
IF(E609="Mixed Development","MIX",
IF(E609="Plotted Development","PLT","OTH"))))
&amp;"-"&amp;TEXT(COUNTIFS($B$9:B609,B609,$E$9:E609,E609),"0000")</f>
        <v>SUR-PLT-0075</v>
      </c>
      <c r="B609" s="322" t="s">
        <v>34</v>
      </c>
      <c r="C609" s="322" t="s">
        <v>34</v>
      </c>
      <c r="D609" s="323" t="s">
        <v>799</v>
      </c>
      <c r="E609" s="132" t="s">
        <v>26</v>
      </c>
      <c r="F609" s="97" t="str">
        <f ca="1">IF(OR(Market_Data[[#This Row],[Start Date]]="",Market_Data[[#This Row],[Completion Date]]=""),"Needs Validation",IF(Market_Data[[#This Row],[Start Date]]&gt;TODAY(),"Planned",IF(Market_Data[[#This Row],[Completion Date]]&lt;TODAY(),"Completed","Ongoing")))</f>
        <v>Ongoing</v>
      </c>
      <c r="G609" s="324">
        <v>45413</v>
      </c>
      <c r="H609" s="324">
        <v>46387</v>
      </c>
      <c r="I609" s="325">
        <v>14800</v>
      </c>
      <c r="J60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09" s="133">
        <f>_xlfn.XLOOKUP(Market_Data[[#This Row],[Project Type]],tbl_assumptions_market[Project Category (RERA)],tbl_assumptions_market[Concrete Intensity
(m³ / sq m BUA)],"",0)</f>
        <v>0.18</v>
      </c>
      <c r="L609" s="134">
        <f>ROUND(Market_Data[[#This Row],[Estimated Built Up Area (sq m)]]*Market_Data[[#This Row],[Concrete Intensity
(m³ / sq m)]],0)</f>
        <v>2664</v>
      </c>
      <c r="M609" s="135">
        <f>_xlfn.XLOOKUP(Market_Data[[#This Row],[District]],tbl_district_price[District],tbl_district_price[Standard Price
(INR/m³)],"",0)</f>
        <v>6200</v>
      </c>
      <c r="N609" s="364">
        <f>IF(OR(Market_Data[[#This Row],[Estimated Concrete Demand (m³)]]="",Market_Data[[#This Row],[Avg Price per (₹ / m³)]]=""),"",Market_Data[[#This Row],[Estimated Concrete Demand (m³)]]*Market_Data[[#This Row],[Avg Price per (₹ / m³)]]/10000000)</f>
        <v>1.65168</v>
      </c>
      <c r="O609" s="97" t="str">
        <f>IF(Market_Data[[#This Row],[Estimated Concrete Demand (m³)]]="","",
IF(Market_Data[[#This Row],[Estimated Concrete Demand (m³)]]&lt;10000,"Small",
IF(Market_Data[[#This Row],[Estimated Concrete Demand (m³)]]&lt;25000,"Medium",
IF(Market_Data[[#This Row],[Estimated Concrete Demand (m³)]]&lt;100000,"Large","Mega"))))</f>
        <v>Small</v>
      </c>
      <c r="P609" s="287" t="str">
        <f t="shared" si="11"/>
        <v>GujRERA</v>
      </c>
    </row>
    <row r="610" spans="1:16">
      <c r="A610" s="129" t="str">
        <f>_xlfn.XLOOKUP(B610,$S$9:$S$14,$T$9:$T$14)&amp;"-"&amp;
IF(E610="Residential/Group Housing","RES",
IF(E610="Commercial","COM",
IF(E610="Mixed Development","MIX",
IF(E610="Plotted Development","PLT","OTH"))))
&amp;"-"&amp;TEXT(COUNTIFS($B$9:B610,B610,$E$9:E610,E610),"0000")</f>
        <v>SUR-MIX-0057</v>
      </c>
      <c r="B610" s="322" t="s">
        <v>34</v>
      </c>
      <c r="C610" s="322" t="s">
        <v>34</v>
      </c>
      <c r="D610" s="323" t="s">
        <v>800</v>
      </c>
      <c r="E610" s="132" t="s">
        <v>25</v>
      </c>
      <c r="F610" s="97" t="str">
        <f ca="1">IF(OR(Market_Data[[#This Row],[Start Date]]="",Market_Data[[#This Row],[Completion Date]]=""),"Needs Validation",IF(Market_Data[[#This Row],[Start Date]]&gt;TODAY(),"Planned",IF(Market_Data[[#This Row],[Completion Date]]&lt;TODAY(),"Completed","Ongoing")))</f>
        <v>Ongoing</v>
      </c>
      <c r="G610" s="324">
        <v>45778</v>
      </c>
      <c r="H610" s="324">
        <v>47483</v>
      </c>
      <c r="I610" s="325">
        <v>14400</v>
      </c>
      <c r="J61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10" s="133">
        <f>_xlfn.XLOOKUP(Market_Data[[#This Row],[Project Type]],tbl_assumptions_market[Project Category (RERA)],tbl_assumptions_market[Concrete Intensity
(m³ / sq m BUA)],"",0)</f>
        <v>0.42</v>
      </c>
      <c r="L610" s="134">
        <f>ROUND(Market_Data[[#This Row],[Estimated Built Up Area (sq m)]]*Market_Data[[#This Row],[Concrete Intensity
(m³ / sq m)]],0)</f>
        <v>6048</v>
      </c>
      <c r="M610" s="135">
        <f>_xlfn.XLOOKUP(Market_Data[[#This Row],[District]],tbl_district_price[District],tbl_district_price[Standard Price
(INR/m³)],"",0)</f>
        <v>6200</v>
      </c>
      <c r="N610" s="364">
        <f>IF(OR(Market_Data[[#This Row],[Estimated Concrete Demand (m³)]]="",Market_Data[[#This Row],[Avg Price per (₹ / m³)]]=""),"",Market_Data[[#This Row],[Estimated Concrete Demand (m³)]]*Market_Data[[#This Row],[Avg Price per (₹ / m³)]]/10000000)</f>
        <v>3.7497600000000002</v>
      </c>
      <c r="O610" s="97" t="str">
        <f>IF(Market_Data[[#This Row],[Estimated Concrete Demand (m³)]]="","",
IF(Market_Data[[#This Row],[Estimated Concrete Demand (m³)]]&lt;10000,"Small",
IF(Market_Data[[#This Row],[Estimated Concrete Demand (m³)]]&lt;25000,"Medium",
IF(Market_Data[[#This Row],[Estimated Concrete Demand (m³)]]&lt;100000,"Large","Mega"))))</f>
        <v>Small</v>
      </c>
      <c r="P610" s="287" t="str">
        <f t="shared" si="11"/>
        <v>GujRERA</v>
      </c>
    </row>
    <row r="611" spans="1:16">
      <c r="A611" s="129" t="str">
        <f>_xlfn.XLOOKUP(B611,$S$9:$S$14,$T$9:$T$14)&amp;"-"&amp;
IF(E611="Residential/Group Housing","RES",
IF(E611="Commercial","COM",
IF(E611="Mixed Development","MIX",
IF(E611="Plotted Development","PLT","OTH"))))
&amp;"-"&amp;TEXT(COUNTIFS($B$9:B611,B611,$E$9:E611,E611),"0000")</f>
        <v>SUR-PLT-0076</v>
      </c>
      <c r="B611" s="322" t="s">
        <v>34</v>
      </c>
      <c r="C611" s="322" t="s">
        <v>34</v>
      </c>
      <c r="D611" s="323" t="s">
        <v>801</v>
      </c>
      <c r="E611" s="132" t="s">
        <v>26</v>
      </c>
      <c r="F611" s="97" t="str">
        <f ca="1">IF(OR(Market_Data[[#This Row],[Start Date]]="",Market_Data[[#This Row],[Completion Date]]=""),"Needs Validation",IF(Market_Data[[#This Row],[Start Date]]&gt;TODAY(),"Planned",IF(Market_Data[[#This Row],[Completion Date]]&lt;TODAY(),"Completed","Ongoing")))</f>
        <v>Ongoing</v>
      </c>
      <c r="G611" s="324">
        <v>45413</v>
      </c>
      <c r="H611" s="324">
        <v>46387</v>
      </c>
      <c r="I611" s="325">
        <v>11800</v>
      </c>
      <c r="J61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11" s="133">
        <f>_xlfn.XLOOKUP(Market_Data[[#This Row],[Project Type]],tbl_assumptions_market[Project Category (RERA)],tbl_assumptions_market[Concrete Intensity
(m³ / sq m BUA)],"",0)</f>
        <v>0.18</v>
      </c>
      <c r="L611" s="134">
        <f>ROUND(Market_Data[[#This Row],[Estimated Built Up Area (sq m)]]*Market_Data[[#This Row],[Concrete Intensity
(m³ / sq m)]],0)</f>
        <v>2124</v>
      </c>
      <c r="M611" s="135">
        <f>_xlfn.XLOOKUP(Market_Data[[#This Row],[District]],tbl_district_price[District],tbl_district_price[Standard Price
(INR/m³)],"",0)</f>
        <v>6200</v>
      </c>
      <c r="N611" s="364">
        <f>IF(OR(Market_Data[[#This Row],[Estimated Concrete Demand (m³)]]="",Market_Data[[#This Row],[Avg Price per (₹ / m³)]]=""),"",Market_Data[[#This Row],[Estimated Concrete Demand (m³)]]*Market_Data[[#This Row],[Avg Price per (₹ / m³)]]/10000000)</f>
        <v>1.3168800000000001</v>
      </c>
      <c r="O611" s="97" t="str">
        <f>IF(Market_Data[[#This Row],[Estimated Concrete Demand (m³)]]="","",
IF(Market_Data[[#This Row],[Estimated Concrete Demand (m³)]]&lt;10000,"Small",
IF(Market_Data[[#This Row],[Estimated Concrete Demand (m³)]]&lt;25000,"Medium",
IF(Market_Data[[#This Row],[Estimated Concrete Demand (m³)]]&lt;100000,"Large","Mega"))))</f>
        <v>Small</v>
      </c>
      <c r="P611" s="287" t="str">
        <f t="shared" si="11"/>
        <v>GujRERA</v>
      </c>
    </row>
    <row r="612" spans="1:16">
      <c r="A612" s="129" t="str">
        <f>_xlfn.XLOOKUP(B612,$S$9:$S$14,$T$9:$T$14)&amp;"-"&amp;
IF(E612="Residential/Group Housing","RES",
IF(E612="Commercial","COM",
IF(E612="Mixed Development","MIX",
IF(E612="Plotted Development","PLT","OTH"))))
&amp;"-"&amp;TEXT(COUNTIFS($B$9:B612,B612,$E$9:E612,E612),"0000")</f>
        <v>SUR-COM-0052</v>
      </c>
      <c r="B612" s="322" t="s">
        <v>34</v>
      </c>
      <c r="C612" s="322" t="s">
        <v>34</v>
      </c>
      <c r="D612" s="323" t="s">
        <v>802</v>
      </c>
      <c r="E612" s="132" t="s">
        <v>23</v>
      </c>
      <c r="F612" s="97" t="str">
        <f ca="1">IF(OR(Market_Data[[#This Row],[Start Date]]="",Market_Data[[#This Row],[Completion Date]]=""),"Needs Validation",IF(Market_Data[[#This Row],[Start Date]]&gt;TODAY(),"Planned",IF(Market_Data[[#This Row],[Completion Date]]&lt;TODAY(),"Completed","Ongoing")))</f>
        <v>Completed</v>
      </c>
      <c r="G612" s="324">
        <v>42036</v>
      </c>
      <c r="H612" s="324">
        <v>43555</v>
      </c>
      <c r="I612" s="325">
        <v>15200</v>
      </c>
      <c r="J61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12" s="133">
        <f>_xlfn.XLOOKUP(Market_Data[[#This Row],[Project Type]],tbl_assumptions_market[Project Category (RERA)],tbl_assumptions_market[Concrete Intensity
(m³ / sq m BUA)],"",0)</f>
        <v>0.5</v>
      </c>
      <c r="L612" s="134">
        <f>ROUND(Market_Data[[#This Row],[Estimated Built Up Area (sq m)]]*Market_Data[[#This Row],[Concrete Intensity
(m³ / sq m)]],0)</f>
        <v>7600</v>
      </c>
      <c r="M612" s="135">
        <f>_xlfn.XLOOKUP(Market_Data[[#This Row],[District]],tbl_district_price[District],tbl_district_price[Standard Price
(INR/m³)],"",0)</f>
        <v>6200</v>
      </c>
      <c r="N612" s="364">
        <f>IF(OR(Market_Data[[#This Row],[Estimated Concrete Demand (m³)]]="",Market_Data[[#This Row],[Avg Price per (₹ / m³)]]=""),"",Market_Data[[#This Row],[Estimated Concrete Demand (m³)]]*Market_Data[[#This Row],[Avg Price per (₹ / m³)]]/10000000)</f>
        <v>4.7119999999999997</v>
      </c>
      <c r="O612" s="97" t="str">
        <f>IF(Market_Data[[#This Row],[Estimated Concrete Demand (m³)]]="","",
IF(Market_Data[[#This Row],[Estimated Concrete Demand (m³)]]&lt;10000,"Small",
IF(Market_Data[[#This Row],[Estimated Concrete Demand (m³)]]&lt;25000,"Medium",
IF(Market_Data[[#This Row],[Estimated Concrete Demand (m³)]]&lt;100000,"Large","Mega"))))</f>
        <v>Small</v>
      </c>
      <c r="P612" s="287" t="str">
        <f t="shared" si="11"/>
        <v>GujRERA</v>
      </c>
    </row>
    <row r="613" spans="1:16">
      <c r="A613" s="129" t="str">
        <f>_xlfn.XLOOKUP(B613,$S$9:$S$14,$T$9:$T$14)&amp;"-"&amp;
IF(E613="Residential/Group Housing","RES",
IF(E613="Commercial","COM",
IF(E613="Mixed Development","MIX",
IF(E613="Plotted Development","PLT","OTH"))))
&amp;"-"&amp;TEXT(COUNTIFS($B$9:B613,B613,$E$9:E613,E613),"0000")</f>
        <v>SUR-PLT-0077</v>
      </c>
      <c r="B613" s="322" t="s">
        <v>34</v>
      </c>
      <c r="C613" s="322" t="s">
        <v>34</v>
      </c>
      <c r="D613" s="323" t="s">
        <v>803</v>
      </c>
      <c r="E613" s="132" t="s">
        <v>26</v>
      </c>
      <c r="F613" s="97" t="str">
        <f ca="1">IF(OR(Market_Data[[#This Row],[Start Date]]="",Market_Data[[#This Row],[Completion Date]]=""),"Needs Validation",IF(Market_Data[[#This Row],[Start Date]]&gt;TODAY(),"Planned",IF(Market_Data[[#This Row],[Completion Date]]&lt;TODAY(),"Completed","Ongoing")))</f>
        <v>Ongoing</v>
      </c>
      <c r="G613" s="324">
        <v>45057</v>
      </c>
      <c r="H613" s="324">
        <v>46752</v>
      </c>
      <c r="I613" s="325">
        <v>44600</v>
      </c>
      <c r="J61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613" s="133">
        <f>_xlfn.XLOOKUP(Market_Data[[#This Row],[Project Type]],tbl_assumptions_market[Project Category (RERA)],tbl_assumptions_market[Concrete Intensity
(m³ / sq m BUA)],"",0)</f>
        <v>0.18</v>
      </c>
      <c r="L613" s="134">
        <f>ROUND(Market_Data[[#This Row],[Estimated Built Up Area (sq m)]]*Market_Data[[#This Row],[Concrete Intensity
(m³ / sq m)]],0)</f>
        <v>8028</v>
      </c>
      <c r="M613" s="135">
        <f>_xlfn.XLOOKUP(Market_Data[[#This Row],[District]],tbl_district_price[District],tbl_district_price[Standard Price
(INR/m³)],"",0)</f>
        <v>6200</v>
      </c>
      <c r="N613" s="364">
        <f>IF(OR(Market_Data[[#This Row],[Estimated Concrete Demand (m³)]]="",Market_Data[[#This Row],[Avg Price per (₹ / m³)]]=""),"",Market_Data[[#This Row],[Estimated Concrete Demand (m³)]]*Market_Data[[#This Row],[Avg Price per (₹ / m³)]]/10000000)</f>
        <v>4.97736</v>
      </c>
      <c r="O613" s="97" t="str">
        <f>IF(Market_Data[[#This Row],[Estimated Concrete Demand (m³)]]="","",
IF(Market_Data[[#This Row],[Estimated Concrete Demand (m³)]]&lt;10000,"Small",
IF(Market_Data[[#This Row],[Estimated Concrete Demand (m³)]]&lt;25000,"Medium",
IF(Market_Data[[#This Row],[Estimated Concrete Demand (m³)]]&lt;100000,"Large","Mega"))))</f>
        <v>Small</v>
      </c>
      <c r="P613" s="287" t="str">
        <f t="shared" si="11"/>
        <v>GujRERA</v>
      </c>
    </row>
    <row r="614" spans="1:16">
      <c r="A614" s="129" t="str">
        <f>_xlfn.XLOOKUP(B614,$S$9:$S$14,$T$9:$T$14)&amp;"-"&amp;
IF(E614="Residential/Group Housing","RES",
IF(E614="Commercial","COM",
IF(E614="Mixed Development","MIX",
IF(E614="Plotted Development","PLT","OTH"))))
&amp;"-"&amp;TEXT(COUNTIFS($B$9:B614,B614,$E$9:E614,E614),"0000")</f>
        <v>SUR-PLT-0078</v>
      </c>
      <c r="B614" s="322" t="s">
        <v>34</v>
      </c>
      <c r="C614" s="322" t="s">
        <v>34</v>
      </c>
      <c r="D614" s="323" t="s">
        <v>804</v>
      </c>
      <c r="E614" s="132" t="s">
        <v>26</v>
      </c>
      <c r="F614" s="97" t="str">
        <f ca="1">IF(OR(Market_Data[[#This Row],[Start Date]]="",Market_Data[[#This Row],[Completion Date]]=""),"Needs Validation",IF(Market_Data[[#This Row],[Start Date]]&gt;TODAY(),"Planned",IF(Market_Data[[#This Row],[Completion Date]]&lt;TODAY(),"Completed","Ongoing")))</f>
        <v>Completed</v>
      </c>
      <c r="G614" s="324">
        <v>44100</v>
      </c>
      <c r="H614" s="324">
        <v>46142</v>
      </c>
      <c r="I614" s="325">
        <v>19300</v>
      </c>
      <c r="J61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14" s="133">
        <f>_xlfn.XLOOKUP(Market_Data[[#This Row],[Project Type]],tbl_assumptions_market[Project Category (RERA)],tbl_assumptions_market[Concrete Intensity
(m³ / sq m BUA)],"",0)</f>
        <v>0.18</v>
      </c>
      <c r="L614" s="134">
        <f>ROUND(Market_Data[[#This Row],[Estimated Built Up Area (sq m)]]*Market_Data[[#This Row],[Concrete Intensity
(m³ / sq m)]],0)</f>
        <v>3474</v>
      </c>
      <c r="M614" s="135">
        <f>_xlfn.XLOOKUP(Market_Data[[#This Row],[District]],tbl_district_price[District],tbl_district_price[Standard Price
(INR/m³)],"",0)</f>
        <v>6200</v>
      </c>
      <c r="N614" s="364">
        <f>IF(OR(Market_Data[[#This Row],[Estimated Concrete Demand (m³)]]="",Market_Data[[#This Row],[Avg Price per (₹ / m³)]]=""),"",Market_Data[[#This Row],[Estimated Concrete Demand (m³)]]*Market_Data[[#This Row],[Avg Price per (₹ / m³)]]/10000000)</f>
        <v>2.15388</v>
      </c>
      <c r="O614" s="97" t="str">
        <f>IF(Market_Data[[#This Row],[Estimated Concrete Demand (m³)]]="","",
IF(Market_Data[[#This Row],[Estimated Concrete Demand (m³)]]&lt;10000,"Small",
IF(Market_Data[[#This Row],[Estimated Concrete Demand (m³)]]&lt;25000,"Medium",
IF(Market_Data[[#This Row],[Estimated Concrete Demand (m³)]]&lt;100000,"Large","Mega"))))</f>
        <v>Small</v>
      </c>
      <c r="P614" s="287" t="str">
        <f t="shared" si="11"/>
        <v>GujRERA</v>
      </c>
    </row>
    <row r="615" spans="1:16">
      <c r="A615" s="129" t="str">
        <f>_xlfn.XLOOKUP(B615,$S$9:$S$14,$T$9:$T$14)&amp;"-"&amp;
IF(E615="Residential/Group Housing","RES",
IF(E615="Commercial","COM",
IF(E615="Mixed Development","MIX",
IF(E615="Plotted Development","PLT","OTH"))))
&amp;"-"&amp;TEXT(COUNTIFS($B$9:B615,B615,$E$9:E615,E615),"0000")</f>
        <v>SUR-MIX-0058</v>
      </c>
      <c r="B615" s="322" t="s">
        <v>34</v>
      </c>
      <c r="C615" s="322" t="s">
        <v>34</v>
      </c>
      <c r="D615" s="323" t="s">
        <v>805</v>
      </c>
      <c r="E615" s="132" t="s">
        <v>25</v>
      </c>
      <c r="F615" s="97" t="str">
        <f ca="1">IF(OR(Market_Data[[#This Row],[Start Date]]="",Market_Data[[#This Row],[Completion Date]]=""),"Needs Validation",IF(Market_Data[[#This Row],[Start Date]]&gt;TODAY(),"Planned",IF(Market_Data[[#This Row],[Completion Date]]&lt;TODAY(),"Completed","Ongoing")))</f>
        <v>Completed</v>
      </c>
      <c r="G615" s="324">
        <v>41395</v>
      </c>
      <c r="H615" s="324">
        <v>43861</v>
      </c>
      <c r="I615" s="325">
        <v>12400</v>
      </c>
      <c r="J61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15" s="133">
        <f>_xlfn.XLOOKUP(Market_Data[[#This Row],[Project Type]],tbl_assumptions_market[Project Category (RERA)],tbl_assumptions_market[Concrete Intensity
(m³ / sq m BUA)],"",0)</f>
        <v>0.42</v>
      </c>
      <c r="L615" s="134">
        <f>ROUND(Market_Data[[#This Row],[Estimated Built Up Area (sq m)]]*Market_Data[[#This Row],[Concrete Intensity
(m³ / sq m)]],0)</f>
        <v>5208</v>
      </c>
      <c r="M615" s="135">
        <f>_xlfn.XLOOKUP(Market_Data[[#This Row],[District]],tbl_district_price[District],tbl_district_price[Standard Price
(INR/m³)],"",0)</f>
        <v>6200</v>
      </c>
      <c r="N615" s="364">
        <f>IF(OR(Market_Data[[#This Row],[Estimated Concrete Demand (m³)]]="",Market_Data[[#This Row],[Avg Price per (₹ / m³)]]=""),"",Market_Data[[#This Row],[Estimated Concrete Demand (m³)]]*Market_Data[[#This Row],[Avg Price per (₹ / m³)]]/10000000)</f>
        <v>3.2289599999999998</v>
      </c>
      <c r="O615" s="97" t="str">
        <f>IF(Market_Data[[#This Row],[Estimated Concrete Demand (m³)]]="","",
IF(Market_Data[[#This Row],[Estimated Concrete Demand (m³)]]&lt;10000,"Small",
IF(Market_Data[[#This Row],[Estimated Concrete Demand (m³)]]&lt;25000,"Medium",
IF(Market_Data[[#This Row],[Estimated Concrete Demand (m³)]]&lt;100000,"Large","Mega"))))</f>
        <v>Small</v>
      </c>
      <c r="P615" s="287" t="str">
        <f t="shared" si="11"/>
        <v>GujRERA</v>
      </c>
    </row>
    <row r="616" spans="1:16">
      <c r="A616" s="129" t="str">
        <f>_xlfn.XLOOKUP(B616,$S$9:$S$14,$T$9:$T$14)&amp;"-"&amp;
IF(E616="Residential/Group Housing","RES",
IF(E616="Commercial","COM",
IF(E616="Mixed Development","MIX",
IF(E616="Plotted Development","PLT","OTH"))))
&amp;"-"&amp;TEXT(COUNTIFS($B$9:B616,B616,$E$9:E616,E616),"0000")</f>
        <v>SUR-RES-0110</v>
      </c>
      <c r="B616" s="322" t="s">
        <v>34</v>
      </c>
      <c r="C616" s="322" t="s">
        <v>34</v>
      </c>
      <c r="D616" s="323" t="s">
        <v>806</v>
      </c>
      <c r="E616" s="132" t="s">
        <v>24</v>
      </c>
      <c r="F616" s="97" t="str">
        <f ca="1">IF(OR(Market_Data[[#This Row],[Start Date]]="",Market_Data[[#This Row],[Completion Date]]=""),"Needs Validation",IF(Market_Data[[#This Row],[Start Date]]&gt;TODAY(),"Planned",IF(Market_Data[[#This Row],[Completion Date]]&lt;TODAY(),"Completed","Ongoing")))</f>
        <v>Completed</v>
      </c>
      <c r="G616" s="324">
        <v>43271</v>
      </c>
      <c r="H616" s="324">
        <v>45595</v>
      </c>
      <c r="I616" s="325">
        <v>54400</v>
      </c>
      <c r="J61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16" s="133">
        <f>_xlfn.XLOOKUP(Market_Data[[#This Row],[Project Type]],tbl_assumptions_market[Project Category (RERA)],tbl_assumptions_market[Concrete Intensity
(m³ / sq m BUA)],"",0)</f>
        <v>0.45</v>
      </c>
      <c r="L616" s="134">
        <f>ROUND(Market_Data[[#This Row],[Estimated Built Up Area (sq m)]]*Market_Data[[#This Row],[Concrete Intensity
(m³ / sq m)]],0)</f>
        <v>24480</v>
      </c>
      <c r="M616" s="135">
        <f>_xlfn.XLOOKUP(Market_Data[[#This Row],[District]],tbl_district_price[District],tbl_district_price[Standard Price
(INR/m³)],"",0)</f>
        <v>6200</v>
      </c>
      <c r="N616" s="364">
        <f>IF(OR(Market_Data[[#This Row],[Estimated Concrete Demand (m³)]]="",Market_Data[[#This Row],[Avg Price per (₹ / m³)]]=""),"",Market_Data[[#This Row],[Estimated Concrete Demand (m³)]]*Market_Data[[#This Row],[Avg Price per (₹ / m³)]]/10000000)</f>
        <v>15.1776</v>
      </c>
      <c r="O616" s="97" t="str">
        <f>IF(Market_Data[[#This Row],[Estimated Concrete Demand (m³)]]="","",
IF(Market_Data[[#This Row],[Estimated Concrete Demand (m³)]]&lt;10000,"Small",
IF(Market_Data[[#This Row],[Estimated Concrete Demand (m³)]]&lt;25000,"Medium",
IF(Market_Data[[#This Row],[Estimated Concrete Demand (m³)]]&lt;100000,"Large","Mega"))))</f>
        <v>Medium</v>
      </c>
      <c r="P616" s="287" t="str">
        <f t="shared" si="11"/>
        <v>GujRERA</v>
      </c>
    </row>
    <row r="617" spans="1:16">
      <c r="A617" s="129" t="str">
        <f>_xlfn.XLOOKUP(B617,$S$9:$S$14,$T$9:$T$14)&amp;"-"&amp;
IF(E617="Residential/Group Housing","RES",
IF(E617="Commercial","COM",
IF(E617="Mixed Development","MIX",
IF(E617="Plotted Development","PLT","OTH"))))
&amp;"-"&amp;TEXT(COUNTIFS($B$9:B617,B617,$E$9:E617,E617),"0000")</f>
        <v>SUR-PLT-0079</v>
      </c>
      <c r="B617" s="322" t="s">
        <v>34</v>
      </c>
      <c r="C617" s="322" t="s">
        <v>34</v>
      </c>
      <c r="D617" s="323" t="s">
        <v>807</v>
      </c>
      <c r="E617" s="132" t="s">
        <v>26</v>
      </c>
      <c r="F617" s="97" t="str">
        <f ca="1">IF(OR(Market_Data[[#This Row],[Start Date]]="",Market_Data[[#This Row],[Completion Date]]=""),"Needs Validation",IF(Market_Data[[#This Row],[Start Date]]&gt;TODAY(),"Planned",IF(Market_Data[[#This Row],[Completion Date]]&lt;TODAY(),"Completed","Ongoing")))</f>
        <v>Completed</v>
      </c>
      <c r="G617" s="324">
        <v>42928</v>
      </c>
      <c r="H617" s="324">
        <v>43384</v>
      </c>
      <c r="I617" s="325">
        <v>38700</v>
      </c>
      <c r="J61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617" s="133">
        <f>_xlfn.XLOOKUP(Market_Data[[#This Row],[Project Type]],tbl_assumptions_market[Project Category (RERA)],tbl_assumptions_market[Concrete Intensity
(m³ / sq m BUA)],"",0)</f>
        <v>0.18</v>
      </c>
      <c r="L617" s="134">
        <f>ROUND(Market_Data[[#This Row],[Estimated Built Up Area (sq m)]]*Market_Data[[#This Row],[Concrete Intensity
(m³ / sq m)]],0)</f>
        <v>6966</v>
      </c>
      <c r="M617" s="135">
        <f>_xlfn.XLOOKUP(Market_Data[[#This Row],[District]],tbl_district_price[District],tbl_district_price[Standard Price
(INR/m³)],"",0)</f>
        <v>6200</v>
      </c>
      <c r="N617" s="364">
        <f>IF(OR(Market_Data[[#This Row],[Estimated Concrete Demand (m³)]]="",Market_Data[[#This Row],[Avg Price per (₹ / m³)]]=""),"",Market_Data[[#This Row],[Estimated Concrete Demand (m³)]]*Market_Data[[#This Row],[Avg Price per (₹ / m³)]]/10000000)</f>
        <v>4.3189200000000003</v>
      </c>
      <c r="O617" s="97" t="str">
        <f>IF(Market_Data[[#This Row],[Estimated Concrete Demand (m³)]]="","",
IF(Market_Data[[#This Row],[Estimated Concrete Demand (m³)]]&lt;10000,"Small",
IF(Market_Data[[#This Row],[Estimated Concrete Demand (m³)]]&lt;25000,"Medium",
IF(Market_Data[[#This Row],[Estimated Concrete Demand (m³)]]&lt;100000,"Large","Mega"))))</f>
        <v>Small</v>
      </c>
      <c r="P617" s="287" t="str">
        <f t="shared" si="11"/>
        <v>GujRERA</v>
      </c>
    </row>
    <row r="618" spans="1:16">
      <c r="A618" s="129" t="str">
        <f>_xlfn.XLOOKUP(B618,$S$9:$S$14,$T$9:$T$14)&amp;"-"&amp;
IF(E618="Residential/Group Housing","RES",
IF(E618="Commercial","COM",
IF(E618="Mixed Development","MIX",
IF(E618="Plotted Development","PLT","OTH"))))
&amp;"-"&amp;TEXT(COUNTIFS($B$9:B618,B618,$E$9:E618,E618),"0000")</f>
        <v>SUR-RES-0111</v>
      </c>
      <c r="B618" s="322" t="s">
        <v>34</v>
      </c>
      <c r="C618" s="322" t="s">
        <v>34</v>
      </c>
      <c r="D618" s="323" t="s">
        <v>808</v>
      </c>
      <c r="E618" s="132" t="s">
        <v>24</v>
      </c>
      <c r="F618" s="97" t="str">
        <f ca="1">IF(OR(Market_Data[[#This Row],[Start Date]]="",Market_Data[[#This Row],[Completion Date]]=""),"Needs Validation",IF(Market_Data[[#This Row],[Start Date]]&gt;TODAY(),"Planned",IF(Market_Data[[#This Row],[Completion Date]]&lt;TODAY(),"Completed","Ongoing")))</f>
        <v>Completed</v>
      </c>
      <c r="G618" s="324">
        <v>43146</v>
      </c>
      <c r="H618" s="324">
        <v>44560</v>
      </c>
      <c r="I618" s="325">
        <v>52900</v>
      </c>
      <c r="J61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18" s="133">
        <f>_xlfn.XLOOKUP(Market_Data[[#This Row],[Project Type]],tbl_assumptions_market[Project Category (RERA)],tbl_assumptions_market[Concrete Intensity
(m³ / sq m BUA)],"",0)</f>
        <v>0.45</v>
      </c>
      <c r="L618" s="134">
        <f>ROUND(Market_Data[[#This Row],[Estimated Built Up Area (sq m)]]*Market_Data[[#This Row],[Concrete Intensity
(m³ / sq m)]],0)</f>
        <v>23805</v>
      </c>
      <c r="M618" s="135">
        <f>_xlfn.XLOOKUP(Market_Data[[#This Row],[District]],tbl_district_price[District],tbl_district_price[Standard Price
(INR/m³)],"",0)</f>
        <v>6200</v>
      </c>
      <c r="N618" s="364">
        <f>IF(OR(Market_Data[[#This Row],[Estimated Concrete Demand (m³)]]="",Market_Data[[#This Row],[Avg Price per (₹ / m³)]]=""),"",Market_Data[[#This Row],[Estimated Concrete Demand (m³)]]*Market_Data[[#This Row],[Avg Price per (₹ / m³)]]/10000000)</f>
        <v>14.7591</v>
      </c>
      <c r="O618" s="97" t="str">
        <f>IF(Market_Data[[#This Row],[Estimated Concrete Demand (m³)]]="","",
IF(Market_Data[[#This Row],[Estimated Concrete Demand (m³)]]&lt;10000,"Small",
IF(Market_Data[[#This Row],[Estimated Concrete Demand (m³)]]&lt;25000,"Medium",
IF(Market_Data[[#This Row],[Estimated Concrete Demand (m³)]]&lt;100000,"Large","Mega"))))</f>
        <v>Medium</v>
      </c>
      <c r="P618" s="287" t="str">
        <f t="shared" si="11"/>
        <v>GujRERA</v>
      </c>
    </row>
    <row r="619" spans="1:16">
      <c r="A619" s="129" t="str">
        <f>_xlfn.XLOOKUP(B619,$S$9:$S$14,$T$9:$T$14)&amp;"-"&amp;
IF(E619="Residential/Group Housing","RES",
IF(E619="Commercial","COM",
IF(E619="Mixed Development","MIX",
IF(E619="Plotted Development","PLT","OTH"))))
&amp;"-"&amp;TEXT(COUNTIFS($B$9:B619,B619,$E$9:E619,E619),"0000")</f>
        <v>SUR-MIX-0059</v>
      </c>
      <c r="B619" s="322" t="s">
        <v>34</v>
      </c>
      <c r="C619" s="322" t="s">
        <v>34</v>
      </c>
      <c r="D619" s="323" t="s">
        <v>809</v>
      </c>
      <c r="E619" s="132" t="s">
        <v>25</v>
      </c>
      <c r="F619" s="97" t="str">
        <f ca="1">IF(OR(Market_Data[[#This Row],[Start Date]]="",Market_Data[[#This Row],[Completion Date]]=""),"Needs Validation",IF(Market_Data[[#This Row],[Start Date]]&gt;TODAY(),"Planned",IF(Market_Data[[#This Row],[Completion Date]]&lt;TODAY(),"Completed","Ongoing")))</f>
        <v>Completed</v>
      </c>
      <c r="G619" s="324">
        <v>41980</v>
      </c>
      <c r="H619" s="324">
        <v>44742</v>
      </c>
      <c r="I619" s="325">
        <v>46300</v>
      </c>
      <c r="J61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19" s="133">
        <f>_xlfn.XLOOKUP(Market_Data[[#This Row],[Project Type]],tbl_assumptions_market[Project Category (RERA)],tbl_assumptions_market[Concrete Intensity
(m³ / sq m BUA)],"",0)</f>
        <v>0.42</v>
      </c>
      <c r="L619" s="134">
        <f>ROUND(Market_Data[[#This Row],[Estimated Built Up Area (sq m)]]*Market_Data[[#This Row],[Concrete Intensity
(m³ / sq m)]],0)</f>
        <v>19446</v>
      </c>
      <c r="M619" s="135">
        <f>_xlfn.XLOOKUP(Market_Data[[#This Row],[District]],tbl_district_price[District],tbl_district_price[Standard Price
(INR/m³)],"",0)</f>
        <v>6200</v>
      </c>
      <c r="N619" s="364">
        <f>IF(OR(Market_Data[[#This Row],[Estimated Concrete Demand (m³)]]="",Market_Data[[#This Row],[Avg Price per (₹ / m³)]]=""),"",Market_Data[[#This Row],[Estimated Concrete Demand (m³)]]*Market_Data[[#This Row],[Avg Price per (₹ / m³)]]/10000000)</f>
        <v>12.056520000000001</v>
      </c>
      <c r="O619" s="97" t="str">
        <f>IF(Market_Data[[#This Row],[Estimated Concrete Demand (m³)]]="","",
IF(Market_Data[[#This Row],[Estimated Concrete Demand (m³)]]&lt;10000,"Small",
IF(Market_Data[[#This Row],[Estimated Concrete Demand (m³)]]&lt;25000,"Medium",
IF(Market_Data[[#This Row],[Estimated Concrete Demand (m³)]]&lt;100000,"Large","Mega"))))</f>
        <v>Medium</v>
      </c>
      <c r="P619" s="287" t="str">
        <f t="shared" si="11"/>
        <v>GujRERA</v>
      </c>
    </row>
    <row r="620" spans="1:16">
      <c r="A620" s="129" t="str">
        <f>_xlfn.XLOOKUP(B620,$S$9:$S$14,$T$9:$T$14)&amp;"-"&amp;
IF(E620="Residential/Group Housing","RES",
IF(E620="Commercial","COM",
IF(E620="Mixed Development","MIX",
IF(E620="Plotted Development","PLT","OTH"))))
&amp;"-"&amp;TEXT(COUNTIFS($B$9:B620,B620,$E$9:E620,E620),"0000")</f>
        <v>SUR-RES-0112</v>
      </c>
      <c r="B620" s="322" t="s">
        <v>34</v>
      </c>
      <c r="C620" s="322" t="s">
        <v>34</v>
      </c>
      <c r="D620" s="323" t="s">
        <v>810</v>
      </c>
      <c r="E620" s="132" t="s">
        <v>24</v>
      </c>
      <c r="F620" s="97" t="str">
        <f ca="1">IF(OR(Market_Data[[#This Row],[Start Date]]="",Market_Data[[#This Row],[Completion Date]]=""),"Needs Validation",IF(Market_Data[[#This Row],[Start Date]]&gt;TODAY(),"Planned",IF(Market_Data[[#This Row],[Completion Date]]&lt;TODAY(),"Completed","Ongoing")))</f>
        <v>Completed</v>
      </c>
      <c r="G620" s="324">
        <v>43348</v>
      </c>
      <c r="H620" s="324">
        <v>44650</v>
      </c>
      <c r="I620" s="325">
        <v>21800</v>
      </c>
      <c r="J62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20" s="133">
        <f>_xlfn.XLOOKUP(Market_Data[[#This Row],[Project Type]],tbl_assumptions_market[Project Category (RERA)],tbl_assumptions_market[Concrete Intensity
(m³ / sq m BUA)],"",0)</f>
        <v>0.45</v>
      </c>
      <c r="L620" s="134">
        <f>ROUND(Market_Data[[#This Row],[Estimated Built Up Area (sq m)]]*Market_Data[[#This Row],[Concrete Intensity
(m³ / sq m)]],0)</f>
        <v>9810</v>
      </c>
      <c r="M620" s="135">
        <f>_xlfn.XLOOKUP(Market_Data[[#This Row],[District]],tbl_district_price[District],tbl_district_price[Standard Price
(INR/m³)],"",0)</f>
        <v>6200</v>
      </c>
      <c r="N620" s="364">
        <f>IF(OR(Market_Data[[#This Row],[Estimated Concrete Demand (m³)]]="",Market_Data[[#This Row],[Avg Price per (₹ / m³)]]=""),"",Market_Data[[#This Row],[Estimated Concrete Demand (m³)]]*Market_Data[[#This Row],[Avg Price per (₹ / m³)]]/10000000)</f>
        <v>6.0822000000000003</v>
      </c>
      <c r="O620" s="97" t="str">
        <f>IF(Market_Data[[#This Row],[Estimated Concrete Demand (m³)]]="","",
IF(Market_Data[[#This Row],[Estimated Concrete Demand (m³)]]&lt;10000,"Small",
IF(Market_Data[[#This Row],[Estimated Concrete Demand (m³)]]&lt;25000,"Medium",
IF(Market_Data[[#This Row],[Estimated Concrete Demand (m³)]]&lt;100000,"Large","Mega"))))</f>
        <v>Small</v>
      </c>
      <c r="P620" s="287" t="str">
        <f t="shared" si="11"/>
        <v>GujRERA</v>
      </c>
    </row>
    <row r="621" spans="1:16">
      <c r="A621" s="129" t="str">
        <f>_xlfn.XLOOKUP(B621,$S$9:$S$14,$T$9:$T$14)&amp;"-"&amp;
IF(E621="Residential/Group Housing","RES",
IF(E621="Commercial","COM",
IF(E621="Mixed Development","MIX",
IF(E621="Plotted Development","PLT","OTH"))))
&amp;"-"&amp;TEXT(COUNTIFS($B$9:B621,B621,$E$9:E621,E621),"0000")</f>
        <v>SUR-COM-0053</v>
      </c>
      <c r="B621" s="322" t="s">
        <v>34</v>
      </c>
      <c r="C621" s="322" t="s">
        <v>34</v>
      </c>
      <c r="D621" s="323" t="s">
        <v>811</v>
      </c>
      <c r="E621" s="132" t="s">
        <v>23</v>
      </c>
      <c r="F621" s="97" t="str">
        <f ca="1">IF(OR(Market_Data[[#This Row],[Start Date]]="",Market_Data[[#This Row],[Completion Date]]=""),"Needs Validation",IF(Market_Data[[#This Row],[Start Date]]&gt;TODAY(),"Planned",IF(Market_Data[[#This Row],[Completion Date]]&lt;TODAY(),"Completed","Ongoing")))</f>
        <v>Completed</v>
      </c>
      <c r="G621" s="324">
        <v>42522</v>
      </c>
      <c r="H621" s="324">
        <v>43343</v>
      </c>
      <c r="I621" s="325">
        <v>11400</v>
      </c>
      <c r="J62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21" s="133">
        <f>_xlfn.XLOOKUP(Market_Data[[#This Row],[Project Type]],tbl_assumptions_market[Project Category (RERA)],tbl_assumptions_market[Concrete Intensity
(m³ / sq m BUA)],"",0)</f>
        <v>0.5</v>
      </c>
      <c r="L621" s="134">
        <f>ROUND(Market_Data[[#This Row],[Estimated Built Up Area (sq m)]]*Market_Data[[#This Row],[Concrete Intensity
(m³ / sq m)]],0)</f>
        <v>5700</v>
      </c>
      <c r="M621" s="135">
        <f>_xlfn.XLOOKUP(Market_Data[[#This Row],[District]],tbl_district_price[District],tbl_district_price[Standard Price
(INR/m³)],"",0)</f>
        <v>6200</v>
      </c>
      <c r="N621" s="364">
        <f>IF(OR(Market_Data[[#This Row],[Estimated Concrete Demand (m³)]]="",Market_Data[[#This Row],[Avg Price per (₹ / m³)]]=""),"",Market_Data[[#This Row],[Estimated Concrete Demand (m³)]]*Market_Data[[#This Row],[Avg Price per (₹ / m³)]]/10000000)</f>
        <v>3.5339999999999998</v>
      </c>
      <c r="O621" s="97" t="str">
        <f>IF(Market_Data[[#This Row],[Estimated Concrete Demand (m³)]]="","",
IF(Market_Data[[#This Row],[Estimated Concrete Demand (m³)]]&lt;10000,"Small",
IF(Market_Data[[#This Row],[Estimated Concrete Demand (m³)]]&lt;25000,"Medium",
IF(Market_Data[[#This Row],[Estimated Concrete Demand (m³)]]&lt;100000,"Large","Mega"))))</f>
        <v>Small</v>
      </c>
      <c r="P621" s="287" t="str">
        <f t="shared" si="11"/>
        <v>GujRERA</v>
      </c>
    </row>
    <row r="622" spans="1:16">
      <c r="A622" s="129" t="str">
        <f>_xlfn.XLOOKUP(B622,$S$9:$S$14,$T$9:$T$14)&amp;"-"&amp;
IF(E622="Residential/Group Housing","RES",
IF(E622="Commercial","COM",
IF(E622="Mixed Development","MIX",
IF(E622="Plotted Development","PLT","OTH"))))
&amp;"-"&amp;TEXT(COUNTIFS($B$9:B622,B622,$E$9:E622,E622),"0000")</f>
        <v>SUR-RES-0113</v>
      </c>
      <c r="B622" s="322" t="s">
        <v>34</v>
      </c>
      <c r="C622" s="322" t="s">
        <v>34</v>
      </c>
      <c r="D622" s="323" t="s">
        <v>812</v>
      </c>
      <c r="E622" s="132" t="s">
        <v>24</v>
      </c>
      <c r="F622" s="97" t="str">
        <f ca="1">IF(OR(Market_Data[[#This Row],[Start Date]]="",Market_Data[[#This Row],[Completion Date]]=""),"Needs Validation",IF(Market_Data[[#This Row],[Start Date]]&gt;TODAY(),"Planned",IF(Market_Data[[#This Row],[Completion Date]]&lt;TODAY(),"Completed","Ongoing")))</f>
        <v>Completed</v>
      </c>
      <c r="G622" s="324">
        <v>43053</v>
      </c>
      <c r="H622" s="324">
        <v>44195</v>
      </c>
      <c r="I622" s="325">
        <v>16400</v>
      </c>
      <c r="J62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22" s="133">
        <f>_xlfn.XLOOKUP(Market_Data[[#This Row],[Project Type]],tbl_assumptions_market[Project Category (RERA)],tbl_assumptions_market[Concrete Intensity
(m³ / sq m BUA)],"",0)</f>
        <v>0.45</v>
      </c>
      <c r="L622" s="134">
        <f>ROUND(Market_Data[[#This Row],[Estimated Built Up Area (sq m)]]*Market_Data[[#This Row],[Concrete Intensity
(m³ / sq m)]],0)</f>
        <v>7380</v>
      </c>
      <c r="M622" s="135">
        <f>_xlfn.XLOOKUP(Market_Data[[#This Row],[District]],tbl_district_price[District],tbl_district_price[Standard Price
(INR/m³)],"",0)</f>
        <v>6200</v>
      </c>
      <c r="N622" s="364">
        <f>IF(OR(Market_Data[[#This Row],[Estimated Concrete Demand (m³)]]="",Market_Data[[#This Row],[Avg Price per (₹ / m³)]]=""),"",Market_Data[[#This Row],[Estimated Concrete Demand (m³)]]*Market_Data[[#This Row],[Avg Price per (₹ / m³)]]/10000000)</f>
        <v>4.5755999999999997</v>
      </c>
      <c r="O622" s="97" t="str">
        <f>IF(Market_Data[[#This Row],[Estimated Concrete Demand (m³)]]="","",
IF(Market_Data[[#This Row],[Estimated Concrete Demand (m³)]]&lt;10000,"Small",
IF(Market_Data[[#This Row],[Estimated Concrete Demand (m³)]]&lt;25000,"Medium",
IF(Market_Data[[#This Row],[Estimated Concrete Demand (m³)]]&lt;100000,"Large","Mega"))))</f>
        <v>Small</v>
      </c>
      <c r="P622" s="287" t="str">
        <f t="shared" si="11"/>
        <v>GujRERA</v>
      </c>
    </row>
    <row r="623" spans="1:16">
      <c r="A623" s="129" t="str">
        <f>_xlfn.XLOOKUP(B623,$S$9:$S$14,$T$9:$T$14)&amp;"-"&amp;
IF(E623="Residential/Group Housing","RES",
IF(E623="Commercial","COM",
IF(E623="Mixed Development","MIX",
IF(E623="Plotted Development","PLT","OTH"))))
&amp;"-"&amp;TEXT(COUNTIFS($B$9:B623,B623,$E$9:E623,E623),"0000")</f>
        <v>SUR-RES-0114</v>
      </c>
      <c r="B623" s="322" t="s">
        <v>34</v>
      </c>
      <c r="C623" s="322" t="s">
        <v>34</v>
      </c>
      <c r="D623" s="323" t="s">
        <v>813</v>
      </c>
      <c r="E623" s="132" t="s">
        <v>24</v>
      </c>
      <c r="F623" s="97" t="str">
        <f ca="1">IF(OR(Market_Data[[#This Row],[Start Date]]="",Market_Data[[#This Row],[Completion Date]]=""),"Needs Validation",IF(Market_Data[[#This Row],[Start Date]]&gt;TODAY(),"Planned",IF(Market_Data[[#This Row],[Completion Date]]&lt;TODAY(),"Completed","Ongoing")))</f>
        <v>Completed</v>
      </c>
      <c r="G623" s="324">
        <v>43007</v>
      </c>
      <c r="H623" s="324">
        <v>44348</v>
      </c>
      <c r="I623" s="325">
        <v>41800</v>
      </c>
      <c r="J62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23" s="133">
        <f>_xlfn.XLOOKUP(Market_Data[[#This Row],[Project Type]],tbl_assumptions_market[Project Category (RERA)],tbl_assumptions_market[Concrete Intensity
(m³ / sq m BUA)],"",0)</f>
        <v>0.45</v>
      </c>
      <c r="L623" s="134">
        <f>ROUND(Market_Data[[#This Row],[Estimated Built Up Area (sq m)]]*Market_Data[[#This Row],[Concrete Intensity
(m³ / sq m)]],0)</f>
        <v>18810</v>
      </c>
      <c r="M623" s="135">
        <f>_xlfn.XLOOKUP(Market_Data[[#This Row],[District]],tbl_district_price[District],tbl_district_price[Standard Price
(INR/m³)],"",0)</f>
        <v>6200</v>
      </c>
      <c r="N623" s="364">
        <f>IF(OR(Market_Data[[#This Row],[Estimated Concrete Demand (m³)]]="",Market_Data[[#This Row],[Avg Price per (₹ / m³)]]=""),"",Market_Data[[#This Row],[Estimated Concrete Demand (m³)]]*Market_Data[[#This Row],[Avg Price per (₹ / m³)]]/10000000)</f>
        <v>11.6622</v>
      </c>
      <c r="O623" s="97" t="str">
        <f>IF(Market_Data[[#This Row],[Estimated Concrete Demand (m³)]]="","",
IF(Market_Data[[#This Row],[Estimated Concrete Demand (m³)]]&lt;10000,"Small",
IF(Market_Data[[#This Row],[Estimated Concrete Demand (m³)]]&lt;25000,"Medium",
IF(Market_Data[[#This Row],[Estimated Concrete Demand (m³)]]&lt;100000,"Large","Mega"))))</f>
        <v>Medium</v>
      </c>
      <c r="P623" s="287" t="str">
        <f t="shared" si="11"/>
        <v>GujRERA</v>
      </c>
    </row>
    <row r="624" spans="1:16">
      <c r="A624" s="129" t="str">
        <f>_xlfn.XLOOKUP(B624,$S$9:$S$14,$T$9:$T$14)&amp;"-"&amp;
IF(E624="Residential/Group Housing","RES",
IF(E624="Commercial","COM",
IF(E624="Mixed Development","MIX",
IF(E624="Plotted Development","PLT","OTH"))))
&amp;"-"&amp;TEXT(COUNTIFS($B$9:B624,B624,$E$9:E624,E624),"0000")</f>
        <v>SUR-RES-0115</v>
      </c>
      <c r="B624" s="322" t="s">
        <v>34</v>
      </c>
      <c r="C624" s="322" t="s">
        <v>34</v>
      </c>
      <c r="D624" s="323" t="s">
        <v>814</v>
      </c>
      <c r="E624" s="132" t="s">
        <v>24</v>
      </c>
      <c r="F624" s="97" t="str">
        <f ca="1">IF(OR(Market_Data[[#This Row],[Start Date]]="",Market_Data[[#This Row],[Completion Date]]=""),"Needs Validation",IF(Market_Data[[#This Row],[Start Date]]&gt;TODAY(),"Planned",IF(Market_Data[[#This Row],[Completion Date]]&lt;TODAY(),"Completed","Ongoing")))</f>
        <v>Completed</v>
      </c>
      <c r="G624" s="324">
        <v>43132</v>
      </c>
      <c r="H624" s="324">
        <v>45199</v>
      </c>
      <c r="I624" s="325">
        <v>3600</v>
      </c>
      <c r="J62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24" s="133">
        <f>_xlfn.XLOOKUP(Market_Data[[#This Row],[Project Type]],tbl_assumptions_market[Project Category (RERA)],tbl_assumptions_market[Concrete Intensity
(m³ / sq m BUA)],"",0)</f>
        <v>0.45</v>
      </c>
      <c r="L624" s="134">
        <f>ROUND(Market_Data[[#This Row],[Estimated Built Up Area (sq m)]]*Market_Data[[#This Row],[Concrete Intensity
(m³ / sq m)]],0)</f>
        <v>1620</v>
      </c>
      <c r="M624" s="135">
        <f>_xlfn.XLOOKUP(Market_Data[[#This Row],[District]],tbl_district_price[District],tbl_district_price[Standard Price
(INR/m³)],"",0)</f>
        <v>6200</v>
      </c>
      <c r="N624" s="364">
        <f>IF(OR(Market_Data[[#This Row],[Estimated Concrete Demand (m³)]]="",Market_Data[[#This Row],[Avg Price per (₹ / m³)]]=""),"",Market_Data[[#This Row],[Estimated Concrete Demand (m³)]]*Market_Data[[#This Row],[Avg Price per (₹ / m³)]]/10000000)</f>
        <v>1.0044</v>
      </c>
      <c r="O624" s="97" t="str">
        <f>IF(Market_Data[[#This Row],[Estimated Concrete Demand (m³)]]="","",
IF(Market_Data[[#This Row],[Estimated Concrete Demand (m³)]]&lt;10000,"Small",
IF(Market_Data[[#This Row],[Estimated Concrete Demand (m³)]]&lt;25000,"Medium",
IF(Market_Data[[#This Row],[Estimated Concrete Demand (m³)]]&lt;100000,"Large","Mega"))))</f>
        <v>Small</v>
      </c>
      <c r="P624" s="287" t="str">
        <f t="shared" si="11"/>
        <v>GujRERA</v>
      </c>
    </row>
    <row r="625" spans="1:16">
      <c r="A625" s="129" t="str">
        <f>_xlfn.XLOOKUP(B625,$S$9:$S$14,$T$9:$T$14)&amp;"-"&amp;
IF(E625="Residential/Group Housing","RES",
IF(E625="Commercial","COM",
IF(E625="Mixed Development","MIX",
IF(E625="Plotted Development","PLT","OTH"))))
&amp;"-"&amp;TEXT(COUNTIFS($B$9:B625,B625,$E$9:E625,E625),"0000")</f>
        <v>SUR-MIX-0060</v>
      </c>
      <c r="B625" s="322" t="s">
        <v>34</v>
      </c>
      <c r="C625" s="322" t="s">
        <v>34</v>
      </c>
      <c r="D625" s="323" t="s">
        <v>815</v>
      </c>
      <c r="E625" s="132" t="s">
        <v>25</v>
      </c>
      <c r="F625" s="97" t="str">
        <f ca="1">IF(OR(Market_Data[[#This Row],[Start Date]]="",Market_Data[[#This Row],[Completion Date]]=""),"Needs Validation",IF(Market_Data[[#This Row],[Start Date]]&gt;TODAY(),"Planned",IF(Market_Data[[#This Row],[Completion Date]]&lt;TODAY(),"Completed","Ongoing")))</f>
        <v>Completed</v>
      </c>
      <c r="G625" s="324">
        <v>43309</v>
      </c>
      <c r="H625" s="324">
        <v>45442</v>
      </c>
      <c r="I625" s="325">
        <v>67700</v>
      </c>
      <c r="J62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25" s="133">
        <f>_xlfn.XLOOKUP(Market_Data[[#This Row],[Project Type]],tbl_assumptions_market[Project Category (RERA)],tbl_assumptions_market[Concrete Intensity
(m³ / sq m BUA)],"",0)</f>
        <v>0.42</v>
      </c>
      <c r="L625" s="134">
        <f>ROUND(Market_Data[[#This Row],[Estimated Built Up Area (sq m)]]*Market_Data[[#This Row],[Concrete Intensity
(m³ / sq m)]],0)</f>
        <v>28434</v>
      </c>
      <c r="M625" s="135">
        <f>_xlfn.XLOOKUP(Market_Data[[#This Row],[District]],tbl_district_price[District],tbl_district_price[Standard Price
(INR/m³)],"",0)</f>
        <v>6200</v>
      </c>
      <c r="N625" s="364">
        <f>IF(OR(Market_Data[[#This Row],[Estimated Concrete Demand (m³)]]="",Market_Data[[#This Row],[Avg Price per (₹ / m³)]]=""),"",Market_Data[[#This Row],[Estimated Concrete Demand (m³)]]*Market_Data[[#This Row],[Avg Price per (₹ / m³)]]/10000000)</f>
        <v>17.629079999999998</v>
      </c>
      <c r="O625" s="97" t="str">
        <f>IF(Market_Data[[#This Row],[Estimated Concrete Demand (m³)]]="","",
IF(Market_Data[[#This Row],[Estimated Concrete Demand (m³)]]&lt;10000,"Small",
IF(Market_Data[[#This Row],[Estimated Concrete Demand (m³)]]&lt;25000,"Medium",
IF(Market_Data[[#This Row],[Estimated Concrete Demand (m³)]]&lt;100000,"Large","Mega"))))</f>
        <v>Large</v>
      </c>
      <c r="P625" s="287" t="str">
        <f t="shared" si="11"/>
        <v>GujRERA</v>
      </c>
    </row>
    <row r="626" spans="1:16">
      <c r="A626" s="129" t="str">
        <f>_xlfn.XLOOKUP(B626,$S$9:$S$14,$T$9:$T$14)&amp;"-"&amp;
IF(E626="Residential/Group Housing","RES",
IF(E626="Commercial","COM",
IF(E626="Mixed Development","MIX",
IF(E626="Plotted Development","PLT","OTH"))))
&amp;"-"&amp;TEXT(COUNTIFS($B$9:B626,B626,$E$9:E626,E626),"0000")</f>
        <v>SUR-COM-0054</v>
      </c>
      <c r="B626" s="322" t="s">
        <v>34</v>
      </c>
      <c r="C626" s="322" t="s">
        <v>34</v>
      </c>
      <c r="D626" s="323" t="s">
        <v>816</v>
      </c>
      <c r="E626" s="132" t="s">
        <v>23</v>
      </c>
      <c r="F626" s="97" t="str">
        <f ca="1">IF(OR(Market_Data[[#This Row],[Start Date]]="",Market_Data[[#This Row],[Completion Date]]=""),"Needs Validation",IF(Market_Data[[#This Row],[Start Date]]&gt;TODAY(),"Planned",IF(Market_Data[[#This Row],[Completion Date]]&lt;TODAY(),"Completed","Ongoing")))</f>
        <v>Ongoing</v>
      </c>
      <c r="G626" s="324">
        <v>45231</v>
      </c>
      <c r="H626" s="324">
        <v>47057</v>
      </c>
      <c r="I626" s="325">
        <v>32900</v>
      </c>
      <c r="J62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626" s="133">
        <f>_xlfn.XLOOKUP(Market_Data[[#This Row],[Project Type]],tbl_assumptions_market[Project Category (RERA)],tbl_assumptions_market[Concrete Intensity
(m³ / sq m BUA)],"",0)</f>
        <v>0.5</v>
      </c>
      <c r="L626" s="134">
        <f>ROUND(Market_Data[[#This Row],[Estimated Built Up Area (sq m)]]*Market_Data[[#This Row],[Concrete Intensity
(m³ / sq m)]],0)</f>
        <v>16450</v>
      </c>
      <c r="M626" s="135">
        <f>_xlfn.XLOOKUP(Market_Data[[#This Row],[District]],tbl_district_price[District],tbl_district_price[Standard Price
(INR/m³)],"",0)</f>
        <v>6200</v>
      </c>
      <c r="N626" s="364">
        <f>IF(OR(Market_Data[[#This Row],[Estimated Concrete Demand (m³)]]="",Market_Data[[#This Row],[Avg Price per (₹ / m³)]]=""),"",Market_Data[[#This Row],[Estimated Concrete Demand (m³)]]*Market_Data[[#This Row],[Avg Price per (₹ / m³)]]/10000000)</f>
        <v>10.199</v>
      </c>
      <c r="O626" s="97" t="str">
        <f>IF(Market_Data[[#This Row],[Estimated Concrete Demand (m³)]]="","",
IF(Market_Data[[#This Row],[Estimated Concrete Demand (m³)]]&lt;10000,"Small",
IF(Market_Data[[#This Row],[Estimated Concrete Demand (m³)]]&lt;25000,"Medium",
IF(Market_Data[[#This Row],[Estimated Concrete Demand (m³)]]&lt;100000,"Large","Mega"))))</f>
        <v>Medium</v>
      </c>
      <c r="P626" s="287" t="str">
        <f t="shared" si="11"/>
        <v>GujRERA</v>
      </c>
    </row>
    <row r="627" spans="1:16">
      <c r="A627" s="129" t="str">
        <f>_xlfn.XLOOKUP(B627,$S$9:$S$14,$T$9:$T$14)&amp;"-"&amp;
IF(E627="Residential/Group Housing","RES",
IF(E627="Commercial","COM",
IF(E627="Mixed Development","MIX",
IF(E627="Plotted Development","PLT","OTH"))))
&amp;"-"&amp;TEXT(COUNTIFS($B$9:B627,B627,$E$9:E627,E627),"0000")</f>
        <v>SUR-MIX-0061</v>
      </c>
      <c r="B627" s="322" t="s">
        <v>34</v>
      </c>
      <c r="C627" s="322" t="s">
        <v>34</v>
      </c>
      <c r="D627" s="323" t="s">
        <v>817</v>
      </c>
      <c r="E627" s="132" t="s">
        <v>25</v>
      </c>
      <c r="F627" s="97" t="str">
        <f ca="1">IF(OR(Market_Data[[#This Row],[Start Date]]="",Market_Data[[#This Row],[Completion Date]]=""),"Needs Validation",IF(Market_Data[[#This Row],[Start Date]]&gt;TODAY(),"Planned",IF(Market_Data[[#This Row],[Completion Date]]&lt;TODAY(),"Completed","Ongoing")))</f>
        <v>Ongoing</v>
      </c>
      <c r="G627" s="324">
        <v>45992</v>
      </c>
      <c r="H627" s="324">
        <v>47817</v>
      </c>
      <c r="I627" s="325">
        <v>86200</v>
      </c>
      <c r="J62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27" s="133">
        <f>_xlfn.XLOOKUP(Market_Data[[#This Row],[Project Type]],tbl_assumptions_market[Project Category (RERA)],tbl_assumptions_market[Concrete Intensity
(m³ / sq m BUA)],"",0)</f>
        <v>0.42</v>
      </c>
      <c r="L627" s="134">
        <f>ROUND(Market_Data[[#This Row],[Estimated Built Up Area (sq m)]]*Market_Data[[#This Row],[Concrete Intensity
(m³ / sq m)]],0)</f>
        <v>36204</v>
      </c>
      <c r="M627" s="135">
        <f>_xlfn.XLOOKUP(Market_Data[[#This Row],[District]],tbl_district_price[District],tbl_district_price[Standard Price
(INR/m³)],"",0)</f>
        <v>6200</v>
      </c>
      <c r="N627" s="364">
        <f>IF(OR(Market_Data[[#This Row],[Estimated Concrete Demand (m³)]]="",Market_Data[[#This Row],[Avg Price per (₹ / m³)]]=""),"",Market_Data[[#This Row],[Estimated Concrete Demand (m³)]]*Market_Data[[#This Row],[Avg Price per (₹ / m³)]]/10000000)</f>
        <v>22.446480000000001</v>
      </c>
      <c r="O627" s="97" t="str">
        <f>IF(Market_Data[[#This Row],[Estimated Concrete Demand (m³)]]="","",
IF(Market_Data[[#This Row],[Estimated Concrete Demand (m³)]]&lt;10000,"Small",
IF(Market_Data[[#This Row],[Estimated Concrete Demand (m³)]]&lt;25000,"Medium",
IF(Market_Data[[#This Row],[Estimated Concrete Demand (m³)]]&lt;100000,"Large","Mega"))))</f>
        <v>Large</v>
      </c>
      <c r="P627" s="287" t="str">
        <f t="shared" si="11"/>
        <v>GujRERA</v>
      </c>
    </row>
    <row r="628" spans="1:16">
      <c r="A628" s="129" t="str">
        <f>_xlfn.XLOOKUP(B628,$S$9:$S$14,$T$9:$T$14)&amp;"-"&amp;
IF(E628="Residential/Group Housing","RES",
IF(E628="Commercial","COM",
IF(E628="Mixed Development","MIX",
IF(E628="Plotted Development","PLT","OTH"))))
&amp;"-"&amp;TEXT(COUNTIFS($B$9:B628,B628,$E$9:E628,E628),"0000")</f>
        <v>SUR-MIX-0062</v>
      </c>
      <c r="B628" s="322" t="s">
        <v>34</v>
      </c>
      <c r="C628" s="322" t="s">
        <v>34</v>
      </c>
      <c r="D628" s="323" t="s">
        <v>818</v>
      </c>
      <c r="E628" s="132" t="s">
        <v>25</v>
      </c>
      <c r="F628" s="97" t="str">
        <f ca="1">IF(OR(Market_Data[[#This Row],[Start Date]]="",Market_Data[[#This Row],[Completion Date]]=""),"Needs Validation",IF(Market_Data[[#This Row],[Start Date]]&gt;TODAY(),"Planned",IF(Market_Data[[#This Row],[Completion Date]]&lt;TODAY(),"Completed","Ongoing")))</f>
        <v>Ongoing</v>
      </c>
      <c r="G628" s="324">
        <v>44854</v>
      </c>
      <c r="H628" s="324">
        <v>46387</v>
      </c>
      <c r="I628" s="325">
        <v>2700</v>
      </c>
      <c r="J62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628" s="133">
        <f>_xlfn.XLOOKUP(Market_Data[[#This Row],[Project Type]],tbl_assumptions_market[Project Category (RERA)],tbl_assumptions_market[Concrete Intensity
(m³ / sq m BUA)],"",0)</f>
        <v>0.42</v>
      </c>
      <c r="L628" s="134">
        <f>ROUND(Market_Data[[#This Row],[Estimated Built Up Area (sq m)]]*Market_Data[[#This Row],[Concrete Intensity
(m³ / sq m)]],0)</f>
        <v>1134</v>
      </c>
      <c r="M628" s="135">
        <f>_xlfn.XLOOKUP(Market_Data[[#This Row],[District]],tbl_district_price[District],tbl_district_price[Standard Price
(INR/m³)],"",0)</f>
        <v>6200</v>
      </c>
      <c r="N628" s="364">
        <f>IF(OR(Market_Data[[#This Row],[Estimated Concrete Demand (m³)]]="",Market_Data[[#This Row],[Avg Price per (₹ / m³)]]=""),"",Market_Data[[#This Row],[Estimated Concrete Demand (m³)]]*Market_Data[[#This Row],[Avg Price per (₹ / m³)]]/10000000)</f>
        <v>0.70308000000000004</v>
      </c>
      <c r="O628" s="97" t="str">
        <f>IF(Market_Data[[#This Row],[Estimated Concrete Demand (m³)]]="","",
IF(Market_Data[[#This Row],[Estimated Concrete Demand (m³)]]&lt;10000,"Small",
IF(Market_Data[[#This Row],[Estimated Concrete Demand (m³)]]&lt;25000,"Medium",
IF(Market_Data[[#This Row],[Estimated Concrete Demand (m³)]]&lt;100000,"Large","Mega"))))</f>
        <v>Small</v>
      </c>
      <c r="P628" s="287" t="str">
        <f t="shared" si="11"/>
        <v>GujRERA</v>
      </c>
    </row>
    <row r="629" spans="1:16">
      <c r="A629" s="129" t="str">
        <f>_xlfn.XLOOKUP(B629,$S$9:$S$14,$T$9:$T$14)&amp;"-"&amp;
IF(E629="Residential/Group Housing","RES",
IF(E629="Commercial","COM",
IF(E629="Mixed Development","MIX",
IF(E629="Plotted Development","PLT","OTH"))))
&amp;"-"&amp;TEXT(COUNTIFS($B$9:B629,B629,$E$9:E629,E629),"0000")</f>
        <v>SUR-PLT-0080</v>
      </c>
      <c r="B629" s="322" t="s">
        <v>34</v>
      </c>
      <c r="C629" s="322" t="s">
        <v>34</v>
      </c>
      <c r="D629" s="323" t="s">
        <v>819</v>
      </c>
      <c r="E629" s="132" t="s">
        <v>26</v>
      </c>
      <c r="F629" s="97" t="str">
        <f ca="1">IF(OR(Market_Data[[#This Row],[Start Date]]="",Market_Data[[#This Row],[Completion Date]]=""),"Needs Validation",IF(Market_Data[[#This Row],[Start Date]]&gt;TODAY(),"Planned",IF(Market_Data[[#This Row],[Completion Date]]&lt;TODAY(),"Completed","Ongoing")))</f>
        <v>Ongoing</v>
      </c>
      <c r="G629" s="324">
        <v>45406</v>
      </c>
      <c r="H629" s="324">
        <v>46418</v>
      </c>
      <c r="I629" s="325">
        <v>6300</v>
      </c>
      <c r="J62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29" s="133">
        <f>_xlfn.XLOOKUP(Market_Data[[#This Row],[Project Type]],tbl_assumptions_market[Project Category (RERA)],tbl_assumptions_market[Concrete Intensity
(m³ / sq m BUA)],"",0)</f>
        <v>0.18</v>
      </c>
      <c r="L629" s="134">
        <f>ROUND(Market_Data[[#This Row],[Estimated Built Up Area (sq m)]]*Market_Data[[#This Row],[Concrete Intensity
(m³ / sq m)]],0)</f>
        <v>1134</v>
      </c>
      <c r="M629" s="135">
        <f>_xlfn.XLOOKUP(Market_Data[[#This Row],[District]],tbl_district_price[District],tbl_district_price[Standard Price
(INR/m³)],"",0)</f>
        <v>6200</v>
      </c>
      <c r="N629" s="364">
        <f>IF(OR(Market_Data[[#This Row],[Estimated Concrete Demand (m³)]]="",Market_Data[[#This Row],[Avg Price per (₹ / m³)]]=""),"",Market_Data[[#This Row],[Estimated Concrete Demand (m³)]]*Market_Data[[#This Row],[Avg Price per (₹ / m³)]]/10000000)</f>
        <v>0.70308000000000004</v>
      </c>
      <c r="O629" s="97" t="str">
        <f>IF(Market_Data[[#This Row],[Estimated Concrete Demand (m³)]]="","",
IF(Market_Data[[#This Row],[Estimated Concrete Demand (m³)]]&lt;10000,"Small",
IF(Market_Data[[#This Row],[Estimated Concrete Demand (m³)]]&lt;25000,"Medium",
IF(Market_Data[[#This Row],[Estimated Concrete Demand (m³)]]&lt;100000,"Large","Mega"))))</f>
        <v>Small</v>
      </c>
      <c r="P629" s="287" t="str">
        <f t="shared" si="11"/>
        <v>GujRERA</v>
      </c>
    </row>
    <row r="630" spans="1:16">
      <c r="A630" s="129" t="str">
        <f>_xlfn.XLOOKUP(B630,$S$9:$S$14,$T$9:$T$14)&amp;"-"&amp;
IF(E630="Residential/Group Housing","RES",
IF(E630="Commercial","COM",
IF(E630="Mixed Development","MIX",
IF(E630="Plotted Development","PLT","OTH"))))
&amp;"-"&amp;TEXT(COUNTIFS($B$9:B630,B630,$E$9:E630,E630),"0000")</f>
        <v>SUR-RES-0116</v>
      </c>
      <c r="B630" s="322" t="s">
        <v>34</v>
      </c>
      <c r="C630" s="322" t="s">
        <v>34</v>
      </c>
      <c r="D630" s="323" t="s">
        <v>820</v>
      </c>
      <c r="E630" s="132" t="s">
        <v>24</v>
      </c>
      <c r="F630" s="97" t="str">
        <f ca="1">IF(OR(Market_Data[[#This Row],[Start Date]]="",Market_Data[[#This Row],[Completion Date]]=""),"Needs Validation",IF(Market_Data[[#This Row],[Start Date]]&gt;TODAY(),"Planned",IF(Market_Data[[#This Row],[Completion Date]]&lt;TODAY(),"Completed","Ongoing")))</f>
        <v>Completed</v>
      </c>
      <c r="G630" s="324">
        <v>43181</v>
      </c>
      <c r="H630" s="324">
        <v>44834</v>
      </c>
      <c r="I630" s="325">
        <v>30700</v>
      </c>
      <c r="J63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30" s="133">
        <f>_xlfn.XLOOKUP(Market_Data[[#This Row],[Project Type]],tbl_assumptions_market[Project Category (RERA)],tbl_assumptions_market[Concrete Intensity
(m³ / sq m BUA)],"",0)</f>
        <v>0.45</v>
      </c>
      <c r="L630" s="134">
        <f>ROUND(Market_Data[[#This Row],[Estimated Built Up Area (sq m)]]*Market_Data[[#This Row],[Concrete Intensity
(m³ / sq m)]],0)</f>
        <v>13815</v>
      </c>
      <c r="M630" s="135">
        <f>_xlfn.XLOOKUP(Market_Data[[#This Row],[District]],tbl_district_price[District],tbl_district_price[Standard Price
(INR/m³)],"",0)</f>
        <v>6200</v>
      </c>
      <c r="N630" s="364">
        <f>IF(OR(Market_Data[[#This Row],[Estimated Concrete Demand (m³)]]="",Market_Data[[#This Row],[Avg Price per (₹ / m³)]]=""),"",Market_Data[[#This Row],[Estimated Concrete Demand (m³)]]*Market_Data[[#This Row],[Avg Price per (₹ / m³)]]/10000000)</f>
        <v>8.5653000000000006</v>
      </c>
      <c r="O630" s="97" t="str">
        <f>IF(Market_Data[[#This Row],[Estimated Concrete Demand (m³)]]="","",
IF(Market_Data[[#This Row],[Estimated Concrete Demand (m³)]]&lt;10000,"Small",
IF(Market_Data[[#This Row],[Estimated Concrete Demand (m³)]]&lt;25000,"Medium",
IF(Market_Data[[#This Row],[Estimated Concrete Demand (m³)]]&lt;100000,"Large","Mega"))))</f>
        <v>Medium</v>
      </c>
      <c r="P630" s="287" t="str">
        <f t="shared" si="11"/>
        <v>GujRERA</v>
      </c>
    </row>
    <row r="631" spans="1:16">
      <c r="A631" s="129" t="str">
        <f>_xlfn.XLOOKUP(B631,$S$9:$S$14,$T$9:$T$14)&amp;"-"&amp;
IF(E631="Residential/Group Housing","RES",
IF(E631="Commercial","COM",
IF(E631="Mixed Development","MIX",
IF(E631="Plotted Development","PLT","OTH"))))
&amp;"-"&amp;TEXT(COUNTIFS($B$9:B631,B631,$E$9:E631,E631),"0000")</f>
        <v>SUR-COM-0055</v>
      </c>
      <c r="B631" s="322" t="s">
        <v>34</v>
      </c>
      <c r="C631" s="322" t="s">
        <v>34</v>
      </c>
      <c r="D631" s="323" t="s">
        <v>821</v>
      </c>
      <c r="E631" s="132" t="s">
        <v>23</v>
      </c>
      <c r="F631" s="97" t="str">
        <f ca="1">IF(OR(Market_Data[[#This Row],[Start Date]]="",Market_Data[[#This Row],[Completion Date]]=""),"Needs Validation",IF(Market_Data[[#This Row],[Start Date]]&gt;TODAY(),"Planned",IF(Market_Data[[#This Row],[Completion Date]]&lt;TODAY(),"Completed","Ongoing")))</f>
        <v>Completed</v>
      </c>
      <c r="G631" s="324">
        <v>42643</v>
      </c>
      <c r="H631" s="324">
        <v>43702</v>
      </c>
      <c r="I631" s="325">
        <v>31200</v>
      </c>
      <c r="J63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631" s="133">
        <f>_xlfn.XLOOKUP(Market_Data[[#This Row],[Project Type]],tbl_assumptions_market[Project Category (RERA)],tbl_assumptions_market[Concrete Intensity
(m³ / sq m BUA)],"",0)</f>
        <v>0.5</v>
      </c>
      <c r="L631" s="134">
        <f>ROUND(Market_Data[[#This Row],[Estimated Built Up Area (sq m)]]*Market_Data[[#This Row],[Concrete Intensity
(m³ / sq m)]],0)</f>
        <v>15600</v>
      </c>
      <c r="M631" s="135">
        <f>_xlfn.XLOOKUP(Market_Data[[#This Row],[District]],tbl_district_price[District],tbl_district_price[Standard Price
(INR/m³)],"",0)</f>
        <v>6200</v>
      </c>
      <c r="N631" s="364">
        <f>IF(OR(Market_Data[[#This Row],[Estimated Concrete Demand (m³)]]="",Market_Data[[#This Row],[Avg Price per (₹ / m³)]]=""),"",Market_Data[[#This Row],[Estimated Concrete Demand (m³)]]*Market_Data[[#This Row],[Avg Price per (₹ / m³)]]/10000000)</f>
        <v>9.6720000000000006</v>
      </c>
      <c r="O631" s="97" t="str">
        <f>IF(Market_Data[[#This Row],[Estimated Concrete Demand (m³)]]="","",
IF(Market_Data[[#This Row],[Estimated Concrete Demand (m³)]]&lt;10000,"Small",
IF(Market_Data[[#This Row],[Estimated Concrete Demand (m³)]]&lt;25000,"Medium",
IF(Market_Data[[#This Row],[Estimated Concrete Demand (m³)]]&lt;100000,"Large","Mega"))))</f>
        <v>Medium</v>
      </c>
      <c r="P631" s="287" t="str">
        <f t="shared" si="11"/>
        <v>GujRERA</v>
      </c>
    </row>
    <row r="632" spans="1:16">
      <c r="A632" s="129" t="str">
        <f>_xlfn.XLOOKUP(B632,$S$9:$S$14,$T$9:$T$14)&amp;"-"&amp;
IF(E632="Residential/Group Housing","RES",
IF(E632="Commercial","COM",
IF(E632="Mixed Development","MIX",
IF(E632="Plotted Development","PLT","OTH"))))
&amp;"-"&amp;TEXT(COUNTIFS($B$9:B632,B632,$E$9:E632,E632),"0000")</f>
        <v>SUR-COM-0056</v>
      </c>
      <c r="B632" s="322" t="s">
        <v>34</v>
      </c>
      <c r="C632" s="322" t="s">
        <v>34</v>
      </c>
      <c r="D632" s="323" t="s">
        <v>822</v>
      </c>
      <c r="E632" s="132" t="s">
        <v>23</v>
      </c>
      <c r="F632" s="97" t="str">
        <f ca="1">IF(OR(Market_Data[[#This Row],[Start Date]]="",Market_Data[[#This Row],[Completion Date]]=""),"Needs Validation",IF(Market_Data[[#This Row],[Start Date]]&gt;TODAY(),"Planned",IF(Market_Data[[#This Row],[Completion Date]]&lt;TODAY(),"Completed","Ongoing")))</f>
        <v>Completed</v>
      </c>
      <c r="G632" s="324">
        <v>42705</v>
      </c>
      <c r="H632" s="324">
        <v>43465</v>
      </c>
      <c r="I632" s="325">
        <v>7400</v>
      </c>
      <c r="J63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32" s="133">
        <f>_xlfn.XLOOKUP(Market_Data[[#This Row],[Project Type]],tbl_assumptions_market[Project Category (RERA)],tbl_assumptions_market[Concrete Intensity
(m³ / sq m BUA)],"",0)</f>
        <v>0.5</v>
      </c>
      <c r="L632" s="134">
        <f>ROUND(Market_Data[[#This Row],[Estimated Built Up Area (sq m)]]*Market_Data[[#This Row],[Concrete Intensity
(m³ / sq m)]],0)</f>
        <v>3700</v>
      </c>
      <c r="M632" s="135">
        <f>_xlfn.XLOOKUP(Market_Data[[#This Row],[District]],tbl_district_price[District],tbl_district_price[Standard Price
(INR/m³)],"",0)</f>
        <v>6200</v>
      </c>
      <c r="N632" s="364">
        <f>IF(OR(Market_Data[[#This Row],[Estimated Concrete Demand (m³)]]="",Market_Data[[#This Row],[Avg Price per (₹ / m³)]]=""),"",Market_Data[[#This Row],[Estimated Concrete Demand (m³)]]*Market_Data[[#This Row],[Avg Price per (₹ / m³)]]/10000000)</f>
        <v>2.294</v>
      </c>
      <c r="O632" s="97" t="str">
        <f>IF(Market_Data[[#This Row],[Estimated Concrete Demand (m³)]]="","",
IF(Market_Data[[#This Row],[Estimated Concrete Demand (m³)]]&lt;10000,"Small",
IF(Market_Data[[#This Row],[Estimated Concrete Demand (m³)]]&lt;25000,"Medium",
IF(Market_Data[[#This Row],[Estimated Concrete Demand (m³)]]&lt;100000,"Large","Mega"))))</f>
        <v>Small</v>
      </c>
      <c r="P632" s="287" t="str">
        <f t="shared" si="11"/>
        <v>GujRERA</v>
      </c>
    </row>
    <row r="633" spans="1:16">
      <c r="A633" s="129" t="str">
        <f>_xlfn.XLOOKUP(B633,$S$9:$S$14,$T$9:$T$14)&amp;"-"&amp;
IF(E633="Residential/Group Housing","RES",
IF(E633="Commercial","COM",
IF(E633="Mixed Development","MIX",
IF(E633="Plotted Development","PLT","OTH"))))
&amp;"-"&amp;TEXT(COUNTIFS($B$9:B633,B633,$E$9:E633,E633),"0000")</f>
        <v>SUR-RES-0117</v>
      </c>
      <c r="B633" s="322" t="s">
        <v>34</v>
      </c>
      <c r="C633" s="322" t="s">
        <v>34</v>
      </c>
      <c r="D633" s="323" t="s">
        <v>823</v>
      </c>
      <c r="E633" s="132" t="s">
        <v>24</v>
      </c>
      <c r="F633" s="97" t="str">
        <f ca="1">IF(OR(Market_Data[[#This Row],[Start Date]]="",Market_Data[[#This Row],[Completion Date]]=""),"Needs Validation",IF(Market_Data[[#This Row],[Start Date]]&gt;TODAY(),"Planned",IF(Market_Data[[#This Row],[Completion Date]]&lt;TODAY(),"Completed","Ongoing")))</f>
        <v>Completed</v>
      </c>
      <c r="G633" s="324">
        <v>44140</v>
      </c>
      <c r="H633" s="324">
        <v>45657</v>
      </c>
      <c r="I633" s="325">
        <v>59000</v>
      </c>
      <c r="J63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33" s="133">
        <f>_xlfn.XLOOKUP(Market_Data[[#This Row],[Project Type]],tbl_assumptions_market[Project Category (RERA)],tbl_assumptions_market[Concrete Intensity
(m³ / sq m BUA)],"",0)</f>
        <v>0.45</v>
      </c>
      <c r="L633" s="134">
        <f>ROUND(Market_Data[[#This Row],[Estimated Built Up Area (sq m)]]*Market_Data[[#This Row],[Concrete Intensity
(m³ / sq m)]],0)</f>
        <v>26550</v>
      </c>
      <c r="M633" s="135">
        <f>_xlfn.XLOOKUP(Market_Data[[#This Row],[District]],tbl_district_price[District],tbl_district_price[Standard Price
(INR/m³)],"",0)</f>
        <v>6200</v>
      </c>
      <c r="N633" s="364">
        <f>IF(OR(Market_Data[[#This Row],[Estimated Concrete Demand (m³)]]="",Market_Data[[#This Row],[Avg Price per (₹ / m³)]]=""),"",Market_Data[[#This Row],[Estimated Concrete Demand (m³)]]*Market_Data[[#This Row],[Avg Price per (₹ / m³)]]/10000000)</f>
        <v>16.460999999999999</v>
      </c>
      <c r="O633" s="97" t="str">
        <f>IF(Market_Data[[#This Row],[Estimated Concrete Demand (m³)]]="","",
IF(Market_Data[[#This Row],[Estimated Concrete Demand (m³)]]&lt;10000,"Small",
IF(Market_Data[[#This Row],[Estimated Concrete Demand (m³)]]&lt;25000,"Medium",
IF(Market_Data[[#This Row],[Estimated Concrete Demand (m³)]]&lt;100000,"Large","Mega"))))</f>
        <v>Large</v>
      </c>
      <c r="P633" s="287" t="str">
        <f t="shared" si="11"/>
        <v>GujRERA</v>
      </c>
    </row>
    <row r="634" spans="1:16">
      <c r="A634" s="129" t="str">
        <f>_xlfn.XLOOKUP(B634,$S$9:$S$14,$T$9:$T$14)&amp;"-"&amp;
IF(E634="Residential/Group Housing","RES",
IF(E634="Commercial","COM",
IF(E634="Mixed Development","MIX",
IF(E634="Plotted Development","PLT","OTH"))))
&amp;"-"&amp;TEXT(COUNTIFS($B$9:B634,B634,$E$9:E634,E634),"0000")</f>
        <v>SUR-RES-0118</v>
      </c>
      <c r="B634" s="322" t="s">
        <v>34</v>
      </c>
      <c r="C634" s="322" t="s">
        <v>34</v>
      </c>
      <c r="D634" s="323" t="s">
        <v>824</v>
      </c>
      <c r="E634" s="132" t="s">
        <v>24</v>
      </c>
      <c r="F634" s="97" t="str">
        <f ca="1">IF(OR(Market_Data[[#This Row],[Start Date]]="",Market_Data[[#This Row],[Completion Date]]=""),"Needs Validation",IF(Market_Data[[#This Row],[Start Date]]&gt;TODAY(),"Planned",IF(Market_Data[[#This Row],[Completion Date]]&lt;TODAY(),"Completed","Ongoing")))</f>
        <v>Completed</v>
      </c>
      <c r="G634" s="324">
        <v>43234</v>
      </c>
      <c r="H634" s="324">
        <v>44864</v>
      </c>
      <c r="I634" s="325">
        <v>21000</v>
      </c>
      <c r="J63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34" s="133">
        <f>_xlfn.XLOOKUP(Market_Data[[#This Row],[Project Type]],tbl_assumptions_market[Project Category (RERA)],tbl_assumptions_market[Concrete Intensity
(m³ / sq m BUA)],"",0)</f>
        <v>0.45</v>
      </c>
      <c r="L634" s="134">
        <f>ROUND(Market_Data[[#This Row],[Estimated Built Up Area (sq m)]]*Market_Data[[#This Row],[Concrete Intensity
(m³ / sq m)]],0)</f>
        <v>9450</v>
      </c>
      <c r="M634" s="135">
        <f>_xlfn.XLOOKUP(Market_Data[[#This Row],[District]],tbl_district_price[District],tbl_district_price[Standard Price
(INR/m³)],"",0)</f>
        <v>6200</v>
      </c>
      <c r="N634" s="364">
        <f>IF(OR(Market_Data[[#This Row],[Estimated Concrete Demand (m³)]]="",Market_Data[[#This Row],[Avg Price per (₹ / m³)]]=""),"",Market_Data[[#This Row],[Estimated Concrete Demand (m³)]]*Market_Data[[#This Row],[Avg Price per (₹ / m³)]]/10000000)</f>
        <v>5.859</v>
      </c>
      <c r="O634" s="97" t="str">
        <f>IF(Market_Data[[#This Row],[Estimated Concrete Demand (m³)]]="","",
IF(Market_Data[[#This Row],[Estimated Concrete Demand (m³)]]&lt;10000,"Small",
IF(Market_Data[[#This Row],[Estimated Concrete Demand (m³)]]&lt;25000,"Medium",
IF(Market_Data[[#This Row],[Estimated Concrete Demand (m³)]]&lt;100000,"Large","Mega"))))</f>
        <v>Small</v>
      </c>
      <c r="P634" s="287" t="str">
        <f t="shared" si="11"/>
        <v>GujRERA</v>
      </c>
    </row>
    <row r="635" spans="1:16">
      <c r="A635" s="129" t="str">
        <f>_xlfn.XLOOKUP(B635,$S$9:$S$14,$T$9:$T$14)&amp;"-"&amp;
IF(E635="Residential/Group Housing","RES",
IF(E635="Commercial","COM",
IF(E635="Mixed Development","MIX",
IF(E635="Plotted Development","PLT","OTH"))))
&amp;"-"&amp;TEXT(COUNTIFS($B$9:B635,B635,$E$9:E635,E635),"0000")</f>
        <v>SUR-RES-0119</v>
      </c>
      <c r="B635" s="322" t="s">
        <v>34</v>
      </c>
      <c r="C635" s="322" t="s">
        <v>34</v>
      </c>
      <c r="D635" s="323" t="s">
        <v>825</v>
      </c>
      <c r="E635" s="132" t="s">
        <v>24</v>
      </c>
      <c r="F635" s="97" t="str">
        <f ca="1">IF(OR(Market_Data[[#This Row],[Start Date]]="",Market_Data[[#This Row],[Completion Date]]=""),"Needs Validation",IF(Market_Data[[#This Row],[Start Date]]&gt;TODAY(),"Planned",IF(Market_Data[[#This Row],[Completion Date]]&lt;TODAY(),"Completed","Ongoing")))</f>
        <v>Ongoing</v>
      </c>
      <c r="G635" s="324">
        <v>45940</v>
      </c>
      <c r="H635" s="324">
        <v>48579</v>
      </c>
      <c r="I635" s="325">
        <v>25000</v>
      </c>
      <c r="J63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35" s="133">
        <f>_xlfn.XLOOKUP(Market_Data[[#This Row],[Project Type]],tbl_assumptions_market[Project Category (RERA)],tbl_assumptions_market[Concrete Intensity
(m³ / sq m BUA)],"",0)</f>
        <v>0.45</v>
      </c>
      <c r="L635" s="134">
        <f>ROUND(Market_Data[[#This Row],[Estimated Built Up Area (sq m)]]*Market_Data[[#This Row],[Concrete Intensity
(m³ / sq m)]],0)</f>
        <v>11250</v>
      </c>
      <c r="M635" s="135">
        <f>_xlfn.XLOOKUP(Market_Data[[#This Row],[District]],tbl_district_price[District],tbl_district_price[Standard Price
(INR/m³)],"",0)</f>
        <v>6200</v>
      </c>
      <c r="N635" s="364">
        <f>IF(OR(Market_Data[[#This Row],[Estimated Concrete Demand (m³)]]="",Market_Data[[#This Row],[Avg Price per (₹ / m³)]]=""),"",Market_Data[[#This Row],[Estimated Concrete Demand (m³)]]*Market_Data[[#This Row],[Avg Price per (₹ / m³)]]/10000000)</f>
        <v>6.9749999999999996</v>
      </c>
      <c r="O635" s="97" t="str">
        <f>IF(Market_Data[[#This Row],[Estimated Concrete Demand (m³)]]="","",
IF(Market_Data[[#This Row],[Estimated Concrete Demand (m³)]]&lt;10000,"Small",
IF(Market_Data[[#This Row],[Estimated Concrete Demand (m³)]]&lt;25000,"Medium",
IF(Market_Data[[#This Row],[Estimated Concrete Demand (m³)]]&lt;100000,"Large","Mega"))))</f>
        <v>Medium</v>
      </c>
      <c r="P635" s="287" t="str">
        <f t="shared" si="11"/>
        <v>GujRERA</v>
      </c>
    </row>
    <row r="636" spans="1:16">
      <c r="A636" s="129" t="str">
        <f>_xlfn.XLOOKUP(B636,$S$9:$S$14,$T$9:$T$14)&amp;"-"&amp;
IF(E636="Residential/Group Housing","RES",
IF(E636="Commercial","COM",
IF(E636="Mixed Development","MIX",
IF(E636="Plotted Development","PLT","OTH"))))
&amp;"-"&amp;TEXT(COUNTIFS($B$9:B636,B636,$E$9:E636,E636),"0000")</f>
        <v>SUR-COM-0057</v>
      </c>
      <c r="B636" s="322" t="s">
        <v>34</v>
      </c>
      <c r="C636" s="322" t="s">
        <v>34</v>
      </c>
      <c r="D636" s="323" t="s">
        <v>826</v>
      </c>
      <c r="E636" s="132" t="s">
        <v>23</v>
      </c>
      <c r="F636" s="97" t="str">
        <f ca="1">IF(OR(Market_Data[[#This Row],[Start Date]]="",Market_Data[[#This Row],[Completion Date]]=""),"Needs Validation",IF(Market_Data[[#This Row],[Start Date]]&gt;TODAY(),"Planned",IF(Market_Data[[#This Row],[Completion Date]]&lt;TODAY(),"Completed","Ongoing")))</f>
        <v>Completed</v>
      </c>
      <c r="G636" s="324">
        <v>42695</v>
      </c>
      <c r="H636" s="324">
        <v>43646</v>
      </c>
      <c r="I636" s="325">
        <v>52400</v>
      </c>
      <c r="J63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636" s="133">
        <f>_xlfn.XLOOKUP(Market_Data[[#This Row],[Project Type]],tbl_assumptions_market[Project Category (RERA)],tbl_assumptions_market[Concrete Intensity
(m³ / sq m BUA)],"",0)</f>
        <v>0.5</v>
      </c>
      <c r="L636" s="134">
        <f>ROUND(Market_Data[[#This Row],[Estimated Built Up Area (sq m)]]*Market_Data[[#This Row],[Concrete Intensity
(m³ / sq m)]],0)</f>
        <v>26200</v>
      </c>
      <c r="M636" s="135">
        <f>_xlfn.XLOOKUP(Market_Data[[#This Row],[District]],tbl_district_price[District],tbl_district_price[Standard Price
(INR/m³)],"",0)</f>
        <v>6200</v>
      </c>
      <c r="N636" s="364">
        <f>IF(OR(Market_Data[[#This Row],[Estimated Concrete Demand (m³)]]="",Market_Data[[#This Row],[Avg Price per (₹ / m³)]]=""),"",Market_Data[[#This Row],[Estimated Concrete Demand (m³)]]*Market_Data[[#This Row],[Avg Price per (₹ / m³)]]/10000000)</f>
        <v>16.244</v>
      </c>
      <c r="O636" s="97" t="str">
        <f>IF(Market_Data[[#This Row],[Estimated Concrete Demand (m³)]]="","",
IF(Market_Data[[#This Row],[Estimated Concrete Demand (m³)]]&lt;10000,"Small",
IF(Market_Data[[#This Row],[Estimated Concrete Demand (m³)]]&lt;25000,"Medium",
IF(Market_Data[[#This Row],[Estimated Concrete Demand (m³)]]&lt;100000,"Large","Mega"))))</f>
        <v>Large</v>
      </c>
      <c r="P636" s="287" t="str">
        <f t="shared" si="11"/>
        <v>GujRERA</v>
      </c>
    </row>
    <row r="637" spans="1:16">
      <c r="A637" s="129" t="str">
        <f>_xlfn.XLOOKUP(B637,$S$9:$S$14,$T$9:$T$14)&amp;"-"&amp;
IF(E637="Residential/Group Housing","RES",
IF(E637="Commercial","COM",
IF(E637="Mixed Development","MIX",
IF(E637="Plotted Development","PLT","OTH"))))
&amp;"-"&amp;TEXT(COUNTIFS($B$9:B637,B637,$E$9:E637,E637),"0000")</f>
        <v>SUR-PLT-0081</v>
      </c>
      <c r="B637" s="322" t="s">
        <v>34</v>
      </c>
      <c r="C637" s="322" t="s">
        <v>34</v>
      </c>
      <c r="D637" s="323" t="s">
        <v>827</v>
      </c>
      <c r="E637" s="132" t="s">
        <v>26</v>
      </c>
      <c r="F637" s="97" t="str">
        <f ca="1">IF(OR(Market_Data[[#This Row],[Start Date]]="",Market_Data[[#This Row],[Completion Date]]=""),"Needs Validation",IF(Market_Data[[#This Row],[Start Date]]&gt;TODAY(),"Planned",IF(Market_Data[[#This Row],[Completion Date]]&lt;TODAY(),"Completed","Ongoing")))</f>
        <v>Ongoing</v>
      </c>
      <c r="G637" s="324">
        <v>45892</v>
      </c>
      <c r="H637" s="324">
        <v>47118</v>
      </c>
      <c r="I637" s="325">
        <v>43200</v>
      </c>
      <c r="J63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637" s="133">
        <f>_xlfn.XLOOKUP(Market_Data[[#This Row],[Project Type]],tbl_assumptions_market[Project Category (RERA)],tbl_assumptions_market[Concrete Intensity
(m³ / sq m BUA)],"",0)</f>
        <v>0.18</v>
      </c>
      <c r="L637" s="134">
        <f>ROUND(Market_Data[[#This Row],[Estimated Built Up Area (sq m)]]*Market_Data[[#This Row],[Concrete Intensity
(m³ / sq m)]],0)</f>
        <v>7776</v>
      </c>
      <c r="M637" s="135">
        <f>_xlfn.XLOOKUP(Market_Data[[#This Row],[District]],tbl_district_price[District],tbl_district_price[Standard Price
(INR/m³)],"",0)</f>
        <v>6200</v>
      </c>
      <c r="N637" s="364">
        <f>IF(OR(Market_Data[[#This Row],[Estimated Concrete Demand (m³)]]="",Market_Data[[#This Row],[Avg Price per (₹ / m³)]]=""),"",Market_Data[[#This Row],[Estimated Concrete Demand (m³)]]*Market_Data[[#This Row],[Avg Price per (₹ / m³)]]/10000000)</f>
        <v>4.8211199999999996</v>
      </c>
      <c r="O637" s="97" t="str">
        <f>IF(Market_Data[[#This Row],[Estimated Concrete Demand (m³)]]="","",
IF(Market_Data[[#This Row],[Estimated Concrete Demand (m³)]]&lt;10000,"Small",
IF(Market_Data[[#This Row],[Estimated Concrete Demand (m³)]]&lt;25000,"Medium",
IF(Market_Data[[#This Row],[Estimated Concrete Demand (m³)]]&lt;100000,"Large","Mega"))))</f>
        <v>Small</v>
      </c>
      <c r="P637" s="287" t="str">
        <f t="shared" si="11"/>
        <v>GujRERA</v>
      </c>
    </row>
    <row r="638" spans="1:16">
      <c r="A638" s="129" t="str">
        <f>_xlfn.XLOOKUP(B638,$S$9:$S$14,$T$9:$T$14)&amp;"-"&amp;
IF(E638="Residential/Group Housing","RES",
IF(E638="Commercial","COM",
IF(E638="Mixed Development","MIX",
IF(E638="Plotted Development","PLT","OTH"))))
&amp;"-"&amp;TEXT(COUNTIFS($B$9:B638,B638,$E$9:E638,E638),"0000")</f>
        <v>SUR-PLT-0082</v>
      </c>
      <c r="B638" s="322" t="s">
        <v>34</v>
      </c>
      <c r="C638" s="322" t="s">
        <v>34</v>
      </c>
      <c r="D638" s="323" t="s">
        <v>828</v>
      </c>
      <c r="E638" s="132" t="s">
        <v>26</v>
      </c>
      <c r="F638" s="97" t="str">
        <f ca="1">IF(OR(Market_Data[[#This Row],[Start Date]]="",Market_Data[[#This Row],[Completion Date]]=""),"Needs Validation",IF(Market_Data[[#This Row],[Start Date]]&gt;TODAY(),"Planned",IF(Market_Data[[#This Row],[Completion Date]]&lt;TODAY(),"Completed","Ongoing")))</f>
        <v>Completed</v>
      </c>
      <c r="G638" s="324">
        <v>42644</v>
      </c>
      <c r="H638" s="324">
        <v>45017</v>
      </c>
      <c r="I638" s="325">
        <v>45700</v>
      </c>
      <c r="J63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638" s="133">
        <f>_xlfn.XLOOKUP(Market_Data[[#This Row],[Project Type]],tbl_assumptions_market[Project Category (RERA)],tbl_assumptions_market[Concrete Intensity
(m³ / sq m BUA)],"",0)</f>
        <v>0.18</v>
      </c>
      <c r="L638" s="134">
        <f>ROUND(Market_Data[[#This Row],[Estimated Built Up Area (sq m)]]*Market_Data[[#This Row],[Concrete Intensity
(m³ / sq m)]],0)</f>
        <v>8226</v>
      </c>
      <c r="M638" s="135">
        <f>_xlfn.XLOOKUP(Market_Data[[#This Row],[District]],tbl_district_price[District],tbl_district_price[Standard Price
(INR/m³)],"",0)</f>
        <v>6200</v>
      </c>
      <c r="N638" s="364">
        <f>IF(OR(Market_Data[[#This Row],[Estimated Concrete Demand (m³)]]="",Market_Data[[#This Row],[Avg Price per (₹ / m³)]]=""),"",Market_Data[[#This Row],[Estimated Concrete Demand (m³)]]*Market_Data[[#This Row],[Avg Price per (₹ / m³)]]/10000000)</f>
        <v>5.1001200000000004</v>
      </c>
      <c r="O638" s="97" t="str">
        <f>IF(Market_Data[[#This Row],[Estimated Concrete Demand (m³)]]="","",
IF(Market_Data[[#This Row],[Estimated Concrete Demand (m³)]]&lt;10000,"Small",
IF(Market_Data[[#This Row],[Estimated Concrete Demand (m³)]]&lt;25000,"Medium",
IF(Market_Data[[#This Row],[Estimated Concrete Demand (m³)]]&lt;100000,"Large","Mega"))))</f>
        <v>Small</v>
      </c>
      <c r="P638" s="287" t="str">
        <f t="shared" si="11"/>
        <v>GujRERA</v>
      </c>
    </row>
    <row r="639" spans="1:16">
      <c r="A639" s="129" t="str">
        <f>_xlfn.XLOOKUP(B639,$S$9:$S$14,$T$9:$T$14)&amp;"-"&amp;
IF(E639="Residential/Group Housing","RES",
IF(E639="Commercial","COM",
IF(E639="Mixed Development","MIX",
IF(E639="Plotted Development","PLT","OTH"))))
&amp;"-"&amp;TEXT(COUNTIFS($B$9:B639,B639,$E$9:E639,E639),"0000")</f>
        <v>SUR-COM-0058</v>
      </c>
      <c r="B639" s="322" t="s">
        <v>34</v>
      </c>
      <c r="C639" s="322" t="s">
        <v>34</v>
      </c>
      <c r="D639" s="323" t="s">
        <v>829</v>
      </c>
      <c r="E639" s="132" t="s">
        <v>23</v>
      </c>
      <c r="F639" s="97" t="str">
        <f ca="1">IF(OR(Market_Data[[#This Row],[Start Date]]="",Market_Data[[#This Row],[Completion Date]]=""),"Needs Validation",IF(Market_Data[[#This Row],[Start Date]]&gt;TODAY(),"Planned",IF(Market_Data[[#This Row],[Completion Date]]&lt;TODAY(),"Completed","Ongoing")))</f>
        <v>Ongoing</v>
      </c>
      <c r="G639" s="324">
        <v>45381</v>
      </c>
      <c r="H639" s="324">
        <v>47118</v>
      </c>
      <c r="I639" s="325">
        <v>9700</v>
      </c>
      <c r="J63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39" s="133">
        <f>_xlfn.XLOOKUP(Market_Data[[#This Row],[Project Type]],tbl_assumptions_market[Project Category (RERA)],tbl_assumptions_market[Concrete Intensity
(m³ / sq m BUA)],"",0)</f>
        <v>0.5</v>
      </c>
      <c r="L639" s="134">
        <f>ROUND(Market_Data[[#This Row],[Estimated Built Up Area (sq m)]]*Market_Data[[#This Row],[Concrete Intensity
(m³ / sq m)]],0)</f>
        <v>4850</v>
      </c>
      <c r="M639" s="135">
        <f>_xlfn.XLOOKUP(Market_Data[[#This Row],[District]],tbl_district_price[District],tbl_district_price[Standard Price
(INR/m³)],"",0)</f>
        <v>6200</v>
      </c>
      <c r="N639" s="364">
        <f>IF(OR(Market_Data[[#This Row],[Estimated Concrete Demand (m³)]]="",Market_Data[[#This Row],[Avg Price per (₹ / m³)]]=""),"",Market_Data[[#This Row],[Estimated Concrete Demand (m³)]]*Market_Data[[#This Row],[Avg Price per (₹ / m³)]]/10000000)</f>
        <v>3.0070000000000001</v>
      </c>
      <c r="O639" s="97" t="str">
        <f>IF(Market_Data[[#This Row],[Estimated Concrete Demand (m³)]]="","",
IF(Market_Data[[#This Row],[Estimated Concrete Demand (m³)]]&lt;10000,"Small",
IF(Market_Data[[#This Row],[Estimated Concrete Demand (m³)]]&lt;25000,"Medium",
IF(Market_Data[[#This Row],[Estimated Concrete Demand (m³)]]&lt;100000,"Large","Mega"))))</f>
        <v>Small</v>
      </c>
      <c r="P639" s="287" t="str">
        <f t="shared" si="11"/>
        <v>GujRERA</v>
      </c>
    </row>
    <row r="640" spans="1:16">
      <c r="A640" s="129" t="str">
        <f>_xlfn.XLOOKUP(B640,$S$9:$S$14,$T$9:$T$14)&amp;"-"&amp;
IF(E640="Residential/Group Housing","RES",
IF(E640="Commercial","COM",
IF(E640="Mixed Development","MIX",
IF(E640="Plotted Development","PLT","OTH"))))
&amp;"-"&amp;TEXT(COUNTIFS($B$9:B640,B640,$E$9:E640,E640),"0000")</f>
        <v>SUR-MIX-0063</v>
      </c>
      <c r="B640" s="322" t="s">
        <v>34</v>
      </c>
      <c r="C640" s="322" t="s">
        <v>34</v>
      </c>
      <c r="D640" s="323" t="s">
        <v>830</v>
      </c>
      <c r="E640" s="132" t="s">
        <v>25</v>
      </c>
      <c r="F640" s="97" t="str">
        <f ca="1">IF(OR(Market_Data[[#This Row],[Start Date]]="",Market_Data[[#This Row],[Completion Date]]=""),"Needs Validation",IF(Market_Data[[#This Row],[Start Date]]&gt;TODAY(),"Planned",IF(Market_Data[[#This Row],[Completion Date]]&lt;TODAY(),"Completed","Ongoing")))</f>
        <v>Completed</v>
      </c>
      <c r="G640" s="324">
        <v>43516</v>
      </c>
      <c r="H640" s="324">
        <v>45432</v>
      </c>
      <c r="I640" s="325">
        <v>103200</v>
      </c>
      <c r="J64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40" s="133">
        <f>_xlfn.XLOOKUP(Market_Data[[#This Row],[Project Type]],tbl_assumptions_market[Project Category (RERA)],tbl_assumptions_market[Concrete Intensity
(m³ / sq m BUA)],"",0)</f>
        <v>0.42</v>
      </c>
      <c r="L640" s="134">
        <f>ROUND(Market_Data[[#This Row],[Estimated Built Up Area (sq m)]]*Market_Data[[#This Row],[Concrete Intensity
(m³ / sq m)]],0)</f>
        <v>43344</v>
      </c>
      <c r="M640" s="135">
        <f>_xlfn.XLOOKUP(Market_Data[[#This Row],[District]],tbl_district_price[District],tbl_district_price[Standard Price
(INR/m³)],"",0)</f>
        <v>6200</v>
      </c>
      <c r="N640" s="364">
        <f>IF(OR(Market_Data[[#This Row],[Estimated Concrete Demand (m³)]]="",Market_Data[[#This Row],[Avg Price per (₹ / m³)]]=""),"",Market_Data[[#This Row],[Estimated Concrete Demand (m³)]]*Market_Data[[#This Row],[Avg Price per (₹ / m³)]]/10000000)</f>
        <v>26.873280000000001</v>
      </c>
      <c r="O640" s="97" t="str">
        <f>IF(Market_Data[[#This Row],[Estimated Concrete Demand (m³)]]="","",
IF(Market_Data[[#This Row],[Estimated Concrete Demand (m³)]]&lt;10000,"Small",
IF(Market_Data[[#This Row],[Estimated Concrete Demand (m³)]]&lt;25000,"Medium",
IF(Market_Data[[#This Row],[Estimated Concrete Demand (m³)]]&lt;100000,"Large","Mega"))))</f>
        <v>Large</v>
      </c>
      <c r="P640" s="287" t="str">
        <f t="shared" si="11"/>
        <v>GujRERA</v>
      </c>
    </row>
    <row r="641" spans="1:16">
      <c r="A641" s="129" t="str">
        <f>_xlfn.XLOOKUP(B641,$S$9:$S$14,$T$9:$T$14)&amp;"-"&amp;
IF(E641="Residential/Group Housing","RES",
IF(E641="Commercial","COM",
IF(E641="Mixed Development","MIX",
IF(E641="Plotted Development","PLT","OTH"))))
&amp;"-"&amp;TEXT(COUNTIFS($B$9:B641,B641,$E$9:E641,E641),"0000")</f>
        <v>SUR-RES-0120</v>
      </c>
      <c r="B641" s="322" t="s">
        <v>34</v>
      </c>
      <c r="C641" s="322" t="s">
        <v>34</v>
      </c>
      <c r="D641" s="323" t="s">
        <v>831</v>
      </c>
      <c r="E641" s="132" t="s">
        <v>24</v>
      </c>
      <c r="F641" s="97" t="str">
        <f ca="1">IF(OR(Market_Data[[#This Row],[Start Date]]="",Market_Data[[#This Row],[Completion Date]]=""),"Needs Validation",IF(Market_Data[[#This Row],[Start Date]]&gt;TODAY(),"Planned",IF(Market_Data[[#This Row],[Completion Date]]&lt;TODAY(),"Completed","Ongoing")))</f>
        <v>Completed</v>
      </c>
      <c r="G641" s="324">
        <v>41369</v>
      </c>
      <c r="H641" s="324">
        <v>44104</v>
      </c>
      <c r="I641" s="325">
        <v>49600</v>
      </c>
      <c r="J64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41" s="133">
        <f>_xlfn.XLOOKUP(Market_Data[[#This Row],[Project Type]],tbl_assumptions_market[Project Category (RERA)],tbl_assumptions_market[Concrete Intensity
(m³ / sq m BUA)],"",0)</f>
        <v>0.45</v>
      </c>
      <c r="L641" s="134">
        <f>ROUND(Market_Data[[#This Row],[Estimated Built Up Area (sq m)]]*Market_Data[[#This Row],[Concrete Intensity
(m³ / sq m)]],0)</f>
        <v>22320</v>
      </c>
      <c r="M641" s="135">
        <f>_xlfn.XLOOKUP(Market_Data[[#This Row],[District]],tbl_district_price[District],tbl_district_price[Standard Price
(INR/m³)],"",0)</f>
        <v>6200</v>
      </c>
      <c r="N641" s="364">
        <f>IF(OR(Market_Data[[#This Row],[Estimated Concrete Demand (m³)]]="",Market_Data[[#This Row],[Avg Price per (₹ / m³)]]=""),"",Market_Data[[#This Row],[Estimated Concrete Demand (m³)]]*Market_Data[[#This Row],[Avg Price per (₹ / m³)]]/10000000)</f>
        <v>13.8384</v>
      </c>
      <c r="O641" s="97" t="str">
        <f>IF(Market_Data[[#This Row],[Estimated Concrete Demand (m³)]]="","",
IF(Market_Data[[#This Row],[Estimated Concrete Demand (m³)]]&lt;10000,"Small",
IF(Market_Data[[#This Row],[Estimated Concrete Demand (m³)]]&lt;25000,"Medium",
IF(Market_Data[[#This Row],[Estimated Concrete Demand (m³)]]&lt;100000,"Large","Mega"))))</f>
        <v>Medium</v>
      </c>
      <c r="P641" s="287" t="str">
        <f t="shared" si="11"/>
        <v>GujRERA</v>
      </c>
    </row>
    <row r="642" spans="1:16">
      <c r="A642" s="129" t="str">
        <f>_xlfn.XLOOKUP(B642,$S$9:$S$14,$T$9:$T$14)&amp;"-"&amp;
IF(E642="Residential/Group Housing","RES",
IF(E642="Commercial","COM",
IF(E642="Mixed Development","MIX",
IF(E642="Plotted Development","PLT","OTH"))))
&amp;"-"&amp;TEXT(COUNTIFS($B$9:B642,B642,$E$9:E642,E642),"0000")</f>
        <v>SUR-RES-0121</v>
      </c>
      <c r="B642" s="322" t="s">
        <v>34</v>
      </c>
      <c r="C642" s="322" t="s">
        <v>34</v>
      </c>
      <c r="D642" s="323" t="s">
        <v>832</v>
      </c>
      <c r="E642" s="132" t="s">
        <v>24</v>
      </c>
      <c r="F642" s="97" t="str">
        <f ca="1">IF(OR(Market_Data[[#This Row],[Start Date]]="",Market_Data[[#This Row],[Completion Date]]=""),"Needs Validation",IF(Market_Data[[#This Row],[Start Date]]&gt;TODAY(),"Planned",IF(Market_Data[[#This Row],[Completion Date]]&lt;TODAY(),"Completed","Ongoing")))</f>
        <v>Ongoing</v>
      </c>
      <c r="G642" s="324">
        <v>44855</v>
      </c>
      <c r="H642" s="324">
        <v>46295</v>
      </c>
      <c r="I642" s="325">
        <v>27400</v>
      </c>
      <c r="J64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42" s="133">
        <f>_xlfn.XLOOKUP(Market_Data[[#This Row],[Project Type]],tbl_assumptions_market[Project Category (RERA)],tbl_assumptions_market[Concrete Intensity
(m³ / sq m BUA)],"",0)</f>
        <v>0.45</v>
      </c>
      <c r="L642" s="134">
        <f>ROUND(Market_Data[[#This Row],[Estimated Built Up Area (sq m)]]*Market_Data[[#This Row],[Concrete Intensity
(m³ / sq m)]],0)</f>
        <v>12330</v>
      </c>
      <c r="M642" s="135">
        <f>_xlfn.XLOOKUP(Market_Data[[#This Row],[District]],tbl_district_price[District],tbl_district_price[Standard Price
(INR/m³)],"",0)</f>
        <v>6200</v>
      </c>
      <c r="N642" s="364">
        <f>IF(OR(Market_Data[[#This Row],[Estimated Concrete Demand (m³)]]="",Market_Data[[#This Row],[Avg Price per (₹ / m³)]]=""),"",Market_Data[[#This Row],[Estimated Concrete Demand (m³)]]*Market_Data[[#This Row],[Avg Price per (₹ / m³)]]/10000000)</f>
        <v>7.6445999999999996</v>
      </c>
      <c r="O642" s="97" t="str">
        <f>IF(Market_Data[[#This Row],[Estimated Concrete Demand (m³)]]="","",
IF(Market_Data[[#This Row],[Estimated Concrete Demand (m³)]]&lt;10000,"Small",
IF(Market_Data[[#This Row],[Estimated Concrete Demand (m³)]]&lt;25000,"Medium",
IF(Market_Data[[#This Row],[Estimated Concrete Demand (m³)]]&lt;100000,"Large","Mega"))))</f>
        <v>Medium</v>
      </c>
      <c r="P642" s="287" t="str">
        <f t="shared" si="11"/>
        <v>GujRERA</v>
      </c>
    </row>
    <row r="643" spans="1:16">
      <c r="A643" s="129" t="str">
        <f>_xlfn.XLOOKUP(B643,$S$9:$S$14,$T$9:$T$14)&amp;"-"&amp;
IF(E643="Residential/Group Housing","RES",
IF(E643="Commercial","COM",
IF(E643="Mixed Development","MIX",
IF(E643="Plotted Development","PLT","OTH"))))
&amp;"-"&amp;TEXT(COUNTIFS($B$9:B643,B643,$E$9:E643,E643),"0000")</f>
        <v>SUR-RES-0122</v>
      </c>
      <c r="B643" s="322" t="s">
        <v>34</v>
      </c>
      <c r="C643" s="322" t="s">
        <v>34</v>
      </c>
      <c r="D643" s="323" t="s">
        <v>833</v>
      </c>
      <c r="E643" s="132" t="s">
        <v>24</v>
      </c>
      <c r="F643" s="97" t="str">
        <f ca="1">IF(OR(Market_Data[[#This Row],[Start Date]]="",Market_Data[[#This Row],[Completion Date]]=""),"Needs Validation",IF(Market_Data[[#This Row],[Start Date]]&gt;TODAY(),"Planned",IF(Market_Data[[#This Row],[Completion Date]]&lt;TODAY(),"Completed","Ongoing")))</f>
        <v>Ongoing</v>
      </c>
      <c r="G643" s="324">
        <v>45146</v>
      </c>
      <c r="H643" s="324">
        <v>47483</v>
      </c>
      <c r="I643" s="325">
        <v>54100</v>
      </c>
      <c r="J64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43" s="133">
        <f>_xlfn.XLOOKUP(Market_Data[[#This Row],[Project Type]],tbl_assumptions_market[Project Category (RERA)],tbl_assumptions_market[Concrete Intensity
(m³ / sq m BUA)],"",0)</f>
        <v>0.45</v>
      </c>
      <c r="L643" s="134">
        <f>ROUND(Market_Data[[#This Row],[Estimated Built Up Area (sq m)]]*Market_Data[[#This Row],[Concrete Intensity
(m³ / sq m)]],0)</f>
        <v>24345</v>
      </c>
      <c r="M643" s="135">
        <f>_xlfn.XLOOKUP(Market_Data[[#This Row],[District]],tbl_district_price[District],tbl_district_price[Standard Price
(INR/m³)],"",0)</f>
        <v>6200</v>
      </c>
      <c r="N643" s="364">
        <f>IF(OR(Market_Data[[#This Row],[Estimated Concrete Demand (m³)]]="",Market_Data[[#This Row],[Avg Price per (₹ / m³)]]=""),"",Market_Data[[#This Row],[Estimated Concrete Demand (m³)]]*Market_Data[[#This Row],[Avg Price per (₹ / m³)]]/10000000)</f>
        <v>15.0939</v>
      </c>
      <c r="O643" s="97" t="str">
        <f>IF(Market_Data[[#This Row],[Estimated Concrete Demand (m³)]]="","",
IF(Market_Data[[#This Row],[Estimated Concrete Demand (m³)]]&lt;10000,"Small",
IF(Market_Data[[#This Row],[Estimated Concrete Demand (m³)]]&lt;25000,"Medium",
IF(Market_Data[[#This Row],[Estimated Concrete Demand (m³)]]&lt;100000,"Large","Mega"))))</f>
        <v>Medium</v>
      </c>
      <c r="P643" s="287" t="str">
        <f t="shared" si="11"/>
        <v>GujRERA</v>
      </c>
    </row>
    <row r="644" spans="1:16">
      <c r="A644" s="129" t="str">
        <f>_xlfn.XLOOKUP(B644,$S$9:$S$14,$T$9:$T$14)&amp;"-"&amp;
IF(E644="Residential/Group Housing","RES",
IF(E644="Commercial","COM",
IF(E644="Mixed Development","MIX",
IF(E644="Plotted Development","PLT","OTH"))))
&amp;"-"&amp;TEXT(COUNTIFS($B$9:B644,B644,$E$9:E644,E644),"0000")</f>
        <v>SUR-COM-0059</v>
      </c>
      <c r="B644" s="322" t="s">
        <v>34</v>
      </c>
      <c r="C644" s="322" t="s">
        <v>34</v>
      </c>
      <c r="D644" s="323" t="s">
        <v>834</v>
      </c>
      <c r="E644" s="132" t="s">
        <v>23</v>
      </c>
      <c r="F644" s="97" t="str">
        <f ca="1">IF(OR(Market_Data[[#This Row],[Start Date]]="",Market_Data[[#This Row],[Completion Date]]=""),"Needs Validation",IF(Market_Data[[#This Row],[Start Date]]&gt;TODAY(),"Planned",IF(Market_Data[[#This Row],[Completion Date]]&lt;TODAY(),"Completed","Ongoing")))</f>
        <v>Completed</v>
      </c>
      <c r="G644" s="324">
        <v>44923</v>
      </c>
      <c r="H644" s="324">
        <v>46022</v>
      </c>
      <c r="I644" s="325">
        <v>11800</v>
      </c>
      <c r="J64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44" s="133">
        <f>_xlfn.XLOOKUP(Market_Data[[#This Row],[Project Type]],tbl_assumptions_market[Project Category (RERA)],tbl_assumptions_market[Concrete Intensity
(m³ / sq m BUA)],"",0)</f>
        <v>0.5</v>
      </c>
      <c r="L644" s="134">
        <f>ROUND(Market_Data[[#This Row],[Estimated Built Up Area (sq m)]]*Market_Data[[#This Row],[Concrete Intensity
(m³ / sq m)]],0)</f>
        <v>5900</v>
      </c>
      <c r="M644" s="135">
        <f>_xlfn.XLOOKUP(Market_Data[[#This Row],[District]],tbl_district_price[District],tbl_district_price[Standard Price
(INR/m³)],"",0)</f>
        <v>6200</v>
      </c>
      <c r="N644" s="364">
        <f>IF(OR(Market_Data[[#This Row],[Estimated Concrete Demand (m³)]]="",Market_Data[[#This Row],[Avg Price per (₹ / m³)]]=""),"",Market_Data[[#This Row],[Estimated Concrete Demand (m³)]]*Market_Data[[#This Row],[Avg Price per (₹ / m³)]]/10000000)</f>
        <v>3.6579999999999999</v>
      </c>
      <c r="O644" s="97" t="str">
        <f>IF(Market_Data[[#This Row],[Estimated Concrete Demand (m³)]]="","",
IF(Market_Data[[#This Row],[Estimated Concrete Demand (m³)]]&lt;10000,"Small",
IF(Market_Data[[#This Row],[Estimated Concrete Demand (m³)]]&lt;25000,"Medium",
IF(Market_Data[[#This Row],[Estimated Concrete Demand (m³)]]&lt;100000,"Large","Mega"))))</f>
        <v>Small</v>
      </c>
      <c r="P644" s="287" t="str">
        <f t="shared" si="11"/>
        <v>GujRERA</v>
      </c>
    </row>
    <row r="645" spans="1:16">
      <c r="A645" s="129" t="str">
        <f>_xlfn.XLOOKUP(B645,$S$9:$S$14,$T$9:$T$14)&amp;"-"&amp;
IF(E645="Residential/Group Housing","RES",
IF(E645="Commercial","COM",
IF(E645="Mixed Development","MIX",
IF(E645="Plotted Development","PLT","OTH"))))
&amp;"-"&amp;TEXT(COUNTIFS($B$9:B645,B645,$E$9:E645,E645),"0000")</f>
        <v>SUR-PLT-0083</v>
      </c>
      <c r="B645" s="322" t="s">
        <v>34</v>
      </c>
      <c r="C645" s="322" t="s">
        <v>34</v>
      </c>
      <c r="D645" s="323" t="s">
        <v>835</v>
      </c>
      <c r="E645" s="132" t="s">
        <v>26</v>
      </c>
      <c r="F645" s="97" t="str">
        <f ca="1">IF(OR(Market_Data[[#This Row],[Start Date]]="",Market_Data[[#This Row],[Completion Date]]=""),"Needs Validation",IF(Market_Data[[#This Row],[Start Date]]&gt;TODAY(),"Planned",IF(Market_Data[[#This Row],[Completion Date]]&lt;TODAY(),"Completed","Ongoing")))</f>
        <v>Ongoing</v>
      </c>
      <c r="G645" s="324">
        <v>45594</v>
      </c>
      <c r="H645" s="324">
        <v>46752</v>
      </c>
      <c r="I645" s="325">
        <v>57300</v>
      </c>
      <c r="J64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645" s="133">
        <f>_xlfn.XLOOKUP(Market_Data[[#This Row],[Project Type]],tbl_assumptions_market[Project Category (RERA)],tbl_assumptions_market[Concrete Intensity
(m³ / sq m BUA)],"",0)</f>
        <v>0.18</v>
      </c>
      <c r="L645" s="134">
        <f>ROUND(Market_Data[[#This Row],[Estimated Built Up Area (sq m)]]*Market_Data[[#This Row],[Concrete Intensity
(m³ / sq m)]],0)</f>
        <v>10314</v>
      </c>
      <c r="M645" s="135">
        <f>_xlfn.XLOOKUP(Market_Data[[#This Row],[District]],tbl_district_price[District],tbl_district_price[Standard Price
(INR/m³)],"",0)</f>
        <v>6200</v>
      </c>
      <c r="N645" s="364">
        <f>IF(OR(Market_Data[[#This Row],[Estimated Concrete Demand (m³)]]="",Market_Data[[#This Row],[Avg Price per (₹ / m³)]]=""),"",Market_Data[[#This Row],[Estimated Concrete Demand (m³)]]*Market_Data[[#This Row],[Avg Price per (₹ / m³)]]/10000000)</f>
        <v>6.3946800000000001</v>
      </c>
      <c r="O645" s="97" t="str">
        <f>IF(Market_Data[[#This Row],[Estimated Concrete Demand (m³)]]="","",
IF(Market_Data[[#This Row],[Estimated Concrete Demand (m³)]]&lt;10000,"Small",
IF(Market_Data[[#This Row],[Estimated Concrete Demand (m³)]]&lt;25000,"Medium",
IF(Market_Data[[#This Row],[Estimated Concrete Demand (m³)]]&lt;100000,"Large","Mega"))))</f>
        <v>Medium</v>
      </c>
      <c r="P645" s="287" t="str">
        <f t="shared" si="11"/>
        <v>GujRERA</v>
      </c>
    </row>
    <row r="646" spans="1:16">
      <c r="A646" s="129" t="str">
        <f>_xlfn.XLOOKUP(B646,$S$9:$S$14,$T$9:$T$14)&amp;"-"&amp;
IF(E646="Residential/Group Housing","RES",
IF(E646="Commercial","COM",
IF(E646="Mixed Development","MIX",
IF(E646="Plotted Development","PLT","OTH"))))
&amp;"-"&amp;TEXT(COUNTIFS($B$9:B646,B646,$E$9:E646,E646),"0000")</f>
        <v>SUR-RES-0123</v>
      </c>
      <c r="B646" s="322" t="s">
        <v>34</v>
      </c>
      <c r="C646" s="322" t="s">
        <v>34</v>
      </c>
      <c r="D646" s="323" t="s">
        <v>836</v>
      </c>
      <c r="E646" s="132" t="s">
        <v>24</v>
      </c>
      <c r="F646" s="97" t="str">
        <f ca="1">IF(OR(Market_Data[[#This Row],[Start Date]]="",Market_Data[[#This Row],[Completion Date]]=""),"Needs Validation",IF(Market_Data[[#This Row],[Start Date]]&gt;TODAY(),"Planned",IF(Market_Data[[#This Row],[Completion Date]]&lt;TODAY(),"Completed","Ongoing")))</f>
        <v>Completed</v>
      </c>
      <c r="G646" s="324">
        <v>43003</v>
      </c>
      <c r="H646" s="324">
        <v>44279</v>
      </c>
      <c r="I646" s="325">
        <v>37100</v>
      </c>
      <c r="J64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46" s="133">
        <f>_xlfn.XLOOKUP(Market_Data[[#This Row],[Project Type]],tbl_assumptions_market[Project Category (RERA)],tbl_assumptions_market[Concrete Intensity
(m³ / sq m BUA)],"",0)</f>
        <v>0.45</v>
      </c>
      <c r="L646" s="134">
        <f>ROUND(Market_Data[[#This Row],[Estimated Built Up Area (sq m)]]*Market_Data[[#This Row],[Concrete Intensity
(m³ / sq m)]],0)</f>
        <v>16695</v>
      </c>
      <c r="M646" s="135">
        <f>_xlfn.XLOOKUP(Market_Data[[#This Row],[District]],tbl_district_price[District],tbl_district_price[Standard Price
(INR/m³)],"",0)</f>
        <v>6200</v>
      </c>
      <c r="N646" s="364">
        <f>IF(OR(Market_Data[[#This Row],[Estimated Concrete Demand (m³)]]="",Market_Data[[#This Row],[Avg Price per (₹ / m³)]]=""),"",Market_Data[[#This Row],[Estimated Concrete Demand (m³)]]*Market_Data[[#This Row],[Avg Price per (₹ / m³)]]/10000000)</f>
        <v>10.350899999999999</v>
      </c>
      <c r="O646" s="97" t="str">
        <f>IF(Market_Data[[#This Row],[Estimated Concrete Demand (m³)]]="","",
IF(Market_Data[[#This Row],[Estimated Concrete Demand (m³)]]&lt;10000,"Small",
IF(Market_Data[[#This Row],[Estimated Concrete Demand (m³)]]&lt;25000,"Medium",
IF(Market_Data[[#This Row],[Estimated Concrete Demand (m³)]]&lt;100000,"Large","Mega"))))</f>
        <v>Medium</v>
      </c>
      <c r="P646" s="287" t="str">
        <f t="shared" si="11"/>
        <v>GujRERA</v>
      </c>
    </row>
    <row r="647" spans="1:16">
      <c r="A647" s="129" t="str">
        <f>_xlfn.XLOOKUP(B647,$S$9:$S$14,$T$9:$T$14)&amp;"-"&amp;
IF(E647="Residential/Group Housing","RES",
IF(E647="Commercial","COM",
IF(E647="Mixed Development","MIX",
IF(E647="Plotted Development","PLT","OTH"))))
&amp;"-"&amp;TEXT(COUNTIFS($B$9:B647,B647,$E$9:E647,E647),"0000")</f>
        <v>SUR-RES-0124</v>
      </c>
      <c r="B647" s="322" t="s">
        <v>34</v>
      </c>
      <c r="C647" s="322" t="s">
        <v>34</v>
      </c>
      <c r="D647" s="323" t="s">
        <v>837</v>
      </c>
      <c r="E647" s="132" t="s">
        <v>24</v>
      </c>
      <c r="F647" s="97" t="str">
        <f ca="1">IF(OR(Market_Data[[#This Row],[Start Date]]="",Market_Data[[#This Row],[Completion Date]]=""),"Needs Validation",IF(Market_Data[[#This Row],[Start Date]]&gt;TODAY(),"Planned",IF(Market_Data[[#This Row],[Completion Date]]&lt;TODAY(),"Completed","Ongoing")))</f>
        <v>Ongoing</v>
      </c>
      <c r="G647" s="324">
        <v>45659</v>
      </c>
      <c r="H647" s="324">
        <v>46752</v>
      </c>
      <c r="I647" s="325">
        <v>33300</v>
      </c>
      <c r="J64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47" s="133">
        <f>_xlfn.XLOOKUP(Market_Data[[#This Row],[Project Type]],tbl_assumptions_market[Project Category (RERA)],tbl_assumptions_market[Concrete Intensity
(m³ / sq m BUA)],"",0)</f>
        <v>0.45</v>
      </c>
      <c r="L647" s="134">
        <f>ROUND(Market_Data[[#This Row],[Estimated Built Up Area (sq m)]]*Market_Data[[#This Row],[Concrete Intensity
(m³ / sq m)]],0)</f>
        <v>14985</v>
      </c>
      <c r="M647" s="135">
        <f>_xlfn.XLOOKUP(Market_Data[[#This Row],[District]],tbl_district_price[District],tbl_district_price[Standard Price
(INR/m³)],"",0)</f>
        <v>6200</v>
      </c>
      <c r="N647" s="364">
        <f>IF(OR(Market_Data[[#This Row],[Estimated Concrete Demand (m³)]]="",Market_Data[[#This Row],[Avg Price per (₹ / m³)]]=""),"",Market_Data[[#This Row],[Estimated Concrete Demand (m³)]]*Market_Data[[#This Row],[Avg Price per (₹ / m³)]]/10000000)</f>
        <v>9.2906999999999993</v>
      </c>
      <c r="O647" s="97" t="str">
        <f>IF(Market_Data[[#This Row],[Estimated Concrete Demand (m³)]]="","",
IF(Market_Data[[#This Row],[Estimated Concrete Demand (m³)]]&lt;10000,"Small",
IF(Market_Data[[#This Row],[Estimated Concrete Demand (m³)]]&lt;25000,"Medium",
IF(Market_Data[[#This Row],[Estimated Concrete Demand (m³)]]&lt;100000,"Large","Mega"))))</f>
        <v>Medium</v>
      </c>
      <c r="P647" s="287" t="str">
        <f t="shared" si="11"/>
        <v>GujRERA</v>
      </c>
    </row>
    <row r="648" spans="1:16">
      <c r="A648" s="129" t="str">
        <f>_xlfn.XLOOKUP(B648,$S$9:$S$14,$T$9:$T$14)&amp;"-"&amp;
IF(E648="Residential/Group Housing","RES",
IF(E648="Commercial","COM",
IF(E648="Mixed Development","MIX",
IF(E648="Plotted Development","PLT","OTH"))))
&amp;"-"&amp;TEXT(COUNTIFS($B$9:B648,B648,$E$9:E648,E648),"0000")</f>
        <v>SUR-COM-0060</v>
      </c>
      <c r="B648" s="322" t="s">
        <v>34</v>
      </c>
      <c r="C648" s="322" t="s">
        <v>34</v>
      </c>
      <c r="D648" s="323" t="s">
        <v>838</v>
      </c>
      <c r="E648" s="132" t="s">
        <v>23</v>
      </c>
      <c r="F648" s="97" t="str">
        <f ca="1">IF(OR(Market_Data[[#This Row],[Start Date]]="",Market_Data[[#This Row],[Completion Date]]=""),"Needs Validation",IF(Market_Data[[#This Row],[Start Date]]&gt;TODAY(),"Planned",IF(Market_Data[[#This Row],[Completion Date]]&lt;TODAY(),"Completed","Ongoing")))</f>
        <v>Ongoing</v>
      </c>
      <c r="G648" s="324">
        <v>43370</v>
      </c>
      <c r="H648" s="324">
        <v>47238</v>
      </c>
      <c r="I648" s="325">
        <v>19700</v>
      </c>
      <c r="J64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48" s="133">
        <f>_xlfn.XLOOKUP(Market_Data[[#This Row],[Project Type]],tbl_assumptions_market[Project Category (RERA)],tbl_assumptions_market[Concrete Intensity
(m³ / sq m BUA)],"",0)</f>
        <v>0.5</v>
      </c>
      <c r="L648" s="134">
        <f>ROUND(Market_Data[[#This Row],[Estimated Built Up Area (sq m)]]*Market_Data[[#This Row],[Concrete Intensity
(m³ / sq m)]],0)</f>
        <v>9850</v>
      </c>
      <c r="M648" s="135">
        <f>_xlfn.XLOOKUP(Market_Data[[#This Row],[District]],tbl_district_price[District],tbl_district_price[Standard Price
(INR/m³)],"",0)</f>
        <v>6200</v>
      </c>
      <c r="N648" s="364">
        <f>IF(OR(Market_Data[[#This Row],[Estimated Concrete Demand (m³)]]="",Market_Data[[#This Row],[Avg Price per (₹ / m³)]]=""),"",Market_Data[[#This Row],[Estimated Concrete Demand (m³)]]*Market_Data[[#This Row],[Avg Price per (₹ / m³)]]/10000000)</f>
        <v>6.1070000000000002</v>
      </c>
      <c r="O648" s="97" t="str">
        <f>IF(Market_Data[[#This Row],[Estimated Concrete Demand (m³)]]="","",
IF(Market_Data[[#This Row],[Estimated Concrete Demand (m³)]]&lt;10000,"Small",
IF(Market_Data[[#This Row],[Estimated Concrete Demand (m³)]]&lt;25000,"Medium",
IF(Market_Data[[#This Row],[Estimated Concrete Demand (m³)]]&lt;100000,"Large","Mega"))))</f>
        <v>Small</v>
      </c>
      <c r="P648" s="287" t="str">
        <f t="shared" si="11"/>
        <v>GujRERA</v>
      </c>
    </row>
    <row r="649" spans="1:16">
      <c r="A649" s="129" t="str">
        <f>_xlfn.XLOOKUP(B649,$S$9:$S$14,$T$9:$T$14)&amp;"-"&amp;
IF(E649="Residential/Group Housing","RES",
IF(E649="Commercial","COM",
IF(E649="Mixed Development","MIX",
IF(E649="Plotted Development","PLT","OTH"))))
&amp;"-"&amp;TEXT(COUNTIFS($B$9:B649,B649,$E$9:E649,E649),"0000")</f>
        <v>SUR-MIX-0064</v>
      </c>
      <c r="B649" s="322" t="s">
        <v>34</v>
      </c>
      <c r="C649" s="322" t="s">
        <v>34</v>
      </c>
      <c r="D649" s="323" t="s">
        <v>839</v>
      </c>
      <c r="E649" s="132" t="s">
        <v>25</v>
      </c>
      <c r="F649" s="97" t="str">
        <f ca="1">IF(OR(Market_Data[[#This Row],[Start Date]]="",Market_Data[[#This Row],[Completion Date]]=""),"Needs Validation",IF(Market_Data[[#This Row],[Start Date]]&gt;TODAY(),"Planned",IF(Market_Data[[#This Row],[Completion Date]]&lt;TODAY(),"Completed","Ongoing")))</f>
        <v>Completed</v>
      </c>
      <c r="G649" s="324">
        <v>43191</v>
      </c>
      <c r="H649" s="324">
        <v>44652</v>
      </c>
      <c r="I649" s="325">
        <v>35800</v>
      </c>
      <c r="J64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49" s="133">
        <f>_xlfn.XLOOKUP(Market_Data[[#This Row],[Project Type]],tbl_assumptions_market[Project Category (RERA)],tbl_assumptions_market[Concrete Intensity
(m³ / sq m BUA)],"",0)</f>
        <v>0.42</v>
      </c>
      <c r="L649" s="134">
        <f>ROUND(Market_Data[[#This Row],[Estimated Built Up Area (sq m)]]*Market_Data[[#This Row],[Concrete Intensity
(m³ / sq m)]],0)</f>
        <v>15036</v>
      </c>
      <c r="M649" s="135">
        <f>_xlfn.XLOOKUP(Market_Data[[#This Row],[District]],tbl_district_price[District],tbl_district_price[Standard Price
(INR/m³)],"",0)</f>
        <v>6200</v>
      </c>
      <c r="N649" s="364">
        <f>IF(OR(Market_Data[[#This Row],[Estimated Concrete Demand (m³)]]="",Market_Data[[#This Row],[Avg Price per (₹ / m³)]]=""),"",Market_Data[[#This Row],[Estimated Concrete Demand (m³)]]*Market_Data[[#This Row],[Avg Price per (₹ / m³)]]/10000000)</f>
        <v>9.3223199999999995</v>
      </c>
      <c r="O649" s="97" t="str">
        <f>IF(Market_Data[[#This Row],[Estimated Concrete Demand (m³)]]="","",
IF(Market_Data[[#This Row],[Estimated Concrete Demand (m³)]]&lt;10000,"Small",
IF(Market_Data[[#This Row],[Estimated Concrete Demand (m³)]]&lt;25000,"Medium",
IF(Market_Data[[#This Row],[Estimated Concrete Demand (m³)]]&lt;100000,"Large","Mega"))))</f>
        <v>Medium</v>
      </c>
      <c r="P649" s="287" t="str">
        <f t="shared" si="11"/>
        <v>GujRERA</v>
      </c>
    </row>
    <row r="650" spans="1:16">
      <c r="A650" s="129" t="str">
        <f>_xlfn.XLOOKUP(B650,$S$9:$S$14,$T$9:$T$14)&amp;"-"&amp;
IF(E650="Residential/Group Housing","RES",
IF(E650="Commercial","COM",
IF(E650="Mixed Development","MIX",
IF(E650="Plotted Development","PLT","OTH"))))
&amp;"-"&amp;TEXT(COUNTIFS($B$9:B650,B650,$E$9:E650,E650),"0000")</f>
        <v>SUR-MIX-0065</v>
      </c>
      <c r="B650" s="322" t="s">
        <v>34</v>
      </c>
      <c r="C650" s="322" t="s">
        <v>34</v>
      </c>
      <c r="D650" s="323" t="s">
        <v>840</v>
      </c>
      <c r="E650" s="132" t="s">
        <v>25</v>
      </c>
      <c r="F650" s="97" t="str">
        <f ca="1">IF(OR(Market_Data[[#This Row],[Start Date]]="",Market_Data[[#This Row],[Completion Date]]=""),"Needs Validation",IF(Market_Data[[#This Row],[Start Date]]&gt;TODAY(),"Planned",IF(Market_Data[[#This Row],[Completion Date]]&lt;TODAY(),"Completed","Ongoing")))</f>
        <v>Ongoing</v>
      </c>
      <c r="G650" s="324">
        <v>45590</v>
      </c>
      <c r="H650" s="324">
        <v>46752</v>
      </c>
      <c r="I650" s="325">
        <v>49000</v>
      </c>
      <c r="J65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50" s="133">
        <f>_xlfn.XLOOKUP(Market_Data[[#This Row],[Project Type]],tbl_assumptions_market[Project Category (RERA)],tbl_assumptions_market[Concrete Intensity
(m³ / sq m BUA)],"",0)</f>
        <v>0.42</v>
      </c>
      <c r="L650" s="134">
        <f>ROUND(Market_Data[[#This Row],[Estimated Built Up Area (sq m)]]*Market_Data[[#This Row],[Concrete Intensity
(m³ / sq m)]],0)</f>
        <v>20580</v>
      </c>
      <c r="M650" s="135">
        <f>_xlfn.XLOOKUP(Market_Data[[#This Row],[District]],tbl_district_price[District],tbl_district_price[Standard Price
(INR/m³)],"",0)</f>
        <v>6200</v>
      </c>
      <c r="N650" s="364">
        <f>IF(OR(Market_Data[[#This Row],[Estimated Concrete Demand (m³)]]="",Market_Data[[#This Row],[Avg Price per (₹ / m³)]]=""),"",Market_Data[[#This Row],[Estimated Concrete Demand (m³)]]*Market_Data[[#This Row],[Avg Price per (₹ / m³)]]/10000000)</f>
        <v>12.759600000000001</v>
      </c>
      <c r="O650" s="97" t="str">
        <f>IF(Market_Data[[#This Row],[Estimated Concrete Demand (m³)]]="","",
IF(Market_Data[[#This Row],[Estimated Concrete Demand (m³)]]&lt;10000,"Small",
IF(Market_Data[[#This Row],[Estimated Concrete Demand (m³)]]&lt;25000,"Medium",
IF(Market_Data[[#This Row],[Estimated Concrete Demand (m³)]]&lt;100000,"Large","Mega"))))</f>
        <v>Medium</v>
      </c>
      <c r="P650" s="287" t="str">
        <f t="shared" ref="P650:P713" si="12">HYPERLINK(
"https://gujrera.gujarat.gov.in",
"GujRERA")</f>
        <v>GujRERA</v>
      </c>
    </row>
    <row r="651" spans="1:16">
      <c r="A651" s="129" t="str">
        <f>_xlfn.XLOOKUP(B651,$S$9:$S$14,$T$9:$T$14)&amp;"-"&amp;
IF(E651="Residential/Group Housing","RES",
IF(E651="Commercial","COM",
IF(E651="Mixed Development","MIX",
IF(E651="Plotted Development","PLT","OTH"))))
&amp;"-"&amp;TEXT(COUNTIFS($B$9:B651,B651,$E$9:E651,E651),"0000")</f>
        <v>SUR-COM-0061</v>
      </c>
      <c r="B651" s="322" t="s">
        <v>34</v>
      </c>
      <c r="C651" s="322" t="s">
        <v>34</v>
      </c>
      <c r="D651" s="323" t="s">
        <v>841</v>
      </c>
      <c r="E651" s="132" t="s">
        <v>23</v>
      </c>
      <c r="F651" s="97" t="str">
        <f ca="1">IF(OR(Market_Data[[#This Row],[Start Date]]="",Market_Data[[#This Row],[Completion Date]]=""),"Needs Validation",IF(Market_Data[[#This Row],[Start Date]]&gt;TODAY(),"Planned",IF(Market_Data[[#This Row],[Completion Date]]&lt;TODAY(),"Completed","Ongoing")))</f>
        <v>Completed</v>
      </c>
      <c r="G651" s="324">
        <v>44617</v>
      </c>
      <c r="H651" s="324">
        <v>45657</v>
      </c>
      <c r="I651" s="325">
        <v>7600</v>
      </c>
      <c r="J65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51" s="133">
        <f>_xlfn.XLOOKUP(Market_Data[[#This Row],[Project Type]],tbl_assumptions_market[Project Category (RERA)],tbl_assumptions_market[Concrete Intensity
(m³ / sq m BUA)],"",0)</f>
        <v>0.5</v>
      </c>
      <c r="L651" s="134">
        <f>ROUND(Market_Data[[#This Row],[Estimated Built Up Area (sq m)]]*Market_Data[[#This Row],[Concrete Intensity
(m³ / sq m)]],0)</f>
        <v>3800</v>
      </c>
      <c r="M651" s="135">
        <f>_xlfn.XLOOKUP(Market_Data[[#This Row],[District]],tbl_district_price[District],tbl_district_price[Standard Price
(INR/m³)],"",0)</f>
        <v>6200</v>
      </c>
      <c r="N651" s="364">
        <f>IF(OR(Market_Data[[#This Row],[Estimated Concrete Demand (m³)]]="",Market_Data[[#This Row],[Avg Price per (₹ / m³)]]=""),"",Market_Data[[#This Row],[Estimated Concrete Demand (m³)]]*Market_Data[[#This Row],[Avg Price per (₹ / m³)]]/10000000)</f>
        <v>2.3559999999999999</v>
      </c>
      <c r="O651" s="97" t="str">
        <f>IF(Market_Data[[#This Row],[Estimated Concrete Demand (m³)]]="","",
IF(Market_Data[[#This Row],[Estimated Concrete Demand (m³)]]&lt;10000,"Small",
IF(Market_Data[[#This Row],[Estimated Concrete Demand (m³)]]&lt;25000,"Medium",
IF(Market_Data[[#This Row],[Estimated Concrete Demand (m³)]]&lt;100000,"Large","Mega"))))</f>
        <v>Small</v>
      </c>
      <c r="P651" s="287" t="str">
        <f t="shared" si="12"/>
        <v>GujRERA</v>
      </c>
    </row>
    <row r="652" spans="1:16">
      <c r="A652" s="129" t="str">
        <f>_xlfn.XLOOKUP(B652,$S$9:$S$14,$T$9:$T$14)&amp;"-"&amp;
IF(E652="Residential/Group Housing","RES",
IF(E652="Commercial","COM",
IF(E652="Mixed Development","MIX",
IF(E652="Plotted Development","PLT","OTH"))))
&amp;"-"&amp;TEXT(COUNTIFS($B$9:B652,B652,$E$9:E652,E652),"0000")</f>
        <v>SUR-RES-0125</v>
      </c>
      <c r="B652" s="322" t="s">
        <v>34</v>
      </c>
      <c r="C652" s="322" t="s">
        <v>34</v>
      </c>
      <c r="D652" s="323" t="s">
        <v>842</v>
      </c>
      <c r="E652" s="132" t="s">
        <v>24</v>
      </c>
      <c r="F652" s="97" t="str">
        <f ca="1">IF(OR(Market_Data[[#This Row],[Start Date]]="",Market_Data[[#This Row],[Completion Date]]=""),"Needs Validation",IF(Market_Data[[#This Row],[Start Date]]&gt;TODAY(),"Planned",IF(Market_Data[[#This Row],[Completion Date]]&lt;TODAY(),"Completed","Ongoing")))</f>
        <v>Completed</v>
      </c>
      <c r="G652" s="324">
        <v>43449</v>
      </c>
      <c r="H652" s="324">
        <v>44834</v>
      </c>
      <c r="I652" s="325">
        <v>8300</v>
      </c>
      <c r="J65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52" s="133">
        <f>_xlfn.XLOOKUP(Market_Data[[#This Row],[Project Type]],tbl_assumptions_market[Project Category (RERA)],tbl_assumptions_market[Concrete Intensity
(m³ / sq m BUA)],"",0)</f>
        <v>0.45</v>
      </c>
      <c r="L652" s="134">
        <f>ROUND(Market_Data[[#This Row],[Estimated Built Up Area (sq m)]]*Market_Data[[#This Row],[Concrete Intensity
(m³ / sq m)]],0)</f>
        <v>3735</v>
      </c>
      <c r="M652" s="135">
        <f>_xlfn.XLOOKUP(Market_Data[[#This Row],[District]],tbl_district_price[District],tbl_district_price[Standard Price
(INR/m³)],"",0)</f>
        <v>6200</v>
      </c>
      <c r="N652" s="364">
        <f>IF(OR(Market_Data[[#This Row],[Estimated Concrete Demand (m³)]]="",Market_Data[[#This Row],[Avg Price per (₹ / m³)]]=""),"",Market_Data[[#This Row],[Estimated Concrete Demand (m³)]]*Market_Data[[#This Row],[Avg Price per (₹ / m³)]]/10000000)</f>
        <v>2.3157000000000001</v>
      </c>
      <c r="O652" s="97" t="str">
        <f>IF(Market_Data[[#This Row],[Estimated Concrete Demand (m³)]]="","",
IF(Market_Data[[#This Row],[Estimated Concrete Demand (m³)]]&lt;10000,"Small",
IF(Market_Data[[#This Row],[Estimated Concrete Demand (m³)]]&lt;25000,"Medium",
IF(Market_Data[[#This Row],[Estimated Concrete Demand (m³)]]&lt;100000,"Large","Mega"))))</f>
        <v>Small</v>
      </c>
      <c r="P652" s="287" t="str">
        <f t="shared" si="12"/>
        <v>GujRERA</v>
      </c>
    </row>
    <row r="653" spans="1:16">
      <c r="A653" s="129" t="str">
        <f>_xlfn.XLOOKUP(B653,$S$9:$S$14,$T$9:$T$14)&amp;"-"&amp;
IF(E653="Residential/Group Housing","RES",
IF(E653="Commercial","COM",
IF(E653="Mixed Development","MIX",
IF(E653="Plotted Development","PLT","OTH"))))
&amp;"-"&amp;TEXT(COUNTIFS($B$9:B653,B653,$E$9:E653,E653),"0000")</f>
        <v>SUR-RES-0126</v>
      </c>
      <c r="B653" s="322" t="s">
        <v>34</v>
      </c>
      <c r="C653" s="322" t="s">
        <v>34</v>
      </c>
      <c r="D653" s="323" t="s">
        <v>843</v>
      </c>
      <c r="E653" s="132" t="s">
        <v>24</v>
      </c>
      <c r="F653" s="97" t="str">
        <f ca="1">IF(OR(Market_Data[[#This Row],[Start Date]]="",Market_Data[[#This Row],[Completion Date]]=""),"Needs Validation",IF(Market_Data[[#This Row],[Start Date]]&gt;TODAY(),"Planned",IF(Market_Data[[#This Row],[Completion Date]]&lt;TODAY(),"Completed","Ongoing")))</f>
        <v>Completed</v>
      </c>
      <c r="G653" s="324">
        <v>42773</v>
      </c>
      <c r="H653" s="324">
        <v>43830</v>
      </c>
      <c r="I653" s="325">
        <v>25300</v>
      </c>
      <c r="J65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53" s="133">
        <f>_xlfn.XLOOKUP(Market_Data[[#This Row],[Project Type]],tbl_assumptions_market[Project Category (RERA)],tbl_assumptions_market[Concrete Intensity
(m³ / sq m BUA)],"",0)</f>
        <v>0.45</v>
      </c>
      <c r="L653" s="134">
        <f>ROUND(Market_Data[[#This Row],[Estimated Built Up Area (sq m)]]*Market_Data[[#This Row],[Concrete Intensity
(m³ / sq m)]],0)</f>
        <v>11385</v>
      </c>
      <c r="M653" s="135">
        <f>_xlfn.XLOOKUP(Market_Data[[#This Row],[District]],tbl_district_price[District],tbl_district_price[Standard Price
(INR/m³)],"",0)</f>
        <v>6200</v>
      </c>
      <c r="N653" s="364">
        <f>IF(OR(Market_Data[[#This Row],[Estimated Concrete Demand (m³)]]="",Market_Data[[#This Row],[Avg Price per (₹ / m³)]]=""),"",Market_Data[[#This Row],[Estimated Concrete Demand (m³)]]*Market_Data[[#This Row],[Avg Price per (₹ / m³)]]/10000000)</f>
        <v>7.0587</v>
      </c>
      <c r="O653" s="97" t="str">
        <f>IF(Market_Data[[#This Row],[Estimated Concrete Demand (m³)]]="","",
IF(Market_Data[[#This Row],[Estimated Concrete Demand (m³)]]&lt;10000,"Small",
IF(Market_Data[[#This Row],[Estimated Concrete Demand (m³)]]&lt;25000,"Medium",
IF(Market_Data[[#This Row],[Estimated Concrete Demand (m³)]]&lt;100000,"Large","Mega"))))</f>
        <v>Medium</v>
      </c>
      <c r="P653" s="287" t="str">
        <f t="shared" si="12"/>
        <v>GujRERA</v>
      </c>
    </row>
    <row r="654" spans="1:16">
      <c r="A654" s="129" t="str">
        <f>_xlfn.XLOOKUP(B654,$S$9:$S$14,$T$9:$T$14)&amp;"-"&amp;
IF(E654="Residential/Group Housing","RES",
IF(E654="Commercial","COM",
IF(E654="Mixed Development","MIX",
IF(E654="Plotted Development","PLT","OTH"))))
&amp;"-"&amp;TEXT(COUNTIFS($B$9:B654,B654,$E$9:E654,E654),"0000")</f>
        <v>SUR-MIX-0066</v>
      </c>
      <c r="B654" s="322" t="s">
        <v>34</v>
      </c>
      <c r="C654" s="322" t="s">
        <v>34</v>
      </c>
      <c r="D654" s="323" t="s">
        <v>844</v>
      </c>
      <c r="E654" s="132" t="s">
        <v>25</v>
      </c>
      <c r="F654" s="97" t="str">
        <f ca="1">IF(OR(Market_Data[[#This Row],[Start Date]]="",Market_Data[[#This Row],[Completion Date]]=""),"Needs Validation",IF(Market_Data[[#This Row],[Start Date]]&gt;TODAY(),"Planned",IF(Market_Data[[#This Row],[Completion Date]]&lt;TODAY(),"Completed","Ongoing")))</f>
        <v>Ongoing</v>
      </c>
      <c r="G654" s="324">
        <v>45383</v>
      </c>
      <c r="H654" s="324">
        <v>47208</v>
      </c>
      <c r="I654" s="325">
        <v>7500</v>
      </c>
      <c r="J65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654" s="133">
        <f>_xlfn.XLOOKUP(Market_Data[[#This Row],[Project Type]],tbl_assumptions_market[Project Category (RERA)],tbl_assumptions_market[Concrete Intensity
(m³ / sq m BUA)],"",0)</f>
        <v>0.42</v>
      </c>
      <c r="L654" s="134">
        <f>ROUND(Market_Data[[#This Row],[Estimated Built Up Area (sq m)]]*Market_Data[[#This Row],[Concrete Intensity
(m³ / sq m)]],0)</f>
        <v>3150</v>
      </c>
      <c r="M654" s="135">
        <f>_xlfn.XLOOKUP(Market_Data[[#This Row],[District]],tbl_district_price[District],tbl_district_price[Standard Price
(INR/m³)],"",0)</f>
        <v>6200</v>
      </c>
      <c r="N654" s="364">
        <f>IF(OR(Market_Data[[#This Row],[Estimated Concrete Demand (m³)]]="",Market_Data[[#This Row],[Avg Price per (₹ / m³)]]=""),"",Market_Data[[#This Row],[Estimated Concrete Demand (m³)]]*Market_Data[[#This Row],[Avg Price per (₹ / m³)]]/10000000)</f>
        <v>1.9530000000000001</v>
      </c>
      <c r="O654" s="97" t="str">
        <f>IF(Market_Data[[#This Row],[Estimated Concrete Demand (m³)]]="","",
IF(Market_Data[[#This Row],[Estimated Concrete Demand (m³)]]&lt;10000,"Small",
IF(Market_Data[[#This Row],[Estimated Concrete Demand (m³)]]&lt;25000,"Medium",
IF(Market_Data[[#This Row],[Estimated Concrete Demand (m³)]]&lt;100000,"Large","Mega"))))</f>
        <v>Small</v>
      </c>
      <c r="P654" s="287" t="str">
        <f t="shared" si="12"/>
        <v>GujRERA</v>
      </c>
    </row>
    <row r="655" spans="1:16">
      <c r="A655" s="129" t="str">
        <f>_xlfn.XLOOKUP(B655,$S$9:$S$14,$T$9:$T$14)&amp;"-"&amp;
IF(E655="Residential/Group Housing","RES",
IF(E655="Commercial","COM",
IF(E655="Mixed Development","MIX",
IF(E655="Plotted Development","PLT","OTH"))))
&amp;"-"&amp;TEXT(COUNTIFS($B$9:B655,B655,$E$9:E655,E655),"0000")</f>
        <v>SUR-RES-0127</v>
      </c>
      <c r="B655" s="322" t="s">
        <v>34</v>
      </c>
      <c r="C655" s="322" t="s">
        <v>34</v>
      </c>
      <c r="D655" s="323" t="s">
        <v>845</v>
      </c>
      <c r="E655" s="132" t="s">
        <v>24</v>
      </c>
      <c r="F655" s="97" t="str">
        <f ca="1">IF(OR(Market_Data[[#This Row],[Start Date]]="",Market_Data[[#This Row],[Completion Date]]=""),"Needs Validation",IF(Market_Data[[#This Row],[Start Date]]&gt;TODAY(),"Planned",IF(Market_Data[[#This Row],[Completion Date]]&lt;TODAY(),"Completed","Ongoing")))</f>
        <v>Completed</v>
      </c>
      <c r="G655" s="324">
        <v>41857</v>
      </c>
      <c r="H655" s="324">
        <v>44228</v>
      </c>
      <c r="I655" s="325">
        <v>25400</v>
      </c>
      <c r="J65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55" s="133">
        <f>_xlfn.XLOOKUP(Market_Data[[#This Row],[Project Type]],tbl_assumptions_market[Project Category (RERA)],tbl_assumptions_market[Concrete Intensity
(m³ / sq m BUA)],"",0)</f>
        <v>0.45</v>
      </c>
      <c r="L655" s="134">
        <f>ROUND(Market_Data[[#This Row],[Estimated Built Up Area (sq m)]]*Market_Data[[#This Row],[Concrete Intensity
(m³ / sq m)]],0)</f>
        <v>11430</v>
      </c>
      <c r="M655" s="135">
        <f>_xlfn.XLOOKUP(Market_Data[[#This Row],[District]],tbl_district_price[District],tbl_district_price[Standard Price
(INR/m³)],"",0)</f>
        <v>6200</v>
      </c>
      <c r="N655" s="364">
        <f>IF(OR(Market_Data[[#This Row],[Estimated Concrete Demand (m³)]]="",Market_Data[[#This Row],[Avg Price per (₹ / m³)]]=""),"",Market_Data[[#This Row],[Estimated Concrete Demand (m³)]]*Market_Data[[#This Row],[Avg Price per (₹ / m³)]]/10000000)</f>
        <v>7.0865999999999998</v>
      </c>
      <c r="O655" s="97" t="str">
        <f>IF(Market_Data[[#This Row],[Estimated Concrete Demand (m³)]]="","",
IF(Market_Data[[#This Row],[Estimated Concrete Demand (m³)]]&lt;10000,"Small",
IF(Market_Data[[#This Row],[Estimated Concrete Demand (m³)]]&lt;25000,"Medium",
IF(Market_Data[[#This Row],[Estimated Concrete Demand (m³)]]&lt;100000,"Large","Mega"))))</f>
        <v>Medium</v>
      </c>
      <c r="P655" s="287" t="str">
        <f t="shared" si="12"/>
        <v>GujRERA</v>
      </c>
    </row>
    <row r="656" spans="1:16">
      <c r="A656" s="129" t="str">
        <f>_xlfn.XLOOKUP(B656,$S$9:$S$14,$T$9:$T$14)&amp;"-"&amp;
IF(E656="Residential/Group Housing","RES",
IF(E656="Commercial","COM",
IF(E656="Mixed Development","MIX",
IF(E656="Plotted Development","PLT","OTH"))))
&amp;"-"&amp;TEXT(COUNTIFS($B$9:B656,B656,$E$9:E656,E656),"0000")</f>
        <v>SUR-RES-0128</v>
      </c>
      <c r="B656" s="322" t="s">
        <v>34</v>
      </c>
      <c r="C656" s="322" t="s">
        <v>34</v>
      </c>
      <c r="D656" s="323" t="s">
        <v>846</v>
      </c>
      <c r="E656" s="132" t="s">
        <v>24</v>
      </c>
      <c r="F656" s="97" t="str">
        <f ca="1">IF(OR(Market_Data[[#This Row],[Start Date]]="",Market_Data[[#This Row],[Completion Date]]=""),"Needs Validation",IF(Market_Data[[#This Row],[Start Date]]&gt;TODAY(),"Planned",IF(Market_Data[[#This Row],[Completion Date]]&lt;TODAY(),"Completed","Ongoing")))</f>
        <v>Completed</v>
      </c>
      <c r="G656" s="324">
        <v>42109</v>
      </c>
      <c r="H656" s="324">
        <v>45838</v>
      </c>
      <c r="I656" s="325">
        <v>4200</v>
      </c>
      <c r="J65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56" s="133">
        <f>_xlfn.XLOOKUP(Market_Data[[#This Row],[Project Type]],tbl_assumptions_market[Project Category (RERA)],tbl_assumptions_market[Concrete Intensity
(m³ / sq m BUA)],"",0)</f>
        <v>0.45</v>
      </c>
      <c r="L656" s="134">
        <f>ROUND(Market_Data[[#This Row],[Estimated Built Up Area (sq m)]]*Market_Data[[#This Row],[Concrete Intensity
(m³ / sq m)]],0)</f>
        <v>1890</v>
      </c>
      <c r="M656" s="135">
        <f>_xlfn.XLOOKUP(Market_Data[[#This Row],[District]],tbl_district_price[District],tbl_district_price[Standard Price
(INR/m³)],"",0)</f>
        <v>6200</v>
      </c>
      <c r="N656" s="364">
        <f>IF(OR(Market_Data[[#This Row],[Estimated Concrete Demand (m³)]]="",Market_Data[[#This Row],[Avg Price per (₹ / m³)]]=""),"",Market_Data[[#This Row],[Estimated Concrete Demand (m³)]]*Market_Data[[#This Row],[Avg Price per (₹ / m³)]]/10000000)</f>
        <v>1.1718</v>
      </c>
      <c r="O656" s="97" t="str">
        <f>IF(Market_Data[[#This Row],[Estimated Concrete Demand (m³)]]="","",
IF(Market_Data[[#This Row],[Estimated Concrete Demand (m³)]]&lt;10000,"Small",
IF(Market_Data[[#This Row],[Estimated Concrete Demand (m³)]]&lt;25000,"Medium",
IF(Market_Data[[#This Row],[Estimated Concrete Demand (m³)]]&lt;100000,"Large","Mega"))))</f>
        <v>Small</v>
      </c>
      <c r="P656" s="287" t="str">
        <f t="shared" si="12"/>
        <v>GujRERA</v>
      </c>
    </row>
    <row r="657" spans="1:16">
      <c r="A657" s="129" t="str">
        <f>_xlfn.XLOOKUP(B657,$S$9:$S$14,$T$9:$T$14)&amp;"-"&amp;
IF(E657="Residential/Group Housing","RES",
IF(E657="Commercial","COM",
IF(E657="Mixed Development","MIX",
IF(E657="Plotted Development","PLT","OTH"))))
&amp;"-"&amp;TEXT(COUNTIFS($B$9:B657,B657,$E$9:E657,E657),"0000")</f>
        <v>SUR-RES-0129</v>
      </c>
      <c r="B657" s="322" t="s">
        <v>34</v>
      </c>
      <c r="C657" s="322" t="s">
        <v>34</v>
      </c>
      <c r="D657" s="323" t="s">
        <v>847</v>
      </c>
      <c r="E657" s="132" t="s">
        <v>24</v>
      </c>
      <c r="F657" s="97" t="str">
        <f ca="1">IF(OR(Market_Data[[#This Row],[Start Date]]="",Market_Data[[#This Row],[Completion Date]]=""),"Needs Validation",IF(Market_Data[[#This Row],[Start Date]]&gt;TODAY(),"Planned",IF(Market_Data[[#This Row],[Completion Date]]&lt;TODAY(),"Completed","Ongoing")))</f>
        <v>Ongoing</v>
      </c>
      <c r="G657" s="324">
        <v>45422</v>
      </c>
      <c r="H657" s="324">
        <v>47483</v>
      </c>
      <c r="I657" s="325">
        <v>51600</v>
      </c>
      <c r="J65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57" s="133">
        <f>_xlfn.XLOOKUP(Market_Data[[#This Row],[Project Type]],tbl_assumptions_market[Project Category (RERA)],tbl_assumptions_market[Concrete Intensity
(m³ / sq m BUA)],"",0)</f>
        <v>0.45</v>
      </c>
      <c r="L657" s="134">
        <f>ROUND(Market_Data[[#This Row],[Estimated Built Up Area (sq m)]]*Market_Data[[#This Row],[Concrete Intensity
(m³ / sq m)]],0)</f>
        <v>23220</v>
      </c>
      <c r="M657" s="135">
        <f>_xlfn.XLOOKUP(Market_Data[[#This Row],[District]],tbl_district_price[District],tbl_district_price[Standard Price
(INR/m³)],"",0)</f>
        <v>6200</v>
      </c>
      <c r="N657" s="364">
        <f>IF(OR(Market_Data[[#This Row],[Estimated Concrete Demand (m³)]]="",Market_Data[[#This Row],[Avg Price per (₹ / m³)]]=""),"",Market_Data[[#This Row],[Estimated Concrete Demand (m³)]]*Market_Data[[#This Row],[Avg Price per (₹ / m³)]]/10000000)</f>
        <v>14.3964</v>
      </c>
      <c r="O657" s="97" t="str">
        <f>IF(Market_Data[[#This Row],[Estimated Concrete Demand (m³)]]="","",
IF(Market_Data[[#This Row],[Estimated Concrete Demand (m³)]]&lt;10000,"Small",
IF(Market_Data[[#This Row],[Estimated Concrete Demand (m³)]]&lt;25000,"Medium",
IF(Market_Data[[#This Row],[Estimated Concrete Demand (m³)]]&lt;100000,"Large","Mega"))))</f>
        <v>Medium</v>
      </c>
      <c r="P657" s="287" t="str">
        <f t="shared" si="12"/>
        <v>GujRERA</v>
      </c>
    </row>
    <row r="658" spans="1:16">
      <c r="A658" s="129" t="str">
        <f>_xlfn.XLOOKUP(B658,$S$9:$S$14,$T$9:$T$14)&amp;"-"&amp;
IF(E658="Residential/Group Housing","RES",
IF(E658="Commercial","COM",
IF(E658="Mixed Development","MIX",
IF(E658="Plotted Development","PLT","OTH"))))
&amp;"-"&amp;TEXT(COUNTIFS($B$9:B658,B658,$E$9:E658,E658),"0000")</f>
        <v>SUR-PLT-0084</v>
      </c>
      <c r="B658" s="322" t="s">
        <v>34</v>
      </c>
      <c r="C658" s="322" t="s">
        <v>34</v>
      </c>
      <c r="D658" s="323" t="s">
        <v>848</v>
      </c>
      <c r="E658" s="132" t="s">
        <v>26</v>
      </c>
      <c r="F658" s="97" t="str">
        <f ca="1">IF(OR(Market_Data[[#This Row],[Start Date]]="",Market_Data[[#This Row],[Completion Date]]=""),"Needs Validation",IF(Market_Data[[#This Row],[Start Date]]&gt;TODAY(),"Planned",IF(Market_Data[[#This Row],[Completion Date]]&lt;TODAY(),"Completed","Ongoing")))</f>
        <v>Ongoing</v>
      </c>
      <c r="G658" s="324">
        <v>44875</v>
      </c>
      <c r="H658" s="324">
        <v>46752</v>
      </c>
      <c r="I658" s="325">
        <v>55000</v>
      </c>
      <c r="J65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658" s="133">
        <f>_xlfn.XLOOKUP(Market_Data[[#This Row],[Project Type]],tbl_assumptions_market[Project Category (RERA)],tbl_assumptions_market[Concrete Intensity
(m³ / sq m BUA)],"",0)</f>
        <v>0.18</v>
      </c>
      <c r="L658" s="134">
        <f>ROUND(Market_Data[[#This Row],[Estimated Built Up Area (sq m)]]*Market_Data[[#This Row],[Concrete Intensity
(m³ / sq m)]],0)</f>
        <v>9900</v>
      </c>
      <c r="M658" s="135">
        <f>_xlfn.XLOOKUP(Market_Data[[#This Row],[District]],tbl_district_price[District],tbl_district_price[Standard Price
(INR/m³)],"",0)</f>
        <v>6200</v>
      </c>
      <c r="N658" s="364">
        <f>IF(OR(Market_Data[[#This Row],[Estimated Concrete Demand (m³)]]="",Market_Data[[#This Row],[Avg Price per (₹ / m³)]]=""),"",Market_Data[[#This Row],[Estimated Concrete Demand (m³)]]*Market_Data[[#This Row],[Avg Price per (₹ / m³)]]/10000000)</f>
        <v>6.1379999999999999</v>
      </c>
      <c r="O658" s="97" t="str">
        <f>IF(Market_Data[[#This Row],[Estimated Concrete Demand (m³)]]="","",
IF(Market_Data[[#This Row],[Estimated Concrete Demand (m³)]]&lt;10000,"Small",
IF(Market_Data[[#This Row],[Estimated Concrete Demand (m³)]]&lt;25000,"Medium",
IF(Market_Data[[#This Row],[Estimated Concrete Demand (m³)]]&lt;100000,"Large","Mega"))))</f>
        <v>Small</v>
      </c>
      <c r="P658" s="287" t="str">
        <f t="shared" si="12"/>
        <v>GujRERA</v>
      </c>
    </row>
    <row r="659" spans="1:16">
      <c r="A659" s="129" t="str">
        <f>_xlfn.XLOOKUP(B659,$S$9:$S$14,$T$9:$T$14)&amp;"-"&amp;
IF(E659="Residential/Group Housing","RES",
IF(E659="Commercial","COM",
IF(E659="Mixed Development","MIX",
IF(E659="Plotted Development","PLT","OTH"))))
&amp;"-"&amp;TEXT(COUNTIFS($B$9:B659,B659,$E$9:E659,E659),"0000")</f>
        <v>SUR-MIX-0067</v>
      </c>
      <c r="B659" s="322" t="s">
        <v>34</v>
      </c>
      <c r="C659" s="322" t="s">
        <v>34</v>
      </c>
      <c r="D659" s="323" t="s">
        <v>849</v>
      </c>
      <c r="E659" s="132" t="s">
        <v>25</v>
      </c>
      <c r="F659" s="97" t="str">
        <f ca="1">IF(OR(Market_Data[[#This Row],[Start Date]]="",Market_Data[[#This Row],[Completion Date]]=""),"Needs Validation",IF(Market_Data[[#This Row],[Start Date]]&gt;TODAY(),"Planned",IF(Market_Data[[#This Row],[Completion Date]]&lt;TODAY(),"Completed","Ongoing")))</f>
        <v>Completed</v>
      </c>
      <c r="G659" s="324">
        <v>42765</v>
      </c>
      <c r="H659" s="324">
        <v>44742</v>
      </c>
      <c r="I659" s="325">
        <v>8000</v>
      </c>
      <c r="J65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659" s="133">
        <f>_xlfn.XLOOKUP(Market_Data[[#This Row],[Project Type]],tbl_assumptions_market[Project Category (RERA)],tbl_assumptions_market[Concrete Intensity
(m³ / sq m BUA)],"",0)</f>
        <v>0.42</v>
      </c>
      <c r="L659" s="134">
        <f>ROUND(Market_Data[[#This Row],[Estimated Built Up Area (sq m)]]*Market_Data[[#This Row],[Concrete Intensity
(m³ / sq m)]],0)</f>
        <v>3360</v>
      </c>
      <c r="M659" s="135">
        <f>_xlfn.XLOOKUP(Market_Data[[#This Row],[District]],tbl_district_price[District],tbl_district_price[Standard Price
(INR/m³)],"",0)</f>
        <v>6200</v>
      </c>
      <c r="N659" s="364">
        <f>IF(OR(Market_Data[[#This Row],[Estimated Concrete Demand (m³)]]="",Market_Data[[#This Row],[Avg Price per (₹ / m³)]]=""),"",Market_Data[[#This Row],[Estimated Concrete Demand (m³)]]*Market_Data[[#This Row],[Avg Price per (₹ / m³)]]/10000000)</f>
        <v>2.0832000000000002</v>
      </c>
      <c r="O659" s="97" t="str">
        <f>IF(Market_Data[[#This Row],[Estimated Concrete Demand (m³)]]="","",
IF(Market_Data[[#This Row],[Estimated Concrete Demand (m³)]]&lt;10000,"Small",
IF(Market_Data[[#This Row],[Estimated Concrete Demand (m³)]]&lt;25000,"Medium",
IF(Market_Data[[#This Row],[Estimated Concrete Demand (m³)]]&lt;100000,"Large","Mega"))))</f>
        <v>Small</v>
      </c>
      <c r="P659" s="287" t="str">
        <f t="shared" si="12"/>
        <v>GujRERA</v>
      </c>
    </row>
    <row r="660" spans="1:16">
      <c r="A660" s="129" t="str">
        <f>_xlfn.XLOOKUP(B660,$S$9:$S$14,$T$9:$T$14)&amp;"-"&amp;
IF(E660="Residential/Group Housing","RES",
IF(E660="Commercial","COM",
IF(E660="Mixed Development","MIX",
IF(E660="Plotted Development","PLT","OTH"))))
&amp;"-"&amp;TEXT(COUNTIFS($B$9:B660,B660,$E$9:E660,E660),"0000")</f>
        <v>SUR-RES-0130</v>
      </c>
      <c r="B660" s="322" t="s">
        <v>34</v>
      </c>
      <c r="C660" s="322" t="s">
        <v>34</v>
      </c>
      <c r="D660" s="323" t="s">
        <v>850</v>
      </c>
      <c r="E660" s="132" t="s">
        <v>24</v>
      </c>
      <c r="F660" s="97" t="str">
        <f ca="1">IF(OR(Market_Data[[#This Row],[Start Date]]="",Market_Data[[#This Row],[Completion Date]]=""),"Needs Validation",IF(Market_Data[[#This Row],[Start Date]]&gt;TODAY(),"Planned",IF(Market_Data[[#This Row],[Completion Date]]&lt;TODAY(),"Completed","Ongoing")))</f>
        <v>Completed</v>
      </c>
      <c r="G660" s="324">
        <v>42036</v>
      </c>
      <c r="H660" s="324">
        <v>43921</v>
      </c>
      <c r="I660" s="325">
        <v>19000</v>
      </c>
      <c r="J66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60" s="133">
        <f>_xlfn.XLOOKUP(Market_Data[[#This Row],[Project Type]],tbl_assumptions_market[Project Category (RERA)],tbl_assumptions_market[Concrete Intensity
(m³ / sq m BUA)],"",0)</f>
        <v>0.45</v>
      </c>
      <c r="L660" s="134">
        <f>ROUND(Market_Data[[#This Row],[Estimated Built Up Area (sq m)]]*Market_Data[[#This Row],[Concrete Intensity
(m³ / sq m)]],0)</f>
        <v>8550</v>
      </c>
      <c r="M660" s="135">
        <f>_xlfn.XLOOKUP(Market_Data[[#This Row],[District]],tbl_district_price[District],tbl_district_price[Standard Price
(INR/m³)],"",0)</f>
        <v>6200</v>
      </c>
      <c r="N660" s="364">
        <f>IF(OR(Market_Data[[#This Row],[Estimated Concrete Demand (m³)]]="",Market_Data[[#This Row],[Avg Price per (₹ / m³)]]=""),"",Market_Data[[#This Row],[Estimated Concrete Demand (m³)]]*Market_Data[[#This Row],[Avg Price per (₹ / m³)]]/10000000)</f>
        <v>5.3010000000000002</v>
      </c>
      <c r="O660" s="97" t="str">
        <f>IF(Market_Data[[#This Row],[Estimated Concrete Demand (m³)]]="","",
IF(Market_Data[[#This Row],[Estimated Concrete Demand (m³)]]&lt;10000,"Small",
IF(Market_Data[[#This Row],[Estimated Concrete Demand (m³)]]&lt;25000,"Medium",
IF(Market_Data[[#This Row],[Estimated Concrete Demand (m³)]]&lt;100000,"Large","Mega"))))</f>
        <v>Small</v>
      </c>
      <c r="P660" s="287" t="str">
        <f t="shared" si="12"/>
        <v>GujRERA</v>
      </c>
    </row>
    <row r="661" spans="1:16">
      <c r="A661" s="129" t="str">
        <f>_xlfn.XLOOKUP(B661,$S$9:$S$14,$T$9:$T$14)&amp;"-"&amp;
IF(E661="Residential/Group Housing","RES",
IF(E661="Commercial","COM",
IF(E661="Mixed Development","MIX",
IF(E661="Plotted Development","PLT","OTH"))))
&amp;"-"&amp;TEXT(COUNTIFS($B$9:B661,B661,$E$9:E661,E661),"0000")</f>
        <v>SUR-RES-0131</v>
      </c>
      <c r="B661" s="322" t="s">
        <v>34</v>
      </c>
      <c r="C661" s="322" t="s">
        <v>34</v>
      </c>
      <c r="D661" s="323" t="s">
        <v>851</v>
      </c>
      <c r="E661" s="132" t="s">
        <v>24</v>
      </c>
      <c r="F661" s="97" t="str">
        <f ca="1">IF(OR(Market_Data[[#This Row],[Start Date]]="",Market_Data[[#This Row],[Completion Date]]=""),"Needs Validation",IF(Market_Data[[#This Row],[Start Date]]&gt;TODAY(),"Planned",IF(Market_Data[[#This Row],[Completion Date]]&lt;TODAY(),"Completed","Ongoing")))</f>
        <v>Completed</v>
      </c>
      <c r="G661" s="324">
        <v>42856</v>
      </c>
      <c r="H661" s="324">
        <v>46101</v>
      </c>
      <c r="I661" s="325">
        <v>22700</v>
      </c>
      <c r="J66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61" s="133">
        <f>_xlfn.XLOOKUP(Market_Data[[#This Row],[Project Type]],tbl_assumptions_market[Project Category (RERA)],tbl_assumptions_market[Concrete Intensity
(m³ / sq m BUA)],"",0)</f>
        <v>0.45</v>
      </c>
      <c r="L661" s="134">
        <f>ROUND(Market_Data[[#This Row],[Estimated Built Up Area (sq m)]]*Market_Data[[#This Row],[Concrete Intensity
(m³ / sq m)]],0)</f>
        <v>10215</v>
      </c>
      <c r="M661" s="135">
        <f>_xlfn.XLOOKUP(Market_Data[[#This Row],[District]],tbl_district_price[District],tbl_district_price[Standard Price
(INR/m³)],"",0)</f>
        <v>6200</v>
      </c>
      <c r="N661" s="364">
        <f>IF(OR(Market_Data[[#This Row],[Estimated Concrete Demand (m³)]]="",Market_Data[[#This Row],[Avg Price per (₹ / m³)]]=""),"",Market_Data[[#This Row],[Estimated Concrete Demand (m³)]]*Market_Data[[#This Row],[Avg Price per (₹ / m³)]]/10000000)</f>
        <v>6.3333000000000004</v>
      </c>
      <c r="O661" s="97" t="str">
        <f>IF(Market_Data[[#This Row],[Estimated Concrete Demand (m³)]]="","",
IF(Market_Data[[#This Row],[Estimated Concrete Demand (m³)]]&lt;10000,"Small",
IF(Market_Data[[#This Row],[Estimated Concrete Demand (m³)]]&lt;25000,"Medium",
IF(Market_Data[[#This Row],[Estimated Concrete Demand (m³)]]&lt;100000,"Large","Mega"))))</f>
        <v>Medium</v>
      </c>
      <c r="P661" s="287" t="str">
        <f t="shared" si="12"/>
        <v>GujRERA</v>
      </c>
    </row>
    <row r="662" spans="1:16">
      <c r="A662" s="129" t="str">
        <f>_xlfn.XLOOKUP(B662,$S$9:$S$14,$T$9:$T$14)&amp;"-"&amp;
IF(E662="Residential/Group Housing","RES",
IF(E662="Commercial","COM",
IF(E662="Mixed Development","MIX",
IF(E662="Plotted Development","PLT","OTH"))))
&amp;"-"&amp;TEXT(COUNTIFS($B$9:B662,B662,$E$9:E662,E662),"0000")</f>
        <v>SUR-PLT-0085</v>
      </c>
      <c r="B662" s="322" t="s">
        <v>34</v>
      </c>
      <c r="C662" s="322" t="s">
        <v>34</v>
      </c>
      <c r="D662" s="323" t="s">
        <v>852</v>
      </c>
      <c r="E662" s="132" t="s">
        <v>26</v>
      </c>
      <c r="F662" s="97" t="str">
        <f ca="1">IF(OR(Market_Data[[#This Row],[Start Date]]="",Market_Data[[#This Row],[Completion Date]]=""),"Needs Validation",IF(Market_Data[[#This Row],[Start Date]]&gt;TODAY(),"Planned",IF(Market_Data[[#This Row],[Completion Date]]&lt;TODAY(),"Completed","Ongoing")))</f>
        <v>Ongoing</v>
      </c>
      <c r="G662" s="324">
        <v>44971</v>
      </c>
      <c r="H662" s="324">
        <v>47118</v>
      </c>
      <c r="I662" s="325">
        <v>6400</v>
      </c>
      <c r="J66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62" s="133">
        <f>_xlfn.XLOOKUP(Market_Data[[#This Row],[Project Type]],tbl_assumptions_market[Project Category (RERA)],tbl_assumptions_market[Concrete Intensity
(m³ / sq m BUA)],"",0)</f>
        <v>0.18</v>
      </c>
      <c r="L662" s="134">
        <f>ROUND(Market_Data[[#This Row],[Estimated Built Up Area (sq m)]]*Market_Data[[#This Row],[Concrete Intensity
(m³ / sq m)]],0)</f>
        <v>1152</v>
      </c>
      <c r="M662" s="135">
        <f>_xlfn.XLOOKUP(Market_Data[[#This Row],[District]],tbl_district_price[District],tbl_district_price[Standard Price
(INR/m³)],"",0)</f>
        <v>6200</v>
      </c>
      <c r="N662" s="364">
        <f>IF(OR(Market_Data[[#This Row],[Estimated Concrete Demand (m³)]]="",Market_Data[[#This Row],[Avg Price per (₹ / m³)]]=""),"",Market_Data[[#This Row],[Estimated Concrete Demand (m³)]]*Market_Data[[#This Row],[Avg Price per (₹ / m³)]]/10000000)</f>
        <v>0.71423999999999999</v>
      </c>
      <c r="O662" s="97" t="str">
        <f>IF(Market_Data[[#This Row],[Estimated Concrete Demand (m³)]]="","",
IF(Market_Data[[#This Row],[Estimated Concrete Demand (m³)]]&lt;10000,"Small",
IF(Market_Data[[#This Row],[Estimated Concrete Demand (m³)]]&lt;25000,"Medium",
IF(Market_Data[[#This Row],[Estimated Concrete Demand (m³)]]&lt;100000,"Large","Mega"))))</f>
        <v>Small</v>
      </c>
      <c r="P662" s="287" t="str">
        <f t="shared" si="12"/>
        <v>GujRERA</v>
      </c>
    </row>
    <row r="663" spans="1:16">
      <c r="A663" s="129" t="str">
        <f>_xlfn.XLOOKUP(B663,$S$9:$S$14,$T$9:$T$14)&amp;"-"&amp;
IF(E663="Residential/Group Housing","RES",
IF(E663="Commercial","COM",
IF(E663="Mixed Development","MIX",
IF(E663="Plotted Development","PLT","OTH"))))
&amp;"-"&amp;TEXT(COUNTIFS($B$9:B663,B663,$E$9:E663,E663),"0000")</f>
        <v>SUR-RES-0132</v>
      </c>
      <c r="B663" s="322" t="s">
        <v>34</v>
      </c>
      <c r="C663" s="322" t="s">
        <v>34</v>
      </c>
      <c r="D663" s="323" t="s">
        <v>853</v>
      </c>
      <c r="E663" s="132" t="s">
        <v>24</v>
      </c>
      <c r="F663" s="97" t="str">
        <f ca="1">IF(OR(Market_Data[[#This Row],[Start Date]]="",Market_Data[[#This Row],[Completion Date]]=""),"Needs Validation",IF(Market_Data[[#This Row],[Start Date]]&gt;TODAY(),"Planned",IF(Market_Data[[#This Row],[Completion Date]]&lt;TODAY(),"Completed","Ongoing")))</f>
        <v>Completed</v>
      </c>
      <c r="G663" s="324">
        <v>42019</v>
      </c>
      <c r="H663" s="324">
        <v>43707</v>
      </c>
      <c r="I663" s="325">
        <v>55100</v>
      </c>
      <c r="J66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63" s="133">
        <f>_xlfn.XLOOKUP(Market_Data[[#This Row],[Project Type]],tbl_assumptions_market[Project Category (RERA)],tbl_assumptions_market[Concrete Intensity
(m³ / sq m BUA)],"",0)</f>
        <v>0.45</v>
      </c>
      <c r="L663" s="134">
        <f>ROUND(Market_Data[[#This Row],[Estimated Built Up Area (sq m)]]*Market_Data[[#This Row],[Concrete Intensity
(m³ / sq m)]],0)</f>
        <v>24795</v>
      </c>
      <c r="M663" s="135">
        <f>_xlfn.XLOOKUP(Market_Data[[#This Row],[District]],tbl_district_price[District],tbl_district_price[Standard Price
(INR/m³)],"",0)</f>
        <v>6200</v>
      </c>
      <c r="N663" s="364">
        <f>IF(OR(Market_Data[[#This Row],[Estimated Concrete Demand (m³)]]="",Market_Data[[#This Row],[Avg Price per (₹ / m³)]]=""),"",Market_Data[[#This Row],[Estimated Concrete Demand (m³)]]*Market_Data[[#This Row],[Avg Price per (₹ / m³)]]/10000000)</f>
        <v>15.3729</v>
      </c>
      <c r="O663" s="97" t="str">
        <f>IF(Market_Data[[#This Row],[Estimated Concrete Demand (m³)]]="","",
IF(Market_Data[[#This Row],[Estimated Concrete Demand (m³)]]&lt;10000,"Small",
IF(Market_Data[[#This Row],[Estimated Concrete Demand (m³)]]&lt;25000,"Medium",
IF(Market_Data[[#This Row],[Estimated Concrete Demand (m³)]]&lt;100000,"Large","Mega"))))</f>
        <v>Medium</v>
      </c>
      <c r="P663" s="287" t="str">
        <f t="shared" si="12"/>
        <v>GujRERA</v>
      </c>
    </row>
    <row r="664" spans="1:16">
      <c r="A664" s="129" t="str">
        <f>_xlfn.XLOOKUP(B664,$S$9:$S$14,$T$9:$T$14)&amp;"-"&amp;
IF(E664="Residential/Group Housing","RES",
IF(E664="Commercial","COM",
IF(E664="Mixed Development","MIX",
IF(E664="Plotted Development","PLT","OTH"))))
&amp;"-"&amp;TEXT(COUNTIFS($B$9:B664,B664,$E$9:E664,E664),"0000")</f>
        <v>SUR-RES-0133</v>
      </c>
      <c r="B664" s="322" t="s">
        <v>34</v>
      </c>
      <c r="C664" s="322" t="s">
        <v>34</v>
      </c>
      <c r="D664" s="323" t="s">
        <v>854</v>
      </c>
      <c r="E664" s="132" t="s">
        <v>24</v>
      </c>
      <c r="F664" s="97" t="str">
        <f ca="1">IF(OR(Market_Data[[#This Row],[Start Date]]="",Market_Data[[#This Row],[Completion Date]]=""),"Needs Validation",IF(Market_Data[[#This Row],[Start Date]]&gt;TODAY(),"Planned",IF(Market_Data[[#This Row],[Completion Date]]&lt;TODAY(),"Completed","Ongoing")))</f>
        <v>Ongoing</v>
      </c>
      <c r="G664" s="324">
        <v>45297</v>
      </c>
      <c r="H664" s="324">
        <v>46477</v>
      </c>
      <c r="I664" s="325">
        <v>38200</v>
      </c>
      <c r="J66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64" s="133">
        <f>_xlfn.XLOOKUP(Market_Data[[#This Row],[Project Type]],tbl_assumptions_market[Project Category (RERA)],tbl_assumptions_market[Concrete Intensity
(m³ / sq m BUA)],"",0)</f>
        <v>0.45</v>
      </c>
      <c r="L664" s="134">
        <f>ROUND(Market_Data[[#This Row],[Estimated Built Up Area (sq m)]]*Market_Data[[#This Row],[Concrete Intensity
(m³ / sq m)]],0)</f>
        <v>17190</v>
      </c>
      <c r="M664" s="135">
        <f>_xlfn.XLOOKUP(Market_Data[[#This Row],[District]],tbl_district_price[District],tbl_district_price[Standard Price
(INR/m³)],"",0)</f>
        <v>6200</v>
      </c>
      <c r="N664" s="364">
        <f>IF(OR(Market_Data[[#This Row],[Estimated Concrete Demand (m³)]]="",Market_Data[[#This Row],[Avg Price per (₹ / m³)]]=""),"",Market_Data[[#This Row],[Estimated Concrete Demand (m³)]]*Market_Data[[#This Row],[Avg Price per (₹ / m³)]]/10000000)</f>
        <v>10.6578</v>
      </c>
      <c r="O664" s="97" t="str">
        <f>IF(Market_Data[[#This Row],[Estimated Concrete Demand (m³)]]="","",
IF(Market_Data[[#This Row],[Estimated Concrete Demand (m³)]]&lt;10000,"Small",
IF(Market_Data[[#This Row],[Estimated Concrete Demand (m³)]]&lt;25000,"Medium",
IF(Market_Data[[#This Row],[Estimated Concrete Demand (m³)]]&lt;100000,"Large","Mega"))))</f>
        <v>Medium</v>
      </c>
      <c r="P664" s="287" t="str">
        <f t="shared" si="12"/>
        <v>GujRERA</v>
      </c>
    </row>
    <row r="665" spans="1:16">
      <c r="A665" s="129" t="str">
        <f>_xlfn.XLOOKUP(B665,$S$9:$S$14,$T$9:$T$14)&amp;"-"&amp;
IF(E665="Residential/Group Housing","RES",
IF(E665="Commercial","COM",
IF(E665="Mixed Development","MIX",
IF(E665="Plotted Development","PLT","OTH"))))
&amp;"-"&amp;TEXT(COUNTIFS($B$9:B665,B665,$E$9:E665,E665),"0000")</f>
        <v>SUR-RES-0134</v>
      </c>
      <c r="B665" s="322" t="s">
        <v>34</v>
      </c>
      <c r="C665" s="322" t="s">
        <v>34</v>
      </c>
      <c r="D665" s="323" t="s">
        <v>855</v>
      </c>
      <c r="E665" s="132" t="s">
        <v>24</v>
      </c>
      <c r="F665" s="97" t="str">
        <f ca="1">IF(OR(Market_Data[[#This Row],[Start Date]]="",Market_Data[[#This Row],[Completion Date]]=""),"Needs Validation",IF(Market_Data[[#This Row],[Start Date]]&gt;TODAY(),"Planned",IF(Market_Data[[#This Row],[Completion Date]]&lt;TODAY(),"Completed","Ongoing")))</f>
        <v>Completed</v>
      </c>
      <c r="G665" s="324">
        <v>42353</v>
      </c>
      <c r="H665" s="324">
        <v>43494</v>
      </c>
      <c r="I665" s="325">
        <v>7200</v>
      </c>
      <c r="J66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65" s="133">
        <f>_xlfn.XLOOKUP(Market_Data[[#This Row],[Project Type]],tbl_assumptions_market[Project Category (RERA)],tbl_assumptions_market[Concrete Intensity
(m³ / sq m BUA)],"",0)</f>
        <v>0.45</v>
      </c>
      <c r="L665" s="134">
        <f>ROUND(Market_Data[[#This Row],[Estimated Built Up Area (sq m)]]*Market_Data[[#This Row],[Concrete Intensity
(m³ / sq m)]],0)</f>
        <v>3240</v>
      </c>
      <c r="M665" s="135">
        <f>_xlfn.XLOOKUP(Market_Data[[#This Row],[District]],tbl_district_price[District],tbl_district_price[Standard Price
(INR/m³)],"",0)</f>
        <v>6200</v>
      </c>
      <c r="N665" s="364">
        <f>IF(OR(Market_Data[[#This Row],[Estimated Concrete Demand (m³)]]="",Market_Data[[#This Row],[Avg Price per (₹ / m³)]]=""),"",Market_Data[[#This Row],[Estimated Concrete Demand (m³)]]*Market_Data[[#This Row],[Avg Price per (₹ / m³)]]/10000000)</f>
        <v>2.0087999999999999</v>
      </c>
      <c r="O665" s="97" t="str">
        <f>IF(Market_Data[[#This Row],[Estimated Concrete Demand (m³)]]="","",
IF(Market_Data[[#This Row],[Estimated Concrete Demand (m³)]]&lt;10000,"Small",
IF(Market_Data[[#This Row],[Estimated Concrete Demand (m³)]]&lt;25000,"Medium",
IF(Market_Data[[#This Row],[Estimated Concrete Demand (m³)]]&lt;100000,"Large","Mega"))))</f>
        <v>Small</v>
      </c>
      <c r="P665" s="287" t="str">
        <f t="shared" si="12"/>
        <v>GujRERA</v>
      </c>
    </row>
    <row r="666" spans="1:16">
      <c r="A666" s="129" t="str">
        <f>_xlfn.XLOOKUP(B666,$S$9:$S$14,$T$9:$T$14)&amp;"-"&amp;
IF(E666="Residential/Group Housing","RES",
IF(E666="Commercial","COM",
IF(E666="Mixed Development","MIX",
IF(E666="Plotted Development","PLT","OTH"))))
&amp;"-"&amp;TEXT(COUNTIFS($B$9:B666,B666,$E$9:E666,E666),"0000")</f>
        <v>SUR-RES-0135</v>
      </c>
      <c r="B666" s="322" t="s">
        <v>34</v>
      </c>
      <c r="C666" s="322" t="s">
        <v>34</v>
      </c>
      <c r="D666" s="323" t="s">
        <v>856</v>
      </c>
      <c r="E666" s="132" t="s">
        <v>24</v>
      </c>
      <c r="F666" s="97" t="str">
        <f ca="1">IF(OR(Market_Data[[#This Row],[Start Date]]="",Market_Data[[#This Row],[Completion Date]]=""),"Needs Validation",IF(Market_Data[[#This Row],[Start Date]]&gt;TODAY(),"Planned",IF(Market_Data[[#This Row],[Completion Date]]&lt;TODAY(),"Completed","Ongoing")))</f>
        <v>Completed</v>
      </c>
      <c r="G666" s="324">
        <v>41086</v>
      </c>
      <c r="H666" s="324">
        <v>44741</v>
      </c>
      <c r="I666" s="325">
        <v>39200</v>
      </c>
      <c r="J66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66" s="133">
        <f>_xlfn.XLOOKUP(Market_Data[[#This Row],[Project Type]],tbl_assumptions_market[Project Category (RERA)],tbl_assumptions_market[Concrete Intensity
(m³ / sq m BUA)],"",0)</f>
        <v>0.45</v>
      </c>
      <c r="L666" s="134">
        <f>ROUND(Market_Data[[#This Row],[Estimated Built Up Area (sq m)]]*Market_Data[[#This Row],[Concrete Intensity
(m³ / sq m)]],0)</f>
        <v>17640</v>
      </c>
      <c r="M666" s="135">
        <f>_xlfn.XLOOKUP(Market_Data[[#This Row],[District]],tbl_district_price[District],tbl_district_price[Standard Price
(INR/m³)],"",0)</f>
        <v>6200</v>
      </c>
      <c r="N666" s="364">
        <f>IF(OR(Market_Data[[#This Row],[Estimated Concrete Demand (m³)]]="",Market_Data[[#This Row],[Avg Price per (₹ / m³)]]=""),"",Market_Data[[#This Row],[Estimated Concrete Demand (m³)]]*Market_Data[[#This Row],[Avg Price per (₹ / m³)]]/10000000)</f>
        <v>10.9368</v>
      </c>
      <c r="O666" s="97" t="str">
        <f>IF(Market_Data[[#This Row],[Estimated Concrete Demand (m³)]]="","",
IF(Market_Data[[#This Row],[Estimated Concrete Demand (m³)]]&lt;10000,"Small",
IF(Market_Data[[#This Row],[Estimated Concrete Demand (m³)]]&lt;25000,"Medium",
IF(Market_Data[[#This Row],[Estimated Concrete Demand (m³)]]&lt;100000,"Large","Mega"))))</f>
        <v>Medium</v>
      </c>
      <c r="P666" s="287" t="str">
        <f t="shared" si="12"/>
        <v>GujRERA</v>
      </c>
    </row>
    <row r="667" spans="1:16">
      <c r="A667" s="129" t="str">
        <f>_xlfn.XLOOKUP(B667,$S$9:$S$14,$T$9:$T$14)&amp;"-"&amp;
IF(E667="Residential/Group Housing","RES",
IF(E667="Commercial","COM",
IF(E667="Mixed Development","MIX",
IF(E667="Plotted Development","PLT","OTH"))))
&amp;"-"&amp;TEXT(COUNTIFS($B$9:B667,B667,$E$9:E667,E667),"0000")</f>
        <v>SUR-RES-0136</v>
      </c>
      <c r="B667" s="322" t="s">
        <v>34</v>
      </c>
      <c r="C667" s="322" t="s">
        <v>34</v>
      </c>
      <c r="D667" s="323" t="s">
        <v>857</v>
      </c>
      <c r="E667" s="132" t="s">
        <v>24</v>
      </c>
      <c r="F667" s="97" t="str">
        <f ca="1">IF(OR(Market_Data[[#This Row],[Start Date]]="",Market_Data[[#This Row],[Completion Date]]=""),"Needs Validation",IF(Market_Data[[#This Row],[Start Date]]&gt;TODAY(),"Planned",IF(Market_Data[[#This Row],[Completion Date]]&lt;TODAY(),"Completed","Ongoing")))</f>
        <v>Completed</v>
      </c>
      <c r="G667" s="324">
        <v>43070</v>
      </c>
      <c r="H667" s="324">
        <v>45382</v>
      </c>
      <c r="I667" s="325">
        <v>107300</v>
      </c>
      <c r="J66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667" s="133">
        <f>_xlfn.XLOOKUP(Market_Data[[#This Row],[Project Type]],tbl_assumptions_market[Project Category (RERA)],tbl_assumptions_market[Concrete Intensity
(m³ / sq m BUA)],"",0)</f>
        <v>0.45</v>
      </c>
      <c r="L667" s="134">
        <f>ROUND(Market_Data[[#This Row],[Estimated Built Up Area (sq m)]]*Market_Data[[#This Row],[Concrete Intensity
(m³ / sq m)]],0)</f>
        <v>48285</v>
      </c>
      <c r="M667" s="135">
        <f>_xlfn.XLOOKUP(Market_Data[[#This Row],[District]],tbl_district_price[District],tbl_district_price[Standard Price
(INR/m³)],"",0)</f>
        <v>6200</v>
      </c>
      <c r="N667" s="364">
        <f>IF(OR(Market_Data[[#This Row],[Estimated Concrete Demand (m³)]]="",Market_Data[[#This Row],[Avg Price per (₹ / m³)]]=""),"",Market_Data[[#This Row],[Estimated Concrete Demand (m³)]]*Market_Data[[#This Row],[Avg Price per (₹ / m³)]]/10000000)</f>
        <v>29.936699999999998</v>
      </c>
      <c r="O667" s="97" t="str">
        <f>IF(Market_Data[[#This Row],[Estimated Concrete Demand (m³)]]="","",
IF(Market_Data[[#This Row],[Estimated Concrete Demand (m³)]]&lt;10000,"Small",
IF(Market_Data[[#This Row],[Estimated Concrete Demand (m³)]]&lt;25000,"Medium",
IF(Market_Data[[#This Row],[Estimated Concrete Demand (m³)]]&lt;100000,"Large","Mega"))))</f>
        <v>Large</v>
      </c>
      <c r="P667" s="287" t="str">
        <f t="shared" si="12"/>
        <v>GujRERA</v>
      </c>
    </row>
    <row r="668" spans="1:16">
      <c r="A668" s="129" t="str">
        <f>_xlfn.XLOOKUP(B668,$S$9:$S$14,$T$9:$T$14)&amp;"-"&amp;
IF(E668="Residential/Group Housing","RES",
IF(E668="Commercial","COM",
IF(E668="Mixed Development","MIX",
IF(E668="Plotted Development","PLT","OTH"))))
&amp;"-"&amp;TEXT(COUNTIFS($B$9:B668,B668,$E$9:E668,E668),"0000")</f>
        <v>SUR-COM-0062</v>
      </c>
      <c r="B668" s="322" t="s">
        <v>34</v>
      </c>
      <c r="C668" s="322" t="s">
        <v>34</v>
      </c>
      <c r="D668" s="323" t="s">
        <v>858</v>
      </c>
      <c r="E668" s="132" t="s">
        <v>23</v>
      </c>
      <c r="F668" s="97" t="str">
        <f ca="1">IF(OR(Market_Data[[#This Row],[Start Date]]="",Market_Data[[#This Row],[Completion Date]]=""),"Needs Validation",IF(Market_Data[[#This Row],[Start Date]]&gt;TODAY(),"Planned",IF(Market_Data[[#This Row],[Completion Date]]&lt;TODAY(),"Completed","Ongoing")))</f>
        <v>Completed</v>
      </c>
      <c r="G668" s="324">
        <v>42537</v>
      </c>
      <c r="H668" s="324">
        <v>45199</v>
      </c>
      <c r="I668" s="325">
        <v>14100</v>
      </c>
      <c r="J66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68" s="133">
        <f>_xlfn.XLOOKUP(Market_Data[[#This Row],[Project Type]],tbl_assumptions_market[Project Category (RERA)],tbl_assumptions_market[Concrete Intensity
(m³ / sq m BUA)],"",0)</f>
        <v>0.5</v>
      </c>
      <c r="L668" s="134">
        <f>ROUND(Market_Data[[#This Row],[Estimated Built Up Area (sq m)]]*Market_Data[[#This Row],[Concrete Intensity
(m³ / sq m)]],0)</f>
        <v>7050</v>
      </c>
      <c r="M668" s="135">
        <f>_xlfn.XLOOKUP(Market_Data[[#This Row],[District]],tbl_district_price[District],tbl_district_price[Standard Price
(INR/m³)],"",0)</f>
        <v>6200</v>
      </c>
      <c r="N668" s="364">
        <f>IF(OR(Market_Data[[#This Row],[Estimated Concrete Demand (m³)]]="",Market_Data[[#This Row],[Avg Price per (₹ / m³)]]=""),"",Market_Data[[#This Row],[Estimated Concrete Demand (m³)]]*Market_Data[[#This Row],[Avg Price per (₹ / m³)]]/10000000)</f>
        <v>4.3710000000000004</v>
      </c>
      <c r="O668" s="97" t="str">
        <f>IF(Market_Data[[#This Row],[Estimated Concrete Demand (m³)]]="","",
IF(Market_Data[[#This Row],[Estimated Concrete Demand (m³)]]&lt;10000,"Small",
IF(Market_Data[[#This Row],[Estimated Concrete Demand (m³)]]&lt;25000,"Medium",
IF(Market_Data[[#This Row],[Estimated Concrete Demand (m³)]]&lt;100000,"Large","Mega"))))</f>
        <v>Small</v>
      </c>
      <c r="P668" s="287" t="str">
        <f t="shared" si="12"/>
        <v>GujRERA</v>
      </c>
    </row>
    <row r="669" spans="1:16">
      <c r="A669" s="129" t="str">
        <f>_xlfn.XLOOKUP(B669,$S$9:$S$14,$T$9:$T$14)&amp;"-"&amp;
IF(E669="Residential/Group Housing","RES",
IF(E669="Commercial","COM",
IF(E669="Mixed Development","MIX",
IF(E669="Plotted Development","PLT","OTH"))))
&amp;"-"&amp;TEXT(COUNTIFS($B$9:B669,B669,$E$9:E669,E669),"0000")</f>
        <v>SUR-RES-0137</v>
      </c>
      <c r="B669" s="322" t="s">
        <v>34</v>
      </c>
      <c r="C669" s="322" t="s">
        <v>34</v>
      </c>
      <c r="D669" s="323" t="s">
        <v>859</v>
      </c>
      <c r="E669" s="132" t="s">
        <v>24</v>
      </c>
      <c r="F669" s="97" t="str">
        <f ca="1">IF(OR(Market_Data[[#This Row],[Start Date]]="",Market_Data[[#This Row],[Completion Date]]=""),"Needs Validation",IF(Market_Data[[#This Row],[Start Date]]&gt;TODAY(),"Planned",IF(Market_Data[[#This Row],[Completion Date]]&lt;TODAY(),"Completed","Ongoing")))</f>
        <v>Ongoing</v>
      </c>
      <c r="G669" s="324">
        <v>45296</v>
      </c>
      <c r="H669" s="324">
        <v>47483</v>
      </c>
      <c r="I669" s="325">
        <v>56600</v>
      </c>
      <c r="J66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69" s="133">
        <f>_xlfn.XLOOKUP(Market_Data[[#This Row],[Project Type]],tbl_assumptions_market[Project Category (RERA)],tbl_assumptions_market[Concrete Intensity
(m³ / sq m BUA)],"",0)</f>
        <v>0.45</v>
      </c>
      <c r="L669" s="134">
        <f>ROUND(Market_Data[[#This Row],[Estimated Built Up Area (sq m)]]*Market_Data[[#This Row],[Concrete Intensity
(m³ / sq m)]],0)</f>
        <v>25470</v>
      </c>
      <c r="M669" s="135">
        <f>_xlfn.XLOOKUP(Market_Data[[#This Row],[District]],tbl_district_price[District],tbl_district_price[Standard Price
(INR/m³)],"",0)</f>
        <v>6200</v>
      </c>
      <c r="N669" s="364">
        <f>IF(OR(Market_Data[[#This Row],[Estimated Concrete Demand (m³)]]="",Market_Data[[#This Row],[Avg Price per (₹ / m³)]]=""),"",Market_Data[[#This Row],[Estimated Concrete Demand (m³)]]*Market_Data[[#This Row],[Avg Price per (₹ / m³)]]/10000000)</f>
        <v>15.791399999999999</v>
      </c>
      <c r="O669" s="97" t="str">
        <f>IF(Market_Data[[#This Row],[Estimated Concrete Demand (m³)]]="","",
IF(Market_Data[[#This Row],[Estimated Concrete Demand (m³)]]&lt;10000,"Small",
IF(Market_Data[[#This Row],[Estimated Concrete Demand (m³)]]&lt;25000,"Medium",
IF(Market_Data[[#This Row],[Estimated Concrete Demand (m³)]]&lt;100000,"Large","Mega"))))</f>
        <v>Large</v>
      </c>
      <c r="P669" s="287" t="str">
        <f t="shared" si="12"/>
        <v>GujRERA</v>
      </c>
    </row>
    <row r="670" spans="1:16">
      <c r="A670" s="129" t="str">
        <f>_xlfn.XLOOKUP(B670,$S$9:$S$14,$T$9:$T$14)&amp;"-"&amp;
IF(E670="Residential/Group Housing","RES",
IF(E670="Commercial","COM",
IF(E670="Mixed Development","MIX",
IF(E670="Plotted Development","PLT","OTH"))))
&amp;"-"&amp;TEXT(COUNTIFS($B$9:B670,B670,$E$9:E670,E670),"0000")</f>
        <v>SUR-COM-0063</v>
      </c>
      <c r="B670" s="322" t="s">
        <v>34</v>
      </c>
      <c r="C670" s="322" t="s">
        <v>34</v>
      </c>
      <c r="D670" s="323" t="s">
        <v>860</v>
      </c>
      <c r="E670" s="132" t="s">
        <v>23</v>
      </c>
      <c r="F670" s="97" t="str">
        <f ca="1">IF(OR(Market_Data[[#This Row],[Start Date]]="",Market_Data[[#This Row],[Completion Date]]=""),"Needs Validation",IF(Market_Data[[#This Row],[Start Date]]&gt;TODAY(),"Planned",IF(Market_Data[[#This Row],[Completion Date]]&lt;TODAY(),"Completed","Ongoing")))</f>
        <v>Completed</v>
      </c>
      <c r="G670" s="324">
        <v>44148</v>
      </c>
      <c r="H670" s="324">
        <v>46021</v>
      </c>
      <c r="I670" s="325">
        <v>19500</v>
      </c>
      <c r="J67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70" s="133">
        <f>_xlfn.XLOOKUP(Market_Data[[#This Row],[Project Type]],tbl_assumptions_market[Project Category (RERA)],tbl_assumptions_market[Concrete Intensity
(m³ / sq m BUA)],"",0)</f>
        <v>0.5</v>
      </c>
      <c r="L670" s="134">
        <f>ROUND(Market_Data[[#This Row],[Estimated Built Up Area (sq m)]]*Market_Data[[#This Row],[Concrete Intensity
(m³ / sq m)]],0)</f>
        <v>9750</v>
      </c>
      <c r="M670" s="135">
        <f>_xlfn.XLOOKUP(Market_Data[[#This Row],[District]],tbl_district_price[District],tbl_district_price[Standard Price
(INR/m³)],"",0)</f>
        <v>6200</v>
      </c>
      <c r="N670" s="364">
        <f>IF(OR(Market_Data[[#This Row],[Estimated Concrete Demand (m³)]]="",Market_Data[[#This Row],[Avg Price per (₹ / m³)]]=""),"",Market_Data[[#This Row],[Estimated Concrete Demand (m³)]]*Market_Data[[#This Row],[Avg Price per (₹ / m³)]]/10000000)</f>
        <v>6.0449999999999999</v>
      </c>
      <c r="O670" s="97" t="str">
        <f>IF(Market_Data[[#This Row],[Estimated Concrete Demand (m³)]]="","",
IF(Market_Data[[#This Row],[Estimated Concrete Demand (m³)]]&lt;10000,"Small",
IF(Market_Data[[#This Row],[Estimated Concrete Demand (m³)]]&lt;25000,"Medium",
IF(Market_Data[[#This Row],[Estimated Concrete Demand (m³)]]&lt;100000,"Large","Mega"))))</f>
        <v>Small</v>
      </c>
      <c r="P670" s="287" t="str">
        <f t="shared" si="12"/>
        <v>GujRERA</v>
      </c>
    </row>
    <row r="671" spans="1:16">
      <c r="A671" s="129" t="str">
        <f>_xlfn.XLOOKUP(B671,$S$9:$S$14,$T$9:$T$14)&amp;"-"&amp;
IF(E671="Residential/Group Housing","RES",
IF(E671="Commercial","COM",
IF(E671="Mixed Development","MIX",
IF(E671="Plotted Development","PLT","OTH"))))
&amp;"-"&amp;TEXT(COUNTIFS($B$9:B671,B671,$E$9:E671,E671),"0000")</f>
        <v>SUR-RES-0138</v>
      </c>
      <c r="B671" s="322" t="s">
        <v>34</v>
      </c>
      <c r="C671" s="322" t="s">
        <v>34</v>
      </c>
      <c r="D671" s="323" t="s">
        <v>861</v>
      </c>
      <c r="E671" s="132" t="s">
        <v>24</v>
      </c>
      <c r="F671" s="97" t="str">
        <f ca="1">IF(OR(Market_Data[[#This Row],[Start Date]]="",Market_Data[[#This Row],[Completion Date]]=""),"Needs Validation",IF(Market_Data[[#This Row],[Start Date]]&gt;TODAY(),"Planned",IF(Market_Data[[#This Row],[Completion Date]]&lt;TODAY(),"Completed","Ongoing")))</f>
        <v>Completed</v>
      </c>
      <c r="G671" s="324">
        <v>42376</v>
      </c>
      <c r="H671" s="324">
        <v>45047</v>
      </c>
      <c r="I671" s="325">
        <v>52400</v>
      </c>
      <c r="J67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71" s="133">
        <f>_xlfn.XLOOKUP(Market_Data[[#This Row],[Project Type]],tbl_assumptions_market[Project Category (RERA)],tbl_assumptions_market[Concrete Intensity
(m³ / sq m BUA)],"",0)</f>
        <v>0.45</v>
      </c>
      <c r="L671" s="134">
        <f>ROUND(Market_Data[[#This Row],[Estimated Built Up Area (sq m)]]*Market_Data[[#This Row],[Concrete Intensity
(m³ / sq m)]],0)</f>
        <v>23580</v>
      </c>
      <c r="M671" s="135">
        <f>_xlfn.XLOOKUP(Market_Data[[#This Row],[District]],tbl_district_price[District],tbl_district_price[Standard Price
(INR/m³)],"",0)</f>
        <v>6200</v>
      </c>
      <c r="N671" s="364">
        <f>IF(OR(Market_Data[[#This Row],[Estimated Concrete Demand (m³)]]="",Market_Data[[#This Row],[Avg Price per (₹ / m³)]]=""),"",Market_Data[[#This Row],[Estimated Concrete Demand (m³)]]*Market_Data[[#This Row],[Avg Price per (₹ / m³)]]/10000000)</f>
        <v>14.6196</v>
      </c>
      <c r="O671" s="97" t="str">
        <f>IF(Market_Data[[#This Row],[Estimated Concrete Demand (m³)]]="","",
IF(Market_Data[[#This Row],[Estimated Concrete Demand (m³)]]&lt;10000,"Small",
IF(Market_Data[[#This Row],[Estimated Concrete Demand (m³)]]&lt;25000,"Medium",
IF(Market_Data[[#This Row],[Estimated Concrete Demand (m³)]]&lt;100000,"Large","Mega"))))</f>
        <v>Medium</v>
      </c>
      <c r="P671" s="287" t="str">
        <f t="shared" si="12"/>
        <v>GujRERA</v>
      </c>
    </row>
    <row r="672" spans="1:16">
      <c r="A672" s="129" t="str">
        <f>_xlfn.XLOOKUP(B672,$S$9:$S$14,$T$9:$T$14)&amp;"-"&amp;
IF(E672="Residential/Group Housing","RES",
IF(E672="Commercial","COM",
IF(E672="Mixed Development","MIX",
IF(E672="Plotted Development","PLT","OTH"))))
&amp;"-"&amp;TEXT(COUNTIFS($B$9:B672,B672,$E$9:E672,E672),"0000")</f>
        <v>SUR-PLT-0086</v>
      </c>
      <c r="B672" s="322" t="s">
        <v>34</v>
      </c>
      <c r="C672" s="322" t="s">
        <v>34</v>
      </c>
      <c r="D672" s="323" t="s">
        <v>862</v>
      </c>
      <c r="E672" s="132" t="s">
        <v>26</v>
      </c>
      <c r="F672" s="97" t="str">
        <f ca="1">IF(OR(Market_Data[[#This Row],[Start Date]]="",Market_Data[[#This Row],[Completion Date]]=""),"Needs Validation",IF(Market_Data[[#This Row],[Start Date]]&gt;TODAY(),"Planned",IF(Market_Data[[#This Row],[Completion Date]]&lt;TODAY(),"Completed","Ongoing")))</f>
        <v>Completed</v>
      </c>
      <c r="G672" s="324">
        <v>43240</v>
      </c>
      <c r="H672" s="324">
        <v>44104</v>
      </c>
      <c r="I672" s="325">
        <v>15400</v>
      </c>
      <c r="J67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72" s="133">
        <f>_xlfn.XLOOKUP(Market_Data[[#This Row],[Project Type]],tbl_assumptions_market[Project Category (RERA)],tbl_assumptions_market[Concrete Intensity
(m³ / sq m BUA)],"",0)</f>
        <v>0.18</v>
      </c>
      <c r="L672" s="134">
        <f>ROUND(Market_Data[[#This Row],[Estimated Built Up Area (sq m)]]*Market_Data[[#This Row],[Concrete Intensity
(m³ / sq m)]],0)</f>
        <v>2772</v>
      </c>
      <c r="M672" s="135">
        <f>_xlfn.XLOOKUP(Market_Data[[#This Row],[District]],tbl_district_price[District],tbl_district_price[Standard Price
(INR/m³)],"",0)</f>
        <v>6200</v>
      </c>
      <c r="N672" s="364">
        <f>IF(OR(Market_Data[[#This Row],[Estimated Concrete Demand (m³)]]="",Market_Data[[#This Row],[Avg Price per (₹ / m³)]]=""),"",Market_Data[[#This Row],[Estimated Concrete Demand (m³)]]*Market_Data[[#This Row],[Avg Price per (₹ / m³)]]/10000000)</f>
        <v>1.7186399999999999</v>
      </c>
      <c r="O672" s="97" t="str">
        <f>IF(Market_Data[[#This Row],[Estimated Concrete Demand (m³)]]="","",
IF(Market_Data[[#This Row],[Estimated Concrete Demand (m³)]]&lt;10000,"Small",
IF(Market_Data[[#This Row],[Estimated Concrete Demand (m³)]]&lt;25000,"Medium",
IF(Market_Data[[#This Row],[Estimated Concrete Demand (m³)]]&lt;100000,"Large","Mega"))))</f>
        <v>Small</v>
      </c>
      <c r="P672" s="287" t="str">
        <f t="shared" si="12"/>
        <v>GujRERA</v>
      </c>
    </row>
    <row r="673" spans="1:16">
      <c r="A673" s="129" t="str">
        <f>_xlfn.XLOOKUP(B673,$S$9:$S$14,$T$9:$T$14)&amp;"-"&amp;
IF(E673="Residential/Group Housing","RES",
IF(E673="Commercial","COM",
IF(E673="Mixed Development","MIX",
IF(E673="Plotted Development","PLT","OTH"))))
&amp;"-"&amp;TEXT(COUNTIFS($B$9:B673,B673,$E$9:E673,E673),"0000")</f>
        <v>SUR-MIX-0068</v>
      </c>
      <c r="B673" s="322" t="s">
        <v>34</v>
      </c>
      <c r="C673" s="322" t="s">
        <v>34</v>
      </c>
      <c r="D673" s="323" t="s">
        <v>863</v>
      </c>
      <c r="E673" s="132" t="s">
        <v>25</v>
      </c>
      <c r="F673" s="97" t="str">
        <f ca="1">IF(OR(Market_Data[[#This Row],[Start Date]]="",Market_Data[[#This Row],[Completion Date]]=""),"Needs Validation",IF(Market_Data[[#This Row],[Start Date]]&gt;TODAY(),"Planned",IF(Market_Data[[#This Row],[Completion Date]]&lt;TODAY(),"Completed","Ongoing")))</f>
        <v>Completed</v>
      </c>
      <c r="G673" s="324">
        <v>43718</v>
      </c>
      <c r="H673" s="324">
        <v>45838</v>
      </c>
      <c r="I673" s="325">
        <v>12400</v>
      </c>
      <c r="J67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73" s="133">
        <f>_xlfn.XLOOKUP(Market_Data[[#This Row],[Project Type]],tbl_assumptions_market[Project Category (RERA)],tbl_assumptions_market[Concrete Intensity
(m³ / sq m BUA)],"",0)</f>
        <v>0.42</v>
      </c>
      <c r="L673" s="134">
        <f>ROUND(Market_Data[[#This Row],[Estimated Built Up Area (sq m)]]*Market_Data[[#This Row],[Concrete Intensity
(m³ / sq m)]],0)</f>
        <v>5208</v>
      </c>
      <c r="M673" s="135">
        <f>_xlfn.XLOOKUP(Market_Data[[#This Row],[District]],tbl_district_price[District],tbl_district_price[Standard Price
(INR/m³)],"",0)</f>
        <v>6200</v>
      </c>
      <c r="N673" s="364">
        <f>IF(OR(Market_Data[[#This Row],[Estimated Concrete Demand (m³)]]="",Market_Data[[#This Row],[Avg Price per (₹ / m³)]]=""),"",Market_Data[[#This Row],[Estimated Concrete Demand (m³)]]*Market_Data[[#This Row],[Avg Price per (₹ / m³)]]/10000000)</f>
        <v>3.2289599999999998</v>
      </c>
      <c r="O673" s="97" t="str">
        <f>IF(Market_Data[[#This Row],[Estimated Concrete Demand (m³)]]="","",
IF(Market_Data[[#This Row],[Estimated Concrete Demand (m³)]]&lt;10000,"Small",
IF(Market_Data[[#This Row],[Estimated Concrete Demand (m³)]]&lt;25000,"Medium",
IF(Market_Data[[#This Row],[Estimated Concrete Demand (m³)]]&lt;100000,"Large","Mega"))))</f>
        <v>Small</v>
      </c>
      <c r="P673" s="287" t="str">
        <f t="shared" si="12"/>
        <v>GujRERA</v>
      </c>
    </row>
    <row r="674" spans="1:16">
      <c r="A674" s="129" t="str">
        <f>_xlfn.XLOOKUP(B674,$S$9:$S$14,$T$9:$T$14)&amp;"-"&amp;
IF(E674="Residential/Group Housing","RES",
IF(E674="Commercial","COM",
IF(E674="Mixed Development","MIX",
IF(E674="Plotted Development","PLT","OTH"))))
&amp;"-"&amp;TEXT(COUNTIFS($B$9:B674,B674,$E$9:E674,E674),"0000")</f>
        <v>SUR-COM-0064</v>
      </c>
      <c r="B674" s="322" t="s">
        <v>34</v>
      </c>
      <c r="C674" s="322" t="s">
        <v>34</v>
      </c>
      <c r="D674" s="323" t="s">
        <v>864</v>
      </c>
      <c r="E674" s="132" t="s">
        <v>23</v>
      </c>
      <c r="F674" s="97" t="str">
        <f ca="1">IF(OR(Market_Data[[#This Row],[Start Date]]="",Market_Data[[#This Row],[Completion Date]]=""),"Needs Validation",IF(Market_Data[[#This Row],[Start Date]]&gt;TODAY(),"Planned",IF(Market_Data[[#This Row],[Completion Date]]&lt;TODAY(),"Completed","Ongoing")))</f>
        <v>Completed</v>
      </c>
      <c r="G674" s="324">
        <v>43052</v>
      </c>
      <c r="H674" s="324">
        <v>44316</v>
      </c>
      <c r="I674" s="325">
        <v>69100</v>
      </c>
      <c r="J67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674" s="133">
        <f>_xlfn.XLOOKUP(Market_Data[[#This Row],[Project Type]],tbl_assumptions_market[Project Category (RERA)],tbl_assumptions_market[Concrete Intensity
(m³ / sq m BUA)],"",0)</f>
        <v>0.5</v>
      </c>
      <c r="L674" s="134">
        <f>ROUND(Market_Data[[#This Row],[Estimated Built Up Area (sq m)]]*Market_Data[[#This Row],[Concrete Intensity
(m³ / sq m)]],0)</f>
        <v>34550</v>
      </c>
      <c r="M674" s="135">
        <f>_xlfn.XLOOKUP(Market_Data[[#This Row],[District]],tbl_district_price[District],tbl_district_price[Standard Price
(INR/m³)],"",0)</f>
        <v>6200</v>
      </c>
      <c r="N674" s="364">
        <f>IF(OR(Market_Data[[#This Row],[Estimated Concrete Demand (m³)]]="",Market_Data[[#This Row],[Avg Price per (₹ / m³)]]=""),"",Market_Data[[#This Row],[Estimated Concrete Demand (m³)]]*Market_Data[[#This Row],[Avg Price per (₹ / m³)]]/10000000)</f>
        <v>21.420999999999999</v>
      </c>
      <c r="O674" s="97" t="str">
        <f>IF(Market_Data[[#This Row],[Estimated Concrete Demand (m³)]]="","",
IF(Market_Data[[#This Row],[Estimated Concrete Demand (m³)]]&lt;10000,"Small",
IF(Market_Data[[#This Row],[Estimated Concrete Demand (m³)]]&lt;25000,"Medium",
IF(Market_Data[[#This Row],[Estimated Concrete Demand (m³)]]&lt;100000,"Large","Mega"))))</f>
        <v>Large</v>
      </c>
      <c r="P674" s="287" t="str">
        <f t="shared" si="12"/>
        <v>GujRERA</v>
      </c>
    </row>
    <row r="675" spans="1:16">
      <c r="A675" s="129" t="str">
        <f>_xlfn.XLOOKUP(B675,$S$9:$S$14,$T$9:$T$14)&amp;"-"&amp;
IF(E675="Residential/Group Housing","RES",
IF(E675="Commercial","COM",
IF(E675="Mixed Development","MIX",
IF(E675="Plotted Development","PLT","OTH"))))
&amp;"-"&amp;TEXT(COUNTIFS($B$9:B675,B675,$E$9:E675,E675),"0000")</f>
        <v>SUR-MIX-0069</v>
      </c>
      <c r="B675" s="322" t="s">
        <v>34</v>
      </c>
      <c r="C675" s="322" t="s">
        <v>34</v>
      </c>
      <c r="D675" s="323" t="s">
        <v>865</v>
      </c>
      <c r="E675" s="132" t="s">
        <v>25</v>
      </c>
      <c r="F675" s="97" t="str">
        <f ca="1">IF(OR(Market_Data[[#This Row],[Start Date]]="",Market_Data[[#This Row],[Completion Date]]=""),"Needs Validation",IF(Market_Data[[#This Row],[Start Date]]&gt;TODAY(),"Planned",IF(Market_Data[[#This Row],[Completion Date]]&lt;TODAY(),"Completed","Ongoing")))</f>
        <v>Completed</v>
      </c>
      <c r="G675" s="324">
        <v>43502</v>
      </c>
      <c r="H675" s="324">
        <v>46203</v>
      </c>
      <c r="I675" s="325">
        <v>53700</v>
      </c>
      <c r="J67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75" s="133">
        <f>_xlfn.XLOOKUP(Market_Data[[#This Row],[Project Type]],tbl_assumptions_market[Project Category (RERA)],tbl_assumptions_market[Concrete Intensity
(m³ / sq m BUA)],"",0)</f>
        <v>0.42</v>
      </c>
      <c r="L675" s="134">
        <f>ROUND(Market_Data[[#This Row],[Estimated Built Up Area (sq m)]]*Market_Data[[#This Row],[Concrete Intensity
(m³ / sq m)]],0)</f>
        <v>22554</v>
      </c>
      <c r="M675" s="135">
        <f>_xlfn.XLOOKUP(Market_Data[[#This Row],[District]],tbl_district_price[District],tbl_district_price[Standard Price
(INR/m³)],"",0)</f>
        <v>6200</v>
      </c>
      <c r="N675" s="364">
        <f>IF(OR(Market_Data[[#This Row],[Estimated Concrete Demand (m³)]]="",Market_Data[[#This Row],[Avg Price per (₹ / m³)]]=""),"",Market_Data[[#This Row],[Estimated Concrete Demand (m³)]]*Market_Data[[#This Row],[Avg Price per (₹ / m³)]]/10000000)</f>
        <v>13.98348</v>
      </c>
      <c r="O675" s="97" t="str">
        <f>IF(Market_Data[[#This Row],[Estimated Concrete Demand (m³)]]="","",
IF(Market_Data[[#This Row],[Estimated Concrete Demand (m³)]]&lt;10000,"Small",
IF(Market_Data[[#This Row],[Estimated Concrete Demand (m³)]]&lt;25000,"Medium",
IF(Market_Data[[#This Row],[Estimated Concrete Demand (m³)]]&lt;100000,"Large","Mega"))))</f>
        <v>Medium</v>
      </c>
      <c r="P675" s="287" t="str">
        <f t="shared" si="12"/>
        <v>GujRERA</v>
      </c>
    </row>
    <row r="676" spans="1:16">
      <c r="A676" s="129" t="str">
        <f>_xlfn.XLOOKUP(B676,$S$9:$S$14,$T$9:$T$14)&amp;"-"&amp;
IF(E676="Residential/Group Housing","RES",
IF(E676="Commercial","COM",
IF(E676="Mixed Development","MIX",
IF(E676="Plotted Development","PLT","OTH"))))
&amp;"-"&amp;TEXT(COUNTIFS($B$9:B676,B676,$E$9:E676,E676),"0000")</f>
        <v>SUR-COM-0065</v>
      </c>
      <c r="B676" s="322" t="s">
        <v>34</v>
      </c>
      <c r="C676" s="322" t="s">
        <v>34</v>
      </c>
      <c r="D676" s="323" t="s">
        <v>866</v>
      </c>
      <c r="E676" s="132" t="s">
        <v>23</v>
      </c>
      <c r="F676" s="97" t="str">
        <f ca="1">IF(OR(Market_Data[[#This Row],[Start Date]]="",Market_Data[[#This Row],[Completion Date]]=""),"Needs Validation",IF(Market_Data[[#This Row],[Start Date]]&gt;TODAY(),"Planned",IF(Market_Data[[#This Row],[Completion Date]]&lt;TODAY(),"Completed","Ongoing")))</f>
        <v>Completed</v>
      </c>
      <c r="G676" s="324">
        <v>43009</v>
      </c>
      <c r="H676" s="324">
        <v>43405</v>
      </c>
      <c r="I676" s="325">
        <v>34900</v>
      </c>
      <c r="J67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676" s="133">
        <f>_xlfn.XLOOKUP(Market_Data[[#This Row],[Project Type]],tbl_assumptions_market[Project Category (RERA)],tbl_assumptions_market[Concrete Intensity
(m³ / sq m BUA)],"",0)</f>
        <v>0.5</v>
      </c>
      <c r="L676" s="134">
        <f>ROUND(Market_Data[[#This Row],[Estimated Built Up Area (sq m)]]*Market_Data[[#This Row],[Concrete Intensity
(m³ / sq m)]],0)</f>
        <v>17450</v>
      </c>
      <c r="M676" s="135">
        <f>_xlfn.XLOOKUP(Market_Data[[#This Row],[District]],tbl_district_price[District],tbl_district_price[Standard Price
(INR/m³)],"",0)</f>
        <v>6200</v>
      </c>
      <c r="N676" s="364">
        <f>IF(OR(Market_Data[[#This Row],[Estimated Concrete Demand (m³)]]="",Market_Data[[#This Row],[Avg Price per (₹ / m³)]]=""),"",Market_Data[[#This Row],[Estimated Concrete Demand (m³)]]*Market_Data[[#This Row],[Avg Price per (₹ / m³)]]/10000000)</f>
        <v>10.819000000000001</v>
      </c>
      <c r="O676" s="97" t="str">
        <f>IF(Market_Data[[#This Row],[Estimated Concrete Demand (m³)]]="","",
IF(Market_Data[[#This Row],[Estimated Concrete Demand (m³)]]&lt;10000,"Small",
IF(Market_Data[[#This Row],[Estimated Concrete Demand (m³)]]&lt;25000,"Medium",
IF(Market_Data[[#This Row],[Estimated Concrete Demand (m³)]]&lt;100000,"Large","Mega"))))</f>
        <v>Medium</v>
      </c>
      <c r="P676" s="287" t="str">
        <f t="shared" si="12"/>
        <v>GujRERA</v>
      </c>
    </row>
    <row r="677" spans="1:16" ht="48">
      <c r="A677" s="129" t="str">
        <f>_xlfn.XLOOKUP(B677,$S$9:$S$14,$T$9:$T$14)&amp;"-"&amp;
IF(E677="Residential/Group Housing","RES",
IF(E677="Commercial","COM",
IF(E677="Mixed Development","MIX",
IF(E677="Plotted Development","PLT","OTH"))))
&amp;"-"&amp;TEXT(COUNTIFS($B$9:B677,B677,$E$9:E677,E677),"0000")</f>
        <v>SUR-RES-0139</v>
      </c>
      <c r="B677" s="322" t="s">
        <v>34</v>
      </c>
      <c r="C677" s="322" t="s">
        <v>34</v>
      </c>
      <c r="D677" s="323" t="s">
        <v>867</v>
      </c>
      <c r="E677" s="132" t="s">
        <v>24</v>
      </c>
      <c r="F677" s="97" t="str">
        <f ca="1">IF(OR(Market_Data[[#This Row],[Start Date]]="",Market_Data[[#This Row],[Completion Date]]=""),"Needs Validation",IF(Market_Data[[#This Row],[Start Date]]&gt;TODAY(),"Planned",IF(Market_Data[[#This Row],[Completion Date]]&lt;TODAY(),"Completed","Ongoing")))</f>
        <v>Completed</v>
      </c>
      <c r="G677" s="324">
        <v>44105</v>
      </c>
      <c r="H677" s="324">
        <v>45657</v>
      </c>
      <c r="I677" s="325">
        <v>14500</v>
      </c>
      <c r="J67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77" s="133">
        <f>_xlfn.XLOOKUP(Market_Data[[#This Row],[Project Type]],tbl_assumptions_market[Project Category (RERA)],tbl_assumptions_market[Concrete Intensity
(m³ / sq m BUA)],"",0)</f>
        <v>0.45</v>
      </c>
      <c r="L677" s="134">
        <f>ROUND(Market_Data[[#This Row],[Estimated Built Up Area (sq m)]]*Market_Data[[#This Row],[Concrete Intensity
(m³ / sq m)]],0)</f>
        <v>6525</v>
      </c>
      <c r="M677" s="135">
        <f>_xlfn.XLOOKUP(Market_Data[[#This Row],[District]],tbl_district_price[District],tbl_district_price[Standard Price
(INR/m³)],"",0)</f>
        <v>6200</v>
      </c>
      <c r="N677" s="364">
        <f>IF(OR(Market_Data[[#This Row],[Estimated Concrete Demand (m³)]]="",Market_Data[[#This Row],[Avg Price per (₹ / m³)]]=""),"",Market_Data[[#This Row],[Estimated Concrete Demand (m³)]]*Market_Data[[#This Row],[Avg Price per (₹ / m³)]]/10000000)</f>
        <v>4.0454999999999997</v>
      </c>
      <c r="O677" s="97" t="str">
        <f>IF(Market_Data[[#This Row],[Estimated Concrete Demand (m³)]]="","",
IF(Market_Data[[#This Row],[Estimated Concrete Demand (m³)]]&lt;10000,"Small",
IF(Market_Data[[#This Row],[Estimated Concrete Demand (m³)]]&lt;25000,"Medium",
IF(Market_Data[[#This Row],[Estimated Concrete Demand (m³)]]&lt;100000,"Large","Mega"))))</f>
        <v>Small</v>
      </c>
      <c r="P677" s="287" t="str">
        <f t="shared" si="12"/>
        <v>GujRERA</v>
      </c>
    </row>
    <row r="678" spans="1:16" ht="36">
      <c r="A678" s="129" t="str">
        <f>_xlfn.XLOOKUP(B678,$S$9:$S$14,$T$9:$T$14)&amp;"-"&amp;
IF(E678="Residential/Group Housing","RES",
IF(E678="Commercial","COM",
IF(E678="Mixed Development","MIX",
IF(E678="Plotted Development","PLT","OTH"))))
&amp;"-"&amp;TEXT(COUNTIFS($B$9:B678,B678,$E$9:E678,E678),"0000")</f>
        <v>SUR-RES-0140</v>
      </c>
      <c r="B678" s="322" t="s">
        <v>34</v>
      </c>
      <c r="C678" s="322" t="s">
        <v>34</v>
      </c>
      <c r="D678" s="323" t="s">
        <v>868</v>
      </c>
      <c r="E678" s="132" t="s">
        <v>24</v>
      </c>
      <c r="F678" s="97" t="str">
        <f ca="1">IF(OR(Market_Data[[#This Row],[Start Date]]="",Market_Data[[#This Row],[Completion Date]]=""),"Needs Validation",IF(Market_Data[[#This Row],[Start Date]]&gt;TODAY(),"Planned",IF(Market_Data[[#This Row],[Completion Date]]&lt;TODAY(),"Completed","Ongoing")))</f>
        <v>Completed</v>
      </c>
      <c r="G678" s="324">
        <v>42859</v>
      </c>
      <c r="H678" s="324">
        <v>44231</v>
      </c>
      <c r="I678" s="325">
        <v>41100</v>
      </c>
      <c r="J67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78" s="133">
        <f>_xlfn.XLOOKUP(Market_Data[[#This Row],[Project Type]],tbl_assumptions_market[Project Category (RERA)],tbl_assumptions_market[Concrete Intensity
(m³ / sq m BUA)],"",0)</f>
        <v>0.45</v>
      </c>
      <c r="L678" s="134">
        <f>ROUND(Market_Data[[#This Row],[Estimated Built Up Area (sq m)]]*Market_Data[[#This Row],[Concrete Intensity
(m³ / sq m)]],0)</f>
        <v>18495</v>
      </c>
      <c r="M678" s="135">
        <f>_xlfn.XLOOKUP(Market_Data[[#This Row],[District]],tbl_district_price[District],tbl_district_price[Standard Price
(INR/m³)],"",0)</f>
        <v>6200</v>
      </c>
      <c r="N678" s="364">
        <f>IF(OR(Market_Data[[#This Row],[Estimated Concrete Demand (m³)]]="",Market_Data[[#This Row],[Avg Price per (₹ / m³)]]=""),"",Market_Data[[#This Row],[Estimated Concrete Demand (m³)]]*Market_Data[[#This Row],[Avg Price per (₹ / m³)]]/10000000)</f>
        <v>11.466900000000001</v>
      </c>
      <c r="O678" s="97" t="str">
        <f>IF(Market_Data[[#This Row],[Estimated Concrete Demand (m³)]]="","",
IF(Market_Data[[#This Row],[Estimated Concrete Demand (m³)]]&lt;10000,"Small",
IF(Market_Data[[#This Row],[Estimated Concrete Demand (m³)]]&lt;25000,"Medium",
IF(Market_Data[[#This Row],[Estimated Concrete Demand (m³)]]&lt;100000,"Large","Mega"))))</f>
        <v>Medium</v>
      </c>
      <c r="P678" s="287" t="str">
        <f t="shared" si="12"/>
        <v>GujRERA</v>
      </c>
    </row>
    <row r="679" spans="1:16" ht="24">
      <c r="A679" s="129" t="str">
        <f>_xlfn.XLOOKUP(B679,$S$9:$S$14,$T$9:$T$14)&amp;"-"&amp;
IF(E679="Residential/Group Housing","RES",
IF(E679="Commercial","COM",
IF(E679="Mixed Development","MIX",
IF(E679="Plotted Development","PLT","OTH"))))
&amp;"-"&amp;TEXT(COUNTIFS($B$9:B679,B679,$E$9:E679,E679),"0000")</f>
        <v>SUR-RES-0141</v>
      </c>
      <c r="B679" s="322" t="s">
        <v>34</v>
      </c>
      <c r="C679" s="322" t="s">
        <v>34</v>
      </c>
      <c r="D679" s="323" t="s">
        <v>869</v>
      </c>
      <c r="E679" s="132" t="s">
        <v>24</v>
      </c>
      <c r="F679" s="97" t="str">
        <f ca="1">IF(OR(Market_Data[[#This Row],[Start Date]]="",Market_Data[[#This Row],[Completion Date]]=""),"Needs Validation",IF(Market_Data[[#This Row],[Start Date]]&gt;TODAY(),"Planned",IF(Market_Data[[#This Row],[Completion Date]]&lt;TODAY(),"Completed","Ongoing")))</f>
        <v>Completed</v>
      </c>
      <c r="G679" s="324">
        <v>42859</v>
      </c>
      <c r="H679" s="324">
        <v>43982</v>
      </c>
      <c r="I679" s="325">
        <v>34000</v>
      </c>
      <c r="J67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79" s="133">
        <f>_xlfn.XLOOKUP(Market_Data[[#This Row],[Project Type]],tbl_assumptions_market[Project Category (RERA)],tbl_assumptions_market[Concrete Intensity
(m³ / sq m BUA)],"",0)</f>
        <v>0.45</v>
      </c>
      <c r="L679" s="134">
        <f>ROUND(Market_Data[[#This Row],[Estimated Built Up Area (sq m)]]*Market_Data[[#This Row],[Concrete Intensity
(m³ / sq m)]],0)</f>
        <v>15300</v>
      </c>
      <c r="M679" s="135">
        <f>_xlfn.XLOOKUP(Market_Data[[#This Row],[District]],tbl_district_price[District],tbl_district_price[Standard Price
(INR/m³)],"",0)</f>
        <v>6200</v>
      </c>
      <c r="N679" s="364">
        <f>IF(OR(Market_Data[[#This Row],[Estimated Concrete Demand (m³)]]="",Market_Data[[#This Row],[Avg Price per (₹ / m³)]]=""),"",Market_Data[[#This Row],[Estimated Concrete Demand (m³)]]*Market_Data[[#This Row],[Avg Price per (₹ / m³)]]/10000000)</f>
        <v>9.4860000000000007</v>
      </c>
      <c r="O679" s="97" t="str">
        <f>IF(Market_Data[[#This Row],[Estimated Concrete Demand (m³)]]="","",
IF(Market_Data[[#This Row],[Estimated Concrete Demand (m³)]]&lt;10000,"Small",
IF(Market_Data[[#This Row],[Estimated Concrete Demand (m³)]]&lt;25000,"Medium",
IF(Market_Data[[#This Row],[Estimated Concrete Demand (m³)]]&lt;100000,"Large","Mega"))))</f>
        <v>Medium</v>
      </c>
      <c r="P679" s="287" t="str">
        <f t="shared" si="12"/>
        <v>GujRERA</v>
      </c>
    </row>
    <row r="680" spans="1:16" ht="24">
      <c r="A680" s="129" t="str">
        <f>_xlfn.XLOOKUP(B680,$S$9:$S$14,$T$9:$T$14)&amp;"-"&amp;
IF(E680="Residential/Group Housing","RES",
IF(E680="Commercial","COM",
IF(E680="Mixed Development","MIX",
IF(E680="Plotted Development","PLT","OTH"))))
&amp;"-"&amp;TEXT(COUNTIFS($B$9:B680,B680,$E$9:E680,E680),"0000")</f>
        <v>SUR-RES-0142</v>
      </c>
      <c r="B680" s="322" t="s">
        <v>34</v>
      </c>
      <c r="C680" s="322" t="s">
        <v>34</v>
      </c>
      <c r="D680" s="323" t="s">
        <v>870</v>
      </c>
      <c r="E680" s="132" t="s">
        <v>24</v>
      </c>
      <c r="F680" s="97" t="str">
        <f ca="1">IF(OR(Market_Data[[#This Row],[Start Date]]="",Market_Data[[#This Row],[Completion Date]]=""),"Needs Validation",IF(Market_Data[[#This Row],[Start Date]]&gt;TODAY(),"Planned",IF(Market_Data[[#This Row],[Completion Date]]&lt;TODAY(),"Completed","Ongoing")))</f>
        <v>Completed</v>
      </c>
      <c r="G680" s="324">
        <v>42783</v>
      </c>
      <c r="H680" s="324">
        <v>44165</v>
      </c>
      <c r="I680" s="325">
        <v>25000</v>
      </c>
      <c r="J68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80" s="133">
        <f>_xlfn.XLOOKUP(Market_Data[[#This Row],[Project Type]],tbl_assumptions_market[Project Category (RERA)],tbl_assumptions_market[Concrete Intensity
(m³ / sq m BUA)],"",0)</f>
        <v>0.45</v>
      </c>
      <c r="L680" s="134">
        <f>ROUND(Market_Data[[#This Row],[Estimated Built Up Area (sq m)]]*Market_Data[[#This Row],[Concrete Intensity
(m³ / sq m)]],0)</f>
        <v>11250</v>
      </c>
      <c r="M680" s="135">
        <f>_xlfn.XLOOKUP(Market_Data[[#This Row],[District]],tbl_district_price[District],tbl_district_price[Standard Price
(INR/m³)],"",0)</f>
        <v>6200</v>
      </c>
      <c r="N680" s="364">
        <f>IF(OR(Market_Data[[#This Row],[Estimated Concrete Demand (m³)]]="",Market_Data[[#This Row],[Avg Price per (₹ / m³)]]=""),"",Market_Data[[#This Row],[Estimated Concrete Demand (m³)]]*Market_Data[[#This Row],[Avg Price per (₹ / m³)]]/10000000)</f>
        <v>6.9749999999999996</v>
      </c>
      <c r="O680" s="97" t="str">
        <f>IF(Market_Data[[#This Row],[Estimated Concrete Demand (m³)]]="","",
IF(Market_Data[[#This Row],[Estimated Concrete Demand (m³)]]&lt;10000,"Small",
IF(Market_Data[[#This Row],[Estimated Concrete Demand (m³)]]&lt;25000,"Medium",
IF(Market_Data[[#This Row],[Estimated Concrete Demand (m³)]]&lt;100000,"Large","Mega"))))</f>
        <v>Medium</v>
      </c>
      <c r="P680" s="287" t="str">
        <f t="shared" si="12"/>
        <v>GujRERA</v>
      </c>
    </row>
    <row r="681" spans="1:16" ht="36">
      <c r="A681" s="129" t="str">
        <f>_xlfn.XLOOKUP(B681,$S$9:$S$14,$T$9:$T$14)&amp;"-"&amp;
IF(E681="Residential/Group Housing","RES",
IF(E681="Commercial","COM",
IF(E681="Mixed Development","MIX",
IF(E681="Plotted Development","PLT","OTH"))))
&amp;"-"&amp;TEXT(COUNTIFS($B$9:B681,B681,$E$9:E681,E681),"0000")</f>
        <v>SUR-RES-0143</v>
      </c>
      <c r="B681" s="322" t="s">
        <v>34</v>
      </c>
      <c r="C681" s="322" t="s">
        <v>34</v>
      </c>
      <c r="D681" s="323" t="s">
        <v>871</v>
      </c>
      <c r="E681" s="132" t="s">
        <v>24</v>
      </c>
      <c r="F681" s="97" t="str">
        <f ca="1">IF(OR(Market_Data[[#This Row],[Start Date]]="",Market_Data[[#This Row],[Completion Date]]=""),"Needs Validation",IF(Market_Data[[#This Row],[Start Date]]&gt;TODAY(),"Planned",IF(Market_Data[[#This Row],[Completion Date]]&lt;TODAY(),"Completed","Ongoing")))</f>
        <v>Completed</v>
      </c>
      <c r="G681" s="324">
        <v>42858</v>
      </c>
      <c r="H681" s="324">
        <v>43982</v>
      </c>
      <c r="I681" s="325">
        <v>25600</v>
      </c>
      <c r="J68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81" s="133">
        <f>_xlfn.XLOOKUP(Market_Data[[#This Row],[Project Type]],tbl_assumptions_market[Project Category (RERA)],tbl_assumptions_market[Concrete Intensity
(m³ / sq m BUA)],"",0)</f>
        <v>0.45</v>
      </c>
      <c r="L681" s="134">
        <f>ROUND(Market_Data[[#This Row],[Estimated Built Up Area (sq m)]]*Market_Data[[#This Row],[Concrete Intensity
(m³ / sq m)]],0)</f>
        <v>11520</v>
      </c>
      <c r="M681" s="135">
        <f>_xlfn.XLOOKUP(Market_Data[[#This Row],[District]],tbl_district_price[District],tbl_district_price[Standard Price
(INR/m³)],"",0)</f>
        <v>6200</v>
      </c>
      <c r="N681" s="364">
        <f>IF(OR(Market_Data[[#This Row],[Estimated Concrete Demand (m³)]]="",Market_Data[[#This Row],[Avg Price per (₹ / m³)]]=""),"",Market_Data[[#This Row],[Estimated Concrete Demand (m³)]]*Market_Data[[#This Row],[Avg Price per (₹ / m³)]]/10000000)</f>
        <v>7.1424000000000003</v>
      </c>
      <c r="O681" s="97" t="str">
        <f>IF(Market_Data[[#This Row],[Estimated Concrete Demand (m³)]]="","",
IF(Market_Data[[#This Row],[Estimated Concrete Demand (m³)]]&lt;10000,"Small",
IF(Market_Data[[#This Row],[Estimated Concrete Demand (m³)]]&lt;25000,"Medium",
IF(Market_Data[[#This Row],[Estimated Concrete Demand (m³)]]&lt;100000,"Large","Mega"))))</f>
        <v>Medium</v>
      </c>
      <c r="P681" s="287" t="str">
        <f t="shared" si="12"/>
        <v>GujRERA</v>
      </c>
    </row>
    <row r="682" spans="1:16" ht="36">
      <c r="A682" s="129" t="str">
        <f>_xlfn.XLOOKUP(B682,$S$9:$S$14,$T$9:$T$14)&amp;"-"&amp;
IF(E682="Residential/Group Housing","RES",
IF(E682="Commercial","COM",
IF(E682="Mixed Development","MIX",
IF(E682="Plotted Development","PLT","OTH"))))
&amp;"-"&amp;TEXT(COUNTIFS($B$9:B682,B682,$E$9:E682,E682),"0000")</f>
        <v>SUR-RES-0144</v>
      </c>
      <c r="B682" s="322" t="s">
        <v>34</v>
      </c>
      <c r="C682" s="322" t="s">
        <v>34</v>
      </c>
      <c r="D682" s="323" t="s">
        <v>872</v>
      </c>
      <c r="E682" s="132" t="s">
        <v>24</v>
      </c>
      <c r="F682" s="97" t="str">
        <f ca="1">IF(OR(Market_Data[[#This Row],[Start Date]]="",Market_Data[[#This Row],[Completion Date]]=""),"Needs Validation",IF(Market_Data[[#This Row],[Start Date]]&gt;TODAY(),"Planned",IF(Market_Data[[#This Row],[Completion Date]]&lt;TODAY(),"Completed","Ongoing")))</f>
        <v>Completed</v>
      </c>
      <c r="G682" s="324">
        <v>42783</v>
      </c>
      <c r="H682" s="324">
        <v>43889</v>
      </c>
      <c r="I682" s="325">
        <v>13000</v>
      </c>
      <c r="J68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82" s="133">
        <f>_xlfn.XLOOKUP(Market_Data[[#This Row],[Project Type]],tbl_assumptions_market[Project Category (RERA)],tbl_assumptions_market[Concrete Intensity
(m³ / sq m BUA)],"",0)</f>
        <v>0.45</v>
      </c>
      <c r="L682" s="134">
        <f>ROUND(Market_Data[[#This Row],[Estimated Built Up Area (sq m)]]*Market_Data[[#This Row],[Concrete Intensity
(m³ / sq m)]],0)</f>
        <v>5850</v>
      </c>
      <c r="M682" s="135">
        <f>_xlfn.XLOOKUP(Market_Data[[#This Row],[District]],tbl_district_price[District],tbl_district_price[Standard Price
(INR/m³)],"",0)</f>
        <v>6200</v>
      </c>
      <c r="N682" s="364">
        <f>IF(OR(Market_Data[[#This Row],[Estimated Concrete Demand (m³)]]="",Market_Data[[#This Row],[Avg Price per (₹ / m³)]]=""),"",Market_Data[[#This Row],[Estimated Concrete Demand (m³)]]*Market_Data[[#This Row],[Avg Price per (₹ / m³)]]/10000000)</f>
        <v>3.6269999999999998</v>
      </c>
      <c r="O682" s="97" t="str">
        <f>IF(Market_Data[[#This Row],[Estimated Concrete Demand (m³)]]="","",
IF(Market_Data[[#This Row],[Estimated Concrete Demand (m³)]]&lt;10000,"Small",
IF(Market_Data[[#This Row],[Estimated Concrete Demand (m³)]]&lt;25000,"Medium",
IF(Market_Data[[#This Row],[Estimated Concrete Demand (m³)]]&lt;100000,"Large","Mega"))))</f>
        <v>Small</v>
      </c>
      <c r="P682" s="287" t="str">
        <f t="shared" si="12"/>
        <v>GujRERA</v>
      </c>
    </row>
    <row r="683" spans="1:16" ht="36">
      <c r="A683" s="129" t="str">
        <f>_xlfn.XLOOKUP(B683,$S$9:$S$14,$T$9:$T$14)&amp;"-"&amp;
IF(E683="Residential/Group Housing","RES",
IF(E683="Commercial","COM",
IF(E683="Mixed Development","MIX",
IF(E683="Plotted Development","PLT","OTH"))))
&amp;"-"&amp;TEXT(COUNTIFS($B$9:B683,B683,$E$9:E683,E683),"0000")</f>
        <v>SUR-RES-0145</v>
      </c>
      <c r="B683" s="322" t="s">
        <v>34</v>
      </c>
      <c r="C683" s="322" t="s">
        <v>34</v>
      </c>
      <c r="D683" s="323" t="s">
        <v>873</v>
      </c>
      <c r="E683" s="132" t="s">
        <v>24</v>
      </c>
      <c r="F683" s="97" t="str">
        <f ca="1">IF(OR(Market_Data[[#This Row],[Start Date]]="",Market_Data[[#This Row],[Completion Date]]=""),"Needs Validation",IF(Market_Data[[#This Row],[Start Date]]&gt;TODAY(),"Planned",IF(Market_Data[[#This Row],[Completion Date]]&lt;TODAY(),"Completed","Ongoing")))</f>
        <v>Completed</v>
      </c>
      <c r="G683" s="324">
        <v>42860</v>
      </c>
      <c r="H683" s="324">
        <v>44165</v>
      </c>
      <c r="I683" s="325">
        <v>43100</v>
      </c>
      <c r="J68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83" s="133">
        <f>_xlfn.XLOOKUP(Market_Data[[#This Row],[Project Type]],tbl_assumptions_market[Project Category (RERA)],tbl_assumptions_market[Concrete Intensity
(m³ / sq m BUA)],"",0)</f>
        <v>0.45</v>
      </c>
      <c r="L683" s="134">
        <f>ROUND(Market_Data[[#This Row],[Estimated Built Up Area (sq m)]]*Market_Data[[#This Row],[Concrete Intensity
(m³ / sq m)]],0)</f>
        <v>19395</v>
      </c>
      <c r="M683" s="135">
        <f>_xlfn.XLOOKUP(Market_Data[[#This Row],[District]],tbl_district_price[District],tbl_district_price[Standard Price
(INR/m³)],"",0)</f>
        <v>6200</v>
      </c>
      <c r="N683" s="364">
        <f>IF(OR(Market_Data[[#This Row],[Estimated Concrete Demand (m³)]]="",Market_Data[[#This Row],[Avg Price per (₹ / m³)]]=""),"",Market_Data[[#This Row],[Estimated Concrete Demand (m³)]]*Market_Data[[#This Row],[Avg Price per (₹ / m³)]]/10000000)</f>
        <v>12.024900000000001</v>
      </c>
      <c r="O683" s="97" t="str">
        <f>IF(Market_Data[[#This Row],[Estimated Concrete Demand (m³)]]="","",
IF(Market_Data[[#This Row],[Estimated Concrete Demand (m³)]]&lt;10000,"Small",
IF(Market_Data[[#This Row],[Estimated Concrete Demand (m³)]]&lt;25000,"Medium",
IF(Market_Data[[#This Row],[Estimated Concrete Demand (m³)]]&lt;100000,"Large","Mega"))))</f>
        <v>Medium</v>
      </c>
      <c r="P683" s="287" t="str">
        <f t="shared" si="12"/>
        <v>GujRERA</v>
      </c>
    </row>
    <row r="684" spans="1:16" ht="36">
      <c r="A684" s="129" t="str">
        <f>_xlfn.XLOOKUP(B684,$S$9:$S$14,$T$9:$T$14)&amp;"-"&amp;
IF(E684="Residential/Group Housing","RES",
IF(E684="Commercial","COM",
IF(E684="Mixed Development","MIX",
IF(E684="Plotted Development","PLT","OTH"))))
&amp;"-"&amp;TEXT(COUNTIFS($B$9:B684,B684,$E$9:E684,E684),"0000")</f>
        <v>SUR-RES-0146</v>
      </c>
      <c r="B684" s="322" t="s">
        <v>34</v>
      </c>
      <c r="C684" s="322" t="s">
        <v>34</v>
      </c>
      <c r="D684" s="323" t="s">
        <v>874</v>
      </c>
      <c r="E684" s="132" t="s">
        <v>24</v>
      </c>
      <c r="F684" s="97" t="str">
        <f ca="1">IF(OR(Market_Data[[#This Row],[Start Date]]="",Market_Data[[#This Row],[Completion Date]]=""),"Needs Validation",IF(Market_Data[[#This Row],[Start Date]]&gt;TODAY(),"Planned",IF(Market_Data[[#This Row],[Completion Date]]&lt;TODAY(),"Completed","Ongoing")))</f>
        <v>Completed</v>
      </c>
      <c r="G684" s="324">
        <v>42783</v>
      </c>
      <c r="H684" s="324">
        <v>43982</v>
      </c>
      <c r="I684" s="325">
        <v>26800</v>
      </c>
      <c r="J68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84" s="133">
        <f>_xlfn.XLOOKUP(Market_Data[[#This Row],[Project Type]],tbl_assumptions_market[Project Category (RERA)],tbl_assumptions_market[Concrete Intensity
(m³ / sq m BUA)],"",0)</f>
        <v>0.45</v>
      </c>
      <c r="L684" s="134">
        <f>ROUND(Market_Data[[#This Row],[Estimated Built Up Area (sq m)]]*Market_Data[[#This Row],[Concrete Intensity
(m³ / sq m)]],0)</f>
        <v>12060</v>
      </c>
      <c r="M684" s="135">
        <f>_xlfn.XLOOKUP(Market_Data[[#This Row],[District]],tbl_district_price[District],tbl_district_price[Standard Price
(INR/m³)],"",0)</f>
        <v>6200</v>
      </c>
      <c r="N684" s="364">
        <f>IF(OR(Market_Data[[#This Row],[Estimated Concrete Demand (m³)]]="",Market_Data[[#This Row],[Avg Price per (₹ / m³)]]=""),"",Market_Data[[#This Row],[Estimated Concrete Demand (m³)]]*Market_Data[[#This Row],[Avg Price per (₹ / m³)]]/10000000)</f>
        <v>7.4771999999999998</v>
      </c>
      <c r="O684" s="97" t="str">
        <f>IF(Market_Data[[#This Row],[Estimated Concrete Demand (m³)]]="","",
IF(Market_Data[[#This Row],[Estimated Concrete Demand (m³)]]&lt;10000,"Small",
IF(Market_Data[[#This Row],[Estimated Concrete Demand (m³)]]&lt;25000,"Medium",
IF(Market_Data[[#This Row],[Estimated Concrete Demand (m³)]]&lt;100000,"Large","Mega"))))</f>
        <v>Medium</v>
      </c>
      <c r="P684" s="287" t="str">
        <f t="shared" si="12"/>
        <v>GujRERA</v>
      </c>
    </row>
    <row r="685" spans="1:16" ht="24">
      <c r="A685" s="129" t="str">
        <f>_xlfn.XLOOKUP(B685,$S$9:$S$14,$T$9:$T$14)&amp;"-"&amp;
IF(E685="Residential/Group Housing","RES",
IF(E685="Commercial","COM",
IF(E685="Mixed Development","MIX",
IF(E685="Plotted Development","PLT","OTH"))))
&amp;"-"&amp;TEXT(COUNTIFS($B$9:B685,B685,$E$9:E685,E685),"0000")</f>
        <v>SUR-RES-0147</v>
      </c>
      <c r="B685" s="322" t="s">
        <v>34</v>
      </c>
      <c r="C685" s="322" t="s">
        <v>34</v>
      </c>
      <c r="D685" s="323" t="s">
        <v>875</v>
      </c>
      <c r="E685" s="132" t="s">
        <v>24</v>
      </c>
      <c r="F685" s="97" t="str">
        <f ca="1">IF(OR(Market_Data[[#This Row],[Start Date]]="",Market_Data[[#This Row],[Completion Date]]=""),"Needs Validation",IF(Market_Data[[#This Row],[Start Date]]&gt;TODAY(),"Planned",IF(Market_Data[[#This Row],[Completion Date]]&lt;TODAY(),"Completed","Ongoing")))</f>
        <v>Completed</v>
      </c>
      <c r="G685" s="324">
        <v>42708</v>
      </c>
      <c r="H685" s="324">
        <v>44195</v>
      </c>
      <c r="I685" s="325">
        <v>23500</v>
      </c>
      <c r="J68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85" s="133">
        <f>_xlfn.XLOOKUP(Market_Data[[#This Row],[Project Type]],tbl_assumptions_market[Project Category (RERA)],tbl_assumptions_market[Concrete Intensity
(m³ / sq m BUA)],"",0)</f>
        <v>0.45</v>
      </c>
      <c r="L685" s="134">
        <f>ROUND(Market_Data[[#This Row],[Estimated Built Up Area (sq m)]]*Market_Data[[#This Row],[Concrete Intensity
(m³ / sq m)]],0)</f>
        <v>10575</v>
      </c>
      <c r="M685" s="135">
        <f>_xlfn.XLOOKUP(Market_Data[[#This Row],[District]],tbl_district_price[District],tbl_district_price[Standard Price
(INR/m³)],"",0)</f>
        <v>6200</v>
      </c>
      <c r="N685" s="364">
        <f>IF(OR(Market_Data[[#This Row],[Estimated Concrete Demand (m³)]]="",Market_Data[[#This Row],[Avg Price per (₹ / m³)]]=""),"",Market_Data[[#This Row],[Estimated Concrete Demand (m³)]]*Market_Data[[#This Row],[Avg Price per (₹ / m³)]]/10000000)</f>
        <v>6.5564999999999998</v>
      </c>
      <c r="O685" s="97" t="str">
        <f>IF(Market_Data[[#This Row],[Estimated Concrete Demand (m³)]]="","",
IF(Market_Data[[#This Row],[Estimated Concrete Demand (m³)]]&lt;10000,"Small",
IF(Market_Data[[#This Row],[Estimated Concrete Demand (m³)]]&lt;25000,"Medium",
IF(Market_Data[[#This Row],[Estimated Concrete Demand (m³)]]&lt;100000,"Large","Mega"))))</f>
        <v>Medium</v>
      </c>
      <c r="P685" s="287" t="str">
        <f t="shared" si="12"/>
        <v>GujRERA</v>
      </c>
    </row>
    <row r="686" spans="1:16" ht="24">
      <c r="A686" s="129" t="str">
        <f>_xlfn.XLOOKUP(B686,$S$9:$S$14,$T$9:$T$14)&amp;"-"&amp;
IF(E686="Residential/Group Housing","RES",
IF(E686="Commercial","COM",
IF(E686="Mixed Development","MIX",
IF(E686="Plotted Development","PLT","OTH"))))
&amp;"-"&amp;TEXT(COUNTIFS($B$9:B686,B686,$E$9:E686,E686),"0000")</f>
        <v>SUR-RES-0148</v>
      </c>
      <c r="B686" s="322" t="s">
        <v>34</v>
      </c>
      <c r="C686" s="322" t="s">
        <v>34</v>
      </c>
      <c r="D686" s="323" t="s">
        <v>876</v>
      </c>
      <c r="E686" s="132" t="s">
        <v>24</v>
      </c>
      <c r="F686" s="97" t="str">
        <f ca="1">IF(OR(Market_Data[[#This Row],[Start Date]]="",Market_Data[[#This Row],[Completion Date]]=""),"Needs Validation",IF(Market_Data[[#This Row],[Start Date]]&gt;TODAY(),"Planned",IF(Market_Data[[#This Row],[Completion Date]]&lt;TODAY(),"Completed","Ongoing")))</f>
        <v>Completed</v>
      </c>
      <c r="G686" s="324">
        <v>42708</v>
      </c>
      <c r="H686" s="324">
        <v>44195</v>
      </c>
      <c r="I686" s="325">
        <v>28200</v>
      </c>
      <c r="J68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86" s="133">
        <f>_xlfn.XLOOKUP(Market_Data[[#This Row],[Project Type]],tbl_assumptions_market[Project Category (RERA)],tbl_assumptions_market[Concrete Intensity
(m³ / sq m BUA)],"",0)</f>
        <v>0.45</v>
      </c>
      <c r="L686" s="134">
        <f>ROUND(Market_Data[[#This Row],[Estimated Built Up Area (sq m)]]*Market_Data[[#This Row],[Concrete Intensity
(m³ / sq m)]],0)</f>
        <v>12690</v>
      </c>
      <c r="M686" s="135">
        <f>_xlfn.XLOOKUP(Market_Data[[#This Row],[District]],tbl_district_price[District],tbl_district_price[Standard Price
(INR/m³)],"",0)</f>
        <v>6200</v>
      </c>
      <c r="N686" s="364">
        <f>IF(OR(Market_Data[[#This Row],[Estimated Concrete Demand (m³)]]="",Market_Data[[#This Row],[Avg Price per (₹ / m³)]]=""),"",Market_Data[[#This Row],[Estimated Concrete Demand (m³)]]*Market_Data[[#This Row],[Avg Price per (₹ / m³)]]/10000000)</f>
        <v>7.8677999999999999</v>
      </c>
      <c r="O686" s="97" t="str">
        <f>IF(Market_Data[[#This Row],[Estimated Concrete Demand (m³)]]="","",
IF(Market_Data[[#This Row],[Estimated Concrete Demand (m³)]]&lt;10000,"Small",
IF(Market_Data[[#This Row],[Estimated Concrete Demand (m³)]]&lt;25000,"Medium",
IF(Market_Data[[#This Row],[Estimated Concrete Demand (m³)]]&lt;100000,"Large","Mega"))))</f>
        <v>Medium</v>
      </c>
      <c r="P686" s="287" t="str">
        <f t="shared" si="12"/>
        <v>GujRERA</v>
      </c>
    </row>
    <row r="687" spans="1:16" ht="24">
      <c r="A687" s="129" t="str">
        <f>_xlfn.XLOOKUP(B687,$S$9:$S$14,$T$9:$T$14)&amp;"-"&amp;
IF(E687="Residential/Group Housing","RES",
IF(E687="Commercial","COM",
IF(E687="Mixed Development","MIX",
IF(E687="Plotted Development","PLT","OTH"))))
&amp;"-"&amp;TEXT(COUNTIFS($B$9:B687,B687,$E$9:E687,E687),"0000")</f>
        <v>SUR-RES-0149</v>
      </c>
      <c r="B687" s="322" t="s">
        <v>34</v>
      </c>
      <c r="C687" s="322" t="s">
        <v>34</v>
      </c>
      <c r="D687" s="323" t="s">
        <v>877</v>
      </c>
      <c r="E687" s="132" t="s">
        <v>24</v>
      </c>
      <c r="F687" s="97" t="str">
        <f ca="1">IF(OR(Market_Data[[#This Row],[Start Date]]="",Market_Data[[#This Row],[Completion Date]]=""),"Needs Validation",IF(Market_Data[[#This Row],[Start Date]]&gt;TODAY(),"Planned",IF(Market_Data[[#This Row],[Completion Date]]&lt;TODAY(),"Completed","Ongoing")))</f>
        <v>Completed</v>
      </c>
      <c r="G687" s="324">
        <v>42707</v>
      </c>
      <c r="H687" s="324">
        <v>43921</v>
      </c>
      <c r="I687" s="325">
        <v>54600</v>
      </c>
      <c r="J68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87" s="133">
        <f>_xlfn.XLOOKUP(Market_Data[[#This Row],[Project Type]],tbl_assumptions_market[Project Category (RERA)],tbl_assumptions_market[Concrete Intensity
(m³ / sq m BUA)],"",0)</f>
        <v>0.45</v>
      </c>
      <c r="L687" s="134">
        <f>ROUND(Market_Data[[#This Row],[Estimated Built Up Area (sq m)]]*Market_Data[[#This Row],[Concrete Intensity
(m³ / sq m)]],0)</f>
        <v>24570</v>
      </c>
      <c r="M687" s="135">
        <f>_xlfn.XLOOKUP(Market_Data[[#This Row],[District]],tbl_district_price[District],tbl_district_price[Standard Price
(INR/m³)],"",0)</f>
        <v>6200</v>
      </c>
      <c r="N687" s="364">
        <f>IF(OR(Market_Data[[#This Row],[Estimated Concrete Demand (m³)]]="",Market_Data[[#This Row],[Avg Price per (₹ / m³)]]=""),"",Market_Data[[#This Row],[Estimated Concrete Demand (m³)]]*Market_Data[[#This Row],[Avg Price per (₹ / m³)]]/10000000)</f>
        <v>15.2334</v>
      </c>
      <c r="O687" s="97" t="str">
        <f>IF(Market_Data[[#This Row],[Estimated Concrete Demand (m³)]]="","",
IF(Market_Data[[#This Row],[Estimated Concrete Demand (m³)]]&lt;10000,"Small",
IF(Market_Data[[#This Row],[Estimated Concrete Demand (m³)]]&lt;25000,"Medium",
IF(Market_Data[[#This Row],[Estimated Concrete Demand (m³)]]&lt;100000,"Large","Mega"))))</f>
        <v>Medium</v>
      </c>
      <c r="P687" s="287" t="str">
        <f t="shared" si="12"/>
        <v>GujRERA</v>
      </c>
    </row>
    <row r="688" spans="1:16" ht="36">
      <c r="A688" s="129" t="str">
        <f>_xlfn.XLOOKUP(B688,$S$9:$S$14,$T$9:$T$14)&amp;"-"&amp;
IF(E688="Residential/Group Housing","RES",
IF(E688="Commercial","COM",
IF(E688="Mixed Development","MIX",
IF(E688="Plotted Development","PLT","OTH"))))
&amp;"-"&amp;TEXT(COUNTIFS($B$9:B688,B688,$E$9:E688,E688),"0000")</f>
        <v>SUR-RES-0150</v>
      </c>
      <c r="B688" s="322" t="s">
        <v>34</v>
      </c>
      <c r="C688" s="322" t="s">
        <v>34</v>
      </c>
      <c r="D688" s="323" t="s">
        <v>878</v>
      </c>
      <c r="E688" s="132" t="s">
        <v>24</v>
      </c>
      <c r="F688" s="97" t="str">
        <f ca="1">IF(OR(Market_Data[[#This Row],[Start Date]]="",Market_Data[[#This Row],[Completion Date]]=""),"Needs Validation",IF(Market_Data[[#This Row],[Start Date]]&gt;TODAY(),"Planned",IF(Market_Data[[#This Row],[Completion Date]]&lt;TODAY(),"Completed","Ongoing")))</f>
        <v>Completed</v>
      </c>
      <c r="G688" s="324">
        <v>42784</v>
      </c>
      <c r="H688" s="324">
        <v>43921</v>
      </c>
      <c r="I688" s="325">
        <v>41700</v>
      </c>
      <c r="J68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88" s="133">
        <f>_xlfn.XLOOKUP(Market_Data[[#This Row],[Project Type]],tbl_assumptions_market[Project Category (RERA)],tbl_assumptions_market[Concrete Intensity
(m³ / sq m BUA)],"",0)</f>
        <v>0.45</v>
      </c>
      <c r="L688" s="134">
        <f>ROUND(Market_Data[[#This Row],[Estimated Built Up Area (sq m)]]*Market_Data[[#This Row],[Concrete Intensity
(m³ / sq m)]],0)</f>
        <v>18765</v>
      </c>
      <c r="M688" s="135">
        <f>_xlfn.XLOOKUP(Market_Data[[#This Row],[District]],tbl_district_price[District],tbl_district_price[Standard Price
(INR/m³)],"",0)</f>
        <v>6200</v>
      </c>
      <c r="N688" s="364">
        <f>IF(OR(Market_Data[[#This Row],[Estimated Concrete Demand (m³)]]="",Market_Data[[#This Row],[Avg Price per (₹ / m³)]]=""),"",Market_Data[[#This Row],[Estimated Concrete Demand (m³)]]*Market_Data[[#This Row],[Avg Price per (₹ / m³)]]/10000000)</f>
        <v>11.6343</v>
      </c>
      <c r="O688" s="97" t="str">
        <f>IF(Market_Data[[#This Row],[Estimated Concrete Demand (m³)]]="","",
IF(Market_Data[[#This Row],[Estimated Concrete Demand (m³)]]&lt;10000,"Small",
IF(Market_Data[[#This Row],[Estimated Concrete Demand (m³)]]&lt;25000,"Medium",
IF(Market_Data[[#This Row],[Estimated Concrete Demand (m³)]]&lt;100000,"Large","Mega"))))</f>
        <v>Medium</v>
      </c>
      <c r="P688" s="287" t="str">
        <f t="shared" si="12"/>
        <v>GujRERA</v>
      </c>
    </row>
    <row r="689" spans="1:16" ht="36">
      <c r="A689" s="129" t="str">
        <f>_xlfn.XLOOKUP(B689,$S$9:$S$14,$T$9:$T$14)&amp;"-"&amp;
IF(E689="Residential/Group Housing","RES",
IF(E689="Commercial","COM",
IF(E689="Mixed Development","MIX",
IF(E689="Plotted Development","PLT","OTH"))))
&amp;"-"&amp;TEXT(COUNTIFS($B$9:B689,B689,$E$9:E689,E689),"0000")</f>
        <v>SUR-RES-0151</v>
      </c>
      <c r="B689" s="322" t="s">
        <v>34</v>
      </c>
      <c r="C689" s="322" t="s">
        <v>34</v>
      </c>
      <c r="D689" s="323" t="s">
        <v>879</v>
      </c>
      <c r="E689" s="132" t="s">
        <v>24</v>
      </c>
      <c r="F689" s="97" t="str">
        <f ca="1">IF(OR(Market_Data[[#This Row],[Start Date]]="",Market_Data[[#This Row],[Completion Date]]=""),"Needs Validation",IF(Market_Data[[#This Row],[Start Date]]&gt;TODAY(),"Planned",IF(Market_Data[[#This Row],[Completion Date]]&lt;TODAY(),"Completed","Ongoing")))</f>
        <v>Completed</v>
      </c>
      <c r="G689" s="324">
        <v>42783</v>
      </c>
      <c r="H689" s="324">
        <v>44165</v>
      </c>
      <c r="I689" s="325">
        <v>25200</v>
      </c>
      <c r="J68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89" s="133">
        <f>_xlfn.XLOOKUP(Market_Data[[#This Row],[Project Type]],tbl_assumptions_market[Project Category (RERA)],tbl_assumptions_market[Concrete Intensity
(m³ / sq m BUA)],"",0)</f>
        <v>0.45</v>
      </c>
      <c r="L689" s="134">
        <f>ROUND(Market_Data[[#This Row],[Estimated Built Up Area (sq m)]]*Market_Data[[#This Row],[Concrete Intensity
(m³ / sq m)]],0)</f>
        <v>11340</v>
      </c>
      <c r="M689" s="135">
        <f>_xlfn.XLOOKUP(Market_Data[[#This Row],[District]],tbl_district_price[District],tbl_district_price[Standard Price
(INR/m³)],"",0)</f>
        <v>6200</v>
      </c>
      <c r="N689" s="364">
        <f>IF(OR(Market_Data[[#This Row],[Estimated Concrete Demand (m³)]]="",Market_Data[[#This Row],[Avg Price per (₹ / m³)]]=""),"",Market_Data[[#This Row],[Estimated Concrete Demand (m³)]]*Market_Data[[#This Row],[Avg Price per (₹ / m³)]]/10000000)</f>
        <v>7.0308000000000002</v>
      </c>
      <c r="O689" s="97" t="str">
        <f>IF(Market_Data[[#This Row],[Estimated Concrete Demand (m³)]]="","",
IF(Market_Data[[#This Row],[Estimated Concrete Demand (m³)]]&lt;10000,"Small",
IF(Market_Data[[#This Row],[Estimated Concrete Demand (m³)]]&lt;25000,"Medium",
IF(Market_Data[[#This Row],[Estimated Concrete Demand (m³)]]&lt;100000,"Large","Mega"))))</f>
        <v>Medium</v>
      </c>
      <c r="P689" s="287" t="str">
        <f t="shared" si="12"/>
        <v>GujRERA</v>
      </c>
    </row>
    <row r="690" spans="1:16" ht="24">
      <c r="A690" s="129" t="str">
        <f>_xlfn.XLOOKUP(B690,$S$9:$S$14,$T$9:$T$14)&amp;"-"&amp;
IF(E690="Residential/Group Housing","RES",
IF(E690="Commercial","COM",
IF(E690="Mixed Development","MIX",
IF(E690="Plotted Development","PLT","OTH"))))
&amp;"-"&amp;TEXT(COUNTIFS($B$9:B690,B690,$E$9:E690,E690),"0000")</f>
        <v>SUR-RES-0152</v>
      </c>
      <c r="B690" s="322" t="s">
        <v>34</v>
      </c>
      <c r="C690" s="322" t="s">
        <v>34</v>
      </c>
      <c r="D690" s="323" t="s">
        <v>880</v>
      </c>
      <c r="E690" s="132" t="s">
        <v>24</v>
      </c>
      <c r="F690" s="97" t="str">
        <f ca="1">IF(OR(Market_Data[[#This Row],[Start Date]]="",Market_Data[[#This Row],[Completion Date]]=""),"Needs Validation",IF(Market_Data[[#This Row],[Start Date]]&gt;TODAY(),"Planned",IF(Market_Data[[#This Row],[Completion Date]]&lt;TODAY(),"Completed","Ongoing")))</f>
        <v>Completed</v>
      </c>
      <c r="G690" s="324">
        <v>42741</v>
      </c>
      <c r="H690" s="324">
        <v>43951</v>
      </c>
      <c r="I690" s="325">
        <v>56600</v>
      </c>
      <c r="J69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90" s="133">
        <f>_xlfn.XLOOKUP(Market_Data[[#This Row],[Project Type]],tbl_assumptions_market[Project Category (RERA)],tbl_assumptions_market[Concrete Intensity
(m³ / sq m BUA)],"",0)</f>
        <v>0.45</v>
      </c>
      <c r="L690" s="134">
        <f>ROUND(Market_Data[[#This Row],[Estimated Built Up Area (sq m)]]*Market_Data[[#This Row],[Concrete Intensity
(m³ / sq m)]],0)</f>
        <v>25470</v>
      </c>
      <c r="M690" s="135">
        <f>_xlfn.XLOOKUP(Market_Data[[#This Row],[District]],tbl_district_price[District],tbl_district_price[Standard Price
(INR/m³)],"",0)</f>
        <v>6200</v>
      </c>
      <c r="N690" s="364">
        <f>IF(OR(Market_Data[[#This Row],[Estimated Concrete Demand (m³)]]="",Market_Data[[#This Row],[Avg Price per (₹ / m³)]]=""),"",Market_Data[[#This Row],[Estimated Concrete Demand (m³)]]*Market_Data[[#This Row],[Avg Price per (₹ / m³)]]/10000000)</f>
        <v>15.791399999999999</v>
      </c>
      <c r="O690" s="97" t="str">
        <f>IF(Market_Data[[#This Row],[Estimated Concrete Demand (m³)]]="","",
IF(Market_Data[[#This Row],[Estimated Concrete Demand (m³)]]&lt;10000,"Small",
IF(Market_Data[[#This Row],[Estimated Concrete Demand (m³)]]&lt;25000,"Medium",
IF(Market_Data[[#This Row],[Estimated Concrete Demand (m³)]]&lt;100000,"Large","Mega"))))</f>
        <v>Large</v>
      </c>
      <c r="P690" s="287" t="str">
        <f t="shared" si="12"/>
        <v>GujRERA</v>
      </c>
    </row>
    <row r="691" spans="1:16" ht="36">
      <c r="A691" s="129" t="str">
        <f>_xlfn.XLOOKUP(B691,$S$9:$S$14,$T$9:$T$14)&amp;"-"&amp;
IF(E691="Residential/Group Housing","RES",
IF(E691="Commercial","COM",
IF(E691="Mixed Development","MIX",
IF(E691="Plotted Development","PLT","OTH"))))
&amp;"-"&amp;TEXT(COUNTIFS($B$9:B691,B691,$E$9:E691,E691),"0000")</f>
        <v>SUR-RES-0153</v>
      </c>
      <c r="B691" s="322" t="s">
        <v>34</v>
      </c>
      <c r="C691" s="322" t="s">
        <v>34</v>
      </c>
      <c r="D691" s="323" t="s">
        <v>881</v>
      </c>
      <c r="E691" s="132" t="s">
        <v>24</v>
      </c>
      <c r="F691" s="97" t="str">
        <f ca="1">IF(OR(Market_Data[[#This Row],[Start Date]]="",Market_Data[[#This Row],[Completion Date]]=""),"Needs Validation",IF(Market_Data[[#This Row],[Start Date]]&gt;TODAY(),"Planned",IF(Market_Data[[#This Row],[Completion Date]]&lt;TODAY(),"Completed","Ongoing")))</f>
        <v>Completed</v>
      </c>
      <c r="G691" s="324">
        <v>42897</v>
      </c>
      <c r="H691" s="324">
        <v>44560</v>
      </c>
      <c r="I691" s="325">
        <v>27100</v>
      </c>
      <c r="J69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91" s="133">
        <f>_xlfn.XLOOKUP(Market_Data[[#This Row],[Project Type]],tbl_assumptions_market[Project Category (RERA)],tbl_assumptions_market[Concrete Intensity
(m³ / sq m BUA)],"",0)</f>
        <v>0.45</v>
      </c>
      <c r="L691" s="134">
        <f>ROUND(Market_Data[[#This Row],[Estimated Built Up Area (sq m)]]*Market_Data[[#This Row],[Concrete Intensity
(m³ / sq m)]],0)</f>
        <v>12195</v>
      </c>
      <c r="M691" s="135">
        <f>_xlfn.XLOOKUP(Market_Data[[#This Row],[District]],tbl_district_price[District],tbl_district_price[Standard Price
(INR/m³)],"",0)</f>
        <v>6200</v>
      </c>
      <c r="N691" s="364">
        <f>IF(OR(Market_Data[[#This Row],[Estimated Concrete Demand (m³)]]="",Market_Data[[#This Row],[Avg Price per (₹ / m³)]]=""),"",Market_Data[[#This Row],[Estimated Concrete Demand (m³)]]*Market_Data[[#This Row],[Avg Price per (₹ / m³)]]/10000000)</f>
        <v>7.5609000000000002</v>
      </c>
      <c r="O691" s="97" t="str">
        <f>IF(Market_Data[[#This Row],[Estimated Concrete Demand (m³)]]="","",
IF(Market_Data[[#This Row],[Estimated Concrete Demand (m³)]]&lt;10000,"Small",
IF(Market_Data[[#This Row],[Estimated Concrete Demand (m³)]]&lt;25000,"Medium",
IF(Market_Data[[#This Row],[Estimated Concrete Demand (m³)]]&lt;100000,"Large","Mega"))))</f>
        <v>Medium</v>
      </c>
      <c r="P691" s="287" t="str">
        <f t="shared" si="12"/>
        <v>GujRERA</v>
      </c>
    </row>
    <row r="692" spans="1:16" ht="36">
      <c r="A692" s="129" t="str">
        <f>_xlfn.XLOOKUP(B692,$S$9:$S$14,$T$9:$T$14)&amp;"-"&amp;
IF(E692="Residential/Group Housing","RES",
IF(E692="Commercial","COM",
IF(E692="Mixed Development","MIX",
IF(E692="Plotted Development","PLT","OTH"))))
&amp;"-"&amp;TEXT(COUNTIFS($B$9:B692,B692,$E$9:E692,E692),"0000")</f>
        <v>SUR-RES-0154</v>
      </c>
      <c r="B692" s="322" t="s">
        <v>34</v>
      </c>
      <c r="C692" s="322" t="s">
        <v>34</v>
      </c>
      <c r="D692" s="323" t="s">
        <v>882</v>
      </c>
      <c r="E692" s="132" t="s">
        <v>24</v>
      </c>
      <c r="F692" s="97" t="str">
        <f ca="1">IF(OR(Market_Data[[#This Row],[Start Date]]="",Market_Data[[#This Row],[Completion Date]]=""),"Needs Validation",IF(Market_Data[[#This Row],[Start Date]]&gt;TODAY(),"Planned",IF(Market_Data[[#This Row],[Completion Date]]&lt;TODAY(),"Completed","Ongoing")))</f>
        <v>Completed</v>
      </c>
      <c r="G692" s="324">
        <v>42707</v>
      </c>
      <c r="H692" s="324">
        <v>44467</v>
      </c>
      <c r="I692" s="325">
        <v>57400</v>
      </c>
      <c r="J69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92" s="133">
        <f>_xlfn.XLOOKUP(Market_Data[[#This Row],[Project Type]],tbl_assumptions_market[Project Category (RERA)],tbl_assumptions_market[Concrete Intensity
(m³ / sq m BUA)],"",0)</f>
        <v>0.45</v>
      </c>
      <c r="L692" s="134">
        <f>ROUND(Market_Data[[#This Row],[Estimated Built Up Area (sq m)]]*Market_Data[[#This Row],[Concrete Intensity
(m³ / sq m)]],0)</f>
        <v>25830</v>
      </c>
      <c r="M692" s="135">
        <f>_xlfn.XLOOKUP(Market_Data[[#This Row],[District]],tbl_district_price[District],tbl_district_price[Standard Price
(INR/m³)],"",0)</f>
        <v>6200</v>
      </c>
      <c r="N692" s="364">
        <f>IF(OR(Market_Data[[#This Row],[Estimated Concrete Demand (m³)]]="",Market_Data[[#This Row],[Avg Price per (₹ / m³)]]=""),"",Market_Data[[#This Row],[Estimated Concrete Demand (m³)]]*Market_Data[[#This Row],[Avg Price per (₹ / m³)]]/10000000)</f>
        <v>16.014600000000002</v>
      </c>
      <c r="O692" s="97" t="str">
        <f>IF(Market_Data[[#This Row],[Estimated Concrete Demand (m³)]]="","",
IF(Market_Data[[#This Row],[Estimated Concrete Demand (m³)]]&lt;10000,"Small",
IF(Market_Data[[#This Row],[Estimated Concrete Demand (m³)]]&lt;25000,"Medium",
IF(Market_Data[[#This Row],[Estimated Concrete Demand (m³)]]&lt;100000,"Large","Mega"))))</f>
        <v>Large</v>
      </c>
      <c r="P692" s="287" t="str">
        <f t="shared" si="12"/>
        <v>GujRERA</v>
      </c>
    </row>
    <row r="693" spans="1:16" ht="24">
      <c r="A693" s="129" t="str">
        <f>_xlfn.XLOOKUP(B693,$S$9:$S$14,$T$9:$T$14)&amp;"-"&amp;
IF(E693="Residential/Group Housing","RES",
IF(E693="Commercial","COM",
IF(E693="Mixed Development","MIX",
IF(E693="Plotted Development","PLT","OTH"))))
&amp;"-"&amp;TEXT(COUNTIFS($B$9:B693,B693,$E$9:E693,E693),"0000")</f>
        <v>SUR-RES-0155</v>
      </c>
      <c r="B693" s="322" t="s">
        <v>34</v>
      </c>
      <c r="C693" s="322" t="s">
        <v>34</v>
      </c>
      <c r="D693" s="323" t="s">
        <v>883</v>
      </c>
      <c r="E693" s="132" t="s">
        <v>24</v>
      </c>
      <c r="F693" s="97" t="str">
        <f ca="1">IF(OR(Market_Data[[#This Row],[Start Date]]="",Market_Data[[#This Row],[Completion Date]]=""),"Needs Validation",IF(Market_Data[[#This Row],[Start Date]]&gt;TODAY(),"Planned",IF(Market_Data[[#This Row],[Completion Date]]&lt;TODAY(),"Completed","Ongoing")))</f>
        <v>Completed</v>
      </c>
      <c r="G693" s="324">
        <v>42711</v>
      </c>
      <c r="H693" s="324">
        <v>43921</v>
      </c>
      <c r="I693" s="325">
        <v>7000</v>
      </c>
      <c r="J69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93" s="133">
        <f>_xlfn.XLOOKUP(Market_Data[[#This Row],[Project Type]],tbl_assumptions_market[Project Category (RERA)],tbl_assumptions_market[Concrete Intensity
(m³ / sq m BUA)],"",0)</f>
        <v>0.45</v>
      </c>
      <c r="L693" s="134">
        <f>ROUND(Market_Data[[#This Row],[Estimated Built Up Area (sq m)]]*Market_Data[[#This Row],[Concrete Intensity
(m³ / sq m)]],0)</f>
        <v>3150</v>
      </c>
      <c r="M693" s="135">
        <f>_xlfn.XLOOKUP(Market_Data[[#This Row],[District]],tbl_district_price[District],tbl_district_price[Standard Price
(INR/m³)],"",0)</f>
        <v>6200</v>
      </c>
      <c r="N693" s="364">
        <f>IF(OR(Market_Data[[#This Row],[Estimated Concrete Demand (m³)]]="",Market_Data[[#This Row],[Avg Price per (₹ / m³)]]=""),"",Market_Data[[#This Row],[Estimated Concrete Demand (m³)]]*Market_Data[[#This Row],[Avg Price per (₹ / m³)]]/10000000)</f>
        <v>1.9530000000000001</v>
      </c>
      <c r="O693" s="97" t="str">
        <f>IF(Market_Data[[#This Row],[Estimated Concrete Demand (m³)]]="","",
IF(Market_Data[[#This Row],[Estimated Concrete Demand (m³)]]&lt;10000,"Small",
IF(Market_Data[[#This Row],[Estimated Concrete Demand (m³)]]&lt;25000,"Medium",
IF(Market_Data[[#This Row],[Estimated Concrete Demand (m³)]]&lt;100000,"Large","Mega"))))</f>
        <v>Small</v>
      </c>
      <c r="P693" s="287" t="str">
        <f t="shared" si="12"/>
        <v>GujRERA</v>
      </c>
    </row>
    <row r="694" spans="1:16" ht="24">
      <c r="A694" s="129" t="str">
        <f>_xlfn.XLOOKUP(B694,$S$9:$S$14,$T$9:$T$14)&amp;"-"&amp;
IF(E694="Residential/Group Housing","RES",
IF(E694="Commercial","COM",
IF(E694="Mixed Development","MIX",
IF(E694="Plotted Development","PLT","OTH"))))
&amp;"-"&amp;TEXT(COUNTIFS($B$9:B694,B694,$E$9:E694,E694),"0000")</f>
        <v>SUR-RES-0156</v>
      </c>
      <c r="B694" s="322" t="s">
        <v>34</v>
      </c>
      <c r="C694" s="322" t="s">
        <v>34</v>
      </c>
      <c r="D694" s="323" t="s">
        <v>884</v>
      </c>
      <c r="E694" s="132" t="s">
        <v>24</v>
      </c>
      <c r="F694" s="97" t="str">
        <f ca="1">IF(OR(Market_Data[[#This Row],[Start Date]]="",Market_Data[[#This Row],[Completion Date]]=""),"Needs Validation",IF(Market_Data[[#This Row],[Start Date]]&gt;TODAY(),"Planned",IF(Market_Data[[#This Row],[Completion Date]]&lt;TODAY(),"Completed","Ongoing")))</f>
        <v>Completed</v>
      </c>
      <c r="G694" s="324">
        <v>42720</v>
      </c>
      <c r="H694" s="324">
        <v>43830</v>
      </c>
      <c r="I694" s="325">
        <v>57800</v>
      </c>
      <c r="J69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94" s="133">
        <f>_xlfn.XLOOKUP(Market_Data[[#This Row],[Project Type]],tbl_assumptions_market[Project Category (RERA)],tbl_assumptions_market[Concrete Intensity
(m³ / sq m BUA)],"",0)</f>
        <v>0.45</v>
      </c>
      <c r="L694" s="134">
        <f>ROUND(Market_Data[[#This Row],[Estimated Built Up Area (sq m)]]*Market_Data[[#This Row],[Concrete Intensity
(m³ / sq m)]],0)</f>
        <v>26010</v>
      </c>
      <c r="M694" s="135">
        <f>_xlfn.XLOOKUP(Market_Data[[#This Row],[District]],tbl_district_price[District],tbl_district_price[Standard Price
(INR/m³)],"",0)</f>
        <v>6200</v>
      </c>
      <c r="N694" s="364">
        <f>IF(OR(Market_Data[[#This Row],[Estimated Concrete Demand (m³)]]="",Market_Data[[#This Row],[Avg Price per (₹ / m³)]]=""),"",Market_Data[[#This Row],[Estimated Concrete Demand (m³)]]*Market_Data[[#This Row],[Avg Price per (₹ / m³)]]/10000000)</f>
        <v>16.126200000000001</v>
      </c>
      <c r="O694" s="97" t="str">
        <f>IF(Market_Data[[#This Row],[Estimated Concrete Demand (m³)]]="","",
IF(Market_Data[[#This Row],[Estimated Concrete Demand (m³)]]&lt;10000,"Small",
IF(Market_Data[[#This Row],[Estimated Concrete Demand (m³)]]&lt;25000,"Medium",
IF(Market_Data[[#This Row],[Estimated Concrete Demand (m³)]]&lt;100000,"Large","Mega"))))</f>
        <v>Large</v>
      </c>
      <c r="P694" s="287" t="str">
        <f t="shared" si="12"/>
        <v>GujRERA</v>
      </c>
    </row>
    <row r="695" spans="1:16" ht="36">
      <c r="A695" s="129" t="str">
        <f>_xlfn.XLOOKUP(B695,$S$9:$S$14,$T$9:$T$14)&amp;"-"&amp;
IF(E695="Residential/Group Housing","RES",
IF(E695="Commercial","COM",
IF(E695="Mixed Development","MIX",
IF(E695="Plotted Development","PLT","OTH"))))
&amp;"-"&amp;TEXT(COUNTIFS($B$9:B695,B695,$E$9:E695,E695),"0000")</f>
        <v>SUR-RES-0157</v>
      </c>
      <c r="B695" s="322" t="s">
        <v>34</v>
      </c>
      <c r="C695" s="322" t="s">
        <v>34</v>
      </c>
      <c r="D695" s="323" t="s">
        <v>885</v>
      </c>
      <c r="E695" s="132" t="s">
        <v>24</v>
      </c>
      <c r="F695" s="97" t="str">
        <f ca="1">IF(OR(Market_Data[[#This Row],[Start Date]]="",Market_Data[[#This Row],[Completion Date]]=""),"Needs Validation",IF(Market_Data[[#This Row],[Start Date]]&gt;TODAY(),"Planned",IF(Market_Data[[#This Row],[Completion Date]]&lt;TODAY(),"Completed","Ongoing")))</f>
        <v>Completed</v>
      </c>
      <c r="G695" s="324">
        <v>42897</v>
      </c>
      <c r="H695" s="324">
        <v>43810</v>
      </c>
      <c r="I695" s="325">
        <v>8100</v>
      </c>
      <c r="J69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95" s="133">
        <f>_xlfn.XLOOKUP(Market_Data[[#This Row],[Project Type]],tbl_assumptions_market[Project Category (RERA)],tbl_assumptions_market[Concrete Intensity
(m³ / sq m BUA)],"",0)</f>
        <v>0.45</v>
      </c>
      <c r="L695" s="134">
        <f>ROUND(Market_Data[[#This Row],[Estimated Built Up Area (sq m)]]*Market_Data[[#This Row],[Concrete Intensity
(m³ / sq m)]],0)</f>
        <v>3645</v>
      </c>
      <c r="M695" s="135">
        <f>_xlfn.XLOOKUP(Market_Data[[#This Row],[District]],tbl_district_price[District],tbl_district_price[Standard Price
(INR/m³)],"",0)</f>
        <v>6200</v>
      </c>
      <c r="N695" s="364">
        <f>IF(OR(Market_Data[[#This Row],[Estimated Concrete Demand (m³)]]="",Market_Data[[#This Row],[Avg Price per (₹ / m³)]]=""),"",Market_Data[[#This Row],[Estimated Concrete Demand (m³)]]*Market_Data[[#This Row],[Avg Price per (₹ / m³)]]/10000000)</f>
        <v>2.2599</v>
      </c>
      <c r="O695" s="97" t="str">
        <f>IF(Market_Data[[#This Row],[Estimated Concrete Demand (m³)]]="","",
IF(Market_Data[[#This Row],[Estimated Concrete Demand (m³)]]&lt;10000,"Small",
IF(Market_Data[[#This Row],[Estimated Concrete Demand (m³)]]&lt;25000,"Medium",
IF(Market_Data[[#This Row],[Estimated Concrete Demand (m³)]]&lt;100000,"Large","Mega"))))</f>
        <v>Small</v>
      </c>
      <c r="P695" s="287" t="str">
        <f t="shared" si="12"/>
        <v>GujRERA</v>
      </c>
    </row>
    <row r="696" spans="1:16" ht="48">
      <c r="A696" s="129" t="str">
        <f>_xlfn.XLOOKUP(B696,$S$9:$S$14,$T$9:$T$14)&amp;"-"&amp;
IF(E696="Residential/Group Housing","RES",
IF(E696="Commercial","COM",
IF(E696="Mixed Development","MIX",
IF(E696="Plotted Development","PLT","OTH"))))
&amp;"-"&amp;TEXT(COUNTIFS($B$9:B696,B696,$E$9:E696,E696),"0000")</f>
        <v>SUR-RES-0158</v>
      </c>
      <c r="B696" s="322" t="s">
        <v>34</v>
      </c>
      <c r="C696" s="322" t="s">
        <v>34</v>
      </c>
      <c r="D696" s="323" t="s">
        <v>886</v>
      </c>
      <c r="E696" s="132" t="s">
        <v>24</v>
      </c>
      <c r="F696" s="97" t="str">
        <f ca="1">IF(OR(Market_Data[[#This Row],[Start Date]]="",Market_Data[[#This Row],[Completion Date]]=""),"Needs Validation",IF(Market_Data[[#This Row],[Start Date]]&gt;TODAY(),"Planned",IF(Market_Data[[#This Row],[Completion Date]]&lt;TODAY(),"Completed","Ongoing")))</f>
        <v>Completed</v>
      </c>
      <c r="G696" s="324">
        <v>43997</v>
      </c>
      <c r="H696" s="324">
        <v>44651</v>
      </c>
      <c r="I696" s="325">
        <v>14900</v>
      </c>
      <c r="J69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96" s="133">
        <f>_xlfn.XLOOKUP(Market_Data[[#This Row],[Project Type]],tbl_assumptions_market[Project Category (RERA)],tbl_assumptions_market[Concrete Intensity
(m³ / sq m BUA)],"",0)</f>
        <v>0.45</v>
      </c>
      <c r="L696" s="134">
        <f>ROUND(Market_Data[[#This Row],[Estimated Built Up Area (sq m)]]*Market_Data[[#This Row],[Concrete Intensity
(m³ / sq m)]],0)</f>
        <v>6705</v>
      </c>
      <c r="M696" s="135">
        <f>_xlfn.XLOOKUP(Market_Data[[#This Row],[District]],tbl_district_price[District],tbl_district_price[Standard Price
(INR/m³)],"",0)</f>
        <v>6200</v>
      </c>
      <c r="N696" s="364">
        <f>IF(OR(Market_Data[[#This Row],[Estimated Concrete Demand (m³)]]="",Market_Data[[#This Row],[Avg Price per (₹ / m³)]]=""),"",Market_Data[[#This Row],[Estimated Concrete Demand (m³)]]*Market_Data[[#This Row],[Avg Price per (₹ / m³)]]/10000000)</f>
        <v>4.1570999999999998</v>
      </c>
      <c r="O696" s="97" t="str">
        <f>IF(Market_Data[[#This Row],[Estimated Concrete Demand (m³)]]="","",
IF(Market_Data[[#This Row],[Estimated Concrete Demand (m³)]]&lt;10000,"Small",
IF(Market_Data[[#This Row],[Estimated Concrete Demand (m³)]]&lt;25000,"Medium",
IF(Market_Data[[#This Row],[Estimated Concrete Demand (m³)]]&lt;100000,"Large","Mega"))))</f>
        <v>Small</v>
      </c>
      <c r="P696" s="287" t="str">
        <f t="shared" si="12"/>
        <v>GujRERA</v>
      </c>
    </row>
    <row r="697" spans="1:16">
      <c r="A697" s="129" t="str">
        <f>_xlfn.XLOOKUP(B697,$S$9:$S$14,$T$9:$T$14)&amp;"-"&amp;
IF(E697="Residential/Group Housing","RES",
IF(E697="Commercial","COM",
IF(E697="Mixed Development","MIX",
IF(E697="Plotted Development","PLT","OTH"))))
&amp;"-"&amp;TEXT(COUNTIFS($B$9:B697,B697,$E$9:E697,E697),"0000")</f>
        <v>SUR-MIX-0070</v>
      </c>
      <c r="B697" s="322" t="s">
        <v>34</v>
      </c>
      <c r="C697" s="322" t="s">
        <v>34</v>
      </c>
      <c r="D697" s="323" t="s">
        <v>887</v>
      </c>
      <c r="E697" s="132" t="s">
        <v>25</v>
      </c>
      <c r="F697" s="97" t="str">
        <f ca="1">IF(OR(Market_Data[[#This Row],[Start Date]]="",Market_Data[[#This Row],[Completion Date]]=""),"Needs Validation",IF(Market_Data[[#This Row],[Start Date]]&gt;TODAY(),"Planned",IF(Market_Data[[#This Row],[Completion Date]]&lt;TODAY(),"Completed","Ongoing")))</f>
        <v>Completed</v>
      </c>
      <c r="G697" s="324">
        <v>44182</v>
      </c>
      <c r="H697" s="324">
        <v>46022</v>
      </c>
      <c r="I697" s="325">
        <v>26800</v>
      </c>
      <c r="J69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97" s="133">
        <f>_xlfn.XLOOKUP(Market_Data[[#This Row],[Project Type]],tbl_assumptions_market[Project Category (RERA)],tbl_assumptions_market[Concrete Intensity
(m³ / sq m BUA)],"",0)</f>
        <v>0.42</v>
      </c>
      <c r="L697" s="134">
        <f>ROUND(Market_Data[[#This Row],[Estimated Built Up Area (sq m)]]*Market_Data[[#This Row],[Concrete Intensity
(m³ / sq m)]],0)</f>
        <v>11256</v>
      </c>
      <c r="M697" s="135">
        <f>_xlfn.XLOOKUP(Market_Data[[#This Row],[District]],tbl_district_price[District],tbl_district_price[Standard Price
(INR/m³)],"",0)</f>
        <v>6200</v>
      </c>
      <c r="N697" s="364">
        <f>IF(OR(Market_Data[[#This Row],[Estimated Concrete Demand (m³)]]="",Market_Data[[#This Row],[Avg Price per (₹ / m³)]]=""),"",Market_Data[[#This Row],[Estimated Concrete Demand (m³)]]*Market_Data[[#This Row],[Avg Price per (₹ / m³)]]/10000000)</f>
        <v>6.97872</v>
      </c>
      <c r="O697" s="97" t="str">
        <f>IF(Market_Data[[#This Row],[Estimated Concrete Demand (m³)]]="","",
IF(Market_Data[[#This Row],[Estimated Concrete Demand (m³)]]&lt;10000,"Small",
IF(Market_Data[[#This Row],[Estimated Concrete Demand (m³)]]&lt;25000,"Medium",
IF(Market_Data[[#This Row],[Estimated Concrete Demand (m³)]]&lt;100000,"Large","Mega"))))</f>
        <v>Medium</v>
      </c>
      <c r="P697" s="287" t="str">
        <f t="shared" si="12"/>
        <v>GujRERA</v>
      </c>
    </row>
    <row r="698" spans="1:16">
      <c r="A698" s="129" t="str">
        <f>_xlfn.XLOOKUP(B698,$S$9:$S$14,$T$9:$T$14)&amp;"-"&amp;
IF(E698="Residential/Group Housing","RES",
IF(E698="Commercial","COM",
IF(E698="Mixed Development","MIX",
IF(E698="Plotted Development","PLT","OTH"))))
&amp;"-"&amp;TEXT(COUNTIFS($B$9:B698,B698,$E$9:E698,E698),"0000")</f>
        <v>SUR-RES-0159</v>
      </c>
      <c r="B698" s="322" t="s">
        <v>34</v>
      </c>
      <c r="C698" s="322" t="s">
        <v>34</v>
      </c>
      <c r="D698" s="323" t="s">
        <v>888</v>
      </c>
      <c r="E698" s="132" t="s">
        <v>24</v>
      </c>
      <c r="F698" s="97" t="str">
        <f ca="1">IF(OR(Market_Data[[#This Row],[Start Date]]="",Market_Data[[#This Row],[Completion Date]]=""),"Needs Validation",IF(Market_Data[[#This Row],[Start Date]]&gt;TODAY(),"Planned",IF(Market_Data[[#This Row],[Completion Date]]&lt;TODAY(),"Completed","Ongoing")))</f>
        <v>Ongoing</v>
      </c>
      <c r="G698" s="324">
        <v>45205</v>
      </c>
      <c r="H698" s="324">
        <v>47118</v>
      </c>
      <c r="I698" s="325">
        <v>14200</v>
      </c>
      <c r="J69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98" s="133">
        <f>_xlfn.XLOOKUP(Market_Data[[#This Row],[Project Type]],tbl_assumptions_market[Project Category (RERA)],tbl_assumptions_market[Concrete Intensity
(m³ / sq m BUA)],"",0)</f>
        <v>0.45</v>
      </c>
      <c r="L698" s="134">
        <f>ROUND(Market_Data[[#This Row],[Estimated Built Up Area (sq m)]]*Market_Data[[#This Row],[Concrete Intensity
(m³ / sq m)]],0)</f>
        <v>6390</v>
      </c>
      <c r="M698" s="135">
        <f>_xlfn.XLOOKUP(Market_Data[[#This Row],[District]],tbl_district_price[District],tbl_district_price[Standard Price
(INR/m³)],"",0)</f>
        <v>6200</v>
      </c>
      <c r="N698" s="364">
        <f>IF(OR(Market_Data[[#This Row],[Estimated Concrete Demand (m³)]]="",Market_Data[[#This Row],[Avg Price per (₹ / m³)]]=""),"",Market_Data[[#This Row],[Estimated Concrete Demand (m³)]]*Market_Data[[#This Row],[Avg Price per (₹ / m³)]]/10000000)</f>
        <v>3.9618000000000002</v>
      </c>
      <c r="O698" s="97" t="str">
        <f>IF(Market_Data[[#This Row],[Estimated Concrete Demand (m³)]]="","",
IF(Market_Data[[#This Row],[Estimated Concrete Demand (m³)]]&lt;10000,"Small",
IF(Market_Data[[#This Row],[Estimated Concrete Demand (m³)]]&lt;25000,"Medium",
IF(Market_Data[[#This Row],[Estimated Concrete Demand (m³)]]&lt;100000,"Large","Mega"))))</f>
        <v>Small</v>
      </c>
      <c r="P698" s="287" t="str">
        <f t="shared" si="12"/>
        <v>GujRERA</v>
      </c>
    </row>
    <row r="699" spans="1:16">
      <c r="A699" s="129" t="str">
        <f>_xlfn.XLOOKUP(B699,$S$9:$S$14,$T$9:$T$14)&amp;"-"&amp;
IF(E699="Residential/Group Housing","RES",
IF(E699="Commercial","COM",
IF(E699="Mixed Development","MIX",
IF(E699="Plotted Development","PLT","OTH"))))
&amp;"-"&amp;TEXT(COUNTIFS($B$9:B699,B699,$E$9:E699,E699),"0000")</f>
        <v>SUR-RES-0160</v>
      </c>
      <c r="B699" s="322" t="s">
        <v>34</v>
      </c>
      <c r="C699" s="322" t="s">
        <v>34</v>
      </c>
      <c r="D699" s="323" t="s">
        <v>889</v>
      </c>
      <c r="E699" s="132" t="s">
        <v>24</v>
      </c>
      <c r="F699" s="97" t="str">
        <f ca="1">IF(OR(Market_Data[[#This Row],[Start Date]]="",Market_Data[[#This Row],[Completion Date]]=""),"Needs Validation",IF(Market_Data[[#This Row],[Start Date]]&gt;TODAY(),"Planned",IF(Market_Data[[#This Row],[Completion Date]]&lt;TODAY(),"Completed","Ongoing")))</f>
        <v>Completed</v>
      </c>
      <c r="G699" s="324">
        <v>42130</v>
      </c>
      <c r="H699" s="324">
        <v>43555</v>
      </c>
      <c r="I699" s="325">
        <v>24300</v>
      </c>
      <c r="J69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699" s="133">
        <f>_xlfn.XLOOKUP(Market_Data[[#This Row],[Project Type]],tbl_assumptions_market[Project Category (RERA)],tbl_assumptions_market[Concrete Intensity
(m³ / sq m BUA)],"",0)</f>
        <v>0.45</v>
      </c>
      <c r="L699" s="134">
        <f>ROUND(Market_Data[[#This Row],[Estimated Built Up Area (sq m)]]*Market_Data[[#This Row],[Concrete Intensity
(m³ / sq m)]],0)</f>
        <v>10935</v>
      </c>
      <c r="M699" s="135">
        <f>_xlfn.XLOOKUP(Market_Data[[#This Row],[District]],tbl_district_price[District],tbl_district_price[Standard Price
(INR/m³)],"",0)</f>
        <v>6200</v>
      </c>
      <c r="N699" s="364">
        <f>IF(OR(Market_Data[[#This Row],[Estimated Concrete Demand (m³)]]="",Market_Data[[#This Row],[Avg Price per (₹ / m³)]]=""),"",Market_Data[[#This Row],[Estimated Concrete Demand (m³)]]*Market_Data[[#This Row],[Avg Price per (₹ / m³)]]/10000000)</f>
        <v>6.7797000000000001</v>
      </c>
      <c r="O699" s="97" t="str">
        <f>IF(Market_Data[[#This Row],[Estimated Concrete Demand (m³)]]="","",
IF(Market_Data[[#This Row],[Estimated Concrete Demand (m³)]]&lt;10000,"Small",
IF(Market_Data[[#This Row],[Estimated Concrete Demand (m³)]]&lt;25000,"Medium",
IF(Market_Data[[#This Row],[Estimated Concrete Demand (m³)]]&lt;100000,"Large","Mega"))))</f>
        <v>Medium</v>
      </c>
      <c r="P699" s="287" t="str">
        <f t="shared" si="12"/>
        <v>GujRERA</v>
      </c>
    </row>
    <row r="700" spans="1:16">
      <c r="A700" s="129" t="str">
        <f>_xlfn.XLOOKUP(B700,$S$9:$S$14,$T$9:$T$14)&amp;"-"&amp;
IF(E700="Residential/Group Housing","RES",
IF(E700="Commercial","COM",
IF(E700="Mixed Development","MIX",
IF(E700="Plotted Development","PLT","OTH"))))
&amp;"-"&amp;TEXT(COUNTIFS($B$9:B700,B700,$E$9:E700,E700),"0000")</f>
        <v>SUR-RES-0161</v>
      </c>
      <c r="B700" s="322" t="s">
        <v>34</v>
      </c>
      <c r="C700" s="322" t="s">
        <v>34</v>
      </c>
      <c r="D700" s="323" t="s">
        <v>890</v>
      </c>
      <c r="E700" s="132" t="s">
        <v>24</v>
      </c>
      <c r="F700" s="97" t="str">
        <f ca="1">IF(OR(Market_Data[[#This Row],[Start Date]]="",Market_Data[[#This Row],[Completion Date]]=""),"Needs Validation",IF(Market_Data[[#This Row],[Start Date]]&gt;TODAY(),"Planned",IF(Market_Data[[#This Row],[Completion Date]]&lt;TODAY(),"Completed","Ongoing")))</f>
        <v>Completed</v>
      </c>
      <c r="G700" s="324">
        <v>43348</v>
      </c>
      <c r="H700" s="324">
        <v>45199</v>
      </c>
      <c r="I700" s="325">
        <v>33100</v>
      </c>
      <c r="J70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00" s="133">
        <f>_xlfn.XLOOKUP(Market_Data[[#This Row],[Project Type]],tbl_assumptions_market[Project Category (RERA)],tbl_assumptions_market[Concrete Intensity
(m³ / sq m BUA)],"",0)</f>
        <v>0.45</v>
      </c>
      <c r="L700" s="134">
        <f>ROUND(Market_Data[[#This Row],[Estimated Built Up Area (sq m)]]*Market_Data[[#This Row],[Concrete Intensity
(m³ / sq m)]],0)</f>
        <v>14895</v>
      </c>
      <c r="M700" s="135">
        <f>_xlfn.XLOOKUP(Market_Data[[#This Row],[District]],tbl_district_price[District],tbl_district_price[Standard Price
(INR/m³)],"",0)</f>
        <v>6200</v>
      </c>
      <c r="N700" s="364">
        <f>IF(OR(Market_Data[[#This Row],[Estimated Concrete Demand (m³)]]="",Market_Data[[#This Row],[Avg Price per (₹ / m³)]]=""),"",Market_Data[[#This Row],[Estimated Concrete Demand (m³)]]*Market_Data[[#This Row],[Avg Price per (₹ / m³)]]/10000000)</f>
        <v>9.2348999999999997</v>
      </c>
      <c r="O700" s="97" t="str">
        <f>IF(Market_Data[[#This Row],[Estimated Concrete Demand (m³)]]="","",
IF(Market_Data[[#This Row],[Estimated Concrete Demand (m³)]]&lt;10000,"Small",
IF(Market_Data[[#This Row],[Estimated Concrete Demand (m³)]]&lt;25000,"Medium",
IF(Market_Data[[#This Row],[Estimated Concrete Demand (m³)]]&lt;100000,"Large","Mega"))))</f>
        <v>Medium</v>
      </c>
      <c r="P700" s="287" t="str">
        <f t="shared" si="12"/>
        <v>GujRERA</v>
      </c>
    </row>
    <row r="701" spans="1:16">
      <c r="A701" s="129" t="str">
        <f>_xlfn.XLOOKUP(B701,$S$9:$S$14,$T$9:$T$14)&amp;"-"&amp;
IF(E701="Residential/Group Housing","RES",
IF(E701="Commercial","COM",
IF(E701="Mixed Development","MIX",
IF(E701="Plotted Development","PLT","OTH"))))
&amp;"-"&amp;TEXT(COUNTIFS($B$9:B701,B701,$E$9:E701,E701),"0000")</f>
        <v>SUR-RES-0162</v>
      </c>
      <c r="B701" s="322" t="s">
        <v>34</v>
      </c>
      <c r="C701" s="322" t="s">
        <v>34</v>
      </c>
      <c r="D701" s="323" t="s">
        <v>891</v>
      </c>
      <c r="E701" s="132" t="s">
        <v>24</v>
      </c>
      <c r="F701" s="97" t="str">
        <f ca="1">IF(OR(Market_Data[[#This Row],[Start Date]]="",Market_Data[[#This Row],[Completion Date]]=""),"Needs Validation",IF(Market_Data[[#This Row],[Start Date]]&gt;TODAY(),"Planned",IF(Market_Data[[#This Row],[Completion Date]]&lt;TODAY(),"Completed","Ongoing")))</f>
        <v>Completed</v>
      </c>
      <c r="G701" s="324">
        <v>41930</v>
      </c>
      <c r="H701" s="324">
        <v>43465</v>
      </c>
      <c r="I701" s="325">
        <v>53600</v>
      </c>
      <c r="J70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01" s="133">
        <f>_xlfn.XLOOKUP(Market_Data[[#This Row],[Project Type]],tbl_assumptions_market[Project Category (RERA)],tbl_assumptions_market[Concrete Intensity
(m³ / sq m BUA)],"",0)</f>
        <v>0.45</v>
      </c>
      <c r="L701" s="134">
        <f>ROUND(Market_Data[[#This Row],[Estimated Built Up Area (sq m)]]*Market_Data[[#This Row],[Concrete Intensity
(m³ / sq m)]],0)</f>
        <v>24120</v>
      </c>
      <c r="M701" s="135">
        <f>_xlfn.XLOOKUP(Market_Data[[#This Row],[District]],tbl_district_price[District],tbl_district_price[Standard Price
(INR/m³)],"",0)</f>
        <v>6200</v>
      </c>
      <c r="N701" s="364">
        <f>IF(OR(Market_Data[[#This Row],[Estimated Concrete Demand (m³)]]="",Market_Data[[#This Row],[Avg Price per (₹ / m³)]]=""),"",Market_Data[[#This Row],[Estimated Concrete Demand (m³)]]*Market_Data[[#This Row],[Avg Price per (₹ / m³)]]/10000000)</f>
        <v>14.9544</v>
      </c>
      <c r="O701" s="97" t="str">
        <f>IF(Market_Data[[#This Row],[Estimated Concrete Demand (m³)]]="","",
IF(Market_Data[[#This Row],[Estimated Concrete Demand (m³)]]&lt;10000,"Small",
IF(Market_Data[[#This Row],[Estimated Concrete Demand (m³)]]&lt;25000,"Medium",
IF(Market_Data[[#This Row],[Estimated Concrete Demand (m³)]]&lt;100000,"Large","Mega"))))</f>
        <v>Medium</v>
      </c>
      <c r="P701" s="287" t="str">
        <f t="shared" si="12"/>
        <v>GujRERA</v>
      </c>
    </row>
    <row r="702" spans="1:16">
      <c r="A702" s="129" t="str">
        <f>_xlfn.XLOOKUP(B702,$S$9:$S$14,$T$9:$T$14)&amp;"-"&amp;
IF(E702="Residential/Group Housing","RES",
IF(E702="Commercial","COM",
IF(E702="Mixed Development","MIX",
IF(E702="Plotted Development","PLT","OTH"))))
&amp;"-"&amp;TEXT(COUNTIFS($B$9:B702,B702,$E$9:E702,E702),"0000")</f>
        <v>SUR-COM-0066</v>
      </c>
      <c r="B702" s="322" t="s">
        <v>34</v>
      </c>
      <c r="C702" s="322" t="s">
        <v>34</v>
      </c>
      <c r="D702" s="323" t="s">
        <v>892</v>
      </c>
      <c r="E702" s="132" t="s">
        <v>23</v>
      </c>
      <c r="F702" s="97" t="str">
        <f ca="1">IF(OR(Market_Data[[#This Row],[Start Date]]="",Market_Data[[#This Row],[Completion Date]]=""),"Needs Validation",IF(Market_Data[[#This Row],[Start Date]]&gt;TODAY(),"Planned",IF(Market_Data[[#This Row],[Completion Date]]&lt;TODAY(),"Completed","Ongoing")))</f>
        <v>Completed</v>
      </c>
      <c r="G702" s="324">
        <v>42370</v>
      </c>
      <c r="H702" s="324">
        <v>44135</v>
      </c>
      <c r="I702" s="325">
        <v>7300</v>
      </c>
      <c r="J70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02" s="133">
        <f>_xlfn.XLOOKUP(Market_Data[[#This Row],[Project Type]],tbl_assumptions_market[Project Category (RERA)],tbl_assumptions_market[Concrete Intensity
(m³ / sq m BUA)],"",0)</f>
        <v>0.5</v>
      </c>
      <c r="L702" s="134">
        <f>ROUND(Market_Data[[#This Row],[Estimated Built Up Area (sq m)]]*Market_Data[[#This Row],[Concrete Intensity
(m³ / sq m)]],0)</f>
        <v>3650</v>
      </c>
      <c r="M702" s="135">
        <f>_xlfn.XLOOKUP(Market_Data[[#This Row],[District]],tbl_district_price[District],tbl_district_price[Standard Price
(INR/m³)],"",0)</f>
        <v>6200</v>
      </c>
      <c r="N702" s="364">
        <f>IF(OR(Market_Data[[#This Row],[Estimated Concrete Demand (m³)]]="",Market_Data[[#This Row],[Avg Price per (₹ / m³)]]=""),"",Market_Data[[#This Row],[Estimated Concrete Demand (m³)]]*Market_Data[[#This Row],[Avg Price per (₹ / m³)]]/10000000)</f>
        <v>2.2629999999999999</v>
      </c>
      <c r="O702" s="97" t="str">
        <f>IF(Market_Data[[#This Row],[Estimated Concrete Demand (m³)]]="","",
IF(Market_Data[[#This Row],[Estimated Concrete Demand (m³)]]&lt;10000,"Small",
IF(Market_Data[[#This Row],[Estimated Concrete Demand (m³)]]&lt;25000,"Medium",
IF(Market_Data[[#This Row],[Estimated Concrete Demand (m³)]]&lt;100000,"Large","Mega"))))</f>
        <v>Small</v>
      </c>
      <c r="P702" s="287" t="str">
        <f t="shared" si="12"/>
        <v>GujRERA</v>
      </c>
    </row>
    <row r="703" spans="1:16">
      <c r="A703" s="129" t="str">
        <f>_xlfn.XLOOKUP(B703,$S$9:$S$14,$T$9:$T$14)&amp;"-"&amp;
IF(E703="Residential/Group Housing","RES",
IF(E703="Commercial","COM",
IF(E703="Mixed Development","MIX",
IF(E703="Plotted Development","PLT","OTH"))))
&amp;"-"&amp;TEXT(COUNTIFS($B$9:B703,B703,$E$9:E703,E703),"0000")</f>
        <v>SUR-RES-0163</v>
      </c>
      <c r="B703" s="322" t="s">
        <v>34</v>
      </c>
      <c r="C703" s="322" t="s">
        <v>34</v>
      </c>
      <c r="D703" s="323" t="s">
        <v>893</v>
      </c>
      <c r="E703" s="132" t="s">
        <v>24</v>
      </c>
      <c r="F703" s="97" t="str">
        <f ca="1">IF(OR(Market_Data[[#This Row],[Start Date]]="",Market_Data[[#This Row],[Completion Date]]=""),"Needs Validation",IF(Market_Data[[#This Row],[Start Date]]&gt;TODAY(),"Planned",IF(Market_Data[[#This Row],[Completion Date]]&lt;TODAY(),"Completed","Ongoing")))</f>
        <v>Completed</v>
      </c>
      <c r="G703" s="324">
        <v>41127</v>
      </c>
      <c r="H703" s="324">
        <v>43738</v>
      </c>
      <c r="I703" s="325">
        <v>2800</v>
      </c>
      <c r="J70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03" s="133">
        <f>_xlfn.XLOOKUP(Market_Data[[#This Row],[Project Type]],tbl_assumptions_market[Project Category (RERA)],tbl_assumptions_market[Concrete Intensity
(m³ / sq m BUA)],"",0)</f>
        <v>0.45</v>
      </c>
      <c r="L703" s="134">
        <f>ROUND(Market_Data[[#This Row],[Estimated Built Up Area (sq m)]]*Market_Data[[#This Row],[Concrete Intensity
(m³ / sq m)]],0)</f>
        <v>1260</v>
      </c>
      <c r="M703" s="135">
        <f>_xlfn.XLOOKUP(Market_Data[[#This Row],[District]],tbl_district_price[District],tbl_district_price[Standard Price
(INR/m³)],"",0)</f>
        <v>6200</v>
      </c>
      <c r="N703" s="364">
        <f>IF(OR(Market_Data[[#This Row],[Estimated Concrete Demand (m³)]]="",Market_Data[[#This Row],[Avg Price per (₹ / m³)]]=""),"",Market_Data[[#This Row],[Estimated Concrete Demand (m³)]]*Market_Data[[#This Row],[Avg Price per (₹ / m³)]]/10000000)</f>
        <v>0.78120000000000001</v>
      </c>
      <c r="O703" s="97" t="str">
        <f>IF(Market_Data[[#This Row],[Estimated Concrete Demand (m³)]]="","",
IF(Market_Data[[#This Row],[Estimated Concrete Demand (m³)]]&lt;10000,"Small",
IF(Market_Data[[#This Row],[Estimated Concrete Demand (m³)]]&lt;25000,"Medium",
IF(Market_Data[[#This Row],[Estimated Concrete Demand (m³)]]&lt;100000,"Large","Mega"))))</f>
        <v>Small</v>
      </c>
      <c r="P703" s="287" t="str">
        <f t="shared" si="12"/>
        <v>GujRERA</v>
      </c>
    </row>
    <row r="704" spans="1:16">
      <c r="A704" s="129" t="str">
        <f>_xlfn.XLOOKUP(B704,$S$9:$S$14,$T$9:$T$14)&amp;"-"&amp;
IF(E704="Residential/Group Housing","RES",
IF(E704="Commercial","COM",
IF(E704="Mixed Development","MIX",
IF(E704="Plotted Development","PLT","OTH"))))
&amp;"-"&amp;TEXT(COUNTIFS($B$9:B704,B704,$E$9:E704,E704),"0000")</f>
        <v>SUR-COM-0067</v>
      </c>
      <c r="B704" s="322" t="s">
        <v>34</v>
      </c>
      <c r="C704" s="322" t="s">
        <v>34</v>
      </c>
      <c r="D704" s="323" t="s">
        <v>894</v>
      </c>
      <c r="E704" s="132" t="s">
        <v>23</v>
      </c>
      <c r="F704" s="97" t="str">
        <f ca="1">IF(OR(Market_Data[[#This Row],[Start Date]]="",Market_Data[[#This Row],[Completion Date]]=""),"Needs Validation",IF(Market_Data[[#This Row],[Start Date]]&gt;TODAY(),"Planned",IF(Market_Data[[#This Row],[Completion Date]]&lt;TODAY(),"Completed","Ongoing")))</f>
        <v>Completed</v>
      </c>
      <c r="G704" s="324">
        <v>43111</v>
      </c>
      <c r="H704" s="324">
        <v>44176</v>
      </c>
      <c r="I704" s="325">
        <v>30000</v>
      </c>
      <c r="J70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704" s="133">
        <f>_xlfn.XLOOKUP(Market_Data[[#This Row],[Project Type]],tbl_assumptions_market[Project Category (RERA)],tbl_assumptions_market[Concrete Intensity
(m³ / sq m BUA)],"",0)</f>
        <v>0.5</v>
      </c>
      <c r="L704" s="134">
        <f>ROUND(Market_Data[[#This Row],[Estimated Built Up Area (sq m)]]*Market_Data[[#This Row],[Concrete Intensity
(m³ / sq m)]],0)</f>
        <v>15000</v>
      </c>
      <c r="M704" s="135">
        <f>_xlfn.XLOOKUP(Market_Data[[#This Row],[District]],tbl_district_price[District],tbl_district_price[Standard Price
(INR/m³)],"",0)</f>
        <v>6200</v>
      </c>
      <c r="N704" s="364">
        <f>IF(OR(Market_Data[[#This Row],[Estimated Concrete Demand (m³)]]="",Market_Data[[#This Row],[Avg Price per (₹ / m³)]]=""),"",Market_Data[[#This Row],[Estimated Concrete Demand (m³)]]*Market_Data[[#This Row],[Avg Price per (₹ / m³)]]/10000000)</f>
        <v>9.3000000000000007</v>
      </c>
      <c r="O704" s="97" t="str">
        <f>IF(Market_Data[[#This Row],[Estimated Concrete Demand (m³)]]="","",
IF(Market_Data[[#This Row],[Estimated Concrete Demand (m³)]]&lt;10000,"Small",
IF(Market_Data[[#This Row],[Estimated Concrete Demand (m³)]]&lt;25000,"Medium",
IF(Market_Data[[#This Row],[Estimated Concrete Demand (m³)]]&lt;100000,"Large","Mega"))))</f>
        <v>Medium</v>
      </c>
      <c r="P704" s="287" t="str">
        <f t="shared" si="12"/>
        <v>GujRERA</v>
      </c>
    </row>
    <row r="705" spans="1:16">
      <c r="A705" s="129" t="str">
        <f>_xlfn.XLOOKUP(B705,$S$9:$S$14,$T$9:$T$14)&amp;"-"&amp;
IF(E705="Residential/Group Housing","RES",
IF(E705="Commercial","COM",
IF(E705="Mixed Development","MIX",
IF(E705="Plotted Development","PLT","OTH"))))
&amp;"-"&amp;TEXT(COUNTIFS($B$9:B705,B705,$E$9:E705,E705),"0000")</f>
        <v>SUR-MIX-0071</v>
      </c>
      <c r="B705" s="322" t="s">
        <v>34</v>
      </c>
      <c r="C705" s="322" t="s">
        <v>34</v>
      </c>
      <c r="D705" s="323" t="s">
        <v>895</v>
      </c>
      <c r="E705" s="132" t="s">
        <v>25</v>
      </c>
      <c r="F705" s="97" t="str">
        <f ca="1">IF(OR(Market_Data[[#This Row],[Start Date]]="",Market_Data[[#This Row],[Completion Date]]=""),"Needs Validation",IF(Market_Data[[#This Row],[Start Date]]&gt;TODAY(),"Planned",IF(Market_Data[[#This Row],[Completion Date]]&lt;TODAY(),"Completed","Ongoing")))</f>
        <v>Completed</v>
      </c>
      <c r="G705" s="324">
        <v>43282</v>
      </c>
      <c r="H705" s="324">
        <v>43820</v>
      </c>
      <c r="I705" s="325">
        <v>39200</v>
      </c>
      <c r="J70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05" s="133">
        <f>_xlfn.XLOOKUP(Market_Data[[#This Row],[Project Type]],tbl_assumptions_market[Project Category (RERA)],tbl_assumptions_market[Concrete Intensity
(m³ / sq m BUA)],"",0)</f>
        <v>0.42</v>
      </c>
      <c r="L705" s="134">
        <f>ROUND(Market_Data[[#This Row],[Estimated Built Up Area (sq m)]]*Market_Data[[#This Row],[Concrete Intensity
(m³ / sq m)]],0)</f>
        <v>16464</v>
      </c>
      <c r="M705" s="135">
        <f>_xlfn.XLOOKUP(Market_Data[[#This Row],[District]],tbl_district_price[District],tbl_district_price[Standard Price
(INR/m³)],"",0)</f>
        <v>6200</v>
      </c>
      <c r="N705" s="364">
        <f>IF(OR(Market_Data[[#This Row],[Estimated Concrete Demand (m³)]]="",Market_Data[[#This Row],[Avg Price per (₹ / m³)]]=""),"",Market_Data[[#This Row],[Estimated Concrete Demand (m³)]]*Market_Data[[#This Row],[Avg Price per (₹ / m³)]]/10000000)</f>
        <v>10.20768</v>
      </c>
      <c r="O705" s="97" t="str">
        <f>IF(Market_Data[[#This Row],[Estimated Concrete Demand (m³)]]="","",
IF(Market_Data[[#This Row],[Estimated Concrete Demand (m³)]]&lt;10000,"Small",
IF(Market_Data[[#This Row],[Estimated Concrete Demand (m³)]]&lt;25000,"Medium",
IF(Market_Data[[#This Row],[Estimated Concrete Demand (m³)]]&lt;100000,"Large","Mega"))))</f>
        <v>Medium</v>
      </c>
      <c r="P705" s="287" t="str">
        <f t="shared" si="12"/>
        <v>GujRERA</v>
      </c>
    </row>
    <row r="706" spans="1:16">
      <c r="A706" s="129" t="str">
        <f>_xlfn.XLOOKUP(B706,$S$9:$S$14,$T$9:$T$14)&amp;"-"&amp;
IF(E706="Residential/Group Housing","RES",
IF(E706="Commercial","COM",
IF(E706="Mixed Development","MIX",
IF(E706="Plotted Development","PLT","OTH"))))
&amp;"-"&amp;TEXT(COUNTIFS($B$9:B706,B706,$E$9:E706,E706),"0000")</f>
        <v>SUR-PLT-0087</v>
      </c>
      <c r="B706" s="322" t="s">
        <v>34</v>
      </c>
      <c r="C706" s="322" t="s">
        <v>34</v>
      </c>
      <c r="D706" s="323" t="s">
        <v>896</v>
      </c>
      <c r="E706" s="132" t="s">
        <v>26</v>
      </c>
      <c r="F706" s="97" t="str">
        <f ca="1">IF(OR(Market_Data[[#This Row],[Start Date]]="",Market_Data[[#This Row],[Completion Date]]=""),"Needs Validation",IF(Market_Data[[#This Row],[Start Date]]&gt;TODAY(),"Planned",IF(Market_Data[[#This Row],[Completion Date]]&lt;TODAY(),"Completed","Ongoing")))</f>
        <v>Completed</v>
      </c>
      <c r="G706" s="324">
        <v>44880</v>
      </c>
      <c r="H706" s="324">
        <v>46022</v>
      </c>
      <c r="I706" s="325">
        <v>18600</v>
      </c>
      <c r="J70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06" s="133">
        <f>_xlfn.XLOOKUP(Market_Data[[#This Row],[Project Type]],tbl_assumptions_market[Project Category (RERA)],tbl_assumptions_market[Concrete Intensity
(m³ / sq m BUA)],"",0)</f>
        <v>0.18</v>
      </c>
      <c r="L706" s="134">
        <f>ROUND(Market_Data[[#This Row],[Estimated Built Up Area (sq m)]]*Market_Data[[#This Row],[Concrete Intensity
(m³ / sq m)]],0)</f>
        <v>3348</v>
      </c>
      <c r="M706" s="135">
        <f>_xlfn.XLOOKUP(Market_Data[[#This Row],[District]],tbl_district_price[District],tbl_district_price[Standard Price
(INR/m³)],"",0)</f>
        <v>6200</v>
      </c>
      <c r="N706" s="364">
        <f>IF(OR(Market_Data[[#This Row],[Estimated Concrete Demand (m³)]]="",Market_Data[[#This Row],[Avg Price per (₹ / m³)]]=""),"",Market_Data[[#This Row],[Estimated Concrete Demand (m³)]]*Market_Data[[#This Row],[Avg Price per (₹ / m³)]]/10000000)</f>
        <v>2.0757599999999998</v>
      </c>
      <c r="O706" s="97" t="str">
        <f>IF(Market_Data[[#This Row],[Estimated Concrete Demand (m³)]]="","",
IF(Market_Data[[#This Row],[Estimated Concrete Demand (m³)]]&lt;10000,"Small",
IF(Market_Data[[#This Row],[Estimated Concrete Demand (m³)]]&lt;25000,"Medium",
IF(Market_Data[[#This Row],[Estimated Concrete Demand (m³)]]&lt;100000,"Large","Mega"))))</f>
        <v>Small</v>
      </c>
      <c r="P706" s="287" t="str">
        <f t="shared" si="12"/>
        <v>GujRERA</v>
      </c>
    </row>
    <row r="707" spans="1:16">
      <c r="A707" s="129" t="str">
        <f>_xlfn.XLOOKUP(B707,$S$9:$S$14,$T$9:$T$14)&amp;"-"&amp;
IF(E707="Residential/Group Housing","RES",
IF(E707="Commercial","COM",
IF(E707="Mixed Development","MIX",
IF(E707="Plotted Development","PLT","OTH"))))
&amp;"-"&amp;TEXT(COUNTIFS($B$9:B707,B707,$E$9:E707,E707),"0000")</f>
        <v>SUR-RES-0164</v>
      </c>
      <c r="B707" s="322" t="s">
        <v>34</v>
      </c>
      <c r="C707" s="322" t="s">
        <v>34</v>
      </c>
      <c r="D707" s="323" t="s">
        <v>897</v>
      </c>
      <c r="E707" s="132" t="s">
        <v>24</v>
      </c>
      <c r="F707" s="97" t="str">
        <f ca="1">IF(OR(Market_Data[[#This Row],[Start Date]]="",Market_Data[[#This Row],[Completion Date]]=""),"Needs Validation",IF(Market_Data[[#This Row],[Start Date]]&gt;TODAY(),"Planned",IF(Market_Data[[#This Row],[Completion Date]]&lt;TODAY(),"Completed","Ongoing")))</f>
        <v>Completed</v>
      </c>
      <c r="G707" s="324">
        <v>43382</v>
      </c>
      <c r="H707" s="324">
        <v>45473</v>
      </c>
      <c r="I707" s="325">
        <v>41800</v>
      </c>
      <c r="J70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07" s="133">
        <f>_xlfn.XLOOKUP(Market_Data[[#This Row],[Project Type]],tbl_assumptions_market[Project Category (RERA)],tbl_assumptions_market[Concrete Intensity
(m³ / sq m BUA)],"",0)</f>
        <v>0.45</v>
      </c>
      <c r="L707" s="134">
        <f>ROUND(Market_Data[[#This Row],[Estimated Built Up Area (sq m)]]*Market_Data[[#This Row],[Concrete Intensity
(m³ / sq m)]],0)</f>
        <v>18810</v>
      </c>
      <c r="M707" s="135">
        <f>_xlfn.XLOOKUP(Market_Data[[#This Row],[District]],tbl_district_price[District],tbl_district_price[Standard Price
(INR/m³)],"",0)</f>
        <v>6200</v>
      </c>
      <c r="N707" s="364">
        <f>IF(OR(Market_Data[[#This Row],[Estimated Concrete Demand (m³)]]="",Market_Data[[#This Row],[Avg Price per (₹ / m³)]]=""),"",Market_Data[[#This Row],[Estimated Concrete Demand (m³)]]*Market_Data[[#This Row],[Avg Price per (₹ / m³)]]/10000000)</f>
        <v>11.6622</v>
      </c>
      <c r="O707" s="97" t="str">
        <f>IF(Market_Data[[#This Row],[Estimated Concrete Demand (m³)]]="","",
IF(Market_Data[[#This Row],[Estimated Concrete Demand (m³)]]&lt;10000,"Small",
IF(Market_Data[[#This Row],[Estimated Concrete Demand (m³)]]&lt;25000,"Medium",
IF(Market_Data[[#This Row],[Estimated Concrete Demand (m³)]]&lt;100000,"Large","Mega"))))</f>
        <v>Medium</v>
      </c>
      <c r="P707" s="287" t="str">
        <f t="shared" si="12"/>
        <v>GujRERA</v>
      </c>
    </row>
    <row r="708" spans="1:16">
      <c r="A708" s="129" t="str">
        <f>_xlfn.XLOOKUP(B708,$S$9:$S$14,$T$9:$T$14)&amp;"-"&amp;
IF(E708="Residential/Group Housing","RES",
IF(E708="Commercial","COM",
IF(E708="Mixed Development","MIX",
IF(E708="Plotted Development","PLT","OTH"))))
&amp;"-"&amp;TEXT(COUNTIFS($B$9:B708,B708,$E$9:E708,E708),"0000")</f>
        <v>SUR-COM-0068</v>
      </c>
      <c r="B708" s="322" t="s">
        <v>34</v>
      </c>
      <c r="C708" s="322" t="s">
        <v>34</v>
      </c>
      <c r="D708" s="323" t="s">
        <v>898</v>
      </c>
      <c r="E708" s="132" t="s">
        <v>23</v>
      </c>
      <c r="F708" s="97" t="str">
        <f ca="1">IF(OR(Market_Data[[#This Row],[Start Date]]="",Market_Data[[#This Row],[Completion Date]]=""),"Needs Validation",IF(Market_Data[[#This Row],[Start Date]]&gt;TODAY(),"Planned",IF(Market_Data[[#This Row],[Completion Date]]&lt;TODAY(),"Completed","Ongoing")))</f>
        <v>Completed</v>
      </c>
      <c r="G708" s="324">
        <v>42578</v>
      </c>
      <c r="H708" s="324">
        <v>43465</v>
      </c>
      <c r="I708" s="325">
        <v>14800</v>
      </c>
      <c r="J70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08" s="133">
        <f>_xlfn.XLOOKUP(Market_Data[[#This Row],[Project Type]],tbl_assumptions_market[Project Category (RERA)],tbl_assumptions_market[Concrete Intensity
(m³ / sq m BUA)],"",0)</f>
        <v>0.5</v>
      </c>
      <c r="L708" s="134">
        <f>ROUND(Market_Data[[#This Row],[Estimated Built Up Area (sq m)]]*Market_Data[[#This Row],[Concrete Intensity
(m³ / sq m)]],0)</f>
        <v>7400</v>
      </c>
      <c r="M708" s="135">
        <f>_xlfn.XLOOKUP(Market_Data[[#This Row],[District]],tbl_district_price[District],tbl_district_price[Standard Price
(INR/m³)],"",0)</f>
        <v>6200</v>
      </c>
      <c r="N708" s="364">
        <f>IF(OR(Market_Data[[#This Row],[Estimated Concrete Demand (m³)]]="",Market_Data[[#This Row],[Avg Price per (₹ / m³)]]=""),"",Market_Data[[#This Row],[Estimated Concrete Demand (m³)]]*Market_Data[[#This Row],[Avg Price per (₹ / m³)]]/10000000)</f>
        <v>4.5880000000000001</v>
      </c>
      <c r="O708" s="97" t="str">
        <f>IF(Market_Data[[#This Row],[Estimated Concrete Demand (m³)]]="","",
IF(Market_Data[[#This Row],[Estimated Concrete Demand (m³)]]&lt;10000,"Small",
IF(Market_Data[[#This Row],[Estimated Concrete Demand (m³)]]&lt;25000,"Medium",
IF(Market_Data[[#This Row],[Estimated Concrete Demand (m³)]]&lt;100000,"Large","Mega"))))</f>
        <v>Small</v>
      </c>
      <c r="P708" s="287" t="str">
        <f t="shared" si="12"/>
        <v>GujRERA</v>
      </c>
    </row>
    <row r="709" spans="1:16">
      <c r="A709" s="129" t="str">
        <f>_xlfn.XLOOKUP(B709,$S$9:$S$14,$T$9:$T$14)&amp;"-"&amp;
IF(E709="Residential/Group Housing","RES",
IF(E709="Commercial","COM",
IF(E709="Mixed Development","MIX",
IF(E709="Plotted Development","PLT","OTH"))))
&amp;"-"&amp;TEXT(COUNTIFS($B$9:B709,B709,$E$9:E709,E709),"0000")</f>
        <v>SUR-COM-0069</v>
      </c>
      <c r="B709" s="322" t="s">
        <v>34</v>
      </c>
      <c r="C709" s="322" t="s">
        <v>34</v>
      </c>
      <c r="D709" s="323" t="s">
        <v>899</v>
      </c>
      <c r="E709" s="132" t="s">
        <v>23</v>
      </c>
      <c r="F709" s="97" t="str">
        <f ca="1">IF(OR(Market_Data[[#This Row],[Start Date]]="",Market_Data[[#This Row],[Completion Date]]=""),"Needs Validation",IF(Market_Data[[#This Row],[Start Date]]&gt;TODAY(),"Planned",IF(Market_Data[[#This Row],[Completion Date]]&lt;TODAY(),"Completed","Ongoing")))</f>
        <v>Ongoing</v>
      </c>
      <c r="G709" s="324">
        <v>45294</v>
      </c>
      <c r="H709" s="324">
        <v>47483</v>
      </c>
      <c r="I709" s="325">
        <v>121100</v>
      </c>
      <c r="J70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709" s="133">
        <f>_xlfn.XLOOKUP(Market_Data[[#This Row],[Project Type]],tbl_assumptions_market[Project Category (RERA)],tbl_assumptions_market[Concrete Intensity
(m³ / sq m BUA)],"",0)</f>
        <v>0.5</v>
      </c>
      <c r="L709" s="134">
        <f>ROUND(Market_Data[[#This Row],[Estimated Built Up Area (sq m)]]*Market_Data[[#This Row],[Concrete Intensity
(m³ / sq m)]],0)</f>
        <v>60550</v>
      </c>
      <c r="M709" s="135">
        <f>_xlfn.XLOOKUP(Market_Data[[#This Row],[District]],tbl_district_price[District],tbl_district_price[Standard Price
(INR/m³)],"",0)</f>
        <v>6200</v>
      </c>
      <c r="N709" s="364">
        <f>IF(OR(Market_Data[[#This Row],[Estimated Concrete Demand (m³)]]="",Market_Data[[#This Row],[Avg Price per (₹ / m³)]]=""),"",Market_Data[[#This Row],[Estimated Concrete Demand (m³)]]*Market_Data[[#This Row],[Avg Price per (₹ / m³)]]/10000000)</f>
        <v>37.540999999999997</v>
      </c>
      <c r="O709" s="97" t="str">
        <f>IF(Market_Data[[#This Row],[Estimated Concrete Demand (m³)]]="","",
IF(Market_Data[[#This Row],[Estimated Concrete Demand (m³)]]&lt;10000,"Small",
IF(Market_Data[[#This Row],[Estimated Concrete Demand (m³)]]&lt;25000,"Medium",
IF(Market_Data[[#This Row],[Estimated Concrete Demand (m³)]]&lt;100000,"Large","Mega"))))</f>
        <v>Large</v>
      </c>
      <c r="P709" s="287" t="str">
        <f t="shared" si="12"/>
        <v>GujRERA</v>
      </c>
    </row>
    <row r="710" spans="1:16">
      <c r="A710" s="129" t="str">
        <f>_xlfn.XLOOKUP(B710,$S$9:$S$14,$T$9:$T$14)&amp;"-"&amp;
IF(E710="Residential/Group Housing","RES",
IF(E710="Commercial","COM",
IF(E710="Mixed Development","MIX",
IF(E710="Plotted Development","PLT","OTH"))))
&amp;"-"&amp;TEXT(COUNTIFS($B$9:B710,B710,$E$9:E710,E710),"0000")</f>
        <v>SUR-COM-0070</v>
      </c>
      <c r="B710" s="322" t="s">
        <v>34</v>
      </c>
      <c r="C710" s="322" t="s">
        <v>34</v>
      </c>
      <c r="D710" s="323" t="s">
        <v>900</v>
      </c>
      <c r="E710" s="132" t="s">
        <v>23</v>
      </c>
      <c r="F710" s="97" t="str">
        <f ca="1">IF(OR(Market_Data[[#This Row],[Start Date]]="",Market_Data[[#This Row],[Completion Date]]=""),"Needs Validation",IF(Market_Data[[#This Row],[Start Date]]&gt;TODAY(),"Planned",IF(Market_Data[[#This Row],[Completion Date]]&lt;TODAY(),"Completed","Ongoing")))</f>
        <v>Completed</v>
      </c>
      <c r="G710" s="324">
        <v>43586</v>
      </c>
      <c r="H710" s="324">
        <v>45291</v>
      </c>
      <c r="I710" s="325">
        <v>36300</v>
      </c>
      <c r="J71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710" s="133">
        <f>_xlfn.XLOOKUP(Market_Data[[#This Row],[Project Type]],tbl_assumptions_market[Project Category (RERA)],tbl_assumptions_market[Concrete Intensity
(m³ / sq m BUA)],"",0)</f>
        <v>0.5</v>
      </c>
      <c r="L710" s="134">
        <f>ROUND(Market_Data[[#This Row],[Estimated Built Up Area (sq m)]]*Market_Data[[#This Row],[Concrete Intensity
(m³ / sq m)]],0)</f>
        <v>18150</v>
      </c>
      <c r="M710" s="135">
        <f>_xlfn.XLOOKUP(Market_Data[[#This Row],[District]],tbl_district_price[District],tbl_district_price[Standard Price
(INR/m³)],"",0)</f>
        <v>6200</v>
      </c>
      <c r="N710" s="364">
        <f>IF(OR(Market_Data[[#This Row],[Estimated Concrete Demand (m³)]]="",Market_Data[[#This Row],[Avg Price per (₹ / m³)]]=""),"",Market_Data[[#This Row],[Estimated Concrete Demand (m³)]]*Market_Data[[#This Row],[Avg Price per (₹ / m³)]]/10000000)</f>
        <v>11.253</v>
      </c>
      <c r="O710" s="97" t="str">
        <f>IF(Market_Data[[#This Row],[Estimated Concrete Demand (m³)]]="","",
IF(Market_Data[[#This Row],[Estimated Concrete Demand (m³)]]&lt;10000,"Small",
IF(Market_Data[[#This Row],[Estimated Concrete Demand (m³)]]&lt;25000,"Medium",
IF(Market_Data[[#This Row],[Estimated Concrete Demand (m³)]]&lt;100000,"Large","Mega"))))</f>
        <v>Medium</v>
      </c>
      <c r="P710" s="287" t="str">
        <f t="shared" si="12"/>
        <v>GujRERA</v>
      </c>
    </row>
    <row r="711" spans="1:16">
      <c r="A711" s="129" t="str">
        <f>_xlfn.XLOOKUP(B711,$S$9:$S$14,$T$9:$T$14)&amp;"-"&amp;
IF(E711="Residential/Group Housing","RES",
IF(E711="Commercial","COM",
IF(E711="Mixed Development","MIX",
IF(E711="Plotted Development","PLT","OTH"))))
&amp;"-"&amp;TEXT(COUNTIFS($B$9:B711,B711,$E$9:E711,E711),"0000")</f>
        <v>SUR-COM-0071</v>
      </c>
      <c r="B711" s="322" t="s">
        <v>34</v>
      </c>
      <c r="C711" s="322" t="s">
        <v>34</v>
      </c>
      <c r="D711" s="323" t="s">
        <v>901</v>
      </c>
      <c r="E711" s="132" t="s">
        <v>23</v>
      </c>
      <c r="F711" s="97" t="str">
        <f ca="1">IF(OR(Market_Data[[#This Row],[Start Date]]="",Market_Data[[#This Row],[Completion Date]]=""),"Needs Validation",IF(Market_Data[[#This Row],[Start Date]]&gt;TODAY(),"Planned",IF(Market_Data[[#This Row],[Completion Date]]&lt;TODAY(),"Completed","Ongoing")))</f>
        <v>Completed</v>
      </c>
      <c r="G711" s="324">
        <v>42719</v>
      </c>
      <c r="H711" s="324">
        <v>44469</v>
      </c>
      <c r="I711" s="325">
        <v>16800</v>
      </c>
      <c r="J71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11" s="133">
        <f>_xlfn.XLOOKUP(Market_Data[[#This Row],[Project Type]],tbl_assumptions_market[Project Category (RERA)],tbl_assumptions_market[Concrete Intensity
(m³ / sq m BUA)],"",0)</f>
        <v>0.5</v>
      </c>
      <c r="L711" s="134">
        <f>ROUND(Market_Data[[#This Row],[Estimated Built Up Area (sq m)]]*Market_Data[[#This Row],[Concrete Intensity
(m³ / sq m)]],0)</f>
        <v>8400</v>
      </c>
      <c r="M711" s="135">
        <f>_xlfn.XLOOKUP(Market_Data[[#This Row],[District]],tbl_district_price[District],tbl_district_price[Standard Price
(INR/m³)],"",0)</f>
        <v>6200</v>
      </c>
      <c r="N711" s="364">
        <f>IF(OR(Market_Data[[#This Row],[Estimated Concrete Demand (m³)]]="",Market_Data[[#This Row],[Avg Price per (₹ / m³)]]=""),"",Market_Data[[#This Row],[Estimated Concrete Demand (m³)]]*Market_Data[[#This Row],[Avg Price per (₹ / m³)]]/10000000)</f>
        <v>5.2080000000000002</v>
      </c>
      <c r="O711" s="97" t="str">
        <f>IF(Market_Data[[#This Row],[Estimated Concrete Demand (m³)]]="","",
IF(Market_Data[[#This Row],[Estimated Concrete Demand (m³)]]&lt;10000,"Small",
IF(Market_Data[[#This Row],[Estimated Concrete Demand (m³)]]&lt;25000,"Medium",
IF(Market_Data[[#This Row],[Estimated Concrete Demand (m³)]]&lt;100000,"Large","Mega"))))</f>
        <v>Small</v>
      </c>
      <c r="P711" s="287" t="str">
        <f t="shared" si="12"/>
        <v>GujRERA</v>
      </c>
    </row>
    <row r="712" spans="1:16">
      <c r="A712" s="129" t="str">
        <f>_xlfn.XLOOKUP(B712,$S$9:$S$14,$T$9:$T$14)&amp;"-"&amp;
IF(E712="Residential/Group Housing","RES",
IF(E712="Commercial","COM",
IF(E712="Mixed Development","MIX",
IF(E712="Plotted Development","PLT","OTH"))))
&amp;"-"&amp;TEXT(COUNTIFS($B$9:B712,B712,$E$9:E712,E712),"0000")</f>
        <v>SUR-PLT-0088</v>
      </c>
      <c r="B712" s="322" t="s">
        <v>34</v>
      </c>
      <c r="C712" s="322" t="s">
        <v>34</v>
      </c>
      <c r="D712" s="323" t="s">
        <v>902</v>
      </c>
      <c r="E712" s="132" t="s">
        <v>26</v>
      </c>
      <c r="F712" s="97" t="str">
        <f ca="1">IF(OR(Market_Data[[#This Row],[Start Date]]="",Market_Data[[#This Row],[Completion Date]]=""),"Needs Validation",IF(Market_Data[[#This Row],[Start Date]]&gt;TODAY(),"Planned",IF(Market_Data[[#This Row],[Completion Date]]&lt;TODAY(),"Completed","Ongoing")))</f>
        <v>Ongoing</v>
      </c>
      <c r="G712" s="324">
        <v>45586</v>
      </c>
      <c r="H712" s="324">
        <v>46843</v>
      </c>
      <c r="I712" s="325">
        <v>20300</v>
      </c>
      <c r="J71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12" s="133">
        <f>_xlfn.XLOOKUP(Market_Data[[#This Row],[Project Type]],tbl_assumptions_market[Project Category (RERA)],tbl_assumptions_market[Concrete Intensity
(m³ / sq m BUA)],"",0)</f>
        <v>0.18</v>
      </c>
      <c r="L712" s="134">
        <f>ROUND(Market_Data[[#This Row],[Estimated Built Up Area (sq m)]]*Market_Data[[#This Row],[Concrete Intensity
(m³ / sq m)]],0)</f>
        <v>3654</v>
      </c>
      <c r="M712" s="135">
        <f>_xlfn.XLOOKUP(Market_Data[[#This Row],[District]],tbl_district_price[District],tbl_district_price[Standard Price
(INR/m³)],"",0)</f>
        <v>6200</v>
      </c>
      <c r="N712" s="364">
        <f>IF(OR(Market_Data[[#This Row],[Estimated Concrete Demand (m³)]]="",Market_Data[[#This Row],[Avg Price per (₹ / m³)]]=""),"",Market_Data[[#This Row],[Estimated Concrete Demand (m³)]]*Market_Data[[#This Row],[Avg Price per (₹ / m³)]]/10000000)</f>
        <v>2.2654800000000002</v>
      </c>
      <c r="O712" s="97" t="str">
        <f>IF(Market_Data[[#This Row],[Estimated Concrete Demand (m³)]]="","",
IF(Market_Data[[#This Row],[Estimated Concrete Demand (m³)]]&lt;10000,"Small",
IF(Market_Data[[#This Row],[Estimated Concrete Demand (m³)]]&lt;25000,"Medium",
IF(Market_Data[[#This Row],[Estimated Concrete Demand (m³)]]&lt;100000,"Large","Mega"))))</f>
        <v>Small</v>
      </c>
      <c r="P712" s="287" t="str">
        <f t="shared" si="12"/>
        <v>GujRERA</v>
      </c>
    </row>
    <row r="713" spans="1:16">
      <c r="A713" s="129" t="str">
        <f>_xlfn.XLOOKUP(B713,$S$9:$S$14,$T$9:$T$14)&amp;"-"&amp;
IF(E713="Residential/Group Housing","RES",
IF(E713="Commercial","COM",
IF(E713="Mixed Development","MIX",
IF(E713="Plotted Development","PLT","OTH"))))
&amp;"-"&amp;TEXT(COUNTIFS($B$9:B713,B713,$E$9:E713,E713),"0000")</f>
        <v>SUR-RES-0165</v>
      </c>
      <c r="B713" s="322" t="s">
        <v>34</v>
      </c>
      <c r="C713" s="322" t="s">
        <v>34</v>
      </c>
      <c r="D713" s="323" t="s">
        <v>903</v>
      </c>
      <c r="E713" s="132" t="s">
        <v>24</v>
      </c>
      <c r="F713" s="97" t="str">
        <f ca="1">IF(OR(Market_Data[[#This Row],[Start Date]]="",Market_Data[[#This Row],[Completion Date]]=""),"Needs Validation",IF(Market_Data[[#This Row],[Start Date]]&gt;TODAY(),"Planned",IF(Market_Data[[#This Row],[Completion Date]]&lt;TODAY(),"Completed","Ongoing")))</f>
        <v>Ongoing</v>
      </c>
      <c r="G713" s="324">
        <v>45827</v>
      </c>
      <c r="H713" s="324">
        <v>47848</v>
      </c>
      <c r="I713" s="325">
        <v>44500</v>
      </c>
      <c r="J71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13" s="133">
        <f>_xlfn.XLOOKUP(Market_Data[[#This Row],[Project Type]],tbl_assumptions_market[Project Category (RERA)],tbl_assumptions_market[Concrete Intensity
(m³ / sq m BUA)],"",0)</f>
        <v>0.45</v>
      </c>
      <c r="L713" s="134">
        <f>ROUND(Market_Data[[#This Row],[Estimated Built Up Area (sq m)]]*Market_Data[[#This Row],[Concrete Intensity
(m³ / sq m)]],0)</f>
        <v>20025</v>
      </c>
      <c r="M713" s="135">
        <f>_xlfn.XLOOKUP(Market_Data[[#This Row],[District]],tbl_district_price[District],tbl_district_price[Standard Price
(INR/m³)],"",0)</f>
        <v>6200</v>
      </c>
      <c r="N713" s="364">
        <f>IF(OR(Market_Data[[#This Row],[Estimated Concrete Demand (m³)]]="",Market_Data[[#This Row],[Avg Price per (₹ / m³)]]=""),"",Market_Data[[#This Row],[Estimated Concrete Demand (m³)]]*Market_Data[[#This Row],[Avg Price per (₹ / m³)]]/10000000)</f>
        <v>12.4155</v>
      </c>
      <c r="O713" s="97" t="str">
        <f>IF(Market_Data[[#This Row],[Estimated Concrete Demand (m³)]]="","",
IF(Market_Data[[#This Row],[Estimated Concrete Demand (m³)]]&lt;10000,"Small",
IF(Market_Data[[#This Row],[Estimated Concrete Demand (m³)]]&lt;25000,"Medium",
IF(Market_Data[[#This Row],[Estimated Concrete Demand (m³)]]&lt;100000,"Large","Mega"))))</f>
        <v>Medium</v>
      </c>
      <c r="P713" s="287" t="str">
        <f t="shared" si="12"/>
        <v>GujRERA</v>
      </c>
    </row>
    <row r="714" spans="1:16">
      <c r="A714" s="129" t="str">
        <f>_xlfn.XLOOKUP(B714,$S$9:$S$14,$T$9:$T$14)&amp;"-"&amp;
IF(E714="Residential/Group Housing","RES",
IF(E714="Commercial","COM",
IF(E714="Mixed Development","MIX",
IF(E714="Plotted Development","PLT","OTH"))))
&amp;"-"&amp;TEXT(COUNTIFS($B$9:B714,B714,$E$9:E714,E714),"0000")</f>
        <v>SUR-PLT-0089</v>
      </c>
      <c r="B714" s="322" t="s">
        <v>34</v>
      </c>
      <c r="C714" s="322" t="s">
        <v>34</v>
      </c>
      <c r="D714" s="323" t="s">
        <v>904</v>
      </c>
      <c r="E714" s="132" t="s">
        <v>26</v>
      </c>
      <c r="F714" s="97" t="str">
        <f ca="1">IF(OR(Market_Data[[#This Row],[Start Date]]="",Market_Data[[#This Row],[Completion Date]]=""),"Needs Validation",IF(Market_Data[[#This Row],[Start Date]]&gt;TODAY(),"Planned",IF(Market_Data[[#This Row],[Completion Date]]&lt;TODAY(),"Completed","Ongoing")))</f>
        <v>Completed</v>
      </c>
      <c r="G714" s="324">
        <v>42579</v>
      </c>
      <c r="H714" s="324">
        <v>45838</v>
      </c>
      <c r="I714" s="325">
        <v>59700</v>
      </c>
      <c r="J71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714" s="133">
        <f>_xlfn.XLOOKUP(Market_Data[[#This Row],[Project Type]],tbl_assumptions_market[Project Category (RERA)],tbl_assumptions_market[Concrete Intensity
(m³ / sq m BUA)],"",0)</f>
        <v>0.18</v>
      </c>
      <c r="L714" s="134">
        <f>ROUND(Market_Data[[#This Row],[Estimated Built Up Area (sq m)]]*Market_Data[[#This Row],[Concrete Intensity
(m³ / sq m)]],0)</f>
        <v>10746</v>
      </c>
      <c r="M714" s="135">
        <f>_xlfn.XLOOKUP(Market_Data[[#This Row],[District]],tbl_district_price[District],tbl_district_price[Standard Price
(INR/m³)],"",0)</f>
        <v>6200</v>
      </c>
      <c r="N714" s="364">
        <f>IF(OR(Market_Data[[#This Row],[Estimated Concrete Demand (m³)]]="",Market_Data[[#This Row],[Avg Price per (₹ / m³)]]=""),"",Market_Data[[#This Row],[Estimated Concrete Demand (m³)]]*Market_Data[[#This Row],[Avg Price per (₹ / m³)]]/10000000)</f>
        <v>6.6625199999999998</v>
      </c>
      <c r="O714" s="97" t="str">
        <f>IF(Market_Data[[#This Row],[Estimated Concrete Demand (m³)]]="","",
IF(Market_Data[[#This Row],[Estimated Concrete Demand (m³)]]&lt;10000,"Small",
IF(Market_Data[[#This Row],[Estimated Concrete Demand (m³)]]&lt;25000,"Medium",
IF(Market_Data[[#This Row],[Estimated Concrete Demand (m³)]]&lt;100000,"Large","Mega"))))</f>
        <v>Medium</v>
      </c>
      <c r="P714" s="287" t="str">
        <f t="shared" ref="P714:P777" si="13">HYPERLINK(
"https://gujrera.gujarat.gov.in",
"GujRERA")</f>
        <v>GujRERA</v>
      </c>
    </row>
    <row r="715" spans="1:16">
      <c r="A715" s="129" t="str">
        <f>_xlfn.XLOOKUP(B715,$S$9:$S$14,$T$9:$T$14)&amp;"-"&amp;
IF(E715="Residential/Group Housing","RES",
IF(E715="Commercial","COM",
IF(E715="Mixed Development","MIX",
IF(E715="Plotted Development","PLT","OTH"))))
&amp;"-"&amp;TEXT(COUNTIFS($B$9:B715,B715,$E$9:E715,E715),"0000")</f>
        <v>SUR-MIX-0072</v>
      </c>
      <c r="B715" s="322" t="s">
        <v>34</v>
      </c>
      <c r="C715" s="322" t="s">
        <v>34</v>
      </c>
      <c r="D715" s="323" t="s">
        <v>905</v>
      </c>
      <c r="E715" s="132" t="s">
        <v>25</v>
      </c>
      <c r="F715" s="97" t="str">
        <f ca="1">IF(OR(Market_Data[[#This Row],[Start Date]]="",Market_Data[[#This Row],[Completion Date]]=""),"Needs Validation",IF(Market_Data[[#This Row],[Start Date]]&gt;TODAY(),"Planned",IF(Market_Data[[#This Row],[Completion Date]]&lt;TODAY(),"Completed","Ongoing")))</f>
        <v>Ongoing</v>
      </c>
      <c r="G715" s="324">
        <v>44713</v>
      </c>
      <c r="H715" s="324">
        <v>46736</v>
      </c>
      <c r="I715" s="325">
        <v>30200</v>
      </c>
      <c r="J71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15" s="133">
        <f>_xlfn.XLOOKUP(Market_Data[[#This Row],[Project Type]],tbl_assumptions_market[Project Category (RERA)],tbl_assumptions_market[Concrete Intensity
(m³ / sq m BUA)],"",0)</f>
        <v>0.42</v>
      </c>
      <c r="L715" s="134">
        <f>ROUND(Market_Data[[#This Row],[Estimated Built Up Area (sq m)]]*Market_Data[[#This Row],[Concrete Intensity
(m³ / sq m)]],0)</f>
        <v>12684</v>
      </c>
      <c r="M715" s="135">
        <f>_xlfn.XLOOKUP(Market_Data[[#This Row],[District]],tbl_district_price[District],tbl_district_price[Standard Price
(INR/m³)],"",0)</f>
        <v>6200</v>
      </c>
      <c r="N715" s="364">
        <f>IF(OR(Market_Data[[#This Row],[Estimated Concrete Demand (m³)]]="",Market_Data[[#This Row],[Avg Price per (₹ / m³)]]=""),"",Market_Data[[#This Row],[Estimated Concrete Demand (m³)]]*Market_Data[[#This Row],[Avg Price per (₹ / m³)]]/10000000)</f>
        <v>7.8640800000000004</v>
      </c>
      <c r="O715" s="97" t="str">
        <f>IF(Market_Data[[#This Row],[Estimated Concrete Demand (m³)]]="","",
IF(Market_Data[[#This Row],[Estimated Concrete Demand (m³)]]&lt;10000,"Small",
IF(Market_Data[[#This Row],[Estimated Concrete Demand (m³)]]&lt;25000,"Medium",
IF(Market_Data[[#This Row],[Estimated Concrete Demand (m³)]]&lt;100000,"Large","Mega"))))</f>
        <v>Medium</v>
      </c>
      <c r="P715" s="287" t="str">
        <f t="shared" si="13"/>
        <v>GujRERA</v>
      </c>
    </row>
    <row r="716" spans="1:16">
      <c r="A716" s="129" t="str">
        <f>_xlfn.XLOOKUP(B716,$S$9:$S$14,$T$9:$T$14)&amp;"-"&amp;
IF(E716="Residential/Group Housing","RES",
IF(E716="Commercial","COM",
IF(E716="Mixed Development","MIX",
IF(E716="Plotted Development","PLT","OTH"))))
&amp;"-"&amp;TEXT(COUNTIFS($B$9:B716,B716,$E$9:E716,E716),"0000")</f>
        <v>SUR-COM-0072</v>
      </c>
      <c r="B716" s="322" t="s">
        <v>34</v>
      </c>
      <c r="C716" s="322" t="s">
        <v>34</v>
      </c>
      <c r="D716" s="323" t="s">
        <v>906</v>
      </c>
      <c r="E716" s="132" t="s">
        <v>23</v>
      </c>
      <c r="F716" s="97" t="str">
        <f ca="1">IF(OR(Market_Data[[#This Row],[Start Date]]="",Market_Data[[#This Row],[Completion Date]]=""),"Needs Validation",IF(Market_Data[[#This Row],[Start Date]]&gt;TODAY(),"Planned",IF(Market_Data[[#This Row],[Completion Date]]&lt;TODAY(),"Completed","Ongoing")))</f>
        <v>Completed</v>
      </c>
      <c r="G716" s="324">
        <v>42828</v>
      </c>
      <c r="H716" s="324">
        <v>44650</v>
      </c>
      <c r="I716" s="325">
        <v>7700</v>
      </c>
      <c r="J71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16" s="133">
        <f>_xlfn.XLOOKUP(Market_Data[[#This Row],[Project Type]],tbl_assumptions_market[Project Category (RERA)],tbl_assumptions_market[Concrete Intensity
(m³ / sq m BUA)],"",0)</f>
        <v>0.5</v>
      </c>
      <c r="L716" s="134">
        <f>ROUND(Market_Data[[#This Row],[Estimated Built Up Area (sq m)]]*Market_Data[[#This Row],[Concrete Intensity
(m³ / sq m)]],0)</f>
        <v>3850</v>
      </c>
      <c r="M716" s="135">
        <f>_xlfn.XLOOKUP(Market_Data[[#This Row],[District]],tbl_district_price[District],tbl_district_price[Standard Price
(INR/m³)],"",0)</f>
        <v>6200</v>
      </c>
      <c r="N716" s="364">
        <f>IF(OR(Market_Data[[#This Row],[Estimated Concrete Demand (m³)]]="",Market_Data[[#This Row],[Avg Price per (₹ / m³)]]=""),"",Market_Data[[#This Row],[Estimated Concrete Demand (m³)]]*Market_Data[[#This Row],[Avg Price per (₹ / m³)]]/10000000)</f>
        <v>2.387</v>
      </c>
      <c r="O716" s="97" t="str">
        <f>IF(Market_Data[[#This Row],[Estimated Concrete Demand (m³)]]="","",
IF(Market_Data[[#This Row],[Estimated Concrete Demand (m³)]]&lt;10000,"Small",
IF(Market_Data[[#This Row],[Estimated Concrete Demand (m³)]]&lt;25000,"Medium",
IF(Market_Data[[#This Row],[Estimated Concrete Demand (m³)]]&lt;100000,"Large","Mega"))))</f>
        <v>Small</v>
      </c>
      <c r="P716" s="287" t="str">
        <f t="shared" si="13"/>
        <v>GujRERA</v>
      </c>
    </row>
    <row r="717" spans="1:16">
      <c r="A717" s="129" t="str">
        <f>_xlfn.XLOOKUP(B717,$S$9:$S$14,$T$9:$T$14)&amp;"-"&amp;
IF(E717="Residential/Group Housing","RES",
IF(E717="Commercial","COM",
IF(E717="Mixed Development","MIX",
IF(E717="Plotted Development","PLT","OTH"))))
&amp;"-"&amp;TEXT(COUNTIFS($B$9:B717,B717,$E$9:E717,E717),"0000")</f>
        <v>SUR-MIX-0073</v>
      </c>
      <c r="B717" s="322" t="s">
        <v>34</v>
      </c>
      <c r="C717" s="322" t="s">
        <v>34</v>
      </c>
      <c r="D717" s="323" t="s">
        <v>907</v>
      </c>
      <c r="E717" s="132" t="s">
        <v>25</v>
      </c>
      <c r="F717" s="97" t="str">
        <f ca="1">IF(OR(Market_Data[[#This Row],[Start Date]]="",Market_Data[[#This Row],[Completion Date]]=""),"Needs Validation",IF(Market_Data[[#This Row],[Start Date]]&gt;TODAY(),"Planned",IF(Market_Data[[#This Row],[Completion Date]]&lt;TODAY(),"Completed","Ongoing")))</f>
        <v>Completed</v>
      </c>
      <c r="G717" s="324">
        <v>42371</v>
      </c>
      <c r="H717" s="324">
        <v>43646</v>
      </c>
      <c r="I717" s="325">
        <v>14700</v>
      </c>
      <c r="J71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17" s="133">
        <f>_xlfn.XLOOKUP(Market_Data[[#This Row],[Project Type]],tbl_assumptions_market[Project Category (RERA)],tbl_assumptions_market[Concrete Intensity
(m³ / sq m BUA)],"",0)</f>
        <v>0.42</v>
      </c>
      <c r="L717" s="134">
        <f>ROUND(Market_Data[[#This Row],[Estimated Built Up Area (sq m)]]*Market_Data[[#This Row],[Concrete Intensity
(m³ / sq m)]],0)</f>
        <v>6174</v>
      </c>
      <c r="M717" s="135">
        <f>_xlfn.XLOOKUP(Market_Data[[#This Row],[District]],tbl_district_price[District],tbl_district_price[Standard Price
(INR/m³)],"",0)</f>
        <v>6200</v>
      </c>
      <c r="N717" s="364">
        <f>IF(OR(Market_Data[[#This Row],[Estimated Concrete Demand (m³)]]="",Market_Data[[#This Row],[Avg Price per (₹ / m³)]]=""),"",Market_Data[[#This Row],[Estimated Concrete Demand (m³)]]*Market_Data[[#This Row],[Avg Price per (₹ / m³)]]/10000000)</f>
        <v>3.8278799999999999</v>
      </c>
      <c r="O717" s="97" t="str">
        <f>IF(Market_Data[[#This Row],[Estimated Concrete Demand (m³)]]="","",
IF(Market_Data[[#This Row],[Estimated Concrete Demand (m³)]]&lt;10000,"Small",
IF(Market_Data[[#This Row],[Estimated Concrete Demand (m³)]]&lt;25000,"Medium",
IF(Market_Data[[#This Row],[Estimated Concrete Demand (m³)]]&lt;100000,"Large","Mega"))))</f>
        <v>Small</v>
      </c>
      <c r="P717" s="287" t="str">
        <f t="shared" si="13"/>
        <v>GujRERA</v>
      </c>
    </row>
    <row r="718" spans="1:16">
      <c r="A718" s="129" t="str">
        <f>_xlfn.XLOOKUP(B718,$S$9:$S$14,$T$9:$T$14)&amp;"-"&amp;
IF(E718="Residential/Group Housing","RES",
IF(E718="Commercial","COM",
IF(E718="Mixed Development","MIX",
IF(E718="Plotted Development","PLT","OTH"))))
&amp;"-"&amp;TEXT(COUNTIFS($B$9:B718,B718,$E$9:E718,E718),"0000")</f>
        <v>SUR-MIX-0074</v>
      </c>
      <c r="B718" s="322" t="s">
        <v>34</v>
      </c>
      <c r="C718" s="322" t="s">
        <v>34</v>
      </c>
      <c r="D718" s="323" t="s">
        <v>908</v>
      </c>
      <c r="E718" s="132" t="s">
        <v>25</v>
      </c>
      <c r="F718" s="97" t="str">
        <f ca="1">IF(OR(Market_Data[[#This Row],[Start Date]]="",Market_Data[[#This Row],[Completion Date]]=""),"Needs Validation",IF(Market_Data[[#This Row],[Start Date]]&gt;TODAY(),"Planned",IF(Market_Data[[#This Row],[Completion Date]]&lt;TODAY(),"Completed","Ongoing")))</f>
        <v>Completed</v>
      </c>
      <c r="G718" s="324">
        <v>42465</v>
      </c>
      <c r="H718" s="324">
        <v>44834</v>
      </c>
      <c r="I718" s="325">
        <v>59200</v>
      </c>
      <c r="J71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18" s="133">
        <f>_xlfn.XLOOKUP(Market_Data[[#This Row],[Project Type]],tbl_assumptions_market[Project Category (RERA)],tbl_assumptions_market[Concrete Intensity
(m³ / sq m BUA)],"",0)</f>
        <v>0.42</v>
      </c>
      <c r="L718" s="134">
        <f>ROUND(Market_Data[[#This Row],[Estimated Built Up Area (sq m)]]*Market_Data[[#This Row],[Concrete Intensity
(m³ / sq m)]],0)</f>
        <v>24864</v>
      </c>
      <c r="M718" s="135">
        <f>_xlfn.XLOOKUP(Market_Data[[#This Row],[District]],tbl_district_price[District],tbl_district_price[Standard Price
(INR/m³)],"",0)</f>
        <v>6200</v>
      </c>
      <c r="N718" s="364">
        <f>IF(OR(Market_Data[[#This Row],[Estimated Concrete Demand (m³)]]="",Market_Data[[#This Row],[Avg Price per (₹ / m³)]]=""),"",Market_Data[[#This Row],[Estimated Concrete Demand (m³)]]*Market_Data[[#This Row],[Avg Price per (₹ / m³)]]/10000000)</f>
        <v>15.41568</v>
      </c>
      <c r="O718" s="97" t="str">
        <f>IF(Market_Data[[#This Row],[Estimated Concrete Demand (m³)]]="","",
IF(Market_Data[[#This Row],[Estimated Concrete Demand (m³)]]&lt;10000,"Small",
IF(Market_Data[[#This Row],[Estimated Concrete Demand (m³)]]&lt;25000,"Medium",
IF(Market_Data[[#This Row],[Estimated Concrete Demand (m³)]]&lt;100000,"Large","Mega"))))</f>
        <v>Medium</v>
      </c>
      <c r="P718" s="287" t="str">
        <f t="shared" si="13"/>
        <v>GujRERA</v>
      </c>
    </row>
    <row r="719" spans="1:16">
      <c r="A719" s="129" t="str">
        <f>_xlfn.XLOOKUP(B719,$S$9:$S$14,$T$9:$T$14)&amp;"-"&amp;
IF(E719="Residential/Group Housing","RES",
IF(E719="Commercial","COM",
IF(E719="Mixed Development","MIX",
IF(E719="Plotted Development","PLT","OTH"))))
&amp;"-"&amp;TEXT(COUNTIFS($B$9:B719,B719,$E$9:E719,E719),"0000")</f>
        <v>SUR-MIX-0075</v>
      </c>
      <c r="B719" s="322" t="s">
        <v>34</v>
      </c>
      <c r="C719" s="322" t="s">
        <v>34</v>
      </c>
      <c r="D719" s="323" t="s">
        <v>909</v>
      </c>
      <c r="E719" s="132" t="s">
        <v>25</v>
      </c>
      <c r="F719" s="97" t="str">
        <f ca="1">IF(OR(Market_Data[[#This Row],[Start Date]]="",Market_Data[[#This Row],[Completion Date]]=""),"Needs Validation",IF(Market_Data[[#This Row],[Start Date]]&gt;TODAY(),"Planned",IF(Market_Data[[#This Row],[Completion Date]]&lt;TODAY(),"Completed","Ongoing")))</f>
        <v>Completed</v>
      </c>
      <c r="G719" s="324">
        <v>44408</v>
      </c>
      <c r="H719" s="324">
        <v>46203</v>
      </c>
      <c r="I719" s="325">
        <v>44900</v>
      </c>
      <c r="J71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19" s="133">
        <f>_xlfn.XLOOKUP(Market_Data[[#This Row],[Project Type]],tbl_assumptions_market[Project Category (RERA)],tbl_assumptions_market[Concrete Intensity
(m³ / sq m BUA)],"",0)</f>
        <v>0.42</v>
      </c>
      <c r="L719" s="134">
        <f>ROUND(Market_Data[[#This Row],[Estimated Built Up Area (sq m)]]*Market_Data[[#This Row],[Concrete Intensity
(m³ / sq m)]],0)</f>
        <v>18858</v>
      </c>
      <c r="M719" s="135">
        <f>_xlfn.XLOOKUP(Market_Data[[#This Row],[District]],tbl_district_price[District],tbl_district_price[Standard Price
(INR/m³)],"",0)</f>
        <v>6200</v>
      </c>
      <c r="N719" s="364">
        <f>IF(OR(Market_Data[[#This Row],[Estimated Concrete Demand (m³)]]="",Market_Data[[#This Row],[Avg Price per (₹ / m³)]]=""),"",Market_Data[[#This Row],[Estimated Concrete Demand (m³)]]*Market_Data[[#This Row],[Avg Price per (₹ / m³)]]/10000000)</f>
        <v>11.69196</v>
      </c>
      <c r="O719" s="97" t="str">
        <f>IF(Market_Data[[#This Row],[Estimated Concrete Demand (m³)]]="","",
IF(Market_Data[[#This Row],[Estimated Concrete Demand (m³)]]&lt;10000,"Small",
IF(Market_Data[[#This Row],[Estimated Concrete Demand (m³)]]&lt;25000,"Medium",
IF(Market_Data[[#This Row],[Estimated Concrete Demand (m³)]]&lt;100000,"Large","Mega"))))</f>
        <v>Medium</v>
      </c>
      <c r="P719" s="287" t="str">
        <f t="shared" si="13"/>
        <v>GujRERA</v>
      </c>
    </row>
    <row r="720" spans="1:16">
      <c r="A720" s="129" t="str">
        <f>_xlfn.XLOOKUP(B720,$S$9:$S$14,$T$9:$T$14)&amp;"-"&amp;
IF(E720="Residential/Group Housing","RES",
IF(E720="Commercial","COM",
IF(E720="Mixed Development","MIX",
IF(E720="Plotted Development","PLT","OTH"))))
&amp;"-"&amp;TEXT(COUNTIFS($B$9:B720,B720,$E$9:E720,E720),"0000")</f>
        <v>SUR-PLT-0090</v>
      </c>
      <c r="B720" s="322" t="s">
        <v>34</v>
      </c>
      <c r="C720" s="322" t="s">
        <v>34</v>
      </c>
      <c r="D720" s="323" t="s">
        <v>910</v>
      </c>
      <c r="E720" s="132" t="s">
        <v>26</v>
      </c>
      <c r="F720" s="97" t="str">
        <f ca="1">IF(OR(Market_Data[[#This Row],[Start Date]]="",Market_Data[[#This Row],[Completion Date]]=""),"Needs Validation",IF(Market_Data[[#This Row],[Start Date]]&gt;TODAY(),"Planned",IF(Market_Data[[#This Row],[Completion Date]]&lt;TODAY(),"Completed","Ongoing")))</f>
        <v>Ongoing</v>
      </c>
      <c r="G720" s="324">
        <v>45925</v>
      </c>
      <c r="H720" s="324">
        <v>46752</v>
      </c>
      <c r="I720" s="325">
        <v>16000</v>
      </c>
      <c r="J72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20" s="133">
        <f>_xlfn.XLOOKUP(Market_Data[[#This Row],[Project Type]],tbl_assumptions_market[Project Category (RERA)],tbl_assumptions_market[Concrete Intensity
(m³ / sq m BUA)],"",0)</f>
        <v>0.18</v>
      </c>
      <c r="L720" s="134">
        <f>ROUND(Market_Data[[#This Row],[Estimated Built Up Area (sq m)]]*Market_Data[[#This Row],[Concrete Intensity
(m³ / sq m)]],0)</f>
        <v>2880</v>
      </c>
      <c r="M720" s="135">
        <f>_xlfn.XLOOKUP(Market_Data[[#This Row],[District]],tbl_district_price[District],tbl_district_price[Standard Price
(INR/m³)],"",0)</f>
        <v>6200</v>
      </c>
      <c r="N720" s="364">
        <f>IF(OR(Market_Data[[#This Row],[Estimated Concrete Demand (m³)]]="",Market_Data[[#This Row],[Avg Price per (₹ / m³)]]=""),"",Market_Data[[#This Row],[Estimated Concrete Demand (m³)]]*Market_Data[[#This Row],[Avg Price per (₹ / m³)]]/10000000)</f>
        <v>1.7856000000000001</v>
      </c>
      <c r="O720" s="97" t="str">
        <f>IF(Market_Data[[#This Row],[Estimated Concrete Demand (m³)]]="","",
IF(Market_Data[[#This Row],[Estimated Concrete Demand (m³)]]&lt;10000,"Small",
IF(Market_Data[[#This Row],[Estimated Concrete Demand (m³)]]&lt;25000,"Medium",
IF(Market_Data[[#This Row],[Estimated Concrete Demand (m³)]]&lt;100000,"Large","Mega"))))</f>
        <v>Small</v>
      </c>
      <c r="P720" s="287" t="str">
        <f t="shared" si="13"/>
        <v>GujRERA</v>
      </c>
    </row>
    <row r="721" spans="1:16">
      <c r="A721" s="129" t="str">
        <f>_xlfn.XLOOKUP(B721,$S$9:$S$14,$T$9:$T$14)&amp;"-"&amp;
IF(E721="Residential/Group Housing","RES",
IF(E721="Commercial","COM",
IF(E721="Mixed Development","MIX",
IF(E721="Plotted Development","PLT","OTH"))))
&amp;"-"&amp;TEXT(COUNTIFS($B$9:B721,B721,$E$9:E721,E721),"0000")</f>
        <v>SUR-RES-0166</v>
      </c>
      <c r="B721" s="322" t="s">
        <v>34</v>
      </c>
      <c r="C721" s="322" t="s">
        <v>34</v>
      </c>
      <c r="D721" s="323" t="s">
        <v>911</v>
      </c>
      <c r="E721" s="132" t="s">
        <v>24</v>
      </c>
      <c r="F721" s="97" t="str">
        <f ca="1">IF(OR(Market_Data[[#This Row],[Start Date]]="",Market_Data[[#This Row],[Completion Date]]=""),"Needs Validation",IF(Market_Data[[#This Row],[Start Date]]&gt;TODAY(),"Planned",IF(Market_Data[[#This Row],[Completion Date]]&lt;TODAY(),"Completed","Ongoing")))</f>
        <v>Ongoing</v>
      </c>
      <c r="G721" s="324">
        <v>44580</v>
      </c>
      <c r="H721" s="324">
        <v>46843</v>
      </c>
      <c r="I721" s="325">
        <v>49300</v>
      </c>
      <c r="J72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21" s="133">
        <f>_xlfn.XLOOKUP(Market_Data[[#This Row],[Project Type]],tbl_assumptions_market[Project Category (RERA)],tbl_assumptions_market[Concrete Intensity
(m³ / sq m BUA)],"",0)</f>
        <v>0.45</v>
      </c>
      <c r="L721" s="134">
        <f>ROUND(Market_Data[[#This Row],[Estimated Built Up Area (sq m)]]*Market_Data[[#This Row],[Concrete Intensity
(m³ / sq m)]],0)</f>
        <v>22185</v>
      </c>
      <c r="M721" s="135">
        <f>_xlfn.XLOOKUP(Market_Data[[#This Row],[District]],tbl_district_price[District],tbl_district_price[Standard Price
(INR/m³)],"",0)</f>
        <v>6200</v>
      </c>
      <c r="N721" s="364">
        <f>IF(OR(Market_Data[[#This Row],[Estimated Concrete Demand (m³)]]="",Market_Data[[#This Row],[Avg Price per (₹ / m³)]]=""),"",Market_Data[[#This Row],[Estimated Concrete Demand (m³)]]*Market_Data[[#This Row],[Avg Price per (₹ / m³)]]/10000000)</f>
        <v>13.7547</v>
      </c>
      <c r="O721" s="97" t="str">
        <f>IF(Market_Data[[#This Row],[Estimated Concrete Demand (m³)]]="","",
IF(Market_Data[[#This Row],[Estimated Concrete Demand (m³)]]&lt;10000,"Small",
IF(Market_Data[[#This Row],[Estimated Concrete Demand (m³)]]&lt;25000,"Medium",
IF(Market_Data[[#This Row],[Estimated Concrete Demand (m³)]]&lt;100000,"Large","Mega"))))</f>
        <v>Medium</v>
      </c>
      <c r="P721" s="287" t="str">
        <f t="shared" si="13"/>
        <v>GujRERA</v>
      </c>
    </row>
    <row r="722" spans="1:16">
      <c r="A722" s="129" t="str">
        <f>_xlfn.XLOOKUP(B722,$S$9:$S$14,$T$9:$T$14)&amp;"-"&amp;
IF(E722="Residential/Group Housing","RES",
IF(E722="Commercial","COM",
IF(E722="Mixed Development","MIX",
IF(E722="Plotted Development","PLT","OTH"))))
&amp;"-"&amp;TEXT(COUNTIFS($B$9:B722,B722,$E$9:E722,E722),"0000")</f>
        <v>SUR-RES-0167</v>
      </c>
      <c r="B722" s="322" t="s">
        <v>34</v>
      </c>
      <c r="C722" s="322" t="s">
        <v>34</v>
      </c>
      <c r="D722" s="323" t="s">
        <v>912</v>
      </c>
      <c r="E722" s="132" t="s">
        <v>24</v>
      </c>
      <c r="F722" s="97" t="str">
        <f ca="1">IF(OR(Market_Data[[#This Row],[Start Date]]="",Market_Data[[#This Row],[Completion Date]]=""),"Needs Validation",IF(Market_Data[[#This Row],[Start Date]]&gt;TODAY(),"Planned",IF(Market_Data[[#This Row],[Completion Date]]&lt;TODAY(),"Completed","Ongoing")))</f>
        <v>Ongoing</v>
      </c>
      <c r="G722" s="324">
        <v>45734</v>
      </c>
      <c r="H722" s="324">
        <v>47483</v>
      </c>
      <c r="I722" s="325">
        <v>15600</v>
      </c>
      <c r="J72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22" s="133">
        <f>_xlfn.XLOOKUP(Market_Data[[#This Row],[Project Type]],tbl_assumptions_market[Project Category (RERA)],tbl_assumptions_market[Concrete Intensity
(m³ / sq m BUA)],"",0)</f>
        <v>0.45</v>
      </c>
      <c r="L722" s="134">
        <f>ROUND(Market_Data[[#This Row],[Estimated Built Up Area (sq m)]]*Market_Data[[#This Row],[Concrete Intensity
(m³ / sq m)]],0)</f>
        <v>7020</v>
      </c>
      <c r="M722" s="135">
        <f>_xlfn.XLOOKUP(Market_Data[[#This Row],[District]],tbl_district_price[District],tbl_district_price[Standard Price
(INR/m³)],"",0)</f>
        <v>6200</v>
      </c>
      <c r="N722" s="364">
        <f>IF(OR(Market_Data[[#This Row],[Estimated Concrete Demand (m³)]]="",Market_Data[[#This Row],[Avg Price per (₹ / m³)]]=""),"",Market_Data[[#This Row],[Estimated Concrete Demand (m³)]]*Market_Data[[#This Row],[Avg Price per (₹ / m³)]]/10000000)</f>
        <v>4.3524000000000003</v>
      </c>
      <c r="O722" s="97" t="str">
        <f>IF(Market_Data[[#This Row],[Estimated Concrete Demand (m³)]]="","",
IF(Market_Data[[#This Row],[Estimated Concrete Demand (m³)]]&lt;10000,"Small",
IF(Market_Data[[#This Row],[Estimated Concrete Demand (m³)]]&lt;25000,"Medium",
IF(Market_Data[[#This Row],[Estimated Concrete Demand (m³)]]&lt;100000,"Large","Mega"))))</f>
        <v>Small</v>
      </c>
      <c r="P722" s="287" t="str">
        <f t="shared" si="13"/>
        <v>GujRERA</v>
      </c>
    </row>
    <row r="723" spans="1:16">
      <c r="A723" s="129" t="str">
        <f>_xlfn.XLOOKUP(B723,$S$9:$S$14,$T$9:$T$14)&amp;"-"&amp;
IF(E723="Residential/Group Housing","RES",
IF(E723="Commercial","COM",
IF(E723="Mixed Development","MIX",
IF(E723="Plotted Development","PLT","OTH"))))
&amp;"-"&amp;TEXT(COUNTIFS($B$9:B723,B723,$E$9:E723,E723),"0000")</f>
        <v>SUR-RES-0168</v>
      </c>
      <c r="B723" s="322" t="s">
        <v>34</v>
      </c>
      <c r="C723" s="322" t="s">
        <v>34</v>
      </c>
      <c r="D723" s="323" t="s">
        <v>913</v>
      </c>
      <c r="E723" s="132" t="s">
        <v>24</v>
      </c>
      <c r="F723" s="97" t="str">
        <f ca="1">IF(OR(Market_Data[[#This Row],[Start Date]]="",Market_Data[[#This Row],[Completion Date]]=""),"Needs Validation",IF(Market_Data[[#This Row],[Start Date]]&gt;TODAY(),"Planned",IF(Market_Data[[#This Row],[Completion Date]]&lt;TODAY(),"Completed","Ongoing")))</f>
        <v>Ongoing</v>
      </c>
      <c r="G723" s="324">
        <v>45752</v>
      </c>
      <c r="H723" s="324">
        <v>47483</v>
      </c>
      <c r="I723" s="325">
        <v>55400</v>
      </c>
      <c r="J72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23" s="133">
        <f>_xlfn.XLOOKUP(Market_Data[[#This Row],[Project Type]],tbl_assumptions_market[Project Category (RERA)],tbl_assumptions_market[Concrete Intensity
(m³ / sq m BUA)],"",0)</f>
        <v>0.45</v>
      </c>
      <c r="L723" s="134">
        <f>ROUND(Market_Data[[#This Row],[Estimated Built Up Area (sq m)]]*Market_Data[[#This Row],[Concrete Intensity
(m³ / sq m)]],0)</f>
        <v>24930</v>
      </c>
      <c r="M723" s="135">
        <f>_xlfn.XLOOKUP(Market_Data[[#This Row],[District]],tbl_district_price[District],tbl_district_price[Standard Price
(INR/m³)],"",0)</f>
        <v>6200</v>
      </c>
      <c r="N723" s="364">
        <f>IF(OR(Market_Data[[#This Row],[Estimated Concrete Demand (m³)]]="",Market_Data[[#This Row],[Avg Price per (₹ / m³)]]=""),"",Market_Data[[#This Row],[Estimated Concrete Demand (m³)]]*Market_Data[[#This Row],[Avg Price per (₹ / m³)]]/10000000)</f>
        <v>15.4566</v>
      </c>
      <c r="O723" s="97" t="str">
        <f>IF(Market_Data[[#This Row],[Estimated Concrete Demand (m³)]]="","",
IF(Market_Data[[#This Row],[Estimated Concrete Demand (m³)]]&lt;10000,"Small",
IF(Market_Data[[#This Row],[Estimated Concrete Demand (m³)]]&lt;25000,"Medium",
IF(Market_Data[[#This Row],[Estimated Concrete Demand (m³)]]&lt;100000,"Large","Mega"))))</f>
        <v>Medium</v>
      </c>
      <c r="P723" s="287" t="str">
        <f t="shared" si="13"/>
        <v>GujRERA</v>
      </c>
    </row>
    <row r="724" spans="1:16">
      <c r="A724" s="129" t="str">
        <f>_xlfn.XLOOKUP(B724,$S$9:$S$14,$T$9:$T$14)&amp;"-"&amp;
IF(E724="Residential/Group Housing","RES",
IF(E724="Commercial","COM",
IF(E724="Mixed Development","MIX",
IF(E724="Plotted Development","PLT","OTH"))))
&amp;"-"&amp;TEXT(COUNTIFS($B$9:B724,B724,$E$9:E724,E724),"0000")</f>
        <v>SUR-COM-0073</v>
      </c>
      <c r="B724" s="322" t="s">
        <v>34</v>
      </c>
      <c r="C724" s="322" t="s">
        <v>34</v>
      </c>
      <c r="D724" s="323" t="s">
        <v>914</v>
      </c>
      <c r="E724" s="132" t="s">
        <v>23</v>
      </c>
      <c r="F724" s="97" t="str">
        <f ca="1">IF(OR(Market_Data[[#This Row],[Start Date]]="",Market_Data[[#This Row],[Completion Date]]=""),"Needs Validation",IF(Market_Data[[#This Row],[Start Date]]&gt;TODAY(),"Planned",IF(Market_Data[[#This Row],[Completion Date]]&lt;TODAY(),"Completed","Ongoing")))</f>
        <v>Ongoing</v>
      </c>
      <c r="G724" s="324">
        <v>45867</v>
      </c>
      <c r="H724" s="324">
        <v>47483</v>
      </c>
      <c r="I724" s="325">
        <v>16300</v>
      </c>
      <c r="J72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24" s="133">
        <f>_xlfn.XLOOKUP(Market_Data[[#This Row],[Project Type]],tbl_assumptions_market[Project Category (RERA)],tbl_assumptions_market[Concrete Intensity
(m³ / sq m BUA)],"",0)</f>
        <v>0.5</v>
      </c>
      <c r="L724" s="134">
        <f>ROUND(Market_Data[[#This Row],[Estimated Built Up Area (sq m)]]*Market_Data[[#This Row],[Concrete Intensity
(m³ / sq m)]],0)</f>
        <v>8150</v>
      </c>
      <c r="M724" s="135">
        <f>_xlfn.XLOOKUP(Market_Data[[#This Row],[District]],tbl_district_price[District],tbl_district_price[Standard Price
(INR/m³)],"",0)</f>
        <v>6200</v>
      </c>
      <c r="N724" s="364">
        <f>IF(OR(Market_Data[[#This Row],[Estimated Concrete Demand (m³)]]="",Market_Data[[#This Row],[Avg Price per (₹ / m³)]]=""),"",Market_Data[[#This Row],[Estimated Concrete Demand (m³)]]*Market_Data[[#This Row],[Avg Price per (₹ / m³)]]/10000000)</f>
        <v>5.0529999999999999</v>
      </c>
      <c r="O724" s="97" t="str">
        <f>IF(Market_Data[[#This Row],[Estimated Concrete Demand (m³)]]="","",
IF(Market_Data[[#This Row],[Estimated Concrete Demand (m³)]]&lt;10000,"Small",
IF(Market_Data[[#This Row],[Estimated Concrete Demand (m³)]]&lt;25000,"Medium",
IF(Market_Data[[#This Row],[Estimated Concrete Demand (m³)]]&lt;100000,"Large","Mega"))))</f>
        <v>Small</v>
      </c>
      <c r="P724" s="287" t="str">
        <f t="shared" si="13"/>
        <v>GujRERA</v>
      </c>
    </row>
    <row r="725" spans="1:16">
      <c r="A725" s="129" t="str">
        <f>_xlfn.XLOOKUP(B725,$S$9:$S$14,$T$9:$T$14)&amp;"-"&amp;
IF(E725="Residential/Group Housing","RES",
IF(E725="Commercial","COM",
IF(E725="Mixed Development","MIX",
IF(E725="Plotted Development","PLT","OTH"))))
&amp;"-"&amp;TEXT(COUNTIFS($B$9:B725,B725,$E$9:E725,E725),"0000")</f>
        <v>SUR-PLT-0091</v>
      </c>
      <c r="B725" s="322" t="s">
        <v>34</v>
      </c>
      <c r="C725" s="322" t="s">
        <v>34</v>
      </c>
      <c r="D725" s="323" t="s">
        <v>915</v>
      </c>
      <c r="E725" s="132" t="s">
        <v>26</v>
      </c>
      <c r="F725" s="97" t="str">
        <f ca="1">IF(OR(Market_Data[[#This Row],[Start Date]]="",Market_Data[[#This Row],[Completion Date]]=""),"Needs Validation",IF(Market_Data[[#This Row],[Start Date]]&gt;TODAY(),"Planned",IF(Market_Data[[#This Row],[Completion Date]]&lt;TODAY(),"Completed","Ongoing")))</f>
        <v>Ongoing</v>
      </c>
      <c r="G725" s="324">
        <v>44820</v>
      </c>
      <c r="H725" s="324">
        <v>46387</v>
      </c>
      <c r="I725" s="325">
        <v>42700</v>
      </c>
      <c r="J72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725" s="133">
        <f>_xlfn.XLOOKUP(Market_Data[[#This Row],[Project Type]],tbl_assumptions_market[Project Category (RERA)],tbl_assumptions_market[Concrete Intensity
(m³ / sq m BUA)],"",0)</f>
        <v>0.18</v>
      </c>
      <c r="L725" s="134">
        <f>ROUND(Market_Data[[#This Row],[Estimated Built Up Area (sq m)]]*Market_Data[[#This Row],[Concrete Intensity
(m³ / sq m)]],0)</f>
        <v>7686</v>
      </c>
      <c r="M725" s="135">
        <f>_xlfn.XLOOKUP(Market_Data[[#This Row],[District]],tbl_district_price[District],tbl_district_price[Standard Price
(INR/m³)],"",0)</f>
        <v>6200</v>
      </c>
      <c r="N725" s="364">
        <f>IF(OR(Market_Data[[#This Row],[Estimated Concrete Demand (m³)]]="",Market_Data[[#This Row],[Avg Price per (₹ / m³)]]=""),"",Market_Data[[#This Row],[Estimated Concrete Demand (m³)]]*Market_Data[[#This Row],[Avg Price per (₹ / m³)]]/10000000)</f>
        <v>4.76532</v>
      </c>
      <c r="O725" s="97" t="str">
        <f>IF(Market_Data[[#This Row],[Estimated Concrete Demand (m³)]]="","",
IF(Market_Data[[#This Row],[Estimated Concrete Demand (m³)]]&lt;10000,"Small",
IF(Market_Data[[#This Row],[Estimated Concrete Demand (m³)]]&lt;25000,"Medium",
IF(Market_Data[[#This Row],[Estimated Concrete Demand (m³)]]&lt;100000,"Large","Mega"))))</f>
        <v>Small</v>
      </c>
      <c r="P725" s="287" t="str">
        <f t="shared" si="13"/>
        <v>GujRERA</v>
      </c>
    </row>
    <row r="726" spans="1:16">
      <c r="A726" s="129" t="str">
        <f>_xlfn.XLOOKUP(B726,$S$9:$S$14,$T$9:$T$14)&amp;"-"&amp;
IF(E726="Residential/Group Housing","RES",
IF(E726="Commercial","COM",
IF(E726="Mixed Development","MIX",
IF(E726="Plotted Development","PLT","OTH"))))
&amp;"-"&amp;TEXT(COUNTIFS($B$9:B726,B726,$E$9:E726,E726),"0000")</f>
        <v>SUR-PLT-0092</v>
      </c>
      <c r="B726" s="322" t="s">
        <v>34</v>
      </c>
      <c r="C726" s="322" t="s">
        <v>34</v>
      </c>
      <c r="D726" s="323" t="s">
        <v>916</v>
      </c>
      <c r="E726" s="132" t="s">
        <v>26</v>
      </c>
      <c r="F726" s="97" t="str">
        <f ca="1">IF(OR(Market_Data[[#This Row],[Start Date]]="",Market_Data[[#This Row],[Completion Date]]=""),"Needs Validation",IF(Market_Data[[#This Row],[Start Date]]&gt;TODAY(),"Planned",IF(Market_Data[[#This Row],[Completion Date]]&lt;TODAY(),"Completed","Ongoing")))</f>
        <v>Ongoing</v>
      </c>
      <c r="G726" s="324">
        <v>44750</v>
      </c>
      <c r="H726" s="324">
        <v>46387</v>
      </c>
      <c r="I726" s="325">
        <v>20100</v>
      </c>
      <c r="J72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26" s="133">
        <f>_xlfn.XLOOKUP(Market_Data[[#This Row],[Project Type]],tbl_assumptions_market[Project Category (RERA)],tbl_assumptions_market[Concrete Intensity
(m³ / sq m BUA)],"",0)</f>
        <v>0.18</v>
      </c>
      <c r="L726" s="134">
        <f>ROUND(Market_Data[[#This Row],[Estimated Built Up Area (sq m)]]*Market_Data[[#This Row],[Concrete Intensity
(m³ / sq m)]],0)</f>
        <v>3618</v>
      </c>
      <c r="M726" s="135">
        <f>_xlfn.XLOOKUP(Market_Data[[#This Row],[District]],tbl_district_price[District],tbl_district_price[Standard Price
(INR/m³)],"",0)</f>
        <v>6200</v>
      </c>
      <c r="N726" s="364">
        <f>IF(OR(Market_Data[[#This Row],[Estimated Concrete Demand (m³)]]="",Market_Data[[#This Row],[Avg Price per (₹ / m³)]]=""),"",Market_Data[[#This Row],[Estimated Concrete Demand (m³)]]*Market_Data[[#This Row],[Avg Price per (₹ / m³)]]/10000000)</f>
        <v>2.24316</v>
      </c>
      <c r="O726" s="97" t="str">
        <f>IF(Market_Data[[#This Row],[Estimated Concrete Demand (m³)]]="","",
IF(Market_Data[[#This Row],[Estimated Concrete Demand (m³)]]&lt;10000,"Small",
IF(Market_Data[[#This Row],[Estimated Concrete Demand (m³)]]&lt;25000,"Medium",
IF(Market_Data[[#This Row],[Estimated Concrete Demand (m³)]]&lt;100000,"Large","Mega"))))</f>
        <v>Small</v>
      </c>
      <c r="P726" s="287" t="str">
        <f t="shared" si="13"/>
        <v>GujRERA</v>
      </c>
    </row>
    <row r="727" spans="1:16">
      <c r="A727" s="129" t="str">
        <f>_xlfn.XLOOKUP(B727,$S$9:$S$14,$T$9:$T$14)&amp;"-"&amp;
IF(E727="Residential/Group Housing","RES",
IF(E727="Commercial","COM",
IF(E727="Mixed Development","MIX",
IF(E727="Plotted Development","PLT","OTH"))))
&amp;"-"&amp;TEXT(COUNTIFS($B$9:B727,B727,$E$9:E727,E727),"0000")</f>
        <v>SUR-MIX-0076</v>
      </c>
      <c r="B727" s="322" t="s">
        <v>34</v>
      </c>
      <c r="C727" s="322" t="s">
        <v>34</v>
      </c>
      <c r="D727" s="323" t="s">
        <v>917</v>
      </c>
      <c r="E727" s="132" t="s">
        <v>25</v>
      </c>
      <c r="F727" s="97" t="str">
        <f ca="1">IF(OR(Market_Data[[#This Row],[Start Date]]="",Market_Data[[#This Row],[Completion Date]]=""),"Needs Validation",IF(Market_Data[[#This Row],[Start Date]]&gt;TODAY(),"Planned",IF(Market_Data[[#This Row],[Completion Date]]&lt;TODAY(),"Completed","Ongoing")))</f>
        <v>Completed</v>
      </c>
      <c r="G727" s="324">
        <v>41992</v>
      </c>
      <c r="H727" s="324">
        <v>43830</v>
      </c>
      <c r="I727" s="325">
        <v>32100</v>
      </c>
      <c r="J72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27" s="133">
        <f>_xlfn.XLOOKUP(Market_Data[[#This Row],[Project Type]],tbl_assumptions_market[Project Category (RERA)],tbl_assumptions_market[Concrete Intensity
(m³ / sq m BUA)],"",0)</f>
        <v>0.42</v>
      </c>
      <c r="L727" s="134">
        <f>ROUND(Market_Data[[#This Row],[Estimated Built Up Area (sq m)]]*Market_Data[[#This Row],[Concrete Intensity
(m³ / sq m)]],0)</f>
        <v>13482</v>
      </c>
      <c r="M727" s="135">
        <f>_xlfn.XLOOKUP(Market_Data[[#This Row],[District]],tbl_district_price[District],tbl_district_price[Standard Price
(INR/m³)],"",0)</f>
        <v>6200</v>
      </c>
      <c r="N727" s="364">
        <f>IF(OR(Market_Data[[#This Row],[Estimated Concrete Demand (m³)]]="",Market_Data[[#This Row],[Avg Price per (₹ / m³)]]=""),"",Market_Data[[#This Row],[Estimated Concrete Demand (m³)]]*Market_Data[[#This Row],[Avg Price per (₹ / m³)]]/10000000)</f>
        <v>8.3588400000000007</v>
      </c>
      <c r="O727" s="97" t="str">
        <f>IF(Market_Data[[#This Row],[Estimated Concrete Demand (m³)]]="","",
IF(Market_Data[[#This Row],[Estimated Concrete Demand (m³)]]&lt;10000,"Small",
IF(Market_Data[[#This Row],[Estimated Concrete Demand (m³)]]&lt;25000,"Medium",
IF(Market_Data[[#This Row],[Estimated Concrete Demand (m³)]]&lt;100000,"Large","Mega"))))</f>
        <v>Medium</v>
      </c>
      <c r="P727" s="287" t="str">
        <f t="shared" si="13"/>
        <v>GujRERA</v>
      </c>
    </row>
    <row r="728" spans="1:16">
      <c r="A728" s="129" t="str">
        <f>_xlfn.XLOOKUP(B728,$S$9:$S$14,$T$9:$T$14)&amp;"-"&amp;
IF(E728="Residential/Group Housing","RES",
IF(E728="Commercial","COM",
IF(E728="Mixed Development","MIX",
IF(E728="Plotted Development","PLT","OTH"))))
&amp;"-"&amp;TEXT(COUNTIFS($B$9:B728,B728,$E$9:E728,E728),"0000")</f>
        <v>SUR-PLT-0093</v>
      </c>
      <c r="B728" s="322" t="s">
        <v>34</v>
      </c>
      <c r="C728" s="322" t="s">
        <v>34</v>
      </c>
      <c r="D728" s="323" t="s">
        <v>918</v>
      </c>
      <c r="E728" s="132" t="s">
        <v>26</v>
      </c>
      <c r="F728" s="97" t="str">
        <f ca="1">IF(OR(Market_Data[[#This Row],[Start Date]]="",Market_Data[[#This Row],[Completion Date]]=""),"Needs Validation",IF(Market_Data[[#This Row],[Start Date]]&gt;TODAY(),"Planned",IF(Market_Data[[#This Row],[Completion Date]]&lt;TODAY(),"Completed","Ongoing")))</f>
        <v>Completed</v>
      </c>
      <c r="G728" s="324">
        <v>44986</v>
      </c>
      <c r="H728" s="324">
        <v>46022</v>
      </c>
      <c r="I728" s="325">
        <v>3100</v>
      </c>
      <c r="J72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28" s="133">
        <f>_xlfn.XLOOKUP(Market_Data[[#This Row],[Project Type]],tbl_assumptions_market[Project Category (RERA)],tbl_assumptions_market[Concrete Intensity
(m³ / sq m BUA)],"",0)</f>
        <v>0.18</v>
      </c>
      <c r="L728" s="134">
        <f>ROUND(Market_Data[[#This Row],[Estimated Built Up Area (sq m)]]*Market_Data[[#This Row],[Concrete Intensity
(m³ / sq m)]],0)</f>
        <v>558</v>
      </c>
      <c r="M728" s="135">
        <f>_xlfn.XLOOKUP(Market_Data[[#This Row],[District]],tbl_district_price[District],tbl_district_price[Standard Price
(INR/m³)],"",0)</f>
        <v>6200</v>
      </c>
      <c r="N728" s="364">
        <f>IF(OR(Market_Data[[#This Row],[Estimated Concrete Demand (m³)]]="",Market_Data[[#This Row],[Avg Price per (₹ / m³)]]=""),"",Market_Data[[#This Row],[Estimated Concrete Demand (m³)]]*Market_Data[[#This Row],[Avg Price per (₹ / m³)]]/10000000)</f>
        <v>0.34595999999999999</v>
      </c>
      <c r="O728" s="97" t="str">
        <f>IF(Market_Data[[#This Row],[Estimated Concrete Demand (m³)]]="","",
IF(Market_Data[[#This Row],[Estimated Concrete Demand (m³)]]&lt;10000,"Small",
IF(Market_Data[[#This Row],[Estimated Concrete Demand (m³)]]&lt;25000,"Medium",
IF(Market_Data[[#This Row],[Estimated Concrete Demand (m³)]]&lt;100000,"Large","Mega"))))</f>
        <v>Small</v>
      </c>
      <c r="P728" s="287" t="str">
        <f t="shared" si="13"/>
        <v>GujRERA</v>
      </c>
    </row>
    <row r="729" spans="1:16">
      <c r="A729" s="129" t="str">
        <f>_xlfn.XLOOKUP(B729,$S$9:$S$14,$T$9:$T$14)&amp;"-"&amp;
IF(E729="Residential/Group Housing","RES",
IF(E729="Commercial","COM",
IF(E729="Mixed Development","MIX",
IF(E729="Plotted Development","PLT","OTH"))))
&amp;"-"&amp;TEXT(COUNTIFS($B$9:B729,B729,$E$9:E729,E729),"0000")</f>
        <v>SUR-RES-0169</v>
      </c>
      <c r="B729" s="322" t="s">
        <v>34</v>
      </c>
      <c r="C729" s="322" t="s">
        <v>34</v>
      </c>
      <c r="D729" s="323" t="s">
        <v>919</v>
      </c>
      <c r="E729" s="132" t="s">
        <v>24</v>
      </c>
      <c r="F729" s="97" t="str">
        <f ca="1">IF(OR(Market_Data[[#This Row],[Start Date]]="",Market_Data[[#This Row],[Completion Date]]=""),"Needs Validation",IF(Market_Data[[#This Row],[Start Date]]&gt;TODAY(),"Planned",IF(Market_Data[[#This Row],[Completion Date]]&lt;TODAY(),"Completed","Ongoing")))</f>
        <v>Completed</v>
      </c>
      <c r="G729" s="324">
        <v>44607</v>
      </c>
      <c r="H729" s="324">
        <v>45657</v>
      </c>
      <c r="I729" s="325">
        <v>35800</v>
      </c>
      <c r="J72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29" s="133">
        <f>_xlfn.XLOOKUP(Market_Data[[#This Row],[Project Type]],tbl_assumptions_market[Project Category (RERA)],tbl_assumptions_market[Concrete Intensity
(m³ / sq m BUA)],"",0)</f>
        <v>0.45</v>
      </c>
      <c r="L729" s="134">
        <f>ROUND(Market_Data[[#This Row],[Estimated Built Up Area (sq m)]]*Market_Data[[#This Row],[Concrete Intensity
(m³ / sq m)]],0)</f>
        <v>16110</v>
      </c>
      <c r="M729" s="135">
        <f>_xlfn.XLOOKUP(Market_Data[[#This Row],[District]],tbl_district_price[District],tbl_district_price[Standard Price
(INR/m³)],"",0)</f>
        <v>6200</v>
      </c>
      <c r="N729" s="364">
        <f>IF(OR(Market_Data[[#This Row],[Estimated Concrete Demand (m³)]]="",Market_Data[[#This Row],[Avg Price per (₹ / m³)]]=""),"",Market_Data[[#This Row],[Estimated Concrete Demand (m³)]]*Market_Data[[#This Row],[Avg Price per (₹ / m³)]]/10000000)</f>
        <v>9.9882000000000009</v>
      </c>
      <c r="O729" s="97" t="str">
        <f>IF(Market_Data[[#This Row],[Estimated Concrete Demand (m³)]]="","",
IF(Market_Data[[#This Row],[Estimated Concrete Demand (m³)]]&lt;10000,"Small",
IF(Market_Data[[#This Row],[Estimated Concrete Demand (m³)]]&lt;25000,"Medium",
IF(Market_Data[[#This Row],[Estimated Concrete Demand (m³)]]&lt;100000,"Large","Mega"))))</f>
        <v>Medium</v>
      </c>
      <c r="P729" s="287" t="str">
        <f t="shared" si="13"/>
        <v>GujRERA</v>
      </c>
    </row>
    <row r="730" spans="1:16">
      <c r="A730" s="129" t="str">
        <f>_xlfn.XLOOKUP(B730,$S$9:$S$14,$T$9:$T$14)&amp;"-"&amp;
IF(E730="Residential/Group Housing","RES",
IF(E730="Commercial","COM",
IF(E730="Mixed Development","MIX",
IF(E730="Plotted Development","PLT","OTH"))))
&amp;"-"&amp;TEXT(COUNTIFS($B$9:B730,B730,$E$9:E730,E730),"0000")</f>
        <v>SUR-MIX-0077</v>
      </c>
      <c r="B730" s="322" t="s">
        <v>34</v>
      </c>
      <c r="C730" s="322" t="s">
        <v>34</v>
      </c>
      <c r="D730" s="323" t="s">
        <v>920</v>
      </c>
      <c r="E730" s="132" t="s">
        <v>25</v>
      </c>
      <c r="F730" s="97" t="str">
        <f ca="1">IF(OR(Market_Data[[#This Row],[Start Date]]="",Market_Data[[#This Row],[Completion Date]]=""),"Needs Validation",IF(Market_Data[[#This Row],[Start Date]]&gt;TODAY(),"Planned",IF(Market_Data[[#This Row],[Completion Date]]&lt;TODAY(),"Completed","Ongoing")))</f>
        <v>Ongoing</v>
      </c>
      <c r="G730" s="324">
        <v>45414</v>
      </c>
      <c r="H730" s="324">
        <v>46863</v>
      </c>
      <c r="I730" s="325">
        <v>24500</v>
      </c>
      <c r="J73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30" s="133">
        <f>_xlfn.XLOOKUP(Market_Data[[#This Row],[Project Type]],tbl_assumptions_market[Project Category (RERA)],tbl_assumptions_market[Concrete Intensity
(m³ / sq m BUA)],"",0)</f>
        <v>0.42</v>
      </c>
      <c r="L730" s="134">
        <f>ROUND(Market_Data[[#This Row],[Estimated Built Up Area (sq m)]]*Market_Data[[#This Row],[Concrete Intensity
(m³ / sq m)]],0)</f>
        <v>10290</v>
      </c>
      <c r="M730" s="135">
        <f>_xlfn.XLOOKUP(Market_Data[[#This Row],[District]],tbl_district_price[District],tbl_district_price[Standard Price
(INR/m³)],"",0)</f>
        <v>6200</v>
      </c>
      <c r="N730" s="364">
        <f>IF(OR(Market_Data[[#This Row],[Estimated Concrete Demand (m³)]]="",Market_Data[[#This Row],[Avg Price per (₹ / m³)]]=""),"",Market_Data[[#This Row],[Estimated Concrete Demand (m³)]]*Market_Data[[#This Row],[Avg Price per (₹ / m³)]]/10000000)</f>
        <v>6.3798000000000004</v>
      </c>
      <c r="O730" s="97" t="str">
        <f>IF(Market_Data[[#This Row],[Estimated Concrete Demand (m³)]]="","",
IF(Market_Data[[#This Row],[Estimated Concrete Demand (m³)]]&lt;10000,"Small",
IF(Market_Data[[#This Row],[Estimated Concrete Demand (m³)]]&lt;25000,"Medium",
IF(Market_Data[[#This Row],[Estimated Concrete Demand (m³)]]&lt;100000,"Large","Mega"))))</f>
        <v>Medium</v>
      </c>
      <c r="P730" s="287" t="str">
        <f t="shared" si="13"/>
        <v>GujRERA</v>
      </c>
    </row>
    <row r="731" spans="1:16">
      <c r="A731" s="129" t="str">
        <f>_xlfn.XLOOKUP(B731,$S$9:$S$14,$T$9:$T$14)&amp;"-"&amp;
IF(E731="Residential/Group Housing","RES",
IF(E731="Commercial","COM",
IF(E731="Mixed Development","MIX",
IF(E731="Plotted Development","PLT","OTH"))))
&amp;"-"&amp;TEXT(COUNTIFS($B$9:B731,B731,$E$9:E731,E731),"0000")</f>
        <v>SUR-MIX-0078</v>
      </c>
      <c r="B731" s="322" t="s">
        <v>34</v>
      </c>
      <c r="C731" s="322" t="s">
        <v>34</v>
      </c>
      <c r="D731" s="323" t="s">
        <v>921</v>
      </c>
      <c r="E731" s="132" t="s">
        <v>25</v>
      </c>
      <c r="F731" s="97" t="str">
        <f ca="1">IF(OR(Market_Data[[#This Row],[Start Date]]="",Market_Data[[#This Row],[Completion Date]]=""),"Needs Validation",IF(Market_Data[[#This Row],[Start Date]]&gt;TODAY(),"Planned",IF(Market_Data[[#This Row],[Completion Date]]&lt;TODAY(),"Completed","Ongoing")))</f>
        <v>Completed</v>
      </c>
      <c r="G731" s="324">
        <v>43590</v>
      </c>
      <c r="H731" s="324">
        <v>45261</v>
      </c>
      <c r="I731" s="325">
        <v>32300</v>
      </c>
      <c r="J73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31" s="133">
        <f>_xlfn.XLOOKUP(Market_Data[[#This Row],[Project Type]],tbl_assumptions_market[Project Category (RERA)],tbl_assumptions_market[Concrete Intensity
(m³ / sq m BUA)],"",0)</f>
        <v>0.42</v>
      </c>
      <c r="L731" s="134">
        <f>ROUND(Market_Data[[#This Row],[Estimated Built Up Area (sq m)]]*Market_Data[[#This Row],[Concrete Intensity
(m³ / sq m)]],0)</f>
        <v>13566</v>
      </c>
      <c r="M731" s="135">
        <f>_xlfn.XLOOKUP(Market_Data[[#This Row],[District]],tbl_district_price[District],tbl_district_price[Standard Price
(INR/m³)],"",0)</f>
        <v>6200</v>
      </c>
      <c r="N731" s="364">
        <f>IF(OR(Market_Data[[#This Row],[Estimated Concrete Demand (m³)]]="",Market_Data[[#This Row],[Avg Price per (₹ / m³)]]=""),"",Market_Data[[#This Row],[Estimated Concrete Demand (m³)]]*Market_Data[[#This Row],[Avg Price per (₹ / m³)]]/10000000)</f>
        <v>8.4109200000000008</v>
      </c>
      <c r="O731" s="97" t="str">
        <f>IF(Market_Data[[#This Row],[Estimated Concrete Demand (m³)]]="","",
IF(Market_Data[[#This Row],[Estimated Concrete Demand (m³)]]&lt;10000,"Small",
IF(Market_Data[[#This Row],[Estimated Concrete Demand (m³)]]&lt;25000,"Medium",
IF(Market_Data[[#This Row],[Estimated Concrete Demand (m³)]]&lt;100000,"Large","Mega"))))</f>
        <v>Medium</v>
      </c>
      <c r="P731" s="287" t="str">
        <f t="shared" si="13"/>
        <v>GujRERA</v>
      </c>
    </row>
    <row r="732" spans="1:16">
      <c r="A732" s="129" t="str">
        <f>_xlfn.XLOOKUP(B732,$S$9:$S$14,$T$9:$T$14)&amp;"-"&amp;
IF(E732="Residential/Group Housing","RES",
IF(E732="Commercial","COM",
IF(E732="Mixed Development","MIX",
IF(E732="Plotted Development","PLT","OTH"))))
&amp;"-"&amp;TEXT(COUNTIFS($B$9:B732,B732,$E$9:E732,E732),"0000")</f>
        <v>SUR-MIX-0079</v>
      </c>
      <c r="B732" s="322" t="s">
        <v>34</v>
      </c>
      <c r="C732" s="322" t="s">
        <v>34</v>
      </c>
      <c r="D732" s="323" t="s">
        <v>922</v>
      </c>
      <c r="E732" s="132" t="s">
        <v>25</v>
      </c>
      <c r="F732" s="97" t="str">
        <f ca="1">IF(OR(Market_Data[[#This Row],[Start Date]]="",Market_Data[[#This Row],[Completion Date]]=""),"Needs Validation",IF(Market_Data[[#This Row],[Start Date]]&gt;TODAY(),"Planned",IF(Market_Data[[#This Row],[Completion Date]]&lt;TODAY(),"Completed","Ongoing")))</f>
        <v>Ongoing</v>
      </c>
      <c r="G732" s="324">
        <v>45037</v>
      </c>
      <c r="H732" s="324">
        <v>47483</v>
      </c>
      <c r="I732" s="325">
        <v>58600</v>
      </c>
      <c r="J73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32" s="133">
        <f>_xlfn.XLOOKUP(Market_Data[[#This Row],[Project Type]],tbl_assumptions_market[Project Category (RERA)],tbl_assumptions_market[Concrete Intensity
(m³ / sq m BUA)],"",0)</f>
        <v>0.42</v>
      </c>
      <c r="L732" s="134">
        <f>ROUND(Market_Data[[#This Row],[Estimated Built Up Area (sq m)]]*Market_Data[[#This Row],[Concrete Intensity
(m³ / sq m)]],0)</f>
        <v>24612</v>
      </c>
      <c r="M732" s="135">
        <f>_xlfn.XLOOKUP(Market_Data[[#This Row],[District]],tbl_district_price[District],tbl_district_price[Standard Price
(INR/m³)],"",0)</f>
        <v>6200</v>
      </c>
      <c r="N732" s="364">
        <f>IF(OR(Market_Data[[#This Row],[Estimated Concrete Demand (m³)]]="",Market_Data[[#This Row],[Avg Price per (₹ / m³)]]=""),"",Market_Data[[#This Row],[Estimated Concrete Demand (m³)]]*Market_Data[[#This Row],[Avg Price per (₹ / m³)]]/10000000)</f>
        <v>15.25944</v>
      </c>
      <c r="O732" s="97" t="str">
        <f>IF(Market_Data[[#This Row],[Estimated Concrete Demand (m³)]]="","",
IF(Market_Data[[#This Row],[Estimated Concrete Demand (m³)]]&lt;10000,"Small",
IF(Market_Data[[#This Row],[Estimated Concrete Demand (m³)]]&lt;25000,"Medium",
IF(Market_Data[[#This Row],[Estimated Concrete Demand (m³)]]&lt;100000,"Large","Mega"))))</f>
        <v>Medium</v>
      </c>
      <c r="P732" s="287" t="str">
        <f t="shared" si="13"/>
        <v>GujRERA</v>
      </c>
    </row>
    <row r="733" spans="1:16">
      <c r="A733" s="129" t="str">
        <f>_xlfn.XLOOKUP(B733,$S$9:$S$14,$T$9:$T$14)&amp;"-"&amp;
IF(E733="Residential/Group Housing","RES",
IF(E733="Commercial","COM",
IF(E733="Mixed Development","MIX",
IF(E733="Plotted Development","PLT","OTH"))))
&amp;"-"&amp;TEXT(COUNTIFS($B$9:B733,B733,$E$9:E733,E733),"0000")</f>
        <v>SUR-RES-0170</v>
      </c>
      <c r="B733" s="322" t="s">
        <v>34</v>
      </c>
      <c r="C733" s="322" t="s">
        <v>34</v>
      </c>
      <c r="D733" s="323" t="s">
        <v>923</v>
      </c>
      <c r="E733" s="132" t="s">
        <v>24</v>
      </c>
      <c r="F733" s="97" t="str">
        <f ca="1">IF(OR(Market_Data[[#This Row],[Start Date]]="",Market_Data[[#This Row],[Completion Date]]=""),"Needs Validation",IF(Market_Data[[#This Row],[Start Date]]&gt;TODAY(),"Planned",IF(Market_Data[[#This Row],[Completion Date]]&lt;TODAY(),"Completed","Ongoing")))</f>
        <v>Completed</v>
      </c>
      <c r="G733" s="324">
        <v>42040</v>
      </c>
      <c r="H733" s="324">
        <v>43921</v>
      </c>
      <c r="I733" s="325">
        <v>30300</v>
      </c>
      <c r="J73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33" s="133">
        <f>_xlfn.XLOOKUP(Market_Data[[#This Row],[Project Type]],tbl_assumptions_market[Project Category (RERA)],tbl_assumptions_market[Concrete Intensity
(m³ / sq m BUA)],"",0)</f>
        <v>0.45</v>
      </c>
      <c r="L733" s="134">
        <f>ROUND(Market_Data[[#This Row],[Estimated Built Up Area (sq m)]]*Market_Data[[#This Row],[Concrete Intensity
(m³ / sq m)]],0)</f>
        <v>13635</v>
      </c>
      <c r="M733" s="135">
        <f>_xlfn.XLOOKUP(Market_Data[[#This Row],[District]],tbl_district_price[District],tbl_district_price[Standard Price
(INR/m³)],"",0)</f>
        <v>6200</v>
      </c>
      <c r="N733" s="364">
        <f>IF(OR(Market_Data[[#This Row],[Estimated Concrete Demand (m³)]]="",Market_Data[[#This Row],[Avg Price per (₹ / m³)]]=""),"",Market_Data[[#This Row],[Estimated Concrete Demand (m³)]]*Market_Data[[#This Row],[Avg Price per (₹ / m³)]]/10000000)</f>
        <v>8.4536999999999995</v>
      </c>
      <c r="O733" s="97" t="str">
        <f>IF(Market_Data[[#This Row],[Estimated Concrete Demand (m³)]]="","",
IF(Market_Data[[#This Row],[Estimated Concrete Demand (m³)]]&lt;10000,"Small",
IF(Market_Data[[#This Row],[Estimated Concrete Demand (m³)]]&lt;25000,"Medium",
IF(Market_Data[[#This Row],[Estimated Concrete Demand (m³)]]&lt;100000,"Large","Mega"))))</f>
        <v>Medium</v>
      </c>
      <c r="P733" s="287" t="str">
        <f t="shared" si="13"/>
        <v>GujRERA</v>
      </c>
    </row>
    <row r="734" spans="1:16">
      <c r="A734" s="129" t="str">
        <f>_xlfn.XLOOKUP(B734,$S$9:$S$14,$T$9:$T$14)&amp;"-"&amp;
IF(E734="Residential/Group Housing","RES",
IF(E734="Commercial","COM",
IF(E734="Mixed Development","MIX",
IF(E734="Plotted Development","PLT","OTH"))))
&amp;"-"&amp;TEXT(COUNTIFS($B$9:B734,B734,$E$9:E734,E734),"0000")</f>
        <v>SUR-COM-0074</v>
      </c>
      <c r="B734" s="322" t="s">
        <v>34</v>
      </c>
      <c r="C734" s="322" t="s">
        <v>34</v>
      </c>
      <c r="D734" s="323" t="s">
        <v>924</v>
      </c>
      <c r="E734" s="132" t="s">
        <v>23</v>
      </c>
      <c r="F734" s="97" t="str">
        <f ca="1">IF(OR(Market_Data[[#This Row],[Start Date]]="",Market_Data[[#This Row],[Completion Date]]=""),"Needs Validation",IF(Market_Data[[#This Row],[Start Date]]&gt;TODAY(),"Planned",IF(Market_Data[[#This Row],[Completion Date]]&lt;TODAY(),"Completed","Ongoing")))</f>
        <v>Ongoing</v>
      </c>
      <c r="G734" s="324">
        <v>45282</v>
      </c>
      <c r="H734" s="324">
        <v>46843</v>
      </c>
      <c r="I734" s="325">
        <v>4000</v>
      </c>
      <c r="J73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34" s="133">
        <f>_xlfn.XLOOKUP(Market_Data[[#This Row],[Project Type]],tbl_assumptions_market[Project Category (RERA)],tbl_assumptions_market[Concrete Intensity
(m³ / sq m BUA)],"",0)</f>
        <v>0.5</v>
      </c>
      <c r="L734" s="134">
        <f>ROUND(Market_Data[[#This Row],[Estimated Built Up Area (sq m)]]*Market_Data[[#This Row],[Concrete Intensity
(m³ / sq m)]],0)</f>
        <v>2000</v>
      </c>
      <c r="M734" s="135">
        <f>_xlfn.XLOOKUP(Market_Data[[#This Row],[District]],tbl_district_price[District],tbl_district_price[Standard Price
(INR/m³)],"",0)</f>
        <v>6200</v>
      </c>
      <c r="N734" s="364">
        <f>IF(OR(Market_Data[[#This Row],[Estimated Concrete Demand (m³)]]="",Market_Data[[#This Row],[Avg Price per (₹ / m³)]]=""),"",Market_Data[[#This Row],[Estimated Concrete Demand (m³)]]*Market_Data[[#This Row],[Avg Price per (₹ / m³)]]/10000000)</f>
        <v>1.24</v>
      </c>
      <c r="O734" s="97" t="str">
        <f>IF(Market_Data[[#This Row],[Estimated Concrete Demand (m³)]]="","",
IF(Market_Data[[#This Row],[Estimated Concrete Demand (m³)]]&lt;10000,"Small",
IF(Market_Data[[#This Row],[Estimated Concrete Demand (m³)]]&lt;25000,"Medium",
IF(Market_Data[[#This Row],[Estimated Concrete Demand (m³)]]&lt;100000,"Large","Mega"))))</f>
        <v>Small</v>
      </c>
      <c r="P734" s="287" t="str">
        <f t="shared" si="13"/>
        <v>GujRERA</v>
      </c>
    </row>
    <row r="735" spans="1:16">
      <c r="A735" s="129" t="str">
        <f>_xlfn.XLOOKUP(B735,$S$9:$S$14,$T$9:$T$14)&amp;"-"&amp;
IF(E735="Residential/Group Housing","RES",
IF(E735="Commercial","COM",
IF(E735="Mixed Development","MIX",
IF(E735="Plotted Development","PLT","OTH"))))
&amp;"-"&amp;TEXT(COUNTIFS($B$9:B735,B735,$E$9:E735,E735),"0000")</f>
        <v>SUR-PLT-0094</v>
      </c>
      <c r="B735" s="322" t="s">
        <v>34</v>
      </c>
      <c r="C735" s="322" t="s">
        <v>34</v>
      </c>
      <c r="D735" s="323" t="s">
        <v>925</v>
      </c>
      <c r="E735" s="132" t="s">
        <v>26</v>
      </c>
      <c r="F735" s="97" t="str">
        <f ca="1">IF(OR(Market_Data[[#This Row],[Start Date]]="",Market_Data[[#This Row],[Completion Date]]=""),"Needs Validation",IF(Market_Data[[#This Row],[Start Date]]&gt;TODAY(),"Planned",IF(Market_Data[[#This Row],[Completion Date]]&lt;TODAY(),"Completed","Ongoing")))</f>
        <v>Ongoing</v>
      </c>
      <c r="G735" s="324">
        <v>45803</v>
      </c>
      <c r="H735" s="324">
        <v>46751</v>
      </c>
      <c r="I735" s="325">
        <v>22200</v>
      </c>
      <c r="J73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35" s="133">
        <f>_xlfn.XLOOKUP(Market_Data[[#This Row],[Project Type]],tbl_assumptions_market[Project Category (RERA)],tbl_assumptions_market[Concrete Intensity
(m³ / sq m BUA)],"",0)</f>
        <v>0.18</v>
      </c>
      <c r="L735" s="134">
        <f>ROUND(Market_Data[[#This Row],[Estimated Built Up Area (sq m)]]*Market_Data[[#This Row],[Concrete Intensity
(m³ / sq m)]],0)</f>
        <v>3996</v>
      </c>
      <c r="M735" s="135">
        <f>_xlfn.XLOOKUP(Market_Data[[#This Row],[District]],tbl_district_price[District],tbl_district_price[Standard Price
(INR/m³)],"",0)</f>
        <v>6200</v>
      </c>
      <c r="N735" s="364">
        <f>IF(OR(Market_Data[[#This Row],[Estimated Concrete Demand (m³)]]="",Market_Data[[#This Row],[Avg Price per (₹ / m³)]]=""),"",Market_Data[[#This Row],[Estimated Concrete Demand (m³)]]*Market_Data[[#This Row],[Avg Price per (₹ / m³)]]/10000000)</f>
        <v>2.4775200000000002</v>
      </c>
      <c r="O735" s="97" t="str">
        <f>IF(Market_Data[[#This Row],[Estimated Concrete Demand (m³)]]="","",
IF(Market_Data[[#This Row],[Estimated Concrete Demand (m³)]]&lt;10000,"Small",
IF(Market_Data[[#This Row],[Estimated Concrete Demand (m³)]]&lt;25000,"Medium",
IF(Market_Data[[#This Row],[Estimated Concrete Demand (m³)]]&lt;100000,"Large","Mega"))))</f>
        <v>Small</v>
      </c>
      <c r="P735" s="287" t="str">
        <f t="shared" si="13"/>
        <v>GujRERA</v>
      </c>
    </row>
    <row r="736" spans="1:16">
      <c r="A736" s="129" t="str">
        <f>_xlfn.XLOOKUP(B736,$S$9:$S$14,$T$9:$T$14)&amp;"-"&amp;
IF(E736="Residential/Group Housing","RES",
IF(E736="Commercial","COM",
IF(E736="Mixed Development","MIX",
IF(E736="Plotted Development","PLT","OTH"))))
&amp;"-"&amp;TEXT(COUNTIFS($B$9:B736,B736,$E$9:E736,E736),"0000")</f>
        <v>SUR-PLT-0095</v>
      </c>
      <c r="B736" s="322" t="s">
        <v>34</v>
      </c>
      <c r="C736" s="322" t="s">
        <v>34</v>
      </c>
      <c r="D736" s="323" t="s">
        <v>926</v>
      </c>
      <c r="E736" s="132" t="s">
        <v>26</v>
      </c>
      <c r="F736" s="97" t="str">
        <f ca="1">IF(OR(Market_Data[[#This Row],[Start Date]]="",Market_Data[[#This Row],[Completion Date]]=""),"Needs Validation",IF(Market_Data[[#This Row],[Start Date]]&gt;TODAY(),"Planned",IF(Market_Data[[#This Row],[Completion Date]]&lt;TODAY(),"Completed","Ongoing")))</f>
        <v>Ongoing</v>
      </c>
      <c r="G736" s="324">
        <v>45391</v>
      </c>
      <c r="H736" s="324">
        <v>46387</v>
      </c>
      <c r="I736" s="325">
        <v>12100</v>
      </c>
      <c r="J73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36" s="133">
        <f>_xlfn.XLOOKUP(Market_Data[[#This Row],[Project Type]],tbl_assumptions_market[Project Category (RERA)],tbl_assumptions_market[Concrete Intensity
(m³ / sq m BUA)],"",0)</f>
        <v>0.18</v>
      </c>
      <c r="L736" s="134">
        <f>ROUND(Market_Data[[#This Row],[Estimated Built Up Area (sq m)]]*Market_Data[[#This Row],[Concrete Intensity
(m³ / sq m)]],0)</f>
        <v>2178</v>
      </c>
      <c r="M736" s="135">
        <f>_xlfn.XLOOKUP(Market_Data[[#This Row],[District]],tbl_district_price[District],tbl_district_price[Standard Price
(INR/m³)],"",0)</f>
        <v>6200</v>
      </c>
      <c r="N736" s="364">
        <f>IF(OR(Market_Data[[#This Row],[Estimated Concrete Demand (m³)]]="",Market_Data[[#This Row],[Avg Price per (₹ / m³)]]=""),"",Market_Data[[#This Row],[Estimated Concrete Demand (m³)]]*Market_Data[[#This Row],[Avg Price per (₹ / m³)]]/10000000)</f>
        <v>1.35036</v>
      </c>
      <c r="O736" s="97" t="str">
        <f>IF(Market_Data[[#This Row],[Estimated Concrete Demand (m³)]]="","",
IF(Market_Data[[#This Row],[Estimated Concrete Demand (m³)]]&lt;10000,"Small",
IF(Market_Data[[#This Row],[Estimated Concrete Demand (m³)]]&lt;25000,"Medium",
IF(Market_Data[[#This Row],[Estimated Concrete Demand (m³)]]&lt;100000,"Large","Mega"))))</f>
        <v>Small</v>
      </c>
      <c r="P736" s="287" t="str">
        <f t="shared" si="13"/>
        <v>GujRERA</v>
      </c>
    </row>
    <row r="737" spans="1:16">
      <c r="A737" s="129" t="str">
        <f>_xlfn.XLOOKUP(B737,$S$9:$S$14,$T$9:$T$14)&amp;"-"&amp;
IF(E737="Residential/Group Housing","RES",
IF(E737="Commercial","COM",
IF(E737="Mixed Development","MIX",
IF(E737="Plotted Development","PLT","OTH"))))
&amp;"-"&amp;TEXT(COUNTIFS($B$9:B737,B737,$E$9:E737,E737),"0000")</f>
        <v>SUR-PLT-0096</v>
      </c>
      <c r="B737" s="322" t="s">
        <v>34</v>
      </c>
      <c r="C737" s="322" t="s">
        <v>34</v>
      </c>
      <c r="D737" s="323" t="s">
        <v>927</v>
      </c>
      <c r="E737" s="132" t="s">
        <v>26</v>
      </c>
      <c r="F737" s="97" t="str">
        <f ca="1">IF(OR(Market_Data[[#This Row],[Start Date]]="",Market_Data[[#This Row],[Completion Date]]=""),"Needs Validation",IF(Market_Data[[#This Row],[Start Date]]&gt;TODAY(),"Planned",IF(Market_Data[[#This Row],[Completion Date]]&lt;TODAY(),"Completed","Ongoing")))</f>
        <v>Ongoing</v>
      </c>
      <c r="G737" s="324">
        <v>45421</v>
      </c>
      <c r="H737" s="324">
        <v>46752</v>
      </c>
      <c r="I737" s="325">
        <v>8600</v>
      </c>
      <c r="J73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37" s="133">
        <f>_xlfn.XLOOKUP(Market_Data[[#This Row],[Project Type]],tbl_assumptions_market[Project Category (RERA)],tbl_assumptions_market[Concrete Intensity
(m³ / sq m BUA)],"",0)</f>
        <v>0.18</v>
      </c>
      <c r="L737" s="134">
        <f>ROUND(Market_Data[[#This Row],[Estimated Built Up Area (sq m)]]*Market_Data[[#This Row],[Concrete Intensity
(m³ / sq m)]],0)</f>
        <v>1548</v>
      </c>
      <c r="M737" s="135">
        <f>_xlfn.XLOOKUP(Market_Data[[#This Row],[District]],tbl_district_price[District],tbl_district_price[Standard Price
(INR/m³)],"",0)</f>
        <v>6200</v>
      </c>
      <c r="N737" s="364">
        <f>IF(OR(Market_Data[[#This Row],[Estimated Concrete Demand (m³)]]="",Market_Data[[#This Row],[Avg Price per (₹ / m³)]]=""),"",Market_Data[[#This Row],[Estimated Concrete Demand (m³)]]*Market_Data[[#This Row],[Avg Price per (₹ / m³)]]/10000000)</f>
        <v>0.95975999999999995</v>
      </c>
      <c r="O737" s="97" t="str">
        <f>IF(Market_Data[[#This Row],[Estimated Concrete Demand (m³)]]="","",
IF(Market_Data[[#This Row],[Estimated Concrete Demand (m³)]]&lt;10000,"Small",
IF(Market_Data[[#This Row],[Estimated Concrete Demand (m³)]]&lt;25000,"Medium",
IF(Market_Data[[#This Row],[Estimated Concrete Demand (m³)]]&lt;100000,"Large","Mega"))))</f>
        <v>Small</v>
      </c>
      <c r="P737" s="287" t="str">
        <f t="shared" si="13"/>
        <v>GujRERA</v>
      </c>
    </row>
    <row r="738" spans="1:16">
      <c r="A738" s="129" t="str">
        <f>_xlfn.XLOOKUP(B738,$S$9:$S$14,$T$9:$T$14)&amp;"-"&amp;
IF(E738="Residential/Group Housing","RES",
IF(E738="Commercial","COM",
IF(E738="Mixed Development","MIX",
IF(E738="Plotted Development","PLT","OTH"))))
&amp;"-"&amp;TEXT(COUNTIFS($B$9:B738,B738,$E$9:E738,E738),"0000")</f>
        <v>SUR-COM-0075</v>
      </c>
      <c r="B738" s="322" t="s">
        <v>34</v>
      </c>
      <c r="C738" s="322" t="s">
        <v>34</v>
      </c>
      <c r="D738" s="323" t="s">
        <v>928</v>
      </c>
      <c r="E738" s="132" t="s">
        <v>23</v>
      </c>
      <c r="F738" s="97" t="str">
        <f ca="1">IF(OR(Market_Data[[#This Row],[Start Date]]="",Market_Data[[#This Row],[Completion Date]]=""),"Needs Validation",IF(Market_Data[[#This Row],[Start Date]]&gt;TODAY(),"Planned",IF(Market_Data[[#This Row],[Completion Date]]&lt;TODAY(),"Completed","Ongoing")))</f>
        <v>Ongoing</v>
      </c>
      <c r="G738" s="324">
        <v>45947</v>
      </c>
      <c r="H738" s="324">
        <v>46507</v>
      </c>
      <c r="I738" s="325">
        <v>10900</v>
      </c>
      <c r="J73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38" s="133">
        <f>_xlfn.XLOOKUP(Market_Data[[#This Row],[Project Type]],tbl_assumptions_market[Project Category (RERA)],tbl_assumptions_market[Concrete Intensity
(m³ / sq m BUA)],"",0)</f>
        <v>0.5</v>
      </c>
      <c r="L738" s="134">
        <f>ROUND(Market_Data[[#This Row],[Estimated Built Up Area (sq m)]]*Market_Data[[#This Row],[Concrete Intensity
(m³ / sq m)]],0)</f>
        <v>5450</v>
      </c>
      <c r="M738" s="135">
        <f>_xlfn.XLOOKUP(Market_Data[[#This Row],[District]],tbl_district_price[District],tbl_district_price[Standard Price
(INR/m³)],"",0)</f>
        <v>6200</v>
      </c>
      <c r="N738" s="364">
        <f>IF(OR(Market_Data[[#This Row],[Estimated Concrete Demand (m³)]]="",Market_Data[[#This Row],[Avg Price per (₹ / m³)]]=""),"",Market_Data[[#This Row],[Estimated Concrete Demand (m³)]]*Market_Data[[#This Row],[Avg Price per (₹ / m³)]]/10000000)</f>
        <v>3.379</v>
      </c>
      <c r="O738" s="97" t="str">
        <f>IF(Market_Data[[#This Row],[Estimated Concrete Demand (m³)]]="","",
IF(Market_Data[[#This Row],[Estimated Concrete Demand (m³)]]&lt;10000,"Small",
IF(Market_Data[[#This Row],[Estimated Concrete Demand (m³)]]&lt;25000,"Medium",
IF(Market_Data[[#This Row],[Estimated Concrete Demand (m³)]]&lt;100000,"Large","Mega"))))</f>
        <v>Small</v>
      </c>
      <c r="P738" s="287" t="str">
        <f t="shared" si="13"/>
        <v>GujRERA</v>
      </c>
    </row>
    <row r="739" spans="1:16">
      <c r="A739" s="129" t="str">
        <f>_xlfn.XLOOKUP(B739,$S$9:$S$14,$T$9:$T$14)&amp;"-"&amp;
IF(E739="Residential/Group Housing","RES",
IF(E739="Commercial","COM",
IF(E739="Mixed Development","MIX",
IF(E739="Plotted Development","PLT","OTH"))))
&amp;"-"&amp;TEXT(COUNTIFS($B$9:B739,B739,$E$9:E739,E739),"0000")</f>
        <v>SUR-MIX-0080</v>
      </c>
      <c r="B739" s="322" t="s">
        <v>34</v>
      </c>
      <c r="C739" s="322" t="s">
        <v>34</v>
      </c>
      <c r="D739" s="323" t="s">
        <v>929</v>
      </c>
      <c r="E739" s="132" t="s">
        <v>25</v>
      </c>
      <c r="F739" s="97" t="str">
        <f ca="1">IF(OR(Market_Data[[#This Row],[Start Date]]="",Market_Data[[#This Row],[Completion Date]]=""),"Needs Validation",IF(Market_Data[[#This Row],[Start Date]]&gt;TODAY(),"Planned",IF(Market_Data[[#This Row],[Completion Date]]&lt;TODAY(),"Completed","Ongoing")))</f>
        <v>Ongoing</v>
      </c>
      <c r="G739" s="324">
        <v>45307</v>
      </c>
      <c r="H739" s="324">
        <v>47267</v>
      </c>
      <c r="I739" s="325">
        <v>5500</v>
      </c>
      <c r="J73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739" s="133">
        <f>_xlfn.XLOOKUP(Market_Data[[#This Row],[Project Type]],tbl_assumptions_market[Project Category (RERA)],tbl_assumptions_market[Concrete Intensity
(m³ / sq m BUA)],"",0)</f>
        <v>0.42</v>
      </c>
      <c r="L739" s="134">
        <f>ROUND(Market_Data[[#This Row],[Estimated Built Up Area (sq m)]]*Market_Data[[#This Row],[Concrete Intensity
(m³ / sq m)]],0)</f>
        <v>2310</v>
      </c>
      <c r="M739" s="135">
        <f>_xlfn.XLOOKUP(Market_Data[[#This Row],[District]],tbl_district_price[District],tbl_district_price[Standard Price
(INR/m³)],"",0)</f>
        <v>6200</v>
      </c>
      <c r="N739" s="364">
        <f>IF(OR(Market_Data[[#This Row],[Estimated Concrete Demand (m³)]]="",Market_Data[[#This Row],[Avg Price per (₹ / m³)]]=""),"",Market_Data[[#This Row],[Estimated Concrete Demand (m³)]]*Market_Data[[#This Row],[Avg Price per (₹ / m³)]]/10000000)</f>
        <v>1.4321999999999999</v>
      </c>
      <c r="O739" s="97" t="str">
        <f>IF(Market_Data[[#This Row],[Estimated Concrete Demand (m³)]]="","",
IF(Market_Data[[#This Row],[Estimated Concrete Demand (m³)]]&lt;10000,"Small",
IF(Market_Data[[#This Row],[Estimated Concrete Demand (m³)]]&lt;25000,"Medium",
IF(Market_Data[[#This Row],[Estimated Concrete Demand (m³)]]&lt;100000,"Large","Mega"))))</f>
        <v>Small</v>
      </c>
      <c r="P739" s="287" t="str">
        <f t="shared" si="13"/>
        <v>GujRERA</v>
      </c>
    </row>
    <row r="740" spans="1:16">
      <c r="A740" s="129" t="str">
        <f>_xlfn.XLOOKUP(B740,$S$9:$S$14,$T$9:$T$14)&amp;"-"&amp;
IF(E740="Residential/Group Housing","RES",
IF(E740="Commercial","COM",
IF(E740="Mixed Development","MIX",
IF(E740="Plotted Development","PLT","OTH"))))
&amp;"-"&amp;TEXT(COUNTIFS($B$9:B740,B740,$E$9:E740,E740),"0000")</f>
        <v>SUR-RES-0171</v>
      </c>
      <c r="B740" s="322" t="s">
        <v>34</v>
      </c>
      <c r="C740" s="322" t="s">
        <v>34</v>
      </c>
      <c r="D740" s="323" t="s">
        <v>930</v>
      </c>
      <c r="E740" s="132" t="s">
        <v>24</v>
      </c>
      <c r="F740" s="97" t="str">
        <f ca="1">IF(OR(Market_Data[[#This Row],[Start Date]]="",Market_Data[[#This Row],[Completion Date]]=""),"Needs Validation",IF(Market_Data[[#This Row],[Start Date]]&gt;TODAY(),"Planned",IF(Market_Data[[#This Row],[Completion Date]]&lt;TODAY(),"Completed","Ongoing")))</f>
        <v>Ongoing</v>
      </c>
      <c r="G740" s="324">
        <v>44866</v>
      </c>
      <c r="H740" s="324">
        <v>46752</v>
      </c>
      <c r="I740" s="325">
        <v>38200</v>
      </c>
      <c r="J74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40" s="133">
        <f>_xlfn.XLOOKUP(Market_Data[[#This Row],[Project Type]],tbl_assumptions_market[Project Category (RERA)],tbl_assumptions_market[Concrete Intensity
(m³ / sq m BUA)],"",0)</f>
        <v>0.45</v>
      </c>
      <c r="L740" s="134">
        <f>ROUND(Market_Data[[#This Row],[Estimated Built Up Area (sq m)]]*Market_Data[[#This Row],[Concrete Intensity
(m³ / sq m)]],0)</f>
        <v>17190</v>
      </c>
      <c r="M740" s="135">
        <f>_xlfn.XLOOKUP(Market_Data[[#This Row],[District]],tbl_district_price[District],tbl_district_price[Standard Price
(INR/m³)],"",0)</f>
        <v>6200</v>
      </c>
      <c r="N740" s="364">
        <f>IF(OR(Market_Data[[#This Row],[Estimated Concrete Demand (m³)]]="",Market_Data[[#This Row],[Avg Price per (₹ / m³)]]=""),"",Market_Data[[#This Row],[Estimated Concrete Demand (m³)]]*Market_Data[[#This Row],[Avg Price per (₹ / m³)]]/10000000)</f>
        <v>10.6578</v>
      </c>
      <c r="O740" s="97" t="str">
        <f>IF(Market_Data[[#This Row],[Estimated Concrete Demand (m³)]]="","",
IF(Market_Data[[#This Row],[Estimated Concrete Demand (m³)]]&lt;10000,"Small",
IF(Market_Data[[#This Row],[Estimated Concrete Demand (m³)]]&lt;25000,"Medium",
IF(Market_Data[[#This Row],[Estimated Concrete Demand (m³)]]&lt;100000,"Large","Mega"))))</f>
        <v>Medium</v>
      </c>
      <c r="P740" s="287" t="str">
        <f t="shared" si="13"/>
        <v>GujRERA</v>
      </c>
    </row>
    <row r="741" spans="1:16">
      <c r="A741" s="129" t="str">
        <f>_xlfn.XLOOKUP(B741,$S$9:$S$14,$T$9:$T$14)&amp;"-"&amp;
IF(E741="Residential/Group Housing","RES",
IF(E741="Commercial","COM",
IF(E741="Mixed Development","MIX",
IF(E741="Plotted Development","PLT","OTH"))))
&amp;"-"&amp;TEXT(COUNTIFS($B$9:B741,B741,$E$9:E741,E741),"0000")</f>
        <v>SUR-PLT-0097</v>
      </c>
      <c r="B741" s="322" t="s">
        <v>34</v>
      </c>
      <c r="C741" s="322" t="s">
        <v>34</v>
      </c>
      <c r="D741" s="323" t="s">
        <v>931</v>
      </c>
      <c r="E741" s="132" t="s">
        <v>26</v>
      </c>
      <c r="F741" s="97" t="str">
        <f ca="1">IF(OR(Market_Data[[#This Row],[Start Date]]="",Market_Data[[#This Row],[Completion Date]]=""),"Needs Validation",IF(Market_Data[[#This Row],[Start Date]]&gt;TODAY(),"Planned",IF(Market_Data[[#This Row],[Completion Date]]&lt;TODAY(),"Completed","Ongoing")))</f>
        <v>Completed</v>
      </c>
      <c r="G741" s="324">
        <v>45679</v>
      </c>
      <c r="H741" s="324">
        <v>46022</v>
      </c>
      <c r="I741" s="325">
        <v>5000</v>
      </c>
      <c r="J74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41" s="133">
        <f>_xlfn.XLOOKUP(Market_Data[[#This Row],[Project Type]],tbl_assumptions_market[Project Category (RERA)],tbl_assumptions_market[Concrete Intensity
(m³ / sq m BUA)],"",0)</f>
        <v>0.18</v>
      </c>
      <c r="L741" s="134">
        <f>ROUND(Market_Data[[#This Row],[Estimated Built Up Area (sq m)]]*Market_Data[[#This Row],[Concrete Intensity
(m³ / sq m)]],0)</f>
        <v>900</v>
      </c>
      <c r="M741" s="135">
        <f>_xlfn.XLOOKUP(Market_Data[[#This Row],[District]],tbl_district_price[District],tbl_district_price[Standard Price
(INR/m³)],"",0)</f>
        <v>6200</v>
      </c>
      <c r="N741" s="364">
        <f>IF(OR(Market_Data[[#This Row],[Estimated Concrete Demand (m³)]]="",Market_Data[[#This Row],[Avg Price per (₹ / m³)]]=""),"",Market_Data[[#This Row],[Estimated Concrete Demand (m³)]]*Market_Data[[#This Row],[Avg Price per (₹ / m³)]]/10000000)</f>
        <v>0.55800000000000005</v>
      </c>
      <c r="O741" s="97" t="str">
        <f>IF(Market_Data[[#This Row],[Estimated Concrete Demand (m³)]]="","",
IF(Market_Data[[#This Row],[Estimated Concrete Demand (m³)]]&lt;10000,"Small",
IF(Market_Data[[#This Row],[Estimated Concrete Demand (m³)]]&lt;25000,"Medium",
IF(Market_Data[[#This Row],[Estimated Concrete Demand (m³)]]&lt;100000,"Large","Mega"))))</f>
        <v>Small</v>
      </c>
      <c r="P741" s="287" t="str">
        <f t="shared" si="13"/>
        <v>GujRERA</v>
      </c>
    </row>
    <row r="742" spans="1:16">
      <c r="A742" s="129" t="str">
        <f>_xlfn.XLOOKUP(B742,$S$9:$S$14,$T$9:$T$14)&amp;"-"&amp;
IF(E742="Residential/Group Housing","RES",
IF(E742="Commercial","COM",
IF(E742="Mixed Development","MIX",
IF(E742="Plotted Development","PLT","OTH"))))
&amp;"-"&amp;TEXT(COUNTIFS($B$9:B742,B742,$E$9:E742,E742),"0000")</f>
        <v>SUR-COM-0076</v>
      </c>
      <c r="B742" s="322" t="s">
        <v>34</v>
      </c>
      <c r="C742" s="322" t="s">
        <v>34</v>
      </c>
      <c r="D742" s="323" t="s">
        <v>932</v>
      </c>
      <c r="E742" s="132" t="s">
        <v>23</v>
      </c>
      <c r="F742" s="97" t="str">
        <f ca="1">IF(OR(Market_Data[[#This Row],[Start Date]]="",Market_Data[[#This Row],[Completion Date]]=""),"Needs Validation",IF(Market_Data[[#This Row],[Start Date]]&gt;TODAY(),"Planned",IF(Market_Data[[#This Row],[Completion Date]]&lt;TODAY(),"Completed","Ongoing")))</f>
        <v>Completed</v>
      </c>
      <c r="G742" s="324">
        <v>43191</v>
      </c>
      <c r="H742" s="324">
        <v>45559</v>
      </c>
      <c r="I742" s="325">
        <v>6000</v>
      </c>
      <c r="J74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42" s="133">
        <f>_xlfn.XLOOKUP(Market_Data[[#This Row],[Project Type]],tbl_assumptions_market[Project Category (RERA)],tbl_assumptions_market[Concrete Intensity
(m³ / sq m BUA)],"",0)</f>
        <v>0.5</v>
      </c>
      <c r="L742" s="134">
        <f>ROUND(Market_Data[[#This Row],[Estimated Built Up Area (sq m)]]*Market_Data[[#This Row],[Concrete Intensity
(m³ / sq m)]],0)</f>
        <v>3000</v>
      </c>
      <c r="M742" s="135">
        <f>_xlfn.XLOOKUP(Market_Data[[#This Row],[District]],tbl_district_price[District],tbl_district_price[Standard Price
(INR/m³)],"",0)</f>
        <v>6200</v>
      </c>
      <c r="N742" s="364">
        <f>IF(OR(Market_Data[[#This Row],[Estimated Concrete Demand (m³)]]="",Market_Data[[#This Row],[Avg Price per (₹ / m³)]]=""),"",Market_Data[[#This Row],[Estimated Concrete Demand (m³)]]*Market_Data[[#This Row],[Avg Price per (₹ / m³)]]/10000000)</f>
        <v>1.86</v>
      </c>
      <c r="O742" s="97" t="str">
        <f>IF(Market_Data[[#This Row],[Estimated Concrete Demand (m³)]]="","",
IF(Market_Data[[#This Row],[Estimated Concrete Demand (m³)]]&lt;10000,"Small",
IF(Market_Data[[#This Row],[Estimated Concrete Demand (m³)]]&lt;25000,"Medium",
IF(Market_Data[[#This Row],[Estimated Concrete Demand (m³)]]&lt;100000,"Large","Mega"))))</f>
        <v>Small</v>
      </c>
      <c r="P742" s="287" t="str">
        <f t="shared" si="13"/>
        <v>GujRERA</v>
      </c>
    </row>
    <row r="743" spans="1:16">
      <c r="A743" s="129" t="str">
        <f>_xlfn.XLOOKUP(B743,$S$9:$S$14,$T$9:$T$14)&amp;"-"&amp;
IF(E743="Residential/Group Housing","RES",
IF(E743="Commercial","COM",
IF(E743="Mixed Development","MIX",
IF(E743="Plotted Development","PLT","OTH"))))
&amp;"-"&amp;TEXT(COUNTIFS($B$9:B743,B743,$E$9:E743,E743),"0000")</f>
        <v>SUR-MIX-0081</v>
      </c>
      <c r="B743" s="322" t="s">
        <v>34</v>
      </c>
      <c r="C743" s="322" t="s">
        <v>34</v>
      </c>
      <c r="D743" s="323" t="s">
        <v>933</v>
      </c>
      <c r="E743" s="132" t="s">
        <v>25</v>
      </c>
      <c r="F743" s="97" t="str">
        <f ca="1">IF(OR(Market_Data[[#This Row],[Start Date]]="",Market_Data[[#This Row],[Completion Date]]=""),"Needs Validation",IF(Market_Data[[#This Row],[Start Date]]&gt;TODAY(),"Planned",IF(Market_Data[[#This Row],[Completion Date]]&lt;TODAY(),"Completed","Ongoing")))</f>
        <v>Completed</v>
      </c>
      <c r="G743" s="324">
        <v>43313</v>
      </c>
      <c r="H743" s="324">
        <v>44742</v>
      </c>
      <c r="I743" s="325">
        <v>58500</v>
      </c>
      <c r="J74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43" s="133">
        <f>_xlfn.XLOOKUP(Market_Data[[#This Row],[Project Type]],tbl_assumptions_market[Project Category (RERA)],tbl_assumptions_market[Concrete Intensity
(m³ / sq m BUA)],"",0)</f>
        <v>0.42</v>
      </c>
      <c r="L743" s="134">
        <f>ROUND(Market_Data[[#This Row],[Estimated Built Up Area (sq m)]]*Market_Data[[#This Row],[Concrete Intensity
(m³ / sq m)]],0)</f>
        <v>24570</v>
      </c>
      <c r="M743" s="135">
        <f>_xlfn.XLOOKUP(Market_Data[[#This Row],[District]],tbl_district_price[District],tbl_district_price[Standard Price
(INR/m³)],"",0)</f>
        <v>6200</v>
      </c>
      <c r="N743" s="364">
        <f>IF(OR(Market_Data[[#This Row],[Estimated Concrete Demand (m³)]]="",Market_Data[[#This Row],[Avg Price per (₹ / m³)]]=""),"",Market_Data[[#This Row],[Estimated Concrete Demand (m³)]]*Market_Data[[#This Row],[Avg Price per (₹ / m³)]]/10000000)</f>
        <v>15.2334</v>
      </c>
      <c r="O743" s="97" t="str">
        <f>IF(Market_Data[[#This Row],[Estimated Concrete Demand (m³)]]="","",
IF(Market_Data[[#This Row],[Estimated Concrete Demand (m³)]]&lt;10000,"Small",
IF(Market_Data[[#This Row],[Estimated Concrete Demand (m³)]]&lt;25000,"Medium",
IF(Market_Data[[#This Row],[Estimated Concrete Demand (m³)]]&lt;100000,"Large","Mega"))))</f>
        <v>Medium</v>
      </c>
      <c r="P743" s="287" t="str">
        <f t="shared" si="13"/>
        <v>GujRERA</v>
      </c>
    </row>
    <row r="744" spans="1:16">
      <c r="A744" s="129" t="str">
        <f>_xlfn.XLOOKUP(B744,$S$9:$S$14,$T$9:$T$14)&amp;"-"&amp;
IF(E744="Residential/Group Housing","RES",
IF(E744="Commercial","COM",
IF(E744="Mixed Development","MIX",
IF(E744="Plotted Development","PLT","OTH"))))
&amp;"-"&amp;TEXT(COUNTIFS($B$9:B744,B744,$E$9:E744,E744),"0000")</f>
        <v>SUR-PLT-0098</v>
      </c>
      <c r="B744" s="322" t="s">
        <v>34</v>
      </c>
      <c r="C744" s="322" t="s">
        <v>34</v>
      </c>
      <c r="D744" s="323" t="s">
        <v>934</v>
      </c>
      <c r="E744" s="132" t="s">
        <v>26</v>
      </c>
      <c r="F744" s="97" t="str">
        <f ca="1">IF(OR(Market_Data[[#This Row],[Start Date]]="",Market_Data[[#This Row],[Completion Date]]=""),"Needs Validation",IF(Market_Data[[#This Row],[Start Date]]&gt;TODAY(),"Planned",IF(Market_Data[[#This Row],[Completion Date]]&lt;TODAY(),"Completed","Ongoing")))</f>
        <v>Completed</v>
      </c>
      <c r="G744" s="324">
        <v>42970</v>
      </c>
      <c r="H744" s="324">
        <v>44439</v>
      </c>
      <c r="I744" s="325">
        <v>45900</v>
      </c>
      <c r="J74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744" s="133">
        <f>_xlfn.XLOOKUP(Market_Data[[#This Row],[Project Type]],tbl_assumptions_market[Project Category (RERA)],tbl_assumptions_market[Concrete Intensity
(m³ / sq m BUA)],"",0)</f>
        <v>0.18</v>
      </c>
      <c r="L744" s="134">
        <f>ROUND(Market_Data[[#This Row],[Estimated Built Up Area (sq m)]]*Market_Data[[#This Row],[Concrete Intensity
(m³ / sq m)]],0)</f>
        <v>8262</v>
      </c>
      <c r="M744" s="135">
        <f>_xlfn.XLOOKUP(Market_Data[[#This Row],[District]],tbl_district_price[District],tbl_district_price[Standard Price
(INR/m³)],"",0)</f>
        <v>6200</v>
      </c>
      <c r="N744" s="364">
        <f>IF(OR(Market_Data[[#This Row],[Estimated Concrete Demand (m³)]]="",Market_Data[[#This Row],[Avg Price per (₹ / m³)]]=""),"",Market_Data[[#This Row],[Estimated Concrete Demand (m³)]]*Market_Data[[#This Row],[Avg Price per (₹ / m³)]]/10000000)</f>
        <v>5.1224400000000001</v>
      </c>
      <c r="O744" s="97" t="str">
        <f>IF(Market_Data[[#This Row],[Estimated Concrete Demand (m³)]]="","",
IF(Market_Data[[#This Row],[Estimated Concrete Demand (m³)]]&lt;10000,"Small",
IF(Market_Data[[#This Row],[Estimated Concrete Demand (m³)]]&lt;25000,"Medium",
IF(Market_Data[[#This Row],[Estimated Concrete Demand (m³)]]&lt;100000,"Large","Mega"))))</f>
        <v>Small</v>
      </c>
      <c r="P744" s="287" t="str">
        <f t="shared" si="13"/>
        <v>GujRERA</v>
      </c>
    </row>
    <row r="745" spans="1:16">
      <c r="A745" s="129" t="str">
        <f>_xlfn.XLOOKUP(B745,$S$9:$S$14,$T$9:$T$14)&amp;"-"&amp;
IF(E745="Residential/Group Housing","RES",
IF(E745="Commercial","COM",
IF(E745="Mixed Development","MIX",
IF(E745="Plotted Development","PLT","OTH"))))
&amp;"-"&amp;TEXT(COUNTIFS($B$9:B745,B745,$E$9:E745,E745),"0000")</f>
        <v>SUR-PLT-0099</v>
      </c>
      <c r="B745" s="322" t="s">
        <v>34</v>
      </c>
      <c r="C745" s="322" t="s">
        <v>34</v>
      </c>
      <c r="D745" s="323" t="s">
        <v>935</v>
      </c>
      <c r="E745" s="132" t="s">
        <v>26</v>
      </c>
      <c r="F745" s="97" t="str">
        <f ca="1">IF(OR(Market_Data[[#This Row],[Start Date]]="",Market_Data[[#This Row],[Completion Date]]=""),"Needs Validation",IF(Market_Data[[#This Row],[Start Date]]&gt;TODAY(),"Planned",IF(Market_Data[[#This Row],[Completion Date]]&lt;TODAY(),"Completed","Ongoing")))</f>
        <v>Ongoing</v>
      </c>
      <c r="G745" s="324">
        <v>45560</v>
      </c>
      <c r="H745" s="324">
        <v>46752</v>
      </c>
      <c r="I745" s="325">
        <v>42700</v>
      </c>
      <c r="J74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745" s="133">
        <f>_xlfn.XLOOKUP(Market_Data[[#This Row],[Project Type]],tbl_assumptions_market[Project Category (RERA)],tbl_assumptions_market[Concrete Intensity
(m³ / sq m BUA)],"",0)</f>
        <v>0.18</v>
      </c>
      <c r="L745" s="134">
        <f>ROUND(Market_Data[[#This Row],[Estimated Built Up Area (sq m)]]*Market_Data[[#This Row],[Concrete Intensity
(m³ / sq m)]],0)</f>
        <v>7686</v>
      </c>
      <c r="M745" s="135">
        <f>_xlfn.XLOOKUP(Market_Data[[#This Row],[District]],tbl_district_price[District],tbl_district_price[Standard Price
(INR/m³)],"",0)</f>
        <v>6200</v>
      </c>
      <c r="N745" s="364">
        <f>IF(OR(Market_Data[[#This Row],[Estimated Concrete Demand (m³)]]="",Market_Data[[#This Row],[Avg Price per (₹ / m³)]]=""),"",Market_Data[[#This Row],[Estimated Concrete Demand (m³)]]*Market_Data[[#This Row],[Avg Price per (₹ / m³)]]/10000000)</f>
        <v>4.76532</v>
      </c>
      <c r="O745" s="97" t="str">
        <f>IF(Market_Data[[#This Row],[Estimated Concrete Demand (m³)]]="","",
IF(Market_Data[[#This Row],[Estimated Concrete Demand (m³)]]&lt;10000,"Small",
IF(Market_Data[[#This Row],[Estimated Concrete Demand (m³)]]&lt;25000,"Medium",
IF(Market_Data[[#This Row],[Estimated Concrete Demand (m³)]]&lt;100000,"Large","Mega"))))</f>
        <v>Small</v>
      </c>
      <c r="P745" s="287" t="str">
        <f t="shared" si="13"/>
        <v>GujRERA</v>
      </c>
    </row>
    <row r="746" spans="1:16">
      <c r="A746" s="129" t="str">
        <f>_xlfn.XLOOKUP(B746,$S$9:$S$14,$T$9:$T$14)&amp;"-"&amp;
IF(E746="Residential/Group Housing","RES",
IF(E746="Commercial","COM",
IF(E746="Mixed Development","MIX",
IF(E746="Plotted Development","PLT","OTH"))))
&amp;"-"&amp;TEXT(COUNTIFS($B$9:B746,B746,$E$9:E746,E746),"0000")</f>
        <v>SUR-PLT-0100</v>
      </c>
      <c r="B746" s="322" t="s">
        <v>34</v>
      </c>
      <c r="C746" s="322" t="s">
        <v>34</v>
      </c>
      <c r="D746" s="323" t="s">
        <v>936</v>
      </c>
      <c r="E746" s="132" t="s">
        <v>26</v>
      </c>
      <c r="F746" s="97" t="str">
        <f ca="1">IF(OR(Market_Data[[#This Row],[Start Date]]="",Market_Data[[#This Row],[Completion Date]]=""),"Needs Validation",IF(Market_Data[[#This Row],[Start Date]]&gt;TODAY(),"Planned",IF(Market_Data[[#This Row],[Completion Date]]&lt;TODAY(),"Completed","Ongoing")))</f>
        <v>Completed</v>
      </c>
      <c r="G746" s="324">
        <v>45007</v>
      </c>
      <c r="H746" s="324">
        <v>46022</v>
      </c>
      <c r="I746" s="325">
        <v>20800</v>
      </c>
      <c r="J74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46" s="133">
        <f>_xlfn.XLOOKUP(Market_Data[[#This Row],[Project Type]],tbl_assumptions_market[Project Category (RERA)],tbl_assumptions_market[Concrete Intensity
(m³ / sq m BUA)],"",0)</f>
        <v>0.18</v>
      </c>
      <c r="L746" s="134">
        <f>ROUND(Market_Data[[#This Row],[Estimated Built Up Area (sq m)]]*Market_Data[[#This Row],[Concrete Intensity
(m³ / sq m)]],0)</f>
        <v>3744</v>
      </c>
      <c r="M746" s="135">
        <f>_xlfn.XLOOKUP(Market_Data[[#This Row],[District]],tbl_district_price[District],tbl_district_price[Standard Price
(INR/m³)],"",0)</f>
        <v>6200</v>
      </c>
      <c r="N746" s="364">
        <f>IF(OR(Market_Data[[#This Row],[Estimated Concrete Demand (m³)]]="",Market_Data[[#This Row],[Avg Price per (₹ / m³)]]=""),"",Market_Data[[#This Row],[Estimated Concrete Demand (m³)]]*Market_Data[[#This Row],[Avg Price per (₹ / m³)]]/10000000)</f>
        <v>2.3212799999999998</v>
      </c>
      <c r="O746" s="97" t="str">
        <f>IF(Market_Data[[#This Row],[Estimated Concrete Demand (m³)]]="","",
IF(Market_Data[[#This Row],[Estimated Concrete Demand (m³)]]&lt;10000,"Small",
IF(Market_Data[[#This Row],[Estimated Concrete Demand (m³)]]&lt;25000,"Medium",
IF(Market_Data[[#This Row],[Estimated Concrete Demand (m³)]]&lt;100000,"Large","Mega"))))</f>
        <v>Small</v>
      </c>
      <c r="P746" s="287" t="str">
        <f t="shared" si="13"/>
        <v>GujRERA</v>
      </c>
    </row>
    <row r="747" spans="1:16">
      <c r="A747" s="129" t="str">
        <f>_xlfn.XLOOKUP(B747,$S$9:$S$14,$T$9:$T$14)&amp;"-"&amp;
IF(E747="Residential/Group Housing","RES",
IF(E747="Commercial","COM",
IF(E747="Mixed Development","MIX",
IF(E747="Plotted Development","PLT","OTH"))))
&amp;"-"&amp;TEXT(COUNTIFS($B$9:B747,B747,$E$9:E747,E747),"0000")</f>
        <v>SUR-PLT-0101</v>
      </c>
      <c r="B747" s="322" t="s">
        <v>34</v>
      </c>
      <c r="C747" s="322" t="s">
        <v>34</v>
      </c>
      <c r="D747" s="323" t="s">
        <v>937</v>
      </c>
      <c r="E747" s="132" t="s">
        <v>26</v>
      </c>
      <c r="F747" s="97" t="str">
        <f ca="1">IF(OR(Market_Data[[#This Row],[Start Date]]="",Market_Data[[#This Row],[Completion Date]]=""),"Needs Validation",IF(Market_Data[[#This Row],[Start Date]]&gt;TODAY(),"Planned",IF(Market_Data[[#This Row],[Completion Date]]&lt;TODAY(),"Completed","Ongoing")))</f>
        <v>Completed</v>
      </c>
      <c r="G747" s="324">
        <v>44197</v>
      </c>
      <c r="H747" s="324">
        <v>44926</v>
      </c>
      <c r="I747" s="325">
        <v>14600</v>
      </c>
      <c r="J74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47" s="133">
        <f>_xlfn.XLOOKUP(Market_Data[[#This Row],[Project Type]],tbl_assumptions_market[Project Category (RERA)],tbl_assumptions_market[Concrete Intensity
(m³ / sq m BUA)],"",0)</f>
        <v>0.18</v>
      </c>
      <c r="L747" s="134">
        <f>ROUND(Market_Data[[#This Row],[Estimated Built Up Area (sq m)]]*Market_Data[[#This Row],[Concrete Intensity
(m³ / sq m)]],0)</f>
        <v>2628</v>
      </c>
      <c r="M747" s="135">
        <f>_xlfn.XLOOKUP(Market_Data[[#This Row],[District]],tbl_district_price[District],tbl_district_price[Standard Price
(INR/m³)],"",0)</f>
        <v>6200</v>
      </c>
      <c r="N747" s="364">
        <f>IF(OR(Market_Data[[#This Row],[Estimated Concrete Demand (m³)]]="",Market_Data[[#This Row],[Avg Price per (₹ / m³)]]=""),"",Market_Data[[#This Row],[Estimated Concrete Demand (m³)]]*Market_Data[[#This Row],[Avg Price per (₹ / m³)]]/10000000)</f>
        <v>1.6293599999999999</v>
      </c>
      <c r="O747" s="97" t="str">
        <f>IF(Market_Data[[#This Row],[Estimated Concrete Demand (m³)]]="","",
IF(Market_Data[[#This Row],[Estimated Concrete Demand (m³)]]&lt;10000,"Small",
IF(Market_Data[[#This Row],[Estimated Concrete Demand (m³)]]&lt;25000,"Medium",
IF(Market_Data[[#This Row],[Estimated Concrete Demand (m³)]]&lt;100000,"Large","Mega"))))</f>
        <v>Small</v>
      </c>
      <c r="P747" s="287" t="str">
        <f t="shared" si="13"/>
        <v>GujRERA</v>
      </c>
    </row>
    <row r="748" spans="1:16">
      <c r="A748" s="129" t="str">
        <f>_xlfn.XLOOKUP(B748,$S$9:$S$14,$T$9:$T$14)&amp;"-"&amp;
IF(E748="Residential/Group Housing","RES",
IF(E748="Commercial","COM",
IF(E748="Mixed Development","MIX",
IF(E748="Plotted Development","PLT","OTH"))))
&amp;"-"&amp;TEXT(COUNTIFS($B$9:B748,B748,$E$9:E748,E748),"0000")</f>
        <v>SUR-PLT-0102</v>
      </c>
      <c r="B748" s="322" t="s">
        <v>34</v>
      </c>
      <c r="C748" s="322" t="s">
        <v>34</v>
      </c>
      <c r="D748" s="323" t="s">
        <v>938</v>
      </c>
      <c r="E748" s="132" t="s">
        <v>26</v>
      </c>
      <c r="F748" s="97" t="str">
        <f ca="1">IF(OR(Market_Data[[#This Row],[Start Date]]="",Market_Data[[#This Row],[Completion Date]]=""),"Needs Validation",IF(Market_Data[[#This Row],[Start Date]]&gt;TODAY(),"Planned",IF(Market_Data[[#This Row],[Completion Date]]&lt;TODAY(),"Completed","Ongoing")))</f>
        <v>Ongoing</v>
      </c>
      <c r="G748" s="324">
        <v>44895</v>
      </c>
      <c r="H748" s="324">
        <v>46752</v>
      </c>
      <c r="I748" s="325">
        <v>53800</v>
      </c>
      <c r="J74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748" s="133">
        <f>_xlfn.XLOOKUP(Market_Data[[#This Row],[Project Type]],tbl_assumptions_market[Project Category (RERA)],tbl_assumptions_market[Concrete Intensity
(m³ / sq m BUA)],"",0)</f>
        <v>0.18</v>
      </c>
      <c r="L748" s="134">
        <f>ROUND(Market_Data[[#This Row],[Estimated Built Up Area (sq m)]]*Market_Data[[#This Row],[Concrete Intensity
(m³ / sq m)]],0)</f>
        <v>9684</v>
      </c>
      <c r="M748" s="135">
        <f>_xlfn.XLOOKUP(Market_Data[[#This Row],[District]],tbl_district_price[District],tbl_district_price[Standard Price
(INR/m³)],"",0)</f>
        <v>6200</v>
      </c>
      <c r="N748" s="364">
        <f>IF(OR(Market_Data[[#This Row],[Estimated Concrete Demand (m³)]]="",Market_Data[[#This Row],[Avg Price per (₹ / m³)]]=""),"",Market_Data[[#This Row],[Estimated Concrete Demand (m³)]]*Market_Data[[#This Row],[Avg Price per (₹ / m³)]]/10000000)</f>
        <v>6.0040800000000001</v>
      </c>
      <c r="O748" s="97" t="str">
        <f>IF(Market_Data[[#This Row],[Estimated Concrete Demand (m³)]]="","",
IF(Market_Data[[#This Row],[Estimated Concrete Demand (m³)]]&lt;10000,"Small",
IF(Market_Data[[#This Row],[Estimated Concrete Demand (m³)]]&lt;25000,"Medium",
IF(Market_Data[[#This Row],[Estimated Concrete Demand (m³)]]&lt;100000,"Large","Mega"))))</f>
        <v>Small</v>
      </c>
      <c r="P748" s="287" t="str">
        <f t="shared" si="13"/>
        <v>GujRERA</v>
      </c>
    </row>
    <row r="749" spans="1:16">
      <c r="A749" s="129" t="str">
        <f>_xlfn.XLOOKUP(B749,$S$9:$S$14,$T$9:$T$14)&amp;"-"&amp;
IF(E749="Residential/Group Housing","RES",
IF(E749="Commercial","COM",
IF(E749="Mixed Development","MIX",
IF(E749="Plotted Development","PLT","OTH"))))
&amp;"-"&amp;TEXT(COUNTIFS($B$9:B749,B749,$E$9:E749,E749),"0000")</f>
        <v>SUR-PLT-0103</v>
      </c>
      <c r="B749" s="322" t="s">
        <v>34</v>
      </c>
      <c r="C749" s="322" t="s">
        <v>34</v>
      </c>
      <c r="D749" s="323" t="s">
        <v>939</v>
      </c>
      <c r="E749" s="132" t="s">
        <v>26</v>
      </c>
      <c r="F749" s="97" t="str">
        <f ca="1">IF(OR(Market_Data[[#This Row],[Start Date]]="",Market_Data[[#This Row],[Completion Date]]=""),"Needs Validation",IF(Market_Data[[#This Row],[Start Date]]&gt;TODAY(),"Planned",IF(Market_Data[[#This Row],[Completion Date]]&lt;TODAY(),"Completed","Ongoing")))</f>
        <v>Completed</v>
      </c>
      <c r="G749" s="324">
        <v>44602</v>
      </c>
      <c r="H749" s="324">
        <v>45657</v>
      </c>
      <c r="I749" s="325">
        <v>20000</v>
      </c>
      <c r="J74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49" s="133">
        <f>_xlfn.XLOOKUP(Market_Data[[#This Row],[Project Type]],tbl_assumptions_market[Project Category (RERA)],tbl_assumptions_market[Concrete Intensity
(m³ / sq m BUA)],"",0)</f>
        <v>0.18</v>
      </c>
      <c r="L749" s="134">
        <f>ROUND(Market_Data[[#This Row],[Estimated Built Up Area (sq m)]]*Market_Data[[#This Row],[Concrete Intensity
(m³ / sq m)]],0)</f>
        <v>3600</v>
      </c>
      <c r="M749" s="135">
        <f>_xlfn.XLOOKUP(Market_Data[[#This Row],[District]],tbl_district_price[District],tbl_district_price[Standard Price
(INR/m³)],"",0)</f>
        <v>6200</v>
      </c>
      <c r="N749" s="364">
        <f>IF(OR(Market_Data[[#This Row],[Estimated Concrete Demand (m³)]]="",Market_Data[[#This Row],[Avg Price per (₹ / m³)]]=""),"",Market_Data[[#This Row],[Estimated Concrete Demand (m³)]]*Market_Data[[#This Row],[Avg Price per (₹ / m³)]]/10000000)</f>
        <v>2.2320000000000002</v>
      </c>
      <c r="O749" s="97" t="str">
        <f>IF(Market_Data[[#This Row],[Estimated Concrete Demand (m³)]]="","",
IF(Market_Data[[#This Row],[Estimated Concrete Demand (m³)]]&lt;10000,"Small",
IF(Market_Data[[#This Row],[Estimated Concrete Demand (m³)]]&lt;25000,"Medium",
IF(Market_Data[[#This Row],[Estimated Concrete Demand (m³)]]&lt;100000,"Large","Mega"))))</f>
        <v>Small</v>
      </c>
      <c r="P749" s="287" t="str">
        <f t="shared" si="13"/>
        <v>GujRERA</v>
      </c>
    </row>
    <row r="750" spans="1:16">
      <c r="A750" s="129" t="str">
        <f>_xlfn.XLOOKUP(B750,$S$9:$S$14,$T$9:$T$14)&amp;"-"&amp;
IF(E750="Residential/Group Housing","RES",
IF(E750="Commercial","COM",
IF(E750="Mixed Development","MIX",
IF(E750="Plotted Development","PLT","OTH"))))
&amp;"-"&amp;TEXT(COUNTIFS($B$9:B750,B750,$E$9:E750,E750),"0000")</f>
        <v>SUR-COM-0077</v>
      </c>
      <c r="B750" s="322" t="s">
        <v>34</v>
      </c>
      <c r="C750" s="322" t="s">
        <v>34</v>
      </c>
      <c r="D750" s="323" t="s">
        <v>940</v>
      </c>
      <c r="E750" s="132" t="s">
        <v>23</v>
      </c>
      <c r="F750" s="97" t="str">
        <f ca="1">IF(OR(Market_Data[[#This Row],[Start Date]]="",Market_Data[[#This Row],[Completion Date]]=""),"Needs Validation",IF(Market_Data[[#This Row],[Start Date]]&gt;TODAY(),"Planned",IF(Market_Data[[#This Row],[Completion Date]]&lt;TODAY(),"Completed","Ongoing")))</f>
        <v>Ongoing</v>
      </c>
      <c r="G750" s="324">
        <v>45287</v>
      </c>
      <c r="H750" s="324">
        <v>46538</v>
      </c>
      <c r="I750" s="325">
        <v>19300</v>
      </c>
      <c r="J75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50" s="133">
        <f>_xlfn.XLOOKUP(Market_Data[[#This Row],[Project Type]],tbl_assumptions_market[Project Category (RERA)],tbl_assumptions_market[Concrete Intensity
(m³ / sq m BUA)],"",0)</f>
        <v>0.5</v>
      </c>
      <c r="L750" s="134">
        <f>ROUND(Market_Data[[#This Row],[Estimated Built Up Area (sq m)]]*Market_Data[[#This Row],[Concrete Intensity
(m³ / sq m)]],0)</f>
        <v>9650</v>
      </c>
      <c r="M750" s="135">
        <f>_xlfn.XLOOKUP(Market_Data[[#This Row],[District]],tbl_district_price[District],tbl_district_price[Standard Price
(INR/m³)],"",0)</f>
        <v>6200</v>
      </c>
      <c r="N750" s="364">
        <f>IF(OR(Market_Data[[#This Row],[Estimated Concrete Demand (m³)]]="",Market_Data[[#This Row],[Avg Price per (₹ / m³)]]=""),"",Market_Data[[#This Row],[Estimated Concrete Demand (m³)]]*Market_Data[[#This Row],[Avg Price per (₹ / m³)]]/10000000)</f>
        <v>5.9829999999999997</v>
      </c>
      <c r="O750" s="97" t="str">
        <f>IF(Market_Data[[#This Row],[Estimated Concrete Demand (m³)]]="","",
IF(Market_Data[[#This Row],[Estimated Concrete Demand (m³)]]&lt;10000,"Small",
IF(Market_Data[[#This Row],[Estimated Concrete Demand (m³)]]&lt;25000,"Medium",
IF(Market_Data[[#This Row],[Estimated Concrete Demand (m³)]]&lt;100000,"Large","Mega"))))</f>
        <v>Small</v>
      </c>
      <c r="P750" s="287" t="str">
        <f t="shared" si="13"/>
        <v>GujRERA</v>
      </c>
    </row>
    <row r="751" spans="1:16">
      <c r="A751" s="129" t="str">
        <f>_xlfn.XLOOKUP(B751,$S$9:$S$14,$T$9:$T$14)&amp;"-"&amp;
IF(E751="Residential/Group Housing","RES",
IF(E751="Commercial","COM",
IF(E751="Mixed Development","MIX",
IF(E751="Plotted Development","PLT","OTH"))))
&amp;"-"&amp;TEXT(COUNTIFS($B$9:B751,B751,$E$9:E751,E751),"0000")</f>
        <v>SUR-RES-0172</v>
      </c>
      <c r="B751" s="322" t="s">
        <v>34</v>
      </c>
      <c r="C751" s="322" t="s">
        <v>34</v>
      </c>
      <c r="D751" s="323" t="s">
        <v>941</v>
      </c>
      <c r="E751" s="132" t="s">
        <v>24</v>
      </c>
      <c r="F751" s="97" t="str">
        <f ca="1">IF(OR(Market_Data[[#This Row],[Start Date]]="",Market_Data[[#This Row],[Completion Date]]=""),"Needs Validation",IF(Market_Data[[#This Row],[Start Date]]&gt;TODAY(),"Planned",IF(Market_Data[[#This Row],[Completion Date]]&lt;TODAY(),"Completed","Ongoing")))</f>
        <v>Completed</v>
      </c>
      <c r="G751" s="324">
        <v>43252</v>
      </c>
      <c r="H751" s="324">
        <v>45930</v>
      </c>
      <c r="I751" s="325">
        <v>21500</v>
      </c>
      <c r="J75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51" s="133">
        <f>_xlfn.XLOOKUP(Market_Data[[#This Row],[Project Type]],tbl_assumptions_market[Project Category (RERA)],tbl_assumptions_market[Concrete Intensity
(m³ / sq m BUA)],"",0)</f>
        <v>0.45</v>
      </c>
      <c r="L751" s="134">
        <f>ROUND(Market_Data[[#This Row],[Estimated Built Up Area (sq m)]]*Market_Data[[#This Row],[Concrete Intensity
(m³ / sq m)]],0)</f>
        <v>9675</v>
      </c>
      <c r="M751" s="135">
        <f>_xlfn.XLOOKUP(Market_Data[[#This Row],[District]],tbl_district_price[District],tbl_district_price[Standard Price
(INR/m³)],"",0)</f>
        <v>6200</v>
      </c>
      <c r="N751" s="364">
        <f>IF(OR(Market_Data[[#This Row],[Estimated Concrete Demand (m³)]]="",Market_Data[[#This Row],[Avg Price per (₹ / m³)]]=""),"",Market_Data[[#This Row],[Estimated Concrete Demand (m³)]]*Market_Data[[#This Row],[Avg Price per (₹ / m³)]]/10000000)</f>
        <v>5.9984999999999999</v>
      </c>
      <c r="O751" s="97" t="str">
        <f>IF(Market_Data[[#This Row],[Estimated Concrete Demand (m³)]]="","",
IF(Market_Data[[#This Row],[Estimated Concrete Demand (m³)]]&lt;10000,"Small",
IF(Market_Data[[#This Row],[Estimated Concrete Demand (m³)]]&lt;25000,"Medium",
IF(Market_Data[[#This Row],[Estimated Concrete Demand (m³)]]&lt;100000,"Large","Mega"))))</f>
        <v>Small</v>
      </c>
      <c r="P751" s="287" t="str">
        <f t="shared" si="13"/>
        <v>GujRERA</v>
      </c>
    </row>
    <row r="752" spans="1:16">
      <c r="A752" s="129" t="str">
        <f>_xlfn.XLOOKUP(B752,$S$9:$S$14,$T$9:$T$14)&amp;"-"&amp;
IF(E752="Residential/Group Housing","RES",
IF(E752="Commercial","COM",
IF(E752="Mixed Development","MIX",
IF(E752="Plotted Development","PLT","OTH"))))
&amp;"-"&amp;TEXT(COUNTIFS($B$9:B752,B752,$E$9:E752,E752),"0000")</f>
        <v>SUR-PLT-0104</v>
      </c>
      <c r="B752" s="322" t="s">
        <v>34</v>
      </c>
      <c r="C752" s="322" t="s">
        <v>34</v>
      </c>
      <c r="D752" s="323" t="s">
        <v>942</v>
      </c>
      <c r="E752" s="132" t="s">
        <v>26</v>
      </c>
      <c r="F752" s="97" t="str">
        <f ca="1">IF(OR(Market_Data[[#This Row],[Start Date]]="",Market_Data[[#This Row],[Completion Date]]=""),"Needs Validation",IF(Market_Data[[#This Row],[Start Date]]&gt;TODAY(),"Planned",IF(Market_Data[[#This Row],[Completion Date]]&lt;TODAY(),"Completed","Ongoing")))</f>
        <v>Completed</v>
      </c>
      <c r="G752" s="324">
        <v>42346</v>
      </c>
      <c r="H752" s="324">
        <v>44834</v>
      </c>
      <c r="I752" s="325">
        <v>26700</v>
      </c>
      <c r="J75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52" s="133">
        <f>_xlfn.XLOOKUP(Market_Data[[#This Row],[Project Type]],tbl_assumptions_market[Project Category (RERA)],tbl_assumptions_market[Concrete Intensity
(m³ / sq m BUA)],"",0)</f>
        <v>0.18</v>
      </c>
      <c r="L752" s="134">
        <f>ROUND(Market_Data[[#This Row],[Estimated Built Up Area (sq m)]]*Market_Data[[#This Row],[Concrete Intensity
(m³ / sq m)]],0)</f>
        <v>4806</v>
      </c>
      <c r="M752" s="135">
        <f>_xlfn.XLOOKUP(Market_Data[[#This Row],[District]],tbl_district_price[District],tbl_district_price[Standard Price
(INR/m³)],"",0)</f>
        <v>6200</v>
      </c>
      <c r="N752" s="364">
        <f>IF(OR(Market_Data[[#This Row],[Estimated Concrete Demand (m³)]]="",Market_Data[[#This Row],[Avg Price per (₹ / m³)]]=""),"",Market_Data[[#This Row],[Estimated Concrete Demand (m³)]]*Market_Data[[#This Row],[Avg Price per (₹ / m³)]]/10000000)</f>
        <v>2.9797199999999999</v>
      </c>
      <c r="O752" s="97" t="str">
        <f>IF(Market_Data[[#This Row],[Estimated Concrete Demand (m³)]]="","",
IF(Market_Data[[#This Row],[Estimated Concrete Demand (m³)]]&lt;10000,"Small",
IF(Market_Data[[#This Row],[Estimated Concrete Demand (m³)]]&lt;25000,"Medium",
IF(Market_Data[[#This Row],[Estimated Concrete Demand (m³)]]&lt;100000,"Large","Mega"))))</f>
        <v>Small</v>
      </c>
      <c r="P752" s="287" t="str">
        <f t="shared" si="13"/>
        <v>GujRERA</v>
      </c>
    </row>
    <row r="753" spans="1:16">
      <c r="A753" s="129" t="str">
        <f>_xlfn.XLOOKUP(B753,$S$9:$S$14,$T$9:$T$14)&amp;"-"&amp;
IF(E753="Residential/Group Housing","RES",
IF(E753="Commercial","COM",
IF(E753="Mixed Development","MIX",
IF(E753="Plotted Development","PLT","OTH"))))
&amp;"-"&amp;TEXT(COUNTIFS($B$9:B753,B753,$E$9:E753,E753),"0000")</f>
        <v>SUR-RES-0173</v>
      </c>
      <c r="B753" s="322" t="s">
        <v>34</v>
      </c>
      <c r="C753" s="322" t="s">
        <v>34</v>
      </c>
      <c r="D753" s="323" t="s">
        <v>943</v>
      </c>
      <c r="E753" s="132" t="s">
        <v>24</v>
      </c>
      <c r="F753" s="97" t="str">
        <f ca="1">IF(OR(Market_Data[[#This Row],[Start Date]]="",Market_Data[[#This Row],[Completion Date]]=""),"Needs Validation",IF(Market_Data[[#This Row],[Start Date]]&gt;TODAY(),"Planned",IF(Market_Data[[#This Row],[Completion Date]]&lt;TODAY(),"Completed","Ongoing")))</f>
        <v>Ongoing</v>
      </c>
      <c r="G753" s="324">
        <v>45483</v>
      </c>
      <c r="H753" s="324">
        <v>48213</v>
      </c>
      <c r="I753" s="325">
        <v>24000</v>
      </c>
      <c r="J75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53" s="133">
        <f>_xlfn.XLOOKUP(Market_Data[[#This Row],[Project Type]],tbl_assumptions_market[Project Category (RERA)],tbl_assumptions_market[Concrete Intensity
(m³ / sq m BUA)],"",0)</f>
        <v>0.45</v>
      </c>
      <c r="L753" s="134">
        <f>ROUND(Market_Data[[#This Row],[Estimated Built Up Area (sq m)]]*Market_Data[[#This Row],[Concrete Intensity
(m³ / sq m)]],0)</f>
        <v>10800</v>
      </c>
      <c r="M753" s="135">
        <f>_xlfn.XLOOKUP(Market_Data[[#This Row],[District]],tbl_district_price[District],tbl_district_price[Standard Price
(INR/m³)],"",0)</f>
        <v>6200</v>
      </c>
      <c r="N753" s="364">
        <f>IF(OR(Market_Data[[#This Row],[Estimated Concrete Demand (m³)]]="",Market_Data[[#This Row],[Avg Price per (₹ / m³)]]=""),"",Market_Data[[#This Row],[Estimated Concrete Demand (m³)]]*Market_Data[[#This Row],[Avg Price per (₹ / m³)]]/10000000)</f>
        <v>6.6959999999999997</v>
      </c>
      <c r="O753" s="97" t="str">
        <f>IF(Market_Data[[#This Row],[Estimated Concrete Demand (m³)]]="","",
IF(Market_Data[[#This Row],[Estimated Concrete Demand (m³)]]&lt;10000,"Small",
IF(Market_Data[[#This Row],[Estimated Concrete Demand (m³)]]&lt;25000,"Medium",
IF(Market_Data[[#This Row],[Estimated Concrete Demand (m³)]]&lt;100000,"Large","Mega"))))</f>
        <v>Medium</v>
      </c>
      <c r="P753" s="287" t="str">
        <f t="shared" si="13"/>
        <v>GujRERA</v>
      </c>
    </row>
    <row r="754" spans="1:16">
      <c r="A754" s="129" t="str">
        <f>_xlfn.XLOOKUP(B754,$S$9:$S$14,$T$9:$T$14)&amp;"-"&amp;
IF(E754="Residential/Group Housing","RES",
IF(E754="Commercial","COM",
IF(E754="Mixed Development","MIX",
IF(E754="Plotted Development","PLT","OTH"))))
&amp;"-"&amp;TEXT(COUNTIFS($B$9:B754,B754,$E$9:E754,E754),"0000")</f>
        <v>SUR-COM-0078</v>
      </c>
      <c r="B754" s="322" t="s">
        <v>34</v>
      </c>
      <c r="C754" s="322" t="s">
        <v>34</v>
      </c>
      <c r="D754" s="323" t="s">
        <v>944</v>
      </c>
      <c r="E754" s="132" t="s">
        <v>23</v>
      </c>
      <c r="F754" s="97" t="str">
        <f ca="1">IF(OR(Market_Data[[#This Row],[Start Date]]="",Market_Data[[#This Row],[Completion Date]]=""),"Needs Validation",IF(Market_Data[[#This Row],[Start Date]]&gt;TODAY(),"Planned",IF(Market_Data[[#This Row],[Completion Date]]&lt;TODAY(),"Completed","Ongoing")))</f>
        <v>Completed</v>
      </c>
      <c r="G754" s="324">
        <v>43401</v>
      </c>
      <c r="H754" s="324">
        <v>44377</v>
      </c>
      <c r="I754" s="325">
        <v>3200</v>
      </c>
      <c r="J75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54" s="133">
        <f>_xlfn.XLOOKUP(Market_Data[[#This Row],[Project Type]],tbl_assumptions_market[Project Category (RERA)],tbl_assumptions_market[Concrete Intensity
(m³ / sq m BUA)],"",0)</f>
        <v>0.5</v>
      </c>
      <c r="L754" s="134">
        <f>ROUND(Market_Data[[#This Row],[Estimated Built Up Area (sq m)]]*Market_Data[[#This Row],[Concrete Intensity
(m³ / sq m)]],0)</f>
        <v>1600</v>
      </c>
      <c r="M754" s="135">
        <f>_xlfn.XLOOKUP(Market_Data[[#This Row],[District]],tbl_district_price[District],tbl_district_price[Standard Price
(INR/m³)],"",0)</f>
        <v>6200</v>
      </c>
      <c r="N754" s="364">
        <f>IF(OR(Market_Data[[#This Row],[Estimated Concrete Demand (m³)]]="",Market_Data[[#This Row],[Avg Price per (₹ / m³)]]=""),"",Market_Data[[#This Row],[Estimated Concrete Demand (m³)]]*Market_Data[[#This Row],[Avg Price per (₹ / m³)]]/10000000)</f>
        <v>0.99199999999999999</v>
      </c>
      <c r="O754" s="97" t="str">
        <f>IF(Market_Data[[#This Row],[Estimated Concrete Demand (m³)]]="","",
IF(Market_Data[[#This Row],[Estimated Concrete Demand (m³)]]&lt;10000,"Small",
IF(Market_Data[[#This Row],[Estimated Concrete Demand (m³)]]&lt;25000,"Medium",
IF(Market_Data[[#This Row],[Estimated Concrete Demand (m³)]]&lt;100000,"Large","Mega"))))</f>
        <v>Small</v>
      </c>
      <c r="P754" s="287" t="str">
        <f t="shared" si="13"/>
        <v>GujRERA</v>
      </c>
    </row>
    <row r="755" spans="1:16">
      <c r="A755" s="129" t="str">
        <f>_xlfn.XLOOKUP(B755,$S$9:$S$14,$T$9:$T$14)&amp;"-"&amp;
IF(E755="Residential/Group Housing","RES",
IF(E755="Commercial","COM",
IF(E755="Mixed Development","MIX",
IF(E755="Plotted Development","PLT","OTH"))))
&amp;"-"&amp;TEXT(COUNTIFS($B$9:B755,B755,$E$9:E755,E755),"0000")</f>
        <v>SUR-RES-0174</v>
      </c>
      <c r="B755" s="322" t="s">
        <v>34</v>
      </c>
      <c r="C755" s="322" t="s">
        <v>34</v>
      </c>
      <c r="D755" s="323" t="s">
        <v>945</v>
      </c>
      <c r="E755" s="132" t="s">
        <v>24</v>
      </c>
      <c r="F755" s="97" t="str">
        <f ca="1">IF(OR(Market_Data[[#This Row],[Start Date]]="",Market_Data[[#This Row],[Completion Date]]=""),"Needs Validation",IF(Market_Data[[#This Row],[Start Date]]&gt;TODAY(),"Planned",IF(Market_Data[[#This Row],[Completion Date]]&lt;TODAY(),"Completed","Ongoing")))</f>
        <v>Completed</v>
      </c>
      <c r="G755" s="324">
        <v>43591</v>
      </c>
      <c r="H755" s="324">
        <v>44926</v>
      </c>
      <c r="I755" s="325">
        <v>26900</v>
      </c>
      <c r="J75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55" s="133">
        <f>_xlfn.XLOOKUP(Market_Data[[#This Row],[Project Type]],tbl_assumptions_market[Project Category (RERA)],tbl_assumptions_market[Concrete Intensity
(m³ / sq m BUA)],"",0)</f>
        <v>0.45</v>
      </c>
      <c r="L755" s="134">
        <f>ROUND(Market_Data[[#This Row],[Estimated Built Up Area (sq m)]]*Market_Data[[#This Row],[Concrete Intensity
(m³ / sq m)]],0)</f>
        <v>12105</v>
      </c>
      <c r="M755" s="135">
        <f>_xlfn.XLOOKUP(Market_Data[[#This Row],[District]],tbl_district_price[District],tbl_district_price[Standard Price
(INR/m³)],"",0)</f>
        <v>6200</v>
      </c>
      <c r="N755" s="364">
        <f>IF(OR(Market_Data[[#This Row],[Estimated Concrete Demand (m³)]]="",Market_Data[[#This Row],[Avg Price per (₹ / m³)]]=""),"",Market_Data[[#This Row],[Estimated Concrete Demand (m³)]]*Market_Data[[#This Row],[Avg Price per (₹ / m³)]]/10000000)</f>
        <v>7.5050999999999997</v>
      </c>
      <c r="O755" s="97" t="str">
        <f>IF(Market_Data[[#This Row],[Estimated Concrete Demand (m³)]]="","",
IF(Market_Data[[#This Row],[Estimated Concrete Demand (m³)]]&lt;10000,"Small",
IF(Market_Data[[#This Row],[Estimated Concrete Demand (m³)]]&lt;25000,"Medium",
IF(Market_Data[[#This Row],[Estimated Concrete Demand (m³)]]&lt;100000,"Large","Mega"))))</f>
        <v>Medium</v>
      </c>
      <c r="P755" s="287" t="str">
        <f t="shared" si="13"/>
        <v>GujRERA</v>
      </c>
    </row>
    <row r="756" spans="1:16">
      <c r="A756" s="129" t="str">
        <f>_xlfn.XLOOKUP(B756,$S$9:$S$14,$T$9:$T$14)&amp;"-"&amp;
IF(E756="Residential/Group Housing","RES",
IF(E756="Commercial","COM",
IF(E756="Mixed Development","MIX",
IF(E756="Plotted Development","PLT","OTH"))))
&amp;"-"&amp;TEXT(COUNTIFS($B$9:B756,B756,$E$9:E756,E756),"0000")</f>
        <v>SUR-MIX-0082</v>
      </c>
      <c r="B756" s="322" t="s">
        <v>34</v>
      </c>
      <c r="C756" s="322" t="s">
        <v>34</v>
      </c>
      <c r="D756" s="323" t="s">
        <v>946</v>
      </c>
      <c r="E756" s="132" t="s">
        <v>25</v>
      </c>
      <c r="F756" s="97" t="str">
        <f ca="1">IF(OR(Market_Data[[#This Row],[Start Date]]="",Market_Data[[#This Row],[Completion Date]]=""),"Needs Validation",IF(Market_Data[[#This Row],[Start Date]]&gt;TODAY(),"Planned",IF(Market_Data[[#This Row],[Completion Date]]&lt;TODAY(),"Completed","Ongoing")))</f>
        <v>Ongoing</v>
      </c>
      <c r="G756" s="324">
        <v>45785</v>
      </c>
      <c r="H756" s="324">
        <v>47634</v>
      </c>
      <c r="I756" s="325">
        <v>12300</v>
      </c>
      <c r="J75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56" s="133">
        <f>_xlfn.XLOOKUP(Market_Data[[#This Row],[Project Type]],tbl_assumptions_market[Project Category (RERA)],tbl_assumptions_market[Concrete Intensity
(m³ / sq m BUA)],"",0)</f>
        <v>0.42</v>
      </c>
      <c r="L756" s="134">
        <f>ROUND(Market_Data[[#This Row],[Estimated Built Up Area (sq m)]]*Market_Data[[#This Row],[Concrete Intensity
(m³ / sq m)]],0)</f>
        <v>5166</v>
      </c>
      <c r="M756" s="135">
        <f>_xlfn.XLOOKUP(Market_Data[[#This Row],[District]],tbl_district_price[District],tbl_district_price[Standard Price
(INR/m³)],"",0)</f>
        <v>6200</v>
      </c>
      <c r="N756" s="364">
        <f>IF(OR(Market_Data[[#This Row],[Estimated Concrete Demand (m³)]]="",Market_Data[[#This Row],[Avg Price per (₹ / m³)]]=""),"",Market_Data[[#This Row],[Estimated Concrete Demand (m³)]]*Market_Data[[#This Row],[Avg Price per (₹ / m³)]]/10000000)</f>
        <v>3.2029200000000002</v>
      </c>
      <c r="O756" s="97" t="str">
        <f>IF(Market_Data[[#This Row],[Estimated Concrete Demand (m³)]]="","",
IF(Market_Data[[#This Row],[Estimated Concrete Demand (m³)]]&lt;10000,"Small",
IF(Market_Data[[#This Row],[Estimated Concrete Demand (m³)]]&lt;25000,"Medium",
IF(Market_Data[[#This Row],[Estimated Concrete Demand (m³)]]&lt;100000,"Large","Mega"))))</f>
        <v>Small</v>
      </c>
      <c r="P756" s="287" t="str">
        <f t="shared" si="13"/>
        <v>GujRERA</v>
      </c>
    </row>
    <row r="757" spans="1:16">
      <c r="A757" s="129" t="str">
        <f>_xlfn.XLOOKUP(B757,$S$9:$S$14,$T$9:$T$14)&amp;"-"&amp;
IF(E757="Residential/Group Housing","RES",
IF(E757="Commercial","COM",
IF(E757="Mixed Development","MIX",
IF(E757="Plotted Development","PLT","OTH"))))
&amp;"-"&amp;TEXT(COUNTIFS($B$9:B757,B757,$E$9:E757,E757),"0000")</f>
        <v>SUR-RES-0175</v>
      </c>
      <c r="B757" s="322" t="s">
        <v>34</v>
      </c>
      <c r="C757" s="322" t="s">
        <v>34</v>
      </c>
      <c r="D757" s="323" t="s">
        <v>947</v>
      </c>
      <c r="E757" s="132" t="s">
        <v>24</v>
      </c>
      <c r="F757" s="97" t="str">
        <f ca="1">IF(OR(Market_Data[[#This Row],[Start Date]]="",Market_Data[[#This Row],[Completion Date]]=""),"Needs Validation",IF(Market_Data[[#This Row],[Start Date]]&gt;TODAY(),"Planned",IF(Market_Data[[#This Row],[Completion Date]]&lt;TODAY(),"Completed","Ongoing")))</f>
        <v>Ongoing</v>
      </c>
      <c r="G757" s="324">
        <v>44937</v>
      </c>
      <c r="H757" s="324">
        <v>46387</v>
      </c>
      <c r="I757" s="325">
        <v>45500</v>
      </c>
      <c r="J75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57" s="133">
        <f>_xlfn.XLOOKUP(Market_Data[[#This Row],[Project Type]],tbl_assumptions_market[Project Category (RERA)],tbl_assumptions_market[Concrete Intensity
(m³ / sq m BUA)],"",0)</f>
        <v>0.45</v>
      </c>
      <c r="L757" s="134">
        <f>ROUND(Market_Data[[#This Row],[Estimated Built Up Area (sq m)]]*Market_Data[[#This Row],[Concrete Intensity
(m³ / sq m)]],0)</f>
        <v>20475</v>
      </c>
      <c r="M757" s="135">
        <f>_xlfn.XLOOKUP(Market_Data[[#This Row],[District]],tbl_district_price[District],tbl_district_price[Standard Price
(INR/m³)],"",0)</f>
        <v>6200</v>
      </c>
      <c r="N757" s="364">
        <f>IF(OR(Market_Data[[#This Row],[Estimated Concrete Demand (m³)]]="",Market_Data[[#This Row],[Avg Price per (₹ / m³)]]=""),"",Market_Data[[#This Row],[Estimated Concrete Demand (m³)]]*Market_Data[[#This Row],[Avg Price per (₹ / m³)]]/10000000)</f>
        <v>12.6945</v>
      </c>
      <c r="O757" s="97" t="str">
        <f>IF(Market_Data[[#This Row],[Estimated Concrete Demand (m³)]]="","",
IF(Market_Data[[#This Row],[Estimated Concrete Demand (m³)]]&lt;10000,"Small",
IF(Market_Data[[#This Row],[Estimated Concrete Demand (m³)]]&lt;25000,"Medium",
IF(Market_Data[[#This Row],[Estimated Concrete Demand (m³)]]&lt;100000,"Large","Mega"))))</f>
        <v>Medium</v>
      </c>
      <c r="P757" s="287" t="str">
        <f t="shared" si="13"/>
        <v>GujRERA</v>
      </c>
    </row>
    <row r="758" spans="1:16">
      <c r="A758" s="129" t="str">
        <f>_xlfn.XLOOKUP(B758,$S$9:$S$14,$T$9:$T$14)&amp;"-"&amp;
IF(E758="Residential/Group Housing","RES",
IF(E758="Commercial","COM",
IF(E758="Mixed Development","MIX",
IF(E758="Plotted Development","PLT","OTH"))))
&amp;"-"&amp;TEXT(COUNTIFS($B$9:B758,B758,$E$9:E758,E758),"0000")</f>
        <v>SUR-RES-0176</v>
      </c>
      <c r="B758" s="322" t="s">
        <v>34</v>
      </c>
      <c r="C758" s="322" t="s">
        <v>34</v>
      </c>
      <c r="D758" s="323" t="s">
        <v>948</v>
      </c>
      <c r="E758" s="132" t="s">
        <v>24</v>
      </c>
      <c r="F758" s="97" t="str">
        <f ca="1">IF(OR(Market_Data[[#This Row],[Start Date]]="",Market_Data[[#This Row],[Completion Date]]=""),"Needs Validation",IF(Market_Data[[#This Row],[Start Date]]&gt;TODAY(),"Planned",IF(Market_Data[[#This Row],[Completion Date]]&lt;TODAY(),"Completed","Ongoing")))</f>
        <v>Completed</v>
      </c>
      <c r="G758" s="324">
        <v>44102</v>
      </c>
      <c r="H758" s="324">
        <v>46203</v>
      </c>
      <c r="I758" s="325">
        <v>43400</v>
      </c>
      <c r="J75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58" s="133">
        <f>_xlfn.XLOOKUP(Market_Data[[#This Row],[Project Type]],tbl_assumptions_market[Project Category (RERA)],tbl_assumptions_market[Concrete Intensity
(m³ / sq m BUA)],"",0)</f>
        <v>0.45</v>
      </c>
      <c r="L758" s="134">
        <f>ROUND(Market_Data[[#This Row],[Estimated Built Up Area (sq m)]]*Market_Data[[#This Row],[Concrete Intensity
(m³ / sq m)]],0)</f>
        <v>19530</v>
      </c>
      <c r="M758" s="135">
        <f>_xlfn.XLOOKUP(Market_Data[[#This Row],[District]],tbl_district_price[District],tbl_district_price[Standard Price
(INR/m³)],"",0)</f>
        <v>6200</v>
      </c>
      <c r="N758" s="364">
        <f>IF(OR(Market_Data[[#This Row],[Estimated Concrete Demand (m³)]]="",Market_Data[[#This Row],[Avg Price per (₹ / m³)]]=""),"",Market_Data[[#This Row],[Estimated Concrete Demand (m³)]]*Market_Data[[#This Row],[Avg Price per (₹ / m³)]]/10000000)</f>
        <v>12.108599999999999</v>
      </c>
      <c r="O758" s="97" t="str">
        <f>IF(Market_Data[[#This Row],[Estimated Concrete Demand (m³)]]="","",
IF(Market_Data[[#This Row],[Estimated Concrete Demand (m³)]]&lt;10000,"Small",
IF(Market_Data[[#This Row],[Estimated Concrete Demand (m³)]]&lt;25000,"Medium",
IF(Market_Data[[#This Row],[Estimated Concrete Demand (m³)]]&lt;100000,"Large","Mega"))))</f>
        <v>Medium</v>
      </c>
      <c r="P758" s="287" t="str">
        <f t="shared" si="13"/>
        <v>GujRERA</v>
      </c>
    </row>
    <row r="759" spans="1:16">
      <c r="A759" s="129" t="str">
        <f>_xlfn.XLOOKUP(B759,$S$9:$S$14,$T$9:$T$14)&amp;"-"&amp;
IF(E759="Residential/Group Housing","RES",
IF(E759="Commercial","COM",
IF(E759="Mixed Development","MIX",
IF(E759="Plotted Development","PLT","OTH"))))
&amp;"-"&amp;TEXT(COUNTIFS($B$9:B759,B759,$E$9:E759,E759),"0000")</f>
        <v>SUR-MIX-0083</v>
      </c>
      <c r="B759" s="322" t="s">
        <v>34</v>
      </c>
      <c r="C759" s="322" t="s">
        <v>34</v>
      </c>
      <c r="D759" s="323" t="s">
        <v>949</v>
      </c>
      <c r="E759" s="132" t="s">
        <v>25</v>
      </c>
      <c r="F759" s="97" t="str">
        <f ca="1">IF(OR(Market_Data[[#This Row],[Start Date]]="",Market_Data[[#This Row],[Completion Date]]=""),"Needs Validation",IF(Market_Data[[#This Row],[Start Date]]&gt;TODAY(),"Planned",IF(Market_Data[[#This Row],[Completion Date]]&lt;TODAY(),"Completed","Ongoing")))</f>
        <v>Completed</v>
      </c>
      <c r="G759" s="324">
        <v>42471</v>
      </c>
      <c r="H759" s="324">
        <v>44924</v>
      </c>
      <c r="I759" s="325">
        <v>9400</v>
      </c>
      <c r="J75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759" s="133">
        <f>_xlfn.XLOOKUP(Market_Data[[#This Row],[Project Type]],tbl_assumptions_market[Project Category (RERA)],tbl_assumptions_market[Concrete Intensity
(m³ / sq m BUA)],"",0)</f>
        <v>0.42</v>
      </c>
      <c r="L759" s="134">
        <f>ROUND(Market_Data[[#This Row],[Estimated Built Up Area (sq m)]]*Market_Data[[#This Row],[Concrete Intensity
(m³ / sq m)]],0)</f>
        <v>3948</v>
      </c>
      <c r="M759" s="135">
        <f>_xlfn.XLOOKUP(Market_Data[[#This Row],[District]],tbl_district_price[District],tbl_district_price[Standard Price
(INR/m³)],"",0)</f>
        <v>6200</v>
      </c>
      <c r="N759" s="364">
        <f>IF(OR(Market_Data[[#This Row],[Estimated Concrete Demand (m³)]]="",Market_Data[[#This Row],[Avg Price per (₹ / m³)]]=""),"",Market_Data[[#This Row],[Estimated Concrete Demand (m³)]]*Market_Data[[#This Row],[Avg Price per (₹ / m³)]]/10000000)</f>
        <v>2.4477600000000002</v>
      </c>
      <c r="O759" s="97" t="str">
        <f>IF(Market_Data[[#This Row],[Estimated Concrete Demand (m³)]]="","",
IF(Market_Data[[#This Row],[Estimated Concrete Demand (m³)]]&lt;10000,"Small",
IF(Market_Data[[#This Row],[Estimated Concrete Demand (m³)]]&lt;25000,"Medium",
IF(Market_Data[[#This Row],[Estimated Concrete Demand (m³)]]&lt;100000,"Large","Mega"))))</f>
        <v>Small</v>
      </c>
      <c r="P759" s="287" t="str">
        <f t="shared" si="13"/>
        <v>GujRERA</v>
      </c>
    </row>
    <row r="760" spans="1:16">
      <c r="A760" s="129" t="str">
        <f>_xlfn.XLOOKUP(B760,$S$9:$S$14,$T$9:$T$14)&amp;"-"&amp;
IF(E760="Residential/Group Housing","RES",
IF(E760="Commercial","COM",
IF(E760="Mixed Development","MIX",
IF(E760="Plotted Development","PLT","OTH"))))
&amp;"-"&amp;TEXT(COUNTIFS($B$9:B760,B760,$E$9:E760,E760),"0000")</f>
        <v>SUR-RES-0177</v>
      </c>
      <c r="B760" s="322" t="s">
        <v>34</v>
      </c>
      <c r="C760" s="322" t="s">
        <v>34</v>
      </c>
      <c r="D760" s="323" t="s">
        <v>950</v>
      </c>
      <c r="E760" s="132" t="s">
        <v>24</v>
      </c>
      <c r="F760" s="97" t="str">
        <f ca="1">IF(OR(Market_Data[[#This Row],[Start Date]]="",Market_Data[[#This Row],[Completion Date]]=""),"Needs Validation",IF(Market_Data[[#This Row],[Start Date]]&gt;TODAY(),"Planned",IF(Market_Data[[#This Row],[Completion Date]]&lt;TODAY(),"Completed","Ongoing")))</f>
        <v>Ongoing</v>
      </c>
      <c r="G760" s="324">
        <v>44230</v>
      </c>
      <c r="H760" s="324">
        <v>46387</v>
      </c>
      <c r="I760" s="325">
        <v>28100</v>
      </c>
      <c r="J76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60" s="133">
        <f>_xlfn.XLOOKUP(Market_Data[[#This Row],[Project Type]],tbl_assumptions_market[Project Category (RERA)],tbl_assumptions_market[Concrete Intensity
(m³ / sq m BUA)],"",0)</f>
        <v>0.45</v>
      </c>
      <c r="L760" s="134">
        <f>ROUND(Market_Data[[#This Row],[Estimated Built Up Area (sq m)]]*Market_Data[[#This Row],[Concrete Intensity
(m³ / sq m)]],0)</f>
        <v>12645</v>
      </c>
      <c r="M760" s="135">
        <f>_xlfn.XLOOKUP(Market_Data[[#This Row],[District]],tbl_district_price[District],tbl_district_price[Standard Price
(INR/m³)],"",0)</f>
        <v>6200</v>
      </c>
      <c r="N760" s="364">
        <f>IF(OR(Market_Data[[#This Row],[Estimated Concrete Demand (m³)]]="",Market_Data[[#This Row],[Avg Price per (₹ / m³)]]=""),"",Market_Data[[#This Row],[Estimated Concrete Demand (m³)]]*Market_Data[[#This Row],[Avg Price per (₹ / m³)]]/10000000)</f>
        <v>7.8399000000000001</v>
      </c>
      <c r="O760" s="97" t="str">
        <f>IF(Market_Data[[#This Row],[Estimated Concrete Demand (m³)]]="","",
IF(Market_Data[[#This Row],[Estimated Concrete Demand (m³)]]&lt;10000,"Small",
IF(Market_Data[[#This Row],[Estimated Concrete Demand (m³)]]&lt;25000,"Medium",
IF(Market_Data[[#This Row],[Estimated Concrete Demand (m³)]]&lt;100000,"Large","Mega"))))</f>
        <v>Medium</v>
      </c>
      <c r="P760" s="287" t="str">
        <f t="shared" si="13"/>
        <v>GujRERA</v>
      </c>
    </row>
    <row r="761" spans="1:16">
      <c r="A761" s="129" t="str">
        <f>_xlfn.XLOOKUP(B761,$S$9:$S$14,$T$9:$T$14)&amp;"-"&amp;
IF(E761="Residential/Group Housing","RES",
IF(E761="Commercial","COM",
IF(E761="Mixed Development","MIX",
IF(E761="Plotted Development","PLT","OTH"))))
&amp;"-"&amp;TEXT(COUNTIFS($B$9:B761,B761,$E$9:E761,E761),"0000")</f>
        <v>SUR-RES-0178</v>
      </c>
      <c r="B761" s="322" t="s">
        <v>34</v>
      </c>
      <c r="C761" s="322" t="s">
        <v>34</v>
      </c>
      <c r="D761" s="323" t="s">
        <v>951</v>
      </c>
      <c r="E761" s="132" t="s">
        <v>24</v>
      </c>
      <c r="F761" s="97" t="str">
        <f ca="1">IF(OR(Market_Data[[#This Row],[Start Date]]="",Market_Data[[#This Row],[Completion Date]]=""),"Needs Validation",IF(Market_Data[[#This Row],[Start Date]]&gt;TODAY(),"Planned",IF(Market_Data[[#This Row],[Completion Date]]&lt;TODAY(),"Completed","Ongoing")))</f>
        <v>Ongoing</v>
      </c>
      <c r="G761" s="324">
        <v>45041</v>
      </c>
      <c r="H761" s="324">
        <v>47118</v>
      </c>
      <c r="I761" s="325">
        <v>29800</v>
      </c>
      <c r="J76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61" s="133">
        <f>_xlfn.XLOOKUP(Market_Data[[#This Row],[Project Type]],tbl_assumptions_market[Project Category (RERA)],tbl_assumptions_market[Concrete Intensity
(m³ / sq m BUA)],"",0)</f>
        <v>0.45</v>
      </c>
      <c r="L761" s="134">
        <f>ROUND(Market_Data[[#This Row],[Estimated Built Up Area (sq m)]]*Market_Data[[#This Row],[Concrete Intensity
(m³ / sq m)]],0)</f>
        <v>13410</v>
      </c>
      <c r="M761" s="135">
        <f>_xlfn.XLOOKUP(Market_Data[[#This Row],[District]],tbl_district_price[District],tbl_district_price[Standard Price
(INR/m³)],"",0)</f>
        <v>6200</v>
      </c>
      <c r="N761" s="364">
        <f>IF(OR(Market_Data[[#This Row],[Estimated Concrete Demand (m³)]]="",Market_Data[[#This Row],[Avg Price per (₹ / m³)]]=""),"",Market_Data[[#This Row],[Estimated Concrete Demand (m³)]]*Market_Data[[#This Row],[Avg Price per (₹ / m³)]]/10000000)</f>
        <v>8.3141999999999996</v>
      </c>
      <c r="O761" s="97" t="str">
        <f>IF(Market_Data[[#This Row],[Estimated Concrete Demand (m³)]]="","",
IF(Market_Data[[#This Row],[Estimated Concrete Demand (m³)]]&lt;10000,"Small",
IF(Market_Data[[#This Row],[Estimated Concrete Demand (m³)]]&lt;25000,"Medium",
IF(Market_Data[[#This Row],[Estimated Concrete Demand (m³)]]&lt;100000,"Large","Mega"))))</f>
        <v>Medium</v>
      </c>
      <c r="P761" s="287" t="str">
        <f t="shared" si="13"/>
        <v>GujRERA</v>
      </c>
    </row>
    <row r="762" spans="1:16">
      <c r="A762" s="129" t="str">
        <f>_xlfn.XLOOKUP(B762,$S$9:$S$14,$T$9:$T$14)&amp;"-"&amp;
IF(E762="Residential/Group Housing","RES",
IF(E762="Commercial","COM",
IF(E762="Mixed Development","MIX",
IF(E762="Plotted Development","PLT","OTH"))))
&amp;"-"&amp;TEXT(COUNTIFS($B$9:B762,B762,$E$9:E762,E762),"0000")</f>
        <v>SUR-MIX-0084</v>
      </c>
      <c r="B762" s="322" t="s">
        <v>34</v>
      </c>
      <c r="C762" s="322" t="s">
        <v>34</v>
      </c>
      <c r="D762" s="323" t="s">
        <v>952</v>
      </c>
      <c r="E762" s="132" t="s">
        <v>25</v>
      </c>
      <c r="F762" s="97" t="str">
        <f ca="1">IF(OR(Market_Data[[#This Row],[Start Date]]="",Market_Data[[#This Row],[Completion Date]]=""),"Needs Validation",IF(Market_Data[[#This Row],[Start Date]]&gt;TODAY(),"Planned",IF(Market_Data[[#This Row],[Completion Date]]&lt;TODAY(),"Completed","Ongoing")))</f>
        <v>Completed</v>
      </c>
      <c r="G762" s="324">
        <v>41802</v>
      </c>
      <c r="H762" s="324">
        <v>44134</v>
      </c>
      <c r="I762" s="325">
        <v>33500</v>
      </c>
      <c r="J76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62" s="133">
        <f>_xlfn.XLOOKUP(Market_Data[[#This Row],[Project Type]],tbl_assumptions_market[Project Category (RERA)],tbl_assumptions_market[Concrete Intensity
(m³ / sq m BUA)],"",0)</f>
        <v>0.42</v>
      </c>
      <c r="L762" s="134">
        <f>ROUND(Market_Data[[#This Row],[Estimated Built Up Area (sq m)]]*Market_Data[[#This Row],[Concrete Intensity
(m³ / sq m)]],0)</f>
        <v>14070</v>
      </c>
      <c r="M762" s="135">
        <f>_xlfn.XLOOKUP(Market_Data[[#This Row],[District]],tbl_district_price[District],tbl_district_price[Standard Price
(INR/m³)],"",0)</f>
        <v>6200</v>
      </c>
      <c r="N762" s="364">
        <f>IF(OR(Market_Data[[#This Row],[Estimated Concrete Demand (m³)]]="",Market_Data[[#This Row],[Avg Price per (₹ / m³)]]=""),"",Market_Data[[#This Row],[Estimated Concrete Demand (m³)]]*Market_Data[[#This Row],[Avg Price per (₹ / m³)]]/10000000)</f>
        <v>8.7233999999999998</v>
      </c>
      <c r="O762" s="97" t="str">
        <f>IF(Market_Data[[#This Row],[Estimated Concrete Demand (m³)]]="","",
IF(Market_Data[[#This Row],[Estimated Concrete Demand (m³)]]&lt;10000,"Small",
IF(Market_Data[[#This Row],[Estimated Concrete Demand (m³)]]&lt;25000,"Medium",
IF(Market_Data[[#This Row],[Estimated Concrete Demand (m³)]]&lt;100000,"Large","Mega"))))</f>
        <v>Medium</v>
      </c>
      <c r="P762" s="287" t="str">
        <f t="shared" si="13"/>
        <v>GujRERA</v>
      </c>
    </row>
    <row r="763" spans="1:16">
      <c r="A763" s="129" t="str">
        <f>_xlfn.XLOOKUP(B763,$S$9:$S$14,$T$9:$T$14)&amp;"-"&amp;
IF(E763="Residential/Group Housing","RES",
IF(E763="Commercial","COM",
IF(E763="Mixed Development","MIX",
IF(E763="Plotted Development","PLT","OTH"))))
&amp;"-"&amp;TEXT(COUNTIFS($B$9:B763,B763,$E$9:E763,E763),"0000")</f>
        <v>SUR-PLT-0105</v>
      </c>
      <c r="B763" s="322" t="s">
        <v>34</v>
      </c>
      <c r="C763" s="322" t="s">
        <v>34</v>
      </c>
      <c r="D763" s="323" t="s">
        <v>953</v>
      </c>
      <c r="E763" s="132" t="s">
        <v>26</v>
      </c>
      <c r="F763" s="97" t="str">
        <f ca="1">IF(OR(Market_Data[[#This Row],[Start Date]]="",Market_Data[[#This Row],[Completion Date]]=""),"Needs Validation",IF(Market_Data[[#This Row],[Start Date]]&gt;TODAY(),"Planned",IF(Market_Data[[#This Row],[Completion Date]]&lt;TODAY(),"Completed","Ongoing")))</f>
        <v>Ongoing</v>
      </c>
      <c r="G763" s="324">
        <v>45356</v>
      </c>
      <c r="H763" s="324">
        <v>46387</v>
      </c>
      <c r="I763" s="325">
        <v>26700</v>
      </c>
      <c r="J76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63" s="133">
        <f>_xlfn.XLOOKUP(Market_Data[[#This Row],[Project Type]],tbl_assumptions_market[Project Category (RERA)],tbl_assumptions_market[Concrete Intensity
(m³ / sq m BUA)],"",0)</f>
        <v>0.18</v>
      </c>
      <c r="L763" s="134">
        <f>ROUND(Market_Data[[#This Row],[Estimated Built Up Area (sq m)]]*Market_Data[[#This Row],[Concrete Intensity
(m³ / sq m)]],0)</f>
        <v>4806</v>
      </c>
      <c r="M763" s="135">
        <f>_xlfn.XLOOKUP(Market_Data[[#This Row],[District]],tbl_district_price[District],tbl_district_price[Standard Price
(INR/m³)],"",0)</f>
        <v>6200</v>
      </c>
      <c r="N763" s="364">
        <f>IF(OR(Market_Data[[#This Row],[Estimated Concrete Demand (m³)]]="",Market_Data[[#This Row],[Avg Price per (₹ / m³)]]=""),"",Market_Data[[#This Row],[Estimated Concrete Demand (m³)]]*Market_Data[[#This Row],[Avg Price per (₹ / m³)]]/10000000)</f>
        <v>2.9797199999999999</v>
      </c>
      <c r="O763" s="97" t="str">
        <f>IF(Market_Data[[#This Row],[Estimated Concrete Demand (m³)]]="","",
IF(Market_Data[[#This Row],[Estimated Concrete Demand (m³)]]&lt;10000,"Small",
IF(Market_Data[[#This Row],[Estimated Concrete Demand (m³)]]&lt;25000,"Medium",
IF(Market_Data[[#This Row],[Estimated Concrete Demand (m³)]]&lt;100000,"Large","Mega"))))</f>
        <v>Small</v>
      </c>
      <c r="P763" s="287" t="str">
        <f t="shared" si="13"/>
        <v>GujRERA</v>
      </c>
    </row>
    <row r="764" spans="1:16">
      <c r="A764" s="129" t="str">
        <f>_xlfn.XLOOKUP(B764,$S$9:$S$14,$T$9:$T$14)&amp;"-"&amp;
IF(E764="Residential/Group Housing","RES",
IF(E764="Commercial","COM",
IF(E764="Mixed Development","MIX",
IF(E764="Plotted Development","PLT","OTH"))))
&amp;"-"&amp;TEXT(COUNTIFS($B$9:B764,B764,$E$9:E764,E764),"0000")</f>
        <v>SUR-RES-0179</v>
      </c>
      <c r="B764" s="322" t="s">
        <v>34</v>
      </c>
      <c r="C764" s="322" t="s">
        <v>34</v>
      </c>
      <c r="D764" s="323" t="s">
        <v>954</v>
      </c>
      <c r="E764" s="132" t="s">
        <v>24</v>
      </c>
      <c r="F764" s="97" t="str">
        <f ca="1">IF(OR(Market_Data[[#This Row],[Start Date]]="",Market_Data[[#This Row],[Completion Date]]=""),"Needs Validation",IF(Market_Data[[#This Row],[Start Date]]&gt;TODAY(),"Planned",IF(Market_Data[[#This Row],[Completion Date]]&lt;TODAY(),"Completed","Ongoing")))</f>
        <v>Completed</v>
      </c>
      <c r="G764" s="324">
        <v>43810</v>
      </c>
      <c r="H764" s="324">
        <v>45838</v>
      </c>
      <c r="I764" s="325">
        <v>59700</v>
      </c>
      <c r="J76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64" s="133">
        <f>_xlfn.XLOOKUP(Market_Data[[#This Row],[Project Type]],tbl_assumptions_market[Project Category (RERA)],tbl_assumptions_market[Concrete Intensity
(m³ / sq m BUA)],"",0)</f>
        <v>0.45</v>
      </c>
      <c r="L764" s="134">
        <f>ROUND(Market_Data[[#This Row],[Estimated Built Up Area (sq m)]]*Market_Data[[#This Row],[Concrete Intensity
(m³ / sq m)]],0)</f>
        <v>26865</v>
      </c>
      <c r="M764" s="135">
        <f>_xlfn.XLOOKUP(Market_Data[[#This Row],[District]],tbl_district_price[District],tbl_district_price[Standard Price
(INR/m³)],"",0)</f>
        <v>6200</v>
      </c>
      <c r="N764" s="364">
        <f>IF(OR(Market_Data[[#This Row],[Estimated Concrete Demand (m³)]]="",Market_Data[[#This Row],[Avg Price per (₹ / m³)]]=""),"",Market_Data[[#This Row],[Estimated Concrete Demand (m³)]]*Market_Data[[#This Row],[Avg Price per (₹ / m³)]]/10000000)</f>
        <v>16.656300000000002</v>
      </c>
      <c r="O764" s="97" t="str">
        <f>IF(Market_Data[[#This Row],[Estimated Concrete Demand (m³)]]="","",
IF(Market_Data[[#This Row],[Estimated Concrete Demand (m³)]]&lt;10000,"Small",
IF(Market_Data[[#This Row],[Estimated Concrete Demand (m³)]]&lt;25000,"Medium",
IF(Market_Data[[#This Row],[Estimated Concrete Demand (m³)]]&lt;100000,"Large","Mega"))))</f>
        <v>Large</v>
      </c>
      <c r="P764" s="287" t="str">
        <f t="shared" si="13"/>
        <v>GujRERA</v>
      </c>
    </row>
    <row r="765" spans="1:16">
      <c r="A765" s="129" t="str">
        <f>_xlfn.XLOOKUP(B765,$S$9:$S$14,$T$9:$T$14)&amp;"-"&amp;
IF(E765="Residential/Group Housing","RES",
IF(E765="Commercial","COM",
IF(E765="Mixed Development","MIX",
IF(E765="Plotted Development","PLT","OTH"))))
&amp;"-"&amp;TEXT(COUNTIFS($B$9:B765,B765,$E$9:E765,E765),"0000")</f>
        <v>SUR-COM-0079</v>
      </c>
      <c r="B765" s="322" t="s">
        <v>34</v>
      </c>
      <c r="C765" s="322" t="s">
        <v>34</v>
      </c>
      <c r="D765" s="323" t="s">
        <v>955</v>
      </c>
      <c r="E765" s="132" t="s">
        <v>23</v>
      </c>
      <c r="F765" s="97" t="str">
        <f ca="1">IF(OR(Market_Data[[#This Row],[Start Date]]="",Market_Data[[#This Row],[Completion Date]]=""),"Needs Validation",IF(Market_Data[[#This Row],[Start Date]]&gt;TODAY(),"Planned",IF(Market_Data[[#This Row],[Completion Date]]&lt;TODAY(),"Completed","Ongoing")))</f>
        <v>Completed</v>
      </c>
      <c r="G765" s="324">
        <v>43831</v>
      </c>
      <c r="H765" s="324">
        <v>45473</v>
      </c>
      <c r="I765" s="325">
        <v>11600</v>
      </c>
      <c r="J76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65" s="133">
        <f>_xlfn.XLOOKUP(Market_Data[[#This Row],[Project Type]],tbl_assumptions_market[Project Category (RERA)],tbl_assumptions_market[Concrete Intensity
(m³ / sq m BUA)],"",0)</f>
        <v>0.5</v>
      </c>
      <c r="L765" s="134">
        <f>ROUND(Market_Data[[#This Row],[Estimated Built Up Area (sq m)]]*Market_Data[[#This Row],[Concrete Intensity
(m³ / sq m)]],0)</f>
        <v>5800</v>
      </c>
      <c r="M765" s="135">
        <f>_xlfn.XLOOKUP(Market_Data[[#This Row],[District]],tbl_district_price[District],tbl_district_price[Standard Price
(INR/m³)],"",0)</f>
        <v>6200</v>
      </c>
      <c r="N765" s="364">
        <f>IF(OR(Market_Data[[#This Row],[Estimated Concrete Demand (m³)]]="",Market_Data[[#This Row],[Avg Price per (₹ / m³)]]=""),"",Market_Data[[#This Row],[Estimated Concrete Demand (m³)]]*Market_Data[[#This Row],[Avg Price per (₹ / m³)]]/10000000)</f>
        <v>3.5960000000000001</v>
      </c>
      <c r="O765" s="97" t="str">
        <f>IF(Market_Data[[#This Row],[Estimated Concrete Demand (m³)]]="","",
IF(Market_Data[[#This Row],[Estimated Concrete Demand (m³)]]&lt;10000,"Small",
IF(Market_Data[[#This Row],[Estimated Concrete Demand (m³)]]&lt;25000,"Medium",
IF(Market_Data[[#This Row],[Estimated Concrete Demand (m³)]]&lt;100000,"Large","Mega"))))</f>
        <v>Small</v>
      </c>
      <c r="P765" s="287" t="str">
        <f t="shared" si="13"/>
        <v>GujRERA</v>
      </c>
    </row>
    <row r="766" spans="1:16">
      <c r="A766" s="129" t="str">
        <f>_xlfn.XLOOKUP(B766,$S$9:$S$14,$T$9:$T$14)&amp;"-"&amp;
IF(E766="Residential/Group Housing","RES",
IF(E766="Commercial","COM",
IF(E766="Mixed Development","MIX",
IF(E766="Plotted Development","PLT","OTH"))))
&amp;"-"&amp;TEXT(COUNTIFS($B$9:B766,B766,$E$9:E766,E766),"0000")</f>
        <v>SUR-PLT-0106</v>
      </c>
      <c r="B766" s="322" t="s">
        <v>34</v>
      </c>
      <c r="C766" s="322" t="s">
        <v>34</v>
      </c>
      <c r="D766" s="323" t="s">
        <v>956</v>
      </c>
      <c r="E766" s="132" t="s">
        <v>26</v>
      </c>
      <c r="F766" s="97" t="str">
        <f ca="1">IF(OR(Market_Data[[#This Row],[Start Date]]="",Market_Data[[#This Row],[Completion Date]]=""),"Needs Validation",IF(Market_Data[[#This Row],[Start Date]]&gt;TODAY(),"Planned",IF(Market_Data[[#This Row],[Completion Date]]&lt;TODAY(),"Completed","Ongoing")))</f>
        <v>Completed</v>
      </c>
      <c r="G766" s="324">
        <v>42087</v>
      </c>
      <c r="H766" s="324">
        <v>44651</v>
      </c>
      <c r="I766" s="325">
        <v>46600</v>
      </c>
      <c r="J76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766" s="133">
        <f>_xlfn.XLOOKUP(Market_Data[[#This Row],[Project Type]],tbl_assumptions_market[Project Category (RERA)],tbl_assumptions_market[Concrete Intensity
(m³ / sq m BUA)],"",0)</f>
        <v>0.18</v>
      </c>
      <c r="L766" s="134">
        <f>ROUND(Market_Data[[#This Row],[Estimated Built Up Area (sq m)]]*Market_Data[[#This Row],[Concrete Intensity
(m³ / sq m)]],0)</f>
        <v>8388</v>
      </c>
      <c r="M766" s="135">
        <f>_xlfn.XLOOKUP(Market_Data[[#This Row],[District]],tbl_district_price[District],tbl_district_price[Standard Price
(INR/m³)],"",0)</f>
        <v>6200</v>
      </c>
      <c r="N766" s="364">
        <f>IF(OR(Market_Data[[#This Row],[Estimated Concrete Demand (m³)]]="",Market_Data[[#This Row],[Avg Price per (₹ / m³)]]=""),"",Market_Data[[#This Row],[Estimated Concrete Demand (m³)]]*Market_Data[[#This Row],[Avg Price per (₹ / m³)]]/10000000)</f>
        <v>5.2005600000000003</v>
      </c>
      <c r="O766" s="97" t="str">
        <f>IF(Market_Data[[#This Row],[Estimated Concrete Demand (m³)]]="","",
IF(Market_Data[[#This Row],[Estimated Concrete Demand (m³)]]&lt;10000,"Small",
IF(Market_Data[[#This Row],[Estimated Concrete Demand (m³)]]&lt;25000,"Medium",
IF(Market_Data[[#This Row],[Estimated Concrete Demand (m³)]]&lt;100000,"Large","Mega"))))</f>
        <v>Small</v>
      </c>
      <c r="P766" s="287" t="str">
        <f t="shared" si="13"/>
        <v>GujRERA</v>
      </c>
    </row>
    <row r="767" spans="1:16">
      <c r="A767" s="129" t="str">
        <f>_xlfn.XLOOKUP(B767,$S$9:$S$14,$T$9:$T$14)&amp;"-"&amp;
IF(E767="Residential/Group Housing","RES",
IF(E767="Commercial","COM",
IF(E767="Mixed Development","MIX",
IF(E767="Plotted Development","PLT","OTH"))))
&amp;"-"&amp;TEXT(COUNTIFS($B$9:B767,B767,$E$9:E767,E767),"0000")</f>
        <v>SUR-PLT-0107</v>
      </c>
      <c r="B767" s="322" t="s">
        <v>34</v>
      </c>
      <c r="C767" s="322" t="s">
        <v>34</v>
      </c>
      <c r="D767" s="323" t="s">
        <v>957</v>
      </c>
      <c r="E767" s="132" t="s">
        <v>26</v>
      </c>
      <c r="F767" s="97" t="str">
        <f ca="1">IF(OR(Market_Data[[#This Row],[Start Date]]="",Market_Data[[#This Row],[Completion Date]]=""),"Needs Validation",IF(Market_Data[[#This Row],[Start Date]]&gt;TODAY(),"Planned",IF(Market_Data[[#This Row],[Completion Date]]&lt;TODAY(),"Completed","Ongoing")))</f>
        <v>Completed</v>
      </c>
      <c r="G767" s="324">
        <v>44351</v>
      </c>
      <c r="H767" s="324">
        <v>45657</v>
      </c>
      <c r="I767" s="325">
        <v>9900</v>
      </c>
      <c r="J76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67" s="133">
        <f>_xlfn.XLOOKUP(Market_Data[[#This Row],[Project Type]],tbl_assumptions_market[Project Category (RERA)],tbl_assumptions_market[Concrete Intensity
(m³ / sq m BUA)],"",0)</f>
        <v>0.18</v>
      </c>
      <c r="L767" s="134">
        <f>ROUND(Market_Data[[#This Row],[Estimated Built Up Area (sq m)]]*Market_Data[[#This Row],[Concrete Intensity
(m³ / sq m)]],0)</f>
        <v>1782</v>
      </c>
      <c r="M767" s="135">
        <f>_xlfn.XLOOKUP(Market_Data[[#This Row],[District]],tbl_district_price[District],tbl_district_price[Standard Price
(INR/m³)],"",0)</f>
        <v>6200</v>
      </c>
      <c r="N767" s="364">
        <f>IF(OR(Market_Data[[#This Row],[Estimated Concrete Demand (m³)]]="",Market_Data[[#This Row],[Avg Price per (₹ / m³)]]=""),"",Market_Data[[#This Row],[Estimated Concrete Demand (m³)]]*Market_Data[[#This Row],[Avg Price per (₹ / m³)]]/10000000)</f>
        <v>1.10484</v>
      </c>
      <c r="O767" s="97" t="str">
        <f>IF(Market_Data[[#This Row],[Estimated Concrete Demand (m³)]]="","",
IF(Market_Data[[#This Row],[Estimated Concrete Demand (m³)]]&lt;10000,"Small",
IF(Market_Data[[#This Row],[Estimated Concrete Demand (m³)]]&lt;25000,"Medium",
IF(Market_Data[[#This Row],[Estimated Concrete Demand (m³)]]&lt;100000,"Large","Mega"))))</f>
        <v>Small</v>
      </c>
      <c r="P767" s="287" t="str">
        <f t="shared" si="13"/>
        <v>GujRERA</v>
      </c>
    </row>
    <row r="768" spans="1:16">
      <c r="A768" s="129" t="str">
        <f>_xlfn.XLOOKUP(B768,$S$9:$S$14,$T$9:$T$14)&amp;"-"&amp;
IF(E768="Residential/Group Housing","RES",
IF(E768="Commercial","COM",
IF(E768="Mixed Development","MIX",
IF(E768="Plotted Development","PLT","OTH"))))
&amp;"-"&amp;TEXT(COUNTIFS($B$9:B768,B768,$E$9:E768,E768),"0000")</f>
        <v>SUR-PLT-0108</v>
      </c>
      <c r="B768" s="322" t="s">
        <v>34</v>
      </c>
      <c r="C768" s="322" t="s">
        <v>34</v>
      </c>
      <c r="D768" s="323" t="s">
        <v>958</v>
      </c>
      <c r="E768" s="132" t="s">
        <v>26</v>
      </c>
      <c r="F768" s="97" t="str">
        <f ca="1">IF(OR(Market_Data[[#This Row],[Start Date]]="",Market_Data[[#This Row],[Completion Date]]=""),"Needs Validation",IF(Market_Data[[#This Row],[Start Date]]&gt;TODAY(),"Planned",IF(Market_Data[[#This Row],[Completion Date]]&lt;TODAY(),"Completed","Ongoing")))</f>
        <v>Ongoing</v>
      </c>
      <c r="G768" s="324">
        <v>45546</v>
      </c>
      <c r="H768" s="324">
        <v>46752</v>
      </c>
      <c r="I768" s="325">
        <v>48400</v>
      </c>
      <c r="J76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768" s="133">
        <f>_xlfn.XLOOKUP(Market_Data[[#This Row],[Project Type]],tbl_assumptions_market[Project Category (RERA)],tbl_assumptions_market[Concrete Intensity
(m³ / sq m BUA)],"",0)</f>
        <v>0.18</v>
      </c>
      <c r="L768" s="134">
        <f>ROUND(Market_Data[[#This Row],[Estimated Built Up Area (sq m)]]*Market_Data[[#This Row],[Concrete Intensity
(m³ / sq m)]],0)</f>
        <v>8712</v>
      </c>
      <c r="M768" s="135">
        <f>_xlfn.XLOOKUP(Market_Data[[#This Row],[District]],tbl_district_price[District],tbl_district_price[Standard Price
(INR/m³)],"",0)</f>
        <v>6200</v>
      </c>
      <c r="N768" s="364">
        <f>IF(OR(Market_Data[[#This Row],[Estimated Concrete Demand (m³)]]="",Market_Data[[#This Row],[Avg Price per (₹ / m³)]]=""),"",Market_Data[[#This Row],[Estimated Concrete Demand (m³)]]*Market_Data[[#This Row],[Avg Price per (₹ / m³)]]/10000000)</f>
        <v>5.40144</v>
      </c>
      <c r="O768" s="97" t="str">
        <f>IF(Market_Data[[#This Row],[Estimated Concrete Demand (m³)]]="","",
IF(Market_Data[[#This Row],[Estimated Concrete Demand (m³)]]&lt;10000,"Small",
IF(Market_Data[[#This Row],[Estimated Concrete Demand (m³)]]&lt;25000,"Medium",
IF(Market_Data[[#This Row],[Estimated Concrete Demand (m³)]]&lt;100000,"Large","Mega"))))</f>
        <v>Small</v>
      </c>
      <c r="P768" s="287" t="str">
        <f t="shared" si="13"/>
        <v>GujRERA</v>
      </c>
    </row>
    <row r="769" spans="1:16">
      <c r="A769" s="129" t="str">
        <f>_xlfn.XLOOKUP(B769,$S$9:$S$14,$T$9:$T$14)&amp;"-"&amp;
IF(E769="Residential/Group Housing","RES",
IF(E769="Commercial","COM",
IF(E769="Mixed Development","MIX",
IF(E769="Plotted Development","PLT","OTH"))))
&amp;"-"&amp;TEXT(COUNTIFS($B$9:B769,B769,$E$9:E769,E769),"0000")</f>
        <v>SUR-COM-0080</v>
      </c>
      <c r="B769" s="322" t="s">
        <v>34</v>
      </c>
      <c r="C769" s="322" t="s">
        <v>34</v>
      </c>
      <c r="D769" s="323" t="s">
        <v>959</v>
      </c>
      <c r="E769" s="132" t="s">
        <v>23</v>
      </c>
      <c r="F769" s="97" t="str">
        <f ca="1">IF(OR(Market_Data[[#This Row],[Start Date]]="",Market_Data[[#This Row],[Completion Date]]=""),"Needs Validation",IF(Market_Data[[#This Row],[Start Date]]&gt;TODAY(),"Planned",IF(Market_Data[[#This Row],[Completion Date]]&lt;TODAY(),"Completed","Ongoing")))</f>
        <v>Completed</v>
      </c>
      <c r="G769" s="324">
        <v>43119</v>
      </c>
      <c r="H769" s="324">
        <v>45199</v>
      </c>
      <c r="I769" s="325">
        <v>29000</v>
      </c>
      <c r="J76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769" s="133">
        <f>_xlfn.XLOOKUP(Market_Data[[#This Row],[Project Type]],tbl_assumptions_market[Project Category (RERA)],tbl_assumptions_market[Concrete Intensity
(m³ / sq m BUA)],"",0)</f>
        <v>0.5</v>
      </c>
      <c r="L769" s="134">
        <f>ROUND(Market_Data[[#This Row],[Estimated Built Up Area (sq m)]]*Market_Data[[#This Row],[Concrete Intensity
(m³ / sq m)]],0)</f>
        <v>14500</v>
      </c>
      <c r="M769" s="135">
        <f>_xlfn.XLOOKUP(Market_Data[[#This Row],[District]],tbl_district_price[District],tbl_district_price[Standard Price
(INR/m³)],"",0)</f>
        <v>6200</v>
      </c>
      <c r="N769" s="364">
        <f>IF(OR(Market_Data[[#This Row],[Estimated Concrete Demand (m³)]]="",Market_Data[[#This Row],[Avg Price per (₹ / m³)]]=""),"",Market_Data[[#This Row],[Estimated Concrete Demand (m³)]]*Market_Data[[#This Row],[Avg Price per (₹ / m³)]]/10000000)</f>
        <v>8.99</v>
      </c>
      <c r="O769" s="97" t="str">
        <f>IF(Market_Data[[#This Row],[Estimated Concrete Demand (m³)]]="","",
IF(Market_Data[[#This Row],[Estimated Concrete Demand (m³)]]&lt;10000,"Small",
IF(Market_Data[[#This Row],[Estimated Concrete Demand (m³)]]&lt;25000,"Medium",
IF(Market_Data[[#This Row],[Estimated Concrete Demand (m³)]]&lt;100000,"Large","Mega"))))</f>
        <v>Medium</v>
      </c>
      <c r="P769" s="287" t="str">
        <f t="shared" si="13"/>
        <v>GujRERA</v>
      </c>
    </row>
    <row r="770" spans="1:16">
      <c r="A770" s="129" t="str">
        <f>_xlfn.XLOOKUP(B770,$S$9:$S$14,$T$9:$T$14)&amp;"-"&amp;
IF(E770="Residential/Group Housing","RES",
IF(E770="Commercial","COM",
IF(E770="Mixed Development","MIX",
IF(E770="Plotted Development","PLT","OTH"))))
&amp;"-"&amp;TEXT(COUNTIFS($B$9:B770,B770,$E$9:E770,E770),"0000")</f>
        <v>SUR-COM-0081</v>
      </c>
      <c r="B770" s="322" t="s">
        <v>34</v>
      </c>
      <c r="C770" s="322" t="s">
        <v>34</v>
      </c>
      <c r="D770" s="323" t="s">
        <v>960</v>
      </c>
      <c r="E770" s="132" t="s">
        <v>23</v>
      </c>
      <c r="F770" s="97" t="str">
        <f ca="1">IF(OR(Market_Data[[#This Row],[Start Date]]="",Market_Data[[#This Row],[Completion Date]]=""),"Needs Validation",IF(Market_Data[[#This Row],[Start Date]]&gt;TODAY(),"Planned",IF(Market_Data[[#This Row],[Completion Date]]&lt;TODAY(),"Completed","Ongoing")))</f>
        <v>Completed</v>
      </c>
      <c r="G770" s="324">
        <v>44573</v>
      </c>
      <c r="H770" s="324">
        <v>45657</v>
      </c>
      <c r="I770" s="325">
        <v>19600</v>
      </c>
      <c r="J77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70" s="133">
        <f>_xlfn.XLOOKUP(Market_Data[[#This Row],[Project Type]],tbl_assumptions_market[Project Category (RERA)],tbl_assumptions_market[Concrete Intensity
(m³ / sq m BUA)],"",0)</f>
        <v>0.5</v>
      </c>
      <c r="L770" s="134">
        <f>ROUND(Market_Data[[#This Row],[Estimated Built Up Area (sq m)]]*Market_Data[[#This Row],[Concrete Intensity
(m³ / sq m)]],0)</f>
        <v>9800</v>
      </c>
      <c r="M770" s="135">
        <f>_xlfn.XLOOKUP(Market_Data[[#This Row],[District]],tbl_district_price[District],tbl_district_price[Standard Price
(INR/m³)],"",0)</f>
        <v>6200</v>
      </c>
      <c r="N770" s="364">
        <f>IF(OR(Market_Data[[#This Row],[Estimated Concrete Demand (m³)]]="",Market_Data[[#This Row],[Avg Price per (₹ / m³)]]=""),"",Market_Data[[#This Row],[Estimated Concrete Demand (m³)]]*Market_Data[[#This Row],[Avg Price per (₹ / m³)]]/10000000)</f>
        <v>6.0759999999999996</v>
      </c>
      <c r="O770" s="97" t="str">
        <f>IF(Market_Data[[#This Row],[Estimated Concrete Demand (m³)]]="","",
IF(Market_Data[[#This Row],[Estimated Concrete Demand (m³)]]&lt;10000,"Small",
IF(Market_Data[[#This Row],[Estimated Concrete Demand (m³)]]&lt;25000,"Medium",
IF(Market_Data[[#This Row],[Estimated Concrete Demand (m³)]]&lt;100000,"Large","Mega"))))</f>
        <v>Small</v>
      </c>
      <c r="P770" s="287" t="str">
        <f t="shared" si="13"/>
        <v>GujRERA</v>
      </c>
    </row>
    <row r="771" spans="1:16">
      <c r="A771" s="129" t="str">
        <f>_xlfn.XLOOKUP(B771,$S$9:$S$14,$T$9:$T$14)&amp;"-"&amp;
IF(E771="Residential/Group Housing","RES",
IF(E771="Commercial","COM",
IF(E771="Mixed Development","MIX",
IF(E771="Plotted Development","PLT","OTH"))))
&amp;"-"&amp;TEXT(COUNTIFS($B$9:B771,B771,$E$9:E771,E771),"0000")</f>
        <v>SUR-RES-0180</v>
      </c>
      <c r="B771" s="322" t="s">
        <v>34</v>
      </c>
      <c r="C771" s="322" t="s">
        <v>34</v>
      </c>
      <c r="D771" s="323" t="s">
        <v>961</v>
      </c>
      <c r="E771" s="132" t="s">
        <v>24</v>
      </c>
      <c r="F771" s="97" t="str">
        <f ca="1">IF(OR(Market_Data[[#This Row],[Start Date]]="",Market_Data[[#This Row],[Completion Date]]=""),"Needs Validation",IF(Market_Data[[#This Row],[Start Date]]&gt;TODAY(),"Planned",IF(Market_Data[[#This Row],[Completion Date]]&lt;TODAY(),"Completed","Ongoing")))</f>
        <v>Ongoing</v>
      </c>
      <c r="G771" s="324">
        <v>45758</v>
      </c>
      <c r="H771" s="324">
        <v>47422</v>
      </c>
      <c r="I771" s="325">
        <v>59600</v>
      </c>
      <c r="J77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71" s="133">
        <f>_xlfn.XLOOKUP(Market_Data[[#This Row],[Project Type]],tbl_assumptions_market[Project Category (RERA)],tbl_assumptions_market[Concrete Intensity
(m³ / sq m BUA)],"",0)</f>
        <v>0.45</v>
      </c>
      <c r="L771" s="134">
        <f>ROUND(Market_Data[[#This Row],[Estimated Built Up Area (sq m)]]*Market_Data[[#This Row],[Concrete Intensity
(m³ / sq m)]],0)</f>
        <v>26820</v>
      </c>
      <c r="M771" s="135">
        <f>_xlfn.XLOOKUP(Market_Data[[#This Row],[District]],tbl_district_price[District],tbl_district_price[Standard Price
(INR/m³)],"",0)</f>
        <v>6200</v>
      </c>
      <c r="N771" s="364">
        <f>IF(OR(Market_Data[[#This Row],[Estimated Concrete Demand (m³)]]="",Market_Data[[#This Row],[Avg Price per (₹ / m³)]]=""),"",Market_Data[[#This Row],[Estimated Concrete Demand (m³)]]*Market_Data[[#This Row],[Avg Price per (₹ / m³)]]/10000000)</f>
        <v>16.628399999999999</v>
      </c>
      <c r="O771" s="97" t="str">
        <f>IF(Market_Data[[#This Row],[Estimated Concrete Demand (m³)]]="","",
IF(Market_Data[[#This Row],[Estimated Concrete Demand (m³)]]&lt;10000,"Small",
IF(Market_Data[[#This Row],[Estimated Concrete Demand (m³)]]&lt;25000,"Medium",
IF(Market_Data[[#This Row],[Estimated Concrete Demand (m³)]]&lt;100000,"Large","Mega"))))</f>
        <v>Large</v>
      </c>
      <c r="P771" s="287" t="str">
        <f t="shared" si="13"/>
        <v>GujRERA</v>
      </c>
    </row>
    <row r="772" spans="1:16">
      <c r="A772" s="129" t="str">
        <f>_xlfn.XLOOKUP(B772,$S$9:$S$14,$T$9:$T$14)&amp;"-"&amp;
IF(E772="Residential/Group Housing","RES",
IF(E772="Commercial","COM",
IF(E772="Mixed Development","MIX",
IF(E772="Plotted Development","PLT","OTH"))))
&amp;"-"&amp;TEXT(COUNTIFS($B$9:B772,B772,$E$9:E772,E772),"0000")</f>
        <v>SUR-COM-0082</v>
      </c>
      <c r="B772" s="322" t="s">
        <v>34</v>
      </c>
      <c r="C772" s="322" t="s">
        <v>34</v>
      </c>
      <c r="D772" s="323" t="s">
        <v>962</v>
      </c>
      <c r="E772" s="132" t="s">
        <v>23</v>
      </c>
      <c r="F772" s="97" t="str">
        <f ca="1">IF(OR(Market_Data[[#This Row],[Start Date]]="",Market_Data[[#This Row],[Completion Date]]=""),"Needs Validation",IF(Market_Data[[#This Row],[Start Date]]&gt;TODAY(),"Planned",IF(Market_Data[[#This Row],[Completion Date]]&lt;TODAY(),"Completed","Ongoing")))</f>
        <v>Ongoing</v>
      </c>
      <c r="G772" s="324">
        <v>46049</v>
      </c>
      <c r="H772" s="324">
        <v>47422</v>
      </c>
      <c r="I772" s="325">
        <v>20400</v>
      </c>
      <c r="J77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772" s="133">
        <f>_xlfn.XLOOKUP(Market_Data[[#This Row],[Project Type]],tbl_assumptions_market[Project Category (RERA)],tbl_assumptions_market[Concrete Intensity
(m³ / sq m BUA)],"",0)</f>
        <v>0.5</v>
      </c>
      <c r="L772" s="134">
        <f>ROUND(Market_Data[[#This Row],[Estimated Built Up Area (sq m)]]*Market_Data[[#This Row],[Concrete Intensity
(m³ / sq m)]],0)</f>
        <v>10200</v>
      </c>
      <c r="M772" s="135">
        <f>_xlfn.XLOOKUP(Market_Data[[#This Row],[District]],tbl_district_price[District],tbl_district_price[Standard Price
(INR/m³)],"",0)</f>
        <v>6200</v>
      </c>
      <c r="N772" s="364">
        <f>IF(OR(Market_Data[[#This Row],[Estimated Concrete Demand (m³)]]="",Market_Data[[#This Row],[Avg Price per (₹ / m³)]]=""),"",Market_Data[[#This Row],[Estimated Concrete Demand (m³)]]*Market_Data[[#This Row],[Avg Price per (₹ / m³)]]/10000000)</f>
        <v>6.3239999999999998</v>
      </c>
      <c r="O772" s="97" t="str">
        <f>IF(Market_Data[[#This Row],[Estimated Concrete Demand (m³)]]="","",
IF(Market_Data[[#This Row],[Estimated Concrete Demand (m³)]]&lt;10000,"Small",
IF(Market_Data[[#This Row],[Estimated Concrete Demand (m³)]]&lt;25000,"Medium",
IF(Market_Data[[#This Row],[Estimated Concrete Demand (m³)]]&lt;100000,"Large","Mega"))))</f>
        <v>Medium</v>
      </c>
      <c r="P772" s="287" t="str">
        <f t="shared" si="13"/>
        <v>GujRERA</v>
      </c>
    </row>
    <row r="773" spans="1:16">
      <c r="A773" s="129" t="str">
        <f>_xlfn.XLOOKUP(B773,$S$9:$S$14,$T$9:$T$14)&amp;"-"&amp;
IF(E773="Residential/Group Housing","RES",
IF(E773="Commercial","COM",
IF(E773="Mixed Development","MIX",
IF(E773="Plotted Development","PLT","OTH"))))
&amp;"-"&amp;TEXT(COUNTIFS($B$9:B773,B773,$E$9:E773,E773),"0000")</f>
        <v>SUR-COM-0083</v>
      </c>
      <c r="B773" s="322" t="s">
        <v>34</v>
      </c>
      <c r="C773" s="322" t="s">
        <v>34</v>
      </c>
      <c r="D773" s="323" t="s">
        <v>963</v>
      </c>
      <c r="E773" s="132" t="s">
        <v>23</v>
      </c>
      <c r="F773" s="97" t="str">
        <f ca="1">IF(OR(Market_Data[[#This Row],[Start Date]]="",Market_Data[[#This Row],[Completion Date]]=""),"Needs Validation",IF(Market_Data[[#This Row],[Start Date]]&gt;TODAY(),"Planned",IF(Market_Data[[#This Row],[Completion Date]]&lt;TODAY(),"Completed","Ongoing")))</f>
        <v>Completed</v>
      </c>
      <c r="G773" s="324">
        <v>43563</v>
      </c>
      <c r="H773" s="324">
        <v>44926</v>
      </c>
      <c r="I773" s="325">
        <v>43700</v>
      </c>
      <c r="J77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773" s="133">
        <f>_xlfn.XLOOKUP(Market_Data[[#This Row],[Project Type]],tbl_assumptions_market[Project Category (RERA)],tbl_assumptions_market[Concrete Intensity
(m³ / sq m BUA)],"",0)</f>
        <v>0.5</v>
      </c>
      <c r="L773" s="134">
        <f>ROUND(Market_Data[[#This Row],[Estimated Built Up Area (sq m)]]*Market_Data[[#This Row],[Concrete Intensity
(m³ / sq m)]],0)</f>
        <v>21850</v>
      </c>
      <c r="M773" s="135">
        <f>_xlfn.XLOOKUP(Market_Data[[#This Row],[District]],tbl_district_price[District],tbl_district_price[Standard Price
(INR/m³)],"",0)</f>
        <v>6200</v>
      </c>
      <c r="N773" s="364">
        <f>IF(OR(Market_Data[[#This Row],[Estimated Concrete Demand (m³)]]="",Market_Data[[#This Row],[Avg Price per (₹ / m³)]]=""),"",Market_Data[[#This Row],[Estimated Concrete Demand (m³)]]*Market_Data[[#This Row],[Avg Price per (₹ / m³)]]/10000000)</f>
        <v>13.547000000000001</v>
      </c>
      <c r="O773" s="97" t="str">
        <f>IF(Market_Data[[#This Row],[Estimated Concrete Demand (m³)]]="","",
IF(Market_Data[[#This Row],[Estimated Concrete Demand (m³)]]&lt;10000,"Small",
IF(Market_Data[[#This Row],[Estimated Concrete Demand (m³)]]&lt;25000,"Medium",
IF(Market_Data[[#This Row],[Estimated Concrete Demand (m³)]]&lt;100000,"Large","Mega"))))</f>
        <v>Medium</v>
      </c>
      <c r="P773" s="287" t="str">
        <f t="shared" si="13"/>
        <v>GujRERA</v>
      </c>
    </row>
    <row r="774" spans="1:16">
      <c r="A774" s="129" t="str">
        <f>_xlfn.XLOOKUP(B774,$S$9:$S$14,$T$9:$T$14)&amp;"-"&amp;
IF(E774="Residential/Group Housing","RES",
IF(E774="Commercial","COM",
IF(E774="Mixed Development","MIX",
IF(E774="Plotted Development","PLT","OTH"))))
&amp;"-"&amp;TEXT(COUNTIFS($B$9:B774,B774,$E$9:E774,E774),"0000")</f>
        <v>SUR-RES-0181</v>
      </c>
      <c r="B774" s="322" t="s">
        <v>34</v>
      </c>
      <c r="C774" s="322" t="s">
        <v>34</v>
      </c>
      <c r="D774" s="323" t="s">
        <v>964</v>
      </c>
      <c r="E774" s="132" t="s">
        <v>24</v>
      </c>
      <c r="F774" s="97" t="str">
        <f ca="1">IF(OR(Market_Data[[#This Row],[Start Date]]="",Market_Data[[#This Row],[Completion Date]]=""),"Needs Validation",IF(Market_Data[[#This Row],[Start Date]]&gt;TODAY(),"Planned",IF(Market_Data[[#This Row],[Completion Date]]&lt;TODAY(),"Completed","Ongoing")))</f>
        <v>Completed</v>
      </c>
      <c r="G774" s="324">
        <v>43015</v>
      </c>
      <c r="H774" s="324">
        <v>44742</v>
      </c>
      <c r="I774" s="325">
        <v>46000</v>
      </c>
      <c r="J77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74" s="133">
        <f>_xlfn.XLOOKUP(Market_Data[[#This Row],[Project Type]],tbl_assumptions_market[Project Category (RERA)],tbl_assumptions_market[Concrete Intensity
(m³ / sq m BUA)],"",0)</f>
        <v>0.45</v>
      </c>
      <c r="L774" s="134">
        <f>ROUND(Market_Data[[#This Row],[Estimated Built Up Area (sq m)]]*Market_Data[[#This Row],[Concrete Intensity
(m³ / sq m)]],0)</f>
        <v>20700</v>
      </c>
      <c r="M774" s="135">
        <f>_xlfn.XLOOKUP(Market_Data[[#This Row],[District]],tbl_district_price[District],tbl_district_price[Standard Price
(INR/m³)],"",0)</f>
        <v>6200</v>
      </c>
      <c r="N774" s="364">
        <f>IF(OR(Market_Data[[#This Row],[Estimated Concrete Demand (m³)]]="",Market_Data[[#This Row],[Avg Price per (₹ / m³)]]=""),"",Market_Data[[#This Row],[Estimated Concrete Demand (m³)]]*Market_Data[[#This Row],[Avg Price per (₹ / m³)]]/10000000)</f>
        <v>12.834</v>
      </c>
      <c r="O774" s="97" t="str">
        <f>IF(Market_Data[[#This Row],[Estimated Concrete Demand (m³)]]="","",
IF(Market_Data[[#This Row],[Estimated Concrete Demand (m³)]]&lt;10000,"Small",
IF(Market_Data[[#This Row],[Estimated Concrete Demand (m³)]]&lt;25000,"Medium",
IF(Market_Data[[#This Row],[Estimated Concrete Demand (m³)]]&lt;100000,"Large","Mega"))))</f>
        <v>Medium</v>
      </c>
      <c r="P774" s="287" t="str">
        <f t="shared" si="13"/>
        <v>GujRERA</v>
      </c>
    </row>
    <row r="775" spans="1:16">
      <c r="A775" s="129" t="str">
        <f>_xlfn.XLOOKUP(B775,$S$9:$S$14,$T$9:$T$14)&amp;"-"&amp;
IF(E775="Residential/Group Housing","RES",
IF(E775="Commercial","COM",
IF(E775="Mixed Development","MIX",
IF(E775="Plotted Development","PLT","OTH"))))
&amp;"-"&amp;TEXT(COUNTIFS($B$9:B775,B775,$E$9:E775,E775),"0000")</f>
        <v>SUR-RES-0182</v>
      </c>
      <c r="B775" s="322" t="s">
        <v>34</v>
      </c>
      <c r="C775" s="322" t="s">
        <v>34</v>
      </c>
      <c r="D775" s="323" t="s">
        <v>965</v>
      </c>
      <c r="E775" s="132" t="s">
        <v>24</v>
      </c>
      <c r="F775" s="97" t="str">
        <f ca="1">IF(OR(Market_Data[[#This Row],[Start Date]]="",Market_Data[[#This Row],[Completion Date]]=""),"Needs Validation",IF(Market_Data[[#This Row],[Start Date]]&gt;TODAY(),"Planned",IF(Market_Data[[#This Row],[Completion Date]]&lt;TODAY(),"Completed","Ongoing")))</f>
        <v>Completed</v>
      </c>
      <c r="G775" s="324">
        <v>44319</v>
      </c>
      <c r="H775" s="324">
        <v>45838</v>
      </c>
      <c r="I775" s="325">
        <v>8800</v>
      </c>
      <c r="J77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75" s="133">
        <f>_xlfn.XLOOKUP(Market_Data[[#This Row],[Project Type]],tbl_assumptions_market[Project Category (RERA)],tbl_assumptions_market[Concrete Intensity
(m³ / sq m BUA)],"",0)</f>
        <v>0.45</v>
      </c>
      <c r="L775" s="134">
        <f>ROUND(Market_Data[[#This Row],[Estimated Built Up Area (sq m)]]*Market_Data[[#This Row],[Concrete Intensity
(m³ / sq m)]],0)</f>
        <v>3960</v>
      </c>
      <c r="M775" s="135">
        <f>_xlfn.XLOOKUP(Market_Data[[#This Row],[District]],tbl_district_price[District],tbl_district_price[Standard Price
(INR/m³)],"",0)</f>
        <v>6200</v>
      </c>
      <c r="N775" s="364">
        <f>IF(OR(Market_Data[[#This Row],[Estimated Concrete Demand (m³)]]="",Market_Data[[#This Row],[Avg Price per (₹ / m³)]]=""),"",Market_Data[[#This Row],[Estimated Concrete Demand (m³)]]*Market_Data[[#This Row],[Avg Price per (₹ / m³)]]/10000000)</f>
        <v>2.4552</v>
      </c>
      <c r="O775" s="97" t="str">
        <f>IF(Market_Data[[#This Row],[Estimated Concrete Demand (m³)]]="","",
IF(Market_Data[[#This Row],[Estimated Concrete Demand (m³)]]&lt;10000,"Small",
IF(Market_Data[[#This Row],[Estimated Concrete Demand (m³)]]&lt;25000,"Medium",
IF(Market_Data[[#This Row],[Estimated Concrete Demand (m³)]]&lt;100000,"Large","Mega"))))</f>
        <v>Small</v>
      </c>
      <c r="P775" s="287" t="str">
        <f t="shared" si="13"/>
        <v>GujRERA</v>
      </c>
    </row>
    <row r="776" spans="1:16">
      <c r="A776" s="129" t="str">
        <f>_xlfn.XLOOKUP(B776,$S$9:$S$14,$T$9:$T$14)&amp;"-"&amp;
IF(E776="Residential/Group Housing","RES",
IF(E776="Commercial","COM",
IF(E776="Mixed Development","MIX",
IF(E776="Plotted Development","PLT","OTH"))))
&amp;"-"&amp;TEXT(COUNTIFS($B$9:B776,B776,$E$9:E776,E776),"0000")</f>
        <v>SUR-COM-0084</v>
      </c>
      <c r="B776" s="322" t="s">
        <v>34</v>
      </c>
      <c r="C776" s="322" t="s">
        <v>34</v>
      </c>
      <c r="D776" s="323" t="s">
        <v>966</v>
      </c>
      <c r="E776" s="132" t="s">
        <v>23</v>
      </c>
      <c r="F776" s="97" t="str">
        <f ca="1">IF(OR(Market_Data[[#This Row],[Start Date]]="",Market_Data[[#This Row],[Completion Date]]=""),"Needs Validation",IF(Market_Data[[#This Row],[Start Date]]&gt;TODAY(),"Planned",IF(Market_Data[[#This Row],[Completion Date]]&lt;TODAY(),"Completed","Ongoing")))</f>
        <v>Ongoing</v>
      </c>
      <c r="G776" s="324">
        <v>45934</v>
      </c>
      <c r="H776" s="324">
        <v>47422</v>
      </c>
      <c r="I776" s="325">
        <v>23200</v>
      </c>
      <c r="J77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776" s="133">
        <f>_xlfn.XLOOKUP(Market_Data[[#This Row],[Project Type]],tbl_assumptions_market[Project Category (RERA)],tbl_assumptions_market[Concrete Intensity
(m³ / sq m BUA)],"",0)</f>
        <v>0.5</v>
      </c>
      <c r="L776" s="134">
        <f>ROUND(Market_Data[[#This Row],[Estimated Built Up Area (sq m)]]*Market_Data[[#This Row],[Concrete Intensity
(m³ / sq m)]],0)</f>
        <v>11600</v>
      </c>
      <c r="M776" s="135">
        <f>_xlfn.XLOOKUP(Market_Data[[#This Row],[District]],tbl_district_price[District],tbl_district_price[Standard Price
(INR/m³)],"",0)</f>
        <v>6200</v>
      </c>
      <c r="N776" s="364">
        <f>IF(OR(Market_Data[[#This Row],[Estimated Concrete Demand (m³)]]="",Market_Data[[#This Row],[Avg Price per (₹ / m³)]]=""),"",Market_Data[[#This Row],[Estimated Concrete Demand (m³)]]*Market_Data[[#This Row],[Avg Price per (₹ / m³)]]/10000000)</f>
        <v>7.1920000000000002</v>
      </c>
      <c r="O776" s="97" t="str">
        <f>IF(Market_Data[[#This Row],[Estimated Concrete Demand (m³)]]="","",
IF(Market_Data[[#This Row],[Estimated Concrete Demand (m³)]]&lt;10000,"Small",
IF(Market_Data[[#This Row],[Estimated Concrete Demand (m³)]]&lt;25000,"Medium",
IF(Market_Data[[#This Row],[Estimated Concrete Demand (m³)]]&lt;100000,"Large","Mega"))))</f>
        <v>Medium</v>
      </c>
      <c r="P776" s="287" t="str">
        <f t="shared" si="13"/>
        <v>GujRERA</v>
      </c>
    </row>
    <row r="777" spans="1:16">
      <c r="A777" s="129" t="str">
        <f>_xlfn.XLOOKUP(B777,$S$9:$S$14,$T$9:$T$14)&amp;"-"&amp;
IF(E777="Residential/Group Housing","RES",
IF(E777="Commercial","COM",
IF(E777="Mixed Development","MIX",
IF(E777="Plotted Development","PLT","OTH"))))
&amp;"-"&amp;TEXT(COUNTIFS($B$9:B777,B777,$E$9:E777,E777),"0000")</f>
        <v>SUR-RES-0183</v>
      </c>
      <c r="B777" s="322" t="s">
        <v>34</v>
      </c>
      <c r="C777" s="322" t="s">
        <v>34</v>
      </c>
      <c r="D777" s="323" t="s">
        <v>967</v>
      </c>
      <c r="E777" s="132" t="s">
        <v>24</v>
      </c>
      <c r="F777" s="97" t="str">
        <f ca="1">IF(OR(Market_Data[[#This Row],[Start Date]]="",Market_Data[[#This Row],[Completion Date]]=""),"Needs Validation",IF(Market_Data[[#This Row],[Start Date]]&gt;TODAY(),"Planned",IF(Market_Data[[#This Row],[Completion Date]]&lt;TODAY(),"Completed","Ongoing")))</f>
        <v>Completed</v>
      </c>
      <c r="G777" s="324">
        <v>44875</v>
      </c>
      <c r="H777" s="324">
        <v>46053</v>
      </c>
      <c r="I777" s="325">
        <v>49900</v>
      </c>
      <c r="J77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77" s="133">
        <f>_xlfn.XLOOKUP(Market_Data[[#This Row],[Project Type]],tbl_assumptions_market[Project Category (RERA)],tbl_assumptions_market[Concrete Intensity
(m³ / sq m BUA)],"",0)</f>
        <v>0.45</v>
      </c>
      <c r="L777" s="134">
        <f>ROUND(Market_Data[[#This Row],[Estimated Built Up Area (sq m)]]*Market_Data[[#This Row],[Concrete Intensity
(m³ / sq m)]],0)</f>
        <v>22455</v>
      </c>
      <c r="M777" s="135">
        <f>_xlfn.XLOOKUP(Market_Data[[#This Row],[District]],tbl_district_price[District],tbl_district_price[Standard Price
(INR/m³)],"",0)</f>
        <v>6200</v>
      </c>
      <c r="N777" s="364">
        <f>IF(OR(Market_Data[[#This Row],[Estimated Concrete Demand (m³)]]="",Market_Data[[#This Row],[Avg Price per (₹ / m³)]]=""),"",Market_Data[[#This Row],[Estimated Concrete Demand (m³)]]*Market_Data[[#This Row],[Avg Price per (₹ / m³)]]/10000000)</f>
        <v>13.9221</v>
      </c>
      <c r="O777" s="97" t="str">
        <f>IF(Market_Data[[#This Row],[Estimated Concrete Demand (m³)]]="","",
IF(Market_Data[[#This Row],[Estimated Concrete Demand (m³)]]&lt;10000,"Small",
IF(Market_Data[[#This Row],[Estimated Concrete Demand (m³)]]&lt;25000,"Medium",
IF(Market_Data[[#This Row],[Estimated Concrete Demand (m³)]]&lt;100000,"Large","Mega"))))</f>
        <v>Medium</v>
      </c>
      <c r="P777" s="287" t="str">
        <f t="shared" si="13"/>
        <v>GujRERA</v>
      </c>
    </row>
    <row r="778" spans="1:16">
      <c r="A778" s="129" t="str">
        <f>_xlfn.XLOOKUP(B778,$S$9:$S$14,$T$9:$T$14)&amp;"-"&amp;
IF(E778="Residential/Group Housing","RES",
IF(E778="Commercial","COM",
IF(E778="Mixed Development","MIX",
IF(E778="Plotted Development","PLT","OTH"))))
&amp;"-"&amp;TEXT(COUNTIFS($B$9:B778,B778,$E$9:E778,E778),"0000")</f>
        <v>SUR-RES-0184</v>
      </c>
      <c r="B778" s="322" t="s">
        <v>34</v>
      </c>
      <c r="C778" s="322" t="s">
        <v>34</v>
      </c>
      <c r="D778" s="323" t="s">
        <v>968</v>
      </c>
      <c r="E778" s="132" t="s">
        <v>24</v>
      </c>
      <c r="F778" s="97" t="str">
        <f ca="1">IF(OR(Market_Data[[#This Row],[Start Date]]="",Market_Data[[#This Row],[Completion Date]]=""),"Needs Validation",IF(Market_Data[[#This Row],[Start Date]]&gt;TODAY(),"Planned",IF(Market_Data[[#This Row],[Completion Date]]&lt;TODAY(),"Completed","Ongoing")))</f>
        <v>Ongoing</v>
      </c>
      <c r="G778" s="324">
        <v>44877</v>
      </c>
      <c r="H778" s="324">
        <v>46752</v>
      </c>
      <c r="I778" s="325">
        <v>44100</v>
      </c>
      <c r="J77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78" s="133">
        <f>_xlfn.XLOOKUP(Market_Data[[#This Row],[Project Type]],tbl_assumptions_market[Project Category (RERA)],tbl_assumptions_market[Concrete Intensity
(m³ / sq m BUA)],"",0)</f>
        <v>0.45</v>
      </c>
      <c r="L778" s="134">
        <f>ROUND(Market_Data[[#This Row],[Estimated Built Up Area (sq m)]]*Market_Data[[#This Row],[Concrete Intensity
(m³ / sq m)]],0)</f>
        <v>19845</v>
      </c>
      <c r="M778" s="135">
        <f>_xlfn.XLOOKUP(Market_Data[[#This Row],[District]],tbl_district_price[District],tbl_district_price[Standard Price
(INR/m³)],"",0)</f>
        <v>6200</v>
      </c>
      <c r="N778" s="364">
        <f>IF(OR(Market_Data[[#This Row],[Estimated Concrete Demand (m³)]]="",Market_Data[[#This Row],[Avg Price per (₹ / m³)]]=""),"",Market_Data[[#This Row],[Estimated Concrete Demand (m³)]]*Market_Data[[#This Row],[Avg Price per (₹ / m³)]]/10000000)</f>
        <v>12.303900000000001</v>
      </c>
      <c r="O778" s="97" t="str">
        <f>IF(Market_Data[[#This Row],[Estimated Concrete Demand (m³)]]="","",
IF(Market_Data[[#This Row],[Estimated Concrete Demand (m³)]]&lt;10000,"Small",
IF(Market_Data[[#This Row],[Estimated Concrete Demand (m³)]]&lt;25000,"Medium",
IF(Market_Data[[#This Row],[Estimated Concrete Demand (m³)]]&lt;100000,"Large","Mega"))))</f>
        <v>Medium</v>
      </c>
      <c r="P778" s="287" t="str">
        <f t="shared" ref="P778:P841" si="14">HYPERLINK(
"https://gujrera.gujarat.gov.in",
"GujRERA")</f>
        <v>GujRERA</v>
      </c>
    </row>
    <row r="779" spans="1:16">
      <c r="A779" s="129" t="str">
        <f>_xlfn.XLOOKUP(B779,$S$9:$S$14,$T$9:$T$14)&amp;"-"&amp;
IF(E779="Residential/Group Housing","RES",
IF(E779="Commercial","COM",
IF(E779="Mixed Development","MIX",
IF(E779="Plotted Development","PLT","OTH"))))
&amp;"-"&amp;TEXT(COUNTIFS($B$9:B779,B779,$E$9:E779,E779),"0000")</f>
        <v>SUR-RES-0185</v>
      </c>
      <c r="B779" s="322" t="s">
        <v>34</v>
      </c>
      <c r="C779" s="322" t="s">
        <v>34</v>
      </c>
      <c r="D779" s="323" t="s">
        <v>969</v>
      </c>
      <c r="E779" s="132" t="s">
        <v>24</v>
      </c>
      <c r="F779" s="97" t="str">
        <f ca="1">IF(OR(Market_Data[[#This Row],[Start Date]]="",Market_Data[[#This Row],[Completion Date]]=""),"Needs Validation",IF(Market_Data[[#This Row],[Start Date]]&gt;TODAY(),"Planned",IF(Market_Data[[#This Row],[Completion Date]]&lt;TODAY(),"Completed","Ongoing")))</f>
        <v>Ongoing</v>
      </c>
      <c r="G779" s="324">
        <v>46098</v>
      </c>
      <c r="H779" s="324">
        <v>47848</v>
      </c>
      <c r="I779" s="325">
        <v>25200</v>
      </c>
      <c r="J77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79" s="133">
        <f>_xlfn.XLOOKUP(Market_Data[[#This Row],[Project Type]],tbl_assumptions_market[Project Category (RERA)],tbl_assumptions_market[Concrete Intensity
(m³ / sq m BUA)],"",0)</f>
        <v>0.45</v>
      </c>
      <c r="L779" s="134">
        <f>ROUND(Market_Data[[#This Row],[Estimated Built Up Area (sq m)]]*Market_Data[[#This Row],[Concrete Intensity
(m³ / sq m)]],0)</f>
        <v>11340</v>
      </c>
      <c r="M779" s="135">
        <f>_xlfn.XLOOKUP(Market_Data[[#This Row],[District]],tbl_district_price[District],tbl_district_price[Standard Price
(INR/m³)],"",0)</f>
        <v>6200</v>
      </c>
      <c r="N779" s="364">
        <f>IF(OR(Market_Data[[#This Row],[Estimated Concrete Demand (m³)]]="",Market_Data[[#This Row],[Avg Price per (₹ / m³)]]=""),"",Market_Data[[#This Row],[Estimated Concrete Demand (m³)]]*Market_Data[[#This Row],[Avg Price per (₹ / m³)]]/10000000)</f>
        <v>7.0308000000000002</v>
      </c>
      <c r="O779" s="97" t="str">
        <f>IF(Market_Data[[#This Row],[Estimated Concrete Demand (m³)]]="","",
IF(Market_Data[[#This Row],[Estimated Concrete Demand (m³)]]&lt;10000,"Small",
IF(Market_Data[[#This Row],[Estimated Concrete Demand (m³)]]&lt;25000,"Medium",
IF(Market_Data[[#This Row],[Estimated Concrete Demand (m³)]]&lt;100000,"Large","Mega"))))</f>
        <v>Medium</v>
      </c>
      <c r="P779" s="287" t="str">
        <f t="shared" si="14"/>
        <v>GujRERA</v>
      </c>
    </row>
    <row r="780" spans="1:16">
      <c r="A780" s="129" t="str">
        <f>_xlfn.XLOOKUP(B780,$S$9:$S$14,$T$9:$T$14)&amp;"-"&amp;
IF(E780="Residential/Group Housing","RES",
IF(E780="Commercial","COM",
IF(E780="Mixed Development","MIX",
IF(E780="Plotted Development","PLT","OTH"))))
&amp;"-"&amp;TEXT(COUNTIFS($B$9:B780,B780,$E$9:E780,E780),"0000")</f>
        <v>SUR-RES-0186</v>
      </c>
      <c r="B780" s="322" t="s">
        <v>34</v>
      </c>
      <c r="C780" s="322" t="s">
        <v>34</v>
      </c>
      <c r="D780" s="323" t="s">
        <v>970</v>
      </c>
      <c r="E780" s="132" t="s">
        <v>24</v>
      </c>
      <c r="F780" s="97" t="str">
        <f ca="1">IF(OR(Market_Data[[#This Row],[Start Date]]="",Market_Data[[#This Row],[Completion Date]]=""),"Needs Validation",IF(Market_Data[[#This Row],[Start Date]]&gt;TODAY(),"Planned",IF(Market_Data[[#This Row],[Completion Date]]&lt;TODAY(),"Completed","Ongoing")))</f>
        <v>Ongoing</v>
      </c>
      <c r="G780" s="324">
        <v>45026</v>
      </c>
      <c r="H780" s="324">
        <v>46752</v>
      </c>
      <c r="I780" s="325">
        <v>29400</v>
      </c>
      <c r="J78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80" s="133">
        <f>_xlfn.XLOOKUP(Market_Data[[#This Row],[Project Type]],tbl_assumptions_market[Project Category (RERA)],tbl_assumptions_market[Concrete Intensity
(m³ / sq m BUA)],"",0)</f>
        <v>0.45</v>
      </c>
      <c r="L780" s="134">
        <f>ROUND(Market_Data[[#This Row],[Estimated Built Up Area (sq m)]]*Market_Data[[#This Row],[Concrete Intensity
(m³ / sq m)]],0)</f>
        <v>13230</v>
      </c>
      <c r="M780" s="135">
        <f>_xlfn.XLOOKUP(Market_Data[[#This Row],[District]],tbl_district_price[District],tbl_district_price[Standard Price
(INR/m³)],"",0)</f>
        <v>6200</v>
      </c>
      <c r="N780" s="364">
        <f>IF(OR(Market_Data[[#This Row],[Estimated Concrete Demand (m³)]]="",Market_Data[[#This Row],[Avg Price per (₹ / m³)]]=""),"",Market_Data[[#This Row],[Estimated Concrete Demand (m³)]]*Market_Data[[#This Row],[Avg Price per (₹ / m³)]]/10000000)</f>
        <v>8.2026000000000003</v>
      </c>
      <c r="O780" s="97" t="str">
        <f>IF(Market_Data[[#This Row],[Estimated Concrete Demand (m³)]]="","",
IF(Market_Data[[#This Row],[Estimated Concrete Demand (m³)]]&lt;10000,"Small",
IF(Market_Data[[#This Row],[Estimated Concrete Demand (m³)]]&lt;25000,"Medium",
IF(Market_Data[[#This Row],[Estimated Concrete Demand (m³)]]&lt;100000,"Large","Mega"))))</f>
        <v>Medium</v>
      </c>
      <c r="P780" s="287" t="str">
        <f t="shared" si="14"/>
        <v>GujRERA</v>
      </c>
    </row>
    <row r="781" spans="1:16">
      <c r="A781" s="129" t="str">
        <f>_xlfn.XLOOKUP(B781,$S$9:$S$14,$T$9:$T$14)&amp;"-"&amp;
IF(E781="Residential/Group Housing","RES",
IF(E781="Commercial","COM",
IF(E781="Mixed Development","MIX",
IF(E781="Plotted Development","PLT","OTH"))))
&amp;"-"&amp;TEXT(COUNTIFS($B$9:B781,B781,$E$9:E781,E781),"0000")</f>
        <v>SUR-MIX-0085</v>
      </c>
      <c r="B781" s="322" t="s">
        <v>34</v>
      </c>
      <c r="C781" s="322" t="s">
        <v>34</v>
      </c>
      <c r="D781" s="323" t="s">
        <v>971</v>
      </c>
      <c r="E781" s="132" t="s">
        <v>25</v>
      </c>
      <c r="F781" s="97" t="str">
        <f ca="1">IF(OR(Market_Data[[#This Row],[Start Date]]="",Market_Data[[#This Row],[Completion Date]]=""),"Needs Validation",IF(Market_Data[[#This Row],[Start Date]]&gt;TODAY(),"Planned",IF(Market_Data[[#This Row],[Completion Date]]&lt;TODAY(),"Completed","Ongoing")))</f>
        <v>Ongoing</v>
      </c>
      <c r="G781" s="324">
        <v>45273</v>
      </c>
      <c r="H781" s="324">
        <v>47118</v>
      </c>
      <c r="I781" s="325">
        <v>29300</v>
      </c>
      <c r="J78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81" s="133">
        <f>_xlfn.XLOOKUP(Market_Data[[#This Row],[Project Type]],tbl_assumptions_market[Project Category (RERA)],tbl_assumptions_market[Concrete Intensity
(m³ / sq m BUA)],"",0)</f>
        <v>0.42</v>
      </c>
      <c r="L781" s="134">
        <f>ROUND(Market_Data[[#This Row],[Estimated Built Up Area (sq m)]]*Market_Data[[#This Row],[Concrete Intensity
(m³ / sq m)]],0)</f>
        <v>12306</v>
      </c>
      <c r="M781" s="135">
        <f>_xlfn.XLOOKUP(Market_Data[[#This Row],[District]],tbl_district_price[District],tbl_district_price[Standard Price
(INR/m³)],"",0)</f>
        <v>6200</v>
      </c>
      <c r="N781" s="364">
        <f>IF(OR(Market_Data[[#This Row],[Estimated Concrete Demand (m³)]]="",Market_Data[[#This Row],[Avg Price per (₹ / m³)]]=""),"",Market_Data[[#This Row],[Estimated Concrete Demand (m³)]]*Market_Data[[#This Row],[Avg Price per (₹ / m³)]]/10000000)</f>
        <v>7.6297199999999998</v>
      </c>
      <c r="O781" s="97" t="str">
        <f>IF(Market_Data[[#This Row],[Estimated Concrete Demand (m³)]]="","",
IF(Market_Data[[#This Row],[Estimated Concrete Demand (m³)]]&lt;10000,"Small",
IF(Market_Data[[#This Row],[Estimated Concrete Demand (m³)]]&lt;25000,"Medium",
IF(Market_Data[[#This Row],[Estimated Concrete Demand (m³)]]&lt;100000,"Large","Mega"))))</f>
        <v>Medium</v>
      </c>
      <c r="P781" s="287" t="str">
        <f t="shared" si="14"/>
        <v>GujRERA</v>
      </c>
    </row>
    <row r="782" spans="1:16">
      <c r="A782" s="129" t="str">
        <f>_xlfn.XLOOKUP(B782,$S$9:$S$14,$T$9:$T$14)&amp;"-"&amp;
IF(E782="Residential/Group Housing","RES",
IF(E782="Commercial","COM",
IF(E782="Mixed Development","MIX",
IF(E782="Plotted Development","PLT","OTH"))))
&amp;"-"&amp;TEXT(COUNTIFS($B$9:B782,B782,$E$9:E782,E782),"0000")</f>
        <v>SUR-PLT-0109</v>
      </c>
      <c r="B782" s="322" t="s">
        <v>34</v>
      </c>
      <c r="C782" s="322" t="s">
        <v>34</v>
      </c>
      <c r="D782" s="323" t="s">
        <v>972</v>
      </c>
      <c r="E782" s="132" t="s">
        <v>26</v>
      </c>
      <c r="F782" s="97" t="str">
        <f ca="1">IF(OR(Market_Data[[#This Row],[Start Date]]="",Market_Data[[#This Row],[Completion Date]]=""),"Needs Validation",IF(Market_Data[[#This Row],[Start Date]]&gt;TODAY(),"Planned",IF(Market_Data[[#This Row],[Completion Date]]&lt;TODAY(),"Completed","Ongoing")))</f>
        <v>Completed</v>
      </c>
      <c r="G782" s="324">
        <v>44518</v>
      </c>
      <c r="H782" s="324">
        <v>45657</v>
      </c>
      <c r="I782" s="325">
        <v>29600</v>
      </c>
      <c r="J78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82" s="133">
        <f>_xlfn.XLOOKUP(Market_Data[[#This Row],[Project Type]],tbl_assumptions_market[Project Category (RERA)],tbl_assumptions_market[Concrete Intensity
(m³ / sq m BUA)],"",0)</f>
        <v>0.18</v>
      </c>
      <c r="L782" s="134">
        <f>ROUND(Market_Data[[#This Row],[Estimated Built Up Area (sq m)]]*Market_Data[[#This Row],[Concrete Intensity
(m³ / sq m)]],0)</f>
        <v>5328</v>
      </c>
      <c r="M782" s="135">
        <f>_xlfn.XLOOKUP(Market_Data[[#This Row],[District]],tbl_district_price[District],tbl_district_price[Standard Price
(INR/m³)],"",0)</f>
        <v>6200</v>
      </c>
      <c r="N782" s="364">
        <f>IF(OR(Market_Data[[#This Row],[Estimated Concrete Demand (m³)]]="",Market_Data[[#This Row],[Avg Price per (₹ / m³)]]=""),"",Market_Data[[#This Row],[Estimated Concrete Demand (m³)]]*Market_Data[[#This Row],[Avg Price per (₹ / m³)]]/10000000)</f>
        <v>3.3033600000000001</v>
      </c>
      <c r="O782" s="97" t="str">
        <f>IF(Market_Data[[#This Row],[Estimated Concrete Demand (m³)]]="","",
IF(Market_Data[[#This Row],[Estimated Concrete Demand (m³)]]&lt;10000,"Small",
IF(Market_Data[[#This Row],[Estimated Concrete Demand (m³)]]&lt;25000,"Medium",
IF(Market_Data[[#This Row],[Estimated Concrete Demand (m³)]]&lt;100000,"Large","Mega"))))</f>
        <v>Small</v>
      </c>
      <c r="P782" s="287" t="str">
        <f t="shared" si="14"/>
        <v>GujRERA</v>
      </c>
    </row>
    <row r="783" spans="1:16">
      <c r="A783" s="129" t="str">
        <f>_xlfn.XLOOKUP(B783,$S$9:$S$14,$T$9:$T$14)&amp;"-"&amp;
IF(E783="Residential/Group Housing","RES",
IF(E783="Commercial","COM",
IF(E783="Mixed Development","MIX",
IF(E783="Plotted Development","PLT","OTH"))))
&amp;"-"&amp;TEXT(COUNTIFS($B$9:B783,B783,$E$9:E783,E783),"0000")</f>
        <v>SUR-RES-0187</v>
      </c>
      <c r="B783" s="322" t="s">
        <v>34</v>
      </c>
      <c r="C783" s="322" t="s">
        <v>34</v>
      </c>
      <c r="D783" s="323" t="s">
        <v>973</v>
      </c>
      <c r="E783" s="132" t="s">
        <v>24</v>
      </c>
      <c r="F783" s="97" t="str">
        <f ca="1">IF(OR(Market_Data[[#This Row],[Start Date]]="",Market_Data[[#This Row],[Completion Date]]=""),"Needs Validation",IF(Market_Data[[#This Row],[Start Date]]&gt;TODAY(),"Planned",IF(Market_Data[[#This Row],[Completion Date]]&lt;TODAY(),"Completed","Ongoing")))</f>
        <v>Ongoing</v>
      </c>
      <c r="G783" s="324">
        <v>45631</v>
      </c>
      <c r="H783" s="324">
        <v>46752</v>
      </c>
      <c r="I783" s="325">
        <v>17100</v>
      </c>
      <c r="J78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83" s="133">
        <f>_xlfn.XLOOKUP(Market_Data[[#This Row],[Project Type]],tbl_assumptions_market[Project Category (RERA)],tbl_assumptions_market[Concrete Intensity
(m³ / sq m BUA)],"",0)</f>
        <v>0.45</v>
      </c>
      <c r="L783" s="134">
        <f>ROUND(Market_Data[[#This Row],[Estimated Built Up Area (sq m)]]*Market_Data[[#This Row],[Concrete Intensity
(m³ / sq m)]],0)</f>
        <v>7695</v>
      </c>
      <c r="M783" s="135">
        <f>_xlfn.XLOOKUP(Market_Data[[#This Row],[District]],tbl_district_price[District],tbl_district_price[Standard Price
(INR/m³)],"",0)</f>
        <v>6200</v>
      </c>
      <c r="N783" s="364">
        <f>IF(OR(Market_Data[[#This Row],[Estimated Concrete Demand (m³)]]="",Market_Data[[#This Row],[Avg Price per (₹ / m³)]]=""),"",Market_Data[[#This Row],[Estimated Concrete Demand (m³)]]*Market_Data[[#This Row],[Avg Price per (₹ / m³)]]/10000000)</f>
        <v>4.7709000000000001</v>
      </c>
      <c r="O783" s="97" t="str">
        <f>IF(Market_Data[[#This Row],[Estimated Concrete Demand (m³)]]="","",
IF(Market_Data[[#This Row],[Estimated Concrete Demand (m³)]]&lt;10000,"Small",
IF(Market_Data[[#This Row],[Estimated Concrete Demand (m³)]]&lt;25000,"Medium",
IF(Market_Data[[#This Row],[Estimated Concrete Demand (m³)]]&lt;100000,"Large","Mega"))))</f>
        <v>Small</v>
      </c>
      <c r="P783" s="287" t="str">
        <f t="shared" si="14"/>
        <v>GujRERA</v>
      </c>
    </row>
    <row r="784" spans="1:16">
      <c r="A784" s="129" t="str">
        <f>_xlfn.XLOOKUP(B784,$S$9:$S$14,$T$9:$T$14)&amp;"-"&amp;
IF(E784="Residential/Group Housing","RES",
IF(E784="Commercial","COM",
IF(E784="Mixed Development","MIX",
IF(E784="Plotted Development","PLT","OTH"))))
&amp;"-"&amp;TEXT(COUNTIFS($B$9:B784,B784,$E$9:E784,E784),"0000")</f>
        <v>SUR-PLT-0110</v>
      </c>
      <c r="B784" s="322" t="s">
        <v>34</v>
      </c>
      <c r="C784" s="322" t="s">
        <v>34</v>
      </c>
      <c r="D784" s="323" t="s">
        <v>974</v>
      </c>
      <c r="E784" s="132" t="s">
        <v>26</v>
      </c>
      <c r="F784" s="97" t="str">
        <f ca="1">IF(OR(Market_Data[[#This Row],[Start Date]]="",Market_Data[[#This Row],[Completion Date]]=""),"Needs Validation",IF(Market_Data[[#This Row],[Start Date]]&gt;TODAY(),"Planned",IF(Market_Data[[#This Row],[Completion Date]]&lt;TODAY(),"Completed","Ongoing")))</f>
        <v>Ongoing</v>
      </c>
      <c r="G784" s="324">
        <v>45145</v>
      </c>
      <c r="H784" s="324">
        <v>46387</v>
      </c>
      <c r="I784" s="325">
        <v>23500</v>
      </c>
      <c r="J78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84" s="133">
        <f>_xlfn.XLOOKUP(Market_Data[[#This Row],[Project Type]],tbl_assumptions_market[Project Category (RERA)],tbl_assumptions_market[Concrete Intensity
(m³ / sq m BUA)],"",0)</f>
        <v>0.18</v>
      </c>
      <c r="L784" s="134">
        <f>ROUND(Market_Data[[#This Row],[Estimated Built Up Area (sq m)]]*Market_Data[[#This Row],[Concrete Intensity
(m³ / sq m)]],0)</f>
        <v>4230</v>
      </c>
      <c r="M784" s="135">
        <f>_xlfn.XLOOKUP(Market_Data[[#This Row],[District]],tbl_district_price[District],tbl_district_price[Standard Price
(INR/m³)],"",0)</f>
        <v>6200</v>
      </c>
      <c r="N784" s="364">
        <f>IF(OR(Market_Data[[#This Row],[Estimated Concrete Demand (m³)]]="",Market_Data[[#This Row],[Avg Price per (₹ / m³)]]=""),"",Market_Data[[#This Row],[Estimated Concrete Demand (m³)]]*Market_Data[[#This Row],[Avg Price per (₹ / m³)]]/10000000)</f>
        <v>2.6225999999999998</v>
      </c>
      <c r="O784" s="97" t="str">
        <f>IF(Market_Data[[#This Row],[Estimated Concrete Demand (m³)]]="","",
IF(Market_Data[[#This Row],[Estimated Concrete Demand (m³)]]&lt;10000,"Small",
IF(Market_Data[[#This Row],[Estimated Concrete Demand (m³)]]&lt;25000,"Medium",
IF(Market_Data[[#This Row],[Estimated Concrete Demand (m³)]]&lt;100000,"Large","Mega"))))</f>
        <v>Small</v>
      </c>
      <c r="P784" s="287" t="str">
        <f t="shared" si="14"/>
        <v>GujRERA</v>
      </c>
    </row>
    <row r="785" spans="1:16">
      <c r="A785" s="129" t="str">
        <f>_xlfn.XLOOKUP(B785,$S$9:$S$14,$T$9:$T$14)&amp;"-"&amp;
IF(E785="Residential/Group Housing","RES",
IF(E785="Commercial","COM",
IF(E785="Mixed Development","MIX",
IF(E785="Plotted Development","PLT","OTH"))))
&amp;"-"&amp;TEXT(COUNTIFS($B$9:B785,B785,$E$9:E785,E785),"0000")</f>
        <v>SUR-MIX-0086</v>
      </c>
      <c r="B785" s="322" t="s">
        <v>34</v>
      </c>
      <c r="C785" s="322" t="s">
        <v>34</v>
      </c>
      <c r="D785" s="323" t="s">
        <v>975</v>
      </c>
      <c r="E785" s="132" t="s">
        <v>25</v>
      </c>
      <c r="F785" s="97" t="str">
        <f ca="1">IF(OR(Market_Data[[#This Row],[Start Date]]="",Market_Data[[#This Row],[Completion Date]]=""),"Needs Validation",IF(Market_Data[[#This Row],[Start Date]]&gt;TODAY(),"Planned",IF(Market_Data[[#This Row],[Completion Date]]&lt;TODAY(),"Completed","Ongoing")))</f>
        <v>Ongoing</v>
      </c>
      <c r="G785" s="324">
        <v>45912</v>
      </c>
      <c r="H785" s="324">
        <v>47483</v>
      </c>
      <c r="I785" s="325">
        <v>38500</v>
      </c>
      <c r="J78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85" s="133">
        <f>_xlfn.XLOOKUP(Market_Data[[#This Row],[Project Type]],tbl_assumptions_market[Project Category (RERA)],tbl_assumptions_market[Concrete Intensity
(m³ / sq m BUA)],"",0)</f>
        <v>0.42</v>
      </c>
      <c r="L785" s="134">
        <f>ROUND(Market_Data[[#This Row],[Estimated Built Up Area (sq m)]]*Market_Data[[#This Row],[Concrete Intensity
(m³ / sq m)]],0)</f>
        <v>16170</v>
      </c>
      <c r="M785" s="135">
        <f>_xlfn.XLOOKUP(Market_Data[[#This Row],[District]],tbl_district_price[District],tbl_district_price[Standard Price
(INR/m³)],"",0)</f>
        <v>6200</v>
      </c>
      <c r="N785" s="364">
        <f>IF(OR(Market_Data[[#This Row],[Estimated Concrete Demand (m³)]]="",Market_Data[[#This Row],[Avg Price per (₹ / m³)]]=""),"",Market_Data[[#This Row],[Estimated Concrete Demand (m³)]]*Market_Data[[#This Row],[Avg Price per (₹ / m³)]]/10000000)</f>
        <v>10.025399999999999</v>
      </c>
      <c r="O785" s="97" t="str">
        <f>IF(Market_Data[[#This Row],[Estimated Concrete Demand (m³)]]="","",
IF(Market_Data[[#This Row],[Estimated Concrete Demand (m³)]]&lt;10000,"Small",
IF(Market_Data[[#This Row],[Estimated Concrete Demand (m³)]]&lt;25000,"Medium",
IF(Market_Data[[#This Row],[Estimated Concrete Demand (m³)]]&lt;100000,"Large","Mega"))))</f>
        <v>Medium</v>
      </c>
      <c r="P785" s="287" t="str">
        <f t="shared" si="14"/>
        <v>GujRERA</v>
      </c>
    </row>
    <row r="786" spans="1:16">
      <c r="A786" s="129" t="str">
        <f>_xlfn.XLOOKUP(B786,$S$9:$S$14,$T$9:$T$14)&amp;"-"&amp;
IF(E786="Residential/Group Housing","RES",
IF(E786="Commercial","COM",
IF(E786="Mixed Development","MIX",
IF(E786="Plotted Development","PLT","OTH"))))
&amp;"-"&amp;TEXT(COUNTIFS($B$9:B786,B786,$E$9:E786,E786),"0000")</f>
        <v>SUR-RES-0188</v>
      </c>
      <c r="B786" s="322" t="s">
        <v>34</v>
      </c>
      <c r="C786" s="322" t="s">
        <v>34</v>
      </c>
      <c r="D786" s="323" t="s">
        <v>976</v>
      </c>
      <c r="E786" s="132" t="s">
        <v>24</v>
      </c>
      <c r="F786" s="97" t="str">
        <f ca="1">IF(OR(Market_Data[[#This Row],[Start Date]]="",Market_Data[[#This Row],[Completion Date]]=""),"Needs Validation",IF(Market_Data[[#This Row],[Start Date]]&gt;TODAY(),"Planned",IF(Market_Data[[#This Row],[Completion Date]]&lt;TODAY(),"Completed","Ongoing")))</f>
        <v>Ongoing</v>
      </c>
      <c r="G786" s="324">
        <v>45672</v>
      </c>
      <c r="H786" s="324">
        <v>47483</v>
      </c>
      <c r="I786" s="325">
        <v>32200</v>
      </c>
      <c r="J78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86" s="133">
        <f>_xlfn.XLOOKUP(Market_Data[[#This Row],[Project Type]],tbl_assumptions_market[Project Category (RERA)],tbl_assumptions_market[Concrete Intensity
(m³ / sq m BUA)],"",0)</f>
        <v>0.45</v>
      </c>
      <c r="L786" s="134">
        <f>ROUND(Market_Data[[#This Row],[Estimated Built Up Area (sq m)]]*Market_Data[[#This Row],[Concrete Intensity
(m³ / sq m)]],0)</f>
        <v>14490</v>
      </c>
      <c r="M786" s="135">
        <f>_xlfn.XLOOKUP(Market_Data[[#This Row],[District]],tbl_district_price[District],tbl_district_price[Standard Price
(INR/m³)],"",0)</f>
        <v>6200</v>
      </c>
      <c r="N786" s="364">
        <f>IF(OR(Market_Data[[#This Row],[Estimated Concrete Demand (m³)]]="",Market_Data[[#This Row],[Avg Price per (₹ / m³)]]=""),"",Market_Data[[#This Row],[Estimated Concrete Demand (m³)]]*Market_Data[[#This Row],[Avg Price per (₹ / m³)]]/10000000)</f>
        <v>8.9838000000000005</v>
      </c>
      <c r="O786" s="97" t="str">
        <f>IF(Market_Data[[#This Row],[Estimated Concrete Demand (m³)]]="","",
IF(Market_Data[[#This Row],[Estimated Concrete Demand (m³)]]&lt;10000,"Small",
IF(Market_Data[[#This Row],[Estimated Concrete Demand (m³)]]&lt;25000,"Medium",
IF(Market_Data[[#This Row],[Estimated Concrete Demand (m³)]]&lt;100000,"Large","Mega"))))</f>
        <v>Medium</v>
      </c>
      <c r="P786" s="287" t="str">
        <f t="shared" si="14"/>
        <v>GujRERA</v>
      </c>
    </row>
    <row r="787" spans="1:16">
      <c r="A787" s="129" t="str">
        <f>_xlfn.XLOOKUP(B787,$S$9:$S$14,$T$9:$T$14)&amp;"-"&amp;
IF(E787="Residential/Group Housing","RES",
IF(E787="Commercial","COM",
IF(E787="Mixed Development","MIX",
IF(E787="Plotted Development","PLT","OTH"))))
&amp;"-"&amp;TEXT(COUNTIFS($B$9:B787,B787,$E$9:E787,E787),"0000")</f>
        <v>SUR-RES-0189</v>
      </c>
      <c r="B787" s="322" t="s">
        <v>34</v>
      </c>
      <c r="C787" s="322" t="s">
        <v>34</v>
      </c>
      <c r="D787" s="323" t="s">
        <v>977</v>
      </c>
      <c r="E787" s="132" t="s">
        <v>24</v>
      </c>
      <c r="F787" s="97" t="str">
        <f ca="1">IF(OR(Market_Data[[#This Row],[Start Date]]="",Market_Data[[#This Row],[Completion Date]]=""),"Needs Validation",IF(Market_Data[[#This Row],[Start Date]]&gt;TODAY(),"Planned",IF(Market_Data[[#This Row],[Completion Date]]&lt;TODAY(),"Completed","Ongoing")))</f>
        <v>Completed</v>
      </c>
      <c r="G787" s="324">
        <v>43405</v>
      </c>
      <c r="H787" s="324">
        <v>45473</v>
      </c>
      <c r="I787" s="325">
        <v>28700</v>
      </c>
      <c r="J78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87" s="133">
        <f>_xlfn.XLOOKUP(Market_Data[[#This Row],[Project Type]],tbl_assumptions_market[Project Category (RERA)],tbl_assumptions_market[Concrete Intensity
(m³ / sq m BUA)],"",0)</f>
        <v>0.45</v>
      </c>
      <c r="L787" s="134">
        <f>ROUND(Market_Data[[#This Row],[Estimated Built Up Area (sq m)]]*Market_Data[[#This Row],[Concrete Intensity
(m³ / sq m)]],0)</f>
        <v>12915</v>
      </c>
      <c r="M787" s="135">
        <f>_xlfn.XLOOKUP(Market_Data[[#This Row],[District]],tbl_district_price[District],tbl_district_price[Standard Price
(INR/m³)],"",0)</f>
        <v>6200</v>
      </c>
      <c r="N787" s="364">
        <f>IF(OR(Market_Data[[#This Row],[Estimated Concrete Demand (m³)]]="",Market_Data[[#This Row],[Avg Price per (₹ / m³)]]=""),"",Market_Data[[#This Row],[Estimated Concrete Demand (m³)]]*Market_Data[[#This Row],[Avg Price per (₹ / m³)]]/10000000)</f>
        <v>8.0073000000000008</v>
      </c>
      <c r="O787" s="97" t="str">
        <f>IF(Market_Data[[#This Row],[Estimated Concrete Demand (m³)]]="","",
IF(Market_Data[[#This Row],[Estimated Concrete Demand (m³)]]&lt;10000,"Small",
IF(Market_Data[[#This Row],[Estimated Concrete Demand (m³)]]&lt;25000,"Medium",
IF(Market_Data[[#This Row],[Estimated Concrete Demand (m³)]]&lt;100000,"Large","Mega"))))</f>
        <v>Medium</v>
      </c>
      <c r="P787" s="287" t="str">
        <f t="shared" si="14"/>
        <v>GujRERA</v>
      </c>
    </row>
    <row r="788" spans="1:16">
      <c r="A788" s="129" t="str">
        <f>_xlfn.XLOOKUP(B788,$S$9:$S$14,$T$9:$T$14)&amp;"-"&amp;
IF(E788="Residential/Group Housing","RES",
IF(E788="Commercial","COM",
IF(E788="Mixed Development","MIX",
IF(E788="Plotted Development","PLT","OTH"))))
&amp;"-"&amp;TEXT(COUNTIFS($B$9:B788,B788,$E$9:E788,E788),"0000")</f>
        <v>SUR-COM-0085</v>
      </c>
      <c r="B788" s="322" t="s">
        <v>34</v>
      </c>
      <c r="C788" s="322" t="s">
        <v>34</v>
      </c>
      <c r="D788" s="323" t="s">
        <v>978</v>
      </c>
      <c r="E788" s="132" t="s">
        <v>23</v>
      </c>
      <c r="F788" s="97" t="str">
        <f ca="1">IF(OR(Market_Data[[#This Row],[Start Date]]="",Market_Data[[#This Row],[Completion Date]]=""),"Needs Validation",IF(Market_Data[[#This Row],[Start Date]]&gt;TODAY(),"Planned",IF(Market_Data[[#This Row],[Completion Date]]&lt;TODAY(),"Completed","Ongoing")))</f>
        <v>Completed</v>
      </c>
      <c r="G788" s="324">
        <v>42826</v>
      </c>
      <c r="H788" s="324">
        <v>44285</v>
      </c>
      <c r="I788" s="325">
        <v>19500</v>
      </c>
      <c r="J78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88" s="133">
        <f>_xlfn.XLOOKUP(Market_Data[[#This Row],[Project Type]],tbl_assumptions_market[Project Category (RERA)],tbl_assumptions_market[Concrete Intensity
(m³ / sq m BUA)],"",0)</f>
        <v>0.5</v>
      </c>
      <c r="L788" s="134">
        <f>ROUND(Market_Data[[#This Row],[Estimated Built Up Area (sq m)]]*Market_Data[[#This Row],[Concrete Intensity
(m³ / sq m)]],0)</f>
        <v>9750</v>
      </c>
      <c r="M788" s="135">
        <f>_xlfn.XLOOKUP(Market_Data[[#This Row],[District]],tbl_district_price[District],tbl_district_price[Standard Price
(INR/m³)],"",0)</f>
        <v>6200</v>
      </c>
      <c r="N788" s="364">
        <f>IF(OR(Market_Data[[#This Row],[Estimated Concrete Demand (m³)]]="",Market_Data[[#This Row],[Avg Price per (₹ / m³)]]=""),"",Market_Data[[#This Row],[Estimated Concrete Demand (m³)]]*Market_Data[[#This Row],[Avg Price per (₹ / m³)]]/10000000)</f>
        <v>6.0449999999999999</v>
      </c>
      <c r="O788" s="97" t="str">
        <f>IF(Market_Data[[#This Row],[Estimated Concrete Demand (m³)]]="","",
IF(Market_Data[[#This Row],[Estimated Concrete Demand (m³)]]&lt;10000,"Small",
IF(Market_Data[[#This Row],[Estimated Concrete Demand (m³)]]&lt;25000,"Medium",
IF(Market_Data[[#This Row],[Estimated Concrete Demand (m³)]]&lt;100000,"Large","Mega"))))</f>
        <v>Small</v>
      </c>
      <c r="P788" s="287" t="str">
        <f t="shared" si="14"/>
        <v>GujRERA</v>
      </c>
    </row>
    <row r="789" spans="1:16">
      <c r="A789" s="129" t="str">
        <f>_xlfn.XLOOKUP(B789,$S$9:$S$14,$T$9:$T$14)&amp;"-"&amp;
IF(E789="Residential/Group Housing","RES",
IF(E789="Commercial","COM",
IF(E789="Mixed Development","MIX",
IF(E789="Plotted Development","PLT","OTH"))))
&amp;"-"&amp;TEXT(COUNTIFS($B$9:B789,B789,$E$9:E789,E789),"0000")</f>
        <v>SUR-PLT-0111</v>
      </c>
      <c r="B789" s="322" t="s">
        <v>34</v>
      </c>
      <c r="C789" s="322" t="s">
        <v>34</v>
      </c>
      <c r="D789" s="323" t="s">
        <v>979</v>
      </c>
      <c r="E789" s="132" t="s">
        <v>26</v>
      </c>
      <c r="F789" s="97" t="str">
        <f ca="1">IF(OR(Market_Data[[#This Row],[Start Date]]="",Market_Data[[#This Row],[Completion Date]]=""),"Needs Validation",IF(Market_Data[[#This Row],[Start Date]]&gt;TODAY(),"Planned",IF(Market_Data[[#This Row],[Completion Date]]&lt;TODAY(),"Completed","Ongoing")))</f>
        <v>Completed</v>
      </c>
      <c r="G789" s="324">
        <v>44782</v>
      </c>
      <c r="H789" s="324">
        <v>45657</v>
      </c>
      <c r="I789" s="325">
        <v>45900</v>
      </c>
      <c r="J78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789" s="133">
        <f>_xlfn.XLOOKUP(Market_Data[[#This Row],[Project Type]],tbl_assumptions_market[Project Category (RERA)],tbl_assumptions_market[Concrete Intensity
(m³ / sq m BUA)],"",0)</f>
        <v>0.18</v>
      </c>
      <c r="L789" s="134">
        <f>ROUND(Market_Data[[#This Row],[Estimated Built Up Area (sq m)]]*Market_Data[[#This Row],[Concrete Intensity
(m³ / sq m)]],0)</f>
        <v>8262</v>
      </c>
      <c r="M789" s="135">
        <f>_xlfn.XLOOKUP(Market_Data[[#This Row],[District]],tbl_district_price[District],tbl_district_price[Standard Price
(INR/m³)],"",0)</f>
        <v>6200</v>
      </c>
      <c r="N789" s="364">
        <f>IF(OR(Market_Data[[#This Row],[Estimated Concrete Demand (m³)]]="",Market_Data[[#This Row],[Avg Price per (₹ / m³)]]=""),"",Market_Data[[#This Row],[Estimated Concrete Demand (m³)]]*Market_Data[[#This Row],[Avg Price per (₹ / m³)]]/10000000)</f>
        <v>5.1224400000000001</v>
      </c>
      <c r="O789" s="97" t="str">
        <f>IF(Market_Data[[#This Row],[Estimated Concrete Demand (m³)]]="","",
IF(Market_Data[[#This Row],[Estimated Concrete Demand (m³)]]&lt;10000,"Small",
IF(Market_Data[[#This Row],[Estimated Concrete Demand (m³)]]&lt;25000,"Medium",
IF(Market_Data[[#This Row],[Estimated Concrete Demand (m³)]]&lt;100000,"Large","Mega"))))</f>
        <v>Small</v>
      </c>
      <c r="P789" s="287" t="str">
        <f t="shared" si="14"/>
        <v>GujRERA</v>
      </c>
    </row>
    <row r="790" spans="1:16">
      <c r="A790" s="129" t="str">
        <f>_xlfn.XLOOKUP(B790,$S$9:$S$14,$T$9:$T$14)&amp;"-"&amp;
IF(E790="Residential/Group Housing","RES",
IF(E790="Commercial","COM",
IF(E790="Mixed Development","MIX",
IF(E790="Plotted Development","PLT","OTH"))))
&amp;"-"&amp;TEXT(COUNTIFS($B$9:B790,B790,$E$9:E790,E790),"0000")</f>
        <v>SUR-RES-0190</v>
      </c>
      <c r="B790" s="322" t="s">
        <v>34</v>
      </c>
      <c r="C790" s="322" t="s">
        <v>34</v>
      </c>
      <c r="D790" s="323" t="s">
        <v>980</v>
      </c>
      <c r="E790" s="132" t="s">
        <v>24</v>
      </c>
      <c r="F790" s="97" t="str">
        <f ca="1">IF(OR(Market_Data[[#This Row],[Start Date]]="",Market_Data[[#This Row],[Completion Date]]=""),"Needs Validation",IF(Market_Data[[#This Row],[Start Date]]&gt;TODAY(),"Planned",IF(Market_Data[[#This Row],[Completion Date]]&lt;TODAY(),"Completed","Ongoing")))</f>
        <v>Completed</v>
      </c>
      <c r="G790" s="324">
        <v>42370</v>
      </c>
      <c r="H790" s="324">
        <v>44378</v>
      </c>
      <c r="I790" s="325">
        <v>12400</v>
      </c>
      <c r="J79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90" s="133">
        <f>_xlfn.XLOOKUP(Market_Data[[#This Row],[Project Type]],tbl_assumptions_market[Project Category (RERA)],tbl_assumptions_market[Concrete Intensity
(m³ / sq m BUA)],"",0)</f>
        <v>0.45</v>
      </c>
      <c r="L790" s="134">
        <f>ROUND(Market_Data[[#This Row],[Estimated Built Up Area (sq m)]]*Market_Data[[#This Row],[Concrete Intensity
(m³ / sq m)]],0)</f>
        <v>5580</v>
      </c>
      <c r="M790" s="135">
        <f>_xlfn.XLOOKUP(Market_Data[[#This Row],[District]],tbl_district_price[District],tbl_district_price[Standard Price
(INR/m³)],"",0)</f>
        <v>6200</v>
      </c>
      <c r="N790" s="364">
        <f>IF(OR(Market_Data[[#This Row],[Estimated Concrete Demand (m³)]]="",Market_Data[[#This Row],[Avg Price per (₹ / m³)]]=""),"",Market_Data[[#This Row],[Estimated Concrete Demand (m³)]]*Market_Data[[#This Row],[Avg Price per (₹ / m³)]]/10000000)</f>
        <v>3.4596</v>
      </c>
      <c r="O790" s="97" t="str">
        <f>IF(Market_Data[[#This Row],[Estimated Concrete Demand (m³)]]="","",
IF(Market_Data[[#This Row],[Estimated Concrete Demand (m³)]]&lt;10000,"Small",
IF(Market_Data[[#This Row],[Estimated Concrete Demand (m³)]]&lt;25000,"Medium",
IF(Market_Data[[#This Row],[Estimated Concrete Demand (m³)]]&lt;100000,"Large","Mega"))))</f>
        <v>Small</v>
      </c>
      <c r="P790" s="287" t="str">
        <f t="shared" si="14"/>
        <v>GujRERA</v>
      </c>
    </row>
    <row r="791" spans="1:16">
      <c r="A791" s="129" t="str">
        <f>_xlfn.XLOOKUP(B791,$S$9:$S$14,$T$9:$T$14)&amp;"-"&amp;
IF(E791="Residential/Group Housing","RES",
IF(E791="Commercial","COM",
IF(E791="Mixed Development","MIX",
IF(E791="Plotted Development","PLT","OTH"))))
&amp;"-"&amp;TEXT(COUNTIFS($B$9:B791,B791,$E$9:E791,E791),"0000")</f>
        <v>SUR-PLT-0112</v>
      </c>
      <c r="B791" s="322" t="s">
        <v>34</v>
      </c>
      <c r="C791" s="322" t="s">
        <v>34</v>
      </c>
      <c r="D791" s="323" t="s">
        <v>981</v>
      </c>
      <c r="E791" s="132" t="s">
        <v>26</v>
      </c>
      <c r="F791" s="97" t="str">
        <f ca="1">IF(OR(Market_Data[[#This Row],[Start Date]]="",Market_Data[[#This Row],[Completion Date]]=""),"Needs Validation",IF(Market_Data[[#This Row],[Start Date]]&gt;TODAY(),"Planned",IF(Market_Data[[#This Row],[Completion Date]]&lt;TODAY(),"Completed","Ongoing")))</f>
        <v>Ongoing</v>
      </c>
      <c r="G791" s="324">
        <v>45439</v>
      </c>
      <c r="H791" s="324">
        <v>46752</v>
      </c>
      <c r="I791" s="325">
        <v>13000</v>
      </c>
      <c r="J79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91" s="133">
        <f>_xlfn.XLOOKUP(Market_Data[[#This Row],[Project Type]],tbl_assumptions_market[Project Category (RERA)],tbl_assumptions_market[Concrete Intensity
(m³ / sq m BUA)],"",0)</f>
        <v>0.18</v>
      </c>
      <c r="L791" s="134">
        <f>ROUND(Market_Data[[#This Row],[Estimated Built Up Area (sq m)]]*Market_Data[[#This Row],[Concrete Intensity
(m³ / sq m)]],0)</f>
        <v>2340</v>
      </c>
      <c r="M791" s="135">
        <f>_xlfn.XLOOKUP(Market_Data[[#This Row],[District]],tbl_district_price[District],tbl_district_price[Standard Price
(INR/m³)],"",0)</f>
        <v>6200</v>
      </c>
      <c r="N791" s="364">
        <f>IF(OR(Market_Data[[#This Row],[Estimated Concrete Demand (m³)]]="",Market_Data[[#This Row],[Avg Price per (₹ / m³)]]=""),"",Market_Data[[#This Row],[Estimated Concrete Demand (m³)]]*Market_Data[[#This Row],[Avg Price per (₹ / m³)]]/10000000)</f>
        <v>1.4508000000000001</v>
      </c>
      <c r="O791" s="97" t="str">
        <f>IF(Market_Data[[#This Row],[Estimated Concrete Demand (m³)]]="","",
IF(Market_Data[[#This Row],[Estimated Concrete Demand (m³)]]&lt;10000,"Small",
IF(Market_Data[[#This Row],[Estimated Concrete Demand (m³)]]&lt;25000,"Medium",
IF(Market_Data[[#This Row],[Estimated Concrete Demand (m³)]]&lt;100000,"Large","Mega"))))</f>
        <v>Small</v>
      </c>
      <c r="P791" s="287" t="str">
        <f t="shared" si="14"/>
        <v>GujRERA</v>
      </c>
    </row>
    <row r="792" spans="1:16">
      <c r="A792" s="129" t="str">
        <f>_xlfn.XLOOKUP(B792,$S$9:$S$14,$T$9:$T$14)&amp;"-"&amp;
IF(E792="Residential/Group Housing","RES",
IF(E792="Commercial","COM",
IF(E792="Mixed Development","MIX",
IF(E792="Plotted Development","PLT","OTH"))))
&amp;"-"&amp;TEXT(COUNTIFS($B$9:B792,B792,$E$9:E792,E792),"0000")</f>
        <v>SUR-RES-0191</v>
      </c>
      <c r="B792" s="322" t="s">
        <v>34</v>
      </c>
      <c r="C792" s="322" t="s">
        <v>34</v>
      </c>
      <c r="D792" s="323" t="s">
        <v>982</v>
      </c>
      <c r="E792" s="132" t="s">
        <v>24</v>
      </c>
      <c r="F792" s="97" t="str">
        <f ca="1">IF(OR(Market_Data[[#This Row],[Start Date]]="",Market_Data[[#This Row],[Completion Date]]=""),"Needs Validation",IF(Market_Data[[#This Row],[Start Date]]&gt;TODAY(),"Planned",IF(Market_Data[[#This Row],[Completion Date]]&lt;TODAY(),"Completed","Ongoing")))</f>
        <v>Completed</v>
      </c>
      <c r="G792" s="324">
        <v>42909</v>
      </c>
      <c r="H792" s="324">
        <v>44502</v>
      </c>
      <c r="I792" s="325">
        <v>52500</v>
      </c>
      <c r="J79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92" s="133">
        <f>_xlfn.XLOOKUP(Market_Data[[#This Row],[Project Type]],tbl_assumptions_market[Project Category (RERA)],tbl_assumptions_market[Concrete Intensity
(m³ / sq m BUA)],"",0)</f>
        <v>0.45</v>
      </c>
      <c r="L792" s="134">
        <f>ROUND(Market_Data[[#This Row],[Estimated Built Up Area (sq m)]]*Market_Data[[#This Row],[Concrete Intensity
(m³ / sq m)]],0)</f>
        <v>23625</v>
      </c>
      <c r="M792" s="135">
        <f>_xlfn.XLOOKUP(Market_Data[[#This Row],[District]],tbl_district_price[District],tbl_district_price[Standard Price
(INR/m³)],"",0)</f>
        <v>6200</v>
      </c>
      <c r="N792" s="364">
        <f>IF(OR(Market_Data[[#This Row],[Estimated Concrete Demand (m³)]]="",Market_Data[[#This Row],[Avg Price per (₹ / m³)]]=""),"",Market_Data[[#This Row],[Estimated Concrete Demand (m³)]]*Market_Data[[#This Row],[Avg Price per (₹ / m³)]]/10000000)</f>
        <v>14.647500000000001</v>
      </c>
      <c r="O792" s="97" t="str">
        <f>IF(Market_Data[[#This Row],[Estimated Concrete Demand (m³)]]="","",
IF(Market_Data[[#This Row],[Estimated Concrete Demand (m³)]]&lt;10000,"Small",
IF(Market_Data[[#This Row],[Estimated Concrete Demand (m³)]]&lt;25000,"Medium",
IF(Market_Data[[#This Row],[Estimated Concrete Demand (m³)]]&lt;100000,"Large","Mega"))))</f>
        <v>Medium</v>
      </c>
      <c r="P792" s="287" t="str">
        <f t="shared" si="14"/>
        <v>GujRERA</v>
      </c>
    </row>
    <row r="793" spans="1:16">
      <c r="A793" s="129" t="str">
        <f>_xlfn.XLOOKUP(B793,$S$9:$S$14,$T$9:$T$14)&amp;"-"&amp;
IF(E793="Residential/Group Housing","RES",
IF(E793="Commercial","COM",
IF(E793="Mixed Development","MIX",
IF(E793="Plotted Development","PLT","OTH"))))
&amp;"-"&amp;TEXT(COUNTIFS($B$9:B793,B793,$E$9:E793,E793),"0000")</f>
        <v>SUR-PLT-0113</v>
      </c>
      <c r="B793" s="322" t="s">
        <v>34</v>
      </c>
      <c r="C793" s="322" t="s">
        <v>34</v>
      </c>
      <c r="D793" s="323" t="s">
        <v>983</v>
      </c>
      <c r="E793" s="132" t="s">
        <v>26</v>
      </c>
      <c r="F793" s="97" t="str">
        <f ca="1">IF(OR(Market_Data[[#This Row],[Start Date]]="",Market_Data[[#This Row],[Completion Date]]=""),"Needs Validation",IF(Market_Data[[#This Row],[Start Date]]&gt;TODAY(),"Planned",IF(Market_Data[[#This Row],[Completion Date]]&lt;TODAY(),"Completed","Ongoing")))</f>
        <v>Ongoing</v>
      </c>
      <c r="G793" s="324">
        <v>44744</v>
      </c>
      <c r="H793" s="324">
        <v>46387</v>
      </c>
      <c r="I793" s="325">
        <v>26500</v>
      </c>
      <c r="J79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93" s="133">
        <f>_xlfn.XLOOKUP(Market_Data[[#This Row],[Project Type]],tbl_assumptions_market[Project Category (RERA)],tbl_assumptions_market[Concrete Intensity
(m³ / sq m BUA)],"",0)</f>
        <v>0.18</v>
      </c>
      <c r="L793" s="134">
        <f>ROUND(Market_Data[[#This Row],[Estimated Built Up Area (sq m)]]*Market_Data[[#This Row],[Concrete Intensity
(m³ / sq m)]],0)</f>
        <v>4770</v>
      </c>
      <c r="M793" s="135">
        <f>_xlfn.XLOOKUP(Market_Data[[#This Row],[District]],tbl_district_price[District],tbl_district_price[Standard Price
(INR/m³)],"",0)</f>
        <v>6200</v>
      </c>
      <c r="N793" s="364">
        <f>IF(OR(Market_Data[[#This Row],[Estimated Concrete Demand (m³)]]="",Market_Data[[#This Row],[Avg Price per (₹ / m³)]]=""),"",Market_Data[[#This Row],[Estimated Concrete Demand (m³)]]*Market_Data[[#This Row],[Avg Price per (₹ / m³)]]/10000000)</f>
        <v>2.9573999999999998</v>
      </c>
      <c r="O793" s="97" t="str">
        <f>IF(Market_Data[[#This Row],[Estimated Concrete Demand (m³)]]="","",
IF(Market_Data[[#This Row],[Estimated Concrete Demand (m³)]]&lt;10000,"Small",
IF(Market_Data[[#This Row],[Estimated Concrete Demand (m³)]]&lt;25000,"Medium",
IF(Market_Data[[#This Row],[Estimated Concrete Demand (m³)]]&lt;100000,"Large","Mega"))))</f>
        <v>Small</v>
      </c>
      <c r="P793" s="287" t="str">
        <f t="shared" si="14"/>
        <v>GujRERA</v>
      </c>
    </row>
    <row r="794" spans="1:16">
      <c r="A794" s="129" t="str">
        <f>_xlfn.XLOOKUP(B794,$S$9:$S$14,$T$9:$T$14)&amp;"-"&amp;
IF(E794="Residential/Group Housing","RES",
IF(E794="Commercial","COM",
IF(E794="Mixed Development","MIX",
IF(E794="Plotted Development","PLT","OTH"))))
&amp;"-"&amp;TEXT(COUNTIFS($B$9:B794,B794,$E$9:E794,E794),"0000")</f>
        <v>SUR-PLT-0114</v>
      </c>
      <c r="B794" s="322" t="s">
        <v>34</v>
      </c>
      <c r="C794" s="322" t="s">
        <v>34</v>
      </c>
      <c r="D794" s="323" t="s">
        <v>984</v>
      </c>
      <c r="E794" s="132" t="s">
        <v>26</v>
      </c>
      <c r="F794" s="97" t="str">
        <f ca="1">IF(OR(Market_Data[[#This Row],[Start Date]]="",Market_Data[[#This Row],[Completion Date]]=""),"Needs Validation",IF(Market_Data[[#This Row],[Start Date]]&gt;TODAY(),"Planned",IF(Market_Data[[#This Row],[Completion Date]]&lt;TODAY(),"Completed","Ongoing")))</f>
        <v>Ongoing</v>
      </c>
      <c r="G794" s="324">
        <v>45290</v>
      </c>
      <c r="H794" s="324">
        <v>46752</v>
      </c>
      <c r="I794" s="325">
        <v>2700</v>
      </c>
      <c r="J79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94" s="133">
        <f>_xlfn.XLOOKUP(Market_Data[[#This Row],[Project Type]],tbl_assumptions_market[Project Category (RERA)],tbl_assumptions_market[Concrete Intensity
(m³ / sq m BUA)],"",0)</f>
        <v>0.18</v>
      </c>
      <c r="L794" s="134">
        <f>ROUND(Market_Data[[#This Row],[Estimated Built Up Area (sq m)]]*Market_Data[[#This Row],[Concrete Intensity
(m³ / sq m)]],0)</f>
        <v>486</v>
      </c>
      <c r="M794" s="135">
        <f>_xlfn.XLOOKUP(Market_Data[[#This Row],[District]],tbl_district_price[District],tbl_district_price[Standard Price
(INR/m³)],"",0)</f>
        <v>6200</v>
      </c>
      <c r="N794" s="364">
        <f>IF(OR(Market_Data[[#This Row],[Estimated Concrete Demand (m³)]]="",Market_Data[[#This Row],[Avg Price per (₹ / m³)]]=""),"",Market_Data[[#This Row],[Estimated Concrete Demand (m³)]]*Market_Data[[#This Row],[Avg Price per (₹ / m³)]]/10000000)</f>
        <v>0.30131999999999998</v>
      </c>
      <c r="O794" s="97" t="str">
        <f>IF(Market_Data[[#This Row],[Estimated Concrete Demand (m³)]]="","",
IF(Market_Data[[#This Row],[Estimated Concrete Demand (m³)]]&lt;10000,"Small",
IF(Market_Data[[#This Row],[Estimated Concrete Demand (m³)]]&lt;25000,"Medium",
IF(Market_Data[[#This Row],[Estimated Concrete Demand (m³)]]&lt;100000,"Large","Mega"))))</f>
        <v>Small</v>
      </c>
      <c r="P794" s="287" t="str">
        <f t="shared" si="14"/>
        <v>GujRERA</v>
      </c>
    </row>
    <row r="795" spans="1:16">
      <c r="A795" s="129" t="str">
        <f>_xlfn.XLOOKUP(B795,$S$9:$S$14,$T$9:$T$14)&amp;"-"&amp;
IF(E795="Residential/Group Housing","RES",
IF(E795="Commercial","COM",
IF(E795="Mixed Development","MIX",
IF(E795="Plotted Development","PLT","OTH"))))
&amp;"-"&amp;TEXT(COUNTIFS($B$9:B795,B795,$E$9:E795,E795),"0000")</f>
        <v>SUR-PLT-0115</v>
      </c>
      <c r="B795" s="322" t="s">
        <v>34</v>
      </c>
      <c r="C795" s="322" t="s">
        <v>34</v>
      </c>
      <c r="D795" s="323" t="s">
        <v>985</v>
      </c>
      <c r="E795" s="132" t="s">
        <v>26</v>
      </c>
      <c r="F795" s="97" t="str">
        <f ca="1">IF(OR(Market_Data[[#This Row],[Start Date]]="",Market_Data[[#This Row],[Completion Date]]=""),"Needs Validation",IF(Market_Data[[#This Row],[Start Date]]&gt;TODAY(),"Planned",IF(Market_Data[[#This Row],[Completion Date]]&lt;TODAY(),"Completed","Ongoing")))</f>
        <v>Ongoing</v>
      </c>
      <c r="G795" s="324">
        <v>44980</v>
      </c>
      <c r="H795" s="324">
        <v>46752</v>
      </c>
      <c r="I795" s="325">
        <v>58300</v>
      </c>
      <c r="J79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795" s="133">
        <f>_xlfn.XLOOKUP(Market_Data[[#This Row],[Project Type]],tbl_assumptions_market[Project Category (RERA)],tbl_assumptions_market[Concrete Intensity
(m³ / sq m BUA)],"",0)</f>
        <v>0.18</v>
      </c>
      <c r="L795" s="134">
        <f>ROUND(Market_Data[[#This Row],[Estimated Built Up Area (sq m)]]*Market_Data[[#This Row],[Concrete Intensity
(m³ / sq m)]],0)</f>
        <v>10494</v>
      </c>
      <c r="M795" s="135">
        <f>_xlfn.XLOOKUP(Market_Data[[#This Row],[District]],tbl_district_price[District],tbl_district_price[Standard Price
(INR/m³)],"",0)</f>
        <v>6200</v>
      </c>
      <c r="N795" s="364">
        <f>IF(OR(Market_Data[[#This Row],[Estimated Concrete Demand (m³)]]="",Market_Data[[#This Row],[Avg Price per (₹ / m³)]]=""),"",Market_Data[[#This Row],[Estimated Concrete Demand (m³)]]*Market_Data[[#This Row],[Avg Price per (₹ / m³)]]/10000000)</f>
        <v>6.5062800000000003</v>
      </c>
      <c r="O795" s="97" t="str">
        <f>IF(Market_Data[[#This Row],[Estimated Concrete Demand (m³)]]="","",
IF(Market_Data[[#This Row],[Estimated Concrete Demand (m³)]]&lt;10000,"Small",
IF(Market_Data[[#This Row],[Estimated Concrete Demand (m³)]]&lt;25000,"Medium",
IF(Market_Data[[#This Row],[Estimated Concrete Demand (m³)]]&lt;100000,"Large","Mega"))))</f>
        <v>Medium</v>
      </c>
      <c r="P795" s="287" t="str">
        <f t="shared" si="14"/>
        <v>GujRERA</v>
      </c>
    </row>
    <row r="796" spans="1:16">
      <c r="A796" s="129" t="str">
        <f>_xlfn.XLOOKUP(B796,$S$9:$S$14,$T$9:$T$14)&amp;"-"&amp;
IF(E796="Residential/Group Housing","RES",
IF(E796="Commercial","COM",
IF(E796="Mixed Development","MIX",
IF(E796="Plotted Development","PLT","OTH"))))
&amp;"-"&amp;TEXT(COUNTIFS($B$9:B796,B796,$E$9:E796,E796),"0000")</f>
        <v>SUR-COM-0086</v>
      </c>
      <c r="B796" s="322" t="s">
        <v>34</v>
      </c>
      <c r="C796" s="322" t="s">
        <v>34</v>
      </c>
      <c r="D796" s="323" t="s">
        <v>986</v>
      </c>
      <c r="E796" s="132" t="s">
        <v>23</v>
      </c>
      <c r="F796" s="97" t="str">
        <f ca="1">IF(OR(Market_Data[[#This Row],[Start Date]]="",Market_Data[[#This Row],[Completion Date]]=""),"Needs Validation",IF(Market_Data[[#This Row],[Start Date]]&gt;TODAY(),"Planned",IF(Market_Data[[#This Row],[Completion Date]]&lt;TODAY(),"Completed","Ongoing")))</f>
        <v>Completed</v>
      </c>
      <c r="G796" s="324">
        <v>43586</v>
      </c>
      <c r="H796" s="324">
        <v>44775</v>
      </c>
      <c r="I796" s="325">
        <v>4600</v>
      </c>
      <c r="J79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796" s="133">
        <f>_xlfn.XLOOKUP(Market_Data[[#This Row],[Project Type]],tbl_assumptions_market[Project Category (RERA)],tbl_assumptions_market[Concrete Intensity
(m³ / sq m BUA)],"",0)</f>
        <v>0.5</v>
      </c>
      <c r="L796" s="134">
        <f>ROUND(Market_Data[[#This Row],[Estimated Built Up Area (sq m)]]*Market_Data[[#This Row],[Concrete Intensity
(m³ / sq m)]],0)</f>
        <v>2300</v>
      </c>
      <c r="M796" s="135">
        <f>_xlfn.XLOOKUP(Market_Data[[#This Row],[District]],tbl_district_price[District],tbl_district_price[Standard Price
(INR/m³)],"",0)</f>
        <v>6200</v>
      </c>
      <c r="N796" s="364">
        <f>IF(OR(Market_Data[[#This Row],[Estimated Concrete Demand (m³)]]="",Market_Data[[#This Row],[Avg Price per (₹ / m³)]]=""),"",Market_Data[[#This Row],[Estimated Concrete Demand (m³)]]*Market_Data[[#This Row],[Avg Price per (₹ / m³)]]/10000000)</f>
        <v>1.4259999999999999</v>
      </c>
      <c r="O796" s="97" t="str">
        <f>IF(Market_Data[[#This Row],[Estimated Concrete Demand (m³)]]="","",
IF(Market_Data[[#This Row],[Estimated Concrete Demand (m³)]]&lt;10000,"Small",
IF(Market_Data[[#This Row],[Estimated Concrete Demand (m³)]]&lt;25000,"Medium",
IF(Market_Data[[#This Row],[Estimated Concrete Demand (m³)]]&lt;100000,"Large","Mega"))))</f>
        <v>Small</v>
      </c>
      <c r="P796" s="287" t="str">
        <f t="shared" si="14"/>
        <v>GujRERA</v>
      </c>
    </row>
    <row r="797" spans="1:16">
      <c r="A797" s="129" t="str">
        <f>_xlfn.XLOOKUP(B797,$S$9:$S$14,$T$9:$T$14)&amp;"-"&amp;
IF(E797="Residential/Group Housing","RES",
IF(E797="Commercial","COM",
IF(E797="Mixed Development","MIX",
IF(E797="Plotted Development","PLT","OTH"))))
&amp;"-"&amp;TEXT(COUNTIFS($B$9:B797,B797,$E$9:E797,E797),"0000")</f>
        <v>SUR-PLT-0116</v>
      </c>
      <c r="B797" s="322" t="s">
        <v>34</v>
      </c>
      <c r="C797" s="322" t="s">
        <v>34</v>
      </c>
      <c r="D797" s="323" t="s">
        <v>987</v>
      </c>
      <c r="E797" s="132" t="s">
        <v>26</v>
      </c>
      <c r="F797" s="97" t="str">
        <f ca="1">IF(OR(Market_Data[[#This Row],[Start Date]]="",Market_Data[[#This Row],[Completion Date]]=""),"Needs Validation",IF(Market_Data[[#This Row],[Start Date]]&gt;TODAY(),"Planned",IF(Market_Data[[#This Row],[Completion Date]]&lt;TODAY(),"Completed","Ongoing")))</f>
        <v>Ongoing</v>
      </c>
      <c r="G797" s="324">
        <v>46022</v>
      </c>
      <c r="H797" s="324">
        <v>46752</v>
      </c>
      <c r="I797" s="325">
        <v>47300</v>
      </c>
      <c r="J79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797" s="133">
        <f>_xlfn.XLOOKUP(Market_Data[[#This Row],[Project Type]],tbl_assumptions_market[Project Category (RERA)],tbl_assumptions_market[Concrete Intensity
(m³ / sq m BUA)],"",0)</f>
        <v>0.18</v>
      </c>
      <c r="L797" s="134">
        <f>ROUND(Market_Data[[#This Row],[Estimated Built Up Area (sq m)]]*Market_Data[[#This Row],[Concrete Intensity
(m³ / sq m)]],0)</f>
        <v>8514</v>
      </c>
      <c r="M797" s="135">
        <f>_xlfn.XLOOKUP(Market_Data[[#This Row],[District]],tbl_district_price[District],tbl_district_price[Standard Price
(INR/m³)],"",0)</f>
        <v>6200</v>
      </c>
      <c r="N797" s="364">
        <f>IF(OR(Market_Data[[#This Row],[Estimated Concrete Demand (m³)]]="",Market_Data[[#This Row],[Avg Price per (₹ / m³)]]=""),"",Market_Data[[#This Row],[Estimated Concrete Demand (m³)]]*Market_Data[[#This Row],[Avg Price per (₹ / m³)]]/10000000)</f>
        <v>5.2786799999999996</v>
      </c>
      <c r="O797" s="97" t="str">
        <f>IF(Market_Data[[#This Row],[Estimated Concrete Demand (m³)]]="","",
IF(Market_Data[[#This Row],[Estimated Concrete Demand (m³)]]&lt;10000,"Small",
IF(Market_Data[[#This Row],[Estimated Concrete Demand (m³)]]&lt;25000,"Medium",
IF(Market_Data[[#This Row],[Estimated Concrete Demand (m³)]]&lt;100000,"Large","Mega"))))</f>
        <v>Small</v>
      </c>
      <c r="P797" s="287" t="str">
        <f t="shared" si="14"/>
        <v>GujRERA</v>
      </c>
    </row>
    <row r="798" spans="1:16">
      <c r="A798" s="129" t="str">
        <f>_xlfn.XLOOKUP(B798,$S$9:$S$14,$T$9:$T$14)&amp;"-"&amp;
IF(E798="Residential/Group Housing","RES",
IF(E798="Commercial","COM",
IF(E798="Mixed Development","MIX",
IF(E798="Plotted Development","PLT","OTH"))))
&amp;"-"&amp;TEXT(COUNTIFS($B$9:B798,B798,$E$9:E798,E798),"0000")</f>
        <v>SUR-COM-0087</v>
      </c>
      <c r="B798" s="322" t="s">
        <v>34</v>
      </c>
      <c r="C798" s="322" t="s">
        <v>34</v>
      </c>
      <c r="D798" s="323" t="s">
        <v>988</v>
      </c>
      <c r="E798" s="132" t="s">
        <v>23</v>
      </c>
      <c r="F798" s="97" t="str">
        <f ca="1">IF(OR(Market_Data[[#This Row],[Start Date]]="",Market_Data[[#This Row],[Completion Date]]=""),"Needs Validation",IF(Market_Data[[#This Row],[Start Date]]&gt;TODAY(),"Planned",IF(Market_Data[[#This Row],[Completion Date]]&lt;TODAY(),"Completed","Ongoing")))</f>
        <v>Ongoing</v>
      </c>
      <c r="G798" s="324">
        <v>45740</v>
      </c>
      <c r="H798" s="324">
        <v>47269</v>
      </c>
      <c r="I798" s="325">
        <v>53100</v>
      </c>
      <c r="J79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798" s="133">
        <f>_xlfn.XLOOKUP(Market_Data[[#This Row],[Project Type]],tbl_assumptions_market[Project Category (RERA)],tbl_assumptions_market[Concrete Intensity
(m³ / sq m BUA)],"",0)</f>
        <v>0.5</v>
      </c>
      <c r="L798" s="134">
        <f>ROUND(Market_Data[[#This Row],[Estimated Built Up Area (sq m)]]*Market_Data[[#This Row],[Concrete Intensity
(m³ / sq m)]],0)</f>
        <v>26550</v>
      </c>
      <c r="M798" s="135">
        <f>_xlfn.XLOOKUP(Market_Data[[#This Row],[District]],tbl_district_price[District],tbl_district_price[Standard Price
(INR/m³)],"",0)</f>
        <v>6200</v>
      </c>
      <c r="N798" s="364">
        <f>IF(OR(Market_Data[[#This Row],[Estimated Concrete Demand (m³)]]="",Market_Data[[#This Row],[Avg Price per (₹ / m³)]]=""),"",Market_Data[[#This Row],[Estimated Concrete Demand (m³)]]*Market_Data[[#This Row],[Avg Price per (₹ / m³)]]/10000000)</f>
        <v>16.460999999999999</v>
      </c>
      <c r="O798" s="97" t="str">
        <f>IF(Market_Data[[#This Row],[Estimated Concrete Demand (m³)]]="","",
IF(Market_Data[[#This Row],[Estimated Concrete Demand (m³)]]&lt;10000,"Small",
IF(Market_Data[[#This Row],[Estimated Concrete Demand (m³)]]&lt;25000,"Medium",
IF(Market_Data[[#This Row],[Estimated Concrete Demand (m³)]]&lt;100000,"Large","Mega"))))</f>
        <v>Large</v>
      </c>
      <c r="P798" s="287" t="str">
        <f t="shared" si="14"/>
        <v>GujRERA</v>
      </c>
    </row>
    <row r="799" spans="1:16">
      <c r="A799" s="129" t="str">
        <f>_xlfn.XLOOKUP(B799,$S$9:$S$14,$T$9:$T$14)&amp;"-"&amp;
IF(E799="Residential/Group Housing","RES",
IF(E799="Commercial","COM",
IF(E799="Mixed Development","MIX",
IF(E799="Plotted Development","PLT","OTH"))))
&amp;"-"&amp;TEXT(COUNTIFS($B$9:B799,B799,$E$9:E799,E799),"0000")</f>
        <v>SUR-COM-0088</v>
      </c>
      <c r="B799" s="322" t="s">
        <v>34</v>
      </c>
      <c r="C799" s="322" t="s">
        <v>34</v>
      </c>
      <c r="D799" s="323" t="s">
        <v>989</v>
      </c>
      <c r="E799" s="132" t="s">
        <v>23</v>
      </c>
      <c r="F799" s="97" t="str">
        <f ca="1">IF(OR(Market_Data[[#This Row],[Start Date]]="",Market_Data[[#This Row],[Completion Date]]=""),"Needs Validation",IF(Market_Data[[#This Row],[Start Date]]&gt;TODAY(),"Planned",IF(Market_Data[[#This Row],[Completion Date]]&lt;TODAY(),"Completed","Ongoing")))</f>
        <v>Ongoing</v>
      </c>
      <c r="G799" s="324">
        <v>45797</v>
      </c>
      <c r="H799" s="324">
        <v>47483</v>
      </c>
      <c r="I799" s="325">
        <v>44900</v>
      </c>
      <c r="J79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799" s="133">
        <f>_xlfn.XLOOKUP(Market_Data[[#This Row],[Project Type]],tbl_assumptions_market[Project Category (RERA)],tbl_assumptions_market[Concrete Intensity
(m³ / sq m BUA)],"",0)</f>
        <v>0.5</v>
      </c>
      <c r="L799" s="134">
        <f>ROUND(Market_Data[[#This Row],[Estimated Built Up Area (sq m)]]*Market_Data[[#This Row],[Concrete Intensity
(m³ / sq m)]],0)</f>
        <v>22450</v>
      </c>
      <c r="M799" s="135">
        <f>_xlfn.XLOOKUP(Market_Data[[#This Row],[District]],tbl_district_price[District],tbl_district_price[Standard Price
(INR/m³)],"",0)</f>
        <v>6200</v>
      </c>
      <c r="N799" s="364">
        <f>IF(OR(Market_Data[[#This Row],[Estimated Concrete Demand (m³)]]="",Market_Data[[#This Row],[Avg Price per (₹ / m³)]]=""),"",Market_Data[[#This Row],[Estimated Concrete Demand (m³)]]*Market_Data[[#This Row],[Avg Price per (₹ / m³)]]/10000000)</f>
        <v>13.919</v>
      </c>
      <c r="O799" s="97" t="str">
        <f>IF(Market_Data[[#This Row],[Estimated Concrete Demand (m³)]]="","",
IF(Market_Data[[#This Row],[Estimated Concrete Demand (m³)]]&lt;10000,"Small",
IF(Market_Data[[#This Row],[Estimated Concrete Demand (m³)]]&lt;25000,"Medium",
IF(Market_Data[[#This Row],[Estimated Concrete Demand (m³)]]&lt;100000,"Large","Mega"))))</f>
        <v>Medium</v>
      </c>
      <c r="P799" s="287" t="str">
        <f t="shared" si="14"/>
        <v>GujRERA</v>
      </c>
    </row>
    <row r="800" spans="1:16">
      <c r="A800" s="129" t="str">
        <f>_xlfn.XLOOKUP(B800,$S$9:$S$14,$T$9:$T$14)&amp;"-"&amp;
IF(E800="Residential/Group Housing","RES",
IF(E800="Commercial","COM",
IF(E800="Mixed Development","MIX",
IF(E800="Plotted Development","PLT","OTH"))))
&amp;"-"&amp;TEXT(COUNTIFS($B$9:B800,B800,$E$9:E800,E800),"0000")</f>
        <v>SUR-COM-0089</v>
      </c>
      <c r="B800" s="322" t="s">
        <v>34</v>
      </c>
      <c r="C800" s="322" t="s">
        <v>34</v>
      </c>
      <c r="D800" s="323" t="s">
        <v>990</v>
      </c>
      <c r="E800" s="132" t="s">
        <v>23</v>
      </c>
      <c r="F800" s="97" t="str">
        <f ca="1">IF(OR(Market_Data[[#This Row],[Start Date]]="",Market_Data[[#This Row],[Completion Date]]=""),"Needs Validation",IF(Market_Data[[#This Row],[Start Date]]&gt;TODAY(),"Planned",IF(Market_Data[[#This Row],[Completion Date]]&lt;TODAY(),"Completed","Ongoing")))</f>
        <v>Completed</v>
      </c>
      <c r="G800" s="324">
        <v>42154</v>
      </c>
      <c r="H800" s="324">
        <v>44377</v>
      </c>
      <c r="I800" s="325">
        <v>18400</v>
      </c>
      <c r="J80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00" s="133">
        <f>_xlfn.XLOOKUP(Market_Data[[#This Row],[Project Type]],tbl_assumptions_market[Project Category (RERA)],tbl_assumptions_market[Concrete Intensity
(m³ / sq m BUA)],"",0)</f>
        <v>0.5</v>
      </c>
      <c r="L800" s="134">
        <f>ROUND(Market_Data[[#This Row],[Estimated Built Up Area (sq m)]]*Market_Data[[#This Row],[Concrete Intensity
(m³ / sq m)]],0)</f>
        <v>9200</v>
      </c>
      <c r="M800" s="135">
        <f>_xlfn.XLOOKUP(Market_Data[[#This Row],[District]],tbl_district_price[District],tbl_district_price[Standard Price
(INR/m³)],"",0)</f>
        <v>6200</v>
      </c>
      <c r="N800" s="364">
        <f>IF(OR(Market_Data[[#This Row],[Estimated Concrete Demand (m³)]]="",Market_Data[[#This Row],[Avg Price per (₹ / m³)]]=""),"",Market_Data[[#This Row],[Estimated Concrete Demand (m³)]]*Market_Data[[#This Row],[Avg Price per (₹ / m³)]]/10000000)</f>
        <v>5.7039999999999997</v>
      </c>
      <c r="O800" s="97" t="str">
        <f>IF(Market_Data[[#This Row],[Estimated Concrete Demand (m³)]]="","",
IF(Market_Data[[#This Row],[Estimated Concrete Demand (m³)]]&lt;10000,"Small",
IF(Market_Data[[#This Row],[Estimated Concrete Demand (m³)]]&lt;25000,"Medium",
IF(Market_Data[[#This Row],[Estimated Concrete Demand (m³)]]&lt;100000,"Large","Mega"))))</f>
        <v>Small</v>
      </c>
      <c r="P800" s="287" t="str">
        <f t="shared" si="14"/>
        <v>GujRERA</v>
      </c>
    </row>
    <row r="801" spans="1:16">
      <c r="A801" s="129" t="str">
        <f>_xlfn.XLOOKUP(B801,$S$9:$S$14,$T$9:$T$14)&amp;"-"&amp;
IF(E801="Residential/Group Housing","RES",
IF(E801="Commercial","COM",
IF(E801="Mixed Development","MIX",
IF(E801="Plotted Development","PLT","OTH"))))
&amp;"-"&amp;TEXT(COUNTIFS($B$9:B801,B801,$E$9:E801,E801),"0000")</f>
        <v>SUR-COM-0090</v>
      </c>
      <c r="B801" s="322" t="s">
        <v>34</v>
      </c>
      <c r="C801" s="322" t="s">
        <v>34</v>
      </c>
      <c r="D801" s="323" t="s">
        <v>991</v>
      </c>
      <c r="E801" s="132" t="s">
        <v>23</v>
      </c>
      <c r="F801" s="97" t="str">
        <f ca="1">IF(OR(Market_Data[[#This Row],[Start Date]]="",Market_Data[[#This Row],[Completion Date]]=""),"Needs Validation",IF(Market_Data[[#This Row],[Start Date]]&gt;TODAY(),"Planned",IF(Market_Data[[#This Row],[Completion Date]]&lt;TODAY(),"Completed","Ongoing")))</f>
        <v>Completed</v>
      </c>
      <c r="G801" s="324">
        <v>43326</v>
      </c>
      <c r="H801" s="324">
        <v>44560</v>
      </c>
      <c r="I801" s="325">
        <v>4100</v>
      </c>
      <c r="J80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01" s="133">
        <f>_xlfn.XLOOKUP(Market_Data[[#This Row],[Project Type]],tbl_assumptions_market[Project Category (RERA)],tbl_assumptions_market[Concrete Intensity
(m³ / sq m BUA)],"",0)</f>
        <v>0.5</v>
      </c>
      <c r="L801" s="134">
        <f>ROUND(Market_Data[[#This Row],[Estimated Built Up Area (sq m)]]*Market_Data[[#This Row],[Concrete Intensity
(m³ / sq m)]],0)</f>
        <v>2050</v>
      </c>
      <c r="M801" s="135">
        <f>_xlfn.XLOOKUP(Market_Data[[#This Row],[District]],tbl_district_price[District],tbl_district_price[Standard Price
(INR/m³)],"",0)</f>
        <v>6200</v>
      </c>
      <c r="N801" s="364">
        <f>IF(OR(Market_Data[[#This Row],[Estimated Concrete Demand (m³)]]="",Market_Data[[#This Row],[Avg Price per (₹ / m³)]]=""),"",Market_Data[[#This Row],[Estimated Concrete Demand (m³)]]*Market_Data[[#This Row],[Avg Price per (₹ / m³)]]/10000000)</f>
        <v>1.2709999999999999</v>
      </c>
      <c r="O801" s="97" t="str">
        <f>IF(Market_Data[[#This Row],[Estimated Concrete Demand (m³)]]="","",
IF(Market_Data[[#This Row],[Estimated Concrete Demand (m³)]]&lt;10000,"Small",
IF(Market_Data[[#This Row],[Estimated Concrete Demand (m³)]]&lt;25000,"Medium",
IF(Market_Data[[#This Row],[Estimated Concrete Demand (m³)]]&lt;100000,"Large","Mega"))))</f>
        <v>Small</v>
      </c>
      <c r="P801" s="287" t="str">
        <f t="shared" si="14"/>
        <v>GujRERA</v>
      </c>
    </row>
    <row r="802" spans="1:16">
      <c r="A802" s="129" t="str">
        <f>_xlfn.XLOOKUP(B802,$S$9:$S$14,$T$9:$T$14)&amp;"-"&amp;
IF(E802="Residential/Group Housing","RES",
IF(E802="Commercial","COM",
IF(E802="Mixed Development","MIX",
IF(E802="Plotted Development","PLT","OTH"))))
&amp;"-"&amp;TEXT(COUNTIFS($B$9:B802,B802,$E$9:E802,E802),"0000")</f>
        <v>SUR-RES-0192</v>
      </c>
      <c r="B802" s="322" t="s">
        <v>34</v>
      </c>
      <c r="C802" s="322" t="s">
        <v>34</v>
      </c>
      <c r="D802" s="323" t="s">
        <v>992</v>
      </c>
      <c r="E802" s="132" t="s">
        <v>24</v>
      </c>
      <c r="F802" s="97" t="str">
        <f ca="1">IF(OR(Market_Data[[#This Row],[Start Date]]="",Market_Data[[#This Row],[Completion Date]]=""),"Needs Validation",IF(Market_Data[[#This Row],[Start Date]]&gt;TODAY(),"Planned",IF(Market_Data[[#This Row],[Completion Date]]&lt;TODAY(),"Completed","Ongoing")))</f>
        <v>Completed</v>
      </c>
      <c r="G802" s="324">
        <v>42195</v>
      </c>
      <c r="H802" s="324">
        <v>44378</v>
      </c>
      <c r="I802" s="325">
        <v>21300</v>
      </c>
      <c r="J80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02" s="133">
        <f>_xlfn.XLOOKUP(Market_Data[[#This Row],[Project Type]],tbl_assumptions_market[Project Category (RERA)],tbl_assumptions_market[Concrete Intensity
(m³ / sq m BUA)],"",0)</f>
        <v>0.45</v>
      </c>
      <c r="L802" s="134">
        <f>ROUND(Market_Data[[#This Row],[Estimated Built Up Area (sq m)]]*Market_Data[[#This Row],[Concrete Intensity
(m³ / sq m)]],0)</f>
        <v>9585</v>
      </c>
      <c r="M802" s="135">
        <f>_xlfn.XLOOKUP(Market_Data[[#This Row],[District]],tbl_district_price[District],tbl_district_price[Standard Price
(INR/m³)],"",0)</f>
        <v>6200</v>
      </c>
      <c r="N802" s="364">
        <f>IF(OR(Market_Data[[#This Row],[Estimated Concrete Demand (m³)]]="",Market_Data[[#This Row],[Avg Price per (₹ / m³)]]=""),"",Market_Data[[#This Row],[Estimated Concrete Demand (m³)]]*Market_Data[[#This Row],[Avg Price per (₹ / m³)]]/10000000)</f>
        <v>5.9427000000000003</v>
      </c>
      <c r="O802" s="97" t="str">
        <f>IF(Market_Data[[#This Row],[Estimated Concrete Demand (m³)]]="","",
IF(Market_Data[[#This Row],[Estimated Concrete Demand (m³)]]&lt;10000,"Small",
IF(Market_Data[[#This Row],[Estimated Concrete Demand (m³)]]&lt;25000,"Medium",
IF(Market_Data[[#This Row],[Estimated Concrete Demand (m³)]]&lt;100000,"Large","Mega"))))</f>
        <v>Small</v>
      </c>
      <c r="P802" s="287" t="str">
        <f t="shared" si="14"/>
        <v>GujRERA</v>
      </c>
    </row>
    <row r="803" spans="1:16">
      <c r="A803" s="129" t="str">
        <f>_xlfn.XLOOKUP(B803,$S$9:$S$14,$T$9:$T$14)&amp;"-"&amp;
IF(E803="Residential/Group Housing","RES",
IF(E803="Commercial","COM",
IF(E803="Mixed Development","MIX",
IF(E803="Plotted Development","PLT","OTH"))))
&amp;"-"&amp;TEXT(COUNTIFS($B$9:B803,B803,$E$9:E803,E803),"0000")</f>
        <v>SUR-RES-0193</v>
      </c>
      <c r="B803" s="322" t="s">
        <v>34</v>
      </c>
      <c r="C803" s="322" t="s">
        <v>34</v>
      </c>
      <c r="D803" s="323" t="s">
        <v>993</v>
      </c>
      <c r="E803" s="132" t="s">
        <v>24</v>
      </c>
      <c r="F803" s="97" t="str">
        <f ca="1">IF(OR(Market_Data[[#This Row],[Start Date]]="",Market_Data[[#This Row],[Completion Date]]=""),"Needs Validation",IF(Market_Data[[#This Row],[Start Date]]&gt;TODAY(),"Planned",IF(Market_Data[[#This Row],[Completion Date]]&lt;TODAY(),"Completed","Ongoing")))</f>
        <v>Completed</v>
      </c>
      <c r="G803" s="324">
        <v>41745</v>
      </c>
      <c r="H803" s="324">
        <v>45077</v>
      </c>
      <c r="I803" s="325">
        <v>32800</v>
      </c>
      <c r="J80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03" s="133">
        <f>_xlfn.XLOOKUP(Market_Data[[#This Row],[Project Type]],tbl_assumptions_market[Project Category (RERA)],tbl_assumptions_market[Concrete Intensity
(m³ / sq m BUA)],"",0)</f>
        <v>0.45</v>
      </c>
      <c r="L803" s="134">
        <f>ROUND(Market_Data[[#This Row],[Estimated Built Up Area (sq m)]]*Market_Data[[#This Row],[Concrete Intensity
(m³ / sq m)]],0)</f>
        <v>14760</v>
      </c>
      <c r="M803" s="135">
        <f>_xlfn.XLOOKUP(Market_Data[[#This Row],[District]],tbl_district_price[District],tbl_district_price[Standard Price
(INR/m³)],"",0)</f>
        <v>6200</v>
      </c>
      <c r="N803" s="364">
        <f>IF(OR(Market_Data[[#This Row],[Estimated Concrete Demand (m³)]]="",Market_Data[[#This Row],[Avg Price per (₹ / m³)]]=""),"",Market_Data[[#This Row],[Estimated Concrete Demand (m³)]]*Market_Data[[#This Row],[Avg Price per (₹ / m³)]]/10000000)</f>
        <v>9.1511999999999993</v>
      </c>
      <c r="O803" s="97" t="str">
        <f>IF(Market_Data[[#This Row],[Estimated Concrete Demand (m³)]]="","",
IF(Market_Data[[#This Row],[Estimated Concrete Demand (m³)]]&lt;10000,"Small",
IF(Market_Data[[#This Row],[Estimated Concrete Demand (m³)]]&lt;25000,"Medium",
IF(Market_Data[[#This Row],[Estimated Concrete Demand (m³)]]&lt;100000,"Large","Mega"))))</f>
        <v>Medium</v>
      </c>
      <c r="P803" s="287" t="str">
        <f t="shared" si="14"/>
        <v>GujRERA</v>
      </c>
    </row>
    <row r="804" spans="1:16">
      <c r="A804" s="129" t="str">
        <f>_xlfn.XLOOKUP(B804,$S$9:$S$14,$T$9:$T$14)&amp;"-"&amp;
IF(E804="Residential/Group Housing","RES",
IF(E804="Commercial","COM",
IF(E804="Mixed Development","MIX",
IF(E804="Plotted Development","PLT","OTH"))))
&amp;"-"&amp;TEXT(COUNTIFS($B$9:B804,B804,$E$9:E804,E804),"0000")</f>
        <v>SUR-COM-0091</v>
      </c>
      <c r="B804" s="322" t="s">
        <v>34</v>
      </c>
      <c r="C804" s="322" t="s">
        <v>34</v>
      </c>
      <c r="D804" s="323" t="s">
        <v>994</v>
      </c>
      <c r="E804" s="132" t="s">
        <v>23</v>
      </c>
      <c r="F804" s="97" t="str">
        <f ca="1">IF(OR(Market_Data[[#This Row],[Start Date]]="",Market_Data[[#This Row],[Completion Date]]=""),"Needs Validation",IF(Market_Data[[#This Row],[Start Date]]&gt;TODAY(),"Planned",IF(Market_Data[[#This Row],[Completion Date]]&lt;TODAY(),"Completed","Ongoing")))</f>
        <v>Completed</v>
      </c>
      <c r="G804" s="324">
        <v>42035</v>
      </c>
      <c r="H804" s="324">
        <v>44377</v>
      </c>
      <c r="I804" s="325">
        <v>5100</v>
      </c>
      <c r="J80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04" s="133">
        <f>_xlfn.XLOOKUP(Market_Data[[#This Row],[Project Type]],tbl_assumptions_market[Project Category (RERA)],tbl_assumptions_market[Concrete Intensity
(m³ / sq m BUA)],"",0)</f>
        <v>0.5</v>
      </c>
      <c r="L804" s="134">
        <f>ROUND(Market_Data[[#This Row],[Estimated Built Up Area (sq m)]]*Market_Data[[#This Row],[Concrete Intensity
(m³ / sq m)]],0)</f>
        <v>2550</v>
      </c>
      <c r="M804" s="135">
        <f>_xlfn.XLOOKUP(Market_Data[[#This Row],[District]],tbl_district_price[District],tbl_district_price[Standard Price
(INR/m³)],"",0)</f>
        <v>6200</v>
      </c>
      <c r="N804" s="364">
        <f>IF(OR(Market_Data[[#This Row],[Estimated Concrete Demand (m³)]]="",Market_Data[[#This Row],[Avg Price per (₹ / m³)]]=""),"",Market_Data[[#This Row],[Estimated Concrete Demand (m³)]]*Market_Data[[#This Row],[Avg Price per (₹ / m³)]]/10000000)</f>
        <v>1.581</v>
      </c>
      <c r="O804" s="97" t="str">
        <f>IF(Market_Data[[#This Row],[Estimated Concrete Demand (m³)]]="","",
IF(Market_Data[[#This Row],[Estimated Concrete Demand (m³)]]&lt;10000,"Small",
IF(Market_Data[[#This Row],[Estimated Concrete Demand (m³)]]&lt;25000,"Medium",
IF(Market_Data[[#This Row],[Estimated Concrete Demand (m³)]]&lt;100000,"Large","Mega"))))</f>
        <v>Small</v>
      </c>
      <c r="P804" s="287" t="str">
        <f t="shared" si="14"/>
        <v>GujRERA</v>
      </c>
    </row>
    <row r="805" spans="1:16">
      <c r="A805" s="129" t="str">
        <f>_xlfn.XLOOKUP(B805,$S$9:$S$14,$T$9:$T$14)&amp;"-"&amp;
IF(E805="Residential/Group Housing","RES",
IF(E805="Commercial","COM",
IF(E805="Mixed Development","MIX",
IF(E805="Plotted Development","PLT","OTH"))))
&amp;"-"&amp;TEXT(COUNTIFS($B$9:B805,B805,$E$9:E805,E805),"0000")</f>
        <v>SUR-COM-0092</v>
      </c>
      <c r="B805" s="322" t="s">
        <v>34</v>
      </c>
      <c r="C805" s="322" t="s">
        <v>34</v>
      </c>
      <c r="D805" s="323" t="s">
        <v>995</v>
      </c>
      <c r="E805" s="132" t="s">
        <v>23</v>
      </c>
      <c r="F805" s="97" t="str">
        <f ca="1">IF(OR(Market_Data[[#This Row],[Start Date]]="",Market_Data[[#This Row],[Completion Date]]=""),"Needs Validation",IF(Market_Data[[#This Row],[Start Date]]&gt;TODAY(),"Planned",IF(Market_Data[[#This Row],[Completion Date]]&lt;TODAY(),"Completed","Ongoing")))</f>
        <v>Completed</v>
      </c>
      <c r="G805" s="324">
        <v>43587</v>
      </c>
      <c r="H805" s="324">
        <v>46196</v>
      </c>
      <c r="I805" s="325">
        <v>11100</v>
      </c>
      <c r="J80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05" s="133">
        <f>_xlfn.XLOOKUP(Market_Data[[#This Row],[Project Type]],tbl_assumptions_market[Project Category (RERA)],tbl_assumptions_market[Concrete Intensity
(m³ / sq m BUA)],"",0)</f>
        <v>0.5</v>
      </c>
      <c r="L805" s="134">
        <f>ROUND(Market_Data[[#This Row],[Estimated Built Up Area (sq m)]]*Market_Data[[#This Row],[Concrete Intensity
(m³ / sq m)]],0)</f>
        <v>5550</v>
      </c>
      <c r="M805" s="135">
        <f>_xlfn.XLOOKUP(Market_Data[[#This Row],[District]],tbl_district_price[District],tbl_district_price[Standard Price
(INR/m³)],"",0)</f>
        <v>6200</v>
      </c>
      <c r="N805" s="364">
        <f>IF(OR(Market_Data[[#This Row],[Estimated Concrete Demand (m³)]]="",Market_Data[[#This Row],[Avg Price per (₹ / m³)]]=""),"",Market_Data[[#This Row],[Estimated Concrete Demand (m³)]]*Market_Data[[#This Row],[Avg Price per (₹ / m³)]]/10000000)</f>
        <v>3.4409999999999998</v>
      </c>
      <c r="O805" s="97" t="str">
        <f>IF(Market_Data[[#This Row],[Estimated Concrete Demand (m³)]]="","",
IF(Market_Data[[#This Row],[Estimated Concrete Demand (m³)]]&lt;10000,"Small",
IF(Market_Data[[#This Row],[Estimated Concrete Demand (m³)]]&lt;25000,"Medium",
IF(Market_Data[[#This Row],[Estimated Concrete Demand (m³)]]&lt;100000,"Large","Mega"))))</f>
        <v>Small</v>
      </c>
      <c r="P805" s="287" t="str">
        <f t="shared" si="14"/>
        <v>GujRERA</v>
      </c>
    </row>
    <row r="806" spans="1:16">
      <c r="A806" s="129" t="str">
        <f>_xlfn.XLOOKUP(B806,$S$9:$S$14,$T$9:$T$14)&amp;"-"&amp;
IF(E806="Residential/Group Housing","RES",
IF(E806="Commercial","COM",
IF(E806="Mixed Development","MIX",
IF(E806="Plotted Development","PLT","OTH"))))
&amp;"-"&amp;TEXT(COUNTIFS($B$9:B806,B806,$E$9:E806,E806),"0000")</f>
        <v>SUR-RES-0194</v>
      </c>
      <c r="B806" s="322" t="s">
        <v>34</v>
      </c>
      <c r="C806" s="322" t="s">
        <v>34</v>
      </c>
      <c r="D806" s="323" t="s">
        <v>996</v>
      </c>
      <c r="E806" s="132" t="s">
        <v>24</v>
      </c>
      <c r="F806" s="97" t="str">
        <f ca="1">IF(OR(Market_Data[[#This Row],[Start Date]]="",Market_Data[[#This Row],[Completion Date]]=""),"Needs Validation",IF(Market_Data[[#This Row],[Start Date]]&gt;TODAY(),"Planned",IF(Market_Data[[#This Row],[Completion Date]]&lt;TODAY(),"Completed","Ongoing")))</f>
        <v>Completed</v>
      </c>
      <c r="G806" s="324">
        <v>42338</v>
      </c>
      <c r="H806" s="324">
        <v>44742</v>
      </c>
      <c r="I806" s="325">
        <v>43200</v>
      </c>
      <c r="J80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06" s="133">
        <f>_xlfn.XLOOKUP(Market_Data[[#This Row],[Project Type]],tbl_assumptions_market[Project Category (RERA)],tbl_assumptions_market[Concrete Intensity
(m³ / sq m BUA)],"",0)</f>
        <v>0.45</v>
      </c>
      <c r="L806" s="134">
        <f>ROUND(Market_Data[[#This Row],[Estimated Built Up Area (sq m)]]*Market_Data[[#This Row],[Concrete Intensity
(m³ / sq m)]],0)</f>
        <v>19440</v>
      </c>
      <c r="M806" s="135">
        <f>_xlfn.XLOOKUP(Market_Data[[#This Row],[District]],tbl_district_price[District],tbl_district_price[Standard Price
(INR/m³)],"",0)</f>
        <v>6200</v>
      </c>
      <c r="N806" s="364">
        <f>IF(OR(Market_Data[[#This Row],[Estimated Concrete Demand (m³)]]="",Market_Data[[#This Row],[Avg Price per (₹ / m³)]]=""),"",Market_Data[[#This Row],[Estimated Concrete Demand (m³)]]*Market_Data[[#This Row],[Avg Price per (₹ / m³)]]/10000000)</f>
        <v>12.0528</v>
      </c>
      <c r="O806" s="97" t="str">
        <f>IF(Market_Data[[#This Row],[Estimated Concrete Demand (m³)]]="","",
IF(Market_Data[[#This Row],[Estimated Concrete Demand (m³)]]&lt;10000,"Small",
IF(Market_Data[[#This Row],[Estimated Concrete Demand (m³)]]&lt;25000,"Medium",
IF(Market_Data[[#This Row],[Estimated Concrete Demand (m³)]]&lt;100000,"Large","Mega"))))</f>
        <v>Medium</v>
      </c>
      <c r="P806" s="287" t="str">
        <f t="shared" si="14"/>
        <v>GujRERA</v>
      </c>
    </row>
    <row r="807" spans="1:16">
      <c r="A807" s="129" t="str">
        <f>_xlfn.XLOOKUP(B807,$S$9:$S$14,$T$9:$T$14)&amp;"-"&amp;
IF(E807="Residential/Group Housing","RES",
IF(E807="Commercial","COM",
IF(E807="Mixed Development","MIX",
IF(E807="Plotted Development","PLT","OTH"))))
&amp;"-"&amp;TEXT(COUNTIFS($B$9:B807,B807,$E$9:E807,E807),"0000")</f>
        <v>SUR-COM-0093</v>
      </c>
      <c r="B807" s="322" t="s">
        <v>34</v>
      </c>
      <c r="C807" s="322" t="s">
        <v>34</v>
      </c>
      <c r="D807" s="323" t="s">
        <v>997</v>
      </c>
      <c r="E807" s="132" t="s">
        <v>23</v>
      </c>
      <c r="F807" s="97" t="str">
        <f ca="1">IF(OR(Market_Data[[#This Row],[Start Date]]="",Market_Data[[#This Row],[Completion Date]]=""),"Needs Validation",IF(Market_Data[[#This Row],[Start Date]]&gt;TODAY(),"Planned",IF(Market_Data[[#This Row],[Completion Date]]&lt;TODAY(),"Completed","Ongoing")))</f>
        <v>Completed</v>
      </c>
      <c r="G807" s="324">
        <v>42585</v>
      </c>
      <c r="H807" s="324">
        <v>43830</v>
      </c>
      <c r="I807" s="325">
        <v>3500</v>
      </c>
      <c r="J80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07" s="133">
        <f>_xlfn.XLOOKUP(Market_Data[[#This Row],[Project Type]],tbl_assumptions_market[Project Category (RERA)],tbl_assumptions_market[Concrete Intensity
(m³ / sq m BUA)],"",0)</f>
        <v>0.5</v>
      </c>
      <c r="L807" s="134">
        <f>ROUND(Market_Data[[#This Row],[Estimated Built Up Area (sq m)]]*Market_Data[[#This Row],[Concrete Intensity
(m³ / sq m)]],0)</f>
        <v>1750</v>
      </c>
      <c r="M807" s="135">
        <f>_xlfn.XLOOKUP(Market_Data[[#This Row],[District]],tbl_district_price[District],tbl_district_price[Standard Price
(INR/m³)],"",0)</f>
        <v>6200</v>
      </c>
      <c r="N807" s="364">
        <f>IF(OR(Market_Data[[#This Row],[Estimated Concrete Demand (m³)]]="",Market_Data[[#This Row],[Avg Price per (₹ / m³)]]=""),"",Market_Data[[#This Row],[Estimated Concrete Demand (m³)]]*Market_Data[[#This Row],[Avg Price per (₹ / m³)]]/10000000)</f>
        <v>1.085</v>
      </c>
      <c r="O807" s="97" t="str">
        <f>IF(Market_Data[[#This Row],[Estimated Concrete Demand (m³)]]="","",
IF(Market_Data[[#This Row],[Estimated Concrete Demand (m³)]]&lt;10000,"Small",
IF(Market_Data[[#This Row],[Estimated Concrete Demand (m³)]]&lt;25000,"Medium",
IF(Market_Data[[#This Row],[Estimated Concrete Demand (m³)]]&lt;100000,"Large","Mega"))))</f>
        <v>Small</v>
      </c>
      <c r="P807" s="287" t="str">
        <f t="shared" si="14"/>
        <v>GujRERA</v>
      </c>
    </row>
    <row r="808" spans="1:16">
      <c r="A808" s="129" t="str">
        <f>_xlfn.XLOOKUP(B808,$S$9:$S$14,$T$9:$T$14)&amp;"-"&amp;
IF(E808="Residential/Group Housing","RES",
IF(E808="Commercial","COM",
IF(E808="Mixed Development","MIX",
IF(E808="Plotted Development","PLT","OTH"))))
&amp;"-"&amp;TEXT(COUNTIFS($B$9:B808,B808,$E$9:E808,E808),"0000")</f>
        <v>SUR-MIX-0087</v>
      </c>
      <c r="B808" s="322" t="s">
        <v>34</v>
      </c>
      <c r="C808" s="322" t="s">
        <v>34</v>
      </c>
      <c r="D808" s="323" t="s">
        <v>998</v>
      </c>
      <c r="E808" s="132" t="s">
        <v>25</v>
      </c>
      <c r="F808" s="97" t="str">
        <f ca="1">IF(OR(Market_Data[[#This Row],[Start Date]]="",Market_Data[[#This Row],[Completion Date]]=""),"Needs Validation",IF(Market_Data[[#This Row],[Start Date]]&gt;TODAY(),"Planned",IF(Market_Data[[#This Row],[Completion Date]]&lt;TODAY(),"Completed","Ongoing")))</f>
        <v>Ongoing</v>
      </c>
      <c r="G808" s="324">
        <v>45071</v>
      </c>
      <c r="H808" s="324">
        <v>47058</v>
      </c>
      <c r="I808" s="325">
        <v>48300</v>
      </c>
      <c r="J80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08" s="133">
        <f>_xlfn.XLOOKUP(Market_Data[[#This Row],[Project Type]],tbl_assumptions_market[Project Category (RERA)],tbl_assumptions_market[Concrete Intensity
(m³ / sq m BUA)],"",0)</f>
        <v>0.42</v>
      </c>
      <c r="L808" s="134">
        <f>ROUND(Market_Data[[#This Row],[Estimated Built Up Area (sq m)]]*Market_Data[[#This Row],[Concrete Intensity
(m³ / sq m)]],0)</f>
        <v>20286</v>
      </c>
      <c r="M808" s="135">
        <f>_xlfn.XLOOKUP(Market_Data[[#This Row],[District]],tbl_district_price[District],tbl_district_price[Standard Price
(INR/m³)],"",0)</f>
        <v>6200</v>
      </c>
      <c r="N808" s="364">
        <f>IF(OR(Market_Data[[#This Row],[Estimated Concrete Demand (m³)]]="",Market_Data[[#This Row],[Avg Price per (₹ / m³)]]=""),"",Market_Data[[#This Row],[Estimated Concrete Demand (m³)]]*Market_Data[[#This Row],[Avg Price per (₹ / m³)]]/10000000)</f>
        <v>12.57732</v>
      </c>
      <c r="O808" s="97" t="str">
        <f>IF(Market_Data[[#This Row],[Estimated Concrete Demand (m³)]]="","",
IF(Market_Data[[#This Row],[Estimated Concrete Demand (m³)]]&lt;10000,"Small",
IF(Market_Data[[#This Row],[Estimated Concrete Demand (m³)]]&lt;25000,"Medium",
IF(Market_Data[[#This Row],[Estimated Concrete Demand (m³)]]&lt;100000,"Large","Mega"))))</f>
        <v>Medium</v>
      </c>
      <c r="P808" s="287" t="str">
        <f t="shared" si="14"/>
        <v>GujRERA</v>
      </c>
    </row>
    <row r="809" spans="1:16">
      <c r="A809" s="129" t="str">
        <f>_xlfn.XLOOKUP(B809,$S$9:$S$14,$T$9:$T$14)&amp;"-"&amp;
IF(E809="Residential/Group Housing","RES",
IF(E809="Commercial","COM",
IF(E809="Mixed Development","MIX",
IF(E809="Plotted Development","PLT","OTH"))))
&amp;"-"&amp;TEXT(COUNTIFS($B$9:B809,B809,$E$9:E809,E809),"0000")</f>
        <v>SUR-MIX-0088</v>
      </c>
      <c r="B809" s="322" t="s">
        <v>34</v>
      </c>
      <c r="C809" s="322" t="s">
        <v>34</v>
      </c>
      <c r="D809" s="323" t="s">
        <v>999</v>
      </c>
      <c r="E809" s="132" t="s">
        <v>25</v>
      </c>
      <c r="F809" s="97" t="str">
        <f ca="1">IF(OR(Market_Data[[#This Row],[Start Date]]="",Market_Data[[#This Row],[Completion Date]]=""),"Needs Validation",IF(Market_Data[[#This Row],[Start Date]]&gt;TODAY(),"Planned",IF(Market_Data[[#This Row],[Completion Date]]&lt;TODAY(),"Completed","Ongoing")))</f>
        <v>Ongoing</v>
      </c>
      <c r="G809" s="324">
        <v>45170</v>
      </c>
      <c r="H809" s="324">
        <v>47208</v>
      </c>
      <c r="I809" s="325">
        <v>43000</v>
      </c>
      <c r="J80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09" s="133">
        <f>_xlfn.XLOOKUP(Market_Data[[#This Row],[Project Type]],tbl_assumptions_market[Project Category (RERA)],tbl_assumptions_market[Concrete Intensity
(m³ / sq m BUA)],"",0)</f>
        <v>0.42</v>
      </c>
      <c r="L809" s="134">
        <f>ROUND(Market_Data[[#This Row],[Estimated Built Up Area (sq m)]]*Market_Data[[#This Row],[Concrete Intensity
(m³ / sq m)]],0)</f>
        <v>18060</v>
      </c>
      <c r="M809" s="135">
        <f>_xlfn.XLOOKUP(Market_Data[[#This Row],[District]],tbl_district_price[District],tbl_district_price[Standard Price
(INR/m³)],"",0)</f>
        <v>6200</v>
      </c>
      <c r="N809" s="364">
        <f>IF(OR(Market_Data[[#This Row],[Estimated Concrete Demand (m³)]]="",Market_Data[[#This Row],[Avg Price per (₹ / m³)]]=""),"",Market_Data[[#This Row],[Estimated Concrete Demand (m³)]]*Market_Data[[#This Row],[Avg Price per (₹ / m³)]]/10000000)</f>
        <v>11.1972</v>
      </c>
      <c r="O809" s="97" t="str">
        <f>IF(Market_Data[[#This Row],[Estimated Concrete Demand (m³)]]="","",
IF(Market_Data[[#This Row],[Estimated Concrete Demand (m³)]]&lt;10000,"Small",
IF(Market_Data[[#This Row],[Estimated Concrete Demand (m³)]]&lt;25000,"Medium",
IF(Market_Data[[#This Row],[Estimated Concrete Demand (m³)]]&lt;100000,"Large","Mega"))))</f>
        <v>Medium</v>
      </c>
      <c r="P809" s="287" t="str">
        <f t="shared" si="14"/>
        <v>GujRERA</v>
      </c>
    </row>
    <row r="810" spans="1:16">
      <c r="A810" s="129" t="str">
        <f>_xlfn.XLOOKUP(B810,$S$9:$S$14,$T$9:$T$14)&amp;"-"&amp;
IF(E810="Residential/Group Housing","RES",
IF(E810="Commercial","COM",
IF(E810="Mixed Development","MIX",
IF(E810="Plotted Development","PLT","OTH"))))
&amp;"-"&amp;TEXT(COUNTIFS($B$9:B810,B810,$E$9:E810,E810),"0000")</f>
        <v>SUR-MIX-0089</v>
      </c>
      <c r="B810" s="322" t="s">
        <v>34</v>
      </c>
      <c r="C810" s="322" t="s">
        <v>34</v>
      </c>
      <c r="D810" s="323" t="s">
        <v>1000</v>
      </c>
      <c r="E810" s="132" t="s">
        <v>25</v>
      </c>
      <c r="F810" s="97" t="str">
        <f ca="1">IF(OR(Market_Data[[#This Row],[Start Date]]="",Market_Data[[#This Row],[Completion Date]]=""),"Needs Validation",IF(Market_Data[[#This Row],[Start Date]]&gt;TODAY(),"Planned",IF(Market_Data[[#This Row],[Completion Date]]&lt;TODAY(),"Completed","Ongoing")))</f>
        <v>Ongoing</v>
      </c>
      <c r="G810" s="324">
        <v>45047</v>
      </c>
      <c r="H810" s="324">
        <v>47208</v>
      </c>
      <c r="I810" s="325">
        <v>7900</v>
      </c>
      <c r="J81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810" s="133">
        <f>_xlfn.XLOOKUP(Market_Data[[#This Row],[Project Type]],tbl_assumptions_market[Project Category (RERA)],tbl_assumptions_market[Concrete Intensity
(m³ / sq m BUA)],"",0)</f>
        <v>0.42</v>
      </c>
      <c r="L810" s="134">
        <f>ROUND(Market_Data[[#This Row],[Estimated Built Up Area (sq m)]]*Market_Data[[#This Row],[Concrete Intensity
(m³ / sq m)]],0)</f>
        <v>3318</v>
      </c>
      <c r="M810" s="135">
        <f>_xlfn.XLOOKUP(Market_Data[[#This Row],[District]],tbl_district_price[District],tbl_district_price[Standard Price
(INR/m³)],"",0)</f>
        <v>6200</v>
      </c>
      <c r="N810" s="364">
        <f>IF(OR(Market_Data[[#This Row],[Estimated Concrete Demand (m³)]]="",Market_Data[[#This Row],[Avg Price per (₹ / m³)]]=""),"",Market_Data[[#This Row],[Estimated Concrete Demand (m³)]]*Market_Data[[#This Row],[Avg Price per (₹ / m³)]]/10000000)</f>
        <v>2.0571600000000001</v>
      </c>
      <c r="O810" s="97" t="str">
        <f>IF(Market_Data[[#This Row],[Estimated Concrete Demand (m³)]]="","",
IF(Market_Data[[#This Row],[Estimated Concrete Demand (m³)]]&lt;10000,"Small",
IF(Market_Data[[#This Row],[Estimated Concrete Demand (m³)]]&lt;25000,"Medium",
IF(Market_Data[[#This Row],[Estimated Concrete Demand (m³)]]&lt;100000,"Large","Mega"))))</f>
        <v>Small</v>
      </c>
      <c r="P810" s="287" t="str">
        <f t="shared" si="14"/>
        <v>GujRERA</v>
      </c>
    </row>
    <row r="811" spans="1:16">
      <c r="A811" s="129" t="str">
        <f>_xlfn.XLOOKUP(B811,$S$9:$S$14,$T$9:$T$14)&amp;"-"&amp;
IF(E811="Residential/Group Housing","RES",
IF(E811="Commercial","COM",
IF(E811="Mixed Development","MIX",
IF(E811="Plotted Development","PLT","OTH"))))
&amp;"-"&amp;TEXT(COUNTIFS($B$9:B811,B811,$E$9:E811,E811),"0000")</f>
        <v>SUR-RES-0195</v>
      </c>
      <c r="B811" s="322" t="s">
        <v>34</v>
      </c>
      <c r="C811" s="322" t="s">
        <v>34</v>
      </c>
      <c r="D811" s="323" t="s">
        <v>1001</v>
      </c>
      <c r="E811" s="132" t="s">
        <v>24</v>
      </c>
      <c r="F811" s="97" t="str">
        <f ca="1">IF(OR(Market_Data[[#This Row],[Start Date]]="",Market_Data[[#This Row],[Completion Date]]=""),"Needs Validation",IF(Market_Data[[#This Row],[Start Date]]&gt;TODAY(),"Planned",IF(Market_Data[[#This Row],[Completion Date]]&lt;TODAY(),"Completed","Ongoing")))</f>
        <v>Ongoing</v>
      </c>
      <c r="G811" s="324">
        <v>45065</v>
      </c>
      <c r="H811" s="324">
        <v>47118</v>
      </c>
      <c r="I811" s="325">
        <v>31900</v>
      </c>
      <c r="J81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11" s="133">
        <f>_xlfn.XLOOKUP(Market_Data[[#This Row],[Project Type]],tbl_assumptions_market[Project Category (RERA)],tbl_assumptions_market[Concrete Intensity
(m³ / sq m BUA)],"",0)</f>
        <v>0.45</v>
      </c>
      <c r="L811" s="134">
        <f>ROUND(Market_Data[[#This Row],[Estimated Built Up Area (sq m)]]*Market_Data[[#This Row],[Concrete Intensity
(m³ / sq m)]],0)</f>
        <v>14355</v>
      </c>
      <c r="M811" s="135">
        <f>_xlfn.XLOOKUP(Market_Data[[#This Row],[District]],tbl_district_price[District],tbl_district_price[Standard Price
(INR/m³)],"",0)</f>
        <v>6200</v>
      </c>
      <c r="N811" s="364">
        <f>IF(OR(Market_Data[[#This Row],[Estimated Concrete Demand (m³)]]="",Market_Data[[#This Row],[Avg Price per (₹ / m³)]]=""),"",Market_Data[[#This Row],[Estimated Concrete Demand (m³)]]*Market_Data[[#This Row],[Avg Price per (₹ / m³)]]/10000000)</f>
        <v>8.9001000000000001</v>
      </c>
      <c r="O811" s="97" t="str">
        <f>IF(Market_Data[[#This Row],[Estimated Concrete Demand (m³)]]="","",
IF(Market_Data[[#This Row],[Estimated Concrete Demand (m³)]]&lt;10000,"Small",
IF(Market_Data[[#This Row],[Estimated Concrete Demand (m³)]]&lt;25000,"Medium",
IF(Market_Data[[#This Row],[Estimated Concrete Demand (m³)]]&lt;100000,"Large","Mega"))))</f>
        <v>Medium</v>
      </c>
      <c r="P811" s="287" t="str">
        <f t="shared" si="14"/>
        <v>GujRERA</v>
      </c>
    </row>
    <row r="812" spans="1:16">
      <c r="A812" s="129" t="str">
        <f>_xlfn.XLOOKUP(B812,$S$9:$S$14,$T$9:$T$14)&amp;"-"&amp;
IF(E812="Residential/Group Housing","RES",
IF(E812="Commercial","COM",
IF(E812="Mixed Development","MIX",
IF(E812="Plotted Development","PLT","OTH"))))
&amp;"-"&amp;TEXT(COUNTIFS($B$9:B812,B812,$E$9:E812,E812),"0000")</f>
        <v>SUR-RES-0196</v>
      </c>
      <c r="B812" s="322" t="s">
        <v>34</v>
      </c>
      <c r="C812" s="322" t="s">
        <v>34</v>
      </c>
      <c r="D812" s="323" t="s">
        <v>1002</v>
      </c>
      <c r="E812" s="132" t="s">
        <v>24</v>
      </c>
      <c r="F812" s="97" t="str">
        <f ca="1">IF(OR(Market_Data[[#This Row],[Start Date]]="",Market_Data[[#This Row],[Completion Date]]=""),"Needs Validation",IF(Market_Data[[#This Row],[Start Date]]&gt;TODAY(),"Planned",IF(Market_Data[[#This Row],[Completion Date]]&lt;TODAY(),"Completed","Ongoing")))</f>
        <v>Completed</v>
      </c>
      <c r="G812" s="324">
        <v>43691</v>
      </c>
      <c r="H812" s="324">
        <v>45107</v>
      </c>
      <c r="I812" s="325">
        <v>33500</v>
      </c>
      <c r="J81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12" s="133">
        <f>_xlfn.XLOOKUP(Market_Data[[#This Row],[Project Type]],tbl_assumptions_market[Project Category (RERA)],tbl_assumptions_market[Concrete Intensity
(m³ / sq m BUA)],"",0)</f>
        <v>0.45</v>
      </c>
      <c r="L812" s="134">
        <f>ROUND(Market_Data[[#This Row],[Estimated Built Up Area (sq m)]]*Market_Data[[#This Row],[Concrete Intensity
(m³ / sq m)]],0)</f>
        <v>15075</v>
      </c>
      <c r="M812" s="135">
        <f>_xlfn.XLOOKUP(Market_Data[[#This Row],[District]],tbl_district_price[District],tbl_district_price[Standard Price
(INR/m³)],"",0)</f>
        <v>6200</v>
      </c>
      <c r="N812" s="364">
        <f>IF(OR(Market_Data[[#This Row],[Estimated Concrete Demand (m³)]]="",Market_Data[[#This Row],[Avg Price per (₹ / m³)]]=""),"",Market_Data[[#This Row],[Estimated Concrete Demand (m³)]]*Market_Data[[#This Row],[Avg Price per (₹ / m³)]]/10000000)</f>
        <v>9.3465000000000007</v>
      </c>
      <c r="O812" s="97" t="str">
        <f>IF(Market_Data[[#This Row],[Estimated Concrete Demand (m³)]]="","",
IF(Market_Data[[#This Row],[Estimated Concrete Demand (m³)]]&lt;10000,"Small",
IF(Market_Data[[#This Row],[Estimated Concrete Demand (m³)]]&lt;25000,"Medium",
IF(Market_Data[[#This Row],[Estimated Concrete Demand (m³)]]&lt;100000,"Large","Mega"))))</f>
        <v>Medium</v>
      </c>
      <c r="P812" s="287" t="str">
        <f t="shared" si="14"/>
        <v>GujRERA</v>
      </c>
    </row>
    <row r="813" spans="1:16">
      <c r="A813" s="129" t="str">
        <f>_xlfn.XLOOKUP(B813,$S$9:$S$14,$T$9:$T$14)&amp;"-"&amp;
IF(E813="Residential/Group Housing","RES",
IF(E813="Commercial","COM",
IF(E813="Mixed Development","MIX",
IF(E813="Plotted Development","PLT","OTH"))))
&amp;"-"&amp;TEXT(COUNTIFS($B$9:B813,B813,$E$9:E813,E813),"0000")</f>
        <v>SUR-COM-0094</v>
      </c>
      <c r="B813" s="322" t="s">
        <v>34</v>
      </c>
      <c r="C813" s="322" t="s">
        <v>34</v>
      </c>
      <c r="D813" s="323" t="s">
        <v>1003</v>
      </c>
      <c r="E813" s="132" t="s">
        <v>23</v>
      </c>
      <c r="F813" s="97" t="str">
        <f ca="1">IF(OR(Market_Data[[#This Row],[Start Date]]="",Market_Data[[#This Row],[Completion Date]]=""),"Needs Validation",IF(Market_Data[[#This Row],[Start Date]]&gt;TODAY(),"Planned",IF(Market_Data[[#This Row],[Completion Date]]&lt;TODAY(),"Completed","Ongoing")))</f>
        <v>Ongoing</v>
      </c>
      <c r="G813" s="324">
        <v>44690</v>
      </c>
      <c r="H813" s="324">
        <v>46387</v>
      </c>
      <c r="I813" s="325">
        <v>10300</v>
      </c>
      <c r="J81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13" s="133">
        <f>_xlfn.XLOOKUP(Market_Data[[#This Row],[Project Type]],tbl_assumptions_market[Project Category (RERA)],tbl_assumptions_market[Concrete Intensity
(m³ / sq m BUA)],"",0)</f>
        <v>0.5</v>
      </c>
      <c r="L813" s="134">
        <f>ROUND(Market_Data[[#This Row],[Estimated Built Up Area (sq m)]]*Market_Data[[#This Row],[Concrete Intensity
(m³ / sq m)]],0)</f>
        <v>5150</v>
      </c>
      <c r="M813" s="135">
        <f>_xlfn.XLOOKUP(Market_Data[[#This Row],[District]],tbl_district_price[District],tbl_district_price[Standard Price
(INR/m³)],"",0)</f>
        <v>6200</v>
      </c>
      <c r="N813" s="364">
        <f>IF(OR(Market_Data[[#This Row],[Estimated Concrete Demand (m³)]]="",Market_Data[[#This Row],[Avg Price per (₹ / m³)]]=""),"",Market_Data[[#This Row],[Estimated Concrete Demand (m³)]]*Market_Data[[#This Row],[Avg Price per (₹ / m³)]]/10000000)</f>
        <v>3.1930000000000001</v>
      </c>
      <c r="O813" s="97" t="str">
        <f>IF(Market_Data[[#This Row],[Estimated Concrete Demand (m³)]]="","",
IF(Market_Data[[#This Row],[Estimated Concrete Demand (m³)]]&lt;10000,"Small",
IF(Market_Data[[#This Row],[Estimated Concrete Demand (m³)]]&lt;25000,"Medium",
IF(Market_Data[[#This Row],[Estimated Concrete Demand (m³)]]&lt;100000,"Large","Mega"))))</f>
        <v>Small</v>
      </c>
      <c r="P813" s="287" t="str">
        <f t="shared" si="14"/>
        <v>GujRERA</v>
      </c>
    </row>
    <row r="814" spans="1:16">
      <c r="A814" s="129" t="str">
        <f>_xlfn.XLOOKUP(B814,$S$9:$S$14,$T$9:$T$14)&amp;"-"&amp;
IF(E814="Residential/Group Housing","RES",
IF(E814="Commercial","COM",
IF(E814="Mixed Development","MIX",
IF(E814="Plotted Development","PLT","OTH"))))
&amp;"-"&amp;TEXT(COUNTIFS($B$9:B814,B814,$E$9:E814,E814),"0000")</f>
        <v>SUR-RES-0197</v>
      </c>
      <c r="B814" s="322" t="s">
        <v>34</v>
      </c>
      <c r="C814" s="322" t="s">
        <v>34</v>
      </c>
      <c r="D814" s="323" t="s">
        <v>1004</v>
      </c>
      <c r="E814" s="132" t="s">
        <v>24</v>
      </c>
      <c r="F814" s="97" t="str">
        <f ca="1">IF(OR(Market_Data[[#This Row],[Start Date]]="",Market_Data[[#This Row],[Completion Date]]=""),"Needs Validation",IF(Market_Data[[#This Row],[Start Date]]&gt;TODAY(),"Planned",IF(Market_Data[[#This Row],[Completion Date]]&lt;TODAY(),"Completed","Ongoing")))</f>
        <v>Completed</v>
      </c>
      <c r="G814" s="324">
        <v>43845</v>
      </c>
      <c r="H814" s="324">
        <v>45016</v>
      </c>
      <c r="I814" s="325">
        <v>12200</v>
      </c>
      <c r="J81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14" s="133">
        <f>_xlfn.XLOOKUP(Market_Data[[#This Row],[Project Type]],tbl_assumptions_market[Project Category (RERA)],tbl_assumptions_market[Concrete Intensity
(m³ / sq m BUA)],"",0)</f>
        <v>0.45</v>
      </c>
      <c r="L814" s="134">
        <f>ROUND(Market_Data[[#This Row],[Estimated Built Up Area (sq m)]]*Market_Data[[#This Row],[Concrete Intensity
(m³ / sq m)]],0)</f>
        <v>5490</v>
      </c>
      <c r="M814" s="135">
        <f>_xlfn.XLOOKUP(Market_Data[[#This Row],[District]],tbl_district_price[District],tbl_district_price[Standard Price
(INR/m³)],"",0)</f>
        <v>6200</v>
      </c>
      <c r="N814" s="364">
        <f>IF(OR(Market_Data[[#This Row],[Estimated Concrete Demand (m³)]]="",Market_Data[[#This Row],[Avg Price per (₹ / m³)]]=""),"",Market_Data[[#This Row],[Estimated Concrete Demand (m³)]]*Market_Data[[#This Row],[Avg Price per (₹ / m³)]]/10000000)</f>
        <v>3.4037999999999999</v>
      </c>
      <c r="O814" s="97" t="str">
        <f>IF(Market_Data[[#This Row],[Estimated Concrete Demand (m³)]]="","",
IF(Market_Data[[#This Row],[Estimated Concrete Demand (m³)]]&lt;10000,"Small",
IF(Market_Data[[#This Row],[Estimated Concrete Demand (m³)]]&lt;25000,"Medium",
IF(Market_Data[[#This Row],[Estimated Concrete Demand (m³)]]&lt;100000,"Large","Mega"))))</f>
        <v>Small</v>
      </c>
      <c r="P814" s="287" t="str">
        <f t="shared" si="14"/>
        <v>GujRERA</v>
      </c>
    </row>
    <row r="815" spans="1:16">
      <c r="A815" s="129" t="str">
        <f>_xlfn.XLOOKUP(B815,$S$9:$S$14,$T$9:$T$14)&amp;"-"&amp;
IF(E815="Residential/Group Housing","RES",
IF(E815="Commercial","COM",
IF(E815="Mixed Development","MIX",
IF(E815="Plotted Development","PLT","OTH"))))
&amp;"-"&amp;TEXT(COUNTIFS($B$9:B815,B815,$E$9:E815,E815),"0000")</f>
        <v>SUR-RES-0198</v>
      </c>
      <c r="B815" s="322" t="s">
        <v>34</v>
      </c>
      <c r="C815" s="322" t="s">
        <v>34</v>
      </c>
      <c r="D815" s="323" t="s">
        <v>1005</v>
      </c>
      <c r="E815" s="132" t="s">
        <v>24</v>
      </c>
      <c r="F815" s="97" t="str">
        <f ca="1">IF(OR(Market_Data[[#This Row],[Start Date]]="",Market_Data[[#This Row],[Completion Date]]=""),"Needs Validation",IF(Market_Data[[#This Row],[Start Date]]&gt;TODAY(),"Planned",IF(Market_Data[[#This Row],[Completion Date]]&lt;TODAY(),"Completed","Ongoing")))</f>
        <v>Completed</v>
      </c>
      <c r="G815" s="324">
        <v>41488</v>
      </c>
      <c r="H815" s="324">
        <v>43555</v>
      </c>
      <c r="I815" s="325">
        <v>17500</v>
      </c>
      <c r="J81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15" s="133">
        <f>_xlfn.XLOOKUP(Market_Data[[#This Row],[Project Type]],tbl_assumptions_market[Project Category (RERA)],tbl_assumptions_market[Concrete Intensity
(m³ / sq m BUA)],"",0)</f>
        <v>0.45</v>
      </c>
      <c r="L815" s="134">
        <f>ROUND(Market_Data[[#This Row],[Estimated Built Up Area (sq m)]]*Market_Data[[#This Row],[Concrete Intensity
(m³ / sq m)]],0)</f>
        <v>7875</v>
      </c>
      <c r="M815" s="135">
        <f>_xlfn.XLOOKUP(Market_Data[[#This Row],[District]],tbl_district_price[District],tbl_district_price[Standard Price
(INR/m³)],"",0)</f>
        <v>6200</v>
      </c>
      <c r="N815" s="364">
        <f>IF(OR(Market_Data[[#This Row],[Estimated Concrete Demand (m³)]]="",Market_Data[[#This Row],[Avg Price per (₹ / m³)]]=""),"",Market_Data[[#This Row],[Estimated Concrete Demand (m³)]]*Market_Data[[#This Row],[Avg Price per (₹ / m³)]]/10000000)</f>
        <v>4.8825000000000003</v>
      </c>
      <c r="O815" s="97" t="str">
        <f>IF(Market_Data[[#This Row],[Estimated Concrete Demand (m³)]]="","",
IF(Market_Data[[#This Row],[Estimated Concrete Demand (m³)]]&lt;10000,"Small",
IF(Market_Data[[#This Row],[Estimated Concrete Demand (m³)]]&lt;25000,"Medium",
IF(Market_Data[[#This Row],[Estimated Concrete Demand (m³)]]&lt;100000,"Large","Mega"))))</f>
        <v>Small</v>
      </c>
      <c r="P815" s="287" t="str">
        <f t="shared" si="14"/>
        <v>GujRERA</v>
      </c>
    </row>
    <row r="816" spans="1:16">
      <c r="A816" s="129" t="str">
        <f>_xlfn.XLOOKUP(B816,$S$9:$S$14,$T$9:$T$14)&amp;"-"&amp;
IF(E816="Residential/Group Housing","RES",
IF(E816="Commercial","COM",
IF(E816="Mixed Development","MIX",
IF(E816="Plotted Development","PLT","OTH"))))
&amp;"-"&amp;TEXT(COUNTIFS($B$9:B816,B816,$E$9:E816,E816),"0000")</f>
        <v>SUR-RES-0199</v>
      </c>
      <c r="B816" s="322" t="s">
        <v>34</v>
      </c>
      <c r="C816" s="322" t="s">
        <v>34</v>
      </c>
      <c r="D816" s="323" t="s">
        <v>1006</v>
      </c>
      <c r="E816" s="132" t="s">
        <v>24</v>
      </c>
      <c r="F816" s="97" t="str">
        <f ca="1">IF(OR(Market_Data[[#This Row],[Start Date]]="",Market_Data[[#This Row],[Completion Date]]=""),"Needs Validation",IF(Market_Data[[#This Row],[Start Date]]&gt;TODAY(),"Planned",IF(Market_Data[[#This Row],[Completion Date]]&lt;TODAY(),"Completed","Ongoing")))</f>
        <v>Completed</v>
      </c>
      <c r="G816" s="324">
        <v>42030</v>
      </c>
      <c r="H816" s="324">
        <v>44742</v>
      </c>
      <c r="I816" s="325">
        <v>35900</v>
      </c>
      <c r="J81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16" s="133">
        <f>_xlfn.XLOOKUP(Market_Data[[#This Row],[Project Type]],tbl_assumptions_market[Project Category (RERA)],tbl_assumptions_market[Concrete Intensity
(m³ / sq m BUA)],"",0)</f>
        <v>0.45</v>
      </c>
      <c r="L816" s="134">
        <f>ROUND(Market_Data[[#This Row],[Estimated Built Up Area (sq m)]]*Market_Data[[#This Row],[Concrete Intensity
(m³ / sq m)]],0)</f>
        <v>16155</v>
      </c>
      <c r="M816" s="135">
        <f>_xlfn.XLOOKUP(Market_Data[[#This Row],[District]],tbl_district_price[District],tbl_district_price[Standard Price
(INR/m³)],"",0)</f>
        <v>6200</v>
      </c>
      <c r="N816" s="364">
        <f>IF(OR(Market_Data[[#This Row],[Estimated Concrete Demand (m³)]]="",Market_Data[[#This Row],[Avg Price per (₹ / m³)]]=""),"",Market_Data[[#This Row],[Estimated Concrete Demand (m³)]]*Market_Data[[#This Row],[Avg Price per (₹ / m³)]]/10000000)</f>
        <v>10.0161</v>
      </c>
      <c r="O816" s="97" t="str">
        <f>IF(Market_Data[[#This Row],[Estimated Concrete Demand (m³)]]="","",
IF(Market_Data[[#This Row],[Estimated Concrete Demand (m³)]]&lt;10000,"Small",
IF(Market_Data[[#This Row],[Estimated Concrete Demand (m³)]]&lt;25000,"Medium",
IF(Market_Data[[#This Row],[Estimated Concrete Demand (m³)]]&lt;100000,"Large","Mega"))))</f>
        <v>Medium</v>
      </c>
      <c r="P816" s="287" t="str">
        <f t="shared" si="14"/>
        <v>GujRERA</v>
      </c>
    </row>
    <row r="817" spans="1:16">
      <c r="A817" s="129" t="str">
        <f>_xlfn.XLOOKUP(B817,$S$9:$S$14,$T$9:$T$14)&amp;"-"&amp;
IF(E817="Residential/Group Housing","RES",
IF(E817="Commercial","COM",
IF(E817="Mixed Development","MIX",
IF(E817="Plotted Development","PLT","OTH"))))
&amp;"-"&amp;TEXT(COUNTIFS($B$9:B817,B817,$E$9:E817,E817),"0000")</f>
        <v>SUR-COM-0095</v>
      </c>
      <c r="B817" s="322" t="s">
        <v>34</v>
      </c>
      <c r="C817" s="322" t="s">
        <v>34</v>
      </c>
      <c r="D817" s="323" t="s">
        <v>1007</v>
      </c>
      <c r="E817" s="132" t="s">
        <v>23</v>
      </c>
      <c r="F817" s="97" t="str">
        <f ca="1">IF(OR(Market_Data[[#This Row],[Start Date]]="",Market_Data[[#This Row],[Completion Date]]=""),"Needs Validation",IF(Market_Data[[#This Row],[Start Date]]&gt;TODAY(),"Planned",IF(Market_Data[[#This Row],[Completion Date]]&lt;TODAY(),"Completed","Ongoing")))</f>
        <v>Completed</v>
      </c>
      <c r="G817" s="324">
        <v>42473</v>
      </c>
      <c r="H817" s="324">
        <v>43646</v>
      </c>
      <c r="I817" s="325">
        <v>11700</v>
      </c>
      <c r="J81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17" s="133">
        <f>_xlfn.XLOOKUP(Market_Data[[#This Row],[Project Type]],tbl_assumptions_market[Project Category (RERA)],tbl_assumptions_market[Concrete Intensity
(m³ / sq m BUA)],"",0)</f>
        <v>0.5</v>
      </c>
      <c r="L817" s="134">
        <f>ROUND(Market_Data[[#This Row],[Estimated Built Up Area (sq m)]]*Market_Data[[#This Row],[Concrete Intensity
(m³ / sq m)]],0)</f>
        <v>5850</v>
      </c>
      <c r="M817" s="135">
        <f>_xlfn.XLOOKUP(Market_Data[[#This Row],[District]],tbl_district_price[District],tbl_district_price[Standard Price
(INR/m³)],"",0)</f>
        <v>6200</v>
      </c>
      <c r="N817" s="364">
        <f>IF(OR(Market_Data[[#This Row],[Estimated Concrete Demand (m³)]]="",Market_Data[[#This Row],[Avg Price per (₹ / m³)]]=""),"",Market_Data[[#This Row],[Estimated Concrete Demand (m³)]]*Market_Data[[#This Row],[Avg Price per (₹ / m³)]]/10000000)</f>
        <v>3.6269999999999998</v>
      </c>
      <c r="O817" s="97" t="str">
        <f>IF(Market_Data[[#This Row],[Estimated Concrete Demand (m³)]]="","",
IF(Market_Data[[#This Row],[Estimated Concrete Demand (m³)]]&lt;10000,"Small",
IF(Market_Data[[#This Row],[Estimated Concrete Demand (m³)]]&lt;25000,"Medium",
IF(Market_Data[[#This Row],[Estimated Concrete Demand (m³)]]&lt;100000,"Large","Mega"))))</f>
        <v>Small</v>
      </c>
      <c r="P817" s="287" t="str">
        <f t="shared" si="14"/>
        <v>GujRERA</v>
      </c>
    </row>
    <row r="818" spans="1:16">
      <c r="A818" s="129" t="str">
        <f>_xlfn.XLOOKUP(B818,$S$9:$S$14,$T$9:$T$14)&amp;"-"&amp;
IF(E818="Residential/Group Housing","RES",
IF(E818="Commercial","COM",
IF(E818="Mixed Development","MIX",
IF(E818="Plotted Development","PLT","OTH"))))
&amp;"-"&amp;TEXT(COUNTIFS($B$9:B818,B818,$E$9:E818,E818),"0000")</f>
        <v>SUR-COM-0096</v>
      </c>
      <c r="B818" s="322" t="s">
        <v>34</v>
      </c>
      <c r="C818" s="322" t="s">
        <v>34</v>
      </c>
      <c r="D818" s="323" t="s">
        <v>1008</v>
      </c>
      <c r="E818" s="132" t="s">
        <v>23</v>
      </c>
      <c r="F818" s="97" t="str">
        <f ca="1">IF(OR(Market_Data[[#This Row],[Start Date]]="",Market_Data[[#This Row],[Completion Date]]=""),"Needs Validation",IF(Market_Data[[#This Row],[Start Date]]&gt;TODAY(),"Planned",IF(Market_Data[[#This Row],[Completion Date]]&lt;TODAY(),"Completed","Ongoing")))</f>
        <v>Completed</v>
      </c>
      <c r="G818" s="324">
        <v>43644</v>
      </c>
      <c r="H818" s="324">
        <v>45107</v>
      </c>
      <c r="I818" s="325">
        <v>45800</v>
      </c>
      <c r="J81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818" s="133">
        <f>_xlfn.XLOOKUP(Market_Data[[#This Row],[Project Type]],tbl_assumptions_market[Project Category (RERA)],tbl_assumptions_market[Concrete Intensity
(m³ / sq m BUA)],"",0)</f>
        <v>0.5</v>
      </c>
      <c r="L818" s="134">
        <f>ROUND(Market_Data[[#This Row],[Estimated Built Up Area (sq m)]]*Market_Data[[#This Row],[Concrete Intensity
(m³ / sq m)]],0)</f>
        <v>22900</v>
      </c>
      <c r="M818" s="135">
        <f>_xlfn.XLOOKUP(Market_Data[[#This Row],[District]],tbl_district_price[District],tbl_district_price[Standard Price
(INR/m³)],"",0)</f>
        <v>6200</v>
      </c>
      <c r="N818" s="364">
        <f>IF(OR(Market_Data[[#This Row],[Estimated Concrete Demand (m³)]]="",Market_Data[[#This Row],[Avg Price per (₹ / m³)]]=""),"",Market_Data[[#This Row],[Estimated Concrete Demand (m³)]]*Market_Data[[#This Row],[Avg Price per (₹ / m³)]]/10000000)</f>
        <v>14.198</v>
      </c>
      <c r="O818" s="97" t="str">
        <f>IF(Market_Data[[#This Row],[Estimated Concrete Demand (m³)]]="","",
IF(Market_Data[[#This Row],[Estimated Concrete Demand (m³)]]&lt;10000,"Small",
IF(Market_Data[[#This Row],[Estimated Concrete Demand (m³)]]&lt;25000,"Medium",
IF(Market_Data[[#This Row],[Estimated Concrete Demand (m³)]]&lt;100000,"Large","Mega"))))</f>
        <v>Medium</v>
      </c>
      <c r="P818" s="287" t="str">
        <f t="shared" si="14"/>
        <v>GujRERA</v>
      </c>
    </row>
    <row r="819" spans="1:16">
      <c r="A819" s="129" t="str">
        <f>_xlfn.XLOOKUP(B819,$S$9:$S$14,$T$9:$T$14)&amp;"-"&amp;
IF(E819="Residential/Group Housing","RES",
IF(E819="Commercial","COM",
IF(E819="Mixed Development","MIX",
IF(E819="Plotted Development","PLT","OTH"))))
&amp;"-"&amp;TEXT(COUNTIFS($B$9:B819,B819,$E$9:E819,E819),"0000")</f>
        <v>SUR-RES-0200</v>
      </c>
      <c r="B819" s="322" t="s">
        <v>34</v>
      </c>
      <c r="C819" s="322" t="s">
        <v>34</v>
      </c>
      <c r="D819" s="323" t="s">
        <v>1009</v>
      </c>
      <c r="E819" s="132" t="s">
        <v>24</v>
      </c>
      <c r="F819" s="97" t="str">
        <f ca="1">IF(OR(Market_Data[[#This Row],[Start Date]]="",Market_Data[[#This Row],[Completion Date]]=""),"Needs Validation",IF(Market_Data[[#This Row],[Start Date]]&gt;TODAY(),"Planned",IF(Market_Data[[#This Row],[Completion Date]]&lt;TODAY(),"Completed","Ongoing")))</f>
        <v>Ongoing</v>
      </c>
      <c r="G819" s="324">
        <v>45658</v>
      </c>
      <c r="H819" s="324">
        <v>47848</v>
      </c>
      <c r="I819" s="325">
        <v>46100</v>
      </c>
      <c r="J81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19" s="133">
        <f>_xlfn.XLOOKUP(Market_Data[[#This Row],[Project Type]],tbl_assumptions_market[Project Category (RERA)],tbl_assumptions_market[Concrete Intensity
(m³ / sq m BUA)],"",0)</f>
        <v>0.45</v>
      </c>
      <c r="L819" s="134">
        <f>ROUND(Market_Data[[#This Row],[Estimated Built Up Area (sq m)]]*Market_Data[[#This Row],[Concrete Intensity
(m³ / sq m)]],0)</f>
        <v>20745</v>
      </c>
      <c r="M819" s="135">
        <f>_xlfn.XLOOKUP(Market_Data[[#This Row],[District]],tbl_district_price[District],tbl_district_price[Standard Price
(INR/m³)],"",0)</f>
        <v>6200</v>
      </c>
      <c r="N819" s="364">
        <f>IF(OR(Market_Data[[#This Row],[Estimated Concrete Demand (m³)]]="",Market_Data[[#This Row],[Avg Price per (₹ / m³)]]=""),"",Market_Data[[#This Row],[Estimated Concrete Demand (m³)]]*Market_Data[[#This Row],[Avg Price per (₹ / m³)]]/10000000)</f>
        <v>12.8619</v>
      </c>
      <c r="O819" s="97" t="str">
        <f>IF(Market_Data[[#This Row],[Estimated Concrete Demand (m³)]]="","",
IF(Market_Data[[#This Row],[Estimated Concrete Demand (m³)]]&lt;10000,"Small",
IF(Market_Data[[#This Row],[Estimated Concrete Demand (m³)]]&lt;25000,"Medium",
IF(Market_Data[[#This Row],[Estimated Concrete Demand (m³)]]&lt;100000,"Large","Mega"))))</f>
        <v>Medium</v>
      </c>
      <c r="P819" s="287" t="str">
        <f t="shared" si="14"/>
        <v>GujRERA</v>
      </c>
    </row>
    <row r="820" spans="1:16">
      <c r="A820" s="129" t="str">
        <f>_xlfn.XLOOKUP(B820,$S$9:$S$14,$T$9:$T$14)&amp;"-"&amp;
IF(E820="Residential/Group Housing","RES",
IF(E820="Commercial","COM",
IF(E820="Mixed Development","MIX",
IF(E820="Plotted Development","PLT","OTH"))))
&amp;"-"&amp;TEXT(COUNTIFS($B$9:B820,B820,$E$9:E820,E820),"0000")</f>
        <v>SUR-RES-0201</v>
      </c>
      <c r="B820" s="322" t="s">
        <v>34</v>
      </c>
      <c r="C820" s="322" t="s">
        <v>34</v>
      </c>
      <c r="D820" s="323" t="s">
        <v>1010</v>
      </c>
      <c r="E820" s="132" t="s">
        <v>24</v>
      </c>
      <c r="F820" s="97" t="str">
        <f ca="1">IF(OR(Market_Data[[#This Row],[Start Date]]="",Market_Data[[#This Row],[Completion Date]]=""),"Needs Validation",IF(Market_Data[[#This Row],[Start Date]]&gt;TODAY(),"Planned",IF(Market_Data[[#This Row],[Completion Date]]&lt;TODAY(),"Completed","Ongoing")))</f>
        <v>Ongoing</v>
      </c>
      <c r="G820" s="324">
        <v>45588</v>
      </c>
      <c r="H820" s="324">
        <v>47118</v>
      </c>
      <c r="I820" s="325">
        <v>51300</v>
      </c>
      <c r="J82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20" s="133">
        <f>_xlfn.XLOOKUP(Market_Data[[#This Row],[Project Type]],tbl_assumptions_market[Project Category (RERA)],tbl_assumptions_market[Concrete Intensity
(m³ / sq m BUA)],"",0)</f>
        <v>0.45</v>
      </c>
      <c r="L820" s="134">
        <f>ROUND(Market_Data[[#This Row],[Estimated Built Up Area (sq m)]]*Market_Data[[#This Row],[Concrete Intensity
(m³ / sq m)]],0)</f>
        <v>23085</v>
      </c>
      <c r="M820" s="135">
        <f>_xlfn.XLOOKUP(Market_Data[[#This Row],[District]],tbl_district_price[District],tbl_district_price[Standard Price
(INR/m³)],"",0)</f>
        <v>6200</v>
      </c>
      <c r="N820" s="364">
        <f>IF(OR(Market_Data[[#This Row],[Estimated Concrete Demand (m³)]]="",Market_Data[[#This Row],[Avg Price per (₹ / m³)]]=""),"",Market_Data[[#This Row],[Estimated Concrete Demand (m³)]]*Market_Data[[#This Row],[Avg Price per (₹ / m³)]]/10000000)</f>
        <v>14.3127</v>
      </c>
      <c r="O820" s="97" t="str">
        <f>IF(Market_Data[[#This Row],[Estimated Concrete Demand (m³)]]="","",
IF(Market_Data[[#This Row],[Estimated Concrete Demand (m³)]]&lt;10000,"Small",
IF(Market_Data[[#This Row],[Estimated Concrete Demand (m³)]]&lt;25000,"Medium",
IF(Market_Data[[#This Row],[Estimated Concrete Demand (m³)]]&lt;100000,"Large","Mega"))))</f>
        <v>Medium</v>
      </c>
      <c r="P820" s="287" t="str">
        <f t="shared" si="14"/>
        <v>GujRERA</v>
      </c>
    </row>
    <row r="821" spans="1:16">
      <c r="A821" s="129" t="str">
        <f>_xlfn.XLOOKUP(B821,$S$9:$S$14,$T$9:$T$14)&amp;"-"&amp;
IF(E821="Residential/Group Housing","RES",
IF(E821="Commercial","COM",
IF(E821="Mixed Development","MIX",
IF(E821="Plotted Development","PLT","OTH"))))
&amp;"-"&amp;TEXT(COUNTIFS($B$9:B821,B821,$E$9:E821,E821),"0000")</f>
        <v>SUR-MIX-0090</v>
      </c>
      <c r="B821" s="322" t="s">
        <v>34</v>
      </c>
      <c r="C821" s="322" t="s">
        <v>34</v>
      </c>
      <c r="D821" s="323" t="s">
        <v>1011</v>
      </c>
      <c r="E821" s="132" t="s">
        <v>25</v>
      </c>
      <c r="F821" s="97" t="str">
        <f ca="1">IF(OR(Market_Data[[#This Row],[Start Date]]="",Market_Data[[#This Row],[Completion Date]]=""),"Needs Validation",IF(Market_Data[[#This Row],[Start Date]]&gt;TODAY(),"Planned",IF(Market_Data[[#This Row],[Completion Date]]&lt;TODAY(),"Completed","Ongoing")))</f>
        <v>Ongoing</v>
      </c>
      <c r="G821" s="324">
        <v>44686</v>
      </c>
      <c r="H821" s="324">
        <v>46752</v>
      </c>
      <c r="I821" s="325">
        <v>42700</v>
      </c>
      <c r="J82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21" s="133">
        <f>_xlfn.XLOOKUP(Market_Data[[#This Row],[Project Type]],tbl_assumptions_market[Project Category (RERA)],tbl_assumptions_market[Concrete Intensity
(m³ / sq m BUA)],"",0)</f>
        <v>0.42</v>
      </c>
      <c r="L821" s="134">
        <f>ROUND(Market_Data[[#This Row],[Estimated Built Up Area (sq m)]]*Market_Data[[#This Row],[Concrete Intensity
(m³ / sq m)]],0)</f>
        <v>17934</v>
      </c>
      <c r="M821" s="135">
        <f>_xlfn.XLOOKUP(Market_Data[[#This Row],[District]],tbl_district_price[District],tbl_district_price[Standard Price
(INR/m³)],"",0)</f>
        <v>6200</v>
      </c>
      <c r="N821" s="364">
        <f>IF(OR(Market_Data[[#This Row],[Estimated Concrete Demand (m³)]]="",Market_Data[[#This Row],[Avg Price per (₹ / m³)]]=""),"",Market_Data[[#This Row],[Estimated Concrete Demand (m³)]]*Market_Data[[#This Row],[Avg Price per (₹ / m³)]]/10000000)</f>
        <v>11.11908</v>
      </c>
      <c r="O821" s="97" t="str">
        <f>IF(Market_Data[[#This Row],[Estimated Concrete Demand (m³)]]="","",
IF(Market_Data[[#This Row],[Estimated Concrete Demand (m³)]]&lt;10000,"Small",
IF(Market_Data[[#This Row],[Estimated Concrete Demand (m³)]]&lt;25000,"Medium",
IF(Market_Data[[#This Row],[Estimated Concrete Demand (m³)]]&lt;100000,"Large","Mega"))))</f>
        <v>Medium</v>
      </c>
      <c r="P821" s="287" t="str">
        <f t="shared" si="14"/>
        <v>GujRERA</v>
      </c>
    </row>
    <row r="822" spans="1:16">
      <c r="A822" s="129" t="str">
        <f>_xlfn.XLOOKUP(B822,$S$9:$S$14,$T$9:$T$14)&amp;"-"&amp;
IF(E822="Residential/Group Housing","RES",
IF(E822="Commercial","COM",
IF(E822="Mixed Development","MIX",
IF(E822="Plotted Development","PLT","OTH"))))
&amp;"-"&amp;TEXT(COUNTIFS($B$9:B822,B822,$E$9:E822,E822),"0000")</f>
        <v>SUR-RES-0202</v>
      </c>
      <c r="B822" s="322" t="s">
        <v>34</v>
      </c>
      <c r="C822" s="322" t="s">
        <v>34</v>
      </c>
      <c r="D822" s="323" t="s">
        <v>1012</v>
      </c>
      <c r="E822" s="132" t="s">
        <v>24</v>
      </c>
      <c r="F822" s="97" t="str">
        <f ca="1">IF(OR(Market_Data[[#This Row],[Start Date]]="",Market_Data[[#This Row],[Completion Date]]=""),"Needs Validation",IF(Market_Data[[#This Row],[Start Date]]&gt;TODAY(),"Planned",IF(Market_Data[[#This Row],[Completion Date]]&lt;TODAY(),"Completed","Ongoing")))</f>
        <v>Completed</v>
      </c>
      <c r="G822" s="324">
        <v>41417</v>
      </c>
      <c r="H822" s="324">
        <v>43281</v>
      </c>
      <c r="I822" s="325">
        <v>52500</v>
      </c>
      <c r="J82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22" s="133">
        <f>_xlfn.XLOOKUP(Market_Data[[#This Row],[Project Type]],tbl_assumptions_market[Project Category (RERA)],tbl_assumptions_market[Concrete Intensity
(m³ / sq m BUA)],"",0)</f>
        <v>0.45</v>
      </c>
      <c r="L822" s="134">
        <f>ROUND(Market_Data[[#This Row],[Estimated Built Up Area (sq m)]]*Market_Data[[#This Row],[Concrete Intensity
(m³ / sq m)]],0)</f>
        <v>23625</v>
      </c>
      <c r="M822" s="135">
        <f>_xlfn.XLOOKUP(Market_Data[[#This Row],[District]],tbl_district_price[District],tbl_district_price[Standard Price
(INR/m³)],"",0)</f>
        <v>6200</v>
      </c>
      <c r="N822" s="364">
        <f>IF(OR(Market_Data[[#This Row],[Estimated Concrete Demand (m³)]]="",Market_Data[[#This Row],[Avg Price per (₹ / m³)]]=""),"",Market_Data[[#This Row],[Estimated Concrete Demand (m³)]]*Market_Data[[#This Row],[Avg Price per (₹ / m³)]]/10000000)</f>
        <v>14.647500000000001</v>
      </c>
      <c r="O822" s="97" t="str">
        <f>IF(Market_Data[[#This Row],[Estimated Concrete Demand (m³)]]="","",
IF(Market_Data[[#This Row],[Estimated Concrete Demand (m³)]]&lt;10000,"Small",
IF(Market_Data[[#This Row],[Estimated Concrete Demand (m³)]]&lt;25000,"Medium",
IF(Market_Data[[#This Row],[Estimated Concrete Demand (m³)]]&lt;100000,"Large","Mega"))))</f>
        <v>Medium</v>
      </c>
      <c r="P822" s="287" t="str">
        <f t="shared" si="14"/>
        <v>GujRERA</v>
      </c>
    </row>
    <row r="823" spans="1:16">
      <c r="A823" s="129" t="str">
        <f>_xlfn.XLOOKUP(B823,$S$9:$S$14,$T$9:$T$14)&amp;"-"&amp;
IF(E823="Residential/Group Housing","RES",
IF(E823="Commercial","COM",
IF(E823="Mixed Development","MIX",
IF(E823="Plotted Development","PLT","OTH"))))
&amp;"-"&amp;TEXT(COUNTIFS($B$9:B823,B823,$E$9:E823,E823),"0000")</f>
        <v>SUR-COM-0097</v>
      </c>
      <c r="B823" s="322" t="s">
        <v>34</v>
      </c>
      <c r="C823" s="322" t="s">
        <v>34</v>
      </c>
      <c r="D823" s="323" t="s">
        <v>1013</v>
      </c>
      <c r="E823" s="132" t="s">
        <v>23</v>
      </c>
      <c r="F823" s="97" t="str">
        <f ca="1">IF(OR(Market_Data[[#This Row],[Start Date]]="",Market_Data[[#This Row],[Completion Date]]=""),"Needs Validation",IF(Market_Data[[#This Row],[Start Date]]&gt;TODAY(),"Planned",IF(Market_Data[[#This Row],[Completion Date]]&lt;TODAY(),"Completed","Ongoing")))</f>
        <v>Completed</v>
      </c>
      <c r="G823" s="324">
        <v>42918</v>
      </c>
      <c r="H823" s="324">
        <v>45199</v>
      </c>
      <c r="I823" s="325">
        <v>11400</v>
      </c>
      <c r="J82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23" s="133">
        <f>_xlfn.XLOOKUP(Market_Data[[#This Row],[Project Type]],tbl_assumptions_market[Project Category (RERA)],tbl_assumptions_market[Concrete Intensity
(m³ / sq m BUA)],"",0)</f>
        <v>0.5</v>
      </c>
      <c r="L823" s="134">
        <f>ROUND(Market_Data[[#This Row],[Estimated Built Up Area (sq m)]]*Market_Data[[#This Row],[Concrete Intensity
(m³ / sq m)]],0)</f>
        <v>5700</v>
      </c>
      <c r="M823" s="135">
        <f>_xlfn.XLOOKUP(Market_Data[[#This Row],[District]],tbl_district_price[District],tbl_district_price[Standard Price
(INR/m³)],"",0)</f>
        <v>6200</v>
      </c>
      <c r="N823" s="364">
        <f>IF(OR(Market_Data[[#This Row],[Estimated Concrete Demand (m³)]]="",Market_Data[[#This Row],[Avg Price per (₹ / m³)]]=""),"",Market_Data[[#This Row],[Estimated Concrete Demand (m³)]]*Market_Data[[#This Row],[Avg Price per (₹ / m³)]]/10000000)</f>
        <v>3.5339999999999998</v>
      </c>
      <c r="O823" s="97" t="str">
        <f>IF(Market_Data[[#This Row],[Estimated Concrete Demand (m³)]]="","",
IF(Market_Data[[#This Row],[Estimated Concrete Demand (m³)]]&lt;10000,"Small",
IF(Market_Data[[#This Row],[Estimated Concrete Demand (m³)]]&lt;25000,"Medium",
IF(Market_Data[[#This Row],[Estimated Concrete Demand (m³)]]&lt;100000,"Large","Mega"))))</f>
        <v>Small</v>
      </c>
      <c r="P823" s="287" t="str">
        <f t="shared" si="14"/>
        <v>GujRERA</v>
      </c>
    </row>
    <row r="824" spans="1:16">
      <c r="A824" s="129" t="str">
        <f>_xlfn.XLOOKUP(B824,$S$9:$S$14,$T$9:$T$14)&amp;"-"&amp;
IF(E824="Residential/Group Housing","RES",
IF(E824="Commercial","COM",
IF(E824="Mixed Development","MIX",
IF(E824="Plotted Development","PLT","OTH"))))
&amp;"-"&amp;TEXT(COUNTIFS($B$9:B824,B824,$E$9:E824,E824),"0000")</f>
        <v>SUR-COM-0098</v>
      </c>
      <c r="B824" s="322" t="s">
        <v>34</v>
      </c>
      <c r="C824" s="322" t="s">
        <v>34</v>
      </c>
      <c r="D824" s="323" t="s">
        <v>1014</v>
      </c>
      <c r="E824" s="132" t="s">
        <v>23</v>
      </c>
      <c r="F824" s="97" t="str">
        <f ca="1">IF(OR(Market_Data[[#This Row],[Start Date]]="",Market_Data[[#This Row],[Completion Date]]=""),"Needs Validation",IF(Market_Data[[#This Row],[Start Date]]&gt;TODAY(),"Planned",IF(Market_Data[[#This Row],[Completion Date]]&lt;TODAY(),"Completed","Ongoing")))</f>
        <v>Completed</v>
      </c>
      <c r="G824" s="324">
        <v>41396</v>
      </c>
      <c r="H824" s="324">
        <v>43373</v>
      </c>
      <c r="I824" s="325">
        <v>2800</v>
      </c>
      <c r="J82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24" s="133">
        <f>_xlfn.XLOOKUP(Market_Data[[#This Row],[Project Type]],tbl_assumptions_market[Project Category (RERA)],tbl_assumptions_market[Concrete Intensity
(m³ / sq m BUA)],"",0)</f>
        <v>0.5</v>
      </c>
      <c r="L824" s="134">
        <f>ROUND(Market_Data[[#This Row],[Estimated Built Up Area (sq m)]]*Market_Data[[#This Row],[Concrete Intensity
(m³ / sq m)]],0)</f>
        <v>1400</v>
      </c>
      <c r="M824" s="135">
        <f>_xlfn.XLOOKUP(Market_Data[[#This Row],[District]],tbl_district_price[District],tbl_district_price[Standard Price
(INR/m³)],"",0)</f>
        <v>6200</v>
      </c>
      <c r="N824" s="364">
        <f>IF(OR(Market_Data[[#This Row],[Estimated Concrete Demand (m³)]]="",Market_Data[[#This Row],[Avg Price per (₹ / m³)]]=""),"",Market_Data[[#This Row],[Estimated Concrete Demand (m³)]]*Market_Data[[#This Row],[Avg Price per (₹ / m³)]]/10000000)</f>
        <v>0.86799999999999999</v>
      </c>
      <c r="O824" s="97" t="str">
        <f>IF(Market_Data[[#This Row],[Estimated Concrete Demand (m³)]]="","",
IF(Market_Data[[#This Row],[Estimated Concrete Demand (m³)]]&lt;10000,"Small",
IF(Market_Data[[#This Row],[Estimated Concrete Demand (m³)]]&lt;25000,"Medium",
IF(Market_Data[[#This Row],[Estimated Concrete Demand (m³)]]&lt;100000,"Large","Mega"))))</f>
        <v>Small</v>
      </c>
      <c r="P824" s="287" t="str">
        <f t="shared" si="14"/>
        <v>GujRERA</v>
      </c>
    </row>
    <row r="825" spans="1:16">
      <c r="A825" s="129" t="str">
        <f>_xlfn.XLOOKUP(B825,$S$9:$S$14,$T$9:$T$14)&amp;"-"&amp;
IF(E825="Residential/Group Housing","RES",
IF(E825="Commercial","COM",
IF(E825="Mixed Development","MIX",
IF(E825="Plotted Development","PLT","OTH"))))
&amp;"-"&amp;TEXT(COUNTIFS($B$9:B825,B825,$E$9:E825,E825),"0000")</f>
        <v>SUR-MIX-0091</v>
      </c>
      <c r="B825" s="322" t="s">
        <v>34</v>
      </c>
      <c r="C825" s="322" t="s">
        <v>34</v>
      </c>
      <c r="D825" s="323" t="s">
        <v>1015</v>
      </c>
      <c r="E825" s="132" t="s">
        <v>25</v>
      </c>
      <c r="F825" s="97" t="str">
        <f ca="1">IF(OR(Market_Data[[#This Row],[Start Date]]="",Market_Data[[#This Row],[Completion Date]]=""),"Needs Validation",IF(Market_Data[[#This Row],[Start Date]]&gt;TODAY(),"Planned",IF(Market_Data[[#This Row],[Completion Date]]&lt;TODAY(),"Completed","Ongoing")))</f>
        <v>Completed</v>
      </c>
      <c r="G825" s="324">
        <v>44128</v>
      </c>
      <c r="H825" s="324">
        <v>45953</v>
      </c>
      <c r="I825" s="325">
        <v>44200</v>
      </c>
      <c r="J82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25" s="133">
        <f>_xlfn.XLOOKUP(Market_Data[[#This Row],[Project Type]],tbl_assumptions_market[Project Category (RERA)],tbl_assumptions_market[Concrete Intensity
(m³ / sq m BUA)],"",0)</f>
        <v>0.42</v>
      </c>
      <c r="L825" s="134">
        <f>ROUND(Market_Data[[#This Row],[Estimated Built Up Area (sq m)]]*Market_Data[[#This Row],[Concrete Intensity
(m³ / sq m)]],0)</f>
        <v>18564</v>
      </c>
      <c r="M825" s="135">
        <f>_xlfn.XLOOKUP(Market_Data[[#This Row],[District]],tbl_district_price[District],tbl_district_price[Standard Price
(INR/m³)],"",0)</f>
        <v>6200</v>
      </c>
      <c r="N825" s="364">
        <f>IF(OR(Market_Data[[#This Row],[Estimated Concrete Demand (m³)]]="",Market_Data[[#This Row],[Avg Price per (₹ / m³)]]=""),"",Market_Data[[#This Row],[Estimated Concrete Demand (m³)]]*Market_Data[[#This Row],[Avg Price per (₹ / m³)]]/10000000)</f>
        <v>11.509679999999999</v>
      </c>
      <c r="O825" s="97" t="str">
        <f>IF(Market_Data[[#This Row],[Estimated Concrete Demand (m³)]]="","",
IF(Market_Data[[#This Row],[Estimated Concrete Demand (m³)]]&lt;10000,"Small",
IF(Market_Data[[#This Row],[Estimated Concrete Demand (m³)]]&lt;25000,"Medium",
IF(Market_Data[[#This Row],[Estimated Concrete Demand (m³)]]&lt;100000,"Large","Mega"))))</f>
        <v>Medium</v>
      </c>
      <c r="P825" s="287" t="str">
        <f t="shared" si="14"/>
        <v>GujRERA</v>
      </c>
    </row>
    <row r="826" spans="1:16">
      <c r="A826" s="129" t="str">
        <f>_xlfn.XLOOKUP(B826,$S$9:$S$14,$T$9:$T$14)&amp;"-"&amp;
IF(E826="Residential/Group Housing","RES",
IF(E826="Commercial","COM",
IF(E826="Mixed Development","MIX",
IF(E826="Plotted Development","PLT","OTH"))))
&amp;"-"&amp;TEXT(COUNTIFS($B$9:B826,B826,$E$9:E826,E826),"0000")</f>
        <v>SUR-RES-0203</v>
      </c>
      <c r="B826" s="322" t="s">
        <v>34</v>
      </c>
      <c r="C826" s="322" t="s">
        <v>34</v>
      </c>
      <c r="D826" s="323" t="s">
        <v>1016</v>
      </c>
      <c r="E826" s="132" t="s">
        <v>24</v>
      </c>
      <c r="F826" s="97" t="str">
        <f ca="1">IF(OR(Market_Data[[#This Row],[Start Date]]="",Market_Data[[#This Row],[Completion Date]]=""),"Needs Validation",IF(Market_Data[[#This Row],[Start Date]]&gt;TODAY(),"Planned",IF(Market_Data[[#This Row],[Completion Date]]&lt;TODAY(),"Completed","Ongoing")))</f>
        <v>Ongoing</v>
      </c>
      <c r="G826" s="324">
        <v>45036</v>
      </c>
      <c r="H826" s="324">
        <v>46752</v>
      </c>
      <c r="I826" s="325">
        <v>13000</v>
      </c>
      <c r="J82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26" s="133">
        <f>_xlfn.XLOOKUP(Market_Data[[#This Row],[Project Type]],tbl_assumptions_market[Project Category (RERA)],tbl_assumptions_market[Concrete Intensity
(m³ / sq m BUA)],"",0)</f>
        <v>0.45</v>
      </c>
      <c r="L826" s="134">
        <f>ROUND(Market_Data[[#This Row],[Estimated Built Up Area (sq m)]]*Market_Data[[#This Row],[Concrete Intensity
(m³ / sq m)]],0)</f>
        <v>5850</v>
      </c>
      <c r="M826" s="135">
        <f>_xlfn.XLOOKUP(Market_Data[[#This Row],[District]],tbl_district_price[District],tbl_district_price[Standard Price
(INR/m³)],"",0)</f>
        <v>6200</v>
      </c>
      <c r="N826" s="364">
        <f>IF(OR(Market_Data[[#This Row],[Estimated Concrete Demand (m³)]]="",Market_Data[[#This Row],[Avg Price per (₹ / m³)]]=""),"",Market_Data[[#This Row],[Estimated Concrete Demand (m³)]]*Market_Data[[#This Row],[Avg Price per (₹ / m³)]]/10000000)</f>
        <v>3.6269999999999998</v>
      </c>
      <c r="O826" s="97" t="str">
        <f>IF(Market_Data[[#This Row],[Estimated Concrete Demand (m³)]]="","",
IF(Market_Data[[#This Row],[Estimated Concrete Demand (m³)]]&lt;10000,"Small",
IF(Market_Data[[#This Row],[Estimated Concrete Demand (m³)]]&lt;25000,"Medium",
IF(Market_Data[[#This Row],[Estimated Concrete Demand (m³)]]&lt;100000,"Large","Mega"))))</f>
        <v>Small</v>
      </c>
      <c r="P826" s="287" t="str">
        <f t="shared" si="14"/>
        <v>GujRERA</v>
      </c>
    </row>
    <row r="827" spans="1:16">
      <c r="A827" s="129" t="str">
        <f>_xlfn.XLOOKUP(B827,$S$9:$S$14,$T$9:$T$14)&amp;"-"&amp;
IF(E827="Residential/Group Housing","RES",
IF(E827="Commercial","COM",
IF(E827="Mixed Development","MIX",
IF(E827="Plotted Development","PLT","OTH"))))
&amp;"-"&amp;TEXT(COUNTIFS($B$9:B827,B827,$E$9:E827,E827),"0000")</f>
        <v>SUR-COM-0099</v>
      </c>
      <c r="B827" s="322" t="s">
        <v>34</v>
      </c>
      <c r="C827" s="322" t="s">
        <v>34</v>
      </c>
      <c r="D827" s="323" t="s">
        <v>1017</v>
      </c>
      <c r="E827" s="132" t="s">
        <v>23</v>
      </c>
      <c r="F827" s="97" t="str">
        <f ca="1">IF(OR(Market_Data[[#This Row],[Start Date]]="",Market_Data[[#This Row],[Completion Date]]=""),"Needs Validation",IF(Market_Data[[#This Row],[Start Date]]&gt;TODAY(),"Planned",IF(Market_Data[[#This Row],[Completion Date]]&lt;TODAY(),"Completed","Ongoing")))</f>
        <v>Completed</v>
      </c>
      <c r="G827" s="324">
        <v>41544</v>
      </c>
      <c r="H827" s="324">
        <v>44104</v>
      </c>
      <c r="I827" s="325">
        <v>15400</v>
      </c>
      <c r="J82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27" s="133">
        <f>_xlfn.XLOOKUP(Market_Data[[#This Row],[Project Type]],tbl_assumptions_market[Project Category (RERA)],tbl_assumptions_market[Concrete Intensity
(m³ / sq m BUA)],"",0)</f>
        <v>0.5</v>
      </c>
      <c r="L827" s="134">
        <f>ROUND(Market_Data[[#This Row],[Estimated Built Up Area (sq m)]]*Market_Data[[#This Row],[Concrete Intensity
(m³ / sq m)]],0)</f>
        <v>7700</v>
      </c>
      <c r="M827" s="135">
        <f>_xlfn.XLOOKUP(Market_Data[[#This Row],[District]],tbl_district_price[District],tbl_district_price[Standard Price
(INR/m³)],"",0)</f>
        <v>6200</v>
      </c>
      <c r="N827" s="364">
        <f>IF(OR(Market_Data[[#This Row],[Estimated Concrete Demand (m³)]]="",Market_Data[[#This Row],[Avg Price per (₹ / m³)]]=""),"",Market_Data[[#This Row],[Estimated Concrete Demand (m³)]]*Market_Data[[#This Row],[Avg Price per (₹ / m³)]]/10000000)</f>
        <v>4.774</v>
      </c>
      <c r="O827" s="97" t="str">
        <f>IF(Market_Data[[#This Row],[Estimated Concrete Demand (m³)]]="","",
IF(Market_Data[[#This Row],[Estimated Concrete Demand (m³)]]&lt;10000,"Small",
IF(Market_Data[[#This Row],[Estimated Concrete Demand (m³)]]&lt;25000,"Medium",
IF(Market_Data[[#This Row],[Estimated Concrete Demand (m³)]]&lt;100000,"Large","Mega"))))</f>
        <v>Small</v>
      </c>
      <c r="P827" s="287" t="str">
        <f t="shared" si="14"/>
        <v>GujRERA</v>
      </c>
    </row>
    <row r="828" spans="1:16">
      <c r="A828" s="129" t="str">
        <f>_xlfn.XLOOKUP(B828,$S$9:$S$14,$T$9:$T$14)&amp;"-"&amp;
IF(E828="Residential/Group Housing","RES",
IF(E828="Commercial","COM",
IF(E828="Mixed Development","MIX",
IF(E828="Plotted Development","PLT","OTH"))))
&amp;"-"&amp;TEXT(COUNTIFS($B$9:B828,B828,$E$9:E828,E828),"0000")</f>
        <v>SUR-MIX-0092</v>
      </c>
      <c r="B828" s="322" t="s">
        <v>34</v>
      </c>
      <c r="C828" s="322" t="s">
        <v>34</v>
      </c>
      <c r="D828" s="323" t="s">
        <v>1018</v>
      </c>
      <c r="E828" s="132" t="s">
        <v>25</v>
      </c>
      <c r="F828" s="97" t="str">
        <f ca="1">IF(OR(Market_Data[[#This Row],[Start Date]]="",Market_Data[[#This Row],[Completion Date]]=""),"Needs Validation",IF(Market_Data[[#This Row],[Start Date]]&gt;TODAY(),"Planned",IF(Market_Data[[#This Row],[Completion Date]]&lt;TODAY(),"Completed","Ongoing")))</f>
        <v>Ongoing</v>
      </c>
      <c r="G828" s="324">
        <v>44855</v>
      </c>
      <c r="H828" s="324">
        <v>46477</v>
      </c>
      <c r="I828" s="325">
        <v>3100</v>
      </c>
      <c r="J82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828" s="133">
        <f>_xlfn.XLOOKUP(Market_Data[[#This Row],[Project Type]],tbl_assumptions_market[Project Category (RERA)],tbl_assumptions_market[Concrete Intensity
(m³ / sq m BUA)],"",0)</f>
        <v>0.42</v>
      </c>
      <c r="L828" s="134">
        <f>ROUND(Market_Data[[#This Row],[Estimated Built Up Area (sq m)]]*Market_Data[[#This Row],[Concrete Intensity
(m³ / sq m)]],0)</f>
        <v>1302</v>
      </c>
      <c r="M828" s="135">
        <f>_xlfn.XLOOKUP(Market_Data[[#This Row],[District]],tbl_district_price[District],tbl_district_price[Standard Price
(INR/m³)],"",0)</f>
        <v>6200</v>
      </c>
      <c r="N828" s="364">
        <f>IF(OR(Market_Data[[#This Row],[Estimated Concrete Demand (m³)]]="",Market_Data[[#This Row],[Avg Price per (₹ / m³)]]=""),"",Market_Data[[#This Row],[Estimated Concrete Demand (m³)]]*Market_Data[[#This Row],[Avg Price per (₹ / m³)]]/10000000)</f>
        <v>0.80723999999999996</v>
      </c>
      <c r="O828" s="97" t="str">
        <f>IF(Market_Data[[#This Row],[Estimated Concrete Demand (m³)]]="","",
IF(Market_Data[[#This Row],[Estimated Concrete Demand (m³)]]&lt;10000,"Small",
IF(Market_Data[[#This Row],[Estimated Concrete Demand (m³)]]&lt;25000,"Medium",
IF(Market_Data[[#This Row],[Estimated Concrete Demand (m³)]]&lt;100000,"Large","Mega"))))</f>
        <v>Small</v>
      </c>
      <c r="P828" s="287" t="str">
        <f t="shared" si="14"/>
        <v>GujRERA</v>
      </c>
    </row>
    <row r="829" spans="1:16">
      <c r="A829" s="129" t="str">
        <f>_xlfn.XLOOKUP(B829,$S$9:$S$14,$T$9:$T$14)&amp;"-"&amp;
IF(E829="Residential/Group Housing","RES",
IF(E829="Commercial","COM",
IF(E829="Mixed Development","MIX",
IF(E829="Plotted Development","PLT","OTH"))))
&amp;"-"&amp;TEXT(COUNTIFS($B$9:B829,B829,$E$9:E829,E829),"0000")</f>
        <v>SUR-COM-0100</v>
      </c>
      <c r="B829" s="322" t="s">
        <v>34</v>
      </c>
      <c r="C829" s="322" t="s">
        <v>34</v>
      </c>
      <c r="D829" s="323" t="s">
        <v>1019</v>
      </c>
      <c r="E829" s="132" t="s">
        <v>23</v>
      </c>
      <c r="F829" s="97" t="str">
        <f ca="1">IF(OR(Market_Data[[#This Row],[Start Date]]="",Market_Data[[#This Row],[Completion Date]]=""),"Needs Validation",IF(Market_Data[[#This Row],[Start Date]]&gt;TODAY(),"Planned",IF(Market_Data[[#This Row],[Completion Date]]&lt;TODAY(),"Completed","Ongoing")))</f>
        <v>Ongoing</v>
      </c>
      <c r="G829" s="324">
        <v>45852</v>
      </c>
      <c r="H829" s="324">
        <v>47848</v>
      </c>
      <c r="I829" s="325">
        <v>3900</v>
      </c>
      <c r="J82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29" s="133">
        <f>_xlfn.XLOOKUP(Market_Data[[#This Row],[Project Type]],tbl_assumptions_market[Project Category (RERA)],tbl_assumptions_market[Concrete Intensity
(m³ / sq m BUA)],"",0)</f>
        <v>0.5</v>
      </c>
      <c r="L829" s="134">
        <f>ROUND(Market_Data[[#This Row],[Estimated Built Up Area (sq m)]]*Market_Data[[#This Row],[Concrete Intensity
(m³ / sq m)]],0)</f>
        <v>1950</v>
      </c>
      <c r="M829" s="135">
        <f>_xlfn.XLOOKUP(Market_Data[[#This Row],[District]],tbl_district_price[District],tbl_district_price[Standard Price
(INR/m³)],"",0)</f>
        <v>6200</v>
      </c>
      <c r="N829" s="364">
        <f>IF(OR(Market_Data[[#This Row],[Estimated Concrete Demand (m³)]]="",Market_Data[[#This Row],[Avg Price per (₹ / m³)]]=""),"",Market_Data[[#This Row],[Estimated Concrete Demand (m³)]]*Market_Data[[#This Row],[Avg Price per (₹ / m³)]]/10000000)</f>
        <v>1.2090000000000001</v>
      </c>
      <c r="O829" s="97" t="str">
        <f>IF(Market_Data[[#This Row],[Estimated Concrete Demand (m³)]]="","",
IF(Market_Data[[#This Row],[Estimated Concrete Demand (m³)]]&lt;10000,"Small",
IF(Market_Data[[#This Row],[Estimated Concrete Demand (m³)]]&lt;25000,"Medium",
IF(Market_Data[[#This Row],[Estimated Concrete Demand (m³)]]&lt;100000,"Large","Mega"))))</f>
        <v>Small</v>
      </c>
      <c r="P829" s="287" t="str">
        <f t="shared" si="14"/>
        <v>GujRERA</v>
      </c>
    </row>
    <row r="830" spans="1:16">
      <c r="A830" s="129" t="str">
        <f>_xlfn.XLOOKUP(B830,$S$9:$S$14,$T$9:$T$14)&amp;"-"&amp;
IF(E830="Residential/Group Housing","RES",
IF(E830="Commercial","COM",
IF(E830="Mixed Development","MIX",
IF(E830="Plotted Development","PLT","OTH"))))
&amp;"-"&amp;TEXT(COUNTIFS($B$9:B830,B830,$E$9:E830,E830),"0000")</f>
        <v>SUR-MIX-0093</v>
      </c>
      <c r="B830" s="322" t="s">
        <v>34</v>
      </c>
      <c r="C830" s="322" t="s">
        <v>34</v>
      </c>
      <c r="D830" s="323" t="s">
        <v>1020</v>
      </c>
      <c r="E830" s="132" t="s">
        <v>25</v>
      </c>
      <c r="F830" s="97" t="str">
        <f ca="1">IF(OR(Market_Data[[#This Row],[Start Date]]="",Market_Data[[#This Row],[Completion Date]]=""),"Needs Validation",IF(Market_Data[[#This Row],[Start Date]]&gt;TODAY(),"Planned",IF(Market_Data[[#This Row],[Completion Date]]&lt;TODAY(),"Completed","Ongoing")))</f>
        <v>Completed</v>
      </c>
      <c r="G830" s="324">
        <v>43617</v>
      </c>
      <c r="H830" s="324">
        <v>45565</v>
      </c>
      <c r="I830" s="325">
        <v>57900</v>
      </c>
      <c r="J83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30" s="133">
        <f>_xlfn.XLOOKUP(Market_Data[[#This Row],[Project Type]],tbl_assumptions_market[Project Category (RERA)],tbl_assumptions_market[Concrete Intensity
(m³ / sq m BUA)],"",0)</f>
        <v>0.42</v>
      </c>
      <c r="L830" s="134">
        <f>ROUND(Market_Data[[#This Row],[Estimated Built Up Area (sq m)]]*Market_Data[[#This Row],[Concrete Intensity
(m³ / sq m)]],0)</f>
        <v>24318</v>
      </c>
      <c r="M830" s="135">
        <f>_xlfn.XLOOKUP(Market_Data[[#This Row],[District]],tbl_district_price[District],tbl_district_price[Standard Price
(INR/m³)],"",0)</f>
        <v>6200</v>
      </c>
      <c r="N830" s="364">
        <f>IF(OR(Market_Data[[#This Row],[Estimated Concrete Demand (m³)]]="",Market_Data[[#This Row],[Avg Price per (₹ / m³)]]=""),"",Market_Data[[#This Row],[Estimated Concrete Demand (m³)]]*Market_Data[[#This Row],[Avg Price per (₹ / m³)]]/10000000)</f>
        <v>15.077159999999999</v>
      </c>
      <c r="O830" s="97" t="str">
        <f>IF(Market_Data[[#This Row],[Estimated Concrete Demand (m³)]]="","",
IF(Market_Data[[#This Row],[Estimated Concrete Demand (m³)]]&lt;10000,"Small",
IF(Market_Data[[#This Row],[Estimated Concrete Demand (m³)]]&lt;25000,"Medium",
IF(Market_Data[[#This Row],[Estimated Concrete Demand (m³)]]&lt;100000,"Large","Mega"))))</f>
        <v>Medium</v>
      </c>
      <c r="P830" s="287" t="str">
        <f t="shared" si="14"/>
        <v>GujRERA</v>
      </c>
    </row>
    <row r="831" spans="1:16">
      <c r="A831" s="129" t="str">
        <f>_xlfn.XLOOKUP(B831,$S$9:$S$14,$T$9:$T$14)&amp;"-"&amp;
IF(E831="Residential/Group Housing","RES",
IF(E831="Commercial","COM",
IF(E831="Mixed Development","MIX",
IF(E831="Plotted Development","PLT","OTH"))))
&amp;"-"&amp;TEXT(COUNTIFS($B$9:B831,B831,$E$9:E831,E831),"0000")</f>
        <v>SUR-MIX-0094</v>
      </c>
      <c r="B831" s="322" t="s">
        <v>34</v>
      </c>
      <c r="C831" s="322" t="s">
        <v>34</v>
      </c>
      <c r="D831" s="323" t="s">
        <v>1021</v>
      </c>
      <c r="E831" s="132" t="s">
        <v>25</v>
      </c>
      <c r="F831" s="97" t="str">
        <f ca="1">IF(OR(Market_Data[[#This Row],[Start Date]]="",Market_Data[[#This Row],[Completion Date]]=""),"Needs Validation",IF(Market_Data[[#This Row],[Start Date]]&gt;TODAY(),"Planned",IF(Market_Data[[#This Row],[Completion Date]]&lt;TODAY(),"Completed","Ongoing")))</f>
        <v>Ongoing</v>
      </c>
      <c r="G831" s="324">
        <v>41103</v>
      </c>
      <c r="H831" s="324">
        <v>46934</v>
      </c>
      <c r="I831" s="325">
        <v>56300</v>
      </c>
      <c r="J83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31" s="133">
        <f>_xlfn.XLOOKUP(Market_Data[[#This Row],[Project Type]],tbl_assumptions_market[Project Category (RERA)],tbl_assumptions_market[Concrete Intensity
(m³ / sq m BUA)],"",0)</f>
        <v>0.42</v>
      </c>
      <c r="L831" s="134">
        <f>ROUND(Market_Data[[#This Row],[Estimated Built Up Area (sq m)]]*Market_Data[[#This Row],[Concrete Intensity
(m³ / sq m)]],0)</f>
        <v>23646</v>
      </c>
      <c r="M831" s="135">
        <f>_xlfn.XLOOKUP(Market_Data[[#This Row],[District]],tbl_district_price[District],tbl_district_price[Standard Price
(INR/m³)],"",0)</f>
        <v>6200</v>
      </c>
      <c r="N831" s="364">
        <f>IF(OR(Market_Data[[#This Row],[Estimated Concrete Demand (m³)]]="",Market_Data[[#This Row],[Avg Price per (₹ / m³)]]=""),"",Market_Data[[#This Row],[Estimated Concrete Demand (m³)]]*Market_Data[[#This Row],[Avg Price per (₹ / m³)]]/10000000)</f>
        <v>14.66052</v>
      </c>
      <c r="O831" s="97" t="str">
        <f>IF(Market_Data[[#This Row],[Estimated Concrete Demand (m³)]]="","",
IF(Market_Data[[#This Row],[Estimated Concrete Demand (m³)]]&lt;10000,"Small",
IF(Market_Data[[#This Row],[Estimated Concrete Demand (m³)]]&lt;25000,"Medium",
IF(Market_Data[[#This Row],[Estimated Concrete Demand (m³)]]&lt;100000,"Large","Mega"))))</f>
        <v>Medium</v>
      </c>
      <c r="P831" s="287" t="str">
        <f t="shared" si="14"/>
        <v>GujRERA</v>
      </c>
    </row>
    <row r="832" spans="1:16">
      <c r="A832" s="129" t="str">
        <f>_xlfn.XLOOKUP(B832,$S$9:$S$14,$T$9:$T$14)&amp;"-"&amp;
IF(E832="Residential/Group Housing","RES",
IF(E832="Commercial","COM",
IF(E832="Mixed Development","MIX",
IF(E832="Plotted Development","PLT","OTH"))))
&amp;"-"&amp;TEXT(COUNTIFS($B$9:B832,B832,$E$9:E832,E832),"0000")</f>
        <v>SUR-COM-0101</v>
      </c>
      <c r="B832" s="322" t="s">
        <v>34</v>
      </c>
      <c r="C832" s="322" t="s">
        <v>34</v>
      </c>
      <c r="D832" s="323" t="s">
        <v>1022</v>
      </c>
      <c r="E832" s="132" t="s">
        <v>23</v>
      </c>
      <c r="F832" s="97" t="str">
        <f ca="1">IF(OR(Market_Data[[#This Row],[Start Date]]="",Market_Data[[#This Row],[Completion Date]]=""),"Needs Validation",IF(Market_Data[[#This Row],[Start Date]]&gt;TODAY(),"Planned",IF(Market_Data[[#This Row],[Completion Date]]&lt;TODAY(),"Completed","Ongoing")))</f>
        <v>Completed</v>
      </c>
      <c r="G832" s="324">
        <v>41791</v>
      </c>
      <c r="H832" s="324">
        <v>43555</v>
      </c>
      <c r="I832" s="325">
        <v>32700</v>
      </c>
      <c r="J83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832" s="133">
        <f>_xlfn.XLOOKUP(Market_Data[[#This Row],[Project Type]],tbl_assumptions_market[Project Category (RERA)],tbl_assumptions_market[Concrete Intensity
(m³ / sq m BUA)],"",0)</f>
        <v>0.5</v>
      </c>
      <c r="L832" s="134">
        <f>ROUND(Market_Data[[#This Row],[Estimated Built Up Area (sq m)]]*Market_Data[[#This Row],[Concrete Intensity
(m³ / sq m)]],0)</f>
        <v>16350</v>
      </c>
      <c r="M832" s="135">
        <f>_xlfn.XLOOKUP(Market_Data[[#This Row],[District]],tbl_district_price[District],tbl_district_price[Standard Price
(INR/m³)],"",0)</f>
        <v>6200</v>
      </c>
      <c r="N832" s="364">
        <f>IF(OR(Market_Data[[#This Row],[Estimated Concrete Demand (m³)]]="",Market_Data[[#This Row],[Avg Price per (₹ / m³)]]=""),"",Market_Data[[#This Row],[Estimated Concrete Demand (m³)]]*Market_Data[[#This Row],[Avg Price per (₹ / m³)]]/10000000)</f>
        <v>10.137</v>
      </c>
      <c r="O832" s="97" t="str">
        <f>IF(Market_Data[[#This Row],[Estimated Concrete Demand (m³)]]="","",
IF(Market_Data[[#This Row],[Estimated Concrete Demand (m³)]]&lt;10000,"Small",
IF(Market_Data[[#This Row],[Estimated Concrete Demand (m³)]]&lt;25000,"Medium",
IF(Market_Data[[#This Row],[Estimated Concrete Demand (m³)]]&lt;100000,"Large","Mega"))))</f>
        <v>Medium</v>
      </c>
      <c r="P832" s="287" t="str">
        <f t="shared" si="14"/>
        <v>GujRERA</v>
      </c>
    </row>
    <row r="833" spans="1:16">
      <c r="A833" s="129" t="str">
        <f>_xlfn.XLOOKUP(B833,$S$9:$S$14,$T$9:$T$14)&amp;"-"&amp;
IF(E833="Residential/Group Housing","RES",
IF(E833="Commercial","COM",
IF(E833="Mixed Development","MIX",
IF(E833="Plotted Development","PLT","OTH"))))
&amp;"-"&amp;TEXT(COUNTIFS($B$9:B833,B833,$E$9:E833,E833),"0000")</f>
        <v>SUR-PLT-0117</v>
      </c>
      <c r="B833" s="322" t="s">
        <v>34</v>
      </c>
      <c r="C833" s="322" t="s">
        <v>34</v>
      </c>
      <c r="D833" s="323" t="s">
        <v>1023</v>
      </c>
      <c r="E833" s="132" t="s">
        <v>26</v>
      </c>
      <c r="F833" s="97" t="str">
        <f ca="1">IF(OR(Market_Data[[#This Row],[Start Date]]="",Market_Data[[#This Row],[Completion Date]]=""),"Needs Validation",IF(Market_Data[[#This Row],[Start Date]]&gt;TODAY(),"Planned",IF(Market_Data[[#This Row],[Completion Date]]&lt;TODAY(),"Completed","Ongoing")))</f>
        <v>Ongoing</v>
      </c>
      <c r="G833" s="324">
        <v>45239</v>
      </c>
      <c r="H833" s="324">
        <v>46752</v>
      </c>
      <c r="I833" s="325">
        <v>42600</v>
      </c>
      <c r="J83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833" s="133">
        <f>_xlfn.XLOOKUP(Market_Data[[#This Row],[Project Type]],tbl_assumptions_market[Project Category (RERA)],tbl_assumptions_market[Concrete Intensity
(m³ / sq m BUA)],"",0)</f>
        <v>0.18</v>
      </c>
      <c r="L833" s="134">
        <f>ROUND(Market_Data[[#This Row],[Estimated Built Up Area (sq m)]]*Market_Data[[#This Row],[Concrete Intensity
(m³ / sq m)]],0)</f>
        <v>7668</v>
      </c>
      <c r="M833" s="135">
        <f>_xlfn.XLOOKUP(Market_Data[[#This Row],[District]],tbl_district_price[District],tbl_district_price[Standard Price
(INR/m³)],"",0)</f>
        <v>6200</v>
      </c>
      <c r="N833" s="364">
        <f>IF(OR(Market_Data[[#This Row],[Estimated Concrete Demand (m³)]]="",Market_Data[[#This Row],[Avg Price per (₹ / m³)]]=""),"",Market_Data[[#This Row],[Estimated Concrete Demand (m³)]]*Market_Data[[#This Row],[Avg Price per (₹ / m³)]]/10000000)</f>
        <v>4.7541599999999997</v>
      </c>
      <c r="O833" s="97" t="str">
        <f>IF(Market_Data[[#This Row],[Estimated Concrete Demand (m³)]]="","",
IF(Market_Data[[#This Row],[Estimated Concrete Demand (m³)]]&lt;10000,"Small",
IF(Market_Data[[#This Row],[Estimated Concrete Demand (m³)]]&lt;25000,"Medium",
IF(Market_Data[[#This Row],[Estimated Concrete Demand (m³)]]&lt;100000,"Large","Mega"))))</f>
        <v>Small</v>
      </c>
      <c r="P833" s="287" t="str">
        <f t="shared" si="14"/>
        <v>GujRERA</v>
      </c>
    </row>
    <row r="834" spans="1:16">
      <c r="A834" s="129" t="str">
        <f>_xlfn.XLOOKUP(B834,$S$9:$S$14,$T$9:$T$14)&amp;"-"&amp;
IF(E834="Residential/Group Housing","RES",
IF(E834="Commercial","COM",
IF(E834="Mixed Development","MIX",
IF(E834="Plotted Development","PLT","OTH"))))
&amp;"-"&amp;TEXT(COUNTIFS($B$9:B834,B834,$E$9:E834,E834),"0000")</f>
        <v>SUR-COM-0102</v>
      </c>
      <c r="B834" s="322" t="s">
        <v>34</v>
      </c>
      <c r="C834" s="322" t="s">
        <v>34</v>
      </c>
      <c r="D834" s="323" t="s">
        <v>1024</v>
      </c>
      <c r="E834" s="132" t="s">
        <v>23</v>
      </c>
      <c r="F834" s="97" t="str">
        <f ca="1">IF(OR(Market_Data[[#This Row],[Start Date]]="",Market_Data[[#This Row],[Completion Date]]=""),"Needs Validation",IF(Market_Data[[#This Row],[Start Date]]&gt;TODAY(),"Planned",IF(Market_Data[[#This Row],[Completion Date]]&lt;TODAY(),"Completed","Ongoing")))</f>
        <v>Completed</v>
      </c>
      <c r="G834" s="324">
        <v>43078</v>
      </c>
      <c r="H834" s="324">
        <v>45086</v>
      </c>
      <c r="I834" s="325">
        <v>48700</v>
      </c>
      <c r="J83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834" s="133">
        <f>_xlfn.XLOOKUP(Market_Data[[#This Row],[Project Type]],tbl_assumptions_market[Project Category (RERA)],tbl_assumptions_market[Concrete Intensity
(m³ / sq m BUA)],"",0)</f>
        <v>0.5</v>
      </c>
      <c r="L834" s="134">
        <f>ROUND(Market_Data[[#This Row],[Estimated Built Up Area (sq m)]]*Market_Data[[#This Row],[Concrete Intensity
(m³ / sq m)]],0)</f>
        <v>24350</v>
      </c>
      <c r="M834" s="135">
        <f>_xlfn.XLOOKUP(Market_Data[[#This Row],[District]],tbl_district_price[District],tbl_district_price[Standard Price
(INR/m³)],"",0)</f>
        <v>6200</v>
      </c>
      <c r="N834" s="364">
        <f>IF(OR(Market_Data[[#This Row],[Estimated Concrete Demand (m³)]]="",Market_Data[[#This Row],[Avg Price per (₹ / m³)]]=""),"",Market_Data[[#This Row],[Estimated Concrete Demand (m³)]]*Market_Data[[#This Row],[Avg Price per (₹ / m³)]]/10000000)</f>
        <v>15.097</v>
      </c>
      <c r="O834" s="97" t="str">
        <f>IF(Market_Data[[#This Row],[Estimated Concrete Demand (m³)]]="","",
IF(Market_Data[[#This Row],[Estimated Concrete Demand (m³)]]&lt;10000,"Small",
IF(Market_Data[[#This Row],[Estimated Concrete Demand (m³)]]&lt;25000,"Medium",
IF(Market_Data[[#This Row],[Estimated Concrete Demand (m³)]]&lt;100000,"Large","Mega"))))</f>
        <v>Medium</v>
      </c>
      <c r="P834" s="287" t="str">
        <f t="shared" si="14"/>
        <v>GujRERA</v>
      </c>
    </row>
    <row r="835" spans="1:16">
      <c r="A835" s="129" t="str">
        <f>_xlfn.XLOOKUP(B835,$S$9:$S$14,$T$9:$T$14)&amp;"-"&amp;
IF(E835="Residential/Group Housing","RES",
IF(E835="Commercial","COM",
IF(E835="Mixed Development","MIX",
IF(E835="Plotted Development","PLT","OTH"))))
&amp;"-"&amp;TEXT(COUNTIFS($B$9:B835,B835,$E$9:E835,E835),"0000")</f>
        <v>SUR-RES-0204</v>
      </c>
      <c r="B835" s="322" t="s">
        <v>34</v>
      </c>
      <c r="C835" s="322" t="s">
        <v>34</v>
      </c>
      <c r="D835" s="323" t="s">
        <v>1025</v>
      </c>
      <c r="E835" s="132" t="s">
        <v>24</v>
      </c>
      <c r="F835" s="97" t="str">
        <f ca="1">IF(OR(Market_Data[[#This Row],[Start Date]]="",Market_Data[[#This Row],[Completion Date]]=""),"Needs Validation",IF(Market_Data[[#This Row],[Start Date]]&gt;TODAY(),"Planned",IF(Market_Data[[#This Row],[Completion Date]]&lt;TODAY(),"Completed","Ongoing")))</f>
        <v>Ongoing</v>
      </c>
      <c r="G835" s="324">
        <v>44673</v>
      </c>
      <c r="H835" s="324">
        <v>46387</v>
      </c>
      <c r="I835" s="325">
        <v>24800</v>
      </c>
      <c r="J83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35" s="133">
        <f>_xlfn.XLOOKUP(Market_Data[[#This Row],[Project Type]],tbl_assumptions_market[Project Category (RERA)],tbl_assumptions_market[Concrete Intensity
(m³ / sq m BUA)],"",0)</f>
        <v>0.45</v>
      </c>
      <c r="L835" s="134">
        <f>ROUND(Market_Data[[#This Row],[Estimated Built Up Area (sq m)]]*Market_Data[[#This Row],[Concrete Intensity
(m³ / sq m)]],0)</f>
        <v>11160</v>
      </c>
      <c r="M835" s="135">
        <f>_xlfn.XLOOKUP(Market_Data[[#This Row],[District]],tbl_district_price[District],tbl_district_price[Standard Price
(INR/m³)],"",0)</f>
        <v>6200</v>
      </c>
      <c r="N835" s="364">
        <f>IF(OR(Market_Data[[#This Row],[Estimated Concrete Demand (m³)]]="",Market_Data[[#This Row],[Avg Price per (₹ / m³)]]=""),"",Market_Data[[#This Row],[Estimated Concrete Demand (m³)]]*Market_Data[[#This Row],[Avg Price per (₹ / m³)]]/10000000)</f>
        <v>6.9192</v>
      </c>
      <c r="O835" s="97" t="str">
        <f>IF(Market_Data[[#This Row],[Estimated Concrete Demand (m³)]]="","",
IF(Market_Data[[#This Row],[Estimated Concrete Demand (m³)]]&lt;10000,"Small",
IF(Market_Data[[#This Row],[Estimated Concrete Demand (m³)]]&lt;25000,"Medium",
IF(Market_Data[[#This Row],[Estimated Concrete Demand (m³)]]&lt;100000,"Large","Mega"))))</f>
        <v>Medium</v>
      </c>
      <c r="P835" s="287" t="str">
        <f t="shared" si="14"/>
        <v>GujRERA</v>
      </c>
    </row>
    <row r="836" spans="1:16">
      <c r="A836" s="129" t="str">
        <f>_xlfn.XLOOKUP(B836,$S$9:$S$14,$T$9:$T$14)&amp;"-"&amp;
IF(E836="Residential/Group Housing","RES",
IF(E836="Commercial","COM",
IF(E836="Mixed Development","MIX",
IF(E836="Plotted Development","PLT","OTH"))))
&amp;"-"&amp;TEXT(COUNTIFS($B$9:B836,B836,$E$9:E836,E836),"0000")</f>
        <v>SUR-RES-0205</v>
      </c>
      <c r="B836" s="322" t="s">
        <v>34</v>
      </c>
      <c r="C836" s="322" t="s">
        <v>34</v>
      </c>
      <c r="D836" s="323" t="s">
        <v>1026</v>
      </c>
      <c r="E836" s="132" t="s">
        <v>24</v>
      </c>
      <c r="F836" s="97" t="str">
        <f ca="1">IF(OR(Market_Data[[#This Row],[Start Date]]="",Market_Data[[#This Row],[Completion Date]]=""),"Needs Validation",IF(Market_Data[[#This Row],[Start Date]]&gt;TODAY(),"Planned",IF(Market_Data[[#This Row],[Completion Date]]&lt;TODAY(),"Completed","Ongoing")))</f>
        <v>Ongoing</v>
      </c>
      <c r="G836" s="324">
        <v>45848</v>
      </c>
      <c r="H836" s="324">
        <v>47483</v>
      </c>
      <c r="I836" s="325">
        <v>48700</v>
      </c>
      <c r="J83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36" s="133">
        <f>_xlfn.XLOOKUP(Market_Data[[#This Row],[Project Type]],tbl_assumptions_market[Project Category (RERA)],tbl_assumptions_market[Concrete Intensity
(m³ / sq m BUA)],"",0)</f>
        <v>0.45</v>
      </c>
      <c r="L836" s="134">
        <f>ROUND(Market_Data[[#This Row],[Estimated Built Up Area (sq m)]]*Market_Data[[#This Row],[Concrete Intensity
(m³ / sq m)]],0)</f>
        <v>21915</v>
      </c>
      <c r="M836" s="135">
        <f>_xlfn.XLOOKUP(Market_Data[[#This Row],[District]],tbl_district_price[District],tbl_district_price[Standard Price
(INR/m³)],"",0)</f>
        <v>6200</v>
      </c>
      <c r="N836" s="364">
        <f>IF(OR(Market_Data[[#This Row],[Estimated Concrete Demand (m³)]]="",Market_Data[[#This Row],[Avg Price per (₹ / m³)]]=""),"",Market_Data[[#This Row],[Estimated Concrete Demand (m³)]]*Market_Data[[#This Row],[Avg Price per (₹ / m³)]]/10000000)</f>
        <v>13.587300000000001</v>
      </c>
      <c r="O836" s="97" t="str">
        <f>IF(Market_Data[[#This Row],[Estimated Concrete Demand (m³)]]="","",
IF(Market_Data[[#This Row],[Estimated Concrete Demand (m³)]]&lt;10000,"Small",
IF(Market_Data[[#This Row],[Estimated Concrete Demand (m³)]]&lt;25000,"Medium",
IF(Market_Data[[#This Row],[Estimated Concrete Demand (m³)]]&lt;100000,"Large","Mega"))))</f>
        <v>Medium</v>
      </c>
      <c r="P836" s="287" t="str">
        <f t="shared" si="14"/>
        <v>GujRERA</v>
      </c>
    </row>
    <row r="837" spans="1:16">
      <c r="A837" s="129" t="str">
        <f>_xlfn.XLOOKUP(B837,$S$9:$S$14,$T$9:$T$14)&amp;"-"&amp;
IF(E837="Residential/Group Housing","RES",
IF(E837="Commercial","COM",
IF(E837="Mixed Development","MIX",
IF(E837="Plotted Development","PLT","OTH"))))
&amp;"-"&amp;TEXT(COUNTIFS($B$9:B837,B837,$E$9:E837,E837),"0000")</f>
        <v>SUR-RES-0206</v>
      </c>
      <c r="B837" s="322" t="s">
        <v>34</v>
      </c>
      <c r="C837" s="322" t="s">
        <v>34</v>
      </c>
      <c r="D837" s="323" t="s">
        <v>1027</v>
      </c>
      <c r="E837" s="132" t="s">
        <v>24</v>
      </c>
      <c r="F837" s="97" t="str">
        <f ca="1">IF(OR(Market_Data[[#This Row],[Start Date]]="",Market_Data[[#This Row],[Completion Date]]=""),"Needs Validation",IF(Market_Data[[#This Row],[Start Date]]&gt;TODAY(),"Planned",IF(Market_Data[[#This Row],[Completion Date]]&lt;TODAY(),"Completed","Ongoing")))</f>
        <v>Completed</v>
      </c>
      <c r="G837" s="324">
        <v>42199</v>
      </c>
      <c r="H837" s="324">
        <v>44012</v>
      </c>
      <c r="I837" s="325">
        <v>33300</v>
      </c>
      <c r="J83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37" s="133">
        <f>_xlfn.XLOOKUP(Market_Data[[#This Row],[Project Type]],tbl_assumptions_market[Project Category (RERA)],tbl_assumptions_market[Concrete Intensity
(m³ / sq m BUA)],"",0)</f>
        <v>0.45</v>
      </c>
      <c r="L837" s="134">
        <f>ROUND(Market_Data[[#This Row],[Estimated Built Up Area (sq m)]]*Market_Data[[#This Row],[Concrete Intensity
(m³ / sq m)]],0)</f>
        <v>14985</v>
      </c>
      <c r="M837" s="135">
        <f>_xlfn.XLOOKUP(Market_Data[[#This Row],[District]],tbl_district_price[District],tbl_district_price[Standard Price
(INR/m³)],"",0)</f>
        <v>6200</v>
      </c>
      <c r="N837" s="364">
        <f>IF(OR(Market_Data[[#This Row],[Estimated Concrete Demand (m³)]]="",Market_Data[[#This Row],[Avg Price per (₹ / m³)]]=""),"",Market_Data[[#This Row],[Estimated Concrete Demand (m³)]]*Market_Data[[#This Row],[Avg Price per (₹ / m³)]]/10000000)</f>
        <v>9.2906999999999993</v>
      </c>
      <c r="O837" s="97" t="str">
        <f>IF(Market_Data[[#This Row],[Estimated Concrete Demand (m³)]]="","",
IF(Market_Data[[#This Row],[Estimated Concrete Demand (m³)]]&lt;10000,"Small",
IF(Market_Data[[#This Row],[Estimated Concrete Demand (m³)]]&lt;25000,"Medium",
IF(Market_Data[[#This Row],[Estimated Concrete Demand (m³)]]&lt;100000,"Large","Mega"))))</f>
        <v>Medium</v>
      </c>
      <c r="P837" s="287" t="str">
        <f t="shared" si="14"/>
        <v>GujRERA</v>
      </c>
    </row>
    <row r="838" spans="1:16">
      <c r="A838" s="129" t="str">
        <f>_xlfn.XLOOKUP(B838,$S$9:$S$14,$T$9:$T$14)&amp;"-"&amp;
IF(E838="Residential/Group Housing","RES",
IF(E838="Commercial","COM",
IF(E838="Mixed Development","MIX",
IF(E838="Plotted Development","PLT","OTH"))))
&amp;"-"&amp;TEXT(COUNTIFS($B$9:B838,B838,$E$9:E838,E838),"0000")</f>
        <v>SUR-PLT-0118</v>
      </c>
      <c r="B838" s="322" t="s">
        <v>34</v>
      </c>
      <c r="C838" s="322" t="s">
        <v>34</v>
      </c>
      <c r="D838" s="323" t="s">
        <v>1028</v>
      </c>
      <c r="E838" s="132" t="s">
        <v>26</v>
      </c>
      <c r="F838" s="97" t="str">
        <f ca="1">IF(OR(Market_Data[[#This Row],[Start Date]]="",Market_Data[[#This Row],[Completion Date]]=""),"Needs Validation",IF(Market_Data[[#This Row],[Start Date]]&gt;TODAY(),"Planned",IF(Market_Data[[#This Row],[Completion Date]]&lt;TODAY(),"Completed","Ongoing")))</f>
        <v>Completed</v>
      </c>
      <c r="G838" s="324">
        <v>44573</v>
      </c>
      <c r="H838" s="324">
        <v>45657</v>
      </c>
      <c r="I838" s="325">
        <v>40500</v>
      </c>
      <c r="J83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838" s="133">
        <f>_xlfn.XLOOKUP(Market_Data[[#This Row],[Project Type]],tbl_assumptions_market[Project Category (RERA)],tbl_assumptions_market[Concrete Intensity
(m³ / sq m BUA)],"",0)</f>
        <v>0.18</v>
      </c>
      <c r="L838" s="134">
        <f>ROUND(Market_Data[[#This Row],[Estimated Built Up Area (sq m)]]*Market_Data[[#This Row],[Concrete Intensity
(m³ / sq m)]],0)</f>
        <v>7290</v>
      </c>
      <c r="M838" s="135">
        <f>_xlfn.XLOOKUP(Market_Data[[#This Row],[District]],tbl_district_price[District],tbl_district_price[Standard Price
(INR/m³)],"",0)</f>
        <v>6200</v>
      </c>
      <c r="N838" s="364">
        <f>IF(OR(Market_Data[[#This Row],[Estimated Concrete Demand (m³)]]="",Market_Data[[#This Row],[Avg Price per (₹ / m³)]]=""),"",Market_Data[[#This Row],[Estimated Concrete Demand (m³)]]*Market_Data[[#This Row],[Avg Price per (₹ / m³)]]/10000000)</f>
        <v>4.5198</v>
      </c>
      <c r="O838" s="97" t="str">
        <f>IF(Market_Data[[#This Row],[Estimated Concrete Demand (m³)]]="","",
IF(Market_Data[[#This Row],[Estimated Concrete Demand (m³)]]&lt;10000,"Small",
IF(Market_Data[[#This Row],[Estimated Concrete Demand (m³)]]&lt;25000,"Medium",
IF(Market_Data[[#This Row],[Estimated Concrete Demand (m³)]]&lt;100000,"Large","Mega"))))</f>
        <v>Small</v>
      </c>
      <c r="P838" s="287" t="str">
        <f t="shared" si="14"/>
        <v>GujRERA</v>
      </c>
    </row>
    <row r="839" spans="1:16">
      <c r="A839" s="129" t="str">
        <f>_xlfn.XLOOKUP(B839,$S$9:$S$14,$T$9:$T$14)&amp;"-"&amp;
IF(E839="Residential/Group Housing","RES",
IF(E839="Commercial","COM",
IF(E839="Mixed Development","MIX",
IF(E839="Plotted Development","PLT","OTH"))))
&amp;"-"&amp;TEXT(COUNTIFS($B$9:B839,B839,$E$9:E839,E839),"0000")</f>
        <v>SUR-PLT-0119</v>
      </c>
      <c r="B839" s="322" t="s">
        <v>34</v>
      </c>
      <c r="C839" s="322" t="s">
        <v>34</v>
      </c>
      <c r="D839" s="323" t="s">
        <v>1029</v>
      </c>
      <c r="E839" s="132" t="s">
        <v>26</v>
      </c>
      <c r="F839" s="97" t="str">
        <f ca="1">IF(OR(Market_Data[[#This Row],[Start Date]]="",Market_Data[[#This Row],[Completion Date]]=""),"Needs Validation",IF(Market_Data[[#This Row],[Start Date]]&gt;TODAY(),"Planned",IF(Market_Data[[#This Row],[Completion Date]]&lt;TODAY(),"Completed","Ongoing")))</f>
        <v>Ongoing</v>
      </c>
      <c r="G839" s="324">
        <v>45310</v>
      </c>
      <c r="H839" s="324">
        <v>46477</v>
      </c>
      <c r="I839" s="325">
        <v>17700</v>
      </c>
      <c r="J83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39" s="133">
        <f>_xlfn.XLOOKUP(Market_Data[[#This Row],[Project Type]],tbl_assumptions_market[Project Category (RERA)],tbl_assumptions_market[Concrete Intensity
(m³ / sq m BUA)],"",0)</f>
        <v>0.18</v>
      </c>
      <c r="L839" s="134">
        <f>ROUND(Market_Data[[#This Row],[Estimated Built Up Area (sq m)]]*Market_Data[[#This Row],[Concrete Intensity
(m³ / sq m)]],0)</f>
        <v>3186</v>
      </c>
      <c r="M839" s="135">
        <f>_xlfn.XLOOKUP(Market_Data[[#This Row],[District]],tbl_district_price[District],tbl_district_price[Standard Price
(INR/m³)],"",0)</f>
        <v>6200</v>
      </c>
      <c r="N839" s="364">
        <f>IF(OR(Market_Data[[#This Row],[Estimated Concrete Demand (m³)]]="",Market_Data[[#This Row],[Avg Price per (₹ / m³)]]=""),"",Market_Data[[#This Row],[Estimated Concrete Demand (m³)]]*Market_Data[[#This Row],[Avg Price per (₹ / m³)]]/10000000)</f>
        <v>1.97532</v>
      </c>
      <c r="O839" s="97" t="str">
        <f>IF(Market_Data[[#This Row],[Estimated Concrete Demand (m³)]]="","",
IF(Market_Data[[#This Row],[Estimated Concrete Demand (m³)]]&lt;10000,"Small",
IF(Market_Data[[#This Row],[Estimated Concrete Demand (m³)]]&lt;25000,"Medium",
IF(Market_Data[[#This Row],[Estimated Concrete Demand (m³)]]&lt;100000,"Large","Mega"))))</f>
        <v>Small</v>
      </c>
      <c r="P839" s="287" t="str">
        <f t="shared" si="14"/>
        <v>GujRERA</v>
      </c>
    </row>
    <row r="840" spans="1:16">
      <c r="A840" s="129" t="str">
        <f>_xlfn.XLOOKUP(B840,$S$9:$S$14,$T$9:$T$14)&amp;"-"&amp;
IF(E840="Residential/Group Housing","RES",
IF(E840="Commercial","COM",
IF(E840="Mixed Development","MIX",
IF(E840="Plotted Development","PLT","OTH"))))
&amp;"-"&amp;TEXT(COUNTIFS($B$9:B840,B840,$E$9:E840,E840),"0000")</f>
        <v>SUR-MIX-0095</v>
      </c>
      <c r="B840" s="322" t="s">
        <v>34</v>
      </c>
      <c r="C840" s="322" t="s">
        <v>34</v>
      </c>
      <c r="D840" s="323" t="s">
        <v>1030</v>
      </c>
      <c r="E840" s="132" t="s">
        <v>25</v>
      </c>
      <c r="F840" s="97" t="str">
        <f ca="1">IF(OR(Market_Data[[#This Row],[Start Date]]="",Market_Data[[#This Row],[Completion Date]]=""),"Needs Validation",IF(Market_Data[[#This Row],[Start Date]]&gt;TODAY(),"Planned",IF(Market_Data[[#This Row],[Completion Date]]&lt;TODAY(),"Completed","Ongoing")))</f>
        <v>Completed</v>
      </c>
      <c r="G840" s="324">
        <v>42767</v>
      </c>
      <c r="H840" s="324">
        <v>43343</v>
      </c>
      <c r="I840" s="325">
        <v>48900</v>
      </c>
      <c r="J84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40" s="133">
        <f>_xlfn.XLOOKUP(Market_Data[[#This Row],[Project Type]],tbl_assumptions_market[Project Category (RERA)],tbl_assumptions_market[Concrete Intensity
(m³ / sq m BUA)],"",0)</f>
        <v>0.42</v>
      </c>
      <c r="L840" s="134">
        <f>ROUND(Market_Data[[#This Row],[Estimated Built Up Area (sq m)]]*Market_Data[[#This Row],[Concrete Intensity
(m³ / sq m)]],0)</f>
        <v>20538</v>
      </c>
      <c r="M840" s="135">
        <f>_xlfn.XLOOKUP(Market_Data[[#This Row],[District]],tbl_district_price[District],tbl_district_price[Standard Price
(INR/m³)],"",0)</f>
        <v>6200</v>
      </c>
      <c r="N840" s="364">
        <f>IF(OR(Market_Data[[#This Row],[Estimated Concrete Demand (m³)]]="",Market_Data[[#This Row],[Avg Price per (₹ / m³)]]=""),"",Market_Data[[#This Row],[Estimated Concrete Demand (m³)]]*Market_Data[[#This Row],[Avg Price per (₹ / m³)]]/10000000)</f>
        <v>12.733560000000001</v>
      </c>
      <c r="O840" s="97" t="str">
        <f>IF(Market_Data[[#This Row],[Estimated Concrete Demand (m³)]]="","",
IF(Market_Data[[#This Row],[Estimated Concrete Demand (m³)]]&lt;10000,"Small",
IF(Market_Data[[#This Row],[Estimated Concrete Demand (m³)]]&lt;25000,"Medium",
IF(Market_Data[[#This Row],[Estimated Concrete Demand (m³)]]&lt;100000,"Large","Mega"))))</f>
        <v>Medium</v>
      </c>
      <c r="P840" s="287" t="str">
        <f t="shared" si="14"/>
        <v>GujRERA</v>
      </c>
    </row>
    <row r="841" spans="1:16">
      <c r="A841" s="129" t="str">
        <f>_xlfn.XLOOKUP(B841,$S$9:$S$14,$T$9:$T$14)&amp;"-"&amp;
IF(E841="Residential/Group Housing","RES",
IF(E841="Commercial","COM",
IF(E841="Mixed Development","MIX",
IF(E841="Plotted Development","PLT","OTH"))))
&amp;"-"&amp;TEXT(COUNTIFS($B$9:B841,B841,$E$9:E841,E841),"0000")</f>
        <v>SUR-COM-0103</v>
      </c>
      <c r="B841" s="322" t="s">
        <v>34</v>
      </c>
      <c r="C841" s="322" t="s">
        <v>34</v>
      </c>
      <c r="D841" s="323" t="s">
        <v>1031</v>
      </c>
      <c r="E841" s="132" t="s">
        <v>23</v>
      </c>
      <c r="F841" s="97" t="str">
        <f ca="1">IF(OR(Market_Data[[#This Row],[Start Date]]="",Market_Data[[#This Row],[Completion Date]]=""),"Needs Validation",IF(Market_Data[[#This Row],[Start Date]]&gt;TODAY(),"Planned",IF(Market_Data[[#This Row],[Completion Date]]&lt;TODAY(),"Completed","Ongoing")))</f>
        <v>Ongoing</v>
      </c>
      <c r="G841" s="324">
        <v>44852</v>
      </c>
      <c r="H841" s="324">
        <v>46477</v>
      </c>
      <c r="I841" s="325">
        <v>24700</v>
      </c>
      <c r="J84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841" s="133">
        <f>_xlfn.XLOOKUP(Market_Data[[#This Row],[Project Type]],tbl_assumptions_market[Project Category (RERA)],tbl_assumptions_market[Concrete Intensity
(m³ / sq m BUA)],"",0)</f>
        <v>0.5</v>
      </c>
      <c r="L841" s="134">
        <f>ROUND(Market_Data[[#This Row],[Estimated Built Up Area (sq m)]]*Market_Data[[#This Row],[Concrete Intensity
(m³ / sq m)]],0)</f>
        <v>12350</v>
      </c>
      <c r="M841" s="135">
        <f>_xlfn.XLOOKUP(Market_Data[[#This Row],[District]],tbl_district_price[District],tbl_district_price[Standard Price
(INR/m³)],"",0)</f>
        <v>6200</v>
      </c>
      <c r="N841" s="364">
        <f>IF(OR(Market_Data[[#This Row],[Estimated Concrete Demand (m³)]]="",Market_Data[[#This Row],[Avg Price per (₹ / m³)]]=""),"",Market_Data[[#This Row],[Estimated Concrete Demand (m³)]]*Market_Data[[#This Row],[Avg Price per (₹ / m³)]]/10000000)</f>
        <v>7.657</v>
      </c>
      <c r="O841" s="97" t="str">
        <f>IF(Market_Data[[#This Row],[Estimated Concrete Demand (m³)]]="","",
IF(Market_Data[[#This Row],[Estimated Concrete Demand (m³)]]&lt;10000,"Small",
IF(Market_Data[[#This Row],[Estimated Concrete Demand (m³)]]&lt;25000,"Medium",
IF(Market_Data[[#This Row],[Estimated Concrete Demand (m³)]]&lt;100000,"Large","Mega"))))</f>
        <v>Medium</v>
      </c>
      <c r="P841" s="287" t="str">
        <f t="shared" si="14"/>
        <v>GujRERA</v>
      </c>
    </row>
    <row r="842" spans="1:16">
      <c r="A842" s="129" t="str">
        <f>_xlfn.XLOOKUP(B842,$S$9:$S$14,$T$9:$T$14)&amp;"-"&amp;
IF(E842="Residential/Group Housing","RES",
IF(E842="Commercial","COM",
IF(E842="Mixed Development","MIX",
IF(E842="Plotted Development","PLT","OTH"))))
&amp;"-"&amp;TEXT(COUNTIFS($B$9:B842,B842,$E$9:E842,E842),"0000")</f>
        <v>SUR-MIX-0096</v>
      </c>
      <c r="B842" s="322" t="s">
        <v>34</v>
      </c>
      <c r="C842" s="322" t="s">
        <v>34</v>
      </c>
      <c r="D842" s="323" t="s">
        <v>1032</v>
      </c>
      <c r="E842" s="132" t="s">
        <v>25</v>
      </c>
      <c r="F842" s="97" t="str">
        <f ca="1">IF(OR(Market_Data[[#This Row],[Start Date]]="",Market_Data[[#This Row],[Completion Date]]=""),"Needs Validation",IF(Market_Data[[#This Row],[Start Date]]&gt;TODAY(),"Planned",IF(Market_Data[[#This Row],[Completion Date]]&lt;TODAY(),"Completed","Ongoing")))</f>
        <v>Completed</v>
      </c>
      <c r="G842" s="324">
        <v>43287</v>
      </c>
      <c r="H842" s="324">
        <v>44834</v>
      </c>
      <c r="I842" s="325">
        <v>24000</v>
      </c>
      <c r="J84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42" s="133">
        <f>_xlfn.XLOOKUP(Market_Data[[#This Row],[Project Type]],tbl_assumptions_market[Project Category (RERA)],tbl_assumptions_market[Concrete Intensity
(m³ / sq m BUA)],"",0)</f>
        <v>0.42</v>
      </c>
      <c r="L842" s="134">
        <f>ROUND(Market_Data[[#This Row],[Estimated Built Up Area (sq m)]]*Market_Data[[#This Row],[Concrete Intensity
(m³ / sq m)]],0)</f>
        <v>10080</v>
      </c>
      <c r="M842" s="135">
        <f>_xlfn.XLOOKUP(Market_Data[[#This Row],[District]],tbl_district_price[District],tbl_district_price[Standard Price
(INR/m³)],"",0)</f>
        <v>6200</v>
      </c>
      <c r="N842" s="364">
        <f>IF(OR(Market_Data[[#This Row],[Estimated Concrete Demand (m³)]]="",Market_Data[[#This Row],[Avg Price per (₹ / m³)]]=""),"",Market_Data[[#This Row],[Estimated Concrete Demand (m³)]]*Market_Data[[#This Row],[Avg Price per (₹ / m³)]]/10000000)</f>
        <v>6.2496</v>
      </c>
      <c r="O842" s="97" t="str">
        <f>IF(Market_Data[[#This Row],[Estimated Concrete Demand (m³)]]="","",
IF(Market_Data[[#This Row],[Estimated Concrete Demand (m³)]]&lt;10000,"Small",
IF(Market_Data[[#This Row],[Estimated Concrete Demand (m³)]]&lt;25000,"Medium",
IF(Market_Data[[#This Row],[Estimated Concrete Demand (m³)]]&lt;100000,"Large","Mega"))))</f>
        <v>Medium</v>
      </c>
      <c r="P842" s="287" t="str">
        <f t="shared" ref="P842:P905" si="15">HYPERLINK(
"https://gujrera.gujarat.gov.in",
"GujRERA")</f>
        <v>GujRERA</v>
      </c>
    </row>
    <row r="843" spans="1:16">
      <c r="A843" s="129" t="str">
        <f>_xlfn.XLOOKUP(B843,$S$9:$S$14,$T$9:$T$14)&amp;"-"&amp;
IF(E843="Residential/Group Housing","RES",
IF(E843="Commercial","COM",
IF(E843="Mixed Development","MIX",
IF(E843="Plotted Development","PLT","OTH"))))
&amp;"-"&amp;TEXT(COUNTIFS($B$9:B843,B843,$E$9:E843,E843),"0000")</f>
        <v>SUR-MIX-0097</v>
      </c>
      <c r="B843" s="322" t="s">
        <v>34</v>
      </c>
      <c r="C843" s="322" t="s">
        <v>34</v>
      </c>
      <c r="D843" s="323" t="s">
        <v>1033</v>
      </c>
      <c r="E843" s="132" t="s">
        <v>25</v>
      </c>
      <c r="F843" s="97" t="str">
        <f ca="1">IF(OR(Market_Data[[#This Row],[Start Date]]="",Market_Data[[#This Row],[Completion Date]]=""),"Needs Validation",IF(Market_Data[[#This Row],[Start Date]]&gt;TODAY(),"Planned",IF(Market_Data[[#This Row],[Completion Date]]&lt;TODAY(),"Completed","Ongoing")))</f>
        <v>Ongoing</v>
      </c>
      <c r="G843" s="324">
        <v>44637</v>
      </c>
      <c r="H843" s="324">
        <v>46752</v>
      </c>
      <c r="I843" s="325">
        <v>17000</v>
      </c>
      <c r="J84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43" s="133">
        <f>_xlfn.XLOOKUP(Market_Data[[#This Row],[Project Type]],tbl_assumptions_market[Project Category (RERA)],tbl_assumptions_market[Concrete Intensity
(m³ / sq m BUA)],"",0)</f>
        <v>0.42</v>
      </c>
      <c r="L843" s="134">
        <f>ROUND(Market_Data[[#This Row],[Estimated Built Up Area (sq m)]]*Market_Data[[#This Row],[Concrete Intensity
(m³ / sq m)]],0)</f>
        <v>7140</v>
      </c>
      <c r="M843" s="135">
        <f>_xlfn.XLOOKUP(Market_Data[[#This Row],[District]],tbl_district_price[District],tbl_district_price[Standard Price
(INR/m³)],"",0)</f>
        <v>6200</v>
      </c>
      <c r="N843" s="364">
        <f>IF(OR(Market_Data[[#This Row],[Estimated Concrete Demand (m³)]]="",Market_Data[[#This Row],[Avg Price per (₹ / m³)]]=""),"",Market_Data[[#This Row],[Estimated Concrete Demand (m³)]]*Market_Data[[#This Row],[Avg Price per (₹ / m³)]]/10000000)</f>
        <v>4.4268000000000001</v>
      </c>
      <c r="O843" s="97" t="str">
        <f>IF(Market_Data[[#This Row],[Estimated Concrete Demand (m³)]]="","",
IF(Market_Data[[#This Row],[Estimated Concrete Demand (m³)]]&lt;10000,"Small",
IF(Market_Data[[#This Row],[Estimated Concrete Demand (m³)]]&lt;25000,"Medium",
IF(Market_Data[[#This Row],[Estimated Concrete Demand (m³)]]&lt;100000,"Large","Mega"))))</f>
        <v>Small</v>
      </c>
      <c r="P843" s="287" t="str">
        <f t="shared" si="15"/>
        <v>GujRERA</v>
      </c>
    </row>
    <row r="844" spans="1:16">
      <c r="A844" s="129" t="str">
        <f>_xlfn.XLOOKUP(B844,$S$9:$S$14,$T$9:$T$14)&amp;"-"&amp;
IF(E844="Residential/Group Housing","RES",
IF(E844="Commercial","COM",
IF(E844="Mixed Development","MIX",
IF(E844="Plotted Development","PLT","OTH"))))
&amp;"-"&amp;TEXT(COUNTIFS($B$9:B844,B844,$E$9:E844,E844),"0000")</f>
        <v>SUR-PLT-0120</v>
      </c>
      <c r="B844" s="322" t="s">
        <v>34</v>
      </c>
      <c r="C844" s="322" t="s">
        <v>34</v>
      </c>
      <c r="D844" s="323" t="s">
        <v>1034</v>
      </c>
      <c r="E844" s="132" t="s">
        <v>26</v>
      </c>
      <c r="F844" s="97" t="str">
        <f ca="1">IF(OR(Market_Data[[#This Row],[Start Date]]="",Market_Data[[#This Row],[Completion Date]]=""),"Needs Validation",IF(Market_Data[[#This Row],[Start Date]]&gt;TODAY(),"Planned",IF(Market_Data[[#This Row],[Completion Date]]&lt;TODAY(),"Completed","Ongoing")))</f>
        <v>Ongoing</v>
      </c>
      <c r="G844" s="324">
        <v>44837</v>
      </c>
      <c r="H844" s="324">
        <v>46387</v>
      </c>
      <c r="I844" s="325">
        <v>20800</v>
      </c>
      <c r="J84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44" s="133">
        <f>_xlfn.XLOOKUP(Market_Data[[#This Row],[Project Type]],tbl_assumptions_market[Project Category (RERA)],tbl_assumptions_market[Concrete Intensity
(m³ / sq m BUA)],"",0)</f>
        <v>0.18</v>
      </c>
      <c r="L844" s="134">
        <f>ROUND(Market_Data[[#This Row],[Estimated Built Up Area (sq m)]]*Market_Data[[#This Row],[Concrete Intensity
(m³ / sq m)]],0)</f>
        <v>3744</v>
      </c>
      <c r="M844" s="135">
        <f>_xlfn.XLOOKUP(Market_Data[[#This Row],[District]],tbl_district_price[District],tbl_district_price[Standard Price
(INR/m³)],"",0)</f>
        <v>6200</v>
      </c>
      <c r="N844" s="364">
        <f>IF(OR(Market_Data[[#This Row],[Estimated Concrete Demand (m³)]]="",Market_Data[[#This Row],[Avg Price per (₹ / m³)]]=""),"",Market_Data[[#This Row],[Estimated Concrete Demand (m³)]]*Market_Data[[#This Row],[Avg Price per (₹ / m³)]]/10000000)</f>
        <v>2.3212799999999998</v>
      </c>
      <c r="O844" s="97" t="str">
        <f>IF(Market_Data[[#This Row],[Estimated Concrete Demand (m³)]]="","",
IF(Market_Data[[#This Row],[Estimated Concrete Demand (m³)]]&lt;10000,"Small",
IF(Market_Data[[#This Row],[Estimated Concrete Demand (m³)]]&lt;25000,"Medium",
IF(Market_Data[[#This Row],[Estimated Concrete Demand (m³)]]&lt;100000,"Large","Mega"))))</f>
        <v>Small</v>
      </c>
      <c r="P844" s="287" t="str">
        <f t="shared" si="15"/>
        <v>GujRERA</v>
      </c>
    </row>
    <row r="845" spans="1:16">
      <c r="A845" s="129" t="str">
        <f>_xlfn.XLOOKUP(B845,$S$9:$S$14,$T$9:$T$14)&amp;"-"&amp;
IF(E845="Residential/Group Housing","RES",
IF(E845="Commercial","COM",
IF(E845="Mixed Development","MIX",
IF(E845="Plotted Development","PLT","OTH"))))
&amp;"-"&amp;TEXT(COUNTIFS($B$9:B845,B845,$E$9:E845,E845),"0000")</f>
        <v>SUR-PLT-0121</v>
      </c>
      <c r="B845" s="322" t="s">
        <v>34</v>
      </c>
      <c r="C845" s="322" t="s">
        <v>34</v>
      </c>
      <c r="D845" s="323" t="s">
        <v>1035</v>
      </c>
      <c r="E845" s="132" t="s">
        <v>26</v>
      </c>
      <c r="F845" s="97" t="str">
        <f ca="1">IF(OR(Market_Data[[#This Row],[Start Date]]="",Market_Data[[#This Row],[Completion Date]]=""),"Needs Validation",IF(Market_Data[[#This Row],[Start Date]]&gt;TODAY(),"Planned",IF(Market_Data[[#This Row],[Completion Date]]&lt;TODAY(),"Completed","Ongoing")))</f>
        <v>Ongoing</v>
      </c>
      <c r="G845" s="324">
        <v>45544</v>
      </c>
      <c r="H845" s="324">
        <v>46752</v>
      </c>
      <c r="I845" s="325">
        <v>22000</v>
      </c>
      <c r="J84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45" s="133">
        <f>_xlfn.XLOOKUP(Market_Data[[#This Row],[Project Type]],tbl_assumptions_market[Project Category (RERA)],tbl_assumptions_market[Concrete Intensity
(m³ / sq m BUA)],"",0)</f>
        <v>0.18</v>
      </c>
      <c r="L845" s="134">
        <f>ROUND(Market_Data[[#This Row],[Estimated Built Up Area (sq m)]]*Market_Data[[#This Row],[Concrete Intensity
(m³ / sq m)]],0)</f>
        <v>3960</v>
      </c>
      <c r="M845" s="135">
        <f>_xlfn.XLOOKUP(Market_Data[[#This Row],[District]],tbl_district_price[District],tbl_district_price[Standard Price
(INR/m³)],"",0)</f>
        <v>6200</v>
      </c>
      <c r="N845" s="364">
        <f>IF(OR(Market_Data[[#This Row],[Estimated Concrete Demand (m³)]]="",Market_Data[[#This Row],[Avg Price per (₹ / m³)]]=""),"",Market_Data[[#This Row],[Estimated Concrete Demand (m³)]]*Market_Data[[#This Row],[Avg Price per (₹ / m³)]]/10000000)</f>
        <v>2.4552</v>
      </c>
      <c r="O845" s="97" t="str">
        <f>IF(Market_Data[[#This Row],[Estimated Concrete Demand (m³)]]="","",
IF(Market_Data[[#This Row],[Estimated Concrete Demand (m³)]]&lt;10000,"Small",
IF(Market_Data[[#This Row],[Estimated Concrete Demand (m³)]]&lt;25000,"Medium",
IF(Market_Data[[#This Row],[Estimated Concrete Demand (m³)]]&lt;100000,"Large","Mega"))))</f>
        <v>Small</v>
      </c>
      <c r="P845" s="287" t="str">
        <f t="shared" si="15"/>
        <v>GujRERA</v>
      </c>
    </row>
    <row r="846" spans="1:16">
      <c r="A846" s="129" t="str">
        <f>_xlfn.XLOOKUP(B846,$S$9:$S$14,$T$9:$T$14)&amp;"-"&amp;
IF(E846="Residential/Group Housing","RES",
IF(E846="Commercial","COM",
IF(E846="Mixed Development","MIX",
IF(E846="Plotted Development","PLT","OTH"))))
&amp;"-"&amp;TEXT(COUNTIFS($B$9:B846,B846,$E$9:E846,E846),"0000")</f>
        <v>SUR-PLT-0122</v>
      </c>
      <c r="B846" s="322" t="s">
        <v>34</v>
      </c>
      <c r="C846" s="322" t="s">
        <v>34</v>
      </c>
      <c r="D846" s="323" t="s">
        <v>1036</v>
      </c>
      <c r="E846" s="132" t="s">
        <v>26</v>
      </c>
      <c r="F846" s="97" t="str">
        <f ca="1">IF(OR(Market_Data[[#This Row],[Start Date]]="",Market_Data[[#This Row],[Completion Date]]=""),"Needs Validation",IF(Market_Data[[#This Row],[Start Date]]&gt;TODAY(),"Planned",IF(Market_Data[[#This Row],[Completion Date]]&lt;TODAY(),"Completed","Ongoing")))</f>
        <v>Ongoing</v>
      </c>
      <c r="G846" s="324">
        <v>44837</v>
      </c>
      <c r="H846" s="324">
        <v>46387</v>
      </c>
      <c r="I846" s="325">
        <v>48000</v>
      </c>
      <c r="J84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846" s="133">
        <f>_xlfn.XLOOKUP(Market_Data[[#This Row],[Project Type]],tbl_assumptions_market[Project Category (RERA)],tbl_assumptions_market[Concrete Intensity
(m³ / sq m BUA)],"",0)</f>
        <v>0.18</v>
      </c>
      <c r="L846" s="134">
        <f>ROUND(Market_Data[[#This Row],[Estimated Built Up Area (sq m)]]*Market_Data[[#This Row],[Concrete Intensity
(m³ / sq m)]],0)</f>
        <v>8640</v>
      </c>
      <c r="M846" s="135">
        <f>_xlfn.XLOOKUP(Market_Data[[#This Row],[District]],tbl_district_price[District],tbl_district_price[Standard Price
(INR/m³)],"",0)</f>
        <v>6200</v>
      </c>
      <c r="N846" s="364">
        <f>IF(OR(Market_Data[[#This Row],[Estimated Concrete Demand (m³)]]="",Market_Data[[#This Row],[Avg Price per (₹ / m³)]]=""),"",Market_Data[[#This Row],[Estimated Concrete Demand (m³)]]*Market_Data[[#This Row],[Avg Price per (₹ / m³)]]/10000000)</f>
        <v>5.3567999999999998</v>
      </c>
      <c r="O846" s="97" t="str">
        <f>IF(Market_Data[[#This Row],[Estimated Concrete Demand (m³)]]="","",
IF(Market_Data[[#This Row],[Estimated Concrete Demand (m³)]]&lt;10000,"Small",
IF(Market_Data[[#This Row],[Estimated Concrete Demand (m³)]]&lt;25000,"Medium",
IF(Market_Data[[#This Row],[Estimated Concrete Demand (m³)]]&lt;100000,"Large","Mega"))))</f>
        <v>Small</v>
      </c>
      <c r="P846" s="287" t="str">
        <f t="shared" si="15"/>
        <v>GujRERA</v>
      </c>
    </row>
    <row r="847" spans="1:16">
      <c r="A847" s="129" t="str">
        <f>_xlfn.XLOOKUP(B847,$S$9:$S$14,$T$9:$T$14)&amp;"-"&amp;
IF(E847="Residential/Group Housing","RES",
IF(E847="Commercial","COM",
IF(E847="Mixed Development","MIX",
IF(E847="Plotted Development","PLT","OTH"))))
&amp;"-"&amp;TEXT(COUNTIFS($B$9:B847,B847,$E$9:E847,E847),"0000")</f>
        <v>SUR-PLT-0123</v>
      </c>
      <c r="B847" s="322" t="s">
        <v>34</v>
      </c>
      <c r="C847" s="322" t="s">
        <v>34</v>
      </c>
      <c r="D847" s="323" t="s">
        <v>1037</v>
      </c>
      <c r="E847" s="132" t="s">
        <v>26</v>
      </c>
      <c r="F847" s="97" t="str">
        <f ca="1">IF(OR(Market_Data[[#This Row],[Start Date]]="",Market_Data[[#This Row],[Completion Date]]=""),"Needs Validation",IF(Market_Data[[#This Row],[Start Date]]&gt;TODAY(),"Planned",IF(Market_Data[[#This Row],[Completion Date]]&lt;TODAY(),"Completed","Ongoing")))</f>
        <v>Ongoing</v>
      </c>
      <c r="G847" s="324">
        <v>45045</v>
      </c>
      <c r="H847" s="324">
        <v>46752</v>
      </c>
      <c r="I847" s="325">
        <v>39300</v>
      </c>
      <c r="J84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847" s="133">
        <f>_xlfn.XLOOKUP(Market_Data[[#This Row],[Project Type]],tbl_assumptions_market[Project Category (RERA)],tbl_assumptions_market[Concrete Intensity
(m³ / sq m BUA)],"",0)</f>
        <v>0.18</v>
      </c>
      <c r="L847" s="134">
        <f>ROUND(Market_Data[[#This Row],[Estimated Built Up Area (sq m)]]*Market_Data[[#This Row],[Concrete Intensity
(m³ / sq m)]],0)</f>
        <v>7074</v>
      </c>
      <c r="M847" s="135">
        <f>_xlfn.XLOOKUP(Market_Data[[#This Row],[District]],tbl_district_price[District],tbl_district_price[Standard Price
(INR/m³)],"",0)</f>
        <v>6200</v>
      </c>
      <c r="N847" s="364">
        <f>IF(OR(Market_Data[[#This Row],[Estimated Concrete Demand (m³)]]="",Market_Data[[#This Row],[Avg Price per (₹ / m³)]]=""),"",Market_Data[[#This Row],[Estimated Concrete Demand (m³)]]*Market_Data[[#This Row],[Avg Price per (₹ / m³)]]/10000000)</f>
        <v>4.3858800000000002</v>
      </c>
      <c r="O847" s="97" t="str">
        <f>IF(Market_Data[[#This Row],[Estimated Concrete Demand (m³)]]="","",
IF(Market_Data[[#This Row],[Estimated Concrete Demand (m³)]]&lt;10000,"Small",
IF(Market_Data[[#This Row],[Estimated Concrete Demand (m³)]]&lt;25000,"Medium",
IF(Market_Data[[#This Row],[Estimated Concrete Demand (m³)]]&lt;100000,"Large","Mega"))))</f>
        <v>Small</v>
      </c>
      <c r="P847" s="287" t="str">
        <f t="shared" si="15"/>
        <v>GujRERA</v>
      </c>
    </row>
    <row r="848" spans="1:16">
      <c r="A848" s="129" t="str">
        <f>_xlfn.XLOOKUP(B848,$S$9:$S$14,$T$9:$T$14)&amp;"-"&amp;
IF(E848="Residential/Group Housing","RES",
IF(E848="Commercial","COM",
IF(E848="Mixed Development","MIX",
IF(E848="Plotted Development","PLT","OTH"))))
&amp;"-"&amp;TEXT(COUNTIFS($B$9:B848,B848,$E$9:E848,E848),"0000")</f>
        <v>SUR-PLT-0124</v>
      </c>
      <c r="B848" s="322" t="s">
        <v>34</v>
      </c>
      <c r="C848" s="322" t="s">
        <v>34</v>
      </c>
      <c r="D848" s="323" t="s">
        <v>1038</v>
      </c>
      <c r="E848" s="132" t="s">
        <v>26</v>
      </c>
      <c r="F848" s="97" t="str">
        <f ca="1">IF(OR(Market_Data[[#This Row],[Start Date]]="",Market_Data[[#This Row],[Completion Date]]=""),"Needs Validation",IF(Market_Data[[#This Row],[Start Date]]&gt;TODAY(),"Planned",IF(Market_Data[[#This Row],[Completion Date]]&lt;TODAY(),"Completed","Ongoing")))</f>
        <v>Ongoing</v>
      </c>
      <c r="G848" s="324">
        <v>44932</v>
      </c>
      <c r="H848" s="324">
        <v>46387</v>
      </c>
      <c r="I848" s="325">
        <v>22200</v>
      </c>
      <c r="J84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48" s="133">
        <f>_xlfn.XLOOKUP(Market_Data[[#This Row],[Project Type]],tbl_assumptions_market[Project Category (RERA)],tbl_assumptions_market[Concrete Intensity
(m³ / sq m BUA)],"",0)</f>
        <v>0.18</v>
      </c>
      <c r="L848" s="134">
        <f>ROUND(Market_Data[[#This Row],[Estimated Built Up Area (sq m)]]*Market_Data[[#This Row],[Concrete Intensity
(m³ / sq m)]],0)</f>
        <v>3996</v>
      </c>
      <c r="M848" s="135">
        <f>_xlfn.XLOOKUP(Market_Data[[#This Row],[District]],tbl_district_price[District],tbl_district_price[Standard Price
(INR/m³)],"",0)</f>
        <v>6200</v>
      </c>
      <c r="N848" s="364">
        <f>IF(OR(Market_Data[[#This Row],[Estimated Concrete Demand (m³)]]="",Market_Data[[#This Row],[Avg Price per (₹ / m³)]]=""),"",Market_Data[[#This Row],[Estimated Concrete Demand (m³)]]*Market_Data[[#This Row],[Avg Price per (₹ / m³)]]/10000000)</f>
        <v>2.4775200000000002</v>
      </c>
      <c r="O848" s="97" t="str">
        <f>IF(Market_Data[[#This Row],[Estimated Concrete Demand (m³)]]="","",
IF(Market_Data[[#This Row],[Estimated Concrete Demand (m³)]]&lt;10000,"Small",
IF(Market_Data[[#This Row],[Estimated Concrete Demand (m³)]]&lt;25000,"Medium",
IF(Market_Data[[#This Row],[Estimated Concrete Demand (m³)]]&lt;100000,"Large","Mega"))))</f>
        <v>Small</v>
      </c>
      <c r="P848" s="287" t="str">
        <f t="shared" si="15"/>
        <v>GujRERA</v>
      </c>
    </row>
    <row r="849" spans="1:16">
      <c r="A849" s="129" t="str">
        <f>_xlfn.XLOOKUP(B849,$S$9:$S$14,$T$9:$T$14)&amp;"-"&amp;
IF(E849="Residential/Group Housing","RES",
IF(E849="Commercial","COM",
IF(E849="Mixed Development","MIX",
IF(E849="Plotted Development","PLT","OTH"))))
&amp;"-"&amp;TEXT(COUNTIFS($B$9:B849,B849,$E$9:E849,E849),"0000")</f>
        <v>SUR-PLT-0125</v>
      </c>
      <c r="B849" s="322" t="s">
        <v>34</v>
      </c>
      <c r="C849" s="322" t="s">
        <v>34</v>
      </c>
      <c r="D849" s="323" t="s">
        <v>1039</v>
      </c>
      <c r="E849" s="132" t="s">
        <v>26</v>
      </c>
      <c r="F849" s="97" t="str">
        <f ca="1">IF(OR(Market_Data[[#This Row],[Start Date]]="",Market_Data[[#This Row],[Completion Date]]=""),"Needs Validation",IF(Market_Data[[#This Row],[Start Date]]&gt;TODAY(),"Planned",IF(Market_Data[[#This Row],[Completion Date]]&lt;TODAY(),"Completed","Ongoing")))</f>
        <v>Ongoing</v>
      </c>
      <c r="G849" s="324">
        <v>44932</v>
      </c>
      <c r="H849" s="324">
        <v>46387</v>
      </c>
      <c r="I849" s="325">
        <v>41000</v>
      </c>
      <c r="J84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849" s="133">
        <f>_xlfn.XLOOKUP(Market_Data[[#This Row],[Project Type]],tbl_assumptions_market[Project Category (RERA)],tbl_assumptions_market[Concrete Intensity
(m³ / sq m BUA)],"",0)</f>
        <v>0.18</v>
      </c>
      <c r="L849" s="134">
        <f>ROUND(Market_Data[[#This Row],[Estimated Built Up Area (sq m)]]*Market_Data[[#This Row],[Concrete Intensity
(m³ / sq m)]],0)</f>
        <v>7380</v>
      </c>
      <c r="M849" s="135">
        <f>_xlfn.XLOOKUP(Market_Data[[#This Row],[District]],tbl_district_price[District],tbl_district_price[Standard Price
(INR/m³)],"",0)</f>
        <v>6200</v>
      </c>
      <c r="N849" s="364">
        <f>IF(OR(Market_Data[[#This Row],[Estimated Concrete Demand (m³)]]="",Market_Data[[#This Row],[Avg Price per (₹ / m³)]]=""),"",Market_Data[[#This Row],[Estimated Concrete Demand (m³)]]*Market_Data[[#This Row],[Avg Price per (₹ / m³)]]/10000000)</f>
        <v>4.5755999999999997</v>
      </c>
      <c r="O849" s="97" t="str">
        <f>IF(Market_Data[[#This Row],[Estimated Concrete Demand (m³)]]="","",
IF(Market_Data[[#This Row],[Estimated Concrete Demand (m³)]]&lt;10000,"Small",
IF(Market_Data[[#This Row],[Estimated Concrete Demand (m³)]]&lt;25000,"Medium",
IF(Market_Data[[#This Row],[Estimated Concrete Demand (m³)]]&lt;100000,"Large","Mega"))))</f>
        <v>Small</v>
      </c>
      <c r="P849" s="287" t="str">
        <f t="shared" si="15"/>
        <v>GujRERA</v>
      </c>
    </row>
    <row r="850" spans="1:16">
      <c r="A850" s="129" t="str">
        <f>_xlfn.XLOOKUP(B850,$S$9:$S$14,$T$9:$T$14)&amp;"-"&amp;
IF(E850="Residential/Group Housing","RES",
IF(E850="Commercial","COM",
IF(E850="Mixed Development","MIX",
IF(E850="Plotted Development","PLT","OTH"))))
&amp;"-"&amp;TEXT(COUNTIFS($B$9:B850,B850,$E$9:E850,E850),"0000")</f>
        <v>SUR-PLT-0126</v>
      </c>
      <c r="B850" s="322" t="s">
        <v>34</v>
      </c>
      <c r="C850" s="322" t="s">
        <v>34</v>
      </c>
      <c r="D850" s="323" t="s">
        <v>1040</v>
      </c>
      <c r="E850" s="132" t="s">
        <v>26</v>
      </c>
      <c r="F850" s="97" t="str">
        <f ca="1">IF(OR(Market_Data[[#This Row],[Start Date]]="",Market_Data[[#This Row],[Completion Date]]=""),"Needs Validation",IF(Market_Data[[#This Row],[Start Date]]&gt;TODAY(),"Planned",IF(Market_Data[[#This Row],[Completion Date]]&lt;TODAY(),"Completed","Ongoing")))</f>
        <v>Ongoing</v>
      </c>
      <c r="G850" s="324">
        <v>45407</v>
      </c>
      <c r="H850" s="324">
        <v>46752</v>
      </c>
      <c r="I850" s="325">
        <v>18800</v>
      </c>
      <c r="J85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50" s="133">
        <f>_xlfn.XLOOKUP(Market_Data[[#This Row],[Project Type]],tbl_assumptions_market[Project Category (RERA)],tbl_assumptions_market[Concrete Intensity
(m³ / sq m BUA)],"",0)</f>
        <v>0.18</v>
      </c>
      <c r="L850" s="134">
        <f>ROUND(Market_Data[[#This Row],[Estimated Built Up Area (sq m)]]*Market_Data[[#This Row],[Concrete Intensity
(m³ / sq m)]],0)</f>
        <v>3384</v>
      </c>
      <c r="M850" s="135">
        <f>_xlfn.XLOOKUP(Market_Data[[#This Row],[District]],tbl_district_price[District],tbl_district_price[Standard Price
(INR/m³)],"",0)</f>
        <v>6200</v>
      </c>
      <c r="N850" s="364">
        <f>IF(OR(Market_Data[[#This Row],[Estimated Concrete Demand (m³)]]="",Market_Data[[#This Row],[Avg Price per (₹ / m³)]]=""),"",Market_Data[[#This Row],[Estimated Concrete Demand (m³)]]*Market_Data[[#This Row],[Avg Price per (₹ / m³)]]/10000000)</f>
        <v>2.0980799999999999</v>
      </c>
      <c r="O850" s="97" t="str">
        <f>IF(Market_Data[[#This Row],[Estimated Concrete Demand (m³)]]="","",
IF(Market_Data[[#This Row],[Estimated Concrete Demand (m³)]]&lt;10000,"Small",
IF(Market_Data[[#This Row],[Estimated Concrete Demand (m³)]]&lt;25000,"Medium",
IF(Market_Data[[#This Row],[Estimated Concrete Demand (m³)]]&lt;100000,"Large","Mega"))))</f>
        <v>Small</v>
      </c>
      <c r="P850" s="287" t="str">
        <f t="shared" si="15"/>
        <v>GujRERA</v>
      </c>
    </row>
    <row r="851" spans="1:16">
      <c r="A851" s="129" t="str">
        <f>_xlfn.XLOOKUP(B851,$S$9:$S$14,$T$9:$T$14)&amp;"-"&amp;
IF(E851="Residential/Group Housing","RES",
IF(E851="Commercial","COM",
IF(E851="Mixed Development","MIX",
IF(E851="Plotted Development","PLT","OTH"))))
&amp;"-"&amp;TEXT(COUNTIFS($B$9:B851,B851,$E$9:E851,E851),"0000")</f>
        <v>SUR-PLT-0127</v>
      </c>
      <c r="B851" s="322" t="s">
        <v>34</v>
      </c>
      <c r="C851" s="322" t="s">
        <v>34</v>
      </c>
      <c r="D851" s="323" t="s">
        <v>1041</v>
      </c>
      <c r="E851" s="132" t="s">
        <v>26</v>
      </c>
      <c r="F851" s="97" t="str">
        <f ca="1">IF(OR(Market_Data[[#This Row],[Start Date]]="",Market_Data[[#This Row],[Completion Date]]=""),"Needs Validation",IF(Market_Data[[#This Row],[Start Date]]&gt;TODAY(),"Planned",IF(Market_Data[[#This Row],[Completion Date]]&lt;TODAY(),"Completed","Ongoing")))</f>
        <v>Ongoing</v>
      </c>
      <c r="G851" s="324">
        <v>45143</v>
      </c>
      <c r="H851" s="324">
        <v>46387</v>
      </c>
      <c r="I851" s="325">
        <v>53300</v>
      </c>
      <c r="J85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851" s="133">
        <f>_xlfn.XLOOKUP(Market_Data[[#This Row],[Project Type]],tbl_assumptions_market[Project Category (RERA)],tbl_assumptions_market[Concrete Intensity
(m³ / sq m BUA)],"",0)</f>
        <v>0.18</v>
      </c>
      <c r="L851" s="134">
        <f>ROUND(Market_Data[[#This Row],[Estimated Built Up Area (sq m)]]*Market_Data[[#This Row],[Concrete Intensity
(m³ / sq m)]],0)</f>
        <v>9594</v>
      </c>
      <c r="M851" s="135">
        <f>_xlfn.XLOOKUP(Market_Data[[#This Row],[District]],tbl_district_price[District],tbl_district_price[Standard Price
(INR/m³)],"",0)</f>
        <v>6200</v>
      </c>
      <c r="N851" s="364">
        <f>IF(OR(Market_Data[[#This Row],[Estimated Concrete Demand (m³)]]="",Market_Data[[#This Row],[Avg Price per (₹ / m³)]]=""),"",Market_Data[[#This Row],[Estimated Concrete Demand (m³)]]*Market_Data[[#This Row],[Avg Price per (₹ / m³)]]/10000000)</f>
        <v>5.9482799999999996</v>
      </c>
      <c r="O851" s="97" t="str">
        <f>IF(Market_Data[[#This Row],[Estimated Concrete Demand (m³)]]="","",
IF(Market_Data[[#This Row],[Estimated Concrete Demand (m³)]]&lt;10000,"Small",
IF(Market_Data[[#This Row],[Estimated Concrete Demand (m³)]]&lt;25000,"Medium",
IF(Market_Data[[#This Row],[Estimated Concrete Demand (m³)]]&lt;100000,"Large","Mega"))))</f>
        <v>Small</v>
      </c>
      <c r="P851" s="287" t="str">
        <f t="shared" si="15"/>
        <v>GujRERA</v>
      </c>
    </row>
    <row r="852" spans="1:16">
      <c r="A852" s="129" t="str">
        <f>_xlfn.XLOOKUP(B852,$S$9:$S$14,$T$9:$T$14)&amp;"-"&amp;
IF(E852="Residential/Group Housing","RES",
IF(E852="Commercial","COM",
IF(E852="Mixed Development","MIX",
IF(E852="Plotted Development","PLT","OTH"))))
&amp;"-"&amp;TEXT(COUNTIFS($B$9:B852,B852,$E$9:E852,E852),"0000")</f>
        <v>SUR-MIX-0098</v>
      </c>
      <c r="B852" s="322" t="s">
        <v>34</v>
      </c>
      <c r="C852" s="322" t="s">
        <v>34</v>
      </c>
      <c r="D852" s="323" t="s">
        <v>1042</v>
      </c>
      <c r="E852" s="132" t="s">
        <v>25</v>
      </c>
      <c r="F852" s="97" t="str">
        <f ca="1">IF(OR(Market_Data[[#This Row],[Start Date]]="",Market_Data[[#This Row],[Completion Date]]=""),"Needs Validation",IF(Market_Data[[#This Row],[Start Date]]&gt;TODAY(),"Planned",IF(Market_Data[[#This Row],[Completion Date]]&lt;TODAY(),"Completed","Ongoing")))</f>
        <v>Completed</v>
      </c>
      <c r="G852" s="324">
        <v>39571</v>
      </c>
      <c r="H852" s="324">
        <v>43738</v>
      </c>
      <c r="I852" s="325">
        <v>112700</v>
      </c>
      <c r="J85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52" s="133">
        <f>_xlfn.XLOOKUP(Market_Data[[#This Row],[Project Type]],tbl_assumptions_market[Project Category (RERA)],tbl_assumptions_market[Concrete Intensity
(m³ / sq m BUA)],"",0)</f>
        <v>0.42</v>
      </c>
      <c r="L852" s="134">
        <f>ROUND(Market_Data[[#This Row],[Estimated Built Up Area (sq m)]]*Market_Data[[#This Row],[Concrete Intensity
(m³ / sq m)]],0)</f>
        <v>47334</v>
      </c>
      <c r="M852" s="135">
        <f>_xlfn.XLOOKUP(Market_Data[[#This Row],[District]],tbl_district_price[District],tbl_district_price[Standard Price
(INR/m³)],"",0)</f>
        <v>6200</v>
      </c>
      <c r="N852" s="364">
        <f>IF(OR(Market_Data[[#This Row],[Estimated Concrete Demand (m³)]]="",Market_Data[[#This Row],[Avg Price per (₹ / m³)]]=""),"",Market_Data[[#This Row],[Estimated Concrete Demand (m³)]]*Market_Data[[#This Row],[Avg Price per (₹ / m³)]]/10000000)</f>
        <v>29.347079999999998</v>
      </c>
      <c r="O852" s="97" t="str">
        <f>IF(Market_Data[[#This Row],[Estimated Concrete Demand (m³)]]="","",
IF(Market_Data[[#This Row],[Estimated Concrete Demand (m³)]]&lt;10000,"Small",
IF(Market_Data[[#This Row],[Estimated Concrete Demand (m³)]]&lt;25000,"Medium",
IF(Market_Data[[#This Row],[Estimated Concrete Demand (m³)]]&lt;100000,"Large","Mega"))))</f>
        <v>Large</v>
      </c>
      <c r="P852" s="287" t="str">
        <f t="shared" si="15"/>
        <v>GujRERA</v>
      </c>
    </row>
    <row r="853" spans="1:16">
      <c r="A853" s="129" t="str">
        <f>_xlfn.XLOOKUP(B853,$S$9:$S$14,$T$9:$T$14)&amp;"-"&amp;
IF(E853="Residential/Group Housing","RES",
IF(E853="Commercial","COM",
IF(E853="Mixed Development","MIX",
IF(E853="Plotted Development","PLT","OTH"))))
&amp;"-"&amp;TEXT(COUNTIFS($B$9:B853,B853,$E$9:E853,E853),"0000")</f>
        <v>SUR-PLT-0128</v>
      </c>
      <c r="B853" s="322" t="s">
        <v>34</v>
      </c>
      <c r="C853" s="322" t="s">
        <v>34</v>
      </c>
      <c r="D853" s="323" t="s">
        <v>1043</v>
      </c>
      <c r="E853" s="132" t="s">
        <v>26</v>
      </c>
      <c r="F853" s="97" t="str">
        <f ca="1">IF(OR(Market_Data[[#This Row],[Start Date]]="",Market_Data[[#This Row],[Completion Date]]=""),"Needs Validation",IF(Market_Data[[#This Row],[Start Date]]&gt;TODAY(),"Planned",IF(Market_Data[[#This Row],[Completion Date]]&lt;TODAY(),"Completed","Ongoing")))</f>
        <v>Completed</v>
      </c>
      <c r="G853" s="324">
        <v>44742</v>
      </c>
      <c r="H853" s="324">
        <v>46022</v>
      </c>
      <c r="I853" s="325">
        <v>3300</v>
      </c>
      <c r="J85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53" s="133">
        <f>_xlfn.XLOOKUP(Market_Data[[#This Row],[Project Type]],tbl_assumptions_market[Project Category (RERA)],tbl_assumptions_market[Concrete Intensity
(m³ / sq m BUA)],"",0)</f>
        <v>0.18</v>
      </c>
      <c r="L853" s="134">
        <f>ROUND(Market_Data[[#This Row],[Estimated Built Up Area (sq m)]]*Market_Data[[#This Row],[Concrete Intensity
(m³ / sq m)]],0)</f>
        <v>594</v>
      </c>
      <c r="M853" s="135">
        <f>_xlfn.XLOOKUP(Market_Data[[#This Row],[District]],tbl_district_price[District],tbl_district_price[Standard Price
(INR/m³)],"",0)</f>
        <v>6200</v>
      </c>
      <c r="N853" s="364">
        <f>IF(OR(Market_Data[[#This Row],[Estimated Concrete Demand (m³)]]="",Market_Data[[#This Row],[Avg Price per (₹ / m³)]]=""),"",Market_Data[[#This Row],[Estimated Concrete Demand (m³)]]*Market_Data[[#This Row],[Avg Price per (₹ / m³)]]/10000000)</f>
        <v>0.36828</v>
      </c>
      <c r="O853" s="97" t="str">
        <f>IF(Market_Data[[#This Row],[Estimated Concrete Demand (m³)]]="","",
IF(Market_Data[[#This Row],[Estimated Concrete Demand (m³)]]&lt;10000,"Small",
IF(Market_Data[[#This Row],[Estimated Concrete Demand (m³)]]&lt;25000,"Medium",
IF(Market_Data[[#This Row],[Estimated Concrete Demand (m³)]]&lt;100000,"Large","Mega"))))</f>
        <v>Small</v>
      </c>
      <c r="P853" s="287" t="str">
        <f t="shared" si="15"/>
        <v>GujRERA</v>
      </c>
    </row>
    <row r="854" spans="1:16">
      <c r="A854" s="129" t="str">
        <f>_xlfn.XLOOKUP(B854,$S$9:$S$14,$T$9:$T$14)&amp;"-"&amp;
IF(E854="Residential/Group Housing","RES",
IF(E854="Commercial","COM",
IF(E854="Mixed Development","MIX",
IF(E854="Plotted Development","PLT","OTH"))))
&amp;"-"&amp;TEXT(COUNTIFS($B$9:B854,B854,$E$9:E854,E854),"0000")</f>
        <v>SUR-MIX-0099</v>
      </c>
      <c r="B854" s="322" t="s">
        <v>34</v>
      </c>
      <c r="C854" s="322" t="s">
        <v>34</v>
      </c>
      <c r="D854" s="323" t="s">
        <v>1044</v>
      </c>
      <c r="E854" s="132" t="s">
        <v>25</v>
      </c>
      <c r="F854" s="97" t="str">
        <f ca="1">IF(OR(Market_Data[[#This Row],[Start Date]]="",Market_Data[[#This Row],[Completion Date]]=""),"Needs Validation",IF(Market_Data[[#This Row],[Start Date]]&gt;TODAY(),"Planned",IF(Market_Data[[#This Row],[Completion Date]]&lt;TODAY(),"Completed","Ongoing")))</f>
        <v>Completed</v>
      </c>
      <c r="G854" s="324">
        <v>42536</v>
      </c>
      <c r="H854" s="324">
        <v>44377</v>
      </c>
      <c r="I854" s="325">
        <v>19300</v>
      </c>
      <c r="J85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54" s="133">
        <f>_xlfn.XLOOKUP(Market_Data[[#This Row],[Project Type]],tbl_assumptions_market[Project Category (RERA)],tbl_assumptions_market[Concrete Intensity
(m³ / sq m BUA)],"",0)</f>
        <v>0.42</v>
      </c>
      <c r="L854" s="134">
        <f>ROUND(Market_Data[[#This Row],[Estimated Built Up Area (sq m)]]*Market_Data[[#This Row],[Concrete Intensity
(m³ / sq m)]],0)</f>
        <v>8106</v>
      </c>
      <c r="M854" s="135">
        <f>_xlfn.XLOOKUP(Market_Data[[#This Row],[District]],tbl_district_price[District],tbl_district_price[Standard Price
(INR/m³)],"",0)</f>
        <v>6200</v>
      </c>
      <c r="N854" s="364">
        <f>IF(OR(Market_Data[[#This Row],[Estimated Concrete Demand (m³)]]="",Market_Data[[#This Row],[Avg Price per (₹ / m³)]]=""),"",Market_Data[[#This Row],[Estimated Concrete Demand (m³)]]*Market_Data[[#This Row],[Avg Price per (₹ / m³)]]/10000000)</f>
        <v>5.0257199999999997</v>
      </c>
      <c r="O854" s="97" t="str">
        <f>IF(Market_Data[[#This Row],[Estimated Concrete Demand (m³)]]="","",
IF(Market_Data[[#This Row],[Estimated Concrete Demand (m³)]]&lt;10000,"Small",
IF(Market_Data[[#This Row],[Estimated Concrete Demand (m³)]]&lt;25000,"Medium",
IF(Market_Data[[#This Row],[Estimated Concrete Demand (m³)]]&lt;100000,"Large","Mega"))))</f>
        <v>Small</v>
      </c>
      <c r="P854" s="287" t="str">
        <f t="shared" si="15"/>
        <v>GujRERA</v>
      </c>
    </row>
    <row r="855" spans="1:16">
      <c r="A855" s="129" t="str">
        <f>_xlfn.XLOOKUP(B855,$S$9:$S$14,$T$9:$T$14)&amp;"-"&amp;
IF(E855="Residential/Group Housing","RES",
IF(E855="Commercial","COM",
IF(E855="Mixed Development","MIX",
IF(E855="Plotted Development","PLT","OTH"))))
&amp;"-"&amp;TEXT(COUNTIFS($B$9:B855,B855,$E$9:E855,E855),"0000")</f>
        <v>SUR-COM-0104</v>
      </c>
      <c r="B855" s="322" t="s">
        <v>34</v>
      </c>
      <c r="C855" s="322" t="s">
        <v>34</v>
      </c>
      <c r="D855" s="323" t="s">
        <v>1045</v>
      </c>
      <c r="E855" s="132" t="s">
        <v>23</v>
      </c>
      <c r="F855" s="97" t="str">
        <f ca="1">IF(OR(Market_Data[[#This Row],[Start Date]]="",Market_Data[[#This Row],[Completion Date]]=""),"Needs Validation",IF(Market_Data[[#This Row],[Start Date]]&gt;TODAY(),"Planned",IF(Market_Data[[#This Row],[Completion Date]]&lt;TODAY(),"Completed","Ongoing")))</f>
        <v>Completed</v>
      </c>
      <c r="G855" s="324">
        <v>41842</v>
      </c>
      <c r="H855" s="324">
        <v>43830</v>
      </c>
      <c r="I855" s="325">
        <v>4600</v>
      </c>
      <c r="J85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55" s="133">
        <f>_xlfn.XLOOKUP(Market_Data[[#This Row],[Project Type]],tbl_assumptions_market[Project Category (RERA)],tbl_assumptions_market[Concrete Intensity
(m³ / sq m BUA)],"",0)</f>
        <v>0.5</v>
      </c>
      <c r="L855" s="134">
        <f>ROUND(Market_Data[[#This Row],[Estimated Built Up Area (sq m)]]*Market_Data[[#This Row],[Concrete Intensity
(m³ / sq m)]],0)</f>
        <v>2300</v>
      </c>
      <c r="M855" s="135">
        <f>_xlfn.XLOOKUP(Market_Data[[#This Row],[District]],tbl_district_price[District],tbl_district_price[Standard Price
(INR/m³)],"",0)</f>
        <v>6200</v>
      </c>
      <c r="N855" s="364">
        <f>IF(OR(Market_Data[[#This Row],[Estimated Concrete Demand (m³)]]="",Market_Data[[#This Row],[Avg Price per (₹ / m³)]]=""),"",Market_Data[[#This Row],[Estimated Concrete Demand (m³)]]*Market_Data[[#This Row],[Avg Price per (₹ / m³)]]/10000000)</f>
        <v>1.4259999999999999</v>
      </c>
      <c r="O855" s="97" t="str">
        <f>IF(Market_Data[[#This Row],[Estimated Concrete Demand (m³)]]="","",
IF(Market_Data[[#This Row],[Estimated Concrete Demand (m³)]]&lt;10000,"Small",
IF(Market_Data[[#This Row],[Estimated Concrete Demand (m³)]]&lt;25000,"Medium",
IF(Market_Data[[#This Row],[Estimated Concrete Demand (m³)]]&lt;100000,"Large","Mega"))))</f>
        <v>Small</v>
      </c>
      <c r="P855" s="287" t="str">
        <f t="shared" si="15"/>
        <v>GujRERA</v>
      </c>
    </row>
    <row r="856" spans="1:16">
      <c r="A856" s="129" t="str">
        <f>_xlfn.XLOOKUP(B856,$S$9:$S$14,$T$9:$T$14)&amp;"-"&amp;
IF(E856="Residential/Group Housing","RES",
IF(E856="Commercial","COM",
IF(E856="Mixed Development","MIX",
IF(E856="Plotted Development","PLT","OTH"))))
&amp;"-"&amp;TEXT(COUNTIFS($B$9:B856,B856,$E$9:E856,E856),"0000")</f>
        <v>SUR-COM-0105</v>
      </c>
      <c r="B856" s="322" t="s">
        <v>34</v>
      </c>
      <c r="C856" s="322" t="s">
        <v>34</v>
      </c>
      <c r="D856" s="323" t="s">
        <v>1046</v>
      </c>
      <c r="E856" s="132" t="s">
        <v>23</v>
      </c>
      <c r="F856" s="97" t="str">
        <f ca="1">IF(OR(Market_Data[[#This Row],[Start Date]]="",Market_Data[[#This Row],[Completion Date]]=""),"Needs Validation",IF(Market_Data[[#This Row],[Start Date]]&gt;TODAY(),"Planned",IF(Market_Data[[#This Row],[Completion Date]]&lt;TODAY(),"Completed","Ongoing")))</f>
        <v>Ongoing</v>
      </c>
      <c r="G856" s="324">
        <v>45687</v>
      </c>
      <c r="H856" s="324">
        <v>47848</v>
      </c>
      <c r="I856" s="325">
        <v>16100</v>
      </c>
      <c r="J85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56" s="133">
        <f>_xlfn.XLOOKUP(Market_Data[[#This Row],[Project Type]],tbl_assumptions_market[Project Category (RERA)],tbl_assumptions_market[Concrete Intensity
(m³ / sq m BUA)],"",0)</f>
        <v>0.5</v>
      </c>
      <c r="L856" s="134">
        <f>ROUND(Market_Data[[#This Row],[Estimated Built Up Area (sq m)]]*Market_Data[[#This Row],[Concrete Intensity
(m³ / sq m)]],0)</f>
        <v>8050</v>
      </c>
      <c r="M856" s="135">
        <f>_xlfn.XLOOKUP(Market_Data[[#This Row],[District]],tbl_district_price[District],tbl_district_price[Standard Price
(INR/m³)],"",0)</f>
        <v>6200</v>
      </c>
      <c r="N856" s="364">
        <f>IF(OR(Market_Data[[#This Row],[Estimated Concrete Demand (m³)]]="",Market_Data[[#This Row],[Avg Price per (₹ / m³)]]=""),"",Market_Data[[#This Row],[Estimated Concrete Demand (m³)]]*Market_Data[[#This Row],[Avg Price per (₹ / m³)]]/10000000)</f>
        <v>4.9909999999999997</v>
      </c>
      <c r="O856" s="97" t="str">
        <f>IF(Market_Data[[#This Row],[Estimated Concrete Demand (m³)]]="","",
IF(Market_Data[[#This Row],[Estimated Concrete Demand (m³)]]&lt;10000,"Small",
IF(Market_Data[[#This Row],[Estimated Concrete Demand (m³)]]&lt;25000,"Medium",
IF(Market_Data[[#This Row],[Estimated Concrete Demand (m³)]]&lt;100000,"Large","Mega"))))</f>
        <v>Small</v>
      </c>
      <c r="P856" s="287" t="str">
        <f t="shared" si="15"/>
        <v>GujRERA</v>
      </c>
    </row>
    <row r="857" spans="1:16">
      <c r="A857" s="129" t="str">
        <f>_xlfn.XLOOKUP(B857,$S$9:$S$14,$T$9:$T$14)&amp;"-"&amp;
IF(E857="Residential/Group Housing","RES",
IF(E857="Commercial","COM",
IF(E857="Mixed Development","MIX",
IF(E857="Plotted Development","PLT","OTH"))))
&amp;"-"&amp;TEXT(COUNTIFS($B$9:B857,B857,$E$9:E857,E857),"0000")</f>
        <v>SUR-RES-0207</v>
      </c>
      <c r="B857" s="322" t="s">
        <v>34</v>
      </c>
      <c r="C857" s="322" t="s">
        <v>34</v>
      </c>
      <c r="D857" s="323" t="s">
        <v>1047</v>
      </c>
      <c r="E857" s="132" t="s">
        <v>24</v>
      </c>
      <c r="F857" s="97" t="str">
        <f ca="1">IF(OR(Market_Data[[#This Row],[Start Date]]="",Market_Data[[#This Row],[Completion Date]]=""),"Needs Validation",IF(Market_Data[[#This Row],[Start Date]]&gt;TODAY(),"Planned",IF(Market_Data[[#This Row],[Completion Date]]&lt;TODAY(),"Completed","Ongoing")))</f>
        <v>Ongoing</v>
      </c>
      <c r="G857" s="324">
        <v>44923</v>
      </c>
      <c r="H857" s="324">
        <v>47118</v>
      </c>
      <c r="I857" s="325">
        <v>54100</v>
      </c>
      <c r="J85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57" s="133">
        <f>_xlfn.XLOOKUP(Market_Data[[#This Row],[Project Type]],tbl_assumptions_market[Project Category (RERA)],tbl_assumptions_market[Concrete Intensity
(m³ / sq m BUA)],"",0)</f>
        <v>0.45</v>
      </c>
      <c r="L857" s="134">
        <f>ROUND(Market_Data[[#This Row],[Estimated Built Up Area (sq m)]]*Market_Data[[#This Row],[Concrete Intensity
(m³ / sq m)]],0)</f>
        <v>24345</v>
      </c>
      <c r="M857" s="135">
        <f>_xlfn.XLOOKUP(Market_Data[[#This Row],[District]],tbl_district_price[District],tbl_district_price[Standard Price
(INR/m³)],"",0)</f>
        <v>6200</v>
      </c>
      <c r="N857" s="364">
        <f>IF(OR(Market_Data[[#This Row],[Estimated Concrete Demand (m³)]]="",Market_Data[[#This Row],[Avg Price per (₹ / m³)]]=""),"",Market_Data[[#This Row],[Estimated Concrete Demand (m³)]]*Market_Data[[#This Row],[Avg Price per (₹ / m³)]]/10000000)</f>
        <v>15.0939</v>
      </c>
      <c r="O857" s="97" t="str">
        <f>IF(Market_Data[[#This Row],[Estimated Concrete Demand (m³)]]="","",
IF(Market_Data[[#This Row],[Estimated Concrete Demand (m³)]]&lt;10000,"Small",
IF(Market_Data[[#This Row],[Estimated Concrete Demand (m³)]]&lt;25000,"Medium",
IF(Market_Data[[#This Row],[Estimated Concrete Demand (m³)]]&lt;100000,"Large","Mega"))))</f>
        <v>Medium</v>
      </c>
      <c r="P857" s="287" t="str">
        <f t="shared" si="15"/>
        <v>GujRERA</v>
      </c>
    </row>
    <row r="858" spans="1:16">
      <c r="A858" s="129" t="str">
        <f>_xlfn.XLOOKUP(B858,$S$9:$S$14,$T$9:$T$14)&amp;"-"&amp;
IF(E858="Residential/Group Housing","RES",
IF(E858="Commercial","COM",
IF(E858="Mixed Development","MIX",
IF(E858="Plotted Development","PLT","OTH"))))
&amp;"-"&amp;TEXT(COUNTIFS($B$9:B858,B858,$E$9:E858,E858),"0000")</f>
        <v>SUR-RES-0208</v>
      </c>
      <c r="B858" s="322" t="s">
        <v>34</v>
      </c>
      <c r="C858" s="322" t="s">
        <v>34</v>
      </c>
      <c r="D858" s="323" t="s">
        <v>1048</v>
      </c>
      <c r="E858" s="132" t="s">
        <v>24</v>
      </c>
      <c r="F858" s="97" t="str">
        <f ca="1">IF(OR(Market_Data[[#This Row],[Start Date]]="",Market_Data[[#This Row],[Completion Date]]=""),"Needs Validation",IF(Market_Data[[#This Row],[Start Date]]&gt;TODAY(),"Planned",IF(Market_Data[[#This Row],[Completion Date]]&lt;TODAY(),"Completed","Ongoing")))</f>
        <v>Ongoing</v>
      </c>
      <c r="G858" s="324">
        <v>45043</v>
      </c>
      <c r="H858" s="324">
        <v>47483</v>
      </c>
      <c r="I858" s="325">
        <v>57900</v>
      </c>
      <c r="J85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58" s="133">
        <f>_xlfn.XLOOKUP(Market_Data[[#This Row],[Project Type]],tbl_assumptions_market[Project Category (RERA)],tbl_assumptions_market[Concrete Intensity
(m³ / sq m BUA)],"",0)</f>
        <v>0.45</v>
      </c>
      <c r="L858" s="134">
        <f>ROUND(Market_Data[[#This Row],[Estimated Built Up Area (sq m)]]*Market_Data[[#This Row],[Concrete Intensity
(m³ / sq m)]],0)</f>
        <v>26055</v>
      </c>
      <c r="M858" s="135">
        <f>_xlfn.XLOOKUP(Market_Data[[#This Row],[District]],tbl_district_price[District],tbl_district_price[Standard Price
(INR/m³)],"",0)</f>
        <v>6200</v>
      </c>
      <c r="N858" s="364">
        <f>IF(OR(Market_Data[[#This Row],[Estimated Concrete Demand (m³)]]="",Market_Data[[#This Row],[Avg Price per (₹ / m³)]]=""),"",Market_Data[[#This Row],[Estimated Concrete Demand (m³)]]*Market_Data[[#This Row],[Avg Price per (₹ / m³)]]/10000000)</f>
        <v>16.1541</v>
      </c>
      <c r="O858" s="97" t="str">
        <f>IF(Market_Data[[#This Row],[Estimated Concrete Demand (m³)]]="","",
IF(Market_Data[[#This Row],[Estimated Concrete Demand (m³)]]&lt;10000,"Small",
IF(Market_Data[[#This Row],[Estimated Concrete Demand (m³)]]&lt;25000,"Medium",
IF(Market_Data[[#This Row],[Estimated Concrete Demand (m³)]]&lt;100000,"Large","Mega"))))</f>
        <v>Large</v>
      </c>
      <c r="P858" s="287" t="str">
        <f t="shared" si="15"/>
        <v>GujRERA</v>
      </c>
    </row>
    <row r="859" spans="1:16">
      <c r="A859" s="129" t="str">
        <f>_xlfn.XLOOKUP(B859,$S$9:$S$14,$T$9:$T$14)&amp;"-"&amp;
IF(E859="Residential/Group Housing","RES",
IF(E859="Commercial","COM",
IF(E859="Mixed Development","MIX",
IF(E859="Plotted Development","PLT","OTH"))))
&amp;"-"&amp;TEXT(COUNTIFS($B$9:B859,B859,$E$9:E859,E859),"0000")</f>
        <v>SUR-RES-0209</v>
      </c>
      <c r="B859" s="322" t="s">
        <v>34</v>
      </c>
      <c r="C859" s="322" t="s">
        <v>34</v>
      </c>
      <c r="D859" s="323" t="s">
        <v>1049</v>
      </c>
      <c r="E859" s="132" t="s">
        <v>24</v>
      </c>
      <c r="F859" s="97" t="str">
        <f ca="1">IF(OR(Market_Data[[#This Row],[Start Date]]="",Market_Data[[#This Row],[Completion Date]]=""),"Needs Validation",IF(Market_Data[[#This Row],[Start Date]]&gt;TODAY(),"Planned",IF(Market_Data[[#This Row],[Completion Date]]&lt;TODAY(),"Completed","Ongoing")))</f>
        <v>Ongoing</v>
      </c>
      <c r="G859" s="324">
        <v>44651</v>
      </c>
      <c r="H859" s="324">
        <v>46752</v>
      </c>
      <c r="I859" s="325">
        <v>47400</v>
      </c>
      <c r="J85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59" s="133">
        <f>_xlfn.XLOOKUP(Market_Data[[#This Row],[Project Type]],tbl_assumptions_market[Project Category (RERA)],tbl_assumptions_market[Concrete Intensity
(m³ / sq m BUA)],"",0)</f>
        <v>0.45</v>
      </c>
      <c r="L859" s="134">
        <f>ROUND(Market_Data[[#This Row],[Estimated Built Up Area (sq m)]]*Market_Data[[#This Row],[Concrete Intensity
(m³ / sq m)]],0)</f>
        <v>21330</v>
      </c>
      <c r="M859" s="135">
        <f>_xlfn.XLOOKUP(Market_Data[[#This Row],[District]],tbl_district_price[District],tbl_district_price[Standard Price
(INR/m³)],"",0)</f>
        <v>6200</v>
      </c>
      <c r="N859" s="364">
        <f>IF(OR(Market_Data[[#This Row],[Estimated Concrete Demand (m³)]]="",Market_Data[[#This Row],[Avg Price per (₹ / m³)]]=""),"",Market_Data[[#This Row],[Estimated Concrete Demand (m³)]]*Market_Data[[#This Row],[Avg Price per (₹ / m³)]]/10000000)</f>
        <v>13.224600000000001</v>
      </c>
      <c r="O859" s="97" t="str">
        <f>IF(Market_Data[[#This Row],[Estimated Concrete Demand (m³)]]="","",
IF(Market_Data[[#This Row],[Estimated Concrete Demand (m³)]]&lt;10000,"Small",
IF(Market_Data[[#This Row],[Estimated Concrete Demand (m³)]]&lt;25000,"Medium",
IF(Market_Data[[#This Row],[Estimated Concrete Demand (m³)]]&lt;100000,"Large","Mega"))))</f>
        <v>Medium</v>
      </c>
      <c r="P859" s="287" t="str">
        <f t="shared" si="15"/>
        <v>GujRERA</v>
      </c>
    </row>
    <row r="860" spans="1:16">
      <c r="A860" s="129" t="str">
        <f>_xlfn.XLOOKUP(B860,$S$9:$S$14,$T$9:$T$14)&amp;"-"&amp;
IF(E860="Residential/Group Housing","RES",
IF(E860="Commercial","COM",
IF(E860="Mixed Development","MIX",
IF(E860="Plotted Development","PLT","OTH"))))
&amp;"-"&amp;TEXT(COUNTIFS($B$9:B860,B860,$E$9:E860,E860),"0000")</f>
        <v>SUR-RES-0210</v>
      </c>
      <c r="B860" s="322" t="s">
        <v>34</v>
      </c>
      <c r="C860" s="322" t="s">
        <v>34</v>
      </c>
      <c r="D860" s="323" t="s">
        <v>1050</v>
      </c>
      <c r="E860" s="132" t="s">
        <v>24</v>
      </c>
      <c r="F860" s="97" t="str">
        <f ca="1">IF(OR(Market_Data[[#This Row],[Start Date]]="",Market_Data[[#This Row],[Completion Date]]=""),"Needs Validation",IF(Market_Data[[#This Row],[Start Date]]&gt;TODAY(),"Planned",IF(Market_Data[[#This Row],[Completion Date]]&lt;TODAY(),"Completed","Ongoing")))</f>
        <v>Completed</v>
      </c>
      <c r="G860" s="324">
        <v>42019</v>
      </c>
      <c r="H860" s="324">
        <v>45107</v>
      </c>
      <c r="I860" s="325">
        <v>38100</v>
      </c>
      <c r="J86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60" s="133">
        <f>_xlfn.XLOOKUP(Market_Data[[#This Row],[Project Type]],tbl_assumptions_market[Project Category (RERA)],tbl_assumptions_market[Concrete Intensity
(m³ / sq m BUA)],"",0)</f>
        <v>0.45</v>
      </c>
      <c r="L860" s="134">
        <f>ROUND(Market_Data[[#This Row],[Estimated Built Up Area (sq m)]]*Market_Data[[#This Row],[Concrete Intensity
(m³ / sq m)]],0)</f>
        <v>17145</v>
      </c>
      <c r="M860" s="135">
        <f>_xlfn.XLOOKUP(Market_Data[[#This Row],[District]],tbl_district_price[District],tbl_district_price[Standard Price
(INR/m³)],"",0)</f>
        <v>6200</v>
      </c>
      <c r="N860" s="364">
        <f>IF(OR(Market_Data[[#This Row],[Estimated Concrete Demand (m³)]]="",Market_Data[[#This Row],[Avg Price per (₹ / m³)]]=""),"",Market_Data[[#This Row],[Estimated Concrete Demand (m³)]]*Market_Data[[#This Row],[Avg Price per (₹ / m³)]]/10000000)</f>
        <v>10.629899999999999</v>
      </c>
      <c r="O860" s="97" t="str">
        <f>IF(Market_Data[[#This Row],[Estimated Concrete Demand (m³)]]="","",
IF(Market_Data[[#This Row],[Estimated Concrete Demand (m³)]]&lt;10000,"Small",
IF(Market_Data[[#This Row],[Estimated Concrete Demand (m³)]]&lt;25000,"Medium",
IF(Market_Data[[#This Row],[Estimated Concrete Demand (m³)]]&lt;100000,"Large","Mega"))))</f>
        <v>Medium</v>
      </c>
      <c r="P860" s="287" t="str">
        <f t="shared" si="15"/>
        <v>GujRERA</v>
      </c>
    </row>
    <row r="861" spans="1:16">
      <c r="A861" s="129" t="str">
        <f>_xlfn.XLOOKUP(B861,$S$9:$S$14,$T$9:$T$14)&amp;"-"&amp;
IF(E861="Residential/Group Housing","RES",
IF(E861="Commercial","COM",
IF(E861="Mixed Development","MIX",
IF(E861="Plotted Development","PLT","OTH"))))
&amp;"-"&amp;TEXT(COUNTIFS($B$9:B861,B861,$E$9:E861,E861),"0000")</f>
        <v>SUR-RES-0211</v>
      </c>
      <c r="B861" s="322" t="s">
        <v>34</v>
      </c>
      <c r="C861" s="322" t="s">
        <v>34</v>
      </c>
      <c r="D861" s="323" t="s">
        <v>1051</v>
      </c>
      <c r="E861" s="132" t="s">
        <v>24</v>
      </c>
      <c r="F861" s="97" t="str">
        <f ca="1">IF(OR(Market_Data[[#This Row],[Start Date]]="",Market_Data[[#This Row],[Completion Date]]=""),"Needs Validation",IF(Market_Data[[#This Row],[Start Date]]&gt;TODAY(),"Planned",IF(Market_Data[[#This Row],[Completion Date]]&lt;TODAY(),"Completed","Ongoing")))</f>
        <v>Ongoing</v>
      </c>
      <c r="G861" s="324">
        <v>44614</v>
      </c>
      <c r="H861" s="324">
        <v>46387</v>
      </c>
      <c r="I861" s="325">
        <v>25300</v>
      </c>
      <c r="J86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61" s="133">
        <f>_xlfn.XLOOKUP(Market_Data[[#This Row],[Project Type]],tbl_assumptions_market[Project Category (RERA)],tbl_assumptions_market[Concrete Intensity
(m³ / sq m BUA)],"",0)</f>
        <v>0.45</v>
      </c>
      <c r="L861" s="134">
        <f>ROUND(Market_Data[[#This Row],[Estimated Built Up Area (sq m)]]*Market_Data[[#This Row],[Concrete Intensity
(m³ / sq m)]],0)</f>
        <v>11385</v>
      </c>
      <c r="M861" s="135">
        <f>_xlfn.XLOOKUP(Market_Data[[#This Row],[District]],tbl_district_price[District],tbl_district_price[Standard Price
(INR/m³)],"",0)</f>
        <v>6200</v>
      </c>
      <c r="N861" s="364">
        <f>IF(OR(Market_Data[[#This Row],[Estimated Concrete Demand (m³)]]="",Market_Data[[#This Row],[Avg Price per (₹ / m³)]]=""),"",Market_Data[[#This Row],[Estimated Concrete Demand (m³)]]*Market_Data[[#This Row],[Avg Price per (₹ / m³)]]/10000000)</f>
        <v>7.0587</v>
      </c>
      <c r="O861" s="97" t="str">
        <f>IF(Market_Data[[#This Row],[Estimated Concrete Demand (m³)]]="","",
IF(Market_Data[[#This Row],[Estimated Concrete Demand (m³)]]&lt;10000,"Small",
IF(Market_Data[[#This Row],[Estimated Concrete Demand (m³)]]&lt;25000,"Medium",
IF(Market_Data[[#This Row],[Estimated Concrete Demand (m³)]]&lt;100000,"Large","Mega"))))</f>
        <v>Medium</v>
      </c>
      <c r="P861" s="287" t="str">
        <f t="shared" si="15"/>
        <v>GujRERA</v>
      </c>
    </row>
    <row r="862" spans="1:16">
      <c r="A862" s="129" t="str">
        <f>_xlfn.XLOOKUP(B862,$S$9:$S$14,$T$9:$T$14)&amp;"-"&amp;
IF(E862="Residential/Group Housing","RES",
IF(E862="Commercial","COM",
IF(E862="Mixed Development","MIX",
IF(E862="Plotted Development","PLT","OTH"))))
&amp;"-"&amp;TEXT(COUNTIFS($B$9:B862,B862,$E$9:E862,E862),"0000")</f>
        <v>SUR-RES-0212</v>
      </c>
      <c r="B862" s="322" t="s">
        <v>34</v>
      </c>
      <c r="C862" s="322" t="s">
        <v>34</v>
      </c>
      <c r="D862" s="323" t="s">
        <v>1052</v>
      </c>
      <c r="E862" s="132" t="s">
        <v>24</v>
      </c>
      <c r="F862" s="97" t="str">
        <f ca="1">IF(OR(Market_Data[[#This Row],[Start Date]]="",Market_Data[[#This Row],[Completion Date]]=""),"Needs Validation",IF(Market_Data[[#This Row],[Start Date]]&gt;TODAY(),"Planned",IF(Market_Data[[#This Row],[Completion Date]]&lt;TODAY(),"Completed","Ongoing")))</f>
        <v>Completed</v>
      </c>
      <c r="G862" s="324">
        <v>43362</v>
      </c>
      <c r="H862" s="324">
        <v>45473</v>
      </c>
      <c r="I862" s="325">
        <v>14400</v>
      </c>
      <c r="J86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62" s="133">
        <f>_xlfn.XLOOKUP(Market_Data[[#This Row],[Project Type]],tbl_assumptions_market[Project Category (RERA)],tbl_assumptions_market[Concrete Intensity
(m³ / sq m BUA)],"",0)</f>
        <v>0.45</v>
      </c>
      <c r="L862" s="134">
        <f>ROUND(Market_Data[[#This Row],[Estimated Built Up Area (sq m)]]*Market_Data[[#This Row],[Concrete Intensity
(m³ / sq m)]],0)</f>
        <v>6480</v>
      </c>
      <c r="M862" s="135">
        <f>_xlfn.XLOOKUP(Market_Data[[#This Row],[District]],tbl_district_price[District],tbl_district_price[Standard Price
(INR/m³)],"",0)</f>
        <v>6200</v>
      </c>
      <c r="N862" s="364">
        <f>IF(OR(Market_Data[[#This Row],[Estimated Concrete Demand (m³)]]="",Market_Data[[#This Row],[Avg Price per (₹ / m³)]]=""),"",Market_Data[[#This Row],[Estimated Concrete Demand (m³)]]*Market_Data[[#This Row],[Avg Price per (₹ / m³)]]/10000000)</f>
        <v>4.0175999999999998</v>
      </c>
      <c r="O862" s="97" t="str">
        <f>IF(Market_Data[[#This Row],[Estimated Concrete Demand (m³)]]="","",
IF(Market_Data[[#This Row],[Estimated Concrete Demand (m³)]]&lt;10000,"Small",
IF(Market_Data[[#This Row],[Estimated Concrete Demand (m³)]]&lt;25000,"Medium",
IF(Market_Data[[#This Row],[Estimated Concrete Demand (m³)]]&lt;100000,"Large","Mega"))))</f>
        <v>Small</v>
      </c>
      <c r="P862" s="287" t="str">
        <f t="shared" si="15"/>
        <v>GujRERA</v>
      </c>
    </row>
    <row r="863" spans="1:16">
      <c r="A863" s="129" t="str">
        <f>_xlfn.XLOOKUP(B863,$S$9:$S$14,$T$9:$T$14)&amp;"-"&amp;
IF(E863="Residential/Group Housing","RES",
IF(E863="Commercial","COM",
IF(E863="Mixed Development","MIX",
IF(E863="Plotted Development","PLT","OTH"))))
&amp;"-"&amp;TEXT(COUNTIFS($B$9:B863,B863,$E$9:E863,E863),"0000")</f>
        <v>SUR-RES-0213</v>
      </c>
      <c r="B863" s="322" t="s">
        <v>34</v>
      </c>
      <c r="C863" s="322" t="s">
        <v>34</v>
      </c>
      <c r="D863" s="323" t="s">
        <v>1053</v>
      </c>
      <c r="E863" s="132" t="s">
        <v>24</v>
      </c>
      <c r="F863" s="97" t="str">
        <f ca="1">IF(OR(Market_Data[[#This Row],[Start Date]]="",Market_Data[[#This Row],[Completion Date]]=""),"Needs Validation",IF(Market_Data[[#This Row],[Start Date]]&gt;TODAY(),"Planned",IF(Market_Data[[#This Row],[Completion Date]]&lt;TODAY(),"Completed","Ongoing")))</f>
        <v>Completed</v>
      </c>
      <c r="G863" s="324">
        <v>44756</v>
      </c>
      <c r="H863" s="324">
        <v>45747</v>
      </c>
      <c r="I863" s="325">
        <v>54000</v>
      </c>
      <c r="J86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63" s="133">
        <f>_xlfn.XLOOKUP(Market_Data[[#This Row],[Project Type]],tbl_assumptions_market[Project Category (RERA)],tbl_assumptions_market[Concrete Intensity
(m³ / sq m BUA)],"",0)</f>
        <v>0.45</v>
      </c>
      <c r="L863" s="134">
        <f>ROUND(Market_Data[[#This Row],[Estimated Built Up Area (sq m)]]*Market_Data[[#This Row],[Concrete Intensity
(m³ / sq m)]],0)</f>
        <v>24300</v>
      </c>
      <c r="M863" s="135">
        <f>_xlfn.XLOOKUP(Market_Data[[#This Row],[District]],tbl_district_price[District],tbl_district_price[Standard Price
(INR/m³)],"",0)</f>
        <v>6200</v>
      </c>
      <c r="N863" s="364">
        <f>IF(OR(Market_Data[[#This Row],[Estimated Concrete Demand (m³)]]="",Market_Data[[#This Row],[Avg Price per (₹ / m³)]]=""),"",Market_Data[[#This Row],[Estimated Concrete Demand (m³)]]*Market_Data[[#This Row],[Avg Price per (₹ / m³)]]/10000000)</f>
        <v>15.066000000000001</v>
      </c>
      <c r="O863" s="97" t="str">
        <f>IF(Market_Data[[#This Row],[Estimated Concrete Demand (m³)]]="","",
IF(Market_Data[[#This Row],[Estimated Concrete Demand (m³)]]&lt;10000,"Small",
IF(Market_Data[[#This Row],[Estimated Concrete Demand (m³)]]&lt;25000,"Medium",
IF(Market_Data[[#This Row],[Estimated Concrete Demand (m³)]]&lt;100000,"Large","Mega"))))</f>
        <v>Medium</v>
      </c>
      <c r="P863" s="287" t="str">
        <f t="shared" si="15"/>
        <v>GujRERA</v>
      </c>
    </row>
    <row r="864" spans="1:16">
      <c r="A864" s="129" t="str">
        <f>_xlfn.XLOOKUP(B864,$S$9:$S$14,$T$9:$T$14)&amp;"-"&amp;
IF(E864="Residential/Group Housing","RES",
IF(E864="Commercial","COM",
IF(E864="Mixed Development","MIX",
IF(E864="Plotted Development","PLT","OTH"))))
&amp;"-"&amp;TEXT(COUNTIFS($B$9:B864,B864,$E$9:E864,E864),"0000")</f>
        <v>SUR-COM-0106</v>
      </c>
      <c r="B864" s="322" t="s">
        <v>34</v>
      </c>
      <c r="C864" s="322" t="s">
        <v>34</v>
      </c>
      <c r="D864" s="323" t="s">
        <v>1054</v>
      </c>
      <c r="E864" s="132" t="s">
        <v>23</v>
      </c>
      <c r="F864" s="97" t="str">
        <f ca="1">IF(OR(Market_Data[[#This Row],[Start Date]]="",Market_Data[[#This Row],[Completion Date]]=""),"Needs Validation",IF(Market_Data[[#This Row],[Start Date]]&gt;TODAY(),"Planned",IF(Market_Data[[#This Row],[Completion Date]]&lt;TODAY(),"Completed","Ongoing")))</f>
        <v>Completed</v>
      </c>
      <c r="G864" s="324">
        <v>41659</v>
      </c>
      <c r="H864" s="324">
        <v>43830</v>
      </c>
      <c r="I864" s="325">
        <v>22900</v>
      </c>
      <c r="J86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864" s="133">
        <f>_xlfn.XLOOKUP(Market_Data[[#This Row],[Project Type]],tbl_assumptions_market[Project Category (RERA)],tbl_assumptions_market[Concrete Intensity
(m³ / sq m BUA)],"",0)</f>
        <v>0.5</v>
      </c>
      <c r="L864" s="134">
        <f>ROUND(Market_Data[[#This Row],[Estimated Built Up Area (sq m)]]*Market_Data[[#This Row],[Concrete Intensity
(m³ / sq m)]],0)</f>
        <v>11450</v>
      </c>
      <c r="M864" s="135">
        <f>_xlfn.XLOOKUP(Market_Data[[#This Row],[District]],tbl_district_price[District],tbl_district_price[Standard Price
(INR/m³)],"",0)</f>
        <v>6200</v>
      </c>
      <c r="N864" s="364">
        <f>IF(OR(Market_Data[[#This Row],[Estimated Concrete Demand (m³)]]="",Market_Data[[#This Row],[Avg Price per (₹ / m³)]]=""),"",Market_Data[[#This Row],[Estimated Concrete Demand (m³)]]*Market_Data[[#This Row],[Avg Price per (₹ / m³)]]/10000000)</f>
        <v>7.0990000000000002</v>
      </c>
      <c r="O864" s="97" t="str">
        <f>IF(Market_Data[[#This Row],[Estimated Concrete Demand (m³)]]="","",
IF(Market_Data[[#This Row],[Estimated Concrete Demand (m³)]]&lt;10000,"Small",
IF(Market_Data[[#This Row],[Estimated Concrete Demand (m³)]]&lt;25000,"Medium",
IF(Market_Data[[#This Row],[Estimated Concrete Demand (m³)]]&lt;100000,"Large","Mega"))))</f>
        <v>Medium</v>
      </c>
      <c r="P864" s="287" t="str">
        <f t="shared" si="15"/>
        <v>GujRERA</v>
      </c>
    </row>
    <row r="865" spans="1:16">
      <c r="A865" s="129" t="str">
        <f>_xlfn.XLOOKUP(B865,$S$9:$S$14,$T$9:$T$14)&amp;"-"&amp;
IF(E865="Residential/Group Housing","RES",
IF(E865="Commercial","COM",
IF(E865="Mixed Development","MIX",
IF(E865="Plotted Development","PLT","OTH"))))
&amp;"-"&amp;TEXT(COUNTIFS($B$9:B865,B865,$E$9:E865,E865),"0000")</f>
        <v>SUR-COM-0107</v>
      </c>
      <c r="B865" s="322" t="s">
        <v>34</v>
      </c>
      <c r="C865" s="322" t="s">
        <v>34</v>
      </c>
      <c r="D865" s="323" t="s">
        <v>1055</v>
      </c>
      <c r="E865" s="132" t="s">
        <v>23</v>
      </c>
      <c r="F865" s="97" t="str">
        <f ca="1">IF(OR(Market_Data[[#This Row],[Start Date]]="",Market_Data[[#This Row],[Completion Date]]=""),"Needs Validation",IF(Market_Data[[#This Row],[Start Date]]&gt;TODAY(),"Planned",IF(Market_Data[[#This Row],[Completion Date]]&lt;TODAY(),"Completed","Ongoing")))</f>
        <v>Ongoing</v>
      </c>
      <c r="G865" s="324">
        <v>44932</v>
      </c>
      <c r="H865" s="324">
        <v>46752</v>
      </c>
      <c r="I865" s="325">
        <v>45400</v>
      </c>
      <c r="J86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865" s="133">
        <f>_xlfn.XLOOKUP(Market_Data[[#This Row],[Project Type]],tbl_assumptions_market[Project Category (RERA)],tbl_assumptions_market[Concrete Intensity
(m³ / sq m BUA)],"",0)</f>
        <v>0.5</v>
      </c>
      <c r="L865" s="134">
        <f>ROUND(Market_Data[[#This Row],[Estimated Built Up Area (sq m)]]*Market_Data[[#This Row],[Concrete Intensity
(m³ / sq m)]],0)</f>
        <v>22700</v>
      </c>
      <c r="M865" s="135">
        <f>_xlfn.XLOOKUP(Market_Data[[#This Row],[District]],tbl_district_price[District],tbl_district_price[Standard Price
(INR/m³)],"",0)</f>
        <v>6200</v>
      </c>
      <c r="N865" s="364">
        <f>IF(OR(Market_Data[[#This Row],[Estimated Concrete Demand (m³)]]="",Market_Data[[#This Row],[Avg Price per (₹ / m³)]]=""),"",Market_Data[[#This Row],[Estimated Concrete Demand (m³)]]*Market_Data[[#This Row],[Avg Price per (₹ / m³)]]/10000000)</f>
        <v>14.074</v>
      </c>
      <c r="O865" s="97" t="str">
        <f>IF(Market_Data[[#This Row],[Estimated Concrete Demand (m³)]]="","",
IF(Market_Data[[#This Row],[Estimated Concrete Demand (m³)]]&lt;10000,"Small",
IF(Market_Data[[#This Row],[Estimated Concrete Demand (m³)]]&lt;25000,"Medium",
IF(Market_Data[[#This Row],[Estimated Concrete Demand (m³)]]&lt;100000,"Large","Mega"))))</f>
        <v>Medium</v>
      </c>
      <c r="P865" s="287" t="str">
        <f t="shared" si="15"/>
        <v>GujRERA</v>
      </c>
    </row>
    <row r="866" spans="1:16">
      <c r="A866" s="129" t="str">
        <f>_xlfn.XLOOKUP(B866,$S$9:$S$14,$T$9:$T$14)&amp;"-"&amp;
IF(E866="Residential/Group Housing","RES",
IF(E866="Commercial","COM",
IF(E866="Mixed Development","MIX",
IF(E866="Plotted Development","PLT","OTH"))))
&amp;"-"&amp;TEXT(COUNTIFS($B$9:B866,B866,$E$9:E866,E866),"0000")</f>
        <v>SUR-PLT-0129</v>
      </c>
      <c r="B866" s="322" t="s">
        <v>34</v>
      </c>
      <c r="C866" s="322" t="s">
        <v>34</v>
      </c>
      <c r="D866" s="323" t="s">
        <v>1056</v>
      </c>
      <c r="E866" s="132" t="s">
        <v>26</v>
      </c>
      <c r="F866" s="97" t="str">
        <f ca="1">IF(OR(Market_Data[[#This Row],[Start Date]]="",Market_Data[[#This Row],[Completion Date]]=""),"Needs Validation",IF(Market_Data[[#This Row],[Start Date]]&gt;TODAY(),"Planned",IF(Market_Data[[#This Row],[Completion Date]]&lt;TODAY(),"Completed","Ongoing")))</f>
        <v>Ongoing</v>
      </c>
      <c r="G866" s="324">
        <v>45944</v>
      </c>
      <c r="H866" s="324">
        <v>46752</v>
      </c>
      <c r="I866" s="325">
        <v>2800</v>
      </c>
      <c r="J86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66" s="133">
        <f>_xlfn.XLOOKUP(Market_Data[[#This Row],[Project Type]],tbl_assumptions_market[Project Category (RERA)],tbl_assumptions_market[Concrete Intensity
(m³ / sq m BUA)],"",0)</f>
        <v>0.18</v>
      </c>
      <c r="L866" s="134">
        <f>ROUND(Market_Data[[#This Row],[Estimated Built Up Area (sq m)]]*Market_Data[[#This Row],[Concrete Intensity
(m³ / sq m)]],0)</f>
        <v>504</v>
      </c>
      <c r="M866" s="135">
        <f>_xlfn.XLOOKUP(Market_Data[[#This Row],[District]],tbl_district_price[District],tbl_district_price[Standard Price
(INR/m³)],"",0)</f>
        <v>6200</v>
      </c>
      <c r="N866" s="364">
        <f>IF(OR(Market_Data[[#This Row],[Estimated Concrete Demand (m³)]]="",Market_Data[[#This Row],[Avg Price per (₹ / m³)]]=""),"",Market_Data[[#This Row],[Estimated Concrete Demand (m³)]]*Market_Data[[#This Row],[Avg Price per (₹ / m³)]]/10000000)</f>
        <v>0.31247999999999998</v>
      </c>
      <c r="O866" s="97" t="str">
        <f>IF(Market_Data[[#This Row],[Estimated Concrete Demand (m³)]]="","",
IF(Market_Data[[#This Row],[Estimated Concrete Demand (m³)]]&lt;10000,"Small",
IF(Market_Data[[#This Row],[Estimated Concrete Demand (m³)]]&lt;25000,"Medium",
IF(Market_Data[[#This Row],[Estimated Concrete Demand (m³)]]&lt;100000,"Large","Mega"))))</f>
        <v>Small</v>
      </c>
      <c r="P866" s="287" t="str">
        <f t="shared" si="15"/>
        <v>GujRERA</v>
      </c>
    </row>
    <row r="867" spans="1:16">
      <c r="A867" s="129" t="str">
        <f>_xlfn.XLOOKUP(B867,$S$9:$S$14,$T$9:$T$14)&amp;"-"&amp;
IF(E867="Residential/Group Housing","RES",
IF(E867="Commercial","COM",
IF(E867="Mixed Development","MIX",
IF(E867="Plotted Development","PLT","OTH"))))
&amp;"-"&amp;TEXT(COUNTIFS($B$9:B867,B867,$E$9:E867,E867),"0000")</f>
        <v>SUR-MIX-0100</v>
      </c>
      <c r="B867" s="322" t="s">
        <v>34</v>
      </c>
      <c r="C867" s="322" t="s">
        <v>34</v>
      </c>
      <c r="D867" s="323" t="s">
        <v>1057</v>
      </c>
      <c r="E867" s="132" t="s">
        <v>25</v>
      </c>
      <c r="F867" s="97" t="str">
        <f ca="1">IF(OR(Market_Data[[#This Row],[Start Date]]="",Market_Data[[#This Row],[Completion Date]]=""),"Needs Validation",IF(Market_Data[[#This Row],[Start Date]]&gt;TODAY(),"Planned",IF(Market_Data[[#This Row],[Completion Date]]&lt;TODAY(),"Completed","Ongoing")))</f>
        <v>Completed</v>
      </c>
      <c r="G867" s="324">
        <v>41685</v>
      </c>
      <c r="H867" s="324">
        <v>43738</v>
      </c>
      <c r="I867" s="325">
        <v>3400</v>
      </c>
      <c r="J86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867" s="133">
        <f>_xlfn.XLOOKUP(Market_Data[[#This Row],[Project Type]],tbl_assumptions_market[Project Category (RERA)],tbl_assumptions_market[Concrete Intensity
(m³ / sq m BUA)],"",0)</f>
        <v>0.42</v>
      </c>
      <c r="L867" s="134">
        <f>ROUND(Market_Data[[#This Row],[Estimated Built Up Area (sq m)]]*Market_Data[[#This Row],[Concrete Intensity
(m³ / sq m)]],0)</f>
        <v>1428</v>
      </c>
      <c r="M867" s="135">
        <f>_xlfn.XLOOKUP(Market_Data[[#This Row],[District]],tbl_district_price[District],tbl_district_price[Standard Price
(INR/m³)],"",0)</f>
        <v>6200</v>
      </c>
      <c r="N867" s="364">
        <f>IF(OR(Market_Data[[#This Row],[Estimated Concrete Demand (m³)]]="",Market_Data[[#This Row],[Avg Price per (₹ / m³)]]=""),"",Market_Data[[#This Row],[Estimated Concrete Demand (m³)]]*Market_Data[[#This Row],[Avg Price per (₹ / m³)]]/10000000)</f>
        <v>0.88536000000000004</v>
      </c>
      <c r="O867" s="97" t="str">
        <f>IF(Market_Data[[#This Row],[Estimated Concrete Demand (m³)]]="","",
IF(Market_Data[[#This Row],[Estimated Concrete Demand (m³)]]&lt;10000,"Small",
IF(Market_Data[[#This Row],[Estimated Concrete Demand (m³)]]&lt;25000,"Medium",
IF(Market_Data[[#This Row],[Estimated Concrete Demand (m³)]]&lt;100000,"Large","Mega"))))</f>
        <v>Small</v>
      </c>
      <c r="P867" s="287" t="str">
        <f t="shared" si="15"/>
        <v>GujRERA</v>
      </c>
    </row>
    <row r="868" spans="1:16">
      <c r="A868" s="129" t="str">
        <f>_xlfn.XLOOKUP(B868,$S$9:$S$14,$T$9:$T$14)&amp;"-"&amp;
IF(E868="Residential/Group Housing","RES",
IF(E868="Commercial","COM",
IF(E868="Mixed Development","MIX",
IF(E868="Plotted Development","PLT","OTH"))))
&amp;"-"&amp;TEXT(COUNTIFS($B$9:B868,B868,$E$9:E868,E868),"0000")</f>
        <v>SUR-PLT-0130</v>
      </c>
      <c r="B868" s="322" t="s">
        <v>34</v>
      </c>
      <c r="C868" s="322" t="s">
        <v>34</v>
      </c>
      <c r="D868" s="323" t="s">
        <v>1058</v>
      </c>
      <c r="E868" s="132" t="s">
        <v>26</v>
      </c>
      <c r="F868" s="97" t="str">
        <f ca="1">IF(OR(Market_Data[[#This Row],[Start Date]]="",Market_Data[[#This Row],[Completion Date]]=""),"Needs Validation",IF(Market_Data[[#This Row],[Start Date]]&gt;TODAY(),"Planned",IF(Market_Data[[#This Row],[Completion Date]]&lt;TODAY(),"Completed","Ongoing")))</f>
        <v>Ongoing</v>
      </c>
      <c r="G868" s="324">
        <v>44677</v>
      </c>
      <c r="H868" s="324">
        <v>46387</v>
      </c>
      <c r="I868" s="325">
        <v>5000</v>
      </c>
      <c r="J86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68" s="133">
        <f>_xlfn.XLOOKUP(Market_Data[[#This Row],[Project Type]],tbl_assumptions_market[Project Category (RERA)],tbl_assumptions_market[Concrete Intensity
(m³ / sq m BUA)],"",0)</f>
        <v>0.18</v>
      </c>
      <c r="L868" s="134">
        <f>ROUND(Market_Data[[#This Row],[Estimated Built Up Area (sq m)]]*Market_Data[[#This Row],[Concrete Intensity
(m³ / sq m)]],0)</f>
        <v>900</v>
      </c>
      <c r="M868" s="135">
        <f>_xlfn.XLOOKUP(Market_Data[[#This Row],[District]],tbl_district_price[District],tbl_district_price[Standard Price
(INR/m³)],"",0)</f>
        <v>6200</v>
      </c>
      <c r="N868" s="364">
        <f>IF(OR(Market_Data[[#This Row],[Estimated Concrete Demand (m³)]]="",Market_Data[[#This Row],[Avg Price per (₹ / m³)]]=""),"",Market_Data[[#This Row],[Estimated Concrete Demand (m³)]]*Market_Data[[#This Row],[Avg Price per (₹ / m³)]]/10000000)</f>
        <v>0.55800000000000005</v>
      </c>
      <c r="O868" s="97" t="str">
        <f>IF(Market_Data[[#This Row],[Estimated Concrete Demand (m³)]]="","",
IF(Market_Data[[#This Row],[Estimated Concrete Demand (m³)]]&lt;10000,"Small",
IF(Market_Data[[#This Row],[Estimated Concrete Demand (m³)]]&lt;25000,"Medium",
IF(Market_Data[[#This Row],[Estimated Concrete Demand (m³)]]&lt;100000,"Large","Mega"))))</f>
        <v>Small</v>
      </c>
      <c r="P868" s="287" t="str">
        <f t="shared" si="15"/>
        <v>GujRERA</v>
      </c>
    </row>
    <row r="869" spans="1:16">
      <c r="A869" s="129" t="str">
        <f>_xlfn.XLOOKUP(B869,$S$9:$S$14,$T$9:$T$14)&amp;"-"&amp;
IF(E869="Residential/Group Housing","RES",
IF(E869="Commercial","COM",
IF(E869="Mixed Development","MIX",
IF(E869="Plotted Development","PLT","OTH"))))
&amp;"-"&amp;TEXT(COUNTIFS($B$9:B869,B869,$E$9:E869,E869),"0000")</f>
        <v>SUR-RES-0214</v>
      </c>
      <c r="B869" s="322" t="s">
        <v>34</v>
      </c>
      <c r="C869" s="322" t="s">
        <v>34</v>
      </c>
      <c r="D869" s="323" t="s">
        <v>1059</v>
      </c>
      <c r="E869" s="132" t="s">
        <v>24</v>
      </c>
      <c r="F869" s="97" t="str">
        <f ca="1">IF(OR(Market_Data[[#This Row],[Start Date]]="",Market_Data[[#This Row],[Completion Date]]=""),"Needs Validation",IF(Market_Data[[#This Row],[Start Date]]&gt;TODAY(),"Planned",IF(Market_Data[[#This Row],[Completion Date]]&lt;TODAY(),"Completed","Ongoing")))</f>
        <v>Completed</v>
      </c>
      <c r="G869" s="324">
        <v>42268</v>
      </c>
      <c r="H869" s="324">
        <v>45077</v>
      </c>
      <c r="I869" s="325">
        <v>17800</v>
      </c>
      <c r="J86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69" s="133">
        <f>_xlfn.XLOOKUP(Market_Data[[#This Row],[Project Type]],tbl_assumptions_market[Project Category (RERA)],tbl_assumptions_market[Concrete Intensity
(m³ / sq m BUA)],"",0)</f>
        <v>0.45</v>
      </c>
      <c r="L869" s="134">
        <f>ROUND(Market_Data[[#This Row],[Estimated Built Up Area (sq m)]]*Market_Data[[#This Row],[Concrete Intensity
(m³ / sq m)]],0)</f>
        <v>8010</v>
      </c>
      <c r="M869" s="135">
        <f>_xlfn.XLOOKUP(Market_Data[[#This Row],[District]],tbl_district_price[District],tbl_district_price[Standard Price
(INR/m³)],"",0)</f>
        <v>6200</v>
      </c>
      <c r="N869" s="364">
        <f>IF(OR(Market_Data[[#This Row],[Estimated Concrete Demand (m³)]]="",Market_Data[[#This Row],[Avg Price per (₹ / m³)]]=""),"",Market_Data[[#This Row],[Estimated Concrete Demand (m³)]]*Market_Data[[#This Row],[Avg Price per (₹ / m³)]]/10000000)</f>
        <v>4.9661999999999997</v>
      </c>
      <c r="O869" s="97" t="str">
        <f>IF(Market_Data[[#This Row],[Estimated Concrete Demand (m³)]]="","",
IF(Market_Data[[#This Row],[Estimated Concrete Demand (m³)]]&lt;10000,"Small",
IF(Market_Data[[#This Row],[Estimated Concrete Demand (m³)]]&lt;25000,"Medium",
IF(Market_Data[[#This Row],[Estimated Concrete Demand (m³)]]&lt;100000,"Large","Mega"))))</f>
        <v>Small</v>
      </c>
      <c r="P869" s="287" t="str">
        <f t="shared" si="15"/>
        <v>GujRERA</v>
      </c>
    </row>
    <row r="870" spans="1:16">
      <c r="A870" s="129" t="str">
        <f>_xlfn.XLOOKUP(B870,$S$9:$S$14,$T$9:$T$14)&amp;"-"&amp;
IF(E870="Residential/Group Housing","RES",
IF(E870="Commercial","COM",
IF(E870="Mixed Development","MIX",
IF(E870="Plotted Development","PLT","OTH"))))
&amp;"-"&amp;TEXT(COUNTIFS($B$9:B870,B870,$E$9:E870,E870),"0000")</f>
        <v>SUR-PLT-0131</v>
      </c>
      <c r="B870" s="322" t="s">
        <v>34</v>
      </c>
      <c r="C870" s="322" t="s">
        <v>34</v>
      </c>
      <c r="D870" s="323" t="s">
        <v>1060</v>
      </c>
      <c r="E870" s="132" t="s">
        <v>26</v>
      </c>
      <c r="F870" s="97" t="str">
        <f ca="1">IF(OR(Market_Data[[#This Row],[Start Date]]="",Market_Data[[#This Row],[Completion Date]]=""),"Needs Validation",IF(Market_Data[[#This Row],[Start Date]]&gt;TODAY(),"Planned",IF(Market_Data[[#This Row],[Completion Date]]&lt;TODAY(),"Completed","Ongoing")))</f>
        <v>Completed</v>
      </c>
      <c r="G870" s="324">
        <v>44539</v>
      </c>
      <c r="H870" s="324">
        <v>46112</v>
      </c>
      <c r="I870" s="325">
        <v>20300</v>
      </c>
      <c r="J87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70" s="133">
        <f>_xlfn.XLOOKUP(Market_Data[[#This Row],[Project Type]],tbl_assumptions_market[Project Category (RERA)],tbl_assumptions_market[Concrete Intensity
(m³ / sq m BUA)],"",0)</f>
        <v>0.18</v>
      </c>
      <c r="L870" s="134">
        <f>ROUND(Market_Data[[#This Row],[Estimated Built Up Area (sq m)]]*Market_Data[[#This Row],[Concrete Intensity
(m³ / sq m)]],0)</f>
        <v>3654</v>
      </c>
      <c r="M870" s="135">
        <f>_xlfn.XLOOKUP(Market_Data[[#This Row],[District]],tbl_district_price[District],tbl_district_price[Standard Price
(INR/m³)],"",0)</f>
        <v>6200</v>
      </c>
      <c r="N870" s="364">
        <f>IF(OR(Market_Data[[#This Row],[Estimated Concrete Demand (m³)]]="",Market_Data[[#This Row],[Avg Price per (₹ / m³)]]=""),"",Market_Data[[#This Row],[Estimated Concrete Demand (m³)]]*Market_Data[[#This Row],[Avg Price per (₹ / m³)]]/10000000)</f>
        <v>2.2654800000000002</v>
      </c>
      <c r="O870" s="97" t="str">
        <f>IF(Market_Data[[#This Row],[Estimated Concrete Demand (m³)]]="","",
IF(Market_Data[[#This Row],[Estimated Concrete Demand (m³)]]&lt;10000,"Small",
IF(Market_Data[[#This Row],[Estimated Concrete Demand (m³)]]&lt;25000,"Medium",
IF(Market_Data[[#This Row],[Estimated Concrete Demand (m³)]]&lt;100000,"Large","Mega"))))</f>
        <v>Small</v>
      </c>
      <c r="P870" s="287" t="str">
        <f t="shared" si="15"/>
        <v>GujRERA</v>
      </c>
    </row>
    <row r="871" spans="1:16">
      <c r="A871" s="129" t="str">
        <f>_xlfn.XLOOKUP(B871,$S$9:$S$14,$T$9:$T$14)&amp;"-"&amp;
IF(E871="Residential/Group Housing","RES",
IF(E871="Commercial","COM",
IF(E871="Mixed Development","MIX",
IF(E871="Plotted Development","PLT","OTH"))))
&amp;"-"&amp;TEXT(COUNTIFS($B$9:B871,B871,$E$9:E871,E871),"0000")</f>
        <v>SUR-PLT-0132</v>
      </c>
      <c r="B871" s="322" t="s">
        <v>34</v>
      </c>
      <c r="C871" s="322" t="s">
        <v>34</v>
      </c>
      <c r="D871" s="323" t="s">
        <v>1061</v>
      </c>
      <c r="E871" s="132" t="s">
        <v>26</v>
      </c>
      <c r="F871" s="97" t="str">
        <f ca="1">IF(OR(Market_Data[[#This Row],[Start Date]]="",Market_Data[[#This Row],[Completion Date]]=""),"Needs Validation",IF(Market_Data[[#This Row],[Start Date]]&gt;TODAY(),"Planned",IF(Market_Data[[#This Row],[Completion Date]]&lt;TODAY(),"Completed","Ongoing")))</f>
        <v>Completed</v>
      </c>
      <c r="G871" s="324">
        <v>44630</v>
      </c>
      <c r="H871" s="324">
        <v>45473</v>
      </c>
      <c r="I871" s="325">
        <v>20200</v>
      </c>
      <c r="J87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71" s="133">
        <f>_xlfn.XLOOKUP(Market_Data[[#This Row],[Project Type]],tbl_assumptions_market[Project Category (RERA)],tbl_assumptions_market[Concrete Intensity
(m³ / sq m BUA)],"",0)</f>
        <v>0.18</v>
      </c>
      <c r="L871" s="134">
        <f>ROUND(Market_Data[[#This Row],[Estimated Built Up Area (sq m)]]*Market_Data[[#This Row],[Concrete Intensity
(m³ / sq m)]],0)</f>
        <v>3636</v>
      </c>
      <c r="M871" s="135">
        <f>_xlfn.XLOOKUP(Market_Data[[#This Row],[District]],tbl_district_price[District],tbl_district_price[Standard Price
(INR/m³)],"",0)</f>
        <v>6200</v>
      </c>
      <c r="N871" s="364">
        <f>IF(OR(Market_Data[[#This Row],[Estimated Concrete Demand (m³)]]="",Market_Data[[#This Row],[Avg Price per (₹ / m³)]]=""),"",Market_Data[[#This Row],[Estimated Concrete Demand (m³)]]*Market_Data[[#This Row],[Avg Price per (₹ / m³)]]/10000000)</f>
        <v>2.2543199999999999</v>
      </c>
      <c r="O871" s="97" t="str">
        <f>IF(Market_Data[[#This Row],[Estimated Concrete Demand (m³)]]="","",
IF(Market_Data[[#This Row],[Estimated Concrete Demand (m³)]]&lt;10000,"Small",
IF(Market_Data[[#This Row],[Estimated Concrete Demand (m³)]]&lt;25000,"Medium",
IF(Market_Data[[#This Row],[Estimated Concrete Demand (m³)]]&lt;100000,"Large","Mega"))))</f>
        <v>Small</v>
      </c>
      <c r="P871" s="287" t="str">
        <f t="shared" si="15"/>
        <v>GujRERA</v>
      </c>
    </row>
    <row r="872" spans="1:16">
      <c r="A872" s="129" t="str">
        <f>_xlfn.XLOOKUP(B872,$S$9:$S$14,$T$9:$T$14)&amp;"-"&amp;
IF(E872="Residential/Group Housing","RES",
IF(E872="Commercial","COM",
IF(E872="Mixed Development","MIX",
IF(E872="Plotted Development","PLT","OTH"))))
&amp;"-"&amp;TEXT(COUNTIFS($B$9:B872,B872,$E$9:E872,E872),"0000")</f>
        <v>SUR-PLT-0133</v>
      </c>
      <c r="B872" s="322" t="s">
        <v>34</v>
      </c>
      <c r="C872" s="322" t="s">
        <v>34</v>
      </c>
      <c r="D872" s="323" t="s">
        <v>1062</v>
      </c>
      <c r="E872" s="132" t="s">
        <v>26</v>
      </c>
      <c r="F872" s="97" t="str">
        <f ca="1">IF(OR(Market_Data[[#This Row],[Start Date]]="",Market_Data[[#This Row],[Completion Date]]=""),"Needs Validation",IF(Market_Data[[#This Row],[Start Date]]&gt;TODAY(),"Planned",IF(Market_Data[[#This Row],[Completion Date]]&lt;TODAY(),"Completed","Ongoing")))</f>
        <v>Ongoing</v>
      </c>
      <c r="G872" s="324">
        <v>45892</v>
      </c>
      <c r="H872" s="324">
        <v>47118</v>
      </c>
      <c r="I872" s="325">
        <v>40400</v>
      </c>
      <c r="J87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872" s="133">
        <f>_xlfn.XLOOKUP(Market_Data[[#This Row],[Project Type]],tbl_assumptions_market[Project Category (RERA)],tbl_assumptions_market[Concrete Intensity
(m³ / sq m BUA)],"",0)</f>
        <v>0.18</v>
      </c>
      <c r="L872" s="134">
        <f>ROUND(Market_Data[[#This Row],[Estimated Built Up Area (sq m)]]*Market_Data[[#This Row],[Concrete Intensity
(m³ / sq m)]],0)</f>
        <v>7272</v>
      </c>
      <c r="M872" s="135">
        <f>_xlfn.XLOOKUP(Market_Data[[#This Row],[District]],tbl_district_price[District],tbl_district_price[Standard Price
(INR/m³)],"",0)</f>
        <v>6200</v>
      </c>
      <c r="N872" s="364">
        <f>IF(OR(Market_Data[[#This Row],[Estimated Concrete Demand (m³)]]="",Market_Data[[#This Row],[Avg Price per (₹ / m³)]]=""),"",Market_Data[[#This Row],[Estimated Concrete Demand (m³)]]*Market_Data[[#This Row],[Avg Price per (₹ / m³)]]/10000000)</f>
        <v>4.5086399999999998</v>
      </c>
      <c r="O872" s="97" t="str">
        <f>IF(Market_Data[[#This Row],[Estimated Concrete Demand (m³)]]="","",
IF(Market_Data[[#This Row],[Estimated Concrete Demand (m³)]]&lt;10000,"Small",
IF(Market_Data[[#This Row],[Estimated Concrete Demand (m³)]]&lt;25000,"Medium",
IF(Market_Data[[#This Row],[Estimated Concrete Demand (m³)]]&lt;100000,"Large","Mega"))))</f>
        <v>Small</v>
      </c>
      <c r="P872" s="287" t="str">
        <f t="shared" si="15"/>
        <v>GujRERA</v>
      </c>
    </row>
    <row r="873" spans="1:16">
      <c r="A873" s="129" t="str">
        <f>_xlfn.XLOOKUP(B873,$S$9:$S$14,$T$9:$T$14)&amp;"-"&amp;
IF(E873="Residential/Group Housing","RES",
IF(E873="Commercial","COM",
IF(E873="Mixed Development","MIX",
IF(E873="Plotted Development","PLT","OTH"))))
&amp;"-"&amp;TEXT(COUNTIFS($B$9:B873,B873,$E$9:E873,E873),"0000")</f>
        <v>SUR-PLT-0134</v>
      </c>
      <c r="B873" s="322" t="s">
        <v>34</v>
      </c>
      <c r="C873" s="322" t="s">
        <v>34</v>
      </c>
      <c r="D873" s="323" t="s">
        <v>1063</v>
      </c>
      <c r="E873" s="132" t="s">
        <v>26</v>
      </c>
      <c r="F873" s="97" t="str">
        <f ca="1">IF(OR(Market_Data[[#This Row],[Start Date]]="",Market_Data[[#This Row],[Completion Date]]=""),"Needs Validation",IF(Market_Data[[#This Row],[Start Date]]&gt;TODAY(),"Planned",IF(Market_Data[[#This Row],[Completion Date]]&lt;TODAY(),"Completed","Ongoing")))</f>
        <v>Ongoing</v>
      </c>
      <c r="G873" s="324">
        <v>45588</v>
      </c>
      <c r="H873" s="324">
        <v>46752</v>
      </c>
      <c r="I873" s="325">
        <v>6700</v>
      </c>
      <c r="J87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73" s="133">
        <f>_xlfn.XLOOKUP(Market_Data[[#This Row],[Project Type]],tbl_assumptions_market[Project Category (RERA)],tbl_assumptions_market[Concrete Intensity
(m³ / sq m BUA)],"",0)</f>
        <v>0.18</v>
      </c>
      <c r="L873" s="134">
        <f>ROUND(Market_Data[[#This Row],[Estimated Built Up Area (sq m)]]*Market_Data[[#This Row],[Concrete Intensity
(m³ / sq m)]],0)</f>
        <v>1206</v>
      </c>
      <c r="M873" s="135">
        <f>_xlfn.XLOOKUP(Market_Data[[#This Row],[District]],tbl_district_price[District],tbl_district_price[Standard Price
(INR/m³)],"",0)</f>
        <v>6200</v>
      </c>
      <c r="N873" s="364">
        <f>IF(OR(Market_Data[[#This Row],[Estimated Concrete Demand (m³)]]="",Market_Data[[#This Row],[Avg Price per (₹ / m³)]]=""),"",Market_Data[[#This Row],[Estimated Concrete Demand (m³)]]*Market_Data[[#This Row],[Avg Price per (₹ / m³)]]/10000000)</f>
        <v>0.74772000000000005</v>
      </c>
      <c r="O873" s="97" t="str">
        <f>IF(Market_Data[[#This Row],[Estimated Concrete Demand (m³)]]="","",
IF(Market_Data[[#This Row],[Estimated Concrete Demand (m³)]]&lt;10000,"Small",
IF(Market_Data[[#This Row],[Estimated Concrete Demand (m³)]]&lt;25000,"Medium",
IF(Market_Data[[#This Row],[Estimated Concrete Demand (m³)]]&lt;100000,"Large","Mega"))))</f>
        <v>Small</v>
      </c>
      <c r="P873" s="287" t="str">
        <f t="shared" si="15"/>
        <v>GujRERA</v>
      </c>
    </row>
    <row r="874" spans="1:16">
      <c r="A874" s="129" t="str">
        <f>_xlfn.XLOOKUP(B874,$S$9:$S$14,$T$9:$T$14)&amp;"-"&amp;
IF(E874="Residential/Group Housing","RES",
IF(E874="Commercial","COM",
IF(E874="Mixed Development","MIX",
IF(E874="Plotted Development","PLT","OTH"))))
&amp;"-"&amp;TEXT(COUNTIFS($B$9:B874,B874,$E$9:E874,E874),"0000")</f>
        <v>SUR-PLT-0135</v>
      </c>
      <c r="B874" s="322" t="s">
        <v>34</v>
      </c>
      <c r="C874" s="322" t="s">
        <v>34</v>
      </c>
      <c r="D874" s="323" t="s">
        <v>1064</v>
      </c>
      <c r="E874" s="132" t="s">
        <v>26</v>
      </c>
      <c r="F874" s="97" t="str">
        <f ca="1">IF(OR(Market_Data[[#This Row],[Start Date]]="",Market_Data[[#This Row],[Completion Date]]=""),"Needs Validation",IF(Market_Data[[#This Row],[Start Date]]&gt;TODAY(),"Planned",IF(Market_Data[[#This Row],[Completion Date]]&lt;TODAY(),"Completed","Ongoing")))</f>
        <v>Completed</v>
      </c>
      <c r="G874" s="324">
        <v>45170</v>
      </c>
      <c r="H874" s="324">
        <v>46203</v>
      </c>
      <c r="I874" s="325">
        <v>118600</v>
      </c>
      <c r="J87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874" s="133">
        <f>_xlfn.XLOOKUP(Market_Data[[#This Row],[Project Type]],tbl_assumptions_market[Project Category (RERA)],tbl_assumptions_market[Concrete Intensity
(m³ / sq m BUA)],"",0)</f>
        <v>0.18</v>
      </c>
      <c r="L874" s="134">
        <f>ROUND(Market_Data[[#This Row],[Estimated Built Up Area (sq m)]]*Market_Data[[#This Row],[Concrete Intensity
(m³ / sq m)]],0)</f>
        <v>21348</v>
      </c>
      <c r="M874" s="135">
        <f>_xlfn.XLOOKUP(Market_Data[[#This Row],[District]],tbl_district_price[District],tbl_district_price[Standard Price
(INR/m³)],"",0)</f>
        <v>6200</v>
      </c>
      <c r="N874" s="364">
        <f>IF(OR(Market_Data[[#This Row],[Estimated Concrete Demand (m³)]]="",Market_Data[[#This Row],[Avg Price per (₹ / m³)]]=""),"",Market_Data[[#This Row],[Estimated Concrete Demand (m³)]]*Market_Data[[#This Row],[Avg Price per (₹ / m³)]]/10000000)</f>
        <v>13.235760000000001</v>
      </c>
      <c r="O874" s="97" t="str">
        <f>IF(Market_Data[[#This Row],[Estimated Concrete Demand (m³)]]="","",
IF(Market_Data[[#This Row],[Estimated Concrete Demand (m³)]]&lt;10000,"Small",
IF(Market_Data[[#This Row],[Estimated Concrete Demand (m³)]]&lt;25000,"Medium",
IF(Market_Data[[#This Row],[Estimated Concrete Demand (m³)]]&lt;100000,"Large","Mega"))))</f>
        <v>Medium</v>
      </c>
      <c r="P874" s="287" t="str">
        <f t="shared" si="15"/>
        <v>GujRERA</v>
      </c>
    </row>
    <row r="875" spans="1:16">
      <c r="A875" s="129" t="str">
        <f>_xlfn.XLOOKUP(B875,$S$9:$S$14,$T$9:$T$14)&amp;"-"&amp;
IF(E875="Residential/Group Housing","RES",
IF(E875="Commercial","COM",
IF(E875="Mixed Development","MIX",
IF(E875="Plotted Development","PLT","OTH"))))
&amp;"-"&amp;TEXT(COUNTIFS($B$9:B875,B875,$E$9:E875,E875),"0000")</f>
        <v>SUR-PLT-0136</v>
      </c>
      <c r="B875" s="322" t="s">
        <v>34</v>
      </c>
      <c r="C875" s="322" t="s">
        <v>34</v>
      </c>
      <c r="D875" s="323" t="s">
        <v>1065</v>
      </c>
      <c r="E875" s="132" t="s">
        <v>26</v>
      </c>
      <c r="F875" s="97" t="str">
        <f ca="1">IF(OR(Market_Data[[#This Row],[Start Date]]="",Market_Data[[#This Row],[Completion Date]]=""),"Needs Validation",IF(Market_Data[[#This Row],[Start Date]]&gt;TODAY(),"Planned",IF(Market_Data[[#This Row],[Completion Date]]&lt;TODAY(),"Completed","Ongoing")))</f>
        <v>Ongoing</v>
      </c>
      <c r="G875" s="324">
        <v>45876</v>
      </c>
      <c r="H875" s="324">
        <v>47118</v>
      </c>
      <c r="I875" s="325">
        <v>14400</v>
      </c>
      <c r="J87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75" s="133">
        <f>_xlfn.XLOOKUP(Market_Data[[#This Row],[Project Type]],tbl_assumptions_market[Project Category (RERA)],tbl_assumptions_market[Concrete Intensity
(m³ / sq m BUA)],"",0)</f>
        <v>0.18</v>
      </c>
      <c r="L875" s="134">
        <f>ROUND(Market_Data[[#This Row],[Estimated Built Up Area (sq m)]]*Market_Data[[#This Row],[Concrete Intensity
(m³ / sq m)]],0)</f>
        <v>2592</v>
      </c>
      <c r="M875" s="135">
        <f>_xlfn.XLOOKUP(Market_Data[[#This Row],[District]],tbl_district_price[District],tbl_district_price[Standard Price
(INR/m³)],"",0)</f>
        <v>6200</v>
      </c>
      <c r="N875" s="364">
        <f>IF(OR(Market_Data[[#This Row],[Estimated Concrete Demand (m³)]]="",Market_Data[[#This Row],[Avg Price per (₹ / m³)]]=""),"",Market_Data[[#This Row],[Estimated Concrete Demand (m³)]]*Market_Data[[#This Row],[Avg Price per (₹ / m³)]]/10000000)</f>
        <v>1.60704</v>
      </c>
      <c r="O875" s="97" t="str">
        <f>IF(Market_Data[[#This Row],[Estimated Concrete Demand (m³)]]="","",
IF(Market_Data[[#This Row],[Estimated Concrete Demand (m³)]]&lt;10000,"Small",
IF(Market_Data[[#This Row],[Estimated Concrete Demand (m³)]]&lt;25000,"Medium",
IF(Market_Data[[#This Row],[Estimated Concrete Demand (m³)]]&lt;100000,"Large","Mega"))))</f>
        <v>Small</v>
      </c>
      <c r="P875" s="287" t="str">
        <f t="shared" si="15"/>
        <v>GujRERA</v>
      </c>
    </row>
    <row r="876" spans="1:16">
      <c r="A876" s="129" t="str">
        <f>_xlfn.XLOOKUP(B876,$S$9:$S$14,$T$9:$T$14)&amp;"-"&amp;
IF(E876="Residential/Group Housing","RES",
IF(E876="Commercial","COM",
IF(E876="Mixed Development","MIX",
IF(E876="Plotted Development","PLT","OTH"))))
&amp;"-"&amp;TEXT(COUNTIFS($B$9:B876,B876,$E$9:E876,E876),"0000")</f>
        <v>SUR-PLT-0137</v>
      </c>
      <c r="B876" s="322" t="s">
        <v>34</v>
      </c>
      <c r="C876" s="322" t="s">
        <v>34</v>
      </c>
      <c r="D876" s="323" t="s">
        <v>1066</v>
      </c>
      <c r="E876" s="132" t="s">
        <v>26</v>
      </c>
      <c r="F876" s="97" t="str">
        <f ca="1">IF(OR(Market_Data[[#This Row],[Start Date]]="",Market_Data[[#This Row],[Completion Date]]=""),"Needs Validation",IF(Market_Data[[#This Row],[Start Date]]&gt;TODAY(),"Planned",IF(Market_Data[[#This Row],[Completion Date]]&lt;TODAY(),"Completed","Ongoing")))</f>
        <v>Completed</v>
      </c>
      <c r="G876" s="324">
        <v>43343</v>
      </c>
      <c r="H876" s="324">
        <v>43830</v>
      </c>
      <c r="I876" s="325">
        <v>39300</v>
      </c>
      <c r="J87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876" s="133">
        <f>_xlfn.XLOOKUP(Market_Data[[#This Row],[Project Type]],tbl_assumptions_market[Project Category (RERA)],tbl_assumptions_market[Concrete Intensity
(m³ / sq m BUA)],"",0)</f>
        <v>0.18</v>
      </c>
      <c r="L876" s="134">
        <f>ROUND(Market_Data[[#This Row],[Estimated Built Up Area (sq m)]]*Market_Data[[#This Row],[Concrete Intensity
(m³ / sq m)]],0)</f>
        <v>7074</v>
      </c>
      <c r="M876" s="135">
        <f>_xlfn.XLOOKUP(Market_Data[[#This Row],[District]],tbl_district_price[District],tbl_district_price[Standard Price
(INR/m³)],"",0)</f>
        <v>6200</v>
      </c>
      <c r="N876" s="364">
        <f>IF(OR(Market_Data[[#This Row],[Estimated Concrete Demand (m³)]]="",Market_Data[[#This Row],[Avg Price per (₹ / m³)]]=""),"",Market_Data[[#This Row],[Estimated Concrete Demand (m³)]]*Market_Data[[#This Row],[Avg Price per (₹ / m³)]]/10000000)</f>
        <v>4.3858800000000002</v>
      </c>
      <c r="O876" s="97" t="str">
        <f>IF(Market_Data[[#This Row],[Estimated Concrete Demand (m³)]]="","",
IF(Market_Data[[#This Row],[Estimated Concrete Demand (m³)]]&lt;10000,"Small",
IF(Market_Data[[#This Row],[Estimated Concrete Demand (m³)]]&lt;25000,"Medium",
IF(Market_Data[[#This Row],[Estimated Concrete Demand (m³)]]&lt;100000,"Large","Mega"))))</f>
        <v>Small</v>
      </c>
      <c r="P876" s="287" t="str">
        <f t="shared" si="15"/>
        <v>GujRERA</v>
      </c>
    </row>
    <row r="877" spans="1:16">
      <c r="A877" s="129" t="str">
        <f>_xlfn.XLOOKUP(B877,$S$9:$S$14,$T$9:$T$14)&amp;"-"&amp;
IF(E877="Residential/Group Housing","RES",
IF(E877="Commercial","COM",
IF(E877="Mixed Development","MIX",
IF(E877="Plotted Development","PLT","OTH"))))
&amp;"-"&amp;TEXT(COUNTIFS($B$9:B877,B877,$E$9:E877,E877),"0000")</f>
        <v>SUR-PLT-0138</v>
      </c>
      <c r="B877" s="322" t="s">
        <v>34</v>
      </c>
      <c r="C877" s="322" t="s">
        <v>34</v>
      </c>
      <c r="D877" s="323" t="s">
        <v>1067</v>
      </c>
      <c r="E877" s="132" t="s">
        <v>26</v>
      </c>
      <c r="F877" s="97" t="str">
        <f ca="1">IF(OR(Market_Data[[#This Row],[Start Date]]="",Market_Data[[#This Row],[Completion Date]]=""),"Needs Validation",IF(Market_Data[[#This Row],[Start Date]]&gt;TODAY(),"Planned",IF(Market_Data[[#This Row],[Completion Date]]&lt;TODAY(),"Completed","Ongoing")))</f>
        <v>Ongoing</v>
      </c>
      <c r="G877" s="324">
        <v>45498</v>
      </c>
      <c r="H877" s="324">
        <v>46752</v>
      </c>
      <c r="I877" s="325">
        <v>2800</v>
      </c>
      <c r="J87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77" s="133">
        <f>_xlfn.XLOOKUP(Market_Data[[#This Row],[Project Type]],tbl_assumptions_market[Project Category (RERA)],tbl_assumptions_market[Concrete Intensity
(m³ / sq m BUA)],"",0)</f>
        <v>0.18</v>
      </c>
      <c r="L877" s="134">
        <f>ROUND(Market_Data[[#This Row],[Estimated Built Up Area (sq m)]]*Market_Data[[#This Row],[Concrete Intensity
(m³ / sq m)]],0)</f>
        <v>504</v>
      </c>
      <c r="M877" s="135">
        <f>_xlfn.XLOOKUP(Market_Data[[#This Row],[District]],tbl_district_price[District],tbl_district_price[Standard Price
(INR/m³)],"",0)</f>
        <v>6200</v>
      </c>
      <c r="N877" s="364">
        <f>IF(OR(Market_Data[[#This Row],[Estimated Concrete Demand (m³)]]="",Market_Data[[#This Row],[Avg Price per (₹ / m³)]]=""),"",Market_Data[[#This Row],[Estimated Concrete Demand (m³)]]*Market_Data[[#This Row],[Avg Price per (₹ / m³)]]/10000000)</f>
        <v>0.31247999999999998</v>
      </c>
      <c r="O877" s="97" t="str">
        <f>IF(Market_Data[[#This Row],[Estimated Concrete Demand (m³)]]="","",
IF(Market_Data[[#This Row],[Estimated Concrete Demand (m³)]]&lt;10000,"Small",
IF(Market_Data[[#This Row],[Estimated Concrete Demand (m³)]]&lt;25000,"Medium",
IF(Market_Data[[#This Row],[Estimated Concrete Demand (m³)]]&lt;100000,"Large","Mega"))))</f>
        <v>Small</v>
      </c>
      <c r="P877" s="287" t="str">
        <f t="shared" si="15"/>
        <v>GujRERA</v>
      </c>
    </row>
    <row r="878" spans="1:16">
      <c r="A878" s="129" t="str">
        <f>_xlfn.XLOOKUP(B878,$S$9:$S$14,$T$9:$T$14)&amp;"-"&amp;
IF(E878="Residential/Group Housing","RES",
IF(E878="Commercial","COM",
IF(E878="Mixed Development","MIX",
IF(E878="Plotted Development","PLT","OTH"))))
&amp;"-"&amp;TEXT(COUNTIFS($B$9:B878,B878,$E$9:E878,E878),"0000")</f>
        <v>SUR-COM-0108</v>
      </c>
      <c r="B878" s="322" t="s">
        <v>34</v>
      </c>
      <c r="C878" s="322" t="s">
        <v>34</v>
      </c>
      <c r="D878" s="323" t="s">
        <v>1068</v>
      </c>
      <c r="E878" s="132" t="s">
        <v>23</v>
      </c>
      <c r="F878" s="97" t="str">
        <f ca="1">IF(OR(Market_Data[[#This Row],[Start Date]]="",Market_Data[[#This Row],[Completion Date]]=""),"Needs Validation",IF(Market_Data[[#This Row],[Start Date]]&gt;TODAY(),"Planned",IF(Market_Data[[#This Row],[Completion Date]]&lt;TODAY(),"Completed","Ongoing")))</f>
        <v>Ongoing</v>
      </c>
      <c r="G878" s="324">
        <v>44287</v>
      </c>
      <c r="H878" s="324">
        <v>46752</v>
      </c>
      <c r="I878" s="325">
        <v>13300</v>
      </c>
      <c r="J87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78" s="133">
        <f>_xlfn.XLOOKUP(Market_Data[[#This Row],[Project Type]],tbl_assumptions_market[Project Category (RERA)],tbl_assumptions_market[Concrete Intensity
(m³ / sq m BUA)],"",0)</f>
        <v>0.5</v>
      </c>
      <c r="L878" s="134">
        <f>ROUND(Market_Data[[#This Row],[Estimated Built Up Area (sq m)]]*Market_Data[[#This Row],[Concrete Intensity
(m³ / sq m)]],0)</f>
        <v>6650</v>
      </c>
      <c r="M878" s="135">
        <f>_xlfn.XLOOKUP(Market_Data[[#This Row],[District]],tbl_district_price[District],tbl_district_price[Standard Price
(INR/m³)],"",0)</f>
        <v>6200</v>
      </c>
      <c r="N878" s="364">
        <f>IF(OR(Market_Data[[#This Row],[Estimated Concrete Demand (m³)]]="",Market_Data[[#This Row],[Avg Price per (₹ / m³)]]=""),"",Market_Data[[#This Row],[Estimated Concrete Demand (m³)]]*Market_Data[[#This Row],[Avg Price per (₹ / m³)]]/10000000)</f>
        <v>4.1230000000000002</v>
      </c>
      <c r="O878" s="97" t="str">
        <f>IF(Market_Data[[#This Row],[Estimated Concrete Demand (m³)]]="","",
IF(Market_Data[[#This Row],[Estimated Concrete Demand (m³)]]&lt;10000,"Small",
IF(Market_Data[[#This Row],[Estimated Concrete Demand (m³)]]&lt;25000,"Medium",
IF(Market_Data[[#This Row],[Estimated Concrete Demand (m³)]]&lt;100000,"Large","Mega"))))</f>
        <v>Small</v>
      </c>
      <c r="P878" s="287" t="str">
        <f t="shared" si="15"/>
        <v>GujRERA</v>
      </c>
    </row>
    <row r="879" spans="1:16">
      <c r="A879" s="129" t="str">
        <f>_xlfn.XLOOKUP(B879,$S$9:$S$14,$T$9:$T$14)&amp;"-"&amp;
IF(E879="Residential/Group Housing","RES",
IF(E879="Commercial","COM",
IF(E879="Mixed Development","MIX",
IF(E879="Plotted Development","PLT","OTH"))))
&amp;"-"&amp;TEXT(COUNTIFS($B$9:B879,B879,$E$9:E879,E879),"0000")</f>
        <v>SUR-COM-0109</v>
      </c>
      <c r="B879" s="322" t="s">
        <v>34</v>
      </c>
      <c r="C879" s="322" t="s">
        <v>34</v>
      </c>
      <c r="D879" s="323" t="s">
        <v>1069</v>
      </c>
      <c r="E879" s="132" t="s">
        <v>23</v>
      </c>
      <c r="F879" s="97" t="str">
        <f ca="1">IF(OR(Market_Data[[#This Row],[Start Date]]="",Market_Data[[#This Row],[Completion Date]]=""),"Needs Validation",IF(Market_Data[[#This Row],[Start Date]]&gt;TODAY(),"Planned",IF(Market_Data[[#This Row],[Completion Date]]&lt;TODAY(),"Completed","Ongoing")))</f>
        <v>Ongoing</v>
      </c>
      <c r="G879" s="324">
        <v>44672</v>
      </c>
      <c r="H879" s="324">
        <v>47483</v>
      </c>
      <c r="I879" s="325">
        <v>4800</v>
      </c>
      <c r="J87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79" s="133">
        <f>_xlfn.XLOOKUP(Market_Data[[#This Row],[Project Type]],tbl_assumptions_market[Project Category (RERA)],tbl_assumptions_market[Concrete Intensity
(m³ / sq m BUA)],"",0)</f>
        <v>0.5</v>
      </c>
      <c r="L879" s="134">
        <f>ROUND(Market_Data[[#This Row],[Estimated Built Up Area (sq m)]]*Market_Data[[#This Row],[Concrete Intensity
(m³ / sq m)]],0)</f>
        <v>2400</v>
      </c>
      <c r="M879" s="135">
        <f>_xlfn.XLOOKUP(Market_Data[[#This Row],[District]],tbl_district_price[District],tbl_district_price[Standard Price
(INR/m³)],"",0)</f>
        <v>6200</v>
      </c>
      <c r="N879" s="364">
        <f>IF(OR(Market_Data[[#This Row],[Estimated Concrete Demand (m³)]]="",Market_Data[[#This Row],[Avg Price per (₹ / m³)]]=""),"",Market_Data[[#This Row],[Estimated Concrete Demand (m³)]]*Market_Data[[#This Row],[Avg Price per (₹ / m³)]]/10000000)</f>
        <v>1.488</v>
      </c>
      <c r="O879" s="97" t="str">
        <f>IF(Market_Data[[#This Row],[Estimated Concrete Demand (m³)]]="","",
IF(Market_Data[[#This Row],[Estimated Concrete Demand (m³)]]&lt;10000,"Small",
IF(Market_Data[[#This Row],[Estimated Concrete Demand (m³)]]&lt;25000,"Medium",
IF(Market_Data[[#This Row],[Estimated Concrete Demand (m³)]]&lt;100000,"Large","Mega"))))</f>
        <v>Small</v>
      </c>
      <c r="P879" s="287" t="str">
        <f t="shared" si="15"/>
        <v>GujRERA</v>
      </c>
    </row>
    <row r="880" spans="1:16">
      <c r="A880" s="129" t="str">
        <f>_xlfn.XLOOKUP(B880,$S$9:$S$14,$T$9:$T$14)&amp;"-"&amp;
IF(E880="Residential/Group Housing","RES",
IF(E880="Commercial","COM",
IF(E880="Mixed Development","MIX",
IF(E880="Plotted Development","PLT","OTH"))))
&amp;"-"&amp;TEXT(COUNTIFS($B$9:B880,B880,$E$9:E880,E880),"0000")</f>
        <v>SUR-PLT-0139</v>
      </c>
      <c r="B880" s="322" t="s">
        <v>34</v>
      </c>
      <c r="C880" s="322" t="s">
        <v>34</v>
      </c>
      <c r="D880" s="323" t="s">
        <v>1070</v>
      </c>
      <c r="E880" s="132" t="s">
        <v>26</v>
      </c>
      <c r="F880" s="97" t="str">
        <f ca="1">IF(OR(Market_Data[[#This Row],[Start Date]]="",Market_Data[[#This Row],[Completion Date]]=""),"Needs Validation",IF(Market_Data[[#This Row],[Start Date]]&gt;TODAY(),"Planned",IF(Market_Data[[#This Row],[Completion Date]]&lt;TODAY(),"Completed","Ongoing")))</f>
        <v>Ongoing</v>
      </c>
      <c r="G880" s="324">
        <v>45541</v>
      </c>
      <c r="H880" s="324">
        <v>46752</v>
      </c>
      <c r="I880" s="325">
        <v>47800</v>
      </c>
      <c r="J88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880" s="133">
        <f>_xlfn.XLOOKUP(Market_Data[[#This Row],[Project Type]],tbl_assumptions_market[Project Category (RERA)],tbl_assumptions_market[Concrete Intensity
(m³ / sq m BUA)],"",0)</f>
        <v>0.18</v>
      </c>
      <c r="L880" s="134">
        <f>ROUND(Market_Data[[#This Row],[Estimated Built Up Area (sq m)]]*Market_Data[[#This Row],[Concrete Intensity
(m³ / sq m)]],0)</f>
        <v>8604</v>
      </c>
      <c r="M880" s="135">
        <f>_xlfn.XLOOKUP(Market_Data[[#This Row],[District]],tbl_district_price[District],tbl_district_price[Standard Price
(INR/m³)],"",0)</f>
        <v>6200</v>
      </c>
      <c r="N880" s="364">
        <f>IF(OR(Market_Data[[#This Row],[Estimated Concrete Demand (m³)]]="",Market_Data[[#This Row],[Avg Price per (₹ / m³)]]=""),"",Market_Data[[#This Row],[Estimated Concrete Demand (m³)]]*Market_Data[[#This Row],[Avg Price per (₹ / m³)]]/10000000)</f>
        <v>5.3344800000000001</v>
      </c>
      <c r="O880" s="97" t="str">
        <f>IF(Market_Data[[#This Row],[Estimated Concrete Demand (m³)]]="","",
IF(Market_Data[[#This Row],[Estimated Concrete Demand (m³)]]&lt;10000,"Small",
IF(Market_Data[[#This Row],[Estimated Concrete Demand (m³)]]&lt;25000,"Medium",
IF(Market_Data[[#This Row],[Estimated Concrete Demand (m³)]]&lt;100000,"Large","Mega"))))</f>
        <v>Small</v>
      </c>
      <c r="P880" s="287" t="str">
        <f t="shared" si="15"/>
        <v>GujRERA</v>
      </c>
    </row>
    <row r="881" spans="1:16">
      <c r="A881" s="129" t="str">
        <f>_xlfn.XLOOKUP(B881,$S$9:$S$14,$T$9:$T$14)&amp;"-"&amp;
IF(E881="Residential/Group Housing","RES",
IF(E881="Commercial","COM",
IF(E881="Mixed Development","MIX",
IF(E881="Plotted Development","PLT","OTH"))))
&amp;"-"&amp;TEXT(COUNTIFS($B$9:B881,B881,$E$9:E881,E881),"0000")</f>
        <v>SUR-PLT-0140</v>
      </c>
      <c r="B881" s="322" t="s">
        <v>34</v>
      </c>
      <c r="C881" s="322" t="s">
        <v>34</v>
      </c>
      <c r="D881" s="323" t="s">
        <v>1071</v>
      </c>
      <c r="E881" s="132" t="s">
        <v>26</v>
      </c>
      <c r="F881" s="97" t="str">
        <f ca="1">IF(OR(Market_Data[[#This Row],[Start Date]]="",Market_Data[[#This Row],[Completion Date]]=""),"Needs Validation",IF(Market_Data[[#This Row],[Start Date]]&gt;TODAY(),"Planned",IF(Market_Data[[#This Row],[Completion Date]]&lt;TODAY(),"Completed","Ongoing")))</f>
        <v>Ongoing</v>
      </c>
      <c r="G881" s="324">
        <v>45541</v>
      </c>
      <c r="H881" s="324">
        <v>46752</v>
      </c>
      <c r="I881" s="325">
        <v>32600</v>
      </c>
      <c r="J88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881" s="133">
        <f>_xlfn.XLOOKUP(Market_Data[[#This Row],[Project Type]],tbl_assumptions_market[Project Category (RERA)],tbl_assumptions_market[Concrete Intensity
(m³ / sq m BUA)],"",0)</f>
        <v>0.18</v>
      </c>
      <c r="L881" s="134">
        <f>ROUND(Market_Data[[#This Row],[Estimated Built Up Area (sq m)]]*Market_Data[[#This Row],[Concrete Intensity
(m³ / sq m)]],0)</f>
        <v>5868</v>
      </c>
      <c r="M881" s="135">
        <f>_xlfn.XLOOKUP(Market_Data[[#This Row],[District]],tbl_district_price[District],tbl_district_price[Standard Price
(INR/m³)],"",0)</f>
        <v>6200</v>
      </c>
      <c r="N881" s="364">
        <f>IF(OR(Market_Data[[#This Row],[Estimated Concrete Demand (m³)]]="",Market_Data[[#This Row],[Avg Price per (₹ / m³)]]=""),"",Market_Data[[#This Row],[Estimated Concrete Demand (m³)]]*Market_Data[[#This Row],[Avg Price per (₹ / m³)]]/10000000)</f>
        <v>3.6381600000000001</v>
      </c>
      <c r="O881" s="97" t="str">
        <f>IF(Market_Data[[#This Row],[Estimated Concrete Demand (m³)]]="","",
IF(Market_Data[[#This Row],[Estimated Concrete Demand (m³)]]&lt;10000,"Small",
IF(Market_Data[[#This Row],[Estimated Concrete Demand (m³)]]&lt;25000,"Medium",
IF(Market_Data[[#This Row],[Estimated Concrete Demand (m³)]]&lt;100000,"Large","Mega"))))</f>
        <v>Small</v>
      </c>
      <c r="P881" s="287" t="str">
        <f t="shared" si="15"/>
        <v>GujRERA</v>
      </c>
    </row>
    <row r="882" spans="1:16">
      <c r="A882" s="129" t="str">
        <f>_xlfn.XLOOKUP(B882,$S$9:$S$14,$T$9:$T$14)&amp;"-"&amp;
IF(E882="Residential/Group Housing","RES",
IF(E882="Commercial","COM",
IF(E882="Mixed Development","MIX",
IF(E882="Plotted Development","PLT","OTH"))))
&amp;"-"&amp;TEXT(COUNTIFS($B$9:B882,B882,$E$9:E882,E882),"0000")</f>
        <v>SUR-PLT-0141</v>
      </c>
      <c r="B882" s="322" t="s">
        <v>34</v>
      </c>
      <c r="C882" s="322" t="s">
        <v>34</v>
      </c>
      <c r="D882" s="323" t="s">
        <v>1072</v>
      </c>
      <c r="E882" s="132" t="s">
        <v>26</v>
      </c>
      <c r="F882" s="97" t="str">
        <f ca="1">IF(OR(Market_Data[[#This Row],[Start Date]]="",Market_Data[[#This Row],[Completion Date]]=""),"Needs Validation",IF(Market_Data[[#This Row],[Start Date]]&gt;TODAY(),"Planned",IF(Market_Data[[#This Row],[Completion Date]]&lt;TODAY(),"Completed","Ongoing")))</f>
        <v>Ongoing</v>
      </c>
      <c r="G882" s="324">
        <v>45541</v>
      </c>
      <c r="H882" s="324">
        <v>46752</v>
      </c>
      <c r="I882" s="325">
        <v>20600</v>
      </c>
      <c r="J88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82" s="133">
        <f>_xlfn.XLOOKUP(Market_Data[[#This Row],[Project Type]],tbl_assumptions_market[Project Category (RERA)],tbl_assumptions_market[Concrete Intensity
(m³ / sq m BUA)],"",0)</f>
        <v>0.18</v>
      </c>
      <c r="L882" s="134">
        <f>ROUND(Market_Data[[#This Row],[Estimated Built Up Area (sq m)]]*Market_Data[[#This Row],[Concrete Intensity
(m³ / sq m)]],0)</f>
        <v>3708</v>
      </c>
      <c r="M882" s="135">
        <f>_xlfn.XLOOKUP(Market_Data[[#This Row],[District]],tbl_district_price[District],tbl_district_price[Standard Price
(INR/m³)],"",0)</f>
        <v>6200</v>
      </c>
      <c r="N882" s="364">
        <f>IF(OR(Market_Data[[#This Row],[Estimated Concrete Demand (m³)]]="",Market_Data[[#This Row],[Avg Price per (₹ / m³)]]=""),"",Market_Data[[#This Row],[Estimated Concrete Demand (m³)]]*Market_Data[[#This Row],[Avg Price per (₹ / m³)]]/10000000)</f>
        <v>2.2989600000000001</v>
      </c>
      <c r="O882" s="97" t="str">
        <f>IF(Market_Data[[#This Row],[Estimated Concrete Demand (m³)]]="","",
IF(Market_Data[[#This Row],[Estimated Concrete Demand (m³)]]&lt;10000,"Small",
IF(Market_Data[[#This Row],[Estimated Concrete Demand (m³)]]&lt;25000,"Medium",
IF(Market_Data[[#This Row],[Estimated Concrete Demand (m³)]]&lt;100000,"Large","Mega"))))</f>
        <v>Small</v>
      </c>
      <c r="P882" s="287" t="str">
        <f t="shared" si="15"/>
        <v>GujRERA</v>
      </c>
    </row>
    <row r="883" spans="1:16">
      <c r="A883" s="129" t="str">
        <f>_xlfn.XLOOKUP(B883,$S$9:$S$14,$T$9:$T$14)&amp;"-"&amp;
IF(E883="Residential/Group Housing","RES",
IF(E883="Commercial","COM",
IF(E883="Mixed Development","MIX",
IF(E883="Plotted Development","PLT","OTH"))))
&amp;"-"&amp;TEXT(COUNTIFS($B$9:B883,B883,$E$9:E883,E883),"0000")</f>
        <v>SUR-PLT-0142</v>
      </c>
      <c r="B883" s="322" t="s">
        <v>34</v>
      </c>
      <c r="C883" s="322" t="s">
        <v>34</v>
      </c>
      <c r="D883" s="323" t="s">
        <v>1073</v>
      </c>
      <c r="E883" s="132" t="s">
        <v>26</v>
      </c>
      <c r="F883" s="97" t="str">
        <f ca="1">IF(OR(Market_Data[[#This Row],[Start Date]]="",Market_Data[[#This Row],[Completion Date]]=""),"Needs Validation",IF(Market_Data[[#This Row],[Start Date]]&gt;TODAY(),"Planned",IF(Market_Data[[#This Row],[Completion Date]]&lt;TODAY(),"Completed","Ongoing")))</f>
        <v>Ongoing</v>
      </c>
      <c r="G883" s="324">
        <v>45541</v>
      </c>
      <c r="H883" s="324">
        <v>46752</v>
      </c>
      <c r="I883" s="325">
        <v>54700</v>
      </c>
      <c r="J88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883" s="133">
        <f>_xlfn.XLOOKUP(Market_Data[[#This Row],[Project Type]],tbl_assumptions_market[Project Category (RERA)],tbl_assumptions_market[Concrete Intensity
(m³ / sq m BUA)],"",0)</f>
        <v>0.18</v>
      </c>
      <c r="L883" s="134">
        <f>ROUND(Market_Data[[#This Row],[Estimated Built Up Area (sq m)]]*Market_Data[[#This Row],[Concrete Intensity
(m³ / sq m)]],0)</f>
        <v>9846</v>
      </c>
      <c r="M883" s="135">
        <f>_xlfn.XLOOKUP(Market_Data[[#This Row],[District]],tbl_district_price[District],tbl_district_price[Standard Price
(INR/m³)],"",0)</f>
        <v>6200</v>
      </c>
      <c r="N883" s="364">
        <f>IF(OR(Market_Data[[#This Row],[Estimated Concrete Demand (m³)]]="",Market_Data[[#This Row],[Avg Price per (₹ / m³)]]=""),"",Market_Data[[#This Row],[Estimated Concrete Demand (m³)]]*Market_Data[[#This Row],[Avg Price per (₹ / m³)]]/10000000)</f>
        <v>6.1045199999999999</v>
      </c>
      <c r="O883" s="97" t="str">
        <f>IF(Market_Data[[#This Row],[Estimated Concrete Demand (m³)]]="","",
IF(Market_Data[[#This Row],[Estimated Concrete Demand (m³)]]&lt;10000,"Small",
IF(Market_Data[[#This Row],[Estimated Concrete Demand (m³)]]&lt;25000,"Medium",
IF(Market_Data[[#This Row],[Estimated Concrete Demand (m³)]]&lt;100000,"Large","Mega"))))</f>
        <v>Small</v>
      </c>
      <c r="P883" s="287" t="str">
        <f t="shared" si="15"/>
        <v>GujRERA</v>
      </c>
    </row>
    <row r="884" spans="1:16">
      <c r="A884" s="129" t="str">
        <f>_xlfn.XLOOKUP(B884,$S$9:$S$14,$T$9:$T$14)&amp;"-"&amp;
IF(E884="Residential/Group Housing","RES",
IF(E884="Commercial","COM",
IF(E884="Mixed Development","MIX",
IF(E884="Plotted Development","PLT","OTH"))))
&amp;"-"&amp;TEXT(COUNTIFS($B$9:B884,B884,$E$9:E884,E884),"0000")</f>
        <v>SUR-PLT-0143</v>
      </c>
      <c r="B884" s="322" t="s">
        <v>34</v>
      </c>
      <c r="C884" s="322" t="s">
        <v>34</v>
      </c>
      <c r="D884" s="323" t="s">
        <v>1074</v>
      </c>
      <c r="E884" s="132" t="s">
        <v>26</v>
      </c>
      <c r="F884" s="97" t="str">
        <f ca="1">IF(OR(Market_Data[[#This Row],[Start Date]]="",Market_Data[[#This Row],[Completion Date]]=""),"Needs Validation",IF(Market_Data[[#This Row],[Start Date]]&gt;TODAY(),"Planned",IF(Market_Data[[#This Row],[Completion Date]]&lt;TODAY(),"Completed","Ongoing")))</f>
        <v>Ongoing</v>
      </c>
      <c r="G884" s="324">
        <v>45498</v>
      </c>
      <c r="H884" s="324">
        <v>46752</v>
      </c>
      <c r="I884" s="325">
        <v>94600</v>
      </c>
      <c r="J88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884" s="133">
        <f>_xlfn.XLOOKUP(Market_Data[[#This Row],[Project Type]],tbl_assumptions_market[Project Category (RERA)],tbl_assumptions_market[Concrete Intensity
(m³ / sq m BUA)],"",0)</f>
        <v>0.18</v>
      </c>
      <c r="L884" s="134">
        <f>ROUND(Market_Data[[#This Row],[Estimated Built Up Area (sq m)]]*Market_Data[[#This Row],[Concrete Intensity
(m³ / sq m)]],0)</f>
        <v>17028</v>
      </c>
      <c r="M884" s="135">
        <f>_xlfn.XLOOKUP(Market_Data[[#This Row],[District]],tbl_district_price[District],tbl_district_price[Standard Price
(INR/m³)],"",0)</f>
        <v>6200</v>
      </c>
      <c r="N884" s="364">
        <f>IF(OR(Market_Data[[#This Row],[Estimated Concrete Demand (m³)]]="",Market_Data[[#This Row],[Avg Price per (₹ / m³)]]=""),"",Market_Data[[#This Row],[Estimated Concrete Demand (m³)]]*Market_Data[[#This Row],[Avg Price per (₹ / m³)]]/10000000)</f>
        <v>10.557359999999999</v>
      </c>
      <c r="O884" s="97" t="str">
        <f>IF(Market_Data[[#This Row],[Estimated Concrete Demand (m³)]]="","",
IF(Market_Data[[#This Row],[Estimated Concrete Demand (m³)]]&lt;10000,"Small",
IF(Market_Data[[#This Row],[Estimated Concrete Demand (m³)]]&lt;25000,"Medium",
IF(Market_Data[[#This Row],[Estimated Concrete Demand (m³)]]&lt;100000,"Large","Mega"))))</f>
        <v>Medium</v>
      </c>
      <c r="P884" s="287" t="str">
        <f t="shared" si="15"/>
        <v>GujRERA</v>
      </c>
    </row>
    <row r="885" spans="1:16">
      <c r="A885" s="129" t="str">
        <f>_xlfn.XLOOKUP(B885,$S$9:$S$14,$T$9:$T$14)&amp;"-"&amp;
IF(E885="Residential/Group Housing","RES",
IF(E885="Commercial","COM",
IF(E885="Mixed Development","MIX",
IF(E885="Plotted Development","PLT","OTH"))))
&amp;"-"&amp;TEXT(COUNTIFS($B$9:B885,B885,$E$9:E885,E885),"0000")</f>
        <v>SUR-PLT-0144</v>
      </c>
      <c r="B885" s="322" t="s">
        <v>34</v>
      </c>
      <c r="C885" s="322" t="s">
        <v>34</v>
      </c>
      <c r="D885" s="323" t="s">
        <v>1075</v>
      </c>
      <c r="E885" s="132" t="s">
        <v>26</v>
      </c>
      <c r="F885" s="97" t="str">
        <f ca="1">IF(OR(Market_Data[[#This Row],[Start Date]]="",Market_Data[[#This Row],[Completion Date]]=""),"Needs Validation",IF(Market_Data[[#This Row],[Start Date]]&gt;TODAY(),"Planned",IF(Market_Data[[#This Row],[Completion Date]]&lt;TODAY(),"Completed","Ongoing")))</f>
        <v>Completed</v>
      </c>
      <c r="G885" s="324">
        <v>44931</v>
      </c>
      <c r="H885" s="324">
        <v>46022</v>
      </c>
      <c r="I885" s="325">
        <v>120700</v>
      </c>
      <c r="J88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885" s="133">
        <f>_xlfn.XLOOKUP(Market_Data[[#This Row],[Project Type]],tbl_assumptions_market[Project Category (RERA)],tbl_assumptions_market[Concrete Intensity
(m³ / sq m BUA)],"",0)</f>
        <v>0.18</v>
      </c>
      <c r="L885" s="134">
        <f>ROUND(Market_Data[[#This Row],[Estimated Built Up Area (sq m)]]*Market_Data[[#This Row],[Concrete Intensity
(m³ / sq m)]],0)</f>
        <v>21726</v>
      </c>
      <c r="M885" s="135">
        <f>_xlfn.XLOOKUP(Market_Data[[#This Row],[District]],tbl_district_price[District],tbl_district_price[Standard Price
(INR/m³)],"",0)</f>
        <v>6200</v>
      </c>
      <c r="N885" s="364">
        <f>IF(OR(Market_Data[[#This Row],[Estimated Concrete Demand (m³)]]="",Market_Data[[#This Row],[Avg Price per (₹ / m³)]]=""),"",Market_Data[[#This Row],[Estimated Concrete Demand (m³)]]*Market_Data[[#This Row],[Avg Price per (₹ / m³)]]/10000000)</f>
        <v>13.47012</v>
      </c>
      <c r="O885" s="97" t="str">
        <f>IF(Market_Data[[#This Row],[Estimated Concrete Demand (m³)]]="","",
IF(Market_Data[[#This Row],[Estimated Concrete Demand (m³)]]&lt;10000,"Small",
IF(Market_Data[[#This Row],[Estimated Concrete Demand (m³)]]&lt;25000,"Medium",
IF(Market_Data[[#This Row],[Estimated Concrete Demand (m³)]]&lt;100000,"Large","Mega"))))</f>
        <v>Medium</v>
      </c>
      <c r="P885" s="287" t="str">
        <f t="shared" si="15"/>
        <v>GujRERA</v>
      </c>
    </row>
    <row r="886" spans="1:16">
      <c r="A886" s="129" t="str">
        <f>_xlfn.XLOOKUP(B886,$S$9:$S$14,$T$9:$T$14)&amp;"-"&amp;
IF(E886="Residential/Group Housing","RES",
IF(E886="Commercial","COM",
IF(E886="Mixed Development","MIX",
IF(E886="Plotted Development","PLT","OTH"))))
&amp;"-"&amp;TEXT(COUNTIFS($B$9:B886,B886,$E$9:E886,E886),"0000")</f>
        <v>SUR-PLT-0145</v>
      </c>
      <c r="B886" s="322" t="s">
        <v>34</v>
      </c>
      <c r="C886" s="322" t="s">
        <v>34</v>
      </c>
      <c r="D886" s="323" t="s">
        <v>1076</v>
      </c>
      <c r="E886" s="132" t="s">
        <v>26</v>
      </c>
      <c r="F886" s="97" t="str">
        <f ca="1">IF(OR(Market_Data[[#This Row],[Start Date]]="",Market_Data[[#This Row],[Completion Date]]=""),"Needs Validation",IF(Market_Data[[#This Row],[Start Date]]&gt;TODAY(),"Planned",IF(Market_Data[[#This Row],[Completion Date]]&lt;TODAY(),"Completed","Ongoing")))</f>
        <v>Completed</v>
      </c>
      <c r="G886" s="324">
        <v>44230</v>
      </c>
      <c r="H886" s="324">
        <v>45657</v>
      </c>
      <c r="I886" s="325">
        <v>52300</v>
      </c>
      <c r="J88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886" s="133">
        <f>_xlfn.XLOOKUP(Market_Data[[#This Row],[Project Type]],tbl_assumptions_market[Project Category (RERA)],tbl_assumptions_market[Concrete Intensity
(m³ / sq m BUA)],"",0)</f>
        <v>0.18</v>
      </c>
      <c r="L886" s="134">
        <f>ROUND(Market_Data[[#This Row],[Estimated Built Up Area (sq m)]]*Market_Data[[#This Row],[Concrete Intensity
(m³ / sq m)]],0)</f>
        <v>9414</v>
      </c>
      <c r="M886" s="135">
        <f>_xlfn.XLOOKUP(Market_Data[[#This Row],[District]],tbl_district_price[District],tbl_district_price[Standard Price
(INR/m³)],"",0)</f>
        <v>6200</v>
      </c>
      <c r="N886" s="364">
        <f>IF(OR(Market_Data[[#This Row],[Estimated Concrete Demand (m³)]]="",Market_Data[[#This Row],[Avg Price per (₹ / m³)]]=""),"",Market_Data[[#This Row],[Estimated Concrete Demand (m³)]]*Market_Data[[#This Row],[Avg Price per (₹ / m³)]]/10000000)</f>
        <v>5.8366800000000003</v>
      </c>
      <c r="O886" s="97" t="str">
        <f>IF(Market_Data[[#This Row],[Estimated Concrete Demand (m³)]]="","",
IF(Market_Data[[#This Row],[Estimated Concrete Demand (m³)]]&lt;10000,"Small",
IF(Market_Data[[#This Row],[Estimated Concrete Demand (m³)]]&lt;25000,"Medium",
IF(Market_Data[[#This Row],[Estimated Concrete Demand (m³)]]&lt;100000,"Large","Mega"))))</f>
        <v>Small</v>
      </c>
      <c r="P886" s="287" t="str">
        <f t="shared" si="15"/>
        <v>GujRERA</v>
      </c>
    </row>
    <row r="887" spans="1:16">
      <c r="A887" s="129" t="str">
        <f>_xlfn.XLOOKUP(B887,$S$9:$S$14,$T$9:$T$14)&amp;"-"&amp;
IF(E887="Residential/Group Housing","RES",
IF(E887="Commercial","COM",
IF(E887="Mixed Development","MIX",
IF(E887="Plotted Development","PLT","OTH"))))
&amp;"-"&amp;TEXT(COUNTIFS($B$9:B887,B887,$E$9:E887,E887),"0000")</f>
        <v>SUR-PLT-0146</v>
      </c>
      <c r="B887" s="322" t="s">
        <v>34</v>
      </c>
      <c r="C887" s="322" t="s">
        <v>34</v>
      </c>
      <c r="D887" s="323" t="s">
        <v>1077</v>
      </c>
      <c r="E887" s="132" t="s">
        <v>26</v>
      </c>
      <c r="F887" s="97" t="str">
        <f ca="1">IF(OR(Market_Data[[#This Row],[Start Date]]="",Market_Data[[#This Row],[Completion Date]]=""),"Needs Validation",IF(Market_Data[[#This Row],[Start Date]]&gt;TODAY(),"Planned",IF(Market_Data[[#This Row],[Completion Date]]&lt;TODAY(),"Completed","Ongoing")))</f>
        <v>Ongoing</v>
      </c>
      <c r="G887" s="324">
        <v>45175</v>
      </c>
      <c r="H887" s="324">
        <v>46387</v>
      </c>
      <c r="I887" s="325">
        <v>58100</v>
      </c>
      <c r="J88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887" s="133">
        <f>_xlfn.XLOOKUP(Market_Data[[#This Row],[Project Type]],tbl_assumptions_market[Project Category (RERA)],tbl_assumptions_market[Concrete Intensity
(m³ / sq m BUA)],"",0)</f>
        <v>0.18</v>
      </c>
      <c r="L887" s="134">
        <f>ROUND(Market_Data[[#This Row],[Estimated Built Up Area (sq m)]]*Market_Data[[#This Row],[Concrete Intensity
(m³ / sq m)]],0)</f>
        <v>10458</v>
      </c>
      <c r="M887" s="135">
        <f>_xlfn.XLOOKUP(Market_Data[[#This Row],[District]],tbl_district_price[District],tbl_district_price[Standard Price
(INR/m³)],"",0)</f>
        <v>6200</v>
      </c>
      <c r="N887" s="364">
        <f>IF(OR(Market_Data[[#This Row],[Estimated Concrete Demand (m³)]]="",Market_Data[[#This Row],[Avg Price per (₹ / m³)]]=""),"",Market_Data[[#This Row],[Estimated Concrete Demand (m³)]]*Market_Data[[#This Row],[Avg Price per (₹ / m³)]]/10000000)</f>
        <v>6.4839599999999997</v>
      </c>
      <c r="O887" s="97" t="str">
        <f>IF(Market_Data[[#This Row],[Estimated Concrete Demand (m³)]]="","",
IF(Market_Data[[#This Row],[Estimated Concrete Demand (m³)]]&lt;10000,"Small",
IF(Market_Data[[#This Row],[Estimated Concrete Demand (m³)]]&lt;25000,"Medium",
IF(Market_Data[[#This Row],[Estimated Concrete Demand (m³)]]&lt;100000,"Large","Mega"))))</f>
        <v>Medium</v>
      </c>
      <c r="P887" s="287" t="str">
        <f t="shared" si="15"/>
        <v>GujRERA</v>
      </c>
    </row>
    <row r="888" spans="1:16">
      <c r="A888" s="129" t="str">
        <f>_xlfn.XLOOKUP(B888,$S$9:$S$14,$T$9:$T$14)&amp;"-"&amp;
IF(E888="Residential/Group Housing","RES",
IF(E888="Commercial","COM",
IF(E888="Mixed Development","MIX",
IF(E888="Plotted Development","PLT","OTH"))))
&amp;"-"&amp;TEXT(COUNTIFS($B$9:B888,B888,$E$9:E888,E888),"0000")</f>
        <v>SUR-RES-0215</v>
      </c>
      <c r="B888" s="322" t="s">
        <v>34</v>
      </c>
      <c r="C888" s="322" t="s">
        <v>34</v>
      </c>
      <c r="D888" s="323" t="s">
        <v>1078</v>
      </c>
      <c r="E888" s="132" t="s">
        <v>24</v>
      </c>
      <c r="F888" s="97" t="str">
        <f ca="1">IF(OR(Market_Data[[#This Row],[Start Date]]="",Market_Data[[#This Row],[Completion Date]]=""),"Needs Validation",IF(Market_Data[[#This Row],[Start Date]]&gt;TODAY(),"Planned",IF(Market_Data[[#This Row],[Completion Date]]&lt;TODAY(),"Completed","Ongoing")))</f>
        <v>Ongoing</v>
      </c>
      <c r="G888" s="324">
        <v>43466</v>
      </c>
      <c r="H888" s="324">
        <v>46934</v>
      </c>
      <c r="I888" s="325">
        <v>8800</v>
      </c>
      <c r="J88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88" s="133">
        <f>_xlfn.XLOOKUP(Market_Data[[#This Row],[Project Type]],tbl_assumptions_market[Project Category (RERA)],tbl_assumptions_market[Concrete Intensity
(m³ / sq m BUA)],"",0)</f>
        <v>0.45</v>
      </c>
      <c r="L888" s="134">
        <f>ROUND(Market_Data[[#This Row],[Estimated Built Up Area (sq m)]]*Market_Data[[#This Row],[Concrete Intensity
(m³ / sq m)]],0)</f>
        <v>3960</v>
      </c>
      <c r="M888" s="135">
        <f>_xlfn.XLOOKUP(Market_Data[[#This Row],[District]],tbl_district_price[District],tbl_district_price[Standard Price
(INR/m³)],"",0)</f>
        <v>6200</v>
      </c>
      <c r="N888" s="364">
        <f>IF(OR(Market_Data[[#This Row],[Estimated Concrete Demand (m³)]]="",Market_Data[[#This Row],[Avg Price per (₹ / m³)]]=""),"",Market_Data[[#This Row],[Estimated Concrete Demand (m³)]]*Market_Data[[#This Row],[Avg Price per (₹ / m³)]]/10000000)</f>
        <v>2.4552</v>
      </c>
      <c r="O888" s="97" t="str">
        <f>IF(Market_Data[[#This Row],[Estimated Concrete Demand (m³)]]="","",
IF(Market_Data[[#This Row],[Estimated Concrete Demand (m³)]]&lt;10000,"Small",
IF(Market_Data[[#This Row],[Estimated Concrete Demand (m³)]]&lt;25000,"Medium",
IF(Market_Data[[#This Row],[Estimated Concrete Demand (m³)]]&lt;100000,"Large","Mega"))))</f>
        <v>Small</v>
      </c>
      <c r="P888" s="287" t="str">
        <f t="shared" si="15"/>
        <v>GujRERA</v>
      </c>
    </row>
    <row r="889" spans="1:16">
      <c r="A889" s="129" t="str">
        <f>_xlfn.XLOOKUP(B889,$S$9:$S$14,$T$9:$T$14)&amp;"-"&amp;
IF(E889="Residential/Group Housing","RES",
IF(E889="Commercial","COM",
IF(E889="Mixed Development","MIX",
IF(E889="Plotted Development","PLT","OTH"))))
&amp;"-"&amp;TEXT(COUNTIFS($B$9:B889,B889,$E$9:E889,E889),"0000")</f>
        <v>SUR-RES-0216</v>
      </c>
      <c r="B889" s="322" t="s">
        <v>34</v>
      </c>
      <c r="C889" s="322" t="s">
        <v>34</v>
      </c>
      <c r="D889" s="323" t="s">
        <v>1079</v>
      </c>
      <c r="E889" s="132" t="s">
        <v>24</v>
      </c>
      <c r="F889" s="97" t="str">
        <f ca="1">IF(OR(Market_Data[[#This Row],[Start Date]]="",Market_Data[[#This Row],[Completion Date]]=""),"Needs Validation",IF(Market_Data[[#This Row],[Start Date]]&gt;TODAY(),"Planned",IF(Market_Data[[#This Row],[Completion Date]]&lt;TODAY(),"Completed","Ongoing")))</f>
        <v>Ongoing</v>
      </c>
      <c r="G889" s="324">
        <v>45017</v>
      </c>
      <c r="H889" s="324">
        <v>47483</v>
      </c>
      <c r="I889" s="325">
        <v>7800</v>
      </c>
      <c r="J88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89" s="133">
        <f>_xlfn.XLOOKUP(Market_Data[[#This Row],[Project Type]],tbl_assumptions_market[Project Category (RERA)],tbl_assumptions_market[Concrete Intensity
(m³ / sq m BUA)],"",0)</f>
        <v>0.45</v>
      </c>
      <c r="L889" s="134">
        <f>ROUND(Market_Data[[#This Row],[Estimated Built Up Area (sq m)]]*Market_Data[[#This Row],[Concrete Intensity
(m³ / sq m)]],0)</f>
        <v>3510</v>
      </c>
      <c r="M889" s="135">
        <f>_xlfn.XLOOKUP(Market_Data[[#This Row],[District]],tbl_district_price[District],tbl_district_price[Standard Price
(INR/m³)],"",0)</f>
        <v>6200</v>
      </c>
      <c r="N889" s="364">
        <f>IF(OR(Market_Data[[#This Row],[Estimated Concrete Demand (m³)]]="",Market_Data[[#This Row],[Avg Price per (₹ / m³)]]=""),"",Market_Data[[#This Row],[Estimated Concrete Demand (m³)]]*Market_Data[[#This Row],[Avg Price per (₹ / m³)]]/10000000)</f>
        <v>2.1762000000000001</v>
      </c>
      <c r="O889" s="97" t="str">
        <f>IF(Market_Data[[#This Row],[Estimated Concrete Demand (m³)]]="","",
IF(Market_Data[[#This Row],[Estimated Concrete Demand (m³)]]&lt;10000,"Small",
IF(Market_Data[[#This Row],[Estimated Concrete Demand (m³)]]&lt;25000,"Medium",
IF(Market_Data[[#This Row],[Estimated Concrete Demand (m³)]]&lt;100000,"Large","Mega"))))</f>
        <v>Small</v>
      </c>
      <c r="P889" s="287" t="str">
        <f t="shared" si="15"/>
        <v>GujRERA</v>
      </c>
    </row>
    <row r="890" spans="1:16">
      <c r="A890" s="129" t="str">
        <f>_xlfn.XLOOKUP(B890,$S$9:$S$14,$T$9:$T$14)&amp;"-"&amp;
IF(E890="Residential/Group Housing","RES",
IF(E890="Commercial","COM",
IF(E890="Mixed Development","MIX",
IF(E890="Plotted Development","PLT","OTH"))))
&amp;"-"&amp;TEXT(COUNTIFS($B$9:B890,B890,$E$9:E890,E890),"0000")</f>
        <v>SUR-MIX-0101</v>
      </c>
      <c r="B890" s="322" t="s">
        <v>34</v>
      </c>
      <c r="C890" s="322" t="s">
        <v>34</v>
      </c>
      <c r="D890" s="323" t="s">
        <v>1080</v>
      </c>
      <c r="E890" s="132" t="s">
        <v>25</v>
      </c>
      <c r="F890" s="97" t="str">
        <f ca="1">IF(OR(Market_Data[[#This Row],[Start Date]]="",Market_Data[[#This Row],[Completion Date]]=""),"Needs Validation",IF(Market_Data[[#This Row],[Start Date]]&gt;TODAY(),"Planned",IF(Market_Data[[#This Row],[Completion Date]]&lt;TODAY(),"Completed","Ongoing")))</f>
        <v>Ongoing</v>
      </c>
      <c r="G890" s="324">
        <v>45597</v>
      </c>
      <c r="H890" s="324">
        <v>47573</v>
      </c>
      <c r="I890" s="325">
        <v>39600</v>
      </c>
      <c r="J89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90" s="133">
        <f>_xlfn.XLOOKUP(Market_Data[[#This Row],[Project Type]],tbl_assumptions_market[Project Category (RERA)],tbl_assumptions_market[Concrete Intensity
(m³ / sq m BUA)],"",0)</f>
        <v>0.42</v>
      </c>
      <c r="L890" s="134">
        <f>ROUND(Market_Data[[#This Row],[Estimated Built Up Area (sq m)]]*Market_Data[[#This Row],[Concrete Intensity
(m³ / sq m)]],0)</f>
        <v>16632</v>
      </c>
      <c r="M890" s="135">
        <f>_xlfn.XLOOKUP(Market_Data[[#This Row],[District]],tbl_district_price[District],tbl_district_price[Standard Price
(INR/m³)],"",0)</f>
        <v>6200</v>
      </c>
      <c r="N890" s="364">
        <f>IF(OR(Market_Data[[#This Row],[Estimated Concrete Demand (m³)]]="",Market_Data[[#This Row],[Avg Price per (₹ / m³)]]=""),"",Market_Data[[#This Row],[Estimated Concrete Demand (m³)]]*Market_Data[[#This Row],[Avg Price per (₹ / m³)]]/10000000)</f>
        <v>10.31184</v>
      </c>
      <c r="O890" s="97" t="str">
        <f>IF(Market_Data[[#This Row],[Estimated Concrete Demand (m³)]]="","",
IF(Market_Data[[#This Row],[Estimated Concrete Demand (m³)]]&lt;10000,"Small",
IF(Market_Data[[#This Row],[Estimated Concrete Demand (m³)]]&lt;25000,"Medium",
IF(Market_Data[[#This Row],[Estimated Concrete Demand (m³)]]&lt;100000,"Large","Mega"))))</f>
        <v>Medium</v>
      </c>
      <c r="P890" s="287" t="str">
        <f t="shared" si="15"/>
        <v>GujRERA</v>
      </c>
    </row>
    <row r="891" spans="1:16">
      <c r="A891" s="129" t="str">
        <f>_xlfn.XLOOKUP(B891,$S$9:$S$14,$T$9:$T$14)&amp;"-"&amp;
IF(E891="Residential/Group Housing","RES",
IF(E891="Commercial","COM",
IF(E891="Mixed Development","MIX",
IF(E891="Plotted Development","PLT","OTH"))))
&amp;"-"&amp;TEXT(COUNTIFS($B$9:B891,B891,$E$9:E891,E891),"0000")</f>
        <v>SUR-PLT-0147</v>
      </c>
      <c r="B891" s="322" t="s">
        <v>34</v>
      </c>
      <c r="C891" s="322" t="s">
        <v>34</v>
      </c>
      <c r="D891" s="323" t="s">
        <v>1081</v>
      </c>
      <c r="E891" s="132" t="s">
        <v>26</v>
      </c>
      <c r="F891" s="97" t="str">
        <f ca="1">IF(OR(Market_Data[[#This Row],[Start Date]]="",Market_Data[[#This Row],[Completion Date]]=""),"Needs Validation",IF(Market_Data[[#This Row],[Start Date]]&gt;TODAY(),"Planned",IF(Market_Data[[#This Row],[Completion Date]]&lt;TODAY(),"Completed","Ongoing")))</f>
        <v>Completed</v>
      </c>
      <c r="G891" s="324">
        <v>44306</v>
      </c>
      <c r="H891" s="324">
        <v>45291</v>
      </c>
      <c r="I891" s="325">
        <v>16700</v>
      </c>
      <c r="J89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91" s="133">
        <f>_xlfn.XLOOKUP(Market_Data[[#This Row],[Project Type]],tbl_assumptions_market[Project Category (RERA)],tbl_assumptions_market[Concrete Intensity
(m³ / sq m BUA)],"",0)</f>
        <v>0.18</v>
      </c>
      <c r="L891" s="134">
        <f>ROUND(Market_Data[[#This Row],[Estimated Built Up Area (sq m)]]*Market_Data[[#This Row],[Concrete Intensity
(m³ / sq m)]],0)</f>
        <v>3006</v>
      </c>
      <c r="M891" s="135">
        <f>_xlfn.XLOOKUP(Market_Data[[#This Row],[District]],tbl_district_price[District],tbl_district_price[Standard Price
(INR/m³)],"",0)</f>
        <v>6200</v>
      </c>
      <c r="N891" s="364">
        <f>IF(OR(Market_Data[[#This Row],[Estimated Concrete Demand (m³)]]="",Market_Data[[#This Row],[Avg Price per (₹ / m³)]]=""),"",Market_Data[[#This Row],[Estimated Concrete Demand (m³)]]*Market_Data[[#This Row],[Avg Price per (₹ / m³)]]/10000000)</f>
        <v>1.86372</v>
      </c>
      <c r="O891" s="97" t="str">
        <f>IF(Market_Data[[#This Row],[Estimated Concrete Demand (m³)]]="","",
IF(Market_Data[[#This Row],[Estimated Concrete Demand (m³)]]&lt;10000,"Small",
IF(Market_Data[[#This Row],[Estimated Concrete Demand (m³)]]&lt;25000,"Medium",
IF(Market_Data[[#This Row],[Estimated Concrete Demand (m³)]]&lt;100000,"Large","Mega"))))</f>
        <v>Small</v>
      </c>
      <c r="P891" s="287" t="str">
        <f t="shared" si="15"/>
        <v>GujRERA</v>
      </c>
    </row>
    <row r="892" spans="1:16">
      <c r="A892" s="129" t="str">
        <f>_xlfn.XLOOKUP(B892,$S$9:$S$14,$T$9:$T$14)&amp;"-"&amp;
IF(E892="Residential/Group Housing","RES",
IF(E892="Commercial","COM",
IF(E892="Mixed Development","MIX",
IF(E892="Plotted Development","PLT","OTH"))))
&amp;"-"&amp;TEXT(COUNTIFS($B$9:B892,B892,$E$9:E892,E892),"0000")</f>
        <v>SUR-MIX-0102</v>
      </c>
      <c r="B892" s="322" t="s">
        <v>34</v>
      </c>
      <c r="C892" s="322" t="s">
        <v>34</v>
      </c>
      <c r="D892" s="323" t="s">
        <v>1082</v>
      </c>
      <c r="E892" s="132" t="s">
        <v>25</v>
      </c>
      <c r="F892" s="97" t="str">
        <f ca="1">IF(OR(Market_Data[[#This Row],[Start Date]]="",Market_Data[[#This Row],[Completion Date]]=""),"Needs Validation",IF(Market_Data[[#This Row],[Start Date]]&gt;TODAY(),"Planned",IF(Market_Data[[#This Row],[Completion Date]]&lt;TODAY(),"Completed","Ongoing")))</f>
        <v>Completed</v>
      </c>
      <c r="G892" s="324">
        <v>43028</v>
      </c>
      <c r="H892" s="324">
        <v>44834</v>
      </c>
      <c r="I892" s="325">
        <v>9700</v>
      </c>
      <c r="J89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892" s="133">
        <f>_xlfn.XLOOKUP(Market_Data[[#This Row],[Project Type]],tbl_assumptions_market[Project Category (RERA)],tbl_assumptions_market[Concrete Intensity
(m³ / sq m BUA)],"",0)</f>
        <v>0.42</v>
      </c>
      <c r="L892" s="134">
        <f>ROUND(Market_Data[[#This Row],[Estimated Built Up Area (sq m)]]*Market_Data[[#This Row],[Concrete Intensity
(m³ / sq m)]],0)</f>
        <v>4074</v>
      </c>
      <c r="M892" s="135">
        <f>_xlfn.XLOOKUP(Market_Data[[#This Row],[District]],tbl_district_price[District],tbl_district_price[Standard Price
(INR/m³)],"",0)</f>
        <v>6200</v>
      </c>
      <c r="N892" s="364">
        <f>IF(OR(Market_Data[[#This Row],[Estimated Concrete Demand (m³)]]="",Market_Data[[#This Row],[Avg Price per (₹ / m³)]]=""),"",Market_Data[[#This Row],[Estimated Concrete Demand (m³)]]*Market_Data[[#This Row],[Avg Price per (₹ / m³)]]/10000000)</f>
        <v>2.5258799999999999</v>
      </c>
      <c r="O892" s="97" t="str">
        <f>IF(Market_Data[[#This Row],[Estimated Concrete Demand (m³)]]="","",
IF(Market_Data[[#This Row],[Estimated Concrete Demand (m³)]]&lt;10000,"Small",
IF(Market_Data[[#This Row],[Estimated Concrete Demand (m³)]]&lt;25000,"Medium",
IF(Market_Data[[#This Row],[Estimated Concrete Demand (m³)]]&lt;100000,"Large","Mega"))))</f>
        <v>Small</v>
      </c>
      <c r="P892" s="287" t="str">
        <f t="shared" si="15"/>
        <v>GujRERA</v>
      </c>
    </row>
    <row r="893" spans="1:16">
      <c r="A893" s="129" t="str">
        <f>_xlfn.XLOOKUP(B893,$S$9:$S$14,$T$9:$T$14)&amp;"-"&amp;
IF(E893="Residential/Group Housing","RES",
IF(E893="Commercial","COM",
IF(E893="Mixed Development","MIX",
IF(E893="Plotted Development","PLT","OTH"))))
&amp;"-"&amp;TEXT(COUNTIFS($B$9:B893,B893,$E$9:E893,E893),"0000")</f>
        <v>SUR-COM-0110</v>
      </c>
      <c r="B893" s="322" t="s">
        <v>34</v>
      </c>
      <c r="C893" s="322" t="s">
        <v>34</v>
      </c>
      <c r="D893" s="323" t="s">
        <v>1083</v>
      </c>
      <c r="E893" s="132" t="s">
        <v>23</v>
      </c>
      <c r="F893" s="97" t="str">
        <f ca="1">IF(OR(Market_Data[[#This Row],[Start Date]]="",Market_Data[[#This Row],[Completion Date]]=""),"Needs Validation",IF(Market_Data[[#This Row],[Start Date]]&gt;TODAY(),"Planned",IF(Market_Data[[#This Row],[Completion Date]]&lt;TODAY(),"Completed","Ongoing")))</f>
        <v>Completed</v>
      </c>
      <c r="G893" s="324">
        <v>43475</v>
      </c>
      <c r="H893" s="324">
        <v>46080</v>
      </c>
      <c r="I893" s="325">
        <v>9500</v>
      </c>
      <c r="J89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93" s="133">
        <f>_xlfn.XLOOKUP(Market_Data[[#This Row],[Project Type]],tbl_assumptions_market[Project Category (RERA)],tbl_assumptions_market[Concrete Intensity
(m³ / sq m BUA)],"",0)</f>
        <v>0.5</v>
      </c>
      <c r="L893" s="134">
        <f>ROUND(Market_Data[[#This Row],[Estimated Built Up Area (sq m)]]*Market_Data[[#This Row],[Concrete Intensity
(m³ / sq m)]],0)</f>
        <v>4750</v>
      </c>
      <c r="M893" s="135">
        <f>_xlfn.XLOOKUP(Market_Data[[#This Row],[District]],tbl_district_price[District],tbl_district_price[Standard Price
(INR/m³)],"",0)</f>
        <v>6200</v>
      </c>
      <c r="N893" s="364">
        <f>IF(OR(Market_Data[[#This Row],[Estimated Concrete Demand (m³)]]="",Market_Data[[#This Row],[Avg Price per (₹ / m³)]]=""),"",Market_Data[[#This Row],[Estimated Concrete Demand (m³)]]*Market_Data[[#This Row],[Avg Price per (₹ / m³)]]/10000000)</f>
        <v>2.9449999999999998</v>
      </c>
      <c r="O893" s="97" t="str">
        <f>IF(Market_Data[[#This Row],[Estimated Concrete Demand (m³)]]="","",
IF(Market_Data[[#This Row],[Estimated Concrete Demand (m³)]]&lt;10000,"Small",
IF(Market_Data[[#This Row],[Estimated Concrete Demand (m³)]]&lt;25000,"Medium",
IF(Market_Data[[#This Row],[Estimated Concrete Demand (m³)]]&lt;100000,"Large","Mega"))))</f>
        <v>Small</v>
      </c>
      <c r="P893" s="287" t="str">
        <f t="shared" si="15"/>
        <v>GujRERA</v>
      </c>
    </row>
    <row r="894" spans="1:16">
      <c r="A894" s="129" t="str">
        <f>_xlfn.XLOOKUP(B894,$S$9:$S$14,$T$9:$T$14)&amp;"-"&amp;
IF(E894="Residential/Group Housing","RES",
IF(E894="Commercial","COM",
IF(E894="Mixed Development","MIX",
IF(E894="Plotted Development","PLT","OTH"))))
&amp;"-"&amp;TEXT(COUNTIFS($B$9:B894,B894,$E$9:E894,E894),"0000")</f>
        <v>SUR-RES-0217</v>
      </c>
      <c r="B894" s="322" t="s">
        <v>34</v>
      </c>
      <c r="C894" s="322" t="s">
        <v>34</v>
      </c>
      <c r="D894" s="323" t="s">
        <v>1084</v>
      </c>
      <c r="E894" s="132" t="s">
        <v>24</v>
      </c>
      <c r="F894" s="97" t="str">
        <f ca="1">IF(OR(Market_Data[[#This Row],[Start Date]]="",Market_Data[[#This Row],[Completion Date]]=""),"Needs Validation",IF(Market_Data[[#This Row],[Start Date]]&gt;TODAY(),"Planned",IF(Market_Data[[#This Row],[Completion Date]]&lt;TODAY(),"Completed","Ongoing")))</f>
        <v>Completed</v>
      </c>
      <c r="G894" s="324">
        <v>43545</v>
      </c>
      <c r="H894" s="324">
        <v>45565</v>
      </c>
      <c r="I894" s="325">
        <v>28800</v>
      </c>
      <c r="J89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94" s="133">
        <f>_xlfn.XLOOKUP(Market_Data[[#This Row],[Project Type]],tbl_assumptions_market[Project Category (RERA)],tbl_assumptions_market[Concrete Intensity
(m³ / sq m BUA)],"",0)</f>
        <v>0.45</v>
      </c>
      <c r="L894" s="134">
        <f>ROUND(Market_Data[[#This Row],[Estimated Built Up Area (sq m)]]*Market_Data[[#This Row],[Concrete Intensity
(m³ / sq m)]],0)</f>
        <v>12960</v>
      </c>
      <c r="M894" s="135">
        <f>_xlfn.XLOOKUP(Market_Data[[#This Row],[District]],tbl_district_price[District],tbl_district_price[Standard Price
(INR/m³)],"",0)</f>
        <v>6200</v>
      </c>
      <c r="N894" s="364">
        <f>IF(OR(Market_Data[[#This Row],[Estimated Concrete Demand (m³)]]="",Market_Data[[#This Row],[Avg Price per (₹ / m³)]]=""),"",Market_Data[[#This Row],[Estimated Concrete Demand (m³)]]*Market_Data[[#This Row],[Avg Price per (₹ / m³)]]/10000000)</f>
        <v>8.0351999999999997</v>
      </c>
      <c r="O894" s="97" t="str">
        <f>IF(Market_Data[[#This Row],[Estimated Concrete Demand (m³)]]="","",
IF(Market_Data[[#This Row],[Estimated Concrete Demand (m³)]]&lt;10000,"Small",
IF(Market_Data[[#This Row],[Estimated Concrete Demand (m³)]]&lt;25000,"Medium",
IF(Market_Data[[#This Row],[Estimated Concrete Demand (m³)]]&lt;100000,"Large","Mega"))))</f>
        <v>Medium</v>
      </c>
      <c r="P894" s="287" t="str">
        <f t="shared" si="15"/>
        <v>GujRERA</v>
      </c>
    </row>
    <row r="895" spans="1:16">
      <c r="A895" s="129" t="str">
        <f>_xlfn.XLOOKUP(B895,$S$9:$S$14,$T$9:$T$14)&amp;"-"&amp;
IF(E895="Residential/Group Housing","RES",
IF(E895="Commercial","COM",
IF(E895="Mixed Development","MIX",
IF(E895="Plotted Development","PLT","OTH"))))
&amp;"-"&amp;TEXT(COUNTIFS($B$9:B895,B895,$E$9:E895,E895),"0000")</f>
        <v>SUR-RES-0218</v>
      </c>
      <c r="B895" s="322" t="s">
        <v>34</v>
      </c>
      <c r="C895" s="322" t="s">
        <v>34</v>
      </c>
      <c r="D895" s="323" t="s">
        <v>1085</v>
      </c>
      <c r="E895" s="132" t="s">
        <v>24</v>
      </c>
      <c r="F895" s="97" t="str">
        <f ca="1">IF(OR(Market_Data[[#This Row],[Start Date]]="",Market_Data[[#This Row],[Completion Date]]=""),"Needs Validation",IF(Market_Data[[#This Row],[Start Date]]&gt;TODAY(),"Planned",IF(Market_Data[[#This Row],[Completion Date]]&lt;TODAY(),"Completed","Ongoing")))</f>
        <v>Ongoing</v>
      </c>
      <c r="G895" s="324">
        <v>45444</v>
      </c>
      <c r="H895" s="324">
        <v>47483</v>
      </c>
      <c r="I895" s="325">
        <v>25000</v>
      </c>
      <c r="J89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95" s="133">
        <f>_xlfn.XLOOKUP(Market_Data[[#This Row],[Project Type]],tbl_assumptions_market[Project Category (RERA)],tbl_assumptions_market[Concrete Intensity
(m³ / sq m BUA)],"",0)</f>
        <v>0.45</v>
      </c>
      <c r="L895" s="134">
        <f>ROUND(Market_Data[[#This Row],[Estimated Built Up Area (sq m)]]*Market_Data[[#This Row],[Concrete Intensity
(m³ / sq m)]],0)</f>
        <v>11250</v>
      </c>
      <c r="M895" s="135">
        <f>_xlfn.XLOOKUP(Market_Data[[#This Row],[District]],tbl_district_price[District],tbl_district_price[Standard Price
(INR/m³)],"",0)</f>
        <v>6200</v>
      </c>
      <c r="N895" s="364">
        <f>IF(OR(Market_Data[[#This Row],[Estimated Concrete Demand (m³)]]="",Market_Data[[#This Row],[Avg Price per (₹ / m³)]]=""),"",Market_Data[[#This Row],[Estimated Concrete Demand (m³)]]*Market_Data[[#This Row],[Avg Price per (₹ / m³)]]/10000000)</f>
        <v>6.9749999999999996</v>
      </c>
      <c r="O895" s="97" t="str">
        <f>IF(Market_Data[[#This Row],[Estimated Concrete Demand (m³)]]="","",
IF(Market_Data[[#This Row],[Estimated Concrete Demand (m³)]]&lt;10000,"Small",
IF(Market_Data[[#This Row],[Estimated Concrete Demand (m³)]]&lt;25000,"Medium",
IF(Market_Data[[#This Row],[Estimated Concrete Demand (m³)]]&lt;100000,"Large","Mega"))))</f>
        <v>Medium</v>
      </c>
      <c r="P895" s="287" t="str">
        <f t="shared" si="15"/>
        <v>GujRERA</v>
      </c>
    </row>
    <row r="896" spans="1:16">
      <c r="A896" s="129" t="str">
        <f>_xlfn.XLOOKUP(B896,$S$9:$S$14,$T$9:$T$14)&amp;"-"&amp;
IF(E896="Residential/Group Housing","RES",
IF(E896="Commercial","COM",
IF(E896="Mixed Development","MIX",
IF(E896="Plotted Development","PLT","OTH"))))
&amp;"-"&amp;TEXT(COUNTIFS($B$9:B896,B896,$E$9:E896,E896),"0000")</f>
        <v>SUR-RES-0219</v>
      </c>
      <c r="B896" s="322" t="s">
        <v>34</v>
      </c>
      <c r="C896" s="322" t="s">
        <v>34</v>
      </c>
      <c r="D896" s="323" t="s">
        <v>1086</v>
      </c>
      <c r="E896" s="132" t="s">
        <v>24</v>
      </c>
      <c r="F896" s="97" t="str">
        <f ca="1">IF(OR(Market_Data[[#This Row],[Start Date]]="",Market_Data[[#This Row],[Completion Date]]=""),"Needs Validation",IF(Market_Data[[#This Row],[Start Date]]&gt;TODAY(),"Planned",IF(Market_Data[[#This Row],[Completion Date]]&lt;TODAY(),"Completed","Ongoing")))</f>
        <v>Ongoing</v>
      </c>
      <c r="G896" s="324">
        <v>44677</v>
      </c>
      <c r="H896" s="324">
        <v>46752</v>
      </c>
      <c r="I896" s="325">
        <v>30400</v>
      </c>
      <c r="J89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96" s="133">
        <f>_xlfn.XLOOKUP(Market_Data[[#This Row],[Project Type]],tbl_assumptions_market[Project Category (RERA)],tbl_assumptions_market[Concrete Intensity
(m³ / sq m BUA)],"",0)</f>
        <v>0.45</v>
      </c>
      <c r="L896" s="134">
        <f>ROUND(Market_Data[[#This Row],[Estimated Built Up Area (sq m)]]*Market_Data[[#This Row],[Concrete Intensity
(m³ / sq m)]],0)</f>
        <v>13680</v>
      </c>
      <c r="M896" s="135">
        <f>_xlfn.XLOOKUP(Market_Data[[#This Row],[District]],tbl_district_price[District],tbl_district_price[Standard Price
(INR/m³)],"",0)</f>
        <v>6200</v>
      </c>
      <c r="N896" s="364">
        <f>IF(OR(Market_Data[[#This Row],[Estimated Concrete Demand (m³)]]="",Market_Data[[#This Row],[Avg Price per (₹ / m³)]]=""),"",Market_Data[[#This Row],[Estimated Concrete Demand (m³)]]*Market_Data[[#This Row],[Avg Price per (₹ / m³)]]/10000000)</f>
        <v>8.4816000000000003</v>
      </c>
      <c r="O896" s="97" t="str">
        <f>IF(Market_Data[[#This Row],[Estimated Concrete Demand (m³)]]="","",
IF(Market_Data[[#This Row],[Estimated Concrete Demand (m³)]]&lt;10000,"Small",
IF(Market_Data[[#This Row],[Estimated Concrete Demand (m³)]]&lt;25000,"Medium",
IF(Market_Data[[#This Row],[Estimated Concrete Demand (m³)]]&lt;100000,"Large","Mega"))))</f>
        <v>Medium</v>
      </c>
      <c r="P896" s="287" t="str">
        <f t="shared" si="15"/>
        <v>GujRERA</v>
      </c>
    </row>
    <row r="897" spans="1:16">
      <c r="A897" s="129" t="str">
        <f>_xlfn.XLOOKUP(B897,$S$9:$S$14,$T$9:$T$14)&amp;"-"&amp;
IF(E897="Residential/Group Housing","RES",
IF(E897="Commercial","COM",
IF(E897="Mixed Development","MIX",
IF(E897="Plotted Development","PLT","OTH"))))
&amp;"-"&amp;TEXT(COUNTIFS($B$9:B897,B897,$E$9:E897,E897),"0000")</f>
        <v>SUR-COM-0111</v>
      </c>
      <c r="B897" s="322" t="s">
        <v>34</v>
      </c>
      <c r="C897" s="322" t="s">
        <v>34</v>
      </c>
      <c r="D897" s="323" t="s">
        <v>1087</v>
      </c>
      <c r="E897" s="132" t="s">
        <v>23</v>
      </c>
      <c r="F897" s="97" t="str">
        <f ca="1">IF(OR(Market_Data[[#This Row],[Start Date]]="",Market_Data[[#This Row],[Completion Date]]=""),"Needs Validation",IF(Market_Data[[#This Row],[Start Date]]&gt;TODAY(),"Planned",IF(Market_Data[[#This Row],[Completion Date]]&lt;TODAY(),"Completed","Ongoing")))</f>
        <v>Ongoing</v>
      </c>
      <c r="G897" s="324">
        <v>45692</v>
      </c>
      <c r="H897" s="324">
        <v>47483</v>
      </c>
      <c r="I897" s="325">
        <v>23900</v>
      </c>
      <c r="J89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897" s="133">
        <f>_xlfn.XLOOKUP(Market_Data[[#This Row],[Project Type]],tbl_assumptions_market[Project Category (RERA)],tbl_assumptions_market[Concrete Intensity
(m³ / sq m BUA)],"",0)</f>
        <v>0.5</v>
      </c>
      <c r="L897" s="134">
        <f>ROUND(Market_Data[[#This Row],[Estimated Built Up Area (sq m)]]*Market_Data[[#This Row],[Concrete Intensity
(m³ / sq m)]],0)</f>
        <v>11950</v>
      </c>
      <c r="M897" s="135">
        <f>_xlfn.XLOOKUP(Market_Data[[#This Row],[District]],tbl_district_price[District],tbl_district_price[Standard Price
(INR/m³)],"",0)</f>
        <v>6200</v>
      </c>
      <c r="N897" s="364">
        <f>IF(OR(Market_Data[[#This Row],[Estimated Concrete Demand (m³)]]="",Market_Data[[#This Row],[Avg Price per (₹ / m³)]]=""),"",Market_Data[[#This Row],[Estimated Concrete Demand (m³)]]*Market_Data[[#This Row],[Avg Price per (₹ / m³)]]/10000000)</f>
        <v>7.4089999999999998</v>
      </c>
      <c r="O897" s="97" t="str">
        <f>IF(Market_Data[[#This Row],[Estimated Concrete Demand (m³)]]="","",
IF(Market_Data[[#This Row],[Estimated Concrete Demand (m³)]]&lt;10000,"Small",
IF(Market_Data[[#This Row],[Estimated Concrete Demand (m³)]]&lt;25000,"Medium",
IF(Market_Data[[#This Row],[Estimated Concrete Demand (m³)]]&lt;100000,"Large","Mega"))))</f>
        <v>Medium</v>
      </c>
      <c r="P897" s="287" t="str">
        <f t="shared" si="15"/>
        <v>GujRERA</v>
      </c>
    </row>
    <row r="898" spans="1:16">
      <c r="A898" s="129" t="str">
        <f>_xlfn.XLOOKUP(B898,$S$9:$S$14,$T$9:$T$14)&amp;"-"&amp;
IF(E898="Residential/Group Housing","RES",
IF(E898="Commercial","COM",
IF(E898="Mixed Development","MIX",
IF(E898="Plotted Development","PLT","OTH"))))
&amp;"-"&amp;TEXT(COUNTIFS($B$9:B898,B898,$E$9:E898,E898),"0000")</f>
        <v>SUR-MIX-0103</v>
      </c>
      <c r="B898" s="322" t="s">
        <v>34</v>
      </c>
      <c r="C898" s="322" t="s">
        <v>34</v>
      </c>
      <c r="D898" s="323" t="s">
        <v>1088</v>
      </c>
      <c r="E898" s="132" t="s">
        <v>25</v>
      </c>
      <c r="F898" s="97" t="str">
        <f ca="1">IF(OR(Market_Data[[#This Row],[Start Date]]="",Market_Data[[#This Row],[Completion Date]]=""),"Needs Validation",IF(Market_Data[[#This Row],[Start Date]]&gt;TODAY(),"Planned",IF(Market_Data[[#This Row],[Completion Date]]&lt;TODAY(),"Completed","Ongoing")))</f>
        <v>Completed</v>
      </c>
      <c r="G898" s="324">
        <v>42109</v>
      </c>
      <c r="H898" s="324">
        <v>43465</v>
      </c>
      <c r="I898" s="325">
        <v>26400</v>
      </c>
      <c r="J89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98" s="133">
        <f>_xlfn.XLOOKUP(Market_Data[[#This Row],[Project Type]],tbl_assumptions_market[Project Category (RERA)],tbl_assumptions_market[Concrete Intensity
(m³ / sq m BUA)],"",0)</f>
        <v>0.42</v>
      </c>
      <c r="L898" s="134">
        <f>ROUND(Market_Data[[#This Row],[Estimated Built Up Area (sq m)]]*Market_Data[[#This Row],[Concrete Intensity
(m³ / sq m)]],0)</f>
        <v>11088</v>
      </c>
      <c r="M898" s="135">
        <f>_xlfn.XLOOKUP(Market_Data[[#This Row],[District]],tbl_district_price[District],tbl_district_price[Standard Price
(INR/m³)],"",0)</f>
        <v>6200</v>
      </c>
      <c r="N898" s="364">
        <f>IF(OR(Market_Data[[#This Row],[Estimated Concrete Demand (m³)]]="",Market_Data[[#This Row],[Avg Price per (₹ / m³)]]=""),"",Market_Data[[#This Row],[Estimated Concrete Demand (m³)]]*Market_Data[[#This Row],[Avg Price per (₹ / m³)]]/10000000)</f>
        <v>6.8745599999999998</v>
      </c>
      <c r="O898" s="97" t="str">
        <f>IF(Market_Data[[#This Row],[Estimated Concrete Demand (m³)]]="","",
IF(Market_Data[[#This Row],[Estimated Concrete Demand (m³)]]&lt;10000,"Small",
IF(Market_Data[[#This Row],[Estimated Concrete Demand (m³)]]&lt;25000,"Medium",
IF(Market_Data[[#This Row],[Estimated Concrete Demand (m³)]]&lt;100000,"Large","Mega"))))</f>
        <v>Medium</v>
      </c>
      <c r="P898" s="287" t="str">
        <f t="shared" si="15"/>
        <v>GujRERA</v>
      </c>
    </row>
    <row r="899" spans="1:16">
      <c r="A899" s="129" t="str">
        <f>_xlfn.XLOOKUP(B899,$S$9:$S$14,$T$9:$T$14)&amp;"-"&amp;
IF(E899="Residential/Group Housing","RES",
IF(E899="Commercial","COM",
IF(E899="Mixed Development","MIX",
IF(E899="Plotted Development","PLT","OTH"))))
&amp;"-"&amp;TEXT(COUNTIFS($B$9:B899,B899,$E$9:E899,E899),"0000")</f>
        <v>SUR-RES-0220</v>
      </c>
      <c r="B899" s="322" t="s">
        <v>34</v>
      </c>
      <c r="C899" s="322" t="s">
        <v>34</v>
      </c>
      <c r="D899" s="323" t="s">
        <v>1089</v>
      </c>
      <c r="E899" s="132" t="s">
        <v>24</v>
      </c>
      <c r="F899" s="97" t="str">
        <f ca="1">IF(OR(Market_Data[[#This Row],[Start Date]]="",Market_Data[[#This Row],[Completion Date]]=""),"Needs Validation",IF(Market_Data[[#This Row],[Start Date]]&gt;TODAY(),"Planned",IF(Market_Data[[#This Row],[Completion Date]]&lt;TODAY(),"Completed","Ongoing")))</f>
        <v>Completed</v>
      </c>
      <c r="G899" s="324">
        <v>42215</v>
      </c>
      <c r="H899" s="324">
        <v>44864</v>
      </c>
      <c r="I899" s="325">
        <v>39300</v>
      </c>
      <c r="J89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899" s="133">
        <f>_xlfn.XLOOKUP(Market_Data[[#This Row],[Project Type]],tbl_assumptions_market[Project Category (RERA)],tbl_assumptions_market[Concrete Intensity
(m³ / sq m BUA)],"",0)</f>
        <v>0.45</v>
      </c>
      <c r="L899" s="134">
        <f>ROUND(Market_Data[[#This Row],[Estimated Built Up Area (sq m)]]*Market_Data[[#This Row],[Concrete Intensity
(m³ / sq m)]],0)</f>
        <v>17685</v>
      </c>
      <c r="M899" s="135">
        <f>_xlfn.XLOOKUP(Market_Data[[#This Row],[District]],tbl_district_price[District],tbl_district_price[Standard Price
(INR/m³)],"",0)</f>
        <v>6200</v>
      </c>
      <c r="N899" s="364">
        <f>IF(OR(Market_Data[[#This Row],[Estimated Concrete Demand (m³)]]="",Market_Data[[#This Row],[Avg Price per (₹ / m³)]]=""),"",Market_Data[[#This Row],[Estimated Concrete Demand (m³)]]*Market_Data[[#This Row],[Avg Price per (₹ / m³)]]/10000000)</f>
        <v>10.964700000000001</v>
      </c>
      <c r="O899" s="97" t="str">
        <f>IF(Market_Data[[#This Row],[Estimated Concrete Demand (m³)]]="","",
IF(Market_Data[[#This Row],[Estimated Concrete Demand (m³)]]&lt;10000,"Small",
IF(Market_Data[[#This Row],[Estimated Concrete Demand (m³)]]&lt;25000,"Medium",
IF(Market_Data[[#This Row],[Estimated Concrete Demand (m³)]]&lt;100000,"Large","Mega"))))</f>
        <v>Medium</v>
      </c>
      <c r="P899" s="287" t="str">
        <f t="shared" si="15"/>
        <v>GujRERA</v>
      </c>
    </row>
    <row r="900" spans="1:16">
      <c r="A900" s="129" t="str">
        <f>_xlfn.XLOOKUP(B900,$S$9:$S$14,$T$9:$T$14)&amp;"-"&amp;
IF(E900="Residential/Group Housing","RES",
IF(E900="Commercial","COM",
IF(E900="Mixed Development","MIX",
IF(E900="Plotted Development","PLT","OTH"))))
&amp;"-"&amp;TEXT(COUNTIFS($B$9:B900,B900,$E$9:E900,E900),"0000")</f>
        <v>SUR-PLT-0148</v>
      </c>
      <c r="B900" s="322" t="s">
        <v>34</v>
      </c>
      <c r="C900" s="322" t="s">
        <v>34</v>
      </c>
      <c r="D900" s="323" t="s">
        <v>1090</v>
      </c>
      <c r="E900" s="132" t="s">
        <v>26</v>
      </c>
      <c r="F900" s="97" t="str">
        <f ca="1">IF(OR(Market_Data[[#This Row],[Start Date]]="",Market_Data[[#This Row],[Completion Date]]=""),"Needs Validation",IF(Market_Data[[#This Row],[Start Date]]&gt;TODAY(),"Planned",IF(Market_Data[[#This Row],[Completion Date]]&lt;TODAY(),"Completed","Ongoing")))</f>
        <v>Completed</v>
      </c>
      <c r="G900" s="324">
        <v>42942</v>
      </c>
      <c r="H900" s="324">
        <v>44402</v>
      </c>
      <c r="I900" s="325">
        <v>44400</v>
      </c>
      <c r="J90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900" s="133">
        <f>_xlfn.XLOOKUP(Market_Data[[#This Row],[Project Type]],tbl_assumptions_market[Project Category (RERA)],tbl_assumptions_market[Concrete Intensity
(m³ / sq m BUA)],"",0)</f>
        <v>0.18</v>
      </c>
      <c r="L900" s="134">
        <f>ROUND(Market_Data[[#This Row],[Estimated Built Up Area (sq m)]]*Market_Data[[#This Row],[Concrete Intensity
(m³ / sq m)]],0)</f>
        <v>7992</v>
      </c>
      <c r="M900" s="135">
        <f>_xlfn.XLOOKUP(Market_Data[[#This Row],[District]],tbl_district_price[District],tbl_district_price[Standard Price
(INR/m³)],"",0)</f>
        <v>6200</v>
      </c>
      <c r="N900" s="364">
        <f>IF(OR(Market_Data[[#This Row],[Estimated Concrete Demand (m³)]]="",Market_Data[[#This Row],[Avg Price per (₹ / m³)]]=""),"",Market_Data[[#This Row],[Estimated Concrete Demand (m³)]]*Market_Data[[#This Row],[Avg Price per (₹ / m³)]]/10000000)</f>
        <v>4.9550400000000003</v>
      </c>
      <c r="O900" s="97" t="str">
        <f>IF(Market_Data[[#This Row],[Estimated Concrete Demand (m³)]]="","",
IF(Market_Data[[#This Row],[Estimated Concrete Demand (m³)]]&lt;10000,"Small",
IF(Market_Data[[#This Row],[Estimated Concrete Demand (m³)]]&lt;25000,"Medium",
IF(Market_Data[[#This Row],[Estimated Concrete Demand (m³)]]&lt;100000,"Large","Mega"))))</f>
        <v>Small</v>
      </c>
      <c r="P900" s="287" t="str">
        <f t="shared" si="15"/>
        <v>GujRERA</v>
      </c>
    </row>
    <row r="901" spans="1:16">
      <c r="A901" s="129" t="str">
        <f>_xlfn.XLOOKUP(B901,$S$9:$S$14,$T$9:$T$14)&amp;"-"&amp;
IF(E901="Residential/Group Housing","RES",
IF(E901="Commercial","COM",
IF(E901="Mixed Development","MIX",
IF(E901="Plotted Development","PLT","OTH"))))
&amp;"-"&amp;TEXT(COUNTIFS($B$9:B901,B901,$E$9:E901,E901),"0000")</f>
        <v>SUR-RES-0221</v>
      </c>
      <c r="B901" s="322" t="s">
        <v>34</v>
      </c>
      <c r="C901" s="322" t="s">
        <v>34</v>
      </c>
      <c r="D901" s="323" t="s">
        <v>1091</v>
      </c>
      <c r="E901" s="132" t="s">
        <v>24</v>
      </c>
      <c r="F901" s="97" t="str">
        <f ca="1">IF(OR(Market_Data[[#This Row],[Start Date]]="",Market_Data[[#This Row],[Completion Date]]=""),"Needs Validation",IF(Market_Data[[#This Row],[Start Date]]&gt;TODAY(),"Planned",IF(Market_Data[[#This Row],[Completion Date]]&lt;TODAY(),"Completed","Ongoing")))</f>
        <v>Completed</v>
      </c>
      <c r="G901" s="324">
        <v>45133</v>
      </c>
      <c r="H901" s="324">
        <v>46234</v>
      </c>
      <c r="I901" s="325">
        <v>49800</v>
      </c>
      <c r="J90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01" s="133">
        <f>_xlfn.XLOOKUP(Market_Data[[#This Row],[Project Type]],tbl_assumptions_market[Project Category (RERA)],tbl_assumptions_market[Concrete Intensity
(m³ / sq m BUA)],"",0)</f>
        <v>0.45</v>
      </c>
      <c r="L901" s="134">
        <f>ROUND(Market_Data[[#This Row],[Estimated Built Up Area (sq m)]]*Market_Data[[#This Row],[Concrete Intensity
(m³ / sq m)]],0)</f>
        <v>22410</v>
      </c>
      <c r="M901" s="135">
        <f>_xlfn.XLOOKUP(Market_Data[[#This Row],[District]],tbl_district_price[District],tbl_district_price[Standard Price
(INR/m³)],"",0)</f>
        <v>6200</v>
      </c>
      <c r="N901" s="364">
        <f>IF(OR(Market_Data[[#This Row],[Estimated Concrete Demand (m³)]]="",Market_Data[[#This Row],[Avg Price per (₹ / m³)]]=""),"",Market_Data[[#This Row],[Estimated Concrete Demand (m³)]]*Market_Data[[#This Row],[Avg Price per (₹ / m³)]]/10000000)</f>
        <v>13.8942</v>
      </c>
      <c r="O901" s="97" t="str">
        <f>IF(Market_Data[[#This Row],[Estimated Concrete Demand (m³)]]="","",
IF(Market_Data[[#This Row],[Estimated Concrete Demand (m³)]]&lt;10000,"Small",
IF(Market_Data[[#This Row],[Estimated Concrete Demand (m³)]]&lt;25000,"Medium",
IF(Market_Data[[#This Row],[Estimated Concrete Demand (m³)]]&lt;100000,"Large","Mega"))))</f>
        <v>Medium</v>
      </c>
      <c r="P901" s="287" t="str">
        <f t="shared" si="15"/>
        <v>GujRERA</v>
      </c>
    </row>
    <row r="902" spans="1:16">
      <c r="A902" s="129" t="str">
        <f>_xlfn.XLOOKUP(B902,$S$9:$S$14,$T$9:$T$14)&amp;"-"&amp;
IF(E902="Residential/Group Housing","RES",
IF(E902="Commercial","COM",
IF(E902="Mixed Development","MIX",
IF(E902="Plotted Development","PLT","OTH"))))
&amp;"-"&amp;TEXT(COUNTIFS($B$9:B902,B902,$E$9:E902,E902),"0000")</f>
        <v>SUR-PLT-0149</v>
      </c>
      <c r="B902" s="322" t="s">
        <v>34</v>
      </c>
      <c r="C902" s="322" t="s">
        <v>34</v>
      </c>
      <c r="D902" s="323" t="s">
        <v>1092</v>
      </c>
      <c r="E902" s="132" t="s">
        <v>26</v>
      </c>
      <c r="F902" s="97" t="str">
        <f ca="1">IF(OR(Market_Data[[#This Row],[Start Date]]="",Market_Data[[#This Row],[Completion Date]]=""),"Needs Validation",IF(Market_Data[[#This Row],[Start Date]]&gt;TODAY(),"Planned",IF(Market_Data[[#This Row],[Completion Date]]&lt;TODAY(),"Completed","Ongoing")))</f>
        <v>Ongoing</v>
      </c>
      <c r="G902" s="324">
        <v>45189</v>
      </c>
      <c r="H902" s="324">
        <v>46752</v>
      </c>
      <c r="I902" s="325">
        <v>21000</v>
      </c>
      <c r="J90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02" s="133">
        <f>_xlfn.XLOOKUP(Market_Data[[#This Row],[Project Type]],tbl_assumptions_market[Project Category (RERA)],tbl_assumptions_market[Concrete Intensity
(m³ / sq m BUA)],"",0)</f>
        <v>0.18</v>
      </c>
      <c r="L902" s="134">
        <f>ROUND(Market_Data[[#This Row],[Estimated Built Up Area (sq m)]]*Market_Data[[#This Row],[Concrete Intensity
(m³ / sq m)]],0)</f>
        <v>3780</v>
      </c>
      <c r="M902" s="135">
        <f>_xlfn.XLOOKUP(Market_Data[[#This Row],[District]],tbl_district_price[District],tbl_district_price[Standard Price
(INR/m³)],"",0)</f>
        <v>6200</v>
      </c>
      <c r="N902" s="364">
        <f>IF(OR(Market_Data[[#This Row],[Estimated Concrete Demand (m³)]]="",Market_Data[[#This Row],[Avg Price per (₹ / m³)]]=""),"",Market_Data[[#This Row],[Estimated Concrete Demand (m³)]]*Market_Data[[#This Row],[Avg Price per (₹ / m³)]]/10000000)</f>
        <v>2.3435999999999999</v>
      </c>
      <c r="O902" s="97" t="str">
        <f>IF(Market_Data[[#This Row],[Estimated Concrete Demand (m³)]]="","",
IF(Market_Data[[#This Row],[Estimated Concrete Demand (m³)]]&lt;10000,"Small",
IF(Market_Data[[#This Row],[Estimated Concrete Demand (m³)]]&lt;25000,"Medium",
IF(Market_Data[[#This Row],[Estimated Concrete Demand (m³)]]&lt;100000,"Large","Mega"))))</f>
        <v>Small</v>
      </c>
      <c r="P902" s="287" t="str">
        <f t="shared" si="15"/>
        <v>GujRERA</v>
      </c>
    </row>
    <row r="903" spans="1:16">
      <c r="A903" s="129" t="str">
        <f>_xlfn.XLOOKUP(B903,$S$9:$S$14,$T$9:$T$14)&amp;"-"&amp;
IF(E903="Residential/Group Housing","RES",
IF(E903="Commercial","COM",
IF(E903="Mixed Development","MIX",
IF(E903="Plotted Development","PLT","OTH"))))
&amp;"-"&amp;TEXT(COUNTIFS($B$9:B903,B903,$E$9:E903,E903),"0000")</f>
        <v>SUR-COM-0112</v>
      </c>
      <c r="B903" s="322" t="s">
        <v>34</v>
      </c>
      <c r="C903" s="322" t="s">
        <v>34</v>
      </c>
      <c r="D903" s="323" t="s">
        <v>1093</v>
      </c>
      <c r="E903" s="132" t="s">
        <v>23</v>
      </c>
      <c r="F903" s="97" t="str">
        <f ca="1">IF(OR(Market_Data[[#This Row],[Start Date]]="",Market_Data[[#This Row],[Completion Date]]=""),"Needs Validation",IF(Market_Data[[#This Row],[Start Date]]&gt;TODAY(),"Planned",IF(Market_Data[[#This Row],[Completion Date]]&lt;TODAY(),"Completed","Ongoing")))</f>
        <v>Completed</v>
      </c>
      <c r="G903" s="324">
        <v>43185</v>
      </c>
      <c r="H903" s="324">
        <v>44742</v>
      </c>
      <c r="I903" s="325">
        <v>6000</v>
      </c>
      <c r="J90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03" s="133">
        <f>_xlfn.XLOOKUP(Market_Data[[#This Row],[Project Type]],tbl_assumptions_market[Project Category (RERA)],tbl_assumptions_market[Concrete Intensity
(m³ / sq m BUA)],"",0)</f>
        <v>0.5</v>
      </c>
      <c r="L903" s="134">
        <f>ROUND(Market_Data[[#This Row],[Estimated Built Up Area (sq m)]]*Market_Data[[#This Row],[Concrete Intensity
(m³ / sq m)]],0)</f>
        <v>3000</v>
      </c>
      <c r="M903" s="135">
        <f>_xlfn.XLOOKUP(Market_Data[[#This Row],[District]],tbl_district_price[District],tbl_district_price[Standard Price
(INR/m³)],"",0)</f>
        <v>6200</v>
      </c>
      <c r="N903" s="364">
        <f>IF(OR(Market_Data[[#This Row],[Estimated Concrete Demand (m³)]]="",Market_Data[[#This Row],[Avg Price per (₹ / m³)]]=""),"",Market_Data[[#This Row],[Estimated Concrete Demand (m³)]]*Market_Data[[#This Row],[Avg Price per (₹ / m³)]]/10000000)</f>
        <v>1.86</v>
      </c>
      <c r="O903" s="97" t="str">
        <f>IF(Market_Data[[#This Row],[Estimated Concrete Demand (m³)]]="","",
IF(Market_Data[[#This Row],[Estimated Concrete Demand (m³)]]&lt;10000,"Small",
IF(Market_Data[[#This Row],[Estimated Concrete Demand (m³)]]&lt;25000,"Medium",
IF(Market_Data[[#This Row],[Estimated Concrete Demand (m³)]]&lt;100000,"Large","Mega"))))</f>
        <v>Small</v>
      </c>
      <c r="P903" s="287" t="str">
        <f t="shared" si="15"/>
        <v>GujRERA</v>
      </c>
    </row>
    <row r="904" spans="1:16">
      <c r="A904" s="129" t="str">
        <f>_xlfn.XLOOKUP(B904,$S$9:$S$14,$T$9:$T$14)&amp;"-"&amp;
IF(E904="Residential/Group Housing","RES",
IF(E904="Commercial","COM",
IF(E904="Mixed Development","MIX",
IF(E904="Plotted Development","PLT","OTH"))))
&amp;"-"&amp;TEXT(COUNTIFS($B$9:B904,B904,$E$9:E904,E904),"0000")</f>
        <v>SUR-MIX-0104</v>
      </c>
      <c r="B904" s="322" t="s">
        <v>34</v>
      </c>
      <c r="C904" s="322" t="s">
        <v>34</v>
      </c>
      <c r="D904" s="323" t="s">
        <v>1094</v>
      </c>
      <c r="E904" s="132" t="s">
        <v>25</v>
      </c>
      <c r="F904" s="97" t="str">
        <f ca="1">IF(OR(Market_Data[[#This Row],[Start Date]]="",Market_Data[[#This Row],[Completion Date]]=""),"Needs Validation",IF(Market_Data[[#This Row],[Start Date]]&gt;TODAY(),"Planned",IF(Market_Data[[#This Row],[Completion Date]]&lt;TODAY(),"Completed","Ongoing")))</f>
        <v>Completed</v>
      </c>
      <c r="G904" s="324">
        <v>43565</v>
      </c>
      <c r="H904" s="324">
        <v>45565</v>
      </c>
      <c r="I904" s="325">
        <v>16000</v>
      </c>
      <c r="J90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04" s="133">
        <f>_xlfn.XLOOKUP(Market_Data[[#This Row],[Project Type]],tbl_assumptions_market[Project Category (RERA)],tbl_assumptions_market[Concrete Intensity
(m³ / sq m BUA)],"",0)</f>
        <v>0.42</v>
      </c>
      <c r="L904" s="134">
        <f>ROUND(Market_Data[[#This Row],[Estimated Built Up Area (sq m)]]*Market_Data[[#This Row],[Concrete Intensity
(m³ / sq m)]],0)</f>
        <v>6720</v>
      </c>
      <c r="M904" s="135">
        <f>_xlfn.XLOOKUP(Market_Data[[#This Row],[District]],tbl_district_price[District],tbl_district_price[Standard Price
(INR/m³)],"",0)</f>
        <v>6200</v>
      </c>
      <c r="N904" s="364">
        <f>IF(OR(Market_Data[[#This Row],[Estimated Concrete Demand (m³)]]="",Market_Data[[#This Row],[Avg Price per (₹ / m³)]]=""),"",Market_Data[[#This Row],[Estimated Concrete Demand (m³)]]*Market_Data[[#This Row],[Avg Price per (₹ / m³)]]/10000000)</f>
        <v>4.1664000000000003</v>
      </c>
      <c r="O904" s="97" t="str">
        <f>IF(Market_Data[[#This Row],[Estimated Concrete Demand (m³)]]="","",
IF(Market_Data[[#This Row],[Estimated Concrete Demand (m³)]]&lt;10000,"Small",
IF(Market_Data[[#This Row],[Estimated Concrete Demand (m³)]]&lt;25000,"Medium",
IF(Market_Data[[#This Row],[Estimated Concrete Demand (m³)]]&lt;100000,"Large","Mega"))))</f>
        <v>Small</v>
      </c>
      <c r="P904" s="287" t="str">
        <f t="shared" si="15"/>
        <v>GujRERA</v>
      </c>
    </row>
    <row r="905" spans="1:16">
      <c r="A905" s="129" t="str">
        <f>_xlfn.XLOOKUP(B905,$S$9:$S$14,$T$9:$T$14)&amp;"-"&amp;
IF(E905="Residential/Group Housing","RES",
IF(E905="Commercial","COM",
IF(E905="Mixed Development","MIX",
IF(E905="Plotted Development","PLT","OTH"))))
&amp;"-"&amp;TEXT(COUNTIFS($B$9:B905,B905,$E$9:E905,E905),"0000")</f>
        <v>SUR-RES-0222</v>
      </c>
      <c r="B905" s="322" t="s">
        <v>34</v>
      </c>
      <c r="C905" s="322" t="s">
        <v>34</v>
      </c>
      <c r="D905" s="323" t="s">
        <v>1095</v>
      </c>
      <c r="E905" s="132" t="s">
        <v>24</v>
      </c>
      <c r="F905" s="97" t="str">
        <f ca="1">IF(OR(Market_Data[[#This Row],[Start Date]]="",Market_Data[[#This Row],[Completion Date]]=""),"Needs Validation",IF(Market_Data[[#This Row],[Start Date]]&gt;TODAY(),"Planned",IF(Market_Data[[#This Row],[Completion Date]]&lt;TODAY(),"Completed","Ongoing")))</f>
        <v>Completed</v>
      </c>
      <c r="G905" s="324">
        <v>43055</v>
      </c>
      <c r="H905" s="324">
        <v>44849</v>
      </c>
      <c r="I905" s="325">
        <v>27500</v>
      </c>
      <c r="J90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05" s="133">
        <f>_xlfn.XLOOKUP(Market_Data[[#This Row],[Project Type]],tbl_assumptions_market[Project Category (RERA)],tbl_assumptions_market[Concrete Intensity
(m³ / sq m BUA)],"",0)</f>
        <v>0.45</v>
      </c>
      <c r="L905" s="134">
        <f>ROUND(Market_Data[[#This Row],[Estimated Built Up Area (sq m)]]*Market_Data[[#This Row],[Concrete Intensity
(m³ / sq m)]],0)</f>
        <v>12375</v>
      </c>
      <c r="M905" s="135">
        <f>_xlfn.XLOOKUP(Market_Data[[#This Row],[District]],tbl_district_price[District],tbl_district_price[Standard Price
(INR/m³)],"",0)</f>
        <v>6200</v>
      </c>
      <c r="N905" s="364">
        <f>IF(OR(Market_Data[[#This Row],[Estimated Concrete Demand (m³)]]="",Market_Data[[#This Row],[Avg Price per (₹ / m³)]]=""),"",Market_Data[[#This Row],[Estimated Concrete Demand (m³)]]*Market_Data[[#This Row],[Avg Price per (₹ / m³)]]/10000000)</f>
        <v>7.6725000000000003</v>
      </c>
      <c r="O905" s="97" t="str">
        <f>IF(Market_Data[[#This Row],[Estimated Concrete Demand (m³)]]="","",
IF(Market_Data[[#This Row],[Estimated Concrete Demand (m³)]]&lt;10000,"Small",
IF(Market_Data[[#This Row],[Estimated Concrete Demand (m³)]]&lt;25000,"Medium",
IF(Market_Data[[#This Row],[Estimated Concrete Demand (m³)]]&lt;100000,"Large","Mega"))))</f>
        <v>Medium</v>
      </c>
      <c r="P905" s="287" t="str">
        <f t="shared" si="15"/>
        <v>GujRERA</v>
      </c>
    </row>
    <row r="906" spans="1:16">
      <c r="A906" s="129" t="str">
        <f>_xlfn.XLOOKUP(B906,$S$9:$S$14,$T$9:$T$14)&amp;"-"&amp;
IF(E906="Residential/Group Housing","RES",
IF(E906="Commercial","COM",
IF(E906="Mixed Development","MIX",
IF(E906="Plotted Development","PLT","OTH"))))
&amp;"-"&amp;TEXT(COUNTIFS($B$9:B906,B906,$E$9:E906,E906),"0000")</f>
        <v>SUR-PLT-0150</v>
      </c>
      <c r="B906" s="322" t="s">
        <v>34</v>
      </c>
      <c r="C906" s="322" t="s">
        <v>34</v>
      </c>
      <c r="D906" s="323" t="s">
        <v>1096</v>
      </c>
      <c r="E906" s="132" t="s">
        <v>26</v>
      </c>
      <c r="F906" s="97" t="str">
        <f ca="1">IF(OR(Market_Data[[#This Row],[Start Date]]="",Market_Data[[#This Row],[Completion Date]]=""),"Needs Validation",IF(Market_Data[[#This Row],[Start Date]]&gt;TODAY(),"Planned",IF(Market_Data[[#This Row],[Completion Date]]&lt;TODAY(),"Completed","Ongoing")))</f>
        <v>Completed</v>
      </c>
      <c r="G906" s="324">
        <v>44795</v>
      </c>
      <c r="H906" s="324">
        <v>45657</v>
      </c>
      <c r="I906" s="325">
        <v>31900</v>
      </c>
      <c r="J90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906" s="133">
        <f>_xlfn.XLOOKUP(Market_Data[[#This Row],[Project Type]],tbl_assumptions_market[Project Category (RERA)],tbl_assumptions_market[Concrete Intensity
(m³ / sq m BUA)],"",0)</f>
        <v>0.18</v>
      </c>
      <c r="L906" s="134">
        <f>ROUND(Market_Data[[#This Row],[Estimated Built Up Area (sq m)]]*Market_Data[[#This Row],[Concrete Intensity
(m³ / sq m)]],0)</f>
        <v>5742</v>
      </c>
      <c r="M906" s="135">
        <f>_xlfn.XLOOKUP(Market_Data[[#This Row],[District]],tbl_district_price[District],tbl_district_price[Standard Price
(INR/m³)],"",0)</f>
        <v>6200</v>
      </c>
      <c r="N906" s="364">
        <f>IF(OR(Market_Data[[#This Row],[Estimated Concrete Demand (m³)]]="",Market_Data[[#This Row],[Avg Price per (₹ / m³)]]=""),"",Market_Data[[#This Row],[Estimated Concrete Demand (m³)]]*Market_Data[[#This Row],[Avg Price per (₹ / m³)]]/10000000)</f>
        <v>3.5600399999999999</v>
      </c>
      <c r="O906" s="97" t="str">
        <f>IF(Market_Data[[#This Row],[Estimated Concrete Demand (m³)]]="","",
IF(Market_Data[[#This Row],[Estimated Concrete Demand (m³)]]&lt;10000,"Small",
IF(Market_Data[[#This Row],[Estimated Concrete Demand (m³)]]&lt;25000,"Medium",
IF(Market_Data[[#This Row],[Estimated Concrete Demand (m³)]]&lt;100000,"Large","Mega"))))</f>
        <v>Small</v>
      </c>
      <c r="P906" s="287" t="str">
        <f t="shared" ref="P906:P969" si="16">HYPERLINK(
"https://gujrera.gujarat.gov.in",
"GujRERA")</f>
        <v>GujRERA</v>
      </c>
    </row>
    <row r="907" spans="1:16">
      <c r="A907" s="129" t="str">
        <f>_xlfn.XLOOKUP(B907,$S$9:$S$14,$T$9:$T$14)&amp;"-"&amp;
IF(E907="Residential/Group Housing","RES",
IF(E907="Commercial","COM",
IF(E907="Mixed Development","MIX",
IF(E907="Plotted Development","PLT","OTH"))))
&amp;"-"&amp;TEXT(COUNTIFS($B$9:B907,B907,$E$9:E907,E907),"0000")</f>
        <v>SUR-RES-0223</v>
      </c>
      <c r="B907" s="322" t="s">
        <v>34</v>
      </c>
      <c r="C907" s="322" t="s">
        <v>34</v>
      </c>
      <c r="D907" s="323" t="s">
        <v>1097</v>
      </c>
      <c r="E907" s="132" t="s">
        <v>24</v>
      </c>
      <c r="F907" s="97" t="str">
        <f ca="1">IF(OR(Market_Data[[#This Row],[Start Date]]="",Market_Data[[#This Row],[Completion Date]]=""),"Needs Validation",IF(Market_Data[[#This Row],[Start Date]]&gt;TODAY(),"Planned",IF(Market_Data[[#This Row],[Completion Date]]&lt;TODAY(),"Completed","Ongoing")))</f>
        <v>Ongoing</v>
      </c>
      <c r="G907" s="324">
        <v>44679</v>
      </c>
      <c r="H907" s="324">
        <v>46691</v>
      </c>
      <c r="I907" s="325">
        <v>25200</v>
      </c>
      <c r="J90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07" s="133">
        <f>_xlfn.XLOOKUP(Market_Data[[#This Row],[Project Type]],tbl_assumptions_market[Project Category (RERA)],tbl_assumptions_market[Concrete Intensity
(m³ / sq m BUA)],"",0)</f>
        <v>0.45</v>
      </c>
      <c r="L907" s="134">
        <f>ROUND(Market_Data[[#This Row],[Estimated Built Up Area (sq m)]]*Market_Data[[#This Row],[Concrete Intensity
(m³ / sq m)]],0)</f>
        <v>11340</v>
      </c>
      <c r="M907" s="135">
        <f>_xlfn.XLOOKUP(Market_Data[[#This Row],[District]],tbl_district_price[District],tbl_district_price[Standard Price
(INR/m³)],"",0)</f>
        <v>6200</v>
      </c>
      <c r="N907" s="364">
        <f>IF(OR(Market_Data[[#This Row],[Estimated Concrete Demand (m³)]]="",Market_Data[[#This Row],[Avg Price per (₹ / m³)]]=""),"",Market_Data[[#This Row],[Estimated Concrete Demand (m³)]]*Market_Data[[#This Row],[Avg Price per (₹ / m³)]]/10000000)</f>
        <v>7.0308000000000002</v>
      </c>
      <c r="O907" s="97" t="str">
        <f>IF(Market_Data[[#This Row],[Estimated Concrete Demand (m³)]]="","",
IF(Market_Data[[#This Row],[Estimated Concrete Demand (m³)]]&lt;10000,"Small",
IF(Market_Data[[#This Row],[Estimated Concrete Demand (m³)]]&lt;25000,"Medium",
IF(Market_Data[[#This Row],[Estimated Concrete Demand (m³)]]&lt;100000,"Large","Mega"))))</f>
        <v>Medium</v>
      </c>
      <c r="P907" s="287" t="str">
        <f t="shared" si="16"/>
        <v>GujRERA</v>
      </c>
    </row>
    <row r="908" spans="1:16">
      <c r="A908" s="129" t="str">
        <f>_xlfn.XLOOKUP(B908,$S$9:$S$14,$T$9:$T$14)&amp;"-"&amp;
IF(E908="Residential/Group Housing","RES",
IF(E908="Commercial","COM",
IF(E908="Mixed Development","MIX",
IF(E908="Plotted Development","PLT","OTH"))))
&amp;"-"&amp;TEXT(COUNTIFS($B$9:B908,B908,$E$9:E908,E908),"0000")</f>
        <v>SUR-COM-0113</v>
      </c>
      <c r="B908" s="322" t="s">
        <v>34</v>
      </c>
      <c r="C908" s="322" t="s">
        <v>34</v>
      </c>
      <c r="D908" s="323" t="s">
        <v>1098</v>
      </c>
      <c r="E908" s="132" t="s">
        <v>23</v>
      </c>
      <c r="F908" s="97" t="str">
        <f ca="1">IF(OR(Market_Data[[#This Row],[Start Date]]="",Market_Data[[#This Row],[Completion Date]]=""),"Needs Validation",IF(Market_Data[[#This Row],[Start Date]]&gt;TODAY(),"Planned",IF(Market_Data[[#This Row],[Completion Date]]&lt;TODAY(),"Completed","Ongoing")))</f>
        <v>Completed</v>
      </c>
      <c r="G908" s="324">
        <v>42592</v>
      </c>
      <c r="H908" s="324">
        <v>44043</v>
      </c>
      <c r="I908" s="325">
        <v>121000</v>
      </c>
      <c r="J90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908" s="133">
        <f>_xlfn.XLOOKUP(Market_Data[[#This Row],[Project Type]],tbl_assumptions_market[Project Category (RERA)],tbl_assumptions_market[Concrete Intensity
(m³ / sq m BUA)],"",0)</f>
        <v>0.5</v>
      </c>
      <c r="L908" s="134">
        <f>ROUND(Market_Data[[#This Row],[Estimated Built Up Area (sq m)]]*Market_Data[[#This Row],[Concrete Intensity
(m³ / sq m)]],0)</f>
        <v>60500</v>
      </c>
      <c r="M908" s="135">
        <f>_xlfn.XLOOKUP(Market_Data[[#This Row],[District]],tbl_district_price[District],tbl_district_price[Standard Price
(INR/m³)],"",0)</f>
        <v>6200</v>
      </c>
      <c r="N908" s="364">
        <f>IF(OR(Market_Data[[#This Row],[Estimated Concrete Demand (m³)]]="",Market_Data[[#This Row],[Avg Price per (₹ / m³)]]=""),"",Market_Data[[#This Row],[Estimated Concrete Demand (m³)]]*Market_Data[[#This Row],[Avg Price per (₹ / m³)]]/10000000)</f>
        <v>37.51</v>
      </c>
      <c r="O908" s="97" t="str">
        <f>IF(Market_Data[[#This Row],[Estimated Concrete Demand (m³)]]="","",
IF(Market_Data[[#This Row],[Estimated Concrete Demand (m³)]]&lt;10000,"Small",
IF(Market_Data[[#This Row],[Estimated Concrete Demand (m³)]]&lt;25000,"Medium",
IF(Market_Data[[#This Row],[Estimated Concrete Demand (m³)]]&lt;100000,"Large","Mega"))))</f>
        <v>Large</v>
      </c>
      <c r="P908" s="287" t="str">
        <f t="shared" si="16"/>
        <v>GujRERA</v>
      </c>
    </row>
    <row r="909" spans="1:16">
      <c r="A909" s="129" t="str">
        <f>_xlfn.XLOOKUP(B909,$S$9:$S$14,$T$9:$T$14)&amp;"-"&amp;
IF(E909="Residential/Group Housing","RES",
IF(E909="Commercial","COM",
IF(E909="Mixed Development","MIX",
IF(E909="Plotted Development","PLT","OTH"))))
&amp;"-"&amp;TEXT(COUNTIFS($B$9:B909,B909,$E$9:E909,E909),"0000")</f>
        <v>SUR-RES-0224</v>
      </c>
      <c r="B909" s="322" t="s">
        <v>34</v>
      </c>
      <c r="C909" s="322" t="s">
        <v>34</v>
      </c>
      <c r="D909" s="323" t="s">
        <v>1099</v>
      </c>
      <c r="E909" s="132" t="s">
        <v>24</v>
      </c>
      <c r="F909" s="97" t="str">
        <f ca="1">IF(OR(Market_Data[[#This Row],[Start Date]]="",Market_Data[[#This Row],[Completion Date]]=""),"Needs Validation",IF(Market_Data[[#This Row],[Start Date]]&gt;TODAY(),"Planned",IF(Market_Data[[#This Row],[Completion Date]]&lt;TODAY(),"Completed","Ongoing")))</f>
        <v>Completed</v>
      </c>
      <c r="G909" s="324">
        <v>43070</v>
      </c>
      <c r="H909" s="324">
        <v>44834</v>
      </c>
      <c r="I909" s="325">
        <v>40100</v>
      </c>
      <c r="J90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09" s="133">
        <f>_xlfn.XLOOKUP(Market_Data[[#This Row],[Project Type]],tbl_assumptions_market[Project Category (RERA)],tbl_assumptions_market[Concrete Intensity
(m³ / sq m BUA)],"",0)</f>
        <v>0.45</v>
      </c>
      <c r="L909" s="134">
        <f>ROUND(Market_Data[[#This Row],[Estimated Built Up Area (sq m)]]*Market_Data[[#This Row],[Concrete Intensity
(m³ / sq m)]],0)</f>
        <v>18045</v>
      </c>
      <c r="M909" s="135">
        <f>_xlfn.XLOOKUP(Market_Data[[#This Row],[District]],tbl_district_price[District],tbl_district_price[Standard Price
(INR/m³)],"",0)</f>
        <v>6200</v>
      </c>
      <c r="N909" s="364">
        <f>IF(OR(Market_Data[[#This Row],[Estimated Concrete Demand (m³)]]="",Market_Data[[#This Row],[Avg Price per (₹ / m³)]]=""),"",Market_Data[[#This Row],[Estimated Concrete Demand (m³)]]*Market_Data[[#This Row],[Avg Price per (₹ / m³)]]/10000000)</f>
        <v>11.187900000000001</v>
      </c>
      <c r="O909" s="97" t="str">
        <f>IF(Market_Data[[#This Row],[Estimated Concrete Demand (m³)]]="","",
IF(Market_Data[[#This Row],[Estimated Concrete Demand (m³)]]&lt;10000,"Small",
IF(Market_Data[[#This Row],[Estimated Concrete Demand (m³)]]&lt;25000,"Medium",
IF(Market_Data[[#This Row],[Estimated Concrete Demand (m³)]]&lt;100000,"Large","Mega"))))</f>
        <v>Medium</v>
      </c>
      <c r="P909" s="287" t="str">
        <f t="shared" si="16"/>
        <v>GujRERA</v>
      </c>
    </row>
    <row r="910" spans="1:16">
      <c r="A910" s="129" t="str">
        <f>_xlfn.XLOOKUP(B910,$S$9:$S$14,$T$9:$T$14)&amp;"-"&amp;
IF(E910="Residential/Group Housing","RES",
IF(E910="Commercial","COM",
IF(E910="Mixed Development","MIX",
IF(E910="Plotted Development","PLT","OTH"))))
&amp;"-"&amp;TEXT(COUNTIFS($B$9:B910,B910,$E$9:E910,E910),"0000")</f>
        <v>SUR-RES-0225</v>
      </c>
      <c r="B910" s="322" t="s">
        <v>34</v>
      </c>
      <c r="C910" s="322" t="s">
        <v>34</v>
      </c>
      <c r="D910" s="323" t="s">
        <v>1100</v>
      </c>
      <c r="E910" s="132" t="s">
        <v>24</v>
      </c>
      <c r="F910" s="97" t="str">
        <f ca="1">IF(OR(Market_Data[[#This Row],[Start Date]]="",Market_Data[[#This Row],[Completion Date]]=""),"Needs Validation",IF(Market_Data[[#This Row],[Start Date]]&gt;TODAY(),"Planned",IF(Market_Data[[#This Row],[Completion Date]]&lt;TODAY(),"Completed","Ongoing")))</f>
        <v>Completed</v>
      </c>
      <c r="G910" s="324">
        <v>43405</v>
      </c>
      <c r="H910" s="324">
        <v>45412</v>
      </c>
      <c r="I910" s="325">
        <v>127200</v>
      </c>
      <c r="J91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910" s="133">
        <f>_xlfn.XLOOKUP(Market_Data[[#This Row],[Project Type]],tbl_assumptions_market[Project Category (RERA)],tbl_assumptions_market[Concrete Intensity
(m³ / sq m BUA)],"",0)</f>
        <v>0.45</v>
      </c>
      <c r="L910" s="134">
        <f>ROUND(Market_Data[[#This Row],[Estimated Built Up Area (sq m)]]*Market_Data[[#This Row],[Concrete Intensity
(m³ / sq m)]],0)</f>
        <v>57240</v>
      </c>
      <c r="M910" s="135">
        <f>_xlfn.XLOOKUP(Market_Data[[#This Row],[District]],tbl_district_price[District],tbl_district_price[Standard Price
(INR/m³)],"",0)</f>
        <v>6200</v>
      </c>
      <c r="N910" s="364">
        <f>IF(OR(Market_Data[[#This Row],[Estimated Concrete Demand (m³)]]="",Market_Data[[#This Row],[Avg Price per (₹ / m³)]]=""),"",Market_Data[[#This Row],[Estimated Concrete Demand (m³)]]*Market_Data[[#This Row],[Avg Price per (₹ / m³)]]/10000000)</f>
        <v>35.488799999999998</v>
      </c>
      <c r="O910" s="97" t="str">
        <f>IF(Market_Data[[#This Row],[Estimated Concrete Demand (m³)]]="","",
IF(Market_Data[[#This Row],[Estimated Concrete Demand (m³)]]&lt;10000,"Small",
IF(Market_Data[[#This Row],[Estimated Concrete Demand (m³)]]&lt;25000,"Medium",
IF(Market_Data[[#This Row],[Estimated Concrete Demand (m³)]]&lt;100000,"Large","Mega"))))</f>
        <v>Large</v>
      </c>
      <c r="P910" s="287" t="str">
        <f t="shared" si="16"/>
        <v>GujRERA</v>
      </c>
    </row>
    <row r="911" spans="1:16" ht="24">
      <c r="A911" s="129" t="str">
        <f>_xlfn.XLOOKUP(B911,$S$9:$S$14,$T$9:$T$14)&amp;"-"&amp;
IF(E911="Residential/Group Housing","RES",
IF(E911="Commercial","COM",
IF(E911="Mixed Development","MIX",
IF(E911="Plotted Development","PLT","OTH"))))
&amp;"-"&amp;TEXT(COUNTIFS($B$9:B911,B911,$E$9:E911,E911),"0000")</f>
        <v>SUR-MIX-0105</v>
      </c>
      <c r="B911" s="322" t="s">
        <v>34</v>
      </c>
      <c r="C911" s="322" t="s">
        <v>34</v>
      </c>
      <c r="D911" s="323" t="s">
        <v>1101</v>
      </c>
      <c r="E911" s="132" t="s">
        <v>25</v>
      </c>
      <c r="F911" s="97" t="str">
        <f ca="1">IF(OR(Market_Data[[#This Row],[Start Date]]="",Market_Data[[#This Row],[Completion Date]]=""),"Needs Validation",IF(Market_Data[[#This Row],[Start Date]]&gt;TODAY(),"Planned",IF(Market_Data[[#This Row],[Completion Date]]&lt;TODAY(),"Completed","Ongoing")))</f>
        <v>Completed</v>
      </c>
      <c r="G911" s="324">
        <v>42036</v>
      </c>
      <c r="H911" s="324">
        <v>43646</v>
      </c>
      <c r="I911" s="325">
        <v>52300</v>
      </c>
      <c r="J91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11" s="133">
        <f>_xlfn.XLOOKUP(Market_Data[[#This Row],[Project Type]],tbl_assumptions_market[Project Category (RERA)],tbl_assumptions_market[Concrete Intensity
(m³ / sq m BUA)],"",0)</f>
        <v>0.42</v>
      </c>
      <c r="L911" s="134">
        <f>ROUND(Market_Data[[#This Row],[Estimated Built Up Area (sq m)]]*Market_Data[[#This Row],[Concrete Intensity
(m³ / sq m)]],0)</f>
        <v>21966</v>
      </c>
      <c r="M911" s="135">
        <f>_xlfn.XLOOKUP(Market_Data[[#This Row],[District]],tbl_district_price[District],tbl_district_price[Standard Price
(INR/m³)],"",0)</f>
        <v>6200</v>
      </c>
      <c r="N911" s="364">
        <f>IF(OR(Market_Data[[#This Row],[Estimated Concrete Demand (m³)]]="",Market_Data[[#This Row],[Avg Price per (₹ / m³)]]=""),"",Market_Data[[#This Row],[Estimated Concrete Demand (m³)]]*Market_Data[[#This Row],[Avg Price per (₹ / m³)]]/10000000)</f>
        <v>13.618919999999999</v>
      </c>
      <c r="O911" s="97" t="str">
        <f>IF(Market_Data[[#This Row],[Estimated Concrete Demand (m³)]]="","",
IF(Market_Data[[#This Row],[Estimated Concrete Demand (m³)]]&lt;10000,"Small",
IF(Market_Data[[#This Row],[Estimated Concrete Demand (m³)]]&lt;25000,"Medium",
IF(Market_Data[[#This Row],[Estimated Concrete Demand (m³)]]&lt;100000,"Large","Mega"))))</f>
        <v>Medium</v>
      </c>
      <c r="P911" s="287" t="str">
        <f t="shared" si="16"/>
        <v>GujRERA</v>
      </c>
    </row>
    <row r="912" spans="1:16">
      <c r="A912" s="129" t="str">
        <f>_xlfn.XLOOKUP(B912,$S$9:$S$14,$T$9:$T$14)&amp;"-"&amp;
IF(E912="Residential/Group Housing","RES",
IF(E912="Commercial","COM",
IF(E912="Mixed Development","MIX",
IF(E912="Plotted Development","PLT","OTH"))))
&amp;"-"&amp;TEXT(COUNTIFS($B$9:B912,B912,$E$9:E912,E912),"0000")</f>
        <v>SUR-RES-0226</v>
      </c>
      <c r="B912" s="322" t="s">
        <v>34</v>
      </c>
      <c r="C912" s="322" t="s">
        <v>34</v>
      </c>
      <c r="D912" s="323" t="s">
        <v>1102</v>
      </c>
      <c r="E912" s="132" t="s">
        <v>24</v>
      </c>
      <c r="F912" s="97" t="str">
        <f ca="1">IF(OR(Market_Data[[#This Row],[Start Date]]="",Market_Data[[#This Row],[Completion Date]]=""),"Needs Validation",IF(Market_Data[[#This Row],[Start Date]]&gt;TODAY(),"Planned",IF(Market_Data[[#This Row],[Completion Date]]&lt;TODAY(),"Completed","Ongoing")))</f>
        <v>Completed</v>
      </c>
      <c r="G912" s="324">
        <v>42491</v>
      </c>
      <c r="H912" s="324">
        <v>43830</v>
      </c>
      <c r="I912" s="325">
        <v>41400</v>
      </c>
      <c r="J91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12" s="133">
        <f>_xlfn.XLOOKUP(Market_Data[[#This Row],[Project Type]],tbl_assumptions_market[Project Category (RERA)],tbl_assumptions_market[Concrete Intensity
(m³ / sq m BUA)],"",0)</f>
        <v>0.45</v>
      </c>
      <c r="L912" s="134">
        <f>ROUND(Market_Data[[#This Row],[Estimated Built Up Area (sq m)]]*Market_Data[[#This Row],[Concrete Intensity
(m³ / sq m)]],0)</f>
        <v>18630</v>
      </c>
      <c r="M912" s="135">
        <f>_xlfn.XLOOKUP(Market_Data[[#This Row],[District]],tbl_district_price[District],tbl_district_price[Standard Price
(INR/m³)],"",0)</f>
        <v>6200</v>
      </c>
      <c r="N912" s="364">
        <f>IF(OR(Market_Data[[#This Row],[Estimated Concrete Demand (m³)]]="",Market_Data[[#This Row],[Avg Price per (₹ / m³)]]=""),"",Market_Data[[#This Row],[Estimated Concrete Demand (m³)]]*Market_Data[[#This Row],[Avg Price per (₹ / m³)]]/10000000)</f>
        <v>11.550599999999999</v>
      </c>
      <c r="O912" s="97" t="str">
        <f>IF(Market_Data[[#This Row],[Estimated Concrete Demand (m³)]]="","",
IF(Market_Data[[#This Row],[Estimated Concrete Demand (m³)]]&lt;10000,"Small",
IF(Market_Data[[#This Row],[Estimated Concrete Demand (m³)]]&lt;25000,"Medium",
IF(Market_Data[[#This Row],[Estimated Concrete Demand (m³)]]&lt;100000,"Large","Mega"))))</f>
        <v>Medium</v>
      </c>
      <c r="P912" s="287" t="str">
        <f t="shared" si="16"/>
        <v>GujRERA</v>
      </c>
    </row>
    <row r="913" spans="1:16" ht="24">
      <c r="A913" s="129" t="str">
        <f>_xlfn.XLOOKUP(B913,$S$9:$S$14,$T$9:$T$14)&amp;"-"&amp;
IF(E913="Residential/Group Housing","RES",
IF(E913="Commercial","COM",
IF(E913="Mixed Development","MIX",
IF(E913="Plotted Development","PLT","OTH"))))
&amp;"-"&amp;TEXT(COUNTIFS($B$9:B913,B913,$E$9:E913,E913),"0000")</f>
        <v>SUR-MIX-0106</v>
      </c>
      <c r="B913" s="322" t="s">
        <v>34</v>
      </c>
      <c r="C913" s="322" t="s">
        <v>34</v>
      </c>
      <c r="D913" s="323" t="s">
        <v>1103</v>
      </c>
      <c r="E913" s="132" t="s">
        <v>25</v>
      </c>
      <c r="F913" s="97" t="str">
        <f ca="1">IF(OR(Market_Data[[#This Row],[Start Date]]="",Market_Data[[#This Row],[Completion Date]]=""),"Needs Validation",IF(Market_Data[[#This Row],[Start Date]]&gt;TODAY(),"Planned",IF(Market_Data[[#This Row],[Completion Date]]&lt;TODAY(),"Completed","Ongoing")))</f>
        <v>Completed</v>
      </c>
      <c r="G913" s="324">
        <v>43678</v>
      </c>
      <c r="H913" s="324">
        <v>45386</v>
      </c>
      <c r="I913" s="325">
        <v>132200</v>
      </c>
      <c r="J91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13" s="133">
        <f>_xlfn.XLOOKUP(Market_Data[[#This Row],[Project Type]],tbl_assumptions_market[Project Category (RERA)],tbl_assumptions_market[Concrete Intensity
(m³ / sq m BUA)],"",0)</f>
        <v>0.42</v>
      </c>
      <c r="L913" s="134">
        <f>ROUND(Market_Data[[#This Row],[Estimated Built Up Area (sq m)]]*Market_Data[[#This Row],[Concrete Intensity
(m³ / sq m)]],0)</f>
        <v>55524</v>
      </c>
      <c r="M913" s="135">
        <f>_xlfn.XLOOKUP(Market_Data[[#This Row],[District]],tbl_district_price[District],tbl_district_price[Standard Price
(INR/m³)],"",0)</f>
        <v>6200</v>
      </c>
      <c r="N913" s="364">
        <f>IF(OR(Market_Data[[#This Row],[Estimated Concrete Demand (m³)]]="",Market_Data[[#This Row],[Avg Price per (₹ / m³)]]=""),"",Market_Data[[#This Row],[Estimated Concrete Demand (m³)]]*Market_Data[[#This Row],[Avg Price per (₹ / m³)]]/10000000)</f>
        <v>34.424880000000002</v>
      </c>
      <c r="O913" s="97" t="str">
        <f>IF(Market_Data[[#This Row],[Estimated Concrete Demand (m³)]]="","",
IF(Market_Data[[#This Row],[Estimated Concrete Demand (m³)]]&lt;10000,"Small",
IF(Market_Data[[#This Row],[Estimated Concrete Demand (m³)]]&lt;25000,"Medium",
IF(Market_Data[[#This Row],[Estimated Concrete Demand (m³)]]&lt;100000,"Large","Mega"))))</f>
        <v>Large</v>
      </c>
      <c r="P913" s="287" t="str">
        <f t="shared" si="16"/>
        <v>GujRERA</v>
      </c>
    </row>
    <row r="914" spans="1:16">
      <c r="A914" s="129" t="str">
        <f>_xlfn.XLOOKUP(B914,$S$9:$S$14,$T$9:$T$14)&amp;"-"&amp;
IF(E914="Residential/Group Housing","RES",
IF(E914="Commercial","COM",
IF(E914="Mixed Development","MIX",
IF(E914="Plotted Development","PLT","OTH"))))
&amp;"-"&amp;TEXT(COUNTIFS($B$9:B914,B914,$E$9:E914,E914),"0000")</f>
        <v>SUR-RES-0227</v>
      </c>
      <c r="B914" s="322" t="s">
        <v>34</v>
      </c>
      <c r="C914" s="322" t="s">
        <v>34</v>
      </c>
      <c r="D914" s="323" t="s">
        <v>1104</v>
      </c>
      <c r="E914" s="132" t="s">
        <v>24</v>
      </c>
      <c r="F914" s="97" t="str">
        <f ca="1">IF(OR(Market_Data[[#This Row],[Start Date]]="",Market_Data[[#This Row],[Completion Date]]=""),"Needs Validation",IF(Market_Data[[#This Row],[Start Date]]&gt;TODAY(),"Planned",IF(Market_Data[[#This Row],[Completion Date]]&lt;TODAY(),"Completed","Ongoing")))</f>
        <v>Completed</v>
      </c>
      <c r="G914" s="324">
        <v>42492</v>
      </c>
      <c r="H914" s="324">
        <v>43830</v>
      </c>
      <c r="I914" s="325">
        <v>24200</v>
      </c>
      <c r="J91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14" s="133">
        <f>_xlfn.XLOOKUP(Market_Data[[#This Row],[Project Type]],tbl_assumptions_market[Project Category (RERA)],tbl_assumptions_market[Concrete Intensity
(m³ / sq m BUA)],"",0)</f>
        <v>0.45</v>
      </c>
      <c r="L914" s="134">
        <f>ROUND(Market_Data[[#This Row],[Estimated Built Up Area (sq m)]]*Market_Data[[#This Row],[Concrete Intensity
(m³ / sq m)]],0)</f>
        <v>10890</v>
      </c>
      <c r="M914" s="135">
        <f>_xlfn.XLOOKUP(Market_Data[[#This Row],[District]],tbl_district_price[District],tbl_district_price[Standard Price
(INR/m³)],"",0)</f>
        <v>6200</v>
      </c>
      <c r="N914" s="364">
        <f>IF(OR(Market_Data[[#This Row],[Estimated Concrete Demand (m³)]]="",Market_Data[[#This Row],[Avg Price per (₹ / m³)]]=""),"",Market_Data[[#This Row],[Estimated Concrete Demand (m³)]]*Market_Data[[#This Row],[Avg Price per (₹ / m³)]]/10000000)</f>
        <v>6.7518000000000002</v>
      </c>
      <c r="O914" s="97" t="str">
        <f>IF(Market_Data[[#This Row],[Estimated Concrete Demand (m³)]]="","",
IF(Market_Data[[#This Row],[Estimated Concrete Demand (m³)]]&lt;10000,"Small",
IF(Market_Data[[#This Row],[Estimated Concrete Demand (m³)]]&lt;25000,"Medium",
IF(Market_Data[[#This Row],[Estimated Concrete Demand (m³)]]&lt;100000,"Large","Mega"))))</f>
        <v>Medium</v>
      </c>
      <c r="P914" s="287" t="str">
        <f t="shared" si="16"/>
        <v>GujRERA</v>
      </c>
    </row>
    <row r="915" spans="1:16">
      <c r="A915" s="129" t="str">
        <f>_xlfn.XLOOKUP(B915,$S$9:$S$14,$T$9:$T$14)&amp;"-"&amp;
IF(E915="Residential/Group Housing","RES",
IF(E915="Commercial","COM",
IF(E915="Mixed Development","MIX",
IF(E915="Plotted Development","PLT","OTH"))))
&amp;"-"&amp;TEXT(COUNTIFS($B$9:B915,B915,$E$9:E915,E915),"0000")</f>
        <v>SUR-MIX-0107</v>
      </c>
      <c r="B915" s="322" t="s">
        <v>34</v>
      </c>
      <c r="C915" s="322" t="s">
        <v>34</v>
      </c>
      <c r="D915" s="323" t="s">
        <v>1105</v>
      </c>
      <c r="E915" s="132" t="s">
        <v>25</v>
      </c>
      <c r="F915" s="97" t="str">
        <f ca="1">IF(OR(Market_Data[[#This Row],[Start Date]]="",Market_Data[[#This Row],[Completion Date]]=""),"Needs Validation",IF(Market_Data[[#This Row],[Start Date]]&gt;TODAY(),"Planned",IF(Market_Data[[#This Row],[Completion Date]]&lt;TODAY(),"Completed","Ongoing")))</f>
        <v>Ongoing</v>
      </c>
      <c r="G915" s="324">
        <v>44713</v>
      </c>
      <c r="H915" s="324">
        <v>46387</v>
      </c>
      <c r="I915" s="325">
        <v>29900</v>
      </c>
      <c r="J91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15" s="133">
        <f>_xlfn.XLOOKUP(Market_Data[[#This Row],[Project Type]],tbl_assumptions_market[Project Category (RERA)],tbl_assumptions_market[Concrete Intensity
(m³ / sq m BUA)],"",0)</f>
        <v>0.42</v>
      </c>
      <c r="L915" s="134">
        <f>ROUND(Market_Data[[#This Row],[Estimated Built Up Area (sq m)]]*Market_Data[[#This Row],[Concrete Intensity
(m³ / sq m)]],0)</f>
        <v>12558</v>
      </c>
      <c r="M915" s="135">
        <f>_xlfn.XLOOKUP(Market_Data[[#This Row],[District]],tbl_district_price[District],tbl_district_price[Standard Price
(INR/m³)],"",0)</f>
        <v>6200</v>
      </c>
      <c r="N915" s="364">
        <f>IF(OR(Market_Data[[#This Row],[Estimated Concrete Demand (m³)]]="",Market_Data[[#This Row],[Avg Price per (₹ / m³)]]=""),"",Market_Data[[#This Row],[Estimated Concrete Demand (m³)]]*Market_Data[[#This Row],[Avg Price per (₹ / m³)]]/10000000)</f>
        <v>7.7859600000000002</v>
      </c>
      <c r="O915" s="97" t="str">
        <f>IF(Market_Data[[#This Row],[Estimated Concrete Demand (m³)]]="","",
IF(Market_Data[[#This Row],[Estimated Concrete Demand (m³)]]&lt;10000,"Small",
IF(Market_Data[[#This Row],[Estimated Concrete Demand (m³)]]&lt;25000,"Medium",
IF(Market_Data[[#This Row],[Estimated Concrete Demand (m³)]]&lt;100000,"Large","Mega"))))</f>
        <v>Medium</v>
      </c>
      <c r="P915" s="287" t="str">
        <f t="shared" si="16"/>
        <v>GujRERA</v>
      </c>
    </row>
    <row r="916" spans="1:16">
      <c r="A916" s="129" t="str">
        <f>_xlfn.XLOOKUP(B916,$S$9:$S$14,$T$9:$T$14)&amp;"-"&amp;
IF(E916="Residential/Group Housing","RES",
IF(E916="Commercial","COM",
IF(E916="Mixed Development","MIX",
IF(E916="Plotted Development","PLT","OTH"))))
&amp;"-"&amp;TEXT(COUNTIFS($B$9:B916,B916,$E$9:E916,E916),"0000")</f>
        <v>SUR-RES-0228</v>
      </c>
      <c r="B916" s="322" t="s">
        <v>34</v>
      </c>
      <c r="C916" s="322" t="s">
        <v>34</v>
      </c>
      <c r="D916" s="323" t="s">
        <v>1106</v>
      </c>
      <c r="E916" s="132" t="s">
        <v>24</v>
      </c>
      <c r="F916" s="97" t="str">
        <f ca="1">IF(OR(Market_Data[[#This Row],[Start Date]]="",Market_Data[[#This Row],[Completion Date]]=""),"Needs Validation",IF(Market_Data[[#This Row],[Start Date]]&gt;TODAY(),"Planned",IF(Market_Data[[#This Row],[Completion Date]]&lt;TODAY(),"Completed","Ongoing")))</f>
        <v>Completed</v>
      </c>
      <c r="G916" s="324">
        <v>42537</v>
      </c>
      <c r="H916" s="324">
        <v>43555</v>
      </c>
      <c r="I916" s="325">
        <v>16500</v>
      </c>
      <c r="J91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16" s="133">
        <f>_xlfn.XLOOKUP(Market_Data[[#This Row],[Project Type]],tbl_assumptions_market[Project Category (RERA)],tbl_assumptions_market[Concrete Intensity
(m³ / sq m BUA)],"",0)</f>
        <v>0.45</v>
      </c>
      <c r="L916" s="134">
        <f>ROUND(Market_Data[[#This Row],[Estimated Built Up Area (sq m)]]*Market_Data[[#This Row],[Concrete Intensity
(m³ / sq m)]],0)</f>
        <v>7425</v>
      </c>
      <c r="M916" s="135">
        <f>_xlfn.XLOOKUP(Market_Data[[#This Row],[District]],tbl_district_price[District],tbl_district_price[Standard Price
(INR/m³)],"",0)</f>
        <v>6200</v>
      </c>
      <c r="N916" s="364">
        <f>IF(OR(Market_Data[[#This Row],[Estimated Concrete Demand (m³)]]="",Market_Data[[#This Row],[Avg Price per (₹ / m³)]]=""),"",Market_Data[[#This Row],[Estimated Concrete Demand (m³)]]*Market_Data[[#This Row],[Avg Price per (₹ / m³)]]/10000000)</f>
        <v>4.6035000000000004</v>
      </c>
      <c r="O916" s="97" t="str">
        <f>IF(Market_Data[[#This Row],[Estimated Concrete Demand (m³)]]="","",
IF(Market_Data[[#This Row],[Estimated Concrete Demand (m³)]]&lt;10000,"Small",
IF(Market_Data[[#This Row],[Estimated Concrete Demand (m³)]]&lt;25000,"Medium",
IF(Market_Data[[#This Row],[Estimated Concrete Demand (m³)]]&lt;100000,"Large","Mega"))))</f>
        <v>Small</v>
      </c>
      <c r="P916" s="287" t="str">
        <f t="shared" si="16"/>
        <v>GujRERA</v>
      </c>
    </row>
    <row r="917" spans="1:16">
      <c r="A917" s="129" t="str">
        <f>_xlfn.XLOOKUP(B917,$S$9:$S$14,$T$9:$T$14)&amp;"-"&amp;
IF(E917="Residential/Group Housing","RES",
IF(E917="Commercial","COM",
IF(E917="Mixed Development","MIX",
IF(E917="Plotted Development","PLT","OTH"))))
&amp;"-"&amp;TEXT(COUNTIFS($B$9:B917,B917,$E$9:E917,E917),"0000")</f>
        <v>SUR-RES-0229</v>
      </c>
      <c r="B917" s="322" t="s">
        <v>34</v>
      </c>
      <c r="C917" s="322" t="s">
        <v>34</v>
      </c>
      <c r="D917" s="323" t="s">
        <v>1107</v>
      </c>
      <c r="E917" s="132" t="s">
        <v>24</v>
      </c>
      <c r="F917" s="97" t="str">
        <f ca="1">IF(OR(Market_Data[[#This Row],[Start Date]]="",Market_Data[[#This Row],[Completion Date]]=""),"Needs Validation",IF(Market_Data[[#This Row],[Start Date]]&gt;TODAY(),"Planned",IF(Market_Data[[#This Row],[Completion Date]]&lt;TODAY(),"Completed","Ongoing")))</f>
        <v>Ongoing</v>
      </c>
      <c r="G917" s="324">
        <v>44835</v>
      </c>
      <c r="H917" s="324">
        <v>47118</v>
      </c>
      <c r="I917" s="325">
        <v>48000</v>
      </c>
      <c r="J91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17" s="133">
        <f>_xlfn.XLOOKUP(Market_Data[[#This Row],[Project Type]],tbl_assumptions_market[Project Category (RERA)],tbl_assumptions_market[Concrete Intensity
(m³ / sq m BUA)],"",0)</f>
        <v>0.45</v>
      </c>
      <c r="L917" s="134">
        <f>ROUND(Market_Data[[#This Row],[Estimated Built Up Area (sq m)]]*Market_Data[[#This Row],[Concrete Intensity
(m³ / sq m)]],0)</f>
        <v>21600</v>
      </c>
      <c r="M917" s="135">
        <f>_xlfn.XLOOKUP(Market_Data[[#This Row],[District]],tbl_district_price[District],tbl_district_price[Standard Price
(INR/m³)],"",0)</f>
        <v>6200</v>
      </c>
      <c r="N917" s="364">
        <f>IF(OR(Market_Data[[#This Row],[Estimated Concrete Demand (m³)]]="",Market_Data[[#This Row],[Avg Price per (₹ / m³)]]=""),"",Market_Data[[#This Row],[Estimated Concrete Demand (m³)]]*Market_Data[[#This Row],[Avg Price per (₹ / m³)]]/10000000)</f>
        <v>13.391999999999999</v>
      </c>
      <c r="O917" s="97" t="str">
        <f>IF(Market_Data[[#This Row],[Estimated Concrete Demand (m³)]]="","",
IF(Market_Data[[#This Row],[Estimated Concrete Demand (m³)]]&lt;10000,"Small",
IF(Market_Data[[#This Row],[Estimated Concrete Demand (m³)]]&lt;25000,"Medium",
IF(Market_Data[[#This Row],[Estimated Concrete Demand (m³)]]&lt;100000,"Large","Mega"))))</f>
        <v>Medium</v>
      </c>
      <c r="P917" s="287" t="str">
        <f t="shared" si="16"/>
        <v>GujRERA</v>
      </c>
    </row>
    <row r="918" spans="1:16">
      <c r="A918" s="129" t="str">
        <f>_xlfn.XLOOKUP(B918,$S$9:$S$14,$T$9:$T$14)&amp;"-"&amp;
IF(E918="Residential/Group Housing","RES",
IF(E918="Commercial","COM",
IF(E918="Mixed Development","MIX",
IF(E918="Plotted Development","PLT","OTH"))))
&amp;"-"&amp;TEXT(COUNTIFS($B$9:B918,B918,$E$9:E918,E918),"0000")</f>
        <v>SUR-PLT-0151</v>
      </c>
      <c r="B918" s="322" t="s">
        <v>34</v>
      </c>
      <c r="C918" s="322" t="s">
        <v>34</v>
      </c>
      <c r="D918" s="323" t="s">
        <v>1108</v>
      </c>
      <c r="E918" s="132" t="s">
        <v>26</v>
      </c>
      <c r="F918" s="97" t="str">
        <f ca="1">IF(OR(Market_Data[[#This Row],[Start Date]]="",Market_Data[[#This Row],[Completion Date]]=""),"Needs Validation",IF(Market_Data[[#This Row],[Start Date]]&gt;TODAY(),"Planned",IF(Market_Data[[#This Row],[Completion Date]]&lt;TODAY(),"Completed","Ongoing")))</f>
        <v>Ongoing</v>
      </c>
      <c r="G918" s="324">
        <v>46054</v>
      </c>
      <c r="H918" s="324">
        <v>47483</v>
      </c>
      <c r="I918" s="325">
        <v>10900</v>
      </c>
      <c r="J91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18" s="133">
        <f>_xlfn.XLOOKUP(Market_Data[[#This Row],[Project Type]],tbl_assumptions_market[Project Category (RERA)],tbl_assumptions_market[Concrete Intensity
(m³ / sq m BUA)],"",0)</f>
        <v>0.18</v>
      </c>
      <c r="L918" s="134">
        <f>ROUND(Market_Data[[#This Row],[Estimated Built Up Area (sq m)]]*Market_Data[[#This Row],[Concrete Intensity
(m³ / sq m)]],0)</f>
        <v>1962</v>
      </c>
      <c r="M918" s="135">
        <f>_xlfn.XLOOKUP(Market_Data[[#This Row],[District]],tbl_district_price[District],tbl_district_price[Standard Price
(INR/m³)],"",0)</f>
        <v>6200</v>
      </c>
      <c r="N918" s="364">
        <f>IF(OR(Market_Data[[#This Row],[Estimated Concrete Demand (m³)]]="",Market_Data[[#This Row],[Avg Price per (₹ / m³)]]=""),"",Market_Data[[#This Row],[Estimated Concrete Demand (m³)]]*Market_Data[[#This Row],[Avg Price per (₹ / m³)]]/10000000)</f>
        <v>1.21644</v>
      </c>
      <c r="O918" s="97" t="str">
        <f>IF(Market_Data[[#This Row],[Estimated Concrete Demand (m³)]]="","",
IF(Market_Data[[#This Row],[Estimated Concrete Demand (m³)]]&lt;10000,"Small",
IF(Market_Data[[#This Row],[Estimated Concrete Demand (m³)]]&lt;25000,"Medium",
IF(Market_Data[[#This Row],[Estimated Concrete Demand (m³)]]&lt;100000,"Large","Mega"))))</f>
        <v>Small</v>
      </c>
      <c r="P918" s="287" t="str">
        <f t="shared" si="16"/>
        <v>GujRERA</v>
      </c>
    </row>
    <row r="919" spans="1:16">
      <c r="A919" s="129" t="str">
        <f>_xlfn.XLOOKUP(B919,$S$9:$S$14,$T$9:$T$14)&amp;"-"&amp;
IF(E919="Residential/Group Housing","RES",
IF(E919="Commercial","COM",
IF(E919="Mixed Development","MIX",
IF(E919="Plotted Development","PLT","OTH"))))
&amp;"-"&amp;TEXT(COUNTIFS($B$9:B919,B919,$E$9:E919,E919),"0000")</f>
        <v>SUR-PLT-0152</v>
      </c>
      <c r="B919" s="322" t="s">
        <v>34</v>
      </c>
      <c r="C919" s="322" t="s">
        <v>34</v>
      </c>
      <c r="D919" s="323" t="s">
        <v>1109</v>
      </c>
      <c r="E919" s="132" t="s">
        <v>26</v>
      </c>
      <c r="F919" s="97" t="str">
        <f ca="1">IF(OR(Market_Data[[#This Row],[Start Date]]="",Market_Data[[#This Row],[Completion Date]]=""),"Needs Validation",IF(Market_Data[[#This Row],[Start Date]]&gt;TODAY(),"Planned",IF(Market_Data[[#This Row],[Completion Date]]&lt;TODAY(),"Completed","Ongoing")))</f>
        <v>Completed</v>
      </c>
      <c r="G919" s="324">
        <v>45352</v>
      </c>
      <c r="H919" s="324">
        <v>46234</v>
      </c>
      <c r="I919" s="325">
        <v>6900</v>
      </c>
      <c r="J91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19" s="133">
        <f>_xlfn.XLOOKUP(Market_Data[[#This Row],[Project Type]],tbl_assumptions_market[Project Category (RERA)],tbl_assumptions_market[Concrete Intensity
(m³ / sq m BUA)],"",0)</f>
        <v>0.18</v>
      </c>
      <c r="L919" s="134">
        <f>ROUND(Market_Data[[#This Row],[Estimated Built Up Area (sq m)]]*Market_Data[[#This Row],[Concrete Intensity
(m³ / sq m)]],0)</f>
        <v>1242</v>
      </c>
      <c r="M919" s="135">
        <f>_xlfn.XLOOKUP(Market_Data[[#This Row],[District]],tbl_district_price[District],tbl_district_price[Standard Price
(INR/m³)],"",0)</f>
        <v>6200</v>
      </c>
      <c r="N919" s="364">
        <f>IF(OR(Market_Data[[#This Row],[Estimated Concrete Demand (m³)]]="",Market_Data[[#This Row],[Avg Price per (₹ / m³)]]=""),"",Market_Data[[#This Row],[Estimated Concrete Demand (m³)]]*Market_Data[[#This Row],[Avg Price per (₹ / m³)]]/10000000)</f>
        <v>0.77003999999999995</v>
      </c>
      <c r="O919" s="97" t="str">
        <f>IF(Market_Data[[#This Row],[Estimated Concrete Demand (m³)]]="","",
IF(Market_Data[[#This Row],[Estimated Concrete Demand (m³)]]&lt;10000,"Small",
IF(Market_Data[[#This Row],[Estimated Concrete Demand (m³)]]&lt;25000,"Medium",
IF(Market_Data[[#This Row],[Estimated Concrete Demand (m³)]]&lt;100000,"Large","Mega"))))</f>
        <v>Small</v>
      </c>
      <c r="P919" s="287" t="str">
        <f t="shared" si="16"/>
        <v>GujRERA</v>
      </c>
    </row>
    <row r="920" spans="1:16">
      <c r="A920" s="129" t="str">
        <f>_xlfn.XLOOKUP(B920,$S$9:$S$14,$T$9:$T$14)&amp;"-"&amp;
IF(E920="Residential/Group Housing","RES",
IF(E920="Commercial","COM",
IF(E920="Mixed Development","MIX",
IF(E920="Plotted Development","PLT","OTH"))))
&amp;"-"&amp;TEXT(COUNTIFS($B$9:B920,B920,$E$9:E920,E920),"0000")</f>
        <v>SUR-COM-0114</v>
      </c>
      <c r="B920" s="322" t="s">
        <v>34</v>
      </c>
      <c r="C920" s="322" t="s">
        <v>34</v>
      </c>
      <c r="D920" s="323" t="s">
        <v>1110</v>
      </c>
      <c r="E920" s="132" t="s">
        <v>23</v>
      </c>
      <c r="F920" s="97" t="str">
        <f ca="1">IF(OR(Market_Data[[#This Row],[Start Date]]="",Market_Data[[#This Row],[Completion Date]]=""),"Needs Validation",IF(Market_Data[[#This Row],[Start Date]]&gt;TODAY(),"Planned",IF(Market_Data[[#This Row],[Completion Date]]&lt;TODAY(),"Completed","Ongoing")))</f>
        <v>Completed</v>
      </c>
      <c r="G920" s="324">
        <v>42338</v>
      </c>
      <c r="H920" s="324">
        <v>43373</v>
      </c>
      <c r="I920" s="325">
        <v>20000</v>
      </c>
      <c r="J92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20" s="133">
        <f>_xlfn.XLOOKUP(Market_Data[[#This Row],[Project Type]],tbl_assumptions_market[Project Category (RERA)],tbl_assumptions_market[Concrete Intensity
(m³ / sq m BUA)],"",0)</f>
        <v>0.5</v>
      </c>
      <c r="L920" s="134">
        <f>ROUND(Market_Data[[#This Row],[Estimated Built Up Area (sq m)]]*Market_Data[[#This Row],[Concrete Intensity
(m³ / sq m)]],0)</f>
        <v>10000</v>
      </c>
      <c r="M920" s="135">
        <f>_xlfn.XLOOKUP(Market_Data[[#This Row],[District]],tbl_district_price[District],tbl_district_price[Standard Price
(INR/m³)],"",0)</f>
        <v>6200</v>
      </c>
      <c r="N920" s="364">
        <f>IF(OR(Market_Data[[#This Row],[Estimated Concrete Demand (m³)]]="",Market_Data[[#This Row],[Avg Price per (₹ / m³)]]=""),"",Market_Data[[#This Row],[Estimated Concrete Demand (m³)]]*Market_Data[[#This Row],[Avg Price per (₹ / m³)]]/10000000)</f>
        <v>6.2</v>
      </c>
      <c r="O920" s="97" t="str">
        <f>IF(Market_Data[[#This Row],[Estimated Concrete Demand (m³)]]="","",
IF(Market_Data[[#This Row],[Estimated Concrete Demand (m³)]]&lt;10000,"Small",
IF(Market_Data[[#This Row],[Estimated Concrete Demand (m³)]]&lt;25000,"Medium",
IF(Market_Data[[#This Row],[Estimated Concrete Demand (m³)]]&lt;100000,"Large","Mega"))))</f>
        <v>Medium</v>
      </c>
      <c r="P920" s="287" t="str">
        <f t="shared" si="16"/>
        <v>GujRERA</v>
      </c>
    </row>
    <row r="921" spans="1:16">
      <c r="A921" s="129" t="str">
        <f>_xlfn.XLOOKUP(B921,$S$9:$S$14,$T$9:$T$14)&amp;"-"&amp;
IF(E921="Residential/Group Housing","RES",
IF(E921="Commercial","COM",
IF(E921="Mixed Development","MIX",
IF(E921="Plotted Development","PLT","OTH"))))
&amp;"-"&amp;TEXT(COUNTIFS($B$9:B921,B921,$E$9:E921,E921),"0000")</f>
        <v>SUR-RES-0230</v>
      </c>
      <c r="B921" s="322" t="s">
        <v>34</v>
      </c>
      <c r="C921" s="322" t="s">
        <v>34</v>
      </c>
      <c r="D921" s="323" t="s">
        <v>1111</v>
      </c>
      <c r="E921" s="132" t="s">
        <v>24</v>
      </c>
      <c r="F921" s="97" t="str">
        <f ca="1">IF(OR(Market_Data[[#This Row],[Start Date]]="",Market_Data[[#This Row],[Completion Date]]=""),"Needs Validation",IF(Market_Data[[#This Row],[Start Date]]&gt;TODAY(),"Planned",IF(Market_Data[[#This Row],[Completion Date]]&lt;TODAY(),"Completed","Ongoing")))</f>
        <v>Ongoing</v>
      </c>
      <c r="G921" s="324">
        <v>45658</v>
      </c>
      <c r="H921" s="324">
        <v>48212</v>
      </c>
      <c r="I921" s="325">
        <v>59800</v>
      </c>
      <c r="J92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21" s="133">
        <f>_xlfn.XLOOKUP(Market_Data[[#This Row],[Project Type]],tbl_assumptions_market[Project Category (RERA)],tbl_assumptions_market[Concrete Intensity
(m³ / sq m BUA)],"",0)</f>
        <v>0.45</v>
      </c>
      <c r="L921" s="134">
        <f>ROUND(Market_Data[[#This Row],[Estimated Built Up Area (sq m)]]*Market_Data[[#This Row],[Concrete Intensity
(m³ / sq m)]],0)</f>
        <v>26910</v>
      </c>
      <c r="M921" s="135">
        <f>_xlfn.XLOOKUP(Market_Data[[#This Row],[District]],tbl_district_price[District],tbl_district_price[Standard Price
(INR/m³)],"",0)</f>
        <v>6200</v>
      </c>
      <c r="N921" s="364">
        <f>IF(OR(Market_Data[[#This Row],[Estimated Concrete Demand (m³)]]="",Market_Data[[#This Row],[Avg Price per (₹ / m³)]]=""),"",Market_Data[[#This Row],[Estimated Concrete Demand (m³)]]*Market_Data[[#This Row],[Avg Price per (₹ / m³)]]/10000000)</f>
        <v>16.684200000000001</v>
      </c>
      <c r="O921" s="97" t="str">
        <f>IF(Market_Data[[#This Row],[Estimated Concrete Demand (m³)]]="","",
IF(Market_Data[[#This Row],[Estimated Concrete Demand (m³)]]&lt;10000,"Small",
IF(Market_Data[[#This Row],[Estimated Concrete Demand (m³)]]&lt;25000,"Medium",
IF(Market_Data[[#This Row],[Estimated Concrete Demand (m³)]]&lt;100000,"Large","Mega"))))</f>
        <v>Large</v>
      </c>
      <c r="P921" s="287" t="str">
        <f t="shared" si="16"/>
        <v>GujRERA</v>
      </c>
    </row>
    <row r="922" spans="1:16">
      <c r="A922" s="129" t="str">
        <f>_xlfn.XLOOKUP(B922,$S$9:$S$14,$T$9:$T$14)&amp;"-"&amp;
IF(E922="Residential/Group Housing","RES",
IF(E922="Commercial","COM",
IF(E922="Mixed Development","MIX",
IF(E922="Plotted Development","PLT","OTH"))))
&amp;"-"&amp;TEXT(COUNTIFS($B$9:B922,B922,$E$9:E922,E922),"0000")</f>
        <v>SUR-COM-0115</v>
      </c>
      <c r="B922" s="322" t="s">
        <v>34</v>
      </c>
      <c r="C922" s="322" t="s">
        <v>34</v>
      </c>
      <c r="D922" s="323" t="s">
        <v>1112</v>
      </c>
      <c r="E922" s="132" t="s">
        <v>23</v>
      </c>
      <c r="F922" s="97" t="str">
        <f ca="1">IF(OR(Market_Data[[#This Row],[Start Date]]="",Market_Data[[#This Row],[Completion Date]]=""),"Needs Validation",IF(Market_Data[[#This Row],[Start Date]]&gt;TODAY(),"Planned",IF(Market_Data[[#This Row],[Completion Date]]&lt;TODAY(),"Completed","Ongoing")))</f>
        <v>Ongoing</v>
      </c>
      <c r="G922" s="324">
        <v>42591</v>
      </c>
      <c r="H922" s="324">
        <v>46295</v>
      </c>
      <c r="I922" s="325">
        <v>17500</v>
      </c>
      <c r="J92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22" s="133">
        <f>_xlfn.XLOOKUP(Market_Data[[#This Row],[Project Type]],tbl_assumptions_market[Project Category (RERA)],tbl_assumptions_market[Concrete Intensity
(m³ / sq m BUA)],"",0)</f>
        <v>0.5</v>
      </c>
      <c r="L922" s="134">
        <f>ROUND(Market_Data[[#This Row],[Estimated Built Up Area (sq m)]]*Market_Data[[#This Row],[Concrete Intensity
(m³ / sq m)]],0)</f>
        <v>8750</v>
      </c>
      <c r="M922" s="135">
        <f>_xlfn.XLOOKUP(Market_Data[[#This Row],[District]],tbl_district_price[District],tbl_district_price[Standard Price
(INR/m³)],"",0)</f>
        <v>6200</v>
      </c>
      <c r="N922" s="364">
        <f>IF(OR(Market_Data[[#This Row],[Estimated Concrete Demand (m³)]]="",Market_Data[[#This Row],[Avg Price per (₹ / m³)]]=""),"",Market_Data[[#This Row],[Estimated Concrete Demand (m³)]]*Market_Data[[#This Row],[Avg Price per (₹ / m³)]]/10000000)</f>
        <v>5.4249999999999998</v>
      </c>
      <c r="O922" s="97" t="str">
        <f>IF(Market_Data[[#This Row],[Estimated Concrete Demand (m³)]]="","",
IF(Market_Data[[#This Row],[Estimated Concrete Demand (m³)]]&lt;10000,"Small",
IF(Market_Data[[#This Row],[Estimated Concrete Demand (m³)]]&lt;25000,"Medium",
IF(Market_Data[[#This Row],[Estimated Concrete Demand (m³)]]&lt;100000,"Large","Mega"))))</f>
        <v>Small</v>
      </c>
      <c r="P922" s="287" t="str">
        <f t="shared" si="16"/>
        <v>GujRERA</v>
      </c>
    </row>
    <row r="923" spans="1:16">
      <c r="A923" s="129" t="str">
        <f>_xlfn.XLOOKUP(B923,$S$9:$S$14,$T$9:$T$14)&amp;"-"&amp;
IF(E923="Residential/Group Housing","RES",
IF(E923="Commercial","COM",
IF(E923="Mixed Development","MIX",
IF(E923="Plotted Development","PLT","OTH"))))
&amp;"-"&amp;TEXT(COUNTIFS($B$9:B923,B923,$E$9:E923,E923),"0000")</f>
        <v>SUR-PLT-0153</v>
      </c>
      <c r="B923" s="322" t="s">
        <v>34</v>
      </c>
      <c r="C923" s="322" t="s">
        <v>34</v>
      </c>
      <c r="D923" s="323" t="s">
        <v>1113</v>
      </c>
      <c r="E923" s="132" t="s">
        <v>26</v>
      </c>
      <c r="F923" s="97" t="str">
        <f ca="1">IF(OR(Market_Data[[#This Row],[Start Date]]="",Market_Data[[#This Row],[Completion Date]]=""),"Needs Validation",IF(Market_Data[[#This Row],[Start Date]]&gt;TODAY(),"Planned",IF(Market_Data[[#This Row],[Completion Date]]&lt;TODAY(),"Completed","Ongoing")))</f>
        <v>Ongoing</v>
      </c>
      <c r="G923" s="324">
        <v>45721</v>
      </c>
      <c r="H923" s="324">
        <v>47177</v>
      </c>
      <c r="I923" s="325">
        <v>31600</v>
      </c>
      <c r="J92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923" s="133">
        <f>_xlfn.XLOOKUP(Market_Data[[#This Row],[Project Type]],tbl_assumptions_market[Project Category (RERA)],tbl_assumptions_market[Concrete Intensity
(m³ / sq m BUA)],"",0)</f>
        <v>0.18</v>
      </c>
      <c r="L923" s="134">
        <f>ROUND(Market_Data[[#This Row],[Estimated Built Up Area (sq m)]]*Market_Data[[#This Row],[Concrete Intensity
(m³ / sq m)]],0)</f>
        <v>5688</v>
      </c>
      <c r="M923" s="135">
        <f>_xlfn.XLOOKUP(Market_Data[[#This Row],[District]],tbl_district_price[District],tbl_district_price[Standard Price
(INR/m³)],"",0)</f>
        <v>6200</v>
      </c>
      <c r="N923" s="364">
        <f>IF(OR(Market_Data[[#This Row],[Estimated Concrete Demand (m³)]]="",Market_Data[[#This Row],[Avg Price per (₹ / m³)]]=""),"",Market_Data[[#This Row],[Estimated Concrete Demand (m³)]]*Market_Data[[#This Row],[Avg Price per (₹ / m³)]]/10000000)</f>
        <v>3.5265599999999999</v>
      </c>
      <c r="O923" s="97" t="str">
        <f>IF(Market_Data[[#This Row],[Estimated Concrete Demand (m³)]]="","",
IF(Market_Data[[#This Row],[Estimated Concrete Demand (m³)]]&lt;10000,"Small",
IF(Market_Data[[#This Row],[Estimated Concrete Demand (m³)]]&lt;25000,"Medium",
IF(Market_Data[[#This Row],[Estimated Concrete Demand (m³)]]&lt;100000,"Large","Mega"))))</f>
        <v>Small</v>
      </c>
      <c r="P923" s="287" t="str">
        <f t="shared" si="16"/>
        <v>GujRERA</v>
      </c>
    </row>
    <row r="924" spans="1:16">
      <c r="A924" s="129" t="str">
        <f>_xlfn.XLOOKUP(B924,$S$9:$S$14,$T$9:$T$14)&amp;"-"&amp;
IF(E924="Residential/Group Housing","RES",
IF(E924="Commercial","COM",
IF(E924="Mixed Development","MIX",
IF(E924="Plotted Development","PLT","OTH"))))
&amp;"-"&amp;TEXT(COUNTIFS($B$9:B924,B924,$E$9:E924,E924),"0000")</f>
        <v>SUR-PLT-0154</v>
      </c>
      <c r="B924" s="322" t="s">
        <v>34</v>
      </c>
      <c r="C924" s="322" t="s">
        <v>34</v>
      </c>
      <c r="D924" s="323" t="s">
        <v>1114</v>
      </c>
      <c r="E924" s="132" t="s">
        <v>26</v>
      </c>
      <c r="F924" s="97" t="str">
        <f ca="1">IF(OR(Market_Data[[#This Row],[Start Date]]="",Market_Data[[#This Row],[Completion Date]]=""),"Needs Validation",IF(Market_Data[[#This Row],[Start Date]]&gt;TODAY(),"Planned",IF(Market_Data[[#This Row],[Completion Date]]&lt;TODAY(),"Completed","Ongoing")))</f>
        <v>Completed</v>
      </c>
      <c r="G924" s="324">
        <v>44986</v>
      </c>
      <c r="H924" s="324">
        <v>46112</v>
      </c>
      <c r="I924" s="325">
        <v>52600</v>
      </c>
      <c r="J92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924" s="133">
        <f>_xlfn.XLOOKUP(Market_Data[[#This Row],[Project Type]],tbl_assumptions_market[Project Category (RERA)],tbl_assumptions_market[Concrete Intensity
(m³ / sq m BUA)],"",0)</f>
        <v>0.18</v>
      </c>
      <c r="L924" s="134">
        <f>ROUND(Market_Data[[#This Row],[Estimated Built Up Area (sq m)]]*Market_Data[[#This Row],[Concrete Intensity
(m³ / sq m)]],0)</f>
        <v>9468</v>
      </c>
      <c r="M924" s="135">
        <f>_xlfn.XLOOKUP(Market_Data[[#This Row],[District]],tbl_district_price[District],tbl_district_price[Standard Price
(INR/m³)],"",0)</f>
        <v>6200</v>
      </c>
      <c r="N924" s="364">
        <f>IF(OR(Market_Data[[#This Row],[Estimated Concrete Demand (m³)]]="",Market_Data[[#This Row],[Avg Price per (₹ / m³)]]=""),"",Market_Data[[#This Row],[Estimated Concrete Demand (m³)]]*Market_Data[[#This Row],[Avg Price per (₹ / m³)]]/10000000)</f>
        <v>5.8701600000000003</v>
      </c>
      <c r="O924" s="97" t="str">
        <f>IF(Market_Data[[#This Row],[Estimated Concrete Demand (m³)]]="","",
IF(Market_Data[[#This Row],[Estimated Concrete Demand (m³)]]&lt;10000,"Small",
IF(Market_Data[[#This Row],[Estimated Concrete Demand (m³)]]&lt;25000,"Medium",
IF(Market_Data[[#This Row],[Estimated Concrete Demand (m³)]]&lt;100000,"Large","Mega"))))</f>
        <v>Small</v>
      </c>
      <c r="P924" s="287" t="str">
        <f t="shared" si="16"/>
        <v>GujRERA</v>
      </c>
    </row>
    <row r="925" spans="1:16">
      <c r="A925" s="129" t="str">
        <f>_xlfn.XLOOKUP(B925,$S$9:$S$14,$T$9:$T$14)&amp;"-"&amp;
IF(E925="Residential/Group Housing","RES",
IF(E925="Commercial","COM",
IF(E925="Mixed Development","MIX",
IF(E925="Plotted Development","PLT","OTH"))))
&amp;"-"&amp;TEXT(COUNTIFS($B$9:B925,B925,$E$9:E925,E925),"0000")</f>
        <v>SUR-COM-0116</v>
      </c>
      <c r="B925" s="322" t="s">
        <v>34</v>
      </c>
      <c r="C925" s="322" t="s">
        <v>34</v>
      </c>
      <c r="D925" s="323" t="s">
        <v>1115</v>
      </c>
      <c r="E925" s="132" t="s">
        <v>23</v>
      </c>
      <c r="F925" s="97" t="str">
        <f ca="1">IF(OR(Market_Data[[#This Row],[Start Date]]="",Market_Data[[#This Row],[Completion Date]]=""),"Needs Validation",IF(Market_Data[[#This Row],[Start Date]]&gt;TODAY(),"Planned",IF(Market_Data[[#This Row],[Completion Date]]&lt;TODAY(),"Completed","Ongoing")))</f>
        <v>Completed</v>
      </c>
      <c r="G925" s="324">
        <v>42461</v>
      </c>
      <c r="H925" s="324">
        <v>44104</v>
      </c>
      <c r="I925" s="325">
        <v>15900</v>
      </c>
      <c r="J92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25" s="133">
        <f>_xlfn.XLOOKUP(Market_Data[[#This Row],[Project Type]],tbl_assumptions_market[Project Category (RERA)],tbl_assumptions_market[Concrete Intensity
(m³ / sq m BUA)],"",0)</f>
        <v>0.5</v>
      </c>
      <c r="L925" s="134">
        <f>ROUND(Market_Data[[#This Row],[Estimated Built Up Area (sq m)]]*Market_Data[[#This Row],[Concrete Intensity
(m³ / sq m)]],0)</f>
        <v>7950</v>
      </c>
      <c r="M925" s="135">
        <f>_xlfn.XLOOKUP(Market_Data[[#This Row],[District]],tbl_district_price[District],tbl_district_price[Standard Price
(INR/m³)],"",0)</f>
        <v>6200</v>
      </c>
      <c r="N925" s="364">
        <f>IF(OR(Market_Data[[#This Row],[Estimated Concrete Demand (m³)]]="",Market_Data[[#This Row],[Avg Price per (₹ / m³)]]=""),"",Market_Data[[#This Row],[Estimated Concrete Demand (m³)]]*Market_Data[[#This Row],[Avg Price per (₹ / m³)]]/10000000)</f>
        <v>4.9290000000000003</v>
      </c>
      <c r="O925" s="97" t="str">
        <f>IF(Market_Data[[#This Row],[Estimated Concrete Demand (m³)]]="","",
IF(Market_Data[[#This Row],[Estimated Concrete Demand (m³)]]&lt;10000,"Small",
IF(Market_Data[[#This Row],[Estimated Concrete Demand (m³)]]&lt;25000,"Medium",
IF(Market_Data[[#This Row],[Estimated Concrete Demand (m³)]]&lt;100000,"Large","Mega"))))</f>
        <v>Small</v>
      </c>
      <c r="P925" s="287" t="str">
        <f t="shared" si="16"/>
        <v>GujRERA</v>
      </c>
    </row>
    <row r="926" spans="1:16">
      <c r="A926" s="129" t="str">
        <f>_xlfn.XLOOKUP(B926,$S$9:$S$14,$T$9:$T$14)&amp;"-"&amp;
IF(E926="Residential/Group Housing","RES",
IF(E926="Commercial","COM",
IF(E926="Mixed Development","MIX",
IF(E926="Plotted Development","PLT","OTH"))))
&amp;"-"&amp;TEXT(COUNTIFS($B$9:B926,B926,$E$9:E926,E926),"0000")</f>
        <v>SUR-MIX-0108</v>
      </c>
      <c r="B926" s="322" t="s">
        <v>34</v>
      </c>
      <c r="C926" s="322" t="s">
        <v>34</v>
      </c>
      <c r="D926" s="323" t="s">
        <v>1116</v>
      </c>
      <c r="E926" s="132" t="s">
        <v>25</v>
      </c>
      <c r="F926" s="97" t="str">
        <f ca="1">IF(OR(Market_Data[[#This Row],[Start Date]]="",Market_Data[[#This Row],[Completion Date]]=""),"Needs Validation",IF(Market_Data[[#This Row],[Start Date]]&gt;TODAY(),"Planned",IF(Market_Data[[#This Row],[Completion Date]]&lt;TODAY(),"Completed","Ongoing")))</f>
        <v>Ongoing</v>
      </c>
      <c r="G926" s="324">
        <v>45589</v>
      </c>
      <c r="H926" s="324">
        <v>47208</v>
      </c>
      <c r="I926" s="325">
        <v>15100</v>
      </c>
      <c r="J92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26" s="133">
        <f>_xlfn.XLOOKUP(Market_Data[[#This Row],[Project Type]],tbl_assumptions_market[Project Category (RERA)],tbl_assumptions_market[Concrete Intensity
(m³ / sq m BUA)],"",0)</f>
        <v>0.42</v>
      </c>
      <c r="L926" s="134">
        <f>ROUND(Market_Data[[#This Row],[Estimated Built Up Area (sq m)]]*Market_Data[[#This Row],[Concrete Intensity
(m³ / sq m)]],0)</f>
        <v>6342</v>
      </c>
      <c r="M926" s="135">
        <f>_xlfn.XLOOKUP(Market_Data[[#This Row],[District]],tbl_district_price[District],tbl_district_price[Standard Price
(INR/m³)],"",0)</f>
        <v>6200</v>
      </c>
      <c r="N926" s="364">
        <f>IF(OR(Market_Data[[#This Row],[Estimated Concrete Demand (m³)]]="",Market_Data[[#This Row],[Avg Price per (₹ / m³)]]=""),"",Market_Data[[#This Row],[Estimated Concrete Demand (m³)]]*Market_Data[[#This Row],[Avg Price per (₹ / m³)]]/10000000)</f>
        <v>3.9320400000000002</v>
      </c>
      <c r="O926" s="97" t="str">
        <f>IF(Market_Data[[#This Row],[Estimated Concrete Demand (m³)]]="","",
IF(Market_Data[[#This Row],[Estimated Concrete Demand (m³)]]&lt;10000,"Small",
IF(Market_Data[[#This Row],[Estimated Concrete Demand (m³)]]&lt;25000,"Medium",
IF(Market_Data[[#This Row],[Estimated Concrete Demand (m³)]]&lt;100000,"Large","Mega"))))</f>
        <v>Small</v>
      </c>
      <c r="P926" s="287" t="str">
        <f t="shared" si="16"/>
        <v>GujRERA</v>
      </c>
    </row>
    <row r="927" spans="1:16">
      <c r="A927" s="129" t="str">
        <f>_xlfn.XLOOKUP(B927,$S$9:$S$14,$T$9:$T$14)&amp;"-"&amp;
IF(E927="Residential/Group Housing","RES",
IF(E927="Commercial","COM",
IF(E927="Mixed Development","MIX",
IF(E927="Plotted Development","PLT","OTH"))))
&amp;"-"&amp;TEXT(COUNTIFS($B$9:B927,B927,$E$9:E927,E927),"0000")</f>
        <v>SUR-COM-0117</v>
      </c>
      <c r="B927" s="322" t="s">
        <v>34</v>
      </c>
      <c r="C927" s="322" t="s">
        <v>34</v>
      </c>
      <c r="D927" s="323" t="s">
        <v>1117</v>
      </c>
      <c r="E927" s="132" t="s">
        <v>23</v>
      </c>
      <c r="F927" s="97" t="str">
        <f ca="1">IF(OR(Market_Data[[#This Row],[Start Date]]="",Market_Data[[#This Row],[Completion Date]]=""),"Needs Validation",IF(Market_Data[[#This Row],[Start Date]]&gt;TODAY(),"Planned",IF(Market_Data[[#This Row],[Completion Date]]&lt;TODAY(),"Completed","Ongoing")))</f>
        <v>Completed</v>
      </c>
      <c r="G927" s="324">
        <v>44084</v>
      </c>
      <c r="H927" s="324">
        <v>46054</v>
      </c>
      <c r="I927" s="325">
        <v>29900</v>
      </c>
      <c r="J92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927" s="133">
        <f>_xlfn.XLOOKUP(Market_Data[[#This Row],[Project Type]],tbl_assumptions_market[Project Category (RERA)],tbl_assumptions_market[Concrete Intensity
(m³ / sq m BUA)],"",0)</f>
        <v>0.5</v>
      </c>
      <c r="L927" s="134">
        <f>ROUND(Market_Data[[#This Row],[Estimated Built Up Area (sq m)]]*Market_Data[[#This Row],[Concrete Intensity
(m³ / sq m)]],0)</f>
        <v>14950</v>
      </c>
      <c r="M927" s="135">
        <f>_xlfn.XLOOKUP(Market_Data[[#This Row],[District]],tbl_district_price[District],tbl_district_price[Standard Price
(INR/m³)],"",0)</f>
        <v>6200</v>
      </c>
      <c r="N927" s="364">
        <f>IF(OR(Market_Data[[#This Row],[Estimated Concrete Demand (m³)]]="",Market_Data[[#This Row],[Avg Price per (₹ / m³)]]=""),"",Market_Data[[#This Row],[Estimated Concrete Demand (m³)]]*Market_Data[[#This Row],[Avg Price per (₹ / m³)]]/10000000)</f>
        <v>9.2690000000000001</v>
      </c>
      <c r="O927" s="97" t="str">
        <f>IF(Market_Data[[#This Row],[Estimated Concrete Demand (m³)]]="","",
IF(Market_Data[[#This Row],[Estimated Concrete Demand (m³)]]&lt;10000,"Small",
IF(Market_Data[[#This Row],[Estimated Concrete Demand (m³)]]&lt;25000,"Medium",
IF(Market_Data[[#This Row],[Estimated Concrete Demand (m³)]]&lt;100000,"Large","Mega"))))</f>
        <v>Medium</v>
      </c>
      <c r="P927" s="287" t="str">
        <f t="shared" si="16"/>
        <v>GujRERA</v>
      </c>
    </row>
    <row r="928" spans="1:16">
      <c r="A928" s="129" t="str">
        <f>_xlfn.XLOOKUP(B928,$S$9:$S$14,$T$9:$T$14)&amp;"-"&amp;
IF(E928="Residential/Group Housing","RES",
IF(E928="Commercial","COM",
IF(E928="Mixed Development","MIX",
IF(E928="Plotted Development","PLT","OTH"))))
&amp;"-"&amp;TEXT(COUNTIFS($B$9:B928,B928,$E$9:E928,E928),"0000")</f>
        <v>SUR-MIX-0109</v>
      </c>
      <c r="B928" s="322" t="s">
        <v>34</v>
      </c>
      <c r="C928" s="322" t="s">
        <v>34</v>
      </c>
      <c r="D928" s="323" t="s">
        <v>1118</v>
      </c>
      <c r="E928" s="132" t="s">
        <v>25</v>
      </c>
      <c r="F928" s="97" t="str">
        <f ca="1">IF(OR(Market_Data[[#This Row],[Start Date]]="",Market_Data[[#This Row],[Completion Date]]=""),"Needs Validation",IF(Market_Data[[#This Row],[Start Date]]&gt;TODAY(),"Planned",IF(Market_Data[[#This Row],[Completion Date]]&lt;TODAY(),"Completed","Ongoing")))</f>
        <v>Ongoing</v>
      </c>
      <c r="G928" s="324">
        <v>45553</v>
      </c>
      <c r="H928" s="324">
        <v>46843</v>
      </c>
      <c r="I928" s="325">
        <v>59900</v>
      </c>
      <c r="J92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28" s="133">
        <f>_xlfn.XLOOKUP(Market_Data[[#This Row],[Project Type]],tbl_assumptions_market[Project Category (RERA)],tbl_assumptions_market[Concrete Intensity
(m³ / sq m BUA)],"",0)</f>
        <v>0.42</v>
      </c>
      <c r="L928" s="134">
        <f>ROUND(Market_Data[[#This Row],[Estimated Built Up Area (sq m)]]*Market_Data[[#This Row],[Concrete Intensity
(m³ / sq m)]],0)</f>
        <v>25158</v>
      </c>
      <c r="M928" s="135">
        <f>_xlfn.XLOOKUP(Market_Data[[#This Row],[District]],tbl_district_price[District],tbl_district_price[Standard Price
(INR/m³)],"",0)</f>
        <v>6200</v>
      </c>
      <c r="N928" s="364">
        <f>IF(OR(Market_Data[[#This Row],[Estimated Concrete Demand (m³)]]="",Market_Data[[#This Row],[Avg Price per (₹ / m³)]]=""),"",Market_Data[[#This Row],[Estimated Concrete Demand (m³)]]*Market_Data[[#This Row],[Avg Price per (₹ / m³)]]/10000000)</f>
        <v>15.59796</v>
      </c>
      <c r="O928" s="97" t="str">
        <f>IF(Market_Data[[#This Row],[Estimated Concrete Demand (m³)]]="","",
IF(Market_Data[[#This Row],[Estimated Concrete Demand (m³)]]&lt;10000,"Small",
IF(Market_Data[[#This Row],[Estimated Concrete Demand (m³)]]&lt;25000,"Medium",
IF(Market_Data[[#This Row],[Estimated Concrete Demand (m³)]]&lt;100000,"Large","Mega"))))</f>
        <v>Large</v>
      </c>
      <c r="P928" s="287" t="str">
        <f t="shared" si="16"/>
        <v>GujRERA</v>
      </c>
    </row>
    <row r="929" spans="1:16">
      <c r="A929" s="129" t="str">
        <f>_xlfn.XLOOKUP(B929,$S$9:$S$14,$T$9:$T$14)&amp;"-"&amp;
IF(E929="Residential/Group Housing","RES",
IF(E929="Commercial","COM",
IF(E929="Mixed Development","MIX",
IF(E929="Plotted Development","PLT","OTH"))))
&amp;"-"&amp;TEXT(COUNTIFS($B$9:B929,B929,$E$9:E929,E929),"0000")</f>
        <v>SUR-RES-0231</v>
      </c>
      <c r="B929" s="322" t="s">
        <v>34</v>
      </c>
      <c r="C929" s="322" t="s">
        <v>34</v>
      </c>
      <c r="D929" s="323" t="s">
        <v>1119</v>
      </c>
      <c r="E929" s="132" t="s">
        <v>24</v>
      </c>
      <c r="F929" s="97" t="str">
        <f ca="1">IF(OR(Market_Data[[#This Row],[Start Date]]="",Market_Data[[#This Row],[Completion Date]]=""),"Needs Validation",IF(Market_Data[[#This Row],[Start Date]]&gt;TODAY(),"Planned",IF(Market_Data[[#This Row],[Completion Date]]&lt;TODAY(),"Completed","Ongoing")))</f>
        <v>Completed</v>
      </c>
      <c r="G929" s="324">
        <v>43891</v>
      </c>
      <c r="H929" s="324">
        <v>45713</v>
      </c>
      <c r="I929" s="325">
        <v>58800</v>
      </c>
      <c r="J92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29" s="133">
        <f>_xlfn.XLOOKUP(Market_Data[[#This Row],[Project Type]],tbl_assumptions_market[Project Category (RERA)],tbl_assumptions_market[Concrete Intensity
(m³ / sq m BUA)],"",0)</f>
        <v>0.45</v>
      </c>
      <c r="L929" s="134">
        <f>ROUND(Market_Data[[#This Row],[Estimated Built Up Area (sq m)]]*Market_Data[[#This Row],[Concrete Intensity
(m³ / sq m)]],0)</f>
        <v>26460</v>
      </c>
      <c r="M929" s="135">
        <f>_xlfn.XLOOKUP(Market_Data[[#This Row],[District]],tbl_district_price[District],tbl_district_price[Standard Price
(INR/m³)],"",0)</f>
        <v>6200</v>
      </c>
      <c r="N929" s="364">
        <f>IF(OR(Market_Data[[#This Row],[Estimated Concrete Demand (m³)]]="",Market_Data[[#This Row],[Avg Price per (₹ / m³)]]=""),"",Market_Data[[#This Row],[Estimated Concrete Demand (m³)]]*Market_Data[[#This Row],[Avg Price per (₹ / m³)]]/10000000)</f>
        <v>16.405200000000001</v>
      </c>
      <c r="O929" s="97" t="str">
        <f>IF(Market_Data[[#This Row],[Estimated Concrete Demand (m³)]]="","",
IF(Market_Data[[#This Row],[Estimated Concrete Demand (m³)]]&lt;10000,"Small",
IF(Market_Data[[#This Row],[Estimated Concrete Demand (m³)]]&lt;25000,"Medium",
IF(Market_Data[[#This Row],[Estimated Concrete Demand (m³)]]&lt;100000,"Large","Mega"))))</f>
        <v>Large</v>
      </c>
      <c r="P929" s="287" t="str">
        <f t="shared" si="16"/>
        <v>GujRERA</v>
      </c>
    </row>
    <row r="930" spans="1:16">
      <c r="A930" s="129" t="str">
        <f>_xlfn.XLOOKUP(B930,$S$9:$S$14,$T$9:$T$14)&amp;"-"&amp;
IF(E930="Residential/Group Housing","RES",
IF(E930="Commercial","COM",
IF(E930="Mixed Development","MIX",
IF(E930="Plotted Development","PLT","OTH"))))
&amp;"-"&amp;TEXT(COUNTIFS($B$9:B930,B930,$E$9:E930,E930),"0000")</f>
        <v>SUR-COM-0118</v>
      </c>
      <c r="B930" s="322" t="s">
        <v>34</v>
      </c>
      <c r="C930" s="322" t="s">
        <v>34</v>
      </c>
      <c r="D930" s="323" t="s">
        <v>1120</v>
      </c>
      <c r="E930" s="132" t="s">
        <v>23</v>
      </c>
      <c r="F930" s="97" t="str">
        <f ca="1">IF(OR(Market_Data[[#This Row],[Start Date]]="",Market_Data[[#This Row],[Completion Date]]=""),"Needs Validation",IF(Market_Data[[#This Row],[Start Date]]&gt;TODAY(),"Planned",IF(Market_Data[[#This Row],[Completion Date]]&lt;TODAY(),"Completed","Ongoing")))</f>
        <v>Ongoing</v>
      </c>
      <c r="G930" s="324">
        <v>45376</v>
      </c>
      <c r="H930" s="324">
        <v>46477</v>
      </c>
      <c r="I930" s="325">
        <v>2600</v>
      </c>
      <c r="J93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30" s="133">
        <f>_xlfn.XLOOKUP(Market_Data[[#This Row],[Project Type]],tbl_assumptions_market[Project Category (RERA)],tbl_assumptions_market[Concrete Intensity
(m³ / sq m BUA)],"",0)</f>
        <v>0.5</v>
      </c>
      <c r="L930" s="134">
        <f>ROUND(Market_Data[[#This Row],[Estimated Built Up Area (sq m)]]*Market_Data[[#This Row],[Concrete Intensity
(m³ / sq m)]],0)</f>
        <v>1300</v>
      </c>
      <c r="M930" s="135">
        <f>_xlfn.XLOOKUP(Market_Data[[#This Row],[District]],tbl_district_price[District],tbl_district_price[Standard Price
(INR/m³)],"",0)</f>
        <v>6200</v>
      </c>
      <c r="N930" s="364">
        <f>IF(OR(Market_Data[[#This Row],[Estimated Concrete Demand (m³)]]="",Market_Data[[#This Row],[Avg Price per (₹ / m³)]]=""),"",Market_Data[[#This Row],[Estimated Concrete Demand (m³)]]*Market_Data[[#This Row],[Avg Price per (₹ / m³)]]/10000000)</f>
        <v>0.80600000000000005</v>
      </c>
      <c r="O930" s="97" t="str">
        <f>IF(Market_Data[[#This Row],[Estimated Concrete Demand (m³)]]="","",
IF(Market_Data[[#This Row],[Estimated Concrete Demand (m³)]]&lt;10000,"Small",
IF(Market_Data[[#This Row],[Estimated Concrete Demand (m³)]]&lt;25000,"Medium",
IF(Market_Data[[#This Row],[Estimated Concrete Demand (m³)]]&lt;100000,"Large","Mega"))))</f>
        <v>Small</v>
      </c>
      <c r="P930" s="287" t="str">
        <f t="shared" si="16"/>
        <v>GujRERA</v>
      </c>
    </row>
    <row r="931" spans="1:16">
      <c r="A931" s="129" t="str">
        <f>_xlfn.XLOOKUP(B931,$S$9:$S$14,$T$9:$T$14)&amp;"-"&amp;
IF(E931="Residential/Group Housing","RES",
IF(E931="Commercial","COM",
IF(E931="Mixed Development","MIX",
IF(E931="Plotted Development","PLT","OTH"))))
&amp;"-"&amp;TEXT(COUNTIFS($B$9:B931,B931,$E$9:E931,E931),"0000")</f>
        <v>SUR-PLT-0155</v>
      </c>
      <c r="B931" s="322" t="s">
        <v>34</v>
      </c>
      <c r="C931" s="322" t="s">
        <v>34</v>
      </c>
      <c r="D931" s="323" t="s">
        <v>1121</v>
      </c>
      <c r="E931" s="132" t="s">
        <v>26</v>
      </c>
      <c r="F931" s="97" t="str">
        <f ca="1">IF(OR(Market_Data[[#This Row],[Start Date]]="",Market_Data[[#This Row],[Completion Date]]=""),"Needs Validation",IF(Market_Data[[#This Row],[Start Date]]&gt;TODAY(),"Planned",IF(Market_Data[[#This Row],[Completion Date]]&lt;TODAY(),"Completed","Ongoing")))</f>
        <v>Completed</v>
      </c>
      <c r="G931" s="324">
        <v>41685</v>
      </c>
      <c r="H931" s="324">
        <v>45838</v>
      </c>
      <c r="I931" s="325">
        <v>43400</v>
      </c>
      <c r="J93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931" s="133">
        <f>_xlfn.XLOOKUP(Market_Data[[#This Row],[Project Type]],tbl_assumptions_market[Project Category (RERA)],tbl_assumptions_market[Concrete Intensity
(m³ / sq m BUA)],"",0)</f>
        <v>0.18</v>
      </c>
      <c r="L931" s="134">
        <f>ROUND(Market_Data[[#This Row],[Estimated Built Up Area (sq m)]]*Market_Data[[#This Row],[Concrete Intensity
(m³ / sq m)]],0)</f>
        <v>7812</v>
      </c>
      <c r="M931" s="135">
        <f>_xlfn.XLOOKUP(Market_Data[[#This Row],[District]],tbl_district_price[District],tbl_district_price[Standard Price
(INR/m³)],"",0)</f>
        <v>6200</v>
      </c>
      <c r="N931" s="364">
        <f>IF(OR(Market_Data[[#This Row],[Estimated Concrete Demand (m³)]]="",Market_Data[[#This Row],[Avg Price per (₹ / m³)]]=""),"",Market_Data[[#This Row],[Estimated Concrete Demand (m³)]]*Market_Data[[#This Row],[Avg Price per (₹ / m³)]]/10000000)</f>
        <v>4.8434400000000002</v>
      </c>
      <c r="O931" s="97" t="str">
        <f>IF(Market_Data[[#This Row],[Estimated Concrete Demand (m³)]]="","",
IF(Market_Data[[#This Row],[Estimated Concrete Demand (m³)]]&lt;10000,"Small",
IF(Market_Data[[#This Row],[Estimated Concrete Demand (m³)]]&lt;25000,"Medium",
IF(Market_Data[[#This Row],[Estimated Concrete Demand (m³)]]&lt;100000,"Large","Mega"))))</f>
        <v>Small</v>
      </c>
      <c r="P931" s="287" t="str">
        <f t="shared" si="16"/>
        <v>GujRERA</v>
      </c>
    </row>
    <row r="932" spans="1:16">
      <c r="A932" s="129" t="str">
        <f>_xlfn.XLOOKUP(B932,$S$9:$S$14,$T$9:$T$14)&amp;"-"&amp;
IF(E932="Residential/Group Housing","RES",
IF(E932="Commercial","COM",
IF(E932="Mixed Development","MIX",
IF(E932="Plotted Development","PLT","OTH"))))
&amp;"-"&amp;TEXT(COUNTIFS($B$9:B932,B932,$E$9:E932,E932),"0000")</f>
        <v>SUR-MIX-0110</v>
      </c>
      <c r="B932" s="322" t="s">
        <v>34</v>
      </c>
      <c r="C932" s="322" t="s">
        <v>34</v>
      </c>
      <c r="D932" s="323" t="s">
        <v>1122</v>
      </c>
      <c r="E932" s="132" t="s">
        <v>25</v>
      </c>
      <c r="F932" s="97" t="str">
        <f ca="1">IF(OR(Market_Data[[#This Row],[Start Date]]="",Market_Data[[#This Row],[Completion Date]]=""),"Needs Validation",IF(Market_Data[[#This Row],[Start Date]]&gt;TODAY(),"Planned",IF(Market_Data[[#This Row],[Completion Date]]&lt;TODAY(),"Completed","Ongoing")))</f>
        <v>Ongoing</v>
      </c>
      <c r="G932" s="324">
        <v>44470</v>
      </c>
      <c r="H932" s="324">
        <v>47118</v>
      </c>
      <c r="I932" s="325">
        <v>2000</v>
      </c>
      <c r="J93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932" s="133">
        <f>_xlfn.XLOOKUP(Market_Data[[#This Row],[Project Type]],tbl_assumptions_market[Project Category (RERA)],tbl_assumptions_market[Concrete Intensity
(m³ / sq m BUA)],"",0)</f>
        <v>0.42</v>
      </c>
      <c r="L932" s="134">
        <f>ROUND(Market_Data[[#This Row],[Estimated Built Up Area (sq m)]]*Market_Data[[#This Row],[Concrete Intensity
(m³ / sq m)]],0)</f>
        <v>840</v>
      </c>
      <c r="M932" s="135">
        <f>_xlfn.XLOOKUP(Market_Data[[#This Row],[District]],tbl_district_price[District],tbl_district_price[Standard Price
(INR/m³)],"",0)</f>
        <v>6200</v>
      </c>
      <c r="N932" s="364">
        <f>IF(OR(Market_Data[[#This Row],[Estimated Concrete Demand (m³)]]="",Market_Data[[#This Row],[Avg Price per (₹ / m³)]]=""),"",Market_Data[[#This Row],[Estimated Concrete Demand (m³)]]*Market_Data[[#This Row],[Avg Price per (₹ / m³)]]/10000000)</f>
        <v>0.52080000000000004</v>
      </c>
      <c r="O932" s="97" t="str">
        <f>IF(Market_Data[[#This Row],[Estimated Concrete Demand (m³)]]="","",
IF(Market_Data[[#This Row],[Estimated Concrete Demand (m³)]]&lt;10000,"Small",
IF(Market_Data[[#This Row],[Estimated Concrete Demand (m³)]]&lt;25000,"Medium",
IF(Market_Data[[#This Row],[Estimated Concrete Demand (m³)]]&lt;100000,"Large","Mega"))))</f>
        <v>Small</v>
      </c>
      <c r="P932" s="287" t="str">
        <f t="shared" si="16"/>
        <v>GujRERA</v>
      </c>
    </row>
    <row r="933" spans="1:16">
      <c r="A933" s="129" t="str">
        <f>_xlfn.XLOOKUP(B933,$S$9:$S$14,$T$9:$T$14)&amp;"-"&amp;
IF(E933="Residential/Group Housing","RES",
IF(E933="Commercial","COM",
IF(E933="Mixed Development","MIX",
IF(E933="Plotted Development","PLT","OTH"))))
&amp;"-"&amp;TEXT(COUNTIFS($B$9:B933,B933,$E$9:E933,E933),"0000")</f>
        <v>SUR-MIX-0111</v>
      </c>
      <c r="B933" s="322" t="s">
        <v>34</v>
      </c>
      <c r="C933" s="322" t="s">
        <v>34</v>
      </c>
      <c r="D933" s="323" t="s">
        <v>1123</v>
      </c>
      <c r="E933" s="132" t="s">
        <v>25</v>
      </c>
      <c r="F933" s="97" t="str">
        <f ca="1">IF(OR(Market_Data[[#This Row],[Start Date]]="",Market_Data[[#This Row],[Completion Date]]=""),"Needs Validation",IF(Market_Data[[#This Row],[Start Date]]&gt;TODAY(),"Planned",IF(Market_Data[[#This Row],[Completion Date]]&lt;TODAY(),"Completed","Ongoing")))</f>
        <v>Completed</v>
      </c>
      <c r="G933" s="324">
        <v>39881</v>
      </c>
      <c r="H933" s="324">
        <v>44742</v>
      </c>
      <c r="I933" s="325">
        <v>36900</v>
      </c>
      <c r="J93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33" s="133">
        <f>_xlfn.XLOOKUP(Market_Data[[#This Row],[Project Type]],tbl_assumptions_market[Project Category (RERA)],tbl_assumptions_market[Concrete Intensity
(m³ / sq m BUA)],"",0)</f>
        <v>0.42</v>
      </c>
      <c r="L933" s="134">
        <f>ROUND(Market_Data[[#This Row],[Estimated Built Up Area (sq m)]]*Market_Data[[#This Row],[Concrete Intensity
(m³ / sq m)]],0)</f>
        <v>15498</v>
      </c>
      <c r="M933" s="135">
        <f>_xlfn.XLOOKUP(Market_Data[[#This Row],[District]],tbl_district_price[District],tbl_district_price[Standard Price
(INR/m³)],"",0)</f>
        <v>6200</v>
      </c>
      <c r="N933" s="364">
        <f>IF(OR(Market_Data[[#This Row],[Estimated Concrete Demand (m³)]]="",Market_Data[[#This Row],[Avg Price per (₹ / m³)]]=""),"",Market_Data[[#This Row],[Estimated Concrete Demand (m³)]]*Market_Data[[#This Row],[Avg Price per (₹ / m³)]]/10000000)</f>
        <v>9.6087600000000002</v>
      </c>
      <c r="O933" s="97" t="str">
        <f>IF(Market_Data[[#This Row],[Estimated Concrete Demand (m³)]]="","",
IF(Market_Data[[#This Row],[Estimated Concrete Demand (m³)]]&lt;10000,"Small",
IF(Market_Data[[#This Row],[Estimated Concrete Demand (m³)]]&lt;25000,"Medium",
IF(Market_Data[[#This Row],[Estimated Concrete Demand (m³)]]&lt;100000,"Large","Mega"))))</f>
        <v>Medium</v>
      </c>
      <c r="P933" s="287" t="str">
        <f t="shared" si="16"/>
        <v>GujRERA</v>
      </c>
    </row>
    <row r="934" spans="1:16">
      <c r="A934" s="129" t="str">
        <f>_xlfn.XLOOKUP(B934,$S$9:$S$14,$T$9:$T$14)&amp;"-"&amp;
IF(E934="Residential/Group Housing","RES",
IF(E934="Commercial","COM",
IF(E934="Mixed Development","MIX",
IF(E934="Plotted Development","PLT","OTH"))))
&amp;"-"&amp;TEXT(COUNTIFS($B$9:B934,B934,$E$9:E934,E934),"0000")</f>
        <v>SUR-RES-0232</v>
      </c>
      <c r="B934" s="322" t="s">
        <v>34</v>
      </c>
      <c r="C934" s="322" t="s">
        <v>34</v>
      </c>
      <c r="D934" s="323" t="s">
        <v>1124</v>
      </c>
      <c r="E934" s="132" t="s">
        <v>24</v>
      </c>
      <c r="F934" s="97" t="str">
        <f ca="1">IF(OR(Market_Data[[#This Row],[Start Date]]="",Market_Data[[#This Row],[Completion Date]]=""),"Needs Validation",IF(Market_Data[[#This Row],[Start Date]]&gt;TODAY(),"Planned",IF(Market_Data[[#This Row],[Completion Date]]&lt;TODAY(),"Completed","Ongoing")))</f>
        <v>Ongoing</v>
      </c>
      <c r="G934" s="324">
        <v>44503</v>
      </c>
      <c r="H934" s="324">
        <v>47060</v>
      </c>
      <c r="I934" s="325">
        <v>47200</v>
      </c>
      <c r="J93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34" s="133">
        <f>_xlfn.XLOOKUP(Market_Data[[#This Row],[Project Type]],tbl_assumptions_market[Project Category (RERA)],tbl_assumptions_market[Concrete Intensity
(m³ / sq m BUA)],"",0)</f>
        <v>0.45</v>
      </c>
      <c r="L934" s="134">
        <f>ROUND(Market_Data[[#This Row],[Estimated Built Up Area (sq m)]]*Market_Data[[#This Row],[Concrete Intensity
(m³ / sq m)]],0)</f>
        <v>21240</v>
      </c>
      <c r="M934" s="135">
        <f>_xlfn.XLOOKUP(Market_Data[[#This Row],[District]],tbl_district_price[District],tbl_district_price[Standard Price
(INR/m³)],"",0)</f>
        <v>6200</v>
      </c>
      <c r="N934" s="364">
        <f>IF(OR(Market_Data[[#This Row],[Estimated Concrete Demand (m³)]]="",Market_Data[[#This Row],[Avg Price per (₹ / m³)]]=""),"",Market_Data[[#This Row],[Estimated Concrete Demand (m³)]]*Market_Data[[#This Row],[Avg Price per (₹ / m³)]]/10000000)</f>
        <v>13.168799999999999</v>
      </c>
      <c r="O934" s="97" t="str">
        <f>IF(Market_Data[[#This Row],[Estimated Concrete Demand (m³)]]="","",
IF(Market_Data[[#This Row],[Estimated Concrete Demand (m³)]]&lt;10000,"Small",
IF(Market_Data[[#This Row],[Estimated Concrete Demand (m³)]]&lt;25000,"Medium",
IF(Market_Data[[#This Row],[Estimated Concrete Demand (m³)]]&lt;100000,"Large","Mega"))))</f>
        <v>Medium</v>
      </c>
      <c r="P934" s="287" t="str">
        <f t="shared" si="16"/>
        <v>GujRERA</v>
      </c>
    </row>
    <row r="935" spans="1:16">
      <c r="A935" s="129" t="str">
        <f>_xlfn.XLOOKUP(B935,$S$9:$S$14,$T$9:$T$14)&amp;"-"&amp;
IF(E935="Residential/Group Housing","RES",
IF(E935="Commercial","COM",
IF(E935="Mixed Development","MIX",
IF(E935="Plotted Development","PLT","OTH"))))
&amp;"-"&amp;TEXT(COUNTIFS($B$9:B935,B935,$E$9:E935,E935),"0000")</f>
        <v>SUR-RES-0233</v>
      </c>
      <c r="B935" s="322" t="s">
        <v>34</v>
      </c>
      <c r="C935" s="322" t="s">
        <v>34</v>
      </c>
      <c r="D935" s="323" t="s">
        <v>1125</v>
      </c>
      <c r="E935" s="132" t="s">
        <v>24</v>
      </c>
      <c r="F935" s="97" t="str">
        <f ca="1">IF(OR(Market_Data[[#This Row],[Start Date]]="",Market_Data[[#This Row],[Completion Date]]=""),"Needs Validation",IF(Market_Data[[#This Row],[Start Date]]&gt;TODAY(),"Planned",IF(Market_Data[[#This Row],[Completion Date]]&lt;TODAY(),"Completed","Ongoing")))</f>
        <v>Completed</v>
      </c>
      <c r="G935" s="324">
        <v>42703</v>
      </c>
      <c r="H935" s="324">
        <v>44589</v>
      </c>
      <c r="I935" s="325">
        <v>54800</v>
      </c>
      <c r="J93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35" s="133">
        <f>_xlfn.XLOOKUP(Market_Data[[#This Row],[Project Type]],tbl_assumptions_market[Project Category (RERA)],tbl_assumptions_market[Concrete Intensity
(m³ / sq m BUA)],"",0)</f>
        <v>0.45</v>
      </c>
      <c r="L935" s="134">
        <f>ROUND(Market_Data[[#This Row],[Estimated Built Up Area (sq m)]]*Market_Data[[#This Row],[Concrete Intensity
(m³ / sq m)]],0)</f>
        <v>24660</v>
      </c>
      <c r="M935" s="135">
        <f>_xlfn.XLOOKUP(Market_Data[[#This Row],[District]],tbl_district_price[District],tbl_district_price[Standard Price
(INR/m³)],"",0)</f>
        <v>6200</v>
      </c>
      <c r="N935" s="364">
        <f>IF(OR(Market_Data[[#This Row],[Estimated Concrete Demand (m³)]]="",Market_Data[[#This Row],[Avg Price per (₹ / m³)]]=""),"",Market_Data[[#This Row],[Estimated Concrete Demand (m³)]]*Market_Data[[#This Row],[Avg Price per (₹ / m³)]]/10000000)</f>
        <v>15.289199999999999</v>
      </c>
      <c r="O935" s="97" t="str">
        <f>IF(Market_Data[[#This Row],[Estimated Concrete Demand (m³)]]="","",
IF(Market_Data[[#This Row],[Estimated Concrete Demand (m³)]]&lt;10000,"Small",
IF(Market_Data[[#This Row],[Estimated Concrete Demand (m³)]]&lt;25000,"Medium",
IF(Market_Data[[#This Row],[Estimated Concrete Demand (m³)]]&lt;100000,"Large","Mega"))))</f>
        <v>Medium</v>
      </c>
      <c r="P935" s="287" t="str">
        <f t="shared" si="16"/>
        <v>GujRERA</v>
      </c>
    </row>
    <row r="936" spans="1:16">
      <c r="A936" s="129" t="str">
        <f>_xlfn.XLOOKUP(B936,$S$9:$S$14,$T$9:$T$14)&amp;"-"&amp;
IF(E936="Residential/Group Housing","RES",
IF(E936="Commercial","COM",
IF(E936="Mixed Development","MIX",
IF(E936="Plotted Development","PLT","OTH"))))
&amp;"-"&amp;TEXT(COUNTIFS($B$9:B936,B936,$E$9:E936,E936),"0000")</f>
        <v>SUR-RES-0234</v>
      </c>
      <c r="B936" s="322" t="s">
        <v>34</v>
      </c>
      <c r="C936" s="322" t="s">
        <v>34</v>
      </c>
      <c r="D936" s="323" t="s">
        <v>1126</v>
      </c>
      <c r="E936" s="132" t="s">
        <v>24</v>
      </c>
      <c r="F936" s="97" t="str">
        <f ca="1">IF(OR(Market_Data[[#This Row],[Start Date]]="",Market_Data[[#This Row],[Completion Date]]=""),"Needs Validation",IF(Market_Data[[#This Row],[Start Date]]&gt;TODAY(),"Planned",IF(Market_Data[[#This Row],[Completion Date]]&lt;TODAY(),"Completed","Ongoing")))</f>
        <v>Completed</v>
      </c>
      <c r="G936" s="324">
        <v>42074</v>
      </c>
      <c r="H936" s="324">
        <v>43506</v>
      </c>
      <c r="I936" s="325">
        <v>16000</v>
      </c>
      <c r="J93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36" s="133">
        <f>_xlfn.XLOOKUP(Market_Data[[#This Row],[Project Type]],tbl_assumptions_market[Project Category (RERA)],tbl_assumptions_market[Concrete Intensity
(m³ / sq m BUA)],"",0)</f>
        <v>0.45</v>
      </c>
      <c r="L936" s="134">
        <f>ROUND(Market_Data[[#This Row],[Estimated Built Up Area (sq m)]]*Market_Data[[#This Row],[Concrete Intensity
(m³ / sq m)]],0)</f>
        <v>7200</v>
      </c>
      <c r="M936" s="135">
        <f>_xlfn.XLOOKUP(Market_Data[[#This Row],[District]],tbl_district_price[District],tbl_district_price[Standard Price
(INR/m³)],"",0)</f>
        <v>6200</v>
      </c>
      <c r="N936" s="364">
        <f>IF(OR(Market_Data[[#This Row],[Estimated Concrete Demand (m³)]]="",Market_Data[[#This Row],[Avg Price per (₹ / m³)]]=""),"",Market_Data[[#This Row],[Estimated Concrete Demand (m³)]]*Market_Data[[#This Row],[Avg Price per (₹ / m³)]]/10000000)</f>
        <v>4.4640000000000004</v>
      </c>
      <c r="O936" s="97" t="str">
        <f>IF(Market_Data[[#This Row],[Estimated Concrete Demand (m³)]]="","",
IF(Market_Data[[#This Row],[Estimated Concrete Demand (m³)]]&lt;10000,"Small",
IF(Market_Data[[#This Row],[Estimated Concrete Demand (m³)]]&lt;25000,"Medium",
IF(Market_Data[[#This Row],[Estimated Concrete Demand (m³)]]&lt;100000,"Large","Mega"))))</f>
        <v>Small</v>
      </c>
      <c r="P936" s="287" t="str">
        <f t="shared" si="16"/>
        <v>GujRERA</v>
      </c>
    </row>
    <row r="937" spans="1:16">
      <c r="A937" s="129" t="str">
        <f>_xlfn.XLOOKUP(B937,$S$9:$S$14,$T$9:$T$14)&amp;"-"&amp;
IF(E937="Residential/Group Housing","RES",
IF(E937="Commercial","COM",
IF(E937="Mixed Development","MIX",
IF(E937="Plotted Development","PLT","OTH"))))
&amp;"-"&amp;TEXT(COUNTIFS($B$9:B937,B937,$E$9:E937,E937),"0000")</f>
        <v>SUR-RES-0235</v>
      </c>
      <c r="B937" s="322" t="s">
        <v>34</v>
      </c>
      <c r="C937" s="322" t="s">
        <v>34</v>
      </c>
      <c r="D937" s="323" t="s">
        <v>1127</v>
      </c>
      <c r="E937" s="132" t="s">
        <v>24</v>
      </c>
      <c r="F937" s="97" t="str">
        <f ca="1">IF(OR(Market_Data[[#This Row],[Start Date]]="",Market_Data[[#This Row],[Completion Date]]=""),"Needs Validation",IF(Market_Data[[#This Row],[Start Date]]&gt;TODAY(),"Planned",IF(Market_Data[[#This Row],[Completion Date]]&lt;TODAY(),"Completed","Ongoing")))</f>
        <v>Completed</v>
      </c>
      <c r="G937" s="324">
        <v>42446</v>
      </c>
      <c r="H937" s="324">
        <v>43463</v>
      </c>
      <c r="I937" s="325">
        <v>51500</v>
      </c>
      <c r="J93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37" s="133">
        <f>_xlfn.XLOOKUP(Market_Data[[#This Row],[Project Type]],tbl_assumptions_market[Project Category (RERA)],tbl_assumptions_market[Concrete Intensity
(m³ / sq m BUA)],"",0)</f>
        <v>0.45</v>
      </c>
      <c r="L937" s="134">
        <f>ROUND(Market_Data[[#This Row],[Estimated Built Up Area (sq m)]]*Market_Data[[#This Row],[Concrete Intensity
(m³ / sq m)]],0)</f>
        <v>23175</v>
      </c>
      <c r="M937" s="135">
        <f>_xlfn.XLOOKUP(Market_Data[[#This Row],[District]],tbl_district_price[District],tbl_district_price[Standard Price
(INR/m³)],"",0)</f>
        <v>6200</v>
      </c>
      <c r="N937" s="364">
        <f>IF(OR(Market_Data[[#This Row],[Estimated Concrete Demand (m³)]]="",Market_Data[[#This Row],[Avg Price per (₹ / m³)]]=""),"",Market_Data[[#This Row],[Estimated Concrete Demand (m³)]]*Market_Data[[#This Row],[Avg Price per (₹ / m³)]]/10000000)</f>
        <v>14.368499999999999</v>
      </c>
      <c r="O937" s="97" t="str">
        <f>IF(Market_Data[[#This Row],[Estimated Concrete Demand (m³)]]="","",
IF(Market_Data[[#This Row],[Estimated Concrete Demand (m³)]]&lt;10000,"Small",
IF(Market_Data[[#This Row],[Estimated Concrete Demand (m³)]]&lt;25000,"Medium",
IF(Market_Data[[#This Row],[Estimated Concrete Demand (m³)]]&lt;100000,"Large","Mega"))))</f>
        <v>Medium</v>
      </c>
      <c r="P937" s="287" t="str">
        <f t="shared" si="16"/>
        <v>GujRERA</v>
      </c>
    </row>
    <row r="938" spans="1:16">
      <c r="A938" s="129" t="str">
        <f>_xlfn.XLOOKUP(B938,$S$9:$S$14,$T$9:$T$14)&amp;"-"&amp;
IF(E938="Residential/Group Housing","RES",
IF(E938="Commercial","COM",
IF(E938="Mixed Development","MIX",
IF(E938="Plotted Development","PLT","OTH"))))
&amp;"-"&amp;TEXT(COUNTIFS($B$9:B938,B938,$E$9:E938,E938),"0000")</f>
        <v>SUR-RES-0236</v>
      </c>
      <c r="B938" s="322" t="s">
        <v>34</v>
      </c>
      <c r="C938" s="322" t="s">
        <v>34</v>
      </c>
      <c r="D938" s="323" t="s">
        <v>1128</v>
      </c>
      <c r="E938" s="132" t="s">
        <v>24</v>
      </c>
      <c r="F938" s="97" t="str">
        <f ca="1">IF(OR(Market_Data[[#This Row],[Start Date]]="",Market_Data[[#This Row],[Completion Date]]=""),"Needs Validation",IF(Market_Data[[#This Row],[Start Date]]&gt;TODAY(),"Planned",IF(Market_Data[[#This Row],[Completion Date]]&lt;TODAY(),"Completed","Ongoing")))</f>
        <v>Completed</v>
      </c>
      <c r="G938" s="324">
        <v>41925</v>
      </c>
      <c r="H938" s="324">
        <v>43503</v>
      </c>
      <c r="I938" s="325">
        <v>12100</v>
      </c>
      <c r="J93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38" s="133">
        <f>_xlfn.XLOOKUP(Market_Data[[#This Row],[Project Type]],tbl_assumptions_market[Project Category (RERA)],tbl_assumptions_market[Concrete Intensity
(m³ / sq m BUA)],"",0)</f>
        <v>0.45</v>
      </c>
      <c r="L938" s="134">
        <f>ROUND(Market_Data[[#This Row],[Estimated Built Up Area (sq m)]]*Market_Data[[#This Row],[Concrete Intensity
(m³ / sq m)]],0)</f>
        <v>5445</v>
      </c>
      <c r="M938" s="135">
        <f>_xlfn.XLOOKUP(Market_Data[[#This Row],[District]],tbl_district_price[District],tbl_district_price[Standard Price
(INR/m³)],"",0)</f>
        <v>6200</v>
      </c>
      <c r="N938" s="364">
        <f>IF(OR(Market_Data[[#This Row],[Estimated Concrete Demand (m³)]]="",Market_Data[[#This Row],[Avg Price per (₹ / m³)]]=""),"",Market_Data[[#This Row],[Estimated Concrete Demand (m³)]]*Market_Data[[#This Row],[Avg Price per (₹ / m³)]]/10000000)</f>
        <v>3.3759000000000001</v>
      </c>
      <c r="O938" s="97" t="str">
        <f>IF(Market_Data[[#This Row],[Estimated Concrete Demand (m³)]]="","",
IF(Market_Data[[#This Row],[Estimated Concrete Demand (m³)]]&lt;10000,"Small",
IF(Market_Data[[#This Row],[Estimated Concrete Demand (m³)]]&lt;25000,"Medium",
IF(Market_Data[[#This Row],[Estimated Concrete Demand (m³)]]&lt;100000,"Large","Mega"))))</f>
        <v>Small</v>
      </c>
      <c r="P938" s="287" t="str">
        <f t="shared" si="16"/>
        <v>GujRERA</v>
      </c>
    </row>
    <row r="939" spans="1:16">
      <c r="A939" s="129" t="str">
        <f>_xlfn.XLOOKUP(B939,$S$9:$S$14,$T$9:$T$14)&amp;"-"&amp;
IF(E939="Residential/Group Housing","RES",
IF(E939="Commercial","COM",
IF(E939="Mixed Development","MIX",
IF(E939="Plotted Development","PLT","OTH"))))
&amp;"-"&amp;TEXT(COUNTIFS($B$9:B939,B939,$E$9:E939,E939),"0000")</f>
        <v>SUR-COM-0119</v>
      </c>
      <c r="B939" s="322" t="s">
        <v>34</v>
      </c>
      <c r="C939" s="322" t="s">
        <v>34</v>
      </c>
      <c r="D939" s="323" t="s">
        <v>1129</v>
      </c>
      <c r="E939" s="132" t="s">
        <v>23</v>
      </c>
      <c r="F939" s="97" t="str">
        <f ca="1">IF(OR(Market_Data[[#This Row],[Start Date]]="",Market_Data[[#This Row],[Completion Date]]=""),"Needs Validation",IF(Market_Data[[#This Row],[Start Date]]&gt;TODAY(),"Planned",IF(Market_Data[[#This Row],[Completion Date]]&lt;TODAY(),"Completed","Ongoing")))</f>
        <v>Completed</v>
      </c>
      <c r="G939" s="324">
        <v>42546</v>
      </c>
      <c r="H939" s="324">
        <v>44223</v>
      </c>
      <c r="I939" s="325">
        <v>15000</v>
      </c>
      <c r="J93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39" s="133">
        <f>_xlfn.XLOOKUP(Market_Data[[#This Row],[Project Type]],tbl_assumptions_market[Project Category (RERA)],tbl_assumptions_market[Concrete Intensity
(m³ / sq m BUA)],"",0)</f>
        <v>0.5</v>
      </c>
      <c r="L939" s="134">
        <f>ROUND(Market_Data[[#This Row],[Estimated Built Up Area (sq m)]]*Market_Data[[#This Row],[Concrete Intensity
(m³ / sq m)]],0)</f>
        <v>7500</v>
      </c>
      <c r="M939" s="135">
        <f>_xlfn.XLOOKUP(Market_Data[[#This Row],[District]],tbl_district_price[District],tbl_district_price[Standard Price
(INR/m³)],"",0)</f>
        <v>6200</v>
      </c>
      <c r="N939" s="364">
        <f>IF(OR(Market_Data[[#This Row],[Estimated Concrete Demand (m³)]]="",Market_Data[[#This Row],[Avg Price per (₹ / m³)]]=""),"",Market_Data[[#This Row],[Estimated Concrete Demand (m³)]]*Market_Data[[#This Row],[Avg Price per (₹ / m³)]]/10000000)</f>
        <v>4.6500000000000004</v>
      </c>
      <c r="O939" s="97" t="str">
        <f>IF(Market_Data[[#This Row],[Estimated Concrete Demand (m³)]]="","",
IF(Market_Data[[#This Row],[Estimated Concrete Demand (m³)]]&lt;10000,"Small",
IF(Market_Data[[#This Row],[Estimated Concrete Demand (m³)]]&lt;25000,"Medium",
IF(Market_Data[[#This Row],[Estimated Concrete Demand (m³)]]&lt;100000,"Large","Mega"))))</f>
        <v>Small</v>
      </c>
      <c r="P939" s="287" t="str">
        <f t="shared" si="16"/>
        <v>GujRERA</v>
      </c>
    </row>
    <row r="940" spans="1:16">
      <c r="A940" s="129" t="str">
        <f>_xlfn.XLOOKUP(B940,$S$9:$S$14,$T$9:$T$14)&amp;"-"&amp;
IF(E940="Residential/Group Housing","RES",
IF(E940="Commercial","COM",
IF(E940="Mixed Development","MIX",
IF(E940="Plotted Development","PLT","OTH"))))
&amp;"-"&amp;TEXT(COUNTIFS($B$9:B940,B940,$E$9:E940,E940),"0000")</f>
        <v>SUR-COM-0120</v>
      </c>
      <c r="B940" s="322" t="s">
        <v>34</v>
      </c>
      <c r="C940" s="322" t="s">
        <v>34</v>
      </c>
      <c r="D940" s="323" t="s">
        <v>1130</v>
      </c>
      <c r="E940" s="132" t="s">
        <v>23</v>
      </c>
      <c r="F940" s="97" t="str">
        <f ca="1">IF(OR(Market_Data[[#This Row],[Start Date]]="",Market_Data[[#This Row],[Completion Date]]=""),"Needs Validation",IF(Market_Data[[#This Row],[Start Date]]&gt;TODAY(),"Planned",IF(Market_Data[[#This Row],[Completion Date]]&lt;TODAY(),"Completed","Ongoing")))</f>
        <v>Completed</v>
      </c>
      <c r="G940" s="324">
        <v>42338</v>
      </c>
      <c r="H940" s="324">
        <v>43310</v>
      </c>
      <c r="I940" s="325">
        <v>18900</v>
      </c>
      <c r="J94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40" s="133">
        <f>_xlfn.XLOOKUP(Market_Data[[#This Row],[Project Type]],tbl_assumptions_market[Project Category (RERA)],tbl_assumptions_market[Concrete Intensity
(m³ / sq m BUA)],"",0)</f>
        <v>0.5</v>
      </c>
      <c r="L940" s="134">
        <f>ROUND(Market_Data[[#This Row],[Estimated Built Up Area (sq m)]]*Market_Data[[#This Row],[Concrete Intensity
(m³ / sq m)]],0)</f>
        <v>9450</v>
      </c>
      <c r="M940" s="135">
        <f>_xlfn.XLOOKUP(Market_Data[[#This Row],[District]],tbl_district_price[District],tbl_district_price[Standard Price
(INR/m³)],"",0)</f>
        <v>6200</v>
      </c>
      <c r="N940" s="364">
        <f>IF(OR(Market_Data[[#This Row],[Estimated Concrete Demand (m³)]]="",Market_Data[[#This Row],[Avg Price per (₹ / m³)]]=""),"",Market_Data[[#This Row],[Estimated Concrete Demand (m³)]]*Market_Data[[#This Row],[Avg Price per (₹ / m³)]]/10000000)</f>
        <v>5.859</v>
      </c>
      <c r="O940" s="97" t="str">
        <f>IF(Market_Data[[#This Row],[Estimated Concrete Demand (m³)]]="","",
IF(Market_Data[[#This Row],[Estimated Concrete Demand (m³)]]&lt;10000,"Small",
IF(Market_Data[[#This Row],[Estimated Concrete Demand (m³)]]&lt;25000,"Medium",
IF(Market_Data[[#This Row],[Estimated Concrete Demand (m³)]]&lt;100000,"Large","Mega"))))</f>
        <v>Small</v>
      </c>
      <c r="P940" s="287" t="str">
        <f t="shared" si="16"/>
        <v>GujRERA</v>
      </c>
    </row>
    <row r="941" spans="1:16">
      <c r="A941" s="129" t="str">
        <f>_xlfn.XLOOKUP(B941,$S$9:$S$14,$T$9:$T$14)&amp;"-"&amp;
IF(E941="Residential/Group Housing","RES",
IF(E941="Commercial","COM",
IF(E941="Mixed Development","MIX",
IF(E941="Plotted Development","PLT","OTH"))))
&amp;"-"&amp;TEXT(COUNTIFS($B$9:B941,B941,$E$9:E941,E941),"0000")</f>
        <v>SUR-MIX-0112</v>
      </c>
      <c r="B941" s="322" t="s">
        <v>34</v>
      </c>
      <c r="C941" s="322" t="s">
        <v>34</v>
      </c>
      <c r="D941" s="323" t="s">
        <v>1131</v>
      </c>
      <c r="E941" s="132" t="s">
        <v>25</v>
      </c>
      <c r="F941" s="97" t="str">
        <f ca="1">IF(OR(Market_Data[[#This Row],[Start Date]]="",Market_Data[[#This Row],[Completion Date]]=""),"Needs Validation",IF(Market_Data[[#This Row],[Start Date]]&gt;TODAY(),"Planned",IF(Market_Data[[#This Row],[Completion Date]]&lt;TODAY(),"Completed","Ongoing")))</f>
        <v>Ongoing</v>
      </c>
      <c r="G941" s="324">
        <v>45766</v>
      </c>
      <c r="H941" s="324">
        <v>47483</v>
      </c>
      <c r="I941" s="325">
        <v>17400</v>
      </c>
      <c r="J94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41" s="133">
        <f>_xlfn.XLOOKUP(Market_Data[[#This Row],[Project Type]],tbl_assumptions_market[Project Category (RERA)],tbl_assumptions_market[Concrete Intensity
(m³ / sq m BUA)],"",0)</f>
        <v>0.42</v>
      </c>
      <c r="L941" s="134">
        <f>ROUND(Market_Data[[#This Row],[Estimated Built Up Area (sq m)]]*Market_Data[[#This Row],[Concrete Intensity
(m³ / sq m)]],0)</f>
        <v>7308</v>
      </c>
      <c r="M941" s="135">
        <f>_xlfn.XLOOKUP(Market_Data[[#This Row],[District]],tbl_district_price[District],tbl_district_price[Standard Price
(INR/m³)],"",0)</f>
        <v>6200</v>
      </c>
      <c r="N941" s="364">
        <f>IF(OR(Market_Data[[#This Row],[Estimated Concrete Demand (m³)]]="",Market_Data[[#This Row],[Avg Price per (₹ / m³)]]=""),"",Market_Data[[#This Row],[Estimated Concrete Demand (m³)]]*Market_Data[[#This Row],[Avg Price per (₹ / m³)]]/10000000)</f>
        <v>4.5309600000000003</v>
      </c>
      <c r="O941" s="97" t="str">
        <f>IF(Market_Data[[#This Row],[Estimated Concrete Demand (m³)]]="","",
IF(Market_Data[[#This Row],[Estimated Concrete Demand (m³)]]&lt;10000,"Small",
IF(Market_Data[[#This Row],[Estimated Concrete Demand (m³)]]&lt;25000,"Medium",
IF(Market_Data[[#This Row],[Estimated Concrete Demand (m³)]]&lt;100000,"Large","Mega"))))</f>
        <v>Small</v>
      </c>
      <c r="P941" s="287" t="str">
        <f t="shared" si="16"/>
        <v>GujRERA</v>
      </c>
    </row>
    <row r="942" spans="1:16">
      <c r="A942" s="129" t="str">
        <f>_xlfn.XLOOKUP(B942,$S$9:$S$14,$T$9:$T$14)&amp;"-"&amp;
IF(E942="Residential/Group Housing","RES",
IF(E942="Commercial","COM",
IF(E942="Mixed Development","MIX",
IF(E942="Plotted Development","PLT","OTH"))))
&amp;"-"&amp;TEXT(COUNTIFS($B$9:B942,B942,$E$9:E942,E942),"0000")</f>
        <v>SUR-RES-0237</v>
      </c>
      <c r="B942" s="322" t="s">
        <v>34</v>
      </c>
      <c r="C942" s="322" t="s">
        <v>34</v>
      </c>
      <c r="D942" s="323" t="s">
        <v>1132</v>
      </c>
      <c r="E942" s="132" t="s">
        <v>24</v>
      </c>
      <c r="F942" s="97" t="str">
        <f ca="1">IF(OR(Market_Data[[#This Row],[Start Date]]="",Market_Data[[#This Row],[Completion Date]]=""),"Needs Validation",IF(Market_Data[[#This Row],[Start Date]]&gt;TODAY(),"Planned",IF(Market_Data[[#This Row],[Completion Date]]&lt;TODAY(),"Completed","Ongoing")))</f>
        <v>Completed</v>
      </c>
      <c r="G942" s="324">
        <v>43651</v>
      </c>
      <c r="H942" s="324">
        <v>44930</v>
      </c>
      <c r="I942" s="325">
        <v>54600</v>
      </c>
      <c r="J94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42" s="133">
        <f>_xlfn.XLOOKUP(Market_Data[[#This Row],[Project Type]],tbl_assumptions_market[Project Category (RERA)],tbl_assumptions_market[Concrete Intensity
(m³ / sq m BUA)],"",0)</f>
        <v>0.45</v>
      </c>
      <c r="L942" s="134">
        <f>ROUND(Market_Data[[#This Row],[Estimated Built Up Area (sq m)]]*Market_Data[[#This Row],[Concrete Intensity
(m³ / sq m)]],0)</f>
        <v>24570</v>
      </c>
      <c r="M942" s="135">
        <f>_xlfn.XLOOKUP(Market_Data[[#This Row],[District]],tbl_district_price[District],tbl_district_price[Standard Price
(INR/m³)],"",0)</f>
        <v>6200</v>
      </c>
      <c r="N942" s="364">
        <f>IF(OR(Market_Data[[#This Row],[Estimated Concrete Demand (m³)]]="",Market_Data[[#This Row],[Avg Price per (₹ / m³)]]=""),"",Market_Data[[#This Row],[Estimated Concrete Demand (m³)]]*Market_Data[[#This Row],[Avg Price per (₹ / m³)]]/10000000)</f>
        <v>15.2334</v>
      </c>
      <c r="O942" s="97" t="str">
        <f>IF(Market_Data[[#This Row],[Estimated Concrete Demand (m³)]]="","",
IF(Market_Data[[#This Row],[Estimated Concrete Demand (m³)]]&lt;10000,"Small",
IF(Market_Data[[#This Row],[Estimated Concrete Demand (m³)]]&lt;25000,"Medium",
IF(Market_Data[[#This Row],[Estimated Concrete Demand (m³)]]&lt;100000,"Large","Mega"))))</f>
        <v>Medium</v>
      </c>
      <c r="P942" s="287" t="str">
        <f t="shared" si="16"/>
        <v>GujRERA</v>
      </c>
    </row>
    <row r="943" spans="1:16">
      <c r="A943" s="129" t="str">
        <f>_xlfn.XLOOKUP(B943,$S$9:$S$14,$T$9:$T$14)&amp;"-"&amp;
IF(E943="Residential/Group Housing","RES",
IF(E943="Commercial","COM",
IF(E943="Mixed Development","MIX",
IF(E943="Plotted Development","PLT","OTH"))))
&amp;"-"&amp;TEXT(COUNTIFS($B$9:B943,B943,$E$9:E943,E943),"0000")</f>
        <v>SUR-MIX-0113</v>
      </c>
      <c r="B943" s="322" t="s">
        <v>34</v>
      </c>
      <c r="C943" s="322" t="s">
        <v>34</v>
      </c>
      <c r="D943" s="323" t="s">
        <v>1133</v>
      </c>
      <c r="E943" s="132" t="s">
        <v>25</v>
      </c>
      <c r="F943" s="97" t="str">
        <f ca="1">IF(OR(Market_Data[[#This Row],[Start Date]]="",Market_Data[[#This Row],[Completion Date]]=""),"Needs Validation",IF(Market_Data[[#This Row],[Start Date]]&gt;TODAY(),"Planned",IF(Market_Data[[#This Row],[Completion Date]]&lt;TODAY(),"Completed","Ongoing")))</f>
        <v>Ongoing</v>
      </c>
      <c r="G943" s="324">
        <v>45002</v>
      </c>
      <c r="H943" s="324">
        <v>47483</v>
      </c>
      <c r="I943" s="325">
        <v>10000</v>
      </c>
      <c r="J94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43" s="133">
        <f>_xlfn.XLOOKUP(Market_Data[[#This Row],[Project Type]],tbl_assumptions_market[Project Category (RERA)],tbl_assumptions_market[Concrete Intensity
(m³ / sq m BUA)],"",0)</f>
        <v>0.42</v>
      </c>
      <c r="L943" s="134">
        <f>ROUND(Market_Data[[#This Row],[Estimated Built Up Area (sq m)]]*Market_Data[[#This Row],[Concrete Intensity
(m³ / sq m)]],0)</f>
        <v>4200</v>
      </c>
      <c r="M943" s="135">
        <f>_xlfn.XLOOKUP(Market_Data[[#This Row],[District]],tbl_district_price[District],tbl_district_price[Standard Price
(INR/m³)],"",0)</f>
        <v>6200</v>
      </c>
      <c r="N943" s="364">
        <f>IF(OR(Market_Data[[#This Row],[Estimated Concrete Demand (m³)]]="",Market_Data[[#This Row],[Avg Price per (₹ / m³)]]=""),"",Market_Data[[#This Row],[Estimated Concrete Demand (m³)]]*Market_Data[[#This Row],[Avg Price per (₹ / m³)]]/10000000)</f>
        <v>2.6040000000000001</v>
      </c>
      <c r="O943" s="97" t="str">
        <f>IF(Market_Data[[#This Row],[Estimated Concrete Demand (m³)]]="","",
IF(Market_Data[[#This Row],[Estimated Concrete Demand (m³)]]&lt;10000,"Small",
IF(Market_Data[[#This Row],[Estimated Concrete Demand (m³)]]&lt;25000,"Medium",
IF(Market_Data[[#This Row],[Estimated Concrete Demand (m³)]]&lt;100000,"Large","Mega"))))</f>
        <v>Small</v>
      </c>
      <c r="P943" s="287" t="str">
        <f t="shared" si="16"/>
        <v>GujRERA</v>
      </c>
    </row>
    <row r="944" spans="1:16">
      <c r="A944" s="129" t="str">
        <f>_xlfn.XLOOKUP(B944,$S$9:$S$14,$T$9:$T$14)&amp;"-"&amp;
IF(E944="Residential/Group Housing","RES",
IF(E944="Commercial","COM",
IF(E944="Mixed Development","MIX",
IF(E944="Plotted Development","PLT","OTH"))))
&amp;"-"&amp;TEXT(COUNTIFS($B$9:B944,B944,$E$9:E944,E944),"0000")</f>
        <v>SUR-RES-0238</v>
      </c>
      <c r="B944" s="322" t="s">
        <v>34</v>
      </c>
      <c r="C944" s="322" t="s">
        <v>34</v>
      </c>
      <c r="D944" s="323" t="s">
        <v>1134</v>
      </c>
      <c r="E944" s="132" t="s">
        <v>24</v>
      </c>
      <c r="F944" s="97" t="str">
        <f ca="1">IF(OR(Market_Data[[#This Row],[Start Date]]="",Market_Data[[#This Row],[Completion Date]]=""),"Needs Validation",IF(Market_Data[[#This Row],[Start Date]]&gt;TODAY(),"Planned",IF(Market_Data[[#This Row],[Completion Date]]&lt;TODAY(),"Completed","Ongoing")))</f>
        <v>Ongoing</v>
      </c>
      <c r="G944" s="324">
        <v>45413</v>
      </c>
      <c r="H944" s="324">
        <v>46660</v>
      </c>
      <c r="I944" s="325">
        <v>19900</v>
      </c>
      <c r="J94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44" s="133">
        <f>_xlfn.XLOOKUP(Market_Data[[#This Row],[Project Type]],tbl_assumptions_market[Project Category (RERA)],tbl_assumptions_market[Concrete Intensity
(m³ / sq m BUA)],"",0)</f>
        <v>0.45</v>
      </c>
      <c r="L944" s="134">
        <f>ROUND(Market_Data[[#This Row],[Estimated Built Up Area (sq m)]]*Market_Data[[#This Row],[Concrete Intensity
(m³ / sq m)]],0)</f>
        <v>8955</v>
      </c>
      <c r="M944" s="135">
        <f>_xlfn.XLOOKUP(Market_Data[[#This Row],[District]],tbl_district_price[District],tbl_district_price[Standard Price
(INR/m³)],"",0)</f>
        <v>6200</v>
      </c>
      <c r="N944" s="364">
        <f>IF(OR(Market_Data[[#This Row],[Estimated Concrete Demand (m³)]]="",Market_Data[[#This Row],[Avg Price per (₹ / m³)]]=""),"",Market_Data[[#This Row],[Estimated Concrete Demand (m³)]]*Market_Data[[#This Row],[Avg Price per (₹ / m³)]]/10000000)</f>
        <v>5.5521000000000003</v>
      </c>
      <c r="O944" s="97" t="str">
        <f>IF(Market_Data[[#This Row],[Estimated Concrete Demand (m³)]]="","",
IF(Market_Data[[#This Row],[Estimated Concrete Demand (m³)]]&lt;10000,"Small",
IF(Market_Data[[#This Row],[Estimated Concrete Demand (m³)]]&lt;25000,"Medium",
IF(Market_Data[[#This Row],[Estimated Concrete Demand (m³)]]&lt;100000,"Large","Mega"))))</f>
        <v>Small</v>
      </c>
      <c r="P944" s="287" t="str">
        <f t="shared" si="16"/>
        <v>GujRERA</v>
      </c>
    </row>
    <row r="945" spans="1:16">
      <c r="A945" s="129" t="str">
        <f>_xlfn.XLOOKUP(B945,$S$9:$S$14,$T$9:$T$14)&amp;"-"&amp;
IF(E945="Residential/Group Housing","RES",
IF(E945="Commercial","COM",
IF(E945="Mixed Development","MIX",
IF(E945="Plotted Development","PLT","OTH"))))
&amp;"-"&amp;TEXT(COUNTIFS($B$9:B945,B945,$E$9:E945,E945),"0000")</f>
        <v>SUR-PLT-0156</v>
      </c>
      <c r="B945" s="322" t="s">
        <v>34</v>
      </c>
      <c r="C945" s="322" t="s">
        <v>34</v>
      </c>
      <c r="D945" s="323" t="s">
        <v>1135</v>
      </c>
      <c r="E945" s="132" t="s">
        <v>26</v>
      </c>
      <c r="F945" s="97" t="str">
        <f ca="1">IF(OR(Market_Data[[#This Row],[Start Date]]="",Market_Data[[#This Row],[Completion Date]]=""),"Needs Validation",IF(Market_Data[[#This Row],[Start Date]]&gt;TODAY(),"Planned",IF(Market_Data[[#This Row],[Completion Date]]&lt;TODAY(),"Completed","Ongoing")))</f>
        <v>Ongoing</v>
      </c>
      <c r="G945" s="324">
        <v>45722</v>
      </c>
      <c r="H945" s="324">
        <v>46752</v>
      </c>
      <c r="I945" s="325">
        <v>29400</v>
      </c>
      <c r="J94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45" s="133">
        <f>_xlfn.XLOOKUP(Market_Data[[#This Row],[Project Type]],tbl_assumptions_market[Project Category (RERA)],tbl_assumptions_market[Concrete Intensity
(m³ / sq m BUA)],"",0)</f>
        <v>0.18</v>
      </c>
      <c r="L945" s="134">
        <f>ROUND(Market_Data[[#This Row],[Estimated Built Up Area (sq m)]]*Market_Data[[#This Row],[Concrete Intensity
(m³ / sq m)]],0)</f>
        <v>5292</v>
      </c>
      <c r="M945" s="135">
        <f>_xlfn.XLOOKUP(Market_Data[[#This Row],[District]],tbl_district_price[District],tbl_district_price[Standard Price
(INR/m³)],"",0)</f>
        <v>6200</v>
      </c>
      <c r="N945" s="364">
        <f>IF(OR(Market_Data[[#This Row],[Estimated Concrete Demand (m³)]]="",Market_Data[[#This Row],[Avg Price per (₹ / m³)]]=""),"",Market_Data[[#This Row],[Estimated Concrete Demand (m³)]]*Market_Data[[#This Row],[Avg Price per (₹ / m³)]]/10000000)</f>
        <v>3.28104</v>
      </c>
      <c r="O945" s="97" t="str">
        <f>IF(Market_Data[[#This Row],[Estimated Concrete Demand (m³)]]="","",
IF(Market_Data[[#This Row],[Estimated Concrete Demand (m³)]]&lt;10000,"Small",
IF(Market_Data[[#This Row],[Estimated Concrete Demand (m³)]]&lt;25000,"Medium",
IF(Market_Data[[#This Row],[Estimated Concrete Demand (m³)]]&lt;100000,"Large","Mega"))))</f>
        <v>Small</v>
      </c>
      <c r="P945" s="287" t="str">
        <f t="shared" si="16"/>
        <v>GujRERA</v>
      </c>
    </row>
    <row r="946" spans="1:16">
      <c r="A946" s="129" t="str">
        <f>_xlfn.XLOOKUP(B946,$S$9:$S$14,$T$9:$T$14)&amp;"-"&amp;
IF(E946="Residential/Group Housing","RES",
IF(E946="Commercial","COM",
IF(E946="Mixed Development","MIX",
IF(E946="Plotted Development","PLT","OTH"))))
&amp;"-"&amp;TEXT(COUNTIFS($B$9:B946,B946,$E$9:E946,E946),"0000")</f>
        <v>SUR-PLT-0157</v>
      </c>
      <c r="B946" s="322" t="s">
        <v>34</v>
      </c>
      <c r="C946" s="322" t="s">
        <v>34</v>
      </c>
      <c r="D946" s="323" t="s">
        <v>1136</v>
      </c>
      <c r="E946" s="132" t="s">
        <v>26</v>
      </c>
      <c r="F946" s="97" t="str">
        <f ca="1">IF(OR(Market_Data[[#This Row],[Start Date]]="",Market_Data[[#This Row],[Completion Date]]=""),"Needs Validation",IF(Market_Data[[#This Row],[Start Date]]&gt;TODAY(),"Planned",IF(Market_Data[[#This Row],[Completion Date]]&lt;TODAY(),"Completed","Ongoing")))</f>
        <v>Ongoing</v>
      </c>
      <c r="G946" s="324">
        <v>45163</v>
      </c>
      <c r="H946" s="324">
        <v>46387</v>
      </c>
      <c r="I946" s="325">
        <v>28100</v>
      </c>
      <c r="J94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46" s="133">
        <f>_xlfn.XLOOKUP(Market_Data[[#This Row],[Project Type]],tbl_assumptions_market[Project Category (RERA)],tbl_assumptions_market[Concrete Intensity
(m³ / sq m BUA)],"",0)</f>
        <v>0.18</v>
      </c>
      <c r="L946" s="134">
        <f>ROUND(Market_Data[[#This Row],[Estimated Built Up Area (sq m)]]*Market_Data[[#This Row],[Concrete Intensity
(m³ / sq m)]],0)</f>
        <v>5058</v>
      </c>
      <c r="M946" s="135">
        <f>_xlfn.XLOOKUP(Market_Data[[#This Row],[District]],tbl_district_price[District],tbl_district_price[Standard Price
(INR/m³)],"",0)</f>
        <v>6200</v>
      </c>
      <c r="N946" s="364">
        <f>IF(OR(Market_Data[[#This Row],[Estimated Concrete Demand (m³)]]="",Market_Data[[#This Row],[Avg Price per (₹ / m³)]]=""),"",Market_Data[[#This Row],[Estimated Concrete Demand (m³)]]*Market_Data[[#This Row],[Avg Price per (₹ / m³)]]/10000000)</f>
        <v>3.1359599999999999</v>
      </c>
      <c r="O946" s="97" t="str">
        <f>IF(Market_Data[[#This Row],[Estimated Concrete Demand (m³)]]="","",
IF(Market_Data[[#This Row],[Estimated Concrete Demand (m³)]]&lt;10000,"Small",
IF(Market_Data[[#This Row],[Estimated Concrete Demand (m³)]]&lt;25000,"Medium",
IF(Market_Data[[#This Row],[Estimated Concrete Demand (m³)]]&lt;100000,"Large","Mega"))))</f>
        <v>Small</v>
      </c>
      <c r="P946" s="287" t="str">
        <f t="shared" si="16"/>
        <v>GujRERA</v>
      </c>
    </row>
    <row r="947" spans="1:16">
      <c r="A947" s="129" t="str">
        <f>_xlfn.XLOOKUP(B947,$S$9:$S$14,$T$9:$T$14)&amp;"-"&amp;
IF(E947="Residential/Group Housing","RES",
IF(E947="Commercial","COM",
IF(E947="Mixed Development","MIX",
IF(E947="Plotted Development","PLT","OTH"))))
&amp;"-"&amp;TEXT(COUNTIFS($B$9:B947,B947,$E$9:E947,E947),"0000")</f>
        <v>SUR-PLT-0158</v>
      </c>
      <c r="B947" s="322" t="s">
        <v>34</v>
      </c>
      <c r="C947" s="322" t="s">
        <v>34</v>
      </c>
      <c r="D947" s="323" t="s">
        <v>1137</v>
      </c>
      <c r="E947" s="132" t="s">
        <v>26</v>
      </c>
      <c r="F947" s="97" t="str">
        <f ca="1">IF(OR(Market_Data[[#This Row],[Start Date]]="",Market_Data[[#This Row],[Completion Date]]=""),"Needs Validation",IF(Market_Data[[#This Row],[Start Date]]&gt;TODAY(),"Planned",IF(Market_Data[[#This Row],[Completion Date]]&lt;TODAY(),"Completed","Ongoing")))</f>
        <v>Completed</v>
      </c>
      <c r="G947" s="324">
        <v>43040</v>
      </c>
      <c r="H947" s="324">
        <v>43830</v>
      </c>
      <c r="I947" s="325">
        <v>50600</v>
      </c>
      <c r="J94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947" s="133">
        <f>_xlfn.XLOOKUP(Market_Data[[#This Row],[Project Type]],tbl_assumptions_market[Project Category (RERA)],tbl_assumptions_market[Concrete Intensity
(m³ / sq m BUA)],"",0)</f>
        <v>0.18</v>
      </c>
      <c r="L947" s="134">
        <f>ROUND(Market_Data[[#This Row],[Estimated Built Up Area (sq m)]]*Market_Data[[#This Row],[Concrete Intensity
(m³ / sq m)]],0)</f>
        <v>9108</v>
      </c>
      <c r="M947" s="135">
        <f>_xlfn.XLOOKUP(Market_Data[[#This Row],[District]],tbl_district_price[District],tbl_district_price[Standard Price
(INR/m³)],"",0)</f>
        <v>6200</v>
      </c>
      <c r="N947" s="364">
        <f>IF(OR(Market_Data[[#This Row],[Estimated Concrete Demand (m³)]]="",Market_Data[[#This Row],[Avg Price per (₹ / m³)]]=""),"",Market_Data[[#This Row],[Estimated Concrete Demand (m³)]]*Market_Data[[#This Row],[Avg Price per (₹ / m³)]]/10000000)</f>
        <v>5.64696</v>
      </c>
      <c r="O947" s="97" t="str">
        <f>IF(Market_Data[[#This Row],[Estimated Concrete Demand (m³)]]="","",
IF(Market_Data[[#This Row],[Estimated Concrete Demand (m³)]]&lt;10000,"Small",
IF(Market_Data[[#This Row],[Estimated Concrete Demand (m³)]]&lt;25000,"Medium",
IF(Market_Data[[#This Row],[Estimated Concrete Demand (m³)]]&lt;100000,"Large","Mega"))))</f>
        <v>Small</v>
      </c>
      <c r="P947" s="287" t="str">
        <f t="shared" si="16"/>
        <v>GujRERA</v>
      </c>
    </row>
    <row r="948" spans="1:16">
      <c r="A948" s="129" t="str">
        <f>_xlfn.XLOOKUP(B948,$S$9:$S$14,$T$9:$T$14)&amp;"-"&amp;
IF(E948="Residential/Group Housing","RES",
IF(E948="Commercial","COM",
IF(E948="Mixed Development","MIX",
IF(E948="Plotted Development","PLT","OTH"))))
&amp;"-"&amp;TEXT(COUNTIFS($B$9:B948,B948,$E$9:E948,E948),"0000")</f>
        <v>SUR-RES-0239</v>
      </c>
      <c r="B948" s="322" t="s">
        <v>34</v>
      </c>
      <c r="C948" s="322" t="s">
        <v>34</v>
      </c>
      <c r="D948" s="323" t="s">
        <v>1138</v>
      </c>
      <c r="E948" s="132" t="s">
        <v>24</v>
      </c>
      <c r="F948" s="97" t="str">
        <f ca="1">IF(OR(Market_Data[[#This Row],[Start Date]]="",Market_Data[[#This Row],[Completion Date]]=""),"Needs Validation",IF(Market_Data[[#This Row],[Start Date]]&gt;TODAY(),"Planned",IF(Market_Data[[#This Row],[Completion Date]]&lt;TODAY(),"Completed","Ongoing")))</f>
        <v>Completed</v>
      </c>
      <c r="G948" s="324">
        <v>43656</v>
      </c>
      <c r="H948" s="324">
        <v>45473</v>
      </c>
      <c r="I948" s="325">
        <v>12800</v>
      </c>
      <c r="J94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48" s="133">
        <f>_xlfn.XLOOKUP(Market_Data[[#This Row],[Project Type]],tbl_assumptions_market[Project Category (RERA)],tbl_assumptions_market[Concrete Intensity
(m³ / sq m BUA)],"",0)</f>
        <v>0.45</v>
      </c>
      <c r="L948" s="134">
        <f>ROUND(Market_Data[[#This Row],[Estimated Built Up Area (sq m)]]*Market_Data[[#This Row],[Concrete Intensity
(m³ / sq m)]],0)</f>
        <v>5760</v>
      </c>
      <c r="M948" s="135">
        <f>_xlfn.XLOOKUP(Market_Data[[#This Row],[District]],tbl_district_price[District],tbl_district_price[Standard Price
(INR/m³)],"",0)</f>
        <v>6200</v>
      </c>
      <c r="N948" s="364">
        <f>IF(OR(Market_Data[[#This Row],[Estimated Concrete Demand (m³)]]="",Market_Data[[#This Row],[Avg Price per (₹ / m³)]]=""),"",Market_Data[[#This Row],[Estimated Concrete Demand (m³)]]*Market_Data[[#This Row],[Avg Price per (₹ / m³)]]/10000000)</f>
        <v>3.5712000000000002</v>
      </c>
      <c r="O948" s="97" t="str">
        <f>IF(Market_Data[[#This Row],[Estimated Concrete Demand (m³)]]="","",
IF(Market_Data[[#This Row],[Estimated Concrete Demand (m³)]]&lt;10000,"Small",
IF(Market_Data[[#This Row],[Estimated Concrete Demand (m³)]]&lt;25000,"Medium",
IF(Market_Data[[#This Row],[Estimated Concrete Demand (m³)]]&lt;100000,"Large","Mega"))))</f>
        <v>Small</v>
      </c>
      <c r="P948" s="287" t="str">
        <f t="shared" si="16"/>
        <v>GujRERA</v>
      </c>
    </row>
    <row r="949" spans="1:16">
      <c r="A949" s="129" t="str">
        <f>_xlfn.XLOOKUP(B949,$S$9:$S$14,$T$9:$T$14)&amp;"-"&amp;
IF(E949="Residential/Group Housing","RES",
IF(E949="Commercial","COM",
IF(E949="Mixed Development","MIX",
IF(E949="Plotted Development","PLT","OTH"))))
&amp;"-"&amp;TEXT(COUNTIFS($B$9:B949,B949,$E$9:E949,E949),"0000")</f>
        <v>SUR-MIX-0114</v>
      </c>
      <c r="B949" s="322" t="s">
        <v>34</v>
      </c>
      <c r="C949" s="322" t="s">
        <v>34</v>
      </c>
      <c r="D949" s="323" t="s">
        <v>1139</v>
      </c>
      <c r="E949" s="132" t="s">
        <v>25</v>
      </c>
      <c r="F949" s="97" t="str">
        <f ca="1">IF(OR(Market_Data[[#This Row],[Start Date]]="",Market_Data[[#This Row],[Completion Date]]=""),"Needs Validation",IF(Market_Data[[#This Row],[Start Date]]&gt;TODAY(),"Planned",IF(Market_Data[[#This Row],[Completion Date]]&lt;TODAY(),"Completed","Ongoing")))</f>
        <v>Completed</v>
      </c>
      <c r="G949" s="324">
        <v>42672</v>
      </c>
      <c r="H949" s="324">
        <v>45016</v>
      </c>
      <c r="I949" s="325">
        <v>50900</v>
      </c>
      <c r="J94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49" s="133">
        <f>_xlfn.XLOOKUP(Market_Data[[#This Row],[Project Type]],tbl_assumptions_market[Project Category (RERA)],tbl_assumptions_market[Concrete Intensity
(m³ / sq m BUA)],"",0)</f>
        <v>0.42</v>
      </c>
      <c r="L949" s="134">
        <f>ROUND(Market_Data[[#This Row],[Estimated Built Up Area (sq m)]]*Market_Data[[#This Row],[Concrete Intensity
(m³ / sq m)]],0)</f>
        <v>21378</v>
      </c>
      <c r="M949" s="135">
        <f>_xlfn.XLOOKUP(Market_Data[[#This Row],[District]],tbl_district_price[District],tbl_district_price[Standard Price
(INR/m³)],"",0)</f>
        <v>6200</v>
      </c>
      <c r="N949" s="364">
        <f>IF(OR(Market_Data[[#This Row],[Estimated Concrete Demand (m³)]]="",Market_Data[[#This Row],[Avg Price per (₹ / m³)]]=""),"",Market_Data[[#This Row],[Estimated Concrete Demand (m³)]]*Market_Data[[#This Row],[Avg Price per (₹ / m³)]]/10000000)</f>
        <v>13.25436</v>
      </c>
      <c r="O949" s="97" t="str">
        <f>IF(Market_Data[[#This Row],[Estimated Concrete Demand (m³)]]="","",
IF(Market_Data[[#This Row],[Estimated Concrete Demand (m³)]]&lt;10000,"Small",
IF(Market_Data[[#This Row],[Estimated Concrete Demand (m³)]]&lt;25000,"Medium",
IF(Market_Data[[#This Row],[Estimated Concrete Demand (m³)]]&lt;100000,"Large","Mega"))))</f>
        <v>Medium</v>
      </c>
      <c r="P949" s="287" t="str">
        <f t="shared" si="16"/>
        <v>GujRERA</v>
      </c>
    </row>
    <row r="950" spans="1:16">
      <c r="A950" s="129" t="str">
        <f>_xlfn.XLOOKUP(B950,$S$9:$S$14,$T$9:$T$14)&amp;"-"&amp;
IF(E950="Residential/Group Housing","RES",
IF(E950="Commercial","COM",
IF(E950="Mixed Development","MIX",
IF(E950="Plotted Development","PLT","OTH"))))
&amp;"-"&amp;TEXT(COUNTIFS($B$9:B950,B950,$E$9:E950,E950),"0000")</f>
        <v>SUR-RES-0240</v>
      </c>
      <c r="B950" s="322" t="s">
        <v>34</v>
      </c>
      <c r="C950" s="322" t="s">
        <v>34</v>
      </c>
      <c r="D950" s="323" t="s">
        <v>1140</v>
      </c>
      <c r="E950" s="132" t="s">
        <v>24</v>
      </c>
      <c r="F950" s="97" t="str">
        <f ca="1">IF(OR(Market_Data[[#This Row],[Start Date]]="",Market_Data[[#This Row],[Completion Date]]=""),"Needs Validation",IF(Market_Data[[#This Row],[Start Date]]&gt;TODAY(),"Planned",IF(Market_Data[[#This Row],[Completion Date]]&lt;TODAY(),"Completed","Ongoing")))</f>
        <v>Ongoing</v>
      </c>
      <c r="G950" s="324">
        <v>45036</v>
      </c>
      <c r="H950" s="324">
        <v>47483</v>
      </c>
      <c r="I950" s="325">
        <v>40400</v>
      </c>
      <c r="J95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50" s="133">
        <f>_xlfn.XLOOKUP(Market_Data[[#This Row],[Project Type]],tbl_assumptions_market[Project Category (RERA)],tbl_assumptions_market[Concrete Intensity
(m³ / sq m BUA)],"",0)</f>
        <v>0.45</v>
      </c>
      <c r="L950" s="134">
        <f>ROUND(Market_Data[[#This Row],[Estimated Built Up Area (sq m)]]*Market_Data[[#This Row],[Concrete Intensity
(m³ / sq m)]],0)</f>
        <v>18180</v>
      </c>
      <c r="M950" s="135">
        <f>_xlfn.XLOOKUP(Market_Data[[#This Row],[District]],tbl_district_price[District],tbl_district_price[Standard Price
(INR/m³)],"",0)</f>
        <v>6200</v>
      </c>
      <c r="N950" s="364">
        <f>IF(OR(Market_Data[[#This Row],[Estimated Concrete Demand (m³)]]="",Market_Data[[#This Row],[Avg Price per (₹ / m³)]]=""),"",Market_Data[[#This Row],[Estimated Concrete Demand (m³)]]*Market_Data[[#This Row],[Avg Price per (₹ / m³)]]/10000000)</f>
        <v>11.271599999999999</v>
      </c>
      <c r="O950" s="97" t="str">
        <f>IF(Market_Data[[#This Row],[Estimated Concrete Demand (m³)]]="","",
IF(Market_Data[[#This Row],[Estimated Concrete Demand (m³)]]&lt;10000,"Small",
IF(Market_Data[[#This Row],[Estimated Concrete Demand (m³)]]&lt;25000,"Medium",
IF(Market_Data[[#This Row],[Estimated Concrete Demand (m³)]]&lt;100000,"Large","Mega"))))</f>
        <v>Medium</v>
      </c>
      <c r="P950" s="287" t="str">
        <f t="shared" si="16"/>
        <v>GujRERA</v>
      </c>
    </row>
    <row r="951" spans="1:16">
      <c r="A951" s="129" t="str">
        <f>_xlfn.XLOOKUP(B951,$S$9:$S$14,$T$9:$T$14)&amp;"-"&amp;
IF(E951="Residential/Group Housing","RES",
IF(E951="Commercial","COM",
IF(E951="Mixed Development","MIX",
IF(E951="Plotted Development","PLT","OTH"))))
&amp;"-"&amp;TEXT(COUNTIFS($B$9:B951,B951,$E$9:E951,E951),"0000")</f>
        <v>SUR-MIX-0115</v>
      </c>
      <c r="B951" s="322" t="s">
        <v>34</v>
      </c>
      <c r="C951" s="322" t="s">
        <v>34</v>
      </c>
      <c r="D951" s="323" t="s">
        <v>1141</v>
      </c>
      <c r="E951" s="132" t="s">
        <v>25</v>
      </c>
      <c r="F951" s="97" t="str">
        <f ca="1">IF(OR(Market_Data[[#This Row],[Start Date]]="",Market_Data[[#This Row],[Completion Date]]=""),"Needs Validation",IF(Market_Data[[#This Row],[Start Date]]&gt;TODAY(),"Planned",IF(Market_Data[[#This Row],[Completion Date]]&lt;TODAY(),"Completed","Ongoing")))</f>
        <v>Completed</v>
      </c>
      <c r="G951" s="324">
        <v>42276</v>
      </c>
      <c r="H951" s="324">
        <v>44275</v>
      </c>
      <c r="I951" s="325">
        <v>45200</v>
      </c>
      <c r="J95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51" s="133">
        <f>_xlfn.XLOOKUP(Market_Data[[#This Row],[Project Type]],tbl_assumptions_market[Project Category (RERA)],tbl_assumptions_market[Concrete Intensity
(m³ / sq m BUA)],"",0)</f>
        <v>0.42</v>
      </c>
      <c r="L951" s="134">
        <f>ROUND(Market_Data[[#This Row],[Estimated Built Up Area (sq m)]]*Market_Data[[#This Row],[Concrete Intensity
(m³ / sq m)]],0)</f>
        <v>18984</v>
      </c>
      <c r="M951" s="135">
        <f>_xlfn.XLOOKUP(Market_Data[[#This Row],[District]],tbl_district_price[District],tbl_district_price[Standard Price
(INR/m³)],"",0)</f>
        <v>6200</v>
      </c>
      <c r="N951" s="364">
        <f>IF(OR(Market_Data[[#This Row],[Estimated Concrete Demand (m³)]]="",Market_Data[[#This Row],[Avg Price per (₹ / m³)]]=""),"",Market_Data[[#This Row],[Estimated Concrete Demand (m³)]]*Market_Data[[#This Row],[Avg Price per (₹ / m³)]]/10000000)</f>
        <v>11.77008</v>
      </c>
      <c r="O951" s="97" t="str">
        <f>IF(Market_Data[[#This Row],[Estimated Concrete Demand (m³)]]="","",
IF(Market_Data[[#This Row],[Estimated Concrete Demand (m³)]]&lt;10000,"Small",
IF(Market_Data[[#This Row],[Estimated Concrete Demand (m³)]]&lt;25000,"Medium",
IF(Market_Data[[#This Row],[Estimated Concrete Demand (m³)]]&lt;100000,"Large","Mega"))))</f>
        <v>Medium</v>
      </c>
      <c r="P951" s="287" t="str">
        <f t="shared" si="16"/>
        <v>GujRERA</v>
      </c>
    </row>
    <row r="952" spans="1:16">
      <c r="A952" s="129" t="str">
        <f>_xlfn.XLOOKUP(B952,$S$9:$S$14,$T$9:$T$14)&amp;"-"&amp;
IF(E952="Residential/Group Housing","RES",
IF(E952="Commercial","COM",
IF(E952="Mixed Development","MIX",
IF(E952="Plotted Development","PLT","OTH"))))
&amp;"-"&amp;TEXT(COUNTIFS($B$9:B952,B952,$E$9:E952,E952),"0000")</f>
        <v>SUR-MIX-0116</v>
      </c>
      <c r="B952" s="322" t="s">
        <v>34</v>
      </c>
      <c r="C952" s="322" t="s">
        <v>34</v>
      </c>
      <c r="D952" s="323" t="s">
        <v>1142</v>
      </c>
      <c r="E952" s="132" t="s">
        <v>25</v>
      </c>
      <c r="F952" s="97" t="str">
        <f ca="1">IF(OR(Market_Data[[#This Row],[Start Date]]="",Market_Data[[#This Row],[Completion Date]]=""),"Needs Validation",IF(Market_Data[[#This Row],[Start Date]]&gt;TODAY(),"Planned",IF(Market_Data[[#This Row],[Completion Date]]&lt;TODAY(),"Completed","Ongoing")))</f>
        <v>Ongoing</v>
      </c>
      <c r="G952" s="324">
        <v>45883</v>
      </c>
      <c r="H952" s="324">
        <v>48213</v>
      </c>
      <c r="I952" s="325">
        <v>59600</v>
      </c>
      <c r="J95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52" s="133">
        <f>_xlfn.XLOOKUP(Market_Data[[#This Row],[Project Type]],tbl_assumptions_market[Project Category (RERA)],tbl_assumptions_market[Concrete Intensity
(m³ / sq m BUA)],"",0)</f>
        <v>0.42</v>
      </c>
      <c r="L952" s="134">
        <f>ROUND(Market_Data[[#This Row],[Estimated Built Up Area (sq m)]]*Market_Data[[#This Row],[Concrete Intensity
(m³ / sq m)]],0)</f>
        <v>25032</v>
      </c>
      <c r="M952" s="135">
        <f>_xlfn.XLOOKUP(Market_Data[[#This Row],[District]],tbl_district_price[District],tbl_district_price[Standard Price
(INR/m³)],"",0)</f>
        <v>6200</v>
      </c>
      <c r="N952" s="364">
        <f>IF(OR(Market_Data[[#This Row],[Estimated Concrete Demand (m³)]]="",Market_Data[[#This Row],[Avg Price per (₹ / m³)]]=""),"",Market_Data[[#This Row],[Estimated Concrete Demand (m³)]]*Market_Data[[#This Row],[Avg Price per (₹ / m³)]]/10000000)</f>
        <v>15.51984</v>
      </c>
      <c r="O952" s="97" t="str">
        <f>IF(Market_Data[[#This Row],[Estimated Concrete Demand (m³)]]="","",
IF(Market_Data[[#This Row],[Estimated Concrete Demand (m³)]]&lt;10000,"Small",
IF(Market_Data[[#This Row],[Estimated Concrete Demand (m³)]]&lt;25000,"Medium",
IF(Market_Data[[#This Row],[Estimated Concrete Demand (m³)]]&lt;100000,"Large","Mega"))))</f>
        <v>Large</v>
      </c>
      <c r="P952" s="287" t="str">
        <f t="shared" si="16"/>
        <v>GujRERA</v>
      </c>
    </row>
    <row r="953" spans="1:16">
      <c r="A953" s="129" t="str">
        <f>_xlfn.XLOOKUP(B953,$S$9:$S$14,$T$9:$T$14)&amp;"-"&amp;
IF(E953="Residential/Group Housing","RES",
IF(E953="Commercial","COM",
IF(E953="Mixed Development","MIX",
IF(E953="Plotted Development","PLT","OTH"))))
&amp;"-"&amp;TEXT(COUNTIFS($B$9:B953,B953,$E$9:E953,E953),"0000")</f>
        <v>SUR-MIX-0117</v>
      </c>
      <c r="B953" s="322" t="s">
        <v>34</v>
      </c>
      <c r="C953" s="322" t="s">
        <v>34</v>
      </c>
      <c r="D953" s="323" t="s">
        <v>1143</v>
      </c>
      <c r="E953" s="132" t="s">
        <v>25</v>
      </c>
      <c r="F953" s="97" t="str">
        <f ca="1">IF(OR(Market_Data[[#This Row],[Start Date]]="",Market_Data[[#This Row],[Completion Date]]=""),"Needs Validation",IF(Market_Data[[#This Row],[Start Date]]&gt;TODAY(),"Planned",IF(Market_Data[[#This Row],[Completion Date]]&lt;TODAY(),"Completed","Ongoing")))</f>
        <v>Ongoing</v>
      </c>
      <c r="G953" s="324">
        <v>45292</v>
      </c>
      <c r="H953" s="324">
        <v>47848</v>
      </c>
      <c r="I953" s="325">
        <v>56500</v>
      </c>
      <c r="J95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53" s="133">
        <f>_xlfn.XLOOKUP(Market_Data[[#This Row],[Project Type]],tbl_assumptions_market[Project Category (RERA)],tbl_assumptions_market[Concrete Intensity
(m³ / sq m BUA)],"",0)</f>
        <v>0.42</v>
      </c>
      <c r="L953" s="134">
        <f>ROUND(Market_Data[[#This Row],[Estimated Built Up Area (sq m)]]*Market_Data[[#This Row],[Concrete Intensity
(m³ / sq m)]],0)</f>
        <v>23730</v>
      </c>
      <c r="M953" s="135">
        <f>_xlfn.XLOOKUP(Market_Data[[#This Row],[District]],tbl_district_price[District],tbl_district_price[Standard Price
(INR/m³)],"",0)</f>
        <v>6200</v>
      </c>
      <c r="N953" s="364">
        <f>IF(OR(Market_Data[[#This Row],[Estimated Concrete Demand (m³)]]="",Market_Data[[#This Row],[Avg Price per (₹ / m³)]]=""),"",Market_Data[[#This Row],[Estimated Concrete Demand (m³)]]*Market_Data[[#This Row],[Avg Price per (₹ / m³)]]/10000000)</f>
        <v>14.7126</v>
      </c>
      <c r="O953" s="97" t="str">
        <f>IF(Market_Data[[#This Row],[Estimated Concrete Demand (m³)]]="","",
IF(Market_Data[[#This Row],[Estimated Concrete Demand (m³)]]&lt;10000,"Small",
IF(Market_Data[[#This Row],[Estimated Concrete Demand (m³)]]&lt;25000,"Medium",
IF(Market_Data[[#This Row],[Estimated Concrete Demand (m³)]]&lt;100000,"Large","Mega"))))</f>
        <v>Medium</v>
      </c>
      <c r="P953" s="287" t="str">
        <f t="shared" si="16"/>
        <v>GujRERA</v>
      </c>
    </row>
    <row r="954" spans="1:16">
      <c r="A954" s="129" t="str">
        <f>_xlfn.XLOOKUP(B954,$S$9:$S$14,$T$9:$T$14)&amp;"-"&amp;
IF(E954="Residential/Group Housing","RES",
IF(E954="Commercial","COM",
IF(E954="Mixed Development","MIX",
IF(E954="Plotted Development","PLT","OTH"))))
&amp;"-"&amp;TEXT(COUNTIFS($B$9:B954,B954,$E$9:E954,E954),"0000")</f>
        <v>SUR-RES-0241</v>
      </c>
      <c r="B954" s="322" t="s">
        <v>34</v>
      </c>
      <c r="C954" s="322" t="s">
        <v>34</v>
      </c>
      <c r="D954" s="323" t="s">
        <v>1144</v>
      </c>
      <c r="E954" s="132" t="s">
        <v>24</v>
      </c>
      <c r="F954" s="97" t="str">
        <f ca="1">IF(OR(Market_Data[[#This Row],[Start Date]]="",Market_Data[[#This Row],[Completion Date]]=""),"Needs Validation",IF(Market_Data[[#This Row],[Start Date]]&gt;TODAY(),"Planned",IF(Market_Data[[#This Row],[Completion Date]]&lt;TODAY(),"Completed","Ongoing")))</f>
        <v>Completed</v>
      </c>
      <c r="G954" s="324">
        <v>42917</v>
      </c>
      <c r="H954" s="324">
        <v>45107</v>
      </c>
      <c r="I954" s="325">
        <v>20900</v>
      </c>
      <c r="J95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54" s="133">
        <f>_xlfn.XLOOKUP(Market_Data[[#This Row],[Project Type]],tbl_assumptions_market[Project Category (RERA)],tbl_assumptions_market[Concrete Intensity
(m³ / sq m BUA)],"",0)</f>
        <v>0.45</v>
      </c>
      <c r="L954" s="134">
        <f>ROUND(Market_Data[[#This Row],[Estimated Built Up Area (sq m)]]*Market_Data[[#This Row],[Concrete Intensity
(m³ / sq m)]],0)</f>
        <v>9405</v>
      </c>
      <c r="M954" s="135">
        <f>_xlfn.XLOOKUP(Market_Data[[#This Row],[District]],tbl_district_price[District],tbl_district_price[Standard Price
(INR/m³)],"",0)</f>
        <v>6200</v>
      </c>
      <c r="N954" s="364">
        <f>IF(OR(Market_Data[[#This Row],[Estimated Concrete Demand (m³)]]="",Market_Data[[#This Row],[Avg Price per (₹ / m³)]]=""),"",Market_Data[[#This Row],[Estimated Concrete Demand (m³)]]*Market_Data[[#This Row],[Avg Price per (₹ / m³)]]/10000000)</f>
        <v>5.8311000000000002</v>
      </c>
      <c r="O954" s="97" t="str">
        <f>IF(Market_Data[[#This Row],[Estimated Concrete Demand (m³)]]="","",
IF(Market_Data[[#This Row],[Estimated Concrete Demand (m³)]]&lt;10000,"Small",
IF(Market_Data[[#This Row],[Estimated Concrete Demand (m³)]]&lt;25000,"Medium",
IF(Market_Data[[#This Row],[Estimated Concrete Demand (m³)]]&lt;100000,"Large","Mega"))))</f>
        <v>Small</v>
      </c>
      <c r="P954" s="287" t="str">
        <f t="shared" si="16"/>
        <v>GujRERA</v>
      </c>
    </row>
    <row r="955" spans="1:16">
      <c r="A955" s="129" t="str">
        <f>_xlfn.XLOOKUP(B955,$S$9:$S$14,$T$9:$T$14)&amp;"-"&amp;
IF(E955="Residential/Group Housing","RES",
IF(E955="Commercial","COM",
IF(E955="Mixed Development","MIX",
IF(E955="Plotted Development","PLT","OTH"))))
&amp;"-"&amp;TEXT(COUNTIFS($B$9:B955,B955,$E$9:E955,E955),"0000")</f>
        <v>SUR-MIX-0118</v>
      </c>
      <c r="B955" s="322" t="s">
        <v>34</v>
      </c>
      <c r="C955" s="322" t="s">
        <v>34</v>
      </c>
      <c r="D955" s="323" t="s">
        <v>1145</v>
      </c>
      <c r="E955" s="132" t="s">
        <v>25</v>
      </c>
      <c r="F955" s="97" t="str">
        <f ca="1">IF(OR(Market_Data[[#This Row],[Start Date]]="",Market_Data[[#This Row],[Completion Date]]=""),"Needs Validation",IF(Market_Data[[#This Row],[Start Date]]&gt;TODAY(),"Planned",IF(Market_Data[[#This Row],[Completion Date]]&lt;TODAY(),"Completed","Ongoing")))</f>
        <v>Ongoing</v>
      </c>
      <c r="G955" s="324">
        <v>46002</v>
      </c>
      <c r="H955" s="324">
        <v>48213</v>
      </c>
      <c r="I955" s="325">
        <v>51600</v>
      </c>
      <c r="J95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55" s="133">
        <f>_xlfn.XLOOKUP(Market_Data[[#This Row],[Project Type]],tbl_assumptions_market[Project Category (RERA)],tbl_assumptions_market[Concrete Intensity
(m³ / sq m BUA)],"",0)</f>
        <v>0.42</v>
      </c>
      <c r="L955" s="134">
        <f>ROUND(Market_Data[[#This Row],[Estimated Built Up Area (sq m)]]*Market_Data[[#This Row],[Concrete Intensity
(m³ / sq m)]],0)</f>
        <v>21672</v>
      </c>
      <c r="M955" s="135">
        <f>_xlfn.XLOOKUP(Market_Data[[#This Row],[District]],tbl_district_price[District],tbl_district_price[Standard Price
(INR/m³)],"",0)</f>
        <v>6200</v>
      </c>
      <c r="N955" s="364">
        <f>IF(OR(Market_Data[[#This Row],[Estimated Concrete Demand (m³)]]="",Market_Data[[#This Row],[Avg Price per (₹ / m³)]]=""),"",Market_Data[[#This Row],[Estimated Concrete Demand (m³)]]*Market_Data[[#This Row],[Avg Price per (₹ / m³)]]/10000000)</f>
        <v>13.436640000000001</v>
      </c>
      <c r="O955" s="97" t="str">
        <f>IF(Market_Data[[#This Row],[Estimated Concrete Demand (m³)]]="","",
IF(Market_Data[[#This Row],[Estimated Concrete Demand (m³)]]&lt;10000,"Small",
IF(Market_Data[[#This Row],[Estimated Concrete Demand (m³)]]&lt;25000,"Medium",
IF(Market_Data[[#This Row],[Estimated Concrete Demand (m³)]]&lt;100000,"Large","Mega"))))</f>
        <v>Medium</v>
      </c>
      <c r="P955" s="287" t="str">
        <f t="shared" si="16"/>
        <v>GujRERA</v>
      </c>
    </row>
    <row r="956" spans="1:16">
      <c r="A956" s="129" t="str">
        <f>_xlfn.XLOOKUP(B956,$S$9:$S$14,$T$9:$T$14)&amp;"-"&amp;
IF(E956="Residential/Group Housing","RES",
IF(E956="Commercial","COM",
IF(E956="Mixed Development","MIX",
IF(E956="Plotted Development","PLT","OTH"))))
&amp;"-"&amp;TEXT(COUNTIFS($B$9:B956,B956,$E$9:E956,E956),"0000")</f>
        <v>SUR-COM-0121</v>
      </c>
      <c r="B956" s="322" t="s">
        <v>34</v>
      </c>
      <c r="C956" s="322" t="s">
        <v>34</v>
      </c>
      <c r="D956" s="323" t="s">
        <v>1146</v>
      </c>
      <c r="E956" s="132" t="s">
        <v>23</v>
      </c>
      <c r="F956" s="97" t="str">
        <f ca="1">IF(OR(Market_Data[[#This Row],[Start Date]]="",Market_Data[[#This Row],[Completion Date]]=""),"Needs Validation",IF(Market_Data[[#This Row],[Start Date]]&gt;TODAY(),"Planned",IF(Market_Data[[#This Row],[Completion Date]]&lt;TODAY(),"Completed","Ongoing")))</f>
        <v>Completed</v>
      </c>
      <c r="G956" s="324">
        <v>42541</v>
      </c>
      <c r="H956" s="324">
        <v>45836</v>
      </c>
      <c r="I956" s="325">
        <v>2400</v>
      </c>
      <c r="J95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56" s="133">
        <f>_xlfn.XLOOKUP(Market_Data[[#This Row],[Project Type]],tbl_assumptions_market[Project Category (RERA)],tbl_assumptions_market[Concrete Intensity
(m³ / sq m BUA)],"",0)</f>
        <v>0.5</v>
      </c>
      <c r="L956" s="134">
        <f>ROUND(Market_Data[[#This Row],[Estimated Built Up Area (sq m)]]*Market_Data[[#This Row],[Concrete Intensity
(m³ / sq m)]],0)</f>
        <v>1200</v>
      </c>
      <c r="M956" s="135">
        <f>_xlfn.XLOOKUP(Market_Data[[#This Row],[District]],tbl_district_price[District],tbl_district_price[Standard Price
(INR/m³)],"",0)</f>
        <v>6200</v>
      </c>
      <c r="N956" s="364">
        <f>IF(OR(Market_Data[[#This Row],[Estimated Concrete Demand (m³)]]="",Market_Data[[#This Row],[Avg Price per (₹ / m³)]]=""),"",Market_Data[[#This Row],[Estimated Concrete Demand (m³)]]*Market_Data[[#This Row],[Avg Price per (₹ / m³)]]/10000000)</f>
        <v>0.74399999999999999</v>
      </c>
      <c r="O956" s="97" t="str">
        <f>IF(Market_Data[[#This Row],[Estimated Concrete Demand (m³)]]="","",
IF(Market_Data[[#This Row],[Estimated Concrete Demand (m³)]]&lt;10000,"Small",
IF(Market_Data[[#This Row],[Estimated Concrete Demand (m³)]]&lt;25000,"Medium",
IF(Market_Data[[#This Row],[Estimated Concrete Demand (m³)]]&lt;100000,"Large","Mega"))))</f>
        <v>Small</v>
      </c>
      <c r="P956" s="287" t="str">
        <f t="shared" si="16"/>
        <v>GujRERA</v>
      </c>
    </row>
    <row r="957" spans="1:16">
      <c r="A957" s="129" t="str">
        <f>_xlfn.XLOOKUP(B957,$S$9:$S$14,$T$9:$T$14)&amp;"-"&amp;
IF(E957="Residential/Group Housing","RES",
IF(E957="Commercial","COM",
IF(E957="Mixed Development","MIX",
IF(E957="Plotted Development","PLT","OTH"))))
&amp;"-"&amp;TEXT(COUNTIFS($B$9:B957,B957,$E$9:E957,E957),"0000")</f>
        <v>SUR-RES-0242</v>
      </c>
      <c r="B957" s="322" t="s">
        <v>34</v>
      </c>
      <c r="C957" s="322" t="s">
        <v>34</v>
      </c>
      <c r="D957" s="323" t="s">
        <v>1147</v>
      </c>
      <c r="E957" s="132" t="s">
        <v>24</v>
      </c>
      <c r="F957" s="97" t="str">
        <f ca="1">IF(OR(Market_Data[[#This Row],[Start Date]]="",Market_Data[[#This Row],[Completion Date]]=""),"Needs Validation",IF(Market_Data[[#This Row],[Start Date]]&gt;TODAY(),"Planned",IF(Market_Data[[#This Row],[Completion Date]]&lt;TODAY(),"Completed","Ongoing")))</f>
        <v>Ongoing</v>
      </c>
      <c r="G957" s="324">
        <v>45036</v>
      </c>
      <c r="H957" s="324">
        <v>46752</v>
      </c>
      <c r="I957" s="325">
        <v>46000</v>
      </c>
      <c r="J95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57" s="133">
        <f>_xlfn.XLOOKUP(Market_Data[[#This Row],[Project Type]],tbl_assumptions_market[Project Category (RERA)],tbl_assumptions_market[Concrete Intensity
(m³ / sq m BUA)],"",0)</f>
        <v>0.45</v>
      </c>
      <c r="L957" s="134">
        <f>ROUND(Market_Data[[#This Row],[Estimated Built Up Area (sq m)]]*Market_Data[[#This Row],[Concrete Intensity
(m³ / sq m)]],0)</f>
        <v>20700</v>
      </c>
      <c r="M957" s="135">
        <f>_xlfn.XLOOKUP(Market_Data[[#This Row],[District]],tbl_district_price[District],tbl_district_price[Standard Price
(INR/m³)],"",0)</f>
        <v>6200</v>
      </c>
      <c r="N957" s="364">
        <f>IF(OR(Market_Data[[#This Row],[Estimated Concrete Demand (m³)]]="",Market_Data[[#This Row],[Avg Price per (₹ / m³)]]=""),"",Market_Data[[#This Row],[Estimated Concrete Demand (m³)]]*Market_Data[[#This Row],[Avg Price per (₹ / m³)]]/10000000)</f>
        <v>12.834</v>
      </c>
      <c r="O957" s="97" t="str">
        <f>IF(Market_Data[[#This Row],[Estimated Concrete Demand (m³)]]="","",
IF(Market_Data[[#This Row],[Estimated Concrete Demand (m³)]]&lt;10000,"Small",
IF(Market_Data[[#This Row],[Estimated Concrete Demand (m³)]]&lt;25000,"Medium",
IF(Market_Data[[#This Row],[Estimated Concrete Demand (m³)]]&lt;100000,"Large","Mega"))))</f>
        <v>Medium</v>
      </c>
      <c r="P957" s="287" t="str">
        <f t="shared" si="16"/>
        <v>GujRERA</v>
      </c>
    </row>
    <row r="958" spans="1:16">
      <c r="A958" s="129" t="str">
        <f>_xlfn.XLOOKUP(B958,$S$9:$S$14,$T$9:$T$14)&amp;"-"&amp;
IF(E958="Residential/Group Housing","RES",
IF(E958="Commercial","COM",
IF(E958="Mixed Development","MIX",
IF(E958="Plotted Development","PLT","OTH"))))
&amp;"-"&amp;TEXT(COUNTIFS($B$9:B958,B958,$E$9:E958,E958),"0000")</f>
        <v>SUR-PLT-0159</v>
      </c>
      <c r="B958" s="322" t="s">
        <v>34</v>
      </c>
      <c r="C958" s="322" t="s">
        <v>34</v>
      </c>
      <c r="D958" s="323" t="s">
        <v>1148</v>
      </c>
      <c r="E958" s="132" t="s">
        <v>26</v>
      </c>
      <c r="F958" s="97" t="str">
        <f ca="1">IF(OR(Market_Data[[#This Row],[Start Date]]="",Market_Data[[#This Row],[Completion Date]]=""),"Needs Validation",IF(Market_Data[[#This Row],[Start Date]]&gt;TODAY(),"Planned",IF(Market_Data[[#This Row],[Completion Date]]&lt;TODAY(),"Completed","Ongoing")))</f>
        <v>Ongoing</v>
      </c>
      <c r="G958" s="324">
        <v>45414</v>
      </c>
      <c r="H958" s="324">
        <v>46660</v>
      </c>
      <c r="I958" s="325">
        <v>3400</v>
      </c>
      <c r="J95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58" s="133">
        <f>_xlfn.XLOOKUP(Market_Data[[#This Row],[Project Type]],tbl_assumptions_market[Project Category (RERA)],tbl_assumptions_market[Concrete Intensity
(m³ / sq m BUA)],"",0)</f>
        <v>0.18</v>
      </c>
      <c r="L958" s="134">
        <f>ROUND(Market_Data[[#This Row],[Estimated Built Up Area (sq m)]]*Market_Data[[#This Row],[Concrete Intensity
(m³ / sq m)]],0)</f>
        <v>612</v>
      </c>
      <c r="M958" s="135">
        <f>_xlfn.XLOOKUP(Market_Data[[#This Row],[District]],tbl_district_price[District],tbl_district_price[Standard Price
(INR/m³)],"",0)</f>
        <v>6200</v>
      </c>
      <c r="N958" s="364">
        <f>IF(OR(Market_Data[[#This Row],[Estimated Concrete Demand (m³)]]="",Market_Data[[#This Row],[Avg Price per (₹ / m³)]]=""),"",Market_Data[[#This Row],[Estimated Concrete Demand (m³)]]*Market_Data[[#This Row],[Avg Price per (₹ / m³)]]/10000000)</f>
        <v>0.37944</v>
      </c>
      <c r="O958" s="97" t="str">
        <f>IF(Market_Data[[#This Row],[Estimated Concrete Demand (m³)]]="","",
IF(Market_Data[[#This Row],[Estimated Concrete Demand (m³)]]&lt;10000,"Small",
IF(Market_Data[[#This Row],[Estimated Concrete Demand (m³)]]&lt;25000,"Medium",
IF(Market_Data[[#This Row],[Estimated Concrete Demand (m³)]]&lt;100000,"Large","Mega"))))</f>
        <v>Small</v>
      </c>
      <c r="P958" s="287" t="str">
        <f t="shared" si="16"/>
        <v>GujRERA</v>
      </c>
    </row>
    <row r="959" spans="1:16">
      <c r="A959" s="129" t="str">
        <f>_xlfn.XLOOKUP(B959,$S$9:$S$14,$T$9:$T$14)&amp;"-"&amp;
IF(E959="Residential/Group Housing","RES",
IF(E959="Commercial","COM",
IF(E959="Mixed Development","MIX",
IF(E959="Plotted Development","PLT","OTH"))))
&amp;"-"&amp;TEXT(COUNTIFS($B$9:B959,B959,$E$9:E959,E959),"0000")</f>
        <v>SUR-RES-0243</v>
      </c>
      <c r="B959" s="322" t="s">
        <v>34</v>
      </c>
      <c r="C959" s="322" t="s">
        <v>34</v>
      </c>
      <c r="D959" s="323" t="s">
        <v>1149</v>
      </c>
      <c r="E959" s="132" t="s">
        <v>24</v>
      </c>
      <c r="F959" s="97" t="str">
        <f ca="1">IF(OR(Market_Data[[#This Row],[Start Date]]="",Market_Data[[#This Row],[Completion Date]]=""),"Needs Validation",IF(Market_Data[[#This Row],[Start Date]]&gt;TODAY(),"Planned",IF(Market_Data[[#This Row],[Completion Date]]&lt;TODAY(),"Completed","Ongoing")))</f>
        <v>Completed</v>
      </c>
      <c r="G959" s="324">
        <v>43756</v>
      </c>
      <c r="H959" s="324">
        <v>45473</v>
      </c>
      <c r="I959" s="325">
        <v>42600</v>
      </c>
      <c r="J95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59" s="133">
        <f>_xlfn.XLOOKUP(Market_Data[[#This Row],[Project Type]],tbl_assumptions_market[Project Category (RERA)],tbl_assumptions_market[Concrete Intensity
(m³ / sq m BUA)],"",0)</f>
        <v>0.45</v>
      </c>
      <c r="L959" s="134">
        <f>ROUND(Market_Data[[#This Row],[Estimated Built Up Area (sq m)]]*Market_Data[[#This Row],[Concrete Intensity
(m³ / sq m)]],0)</f>
        <v>19170</v>
      </c>
      <c r="M959" s="135">
        <f>_xlfn.XLOOKUP(Market_Data[[#This Row],[District]],tbl_district_price[District],tbl_district_price[Standard Price
(INR/m³)],"",0)</f>
        <v>6200</v>
      </c>
      <c r="N959" s="364">
        <f>IF(OR(Market_Data[[#This Row],[Estimated Concrete Demand (m³)]]="",Market_Data[[#This Row],[Avg Price per (₹ / m³)]]=""),"",Market_Data[[#This Row],[Estimated Concrete Demand (m³)]]*Market_Data[[#This Row],[Avg Price per (₹ / m³)]]/10000000)</f>
        <v>11.885400000000001</v>
      </c>
      <c r="O959" s="97" t="str">
        <f>IF(Market_Data[[#This Row],[Estimated Concrete Demand (m³)]]="","",
IF(Market_Data[[#This Row],[Estimated Concrete Demand (m³)]]&lt;10000,"Small",
IF(Market_Data[[#This Row],[Estimated Concrete Demand (m³)]]&lt;25000,"Medium",
IF(Market_Data[[#This Row],[Estimated Concrete Demand (m³)]]&lt;100000,"Large","Mega"))))</f>
        <v>Medium</v>
      </c>
      <c r="P959" s="287" t="str">
        <f t="shared" si="16"/>
        <v>GujRERA</v>
      </c>
    </row>
    <row r="960" spans="1:16">
      <c r="A960" s="129" t="str">
        <f>_xlfn.XLOOKUP(B960,$S$9:$S$14,$T$9:$T$14)&amp;"-"&amp;
IF(E960="Residential/Group Housing","RES",
IF(E960="Commercial","COM",
IF(E960="Mixed Development","MIX",
IF(E960="Plotted Development","PLT","OTH"))))
&amp;"-"&amp;TEXT(COUNTIFS($B$9:B960,B960,$E$9:E960,E960),"0000")</f>
        <v>SUR-MIX-0119</v>
      </c>
      <c r="B960" s="322" t="s">
        <v>34</v>
      </c>
      <c r="C960" s="322" t="s">
        <v>34</v>
      </c>
      <c r="D960" s="323" t="s">
        <v>1150</v>
      </c>
      <c r="E960" s="132" t="s">
        <v>25</v>
      </c>
      <c r="F960" s="97" t="str">
        <f ca="1">IF(OR(Market_Data[[#This Row],[Start Date]]="",Market_Data[[#This Row],[Completion Date]]=""),"Needs Validation",IF(Market_Data[[#This Row],[Start Date]]&gt;TODAY(),"Planned",IF(Market_Data[[#This Row],[Completion Date]]&lt;TODAY(),"Completed","Ongoing")))</f>
        <v>Completed</v>
      </c>
      <c r="G960" s="324">
        <v>43250</v>
      </c>
      <c r="H960" s="324">
        <v>45532</v>
      </c>
      <c r="I960" s="325">
        <v>40200</v>
      </c>
      <c r="J96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60" s="133">
        <f>_xlfn.XLOOKUP(Market_Data[[#This Row],[Project Type]],tbl_assumptions_market[Project Category (RERA)],tbl_assumptions_market[Concrete Intensity
(m³ / sq m BUA)],"",0)</f>
        <v>0.42</v>
      </c>
      <c r="L960" s="134">
        <f>ROUND(Market_Data[[#This Row],[Estimated Built Up Area (sq m)]]*Market_Data[[#This Row],[Concrete Intensity
(m³ / sq m)]],0)</f>
        <v>16884</v>
      </c>
      <c r="M960" s="135">
        <f>_xlfn.XLOOKUP(Market_Data[[#This Row],[District]],tbl_district_price[District],tbl_district_price[Standard Price
(INR/m³)],"",0)</f>
        <v>6200</v>
      </c>
      <c r="N960" s="364">
        <f>IF(OR(Market_Data[[#This Row],[Estimated Concrete Demand (m³)]]="",Market_Data[[#This Row],[Avg Price per (₹ / m³)]]=""),"",Market_Data[[#This Row],[Estimated Concrete Demand (m³)]]*Market_Data[[#This Row],[Avg Price per (₹ / m³)]]/10000000)</f>
        <v>10.46808</v>
      </c>
      <c r="O960" s="97" t="str">
        <f>IF(Market_Data[[#This Row],[Estimated Concrete Demand (m³)]]="","",
IF(Market_Data[[#This Row],[Estimated Concrete Demand (m³)]]&lt;10000,"Small",
IF(Market_Data[[#This Row],[Estimated Concrete Demand (m³)]]&lt;25000,"Medium",
IF(Market_Data[[#This Row],[Estimated Concrete Demand (m³)]]&lt;100000,"Large","Mega"))))</f>
        <v>Medium</v>
      </c>
      <c r="P960" s="287" t="str">
        <f t="shared" si="16"/>
        <v>GujRERA</v>
      </c>
    </row>
    <row r="961" spans="1:16">
      <c r="A961" s="129" t="str">
        <f>_xlfn.XLOOKUP(B961,$S$9:$S$14,$T$9:$T$14)&amp;"-"&amp;
IF(E961="Residential/Group Housing","RES",
IF(E961="Commercial","COM",
IF(E961="Mixed Development","MIX",
IF(E961="Plotted Development","PLT","OTH"))))
&amp;"-"&amp;TEXT(COUNTIFS($B$9:B961,B961,$E$9:E961,E961),"0000")</f>
        <v>SUR-RES-0244</v>
      </c>
      <c r="B961" s="322" t="s">
        <v>34</v>
      </c>
      <c r="C961" s="322" t="s">
        <v>34</v>
      </c>
      <c r="D961" s="323" t="s">
        <v>1151</v>
      </c>
      <c r="E961" s="132" t="s">
        <v>24</v>
      </c>
      <c r="F961" s="97" t="str">
        <f ca="1">IF(OR(Market_Data[[#This Row],[Start Date]]="",Market_Data[[#This Row],[Completion Date]]=""),"Needs Validation",IF(Market_Data[[#This Row],[Start Date]]&gt;TODAY(),"Planned",IF(Market_Data[[#This Row],[Completion Date]]&lt;TODAY(),"Completed","Ongoing")))</f>
        <v>Completed</v>
      </c>
      <c r="G961" s="324">
        <v>42969</v>
      </c>
      <c r="H961" s="324">
        <v>46075</v>
      </c>
      <c r="I961" s="325">
        <v>37000</v>
      </c>
      <c r="J96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61" s="133">
        <f>_xlfn.XLOOKUP(Market_Data[[#This Row],[Project Type]],tbl_assumptions_market[Project Category (RERA)],tbl_assumptions_market[Concrete Intensity
(m³ / sq m BUA)],"",0)</f>
        <v>0.45</v>
      </c>
      <c r="L961" s="134">
        <f>ROUND(Market_Data[[#This Row],[Estimated Built Up Area (sq m)]]*Market_Data[[#This Row],[Concrete Intensity
(m³ / sq m)]],0)</f>
        <v>16650</v>
      </c>
      <c r="M961" s="135">
        <f>_xlfn.XLOOKUP(Market_Data[[#This Row],[District]],tbl_district_price[District],tbl_district_price[Standard Price
(INR/m³)],"",0)</f>
        <v>6200</v>
      </c>
      <c r="N961" s="364">
        <f>IF(OR(Market_Data[[#This Row],[Estimated Concrete Demand (m³)]]="",Market_Data[[#This Row],[Avg Price per (₹ / m³)]]=""),"",Market_Data[[#This Row],[Estimated Concrete Demand (m³)]]*Market_Data[[#This Row],[Avg Price per (₹ / m³)]]/10000000)</f>
        <v>10.323</v>
      </c>
      <c r="O961" s="97" t="str">
        <f>IF(Market_Data[[#This Row],[Estimated Concrete Demand (m³)]]="","",
IF(Market_Data[[#This Row],[Estimated Concrete Demand (m³)]]&lt;10000,"Small",
IF(Market_Data[[#This Row],[Estimated Concrete Demand (m³)]]&lt;25000,"Medium",
IF(Market_Data[[#This Row],[Estimated Concrete Demand (m³)]]&lt;100000,"Large","Mega"))))</f>
        <v>Medium</v>
      </c>
      <c r="P961" s="287" t="str">
        <f t="shared" si="16"/>
        <v>GujRERA</v>
      </c>
    </row>
    <row r="962" spans="1:16">
      <c r="A962" s="129" t="str">
        <f>_xlfn.XLOOKUP(B962,$S$9:$S$14,$T$9:$T$14)&amp;"-"&amp;
IF(E962="Residential/Group Housing","RES",
IF(E962="Commercial","COM",
IF(E962="Mixed Development","MIX",
IF(E962="Plotted Development","PLT","OTH"))))
&amp;"-"&amp;TEXT(COUNTIFS($B$9:B962,B962,$E$9:E962,E962),"0000")</f>
        <v>SUR-RES-0245</v>
      </c>
      <c r="B962" s="322" t="s">
        <v>34</v>
      </c>
      <c r="C962" s="322" t="s">
        <v>34</v>
      </c>
      <c r="D962" s="323" t="s">
        <v>1152</v>
      </c>
      <c r="E962" s="132" t="s">
        <v>24</v>
      </c>
      <c r="F962" s="97" t="str">
        <f ca="1">IF(OR(Market_Data[[#This Row],[Start Date]]="",Market_Data[[#This Row],[Completion Date]]=""),"Needs Validation",IF(Market_Data[[#This Row],[Start Date]]&gt;TODAY(),"Planned",IF(Market_Data[[#This Row],[Completion Date]]&lt;TODAY(),"Completed","Ongoing")))</f>
        <v>Ongoing</v>
      </c>
      <c r="G962" s="324">
        <v>44617</v>
      </c>
      <c r="H962" s="324">
        <v>46477</v>
      </c>
      <c r="I962" s="325">
        <v>22200</v>
      </c>
      <c r="J96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62" s="133">
        <f>_xlfn.XLOOKUP(Market_Data[[#This Row],[Project Type]],tbl_assumptions_market[Project Category (RERA)],tbl_assumptions_market[Concrete Intensity
(m³ / sq m BUA)],"",0)</f>
        <v>0.45</v>
      </c>
      <c r="L962" s="134">
        <f>ROUND(Market_Data[[#This Row],[Estimated Built Up Area (sq m)]]*Market_Data[[#This Row],[Concrete Intensity
(m³ / sq m)]],0)</f>
        <v>9990</v>
      </c>
      <c r="M962" s="135">
        <f>_xlfn.XLOOKUP(Market_Data[[#This Row],[District]],tbl_district_price[District],tbl_district_price[Standard Price
(INR/m³)],"",0)</f>
        <v>6200</v>
      </c>
      <c r="N962" s="364">
        <f>IF(OR(Market_Data[[#This Row],[Estimated Concrete Demand (m³)]]="",Market_Data[[#This Row],[Avg Price per (₹ / m³)]]=""),"",Market_Data[[#This Row],[Estimated Concrete Demand (m³)]]*Market_Data[[#This Row],[Avg Price per (₹ / m³)]]/10000000)</f>
        <v>6.1938000000000004</v>
      </c>
      <c r="O962" s="97" t="str">
        <f>IF(Market_Data[[#This Row],[Estimated Concrete Demand (m³)]]="","",
IF(Market_Data[[#This Row],[Estimated Concrete Demand (m³)]]&lt;10000,"Small",
IF(Market_Data[[#This Row],[Estimated Concrete Demand (m³)]]&lt;25000,"Medium",
IF(Market_Data[[#This Row],[Estimated Concrete Demand (m³)]]&lt;100000,"Large","Mega"))))</f>
        <v>Small</v>
      </c>
      <c r="P962" s="287" t="str">
        <f t="shared" si="16"/>
        <v>GujRERA</v>
      </c>
    </row>
    <row r="963" spans="1:16">
      <c r="A963" s="129" t="str">
        <f>_xlfn.XLOOKUP(B963,$S$9:$S$14,$T$9:$T$14)&amp;"-"&amp;
IF(E963="Residential/Group Housing","RES",
IF(E963="Commercial","COM",
IF(E963="Mixed Development","MIX",
IF(E963="Plotted Development","PLT","OTH"))))
&amp;"-"&amp;TEXT(COUNTIFS($B$9:B963,B963,$E$9:E963,E963),"0000")</f>
        <v>SUR-COM-0122</v>
      </c>
      <c r="B963" s="322" t="s">
        <v>34</v>
      </c>
      <c r="C963" s="322" t="s">
        <v>34</v>
      </c>
      <c r="D963" s="323" t="s">
        <v>1153</v>
      </c>
      <c r="E963" s="132" t="s">
        <v>23</v>
      </c>
      <c r="F963" s="97" t="str">
        <f ca="1">IF(OR(Market_Data[[#This Row],[Start Date]]="",Market_Data[[#This Row],[Completion Date]]=""),"Needs Validation",IF(Market_Data[[#This Row],[Start Date]]&gt;TODAY(),"Planned",IF(Market_Data[[#This Row],[Completion Date]]&lt;TODAY(),"Completed","Ongoing")))</f>
        <v>Completed</v>
      </c>
      <c r="G963" s="324">
        <v>41575</v>
      </c>
      <c r="H963" s="324">
        <v>43738</v>
      </c>
      <c r="I963" s="325">
        <v>19900</v>
      </c>
      <c r="J96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63" s="133">
        <f>_xlfn.XLOOKUP(Market_Data[[#This Row],[Project Type]],tbl_assumptions_market[Project Category (RERA)],tbl_assumptions_market[Concrete Intensity
(m³ / sq m BUA)],"",0)</f>
        <v>0.5</v>
      </c>
      <c r="L963" s="134">
        <f>ROUND(Market_Data[[#This Row],[Estimated Built Up Area (sq m)]]*Market_Data[[#This Row],[Concrete Intensity
(m³ / sq m)]],0)</f>
        <v>9950</v>
      </c>
      <c r="M963" s="135">
        <f>_xlfn.XLOOKUP(Market_Data[[#This Row],[District]],tbl_district_price[District],tbl_district_price[Standard Price
(INR/m³)],"",0)</f>
        <v>6200</v>
      </c>
      <c r="N963" s="364">
        <f>IF(OR(Market_Data[[#This Row],[Estimated Concrete Demand (m³)]]="",Market_Data[[#This Row],[Avg Price per (₹ / m³)]]=""),"",Market_Data[[#This Row],[Estimated Concrete Demand (m³)]]*Market_Data[[#This Row],[Avg Price per (₹ / m³)]]/10000000)</f>
        <v>6.1689999999999996</v>
      </c>
      <c r="O963" s="97" t="str">
        <f>IF(Market_Data[[#This Row],[Estimated Concrete Demand (m³)]]="","",
IF(Market_Data[[#This Row],[Estimated Concrete Demand (m³)]]&lt;10000,"Small",
IF(Market_Data[[#This Row],[Estimated Concrete Demand (m³)]]&lt;25000,"Medium",
IF(Market_Data[[#This Row],[Estimated Concrete Demand (m³)]]&lt;100000,"Large","Mega"))))</f>
        <v>Small</v>
      </c>
      <c r="P963" s="287" t="str">
        <f t="shared" si="16"/>
        <v>GujRERA</v>
      </c>
    </row>
    <row r="964" spans="1:16">
      <c r="A964" s="129" t="str">
        <f>_xlfn.XLOOKUP(B964,$S$9:$S$14,$T$9:$T$14)&amp;"-"&amp;
IF(E964="Residential/Group Housing","RES",
IF(E964="Commercial","COM",
IF(E964="Mixed Development","MIX",
IF(E964="Plotted Development","PLT","OTH"))))
&amp;"-"&amp;TEXT(COUNTIFS($B$9:B964,B964,$E$9:E964,E964),"0000")</f>
        <v>SUR-MIX-0120</v>
      </c>
      <c r="B964" s="322" t="s">
        <v>34</v>
      </c>
      <c r="C964" s="322" t="s">
        <v>34</v>
      </c>
      <c r="D964" s="323" t="s">
        <v>1154</v>
      </c>
      <c r="E964" s="132" t="s">
        <v>25</v>
      </c>
      <c r="F964" s="97" t="str">
        <f ca="1">IF(OR(Market_Data[[#This Row],[Start Date]]="",Market_Data[[#This Row],[Completion Date]]=""),"Needs Validation",IF(Market_Data[[#This Row],[Start Date]]&gt;TODAY(),"Planned",IF(Market_Data[[#This Row],[Completion Date]]&lt;TODAY(),"Completed","Ongoing")))</f>
        <v>Completed</v>
      </c>
      <c r="G964" s="324">
        <v>42877</v>
      </c>
      <c r="H964" s="324">
        <v>44560</v>
      </c>
      <c r="I964" s="325">
        <v>58400</v>
      </c>
      <c r="J96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64" s="133">
        <f>_xlfn.XLOOKUP(Market_Data[[#This Row],[Project Type]],tbl_assumptions_market[Project Category (RERA)],tbl_assumptions_market[Concrete Intensity
(m³ / sq m BUA)],"",0)</f>
        <v>0.42</v>
      </c>
      <c r="L964" s="134">
        <f>ROUND(Market_Data[[#This Row],[Estimated Built Up Area (sq m)]]*Market_Data[[#This Row],[Concrete Intensity
(m³ / sq m)]],0)</f>
        <v>24528</v>
      </c>
      <c r="M964" s="135">
        <f>_xlfn.XLOOKUP(Market_Data[[#This Row],[District]],tbl_district_price[District],tbl_district_price[Standard Price
(INR/m³)],"",0)</f>
        <v>6200</v>
      </c>
      <c r="N964" s="364">
        <f>IF(OR(Market_Data[[#This Row],[Estimated Concrete Demand (m³)]]="",Market_Data[[#This Row],[Avg Price per (₹ / m³)]]=""),"",Market_Data[[#This Row],[Estimated Concrete Demand (m³)]]*Market_Data[[#This Row],[Avg Price per (₹ / m³)]]/10000000)</f>
        <v>15.20736</v>
      </c>
      <c r="O964" s="97" t="str">
        <f>IF(Market_Data[[#This Row],[Estimated Concrete Demand (m³)]]="","",
IF(Market_Data[[#This Row],[Estimated Concrete Demand (m³)]]&lt;10000,"Small",
IF(Market_Data[[#This Row],[Estimated Concrete Demand (m³)]]&lt;25000,"Medium",
IF(Market_Data[[#This Row],[Estimated Concrete Demand (m³)]]&lt;100000,"Large","Mega"))))</f>
        <v>Medium</v>
      </c>
      <c r="P964" s="287" t="str">
        <f t="shared" si="16"/>
        <v>GujRERA</v>
      </c>
    </row>
    <row r="965" spans="1:16">
      <c r="A965" s="129" t="str">
        <f>_xlfn.XLOOKUP(B965,$S$9:$S$14,$T$9:$T$14)&amp;"-"&amp;
IF(E965="Residential/Group Housing","RES",
IF(E965="Commercial","COM",
IF(E965="Mixed Development","MIX",
IF(E965="Plotted Development","PLT","OTH"))))
&amp;"-"&amp;TEXT(COUNTIFS($B$9:B965,B965,$E$9:E965,E965),"0000")</f>
        <v>SUR-MIX-0121</v>
      </c>
      <c r="B965" s="322" t="s">
        <v>34</v>
      </c>
      <c r="C965" s="322" t="s">
        <v>34</v>
      </c>
      <c r="D965" s="323" t="s">
        <v>1155</v>
      </c>
      <c r="E965" s="132" t="s">
        <v>25</v>
      </c>
      <c r="F965" s="97" t="str">
        <f ca="1">IF(OR(Market_Data[[#This Row],[Start Date]]="",Market_Data[[#This Row],[Completion Date]]=""),"Needs Validation",IF(Market_Data[[#This Row],[Start Date]]&gt;TODAY(),"Planned",IF(Market_Data[[#This Row],[Completion Date]]&lt;TODAY(),"Completed","Ongoing")))</f>
        <v>Ongoing</v>
      </c>
      <c r="G965" s="324">
        <v>46017</v>
      </c>
      <c r="H965" s="324">
        <v>47483</v>
      </c>
      <c r="I965" s="325">
        <v>47700</v>
      </c>
      <c r="J96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65" s="133">
        <f>_xlfn.XLOOKUP(Market_Data[[#This Row],[Project Type]],tbl_assumptions_market[Project Category (RERA)],tbl_assumptions_market[Concrete Intensity
(m³ / sq m BUA)],"",0)</f>
        <v>0.42</v>
      </c>
      <c r="L965" s="134">
        <f>ROUND(Market_Data[[#This Row],[Estimated Built Up Area (sq m)]]*Market_Data[[#This Row],[Concrete Intensity
(m³ / sq m)]],0)</f>
        <v>20034</v>
      </c>
      <c r="M965" s="135">
        <f>_xlfn.XLOOKUP(Market_Data[[#This Row],[District]],tbl_district_price[District],tbl_district_price[Standard Price
(INR/m³)],"",0)</f>
        <v>6200</v>
      </c>
      <c r="N965" s="364">
        <f>IF(OR(Market_Data[[#This Row],[Estimated Concrete Demand (m³)]]="",Market_Data[[#This Row],[Avg Price per (₹ / m³)]]=""),"",Market_Data[[#This Row],[Estimated Concrete Demand (m³)]]*Market_Data[[#This Row],[Avg Price per (₹ / m³)]]/10000000)</f>
        <v>12.42108</v>
      </c>
      <c r="O965" s="97" t="str">
        <f>IF(Market_Data[[#This Row],[Estimated Concrete Demand (m³)]]="","",
IF(Market_Data[[#This Row],[Estimated Concrete Demand (m³)]]&lt;10000,"Small",
IF(Market_Data[[#This Row],[Estimated Concrete Demand (m³)]]&lt;25000,"Medium",
IF(Market_Data[[#This Row],[Estimated Concrete Demand (m³)]]&lt;100000,"Large","Mega"))))</f>
        <v>Medium</v>
      </c>
      <c r="P965" s="287" t="str">
        <f t="shared" si="16"/>
        <v>GujRERA</v>
      </c>
    </row>
    <row r="966" spans="1:16">
      <c r="A966" s="129" t="str">
        <f>_xlfn.XLOOKUP(B966,$S$9:$S$14,$T$9:$T$14)&amp;"-"&amp;
IF(E966="Residential/Group Housing","RES",
IF(E966="Commercial","COM",
IF(E966="Mixed Development","MIX",
IF(E966="Plotted Development","PLT","OTH"))))
&amp;"-"&amp;TEXT(COUNTIFS($B$9:B966,B966,$E$9:E966,E966),"0000")</f>
        <v>SUR-COM-0123</v>
      </c>
      <c r="B966" s="322" t="s">
        <v>34</v>
      </c>
      <c r="C966" s="322" t="s">
        <v>34</v>
      </c>
      <c r="D966" s="323" t="s">
        <v>1156</v>
      </c>
      <c r="E966" s="132" t="s">
        <v>23</v>
      </c>
      <c r="F966" s="97" t="str">
        <f ca="1">IF(OR(Market_Data[[#This Row],[Start Date]]="",Market_Data[[#This Row],[Completion Date]]=""),"Needs Validation",IF(Market_Data[[#This Row],[Start Date]]&gt;TODAY(),"Planned",IF(Market_Data[[#This Row],[Completion Date]]&lt;TODAY(),"Completed","Ongoing")))</f>
        <v>Completed</v>
      </c>
      <c r="G966" s="324">
        <v>42727</v>
      </c>
      <c r="H966" s="324">
        <v>44316</v>
      </c>
      <c r="I966" s="325">
        <v>18200</v>
      </c>
      <c r="J96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66" s="133">
        <f>_xlfn.XLOOKUP(Market_Data[[#This Row],[Project Type]],tbl_assumptions_market[Project Category (RERA)],tbl_assumptions_market[Concrete Intensity
(m³ / sq m BUA)],"",0)</f>
        <v>0.5</v>
      </c>
      <c r="L966" s="134">
        <f>ROUND(Market_Data[[#This Row],[Estimated Built Up Area (sq m)]]*Market_Data[[#This Row],[Concrete Intensity
(m³ / sq m)]],0)</f>
        <v>9100</v>
      </c>
      <c r="M966" s="135">
        <f>_xlfn.XLOOKUP(Market_Data[[#This Row],[District]],tbl_district_price[District],tbl_district_price[Standard Price
(INR/m³)],"",0)</f>
        <v>6200</v>
      </c>
      <c r="N966" s="364">
        <f>IF(OR(Market_Data[[#This Row],[Estimated Concrete Demand (m³)]]="",Market_Data[[#This Row],[Avg Price per (₹ / m³)]]=""),"",Market_Data[[#This Row],[Estimated Concrete Demand (m³)]]*Market_Data[[#This Row],[Avg Price per (₹ / m³)]]/10000000)</f>
        <v>5.6420000000000003</v>
      </c>
      <c r="O966" s="97" t="str">
        <f>IF(Market_Data[[#This Row],[Estimated Concrete Demand (m³)]]="","",
IF(Market_Data[[#This Row],[Estimated Concrete Demand (m³)]]&lt;10000,"Small",
IF(Market_Data[[#This Row],[Estimated Concrete Demand (m³)]]&lt;25000,"Medium",
IF(Market_Data[[#This Row],[Estimated Concrete Demand (m³)]]&lt;100000,"Large","Mega"))))</f>
        <v>Small</v>
      </c>
      <c r="P966" s="287" t="str">
        <f t="shared" si="16"/>
        <v>GujRERA</v>
      </c>
    </row>
    <row r="967" spans="1:16">
      <c r="A967" s="129" t="str">
        <f>_xlfn.XLOOKUP(B967,$S$9:$S$14,$T$9:$T$14)&amp;"-"&amp;
IF(E967="Residential/Group Housing","RES",
IF(E967="Commercial","COM",
IF(E967="Mixed Development","MIX",
IF(E967="Plotted Development","PLT","OTH"))))
&amp;"-"&amp;TEXT(COUNTIFS($B$9:B967,B967,$E$9:E967,E967),"0000")</f>
        <v>SUR-COM-0124</v>
      </c>
      <c r="B967" s="322" t="s">
        <v>34</v>
      </c>
      <c r="C967" s="322" t="s">
        <v>34</v>
      </c>
      <c r="D967" s="323" t="s">
        <v>1157</v>
      </c>
      <c r="E967" s="132" t="s">
        <v>23</v>
      </c>
      <c r="F967" s="97" t="str">
        <f ca="1">IF(OR(Market_Data[[#This Row],[Start Date]]="",Market_Data[[#This Row],[Completion Date]]=""),"Needs Validation",IF(Market_Data[[#This Row],[Start Date]]&gt;TODAY(),"Planned",IF(Market_Data[[#This Row],[Completion Date]]&lt;TODAY(),"Completed","Ongoing")))</f>
        <v>Completed</v>
      </c>
      <c r="G967" s="324">
        <v>43410</v>
      </c>
      <c r="H967" s="324">
        <v>45565</v>
      </c>
      <c r="I967" s="325">
        <v>13200</v>
      </c>
      <c r="J96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67" s="133">
        <f>_xlfn.XLOOKUP(Market_Data[[#This Row],[Project Type]],tbl_assumptions_market[Project Category (RERA)],tbl_assumptions_market[Concrete Intensity
(m³ / sq m BUA)],"",0)</f>
        <v>0.5</v>
      </c>
      <c r="L967" s="134">
        <f>ROUND(Market_Data[[#This Row],[Estimated Built Up Area (sq m)]]*Market_Data[[#This Row],[Concrete Intensity
(m³ / sq m)]],0)</f>
        <v>6600</v>
      </c>
      <c r="M967" s="135">
        <f>_xlfn.XLOOKUP(Market_Data[[#This Row],[District]],tbl_district_price[District],tbl_district_price[Standard Price
(INR/m³)],"",0)</f>
        <v>6200</v>
      </c>
      <c r="N967" s="364">
        <f>IF(OR(Market_Data[[#This Row],[Estimated Concrete Demand (m³)]]="",Market_Data[[#This Row],[Avg Price per (₹ / m³)]]=""),"",Market_Data[[#This Row],[Estimated Concrete Demand (m³)]]*Market_Data[[#This Row],[Avg Price per (₹ / m³)]]/10000000)</f>
        <v>4.0919999999999996</v>
      </c>
      <c r="O967" s="97" t="str">
        <f>IF(Market_Data[[#This Row],[Estimated Concrete Demand (m³)]]="","",
IF(Market_Data[[#This Row],[Estimated Concrete Demand (m³)]]&lt;10000,"Small",
IF(Market_Data[[#This Row],[Estimated Concrete Demand (m³)]]&lt;25000,"Medium",
IF(Market_Data[[#This Row],[Estimated Concrete Demand (m³)]]&lt;100000,"Large","Mega"))))</f>
        <v>Small</v>
      </c>
      <c r="P967" s="287" t="str">
        <f t="shared" si="16"/>
        <v>GujRERA</v>
      </c>
    </row>
    <row r="968" spans="1:16">
      <c r="A968" s="129" t="str">
        <f>_xlfn.XLOOKUP(B968,$S$9:$S$14,$T$9:$T$14)&amp;"-"&amp;
IF(E968="Residential/Group Housing","RES",
IF(E968="Commercial","COM",
IF(E968="Mixed Development","MIX",
IF(E968="Plotted Development","PLT","OTH"))))
&amp;"-"&amp;TEXT(COUNTIFS($B$9:B968,B968,$E$9:E968,E968),"0000")</f>
        <v>SUR-COM-0125</v>
      </c>
      <c r="B968" s="322" t="s">
        <v>34</v>
      </c>
      <c r="C968" s="322" t="s">
        <v>34</v>
      </c>
      <c r="D968" s="323" t="s">
        <v>1158</v>
      </c>
      <c r="E968" s="132" t="s">
        <v>23</v>
      </c>
      <c r="F968" s="97" t="str">
        <f ca="1">IF(OR(Market_Data[[#This Row],[Start Date]]="",Market_Data[[#This Row],[Completion Date]]=""),"Needs Validation",IF(Market_Data[[#This Row],[Start Date]]&gt;TODAY(),"Planned",IF(Market_Data[[#This Row],[Completion Date]]&lt;TODAY(),"Completed","Ongoing")))</f>
        <v>Completed</v>
      </c>
      <c r="G968" s="324">
        <v>43327</v>
      </c>
      <c r="H968" s="324">
        <v>45337</v>
      </c>
      <c r="I968" s="325">
        <v>29300</v>
      </c>
      <c r="J96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968" s="133">
        <f>_xlfn.XLOOKUP(Market_Data[[#This Row],[Project Type]],tbl_assumptions_market[Project Category (RERA)],tbl_assumptions_market[Concrete Intensity
(m³ / sq m BUA)],"",0)</f>
        <v>0.5</v>
      </c>
      <c r="L968" s="134">
        <f>ROUND(Market_Data[[#This Row],[Estimated Built Up Area (sq m)]]*Market_Data[[#This Row],[Concrete Intensity
(m³ / sq m)]],0)</f>
        <v>14650</v>
      </c>
      <c r="M968" s="135">
        <f>_xlfn.XLOOKUP(Market_Data[[#This Row],[District]],tbl_district_price[District],tbl_district_price[Standard Price
(INR/m³)],"",0)</f>
        <v>6200</v>
      </c>
      <c r="N968" s="364">
        <f>IF(OR(Market_Data[[#This Row],[Estimated Concrete Demand (m³)]]="",Market_Data[[#This Row],[Avg Price per (₹ / m³)]]=""),"",Market_Data[[#This Row],[Estimated Concrete Demand (m³)]]*Market_Data[[#This Row],[Avg Price per (₹ / m³)]]/10000000)</f>
        <v>9.0830000000000002</v>
      </c>
      <c r="O968" s="97" t="str">
        <f>IF(Market_Data[[#This Row],[Estimated Concrete Demand (m³)]]="","",
IF(Market_Data[[#This Row],[Estimated Concrete Demand (m³)]]&lt;10000,"Small",
IF(Market_Data[[#This Row],[Estimated Concrete Demand (m³)]]&lt;25000,"Medium",
IF(Market_Data[[#This Row],[Estimated Concrete Demand (m³)]]&lt;100000,"Large","Mega"))))</f>
        <v>Medium</v>
      </c>
      <c r="P968" s="287" t="str">
        <f t="shared" si="16"/>
        <v>GujRERA</v>
      </c>
    </row>
    <row r="969" spans="1:16">
      <c r="A969" s="129" t="str">
        <f>_xlfn.XLOOKUP(B969,$S$9:$S$14,$T$9:$T$14)&amp;"-"&amp;
IF(E969="Residential/Group Housing","RES",
IF(E969="Commercial","COM",
IF(E969="Mixed Development","MIX",
IF(E969="Plotted Development","PLT","OTH"))))
&amp;"-"&amp;TEXT(COUNTIFS($B$9:B969,B969,$E$9:E969,E969),"0000")</f>
        <v>SUR-PLT-0160</v>
      </c>
      <c r="B969" s="322" t="s">
        <v>34</v>
      </c>
      <c r="C969" s="322" t="s">
        <v>34</v>
      </c>
      <c r="D969" s="323" t="s">
        <v>1159</v>
      </c>
      <c r="E969" s="132" t="s">
        <v>26</v>
      </c>
      <c r="F969" s="97" t="str">
        <f ca="1">IF(OR(Market_Data[[#This Row],[Start Date]]="",Market_Data[[#This Row],[Completion Date]]=""),"Needs Validation",IF(Market_Data[[#This Row],[Start Date]]&gt;TODAY(),"Planned",IF(Market_Data[[#This Row],[Completion Date]]&lt;TODAY(),"Completed","Ongoing")))</f>
        <v>Ongoing</v>
      </c>
      <c r="G969" s="324">
        <v>45436</v>
      </c>
      <c r="H969" s="324">
        <v>46477</v>
      </c>
      <c r="I969" s="325">
        <v>19000</v>
      </c>
      <c r="J96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69" s="133">
        <f>_xlfn.XLOOKUP(Market_Data[[#This Row],[Project Type]],tbl_assumptions_market[Project Category (RERA)],tbl_assumptions_market[Concrete Intensity
(m³ / sq m BUA)],"",0)</f>
        <v>0.18</v>
      </c>
      <c r="L969" s="134">
        <f>ROUND(Market_Data[[#This Row],[Estimated Built Up Area (sq m)]]*Market_Data[[#This Row],[Concrete Intensity
(m³ / sq m)]],0)</f>
        <v>3420</v>
      </c>
      <c r="M969" s="135">
        <f>_xlfn.XLOOKUP(Market_Data[[#This Row],[District]],tbl_district_price[District],tbl_district_price[Standard Price
(INR/m³)],"",0)</f>
        <v>6200</v>
      </c>
      <c r="N969" s="364">
        <f>IF(OR(Market_Data[[#This Row],[Estimated Concrete Demand (m³)]]="",Market_Data[[#This Row],[Avg Price per (₹ / m³)]]=""),"",Market_Data[[#This Row],[Estimated Concrete Demand (m³)]]*Market_Data[[#This Row],[Avg Price per (₹ / m³)]]/10000000)</f>
        <v>2.1204000000000001</v>
      </c>
      <c r="O969" s="97" t="str">
        <f>IF(Market_Data[[#This Row],[Estimated Concrete Demand (m³)]]="","",
IF(Market_Data[[#This Row],[Estimated Concrete Demand (m³)]]&lt;10000,"Small",
IF(Market_Data[[#This Row],[Estimated Concrete Demand (m³)]]&lt;25000,"Medium",
IF(Market_Data[[#This Row],[Estimated Concrete Demand (m³)]]&lt;100000,"Large","Mega"))))</f>
        <v>Small</v>
      </c>
      <c r="P969" s="287" t="str">
        <f t="shared" si="16"/>
        <v>GujRERA</v>
      </c>
    </row>
    <row r="970" spans="1:16">
      <c r="A970" s="129" t="str">
        <f>_xlfn.XLOOKUP(B970,$S$9:$S$14,$T$9:$T$14)&amp;"-"&amp;
IF(E970="Residential/Group Housing","RES",
IF(E970="Commercial","COM",
IF(E970="Mixed Development","MIX",
IF(E970="Plotted Development","PLT","OTH"))))
&amp;"-"&amp;TEXT(COUNTIFS($B$9:B970,B970,$E$9:E970,E970),"0000")</f>
        <v>SUR-PLT-0161</v>
      </c>
      <c r="B970" s="322" t="s">
        <v>34</v>
      </c>
      <c r="C970" s="322" t="s">
        <v>34</v>
      </c>
      <c r="D970" s="323" t="s">
        <v>1160</v>
      </c>
      <c r="E970" s="132" t="s">
        <v>26</v>
      </c>
      <c r="F970" s="97" t="str">
        <f ca="1">IF(OR(Market_Data[[#This Row],[Start Date]]="",Market_Data[[#This Row],[Completion Date]]=""),"Needs Validation",IF(Market_Data[[#This Row],[Start Date]]&gt;TODAY(),"Planned",IF(Market_Data[[#This Row],[Completion Date]]&lt;TODAY(),"Completed","Ongoing")))</f>
        <v>Ongoing</v>
      </c>
      <c r="G970" s="324">
        <v>45778</v>
      </c>
      <c r="H970" s="324">
        <v>46477</v>
      </c>
      <c r="I970" s="325">
        <v>146800</v>
      </c>
      <c r="J97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970" s="133">
        <f>_xlfn.XLOOKUP(Market_Data[[#This Row],[Project Type]],tbl_assumptions_market[Project Category (RERA)],tbl_assumptions_market[Concrete Intensity
(m³ / sq m BUA)],"",0)</f>
        <v>0.18</v>
      </c>
      <c r="L970" s="134">
        <f>ROUND(Market_Data[[#This Row],[Estimated Built Up Area (sq m)]]*Market_Data[[#This Row],[Concrete Intensity
(m³ / sq m)]],0)</f>
        <v>26424</v>
      </c>
      <c r="M970" s="135">
        <f>_xlfn.XLOOKUP(Market_Data[[#This Row],[District]],tbl_district_price[District],tbl_district_price[Standard Price
(INR/m³)],"",0)</f>
        <v>6200</v>
      </c>
      <c r="N970" s="364">
        <f>IF(OR(Market_Data[[#This Row],[Estimated Concrete Demand (m³)]]="",Market_Data[[#This Row],[Avg Price per (₹ / m³)]]=""),"",Market_Data[[#This Row],[Estimated Concrete Demand (m³)]]*Market_Data[[#This Row],[Avg Price per (₹ / m³)]]/10000000)</f>
        <v>16.38288</v>
      </c>
      <c r="O970" s="97" t="str">
        <f>IF(Market_Data[[#This Row],[Estimated Concrete Demand (m³)]]="","",
IF(Market_Data[[#This Row],[Estimated Concrete Demand (m³)]]&lt;10000,"Small",
IF(Market_Data[[#This Row],[Estimated Concrete Demand (m³)]]&lt;25000,"Medium",
IF(Market_Data[[#This Row],[Estimated Concrete Demand (m³)]]&lt;100000,"Large","Mega"))))</f>
        <v>Large</v>
      </c>
      <c r="P970" s="287" t="str">
        <f t="shared" ref="P970:P1033" si="17">HYPERLINK(
"https://gujrera.gujarat.gov.in",
"GujRERA")</f>
        <v>GujRERA</v>
      </c>
    </row>
    <row r="971" spans="1:16">
      <c r="A971" s="129" t="str">
        <f>_xlfn.XLOOKUP(B971,$S$9:$S$14,$T$9:$T$14)&amp;"-"&amp;
IF(E971="Residential/Group Housing","RES",
IF(E971="Commercial","COM",
IF(E971="Mixed Development","MIX",
IF(E971="Plotted Development","PLT","OTH"))))
&amp;"-"&amp;TEXT(COUNTIFS($B$9:B971,B971,$E$9:E971,E971),"0000")</f>
        <v>SUR-RES-0246</v>
      </c>
      <c r="B971" s="322" t="s">
        <v>34</v>
      </c>
      <c r="C971" s="322" t="s">
        <v>34</v>
      </c>
      <c r="D971" s="323" t="s">
        <v>1161</v>
      </c>
      <c r="E971" s="132" t="s">
        <v>24</v>
      </c>
      <c r="F971" s="97" t="str">
        <f ca="1">IF(OR(Market_Data[[#This Row],[Start Date]]="",Market_Data[[#This Row],[Completion Date]]=""),"Needs Validation",IF(Market_Data[[#This Row],[Start Date]]&gt;TODAY(),"Planned",IF(Market_Data[[#This Row],[Completion Date]]&lt;TODAY(),"Completed","Ongoing")))</f>
        <v>Completed</v>
      </c>
      <c r="G971" s="324">
        <v>41548</v>
      </c>
      <c r="H971" s="324">
        <v>43555</v>
      </c>
      <c r="I971" s="325">
        <v>38100</v>
      </c>
      <c r="J97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71" s="133">
        <f>_xlfn.XLOOKUP(Market_Data[[#This Row],[Project Type]],tbl_assumptions_market[Project Category (RERA)],tbl_assumptions_market[Concrete Intensity
(m³ / sq m BUA)],"",0)</f>
        <v>0.45</v>
      </c>
      <c r="L971" s="134">
        <f>ROUND(Market_Data[[#This Row],[Estimated Built Up Area (sq m)]]*Market_Data[[#This Row],[Concrete Intensity
(m³ / sq m)]],0)</f>
        <v>17145</v>
      </c>
      <c r="M971" s="135">
        <f>_xlfn.XLOOKUP(Market_Data[[#This Row],[District]],tbl_district_price[District],tbl_district_price[Standard Price
(INR/m³)],"",0)</f>
        <v>6200</v>
      </c>
      <c r="N971" s="364">
        <f>IF(OR(Market_Data[[#This Row],[Estimated Concrete Demand (m³)]]="",Market_Data[[#This Row],[Avg Price per (₹ / m³)]]=""),"",Market_Data[[#This Row],[Estimated Concrete Demand (m³)]]*Market_Data[[#This Row],[Avg Price per (₹ / m³)]]/10000000)</f>
        <v>10.629899999999999</v>
      </c>
      <c r="O971" s="97" t="str">
        <f>IF(Market_Data[[#This Row],[Estimated Concrete Demand (m³)]]="","",
IF(Market_Data[[#This Row],[Estimated Concrete Demand (m³)]]&lt;10000,"Small",
IF(Market_Data[[#This Row],[Estimated Concrete Demand (m³)]]&lt;25000,"Medium",
IF(Market_Data[[#This Row],[Estimated Concrete Demand (m³)]]&lt;100000,"Large","Mega"))))</f>
        <v>Medium</v>
      </c>
      <c r="P971" s="287" t="str">
        <f t="shared" si="17"/>
        <v>GujRERA</v>
      </c>
    </row>
    <row r="972" spans="1:16">
      <c r="A972" s="129" t="str">
        <f>_xlfn.XLOOKUP(B972,$S$9:$S$14,$T$9:$T$14)&amp;"-"&amp;
IF(E972="Residential/Group Housing","RES",
IF(E972="Commercial","COM",
IF(E972="Mixed Development","MIX",
IF(E972="Plotted Development","PLT","OTH"))))
&amp;"-"&amp;TEXT(COUNTIFS($B$9:B972,B972,$E$9:E972,E972),"0000")</f>
        <v>SUR-MIX-0122</v>
      </c>
      <c r="B972" s="322" t="s">
        <v>34</v>
      </c>
      <c r="C972" s="322" t="s">
        <v>34</v>
      </c>
      <c r="D972" s="323" t="s">
        <v>1162</v>
      </c>
      <c r="E972" s="132" t="s">
        <v>25</v>
      </c>
      <c r="F972" s="97" t="str">
        <f ca="1">IF(OR(Market_Data[[#This Row],[Start Date]]="",Market_Data[[#This Row],[Completion Date]]=""),"Needs Validation",IF(Market_Data[[#This Row],[Start Date]]&gt;TODAY(),"Planned",IF(Market_Data[[#This Row],[Completion Date]]&lt;TODAY(),"Completed","Ongoing")))</f>
        <v>Completed</v>
      </c>
      <c r="G972" s="324">
        <v>42425</v>
      </c>
      <c r="H972" s="324">
        <v>43555</v>
      </c>
      <c r="I972" s="325">
        <v>53700</v>
      </c>
      <c r="J97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72" s="133">
        <f>_xlfn.XLOOKUP(Market_Data[[#This Row],[Project Type]],tbl_assumptions_market[Project Category (RERA)],tbl_assumptions_market[Concrete Intensity
(m³ / sq m BUA)],"",0)</f>
        <v>0.42</v>
      </c>
      <c r="L972" s="134">
        <f>ROUND(Market_Data[[#This Row],[Estimated Built Up Area (sq m)]]*Market_Data[[#This Row],[Concrete Intensity
(m³ / sq m)]],0)</f>
        <v>22554</v>
      </c>
      <c r="M972" s="135">
        <f>_xlfn.XLOOKUP(Market_Data[[#This Row],[District]],tbl_district_price[District],tbl_district_price[Standard Price
(INR/m³)],"",0)</f>
        <v>6200</v>
      </c>
      <c r="N972" s="364">
        <f>IF(OR(Market_Data[[#This Row],[Estimated Concrete Demand (m³)]]="",Market_Data[[#This Row],[Avg Price per (₹ / m³)]]=""),"",Market_Data[[#This Row],[Estimated Concrete Demand (m³)]]*Market_Data[[#This Row],[Avg Price per (₹ / m³)]]/10000000)</f>
        <v>13.98348</v>
      </c>
      <c r="O972" s="97" t="str">
        <f>IF(Market_Data[[#This Row],[Estimated Concrete Demand (m³)]]="","",
IF(Market_Data[[#This Row],[Estimated Concrete Demand (m³)]]&lt;10000,"Small",
IF(Market_Data[[#This Row],[Estimated Concrete Demand (m³)]]&lt;25000,"Medium",
IF(Market_Data[[#This Row],[Estimated Concrete Demand (m³)]]&lt;100000,"Large","Mega"))))</f>
        <v>Medium</v>
      </c>
      <c r="P972" s="287" t="str">
        <f t="shared" si="17"/>
        <v>GujRERA</v>
      </c>
    </row>
    <row r="973" spans="1:16">
      <c r="A973" s="129" t="str">
        <f>_xlfn.XLOOKUP(B973,$S$9:$S$14,$T$9:$T$14)&amp;"-"&amp;
IF(E973="Residential/Group Housing","RES",
IF(E973="Commercial","COM",
IF(E973="Mixed Development","MIX",
IF(E973="Plotted Development","PLT","OTH"))))
&amp;"-"&amp;TEXT(COUNTIFS($B$9:B973,B973,$E$9:E973,E973),"0000")</f>
        <v>SUR-COM-0126</v>
      </c>
      <c r="B973" s="322" t="s">
        <v>34</v>
      </c>
      <c r="C973" s="322" t="s">
        <v>34</v>
      </c>
      <c r="D973" s="323" t="s">
        <v>1163</v>
      </c>
      <c r="E973" s="132" t="s">
        <v>23</v>
      </c>
      <c r="F973" s="97" t="str">
        <f ca="1">IF(OR(Market_Data[[#This Row],[Start Date]]="",Market_Data[[#This Row],[Completion Date]]=""),"Needs Validation",IF(Market_Data[[#This Row],[Start Date]]&gt;TODAY(),"Planned",IF(Market_Data[[#This Row],[Completion Date]]&lt;TODAY(),"Completed","Ongoing")))</f>
        <v>Completed</v>
      </c>
      <c r="G973" s="324">
        <v>43466</v>
      </c>
      <c r="H973" s="324">
        <v>45122</v>
      </c>
      <c r="I973" s="325">
        <v>24100</v>
      </c>
      <c r="J97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973" s="133">
        <f>_xlfn.XLOOKUP(Market_Data[[#This Row],[Project Type]],tbl_assumptions_market[Project Category (RERA)],tbl_assumptions_market[Concrete Intensity
(m³ / sq m BUA)],"",0)</f>
        <v>0.5</v>
      </c>
      <c r="L973" s="134">
        <f>ROUND(Market_Data[[#This Row],[Estimated Built Up Area (sq m)]]*Market_Data[[#This Row],[Concrete Intensity
(m³ / sq m)]],0)</f>
        <v>12050</v>
      </c>
      <c r="M973" s="135">
        <f>_xlfn.XLOOKUP(Market_Data[[#This Row],[District]],tbl_district_price[District],tbl_district_price[Standard Price
(INR/m³)],"",0)</f>
        <v>6200</v>
      </c>
      <c r="N973" s="364">
        <f>IF(OR(Market_Data[[#This Row],[Estimated Concrete Demand (m³)]]="",Market_Data[[#This Row],[Avg Price per (₹ / m³)]]=""),"",Market_Data[[#This Row],[Estimated Concrete Demand (m³)]]*Market_Data[[#This Row],[Avg Price per (₹ / m³)]]/10000000)</f>
        <v>7.4710000000000001</v>
      </c>
      <c r="O973" s="97" t="str">
        <f>IF(Market_Data[[#This Row],[Estimated Concrete Demand (m³)]]="","",
IF(Market_Data[[#This Row],[Estimated Concrete Demand (m³)]]&lt;10000,"Small",
IF(Market_Data[[#This Row],[Estimated Concrete Demand (m³)]]&lt;25000,"Medium",
IF(Market_Data[[#This Row],[Estimated Concrete Demand (m³)]]&lt;100000,"Large","Mega"))))</f>
        <v>Medium</v>
      </c>
      <c r="P973" s="287" t="str">
        <f t="shared" si="17"/>
        <v>GujRERA</v>
      </c>
    </row>
    <row r="974" spans="1:16">
      <c r="A974" s="129" t="str">
        <f>_xlfn.XLOOKUP(B974,$S$9:$S$14,$T$9:$T$14)&amp;"-"&amp;
IF(E974="Residential/Group Housing","RES",
IF(E974="Commercial","COM",
IF(E974="Mixed Development","MIX",
IF(E974="Plotted Development","PLT","OTH"))))
&amp;"-"&amp;TEXT(COUNTIFS($B$9:B974,B974,$E$9:E974,E974),"0000")</f>
        <v>SUR-RES-0247</v>
      </c>
      <c r="B974" s="322" t="s">
        <v>34</v>
      </c>
      <c r="C974" s="322" t="s">
        <v>34</v>
      </c>
      <c r="D974" s="323" t="s">
        <v>1164</v>
      </c>
      <c r="E974" s="132" t="s">
        <v>24</v>
      </c>
      <c r="F974" s="97" t="str">
        <f ca="1">IF(OR(Market_Data[[#This Row],[Start Date]]="",Market_Data[[#This Row],[Completion Date]]=""),"Needs Validation",IF(Market_Data[[#This Row],[Start Date]]&gt;TODAY(),"Planned",IF(Market_Data[[#This Row],[Completion Date]]&lt;TODAY(),"Completed","Ongoing")))</f>
        <v>Ongoing</v>
      </c>
      <c r="G974" s="324">
        <v>45627</v>
      </c>
      <c r="H974" s="324">
        <v>46752</v>
      </c>
      <c r="I974" s="325">
        <v>27000</v>
      </c>
      <c r="J97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74" s="133">
        <f>_xlfn.XLOOKUP(Market_Data[[#This Row],[Project Type]],tbl_assumptions_market[Project Category (RERA)],tbl_assumptions_market[Concrete Intensity
(m³ / sq m BUA)],"",0)</f>
        <v>0.45</v>
      </c>
      <c r="L974" s="134">
        <f>ROUND(Market_Data[[#This Row],[Estimated Built Up Area (sq m)]]*Market_Data[[#This Row],[Concrete Intensity
(m³ / sq m)]],0)</f>
        <v>12150</v>
      </c>
      <c r="M974" s="135">
        <f>_xlfn.XLOOKUP(Market_Data[[#This Row],[District]],tbl_district_price[District],tbl_district_price[Standard Price
(INR/m³)],"",0)</f>
        <v>6200</v>
      </c>
      <c r="N974" s="364">
        <f>IF(OR(Market_Data[[#This Row],[Estimated Concrete Demand (m³)]]="",Market_Data[[#This Row],[Avg Price per (₹ / m³)]]=""),"",Market_Data[[#This Row],[Estimated Concrete Demand (m³)]]*Market_Data[[#This Row],[Avg Price per (₹ / m³)]]/10000000)</f>
        <v>7.5330000000000004</v>
      </c>
      <c r="O974" s="97" t="str">
        <f>IF(Market_Data[[#This Row],[Estimated Concrete Demand (m³)]]="","",
IF(Market_Data[[#This Row],[Estimated Concrete Demand (m³)]]&lt;10000,"Small",
IF(Market_Data[[#This Row],[Estimated Concrete Demand (m³)]]&lt;25000,"Medium",
IF(Market_Data[[#This Row],[Estimated Concrete Demand (m³)]]&lt;100000,"Large","Mega"))))</f>
        <v>Medium</v>
      </c>
      <c r="P974" s="287" t="str">
        <f t="shared" si="17"/>
        <v>GujRERA</v>
      </c>
    </row>
    <row r="975" spans="1:16">
      <c r="A975" s="129" t="str">
        <f>_xlfn.XLOOKUP(B975,$S$9:$S$14,$T$9:$T$14)&amp;"-"&amp;
IF(E975="Residential/Group Housing","RES",
IF(E975="Commercial","COM",
IF(E975="Mixed Development","MIX",
IF(E975="Plotted Development","PLT","OTH"))))
&amp;"-"&amp;TEXT(COUNTIFS($B$9:B975,B975,$E$9:E975,E975),"0000")</f>
        <v>SUR-MIX-0123</v>
      </c>
      <c r="B975" s="322" t="s">
        <v>34</v>
      </c>
      <c r="C975" s="322" t="s">
        <v>34</v>
      </c>
      <c r="D975" s="323" t="s">
        <v>1165</v>
      </c>
      <c r="E975" s="132" t="s">
        <v>25</v>
      </c>
      <c r="F975" s="97" t="str">
        <f ca="1">IF(OR(Market_Data[[#This Row],[Start Date]]="",Market_Data[[#This Row],[Completion Date]]=""),"Needs Validation",IF(Market_Data[[#This Row],[Start Date]]&gt;TODAY(),"Planned",IF(Market_Data[[#This Row],[Completion Date]]&lt;TODAY(),"Completed","Ongoing")))</f>
        <v>Ongoing</v>
      </c>
      <c r="G975" s="324">
        <v>45275</v>
      </c>
      <c r="H975" s="324">
        <v>47848</v>
      </c>
      <c r="I975" s="325">
        <v>55800</v>
      </c>
      <c r="J97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75" s="133">
        <f>_xlfn.XLOOKUP(Market_Data[[#This Row],[Project Type]],tbl_assumptions_market[Project Category (RERA)],tbl_assumptions_market[Concrete Intensity
(m³ / sq m BUA)],"",0)</f>
        <v>0.42</v>
      </c>
      <c r="L975" s="134">
        <f>ROUND(Market_Data[[#This Row],[Estimated Built Up Area (sq m)]]*Market_Data[[#This Row],[Concrete Intensity
(m³ / sq m)]],0)</f>
        <v>23436</v>
      </c>
      <c r="M975" s="135">
        <f>_xlfn.XLOOKUP(Market_Data[[#This Row],[District]],tbl_district_price[District],tbl_district_price[Standard Price
(INR/m³)],"",0)</f>
        <v>6200</v>
      </c>
      <c r="N975" s="364">
        <f>IF(OR(Market_Data[[#This Row],[Estimated Concrete Demand (m³)]]="",Market_Data[[#This Row],[Avg Price per (₹ / m³)]]=""),"",Market_Data[[#This Row],[Estimated Concrete Demand (m³)]]*Market_Data[[#This Row],[Avg Price per (₹ / m³)]]/10000000)</f>
        <v>14.53032</v>
      </c>
      <c r="O975" s="97" t="str">
        <f>IF(Market_Data[[#This Row],[Estimated Concrete Demand (m³)]]="","",
IF(Market_Data[[#This Row],[Estimated Concrete Demand (m³)]]&lt;10000,"Small",
IF(Market_Data[[#This Row],[Estimated Concrete Demand (m³)]]&lt;25000,"Medium",
IF(Market_Data[[#This Row],[Estimated Concrete Demand (m³)]]&lt;100000,"Large","Mega"))))</f>
        <v>Medium</v>
      </c>
      <c r="P975" s="287" t="str">
        <f t="shared" si="17"/>
        <v>GujRERA</v>
      </c>
    </row>
    <row r="976" spans="1:16">
      <c r="A976" s="129" t="str">
        <f>_xlfn.XLOOKUP(B976,$S$9:$S$14,$T$9:$T$14)&amp;"-"&amp;
IF(E976="Residential/Group Housing","RES",
IF(E976="Commercial","COM",
IF(E976="Mixed Development","MIX",
IF(E976="Plotted Development","PLT","OTH"))))
&amp;"-"&amp;TEXT(COUNTIFS($B$9:B976,B976,$E$9:E976,E976),"0000")</f>
        <v>SUR-RES-0248</v>
      </c>
      <c r="B976" s="322" t="s">
        <v>34</v>
      </c>
      <c r="C976" s="322" t="s">
        <v>34</v>
      </c>
      <c r="D976" s="323" t="s">
        <v>1166</v>
      </c>
      <c r="E976" s="132" t="s">
        <v>24</v>
      </c>
      <c r="F976" s="97" t="str">
        <f ca="1">IF(OR(Market_Data[[#This Row],[Start Date]]="",Market_Data[[#This Row],[Completion Date]]=""),"Needs Validation",IF(Market_Data[[#This Row],[Start Date]]&gt;TODAY(),"Planned",IF(Market_Data[[#This Row],[Completion Date]]&lt;TODAY(),"Completed","Ongoing")))</f>
        <v>Completed</v>
      </c>
      <c r="G976" s="324">
        <v>44595</v>
      </c>
      <c r="H976" s="324">
        <v>46056</v>
      </c>
      <c r="I976" s="325">
        <v>39400</v>
      </c>
      <c r="J97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76" s="133">
        <f>_xlfn.XLOOKUP(Market_Data[[#This Row],[Project Type]],tbl_assumptions_market[Project Category (RERA)],tbl_assumptions_market[Concrete Intensity
(m³ / sq m BUA)],"",0)</f>
        <v>0.45</v>
      </c>
      <c r="L976" s="134">
        <f>ROUND(Market_Data[[#This Row],[Estimated Built Up Area (sq m)]]*Market_Data[[#This Row],[Concrete Intensity
(m³ / sq m)]],0)</f>
        <v>17730</v>
      </c>
      <c r="M976" s="135">
        <f>_xlfn.XLOOKUP(Market_Data[[#This Row],[District]],tbl_district_price[District],tbl_district_price[Standard Price
(INR/m³)],"",0)</f>
        <v>6200</v>
      </c>
      <c r="N976" s="364">
        <f>IF(OR(Market_Data[[#This Row],[Estimated Concrete Demand (m³)]]="",Market_Data[[#This Row],[Avg Price per (₹ / m³)]]=""),"",Market_Data[[#This Row],[Estimated Concrete Demand (m³)]]*Market_Data[[#This Row],[Avg Price per (₹ / m³)]]/10000000)</f>
        <v>10.992599999999999</v>
      </c>
      <c r="O976" s="97" t="str">
        <f>IF(Market_Data[[#This Row],[Estimated Concrete Demand (m³)]]="","",
IF(Market_Data[[#This Row],[Estimated Concrete Demand (m³)]]&lt;10000,"Small",
IF(Market_Data[[#This Row],[Estimated Concrete Demand (m³)]]&lt;25000,"Medium",
IF(Market_Data[[#This Row],[Estimated Concrete Demand (m³)]]&lt;100000,"Large","Mega"))))</f>
        <v>Medium</v>
      </c>
      <c r="P976" s="287" t="str">
        <f t="shared" si="17"/>
        <v>GujRERA</v>
      </c>
    </row>
    <row r="977" spans="1:16">
      <c r="A977" s="129" t="str">
        <f>_xlfn.XLOOKUP(B977,$S$9:$S$14,$T$9:$T$14)&amp;"-"&amp;
IF(E977="Residential/Group Housing","RES",
IF(E977="Commercial","COM",
IF(E977="Mixed Development","MIX",
IF(E977="Plotted Development","PLT","OTH"))))
&amp;"-"&amp;TEXT(COUNTIFS($B$9:B977,B977,$E$9:E977,E977),"0000")</f>
        <v>SUR-PLT-0162</v>
      </c>
      <c r="B977" s="322" t="s">
        <v>34</v>
      </c>
      <c r="C977" s="322" t="s">
        <v>34</v>
      </c>
      <c r="D977" s="323" t="s">
        <v>1167</v>
      </c>
      <c r="E977" s="132" t="s">
        <v>26</v>
      </c>
      <c r="F977" s="97" t="str">
        <f ca="1">IF(OR(Market_Data[[#This Row],[Start Date]]="",Market_Data[[#This Row],[Completion Date]]=""),"Needs Validation",IF(Market_Data[[#This Row],[Start Date]]&gt;TODAY(),"Planned",IF(Market_Data[[#This Row],[Completion Date]]&lt;TODAY(),"Completed","Ongoing")))</f>
        <v>Completed</v>
      </c>
      <c r="G977" s="324">
        <v>45337</v>
      </c>
      <c r="H977" s="324">
        <v>45838</v>
      </c>
      <c r="I977" s="325">
        <v>39000</v>
      </c>
      <c r="J97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977" s="133">
        <f>_xlfn.XLOOKUP(Market_Data[[#This Row],[Project Type]],tbl_assumptions_market[Project Category (RERA)],tbl_assumptions_market[Concrete Intensity
(m³ / sq m BUA)],"",0)</f>
        <v>0.18</v>
      </c>
      <c r="L977" s="134">
        <f>ROUND(Market_Data[[#This Row],[Estimated Built Up Area (sq m)]]*Market_Data[[#This Row],[Concrete Intensity
(m³ / sq m)]],0)</f>
        <v>7020</v>
      </c>
      <c r="M977" s="135">
        <f>_xlfn.XLOOKUP(Market_Data[[#This Row],[District]],tbl_district_price[District],tbl_district_price[Standard Price
(INR/m³)],"",0)</f>
        <v>6200</v>
      </c>
      <c r="N977" s="364">
        <f>IF(OR(Market_Data[[#This Row],[Estimated Concrete Demand (m³)]]="",Market_Data[[#This Row],[Avg Price per (₹ / m³)]]=""),"",Market_Data[[#This Row],[Estimated Concrete Demand (m³)]]*Market_Data[[#This Row],[Avg Price per (₹ / m³)]]/10000000)</f>
        <v>4.3524000000000003</v>
      </c>
      <c r="O977" s="97" t="str">
        <f>IF(Market_Data[[#This Row],[Estimated Concrete Demand (m³)]]="","",
IF(Market_Data[[#This Row],[Estimated Concrete Demand (m³)]]&lt;10000,"Small",
IF(Market_Data[[#This Row],[Estimated Concrete Demand (m³)]]&lt;25000,"Medium",
IF(Market_Data[[#This Row],[Estimated Concrete Demand (m³)]]&lt;100000,"Large","Mega"))))</f>
        <v>Small</v>
      </c>
      <c r="P977" s="287" t="str">
        <f t="shared" si="17"/>
        <v>GujRERA</v>
      </c>
    </row>
    <row r="978" spans="1:16">
      <c r="A978" s="129" t="str">
        <f>_xlfn.XLOOKUP(B978,$S$9:$S$14,$T$9:$T$14)&amp;"-"&amp;
IF(E978="Residential/Group Housing","RES",
IF(E978="Commercial","COM",
IF(E978="Mixed Development","MIX",
IF(E978="Plotted Development","PLT","OTH"))))
&amp;"-"&amp;TEXT(COUNTIFS($B$9:B978,B978,$E$9:E978,E978),"0000")</f>
        <v>SUR-PLT-0163</v>
      </c>
      <c r="B978" s="322" t="s">
        <v>34</v>
      </c>
      <c r="C978" s="322" t="s">
        <v>34</v>
      </c>
      <c r="D978" s="323" t="s">
        <v>1168</v>
      </c>
      <c r="E978" s="132" t="s">
        <v>26</v>
      </c>
      <c r="F978" s="97" t="str">
        <f ca="1">IF(OR(Market_Data[[#This Row],[Start Date]]="",Market_Data[[#This Row],[Completion Date]]=""),"Needs Validation",IF(Market_Data[[#This Row],[Start Date]]&gt;TODAY(),"Planned",IF(Market_Data[[#This Row],[Completion Date]]&lt;TODAY(),"Completed","Ongoing")))</f>
        <v>Completed</v>
      </c>
      <c r="G978" s="324">
        <v>45238</v>
      </c>
      <c r="H978" s="324">
        <v>45838</v>
      </c>
      <c r="I978" s="325">
        <v>90300</v>
      </c>
      <c r="J97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978" s="133">
        <f>_xlfn.XLOOKUP(Market_Data[[#This Row],[Project Type]],tbl_assumptions_market[Project Category (RERA)],tbl_assumptions_market[Concrete Intensity
(m³ / sq m BUA)],"",0)</f>
        <v>0.18</v>
      </c>
      <c r="L978" s="134">
        <f>ROUND(Market_Data[[#This Row],[Estimated Built Up Area (sq m)]]*Market_Data[[#This Row],[Concrete Intensity
(m³ / sq m)]],0)</f>
        <v>16254</v>
      </c>
      <c r="M978" s="135">
        <f>_xlfn.XLOOKUP(Market_Data[[#This Row],[District]],tbl_district_price[District],tbl_district_price[Standard Price
(INR/m³)],"",0)</f>
        <v>6200</v>
      </c>
      <c r="N978" s="364">
        <f>IF(OR(Market_Data[[#This Row],[Estimated Concrete Demand (m³)]]="",Market_Data[[#This Row],[Avg Price per (₹ / m³)]]=""),"",Market_Data[[#This Row],[Estimated Concrete Demand (m³)]]*Market_Data[[#This Row],[Avg Price per (₹ / m³)]]/10000000)</f>
        <v>10.07748</v>
      </c>
      <c r="O978" s="97" t="str">
        <f>IF(Market_Data[[#This Row],[Estimated Concrete Demand (m³)]]="","",
IF(Market_Data[[#This Row],[Estimated Concrete Demand (m³)]]&lt;10000,"Small",
IF(Market_Data[[#This Row],[Estimated Concrete Demand (m³)]]&lt;25000,"Medium",
IF(Market_Data[[#This Row],[Estimated Concrete Demand (m³)]]&lt;100000,"Large","Mega"))))</f>
        <v>Medium</v>
      </c>
      <c r="P978" s="287" t="str">
        <f t="shared" si="17"/>
        <v>GujRERA</v>
      </c>
    </row>
    <row r="979" spans="1:16">
      <c r="A979" s="129" t="str">
        <f>_xlfn.XLOOKUP(B979,$S$9:$S$14,$T$9:$T$14)&amp;"-"&amp;
IF(E979="Residential/Group Housing","RES",
IF(E979="Commercial","COM",
IF(E979="Mixed Development","MIX",
IF(E979="Plotted Development","PLT","OTH"))))
&amp;"-"&amp;TEXT(COUNTIFS($B$9:B979,B979,$E$9:E979,E979),"0000")</f>
        <v>SUR-RES-0249</v>
      </c>
      <c r="B979" s="322" t="s">
        <v>34</v>
      </c>
      <c r="C979" s="322" t="s">
        <v>34</v>
      </c>
      <c r="D979" s="323" t="s">
        <v>1169</v>
      </c>
      <c r="E979" s="132" t="s">
        <v>24</v>
      </c>
      <c r="F979" s="97" t="str">
        <f ca="1">IF(OR(Market_Data[[#This Row],[Start Date]]="",Market_Data[[#This Row],[Completion Date]]=""),"Needs Validation",IF(Market_Data[[#This Row],[Start Date]]&gt;TODAY(),"Planned",IF(Market_Data[[#This Row],[Completion Date]]&lt;TODAY(),"Completed","Ongoing")))</f>
        <v>Ongoing</v>
      </c>
      <c r="G979" s="324">
        <v>45033</v>
      </c>
      <c r="H979" s="324">
        <v>47088</v>
      </c>
      <c r="I979" s="325">
        <v>10100</v>
      </c>
      <c r="J97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79" s="133">
        <f>_xlfn.XLOOKUP(Market_Data[[#This Row],[Project Type]],tbl_assumptions_market[Project Category (RERA)],tbl_assumptions_market[Concrete Intensity
(m³ / sq m BUA)],"",0)</f>
        <v>0.45</v>
      </c>
      <c r="L979" s="134">
        <f>ROUND(Market_Data[[#This Row],[Estimated Built Up Area (sq m)]]*Market_Data[[#This Row],[Concrete Intensity
(m³ / sq m)]],0)</f>
        <v>4545</v>
      </c>
      <c r="M979" s="135">
        <f>_xlfn.XLOOKUP(Market_Data[[#This Row],[District]],tbl_district_price[District],tbl_district_price[Standard Price
(INR/m³)],"",0)</f>
        <v>6200</v>
      </c>
      <c r="N979" s="364">
        <f>IF(OR(Market_Data[[#This Row],[Estimated Concrete Demand (m³)]]="",Market_Data[[#This Row],[Avg Price per (₹ / m³)]]=""),"",Market_Data[[#This Row],[Estimated Concrete Demand (m³)]]*Market_Data[[#This Row],[Avg Price per (₹ / m³)]]/10000000)</f>
        <v>2.8178999999999998</v>
      </c>
      <c r="O979" s="97" t="str">
        <f>IF(Market_Data[[#This Row],[Estimated Concrete Demand (m³)]]="","",
IF(Market_Data[[#This Row],[Estimated Concrete Demand (m³)]]&lt;10000,"Small",
IF(Market_Data[[#This Row],[Estimated Concrete Demand (m³)]]&lt;25000,"Medium",
IF(Market_Data[[#This Row],[Estimated Concrete Demand (m³)]]&lt;100000,"Large","Mega"))))</f>
        <v>Small</v>
      </c>
      <c r="P979" s="287" t="str">
        <f t="shared" si="17"/>
        <v>GujRERA</v>
      </c>
    </row>
    <row r="980" spans="1:16">
      <c r="A980" s="129" t="str">
        <f>_xlfn.XLOOKUP(B980,$S$9:$S$14,$T$9:$T$14)&amp;"-"&amp;
IF(E980="Residential/Group Housing","RES",
IF(E980="Commercial","COM",
IF(E980="Mixed Development","MIX",
IF(E980="Plotted Development","PLT","OTH"))))
&amp;"-"&amp;TEXT(COUNTIFS($B$9:B980,B980,$E$9:E980,E980),"0000")</f>
        <v>SUR-COM-0127</v>
      </c>
      <c r="B980" s="322" t="s">
        <v>34</v>
      </c>
      <c r="C980" s="322" t="s">
        <v>34</v>
      </c>
      <c r="D980" s="323" t="s">
        <v>1170</v>
      </c>
      <c r="E980" s="132" t="s">
        <v>23</v>
      </c>
      <c r="F980" s="97" t="str">
        <f ca="1">IF(OR(Market_Data[[#This Row],[Start Date]]="",Market_Data[[#This Row],[Completion Date]]=""),"Needs Validation",IF(Market_Data[[#This Row],[Start Date]]&gt;TODAY(),"Planned",IF(Market_Data[[#This Row],[Completion Date]]&lt;TODAY(),"Completed","Ongoing")))</f>
        <v>Completed</v>
      </c>
      <c r="G980" s="324">
        <v>42584</v>
      </c>
      <c r="H980" s="324">
        <v>43465</v>
      </c>
      <c r="I980" s="325">
        <v>11700</v>
      </c>
      <c r="J98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80" s="133">
        <f>_xlfn.XLOOKUP(Market_Data[[#This Row],[Project Type]],tbl_assumptions_market[Project Category (RERA)],tbl_assumptions_market[Concrete Intensity
(m³ / sq m BUA)],"",0)</f>
        <v>0.5</v>
      </c>
      <c r="L980" s="134">
        <f>ROUND(Market_Data[[#This Row],[Estimated Built Up Area (sq m)]]*Market_Data[[#This Row],[Concrete Intensity
(m³ / sq m)]],0)</f>
        <v>5850</v>
      </c>
      <c r="M980" s="135">
        <f>_xlfn.XLOOKUP(Market_Data[[#This Row],[District]],tbl_district_price[District],tbl_district_price[Standard Price
(INR/m³)],"",0)</f>
        <v>6200</v>
      </c>
      <c r="N980" s="364">
        <f>IF(OR(Market_Data[[#This Row],[Estimated Concrete Demand (m³)]]="",Market_Data[[#This Row],[Avg Price per (₹ / m³)]]=""),"",Market_Data[[#This Row],[Estimated Concrete Demand (m³)]]*Market_Data[[#This Row],[Avg Price per (₹ / m³)]]/10000000)</f>
        <v>3.6269999999999998</v>
      </c>
      <c r="O980" s="97" t="str">
        <f>IF(Market_Data[[#This Row],[Estimated Concrete Demand (m³)]]="","",
IF(Market_Data[[#This Row],[Estimated Concrete Demand (m³)]]&lt;10000,"Small",
IF(Market_Data[[#This Row],[Estimated Concrete Demand (m³)]]&lt;25000,"Medium",
IF(Market_Data[[#This Row],[Estimated Concrete Demand (m³)]]&lt;100000,"Large","Mega"))))</f>
        <v>Small</v>
      </c>
      <c r="P980" s="287" t="str">
        <f t="shared" si="17"/>
        <v>GujRERA</v>
      </c>
    </row>
    <row r="981" spans="1:16">
      <c r="A981" s="129" t="str">
        <f>_xlfn.XLOOKUP(B981,$S$9:$S$14,$T$9:$T$14)&amp;"-"&amp;
IF(E981="Residential/Group Housing","RES",
IF(E981="Commercial","COM",
IF(E981="Mixed Development","MIX",
IF(E981="Plotted Development","PLT","OTH"))))
&amp;"-"&amp;TEXT(COUNTIFS($B$9:B981,B981,$E$9:E981,E981),"0000")</f>
        <v>SUR-COM-0128</v>
      </c>
      <c r="B981" s="322" t="s">
        <v>34</v>
      </c>
      <c r="C981" s="322" t="s">
        <v>34</v>
      </c>
      <c r="D981" s="323" t="s">
        <v>1171</v>
      </c>
      <c r="E981" s="132" t="s">
        <v>23</v>
      </c>
      <c r="F981" s="97" t="str">
        <f ca="1">IF(OR(Market_Data[[#This Row],[Start Date]]="",Market_Data[[#This Row],[Completion Date]]=""),"Needs Validation",IF(Market_Data[[#This Row],[Start Date]]&gt;TODAY(),"Planned",IF(Market_Data[[#This Row],[Completion Date]]&lt;TODAY(),"Completed","Ongoing")))</f>
        <v>Completed</v>
      </c>
      <c r="G981" s="324">
        <v>42460</v>
      </c>
      <c r="H981" s="324">
        <v>43191</v>
      </c>
      <c r="I981" s="325">
        <v>10200</v>
      </c>
      <c r="J98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81" s="133">
        <f>_xlfn.XLOOKUP(Market_Data[[#This Row],[Project Type]],tbl_assumptions_market[Project Category (RERA)],tbl_assumptions_market[Concrete Intensity
(m³ / sq m BUA)],"",0)</f>
        <v>0.5</v>
      </c>
      <c r="L981" s="134">
        <f>ROUND(Market_Data[[#This Row],[Estimated Built Up Area (sq m)]]*Market_Data[[#This Row],[Concrete Intensity
(m³ / sq m)]],0)</f>
        <v>5100</v>
      </c>
      <c r="M981" s="135">
        <f>_xlfn.XLOOKUP(Market_Data[[#This Row],[District]],tbl_district_price[District],tbl_district_price[Standard Price
(INR/m³)],"",0)</f>
        <v>6200</v>
      </c>
      <c r="N981" s="364">
        <f>IF(OR(Market_Data[[#This Row],[Estimated Concrete Demand (m³)]]="",Market_Data[[#This Row],[Avg Price per (₹ / m³)]]=""),"",Market_Data[[#This Row],[Estimated Concrete Demand (m³)]]*Market_Data[[#This Row],[Avg Price per (₹ / m³)]]/10000000)</f>
        <v>3.1619999999999999</v>
      </c>
      <c r="O981" s="97" t="str">
        <f>IF(Market_Data[[#This Row],[Estimated Concrete Demand (m³)]]="","",
IF(Market_Data[[#This Row],[Estimated Concrete Demand (m³)]]&lt;10000,"Small",
IF(Market_Data[[#This Row],[Estimated Concrete Demand (m³)]]&lt;25000,"Medium",
IF(Market_Data[[#This Row],[Estimated Concrete Demand (m³)]]&lt;100000,"Large","Mega"))))</f>
        <v>Small</v>
      </c>
      <c r="P981" s="287" t="str">
        <f t="shared" si="17"/>
        <v>GujRERA</v>
      </c>
    </row>
    <row r="982" spans="1:16">
      <c r="A982" s="129" t="str">
        <f>_xlfn.XLOOKUP(B982,$S$9:$S$14,$T$9:$T$14)&amp;"-"&amp;
IF(E982="Residential/Group Housing","RES",
IF(E982="Commercial","COM",
IF(E982="Mixed Development","MIX",
IF(E982="Plotted Development","PLT","OTH"))))
&amp;"-"&amp;TEXT(COUNTIFS($B$9:B982,B982,$E$9:E982,E982),"0000")</f>
        <v>SUR-RES-0250</v>
      </c>
      <c r="B982" s="322" t="s">
        <v>34</v>
      </c>
      <c r="C982" s="322" t="s">
        <v>34</v>
      </c>
      <c r="D982" s="323" t="s">
        <v>1172</v>
      </c>
      <c r="E982" s="132" t="s">
        <v>24</v>
      </c>
      <c r="F982" s="97" t="str">
        <f ca="1">IF(OR(Market_Data[[#This Row],[Start Date]]="",Market_Data[[#This Row],[Completion Date]]=""),"Needs Validation",IF(Market_Data[[#This Row],[Start Date]]&gt;TODAY(),"Planned",IF(Market_Data[[#This Row],[Completion Date]]&lt;TODAY(),"Completed","Ongoing")))</f>
        <v>Completed</v>
      </c>
      <c r="G982" s="324">
        <v>44313</v>
      </c>
      <c r="H982" s="324">
        <v>46139</v>
      </c>
      <c r="I982" s="325">
        <v>11800</v>
      </c>
      <c r="J98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82" s="133">
        <f>_xlfn.XLOOKUP(Market_Data[[#This Row],[Project Type]],tbl_assumptions_market[Project Category (RERA)],tbl_assumptions_market[Concrete Intensity
(m³ / sq m BUA)],"",0)</f>
        <v>0.45</v>
      </c>
      <c r="L982" s="134">
        <f>ROUND(Market_Data[[#This Row],[Estimated Built Up Area (sq m)]]*Market_Data[[#This Row],[Concrete Intensity
(m³ / sq m)]],0)</f>
        <v>5310</v>
      </c>
      <c r="M982" s="135">
        <f>_xlfn.XLOOKUP(Market_Data[[#This Row],[District]],tbl_district_price[District],tbl_district_price[Standard Price
(INR/m³)],"",0)</f>
        <v>6200</v>
      </c>
      <c r="N982" s="364">
        <f>IF(OR(Market_Data[[#This Row],[Estimated Concrete Demand (m³)]]="",Market_Data[[#This Row],[Avg Price per (₹ / m³)]]=""),"",Market_Data[[#This Row],[Estimated Concrete Demand (m³)]]*Market_Data[[#This Row],[Avg Price per (₹ / m³)]]/10000000)</f>
        <v>3.2921999999999998</v>
      </c>
      <c r="O982" s="97" t="str">
        <f>IF(Market_Data[[#This Row],[Estimated Concrete Demand (m³)]]="","",
IF(Market_Data[[#This Row],[Estimated Concrete Demand (m³)]]&lt;10000,"Small",
IF(Market_Data[[#This Row],[Estimated Concrete Demand (m³)]]&lt;25000,"Medium",
IF(Market_Data[[#This Row],[Estimated Concrete Demand (m³)]]&lt;100000,"Large","Mega"))))</f>
        <v>Small</v>
      </c>
      <c r="P982" s="287" t="str">
        <f t="shared" si="17"/>
        <v>GujRERA</v>
      </c>
    </row>
    <row r="983" spans="1:16">
      <c r="A983" s="129" t="str">
        <f>_xlfn.XLOOKUP(B983,$S$9:$S$14,$T$9:$T$14)&amp;"-"&amp;
IF(E983="Residential/Group Housing","RES",
IF(E983="Commercial","COM",
IF(E983="Mixed Development","MIX",
IF(E983="Plotted Development","PLT","OTH"))))
&amp;"-"&amp;TEXT(COUNTIFS($B$9:B983,B983,$E$9:E983,E983),"0000")</f>
        <v>SUR-RES-0251</v>
      </c>
      <c r="B983" s="322" t="s">
        <v>34</v>
      </c>
      <c r="C983" s="322" t="s">
        <v>34</v>
      </c>
      <c r="D983" s="323" t="s">
        <v>1173</v>
      </c>
      <c r="E983" s="132" t="s">
        <v>24</v>
      </c>
      <c r="F983" s="97" t="str">
        <f ca="1">IF(OR(Market_Data[[#This Row],[Start Date]]="",Market_Data[[#This Row],[Completion Date]]=""),"Needs Validation",IF(Market_Data[[#This Row],[Start Date]]&gt;TODAY(),"Planned",IF(Market_Data[[#This Row],[Completion Date]]&lt;TODAY(),"Completed","Ongoing")))</f>
        <v>Ongoing</v>
      </c>
      <c r="G983" s="324">
        <v>45933</v>
      </c>
      <c r="H983" s="324">
        <v>47848</v>
      </c>
      <c r="I983" s="325">
        <v>10900</v>
      </c>
      <c r="J98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83" s="133">
        <f>_xlfn.XLOOKUP(Market_Data[[#This Row],[Project Type]],tbl_assumptions_market[Project Category (RERA)],tbl_assumptions_market[Concrete Intensity
(m³ / sq m BUA)],"",0)</f>
        <v>0.45</v>
      </c>
      <c r="L983" s="134">
        <f>ROUND(Market_Data[[#This Row],[Estimated Built Up Area (sq m)]]*Market_Data[[#This Row],[Concrete Intensity
(m³ / sq m)]],0)</f>
        <v>4905</v>
      </c>
      <c r="M983" s="135">
        <f>_xlfn.XLOOKUP(Market_Data[[#This Row],[District]],tbl_district_price[District],tbl_district_price[Standard Price
(INR/m³)],"",0)</f>
        <v>6200</v>
      </c>
      <c r="N983" s="364">
        <f>IF(OR(Market_Data[[#This Row],[Estimated Concrete Demand (m³)]]="",Market_Data[[#This Row],[Avg Price per (₹ / m³)]]=""),"",Market_Data[[#This Row],[Estimated Concrete Demand (m³)]]*Market_Data[[#This Row],[Avg Price per (₹ / m³)]]/10000000)</f>
        <v>3.0411000000000001</v>
      </c>
      <c r="O983" s="97" t="str">
        <f>IF(Market_Data[[#This Row],[Estimated Concrete Demand (m³)]]="","",
IF(Market_Data[[#This Row],[Estimated Concrete Demand (m³)]]&lt;10000,"Small",
IF(Market_Data[[#This Row],[Estimated Concrete Demand (m³)]]&lt;25000,"Medium",
IF(Market_Data[[#This Row],[Estimated Concrete Demand (m³)]]&lt;100000,"Large","Mega"))))</f>
        <v>Small</v>
      </c>
      <c r="P983" s="287" t="str">
        <f t="shared" si="17"/>
        <v>GujRERA</v>
      </c>
    </row>
    <row r="984" spans="1:16">
      <c r="A984" s="129" t="str">
        <f>_xlfn.XLOOKUP(B984,$S$9:$S$14,$T$9:$T$14)&amp;"-"&amp;
IF(E984="Residential/Group Housing","RES",
IF(E984="Commercial","COM",
IF(E984="Mixed Development","MIX",
IF(E984="Plotted Development","PLT","OTH"))))
&amp;"-"&amp;TEXT(COUNTIFS($B$9:B984,B984,$E$9:E984,E984),"0000")</f>
        <v>SUR-COM-0129</v>
      </c>
      <c r="B984" s="322" t="s">
        <v>34</v>
      </c>
      <c r="C984" s="322" t="s">
        <v>34</v>
      </c>
      <c r="D984" s="323" t="s">
        <v>1174</v>
      </c>
      <c r="E984" s="132" t="s">
        <v>23</v>
      </c>
      <c r="F984" s="97" t="str">
        <f ca="1">IF(OR(Market_Data[[#This Row],[Start Date]]="",Market_Data[[#This Row],[Completion Date]]=""),"Needs Validation",IF(Market_Data[[#This Row],[Start Date]]&gt;TODAY(),"Planned",IF(Market_Data[[#This Row],[Completion Date]]&lt;TODAY(),"Completed","Ongoing")))</f>
        <v>Completed</v>
      </c>
      <c r="G984" s="324">
        <v>42438</v>
      </c>
      <c r="H984" s="324">
        <v>43830</v>
      </c>
      <c r="I984" s="325">
        <v>52900</v>
      </c>
      <c r="J98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984" s="133">
        <f>_xlfn.XLOOKUP(Market_Data[[#This Row],[Project Type]],tbl_assumptions_market[Project Category (RERA)],tbl_assumptions_market[Concrete Intensity
(m³ / sq m BUA)],"",0)</f>
        <v>0.5</v>
      </c>
      <c r="L984" s="134">
        <f>ROUND(Market_Data[[#This Row],[Estimated Built Up Area (sq m)]]*Market_Data[[#This Row],[Concrete Intensity
(m³ / sq m)]],0)</f>
        <v>26450</v>
      </c>
      <c r="M984" s="135">
        <f>_xlfn.XLOOKUP(Market_Data[[#This Row],[District]],tbl_district_price[District],tbl_district_price[Standard Price
(INR/m³)],"",0)</f>
        <v>6200</v>
      </c>
      <c r="N984" s="364">
        <f>IF(OR(Market_Data[[#This Row],[Estimated Concrete Demand (m³)]]="",Market_Data[[#This Row],[Avg Price per (₹ / m³)]]=""),"",Market_Data[[#This Row],[Estimated Concrete Demand (m³)]]*Market_Data[[#This Row],[Avg Price per (₹ / m³)]]/10000000)</f>
        <v>16.399000000000001</v>
      </c>
      <c r="O984" s="97" t="str">
        <f>IF(Market_Data[[#This Row],[Estimated Concrete Demand (m³)]]="","",
IF(Market_Data[[#This Row],[Estimated Concrete Demand (m³)]]&lt;10000,"Small",
IF(Market_Data[[#This Row],[Estimated Concrete Demand (m³)]]&lt;25000,"Medium",
IF(Market_Data[[#This Row],[Estimated Concrete Demand (m³)]]&lt;100000,"Large","Mega"))))</f>
        <v>Large</v>
      </c>
      <c r="P984" s="287" t="str">
        <f t="shared" si="17"/>
        <v>GujRERA</v>
      </c>
    </row>
    <row r="985" spans="1:16">
      <c r="A985" s="129" t="str">
        <f>_xlfn.XLOOKUP(B985,$S$9:$S$14,$T$9:$T$14)&amp;"-"&amp;
IF(E985="Residential/Group Housing","RES",
IF(E985="Commercial","COM",
IF(E985="Mixed Development","MIX",
IF(E985="Plotted Development","PLT","OTH"))))
&amp;"-"&amp;TEXT(COUNTIFS($B$9:B985,B985,$E$9:E985,E985),"0000")</f>
        <v>SUR-COM-0130</v>
      </c>
      <c r="B985" s="322" t="s">
        <v>34</v>
      </c>
      <c r="C985" s="322" t="s">
        <v>34</v>
      </c>
      <c r="D985" s="323" t="s">
        <v>1175</v>
      </c>
      <c r="E985" s="132" t="s">
        <v>23</v>
      </c>
      <c r="F985" s="97" t="str">
        <f ca="1">IF(OR(Market_Data[[#This Row],[Start Date]]="",Market_Data[[#This Row],[Completion Date]]=""),"Needs Validation",IF(Market_Data[[#This Row],[Start Date]]&gt;TODAY(),"Planned",IF(Market_Data[[#This Row],[Completion Date]]&lt;TODAY(),"Completed","Ongoing")))</f>
        <v>Ongoing</v>
      </c>
      <c r="G985" s="324">
        <v>45748</v>
      </c>
      <c r="H985" s="324">
        <v>47483</v>
      </c>
      <c r="I985" s="325">
        <v>18400</v>
      </c>
      <c r="J98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85" s="133">
        <f>_xlfn.XLOOKUP(Market_Data[[#This Row],[Project Type]],tbl_assumptions_market[Project Category (RERA)],tbl_assumptions_market[Concrete Intensity
(m³ / sq m BUA)],"",0)</f>
        <v>0.5</v>
      </c>
      <c r="L985" s="134">
        <f>ROUND(Market_Data[[#This Row],[Estimated Built Up Area (sq m)]]*Market_Data[[#This Row],[Concrete Intensity
(m³ / sq m)]],0)</f>
        <v>9200</v>
      </c>
      <c r="M985" s="135">
        <f>_xlfn.XLOOKUP(Market_Data[[#This Row],[District]],tbl_district_price[District],tbl_district_price[Standard Price
(INR/m³)],"",0)</f>
        <v>6200</v>
      </c>
      <c r="N985" s="364">
        <f>IF(OR(Market_Data[[#This Row],[Estimated Concrete Demand (m³)]]="",Market_Data[[#This Row],[Avg Price per (₹ / m³)]]=""),"",Market_Data[[#This Row],[Estimated Concrete Demand (m³)]]*Market_Data[[#This Row],[Avg Price per (₹ / m³)]]/10000000)</f>
        <v>5.7039999999999997</v>
      </c>
      <c r="O985" s="97" t="str">
        <f>IF(Market_Data[[#This Row],[Estimated Concrete Demand (m³)]]="","",
IF(Market_Data[[#This Row],[Estimated Concrete Demand (m³)]]&lt;10000,"Small",
IF(Market_Data[[#This Row],[Estimated Concrete Demand (m³)]]&lt;25000,"Medium",
IF(Market_Data[[#This Row],[Estimated Concrete Demand (m³)]]&lt;100000,"Large","Mega"))))</f>
        <v>Small</v>
      </c>
      <c r="P985" s="287" t="str">
        <f t="shared" si="17"/>
        <v>GujRERA</v>
      </c>
    </row>
    <row r="986" spans="1:16">
      <c r="A986" s="129" t="str">
        <f>_xlfn.XLOOKUP(B986,$S$9:$S$14,$T$9:$T$14)&amp;"-"&amp;
IF(E986="Residential/Group Housing","RES",
IF(E986="Commercial","COM",
IF(E986="Mixed Development","MIX",
IF(E986="Plotted Development","PLT","OTH"))))
&amp;"-"&amp;TEXT(COUNTIFS($B$9:B986,B986,$E$9:E986,E986),"0000")</f>
        <v>SUR-COM-0131</v>
      </c>
      <c r="B986" s="322" t="s">
        <v>34</v>
      </c>
      <c r="C986" s="322" t="s">
        <v>34</v>
      </c>
      <c r="D986" s="323" t="s">
        <v>1176</v>
      </c>
      <c r="E986" s="132" t="s">
        <v>23</v>
      </c>
      <c r="F986" s="97" t="str">
        <f ca="1">IF(OR(Market_Data[[#This Row],[Start Date]]="",Market_Data[[#This Row],[Completion Date]]=""),"Needs Validation",IF(Market_Data[[#This Row],[Start Date]]&gt;TODAY(),"Planned",IF(Market_Data[[#This Row],[Completion Date]]&lt;TODAY(),"Completed","Ongoing")))</f>
        <v>Ongoing</v>
      </c>
      <c r="G986" s="324">
        <v>45187</v>
      </c>
      <c r="H986" s="324">
        <v>47118</v>
      </c>
      <c r="I986" s="325">
        <v>2400</v>
      </c>
      <c r="J98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86" s="133">
        <f>_xlfn.XLOOKUP(Market_Data[[#This Row],[Project Type]],tbl_assumptions_market[Project Category (RERA)],tbl_assumptions_market[Concrete Intensity
(m³ / sq m BUA)],"",0)</f>
        <v>0.5</v>
      </c>
      <c r="L986" s="134">
        <f>ROUND(Market_Data[[#This Row],[Estimated Built Up Area (sq m)]]*Market_Data[[#This Row],[Concrete Intensity
(m³ / sq m)]],0)</f>
        <v>1200</v>
      </c>
      <c r="M986" s="135">
        <f>_xlfn.XLOOKUP(Market_Data[[#This Row],[District]],tbl_district_price[District],tbl_district_price[Standard Price
(INR/m³)],"",0)</f>
        <v>6200</v>
      </c>
      <c r="N986" s="364">
        <f>IF(OR(Market_Data[[#This Row],[Estimated Concrete Demand (m³)]]="",Market_Data[[#This Row],[Avg Price per (₹ / m³)]]=""),"",Market_Data[[#This Row],[Estimated Concrete Demand (m³)]]*Market_Data[[#This Row],[Avg Price per (₹ / m³)]]/10000000)</f>
        <v>0.74399999999999999</v>
      </c>
      <c r="O986" s="97" t="str">
        <f>IF(Market_Data[[#This Row],[Estimated Concrete Demand (m³)]]="","",
IF(Market_Data[[#This Row],[Estimated Concrete Demand (m³)]]&lt;10000,"Small",
IF(Market_Data[[#This Row],[Estimated Concrete Demand (m³)]]&lt;25000,"Medium",
IF(Market_Data[[#This Row],[Estimated Concrete Demand (m³)]]&lt;100000,"Large","Mega"))))</f>
        <v>Small</v>
      </c>
      <c r="P986" s="287" t="str">
        <f t="shared" si="17"/>
        <v>GujRERA</v>
      </c>
    </row>
    <row r="987" spans="1:16">
      <c r="A987" s="129" t="str">
        <f>_xlfn.XLOOKUP(B987,$S$9:$S$14,$T$9:$T$14)&amp;"-"&amp;
IF(E987="Residential/Group Housing","RES",
IF(E987="Commercial","COM",
IF(E987="Mixed Development","MIX",
IF(E987="Plotted Development","PLT","OTH"))))
&amp;"-"&amp;TEXT(COUNTIFS($B$9:B987,B987,$E$9:E987,E987),"0000")</f>
        <v>SUR-COM-0132</v>
      </c>
      <c r="B987" s="322" t="s">
        <v>34</v>
      </c>
      <c r="C987" s="322" t="s">
        <v>34</v>
      </c>
      <c r="D987" s="323" t="s">
        <v>1177</v>
      </c>
      <c r="E987" s="132" t="s">
        <v>23</v>
      </c>
      <c r="F987" s="97" t="str">
        <f ca="1">IF(OR(Market_Data[[#This Row],[Start Date]]="",Market_Data[[#This Row],[Completion Date]]=""),"Needs Validation",IF(Market_Data[[#This Row],[Start Date]]&gt;TODAY(),"Planned",IF(Market_Data[[#This Row],[Completion Date]]&lt;TODAY(),"Completed","Ongoing")))</f>
        <v>Completed</v>
      </c>
      <c r="G987" s="324">
        <v>42612</v>
      </c>
      <c r="H987" s="324">
        <v>44135</v>
      </c>
      <c r="I987" s="325">
        <v>16400</v>
      </c>
      <c r="J98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87" s="133">
        <f>_xlfn.XLOOKUP(Market_Data[[#This Row],[Project Type]],tbl_assumptions_market[Project Category (RERA)],tbl_assumptions_market[Concrete Intensity
(m³ / sq m BUA)],"",0)</f>
        <v>0.5</v>
      </c>
      <c r="L987" s="134">
        <f>ROUND(Market_Data[[#This Row],[Estimated Built Up Area (sq m)]]*Market_Data[[#This Row],[Concrete Intensity
(m³ / sq m)]],0)</f>
        <v>8200</v>
      </c>
      <c r="M987" s="135">
        <f>_xlfn.XLOOKUP(Market_Data[[#This Row],[District]],tbl_district_price[District],tbl_district_price[Standard Price
(INR/m³)],"",0)</f>
        <v>6200</v>
      </c>
      <c r="N987" s="364">
        <f>IF(OR(Market_Data[[#This Row],[Estimated Concrete Demand (m³)]]="",Market_Data[[#This Row],[Avg Price per (₹ / m³)]]=""),"",Market_Data[[#This Row],[Estimated Concrete Demand (m³)]]*Market_Data[[#This Row],[Avg Price per (₹ / m³)]]/10000000)</f>
        <v>5.0839999999999996</v>
      </c>
      <c r="O987" s="97" t="str">
        <f>IF(Market_Data[[#This Row],[Estimated Concrete Demand (m³)]]="","",
IF(Market_Data[[#This Row],[Estimated Concrete Demand (m³)]]&lt;10000,"Small",
IF(Market_Data[[#This Row],[Estimated Concrete Demand (m³)]]&lt;25000,"Medium",
IF(Market_Data[[#This Row],[Estimated Concrete Demand (m³)]]&lt;100000,"Large","Mega"))))</f>
        <v>Small</v>
      </c>
      <c r="P987" s="287" t="str">
        <f t="shared" si="17"/>
        <v>GujRERA</v>
      </c>
    </row>
    <row r="988" spans="1:16">
      <c r="A988" s="129" t="str">
        <f>_xlfn.XLOOKUP(B988,$S$9:$S$14,$T$9:$T$14)&amp;"-"&amp;
IF(E988="Residential/Group Housing","RES",
IF(E988="Commercial","COM",
IF(E988="Mixed Development","MIX",
IF(E988="Plotted Development","PLT","OTH"))))
&amp;"-"&amp;TEXT(COUNTIFS($B$9:B988,B988,$E$9:E988,E988),"0000")</f>
        <v>SUR-COM-0133</v>
      </c>
      <c r="B988" s="322" t="s">
        <v>34</v>
      </c>
      <c r="C988" s="322" t="s">
        <v>34</v>
      </c>
      <c r="D988" s="323" t="s">
        <v>1178</v>
      </c>
      <c r="E988" s="132" t="s">
        <v>23</v>
      </c>
      <c r="F988" s="97" t="str">
        <f ca="1">IF(OR(Market_Data[[#This Row],[Start Date]]="",Market_Data[[#This Row],[Completion Date]]=""),"Needs Validation",IF(Market_Data[[#This Row],[Start Date]]&gt;TODAY(),"Planned",IF(Market_Data[[#This Row],[Completion Date]]&lt;TODAY(),"Completed","Ongoing")))</f>
        <v>Completed</v>
      </c>
      <c r="G988" s="324">
        <v>43634</v>
      </c>
      <c r="H988" s="324">
        <v>45443</v>
      </c>
      <c r="I988" s="325">
        <v>17300</v>
      </c>
      <c r="J98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88" s="133">
        <f>_xlfn.XLOOKUP(Market_Data[[#This Row],[Project Type]],tbl_assumptions_market[Project Category (RERA)],tbl_assumptions_market[Concrete Intensity
(m³ / sq m BUA)],"",0)</f>
        <v>0.5</v>
      </c>
      <c r="L988" s="134">
        <f>ROUND(Market_Data[[#This Row],[Estimated Built Up Area (sq m)]]*Market_Data[[#This Row],[Concrete Intensity
(m³ / sq m)]],0)</f>
        <v>8650</v>
      </c>
      <c r="M988" s="135">
        <f>_xlfn.XLOOKUP(Market_Data[[#This Row],[District]],tbl_district_price[District],tbl_district_price[Standard Price
(INR/m³)],"",0)</f>
        <v>6200</v>
      </c>
      <c r="N988" s="364">
        <f>IF(OR(Market_Data[[#This Row],[Estimated Concrete Demand (m³)]]="",Market_Data[[#This Row],[Avg Price per (₹ / m³)]]=""),"",Market_Data[[#This Row],[Estimated Concrete Demand (m³)]]*Market_Data[[#This Row],[Avg Price per (₹ / m³)]]/10000000)</f>
        <v>5.3630000000000004</v>
      </c>
      <c r="O988" s="97" t="str">
        <f>IF(Market_Data[[#This Row],[Estimated Concrete Demand (m³)]]="","",
IF(Market_Data[[#This Row],[Estimated Concrete Demand (m³)]]&lt;10000,"Small",
IF(Market_Data[[#This Row],[Estimated Concrete Demand (m³)]]&lt;25000,"Medium",
IF(Market_Data[[#This Row],[Estimated Concrete Demand (m³)]]&lt;100000,"Large","Mega"))))</f>
        <v>Small</v>
      </c>
      <c r="P988" s="287" t="str">
        <f t="shared" si="17"/>
        <v>GujRERA</v>
      </c>
    </row>
    <row r="989" spans="1:16">
      <c r="A989" s="129" t="str">
        <f>_xlfn.XLOOKUP(B989,$S$9:$S$14,$T$9:$T$14)&amp;"-"&amp;
IF(E989="Residential/Group Housing","RES",
IF(E989="Commercial","COM",
IF(E989="Mixed Development","MIX",
IF(E989="Plotted Development","PLT","OTH"))))
&amp;"-"&amp;TEXT(COUNTIFS($B$9:B989,B989,$E$9:E989,E989),"0000")</f>
        <v>SUR-COM-0134</v>
      </c>
      <c r="B989" s="322" t="s">
        <v>34</v>
      </c>
      <c r="C989" s="322" t="s">
        <v>34</v>
      </c>
      <c r="D989" s="323" t="s">
        <v>1179</v>
      </c>
      <c r="E989" s="132" t="s">
        <v>23</v>
      </c>
      <c r="F989" s="97" t="str">
        <f ca="1">IF(OR(Market_Data[[#This Row],[Start Date]]="",Market_Data[[#This Row],[Completion Date]]=""),"Needs Validation",IF(Market_Data[[#This Row],[Start Date]]&gt;TODAY(),"Planned",IF(Market_Data[[#This Row],[Completion Date]]&lt;TODAY(),"Completed","Ongoing")))</f>
        <v>Completed</v>
      </c>
      <c r="G989" s="324">
        <v>42614</v>
      </c>
      <c r="H989" s="324">
        <v>45107</v>
      </c>
      <c r="I989" s="325">
        <v>2100</v>
      </c>
      <c r="J98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89" s="133">
        <f>_xlfn.XLOOKUP(Market_Data[[#This Row],[Project Type]],tbl_assumptions_market[Project Category (RERA)],tbl_assumptions_market[Concrete Intensity
(m³ / sq m BUA)],"",0)</f>
        <v>0.5</v>
      </c>
      <c r="L989" s="134">
        <f>ROUND(Market_Data[[#This Row],[Estimated Built Up Area (sq m)]]*Market_Data[[#This Row],[Concrete Intensity
(m³ / sq m)]],0)</f>
        <v>1050</v>
      </c>
      <c r="M989" s="135">
        <f>_xlfn.XLOOKUP(Market_Data[[#This Row],[District]],tbl_district_price[District],tbl_district_price[Standard Price
(INR/m³)],"",0)</f>
        <v>6200</v>
      </c>
      <c r="N989" s="364">
        <f>IF(OR(Market_Data[[#This Row],[Estimated Concrete Demand (m³)]]="",Market_Data[[#This Row],[Avg Price per (₹ / m³)]]=""),"",Market_Data[[#This Row],[Estimated Concrete Demand (m³)]]*Market_Data[[#This Row],[Avg Price per (₹ / m³)]]/10000000)</f>
        <v>0.65100000000000002</v>
      </c>
      <c r="O989" s="97" t="str">
        <f>IF(Market_Data[[#This Row],[Estimated Concrete Demand (m³)]]="","",
IF(Market_Data[[#This Row],[Estimated Concrete Demand (m³)]]&lt;10000,"Small",
IF(Market_Data[[#This Row],[Estimated Concrete Demand (m³)]]&lt;25000,"Medium",
IF(Market_Data[[#This Row],[Estimated Concrete Demand (m³)]]&lt;100000,"Large","Mega"))))</f>
        <v>Small</v>
      </c>
      <c r="P989" s="287" t="str">
        <f t="shared" si="17"/>
        <v>GujRERA</v>
      </c>
    </row>
    <row r="990" spans="1:16">
      <c r="A990" s="129" t="str">
        <f>_xlfn.XLOOKUP(B990,$S$9:$S$14,$T$9:$T$14)&amp;"-"&amp;
IF(E990="Residential/Group Housing","RES",
IF(E990="Commercial","COM",
IF(E990="Mixed Development","MIX",
IF(E990="Plotted Development","PLT","OTH"))))
&amp;"-"&amp;TEXT(COUNTIFS($B$9:B990,B990,$E$9:E990,E990),"0000")</f>
        <v>SUR-COM-0135</v>
      </c>
      <c r="B990" s="322" t="s">
        <v>34</v>
      </c>
      <c r="C990" s="322" t="s">
        <v>34</v>
      </c>
      <c r="D990" s="323" t="s">
        <v>1180</v>
      </c>
      <c r="E990" s="132" t="s">
        <v>23</v>
      </c>
      <c r="F990" s="97" t="str">
        <f ca="1">IF(OR(Market_Data[[#This Row],[Start Date]]="",Market_Data[[#This Row],[Completion Date]]=""),"Needs Validation",IF(Market_Data[[#This Row],[Start Date]]&gt;TODAY(),"Planned",IF(Market_Data[[#This Row],[Completion Date]]&lt;TODAY(),"Completed","Ongoing")))</f>
        <v>Ongoing</v>
      </c>
      <c r="G990" s="324">
        <v>44652</v>
      </c>
      <c r="H990" s="324">
        <v>46477</v>
      </c>
      <c r="I990" s="325">
        <v>1400</v>
      </c>
      <c r="J99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90" s="133">
        <f>_xlfn.XLOOKUP(Market_Data[[#This Row],[Project Type]],tbl_assumptions_market[Project Category (RERA)],tbl_assumptions_market[Concrete Intensity
(m³ / sq m BUA)],"",0)</f>
        <v>0.5</v>
      </c>
      <c r="L990" s="134">
        <f>ROUND(Market_Data[[#This Row],[Estimated Built Up Area (sq m)]]*Market_Data[[#This Row],[Concrete Intensity
(m³ / sq m)]],0)</f>
        <v>700</v>
      </c>
      <c r="M990" s="135">
        <f>_xlfn.XLOOKUP(Market_Data[[#This Row],[District]],tbl_district_price[District],tbl_district_price[Standard Price
(INR/m³)],"",0)</f>
        <v>6200</v>
      </c>
      <c r="N990" s="364">
        <f>IF(OR(Market_Data[[#This Row],[Estimated Concrete Demand (m³)]]="",Market_Data[[#This Row],[Avg Price per (₹ / m³)]]=""),"",Market_Data[[#This Row],[Estimated Concrete Demand (m³)]]*Market_Data[[#This Row],[Avg Price per (₹ / m³)]]/10000000)</f>
        <v>0.434</v>
      </c>
      <c r="O990" s="97" t="str">
        <f>IF(Market_Data[[#This Row],[Estimated Concrete Demand (m³)]]="","",
IF(Market_Data[[#This Row],[Estimated Concrete Demand (m³)]]&lt;10000,"Small",
IF(Market_Data[[#This Row],[Estimated Concrete Demand (m³)]]&lt;25000,"Medium",
IF(Market_Data[[#This Row],[Estimated Concrete Demand (m³)]]&lt;100000,"Large","Mega"))))</f>
        <v>Small</v>
      </c>
      <c r="P990" s="287" t="str">
        <f t="shared" si="17"/>
        <v>GujRERA</v>
      </c>
    </row>
    <row r="991" spans="1:16">
      <c r="A991" s="129" t="str">
        <f>_xlfn.XLOOKUP(B991,$S$9:$S$14,$T$9:$T$14)&amp;"-"&amp;
IF(E991="Residential/Group Housing","RES",
IF(E991="Commercial","COM",
IF(E991="Mixed Development","MIX",
IF(E991="Plotted Development","PLT","OTH"))))
&amp;"-"&amp;TEXT(COUNTIFS($B$9:B991,B991,$E$9:E991,E991),"0000")</f>
        <v>SUR-COM-0136</v>
      </c>
      <c r="B991" s="322" t="s">
        <v>34</v>
      </c>
      <c r="C991" s="322" t="s">
        <v>34</v>
      </c>
      <c r="D991" s="323" t="s">
        <v>1181</v>
      </c>
      <c r="E991" s="132" t="s">
        <v>23</v>
      </c>
      <c r="F991" s="97" t="str">
        <f ca="1">IF(OR(Market_Data[[#This Row],[Start Date]]="",Market_Data[[#This Row],[Completion Date]]=""),"Needs Validation",IF(Market_Data[[#This Row],[Start Date]]&gt;TODAY(),"Planned",IF(Market_Data[[#This Row],[Completion Date]]&lt;TODAY(),"Completed","Ongoing")))</f>
        <v>Ongoing</v>
      </c>
      <c r="G991" s="324">
        <v>45404</v>
      </c>
      <c r="H991" s="324">
        <v>47483</v>
      </c>
      <c r="I991" s="325">
        <v>36500</v>
      </c>
      <c r="J99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991" s="133">
        <f>_xlfn.XLOOKUP(Market_Data[[#This Row],[Project Type]],tbl_assumptions_market[Project Category (RERA)],tbl_assumptions_market[Concrete Intensity
(m³ / sq m BUA)],"",0)</f>
        <v>0.5</v>
      </c>
      <c r="L991" s="134">
        <f>ROUND(Market_Data[[#This Row],[Estimated Built Up Area (sq m)]]*Market_Data[[#This Row],[Concrete Intensity
(m³ / sq m)]],0)</f>
        <v>18250</v>
      </c>
      <c r="M991" s="135">
        <f>_xlfn.XLOOKUP(Market_Data[[#This Row],[District]],tbl_district_price[District],tbl_district_price[Standard Price
(INR/m³)],"",0)</f>
        <v>6200</v>
      </c>
      <c r="N991" s="364">
        <f>IF(OR(Market_Data[[#This Row],[Estimated Concrete Demand (m³)]]="",Market_Data[[#This Row],[Avg Price per (₹ / m³)]]=""),"",Market_Data[[#This Row],[Estimated Concrete Demand (m³)]]*Market_Data[[#This Row],[Avg Price per (₹ / m³)]]/10000000)</f>
        <v>11.315</v>
      </c>
      <c r="O991" s="97" t="str">
        <f>IF(Market_Data[[#This Row],[Estimated Concrete Demand (m³)]]="","",
IF(Market_Data[[#This Row],[Estimated Concrete Demand (m³)]]&lt;10000,"Small",
IF(Market_Data[[#This Row],[Estimated Concrete Demand (m³)]]&lt;25000,"Medium",
IF(Market_Data[[#This Row],[Estimated Concrete Demand (m³)]]&lt;100000,"Large","Mega"))))</f>
        <v>Medium</v>
      </c>
      <c r="P991" s="287" t="str">
        <f t="shared" si="17"/>
        <v>GujRERA</v>
      </c>
    </row>
    <row r="992" spans="1:16">
      <c r="A992" s="129" t="str">
        <f>_xlfn.XLOOKUP(B992,$S$9:$S$14,$T$9:$T$14)&amp;"-"&amp;
IF(E992="Residential/Group Housing","RES",
IF(E992="Commercial","COM",
IF(E992="Mixed Development","MIX",
IF(E992="Plotted Development","PLT","OTH"))))
&amp;"-"&amp;TEXT(COUNTIFS($B$9:B992,B992,$E$9:E992,E992),"0000")</f>
        <v>SUR-COM-0137</v>
      </c>
      <c r="B992" s="322" t="s">
        <v>34</v>
      </c>
      <c r="C992" s="322" t="s">
        <v>34</v>
      </c>
      <c r="D992" s="323" t="s">
        <v>1182</v>
      </c>
      <c r="E992" s="132" t="s">
        <v>23</v>
      </c>
      <c r="F992" s="97" t="str">
        <f ca="1">IF(OR(Market_Data[[#This Row],[Start Date]]="",Market_Data[[#This Row],[Completion Date]]=""),"Needs Validation",IF(Market_Data[[#This Row],[Start Date]]&gt;TODAY(),"Planned",IF(Market_Data[[#This Row],[Completion Date]]&lt;TODAY(),"Completed","Ongoing")))</f>
        <v>Ongoing</v>
      </c>
      <c r="G992" s="324">
        <v>45661</v>
      </c>
      <c r="H992" s="324">
        <v>46752</v>
      </c>
      <c r="I992" s="325">
        <v>45100</v>
      </c>
      <c r="J99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992" s="133">
        <f>_xlfn.XLOOKUP(Market_Data[[#This Row],[Project Type]],tbl_assumptions_market[Project Category (RERA)],tbl_assumptions_market[Concrete Intensity
(m³ / sq m BUA)],"",0)</f>
        <v>0.5</v>
      </c>
      <c r="L992" s="134">
        <f>ROUND(Market_Data[[#This Row],[Estimated Built Up Area (sq m)]]*Market_Data[[#This Row],[Concrete Intensity
(m³ / sq m)]],0)</f>
        <v>22550</v>
      </c>
      <c r="M992" s="135">
        <f>_xlfn.XLOOKUP(Market_Data[[#This Row],[District]],tbl_district_price[District],tbl_district_price[Standard Price
(INR/m³)],"",0)</f>
        <v>6200</v>
      </c>
      <c r="N992" s="364">
        <f>IF(OR(Market_Data[[#This Row],[Estimated Concrete Demand (m³)]]="",Market_Data[[#This Row],[Avg Price per (₹ / m³)]]=""),"",Market_Data[[#This Row],[Estimated Concrete Demand (m³)]]*Market_Data[[#This Row],[Avg Price per (₹ / m³)]]/10000000)</f>
        <v>13.981</v>
      </c>
      <c r="O992" s="97" t="str">
        <f>IF(Market_Data[[#This Row],[Estimated Concrete Demand (m³)]]="","",
IF(Market_Data[[#This Row],[Estimated Concrete Demand (m³)]]&lt;10000,"Small",
IF(Market_Data[[#This Row],[Estimated Concrete Demand (m³)]]&lt;25000,"Medium",
IF(Market_Data[[#This Row],[Estimated Concrete Demand (m³)]]&lt;100000,"Large","Mega"))))</f>
        <v>Medium</v>
      </c>
      <c r="P992" s="287" t="str">
        <f t="shared" si="17"/>
        <v>GujRERA</v>
      </c>
    </row>
    <row r="993" spans="1:16">
      <c r="A993" s="129" t="str">
        <f>_xlfn.XLOOKUP(B993,$S$9:$S$14,$T$9:$T$14)&amp;"-"&amp;
IF(E993="Residential/Group Housing","RES",
IF(E993="Commercial","COM",
IF(E993="Mixed Development","MIX",
IF(E993="Plotted Development","PLT","OTH"))))
&amp;"-"&amp;TEXT(COUNTIFS($B$9:B993,B993,$E$9:E993,E993),"0000")</f>
        <v>SUR-COM-0138</v>
      </c>
      <c r="B993" s="322" t="s">
        <v>34</v>
      </c>
      <c r="C993" s="322" t="s">
        <v>34</v>
      </c>
      <c r="D993" s="323" t="s">
        <v>1183</v>
      </c>
      <c r="E993" s="132" t="s">
        <v>23</v>
      </c>
      <c r="F993" s="97" t="str">
        <f ca="1">IF(OR(Market_Data[[#This Row],[Start Date]]="",Market_Data[[#This Row],[Completion Date]]=""),"Needs Validation",IF(Market_Data[[#This Row],[Start Date]]&gt;TODAY(),"Planned",IF(Market_Data[[#This Row],[Completion Date]]&lt;TODAY(),"Completed","Ongoing")))</f>
        <v>Completed</v>
      </c>
      <c r="G993" s="324">
        <v>39772</v>
      </c>
      <c r="H993" s="324">
        <v>43830</v>
      </c>
      <c r="I993" s="325">
        <v>9000</v>
      </c>
      <c r="J99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93" s="133">
        <f>_xlfn.XLOOKUP(Market_Data[[#This Row],[Project Type]],tbl_assumptions_market[Project Category (RERA)],tbl_assumptions_market[Concrete Intensity
(m³ / sq m BUA)],"",0)</f>
        <v>0.5</v>
      </c>
      <c r="L993" s="134">
        <f>ROUND(Market_Data[[#This Row],[Estimated Built Up Area (sq m)]]*Market_Data[[#This Row],[Concrete Intensity
(m³ / sq m)]],0)</f>
        <v>4500</v>
      </c>
      <c r="M993" s="135">
        <f>_xlfn.XLOOKUP(Market_Data[[#This Row],[District]],tbl_district_price[District],tbl_district_price[Standard Price
(INR/m³)],"",0)</f>
        <v>6200</v>
      </c>
      <c r="N993" s="364">
        <f>IF(OR(Market_Data[[#This Row],[Estimated Concrete Demand (m³)]]="",Market_Data[[#This Row],[Avg Price per (₹ / m³)]]=""),"",Market_Data[[#This Row],[Estimated Concrete Demand (m³)]]*Market_Data[[#This Row],[Avg Price per (₹ / m³)]]/10000000)</f>
        <v>2.79</v>
      </c>
      <c r="O993" s="97" t="str">
        <f>IF(Market_Data[[#This Row],[Estimated Concrete Demand (m³)]]="","",
IF(Market_Data[[#This Row],[Estimated Concrete Demand (m³)]]&lt;10000,"Small",
IF(Market_Data[[#This Row],[Estimated Concrete Demand (m³)]]&lt;25000,"Medium",
IF(Market_Data[[#This Row],[Estimated Concrete Demand (m³)]]&lt;100000,"Large","Mega"))))</f>
        <v>Small</v>
      </c>
      <c r="P993" s="287" t="str">
        <f t="shared" si="17"/>
        <v>GujRERA</v>
      </c>
    </row>
    <row r="994" spans="1:16">
      <c r="A994" s="129" t="str">
        <f>_xlfn.XLOOKUP(B994,$S$9:$S$14,$T$9:$T$14)&amp;"-"&amp;
IF(E994="Residential/Group Housing","RES",
IF(E994="Commercial","COM",
IF(E994="Mixed Development","MIX",
IF(E994="Plotted Development","PLT","OTH"))))
&amp;"-"&amp;TEXT(COUNTIFS($B$9:B994,B994,$E$9:E994,E994),"0000")</f>
        <v>SUR-RES-0252</v>
      </c>
      <c r="B994" s="322" t="s">
        <v>34</v>
      </c>
      <c r="C994" s="322" t="s">
        <v>34</v>
      </c>
      <c r="D994" s="323" t="s">
        <v>1184</v>
      </c>
      <c r="E994" s="132" t="s">
        <v>24</v>
      </c>
      <c r="F994" s="97" t="str">
        <f ca="1">IF(OR(Market_Data[[#This Row],[Start Date]]="",Market_Data[[#This Row],[Completion Date]]=""),"Needs Validation",IF(Market_Data[[#This Row],[Start Date]]&gt;TODAY(),"Planned",IF(Market_Data[[#This Row],[Completion Date]]&lt;TODAY(),"Completed","Ongoing")))</f>
        <v>Ongoing</v>
      </c>
      <c r="G994" s="324">
        <v>44927</v>
      </c>
      <c r="H994" s="324">
        <v>46387</v>
      </c>
      <c r="I994" s="325">
        <v>53100</v>
      </c>
      <c r="J99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94" s="133">
        <f>_xlfn.XLOOKUP(Market_Data[[#This Row],[Project Type]],tbl_assumptions_market[Project Category (RERA)],tbl_assumptions_market[Concrete Intensity
(m³ / sq m BUA)],"",0)</f>
        <v>0.45</v>
      </c>
      <c r="L994" s="134">
        <f>ROUND(Market_Data[[#This Row],[Estimated Built Up Area (sq m)]]*Market_Data[[#This Row],[Concrete Intensity
(m³ / sq m)]],0)</f>
        <v>23895</v>
      </c>
      <c r="M994" s="135">
        <f>_xlfn.XLOOKUP(Market_Data[[#This Row],[District]],tbl_district_price[District],tbl_district_price[Standard Price
(INR/m³)],"",0)</f>
        <v>6200</v>
      </c>
      <c r="N994" s="364">
        <f>IF(OR(Market_Data[[#This Row],[Estimated Concrete Demand (m³)]]="",Market_Data[[#This Row],[Avg Price per (₹ / m³)]]=""),"",Market_Data[[#This Row],[Estimated Concrete Demand (m³)]]*Market_Data[[#This Row],[Avg Price per (₹ / m³)]]/10000000)</f>
        <v>14.8149</v>
      </c>
      <c r="O994" s="97" t="str">
        <f>IF(Market_Data[[#This Row],[Estimated Concrete Demand (m³)]]="","",
IF(Market_Data[[#This Row],[Estimated Concrete Demand (m³)]]&lt;10000,"Small",
IF(Market_Data[[#This Row],[Estimated Concrete Demand (m³)]]&lt;25000,"Medium",
IF(Market_Data[[#This Row],[Estimated Concrete Demand (m³)]]&lt;100000,"Large","Mega"))))</f>
        <v>Medium</v>
      </c>
      <c r="P994" s="287" t="str">
        <f t="shared" si="17"/>
        <v>GujRERA</v>
      </c>
    </row>
    <row r="995" spans="1:16">
      <c r="A995" s="129" t="str">
        <f>_xlfn.XLOOKUP(B995,$S$9:$S$14,$T$9:$T$14)&amp;"-"&amp;
IF(E995="Residential/Group Housing","RES",
IF(E995="Commercial","COM",
IF(E995="Mixed Development","MIX",
IF(E995="Plotted Development","PLT","OTH"))))
&amp;"-"&amp;TEXT(COUNTIFS($B$9:B995,B995,$E$9:E995,E995),"0000")</f>
        <v>SUR-COM-0139</v>
      </c>
      <c r="B995" s="322" t="s">
        <v>34</v>
      </c>
      <c r="C995" s="322" t="s">
        <v>34</v>
      </c>
      <c r="D995" s="323" t="s">
        <v>1185</v>
      </c>
      <c r="E995" s="132" t="s">
        <v>23</v>
      </c>
      <c r="F995" s="97" t="str">
        <f ca="1">IF(OR(Market_Data[[#This Row],[Start Date]]="",Market_Data[[#This Row],[Completion Date]]=""),"Needs Validation",IF(Market_Data[[#This Row],[Start Date]]&gt;TODAY(),"Planned",IF(Market_Data[[#This Row],[Completion Date]]&lt;TODAY(),"Completed","Ongoing")))</f>
        <v>Completed</v>
      </c>
      <c r="G995" s="324">
        <v>41318</v>
      </c>
      <c r="H995" s="324">
        <v>43564</v>
      </c>
      <c r="I995" s="325">
        <v>51000</v>
      </c>
      <c r="J99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995" s="133">
        <f>_xlfn.XLOOKUP(Market_Data[[#This Row],[Project Type]],tbl_assumptions_market[Project Category (RERA)],tbl_assumptions_market[Concrete Intensity
(m³ / sq m BUA)],"",0)</f>
        <v>0.5</v>
      </c>
      <c r="L995" s="134">
        <f>ROUND(Market_Data[[#This Row],[Estimated Built Up Area (sq m)]]*Market_Data[[#This Row],[Concrete Intensity
(m³ / sq m)]],0)</f>
        <v>25500</v>
      </c>
      <c r="M995" s="135">
        <f>_xlfn.XLOOKUP(Market_Data[[#This Row],[District]],tbl_district_price[District],tbl_district_price[Standard Price
(INR/m³)],"",0)</f>
        <v>6200</v>
      </c>
      <c r="N995" s="364">
        <f>IF(OR(Market_Data[[#This Row],[Estimated Concrete Demand (m³)]]="",Market_Data[[#This Row],[Avg Price per (₹ / m³)]]=""),"",Market_Data[[#This Row],[Estimated Concrete Demand (m³)]]*Market_Data[[#This Row],[Avg Price per (₹ / m³)]]/10000000)</f>
        <v>15.81</v>
      </c>
      <c r="O995" s="97" t="str">
        <f>IF(Market_Data[[#This Row],[Estimated Concrete Demand (m³)]]="","",
IF(Market_Data[[#This Row],[Estimated Concrete Demand (m³)]]&lt;10000,"Small",
IF(Market_Data[[#This Row],[Estimated Concrete Demand (m³)]]&lt;25000,"Medium",
IF(Market_Data[[#This Row],[Estimated Concrete Demand (m³)]]&lt;100000,"Large","Mega"))))</f>
        <v>Large</v>
      </c>
      <c r="P995" s="287" t="str">
        <f t="shared" si="17"/>
        <v>GujRERA</v>
      </c>
    </row>
    <row r="996" spans="1:16">
      <c r="A996" s="129" t="str">
        <f>_xlfn.XLOOKUP(B996,$S$9:$S$14,$T$9:$T$14)&amp;"-"&amp;
IF(E996="Residential/Group Housing","RES",
IF(E996="Commercial","COM",
IF(E996="Mixed Development","MIX",
IF(E996="Plotted Development","PLT","OTH"))))
&amp;"-"&amp;TEXT(COUNTIFS($B$9:B996,B996,$E$9:E996,E996),"0000")</f>
        <v>SUR-PLT-0164</v>
      </c>
      <c r="B996" s="322" t="s">
        <v>34</v>
      </c>
      <c r="C996" s="322" t="s">
        <v>34</v>
      </c>
      <c r="D996" s="323" t="s">
        <v>1186</v>
      </c>
      <c r="E996" s="132" t="s">
        <v>26</v>
      </c>
      <c r="F996" s="97" t="str">
        <f ca="1">IF(OR(Market_Data[[#This Row],[Start Date]]="",Market_Data[[#This Row],[Completion Date]]=""),"Needs Validation",IF(Market_Data[[#This Row],[Start Date]]&gt;TODAY(),"Planned",IF(Market_Data[[#This Row],[Completion Date]]&lt;TODAY(),"Completed","Ongoing")))</f>
        <v>Ongoing</v>
      </c>
      <c r="G996" s="324">
        <v>45593</v>
      </c>
      <c r="H996" s="324">
        <v>46752</v>
      </c>
      <c r="I996" s="325">
        <v>54900</v>
      </c>
      <c r="J99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996" s="133">
        <f>_xlfn.XLOOKUP(Market_Data[[#This Row],[Project Type]],tbl_assumptions_market[Project Category (RERA)],tbl_assumptions_market[Concrete Intensity
(m³ / sq m BUA)],"",0)</f>
        <v>0.18</v>
      </c>
      <c r="L996" s="134">
        <f>ROUND(Market_Data[[#This Row],[Estimated Built Up Area (sq m)]]*Market_Data[[#This Row],[Concrete Intensity
(m³ / sq m)]],0)</f>
        <v>9882</v>
      </c>
      <c r="M996" s="135">
        <f>_xlfn.XLOOKUP(Market_Data[[#This Row],[District]],tbl_district_price[District],tbl_district_price[Standard Price
(INR/m³)],"",0)</f>
        <v>6200</v>
      </c>
      <c r="N996" s="364">
        <f>IF(OR(Market_Data[[#This Row],[Estimated Concrete Demand (m³)]]="",Market_Data[[#This Row],[Avg Price per (₹ / m³)]]=""),"",Market_Data[[#This Row],[Estimated Concrete Demand (m³)]]*Market_Data[[#This Row],[Avg Price per (₹ / m³)]]/10000000)</f>
        <v>6.1268399999999996</v>
      </c>
      <c r="O996" s="97" t="str">
        <f>IF(Market_Data[[#This Row],[Estimated Concrete Demand (m³)]]="","",
IF(Market_Data[[#This Row],[Estimated Concrete Demand (m³)]]&lt;10000,"Small",
IF(Market_Data[[#This Row],[Estimated Concrete Demand (m³)]]&lt;25000,"Medium",
IF(Market_Data[[#This Row],[Estimated Concrete Demand (m³)]]&lt;100000,"Large","Mega"))))</f>
        <v>Small</v>
      </c>
      <c r="P996" s="287" t="str">
        <f t="shared" si="17"/>
        <v>GujRERA</v>
      </c>
    </row>
    <row r="997" spans="1:16">
      <c r="A997" s="129" t="str">
        <f>_xlfn.XLOOKUP(B997,$S$9:$S$14,$T$9:$T$14)&amp;"-"&amp;
IF(E997="Residential/Group Housing","RES",
IF(E997="Commercial","COM",
IF(E997="Mixed Development","MIX",
IF(E997="Plotted Development","PLT","OTH"))))
&amp;"-"&amp;TEXT(COUNTIFS($B$9:B997,B997,$E$9:E997,E997),"0000")</f>
        <v>SUR-RES-0253</v>
      </c>
      <c r="B997" s="322" t="s">
        <v>34</v>
      </c>
      <c r="C997" s="322" t="s">
        <v>34</v>
      </c>
      <c r="D997" s="323" t="s">
        <v>1187</v>
      </c>
      <c r="E997" s="132" t="s">
        <v>24</v>
      </c>
      <c r="F997" s="97" t="str">
        <f ca="1">IF(OR(Market_Data[[#This Row],[Start Date]]="",Market_Data[[#This Row],[Completion Date]]=""),"Needs Validation",IF(Market_Data[[#This Row],[Start Date]]&gt;TODAY(),"Planned",IF(Market_Data[[#This Row],[Completion Date]]&lt;TODAY(),"Completed","Ongoing")))</f>
        <v>Ongoing</v>
      </c>
      <c r="G997" s="324">
        <v>45404</v>
      </c>
      <c r="H997" s="324">
        <v>46752</v>
      </c>
      <c r="I997" s="325">
        <v>28900</v>
      </c>
      <c r="J99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97" s="133">
        <f>_xlfn.XLOOKUP(Market_Data[[#This Row],[Project Type]],tbl_assumptions_market[Project Category (RERA)],tbl_assumptions_market[Concrete Intensity
(m³ / sq m BUA)],"",0)</f>
        <v>0.45</v>
      </c>
      <c r="L997" s="134">
        <f>ROUND(Market_Data[[#This Row],[Estimated Built Up Area (sq m)]]*Market_Data[[#This Row],[Concrete Intensity
(m³ / sq m)]],0)</f>
        <v>13005</v>
      </c>
      <c r="M997" s="135">
        <f>_xlfn.XLOOKUP(Market_Data[[#This Row],[District]],tbl_district_price[District],tbl_district_price[Standard Price
(INR/m³)],"",0)</f>
        <v>6200</v>
      </c>
      <c r="N997" s="364">
        <f>IF(OR(Market_Data[[#This Row],[Estimated Concrete Demand (m³)]]="",Market_Data[[#This Row],[Avg Price per (₹ / m³)]]=""),"",Market_Data[[#This Row],[Estimated Concrete Demand (m³)]]*Market_Data[[#This Row],[Avg Price per (₹ / m³)]]/10000000)</f>
        <v>8.0631000000000004</v>
      </c>
      <c r="O997" s="97" t="str">
        <f>IF(Market_Data[[#This Row],[Estimated Concrete Demand (m³)]]="","",
IF(Market_Data[[#This Row],[Estimated Concrete Demand (m³)]]&lt;10000,"Small",
IF(Market_Data[[#This Row],[Estimated Concrete Demand (m³)]]&lt;25000,"Medium",
IF(Market_Data[[#This Row],[Estimated Concrete Demand (m³)]]&lt;100000,"Large","Mega"))))</f>
        <v>Medium</v>
      </c>
      <c r="P997" s="287" t="str">
        <f t="shared" si="17"/>
        <v>GujRERA</v>
      </c>
    </row>
    <row r="998" spans="1:16">
      <c r="A998" s="129" t="str">
        <f>_xlfn.XLOOKUP(B998,$S$9:$S$14,$T$9:$T$14)&amp;"-"&amp;
IF(E998="Residential/Group Housing","RES",
IF(E998="Commercial","COM",
IF(E998="Mixed Development","MIX",
IF(E998="Plotted Development","PLT","OTH"))))
&amp;"-"&amp;TEXT(COUNTIFS($B$9:B998,B998,$E$9:E998,E998),"0000")</f>
        <v>SUR-RES-0254</v>
      </c>
      <c r="B998" s="322" t="s">
        <v>34</v>
      </c>
      <c r="C998" s="322" t="s">
        <v>34</v>
      </c>
      <c r="D998" s="323" t="s">
        <v>1188</v>
      </c>
      <c r="E998" s="132" t="s">
        <v>24</v>
      </c>
      <c r="F998" s="97" t="str">
        <f ca="1">IF(OR(Market_Data[[#This Row],[Start Date]]="",Market_Data[[#This Row],[Completion Date]]=""),"Needs Validation",IF(Market_Data[[#This Row],[Start Date]]&gt;TODAY(),"Planned",IF(Market_Data[[#This Row],[Completion Date]]&lt;TODAY(),"Completed","Ongoing")))</f>
        <v>Ongoing</v>
      </c>
      <c r="G998" s="324">
        <v>45764</v>
      </c>
      <c r="H998" s="324">
        <v>47483</v>
      </c>
      <c r="I998" s="325">
        <v>38100</v>
      </c>
      <c r="J99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98" s="133">
        <f>_xlfn.XLOOKUP(Market_Data[[#This Row],[Project Type]],tbl_assumptions_market[Project Category (RERA)],tbl_assumptions_market[Concrete Intensity
(m³ / sq m BUA)],"",0)</f>
        <v>0.45</v>
      </c>
      <c r="L998" s="134">
        <f>ROUND(Market_Data[[#This Row],[Estimated Built Up Area (sq m)]]*Market_Data[[#This Row],[Concrete Intensity
(m³ / sq m)]],0)</f>
        <v>17145</v>
      </c>
      <c r="M998" s="135">
        <f>_xlfn.XLOOKUP(Market_Data[[#This Row],[District]],tbl_district_price[District],tbl_district_price[Standard Price
(INR/m³)],"",0)</f>
        <v>6200</v>
      </c>
      <c r="N998" s="364">
        <f>IF(OR(Market_Data[[#This Row],[Estimated Concrete Demand (m³)]]="",Market_Data[[#This Row],[Avg Price per (₹ / m³)]]=""),"",Market_Data[[#This Row],[Estimated Concrete Demand (m³)]]*Market_Data[[#This Row],[Avg Price per (₹ / m³)]]/10000000)</f>
        <v>10.629899999999999</v>
      </c>
      <c r="O998" s="97" t="str">
        <f>IF(Market_Data[[#This Row],[Estimated Concrete Demand (m³)]]="","",
IF(Market_Data[[#This Row],[Estimated Concrete Demand (m³)]]&lt;10000,"Small",
IF(Market_Data[[#This Row],[Estimated Concrete Demand (m³)]]&lt;25000,"Medium",
IF(Market_Data[[#This Row],[Estimated Concrete Demand (m³)]]&lt;100000,"Large","Mega"))))</f>
        <v>Medium</v>
      </c>
      <c r="P998" s="287" t="str">
        <f t="shared" si="17"/>
        <v>GujRERA</v>
      </c>
    </row>
    <row r="999" spans="1:16">
      <c r="A999" s="129" t="str">
        <f>_xlfn.XLOOKUP(B999,$S$9:$S$14,$T$9:$T$14)&amp;"-"&amp;
IF(E999="Residential/Group Housing","RES",
IF(E999="Commercial","COM",
IF(E999="Mixed Development","MIX",
IF(E999="Plotted Development","PLT","OTH"))))
&amp;"-"&amp;TEXT(COUNTIFS($B$9:B999,B999,$E$9:E999,E999),"0000")</f>
        <v>SUR-RES-0255</v>
      </c>
      <c r="B999" s="322" t="s">
        <v>34</v>
      </c>
      <c r="C999" s="322" t="s">
        <v>34</v>
      </c>
      <c r="D999" s="323" t="s">
        <v>1189</v>
      </c>
      <c r="E999" s="132" t="s">
        <v>24</v>
      </c>
      <c r="F999" s="97" t="str">
        <f ca="1">IF(OR(Market_Data[[#This Row],[Start Date]]="",Market_Data[[#This Row],[Completion Date]]=""),"Needs Validation",IF(Market_Data[[#This Row],[Start Date]]&gt;TODAY(),"Planned",IF(Market_Data[[#This Row],[Completion Date]]&lt;TODAY(),"Completed","Ongoing")))</f>
        <v>Completed</v>
      </c>
      <c r="G999" s="324">
        <v>43405</v>
      </c>
      <c r="H999" s="324">
        <v>45473</v>
      </c>
      <c r="I999" s="325">
        <v>39800</v>
      </c>
      <c r="J99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999" s="133">
        <f>_xlfn.XLOOKUP(Market_Data[[#This Row],[Project Type]],tbl_assumptions_market[Project Category (RERA)],tbl_assumptions_market[Concrete Intensity
(m³ / sq m BUA)],"",0)</f>
        <v>0.45</v>
      </c>
      <c r="L999" s="134">
        <f>ROUND(Market_Data[[#This Row],[Estimated Built Up Area (sq m)]]*Market_Data[[#This Row],[Concrete Intensity
(m³ / sq m)]],0)</f>
        <v>17910</v>
      </c>
      <c r="M999" s="135">
        <f>_xlfn.XLOOKUP(Market_Data[[#This Row],[District]],tbl_district_price[District],tbl_district_price[Standard Price
(INR/m³)],"",0)</f>
        <v>6200</v>
      </c>
      <c r="N999" s="364">
        <f>IF(OR(Market_Data[[#This Row],[Estimated Concrete Demand (m³)]]="",Market_Data[[#This Row],[Avg Price per (₹ / m³)]]=""),"",Market_Data[[#This Row],[Estimated Concrete Demand (m³)]]*Market_Data[[#This Row],[Avg Price per (₹ / m³)]]/10000000)</f>
        <v>11.104200000000001</v>
      </c>
      <c r="O999" s="97" t="str">
        <f>IF(Market_Data[[#This Row],[Estimated Concrete Demand (m³)]]="","",
IF(Market_Data[[#This Row],[Estimated Concrete Demand (m³)]]&lt;10000,"Small",
IF(Market_Data[[#This Row],[Estimated Concrete Demand (m³)]]&lt;25000,"Medium",
IF(Market_Data[[#This Row],[Estimated Concrete Demand (m³)]]&lt;100000,"Large","Mega"))))</f>
        <v>Medium</v>
      </c>
      <c r="P999" s="287" t="str">
        <f t="shared" si="17"/>
        <v>GujRERA</v>
      </c>
    </row>
    <row r="1000" spans="1:16">
      <c r="A1000" s="129" t="str">
        <f>_xlfn.XLOOKUP(B1000,$S$9:$S$14,$T$9:$T$14)&amp;"-"&amp;
IF(E1000="Residential/Group Housing","RES",
IF(E1000="Commercial","COM",
IF(E1000="Mixed Development","MIX",
IF(E1000="Plotted Development","PLT","OTH"))))
&amp;"-"&amp;TEXT(COUNTIFS($B$9:B1000,B1000,$E$9:E1000,E1000),"0000")</f>
        <v>SUR-PLT-0165</v>
      </c>
      <c r="B1000" s="322" t="s">
        <v>34</v>
      </c>
      <c r="C1000" s="322" t="s">
        <v>34</v>
      </c>
      <c r="D1000" s="323" t="s">
        <v>1190</v>
      </c>
      <c r="E1000" s="132" t="s">
        <v>26</v>
      </c>
      <c r="F1000" s="97" t="str">
        <f ca="1">IF(OR(Market_Data[[#This Row],[Start Date]]="",Market_Data[[#This Row],[Completion Date]]=""),"Needs Validation",IF(Market_Data[[#This Row],[Start Date]]&gt;TODAY(),"Planned",IF(Market_Data[[#This Row],[Completion Date]]&lt;TODAY(),"Completed","Ongoing")))</f>
        <v>Completed</v>
      </c>
      <c r="G1000" s="324">
        <v>43059</v>
      </c>
      <c r="H1000" s="324">
        <v>44563</v>
      </c>
      <c r="I1000" s="325">
        <v>9800</v>
      </c>
      <c r="J100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00" s="133">
        <f>_xlfn.XLOOKUP(Market_Data[[#This Row],[Project Type]],tbl_assumptions_market[Project Category (RERA)],tbl_assumptions_market[Concrete Intensity
(m³ / sq m BUA)],"",0)</f>
        <v>0.18</v>
      </c>
      <c r="L1000" s="134">
        <f>ROUND(Market_Data[[#This Row],[Estimated Built Up Area (sq m)]]*Market_Data[[#This Row],[Concrete Intensity
(m³ / sq m)]],0)</f>
        <v>1764</v>
      </c>
      <c r="M1000" s="135">
        <f>_xlfn.XLOOKUP(Market_Data[[#This Row],[District]],tbl_district_price[District],tbl_district_price[Standard Price
(INR/m³)],"",0)</f>
        <v>6200</v>
      </c>
      <c r="N1000" s="364">
        <f>IF(OR(Market_Data[[#This Row],[Estimated Concrete Demand (m³)]]="",Market_Data[[#This Row],[Avg Price per (₹ / m³)]]=""),"",Market_Data[[#This Row],[Estimated Concrete Demand (m³)]]*Market_Data[[#This Row],[Avg Price per (₹ / m³)]]/10000000)</f>
        <v>1.09368</v>
      </c>
      <c r="O1000" s="97" t="str">
        <f>IF(Market_Data[[#This Row],[Estimated Concrete Demand (m³)]]="","",
IF(Market_Data[[#This Row],[Estimated Concrete Demand (m³)]]&lt;10000,"Small",
IF(Market_Data[[#This Row],[Estimated Concrete Demand (m³)]]&lt;25000,"Medium",
IF(Market_Data[[#This Row],[Estimated Concrete Demand (m³)]]&lt;100000,"Large","Mega"))))</f>
        <v>Small</v>
      </c>
      <c r="P1000" s="287" t="str">
        <f t="shared" si="17"/>
        <v>GujRERA</v>
      </c>
    </row>
    <row r="1001" spans="1:16">
      <c r="A1001" s="129" t="str">
        <f>_xlfn.XLOOKUP(B1001,$S$9:$S$14,$T$9:$T$14)&amp;"-"&amp;
IF(E1001="Residential/Group Housing","RES",
IF(E1001="Commercial","COM",
IF(E1001="Mixed Development","MIX",
IF(E1001="Plotted Development","PLT","OTH"))))
&amp;"-"&amp;TEXT(COUNTIFS($B$9:B1001,B1001,$E$9:E1001,E1001),"0000")</f>
        <v>SUR-PLT-0166</v>
      </c>
      <c r="B1001" s="322" t="s">
        <v>34</v>
      </c>
      <c r="C1001" s="322" t="s">
        <v>34</v>
      </c>
      <c r="D1001" s="323" t="s">
        <v>1191</v>
      </c>
      <c r="E1001" s="132" t="s">
        <v>26</v>
      </c>
      <c r="F1001" s="97" t="str">
        <f ca="1">IF(OR(Market_Data[[#This Row],[Start Date]]="",Market_Data[[#This Row],[Completion Date]]=""),"Needs Validation",IF(Market_Data[[#This Row],[Start Date]]&gt;TODAY(),"Planned",IF(Market_Data[[#This Row],[Completion Date]]&lt;TODAY(),"Completed","Ongoing")))</f>
        <v>Completed</v>
      </c>
      <c r="G1001" s="324">
        <v>44851</v>
      </c>
      <c r="H1001" s="324">
        <v>46022</v>
      </c>
      <c r="I1001" s="325">
        <v>35400</v>
      </c>
      <c r="J100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001" s="133">
        <f>_xlfn.XLOOKUP(Market_Data[[#This Row],[Project Type]],tbl_assumptions_market[Project Category (RERA)],tbl_assumptions_market[Concrete Intensity
(m³ / sq m BUA)],"",0)</f>
        <v>0.18</v>
      </c>
      <c r="L1001" s="134">
        <f>ROUND(Market_Data[[#This Row],[Estimated Built Up Area (sq m)]]*Market_Data[[#This Row],[Concrete Intensity
(m³ / sq m)]],0)</f>
        <v>6372</v>
      </c>
      <c r="M1001" s="135">
        <f>_xlfn.XLOOKUP(Market_Data[[#This Row],[District]],tbl_district_price[District],tbl_district_price[Standard Price
(INR/m³)],"",0)</f>
        <v>6200</v>
      </c>
      <c r="N1001" s="364">
        <f>IF(OR(Market_Data[[#This Row],[Estimated Concrete Demand (m³)]]="",Market_Data[[#This Row],[Avg Price per (₹ / m³)]]=""),"",Market_Data[[#This Row],[Estimated Concrete Demand (m³)]]*Market_Data[[#This Row],[Avg Price per (₹ / m³)]]/10000000)</f>
        <v>3.9506399999999999</v>
      </c>
      <c r="O1001" s="97" t="str">
        <f>IF(Market_Data[[#This Row],[Estimated Concrete Demand (m³)]]="","",
IF(Market_Data[[#This Row],[Estimated Concrete Demand (m³)]]&lt;10000,"Small",
IF(Market_Data[[#This Row],[Estimated Concrete Demand (m³)]]&lt;25000,"Medium",
IF(Market_Data[[#This Row],[Estimated Concrete Demand (m³)]]&lt;100000,"Large","Mega"))))</f>
        <v>Small</v>
      </c>
      <c r="P1001" s="287" t="str">
        <f t="shared" si="17"/>
        <v>GujRERA</v>
      </c>
    </row>
    <row r="1002" spans="1:16">
      <c r="A1002" s="129" t="str">
        <f>_xlfn.XLOOKUP(B1002,$S$9:$S$14,$T$9:$T$14)&amp;"-"&amp;
IF(E1002="Residential/Group Housing","RES",
IF(E1002="Commercial","COM",
IF(E1002="Mixed Development","MIX",
IF(E1002="Plotted Development","PLT","OTH"))))
&amp;"-"&amp;TEXT(COUNTIFS($B$9:B1002,B1002,$E$9:E1002,E1002),"0000")</f>
        <v>SUR-RES-0256</v>
      </c>
      <c r="B1002" s="322" t="s">
        <v>34</v>
      </c>
      <c r="C1002" s="322" t="s">
        <v>34</v>
      </c>
      <c r="D1002" s="323" t="s">
        <v>1192</v>
      </c>
      <c r="E1002" s="132" t="s">
        <v>24</v>
      </c>
      <c r="F1002" s="97" t="str">
        <f ca="1">IF(OR(Market_Data[[#This Row],[Start Date]]="",Market_Data[[#This Row],[Completion Date]]=""),"Needs Validation",IF(Market_Data[[#This Row],[Start Date]]&gt;TODAY(),"Planned",IF(Market_Data[[#This Row],[Completion Date]]&lt;TODAY(),"Completed","Ongoing")))</f>
        <v>Ongoing</v>
      </c>
      <c r="G1002" s="324">
        <v>45017</v>
      </c>
      <c r="H1002" s="324">
        <v>47208</v>
      </c>
      <c r="I1002" s="325">
        <v>29300</v>
      </c>
      <c r="J100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02" s="133">
        <f>_xlfn.XLOOKUP(Market_Data[[#This Row],[Project Type]],tbl_assumptions_market[Project Category (RERA)],tbl_assumptions_market[Concrete Intensity
(m³ / sq m BUA)],"",0)</f>
        <v>0.45</v>
      </c>
      <c r="L1002" s="134">
        <f>ROUND(Market_Data[[#This Row],[Estimated Built Up Area (sq m)]]*Market_Data[[#This Row],[Concrete Intensity
(m³ / sq m)]],0)</f>
        <v>13185</v>
      </c>
      <c r="M1002" s="135">
        <f>_xlfn.XLOOKUP(Market_Data[[#This Row],[District]],tbl_district_price[District],tbl_district_price[Standard Price
(INR/m³)],"",0)</f>
        <v>6200</v>
      </c>
      <c r="N1002" s="364">
        <f>IF(OR(Market_Data[[#This Row],[Estimated Concrete Demand (m³)]]="",Market_Data[[#This Row],[Avg Price per (₹ / m³)]]=""),"",Market_Data[[#This Row],[Estimated Concrete Demand (m³)]]*Market_Data[[#This Row],[Avg Price per (₹ / m³)]]/10000000)</f>
        <v>8.1746999999999996</v>
      </c>
      <c r="O1002" s="97" t="str">
        <f>IF(Market_Data[[#This Row],[Estimated Concrete Demand (m³)]]="","",
IF(Market_Data[[#This Row],[Estimated Concrete Demand (m³)]]&lt;10000,"Small",
IF(Market_Data[[#This Row],[Estimated Concrete Demand (m³)]]&lt;25000,"Medium",
IF(Market_Data[[#This Row],[Estimated Concrete Demand (m³)]]&lt;100000,"Large","Mega"))))</f>
        <v>Medium</v>
      </c>
      <c r="P1002" s="287" t="str">
        <f t="shared" si="17"/>
        <v>GujRERA</v>
      </c>
    </row>
    <row r="1003" spans="1:16">
      <c r="A1003" s="129" t="str">
        <f>_xlfn.XLOOKUP(B1003,$S$9:$S$14,$T$9:$T$14)&amp;"-"&amp;
IF(E1003="Residential/Group Housing","RES",
IF(E1003="Commercial","COM",
IF(E1003="Mixed Development","MIX",
IF(E1003="Plotted Development","PLT","OTH"))))
&amp;"-"&amp;TEXT(COUNTIFS($B$9:B1003,B1003,$E$9:E1003,E1003),"0000")</f>
        <v>SUR-MIX-0124</v>
      </c>
      <c r="B1003" s="322" t="s">
        <v>34</v>
      </c>
      <c r="C1003" s="322" t="s">
        <v>34</v>
      </c>
      <c r="D1003" s="323" t="s">
        <v>1193</v>
      </c>
      <c r="E1003" s="132" t="s">
        <v>25</v>
      </c>
      <c r="F1003" s="97" t="str">
        <f ca="1">IF(OR(Market_Data[[#This Row],[Start Date]]="",Market_Data[[#This Row],[Completion Date]]=""),"Needs Validation",IF(Market_Data[[#This Row],[Start Date]]&gt;TODAY(),"Planned",IF(Market_Data[[#This Row],[Completion Date]]&lt;TODAY(),"Completed","Ongoing")))</f>
        <v>Ongoing</v>
      </c>
      <c r="G1003" s="324">
        <v>45758</v>
      </c>
      <c r="H1003" s="324">
        <v>47208</v>
      </c>
      <c r="I1003" s="325">
        <v>52100</v>
      </c>
      <c r="J100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03" s="133">
        <f>_xlfn.XLOOKUP(Market_Data[[#This Row],[Project Type]],tbl_assumptions_market[Project Category (RERA)],tbl_assumptions_market[Concrete Intensity
(m³ / sq m BUA)],"",0)</f>
        <v>0.42</v>
      </c>
      <c r="L1003" s="134">
        <f>ROUND(Market_Data[[#This Row],[Estimated Built Up Area (sq m)]]*Market_Data[[#This Row],[Concrete Intensity
(m³ / sq m)]],0)</f>
        <v>21882</v>
      </c>
      <c r="M1003" s="135">
        <f>_xlfn.XLOOKUP(Market_Data[[#This Row],[District]],tbl_district_price[District],tbl_district_price[Standard Price
(INR/m³)],"",0)</f>
        <v>6200</v>
      </c>
      <c r="N1003" s="364">
        <f>IF(OR(Market_Data[[#This Row],[Estimated Concrete Demand (m³)]]="",Market_Data[[#This Row],[Avg Price per (₹ / m³)]]=""),"",Market_Data[[#This Row],[Estimated Concrete Demand (m³)]]*Market_Data[[#This Row],[Avg Price per (₹ / m³)]]/10000000)</f>
        <v>13.566839999999999</v>
      </c>
      <c r="O1003" s="97" t="str">
        <f>IF(Market_Data[[#This Row],[Estimated Concrete Demand (m³)]]="","",
IF(Market_Data[[#This Row],[Estimated Concrete Demand (m³)]]&lt;10000,"Small",
IF(Market_Data[[#This Row],[Estimated Concrete Demand (m³)]]&lt;25000,"Medium",
IF(Market_Data[[#This Row],[Estimated Concrete Demand (m³)]]&lt;100000,"Large","Mega"))))</f>
        <v>Medium</v>
      </c>
      <c r="P1003" s="287" t="str">
        <f t="shared" si="17"/>
        <v>GujRERA</v>
      </c>
    </row>
    <row r="1004" spans="1:16">
      <c r="A1004" s="129" t="str">
        <f>_xlfn.XLOOKUP(B1004,$S$9:$S$14,$T$9:$T$14)&amp;"-"&amp;
IF(E1004="Residential/Group Housing","RES",
IF(E1004="Commercial","COM",
IF(E1004="Mixed Development","MIX",
IF(E1004="Plotted Development","PLT","OTH"))))
&amp;"-"&amp;TEXT(COUNTIFS($B$9:B1004,B1004,$E$9:E1004,E1004),"0000")</f>
        <v>SUR-RES-0257</v>
      </c>
      <c r="B1004" s="322" t="s">
        <v>34</v>
      </c>
      <c r="C1004" s="322" t="s">
        <v>34</v>
      </c>
      <c r="D1004" s="323" t="s">
        <v>1194</v>
      </c>
      <c r="E1004" s="132" t="s">
        <v>24</v>
      </c>
      <c r="F1004" s="97" t="str">
        <f ca="1">IF(OR(Market_Data[[#This Row],[Start Date]]="",Market_Data[[#This Row],[Completion Date]]=""),"Needs Validation",IF(Market_Data[[#This Row],[Start Date]]&gt;TODAY(),"Planned",IF(Market_Data[[#This Row],[Completion Date]]&lt;TODAY(),"Completed","Ongoing")))</f>
        <v>Ongoing</v>
      </c>
      <c r="G1004" s="324">
        <v>45021</v>
      </c>
      <c r="H1004" s="324">
        <v>47118</v>
      </c>
      <c r="I1004" s="325">
        <v>19700</v>
      </c>
      <c r="J100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04" s="133">
        <f>_xlfn.XLOOKUP(Market_Data[[#This Row],[Project Type]],tbl_assumptions_market[Project Category (RERA)],tbl_assumptions_market[Concrete Intensity
(m³ / sq m BUA)],"",0)</f>
        <v>0.45</v>
      </c>
      <c r="L1004" s="134">
        <f>ROUND(Market_Data[[#This Row],[Estimated Built Up Area (sq m)]]*Market_Data[[#This Row],[Concrete Intensity
(m³ / sq m)]],0)</f>
        <v>8865</v>
      </c>
      <c r="M1004" s="135">
        <f>_xlfn.XLOOKUP(Market_Data[[#This Row],[District]],tbl_district_price[District],tbl_district_price[Standard Price
(INR/m³)],"",0)</f>
        <v>6200</v>
      </c>
      <c r="N1004" s="364">
        <f>IF(OR(Market_Data[[#This Row],[Estimated Concrete Demand (m³)]]="",Market_Data[[#This Row],[Avg Price per (₹ / m³)]]=""),"",Market_Data[[#This Row],[Estimated Concrete Demand (m³)]]*Market_Data[[#This Row],[Avg Price per (₹ / m³)]]/10000000)</f>
        <v>5.4962999999999997</v>
      </c>
      <c r="O1004" s="97" t="str">
        <f>IF(Market_Data[[#This Row],[Estimated Concrete Demand (m³)]]="","",
IF(Market_Data[[#This Row],[Estimated Concrete Demand (m³)]]&lt;10000,"Small",
IF(Market_Data[[#This Row],[Estimated Concrete Demand (m³)]]&lt;25000,"Medium",
IF(Market_Data[[#This Row],[Estimated Concrete Demand (m³)]]&lt;100000,"Large","Mega"))))</f>
        <v>Small</v>
      </c>
      <c r="P1004" s="287" t="str">
        <f t="shared" si="17"/>
        <v>GujRERA</v>
      </c>
    </row>
    <row r="1005" spans="1:16">
      <c r="A1005" s="129" t="str">
        <f>_xlfn.XLOOKUP(B1005,$S$9:$S$14,$T$9:$T$14)&amp;"-"&amp;
IF(E1005="Residential/Group Housing","RES",
IF(E1005="Commercial","COM",
IF(E1005="Mixed Development","MIX",
IF(E1005="Plotted Development","PLT","OTH"))))
&amp;"-"&amp;TEXT(COUNTIFS($B$9:B1005,B1005,$E$9:E1005,E1005),"0000")</f>
        <v>SUR-COM-0140</v>
      </c>
      <c r="B1005" s="322" t="s">
        <v>34</v>
      </c>
      <c r="C1005" s="322" t="s">
        <v>34</v>
      </c>
      <c r="D1005" s="323" t="s">
        <v>1195</v>
      </c>
      <c r="E1005" s="132" t="s">
        <v>23</v>
      </c>
      <c r="F1005" s="97" t="str">
        <f ca="1">IF(OR(Market_Data[[#This Row],[Start Date]]="",Market_Data[[#This Row],[Completion Date]]=""),"Needs Validation",IF(Market_Data[[#This Row],[Start Date]]&gt;TODAY(),"Planned",IF(Market_Data[[#This Row],[Completion Date]]&lt;TODAY(),"Completed","Ongoing")))</f>
        <v>Completed</v>
      </c>
      <c r="G1005" s="324">
        <v>40700</v>
      </c>
      <c r="H1005" s="324">
        <v>44925</v>
      </c>
      <c r="I1005" s="325">
        <v>11700</v>
      </c>
      <c r="J100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05" s="133">
        <f>_xlfn.XLOOKUP(Market_Data[[#This Row],[Project Type]],tbl_assumptions_market[Project Category (RERA)],tbl_assumptions_market[Concrete Intensity
(m³ / sq m BUA)],"",0)</f>
        <v>0.5</v>
      </c>
      <c r="L1005" s="134">
        <f>ROUND(Market_Data[[#This Row],[Estimated Built Up Area (sq m)]]*Market_Data[[#This Row],[Concrete Intensity
(m³ / sq m)]],0)</f>
        <v>5850</v>
      </c>
      <c r="M1005" s="135">
        <f>_xlfn.XLOOKUP(Market_Data[[#This Row],[District]],tbl_district_price[District],tbl_district_price[Standard Price
(INR/m³)],"",0)</f>
        <v>6200</v>
      </c>
      <c r="N1005" s="364">
        <f>IF(OR(Market_Data[[#This Row],[Estimated Concrete Demand (m³)]]="",Market_Data[[#This Row],[Avg Price per (₹ / m³)]]=""),"",Market_Data[[#This Row],[Estimated Concrete Demand (m³)]]*Market_Data[[#This Row],[Avg Price per (₹ / m³)]]/10000000)</f>
        <v>3.6269999999999998</v>
      </c>
      <c r="O1005" s="97" t="str">
        <f>IF(Market_Data[[#This Row],[Estimated Concrete Demand (m³)]]="","",
IF(Market_Data[[#This Row],[Estimated Concrete Demand (m³)]]&lt;10000,"Small",
IF(Market_Data[[#This Row],[Estimated Concrete Demand (m³)]]&lt;25000,"Medium",
IF(Market_Data[[#This Row],[Estimated Concrete Demand (m³)]]&lt;100000,"Large","Mega"))))</f>
        <v>Small</v>
      </c>
      <c r="P1005" s="287" t="str">
        <f t="shared" si="17"/>
        <v>GujRERA</v>
      </c>
    </row>
    <row r="1006" spans="1:16">
      <c r="A1006" s="129" t="str">
        <f>_xlfn.XLOOKUP(B1006,$S$9:$S$14,$T$9:$T$14)&amp;"-"&amp;
IF(E1006="Residential/Group Housing","RES",
IF(E1006="Commercial","COM",
IF(E1006="Mixed Development","MIX",
IF(E1006="Plotted Development","PLT","OTH"))))
&amp;"-"&amp;TEXT(COUNTIFS($B$9:B1006,B1006,$E$9:E1006,E1006),"0000")</f>
        <v>SUR-COM-0141</v>
      </c>
      <c r="B1006" s="322" t="s">
        <v>34</v>
      </c>
      <c r="C1006" s="322" t="s">
        <v>34</v>
      </c>
      <c r="D1006" s="323" t="s">
        <v>1196</v>
      </c>
      <c r="E1006" s="132" t="s">
        <v>23</v>
      </c>
      <c r="F1006" s="97" t="str">
        <f ca="1">IF(OR(Market_Data[[#This Row],[Start Date]]="",Market_Data[[#This Row],[Completion Date]]=""),"Needs Validation",IF(Market_Data[[#This Row],[Start Date]]&gt;TODAY(),"Planned",IF(Market_Data[[#This Row],[Completion Date]]&lt;TODAY(),"Completed","Ongoing")))</f>
        <v>Completed</v>
      </c>
      <c r="G1006" s="324">
        <v>43056</v>
      </c>
      <c r="H1006" s="324">
        <v>44332</v>
      </c>
      <c r="I1006" s="325">
        <v>19900</v>
      </c>
      <c r="J100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06" s="133">
        <f>_xlfn.XLOOKUP(Market_Data[[#This Row],[Project Type]],tbl_assumptions_market[Project Category (RERA)],tbl_assumptions_market[Concrete Intensity
(m³ / sq m BUA)],"",0)</f>
        <v>0.5</v>
      </c>
      <c r="L1006" s="134">
        <f>ROUND(Market_Data[[#This Row],[Estimated Built Up Area (sq m)]]*Market_Data[[#This Row],[Concrete Intensity
(m³ / sq m)]],0)</f>
        <v>9950</v>
      </c>
      <c r="M1006" s="135">
        <f>_xlfn.XLOOKUP(Market_Data[[#This Row],[District]],tbl_district_price[District],tbl_district_price[Standard Price
(INR/m³)],"",0)</f>
        <v>6200</v>
      </c>
      <c r="N1006" s="364">
        <f>IF(OR(Market_Data[[#This Row],[Estimated Concrete Demand (m³)]]="",Market_Data[[#This Row],[Avg Price per (₹ / m³)]]=""),"",Market_Data[[#This Row],[Estimated Concrete Demand (m³)]]*Market_Data[[#This Row],[Avg Price per (₹ / m³)]]/10000000)</f>
        <v>6.1689999999999996</v>
      </c>
      <c r="O1006" s="97" t="str">
        <f>IF(Market_Data[[#This Row],[Estimated Concrete Demand (m³)]]="","",
IF(Market_Data[[#This Row],[Estimated Concrete Demand (m³)]]&lt;10000,"Small",
IF(Market_Data[[#This Row],[Estimated Concrete Demand (m³)]]&lt;25000,"Medium",
IF(Market_Data[[#This Row],[Estimated Concrete Demand (m³)]]&lt;100000,"Large","Mega"))))</f>
        <v>Small</v>
      </c>
      <c r="P1006" s="287" t="str">
        <f t="shared" si="17"/>
        <v>GujRERA</v>
      </c>
    </row>
    <row r="1007" spans="1:16">
      <c r="A1007" s="129" t="str">
        <f>_xlfn.XLOOKUP(B1007,$S$9:$S$14,$T$9:$T$14)&amp;"-"&amp;
IF(E1007="Residential/Group Housing","RES",
IF(E1007="Commercial","COM",
IF(E1007="Mixed Development","MIX",
IF(E1007="Plotted Development","PLT","OTH"))))
&amp;"-"&amp;TEXT(COUNTIFS($B$9:B1007,B1007,$E$9:E1007,E1007),"0000")</f>
        <v>SUR-RES-0258</v>
      </c>
      <c r="B1007" s="322" t="s">
        <v>34</v>
      </c>
      <c r="C1007" s="322" t="s">
        <v>34</v>
      </c>
      <c r="D1007" s="323" t="s">
        <v>1197</v>
      </c>
      <c r="E1007" s="132" t="s">
        <v>24</v>
      </c>
      <c r="F1007" s="97" t="str">
        <f ca="1">IF(OR(Market_Data[[#This Row],[Start Date]]="",Market_Data[[#This Row],[Completion Date]]=""),"Needs Validation",IF(Market_Data[[#This Row],[Start Date]]&gt;TODAY(),"Planned",IF(Market_Data[[#This Row],[Completion Date]]&lt;TODAY(),"Completed","Ongoing")))</f>
        <v>Ongoing</v>
      </c>
      <c r="G1007" s="324">
        <v>45413</v>
      </c>
      <c r="H1007" s="324">
        <v>46477</v>
      </c>
      <c r="I1007" s="325">
        <v>40400</v>
      </c>
      <c r="J100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07" s="133">
        <f>_xlfn.XLOOKUP(Market_Data[[#This Row],[Project Type]],tbl_assumptions_market[Project Category (RERA)],tbl_assumptions_market[Concrete Intensity
(m³ / sq m BUA)],"",0)</f>
        <v>0.45</v>
      </c>
      <c r="L1007" s="134">
        <f>ROUND(Market_Data[[#This Row],[Estimated Built Up Area (sq m)]]*Market_Data[[#This Row],[Concrete Intensity
(m³ / sq m)]],0)</f>
        <v>18180</v>
      </c>
      <c r="M1007" s="135">
        <f>_xlfn.XLOOKUP(Market_Data[[#This Row],[District]],tbl_district_price[District],tbl_district_price[Standard Price
(INR/m³)],"",0)</f>
        <v>6200</v>
      </c>
      <c r="N1007" s="364">
        <f>IF(OR(Market_Data[[#This Row],[Estimated Concrete Demand (m³)]]="",Market_Data[[#This Row],[Avg Price per (₹ / m³)]]=""),"",Market_Data[[#This Row],[Estimated Concrete Demand (m³)]]*Market_Data[[#This Row],[Avg Price per (₹ / m³)]]/10000000)</f>
        <v>11.271599999999999</v>
      </c>
      <c r="O1007" s="97" t="str">
        <f>IF(Market_Data[[#This Row],[Estimated Concrete Demand (m³)]]="","",
IF(Market_Data[[#This Row],[Estimated Concrete Demand (m³)]]&lt;10000,"Small",
IF(Market_Data[[#This Row],[Estimated Concrete Demand (m³)]]&lt;25000,"Medium",
IF(Market_Data[[#This Row],[Estimated Concrete Demand (m³)]]&lt;100000,"Large","Mega"))))</f>
        <v>Medium</v>
      </c>
      <c r="P1007" s="287" t="str">
        <f t="shared" si="17"/>
        <v>GujRERA</v>
      </c>
    </row>
    <row r="1008" spans="1:16">
      <c r="A1008" s="129" t="str">
        <f>_xlfn.XLOOKUP(B1008,$S$9:$S$14,$T$9:$T$14)&amp;"-"&amp;
IF(E1008="Residential/Group Housing","RES",
IF(E1008="Commercial","COM",
IF(E1008="Mixed Development","MIX",
IF(E1008="Plotted Development","PLT","OTH"))))
&amp;"-"&amp;TEXT(COUNTIFS($B$9:B1008,B1008,$E$9:E1008,E1008),"0000")</f>
        <v>SUR-PLT-0167</v>
      </c>
      <c r="B1008" s="322" t="s">
        <v>34</v>
      </c>
      <c r="C1008" s="322" t="s">
        <v>34</v>
      </c>
      <c r="D1008" s="323" t="s">
        <v>1198</v>
      </c>
      <c r="E1008" s="132" t="s">
        <v>26</v>
      </c>
      <c r="F1008" s="97" t="str">
        <f ca="1">IF(OR(Market_Data[[#This Row],[Start Date]]="",Market_Data[[#This Row],[Completion Date]]=""),"Needs Validation",IF(Market_Data[[#This Row],[Start Date]]&gt;TODAY(),"Planned",IF(Market_Data[[#This Row],[Completion Date]]&lt;TODAY(),"Completed","Ongoing")))</f>
        <v>Ongoing</v>
      </c>
      <c r="G1008" s="324">
        <v>46123</v>
      </c>
      <c r="H1008" s="324">
        <v>47117</v>
      </c>
      <c r="I1008" s="325">
        <v>4100</v>
      </c>
      <c r="J100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08" s="133">
        <f>_xlfn.XLOOKUP(Market_Data[[#This Row],[Project Type]],tbl_assumptions_market[Project Category (RERA)],tbl_assumptions_market[Concrete Intensity
(m³ / sq m BUA)],"",0)</f>
        <v>0.18</v>
      </c>
      <c r="L1008" s="134">
        <f>ROUND(Market_Data[[#This Row],[Estimated Built Up Area (sq m)]]*Market_Data[[#This Row],[Concrete Intensity
(m³ / sq m)]],0)</f>
        <v>738</v>
      </c>
      <c r="M1008" s="135">
        <f>_xlfn.XLOOKUP(Market_Data[[#This Row],[District]],tbl_district_price[District],tbl_district_price[Standard Price
(INR/m³)],"",0)</f>
        <v>6200</v>
      </c>
      <c r="N1008" s="364">
        <f>IF(OR(Market_Data[[#This Row],[Estimated Concrete Demand (m³)]]="",Market_Data[[#This Row],[Avg Price per (₹ / m³)]]=""),"",Market_Data[[#This Row],[Estimated Concrete Demand (m³)]]*Market_Data[[#This Row],[Avg Price per (₹ / m³)]]/10000000)</f>
        <v>0.45756000000000002</v>
      </c>
      <c r="O1008" s="97" t="str">
        <f>IF(Market_Data[[#This Row],[Estimated Concrete Demand (m³)]]="","",
IF(Market_Data[[#This Row],[Estimated Concrete Demand (m³)]]&lt;10000,"Small",
IF(Market_Data[[#This Row],[Estimated Concrete Demand (m³)]]&lt;25000,"Medium",
IF(Market_Data[[#This Row],[Estimated Concrete Demand (m³)]]&lt;100000,"Large","Mega"))))</f>
        <v>Small</v>
      </c>
      <c r="P1008" s="287" t="str">
        <f t="shared" si="17"/>
        <v>GujRERA</v>
      </c>
    </row>
    <row r="1009" spans="1:16">
      <c r="A1009" s="129" t="str">
        <f>_xlfn.XLOOKUP(B1009,$S$9:$S$14,$T$9:$T$14)&amp;"-"&amp;
IF(E1009="Residential/Group Housing","RES",
IF(E1009="Commercial","COM",
IF(E1009="Mixed Development","MIX",
IF(E1009="Plotted Development","PLT","OTH"))))
&amp;"-"&amp;TEXT(COUNTIFS($B$9:B1009,B1009,$E$9:E1009,E1009),"0000")</f>
        <v>SUR-RES-0259</v>
      </c>
      <c r="B1009" s="322" t="s">
        <v>34</v>
      </c>
      <c r="C1009" s="322" t="s">
        <v>34</v>
      </c>
      <c r="D1009" s="323" t="s">
        <v>1199</v>
      </c>
      <c r="E1009" s="132" t="s">
        <v>24</v>
      </c>
      <c r="F1009" s="97" t="str">
        <f ca="1">IF(OR(Market_Data[[#This Row],[Start Date]]="",Market_Data[[#This Row],[Completion Date]]=""),"Needs Validation",IF(Market_Data[[#This Row],[Start Date]]&gt;TODAY(),"Planned",IF(Market_Data[[#This Row],[Completion Date]]&lt;TODAY(),"Completed","Ongoing")))</f>
        <v>Completed</v>
      </c>
      <c r="G1009" s="324">
        <v>42490</v>
      </c>
      <c r="H1009" s="324">
        <v>43405</v>
      </c>
      <c r="I1009" s="325">
        <v>34200</v>
      </c>
      <c r="J100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09" s="133">
        <f>_xlfn.XLOOKUP(Market_Data[[#This Row],[Project Type]],tbl_assumptions_market[Project Category (RERA)],tbl_assumptions_market[Concrete Intensity
(m³ / sq m BUA)],"",0)</f>
        <v>0.45</v>
      </c>
      <c r="L1009" s="134">
        <f>ROUND(Market_Data[[#This Row],[Estimated Built Up Area (sq m)]]*Market_Data[[#This Row],[Concrete Intensity
(m³ / sq m)]],0)</f>
        <v>15390</v>
      </c>
      <c r="M1009" s="135">
        <f>_xlfn.XLOOKUP(Market_Data[[#This Row],[District]],tbl_district_price[District],tbl_district_price[Standard Price
(INR/m³)],"",0)</f>
        <v>6200</v>
      </c>
      <c r="N1009" s="364">
        <f>IF(OR(Market_Data[[#This Row],[Estimated Concrete Demand (m³)]]="",Market_Data[[#This Row],[Avg Price per (₹ / m³)]]=""),"",Market_Data[[#This Row],[Estimated Concrete Demand (m³)]]*Market_Data[[#This Row],[Avg Price per (₹ / m³)]]/10000000)</f>
        <v>9.5418000000000003</v>
      </c>
      <c r="O1009" s="97" t="str">
        <f>IF(Market_Data[[#This Row],[Estimated Concrete Demand (m³)]]="","",
IF(Market_Data[[#This Row],[Estimated Concrete Demand (m³)]]&lt;10000,"Small",
IF(Market_Data[[#This Row],[Estimated Concrete Demand (m³)]]&lt;25000,"Medium",
IF(Market_Data[[#This Row],[Estimated Concrete Demand (m³)]]&lt;100000,"Large","Mega"))))</f>
        <v>Medium</v>
      </c>
      <c r="P1009" s="287" t="str">
        <f t="shared" si="17"/>
        <v>GujRERA</v>
      </c>
    </row>
    <row r="1010" spans="1:16">
      <c r="A1010" s="129" t="str">
        <f>_xlfn.XLOOKUP(B1010,$S$9:$S$14,$T$9:$T$14)&amp;"-"&amp;
IF(E1010="Residential/Group Housing","RES",
IF(E1010="Commercial","COM",
IF(E1010="Mixed Development","MIX",
IF(E1010="Plotted Development","PLT","OTH"))))
&amp;"-"&amp;TEXT(COUNTIFS($B$9:B1010,B1010,$E$9:E1010,E1010),"0000")</f>
        <v>SUR-PLT-0168</v>
      </c>
      <c r="B1010" s="322" t="s">
        <v>34</v>
      </c>
      <c r="C1010" s="322" t="s">
        <v>34</v>
      </c>
      <c r="D1010" s="323" t="s">
        <v>1200</v>
      </c>
      <c r="E1010" s="132" t="s">
        <v>26</v>
      </c>
      <c r="F1010" s="97" t="str">
        <f ca="1">IF(OR(Market_Data[[#This Row],[Start Date]]="",Market_Data[[#This Row],[Completion Date]]=""),"Needs Validation",IF(Market_Data[[#This Row],[Start Date]]&gt;TODAY(),"Planned",IF(Market_Data[[#This Row],[Completion Date]]&lt;TODAY(),"Completed","Ongoing")))</f>
        <v>Ongoing</v>
      </c>
      <c r="G1010" s="324">
        <v>44649</v>
      </c>
      <c r="H1010" s="324">
        <v>46387</v>
      </c>
      <c r="I1010" s="325">
        <v>36000</v>
      </c>
      <c r="J101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010" s="133">
        <f>_xlfn.XLOOKUP(Market_Data[[#This Row],[Project Type]],tbl_assumptions_market[Project Category (RERA)],tbl_assumptions_market[Concrete Intensity
(m³ / sq m BUA)],"",0)</f>
        <v>0.18</v>
      </c>
      <c r="L1010" s="134">
        <f>ROUND(Market_Data[[#This Row],[Estimated Built Up Area (sq m)]]*Market_Data[[#This Row],[Concrete Intensity
(m³ / sq m)]],0)</f>
        <v>6480</v>
      </c>
      <c r="M1010" s="135">
        <f>_xlfn.XLOOKUP(Market_Data[[#This Row],[District]],tbl_district_price[District],tbl_district_price[Standard Price
(INR/m³)],"",0)</f>
        <v>6200</v>
      </c>
      <c r="N1010" s="364">
        <f>IF(OR(Market_Data[[#This Row],[Estimated Concrete Demand (m³)]]="",Market_Data[[#This Row],[Avg Price per (₹ / m³)]]=""),"",Market_Data[[#This Row],[Estimated Concrete Demand (m³)]]*Market_Data[[#This Row],[Avg Price per (₹ / m³)]]/10000000)</f>
        <v>4.0175999999999998</v>
      </c>
      <c r="O1010" s="97" t="str">
        <f>IF(Market_Data[[#This Row],[Estimated Concrete Demand (m³)]]="","",
IF(Market_Data[[#This Row],[Estimated Concrete Demand (m³)]]&lt;10000,"Small",
IF(Market_Data[[#This Row],[Estimated Concrete Demand (m³)]]&lt;25000,"Medium",
IF(Market_Data[[#This Row],[Estimated Concrete Demand (m³)]]&lt;100000,"Large","Mega"))))</f>
        <v>Small</v>
      </c>
      <c r="P1010" s="287" t="str">
        <f t="shared" si="17"/>
        <v>GujRERA</v>
      </c>
    </row>
    <row r="1011" spans="1:16">
      <c r="A1011" s="129" t="str">
        <f>_xlfn.XLOOKUP(B1011,$S$9:$S$14,$T$9:$T$14)&amp;"-"&amp;
IF(E1011="Residential/Group Housing","RES",
IF(E1011="Commercial","COM",
IF(E1011="Mixed Development","MIX",
IF(E1011="Plotted Development","PLT","OTH"))))
&amp;"-"&amp;TEXT(COUNTIFS($B$9:B1011,B1011,$E$9:E1011,E1011),"0000")</f>
        <v>SUR-MIX-0125</v>
      </c>
      <c r="B1011" s="322" t="s">
        <v>34</v>
      </c>
      <c r="C1011" s="322" t="s">
        <v>34</v>
      </c>
      <c r="D1011" s="323" t="s">
        <v>1201</v>
      </c>
      <c r="E1011" s="132" t="s">
        <v>25</v>
      </c>
      <c r="F1011" s="97" t="str">
        <f ca="1">IF(OR(Market_Data[[#This Row],[Start Date]]="",Market_Data[[#This Row],[Completion Date]]=""),"Needs Validation",IF(Market_Data[[#This Row],[Start Date]]&gt;TODAY(),"Planned",IF(Market_Data[[#This Row],[Completion Date]]&lt;TODAY(),"Completed","Ongoing")))</f>
        <v>Ongoing</v>
      </c>
      <c r="G1011" s="324">
        <v>45474</v>
      </c>
      <c r="H1011" s="324">
        <v>47299</v>
      </c>
      <c r="I1011" s="325">
        <v>4900</v>
      </c>
      <c r="J101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011" s="133">
        <f>_xlfn.XLOOKUP(Market_Data[[#This Row],[Project Type]],tbl_assumptions_market[Project Category (RERA)],tbl_assumptions_market[Concrete Intensity
(m³ / sq m BUA)],"",0)</f>
        <v>0.42</v>
      </c>
      <c r="L1011" s="134">
        <f>ROUND(Market_Data[[#This Row],[Estimated Built Up Area (sq m)]]*Market_Data[[#This Row],[Concrete Intensity
(m³ / sq m)]],0)</f>
        <v>2058</v>
      </c>
      <c r="M1011" s="135">
        <f>_xlfn.XLOOKUP(Market_Data[[#This Row],[District]],tbl_district_price[District],tbl_district_price[Standard Price
(INR/m³)],"",0)</f>
        <v>6200</v>
      </c>
      <c r="N1011" s="364">
        <f>IF(OR(Market_Data[[#This Row],[Estimated Concrete Demand (m³)]]="",Market_Data[[#This Row],[Avg Price per (₹ / m³)]]=""),"",Market_Data[[#This Row],[Estimated Concrete Demand (m³)]]*Market_Data[[#This Row],[Avg Price per (₹ / m³)]]/10000000)</f>
        <v>1.27596</v>
      </c>
      <c r="O1011" s="97" t="str">
        <f>IF(Market_Data[[#This Row],[Estimated Concrete Demand (m³)]]="","",
IF(Market_Data[[#This Row],[Estimated Concrete Demand (m³)]]&lt;10000,"Small",
IF(Market_Data[[#This Row],[Estimated Concrete Demand (m³)]]&lt;25000,"Medium",
IF(Market_Data[[#This Row],[Estimated Concrete Demand (m³)]]&lt;100000,"Large","Mega"))))</f>
        <v>Small</v>
      </c>
      <c r="P1011" s="287" t="str">
        <f t="shared" si="17"/>
        <v>GujRERA</v>
      </c>
    </row>
    <row r="1012" spans="1:16">
      <c r="A1012" s="129" t="str">
        <f>_xlfn.XLOOKUP(B1012,$S$9:$S$14,$T$9:$T$14)&amp;"-"&amp;
IF(E1012="Residential/Group Housing","RES",
IF(E1012="Commercial","COM",
IF(E1012="Mixed Development","MIX",
IF(E1012="Plotted Development","PLT","OTH"))))
&amp;"-"&amp;TEXT(COUNTIFS($B$9:B1012,B1012,$E$9:E1012,E1012),"0000")</f>
        <v>SUR-RES-0260</v>
      </c>
      <c r="B1012" s="322" t="s">
        <v>34</v>
      </c>
      <c r="C1012" s="322" t="s">
        <v>34</v>
      </c>
      <c r="D1012" s="323" t="s">
        <v>1202</v>
      </c>
      <c r="E1012" s="132" t="s">
        <v>24</v>
      </c>
      <c r="F1012" s="97" t="str">
        <f ca="1">IF(OR(Market_Data[[#This Row],[Start Date]]="",Market_Data[[#This Row],[Completion Date]]=""),"Needs Validation",IF(Market_Data[[#This Row],[Start Date]]&gt;TODAY(),"Planned",IF(Market_Data[[#This Row],[Completion Date]]&lt;TODAY(),"Completed","Ongoing")))</f>
        <v>Ongoing</v>
      </c>
      <c r="G1012" s="324">
        <v>43556</v>
      </c>
      <c r="H1012" s="324">
        <v>46934</v>
      </c>
      <c r="I1012" s="325">
        <v>18700</v>
      </c>
      <c r="J101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12" s="133">
        <f>_xlfn.XLOOKUP(Market_Data[[#This Row],[Project Type]],tbl_assumptions_market[Project Category (RERA)],tbl_assumptions_market[Concrete Intensity
(m³ / sq m BUA)],"",0)</f>
        <v>0.45</v>
      </c>
      <c r="L1012" s="134">
        <f>ROUND(Market_Data[[#This Row],[Estimated Built Up Area (sq m)]]*Market_Data[[#This Row],[Concrete Intensity
(m³ / sq m)]],0)</f>
        <v>8415</v>
      </c>
      <c r="M1012" s="135">
        <f>_xlfn.XLOOKUP(Market_Data[[#This Row],[District]],tbl_district_price[District],tbl_district_price[Standard Price
(INR/m³)],"",0)</f>
        <v>6200</v>
      </c>
      <c r="N1012" s="364">
        <f>IF(OR(Market_Data[[#This Row],[Estimated Concrete Demand (m³)]]="",Market_Data[[#This Row],[Avg Price per (₹ / m³)]]=""),"",Market_Data[[#This Row],[Estimated Concrete Demand (m³)]]*Market_Data[[#This Row],[Avg Price per (₹ / m³)]]/10000000)</f>
        <v>5.2172999999999998</v>
      </c>
      <c r="O1012" s="97" t="str">
        <f>IF(Market_Data[[#This Row],[Estimated Concrete Demand (m³)]]="","",
IF(Market_Data[[#This Row],[Estimated Concrete Demand (m³)]]&lt;10000,"Small",
IF(Market_Data[[#This Row],[Estimated Concrete Demand (m³)]]&lt;25000,"Medium",
IF(Market_Data[[#This Row],[Estimated Concrete Demand (m³)]]&lt;100000,"Large","Mega"))))</f>
        <v>Small</v>
      </c>
      <c r="P1012" s="287" t="str">
        <f t="shared" si="17"/>
        <v>GujRERA</v>
      </c>
    </row>
    <row r="1013" spans="1:16">
      <c r="A1013" s="129" t="str">
        <f>_xlfn.XLOOKUP(B1013,$S$9:$S$14,$T$9:$T$14)&amp;"-"&amp;
IF(E1013="Residential/Group Housing","RES",
IF(E1013="Commercial","COM",
IF(E1013="Mixed Development","MIX",
IF(E1013="Plotted Development","PLT","OTH"))))
&amp;"-"&amp;TEXT(COUNTIFS($B$9:B1013,B1013,$E$9:E1013,E1013),"0000")</f>
        <v>SUR-MIX-0126</v>
      </c>
      <c r="B1013" s="322" t="s">
        <v>34</v>
      </c>
      <c r="C1013" s="322" t="s">
        <v>34</v>
      </c>
      <c r="D1013" s="323" t="s">
        <v>1203</v>
      </c>
      <c r="E1013" s="132" t="s">
        <v>25</v>
      </c>
      <c r="F1013" s="97" t="str">
        <f ca="1">IF(OR(Market_Data[[#This Row],[Start Date]]="",Market_Data[[#This Row],[Completion Date]]=""),"Needs Validation",IF(Market_Data[[#This Row],[Start Date]]&gt;TODAY(),"Planned",IF(Market_Data[[#This Row],[Completion Date]]&lt;TODAY(),"Completed","Ongoing")))</f>
        <v>Ongoing</v>
      </c>
      <c r="G1013" s="324">
        <v>45623</v>
      </c>
      <c r="H1013" s="324">
        <v>47482</v>
      </c>
      <c r="I1013" s="325">
        <v>19100</v>
      </c>
      <c r="J101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13" s="133">
        <f>_xlfn.XLOOKUP(Market_Data[[#This Row],[Project Type]],tbl_assumptions_market[Project Category (RERA)],tbl_assumptions_market[Concrete Intensity
(m³ / sq m BUA)],"",0)</f>
        <v>0.42</v>
      </c>
      <c r="L1013" s="134">
        <f>ROUND(Market_Data[[#This Row],[Estimated Built Up Area (sq m)]]*Market_Data[[#This Row],[Concrete Intensity
(m³ / sq m)]],0)</f>
        <v>8022</v>
      </c>
      <c r="M1013" s="135">
        <f>_xlfn.XLOOKUP(Market_Data[[#This Row],[District]],tbl_district_price[District],tbl_district_price[Standard Price
(INR/m³)],"",0)</f>
        <v>6200</v>
      </c>
      <c r="N1013" s="364">
        <f>IF(OR(Market_Data[[#This Row],[Estimated Concrete Demand (m³)]]="",Market_Data[[#This Row],[Avg Price per (₹ / m³)]]=""),"",Market_Data[[#This Row],[Estimated Concrete Demand (m³)]]*Market_Data[[#This Row],[Avg Price per (₹ / m³)]]/10000000)</f>
        <v>4.9736399999999996</v>
      </c>
      <c r="O1013" s="97" t="str">
        <f>IF(Market_Data[[#This Row],[Estimated Concrete Demand (m³)]]="","",
IF(Market_Data[[#This Row],[Estimated Concrete Demand (m³)]]&lt;10000,"Small",
IF(Market_Data[[#This Row],[Estimated Concrete Demand (m³)]]&lt;25000,"Medium",
IF(Market_Data[[#This Row],[Estimated Concrete Demand (m³)]]&lt;100000,"Large","Mega"))))</f>
        <v>Small</v>
      </c>
      <c r="P1013" s="287" t="str">
        <f t="shared" si="17"/>
        <v>GujRERA</v>
      </c>
    </row>
    <row r="1014" spans="1:16">
      <c r="A1014" s="129" t="str">
        <f>_xlfn.XLOOKUP(B1014,$S$9:$S$14,$T$9:$T$14)&amp;"-"&amp;
IF(E1014="Residential/Group Housing","RES",
IF(E1014="Commercial","COM",
IF(E1014="Mixed Development","MIX",
IF(E1014="Plotted Development","PLT","OTH"))))
&amp;"-"&amp;TEXT(COUNTIFS($B$9:B1014,B1014,$E$9:E1014,E1014),"0000")</f>
        <v>SUR-MIX-0127</v>
      </c>
      <c r="B1014" s="322" t="s">
        <v>34</v>
      </c>
      <c r="C1014" s="322" t="s">
        <v>34</v>
      </c>
      <c r="D1014" s="323" t="s">
        <v>1204</v>
      </c>
      <c r="E1014" s="132" t="s">
        <v>25</v>
      </c>
      <c r="F1014" s="97" t="str">
        <f ca="1">IF(OR(Market_Data[[#This Row],[Start Date]]="",Market_Data[[#This Row],[Completion Date]]=""),"Needs Validation",IF(Market_Data[[#This Row],[Start Date]]&gt;TODAY(),"Planned",IF(Market_Data[[#This Row],[Completion Date]]&lt;TODAY(),"Completed","Ongoing")))</f>
        <v>Ongoing</v>
      </c>
      <c r="G1014" s="324">
        <v>45297</v>
      </c>
      <c r="H1014" s="324">
        <v>47483</v>
      </c>
      <c r="I1014" s="325">
        <v>17700</v>
      </c>
      <c r="J101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14" s="133">
        <f>_xlfn.XLOOKUP(Market_Data[[#This Row],[Project Type]],tbl_assumptions_market[Project Category (RERA)],tbl_assumptions_market[Concrete Intensity
(m³ / sq m BUA)],"",0)</f>
        <v>0.42</v>
      </c>
      <c r="L1014" s="134">
        <f>ROUND(Market_Data[[#This Row],[Estimated Built Up Area (sq m)]]*Market_Data[[#This Row],[Concrete Intensity
(m³ / sq m)]],0)</f>
        <v>7434</v>
      </c>
      <c r="M1014" s="135">
        <f>_xlfn.XLOOKUP(Market_Data[[#This Row],[District]],tbl_district_price[District],tbl_district_price[Standard Price
(INR/m³)],"",0)</f>
        <v>6200</v>
      </c>
      <c r="N1014" s="364">
        <f>IF(OR(Market_Data[[#This Row],[Estimated Concrete Demand (m³)]]="",Market_Data[[#This Row],[Avg Price per (₹ / m³)]]=""),"",Market_Data[[#This Row],[Estimated Concrete Demand (m³)]]*Market_Data[[#This Row],[Avg Price per (₹ / m³)]]/10000000)</f>
        <v>4.6090799999999996</v>
      </c>
      <c r="O1014" s="97" t="str">
        <f>IF(Market_Data[[#This Row],[Estimated Concrete Demand (m³)]]="","",
IF(Market_Data[[#This Row],[Estimated Concrete Demand (m³)]]&lt;10000,"Small",
IF(Market_Data[[#This Row],[Estimated Concrete Demand (m³)]]&lt;25000,"Medium",
IF(Market_Data[[#This Row],[Estimated Concrete Demand (m³)]]&lt;100000,"Large","Mega"))))</f>
        <v>Small</v>
      </c>
      <c r="P1014" s="287" t="str">
        <f t="shared" si="17"/>
        <v>GujRERA</v>
      </c>
    </row>
    <row r="1015" spans="1:16">
      <c r="A1015" s="129" t="str">
        <f>_xlfn.XLOOKUP(B1015,$S$9:$S$14,$T$9:$T$14)&amp;"-"&amp;
IF(E1015="Residential/Group Housing","RES",
IF(E1015="Commercial","COM",
IF(E1015="Mixed Development","MIX",
IF(E1015="Plotted Development","PLT","OTH"))))
&amp;"-"&amp;TEXT(COUNTIFS($B$9:B1015,B1015,$E$9:E1015,E1015),"0000")</f>
        <v>SUR-PLT-0169</v>
      </c>
      <c r="B1015" s="322" t="s">
        <v>34</v>
      </c>
      <c r="C1015" s="322" t="s">
        <v>34</v>
      </c>
      <c r="D1015" s="323" t="s">
        <v>1205</v>
      </c>
      <c r="E1015" s="132" t="s">
        <v>26</v>
      </c>
      <c r="F1015" s="97" t="str">
        <f ca="1">IF(OR(Market_Data[[#This Row],[Start Date]]="",Market_Data[[#This Row],[Completion Date]]=""),"Needs Validation",IF(Market_Data[[#This Row],[Start Date]]&gt;TODAY(),"Planned",IF(Market_Data[[#This Row],[Completion Date]]&lt;TODAY(),"Completed","Ongoing")))</f>
        <v>Ongoing</v>
      </c>
      <c r="G1015" s="324">
        <v>45809</v>
      </c>
      <c r="H1015" s="324">
        <v>47268</v>
      </c>
      <c r="I1015" s="325">
        <v>28800</v>
      </c>
      <c r="J101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15" s="133">
        <f>_xlfn.XLOOKUP(Market_Data[[#This Row],[Project Type]],tbl_assumptions_market[Project Category (RERA)],tbl_assumptions_market[Concrete Intensity
(m³ / sq m BUA)],"",0)</f>
        <v>0.18</v>
      </c>
      <c r="L1015" s="134">
        <f>ROUND(Market_Data[[#This Row],[Estimated Built Up Area (sq m)]]*Market_Data[[#This Row],[Concrete Intensity
(m³ / sq m)]],0)</f>
        <v>5184</v>
      </c>
      <c r="M1015" s="135">
        <f>_xlfn.XLOOKUP(Market_Data[[#This Row],[District]],tbl_district_price[District],tbl_district_price[Standard Price
(INR/m³)],"",0)</f>
        <v>6200</v>
      </c>
      <c r="N1015" s="364">
        <f>IF(OR(Market_Data[[#This Row],[Estimated Concrete Demand (m³)]]="",Market_Data[[#This Row],[Avg Price per (₹ / m³)]]=""),"",Market_Data[[#This Row],[Estimated Concrete Demand (m³)]]*Market_Data[[#This Row],[Avg Price per (₹ / m³)]]/10000000)</f>
        <v>3.21408</v>
      </c>
      <c r="O1015" s="97" t="str">
        <f>IF(Market_Data[[#This Row],[Estimated Concrete Demand (m³)]]="","",
IF(Market_Data[[#This Row],[Estimated Concrete Demand (m³)]]&lt;10000,"Small",
IF(Market_Data[[#This Row],[Estimated Concrete Demand (m³)]]&lt;25000,"Medium",
IF(Market_Data[[#This Row],[Estimated Concrete Demand (m³)]]&lt;100000,"Large","Mega"))))</f>
        <v>Small</v>
      </c>
      <c r="P1015" s="287" t="str">
        <f t="shared" si="17"/>
        <v>GujRERA</v>
      </c>
    </row>
    <row r="1016" spans="1:16">
      <c r="A1016" s="129" t="str">
        <f>_xlfn.XLOOKUP(B1016,$S$9:$S$14,$T$9:$T$14)&amp;"-"&amp;
IF(E1016="Residential/Group Housing","RES",
IF(E1016="Commercial","COM",
IF(E1016="Mixed Development","MIX",
IF(E1016="Plotted Development","PLT","OTH"))))
&amp;"-"&amp;TEXT(COUNTIFS($B$9:B1016,B1016,$E$9:E1016,E1016),"0000")</f>
        <v>SUR-RES-0261</v>
      </c>
      <c r="B1016" s="322" t="s">
        <v>34</v>
      </c>
      <c r="C1016" s="322" t="s">
        <v>34</v>
      </c>
      <c r="D1016" s="323" t="s">
        <v>1206</v>
      </c>
      <c r="E1016" s="132" t="s">
        <v>24</v>
      </c>
      <c r="F1016" s="97" t="str">
        <f ca="1">IF(OR(Market_Data[[#This Row],[Start Date]]="",Market_Data[[#This Row],[Completion Date]]=""),"Needs Validation",IF(Market_Data[[#This Row],[Start Date]]&gt;TODAY(),"Planned",IF(Market_Data[[#This Row],[Completion Date]]&lt;TODAY(),"Completed","Ongoing")))</f>
        <v>Completed</v>
      </c>
      <c r="G1016" s="324">
        <v>43070</v>
      </c>
      <c r="H1016" s="324">
        <v>43830</v>
      </c>
      <c r="I1016" s="325">
        <v>7300</v>
      </c>
      <c r="J101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16" s="133">
        <f>_xlfn.XLOOKUP(Market_Data[[#This Row],[Project Type]],tbl_assumptions_market[Project Category (RERA)],tbl_assumptions_market[Concrete Intensity
(m³ / sq m BUA)],"",0)</f>
        <v>0.45</v>
      </c>
      <c r="L1016" s="134">
        <f>ROUND(Market_Data[[#This Row],[Estimated Built Up Area (sq m)]]*Market_Data[[#This Row],[Concrete Intensity
(m³ / sq m)]],0)</f>
        <v>3285</v>
      </c>
      <c r="M1016" s="135">
        <f>_xlfn.XLOOKUP(Market_Data[[#This Row],[District]],tbl_district_price[District],tbl_district_price[Standard Price
(INR/m³)],"",0)</f>
        <v>6200</v>
      </c>
      <c r="N1016" s="364">
        <f>IF(OR(Market_Data[[#This Row],[Estimated Concrete Demand (m³)]]="",Market_Data[[#This Row],[Avg Price per (₹ / m³)]]=""),"",Market_Data[[#This Row],[Estimated Concrete Demand (m³)]]*Market_Data[[#This Row],[Avg Price per (₹ / m³)]]/10000000)</f>
        <v>2.0367000000000002</v>
      </c>
      <c r="O1016" s="97" t="str">
        <f>IF(Market_Data[[#This Row],[Estimated Concrete Demand (m³)]]="","",
IF(Market_Data[[#This Row],[Estimated Concrete Demand (m³)]]&lt;10000,"Small",
IF(Market_Data[[#This Row],[Estimated Concrete Demand (m³)]]&lt;25000,"Medium",
IF(Market_Data[[#This Row],[Estimated Concrete Demand (m³)]]&lt;100000,"Large","Mega"))))</f>
        <v>Small</v>
      </c>
      <c r="P1016" s="287" t="str">
        <f t="shared" si="17"/>
        <v>GujRERA</v>
      </c>
    </row>
    <row r="1017" spans="1:16">
      <c r="A1017" s="129" t="str">
        <f>_xlfn.XLOOKUP(B1017,$S$9:$S$14,$T$9:$T$14)&amp;"-"&amp;
IF(E1017="Residential/Group Housing","RES",
IF(E1017="Commercial","COM",
IF(E1017="Mixed Development","MIX",
IF(E1017="Plotted Development","PLT","OTH"))))
&amp;"-"&amp;TEXT(COUNTIFS($B$9:B1017,B1017,$E$9:E1017,E1017),"0000")</f>
        <v>SUR-PLT-0170</v>
      </c>
      <c r="B1017" s="322" t="s">
        <v>34</v>
      </c>
      <c r="C1017" s="322" t="s">
        <v>34</v>
      </c>
      <c r="D1017" s="323" t="s">
        <v>1207</v>
      </c>
      <c r="E1017" s="132" t="s">
        <v>26</v>
      </c>
      <c r="F1017" s="97" t="str">
        <f ca="1">IF(OR(Market_Data[[#This Row],[Start Date]]="",Market_Data[[#This Row],[Completion Date]]=""),"Needs Validation",IF(Market_Data[[#This Row],[Start Date]]&gt;TODAY(),"Planned",IF(Market_Data[[#This Row],[Completion Date]]&lt;TODAY(),"Completed","Ongoing")))</f>
        <v>Completed</v>
      </c>
      <c r="G1017" s="324">
        <v>44531</v>
      </c>
      <c r="H1017" s="324">
        <v>45382</v>
      </c>
      <c r="I1017" s="325">
        <v>3000</v>
      </c>
      <c r="J101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17" s="133">
        <f>_xlfn.XLOOKUP(Market_Data[[#This Row],[Project Type]],tbl_assumptions_market[Project Category (RERA)],tbl_assumptions_market[Concrete Intensity
(m³ / sq m BUA)],"",0)</f>
        <v>0.18</v>
      </c>
      <c r="L1017" s="134">
        <f>ROUND(Market_Data[[#This Row],[Estimated Built Up Area (sq m)]]*Market_Data[[#This Row],[Concrete Intensity
(m³ / sq m)]],0)</f>
        <v>540</v>
      </c>
      <c r="M1017" s="135">
        <f>_xlfn.XLOOKUP(Market_Data[[#This Row],[District]],tbl_district_price[District],tbl_district_price[Standard Price
(INR/m³)],"",0)</f>
        <v>6200</v>
      </c>
      <c r="N1017" s="364">
        <f>IF(OR(Market_Data[[#This Row],[Estimated Concrete Demand (m³)]]="",Market_Data[[#This Row],[Avg Price per (₹ / m³)]]=""),"",Market_Data[[#This Row],[Estimated Concrete Demand (m³)]]*Market_Data[[#This Row],[Avg Price per (₹ / m³)]]/10000000)</f>
        <v>0.33479999999999999</v>
      </c>
      <c r="O1017" s="97" t="str">
        <f>IF(Market_Data[[#This Row],[Estimated Concrete Demand (m³)]]="","",
IF(Market_Data[[#This Row],[Estimated Concrete Demand (m³)]]&lt;10000,"Small",
IF(Market_Data[[#This Row],[Estimated Concrete Demand (m³)]]&lt;25000,"Medium",
IF(Market_Data[[#This Row],[Estimated Concrete Demand (m³)]]&lt;100000,"Large","Mega"))))</f>
        <v>Small</v>
      </c>
      <c r="P1017" s="287" t="str">
        <f t="shared" si="17"/>
        <v>GujRERA</v>
      </c>
    </row>
    <row r="1018" spans="1:16">
      <c r="A1018" s="129" t="str">
        <f>_xlfn.XLOOKUP(B1018,$S$9:$S$14,$T$9:$T$14)&amp;"-"&amp;
IF(E1018="Residential/Group Housing","RES",
IF(E1018="Commercial","COM",
IF(E1018="Mixed Development","MIX",
IF(E1018="Plotted Development","PLT","OTH"))))
&amp;"-"&amp;TEXT(COUNTIFS($B$9:B1018,B1018,$E$9:E1018,E1018),"0000")</f>
        <v>SUR-RES-0262</v>
      </c>
      <c r="B1018" s="322" t="s">
        <v>34</v>
      </c>
      <c r="C1018" s="322" t="s">
        <v>34</v>
      </c>
      <c r="D1018" s="323" t="s">
        <v>1208</v>
      </c>
      <c r="E1018" s="132" t="s">
        <v>24</v>
      </c>
      <c r="F1018" s="97" t="str">
        <f ca="1">IF(OR(Market_Data[[#This Row],[Start Date]]="",Market_Data[[#This Row],[Completion Date]]=""),"Needs Validation",IF(Market_Data[[#This Row],[Start Date]]&gt;TODAY(),"Planned",IF(Market_Data[[#This Row],[Completion Date]]&lt;TODAY(),"Completed","Ongoing")))</f>
        <v>Ongoing</v>
      </c>
      <c r="G1018" s="324">
        <v>45036</v>
      </c>
      <c r="H1018" s="324">
        <v>46507</v>
      </c>
      <c r="I1018" s="325">
        <v>10600</v>
      </c>
      <c r="J101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18" s="133">
        <f>_xlfn.XLOOKUP(Market_Data[[#This Row],[Project Type]],tbl_assumptions_market[Project Category (RERA)],tbl_assumptions_market[Concrete Intensity
(m³ / sq m BUA)],"",0)</f>
        <v>0.45</v>
      </c>
      <c r="L1018" s="134">
        <f>ROUND(Market_Data[[#This Row],[Estimated Built Up Area (sq m)]]*Market_Data[[#This Row],[Concrete Intensity
(m³ / sq m)]],0)</f>
        <v>4770</v>
      </c>
      <c r="M1018" s="135">
        <f>_xlfn.XLOOKUP(Market_Data[[#This Row],[District]],tbl_district_price[District],tbl_district_price[Standard Price
(INR/m³)],"",0)</f>
        <v>6200</v>
      </c>
      <c r="N1018" s="364">
        <f>IF(OR(Market_Data[[#This Row],[Estimated Concrete Demand (m³)]]="",Market_Data[[#This Row],[Avg Price per (₹ / m³)]]=""),"",Market_Data[[#This Row],[Estimated Concrete Demand (m³)]]*Market_Data[[#This Row],[Avg Price per (₹ / m³)]]/10000000)</f>
        <v>2.9573999999999998</v>
      </c>
      <c r="O1018" s="97" t="str">
        <f>IF(Market_Data[[#This Row],[Estimated Concrete Demand (m³)]]="","",
IF(Market_Data[[#This Row],[Estimated Concrete Demand (m³)]]&lt;10000,"Small",
IF(Market_Data[[#This Row],[Estimated Concrete Demand (m³)]]&lt;25000,"Medium",
IF(Market_Data[[#This Row],[Estimated Concrete Demand (m³)]]&lt;100000,"Large","Mega"))))</f>
        <v>Small</v>
      </c>
      <c r="P1018" s="287" t="str">
        <f t="shared" si="17"/>
        <v>GujRERA</v>
      </c>
    </row>
    <row r="1019" spans="1:16">
      <c r="A1019" s="129" t="str">
        <f>_xlfn.XLOOKUP(B1019,$S$9:$S$14,$T$9:$T$14)&amp;"-"&amp;
IF(E1019="Residential/Group Housing","RES",
IF(E1019="Commercial","COM",
IF(E1019="Mixed Development","MIX",
IF(E1019="Plotted Development","PLT","OTH"))))
&amp;"-"&amp;TEXT(COUNTIFS($B$9:B1019,B1019,$E$9:E1019,E1019),"0000")</f>
        <v>SUR-PLT-0171</v>
      </c>
      <c r="B1019" s="322" t="s">
        <v>34</v>
      </c>
      <c r="C1019" s="322" t="s">
        <v>34</v>
      </c>
      <c r="D1019" s="323" t="s">
        <v>1209</v>
      </c>
      <c r="E1019" s="132" t="s">
        <v>26</v>
      </c>
      <c r="F1019" s="97" t="str">
        <f ca="1">IF(OR(Market_Data[[#This Row],[Start Date]]="",Market_Data[[#This Row],[Completion Date]]=""),"Needs Validation",IF(Market_Data[[#This Row],[Start Date]]&gt;TODAY(),"Planned",IF(Market_Data[[#This Row],[Completion Date]]&lt;TODAY(),"Completed","Ongoing")))</f>
        <v>Ongoing</v>
      </c>
      <c r="G1019" s="324">
        <v>45440</v>
      </c>
      <c r="H1019" s="324">
        <v>46752</v>
      </c>
      <c r="I1019" s="325">
        <v>32900</v>
      </c>
      <c r="J101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019" s="133">
        <f>_xlfn.XLOOKUP(Market_Data[[#This Row],[Project Type]],tbl_assumptions_market[Project Category (RERA)],tbl_assumptions_market[Concrete Intensity
(m³ / sq m BUA)],"",0)</f>
        <v>0.18</v>
      </c>
      <c r="L1019" s="134">
        <f>ROUND(Market_Data[[#This Row],[Estimated Built Up Area (sq m)]]*Market_Data[[#This Row],[Concrete Intensity
(m³ / sq m)]],0)</f>
        <v>5922</v>
      </c>
      <c r="M1019" s="135">
        <f>_xlfn.XLOOKUP(Market_Data[[#This Row],[District]],tbl_district_price[District],tbl_district_price[Standard Price
(INR/m³)],"",0)</f>
        <v>6200</v>
      </c>
      <c r="N1019" s="364">
        <f>IF(OR(Market_Data[[#This Row],[Estimated Concrete Demand (m³)]]="",Market_Data[[#This Row],[Avg Price per (₹ / m³)]]=""),"",Market_Data[[#This Row],[Estimated Concrete Demand (m³)]]*Market_Data[[#This Row],[Avg Price per (₹ / m³)]]/10000000)</f>
        <v>3.67164</v>
      </c>
      <c r="O1019" s="97" t="str">
        <f>IF(Market_Data[[#This Row],[Estimated Concrete Demand (m³)]]="","",
IF(Market_Data[[#This Row],[Estimated Concrete Demand (m³)]]&lt;10000,"Small",
IF(Market_Data[[#This Row],[Estimated Concrete Demand (m³)]]&lt;25000,"Medium",
IF(Market_Data[[#This Row],[Estimated Concrete Demand (m³)]]&lt;100000,"Large","Mega"))))</f>
        <v>Small</v>
      </c>
      <c r="P1019" s="287" t="str">
        <f t="shared" si="17"/>
        <v>GujRERA</v>
      </c>
    </row>
    <row r="1020" spans="1:16">
      <c r="A1020" s="129" t="str">
        <f>_xlfn.XLOOKUP(B1020,$S$9:$S$14,$T$9:$T$14)&amp;"-"&amp;
IF(E1020="Residential/Group Housing","RES",
IF(E1020="Commercial","COM",
IF(E1020="Mixed Development","MIX",
IF(E1020="Plotted Development","PLT","OTH"))))
&amp;"-"&amp;TEXT(COUNTIFS($B$9:B1020,B1020,$E$9:E1020,E1020),"0000")</f>
        <v>SUR-RES-0263</v>
      </c>
      <c r="B1020" s="322" t="s">
        <v>34</v>
      </c>
      <c r="C1020" s="322" t="s">
        <v>34</v>
      </c>
      <c r="D1020" s="323" t="s">
        <v>1210</v>
      </c>
      <c r="E1020" s="132" t="s">
        <v>24</v>
      </c>
      <c r="F1020" s="97" t="str">
        <f ca="1">IF(OR(Market_Data[[#This Row],[Start Date]]="",Market_Data[[#This Row],[Completion Date]]=""),"Needs Validation",IF(Market_Data[[#This Row],[Start Date]]&gt;TODAY(),"Planned",IF(Market_Data[[#This Row],[Completion Date]]&lt;TODAY(),"Completed","Ongoing")))</f>
        <v>Completed</v>
      </c>
      <c r="G1020" s="324">
        <v>42985</v>
      </c>
      <c r="H1020" s="324">
        <v>45382</v>
      </c>
      <c r="I1020" s="325">
        <v>45800</v>
      </c>
      <c r="J102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20" s="133">
        <f>_xlfn.XLOOKUP(Market_Data[[#This Row],[Project Type]],tbl_assumptions_market[Project Category (RERA)],tbl_assumptions_market[Concrete Intensity
(m³ / sq m BUA)],"",0)</f>
        <v>0.45</v>
      </c>
      <c r="L1020" s="134">
        <f>ROUND(Market_Data[[#This Row],[Estimated Built Up Area (sq m)]]*Market_Data[[#This Row],[Concrete Intensity
(m³ / sq m)]],0)</f>
        <v>20610</v>
      </c>
      <c r="M1020" s="135">
        <f>_xlfn.XLOOKUP(Market_Data[[#This Row],[District]],tbl_district_price[District],tbl_district_price[Standard Price
(INR/m³)],"",0)</f>
        <v>6200</v>
      </c>
      <c r="N1020" s="364">
        <f>IF(OR(Market_Data[[#This Row],[Estimated Concrete Demand (m³)]]="",Market_Data[[#This Row],[Avg Price per (₹ / m³)]]=""),"",Market_Data[[#This Row],[Estimated Concrete Demand (m³)]]*Market_Data[[#This Row],[Avg Price per (₹ / m³)]]/10000000)</f>
        <v>12.7782</v>
      </c>
      <c r="O1020" s="97" t="str">
        <f>IF(Market_Data[[#This Row],[Estimated Concrete Demand (m³)]]="","",
IF(Market_Data[[#This Row],[Estimated Concrete Demand (m³)]]&lt;10000,"Small",
IF(Market_Data[[#This Row],[Estimated Concrete Demand (m³)]]&lt;25000,"Medium",
IF(Market_Data[[#This Row],[Estimated Concrete Demand (m³)]]&lt;100000,"Large","Mega"))))</f>
        <v>Medium</v>
      </c>
      <c r="P1020" s="287" t="str">
        <f t="shared" si="17"/>
        <v>GujRERA</v>
      </c>
    </row>
    <row r="1021" spans="1:16">
      <c r="A1021" s="129" t="str">
        <f>_xlfn.XLOOKUP(B1021,$S$9:$S$14,$T$9:$T$14)&amp;"-"&amp;
IF(E1021="Residential/Group Housing","RES",
IF(E1021="Commercial","COM",
IF(E1021="Mixed Development","MIX",
IF(E1021="Plotted Development","PLT","OTH"))))
&amp;"-"&amp;TEXT(COUNTIFS($B$9:B1021,B1021,$E$9:E1021,E1021),"0000")</f>
        <v>SUR-PLT-0172</v>
      </c>
      <c r="B1021" s="322" t="s">
        <v>34</v>
      </c>
      <c r="C1021" s="322" t="s">
        <v>34</v>
      </c>
      <c r="D1021" s="323" t="s">
        <v>1211</v>
      </c>
      <c r="E1021" s="132" t="s">
        <v>26</v>
      </c>
      <c r="F1021" s="97" t="str">
        <f ca="1">IF(OR(Market_Data[[#This Row],[Start Date]]="",Market_Data[[#This Row],[Completion Date]]=""),"Needs Validation",IF(Market_Data[[#This Row],[Start Date]]&gt;TODAY(),"Planned",IF(Market_Data[[#This Row],[Completion Date]]&lt;TODAY(),"Completed","Ongoing")))</f>
        <v>Completed</v>
      </c>
      <c r="G1021" s="324">
        <v>44583</v>
      </c>
      <c r="H1021" s="324">
        <v>46022</v>
      </c>
      <c r="I1021" s="325">
        <v>26300</v>
      </c>
      <c r="J102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21" s="133">
        <f>_xlfn.XLOOKUP(Market_Data[[#This Row],[Project Type]],tbl_assumptions_market[Project Category (RERA)],tbl_assumptions_market[Concrete Intensity
(m³ / sq m BUA)],"",0)</f>
        <v>0.18</v>
      </c>
      <c r="L1021" s="134">
        <f>ROUND(Market_Data[[#This Row],[Estimated Built Up Area (sq m)]]*Market_Data[[#This Row],[Concrete Intensity
(m³ / sq m)]],0)</f>
        <v>4734</v>
      </c>
      <c r="M1021" s="135">
        <f>_xlfn.XLOOKUP(Market_Data[[#This Row],[District]],tbl_district_price[District],tbl_district_price[Standard Price
(INR/m³)],"",0)</f>
        <v>6200</v>
      </c>
      <c r="N1021" s="364">
        <f>IF(OR(Market_Data[[#This Row],[Estimated Concrete Demand (m³)]]="",Market_Data[[#This Row],[Avg Price per (₹ / m³)]]=""),"",Market_Data[[#This Row],[Estimated Concrete Demand (m³)]]*Market_Data[[#This Row],[Avg Price per (₹ / m³)]]/10000000)</f>
        <v>2.9350800000000001</v>
      </c>
      <c r="O1021" s="97" t="str">
        <f>IF(Market_Data[[#This Row],[Estimated Concrete Demand (m³)]]="","",
IF(Market_Data[[#This Row],[Estimated Concrete Demand (m³)]]&lt;10000,"Small",
IF(Market_Data[[#This Row],[Estimated Concrete Demand (m³)]]&lt;25000,"Medium",
IF(Market_Data[[#This Row],[Estimated Concrete Demand (m³)]]&lt;100000,"Large","Mega"))))</f>
        <v>Small</v>
      </c>
      <c r="P1021" s="287" t="str">
        <f t="shared" si="17"/>
        <v>GujRERA</v>
      </c>
    </row>
    <row r="1022" spans="1:16">
      <c r="A1022" s="129" t="str">
        <f>_xlfn.XLOOKUP(B1022,$S$9:$S$14,$T$9:$T$14)&amp;"-"&amp;
IF(E1022="Residential/Group Housing","RES",
IF(E1022="Commercial","COM",
IF(E1022="Mixed Development","MIX",
IF(E1022="Plotted Development","PLT","OTH"))))
&amp;"-"&amp;TEXT(COUNTIFS($B$9:B1022,B1022,$E$9:E1022,E1022),"0000")</f>
        <v>SUR-PLT-0173</v>
      </c>
      <c r="B1022" s="322" t="s">
        <v>34</v>
      </c>
      <c r="C1022" s="322" t="s">
        <v>34</v>
      </c>
      <c r="D1022" s="323" t="s">
        <v>1212</v>
      </c>
      <c r="E1022" s="132" t="s">
        <v>26</v>
      </c>
      <c r="F1022" s="97" t="str">
        <f ca="1">IF(OR(Market_Data[[#This Row],[Start Date]]="",Market_Data[[#This Row],[Completion Date]]=""),"Needs Validation",IF(Market_Data[[#This Row],[Start Date]]&gt;TODAY(),"Planned",IF(Market_Data[[#This Row],[Completion Date]]&lt;TODAY(),"Completed","Ongoing")))</f>
        <v>Completed</v>
      </c>
      <c r="G1022" s="324">
        <v>44573</v>
      </c>
      <c r="H1022" s="324">
        <v>46022</v>
      </c>
      <c r="I1022" s="325">
        <v>35800</v>
      </c>
      <c r="J102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022" s="133">
        <f>_xlfn.XLOOKUP(Market_Data[[#This Row],[Project Type]],tbl_assumptions_market[Project Category (RERA)],tbl_assumptions_market[Concrete Intensity
(m³ / sq m BUA)],"",0)</f>
        <v>0.18</v>
      </c>
      <c r="L1022" s="134">
        <f>ROUND(Market_Data[[#This Row],[Estimated Built Up Area (sq m)]]*Market_Data[[#This Row],[Concrete Intensity
(m³ / sq m)]],0)</f>
        <v>6444</v>
      </c>
      <c r="M1022" s="135">
        <f>_xlfn.XLOOKUP(Market_Data[[#This Row],[District]],tbl_district_price[District],tbl_district_price[Standard Price
(INR/m³)],"",0)</f>
        <v>6200</v>
      </c>
      <c r="N1022" s="364">
        <f>IF(OR(Market_Data[[#This Row],[Estimated Concrete Demand (m³)]]="",Market_Data[[#This Row],[Avg Price per (₹ / m³)]]=""),"",Market_Data[[#This Row],[Estimated Concrete Demand (m³)]]*Market_Data[[#This Row],[Avg Price per (₹ / m³)]]/10000000)</f>
        <v>3.9952800000000002</v>
      </c>
      <c r="O1022" s="97" t="str">
        <f>IF(Market_Data[[#This Row],[Estimated Concrete Demand (m³)]]="","",
IF(Market_Data[[#This Row],[Estimated Concrete Demand (m³)]]&lt;10000,"Small",
IF(Market_Data[[#This Row],[Estimated Concrete Demand (m³)]]&lt;25000,"Medium",
IF(Market_Data[[#This Row],[Estimated Concrete Demand (m³)]]&lt;100000,"Large","Mega"))))</f>
        <v>Small</v>
      </c>
      <c r="P1022" s="287" t="str">
        <f t="shared" si="17"/>
        <v>GujRERA</v>
      </c>
    </row>
    <row r="1023" spans="1:16">
      <c r="A1023" s="129" t="str">
        <f>_xlfn.XLOOKUP(B1023,$S$9:$S$14,$T$9:$T$14)&amp;"-"&amp;
IF(E1023="Residential/Group Housing","RES",
IF(E1023="Commercial","COM",
IF(E1023="Mixed Development","MIX",
IF(E1023="Plotted Development","PLT","OTH"))))
&amp;"-"&amp;TEXT(COUNTIFS($B$9:B1023,B1023,$E$9:E1023,E1023),"0000")</f>
        <v>SUR-PLT-0174</v>
      </c>
      <c r="B1023" s="322" t="s">
        <v>34</v>
      </c>
      <c r="C1023" s="322" t="s">
        <v>34</v>
      </c>
      <c r="D1023" s="323" t="s">
        <v>1213</v>
      </c>
      <c r="E1023" s="132" t="s">
        <v>26</v>
      </c>
      <c r="F1023" s="97" t="str">
        <f ca="1">IF(OR(Market_Data[[#This Row],[Start Date]]="",Market_Data[[#This Row],[Completion Date]]=""),"Needs Validation",IF(Market_Data[[#This Row],[Start Date]]&gt;TODAY(),"Planned",IF(Market_Data[[#This Row],[Completion Date]]&lt;TODAY(),"Completed","Ongoing")))</f>
        <v>Ongoing</v>
      </c>
      <c r="G1023" s="324">
        <v>45806</v>
      </c>
      <c r="H1023" s="324">
        <v>46752</v>
      </c>
      <c r="I1023" s="325">
        <v>16800</v>
      </c>
      <c r="J102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23" s="133">
        <f>_xlfn.XLOOKUP(Market_Data[[#This Row],[Project Type]],tbl_assumptions_market[Project Category (RERA)],tbl_assumptions_market[Concrete Intensity
(m³ / sq m BUA)],"",0)</f>
        <v>0.18</v>
      </c>
      <c r="L1023" s="134">
        <f>ROUND(Market_Data[[#This Row],[Estimated Built Up Area (sq m)]]*Market_Data[[#This Row],[Concrete Intensity
(m³ / sq m)]],0)</f>
        <v>3024</v>
      </c>
      <c r="M1023" s="135">
        <f>_xlfn.XLOOKUP(Market_Data[[#This Row],[District]],tbl_district_price[District],tbl_district_price[Standard Price
(INR/m³)],"",0)</f>
        <v>6200</v>
      </c>
      <c r="N1023" s="364">
        <f>IF(OR(Market_Data[[#This Row],[Estimated Concrete Demand (m³)]]="",Market_Data[[#This Row],[Avg Price per (₹ / m³)]]=""),"",Market_Data[[#This Row],[Estimated Concrete Demand (m³)]]*Market_Data[[#This Row],[Avg Price per (₹ / m³)]]/10000000)</f>
        <v>1.8748800000000001</v>
      </c>
      <c r="O1023" s="97" t="str">
        <f>IF(Market_Data[[#This Row],[Estimated Concrete Demand (m³)]]="","",
IF(Market_Data[[#This Row],[Estimated Concrete Demand (m³)]]&lt;10000,"Small",
IF(Market_Data[[#This Row],[Estimated Concrete Demand (m³)]]&lt;25000,"Medium",
IF(Market_Data[[#This Row],[Estimated Concrete Demand (m³)]]&lt;100000,"Large","Mega"))))</f>
        <v>Small</v>
      </c>
      <c r="P1023" s="287" t="str">
        <f t="shared" si="17"/>
        <v>GujRERA</v>
      </c>
    </row>
    <row r="1024" spans="1:16">
      <c r="A1024" s="129" t="str">
        <f>_xlfn.XLOOKUP(B1024,$S$9:$S$14,$T$9:$T$14)&amp;"-"&amp;
IF(E1024="Residential/Group Housing","RES",
IF(E1024="Commercial","COM",
IF(E1024="Mixed Development","MIX",
IF(E1024="Plotted Development","PLT","OTH"))))
&amp;"-"&amp;TEXT(COUNTIFS($B$9:B1024,B1024,$E$9:E1024,E1024),"0000")</f>
        <v>SUR-PLT-0175</v>
      </c>
      <c r="B1024" s="322" t="s">
        <v>34</v>
      </c>
      <c r="C1024" s="322" t="s">
        <v>34</v>
      </c>
      <c r="D1024" s="323" t="s">
        <v>1214</v>
      </c>
      <c r="E1024" s="132" t="s">
        <v>26</v>
      </c>
      <c r="F1024" s="97" t="str">
        <f ca="1">IF(OR(Market_Data[[#This Row],[Start Date]]="",Market_Data[[#This Row],[Completion Date]]=""),"Needs Validation",IF(Market_Data[[#This Row],[Start Date]]&gt;TODAY(),"Planned",IF(Market_Data[[#This Row],[Completion Date]]&lt;TODAY(),"Completed","Ongoing")))</f>
        <v>Ongoing</v>
      </c>
      <c r="G1024" s="324">
        <v>45685</v>
      </c>
      <c r="H1024" s="324">
        <v>46752</v>
      </c>
      <c r="I1024" s="325">
        <v>23800</v>
      </c>
      <c r="J102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24" s="133">
        <f>_xlfn.XLOOKUP(Market_Data[[#This Row],[Project Type]],tbl_assumptions_market[Project Category (RERA)],tbl_assumptions_market[Concrete Intensity
(m³ / sq m BUA)],"",0)</f>
        <v>0.18</v>
      </c>
      <c r="L1024" s="134">
        <f>ROUND(Market_Data[[#This Row],[Estimated Built Up Area (sq m)]]*Market_Data[[#This Row],[Concrete Intensity
(m³ / sq m)]],0)</f>
        <v>4284</v>
      </c>
      <c r="M1024" s="135">
        <f>_xlfn.XLOOKUP(Market_Data[[#This Row],[District]],tbl_district_price[District],tbl_district_price[Standard Price
(INR/m³)],"",0)</f>
        <v>6200</v>
      </c>
      <c r="N1024" s="364">
        <f>IF(OR(Market_Data[[#This Row],[Estimated Concrete Demand (m³)]]="",Market_Data[[#This Row],[Avg Price per (₹ / m³)]]=""),"",Market_Data[[#This Row],[Estimated Concrete Demand (m³)]]*Market_Data[[#This Row],[Avg Price per (₹ / m³)]]/10000000)</f>
        <v>2.6560800000000002</v>
      </c>
      <c r="O1024" s="97" t="str">
        <f>IF(Market_Data[[#This Row],[Estimated Concrete Demand (m³)]]="","",
IF(Market_Data[[#This Row],[Estimated Concrete Demand (m³)]]&lt;10000,"Small",
IF(Market_Data[[#This Row],[Estimated Concrete Demand (m³)]]&lt;25000,"Medium",
IF(Market_Data[[#This Row],[Estimated Concrete Demand (m³)]]&lt;100000,"Large","Mega"))))</f>
        <v>Small</v>
      </c>
      <c r="P1024" s="287" t="str">
        <f t="shared" si="17"/>
        <v>GujRERA</v>
      </c>
    </row>
    <row r="1025" spans="1:16">
      <c r="A1025" s="129" t="str">
        <f>_xlfn.XLOOKUP(B1025,$S$9:$S$14,$T$9:$T$14)&amp;"-"&amp;
IF(E1025="Residential/Group Housing","RES",
IF(E1025="Commercial","COM",
IF(E1025="Mixed Development","MIX",
IF(E1025="Plotted Development","PLT","OTH"))))
&amp;"-"&amp;TEXT(COUNTIFS($B$9:B1025,B1025,$E$9:E1025,E1025),"0000")</f>
        <v>SUR-MIX-0128</v>
      </c>
      <c r="B1025" s="322" t="s">
        <v>34</v>
      </c>
      <c r="C1025" s="322" t="s">
        <v>34</v>
      </c>
      <c r="D1025" s="323" t="s">
        <v>1215</v>
      </c>
      <c r="E1025" s="132" t="s">
        <v>25</v>
      </c>
      <c r="F1025" s="97" t="str">
        <f ca="1">IF(OR(Market_Data[[#This Row],[Start Date]]="",Market_Data[[#This Row],[Completion Date]]=""),"Needs Validation",IF(Market_Data[[#This Row],[Start Date]]&gt;TODAY(),"Planned",IF(Market_Data[[#This Row],[Completion Date]]&lt;TODAY(),"Completed","Ongoing")))</f>
        <v>Completed</v>
      </c>
      <c r="G1025" s="324">
        <v>42047</v>
      </c>
      <c r="H1025" s="324">
        <v>43860</v>
      </c>
      <c r="I1025" s="325">
        <v>7600</v>
      </c>
      <c r="J102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025" s="133">
        <f>_xlfn.XLOOKUP(Market_Data[[#This Row],[Project Type]],tbl_assumptions_market[Project Category (RERA)],tbl_assumptions_market[Concrete Intensity
(m³ / sq m BUA)],"",0)</f>
        <v>0.42</v>
      </c>
      <c r="L1025" s="134">
        <f>ROUND(Market_Data[[#This Row],[Estimated Built Up Area (sq m)]]*Market_Data[[#This Row],[Concrete Intensity
(m³ / sq m)]],0)</f>
        <v>3192</v>
      </c>
      <c r="M1025" s="135">
        <f>_xlfn.XLOOKUP(Market_Data[[#This Row],[District]],tbl_district_price[District],tbl_district_price[Standard Price
(INR/m³)],"",0)</f>
        <v>6200</v>
      </c>
      <c r="N1025" s="364">
        <f>IF(OR(Market_Data[[#This Row],[Estimated Concrete Demand (m³)]]="",Market_Data[[#This Row],[Avg Price per (₹ / m³)]]=""),"",Market_Data[[#This Row],[Estimated Concrete Demand (m³)]]*Market_Data[[#This Row],[Avg Price per (₹ / m³)]]/10000000)</f>
        <v>1.9790399999999999</v>
      </c>
      <c r="O1025" s="97" t="str">
        <f>IF(Market_Data[[#This Row],[Estimated Concrete Demand (m³)]]="","",
IF(Market_Data[[#This Row],[Estimated Concrete Demand (m³)]]&lt;10000,"Small",
IF(Market_Data[[#This Row],[Estimated Concrete Demand (m³)]]&lt;25000,"Medium",
IF(Market_Data[[#This Row],[Estimated Concrete Demand (m³)]]&lt;100000,"Large","Mega"))))</f>
        <v>Small</v>
      </c>
      <c r="P1025" s="287" t="str">
        <f t="shared" si="17"/>
        <v>GujRERA</v>
      </c>
    </row>
    <row r="1026" spans="1:16">
      <c r="A1026" s="129" t="str">
        <f>_xlfn.XLOOKUP(B1026,$S$9:$S$14,$T$9:$T$14)&amp;"-"&amp;
IF(E1026="Residential/Group Housing","RES",
IF(E1026="Commercial","COM",
IF(E1026="Mixed Development","MIX",
IF(E1026="Plotted Development","PLT","OTH"))))
&amp;"-"&amp;TEXT(COUNTIFS($B$9:B1026,B1026,$E$9:E1026,E1026),"0000")</f>
        <v>SUR-PLT-0176</v>
      </c>
      <c r="B1026" s="322" t="s">
        <v>34</v>
      </c>
      <c r="C1026" s="322" t="s">
        <v>34</v>
      </c>
      <c r="D1026" s="323" t="s">
        <v>1216</v>
      </c>
      <c r="E1026" s="132" t="s">
        <v>26</v>
      </c>
      <c r="F1026" s="97" t="str">
        <f ca="1">IF(OR(Market_Data[[#This Row],[Start Date]]="",Market_Data[[#This Row],[Completion Date]]=""),"Needs Validation",IF(Market_Data[[#This Row],[Start Date]]&gt;TODAY(),"Planned",IF(Market_Data[[#This Row],[Completion Date]]&lt;TODAY(),"Completed","Ongoing")))</f>
        <v>Completed</v>
      </c>
      <c r="G1026" s="324">
        <v>44694</v>
      </c>
      <c r="H1026" s="324">
        <v>45657</v>
      </c>
      <c r="I1026" s="325">
        <v>45100</v>
      </c>
      <c r="J102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026" s="133">
        <f>_xlfn.XLOOKUP(Market_Data[[#This Row],[Project Type]],tbl_assumptions_market[Project Category (RERA)],tbl_assumptions_market[Concrete Intensity
(m³ / sq m BUA)],"",0)</f>
        <v>0.18</v>
      </c>
      <c r="L1026" s="134">
        <f>ROUND(Market_Data[[#This Row],[Estimated Built Up Area (sq m)]]*Market_Data[[#This Row],[Concrete Intensity
(m³ / sq m)]],0)</f>
        <v>8118</v>
      </c>
      <c r="M1026" s="135">
        <f>_xlfn.XLOOKUP(Market_Data[[#This Row],[District]],tbl_district_price[District],tbl_district_price[Standard Price
(INR/m³)],"",0)</f>
        <v>6200</v>
      </c>
      <c r="N1026" s="364">
        <f>IF(OR(Market_Data[[#This Row],[Estimated Concrete Demand (m³)]]="",Market_Data[[#This Row],[Avg Price per (₹ / m³)]]=""),"",Market_Data[[#This Row],[Estimated Concrete Demand (m³)]]*Market_Data[[#This Row],[Avg Price per (₹ / m³)]]/10000000)</f>
        <v>5.0331599999999996</v>
      </c>
      <c r="O1026" s="97" t="str">
        <f>IF(Market_Data[[#This Row],[Estimated Concrete Demand (m³)]]="","",
IF(Market_Data[[#This Row],[Estimated Concrete Demand (m³)]]&lt;10000,"Small",
IF(Market_Data[[#This Row],[Estimated Concrete Demand (m³)]]&lt;25000,"Medium",
IF(Market_Data[[#This Row],[Estimated Concrete Demand (m³)]]&lt;100000,"Large","Mega"))))</f>
        <v>Small</v>
      </c>
      <c r="P1026" s="287" t="str">
        <f t="shared" si="17"/>
        <v>GujRERA</v>
      </c>
    </row>
    <row r="1027" spans="1:16">
      <c r="A1027" s="129" t="str">
        <f>_xlfn.XLOOKUP(B1027,$S$9:$S$14,$T$9:$T$14)&amp;"-"&amp;
IF(E1027="Residential/Group Housing","RES",
IF(E1027="Commercial","COM",
IF(E1027="Mixed Development","MIX",
IF(E1027="Plotted Development","PLT","OTH"))))
&amp;"-"&amp;TEXT(COUNTIFS($B$9:B1027,B1027,$E$9:E1027,E1027),"0000")</f>
        <v>SUR-PLT-0177</v>
      </c>
      <c r="B1027" s="322" t="s">
        <v>34</v>
      </c>
      <c r="C1027" s="322" t="s">
        <v>34</v>
      </c>
      <c r="D1027" s="323" t="s">
        <v>1217</v>
      </c>
      <c r="E1027" s="132" t="s">
        <v>26</v>
      </c>
      <c r="F1027" s="97" t="str">
        <f ca="1">IF(OR(Market_Data[[#This Row],[Start Date]]="",Market_Data[[#This Row],[Completion Date]]=""),"Needs Validation",IF(Market_Data[[#This Row],[Start Date]]&gt;TODAY(),"Planned",IF(Market_Data[[#This Row],[Completion Date]]&lt;TODAY(),"Completed","Ongoing")))</f>
        <v>Ongoing</v>
      </c>
      <c r="G1027" s="324">
        <v>44846</v>
      </c>
      <c r="H1027" s="324">
        <v>47118</v>
      </c>
      <c r="I1027" s="325">
        <v>19100</v>
      </c>
      <c r="J102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27" s="133">
        <f>_xlfn.XLOOKUP(Market_Data[[#This Row],[Project Type]],tbl_assumptions_market[Project Category (RERA)],tbl_assumptions_market[Concrete Intensity
(m³ / sq m BUA)],"",0)</f>
        <v>0.18</v>
      </c>
      <c r="L1027" s="134">
        <f>ROUND(Market_Data[[#This Row],[Estimated Built Up Area (sq m)]]*Market_Data[[#This Row],[Concrete Intensity
(m³ / sq m)]],0)</f>
        <v>3438</v>
      </c>
      <c r="M1027" s="135">
        <f>_xlfn.XLOOKUP(Market_Data[[#This Row],[District]],tbl_district_price[District],tbl_district_price[Standard Price
(INR/m³)],"",0)</f>
        <v>6200</v>
      </c>
      <c r="N1027" s="364">
        <f>IF(OR(Market_Data[[#This Row],[Estimated Concrete Demand (m³)]]="",Market_Data[[#This Row],[Avg Price per (₹ / m³)]]=""),"",Market_Data[[#This Row],[Estimated Concrete Demand (m³)]]*Market_Data[[#This Row],[Avg Price per (₹ / m³)]]/10000000)</f>
        <v>2.1315599999999999</v>
      </c>
      <c r="O1027" s="97" t="str">
        <f>IF(Market_Data[[#This Row],[Estimated Concrete Demand (m³)]]="","",
IF(Market_Data[[#This Row],[Estimated Concrete Demand (m³)]]&lt;10000,"Small",
IF(Market_Data[[#This Row],[Estimated Concrete Demand (m³)]]&lt;25000,"Medium",
IF(Market_Data[[#This Row],[Estimated Concrete Demand (m³)]]&lt;100000,"Large","Mega"))))</f>
        <v>Small</v>
      </c>
      <c r="P1027" s="287" t="str">
        <f t="shared" si="17"/>
        <v>GujRERA</v>
      </c>
    </row>
    <row r="1028" spans="1:16">
      <c r="A1028" s="129" t="str">
        <f>_xlfn.XLOOKUP(B1028,$S$9:$S$14,$T$9:$T$14)&amp;"-"&amp;
IF(E1028="Residential/Group Housing","RES",
IF(E1028="Commercial","COM",
IF(E1028="Mixed Development","MIX",
IF(E1028="Plotted Development","PLT","OTH"))))
&amp;"-"&amp;TEXT(COUNTIFS($B$9:B1028,B1028,$E$9:E1028,E1028),"0000")</f>
        <v>SUR-PLT-0178</v>
      </c>
      <c r="B1028" s="322" t="s">
        <v>34</v>
      </c>
      <c r="C1028" s="322" t="s">
        <v>34</v>
      </c>
      <c r="D1028" s="323" t="s">
        <v>1218</v>
      </c>
      <c r="E1028" s="132" t="s">
        <v>26</v>
      </c>
      <c r="F1028" s="97" t="str">
        <f ca="1">IF(OR(Market_Data[[#This Row],[Start Date]]="",Market_Data[[#This Row],[Completion Date]]=""),"Needs Validation",IF(Market_Data[[#This Row],[Start Date]]&gt;TODAY(),"Planned",IF(Market_Data[[#This Row],[Completion Date]]&lt;TODAY(),"Completed","Ongoing")))</f>
        <v>Completed</v>
      </c>
      <c r="G1028" s="324">
        <v>44900</v>
      </c>
      <c r="H1028" s="324">
        <v>46022</v>
      </c>
      <c r="I1028" s="325">
        <v>8600</v>
      </c>
      <c r="J102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28" s="133">
        <f>_xlfn.XLOOKUP(Market_Data[[#This Row],[Project Type]],tbl_assumptions_market[Project Category (RERA)],tbl_assumptions_market[Concrete Intensity
(m³ / sq m BUA)],"",0)</f>
        <v>0.18</v>
      </c>
      <c r="L1028" s="134">
        <f>ROUND(Market_Data[[#This Row],[Estimated Built Up Area (sq m)]]*Market_Data[[#This Row],[Concrete Intensity
(m³ / sq m)]],0)</f>
        <v>1548</v>
      </c>
      <c r="M1028" s="135">
        <f>_xlfn.XLOOKUP(Market_Data[[#This Row],[District]],tbl_district_price[District],tbl_district_price[Standard Price
(INR/m³)],"",0)</f>
        <v>6200</v>
      </c>
      <c r="N1028" s="364">
        <f>IF(OR(Market_Data[[#This Row],[Estimated Concrete Demand (m³)]]="",Market_Data[[#This Row],[Avg Price per (₹ / m³)]]=""),"",Market_Data[[#This Row],[Estimated Concrete Demand (m³)]]*Market_Data[[#This Row],[Avg Price per (₹ / m³)]]/10000000)</f>
        <v>0.95975999999999995</v>
      </c>
      <c r="O1028" s="97" t="str">
        <f>IF(Market_Data[[#This Row],[Estimated Concrete Demand (m³)]]="","",
IF(Market_Data[[#This Row],[Estimated Concrete Demand (m³)]]&lt;10000,"Small",
IF(Market_Data[[#This Row],[Estimated Concrete Demand (m³)]]&lt;25000,"Medium",
IF(Market_Data[[#This Row],[Estimated Concrete Demand (m³)]]&lt;100000,"Large","Mega"))))</f>
        <v>Small</v>
      </c>
      <c r="P1028" s="287" t="str">
        <f t="shared" si="17"/>
        <v>GujRERA</v>
      </c>
    </row>
    <row r="1029" spans="1:16">
      <c r="A1029" s="129" t="str">
        <f>_xlfn.XLOOKUP(B1029,$S$9:$S$14,$T$9:$T$14)&amp;"-"&amp;
IF(E1029="Residential/Group Housing","RES",
IF(E1029="Commercial","COM",
IF(E1029="Mixed Development","MIX",
IF(E1029="Plotted Development","PLT","OTH"))))
&amp;"-"&amp;TEXT(COUNTIFS($B$9:B1029,B1029,$E$9:E1029,E1029),"0000")</f>
        <v>SUR-PLT-0179</v>
      </c>
      <c r="B1029" s="322" t="s">
        <v>34</v>
      </c>
      <c r="C1029" s="322" t="s">
        <v>34</v>
      </c>
      <c r="D1029" s="323" t="s">
        <v>1219</v>
      </c>
      <c r="E1029" s="132" t="s">
        <v>26</v>
      </c>
      <c r="F1029" s="97" t="str">
        <f ca="1">IF(OR(Market_Data[[#This Row],[Start Date]]="",Market_Data[[#This Row],[Completion Date]]=""),"Needs Validation",IF(Market_Data[[#This Row],[Start Date]]&gt;TODAY(),"Planned",IF(Market_Data[[#This Row],[Completion Date]]&lt;TODAY(),"Completed","Ongoing")))</f>
        <v>Ongoing</v>
      </c>
      <c r="G1029" s="324">
        <v>45894</v>
      </c>
      <c r="H1029" s="324">
        <v>47483</v>
      </c>
      <c r="I1029" s="325">
        <v>50000</v>
      </c>
      <c r="J102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029" s="133">
        <f>_xlfn.XLOOKUP(Market_Data[[#This Row],[Project Type]],tbl_assumptions_market[Project Category (RERA)],tbl_assumptions_market[Concrete Intensity
(m³ / sq m BUA)],"",0)</f>
        <v>0.18</v>
      </c>
      <c r="L1029" s="134">
        <f>ROUND(Market_Data[[#This Row],[Estimated Built Up Area (sq m)]]*Market_Data[[#This Row],[Concrete Intensity
(m³ / sq m)]],0)</f>
        <v>9000</v>
      </c>
      <c r="M1029" s="135">
        <f>_xlfn.XLOOKUP(Market_Data[[#This Row],[District]],tbl_district_price[District],tbl_district_price[Standard Price
(INR/m³)],"",0)</f>
        <v>6200</v>
      </c>
      <c r="N1029" s="364">
        <f>IF(OR(Market_Data[[#This Row],[Estimated Concrete Demand (m³)]]="",Market_Data[[#This Row],[Avg Price per (₹ / m³)]]=""),"",Market_Data[[#This Row],[Estimated Concrete Demand (m³)]]*Market_Data[[#This Row],[Avg Price per (₹ / m³)]]/10000000)</f>
        <v>5.58</v>
      </c>
      <c r="O1029" s="97" t="str">
        <f>IF(Market_Data[[#This Row],[Estimated Concrete Demand (m³)]]="","",
IF(Market_Data[[#This Row],[Estimated Concrete Demand (m³)]]&lt;10000,"Small",
IF(Market_Data[[#This Row],[Estimated Concrete Demand (m³)]]&lt;25000,"Medium",
IF(Market_Data[[#This Row],[Estimated Concrete Demand (m³)]]&lt;100000,"Large","Mega"))))</f>
        <v>Small</v>
      </c>
      <c r="P1029" s="287" t="str">
        <f t="shared" si="17"/>
        <v>GujRERA</v>
      </c>
    </row>
    <row r="1030" spans="1:16">
      <c r="A1030" s="129" t="str">
        <f>_xlfn.XLOOKUP(B1030,$S$9:$S$14,$T$9:$T$14)&amp;"-"&amp;
IF(E1030="Residential/Group Housing","RES",
IF(E1030="Commercial","COM",
IF(E1030="Mixed Development","MIX",
IF(E1030="Plotted Development","PLT","OTH"))))
&amp;"-"&amp;TEXT(COUNTIFS($B$9:B1030,B1030,$E$9:E1030,E1030),"0000")</f>
        <v>SUR-PLT-0180</v>
      </c>
      <c r="B1030" s="322" t="s">
        <v>34</v>
      </c>
      <c r="C1030" s="322" t="s">
        <v>34</v>
      </c>
      <c r="D1030" s="323" t="s">
        <v>1220</v>
      </c>
      <c r="E1030" s="132" t="s">
        <v>26</v>
      </c>
      <c r="F1030" s="97" t="str">
        <f ca="1">IF(OR(Market_Data[[#This Row],[Start Date]]="",Market_Data[[#This Row],[Completion Date]]=""),"Needs Validation",IF(Market_Data[[#This Row],[Start Date]]&gt;TODAY(),"Planned",IF(Market_Data[[#This Row],[Completion Date]]&lt;TODAY(),"Completed","Ongoing")))</f>
        <v>Ongoing</v>
      </c>
      <c r="G1030" s="324">
        <v>45881</v>
      </c>
      <c r="H1030" s="324">
        <v>47483</v>
      </c>
      <c r="I1030" s="325">
        <v>34200</v>
      </c>
      <c r="J103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030" s="133">
        <f>_xlfn.XLOOKUP(Market_Data[[#This Row],[Project Type]],tbl_assumptions_market[Project Category (RERA)],tbl_assumptions_market[Concrete Intensity
(m³ / sq m BUA)],"",0)</f>
        <v>0.18</v>
      </c>
      <c r="L1030" s="134">
        <f>ROUND(Market_Data[[#This Row],[Estimated Built Up Area (sq m)]]*Market_Data[[#This Row],[Concrete Intensity
(m³ / sq m)]],0)</f>
        <v>6156</v>
      </c>
      <c r="M1030" s="135">
        <f>_xlfn.XLOOKUP(Market_Data[[#This Row],[District]],tbl_district_price[District],tbl_district_price[Standard Price
(INR/m³)],"",0)</f>
        <v>6200</v>
      </c>
      <c r="N1030" s="364">
        <f>IF(OR(Market_Data[[#This Row],[Estimated Concrete Demand (m³)]]="",Market_Data[[#This Row],[Avg Price per (₹ / m³)]]=""),"",Market_Data[[#This Row],[Estimated Concrete Demand (m³)]]*Market_Data[[#This Row],[Avg Price per (₹ / m³)]]/10000000)</f>
        <v>3.8167200000000001</v>
      </c>
      <c r="O1030" s="97" t="str">
        <f>IF(Market_Data[[#This Row],[Estimated Concrete Demand (m³)]]="","",
IF(Market_Data[[#This Row],[Estimated Concrete Demand (m³)]]&lt;10000,"Small",
IF(Market_Data[[#This Row],[Estimated Concrete Demand (m³)]]&lt;25000,"Medium",
IF(Market_Data[[#This Row],[Estimated Concrete Demand (m³)]]&lt;100000,"Large","Mega"))))</f>
        <v>Small</v>
      </c>
      <c r="P1030" s="287" t="str">
        <f t="shared" si="17"/>
        <v>GujRERA</v>
      </c>
    </row>
    <row r="1031" spans="1:16">
      <c r="A1031" s="129" t="str">
        <f>_xlfn.XLOOKUP(B1031,$S$9:$S$14,$T$9:$T$14)&amp;"-"&amp;
IF(E1031="Residential/Group Housing","RES",
IF(E1031="Commercial","COM",
IF(E1031="Mixed Development","MIX",
IF(E1031="Plotted Development","PLT","OTH"))))
&amp;"-"&amp;TEXT(COUNTIFS($B$9:B1031,B1031,$E$9:E1031,E1031),"0000")</f>
        <v>SUR-PLT-0181</v>
      </c>
      <c r="B1031" s="322" t="s">
        <v>34</v>
      </c>
      <c r="C1031" s="322" t="s">
        <v>34</v>
      </c>
      <c r="D1031" s="323" t="s">
        <v>1221</v>
      </c>
      <c r="E1031" s="132" t="s">
        <v>26</v>
      </c>
      <c r="F1031" s="97" t="str">
        <f ca="1">IF(OR(Market_Data[[#This Row],[Start Date]]="",Market_Data[[#This Row],[Completion Date]]=""),"Needs Validation",IF(Market_Data[[#This Row],[Start Date]]&gt;TODAY(),"Planned",IF(Market_Data[[#This Row],[Completion Date]]&lt;TODAY(),"Completed","Ongoing")))</f>
        <v>Ongoing</v>
      </c>
      <c r="G1031" s="324">
        <v>46023</v>
      </c>
      <c r="H1031" s="324">
        <v>47422</v>
      </c>
      <c r="I1031" s="325">
        <v>20300</v>
      </c>
      <c r="J103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31" s="133">
        <f>_xlfn.XLOOKUP(Market_Data[[#This Row],[Project Type]],tbl_assumptions_market[Project Category (RERA)],tbl_assumptions_market[Concrete Intensity
(m³ / sq m BUA)],"",0)</f>
        <v>0.18</v>
      </c>
      <c r="L1031" s="134">
        <f>ROUND(Market_Data[[#This Row],[Estimated Built Up Area (sq m)]]*Market_Data[[#This Row],[Concrete Intensity
(m³ / sq m)]],0)</f>
        <v>3654</v>
      </c>
      <c r="M1031" s="135">
        <f>_xlfn.XLOOKUP(Market_Data[[#This Row],[District]],tbl_district_price[District],tbl_district_price[Standard Price
(INR/m³)],"",0)</f>
        <v>6200</v>
      </c>
      <c r="N1031" s="364">
        <f>IF(OR(Market_Data[[#This Row],[Estimated Concrete Demand (m³)]]="",Market_Data[[#This Row],[Avg Price per (₹ / m³)]]=""),"",Market_Data[[#This Row],[Estimated Concrete Demand (m³)]]*Market_Data[[#This Row],[Avg Price per (₹ / m³)]]/10000000)</f>
        <v>2.2654800000000002</v>
      </c>
      <c r="O1031" s="97" t="str">
        <f>IF(Market_Data[[#This Row],[Estimated Concrete Demand (m³)]]="","",
IF(Market_Data[[#This Row],[Estimated Concrete Demand (m³)]]&lt;10000,"Small",
IF(Market_Data[[#This Row],[Estimated Concrete Demand (m³)]]&lt;25000,"Medium",
IF(Market_Data[[#This Row],[Estimated Concrete Demand (m³)]]&lt;100000,"Large","Mega"))))</f>
        <v>Small</v>
      </c>
      <c r="P1031" s="287" t="str">
        <f t="shared" si="17"/>
        <v>GujRERA</v>
      </c>
    </row>
    <row r="1032" spans="1:16">
      <c r="A1032" s="129" t="str">
        <f>_xlfn.XLOOKUP(B1032,$S$9:$S$14,$T$9:$T$14)&amp;"-"&amp;
IF(E1032="Residential/Group Housing","RES",
IF(E1032="Commercial","COM",
IF(E1032="Mixed Development","MIX",
IF(E1032="Plotted Development","PLT","OTH"))))
&amp;"-"&amp;TEXT(COUNTIFS($B$9:B1032,B1032,$E$9:E1032,E1032),"0000")</f>
        <v>SUR-PLT-0182</v>
      </c>
      <c r="B1032" s="322" t="s">
        <v>34</v>
      </c>
      <c r="C1032" s="322" t="s">
        <v>34</v>
      </c>
      <c r="D1032" s="323" t="s">
        <v>1222</v>
      </c>
      <c r="E1032" s="132" t="s">
        <v>26</v>
      </c>
      <c r="F1032" s="97" t="str">
        <f ca="1">IF(OR(Market_Data[[#This Row],[Start Date]]="",Market_Data[[#This Row],[Completion Date]]=""),"Needs Validation",IF(Market_Data[[#This Row],[Start Date]]&gt;TODAY(),"Planned",IF(Market_Data[[#This Row],[Completion Date]]&lt;TODAY(),"Completed","Ongoing")))</f>
        <v>Completed</v>
      </c>
      <c r="G1032" s="324">
        <v>44946</v>
      </c>
      <c r="H1032" s="324">
        <v>46022</v>
      </c>
      <c r="I1032" s="325">
        <v>18900</v>
      </c>
      <c r="J103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32" s="133">
        <f>_xlfn.XLOOKUP(Market_Data[[#This Row],[Project Type]],tbl_assumptions_market[Project Category (RERA)],tbl_assumptions_market[Concrete Intensity
(m³ / sq m BUA)],"",0)</f>
        <v>0.18</v>
      </c>
      <c r="L1032" s="134">
        <f>ROUND(Market_Data[[#This Row],[Estimated Built Up Area (sq m)]]*Market_Data[[#This Row],[Concrete Intensity
(m³ / sq m)]],0)</f>
        <v>3402</v>
      </c>
      <c r="M1032" s="135">
        <f>_xlfn.XLOOKUP(Market_Data[[#This Row],[District]],tbl_district_price[District],tbl_district_price[Standard Price
(INR/m³)],"",0)</f>
        <v>6200</v>
      </c>
      <c r="N1032" s="364">
        <f>IF(OR(Market_Data[[#This Row],[Estimated Concrete Demand (m³)]]="",Market_Data[[#This Row],[Avg Price per (₹ / m³)]]=""),"",Market_Data[[#This Row],[Estimated Concrete Demand (m³)]]*Market_Data[[#This Row],[Avg Price per (₹ / m³)]]/10000000)</f>
        <v>2.1092399999999998</v>
      </c>
      <c r="O1032" s="97" t="str">
        <f>IF(Market_Data[[#This Row],[Estimated Concrete Demand (m³)]]="","",
IF(Market_Data[[#This Row],[Estimated Concrete Demand (m³)]]&lt;10000,"Small",
IF(Market_Data[[#This Row],[Estimated Concrete Demand (m³)]]&lt;25000,"Medium",
IF(Market_Data[[#This Row],[Estimated Concrete Demand (m³)]]&lt;100000,"Large","Mega"))))</f>
        <v>Small</v>
      </c>
      <c r="P1032" s="287" t="str">
        <f t="shared" si="17"/>
        <v>GujRERA</v>
      </c>
    </row>
    <row r="1033" spans="1:16">
      <c r="A1033" s="129" t="str">
        <f>_xlfn.XLOOKUP(B1033,$S$9:$S$14,$T$9:$T$14)&amp;"-"&amp;
IF(E1033="Residential/Group Housing","RES",
IF(E1033="Commercial","COM",
IF(E1033="Mixed Development","MIX",
IF(E1033="Plotted Development","PLT","OTH"))))
&amp;"-"&amp;TEXT(COUNTIFS($B$9:B1033,B1033,$E$9:E1033,E1033),"0000")</f>
        <v>SUR-COM-0142</v>
      </c>
      <c r="B1033" s="322" t="s">
        <v>34</v>
      </c>
      <c r="C1033" s="322" t="s">
        <v>34</v>
      </c>
      <c r="D1033" s="323" t="s">
        <v>1223</v>
      </c>
      <c r="E1033" s="132" t="s">
        <v>23</v>
      </c>
      <c r="F1033" s="97" t="str">
        <f ca="1">IF(OR(Market_Data[[#This Row],[Start Date]]="",Market_Data[[#This Row],[Completion Date]]=""),"Needs Validation",IF(Market_Data[[#This Row],[Start Date]]&gt;TODAY(),"Planned",IF(Market_Data[[#This Row],[Completion Date]]&lt;TODAY(),"Completed","Ongoing")))</f>
        <v>Ongoing</v>
      </c>
      <c r="G1033" s="324">
        <v>45230</v>
      </c>
      <c r="H1033" s="324">
        <v>47238</v>
      </c>
      <c r="I1033" s="325">
        <v>3700</v>
      </c>
      <c r="J103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33" s="133">
        <f>_xlfn.XLOOKUP(Market_Data[[#This Row],[Project Type]],tbl_assumptions_market[Project Category (RERA)],tbl_assumptions_market[Concrete Intensity
(m³ / sq m BUA)],"",0)</f>
        <v>0.5</v>
      </c>
      <c r="L1033" s="134">
        <f>ROUND(Market_Data[[#This Row],[Estimated Built Up Area (sq m)]]*Market_Data[[#This Row],[Concrete Intensity
(m³ / sq m)]],0)</f>
        <v>1850</v>
      </c>
      <c r="M1033" s="135">
        <f>_xlfn.XLOOKUP(Market_Data[[#This Row],[District]],tbl_district_price[District],tbl_district_price[Standard Price
(INR/m³)],"",0)</f>
        <v>6200</v>
      </c>
      <c r="N1033" s="364">
        <f>IF(OR(Market_Data[[#This Row],[Estimated Concrete Demand (m³)]]="",Market_Data[[#This Row],[Avg Price per (₹ / m³)]]=""),"",Market_Data[[#This Row],[Estimated Concrete Demand (m³)]]*Market_Data[[#This Row],[Avg Price per (₹ / m³)]]/10000000)</f>
        <v>1.147</v>
      </c>
      <c r="O1033" s="97" t="str">
        <f>IF(Market_Data[[#This Row],[Estimated Concrete Demand (m³)]]="","",
IF(Market_Data[[#This Row],[Estimated Concrete Demand (m³)]]&lt;10000,"Small",
IF(Market_Data[[#This Row],[Estimated Concrete Demand (m³)]]&lt;25000,"Medium",
IF(Market_Data[[#This Row],[Estimated Concrete Demand (m³)]]&lt;100000,"Large","Mega"))))</f>
        <v>Small</v>
      </c>
      <c r="P1033" s="287" t="str">
        <f t="shared" si="17"/>
        <v>GujRERA</v>
      </c>
    </row>
    <row r="1034" spans="1:16">
      <c r="A1034" s="129" t="str">
        <f>_xlfn.XLOOKUP(B1034,$S$9:$S$14,$T$9:$T$14)&amp;"-"&amp;
IF(E1034="Residential/Group Housing","RES",
IF(E1034="Commercial","COM",
IF(E1034="Mixed Development","MIX",
IF(E1034="Plotted Development","PLT","OTH"))))
&amp;"-"&amp;TEXT(COUNTIFS($B$9:B1034,B1034,$E$9:E1034,E1034),"0000")</f>
        <v>SUR-COM-0143</v>
      </c>
      <c r="B1034" s="322" t="s">
        <v>34</v>
      </c>
      <c r="C1034" s="322" t="s">
        <v>34</v>
      </c>
      <c r="D1034" s="323" t="s">
        <v>1224</v>
      </c>
      <c r="E1034" s="132" t="s">
        <v>23</v>
      </c>
      <c r="F1034" s="97" t="str">
        <f ca="1">IF(OR(Market_Data[[#This Row],[Start Date]]="",Market_Data[[#This Row],[Completion Date]]=""),"Needs Validation",IF(Market_Data[[#This Row],[Start Date]]&gt;TODAY(),"Planned",IF(Market_Data[[#This Row],[Completion Date]]&lt;TODAY(),"Completed","Ongoing")))</f>
        <v>Ongoing</v>
      </c>
      <c r="G1034" s="324">
        <v>45789</v>
      </c>
      <c r="H1034" s="324">
        <v>47848</v>
      </c>
      <c r="I1034" s="325">
        <v>3400</v>
      </c>
      <c r="J103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34" s="133">
        <f>_xlfn.XLOOKUP(Market_Data[[#This Row],[Project Type]],tbl_assumptions_market[Project Category (RERA)],tbl_assumptions_market[Concrete Intensity
(m³ / sq m BUA)],"",0)</f>
        <v>0.5</v>
      </c>
      <c r="L1034" s="134">
        <f>ROUND(Market_Data[[#This Row],[Estimated Built Up Area (sq m)]]*Market_Data[[#This Row],[Concrete Intensity
(m³ / sq m)]],0)</f>
        <v>1700</v>
      </c>
      <c r="M1034" s="135">
        <f>_xlfn.XLOOKUP(Market_Data[[#This Row],[District]],tbl_district_price[District],tbl_district_price[Standard Price
(INR/m³)],"",0)</f>
        <v>6200</v>
      </c>
      <c r="N1034" s="364">
        <f>IF(OR(Market_Data[[#This Row],[Estimated Concrete Demand (m³)]]="",Market_Data[[#This Row],[Avg Price per (₹ / m³)]]=""),"",Market_Data[[#This Row],[Estimated Concrete Demand (m³)]]*Market_Data[[#This Row],[Avg Price per (₹ / m³)]]/10000000)</f>
        <v>1.054</v>
      </c>
      <c r="O1034" s="97" t="str">
        <f>IF(Market_Data[[#This Row],[Estimated Concrete Demand (m³)]]="","",
IF(Market_Data[[#This Row],[Estimated Concrete Demand (m³)]]&lt;10000,"Small",
IF(Market_Data[[#This Row],[Estimated Concrete Demand (m³)]]&lt;25000,"Medium",
IF(Market_Data[[#This Row],[Estimated Concrete Demand (m³)]]&lt;100000,"Large","Mega"))))</f>
        <v>Small</v>
      </c>
      <c r="P1034" s="287" t="str">
        <f t="shared" ref="P1034:P1097" si="18">HYPERLINK(
"https://gujrera.gujarat.gov.in",
"GujRERA")</f>
        <v>GujRERA</v>
      </c>
    </row>
    <row r="1035" spans="1:16">
      <c r="A1035" s="129" t="str">
        <f>_xlfn.XLOOKUP(B1035,$S$9:$S$14,$T$9:$T$14)&amp;"-"&amp;
IF(E1035="Residential/Group Housing","RES",
IF(E1035="Commercial","COM",
IF(E1035="Mixed Development","MIX",
IF(E1035="Plotted Development","PLT","OTH"))))
&amp;"-"&amp;TEXT(COUNTIFS($B$9:B1035,B1035,$E$9:E1035,E1035),"0000")</f>
        <v>SUR-PLT-0183</v>
      </c>
      <c r="B1035" s="322" t="s">
        <v>34</v>
      </c>
      <c r="C1035" s="322" t="s">
        <v>34</v>
      </c>
      <c r="D1035" s="323" t="s">
        <v>1225</v>
      </c>
      <c r="E1035" s="132" t="s">
        <v>26</v>
      </c>
      <c r="F1035" s="97" t="str">
        <f ca="1">IF(OR(Market_Data[[#This Row],[Start Date]]="",Market_Data[[#This Row],[Completion Date]]=""),"Needs Validation",IF(Market_Data[[#This Row],[Start Date]]&gt;TODAY(),"Planned",IF(Market_Data[[#This Row],[Completion Date]]&lt;TODAY(),"Completed","Ongoing")))</f>
        <v>Completed</v>
      </c>
      <c r="G1035" s="324">
        <v>44573</v>
      </c>
      <c r="H1035" s="324">
        <v>45747</v>
      </c>
      <c r="I1035" s="325">
        <v>61300</v>
      </c>
      <c r="J103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035" s="133">
        <f>_xlfn.XLOOKUP(Market_Data[[#This Row],[Project Type]],tbl_assumptions_market[Project Category (RERA)],tbl_assumptions_market[Concrete Intensity
(m³ / sq m BUA)],"",0)</f>
        <v>0.18</v>
      </c>
      <c r="L1035" s="134">
        <f>ROUND(Market_Data[[#This Row],[Estimated Built Up Area (sq m)]]*Market_Data[[#This Row],[Concrete Intensity
(m³ / sq m)]],0)</f>
        <v>11034</v>
      </c>
      <c r="M1035" s="135">
        <f>_xlfn.XLOOKUP(Market_Data[[#This Row],[District]],tbl_district_price[District],tbl_district_price[Standard Price
(INR/m³)],"",0)</f>
        <v>6200</v>
      </c>
      <c r="N1035" s="364">
        <f>IF(OR(Market_Data[[#This Row],[Estimated Concrete Demand (m³)]]="",Market_Data[[#This Row],[Avg Price per (₹ / m³)]]=""),"",Market_Data[[#This Row],[Estimated Concrete Demand (m³)]]*Market_Data[[#This Row],[Avg Price per (₹ / m³)]]/10000000)</f>
        <v>6.8410799999999998</v>
      </c>
      <c r="O1035" s="97" t="str">
        <f>IF(Market_Data[[#This Row],[Estimated Concrete Demand (m³)]]="","",
IF(Market_Data[[#This Row],[Estimated Concrete Demand (m³)]]&lt;10000,"Small",
IF(Market_Data[[#This Row],[Estimated Concrete Demand (m³)]]&lt;25000,"Medium",
IF(Market_Data[[#This Row],[Estimated Concrete Demand (m³)]]&lt;100000,"Large","Mega"))))</f>
        <v>Medium</v>
      </c>
      <c r="P1035" s="287" t="str">
        <f t="shared" si="18"/>
        <v>GujRERA</v>
      </c>
    </row>
    <row r="1036" spans="1:16">
      <c r="A1036" s="129" t="str">
        <f>_xlfn.XLOOKUP(B1036,$S$9:$S$14,$T$9:$T$14)&amp;"-"&amp;
IF(E1036="Residential/Group Housing","RES",
IF(E1036="Commercial","COM",
IF(E1036="Mixed Development","MIX",
IF(E1036="Plotted Development","PLT","OTH"))))
&amp;"-"&amp;TEXT(COUNTIFS($B$9:B1036,B1036,$E$9:E1036,E1036),"0000")</f>
        <v>SUR-PLT-0184</v>
      </c>
      <c r="B1036" s="322" t="s">
        <v>34</v>
      </c>
      <c r="C1036" s="322" t="s">
        <v>34</v>
      </c>
      <c r="D1036" s="323" t="s">
        <v>1226</v>
      </c>
      <c r="E1036" s="132" t="s">
        <v>26</v>
      </c>
      <c r="F1036" s="97" t="str">
        <f ca="1">IF(OR(Market_Data[[#This Row],[Start Date]]="",Market_Data[[#This Row],[Completion Date]]=""),"Needs Validation",IF(Market_Data[[#This Row],[Start Date]]&gt;TODAY(),"Planned",IF(Market_Data[[#This Row],[Completion Date]]&lt;TODAY(),"Completed","Ongoing")))</f>
        <v>Ongoing</v>
      </c>
      <c r="G1036" s="324">
        <v>45920</v>
      </c>
      <c r="H1036" s="324">
        <v>47361</v>
      </c>
      <c r="I1036" s="325">
        <v>55900</v>
      </c>
      <c r="J103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036" s="133">
        <f>_xlfn.XLOOKUP(Market_Data[[#This Row],[Project Type]],tbl_assumptions_market[Project Category (RERA)],tbl_assumptions_market[Concrete Intensity
(m³ / sq m BUA)],"",0)</f>
        <v>0.18</v>
      </c>
      <c r="L1036" s="134">
        <f>ROUND(Market_Data[[#This Row],[Estimated Built Up Area (sq m)]]*Market_Data[[#This Row],[Concrete Intensity
(m³ / sq m)]],0)</f>
        <v>10062</v>
      </c>
      <c r="M1036" s="135">
        <f>_xlfn.XLOOKUP(Market_Data[[#This Row],[District]],tbl_district_price[District],tbl_district_price[Standard Price
(INR/m³)],"",0)</f>
        <v>6200</v>
      </c>
      <c r="N1036" s="364">
        <f>IF(OR(Market_Data[[#This Row],[Estimated Concrete Demand (m³)]]="",Market_Data[[#This Row],[Avg Price per (₹ / m³)]]=""),"",Market_Data[[#This Row],[Estimated Concrete Demand (m³)]]*Market_Data[[#This Row],[Avg Price per (₹ / m³)]]/10000000)</f>
        <v>6.2384399999999998</v>
      </c>
      <c r="O1036" s="97" t="str">
        <f>IF(Market_Data[[#This Row],[Estimated Concrete Demand (m³)]]="","",
IF(Market_Data[[#This Row],[Estimated Concrete Demand (m³)]]&lt;10000,"Small",
IF(Market_Data[[#This Row],[Estimated Concrete Demand (m³)]]&lt;25000,"Medium",
IF(Market_Data[[#This Row],[Estimated Concrete Demand (m³)]]&lt;100000,"Large","Mega"))))</f>
        <v>Medium</v>
      </c>
      <c r="P1036" s="287" t="str">
        <f t="shared" si="18"/>
        <v>GujRERA</v>
      </c>
    </row>
    <row r="1037" spans="1:16">
      <c r="A1037" s="129" t="str">
        <f>_xlfn.XLOOKUP(B1037,$S$9:$S$14,$T$9:$T$14)&amp;"-"&amp;
IF(E1037="Residential/Group Housing","RES",
IF(E1037="Commercial","COM",
IF(E1037="Mixed Development","MIX",
IF(E1037="Plotted Development","PLT","OTH"))))
&amp;"-"&amp;TEXT(COUNTIFS($B$9:B1037,B1037,$E$9:E1037,E1037),"0000")</f>
        <v>SUR-PLT-0185</v>
      </c>
      <c r="B1037" s="322" t="s">
        <v>34</v>
      </c>
      <c r="C1037" s="322" t="s">
        <v>34</v>
      </c>
      <c r="D1037" s="323" t="s">
        <v>1227</v>
      </c>
      <c r="E1037" s="132" t="s">
        <v>26</v>
      </c>
      <c r="F1037" s="97" t="str">
        <f ca="1">IF(OR(Market_Data[[#This Row],[Start Date]]="",Market_Data[[#This Row],[Completion Date]]=""),"Needs Validation",IF(Market_Data[[#This Row],[Start Date]]&gt;TODAY(),"Planned",IF(Market_Data[[#This Row],[Completion Date]]&lt;TODAY(),"Completed","Ongoing")))</f>
        <v>Ongoing</v>
      </c>
      <c r="G1037" s="324">
        <v>45895</v>
      </c>
      <c r="H1037" s="324">
        <v>46568</v>
      </c>
      <c r="I1037" s="325">
        <v>14600</v>
      </c>
      <c r="J103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37" s="133">
        <f>_xlfn.XLOOKUP(Market_Data[[#This Row],[Project Type]],tbl_assumptions_market[Project Category (RERA)],tbl_assumptions_market[Concrete Intensity
(m³ / sq m BUA)],"",0)</f>
        <v>0.18</v>
      </c>
      <c r="L1037" s="134">
        <f>ROUND(Market_Data[[#This Row],[Estimated Built Up Area (sq m)]]*Market_Data[[#This Row],[Concrete Intensity
(m³ / sq m)]],0)</f>
        <v>2628</v>
      </c>
      <c r="M1037" s="135">
        <f>_xlfn.XLOOKUP(Market_Data[[#This Row],[District]],tbl_district_price[District],tbl_district_price[Standard Price
(INR/m³)],"",0)</f>
        <v>6200</v>
      </c>
      <c r="N1037" s="364">
        <f>IF(OR(Market_Data[[#This Row],[Estimated Concrete Demand (m³)]]="",Market_Data[[#This Row],[Avg Price per (₹ / m³)]]=""),"",Market_Data[[#This Row],[Estimated Concrete Demand (m³)]]*Market_Data[[#This Row],[Avg Price per (₹ / m³)]]/10000000)</f>
        <v>1.6293599999999999</v>
      </c>
      <c r="O1037" s="97" t="str">
        <f>IF(Market_Data[[#This Row],[Estimated Concrete Demand (m³)]]="","",
IF(Market_Data[[#This Row],[Estimated Concrete Demand (m³)]]&lt;10000,"Small",
IF(Market_Data[[#This Row],[Estimated Concrete Demand (m³)]]&lt;25000,"Medium",
IF(Market_Data[[#This Row],[Estimated Concrete Demand (m³)]]&lt;100000,"Large","Mega"))))</f>
        <v>Small</v>
      </c>
      <c r="P1037" s="287" t="str">
        <f t="shared" si="18"/>
        <v>GujRERA</v>
      </c>
    </row>
    <row r="1038" spans="1:16">
      <c r="A1038" s="129" t="str">
        <f>_xlfn.XLOOKUP(B1038,$S$9:$S$14,$T$9:$T$14)&amp;"-"&amp;
IF(E1038="Residential/Group Housing","RES",
IF(E1038="Commercial","COM",
IF(E1038="Mixed Development","MIX",
IF(E1038="Plotted Development","PLT","OTH"))))
&amp;"-"&amp;TEXT(COUNTIFS($B$9:B1038,B1038,$E$9:E1038,E1038),"0000")</f>
        <v>SUR-PLT-0186</v>
      </c>
      <c r="B1038" s="322" t="s">
        <v>34</v>
      </c>
      <c r="C1038" s="322" t="s">
        <v>34</v>
      </c>
      <c r="D1038" s="323" t="s">
        <v>1228</v>
      </c>
      <c r="E1038" s="132" t="s">
        <v>26</v>
      </c>
      <c r="F1038" s="97" t="str">
        <f ca="1">IF(OR(Market_Data[[#This Row],[Start Date]]="",Market_Data[[#This Row],[Completion Date]]=""),"Needs Validation",IF(Market_Data[[#This Row],[Start Date]]&gt;TODAY(),"Planned",IF(Market_Data[[#This Row],[Completion Date]]&lt;TODAY(),"Completed","Ongoing")))</f>
        <v>Completed</v>
      </c>
      <c r="G1038" s="324">
        <v>44853</v>
      </c>
      <c r="H1038" s="324">
        <v>45747</v>
      </c>
      <c r="I1038" s="325">
        <v>21400</v>
      </c>
      <c r="J103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38" s="133">
        <f>_xlfn.XLOOKUP(Market_Data[[#This Row],[Project Type]],tbl_assumptions_market[Project Category (RERA)],tbl_assumptions_market[Concrete Intensity
(m³ / sq m BUA)],"",0)</f>
        <v>0.18</v>
      </c>
      <c r="L1038" s="134">
        <f>ROUND(Market_Data[[#This Row],[Estimated Built Up Area (sq m)]]*Market_Data[[#This Row],[Concrete Intensity
(m³ / sq m)]],0)</f>
        <v>3852</v>
      </c>
      <c r="M1038" s="135">
        <f>_xlfn.XLOOKUP(Market_Data[[#This Row],[District]],tbl_district_price[District],tbl_district_price[Standard Price
(INR/m³)],"",0)</f>
        <v>6200</v>
      </c>
      <c r="N1038" s="364">
        <f>IF(OR(Market_Data[[#This Row],[Estimated Concrete Demand (m³)]]="",Market_Data[[#This Row],[Avg Price per (₹ / m³)]]=""),"",Market_Data[[#This Row],[Estimated Concrete Demand (m³)]]*Market_Data[[#This Row],[Avg Price per (₹ / m³)]]/10000000)</f>
        <v>2.3882400000000001</v>
      </c>
      <c r="O1038" s="97" t="str">
        <f>IF(Market_Data[[#This Row],[Estimated Concrete Demand (m³)]]="","",
IF(Market_Data[[#This Row],[Estimated Concrete Demand (m³)]]&lt;10000,"Small",
IF(Market_Data[[#This Row],[Estimated Concrete Demand (m³)]]&lt;25000,"Medium",
IF(Market_Data[[#This Row],[Estimated Concrete Demand (m³)]]&lt;100000,"Large","Mega"))))</f>
        <v>Small</v>
      </c>
      <c r="P1038" s="287" t="str">
        <f t="shared" si="18"/>
        <v>GujRERA</v>
      </c>
    </row>
    <row r="1039" spans="1:16">
      <c r="A1039" s="129" t="str">
        <f>_xlfn.XLOOKUP(B1039,$S$9:$S$14,$T$9:$T$14)&amp;"-"&amp;
IF(E1039="Residential/Group Housing","RES",
IF(E1039="Commercial","COM",
IF(E1039="Mixed Development","MIX",
IF(E1039="Plotted Development","PLT","OTH"))))
&amp;"-"&amp;TEXT(COUNTIFS($B$9:B1039,B1039,$E$9:E1039,E1039),"0000")</f>
        <v>SUR-RES-0264</v>
      </c>
      <c r="B1039" s="322" t="s">
        <v>34</v>
      </c>
      <c r="C1039" s="322" t="s">
        <v>34</v>
      </c>
      <c r="D1039" s="323" t="s">
        <v>1229</v>
      </c>
      <c r="E1039" s="132" t="s">
        <v>24</v>
      </c>
      <c r="F1039" s="97" t="str">
        <f ca="1">IF(OR(Market_Data[[#This Row],[Start Date]]="",Market_Data[[#This Row],[Completion Date]]=""),"Needs Validation",IF(Market_Data[[#This Row],[Start Date]]&gt;TODAY(),"Planned",IF(Market_Data[[#This Row],[Completion Date]]&lt;TODAY(),"Completed","Ongoing")))</f>
        <v>Ongoing</v>
      </c>
      <c r="G1039" s="324">
        <v>45498</v>
      </c>
      <c r="H1039" s="324">
        <v>48213</v>
      </c>
      <c r="I1039" s="325">
        <v>34000</v>
      </c>
      <c r="J103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39" s="133">
        <f>_xlfn.XLOOKUP(Market_Data[[#This Row],[Project Type]],tbl_assumptions_market[Project Category (RERA)],tbl_assumptions_market[Concrete Intensity
(m³ / sq m BUA)],"",0)</f>
        <v>0.45</v>
      </c>
      <c r="L1039" s="134">
        <f>ROUND(Market_Data[[#This Row],[Estimated Built Up Area (sq m)]]*Market_Data[[#This Row],[Concrete Intensity
(m³ / sq m)]],0)</f>
        <v>15300</v>
      </c>
      <c r="M1039" s="135">
        <f>_xlfn.XLOOKUP(Market_Data[[#This Row],[District]],tbl_district_price[District],tbl_district_price[Standard Price
(INR/m³)],"",0)</f>
        <v>6200</v>
      </c>
      <c r="N1039" s="364">
        <f>IF(OR(Market_Data[[#This Row],[Estimated Concrete Demand (m³)]]="",Market_Data[[#This Row],[Avg Price per (₹ / m³)]]=""),"",Market_Data[[#This Row],[Estimated Concrete Demand (m³)]]*Market_Data[[#This Row],[Avg Price per (₹ / m³)]]/10000000)</f>
        <v>9.4860000000000007</v>
      </c>
      <c r="O1039" s="97" t="str">
        <f>IF(Market_Data[[#This Row],[Estimated Concrete Demand (m³)]]="","",
IF(Market_Data[[#This Row],[Estimated Concrete Demand (m³)]]&lt;10000,"Small",
IF(Market_Data[[#This Row],[Estimated Concrete Demand (m³)]]&lt;25000,"Medium",
IF(Market_Data[[#This Row],[Estimated Concrete Demand (m³)]]&lt;100000,"Large","Mega"))))</f>
        <v>Medium</v>
      </c>
      <c r="P1039" s="287" t="str">
        <f t="shared" si="18"/>
        <v>GujRERA</v>
      </c>
    </row>
    <row r="1040" spans="1:16">
      <c r="A1040" s="129" t="str">
        <f>_xlfn.XLOOKUP(B1040,$S$9:$S$14,$T$9:$T$14)&amp;"-"&amp;
IF(E1040="Residential/Group Housing","RES",
IF(E1040="Commercial","COM",
IF(E1040="Mixed Development","MIX",
IF(E1040="Plotted Development","PLT","OTH"))))
&amp;"-"&amp;TEXT(COUNTIFS($B$9:B1040,B1040,$E$9:E1040,E1040),"0000")</f>
        <v>SUR-PLT-0187</v>
      </c>
      <c r="B1040" s="322" t="s">
        <v>34</v>
      </c>
      <c r="C1040" s="322" t="s">
        <v>34</v>
      </c>
      <c r="D1040" s="323" t="s">
        <v>1230</v>
      </c>
      <c r="E1040" s="132" t="s">
        <v>26</v>
      </c>
      <c r="F1040" s="97" t="str">
        <f ca="1">IF(OR(Market_Data[[#This Row],[Start Date]]="",Market_Data[[#This Row],[Completion Date]]=""),"Needs Validation",IF(Market_Data[[#This Row],[Start Date]]&gt;TODAY(),"Planned",IF(Market_Data[[#This Row],[Completion Date]]&lt;TODAY(),"Completed","Ongoing")))</f>
        <v>Ongoing</v>
      </c>
      <c r="G1040" s="324">
        <v>45931</v>
      </c>
      <c r="H1040" s="324">
        <v>47361</v>
      </c>
      <c r="I1040" s="325">
        <v>7500</v>
      </c>
      <c r="J104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40" s="133">
        <f>_xlfn.XLOOKUP(Market_Data[[#This Row],[Project Type]],tbl_assumptions_market[Project Category (RERA)],tbl_assumptions_market[Concrete Intensity
(m³ / sq m BUA)],"",0)</f>
        <v>0.18</v>
      </c>
      <c r="L1040" s="134">
        <f>ROUND(Market_Data[[#This Row],[Estimated Built Up Area (sq m)]]*Market_Data[[#This Row],[Concrete Intensity
(m³ / sq m)]],0)</f>
        <v>1350</v>
      </c>
      <c r="M1040" s="135">
        <f>_xlfn.XLOOKUP(Market_Data[[#This Row],[District]],tbl_district_price[District],tbl_district_price[Standard Price
(INR/m³)],"",0)</f>
        <v>6200</v>
      </c>
      <c r="N1040" s="364">
        <f>IF(OR(Market_Data[[#This Row],[Estimated Concrete Demand (m³)]]="",Market_Data[[#This Row],[Avg Price per (₹ / m³)]]=""),"",Market_Data[[#This Row],[Estimated Concrete Demand (m³)]]*Market_Data[[#This Row],[Avg Price per (₹ / m³)]]/10000000)</f>
        <v>0.83699999999999997</v>
      </c>
      <c r="O1040" s="97" t="str">
        <f>IF(Market_Data[[#This Row],[Estimated Concrete Demand (m³)]]="","",
IF(Market_Data[[#This Row],[Estimated Concrete Demand (m³)]]&lt;10000,"Small",
IF(Market_Data[[#This Row],[Estimated Concrete Demand (m³)]]&lt;25000,"Medium",
IF(Market_Data[[#This Row],[Estimated Concrete Demand (m³)]]&lt;100000,"Large","Mega"))))</f>
        <v>Small</v>
      </c>
      <c r="P1040" s="287" t="str">
        <f t="shared" si="18"/>
        <v>GujRERA</v>
      </c>
    </row>
    <row r="1041" spans="1:16">
      <c r="A1041" s="129" t="str">
        <f>_xlfn.XLOOKUP(B1041,$S$9:$S$14,$T$9:$T$14)&amp;"-"&amp;
IF(E1041="Residential/Group Housing","RES",
IF(E1041="Commercial","COM",
IF(E1041="Mixed Development","MIX",
IF(E1041="Plotted Development","PLT","OTH"))))
&amp;"-"&amp;TEXT(COUNTIFS($B$9:B1041,B1041,$E$9:E1041,E1041),"0000")</f>
        <v>SUR-RES-0265</v>
      </c>
      <c r="B1041" s="322" t="s">
        <v>34</v>
      </c>
      <c r="C1041" s="322" t="s">
        <v>34</v>
      </c>
      <c r="D1041" s="323" t="s">
        <v>1231</v>
      </c>
      <c r="E1041" s="132" t="s">
        <v>24</v>
      </c>
      <c r="F1041" s="97" t="str">
        <f ca="1">IF(OR(Market_Data[[#This Row],[Start Date]]="",Market_Data[[#This Row],[Completion Date]]=""),"Needs Validation",IF(Market_Data[[#This Row],[Start Date]]&gt;TODAY(),"Planned",IF(Market_Data[[#This Row],[Completion Date]]&lt;TODAY(),"Completed","Ongoing")))</f>
        <v>Ongoing</v>
      </c>
      <c r="G1041" s="324">
        <v>45757</v>
      </c>
      <c r="H1041" s="324">
        <v>47498</v>
      </c>
      <c r="I1041" s="325">
        <v>46000</v>
      </c>
      <c r="J104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41" s="133">
        <f>_xlfn.XLOOKUP(Market_Data[[#This Row],[Project Type]],tbl_assumptions_market[Project Category (RERA)],tbl_assumptions_market[Concrete Intensity
(m³ / sq m BUA)],"",0)</f>
        <v>0.45</v>
      </c>
      <c r="L1041" s="134">
        <f>ROUND(Market_Data[[#This Row],[Estimated Built Up Area (sq m)]]*Market_Data[[#This Row],[Concrete Intensity
(m³ / sq m)]],0)</f>
        <v>20700</v>
      </c>
      <c r="M1041" s="135">
        <f>_xlfn.XLOOKUP(Market_Data[[#This Row],[District]],tbl_district_price[District],tbl_district_price[Standard Price
(INR/m³)],"",0)</f>
        <v>6200</v>
      </c>
      <c r="N1041" s="364">
        <f>IF(OR(Market_Data[[#This Row],[Estimated Concrete Demand (m³)]]="",Market_Data[[#This Row],[Avg Price per (₹ / m³)]]=""),"",Market_Data[[#This Row],[Estimated Concrete Demand (m³)]]*Market_Data[[#This Row],[Avg Price per (₹ / m³)]]/10000000)</f>
        <v>12.834</v>
      </c>
      <c r="O1041" s="97" t="str">
        <f>IF(Market_Data[[#This Row],[Estimated Concrete Demand (m³)]]="","",
IF(Market_Data[[#This Row],[Estimated Concrete Demand (m³)]]&lt;10000,"Small",
IF(Market_Data[[#This Row],[Estimated Concrete Demand (m³)]]&lt;25000,"Medium",
IF(Market_Data[[#This Row],[Estimated Concrete Demand (m³)]]&lt;100000,"Large","Mega"))))</f>
        <v>Medium</v>
      </c>
      <c r="P1041" s="287" t="str">
        <f t="shared" si="18"/>
        <v>GujRERA</v>
      </c>
    </row>
    <row r="1042" spans="1:16">
      <c r="A1042" s="129" t="str">
        <f>_xlfn.XLOOKUP(B1042,$S$9:$S$14,$T$9:$T$14)&amp;"-"&amp;
IF(E1042="Residential/Group Housing","RES",
IF(E1042="Commercial","COM",
IF(E1042="Mixed Development","MIX",
IF(E1042="Plotted Development","PLT","OTH"))))
&amp;"-"&amp;TEXT(COUNTIFS($B$9:B1042,B1042,$E$9:E1042,E1042),"0000")</f>
        <v>SUR-COM-0144</v>
      </c>
      <c r="B1042" s="322" t="s">
        <v>34</v>
      </c>
      <c r="C1042" s="322" t="s">
        <v>34</v>
      </c>
      <c r="D1042" s="323" t="s">
        <v>1232</v>
      </c>
      <c r="E1042" s="132" t="s">
        <v>23</v>
      </c>
      <c r="F1042" s="97" t="str">
        <f ca="1">IF(OR(Market_Data[[#This Row],[Start Date]]="",Market_Data[[#This Row],[Completion Date]]=""),"Needs Validation",IF(Market_Data[[#This Row],[Start Date]]&gt;TODAY(),"Planned",IF(Market_Data[[#This Row],[Completion Date]]&lt;TODAY(),"Completed","Ongoing")))</f>
        <v>Ongoing</v>
      </c>
      <c r="G1042" s="324">
        <v>45749</v>
      </c>
      <c r="H1042" s="324">
        <v>47208</v>
      </c>
      <c r="I1042" s="325">
        <v>4600</v>
      </c>
      <c r="J104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42" s="133">
        <f>_xlfn.XLOOKUP(Market_Data[[#This Row],[Project Type]],tbl_assumptions_market[Project Category (RERA)],tbl_assumptions_market[Concrete Intensity
(m³ / sq m BUA)],"",0)</f>
        <v>0.5</v>
      </c>
      <c r="L1042" s="134">
        <f>ROUND(Market_Data[[#This Row],[Estimated Built Up Area (sq m)]]*Market_Data[[#This Row],[Concrete Intensity
(m³ / sq m)]],0)</f>
        <v>2300</v>
      </c>
      <c r="M1042" s="135">
        <f>_xlfn.XLOOKUP(Market_Data[[#This Row],[District]],tbl_district_price[District],tbl_district_price[Standard Price
(INR/m³)],"",0)</f>
        <v>6200</v>
      </c>
      <c r="N1042" s="364">
        <f>IF(OR(Market_Data[[#This Row],[Estimated Concrete Demand (m³)]]="",Market_Data[[#This Row],[Avg Price per (₹ / m³)]]=""),"",Market_Data[[#This Row],[Estimated Concrete Demand (m³)]]*Market_Data[[#This Row],[Avg Price per (₹ / m³)]]/10000000)</f>
        <v>1.4259999999999999</v>
      </c>
      <c r="O1042" s="97" t="str">
        <f>IF(Market_Data[[#This Row],[Estimated Concrete Demand (m³)]]="","",
IF(Market_Data[[#This Row],[Estimated Concrete Demand (m³)]]&lt;10000,"Small",
IF(Market_Data[[#This Row],[Estimated Concrete Demand (m³)]]&lt;25000,"Medium",
IF(Market_Data[[#This Row],[Estimated Concrete Demand (m³)]]&lt;100000,"Large","Mega"))))</f>
        <v>Small</v>
      </c>
      <c r="P1042" s="287" t="str">
        <f t="shared" si="18"/>
        <v>GujRERA</v>
      </c>
    </row>
    <row r="1043" spans="1:16">
      <c r="A1043" s="129" t="str">
        <f>_xlfn.XLOOKUP(B1043,$S$9:$S$14,$T$9:$T$14)&amp;"-"&amp;
IF(E1043="Residential/Group Housing","RES",
IF(E1043="Commercial","COM",
IF(E1043="Mixed Development","MIX",
IF(E1043="Plotted Development","PLT","OTH"))))
&amp;"-"&amp;TEXT(COUNTIFS($B$9:B1043,B1043,$E$9:E1043,E1043),"0000")</f>
        <v>SUR-COM-0145</v>
      </c>
      <c r="B1043" s="322" t="s">
        <v>34</v>
      </c>
      <c r="C1043" s="322" t="s">
        <v>34</v>
      </c>
      <c r="D1043" s="323" t="s">
        <v>1233</v>
      </c>
      <c r="E1043" s="132" t="s">
        <v>23</v>
      </c>
      <c r="F1043" s="97" t="str">
        <f ca="1">IF(OR(Market_Data[[#This Row],[Start Date]]="",Market_Data[[#This Row],[Completion Date]]=""),"Needs Validation",IF(Market_Data[[#This Row],[Start Date]]&gt;TODAY(),"Planned",IF(Market_Data[[#This Row],[Completion Date]]&lt;TODAY(),"Completed","Ongoing")))</f>
        <v>Ongoing</v>
      </c>
      <c r="G1043" s="324">
        <v>45043</v>
      </c>
      <c r="H1043" s="324">
        <v>47483</v>
      </c>
      <c r="I1043" s="325">
        <v>3100</v>
      </c>
      <c r="J104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43" s="133">
        <f>_xlfn.XLOOKUP(Market_Data[[#This Row],[Project Type]],tbl_assumptions_market[Project Category (RERA)],tbl_assumptions_market[Concrete Intensity
(m³ / sq m BUA)],"",0)</f>
        <v>0.5</v>
      </c>
      <c r="L1043" s="134">
        <f>ROUND(Market_Data[[#This Row],[Estimated Built Up Area (sq m)]]*Market_Data[[#This Row],[Concrete Intensity
(m³ / sq m)]],0)</f>
        <v>1550</v>
      </c>
      <c r="M1043" s="135">
        <f>_xlfn.XLOOKUP(Market_Data[[#This Row],[District]],tbl_district_price[District],tbl_district_price[Standard Price
(INR/m³)],"",0)</f>
        <v>6200</v>
      </c>
      <c r="N1043" s="364">
        <f>IF(OR(Market_Data[[#This Row],[Estimated Concrete Demand (m³)]]="",Market_Data[[#This Row],[Avg Price per (₹ / m³)]]=""),"",Market_Data[[#This Row],[Estimated Concrete Demand (m³)]]*Market_Data[[#This Row],[Avg Price per (₹ / m³)]]/10000000)</f>
        <v>0.96099999999999997</v>
      </c>
      <c r="O1043" s="97" t="str">
        <f>IF(Market_Data[[#This Row],[Estimated Concrete Demand (m³)]]="","",
IF(Market_Data[[#This Row],[Estimated Concrete Demand (m³)]]&lt;10000,"Small",
IF(Market_Data[[#This Row],[Estimated Concrete Demand (m³)]]&lt;25000,"Medium",
IF(Market_Data[[#This Row],[Estimated Concrete Demand (m³)]]&lt;100000,"Large","Mega"))))</f>
        <v>Small</v>
      </c>
      <c r="P1043" s="287" t="str">
        <f t="shared" si="18"/>
        <v>GujRERA</v>
      </c>
    </row>
    <row r="1044" spans="1:16">
      <c r="A1044" s="129" t="str">
        <f>_xlfn.XLOOKUP(B1044,$S$9:$S$14,$T$9:$T$14)&amp;"-"&amp;
IF(E1044="Residential/Group Housing","RES",
IF(E1044="Commercial","COM",
IF(E1044="Mixed Development","MIX",
IF(E1044="Plotted Development","PLT","OTH"))))
&amp;"-"&amp;TEXT(COUNTIFS($B$9:B1044,B1044,$E$9:E1044,E1044),"0000")</f>
        <v>SUR-MIX-0129</v>
      </c>
      <c r="B1044" s="322" t="s">
        <v>34</v>
      </c>
      <c r="C1044" s="322" t="s">
        <v>34</v>
      </c>
      <c r="D1044" s="323" t="s">
        <v>1234</v>
      </c>
      <c r="E1044" s="132" t="s">
        <v>25</v>
      </c>
      <c r="F1044" s="97" t="str">
        <f ca="1">IF(OR(Market_Data[[#This Row],[Start Date]]="",Market_Data[[#This Row],[Completion Date]]=""),"Needs Validation",IF(Market_Data[[#This Row],[Start Date]]&gt;TODAY(),"Planned",IF(Market_Data[[#This Row],[Completion Date]]&lt;TODAY(),"Completed","Ongoing")))</f>
        <v>Ongoing</v>
      </c>
      <c r="G1044" s="324">
        <v>44659</v>
      </c>
      <c r="H1044" s="324">
        <v>46387</v>
      </c>
      <c r="I1044" s="325">
        <v>36500</v>
      </c>
      <c r="J104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44" s="133">
        <f>_xlfn.XLOOKUP(Market_Data[[#This Row],[Project Type]],tbl_assumptions_market[Project Category (RERA)],tbl_assumptions_market[Concrete Intensity
(m³ / sq m BUA)],"",0)</f>
        <v>0.42</v>
      </c>
      <c r="L1044" s="134">
        <f>ROUND(Market_Data[[#This Row],[Estimated Built Up Area (sq m)]]*Market_Data[[#This Row],[Concrete Intensity
(m³ / sq m)]],0)</f>
        <v>15330</v>
      </c>
      <c r="M1044" s="135">
        <f>_xlfn.XLOOKUP(Market_Data[[#This Row],[District]],tbl_district_price[District],tbl_district_price[Standard Price
(INR/m³)],"",0)</f>
        <v>6200</v>
      </c>
      <c r="N1044" s="364">
        <f>IF(OR(Market_Data[[#This Row],[Estimated Concrete Demand (m³)]]="",Market_Data[[#This Row],[Avg Price per (₹ / m³)]]=""),"",Market_Data[[#This Row],[Estimated Concrete Demand (m³)]]*Market_Data[[#This Row],[Avg Price per (₹ / m³)]]/10000000)</f>
        <v>9.5045999999999999</v>
      </c>
      <c r="O1044" s="97" t="str">
        <f>IF(Market_Data[[#This Row],[Estimated Concrete Demand (m³)]]="","",
IF(Market_Data[[#This Row],[Estimated Concrete Demand (m³)]]&lt;10000,"Small",
IF(Market_Data[[#This Row],[Estimated Concrete Demand (m³)]]&lt;25000,"Medium",
IF(Market_Data[[#This Row],[Estimated Concrete Demand (m³)]]&lt;100000,"Large","Mega"))))</f>
        <v>Medium</v>
      </c>
      <c r="P1044" s="287" t="str">
        <f t="shared" si="18"/>
        <v>GujRERA</v>
      </c>
    </row>
    <row r="1045" spans="1:16">
      <c r="A1045" s="129" t="str">
        <f>_xlfn.XLOOKUP(B1045,$S$9:$S$14,$T$9:$T$14)&amp;"-"&amp;
IF(E1045="Residential/Group Housing","RES",
IF(E1045="Commercial","COM",
IF(E1045="Mixed Development","MIX",
IF(E1045="Plotted Development","PLT","OTH"))))
&amp;"-"&amp;TEXT(COUNTIFS($B$9:B1045,B1045,$E$9:E1045,E1045),"0000")</f>
        <v>SUR-MIX-0130</v>
      </c>
      <c r="B1045" s="322" t="s">
        <v>34</v>
      </c>
      <c r="C1045" s="322" t="s">
        <v>34</v>
      </c>
      <c r="D1045" s="323" t="s">
        <v>1235</v>
      </c>
      <c r="E1045" s="132" t="s">
        <v>25</v>
      </c>
      <c r="F1045" s="97" t="str">
        <f ca="1">IF(OR(Market_Data[[#This Row],[Start Date]]="",Market_Data[[#This Row],[Completion Date]]=""),"Needs Validation",IF(Market_Data[[#This Row],[Start Date]]&gt;TODAY(),"Planned",IF(Market_Data[[#This Row],[Completion Date]]&lt;TODAY(),"Completed","Ongoing")))</f>
        <v>Ongoing</v>
      </c>
      <c r="G1045" s="324">
        <v>45758</v>
      </c>
      <c r="H1045" s="324">
        <v>47118</v>
      </c>
      <c r="I1045" s="325">
        <v>28700</v>
      </c>
      <c r="J104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45" s="133">
        <f>_xlfn.XLOOKUP(Market_Data[[#This Row],[Project Type]],tbl_assumptions_market[Project Category (RERA)],tbl_assumptions_market[Concrete Intensity
(m³ / sq m BUA)],"",0)</f>
        <v>0.42</v>
      </c>
      <c r="L1045" s="134">
        <f>ROUND(Market_Data[[#This Row],[Estimated Built Up Area (sq m)]]*Market_Data[[#This Row],[Concrete Intensity
(m³ / sq m)]],0)</f>
        <v>12054</v>
      </c>
      <c r="M1045" s="135">
        <f>_xlfn.XLOOKUP(Market_Data[[#This Row],[District]],tbl_district_price[District],tbl_district_price[Standard Price
(INR/m³)],"",0)</f>
        <v>6200</v>
      </c>
      <c r="N1045" s="364">
        <f>IF(OR(Market_Data[[#This Row],[Estimated Concrete Demand (m³)]]="",Market_Data[[#This Row],[Avg Price per (₹ / m³)]]=""),"",Market_Data[[#This Row],[Estimated Concrete Demand (m³)]]*Market_Data[[#This Row],[Avg Price per (₹ / m³)]]/10000000)</f>
        <v>7.4734800000000003</v>
      </c>
      <c r="O1045" s="97" t="str">
        <f>IF(Market_Data[[#This Row],[Estimated Concrete Demand (m³)]]="","",
IF(Market_Data[[#This Row],[Estimated Concrete Demand (m³)]]&lt;10000,"Small",
IF(Market_Data[[#This Row],[Estimated Concrete Demand (m³)]]&lt;25000,"Medium",
IF(Market_Data[[#This Row],[Estimated Concrete Demand (m³)]]&lt;100000,"Large","Mega"))))</f>
        <v>Medium</v>
      </c>
      <c r="P1045" s="287" t="str">
        <f t="shared" si="18"/>
        <v>GujRERA</v>
      </c>
    </row>
    <row r="1046" spans="1:16">
      <c r="A1046" s="129" t="str">
        <f>_xlfn.XLOOKUP(B1046,$S$9:$S$14,$T$9:$T$14)&amp;"-"&amp;
IF(E1046="Residential/Group Housing","RES",
IF(E1046="Commercial","COM",
IF(E1046="Mixed Development","MIX",
IF(E1046="Plotted Development","PLT","OTH"))))
&amp;"-"&amp;TEXT(COUNTIFS($B$9:B1046,B1046,$E$9:E1046,E1046),"0000")</f>
        <v>SUR-MIX-0131</v>
      </c>
      <c r="B1046" s="322" t="s">
        <v>34</v>
      </c>
      <c r="C1046" s="322" t="s">
        <v>34</v>
      </c>
      <c r="D1046" s="323" t="s">
        <v>1236</v>
      </c>
      <c r="E1046" s="132" t="s">
        <v>25</v>
      </c>
      <c r="F1046" s="97" t="str">
        <f ca="1">IF(OR(Market_Data[[#This Row],[Start Date]]="",Market_Data[[#This Row],[Completion Date]]=""),"Needs Validation",IF(Market_Data[[#This Row],[Start Date]]&gt;TODAY(),"Planned",IF(Market_Data[[#This Row],[Completion Date]]&lt;TODAY(),"Completed","Ongoing")))</f>
        <v>Ongoing</v>
      </c>
      <c r="G1046" s="324">
        <v>45929</v>
      </c>
      <c r="H1046" s="324">
        <v>47848</v>
      </c>
      <c r="I1046" s="325">
        <v>43600</v>
      </c>
      <c r="J104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46" s="133">
        <f>_xlfn.XLOOKUP(Market_Data[[#This Row],[Project Type]],tbl_assumptions_market[Project Category (RERA)],tbl_assumptions_market[Concrete Intensity
(m³ / sq m BUA)],"",0)</f>
        <v>0.42</v>
      </c>
      <c r="L1046" s="134">
        <f>ROUND(Market_Data[[#This Row],[Estimated Built Up Area (sq m)]]*Market_Data[[#This Row],[Concrete Intensity
(m³ / sq m)]],0)</f>
        <v>18312</v>
      </c>
      <c r="M1046" s="135">
        <f>_xlfn.XLOOKUP(Market_Data[[#This Row],[District]],tbl_district_price[District],tbl_district_price[Standard Price
(INR/m³)],"",0)</f>
        <v>6200</v>
      </c>
      <c r="N1046" s="364">
        <f>IF(OR(Market_Data[[#This Row],[Estimated Concrete Demand (m³)]]="",Market_Data[[#This Row],[Avg Price per (₹ / m³)]]=""),"",Market_Data[[#This Row],[Estimated Concrete Demand (m³)]]*Market_Data[[#This Row],[Avg Price per (₹ / m³)]]/10000000)</f>
        <v>11.353440000000001</v>
      </c>
      <c r="O1046" s="97" t="str">
        <f>IF(Market_Data[[#This Row],[Estimated Concrete Demand (m³)]]="","",
IF(Market_Data[[#This Row],[Estimated Concrete Demand (m³)]]&lt;10000,"Small",
IF(Market_Data[[#This Row],[Estimated Concrete Demand (m³)]]&lt;25000,"Medium",
IF(Market_Data[[#This Row],[Estimated Concrete Demand (m³)]]&lt;100000,"Large","Mega"))))</f>
        <v>Medium</v>
      </c>
      <c r="P1046" s="287" t="str">
        <f t="shared" si="18"/>
        <v>GujRERA</v>
      </c>
    </row>
    <row r="1047" spans="1:16">
      <c r="A1047" s="129" t="str">
        <f>_xlfn.XLOOKUP(B1047,$S$9:$S$14,$T$9:$T$14)&amp;"-"&amp;
IF(E1047="Residential/Group Housing","RES",
IF(E1047="Commercial","COM",
IF(E1047="Mixed Development","MIX",
IF(E1047="Plotted Development","PLT","OTH"))))
&amp;"-"&amp;TEXT(COUNTIFS($B$9:B1047,B1047,$E$9:E1047,E1047),"0000")</f>
        <v>SUR-MIX-0132</v>
      </c>
      <c r="B1047" s="322" t="s">
        <v>34</v>
      </c>
      <c r="C1047" s="322" t="s">
        <v>34</v>
      </c>
      <c r="D1047" s="323" t="s">
        <v>1237</v>
      </c>
      <c r="E1047" s="132" t="s">
        <v>25</v>
      </c>
      <c r="F1047" s="97" t="str">
        <f ca="1">IF(OR(Market_Data[[#This Row],[Start Date]]="",Market_Data[[#This Row],[Completion Date]]=""),"Needs Validation",IF(Market_Data[[#This Row],[Start Date]]&gt;TODAY(),"Planned",IF(Market_Data[[#This Row],[Completion Date]]&lt;TODAY(),"Completed","Ongoing")))</f>
        <v>Completed</v>
      </c>
      <c r="G1047" s="324">
        <v>42151</v>
      </c>
      <c r="H1047" s="324">
        <v>43769</v>
      </c>
      <c r="I1047" s="325">
        <v>46700</v>
      </c>
      <c r="J104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47" s="133">
        <f>_xlfn.XLOOKUP(Market_Data[[#This Row],[Project Type]],tbl_assumptions_market[Project Category (RERA)],tbl_assumptions_market[Concrete Intensity
(m³ / sq m BUA)],"",0)</f>
        <v>0.42</v>
      </c>
      <c r="L1047" s="134">
        <f>ROUND(Market_Data[[#This Row],[Estimated Built Up Area (sq m)]]*Market_Data[[#This Row],[Concrete Intensity
(m³ / sq m)]],0)</f>
        <v>19614</v>
      </c>
      <c r="M1047" s="135">
        <f>_xlfn.XLOOKUP(Market_Data[[#This Row],[District]],tbl_district_price[District],tbl_district_price[Standard Price
(INR/m³)],"",0)</f>
        <v>6200</v>
      </c>
      <c r="N1047" s="364">
        <f>IF(OR(Market_Data[[#This Row],[Estimated Concrete Demand (m³)]]="",Market_Data[[#This Row],[Avg Price per (₹ / m³)]]=""),"",Market_Data[[#This Row],[Estimated Concrete Demand (m³)]]*Market_Data[[#This Row],[Avg Price per (₹ / m³)]]/10000000)</f>
        <v>12.160679999999999</v>
      </c>
      <c r="O1047" s="97" t="str">
        <f>IF(Market_Data[[#This Row],[Estimated Concrete Demand (m³)]]="","",
IF(Market_Data[[#This Row],[Estimated Concrete Demand (m³)]]&lt;10000,"Small",
IF(Market_Data[[#This Row],[Estimated Concrete Demand (m³)]]&lt;25000,"Medium",
IF(Market_Data[[#This Row],[Estimated Concrete Demand (m³)]]&lt;100000,"Large","Mega"))))</f>
        <v>Medium</v>
      </c>
      <c r="P1047" s="287" t="str">
        <f t="shared" si="18"/>
        <v>GujRERA</v>
      </c>
    </row>
    <row r="1048" spans="1:16">
      <c r="A1048" s="129" t="str">
        <f>_xlfn.XLOOKUP(B1048,$S$9:$S$14,$T$9:$T$14)&amp;"-"&amp;
IF(E1048="Residential/Group Housing","RES",
IF(E1048="Commercial","COM",
IF(E1048="Mixed Development","MIX",
IF(E1048="Plotted Development","PLT","OTH"))))
&amp;"-"&amp;TEXT(COUNTIFS($B$9:B1048,B1048,$E$9:E1048,E1048),"0000")</f>
        <v>SUR-RES-0266</v>
      </c>
      <c r="B1048" s="322" t="s">
        <v>34</v>
      </c>
      <c r="C1048" s="322" t="s">
        <v>34</v>
      </c>
      <c r="D1048" s="323" t="s">
        <v>1238</v>
      </c>
      <c r="E1048" s="132" t="s">
        <v>24</v>
      </c>
      <c r="F1048" s="97" t="str">
        <f ca="1">IF(OR(Market_Data[[#This Row],[Start Date]]="",Market_Data[[#This Row],[Completion Date]]=""),"Needs Validation",IF(Market_Data[[#This Row],[Start Date]]&gt;TODAY(),"Planned",IF(Market_Data[[#This Row],[Completion Date]]&lt;TODAY(),"Completed","Ongoing")))</f>
        <v>Completed</v>
      </c>
      <c r="G1048" s="324">
        <v>43296</v>
      </c>
      <c r="H1048" s="324">
        <v>44210</v>
      </c>
      <c r="I1048" s="325">
        <v>27800</v>
      </c>
      <c r="J104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48" s="133">
        <f>_xlfn.XLOOKUP(Market_Data[[#This Row],[Project Type]],tbl_assumptions_market[Project Category (RERA)],tbl_assumptions_market[Concrete Intensity
(m³ / sq m BUA)],"",0)</f>
        <v>0.45</v>
      </c>
      <c r="L1048" s="134">
        <f>ROUND(Market_Data[[#This Row],[Estimated Built Up Area (sq m)]]*Market_Data[[#This Row],[Concrete Intensity
(m³ / sq m)]],0)</f>
        <v>12510</v>
      </c>
      <c r="M1048" s="135">
        <f>_xlfn.XLOOKUP(Market_Data[[#This Row],[District]],tbl_district_price[District],tbl_district_price[Standard Price
(INR/m³)],"",0)</f>
        <v>6200</v>
      </c>
      <c r="N1048" s="364">
        <f>IF(OR(Market_Data[[#This Row],[Estimated Concrete Demand (m³)]]="",Market_Data[[#This Row],[Avg Price per (₹ / m³)]]=""),"",Market_Data[[#This Row],[Estimated Concrete Demand (m³)]]*Market_Data[[#This Row],[Avg Price per (₹ / m³)]]/10000000)</f>
        <v>7.7561999999999998</v>
      </c>
      <c r="O1048" s="97" t="str">
        <f>IF(Market_Data[[#This Row],[Estimated Concrete Demand (m³)]]="","",
IF(Market_Data[[#This Row],[Estimated Concrete Demand (m³)]]&lt;10000,"Small",
IF(Market_Data[[#This Row],[Estimated Concrete Demand (m³)]]&lt;25000,"Medium",
IF(Market_Data[[#This Row],[Estimated Concrete Demand (m³)]]&lt;100000,"Large","Mega"))))</f>
        <v>Medium</v>
      </c>
      <c r="P1048" s="287" t="str">
        <f t="shared" si="18"/>
        <v>GujRERA</v>
      </c>
    </row>
    <row r="1049" spans="1:16">
      <c r="A1049" s="129" t="str">
        <f>_xlfn.XLOOKUP(B1049,$S$9:$S$14,$T$9:$T$14)&amp;"-"&amp;
IF(E1049="Residential/Group Housing","RES",
IF(E1049="Commercial","COM",
IF(E1049="Mixed Development","MIX",
IF(E1049="Plotted Development","PLT","OTH"))))
&amp;"-"&amp;TEXT(COUNTIFS($B$9:B1049,B1049,$E$9:E1049,E1049),"0000")</f>
        <v>SUR-PLT-0188</v>
      </c>
      <c r="B1049" s="322" t="s">
        <v>34</v>
      </c>
      <c r="C1049" s="322" t="s">
        <v>34</v>
      </c>
      <c r="D1049" s="323" t="s">
        <v>1239</v>
      </c>
      <c r="E1049" s="132" t="s">
        <v>26</v>
      </c>
      <c r="F1049" s="97" t="str">
        <f ca="1">IF(OR(Market_Data[[#This Row],[Start Date]]="",Market_Data[[#This Row],[Completion Date]]=""),"Needs Validation",IF(Market_Data[[#This Row],[Start Date]]&gt;TODAY(),"Planned",IF(Market_Data[[#This Row],[Completion Date]]&lt;TODAY(),"Completed","Ongoing")))</f>
        <v>Ongoing</v>
      </c>
      <c r="G1049" s="324">
        <v>45214</v>
      </c>
      <c r="H1049" s="324">
        <v>46387</v>
      </c>
      <c r="I1049" s="325">
        <v>59400</v>
      </c>
      <c r="J104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049" s="133">
        <f>_xlfn.XLOOKUP(Market_Data[[#This Row],[Project Type]],tbl_assumptions_market[Project Category (RERA)],tbl_assumptions_market[Concrete Intensity
(m³ / sq m BUA)],"",0)</f>
        <v>0.18</v>
      </c>
      <c r="L1049" s="134">
        <f>ROUND(Market_Data[[#This Row],[Estimated Built Up Area (sq m)]]*Market_Data[[#This Row],[Concrete Intensity
(m³ / sq m)]],0)</f>
        <v>10692</v>
      </c>
      <c r="M1049" s="135">
        <f>_xlfn.XLOOKUP(Market_Data[[#This Row],[District]],tbl_district_price[District],tbl_district_price[Standard Price
(INR/m³)],"",0)</f>
        <v>6200</v>
      </c>
      <c r="N1049" s="364">
        <f>IF(OR(Market_Data[[#This Row],[Estimated Concrete Demand (m³)]]="",Market_Data[[#This Row],[Avg Price per (₹ / m³)]]=""),"",Market_Data[[#This Row],[Estimated Concrete Demand (m³)]]*Market_Data[[#This Row],[Avg Price per (₹ / m³)]]/10000000)</f>
        <v>6.6290399999999998</v>
      </c>
      <c r="O1049" s="97" t="str">
        <f>IF(Market_Data[[#This Row],[Estimated Concrete Demand (m³)]]="","",
IF(Market_Data[[#This Row],[Estimated Concrete Demand (m³)]]&lt;10000,"Small",
IF(Market_Data[[#This Row],[Estimated Concrete Demand (m³)]]&lt;25000,"Medium",
IF(Market_Data[[#This Row],[Estimated Concrete Demand (m³)]]&lt;100000,"Large","Mega"))))</f>
        <v>Medium</v>
      </c>
      <c r="P1049" s="287" t="str">
        <f t="shared" si="18"/>
        <v>GujRERA</v>
      </c>
    </row>
    <row r="1050" spans="1:16">
      <c r="A1050" s="129" t="str">
        <f>_xlfn.XLOOKUP(B1050,$S$9:$S$14,$T$9:$T$14)&amp;"-"&amp;
IF(E1050="Residential/Group Housing","RES",
IF(E1050="Commercial","COM",
IF(E1050="Mixed Development","MIX",
IF(E1050="Plotted Development","PLT","OTH"))))
&amp;"-"&amp;TEXT(COUNTIFS($B$9:B1050,B1050,$E$9:E1050,E1050),"0000")</f>
        <v>SUR-PLT-0189</v>
      </c>
      <c r="B1050" s="322" t="s">
        <v>34</v>
      </c>
      <c r="C1050" s="322" t="s">
        <v>34</v>
      </c>
      <c r="D1050" s="323" t="s">
        <v>1240</v>
      </c>
      <c r="E1050" s="132" t="s">
        <v>26</v>
      </c>
      <c r="F1050" s="97" t="str">
        <f ca="1">IF(OR(Market_Data[[#This Row],[Start Date]]="",Market_Data[[#This Row],[Completion Date]]=""),"Needs Validation",IF(Market_Data[[#This Row],[Start Date]]&gt;TODAY(),"Planned",IF(Market_Data[[#This Row],[Completion Date]]&lt;TODAY(),"Completed","Ongoing")))</f>
        <v>Ongoing</v>
      </c>
      <c r="G1050" s="324">
        <v>45229</v>
      </c>
      <c r="H1050" s="324">
        <v>46387</v>
      </c>
      <c r="I1050" s="325">
        <v>11000</v>
      </c>
      <c r="J105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50" s="133">
        <f>_xlfn.XLOOKUP(Market_Data[[#This Row],[Project Type]],tbl_assumptions_market[Project Category (RERA)],tbl_assumptions_market[Concrete Intensity
(m³ / sq m BUA)],"",0)</f>
        <v>0.18</v>
      </c>
      <c r="L1050" s="134">
        <f>ROUND(Market_Data[[#This Row],[Estimated Built Up Area (sq m)]]*Market_Data[[#This Row],[Concrete Intensity
(m³ / sq m)]],0)</f>
        <v>1980</v>
      </c>
      <c r="M1050" s="135">
        <f>_xlfn.XLOOKUP(Market_Data[[#This Row],[District]],tbl_district_price[District],tbl_district_price[Standard Price
(INR/m³)],"",0)</f>
        <v>6200</v>
      </c>
      <c r="N1050" s="364">
        <f>IF(OR(Market_Data[[#This Row],[Estimated Concrete Demand (m³)]]="",Market_Data[[#This Row],[Avg Price per (₹ / m³)]]=""),"",Market_Data[[#This Row],[Estimated Concrete Demand (m³)]]*Market_Data[[#This Row],[Avg Price per (₹ / m³)]]/10000000)</f>
        <v>1.2276</v>
      </c>
      <c r="O1050" s="97" t="str">
        <f>IF(Market_Data[[#This Row],[Estimated Concrete Demand (m³)]]="","",
IF(Market_Data[[#This Row],[Estimated Concrete Demand (m³)]]&lt;10000,"Small",
IF(Market_Data[[#This Row],[Estimated Concrete Demand (m³)]]&lt;25000,"Medium",
IF(Market_Data[[#This Row],[Estimated Concrete Demand (m³)]]&lt;100000,"Large","Mega"))))</f>
        <v>Small</v>
      </c>
      <c r="P1050" s="287" t="str">
        <f t="shared" si="18"/>
        <v>GujRERA</v>
      </c>
    </row>
    <row r="1051" spans="1:16">
      <c r="A1051" s="129" t="str">
        <f>_xlfn.XLOOKUP(B1051,$S$9:$S$14,$T$9:$T$14)&amp;"-"&amp;
IF(E1051="Residential/Group Housing","RES",
IF(E1051="Commercial","COM",
IF(E1051="Mixed Development","MIX",
IF(E1051="Plotted Development","PLT","OTH"))))
&amp;"-"&amp;TEXT(COUNTIFS($B$9:B1051,B1051,$E$9:E1051,E1051),"0000")</f>
        <v>SUR-COM-0146</v>
      </c>
      <c r="B1051" s="322" t="s">
        <v>34</v>
      </c>
      <c r="C1051" s="322" t="s">
        <v>34</v>
      </c>
      <c r="D1051" s="323" t="s">
        <v>1241</v>
      </c>
      <c r="E1051" s="132" t="s">
        <v>23</v>
      </c>
      <c r="F1051" s="97" t="str">
        <f ca="1">IF(OR(Market_Data[[#This Row],[Start Date]]="",Market_Data[[#This Row],[Completion Date]]=""),"Needs Validation",IF(Market_Data[[#This Row],[Start Date]]&gt;TODAY(),"Planned",IF(Market_Data[[#This Row],[Completion Date]]&lt;TODAY(),"Completed","Ongoing")))</f>
        <v>Completed</v>
      </c>
      <c r="G1051" s="324">
        <v>43154</v>
      </c>
      <c r="H1051" s="324">
        <v>45199</v>
      </c>
      <c r="I1051" s="325">
        <v>14900</v>
      </c>
      <c r="J105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51" s="133">
        <f>_xlfn.XLOOKUP(Market_Data[[#This Row],[Project Type]],tbl_assumptions_market[Project Category (RERA)],tbl_assumptions_market[Concrete Intensity
(m³ / sq m BUA)],"",0)</f>
        <v>0.5</v>
      </c>
      <c r="L1051" s="134">
        <f>ROUND(Market_Data[[#This Row],[Estimated Built Up Area (sq m)]]*Market_Data[[#This Row],[Concrete Intensity
(m³ / sq m)]],0)</f>
        <v>7450</v>
      </c>
      <c r="M1051" s="135">
        <f>_xlfn.XLOOKUP(Market_Data[[#This Row],[District]],tbl_district_price[District],tbl_district_price[Standard Price
(INR/m³)],"",0)</f>
        <v>6200</v>
      </c>
      <c r="N1051" s="364">
        <f>IF(OR(Market_Data[[#This Row],[Estimated Concrete Demand (m³)]]="",Market_Data[[#This Row],[Avg Price per (₹ / m³)]]=""),"",Market_Data[[#This Row],[Estimated Concrete Demand (m³)]]*Market_Data[[#This Row],[Avg Price per (₹ / m³)]]/10000000)</f>
        <v>4.6189999999999998</v>
      </c>
      <c r="O1051" s="97" t="str">
        <f>IF(Market_Data[[#This Row],[Estimated Concrete Demand (m³)]]="","",
IF(Market_Data[[#This Row],[Estimated Concrete Demand (m³)]]&lt;10000,"Small",
IF(Market_Data[[#This Row],[Estimated Concrete Demand (m³)]]&lt;25000,"Medium",
IF(Market_Data[[#This Row],[Estimated Concrete Demand (m³)]]&lt;100000,"Large","Mega"))))</f>
        <v>Small</v>
      </c>
      <c r="P1051" s="287" t="str">
        <f t="shared" si="18"/>
        <v>GujRERA</v>
      </c>
    </row>
    <row r="1052" spans="1:16">
      <c r="A1052" s="129" t="str">
        <f>_xlfn.XLOOKUP(B1052,$S$9:$S$14,$T$9:$T$14)&amp;"-"&amp;
IF(E1052="Residential/Group Housing","RES",
IF(E1052="Commercial","COM",
IF(E1052="Mixed Development","MIX",
IF(E1052="Plotted Development","PLT","OTH"))))
&amp;"-"&amp;TEXT(COUNTIFS($B$9:B1052,B1052,$E$9:E1052,E1052),"0000")</f>
        <v>SUR-MIX-0133</v>
      </c>
      <c r="B1052" s="322" t="s">
        <v>34</v>
      </c>
      <c r="C1052" s="322" t="s">
        <v>34</v>
      </c>
      <c r="D1052" s="323" t="s">
        <v>1242</v>
      </c>
      <c r="E1052" s="132" t="s">
        <v>25</v>
      </c>
      <c r="F1052" s="97" t="str">
        <f ca="1">IF(OR(Market_Data[[#This Row],[Start Date]]="",Market_Data[[#This Row],[Completion Date]]=""),"Needs Validation",IF(Market_Data[[#This Row],[Start Date]]&gt;TODAY(),"Planned",IF(Market_Data[[#This Row],[Completion Date]]&lt;TODAY(),"Completed","Ongoing")))</f>
        <v>Ongoing</v>
      </c>
      <c r="G1052" s="324">
        <v>46034</v>
      </c>
      <c r="H1052" s="324">
        <v>48579</v>
      </c>
      <c r="I1052" s="325">
        <v>43500</v>
      </c>
      <c r="J105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52" s="133">
        <f>_xlfn.XLOOKUP(Market_Data[[#This Row],[Project Type]],tbl_assumptions_market[Project Category (RERA)],tbl_assumptions_market[Concrete Intensity
(m³ / sq m BUA)],"",0)</f>
        <v>0.42</v>
      </c>
      <c r="L1052" s="134">
        <f>ROUND(Market_Data[[#This Row],[Estimated Built Up Area (sq m)]]*Market_Data[[#This Row],[Concrete Intensity
(m³ / sq m)]],0)</f>
        <v>18270</v>
      </c>
      <c r="M1052" s="135">
        <f>_xlfn.XLOOKUP(Market_Data[[#This Row],[District]],tbl_district_price[District],tbl_district_price[Standard Price
(INR/m³)],"",0)</f>
        <v>6200</v>
      </c>
      <c r="N1052" s="364">
        <f>IF(OR(Market_Data[[#This Row],[Estimated Concrete Demand (m³)]]="",Market_Data[[#This Row],[Avg Price per (₹ / m³)]]=""),"",Market_Data[[#This Row],[Estimated Concrete Demand (m³)]]*Market_Data[[#This Row],[Avg Price per (₹ / m³)]]/10000000)</f>
        <v>11.327400000000001</v>
      </c>
      <c r="O1052" s="97" t="str">
        <f>IF(Market_Data[[#This Row],[Estimated Concrete Demand (m³)]]="","",
IF(Market_Data[[#This Row],[Estimated Concrete Demand (m³)]]&lt;10000,"Small",
IF(Market_Data[[#This Row],[Estimated Concrete Demand (m³)]]&lt;25000,"Medium",
IF(Market_Data[[#This Row],[Estimated Concrete Demand (m³)]]&lt;100000,"Large","Mega"))))</f>
        <v>Medium</v>
      </c>
      <c r="P1052" s="287" t="str">
        <f t="shared" si="18"/>
        <v>GujRERA</v>
      </c>
    </row>
    <row r="1053" spans="1:16">
      <c r="A1053" s="129" t="str">
        <f>_xlfn.XLOOKUP(B1053,$S$9:$S$14,$T$9:$T$14)&amp;"-"&amp;
IF(E1053="Residential/Group Housing","RES",
IF(E1053="Commercial","COM",
IF(E1053="Mixed Development","MIX",
IF(E1053="Plotted Development","PLT","OTH"))))
&amp;"-"&amp;TEXT(COUNTIFS($B$9:B1053,B1053,$E$9:E1053,E1053),"0000")</f>
        <v>SUR-RES-0267</v>
      </c>
      <c r="B1053" s="322" t="s">
        <v>34</v>
      </c>
      <c r="C1053" s="322" t="s">
        <v>34</v>
      </c>
      <c r="D1053" s="323" t="s">
        <v>1243</v>
      </c>
      <c r="E1053" s="132" t="s">
        <v>24</v>
      </c>
      <c r="F1053" s="97" t="str">
        <f ca="1">IF(OR(Market_Data[[#This Row],[Start Date]]="",Market_Data[[#This Row],[Completion Date]]=""),"Needs Validation",IF(Market_Data[[#This Row],[Start Date]]&gt;TODAY(),"Planned",IF(Market_Data[[#This Row],[Completion Date]]&lt;TODAY(),"Completed","Ongoing")))</f>
        <v>Ongoing</v>
      </c>
      <c r="G1053" s="324">
        <v>44520</v>
      </c>
      <c r="H1053" s="324">
        <v>46387</v>
      </c>
      <c r="I1053" s="325">
        <v>9800</v>
      </c>
      <c r="J105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53" s="133">
        <f>_xlfn.XLOOKUP(Market_Data[[#This Row],[Project Type]],tbl_assumptions_market[Project Category (RERA)],tbl_assumptions_market[Concrete Intensity
(m³ / sq m BUA)],"",0)</f>
        <v>0.45</v>
      </c>
      <c r="L1053" s="134">
        <f>ROUND(Market_Data[[#This Row],[Estimated Built Up Area (sq m)]]*Market_Data[[#This Row],[Concrete Intensity
(m³ / sq m)]],0)</f>
        <v>4410</v>
      </c>
      <c r="M1053" s="135">
        <f>_xlfn.XLOOKUP(Market_Data[[#This Row],[District]],tbl_district_price[District],tbl_district_price[Standard Price
(INR/m³)],"",0)</f>
        <v>6200</v>
      </c>
      <c r="N1053" s="364">
        <f>IF(OR(Market_Data[[#This Row],[Estimated Concrete Demand (m³)]]="",Market_Data[[#This Row],[Avg Price per (₹ / m³)]]=""),"",Market_Data[[#This Row],[Estimated Concrete Demand (m³)]]*Market_Data[[#This Row],[Avg Price per (₹ / m³)]]/10000000)</f>
        <v>2.7342</v>
      </c>
      <c r="O1053" s="97" t="str">
        <f>IF(Market_Data[[#This Row],[Estimated Concrete Demand (m³)]]="","",
IF(Market_Data[[#This Row],[Estimated Concrete Demand (m³)]]&lt;10000,"Small",
IF(Market_Data[[#This Row],[Estimated Concrete Demand (m³)]]&lt;25000,"Medium",
IF(Market_Data[[#This Row],[Estimated Concrete Demand (m³)]]&lt;100000,"Large","Mega"))))</f>
        <v>Small</v>
      </c>
      <c r="P1053" s="287" t="str">
        <f t="shared" si="18"/>
        <v>GujRERA</v>
      </c>
    </row>
    <row r="1054" spans="1:16">
      <c r="A1054" s="129" t="str">
        <f>_xlfn.XLOOKUP(B1054,$S$9:$S$14,$T$9:$T$14)&amp;"-"&amp;
IF(E1054="Residential/Group Housing","RES",
IF(E1054="Commercial","COM",
IF(E1054="Mixed Development","MIX",
IF(E1054="Plotted Development","PLT","OTH"))))
&amp;"-"&amp;TEXT(COUNTIFS($B$9:B1054,B1054,$E$9:E1054,E1054),"0000")</f>
        <v>SUR-MIX-0134</v>
      </c>
      <c r="B1054" s="322" t="s">
        <v>34</v>
      </c>
      <c r="C1054" s="322" t="s">
        <v>34</v>
      </c>
      <c r="D1054" s="323" t="s">
        <v>1244</v>
      </c>
      <c r="E1054" s="132" t="s">
        <v>25</v>
      </c>
      <c r="F1054" s="97" t="str">
        <f ca="1">IF(OR(Market_Data[[#This Row],[Start Date]]="",Market_Data[[#This Row],[Completion Date]]=""),"Needs Validation",IF(Market_Data[[#This Row],[Start Date]]&gt;TODAY(),"Planned",IF(Market_Data[[#This Row],[Completion Date]]&lt;TODAY(),"Completed","Ongoing")))</f>
        <v>Ongoing</v>
      </c>
      <c r="G1054" s="324">
        <v>44894</v>
      </c>
      <c r="H1054" s="324">
        <v>47087</v>
      </c>
      <c r="I1054" s="325">
        <v>46400</v>
      </c>
      <c r="J105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54" s="133">
        <f>_xlfn.XLOOKUP(Market_Data[[#This Row],[Project Type]],tbl_assumptions_market[Project Category (RERA)],tbl_assumptions_market[Concrete Intensity
(m³ / sq m BUA)],"",0)</f>
        <v>0.42</v>
      </c>
      <c r="L1054" s="134">
        <f>ROUND(Market_Data[[#This Row],[Estimated Built Up Area (sq m)]]*Market_Data[[#This Row],[Concrete Intensity
(m³ / sq m)]],0)</f>
        <v>19488</v>
      </c>
      <c r="M1054" s="135">
        <f>_xlfn.XLOOKUP(Market_Data[[#This Row],[District]],tbl_district_price[District],tbl_district_price[Standard Price
(INR/m³)],"",0)</f>
        <v>6200</v>
      </c>
      <c r="N1054" s="364">
        <f>IF(OR(Market_Data[[#This Row],[Estimated Concrete Demand (m³)]]="",Market_Data[[#This Row],[Avg Price per (₹ / m³)]]=""),"",Market_Data[[#This Row],[Estimated Concrete Demand (m³)]]*Market_Data[[#This Row],[Avg Price per (₹ / m³)]]/10000000)</f>
        <v>12.082560000000001</v>
      </c>
      <c r="O1054" s="97" t="str">
        <f>IF(Market_Data[[#This Row],[Estimated Concrete Demand (m³)]]="","",
IF(Market_Data[[#This Row],[Estimated Concrete Demand (m³)]]&lt;10000,"Small",
IF(Market_Data[[#This Row],[Estimated Concrete Demand (m³)]]&lt;25000,"Medium",
IF(Market_Data[[#This Row],[Estimated Concrete Demand (m³)]]&lt;100000,"Large","Mega"))))</f>
        <v>Medium</v>
      </c>
      <c r="P1054" s="287" t="str">
        <f t="shared" si="18"/>
        <v>GujRERA</v>
      </c>
    </row>
    <row r="1055" spans="1:16">
      <c r="A1055" s="129" t="str">
        <f>_xlfn.XLOOKUP(B1055,$S$9:$S$14,$T$9:$T$14)&amp;"-"&amp;
IF(E1055="Residential/Group Housing","RES",
IF(E1055="Commercial","COM",
IF(E1055="Mixed Development","MIX",
IF(E1055="Plotted Development","PLT","OTH"))))
&amp;"-"&amp;TEXT(COUNTIFS($B$9:B1055,B1055,$E$9:E1055,E1055),"0000")</f>
        <v>SUR-RES-0268</v>
      </c>
      <c r="B1055" s="322" t="s">
        <v>34</v>
      </c>
      <c r="C1055" s="322" t="s">
        <v>34</v>
      </c>
      <c r="D1055" s="323" t="s">
        <v>1245</v>
      </c>
      <c r="E1055" s="132" t="s">
        <v>24</v>
      </c>
      <c r="F1055" s="97" t="str">
        <f ca="1">IF(OR(Market_Data[[#This Row],[Start Date]]="",Market_Data[[#This Row],[Completion Date]]=""),"Needs Validation",IF(Market_Data[[#This Row],[Start Date]]&gt;TODAY(),"Planned",IF(Market_Data[[#This Row],[Completion Date]]&lt;TODAY(),"Completed","Ongoing")))</f>
        <v>Ongoing</v>
      </c>
      <c r="G1055" s="324">
        <v>45586</v>
      </c>
      <c r="H1055" s="324">
        <v>47482</v>
      </c>
      <c r="I1055" s="325">
        <v>3500</v>
      </c>
      <c r="J105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55" s="133">
        <f>_xlfn.XLOOKUP(Market_Data[[#This Row],[Project Type]],tbl_assumptions_market[Project Category (RERA)],tbl_assumptions_market[Concrete Intensity
(m³ / sq m BUA)],"",0)</f>
        <v>0.45</v>
      </c>
      <c r="L1055" s="134">
        <f>ROUND(Market_Data[[#This Row],[Estimated Built Up Area (sq m)]]*Market_Data[[#This Row],[Concrete Intensity
(m³ / sq m)]],0)</f>
        <v>1575</v>
      </c>
      <c r="M1055" s="135">
        <f>_xlfn.XLOOKUP(Market_Data[[#This Row],[District]],tbl_district_price[District],tbl_district_price[Standard Price
(INR/m³)],"",0)</f>
        <v>6200</v>
      </c>
      <c r="N1055" s="364">
        <f>IF(OR(Market_Data[[#This Row],[Estimated Concrete Demand (m³)]]="",Market_Data[[#This Row],[Avg Price per (₹ / m³)]]=""),"",Market_Data[[#This Row],[Estimated Concrete Demand (m³)]]*Market_Data[[#This Row],[Avg Price per (₹ / m³)]]/10000000)</f>
        <v>0.97650000000000003</v>
      </c>
      <c r="O1055" s="97" t="str">
        <f>IF(Market_Data[[#This Row],[Estimated Concrete Demand (m³)]]="","",
IF(Market_Data[[#This Row],[Estimated Concrete Demand (m³)]]&lt;10000,"Small",
IF(Market_Data[[#This Row],[Estimated Concrete Demand (m³)]]&lt;25000,"Medium",
IF(Market_Data[[#This Row],[Estimated Concrete Demand (m³)]]&lt;100000,"Large","Mega"))))</f>
        <v>Small</v>
      </c>
      <c r="P1055" s="287" t="str">
        <f t="shared" si="18"/>
        <v>GujRERA</v>
      </c>
    </row>
    <row r="1056" spans="1:16">
      <c r="A1056" s="129" t="str">
        <f>_xlfn.XLOOKUP(B1056,$S$9:$S$14,$T$9:$T$14)&amp;"-"&amp;
IF(E1056="Residential/Group Housing","RES",
IF(E1056="Commercial","COM",
IF(E1056="Mixed Development","MIX",
IF(E1056="Plotted Development","PLT","OTH"))))
&amp;"-"&amp;TEXT(COUNTIFS($B$9:B1056,B1056,$E$9:E1056,E1056),"0000")</f>
        <v>SUR-RES-0269</v>
      </c>
      <c r="B1056" s="322" t="s">
        <v>34</v>
      </c>
      <c r="C1056" s="322" t="s">
        <v>34</v>
      </c>
      <c r="D1056" s="323" t="s">
        <v>1246</v>
      </c>
      <c r="E1056" s="132" t="s">
        <v>24</v>
      </c>
      <c r="F1056" s="97" t="str">
        <f ca="1">IF(OR(Market_Data[[#This Row],[Start Date]]="",Market_Data[[#This Row],[Completion Date]]=""),"Needs Validation",IF(Market_Data[[#This Row],[Start Date]]&gt;TODAY(),"Planned",IF(Market_Data[[#This Row],[Completion Date]]&lt;TODAY(),"Completed","Ongoing")))</f>
        <v>Ongoing</v>
      </c>
      <c r="G1056" s="324">
        <v>45848</v>
      </c>
      <c r="H1056" s="324">
        <v>48213</v>
      </c>
      <c r="I1056" s="325">
        <v>32100</v>
      </c>
      <c r="J105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56" s="133">
        <f>_xlfn.XLOOKUP(Market_Data[[#This Row],[Project Type]],tbl_assumptions_market[Project Category (RERA)],tbl_assumptions_market[Concrete Intensity
(m³ / sq m BUA)],"",0)</f>
        <v>0.45</v>
      </c>
      <c r="L1056" s="134">
        <f>ROUND(Market_Data[[#This Row],[Estimated Built Up Area (sq m)]]*Market_Data[[#This Row],[Concrete Intensity
(m³ / sq m)]],0)</f>
        <v>14445</v>
      </c>
      <c r="M1056" s="135">
        <f>_xlfn.XLOOKUP(Market_Data[[#This Row],[District]],tbl_district_price[District],tbl_district_price[Standard Price
(INR/m³)],"",0)</f>
        <v>6200</v>
      </c>
      <c r="N1056" s="364">
        <f>IF(OR(Market_Data[[#This Row],[Estimated Concrete Demand (m³)]]="",Market_Data[[#This Row],[Avg Price per (₹ / m³)]]=""),"",Market_Data[[#This Row],[Estimated Concrete Demand (m³)]]*Market_Data[[#This Row],[Avg Price per (₹ / m³)]]/10000000)</f>
        <v>8.9558999999999997</v>
      </c>
      <c r="O1056" s="97" t="str">
        <f>IF(Market_Data[[#This Row],[Estimated Concrete Demand (m³)]]="","",
IF(Market_Data[[#This Row],[Estimated Concrete Demand (m³)]]&lt;10000,"Small",
IF(Market_Data[[#This Row],[Estimated Concrete Demand (m³)]]&lt;25000,"Medium",
IF(Market_Data[[#This Row],[Estimated Concrete Demand (m³)]]&lt;100000,"Large","Mega"))))</f>
        <v>Medium</v>
      </c>
      <c r="P1056" s="287" t="str">
        <f t="shared" si="18"/>
        <v>GujRERA</v>
      </c>
    </row>
    <row r="1057" spans="1:16">
      <c r="A1057" s="129" t="str">
        <f>_xlfn.XLOOKUP(B1057,$S$9:$S$14,$T$9:$T$14)&amp;"-"&amp;
IF(E1057="Residential/Group Housing","RES",
IF(E1057="Commercial","COM",
IF(E1057="Mixed Development","MIX",
IF(E1057="Plotted Development","PLT","OTH"))))
&amp;"-"&amp;TEXT(COUNTIFS($B$9:B1057,B1057,$E$9:E1057,E1057),"0000")</f>
        <v>SUR-PLT-0190</v>
      </c>
      <c r="B1057" s="322" t="s">
        <v>34</v>
      </c>
      <c r="C1057" s="322" t="s">
        <v>34</v>
      </c>
      <c r="D1057" s="323" t="s">
        <v>1247</v>
      </c>
      <c r="E1057" s="132" t="s">
        <v>26</v>
      </c>
      <c r="F1057" s="97" t="str">
        <f ca="1">IF(OR(Market_Data[[#This Row],[Start Date]]="",Market_Data[[#This Row],[Completion Date]]=""),"Needs Validation",IF(Market_Data[[#This Row],[Start Date]]&gt;TODAY(),"Planned",IF(Market_Data[[#This Row],[Completion Date]]&lt;TODAY(),"Completed","Ongoing")))</f>
        <v>Ongoing</v>
      </c>
      <c r="G1057" s="324">
        <v>45280</v>
      </c>
      <c r="H1057" s="324">
        <v>46387</v>
      </c>
      <c r="I1057" s="325">
        <v>93200</v>
      </c>
      <c r="J105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057" s="133">
        <f>_xlfn.XLOOKUP(Market_Data[[#This Row],[Project Type]],tbl_assumptions_market[Project Category (RERA)],tbl_assumptions_market[Concrete Intensity
(m³ / sq m BUA)],"",0)</f>
        <v>0.18</v>
      </c>
      <c r="L1057" s="134">
        <f>ROUND(Market_Data[[#This Row],[Estimated Built Up Area (sq m)]]*Market_Data[[#This Row],[Concrete Intensity
(m³ / sq m)]],0)</f>
        <v>16776</v>
      </c>
      <c r="M1057" s="135">
        <f>_xlfn.XLOOKUP(Market_Data[[#This Row],[District]],tbl_district_price[District],tbl_district_price[Standard Price
(INR/m³)],"",0)</f>
        <v>6200</v>
      </c>
      <c r="N1057" s="364">
        <f>IF(OR(Market_Data[[#This Row],[Estimated Concrete Demand (m³)]]="",Market_Data[[#This Row],[Avg Price per (₹ / m³)]]=""),"",Market_Data[[#This Row],[Estimated Concrete Demand (m³)]]*Market_Data[[#This Row],[Avg Price per (₹ / m³)]]/10000000)</f>
        <v>10.401120000000001</v>
      </c>
      <c r="O1057" s="97" t="str">
        <f>IF(Market_Data[[#This Row],[Estimated Concrete Demand (m³)]]="","",
IF(Market_Data[[#This Row],[Estimated Concrete Demand (m³)]]&lt;10000,"Small",
IF(Market_Data[[#This Row],[Estimated Concrete Demand (m³)]]&lt;25000,"Medium",
IF(Market_Data[[#This Row],[Estimated Concrete Demand (m³)]]&lt;100000,"Large","Mega"))))</f>
        <v>Medium</v>
      </c>
      <c r="P1057" s="287" t="str">
        <f t="shared" si="18"/>
        <v>GujRERA</v>
      </c>
    </row>
    <row r="1058" spans="1:16">
      <c r="A1058" s="129" t="str">
        <f>_xlfn.XLOOKUP(B1058,$S$9:$S$14,$T$9:$T$14)&amp;"-"&amp;
IF(E1058="Residential/Group Housing","RES",
IF(E1058="Commercial","COM",
IF(E1058="Mixed Development","MIX",
IF(E1058="Plotted Development","PLT","OTH"))))
&amp;"-"&amp;TEXT(COUNTIFS($B$9:B1058,B1058,$E$9:E1058,E1058),"0000")</f>
        <v>SUR-RES-0270</v>
      </c>
      <c r="B1058" s="322" t="s">
        <v>34</v>
      </c>
      <c r="C1058" s="322" t="s">
        <v>34</v>
      </c>
      <c r="D1058" s="323" t="s">
        <v>1248</v>
      </c>
      <c r="E1058" s="132" t="s">
        <v>24</v>
      </c>
      <c r="F1058" s="97" t="str">
        <f ca="1">IF(OR(Market_Data[[#This Row],[Start Date]]="",Market_Data[[#This Row],[Completion Date]]=""),"Needs Validation",IF(Market_Data[[#This Row],[Start Date]]&gt;TODAY(),"Planned",IF(Market_Data[[#This Row],[Completion Date]]&lt;TODAY(),"Completed","Ongoing")))</f>
        <v>Ongoing</v>
      </c>
      <c r="G1058" s="324">
        <v>45026</v>
      </c>
      <c r="H1058" s="324">
        <v>47483</v>
      </c>
      <c r="I1058" s="325">
        <v>22300</v>
      </c>
      <c r="J105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58" s="133">
        <f>_xlfn.XLOOKUP(Market_Data[[#This Row],[Project Type]],tbl_assumptions_market[Project Category (RERA)],tbl_assumptions_market[Concrete Intensity
(m³ / sq m BUA)],"",0)</f>
        <v>0.45</v>
      </c>
      <c r="L1058" s="134">
        <f>ROUND(Market_Data[[#This Row],[Estimated Built Up Area (sq m)]]*Market_Data[[#This Row],[Concrete Intensity
(m³ / sq m)]],0)</f>
        <v>10035</v>
      </c>
      <c r="M1058" s="135">
        <f>_xlfn.XLOOKUP(Market_Data[[#This Row],[District]],tbl_district_price[District],tbl_district_price[Standard Price
(INR/m³)],"",0)</f>
        <v>6200</v>
      </c>
      <c r="N1058" s="364">
        <f>IF(OR(Market_Data[[#This Row],[Estimated Concrete Demand (m³)]]="",Market_Data[[#This Row],[Avg Price per (₹ / m³)]]=""),"",Market_Data[[#This Row],[Estimated Concrete Demand (m³)]]*Market_Data[[#This Row],[Avg Price per (₹ / m³)]]/10000000)</f>
        <v>6.2217000000000002</v>
      </c>
      <c r="O1058" s="97" t="str">
        <f>IF(Market_Data[[#This Row],[Estimated Concrete Demand (m³)]]="","",
IF(Market_Data[[#This Row],[Estimated Concrete Demand (m³)]]&lt;10000,"Small",
IF(Market_Data[[#This Row],[Estimated Concrete Demand (m³)]]&lt;25000,"Medium",
IF(Market_Data[[#This Row],[Estimated Concrete Demand (m³)]]&lt;100000,"Large","Mega"))))</f>
        <v>Medium</v>
      </c>
      <c r="P1058" s="287" t="str">
        <f t="shared" si="18"/>
        <v>GujRERA</v>
      </c>
    </row>
    <row r="1059" spans="1:16">
      <c r="A1059" s="129" t="str">
        <f>_xlfn.XLOOKUP(B1059,$S$9:$S$14,$T$9:$T$14)&amp;"-"&amp;
IF(E1059="Residential/Group Housing","RES",
IF(E1059="Commercial","COM",
IF(E1059="Mixed Development","MIX",
IF(E1059="Plotted Development","PLT","OTH"))))
&amp;"-"&amp;TEXT(COUNTIFS($B$9:B1059,B1059,$E$9:E1059,E1059),"0000")</f>
        <v>SUR-MIX-0135</v>
      </c>
      <c r="B1059" s="322" t="s">
        <v>34</v>
      </c>
      <c r="C1059" s="322" t="s">
        <v>34</v>
      </c>
      <c r="D1059" s="323" t="s">
        <v>1249</v>
      </c>
      <c r="E1059" s="132" t="s">
        <v>25</v>
      </c>
      <c r="F1059" s="97" t="str">
        <f ca="1">IF(OR(Market_Data[[#This Row],[Start Date]]="",Market_Data[[#This Row],[Completion Date]]=""),"Needs Validation",IF(Market_Data[[#This Row],[Start Date]]&gt;TODAY(),"Planned",IF(Market_Data[[#This Row],[Completion Date]]&lt;TODAY(),"Completed","Ongoing")))</f>
        <v>Completed</v>
      </c>
      <c r="G1059" s="324">
        <v>43647</v>
      </c>
      <c r="H1059" s="324">
        <v>44834</v>
      </c>
      <c r="I1059" s="325">
        <v>16000</v>
      </c>
      <c r="J105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59" s="133">
        <f>_xlfn.XLOOKUP(Market_Data[[#This Row],[Project Type]],tbl_assumptions_market[Project Category (RERA)],tbl_assumptions_market[Concrete Intensity
(m³ / sq m BUA)],"",0)</f>
        <v>0.42</v>
      </c>
      <c r="L1059" s="134">
        <f>ROUND(Market_Data[[#This Row],[Estimated Built Up Area (sq m)]]*Market_Data[[#This Row],[Concrete Intensity
(m³ / sq m)]],0)</f>
        <v>6720</v>
      </c>
      <c r="M1059" s="135">
        <f>_xlfn.XLOOKUP(Market_Data[[#This Row],[District]],tbl_district_price[District],tbl_district_price[Standard Price
(INR/m³)],"",0)</f>
        <v>6200</v>
      </c>
      <c r="N1059" s="364">
        <f>IF(OR(Market_Data[[#This Row],[Estimated Concrete Demand (m³)]]="",Market_Data[[#This Row],[Avg Price per (₹ / m³)]]=""),"",Market_Data[[#This Row],[Estimated Concrete Demand (m³)]]*Market_Data[[#This Row],[Avg Price per (₹ / m³)]]/10000000)</f>
        <v>4.1664000000000003</v>
      </c>
      <c r="O1059" s="97" t="str">
        <f>IF(Market_Data[[#This Row],[Estimated Concrete Demand (m³)]]="","",
IF(Market_Data[[#This Row],[Estimated Concrete Demand (m³)]]&lt;10000,"Small",
IF(Market_Data[[#This Row],[Estimated Concrete Demand (m³)]]&lt;25000,"Medium",
IF(Market_Data[[#This Row],[Estimated Concrete Demand (m³)]]&lt;100000,"Large","Mega"))))</f>
        <v>Small</v>
      </c>
      <c r="P1059" s="287" t="str">
        <f t="shared" si="18"/>
        <v>GujRERA</v>
      </c>
    </row>
    <row r="1060" spans="1:16">
      <c r="A1060" s="129" t="str">
        <f>_xlfn.XLOOKUP(B1060,$S$9:$S$14,$T$9:$T$14)&amp;"-"&amp;
IF(E1060="Residential/Group Housing","RES",
IF(E1060="Commercial","COM",
IF(E1060="Mixed Development","MIX",
IF(E1060="Plotted Development","PLT","OTH"))))
&amp;"-"&amp;TEXT(COUNTIFS($B$9:B1060,B1060,$E$9:E1060,E1060),"0000")</f>
        <v>SUR-MIX-0136</v>
      </c>
      <c r="B1060" s="322" t="s">
        <v>34</v>
      </c>
      <c r="C1060" s="322" t="s">
        <v>34</v>
      </c>
      <c r="D1060" s="323" t="s">
        <v>1250</v>
      </c>
      <c r="E1060" s="132" t="s">
        <v>25</v>
      </c>
      <c r="F1060" s="97" t="str">
        <f ca="1">IF(OR(Market_Data[[#This Row],[Start Date]]="",Market_Data[[#This Row],[Completion Date]]=""),"Needs Validation",IF(Market_Data[[#This Row],[Start Date]]&gt;TODAY(),"Planned",IF(Market_Data[[#This Row],[Completion Date]]&lt;TODAY(),"Completed","Ongoing")))</f>
        <v>Ongoing</v>
      </c>
      <c r="G1060" s="324">
        <v>46035</v>
      </c>
      <c r="H1060" s="324">
        <v>48579</v>
      </c>
      <c r="I1060" s="325">
        <v>43400</v>
      </c>
      <c r="J106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60" s="133">
        <f>_xlfn.XLOOKUP(Market_Data[[#This Row],[Project Type]],tbl_assumptions_market[Project Category (RERA)],tbl_assumptions_market[Concrete Intensity
(m³ / sq m BUA)],"",0)</f>
        <v>0.42</v>
      </c>
      <c r="L1060" s="134">
        <f>ROUND(Market_Data[[#This Row],[Estimated Built Up Area (sq m)]]*Market_Data[[#This Row],[Concrete Intensity
(m³ / sq m)]],0)</f>
        <v>18228</v>
      </c>
      <c r="M1060" s="135">
        <f>_xlfn.XLOOKUP(Market_Data[[#This Row],[District]],tbl_district_price[District],tbl_district_price[Standard Price
(INR/m³)],"",0)</f>
        <v>6200</v>
      </c>
      <c r="N1060" s="364">
        <f>IF(OR(Market_Data[[#This Row],[Estimated Concrete Demand (m³)]]="",Market_Data[[#This Row],[Avg Price per (₹ / m³)]]=""),"",Market_Data[[#This Row],[Estimated Concrete Demand (m³)]]*Market_Data[[#This Row],[Avg Price per (₹ / m³)]]/10000000)</f>
        <v>11.301360000000001</v>
      </c>
      <c r="O1060" s="97" t="str">
        <f>IF(Market_Data[[#This Row],[Estimated Concrete Demand (m³)]]="","",
IF(Market_Data[[#This Row],[Estimated Concrete Demand (m³)]]&lt;10000,"Small",
IF(Market_Data[[#This Row],[Estimated Concrete Demand (m³)]]&lt;25000,"Medium",
IF(Market_Data[[#This Row],[Estimated Concrete Demand (m³)]]&lt;100000,"Large","Mega"))))</f>
        <v>Medium</v>
      </c>
      <c r="P1060" s="287" t="str">
        <f t="shared" si="18"/>
        <v>GujRERA</v>
      </c>
    </row>
    <row r="1061" spans="1:16">
      <c r="A1061" s="129" t="str">
        <f>_xlfn.XLOOKUP(B1061,$S$9:$S$14,$T$9:$T$14)&amp;"-"&amp;
IF(E1061="Residential/Group Housing","RES",
IF(E1061="Commercial","COM",
IF(E1061="Mixed Development","MIX",
IF(E1061="Plotted Development","PLT","OTH"))))
&amp;"-"&amp;TEXT(COUNTIFS($B$9:B1061,B1061,$E$9:E1061,E1061),"0000")</f>
        <v>SUR-PLT-0191</v>
      </c>
      <c r="B1061" s="322" t="s">
        <v>34</v>
      </c>
      <c r="C1061" s="322" t="s">
        <v>34</v>
      </c>
      <c r="D1061" s="323" t="s">
        <v>1251</v>
      </c>
      <c r="E1061" s="132" t="s">
        <v>26</v>
      </c>
      <c r="F1061" s="97" t="str">
        <f ca="1">IF(OR(Market_Data[[#This Row],[Start Date]]="",Market_Data[[#This Row],[Completion Date]]=""),"Needs Validation",IF(Market_Data[[#This Row],[Start Date]]&gt;TODAY(),"Planned",IF(Market_Data[[#This Row],[Completion Date]]&lt;TODAY(),"Completed","Ongoing")))</f>
        <v>Ongoing</v>
      </c>
      <c r="G1061" s="324">
        <v>45698</v>
      </c>
      <c r="H1061" s="324">
        <v>46752</v>
      </c>
      <c r="I1061" s="325">
        <v>33000</v>
      </c>
      <c r="J106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061" s="133">
        <f>_xlfn.XLOOKUP(Market_Data[[#This Row],[Project Type]],tbl_assumptions_market[Project Category (RERA)],tbl_assumptions_market[Concrete Intensity
(m³ / sq m BUA)],"",0)</f>
        <v>0.18</v>
      </c>
      <c r="L1061" s="134">
        <f>ROUND(Market_Data[[#This Row],[Estimated Built Up Area (sq m)]]*Market_Data[[#This Row],[Concrete Intensity
(m³ / sq m)]],0)</f>
        <v>5940</v>
      </c>
      <c r="M1061" s="135">
        <f>_xlfn.XLOOKUP(Market_Data[[#This Row],[District]],tbl_district_price[District],tbl_district_price[Standard Price
(INR/m³)],"",0)</f>
        <v>6200</v>
      </c>
      <c r="N1061" s="364">
        <f>IF(OR(Market_Data[[#This Row],[Estimated Concrete Demand (m³)]]="",Market_Data[[#This Row],[Avg Price per (₹ / m³)]]=""),"",Market_Data[[#This Row],[Estimated Concrete Demand (m³)]]*Market_Data[[#This Row],[Avg Price per (₹ / m³)]]/10000000)</f>
        <v>3.6827999999999999</v>
      </c>
      <c r="O1061" s="97" t="str">
        <f>IF(Market_Data[[#This Row],[Estimated Concrete Demand (m³)]]="","",
IF(Market_Data[[#This Row],[Estimated Concrete Demand (m³)]]&lt;10000,"Small",
IF(Market_Data[[#This Row],[Estimated Concrete Demand (m³)]]&lt;25000,"Medium",
IF(Market_Data[[#This Row],[Estimated Concrete Demand (m³)]]&lt;100000,"Large","Mega"))))</f>
        <v>Small</v>
      </c>
      <c r="P1061" s="287" t="str">
        <f t="shared" si="18"/>
        <v>GujRERA</v>
      </c>
    </row>
    <row r="1062" spans="1:16">
      <c r="A1062" s="129" t="str">
        <f>_xlfn.XLOOKUP(B1062,$S$9:$S$14,$T$9:$T$14)&amp;"-"&amp;
IF(E1062="Residential/Group Housing","RES",
IF(E1062="Commercial","COM",
IF(E1062="Mixed Development","MIX",
IF(E1062="Plotted Development","PLT","OTH"))))
&amp;"-"&amp;TEXT(COUNTIFS($B$9:B1062,B1062,$E$9:E1062,E1062),"0000")</f>
        <v>SUR-MIX-0137</v>
      </c>
      <c r="B1062" s="322" t="s">
        <v>34</v>
      </c>
      <c r="C1062" s="322" t="s">
        <v>34</v>
      </c>
      <c r="D1062" s="323" t="s">
        <v>1252</v>
      </c>
      <c r="E1062" s="132" t="s">
        <v>25</v>
      </c>
      <c r="F1062" s="97" t="str">
        <f ca="1">IF(OR(Market_Data[[#This Row],[Start Date]]="",Market_Data[[#This Row],[Completion Date]]=""),"Needs Validation",IF(Market_Data[[#This Row],[Start Date]]&gt;TODAY(),"Planned",IF(Market_Data[[#This Row],[Completion Date]]&lt;TODAY(),"Completed","Ongoing")))</f>
        <v>Ongoing</v>
      </c>
      <c r="G1062" s="324">
        <v>45824</v>
      </c>
      <c r="H1062" s="324">
        <v>47848</v>
      </c>
      <c r="I1062" s="325">
        <v>39300</v>
      </c>
      <c r="J106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62" s="133">
        <f>_xlfn.XLOOKUP(Market_Data[[#This Row],[Project Type]],tbl_assumptions_market[Project Category (RERA)],tbl_assumptions_market[Concrete Intensity
(m³ / sq m BUA)],"",0)</f>
        <v>0.42</v>
      </c>
      <c r="L1062" s="134">
        <f>ROUND(Market_Data[[#This Row],[Estimated Built Up Area (sq m)]]*Market_Data[[#This Row],[Concrete Intensity
(m³ / sq m)]],0)</f>
        <v>16506</v>
      </c>
      <c r="M1062" s="135">
        <f>_xlfn.XLOOKUP(Market_Data[[#This Row],[District]],tbl_district_price[District],tbl_district_price[Standard Price
(INR/m³)],"",0)</f>
        <v>6200</v>
      </c>
      <c r="N1062" s="364">
        <f>IF(OR(Market_Data[[#This Row],[Estimated Concrete Demand (m³)]]="",Market_Data[[#This Row],[Avg Price per (₹ / m³)]]=""),"",Market_Data[[#This Row],[Estimated Concrete Demand (m³)]]*Market_Data[[#This Row],[Avg Price per (₹ / m³)]]/10000000)</f>
        <v>10.23372</v>
      </c>
      <c r="O1062" s="97" t="str">
        <f>IF(Market_Data[[#This Row],[Estimated Concrete Demand (m³)]]="","",
IF(Market_Data[[#This Row],[Estimated Concrete Demand (m³)]]&lt;10000,"Small",
IF(Market_Data[[#This Row],[Estimated Concrete Demand (m³)]]&lt;25000,"Medium",
IF(Market_Data[[#This Row],[Estimated Concrete Demand (m³)]]&lt;100000,"Large","Mega"))))</f>
        <v>Medium</v>
      </c>
      <c r="P1062" s="287" t="str">
        <f t="shared" si="18"/>
        <v>GujRERA</v>
      </c>
    </row>
    <row r="1063" spans="1:16">
      <c r="A1063" s="129" t="str">
        <f>_xlfn.XLOOKUP(B1063,$S$9:$S$14,$T$9:$T$14)&amp;"-"&amp;
IF(E1063="Residential/Group Housing","RES",
IF(E1063="Commercial","COM",
IF(E1063="Mixed Development","MIX",
IF(E1063="Plotted Development","PLT","OTH"))))
&amp;"-"&amp;TEXT(COUNTIFS($B$9:B1063,B1063,$E$9:E1063,E1063),"0000")</f>
        <v>SUR-MIX-0138</v>
      </c>
      <c r="B1063" s="322" t="s">
        <v>34</v>
      </c>
      <c r="C1063" s="322" t="s">
        <v>34</v>
      </c>
      <c r="D1063" s="323" t="s">
        <v>1253</v>
      </c>
      <c r="E1063" s="132" t="s">
        <v>25</v>
      </c>
      <c r="F1063" s="97" t="str">
        <f ca="1">IF(OR(Market_Data[[#This Row],[Start Date]]="",Market_Data[[#This Row],[Completion Date]]=""),"Needs Validation",IF(Market_Data[[#This Row],[Start Date]]&gt;TODAY(),"Planned",IF(Market_Data[[#This Row],[Completion Date]]&lt;TODAY(),"Completed","Ongoing")))</f>
        <v>Ongoing</v>
      </c>
      <c r="G1063" s="324">
        <v>45483</v>
      </c>
      <c r="H1063" s="324">
        <v>46387</v>
      </c>
      <c r="I1063" s="325">
        <v>24400</v>
      </c>
      <c r="J106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63" s="133">
        <f>_xlfn.XLOOKUP(Market_Data[[#This Row],[Project Type]],tbl_assumptions_market[Project Category (RERA)],tbl_assumptions_market[Concrete Intensity
(m³ / sq m BUA)],"",0)</f>
        <v>0.42</v>
      </c>
      <c r="L1063" s="134">
        <f>ROUND(Market_Data[[#This Row],[Estimated Built Up Area (sq m)]]*Market_Data[[#This Row],[Concrete Intensity
(m³ / sq m)]],0)</f>
        <v>10248</v>
      </c>
      <c r="M1063" s="135">
        <f>_xlfn.XLOOKUP(Market_Data[[#This Row],[District]],tbl_district_price[District],tbl_district_price[Standard Price
(INR/m³)],"",0)</f>
        <v>6200</v>
      </c>
      <c r="N1063" s="364">
        <f>IF(OR(Market_Data[[#This Row],[Estimated Concrete Demand (m³)]]="",Market_Data[[#This Row],[Avg Price per (₹ / m³)]]=""),"",Market_Data[[#This Row],[Estimated Concrete Demand (m³)]]*Market_Data[[#This Row],[Avg Price per (₹ / m³)]]/10000000)</f>
        <v>6.3537600000000003</v>
      </c>
      <c r="O1063" s="97" t="str">
        <f>IF(Market_Data[[#This Row],[Estimated Concrete Demand (m³)]]="","",
IF(Market_Data[[#This Row],[Estimated Concrete Demand (m³)]]&lt;10000,"Small",
IF(Market_Data[[#This Row],[Estimated Concrete Demand (m³)]]&lt;25000,"Medium",
IF(Market_Data[[#This Row],[Estimated Concrete Demand (m³)]]&lt;100000,"Large","Mega"))))</f>
        <v>Medium</v>
      </c>
      <c r="P1063" s="287" t="str">
        <f t="shared" si="18"/>
        <v>GujRERA</v>
      </c>
    </row>
    <row r="1064" spans="1:16">
      <c r="A1064" s="129" t="str">
        <f>_xlfn.XLOOKUP(B1064,$S$9:$S$14,$T$9:$T$14)&amp;"-"&amp;
IF(E1064="Residential/Group Housing","RES",
IF(E1064="Commercial","COM",
IF(E1064="Mixed Development","MIX",
IF(E1064="Plotted Development","PLT","OTH"))))
&amp;"-"&amp;TEXT(COUNTIFS($B$9:B1064,B1064,$E$9:E1064,E1064),"0000")</f>
        <v>SUR-MIX-0139</v>
      </c>
      <c r="B1064" s="322" t="s">
        <v>34</v>
      </c>
      <c r="C1064" s="322" t="s">
        <v>34</v>
      </c>
      <c r="D1064" s="323" t="s">
        <v>1254</v>
      </c>
      <c r="E1064" s="132" t="s">
        <v>25</v>
      </c>
      <c r="F1064" s="97" t="str">
        <f ca="1">IF(OR(Market_Data[[#This Row],[Start Date]]="",Market_Data[[#This Row],[Completion Date]]=""),"Needs Validation",IF(Market_Data[[#This Row],[Start Date]]&gt;TODAY(),"Planned",IF(Market_Data[[#This Row],[Completion Date]]&lt;TODAY(),"Completed","Ongoing")))</f>
        <v>Ongoing</v>
      </c>
      <c r="G1064" s="324">
        <v>44571</v>
      </c>
      <c r="H1064" s="324">
        <v>46477</v>
      </c>
      <c r="I1064" s="325">
        <v>7100</v>
      </c>
      <c r="J106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064" s="133">
        <f>_xlfn.XLOOKUP(Market_Data[[#This Row],[Project Type]],tbl_assumptions_market[Project Category (RERA)],tbl_assumptions_market[Concrete Intensity
(m³ / sq m BUA)],"",0)</f>
        <v>0.42</v>
      </c>
      <c r="L1064" s="134">
        <f>ROUND(Market_Data[[#This Row],[Estimated Built Up Area (sq m)]]*Market_Data[[#This Row],[Concrete Intensity
(m³ / sq m)]],0)</f>
        <v>2982</v>
      </c>
      <c r="M1064" s="135">
        <f>_xlfn.XLOOKUP(Market_Data[[#This Row],[District]],tbl_district_price[District],tbl_district_price[Standard Price
(INR/m³)],"",0)</f>
        <v>6200</v>
      </c>
      <c r="N1064" s="364">
        <f>IF(OR(Market_Data[[#This Row],[Estimated Concrete Demand (m³)]]="",Market_Data[[#This Row],[Avg Price per (₹ / m³)]]=""),"",Market_Data[[#This Row],[Estimated Concrete Demand (m³)]]*Market_Data[[#This Row],[Avg Price per (₹ / m³)]]/10000000)</f>
        <v>1.84884</v>
      </c>
      <c r="O1064" s="97" t="str">
        <f>IF(Market_Data[[#This Row],[Estimated Concrete Demand (m³)]]="","",
IF(Market_Data[[#This Row],[Estimated Concrete Demand (m³)]]&lt;10000,"Small",
IF(Market_Data[[#This Row],[Estimated Concrete Demand (m³)]]&lt;25000,"Medium",
IF(Market_Data[[#This Row],[Estimated Concrete Demand (m³)]]&lt;100000,"Large","Mega"))))</f>
        <v>Small</v>
      </c>
      <c r="P1064" s="287" t="str">
        <f t="shared" si="18"/>
        <v>GujRERA</v>
      </c>
    </row>
    <row r="1065" spans="1:16">
      <c r="A1065" s="129" t="str">
        <f>_xlfn.XLOOKUP(B1065,$S$9:$S$14,$T$9:$T$14)&amp;"-"&amp;
IF(E1065="Residential/Group Housing","RES",
IF(E1065="Commercial","COM",
IF(E1065="Mixed Development","MIX",
IF(E1065="Plotted Development","PLT","OTH"))))
&amp;"-"&amp;TEXT(COUNTIFS($B$9:B1065,B1065,$E$9:E1065,E1065),"0000")</f>
        <v>SUR-MIX-0140</v>
      </c>
      <c r="B1065" s="322" t="s">
        <v>34</v>
      </c>
      <c r="C1065" s="322" t="s">
        <v>34</v>
      </c>
      <c r="D1065" s="323" t="s">
        <v>1255</v>
      </c>
      <c r="E1065" s="132" t="s">
        <v>25</v>
      </c>
      <c r="F1065" s="97" t="str">
        <f ca="1">IF(OR(Market_Data[[#This Row],[Start Date]]="",Market_Data[[#This Row],[Completion Date]]=""),"Needs Validation",IF(Market_Data[[#This Row],[Start Date]]&gt;TODAY(),"Planned",IF(Market_Data[[#This Row],[Completion Date]]&lt;TODAY(),"Completed","Ongoing")))</f>
        <v>Ongoing</v>
      </c>
      <c r="G1065" s="324">
        <v>45047</v>
      </c>
      <c r="H1065" s="324">
        <v>46966</v>
      </c>
      <c r="I1065" s="325">
        <v>26000</v>
      </c>
      <c r="J106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65" s="133">
        <f>_xlfn.XLOOKUP(Market_Data[[#This Row],[Project Type]],tbl_assumptions_market[Project Category (RERA)],tbl_assumptions_market[Concrete Intensity
(m³ / sq m BUA)],"",0)</f>
        <v>0.42</v>
      </c>
      <c r="L1065" s="134">
        <f>ROUND(Market_Data[[#This Row],[Estimated Built Up Area (sq m)]]*Market_Data[[#This Row],[Concrete Intensity
(m³ / sq m)]],0)</f>
        <v>10920</v>
      </c>
      <c r="M1065" s="135">
        <f>_xlfn.XLOOKUP(Market_Data[[#This Row],[District]],tbl_district_price[District],tbl_district_price[Standard Price
(INR/m³)],"",0)</f>
        <v>6200</v>
      </c>
      <c r="N1065" s="364">
        <f>IF(OR(Market_Data[[#This Row],[Estimated Concrete Demand (m³)]]="",Market_Data[[#This Row],[Avg Price per (₹ / m³)]]=""),"",Market_Data[[#This Row],[Estimated Concrete Demand (m³)]]*Market_Data[[#This Row],[Avg Price per (₹ / m³)]]/10000000)</f>
        <v>6.7704000000000004</v>
      </c>
      <c r="O1065" s="97" t="str">
        <f>IF(Market_Data[[#This Row],[Estimated Concrete Demand (m³)]]="","",
IF(Market_Data[[#This Row],[Estimated Concrete Demand (m³)]]&lt;10000,"Small",
IF(Market_Data[[#This Row],[Estimated Concrete Demand (m³)]]&lt;25000,"Medium",
IF(Market_Data[[#This Row],[Estimated Concrete Demand (m³)]]&lt;100000,"Large","Mega"))))</f>
        <v>Medium</v>
      </c>
      <c r="P1065" s="287" t="str">
        <f t="shared" si="18"/>
        <v>GujRERA</v>
      </c>
    </row>
    <row r="1066" spans="1:16">
      <c r="A1066" s="129" t="str">
        <f>_xlfn.XLOOKUP(B1066,$S$9:$S$14,$T$9:$T$14)&amp;"-"&amp;
IF(E1066="Residential/Group Housing","RES",
IF(E1066="Commercial","COM",
IF(E1066="Mixed Development","MIX",
IF(E1066="Plotted Development","PLT","OTH"))))
&amp;"-"&amp;TEXT(COUNTIFS($B$9:B1066,B1066,$E$9:E1066,E1066),"0000")</f>
        <v>SUR-RES-0271</v>
      </c>
      <c r="B1066" s="322" t="s">
        <v>34</v>
      </c>
      <c r="C1066" s="322" t="s">
        <v>34</v>
      </c>
      <c r="D1066" s="323" t="s">
        <v>1256</v>
      </c>
      <c r="E1066" s="132" t="s">
        <v>24</v>
      </c>
      <c r="F1066" s="97" t="str">
        <f ca="1">IF(OR(Market_Data[[#This Row],[Start Date]]="",Market_Data[[#This Row],[Completion Date]]=""),"Needs Validation",IF(Market_Data[[#This Row],[Start Date]]&gt;TODAY(),"Planned",IF(Market_Data[[#This Row],[Completion Date]]&lt;TODAY(),"Completed","Ongoing")))</f>
        <v>Completed</v>
      </c>
      <c r="G1066" s="324">
        <v>43446</v>
      </c>
      <c r="H1066" s="324">
        <v>45290</v>
      </c>
      <c r="I1066" s="325">
        <v>25700</v>
      </c>
      <c r="J106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66" s="133">
        <f>_xlfn.XLOOKUP(Market_Data[[#This Row],[Project Type]],tbl_assumptions_market[Project Category (RERA)],tbl_assumptions_market[Concrete Intensity
(m³ / sq m BUA)],"",0)</f>
        <v>0.45</v>
      </c>
      <c r="L1066" s="134">
        <f>ROUND(Market_Data[[#This Row],[Estimated Built Up Area (sq m)]]*Market_Data[[#This Row],[Concrete Intensity
(m³ / sq m)]],0)</f>
        <v>11565</v>
      </c>
      <c r="M1066" s="135">
        <f>_xlfn.XLOOKUP(Market_Data[[#This Row],[District]],tbl_district_price[District],tbl_district_price[Standard Price
(INR/m³)],"",0)</f>
        <v>6200</v>
      </c>
      <c r="N1066" s="364">
        <f>IF(OR(Market_Data[[#This Row],[Estimated Concrete Demand (m³)]]="",Market_Data[[#This Row],[Avg Price per (₹ / m³)]]=""),"",Market_Data[[#This Row],[Estimated Concrete Demand (m³)]]*Market_Data[[#This Row],[Avg Price per (₹ / m³)]]/10000000)</f>
        <v>7.1703000000000001</v>
      </c>
      <c r="O1066" s="97" t="str">
        <f>IF(Market_Data[[#This Row],[Estimated Concrete Demand (m³)]]="","",
IF(Market_Data[[#This Row],[Estimated Concrete Demand (m³)]]&lt;10000,"Small",
IF(Market_Data[[#This Row],[Estimated Concrete Demand (m³)]]&lt;25000,"Medium",
IF(Market_Data[[#This Row],[Estimated Concrete Demand (m³)]]&lt;100000,"Large","Mega"))))</f>
        <v>Medium</v>
      </c>
      <c r="P1066" s="287" t="str">
        <f t="shared" si="18"/>
        <v>GujRERA</v>
      </c>
    </row>
    <row r="1067" spans="1:16">
      <c r="A1067" s="129" t="str">
        <f>_xlfn.XLOOKUP(B1067,$S$9:$S$14,$T$9:$T$14)&amp;"-"&amp;
IF(E1067="Residential/Group Housing","RES",
IF(E1067="Commercial","COM",
IF(E1067="Mixed Development","MIX",
IF(E1067="Plotted Development","PLT","OTH"))))
&amp;"-"&amp;TEXT(COUNTIFS($B$9:B1067,B1067,$E$9:E1067,E1067),"0000")</f>
        <v>SUR-PLT-0192</v>
      </c>
      <c r="B1067" s="322" t="s">
        <v>34</v>
      </c>
      <c r="C1067" s="322" t="s">
        <v>34</v>
      </c>
      <c r="D1067" s="323" t="s">
        <v>1257</v>
      </c>
      <c r="E1067" s="132" t="s">
        <v>26</v>
      </c>
      <c r="F1067" s="97" t="str">
        <f ca="1">IF(OR(Market_Data[[#This Row],[Start Date]]="",Market_Data[[#This Row],[Completion Date]]=""),"Needs Validation",IF(Market_Data[[#This Row],[Start Date]]&gt;TODAY(),"Planned",IF(Market_Data[[#This Row],[Completion Date]]&lt;TODAY(),"Completed","Ongoing")))</f>
        <v>Completed</v>
      </c>
      <c r="G1067" s="324">
        <v>43863</v>
      </c>
      <c r="H1067" s="324">
        <v>44592</v>
      </c>
      <c r="I1067" s="325">
        <v>53400</v>
      </c>
      <c r="J106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067" s="133">
        <f>_xlfn.XLOOKUP(Market_Data[[#This Row],[Project Type]],tbl_assumptions_market[Project Category (RERA)],tbl_assumptions_market[Concrete Intensity
(m³ / sq m BUA)],"",0)</f>
        <v>0.18</v>
      </c>
      <c r="L1067" s="134">
        <f>ROUND(Market_Data[[#This Row],[Estimated Built Up Area (sq m)]]*Market_Data[[#This Row],[Concrete Intensity
(m³ / sq m)]],0)</f>
        <v>9612</v>
      </c>
      <c r="M1067" s="135">
        <f>_xlfn.XLOOKUP(Market_Data[[#This Row],[District]],tbl_district_price[District],tbl_district_price[Standard Price
(INR/m³)],"",0)</f>
        <v>6200</v>
      </c>
      <c r="N1067" s="364">
        <f>IF(OR(Market_Data[[#This Row],[Estimated Concrete Demand (m³)]]="",Market_Data[[#This Row],[Avg Price per (₹ / m³)]]=""),"",Market_Data[[#This Row],[Estimated Concrete Demand (m³)]]*Market_Data[[#This Row],[Avg Price per (₹ / m³)]]/10000000)</f>
        <v>5.9594399999999998</v>
      </c>
      <c r="O1067" s="97" t="str">
        <f>IF(Market_Data[[#This Row],[Estimated Concrete Demand (m³)]]="","",
IF(Market_Data[[#This Row],[Estimated Concrete Demand (m³)]]&lt;10000,"Small",
IF(Market_Data[[#This Row],[Estimated Concrete Demand (m³)]]&lt;25000,"Medium",
IF(Market_Data[[#This Row],[Estimated Concrete Demand (m³)]]&lt;100000,"Large","Mega"))))</f>
        <v>Small</v>
      </c>
      <c r="P1067" s="287" t="str">
        <f t="shared" si="18"/>
        <v>GujRERA</v>
      </c>
    </row>
    <row r="1068" spans="1:16">
      <c r="A1068" s="129" t="str">
        <f>_xlfn.XLOOKUP(B1068,$S$9:$S$14,$T$9:$T$14)&amp;"-"&amp;
IF(E1068="Residential/Group Housing","RES",
IF(E1068="Commercial","COM",
IF(E1068="Mixed Development","MIX",
IF(E1068="Plotted Development","PLT","OTH"))))
&amp;"-"&amp;TEXT(COUNTIFS($B$9:B1068,B1068,$E$9:E1068,E1068),"0000")</f>
        <v>SUR-PLT-0193</v>
      </c>
      <c r="B1068" s="322" t="s">
        <v>34</v>
      </c>
      <c r="C1068" s="322" t="s">
        <v>34</v>
      </c>
      <c r="D1068" s="323" t="s">
        <v>1258</v>
      </c>
      <c r="E1068" s="132" t="s">
        <v>26</v>
      </c>
      <c r="F1068" s="97" t="str">
        <f ca="1">IF(OR(Market_Data[[#This Row],[Start Date]]="",Market_Data[[#This Row],[Completion Date]]=""),"Needs Validation",IF(Market_Data[[#This Row],[Start Date]]&gt;TODAY(),"Planned",IF(Market_Data[[#This Row],[Completion Date]]&lt;TODAY(),"Completed","Ongoing")))</f>
        <v>Completed</v>
      </c>
      <c r="G1068" s="324">
        <v>44266</v>
      </c>
      <c r="H1068" s="324">
        <v>44834</v>
      </c>
      <c r="I1068" s="325">
        <v>56300</v>
      </c>
      <c r="J106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068" s="133">
        <f>_xlfn.XLOOKUP(Market_Data[[#This Row],[Project Type]],tbl_assumptions_market[Project Category (RERA)],tbl_assumptions_market[Concrete Intensity
(m³ / sq m BUA)],"",0)</f>
        <v>0.18</v>
      </c>
      <c r="L1068" s="134">
        <f>ROUND(Market_Data[[#This Row],[Estimated Built Up Area (sq m)]]*Market_Data[[#This Row],[Concrete Intensity
(m³ / sq m)]],0)</f>
        <v>10134</v>
      </c>
      <c r="M1068" s="135">
        <f>_xlfn.XLOOKUP(Market_Data[[#This Row],[District]],tbl_district_price[District],tbl_district_price[Standard Price
(INR/m³)],"",0)</f>
        <v>6200</v>
      </c>
      <c r="N1068" s="364">
        <f>IF(OR(Market_Data[[#This Row],[Estimated Concrete Demand (m³)]]="",Market_Data[[#This Row],[Avg Price per (₹ / m³)]]=""),"",Market_Data[[#This Row],[Estimated Concrete Demand (m³)]]*Market_Data[[#This Row],[Avg Price per (₹ / m³)]]/10000000)</f>
        <v>6.28308</v>
      </c>
      <c r="O1068" s="97" t="str">
        <f>IF(Market_Data[[#This Row],[Estimated Concrete Demand (m³)]]="","",
IF(Market_Data[[#This Row],[Estimated Concrete Demand (m³)]]&lt;10000,"Small",
IF(Market_Data[[#This Row],[Estimated Concrete Demand (m³)]]&lt;25000,"Medium",
IF(Market_Data[[#This Row],[Estimated Concrete Demand (m³)]]&lt;100000,"Large","Mega"))))</f>
        <v>Medium</v>
      </c>
      <c r="P1068" s="287" t="str">
        <f t="shared" si="18"/>
        <v>GujRERA</v>
      </c>
    </row>
    <row r="1069" spans="1:16">
      <c r="A1069" s="129" t="str">
        <f>_xlfn.XLOOKUP(B1069,$S$9:$S$14,$T$9:$T$14)&amp;"-"&amp;
IF(E1069="Residential/Group Housing","RES",
IF(E1069="Commercial","COM",
IF(E1069="Mixed Development","MIX",
IF(E1069="Plotted Development","PLT","OTH"))))
&amp;"-"&amp;TEXT(COUNTIFS($B$9:B1069,B1069,$E$9:E1069,E1069),"0000")</f>
        <v>SUR-RES-0272</v>
      </c>
      <c r="B1069" s="322" t="s">
        <v>34</v>
      </c>
      <c r="C1069" s="322" t="s">
        <v>34</v>
      </c>
      <c r="D1069" s="323" t="s">
        <v>1259</v>
      </c>
      <c r="E1069" s="132" t="s">
        <v>24</v>
      </c>
      <c r="F1069" s="97" t="str">
        <f ca="1">IF(OR(Market_Data[[#This Row],[Start Date]]="",Market_Data[[#This Row],[Completion Date]]=""),"Needs Validation",IF(Market_Data[[#This Row],[Start Date]]&gt;TODAY(),"Planned",IF(Market_Data[[#This Row],[Completion Date]]&lt;TODAY(),"Completed","Ongoing")))</f>
        <v>Completed</v>
      </c>
      <c r="G1069" s="324">
        <v>43602</v>
      </c>
      <c r="H1069" s="324">
        <v>44925</v>
      </c>
      <c r="I1069" s="325">
        <v>12600</v>
      </c>
      <c r="J106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69" s="133">
        <f>_xlfn.XLOOKUP(Market_Data[[#This Row],[Project Type]],tbl_assumptions_market[Project Category (RERA)],tbl_assumptions_market[Concrete Intensity
(m³ / sq m BUA)],"",0)</f>
        <v>0.45</v>
      </c>
      <c r="L1069" s="134">
        <f>ROUND(Market_Data[[#This Row],[Estimated Built Up Area (sq m)]]*Market_Data[[#This Row],[Concrete Intensity
(m³ / sq m)]],0)</f>
        <v>5670</v>
      </c>
      <c r="M1069" s="135">
        <f>_xlfn.XLOOKUP(Market_Data[[#This Row],[District]],tbl_district_price[District],tbl_district_price[Standard Price
(INR/m³)],"",0)</f>
        <v>6200</v>
      </c>
      <c r="N1069" s="364">
        <f>IF(OR(Market_Data[[#This Row],[Estimated Concrete Demand (m³)]]="",Market_Data[[#This Row],[Avg Price per (₹ / m³)]]=""),"",Market_Data[[#This Row],[Estimated Concrete Demand (m³)]]*Market_Data[[#This Row],[Avg Price per (₹ / m³)]]/10000000)</f>
        <v>3.5154000000000001</v>
      </c>
      <c r="O1069" s="97" t="str">
        <f>IF(Market_Data[[#This Row],[Estimated Concrete Demand (m³)]]="","",
IF(Market_Data[[#This Row],[Estimated Concrete Demand (m³)]]&lt;10000,"Small",
IF(Market_Data[[#This Row],[Estimated Concrete Demand (m³)]]&lt;25000,"Medium",
IF(Market_Data[[#This Row],[Estimated Concrete Demand (m³)]]&lt;100000,"Large","Mega"))))</f>
        <v>Small</v>
      </c>
      <c r="P1069" s="287" t="str">
        <f t="shared" si="18"/>
        <v>GujRERA</v>
      </c>
    </row>
    <row r="1070" spans="1:16">
      <c r="A1070" s="129" t="str">
        <f>_xlfn.XLOOKUP(B1070,$S$9:$S$14,$T$9:$T$14)&amp;"-"&amp;
IF(E1070="Residential/Group Housing","RES",
IF(E1070="Commercial","COM",
IF(E1070="Mixed Development","MIX",
IF(E1070="Plotted Development","PLT","OTH"))))
&amp;"-"&amp;TEXT(COUNTIFS($B$9:B1070,B1070,$E$9:E1070,E1070),"0000")</f>
        <v>SUR-PLT-0194</v>
      </c>
      <c r="B1070" s="322" t="s">
        <v>34</v>
      </c>
      <c r="C1070" s="322" t="s">
        <v>34</v>
      </c>
      <c r="D1070" s="323" t="s">
        <v>1260</v>
      </c>
      <c r="E1070" s="132" t="s">
        <v>26</v>
      </c>
      <c r="F1070" s="97" t="str">
        <f ca="1">IF(OR(Market_Data[[#This Row],[Start Date]]="",Market_Data[[#This Row],[Completion Date]]=""),"Needs Validation",IF(Market_Data[[#This Row],[Start Date]]&gt;TODAY(),"Planned",IF(Market_Data[[#This Row],[Completion Date]]&lt;TODAY(),"Completed","Ongoing")))</f>
        <v>Ongoing</v>
      </c>
      <c r="G1070" s="324">
        <v>45361</v>
      </c>
      <c r="H1070" s="324">
        <v>46477</v>
      </c>
      <c r="I1070" s="325">
        <v>15500</v>
      </c>
      <c r="J107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70" s="133">
        <f>_xlfn.XLOOKUP(Market_Data[[#This Row],[Project Type]],tbl_assumptions_market[Project Category (RERA)],tbl_assumptions_market[Concrete Intensity
(m³ / sq m BUA)],"",0)</f>
        <v>0.18</v>
      </c>
      <c r="L1070" s="134">
        <f>ROUND(Market_Data[[#This Row],[Estimated Built Up Area (sq m)]]*Market_Data[[#This Row],[Concrete Intensity
(m³ / sq m)]],0)</f>
        <v>2790</v>
      </c>
      <c r="M1070" s="135">
        <f>_xlfn.XLOOKUP(Market_Data[[#This Row],[District]],tbl_district_price[District],tbl_district_price[Standard Price
(INR/m³)],"",0)</f>
        <v>6200</v>
      </c>
      <c r="N1070" s="364">
        <f>IF(OR(Market_Data[[#This Row],[Estimated Concrete Demand (m³)]]="",Market_Data[[#This Row],[Avg Price per (₹ / m³)]]=""),"",Market_Data[[#This Row],[Estimated Concrete Demand (m³)]]*Market_Data[[#This Row],[Avg Price per (₹ / m³)]]/10000000)</f>
        <v>1.7298</v>
      </c>
      <c r="O1070" s="97" t="str">
        <f>IF(Market_Data[[#This Row],[Estimated Concrete Demand (m³)]]="","",
IF(Market_Data[[#This Row],[Estimated Concrete Demand (m³)]]&lt;10000,"Small",
IF(Market_Data[[#This Row],[Estimated Concrete Demand (m³)]]&lt;25000,"Medium",
IF(Market_Data[[#This Row],[Estimated Concrete Demand (m³)]]&lt;100000,"Large","Mega"))))</f>
        <v>Small</v>
      </c>
      <c r="P1070" s="287" t="str">
        <f t="shared" si="18"/>
        <v>GujRERA</v>
      </c>
    </row>
    <row r="1071" spans="1:16">
      <c r="A1071" s="129" t="str">
        <f>_xlfn.XLOOKUP(B1071,$S$9:$S$14,$T$9:$T$14)&amp;"-"&amp;
IF(E1071="Residential/Group Housing","RES",
IF(E1071="Commercial","COM",
IF(E1071="Mixed Development","MIX",
IF(E1071="Plotted Development","PLT","OTH"))))
&amp;"-"&amp;TEXT(COUNTIFS($B$9:B1071,B1071,$E$9:E1071,E1071),"0000")</f>
        <v>SUR-RES-0273</v>
      </c>
      <c r="B1071" s="322" t="s">
        <v>34</v>
      </c>
      <c r="C1071" s="322" t="s">
        <v>34</v>
      </c>
      <c r="D1071" s="323" t="s">
        <v>1261</v>
      </c>
      <c r="E1071" s="132" t="s">
        <v>24</v>
      </c>
      <c r="F1071" s="97" t="str">
        <f ca="1">IF(OR(Market_Data[[#This Row],[Start Date]]="",Market_Data[[#This Row],[Completion Date]]=""),"Needs Validation",IF(Market_Data[[#This Row],[Start Date]]&gt;TODAY(),"Planned",IF(Market_Data[[#This Row],[Completion Date]]&lt;TODAY(),"Completed","Ongoing")))</f>
        <v>Completed</v>
      </c>
      <c r="G1071" s="324">
        <v>44241</v>
      </c>
      <c r="H1071" s="324">
        <v>46022</v>
      </c>
      <c r="I1071" s="325">
        <v>47000</v>
      </c>
      <c r="J107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71" s="133">
        <f>_xlfn.XLOOKUP(Market_Data[[#This Row],[Project Type]],tbl_assumptions_market[Project Category (RERA)],tbl_assumptions_market[Concrete Intensity
(m³ / sq m BUA)],"",0)</f>
        <v>0.45</v>
      </c>
      <c r="L1071" s="134">
        <f>ROUND(Market_Data[[#This Row],[Estimated Built Up Area (sq m)]]*Market_Data[[#This Row],[Concrete Intensity
(m³ / sq m)]],0)</f>
        <v>21150</v>
      </c>
      <c r="M1071" s="135">
        <f>_xlfn.XLOOKUP(Market_Data[[#This Row],[District]],tbl_district_price[District],tbl_district_price[Standard Price
(INR/m³)],"",0)</f>
        <v>6200</v>
      </c>
      <c r="N1071" s="364">
        <f>IF(OR(Market_Data[[#This Row],[Estimated Concrete Demand (m³)]]="",Market_Data[[#This Row],[Avg Price per (₹ / m³)]]=""),"",Market_Data[[#This Row],[Estimated Concrete Demand (m³)]]*Market_Data[[#This Row],[Avg Price per (₹ / m³)]]/10000000)</f>
        <v>13.113</v>
      </c>
      <c r="O1071" s="97" t="str">
        <f>IF(Market_Data[[#This Row],[Estimated Concrete Demand (m³)]]="","",
IF(Market_Data[[#This Row],[Estimated Concrete Demand (m³)]]&lt;10000,"Small",
IF(Market_Data[[#This Row],[Estimated Concrete Demand (m³)]]&lt;25000,"Medium",
IF(Market_Data[[#This Row],[Estimated Concrete Demand (m³)]]&lt;100000,"Large","Mega"))))</f>
        <v>Medium</v>
      </c>
      <c r="P1071" s="287" t="str">
        <f t="shared" si="18"/>
        <v>GujRERA</v>
      </c>
    </row>
    <row r="1072" spans="1:16">
      <c r="A1072" s="129" t="str">
        <f>_xlfn.XLOOKUP(B1072,$S$9:$S$14,$T$9:$T$14)&amp;"-"&amp;
IF(E1072="Residential/Group Housing","RES",
IF(E1072="Commercial","COM",
IF(E1072="Mixed Development","MIX",
IF(E1072="Plotted Development","PLT","OTH"))))
&amp;"-"&amp;TEXT(COUNTIFS($B$9:B1072,B1072,$E$9:E1072,E1072),"0000")</f>
        <v>SUR-RES-0274</v>
      </c>
      <c r="B1072" s="322" t="s">
        <v>34</v>
      </c>
      <c r="C1072" s="322" t="s">
        <v>34</v>
      </c>
      <c r="D1072" s="323" t="s">
        <v>1262</v>
      </c>
      <c r="E1072" s="132" t="s">
        <v>24</v>
      </c>
      <c r="F1072" s="97" t="str">
        <f ca="1">IF(OR(Market_Data[[#This Row],[Start Date]]="",Market_Data[[#This Row],[Completion Date]]=""),"Needs Validation",IF(Market_Data[[#This Row],[Start Date]]&gt;TODAY(),"Planned",IF(Market_Data[[#This Row],[Completion Date]]&lt;TODAY(),"Completed","Ongoing")))</f>
        <v>Ongoing</v>
      </c>
      <c r="G1072" s="324">
        <v>43871</v>
      </c>
      <c r="H1072" s="324">
        <v>46931</v>
      </c>
      <c r="I1072" s="325">
        <v>13400</v>
      </c>
      <c r="J107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72" s="133">
        <f>_xlfn.XLOOKUP(Market_Data[[#This Row],[Project Type]],tbl_assumptions_market[Project Category (RERA)],tbl_assumptions_market[Concrete Intensity
(m³ / sq m BUA)],"",0)</f>
        <v>0.45</v>
      </c>
      <c r="L1072" s="134">
        <f>ROUND(Market_Data[[#This Row],[Estimated Built Up Area (sq m)]]*Market_Data[[#This Row],[Concrete Intensity
(m³ / sq m)]],0)</f>
        <v>6030</v>
      </c>
      <c r="M1072" s="135">
        <f>_xlfn.XLOOKUP(Market_Data[[#This Row],[District]],tbl_district_price[District],tbl_district_price[Standard Price
(INR/m³)],"",0)</f>
        <v>6200</v>
      </c>
      <c r="N1072" s="364">
        <f>IF(OR(Market_Data[[#This Row],[Estimated Concrete Demand (m³)]]="",Market_Data[[#This Row],[Avg Price per (₹ / m³)]]=""),"",Market_Data[[#This Row],[Estimated Concrete Demand (m³)]]*Market_Data[[#This Row],[Avg Price per (₹ / m³)]]/10000000)</f>
        <v>3.7385999999999999</v>
      </c>
      <c r="O1072" s="97" t="str">
        <f>IF(Market_Data[[#This Row],[Estimated Concrete Demand (m³)]]="","",
IF(Market_Data[[#This Row],[Estimated Concrete Demand (m³)]]&lt;10000,"Small",
IF(Market_Data[[#This Row],[Estimated Concrete Demand (m³)]]&lt;25000,"Medium",
IF(Market_Data[[#This Row],[Estimated Concrete Demand (m³)]]&lt;100000,"Large","Mega"))))</f>
        <v>Small</v>
      </c>
      <c r="P1072" s="287" t="str">
        <f t="shared" si="18"/>
        <v>GujRERA</v>
      </c>
    </row>
    <row r="1073" spans="1:16">
      <c r="A1073" s="129" t="str">
        <f>_xlfn.XLOOKUP(B1073,$S$9:$S$14,$T$9:$T$14)&amp;"-"&amp;
IF(E1073="Residential/Group Housing","RES",
IF(E1073="Commercial","COM",
IF(E1073="Mixed Development","MIX",
IF(E1073="Plotted Development","PLT","OTH"))))
&amp;"-"&amp;TEXT(COUNTIFS($B$9:B1073,B1073,$E$9:E1073,E1073),"0000")</f>
        <v>SUR-COM-0147</v>
      </c>
      <c r="B1073" s="322" t="s">
        <v>34</v>
      </c>
      <c r="C1073" s="322" t="s">
        <v>34</v>
      </c>
      <c r="D1073" s="323" t="s">
        <v>1263</v>
      </c>
      <c r="E1073" s="132" t="s">
        <v>23</v>
      </c>
      <c r="F1073" s="97" t="str">
        <f ca="1">IF(OR(Market_Data[[#This Row],[Start Date]]="",Market_Data[[#This Row],[Completion Date]]=""),"Needs Validation",IF(Market_Data[[#This Row],[Start Date]]&gt;TODAY(),"Planned",IF(Market_Data[[#This Row],[Completion Date]]&lt;TODAY(),"Completed","Ongoing")))</f>
        <v>Ongoing</v>
      </c>
      <c r="G1073" s="324">
        <v>45809</v>
      </c>
      <c r="H1073" s="324">
        <v>48944</v>
      </c>
      <c r="I1073" s="325">
        <v>14100</v>
      </c>
      <c r="J107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73" s="133">
        <f>_xlfn.XLOOKUP(Market_Data[[#This Row],[Project Type]],tbl_assumptions_market[Project Category (RERA)],tbl_assumptions_market[Concrete Intensity
(m³ / sq m BUA)],"",0)</f>
        <v>0.5</v>
      </c>
      <c r="L1073" s="134">
        <f>ROUND(Market_Data[[#This Row],[Estimated Built Up Area (sq m)]]*Market_Data[[#This Row],[Concrete Intensity
(m³ / sq m)]],0)</f>
        <v>7050</v>
      </c>
      <c r="M1073" s="135">
        <f>_xlfn.XLOOKUP(Market_Data[[#This Row],[District]],tbl_district_price[District],tbl_district_price[Standard Price
(INR/m³)],"",0)</f>
        <v>6200</v>
      </c>
      <c r="N1073" s="364">
        <f>IF(OR(Market_Data[[#This Row],[Estimated Concrete Demand (m³)]]="",Market_Data[[#This Row],[Avg Price per (₹ / m³)]]=""),"",Market_Data[[#This Row],[Estimated Concrete Demand (m³)]]*Market_Data[[#This Row],[Avg Price per (₹ / m³)]]/10000000)</f>
        <v>4.3710000000000004</v>
      </c>
      <c r="O1073" s="97" t="str">
        <f>IF(Market_Data[[#This Row],[Estimated Concrete Demand (m³)]]="","",
IF(Market_Data[[#This Row],[Estimated Concrete Demand (m³)]]&lt;10000,"Small",
IF(Market_Data[[#This Row],[Estimated Concrete Demand (m³)]]&lt;25000,"Medium",
IF(Market_Data[[#This Row],[Estimated Concrete Demand (m³)]]&lt;100000,"Large","Mega"))))</f>
        <v>Small</v>
      </c>
      <c r="P1073" s="287" t="str">
        <f t="shared" si="18"/>
        <v>GujRERA</v>
      </c>
    </row>
    <row r="1074" spans="1:16">
      <c r="A1074" s="129" t="str">
        <f>_xlfn.XLOOKUP(B1074,$S$9:$S$14,$T$9:$T$14)&amp;"-"&amp;
IF(E1074="Residential/Group Housing","RES",
IF(E1074="Commercial","COM",
IF(E1074="Mixed Development","MIX",
IF(E1074="Plotted Development","PLT","OTH"))))
&amp;"-"&amp;TEXT(COUNTIFS($B$9:B1074,B1074,$E$9:E1074,E1074),"0000")</f>
        <v>SUR-RES-0275</v>
      </c>
      <c r="B1074" s="322" t="s">
        <v>34</v>
      </c>
      <c r="C1074" s="322" t="s">
        <v>34</v>
      </c>
      <c r="D1074" s="323" t="s">
        <v>1264</v>
      </c>
      <c r="E1074" s="132" t="s">
        <v>24</v>
      </c>
      <c r="F1074" s="97" t="str">
        <f ca="1">IF(OR(Market_Data[[#This Row],[Start Date]]="",Market_Data[[#This Row],[Completion Date]]=""),"Needs Validation",IF(Market_Data[[#This Row],[Start Date]]&gt;TODAY(),"Planned",IF(Market_Data[[#This Row],[Completion Date]]&lt;TODAY(),"Completed","Ongoing")))</f>
        <v>Completed</v>
      </c>
      <c r="G1074" s="324">
        <v>44454</v>
      </c>
      <c r="H1074" s="324">
        <v>46266</v>
      </c>
      <c r="I1074" s="325">
        <v>13300</v>
      </c>
      <c r="J107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74" s="133">
        <f>_xlfn.XLOOKUP(Market_Data[[#This Row],[Project Type]],tbl_assumptions_market[Project Category (RERA)],tbl_assumptions_market[Concrete Intensity
(m³ / sq m BUA)],"",0)</f>
        <v>0.45</v>
      </c>
      <c r="L1074" s="134">
        <f>ROUND(Market_Data[[#This Row],[Estimated Built Up Area (sq m)]]*Market_Data[[#This Row],[Concrete Intensity
(m³ / sq m)]],0)</f>
        <v>5985</v>
      </c>
      <c r="M1074" s="135">
        <f>_xlfn.XLOOKUP(Market_Data[[#This Row],[District]],tbl_district_price[District],tbl_district_price[Standard Price
(INR/m³)],"",0)</f>
        <v>6200</v>
      </c>
      <c r="N1074" s="364">
        <f>IF(OR(Market_Data[[#This Row],[Estimated Concrete Demand (m³)]]="",Market_Data[[#This Row],[Avg Price per (₹ / m³)]]=""),"",Market_Data[[#This Row],[Estimated Concrete Demand (m³)]]*Market_Data[[#This Row],[Avg Price per (₹ / m³)]]/10000000)</f>
        <v>3.7107000000000001</v>
      </c>
      <c r="O1074" s="97" t="str">
        <f>IF(Market_Data[[#This Row],[Estimated Concrete Demand (m³)]]="","",
IF(Market_Data[[#This Row],[Estimated Concrete Demand (m³)]]&lt;10000,"Small",
IF(Market_Data[[#This Row],[Estimated Concrete Demand (m³)]]&lt;25000,"Medium",
IF(Market_Data[[#This Row],[Estimated Concrete Demand (m³)]]&lt;100000,"Large","Mega"))))</f>
        <v>Small</v>
      </c>
      <c r="P1074" s="287" t="str">
        <f t="shared" si="18"/>
        <v>GujRERA</v>
      </c>
    </row>
    <row r="1075" spans="1:16">
      <c r="A1075" s="129" t="str">
        <f>_xlfn.XLOOKUP(B1075,$S$9:$S$14,$T$9:$T$14)&amp;"-"&amp;
IF(E1075="Residential/Group Housing","RES",
IF(E1075="Commercial","COM",
IF(E1075="Mixed Development","MIX",
IF(E1075="Plotted Development","PLT","OTH"))))
&amp;"-"&amp;TEXT(COUNTIFS($B$9:B1075,B1075,$E$9:E1075,E1075),"0000")</f>
        <v>SUR-RES-0276</v>
      </c>
      <c r="B1075" s="322" t="s">
        <v>34</v>
      </c>
      <c r="C1075" s="322" t="s">
        <v>34</v>
      </c>
      <c r="D1075" s="323" t="s">
        <v>1265</v>
      </c>
      <c r="E1075" s="132" t="s">
        <v>24</v>
      </c>
      <c r="F1075" s="97" t="str">
        <f ca="1">IF(OR(Market_Data[[#This Row],[Start Date]]="",Market_Data[[#This Row],[Completion Date]]=""),"Needs Validation",IF(Market_Data[[#This Row],[Start Date]]&gt;TODAY(),"Planned",IF(Market_Data[[#This Row],[Completion Date]]&lt;TODAY(),"Completed","Ongoing")))</f>
        <v>Completed</v>
      </c>
      <c r="G1075" s="324">
        <v>44454</v>
      </c>
      <c r="H1075" s="324">
        <v>46242</v>
      </c>
      <c r="I1075" s="325">
        <v>2800</v>
      </c>
      <c r="J107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75" s="133">
        <f>_xlfn.XLOOKUP(Market_Data[[#This Row],[Project Type]],tbl_assumptions_market[Project Category (RERA)],tbl_assumptions_market[Concrete Intensity
(m³ / sq m BUA)],"",0)</f>
        <v>0.45</v>
      </c>
      <c r="L1075" s="134">
        <f>ROUND(Market_Data[[#This Row],[Estimated Built Up Area (sq m)]]*Market_Data[[#This Row],[Concrete Intensity
(m³ / sq m)]],0)</f>
        <v>1260</v>
      </c>
      <c r="M1075" s="135">
        <f>_xlfn.XLOOKUP(Market_Data[[#This Row],[District]],tbl_district_price[District],tbl_district_price[Standard Price
(INR/m³)],"",0)</f>
        <v>6200</v>
      </c>
      <c r="N1075" s="364">
        <f>IF(OR(Market_Data[[#This Row],[Estimated Concrete Demand (m³)]]="",Market_Data[[#This Row],[Avg Price per (₹ / m³)]]=""),"",Market_Data[[#This Row],[Estimated Concrete Demand (m³)]]*Market_Data[[#This Row],[Avg Price per (₹ / m³)]]/10000000)</f>
        <v>0.78120000000000001</v>
      </c>
      <c r="O1075" s="97" t="str">
        <f>IF(Market_Data[[#This Row],[Estimated Concrete Demand (m³)]]="","",
IF(Market_Data[[#This Row],[Estimated Concrete Demand (m³)]]&lt;10000,"Small",
IF(Market_Data[[#This Row],[Estimated Concrete Demand (m³)]]&lt;25000,"Medium",
IF(Market_Data[[#This Row],[Estimated Concrete Demand (m³)]]&lt;100000,"Large","Mega"))))</f>
        <v>Small</v>
      </c>
      <c r="P1075" s="287" t="str">
        <f t="shared" si="18"/>
        <v>GujRERA</v>
      </c>
    </row>
    <row r="1076" spans="1:16">
      <c r="A1076" s="129" t="str">
        <f>_xlfn.XLOOKUP(B1076,$S$9:$S$14,$T$9:$T$14)&amp;"-"&amp;
IF(E1076="Residential/Group Housing","RES",
IF(E1076="Commercial","COM",
IF(E1076="Mixed Development","MIX",
IF(E1076="Plotted Development","PLT","OTH"))))
&amp;"-"&amp;TEXT(COUNTIFS($B$9:B1076,B1076,$E$9:E1076,E1076),"0000")</f>
        <v>SUR-PLT-0195</v>
      </c>
      <c r="B1076" s="322" t="s">
        <v>34</v>
      </c>
      <c r="C1076" s="322" t="s">
        <v>34</v>
      </c>
      <c r="D1076" s="323" t="s">
        <v>1266</v>
      </c>
      <c r="E1076" s="132" t="s">
        <v>26</v>
      </c>
      <c r="F1076" s="97" t="str">
        <f ca="1">IF(OR(Market_Data[[#This Row],[Start Date]]="",Market_Data[[#This Row],[Completion Date]]=""),"Needs Validation",IF(Market_Data[[#This Row],[Start Date]]&gt;TODAY(),"Planned",IF(Market_Data[[#This Row],[Completion Date]]&lt;TODAY(),"Completed","Ongoing")))</f>
        <v>Completed</v>
      </c>
      <c r="G1076" s="324">
        <v>45145</v>
      </c>
      <c r="H1076" s="324">
        <v>45747</v>
      </c>
      <c r="I1076" s="325">
        <v>50900</v>
      </c>
      <c r="J107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076" s="133">
        <f>_xlfn.XLOOKUP(Market_Data[[#This Row],[Project Type]],tbl_assumptions_market[Project Category (RERA)],tbl_assumptions_market[Concrete Intensity
(m³ / sq m BUA)],"",0)</f>
        <v>0.18</v>
      </c>
      <c r="L1076" s="134">
        <f>ROUND(Market_Data[[#This Row],[Estimated Built Up Area (sq m)]]*Market_Data[[#This Row],[Concrete Intensity
(m³ / sq m)]],0)</f>
        <v>9162</v>
      </c>
      <c r="M1076" s="135">
        <f>_xlfn.XLOOKUP(Market_Data[[#This Row],[District]],tbl_district_price[District],tbl_district_price[Standard Price
(INR/m³)],"",0)</f>
        <v>6200</v>
      </c>
      <c r="N1076" s="364">
        <f>IF(OR(Market_Data[[#This Row],[Estimated Concrete Demand (m³)]]="",Market_Data[[#This Row],[Avg Price per (₹ / m³)]]=""),"",Market_Data[[#This Row],[Estimated Concrete Demand (m³)]]*Market_Data[[#This Row],[Avg Price per (₹ / m³)]]/10000000)</f>
        <v>5.6804399999999999</v>
      </c>
      <c r="O1076" s="97" t="str">
        <f>IF(Market_Data[[#This Row],[Estimated Concrete Demand (m³)]]="","",
IF(Market_Data[[#This Row],[Estimated Concrete Demand (m³)]]&lt;10000,"Small",
IF(Market_Data[[#This Row],[Estimated Concrete Demand (m³)]]&lt;25000,"Medium",
IF(Market_Data[[#This Row],[Estimated Concrete Demand (m³)]]&lt;100000,"Large","Mega"))))</f>
        <v>Small</v>
      </c>
      <c r="P1076" s="287" t="str">
        <f t="shared" si="18"/>
        <v>GujRERA</v>
      </c>
    </row>
    <row r="1077" spans="1:16">
      <c r="A1077" s="129" t="str">
        <f>_xlfn.XLOOKUP(B1077,$S$9:$S$14,$T$9:$T$14)&amp;"-"&amp;
IF(E1077="Residential/Group Housing","RES",
IF(E1077="Commercial","COM",
IF(E1077="Mixed Development","MIX",
IF(E1077="Plotted Development","PLT","OTH"))))
&amp;"-"&amp;TEXT(COUNTIFS($B$9:B1077,B1077,$E$9:E1077,E1077),"0000")</f>
        <v>SUR-RES-0277</v>
      </c>
      <c r="B1077" s="322" t="s">
        <v>34</v>
      </c>
      <c r="C1077" s="322" t="s">
        <v>34</v>
      </c>
      <c r="D1077" s="323" t="s">
        <v>1267</v>
      </c>
      <c r="E1077" s="132" t="s">
        <v>24</v>
      </c>
      <c r="F1077" s="97" t="str">
        <f ca="1">IF(OR(Market_Data[[#This Row],[Start Date]]="",Market_Data[[#This Row],[Completion Date]]=""),"Needs Validation",IF(Market_Data[[#This Row],[Start Date]]&gt;TODAY(),"Planned",IF(Market_Data[[#This Row],[Completion Date]]&lt;TODAY(),"Completed","Ongoing")))</f>
        <v>Ongoing</v>
      </c>
      <c r="G1077" s="324">
        <v>45688</v>
      </c>
      <c r="H1077" s="324">
        <v>48244</v>
      </c>
      <c r="I1077" s="325">
        <v>4700</v>
      </c>
      <c r="J107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77" s="133">
        <f>_xlfn.XLOOKUP(Market_Data[[#This Row],[Project Type]],tbl_assumptions_market[Project Category (RERA)],tbl_assumptions_market[Concrete Intensity
(m³ / sq m BUA)],"",0)</f>
        <v>0.45</v>
      </c>
      <c r="L1077" s="134">
        <f>ROUND(Market_Data[[#This Row],[Estimated Built Up Area (sq m)]]*Market_Data[[#This Row],[Concrete Intensity
(m³ / sq m)]],0)</f>
        <v>2115</v>
      </c>
      <c r="M1077" s="135">
        <f>_xlfn.XLOOKUP(Market_Data[[#This Row],[District]],tbl_district_price[District],tbl_district_price[Standard Price
(INR/m³)],"",0)</f>
        <v>6200</v>
      </c>
      <c r="N1077" s="364">
        <f>IF(OR(Market_Data[[#This Row],[Estimated Concrete Demand (m³)]]="",Market_Data[[#This Row],[Avg Price per (₹ / m³)]]=""),"",Market_Data[[#This Row],[Estimated Concrete Demand (m³)]]*Market_Data[[#This Row],[Avg Price per (₹ / m³)]]/10000000)</f>
        <v>1.3112999999999999</v>
      </c>
      <c r="O1077" s="97" t="str">
        <f>IF(Market_Data[[#This Row],[Estimated Concrete Demand (m³)]]="","",
IF(Market_Data[[#This Row],[Estimated Concrete Demand (m³)]]&lt;10000,"Small",
IF(Market_Data[[#This Row],[Estimated Concrete Demand (m³)]]&lt;25000,"Medium",
IF(Market_Data[[#This Row],[Estimated Concrete Demand (m³)]]&lt;100000,"Large","Mega"))))</f>
        <v>Small</v>
      </c>
      <c r="P1077" s="287" t="str">
        <f t="shared" si="18"/>
        <v>GujRERA</v>
      </c>
    </row>
    <row r="1078" spans="1:16">
      <c r="A1078" s="129" t="str">
        <f>_xlfn.XLOOKUP(B1078,$S$9:$S$14,$T$9:$T$14)&amp;"-"&amp;
IF(E1078="Residential/Group Housing","RES",
IF(E1078="Commercial","COM",
IF(E1078="Mixed Development","MIX",
IF(E1078="Plotted Development","PLT","OTH"))))
&amp;"-"&amp;TEXT(COUNTIFS($B$9:B1078,B1078,$E$9:E1078,E1078),"0000")</f>
        <v>SUR-RES-0278</v>
      </c>
      <c r="B1078" s="322" t="s">
        <v>34</v>
      </c>
      <c r="C1078" s="322" t="s">
        <v>34</v>
      </c>
      <c r="D1078" s="323" t="s">
        <v>1268</v>
      </c>
      <c r="E1078" s="132" t="s">
        <v>24</v>
      </c>
      <c r="F1078" s="97" t="str">
        <f ca="1">IF(OR(Market_Data[[#This Row],[Start Date]]="",Market_Data[[#This Row],[Completion Date]]=""),"Needs Validation",IF(Market_Data[[#This Row],[Start Date]]&gt;TODAY(),"Planned",IF(Market_Data[[#This Row],[Completion Date]]&lt;TODAY(),"Completed","Ongoing")))</f>
        <v>Completed</v>
      </c>
      <c r="G1078" s="324">
        <v>43822</v>
      </c>
      <c r="H1078" s="324">
        <v>45807</v>
      </c>
      <c r="I1078" s="325">
        <v>32600</v>
      </c>
      <c r="J107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78" s="133">
        <f>_xlfn.XLOOKUP(Market_Data[[#This Row],[Project Type]],tbl_assumptions_market[Project Category (RERA)],tbl_assumptions_market[Concrete Intensity
(m³ / sq m BUA)],"",0)</f>
        <v>0.45</v>
      </c>
      <c r="L1078" s="134">
        <f>ROUND(Market_Data[[#This Row],[Estimated Built Up Area (sq m)]]*Market_Data[[#This Row],[Concrete Intensity
(m³ / sq m)]],0)</f>
        <v>14670</v>
      </c>
      <c r="M1078" s="135">
        <f>_xlfn.XLOOKUP(Market_Data[[#This Row],[District]],tbl_district_price[District],tbl_district_price[Standard Price
(INR/m³)],"",0)</f>
        <v>6200</v>
      </c>
      <c r="N1078" s="364">
        <f>IF(OR(Market_Data[[#This Row],[Estimated Concrete Demand (m³)]]="",Market_Data[[#This Row],[Avg Price per (₹ / m³)]]=""),"",Market_Data[[#This Row],[Estimated Concrete Demand (m³)]]*Market_Data[[#This Row],[Avg Price per (₹ / m³)]]/10000000)</f>
        <v>9.0953999999999997</v>
      </c>
      <c r="O1078" s="97" t="str">
        <f>IF(Market_Data[[#This Row],[Estimated Concrete Demand (m³)]]="","",
IF(Market_Data[[#This Row],[Estimated Concrete Demand (m³)]]&lt;10000,"Small",
IF(Market_Data[[#This Row],[Estimated Concrete Demand (m³)]]&lt;25000,"Medium",
IF(Market_Data[[#This Row],[Estimated Concrete Demand (m³)]]&lt;100000,"Large","Mega"))))</f>
        <v>Medium</v>
      </c>
      <c r="P1078" s="287" t="str">
        <f t="shared" si="18"/>
        <v>GujRERA</v>
      </c>
    </row>
    <row r="1079" spans="1:16">
      <c r="A1079" s="129" t="str">
        <f>_xlfn.XLOOKUP(B1079,$S$9:$S$14,$T$9:$T$14)&amp;"-"&amp;
IF(E1079="Residential/Group Housing","RES",
IF(E1079="Commercial","COM",
IF(E1079="Mixed Development","MIX",
IF(E1079="Plotted Development","PLT","OTH"))))
&amp;"-"&amp;TEXT(COUNTIFS($B$9:B1079,B1079,$E$9:E1079,E1079),"0000")</f>
        <v>SUR-RES-0279</v>
      </c>
      <c r="B1079" s="322" t="s">
        <v>34</v>
      </c>
      <c r="C1079" s="322" t="s">
        <v>34</v>
      </c>
      <c r="D1079" s="323" t="s">
        <v>1269</v>
      </c>
      <c r="E1079" s="132" t="s">
        <v>24</v>
      </c>
      <c r="F1079" s="97" t="str">
        <f ca="1">IF(OR(Market_Data[[#This Row],[Start Date]]="",Market_Data[[#This Row],[Completion Date]]=""),"Needs Validation",IF(Market_Data[[#This Row],[Start Date]]&gt;TODAY(),"Planned",IF(Market_Data[[#This Row],[Completion Date]]&lt;TODAY(),"Completed","Ongoing")))</f>
        <v>Completed</v>
      </c>
      <c r="G1079" s="324">
        <v>44417</v>
      </c>
      <c r="H1079" s="324">
        <v>46242</v>
      </c>
      <c r="I1079" s="325">
        <v>46100</v>
      </c>
      <c r="J107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79" s="133">
        <f>_xlfn.XLOOKUP(Market_Data[[#This Row],[Project Type]],tbl_assumptions_market[Project Category (RERA)],tbl_assumptions_market[Concrete Intensity
(m³ / sq m BUA)],"",0)</f>
        <v>0.45</v>
      </c>
      <c r="L1079" s="134">
        <f>ROUND(Market_Data[[#This Row],[Estimated Built Up Area (sq m)]]*Market_Data[[#This Row],[Concrete Intensity
(m³ / sq m)]],0)</f>
        <v>20745</v>
      </c>
      <c r="M1079" s="135">
        <f>_xlfn.XLOOKUP(Market_Data[[#This Row],[District]],tbl_district_price[District],tbl_district_price[Standard Price
(INR/m³)],"",0)</f>
        <v>6200</v>
      </c>
      <c r="N1079" s="364">
        <f>IF(OR(Market_Data[[#This Row],[Estimated Concrete Demand (m³)]]="",Market_Data[[#This Row],[Avg Price per (₹ / m³)]]=""),"",Market_Data[[#This Row],[Estimated Concrete Demand (m³)]]*Market_Data[[#This Row],[Avg Price per (₹ / m³)]]/10000000)</f>
        <v>12.8619</v>
      </c>
      <c r="O1079" s="97" t="str">
        <f>IF(Market_Data[[#This Row],[Estimated Concrete Demand (m³)]]="","",
IF(Market_Data[[#This Row],[Estimated Concrete Demand (m³)]]&lt;10000,"Small",
IF(Market_Data[[#This Row],[Estimated Concrete Demand (m³)]]&lt;25000,"Medium",
IF(Market_Data[[#This Row],[Estimated Concrete Demand (m³)]]&lt;100000,"Large","Mega"))))</f>
        <v>Medium</v>
      </c>
      <c r="P1079" s="287" t="str">
        <f t="shared" si="18"/>
        <v>GujRERA</v>
      </c>
    </row>
    <row r="1080" spans="1:16">
      <c r="A1080" s="129" t="str">
        <f>_xlfn.XLOOKUP(B1080,$S$9:$S$14,$T$9:$T$14)&amp;"-"&amp;
IF(E1080="Residential/Group Housing","RES",
IF(E1080="Commercial","COM",
IF(E1080="Mixed Development","MIX",
IF(E1080="Plotted Development","PLT","OTH"))))
&amp;"-"&amp;TEXT(COUNTIFS($B$9:B1080,B1080,$E$9:E1080,E1080),"0000")</f>
        <v>SUR-RES-0280</v>
      </c>
      <c r="B1080" s="322" t="s">
        <v>34</v>
      </c>
      <c r="C1080" s="322" t="s">
        <v>34</v>
      </c>
      <c r="D1080" s="323" t="s">
        <v>1270</v>
      </c>
      <c r="E1080" s="132" t="s">
        <v>24</v>
      </c>
      <c r="F1080" s="97" t="str">
        <f ca="1">IF(OR(Market_Data[[#This Row],[Start Date]]="",Market_Data[[#This Row],[Completion Date]]=""),"Needs Validation",IF(Market_Data[[#This Row],[Start Date]]&gt;TODAY(),"Planned",IF(Market_Data[[#This Row],[Completion Date]]&lt;TODAY(),"Completed","Ongoing")))</f>
        <v>Ongoing</v>
      </c>
      <c r="G1080" s="324">
        <v>44137</v>
      </c>
      <c r="H1080" s="324">
        <v>47200</v>
      </c>
      <c r="I1080" s="325">
        <v>52400</v>
      </c>
      <c r="J108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80" s="133">
        <f>_xlfn.XLOOKUP(Market_Data[[#This Row],[Project Type]],tbl_assumptions_market[Project Category (RERA)],tbl_assumptions_market[Concrete Intensity
(m³ / sq m BUA)],"",0)</f>
        <v>0.45</v>
      </c>
      <c r="L1080" s="134">
        <f>ROUND(Market_Data[[#This Row],[Estimated Built Up Area (sq m)]]*Market_Data[[#This Row],[Concrete Intensity
(m³ / sq m)]],0)</f>
        <v>23580</v>
      </c>
      <c r="M1080" s="135">
        <f>_xlfn.XLOOKUP(Market_Data[[#This Row],[District]],tbl_district_price[District],tbl_district_price[Standard Price
(INR/m³)],"",0)</f>
        <v>6200</v>
      </c>
      <c r="N1080" s="364">
        <f>IF(OR(Market_Data[[#This Row],[Estimated Concrete Demand (m³)]]="",Market_Data[[#This Row],[Avg Price per (₹ / m³)]]=""),"",Market_Data[[#This Row],[Estimated Concrete Demand (m³)]]*Market_Data[[#This Row],[Avg Price per (₹ / m³)]]/10000000)</f>
        <v>14.6196</v>
      </c>
      <c r="O1080" s="97" t="str">
        <f>IF(Market_Data[[#This Row],[Estimated Concrete Demand (m³)]]="","",
IF(Market_Data[[#This Row],[Estimated Concrete Demand (m³)]]&lt;10000,"Small",
IF(Market_Data[[#This Row],[Estimated Concrete Demand (m³)]]&lt;25000,"Medium",
IF(Market_Data[[#This Row],[Estimated Concrete Demand (m³)]]&lt;100000,"Large","Mega"))))</f>
        <v>Medium</v>
      </c>
      <c r="P1080" s="287" t="str">
        <f t="shared" si="18"/>
        <v>GujRERA</v>
      </c>
    </row>
    <row r="1081" spans="1:16">
      <c r="A1081" s="129" t="str">
        <f>_xlfn.XLOOKUP(B1081,$S$9:$S$14,$T$9:$T$14)&amp;"-"&amp;
IF(E1081="Residential/Group Housing","RES",
IF(E1081="Commercial","COM",
IF(E1081="Mixed Development","MIX",
IF(E1081="Plotted Development","PLT","OTH"))))
&amp;"-"&amp;TEXT(COUNTIFS($B$9:B1081,B1081,$E$9:E1081,E1081),"0000")</f>
        <v>SUR-MIX-0141</v>
      </c>
      <c r="B1081" s="322" t="s">
        <v>34</v>
      </c>
      <c r="C1081" s="322" t="s">
        <v>34</v>
      </c>
      <c r="D1081" s="323" t="s">
        <v>1271</v>
      </c>
      <c r="E1081" s="132" t="s">
        <v>25</v>
      </c>
      <c r="F1081" s="97" t="str">
        <f ca="1">IF(OR(Market_Data[[#This Row],[Start Date]]="",Market_Data[[#This Row],[Completion Date]]=""),"Needs Validation",IF(Market_Data[[#This Row],[Start Date]]&gt;TODAY(),"Planned",IF(Market_Data[[#This Row],[Completion Date]]&lt;TODAY(),"Completed","Ongoing")))</f>
        <v>Ongoing</v>
      </c>
      <c r="G1081" s="324">
        <v>44469</v>
      </c>
      <c r="H1081" s="324">
        <v>46477</v>
      </c>
      <c r="I1081" s="325">
        <v>19600</v>
      </c>
      <c r="J108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81" s="133">
        <f>_xlfn.XLOOKUP(Market_Data[[#This Row],[Project Type]],tbl_assumptions_market[Project Category (RERA)],tbl_assumptions_market[Concrete Intensity
(m³ / sq m BUA)],"",0)</f>
        <v>0.42</v>
      </c>
      <c r="L1081" s="134">
        <f>ROUND(Market_Data[[#This Row],[Estimated Built Up Area (sq m)]]*Market_Data[[#This Row],[Concrete Intensity
(m³ / sq m)]],0)</f>
        <v>8232</v>
      </c>
      <c r="M1081" s="135">
        <f>_xlfn.XLOOKUP(Market_Data[[#This Row],[District]],tbl_district_price[District],tbl_district_price[Standard Price
(INR/m³)],"",0)</f>
        <v>6200</v>
      </c>
      <c r="N1081" s="364">
        <f>IF(OR(Market_Data[[#This Row],[Estimated Concrete Demand (m³)]]="",Market_Data[[#This Row],[Avg Price per (₹ / m³)]]=""),"",Market_Data[[#This Row],[Estimated Concrete Demand (m³)]]*Market_Data[[#This Row],[Avg Price per (₹ / m³)]]/10000000)</f>
        <v>5.1038399999999999</v>
      </c>
      <c r="O1081" s="97" t="str">
        <f>IF(Market_Data[[#This Row],[Estimated Concrete Demand (m³)]]="","",
IF(Market_Data[[#This Row],[Estimated Concrete Demand (m³)]]&lt;10000,"Small",
IF(Market_Data[[#This Row],[Estimated Concrete Demand (m³)]]&lt;25000,"Medium",
IF(Market_Data[[#This Row],[Estimated Concrete Demand (m³)]]&lt;100000,"Large","Mega"))))</f>
        <v>Small</v>
      </c>
      <c r="P1081" s="287" t="str">
        <f t="shared" si="18"/>
        <v>GujRERA</v>
      </c>
    </row>
    <row r="1082" spans="1:16">
      <c r="A1082" s="129" t="str">
        <f>_xlfn.XLOOKUP(B1082,$S$9:$S$14,$T$9:$T$14)&amp;"-"&amp;
IF(E1082="Residential/Group Housing","RES",
IF(E1082="Commercial","COM",
IF(E1082="Mixed Development","MIX",
IF(E1082="Plotted Development","PLT","OTH"))))
&amp;"-"&amp;TEXT(COUNTIFS($B$9:B1082,B1082,$E$9:E1082,E1082),"0000")</f>
        <v>SUR-RES-0281</v>
      </c>
      <c r="B1082" s="322" t="s">
        <v>34</v>
      </c>
      <c r="C1082" s="322" t="s">
        <v>34</v>
      </c>
      <c r="D1082" s="323" t="s">
        <v>1272</v>
      </c>
      <c r="E1082" s="132" t="s">
        <v>24</v>
      </c>
      <c r="F1082" s="97" t="str">
        <f ca="1">IF(OR(Market_Data[[#This Row],[Start Date]]="",Market_Data[[#This Row],[Completion Date]]=""),"Needs Validation",IF(Market_Data[[#This Row],[Start Date]]&gt;TODAY(),"Planned",IF(Market_Data[[#This Row],[Completion Date]]&lt;TODAY(),"Completed","Ongoing")))</f>
        <v>Ongoing</v>
      </c>
      <c r="G1082" s="324">
        <v>45917</v>
      </c>
      <c r="H1082" s="324">
        <v>47848</v>
      </c>
      <c r="I1082" s="325">
        <v>46300</v>
      </c>
      <c r="J108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82" s="133">
        <f>_xlfn.XLOOKUP(Market_Data[[#This Row],[Project Type]],tbl_assumptions_market[Project Category (RERA)],tbl_assumptions_market[Concrete Intensity
(m³ / sq m BUA)],"",0)</f>
        <v>0.45</v>
      </c>
      <c r="L1082" s="134">
        <f>ROUND(Market_Data[[#This Row],[Estimated Built Up Area (sq m)]]*Market_Data[[#This Row],[Concrete Intensity
(m³ / sq m)]],0)</f>
        <v>20835</v>
      </c>
      <c r="M1082" s="135">
        <f>_xlfn.XLOOKUP(Market_Data[[#This Row],[District]],tbl_district_price[District],tbl_district_price[Standard Price
(INR/m³)],"",0)</f>
        <v>6200</v>
      </c>
      <c r="N1082" s="364">
        <f>IF(OR(Market_Data[[#This Row],[Estimated Concrete Demand (m³)]]="",Market_Data[[#This Row],[Avg Price per (₹ / m³)]]=""),"",Market_Data[[#This Row],[Estimated Concrete Demand (m³)]]*Market_Data[[#This Row],[Avg Price per (₹ / m³)]]/10000000)</f>
        <v>12.9177</v>
      </c>
      <c r="O1082" s="97" t="str">
        <f>IF(Market_Data[[#This Row],[Estimated Concrete Demand (m³)]]="","",
IF(Market_Data[[#This Row],[Estimated Concrete Demand (m³)]]&lt;10000,"Small",
IF(Market_Data[[#This Row],[Estimated Concrete Demand (m³)]]&lt;25000,"Medium",
IF(Market_Data[[#This Row],[Estimated Concrete Demand (m³)]]&lt;100000,"Large","Mega"))))</f>
        <v>Medium</v>
      </c>
      <c r="P1082" s="287" t="str">
        <f t="shared" si="18"/>
        <v>GujRERA</v>
      </c>
    </row>
    <row r="1083" spans="1:16">
      <c r="A1083" s="129" t="str">
        <f>_xlfn.XLOOKUP(B1083,$S$9:$S$14,$T$9:$T$14)&amp;"-"&amp;
IF(E1083="Residential/Group Housing","RES",
IF(E1083="Commercial","COM",
IF(E1083="Mixed Development","MIX",
IF(E1083="Plotted Development","PLT","OTH"))))
&amp;"-"&amp;TEXT(COUNTIFS($B$9:B1083,B1083,$E$9:E1083,E1083),"0000")</f>
        <v>SUR-RES-0282</v>
      </c>
      <c r="B1083" s="322" t="s">
        <v>34</v>
      </c>
      <c r="C1083" s="322" t="s">
        <v>34</v>
      </c>
      <c r="D1083" s="323" t="s">
        <v>1273</v>
      </c>
      <c r="E1083" s="132" t="s">
        <v>24</v>
      </c>
      <c r="F1083" s="97" t="str">
        <f ca="1">IF(OR(Market_Data[[#This Row],[Start Date]]="",Market_Data[[#This Row],[Completion Date]]=""),"Needs Validation",IF(Market_Data[[#This Row],[Start Date]]&gt;TODAY(),"Planned",IF(Market_Data[[#This Row],[Completion Date]]&lt;TODAY(),"Completed","Ongoing")))</f>
        <v>Ongoing</v>
      </c>
      <c r="G1083" s="324">
        <v>44774</v>
      </c>
      <c r="H1083" s="324">
        <v>46387</v>
      </c>
      <c r="I1083" s="325">
        <v>9100</v>
      </c>
      <c r="J108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83" s="133">
        <f>_xlfn.XLOOKUP(Market_Data[[#This Row],[Project Type]],tbl_assumptions_market[Project Category (RERA)],tbl_assumptions_market[Concrete Intensity
(m³ / sq m BUA)],"",0)</f>
        <v>0.45</v>
      </c>
      <c r="L1083" s="134">
        <f>ROUND(Market_Data[[#This Row],[Estimated Built Up Area (sq m)]]*Market_Data[[#This Row],[Concrete Intensity
(m³ / sq m)]],0)</f>
        <v>4095</v>
      </c>
      <c r="M1083" s="135">
        <f>_xlfn.XLOOKUP(Market_Data[[#This Row],[District]],tbl_district_price[District],tbl_district_price[Standard Price
(INR/m³)],"",0)</f>
        <v>6200</v>
      </c>
      <c r="N1083" s="364">
        <f>IF(OR(Market_Data[[#This Row],[Estimated Concrete Demand (m³)]]="",Market_Data[[#This Row],[Avg Price per (₹ / m³)]]=""),"",Market_Data[[#This Row],[Estimated Concrete Demand (m³)]]*Market_Data[[#This Row],[Avg Price per (₹ / m³)]]/10000000)</f>
        <v>2.5388999999999999</v>
      </c>
      <c r="O1083" s="97" t="str">
        <f>IF(Market_Data[[#This Row],[Estimated Concrete Demand (m³)]]="","",
IF(Market_Data[[#This Row],[Estimated Concrete Demand (m³)]]&lt;10000,"Small",
IF(Market_Data[[#This Row],[Estimated Concrete Demand (m³)]]&lt;25000,"Medium",
IF(Market_Data[[#This Row],[Estimated Concrete Demand (m³)]]&lt;100000,"Large","Mega"))))</f>
        <v>Small</v>
      </c>
      <c r="P1083" s="287" t="str">
        <f t="shared" si="18"/>
        <v>GujRERA</v>
      </c>
    </row>
    <row r="1084" spans="1:16">
      <c r="A1084" s="129" t="str">
        <f>_xlfn.XLOOKUP(B1084,$S$9:$S$14,$T$9:$T$14)&amp;"-"&amp;
IF(E1084="Residential/Group Housing","RES",
IF(E1084="Commercial","COM",
IF(E1084="Mixed Development","MIX",
IF(E1084="Plotted Development","PLT","OTH"))))
&amp;"-"&amp;TEXT(COUNTIFS($B$9:B1084,B1084,$E$9:E1084,E1084),"0000")</f>
        <v>SUR-COM-0148</v>
      </c>
      <c r="B1084" s="322" t="s">
        <v>34</v>
      </c>
      <c r="C1084" s="322" t="s">
        <v>34</v>
      </c>
      <c r="D1084" s="323" t="s">
        <v>1274</v>
      </c>
      <c r="E1084" s="132" t="s">
        <v>23</v>
      </c>
      <c r="F1084" s="97" t="str">
        <f ca="1">IF(OR(Market_Data[[#This Row],[Start Date]]="",Market_Data[[#This Row],[Completion Date]]=""),"Needs Validation",IF(Market_Data[[#This Row],[Start Date]]&gt;TODAY(),"Planned",IF(Market_Data[[#This Row],[Completion Date]]&lt;TODAY(),"Completed","Ongoing")))</f>
        <v>Ongoing</v>
      </c>
      <c r="G1084" s="324">
        <v>43903</v>
      </c>
      <c r="H1084" s="324">
        <v>46387</v>
      </c>
      <c r="I1084" s="325">
        <v>9500</v>
      </c>
      <c r="J108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84" s="133">
        <f>_xlfn.XLOOKUP(Market_Data[[#This Row],[Project Type]],tbl_assumptions_market[Project Category (RERA)],tbl_assumptions_market[Concrete Intensity
(m³ / sq m BUA)],"",0)</f>
        <v>0.5</v>
      </c>
      <c r="L1084" s="134">
        <f>ROUND(Market_Data[[#This Row],[Estimated Built Up Area (sq m)]]*Market_Data[[#This Row],[Concrete Intensity
(m³ / sq m)]],0)</f>
        <v>4750</v>
      </c>
      <c r="M1084" s="135">
        <f>_xlfn.XLOOKUP(Market_Data[[#This Row],[District]],tbl_district_price[District],tbl_district_price[Standard Price
(INR/m³)],"",0)</f>
        <v>6200</v>
      </c>
      <c r="N1084" s="364">
        <f>IF(OR(Market_Data[[#This Row],[Estimated Concrete Demand (m³)]]="",Market_Data[[#This Row],[Avg Price per (₹ / m³)]]=""),"",Market_Data[[#This Row],[Estimated Concrete Demand (m³)]]*Market_Data[[#This Row],[Avg Price per (₹ / m³)]]/10000000)</f>
        <v>2.9449999999999998</v>
      </c>
      <c r="O1084" s="97" t="str">
        <f>IF(Market_Data[[#This Row],[Estimated Concrete Demand (m³)]]="","",
IF(Market_Data[[#This Row],[Estimated Concrete Demand (m³)]]&lt;10000,"Small",
IF(Market_Data[[#This Row],[Estimated Concrete Demand (m³)]]&lt;25000,"Medium",
IF(Market_Data[[#This Row],[Estimated Concrete Demand (m³)]]&lt;100000,"Large","Mega"))))</f>
        <v>Small</v>
      </c>
      <c r="P1084" s="287" t="str">
        <f t="shared" si="18"/>
        <v>GujRERA</v>
      </c>
    </row>
    <row r="1085" spans="1:16">
      <c r="A1085" s="129" t="str">
        <f>_xlfn.XLOOKUP(B1085,$S$9:$S$14,$T$9:$T$14)&amp;"-"&amp;
IF(E1085="Residential/Group Housing","RES",
IF(E1085="Commercial","COM",
IF(E1085="Mixed Development","MIX",
IF(E1085="Plotted Development","PLT","OTH"))))
&amp;"-"&amp;TEXT(COUNTIFS($B$9:B1085,B1085,$E$9:E1085,E1085),"0000")</f>
        <v>SUR-PLT-0196</v>
      </c>
      <c r="B1085" s="322" t="s">
        <v>34</v>
      </c>
      <c r="C1085" s="322" t="s">
        <v>34</v>
      </c>
      <c r="D1085" s="323" t="s">
        <v>1275</v>
      </c>
      <c r="E1085" s="132" t="s">
        <v>26</v>
      </c>
      <c r="F1085" s="97" t="str">
        <f ca="1">IF(OR(Market_Data[[#This Row],[Start Date]]="",Market_Data[[#This Row],[Completion Date]]=""),"Needs Validation",IF(Market_Data[[#This Row],[Start Date]]&gt;TODAY(),"Planned",IF(Market_Data[[#This Row],[Completion Date]]&lt;TODAY(),"Completed","Ongoing")))</f>
        <v>Ongoing</v>
      </c>
      <c r="G1085" s="324">
        <v>46023</v>
      </c>
      <c r="H1085" s="324">
        <v>47452</v>
      </c>
      <c r="I1085" s="325">
        <v>23500</v>
      </c>
      <c r="J108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85" s="133">
        <f>_xlfn.XLOOKUP(Market_Data[[#This Row],[Project Type]],tbl_assumptions_market[Project Category (RERA)],tbl_assumptions_market[Concrete Intensity
(m³ / sq m BUA)],"",0)</f>
        <v>0.18</v>
      </c>
      <c r="L1085" s="134">
        <f>ROUND(Market_Data[[#This Row],[Estimated Built Up Area (sq m)]]*Market_Data[[#This Row],[Concrete Intensity
(m³ / sq m)]],0)</f>
        <v>4230</v>
      </c>
      <c r="M1085" s="135">
        <f>_xlfn.XLOOKUP(Market_Data[[#This Row],[District]],tbl_district_price[District],tbl_district_price[Standard Price
(INR/m³)],"",0)</f>
        <v>6200</v>
      </c>
      <c r="N1085" s="364">
        <f>IF(OR(Market_Data[[#This Row],[Estimated Concrete Demand (m³)]]="",Market_Data[[#This Row],[Avg Price per (₹ / m³)]]=""),"",Market_Data[[#This Row],[Estimated Concrete Demand (m³)]]*Market_Data[[#This Row],[Avg Price per (₹ / m³)]]/10000000)</f>
        <v>2.6225999999999998</v>
      </c>
      <c r="O1085" s="97" t="str">
        <f>IF(Market_Data[[#This Row],[Estimated Concrete Demand (m³)]]="","",
IF(Market_Data[[#This Row],[Estimated Concrete Demand (m³)]]&lt;10000,"Small",
IF(Market_Data[[#This Row],[Estimated Concrete Demand (m³)]]&lt;25000,"Medium",
IF(Market_Data[[#This Row],[Estimated Concrete Demand (m³)]]&lt;100000,"Large","Mega"))))</f>
        <v>Small</v>
      </c>
      <c r="P1085" s="287" t="str">
        <f t="shared" si="18"/>
        <v>GujRERA</v>
      </c>
    </row>
    <row r="1086" spans="1:16">
      <c r="A1086" s="129" t="str">
        <f>_xlfn.XLOOKUP(B1086,$S$9:$S$14,$T$9:$T$14)&amp;"-"&amp;
IF(E1086="Residential/Group Housing","RES",
IF(E1086="Commercial","COM",
IF(E1086="Mixed Development","MIX",
IF(E1086="Plotted Development","PLT","OTH"))))
&amp;"-"&amp;TEXT(COUNTIFS($B$9:B1086,B1086,$E$9:E1086,E1086),"0000")</f>
        <v>SUR-RES-0283</v>
      </c>
      <c r="B1086" s="322" t="s">
        <v>34</v>
      </c>
      <c r="C1086" s="322" t="s">
        <v>34</v>
      </c>
      <c r="D1086" s="323" t="s">
        <v>1276</v>
      </c>
      <c r="E1086" s="132" t="s">
        <v>24</v>
      </c>
      <c r="F1086" s="97" t="str">
        <f ca="1">IF(OR(Market_Data[[#This Row],[Start Date]]="",Market_Data[[#This Row],[Completion Date]]=""),"Needs Validation",IF(Market_Data[[#This Row],[Start Date]]&gt;TODAY(),"Planned",IF(Market_Data[[#This Row],[Completion Date]]&lt;TODAY(),"Completed","Ongoing")))</f>
        <v>Ongoing</v>
      </c>
      <c r="G1086" s="324">
        <v>45784</v>
      </c>
      <c r="H1086" s="324">
        <v>47973</v>
      </c>
      <c r="I1086" s="325">
        <v>46300</v>
      </c>
      <c r="J108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86" s="133">
        <f>_xlfn.XLOOKUP(Market_Data[[#This Row],[Project Type]],tbl_assumptions_market[Project Category (RERA)],tbl_assumptions_market[Concrete Intensity
(m³ / sq m BUA)],"",0)</f>
        <v>0.45</v>
      </c>
      <c r="L1086" s="134">
        <f>ROUND(Market_Data[[#This Row],[Estimated Built Up Area (sq m)]]*Market_Data[[#This Row],[Concrete Intensity
(m³ / sq m)]],0)</f>
        <v>20835</v>
      </c>
      <c r="M1086" s="135">
        <f>_xlfn.XLOOKUP(Market_Data[[#This Row],[District]],tbl_district_price[District],tbl_district_price[Standard Price
(INR/m³)],"",0)</f>
        <v>6200</v>
      </c>
      <c r="N1086" s="364">
        <f>IF(OR(Market_Data[[#This Row],[Estimated Concrete Demand (m³)]]="",Market_Data[[#This Row],[Avg Price per (₹ / m³)]]=""),"",Market_Data[[#This Row],[Estimated Concrete Demand (m³)]]*Market_Data[[#This Row],[Avg Price per (₹ / m³)]]/10000000)</f>
        <v>12.9177</v>
      </c>
      <c r="O1086" s="97" t="str">
        <f>IF(Market_Data[[#This Row],[Estimated Concrete Demand (m³)]]="","",
IF(Market_Data[[#This Row],[Estimated Concrete Demand (m³)]]&lt;10000,"Small",
IF(Market_Data[[#This Row],[Estimated Concrete Demand (m³)]]&lt;25000,"Medium",
IF(Market_Data[[#This Row],[Estimated Concrete Demand (m³)]]&lt;100000,"Large","Mega"))))</f>
        <v>Medium</v>
      </c>
      <c r="P1086" s="287" t="str">
        <f t="shared" si="18"/>
        <v>GujRERA</v>
      </c>
    </row>
    <row r="1087" spans="1:16">
      <c r="A1087" s="129" t="str">
        <f>_xlfn.XLOOKUP(B1087,$S$9:$S$14,$T$9:$T$14)&amp;"-"&amp;
IF(E1087="Residential/Group Housing","RES",
IF(E1087="Commercial","COM",
IF(E1087="Mixed Development","MIX",
IF(E1087="Plotted Development","PLT","OTH"))))
&amp;"-"&amp;TEXT(COUNTIFS($B$9:B1087,B1087,$E$9:E1087,E1087),"0000")</f>
        <v>SUR-RES-0284</v>
      </c>
      <c r="B1087" s="322" t="s">
        <v>34</v>
      </c>
      <c r="C1087" s="322" t="s">
        <v>34</v>
      </c>
      <c r="D1087" s="323" t="s">
        <v>1277</v>
      </c>
      <c r="E1087" s="132" t="s">
        <v>24</v>
      </c>
      <c r="F1087" s="97" t="str">
        <f ca="1">IF(OR(Market_Data[[#This Row],[Start Date]]="",Market_Data[[#This Row],[Completion Date]]=""),"Needs Validation",IF(Market_Data[[#This Row],[Start Date]]&gt;TODAY(),"Planned",IF(Market_Data[[#This Row],[Completion Date]]&lt;TODAY(),"Completed","Ongoing")))</f>
        <v>Completed</v>
      </c>
      <c r="G1087" s="324">
        <v>41527</v>
      </c>
      <c r="H1087" s="324">
        <v>44195</v>
      </c>
      <c r="I1087" s="325">
        <v>8100</v>
      </c>
      <c r="J108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87" s="133">
        <f>_xlfn.XLOOKUP(Market_Data[[#This Row],[Project Type]],tbl_assumptions_market[Project Category (RERA)],tbl_assumptions_market[Concrete Intensity
(m³ / sq m BUA)],"",0)</f>
        <v>0.45</v>
      </c>
      <c r="L1087" s="134">
        <f>ROUND(Market_Data[[#This Row],[Estimated Built Up Area (sq m)]]*Market_Data[[#This Row],[Concrete Intensity
(m³ / sq m)]],0)</f>
        <v>3645</v>
      </c>
      <c r="M1087" s="135">
        <f>_xlfn.XLOOKUP(Market_Data[[#This Row],[District]],tbl_district_price[District],tbl_district_price[Standard Price
(INR/m³)],"",0)</f>
        <v>6200</v>
      </c>
      <c r="N1087" s="364">
        <f>IF(OR(Market_Data[[#This Row],[Estimated Concrete Demand (m³)]]="",Market_Data[[#This Row],[Avg Price per (₹ / m³)]]=""),"",Market_Data[[#This Row],[Estimated Concrete Demand (m³)]]*Market_Data[[#This Row],[Avg Price per (₹ / m³)]]/10000000)</f>
        <v>2.2599</v>
      </c>
      <c r="O1087" s="97" t="str">
        <f>IF(Market_Data[[#This Row],[Estimated Concrete Demand (m³)]]="","",
IF(Market_Data[[#This Row],[Estimated Concrete Demand (m³)]]&lt;10000,"Small",
IF(Market_Data[[#This Row],[Estimated Concrete Demand (m³)]]&lt;25000,"Medium",
IF(Market_Data[[#This Row],[Estimated Concrete Demand (m³)]]&lt;100000,"Large","Mega"))))</f>
        <v>Small</v>
      </c>
      <c r="P1087" s="287" t="str">
        <f t="shared" si="18"/>
        <v>GujRERA</v>
      </c>
    </row>
    <row r="1088" spans="1:16">
      <c r="A1088" s="129" t="str">
        <f>_xlfn.XLOOKUP(B1088,$S$9:$S$14,$T$9:$T$14)&amp;"-"&amp;
IF(E1088="Residential/Group Housing","RES",
IF(E1088="Commercial","COM",
IF(E1088="Mixed Development","MIX",
IF(E1088="Plotted Development","PLT","OTH"))))
&amp;"-"&amp;TEXT(COUNTIFS($B$9:B1088,B1088,$E$9:E1088,E1088),"0000")</f>
        <v>SUR-PLT-0197</v>
      </c>
      <c r="B1088" s="322" t="s">
        <v>34</v>
      </c>
      <c r="C1088" s="322" t="s">
        <v>34</v>
      </c>
      <c r="D1088" s="323" t="s">
        <v>1278</v>
      </c>
      <c r="E1088" s="132" t="s">
        <v>26</v>
      </c>
      <c r="F1088" s="97" t="str">
        <f ca="1">IF(OR(Market_Data[[#This Row],[Start Date]]="",Market_Data[[#This Row],[Completion Date]]=""),"Needs Validation",IF(Market_Data[[#This Row],[Start Date]]&gt;TODAY(),"Planned",IF(Market_Data[[#This Row],[Completion Date]]&lt;TODAY(),"Completed","Ongoing")))</f>
        <v>Ongoing</v>
      </c>
      <c r="G1088" s="324">
        <v>45748</v>
      </c>
      <c r="H1088" s="324">
        <v>46752</v>
      </c>
      <c r="I1088" s="325">
        <v>47500</v>
      </c>
      <c r="J108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088" s="133">
        <f>_xlfn.XLOOKUP(Market_Data[[#This Row],[Project Type]],tbl_assumptions_market[Project Category (RERA)],tbl_assumptions_market[Concrete Intensity
(m³ / sq m BUA)],"",0)</f>
        <v>0.18</v>
      </c>
      <c r="L1088" s="134">
        <f>ROUND(Market_Data[[#This Row],[Estimated Built Up Area (sq m)]]*Market_Data[[#This Row],[Concrete Intensity
(m³ / sq m)]],0)</f>
        <v>8550</v>
      </c>
      <c r="M1088" s="135">
        <f>_xlfn.XLOOKUP(Market_Data[[#This Row],[District]],tbl_district_price[District],tbl_district_price[Standard Price
(INR/m³)],"",0)</f>
        <v>6200</v>
      </c>
      <c r="N1088" s="364">
        <f>IF(OR(Market_Data[[#This Row],[Estimated Concrete Demand (m³)]]="",Market_Data[[#This Row],[Avg Price per (₹ / m³)]]=""),"",Market_Data[[#This Row],[Estimated Concrete Demand (m³)]]*Market_Data[[#This Row],[Avg Price per (₹ / m³)]]/10000000)</f>
        <v>5.3010000000000002</v>
      </c>
      <c r="O1088" s="97" t="str">
        <f>IF(Market_Data[[#This Row],[Estimated Concrete Demand (m³)]]="","",
IF(Market_Data[[#This Row],[Estimated Concrete Demand (m³)]]&lt;10000,"Small",
IF(Market_Data[[#This Row],[Estimated Concrete Demand (m³)]]&lt;25000,"Medium",
IF(Market_Data[[#This Row],[Estimated Concrete Demand (m³)]]&lt;100000,"Large","Mega"))))</f>
        <v>Small</v>
      </c>
      <c r="P1088" s="287" t="str">
        <f t="shared" si="18"/>
        <v>GujRERA</v>
      </c>
    </row>
    <row r="1089" spans="1:16">
      <c r="A1089" s="129" t="str">
        <f>_xlfn.XLOOKUP(B1089,$S$9:$S$14,$T$9:$T$14)&amp;"-"&amp;
IF(E1089="Residential/Group Housing","RES",
IF(E1089="Commercial","COM",
IF(E1089="Mixed Development","MIX",
IF(E1089="Plotted Development","PLT","OTH"))))
&amp;"-"&amp;TEXT(COUNTIFS($B$9:B1089,B1089,$E$9:E1089,E1089),"0000")</f>
        <v>SUR-RES-0285</v>
      </c>
      <c r="B1089" s="322" t="s">
        <v>34</v>
      </c>
      <c r="C1089" s="322" t="s">
        <v>34</v>
      </c>
      <c r="D1089" s="323" t="s">
        <v>1279</v>
      </c>
      <c r="E1089" s="132" t="s">
        <v>24</v>
      </c>
      <c r="F1089" s="97" t="str">
        <f ca="1">IF(OR(Market_Data[[#This Row],[Start Date]]="",Market_Data[[#This Row],[Completion Date]]=""),"Needs Validation",IF(Market_Data[[#This Row],[Start Date]]&gt;TODAY(),"Planned",IF(Market_Data[[#This Row],[Completion Date]]&lt;TODAY(),"Completed","Ongoing")))</f>
        <v>Completed</v>
      </c>
      <c r="G1089" s="324">
        <v>42194</v>
      </c>
      <c r="H1089" s="324">
        <v>44377</v>
      </c>
      <c r="I1089" s="325">
        <v>30700</v>
      </c>
      <c r="J108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89" s="133">
        <f>_xlfn.XLOOKUP(Market_Data[[#This Row],[Project Type]],tbl_assumptions_market[Project Category (RERA)],tbl_assumptions_market[Concrete Intensity
(m³ / sq m BUA)],"",0)</f>
        <v>0.45</v>
      </c>
      <c r="L1089" s="134">
        <f>ROUND(Market_Data[[#This Row],[Estimated Built Up Area (sq m)]]*Market_Data[[#This Row],[Concrete Intensity
(m³ / sq m)]],0)</f>
        <v>13815</v>
      </c>
      <c r="M1089" s="135">
        <f>_xlfn.XLOOKUP(Market_Data[[#This Row],[District]],tbl_district_price[District],tbl_district_price[Standard Price
(INR/m³)],"",0)</f>
        <v>6200</v>
      </c>
      <c r="N1089" s="364">
        <f>IF(OR(Market_Data[[#This Row],[Estimated Concrete Demand (m³)]]="",Market_Data[[#This Row],[Avg Price per (₹ / m³)]]=""),"",Market_Data[[#This Row],[Estimated Concrete Demand (m³)]]*Market_Data[[#This Row],[Avg Price per (₹ / m³)]]/10000000)</f>
        <v>8.5653000000000006</v>
      </c>
      <c r="O1089" s="97" t="str">
        <f>IF(Market_Data[[#This Row],[Estimated Concrete Demand (m³)]]="","",
IF(Market_Data[[#This Row],[Estimated Concrete Demand (m³)]]&lt;10000,"Small",
IF(Market_Data[[#This Row],[Estimated Concrete Demand (m³)]]&lt;25000,"Medium",
IF(Market_Data[[#This Row],[Estimated Concrete Demand (m³)]]&lt;100000,"Large","Mega"))))</f>
        <v>Medium</v>
      </c>
      <c r="P1089" s="287" t="str">
        <f t="shared" si="18"/>
        <v>GujRERA</v>
      </c>
    </row>
    <row r="1090" spans="1:16">
      <c r="A1090" s="129" t="str">
        <f>_xlfn.XLOOKUP(B1090,$S$9:$S$14,$T$9:$T$14)&amp;"-"&amp;
IF(E1090="Residential/Group Housing","RES",
IF(E1090="Commercial","COM",
IF(E1090="Mixed Development","MIX",
IF(E1090="Plotted Development","PLT","OTH"))))
&amp;"-"&amp;TEXT(COUNTIFS($B$9:B1090,B1090,$E$9:E1090,E1090),"0000")</f>
        <v>SUR-PLT-0198</v>
      </c>
      <c r="B1090" s="322" t="s">
        <v>34</v>
      </c>
      <c r="C1090" s="322" t="s">
        <v>34</v>
      </c>
      <c r="D1090" s="323" t="s">
        <v>1280</v>
      </c>
      <c r="E1090" s="132" t="s">
        <v>26</v>
      </c>
      <c r="F1090" s="97" t="str">
        <f ca="1">IF(OR(Market_Data[[#This Row],[Start Date]]="",Market_Data[[#This Row],[Completion Date]]=""),"Needs Validation",IF(Market_Data[[#This Row],[Start Date]]&gt;TODAY(),"Planned",IF(Market_Data[[#This Row],[Completion Date]]&lt;TODAY(),"Completed","Ongoing")))</f>
        <v>Ongoing</v>
      </c>
      <c r="G1090" s="324">
        <v>45804</v>
      </c>
      <c r="H1090" s="324">
        <v>46752</v>
      </c>
      <c r="I1090" s="325">
        <v>26300</v>
      </c>
      <c r="J109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90" s="133">
        <f>_xlfn.XLOOKUP(Market_Data[[#This Row],[Project Type]],tbl_assumptions_market[Project Category (RERA)],tbl_assumptions_market[Concrete Intensity
(m³ / sq m BUA)],"",0)</f>
        <v>0.18</v>
      </c>
      <c r="L1090" s="134">
        <f>ROUND(Market_Data[[#This Row],[Estimated Built Up Area (sq m)]]*Market_Data[[#This Row],[Concrete Intensity
(m³ / sq m)]],0)</f>
        <v>4734</v>
      </c>
      <c r="M1090" s="135">
        <f>_xlfn.XLOOKUP(Market_Data[[#This Row],[District]],tbl_district_price[District],tbl_district_price[Standard Price
(INR/m³)],"",0)</f>
        <v>6200</v>
      </c>
      <c r="N1090" s="364">
        <f>IF(OR(Market_Data[[#This Row],[Estimated Concrete Demand (m³)]]="",Market_Data[[#This Row],[Avg Price per (₹ / m³)]]=""),"",Market_Data[[#This Row],[Estimated Concrete Demand (m³)]]*Market_Data[[#This Row],[Avg Price per (₹ / m³)]]/10000000)</f>
        <v>2.9350800000000001</v>
      </c>
      <c r="O1090" s="97" t="str">
        <f>IF(Market_Data[[#This Row],[Estimated Concrete Demand (m³)]]="","",
IF(Market_Data[[#This Row],[Estimated Concrete Demand (m³)]]&lt;10000,"Small",
IF(Market_Data[[#This Row],[Estimated Concrete Demand (m³)]]&lt;25000,"Medium",
IF(Market_Data[[#This Row],[Estimated Concrete Demand (m³)]]&lt;100000,"Large","Mega"))))</f>
        <v>Small</v>
      </c>
      <c r="P1090" s="287" t="str">
        <f t="shared" si="18"/>
        <v>GujRERA</v>
      </c>
    </row>
    <row r="1091" spans="1:16">
      <c r="A1091" s="129" t="str">
        <f>_xlfn.XLOOKUP(B1091,$S$9:$S$14,$T$9:$T$14)&amp;"-"&amp;
IF(E1091="Residential/Group Housing","RES",
IF(E1091="Commercial","COM",
IF(E1091="Mixed Development","MIX",
IF(E1091="Plotted Development","PLT","OTH"))))
&amp;"-"&amp;TEXT(COUNTIFS($B$9:B1091,B1091,$E$9:E1091,E1091),"0000")</f>
        <v>SUR-PLT-0199</v>
      </c>
      <c r="B1091" s="322" t="s">
        <v>34</v>
      </c>
      <c r="C1091" s="322" t="s">
        <v>34</v>
      </c>
      <c r="D1091" s="323" t="s">
        <v>1281</v>
      </c>
      <c r="E1091" s="132" t="s">
        <v>26</v>
      </c>
      <c r="F1091" s="97" t="str">
        <f ca="1">IF(OR(Market_Data[[#This Row],[Start Date]]="",Market_Data[[#This Row],[Completion Date]]=""),"Needs Validation",IF(Market_Data[[#This Row],[Start Date]]&gt;TODAY(),"Planned",IF(Market_Data[[#This Row],[Completion Date]]&lt;TODAY(),"Completed","Ongoing")))</f>
        <v>Ongoing</v>
      </c>
      <c r="G1091" s="324">
        <v>45589</v>
      </c>
      <c r="H1091" s="324">
        <v>46387</v>
      </c>
      <c r="I1091" s="325">
        <v>32100</v>
      </c>
      <c r="J109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091" s="133">
        <f>_xlfn.XLOOKUP(Market_Data[[#This Row],[Project Type]],tbl_assumptions_market[Project Category (RERA)],tbl_assumptions_market[Concrete Intensity
(m³ / sq m BUA)],"",0)</f>
        <v>0.18</v>
      </c>
      <c r="L1091" s="134">
        <f>ROUND(Market_Data[[#This Row],[Estimated Built Up Area (sq m)]]*Market_Data[[#This Row],[Concrete Intensity
(m³ / sq m)]],0)</f>
        <v>5778</v>
      </c>
      <c r="M1091" s="135">
        <f>_xlfn.XLOOKUP(Market_Data[[#This Row],[District]],tbl_district_price[District],tbl_district_price[Standard Price
(INR/m³)],"",0)</f>
        <v>6200</v>
      </c>
      <c r="N1091" s="364">
        <f>IF(OR(Market_Data[[#This Row],[Estimated Concrete Demand (m³)]]="",Market_Data[[#This Row],[Avg Price per (₹ / m³)]]=""),"",Market_Data[[#This Row],[Estimated Concrete Demand (m³)]]*Market_Data[[#This Row],[Avg Price per (₹ / m³)]]/10000000)</f>
        <v>3.58236</v>
      </c>
      <c r="O1091" s="97" t="str">
        <f>IF(Market_Data[[#This Row],[Estimated Concrete Demand (m³)]]="","",
IF(Market_Data[[#This Row],[Estimated Concrete Demand (m³)]]&lt;10000,"Small",
IF(Market_Data[[#This Row],[Estimated Concrete Demand (m³)]]&lt;25000,"Medium",
IF(Market_Data[[#This Row],[Estimated Concrete Demand (m³)]]&lt;100000,"Large","Mega"))))</f>
        <v>Small</v>
      </c>
      <c r="P1091" s="287" t="str">
        <f t="shared" si="18"/>
        <v>GujRERA</v>
      </c>
    </row>
    <row r="1092" spans="1:16">
      <c r="A1092" s="129" t="str">
        <f>_xlfn.XLOOKUP(B1092,$S$9:$S$14,$T$9:$T$14)&amp;"-"&amp;
IF(E1092="Residential/Group Housing","RES",
IF(E1092="Commercial","COM",
IF(E1092="Mixed Development","MIX",
IF(E1092="Plotted Development","PLT","OTH"))))
&amp;"-"&amp;TEXT(COUNTIFS($B$9:B1092,B1092,$E$9:E1092,E1092),"0000")</f>
        <v>SUR-PLT-0200</v>
      </c>
      <c r="B1092" s="322" t="s">
        <v>34</v>
      </c>
      <c r="C1092" s="322" t="s">
        <v>34</v>
      </c>
      <c r="D1092" s="323" t="s">
        <v>1282</v>
      </c>
      <c r="E1092" s="132" t="s">
        <v>26</v>
      </c>
      <c r="F1092" s="97" t="str">
        <f ca="1">IF(OR(Market_Data[[#This Row],[Start Date]]="",Market_Data[[#This Row],[Completion Date]]=""),"Needs Validation",IF(Market_Data[[#This Row],[Start Date]]&gt;TODAY(),"Planned",IF(Market_Data[[#This Row],[Completion Date]]&lt;TODAY(),"Completed","Ongoing")))</f>
        <v>Completed</v>
      </c>
      <c r="G1092" s="324">
        <v>44915</v>
      </c>
      <c r="H1092" s="324">
        <v>46022</v>
      </c>
      <c r="I1092" s="325">
        <v>34300</v>
      </c>
      <c r="J109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092" s="133">
        <f>_xlfn.XLOOKUP(Market_Data[[#This Row],[Project Type]],tbl_assumptions_market[Project Category (RERA)],tbl_assumptions_market[Concrete Intensity
(m³ / sq m BUA)],"",0)</f>
        <v>0.18</v>
      </c>
      <c r="L1092" s="134">
        <f>ROUND(Market_Data[[#This Row],[Estimated Built Up Area (sq m)]]*Market_Data[[#This Row],[Concrete Intensity
(m³ / sq m)]],0)</f>
        <v>6174</v>
      </c>
      <c r="M1092" s="135">
        <f>_xlfn.XLOOKUP(Market_Data[[#This Row],[District]],tbl_district_price[District],tbl_district_price[Standard Price
(INR/m³)],"",0)</f>
        <v>6200</v>
      </c>
      <c r="N1092" s="364">
        <f>IF(OR(Market_Data[[#This Row],[Estimated Concrete Demand (m³)]]="",Market_Data[[#This Row],[Avg Price per (₹ / m³)]]=""),"",Market_Data[[#This Row],[Estimated Concrete Demand (m³)]]*Market_Data[[#This Row],[Avg Price per (₹ / m³)]]/10000000)</f>
        <v>3.8278799999999999</v>
      </c>
      <c r="O1092" s="97" t="str">
        <f>IF(Market_Data[[#This Row],[Estimated Concrete Demand (m³)]]="","",
IF(Market_Data[[#This Row],[Estimated Concrete Demand (m³)]]&lt;10000,"Small",
IF(Market_Data[[#This Row],[Estimated Concrete Demand (m³)]]&lt;25000,"Medium",
IF(Market_Data[[#This Row],[Estimated Concrete Demand (m³)]]&lt;100000,"Large","Mega"))))</f>
        <v>Small</v>
      </c>
      <c r="P1092" s="287" t="str">
        <f t="shared" si="18"/>
        <v>GujRERA</v>
      </c>
    </row>
    <row r="1093" spans="1:16">
      <c r="A1093" s="129" t="str">
        <f>_xlfn.XLOOKUP(B1093,$S$9:$S$14,$T$9:$T$14)&amp;"-"&amp;
IF(E1093="Residential/Group Housing","RES",
IF(E1093="Commercial","COM",
IF(E1093="Mixed Development","MIX",
IF(E1093="Plotted Development","PLT","OTH"))))
&amp;"-"&amp;TEXT(COUNTIFS($B$9:B1093,B1093,$E$9:E1093,E1093),"0000")</f>
        <v>SUR-PLT-0201</v>
      </c>
      <c r="B1093" s="322" t="s">
        <v>34</v>
      </c>
      <c r="C1093" s="322" t="s">
        <v>34</v>
      </c>
      <c r="D1093" s="323" t="s">
        <v>1283</v>
      </c>
      <c r="E1093" s="132" t="s">
        <v>26</v>
      </c>
      <c r="F1093" s="97" t="str">
        <f ca="1">IF(OR(Market_Data[[#This Row],[Start Date]]="",Market_Data[[#This Row],[Completion Date]]=""),"Needs Validation",IF(Market_Data[[#This Row],[Start Date]]&gt;TODAY(),"Planned",IF(Market_Data[[#This Row],[Completion Date]]&lt;TODAY(),"Completed","Ongoing")))</f>
        <v>Completed</v>
      </c>
      <c r="G1093" s="324">
        <v>44781</v>
      </c>
      <c r="H1093" s="324">
        <v>45382</v>
      </c>
      <c r="I1093" s="325">
        <v>45300</v>
      </c>
      <c r="J109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093" s="133">
        <f>_xlfn.XLOOKUP(Market_Data[[#This Row],[Project Type]],tbl_assumptions_market[Project Category (RERA)],tbl_assumptions_market[Concrete Intensity
(m³ / sq m BUA)],"",0)</f>
        <v>0.18</v>
      </c>
      <c r="L1093" s="134">
        <f>ROUND(Market_Data[[#This Row],[Estimated Built Up Area (sq m)]]*Market_Data[[#This Row],[Concrete Intensity
(m³ / sq m)]],0)</f>
        <v>8154</v>
      </c>
      <c r="M1093" s="135">
        <f>_xlfn.XLOOKUP(Market_Data[[#This Row],[District]],tbl_district_price[District],tbl_district_price[Standard Price
(INR/m³)],"",0)</f>
        <v>6200</v>
      </c>
      <c r="N1093" s="364">
        <f>IF(OR(Market_Data[[#This Row],[Estimated Concrete Demand (m³)]]="",Market_Data[[#This Row],[Avg Price per (₹ / m³)]]=""),"",Market_Data[[#This Row],[Estimated Concrete Demand (m³)]]*Market_Data[[#This Row],[Avg Price per (₹ / m³)]]/10000000)</f>
        <v>5.0554800000000002</v>
      </c>
      <c r="O1093" s="97" t="str">
        <f>IF(Market_Data[[#This Row],[Estimated Concrete Demand (m³)]]="","",
IF(Market_Data[[#This Row],[Estimated Concrete Demand (m³)]]&lt;10000,"Small",
IF(Market_Data[[#This Row],[Estimated Concrete Demand (m³)]]&lt;25000,"Medium",
IF(Market_Data[[#This Row],[Estimated Concrete Demand (m³)]]&lt;100000,"Large","Mega"))))</f>
        <v>Small</v>
      </c>
      <c r="P1093" s="287" t="str">
        <f t="shared" si="18"/>
        <v>GujRERA</v>
      </c>
    </row>
    <row r="1094" spans="1:16">
      <c r="A1094" s="129" t="str">
        <f>_xlfn.XLOOKUP(B1094,$S$9:$S$14,$T$9:$T$14)&amp;"-"&amp;
IF(E1094="Residential/Group Housing","RES",
IF(E1094="Commercial","COM",
IF(E1094="Mixed Development","MIX",
IF(E1094="Plotted Development","PLT","OTH"))))
&amp;"-"&amp;TEXT(COUNTIFS($B$9:B1094,B1094,$E$9:E1094,E1094),"0000")</f>
        <v>SUR-MIX-0142</v>
      </c>
      <c r="B1094" s="322" t="s">
        <v>34</v>
      </c>
      <c r="C1094" s="322" t="s">
        <v>34</v>
      </c>
      <c r="D1094" s="323" t="s">
        <v>1284</v>
      </c>
      <c r="E1094" s="132" t="s">
        <v>25</v>
      </c>
      <c r="F1094" s="97" t="str">
        <f ca="1">IF(OR(Market_Data[[#This Row],[Start Date]]="",Market_Data[[#This Row],[Completion Date]]=""),"Needs Validation",IF(Market_Data[[#This Row],[Start Date]]&gt;TODAY(),"Planned",IF(Market_Data[[#This Row],[Completion Date]]&lt;TODAY(),"Completed","Ongoing")))</f>
        <v>Completed</v>
      </c>
      <c r="G1094" s="324">
        <v>43131</v>
      </c>
      <c r="H1094" s="324">
        <v>46111</v>
      </c>
      <c r="I1094" s="325">
        <v>49700</v>
      </c>
      <c r="J109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94" s="133">
        <f>_xlfn.XLOOKUP(Market_Data[[#This Row],[Project Type]],tbl_assumptions_market[Project Category (RERA)],tbl_assumptions_market[Concrete Intensity
(m³ / sq m BUA)],"",0)</f>
        <v>0.42</v>
      </c>
      <c r="L1094" s="134">
        <f>ROUND(Market_Data[[#This Row],[Estimated Built Up Area (sq m)]]*Market_Data[[#This Row],[Concrete Intensity
(m³ / sq m)]],0)</f>
        <v>20874</v>
      </c>
      <c r="M1094" s="135">
        <f>_xlfn.XLOOKUP(Market_Data[[#This Row],[District]],tbl_district_price[District],tbl_district_price[Standard Price
(INR/m³)],"",0)</f>
        <v>6200</v>
      </c>
      <c r="N1094" s="364">
        <f>IF(OR(Market_Data[[#This Row],[Estimated Concrete Demand (m³)]]="",Market_Data[[#This Row],[Avg Price per (₹ / m³)]]=""),"",Market_Data[[#This Row],[Estimated Concrete Demand (m³)]]*Market_Data[[#This Row],[Avg Price per (₹ / m³)]]/10000000)</f>
        <v>12.941879999999999</v>
      </c>
      <c r="O1094" s="97" t="str">
        <f>IF(Market_Data[[#This Row],[Estimated Concrete Demand (m³)]]="","",
IF(Market_Data[[#This Row],[Estimated Concrete Demand (m³)]]&lt;10000,"Small",
IF(Market_Data[[#This Row],[Estimated Concrete Demand (m³)]]&lt;25000,"Medium",
IF(Market_Data[[#This Row],[Estimated Concrete Demand (m³)]]&lt;100000,"Large","Mega"))))</f>
        <v>Medium</v>
      </c>
      <c r="P1094" s="287" t="str">
        <f t="shared" si="18"/>
        <v>GujRERA</v>
      </c>
    </row>
    <row r="1095" spans="1:16">
      <c r="A1095" s="129" t="str">
        <f>_xlfn.XLOOKUP(B1095,$S$9:$S$14,$T$9:$T$14)&amp;"-"&amp;
IF(E1095="Residential/Group Housing","RES",
IF(E1095="Commercial","COM",
IF(E1095="Mixed Development","MIX",
IF(E1095="Plotted Development","PLT","OTH"))))
&amp;"-"&amp;TEXT(COUNTIFS($B$9:B1095,B1095,$E$9:E1095,E1095),"0000")</f>
        <v>SUR-PLT-0202</v>
      </c>
      <c r="B1095" s="322" t="s">
        <v>34</v>
      </c>
      <c r="C1095" s="322" t="s">
        <v>34</v>
      </c>
      <c r="D1095" s="323" t="s">
        <v>1285</v>
      </c>
      <c r="E1095" s="132" t="s">
        <v>26</v>
      </c>
      <c r="F1095" s="97" t="str">
        <f ca="1">IF(OR(Market_Data[[#This Row],[Start Date]]="",Market_Data[[#This Row],[Completion Date]]=""),"Needs Validation",IF(Market_Data[[#This Row],[Start Date]]&gt;TODAY(),"Planned",IF(Market_Data[[#This Row],[Completion Date]]&lt;TODAY(),"Completed","Ongoing")))</f>
        <v>Ongoing</v>
      </c>
      <c r="G1095" s="324">
        <v>45562</v>
      </c>
      <c r="H1095" s="324">
        <v>46477</v>
      </c>
      <c r="I1095" s="325">
        <v>36600</v>
      </c>
      <c r="J109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095" s="133">
        <f>_xlfn.XLOOKUP(Market_Data[[#This Row],[Project Type]],tbl_assumptions_market[Project Category (RERA)],tbl_assumptions_market[Concrete Intensity
(m³ / sq m BUA)],"",0)</f>
        <v>0.18</v>
      </c>
      <c r="L1095" s="134">
        <f>ROUND(Market_Data[[#This Row],[Estimated Built Up Area (sq m)]]*Market_Data[[#This Row],[Concrete Intensity
(m³ / sq m)]],0)</f>
        <v>6588</v>
      </c>
      <c r="M1095" s="135">
        <f>_xlfn.XLOOKUP(Market_Data[[#This Row],[District]],tbl_district_price[District],tbl_district_price[Standard Price
(INR/m³)],"",0)</f>
        <v>6200</v>
      </c>
      <c r="N1095" s="364">
        <f>IF(OR(Market_Data[[#This Row],[Estimated Concrete Demand (m³)]]="",Market_Data[[#This Row],[Avg Price per (₹ / m³)]]=""),"",Market_Data[[#This Row],[Estimated Concrete Demand (m³)]]*Market_Data[[#This Row],[Avg Price per (₹ / m³)]]/10000000)</f>
        <v>4.0845599999999997</v>
      </c>
      <c r="O1095" s="97" t="str">
        <f>IF(Market_Data[[#This Row],[Estimated Concrete Demand (m³)]]="","",
IF(Market_Data[[#This Row],[Estimated Concrete Demand (m³)]]&lt;10000,"Small",
IF(Market_Data[[#This Row],[Estimated Concrete Demand (m³)]]&lt;25000,"Medium",
IF(Market_Data[[#This Row],[Estimated Concrete Demand (m³)]]&lt;100000,"Large","Mega"))))</f>
        <v>Small</v>
      </c>
      <c r="P1095" s="287" t="str">
        <f t="shared" si="18"/>
        <v>GujRERA</v>
      </c>
    </row>
    <row r="1096" spans="1:16">
      <c r="A1096" s="129" t="str">
        <f>_xlfn.XLOOKUP(B1096,$S$9:$S$14,$T$9:$T$14)&amp;"-"&amp;
IF(E1096="Residential/Group Housing","RES",
IF(E1096="Commercial","COM",
IF(E1096="Mixed Development","MIX",
IF(E1096="Plotted Development","PLT","OTH"))))
&amp;"-"&amp;TEXT(COUNTIFS($B$9:B1096,B1096,$E$9:E1096,E1096),"0000")</f>
        <v>SUR-RES-0286</v>
      </c>
      <c r="B1096" s="322" t="s">
        <v>34</v>
      </c>
      <c r="C1096" s="322" t="s">
        <v>34</v>
      </c>
      <c r="D1096" s="323" t="s">
        <v>1286</v>
      </c>
      <c r="E1096" s="132" t="s">
        <v>24</v>
      </c>
      <c r="F1096" s="97" t="str">
        <f ca="1">IF(OR(Market_Data[[#This Row],[Start Date]]="",Market_Data[[#This Row],[Completion Date]]=""),"Needs Validation",IF(Market_Data[[#This Row],[Start Date]]&gt;TODAY(),"Planned",IF(Market_Data[[#This Row],[Completion Date]]&lt;TODAY(),"Completed","Ongoing")))</f>
        <v>Ongoing</v>
      </c>
      <c r="G1096" s="324">
        <v>45931</v>
      </c>
      <c r="H1096" s="324">
        <v>47483</v>
      </c>
      <c r="I1096" s="325">
        <v>34200</v>
      </c>
      <c r="J109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96" s="133">
        <f>_xlfn.XLOOKUP(Market_Data[[#This Row],[Project Type]],tbl_assumptions_market[Project Category (RERA)],tbl_assumptions_market[Concrete Intensity
(m³ / sq m BUA)],"",0)</f>
        <v>0.45</v>
      </c>
      <c r="L1096" s="134">
        <f>ROUND(Market_Data[[#This Row],[Estimated Built Up Area (sq m)]]*Market_Data[[#This Row],[Concrete Intensity
(m³ / sq m)]],0)</f>
        <v>15390</v>
      </c>
      <c r="M1096" s="135">
        <f>_xlfn.XLOOKUP(Market_Data[[#This Row],[District]],tbl_district_price[District],tbl_district_price[Standard Price
(INR/m³)],"",0)</f>
        <v>6200</v>
      </c>
      <c r="N1096" s="364">
        <f>IF(OR(Market_Data[[#This Row],[Estimated Concrete Demand (m³)]]="",Market_Data[[#This Row],[Avg Price per (₹ / m³)]]=""),"",Market_Data[[#This Row],[Estimated Concrete Demand (m³)]]*Market_Data[[#This Row],[Avg Price per (₹ / m³)]]/10000000)</f>
        <v>9.5418000000000003</v>
      </c>
      <c r="O1096" s="97" t="str">
        <f>IF(Market_Data[[#This Row],[Estimated Concrete Demand (m³)]]="","",
IF(Market_Data[[#This Row],[Estimated Concrete Demand (m³)]]&lt;10000,"Small",
IF(Market_Data[[#This Row],[Estimated Concrete Demand (m³)]]&lt;25000,"Medium",
IF(Market_Data[[#This Row],[Estimated Concrete Demand (m³)]]&lt;100000,"Large","Mega"))))</f>
        <v>Medium</v>
      </c>
      <c r="P1096" s="287" t="str">
        <f t="shared" si="18"/>
        <v>GujRERA</v>
      </c>
    </row>
    <row r="1097" spans="1:16">
      <c r="A1097" s="129" t="str">
        <f>_xlfn.XLOOKUP(B1097,$S$9:$S$14,$T$9:$T$14)&amp;"-"&amp;
IF(E1097="Residential/Group Housing","RES",
IF(E1097="Commercial","COM",
IF(E1097="Mixed Development","MIX",
IF(E1097="Plotted Development","PLT","OTH"))))
&amp;"-"&amp;TEXT(COUNTIFS($B$9:B1097,B1097,$E$9:E1097,E1097),"0000")</f>
        <v>SUR-MIX-0143</v>
      </c>
      <c r="B1097" s="322" t="s">
        <v>34</v>
      </c>
      <c r="C1097" s="322" t="s">
        <v>34</v>
      </c>
      <c r="D1097" s="323" t="s">
        <v>1287</v>
      </c>
      <c r="E1097" s="132" t="s">
        <v>25</v>
      </c>
      <c r="F1097" s="97" t="str">
        <f ca="1">IF(OR(Market_Data[[#This Row],[Start Date]]="",Market_Data[[#This Row],[Completion Date]]=""),"Needs Validation",IF(Market_Data[[#This Row],[Start Date]]&gt;TODAY(),"Planned",IF(Market_Data[[#This Row],[Completion Date]]&lt;TODAY(),"Completed","Ongoing")))</f>
        <v>Ongoing</v>
      </c>
      <c r="G1097" s="324">
        <v>45372</v>
      </c>
      <c r="H1097" s="324">
        <v>47118</v>
      </c>
      <c r="I1097" s="325">
        <v>42500</v>
      </c>
      <c r="J109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97" s="133">
        <f>_xlfn.XLOOKUP(Market_Data[[#This Row],[Project Type]],tbl_assumptions_market[Project Category (RERA)],tbl_assumptions_market[Concrete Intensity
(m³ / sq m BUA)],"",0)</f>
        <v>0.42</v>
      </c>
      <c r="L1097" s="134">
        <f>ROUND(Market_Data[[#This Row],[Estimated Built Up Area (sq m)]]*Market_Data[[#This Row],[Concrete Intensity
(m³ / sq m)]],0)</f>
        <v>17850</v>
      </c>
      <c r="M1097" s="135">
        <f>_xlfn.XLOOKUP(Market_Data[[#This Row],[District]],tbl_district_price[District],tbl_district_price[Standard Price
(INR/m³)],"",0)</f>
        <v>6200</v>
      </c>
      <c r="N1097" s="364">
        <f>IF(OR(Market_Data[[#This Row],[Estimated Concrete Demand (m³)]]="",Market_Data[[#This Row],[Avg Price per (₹ / m³)]]=""),"",Market_Data[[#This Row],[Estimated Concrete Demand (m³)]]*Market_Data[[#This Row],[Avg Price per (₹ / m³)]]/10000000)</f>
        <v>11.067</v>
      </c>
      <c r="O1097" s="97" t="str">
        <f>IF(Market_Data[[#This Row],[Estimated Concrete Demand (m³)]]="","",
IF(Market_Data[[#This Row],[Estimated Concrete Demand (m³)]]&lt;10000,"Small",
IF(Market_Data[[#This Row],[Estimated Concrete Demand (m³)]]&lt;25000,"Medium",
IF(Market_Data[[#This Row],[Estimated Concrete Demand (m³)]]&lt;100000,"Large","Mega"))))</f>
        <v>Medium</v>
      </c>
      <c r="P1097" s="287" t="str">
        <f t="shared" si="18"/>
        <v>GujRERA</v>
      </c>
    </row>
    <row r="1098" spans="1:16">
      <c r="A1098" s="129" t="str">
        <f>_xlfn.XLOOKUP(B1098,$S$9:$S$14,$T$9:$T$14)&amp;"-"&amp;
IF(E1098="Residential/Group Housing","RES",
IF(E1098="Commercial","COM",
IF(E1098="Mixed Development","MIX",
IF(E1098="Plotted Development","PLT","OTH"))))
&amp;"-"&amp;TEXT(COUNTIFS($B$9:B1098,B1098,$E$9:E1098,E1098),"0000")</f>
        <v>SUR-PLT-0203</v>
      </c>
      <c r="B1098" s="322" t="s">
        <v>34</v>
      </c>
      <c r="C1098" s="322" t="s">
        <v>34</v>
      </c>
      <c r="D1098" s="323" t="s">
        <v>1288</v>
      </c>
      <c r="E1098" s="132" t="s">
        <v>26</v>
      </c>
      <c r="F1098" s="97" t="str">
        <f ca="1">IF(OR(Market_Data[[#This Row],[Start Date]]="",Market_Data[[#This Row],[Completion Date]]=""),"Needs Validation",IF(Market_Data[[#This Row],[Start Date]]&gt;TODAY(),"Planned",IF(Market_Data[[#This Row],[Completion Date]]&lt;TODAY(),"Completed","Ongoing")))</f>
        <v>Completed</v>
      </c>
      <c r="G1098" s="324">
        <v>44652</v>
      </c>
      <c r="H1098" s="324">
        <v>45473</v>
      </c>
      <c r="I1098" s="325">
        <v>11900</v>
      </c>
      <c r="J109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098" s="133">
        <f>_xlfn.XLOOKUP(Market_Data[[#This Row],[Project Type]],tbl_assumptions_market[Project Category (RERA)],tbl_assumptions_market[Concrete Intensity
(m³ / sq m BUA)],"",0)</f>
        <v>0.18</v>
      </c>
      <c r="L1098" s="134">
        <f>ROUND(Market_Data[[#This Row],[Estimated Built Up Area (sq m)]]*Market_Data[[#This Row],[Concrete Intensity
(m³ / sq m)]],0)</f>
        <v>2142</v>
      </c>
      <c r="M1098" s="135">
        <f>_xlfn.XLOOKUP(Market_Data[[#This Row],[District]],tbl_district_price[District],tbl_district_price[Standard Price
(INR/m³)],"",0)</f>
        <v>6200</v>
      </c>
      <c r="N1098" s="364">
        <f>IF(OR(Market_Data[[#This Row],[Estimated Concrete Demand (m³)]]="",Market_Data[[#This Row],[Avg Price per (₹ / m³)]]=""),"",Market_Data[[#This Row],[Estimated Concrete Demand (m³)]]*Market_Data[[#This Row],[Avg Price per (₹ / m³)]]/10000000)</f>
        <v>1.3280400000000001</v>
      </c>
      <c r="O1098" s="97" t="str">
        <f>IF(Market_Data[[#This Row],[Estimated Concrete Demand (m³)]]="","",
IF(Market_Data[[#This Row],[Estimated Concrete Demand (m³)]]&lt;10000,"Small",
IF(Market_Data[[#This Row],[Estimated Concrete Demand (m³)]]&lt;25000,"Medium",
IF(Market_Data[[#This Row],[Estimated Concrete Demand (m³)]]&lt;100000,"Large","Mega"))))</f>
        <v>Small</v>
      </c>
      <c r="P1098" s="287" t="str">
        <f t="shared" ref="P1098:P1161" si="19">HYPERLINK(
"https://gujrera.gujarat.gov.in",
"GujRERA")</f>
        <v>GujRERA</v>
      </c>
    </row>
    <row r="1099" spans="1:16">
      <c r="A1099" s="129" t="str">
        <f>_xlfn.XLOOKUP(B1099,$S$9:$S$14,$T$9:$T$14)&amp;"-"&amp;
IF(E1099="Residential/Group Housing","RES",
IF(E1099="Commercial","COM",
IF(E1099="Mixed Development","MIX",
IF(E1099="Plotted Development","PLT","OTH"))))
&amp;"-"&amp;TEXT(COUNTIFS($B$9:B1099,B1099,$E$9:E1099,E1099),"0000")</f>
        <v>SUR-PLT-0204</v>
      </c>
      <c r="B1099" s="322" t="s">
        <v>34</v>
      </c>
      <c r="C1099" s="322" t="s">
        <v>34</v>
      </c>
      <c r="D1099" s="323" t="s">
        <v>1289</v>
      </c>
      <c r="E1099" s="132" t="s">
        <v>26</v>
      </c>
      <c r="F1099" s="97" t="str">
        <f ca="1">IF(OR(Market_Data[[#This Row],[Start Date]]="",Market_Data[[#This Row],[Completion Date]]=""),"Needs Validation",IF(Market_Data[[#This Row],[Start Date]]&gt;TODAY(),"Planned",IF(Market_Data[[#This Row],[Completion Date]]&lt;TODAY(),"Completed","Ongoing")))</f>
        <v>Ongoing</v>
      </c>
      <c r="G1099" s="324">
        <v>45980</v>
      </c>
      <c r="H1099" s="324">
        <v>47118</v>
      </c>
      <c r="I1099" s="325">
        <v>53400</v>
      </c>
      <c r="J109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099" s="133">
        <f>_xlfn.XLOOKUP(Market_Data[[#This Row],[Project Type]],tbl_assumptions_market[Project Category (RERA)],tbl_assumptions_market[Concrete Intensity
(m³ / sq m BUA)],"",0)</f>
        <v>0.18</v>
      </c>
      <c r="L1099" s="134">
        <f>ROUND(Market_Data[[#This Row],[Estimated Built Up Area (sq m)]]*Market_Data[[#This Row],[Concrete Intensity
(m³ / sq m)]],0)</f>
        <v>9612</v>
      </c>
      <c r="M1099" s="135">
        <f>_xlfn.XLOOKUP(Market_Data[[#This Row],[District]],tbl_district_price[District],tbl_district_price[Standard Price
(INR/m³)],"",0)</f>
        <v>6200</v>
      </c>
      <c r="N1099" s="364">
        <f>IF(OR(Market_Data[[#This Row],[Estimated Concrete Demand (m³)]]="",Market_Data[[#This Row],[Avg Price per (₹ / m³)]]=""),"",Market_Data[[#This Row],[Estimated Concrete Demand (m³)]]*Market_Data[[#This Row],[Avg Price per (₹ / m³)]]/10000000)</f>
        <v>5.9594399999999998</v>
      </c>
      <c r="O1099" s="97" t="str">
        <f>IF(Market_Data[[#This Row],[Estimated Concrete Demand (m³)]]="","",
IF(Market_Data[[#This Row],[Estimated Concrete Demand (m³)]]&lt;10000,"Small",
IF(Market_Data[[#This Row],[Estimated Concrete Demand (m³)]]&lt;25000,"Medium",
IF(Market_Data[[#This Row],[Estimated Concrete Demand (m³)]]&lt;100000,"Large","Mega"))))</f>
        <v>Small</v>
      </c>
      <c r="P1099" s="287" t="str">
        <f t="shared" si="19"/>
        <v>GujRERA</v>
      </c>
    </row>
    <row r="1100" spans="1:16">
      <c r="A1100" s="129" t="str">
        <f>_xlfn.XLOOKUP(B1100,$S$9:$S$14,$T$9:$T$14)&amp;"-"&amp;
IF(E1100="Residential/Group Housing","RES",
IF(E1100="Commercial","COM",
IF(E1100="Mixed Development","MIX",
IF(E1100="Plotted Development","PLT","OTH"))))
&amp;"-"&amp;TEXT(COUNTIFS($B$9:B1100,B1100,$E$9:E1100,E1100),"0000")</f>
        <v>SUR-COM-0149</v>
      </c>
      <c r="B1100" s="322" t="s">
        <v>34</v>
      </c>
      <c r="C1100" s="322" t="s">
        <v>34</v>
      </c>
      <c r="D1100" s="323" t="s">
        <v>1290</v>
      </c>
      <c r="E1100" s="132" t="s">
        <v>23</v>
      </c>
      <c r="F1100" s="97" t="str">
        <f ca="1">IF(OR(Market_Data[[#This Row],[Start Date]]="",Market_Data[[#This Row],[Completion Date]]=""),"Needs Validation",IF(Market_Data[[#This Row],[Start Date]]&gt;TODAY(),"Planned",IF(Market_Data[[#This Row],[Completion Date]]&lt;TODAY(),"Completed","Ongoing")))</f>
        <v>Completed</v>
      </c>
      <c r="G1100" s="324">
        <v>43082</v>
      </c>
      <c r="H1100" s="324">
        <v>44834</v>
      </c>
      <c r="I1100" s="325">
        <v>50500</v>
      </c>
      <c r="J110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100" s="133">
        <f>_xlfn.XLOOKUP(Market_Data[[#This Row],[Project Type]],tbl_assumptions_market[Project Category (RERA)],tbl_assumptions_market[Concrete Intensity
(m³ / sq m BUA)],"",0)</f>
        <v>0.5</v>
      </c>
      <c r="L1100" s="134">
        <f>ROUND(Market_Data[[#This Row],[Estimated Built Up Area (sq m)]]*Market_Data[[#This Row],[Concrete Intensity
(m³ / sq m)]],0)</f>
        <v>25250</v>
      </c>
      <c r="M1100" s="135">
        <f>_xlfn.XLOOKUP(Market_Data[[#This Row],[District]],tbl_district_price[District],tbl_district_price[Standard Price
(INR/m³)],"",0)</f>
        <v>6200</v>
      </c>
      <c r="N1100" s="364">
        <f>IF(OR(Market_Data[[#This Row],[Estimated Concrete Demand (m³)]]="",Market_Data[[#This Row],[Avg Price per (₹ / m³)]]=""),"",Market_Data[[#This Row],[Estimated Concrete Demand (m³)]]*Market_Data[[#This Row],[Avg Price per (₹ / m³)]]/10000000)</f>
        <v>15.654999999999999</v>
      </c>
      <c r="O1100" s="97" t="str">
        <f>IF(Market_Data[[#This Row],[Estimated Concrete Demand (m³)]]="","",
IF(Market_Data[[#This Row],[Estimated Concrete Demand (m³)]]&lt;10000,"Small",
IF(Market_Data[[#This Row],[Estimated Concrete Demand (m³)]]&lt;25000,"Medium",
IF(Market_Data[[#This Row],[Estimated Concrete Demand (m³)]]&lt;100000,"Large","Mega"))))</f>
        <v>Large</v>
      </c>
      <c r="P1100" s="287" t="str">
        <f t="shared" si="19"/>
        <v>GujRERA</v>
      </c>
    </row>
    <row r="1101" spans="1:16">
      <c r="A1101" s="129" t="str">
        <f>_xlfn.XLOOKUP(B1101,$S$9:$S$14,$T$9:$T$14)&amp;"-"&amp;
IF(E1101="Residential/Group Housing","RES",
IF(E1101="Commercial","COM",
IF(E1101="Mixed Development","MIX",
IF(E1101="Plotted Development","PLT","OTH"))))
&amp;"-"&amp;TEXT(COUNTIFS($B$9:B1101,B1101,$E$9:E1101,E1101),"0000")</f>
        <v>SUR-MIX-0144</v>
      </c>
      <c r="B1101" s="322" t="s">
        <v>34</v>
      </c>
      <c r="C1101" s="322" t="s">
        <v>34</v>
      </c>
      <c r="D1101" s="323" t="s">
        <v>1291</v>
      </c>
      <c r="E1101" s="132" t="s">
        <v>25</v>
      </c>
      <c r="F1101" s="97" t="str">
        <f ca="1">IF(OR(Market_Data[[#This Row],[Start Date]]="",Market_Data[[#This Row],[Completion Date]]=""),"Needs Validation",IF(Market_Data[[#This Row],[Start Date]]&gt;TODAY(),"Planned",IF(Market_Data[[#This Row],[Completion Date]]&lt;TODAY(),"Completed","Ongoing")))</f>
        <v>Ongoing</v>
      </c>
      <c r="G1101" s="324">
        <v>44809</v>
      </c>
      <c r="H1101" s="324">
        <v>46635</v>
      </c>
      <c r="I1101" s="325">
        <v>36300</v>
      </c>
      <c r="J110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01" s="133">
        <f>_xlfn.XLOOKUP(Market_Data[[#This Row],[Project Type]],tbl_assumptions_market[Project Category (RERA)],tbl_assumptions_market[Concrete Intensity
(m³ / sq m BUA)],"",0)</f>
        <v>0.42</v>
      </c>
      <c r="L1101" s="134">
        <f>ROUND(Market_Data[[#This Row],[Estimated Built Up Area (sq m)]]*Market_Data[[#This Row],[Concrete Intensity
(m³ / sq m)]],0)</f>
        <v>15246</v>
      </c>
      <c r="M1101" s="135">
        <f>_xlfn.XLOOKUP(Market_Data[[#This Row],[District]],tbl_district_price[District],tbl_district_price[Standard Price
(INR/m³)],"",0)</f>
        <v>6200</v>
      </c>
      <c r="N1101" s="364">
        <f>IF(OR(Market_Data[[#This Row],[Estimated Concrete Demand (m³)]]="",Market_Data[[#This Row],[Avg Price per (₹ / m³)]]=""),"",Market_Data[[#This Row],[Estimated Concrete Demand (m³)]]*Market_Data[[#This Row],[Avg Price per (₹ / m³)]]/10000000)</f>
        <v>9.4525199999999998</v>
      </c>
      <c r="O1101" s="97" t="str">
        <f>IF(Market_Data[[#This Row],[Estimated Concrete Demand (m³)]]="","",
IF(Market_Data[[#This Row],[Estimated Concrete Demand (m³)]]&lt;10000,"Small",
IF(Market_Data[[#This Row],[Estimated Concrete Demand (m³)]]&lt;25000,"Medium",
IF(Market_Data[[#This Row],[Estimated Concrete Demand (m³)]]&lt;100000,"Large","Mega"))))</f>
        <v>Medium</v>
      </c>
      <c r="P1101" s="287" t="str">
        <f t="shared" si="19"/>
        <v>GujRERA</v>
      </c>
    </row>
    <row r="1102" spans="1:16">
      <c r="A1102" s="129" t="str">
        <f>_xlfn.XLOOKUP(B1102,$S$9:$S$14,$T$9:$T$14)&amp;"-"&amp;
IF(E1102="Residential/Group Housing","RES",
IF(E1102="Commercial","COM",
IF(E1102="Mixed Development","MIX",
IF(E1102="Plotted Development","PLT","OTH"))))
&amp;"-"&amp;TEXT(COUNTIFS($B$9:B1102,B1102,$E$9:E1102,E1102),"0000")</f>
        <v>SUR-MIX-0145</v>
      </c>
      <c r="B1102" s="322" t="s">
        <v>34</v>
      </c>
      <c r="C1102" s="322" t="s">
        <v>34</v>
      </c>
      <c r="D1102" s="323" t="s">
        <v>1292</v>
      </c>
      <c r="E1102" s="132" t="s">
        <v>25</v>
      </c>
      <c r="F1102" s="97" t="str">
        <f ca="1">IF(OR(Market_Data[[#This Row],[Start Date]]="",Market_Data[[#This Row],[Completion Date]]=""),"Needs Validation",IF(Market_Data[[#This Row],[Start Date]]&gt;TODAY(),"Planned",IF(Market_Data[[#This Row],[Completion Date]]&lt;TODAY(),"Completed","Ongoing")))</f>
        <v>Completed</v>
      </c>
      <c r="G1102" s="324">
        <v>42594</v>
      </c>
      <c r="H1102" s="324">
        <v>43829</v>
      </c>
      <c r="I1102" s="325">
        <v>18000</v>
      </c>
      <c r="J110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02" s="133">
        <f>_xlfn.XLOOKUP(Market_Data[[#This Row],[Project Type]],tbl_assumptions_market[Project Category (RERA)],tbl_assumptions_market[Concrete Intensity
(m³ / sq m BUA)],"",0)</f>
        <v>0.42</v>
      </c>
      <c r="L1102" s="134">
        <f>ROUND(Market_Data[[#This Row],[Estimated Built Up Area (sq m)]]*Market_Data[[#This Row],[Concrete Intensity
(m³ / sq m)]],0)</f>
        <v>7560</v>
      </c>
      <c r="M1102" s="135">
        <f>_xlfn.XLOOKUP(Market_Data[[#This Row],[District]],tbl_district_price[District],tbl_district_price[Standard Price
(INR/m³)],"",0)</f>
        <v>6200</v>
      </c>
      <c r="N1102" s="364">
        <f>IF(OR(Market_Data[[#This Row],[Estimated Concrete Demand (m³)]]="",Market_Data[[#This Row],[Avg Price per (₹ / m³)]]=""),"",Market_Data[[#This Row],[Estimated Concrete Demand (m³)]]*Market_Data[[#This Row],[Avg Price per (₹ / m³)]]/10000000)</f>
        <v>4.6871999999999998</v>
      </c>
      <c r="O1102" s="97" t="str">
        <f>IF(Market_Data[[#This Row],[Estimated Concrete Demand (m³)]]="","",
IF(Market_Data[[#This Row],[Estimated Concrete Demand (m³)]]&lt;10000,"Small",
IF(Market_Data[[#This Row],[Estimated Concrete Demand (m³)]]&lt;25000,"Medium",
IF(Market_Data[[#This Row],[Estimated Concrete Demand (m³)]]&lt;100000,"Large","Mega"))))</f>
        <v>Small</v>
      </c>
      <c r="P1102" s="287" t="str">
        <f t="shared" si="19"/>
        <v>GujRERA</v>
      </c>
    </row>
    <row r="1103" spans="1:16">
      <c r="A1103" s="129" t="str">
        <f>_xlfn.XLOOKUP(B1103,$S$9:$S$14,$T$9:$T$14)&amp;"-"&amp;
IF(E1103="Residential/Group Housing","RES",
IF(E1103="Commercial","COM",
IF(E1103="Mixed Development","MIX",
IF(E1103="Plotted Development","PLT","OTH"))))
&amp;"-"&amp;TEXT(COUNTIFS($B$9:B1103,B1103,$E$9:E1103,E1103),"0000")</f>
        <v>SUR-PLT-0205</v>
      </c>
      <c r="B1103" s="322" t="s">
        <v>34</v>
      </c>
      <c r="C1103" s="322" t="s">
        <v>34</v>
      </c>
      <c r="D1103" s="323" t="s">
        <v>1293</v>
      </c>
      <c r="E1103" s="132" t="s">
        <v>26</v>
      </c>
      <c r="F1103" s="97" t="str">
        <f ca="1">IF(OR(Market_Data[[#This Row],[Start Date]]="",Market_Data[[#This Row],[Completion Date]]=""),"Needs Validation",IF(Market_Data[[#This Row],[Start Date]]&gt;TODAY(),"Planned",IF(Market_Data[[#This Row],[Completion Date]]&lt;TODAY(),"Completed","Ongoing")))</f>
        <v>Ongoing</v>
      </c>
      <c r="G1103" s="324">
        <v>45980</v>
      </c>
      <c r="H1103" s="324">
        <v>47118</v>
      </c>
      <c r="I1103" s="325">
        <v>49500</v>
      </c>
      <c r="J110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103" s="133">
        <f>_xlfn.XLOOKUP(Market_Data[[#This Row],[Project Type]],tbl_assumptions_market[Project Category (RERA)],tbl_assumptions_market[Concrete Intensity
(m³ / sq m BUA)],"",0)</f>
        <v>0.18</v>
      </c>
      <c r="L1103" s="134">
        <f>ROUND(Market_Data[[#This Row],[Estimated Built Up Area (sq m)]]*Market_Data[[#This Row],[Concrete Intensity
(m³ / sq m)]],0)</f>
        <v>8910</v>
      </c>
      <c r="M1103" s="135">
        <f>_xlfn.XLOOKUP(Market_Data[[#This Row],[District]],tbl_district_price[District],tbl_district_price[Standard Price
(INR/m³)],"",0)</f>
        <v>6200</v>
      </c>
      <c r="N1103" s="364">
        <f>IF(OR(Market_Data[[#This Row],[Estimated Concrete Demand (m³)]]="",Market_Data[[#This Row],[Avg Price per (₹ / m³)]]=""),"",Market_Data[[#This Row],[Estimated Concrete Demand (m³)]]*Market_Data[[#This Row],[Avg Price per (₹ / m³)]]/10000000)</f>
        <v>5.5242000000000004</v>
      </c>
      <c r="O1103" s="97" t="str">
        <f>IF(Market_Data[[#This Row],[Estimated Concrete Demand (m³)]]="","",
IF(Market_Data[[#This Row],[Estimated Concrete Demand (m³)]]&lt;10000,"Small",
IF(Market_Data[[#This Row],[Estimated Concrete Demand (m³)]]&lt;25000,"Medium",
IF(Market_Data[[#This Row],[Estimated Concrete Demand (m³)]]&lt;100000,"Large","Mega"))))</f>
        <v>Small</v>
      </c>
      <c r="P1103" s="287" t="str">
        <f t="shared" si="19"/>
        <v>GujRERA</v>
      </c>
    </row>
    <row r="1104" spans="1:16">
      <c r="A1104" s="129" t="str">
        <f>_xlfn.XLOOKUP(B1104,$S$9:$S$14,$T$9:$T$14)&amp;"-"&amp;
IF(E1104="Residential/Group Housing","RES",
IF(E1104="Commercial","COM",
IF(E1104="Mixed Development","MIX",
IF(E1104="Plotted Development","PLT","OTH"))))
&amp;"-"&amp;TEXT(COUNTIFS($B$9:B1104,B1104,$E$9:E1104,E1104),"0000")</f>
        <v>SUR-PLT-0206</v>
      </c>
      <c r="B1104" s="322" t="s">
        <v>34</v>
      </c>
      <c r="C1104" s="322" t="s">
        <v>34</v>
      </c>
      <c r="D1104" s="323" t="s">
        <v>1294</v>
      </c>
      <c r="E1104" s="132" t="s">
        <v>26</v>
      </c>
      <c r="F1104" s="97" t="str">
        <f ca="1">IF(OR(Market_Data[[#This Row],[Start Date]]="",Market_Data[[#This Row],[Completion Date]]=""),"Needs Validation",IF(Market_Data[[#This Row],[Start Date]]&gt;TODAY(),"Planned",IF(Market_Data[[#This Row],[Completion Date]]&lt;TODAY(),"Completed","Ongoing")))</f>
        <v>Ongoing</v>
      </c>
      <c r="G1104" s="324">
        <v>44719</v>
      </c>
      <c r="H1104" s="324">
        <v>46387</v>
      </c>
      <c r="I1104" s="325">
        <v>5300</v>
      </c>
      <c r="J110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04" s="133">
        <f>_xlfn.XLOOKUP(Market_Data[[#This Row],[Project Type]],tbl_assumptions_market[Project Category (RERA)],tbl_assumptions_market[Concrete Intensity
(m³ / sq m BUA)],"",0)</f>
        <v>0.18</v>
      </c>
      <c r="L1104" s="134">
        <f>ROUND(Market_Data[[#This Row],[Estimated Built Up Area (sq m)]]*Market_Data[[#This Row],[Concrete Intensity
(m³ / sq m)]],0)</f>
        <v>954</v>
      </c>
      <c r="M1104" s="135">
        <f>_xlfn.XLOOKUP(Market_Data[[#This Row],[District]],tbl_district_price[District],tbl_district_price[Standard Price
(INR/m³)],"",0)</f>
        <v>6200</v>
      </c>
      <c r="N1104" s="364">
        <f>IF(OR(Market_Data[[#This Row],[Estimated Concrete Demand (m³)]]="",Market_Data[[#This Row],[Avg Price per (₹ / m³)]]=""),"",Market_Data[[#This Row],[Estimated Concrete Demand (m³)]]*Market_Data[[#This Row],[Avg Price per (₹ / m³)]]/10000000)</f>
        <v>0.59148000000000001</v>
      </c>
      <c r="O1104" s="97" t="str">
        <f>IF(Market_Data[[#This Row],[Estimated Concrete Demand (m³)]]="","",
IF(Market_Data[[#This Row],[Estimated Concrete Demand (m³)]]&lt;10000,"Small",
IF(Market_Data[[#This Row],[Estimated Concrete Demand (m³)]]&lt;25000,"Medium",
IF(Market_Data[[#This Row],[Estimated Concrete Demand (m³)]]&lt;100000,"Large","Mega"))))</f>
        <v>Small</v>
      </c>
      <c r="P1104" s="287" t="str">
        <f t="shared" si="19"/>
        <v>GujRERA</v>
      </c>
    </row>
    <row r="1105" spans="1:16">
      <c r="A1105" s="129" t="str">
        <f>_xlfn.XLOOKUP(B1105,$S$9:$S$14,$T$9:$T$14)&amp;"-"&amp;
IF(E1105="Residential/Group Housing","RES",
IF(E1105="Commercial","COM",
IF(E1105="Mixed Development","MIX",
IF(E1105="Plotted Development","PLT","OTH"))))
&amp;"-"&amp;TEXT(COUNTIFS($B$9:B1105,B1105,$E$9:E1105,E1105),"0000")</f>
        <v>SUR-RES-0287</v>
      </c>
      <c r="B1105" s="322" t="s">
        <v>34</v>
      </c>
      <c r="C1105" s="322" t="s">
        <v>34</v>
      </c>
      <c r="D1105" s="323" t="s">
        <v>1295</v>
      </c>
      <c r="E1105" s="132" t="s">
        <v>24</v>
      </c>
      <c r="F1105" s="97" t="str">
        <f ca="1">IF(OR(Market_Data[[#This Row],[Start Date]]="",Market_Data[[#This Row],[Completion Date]]=""),"Needs Validation",IF(Market_Data[[#This Row],[Start Date]]&gt;TODAY(),"Planned",IF(Market_Data[[#This Row],[Completion Date]]&lt;TODAY(),"Completed","Ongoing")))</f>
        <v>Completed</v>
      </c>
      <c r="G1105" s="324">
        <v>42309</v>
      </c>
      <c r="H1105" s="324">
        <v>44104</v>
      </c>
      <c r="I1105" s="325">
        <v>21400</v>
      </c>
      <c r="J110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05" s="133">
        <f>_xlfn.XLOOKUP(Market_Data[[#This Row],[Project Type]],tbl_assumptions_market[Project Category (RERA)],tbl_assumptions_market[Concrete Intensity
(m³ / sq m BUA)],"",0)</f>
        <v>0.45</v>
      </c>
      <c r="L1105" s="134">
        <f>ROUND(Market_Data[[#This Row],[Estimated Built Up Area (sq m)]]*Market_Data[[#This Row],[Concrete Intensity
(m³ / sq m)]],0)</f>
        <v>9630</v>
      </c>
      <c r="M1105" s="135">
        <f>_xlfn.XLOOKUP(Market_Data[[#This Row],[District]],tbl_district_price[District],tbl_district_price[Standard Price
(INR/m³)],"",0)</f>
        <v>6200</v>
      </c>
      <c r="N1105" s="364">
        <f>IF(OR(Market_Data[[#This Row],[Estimated Concrete Demand (m³)]]="",Market_Data[[#This Row],[Avg Price per (₹ / m³)]]=""),"",Market_Data[[#This Row],[Estimated Concrete Demand (m³)]]*Market_Data[[#This Row],[Avg Price per (₹ / m³)]]/10000000)</f>
        <v>5.9706000000000001</v>
      </c>
      <c r="O1105" s="97" t="str">
        <f>IF(Market_Data[[#This Row],[Estimated Concrete Demand (m³)]]="","",
IF(Market_Data[[#This Row],[Estimated Concrete Demand (m³)]]&lt;10000,"Small",
IF(Market_Data[[#This Row],[Estimated Concrete Demand (m³)]]&lt;25000,"Medium",
IF(Market_Data[[#This Row],[Estimated Concrete Demand (m³)]]&lt;100000,"Large","Mega"))))</f>
        <v>Small</v>
      </c>
      <c r="P1105" s="287" t="str">
        <f t="shared" si="19"/>
        <v>GujRERA</v>
      </c>
    </row>
    <row r="1106" spans="1:16">
      <c r="A1106" s="129" t="str">
        <f>_xlfn.XLOOKUP(B1106,$S$9:$S$14,$T$9:$T$14)&amp;"-"&amp;
IF(E1106="Residential/Group Housing","RES",
IF(E1106="Commercial","COM",
IF(E1106="Mixed Development","MIX",
IF(E1106="Plotted Development","PLT","OTH"))))
&amp;"-"&amp;TEXT(COUNTIFS($B$9:B1106,B1106,$E$9:E1106,E1106),"0000")</f>
        <v>SUR-COM-0150</v>
      </c>
      <c r="B1106" s="322" t="s">
        <v>34</v>
      </c>
      <c r="C1106" s="322" t="s">
        <v>34</v>
      </c>
      <c r="D1106" s="323" t="s">
        <v>1296</v>
      </c>
      <c r="E1106" s="132" t="s">
        <v>23</v>
      </c>
      <c r="F1106" s="97" t="str">
        <f ca="1">IF(OR(Market_Data[[#This Row],[Start Date]]="",Market_Data[[#This Row],[Completion Date]]=""),"Needs Validation",IF(Market_Data[[#This Row],[Start Date]]&gt;TODAY(),"Planned",IF(Market_Data[[#This Row],[Completion Date]]&lt;TODAY(),"Completed","Ongoing")))</f>
        <v>Ongoing</v>
      </c>
      <c r="G1106" s="324">
        <v>44690</v>
      </c>
      <c r="H1106" s="324">
        <v>46447</v>
      </c>
      <c r="I1106" s="325">
        <v>9600</v>
      </c>
      <c r="J110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06" s="133">
        <f>_xlfn.XLOOKUP(Market_Data[[#This Row],[Project Type]],tbl_assumptions_market[Project Category (RERA)],tbl_assumptions_market[Concrete Intensity
(m³ / sq m BUA)],"",0)</f>
        <v>0.5</v>
      </c>
      <c r="L1106" s="134">
        <f>ROUND(Market_Data[[#This Row],[Estimated Built Up Area (sq m)]]*Market_Data[[#This Row],[Concrete Intensity
(m³ / sq m)]],0)</f>
        <v>4800</v>
      </c>
      <c r="M1106" s="135">
        <f>_xlfn.XLOOKUP(Market_Data[[#This Row],[District]],tbl_district_price[District],tbl_district_price[Standard Price
(INR/m³)],"",0)</f>
        <v>6200</v>
      </c>
      <c r="N1106" s="364">
        <f>IF(OR(Market_Data[[#This Row],[Estimated Concrete Demand (m³)]]="",Market_Data[[#This Row],[Avg Price per (₹ / m³)]]=""),"",Market_Data[[#This Row],[Estimated Concrete Demand (m³)]]*Market_Data[[#This Row],[Avg Price per (₹ / m³)]]/10000000)</f>
        <v>2.976</v>
      </c>
      <c r="O1106" s="97" t="str">
        <f>IF(Market_Data[[#This Row],[Estimated Concrete Demand (m³)]]="","",
IF(Market_Data[[#This Row],[Estimated Concrete Demand (m³)]]&lt;10000,"Small",
IF(Market_Data[[#This Row],[Estimated Concrete Demand (m³)]]&lt;25000,"Medium",
IF(Market_Data[[#This Row],[Estimated Concrete Demand (m³)]]&lt;100000,"Large","Mega"))))</f>
        <v>Small</v>
      </c>
      <c r="P1106" s="287" t="str">
        <f t="shared" si="19"/>
        <v>GujRERA</v>
      </c>
    </row>
    <row r="1107" spans="1:16">
      <c r="A1107" s="129" t="str">
        <f>_xlfn.XLOOKUP(B1107,$S$9:$S$14,$T$9:$T$14)&amp;"-"&amp;
IF(E1107="Residential/Group Housing","RES",
IF(E1107="Commercial","COM",
IF(E1107="Mixed Development","MIX",
IF(E1107="Plotted Development","PLT","OTH"))))
&amp;"-"&amp;TEXT(COUNTIFS($B$9:B1107,B1107,$E$9:E1107,E1107),"0000")</f>
        <v>SUR-RES-0288</v>
      </c>
      <c r="B1107" s="322" t="s">
        <v>34</v>
      </c>
      <c r="C1107" s="322" t="s">
        <v>34</v>
      </c>
      <c r="D1107" s="323" t="s">
        <v>1297</v>
      </c>
      <c r="E1107" s="132" t="s">
        <v>24</v>
      </c>
      <c r="F1107" s="97" t="str">
        <f ca="1">IF(OR(Market_Data[[#This Row],[Start Date]]="",Market_Data[[#This Row],[Completion Date]]=""),"Needs Validation",IF(Market_Data[[#This Row],[Start Date]]&gt;TODAY(),"Planned",IF(Market_Data[[#This Row],[Completion Date]]&lt;TODAY(),"Completed","Ongoing")))</f>
        <v>Completed</v>
      </c>
      <c r="G1107" s="324">
        <v>41000</v>
      </c>
      <c r="H1107" s="324">
        <v>45199</v>
      </c>
      <c r="I1107" s="325">
        <v>3200</v>
      </c>
      <c r="J110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07" s="133">
        <f>_xlfn.XLOOKUP(Market_Data[[#This Row],[Project Type]],tbl_assumptions_market[Project Category (RERA)],tbl_assumptions_market[Concrete Intensity
(m³ / sq m BUA)],"",0)</f>
        <v>0.45</v>
      </c>
      <c r="L1107" s="134">
        <f>ROUND(Market_Data[[#This Row],[Estimated Built Up Area (sq m)]]*Market_Data[[#This Row],[Concrete Intensity
(m³ / sq m)]],0)</f>
        <v>1440</v>
      </c>
      <c r="M1107" s="135">
        <f>_xlfn.XLOOKUP(Market_Data[[#This Row],[District]],tbl_district_price[District],tbl_district_price[Standard Price
(INR/m³)],"",0)</f>
        <v>6200</v>
      </c>
      <c r="N1107" s="364">
        <f>IF(OR(Market_Data[[#This Row],[Estimated Concrete Demand (m³)]]="",Market_Data[[#This Row],[Avg Price per (₹ / m³)]]=""),"",Market_Data[[#This Row],[Estimated Concrete Demand (m³)]]*Market_Data[[#This Row],[Avg Price per (₹ / m³)]]/10000000)</f>
        <v>0.89280000000000004</v>
      </c>
      <c r="O1107" s="97" t="str">
        <f>IF(Market_Data[[#This Row],[Estimated Concrete Demand (m³)]]="","",
IF(Market_Data[[#This Row],[Estimated Concrete Demand (m³)]]&lt;10000,"Small",
IF(Market_Data[[#This Row],[Estimated Concrete Demand (m³)]]&lt;25000,"Medium",
IF(Market_Data[[#This Row],[Estimated Concrete Demand (m³)]]&lt;100000,"Large","Mega"))))</f>
        <v>Small</v>
      </c>
      <c r="P1107" s="287" t="str">
        <f t="shared" si="19"/>
        <v>GujRERA</v>
      </c>
    </row>
    <row r="1108" spans="1:16">
      <c r="A1108" s="129" t="str">
        <f>_xlfn.XLOOKUP(B1108,$S$9:$S$14,$T$9:$T$14)&amp;"-"&amp;
IF(E1108="Residential/Group Housing","RES",
IF(E1108="Commercial","COM",
IF(E1108="Mixed Development","MIX",
IF(E1108="Plotted Development","PLT","OTH"))))
&amp;"-"&amp;TEXT(COUNTIFS($B$9:B1108,B1108,$E$9:E1108,E1108),"0000")</f>
        <v>SUR-COM-0151</v>
      </c>
      <c r="B1108" s="322" t="s">
        <v>34</v>
      </c>
      <c r="C1108" s="322" t="s">
        <v>34</v>
      </c>
      <c r="D1108" s="323" t="s">
        <v>1298</v>
      </c>
      <c r="E1108" s="132" t="s">
        <v>23</v>
      </c>
      <c r="F1108" s="97" t="str">
        <f ca="1">IF(OR(Market_Data[[#This Row],[Start Date]]="",Market_Data[[#This Row],[Completion Date]]=""),"Needs Validation",IF(Market_Data[[#This Row],[Start Date]]&gt;TODAY(),"Planned",IF(Market_Data[[#This Row],[Completion Date]]&lt;TODAY(),"Completed","Ongoing")))</f>
        <v>Completed</v>
      </c>
      <c r="G1108" s="324">
        <v>42536</v>
      </c>
      <c r="H1108" s="324">
        <v>43555</v>
      </c>
      <c r="I1108" s="325">
        <v>34700</v>
      </c>
      <c r="J110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108" s="133">
        <f>_xlfn.XLOOKUP(Market_Data[[#This Row],[Project Type]],tbl_assumptions_market[Project Category (RERA)],tbl_assumptions_market[Concrete Intensity
(m³ / sq m BUA)],"",0)</f>
        <v>0.5</v>
      </c>
      <c r="L1108" s="134">
        <f>ROUND(Market_Data[[#This Row],[Estimated Built Up Area (sq m)]]*Market_Data[[#This Row],[Concrete Intensity
(m³ / sq m)]],0)</f>
        <v>17350</v>
      </c>
      <c r="M1108" s="135">
        <f>_xlfn.XLOOKUP(Market_Data[[#This Row],[District]],tbl_district_price[District],tbl_district_price[Standard Price
(INR/m³)],"",0)</f>
        <v>6200</v>
      </c>
      <c r="N1108" s="364">
        <f>IF(OR(Market_Data[[#This Row],[Estimated Concrete Demand (m³)]]="",Market_Data[[#This Row],[Avg Price per (₹ / m³)]]=""),"",Market_Data[[#This Row],[Estimated Concrete Demand (m³)]]*Market_Data[[#This Row],[Avg Price per (₹ / m³)]]/10000000)</f>
        <v>10.757</v>
      </c>
      <c r="O1108" s="97" t="str">
        <f>IF(Market_Data[[#This Row],[Estimated Concrete Demand (m³)]]="","",
IF(Market_Data[[#This Row],[Estimated Concrete Demand (m³)]]&lt;10000,"Small",
IF(Market_Data[[#This Row],[Estimated Concrete Demand (m³)]]&lt;25000,"Medium",
IF(Market_Data[[#This Row],[Estimated Concrete Demand (m³)]]&lt;100000,"Large","Mega"))))</f>
        <v>Medium</v>
      </c>
      <c r="P1108" s="287" t="str">
        <f t="shared" si="19"/>
        <v>GujRERA</v>
      </c>
    </row>
    <row r="1109" spans="1:16">
      <c r="A1109" s="129" t="str">
        <f>_xlfn.XLOOKUP(B1109,$S$9:$S$14,$T$9:$T$14)&amp;"-"&amp;
IF(E1109="Residential/Group Housing","RES",
IF(E1109="Commercial","COM",
IF(E1109="Mixed Development","MIX",
IF(E1109="Plotted Development","PLT","OTH"))))
&amp;"-"&amp;TEXT(COUNTIFS($B$9:B1109,B1109,$E$9:E1109,E1109),"0000")</f>
        <v>SUR-RES-0289</v>
      </c>
      <c r="B1109" s="322" t="s">
        <v>34</v>
      </c>
      <c r="C1109" s="322" t="s">
        <v>34</v>
      </c>
      <c r="D1109" s="323" t="s">
        <v>1299</v>
      </c>
      <c r="E1109" s="132" t="s">
        <v>24</v>
      </c>
      <c r="F1109" s="97" t="str">
        <f ca="1">IF(OR(Market_Data[[#This Row],[Start Date]]="",Market_Data[[#This Row],[Completion Date]]=""),"Needs Validation",IF(Market_Data[[#This Row],[Start Date]]&gt;TODAY(),"Planned",IF(Market_Data[[#This Row],[Completion Date]]&lt;TODAY(),"Completed","Ongoing")))</f>
        <v>Completed</v>
      </c>
      <c r="G1109" s="324">
        <v>42395</v>
      </c>
      <c r="H1109" s="324">
        <v>43829</v>
      </c>
      <c r="I1109" s="325">
        <v>57100</v>
      </c>
      <c r="J110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09" s="133">
        <f>_xlfn.XLOOKUP(Market_Data[[#This Row],[Project Type]],tbl_assumptions_market[Project Category (RERA)],tbl_assumptions_market[Concrete Intensity
(m³ / sq m BUA)],"",0)</f>
        <v>0.45</v>
      </c>
      <c r="L1109" s="134">
        <f>ROUND(Market_Data[[#This Row],[Estimated Built Up Area (sq m)]]*Market_Data[[#This Row],[Concrete Intensity
(m³ / sq m)]],0)</f>
        <v>25695</v>
      </c>
      <c r="M1109" s="135">
        <f>_xlfn.XLOOKUP(Market_Data[[#This Row],[District]],tbl_district_price[District],tbl_district_price[Standard Price
(INR/m³)],"",0)</f>
        <v>6200</v>
      </c>
      <c r="N1109" s="364">
        <f>IF(OR(Market_Data[[#This Row],[Estimated Concrete Demand (m³)]]="",Market_Data[[#This Row],[Avg Price per (₹ / m³)]]=""),"",Market_Data[[#This Row],[Estimated Concrete Demand (m³)]]*Market_Data[[#This Row],[Avg Price per (₹ / m³)]]/10000000)</f>
        <v>15.930899999999999</v>
      </c>
      <c r="O1109" s="97" t="str">
        <f>IF(Market_Data[[#This Row],[Estimated Concrete Demand (m³)]]="","",
IF(Market_Data[[#This Row],[Estimated Concrete Demand (m³)]]&lt;10000,"Small",
IF(Market_Data[[#This Row],[Estimated Concrete Demand (m³)]]&lt;25000,"Medium",
IF(Market_Data[[#This Row],[Estimated Concrete Demand (m³)]]&lt;100000,"Large","Mega"))))</f>
        <v>Large</v>
      </c>
      <c r="P1109" s="287" t="str">
        <f t="shared" si="19"/>
        <v>GujRERA</v>
      </c>
    </row>
    <row r="1110" spans="1:16">
      <c r="A1110" s="129" t="str">
        <f>_xlfn.XLOOKUP(B1110,$S$9:$S$14,$T$9:$T$14)&amp;"-"&amp;
IF(E1110="Residential/Group Housing","RES",
IF(E1110="Commercial","COM",
IF(E1110="Mixed Development","MIX",
IF(E1110="Plotted Development","PLT","OTH"))))
&amp;"-"&amp;TEXT(COUNTIFS($B$9:B1110,B1110,$E$9:E1110,E1110),"0000")</f>
        <v>SUR-COM-0152</v>
      </c>
      <c r="B1110" s="322" t="s">
        <v>34</v>
      </c>
      <c r="C1110" s="322" t="s">
        <v>34</v>
      </c>
      <c r="D1110" s="323" t="s">
        <v>1300</v>
      </c>
      <c r="E1110" s="132" t="s">
        <v>23</v>
      </c>
      <c r="F1110" s="97" t="str">
        <f ca="1">IF(OR(Market_Data[[#This Row],[Start Date]]="",Market_Data[[#This Row],[Completion Date]]=""),"Needs Validation",IF(Market_Data[[#This Row],[Start Date]]&gt;TODAY(),"Planned",IF(Market_Data[[#This Row],[Completion Date]]&lt;TODAY(),"Completed","Ongoing")))</f>
        <v>Completed</v>
      </c>
      <c r="G1110" s="324">
        <v>42614</v>
      </c>
      <c r="H1110" s="324">
        <v>44196</v>
      </c>
      <c r="I1110" s="325">
        <v>13100</v>
      </c>
      <c r="J111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10" s="133">
        <f>_xlfn.XLOOKUP(Market_Data[[#This Row],[Project Type]],tbl_assumptions_market[Project Category (RERA)],tbl_assumptions_market[Concrete Intensity
(m³ / sq m BUA)],"",0)</f>
        <v>0.5</v>
      </c>
      <c r="L1110" s="134">
        <f>ROUND(Market_Data[[#This Row],[Estimated Built Up Area (sq m)]]*Market_Data[[#This Row],[Concrete Intensity
(m³ / sq m)]],0)</f>
        <v>6550</v>
      </c>
      <c r="M1110" s="135">
        <f>_xlfn.XLOOKUP(Market_Data[[#This Row],[District]],tbl_district_price[District],tbl_district_price[Standard Price
(INR/m³)],"",0)</f>
        <v>6200</v>
      </c>
      <c r="N1110" s="364">
        <f>IF(OR(Market_Data[[#This Row],[Estimated Concrete Demand (m³)]]="",Market_Data[[#This Row],[Avg Price per (₹ / m³)]]=""),"",Market_Data[[#This Row],[Estimated Concrete Demand (m³)]]*Market_Data[[#This Row],[Avg Price per (₹ / m³)]]/10000000)</f>
        <v>4.0609999999999999</v>
      </c>
      <c r="O1110" s="97" t="str">
        <f>IF(Market_Data[[#This Row],[Estimated Concrete Demand (m³)]]="","",
IF(Market_Data[[#This Row],[Estimated Concrete Demand (m³)]]&lt;10000,"Small",
IF(Market_Data[[#This Row],[Estimated Concrete Demand (m³)]]&lt;25000,"Medium",
IF(Market_Data[[#This Row],[Estimated Concrete Demand (m³)]]&lt;100000,"Large","Mega"))))</f>
        <v>Small</v>
      </c>
      <c r="P1110" s="287" t="str">
        <f t="shared" si="19"/>
        <v>GujRERA</v>
      </c>
    </row>
    <row r="1111" spans="1:16">
      <c r="A1111" s="129" t="str">
        <f>_xlfn.XLOOKUP(B1111,$S$9:$S$14,$T$9:$T$14)&amp;"-"&amp;
IF(E1111="Residential/Group Housing","RES",
IF(E1111="Commercial","COM",
IF(E1111="Mixed Development","MIX",
IF(E1111="Plotted Development","PLT","OTH"))))
&amp;"-"&amp;TEXT(COUNTIFS($B$9:B1111,B1111,$E$9:E1111,E1111),"0000")</f>
        <v>SUR-COM-0153</v>
      </c>
      <c r="B1111" s="322" t="s">
        <v>34</v>
      </c>
      <c r="C1111" s="322" t="s">
        <v>34</v>
      </c>
      <c r="D1111" s="323" t="s">
        <v>1301</v>
      </c>
      <c r="E1111" s="132" t="s">
        <v>23</v>
      </c>
      <c r="F1111" s="97" t="str">
        <f ca="1">IF(OR(Market_Data[[#This Row],[Start Date]]="",Market_Data[[#This Row],[Completion Date]]=""),"Needs Validation",IF(Market_Data[[#This Row],[Start Date]]&gt;TODAY(),"Planned",IF(Market_Data[[#This Row],[Completion Date]]&lt;TODAY(),"Completed","Ongoing")))</f>
        <v>Ongoing</v>
      </c>
      <c r="G1111" s="324">
        <v>45840</v>
      </c>
      <c r="H1111" s="324">
        <v>47848</v>
      </c>
      <c r="I1111" s="325">
        <v>34300</v>
      </c>
      <c r="J111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111" s="133">
        <f>_xlfn.XLOOKUP(Market_Data[[#This Row],[Project Type]],tbl_assumptions_market[Project Category (RERA)],tbl_assumptions_market[Concrete Intensity
(m³ / sq m BUA)],"",0)</f>
        <v>0.5</v>
      </c>
      <c r="L1111" s="134">
        <f>ROUND(Market_Data[[#This Row],[Estimated Built Up Area (sq m)]]*Market_Data[[#This Row],[Concrete Intensity
(m³ / sq m)]],0)</f>
        <v>17150</v>
      </c>
      <c r="M1111" s="135">
        <f>_xlfn.XLOOKUP(Market_Data[[#This Row],[District]],tbl_district_price[District],tbl_district_price[Standard Price
(INR/m³)],"",0)</f>
        <v>6200</v>
      </c>
      <c r="N1111" s="364">
        <f>IF(OR(Market_Data[[#This Row],[Estimated Concrete Demand (m³)]]="",Market_Data[[#This Row],[Avg Price per (₹ / m³)]]=""),"",Market_Data[[#This Row],[Estimated Concrete Demand (m³)]]*Market_Data[[#This Row],[Avg Price per (₹ / m³)]]/10000000)</f>
        <v>10.632999999999999</v>
      </c>
      <c r="O1111" s="97" t="str">
        <f>IF(Market_Data[[#This Row],[Estimated Concrete Demand (m³)]]="","",
IF(Market_Data[[#This Row],[Estimated Concrete Demand (m³)]]&lt;10000,"Small",
IF(Market_Data[[#This Row],[Estimated Concrete Demand (m³)]]&lt;25000,"Medium",
IF(Market_Data[[#This Row],[Estimated Concrete Demand (m³)]]&lt;100000,"Large","Mega"))))</f>
        <v>Medium</v>
      </c>
      <c r="P1111" s="287" t="str">
        <f t="shared" si="19"/>
        <v>GujRERA</v>
      </c>
    </row>
    <row r="1112" spans="1:16">
      <c r="A1112" s="129" t="str">
        <f>_xlfn.XLOOKUP(B1112,$S$9:$S$14,$T$9:$T$14)&amp;"-"&amp;
IF(E1112="Residential/Group Housing","RES",
IF(E1112="Commercial","COM",
IF(E1112="Mixed Development","MIX",
IF(E1112="Plotted Development","PLT","OTH"))))
&amp;"-"&amp;TEXT(COUNTIFS($B$9:B1112,B1112,$E$9:E1112,E1112),"0000")</f>
        <v>SUR-MIX-0146</v>
      </c>
      <c r="B1112" s="322" t="s">
        <v>34</v>
      </c>
      <c r="C1112" s="322" t="s">
        <v>34</v>
      </c>
      <c r="D1112" s="323" t="s">
        <v>1302</v>
      </c>
      <c r="E1112" s="132" t="s">
        <v>25</v>
      </c>
      <c r="F1112" s="97" t="str">
        <f ca="1">IF(OR(Market_Data[[#This Row],[Start Date]]="",Market_Data[[#This Row],[Completion Date]]=""),"Needs Validation",IF(Market_Data[[#This Row],[Start Date]]&gt;TODAY(),"Planned",IF(Market_Data[[#This Row],[Completion Date]]&lt;TODAY(),"Completed","Ongoing")))</f>
        <v>Completed</v>
      </c>
      <c r="G1112" s="324">
        <v>40605</v>
      </c>
      <c r="H1112" s="324">
        <v>45808</v>
      </c>
      <c r="I1112" s="325">
        <v>130400</v>
      </c>
      <c r="J111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12" s="133">
        <f>_xlfn.XLOOKUP(Market_Data[[#This Row],[Project Type]],tbl_assumptions_market[Project Category (RERA)],tbl_assumptions_market[Concrete Intensity
(m³ / sq m BUA)],"",0)</f>
        <v>0.42</v>
      </c>
      <c r="L1112" s="134">
        <f>ROUND(Market_Data[[#This Row],[Estimated Built Up Area (sq m)]]*Market_Data[[#This Row],[Concrete Intensity
(m³ / sq m)]],0)</f>
        <v>54768</v>
      </c>
      <c r="M1112" s="135">
        <f>_xlfn.XLOOKUP(Market_Data[[#This Row],[District]],tbl_district_price[District],tbl_district_price[Standard Price
(INR/m³)],"",0)</f>
        <v>6200</v>
      </c>
      <c r="N1112" s="364">
        <f>IF(OR(Market_Data[[#This Row],[Estimated Concrete Demand (m³)]]="",Market_Data[[#This Row],[Avg Price per (₹ / m³)]]=""),"",Market_Data[[#This Row],[Estimated Concrete Demand (m³)]]*Market_Data[[#This Row],[Avg Price per (₹ / m³)]]/10000000)</f>
        <v>33.956159999999997</v>
      </c>
      <c r="O1112" s="97" t="str">
        <f>IF(Market_Data[[#This Row],[Estimated Concrete Demand (m³)]]="","",
IF(Market_Data[[#This Row],[Estimated Concrete Demand (m³)]]&lt;10000,"Small",
IF(Market_Data[[#This Row],[Estimated Concrete Demand (m³)]]&lt;25000,"Medium",
IF(Market_Data[[#This Row],[Estimated Concrete Demand (m³)]]&lt;100000,"Large","Mega"))))</f>
        <v>Large</v>
      </c>
      <c r="P1112" s="287" t="str">
        <f t="shared" si="19"/>
        <v>GujRERA</v>
      </c>
    </row>
    <row r="1113" spans="1:16">
      <c r="A1113" s="129" t="str">
        <f>_xlfn.XLOOKUP(B1113,$S$9:$S$14,$T$9:$T$14)&amp;"-"&amp;
IF(E1113="Residential/Group Housing","RES",
IF(E1113="Commercial","COM",
IF(E1113="Mixed Development","MIX",
IF(E1113="Plotted Development","PLT","OTH"))))
&amp;"-"&amp;TEXT(COUNTIFS($B$9:B1113,B1113,$E$9:E1113,E1113),"0000")</f>
        <v>SUR-MIX-0147</v>
      </c>
      <c r="B1113" s="322" t="s">
        <v>34</v>
      </c>
      <c r="C1113" s="322" t="s">
        <v>34</v>
      </c>
      <c r="D1113" s="323" t="s">
        <v>1303</v>
      </c>
      <c r="E1113" s="132" t="s">
        <v>25</v>
      </c>
      <c r="F1113" s="97" t="str">
        <f ca="1">IF(OR(Market_Data[[#This Row],[Start Date]]="",Market_Data[[#This Row],[Completion Date]]=""),"Needs Validation",IF(Market_Data[[#This Row],[Start Date]]&gt;TODAY(),"Planned",IF(Market_Data[[#This Row],[Completion Date]]&lt;TODAY(),"Completed","Ongoing")))</f>
        <v>Completed</v>
      </c>
      <c r="G1113" s="324">
        <v>41766</v>
      </c>
      <c r="H1113" s="324">
        <v>43738</v>
      </c>
      <c r="I1113" s="325">
        <v>7400</v>
      </c>
      <c r="J111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113" s="133">
        <f>_xlfn.XLOOKUP(Market_Data[[#This Row],[Project Type]],tbl_assumptions_market[Project Category (RERA)],tbl_assumptions_market[Concrete Intensity
(m³ / sq m BUA)],"",0)</f>
        <v>0.42</v>
      </c>
      <c r="L1113" s="134">
        <f>ROUND(Market_Data[[#This Row],[Estimated Built Up Area (sq m)]]*Market_Data[[#This Row],[Concrete Intensity
(m³ / sq m)]],0)</f>
        <v>3108</v>
      </c>
      <c r="M1113" s="135">
        <f>_xlfn.XLOOKUP(Market_Data[[#This Row],[District]],tbl_district_price[District],tbl_district_price[Standard Price
(INR/m³)],"",0)</f>
        <v>6200</v>
      </c>
      <c r="N1113" s="364">
        <f>IF(OR(Market_Data[[#This Row],[Estimated Concrete Demand (m³)]]="",Market_Data[[#This Row],[Avg Price per (₹ / m³)]]=""),"",Market_Data[[#This Row],[Estimated Concrete Demand (m³)]]*Market_Data[[#This Row],[Avg Price per (₹ / m³)]]/10000000)</f>
        <v>1.92696</v>
      </c>
      <c r="O1113" s="97" t="str">
        <f>IF(Market_Data[[#This Row],[Estimated Concrete Demand (m³)]]="","",
IF(Market_Data[[#This Row],[Estimated Concrete Demand (m³)]]&lt;10000,"Small",
IF(Market_Data[[#This Row],[Estimated Concrete Demand (m³)]]&lt;25000,"Medium",
IF(Market_Data[[#This Row],[Estimated Concrete Demand (m³)]]&lt;100000,"Large","Mega"))))</f>
        <v>Small</v>
      </c>
      <c r="P1113" s="287" t="str">
        <f t="shared" si="19"/>
        <v>GujRERA</v>
      </c>
    </row>
    <row r="1114" spans="1:16">
      <c r="A1114" s="129" t="str">
        <f>_xlfn.XLOOKUP(B1114,$S$9:$S$14,$T$9:$T$14)&amp;"-"&amp;
IF(E1114="Residential/Group Housing","RES",
IF(E1114="Commercial","COM",
IF(E1114="Mixed Development","MIX",
IF(E1114="Plotted Development","PLT","OTH"))))
&amp;"-"&amp;TEXT(COUNTIFS($B$9:B1114,B1114,$E$9:E1114,E1114),"0000")</f>
        <v>SUR-MIX-0148</v>
      </c>
      <c r="B1114" s="322" t="s">
        <v>34</v>
      </c>
      <c r="C1114" s="322" t="s">
        <v>34</v>
      </c>
      <c r="D1114" s="323" t="s">
        <v>1304</v>
      </c>
      <c r="E1114" s="132" t="s">
        <v>25</v>
      </c>
      <c r="F1114" s="97" t="str">
        <f ca="1">IF(OR(Market_Data[[#This Row],[Start Date]]="",Market_Data[[#This Row],[Completion Date]]=""),"Needs Validation",IF(Market_Data[[#This Row],[Start Date]]&gt;TODAY(),"Planned",IF(Market_Data[[#This Row],[Completion Date]]&lt;TODAY(),"Completed","Ongoing")))</f>
        <v>Completed</v>
      </c>
      <c r="G1114" s="324">
        <v>42562</v>
      </c>
      <c r="H1114" s="324">
        <v>43830</v>
      </c>
      <c r="I1114" s="325">
        <v>22900</v>
      </c>
      <c r="J111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14" s="133">
        <f>_xlfn.XLOOKUP(Market_Data[[#This Row],[Project Type]],tbl_assumptions_market[Project Category (RERA)],tbl_assumptions_market[Concrete Intensity
(m³ / sq m BUA)],"",0)</f>
        <v>0.42</v>
      </c>
      <c r="L1114" s="134">
        <f>ROUND(Market_Data[[#This Row],[Estimated Built Up Area (sq m)]]*Market_Data[[#This Row],[Concrete Intensity
(m³ / sq m)]],0)</f>
        <v>9618</v>
      </c>
      <c r="M1114" s="135">
        <f>_xlfn.XLOOKUP(Market_Data[[#This Row],[District]],tbl_district_price[District],tbl_district_price[Standard Price
(INR/m³)],"",0)</f>
        <v>6200</v>
      </c>
      <c r="N1114" s="364">
        <f>IF(OR(Market_Data[[#This Row],[Estimated Concrete Demand (m³)]]="",Market_Data[[#This Row],[Avg Price per (₹ / m³)]]=""),"",Market_Data[[#This Row],[Estimated Concrete Demand (m³)]]*Market_Data[[#This Row],[Avg Price per (₹ / m³)]]/10000000)</f>
        <v>5.9631600000000002</v>
      </c>
      <c r="O1114" s="97" t="str">
        <f>IF(Market_Data[[#This Row],[Estimated Concrete Demand (m³)]]="","",
IF(Market_Data[[#This Row],[Estimated Concrete Demand (m³)]]&lt;10000,"Small",
IF(Market_Data[[#This Row],[Estimated Concrete Demand (m³)]]&lt;25000,"Medium",
IF(Market_Data[[#This Row],[Estimated Concrete Demand (m³)]]&lt;100000,"Large","Mega"))))</f>
        <v>Small</v>
      </c>
      <c r="P1114" s="287" t="str">
        <f t="shared" si="19"/>
        <v>GujRERA</v>
      </c>
    </row>
    <row r="1115" spans="1:16">
      <c r="A1115" s="129" t="str">
        <f>_xlfn.XLOOKUP(B1115,$S$9:$S$14,$T$9:$T$14)&amp;"-"&amp;
IF(E1115="Residential/Group Housing","RES",
IF(E1115="Commercial","COM",
IF(E1115="Mixed Development","MIX",
IF(E1115="Plotted Development","PLT","OTH"))))
&amp;"-"&amp;TEXT(COUNTIFS($B$9:B1115,B1115,$E$9:E1115,E1115),"0000")</f>
        <v>SUR-RES-0290</v>
      </c>
      <c r="B1115" s="322" t="s">
        <v>34</v>
      </c>
      <c r="C1115" s="322" t="s">
        <v>34</v>
      </c>
      <c r="D1115" s="323" t="s">
        <v>1305</v>
      </c>
      <c r="E1115" s="132" t="s">
        <v>24</v>
      </c>
      <c r="F1115" s="97" t="str">
        <f ca="1">IF(OR(Market_Data[[#This Row],[Start Date]]="",Market_Data[[#This Row],[Completion Date]]=""),"Needs Validation",IF(Market_Data[[#This Row],[Start Date]]&gt;TODAY(),"Planned",IF(Market_Data[[#This Row],[Completion Date]]&lt;TODAY(),"Completed","Ongoing")))</f>
        <v>Ongoing</v>
      </c>
      <c r="G1115" s="324">
        <v>45198</v>
      </c>
      <c r="H1115" s="324">
        <v>47483</v>
      </c>
      <c r="I1115" s="325">
        <v>42800</v>
      </c>
      <c r="J111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15" s="133">
        <f>_xlfn.XLOOKUP(Market_Data[[#This Row],[Project Type]],tbl_assumptions_market[Project Category (RERA)],tbl_assumptions_market[Concrete Intensity
(m³ / sq m BUA)],"",0)</f>
        <v>0.45</v>
      </c>
      <c r="L1115" s="134">
        <f>ROUND(Market_Data[[#This Row],[Estimated Built Up Area (sq m)]]*Market_Data[[#This Row],[Concrete Intensity
(m³ / sq m)]],0)</f>
        <v>19260</v>
      </c>
      <c r="M1115" s="135">
        <f>_xlfn.XLOOKUP(Market_Data[[#This Row],[District]],tbl_district_price[District],tbl_district_price[Standard Price
(INR/m³)],"",0)</f>
        <v>6200</v>
      </c>
      <c r="N1115" s="364">
        <f>IF(OR(Market_Data[[#This Row],[Estimated Concrete Demand (m³)]]="",Market_Data[[#This Row],[Avg Price per (₹ / m³)]]=""),"",Market_Data[[#This Row],[Estimated Concrete Demand (m³)]]*Market_Data[[#This Row],[Avg Price per (₹ / m³)]]/10000000)</f>
        <v>11.9412</v>
      </c>
      <c r="O1115" s="97" t="str">
        <f>IF(Market_Data[[#This Row],[Estimated Concrete Demand (m³)]]="","",
IF(Market_Data[[#This Row],[Estimated Concrete Demand (m³)]]&lt;10000,"Small",
IF(Market_Data[[#This Row],[Estimated Concrete Demand (m³)]]&lt;25000,"Medium",
IF(Market_Data[[#This Row],[Estimated Concrete Demand (m³)]]&lt;100000,"Large","Mega"))))</f>
        <v>Medium</v>
      </c>
      <c r="P1115" s="287" t="str">
        <f t="shared" si="19"/>
        <v>GujRERA</v>
      </c>
    </row>
    <row r="1116" spans="1:16">
      <c r="A1116" s="129" t="str">
        <f>_xlfn.XLOOKUP(B1116,$S$9:$S$14,$T$9:$T$14)&amp;"-"&amp;
IF(E1116="Residential/Group Housing","RES",
IF(E1116="Commercial","COM",
IF(E1116="Mixed Development","MIX",
IF(E1116="Plotted Development","PLT","OTH"))))
&amp;"-"&amp;TEXT(COUNTIFS($B$9:B1116,B1116,$E$9:E1116,E1116),"0000")</f>
        <v>SUR-COM-0154</v>
      </c>
      <c r="B1116" s="322" t="s">
        <v>34</v>
      </c>
      <c r="C1116" s="322" t="s">
        <v>34</v>
      </c>
      <c r="D1116" s="323" t="s">
        <v>1306</v>
      </c>
      <c r="E1116" s="132" t="s">
        <v>23</v>
      </c>
      <c r="F1116" s="97" t="str">
        <f ca="1">IF(OR(Market_Data[[#This Row],[Start Date]]="",Market_Data[[#This Row],[Completion Date]]=""),"Needs Validation",IF(Market_Data[[#This Row],[Start Date]]&gt;TODAY(),"Planned",IF(Market_Data[[#This Row],[Completion Date]]&lt;TODAY(),"Completed","Ongoing")))</f>
        <v>Completed</v>
      </c>
      <c r="G1116" s="324">
        <v>43405</v>
      </c>
      <c r="H1116" s="324">
        <v>44469</v>
      </c>
      <c r="I1116" s="325">
        <v>20000</v>
      </c>
      <c r="J111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16" s="133">
        <f>_xlfn.XLOOKUP(Market_Data[[#This Row],[Project Type]],tbl_assumptions_market[Project Category (RERA)],tbl_assumptions_market[Concrete Intensity
(m³ / sq m BUA)],"",0)</f>
        <v>0.5</v>
      </c>
      <c r="L1116" s="134">
        <f>ROUND(Market_Data[[#This Row],[Estimated Built Up Area (sq m)]]*Market_Data[[#This Row],[Concrete Intensity
(m³ / sq m)]],0)</f>
        <v>10000</v>
      </c>
      <c r="M1116" s="135">
        <f>_xlfn.XLOOKUP(Market_Data[[#This Row],[District]],tbl_district_price[District],tbl_district_price[Standard Price
(INR/m³)],"",0)</f>
        <v>6200</v>
      </c>
      <c r="N1116" s="364">
        <f>IF(OR(Market_Data[[#This Row],[Estimated Concrete Demand (m³)]]="",Market_Data[[#This Row],[Avg Price per (₹ / m³)]]=""),"",Market_Data[[#This Row],[Estimated Concrete Demand (m³)]]*Market_Data[[#This Row],[Avg Price per (₹ / m³)]]/10000000)</f>
        <v>6.2</v>
      </c>
      <c r="O1116" s="97" t="str">
        <f>IF(Market_Data[[#This Row],[Estimated Concrete Demand (m³)]]="","",
IF(Market_Data[[#This Row],[Estimated Concrete Demand (m³)]]&lt;10000,"Small",
IF(Market_Data[[#This Row],[Estimated Concrete Demand (m³)]]&lt;25000,"Medium",
IF(Market_Data[[#This Row],[Estimated Concrete Demand (m³)]]&lt;100000,"Large","Mega"))))</f>
        <v>Medium</v>
      </c>
      <c r="P1116" s="287" t="str">
        <f t="shared" si="19"/>
        <v>GujRERA</v>
      </c>
    </row>
    <row r="1117" spans="1:16">
      <c r="A1117" s="129" t="str">
        <f>_xlfn.XLOOKUP(B1117,$S$9:$S$14,$T$9:$T$14)&amp;"-"&amp;
IF(E1117="Residential/Group Housing","RES",
IF(E1117="Commercial","COM",
IF(E1117="Mixed Development","MIX",
IF(E1117="Plotted Development","PLT","OTH"))))
&amp;"-"&amp;TEXT(COUNTIFS($B$9:B1117,B1117,$E$9:E1117,E1117),"0000")</f>
        <v>SUR-MIX-0149</v>
      </c>
      <c r="B1117" s="322" t="s">
        <v>34</v>
      </c>
      <c r="C1117" s="322" t="s">
        <v>34</v>
      </c>
      <c r="D1117" s="323" t="s">
        <v>1307</v>
      </c>
      <c r="E1117" s="132" t="s">
        <v>25</v>
      </c>
      <c r="F1117" s="97" t="str">
        <f ca="1">IF(OR(Market_Data[[#This Row],[Start Date]]="",Market_Data[[#This Row],[Completion Date]]=""),"Needs Validation",IF(Market_Data[[#This Row],[Start Date]]&gt;TODAY(),"Planned",IF(Market_Data[[#This Row],[Completion Date]]&lt;TODAY(),"Completed","Ongoing")))</f>
        <v>Ongoing</v>
      </c>
      <c r="G1117" s="324">
        <v>44855</v>
      </c>
      <c r="H1117" s="324">
        <v>47118</v>
      </c>
      <c r="I1117" s="325">
        <v>24000</v>
      </c>
      <c r="J111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17" s="133">
        <f>_xlfn.XLOOKUP(Market_Data[[#This Row],[Project Type]],tbl_assumptions_market[Project Category (RERA)],tbl_assumptions_market[Concrete Intensity
(m³ / sq m BUA)],"",0)</f>
        <v>0.42</v>
      </c>
      <c r="L1117" s="134">
        <f>ROUND(Market_Data[[#This Row],[Estimated Built Up Area (sq m)]]*Market_Data[[#This Row],[Concrete Intensity
(m³ / sq m)]],0)</f>
        <v>10080</v>
      </c>
      <c r="M1117" s="135">
        <f>_xlfn.XLOOKUP(Market_Data[[#This Row],[District]],tbl_district_price[District],tbl_district_price[Standard Price
(INR/m³)],"",0)</f>
        <v>6200</v>
      </c>
      <c r="N1117" s="364">
        <f>IF(OR(Market_Data[[#This Row],[Estimated Concrete Demand (m³)]]="",Market_Data[[#This Row],[Avg Price per (₹ / m³)]]=""),"",Market_Data[[#This Row],[Estimated Concrete Demand (m³)]]*Market_Data[[#This Row],[Avg Price per (₹ / m³)]]/10000000)</f>
        <v>6.2496</v>
      </c>
      <c r="O1117" s="97" t="str">
        <f>IF(Market_Data[[#This Row],[Estimated Concrete Demand (m³)]]="","",
IF(Market_Data[[#This Row],[Estimated Concrete Demand (m³)]]&lt;10000,"Small",
IF(Market_Data[[#This Row],[Estimated Concrete Demand (m³)]]&lt;25000,"Medium",
IF(Market_Data[[#This Row],[Estimated Concrete Demand (m³)]]&lt;100000,"Large","Mega"))))</f>
        <v>Medium</v>
      </c>
      <c r="P1117" s="287" t="str">
        <f t="shared" si="19"/>
        <v>GujRERA</v>
      </c>
    </row>
    <row r="1118" spans="1:16">
      <c r="A1118" s="129" t="str">
        <f>_xlfn.XLOOKUP(B1118,$S$9:$S$14,$T$9:$T$14)&amp;"-"&amp;
IF(E1118="Residential/Group Housing","RES",
IF(E1118="Commercial","COM",
IF(E1118="Mixed Development","MIX",
IF(E1118="Plotted Development","PLT","OTH"))))
&amp;"-"&amp;TEXT(COUNTIFS($B$9:B1118,B1118,$E$9:E1118,E1118),"0000")</f>
        <v>SUR-MIX-0150</v>
      </c>
      <c r="B1118" s="322" t="s">
        <v>34</v>
      </c>
      <c r="C1118" s="322" t="s">
        <v>34</v>
      </c>
      <c r="D1118" s="323" t="s">
        <v>1308</v>
      </c>
      <c r="E1118" s="132" t="s">
        <v>25</v>
      </c>
      <c r="F1118" s="97" t="str">
        <f ca="1">IF(OR(Market_Data[[#This Row],[Start Date]]="",Market_Data[[#This Row],[Completion Date]]=""),"Needs Validation",IF(Market_Data[[#This Row],[Start Date]]&gt;TODAY(),"Planned",IF(Market_Data[[#This Row],[Completion Date]]&lt;TODAY(),"Completed","Ongoing")))</f>
        <v>Ongoing</v>
      </c>
      <c r="G1118" s="324">
        <v>44574</v>
      </c>
      <c r="H1118" s="324">
        <v>46477</v>
      </c>
      <c r="I1118" s="325">
        <v>55800</v>
      </c>
      <c r="J111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18" s="133">
        <f>_xlfn.XLOOKUP(Market_Data[[#This Row],[Project Type]],tbl_assumptions_market[Project Category (RERA)],tbl_assumptions_market[Concrete Intensity
(m³ / sq m BUA)],"",0)</f>
        <v>0.42</v>
      </c>
      <c r="L1118" s="134">
        <f>ROUND(Market_Data[[#This Row],[Estimated Built Up Area (sq m)]]*Market_Data[[#This Row],[Concrete Intensity
(m³ / sq m)]],0)</f>
        <v>23436</v>
      </c>
      <c r="M1118" s="135">
        <f>_xlfn.XLOOKUP(Market_Data[[#This Row],[District]],tbl_district_price[District],tbl_district_price[Standard Price
(INR/m³)],"",0)</f>
        <v>6200</v>
      </c>
      <c r="N1118" s="364">
        <f>IF(OR(Market_Data[[#This Row],[Estimated Concrete Demand (m³)]]="",Market_Data[[#This Row],[Avg Price per (₹ / m³)]]=""),"",Market_Data[[#This Row],[Estimated Concrete Demand (m³)]]*Market_Data[[#This Row],[Avg Price per (₹ / m³)]]/10000000)</f>
        <v>14.53032</v>
      </c>
      <c r="O1118" s="97" t="str">
        <f>IF(Market_Data[[#This Row],[Estimated Concrete Demand (m³)]]="","",
IF(Market_Data[[#This Row],[Estimated Concrete Demand (m³)]]&lt;10000,"Small",
IF(Market_Data[[#This Row],[Estimated Concrete Demand (m³)]]&lt;25000,"Medium",
IF(Market_Data[[#This Row],[Estimated Concrete Demand (m³)]]&lt;100000,"Large","Mega"))))</f>
        <v>Medium</v>
      </c>
      <c r="P1118" s="287" t="str">
        <f t="shared" si="19"/>
        <v>GujRERA</v>
      </c>
    </row>
    <row r="1119" spans="1:16">
      <c r="A1119" s="129" t="str">
        <f>_xlfn.XLOOKUP(B1119,$S$9:$S$14,$T$9:$T$14)&amp;"-"&amp;
IF(E1119="Residential/Group Housing","RES",
IF(E1119="Commercial","COM",
IF(E1119="Mixed Development","MIX",
IF(E1119="Plotted Development","PLT","OTH"))))
&amp;"-"&amp;TEXT(COUNTIFS($B$9:B1119,B1119,$E$9:E1119,E1119),"0000")</f>
        <v>SUR-COM-0155</v>
      </c>
      <c r="B1119" s="322" t="s">
        <v>34</v>
      </c>
      <c r="C1119" s="322" t="s">
        <v>34</v>
      </c>
      <c r="D1119" s="323" t="s">
        <v>1309</v>
      </c>
      <c r="E1119" s="132" t="s">
        <v>23</v>
      </c>
      <c r="F1119" s="97" t="str">
        <f ca="1">IF(OR(Market_Data[[#This Row],[Start Date]]="",Market_Data[[#This Row],[Completion Date]]=""),"Needs Validation",IF(Market_Data[[#This Row],[Start Date]]&gt;TODAY(),"Planned",IF(Market_Data[[#This Row],[Completion Date]]&lt;TODAY(),"Completed","Ongoing")))</f>
        <v>Completed</v>
      </c>
      <c r="G1119" s="324">
        <v>44098</v>
      </c>
      <c r="H1119" s="324">
        <v>46022</v>
      </c>
      <c r="I1119" s="325">
        <v>11800</v>
      </c>
      <c r="J111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19" s="133">
        <f>_xlfn.XLOOKUP(Market_Data[[#This Row],[Project Type]],tbl_assumptions_market[Project Category (RERA)],tbl_assumptions_market[Concrete Intensity
(m³ / sq m BUA)],"",0)</f>
        <v>0.5</v>
      </c>
      <c r="L1119" s="134">
        <f>ROUND(Market_Data[[#This Row],[Estimated Built Up Area (sq m)]]*Market_Data[[#This Row],[Concrete Intensity
(m³ / sq m)]],0)</f>
        <v>5900</v>
      </c>
      <c r="M1119" s="135">
        <f>_xlfn.XLOOKUP(Market_Data[[#This Row],[District]],tbl_district_price[District],tbl_district_price[Standard Price
(INR/m³)],"",0)</f>
        <v>6200</v>
      </c>
      <c r="N1119" s="364">
        <f>IF(OR(Market_Data[[#This Row],[Estimated Concrete Demand (m³)]]="",Market_Data[[#This Row],[Avg Price per (₹ / m³)]]=""),"",Market_Data[[#This Row],[Estimated Concrete Demand (m³)]]*Market_Data[[#This Row],[Avg Price per (₹ / m³)]]/10000000)</f>
        <v>3.6579999999999999</v>
      </c>
      <c r="O1119" s="97" t="str">
        <f>IF(Market_Data[[#This Row],[Estimated Concrete Demand (m³)]]="","",
IF(Market_Data[[#This Row],[Estimated Concrete Demand (m³)]]&lt;10000,"Small",
IF(Market_Data[[#This Row],[Estimated Concrete Demand (m³)]]&lt;25000,"Medium",
IF(Market_Data[[#This Row],[Estimated Concrete Demand (m³)]]&lt;100000,"Large","Mega"))))</f>
        <v>Small</v>
      </c>
      <c r="P1119" s="287" t="str">
        <f t="shared" si="19"/>
        <v>GujRERA</v>
      </c>
    </row>
    <row r="1120" spans="1:16">
      <c r="A1120" s="129" t="str">
        <f>_xlfn.XLOOKUP(B1120,$S$9:$S$14,$T$9:$T$14)&amp;"-"&amp;
IF(E1120="Residential/Group Housing","RES",
IF(E1120="Commercial","COM",
IF(E1120="Mixed Development","MIX",
IF(E1120="Plotted Development","PLT","OTH"))))
&amp;"-"&amp;TEXT(COUNTIFS($B$9:B1120,B1120,$E$9:E1120,E1120),"0000")</f>
        <v>SUR-MIX-0151</v>
      </c>
      <c r="B1120" s="322" t="s">
        <v>34</v>
      </c>
      <c r="C1120" s="322" t="s">
        <v>34</v>
      </c>
      <c r="D1120" s="323" t="s">
        <v>1310</v>
      </c>
      <c r="E1120" s="132" t="s">
        <v>25</v>
      </c>
      <c r="F1120" s="97" t="str">
        <f ca="1">IF(OR(Market_Data[[#This Row],[Start Date]]="",Market_Data[[#This Row],[Completion Date]]=""),"Needs Validation",IF(Market_Data[[#This Row],[Start Date]]&gt;TODAY(),"Planned",IF(Market_Data[[#This Row],[Completion Date]]&lt;TODAY(),"Completed","Ongoing")))</f>
        <v>Ongoing</v>
      </c>
      <c r="G1120" s="324">
        <v>45971</v>
      </c>
      <c r="H1120" s="324">
        <v>47848</v>
      </c>
      <c r="I1120" s="325">
        <v>13200</v>
      </c>
      <c r="J112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20" s="133">
        <f>_xlfn.XLOOKUP(Market_Data[[#This Row],[Project Type]],tbl_assumptions_market[Project Category (RERA)],tbl_assumptions_market[Concrete Intensity
(m³ / sq m BUA)],"",0)</f>
        <v>0.42</v>
      </c>
      <c r="L1120" s="134">
        <f>ROUND(Market_Data[[#This Row],[Estimated Built Up Area (sq m)]]*Market_Data[[#This Row],[Concrete Intensity
(m³ / sq m)]],0)</f>
        <v>5544</v>
      </c>
      <c r="M1120" s="135">
        <f>_xlfn.XLOOKUP(Market_Data[[#This Row],[District]],tbl_district_price[District],tbl_district_price[Standard Price
(INR/m³)],"",0)</f>
        <v>6200</v>
      </c>
      <c r="N1120" s="364">
        <f>IF(OR(Market_Data[[#This Row],[Estimated Concrete Demand (m³)]]="",Market_Data[[#This Row],[Avg Price per (₹ / m³)]]=""),"",Market_Data[[#This Row],[Estimated Concrete Demand (m³)]]*Market_Data[[#This Row],[Avg Price per (₹ / m³)]]/10000000)</f>
        <v>3.4372799999999999</v>
      </c>
      <c r="O1120" s="97" t="str">
        <f>IF(Market_Data[[#This Row],[Estimated Concrete Demand (m³)]]="","",
IF(Market_Data[[#This Row],[Estimated Concrete Demand (m³)]]&lt;10000,"Small",
IF(Market_Data[[#This Row],[Estimated Concrete Demand (m³)]]&lt;25000,"Medium",
IF(Market_Data[[#This Row],[Estimated Concrete Demand (m³)]]&lt;100000,"Large","Mega"))))</f>
        <v>Small</v>
      </c>
      <c r="P1120" s="287" t="str">
        <f t="shared" si="19"/>
        <v>GujRERA</v>
      </c>
    </row>
    <row r="1121" spans="1:16">
      <c r="A1121" s="129" t="str">
        <f>_xlfn.XLOOKUP(B1121,$S$9:$S$14,$T$9:$T$14)&amp;"-"&amp;
IF(E1121="Residential/Group Housing","RES",
IF(E1121="Commercial","COM",
IF(E1121="Mixed Development","MIX",
IF(E1121="Plotted Development","PLT","OTH"))))
&amp;"-"&amp;TEXT(COUNTIFS($B$9:B1121,B1121,$E$9:E1121,E1121),"0000")</f>
        <v>SUR-RES-0291</v>
      </c>
      <c r="B1121" s="322" t="s">
        <v>34</v>
      </c>
      <c r="C1121" s="322" t="s">
        <v>34</v>
      </c>
      <c r="D1121" s="323" t="s">
        <v>1311</v>
      </c>
      <c r="E1121" s="132" t="s">
        <v>24</v>
      </c>
      <c r="F1121" s="97" t="str">
        <f ca="1">IF(OR(Market_Data[[#This Row],[Start Date]]="",Market_Data[[#This Row],[Completion Date]]=""),"Needs Validation",IF(Market_Data[[#This Row],[Start Date]]&gt;TODAY(),"Planned",IF(Market_Data[[#This Row],[Completion Date]]&lt;TODAY(),"Completed","Ongoing")))</f>
        <v>Completed</v>
      </c>
      <c r="G1121" s="324">
        <v>44251</v>
      </c>
      <c r="H1121" s="324">
        <v>45747</v>
      </c>
      <c r="I1121" s="325">
        <v>10900</v>
      </c>
      <c r="J112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21" s="133">
        <f>_xlfn.XLOOKUP(Market_Data[[#This Row],[Project Type]],tbl_assumptions_market[Project Category (RERA)],tbl_assumptions_market[Concrete Intensity
(m³ / sq m BUA)],"",0)</f>
        <v>0.45</v>
      </c>
      <c r="L1121" s="134">
        <f>ROUND(Market_Data[[#This Row],[Estimated Built Up Area (sq m)]]*Market_Data[[#This Row],[Concrete Intensity
(m³ / sq m)]],0)</f>
        <v>4905</v>
      </c>
      <c r="M1121" s="135">
        <f>_xlfn.XLOOKUP(Market_Data[[#This Row],[District]],tbl_district_price[District],tbl_district_price[Standard Price
(INR/m³)],"",0)</f>
        <v>6200</v>
      </c>
      <c r="N1121" s="364">
        <f>IF(OR(Market_Data[[#This Row],[Estimated Concrete Demand (m³)]]="",Market_Data[[#This Row],[Avg Price per (₹ / m³)]]=""),"",Market_Data[[#This Row],[Estimated Concrete Demand (m³)]]*Market_Data[[#This Row],[Avg Price per (₹ / m³)]]/10000000)</f>
        <v>3.0411000000000001</v>
      </c>
      <c r="O1121" s="97" t="str">
        <f>IF(Market_Data[[#This Row],[Estimated Concrete Demand (m³)]]="","",
IF(Market_Data[[#This Row],[Estimated Concrete Demand (m³)]]&lt;10000,"Small",
IF(Market_Data[[#This Row],[Estimated Concrete Demand (m³)]]&lt;25000,"Medium",
IF(Market_Data[[#This Row],[Estimated Concrete Demand (m³)]]&lt;100000,"Large","Mega"))))</f>
        <v>Small</v>
      </c>
      <c r="P1121" s="287" t="str">
        <f t="shared" si="19"/>
        <v>GujRERA</v>
      </c>
    </row>
    <row r="1122" spans="1:16">
      <c r="A1122" s="129" t="str">
        <f>_xlfn.XLOOKUP(B1122,$S$9:$S$14,$T$9:$T$14)&amp;"-"&amp;
IF(E1122="Residential/Group Housing","RES",
IF(E1122="Commercial","COM",
IF(E1122="Mixed Development","MIX",
IF(E1122="Plotted Development","PLT","OTH"))))
&amp;"-"&amp;TEXT(COUNTIFS($B$9:B1122,B1122,$E$9:E1122,E1122),"0000")</f>
        <v>SUR-RES-0292</v>
      </c>
      <c r="B1122" s="322" t="s">
        <v>34</v>
      </c>
      <c r="C1122" s="322" t="s">
        <v>34</v>
      </c>
      <c r="D1122" s="323" t="s">
        <v>1312</v>
      </c>
      <c r="E1122" s="132" t="s">
        <v>24</v>
      </c>
      <c r="F1122" s="97" t="str">
        <f ca="1">IF(OR(Market_Data[[#This Row],[Start Date]]="",Market_Data[[#This Row],[Completion Date]]=""),"Needs Validation",IF(Market_Data[[#This Row],[Start Date]]&gt;TODAY(),"Planned",IF(Market_Data[[#This Row],[Completion Date]]&lt;TODAY(),"Completed","Ongoing")))</f>
        <v>Ongoing</v>
      </c>
      <c r="G1122" s="324">
        <v>45474</v>
      </c>
      <c r="H1122" s="324">
        <v>46752</v>
      </c>
      <c r="I1122" s="325">
        <v>14300</v>
      </c>
      <c r="J112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22" s="133">
        <f>_xlfn.XLOOKUP(Market_Data[[#This Row],[Project Type]],tbl_assumptions_market[Project Category (RERA)],tbl_assumptions_market[Concrete Intensity
(m³ / sq m BUA)],"",0)</f>
        <v>0.45</v>
      </c>
      <c r="L1122" s="134">
        <f>ROUND(Market_Data[[#This Row],[Estimated Built Up Area (sq m)]]*Market_Data[[#This Row],[Concrete Intensity
(m³ / sq m)]],0)</f>
        <v>6435</v>
      </c>
      <c r="M1122" s="135">
        <f>_xlfn.XLOOKUP(Market_Data[[#This Row],[District]],tbl_district_price[District],tbl_district_price[Standard Price
(INR/m³)],"",0)</f>
        <v>6200</v>
      </c>
      <c r="N1122" s="364">
        <f>IF(OR(Market_Data[[#This Row],[Estimated Concrete Demand (m³)]]="",Market_Data[[#This Row],[Avg Price per (₹ / m³)]]=""),"",Market_Data[[#This Row],[Estimated Concrete Demand (m³)]]*Market_Data[[#This Row],[Avg Price per (₹ / m³)]]/10000000)</f>
        <v>3.9897</v>
      </c>
      <c r="O1122" s="97" t="str">
        <f>IF(Market_Data[[#This Row],[Estimated Concrete Demand (m³)]]="","",
IF(Market_Data[[#This Row],[Estimated Concrete Demand (m³)]]&lt;10000,"Small",
IF(Market_Data[[#This Row],[Estimated Concrete Demand (m³)]]&lt;25000,"Medium",
IF(Market_Data[[#This Row],[Estimated Concrete Demand (m³)]]&lt;100000,"Large","Mega"))))</f>
        <v>Small</v>
      </c>
      <c r="P1122" s="287" t="str">
        <f t="shared" si="19"/>
        <v>GujRERA</v>
      </c>
    </row>
    <row r="1123" spans="1:16">
      <c r="A1123" s="129" t="str">
        <f>_xlfn.XLOOKUP(B1123,$S$9:$S$14,$T$9:$T$14)&amp;"-"&amp;
IF(E1123="Residential/Group Housing","RES",
IF(E1123="Commercial","COM",
IF(E1123="Mixed Development","MIX",
IF(E1123="Plotted Development","PLT","OTH"))))
&amp;"-"&amp;TEXT(COUNTIFS($B$9:B1123,B1123,$E$9:E1123,E1123),"0000")</f>
        <v>SUR-MIX-0152</v>
      </c>
      <c r="B1123" s="322" t="s">
        <v>34</v>
      </c>
      <c r="C1123" s="322" t="s">
        <v>34</v>
      </c>
      <c r="D1123" s="323" t="s">
        <v>1313</v>
      </c>
      <c r="E1123" s="132" t="s">
        <v>25</v>
      </c>
      <c r="F1123" s="97" t="str">
        <f ca="1">IF(OR(Market_Data[[#This Row],[Start Date]]="",Market_Data[[#This Row],[Completion Date]]=""),"Needs Validation",IF(Market_Data[[#This Row],[Start Date]]&gt;TODAY(),"Planned",IF(Market_Data[[#This Row],[Completion Date]]&lt;TODAY(),"Completed","Ongoing")))</f>
        <v>Completed</v>
      </c>
      <c r="G1123" s="324">
        <v>43896</v>
      </c>
      <c r="H1123" s="324">
        <v>46022</v>
      </c>
      <c r="I1123" s="325">
        <v>22700</v>
      </c>
      <c r="J112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23" s="133">
        <f>_xlfn.XLOOKUP(Market_Data[[#This Row],[Project Type]],tbl_assumptions_market[Project Category (RERA)],tbl_assumptions_market[Concrete Intensity
(m³ / sq m BUA)],"",0)</f>
        <v>0.42</v>
      </c>
      <c r="L1123" s="134">
        <f>ROUND(Market_Data[[#This Row],[Estimated Built Up Area (sq m)]]*Market_Data[[#This Row],[Concrete Intensity
(m³ / sq m)]],0)</f>
        <v>9534</v>
      </c>
      <c r="M1123" s="135">
        <f>_xlfn.XLOOKUP(Market_Data[[#This Row],[District]],tbl_district_price[District],tbl_district_price[Standard Price
(INR/m³)],"",0)</f>
        <v>6200</v>
      </c>
      <c r="N1123" s="364">
        <f>IF(OR(Market_Data[[#This Row],[Estimated Concrete Demand (m³)]]="",Market_Data[[#This Row],[Avg Price per (₹ / m³)]]=""),"",Market_Data[[#This Row],[Estimated Concrete Demand (m³)]]*Market_Data[[#This Row],[Avg Price per (₹ / m³)]]/10000000)</f>
        <v>5.9110800000000001</v>
      </c>
      <c r="O1123" s="97" t="str">
        <f>IF(Market_Data[[#This Row],[Estimated Concrete Demand (m³)]]="","",
IF(Market_Data[[#This Row],[Estimated Concrete Demand (m³)]]&lt;10000,"Small",
IF(Market_Data[[#This Row],[Estimated Concrete Demand (m³)]]&lt;25000,"Medium",
IF(Market_Data[[#This Row],[Estimated Concrete Demand (m³)]]&lt;100000,"Large","Mega"))))</f>
        <v>Small</v>
      </c>
      <c r="P1123" s="287" t="str">
        <f t="shared" si="19"/>
        <v>GujRERA</v>
      </c>
    </row>
    <row r="1124" spans="1:16">
      <c r="A1124" s="129" t="str">
        <f>_xlfn.XLOOKUP(B1124,$S$9:$S$14,$T$9:$T$14)&amp;"-"&amp;
IF(E1124="Residential/Group Housing","RES",
IF(E1124="Commercial","COM",
IF(E1124="Mixed Development","MIX",
IF(E1124="Plotted Development","PLT","OTH"))))
&amp;"-"&amp;TEXT(COUNTIFS($B$9:B1124,B1124,$E$9:E1124,E1124),"0000")</f>
        <v>SUR-RES-0293</v>
      </c>
      <c r="B1124" s="322" t="s">
        <v>34</v>
      </c>
      <c r="C1124" s="322" t="s">
        <v>34</v>
      </c>
      <c r="D1124" s="323" t="s">
        <v>1314</v>
      </c>
      <c r="E1124" s="132" t="s">
        <v>24</v>
      </c>
      <c r="F1124" s="97" t="str">
        <f ca="1">IF(OR(Market_Data[[#This Row],[Start Date]]="",Market_Data[[#This Row],[Completion Date]]=""),"Needs Validation",IF(Market_Data[[#This Row],[Start Date]]&gt;TODAY(),"Planned",IF(Market_Data[[#This Row],[Completion Date]]&lt;TODAY(),"Completed","Ongoing")))</f>
        <v>Ongoing</v>
      </c>
      <c r="G1124" s="324">
        <v>45777</v>
      </c>
      <c r="H1124" s="324">
        <v>47664</v>
      </c>
      <c r="I1124" s="325">
        <v>20800</v>
      </c>
      <c r="J112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24" s="133">
        <f>_xlfn.XLOOKUP(Market_Data[[#This Row],[Project Type]],tbl_assumptions_market[Project Category (RERA)],tbl_assumptions_market[Concrete Intensity
(m³ / sq m BUA)],"",0)</f>
        <v>0.45</v>
      </c>
      <c r="L1124" s="134">
        <f>ROUND(Market_Data[[#This Row],[Estimated Built Up Area (sq m)]]*Market_Data[[#This Row],[Concrete Intensity
(m³ / sq m)]],0)</f>
        <v>9360</v>
      </c>
      <c r="M1124" s="135">
        <f>_xlfn.XLOOKUP(Market_Data[[#This Row],[District]],tbl_district_price[District],tbl_district_price[Standard Price
(INR/m³)],"",0)</f>
        <v>6200</v>
      </c>
      <c r="N1124" s="364">
        <f>IF(OR(Market_Data[[#This Row],[Estimated Concrete Demand (m³)]]="",Market_Data[[#This Row],[Avg Price per (₹ / m³)]]=""),"",Market_Data[[#This Row],[Estimated Concrete Demand (m³)]]*Market_Data[[#This Row],[Avg Price per (₹ / m³)]]/10000000)</f>
        <v>5.8032000000000004</v>
      </c>
      <c r="O1124" s="97" t="str">
        <f>IF(Market_Data[[#This Row],[Estimated Concrete Demand (m³)]]="","",
IF(Market_Data[[#This Row],[Estimated Concrete Demand (m³)]]&lt;10000,"Small",
IF(Market_Data[[#This Row],[Estimated Concrete Demand (m³)]]&lt;25000,"Medium",
IF(Market_Data[[#This Row],[Estimated Concrete Demand (m³)]]&lt;100000,"Large","Mega"))))</f>
        <v>Small</v>
      </c>
      <c r="P1124" s="287" t="str">
        <f t="shared" si="19"/>
        <v>GujRERA</v>
      </c>
    </row>
    <row r="1125" spans="1:16">
      <c r="A1125" s="129" t="str">
        <f>_xlfn.XLOOKUP(B1125,$S$9:$S$14,$T$9:$T$14)&amp;"-"&amp;
IF(E1125="Residential/Group Housing","RES",
IF(E1125="Commercial","COM",
IF(E1125="Mixed Development","MIX",
IF(E1125="Plotted Development","PLT","OTH"))))
&amp;"-"&amp;TEXT(COUNTIFS($B$9:B1125,B1125,$E$9:E1125,E1125),"0000")</f>
        <v>SUR-MIX-0153</v>
      </c>
      <c r="B1125" s="322" t="s">
        <v>34</v>
      </c>
      <c r="C1125" s="322" t="s">
        <v>34</v>
      </c>
      <c r="D1125" s="323" t="s">
        <v>1315</v>
      </c>
      <c r="E1125" s="132" t="s">
        <v>25</v>
      </c>
      <c r="F1125" s="97" t="str">
        <f ca="1">IF(OR(Market_Data[[#This Row],[Start Date]]="",Market_Data[[#This Row],[Completion Date]]=""),"Needs Validation",IF(Market_Data[[#This Row],[Start Date]]&gt;TODAY(),"Planned",IF(Market_Data[[#This Row],[Completion Date]]&lt;TODAY(),"Completed","Ongoing")))</f>
        <v>Ongoing</v>
      </c>
      <c r="G1125" s="324">
        <v>45937</v>
      </c>
      <c r="H1125" s="324">
        <v>47208</v>
      </c>
      <c r="I1125" s="325">
        <v>10900</v>
      </c>
      <c r="J112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25" s="133">
        <f>_xlfn.XLOOKUP(Market_Data[[#This Row],[Project Type]],tbl_assumptions_market[Project Category (RERA)],tbl_assumptions_market[Concrete Intensity
(m³ / sq m BUA)],"",0)</f>
        <v>0.42</v>
      </c>
      <c r="L1125" s="134">
        <f>ROUND(Market_Data[[#This Row],[Estimated Built Up Area (sq m)]]*Market_Data[[#This Row],[Concrete Intensity
(m³ / sq m)]],0)</f>
        <v>4578</v>
      </c>
      <c r="M1125" s="135">
        <f>_xlfn.XLOOKUP(Market_Data[[#This Row],[District]],tbl_district_price[District],tbl_district_price[Standard Price
(INR/m³)],"",0)</f>
        <v>6200</v>
      </c>
      <c r="N1125" s="364">
        <f>IF(OR(Market_Data[[#This Row],[Estimated Concrete Demand (m³)]]="",Market_Data[[#This Row],[Avg Price per (₹ / m³)]]=""),"",Market_Data[[#This Row],[Estimated Concrete Demand (m³)]]*Market_Data[[#This Row],[Avg Price per (₹ / m³)]]/10000000)</f>
        <v>2.8383600000000002</v>
      </c>
      <c r="O1125" s="97" t="str">
        <f>IF(Market_Data[[#This Row],[Estimated Concrete Demand (m³)]]="","",
IF(Market_Data[[#This Row],[Estimated Concrete Demand (m³)]]&lt;10000,"Small",
IF(Market_Data[[#This Row],[Estimated Concrete Demand (m³)]]&lt;25000,"Medium",
IF(Market_Data[[#This Row],[Estimated Concrete Demand (m³)]]&lt;100000,"Large","Mega"))))</f>
        <v>Small</v>
      </c>
      <c r="P1125" s="287" t="str">
        <f t="shared" si="19"/>
        <v>GujRERA</v>
      </c>
    </row>
    <row r="1126" spans="1:16">
      <c r="A1126" s="129" t="str">
        <f>_xlfn.XLOOKUP(B1126,$S$9:$S$14,$T$9:$T$14)&amp;"-"&amp;
IF(E1126="Residential/Group Housing","RES",
IF(E1126="Commercial","COM",
IF(E1126="Mixed Development","MIX",
IF(E1126="Plotted Development","PLT","OTH"))))
&amp;"-"&amp;TEXT(COUNTIFS($B$9:B1126,B1126,$E$9:E1126,E1126),"0000")</f>
        <v>SUR-RES-0294</v>
      </c>
      <c r="B1126" s="322" t="s">
        <v>34</v>
      </c>
      <c r="C1126" s="322" t="s">
        <v>34</v>
      </c>
      <c r="D1126" s="323" t="s">
        <v>1316</v>
      </c>
      <c r="E1126" s="132" t="s">
        <v>24</v>
      </c>
      <c r="F1126" s="97" t="str">
        <f ca="1">IF(OR(Market_Data[[#This Row],[Start Date]]="",Market_Data[[#This Row],[Completion Date]]=""),"Needs Validation",IF(Market_Data[[#This Row],[Start Date]]&gt;TODAY(),"Planned",IF(Market_Data[[#This Row],[Completion Date]]&lt;TODAY(),"Completed","Ongoing")))</f>
        <v>Ongoing</v>
      </c>
      <c r="G1126" s="324">
        <v>45261</v>
      </c>
      <c r="H1126" s="324">
        <v>47483</v>
      </c>
      <c r="I1126" s="325">
        <v>51600</v>
      </c>
      <c r="J112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26" s="133">
        <f>_xlfn.XLOOKUP(Market_Data[[#This Row],[Project Type]],tbl_assumptions_market[Project Category (RERA)],tbl_assumptions_market[Concrete Intensity
(m³ / sq m BUA)],"",0)</f>
        <v>0.45</v>
      </c>
      <c r="L1126" s="134">
        <f>ROUND(Market_Data[[#This Row],[Estimated Built Up Area (sq m)]]*Market_Data[[#This Row],[Concrete Intensity
(m³ / sq m)]],0)</f>
        <v>23220</v>
      </c>
      <c r="M1126" s="135">
        <f>_xlfn.XLOOKUP(Market_Data[[#This Row],[District]],tbl_district_price[District],tbl_district_price[Standard Price
(INR/m³)],"",0)</f>
        <v>6200</v>
      </c>
      <c r="N1126" s="364">
        <f>IF(OR(Market_Data[[#This Row],[Estimated Concrete Demand (m³)]]="",Market_Data[[#This Row],[Avg Price per (₹ / m³)]]=""),"",Market_Data[[#This Row],[Estimated Concrete Demand (m³)]]*Market_Data[[#This Row],[Avg Price per (₹ / m³)]]/10000000)</f>
        <v>14.3964</v>
      </c>
      <c r="O1126" s="97" t="str">
        <f>IF(Market_Data[[#This Row],[Estimated Concrete Demand (m³)]]="","",
IF(Market_Data[[#This Row],[Estimated Concrete Demand (m³)]]&lt;10000,"Small",
IF(Market_Data[[#This Row],[Estimated Concrete Demand (m³)]]&lt;25000,"Medium",
IF(Market_Data[[#This Row],[Estimated Concrete Demand (m³)]]&lt;100000,"Large","Mega"))))</f>
        <v>Medium</v>
      </c>
      <c r="P1126" s="287" t="str">
        <f t="shared" si="19"/>
        <v>GujRERA</v>
      </c>
    </row>
    <row r="1127" spans="1:16">
      <c r="A1127" s="129" t="str">
        <f>_xlfn.XLOOKUP(B1127,$S$9:$S$14,$T$9:$T$14)&amp;"-"&amp;
IF(E1127="Residential/Group Housing","RES",
IF(E1127="Commercial","COM",
IF(E1127="Mixed Development","MIX",
IF(E1127="Plotted Development","PLT","OTH"))))
&amp;"-"&amp;TEXT(COUNTIFS($B$9:B1127,B1127,$E$9:E1127,E1127),"0000")</f>
        <v>SUR-RES-0295</v>
      </c>
      <c r="B1127" s="322" t="s">
        <v>34</v>
      </c>
      <c r="C1127" s="322" t="s">
        <v>34</v>
      </c>
      <c r="D1127" s="323" t="s">
        <v>1317</v>
      </c>
      <c r="E1127" s="132" t="s">
        <v>24</v>
      </c>
      <c r="F1127" s="97" t="str">
        <f ca="1">IF(OR(Market_Data[[#This Row],[Start Date]]="",Market_Data[[#This Row],[Completion Date]]=""),"Needs Validation",IF(Market_Data[[#This Row],[Start Date]]&gt;TODAY(),"Planned",IF(Market_Data[[#This Row],[Completion Date]]&lt;TODAY(),"Completed","Ongoing")))</f>
        <v>Ongoing</v>
      </c>
      <c r="G1127" s="324">
        <v>44602</v>
      </c>
      <c r="H1127" s="324">
        <v>47118</v>
      </c>
      <c r="I1127" s="325">
        <v>17200</v>
      </c>
      <c r="J112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27" s="133">
        <f>_xlfn.XLOOKUP(Market_Data[[#This Row],[Project Type]],tbl_assumptions_market[Project Category (RERA)],tbl_assumptions_market[Concrete Intensity
(m³ / sq m BUA)],"",0)</f>
        <v>0.45</v>
      </c>
      <c r="L1127" s="134">
        <f>ROUND(Market_Data[[#This Row],[Estimated Built Up Area (sq m)]]*Market_Data[[#This Row],[Concrete Intensity
(m³ / sq m)]],0)</f>
        <v>7740</v>
      </c>
      <c r="M1127" s="135">
        <f>_xlfn.XLOOKUP(Market_Data[[#This Row],[District]],tbl_district_price[District],tbl_district_price[Standard Price
(INR/m³)],"",0)</f>
        <v>6200</v>
      </c>
      <c r="N1127" s="364">
        <f>IF(OR(Market_Data[[#This Row],[Estimated Concrete Demand (m³)]]="",Market_Data[[#This Row],[Avg Price per (₹ / m³)]]=""),"",Market_Data[[#This Row],[Estimated Concrete Demand (m³)]]*Market_Data[[#This Row],[Avg Price per (₹ / m³)]]/10000000)</f>
        <v>4.7988</v>
      </c>
      <c r="O1127" s="97" t="str">
        <f>IF(Market_Data[[#This Row],[Estimated Concrete Demand (m³)]]="","",
IF(Market_Data[[#This Row],[Estimated Concrete Demand (m³)]]&lt;10000,"Small",
IF(Market_Data[[#This Row],[Estimated Concrete Demand (m³)]]&lt;25000,"Medium",
IF(Market_Data[[#This Row],[Estimated Concrete Demand (m³)]]&lt;100000,"Large","Mega"))))</f>
        <v>Small</v>
      </c>
      <c r="P1127" s="287" t="str">
        <f t="shared" si="19"/>
        <v>GujRERA</v>
      </c>
    </row>
    <row r="1128" spans="1:16">
      <c r="A1128" s="129" t="str">
        <f>_xlfn.XLOOKUP(B1128,$S$9:$S$14,$T$9:$T$14)&amp;"-"&amp;
IF(E1128="Residential/Group Housing","RES",
IF(E1128="Commercial","COM",
IF(E1128="Mixed Development","MIX",
IF(E1128="Plotted Development","PLT","OTH"))))
&amp;"-"&amp;TEXT(COUNTIFS($B$9:B1128,B1128,$E$9:E1128,E1128),"0000")</f>
        <v>SUR-MIX-0154</v>
      </c>
      <c r="B1128" s="322" t="s">
        <v>34</v>
      </c>
      <c r="C1128" s="322" t="s">
        <v>34</v>
      </c>
      <c r="D1128" s="323" t="s">
        <v>1318</v>
      </c>
      <c r="E1128" s="132" t="s">
        <v>25</v>
      </c>
      <c r="F1128" s="97" t="str">
        <f ca="1">IF(OR(Market_Data[[#This Row],[Start Date]]="",Market_Data[[#This Row],[Completion Date]]=""),"Needs Validation",IF(Market_Data[[#This Row],[Start Date]]&gt;TODAY(),"Planned",IF(Market_Data[[#This Row],[Completion Date]]&lt;TODAY(),"Completed","Ongoing")))</f>
        <v>Completed</v>
      </c>
      <c r="G1128" s="324">
        <v>44105</v>
      </c>
      <c r="H1128" s="324">
        <v>45169</v>
      </c>
      <c r="I1128" s="325">
        <v>44200</v>
      </c>
      <c r="J112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28" s="133">
        <f>_xlfn.XLOOKUP(Market_Data[[#This Row],[Project Type]],tbl_assumptions_market[Project Category (RERA)],tbl_assumptions_market[Concrete Intensity
(m³ / sq m BUA)],"",0)</f>
        <v>0.42</v>
      </c>
      <c r="L1128" s="134">
        <f>ROUND(Market_Data[[#This Row],[Estimated Built Up Area (sq m)]]*Market_Data[[#This Row],[Concrete Intensity
(m³ / sq m)]],0)</f>
        <v>18564</v>
      </c>
      <c r="M1128" s="135">
        <f>_xlfn.XLOOKUP(Market_Data[[#This Row],[District]],tbl_district_price[District],tbl_district_price[Standard Price
(INR/m³)],"",0)</f>
        <v>6200</v>
      </c>
      <c r="N1128" s="364">
        <f>IF(OR(Market_Data[[#This Row],[Estimated Concrete Demand (m³)]]="",Market_Data[[#This Row],[Avg Price per (₹ / m³)]]=""),"",Market_Data[[#This Row],[Estimated Concrete Demand (m³)]]*Market_Data[[#This Row],[Avg Price per (₹ / m³)]]/10000000)</f>
        <v>11.509679999999999</v>
      </c>
      <c r="O1128" s="97" t="str">
        <f>IF(Market_Data[[#This Row],[Estimated Concrete Demand (m³)]]="","",
IF(Market_Data[[#This Row],[Estimated Concrete Demand (m³)]]&lt;10000,"Small",
IF(Market_Data[[#This Row],[Estimated Concrete Demand (m³)]]&lt;25000,"Medium",
IF(Market_Data[[#This Row],[Estimated Concrete Demand (m³)]]&lt;100000,"Large","Mega"))))</f>
        <v>Medium</v>
      </c>
      <c r="P1128" s="287" t="str">
        <f t="shared" si="19"/>
        <v>GujRERA</v>
      </c>
    </row>
    <row r="1129" spans="1:16">
      <c r="A1129" s="129" t="str">
        <f>_xlfn.XLOOKUP(B1129,$S$9:$S$14,$T$9:$T$14)&amp;"-"&amp;
IF(E1129="Residential/Group Housing","RES",
IF(E1129="Commercial","COM",
IF(E1129="Mixed Development","MIX",
IF(E1129="Plotted Development","PLT","OTH"))))
&amp;"-"&amp;TEXT(COUNTIFS($B$9:B1129,B1129,$E$9:E1129,E1129),"0000")</f>
        <v>SUR-COM-0156</v>
      </c>
      <c r="B1129" s="322" t="s">
        <v>34</v>
      </c>
      <c r="C1129" s="322" t="s">
        <v>34</v>
      </c>
      <c r="D1129" s="323" t="s">
        <v>1319</v>
      </c>
      <c r="E1129" s="132" t="s">
        <v>23</v>
      </c>
      <c r="F1129" s="97" t="str">
        <f ca="1">IF(OR(Market_Data[[#This Row],[Start Date]]="",Market_Data[[#This Row],[Completion Date]]=""),"Needs Validation",IF(Market_Data[[#This Row],[Start Date]]&gt;TODAY(),"Planned",IF(Market_Data[[#This Row],[Completion Date]]&lt;TODAY(),"Completed","Ongoing")))</f>
        <v>Completed</v>
      </c>
      <c r="G1129" s="324">
        <v>42214</v>
      </c>
      <c r="H1129" s="324">
        <v>43830</v>
      </c>
      <c r="I1129" s="325">
        <v>7600</v>
      </c>
      <c r="J112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29" s="133">
        <f>_xlfn.XLOOKUP(Market_Data[[#This Row],[Project Type]],tbl_assumptions_market[Project Category (RERA)],tbl_assumptions_market[Concrete Intensity
(m³ / sq m BUA)],"",0)</f>
        <v>0.5</v>
      </c>
      <c r="L1129" s="134">
        <f>ROUND(Market_Data[[#This Row],[Estimated Built Up Area (sq m)]]*Market_Data[[#This Row],[Concrete Intensity
(m³ / sq m)]],0)</f>
        <v>3800</v>
      </c>
      <c r="M1129" s="135">
        <f>_xlfn.XLOOKUP(Market_Data[[#This Row],[District]],tbl_district_price[District],tbl_district_price[Standard Price
(INR/m³)],"",0)</f>
        <v>6200</v>
      </c>
      <c r="N1129" s="364">
        <f>IF(OR(Market_Data[[#This Row],[Estimated Concrete Demand (m³)]]="",Market_Data[[#This Row],[Avg Price per (₹ / m³)]]=""),"",Market_Data[[#This Row],[Estimated Concrete Demand (m³)]]*Market_Data[[#This Row],[Avg Price per (₹ / m³)]]/10000000)</f>
        <v>2.3559999999999999</v>
      </c>
      <c r="O1129" s="97" t="str">
        <f>IF(Market_Data[[#This Row],[Estimated Concrete Demand (m³)]]="","",
IF(Market_Data[[#This Row],[Estimated Concrete Demand (m³)]]&lt;10000,"Small",
IF(Market_Data[[#This Row],[Estimated Concrete Demand (m³)]]&lt;25000,"Medium",
IF(Market_Data[[#This Row],[Estimated Concrete Demand (m³)]]&lt;100000,"Large","Mega"))))</f>
        <v>Small</v>
      </c>
      <c r="P1129" s="287" t="str">
        <f t="shared" si="19"/>
        <v>GujRERA</v>
      </c>
    </row>
    <row r="1130" spans="1:16">
      <c r="A1130" s="129" t="str">
        <f>_xlfn.XLOOKUP(B1130,$S$9:$S$14,$T$9:$T$14)&amp;"-"&amp;
IF(E1130="Residential/Group Housing","RES",
IF(E1130="Commercial","COM",
IF(E1130="Mixed Development","MIX",
IF(E1130="Plotted Development","PLT","OTH"))))
&amp;"-"&amp;TEXT(COUNTIFS($B$9:B1130,B1130,$E$9:E1130,E1130),"0000")</f>
        <v>SUR-RES-0296</v>
      </c>
      <c r="B1130" s="322" t="s">
        <v>34</v>
      </c>
      <c r="C1130" s="322" t="s">
        <v>34</v>
      </c>
      <c r="D1130" s="323" t="s">
        <v>1320</v>
      </c>
      <c r="E1130" s="132" t="s">
        <v>24</v>
      </c>
      <c r="F1130" s="97" t="str">
        <f ca="1">IF(OR(Market_Data[[#This Row],[Start Date]]="",Market_Data[[#This Row],[Completion Date]]=""),"Needs Validation",IF(Market_Data[[#This Row],[Start Date]]&gt;TODAY(),"Planned",IF(Market_Data[[#This Row],[Completion Date]]&lt;TODAY(),"Completed","Ongoing")))</f>
        <v>Completed</v>
      </c>
      <c r="G1130" s="324">
        <v>43110</v>
      </c>
      <c r="H1130" s="324">
        <v>45107</v>
      </c>
      <c r="I1130" s="325">
        <v>52100</v>
      </c>
      <c r="J113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30" s="133">
        <f>_xlfn.XLOOKUP(Market_Data[[#This Row],[Project Type]],tbl_assumptions_market[Project Category (RERA)],tbl_assumptions_market[Concrete Intensity
(m³ / sq m BUA)],"",0)</f>
        <v>0.45</v>
      </c>
      <c r="L1130" s="134">
        <f>ROUND(Market_Data[[#This Row],[Estimated Built Up Area (sq m)]]*Market_Data[[#This Row],[Concrete Intensity
(m³ / sq m)]],0)</f>
        <v>23445</v>
      </c>
      <c r="M1130" s="135">
        <f>_xlfn.XLOOKUP(Market_Data[[#This Row],[District]],tbl_district_price[District],tbl_district_price[Standard Price
(INR/m³)],"",0)</f>
        <v>6200</v>
      </c>
      <c r="N1130" s="364">
        <f>IF(OR(Market_Data[[#This Row],[Estimated Concrete Demand (m³)]]="",Market_Data[[#This Row],[Avg Price per (₹ / m³)]]=""),"",Market_Data[[#This Row],[Estimated Concrete Demand (m³)]]*Market_Data[[#This Row],[Avg Price per (₹ / m³)]]/10000000)</f>
        <v>14.5359</v>
      </c>
      <c r="O1130" s="97" t="str">
        <f>IF(Market_Data[[#This Row],[Estimated Concrete Demand (m³)]]="","",
IF(Market_Data[[#This Row],[Estimated Concrete Demand (m³)]]&lt;10000,"Small",
IF(Market_Data[[#This Row],[Estimated Concrete Demand (m³)]]&lt;25000,"Medium",
IF(Market_Data[[#This Row],[Estimated Concrete Demand (m³)]]&lt;100000,"Large","Mega"))))</f>
        <v>Medium</v>
      </c>
      <c r="P1130" s="287" t="str">
        <f t="shared" si="19"/>
        <v>GujRERA</v>
      </c>
    </row>
    <row r="1131" spans="1:16">
      <c r="A1131" s="129" t="str">
        <f>_xlfn.XLOOKUP(B1131,$S$9:$S$14,$T$9:$T$14)&amp;"-"&amp;
IF(E1131="Residential/Group Housing","RES",
IF(E1131="Commercial","COM",
IF(E1131="Mixed Development","MIX",
IF(E1131="Plotted Development","PLT","OTH"))))
&amp;"-"&amp;TEXT(COUNTIFS($B$9:B1131,B1131,$E$9:E1131,E1131),"0000")</f>
        <v>SUR-RES-0297</v>
      </c>
      <c r="B1131" s="322" t="s">
        <v>34</v>
      </c>
      <c r="C1131" s="322" t="s">
        <v>34</v>
      </c>
      <c r="D1131" s="323" t="s">
        <v>1321</v>
      </c>
      <c r="E1131" s="132" t="s">
        <v>24</v>
      </c>
      <c r="F1131" s="97" t="str">
        <f ca="1">IF(OR(Market_Data[[#This Row],[Start Date]]="",Market_Data[[#This Row],[Completion Date]]=""),"Needs Validation",IF(Market_Data[[#This Row],[Start Date]]&gt;TODAY(),"Planned",IF(Market_Data[[#This Row],[Completion Date]]&lt;TODAY(),"Completed","Ongoing")))</f>
        <v>Ongoing</v>
      </c>
      <c r="G1131" s="324">
        <v>45519</v>
      </c>
      <c r="H1131" s="324">
        <v>47118</v>
      </c>
      <c r="I1131" s="325">
        <v>25900</v>
      </c>
      <c r="J113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31" s="133">
        <f>_xlfn.XLOOKUP(Market_Data[[#This Row],[Project Type]],tbl_assumptions_market[Project Category (RERA)],tbl_assumptions_market[Concrete Intensity
(m³ / sq m BUA)],"",0)</f>
        <v>0.45</v>
      </c>
      <c r="L1131" s="134">
        <f>ROUND(Market_Data[[#This Row],[Estimated Built Up Area (sq m)]]*Market_Data[[#This Row],[Concrete Intensity
(m³ / sq m)]],0)</f>
        <v>11655</v>
      </c>
      <c r="M1131" s="135">
        <f>_xlfn.XLOOKUP(Market_Data[[#This Row],[District]],tbl_district_price[District],tbl_district_price[Standard Price
(INR/m³)],"",0)</f>
        <v>6200</v>
      </c>
      <c r="N1131" s="364">
        <f>IF(OR(Market_Data[[#This Row],[Estimated Concrete Demand (m³)]]="",Market_Data[[#This Row],[Avg Price per (₹ / m³)]]=""),"",Market_Data[[#This Row],[Estimated Concrete Demand (m³)]]*Market_Data[[#This Row],[Avg Price per (₹ / m³)]]/10000000)</f>
        <v>7.2260999999999997</v>
      </c>
      <c r="O1131" s="97" t="str">
        <f>IF(Market_Data[[#This Row],[Estimated Concrete Demand (m³)]]="","",
IF(Market_Data[[#This Row],[Estimated Concrete Demand (m³)]]&lt;10000,"Small",
IF(Market_Data[[#This Row],[Estimated Concrete Demand (m³)]]&lt;25000,"Medium",
IF(Market_Data[[#This Row],[Estimated Concrete Demand (m³)]]&lt;100000,"Large","Mega"))))</f>
        <v>Medium</v>
      </c>
      <c r="P1131" s="287" t="str">
        <f t="shared" si="19"/>
        <v>GujRERA</v>
      </c>
    </row>
    <row r="1132" spans="1:16">
      <c r="A1132" s="129" t="str">
        <f>_xlfn.XLOOKUP(B1132,$S$9:$S$14,$T$9:$T$14)&amp;"-"&amp;
IF(E1132="Residential/Group Housing","RES",
IF(E1132="Commercial","COM",
IF(E1132="Mixed Development","MIX",
IF(E1132="Plotted Development","PLT","OTH"))))
&amp;"-"&amp;TEXT(COUNTIFS($B$9:B1132,B1132,$E$9:E1132,E1132),"0000")</f>
        <v>SUR-MIX-0155</v>
      </c>
      <c r="B1132" s="322" t="s">
        <v>34</v>
      </c>
      <c r="C1132" s="322" t="s">
        <v>34</v>
      </c>
      <c r="D1132" s="323" t="s">
        <v>1322</v>
      </c>
      <c r="E1132" s="132" t="s">
        <v>25</v>
      </c>
      <c r="F1132" s="97" t="str">
        <f ca="1">IF(OR(Market_Data[[#This Row],[Start Date]]="",Market_Data[[#This Row],[Completion Date]]=""),"Needs Validation",IF(Market_Data[[#This Row],[Start Date]]&gt;TODAY(),"Planned",IF(Market_Data[[#This Row],[Completion Date]]&lt;TODAY(),"Completed","Ongoing")))</f>
        <v>Completed</v>
      </c>
      <c r="G1132" s="324">
        <v>42161</v>
      </c>
      <c r="H1132" s="324">
        <v>45046</v>
      </c>
      <c r="I1132" s="325">
        <v>25900</v>
      </c>
      <c r="J113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32" s="133">
        <f>_xlfn.XLOOKUP(Market_Data[[#This Row],[Project Type]],tbl_assumptions_market[Project Category (RERA)],tbl_assumptions_market[Concrete Intensity
(m³ / sq m BUA)],"",0)</f>
        <v>0.42</v>
      </c>
      <c r="L1132" s="134">
        <f>ROUND(Market_Data[[#This Row],[Estimated Built Up Area (sq m)]]*Market_Data[[#This Row],[Concrete Intensity
(m³ / sq m)]],0)</f>
        <v>10878</v>
      </c>
      <c r="M1132" s="135">
        <f>_xlfn.XLOOKUP(Market_Data[[#This Row],[District]],tbl_district_price[District],tbl_district_price[Standard Price
(INR/m³)],"",0)</f>
        <v>6200</v>
      </c>
      <c r="N1132" s="364">
        <f>IF(OR(Market_Data[[#This Row],[Estimated Concrete Demand (m³)]]="",Market_Data[[#This Row],[Avg Price per (₹ / m³)]]=""),"",Market_Data[[#This Row],[Estimated Concrete Demand (m³)]]*Market_Data[[#This Row],[Avg Price per (₹ / m³)]]/10000000)</f>
        <v>6.7443600000000004</v>
      </c>
      <c r="O1132" s="97" t="str">
        <f>IF(Market_Data[[#This Row],[Estimated Concrete Demand (m³)]]="","",
IF(Market_Data[[#This Row],[Estimated Concrete Demand (m³)]]&lt;10000,"Small",
IF(Market_Data[[#This Row],[Estimated Concrete Demand (m³)]]&lt;25000,"Medium",
IF(Market_Data[[#This Row],[Estimated Concrete Demand (m³)]]&lt;100000,"Large","Mega"))))</f>
        <v>Medium</v>
      </c>
      <c r="P1132" s="287" t="str">
        <f t="shared" si="19"/>
        <v>GujRERA</v>
      </c>
    </row>
    <row r="1133" spans="1:16">
      <c r="A1133" s="129" t="str">
        <f>_xlfn.XLOOKUP(B1133,$S$9:$S$14,$T$9:$T$14)&amp;"-"&amp;
IF(E1133="Residential/Group Housing","RES",
IF(E1133="Commercial","COM",
IF(E1133="Mixed Development","MIX",
IF(E1133="Plotted Development","PLT","OTH"))))
&amp;"-"&amp;TEXT(COUNTIFS($B$9:B1133,B1133,$E$9:E1133,E1133),"0000")</f>
        <v>SUR-COM-0157</v>
      </c>
      <c r="B1133" s="322" t="s">
        <v>34</v>
      </c>
      <c r="C1133" s="322" t="s">
        <v>34</v>
      </c>
      <c r="D1133" s="323" t="s">
        <v>1323</v>
      </c>
      <c r="E1133" s="132" t="s">
        <v>23</v>
      </c>
      <c r="F1133" s="97" t="str">
        <f ca="1">IF(OR(Market_Data[[#This Row],[Start Date]]="",Market_Data[[#This Row],[Completion Date]]=""),"Needs Validation",IF(Market_Data[[#This Row],[Start Date]]&gt;TODAY(),"Planned",IF(Market_Data[[#This Row],[Completion Date]]&lt;TODAY(),"Completed","Ongoing")))</f>
        <v>Ongoing</v>
      </c>
      <c r="G1133" s="324">
        <v>45910</v>
      </c>
      <c r="H1133" s="324">
        <v>47118</v>
      </c>
      <c r="I1133" s="325">
        <v>36800</v>
      </c>
      <c r="J113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133" s="133">
        <f>_xlfn.XLOOKUP(Market_Data[[#This Row],[Project Type]],tbl_assumptions_market[Project Category (RERA)],tbl_assumptions_market[Concrete Intensity
(m³ / sq m BUA)],"",0)</f>
        <v>0.5</v>
      </c>
      <c r="L1133" s="134">
        <f>ROUND(Market_Data[[#This Row],[Estimated Built Up Area (sq m)]]*Market_Data[[#This Row],[Concrete Intensity
(m³ / sq m)]],0)</f>
        <v>18400</v>
      </c>
      <c r="M1133" s="135">
        <f>_xlfn.XLOOKUP(Market_Data[[#This Row],[District]],tbl_district_price[District],tbl_district_price[Standard Price
(INR/m³)],"",0)</f>
        <v>6200</v>
      </c>
      <c r="N1133" s="364">
        <f>IF(OR(Market_Data[[#This Row],[Estimated Concrete Demand (m³)]]="",Market_Data[[#This Row],[Avg Price per (₹ / m³)]]=""),"",Market_Data[[#This Row],[Estimated Concrete Demand (m³)]]*Market_Data[[#This Row],[Avg Price per (₹ / m³)]]/10000000)</f>
        <v>11.407999999999999</v>
      </c>
      <c r="O1133" s="97" t="str">
        <f>IF(Market_Data[[#This Row],[Estimated Concrete Demand (m³)]]="","",
IF(Market_Data[[#This Row],[Estimated Concrete Demand (m³)]]&lt;10000,"Small",
IF(Market_Data[[#This Row],[Estimated Concrete Demand (m³)]]&lt;25000,"Medium",
IF(Market_Data[[#This Row],[Estimated Concrete Demand (m³)]]&lt;100000,"Large","Mega"))))</f>
        <v>Medium</v>
      </c>
      <c r="P1133" s="287" t="str">
        <f t="shared" si="19"/>
        <v>GujRERA</v>
      </c>
    </row>
    <row r="1134" spans="1:16">
      <c r="A1134" s="129" t="str">
        <f>_xlfn.XLOOKUP(B1134,$S$9:$S$14,$T$9:$T$14)&amp;"-"&amp;
IF(E1134="Residential/Group Housing","RES",
IF(E1134="Commercial","COM",
IF(E1134="Mixed Development","MIX",
IF(E1134="Plotted Development","PLT","OTH"))))
&amp;"-"&amp;TEXT(COUNTIFS($B$9:B1134,B1134,$E$9:E1134,E1134),"0000")</f>
        <v>SUR-RES-0298</v>
      </c>
      <c r="B1134" s="322" t="s">
        <v>34</v>
      </c>
      <c r="C1134" s="322" t="s">
        <v>34</v>
      </c>
      <c r="D1134" s="323" t="s">
        <v>1324</v>
      </c>
      <c r="E1134" s="132" t="s">
        <v>24</v>
      </c>
      <c r="F1134" s="97" t="str">
        <f ca="1">IF(OR(Market_Data[[#This Row],[Start Date]]="",Market_Data[[#This Row],[Completion Date]]=""),"Needs Validation",IF(Market_Data[[#This Row],[Start Date]]&gt;TODAY(),"Planned",IF(Market_Data[[#This Row],[Completion Date]]&lt;TODAY(),"Completed","Ongoing")))</f>
        <v>Completed</v>
      </c>
      <c r="G1134" s="324">
        <v>42522</v>
      </c>
      <c r="H1134" s="324">
        <v>43616</v>
      </c>
      <c r="I1134" s="325">
        <v>44300</v>
      </c>
      <c r="J113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34" s="133">
        <f>_xlfn.XLOOKUP(Market_Data[[#This Row],[Project Type]],tbl_assumptions_market[Project Category (RERA)],tbl_assumptions_market[Concrete Intensity
(m³ / sq m BUA)],"",0)</f>
        <v>0.45</v>
      </c>
      <c r="L1134" s="134">
        <f>ROUND(Market_Data[[#This Row],[Estimated Built Up Area (sq m)]]*Market_Data[[#This Row],[Concrete Intensity
(m³ / sq m)]],0)</f>
        <v>19935</v>
      </c>
      <c r="M1134" s="135">
        <f>_xlfn.XLOOKUP(Market_Data[[#This Row],[District]],tbl_district_price[District],tbl_district_price[Standard Price
(INR/m³)],"",0)</f>
        <v>6200</v>
      </c>
      <c r="N1134" s="364">
        <f>IF(OR(Market_Data[[#This Row],[Estimated Concrete Demand (m³)]]="",Market_Data[[#This Row],[Avg Price per (₹ / m³)]]=""),"",Market_Data[[#This Row],[Estimated Concrete Demand (m³)]]*Market_Data[[#This Row],[Avg Price per (₹ / m³)]]/10000000)</f>
        <v>12.3597</v>
      </c>
      <c r="O1134" s="97" t="str">
        <f>IF(Market_Data[[#This Row],[Estimated Concrete Demand (m³)]]="","",
IF(Market_Data[[#This Row],[Estimated Concrete Demand (m³)]]&lt;10000,"Small",
IF(Market_Data[[#This Row],[Estimated Concrete Demand (m³)]]&lt;25000,"Medium",
IF(Market_Data[[#This Row],[Estimated Concrete Demand (m³)]]&lt;100000,"Large","Mega"))))</f>
        <v>Medium</v>
      </c>
      <c r="P1134" s="287" t="str">
        <f t="shared" si="19"/>
        <v>GujRERA</v>
      </c>
    </row>
    <row r="1135" spans="1:16">
      <c r="A1135" s="129" t="str">
        <f>_xlfn.XLOOKUP(B1135,$S$9:$S$14,$T$9:$T$14)&amp;"-"&amp;
IF(E1135="Residential/Group Housing","RES",
IF(E1135="Commercial","COM",
IF(E1135="Mixed Development","MIX",
IF(E1135="Plotted Development","PLT","OTH"))))
&amp;"-"&amp;TEXT(COUNTIFS($B$9:B1135,B1135,$E$9:E1135,E1135),"0000")</f>
        <v>SUR-RES-0299</v>
      </c>
      <c r="B1135" s="322" t="s">
        <v>34</v>
      </c>
      <c r="C1135" s="322" t="s">
        <v>34</v>
      </c>
      <c r="D1135" s="323" t="s">
        <v>1325</v>
      </c>
      <c r="E1135" s="132" t="s">
        <v>24</v>
      </c>
      <c r="F1135" s="97" t="str">
        <f ca="1">IF(OR(Market_Data[[#This Row],[Start Date]]="",Market_Data[[#This Row],[Completion Date]]=""),"Needs Validation",IF(Market_Data[[#This Row],[Start Date]]&gt;TODAY(),"Planned",IF(Market_Data[[#This Row],[Completion Date]]&lt;TODAY(),"Completed","Ongoing")))</f>
        <v>Completed</v>
      </c>
      <c r="G1135" s="324">
        <v>42552</v>
      </c>
      <c r="H1135" s="324">
        <v>44377</v>
      </c>
      <c r="I1135" s="325">
        <v>38800</v>
      </c>
      <c r="J113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35" s="133">
        <f>_xlfn.XLOOKUP(Market_Data[[#This Row],[Project Type]],tbl_assumptions_market[Project Category (RERA)],tbl_assumptions_market[Concrete Intensity
(m³ / sq m BUA)],"",0)</f>
        <v>0.45</v>
      </c>
      <c r="L1135" s="134">
        <f>ROUND(Market_Data[[#This Row],[Estimated Built Up Area (sq m)]]*Market_Data[[#This Row],[Concrete Intensity
(m³ / sq m)]],0)</f>
        <v>17460</v>
      </c>
      <c r="M1135" s="135">
        <f>_xlfn.XLOOKUP(Market_Data[[#This Row],[District]],tbl_district_price[District],tbl_district_price[Standard Price
(INR/m³)],"",0)</f>
        <v>6200</v>
      </c>
      <c r="N1135" s="364">
        <f>IF(OR(Market_Data[[#This Row],[Estimated Concrete Demand (m³)]]="",Market_Data[[#This Row],[Avg Price per (₹ / m³)]]=""),"",Market_Data[[#This Row],[Estimated Concrete Demand (m³)]]*Market_Data[[#This Row],[Avg Price per (₹ / m³)]]/10000000)</f>
        <v>10.825200000000001</v>
      </c>
      <c r="O1135" s="97" t="str">
        <f>IF(Market_Data[[#This Row],[Estimated Concrete Demand (m³)]]="","",
IF(Market_Data[[#This Row],[Estimated Concrete Demand (m³)]]&lt;10000,"Small",
IF(Market_Data[[#This Row],[Estimated Concrete Demand (m³)]]&lt;25000,"Medium",
IF(Market_Data[[#This Row],[Estimated Concrete Demand (m³)]]&lt;100000,"Large","Mega"))))</f>
        <v>Medium</v>
      </c>
      <c r="P1135" s="287" t="str">
        <f t="shared" si="19"/>
        <v>GujRERA</v>
      </c>
    </row>
    <row r="1136" spans="1:16">
      <c r="A1136" s="129" t="str">
        <f>_xlfn.XLOOKUP(B1136,$S$9:$S$14,$T$9:$T$14)&amp;"-"&amp;
IF(E1136="Residential/Group Housing","RES",
IF(E1136="Commercial","COM",
IF(E1136="Mixed Development","MIX",
IF(E1136="Plotted Development","PLT","OTH"))))
&amp;"-"&amp;TEXT(COUNTIFS($B$9:B1136,B1136,$E$9:E1136,E1136),"0000")</f>
        <v>SUR-RES-0300</v>
      </c>
      <c r="B1136" s="322" t="s">
        <v>34</v>
      </c>
      <c r="C1136" s="322" t="s">
        <v>34</v>
      </c>
      <c r="D1136" s="323" t="s">
        <v>1326</v>
      </c>
      <c r="E1136" s="132" t="s">
        <v>24</v>
      </c>
      <c r="F1136" s="97" t="str">
        <f ca="1">IF(OR(Market_Data[[#This Row],[Start Date]]="",Market_Data[[#This Row],[Completion Date]]=""),"Needs Validation",IF(Market_Data[[#This Row],[Start Date]]&gt;TODAY(),"Planned",IF(Market_Data[[#This Row],[Completion Date]]&lt;TODAY(),"Completed","Ongoing")))</f>
        <v>Completed</v>
      </c>
      <c r="G1136" s="324">
        <v>43556</v>
      </c>
      <c r="H1136" s="324">
        <v>44834</v>
      </c>
      <c r="I1136" s="325">
        <v>27300</v>
      </c>
      <c r="J113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36" s="133">
        <f>_xlfn.XLOOKUP(Market_Data[[#This Row],[Project Type]],tbl_assumptions_market[Project Category (RERA)],tbl_assumptions_market[Concrete Intensity
(m³ / sq m BUA)],"",0)</f>
        <v>0.45</v>
      </c>
      <c r="L1136" s="134">
        <f>ROUND(Market_Data[[#This Row],[Estimated Built Up Area (sq m)]]*Market_Data[[#This Row],[Concrete Intensity
(m³ / sq m)]],0)</f>
        <v>12285</v>
      </c>
      <c r="M1136" s="135">
        <f>_xlfn.XLOOKUP(Market_Data[[#This Row],[District]],tbl_district_price[District],tbl_district_price[Standard Price
(INR/m³)],"",0)</f>
        <v>6200</v>
      </c>
      <c r="N1136" s="364">
        <f>IF(OR(Market_Data[[#This Row],[Estimated Concrete Demand (m³)]]="",Market_Data[[#This Row],[Avg Price per (₹ / m³)]]=""),"",Market_Data[[#This Row],[Estimated Concrete Demand (m³)]]*Market_Data[[#This Row],[Avg Price per (₹ / m³)]]/10000000)</f>
        <v>7.6166999999999998</v>
      </c>
      <c r="O1136" s="97" t="str">
        <f>IF(Market_Data[[#This Row],[Estimated Concrete Demand (m³)]]="","",
IF(Market_Data[[#This Row],[Estimated Concrete Demand (m³)]]&lt;10000,"Small",
IF(Market_Data[[#This Row],[Estimated Concrete Demand (m³)]]&lt;25000,"Medium",
IF(Market_Data[[#This Row],[Estimated Concrete Demand (m³)]]&lt;100000,"Large","Mega"))))</f>
        <v>Medium</v>
      </c>
      <c r="P1136" s="287" t="str">
        <f t="shared" si="19"/>
        <v>GujRERA</v>
      </c>
    </row>
    <row r="1137" spans="1:16">
      <c r="A1137" s="129" t="str">
        <f>_xlfn.XLOOKUP(B1137,$S$9:$S$14,$T$9:$T$14)&amp;"-"&amp;
IF(E1137="Residential/Group Housing","RES",
IF(E1137="Commercial","COM",
IF(E1137="Mixed Development","MIX",
IF(E1137="Plotted Development","PLT","OTH"))))
&amp;"-"&amp;TEXT(COUNTIFS($B$9:B1137,B1137,$E$9:E1137,E1137),"0000")</f>
        <v>SUR-COM-0158</v>
      </c>
      <c r="B1137" s="322" t="s">
        <v>34</v>
      </c>
      <c r="C1137" s="322" t="s">
        <v>34</v>
      </c>
      <c r="D1137" s="323" t="s">
        <v>1327</v>
      </c>
      <c r="E1137" s="132" t="s">
        <v>23</v>
      </c>
      <c r="F1137" s="97" t="str">
        <f ca="1">IF(OR(Market_Data[[#This Row],[Start Date]]="",Market_Data[[#This Row],[Completion Date]]=""),"Needs Validation",IF(Market_Data[[#This Row],[Start Date]]&gt;TODAY(),"Planned",IF(Market_Data[[#This Row],[Completion Date]]&lt;TODAY(),"Completed","Ongoing")))</f>
        <v>Completed</v>
      </c>
      <c r="G1137" s="324">
        <v>43808</v>
      </c>
      <c r="H1137" s="324">
        <v>45382</v>
      </c>
      <c r="I1137" s="325">
        <v>14100</v>
      </c>
      <c r="J113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37" s="133">
        <f>_xlfn.XLOOKUP(Market_Data[[#This Row],[Project Type]],tbl_assumptions_market[Project Category (RERA)],tbl_assumptions_market[Concrete Intensity
(m³ / sq m BUA)],"",0)</f>
        <v>0.5</v>
      </c>
      <c r="L1137" s="134">
        <f>ROUND(Market_Data[[#This Row],[Estimated Built Up Area (sq m)]]*Market_Data[[#This Row],[Concrete Intensity
(m³ / sq m)]],0)</f>
        <v>7050</v>
      </c>
      <c r="M1137" s="135">
        <f>_xlfn.XLOOKUP(Market_Data[[#This Row],[District]],tbl_district_price[District],tbl_district_price[Standard Price
(INR/m³)],"",0)</f>
        <v>6200</v>
      </c>
      <c r="N1137" s="364">
        <f>IF(OR(Market_Data[[#This Row],[Estimated Concrete Demand (m³)]]="",Market_Data[[#This Row],[Avg Price per (₹ / m³)]]=""),"",Market_Data[[#This Row],[Estimated Concrete Demand (m³)]]*Market_Data[[#This Row],[Avg Price per (₹ / m³)]]/10000000)</f>
        <v>4.3710000000000004</v>
      </c>
      <c r="O1137" s="97" t="str">
        <f>IF(Market_Data[[#This Row],[Estimated Concrete Demand (m³)]]="","",
IF(Market_Data[[#This Row],[Estimated Concrete Demand (m³)]]&lt;10000,"Small",
IF(Market_Data[[#This Row],[Estimated Concrete Demand (m³)]]&lt;25000,"Medium",
IF(Market_Data[[#This Row],[Estimated Concrete Demand (m³)]]&lt;100000,"Large","Mega"))))</f>
        <v>Small</v>
      </c>
      <c r="P1137" s="287" t="str">
        <f t="shared" si="19"/>
        <v>GujRERA</v>
      </c>
    </row>
    <row r="1138" spans="1:16">
      <c r="A1138" s="129" t="str">
        <f>_xlfn.XLOOKUP(B1138,$S$9:$S$14,$T$9:$T$14)&amp;"-"&amp;
IF(E1138="Residential/Group Housing","RES",
IF(E1138="Commercial","COM",
IF(E1138="Mixed Development","MIX",
IF(E1138="Plotted Development","PLT","OTH"))))
&amp;"-"&amp;TEXT(COUNTIFS($B$9:B1138,B1138,$E$9:E1138,E1138),"0000")</f>
        <v>SUR-RES-0301</v>
      </c>
      <c r="B1138" s="322" t="s">
        <v>34</v>
      </c>
      <c r="C1138" s="322" t="s">
        <v>34</v>
      </c>
      <c r="D1138" s="323" t="s">
        <v>1328</v>
      </c>
      <c r="E1138" s="132" t="s">
        <v>24</v>
      </c>
      <c r="F1138" s="97" t="str">
        <f ca="1">IF(OR(Market_Data[[#This Row],[Start Date]]="",Market_Data[[#This Row],[Completion Date]]=""),"Needs Validation",IF(Market_Data[[#This Row],[Start Date]]&gt;TODAY(),"Planned",IF(Market_Data[[#This Row],[Completion Date]]&lt;TODAY(),"Completed","Ongoing")))</f>
        <v>Ongoing</v>
      </c>
      <c r="G1138" s="324">
        <v>45565</v>
      </c>
      <c r="H1138" s="324">
        <v>47483</v>
      </c>
      <c r="I1138" s="325">
        <v>45600</v>
      </c>
      <c r="J113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38" s="133">
        <f>_xlfn.XLOOKUP(Market_Data[[#This Row],[Project Type]],tbl_assumptions_market[Project Category (RERA)],tbl_assumptions_market[Concrete Intensity
(m³ / sq m BUA)],"",0)</f>
        <v>0.45</v>
      </c>
      <c r="L1138" s="134">
        <f>ROUND(Market_Data[[#This Row],[Estimated Built Up Area (sq m)]]*Market_Data[[#This Row],[Concrete Intensity
(m³ / sq m)]],0)</f>
        <v>20520</v>
      </c>
      <c r="M1138" s="135">
        <f>_xlfn.XLOOKUP(Market_Data[[#This Row],[District]],tbl_district_price[District],tbl_district_price[Standard Price
(INR/m³)],"",0)</f>
        <v>6200</v>
      </c>
      <c r="N1138" s="364">
        <f>IF(OR(Market_Data[[#This Row],[Estimated Concrete Demand (m³)]]="",Market_Data[[#This Row],[Avg Price per (₹ / m³)]]=""),"",Market_Data[[#This Row],[Estimated Concrete Demand (m³)]]*Market_Data[[#This Row],[Avg Price per (₹ / m³)]]/10000000)</f>
        <v>12.7224</v>
      </c>
      <c r="O1138" s="97" t="str">
        <f>IF(Market_Data[[#This Row],[Estimated Concrete Demand (m³)]]="","",
IF(Market_Data[[#This Row],[Estimated Concrete Demand (m³)]]&lt;10000,"Small",
IF(Market_Data[[#This Row],[Estimated Concrete Demand (m³)]]&lt;25000,"Medium",
IF(Market_Data[[#This Row],[Estimated Concrete Demand (m³)]]&lt;100000,"Large","Mega"))))</f>
        <v>Medium</v>
      </c>
      <c r="P1138" s="287" t="str">
        <f t="shared" si="19"/>
        <v>GujRERA</v>
      </c>
    </row>
    <row r="1139" spans="1:16">
      <c r="A1139" s="129" t="str">
        <f>_xlfn.XLOOKUP(B1139,$S$9:$S$14,$T$9:$T$14)&amp;"-"&amp;
IF(E1139="Residential/Group Housing","RES",
IF(E1139="Commercial","COM",
IF(E1139="Mixed Development","MIX",
IF(E1139="Plotted Development","PLT","OTH"))))
&amp;"-"&amp;TEXT(COUNTIFS($B$9:B1139,B1139,$E$9:E1139,E1139),"0000")</f>
        <v>SUR-PLT-0207</v>
      </c>
      <c r="B1139" s="322" t="s">
        <v>34</v>
      </c>
      <c r="C1139" s="322" t="s">
        <v>34</v>
      </c>
      <c r="D1139" s="323" t="s">
        <v>1329</v>
      </c>
      <c r="E1139" s="132" t="s">
        <v>26</v>
      </c>
      <c r="F1139" s="97" t="str">
        <f ca="1">IF(OR(Market_Data[[#This Row],[Start Date]]="",Market_Data[[#This Row],[Completion Date]]=""),"Needs Validation",IF(Market_Data[[#This Row],[Start Date]]&gt;TODAY(),"Planned",IF(Market_Data[[#This Row],[Completion Date]]&lt;TODAY(),"Completed","Ongoing")))</f>
        <v>Ongoing</v>
      </c>
      <c r="G1139" s="324">
        <v>45240</v>
      </c>
      <c r="H1139" s="324">
        <v>46387</v>
      </c>
      <c r="I1139" s="325">
        <v>29800</v>
      </c>
      <c r="J113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39" s="133">
        <f>_xlfn.XLOOKUP(Market_Data[[#This Row],[Project Type]],tbl_assumptions_market[Project Category (RERA)],tbl_assumptions_market[Concrete Intensity
(m³ / sq m BUA)],"",0)</f>
        <v>0.18</v>
      </c>
      <c r="L1139" s="134">
        <f>ROUND(Market_Data[[#This Row],[Estimated Built Up Area (sq m)]]*Market_Data[[#This Row],[Concrete Intensity
(m³ / sq m)]],0)</f>
        <v>5364</v>
      </c>
      <c r="M1139" s="135">
        <f>_xlfn.XLOOKUP(Market_Data[[#This Row],[District]],tbl_district_price[District],tbl_district_price[Standard Price
(INR/m³)],"",0)</f>
        <v>6200</v>
      </c>
      <c r="N1139" s="364">
        <f>IF(OR(Market_Data[[#This Row],[Estimated Concrete Demand (m³)]]="",Market_Data[[#This Row],[Avg Price per (₹ / m³)]]=""),"",Market_Data[[#This Row],[Estimated Concrete Demand (m³)]]*Market_Data[[#This Row],[Avg Price per (₹ / m³)]]/10000000)</f>
        <v>3.3256800000000002</v>
      </c>
      <c r="O1139" s="97" t="str">
        <f>IF(Market_Data[[#This Row],[Estimated Concrete Demand (m³)]]="","",
IF(Market_Data[[#This Row],[Estimated Concrete Demand (m³)]]&lt;10000,"Small",
IF(Market_Data[[#This Row],[Estimated Concrete Demand (m³)]]&lt;25000,"Medium",
IF(Market_Data[[#This Row],[Estimated Concrete Demand (m³)]]&lt;100000,"Large","Mega"))))</f>
        <v>Small</v>
      </c>
      <c r="P1139" s="287" t="str">
        <f t="shared" si="19"/>
        <v>GujRERA</v>
      </c>
    </row>
    <row r="1140" spans="1:16">
      <c r="A1140" s="129" t="str">
        <f>_xlfn.XLOOKUP(B1140,$S$9:$S$14,$T$9:$T$14)&amp;"-"&amp;
IF(E1140="Residential/Group Housing","RES",
IF(E1140="Commercial","COM",
IF(E1140="Mixed Development","MIX",
IF(E1140="Plotted Development","PLT","OTH"))))
&amp;"-"&amp;TEXT(COUNTIFS($B$9:B1140,B1140,$E$9:E1140,E1140),"0000")</f>
        <v>SUR-MIX-0156</v>
      </c>
      <c r="B1140" s="322" t="s">
        <v>34</v>
      </c>
      <c r="C1140" s="322" t="s">
        <v>34</v>
      </c>
      <c r="D1140" s="323" t="s">
        <v>1330</v>
      </c>
      <c r="E1140" s="132" t="s">
        <v>25</v>
      </c>
      <c r="F1140" s="97" t="str">
        <f ca="1">IF(OR(Market_Data[[#This Row],[Start Date]]="",Market_Data[[#This Row],[Completion Date]]=""),"Needs Validation",IF(Market_Data[[#This Row],[Start Date]]&gt;TODAY(),"Planned",IF(Market_Data[[#This Row],[Completion Date]]&lt;TODAY(),"Completed","Ongoing")))</f>
        <v>Completed</v>
      </c>
      <c r="G1140" s="324">
        <v>42572</v>
      </c>
      <c r="H1140" s="324">
        <v>43555</v>
      </c>
      <c r="I1140" s="325">
        <v>11100</v>
      </c>
      <c r="J114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40" s="133">
        <f>_xlfn.XLOOKUP(Market_Data[[#This Row],[Project Type]],tbl_assumptions_market[Project Category (RERA)],tbl_assumptions_market[Concrete Intensity
(m³ / sq m BUA)],"",0)</f>
        <v>0.42</v>
      </c>
      <c r="L1140" s="134">
        <f>ROUND(Market_Data[[#This Row],[Estimated Built Up Area (sq m)]]*Market_Data[[#This Row],[Concrete Intensity
(m³ / sq m)]],0)</f>
        <v>4662</v>
      </c>
      <c r="M1140" s="135">
        <f>_xlfn.XLOOKUP(Market_Data[[#This Row],[District]],tbl_district_price[District],tbl_district_price[Standard Price
(INR/m³)],"",0)</f>
        <v>6200</v>
      </c>
      <c r="N1140" s="364">
        <f>IF(OR(Market_Data[[#This Row],[Estimated Concrete Demand (m³)]]="",Market_Data[[#This Row],[Avg Price per (₹ / m³)]]=""),"",Market_Data[[#This Row],[Estimated Concrete Demand (m³)]]*Market_Data[[#This Row],[Avg Price per (₹ / m³)]]/10000000)</f>
        <v>2.8904399999999999</v>
      </c>
      <c r="O1140" s="97" t="str">
        <f>IF(Market_Data[[#This Row],[Estimated Concrete Demand (m³)]]="","",
IF(Market_Data[[#This Row],[Estimated Concrete Demand (m³)]]&lt;10000,"Small",
IF(Market_Data[[#This Row],[Estimated Concrete Demand (m³)]]&lt;25000,"Medium",
IF(Market_Data[[#This Row],[Estimated Concrete Demand (m³)]]&lt;100000,"Large","Mega"))))</f>
        <v>Small</v>
      </c>
      <c r="P1140" s="287" t="str">
        <f t="shared" si="19"/>
        <v>GujRERA</v>
      </c>
    </row>
    <row r="1141" spans="1:16">
      <c r="A1141" s="129" t="str">
        <f>_xlfn.XLOOKUP(B1141,$S$9:$S$14,$T$9:$T$14)&amp;"-"&amp;
IF(E1141="Residential/Group Housing","RES",
IF(E1141="Commercial","COM",
IF(E1141="Mixed Development","MIX",
IF(E1141="Plotted Development","PLT","OTH"))))
&amp;"-"&amp;TEXT(COUNTIFS($B$9:B1141,B1141,$E$9:E1141,E1141),"0000")</f>
        <v>SUR-COM-0159</v>
      </c>
      <c r="B1141" s="322" t="s">
        <v>34</v>
      </c>
      <c r="C1141" s="322" t="s">
        <v>34</v>
      </c>
      <c r="D1141" s="323" t="s">
        <v>1331</v>
      </c>
      <c r="E1141" s="132" t="s">
        <v>23</v>
      </c>
      <c r="F1141" s="97" t="str">
        <f ca="1">IF(OR(Market_Data[[#This Row],[Start Date]]="",Market_Data[[#This Row],[Completion Date]]=""),"Needs Validation",IF(Market_Data[[#This Row],[Start Date]]&gt;TODAY(),"Planned",IF(Market_Data[[#This Row],[Completion Date]]&lt;TODAY(),"Completed","Ongoing")))</f>
        <v>Completed</v>
      </c>
      <c r="G1141" s="324">
        <v>42376</v>
      </c>
      <c r="H1141" s="324">
        <v>43309</v>
      </c>
      <c r="I1141" s="325">
        <v>14000</v>
      </c>
      <c r="J114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41" s="133">
        <f>_xlfn.XLOOKUP(Market_Data[[#This Row],[Project Type]],tbl_assumptions_market[Project Category (RERA)],tbl_assumptions_market[Concrete Intensity
(m³ / sq m BUA)],"",0)</f>
        <v>0.5</v>
      </c>
      <c r="L1141" s="134">
        <f>ROUND(Market_Data[[#This Row],[Estimated Built Up Area (sq m)]]*Market_Data[[#This Row],[Concrete Intensity
(m³ / sq m)]],0)</f>
        <v>7000</v>
      </c>
      <c r="M1141" s="135">
        <f>_xlfn.XLOOKUP(Market_Data[[#This Row],[District]],tbl_district_price[District],tbl_district_price[Standard Price
(INR/m³)],"",0)</f>
        <v>6200</v>
      </c>
      <c r="N1141" s="364">
        <f>IF(OR(Market_Data[[#This Row],[Estimated Concrete Demand (m³)]]="",Market_Data[[#This Row],[Avg Price per (₹ / m³)]]=""),"",Market_Data[[#This Row],[Estimated Concrete Demand (m³)]]*Market_Data[[#This Row],[Avg Price per (₹ / m³)]]/10000000)</f>
        <v>4.34</v>
      </c>
      <c r="O1141" s="97" t="str">
        <f>IF(Market_Data[[#This Row],[Estimated Concrete Demand (m³)]]="","",
IF(Market_Data[[#This Row],[Estimated Concrete Demand (m³)]]&lt;10000,"Small",
IF(Market_Data[[#This Row],[Estimated Concrete Demand (m³)]]&lt;25000,"Medium",
IF(Market_Data[[#This Row],[Estimated Concrete Demand (m³)]]&lt;100000,"Large","Mega"))))</f>
        <v>Small</v>
      </c>
      <c r="P1141" s="287" t="str">
        <f t="shared" si="19"/>
        <v>GujRERA</v>
      </c>
    </row>
    <row r="1142" spans="1:16">
      <c r="A1142" s="129" t="str">
        <f>_xlfn.XLOOKUP(B1142,$S$9:$S$14,$T$9:$T$14)&amp;"-"&amp;
IF(E1142="Residential/Group Housing","RES",
IF(E1142="Commercial","COM",
IF(E1142="Mixed Development","MIX",
IF(E1142="Plotted Development","PLT","OTH"))))
&amp;"-"&amp;TEXT(COUNTIFS($B$9:B1142,B1142,$E$9:E1142,E1142),"0000")</f>
        <v>SUR-MIX-0157</v>
      </c>
      <c r="B1142" s="322" t="s">
        <v>34</v>
      </c>
      <c r="C1142" s="322" t="s">
        <v>34</v>
      </c>
      <c r="D1142" s="323" t="s">
        <v>1332</v>
      </c>
      <c r="E1142" s="132" t="s">
        <v>25</v>
      </c>
      <c r="F1142" s="97" t="str">
        <f ca="1">IF(OR(Market_Data[[#This Row],[Start Date]]="",Market_Data[[#This Row],[Completion Date]]=""),"Needs Validation",IF(Market_Data[[#This Row],[Start Date]]&gt;TODAY(),"Planned",IF(Market_Data[[#This Row],[Completion Date]]&lt;TODAY(),"Completed","Ongoing")))</f>
        <v>Completed</v>
      </c>
      <c r="G1142" s="324">
        <v>44467</v>
      </c>
      <c r="H1142" s="324">
        <v>45601</v>
      </c>
      <c r="I1142" s="325">
        <v>56300</v>
      </c>
      <c r="J114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42" s="133">
        <f>_xlfn.XLOOKUP(Market_Data[[#This Row],[Project Type]],tbl_assumptions_market[Project Category (RERA)],tbl_assumptions_market[Concrete Intensity
(m³ / sq m BUA)],"",0)</f>
        <v>0.42</v>
      </c>
      <c r="L1142" s="134">
        <f>ROUND(Market_Data[[#This Row],[Estimated Built Up Area (sq m)]]*Market_Data[[#This Row],[Concrete Intensity
(m³ / sq m)]],0)</f>
        <v>23646</v>
      </c>
      <c r="M1142" s="135">
        <f>_xlfn.XLOOKUP(Market_Data[[#This Row],[District]],tbl_district_price[District],tbl_district_price[Standard Price
(INR/m³)],"",0)</f>
        <v>6200</v>
      </c>
      <c r="N1142" s="364">
        <f>IF(OR(Market_Data[[#This Row],[Estimated Concrete Demand (m³)]]="",Market_Data[[#This Row],[Avg Price per (₹ / m³)]]=""),"",Market_Data[[#This Row],[Estimated Concrete Demand (m³)]]*Market_Data[[#This Row],[Avg Price per (₹ / m³)]]/10000000)</f>
        <v>14.66052</v>
      </c>
      <c r="O1142" s="97" t="str">
        <f>IF(Market_Data[[#This Row],[Estimated Concrete Demand (m³)]]="","",
IF(Market_Data[[#This Row],[Estimated Concrete Demand (m³)]]&lt;10000,"Small",
IF(Market_Data[[#This Row],[Estimated Concrete Demand (m³)]]&lt;25000,"Medium",
IF(Market_Data[[#This Row],[Estimated Concrete Demand (m³)]]&lt;100000,"Large","Mega"))))</f>
        <v>Medium</v>
      </c>
      <c r="P1142" s="287" t="str">
        <f t="shared" si="19"/>
        <v>GujRERA</v>
      </c>
    </row>
    <row r="1143" spans="1:16">
      <c r="A1143" s="129" t="str">
        <f>_xlfn.XLOOKUP(B1143,$S$9:$S$14,$T$9:$T$14)&amp;"-"&amp;
IF(E1143="Residential/Group Housing","RES",
IF(E1143="Commercial","COM",
IF(E1143="Mixed Development","MIX",
IF(E1143="Plotted Development","PLT","OTH"))))
&amp;"-"&amp;TEXT(COUNTIFS($B$9:B1143,B1143,$E$9:E1143,E1143),"0000")</f>
        <v>SUR-COM-0160</v>
      </c>
      <c r="B1143" s="322" t="s">
        <v>34</v>
      </c>
      <c r="C1143" s="322" t="s">
        <v>34</v>
      </c>
      <c r="D1143" s="323" t="s">
        <v>1333</v>
      </c>
      <c r="E1143" s="132" t="s">
        <v>23</v>
      </c>
      <c r="F1143" s="97" t="str">
        <f ca="1">IF(OR(Market_Data[[#This Row],[Start Date]]="",Market_Data[[#This Row],[Completion Date]]=""),"Needs Validation",IF(Market_Data[[#This Row],[Start Date]]&gt;TODAY(),"Planned",IF(Market_Data[[#This Row],[Completion Date]]&lt;TODAY(),"Completed","Ongoing")))</f>
        <v>Completed</v>
      </c>
      <c r="G1143" s="324">
        <v>44470</v>
      </c>
      <c r="H1143" s="324">
        <v>46022</v>
      </c>
      <c r="I1143" s="325">
        <v>17300</v>
      </c>
      <c r="J114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43" s="133">
        <f>_xlfn.XLOOKUP(Market_Data[[#This Row],[Project Type]],tbl_assumptions_market[Project Category (RERA)],tbl_assumptions_market[Concrete Intensity
(m³ / sq m BUA)],"",0)</f>
        <v>0.5</v>
      </c>
      <c r="L1143" s="134">
        <f>ROUND(Market_Data[[#This Row],[Estimated Built Up Area (sq m)]]*Market_Data[[#This Row],[Concrete Intensity
(m³ / sq m)]],0)</f>
        <v>8650</v>
      </c>
      <c r="M1143" s="135">
        <f>_xlfn.XLOOKUP(Market_Data[[#This Row],[District]],tbl_district_price[District],tbl_district_price[Standard Price
(INR/m³)],"",0)</f>
        <v>6200</v>
      </c>
      <c r="N1143" s="364">
        <f>IF(OR(Market_Data[[#This Row],[Estimated Concrete Demand (m³)]]="",Market_Data[[#This Row],[Avg Price per (₹ / m³)]]=""),"",Market_Data[[#This Row],[Estimated Concrete Demand (m³)]]*Market_Data[[#This Row],[Avg Price per (₹ / m³)]]/10000000)</f>
        <v>5.3630000000000004</v>
      </c>
      <c r="O1143" s="97" t="str">
        <f>IF(Market_Data[[#This Row],[Estimated Concrete Demand (m³)]]="","",
IF(Market_Data[[#This Row],[Estimated Concrete Demand (m³)]]&lt;10000,"Small",
IF(Market_Data[[#This Row],[Estimated Concrete Demand (m³)]]&lt;25000,"Medium",
IF(Market_Data[[#This Row],[Estimated Concrete Demand (m³)]]&lt;100000,"Large","Mega"))))</f>
        <v>Small</v>
      </c>
      <c r="P1143" s="287" t="str">
        <f t="shared" si="19"/>
        <v>GujRERA</v>
      </c>
    </row>
    <row r="1144" spans="1:16">
      <c r="A1144" s="129" t="str">
        <f>_xlfn.XLOOKUP(B1144,$S$9:$S$14,$T$9:$T$14)&amp;"-"&amp;
IF(E1144="Residential/Group Housing","RES",
IF(E1144="Commercial","COM",
IF(E1144="Mixed Development","MIX",
IF(E1144="Plotted Development","PLT","OTH"))))
&amp;"-"&amp;TEXT(COUNTIFS($B$9:B1144,B1144,$E$9:E1144,E1144),"0000")</f>
        <v>SUR-COM-0161</v>
      </c>
      <c r="B1144" s="322" t="s">
        <v>34</v>
      </c>
      <c r="C1144" s="322" t="s">
        <v>34</v>
      </c>
      <c r="D1144" s="323" t="s">
        <v>1334</v>
      </c>
      <c r="E1144" s="132" t="s">
        <v>23</v>
      </c>
      <c r="F1144" s="97" t="str">
        <f ca="1">IF(OR(Market_Data[[#This Row],[Start Date]]="",Market_Data[[#This Row],[Completion Date]]=""),"Needs Validation",IF(Market_Data[[#This Row],[Start Date]]&gt;TODAY(),"Planned",IF(Market_Data[[#This Row],[Completion Date]]&lt;TODAY(),"Completed","Ongoing")))</f>
        <v>Completed</v>
      </c>
      <c r="G1144" s="324">
        <v>41299</v>
      </c>
      <c r="H1144" s="324">
        <v>43555</v>
      </c>
      <c r="I1144" s="325">
        <v>13400</v>
      </c>
      <c r="J114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44" s="133">
        <f>_xlfn.XLOOKUP(Market_Data[[#This Row],[Project Type]],tbl_assumptions_market[Project Category (RERA)],tbl_assumptions_market[Concrete Intensity
(m³ / sq m BUA)],"",0)</f>
        <v>0.5</v>
      </c>
      <c r="L1144" s="134">
        <f>ROUND(Market_Data[[#This Row],[Estimated Built Up Area (sq m)]]*Market_Data[[#This Row],[Concrete Intensity
(m³ / sq m)]],0)</f>
        <v>6700</v>
      </c>
      <c r="M1144" s="135">
        <f>_xlfn.XLOOKUP(Market_Data[[#This Row],[District]],tbl_district_price[District],tbl_district_price[Standard Price
(INR/m³)],"",0)</f>
        <v>6200</v>
      </c>
      <c r="N1144" s="364">
        <f>IF(OR(Market_Data[[#This Row],[Estimated Concrete Demand (m³)]]="",Market_Data[[#This Row],[Avg Price per (₹ / m³)]]=""),"",Market_Data[[#This Row],[Estimated Concrete Demand (m³)]]*Market_Data[[#This Row],[Avg Price per (₹ / m³)]]/10000000)</f>
        <v>4.1539999999999999</v>
      </c>
      <c r="O1144" s="97" t="str">
        <f>IF(Market_Data[[#This Row],[Estimated Concrete Demand (m³)]]="","",
IF(Market_Data[[#This Row],[Estimated Concrete Demand (m³)]]&lt;10000,"Small",
IF(Market_Data[[#This Row],[Estimated Concrete Demand (m³)]]&lt;25000,"Medium",
IF(Market_Data[[#This Row],[Estimated Concrete Demand (m³)]]&lt;100000,"Large","Mega"))))</f>
        <v>Small</v>
      </c>
      <c r="P1144" s="287" t="str">
        <f t="shared" si="19"/>
        <v>GujRERA</v>
      </c>
    </row>
    <row r="1145" spans="1:16">
      <c r="A1145" s="129" t="str">
        <f>_xlfn.XLOOKUP(B1145,$S$9:$S$14,$T$9:$T$14)&amp;"-"&amp;
IF(E1145="Residential/Group Housing","RES",
IF(E1145="Commercial","COM",
IF(E1145="Mixed Development","MIX",
IF(E1145="Plotted Development","PLT","OTH"))))
&amp;"-"&amp;TEXT(COUNTIFS($B$9:B1145,B1145,$E$9:E1145,E1145),"0000")</f>
        <v>SUR-PLT-0208</v>
      </c>
      <c r="B1145" s="322" t="s">
        <v>34</v>
      </c>
      <c r="C1145" s="322" t="s">
        <v>34</v>
      </c>
      <c r="D1145" s="323" t="s">
        <v>1335</v>
      </c>
      <c r="E1145" s="132" t="s">
        <v>26</v>
      </c>
      <c r="F1145" s="97" t="str">
        <f ca="1">IF(OR(Market_Data[[#This Row],[Start Date]]="",Market_Data[[#This Row],[Completion Date]]=""),"Needs Validation",IF(Market_Data[[#This Row],[Start Date]]&gt;TODAY(),"Planned",IF(Market_Data[[#This Row],[Completion Date]]&lt;TODAY(),"Completed","Ongoing")))</f>
        <v>Completed</v>
      </c>
      <c r="G1145" s="324">
        <v>44256</v>
      </c>
      <c r="H1145" s="324">
        <v>45291</v>
      </c>
      <c r="I1145" s="325">
        <v>55400</v>
      </c>
      <c r="J114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145" s="133">
        <f>_xlfn.XLOOKUP(Market_Data[[#This Row],[Project Type]],tbl_assumptions_market[Project Category (RERA)],tbl_assumptions_market[Concrete Intensity
(m³ / sq m BUA)],"",0)</f>
        <v>0.18</v>
      </c>
      <c r="L1145" s="134">
        <f>ROUND(Market_Data[[#This Row],[Estimated Built Up Area (sq m)]]*Market_Data[[#This Row],[Concrete Intensity
(m³ / sq m)]],0)</f>
        <v>9972</v>
      </c>
      <c r="M1145" s="135">
        <f>_xlfn.XLOOKUP(Market_Data[[#This Row],[District]],tbl_district_price[District],tbl_district_price[Standard Price
(INR/m³)],"",0)</f>
        <v>6200</v>
      </c>
      <c r="N1145" s="364">
        <f>IF(OR(Market_Data[[#This Row],[Estimated Concrete Demand (m³)]]="",Market_Data[[#This Row],[Avg Price per (₹ / m³)]]=""),"",Market_Data[[#This Row],[Estimated Concrete Demand (m³)]]*Market_Data[[#This Row],[Avg Price per (₹ / m³)]]/10000000)</f>
        <v>6.1826400000000001</v>
      </c>
      <c r="O1145" s="97" t="str">
        <f>IF(Market_Data[[#This Row],[Estimated Concrete Demand (m³)]]="","",
IF(Market_Data[[#This Row],[Estimated Concrete Demand (m³)]]&lt;10000,"Small",
IF(Market_Data[[#This Row],[Estimated Concrete Demand (m³)]]&lt;25000,"Medium",
IF(Market_Data[[#This Row],[Estimated Concrete Demand (m³)]]&lt;100000,"Large","Mega"))))</f>
        <v>Small</v>
      </c>
      <c r="P1145" s="287" t="str">
        <f t="shared" si="19"/>
        <v>GujRERA</v>
      </c>
    </row>
    <row r="1146" spans="1:16">
      <c r="A1146" s="129" t="str">
        <f>_xlfn.XLOOKUP(B1146,$S$9:$S$14,$T$9:$T$14)&amp;"-"&amp;
IF(E1146="Residential/Group Housing","RES",
IF(E1146="Commercial","COM",
IF(E1146="Mixed Development","MIX",
IF(E1146="Plotted Development","PLT","OTH"))))
&amp;"-"&amp;TEXT(COUNTIFS($B$9:B1146,B1146,$E$9:E1146,E1146),"0000")</f>
        <v>SUR-COM-0162</v>
      </c>
      <c r="B1146" s="322" t="s">
        <v>34</v>
      </c>
      <c r="C1146" s="322" t="s">
        <v>34</v>
      </c>
      <c r="D1146" s="323" t="s">
        <v>1336</v>
      </c>
      <c r="E1146" s="132" t="s">
        <v>23</v>
      </c>
      <c r="F1146" s="97" t="str">
        <f ca="1">IF(OR(Market_Data[[#This Row],[Start Date]]="",Market_Data[[#This Row],[Completion Date]]=""),"Needs Validation",IF(Market_Data[[#This Row],[Start Date]]&gt;TODAY(),"Planned",IF(Market_Data[[#This Row],[Completion Date]]&lt;TODAY(),"Completed","Ongoing")))</f>
        <v>Ongoing</v>
      </c>
      <c r="G1146" s="324">
        <v>45017</v>
      </c>
      <c r="H1146" s="324">
        <v>47483</v>
      </c>
      <c r="I1146" s="325">
        <v>8400</v>
      </c>
      <c r="J114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46" s="133">
        <f>_xlfn.XLOOKUP(Market_Data[[#This Row],[Project Type]],tbl_assumptions_market[Project Category (RERA)],tbl_assumptions_market[Concrete Intensity
(m³ / sq m BUA)],"",0)</f>
        <v>0.5</v>
      </c>
      <c r="L1146" s="134">
        <f>ROUND(Market_Data[[#This Row],[Estimated Built Up Area (sq m)]]*Market_Data[[#This Row],[Concrete Intensity
(m³ / sq m)]],0)</f>
        <v>4200</v>
      </c>
      <c r="M1146" s="135">
        <f>_xlfn.XLOOKUP(Market_Data[[#This Row],[District]],tbl_district_price[District],tbl_district_price[Standard Price
(INR/m³)],"",0)</f>
        <v>6200</v>
      </c>
      <c r="N1146" s="364">
        <f>IF(OR(Market_Data[[#This Row],[Estimated Concrete Demand (m³)]]="",Market_Data[[#This Row],[Avg Price per (₹ / m³)]]=""),"",Market_Data[[#This Row],[Estimated Concrete Demand (m³)]]*Market_Data[[#This Row],[Avg Price per (₹ / m³)]]/10000000)</f>
        <v>2.6040000000000001</v>
      </c>
      <c r="O1146" s="97" t="str">
        <f>IF(Market_Data[[#This Row],[Estimated Concrete Demand (m³)]]="","",
IF(Market_Data[[#This Row],[Estimated Concrete Demand (m³)]]&lt;10000,"Small",
IF(Market_Data[[#This Row],[Estimated Concrete Demand (m³)]]&lt;25000,"Medium",
IF(Market_Data[[#This Row],[Estimated Concrete Demand (m³)]]&lt;100000,"Large","Mega"))))</f>
        <v>Small</v>
      </c>
      <c r="P1146" s="287" t="str">
        <f t="shared" si="19"/>
        <v>GujRERA</v>
      </c>
    </row>
    <row r="1147" spans="1:16">
      <c r="A1147" s="129" t="str">
        <f>_xlfn.XLOOKUP(B1147,$S$9:$S$14,$T$9:$T$14)&amp;"-"&amp;
IF(E1147="Residential/Group Housing","RES",
IF(E1147="Commercial","COM",
IF(E1147="Mixed Development","MIX",
IF(E1147="Plotted Development","PLT","OTH"))))
&amp;"-"&amp;TEXT(COUNTIFS($B$9:B1147,B1147,$E$9:E1147,E1147),"0000")</f>
        <v>SUR-COM-0163</v>
      </c>
      <c r="B1147" s="322" t="s">
        <v>34</v>
      </c>
      <c r="C1147" s="322" t="s">
        <v>34</v>
      </c>
      <c r="D1147" s="323" t="s">
        <v>1337</v>
      </c>
      <c r="E1147" s="132" t="s">
        <v>23</v>
      </c>
      <c r="F1147" s="97" t="str">
        <f ca="1">IF(OR(Market_Data[[#This Row],[Start Date]]="",Market_Data[[#This Row],[Completion Date]]=""),"Needs Validation",IF(Market_Data[[#This Row],[Start Date]]&gt;TODAY(),"Planned",IF(Market_Data[[#This Row],[Completion Date]]&lt;TODAY(),"Completed","Ongoing")))</f>
        <v>Completed</v>
      </c>
      <c r="G1147" s="324">
        <v>41741</v>
      </c>
      <c r="H1147" s="324">
        <v>44711</v>
      </c>
      <c r="I1147" s="325">
        <v>48100</v>
      </c>
      <c r="J114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147" s="133">
        <f>_xlfn.XLOOKUP(Market_Data[[#This Row],[Project Type]],tbl_assumptions_market[Project Category (RERA)],tbl_assumptions_market[Concrete Intensity
(m³ / sq m BUA)],"",0)</f>
        <v>0.5</v>
      </c>
      <c r="L1147" s="134">
        <f>ROUND(Market_Data[[#This Row],[Estimated Built Up Area (sq m)]]*Market_Data[[#This Row],[Concrete Intensity
(m³ / sq m)]],0)</f>
        <v>24050</v>
      </c>
      <c r="M1147" s="135">
        <f>_xlfn.XLOOKUP(Market_Data[[#This Row],[District]],tbl_district_price[District],tbl_district_price[Standard Price
(INR/m³)],"",0)</f>
        <v>6200</v>
      </c>
      <c r="N1147" s="364">
        <f>IF(OR(Market_Data[[#This Row],[Estimated Concrete Demand (m³)]]="",Market_Data[[#This Row],[Avg Price per (₹ / m³)]]=""),"",Market_Data[[#This Row],[Estimated Concrete Demand (m³)]]*Market_Data[[#This Row],[Avg Price per (₹ / m³)]]/10000000)</f>
        <v>14.911</v>
      </c>
      <c r="O1147" s="97" t="str">
        <f>IF(Market_Data[[#This Row],[Estimated Concrete Demand (m³)]]="","",
IF(Market_Data[[#This Row],[Estimated Concrete Demand (m³)]]&lt;10000,"Small",
IF(Market_Data[[#This Row],[Estimated Concrete Demand (m³)]]&lt;25000,"Medium",
IF(Market_Data[[#This Row],[Estimated Concrete Demand (m³)]]&lt;100000,"Large","Mega"))))</f>
        <v>Medium</v>
      </c>
      <c r="P1147" s="287" t="str">
        <f t="shared" si="19"/>
        <v>GujRERA</v>
      </c>
    </row>
    <row r="1148" spans="1:16">
      <c r="A1148" s="129" t="str">
        <f>_xlfn.XLOOKUP(B1148,$S$9:$S$14,$T$9:$T$14)&amp;"-"&amp;
IF(E1148="Residential/Group Housing","RES",
IF(E1148="Commercial","COM",
IF(E1148="Mixed Development","MIX",
IF(E1148="Plotted Development","PLT","OTH"))))
&amp;"-"&amp;TEXT(COUNTIFS($B$9:B1148,B1148,$E$9:E1148,E1148),"0000")</f>
        <v>SUR-PLT-0209</v>
      </c>
      <c r="B1148" s="322" t="s">
        <v>34</v>
      </c>
      <c r="C1148" s="322" t="s">
        <v>34</v>
      </c>
      <c r="D1148" s="323" t="s">
        <v>1338</v>
      </c>
      <c r="E1148" s="132" t="s">
        <v>26</v>
      </c>
      <c r="F1148" s="97" t="str">
        <f ca="1">IF(OR(Market_Data[[#This Row],[Start Date]]="",Market_Data[[#This Row],[Completion Date]]=""),"Needs Validation",IF(Market_Data[[#This Row],[Start Date]]&gt;TODAY(),"Planned",IF(Market_Data[[#This Row],[Completion Date]]&lt;TODAY(),"Completed","Ongoing")))</f>
        <v>Completed</v>
      </c>
      <c r="G1148" s="324">
        <v>44880</v>
      </c>
      <c r="H1148" s="324">
        <v>46022</v>
      </c>
      <c r="I1148" s="325">
        <v>4600</v>
      </c>
      <c r="J114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48" s="133">
        <f>_xlfn.XLOOKUP(Market_Data[[#This Row],[Project Type]],tbl_assumptions_market[Project Category (RERA)],tbl_assumptions_market[Concrete Intensity
(m³ / sq m BUA)],"",0)</f>
        <v>0.18</v>
      </c>
      <c r="L1148" s="134">
        <f>ROUND(Market_Data[[#This Row],[Estimated Built Up Area (sq m)]]*Market_Data[[#This Row],[Concrete Intensity
(m³ / sq m)]],0)</f>
        <v>828</v>
      </c>
      <c r="M1148" s="135">
        <f>_xlfn.XLOOKUP(Market_Data[[#This Row],[District]],tbl_district_price[District],tbl_district_price[Standard Price
(INR/m³)],"",0)</f>
        <v>6200</v>
      </c>
      <c r="N1148" s="364">
        <f>IF(OR(Market_Data[[#This Row],[Estimated Concrete Demand (m³)]]="",Market_Data[[#This Row],[Avg Price per (₹ / m³)]]=""),"",Market_Data[[#This Row],[Estimated Concrete Demand (m³)]]*Market_Data[[#This Row],[Avg Price per (₹ / m³)]]/10000000)</f>
        <v>0.51336000000000004</v>
      </c>
      <c r="O1148" s="97" t="str">
        <f>IF(Market_Data[[#This Row],[Estimated Concrete Demand (m³)]]="","",
IF(Market_Data[[#This Row],[Estimated Concrete Demand (m³)]]&lt;10000,"Small",
IF(Market_Data[[#This Row],[Estimated Concrete Demand (m³)]]&lt;25000,"Medium",
IF(Market_Data[[#This Row],[Estimated Concrete Demand (m³)]]&lt;100000,"Large","Mega"))))</f>
        <v>Small</v>
      </c>
      <c r="P1148" s="287" t="str">
        <f t="shared" si="19"/>
        <v>GujRERA</v>
      </c>
    </row>
    <row r="1149" spans="1:16">
      <c r="A1149" s="129" t="str">
        <f>_xlfn.XLOOKUP(B1149,$S$9:$S$14,$T$9:$T$14)&amp;"-"&amp;
IF(E1149="Residential/Group Housing","RES",
IF(E1149="Commercial","COM",
IF(E1149="Mixed Development","MIX",
IF(E1149="Plotted Development","PLT","OTH"))))
&amp;"-"&amp;TEXT(COUNTIFS($B$9:B1149,B1149,$E$9:E1149,E1149),"0000")</f>
        <v>SUR-RES-0302</v>
      </c>
      <c r="B1149" s="322" t="s">
        <v>34</v>
      </c>
      <c r="C1149" s="322" t="s">
        <v>34</v>
      </c>
      <c r="D1149" s="323" t="s">
        <v>1339</v>
      </c>
      <c r="E1149" s="132" t="s">
        <v>24</v>
      </c>
      <c r="F1149" s="97" t="str">
        <f ca="1">IF(OR(Market_Data[[#This Row],[Start Date]]="",Market_Data[[#This Row],[Completion Date]]=""),"Needs Validation",IF(Market_Data[[#This Row],[Start Date]]&gt;TODAY(),"Planned",IF(Market_Data[[#This Row],[Completion Date]]&lt;TODAY(),"Completed","Ongoing")))</f>
        <v>Ongoing</v>
      </c>
      <c r="G1149" s="324">
        <v>45870</v>
      </c>
      <c r="H1149" s="324">
        <v>48457</v>
      </c>
      <c r="I1149" s="325">
        <v>22900</v>
      </c>
      <c r="J114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49" s="133">
        <f>_xlfn.XLOOKUP(Market_Data[[#This Row],[Project Type]],tbl_assumptions_market[Project Category (RERA)],tbl_assumptions_market[Concrete Intensity
(m³ / sq m BUA)],"",0)</f>
        <v>0.45</v>
      </c>
      <c r="L1149" s="134">
        <f>ROUND(Market_Data[[#This Row],[Estimated Built Up Area (sq m)]]*Market_Data[[#This Row],[Concrete Intensity
(m³ / sq m)]],0)</f>
        <v>10305</v>
      </c>
      <c r="M1149" s="135">
        <f>_xlfn.XLOOKUP(Market_Data[[#This Row],[District]],tbl_district_price[District],tbl_district_price[Standard Price
(INR/m³)],"",0)</f>
        <v>6200</v>
      </c>
      <c r="N1149" s="364">
        <f>IF(OR(Market_Data[[#This Row],[Estimated Concrete Demand (m³)]]="",Market_Data[[#This Row],[Avg Price per (₹ / m³)]]=""),"",Market_Data[[#This Row],[Estimated Concrete Demand (m³)]]*Market_Data[[#This Row],[Avg Price per (₹ / m³)]]/10000000)</f>
        <v>6.3891</v>
      </c>
      <c r="O1149" s="97" t="str">
        <f>IF(Market_Data[[#This Row],[Estimated Concrete Demand (m³)]]="","",
IF(Market_Data[[#This Row],[Estimated Concrete Demand (m³)]]&lt;10000,"Small",
IF(Market_Data[[#This Row],[Estimated Concrete Demand (m³)]]&lt;25000,"Medium",
IF(Market_Data[[#This Row],[Estimated Concrete Demand (m³)]]&lt;100000,"Large","Mega"))))</f>
        <v>Medium</v>
      </c>
      <c r="P1149" s="287" t="str">
        <f t="shared" si="19"/>
        <v>GujRERA</v>
      </c>
    </row>
    <row r="1150" spans="1:16">
      <c r="A1150" s="129" t="str">
        <f>_xlfn.XLOOKUP(B1150,$S$9:$S$14,$T$9:$T$14)&amp;"-"&amp;
IF(E1150="Residential/Group Housing","RES",
IF(E1150="Commercial","COM",
IF(E1150="Mixed Development","MIX",
IF(E1150="Plotted Development","PLT","OTH"))))
&amp;"-"&amp;TEXT(COUNTIFS($B$9:B1150,B1150,$E$9:E1150,E1150),"0000")</f>
        <v>SUR-MIX-0158</v>
      </c>
      <c r="B1150" s="322" t="s">
        <v>34</v>
      </c>
      <c r="C1150" s="322" t="s">
        <v>34</v>
      </c>
      <c r="D1150" s="323" t="s">
        <v>1340</v>
      </c>
      <c r="E1150" s="132" t="s">
        <v>25</v>
      </c>
      <c r="F1150" s="97" t="str">
        <f ca="1">IF(OR(Market_Data[[#This Row],[Start Date]]="",Market_Data[[#This Row],[Completion Date]]=""),"Needs Validation",IF(Market_Data[[#This Row],[Start Date]]&gt;TODAY(),"Planned",IF(Market_Data[[#This Row],[Completion Date]]&lt;TODAY(),"Completed","Ongoing")))</f>
        <v>Ongoing</v>
      </c>
      <c r="G1150" s="324">
        <v>44713</v>
      </c>
      <c r="H1150" s="324">
        <v>47635</v>
      </c>
      <c r="I1150" s="325">
        <v>46800</v>
      </c>
      <c r="J115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50" s="133">
        <f>_xlfn.XLOOKUP(Market_Data[[#This Row],[Project Type]],tbl_assumptions_market[Project Category (RERA)],tbl_assumptions_market[Concrete Intensity
(m³ / sq m BUA)],"",0)</f>
        <v>0.42</v>
      </c>
      <c r="L1150" s="134">
        <f>ROUND(Market_Data[[#This Row],[Estimated Built Up Area (sq m)]]*Market_Data[[#This Row],[Concrete Intensity
(m³ / sq m)]],0)</f>
        <v>19656</v>
      </c>
      <c r="M1150" s="135">
        <f>_xlfn.XLOOKUP(Market_Data[[#This Row],[District]],tbl_district_price[District],tbl_district_price[Standard Price
(INR/m³)],"",0)</f>
        <v>6200</v>
      </c>
      <c r="N1150" s="364">
        <f>IF(OR(Market_Data[[#This Row],[Estimated Concrete Demand (m³)]]="",Market_Data[[#This Row],[Avg Price per (₹ / m³)]]=""),"",Market_Data[[#This Row],[Estimated Concrete Demand (m³)]]*Market_Data[[#This Row],[Avg Price per (₹ / m³)]]/10000000)</f>
        <v>12.186719999999999</v>
      </c>
      <c r="O1150" s="97" t="str">
        <f>IF(Market_Data[[#This Row],[Estimated Concrete Demand (m³)]]="","",
IF(Market_Data[[#This Row],[Estimated Concrete Demand (m³)]]&lt;10000,"Small",
IF(Market_Data[[#This Row],[Estimated Concrete Demand (m³)]]&lt;25000,"Medium",
IF(Market_Data[[#This Row],[Estimated Concrete Demand (m³)]]&lt;100000,"Large","Mega"))))</f>
        <v>Medium</v>
      </c>
      <c r="P1150" s="287" t="str">
        <f t="shared" si="19"/>
        <v>GujRERA</v>
      </c>
    </row>
    <row r="1151" spans="1:16">
      <c r="A1151" s="129" t="str">
        <f>_xlfn.XLOOKUP(B1151,$S$9:$S$14,$T$9:$T$14)&amp;"-"&amp;
IF(E1151="Residential/Group Housing","RES",
IF(E1151="Commercial","COM",
IF(E1151="Mixed Development","MIX",
IF(E1151="Plotted Development","PLT","OTH"))))
&amp;"-"&amp;TEXT(COUNTIFS($B$9:B1151,B1151,$E$9:E1151,E1151),"0000")</f>
        <v>SUR-PLT-0210</v>
      </c>
      <c r="B1151" s="322" t="s">
        <v>34</v>
      </c>
      <c r="C1151" s="322" t="s">
        <v>34</v>
      </c>
      <c r="D1151" s="323" t="s">
        <v>1341</v>
      </c>
      <c r="E1151" s="132" t="s">
        <v>26</v>
      </c>
      <c r="F1151" s="97" t="str">
        <f ca="1">IF(OR(Market_Data[[#This Row],[Start Date]]="",Market_Data[[#This Row],[Completion Date]]=""),"Needs Validation",IF(Market_Data[[#This Row],[Start Date]]&gt;TODAY(),"Planned",IF(Market_Data[[#This Row],[Completion Date]]&lt;TODAY(),"Completed","Ongoing")))</f>
        <v>Ongoing</v>
      </c>
      <c r="G1151" s="324">
        <v>45807</v>
      </c>
      <c r="H1151" s="324">
        <v>47118</v>
      </c>
      <c r="I1151" s="325">
        <v>6200</v>
      </c>
      <c r="J115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51" s="133">
        <f>_xlfn.XLOOKUP(Market_Data[[#This Row],[Project Type]],tbl_assumptions_market[Project Category (RERA)],tbl_assumptions_market[Concrete Intensity
(m³ / sq m BUA)],"",0)</f>
        <v>0.18</v>
      </c>
      <c r="L1151" s="134">
        <f>ROUND(Market_Data[[#This Row],[Estimated Built Up Area (sq m)]]*Market_Data[[#This Row],[Concrete Intensity
(m³ / sq m)]],0)</f>
        <v>1116</v>
      </c>
      <c r="M1151" s="135">
        <f>_xlfn.XLOOKUP(Market_Data[[#This Row],[District]],tbl_district_price[District],tbl_district_price[Standard Price
(INR/m³)],"",0)</f>
        <v>6200</v>
      </c>
      <c r="N1151" s="364">
        <f>IF(OR(Market_Data[[#This Row],[Estimated Concrete Demand (m³)]]="",Market_Data[[#This Row],[Avg Price per (₹ / m³)]]=""),"",Market_Data[[#This Row],[Estimated Concrete Demand (m³)]]*Market_Data[[#This Row],[Avg Price per (₹ / m³)]]/10000000)</f>
        <v>0.69191999999999998</v>
      </c>
      <c r="O1151" s="97" t="str">
        <f>IF(Market_Data[[#This Row],[Estimated Concrete Demand (m³)]]="","",
IF(Market_Data[[#This Row],[Estimated Concrete Demand (m³)]]&lt;10000,"Small",
IF(Market_Data[[#This Row],[Estimated Concrete Demand (m³)]]&lt;25000,"Medium",
IF(Market_Data[[#This Row],[Estimated Concrete Demand (m³)]]&lt;100000,"Large","Mega"))))</f>
        <v>Small</v>
      </c>
      <c r="P1151" s="287" t="str">
        <f t="shared" si="19"/>
        <v>GujRERA</v>
      </c>
    </row>
    <row r="1152" spans="1:16">
      <c r="A1152" s="129" t="str">
        <f>_xlfn.XLOOKUP(B1152,$S$9:$S$14,$T$9:$T$14)&amp;"-"&amp;
IF(E1152="Residential/Group Housing","RES",
IF(E1152="Commercial","COM",
IF(E1152="Mixed Development","MIX",
IF(E1152="Plotted Development","PLT","OTH"))))
&amp;"-"&amp;TEXT(COUNTIFS($B$9:B1152,B1152,$E$9:E1152,E1152),"0000")</f>
        <v>SUR-RES-0303</v>
      </c>
      <c r="B1152" s="322" t="s">
        <v>34</v>
      </c>
      <c r="C1152" s="322" t="s">
        <v>34</v>
      </c>
      <c r="D1152" s="323" t="s">
        <v>1342</v>
      </c>
      <c r="E1152" s="132" t="s">
        <v>24</v>
      </c>
      <c r="F1152" s="97" t="str">
        <f ca="1">IF(OR(Market_Data[[#This Row],[Start Date]]="",Market_Data[[#This Row],[Completion Date]]=""),"Needs Validation",IF(Market_Data[[#This Row],[Start Date]]&gt;TODAY(),"Planned",IF(Market_Data[[#This Row],[Completion Date]]&lt;TODAY(),"Completed","Ongoing")))</f>
        <v>Completed</v>
      </c>
      <c r="G1152" s="324">
        <v>43139</v>
      </c>
      <c r="H1152" s="324">
        <v>44834</v>
      </c>
      <c r="I1152" s="325">
        <v>14800</v>
      </c>
      <c r="J115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52" s="133">
        <f>_xlfn.XLOOKUP(Market_Data[[#This Row],[Project Type]],tbl_assumptions_market[Project Category (RERA)],tbl_assumptions_market[Concrete Intensity
(m³ / sq m BUA)],"",0)</f>
        <v>0.45</v>
      </c>
      <c r="L1152" s="134">
        <f>ROUND(Market_Data[[#This Row],[Estimated Built Up Area (sq m)]]*Market_Data[[#This Row],[Concrete Intensity
(m³ / sq m)]],0)</f>
        <v>6660</v>
      </c>
      <c r="M1152" s="135">
        <f>_xlfn.XLOOKUP(Market_Data[[#This Row],[District]],tbl_district_price[District],tbl_district_price[Standard Price
(INR/m³)],"",0)</f>
        <v>6200</v>
      </c>
      <c r="N1152" s="364">
        <f>IF(OR(Market_Data[[#This Row],[Estimated Concrete Demand (m³)]]="",Market_Data[[#This Row],[Avg Price per (₹ / m³)]]=""),"",Market_Data[[#This Row],[Estimated Concrete Demand (m³)]]*Market_Data[[#This Row],[Avg Price per (₹ / m³)]]/10000000)</f>
        <v>4.1292</v>
      </c>
      <c r="O1152" s="97" t="str">
        <f>IF(Market_Data[[#This Row],[Estimated Concrete Demand (m³)]]="","",
IF(Market_Data[[#This Row],[Estimated Concrete Demand (m³)]]&lt;10000,"Small",
IF(Market_Data[[#This Row],[Estimated Concrete Demand (m³)]]&lt;25000,"Medium",
IF(Market_Data[[#This Row],[Estimated Concrete Demand (m³)]]&lt;100000,"Large","Mega"))))</f>
        <v>Small</v>
      </c>
      <c r="P1152" s="287" t="str">
        <f t="shared" si="19"/>
        <v>GujRERA</v>
      </c>
    </row>
    <row r="1153" spans="1:16">
      <c r="A1153" s="129" t="str">
        <f>_xlfn.XLOOKUP(B1153,$S$9:$S$14,$T$9:$T$14)&amp;"-"&amp;
IF(E1153="Residential/Group Housing","RES",
IF(E1153="Commercial","COM",
IF(E1153="Mixed Development","MIX",
IF(E1153="Plotted Development","PLT","OTH"))))
&amp;"-"&amp;TEXT(COUNTIFS($B$9:B1153,B1153,$E$9:E1153,E1153),"0000")</f>
        <v>SUR-PLT-0211</v>
      </c>
      <c r="B1153" s="322" t="s">
        <v>34</v>
      </c>
      <c r="C1153" s="322" t="s">
        <v>34</v>
      </c>
      <c r="D1153" s="323" t="s">
        <v>1343</v>
      </c>
      <c r="E1153" s="132" t="s">
        <v>26</v>
      </c>
      <c r="F1153" s="97" t="str">
        <f ca="1">IF(OR(Market_Data[[#This Row],[Start Date]]="",Market_Data[[#This Row],[Completion Date]]=""),"Needs Validation",IF(Market_Data[[#This Row],[Start Date]]&gt;TODAY(),"Planned",IF(Market_Data[[#This Row],[Completion Date]]&lt;TODAY(),"Completed","Ongoing")))</f>
        <v>Ongoing</v>
      </c>
      <c r="G1153" s="324">
        <v>46002</v>
      </c>
      <c r="H1153" s="324">
        <v>46752</v>
      </c>
      <c r="I1153" s="325">
        <v>11600</v>
      </c>
      <c r="J115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53" s="133">
        <f>_xlfn.XLOOKUP(Market_Data[[#This Row],[Project Type]],tbl_assumptions_market[Project Category (RERA)],tbl_assumptions_market[Concrete Intensity
(m³ / sq m BUA)],"",0)</f>
        <v>0.18</v>
      </c>
      <c r="L1153" s="134">
        <f>ROUND(Market_Data[[#This Row],[Estimated Built Up Area (sq m)]]*Market_Data[[#This Row],[Concrete Intensity
(m³ / sq m)]],0)</f>
        <v>2088</v>
      </c>
      <c r="M1153" s="135">
        <f>_xlfn.XLOOKUP(Market_Data[[#This Row],[District]],tbl_district_price[District],tbl_district_price[Standard Price
(INR/m³)],"",0)</f>
        <v>6200</v>
      </c>
      <c r="N1153" s="364">
        <f>IF(OR(Market_Data[[#This Row],[Estimated Concrete Demand (m³)]]="",Market_Data[[#This Row],[Avg Price per (₹ / m³)]]=""),"",Market_Data[[#This Row],[Estimated Concrete Demand (m³)]]*Market_Data[[#This Row],[Avg Price per (₹ / m³)]]/10000000)</f>
        <v>1.2945599999999999</v>
      </c>
      <c r="O1153" s="97" t="str">
        <f>IF(Market_Data[[#This Row],[Estimated Concrete Demand (m³)]]="","",
IF(Market_Data[[#This Row],[Estimated Concrete Demand (m³)]]&lt;10000,"Small",
IF(Market_Data[[#This Row],[Estimated Concrete Demand (m³)]]&lt;25000,"Medium",
IF(Market_Data[[#This Row],[Estimated Concrete Demand (m³)]]&lt;100000,"Large","Mega"))))</f>
        <v>Small</v>
      </c>
      <c r="P1153" s="287" t="str">
        <f t="shared" si="19"/>
        <v>GujRERA</v>
      </c>
    </row>
    <row r="1154" spans="1:16">
      <c r="A1154" s="129" t="str">
        <f>_xlfn.XLOOKUP(B1154,$S$9:$S$14,$T$9:$T$14)&amp;"-"&amp;
IF(E1154="Residential/Group Housing","RES",
IF(E1154="Commercial","COM",
IF(E1154="Mixed Development","MIX",
IF(E1154="Plotted Development","PLT","OTH"))))
&amp;"-"&amp;TEXT(COUNTIFS($B$9:B1154,B1154,$E$9:E1154,E1154),"0000")</f>
        <v>SUR-MIX-0159</v>
      </c>
      <c r="B1154" s="322" t="s">
        <v>34</v>
      </c>
      <c r="C1154" s="322" t="s">
        <v>34</v>
      </c>
      <c r="D1154" s="323" t="s">
        <v>1344</v>
      </c>
      <c r="E1154" s="132" t="s">
        <v>25</v>
      </c>
      <c r="F1154" s="97" t="str">
        <f ca="1">IF(OR(Market_Data[[#This Row],[Start Date]]="",Market_Data[[#This Row],[Completion Date]]=""),"Needs Validation",IF(Market_Data[[#This Row],[Start Date]]&gt;TODAY(),"Planned",IF(Market_Data[[#This Row],[Completion Date]]&lt;TODAY(),"Completed","Ongoing")))</f>
        <v>Ongoing</v>
      </c>
      <c r="G1154" s="324">
        <v>45780</v>
      </c>
      <c r="H1154" s="324">
        <v>47483</v>
      </c>
      <c r="I1154" s="325">
        <v>36900</v>
      </c>
      <c r="J115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54" s="133">
        <f>_xlfn.XLOOKUP(Market_Data[[#This Row],[Project Type]],tbl_assumptions_market[Project Category (RERA)],tbl_assumptions_market[Concrete Intensity
(m³ / sq m BUA)],"",0)</f>
        <v>0.42</v>
      </c>
      <c r="L1154" s="134">
        <f>ROUND(Market_Data[[#This Row],[Estimated Built Up Area (sq m)]]*Market_Data[[#This Row],[Concrete Intensity
(m³ / sq m)]],0)</f>
        <v>15498</v>
      </c>
      <c r="M1154" s="135">
        <f>_xlfn.XLOOKUP(Market_Data[[#This Row],[District]],tbl_district_price[District],tbl_district_price[Standard Price
(INR/m³)],"",0)</f>
        <v>6200</v>
      </c>
      <c r="N1154" s="364">
        <f>IF(OR(Market_Data[[#This Row],[Estimated Concrete Demand (m³)]]="",Market_Data[[#This Row],[Avg Price per (₹ / m³)]]=""),"",Market_Data[[#This Row],[Estimated Concrete Demand (m³)]]*Market_Data[[#This Row],[Avg Price per (₹ / m³)]]/10000000)</f>
        <v>9.6087600000000002</v>
      </c>
      <c r="O1154" s="97" t="str">
        <f>IF(Market_Data[[#This Row],[Estimated Concrete Demand (m³)]]="","",
IF(Market_Data[[#This Row],[Estimated Concrete Demand (m³)]]&lt;10000,"Small",
IF(Market_Data[[#This Row],[Estimated Concrete Demand (m³)]]&lt;25000,"Medium",
IF(Market_Data[[#This Row],[Estimated Concrete Demand (m³)]]&lt;100000,"Large","Mega"))))</f>
        <v>Medium</v>
      </c>
      <c r="P1154" s="287" t="str">
        <f t="shared" si="19"/>
        <v>GujRERA</v>
      </c>
    </row>
    <row r="1155" spans="1:16">
      <c r="A1155" s="129" t="str">
        <f>_xlfn.XLOOKUP(B1155,$S$9:$S$14,$T$9:$T$14)&amp;"-"&amp;
IF(E1155="Residential/Group Housing","RES",
IF(E1155="Commercial","COM",
IF(E1155="Mixed Development","MIX",
IF(E1155="Plotted Development","PLT","OTH"))))
&amp;"-"&amp;TEXT(COUNTIFS($B$9:B1155,B1155,$E$9:E1155,E1155),"0000")</f>
        <v>SUR-RES-0304</v>
      </c>
      <c r="B1155" s="322" t="s">
        <v>34</v>
      </c>
      <c r="C1155" s="322" t="s">
        <v>34</v>
      </c>
      <c r="D1155" s="323" t="s">
        <v>1345</v>
      </c>
      <c r="E1155" s="132" t="s">
        <v>24</v>
      </c>
      <c r="F1155" s="97" t="str">
        <f ca="1">IF(OR(Market_Data[[#This Row],[Start Date]]="",Market_Data[[#This Row],[Completion Date]]=""),"Needs Validation",IF(Market_Data[[#This Row],[Start Date]]&gt;TODAY(),"Planned",IF(Market_Data[[#This Row],[Completion Date]]&lt;TODAY(),"Completed","Ongoing")))</f>
        <v>Ongoing</v>
      </c>
      <c r="G1155" s="324">
        <v>44629</v>
      </c>
      <c r="H1155" s="324">
        <v>46752</v>
      </c>
      <c r="I1155" s="325">
        <v>13900</v>
      </c>
      <c r="J115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55" s="133">
        <f>_xlfn.XLOOKUP(Market_Data[[#This Row],[Project Type]],tbl_assumptions_market[Project Category (RERA)],tbl_assumptions_market[Concrete Intensity
(m³ / sq m BUA)],"",0)</f>
        <v>0.45</v>
      </c>
      <c r="L1155" s="134">
        <f>ROUND(Market_Data[[#This Row],[Estimated Built Up Area (sq m)]]*Market_Data[[#This Row],[Concrete Intensity
(m³ / sq m)]],0)</f>
        <v>6255</v>
      </c>
      <c r="M1155" s="135">
        <f>_xlfn.XLOOKUP(Market_Data[[#This Row],[District]],tbl_district_price[District],tbl_district_price[Standard Price
(INR/m³)],"",0)</f>
        <v>6200</v>
      </c>
      <c r="N1155" s="364">
        <f>IF(OR(Market_Data[[#This Row],[Estimated Concrete Demand (m³)]]="",Market_Data[[#This Row],[Avg Price per (₹ / m³)]]=""),"",Market_Data[[#This Row],[Estimated Concrete Demand (m³)]]*Market_Data[[#This Row],[Avg Price per (₹ / m³)]]/10000000)</f>
        <v>3.8780999999999999</v>
      </c>
      <c r="O1155" s="97" t="str">
        <f>IF(Market_Data[[#This Row],[Estimated Concrete Demand (m³)]]="","",
IF(Market_Data[[#This Row],[Estimated Concrete Demand (m³)]]&lt;10000,"Small",
IF(Market_Data[[#This Row],[Estimated Concrete Demand (m³)]]&lt;25000,"Medium",
IF(Market_Data[[#This Row],[Estimated Concrete Demand (m³)]]&lt;100000,"Large","Mega"))))</f>
        <v>Small</v>
      </c>
      <c r="P1155" s="287" t="str">
        <f t="shared" si="19"/>
        <v>GujRERA</v>
      </c>
    </row>
    <row r="1156" spans="1:16">
      <c r="A1156" s="129" t="str">
        <f>_xlfn.XLOOKUP(B1156,$S$9:$S$14,$T$9:$T$14)&amp;"-"&amp;
IF(E1156="Residential/Group Housing","RES",
IF(E1156="Commercial","COM",
IF(E1156="Mixed Development","MIX",
IF(E1156="Plotted Development","PLT","OTH"))))
&amp;"-"&amp;TEXT(COUNTIFS($B$9:B1156,B1156,$E$9:E1156,E1156),"0000")</f>
        <v>SUR-RES-0305</v>
      </c>
      <c r="B1156" s="322" t="s">
        <v>34</v>
      </c>
      <c r="C1156" s="322" t="s">
        <v>34</v>
      </c>
      <c r="D1156" s="323" t="s">
        <v>1346</v>
      </c>
      <c r="E1156" s="132" t="s">
        <v>24</v>
      </c>
      <c r="F1156" s="97" t="str">
        <f ca="1">IF(OR(Market_Data[[#This Row],[Start Date]]="",Market_Data[[#This Row],[Completion Date]]=""),"Needs Validation",IF(Market_Data[[#This Row],[Start Date]]&gt;TODAY(),"Planned",IF(Market_Data[[#This Row],[Completion Date]]&lt;TODAY(),"Completed","Ongoing")))</f>
        <v>Ongoing</v>
      </c>
      <c r="G1156" s="324">
        <v>45315</v>
      </c>
      <c r="H1156" s="324">
        <v>46843</v>
      </c>
      <c r="I1156" s="325">
        <v>34200</v>
      </c>
      <c r="J115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56" s="133">
        <f>_xlfn.XLOOKUP(Market_Data[[#This Row],[Project Type]],tbl_assumptions_market[Project Category (RERA)],tbl_assumptions_market[Concrete Intensity
(m³ / sq m BUA)],"",0)</f>
        <v>0.45</v>
      </c>
      <c r="L1156" s="134">
        <f>ROUND(Market_Data[[#This Row],[Estimated Built Up Area (sq m)]]*Market_Data[[#This Row],[Concrete Intensity
(m³ / sq m)]],0)</f>
        <v>15390</v>
      </c>
      <c r="M1156" s="135">
        <f>_xlfn.XLOOKUP(Market_Data[[#This Row],[District]],tbl_district_price[District],tbl_district_price[Standard Price
(INR/m³)],"",0)</f>
        <v>6200</v>
      </c>
      <c r="N1156" s="364">
        <f>IF(OR(Market_Data[[#This Row],[Estimated Concrete Demand (m³)]]="",Market_Data[[#This Row],[Avg Price per (₹ / m³)]]=""),"",Market_Data[[#This Row],[Estimated Concrete Demand (m³)]]*Market_Data[[#This Row],[Avg Price per (₹ / m³)]]/10000000)</f>
        <v>9.5418000000000003</v>
      </c>
      <c r="O1156" s="97" t="str">
        <f>IF(Market_Data[[#This Row],[Estimated Concrete Demand (m³)]]="","",
IF(Market_Data[[#This Row],[Estimated Concrete Demand (m³)]]&lt;10000,"Small",
IF(Market_Data[[#This Row],[Estimated Concrete Demand (m³)]]&lt;25000,"Medium",
IF(Market_Data[[#This Row],[Estimated Concrete Demand (m³)]]&lt;100000,"Large","Mega"))))</f>
        <v>Medium</v>
      </c>
      <c r="P1156" s="287" t="str">
        <f t="shared" si="19"/>
        <v>GujRERA</v>
      </c>
    </row>
    <row r="1157" spans="1:16">
      <c r="A1157" s="129" t="str">
        <f>_xlfn.XLOOKUP(B1157,$S$9:$S$14,$T$9:$T$14)&amp;"-"&amp;
IF(E1157="Residential/Group Housing","RES",
IF(E1157="Commercial","COM",
IF(E1157="Mixed Development","MIX",
IF(E1157="Plotted Development","PLT","OTH"))))
&amp;"-"&amp;TEXT(COUNTIFS($B$9:B1157,B1157,$E$9:E1157,E1157),"0000")</f>
        <v>SUR-PLT-0212</v>
      </c>
      <c r="B1157" s="322" t="s">
        <v>34</v>
      </c>
      <c r="C1157" s="322" t="s">
        <v>34</v>
      </c>
      <c r="D1157" s="323" t="s">
        <v>1347</v>
      </c>
      <c r="E1157" s="132" t="s">
        <v>26</v>
      </c>
      <c r="F1157" s="97" t="str">
        <f ca="1">IF(OR(Market_Data[[#This Row],[Start Date]]="",Market_Data[[#This Row],[Completion Date]]=""),"Needs Validation",IF(Market_Data[[#This Row],[Start Date]]&gt;TODAY(),"Planned",IF(Market_Data[[#This Row],[Completion Date]]&lt;TODAY(),"Completed","Ongoing")))</f>
        <v>Ongoing</v>
      </c>
      <c r="G1157" s="324">
        <v>45658</v>
      </c>
      <c r="H1157" s="324">
        <v>46752</v>
      </c>
      <c r="I1157" s="325">
        <v>46200</v>
      </c>
      <c r="J115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157" s="133">
        <f>_xlfn.XLOOKUP(Market_Data[[#This Row],[Project Type]],tbl_assumptions_market[Project Category (RERA)],tbl_assumptions_market[Concrete Intensity
(m³ / sq m BUA)],"",0)</f>
        <v>0.18</v>
      </c>
      <c r="L1157" s="134">
        <f>ROUND(Market_Data[[#This Row],[Estimated Built Up Area (sq m)]]*Market_Data[[#This Row],[Concrete Intensity
(m³ / sq m)]],0)</f>
        <v>8316</v>
      </c>
      <c r="M1157" s="135">
        <f>_xlfn.XLOOKUP(Market_Data[[#This Row],[District]],tbl_district_price[District],tbl_district_price[Standard Price
(INR/m³)],"",0)</f>
        <v>6200</v>
      </c>
      <c r="N1157" s="364">
        <f>IF(OR(Market_Data[[#This Row],[Estimated Concrete Demand (m³)]]="",Market_Data[[#This Row],[Avg Price per (₹ / m³)]]=""),"",Market_Data[[#This Row],[Estimated Concrete Demand (m³)]]*Market_Data[[#This Row],[Avg Price per (₹ / m³)]]/10000000)</f>
        <v>5.1559200000000001</v>
      </c>
      <c r="O1157" s="97" t="str">
        <f>IF(Market_Data[[#This Row],[Estimated Concrete Demand (m³)]]="","",
IF(Market_Data[[#This Row],[Estimated Concrete Demand (m³)]]&lt;10000,"Small",
IF(Market_Data[[#This Row],[Estimated Concrete Demand (m³)]]&lt;25000,"Medium",
IF(Market_Data[[#This Row],[Estimated Concrete Demand (m³)]]&lt;100000,"Large","Mega"))))</f>
        <v>Small</v>
      </c>
      <c r="P1157" s="287" t="str">
        <f t="shared" si="19"/>
        <v>GujRERA</v>
      </c>
    </row>
    <row r="1158" spans="1:16">
      <c r="A1158" s="129" t="str">
        <f>_xlfn.XLOOKUP(B1158,$S$9:$S$14,$T$9:$T$14)&amp;"-"&amp;
IF(E1158="Residential/Group Housing","RES",
IF(E1158="Commercial","COM",
IF(E1158="Mixed Development","MIX",
IF(E1158="Plotted Development","PLT","OTH"))))
&amp;"-"&amp;TEXT(COUNTIFS($B$9:B1158,B1158,$E$9:E1158,E1158),"0000")</f>
        <v>SUR-RES-0306</v>
      </c>
      <c r="B1158" s="322" t="s">
        <v>34</v>
      </c>
      <c r="C1158" s="322" t="s">
        <v>34</v>
      </c>
      <c r="D1158" s="323" t="s">
        <v>1348</v>
      </c>
      <c r="E1158" s="132" t="s">
        <v>24</v>
      </c>
      <c r="F1158" s="97" t="str">
        <f ca="1">IF(OR(Market_Data[[#This Row],[Start Date]]="",Market_Data[[#This Row],[Completion Date]]=""),"Needs Validation",IF(Market_Data[[#This Row],[Start Date]]&gt;TODAY(),"Planned",IF(Market_Data[[#This Row],[Completion Date]]&lt;TODAY(),"Completed","Ongoing")))</f>
        <v>Ongoing</v>
      </c>
      <c r="G1158" s="324">
        <v>44440</v>
      </c>
      <c r="H1158" s="324">
        <v>46387</v>
      </c>
      <c r="I1158" s="325">
        <v>55700</v>
      </c>
      <c r="J115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58" s="133">
        <f>_xlfn.XLOOKUP(Market_Data[[#This Row],[Project Type]],tbl_assumptions_market[Project Category (RERA)],tbl_assumptions_market[Concrete Intensity
(m³ / sq m BUA)],"",0)</f>
        <v>0.45</v>
      </c>
      <c r="L1158" s="134">
        <f>ROUND(Market_Data[[#This Row],[Estimated Built Up Area (sq m)]]*Market_Data[[#This Row],[Concrete Intensity
(m³ / sq m)]],0)</f>
        <v>25065</v>
      </c>
      <c r="M1158" s="135">
        <f>_xlfn.XLOOKUP(Market_Data[[#This Row],[District]],tbl_district_price[District],tbl_district_price[Standard Price
(INR/m³)],"",0)</f>
        <v>6200</v>
      </c>
      <c r="N1158" s="364">
        <f>IF(OR(Market_Data[[#This Row],[Estimated Concrete Demand (m³)]]="",Market_Data[[#This Row],[Avg Price per (₹ / m³)]]=""),"",Market_Data[[#This Row],[Estimated Concrete Demand (m³)]]*Market_Data[[#This Row],[Avg Price per (₹ / m³)]]/10000000)</f>
        <v>15.5403</v>
      </c>
      <c r="O1158" s="97" t="str">
        <f>IF(Market_Data[[#This Row],[Estimated Concrete Demand (m³)]]="","",
IF(Market_Data[[#This Row],[Estimated Concrete Demand (m³)]]&lt;10000,"Small",
IF(Market_Data[[#This Row],[Estimated Concrete Demand (m³)]]&lt;25000,"Medium",
IF(Market_Data[[#This Row],[Estimated Concrete Demand (m³)]]&lt;100000,"Large","Mega"))))</f>
        <v>Large</v>
      </c>
      <c r="P1158" s="287" t="str">
        <f t="shared" si="19"/>
        <v>GujRERA</v>
      </c>
    </row>
    <row r="1159" spans="1:16">
      <c r="A1159" s="129" t="str">
        <f>_xlfn.XLOOKUP(B1159,$S$9:$S$14,$T$9:$T$14)&amp;"-"&amp;
IF(E1159="Residential/Group Housing","RES",
IF(E1159="Commercial","COM",
IF(E1159="Mixed Development","MIX",
IF(E1159="Plotted Development","PLT","OTH"))))
&amp;"-"&amp;TEXT(COUNTIFS($B$9:B1159,B1159,$E$9:E1159,E1159),"0000")</f>
        <v>SUR-RES-0307</v>
      </c>
      <c r="B1159" s="322" t="s">
        <v>34</v>
      </c>
      <c r="C1159" s="322" t="s">
        <v>34</v>
      </c>
      <c r="D1159" s="323" t="s">
        <v>1349</v>
      </c>
      <c r="E1159" s="132" t="s">
        <v>24</v>
      </c>
      <c r="F1159" s="97" t="str">
        <f ca="1">IF(OR(Market_Data[[#This Row],[Start Date]]="",Market_Data[[#This Row],[Completion Date]]=""),"Needs Validation",IF(Market_Data[[#This Row],[Start Date]]&gt;TODAY(),"Planned",IF(Market_Data[[#This Row],[Completion Date]]&lt;TODAY(),"Completed","Ongoing")))</f>
        <v>Completed</v>
      </c>
      <c r="G1159" s="324">
        <v>41491</v>
      </c>
      <c r="H1159" s="324">
        <v>43921</v>
      </c>
      <c r="I1159" s="325">
        <v>40100</v>
      </c>
      <c r="J115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59" s="133">
        <f>_xlfn.XLOOKUP(Market_Data[[#This Row],[Project Type]],tbl_assumptions_market[Project Category (RERA)],tbl_assumptions_market[Concrete Intensity
(m³ / sq m BUA)],"",0)</f>
        <v>0.45</v>
      </c>
      <c r="L1159" s="134">
        <f>ROUND(Market_Data[[#This Row],[Estimated Built Up Area (sq m)]]*Market_Data[[#This Row],[Concrete Intensity
(m³ / sq m)]],0)</f>
        <v>18045</v>
      </c>
      <c r="M1159" s="135">
        <f>_xlfn.XLOOKUP(Market_Data[[#This Row],[District]],tbl_district_price[District],tbl_district_price[Standard Price
(INR/m³)],"",0)</f>
        <v>6200</v>
      </c>
      <c r="N1159" s="364">
        <f>IF(OR(Market_Data[[#This Row],[Estimated Concrete Demand (m³)]]="",Market_Data[[#This Row],[Avg Price per (₹ / m³)]]=""),"",Market_Data[[#This Row],[Estimated Concrete Demand (m³)]]*Market_Data[[#This Row],[Avg Price per (₹ / m³)]]/10000000)</f>
        <v>11.187900000000001</v>
      </c>
      <c r="O1159" s="97" t="str">
        <f>IF(Market_Data[[#This Row],[Estimated Concrete Demand (m³)]]="","",
IF(Market_Data[[#This Row],[Estimated Concrete Demand (m³)]]&lt;10000,"Small",
IF(Market_Data[[#This Row],[Estimated Concrete Demand (m³)]]&lt;25000,"Medium",
IF(Market_Data[[#This Row],[Estimated Concrete Demand (m³)]]&lt;100000,"Large","Mega"))))</f>
        <v>Medium</v>
      </c>
      <c r="P1159" s="287" t="str">
        <f t="shared" si="19"/>
        <v>GujRERA</v>
      </c>
    </row>
    <row r="1160" spans="1:16">
      <c r="A1160" s="129" t="str">
        <f>_xlfn.XLOOKUP(B1160,$S$9:$S$14,$T$9:$T$14)&amp;"-"&amp;
IF(E1160="Residential/Group Housing","RES",
IF(E1160="Commercial","COM",
IF(E1160="Mixed Development","MIX",
IF(E1160="Plotted Development","PLT","OTH"))))
&amp;"-"&amp;TEXT(COUNTIFS($B$9:B1160,B1160,$E$9:E1160,E1160),"0000")</f>
        <v>SUR-MIX-0160</v>
      </c>
      <c r="B1160" s="322" t="s">
        <v>34</v>
      </c>
      <c r="C1160" s="322" t="s">
        <v>34</v>
      </c>
      <c r="D1160" s="323" t="s">
        <v>1350</v>
      </c>
      <c r="E1160" s="132" t="s">
        <v>25</v>
      </c>
      <c r="F1160" s="97" t="str">
        <f ca="1">IF(OR(Market_Data[[#This Row],[Start Date]]="",Market_Data[[#This Row],[Completion Date]]=""),"Needs Validation",IF(Market_Data[[#This Row],[Start Date]]&gt;TODAY(),"Planned",IF(Market_Data[[#This Row],[Completion Date]]&lt;TODAY(),"Completed","Ongoing")))</f>
        <v>Completed</v>
      </c>
      <c r="G1160" s="324">
        <v>43444</v>
      </c>
      <c r="H1160" s="324">
        <v>45838</v>
      </c>
      <c r="I1160" s="325">
        <v>53500</v>
      </c>
      <c r="J116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60" s="133">
        <f>_xlfn.XLOOKUP(Market_Data[[#This Row],[Project Type]],tbl_assumptions_market[Project Category (RERA)],tbl_assumptions_market[Concrete Intensity
(m³ / sq m BUA)],"",0)</f>
        <v>0.42</v>
      </c>
      <c r="L1160" s="134">
        <f>ROUND(Market_Data[[#This Row],[Estimated Built Up Area (sq m)]]*Market_Data[[#This Row],[Concrete Intensity
(m³ / sq m)]],0)</f>
        <v>22470</v>
      </c>
      <c r="M1160" s="135">
        <f>_xlfn.XLOOKUP(Market_Data[[#This Row],[District]],tbl_district_price[District],tbl_district_price[Standard Price
(INR/m³)],"",0)</f>
        <v>6200</v>
      </c>
      <c r="N1160" s="364">
        <f>IF(OR(Market_Data[[#This Row],[Estimated Concrete Demand (m³)]]="",Market_Data[[#This Row],[Avg Price per (₹ / m³)]]=""),"",Market_Data[[#This Row],[Estimated Concrete Demand (m³)]]*Market_Data[[#This Row],[Avg Price per (₹ / m³)]]/10000000)</f>
        <v>13.9314</v>
      </c>
      <c r="O1160" s="97" t="str">
        <f>IF(Market_Data[[#This Row],[Estimated Concrete Demand (m³)]]="","",
IF(Market_Data[[#This Row],[Estimated Concrete Demand (m³)]]&lt;10000,"Small",
IF(Market_Data[[#This Row],[Estimated Concrete Demand (m³)]]&lt;25000,"Medium",
IF(Market_Data[[#This Row],[Estimated Concrete Demand (m³)]]&lt;100000,"Large","Mega"))))</f>
        <v>Medium</v>
      </c>
      <c r="P1160" s="287" t="str">
        <f t="shared" si="19"/>
        <v>GujRERA</v>
      </c>
    </row>
    <row r="1161" spans="1:16">
      <c r="A1161" s="129" t="str">
        <f>_xlfn.XLOOKUP(B1161,$S$9:$S$14,$T$9:$T$14)&amp;"-"&amp;
IF(E1161="Residential/Group Housing","RES",
IF(E1161="Commercial","COM",
IF(E1161="Mixed Development","MIX",
IF(E1161="Plotted Development","PLT","OTH"))))
&amp;"-"&amp;TEXT(COUNTIFS($B$9:B1161,B1161,$E$9:E1161,E1161),"0000")</f>
        <v>SUR-PLT-0213</v>
      </c>
      <c r="B1161" s="322" t="s">
        <v>34</v>
      </c>
      <c r="C1161" s="322" t="s">
        <v>34</v>
      </c>
      <c r="D1161" s="323" t="s">
        <v>1351</v>
      </c>
      <c r="E1161" s="132" t="s">
        <v>26</v>
      </c>
      <c r="F1161" s="97" t="str">
        <f ca="1">IF(OR(Market_Data[[#This Row],[Start Date]]="",Market_Data[[#This Row],[Completion Date]]=""),"Needs Validation",IF(Market_Data[[#This Row],[Start Date]]&gt;TODAY(),"Planned",IF(Market_Data[[#This Row],[Completion Date]]&lt;TODAY(),"Completed","Ongoing")))</f>
        <v>Ongoing</v>
      </c>
      <c r="G1161" s="324">
        <v>45104</v>
      </c>
      <c r="H1161" s="324">
        <v>46752</v>
      </c>
      <c r="I1161" s="325">
        <v>3700</v>
      </c>
      <c r="J116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61" s="133">
        <f>_xlfn.XLOOKUP(Market_Data[[#This Row],[Project Type]],tbl_assumptions_market[Project Category (RERA)],tbl_assumptions_market[Concrete Intensity
(m³ / sq m BUA)],"",0)</f>
        <v>0.18</v>
      </c>
      <c r="L1161" s="134">
        <f>ROUND(Market_Data[[#This Row],[Estimated Built Up Area (sq m)]]*Market_Data[[#This Row],[Concrete Intensity
(m³ / sq m)]],0)</f>
        <v>666</v>
      </c>
      <c r="M1161" s="135">
        <f>_xlfn.XLOOKUP(Market_Data[[#This Row],[District]],tbl_district_price[District],tbl_district_price[Standard Price
(INR/m³)],"",0)</f>
        <v>6200</v>
      </c>
      <c r="N1161" s="364">
        <f>IF(OR(Market_Data[[#This Row],[Estimated Concrete Demand (m³)]]="",Market_Data[[#This Row],[Avg Price per (₹ / m³)]]=""),"",Market_Data[[#This Row],[Estimated Concrete Demand (m³)]]*Market_Data[[#This Row],[Avg Price per (₹ / m³)]]/10000000)</f>
        <v>0.41292000000000001</v>
      </c>
      <c r="O1161" s="97" t="str">
        <f>IF(Market_Data[[#This Row],[Estimated Concrete Demand (m³)]]="","",
IF(Market_Data[[#This Row],[Estimated Concrete Demand (m³)]]&lt;10000,"Small",
IF(Market_Data[[#This Row],[Estimated Concrete Demand (m³)]]&lt;25000,"Medium",
IF(Market_Data[[#This Row],[Estimated Concrete Demand (m³)]]&lt;100000,"Large","Mega"))))</f>
        <v>Small</v>
      </c>
      <c r="P1161" s="287" t="str">
        <f t="shared" si="19"/>
        <v>GujRERA</v>
      </c>
    </row>
    <row r="1162" spans="1:16">
      <c r="A1162" s="129" t="str">
        <f>_xlfn.XLOOKUP(B1162,$S$9:$S$14,$T$9:$T$14)&amp;"-"&amp;
IF(E1162="Residential/Group Housing","RES",
IF(E1162="Commercial","COM",
IF(E1162="Mixed Development","MIX",
IF(E1162="Plotted Development","PLT","OTH"))))
&amp;"-"&amp;TEXT(COUNTIFS($B$9:B1162,B1162,$E$9:E1162,E1162),"0000")</f>
        <v>SUR-RES-0308</v>
      </c>
      <c r="B1162" s="322" t="s">
        <v>34</v>
      </c>
      <c r="C1162" s="322" t="s">
        <v>34</v>
      </c>
      <c r="D1162" s="323" t="s">
        <v>1352</v>
      </c>
      <c r="E1162" s="132" t="s">
        <v>24</v>
      </c>
      <c r="F1162" s="97" t="str">
        <f ca="1">IF(OR(Market_Data[[#This Row],[Start Date]]="",Market_Data[[#This Row],[Completion Date]]=""),"Needs Validation",IF(Market_Data[[#This Row],[Start Date]]&gt;TODAY(),"Planned",IF(Market_Data[[#This Row],[Completion Date]]&lt;TODAY(),"Completed","Ongoing")))</f>
        <v>Completed</v>
      </c>
      <c r="G1162" s="324">
        <v>39812</v>
      </c>
      <c r="H1162" s="324">
        <v>46203</v>
      </c>
      <c r="I1162" s="325">
        <v>58500</v>
      </c>
      <c r="J116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62" s="133">
        <f>_xlfn.XLOOKUP(Market_Data[[#This Row],[Project Type]],tbl_assumptions_market[Project Category (RERA)],tbl_assumptions_market[Concrete Intensity
(m³ / sq m BUA)],"",0)</f>
        <v>0.45</v>
      </c>
      <c r="L1162" s="134">
        <f>ROUND(Market_Data[[#This Row],[Estimated Built Up Area (sq m)]]*Market_Data[[#This Row],[Concrete Intensity
(m³ / sq m)]],0)</f>
        <v>26325</v>
      </c>
      <c r="M1162" s="135">
        <f>_xlfn.XLOOKUP(Market_Data[[#This Row],[District]],tbl_district_price[District],tbl_district_price[Standard Price
(INR/m³)],"",0)</f>
        <v>6200</v>
      </c>
      <c r="N1162" s="364">
        <f>IF(OR(Market_Data[[#This Row],[Estimated Concrete Demand (m³)]]="",Market_Data[[#This Row],[Avg Price per (₹ / m³)]]=""),"",Market_Data[[#This Row],[Estimated Concrete Demand (m³)]]*Market_Data[[#This Row],[Avg Price per (₹ / m³)]]/10000000)</f>
        <v>16.3215</v>
      </c>
      <c r="O1162" s="97" t="str">
        <f>IF(Market_Data[[#This Row],[Estimated Concrete Demand (m³)]]="","",
IF(Market_Data[[#This Row],[Estimated Concrete Demand (m³)]]&lt;10000,"Small",
IF(Market_Data[[#This Row],[Estimated Concrete Demand (m³)]]&lt;25000,"Medium",
IF(Market_Data[[#This Row],[Estimated Concrete Demand (m³)]]&lt;100000,"Large","Mega"))))</f>
        <v>Large</v>
      </c>
      <c r="P1162" s="287" t="str">
        <f t="shared" ref="P1162:P1225" si="20">HYPERLINK(
"https://gujrera.gujarat.gov.in",
"GujRERA")</f>
        <v>GujRERA</v>
      </c>
    </row>
    <row r="1163" spans="1:16">
      <c r="A1163" s="129" t="str">
        <f>_xlfn.XLOOKUP(B1163,$S$9:$S$14,$T$9:$T$14)&amp;"-"&amp;
IF(E1163="Residential/Group Housing","RES",
IF(E1163="Commercial","COM",
IF(E1163="Mixed Development","MIX",
IF(E1163="Plotted Development","PLT","OTH"))))
&amp;"-"&amp;TEXT(COUNTIFS($B$9:B1163,B1163,$E$9:E1163,E1163),"0000")</f>
        <v>SUR-COM-0164</v>
      </c>
      <c r="B1163" s="322" t="s">
        <v>34</v>
      </c>
      <c r="C1163" s="322" t="s">
        <v>34</v>
      </c>
      <c r="D1163" s="323" t="s">
        <v>1353</v>
      </c>
      <c r="E1163" s="132" t="s">
        <v>23</v>
      </c>
      <c r="F1163" s="97" t="str">
        <f ca="1">IF(OR(Market_Data[[#This Row],[Start Date]]="",Market_Data[[#This Row],[Completion Date]]=""),"Needs Validation",IF(Market_Data[[#This Row],[Start Date]]&gt;TODAY(),"Planned",IF(Market_Data[[#This Row],[Completion Date]]&lt;TODAY(),"Completed","Ongoing")))</f>
        <v>Completed</v>
      </c>
      <c r="G1163" s="324">
        <v>44132</v>
      </c>
      <c r="H1163" s="324">
        <v>45382</v>
      </c>
      <c r="I1163" s="325">
        <v>9100</v>
      </c>
      <c r="J116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63" s="133">
        <f>_xlfn.XLOOKUP(Market_Data[[#This Row],[Project Type]],tbl_assumptions_market[Project Category (RERA)],tbl_assumptions_market[Concrete Intensity
(m³ / sq m BUA)],"",0)</f>
        <v>0.5</v>
      </c>
      <c r="L1163" s="134">
        <f>ROUND(Market_Data[[#This Row],[Estimated Built Up Area (sq m)]]*Market_Data[[#This Row],[Concrete Intensity
(m³ / sq m)]],0)</f>
        <v>4550</v>
      </c>
      <c r="M1163" s="135">
        <f>_xlfn.XLOOKUP(Market_Data[[#This Row],[District]],tbl_district_price[District],tbl_district_price[Standard Price
(INR/m³)],"",0)</f>
        <v>6200</v>
      </c>
      <c r="N1163" s="364">
        <f>IF(OR(Market_Data[[#This Row],[Estimated Concrete Demand (m³)]]="",Market_Data[[#This Row],[Avg Price per (₹ / m³)]]=""),"",Market_Data[[#This Row],[Estimated Concrete Demand (m³)]]*Market_Data[[#This Row],[Avg Price per (₹ / m³)]]/10000000)</f>
        <v>2.8210000000000002</v>
      </c>
      <c r="O1163" s="97" t="str">
        <f>IF(Market_Data[[#This Row],[Estimated Concrete Demand (m³)]]="","",
IF(Market_Data[[#This Row],[Estimated Concrete Demand (m³)]]&lt;10000,"Small",
IF(Market_Data[[#This Row],[Estimated Concrete Demand (m³)]]&lt;25000,"Medium",
IF(Market_Data[[#This Row],[Estimated Concrete Demand (m³)]]&lt;100000,"Large","Mega"))))</f>
        <v>Small</v>
      </c>
      <c r="P1163" s="287" t="str">
        <f t="shared" si="20"/>
        <v>GujRERA</v>
      </c>
    </row>
    <row r="1164" spans="1:16">
      <c r="A1164" s="129" t="str">
        <f>_xlfn.XLOOKUP(B1164,$S$9:$S$14,$T$9:$T$14)&amp;"-"&amp;
IF(E1164="Residential/Group Housing","RES",
IF(E1164="Commercial","COM",
IF(E1164="Mixed Development","MIX",
IF(E1164="Plotted Development","PLT","OTH"))))
&amp;"-"&amp;TEXT(COUNTIFS($B$9:B1164,B1164,$E$9:E1164,E1164),"0000")</f>
        <v>SUR-MIX-0161</v>
      </c>
      <c r="B1164" s="322" t="s">
        <v>34</v>
      </c>
      <c r="C1164" s="322" t="s">
        <v>34</v>
      </c>
      <c r="D1164" s="323" t="s">
        <v>1354</v>
      </c>
      <c r="E1164" s="132" t="s">
        <v>25</v>
      </c>
      <c r="F1164" s="97" t="str">
        <f ca="1">IF(OR(Market_Data[[#This Row],[Start Date]]="",Market_Data[[#This Row],[Completion Date]]=""),"Needs Validation",IF(Market_Data[[#This Row],[Start Date]]&gt;TODAY(),"Planned",IF(Market_Data[[#This Row],[Completion Date]]&lt;TODAY(),"Completed","Ongoing")))</f>
        <v>Completed</v>
      </c>
      <c r="G1164" s="324">
        <v>41821</v>
      </c>
      <c r="H1164" s="324">
        <v>43647</v>
      </c>
      <c r="I1164" s="325">
        <v>35700</v>
      </c>
      <c r="J116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64" s="133">
        <f>_xlfn.XLOOKUP(Market_Data[[#This Row],[Project Type]],tbl_assumptions_market[Project Category (RERA)],tbl_assumptions_market[Concrete Intensity
(m³ / sq m BUA)],"",0)</f>
        <v>0.42</v>
      </c>
      <c r="L1164" s="134">
        <f>ROUND(Market_Data[[#This Row],[Estimated Built Up Area (sq m)]]*Market_Data[[#This Row],[Concrete Intensity
(m³ / sq m)]],0)</f>
        <v>14994</v>
      </c>
      <c r="M1164" s="135">
        <f>_xlfn.XLOOKUP(Market_Data[[#This Row],[District]],tbl_district_price[District],tbl_district_price[Standard Price
(INR/m³)],"",0)</f>
        <v>6200</v>
      </c>
      <c r="N1164" s="364">
        <f>IF(OR(Market_Data[[#This Row],[Estimated Concrete Demand (m³)]]="",Market_Data[[#This Row],[Avg Price per (₹ / m³)]]=""),"",Market_Data[[#This Row],[Estimated Concrete Demand (m³)]]*Market_Data[[#This Row],[Avg Price per (₹ / m³)]]/10000000)</f>
        <v>9.2962799999999994</v>
      </c>
      <c r="O1164" s="97" t="str">
        <f>IF(Market_Data[[#This Row],[Estimated Concrete Demand (m³)]]="","",
IF(Market_Data[[#This Row],[Estimated Concrete Demand (m³)]]&lt;10000,"Small",
IF(Market_Data[[#This Row],[Estimated Concrete Demand (m³)]]&lt;25000,"Medium",
IF(Market_Data[[#This Row],[Estimated Concrete Demand (m³)]]&lt;100000,"Large","Mega"))))</f>
        <v>Medium</v>
      </c>
      <c r="P1164" s="287" t="str">
        <f t="shared" si="20"/>
        <v>GujRERA</v>
      </c>
    </row>
    <row r="1165" spans="1:16">
      <c r="A1165" s="129" t="str">
        <f>_xlfn.XLOOKUP(B1165,$S$9:$S$14,$T$9:$T$14)&amp;"-"&amp;
IF(E1165="Residential/Group Housing","RES",
IF(E1165="Commercial","COM",
IF(E1165="Mixed Development","MIX",
IF(E1165="Plotted Development","PLT","OTH"))))
&amp;"-"&amp;TEXT(COUNTIFS($B$9:B1165,B1165,$E$9:E1165,E1165),"0000")</f>
        <v>SUR-PLT-0214</v>
      </c>
      <c r="B1165" s="322" t="s">
        <v>34</v>
      </c>
      <c r="C1165" s="322" t="s">
        <v>34</v>
      </c>
      <c r="D1165" s="323" t="s">
        <v>1355</v>
      </c>
      <c r="E1165" s="132" t="s">
        <v>26</v>
      </c>
      <c r="F1165" s="97" t="str">
        <f ca="1">IF(OR(Market_Data[[#This Row],[Start Date]]="",Market_Data[[#This Row],[Completion Date]]=""),"Needs Validation",IF(Market_Data[[#This Row],[Start Date]]&gt;TODAY(),"Planned",IF(Market_Data[[#This Row],[Completion Date]]&lt;TODAY(),"Completed","Ongoing")))</f>
        <v>Ongoing</v>
      </c>
      <c r="G1165" s="324">
        <v>45744</v>
      </c>
      <c r="H1165" s="324">
        <v>46752</v>
      </c>
      <c r="I1165" s="325">
        <v>37400</v>
      </c>
      <c r="J116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165" s="133">
        <f>_xlfn.XLOOKUP(Market_Data[[#This Row],[Project Type]],tbl_assumptions_market[Project Category (RERA)],tbl_assumptions_market[Concrete Intensity
(m³ / sq m BUA)],"",0)</f>
        <v>0.18</v>
      </c>
      <c r="L1165" s="134">
        <f>ROUND(Market_Data[[#This Row],[Estimated Built Up Area (sq m)]]*Market_Data[[#This Row],[Concrete Intensity
(m³ / sq m)]],0)</f>
        <v>6732</v>
      </c>
      <c r="M1165" s="135">
        <f>_xlfn.XLOOKUP(Market_Data[[#This Row],[District]],tbl_district_price[District],tbl_district_price[Standard Price
(INR/m³)],"",0)</f>
        <v>6200</v>
      </c>
      <c r="N1165" s="364">
        <f>IF(OR(Market_Data[[#This Row],[Estimated Concrete Demand (m³)]]="",Market_Data[[#This Row],[Avg Price per (₹ / m³)]]=""),"",Market_Data[[#This Row],[Estimated Concrete Demand (m³)]]*Market_Data[[#This Row],[Avg Price per (₹ / m³)]]/10000000)</f>
        <v>4.1738400000000002</v>
      </c>
      <c r="O1165" s="97" t="str">
        <f>IF(Market_Data[[#This Row],[Estimated Concrete Demand (m³)]]="","",
IF(Market_Data[[#This Row],[Estimated Concrete Demand (m³)]]&lt;10000,"Small",
IF(Market_Data[[#This Row],[Estimated Concrete Demand (m³)]]&lt;25000,"Medium",
IF(Market_Data[[#This Row],[Estimated Concrete Demand (m³)]]&lt;100000,"Large","Mega"))))</f>
        <v>Small</v>
      </c>
      <c r="P1165" s="287" t="str">
        <f t="shared" si="20"/>
        <v>GujRERA</v>
      </c>
    </row>
    <row r="1166" spans="1:16">
      <c r="A1166" s="129" t="str">
        <f>_xlfn.XLOOKUP(B1166,$S$9:$S$14,$T$9:$T$14)&amp;"-"&amp;
IF(E1166="Residential/Group Housing","RES",
IF(E1166="Commercial","COM",
IF(E1166="Mixed Development","MIX",
IF(E1166="Plotted Development","PLT","OTH"))))
&amp;"-"&amp;TEXT(COUNTIFS($B$9:B1166,B1166,$E$9:E1166,E1166),"0000")</f>
        <v>SUR-PLT-0215</v>
      </c>
      <c r="B1166" s="322" t="s">
        <v>34</v>
      </c>
      <c r="C1166" s="322" t="s">
        <v>34</v>
      </c>
      <c r="D1166" s="323" t="s">
        <v>1356</v>
      </c>
      <c r="E1166" s="132" t="s">
        <v>26</v>
      </c>
      <c r="F1166" s="97" t="str">
        <f ca="1">IF(OR(Market_Data[[#This Row],[Start Date]]="",Market_Data[[#This Row],[Completion Date]]=""),"Needs Validation",IF(Market_Data[[#This Row],[Start Date]]&gt;TODAY(),"Planned",IF(Market_Data[[#This Row],[Completion Date]]&lt;TODAY(),"Completed","Ongoing")))</f>
        <v>Completed</v>
      </c>
      <c r="G1166" s="324">
        <v>44317</v>
      </c>
      <c r="H1166" s="324">
        <v>45291</v>
      </c>
      <c r="I1166" s="325">
        <v>41800</v>
      </c>
      <c r="J116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166" s="133">
        <f>_xlfn.XLOOKUP(Market_Data[[#This Row],[Project Type]],tbl_assumptions_market[Project Category (RERA)],tbl_assumptions_market[Concrete Intensity
(m³ / sq m BUA)],"",0)</f>
        <v>0.18</v>
      </c>
      <c r="L1166" s="134">
        <f>ROUND(Market_Data[[#This Row],[Estimated Built Up Area (sq m)]]*Market_Data[[#This Row],[Concrete Intensity
(m³ / sq m)]],0)</f>
        <v>7524</v>
      </c>
      <c r="M1166" s="135">
        <f>_xlfn.XLOOKUP(Market_Data[[#This Row],[District]],tbl_district_price[District],tbl_district_price[Standard Price
(INR/m³)],"",0)</f>
        <v>6200</v>
      </c>
      <c r="N1166" s="364">
        <f>IF(OR(Market_Data[[#This Row],[Estimated Concrete Demand (m³)]]="",Market_Data[[#This Row],[Avg Price per (₹ / m³)]]=""),"",Market_Data[[#This Row],[Estimated Concrete Demand (m³)]]*Market_Data[[#This Row],[Avg Price per (₹ / m³)]]/10000000)</f>
        <v>4.6648800000000001</v>
      </c>
      <c r="O1166" s="97" t="str">
        <f>IF(Market_Data[[#This Row],[Estimated Concrete Demand (m³)]]="","",
IF(Market_Data[[#This Row],[Estimated Concrete Demand (m³)]]&lt;10000,"Small",
IF(Market_Data[[#This Row],[Estimated Concrete Demand (m³)]]&lt;25000,"Medium",
IF(Market_Data[[#This Row],[Estimated Concrete Demand (m³)]]&lt;100000,"Large","Mega"))))</f>
        <v>Small</v>
      </c>
      <c r="P1166" s="287" t="str">
        <f t="shared" si="20"/>
        <v>GujRERA</v>
      </c>
    </row>
    <row r="1167" spans="1:16">
      <c r="A1167" s="129" t="str">
        <f>_xlfn.XLOOKUP(B1167,$S$9:$S$14,$T$9:$T$14)&amp;"-"&amp;
IF(E1167="Residential/Group Housing","RES",
IF(E1167="Commercial","COM",
IF(E1167="Mixed Development","MIX",
IF(E1167="Plotted Development","PLT","OTH"))))
&amp;"-"&amp;TEXT(COUNTIFS($B$9:B1167,B1167,$E$9:E1167,E1167),"0000")</f>
        <v>SUR-MIX-0162</v>
      </c>
      <c r="B1167" s="322" t="s">
        <v>34</v>
      </c>
      <c r="C1167" s="322" t="s">
        <v>34</v>
      </c>
      <c r="D1167" s="323" t="s">
        <v>1357</v>
      </c>
      <c r="E1167" s="132" t="s">
        <v>25</v>
      </c>
      <c r="F1167" s="97" t="str">
        <f ca="1">IF(OR(Market_Data[[#This Row],[Start Date]]="",Market_Data[[#This Row],[Completion Date]]=""),"Needs Validation",IF(Market_Data[[#This Row],[Start Date]]&gt;TODAY(),"Planned",IF(Market_Data[[#This Row],[Completion Date]]&lt;TODAY(),"Completed","Ongoing")))</f>
        <v>Ongoing</v>
      </c>
      <c r="G1167" s="324">
        <v>44501</v>
      </c>
      <c r="H1167" s="324">
        <v>46326</v>
      </c>
      <c r="I1167" s="325">
        <v>48900</v>
      </c>
      <c r="J116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67" s="133">
        <f>_xlfn.XLOOKUP(Market_Data[[#This Row],[Project Type]],tbl_assumptions_market[Project Category (RERA)],tbl_assumptions_market[Concrete Intensity
(m³ / sq m BUA)],"",0)</f>
        <v>0.42</v>
      </c>
      <c r="L1167" s="134">
        <f>ROUND(Market_Data[[#This Row],[Estimated Built Up Area (sq m)]]*Market_Data[[#This Row],[Concrete Intensity
(m³ / sq m)]],0)</f>
        <v>20538</v>
      </c>
      <c r="M1167" s="135">
        <f>_xlfn.XLOOKUP(Market_Data[[#This Row],[District]],tbl_district_price[District],tbl_district_price[Standard Price
(INR/m³)],"",0)</f>
        <v>6200</v>
      </c>
      <c r="N1167" s="364">
        <f>IF(OR(Market_Data[[#This Row],[Estimated Concrete Demand (m³)]]="",Market_Data[[#This Row],[Avg Price per (₹ / m³)]]=""),"",Market_Data[[#This Row],[Estimated Concrete Demand (m³)]]*Market_Data[[#This Row],[Avg Price per (₹ / m³)]]/10000000)</f>
        <v>12.733560000000001</v>
      </c>
      <c r="O1167" s="97" t="str">
        <f>IF(Market_Data[[#This Row],[Estimated Concrete Demand (m³)]]="","",
IF(Market_Data[[#This Row],[Estimated Concrete Demand (m³)]]&lt;10000,"Small",
IF(Market_Data[[#This Row],[Estimated Concrete Demand (m³)]]&lt;25000,"Medium",
IF(Market_Data[[#This Row],[Estimated Concrete Demand (m³)]]&lt;100000,"Large","Mega"))))</f>
        <v>Medium</v>
      </c>
      <c r="P1167" s="287" t="str">
        <f t="shared" si="20"/>
        <v>GujRERA</v>
      </c>
    </row>
    <row r="1168" spans="1:16">
      <c r="A1168" s="129" t="str">
        <f>_xlfn.XLOOKUP(B1168,$S$9:$S$14,$T$9:$T$14)&amp;"-"&amp;
IF(E1168="Residential/Group Housing","RES",
IF(E1168="Commercial","COM",
IF(E1168="Mixed Development","MIX",
IF(E1168="Plotted Development","PLT","OTH"))))
&amp;"-"&amp;TEXT(COUNTIFS($B$9:B1168,B1168,$E$9:E1168,E1168),"0000")</f>
        <v>SUR-RES-0309</v>
      </c>
      <c r="B1168" s="322" t="s">
        <v>34</v>
      </c>
      <c r="C1168" s="322" t="s">
        <v>34</v>
      </c>
      <c r="D1168" s="323" t="s">
        <v>1358</v>
      </c>
      <c r="E1168" s="132" t="s">
        <v>24</v>
      </c>
      <c r="F1168" s="97" t="str">
        <f ca="1">IF(OR(Market_Data[[#This Row],[Start Date]]="",Market_Data[[#This Row],[Completion Date]]=""),"Needs Validation",IF(Market_Data[[#This Row],[Start Date]]&gt;TODAY(),"Planned",IF(Market_Data[[#This Row],[Completion Date]]&lt;TODAY(),"Completed","Ongoing")))</f>
        <v>Ongoing</v>
      </c>
      <c r="G1168" s="324">
        <v>44961</v>
      </c>
      <c r="H1168" s="324">
        <v>48579</v>
      </c>
      <c r="I1168" s="325">
        <v>10200</v>
      </c>
      <c r="J116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68" s="133">
        <f>_xlfn.XLOOKUP(Market_Data[[#This Row],[Project Type]],tbl_assumptions_market[Project Category (RERA)],tbl_assumptions_market[Concrete Intensity
(m³ / sq m BUA)],"",0)</f>
        <v>0.45</v>
      </c>
      <c r="L1168" s="134">
        <f>ROUND(Market_Data[[#This Row],[Estimated Built Up Area (sq m)]]*Market_Data[[#This Row],[Concrete Intensity
(m³ / sq m)]],0)</f>
        <v>4590</v>
      </c>
      <c r="M1168" s="135">
        <f>_xlfn.XLOOKUP(Market_Data[[#This Row],[District]],tbl_district_price[District],tbl_district_price[Standard Price
(INR/m³)],"",0)</f>
        <v>6200</v>
      </c>
      <c r="N1168" s="364">
        <f>IF(OR(Market_Data[[#This Row],[Estimated Concrete Demand (m³)]]="",Market_Data[[#This Row],[Avg Price per (₹ / m³)]]=""),"",Market_Data[[#This Row],[Estimated Concrete Demand (m³)]]*Market_Data[[#This Row],[Avg Price per (₹ / m³)]]/10000000)</f>
        <v>2.8458000000000001</v>
      </c>
      <c r="O1168" s="97" t="str">
        <f>IF(Market_Data[[#This Row],[Estimated Concrete Demand (m³)]]="","",
IF(Market_Data[[#This Row],[Estimated Concrete Demand (m³)]]&lt;10000,"Small",
IF(Market_Data[[#This Row],[Estimated Concrete Demand (m³)]]&lt;25000,"Medium",
IF(Market_Data[[#This Row],[Estimated Concrete Demand (m³)]]&lt;100000,"Large","Mega"))))</f>
        <v>Small</v>
      </c>
      <c r="P1168" s="287" t="str">
        <f t="shared" si="20"/>
        <v>GujRERA</v>
      </c>
    </row>
    <row r="1169" spans="1:16">
      <c r="A1169" s="129" t="str">
        <f>_xlfn.XLOOKUP(B1169,$S$9:$S$14,$T$9:$T$14)&amp;"-"&amp;
IF(E1169="Residential/Group Housing","RES",
IF(E1169="Commercial","COM",
IF(E1169="Mixed Development","MIX",
IF(E1169="Plotted Development","PLT","OTH"))))
&amp;"-"&amp;TEXT(COUNTIFS($B$9:B1169,B1169,$E$9:E1169,E1169),"0000")</f>
        <v>SUR-COM-0165</v>
      </c>
      <c r="B1169" s="322" t="s">
        <v>34</v>
      </c>
      <c r="C1169" s="322" t="s">
        <v>34</v>
      </c>
      <c r="D1169" s="323" t="s">
        <v>1359</v>
      </c>
      <c r="E1169" s="132" t="s">
        <v>23</v>
      </c>
      <c r="F1169" s="97" t="str">
        <f ca="1">IF(OR(Market_Data[[#This Row],[Start Date]]="",Market_Data[[#This Row],[Completion Date]]=""),"Needs Validation",IF(Market_Data[[#This Row],[Start Date]]&gt;TODAY(),"Planned",IF(Market_Data[[#This Row],[Completion Date]]&lt;TODAY(),"Completed","Ongoing")))</f>
        <v>Completed</v>
      </c>
      <c r="G1169" s="324">
        <v>44479</v>
      </c>
      <c r="H1169" s="324">
        <v>46111</v>
      </c>
      <c r="I1169" s="325">
        <v>19300</v>
      </c>
      <c r="J116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69" s="133">
        <f>_xlfn.XLOOKUP(Market_Data[[#This Row],[Project Type]],tbl_assumptions_market[Project Category (RERA)],tbl_assumptions_market[Concrete Intensity
(m³ / sq m BUA)],"",0)</f>
        <v>0.5</v>
      </c>
      <c r="L1169" s="134">
        <f>ROUND(Market_Data[[#This Row],[Estimated Built Up Area (sq m)]]*Market_Data[[#This Row],[Concrete Intensity
(m³ / sq m)]],0)</f>
        <v>9650</v>
      </c>
      <c r="M1169" s="135">
        <f>_xlfn.XLOOKUP(Market_Data[[#This Row],[District]],tbl_district_price[District],tbl_district_price[Standard Price
(INR/m³)],"",0)</f>
        <v>6200</v>
      </c>
      <c r="N1169" s="364">
        <f>IF(OR(Market_Data[[#This Row],[Estimated Concrete Demand (m³)]]="",Market_Data[[#This Row],[Avg Price per (₹ / m³)]]=""),"",Market_Data[[#This Row],[Estimated Concrete Demand (m³)]]*Market_Data[[#This Row],[Avg Price per (₹ / m³)]]/10000000)</f>
        <v>5.9829999999999997</v>
      </c>
      <c r="O1169" s="97" t="str">
        <f>IF(Market_Data[[#This Row],[Estimated Concrete Demand (m³)]]="","",
IF(Market_Data[[#This Row],[Estimated Concrete Demand (m³)]]&lt;10000,"Small",
IF(Market_Data[[#This Row],[Estimated Concrete Demand (m³)]]&lt;25000,"Medium",
IF(Market_Data[[#This Row],[Estimated Concrete Demand (m³)]]&lt;100000,"Large","Mega"))))</f>
        <v>Small</v>
      </c>
      <c r="P1169" s="287" t="str">
        <f t="shared" si="20"/>
        <v>GujRERA</v>
      </c>
    </row>
    <row r="1170" spans="1:16">
      <c r="A1170" s="129" t="str">
        <f>_xlfn.XLOOKUP(B1170,$S$9:$S$14,$T$9:$T$14)&amp;"-"&amp;
IF(E1170="Residential/Group Housing","RES",
IF(E1170="Commercial","COM",
IF(E1170="Mixed Development","MIX",
IF(E1170="Plotted Development","PLT","OTH"))))
&amp;"-"&amp;TEXT(COUNTIFS($B$9:B1170,B1170,$E$9:E1170,E1170),"0000")</f>
        <v>SUR-RES-0310</v>
      </c>
      <c r="B1170" s="322" t="s">
        <v>34</v>
      </c>
      <c r="C1170" s="322" t="s">
        <v>34</v>
      </c>
      <c r="D1170" s="323" t="s">
        <v>1360</v>
      </c>
      <c r="E1170" s="132" t="s">
        <v>24</v>
      </c>
      <c r="F1170" s="97" t="str">
        <f ca="1">IF(OR(Market_Data[[#This Row],[Start Date]]="",Market_Data[[#This Row],[Completion Date]]=""),"Needs Validation",IF(Market_Data[[#This Row],[Start Date]]&gt;TODAY(),"Planned",IF(Market_Data[[#This Row],[Completion Date]]&lt;TODAY(),"Completed","Ongoing")))</f>
        <v>Completed</v>
      </c>
      <c r="G1170" s="324">
        <v>42209</v>
      </c>
      <c r="H1170" s="324">
        <v>44377</v>
      </c>
      <c r="I1170" s="325">
        <v>41300</v>
      </c>
      <c r="J117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70" s="133">
        <f>_xlfn.XLOOKUP(Market_Data[[#This Row],[Project Type]],tbl_assumptions_market[Project Category (RERA)],tbl_assumptions_market[Concrete Intensity
(m³ / sq m BUA)],"",0)</f>
        <v>0.45</v>
      </c>
      <c r="L1170" s="134">
        <f>ROUND(Market_Data[[#This Row],[Estimated Built Up Area (sq m)]]*Market_Data[[#This Row],[Concrete Intensity
(m³ / sq m)]],0)</f>
        <v>18585</v>
      </c>
      <c r="M1170" s="135">
        <f>_xlfn.XLOOKUP(Market_Data[[#This Row],[District]],tbl_district_price[District],tbl_district_price[Standard Price
(INR/m³)],"",0)</f>
        <v>6200</v>
      </c>
      <c r="N1170" s="364">
        <f>IF(OR(Market_Data[[#This Row],[Estimated Concrete Demand (m³)]]="",Market_Data[[#This Row],[Avg Price per (₹ / m³)]]=""),"",Market_Data[[#This Row],[Estimated Concrete Demand (m³)]]*Market_Data[[#This Row],[Avg Price per (₹ / m³)]]/10000000)</f>
        <v>11.5227</v>
      </c>
      <c r="O1170" s="97" t="str">
        <f>IF(Market_Data[[#This Row],[Estimated Concrete Demand (m³)]]="","",
IF(Market_Data[[#This Row],[Estimated Concrete Demand (m³)]]&lt;10000,"Small",
IF(Market_Data[[#This Row],[Estimated Concrete Demand (m³)]]&lt;25000,"Medium",
IF(Market_Data[[#This Row],[Estimated Concrete Demand (m³)]]&lt;100000,"Large","Mega"))))</f>
        <v>Medium</v>
      </c>
      <c r="P1170" s="287" t="str">
        <f t="shared" si="20"/>
        <v>GujRERA</v>
      </c>
    </row>
    <row r="1171" spans="1:16">
      <c r="A1171" s="129" t="str">
        <f>_xlfn.XLOOKUP(B1171,$S$9:$S$14,$T$9:$T$14)&amp;"-"&amp;
IF(E1171="Residential/Group Housing","RES",
IF(E1171="Commercial","COM",
IF(E1171="Mixed Development","MIX",
IF(E1171="Plotted Development","PLT","OTH"))))
&amp;"-"&amp;TEXT(COUNTIFS($B$9:B1171,B1171,$E$9:E1171,E1171),"0000")</f>
        <v>SUR-MIX-0163</v>
      </c>
      <c r="B1171" s="322" t="s">
        <v>34</v>
      </c>
      <c r="C1171" s="322" t="s">
        <v>34</v>
      </c>
      <c r="D1171" s="323" t="s">
        <v>1361</v>
      </c>
      <c r="E1171" s="132" t="s">
        <v>25</v>
      </c>
      <c r="F1171" s="97" t="str">
        <f ca="1">IF(OR(Market_Data[[#This Row],[Start Date]]="",Market_Data[[#This Row],[Completion Date]]=""),"Needs Validation",IF(Market_Data[[#This Row],[Start Date]]&gt;TODAY(),"Planned",IF(Market_Data[[#This Row],[Completion Date]]&lt;TODAY(),"Completed","Ongoing")))</f>
        <v>Completed</v>
      </c>
      <c r="G1171" s="324">
        <v>44260</v>
      </c>
      <c r="H1171" s="324">
        <v>45838</v>
      </c>
      <c r="I1171" s="325">
        <v>31500</v>
      </c>
      <c r="J117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71" s="133">
        <f>_xlfn.XLOOKUP(Market_Data[[#This Row],[Project Type]],tbl_assumptions_market[Project Category (RERA)],tbl_assumptions_market[Concrete Intensity
(m³ / sq m BUA)],"",0)</f>
        <v>0.42</v>
      </c>
      <c r="L1171" s="134">
        <f>ROUND(Market_Data[[#This Row],[Estimated Built Up Area (sq m)]]*Market_Data[[#This Row],[Concrete Intensity
(m³ / sq m)]],0)</f>
        <v>13230</v>
      </c>
      <c r="M1171" s="135">
        <f>_xlfn.XLOOKUP(Market_Data[[#This Row],[District]],tbl_district_price[District],tbl_district_price[Standard Price
(INR/m³)],"",0)</f>
        <v>6200</v>
      </c>
      <c r="N1171" s="364">
        <f>IF(OR(Market_Data[[#This Row],[Estimated Concrete Demand (m³)]]="",Market_Data[[#This Row],[Avg Price per (₹ / m³)]]=""),"",Market_Data[[#This Row],[Estimated Concrete Demand (m³)]]*Market_Data[[#This Row],[Avg Price per (₹ / m³)]]/10000000)</f>
        <v>8.2026000000000003</v>
      </c>
      <c r="O1171" s="97" t="str">
        <f>IF(Market_Data[[#This Row],[Estimated Concrete Demand (m³)]]="","",
IF(Market_Data[[#This Row],[Estimated Concrete Demand (m³)]]&lt;10000,"Small",
IF(Market_Data[[#This Row],[Estimated Concrete Demand (m³)]]&lt;25000,"Medium",
IF(Market_Data[[#This Row],[Estimated Concrete Demand (m³)]]&lt;100000,"Large","Mega"))))</f>
        <v>Medium</v>
      </c>
      <c r="P1171" s="287" t="str">
        <f t="shared" si="20"/>
        <v>GujRERA</v>
      </c>
    </row>
    <row r="1172" spans="1:16">
      <c r="A1172" s="129" t="str">
        <f>_xlfn.XLOOKUP(B1172,$S$9:$S$14,$T$9:$T$14)&amp;"-"&amp;
IF(E1172="Residential/Group Housing","RES",
IF(E1172="Commercial","COM",
IF(E1172="Mixed Development","MIX",
IF(E1172="Plotted Development","PLT","OTH"))))
&amp;"-"&amp;TEXT(COUNTIFS($B$9:B1172,B1172,$E$9:E1172,E1172),"0000")</f>
        <v>SUR-PLT-0216</v>
      </c>
      <c r="B1172" s="322" t="s">
        <v>34</v>
      </c>
      <c r="C1172" s="322" t="s">
        <v>34</v>
      </c>
      <c r="D1172" s="323" t="s">
        <v>1362</v>
      </c>
      <c r="E1172" s="132" t="s">
        <v>26</v>
      </c>
      <c r="F1172" s="97" t="str">
        <f ca="1">IF(OR(Market_Data[[#This Row],[Start Date]]="",Market_Data[[#This Row],[Completion Date]]=""),"Needs Validation",IF(Market_Data[[#This Row],[Start Date]]&gt;TODAY(),"Planned",IF(Market_Data[[#This Row],[Completion Date]]&lt;TODAY(),"Completed","Ongoing")))</f>
        <v>Completed</v>
      </c>
      <c r="G1172" s="324">
        <v>42370</v>
      </c>
      <c r="H1172" s="324">
        <v>44129</v>
      </c>
      <c r="I1172" s="325">
        <v>53400</v>
      </c>
      <c r="J117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172" s="133">
        <f>_xlfn.XLOOKUP(Market_Data[[#This Row],[Project Type]],tbl_assumptions_market[Project Category (RERA)],tbl_assumptions_market[Concrete Intensity
(m³ / sq m BUA)],"",0)</f>
        <v>0.18</v>
      </c>
      <c r="L1172" s="134">
        <f>ROUND(Market_Data[[#This Row],[Estimated Built Up Area (sq m)]]*Market_Data[[#This Row],[Concrete Intensity
(m³ / sq m)]],0)</f>
        <v>9612</v>
      </c>
      <c r="M1172" s="135">
        <f>_xlfn.XLOOKUP(Market_Data[[#This Row],[District]],tbl_district_price[District],tbl_district_price[Standard Price
(INR/m³)],"",0)</f>
        <v>6200</v>
      </c>
      <c r="N1172" s="364">
        <f>IF(OR(Market_Data[[#This Row],[Estimated Concrete Demand (m³)]]="",Market_Data[[#This Row],[Avg Price per (₹ / m³)]]=""),"",Market_Data[[#This Row],[Estimated Concrete Demand (m³)]]*Market_Data[[#This Row],[Avg Price per (₹ / m³)]]/10000000)</f>
        <v>5.9594399999999998</v>
      </c>
      <c r="O1172" s="97" t="str">
        <f>IF(Market_Data[[#This Row],[Estimated Concrete Demand (m³)]]="","",
IF(Market_Data[[#This Row],[Estimated Concrete Demand (m³)]]&lt;10000,"Small",
IF(Market_Data[[#This Row],[Estimated Concrete Demand (m³)]]&lt;25000,"Medium",
IF(Market_Data[[#This Row],[Estimated Concrete Demand (m³)]]&lt;100000,"Large","Mega"))))</f>
        <v>Small</v>
      </c>
      <c r="P1172" s="287" t="str">
        <f t="shared" si="20"/>
        <v>GujRERA</v>
      </c>
    </row>
    <row r="1173" spans="1:16">
      <c r="A1173" s="129" t="str">
        <f>_xlfn.XLOOKUP(B1173,$S$9:$S$14,$T$9:$T$14)&amp;"-"&amp;
IF(E1173="Residential/Group Housing","RES",
IF(E1173="Commercial","COM",
IF(E1173="Mixed Development","MIX",
IF(E1173="Plotted Development","PLT","OTH"))))
&amp;"-"&amp;TEXT(COUNTIFS($B$9:B1173,B1173,$E$9:E1173,E1173),"0000")</f>
        <v>SUR-PLT-0217</v>
      </c>
      <c r="B1173" s="322" t="s">
        <v>34</v>
      </c>
      <c r="C1173" s="322" t="s">
        <v>34</v>
      </c>
      <c r="D1173" s="323" t="s">
        <v>1363</v>
      </c>
      <c r="E1173" s="132" t="s">
        <v>26</v>
      </c>
      <c r="F1173" s="97" t="str">
        <f ca="1">IF(OR(Market_Data[[#This Row],[Start Date]]="",Market_Data[[#This Row],[Completion Date]]=""),"Needs Validation",IF(Market_Data[[#This Row],[Start Date]]&gt;TODAY(),"Planned",IF(Market_Data[[#This Row],[Completion Date]]&lt;TODAY(),"Completed","Ongoing")))</f>
        <v>Completed</v>
      </c>
      <c r="G1173" s="324">
        <v>44736</v>
      </c>
      <c r="H1173" s="324">
        <v>45657</v>
      </c>
      <c r="I1173" s="325">
        <v>18500</v>
      </c>
      <c r="J117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73" s="133">
        <f>_xlfn.XLOOKUP(Market_Data[[#This Row],[Project Type]],tbl_assumptions_market[Project Category (RERA)],tbl_assumptions_market[Concrete Intensity
(m³ / sq m BUA)],"",0)</f>
        <v>0.18</v>
      </c>
      <c r="L1173" s="134">
        <f>ROUND(Market_Data[[#This Row],[Estimated Built Up Area (sq m)]]*Market_Data[[#This Row],[Concrete Intensity
(m³ / sq m)]],0)</f>
        <v>3330</v>
      </c>
      <c r="M1173" s="135">
        <f>_xlfn.XLOOKUP(Market_Data[[#This Row],[District]],tbl_district_price[District],tbl_district_price[Standard Price
(INR/m³)],"",0)</f>
        <v>6200</v>
      </c>
      <c r="N1173" s="364">
        <f>IF(OR(Market_Data[[#This Row],[Estimated Concrete Demand (m³)]]="",Market_Data[[#This Row],[Avg Price per (₹ / m³)]]=""),"",Market_Data[[#This Row],[Estimated Concrete Demand (m³)]]*Market_Data[[#This Row],[Avg Price per (₹ / m³)]]/10000000)</f>
        <v>2.0646</v>
      </c>
      <c r="O1173" s="97" t="str">
        <f>IF(Market_Data[[#This Row],[Estimated Concrete Demand (m³)]]="","",
IF(Market_Data[[#This Row],[Estimated Concrete Demand (m³)]]&lt;10000,"Small",
IF(Market_Data[[#This Row],[Estimated Concrete Demand (m³)]]&lt;25000,"Medium",
IF(Market_Data[[#This Row],[Estimated Concrete Demand (m³)]]&lt;100000,"Large","Mega"))))</f>
        <v>Small</v>
      </c>
      <c r="P1173" s="287" t="str">
        <f t="shared" si="20"/>
        <v>GujRERA</v>
      </c>
    </row>
    <row r="1174" spans="1:16">
      <c r="A1174" s="129" t="str">
        <f>_xlfn.XLOOKUP(B1174,$S$9:$S$14,$T$9:$T$14)&amp;"-"&amp;
IF(E1174="Residential/Group Housing","RES",
IF(E1174="Commercial","COM",
IF(E1174="Mixed Development","MIX",
IF(E1174="Plotted Development","PLT","OTH"))))
&amp;"-"&amp;TEXT(COUNTIFS($B$9:B1174,B1174,$E$9:E1174,E1174),"0000")</f>
        <v>SUR-COM-0166</v>
      </c>
      <c r="B1174" s="322" t="s">
        <v>34</v>
      </c>
      <c r="C1174" s="322" t="s">
        <v>34</v>
      </c>
      <c r="D1174" s="323" t="s">
        <v>1364</v>
      </c>
      <c r="E1174" s="132" t="s">
        <v>23</v>
      </c>
      <c r="F1174" s="97" t="str">
        <f ca="1">IF(OR(Market_Data[[#This Row],[Start Date]]="",Market_Data[[#This Row],[Completion Date]]=""),"Needs Validation",IF(Market_Data[[#This Row],[Start Date]]&gt;TODAY(),"Planned",IF(Market_Data[[#This Row],[Completion Date]]&lt;TODAY(),"Completed","Ongoing")))</f>
        <v>Completed</v>
      </c>
      <c r="G1174" s="324">
        <v>43251</v>
      </c>
      <c r="H1174" s="324">
        <v>43738</v>
      </c>
      <c r="I1174" s="325">
        <v>3000</v>
      </c>
      <c r="J117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74" s="133">
        <f>_xlfn.XLOOKUP(Market_Data[[#This Row],[Project Type]],tbl_assumptions_market[Project Category (RERA)],tbl_assumptions_market[Concrete Intensity
(m³ / sq m BUA)],"",0)</f>
        <v>0.5</v>
      </c>
      <c r="L1174" s="134">
        <f>ROUND(Market_Data[[#This Row],[Estimated Built Up Area (sq m)]]*Market_Data[[#This Row],[Concrete Intensity
(m³ / sq m)]],0)</f>
        <v>1500</v>
      </c>
      <c r="M1174" s="135">
        <f>_xlfn.XLOOKUP(Market_Data[[#This Row],[District]],tbl_district_price[District],tbl_district_price[Standard Price
(INR/m³)],"",0)</f>
        <v>6200</v>
      </c>
      <c r="N1174" s="364">
        <f>IF(OR(Market_Data[[#This Row],[Estimated Concrete Demand (m³)]]="",Market_Data[[#This Row],[Avg Price per (₹ / m³)]]=""),"",Market_Data[[#This Row],[Estimated Concrete Demand (m³)]]*Market_Data[[#This Row],[Avg Price per (₹ / m³)]]/10000000)</f>
        <v>0.93</v>
      </c>
      <c r="O1174" s="97" t="str">
        <f>IF(Market_Data[[#This Row],[Estimated Concrete Demand (m³)]]="","",
IF(Market_Data[[#This Row],[Estimated Concrete Demand (m³)]]&lt;10000,"Small",
IF(Market_Data[[#This Row],[Estimated Concrete Demand (m³)]]&lt;25000,"Medium",
IF(Market_Data[[#This Row],[Estimated Concrete Demand (m³)]]&lt;100000,"Large","Mega"))))</f>
        <v>Small</v>
      </c>
      <c r="P1174" s="287" t="str">
        <f t="shared" si="20"/>
        <v>GujRERA</v>
      </c>
    </row>
    <row r="1175" spans="1:16">
      <c r="A1175" s="129" t="str">
        <f>_xlfn.XLOOKUP(B1175,$S$9:$S$14,$T$9:$T$14)&amp;"-"&amp;
IF(E1175="Residential/Group Housing","RES",
IF(E1175="Commercial","COM",
IF(E1175="Mixed Development","MIX",
IF(E1175="Plotted Development","PLT","OTH"))))
&amp;"-"&amp;TEXT(COUNTIFS($B$9:B1175,B1175,$E$9:E1175,E1175),"0000")</f>
        <v>SUR-COM-0167</v>
      </c>
      <c r="B1175" s="322" t="s">
        <v>34</v>
      </c>
      <c r="C1175" s="322" t="s">
        <v>34</v>
      </c>
      <c r="D1175" s="323" t="s">
        <v>1365</v>
      </c>
      <c r="E1175" s="132" t="s">
        <v>23</v>
      </c>
      <c r="F1175" s="97" t="str">
        <f ca="1">IF(OR(Market_Data[[#This Row],[Start Date]]="",Market_Data[[#This Row],[Completion Date]]=""),"Needs Validation",IF(Market_Data[[#This Row],[Start Date]]&gt;TODAY(),"Planned",IF(Market_Data[[#This Row],[Completion Date]]&lt;TODAY(),"Completed","Ongoing")))</f>
        <v>Completed</v>
      </c>
      <c r="G1175" s="324">
        <v>44655</v>
      </c>
      <c r="H1175" s="324">
        <v>46021</v>
      </c>
      <c r="I1175" s="325">
        <v>38500</v>
      </c>
      <c r="J117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175" s="133">
        <f>_xlfn.XLOOKUP(Market_Data[[#This Row],[Project Type]],tbl_assumptions_market[Project Category (RERA)],tbl_assumptions_market[Concrete Intensity
(m³ / sq m BUA)],"",0)</f>
        <v>0.5</v>
      </c>
      <c r="L1175" s="134">
        <f>ROUND(Market_Data[[#This Row],[Estimated Built Up Area (sq m)]]*Market_Data[[#This Row],[Concrete Intensity
(m³ / sq m)]],0)</f>
        <v>19250</v>
      </c>
      <c r="M1175" s="135">
        <f>_xlfn.XLOOKUP(Market_Data[[#This Row],[District]],tbl_district_price[District],tbl_district_price[Standard Price
(INR/m³)],"",0)</f>
        <v>6200</v>
      </c>
      <c r="N1175" s="364">
        <f>IF(OR(Market_Data[[#This Row],[Estimated Concrete Demand (m³)]]="",Market_Data[[#This Row],[Avg Price per (₹ / m³)]]=""),"",Market_Data[[#This Row],[Estimated Concrete Demand (m³)]]*Market_Data[[#This Row],[Avg Price per (₹ / m³)]]/10000000)</f>
        <v>11.935</v>
      </c>
      <c r="O1175" s="97" t="str">
        <f>IF(Market_Data[[#This Row],[Estimated Concrete Demand (m³)]]="","",
IF(Market_Data[[#This Row],[Estimated Concrete Demand (m³)]]&lt;10000,"Small",
IF(Market_Data[[#This Row],[Estimated Concrete Demand (m³)]]&lt;25000,"Medium",
IF(Market_Data[[#This Row],[Estimated Concrete Demand (m³)]]&lt;100000,"Large","Mega"))))</f>
        <v>Medium</v>
      </c>
      <c r="P1175" s="287" t="str">
        <f t="shared" si="20"/>
        <v>GujRERA</v>
      </c>
    </row>
    <row r="1176" spans="1:16">
      <c r="A1176" s="129" t="str">
        <f>_xlfn.XLOOKUP(B1176,$S$9:$S$14,$T$9:$T$14)&amp;"-"&amp;
IF(E1176="Residential/Group Housing","RES",
IF(E1176="Commercial","COM",
IF(E1176="Mixed Development","MIX",
IF(E1176="Plotted Development","PLT","OTH"))))
&amp;"-"&amp;TEXT(COUNTIFS($B$9:B1176,B1176,$E$9:E1176,E1176),"0000")</f>
        <v>SUR-PLT-0218</v>
      </c>
      <c r="B1176" s="322" t="s">
        <v>34</v>
      </c>
      <c r="C1176" s="322" t="s">
        <v>34</v>
      </c>
      <c r="D1176" s="323" t="s">
        <v>1366</v>
      </c>
      <c r="E1176" s="132" t="s">
        <v>26</v>
      </c>
      <c r="F1176" s="97" t="str">
        <f ca="1">IF(OR(Market_Data[[#This Row],[Start Date]]="",Market_Data[[#This Row],[Completion Date]]=""),"Needs Validation",IF(Market_Data[[#This Row],[Start Date]]&gt;TODAY(),"Planned",IF(Market_Data[[#This Row],[Completion Date]]&lt;TODAY(),"Completed","Ongoing")))</f>
        <v>Completed</v>
      </c>
      <c r="G1176" s="324">
        <v>44702</v>
      </c>
      <c r="H1176" s="324">
        <v>45657</v>
      </c>
      <c r="I1176" s="325">
        <v>41300</v>
      </c>
      <c r="J117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176" s="133">
        <f>_xlfn.XLOOKUP(Market_Data[[#This Row],[Project Type]],tbl_assumptions_market[Project Category (RERA)],tbl_assumptions_market[Concrete Intensity
(m³ / sq m BUA)],"",0)</f>
        <v>0.18</v>
      </c>
      <c r="L1176" s="134">
        <f>ROUND(Market_Data[[#This Row],[Estimated Built Up Area (sq m)]]*Market_Data[[#This Row],[Concrete Intensity
(m³ / sq m)]],0)</f>
        <v>7434</v>
      </c>
      <c r="M1176" s="135">
        <f>_xlfn.XLOOKUP(Market_Data[[#This Row],[District]],tbl_district_price[District],tbl_district_price[Standard Price
(INR/m³)],"",0)</f>
        <v>6200</v>
      </c>
      <c r="N1176" s="364">
        <f>IF(OR(Market_Data[[#This Row],[Estimated Concrete Demand (m³)]]="",Market_Data[[#This Row],[Avg Price per (₹ / m³)]]=""),"",Market_Data[[#This Row],[Estimated Concrete Demand (m³)]]*Market_Data[[#This Row],[Avg Price per (₹ / m³)]]/10000000)</f>
        <v>4.6090799999999996</v>
      </c>
      <c r="O1176" s="97" t="str">
        <f>IF(Market_Data[[#This Row],[Estimated Concrete Demand (m³)]]="","",
IF(Market_Data[[#This Row],[Estimated Concrete Demand (m³)]]&lt;10000,"Small",
IF(Market_Data[[#This Row],[Estimated Concrete Demand (m³)]]&lt;25000,"Medium",
IF(Market_Data[[#This Row],[Estimated Concrete Demand (m³)]]&lt;100000,"Large","Mega"))))</f>
        <v>Small</v>
      </c>
      <c r="P1176" s="287" t="str">
        <f t="shared" si="20"/>
        <v>GujRERA</v>
      </c>
    </row>
    <row r="1177" spans="1:16">
      <c r="A1177" s="129" t="str">
        <f>_xlfn.XLOOKUP(B1177,$S$9:$S$14,$T$9:$T$14)&amp;"-"&amp;
IF(E1177="Residential/Group Housing","RES",
IF(E1177="Commercial","COM",
IF(E1177="Mixed Development","MIX",
IF(E1177="Plotted Development","PLT","OTH"))))
&amp;"-"&amp;TEXT(COUNTIFS($B$9:B1177,B1177,$E$9:E1177,E1177),"0000")</f>
        <v>SUR-PLT-0219</v>
      </c>
      <c r="B1177" s="322" t="s">
        <v>34</v>
      </c>
      <c r="C1177" s="322" t="s">
        <v>34</v>
      </c>
      <c r="D1177" s="323" t="s">
        <v>1367</v>
      </c>
      <c r="E1177" s="132" t="s">
        <v>26</v>
      </c>
      <c r="F1177" s="97" t="str">
        <f ca="1">IF(OR(Market_Data[[#This Row],[Start Date]]="",Market_Data[[#This Row],[Completion Date]]=""),"Needs Validation",IF(Market_Data[[#This Row],[Start Date]]&gt;TODAY(),"Planned",IF(Market_Data[[#This Row],[Completion Date]]&lt;TODAY(),"Completed","Ongoing")))</f>
        <v>Completed</v>
      </c>
      <c r="G1177" s="324">
        <v>44926</v>
      </c>
      <c r="H1177" s="324">
        <v>45863</v>
      </c>
      <c r="I1177" s="325">
        <v>41500</v>
      </c>
      <c r="J117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177" s="133">
        <f>_xlfn.XLOOKUP(Market_Data[[#This Row],[Project Type]],tbl_assumptions_market[Project Category (RERA)],tbl_assumptions_market[Concrete Intensity
(m³ / sq m BUA)],"",0)</f>
        <v>0.18</v>
      </c>
      <c r="L1177" s="134">
        <f>ROUND(Market_Data[[#This Row],[Estimated Built Up Area (sq m)]]*Market_Data[[#This Row],[Concrete Intensity
(m³ / sq m)]],0)</f>
        <v>7470</v>
      </c>
      <c r="M1177" s="135">
        <f>_xlfn.XLOOKUP(Market_Data[[#This Row],[District]],tbl_district_price[District],tbl_district_price[Standard Price
(INR/m³)],"",0)</f>
        <v>6200</v>
      </c>
      <c r="N1177" s="364">
        <f>IF(OR(Market_Data[[#This Row],[Estimated Concrete Demand (m³)]]="",Market_Data[[#This Row],[Avg Price per (₹ / m³)]]=""),"",Market_Data[[#This Row],[Estimated Concrete Demand (m³)]]*Market_Data[[#This Row],[Avg Price per (₹ / m³)]]/10000000)</f>
        <v>4.6314000000000002</v>
      </c>
      <c r="O1177" s="97" t="str">
        <f>IF(Market_Data[[#This Row],[Estimated Concrete Demand (m³)]]="","",
IF(Market_Data[[#This Row],[Estimated Concrete Demand (m³)]]&lt;10000,"Small",
IF(Market_Data[[#This Row],[Estimated Concrete Demand (m³)]]&lt;25000,"Medium",
IF(Market_Data[[#This Row],[Estimated Concrete Demand (m³)]]&lt;100000,"Large","Mega"))))</f>
        <v>Small</v>
      </c>
      <c r="P1177" s="287" t="str">
        <f t="shared" si="20"/>
        <v>GujRERA</v>
      </c>
    </row>
    <row r="1178" spans="1:16">
      <c r="A1178" s="129" t="str">
        <f>_xlfn.XLOOKUP(B1178,$S$9:$S$14,$T$9:$T$14)&amp;"-"&amp;
IF(E1178="Residential/Group Housing","RES",
IF(E1178="Commercial","COM",
IF(E1178="Mixed Development","MIX",
IF(E1178="Plotted Development","PLT","OTH"))))
&amp;"-"&amp;TEXT(COUNTIFS($B$9:B1178,B1178,$E$9:E1178,E1178),"0000")</f>
        <v>SUR-PLT-0220</v>
      </c>
      <c r="B1178" s="322" t="s">
        <v>34</v>
      </c>
      <c r="C1178" s="322" t="s">
        <v>34</v>
      </c>
      <c r="D1178" s="323" t="s">
        <v>1368</v>
      </c>
      <c r="E1178" s="132" t="s">
        <v>26</v>
      </c>
      <c r="F1178" s="97" t="str">
        <f ca="1">IF(OR(Market_Data[[#This Row],[Start Date]]="",Market_Data[[#This Row],[Completion Date]]=""),"Needs Validation",IF(Market_Data[[#This Row],[Start Date]]&gt;TODAY(),"Planned",IF(Market_Data[[#This Row],[Completion Date]]&lt;TODAY(),"Completed","Ongoing")))</f>
        <v>Ongoing</v>
      </c>
      <c r="G1178" s="324">
        <v>45895</v>
      </c>
      <c r="H1178" s="324">
        <v>47118</v>
      </c>
      <c r="I1178" s="325">
        <v>37700</v>
      </c>
      <c r="J117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178" s="133">
        <f>_xlfn.XLOOKUP(Market_Data[[#This Row],[Project Type]],tbl_assumptions_market[Project Category (RERA)],tbl_assumptions_market[Concrete Intensity
(m³ / sq m BUA)],"",0)</f>
        <v>0.18</v>
      </c>
      <c r="L1178" s="134">
        <f>ROUND(Market_Data[[#This Row],[Estimated Built Up Area (sq m)]]*Market_Data[[#This Row],[Concrete Intensity
(m³ / sq m)]],0)</f>
        <v>6786</v>
      </c>
      <c r="M1178" s="135">
        <f>_xlfn.XLOOKUP(Market_Data[[#This Row],[District]],tbl_district_price[District],tbl_district_price[Standard Price
(INR/m³)],"",0)</f>
        <v>6200</v>
      </c>
      <c r="N1178" s="364">
        <f>IF(OR(Market_Data[[#This Row],[Estimated Concrete Demand (m³)]]="",Market_Data[[#This Row],[Avg Price per (₹ / m³)]]=""),"",Market_Data[[#This Row],[Estimated Concrete Demand (m³)]]*Market_Data[[#This Row],[Avg Price per (₹ / m³)]]/10000000)</f>
        <v>4.2073200000000002</v>
      </c>
      <c r="O1178" s="97" t="str">
        <f>IF(Market_Data[[#This Row],[Estimated Concrete Demand (m³)]]="","",
IF(Market_Data[[#This Row],[Estimated Concrete Demand (m³)]]&lt;10000,"Small",
IF(Market_Data[[#This Row],[Estimated Concrete Demand (m³)]]&lt;25000,"Medium",
IF(Market_Data[[#This Row],[Estimated Concrete Demand (m³)]]&lt;100000,"Large","Mega"))))</f>
        <v>Small</v>
      </c>
      <c r="P1178" s="287" t="str">
        <f t="shared" si="20"/>
        <v>GujRERA</v>
      </c>
    </row>
    <row r="1179" spans="1:16">
      <c r="A1179" s="129" t="str">
        <f>_xlfn.XLOOKUP(B1179,$S$9:$S$14,$T$9:$T$14)&amp;"-"&amp;
IF(E1179="Residential/Group Housing","RES",
IF(E1179="Commercial","COM",
IF(E1179="Mixed Development","MIX",
IF(E1179="Plotted Development","PLT","OTH"))))
&amp;"-"&amp;TEXT(COUNTIFS($B$9:B1179,B1179,$E$9:E1179,E1179),"0000")</f>
        <v>SUR-RES-0311</v>
      </c>
      <c r="B1179" s="322" t="s">
        <v>34</v>
      </c>
      <c r="C1179" s="322" t="s">
        <v>34</v>
      </c>
      <c r="D1179" s="323" t="s">
        <v>1369</v>
      </c>
      <c r="E1179" s="132" t="s">
        <v>24</v>
      </c>
      <c r="F1179" s="97" t="str">
        <f ca="1">IF(OR(Market_Data[[#This Row],[Start Date]]="",Market_Data[[#This Row],[Completion Date]]=""),"Needs Validation",IF(Market_Data[[#This Row],[Start Date]]&gt;TODAY(),"Planned",IF(Market_Data[[#This Row],[Completion Date]]&lt;TODAY(),"Completed","Ongoing")))</f>
        <v>Completed</v>
      </c>
      <c r="G1179" s="324">
        <v>42257</v>
      </c>
      <c r="H1179" s="324">
        <v>43555</v>
      </c>
      <c r="I1179" s="325">
        <v>51900</v>
      </c>
      <c r="J117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79" s="133">
        <f>_xlfn.XLOOKUP(Market_Data[[#This Row],[Project Type]],tbl_assumptions_market[Project Category (RERA)],tbl_assumptions_market[Concrete Intensity
(m³ / sq m BUA)],"",0)</f>
        <v>0.45</v>
      </c>
      <c r="L1179" s="134">
        <f>ROUND(Market_Data[[#This Row],[Estimated Built Up Area (sq m)]]*Market_Data[[#This Row],[Concrete Intensity
(m³ / sq m)]],0)</f>
        <v>23355</v>
      </c>
      <c r="M1179" s="135">
        <f>_xlfn.XLOOKUP(Market_Data[[#This Row],[District]],tbl_district_price[District],tbl_district_price[Standard Price
(INR/m³)],"",0)</f>
        <v>6200</v>
      </c>
      <c r="N1179" s="364">
        <f>IF(OR(Market_Data[[#This Row],[Estimated Concrete Demand (m³)]]="",Market_Data[[#This Row],[Avg Price per (₹ / m³)]]=""),"",Market_Data[[#This Row],[Estimated Concrete Demand (m³)]]*Market_Data[[#This Row],[Avg Price per (₹ / m³)]]/10000000)</f>
        <v>14.4801</v>
      </c>
      <c r="O1179" s="97" t="str">
        <f>IF(Market_Data[[#This Row],[Estimated Concrete Demand (m³)]]="","",
IF(Market_Data[[#This Row],[Estimated Concrete Demand (m³)]]&lt;10000,"Small",
IF(Market_Data[[#This Row],[Estimated Concrete Demand (m³)]]&lt;25000,"Medium",
IF(Market_Data[[#This Row],[Estimated Concrete Demand (m³)]]&lt;100000,"Large","Mega"))))</f>
        <v>Medium</v>
      </c>
      <c r="P1179" s="287" t="str">
        <f t="shared" si="20"/>
        <v>GujRERA</v>
      </c>
    </row>
    <row r="1180" spans="1:16">
      <c r="A1180" s="129" t="str">
        <f>_xlfn.XLOOKUP(B1180,$S$9:$S$14,$T$9:$T$14)&amp;"-"&amp;
IF(E1180="Residential/Group Housing","RES",
IF(E1180="Commercial","COM",
IF(E1180="Mixed Development","MIX",
IF(E1180="Plotted Development","PLT","OTH"))))
&amp;"-"&amp;TEXT(COUNTIFS($B$9:B1180,B1180,$E$9:E1180,E1180),"0000")</f>
        <v>SUR-RES-0312</v>
      </c>
      <c r="B1180" s="322" t="s">
        <v>34</v>
      </c>
      <c r="C1180" s="322" t="s">
        <v>34</v>
      </c>
      <c r="D1180" s="323" t="s">
        <v>1370</v>
      </c>
      <c r="E1180" s="132" t="s">
        <v>24</v>
      </c>
      <c r="F1180" s="97" t="str">
        <f ca="1">IF(OR(Market_Data[[#This Row],[Start Date]]="",Market_Data[[#This Row],[Completion Date]]=""),"Needs Validation",IF(Market_Data[[#This Row],[Start Date]]&gt;TODAY(),"Planned",IF(Market_Data[[#This Row],[Completion Date]]&lt;TODAY(),"Completed","Ongoing")))</f>
        <v>Completed</v>
      </c>
      <c r="G1180" s="324">
        <v>42406</v>
      </c>
      <c r="H1180" s="324">
        <v>43190</v>
      </c>
      <c r="I1180" s="325">
        <v>53300</v>
      </c>
      <c r="J118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80" s="133">
        <f>_xlfn.XLOOKUP(Market_Data[[#This Row],[Project Type]],tbl_assumptions_market[Project Category (RERA)],tbl_assumptions_market[Concrete Intensity
(m³ / sq m BUA)],"",0)</f>
        <v>0.45</v>
      </c>
      <c r="L1180" s="134">
        <f>ROUND(Market_Data[[#This Row],[Estimated Built Up Area (sq m)]]*Market_Data[[#This Row],[Concrete Intensity
(m³ / sq m)]],0)</f>
        <v>23985</v>
      </c>
      <c r="M1180" s="135">
        <f>_xlfn.XLOOKUP(Market_Data[[#This Row],[District]],tbl_district_price[District],tbl_district_price[Standard Price
(INR/m³)],"",0)</f>
        <v>6200</v>
      </c>
      <c r="N1180" s="364">
        <f>IF(OR(Market_Data[[#This Row],[Estimated Concrete Demand (m³)]]="",Market_Data[[#This Row],[Avg Price per (₹ / m³)]]=""),"",Market_Data[[#This Row],[Estimated Concrete Demand (m³)]]*Market_Data[[#This Row],[Avg Price per (₹ / m³)]]/10000000)</f>
        <v>14.870699999999999</v>
      </c>
      <c r="O1180" s="97" t="str">
        <f>IF(Market_Data[[#This Row],[Estimated Concrete Demand (m³)]]="","",
IF(Market_Data[[#This Row],[Estimated Concrete Demand (m³)]]&lt;10000,"Small",
IF(Market_Data[[#This Row],[Estimated Concrete Demand (m³)]]&lt;25000,"Medium",
IF(Market_Data[[#This Row],[Estimated Concrete Demand (m³)]]&lt;100000,"Large","Mega"))))</f>
        <v>Medium</v>
      </c>
      <c r="P1180" s="287" t="str">
        <f t="shared" si="20"/>
        <v>GujRERA</v>
      </c>
    </row>
    <row r="1181" spans="1:16">
      <c r="A1181" s="129" t="str">
        <f>_xlfn.XLOOKUP(B1181,$S$9:$S$14,$T$9:$T$14)&amp;"-"&amp;
IF(E1181="Residential/Group Housing","RES",
IF(E1181="Commercial","COM",
IF(E1181="Mixed Development","MIX",
IF(E1181="Plotted Development","PLT","OTH"))))
&amp;"-"&amp;TEXT(COUNTIFS($B$9:B1181,B1181,$E$9:E1181,E1181),"0000")</f>
        <v>SUR-COM-0168</v>
      </c>
      <c r="B1181" s="322" t="s">
        <v>34</v>
      </c>
      <c r="C1181" s="322" t="s">
        <v>34</v>
      </c>
      <c r="D1181" s="323" t="s">
        <v>1371</v>
      </c>
      <c r="E1181" s="132" t="s">
        <v>23</v>
      </c>
      <c r="F1181" s="97" t="str">
        <f ca="1">IF(OR(Market_Data[[#This Row],[Start Date]]="",Market_Data[[#This Row],[Completion Date]]=""),"Needs Validation",IF(Market_Data[[#This Row],[Start Date]]&gt;TODAY(),"Planned",IF(Market_Data[[#This Row],[Completion Date]]&lt;TODAY(),"Completed","Ongoing")))</f>
        <v>Ongoing</v>
      </c>
      <c r="G1181" s="324">
        <v>44961</v>
      </c>
      <c r="H1181" s="324">
        <v>46477</v>
      </c>
      <c r="I1181" s="325">
        <v>33100</v>
      </c>
      <c r="J118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181" s="133">
        <f>_xlfn.XLOOKUP(Market_Data[[#This Row],[Project Type]],tbl_assumptions_market[Project Category (RERA)],tbl_assumptions_market[Concrete Intensity
(m³ / sq m BUA)],"",0)</f>
        <v>0.5</v>
      </c>
      <c r="L1181" s="134">
        <f>ROUND(Market_Data[[#This Row],[Estimated Built Up Area (sq m)]]*Market_Data[[#This Row],[Concrete Intensity
(m³ / sq m)]],0)</f>
        <v>16550</v>
      </c>
      <c r="M1181" s="135">
        <f>_xlfn.XLOOKUP(Market_Data[[#This Row],[District]],tbl_district_price[District],tbl_district_price[Standard Price
(INR/m³)],"",0)</f>
        <v>6200</v>
      </c>
      <c r="N1181" s="364">
        <f>IF(OR(Market_Data[[#This Row],[Estimated Concrete Demand (m³)]]="",Market_Data[[#This Row],[Avg Price per (₹ / m³)]]=""),"",Market_Data[[#This Row],[Estimated Concrete Demand (m³)]]*Market_Data[[#This Row],[Avg Price per (₹ / m³)]]/10000000)</f>
        <v>10.260999999999999</v>
      </c>
      <c r="O1181" s="97" t="str">
        <f>IF(Market_Data[[#This Row],[Estimated Concrete Demand (m³)]]="","",
IF(Market_Data[[#This Row],[Estimated Concrete Demand (m³)]]&lt;10000,"Small",
IF(Market_Data[[#This Row],[Estimated Concrete Demand (m³)]]&lt;25000,"Medium",
IF(Market_Data[[#This Row],[Estimated Concrete Demand (m³)]]&lt;100000,"Large","Mega"))))</f>
        <v>Medium</v>
      </c>
      <c r="P1181" s="287" t="str">
        <f t="shared" si="20"/>
        <v>GujRERA</v>
      </c>
    </row>
    <row r="1182" spans="1:16">
      <c r="A1182" s="129" t="str">
        <f>_xlfn.XLOOKUP(B1182,$S$9:$S$14,$T$9:$T$14)&amp;"-"&amp;
IF(E1182="Residential/Group Housing","RES",
IF(E1182="Commercial","COM",
IF(E1182="Mixed Development","MIX",
IF(E1182="Plotted Development","PLT","OTH"))))
&amp;"-"&amp;TEXT(COUNTIFS($B$9:B1182,B1182,$E$9:E1182,E1182),"0000")</f>
        <v>SUR-MIX-0164</v>
      </c>
      <c r="B1182" s="322" t="s">
        <v>34</v>
      </c>
      <c r="C1182" s="322" t="s">
        <v>34</v>
      </c>
      <c r="D1182" s="323" t="s">
        <v>1372</v>
      </c>
      <c r="E1182" s="132" t="s">
        <v>25</v>
      </c>
      <c r="F1182" s="97" t="str">
        <f ca="1">IF(OR(Market_Data[[#This Row],[Start Date]]="",Market_Data[[#This Row],[Completion Date]]=""),"Needs Validation",IF(Market_Data[[#This Row],[Start Date]]&gt;TODAY(),"Planned",IF(Market_Data[[#This Row],[Completion Date]]&lt;TODAY(),"Completed","Ongoing")))</f>
        <v>Ongoing</v>
      </c>
      <c r="G1182" s="324">
        <v>44629</v>
      </c>
      <c r="H1182" s="324">
        <v>47848</v>
      </c>
      <c r="I1182" s="325">
        <v>51300</v>
      </c>
      <c r="J118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82" s="133">
        <f>_xlfn.XLOOKUP(Market_Data[[#This Row],[Project Type]],tbl_assumptions_market[Project Category (RERA)],tbl_assumptions_market[Concrete Intensity
(m³ / sq m BUA)],"",0)</f>
        <v>0.42</v>
      </c>
      <c r="L1182" s="134">
        <f>ROUND(Market_Data[[#This Row],[Estimated Built Up Area (sq m)]]*Market_Data[[#This Row],[Concrete Intensity
(m³ / sq m)]],0)</f>
        <v>21546</v>
      </c>
      <c r="M1182" s="135">
        <f>_xlfn.XLOOKUP(Market_Data[[#This Row],[District]],tbl_district_price[District],tbl_district_price[Standard Price
(INR/m³)],"",0)</f>
        <v>6200</v>
      </c>
      <c r="N1182" s="364">
        <f>IF(OR(Market_Data[[#This Row],[Estimated Concrete Demand (m³)]]="",Market_Data[[#This Row],[Avg Price per (₹ / m³)]]=""),"",Market_Data[[#This Row],[Estimated Concrete Demand (m³)]]*Market_Data[[#This Row],[Avg Price per (₹ / m³)]]/10000000)</f>
        <v>13.35852</v>
      </c>
      <c r="O1182" s="97" t="str">
        <f>IF(Market_Data[[#This Row],[Estimated Concrete Demand (m³)]]="","",
IF(Market_Data[[#This Row],[Estimated Concrete Demand (m³)]]&lt;10000,"Small",
IF(Market_Data[[#This Row],[Estimated Concrete Demand (m³)]]&lt;25000,"Medium",
IF(Market_Data[[#This Row],[Estimated Concrete Demand (m³)]]&lt;100000,"Large","Mega"))))</f>
        <v>Medium</v>
      </c>
      <c r="P1182" s="287" t="str">
        <f t="shared" si="20"/>
        <v>GujRERA</v>
      </c>
    </row>
    <row r="1183" spans="1:16">
      <c r="A1183" s="129" t="str">
        <f>_xlfn.XLOOKUP(B1183,$S$9:$S$14,$T$9:$T$14)&amp;"-"&amp;
IF(E1183="Residential/Group Housing","RES",
IF(E1183="Commercial","COM",
IF(E1183="Mixed Development","MIX",
IF(E1183="Plotted Development","PLT","OTH"))))
&amp;"-"&amp;TEXT(COUNTIFS($B$9:B1183,B1183,$E$9:E1183,E1183),"0000")</f>
        <v>SUR-MIX-0165</v>
      </c>
      <c r="B1183" s="322" t="s">
        <v>34</v>
      </c>
      <c r="C1183" s="322" t="s">
        <v>34</v>
      </c>
      <c r="D1183" s="323" t="s">
        <v>1373</v>
      </c>
      <c r="E1183" s="132" t="s">
        <v>25</v>
      </c>
      <c r="F1183" s="97" t="str">
        <f ca="1">IF(OR(Market_Data[[#This Row],[Start Date]]="",Market_Data[[#This Row],[Completion Date]]=""),"Needs Validation",IF(Market_Data[[#This Row],[Start Date]]&gt;TODAY(),"Planned",IF(Market_Data[[#This Row],[Completion Date]]&lt;TODAY(),"Completed","Ongoing")))</f>
        <v>Ongoing</v>
      </c>
      <c r="G1183" s="324">
        <v>45962</v>
      </c>
      <c r="H1183" s="324">
        <v>48213</v>
      </c>
      <c r="I1183" s="325">
        <v>24000</v>
      </c>
      <c r="J118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83" s="133">
        <f>_xlfn.XLOOKUP(Market_Data[[#This Row],[Project Type]],tbl_assumptions_market[Project Category (RERA)],tbl_assumptions_market[Concrete Intensity
(m³ / sq m BUA)],"",0)</f>
        <v>0.42</v>
      </c>
      <c r="L1183" s="134">
        <f>ROUND(Market_Data[[#This Row],[Estimated Built Up Area (sq m)]]*Market_Data[[#This Row],[Concrete Intensity
(m³ / sq m)]],0)</f>
        <v>10080</v>
      </c>
      <c r="M1183" s="135">
        <f>_xlfn.XLOOKUP(Market_Data[[#This Row],[District]],tbl_district_price[District],tbl_district_price[Standard Price
(INR/m³)],"",0)</f>
        <v>6200</v>
      </c>
      <c r="N1183" s="364">
        <f>IF(OR(Market_Data[[#This Row],[Estimated Concrete Demand (m³)]]="",Market_Data[[#This Row],[Avg Price per (₹ / m³)]]=""),"",Market_Data[[#This Row],[Estimated Concrete Demand (m³)]]*Market_Data[[#This Row],[Avg Price per (₹ / m³)]]/10000000)</f>
        <v>6.2496</v>
      </c>
      <c r="O1183" s="97" t="str">
        <f>IF(Market_Data[[#This Row],[Estimated Concrete Demand (m³)]]="","",
IF(Market_Data[[#This Row],[Estimated Concrete Demand (m³)]]&lt;10000,"Small",
IF(Market_Data[[#This Row],[Estimated Concrete Demand (m³)]]&lt;25000,"Medium",
IF(Market_Data[[#This Row],[Estimated Concrete Demand (m³)]]&lt;100000,"Large","Mega"))))</f>
        <v>Medium</v>
      </c>
      <c r="P1183" s="287" t="str">
        <f t="shared" si="20"/>
        <v>GujRERA</v>
      </c>
    </row>
    <row r="1184" spans="1:16">
      <c r="A1184" s="129" t="str">
        <f>_xlfn.XLOOKUP(B1184,$S$9:$S$14,$T$9:$T$14)&amp;"-"&amp;
IF(E1184="Residential/Group Housing","RES",
IF(E1184="Commercial","COM",
IF(E1184="Mixed Development","MIX",
IF(E1184="Plotted Development","PLT","OTH"))))
&amp;"-"&amp;TEXT(COUNTIFS($B$9:B1184,B1184,$E$9:E1184,E1184),"0000")</f>
        <v>SUR-COM-0169</v>
      </c>
      <c r="B1184" s="322" t="s">
        <v>34</v>
      </c>
      <c r="C1184" s="322" t="s">
        <v>34</v>
      </c>
      <c r="D1184" s="323" t="s">
        <v>1374</v>
      </c>
      <c r="E1184" s="132" t="s">
        <v>23</v>
      </c>
      <c r="F1184" s="97" t="str">
        <f ca="1">IF(OR(Market_Data[[#This Row],[Start Date]]="",Market_Data[[#This Row],[Completion Date]]=""),"Needs Validation",IF(Market_Data[[#This Row],[Start Date]]&gt;TODAY(),"Planned",IF(Market_Data[[#This Row],[Completion Date]]&lt;TODAY(),"Completed","Ongoing")))</f>
        <v>Ongoing</v>
      </c>
      <c r="G1184" s="324">
        <v>45866</v>
      </c>
      <c r="H1184" s="324">
        <v>48213</v>
      </c>
      <c r="I1184" s="325">
        <v>10700</v>
      </c>
      <c r="J118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84" s="133">
        <f>_xlfn.XLOOKUP(Market_Data[[#This Row],[Project Type]],tbl_assumptions_market[Project Category (RERA)],tbl_assumptions_market[Concrete Intensity
(m³ / sq m BUA)],"",0)</f>
        <v>0.5</v>
      </c>
      <c r="L1184" s="134">
        <f>ROUND(Market_Data[[#This Row],[Estimated Built Up Area (sq m)]]*Market_Data[[#This Row],[Concrete Intensity
(m³ / sq m)]],0)</f>
        <v>5350</v>
      </c>
      <c r="M1184" s="135">
        <f>_xlfn.XLOOKUP(Market_Data[[#This Row],[District]],tbl_district_price[District],tbl_district_price[Standard Price
(INR/m³)],"",0)</f>
        <v>6200</v>
      </c>
      <c r="N1184" s="364">
        <f>IF(OR(Market_Data[[#This Row],[Estimated Concrete Demand (m³)]]="",Market_Data[[#This Row],[Avg Price per (₹ / m³)]]=""),"",Market_Data[[#This Row],[Estimated Concrete Demand (m³)]]*Market_Data[[#This Row],[Avg Price per (₹ / m³)]]/10000000)</f>
        <v>3.3170000000000002</v>
      </c>
      <c r="O1184" s="97" t="str">
        <f>IF(Market_Data[[#This Row],[Estimated Concrete Demand (m³)]]="","",
IF(Market_Data[[#This Row],[Estimated Concrete Demand (m³)]]&lt;10000,"Small",
IF(Market_Data[[#This Row],[Estimated Concrete Demand (m³)]]&lt;25000,"Medium",
IF(Market_Data[[#This Row],[Estimated Concrete Demand (m³)]]&lt;100000,"Large","Mega"))))</f>
        <v>Small</v>
      </c>
      <c r="P1184" s="287" t="str">
        <f t="shared" si="20"/>
        <v>GujRERA</v>
      </c>
    </row>
    <row r="1185" spans="1:16">
      <c r="A1185" s="129" t="str">
        <f>_xlfn.XLOOKUP(B1185,$S$9:$S$14,$T$9:$T$14)&amp;"-"&amp;
IF(E1185="Residential/Group Housing","RES",
IF(E1185="Commercial","COM",
IF(E1185="Mixed Development","MIX",
IF(E1185="Plotted Development","PLT","OTH"))))
&amp;"-"&amp;TEXT(COUNTIFS($B$9:B1185,B1185,$E$9:E1185,E1185),"0000")</f>
        <v>SUR-COM-0170</v>
      </c>
      <c r="B1185" s="322" t="s">
        <v>34</v>
      </c>
      <c r="C1185" s="322" t="s">
        <v>34</v>
      </c>
      <c r="D1185" s="323" t="s">
        <v>1375</v>
      </c>
      <c r="E1185" s="132" t="s">
        <v>23</v>
      </c>
      <c r="F1185" s="97" t="str">
        <f ca="1">IF(OR(Market_Data[[#This Row],[Start Date]]="",Market_Data[[#This Row],[Completion Date]]=""),"Needs Validation",IF(Market_Data[[#This Row],[Start Date]]&gt;TODAY(),"Planned",IF(Market_Data[[#This Row],[Completion Date]]&lt;TODAY(),"Completed","Ongoing")))</f>
        <v>Ongoing</v>
      </c>
      <c r="G1185" s="324">
        <v>44112</v>
      </c>
      <c r="H1185" s="324">
        <v>47572</v>
      </c>
      <c r="I1185" s="325">
        <v>17700</v>
      </c>
      <c r="J118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85" s="133">
        <f>_xlfn.XLOOKUP(Market_Data[[#This Row],[Project Type]],tbl_assumptions_market[Project Category (RERA)],tbl_assumptions_market[Concrete Intensity
(m³ / sq m BUA)],"",0)</f>
        <v>0.5</v>
      </c>
      <c r="L1185" s="134">
        <f>ROUND(Market_Data[[#This Row],[Estimated Built Up Area (sq m)]]*Market_Data[[#This Row],[Concrete Intensity
(m³ / sq m)]],0)</f>
        <v>8850</v>
      </c>
      <c r="M1185" s="135">
        <f>_xlfn.XLOOKUP(Market_Data[[#This Row],[District]],tbl_district_price[District],tbl_district_price[Standard Price
(INR/m³)],"",0)</f>
        <v>6200</v>
      </c>
      <c r="N1185" s="364">
        <f>IF(OR(Market_Data[[#This Row],[Estimated Concrete Demand (m³)]]="",Market_Data[[#This Row],[Avg Price per (₹ / m³)]]=""),"",Market_Data[[#This Row],[Estimated Concrete Demand (m³)]]*Market_Data[[#This Row],[Avg Price per (₹ / m³)]]/10000000)</f>
        <v>5.4870000000000001</v>
      </c>
      <c r="O1185" s="97" t="str">
        <f>IF(Market_Data[[#This Row],[Estimated Concrete Demand (m³)]]="","",
IF(Market_Data[[#This Row],[Estimated Concrete Demand (m³)]]&lt;10000,"Small",
IF(Market_Data[[#This Row],[Estimated Concrete Demand (m³)]]&lt;25000,"Medium",
IF(Market_Data[[#This Row],[Estimated Concrete Demand (m³)]]&lt;100000,"Large","Mega"))))</f>
        <v>Small</v>
      </c>
      <c r="P1185" s="287" t="str">
        <f t="shared" si="20"/>
        <v>GujRERA</v>
      </c>
    </row>
    <row r="1186" spans="1:16">
      <c r="A1186" s="129" t="str">
        <f>_xlfn.XLOOKUP(B1186,$S$9:$S$14,$T$9:$T$14)&amp;"-"&amp;
IF(E1186="Residential/Group Housing","RES",
IF(E1186="Commercial","COM",
IF(E1186="Mixed Development","MIX",
IF(E1186="Plotted Development","PLT","OTH"))))
&amp;"-"&amp;TEXT(COUNTIFS($B$9:B1186,B1186,$E$9:E1186,E1186),"0000")</f>
        <v>SUR-PLT-0221</v>
      </c>
      <c r="B1186" s="322" t="s">
        <v>34</v>
      </c>
      <c r="C1186" s="322" t="s">
        <v>34</v>
      </c>
      <c r="D1186" s="323" t="s">
        <v>1376</v>
      </c>
      <c r="E1186" s="132" t="s">
        <v>26</v>
      </c>
      <c r="F1186" s="97" t="str">
        <f ca="1">IF(OR(Market_Data[[#This Row],[Start Date]]="",Market_Data[[#This Row],[Completion Date]]=""),"Needs Validation",IF(Market_Data[[#This Row],[Start Date]]&gt;TODAY(),"Planned",IF(Market_Data[[#This Row],[Completion Date]]&lt;TODAY(),"Completed","Ongoing")))</f>
        <v>Completed</v>
      </c>
      <c r="G1186" s="324">
        <v>44378</v>
      </c>
      <c r="H1186" s="324">
        <v>45291</v>
      </c>
      <c r="I1186" s="325">
        <v>22800</v>
      </c>
      <c r="J118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86" s="133">
        <f>_xlfn.XLOOKUP(Market_Data[[#This Row],[Project Type]],tbl_assumptions_market[Project Category (RERA)],tbl_assumptions_market[Concrete Intensity
(m³ / sq m BUA)],"",0)</f>
        <v>0.18</v>
      </c>
      <c r="L1186" s="134">
        <f>ROUND(Market_Data[[#This Row],[Estimated Built Up Area (sq m)]]*Market_Data[[#This Row],[Concrete Intensity
(m³ / sq m)]],0)</f>
        <v>4104</v>
      </c>
      <c r="M1186" s="135">
        <f>_xlfn.XLOOKUP(Market_Data[[#This Row],[District]],tbl_district_price[District],tbl_district_price[Standard Price
(INR/m³)],"",0)</f>
        <v>6200</v>
      </c>
      <c r="N1186" s="364">
        <f>IF(OR(Market_Data[[#This Row],[Estimated Concrete Demand (m³)]]="",Market_Data[[#This Row],[Avg Price per (₹ / m³)]]=""),"",Market_Data[[#This Row],[Estimated Concrete Demand (m³)]]*Market_Data[[#This Row],[Avg Price per (₹ / m³)]]/10000000)</f>
        <v>2.5444800000000001</v>
      </c>
      <c r="O1186" s="97" t="str">
        <f>IF(Market_Data[[#This Row],[Estimated Concrete Demand (m³)]]="","",
IF(Market_Data[[#This Row],[Estimated Concrete Demand (m³)]]&lt;10000,"Small",
IF(Market_Data[[#This Row],[Estimated Concrete Demand (m³)]]&lt;25000,"Medium",
IF(Market_Data[[#This Row],[Estimated Concrete Demand (m³)]]&lt;100000,"Large","Mega"))))</f>
        <v>Small</v>
      </c>
      <c r="P1186" s="287" t="str">
        <f t="shared" si="20"/>
        <v>GujRERA</v>
      </c>
    </row>
    <row r="1187" spans="1:16">
      <c r="A1187" s="129" t="str">
        <f>_xlfn.XLOOKUP(B1187,$S$9:$S$14,$T$9:$T$14)&amp;"-"&amp;
IF(E1187="Residential/Group Housing","RES",
IF(E1187="Commercial","COM",
IF(E1187="Mixed Development","MIX",
IF(E1187="Plotted Development","PLT","OTH"))))
&amp;"-"&amp;TEXT(COUNTIFS($B$9:B1187,B1187,$E$9:E1187,E1187),"0000")</f>
        <v>SUR-RES-0313</v>
      </c>
      <c r="B1187" s="322" t="s">
        <v>34</v>
      </c>
      <c r="C1187" s="322" t="s">
        <v>34</v>
      </c>
      <c r="D1187" s="323" t="s">
        <v>1377</v>
      </c>
      <c r="E1187" s="132" t="s">
        <v>24</v>
      </c>
      <c r="F1187" s="97" t="str">
        <f ca="1">IF(OR(Market_Data[[#This Row],[Start Date]]="",Market_Data[[#This Row],[Completion Date]]=""),"Needs Validation",IF(Market_Data[[#This Row],[Start Date]]&gt;TODAY(),"Planned",IF(Market_Data[[#This Row],[Completion Date]]&lt;TODAY(),"Completed","Ongoing")))</f>
        <v>Ongoing</v>
      </c>
      <c r="G1187" s="324">
        <v>44852</v>
      </c>
      <c r="H1187" s="324">
        <v>47483</v>
      </c>
      <c r="I1187" s="325">
        <v>47800</v>
      </c>
      <c r="J118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87" s="133">
        <f>_xlfn.XLOOKUP(Market_Data[[#This Row],[Project Type]],tbl_assumptions_market[Project Category (RERA)],tbl_assumptions_market[Concrete Intensity
(m³ / sq m BUA)],"",0)</f>
        <v>0.45</v>
      </c>
      <c r="L1187" s="134">
        <f>ROUND(Market_Data[[#This Row],[Estimated Built Up Area (sq m)]]*Market_Data[[#This Row],[Concrete Intensity
(m³ / sq m)]],0)</f>
        <v>21510</v>
      </c>
      <c r="M1187" s="135">
        <f>_xlfn.XLOOKUP(Market_Data[[#This Row],[District]],tbl_district_price[District],tbl_district_price[Standard Price
(INR/m³)],"",0)</f>
        <v>6200</v>
      </c>
      <c r="N1187" s="364">
        <f>IF(OR(Market_Data[[#This Row],[Estimated Concrete Demand (m³)]]="",Market_Data[[#This Row],[Avg Price per (₹ / m³)]]=""),"",Market_Data[[#This Row],[Estimated Concrete Demand (m³)]]*Market_Data[[#This Row],[Avg Price per (₹ / m³)]]/10000000)</f>
        <v>13.3362</v>
      </c>
      <c r="O1187" s="97" t="str">
        <f>IF(Market_Data[[#This Row],[Estimated Concrete Demand (m³)]]="","",
IF(Market_Data[[#This Row],[Estimated Concrete Demand (m³)]]&lt;10000,"Small",
IF(Market_Data[[#This Row],[Estimated Concrete Demand (m³)]]&lt;25000,"Medium",
IF(Market_Data[[#This Row],[Estimated Concrete Demand (m³)]]&lt;100000,"Large","Mega"))))</f>
        <v>Medium</v>
      </c>
      <c r="P1187" s="287" t="str">
        <f t="shared" si="20"/>
        <v>GujRERA</v>
      </c>
    </row>
    <row r="1188" spans="1:16">
      <c r="A1188" s="129" t="str">
        <f>_xlfn.XLOOKUP(B1188,$S$9:$S$14,$T$9:$T$14)&amp;"-"&amp;
IF(E1188="Residential/Group Housing","RES",
IF(E1188="Commercial","COM",
IF(E1188="Mixed Development","MIX",
IF(E1188="Plotted Development","PLT","OTH"))))
&amp;"-"&amp;TEXT(COUNTIFS($B$9:B1188,B1188,$E$9:E1188,E1188),"0000")</f>
        <v>SUR-MIX-0166</v>
      </c>
      <c r="B1188" s="322" t="s">
        <v>34</v>
      </c>
      <c r="C1188" s="322" t="s">
        <v>34</v>
      </c>
      <c r="D1188" s="323" t="s">
        <v>1378</v>
      </c>
      <c r="E1188" s="132" t="s">
        <v>25</v>
      </c>
      <c r="F1188" s="97" t="str">
        <f ca="1">IF(OR(Market_Data[[#This Row],[Start Date]]="",Market_Data[[#This Row],[Completion Date]]=""),"Needs Validation",IF(Market_Data[[#This Row],[Start Date]]&gt;TODAY(),"Planned",IF(Market_Data[[#This Row],[Completion Date]]&lt;TODAY(),"Completed","Ongoing")))</f>
        <v>Completed</v>
      </c>
      <c r="G1188" s="324">
        <v>42503</v>
      </c>
      <c r="H1188" s="324">
        <v>43462</v>
      </c>
      <c r="I1188" s="325">
        <v>35000</v>
      </c>
      <c r="J118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88" s="133">
        <f>_xlfn.XLOOKUP(Market_Data[[#This Row],[Project Type]],tbl_assumptions_market[Project Category (RERA)],tbl_assumptions_market[Concrete Intensity
(m³ / sq m BUA)],"",0)</f>
        <v>0.42</v>
      </c>
      <c r="L1188" s="134">
        <f>ROUND(Market_Data[[#This Row],[Estimated Built Up Area (sq m)]]*Market_Data[[#This Row],[Concrete Intensity
(m³ / sq m)]],0)</f>
        <v>14700</v>
      </c>
      <c r="M1188" s="135">
        <f>_xlfn.XLOOKUP(Market_Data[[#This Row],[District]],tbl_district_price[District],tbl_district_price[Standard Price
(INR/m³)],"",0)</f>
        <v>6200</v>
      </c>
      <c r="N1188" s="364">
        <f>IF(OR(Market_Data[[#This Row],[Estimated Concrete Demand (m³)]]="",Market_Data[[#This Row],[Avg Price per (₹ / m³)]]=""),"",Market_Data[[#This Row],[Estimated Concrete Demand (m³)]]*Market_Data[[#This Row],[Avg Price per (₹ / m³)]]/10000000)</f>
        <v>9.1140000000000008</v>
      </c>
      <c r="O1188" s="97" t="str">
        <f>IF(Market_Data[[#This Row],[Estimated Concrete Demand (m³)]]="","",
IF(Market_Data[[#This Row],[Estimated Concrete Demand (m³)]]&lt;10000,"Small",
IF(Market_Data[[#This Row],[Estimated Concrete Demand (m³)]]&lt;25000,"Medium",
IF(Market_Data[[#This Row],[Estimated Concrete Demand (m³)]]&lt;100000,"Large","Mega"))))</f>
        <v>Medium</v>
      </c>
      <c r="P1188" s="287" t="str">
        <f t="shared" si="20"/>
        <v>GujRERA</v>
      </c>
    </row>
    <row r="1189" spans="1:16">
      <c r="A1189" s="129" t="str">
        <f>_xlfn.XLOOKUP(B1189,$S$9:$S$14,$T$9:$T$14)&amp;"-"&amp;
IF(E1189="Residential/Group Housing","RES",
IF(E1189="Commercial","COM",
IF(E1189="Mixed Development","MIX",
IF(E1189="Plotted Development","PLT","OTH"))))
&amp;"-"&amp;TEXT(COUNTIFS($B$9:B1189,B1189,$E$9:E1189,E1189),"0000")</f>
        <v>SUR-PLT-0222</v>
      </c>
      <c r="B1189" s="322" t="s">
        <v>34</v>
      </c>
      <c r="C1189" s="322" t="s">
        <v>34</v>
      </c>
      <c r="D1189" s="323" t="s">
        <v>1379</v>
      </c>
      <c r="E1189" s="132" t="s">
        <v>26</v>
      </c>
      <c r="F1189" s="97" t="str">
        <f ca="1">IF(OR(Market_Data[[#This Row],[Start Date]]="",Market_Data[[#This Row],[Completion Date]]=""),"Needs Validation",IF(Market_Data[[#This Row],[Start Date]]&gt;TODAY(),"Planned",IF(Market_Data[[#This Row],[Completion Date]]&lt;TODAY(),"Completed","Ongoing")))</f>
        <v>Completed</v>
      </c>
      <c r="G1189" s="324">
        <v>44745</v>
      </c>
      <c r="H1189" s="324">
        <v>46022</v>
      </c>
      <c r="I1189" s="325">
        <v>13200</v>
      </c>
      <c r="J118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89" s="133">
        <f>_xlfn.XLOOKUP(Market_Data[[#This Row],[Project Type]],tbl_assumptions_market[Project Category (RERA)],tbl_assumptions_market[Concrete Intensity
(m³ / sq m BUA)],"",0)</f>
        <v>0.18</v>
      </c>
      <c r="L1189" s="134">
        <f>ROUND(Market_Data[[#This Row],[Estimated Built Up Area (sq m)]]*Market_Data[[#This Row],[Concrete Intensity
(m³ / sq m)]],0)</f>
        <v>2376</v>
      </c>
      <c r="M1189" s="135">
        <f>_xlfn.XLOOKUP(Market_Data[[#This Row],[District]],tbl_district_price[District],tbl_district_price[Standard Price
(INR/m³)],"",0)</f>
        <v>6200</v>
      </c>
      <c r="N1189" s="364">
        <f>IF(OR(Market_Data[[#This Row],[Estimated Concrete Demand (m³)]]="",Market_Data[[#This Row],[Avg Price per (₹ / m³)]]=""),"",Market_Data[[#This Row],[Estimated Concrete Demand (m³)]]*Market_Data[[#This Row],[Avg Price per (₹ / m³)]]/10000000)</f>
        <v>1.47312</v>
      </c>
      <c r="O1189" s="97" t="str">
        <f>IF(Market_Data[[#This Row],[Estimated Concrete Demand (m³)]]="","",
IF(Market_Data[[#This Row],[Estimated Concrete Demand (m³)]]&lt;10000,"Small",
IF(Market_Data[[#This Row],[Estimated Concrete Demand (m³)]]&lt;25000,"Medium",
IF(Market_Data[[#This Row],[Estimated Concrete Demand (m³)]]&lt;100000,"Large","Mega"))))</f>
        <v>Small</v>
      </c>
      <c r="P1189" s="287" t="str">
        <f t="shared" si="20"/>
        <v>GujRERA</v>
      </c>
    </row>
    <row r="1190" spans="1:16">
      <c r="A1190" s="129" t="str">
        <f>_xlfn.XLOOKUP(B1190,$S$9:$S$14,$T$9:$T$14)&amp;"-"&amp;
IF(E1190="Residential/Group Housing","RES",
IF(E1190="Commercial","COM",
IF(E1190="Mixed Development","MIX",
IF(E1190="Plotted Development","PLT","OTH"))))
&amp;"-"&amp;TEXT(COUNTIFS($B$9:B1190,B1190,$E$9:E1190,E1190),"0000")</f>
        <v>SUR-PLT-0223</v>
      </c>
      <c r="B1190" s="322" t="s">
        <v>34</v>
      </c>
      <c r="C1190" s="322" t="s">
        <v>34</v>
      </c>
      <c r="D1190" s="323" t="s">
        <v>1380</v>
      </c>
      <c r="E1190" s="132" t="s">
        <v>26</v>
      </c>
      <c r="F1190" s="97" t="str">
        <f ca="1">IF(OR(Market_Data[[#This Row],[Start Date]]="",Market_Data[[#This Row],[Completion Date]]=""),"Needs Validation",IF(Market_Data[[#This Row],[Start Date]]&gt;TODAY(),"Planned",IF(Market_Data[[#This Row],[Completion Date]]&lt;TODAY(),"Completed","Ongoing")))</f>
        <v>Ongoing</v>
      </c>
      <c r="G1190" s="324">
        <v>45746</v>
      </c>
      <c r="H1190" s="324">
        <v>46476</v>
      </c>
      <c r="I1190" s="325">
        <v>44300</v>
      </c>
      <c r="J119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190" s="133">
        <f>_xlfn.XLOOKUP(Market_Data[[#This Row],[Project Type]],tbl_assumptions_market[Project Category (RERA)],tbl_assumptions_market[Concrete Intensity
(m³ / sq m BUA)],"",0)</f>
        <v>0.18</v>
      </c>
      <c r="L1190" s="134">
        <f>ROUND(Market_Data[[#This Row],[Estimated Built Up Area (sq m)]]*Market_Data[[#This Row],[Concrete Intensity
(m³ / sq m)]],0)</f>
        <v>7974</v>
      </c>
      <c r="M1190" s="135">
        <f>_xlfn.XLOOKUP(Market_Data[[#This Row],[District]],tbl_district_price[District],tbl_district_price[Standard Price
(INR/m³)],"",0)</f>
        <v>6200</v>
      </c>
      <c r="N1190" s="364">
        <f>IF(OR(Market_Data[[#This Row],[Estimated Concrete Demand (m³)]]="",Market_Data[[#This Row],[Avg Price per (₹ / m³)]]=""),"",Market_Data[[#This Row],[Estimated Concrete Demand (m³)]]*Market_Data[[#This Row],[Avg Price per (₹ / m³)]]/10000000)</f>
        <v>4.9438800000000001</v>
      </c>
      <c r="O1190" s="97" t="str">
        <f>IF(Market_Data[[#This Row],[Estimated Concrete Demand (m³)]]="","",
IF(Market_Data[[#This Row],[Estimated Concrete Demand (m³)]]&lt;10000,"Small",
IF(Market_Data[[#This Row],[Estimated Concrete Demand (m³)]]&lt;25000,"Medium",
IF(Market_Data[[#This Row],[Estimated Concrete Demand (m³)]]&lt;100000,"Large","Mega"))))</f>
        <v>Small</v>
      </c>
      <c r="P1190" s="287" t="str">
        <f t="shared" si="20"/>
        <v>GujRERA</v>
      </c>
    </row>
    <row r="1191" spans="1:16">
      <c r="A1191" s="129" t="str">
        <f>_xlfn.XLOOKUP(B1191,$S$9:$S$14,$T$9:$T$14)&amp;"-"&amp;
IF(E1191="Residential/Group Housing","RES",
IF(E1191="Commercial","COM",
IF(E1191="Mixed Development","MIX",
IF(E1191="Plotted Development","PLT","OTH"))))
&amp;"-"&amp;TEXT(COUNTIFS($B$9:B1191,B1191,$E$9:E1191,E1191),"0000")</f>
        <v>SUR-PLT-0224</v>
      </c>
      <c r="B1191" s="322" t="s">
        <v>34</v>
      </c>
      <c r="C1191" s="322" t="s">
        <v>34</v>
      </c>
      <c r="D1191" s="323" t="s">
        <v>1381</v>
      </c>
      <c r="E1191" s="132" t="s">
        <v>26</v>
      </c>
      <c r="F1191" s="97" t="str">
        <f ca="1">IF(OR(Market_Data[[#This Row],[Start Date]]="",Market_Data[[#This Row],[Completion Date]]=""),"Needs Validation",IF(Market_Data[[#This Row],[Start Date]]&gt;TODAY(),"Planned",IF(Market_Data[[#This Row],[Completion Date]]&lt;TODAY(),"Completed","Ongoing")))</f>
        <v>Completed</v>
      </c>
      <c r="G1191" s="324">
        <v>44554</v>
      </c>
      <c r="H1191" s="324">
        <v>45291</v>
      </c>
      <c r="I1191" s="325">
        <v>5700</v>
      </c>
      <c r="J119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91" s="133">
        <f>_xlfn.XLOOKUP(Market_Data[[#This Row],[Project Type]],tbl_assumptions_market[Project Category (RERA)],tbl_assumptions_market[Concrete Intensity
(m³ / sq m BUA)],"",0)</f>
        <v>0.18</v>
      </c>
      <c r="L1191" s="134">
        <f>ROUND(Market_Data[[#This Row],[Estimated Built Up Area (sq m)]]*Market_Data[[#This Row],[Concrete Intensity
(m³ / sq m)]],0)</f>
        <v>1026</v>
      </c>
      <c r="M1191" s="135">
        <f>_xlfn.XLOOKUP(Market_Data[[#This Row],[District]],tbl_district_price[District],tbl_district_price[Standard Price
(INR/m³)],"",0)</f>
        <v>6200</v>
      </c>
      <c r="N1191" s="364">
        <f>IF(OR(Market_Data[[#This Row],[Estimated Concrete Demand (m³)]]="",Market_Data[[#This Row],[Avg Price per (₹ / m³)]]=""),"",Market_Data[[#This Row],[Estimated Concrete Demand (m³)]]*Market_Data[[#This Row],[Avg Price per (₹ / m³)]]/10000000)</f>
        <v>0.63612000000000002</v>
      </c>
      <c r="O1191" s="97" t="str">
        <f>IF(Market_Data[[#This Row],[Estimated Concrete Demand (m³)]]="","",
IF(Market_Data[[#This Row],[Estimated Concrete Demand (m³)]]&lt;10000,"Small",
IF(Market_Data[[#This Row],[Estimated Concrete Demand (m³)]]&lt;25000,"Medium",
IF(Market_Data[[#This Row],[Estimated Concrete Demand (m³)]]&lt;100000,"Large","Mega"))))</f>
        <v>Small</v>
      </c>
      <c r="P1191" s="287" t="str">
        <f t="shared" si="20"/>
        <v>GujRERA</v>
      </c>
    </row>
    <row r="1192" spans="1:16">
      <c r="A1192" s="129" t="str">
        <f>_xlfn.XLOOKUP(B1192,$S$9:$S$14,$T$9:$T$14)&amp;"-"&amp;
IF(E1192="Residential/Group Housing","RES",
IF(E1192="Commercial","COM",
IF(E1192="Mixed Development","MIX",
IF(E1192="Plotted Development","PLT","OTH"))))
&amp;"-"&amp;TEXT(COUNTIFS($B$9:B1192,B1192,$E$9:E1192,E1192),"0000")</f>
        <v>SUR-RES-0314</v>
      </c>
      <c r="B1192" s="322" t="s">
        <v>34</v>
      </c>
      <c r="C1192" s="322" t="s">
        <v>34</v>
      </c>
      <c r="D1192" s="323" t="s">
        <v>1382</v>
      </c>
      <c r="E1192" s="132" t="s">
        <v>24</v>
      </c>
      <c r="F1192" s="97" t="str">
        <f ca="1">IF(OR(Market_Data[[#This Row],[Start Date]]="",Market_Data[[#This Row],[Completion Date]]=""),"Needs Validation",IF(Market_Data[[#This Row],[Start Date]]&gt;TODAY(),"Planned",IF(Market_Data[[#This Row],[Completion Date]]&lt;TODAY(),"Completed","Ongoing")))</f>
        <v>Completed</v>
      </c>
      <c r="G1192" s="324">
        <v>42835</v>
      </c>
      <c r="H1192" s="324">
        <v>43708</v>
      </c>
      <c r="I1192" s="325">
        <v>33100</v>
      </c>
      <c r="J119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92" s="133">
        <f>_xlfn.XLOOKUP(Market_Data[[#This Row],[Project Type]],tbl_assumptions_market[Project Category (RERA)],tbl_assumptions_market[Concrete Intensity
(m³ / sq m BUA)],"",0)</f>
        <v>0.45</v>
      </c>
      <c r="L1192" s="134">
        <f>ROUND(Market_Data[[#This Row],[Estimated Built Up Area (sq m)]]*Market_Data[[#This Row],[Concrete Intensity
(m³ / sq m)]],0)</f>
        <v>14895</v>
      </c>
      <c r="M1192" s="135">
        <f>_xlfn.XLOOKUP(Market_Data[[#This Row],[District]],tbl_district_price[District],tbl_district_price[Standard Price
(INR/m³)],"",0)</f>
        <v>6200</v>
      </c>
      <c r="N1192" s="364">
        <f>IF(OR(Market_Data[[#This Row],[Estimated Concrete Demand (m³)]]="",Market_Data[[#This Row],[Avg Price per (₹ / m³)]]=""),"",Market_Data[[#This Row],[Estimated Concrete Demand (m³)]]*Market_Data[[#This Row],[Avg Price per (₹ / m³)]]/10000000)</f>
        <v>9.2348999999999997</v>
      </c>
      <c r="O1192" s="97" t="str">
        <f>IF(Market_Data[[#This Row],[Estimated Concrete Demand (m³)]]="","",
IF(Market_Data[[#This Row],[Estimated Concrete Demand (m³)]]&lt;10000,"Small",
IF(Market_Data[[#This Row],[Estimated Concrete Demand (m³)]]&lt;25000,"Medium",
IF(Market_Data[[#This Row],[Estimated Concrete Demand (m³)]]&lt;100000,"Large","Mega"))))</f>
        <v>Medium</v>
      </c>
      <c r="P1192" s="287" t="str">
        <f t="shared" si="20"/>
        <v>GujRERA</v>
      </c>
    </row>
    <row r="1193" spans="1:16">
      <c r="A1193" s="129" t="str">
        <f>_xlfn.XLOOKUP(B1193,$S$9:$S$14,$T$9:$T$14)&amp;"-"&amp;
IF(E1193="Residential/Group Housing","RES",
IF(E1193="Commercial","COM",
IF(E1193="Mixed Development","MIX",
IF(E1193="Plotted Development","PLT","OTH"))))
&amp;"-"&amp;TEXT(COUNTIFS($B$9:B1193,B1193,$E$9:E1193,E1193),"0000")</f>
        <v>SUR-RES-0315</v>
      </c>
      <c r="B1193" s="322" t="s">
        <v>34</v>
      </c>
      <c r="C1193" s="322" t="s">
        <v>34</v>
      </c>
      <c r="D1193" s="323" t="s">
        <v>1383</v>
      </c>
      <c r="E1193" s="132" t="s">
        <v>24</v>
      </c>
      <c r="F1193" s="97" t="str">
        <f ca="1">IF(OR(Market_Data[[#This Row],[Start Date]]="",Market_Data[[#This Row],[Completion Date]]=""),"Needs Validation",IF(Market_Data[[#This Row],[Start Date]]&gt;TODAY(),"Planned",IF(Market_Data[[#This Row],[Completion Date]]&lt;TODAY(),"Completed","Ongoing")))</f>
        <v>Completed</v>
      </c>
      <c r="G1193" s="324">
        <v>43252</v>
      </c>
      <c r="H1193" s="324">
        <v>44742</v>
      </c>
      <c r="I1193" s="325">
        <v>39300</v>
      </c>
      <c r="J119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93" s="133">
        <f>_xlfn.XLOOKUP(Market_Data[[#This Row],[Project Type]],tbl_assumptions_market[Project Category (RERA)],tbl_assumptions_market[Concrete Intensity
(m³ / sq m BUA)],"",0)</f>
        <v>0.45</v>
      </c>
      <c r="L1193" s="134">
        <f>ROUND(Market_Data[[#This Row],[Estimated Built Up Area (sq m)]]*Market_Data[[#This Row],[Concrete Intensity
(m³ / sq m)]],0)</f>
        <v>17685</v>
      </c>
      <c r="M1193" s="135">
        <f>_xlfn.XLOOKUP(Market_Data[[#This Row],[District]],tbl_district_price[District],tbl_district_price[Standard Price
(INR/m³)],"",0)</f>
        <v>6200</v>
      </c>
      <c r="N1193" s="364">
        <f>IF(OR(Market_Data[[#This Row],[Estimated Concrete Demand (m³)]]="",Market_Data[[#This Row],[Avg Price per (₹ / m³)]]=""),"",Market_Data[[#This Row],[Estimated Concrete Demand (m³)]]*Market_Data[[#This Row],[Avg Price per (₹ / m³)]]/10000000)</f>
        <v>10.964700000000001</v>
      </c>
      <c r="O1193" s="97" t="str">
        <f>IF(Market_Data[[#This Row],[Estimated Concrete Demand (m³)]]="","",
IF(Market_Data[[#This Row],[Estimated Concrete Demand (m³)]]&lt;10000,"Small",
IF(Market_Data[[#This Row],[Estimated Concrete Demand (m³)]]&lt;25000,"Medium",
IF(Market_Data[[#This Row],[Estimated Concrete Demand (m³)]]&lt;100000,"Large","Mega"))))</f>
        <v>Medium</v>
      </c>
      <c r="P1193" s="287" t="str">
        <f t="shared" si="20"/>
        <v>GujRERA</v>
      </c>
    </row>
    <row r="1194" spans="1:16">
      <c r="A1194" s="129" t="str">
        <f>_xlfn.XLOOKUP(B1194,$S$9:$S$14,$T$9:$T$14)&amp;"-"&amp;
IF(E1194="Residential/Group Housing","RES",
IF(E1194="Commercial","COM",
IF(E1194="Mixed Development","MIX",
IF(E1194="Plotted Development","PLT","OTH"))))
&amp;"-"&amp;TEXT(COUNTIFS($B$9:B1194,B1194,$E$9:E1194,E1194),"0000")</f>
        <v>SUR-RES-0316</v>
      </c>
      <c r="B1194" s="322" t="s">
        <v>34</v>
      </c>
      <c r="C1194" s="322" t="s">
        <v>34</v>
      </c>
      <c r="D1194" s="323" t="s">
        <v>1384</v>
      </c>
      <c r="E1194" s="132" t="s">
        <v>24</v>
      </c>
      <c r="F1194" s="97" t="str">
        <f ca="1">IF(OR(Market_Data[[#This Row],[Start Date]]="",Market_Data[[#This Row],[Completion Date]]=""),"Needs Validation",IF(Market_Data[[#This Row],[Start Date]]&gt;TODAY(),"Planned",IF(Market_Data[[#This Row],[Completion Date]]&lt;TODAY(),"Completed","Ongoing")))</f>
        <v>Completed</v>
      </c>
      <c r="G1194" s="324">
        <v>42454</v>
      </c>
      <c r="H1194" s="324">
        <v>43921</v>
      </c>
      <c r="I1194" s="325">
        <v>50700</v>
      </c>
      <c r="J119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94" s="133">
        <f>_xlfn.XLOOKUP(Market_Data[[#This Row],[Project Type]],tbl_assumptions_market[Project Category (RERA)],tbl_assumptions_market[Concrete Intensity
(m³ / sq m BUA)],"",0)</f>
        <v>0.45</v>
      </c>
      <c r="L1194" s="134">
        <f>ROUND(Market_Data[[#This Row],[Estimated Built Up Area (sq m)]]*Market_Data[[#This Row],[Concrete Intensity
(m³ / sq m)]],0)</f>
        <v>22815</v>
      </c>
      <c r="M1194" s="135">
        <f>_xlfn.XLOOKUP(Market_Data[[#This Row],[District]],tbl_district_price[District],tbl_district_price[Standard Price
(INR/m³)],"",0)</f>
        <v>6200</v>
      </c>
      <c r="N1194" s="364">
        <f>IF(OR(Market_Data[[#This Row],[Estimated Concrete Demand (m³)]]="",Market_Data[[#This Row],[Avg Price per (₹ / m³)]]=""),"",Market_Data[[#This Row],[Estimated Concrete Demand (m³)]]*Market_Data[[#This Row],[Avg Price per (₹ / m³)]]/10000000)</f>
        <v>14.145300000000001</v>
      </c>
      <c r="O1194" s="97" t="str">
        <f>IF(Market_Data[[#This Row],[Estimated Concrete Demand (m³)]]="","",
IF(Market_Data[[#This Row],[Estimated Concrete Demand (m³)]]&lt;10000,"Small",
IF(Market_Data[[#This Row],[Estimated Concrete Demand (m³)]]&lt;25000,"Medium",
IF(Market_Data[[#This Row],[Estimated Concrete Demand (m³)]]&lt;100000,"Large","Mega"))))</f>
        <v>Medium</v>
      </c>
      <c r="P1194" s="287" t="str">
        <f t="shared" si="20"/>
        <v>GujRERA</v>
      </c>
    </row>
    <row r="1195" spans="1:16">
      <c r="A1195" s="129" t="str">
        <f>_xlfn.XLOOKUP(B1195,$S$9:$S$14,$T$9:$T$14)&amp;"-"&amp;
IF(E1195="Residential/Group Housing","RES",
IF(E1195="Commercial","COM",
IF(E1195="Mixed Development","MIX",
IF(E1195="Plotted Development","PLT","OTH"))))
&amp;"-"&amp;TEXT(COUNTIFS($B$9:B1195,B1195,$E$9:E1195,E1195),"0000")</f>
        <v>SUR-PLT-0225</v>
      </c>
      <c r="B1195" s="322" t="s">
        <v>34</v>
      </c>
      <c r="C1195" s="322" t="s">
        <v>34</v>
      </c>
      <c r="D1195" s="323" t="s">
        <v>1385</v>
      </c>
      <c r="E1195" s="132" t="s">
        <v>26</v>
      </c>
      <c r="F1195" s="97" t="str">
        <f ca="1">IF(OR(Market_Data[[#This Row],[Start Date]]="",Market_Data[[#This Row],[Completion Date]]=""),"Needs Validation",IF(Market_Data[[#This Row],[Start Date]]&gt;TODAY(),"Planned",IF(Market_Data[[#This Row],[Completion Date]]&lt;TODAY(),"Completed","Ongoing")))</f>
        <v>Ongoing</v>
      </c>
      <c r="G1195" s="324">
        <v>45310</v>
      </c>
      <c r="H1195" s="324">
        <v>46387</v>
      </c>
      <c r="I1195" s="325">
        <v>4700</v>
      </c>
      <c r="J119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95" s="133">
        <f>_xlfn.XLOOKUP(Market_Data[[#This Row],[Project Type]],tbl_assumptions_market[Project Category (RERA)],tbl_assumptions_market[Concrete Intensity
(m³ / sq m BUA)],"",0)</f>
        <v>0.18</v>
      </c>
      <c r="L1195" s="134">
        <f>ROUND(Market_Data[[#This Row],[Estimated Built Up Area (sq m)]]*Market_Data[[#This Row],[Concrete Intensity
(m³ / sq m)]],0)</f>
        <v>846</v>
      </c>
      <c r="M1195" s="135">
        <f>_xlfn.XLOOKUP(Market_Data[[#This Row],[District]],tbl_district_price[District],tbl_district_price[Standard Price
(INR/m³)],"",0)</f>
        <v>6200</v>
      </c>
      <c r="N1195" s="364">
        <f>IF(OR(Market_Data[[#This Row],[Estimated Concrete Demand (m³)]]="",Market_Data[[#This Row],[Avg Price per (₹ / m³)]]=""),"",Market_Data[[#This Row],[Estimated Concrete Demand (m³)]]*Market_Data[[#This Row],[Avg Price per (₹ / m³)]]/10000000)</f>
        <v>0.52451999999999999</v>
      </c>
      <c r="O1195" s="97" t="str">
        <f>IF(Market_Data[[#This Row],[Estimated Concrete Demand (m³)]]="","",
IF(Market_Data[[#This Row],[Estimated Concrete Demand (m³)]]&lt;10000,"Small",
IF(Market_Data[[#This Row],[Estimated Concrete Demand (m³)]]&lt;25000,"Medium",
IF(Market_Data[[#This Row],[Estimated Concrete Demand (m³)]]&lt;100000,"Large","Mega"))))</f>
        <v>Small</v>
      </c>
      <c r="P1195" s="287" t="str">
        <f t="shared" si="20"/>
        <v>GujRERA</v>
      </c>
    </row>
    <row r="1196" spans="1:16">
      <c r="A1196" s="129" t="str">
        <f>_xlfn.XLOOKUP(B1196,$S$9:$S$14,$T$9:$T$14)&amp;"-"&amp;
IF(E1196="Residential/Group Housing","RES",
IF(E1196="Commercial","COM",
IF(E1196="Mixed Development","MIX",
IF(E1196="Plotted Development","PLT","OTH"))))
&amp;"-"&amp;TEXT(COUNTIFS($B$9:B1196,B1196,$E$9:E1196,E1196),"0000")</f>
        <v>SUR-PLT-0226</v>
      </c>
      <c r="B1196" s="322" t="s">
        <v>34</v>
      </c>
      <c r="C1196" s="322" t="s">
        <v>34</v>
      </c>
      <c r="D1196" s="323" t="s">
        <v>1386</v>
      </c>
      <c r="E1196" s="132" t="s">
        <v>26</v>
      </c>
      <c r="F1196" s="97" t="str">
        <f ca="1">IF(OR(Market_Data[[#This Row],[Start Date]]="",Market_Data[[#This Row],[Completion Date]]=""),"Needs Validation",IF(Market_Data[[#This Row],[Start Date]]&gt;TODAY(),"Planned",IF(Market_Data[[#This Row],[Completion Date]]&lt;TODAY(),"Completed","Ongoing")))</f>
        <v>Ongoing</v>
      </c>
      <c r="G1196" s="324">
        <v>46113</v>
      </c>
      <c r="H1196" s="324">
        <v>47483</v>
      </c>
      <c r="I1196" s="325">
        <v>23100</v>
      </c>
      <c r="J119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96" s="133">
        <f>_xlfn.XLOOKUP(Market_Data[[#This Row],[Project Type]],tbl_assumptions_market[Project Category (RERA)],tbl_assumptions_market[Concrete Intensity
(m³ / sq m BUA)],"",0)</f>
        <v>0.18</v>
      </c>
      <c r="L1196" s="134">
        <f>ROUND(Market_Data[[#This Row],[Estimated Built Up Area (sq m)]]*Market_Data[[#This Row],[Concrete Intensity
(m³ / sq m)]],0)</f>
        <v>4158</v>
      </c>
      <c r="M1196" s="135">
        <f>_xlfn.XLOOKUP(Market_Data[[#This Row],[District]],tbl_district_price[District],tbl_district_price[Standard Price
(INR/m³)],"",0)</f>
        <v>6200</v>
      </c>
      <c r="N1196" s="364">
        <f>IF(OR(Market_Data[[#This Row],[Estimated Concrete Demand (m³)]]="",Market_Data[[#This Row],[Avg Price per (₹ / m³)]]=""),"",Market_Data[[#This Row],[Estimated Concrete Demand (m³)]]*Market_Data[[#This Row],[Avg Price per (₹ / m³)]]/10000000)</f>
        <v>2.57796</v>
      </c>
      <c r="O1196" s="97" t="str">
        <f>IF(Market_Data[[#This Row],[Estimated Concrete Demand (m³)]]="","",
IF(Market_Data[[#This Row],[Estimated Concrete Demand (m³)]]&lt;10000,"Small",
IF(Market_Data[[#This Row],[Estimated Concrete Demand (m³)]]&lt;25000,"Medium",
IF(Market_Data[[#This Row],[Estimated Concrete Demand (m³)]]&lt;100000,"Large","Mega"))))</f>
        <v>Small</v>
      </c>
      <c r="P1196" s="287" t="str">
        <f t="shared" si="20"/>
        <v>GujRERA</v>
      </c>
    </row>
    <row r="1197" spans="1:16">
      <c r="A1197" s="129" t="str">
        <f>_xlfn.XLOOKUP(B1197,$S$9:$S$14,$T$9:$T$14)&amp;"-"&amp;
IF(E1197="Residential/Group Housing","RES",
IF(E1197="Commercial","COM",
IF(E1197="Mixed Development","MIX",
IF(E1197="Plotted Development","PLT","OTH"))))
&amp;"-"&amp;TEXT(COUNTIFS($B$9:B1197,B1197,$E$9:E1197,E1197),"0000")</f>
        <v>SUR-PLT-0227</v>
      </c>
      <c r="B1197" s="322" t="s">
        <v>34</v>
      </c>
      <c r="C1197" s="322" t="s">
        <v>34</v>
      </c>
      <c r="D1197" s="323" t="s">
        <v>1387</v>
      </c>
      <c r="E1197" s="132" t="s">
        <v>26</v>
      </c>
      <c r="F1197" s="97" t="str">
        <f ca="1">IF(OR(Market_Data[[#This Row],[Start Date]]="",Market_Data[[#This Row],[Completion Date]]=""),"Needs Validation",IF(Market_Data[[#This Row],[Start Date]]&gt;TODAY(),"Planned",IF(Market_Data[[#This Row],[Completion Date]]&lt;TODAY(),"Completed","Ongoing")))</f>
        <v>Ongoing</v>
      </c>
      <c r="G1197" s="324">
        <v>45191</v>
      </c>
      <c r="H1197" s="324">
        <v>46387</v>
      </c>
      <c r="I1197" s="325">
        <v>88700</v>
      </c>
      <c r="J119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197" s="133">
        <f>_xlfn.XLOOKUP(Market_Data[[#This Row],[Project Type]],tbl_assumptions_market[Project Category (RERA)],tbl_assumptions_market[Concrete Intensity
(m³ / sq m BUA)],"",0)</f>
        <v>0.18</v>
      </c>
      <c r="L1197" s="134">
        <f>ROUND(Market_Data[[#This Row],[Estimated Built Up Area (sq m)]]*Market_Data[[#This Row],[Concrete Intensity
(m³ / sq m)]],0)</f>
        <v>15966</v>
      </c>
      <c r="M1197" s="135">
        <f>_xlfn.XLOOKUP(Market_Data[[#This Row],[District]],tbl_district_price[District],tbl_district_price[Standard Price
(INR/m³)],"",0)</f>
        <v>6200</v>
      </c>
      <c r="N1197" s="364">
        <f>IF(OR(Market_Data[[#This Row],[Estimated Concrete Demand (m³)]]="",Market_Data[[#This Row],[Avg Price per (₹ / m³)]]=""),"",Market_Data[[#This Row],[Estimated Concrete Demand (m³)]]*Market_Data[[#This Row],[Avg Price per (₹ / m³)]]/10000000)</f>
        <v>9.8989200000000004</v>
      </c>
      <c r="O1197" s="97" t="str">
        <f>IF(Market_Data[[#This Row],[Estimated Concrete Demand (m³)]]="","",
IF(Market_Data[[#This Row],[Estimated Concrete Demand (m³)]]&lt;10000,"Small",
IF(Market_Data[[#This Row],[Estimated Concrete Demand (m³)]]&lt;25000,"Medium",
IF(Market_Data[[#This Row],[Estimated Concrete Demand (m³)]]&lt;100000,"Large","Mega"))))</f>
        <v>Medium</v>
      </c>
      <c r="P1197" s="287" t="str">
        <f t="shared" si="20"/>
        <v>GujRERA</v>
      </c>
    </row>
    <row r="1198" spans="1:16">
      <c r="A1198" s="129" t="str">
        <f>_xlfn.XLOOKUP(B1198,$S$9:$S$14,$T$9:$T$14)&amp;"-"&amp;
IF(E1198="Residential/Group Housing","RES",
IF(E1198="Commercial","COM",
IF(E1198="Mixed Development","MIX",
IF(E1198="Plotted Development","PLT","OTH"))))
&amp;"-"&amp;TEXT(COUNTIFS($B$9:B1198,B1198,$E$9:E1198,E1198),"0000")</f>
        <v>SUR-RES-0317</v>
      </c>
      <c r="B1198" s="322" t="s">
        <v>34</v>
      </c>
      <c r="C1198" s="322" t="s">
        <v>34</v>
      </c>
      <c r="D1198" s="323" t="s">
        <v>1388</v>
      </c>
      <c r="E1198" s="132" t="s">
        <v>24</v>
      </c>
      <c r="F1198" s="97" t="str">
        <f ca="1">IF(OR(Market_Data[[#This Row],[Start Date]]="",Market_Data[[#This Row],[Completion Date]]=""),"Needs Validation",IF(Market_Data[[#This Row],[Start Date]]&gt;TODAY(),"Planned",IF(Market_Data[[#This Row],[Completion Date]]&lt;TODAY(),"Completed","Ongoing")))</f>
        <v>Ongoing</v>
      </c>
      <c r="G1198" s="324">
        <v>44690</v>
      </c>
      <c r="H1198" s="324">
        <v>47483</v>
      </c>
      <c r="I1198" s="325">
        <v>47100</v>
      </c>
      <c r="J119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98" s="133">
        <f>_xlfn.XLOOKUP(Market_Data[[#This Row],[Project Type]],tbl_assumptions_market[Project Category (RERA)],tbl_assumptions_market[Concrete Intensity
(m³ / sq m BUA)],"",0)</f>
        <v>0.45</v>
      </c>
      <c r="L1198" s="134">
        <f>ROUND(Market_Data[[#This Row],[Estimated Built Up Area (sq m)]]*Market_Data[[#This Row],[Concrete Intensity
(m³ / sq m)]],0)</f>
        <v>21195</v>
      </c>
      <c r="M1198" s="135">
        <f>_xlfn.XLOOKUP(Market_Data[[#This Row],[District]],tbl_district_price[District],tbl_district_price[Standard Price
(INR/m³)],"",0)</f>
        <v>6200</v>
      </c>
      <c r="N1198" s="364">
        <f>IF(OR(Market_Data[[#This Row],[Estimated Concrete Demand (m³)]]="",Market_Data[[#This Row],[Avg Price per (₹ / m³)]]=""),"",Market_Data[[#This Row],[Estimated Concrete Demand (m³)]]*Market_Data[[#This Row],[Avg Price per (₹ / m³)]]/10000000)</f>
        <v>13.1409</v>
      </c>
      <c r="O1198" s="97" t="str">
        <f>IF(Market_Data[[#This Row],[Estimated Concrete Demand (m³)]]="","",
IF(Market_Data[[#This Row],[Estimated Concrete Demand (m³)]]&lt;10000,"Small",
IF(Market_Data[[#This Row],[Estimated Concrete Demand (m³)]]&lt;25000,"Medium",
IF(Market_Data[[#This Row],[Estimated Concrete Demand (m³)]]&lt;100000,"Large","Mega"))))</f>
        <v>Medium</v>
      </c>
      <c r="P1198" s="287" t="str">
        <f t="shared" si="20"/>
        <v>GujRERA</v>
      </c>
    </row>
    <row r="1199" spans="1:16">
      <c r="A1199" s="129" t="str">
        <f>_xlfn.XLOOKUP(B1199,$S$9:$S$14,$T$9:$T$14)&amp;"-"&amp;
IF(E1199="Residential/Group Housing","RES",
IF(E1199="Commercial","COM",
IF(E1199="Mixed Development","MIX",
IF(E1199="Plotted Development","PLT","OTH"))))
&amp;"-"&amp;TEXT(COUNTIFS($B$9:B1199,B1199,$E$9:E1199,E1199),"0000")</f>
        <v>SUR-RES-0318</v>
      </c>
      <c r="B1199" s="322" t="s">
        <v>34</v>
      </c>
      <c r="C1199" s="322" t="s">
        <v>34</v>
      </c>
      <c r="D1199" s="323" t="s">
        <v>1389</v>
      </c>
      <c r="E1199" s="132" t="s">
        <v>24</v>
      </c>
      <c r="F1199" s="97" t="str">
        <f ca="1">IF(OR(Market_Data[[#This Row],[Start Date]]="",Market_Data[[#This Row],[Completion Date]]=""),"Needs Validation",IF(Market_Data[[#This Row],[Start Date]]&gt;TODAY(),"Planned",IF(Market_Data[[#This Row],[Completion Date]]&lt;TODAY(),"Completed","Ongoing")))</f>
        <v>Completed</v>
      </c>
      <c r="G1199" s="324">
        <v>43328</v>
      </c>
      <c r="H1199" s="324">
        <v>44742</v>
      </c>
      <c r="I1199" s="325">
        <v>26100</v>
      </c>
      <c r="J119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199" s="133">
        <f>_xlfn.XLOOKUP(Market_Data[[#This Row],[Project Type]],tbl_assumptions_market[Project Category (RERA)],tbl_assumptions_market[Concrete Intensity
(m³ / sq m BUA)],"",0)</f>
        <v>0.45</v>
      </c>
      <c r="L1199" s="134">
        <f>ROUND(Market_Data[[#This Row],[Estimated Built Up Area (sq m)]]*Market_Data[[#This Row],[Concrete Intensity
(m³ / sq m)]],0)</f>
        <v>11745</v>
      </c>
      <c r="M1199" s="135">
        <f>_xlfn.XLOOKUP(Market_Data[[#This Row],[District]],tbl_district_price[District],tbl_district_price[Standard Price
(INR/m³)],"",0)</f>
        <v>6200</v>
      </c>
      <c r="N1199" s="364">
        <f>IF(OR(Market_Data[[#This Row],[Estimated Concrete Demand (m³)]]="",Market_Data[[#This Row],[Avg Price per (₹ / m³)]]=""),"",Market_Data[[#This Row],[Estimated Concrete Demand (m³)]]*Market_Data[[#This Row],[Avg Price per (₹ / m³)]]/10000000)</f>
        <v>7.2819000000000003</v>
      </c>
      <c r="O1199" s="97" t="str">
        <f>IF(Market_Data[[#This Row],[Estimated Concrete Demand (m³)]]="","",
IF(Market_Data[[#This Row],[Estimated Concrete Demand (m³)]]&lt;10000,"Small",
IF(Market_Data[[#This Row],[Estimated Concrete Demand (m³)]]&lt;25000,"Medium",
IF(Market_Data[[#This Row],[Estimated Concrete Demand (m³)]]&lt;100000,"Large","Mega"))))</f>
        <v>Medium</v>
      </c>
      <c r="P1199" s="287" t="str">
        <f t="shared" si="20"/>
        <v>GujRERA</v>
      </c>
    </row>
    <row r="1200" spans="1:16">
      <c r="A1200" s="129" t="str">
        <f>_xlfn.XLOOKUP(B1200,$S$9:$S$14,$T$9:$T$14)&amp;"-"&amp;
IF(E1200="Residential/Group Housing","RES",
IF(E1200="Commercial","COM",
IF(E1200="Mixed Development","MIX",
IF(E1200="Plotted Development","PLT","OTH"))))
&amp;"-"&amp;TEXT(COUNTIFS($B$9:B1200,B1200,$E$9:E1200,E1200),"0000")</f>
        <v>SUR-COM-0171</v>
      </c>
      <c r="B1200" s="322" t="s">
        <v>34</v>
      </c>
      <c r="C1200" s="322" t="s">
        <v>34</v>
      </c>
      <c r="D1200" s="323" t="s">
        <v>1390</v>
      </c>
      <c r="E1200" s="132" t="s">
        <v>23</v>
      </c>
      <c r="F1200" s="97" t="str">
        <f ca="1">IF(OR(Market_Data[[#This Row],[Start Date]]="",Market_Data[[#This Row],[Completion Date]]=""),"Needs Validation",IF(Market_Data[[#This Row],[Start Date]]&gt;TODAY(),"Planned",IF(Market_Data[[#This Row],[Completion Date]]&lt;TODAY(),"Completed","Ongoing")))</f>
        <v>Ongoing</v>
      </c>
      <c r="G1200" s="324">
        <v>45037</v>
      </c>
      <c r="H1200" s="324">
        <v>47118</v>
      </c>
      <c r="I1200" s="325">
        <v>9800</v>
      </c>
      <c r="J120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00" s="133">
        <f>_xlfn.XLOOKUP(Market_Data[[#This Row],[Project Type]],tbl_assumptions_market[Project Category (RERA)],tbl_assumptions_market[Concrete Intensity
(m³ / sq m BUA)],"",0)</f>
        <v>0.5</v>
      </c>
      <c r="L1200" s="134">
        <f>ROUND(Market_Data[[#This Row],[Estimated Built Up Area (sq m)]]*Market_Data[[#This Row],[Concrete Intensity
(m³ / sq m)]],0)</f>
        <v>4900</v>
      </c>
      <c r="M1200" s="135">
        <f>_xlfn.XLOOKUP(Market_Data[[#This Row],[District]],tbl_district_price[District],tbl_district_price[Standard Price
(INR/m³)],"",0)</f>
        <v>6200</v>
      </c>
      <c r="N1200" s="364">
        <f>IF(OR(Market_Data[[#This Row],[Estimated Concrete Demand (m³)]]="",Market_Data[[#This Row],[Avg Price per (₹ / m³)]]=""),"",Market_Data[[#This Row],[Estimated Concrete Demand (m³)]]*Market_Data[[#This Row],[Avg Price per (₹ / m³)]]/10000000)</f>
        <v>3.0379999999999998</v>
      </c>
      <c r="O1200" s="97" t="str">
        <f>IF(Market_Data[[#This Row],[Estimated Concrete Demand (m³)]]="","",
IF(Market_Data[[#This Row],[Estimated Concrete Demand (m³)]]&lt;10000,"Small",
IF(Market_Data[[#This Row],[Estimated Concrete Demand (m³)]]&lt;25000,"Medium",
IF(Market_Data[[#This Row],[Estimated Concrete Demand (m³)]]&lt;100000,"Large","Mega"))))</f>
        <v>Small</v>
      </c>
      <c r="P1200" s="287" t="str">
        <f t="shared" si="20"/>
        <v>GujRERA</v>
      </c>
    </row>
    <row r="1201" spans="1:16">
      <c r="A1201" s="129" t="str">
        <f>_xlfn.XLOOKUP(B1201,$S$9:$S$14,$T$9:$T$14)&amp;"-"&amp;
IF(E1201="Residential/Group Housing","RES",
IF(E1201="Commercial","COM",
IF(E1201="Mixed Development","MIX",
IF(E1201="Plotted Development","PLT","OTH"))))
&amp;"-"&amp;TEXT(COUNTIFS($B$9:B1201,B1201,$E$9:E1201,E1201),"0000")</f>
        <v>SUR-RES-0319</v>
      </c>
      <c r="B1201" s="322" t="s">
        <v>34</v>
      </c>
      <c r="C1201" s="322" t="s">
        <v>34</v>
      </c>
      <c r="D1201" s="323" t="s">
        <v>1391</v>
      </c>
      <c r="E1201" s="132" t="s">
        <v>24</v>
      </c>
      <c r="F1201" s="97" t="str">
        <f ca="1">IF(OR(Market_Data[[#This Row],[Start Date]]="",Market_Data[[#This Row],[Completion Date]]=""),"Needs Validation",IF(Market_Data[[#This Row],[Start Date]]&gt;TODAY(),"Planned",IF(Market_Data[[#This Row],[Completion Date]]&lt;TODAY(),"Completed","Ongoing")))</f>
        <v>Completed</v>
      </c>
      <c r="G1201" s="324">
        <v>43001</v>
      </c>
      <c r="H1201" s="324">
        <v>44552</v>
      </c>
      <c r="I1201" s="325">
        <v>37600</v>
      </c>
      <c r="J120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01" s="133">
        <f>_xlfn.XLOOKUP(Market_Data[[#This Row],[Project Type]],tbl_assumptions_market[Project Category (RERA)],tbl_assumptions_market[Concrete Intensity
(m³ / sq m BUA)],"",0)</f>
        <v>0.45</v>
      </c>
      <c r="L1201" s="134">
        <f>ROUND(Market_Data[[#This Row],[Estimated Built Up Area (sq m)]]*Market_Data[[#This Row],[Concrete Intensity
(m³ / sq m)]],0)</f>
        <v>16920</v>
      </c>
      <c r="M1201" s="135">
        <f>_xlfn.XLOOKUP(Market_Data[[#This Row],[District]],tbl_district_price[District],tbl_district_price[Standard Price
(INR/m³)],"",0)</f>
        <v>6200</v>
      </c>
      <c r="N1201" s="364">
        <f>IF(OR(Market_Data[[#This Row],[Estimated Concrete Demand (m³)]]="",Market_Data[[#This Row],[Avg Price per (₹ / m³)]]=""),"",Market_Data[[#This Row],[Estimated Concrete Demand (m³)]]*Market_Data[[#This Row],[Avg Price per (₹ / m³)]]/10000000)</f>
        <v>10.490399999999999</v>
      </c>
      <c r="O1201" s="97" t="str">
        <f>IF(Market_Data[[#This Row],[Estimated Concrete Demand (m³)]]="","",
IF(Market_Data[[#This Row],[Estimated Concrete Demand (m³)]]&lt;10000,"Small",
IF(Market_Data[[#This Row],[Estimated Concrete Demand (m³)]]&lt;25000,"Medium",
IF(Market_Data[[#This Row],[Estimated Concrete Demand (m³)]]&lt;100000,"Large","Mega"))))</f>
        <v>Medium</v>
      </c>
      <c r="P1201" s="287" t="str">
        <f t="shared" si="20"/>
        <v>GujRERA</v>
      </c>
    </row>
    <row r="1202" spans="1:16">
      <c r="A1202" s="129" t="str">
        <f>_xlfn.XLOOKUP(B1202,$S$9:$S$14,$T$9:$T$14)&amp;"-"&amp;
IF(E1202="Residential/Group Housing","RES",
IF(E1202="Commercial","COM",
IF(E1202="Mixed Development","MIX",
IF(E1202="Plotted Development","PLT","OTH"))))
&amp;"-"&amp;TEXT(COUNTIFS($B$9:B1202,B1202,$E$9:E1202,E1202),"0000")</f>
        <v>SUR-RES-0320</v>
      </c>
      <c r="B1202" s="322" t="s">
        <v>34</v>
      </c>
      <c r="C1202" s="322" t="s">
        <v>34</v>
      </c>
      <c r="D1202" s="323" t="s">
        <v>1392</v>
      </c>
      <c r="E1202" s="132" t="s">
        <v>24</v>
      </c>
      <c r="F1202" s="97" t="str">
        <f ca="1">IF(OR(Market_Data[[#This Row],[Start Date]]="",Market_Data[[#This Row],[Completion Date]]=""),"Needs Validation",IF(Market_Data[[#This Row],[Start Date]]&gt;TODAY(),"Planned",IF(Market_Data[[#This Row],[Completion Date]]&lt;TODAY(),"Completed","Ongoing")))</f>
        <v>Ongoing</v>
      </c>
      <c r="G1202" s="324">
        <v>46037</v>
      </c>
      <c r="H1202" s="324">
        <v>48213</v>
      </c>
      <c r="I1202" s="325">
        <v>22700</v>
      </c>
      <c r="J120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02" s="133">
        <f>_xlfn.XLOOKUP(Market_Data[[#This Row],[Project Type]],tbl_assumptions_market[Project Category (RERA)],tbl_assumptions_market[Concrete Intensity
(m³ / sq m BUA)],"",0)</f>
        <v>0.45</v>
      </c>
      <c r="L1202" s="134">
        <f>ROUND(Market_Data[[#This Row],[Estimated Built Up Area (sq m)]]*Market_Data[[#This Row],[Concrete Intensity
(m³ / sq m)]],0)</f>
        <v>10215</v>
      </c>
      <c r="M1202" s="135">
        <f>_xlfn.XLOOKUP(Market_Data[[#This Row],[District]],tbl_district_price[District],tbl_district_price[Standard Price
(INR/m³)],"",0)</f>
        <v>6200</v>
      </c>
      <c r="N1202" s="364">
        <f>IF(OR(Market_Data[[#This Row],[Estimated Concrete Demand (m³)]]="",Market_Data[[#This Row],[Avg Price per (₹ / m³)]]=""),"",Market_Data[[#This Row],[Estimated Concrete Demand (m³)]]*Market_Data[[#This Row],[Avg Price per (₹ / m³)]]/10000000)</f>
        <v>6.3333000000000004</v>
      </c>
      <c r="O1202" s="97" t="str">
        <f>IF(Market_Data[[#This Row],[Estimated Concrete Demand (m³)]]="","",
IF(Market_Data[[#This Row],[Estimated Concrete Demand (m³)]]&lt;10000,"Small",
IF(Market_Data[[#This Row],[Estimated Concrete Demand (m³)]]&lt;25000,"Medium",
IF(Market_Data[[#This Row],[Estimated Concrete Demand (m³)]]&lt;100000,"Large","Mega"))))</f>
        <v>Medium</v>
      </c>
      <c r="P1202" s="287" t="str">
        <f t="shared" si="20"/>
        <v>GujRERA</v>
      </c>
    </row>
    <row r="1203" spans="1:16">
      <c r="A1203" s="129" t="str">
        <f>_xlfn.XLOOKUP(B1203,$S$9:$S$14,$T$9:$T$14)&amp;"-"&amp;
IF(E1203="Residential/Group Housing","RES",
IF(E1203="Commercial","COM",
IF(E1203="Mixed Development","MIX",
IF(E1203="Plotted Development","PLT","OTH"))))
&amp;"-"&amp;TEXT(COUNTIFS($B$9:B1203,B1203,$E$9:E1203,E1203),"0000")</f>
        <v>SUR-RES-0321</v>
      </c>
      <c r="B1203" s="322" t="s">
        <v>34</v>
      </c>
      <c r="C1203" s="322" t="s">
        <v>34</v>
      </c>
      <c r="D1203" s="323" t="s">
        <v>1393</v>
      </c>
      <c r="E1203" s="132" t="s">
        <v>24</v>
      </c>
      <c r="F1203" s="97" t="str">
        <f ca="1">IF(OR(Market_Data[[#This Row],[Start Date]]="",Market_Data[[#This Row],[Completion Date]]=""),"Needs Validation",IF(Market_Data[[#This Row],[Start Date]]&gt;TODAY(),"Planned",IF(Market_Data[[#This Row],[Completion Date]]&lt;TODAY(),"Completed","Ongoing")))</f>
        <v>Ongoing</v>
      </c>
      <c r="G1203" s="324">
        <v>45412</v>
      </c>
      <c r="H1203" s="324">
        <v>47483</v>
      </c>
      <c r="I1203" s="325">
        <v>100400</v>
      </c>
      <c r="J120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203" s="133">
        <f>_xlfn.XLOOKUP(Market_Data[[#This Row],[Project Type]],tbl_assumptions_market[Project Category (RERA)],tbl_assumptions_market[Concrete Intensity
(m³ / sq m BUA)],"",0)</f>
        <v>0.45</v>
      </c>
      <c r="L1203" s="134">
        <f>ROUND(Market_Data[[#This Row],[Estimated Built Up Area (sq m)]]*Market_Data[[#This Row],[Concrete Intensity
(m³ / sq m)]],0)</f>
        <v>45180</v>
      </c>
      <c r="M1203" s="135">
        <f>_xlfn.XLOOKUP(Market_Data[[#This Row],[District]],tbl_district_price[District],tbl_district_price[Standard Price
(INR/m³)],"",0)</f>
        <v>6200</v>
      </c>
      <c r="N1203" s="364">
        <f>IF(OR(Market_Data[[#This Row],[Estimated Concrete Demand (m³)]]="",Market_Data[[#This Row],[Avg Price per (₹ / m³)]]=""),"",Market_Data[[#This Row],[Estimated Concrete Demand (m³)]]*Market_Data[[#This Row],[Avg Price per (₹ / m³)]]/10000000)</f>
        <v>28.011600000000001</v>
      </c>
      <c r="O1203" s="97" t="str">
        <f>IF(Market_Data[[#This Row],[Estimated Concrete Demand (m³)]]="","",
IF(Market_Data[[#This Row],[Estimated Concrete Demand (m³)]]&lt;10000,"Small",
IF(Market_Data[[#This Row],[Estimated Concrete Demand (m³)]]&lt;25000,"Medium",
IF(Market_Data[[#This Row],[Estimated Concrete Demand (m³)]]&lt;100000,"Large","Mega"))))</f>
        <v>Large</v>
      </c>
      <c r="P1203" s="287" t="str">
        <f t="shared" si="20"/>
        <v>GujRERA</v>
      </c>
    </row>
    <row r="1204" spans="1:16">
      <c r="A1204" s="129" t="str">
        <f>_xlfn.XLOOKUP(B1204,$S$9:$S$14,$T$9:$T$14)&amp;"-"&amp;
IF(E1204="Residential/Group Housing","RES",
IF(E1204="Commercial","COM",
IF(E1204="Mixed Development","MIX",
IF(E1204="Plotted Development","PLT","OTH"))))
&amp;"-"&amp;TEXT(COUNTIFS($B$9:B1204,B1204,$E$9:E1204,E1204),"0000")</f>
        <v>SUR-PLT-0228</v>
      </c>
      <c r="B1204" s="322" t="s">
        <v>34</v>
      </c>
      <c r="C1204" s="322" t="s">
        <v>34</v>
      </c>
      <c r="D1204" s="323" t="s">
        <v>1394</v>
      </c>
      <c r="E1204" s="132" t="s">
        <v>26</v>
      </c>
      <c r="F1204" s="97" t="str">
        <f ca="1">IF(OR(Market_Data[[#This Row],[Start Date]]="",Market_Data[[#This Row],[Completion Date]]=""),"Needs Validation",IF(Market_Data[[#This Row],[Start Date]]&gt;TODAY(),"Planned",IF(Market_Data[[#This Row],[Completion Date]]&lt;TODAY(),"Completed","Ongoing")))</f>
        <v>Completed</v>
      </c>
      <c r="G1204" s="324">
        <v>45029</v>
      </c>
      <c r="H1204" s="324">
        <v>46022</v>
      </c>
      <c r="I1204" s="325">
        <v>32900</v>
      </c>
      <c r="J120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204" s="133">
        <f>_xlfn.XLOOKUP(Market_Data[[#This Row],[Project Type]],tbl_assumptions_market[Project Category (RERA)],tbl_assumptions_market[Concrete Intensity
(m³ / sq m BUA)],"",0)</f>
        <v>0.18</v>
      </c>
      <c r="L1204" s="134">
        <f>ROUND(Market_Data[[#This Row],[Estimated Built Up Area (sq m)]]*Market_Data[[#This Row],[Concrete Intensity
(m³ / sq m)]],0)</f>
        <v>5922</v>
      </c>
      <c r="M1204" s="135">
        <f>_xlfn.XLOOKUP(Market_Data[[#This Row],[District]],tbl_district_price[District],tbl_district_price[Standard Price
(INR/m³)],"",0)</f>
        <v>6200</v>
      </c>
      <c r="N1204" s="364">
        <f>IF(OR(Market_Data[[#This Row],[Estimated Concrete Demand (m³)]]="",Market_Data[[#This Row],[Avg Price per (₹ / m³)]]=""),"",Market_Data[[#This Row],[Estimated Concrete Demand (m³)]]*Market_Data[[#This Row],[Avg Price per (₹ / m³)]]/10000000)</f>
        <v>3.67164</v>
      </c>
      <c r="O1204" s="97" t="str">
        <f>IF(Market_Data[[#This Row],[Estimated Concrete Demand (m³)]]="","",
IF(Market_Data[[#This Row],[Estimated Concrete Demand (m³)]]&lt;10000,"Small",
IF(Market_Data[[#This Row],[Estimated Concrete Demand (m³)]]&lt;25000,"Medium",
IF(Market_Data[[#This Row],[Estimated Concrete Demand (m³)]]&lt;100000,"Large","Mega"))))</f>
        <v>Small</v>
      </c>
      <c r="P1204" s="287" t="str">
        <f t="shared" si="20"/>
        <v>GujRERA</v>
      </c>
    </row>
    <row r="1205" spans="1:16">
      <c r="A1205" s="129" t="str">
        <f>_xlfn.XLOOKUP(B1205,$S$9:$S$14,$T$9:$T$14)&amp;"-"&amp;
IF(E1205="Residential/Group Housing","RES",
IF(E1205="Commercial","COM",
IF(E1205="Mixed Development","MIX",
IF(E1205="Plotted Development","PLT","OTH"))))
&amp;"-"&amp;TEXT(COUNTIFS($B$9:B1205,B1205,$E$9:E1205,E1205),"0000")</f>
        <v>SUR-MIX-0167</v>
      </c>
      <c r="B1205" s="322" t="s">
        <v>34</v>
      </c>
      <c r="C1205" s="322" t="s">
        <v>34</v>
      </c>
      <c r="D1205" s="323" t="s">
        <v>1395</v>
      </c>
      <c r="E1205" s="132" t="s">
        <v>25</v>
      </c>
      <c r="F1205" s="97" t="str">
        <f ca="1">IF(OR(Market_Data[[#This Row],[Start Date]]="",Market_Data[[#This Row],[Completion Date]]=""),"Needs Validation",IF(Market_Data[[#This Row],[Start Date]]&gt;TODAY(),"Planned",IF(Market_Data[[#This Row],[Completion Date]]&lt;TODAY(),"Completed","Ongoing")))</f>
        <v>Completed</v>
      </c>
      <c r="G1205" s="324">
        <v>43453</v>
      </c>
      <c r="H1205" s="324">
        <v>46190</v>
      </c>
      <c r="I1205" s="325">
        <v>56000</v>
      </c>
      <c r="J120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05" s="133">
        <f>_xlfn.XLOOKUP(Market_Data[[#This Row],[Project Type]],tbl_assumptions_market[Project Category (RERA)],tbl_assumptions_market[Concrete Intensity
(m³ / sq m BUA)],"",0)</f>
        <v>0.42</v>
      </c>
      <c r="L1205" s="134">
        <f>ROUND(Market_Data[[#This Row],[Estimated Built Up Area (sq m)]]*Market_Data[[#This Row],[Concrete Intensity
(m³ / sq m)]],0)</f>
        <v>23520</v>
      </c>
      <c r="M1205" s="135">
        <f>_xlfn.XLOOKUP(Market_Data[[#This Row],[District]],tbl_district_price[District],tbl_district_price[Standard Price
(INR/m³)],"",0)</f>
        <v>6200</v>
      </c>
      <c r="N1205" s="364">
        <f>IF(OR(Market_Data[[#This Row],[Estimated Concrete Demand (m³)]]="",Market_Data[[#This Row],[Avg Price per (₹ / m³)]]=""),"",Market_Data[[#This Row],[Estimated Concrete Demand (m³)]]*Market_Data[[#This Row],[Avg Price per (₹ / m³)]]/10000000)</f>
        <v>14.5824</v>
      </c>
      <c r="O1205" s="97" t="str">
        <f>IF(Market_Data[[#This Row],[Estimated Concrete Demand (m³)]]="","",
IF(Market_Data[[#This Row],[Estimated Concrete Demand (m³)]]&lt;10000,"Small",
IF(Market_Data[[#This Row],[Estimated Concrete Demand (m³)]]&lt;25000,"Medium",
IF(Market_Data[[#This Row],[Estimated Concrete Demand (m³)]]&lt;100000,"Large","Mega"))))</f>
        <v>Medium</v>
      </c>
      <c r="P1205" s="287" t="str">
        <f t="shared" si="20"/>
        <v>GujRERA</v>
      </c>
    </row>
    <row r="1206" spans="1:16">
      <c r="A1206" s="129" t="str">
        <f>_xlfn.XLOOKUP(B1206,$S$9:$S$14,$T$9:$T$14)&amp;"-"&amp;
IF(E1206="Residential/Group Housing","RES",
IF(E1206="Commercial","COM",
IF(E1206="Mixed Development","MIX",
IF(E1206="Plotted Development","PLT","OTH"))))
&amp;"-"&amp;TEXT(COUNTIFS($B$9:B1206,B1206,$E$9:E1206,E1206),"0000")</f>
        <v>SUR-PLT-0229</v>
      </c>
      <c r="B1206" s="322" t="s">
        <v>34</v>
      </c>
      <c r="C1206" s="322" t="s">
        <v>34</v>
      </c>
      <c r="D1206" s="323" t="s">
        <v>1396</v>
      </c>
      <c r="E1206" s="132" t="s">
        <v>26</v>
      </c>
      <c r="F1206" s="97" t="str">
        <f ca="1">IF(OR(Market_Data[[#This Row],[Start Date]]="",Market_Data[[#This Row],[Completion Date]]=""),"Needs Validation",IF(Market_Data[[#This Row],[Start Date]]&gt;TODAY(),"Planned",IF(Market_Data[[#This Row],[Completion Date]]&lt;TODAY(),"Completed","Ongoing")))</f>
        <v>Completed</v>
      </c>
      <c r="G1206" s="324">
        <v>44886</v>
      </c>
      <c r="H1206" s="324">
        <v>46112</v>
      </c>
      <c r="I1206" s="325">
        <v>50700</v>
      </c>
      <c r="J120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206" s="133">
        <f>_xlfn.XLOOKUP(Market_Data[[#This Row],[Project Type]],tbl_assumptions_market[Project Category (RERA)],tbl_assumptions_market[Concrete Intensity
(m³ / sq m BUA)],"",0)</f>
        <v>0.18</v>
      </c>
      <c r="L1206" s="134">
        <f>ROUND(Market_Data[[#This Row],[Estimated Built Up Area (sq m)]]*Market_Data[[#This Row],[Concrete Intensity
(m³ / sq m)]],0)</f>
        <v>9126</v>
      </c>
      <c r="M1206" s="135">
        <f>_xlfn.XLOOKUP(Market_Data[[#This Row],[District]],tbl_district_price[District],tbl_district_price[Standard Price
(INR/m³)],"",0)</f>
        <v>6200</v>
      </c>
      <c r="N1206" s="364">
        <f>IF(OR(Market_Data[[#This Row],[Estimated Concrete Demand (m³)]]="",Market_Data[[#This Row],[Avg Price per (₹ / m³)]]=""),"",Market_Data[[#This Row],[Estimated Concrete Demand (m³)]]*Market_Data[[#This Row],[Avg Price per (₹ / m³)]]/10000000)</f>
        <v>5.6581200000000003</v>
      </c>
      <c r="O1206" s="97" t="str">
        <f>IF(Market_Data[[#This Row],[Estimated Concrete Demand (m³)]]="","",
IF(Market_Data[[#This Row],[Estimated Concrete Demand (m³)]]&lt;10000,"Small",
IF(Market_Data[[#This Row],[Estimated Concrete Demand (m³)]]&lt;25000,"Medium",
IF(Market_Data[[#This Row],[Estimated Concrete Demand (m³)]]&lt;100000,"Large","Mega"))))</f>
        <v>Small</v>
      </c>
      <c r="P1206" s="287" t="str">
        <f t="shared" si="20"/>
        <v>GujRERA</v>
      </c>
    </row>
    <row r="1207" spans="1:16">
      <c r="A1207" s="129" t="str">
        <f>_xlfn.XLOOKUP(B1207,$S$9:$S$14,$T$9:$T$14)&amp;"-"&amp;
IF(E1207="Residential/Group Housing","RES",
IF(E1207="Commercial","COM",
IF(E1207="Mixed Development","MIX",
IF(E1207="Plotted Development","PLT","OTH"))))
&amp;"-"&amp;TEXT(COUNTIFS($B$9:B1207,B1207,$E$9:E1207,E1207),"0000")</f>
        <v>SUR-PLT-0230</v>
      </c>
      <c r="B1207" s="322" t="s">
        <v>34</v>
      </c>
      <c r="C1207" s="322" t="s">
        <v>34</v>
      </c>
      <c r="D1207" s="323" t="s">
        <v>1397</v>
      </c>
      <c r="E1207" s="132" t="s">
        <v>26</v>
      </c>
      <c r="F1207" s="97" t="str">
        <f ca="1">IF(OR(Market_Data[[#This Row],[Start Date]]="",Market_Data[[#This Row],[Completion Date]]=""),"Needs Validation",IF(Market_Data[[#This Row],[Start Date]]&gt;TODAY(),"Planned",IF(Market_Data[[#This Row],[Completion Date]]&lt;TODAY(),"Completed","Ongoing")))</f>
        <v>Completed</v>
      </c>
      <c r="G1207" s="324">
        <v>42555</v>
      </c>
      <c r="H1207" s="324">
        <v>43405</v>
      </c>
      <c r="I1207" s="325">
        <v>38400</v>
      </c>
      <c r="J120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207" s="133">
        <f>_xlfn.XLOOKUP(Market_Data[[#This Row],[Project Type]],tbl_assumptions_market[Project Category (RERA)],tbl_assumptions_market[Concrete Intensity
(m³ / sq m BUA)],"",0)</f>
        <v>0.18</v>
      </c>
      <c r="L1207" s="134">
        <f>ROUND(Market_Data[[#This Row],[Estimated Built Up Area (sq m)]]*Market_Data[[#This Row],[Concrete Intensity
(m³ / sq m)]],0)</f>
        <v>6912</v>
      </c>
      <c r="M1207" s="135">
        <f>_xlfn.XLOOKUP(Market_Data[[#This Row],[District]],tbl_district_price[District],tbl_district_price[Standard Price
(INR/m³)],"",0)</f>
        <v>6200</v>
      </c>
      <c r="N1207" s="364">
        <f>IF(OR(Market_Data[[#This Row],[Estimated Concrete Demand (m³)]]="",Market_Data[[#This Row],[Avg Price per (₹ / m³)]]=""),"",Market_Data[[#This Row],[Estimated Concrete Demand (m³)]]*Market_Data[[#This Row],[Avg Price per (₹ / m³)]]/10000000)</f>
        <v>4.2854400000000004</v>
      </c>
      <c r="O1207" s="97" t="str">
        <f>IF(Market_Data[[#This Row],[Estimated Concrete Demand (m³)]]="","",
IF(Market_Data[[#This Row],[Estimated Concrete Demand (m³)]]&lt;10000,"Small",
IF(Market_Data[[#This Row],[Estimated Concrete Demand (m³)]]&lt;25000,"Medium",
IF(Market_Data[[#This Row],[Estimated Concrete Demand (m³)]]&lt;100000,"Large","Mega"))))</f>
        <v>Small</v>
      </c>
      <c r="P1207" s="287" t="str">
        <f t="shared" si="20"/>
        <v>GujRERA</v>
      </c>
    </row>
    <row r="1208" spans="1:16">
      <c r="A1208" s="129" t="str">
        <f>_xlfn.XLOOKUP(B1208,$S$9:$S$14,$T$9:$T$14)&amp;"-"&amp;
IF(E1208="Residential/Group Housing","RES",
IF(E1208="Commercial","COM",
IF(E1208="Mixed Development","MIX",
IF(E1208="Plotted Development","PLT","OTH"))))
&amp;"-"&amp;TEXT(COUNTIFS($B$9:B1208,B1208,$E$9:E1208,E1208),"0000")</f>
        <v>SUR-RES-0322</v>
      </c>
      <c r="B1208" s="322" t="s">
        <v>34</v>
      </c>
      <c r="C1208" s="322" t="s">
        <v>34</v>
      </c>
      <c r="D1208" s="323" t="s">
        <v>1398</v>
      </c>
      <c r="E1208" s="132" t="s">
        <v>24</v>
      </c>
      <c r="F1208" s="97" t="str">
        <f ca="1">IF(OR(Market_Data[[#This Row],[Start Date]]="",Market_Data[[#This Row],[Completion Date]]=""),"Needs Validation",IF(Market_Data[[#This Row],[Start Date]]&gt;TODAY(),"Planned",IF(Market_Data[[#This Row],[Completion Date]]&lt;TODAY(),"Completed","Ongoing")))</f>
        <v>Completed</v>
      </c>
      <c r="G1208" s="324">
        <v>42668</v>
      </c>
      <c r="H1208" s="324">
        <v>44681</v>
      </c>
      <c r="I1208" s="325">
        <v>45700</v>
      </c>
      <c r="J120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08" s="133">
        <f>_xlfn.XLOOKUP(Market_Data[[#This Row],[Project Type]],tbl_assumptions_market[Project Category (RERA)],tbl_assumptions_market[Concrete Intensity
(m³ / sq m BUA)],"",0)</f>
        <v>0.45</v>
      </c>
      <c r="L1208" s="134">
        <f>ROUND(Market_Data[[#This Row],[Estimated Built Up Area (sq m)]]*Market_Data[[#This Row],[Concrete Intensity
(m³ / sq m)]],0)</f>
        <v>20565</v>
      </c>
      <c r="M1208" s="135">
        <f>_xlfn.XLOOKUP(Market_Data[[#This Row],[District]],tbl_district_price[District],tbl_district_price[Standard Price
(INR/m³)],"",0)</f>
        <v>6200</v>
      </c>
      <c r="N1208" s="364">
        <f>IF(OR(Market_Data[[#This Row],[Estimated Concrete Demand (m³)]]="",Market_Data[[#This Row],[Avg Price per (₹ / m³)]]=""),"",Market_Data[[#This Row],[Estimated Concrete Demand (m³)]]*Market_Data[[#This Row],[Avg Price per (₹ / m³)]]/10000000)</f>
        <v>12.750299999999999</v>
      </c>
      <c r="O1208" s="97" t="str">
        <f>IF(Market_Data[[#This Row],[Estimated Concrete Demand (m³)]]="","",
IF(Market_Data[[#This Row],[Estimated Concrete Demand (m³)]]&lt;10000,"Small",
IF(Market_Data[[#This Row],[Estimated Concrete Demand (m³)]]&lt;25000,"Medium",
IF(Market_Data[[#This Row],[Estimated Concrete Demand (m³)]]&lt;100000,"Large","Mega"))))</f>
        <v>Medium</v>
      </c>
      <c r="P1208" s="287" t="str">
        <f t="shared" si="20"/>
        <v>GujRERA</v>
      </c>
    </row>
    <row r="1209" spans="1:16">
      <c r="A1209" s="129" t="str">
        <f>_xlfn.XLOOKUP(B1209,$S$9:$S$14,$T$9:$T$14)&amp;"-"&amp;
IF(E1209="Residential/Group Housing","RES",
IF(E1209="Commercial","COM",
IF(E1209="Mixed Development","MIX",
IF(E1209="Plotted Development","PLT","OTH"))))
&amp;"-"&amp;TEXT(COUNTIFS($B$9:B1209,B1209,$E$9:E1209,E1209),"0000")</f>
        <v>SUR-RES-0323</v>
      </c>
      <c r="B1209" s="322" t="s">
        <v>34</v>
      </c>
      <c r="C1209" s="322" t="s">
        <v>34</v>
      </c>
      <c r="D1209" s="323" t="s">
        <v>1399</v>
      </c>
      <c r="E1209" s="132" t="s">
        <v>24</v>
      </c>
      <c r="F1209" s="97" t="str">
        <f ca="1">IF(OR(Market_Data[[#This Row],[Start Date]]="",Market_Data[[#This Row],[Completion Date]]=""),"Needs Validation",IF(Market_Data[[#This Row],[Start Date]]&gt;TODAY(),"Planned",IF(Market_Data[[#This Row],[Completion Date]]&lt;TODAY(),"Completed","Ongoing")))</f>
        <v>Completed</v>
      </c>
      <c r="G1209" s="324">
        <v>41071</v>
      </c>
      <c r="H1209" s="324">
        <v>44196</v>
      </c>
      <c r="I1209" s="325">
        <v>16000</v>
      </c>
      <c r="J120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09" s="133">
        <f>_xlfn.XLOOKUP(Market_Data[[#This Row],[Project Type]],tbl_assumptions_market[Project Category (RERA)],tbl_assumptions_market[Concrete Intensity
(m³ / sq m BUA)],"",0)</f>
        <v>0.45</v>
      </c>
      <c r="L1209" s="134">
        <f>ROUND(Market_Data[[#This Row],[Estimated Built Up Area (sq m)]]*Market_Data[[#This Row],[Concrete Intensity
(m³ / sq m)]],0)</f>
        <v>7200</v>
      </c>
      <c r="M1209" s="135">
        <f>_xlfn.XLOOKUP(Market_Data[[#This Row],[District]],tbl_district_price[District],tbl_district_price[Standard Price
(INR/m³)],"",0)</f>
        <v>6200</v>
      </c>
      <c r="N1209" s="364">
        <f>IF(OR(Market_Data[[#This Row],[Estimated Concrete Demand (m³)]]="",Market_Data[[#This Row],[Avg Price per (₹ / m³)]]=""),"",Market_Data[[#This Row],[Estimated Concrete Demand (m³)]]*Market_Data[[#This Row],[Avg Price per (₹ / m³)]]/10000000)</f>
        <v>4.4640000000000004</v>
      </c>
      <c r="O1209" s="97" t="str">
        <f>IF(Market_Data[[#This Row],[Estimated Concrete Demand (m³)]]="","",
IF(Market_Data[[#This Row],[Estimated Concrete Demand (m³)]]&lt;10000,"Small",
IF(Market_Data[[#This Row],[Estimated Concrete Demand (m³)]]&lt;25000,"Medium",
IF(Market_Data[[#This Row],[Estimated Concrete Demand (m³)]]&lt;100000,"Large","Mega"))))</f>
        <v>Small</v>
      </c>
      <c r="P1209" s="287" t="str">
        <f t="shared" si="20"/>
        <v>GujRERA</v>
      </c>
    </row>
    <row r="1210" spans="1:16">
      <c r="A1210" s="129" t="str">
        <f>_xlfn.XLOOKUP(B1210,$S$9:$S$14,$T$9:$T$14)&amp;"-"&amp;
IF(E1210="Residential/Group Housing","RES",
IF(E1210="Commercial","COM",
IF(E1210="Mixed Development","MIX",
IF(E1210="Plotted Development","PLT","OTH"))))
&amp;"-"&amp;TEXT(COUNTIFS($B$9:B1210,B1210,$E$9:E1210,E1210),"0000")</f>
        <v>SUR-RES-0324</v>
      </c>
      <c r="B1210" s="322" t="s">
        <v>34</v>
      </c>
      <c r="C1210" s="322" t="s">
        <v>34</v>
      </c>
      <c r="D1210" s="323" t="s">
        <v>1400</v>
      </c>
      <c r="E1210" s="132" t="s">
        <v>24</v>
      </c>
      <c r="F1210" s="97" t="str">
        <f ca="1">IF(OR(Market_Data[[#This Row],[Start Date]]="",Market_Data[[#This Row],[Completion Date]]=""),"Needs Validation",IF(Market_Data[[#This Row],[Start Date]]&gt;TODAY(),"Planned",IF(Market_Data[[#This Row],[Completion Date]]&lt;TODAY(),"Completed","Ongoing")))</f>
        <v>Completed</v>
      </c>
      <c r="G1210" s="324">
        <v>43911</v>
      </c>
      <c r="H1210" s="324">
        <v>46022</v>
      </c>
      <c r="I1210" s="325">
        <v>33400</v>
      </c>
      <c r="J121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10" s="133">
        <f>_xlfn.XLOOKUP(Market_Data[[#This Row],[Project Type]],tbl_assumptions_market[Project Category (RERA)],tbl_assumptions_market[Concrete Intensity
(m³ / sq m BUA)],"",0)</f>
        <v>0.45</v>
      </c>
      <c r="L1210" s="134">
        <f>ROUND(Market_Data[[#This Row],[Estimated Built Up Area (sq m)]]*Market_Data[[#This Row],[Concrete Intensity
(m³ / sq m)]],0)</f>
        <v>15030</v>
      </c>
      <c r="M1210" s="135">
        <f>_xlfn.XLOOKUP(Market_Data[[#This Row],[District]],tbl_district_price[District],tbl_district_price[Standard Price
(INR/m³)],"",0)</f>
        <v>6200</v>
      </c>
      <c r="N1210" s="364">
        <f>IF(OR(Market_Data[[#This Row],[Estimated Concrete Demand (m³)]]="",Market_Data[[#This Row],[Avg Price per (₹ / m³)]]=""),"",Market_Data[[#This Row],[Estimated Concrete Demand (m³)]]*Market_Data[[#This Row],[Avg Price per (₹ / m³)]]/10000000)</f>
        <v>9.3186</v>
      </c>
      <c r="O1210" s="97" t="str">
        <f>IF(Market_Data[[#This Row],[Estimated Concrete Demand (m³)]]="","",
IF(Market_Data[[#This Row],[Estimated Concrete Demand (m³)]]&lt;10000,"Small",
IF(Market_Data[[#This Row],[Estimated Concrete Demand (m³)]]&lt;25000,"Medium",
IF(Market_Data[[#This Row],[Estimated Concrete Demand (m³)]]&lt;100000,"Large","Mega"))))</f>
        <v>Medium</v>
      </c>
      <c r="P1210" s="287" t="str">
        <f t="shared" si="20"/>
        <v>GujRERA</v>
      </c>
    </row>
    <row r="1211" spans="1:16">
      <c r="A1211" s="129" t="str">
        <f>_xlfn.XLOOKUP(B1211,$S$9:$S$14,$T$9:$T$14)&amp;"-"&amp;
IF(E1211="Residential/Group Housing","RES",
IF(E1211="Commercial","COM",
IF(E1211="Mixed Development","MIX",
IF(E1211="Plotted Development","PLT","OTH"))))
&amp;"-"&amp;TEXT(COUNTIFS($B$9:B1211,B1211,$E$9:E1211,E1211),"0000")</f>
        <v>SUR-RES-0325</v>
      </c>
      <c r="B1211" s="322" t="s">
        <v>34</v>
      </c>
      <c r="C1211" s="322" t="s">
        <v>34</v>
      </c>
      <c r="D1211" s="323" t="s">
        <v>1401</v>
      </c>
      <c r="E1211" s="132" t="s">
        <v>24</v>
      </c>
      <c r="F1211" s="97" t="str">
        <f ca="1">IF(OR(Market_Data[[#This Row],[Start Date]]="",Market_Data[[#This Row],[Completion Date]]=""),"Needs Validation",IF(Market_Data[[#This Row],[Start Date]]&gt;TODAY(),"Planned",IF(Market_Data[[#This Row],[Completion Date]]&lt;TODAY(),"Completed","Ongoing")))</f>
        <v>Ongoing</v>
      </c>
      <c r="G1211" s="324">
        <v>45926</v>
      </c>
      <c r="H1211" s="324">
        <v>48487</v>
      </c>
      <c r="I1211" s="325">
        <v>15800</v>
      </c>
      <c r="J121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11" s="133">
        <f>_xlfn.XLOOKUP(Market_Data[[#This Row],[Project Type]],tbl_assumptions_market[Project Category (RERA)],tbl_assumptions_market[Concrete Intensity
(m³ / sq m BUA)],"",0)</f>
        <v>0.45</v>
      </c>
      <c r="L1211" s="134">
        <f>ROUND(Market_Data[[#This Row],[Estimated Built Up Area (sq m)]]*Market_Data[[#This Row],[Concrete Intensity
(m³ / sq m)]],0)</f>
        <v>7110</v>
      </c>
      <c r="M1211" s="135">
        <f>_xlfn.XLOOKUP(Market_Data[[#This Row],[District]],tbl_district_price[District],tbl_district_price[Standard Price
(INR/m³)],"",0)</f>
        <v>6200</v>
      </c>
      <c r="N1211" s="364">
        <f>IF(OR(Market_Data[[#This Row],[Estimated Concrete Demand (m³)]]="",Market_Data[[#This Row],[Avg Price per (₹ / m³)]]=""),"",Market_Data[[#This Row],[Estimated Concrete Demand (m³)]]*Market_Data[[#This Row],[Avg Price per (₹ / m³)]]/10000000)</f>
        <v>4.4081999999999999</v>
      </c>
      <c r="O1211" s="97" t="str">
        <f>IF(Market_Data[[#This Row],[Estimated Concrete Demand (m³)]]="","",
IF(Market_Data[[#This Row],[Estimated Concrete Demand (m³)]]&lt;10000,"Small",
IF(Market_Data[[#This Row],[Estimated Concrete Demand (m³)]]&lt;25000,"Medium",
IF(Market_Data[[#This Row],[Estimated Concrete Demand (m³)]]&lt;100000,"Large","Mega"))))</f>
        <v>Small</v>
      </c>
      <c r="P1211" s="287" t="str">
        <f t="shared" si="20"/>
        <v>GujRERA</v>
      </c>
    </row>
    <row r="1212" spans="1:16">
      <c r="A1212" s="129" t="str">
        <f>_xlfn.XLOOKUP(B1212,$S$9:$S$14,$T$9:$T$14)&amp;"-"&amp;
IF(E1212="Residential/Group Housing","RES",
IF(E1212="Commercial","COM",
IF(E1212="Mixed Development","MIX",
IF(E1212="Plotted Development","PLT","OTH"))))
&amp;"-"&amp;TEXT(COUNTIFS($B$9:B1212,B1212,$E$9:E1212,E1212),"0000")</f>
        <v>SUR-RES-0326</v>
      </c>
      <c r="B1212" s="322" t="s">
        <v>34</v>
      </c>
      <c r="C1212" s="322" t="s">
        <v>34</v>
      </c>
      <c r="D1212" s="323" t="s">
        <v>1402</v>
      </c>
      <c r="E1212" s="132" t="s">
        <v>24</v>
      </c>
      <c r="F1212" s="97" t="str">
        <f ca="1">IF(OR(Market_Data[[#This Row],[Start Date]]="",Market_Data[[#This Row],[Completion Date]]=""),"Needs Validation",IF(Market_Data[[#This Row],[Start Date]]&gt;TODAY(),"Planned",IF(Market_Data[[#This Row],[Completion Date]]&lt;TODAY(),"Completed","Ongoing")))</f>
        <v>Ongoing</v>
      </c>
      <c r="G1212" s="324">
        <v>45183</v>
      </c>
      <c r="H1212" s="324">
        <v>47118</v>
      </c>
      <c r="I1212" s="325">
        <v>38500</v>
      </c>
      <c r="J121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12" s="133">
        <f>_xlfn.XLOOKUP(Market_Data[[#This Row],[Project Type]],tbl_assumptions_market[Project Category (RERA)],tbl_assumptions_market[Concrete Intensity
(m³ / sq m BUA)],"",0)</f>
        <v>0.45</v>
      </c>
      <c r="L1212" s="134">
        <f>ROUND(Market_Data[[#This Row],[Estimated Built Up Area (sq m)]]*Market_Data[[#This Row],[Concrete Intensity
(m³ / sq m)]],0)</f>
        <v>17325</v>
      </c>
      <c r="M1212" s="135">
        <f>_xlfn.XLOOKUP(Market_Data[[#This Row],[District]],tbl_district_price[District],tbl_district_price[Standard Price
(INR/m³)],"",0)</f>
        <v>6200</v>
      </c>
      <c r="N1212" s="364">
        <f>IF(OR(Market_Data[[#This Row],[Estimated Concrete Demand (m³)]]="",Market_Data[[#This Row],[Avg Price per (₹ / m³)]]=""),"",Market_Data[[#This Row],[Estimated Concrete Demand (m³)]]*Market_Data[[#This Row],[Avg Price per (₹ / m³)]]/10000000)</f>
        <v>10.7415</v>
      </c>
      <c r="O1212" s="97" t="str">
        <f>IF(Market_Data[[#This Row],[Estimated Concrete Demand (m³)]]="","",
IF(Market_Data[[#This Row],[Estimated Concrete Demand (m³)]]&lt;10000,"Small",
IF(Market_Data[[#This Row],[Estimated Concrete Demand (m³)]]&lt;25000,"Medium",
IF(Market_Data[[#This Row],[Estimated Concrete Demand (m³)]]&lt;100000,"Large","Mega"))))</f>
        <v>Medium</v>
      </c>
      <c r="P1212" s="287" t="str">
        <f t="shared" si="20"/>
        <v>GujRERA</v>
      </c>
    </row>
    <row r="1213" spans="1:16">
      <c r="A1213" s="129" t="str">
        <f>_xlfn.XLOOKUP(B1213,$S$9:$S$14,$T$9:$T$14)&amp;"-"&amp;
IF(E1213="Residential/Group Housing","RES",
IF(E1213="Commercial","COM",
IF(E1213="Mixed Development","MIX",
IF(E1213="Plotted Development","PLT","OTH"))))
&amp;"-"&amp;TEXT(COUNTIFS($B$9:B1213,B1213,$E$9:E1213,E1213),"0000")</f>
        <v>SUR-PLT-0231</v>
      </c>
      <c r="B1213" s="322" t="s">
        <v>34</v>
      </c>
      <c r="C1213" s="322" t="s">
        <v>34</v>
      </c>
      <c r="D1213" s="323" t="s">
        <v>1403</v>
      </c>
      <c r="E1213" s="132" t="s">
        <v>26</v>
      </c>
      <c r="F1213" s="97" t="str">
        <f ca="1">IF(OR(Market_Data[[#This Row],[Start Date]]="",Market_Data[[#This Row],[Completion Date]]=""),"Needs Validation",IF(Market_Data[[#This Row],[Start Date]]&gt;TODAY(),"Planned",IF(Market_Data[[#This Row],[Completion Date]]&lt;TODAY(),"Completed","Ongoing")))</f>
        <v>Completed</v>
      </c>
      <c r="G1213" s="324">
        <v>44581</v>
      </c>
      <c r="H1213" s="324">
        <v>45291</v>
      </c>
      <c r="I1213" s="325">
        <v>2700</v>
      </c>
      <c r="J121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13" s="133">
        <f>_xlfn.XLOOKUP(Market_Data[[#This Row],[Project Type]],tbl_assumptions_market[Project Category (RERA)],tbl_assumptions_market[Concrete Intensity
(m³ / sq m BUA)],"",0)</f>
        <v>0.18</v>
      </c>
      <c r="L1213" s="134">
        <f>ROUND(Market_Data[[#This Row],[Estimated Built Up Area (sq m)]]*Market_Data[[#This Row],[Concrete Intensity
(m³ / sq m)]],0)</f>
        <v>486</v>
      </c>
      <c r="M1213" s="135">
        <f>_xlfn.XLOOKUP(Market_Data[[#This Row],[District]],tbl_district_price[District],tbl_district_price[Standard Price
(INR/m³)],"",0)</f>
        <v>6200</v>
      </c>
      <c r="N1213" s="364">
        <f>IF(OR(Market_Data[[#This Row],[Estimated Concrete Demand (m³)]]="",Market_Data[[#This Row],[Avg Price per (₹ / m³)]]=""),"",Market_Data[[#This Row],[Estimated Concrete Demand (m³)]]*Market_Data[[#This Row],[Avg Price per (₹ / m³)]]/10000000)</f>
        <v>0.30131999999999998</v>
      </c>
      <c r="O1213" s="97" t="str">
        <f>IF(Market_Data[[#This Row],[Estimated Concrete Demand (m³)]]="","",
IF(Market_Data[[#This Row],[Estimated Concrete Demand (m³)]]&lt;10000,"Small",
IF(Market_Data[[#This Row],[Estimated Concrete Demand (m³)]]&lt;25000,"Medium",
IF(Market_Data[[#This Row],[Estimated Concrete Demand (m³)]]&lt;100000,"Large","Mega"))))</f>
        <v>Small</v>
      </c>
      <c r="P1213" s="287" t="str">
        <f t="shared" si="20"/>
        <v>GujRERA</v>
      </c>
    </row>
    <row r="1214" spans="1:16">
      <c r="A1214" s="129" t="str">
        <f>_xlfn.XLOOKUP(B1214,$S$9:$S$14,$T$9:$T$14)&amp;"-"&amp;
IF(E1214="Residential/Group Housing","RES",
IF(E1214="Commercial","COM",
IF(E1214="Mixed Development","MIX",
IF(E1214="Plotted Development","PLT","OTH"))))
&amp;"-"&amp;TEXT(COUNTIFS($B$9:B1214,B1214,$E$9:E1214,E1214),"0000")</f>
        <v>SUR-RES-0327</v>
      </c>
      <c r="B1214" s="322" t="s">
        <v>34</v>
      </c>
      <c r="C1214" s="322" t="s">
        <v>34</v>
      </c>
      <c r="D1214" s="323" t="s">
        <v>1404</v>
      </c>
      <c r="E1214" s="132" t="s">
        <v>24</v>
      </c>
      <c r="F1214" s="97" t="str">
        <f ca="1">IF(OR(Market_Data[[#This Row],[Start Date]]="",Market_Data[[#This Row],[Completion Date]]=""),"Needs Validation",IF(Market_Data[[#This Row],[Start Date]]&gt;TODAY(),"Planned",IF(Market_Data[[#This Row],[Completion Date]]&lt;TODAY(),"Completed","Ongoing")))</f>
        <v>Ongoing</v>
      </c>
      <c r="G1214" s="324">
        <v>45824</v>
      </c>
      <c r="H1214" s="324">
        <v>47483</v>
      </c>
      <c r="I1214" s="325">
        <v>6400</v>
      </c>
      <c r="J121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14" s="133">
        <f>_xlfn.XLOOKUP(Market_Data[[#This Row],[Project Type]],tbl_assumptions_market[Project Category (RERA)],tbl_assumptions_market[Concrete Intensity
(m³ / sq m BUA)],"",0)</f>
        <v>0.45</v>
      </c>
      <c r="L1214" s="134">
        <f>ROUND(Market_Data[[#This Row],[Estimated Built Up Area (sq m)]]*Market_Data[[#This Row],[Concrete Intensity
(m³ / sq m)]],0)</f>
        <v>2880</v>
      </c>
      <c r="M1214" s="135">
        <f>_xlfn.XLOOKUP(Market_Data[[#This Row],[District]],tbl_district_price[District],tbl_district_price[Standard Price
(INR/m³)],"",0)</f>
        <v>6200</v>
      </c>
      <c r="N1214" s="364">
        <f>IF(OR(Market_Data[[#This Row],[Estimated Concrete Demand (m³)]]="",Market_Data[[#This Row],[Avg Price per (₹ / m³)]]=""),"",Market_Data[[#This Row],[Estimated Concrete Demand (m³)]]*Market_Data[[#This Row],[Avg Price per (₹ / m³)]]/10000000)</f>
        <v>1.7856000000000001</v>
      </c>
      <c r="O1214" s="97" t="str">
        <f>IF(Market_Data[[#This Row],[Estimated Concrete Demand (m³)]]="","",
IF(Market_Data[[#This Row],[Estimated Concrete Demand (m³)]]&lt;10000,"Small",
IF(Market_Data[[#This Row],[Estimated Concrete Demand (m³)]]&lt;25000,"Medium",
IF(Market_Data[[#This Row],[Estimated Concrete Demand (m³)]]&lt;100000,"Large","Mega"))))</f>
        <v>Small</v>
      </c>
      <c r="P1214" s="287" t="str">
        <f t="shared" si="20"/>
        <v>GujRERA</v>
      </c>
    </row>
    <row r="1215" spans="1:16">
      <c r="A1215" s="129" t="str">
        <f>_xlfn.XLOOKUP(B1215,$S$9:$S$14,$T$9:$T$14)&amp;"-"&amp;
IF(E1215="Residential/Group Housing","RES",
IF(E1215="Commercial","COM",
IF(E1215="Mixed Development","MIX",
IF(E1215="Plotted Development","PLT","OTH"))))
&amp;"-"&amp;TEXT(COUNTIFS($B$9:B1215,B1215,$E$9:E1215,E1215),"0000")</f>
        <v>SUR-PLT-0232</v>
      </c>
      <c r="B1215" s="322" t="s">
        <v>34</v>
      </c>
      <c r="C1215" s="322" t="s">
        <v>34</v>
      </c>
      <c r="D1215" s="323" t="s">
        <v>1405</v>
      </c>
      <c r="E1215" s="132" t="s">
        <v>26</v>
      </c>
      <c r="F1215" s="97" t="str">
        <f ca="1">IF(OR(Market_Data[[#This Row],[Start Date]]="",Market_Data[[#This Row],[Completion Date]]=""),"Needs Validation",IF(Market_Data[[#This Row],[Start Date]]&gt;TODAY(),"Planned",IF(Market_Data[[#This Row],[Completion Date]]&lt;TODAY(),"Completed","Ongoing")))</f>
        <v>Ongoing</v>
      </c>
      <c r="G1215" s="324">
        <v>45594</v>
      </c>
      <c r="H1215" s="324">
        <v>46752</v>
      </c>
      <c r="I1215" s="325">
        <v>50800</v>
      </c>
      <c r="J121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215" s="133">
        <f>_xlfn.XLOOKUP(Market_Data[[#This Row],[Project Type]],tbl_assumptions_market[Project Category (RERA)],tbl_assumptions_market[Concrete Intensity
(m³ / sq m BUA)],"",0)</f>
        <v>0.18</v>
      </c>
      <c r="L1215" s="134">
        <f>ROUND(Market_Data[[#This Row],[Estimated Built Up Area (sq m)]]*Market_Data[[#This Row],[Concrete Intensity
(m³ / sq m)]],0)</f>
        <v>9144</v>
      </c>
      <c r="M1215" s="135">
        <f>_xlfn.XLOOKUP(Market_Data[[#This Row],[District]],tbl_district_price[District],tbl_district_price[Standard Price
(INR/m³)],"",0)</f>
        <v>6200</v>
      </c>
      <c r="N1215" s="364">
        <f>IF(OR(Market_Data[[#This Row],[Estimated Concrete Demand (m³)]]="",Market_Data[[#This Row],[Avg Price per (₹ / m³)]]=""),"",Market_Data[[#This Row],[Estimated Concrete Demand (m³)]]*Market_Data[[#This Row],[Avg Price per (₹ / m³)]]/10000000)</f>
        <v>5.6692799999999997</v>
      </c>
      <c r="O1215" s="97" t="str">
        <f>IF(Market_Data[[#This Row],[Estimated Concrete Demand (m³)]]="","",
IF(Market_Data[[#This Row],[Estimated Concrete Demand (m³)]]&lt;10000,"Small",
IF(Market_Data[[#This Row],[Estimated Concrete Demand (m³)]]&lt;25000,"Medium",
IF(Market_Data[[#This Row],[Estimated Concrete Demand (m³)]]&lt;100000,"Large","Mega"))))</f>
        <v>Small</v>
      </c>
      <c r="P1215" s="287" t="str">
        <f t="shared" si="20"/>
        <v>GujRERA</v>
      </c>
    </row>
    <row r="1216" spans="1:16">
      <c r="A1216" s="129" t="str">
        <f>_xlfn.XLOOKUP(B1216,$S$9:$S$14,$T$9:$T$14)&amp;"-"&amp;
IF(E1216="Residential/Group Housing","RES",
IF(E1216="Commercial","COM",
IF(E1216="Mixed Development","MIX",
IF(E1216="Plotted Development","PLT","OTH"))))
&amp;"-"&amp;TEXT(COUNTIFS($B$9:B1216,B1216,$E$9:E1216,E1216),"0000")</f>
        <v>SUR-RES-0328</v>
      </c>
      <c r="B1216" s="322" t="s">
        <v>34</v>
      </c>
      <c r="C1216" s="322" t="s">
        <v>34</v>
      </c>
      <c r="D1216" s="323" t="s">
        <v>1406</v>
      </c>
      <c r="E1216" s="132" t="s">
        <v>24</v>
      </c>
      <c r="F1216" s="97" t="str">
        <f ca="1">IF(OR(Market_Data[[#This Row],[Start Date]]="",Market_Data[[#This Row],[Completion Date]]=""),"Needs Validation",IF(Market_Data[[#This Row],[Start Date]]&gt;TODAY(),"Planned",IF(Market_Data[[#This Row],[Completion Date]]&lt;TODAY(),"Completed","Ongoing")))</f>
        <v>Ongoing</v>
      </c>
      <c r="G1216" s="324">
        <v>45405</v>
      </c>
      <c r="H1216" s="324">
        <v>47483</v>
      </c>
      <c r="I1216" s="325">
        <v>49500</v>
      </c>
      <c r="J121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16" s="133">
        <f>_xlfn.XLOOKUP(Market_Data[[#This Row],[Project Type]],tbl_assumptions_market[Project Category (RERA)],tbl_assumptions_market[Concrete Intensity
(m³ / sq m BUA)],"",0)</f>
        <v>0.45</v>
      </c>
      <c r="L1216" s="134">
        <f>ROUND(Market_Data[[#This Row],[Estimated Built Up Area (sq m)]]*Market_Data[[#This Row],[Concrete Intensity
(m³ / sq m)]],0)</f>
        <v>22275</v>
      </c>
      <c r="M1216" s="135">
        <f>_xlfn.XLOOKUP(Market_Data[[#This Row],[District]],tbl_district_price[District],tbl_district_price[Standard Price
(INR/m³)],"",0)</f>
        <v>6200</v>
      </c>
      <c r="N1216" s="364">
        <f>IF(OR(Market_Data[[#This Row],[Estimated Concrete Demand (m³)]]="",Market_Data[[#This Row],[Avg Price per (₹ / m³)]]=""),"",Market_Data[[#This Row],[Estimated Concrete Demand (m³)]]*Market_Data[[#This Row],[Avg Price per (₹ / m³)]]/10000000)</f>
        <v>13.810499999999999</v>
      </c>
      <c r="O1216" s="97" t="str">
        <f>IF(Market_Data[[#This Row],[Estimated Concrete Demand (m³)]]="","",
IF(Market_Data[[#This Row],[Estimated Concrete Demand (m³)]]&lt;10000,"Small",
IF(Market_Data[[#This Row],[Estimated Concrete Demand (m³)]]&lt;25000,"Medium",
IF(Market_Data[[#This Row],[Estimated Concrete Demand (m³)]]&lt;100000,"Large","Mega"))))</f>
        <v>Medium</v>
      </c>
      <c r="P1216" s="287" t="str">
        <f t="shared" si="20"/>
        <v>GujRERA</v>
      </c>
    </row>
    <row r="1217" spans="1:16">
      <c r="A1217" s="129" t="str">
        <f>_xlfn.XLOOKUP(B1217,$S$9:$S$14,$T$9:$T$14)&amp;"-"&amp;
IF(E1217="Residential/Group Housing","RES",
IF(E1217="Commercial","COM",
IF(E1217="Mixed Development","MIX",
IF(E1217="Plotted Development","PLT","OTH"))))
&amp;"-"&amp;TEXT(COUNTIFS($B$9:B1217,B1217,$E$9:E1217,E1217),"0000")</f>
        <v>SUR-PLT-0233</v>
      </c>
      <c r="B1217" s="322" t="s">
        <v>34</v>
      </c>
      <c r="C1217" s="322" t="s">
        <v>34</v>
      </c>
      <c r="D1217" s="323" t="s">
        <v>1407</v>
      </c>
      <c r="E1217" s="132" t="s">
        <v>26</v>
      </c>
      <c r="F1217" s="97" t="str">
        <f ca="1">IF(OR(Market_Data[[#This Row],[Start Date]]="",Market_Data[[#This Row],[Completion Date]]=""),"Needs Validation",IF(Market_Data[[#This Row],[Start Date]]&gt;TODAY(),"Planned",IF(Market_Data[[#This Row],[Completion Date]]&lt;TODAY(),"Completed","Ongoing")))</f>
        <v>Ongoing</v>
      </c>
      <c r="G1217" s="324">
        <v>44988</v>
      </c>
      <c r="H1217" s="324">
        <v>46752</v>
      </c>
      <c r="I1217" s="325">
        <v>37500</v>
      </c>
      <c r="J121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217" s="133">
        <f>_xlfn.XLOOKUP(Market_Data[[#This Row],[Project Type]],tbl_assumptions_market[Project Category (RERA)],tbl_assumptions_market[Concrete Intensity
(m³ / sq m BUA)],"",0)</f>
        <v>0.18</v>
      </c>
      <c r="L1217" s="134">
        <f>ROUND(Market_Data[[#This Row],[Estimated Built Up Area (sq m)]]*Market_Data[[#This Row],[Concrete Intensity
(m³ / sq m)]],0)</f>
        <v>6750</v>
      </c>
      <c r="M1217" s="135">
        <f>_xlfn.XLOOKUP(Market_Data[[#This Row],[District]],tbl_district_price[District],tbl_district_price[Standard Price
(INR/m³)],"",0)</f>
        <v>6200</v>
      </c>
      <c r="N1217" s="364">
        <f>IF(OR(Market_Data[[#This Row],[Estimated Concrete Demand (m³)]]="",Market_Data[[#This Row],[Avg Price per (₹ / m³)]]=""),"",Market_Data[[#This Row],[Estimated Concrete Demand (m³)]]*Market_Data[[#This Row],[Avg Price per (₹ / m³)]]/10000000)</f>
        <v>4.1849999999999996</v>
      </c>
      <c r="O1217" s="97" t="str">
        <f>IF(Market_Data[[#This Row],[Estimated Concrete Demand (m³)]]="","",
IF(Market_Data[[#This Row],[Estimated Concrete Demand (m³)]]&lt;10000,"Small",
IF(Market_Data[[#This Row],[Estimated Concrete Demand (m³)]]&lt;25000,"Medium",
IF(Market_Data[[#This Row],[Estimated Concrete Demand (m³)]]&lt;100000,"Large","Mega"))))</f>
        <v>Small</v>
      </c>
      <c r="P1217" s="287" t="str">
        <f t="shared" si="20"/>
        <v>GujRERA</v>
      </c>
    </row>
    <row r="1218" spans="1:16">
      <c r="A1218" s="129" t="str">
        <f>_xlfn.XLOOKUP(B1218,$S$9:$S$14,$T$9:$T$14)&amp;"-"&amp;
IF(E1218="Residential/Group Housing","RES",
IF(E1218="Commercial","COM",
IF(E1218="Mixed Development","MIX",
IF(E1218="Plotted Development","PLT","OTH"))))
&amp;"-"&amp;TEXT(COUNTIFS($B$9:B1218,B1218,$E$9:E1218,E1218),"0000")</f>
        <v>SUR-MIX-0168</v>
      </c>
      <c r="B1218" s="322" t="s">
        <v>34</v>
      </c>
      <c r="C1218" s="322" t="s">
        <v>34</v>
      </c>
      <c r="D1218" s="323" t="s">
        <v>1408</v>
      </c>
      <c r="E1218" s="132" t="s">
        <v>25</v>
      </c>
      <c r="F1218" s="97" t="str">
        <f ca="1">IF(OR(Market_Data[[#This Row],[Start Date]]="",Market_Data[[#This Row],[Completion Date]]=""),"Needs Validation",IF(Market_Data[[#This Row],[Start Date]]&gt;TODAY(),"Planned",IF(Market_Data[[#This Row],[Completion Date]]&lt;TODAY(),"Completed","Ongoing")))</f>
        <v>Ongoing</v>
      </c>
      <c r="G1218" s="324">
        <v>45849</v>
      </c>
      <c r="H1218" s="324">
        <v>46934</v>
      </c>
      <c r="I1218" s="325">
        <v>57900</v>
      </c>
      <c r="J121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18" s="133">
        <f>_xlfn.XLOOKUP(Market_Data[[#This Row],[Project Type]],tbl_assumptions_market[Project Category (RERA)],tbl_assumptions_market[Concrete Intensity
(m³ / sq m BUA)],"",0)</f>
        <v>0.42</v>
      </c>
      <c r="L1218" s="134">
        <f>ROUND(Market_Data[[#This Row],[Estimated Built Up Area (sq m)]]*Market_Data[[#This Row],[Concrete Intensity
(m³ / sq m)]],0)</f>
        <v>24318</v>
      </c>
      <c r="M1218" s="135">
        <f>_xlfn.XLOOKUP(Market_Data[[#This Row],[District]],tbl_district_price[District],tbl_district_price[Standard Price
(INR/m³)],"",0)</f>
        <v>6200</v>
      </c>
      <c r="N1218" s="364">
        <f>IF(OR(Market_Data[[#This Row],[Estimated Concrete Demand (m³)]]="",Market_Data[[#This Row],[Avg Price per (₹ / m³)]]=""),"",Market_Data[[#This Row],[Estimated Concrete Demand (m³)]]*Market_Data[[#This Row],[Avg Price per (₹ / m³)]]/10000000)</f>
        <v>15.077159999999999</v>
      </c>
      <c r="O1218" s="97" t="str">
        <f>IF(Market_Data[[#This Row],[Estimated Concrete Demand (m³)]]="","",
IF(Market_Data[[#This Row],[Estimated Concrete Demand (m³)]]&lt;10000,"Small",
IF(Market_Data[[#This Row],[Estimated Concrete Demand (m³)]]&lt;25000,"Medium",
IF(Market_Data[[#This Row],[Estimated Concrete Demand (m³)]]&lt;100000,"Large","Mega"))))</f>
        <v>Medium</v>
      </c>
      <c r="P1218" s="287" t="str">
        <f t="shared" si="20"/>
        <v>GujRERA</v>
      </c>
    </row>
    <row r="1219" spans="1:16">
      <c r="A1219" s="129" t="str">
        <f>_xlfn.XLOOKUP(B1219,$S$9:$S$14,$T$9:$T$14)&amp;"-"&amp;
IF(E1219="Residential/Group Housing","RES",
IF(E1219="Commercial","COM",
IF(E1219="Mixed Development","MIX",
IF(E1219="Plotted Development","PLT","OTH"))))
&amp;"-"&amp;TEXT(COUNTIFS($B$9:B1219,B1219,$E$9:E1219,E1219),"0000")</f>
        <v>SUR-MIX-0169</v>
      </c>
      <c r="B1219" s="322" t="s">
        <v>34</v>
      </c>
      <c r="C1219" s="322" t="s">
        <v>34</v>
      </c>
      <c r="D1219" s="323" t="s">
        <v>1409</v>
      </c>
      <c r="E1219" s="132" t="s">
        <v>25</v>
      </c>
      <c r="F1219" s="97" t="str">
        <f ca="1">IF(OR(Market_Data[[#This Row],[Start Date]]="",Market_Data[[#This Row],[Completion Date]]=""),"Needs Validation",IF(Market_Data[[#This Row],[Start Date]]&gt;TODAY(),"Planned",IF(Market_Data[[#This Row],[Completion Date]]&lt;TODAY(),"Completed","Ongoing")))</f>
        <v>Ongoing</v>
      </c>
      <c r="G1219" s="324">
        <v>45849</v>
      </c>
      <c r="H1219" s="324">
        <v>47483</v>
      </c>
      <c r="I1219" s="325">
        <v>58400</v>
      </c>
      <c r="J121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19" s="133">
        <f>_xlfn.XLOOKUP(Market_Data[[#This Row],[Project Type]],tbl_assumptions_market[Project Category (RERA)],tbl_assumptions_market[Concrete Intensity
(m³ / sq m BUA)],"",0)</f>
        <v>0.42</v>
      </c>
      <c r="L1219" s="134">
        <f>ROUND(Market_Data[[#This Row],[Estimated Built Up Area (sq m)]]*Market_Data[[#This Row],[Concrete Intensity
(m³ / sq m)]],0)</f>
        <v>24528</v>
      </c>
      <c r="M1219" s="135">
        <f>_xlfn.XLOOKUP(Market_Data[[#This Row],[District]],tbl_district_price[District],tbl_district_price[Standard Price
(INR/m³)],"",0)</f>
        <v>6200</v>
      </c>
      <c r="N1219" s="364">
        <f>IF(OR(Market_Data[[#This Row],[Estimated Concrete Demand (m³)]]="",Market_Data[[#This Row],[Avg Price per (₹ / m³)]]=""),"",Market_Data[[#This Row],[Estimated Concrete Demand (m³)]]*Market_Data[[#This Row],[Avg Price per (₹ / m³)]]/10000000)</f>
        <v>15.20736</v>
      </c>
      <c r="O1219" s="97" t="str">
        <f>IF(Market_Data[[#This Row],[Estimated Concrete Demand (m³)]]="","",
IF(Market_Data[[#This Row],[Estimated Concrete Demand (m³)]]&lt;10000,"Small",
IF(Market_Data[[#This Row],[Estimated Concrete Demand (m³)]]&lt;25000,"Medium",
IF(Market_Data[[#This Row],[Estimated Concrete Demand (m³)]]&lt;100000,"Large","Mega"))))</f>
        <v>Medium</v>
      </c>
      <c r="P1219" s="287" t="str">
        <f t="shared" si="20"/>
        <v>GujRERA</v>
      </c>
    </row>
    <row r="1220" spans="1:16">
      <c r="A1220" s="129" t="str">
        <f>_xlfn.XLOOKUP(B1220,$S$9:$S$14,$T$9:$T$14)&amp;"-"&amp;
IF(E1220="Residential/Group Housing","RES",
IF(E1220="Commercial","COM",
IF(E1220="Mixed Development","MIX",
IF(E1220="Plotted Development","PLT","OTH"))))
&amp;"-"&amp;TEXT(COUNTIFS($B$9:B1220,B1220,$E$9:E1220,E1220),"0000")</f>
        <v>SUR-MIX-0170</v>
      </c>
      <c r="B1220" s="322" t="s">
        <v>34</v>
      </c>
      <c r="C1220" s="322" t="s">
        <v>34</v>
      </c>
      <c r="D1220" s="323" t="s">
        <v>1410</v>
      </c>
      <c r="E1220" s="132" t="s">
        <v>25</v>
      </c>
      <c r="F1220" s="97" t="str">
        <f ca="1">IF(OR(Market_Data[[#This Row],[Start Date]]="",Market_Data[[#This Row],[Completion Date]]=""),"Needs Validation",IF(Market_Data[[#This Row],[Start Date]]&gt;TODAY(),"Planned",IF(Market_Data[[#This Row],[Completion Date]]&lt;TODAY(),"Completed","Ongoing")))</f>
        <v>Completed</v>
      </c>
      <c r="G1220" s="324">
        <v>43160</v>
      </c>
      <c r="H1220" s="324">
        <v>44834</v>
      </c>
      <c r="I1220" s="325">
        <v>51700</v>
      </c>
      <c r="J122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20" s="133">
        <f>_xlfn.XLOOKUP(Market_Data[[#This Row],[Project Type]],tbl_assumptions_market[Project Category (RERA)],tbl_assumptions_market[Concrete Intensity
(m³ / sq m BUA)],"",0)</f>
        <v>0.42</v>
      </c>
      <c r="L1220" s="134">
        <f>ROUND(Market_Data[[#This Row],[Estimated Built Up Area (sq m)]]*Market_Data[[#This Row],[Concrete Intensity
(m³ / sq m)]],0)</f>
        <v>21714</v>
      </c>
      <c r="M1220" s="135">
        <f>_xlfn.XLOOKUP(Market_Data[[#This Row],[District]],tbl_district_price[District],tbl_district_price[Standard Price
(INR/m³)],"",0)</f>
        <v>6200</v>
      </c>
      <c r="N1220" s="364">
        <f>IF(OR(Market_Data[[#This Row],[Estimated Concrete Demand (m³)]]="",Market_Data[[#This Row],[Avg Price per (₹ / m³)]]=""),"",Market_Data[[#This Row],[Estimated Concrete Demand (m³)]]*Market_Data[[#This Row],[Avg Price per (₹ / m³)]]/10000000)</f>
        <v>13.462680000000001</v>
      </c>
      <c r="O1220" s="97" t="str">
        <f>IF(Market_Data[[#This Row],[Estimated Concrete Demand (m³)]]="","",
IF(Market_Data[[#This Row],[Estimated Concrete Demand (m³)]]&lt;10000,"Small",
IF(Market_Data[[#This Row],[Estimated Concrete Demand (m³)]]&lt;25000,"Medium",
IF(Market_Data[[#This Row],[Estimated Concrete Demand (m³)]]&lt;100000,"Large","Mega"))))</f>
        <v>Medium</v>
      </c>
      <c r="P1220" s="287" t="str">
        <f t="shared" si="20"/>
        <v>GujRERA</v>
      </c>
    </row>
    <row r="1221" spans="1:16">
      <c r="A1221" s="129" t="str">
        <f>_xlfn.XLOOKUP(B1221,$S$9:$S$14,$T$9:$T$14)&amp;"-"&amp;
IF(E1221="Residential/Group Housing","RES",
IF(E1221="Commercial","COM",
IF(E1221="Mixed Development","MIX",
IF(E1221="Plotted Development","PLT","OTH"))))
&amp;"-"&amp;TEXT(COUNTIFS($B$9:B1221,B1221,$E$9:E1221,E1221),"0000")</f>
        <v>SUR-RES-0329</v>
      </c>
      <c r="B1221" s="322" t="s">
        <v>34</v>
      </c>
      <c r="C1221" s="322" t="s">
        <v>34</v>
      </c>
      <c r="D1221" s="323" t="s">
        <v>1411</v>
      </c>
      <c r="E1221" s="132" t="s">
        <v>24</v>
      </c>
      <c r="F1221" s="97" t="str">
        <f ca="1">IF(OR(Market_Data[[#This Row],[Start Date]]="",Market_Data[[#This Row],[Completion Date]]=""),"Needs Validation",IF(Market_Data[[#This Row],[Start Date]]&gt;TODAY(),"Planned",IF(Market_Data[[#This Row],[Completion Date]]&lt;TODAY(),"Completed","Ongoing")))</f>
        <v>Ongoing</v>
      </c>
      <c r="G1221" s="324">
        <v>45036</v>
      </c>
      <c r="H1221" s="324">
        <v>46843</v>
      </c>
      <c r="I1221" s="325">
        <v>45200</v>
      </c>
      <c r="J122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21" s="133">
        <f>_xlfn.XLOOKUP(Market_Data[[#This Row],[Project Type]],tbl_assumptions_market[Project Category (RERA)],tbl_assumptions_market[Concrete Intensity
(m³ / sq m BUA)],"",0)</f>
        <v>0.45</v>
      </c>
      <c r="L1221" s="134">
        <f>ROUND(Market_Data[[#This Row],[Estimated Built Up Area (sq m)]]*Market_Data[[#This Row],[Concrete Intensity
(m³ / sq m)]],0)</f>
        <v>20340</v>
      </c>
      <c r="M1221" s="135">
        <f>_xlfn.XLOOKUP(Market_Data[[#This Row],[District]],tbl_district_price[District],tbl_district_price[Standard Price
(INR/m³)],"",0)</f>
        <v>6200</v>
      </c>
      <c r="N1221" s="364">
        <f>IF(OR(Market_Data[[#This Row],[Estimated Concrete Demand (m³)]]="",Market_Data[[#This Row],[Avg Price per (₹ / m³)]]=""),"",Market_Data[[#This Row],[Estimated Concrete Demand (m³)]]*Market_Data[[#This Row],[Avg Price per (₹ / m³)]]/10000000)</f>
        <v>12.610799999999999</v>
      </c>
      <c r="O1221" s="97" t="str">
        <f>IF(Market_Data[[#This Row],[Estimated Concrete Demand (m³)]]="","",
IF(Market_Data[[#This Row],[Estimated Concrete Demand (m³)]]&lt;10000,"Small",
IF(Market_Data[[#This Row],[Estimated Concrete Demand (m³)]]&lt;25000,"Medium",
IF(Market_Data[[#This Row],[Estimated Concrete Demand (m³)]]&lt;100000,"Large","Mega"))))</f>
        <v>Medium</v>
      </c>
      <c r="P1221" s="287" t="str">
        <f t="shared" si="20"/>
        <v>GujRERA</v>
      </c>
    </row>
    <row r="1222" spans="1:16">
      <c r="A1222" s="129" t="str">
        <f>_xlfn.XLOOKUP(B1222,$S$9:$S$14,$T$9:$T$14)&amp;"-"&amp;
IF(E1222="Residential/Group Housing","RES",
IF(E1222="Commercial","COM",
IF(E1222="Mixed Development","MIX",
IF(E1222="Plotted Development","PLT","OTH"))))
&amp;"-"&amp;TEXT(COUNTIFS($B$9:B1222,B1222,$E$9:E1222,E1222),"0000")</f>
        <v>SUR-PLT-0234</v>
      </c>
      <c r="B1222" s="322" t="s">
        <v>34</v>
      </c>
      <c r="C1222" s="322" t="s">
        <v>34</v>
      </c>
      <c r="D1222" s="323" t="s">
        <v>1412</v>
      </c>
      <c r="E1222" s="132" t="s">
        <v>26</v>
      </c>
      <c r="F1222" s="97" t="str">
        <f ca="1">IF(OR(Market_Data[[#This Row],[Start Date]]="",Market_Data[[#This Row],[Completion Date]]=""),"Needs Validation",IF(Market_Data[[#This Row],[Start Date]]&gt;TODAY(),"Planned",IF(Market_Data[[#This Row],[Completion Date]]&lt;TODAY(),"Completed","Ongoing")))</f>
        <v>Ongoing</v>
      </c>
      <c r="G1222" s="324">
        <v>45917</v>
      </c>
      <c r="H1222" s="324">
        <v>47483</v>
      </c>
      <c r="I1222" s="325">
        <v>27000</v>
      </c>
      <c r="J122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22" s="133">
        <f>_xlfn.XLOOKUP(Market_Data[[#This Row],[Project Type]],tbl_assumptions_market[Project Category (RERA)],tbl_assumptions_market[Concrete Intensity
(m³ / sq m BUA)],"",0)</f>
        <v>0.18</v>
      </c>
      <c r="L1222" s="134">
        <f>ROUND(Market_Data[[#This Row],[Estimated Built Up Area (sq m)]]*Market_Data[[#This Row],[Concrete Intensity
(m³ / sq m)]],0)</f>
        <v>4860</v>
      </c>
      <c r="M1222" s="135">
        <f>_xlfn.XLOOKUP(Market_Data[[#This Row],[District]],tbl_district_price[District],tbl_district_price[Standard Price
(INR/m³)],"",0)</f>
        <v>6200</v>
      </c>
      <c r="N1222" s="364">
        <f>IF(OR(Market_Data[[#This Row],[Estimated Concrete Demand (m³)]]="",Market_Data[[#This Row],[Avg Price per (₹ / m³)]]=""),"",Market_Data[[#This Row],[Estimated Concrete Demand (m³)]]*Market_Data[[#This Row],[Avg Price per (₹ / m³)]]/10000000)</f>
        <v>3.0131999999999999</v>
      </c>
      <c r="O1222" s="97" t="str">
        <f>IF(Market_Data[[#This Row],[Estimated Concrete Demand (m³)]]="","",
IF(Market_Data[[#This Row],[Estimated Concrete Demand (m³)]]&lt;10000,"Small",
IF(Market_Data[[#This Row],[Estimated Concrete Demand (m³)]]&lt;25000,"Medium",
IF(Market_Data[[#This Row],[Estimated Concrete Demand (m³)]]&lt;100000,"Large","Mega"))))</f>
        <v>Small</v>
      </c>
      <c r="P1222" s="287" t="str">
        <f t="shared" si="20"/>
        <v>GujRERA</v>
      </c>
    </row>
    <row r="1223" spans="1:16">
      <c r="A1223" s="129" t="str">
        <f>_xlfn.XLOOKUP(B1223,$S$9:$S$14,$T$9:$T$14)&amp;"-"&amp;
IF(E1223="Residential/Group Housing","RES",
IF(E1223="Commercial","COM",
IF(E1223="Mixed Development","MIX",
IF(E1223="Plotted Development","PLT","OTH"))))
&amp;"-"&amp;TEXT(COUNTIFS($B$9:B1223,B1223,$E$9:E1223,E1223),"0000")</f>
        <v>SUR-COM-0172</v>
      </c>
      <c r="B1223" s="322" t="s">
        <v>34</v>
      </c>
      <c r="C1223" s="322" t="s">
        <v>34</v>
      </c>
      <c r="D1223" s="323" t="s">
        <v>1413</v>
      </c>
      <c r="E1223" s="132" t="s">
        <v>23</v>
      </c>
      <c r="F1223" s="97" t="str">
        <f ca="1">IF(OR(Market_Data[[#This Row],[Start Date]]="",Market_Data[[#This Row],[Completion Date]]=""),"Needs Validation",IF(Market_Data[[#This Row],[Start Date]]&gt;TODAY(),"Planned",IF(Market_Data[[#This Row],[Completion Date]]&lt;TODAY(),"Completed","Ongoing")))</f>
        <v>Completed</v>
      </c>
      <c r="G1223" s="324">
        <v>43070</v>
      </c>
      <c r="H1223" s="324">
        <v>45835</v>
      </c>
      <c r="I1223" s="325">
        <v>24100</v>
      </c>
      <c r="J122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223" s="133">
        <f>_xlfn.XLOOKUP(Market_Data[[#This Row],[Project Type]],tbl_assumptions_market[Project Category (RERA)],tbl_assumptions_market[Concrete Intensity
(m³ / sq m BUA)],"",0)</f>
        <v>0.5</v>
      </c>
      <c r="L1223" s="134">
        <f>ROUND(Market_Data[[#This Row],[Estimated Built Up Area (sq m)]]*Market_Data[[#This Row],[Concrete Intensity
(m³ / sq m)]],0)</f>
        <v>12050</v>
      </c>
      <c r="M1223" s="135">
        <f>_xlfn.XLOOKUP(Market_Data[[#This Row],[District]],tbl_district_price[District],tbl_district_price[Standard Price
(INR/m³)],"",0)</f>
        <v>6200</v>
      </c>
      <c r="N1223" s="364">
        <f>IF(OR(Market_Data[[#This Row],[Estimated Concrete Demand (m³)]]="",Market_Data[[#This Row],[Avg Price per (₹ / m³)]]=""),"",Market_Data[[#This Row],[Estimated Concrete Demand (m³)]]*Market_Data[[#This Row],[Avg Price per (₹ / m³)]]/10000000)</f>
        <v>7.4710000000000001</v>
      </c>
      <c r="O1223" s="97" t="str">
        <f>IF(Market_Data[[#This Row],[Estimated Concrete Demand (m³)]]="","",
IF(Market_Data[[#This Row],[Estimated Concrete Demand (m³)]]&lt;10000,"Small",
IF(Market_Data[[#This Row],[Estimated Concrete Demand (m³)]]&lt;25000,"Medium",
IF(Market_Data[[#This Row],[Estimated Concrete Demand (m³)]]&lt;100000,"Large","Mega"))))</f>
        <v>Medium</v>
      </c>
      <c r="P1223" s="287" t="str">
        <f t="shared" si="20"/>
        <v>GujRERA</v>
      </c>
    </row>
    <row r="1224" spans="1:16">
      <c r="A1224" s="129" t="str">
        <f>_xlfn.XLOOKUP(B1224,$S$9:$S$14,$T$9:$T$14)&amp;"-"&amp;
IF(E1224="Residential/Group Housing","RES",
IF(E1224="Commercial","COM",
IF(E1224="Mixed Development","MIX",
IF(E1224="Plotted Development","PLT","OTH"))))
&amp;"-"&amp;TEXT(COUNTIFS($B$9:B1224,B1224,$E$9:E1224,E1224),"0000")</f>
        <v>SUR-COM-0173</v>
      </c>
      <c r="B1224" s="322" t="s">
        <v>34</v>
      </c>
      <c r="C1224" s="322" t="s">
        <v>34</v>
      </c>
      <c r="D1224" s="323" t="s">
        <v>1414</v>
      </c>
      <c r="E1224" s="132" t="s">
        <v>23</v>
      </c>
      <c r="F1224" s="97" t="str">
        <f ca="1">IF(OR(Market_Data[[#This Row],[Start Date]]="",Market_Data[[#This Row],[Completion Date]]=""),"Needs Validation",IF(Market_Data[[#This Row],[Start Date]]&gt;TODAY(),"Planned",IF(Market_Data[[#This Row],[Completion Date]]&lt;TODAY(),"Completed","Ongoing")))</f>
        <v>Completed</v>
      </c>
      <c r="G1224" s="324">
        <v>42125</v>
      </c>
      <c r="H1224" s="324">
        <v>44255</v>
      </c>
      <c r="I1224" s="325">
        <v>15100</v>
      </c>
      <c r="J122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24" s="133">
        <f>_xlfn.XLOOKUP(Market_Data[[#This Row],[Project Type]],tbl_assumptions_market[Project Category (RERA)],tbl_assumptions_market[Concrete Intensity
(m³ / sq m BUA)],"",0)</f>
        <v>0.5</v>
      </c>
      <c r="L1224" s="134">
        <f>ROUND(Market_Data[[#This Row],[Estimated Built Up Area (sq m)]]*Market_Data[[#This Row],[Concrete Intensity
(m³ / sq m)]],0)</f>
        <v>7550</v>
      </c>
      <c r="M1224" s="135">
        <f>_xlfn.XLOOKUP(Market_Data[[#This Row],[District]],tbl_district_price[District],tbl_district_price[Standard Price
(INR/m³)],"",0)</f>
        <v>6200</v>
      </c>
      <c r="N1224" s="364">
        <f>IF(OR(Market_Data[[#This Row],[Estimated Concrete Demand (m³)]]="",Market_Data[[#This Row],[Avg Price per (₹ / m³)]]=""),"",Market_Data[[#This Row],[Estimated Concrete Demand (m³)]]*Market_Data[[#This Row],[Avg Price per (₹ / m³)]]/10000000)</f>
        <v>4.681</v>
      </c>
      <c r="O1224" s="97" t="str">
        <f>IF(Market_Data[[#This Row],[Estimated Concrete Demand (m³)]]="","",
IF(Market_Data[[#This Row],[Estimated Concrete Demand (m³)]]&lt;10000,"Small",
IF(Market_Data[[#This Row],[Estimated Concrete Demand (m³)]]&lt;25000,"Medium",
IF(Market_Data[[#This Row],[Estimated Concrete Demand (m³)]]&lt;100000,"Large","Mega"))))</f>
        <v>Small</v>
      </c>
      <c r="P1224" s="287" t="str">
        <f t="shared" si="20"/>
        <v>GujRERA</v>
      </c>
    </row>
    <row r="1225" spans="1:16">
      <c r="A1225" s="129" t="str">
        <f>_xlfn.XLOOKUP(B1225,$S$9:$S$14,$T$9:$T$14)&amp;"-"&amp;
IF(E1225="Residential/Group Housing","RES",
IF(E1225="Commercial","COM",
IF(E1225="Mixed Development","MIX",
IF(E1225="Plotted Development","PLT","OTH"))))
&amp;"-"&amp;TEXT(COUNTIFS($B$9:B1225,B1225,$E$9:E1225,E1225),"0000")</f>
        <v>SUR-RES-0330</v>
      </c>
      <c r="B1225" s="322" t="s">
        <v>34</v>
      </c>
      <c r="C1225" s="322" t="s">
        <v>34</v>
      </c>
      <c r="D1225" s="323" t="s">
        <v>1415</v>
      </c>
      <c r="E1225" s="132" t="s">
        <v>24</v>
      </c>
      <c r="F1225" s="97" t="str">
        <f ca="1">IF(OR(Market_Data[[#This Row],[Start Date]]="",Market_Data[[#This Row],[Completion Date]]=""),"Needs Validation",IF(Market_Data[[#This Row],[Start Date]]&gt;TODAY(),"Planned",IF(Market_Data[[#This Row],[Completion Date]]&lt;TODAY(),"Completed","Ongoing")))</f>
        <v>Completed</v>
      </c>
      <c r="G1225" s="324">
        <v>42644</v>
      </c>
      <c r="H1225" s="324">
        <v>44561</v>
      </c>
      <c r="I1225" s="325">
        <v>40100</v>
      </c>
      <c r="J122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25" s="133">
        <f>_xlfn.XLOOKUP(Market_Data[[#This Row],[Project Type]],tbl_assumptions_market[Project Category (RERA)],tbl_assumptions_market[Concrete Intensity
(m³ / sq m BUA)],"",0)</f>
        <v>0.45</v>
      </c>
      <c r="L1225" s="134">
        <f>ROUND(Market_Data[[#This Row],[Estimated Built Up Area (sq m)]]*Market_Data[[#This Row],[Concrete Intensity
(m³ / sq m)]],0)</f>
        <v>18045</v>
      </c>
      <c r="M1225" s="135">
        <f>_xlfn.XLOOKUP(Market_Data[[#This Row],[District]],tbl_district_price[District],tbl_district_price[Standard Price
(INR/m³)],"",0)</f>
        <v>6200</v>
      </c>
      <c r="N1225" s="364">
        <f>IF(OR(Market_Data[[#This Row],[Estimated Concrete Demand (m³)]]="",Market_Data[[#This Row],[Avg Price per (₹ / m³)]]=""),"",Market_Data[[#This Row],[Estimated Concrete Demand (m³)]]*Market_Data[[#This Row],[Avg Price per (₹ / m³)]]/10000000)</f>
        <v>11.187900000000001</v>
      </c>
      <c r="O1225" s="97" t="str">
        <f>IF(Market_Data[[#This Row],[Estimated Concrete Demand (m³)]]="","",
IF(Market_Data[[#This Row],[Estimated Concrete Demand (m³)]]&lt;10000,"Small",
IF(Market_Data[[#This Row],[Estimated Concrete Demand (m³)]]&lt;25000,"Medium",
IF(Market_Data[[#This Row],[Estimated Concrete Demand (m³)]]&lt;100000,"Large","Mega"))))</f>
        <v>Medium</v>
      </c>
      <c r="P1225" s="287" t="str">
        <f t="shared" si="20"/>
        <v>GujRERA</v>
      </c>
    </row>
    <row r="1226" spans="1:16">
      <c r="A1226" s="129" t="str">
        <f>_xlfn.XLOOKUP(B1226,$S$9:$S$14,$T$9:$T$14)&amp;"-"&amp;
IF(E1226="Residential/Group Housing","RES",
IF(E1226="Commercial","COM",
IF(E1226="Mixed Development","MIX",
IF(E1226="Plotted Development","PLT","OTH"))))
&amp;"-"&amp;TEXT(COUNTIFS($B$9:B1226,B1226,$E$9:E1226,E1226),"0000")</f>
        <v>SUR-RES-0331</v>
      </c>
      <c r="B1226" s="322" t="s">
        <v>34</v>
      </c>
      <c r="C1226" s="322" t="s">
        <v>34</v>
      </c>
      <c r="D1226" s="323" t="s">
        <v>1416</v>
      </c>
      <c r="E1226" s="132" t="s">
        <v>24</v>
      </c>
      <c r="F1226" s="97" t="str">
        <f ca="1">IF(OR(Market_Data[[#This Row],[Start Date]]="",Market_Data[[#This Row],[Completion Date]]=""),"Needs Validation",IF(Market_Data[[#This Row],[Start Date]]&gt;TODAY(),"Planned",IF(Market_Data[[#This Row],[Completion Date]]&lt;TODAY(),"Completed","Ongoing")))</f>
        <v>Ongoing</v>
      </c>
      <c r="G1226" s="324">
        <v>45033</v>
      </c>
      <c r="H1226" s="324">
        <v>47118</v>
      </c>
      <c r="I1226" s="325">
        <v>32100</v>
      </c>
      <c r="J122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26" s="133">
        <f>_xlfn.XLOOKUP(Market_Data[[#This Row],[Project Type]],tbl_assumptions_market[Project Category (RERA)],tbl_assumptions_market[Concrete Intensity
(m³ / sq m BUA)],"",0)</f>
        <v>0.45</v>
      </c>
      <c r="L1226" s="134">
        <f>ROUND(Market_Data[[#This Row],[Estimated Built Up Area (sq m)]]*Market_Data[[#This Row],[Concrete Intensity
(m³ / sq m)]],0)</f>
        <v>14445</v>
      </c>
      <c r="M1226" s="135">
        <f>_xlfn.XLOOKUP(Market_Data[[#This Row],[District]],tbl_district_price[District],tbl_district_price[Standard Price
(INR/m³)],"",0)</f>
        <v>6200</v>
      </c>
      <c r="N1226" s="364">
        <f>IF(OR(Market_Data[[#This Row],[Estimated Concrete Demand (m³)]]="",Market_Data[[#This Row],[Avg Price per (₹ / m³)]]=""),"",Market_Data[[#This Row],[Estimated Concrete Demand (m³)]]*Market_Data[[#This Row],[Avg Price per (₹ / m³)]]/10000000)</f>
        <v>8.9558999999999997</v>
      </c>
      <c r="O1226" s="97" t="str">
        <f>IF(Market_Data[[#This Row],[Estimated Concrete Demand (m³)]]="","",
IF(Market_Data[[#This Row],[Estimated Concrete Demand (m³)]]&lt;10000,"Small",
IF(Market_Data[[#This Row],[Estimated Concrete Demand (m³)]]&lt;25000,"Medium",
IF(Market_Data[[#This Row],[Estimated Concrete Demand (m³)]]&lt;100000,"Large","Mega"))))</f>
        <v>Medium</v>
      </c>
      <c r="P1226" s="287" t="str">
        <f t="shared" ref="P1226:P1289" si="21">HYPERLINK(
"https://gujrera.gujarat.gov.in",
"GujRERA")</f>
        <v>GujRERA</v>
      </c>
    </row>
    <row r="1227" spans="1:16">
      <c r="A1227" s="129" t="str">
        <f>_xlfn.XLOOKUP(B1227,$S$9:$S$14,$T$9:$T$14)&amp;"-"&amp;
IF(E1227="Residential/Group Housing","RES",
IF(E1227="Commercial","COM",
IF(E1227="Mixed Development","MIX",
IF(E1227="Plotted Development","PLT","OTH"))))
&amp;"-"&amp;TEXT(COUNTIFS($B$9:B1227,B1227,$E$9:E1227,E1227),"0000")</f>
        <v>SUR-RES-0332</v>
      </c>
      <c r="B1227" s="322" t="s">
        <v>34</v>
      </c>
      <c r="C1227" s="322" t="s">
        <v>34</v>
      </c>
      <c r="D1227" s="323" t="s">
        <v>1417</v>
      </c>
      <c r="E1227" s="132" t="s">
        <v>24</v>
      </c>
      <c r="F1227" s="97" t="str">
        <f ca="1">IF(OR(Market_Data[[#This Row],[Start Date]]="",Market_Data[[#This Row],[Completion Date]]=""),"Needs Validation",IF(Market_Data[[#This Row],[Start Date]]&gt;TODAY(),"Planned",IF(Market_Data[[#This Row],[Completion Date]]&lt;TODAY(),"Completed","Ongoing")))</f>
        <v>Completed</v>
      </c>
      <c r="G1227" s="324">
        <v>43073</v>
      </c>
      <c r="H1227" s="324">
        <v>44561</v>
      </c>
      <c r="I1227" s="325">
        <v>40900</v>
      </c>
      <c r="J122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27" s="133">
        <f>_xlfn.XLOOKUP(Market_Data[[#This Row],[Project Type]],tbl_assumptions_market[Project Category (RERA)],tbl_assumptions_market[Concrete Intensity
(m³ / sq m BUA)],"",0)</f>
        <v>0.45</v>
      </c>
      <c r="L1227" s="134">
        <f>ROUND(Market_Data[[#This Row],[Estimated Built Up Area (sq m)]]*Market_Data[[#This Row],[Concrete Intensity
(m³ / sq m)]],0)</f>
        <v>18405</v>
      </c>
      <c r="M1227" s="135">
        <f>_xlfn.XLOOKUP(Market_Data[[#This Row],[District]],tbl_district_price[District],tbl_district_price[Standard Price
(INR/m³)],"",0)</f>
        <v>6200</v>
      </c>
      <c r="N1227" s="364">
        <f>IF(OR(Market_Data[[#This Row],[Estimated Concrete Demand (m³)]]="",Market_Data[[#This Row],[Avg Price per (₹ / m³)]]=""),"",Market_Data[[#This Row],[Estimated Concrete Demand (m³)]]*Market_Data[[#This Row],[Avg Price per (₹ / m³)]]/10000000)</f>
        <v>11.411099999999999</v>
      </c>
      <c r="O1227" s="97" t="str">
        <f>IF(Market_Data[[#This Row],[Estimated Concrete Demand (m³)]]="","",
IF(Market_Data[[#This Row],[Estimated Concrete Demand (m³)]]&lt;10000,"Small",
IF(Market_Data[[#This Row],[Estimated Concrete Demand (m³)]]&lt;25000,"Medium",
IF(Market_Data[[#This Row],[Estimated Concrete Demand (m³)]]&lt;100000,"Large","Mega"))))</f>
        <v>Medium</v>
      </c>
      <c r="P1227" s="287" t="str">
        <f t="shared" si="21"/>
        <v>GujRERA</v>
      </c>
    </row>
    <row r="1228" spans="1:16">
      <c r="A1228" s="129" t="str">
        <f>_xlfn.XLOOKUP(B1228,$S$9:$S$14,$T$9:$T$14)&amp;"-"&amp;
IF(E1228="Residential/Group Housing","RES",
IF(E1228="Commercial","COM",
IF(E1228="Mixed Development","MIX",
IF(E1228="Plotted Development","PLT","OTH"))))
&amp;"-"&amp;TEXT(COUNTIFS($B$9:B1228,B1228,$E$9:E1228,E1228),"0000")</f>
        <v>SUR-RES-0333</v>
      </c>
      <c r="B1228" s="322" t="s">
        <v>34</v>
      </c>
      <c r="C1228" s="322" t="s">
        <v>34</v>
      </c>
      <c r="D1228" s="323" t="s">
        <v>1418</v>
      </c>
      <c r="E1228" s="132" t="s">
        <v>24</v>
      </c>
      <c r="F1228" s="97" t="str">
        <f ca="1">IF(OR(Market_Data[[#This Row],[Start Date]]="",Market_Data[[#This Row],[Completion Date]]=""),"Needs Validation",IF(Market_Data[[#This Row],[Start Date]]&gt;TODAY(),"Planned",IF(Market_Data[[#This Row],[Completion Date]]&lt;TODAY(),"Completed","Ongoing")))</f>
        <v>Completed</v>
      </c>
      <c r="G1228" s="324">
        <v>43497</v>
      </c>
      <c r="H1228" s="324">
        <v>45199</v>
      </c>
      <c r="I1228" s="325">
        <v>36700</v>
      </c>
      <c r="J122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28" s="133">
        <f>_xlfn.XLOOKUP(Market_Data[[#This Row],[Project Type]],tbl_assumptions_market[Project Category (RERA)],tbl_assumptions_market[Concrete Intensity
(m³ / sq m BUA)],"",0)</f>
        <v>0.45</v>
      </c>
      <c r="L1228" s="134">
        <f>ROUND(Market_Data[[#This Row],[Estimated Built Up Area (sq m)]]*Market_Data[[#This Row],[Concrete Intensity
(m³ / sq m)]],0)</f>
        <v>16515</v>
      </c>
      <c r="M1228" s="135">
        <f>_xlfn.XLOOKUP(Market_Data[[#This Row],[District]],tbl_district_price[District],tbl_district_price[Standard Price
(INR/m³)],"",0)</f>
        <v>6200</v>
      </c>
      <c r="N1228" s="364">
        <f>IF(OR(Market_Data[[#This Row],[Estimated Concrete Demand (m³)]]="",Market_Data[[#This Row],[Avg Price per (₹ / m³)]]=""),"",Market_Data[[#This Row],[Estimated Concrete Demand (m³)]]*Market_Data[[#This Row],[Avg Price per (₹ / m³)]]/10000000)</f>
        <v>10.2393</v>
      </c>
      <c r="O1228" s="97" t="str">
        <f>IF(Market_Data[[#This Row],[Estimated Concrete Demand (m³)]]="","",
IF(Market_Data[[#This Row],[Estimated Concrete Demand (m³)]]&lt;10000,"Small",
IF(Market_Data[[#This Row],[Estimated Concrete Demand (m³)]]&lt;25000,"Medium",
IF(Market_Data[[#This Row],[Estimated Concrete Demand (m³)]]&lt;100000,"Large","Mega"))))</f>
        <v>Medium</v>
      </c>
      <c r="P1228" s="287" t="str">
        <f t="shared" si="21"/>
        <v>GujRERA</v>
      </c>
    </row>
    <row r="1229" spans="1:16">
      <c r="A1229" s="129" t="str">
        <f>_xlfn.XLOOKUP(B1229,$S$9:$S$14,$T$9:$T$14)&amp;"-"&amp;
IF(E1229="Residential/Group Housing","RES",
IF(E1229="Commercial","COM",
IF(E1229="Mixed Development","MIX",
IF(E1229="Plotted Development","PLT","OTH"))))
&amp;"-"&amp;TEXT(COUNTIFS($B$9:B1229,B1229,$E$9:E1229,E1229),"0000")</f>
        <v>SUR-RES-0334</v>
      </c>
      <c r="B1229" s="322" t="s">
        <v>34</v>
      </c>
      <c r="C1229" s="322" t="s">
        <v>34</v>
      </c>
      <c r="D1229" s="323" t="s">
        <v>1419</v>
      </c>
      <c r="E1229" s="132" t="s">
        <v>24</v>
      </c>
      <c r="F1229" s="97" t="str">
        <f ca="1">IF(OR(Market_Data[[#This Row],[Start Date]]="",Market_Data[[#This Row],[Completion Date]]=""),"Needs Validation",IF(Market_Data[[#This Row],[Start Date]]&gt;TODAY(),"Planned",IF(Market_Data[[#This Row],[Completion Date]]&lt;TODAY(),"Completed","Ongoing")))</f>
        <v>Ongoing</v>
      </c>
      <c r="G1229" s="324">
        <v>45202</v>
      </c>
      <c r="H1229" s="324">
        <v>47483</v>
      </c>
      <c r="I1229" s="325">
        <v>16500</v>
      </c>
      <c r="J122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29" s="133">
        <f>_xlfn.XLOOKUP(Market_Data[[#This Row],[Project Type]],tbl_assumptions_market[Project Category (RERA)],tbl_assumptions_market[Concrete Intensity
(m³ / sq m BUA)],"",0)</f>
        <v>0.45</v>
      </c>
      <c r="L1229" s="134">
        <f>ROUND(Market_Data[[#This Row],[Estimated Built Up Area (sq m)]]*Market_Data[[#This Row],[Concrete Intensity
(m³ / sq m)]],0)</f>
        <v>7425</v>
      </c>
      <c r="M1229" s="135">
        <f>_xlfn.XLOOKUP(Market_Data[[#This Row],[District]],tbl_district_price[District],tbl_district_price[Standard Price
(INR/m³)],"",0)</f>
        <v>6200</v>
      </c>
      <c r="N1229" s="364">
        <f>IF(OR(Market_Data[[#This Row],[Estimated Concrete Demand (m³)]]="",Market_Data[[#This Row],[Avg Price per (₹ / m³)]]=""),"",Market_Data[[#This Row],[Estimated Concrete Demand (m³)]]*Market_Data[[#This Row],[Avg Price per (₹ / m³)]]/10000000)</f>
        <v>4.6035000000000004</v>
      </c>
      <c r="O1229" s="97" t="str">
        <f>IF(Market_Data[[#This Row],[Estimated Concrete Demand (m³)]]="","",
IF(Market_Data[[#This Row],[Estimated Concrete Demand (m³)]]&lt;10000,"Small",
IF(Market_Data[[#This Row],[Estimated Concrete Demand (m³)]]&lt;25000,"Medium",
IF(Market_Data[[#This Row],[Estimated Concrete Demand (m³)]]&lt;100000,"Large","Mega"))))</f>
        <v>Small</v>
      </c>
      <c r="P1229" s="287" t="str">
        <f t="shared" si="21"/>
        <v>GujRERA</v>
      </c>
    </row>
    <row r="1230" spans="1:16">
      <c r="A1230" s="129" t="str">
        <f>_xlfn.XLOOKUP(B1230,$S$9:$S$14,$T$9:$T$14)&amp;"-"&amp;
IF(E1230="Residential/Group Housing","RES",
IF(E1230="Commercial","COM",
IF(E1230="Mixed Development","MIX",
IF(E1230="Plotted Development","PLT","OTH"))))
&amp;"-"&amp;TEXT(COUNTIFS($B$9:B1230,B1230,$E$9:E1230,E1230),"0000")</f>
        <v>SUR-RES-0335</v>
      </c>
      <c r="B1230" s="322" t="s">
        <v>34</v>
      </c>
      <c r="C1230" s="322" t="s">
        <v>34</v>
      </c>
      <c r="D1230" s="323" t="s">
        <v>1420</v>
      </c>
      <c r="E1230" s="132" t="s">
        <v>24</v>
      </c>
      <c r="F1230" s="97" t="str">
        <f ca="1">IF(OR(Market_Data[[#This Row],[Start Date]]="",Market_Data[[#This Row],[Completion Date]]=""),"Needs Validation",IF(Market_Data[[#This Row],[Start Date]]&gt;TODAY(),"Planned",IF(Market_Data[[#This Row],[Completion Date]]&lt;TODAY(),"Completed","Ongoing")))</f>
        <v>Ongoing</v>
      </c>
      <c r="G1230" s="324">
        <v>45036</v>
      </c>
      <c r="H1230" s="324">
        <v>46843</v>
      </c>
      <c r="I1230" s="325">
        <v>46700</v>
      </c>
      <c r="J123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30" s="133">
        <f>_xlfn.XLOOKUP(Market_Data[[#This Row],[Project Type]],tbl_assumptions_market[Project Category (RERA)],tbl_assumptions_market[Concrete Intensity
(m³ / sq m BUA)],"",0)</f>
        <v>0.45</v>
      </c>
      <c r="L1230" s="134">
        <f>ROUND(Market_Data[[#This Row],[Estimated Built Up Area (sq m)]]*Market_Data[[#This Row],[Concrete Intensity
(m³ / sq m)]],0)</f>
        <v>21015</v>
      </c>
      <c r="M1230" s="135">
        <f>_xlfn.XLOOKUP(Market_Data[[#This Row],[District]],tbl_district_price[District],tbl_district_price[Standard Price
(INR/m³)],"",0)</f>
        <v>6200</v>
      </c>
      <c r="N1230" s="364">
        <f>IF(OR(Market_Data[[#This Row],[Estimated Concrete Demand (m³)]]="",Market_Data[[#This Row],[Avg Price per (₹ / m³)]]=""),"",Market_Data[[#This Row],[Estimated Concrete Demand (m³)]]*Market_Data[[#This Row],[Avg Price per (₹ / m³)]]/10000000)</f>
        <v>13.029299999999999</v>
      </c>
      <c r="O1230" s="97" t="str">
        <f>IF(Market_Data[[#This Row],[Estimated Concrete Demand (m³)]]="","",
IF(Market_Data[[#This Row],[Estimated Concrete Demand (m³)]]&lt;10000,"Small",
IF(Market_Data[[#This Row],[Estimated Concrete Demand (m³)]]&lt;25000,"Medium",
IF(Market_Data[[#This Row],[Estimated Concrete Demand (m³)]]&lt;100000,"Large","Mega"))))</f>
        <v>Medium</v>
      </c>
      <c r="P1230" s="287" t="str">
        <f t="shared" si="21"/>
        <v>GujRERA</v>
      </c>
    </row>
    <row r="1231" spans="1:16">
      <c r="A1231" s="129" t="str">
        <f>_xlfn.XLOOKUP(B1231,$S$9:$S$14,$T$9:$T$14)&amp;"-"&amp;
IF(E1231="Residential/Group Housing","RES",
IF(E1231="Commercial","COM",
IF(E1231="Mixed Development","MIX",
IF(E1231="Plotted Development","PLT","OTH"))))
&amp;"-"&amp;TEXT(COUNTIFS($B$9:B1231,B1231,$E$9:E1231,E1231),"0000")</f>
        <v>SUR-PLT-0235</v>
      </c>
      <c r="B1231" s="322" t="s">
        <v>34</v>
      </c>
      <c r="C1231" s="322" t="s">
        <v>34</v>
      </c>
      <c r="D1231" s="323" t="s">
        <v>1421</v>
      </c>
      <c r="E1231" s="132" t="s">
        <v>26</v>
      </c>
      <c r="F1231" s="97" t="str">
        <f ca="1">IF(OR(Market_Data[[#This Row],[Start Date]]="",Market_Data[[#This Row],[Completion Date]]=""),"Needs Validation",IF(Market_Data[[#This Row],[Start Date]]&gt;TODAY(),"Planned",IF(Market_Data[[#This Row],[Completion Date]]&lt;TODAY(),"Completed","Ongoing")))</f>
        <v>Ongoing</v>
      </c>
      <c r="G1231" s="324">
        <v>45273</v>
      </c>
      <c r="H1231" s="324">
        <v>46387</v>
      </c>
      <c r="I1231" s="325">
        <v>14300</v>
      </c>
      <c r="J123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31" s="133">
        <f>_xlfn.XLOOKUP(Market_Data[[#This Row],[Project Type]],tbl_assumptions_market[Project Category (RERA)],tbl_assumptions_market[Concrete Intensity
(m³ / sq m BUA)],"",0)</f>
        <v>0.18</v>
      </c>
      <c r="L1231" s="134">
        <f>ROUND(Market_Data[[#This Row],[Estimated Built Up Area (sq m)]]*Market_Data[[#This Row],[Concrete Intensity
(m³ / sq m)]],0)</f>
        <v>2574</v>
      </c>
      <c r="M1231" s="135">
        <f>_xlfn.XLOOKUP(Market_Data[[#This Row],[District]],tbl_district_price[District],tbl_district_price[Standard Price
(INR/m³)],"",0)</f>
        <v>6200</v>
      </c>
      <c r="N1231" s="364">
        <f>IF(OR(Market_Data[[#This Row],[Estimated Concrete Demand (m³)]]="",Market_Data[[#This Row],[Avg Price per (₹ / m³)]]=""),"",Market_Data[[#This Row],[Estimated Concrete Demand (m³)]]*Market_Data[[#This Row],[Avg Price per (₹ / m³)]]/10000000)</f>
        <v>1.59588</v>
      </c>
      <c r="O1231" s="97" t="str">
        <f>IF(Market_Data[[#This Row],[Estimated Concrete Demand (m³)]]="","",
IF(Market_Data[[#This Row],[Estimated Concrete Demand (m³)]]&lt;10000,"Small",
IF(Market_Data[[#This Row],[Estimated Concrete Demand (m³)]]&lt;25000,"Medium",
IF(Market_Data[[#This Row],[Estimated Concrete Demand (m³)]]&lt;100000,"Large","Mega"))))</f>
        <v>Small</v>
      </c>
      <c r="P1231" s="287" t="str">
        <f t="shared" si="21"/>
        <v>GujRERA</v>
      </c>
    </row>
    <row r="1232" spans="1:16">
      <c r="A1232" s="129" t="str">
        <f>_xlfn.XLOOKUP(B1232,$S$9:$S$14,$T$9:$T$14)&amp;"-"&amp;
IF(E1232="Residential/Group Housing","RES",
IF(E1232="Commercial","COM",
IF(E1232="Mixed Development","MIX",
IF(E1232="Plotted Development","PLT","OTH"))))
&amp;"-"&amp;TEXT(COUNTIFS($B$9:B1232,B1232,$E$9:E1232,E1232),"0000")</f>
        <v>SUR-RES-0336</v>
      </c>
      <c r="B1232" s="322" t="s">
        <v>34</v>
      </c>
      <c r="C1232" s="322" t="s">
        <v>34</v>
      </c>
      <c r="D1232" s="323" t="s">
        <v>1422</v>
      </c>
      <c r="E1232" s="132" t="s">
        <v>24</v>
      </c>
      <c r="F1232" s="97" t="str">
        <f ca="1">IF(OR(Market_Data[[#This Row],[Start Date]]="",Market_Data[[#This Row],[Completion Date]]=""),"Needs Validation",IF(Market_Data[[#This Row],[Start Date]]&gt;TODAY(),"Planned",IF(Market_Data[[#This Row],[Completion Date]]&lt;TODAY(),"Completed","Ongoing")))</f>
        <v>Completed</v>
      </c>
      <c r="G1232" s="324">
        <v>41907</v>
      </c>
      <c r="H1232" s="324">
        <v>44285</v>
      </c>
      <c r="I1232" s="325">
        <v>59000</v>
      </c>
      <c r="J123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32" s="133">
        <f>_xlfn.XLOOKUP(Market_Data[[#This Row],[Project Type]],tbl_assumptions_market[Project Category (RERA)],tbl_assumptions_market[Concrete Intensity
(m³ / sq m BUA)],"",0)</f>
        <v>0.45</v>
      </c>
      <c r="L1232" s="134">
        <f>ROUND(Market_Data[[#This Row],[Estimated Built Up Area (sq m)]]*Market_Data[[#This Row],[Concrete Intensity
(m³ / sq m)]],0)</f>
        <v>26550</v>
      </c>
      <c r="M1232" s="135">
        <f>_xlfn.XLOOKUP(Market_Data[[#This Row],[District]],tbl_district_price[District],tbl_district_price[Standard Price
(INR/m³)],"",0)</f>
        <v>6200</v>
      </c>
      <c r="N1232" s="364">
        <f>IF(OR(Market_Data[[#This Row],[Estimated Concrete Demand (m³)]]="",Market_Data[[#This Row],[Avg Price per (₹ / m³)]]=""),"",Market_Data[[#This Row],[Estimated Concrete Demand (m³)]]*Market_Data[[#This Row],[Avg Price per (₹ / m³)]]/10000000)</f>
        <v>16.460999999999999</v>
      </c>
      <c r="O1232" s="97" t="str">
        <f>IF(Market_Data[[#This Row],[Estimated Concrete Demand (m³)]]="","",
IF(Market_Data[[#This Row],[Estimated Concrete Demand (m³)]]&lt;10000,"Small",
IF(Market_Data[[#This Row],[Estimated Concrete Demand (m³)]]&lt;25000,"Medium",
IF(Market_Data[[#This Row],[Estimated Concrete Demand (m³)]]&lt;100000,"Large","Mega"))))</f>
        <v>Large</v>
      </c>
      <c r="P1232" s="287" t="str">
        <f t="shared" si="21"/>
        <v>GujRERA</v>
      </c>
    </row>
    <row r="1233" spans="1:16">
      <c r="A1233" s="129" t="str">
        <f>_xlfn.XLOOKUP(B1233,$S$9:$S$14,$T$9:$T$14)&amp;"-"&amp;
IF(E1233="Residential/Group Housing","RES",
IF(E1233="Commercial","COM",
IF(E1233="Mixed Development","MIX",
IF(E1233="Plotted Development","PLT","OTH"))))
&amp;"-"&amp;TEXT(COUNTIFS($B$9:B1233,B1233,$E$9:E1233,E1233),"0000")</f>
        <v>SUR-COM-0174</v>
      </c>
      <c r="B1233" s="322" t="s">
        <v>34</v>
      </c>
      <c r="C1233" s="322" t="s">
        <v>34</v>
      </c>
      <c r="D1233" s="323" t="s">
        <v>1423</v>
      </c>
      <c r="E1233" s="132" t="s">
        <v>23</v>
      </c>
      <c r="F1233" s="97" t="str">
        <f ca="1">IF(OR(Market_Data[[#This Row],[Start Date]]="",Market_Data[[#This Row],[Completion Date]]=""),"Needs Validation",IF(Market_Data[[#This Row],[Start Date]]&gt;TODAY(),"Planned",IF(Market_Data[[#This Row],[Completion Date]]&lt;TODAY(),"Completed","Ongoing")))</f>
        <v>Completed</v>
      </c>
      <c r="G1233" s="324">
        <v>43271</v>
      </c>
      <c r="H1233" s="324">
        <v>45281</v>
      </c>
      <c r="I1233" s="325">
        <v>15700</v>
      </c>
      <c r="J123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33" s="133">
        <f>_xlfn.XLOOKUP(Market_Data[[#This Row],[Project Type]],tbl_assumptions_market[Project Category (RERA)],tbl_assumptions_market[Concrete Intensity
(m³ / sq m BUA)],"",0)</f>
        <v>0.5</v>
      </c>
      <c r="L1233" s="134">
        <f>ROUND(Market_Data[[#This Row],[Estimated Built Up Area (sq m)]]*Market_Data[[#This Row],[Concrete Intensity
(m³ / sq m)]],0)</f>
        <v>7850</v>
      </c>
      <c r="M1233" s="135">
        <f>_xlfn.XLOOKUP(Market_Data[[#This Row],[District]],tbl_district_price[District],tbl_district_price[Standard Price
(INR/m³)],"",0)</f>
        <v>6200</v>
      </c>
      <c r="N1233" s="364">
        <f>IF(OR(Market_Data[[#This Row],[Estimated Concrete Demand (m³)]]="",Market_Data[[#This Row],[Avg Price per (₹ / m³)]]=""),"",Market_Data[[#This Row],[Estimated Concrete Demand (m³)]]*Market_Data[[#This Row],[Avg Price per (₹ / m³)]]/10000000)</f>
        <v>4.867</v>
      </c>
      <c r="O1233" s="97" t="str">
        <f>IF(Market_Data[[#This Row],[Estimated Concrete Demand (m³)]]="","",
IF(Market_Data[[#This Row],[Estimated Concrete Demand (m³)]]&lt;10000,"Small",
IF(Market_Data[[#This Row],[Estimated Concrete Demand (m³)]]&lt;25000,"Medium",
IF(Market_Data[[#This Row],[Estimated Concrete Demand (m³)]]&lt;100000,"Large","Mega"))))</f>
        <v>Small</v>
      </c>
      <c r="P1233" s="287" t="str">
        <f t="shared" si="21"/>
        <v>GujRERA</v>
      </c>
    </row>
    <row r="1234" spans="1:16">
      <c r="A1234" s="129" t="str">
        <f>_xlfn.XLOOKUP(B1234,$S$9:$S$14,$T$9:$T$14)&amp;"-"&amp;
IF(E1234="Residential/Group Housing","RES",
IF(E1234="Commercial","COM",
IF(E1234="Mixed Development","MIX",
IF(E1234="Plotted Development","PLT","OTH"))))
&amp;"-"&amp;TEXT(COUNTIFS($B$9:B1234,B1234,$E$9:E1234,E1234),"0000")</f>
        <v>SUR-COM-0175</v>
      </c>
      <c r="B1234" s="322" t="s">
        <v>34</v>
      </c>
      <c r="C1234" s="322" t="s">
        <v>34</v>
      </c>
      <c r="D1234" s="323" t="s">
        <v>1424</v>
      </c>
      <c r="E1234" s="132" t="s">
        <v>23</v>
      </c>
      <c r="F1234" s="97" t="str">
        <f ca="1">IF(OR(Market_Data[[#This Row],[Start Date]]="",Market_Data[[#This Row],[Completion Date]]=""),"Needs Validation",IF(Market_Data[[#This Row],[Start Date]]&gt;TODAY(),"Planned",IF(Market_Data[[#This Row],[Completion Date]]&lt;TODAY(),"Completed","Ongoing")))</f>
        <v>Completed</v>
      </c>
      <c r="G1234" s="324">
        <v>42461</v>
      </c>
      <c r="H1234" s="324">
        <v>44104</v>
      </c>
      <c r="I1234" s="325">
        <v>11700</v>
      </c>
      <c r="J123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34" s="133">
        <f>_xlfn.XLOOKUP(Market_Data[[#This Row],[Project Type]],tbl_assumptions_market[Project Category (RERA)],tbl_assumptions_market[Concrete Intensity
(m³ / sq m BUA)],"",0)</f>
        <v>0.5</v>
      </c>
      <c r="L1234" s="134">
        <f>ROUND(Market_Data[[#This Row],[Estimated Built Up Area (sq m)]]*Market_Data[[#This Row],[Concrete Intensity
(m³ / sq m)]],0)</f>
        <v>5850</v>
      </c>
      <c r="M1234" s="135">
        <f>_xlfn.XLOOKUP(Market_Data[[#This Row],[District]],tbl_district_price[District],tbl_district_price[Standard Price
(INR/m³)],"",0)</f>
        <v>6200</v>
      </c>
      <c r="N1234" s="364">
        <f>IF(OR(Market_Data[[#This Row],[Estimated Concrete Demand (m³)]]="",Market_Data[[#This Row],[Avg Price per (₹ / m³)]]=""),"",Market_Data[[#This Row],[Estimated Concrete Demand (m³)]]*Market_Data[[#This Row],[Avg Price per (₹ / m³)]]/10000000)</f>
        <v>3.6269999999999998</v>
      </c>
      <c r="O1234" s="97" t="str">
        <f>IF(Market_Data[[#This Row],[Estimated Concrete Demand (m³)]]="","",
IF(Market_Data[[#This Row],[Estimated Concrete Demand (m³)]]&lt;10000,"Small",
IF(Market_Data[[#This Row],[Estimated Concrete Demand (m³)]]&lt;25000,"Medium",
IF(Market_Data[[#This Row],[Estimated Concrete Demand (m³)]]&lt;100000,"Large","Mega"))))</f>
        <v>Small</v>
      </c>
      <c r="P1234" s="287" t="str">
        <f t="shared" si="21"/>
        <v>GujRERA</v>
      </c>
    </row>
    <row r="1235" spans="1:16">
      <c r="A1235" s="129" t="str">
        <f>_xlfn.XLOOKUP(B1235,$S$9:$S$14,$T$9:$T$14)&amp;"-"&amp;
IF(E1235="Residential/Group Housing","RES",
IF(E1235="Commercial","COM",
IF(E1235="Mixed Development","MIX",
IF(E1235="Plotted Development","PLT","OTH"))))
&amp;"-"&amp;TEXT(COUNTIFS($B$9:B1235,B1235,$E$9:E1235,E1235),"0000")</f>
        <v>SUR-COM-0176</v>
      </c>
      <c r="B1235" s="322" t="s">
        <v>34</v>
      </c>
      <c r="C1235" s="322" t="s">
        <v>34</v>
      </c>
      <c r="D1235" s="323" t="s">
        <v>1425</v>
      </c>
      <c r="E1235" s="132" t="s">
        <v>23</v>
      </c>
      <c r="F1235" s="97" t="str">
        <f ca="1">IF(OR(Market_Data[[#This Row],[Start Date]]="",Market_Data[[#This Row],[Completion Date]]=""),"Needs Validation",IF(Market_Data[[#This Row],[Start Date]]&gt;TODAY(),"Planned",IF(Market_Data[[#This Row],[Completion Date]]&lt;TODAY(),"Completed","Ongoing")))</f>
        <v>Completed</v>
      </c>
      <c r="G1235" s="324">
        <v>42697</v>
      </c>
      <c r="H1235" s="324">
        <v>43830</v>
      </c>
      <c r="I1235" s="325">
        <v>11300</v>
      </c>
      <c r="J123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35" s="133">
        <f>_xlfn.XLOOKUP(Market_Data[[#This Row],[Project Type]],tbl_assumptions_market[Project Category (RERA)],tbl_assumptions_market[Concrete Intensity
(m³ / sq m BUA)],"",0)</f>
        <v>0.5</v>
      </c>
      <c r="L1235" s="134">
        <f>ROUND(Market_Data[[#This Row],[Estimated Built Up Area (sq m)]]*Market_Data[[#This Row],[Concrete Intensity
(m³ / sq m)]],0)</f>
        <v>5650</v>
      </c>
      <c r="M1235" s="135">
        <f>_xlfn.XLOOKUP(Market_Data[[#This Row],[District]],tbl_district_price[District],tbl_district_price[Standard Price
(INR/m³)],"",0)</f>
        <v>6200</v>
      </c>
      <c r="N1235" s="364">
        <f>IF(OR(Market_Data[[#This Row],[Estimated Concrete Demand (m³)]]="",Market_Data[[#This Row],[Avg Price per (₹ / m³)]]=""),"",Market_Data[[#This Row],[Estimated Concrete Demand (m³)]]*Market_Data[[#This Row],[Avg Price per (₹ / m³)]]/10000000)</f>
        <v>3.5030000000000001</v>
      </c>
      <c r="O1235" s="97" t="str">
        <f>IF(Market_Data[[#This Row],[Estimated Concrete Demand (m³)]]="","",
IF(Market_Data[[#This Row],[Estimated Concrete Demand (m³)]]&lt;10000,"Small",
IF(Market_Data[[#This Row],[Estimated Concrete Demand (m³)]]&lt;25000,"Medium",
IF(Market_Data[[#This Row],[Estimated Concrete Demand (m³)]]&lt;100000,"Large","Mega"))))</f>
        <v>Small</v>
      </c>
      <c r="P1235" s="287" t="str">
        <f t="shared" si="21"/>
        <v>GujRERA</v>
      </c>
    </row>
    <row r="1236" spans="1:16">
      <c r="A1236" s="129" t="str">
        <f>_xlfn.XLOOKUP(B1236,$S$9:$S$14,$T$9:$T$14)&amp;"-"&amp;
IF(E1236="Residential/Group Housing","RES",
IF(E1236="Commercial","COM",
IF(E1236="Mixed Development","MIX",
IF(E1236="Plotted Development","PLT","OTH"))))
&amp;"-"&amp;TEXT(COUNTIFS($B$9:B1236,B1236,$E$9:E1236,E1236),"0000")</f>
        <v>SUR-RES-0337</v>
      </c>
      <c r="B1236" s="322" t="s">
        <v>34</v>
      </c>
      <c r="C1236" s="322" t="s">
        <v>34</v>
      </c>
      <c r="D1236" s="323" t="s">
        <v>1426</v>
      </c>
      <c r="E1236" s="132" t="s">
        <v>24</v>
      </c>
      <c r="F1236" s="97" t="str">
        <f ca="1">IF(OR(Market_Data[[#This Row],[Start Date]]="",Market_Data[[#This Row],[Completion Date]]=""),"Needs Validation",IF(Market_Data[[#This Row],[Start Date]]&gt;TODAY(),"Planned",IF(Market_Data[[#This Row],[Completion Date]]&lt;TODAY(),"Completed","Ongoing")))</f>
        <v>Completed</v>
      </c>
      <c r="G1236" s="324">
        <v>42963</v>
      </c>
      <c r="H1236" s="324">
        <v>44607</v>
      </c>
      <c r="I1236" s="325">
        <v>17500</v>
      </c>
      <c r="J123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36" s="133">
        <f>_xlfn.XLOOKUP(Market_Data[[#This Row],[Project Type]],tbl_assumptions_market[Project Category (RERA)],tbl_assumptions_market[Concrete Intensity
(m³ / sq m BUA)],"",0)</f>
        <v>0.45</v>
      </c>
      <c r="L1236" s="134">
        <f>ROUND(Market_Data[[#This Row],[Estimated Built Up Area (sq m)]]*Market_Data[[#This Row],[Concrete Intensity
(m³ / sq m)]],0)</f>
        <v>7875</v>
      </c>
      <c r="M1236" s="135">
        <f>_xlfn.XLOOKUP(Market_Data[[#This Row],[District]],tbl_district_price[District],tbl_district_price[Standard Price
(INR/m³)],"",0)</f>
        <v>6200</v>
      </c>
      <c r="N1236" s="364">
        <f>IF(OR(Market_Data[[#This Row],[Estimated Concrete Demand (m³)]]="",Market_Data[[#This Row],[Avg Price per (₹ / m³)]]=""),"",Market_Data[[#This Row],[Estimated Concrete Demand (m³)]]*Market_Data[[#This Row],[Avg Price per (₹ / m³)]]/10000000)</f>
        <v>4.8825000000000003</v>
      </c>
      <c r="O1236" s="97" t="str">
        <f>IF(Market_Data[[#This Row],[Estimated Concrete Demand (m³)]]="","",
IF(Market_Data[[#This Row],[Estimated Concrete Demand (m³)]]&lt;10000,"Small",
IF(Market_Data[[#This Row],[Estimated Concrete Demand (m³)]]&lt;25000,"Medium",
IF(Market_Data[[#This Row],[Estimated Concrete Demand (m³)]]&lt;100000,"Large","Mega"))))</f>
        <v>Small</v>
      </c>
      <c r="P1236" s="287" t="str">
        <f t="shared" si="21"/>
        <v>GujRERA</v>
      </c>
    </row>
    <row r="1237" spans="1:16">
      <c r="A1237" s="129" t="str">
        <f>_xlfn.XLOOKUP(B1237,$S$9:$S$14,$T$9:$T$14)&amp;"-"&amp;
IF(E1237="Residential/Group Housing","RES",
IF(E1237="Commercial","COM",
IF(E1237="Mixed Development","MIX",
IF(E1237="Plotted Development","PLT","OTH"))))
&amp;"-"&amp;TEXT(COUNTIFS($B$9:B1237,B1237,$E$9:E1237,E1237),"0000")</f>
        <v>SUR-RES-0338</v>
      </c>
      <c r="B1237" s="322" t="s">
        <v>34</v>
      </c>
      <c r="C1237" s="322" t="s">
        <v>34</v>
      </c>
      <c r="D1237" s="323" t="s">
        <v>1427</v>
      </c>
      <c r="E1237" s="132" t="s">
        <v>24</v>
      </c>
      <c r="F1237" s="97" t="str">
        <f ca="1">IF(OR(Market_Data[[#This Row],[Start Date]]="",Market_Data[[#This Row],[Completion Date]]=""),"Needs Validation",IF(Market_Data[[#This Row],[Start Date]]&gt;TODAY(),"Planned",IF(Market_Data[[#This Row],[Completion Date]]&lt;TODAY(),"Completed","Ongoing")))</f>
        <v>Ongoing</v>
      </c>
      <c r="G1237" s="324">
        <v>45627</v>
      </c>
      <c r="H1237" s="324">
        <v>47360</v>
      </c>
      <c r="I1237" s="325">
        <v>45600</v>
      </c>
      <c r="J123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37" s="133">
        <f>_xlfn.XLOOKUP(Market_Data[[#This Row],[Project Type]],tbl_assumptions_market[Project Category (RERA)],tbl_assumptions_market[Concrete Intensity
(m³ / sq m BUA)],"",0)</f>
        <v>0.45</v>
      </c>
      <c r="L1237" s="134">
        <f>ROUND(Market_Data[[#This Row],[Estimated Built Up Area (sq m)]]*Market_Data[[#This Row],[Concrete Intensity
(m³ / sq m)]],0)</f>
        <v>20520</v>
      </c>
      <c r="M1237" s="135">
        <f>_xlfn.XLOOKUP(Market_Data[[#This Row],[District]],tbl_district_price[District],tbl_district_price[Standard Price
(INR/m³)],"",0)</f>
        <v>6200</v>
      </c>
      <c r="N1237" s="364">
        <f>IF(OR(Market_Data[[#This Row],[Estimated Concrete Demand (m³)]]="",Market_Data[[#This Row],[Avg Price per (₹ / m³)]]=""),"",Market_Data[[#This Row],[Estimated Concrete Demand (m³)]]*Market_Data[[#This Row],[Avg Price per (₹ / m³)]]/10000000)</f>
        <v>12.7224</v>
      </c>
      <c r="O1237" s="97" t="str">
        <f>IF(Market_Data[[#This Row],[Estimated Concrete Demand (m³)]]="","",
IF(Market_Data[[#This Row],[Estimated Concrete Demand (m³)]]&lt;10000,"Small",
IF(Market_Data[[#This Row],[Estimated Concrete Demand (m³)]]&lt;25000,"Medium",
IF(Market_Data[[#This Row],[Estimated Concrete Demand (m³)]]&lt;100000,"Large","Mega"))))</f>
        <v>Medium</v>
      </c>
      <c r="P1237" s="287" t="str">
        <f t="shared" si="21"/>
        <v>GujRERA</v>
      </c>
    </row>
    <row r="1238" spans="1:16">
      <c r="A1238" s="129" t="str">
        <f>_xlfn.XLOOKUP(B1238,$S$9:$S$14,$T$9:$T$14)&amp;"-"&amp;
IF(E1238="Residential/Group Housing","RES",
IF(E1238="Commercial","COM",
IF(E1238="Mixed Development","MIX",
IF(E1238="Plotted Development","PLT","OTH"))))
&amp;"-"&amp;TEXT(COUNTIFS($B$9:B1238,B1238,$E$9:E1238,E1238),"0000")</f>
        <v>SUR-COM-0177</v>
      </c>
      <c r="B1238" s="322" t="s">
        <v>34</v>
      </c>
      <c r="C1238" s="322" t="s">
        <v>34</v>
      </c>
      <c r="D1238" s="323" t="s">
        <v>1428</v>
      </c>
      <c r="E1238" s="132" t="s">
        <v>23</v>
      </c>
      <c r="F1238" s="97" t="str">
        <f ca="1">IF(OR(Market_Data[[#This Row],[Start Date]]="",Market_Data[[#This Row],[Completion Date]]=""),"Needs Validation",IF(Market_Data[[#This Row],[Start Date]]&gt;TODAY(),"Planned",IF(Market_Data[[#This Row],[Completion Date]]&lt;TODAY(),"Completed","Ongoing")))</f>
        <v>Completed</v>
      </c>
      <c r="G1238" s="324">
        <v>42098</v>
      </c>
      <c r="H1238" s="324">
        <v>43404</v>
      </c>
      <c r="I1238" s="325">
        <v>57800</v>
      </c>
      <c r="J123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238" s="133">
        <f>_xlfn.XLOOKUP(Market_Data[[#This Row],[Project Type]],tbl_assumptions_market[Project Category (RERA)],tbl_assumptions_market[Concrete Intensity
(m³ / sq m BUA)],"",0)</f>
        <v>0.5</v>
      </c>
      <c r="L1238" s="134">
        <f>ROUND(Market_Data[[#This Row],[Estimated Built Up Area (sq m)]]*Market_Data[[#This Row],[Concrete Intensity
(m³ / sq m)]],0)</f>
        <v>28900</v>
      </c>
      <c r="M1238" s="135">
        <f>_xlfn.XLOOKUP(Market_Data[[#This Row],[District]],tbl_district_price[District],tbl_district_price[Standard Price
(INR/m³)],"",0)</f>
        <v>6200</v>
      </c>
      <c r="N1238" s="364">
        <f>IF(OR(Market_Data[[#This Row],[Estimated Concrete Demand (m³)]]="",Market_Data[[#This Row],[Avg Price per (₹ / m³)]]=""),"",Market_Data[[#This Row],[Estimated Concrete Demand (m³)]]*Market_Data[[#This Row],[Avg Price per (₹ / m³)]]/10000000)</f>
        <v>17.917999999999999</v>
      </c>
      <c r="O1238" s="97" t="str">
        <f>IF(Market_Data[[#This Row],[Estimated Concrete Demand (m³)]]="","",
IF(Market_Data[[#This Row],[Estimated Concrete Demand (m³)]]&lt;10000,"Small",
IF(Market_Data[[#This Row],[Estimated Concrete Demand (m³)]]&lt;25000,"Medium",
IF(Market_Data[[#This Row],[Estimated Concrete Demand (m³)]]&lt;100000,"Large","Mega"))))</f>
        <v>Large</v>
      </c>
      <c r="P1238" s="287" t="str">
        <f t="shared" si="21"/>
        <v>GujRERA</v>
      </c>
    </row>
    <row r="1239" spans="1:16">
      <c r="A1239" s="129" t="str">
        <f>_xlfn.XLOOKUP(B1239,$S$9:$S$14,$T$9:$T$14)&amp;"-"&amp;
IF(E1239="Residential/Group Housing","RES",
IF(E1239="Commercial","COM",
IF(E1239="Mixed Development","MIX",
IF(E1239="Plotted Development","PLT","OTH"))))
&amp;"-"&amp;TEXT(COUNTIFS($B$9:B1239,B1239,$E$9:E1239,E1239),"0000")</f>
        <v>SUR-COM-0178</v>
      </c>
      <c r="B1239" s="322" t="s">
        <v>34</v>
      </c>
      <c r="C1239" s="322" t="s">
        <v>34</v>
      </c>
      <c r="D1239" s="323" t="s">
        <v>1429</v>
      </c>
      <c r="E1239" s="132" t="s">
        <v>23</v>
      </c>
      <c r="F1239" s="97" t="str">
        <f ca="1">IF(OR(Market_Data[[#This Row],[Start Date]]="",Market_Data[[#This Row],[Completion Date]]=""),"Needs Validation",IF(Market_Data[[#This Row],[Start Date]]&gt;TODAY(),"Planned",IF(Market_Data[[#This Row],[Completion Date]]&lt;TODAY(),"Completed","Ongoing")))</f>
        <v>Completed</v>
      </c>
      <c r="G1239" s="324">
        <v>42644</v>
      </c>
      <c r="H1239" s="324">
        <v>44255</v>
      </c>
      <c r="I1239" s="325">
        <v>33500</v>
      </c>
      <c r="J123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239" s="133">
        <f>_xlfn.XLOOKUP(Market_Data[[#This Row],[Project Type]],tbl_assumptions_market[Project Category (RERA)],tbl_assumptions_market[Concrete Intensity
(m³ / sq m BUA)],"",0)</f>
        <v>0.5</v>
      </c>
      <c r="L1239" s="134">
        <f>ROUND(Market_Data[[#This Row],[Estimated Built Up Area (sq m)]]*Market_Data[[#This Row],[Concrete Intensity
(m³ / sq m)]],0)</f>
        <v>16750</v>
      </c>
      <c r="M1239" s="135">
        <f>_xlfn.XLOOKUP(Market_Data[[#This Row],[District]],tbl_district_price[District],tbl_district_price[Standard Price
(INR/m³)],"",0)</f>
        <v>6200</v>
      </c>
      <c r="N1239" s="364">
        <f>IF(OR(Market_Data[[#This Row],[Estimated Concrete Demand (m³)]]="",Market_Data[[#This Row],[Avg Price per (₹ / m³)]]=""),"",Market_Data[[#This Row],[Estimated Concrete Demand (m³)]]*Market_Data[[#This Row],[Avg Price per (₹ / m³)]]/10000000)</f>
        <v>10.385</v>
      </c>
      <c r="O1239" s="97" t="str">
        <f>IF(Market_Data[[#This Row],[Estimated Concrete Demand (m³)]]="","",
IF(Market_Data[[#This Row],[Estimated Concrete Demand (m³)]]&lt;10000,"Small",
IF(Market_Data[[#This Row],[Estimated Concrete Demand (m³)]]&lt;25000,"Medium",
IF(Market_Data[[#This Row],[Estimated Concrete Demand (m³)]]&lt;100000,"Large","Mega"))))</f>
        <v>Medium</v>
      </c>
      <c r="P1239" s="287" t="str">
        <f t="shared" si="21"/>
        <v>GujRERA</v>
      </c>
    </row>
    <row r="1240" spans="1:16">
      <c r="A1240" s="129" t="str">
        <f>_xlfn.XLOOKUP(B1240,$S$9:$S$14,$T$9:$T$14)&amp;"-"&amp;
IF(E1240="Residential/Group Housing","RES",
IF(E1240="Commercial","COM",
IF(E1240="Mixed Development","MIX",
IF(E1240="Plotted Development","PLT","OTH"))))
&amp;"-"&amp;TEXT(COUNTIFS($B$9:B1240,B1240,$E$9:E1240,E1240),"0000")</f>
        <v>SUR-RES-0339</v>
      </c>
      <c r="B1240" s="322" t="s">
        <v>34</v>
      </c>
      <c r="C1240" s="322" t="s">
        <v>34</v>
      </c>
      <c r="D1240" s="323" t="s">
        <v>1430</v>
      </c>
      <c r="E1240" s="132" t="s">
        <v>24</v>
      </c>
      <c r="F1240" s="97" t="str">
        <f ca="1">IF(OR(Market_Data[[#This Row],[Start Date]]="",Market_Data[[#This Row],[Completion Date]]=""),"Needs Validation",IF(Market_Data[[#This Row],[Start Date]]&gt;TODAY(),"Planned",IF(Market_Data[[#This Row],[Completion Date]]&lt;TODAY(),"Completed","Ongoing")))</f>
        <v>Ongoing</v>
      </c>
      <c r="G1240" s="324">
        <v>44936</v>
      </c>
      <c r="H1240" s="324">
        <v>46934</v>
      </c>
      <c r="I1240" s="325">
        <v>19500</v>
      </c>
      <c r="J124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40" s="133">
        <f>_xlfn.XLOOKUP(Market_Data[[#This Row],[Project Type]],tbl_assumptions_market[Project Category (RERA)],tbl_assumptions_market[Concrete Intensity
(m³ / sq m BUA)],"",0)</f>
        <v>0.45</v>
      </c>
      <c r="L1240" s="134">
        <f>ROUND(Market_Data[[#This Row],[Estimated Built Up Area (sq m)]]*Market_Data[[#This Row],[Concrete Intensity
(m³ / sq m)]],0)</f>
        <v>8775</v>
      </c>
      <c r="M1240" s="135">
        <f>_xlfn.XLOOKUP(Market_Data[[#This Row],[District]],tbl_district_price[District],tbl_district_price[Standard Price
(INR/m³)],"",0)</f>
        <v>6200</v>
      </c>
      <c r="N1240" s="364">
        <f>IF(OR(Market_Data[[#This Row],[Estimated Concrete Demand (m³)]]="",Market_Data[[#This Row],[Avg Price per (₹ / m³)]]=""),"",Market_Data[[#This Row],[Estimated Concrete Demand (m³)]]*Market_Data[[#This Row],[Avg Price per (₹ / m³)]]/10000000)</f>
        <v>5.4405000000000001</v>
      </c>
      <c r="O1240" s="97" t="str">
        <f>IF(Market_Data[[#This Row],[Estimated Concrete Demand (m³)]]="","",
IF(Market_Data[[#This Row],[Estimated Concrete Demand (m³)]]&lt;10000,"Small",
IF(Market_Data[[#This Row],[Estimated Concrete Demand (m³)]]&lt;25000,"Medium",
IF(Market_Data[[#This Row],[Estimated Concrete Demand (m³)]]&lt;100000,"Large","Mega"))))</f>
        <v>Small</v>
      </c>
      <c r="P1240" s="287" t="str">
        <f t="shared" si="21"/>
        <v>GujRERA</v>
      </c>
    </row>
    <row r="1241" spans="1:16">
      <c r="A1241" s="129" t="str">
        <f>_xlfn.XLOOKUP(B1241,$S$9:$S$14,$T$9:$T$14)&amp;"-"&amp;
IF(E1241="Residential/Group Housing","RES",
IF(E1241="Commercial","COM",
IF(E1241="Mixed Development","MIX",
IF(E1241="Plotted Development","PLT","OTH"))))
&amp;"-"&amp;TEXT(COUNTIFS($B$9:B1241,B1241,$E$9:E1241,E1241),"0000")</f>
        <v>SUR-COM-0179</v>
      </c>
      <c r="B1241" s="322" t="s">
        <v>34</v>
      </c>
      <c r="C1241" s="322" t="s">
        <v>34</v>
      </c>
      <c r="D1241" s="323" t="s">
        <v>1431</v>
      </c>
      <c r="E1241" s="132" t="s">
        <v>23</v>
      </c>
      <c r="F1241" s="97" t="str">
        <f ca="1">IF(OR(Market_Data[[#This Row],[Start Date]]="",Market_Data[[#This Row],[Completion Date]]=""),"Needs Validation",IF(Market_Data[[#This Row],[Start Date]]&gt;TODAY(),"Planned",IF(Market_Data[[#This Row],[Completion Date]]&lt;TODAY(),"Completed","Ongoing")))</f>
        <v>Completed</v>
      </c>
      <c r="G1241" s="324">
        <v>42699</v>
      </c>
      <c r="H1241" s="324">
        <v>44255</v>
      </c>
      <c r="I1241" s="325">
        <v>56400</v>
      </c>
      <c r="J124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241" s="133">
        <f>_xlfn.XLOOKUP(Market_Data[[#This Row],[Project Type]],tbl_assumptions_market[Project Category (RERA)],tbl_assumptions_market[Concrete Intensity
(m³ / sq m BUA)],"",0)</f>
        <v>0.5</v>
      </c>
      <c r="L1241" s="134">
        <f>ROUND(Market_Data[[#This Row],[Estimated Built Up Area (sq m)]]*Market_Data[[#This Row],[Concrete Intensity
(m³ / sq m)]],0)</f>
        <v>28200</v>
      </c>
      <c r="M1241" s="135">
        <f>_xlfn.XLOOKUP(Market_Data[[#This Row],[District]],tbl_district_price[District],tbl_district_price[Standard Price
(INR/m³)],"",0)</f>
        <v>6200</v>
      </c>
      <c r="N1241" s="364">
        <f>IF(OR(Market_Data[[#This Row],[Estimated Concrete Demand (m³)]]="",Market_Data[[#This Row],[Avg Price per (₹ / m³)]]=""),"",Market_Data[[#This Row],[Estimated Concrete Demand (m³)]]*Market_Data[[#This Row],[Avg Price per (₹ / m³)]]/10000000)</f>
        <v>17.484000000000002</v>
      </c>
      <c r="O1241" s="97" t="str">
        <f>IF(Market_Data[[#This Row],[Estimated Concrete Demand (m³)]]="","",
IF(Market_Data[[#This Row],[Estimated Concrete Demand (m³)]]&lt;10000,"Small",
IF(Market_Data[[#This Row],[Estimated Concrete Demand (m³)]]&lt;25000,"Medium",
IF(Market_Data[[#This Row],[Estimated Concrete Demand (m³)]]&lt;100000,"Large","Mega"))))</f>
        <v>Large</v>
      </c>
      <c r="P1241" s="287" t="str">
        <f t="shared" si="21"/>
        <v>GujRERA</v>
      </c>
    </row>
    <row r="1242" spans="1:16">
      <c r="A1242" s="129" t="str">
        <f>_xlfn.XLOOKUP(B1242,$S$9:$S$14,$T$9:$T$14)&amp;"-"&amp;
IF(E1242="Residential/Group Housing","RES",
IF(E1242="Commercial","COM",
IF(E1242="Mixed Development","MIX",
IF(E1242="Plotted Development","PLT","OTH"))))
&amp;"-"&amp;TEXT(COUNTIFS($B$9:B1242,B1242,$E$9:E1242,E1242),"0000")</f>
        <v>SUR-COM-0180</v>
      </c>
      <c r="B1242" s="322" t="s">
        <v>34</v>
      </c>
      <c r="C1242" s="322" t="s">
        <v>34</v>
      </c>
      <c r="D1242" s="323" t="s">
        <v>1432</v>
      </c>
      <c r="E1242" s="132" t="s">
        <v>23</v>
      </c>
      <c r="F1242" s="97" t="str">
        <f ca="1">IF(OR(Market_Data[[#This Row],[Start Date]]="",Market_Data[[#This Row],[Completion Date]]=""),"Needs Validation",IF(Market_Data[[#This Row],[Start Date]]&gt;TODAY(),"Planned",IF(Market_Data[[#This Row],[Completion Date]]&lt;TODAY(),"Completed","Ongoing")))</f>
        <v>Completed</v>
      </c>
      <c r="G1242" s="324">
        <v>42961</v>
      </c>
      <c r="H1242" s="324">
        <v>44926</v>
      </c>
      <c r="I1242" s="325">
        <v>37700</v>
      </c>
      <c r="J124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242" s="133">
        <f>_xlfn.XLOOKUP(Market_Data[[#This Row],[Project Type]],tbl_assumptions_market[Project Category (RERA)],tbl_assumptions_market[Concrete Intensity
(m³ / sq m BUA)],"",0)</f>
        <v>0.5</v>
      </c>
      <c r="L1242" s="134">
        <f>ROUND(Market_Data[[#This Row],[Estimated Built Up Area (sq m)]]*Market_Data[[#This Row],[Concrete Intensity
(m³ / sq m)]],0)</f>
        <v>18850</v>
      </c>
      <c r="M1242" s="135">
        <f>_xlfn.XLOOKUP(Market_Data[[#This Row],[District]],tbl_district_price[District],tbl_district_price[Standard Price
(INR/m³)],"",0)</f>
        <v>6200</v>
      </c>
      <c r="N1242" s="364">
        <f>IF(OR(Market_Data[[#This Row],[Estimated Concrete Demand (m³)]]="",Market_Data[[#This Row],[Avg Price per (₹ / m³)]]=""),"",Market_Data[[#This Row],[Estimated Concrete Demand (m³)]]*Market_Data[[#This Row],[Avg Price per (₹ / m³)]]/10000000)</f>
        <v>11.686999999999999</v>
      </c>
      <c r="O1242" s="97" t="str">
        <f>IF(Market_Data[[#This Row],[Estimated Concrete Demand (m³)]]="","",
IF(Market_Data[[#This Row],[Estimated Concrete Demand (m³)]]&lt;10000,"Small",
IF(Market_Data[[#This Row],[Estimated Concrete Demand (m³)]]&lt;25000,"Medium",
IF(Market_Data[[#This Row],[Estimated Concrete Demand (m³)]]&lt;100000,"Large","Mega"))))</f>
        <v>Medium</v>
      </c>
      <c r="P1242" s="287" t="str">
        <f t="shared" si="21"/>
        <v>GujRERA</v>
      </c>
    </row>
    <row r="1243" spans="1:16">
      <c r="A1243" s="129" t="str">
        <f>_xlfn.XLOOKUP(B1243,$S$9:$S$14,$T$9:$T$14)&amp;"-"&amp;
IF(E1243="Residential/Group Housing","RES",
IF(E1243="Commercial","COM",
IF(E1243="Mixed Development","MIX",
IF(E1243="Plotted Development","PLT","OTH"))))
&amp;"-"&amp;TEXT(COUNTIFS($B$9:B1243,B1243,$E$9:E1243,E1243),"0000")</f>
        <v>SUR-COM-0181</v>
      </c>
      <c r="B1243" s="322" t="s">
        <v>34</v>
      </c>
      <c r="C1243" s="322" t="s">
        <v>34</v>
      </c>
      <c r="D1243" s="323" t="s">
        <v>1433</v>
      </c>
      <c r="E1243" s="132" t="s">
        <v>23</v>
      </c>
      <c r="F1243" s="97" t="str">
        <f ca="1">IF(OR(Market_Data[[#This Row],[Start Date]]="",Market_Data[[#This Row],[Completion Date]]=""),"Needs Validation",IF(Market_Data[[#This Row],[Start Date]]&gt;TODAY(),"Planned",IF(Market_Data[[#This Row],[Completion Date]]&lt;TODAY(),"Completed","Ongoing")))</f>
        <v>Completed</v>
      </c>
      <c r="G1243" s="324">
        <v>43656</v>
      </c>
      <c r="H1243" s="324">
        <v>45746</v>
      </c>
      <c r="I1243" s="325">
        <v>51800</v>
      </c>
      <c r="J124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243" s="133">
        <f>_xlfn.XLOOKUP(Market_Data[[#This Row],[Project Type]],tbl_assumptions_market[Project Category (RERA)],tbl_assumptions_market[Concrete Intensity
(m³ / sq m BUA)],"",0)</f>
        <v>0.5</v>
      </c>
      <c r="L1243" s="134">
        <f>ROUND(Market_Data[[#This Row],[Estimated Built Up Area (sq m)]]*Market_Data[[#This Row],[Concrete Intensity
(m³ / sq m)]],0)</f>
        <v>25900</v>
      </c>
      <c r="M1243" s="135">
        <f>_xlfn.XLOOKUP(Market_Data[[#This Row],[District]],tbl_district_price[District],tbl_district_price[Standard Price
(INR/m³)],"",0)</f>
        <v>6200</v>
      </c>
      <c r="N1243" s="364">
        <f>IF(OR(Market_Data[[#This Row],[Estimated Concrete Demand (m³)]]="",Market_Data[[#This Row],[Avg Price per (₹ / m³)]]=""),"",Market_Data[[#This Row],[Estimated Concrete Demand (m³)]]*Market_Data[[#This Row],[Avg Price per (₹ / m³)]]/10000000)</f>
        <v>16.058</v>
      </c>
      <c r="O1243" s="97" t="str">
        <f>IF(Market_Data[[#This Row],[Estimated Concrete Demand (m³)]]="","",
IF(Market_Data[[#This Row],[Estimated Concrete Demand (m³)]]&lt;10000,"Small",
IF(Market_Data[[#This Row],[Estimated Concrete Demand (m³)]]&lt;25000,"Medium",
IF(Market_Data[[#This Row],[Estimated Concrete Demand (m³)]]&lt;100000,"Large","Mega"))))</f>
        <v>Large</v>
      </c>
      <c r="P1243" s="287" t="str">
        <f t="shared" si="21"/>
        <v>GujRERA</v>
      </c>
    </row>
    <row r="1244" spans="1:16">
      <c r="A1244" s="129" t="str">
        <f>_xlfn.XLOOKUP(B1244,$S$9:$S$14,$T$9:$T$14)&amp;"-"&amp;
IF(E1244="Residential/Group Housing","RES",
IF(E1244="Commercial","COM",
IF(E1244="Mixed Development","MIX",
IF(E1244="Plotted Development","PLT","OTH"))))
&amp;"-"&amp;TEXT(COUNTIFS($B$9:B1244,B1244,$E$9:E1244,E1244),"0000")</f>
        <v>SUR-RES-0340</v>
      </c>
      <c r="B1244" s="322" t="s">
        <v>34</v>
      </c>
      <c r="C1244" s="322" t="s">
        <v>34</v>
      </c>
      <c r="D1244" s="323" t="s">
        <v>1434</v>
      </c>
      <c r="E1244" s="132" t="s">
        <v>24</v>
      </c>
      <c r="F1244" s="97" t="str">
        <f ca="1">IF(OR(Market_Data[[#This Row],[Start Date]]="",Market_Data[[#This Row],[Completion Date]]=""),"Needs Validation",IF(Market_Data[[#This Row],[Start Date]]&gt;TODAY(),"Planned",IF(Market_Data[[#This Row],[Completion Date]]&lt;TODAY(),"Completed","Ongoing")))</f>
        <v>Ongoing</v>
      </c>
      <c r="G1244" s="324">
        <v>45595</v>
      </c>
      <c r="H1244" s="324">
        <v>47238</v>
      </c>
      <c r="I1244" s="325">
        <v>39800</v>
      </c>
      <c r="J124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44" s="133">
        <f>_xlfn.XLOOKUP(Market_Data[[#This Row],[Project Type]],tbl_assumptions_market[Project Category (RERA)],tbl_assumptions_market[Concrete Intensity
(m³ / sq m BUA)],"",0)</f>
        <v>0.45</v>
      </c>
      <c r="L1244" s="134">
        <f>ROUND(Market_Data[[#This Row],[Estimated Built Up Area (sq m)]]*Market_Data[[#This Row],[Concrete Intensity
(m³ / sq m)]],0)</f>
        <v>17910</v>
      </c>
      <c r="M1244" s="135">
        <f>_xlfn.XLOOKUP(Market_Data[[#This Row],[District]],tbl_district_price[District],tbl_district_price[Standard Price
(INR/m³)],"",0)</f>
        <v>6200</v>
      </c>
      <c r="N1244" s="364">
        <f>IF(OR(Market_Data[[#This Row],[Estimated Concrete Demand (m³)]]="",Market_Data[[#This Row],[Avg Price per (₹ / m³)]]=""),"",Market_Data[[#This Row],[Estimated Concrete Demand (m³)]]*Market_Data[[#This Row],[Avg Price per (₹ / m³)]]/10000000)</f>
        <v>11.104200000000001</v>
      </c>
      <c r="O1244" s="97" t="str">
        <f>IF(Market_Data[[#This Row],[Estimated Concrete Demand (m³)]]="","",
IF(Market_Data[[#This Row],[Estimated Concrete Demand (m³)]]&lt;10000,"Small",
IF(Market_Data[[#This Row],[Estimated Concrete Demand (m³)]]&lt;25000,"Medium",
IF(Market_Data[[#This Row],[Estimated Concrete Demand (m³)]]&lt;100000,"Large","Mega"))))</f>
        <v>Medium</v>
      </c>
      <c r="P1244" s="287" t="str">
        <f t="shared" si="21"/>
        <v>GujRERA</v>
      </c>
    </row>
    <row r="1245" spans="1:16">
      <c r="A1245" s="129" t="str">
        <f>_xlfn.XLOOKUP(B1245,$S$9:$S$14,$T$9:$T$14)&amp;"-"&amp;
IF(E1245="Residential/Group Housing","RES",
IF(E1245="Commercial","COM",
IF(E1245="Mixed Development","MIX",
IF(E1245="Plotted Development","PLT","OTH"))))
&amp;"-"&amp;TEXT(COUNTIFS($B$9:B1245,B1245,$E$9:E1245,E1245),"0000")</f>
        <v>SUR-RES-0341</v>
      </c>
      <c r="B1245" s="322" t="s">
        <v>34</v>
      </c>
      <c r="C1245" s="322" t="s">
        <v>34</v>
      </c>
      <c r="D1245" s="323" t="s">
        <v>1435</v>
      </c>
      <c r="E1245" s="132" t="s">
        <v>24</v>
      </c>
      <c r="F1245" s="97" t="str">
        <f ca="1">IF(OR(Market_Data[[#This Row],[Start Date]]="",Market_Data[[#This Row],[Completion Date]]=""),"Needs Validation",IF(Market_Data[[#This Row],[Start Date]]&gt;TODAY(),"Planned",IF(Market_Data[[#This Row],[Completion Date]]&lt;TODAY(),"Completed","Ongoing")))</f>
        <v>Ongoing</v>
      </c>
      <c r="G1245" s="324">
        <v>44938</v>
      </c>
      <c r="H1245" s="324">
        <v>46934</v>
      </c>
      <c r="I1245" s="325">
        <v>39900</v>
      </c>
      <c r="J124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45" s="133">
        <f>_xlfn.XLOOKUP(Market_Data[[#This Row],[Project Type]],tbl_assumptions_market[Project Category (RERA)],tbl_assumptions_market[Concrete Intensity
(m³ / sq m BUA)],"",0)</f>
        <v>0.45</v>
      </c>
      <c r="L1245" s="134">
        <f>ROUND(Market_Data[[#This Row],[Estimated Built Up Area (sq m)]]*Market_Data[[#This Row],[Concrete Intensity
(m³ / sq m)]],0)</f>
        <v>17955</v>
      </c>
      <c r="M1245" s="135">
        <f>_xlfn.XLOOKUP(Market_Data[[#This Row],[District]],tbl_district_price[District],tbl_district_price[Standard Price
(INR/m³)],"",0)</f>
        <v>6200</v>
      </c>
      <c r="N1245" s="364">
        <f>IF(OR(Market_Data[[#This Row],[Estimated Concrete Demand (m³)]]="",Market_Data[[#This Row],[Avg Price per (₹ / m³)]]=""),"",Market_Data[[#This Row],[Estimated Concrete Demand (m³)]]*Market_Data[[#This Row],[Avg Price per (₹ / m³)]]/10000000)</f>
        <v>11.132099999999999</v>
      </c>
      <c r="O1245" s="97" t="str">
        <f>IF(Market_Data[[#This Row],[Estimated Concrete Demand (m³)]]="","",
IF(Market_Data[[#This Row],[Estimated Concrete Demand (m³)]]&lt;10000,"Small",
IF(Market_Data[[#This Row],[Estimated Concrete Demand (m³)]]&lt;25000,"Medium",
IF(Market_Data[[#This Row],[Estimated Concrete Demand (m³)]]&lt;100000,"Large","Mega"))))</f>
        <v>Medium</v>
      </c>
      <c r="P1245" s="287" t="str">
        <f t="shared" si="21"/>
        <v>GujRERA</v>
      </c>
    </row>
    <row r="1246" spans="1:16">
      <c r="A1246" s="129" t="str">
        <f>_xlfn.XLOOKUP(B1246,$S$9:$S$14,$T$9:$T$14)&amp;"-"&amp;
IF(E1246="Residential/Group Housing","RES",
IF(E1246="Commercial","COM",
IF(E1246="Mixed Development","MIX",
IF(E1246="Plotted Development","PLT","OTH"))))
&amp;"-"&amp;TEXT(COUNTIFS($B$9:B1246,B1246,$E$9:E1246,E1246),"0000")</f>
        <v>SUR-RES-0342</v>
      </c>
      <c r="B1246" s="322" t="s">
        <v>34</v>
      </c>
      <c r="C1246" s="322" t="s">
        <v>34</v>
      </c>
      <c r="D1246" s="323" t="s">
        <v>1436</v>
      </c>
      <c r="E1246" s="132" t="s">
        <v>24</v>
      </c>
      <c r="F1246" s="97" t="str">
        <f ca="1">IF(OR(Market_Data[[#This Row],[Start Date]]="",Market_Data[[#This Row],[Completion Date]]=""),"Needs Validation",IF(Market_Data[[#This Row],[Start Date]]&gt;TODAY(),"Planned",IF(Market_Data[[#This Row],[Completion Date]]&lt;TODAY(),"Completed","Ongoing")))</f>
        <v>Completed</v>
      </c>
      <c r="G1246" s="324">
        <v>43610</v>
      </c>
      <c r="H1246" s="324">
        <v>45657</v>
      </c>
      <c r="I1246" s="325">
        <v>9000</v>
      </c>
      <c r="J124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46" s="133">
        <f>_xlfn.XLOOKUP(Market_Data[[#This Row],[Project Type]],tbl_assumptions_market[Project Category (RERA)],tbl_assumptions_market[Concrete Intensity
(m³ / sq m BUA)],"",0)</f>
        <v>0.45</v>
      </c>
      <c r="L1246" s="134">
        <f>ROUND(Market_Data[[#This Row],[Estimated Built Up Area (sq m)]]*Market_Data[[#This Row],[Concrete Intensity
(m³ / sq m)]],0)</f>
        <v>4050</v>
      </c>
      <c r="M1246" s="135">
        <f>_xlfn.XLOOKUP(Market_Data[[#This Row],[District]],tbl_district_price[District],tbl_district_price[Standard Price
(INR/m³)],"",0)</f>
        <v>6200</v>
      </c>
      <c r="N1246" s="364">
        <f>IF(OR(Market_Data[[#This Row],[Estimated Concrete Demand (m³)]]="",Market_Data[[#This Row],[Avg Price per (₹ / m³)]]=""),"",Market_Data[[#This Row],[Estimated Concrete Demand (m³)]]*Market_Data[[#This Row],[Avg Price per (₹ / m³)]]/10000000)</f>
        <v>2.5110000000000001</v>
      </c>
      <c r="O1246" s="97" t="str">
        <f>IF(Market_Data[[#This Row],[Estimated Concrete Demand (m³)]]="","",
IF(Market_Data[[#This Row],[Estimated Concrete Demand (m³)]]&lt;10000,"Small",
IF(Market_Data[[#This Row],[Estimated Concrete Demand (m³)]]&lt;25000,"Medium",
IF(Market_Data[[#This Row],[Estimated Concrete Demand (m³)]]&lt;100000,"Large","Mega"))))</f>
        <v>Small</v>
      </c>
      <c r="P1246" s="287" t="str">
        <f t="shared" si="21"/>
        <v>GujRERA</v>
      </c>
    </row>
    <row r="1247" spans="1:16">
      <c r="A1247" s="129" t="str">
        <f>_xlfn.XLOOKUP(B1247,$S$9:$S$14,$T$9:$T$14)&amp;"-"&amp;
IF(E1247="Residential/Group Housing","RES",
IF(E1247="Commercial","COM",
IF(E1247="Mixed Development","MIX",
IF(E1247="Plotted Development","PLT","OTH"))))
&amp;"-"&amp;TEXT(COUNTIFS($B$9:B1247,B1247,$E$9:E1247,E1247),"0000")</f>
        <v>SUR-RES-0343</v>
      </c>
      <c r="B1247" s="322" t="s">
        <v>34</v>
      </c>
      <c r="C1247" s="322" t="s">
        <v>34</v>
      </c>
      <c r="D1247" s="323" t="s">
        <v>1437</v>
      </c>
      <c r="E1247" s="132" t="s">
        <v>24</v>
      </c>
      <c r="F1247" s="97" t="str">
        <f ca="1">IF(OR(Market_Data[[#This Row],[Start Date]]="",Market_Data[[#This Row],[Completion Date]]=""),"Needs Validation",IF(Market_Data[[#This Row],[Start Date]]&gt;TODAY(),"Planned",IF(Market_Data[[#This Row],[Completion Date]]&lt;TODAY(),"Completed","Ongoing")))</f>
        <v>Ongoing</v>
      </c>
      <c r="G1247" s="324">
        <v>44341</v>
      </c>
      <c r="H1247" s="324">
        <v>46387</v>
      </c>
      <c r="I1247" s="325">
        <v>38500</v>
      </c>
      <c r="J124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47" s="133">
        <f>_xlfn.XLOOKUP(Market_Data[[#This Row],[Project Type]],tbl_assumptions_market[Project Category (RERA)],tbl_assumptions_market[Concrete Intensity
(m³ / sq m BUA)],"",0)</f>
        <v>0.45</v>
      </c>
      <c r="L1247" s="134">
        <f>ROUND(Market_Data[[#This Row],[Estimated Built Up Area (sq m)]]*Market_Data[[#This Row],[Concrete Intensity
(m³ / sq m)]],0)</f>
        <v>17325</v>
      </c>
      <c r="M1247" s="135">
        <f>_xlfn.XLOOKUP(Market_Data[[#This Row],[District]],tbl_district_price[District],tbl_district_price[Standard Price
(INR/m³)],"",0)</f>
        <v>6200</v>
      </c>
      <c r="N1247" s="364">
        <f>IF(OR(Market_Data[[#This Row],[Estimated Concrete Demand (m³)]]="",Market_Data[[#This Row],[Avg Price per (₹ / m³)]]=""),"",Market_Data[[#This Row],[Estimated Concrete Demand (m³)]]*Market_Data[[#This Row],[Avg Price per (₹ / m³)]]/10000000)</f>
        <v>10.7415</v>
      </c>
      <c r="O1247" s="97" t="str">
        <f>IF(Market_Data[[#This Row],[Estimated Concrete Demand (m³)]]="","",
IF(Market_Data[[#This Row],[Estimated Concrete Demand (m³)]]&lt;10000,"Small",
IF(Market_Data[[#This Row],[Estimated Concrete Demand (m³)]]&lt;25000,"Medium",
IF(Market_Data[[#This Row],[Estimated Concrete Demand (m³)]]&lt;100000,"Large","Mega"))))</f>
        <v>Medium</v>
      </c>
      <c r="P1247" s="287" t="str">
        <f t="shared" si="21"/>
        <v>GujRERA</v>
      </c>
    </row>
    <row r="1248" spans="1:16">
      <c r="A1248" s="129" t="str">
        <f>_xlfn.XLOOKUP(B1248,$S$9:$S$14,$T$9:$T$14)&amp;"-"&amp;
IF(E1248="Residential/Group Housing","RES",
IF(E1248="Commercial","COM",
IF(E1248="Mixed Development","MIX",
IF(E1248="Plotted Development","PLT","OTH"))))
&amp;"-"&amp;TEXT(COUNTIFS($B$9:B1248,B1248,$E$9:E1248,E1248),"0000")</f>
        <v>SUR-COM-0182</v>
      </c>
      <c r="B1248" s="322" t="s">
        <v>34</v>
      </c>
      <c r="C1248" s="322" t="s">
        <v>34</v>
      </c>
      <c r="D1248" s="323" t="s">
        <v>1438</v>
      </c>
      <c r="E1248" s="132" t="s">
        <v>23</v>
      </c>
      <c r="F1248" s="97" t="str">
        <f ca="1">IF(OR(Market_Data[[#This Row],[Start Date]]="",Market_Data[[#This Row],[Completion Date]]=""),"Needs Validation",IF(Market_Data[[#This Row],[Start Date]]&gt;TODAY(),"Planned",IF(Market_Data[[#This Row],[Completion Date]]&lt;TODAY(),"Completed","Ongoing")))</f>
        <v>Completed</v>
      </c>
      <c r="G1248" s="324">
        <v>42492</v>
      </c>
      <c r="H1248" s="324">
        <v>43525</v>
      </c>
      <c r="I1248" s="325">
        <v>58300</v>
      </c>
      <c r="J124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248" s="133">
        <f>_xlfn.XLOOKUP(Market_Data[[#This Row],[Project Type]],tbl_assumptions_market[Project Category (RERA)],tbl_assumptions_market[Concrete Intensity
(m³ / sq m BUA)],"",0)</f>
        <v>0.5</v>
      </c>
      <c r="L1248" s="134">
        <f>ROUND(Market_Data[[#This Row],[Estimated Built Up Area (sq m)]]*Market_Data[[#This Row],[Concrete Intensity
(m³ / sq m)]],0)</f>
        <v>29150</v>
      </c>
      <c r="M1248" s="135">
        <f>_xlfn.XLOOKUP(Market_Data[[#This Row],[District]],tbl_district_price[District],tbl_district_price[Standard Price
(INR/m³)],"",0)</f>
        <v>6200</v>
      </c>
      <c r="N1248" s="364">
        <f>IF(OR(Market_Data[[#This Row],[Estimated Concrete Demand (m³)]]="",Market_Data[[#This Row],[Avg Price per (₹ / m³)]]=""),"",Market_Data[[#This Row],[Estimated Concrete Demand (m³)]]*Market_Data[[#This Row],[Avg Price per (₹ / m³)]]/10000000)</f>
        <v>18.073</v>
      </c>
      <c r="O1248" s="97" t="str">
        <f>IF(Market_Data[[#This Row],[Estimated Concrete Demand (m³)]]="","",
IF(Market_Data[[#This Row],[Estimated Concrete Demand (m³)]]&lt;10000,"Small",
IF(Market_Data[[#This Row],[Estimated Concrete Demand (m³)]]&lt;25000,"Medium",
IF(Market_Data[[#This Row],[Estimated Concrete Demand (m³)]]&lt;100000,"Large","Mega"))))</f>
        <v>Large</v>
      </c>
      <c r="P1248" s="287" t="str">
        <f t="shared" si="21"/>
        <v>GujRERA</v>
      </c>
    </row>
    <row r="1249" spans="1:16">
      <c r="A1249" s="129" t="str">
        <f>_xlfn.XLOOKUP(B1249,$S$9:$S$14,$T$9:$T$14)&amp;"-"&amp;
IF(E1249="Residential/Group Housing","RES",
IF(E1249="Commercial","COM",
IF(E1249="Mixed Development","MIX",
IF(E1249="Plotted Development","PLT","OTH"))))
&amp;"-"&amp;TEXT(COUNTIFS($B$9:B1249,B1249,$E$9:E1249,E1249),"0000")</f>
        <v>SUR-PLT-0236</v>
      </c>
      <c r="B1249" s="322" t="s">
        <v>34</v>
      </c>
      <c r="C1249" s="322" t="s">
        <v>34</v>
      </c>
      <c r="D1249" s="323" t="s">
        <v>1439</v>
      </c>
      <c r="E1249" s="132" t="s">
        <v>26</v>
      </c>
      <c r="F1249" s="97" t="str">
        <f ca="1">IF(OR(Market_Data[[#This Row],[Start Date]]="",Market_Data[[#This Row],[Completion Date]]=""),"Needs Validation",IF(Market_Data[[#This Row],[Start Date]]&gt;TODAY(),"Planned",IF(Market_Data[[#This Row],[Completion Date]]&lt;TODAY(),"Completed","Ongoing")))</f>
        <v>Completed</v>
      </c>
      <c r="G1249" s="324">
        <v>42306</v>
      </c>
      <c r="H1249" s="324">
        <v>44469</v>
      </c>
      <c r="I1249" s="325">
        <v>14600</v>
      </c>
      <c r="J124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49" s="133">
        <f>_xlfn.XLOOKUP(Market_Data[[#This Row],[Project Type]],tbl_assumptions_market[Project Category (RERA)],tbl_assumptions_market[Concrete Intensity
(m³ / sq m BUA)],"",0)</f>
        <v>0.18</v>
      </c>
      <c r="L1249" s="134">
        <f>ROUND(Market_Data[[#This Row],[Estimated Built Up Area (sq m)]]*Market_Data[[#This Row],[Concrete Intensity
(m³ / sq m)]],0)</f>
        <v>2628</v>
      </c>
      <c r="M1249" s="135">
        <f>_xlfn.XLOOKUP(Market_Data[[#This Row],[District]],tbl_district_price[District],tbl_district_price[Standard Price
(INR/m³)],"",0)</f>
        <v>6200</v>
      </c>
      <c r="N1249" s="364">
        <f>IF(OR(Market_Data[[#This Row],[Estimated Concrete Demand (m³)]]="",Market_Data[[#This Row],[Avg Price per (₹ / m³)]]=""),"",Market_Data[[#This Row],[Estimated Concrete Demand (m³)]]*Market_Data[[#This Row],[Avg Price per (₹ / m³)]]/10000000)</f>
        <v>1.6293599999999999</v>
      </c>
      <c r="O1249" s="97" t="str">
        <f>IF(Market_Data[[#This Row],[Estimated Concrete Demand (m³)]]="","",
IF(Market_Data[[#This Row],[Estimated Concrete Demand (m³)]]&lt;10000,"Small",
IF(Market_Data[[#This Row],[Estimated Concrete Demand (m³)]]&lt;25000,"Medium",
IF(Market_Data[[#This Row],[Estimated Concrete Demand (m³)]]&lt;100000,"Large","Mega"))))</f>
        <v>Small</v>
      </c>
      <c r="P1249" s="287" t="str">
        <f t="shared" si="21"/>
        <v>GujRERA</v>
      </c>
    </row>
    <row r="1250" spans="1:16">
      <c r="A1250" s="129" t="str">
        <f>_xlfn.XLOOKUP(B1250,$S$9:$S$14,$T$9:$T$14)&amp;"-"&amp;
IF(E1250="Residential/Group Housing","RES",
IF(E1250="Commercial","COM",
IF(E1250="Mixed Development","MIX",
IF(E1250="Plotted Development","PLT","OTH"))))
&amp;"-"&amp;TEXT(COUNTIFS($B$9:B1250,B1250,$E$9:E1250,E1250),"0000")</f>
        <v>SUR-COM-0183</v>
      </c>
      <c r="B1250" s="322" t="s">
        <v>34</v>
      </c>
      <c r="C1250" s="322" t="s">
        <v>34</v>
      </c>
      <c r="D1250" s="323" t="s">
        <v>1440</v>
      </c>
      <c r="E1250" s="132" t="s">
        <v>23</v>
      </c>
      <c r="F1250" s="97" t="str">
        <f ca="1">IF(OR(Market_Data[[#This Row],[Start Date]]="",Market_Data[[#This Row],[Completion Date]]=""),"Needs Validation",IF(Market_Data[[#This Row],[Start Date]]&gt;TODAY(),"Planned",IF(Market_Data[[#This Row],[Completion Date]]&lt;TODAY(),"Completed","Ongoing")))</f>
        <v>Ongoing</v>
      </c>
      <c r="G1250" s="324">
        <v>44568</v>
      </c>
      <c r="H1250" s="324">
        <v>46387</v>
      </c>
      <c r="I1250" s="325">
        <v>8400</v>
      </c>
      <c r="J125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50" s="133">
        <f>_xlfn.XLOOKUP(Market_Data[[#This Row],[Project Type]],tbl_assumptions_market[Project Category (RERA)],tbl_assumptions_market[Concrete Intensity
(m³ / sq m BUA)],"",0)</f>
        <v>0.5</v>
      </c>
      <c r="L1250" s="134">
        <f>ROUND(Market_Data[[#This Row],[Estimated Built Up Area (sq m)]]*Market_Data[[#This Row],[Concrete Intensity
(m³ / sq m)]],0)</f>
        <v>4200</v>
      </c>
      <c r="M1250" s="135">
        <f>_xlfn.XLOOKUP(Market_Data[[#This Row],[District]],tbl_district_price[District],tbl_district_price[Standard Price
(INR/m³)],"",0)</f>
        <v>6200</v>
      </c>
      <c r="N1250" s="364">
        <f>IF(OR(Market_Data[[#This Row],[Estimated Concrete Demand (m³)]]="",Market_Data[[#This Row],[Avg Price per (₹ / m³)]]=""),"",Market_Data[[#This Row],[Estimated Concrete Demand (m³)]]*Market_Data[[#This Row],[Avg Price per (₹ / m³)]]/10000000)</f>
        <v>2.6040000000000001</v>
      </c>
      <c r="O1250" s="97" t="str">
        <f>IF(Market_Data[[#This Row],[Estimated Concrete Demand (m³)]]="","",
IF(Market_Data[[#This Row],[Estimated Concrete Demand (m³)]]&lt;10000,"Small",
IF(Market_Data[[#This Row],[Estimated Concrete Demand (m³)]]&lt;25000,"Medium",
IF(Market_Data[[#This Row],[Estimated Concrete Demand (m³)]]&lt;100000,"Large","Mega"))))</f>
        <v>Small</v>
      </c>
      <c r="P1250" s="287" t="str">
        <f t="shared" si="21"/>
        <v>GujRERA</v>
      </c>
    </row>
    <row r="1251" spans="1:16">
      <c r="A1251" s="129" t="str">
        <f>_xlfn.XLOOKUP(B1251,$S$9:$S$14,$T$9:$T$14)&amp;"-"&amp;
IF(E1251="Residential/Group Housing","RES",
IF(E1251="Commercial","COM",
IF(E1251="Mixed Development","MIX",
IF(E1251="Plotted Development","PLT","OTH"))))
&amp;"-"&amp;TEXT(COUNTIFS($B$9:B1251,B1251,$E$9:E1251,E1251),"0000")</f>
        <v>SUR-COM-0184</v>
      </c>
      <c r="B1251" s="322" t="s">
        <v>34</v>
      </c>
      <c r="C1251" s="322" t="s">
        <v>34</v>
      </c>
      <c r="D1251" s="323" t="s">
        <v>1441</v>
      </c>
      <c r="E1251" s="132" t="s">
        <v>23</v>
      </c>
      <c r="F1251" s="97" t="str">
        <f ca="1">IF(OR(Market_Data[[#This Row],[Start Date]]="",Market_Data[[#This Row],[Completion Date]]=""),"Needs Validation",IF(Market_Data[[#This Row],[Start Date]]&gt;TODAY(),"Planned",IF(Market_Data[[#This Row],[Completion Date]]&lt;TODAY(),"Completed","Ongoing")))</f>
        <v>Ongoing</v>
      </c>
      <c r="G1251" s="324">
        <v>45503</v>
      </c>
      <c r="H1251" s="324">
        <v>47848</v>
      </c>
      <c r="I1251" s="325">
        <v>8600</v>
      </c>
      <c r="J125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51" s="133">
        <f>_xlfn.XLOOKUP(Market_Data[[#This Row],[Project Type]],tbl_assumptions_market[Project Category (RERA)],tbl_assumptions_market[Concrete Intensity
(m³ / sq m BUA)],"",0)</f>
        <v>0.5</v>
      </c>
      <c r="L1251" s="134">
        <f>ROUND(Market_Data[[#This Row],[Estimated Built Up Area (sq m)]]*Market_Data[[#This Row],[Concrete Intensity
(m³ / sq m)]],0)</f>
        <v>4300</v>
      </c>
      <c r="M1251" s="135">
        <f>_xlfn.XLOOKUP(Market_Data[[#This Row],[District]],tbl_district_price[District],tbl_district_price[Standard Price
(INR/m³)],"",0)</f>
        <v>6200</v>
      </c>
      <c r="N1251" s="364">
        <f>IF(OR(Market_Data[[#This Row],[Estimated Concrete Demand (m³)]]="",Market_Data[[#This Row],[Avg Price per (₹ / m³)]]=""),"",Market_Data[[#This Row],[Estimated Concrete Demand (m³)]]*Market_Data[[#This Row],[Avg Price per (₹ / m³)]]/10000000)</f>
        <v>2.6659999999999999</v>
      </c>
      <c r="O1251" s="97" t="str">
        <f>IF(Market_Data[[#This Row],[Estimated Concrete Demand (m³)]]="","",
IF(Market_Data[[#This Row],[Estimated Concrete Demand (m³)]]&lt;10000,"Small",
IF(Market_Data[[#This Row],[Estimated Concrete Demand (m³)]]&lt;25000,"Medium",
IF(Market_Data[[#This Row],[Estimated Concrete Demand (m³)]]&lt;100000,"Large","Mega"))))</f>
        <v>Small</v>
      </c>
      <c r="P1251" s="287" t="str">
        <f t="shared" si="21"/>
        <v>GujRERA</v>
      </c>
    </row>
    <row r="1252" spans="1:16">
      <c r="A1252" s="129" t="str">
        <f>_xlfn.XLOOKUP(B1252,$S$9:$S$14,$T$9:$T$14)&amp;"-"&amp;
IF(E1252="Residential/Group Housing","RES",
IF(E1252="Commercial","COM",
IF(E1252="Mixed Development","MIX",
IF(E1252="Plotted Development","PLT","OTH"))))
&amp;"-"&amp;TEXT(COUNTIFS($B$9:B1252,B1252,$E$9:E1252,E1252),"0000")</f>
        <v>SUR-COM-0185</v>
      </c>
      <c r="B1252" s="322" t="s">
        <v>34</v>
      </c>
      <c r="C1252" s="322" t="s">
        <v>34</v>
      </c>
      <c r="D1252" s="323" t="s">
        <v>1442</v>
      </c>
      <c r="E1252" s="132" t="s">
        <v>23</v>
      </c>
      <c r="F1252" s="97" t="str">
        <f ca="1">IF(OR(Market_Data[[#This Row],[Start Date]]="",Market_Data[[#This Row],[Completion Date]]=""),"Needs Validation",IF(Market_Data[[#This Row],[Start Date]]&gt;TODAY(),"Planned",IF(Market_Data[[#This Row],[Completion Date]]&lt;TODAY(),"Completed","Ongoing")))</f>
        <v>Ongoing</v>
      </c>
      <c r="G1252" s="324">
        <v>45684</v>
      </c>
      <c r="H1252" s="324">
        <v>47848</v>
      </c>
      <c r="I1252" s="325">
        <v>9500</v>
      </c>
      <c r="J125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52" s="133">
        <f>_xlfn.XLOOKUP(Market_Data[[#This Row],[Project Type]],tbl_assumptions_market[Project Category (RERA)],tbl_assumptions_market[Concrete Intensity
(m³ / sq m BUA)],"",0)</f>
        <v>0.5</v>
      </c>
      <c r="L1252" s="134">
        <f>ROUND(Market_Data[[#This Row],[Estimated Built Up Area (sq m)]]*Market_Data[[#This Row],[Concrete Intensity
(m³ / sq m)]],0)</f>
        <v>4750</v>
      </c>
      <c r="M1252" s="135">
        <f>_xlfn.XLOOKUP(Market_Data[[#This Row],[District]],tbl_district_price[District],tbl_district_price[Standard Price
(INR/m³)],"",0)</f>
        <v>6200</v>
      </c>
      <c r="N1252" s="364">
        <f>IF(OR(Market_Data[[#This Row],[Estimated Concrete Demand (m³)]]="",Market_Data[[#This Row],[Avg Price per (₹ / m³)]]=""),"",Market_Data[[#This Row],[Estimated Concrete Demand (m³)]]*Market_Data[[#This Row],[Avg Price per (₹ / m³)]]/10000000)</f>
        <v>2.9449999999999998</v>
      </c>
      <c r="O1252" s="97" t="str">
        <f>IF(Market_Data[[#This Row],[Estimated Concrete Demand (m³)]]="","",
IF(Market_Data[[#This Row],[Estimated Concrete Demand (m³)]]&lt;10000,"Small",
IF(Market_Data[[#This Row],[Estimated Concrete Demand (m³)]]&lt;25000,"Medium",
IF(Market_Data[[#This Row],[Estimated Concrete Demand (m³)]]&lt;100000,"Large","Mega"))))</f>
        <v>Small</v>
      </c>
      <c r="P1252" s="287" t="str">
        <f t="shared" si="21"/>
        <v>GujRERA</v>
      </c>
    </row>
    <row r="1253" spans="1:16">
      <c r="A1253" s="129" t="str">
        <f>_xlfn.XLOOKUP(B1253,$S$9:$S$14,$T$9:$T$14)&amp;"-"&amp;
IF(E1253="Residential/Group Housing","RES",
IF(E1253="Commercial","COM",
IF(E1253="Mixed Development","MIX",
IF(E1253="Plotted Development","PLT","OTH"))))
&amp;"-"&amp;TEXT(COUNTIFS($B$9:B1253,B1253,$E$9:E1253,E1253),"0000")</f>
        <v>SUR-RES-0344</v>
      </c>
      <c r="B1253" s="322" t="s">
        <v>34</v>
      </c>
      <c r="C1253" s="322" t="s">
        <v>34</v>
      </c>
      <c r="D1253" s="323" t="s">
        <v>1443</v>
      </c>
      <c r="E1253" s="132" t="s">
        <v>24</v>
      </c>
      <c r="F1253" s="97" t="str">
        <f ca="1">IF(OR(Market_Data[[#This Row],[Start Date]]="",Market_Data[[#This Row],[Completion Date]]=""),"Needs Validation",IF(Market_Data[[#This Row],[Start Date]]&gt;TODAY(),"Planned",IF(Market_Data[[#This Row],[Completion Date]]&lt;TODAY(),"Completed","Ongoing")))</f>
        <v>Ongoing</v>
      </c>
      <c r="G1253" s="324">
        <v>45054</v>
      </c>
      <c r="H1253" s="324">
        <v>47483</v>
      </c>
      <c r="I1253" s="325">
        <v>5500</v>
      </c>
      <c r="J125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53" s="133">
        <f>_xlfn.XLOOKUP(Market_Data[[#This Row],[Project Type]],tbl_assumptions_market[Project Category (RERA)],tbl_assumptions_market[Concrete Intensity
(m³ / sq m BUA)],"",0)</f>
        <v>0.45</v>
      </c>
      <c r="L1253" s="134">
        <f>ROUND(Market_Data[[#This Row],[Estimated Built Up Area (sq m)]]*Market_Data[[#This Row],[Concrete Intensity
(m³ / sq m)]],0)</f>
        <v>2475</v>
      </c>
      <c r="M1253" s="135">
        <f>_xlfn.XLOOKUP(Market_Data[[#This Row],[District]],tbl_district_price[District],tbl_district_price[Standard Price
(INR/m³)],"",0)</f>
        <v>6200</v>
      </c>
      <c r="N1253" s="364">
        <f>IF(OR(Market_Data[[#This Row],[Estimated Concrete Demand (m³)]]="",Market_Data[[#This Row],[Avg Price per (₹ / m³)]]=""),"",Market_Data[[#This Row],[Estimated Concrete Demand (m³)]]*Market_Data[[#This Row],[Avg Price per (₹ / m³)]]/10000000)</f>
        <v>1.5345</v>
      </c>
      <c r="O1253" s="97" t="str">
        <f>IF(Market_Data[[#This Row],[Estimated Concrete Demand (m³)]]="","",
IF(Market_Data[[#This Row],[Estimated Concrete Demand (m³)]]&lt;10000,"Small",
IF(Market_Data[[#This Row],[Estimated Concrete Demand (m³)]]&lt;25000,"Medium",
IF(Market_Data[[#This Row],[Estimated Concrete Demand (m³)]]&lt;100000,"Large","Mega"))))</f>
        <v>Small</v>
      </c>
      <c r="P1253" s="287" t="str">
        <f t="shared" si="21"/>
        <v>GujRERA</v>
      </c>
    </row>
    <row r="1254" spans="1:16">
      <c r="A1254" s="129" t="str">
        <f>_xlfn.XLOOKUP(B1254,$S$9:$S$14,$T$9:$T$14)&amp;"-"&amp;
IF(E1254="Residential/Group Housing","RES",
IF(E1254="Commercial","COM",
IF(E1254="Mixed Development","MIX",
IF(E1254="Plotted Development","PLT","OTH"))))
&amp;"-"&amp;TEXT(COUNTIFS($B$9:B1254,B1254,$E$9:E1254,E1254),"0000")</f>
        <v>SUR-COM-0186</v>
      </c>
      <c r="B1254" s="322" t="s">
        <v>34</v>
      </c>
      <c r="C1254" s="322" t="s">
        <v>34</v>
      </c>
      <c r="D1254" s="323" t="s">
        <v>1444</v>
      </c>
      <c r="E1254" s="132" t="s">
        <v>23</v>
      </c>
      <c r="F1254" s="97" t="str">
        <f ca="1">IF(OR(Market_Data[[#This Row],[Start Date]]="",Market_Data[[#This Row],[Completion Date]]=""),"Needs Validation",IF(Market_Data[[#This Row],[Start Date]]&gt;TODAY(),"Planned",IF(Market_Data[[#This Row],[Completion Date]]&lt;TODAY(),"Completed","Ongoing")))</f>
        <v>Completed</v>
      </c>
      <c r="G1254" s="324">
        <v>42257</v>
      </c>
      <c r="H1254" s="324">
        <v>45930</v>
      </c>
      <c r="I1254" s="325">
        <v>2500</v>
      </c>
      <c r="J125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54" s="133">
        <f>_xlfn.XLOOKUP(Market_Data[[#This Row],[Project Type]],tbl_assumptions_market[Project Category (RERA)],tbl_assumptions_market[Concrete Intensity
(m³ / sq m BUA)],"",0)</f>
        <v>0.5</v>
      </c>
      <c r="L1254" s="134">
        <f>ROUND(Market_Data[[#This Row],[Estimated Built Up Area (sq m)]]*Market_Data[[#This Row],[Concrete Intensity
(m³ / sq m)]],0)</f>
        <v>1250</v>
      </c>
      <c r="M1254" s="135">
        <f>_xlfn.XLOOKUP(Market_Data[[#This Row],[District]],tbl_district_price[District],tbl_district_price[Standard Price
(INR/m³)],"",0)</f>
        <v>6200</v>
      </c>
      <c r="N1254" s="364">
        <f>IF(OR(Market_Data[[#This Row],[Estimated Concrete Demand (m³)]]="",Market_Data[[#This Row],[Avg Price per (₹ / m³)]]=""),"",Market_Data[[#This Row],[Estimated Concrete Demand (m³)]]*Market_Data[[#This Row],[Avg Price per (₹ / m³)]]/10000000)</f>
        <v>0.77500000000000002</v>
      </c>
      <c r="O1254" s="97" t="str">
        <f>IF(Market_Data[[#This Row],[Estimated Concrete Demand (m³)]]="","",
IF(Market_Data[[#This Row],[Estimated Concrete Demand (m³)]]&lt;10000,"Small",
IF(Market_Data[[#This Row],[Estimated Concrete Demand (m³)]]&lt;25000,"Medium",
IF(Market_Data[[#This Row],[Estimated Concrete Demand (m³)]]&lt;100000,"Large","Mega"))))</f>
        <v>Small</v>
      </c>
      <c r="P1254" s="287" t="str">
        <f t="shared" si="21"/>
        <v>GujRERA</v>
      </c>
    </row>
    <row r="1255" spans="1:16">
      <c r="A1255" s="129" t="str">
        <f>_xlfn.XLOOKUP(B1255,$S$9:$S$14,$T$9:$T$14)&amp;"-"&amp;
IF(E1255="Residential/Group Housing","RES",
IF(E1255="Commercial","COM",
IF(E1255="Mixed Development","MIX",
IF(E1255="Plotted Development","PLT","OTH"))))
&amp;"-"&amp;TEXT(COUNTIFS($B$9:B1255,B1255,$E$9:E1255,E1255),"0000")</f>
        <v>SUR-COM-0187</v>
      </c>
      <c r="B1255" s="322" t="s">
        <v>34</v>
      </c>
      <c r="C1255" s="322" t="s">
        <v>34</v>
      </c>
      <c r="D1255" s="323" t="s">
        <v>1445</v>
      </c>
      <c r="E1255" s="132" t="s">
        <v>23</v>
      </c>
      <c r="F1255" s="97" t="str">
        <f ca="1">IF(OR(Market_Data[[#This Row],[Start Date]]="",Market_Data[[#This Row],[Completion Date]]=""),"Needs Validation",IF(Market_Data[[#This Row],[Start Date]]&gt;TODAY(),"Planned",IF(Market_Data[[#This Row],[Completion Date]]&lt;TODAY(),"Completed","Ongoing")))</f>
        <v>Ongoing</v>
      </c>
      <c r="G1255" s="324">
        <v>45071</v>
      </c>
      <c r="H1255" s="324">
        <v>46752</v>
      </c>
      <c r="I1255" s="325">
        <v>17100</v>
      </c>
      <c r="J125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55" s="133">
        <f>_xlfn.XLOOKUP(Market_Data[[#This Row],[Project Type]],tbl_assumptions_market[Project Category (RERA)],tbl_assumptions_market[Concrete Intensity
(m³ / sq m BUA)],"",0)</f>
        <v>0.5</v>
      </c>
      <c r="L1255" s="134">
        <f>ROUND(Market_Data[[#This Row],[Estimated Built Up Area (sq m)]]*Market_Data[[#This Row],[Concrete Intensity
(m³ / sq m)]],0)</f>
        <v>8550</v>
      </c>
      <c r="M1255" s="135">
        <f>_xlfn.XLOOKUP(Market_Data[[#This Row],[District]],tbl_district_price[District],tbl_district_price[Standard Price
(INR/m³)],"",0)</f>
        <v>6200</v>
      </c>
      <c r="N1255" s="364">
        <f>IF(OR(Market_Data[[#This Row],[Estimated Concrete Demand (m³)]]="",Market_Data[[#This Row],[Avg Price per (₹ / m³)]]=""),"",Market_Data[[#This Row],[Estimated Concrete Demand (m³)]]*Market_Data[[#This Row],[Avg Price per (₹ / m³)]]/10000000)</f>
        <v>5.3010000000000002</v>
      </c>
      <c r="O1255" s="97" t="str">
        <f>IF(Market_Data[[#This Row],[Estimated Concrete Demand (m³)]]="","",
IF(Market_Data[[#This Row],[Estimated Concrete Demand (m³)]]&lt;10000,"Small",
IF(Market_Data[[#This Row],[Estimated Concrete Demand (m³)]]&lt;25000,"Medium",
IF(Market_Data[[#This Row],[Estimated Concrete Demand (m³)]]&lt;100000,"Large","Mega"))))</f>
        <v>Small</v>
      </c>
      <c r="P1255" s="287" t="str">
        <f t="shared" si="21"/>
        <v>GujRERA</v>
      </c>
    </row>
    <row r="1256" spans="1:16">
      <c r="A1256" s="129" t="str">
        <f>_xlfn.XLOOKUP(B1256,$S$9:$S$14,$T$9:$T$14)&amp;"-"&amp;
IF(E1256="Residential/Group Housing","RES",
IF(E1256="Commercial","COM",
IF(E1256="Mixed Development","MIX",
IF(E1256="Plotted Development","PLT","OTH"))))
&amp;"-"&amp;TEXT(COUNTIFS($B$9:B1256,B1256,$E$9:E1256,E1256),"0000")</f>
        <v>SUR-COM-0188</v>
      </c>
      <c r="B1256" s="322" t="s">
        <v>34</v>
      </c>
      <c r="C1256" s="322" t="s">
        <v>34</v>
      </c>
      <c r="D1256" s="323" t="s">
        <v>1446</v>
      </c>
      <c r="E1256" s="132" t="s">
        <v>23</v>
      </c>
      <c r="F1256" s="97" t="str">
        <f ca="1">IF(OR(Market_Data[[#This Row],[Start Date]]="",Market_Data[[#This Row],[Completion Date]]=""),"Needs Validation",IF(Market_Data[[#This Row],[Start Date]]&gt;TODAY(),"Planned",IF(Market_Data[[#This Row],[Completion Date]]&lt;TODAY(),"Completed","Ongoing")))</f>
        <v>Completed</v>
      </c>
      <c r="G1256" s="324">
        <v>43507</v>
      </c>
      <c r="H1256" s="324">
        <v>44957</v>
      </c>
      <c r="I1256" s="325">
        <v>5000</v>
      </c>
      <c r="J125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56" s="133">
        <f>_xlfn.XLOOKUP(Market_Data[[#This Row],[Project Type]],tbl_assumptions_market[Project Category (RERA)],tbl_assumptions_market[Concrete Intensity
(m³ / sq m BUA)],"",0)</f>
        <v>0.5</v>
      </c>
      <c r="L1256" s="134">
        <f>ROUND(Market_Data[[#This Row],[Estimated Built Up Area (sq m)]]*Market_Data[[#This Row],[Concrete Intensity
(m³ / sq m)]],0)</f>
        <v>2500</v>
      </c>
      <c r="M1256" s="135">
        <f>_xlfn.XLOOKUP(Market_Data[[#This Row],[District]],tbl_district_price[District],tbl_district_price[Standard Price
(INR/m³)],"",0)</f>
        <v>6200</v>
      </c>
      <c r="N1256" s="364">
        <f>IF(OR(Market_Data[[#This Row],[Estimated Concrete Demand (m³)]]="",Market_Data[[#This Row],[Avg Price per (₹ / m³)]]=""),"",Market_Data[[#This Row],[Estimated Concrete Demand (m³)]]*Market_Data[[#This Row],[Avg Price per (₹ / m³)]]/10000000)</f>
        <v>1.55</v>
      </c>
      <c r="O1256" s="97" t="str">
        <f>IF(Market_Data[[#This Row],[Estimated Concrete Demand (m³)]]="","",
IF(Market_Data[[#This Row],[Estimated Concrete Demand (m³)]]&lt;10000,"Small",
IF(Market_Data[[#This Row],[Estimated Concrete Demand (m³)]]&lt;25000,"Medium",
IF(Market_Data[[#This Row],[Estimated Concrete Demand (m³)]]&lt;100000,"Large","Mega"))))</f>
        <v>Small</v>
      </c>
      <c r="P1256" s="287" t="str">
        <f t="shared" si="21"/>
        <v>GujRERA</v>
      </c>
    </row>
    <row r="1257" spans="1:16">
      <c r="A1257" s="129" t="str">
        <f>_xlfn.XLOOKUP(B1257,$S$9:$S$14,$T$9:$T$14)&amp;"-"&amp;
IF(E1257="Residential/Group Housing","RES",
IF(E1257="Commercial","COM",
IF(E1257="Mixed Development","MIX",
IF(E1257="Plotted Development","PLT","OTH"))))
&amp;"-"&amp;TEXT(COUNTIFS($B$9:B1257,B1257,$E$9:E1257,E1257),"0000")</f>
        <v>SUR-RES-0345</v>
      </c>
      <c r="B1257" s="322" t="s">
        <v>34</v>
      </c>
      <c r="C1257" s="322" t="s">
        <v>34</v>
      </c>
      <c r="D1257" s="323" t="s">
        <v>1447</v>
      </c>
      <c r="E1257" s="132" t="s">
        <v>24</v>
      </c>
      <c r="F1257" s="97" t="str">
        <f ca="1">IF(OR(Market_Data[[#This Row],[Start Date]]="",Market_Data[[#This Row],[Completion Date]]=""),"Needs Validation",IF(Market_Data[[#This Row],[Start Date]]&gt;TODAY(),"Planned",IF(Market_Data[[#This Row],[Completion Date]]&lt;TODAY(),"Completed","Ongoing")))</f>
        <v>Ongoing</v>
      </c>
      <c r="G1257" s="324">
        <v>44489</v>
      </c>
      <c r="H1257" s="324">
        <v>46387</v>
      </c>
      <c r="I1257" s="325">
        <v>20000</v>
      </c>
      <c r="J125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57" s="133">
        <f>_xlfn.XLOOKUP(Market_Data[[#This Row],[Project Type]],tbl_assumptions_market[Project Category (RERA)],tbl_assumptions_market[Concrete Intensity
(m³ / sq m BUA)],"",0)</f>
        <v>0.45</v>
      </c>
      <c r="L1257" s="134">
        <f>ROUND(Market_Data[[#This Row],[Estimated Built Up Area (sq m)]]*Market_Data[[#This Row],[Concrete Intensity
(m³ / sq m)]],0)</f>
        <v>9000</v>
      </c>
      <c r="M1257" s="135">
        <f>_xlfn.XLOOKUP(Market_Data[[#This Row],[District]],tbl_district_price[District],tbl_district_price[Standard Price
(INR/m³)],"",0)</f>
        <v>6200</v>
      </c>
      <c r="N1257" s="364">
        <f>IF(OR(Market_Data[[#This Row],[Estimated Concrete Demand (m³)]]="",Market_Data[[#This Row],[Avg Price per (₹ / m³)]]=""),"",Market_Data[[#This Row],[Estimated Concrete Demand (m³)]]*Market_Data[[#This Row],[Avg Price per (₹ / m³)]]/10000000)</f>
        <v>5.58</v>
      </c>
      <c r="O1257" s="97" t="str">
        <f>IF(Market_Data[[#This Row],[Estimated Concrete Demand (m³)]]="","",
IF(Market_Data[[#This Row],[Estimated Concrete Demand (m³)]]&lt;10000,"Small",
IF(Market_Data[[#This Row],[Estimated Concrete Demand (m³)]]&lt;25000,"Medium",
IF(Market_Data[[#This Row],[Estimated Concrete Demand (m³)]]&lt;100000,"Large","Mega"))))</f>
        <v>Small</v>
      </c>
      <c r="P1257" s="287" t="str">
        <f t="shared" si="21"/>
        <v>GujRERA</v>
      </c>
    </row>
    <row r="1258" spans="1:16">
      <c r="A1258" s="129" t="str">
        <f>_xlfn.XLOOKUP(B1258,$S$9:$S$14,$T$9:$T$14)&amp;"-"&amp;
IF(E1258="Residential/Group Housing","RES",
IF(E1258="Commercial","COM",
IF(E1258="Mixed Development","MIX",
IF(E1258="Plotted Development","PLT","OTH"))))
&amp;"-"&amp;TEXT(COUNTIFS($B$9:B1258,B1258,$E$9:E1258,E1258),"0000")</f>
        <v>SUR-COM-0189</v>
      </c>
      <c r="B1258" s="322" t="s">
        <v>34</v>
      </c>
      <c r="C1258" s="322" t="s">
        <v>34</v>
      </c>
      <c r="D1258" s="323" t="s">
        <v>1448</v>
      </c>
      <c r="E1258" s="132" t="s">
        <v>23</v>
      </c>
      <c r="F1258" s="97" t="str">
        <f ca="1">IF(OR(Market_Data[[#This Row],[Start Date]]="",Market_Data[[#This Row],[Completion Date]]=""),"Needs Validation",IF(Market_Data[[#This Row],[Start Date]]&gt;TODAY(),"Planned",IF(Market_Data[[#This Row],[Completion Date]]&lt;TODAY(),"Completed","Ongoing")))</f>
        <v>Ongoing</v>
      </c>
      <c r="G1258" s="324">
        <v>45934</v>
      </c>
      <c r="H1258" s="324">
        <v>47848</v>
      </c>
      <c r="I1258" s="325">
        <v>23600</v>
      </c>
      <c r="J125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258" s="133">
        <f>_xlfn.XLOOKUP(Market_Data[[#This Row],[Project Type]],tbl_assumptions_market[Project Category (RERA)],tbl_assumptions_market[Concrete Intensity
(m³ / sq m BUA)],"",0)</f>
        <v>0.5</v>
      </c>
      <c r="L1258" s="134">
        <f>ROUND(Market_Data[[#This Row],[Estimated Built Up Area (sq m)]]*Market_Data[[#This Row],[Concrete Intensity
(m³ / sq m)]],0)</f>
        <v>11800</v>
      </c>
      <c r="M1258" s="135">
        <f>_xlfn.XLOOKUP(Market_Data[[#This Row],[District]],tbl_district_price[District],tbl_district_price[Standard Price
(INR/m³)],"",0)</f>
        <v>6200</v>
      </c>
      <c r="N1258" s="364">
        <f>IF(OR(Market_Data[[#This Row],[Estimated Concrete Demand (m³)]]="",Market_Data[[#This Row],[Avg Price per (₹ / m³)]]=""),"",Market_Data[[#This Row],[Estimated Concrete Demand (m³)]]*Market_Data[[#This Row],[Avg Price per (₹ / m³)]]/10000000)</f>
        <v>7.3159999999999998</v>
      </c>
      <c r="O1258" s="97" t="str">
        <f>IF(Market_Data[[#This Row],[Estimated Concrete Demand (m³)]]="","",
IF(Market_Data[[#This Row],[Estimated Concrete Demand (m³)]]&lt;10000,"Small",
IF(Market_Data[[#This Row],[Estimated Concrete Demand (m³)]]&lt;25000,"Medium",
IF(Market_Data[[#This Row],[Estimated Concrete Demand (m³)]]&lt;100000,"Large","Mega"))))</f>
        <v>Medium</v>
      </c>
      <c r="P1258" s="287" t="str">
        <f t="shared" si="21"/>
        <v>GujRERA</v>
      </c>
    </row>
    <row r="1259" spans="1:16">
      <c r="A1259" s="129" t="str">
        <f>_xlfn.XLOOKUP(B1259,$S$9:$S$14,$T$9:$T$14)&amp;"-"&amp;
IF(E1259="Residential/Group Housing","RES",
IF(E1259="Commercial","COM",
IF(E1259="Mixed Development","MIX",
IF(E1259="Plotted Development","PLT","OTH"))))
&amp;"-"&amp;TEXT(COUNTIFS($B$9:B1259,B1259,$E$9:E1259,E1259),"0000")</f>
        <v>SUR-RES-0346</v>
      </c>
      <c r="B1259" s="322" t="s">
        <v>34</v>
      </c>
      <c r="C1259" s="322" t="s">
        <v>34</v>
      </c>
      <c r="D1259" s="323" t="s">
        <v>1449</v>
      </c>
      <c r="E1259" s="132" t="s">
        <v>24</v>
      </c>
      <c r="F1259" s="97" t="str">
        <f ca="1">IF(OR(Market_Data[[#This Row],[Start Date]]="",Market_Data[[#This Row],[Completion Date]]=""),"Needs Validation",IF(Market_Data[[#This Row],[Start Date]]&gt;TODAY(),"Planned",IF(Market_Data[[#This Row],[Completion Date]]&lt;TODAY(),"Completed","Ongoing")))</f>
        <v>Ongoing</v>
      </c>
      <c r="G1259" s="324">
        <v>45625</v>
      </c>
      <c r="H1259" s="324">
        <v>47483</v>
      </c>
      <c r="I1259" s="325">
        <v>26500</v>
      </c>
      <c r="J125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59" s="133">
        <f>_xlfn.XLOOKUP(Market_Data[[#This Row],[Project Type]],tbl_assumptions_market[Project Category (RERA)],tbl_assumptions_market[Concrete Intensity
(m³ / sq m BUA)],"",0)</f>
        <v>0.45</v>
      </c>
      <c r="L1259" s="134">
        <f>ROUND(Market_Data[[#This Row],[Estimated Built Up Area (sq m)]]*Market_Data[[#This Row],[Concrete Intensity
(m³ / sq m)]],0)</f>
        <v>11925</v>
      </c>
      <c r="M1259" s="135">
        <f>_xlfn.XLOOKUP(Market_Data[[#This Row],[District]],tbl_district_price[District],tbl_district_price[Standard Price
(INR/m³)],"",0)</f>
        <v>6200</v>
      </c>
      <c r="N1259" s="364">
        <f>IF(OR(Market_Data[[#This Row],[Estimated Concrete Demand (m³)]]="",Market_Data[[#This Row],[Avg Price per (₹ / m³)]]=""),"",Market_Data[[#This Row],[Estimated Concrete Demand (m³)]]*Market_Data[[#This Row],[Avg Price per (₹ / m³)]]/10000000)</f>
        <v>7.3935000000000004</v>
      </c>
      <c r="O1259" s="97" t="str">
        <f>IF(Market_Data[[#This Row],[Estimated Concrete Demand (m³)]]="","",
IF(Market_Data[[#This Row],[Estimated Concrete Demand (m³)]]&lt;10000,"Small",
IF(Market_Data[[#This Row],[Estimated Concrete Demand (m³)]]&lt;25000,"Medium",
IF(Market_Data[[#This Row],[Estimated Concrete Demand (m³)]]&lt;100000,"Large","Mega"))))</f>
        <v>Medium</v>
      </c>
      <c r="P1259" s="287" t="str">
        <f t="shared" si="21"/>
        <v>GujRERA</v>
      </c>
    </row>
    <row r="1260" spans="1:16">
      <c r="A1260" s="129" t="str">
        <f>_xlfn.XLOOKUP(B1260,$S$9:$S$14,$T$9:$T$14)&amp;"-"&amp;
IF(E1260="Residential/Group Housing","RES",
IF(E1260="Commercial","COM",
IF(E1260="Mixed Development","MIX",
IF(E1260="Plotted Development","PLT","OTH"))))
&amp;"-"&amp;TEXT(COUNTIFS($B$9:B1260,B1260,$E$9:E1260,E1260),"0000")</f>
        <v>SUR-RES-0347</v>
      </c>
      <c r="B1260" s="322" t="s">
        <v>34</v>
      </c>
      <c r="C1260" s="322" t="s">
        <v>34</v>
      </c>
      <c r="D1260" s="323" t="s">
        <v>1450</v>
      </c>
      <c r="E1260" s="132" t="s">
        <v>24</v>
      </c>
      <c r="F1260" s="97" t="str">
        <f ca="1">IF(OR(Market_Data[[#This Row],[Start Date]]="",Market_Data[[#This Row],[Completion Date]]=""),"Needs Validation",IF(Market_Data[[#This Row],[Start Date]]&gt;TODAY(),"Planned",IF(Market_Data[[#This Row],[Completion Date]]&lt;TODAY(),"Completed","Ongoing")))</f>
        <v>Completed</v>
      </c>
      <c r="G1260" s="324">
        <v>43584</v>
      </c>
      <c r="H1260" s="324">
        <v>45565</v>
      </c>
      <c r="I1260" s="325">
        <v>57400</v>
      </c>
      <c r="J126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60" s="133">
        <f>_xlfn.XLOOKUP(Market_Data[[#This Row],[Project Type]],tbl_assumptions_market[Project Category (RERA)],tbl_assumptions_market[Concrete Intensity
(m³ / sq m BUA)],"",0)</f>
        <v>0.45</v>
      </c>
      <c r="L1260" s="134">
        <f>ROUND(Market_Data[[#This Row],[Estimated Built Up Area (sq m)]]*Market_Data[[#This Row],[Concrete Intensity
(m³ / sq m)]],0)</f>
        <v>25830</v>
      </c>
      <c r="M1260" s="135">
        <f>_xlfn.XLOOKUP(Market_Data[[#This Row],[District]],tbl_district_price[District],tbl_district_price[Standard Price
(INR/m³)],"",0)</f>
        <v>6200</v>
      </c>
      <c r="N1260" s="364">
        <f>IF(OR(Market_Data[[#This Row],[Estimated Concrete Demand (m³)]]="",Market_Data[[#This Row],[Avg Price per (₹ / m³)]]=""),"",Market_Data[[#This Row],[Estimated Concrete Demand (m³)]]*Market_Data[[#This Row],[Avg Price per (₹ / m³)]]/10000000)</f>
        <v>16.014600000000002</v>
      </c>
      <c r="O1260" s="97" t="str">
        <f>IF(Market_Data[[#This Row],[Estimated Concrete Demand (m³)]]="","",
IF(Market_Data[[#This Row],[Estimated Concrete Demand (m³)]]&lt;10000,"Small",
IF(Market_Data[[#This Row],[Estimated Concrete Demand (m³)]]&lt;25000,"Medium",
IF(Market_Data[[#This Row],[Estimated Concrete Demand (m³)]]&lt;100000,"Large","Mega"))))</f>
        <v>Large</v>
      </c>
      <c r="P1260" s="287" t="str">
        <f t="shared" si="21"/>
        <v>GujRERA</v>
      </c>
    </row>
    <row r="1261" spans="1:16">
      <c r="A1261" s="129" t="str">
        <f>_xlfn.XLOOKUP(B1261,$S$9:$S$14,$T$9:$T$14)&amp;"-"&amp;
IF(E1261="Residential/Group Housing","RES",
IF(E1261="Commercial","COM",
IF(E1261="Mixed Development","MIX",
IF(E1261="Plotted Development","PLT","OTH"))))
&amp;"-"&amp;TEXT(COUNTIFS($B$9:B1261,B1261,$E$9:E1261,E1261),"0000")</f>
        <v>SUR-RES-0348</v>
      </c>
      <c r="B1261" s="322" t="s">
        <v>34</v>
      </c>
      <c r="C1261" s="322" t="s">
        <v>34</v>
      </c>
      <c r="D1261" s="323" t="s">
        <v>1451</v>
      </c>
      <c r="E1261" s="132" t="s">
        <v>24</v>
      </c>
      <c r="F1261" s="97" t="str">
        <f ca="1">IF(OR(Market_Data[[#This Row],[Start Date]]="",Market_Data[[#This Row],[Completion Date]]=""),"Needs Validation",IF(Market_Data[[#This Row],[Start Date]]&gt;TODAY(),"Planned",IF(Market_Data[[#This Row],[Completion Date]]&lt;TODAY(),"Completed","Ongoing")))</f>
        <v>Ongoing</v>
      </c>
      <c r="G1261" s="324">
        <v>45626</v>
      </c>
      <c r="H1261" s="324">
        <v>47483</v>
      </c>
      <c r="I1261" s="325">
        <v>20600</v>
      </c>
      <c r="J126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61" s="133">
        <f>_xlfn.XLOOKUP(Market_Data[[#This Row],[Project Type]],tbl_assumptions_market[Project Category (RERA)],tbl_assumptions_market[Concrete Intensity
(m³ / sq m BUA)],"",0)</f>
        <v>0.45</v>
      </c>
      <c r="L1261" s="134">
        <f>ROUND(Market_Data[[#This Row],[Estimated Built Up Area (sq m)]]*Market_Data[[#This Row],[Concrete Intensity
(m³ / sq m)]],0)</f>
        <v>9270</v>
      </c>
      <c r="M1261" s="135">
        <f>_xlfn.XLOOKUP(Market_Data[[#This Row],[District]],tbl_district_price[District],tbl_district_price[Standard Price
(INR/m³)],"",0)</f>
        <v>6200</v>
      </c>
      <c r="N1261" s="364">
        <f>IF(OR(Market_Data[[#This Row],[Estimated Concrete Demand (m³)]]="",Market_Data[[#This Row],[Avg Price per (₹ / m³)]]=""),"",Market_Data[[#This Row],[Estimated Concrete Demand (m³)]]*Market_Data[[#This Row],[Avg Price per (₹ / m³)]]/10000000)</f>
        <v>5.7473999999999998</v>
      </c>
      <c r="O1261" s="97" t="str">
        <f>IF(Market_Data[[#This Row],[Estimated Concrete Demand (m³)]]="","",
IF(Market_Data[[#This Row],[Estimated Concrete Demand (m³)]]&lt;10000,"Small",
IF(Market_Data[[#This Row],[Estimated Concrete Demand (m³)]]&lt;25000,"Medium",
IF(Market_Data[[#This Row],[Estimated Concrete Demand (m³)]]&lt;100000,"Large","Mega"))))</f>
        <v>Small</v>
      </c>
      <c r="P1261" s="287" t="str">
        <f t="shared" si="21"/>
        <v>GujRERA</v>
      </c>
    </row>
    <row r="1262" spans="1:16">
      <c r="A1262" s="129" t="str">
        <f>_xlfn.XLOOKUP(B1262,$S$9:$S$14,$T$9:$T$14)&amp;"-"&amp;
IF(E1262="Residential/Group Housing","RES",
IF(E1262="Commercial","COM",
IF(E1262="Mixed Development","MIX",
IF(E1262="Plotted Development","PLT","OTH"))))
&amp;"-"&amp;TEXT(COUNTIFS($B$9:B1262,B1262,$E$9:E1262,E1262),"0000")</f>
        <v>SUR-RES-0349</v>
      </c>
      <c r="B1262" s="322" t="s">
        <v>34</v>
      </c>
      <c r="C1262" s="322" t="s">
        <v>34</v>
      </c>
      <c r="D1262" s="323" t="s">
        <v>1452</v>
      </c>
      <c r="E1262" s="132" t="s">
        <v>24</v>
      </c>
      <c r="F1262" s="97" t="str">
        <f ca="1">IF(OR(Market_Data[[#This Row],[Start Date]]="",Market_Data[[#This Row],[Completion Date]]=""),"Needs Validation",IF(Market_Data[[#This Row],[Start Date]]&gt;TODAY(),"Planned",IF(Market_Data[[#This Row],[Completion Date]]&lt;TODAY(),"Completed","Ongoing")))</f>
        <v>Ongoing</v>
      </c>
      <c r="G1262" s="324">
        <v>44945</v>
      </c>
      <c r="H1262" s="324">
        <v>47299</v>
      </c>
      <c r="I1262" s="325">
        <v>57000</v>
      </c>
      <c r="J126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62" s="133">
        <f>_xlfn.XLOOKUP(Market_Data[[#This Row],[Project Type]],tbl_assumptions_market[Project Category (RERA)],tbl_assumptions_market[Concrete Intensity
(m³ / sq m BUA)],"",0)</f>
        <v>0.45</v>
      </c>
      <c r="L1262" s="134">
        <f>ROUND(Market_Data[[#This Row],[Estimated Built Up Area (sq m)]]*Market_Data[[#This Row],[Concrete Intensity
(m³ / sq m)]],0)</f>
        <v>25650</v>
      </c>
      <c r="M1262" s="135">
        <f>_xlfn.XLOOKUP(Market_Data[[#This Row],[District]],tbl_district_price[District],tbl_district_price[Standard Price
(INR/m³)],"",0)</f>
        <v>6200</v>
      </c>
      <c r="N1262" s="364">
        <f>IF(OR(Market_Data[[#This Row],[Estimated Concrete Demand (m³)]]="",Market_Data[[#This Row],[Avg Price per (₹ / m³)]]=""),"",Market_Data[[#This Row],[Estimated Concrete Demand (m³)]]*Market_Data[[#This Row],[Avg Price per (₹ / m³)]]/10000000)</f>
        <v>15.903</v>
      </c>
      <c r="O1262" s="97" t="str">
        <f>IF(Market_Data[[#This Row],[Estimated Concrete Demand (m³)]]="","",
IF(Market_Data[[#This Row],[Estimated Concrete Demand (m³)]]&lt;10000,"Small",
IF(Market_Data[[#This Row],[Estimated Concrete Demand (m³)]]&lt;25000,"Medium",
IF(Market_Data[[#This Row],[Estimated Concrete Demand (m³)]]&lt;100000,"Large","Mega"))))</f>
        <v>Large</v>
      </c>
      <c r="P1262" s="287" t="str">
        <f t="shared" si="21"/>
        <v>GujRERA</v>
      </c>
    </row>
    <row r="1263" spans="1:16">
      <c r="A1263" s="129" t="str">
        <f>_xlfn.XLOOKUP(B1263,$S$9:$S$14,$T$9:$T$14)&amp;"-"&amp;
IF(E1263="Residential/Group Housing","RES",
IF(E1263="Commercial","COM",
IF(E1263="Mixed Development","MIX",
IF(E1263="Plotted Development","PLT","OTH"))))
&amp;"-"&amp;TEXT(COUNTIFS($B$9:B1263,B1263,$E$9:E1263,E1263),"0000")</f>
        <v>SUR-MIX-0171</v>
      </c>
      <c r="B1263" s="322" t="s">
        <v>34</v>
      </c>
      <c r="C1263" s="322" t="s">
        <v>34</v>
      </c>
      <c r="D1263" s="323" t="s">
        <v>1453</v>
      </c>
      <c r="E1263" s="132" t="s">
        <v>25</v>
      </c>
      <c r="F1263" s="97" t="str">
        <f ca="1">IF(OR(Market_Data[[#This Row],[Start Date]]="",Market_Data[[#This Row],[Completion Date]]=""),"Needs Validation",IF(Market_Data[[#This Row],[Start Date]]&gt;TODAY(),"Planned",IF(Market_Data[[#This Row],[Completion Date]]&lt;TODAY(),"Completed","Ongoing")))</f>
        <v>Ongoing</v>
      </c>
      <c r="G1263" s="324">
        <v>45062</v>
      </c>
      <c r="H1263" s="324">
        <v>47299</v>
      </c>
      <c r="I1263" s="325">
        <v>55200</v>
      </c>
      <c r="J126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63" s="133">
        <f>_xlfn.XLOOKUP(Market_Data[[#This Row],[Project Type]],tbl_assumptions_market[Project Category (RERA)],tbl_assumptions_market[Concrete Intensity
(m³ / sq m BUA)],"",0)</f>
        <v>0.42</v>
      </c>
      <c r="L1263" s="134">
        <f>ROUND(Market_Data[[#This Row],[Estimated Built Up Area (sq m)]]*Market_Data[[#This Row],[Concrete Intensity
(m³ / sq m)]],0)</f>
        <v>23184</v>
      </c>
      <c r="M1263" s="135">
        <f>_xlfn.XLOOKUP(Market_Data[[#This Row],[District]],tbl_district_price[District],tbl_district_price[Standard Price
(INR/m³)],"",0)</f>
        <v>6200</v>
      </c>
      <c r="N1263" s="364">
        <f>IF(OR(Market_Data[[#This Row],[Estimated Concrete Demand (m³)]]="",Market_Data[[#This Row],[Avg Price per (₹ / m³)]]=""),"",Market_Data[[#This Row],[Estimated Concrete Demand (m³)]]*Market_Data[[#This Row],[Avg Price per (₹ / m³)]]/10000000)</f>
        <v>14.374079999999999</v>
      </c>
      <c r="O1263" s="97" t="str">
        <f>IF(Market_Data[[#This Row],[Estimated Concrete Demand (m³)]]="","",
IF(Market_Data[[#This Row],[Estimated Concrete Demand (m³)]]&lt;10000,"Small",
IF(Market_Data[[#This Row],[Estimated Concrete Demand (m³)]]&lt;25000,"Medium",
IF(Market_Data[[#This Row],[Estimated Concrete Demand (m³)]]&lt;100000,"Large","Mega"))))</f>
        <v>Medium</v>
      </c>
      <c r="P1263" s="287" t="str">
        <f t="shared" si="21"/>
        <v>GujRERA</v>
      </c>
    </row>
    <row r="1264" spans="1:16">
      <c r="A1264" s="129" t="str">
        <f>_xlfn.XLOOKUP(B1264,$S$9:$S$14,$T$9:$T$14)&amp;"-"&amp;
IF(E1264="Residential/Group Housing","RES",
IF(E1264="Commercial","COM",
IF(E1264="Mixed Development","MIX",
IF(E1264="Plotted Development","PLT","OTH"))))
&amp;"-"&amp;TEXT(COUNTIFS($B$9:B1264,B1264,$E$9:E1264,E1264),"0000")</f>
        <v>SUR-RES-0350</v>
      </c>
      <c r="B1264" s="322" t="s">
        <v>34</v>
      </c>
      <c r="C1264" s="322" t="s">
        <v>34</v>
      </c>
      <c r="D1264" s="323" t="s">
        <v>1454</v>
      </c>
      <c r="E1264" s="132" t="s">
        <v>24</v>
      </c>
      <c r="F1264" s="97" t="str">
        <f ca="1">IF(OR(Market_Data[[#This Row],[Start Date]]="",Market_Data[[#This Row],[Completion Date]]=""),"Needs Validation",IF(Market_Data[[#This Row],[Start Date]]&gt;TODAY(),"Planned",IF(Market_Data[[#This Row],[Completion Date]]&lt;TODAY(),"Completed","Ongoing")))</f>
        <v>Ongoing</v>
      </c>
      <c r="G1264" s="324">
        <v>45378</v>
      </c>
      <c r="H1264" s="324">
        <v>47208</v>
      </c>
      <c r="I1264" s="325">
        <v>26500</v>
      </c>
      <c r="J126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64" s="133">
        <f>_xlfn.XLOOKUP(Market_Data[[#This Row],[Project Type]],tbl_assumptions_market[Project Category (RERA)],tbl_assumptions_market[Concrete Intensity
(m³ / sq m BUA)],"",0)</f>
        <v>0.45</v>
      </c>
      <c r="L1264" s="134">
        <f>ROUND(Market_Data[[#This Row],[Estimated Built Up Area (sq m)]]*Market_Data[[#This Row],[Concrete Intensity
(m³ / sq m)]],0)</f>
        <v>11925</v>
      </c>
      <c r="M1264" s="135">
        <f>_xlfn.XLOOKUP(Market_Data[[#This Row],[District]],tbl_district_price[District],tbl_district_price[Standard Price
(INR/m³)],"",0)</f>
        <v>6200</v>
      </c>
      <c r="N1264" s="364">
        <f>IF(OR(Market_Data[[#This Row],[Estimated Concrete Demand (m³)]]="",Market_Data[[#This Row],[Avg Price per (₹ / m³)]]=""),"",Market_Data[[#This Row],[Estimated Concrete Demand (m³)]]*Market_Data[[#This Row],[Avg Price per (₹ / m³)]]/10000000)</f>
        <v>7.3935000000000004</v>
      </c>
      <c r="O1264" s="97" t="str">
        <f>IF(Market_Data[[#This Row],[Estimated Concrete Demand (m³)]]="","",
IF(Market_Data[[#This Row],[Estimated Concrete Demand (m³)]]&lt;10000,"Small",
IF(Market_Data[[#This Row],[Estimated Concrete Demand (m³)]]&lt;25000,"Medium",
IF(Market_Data[[#This Row],[Estimated Concrete Demand (m³)]]&lt;100000,"Large","Mega"))))</f>
        <v>Medium</v>
      </c>
      <c r="P1264" s="287" t="str">
        <f t="shared" si="21"/>
        <v>GujRERA</v>
      </c>
    </row>
    <row r="1265" spans="1:16">
      <c r="A1265" s="129" t="str">
        <f>_xlfn.XLOOKUP(B1265,$S$9:$S$14,$T$9:$T$14)&amp;"-"&amp;
IF(E1265="Residential/Group Housing","RES",
IF(E1265="Commercial","COM",
IF(E1265="Mixed Development","MIX",
IF(E1265="Plotted Development","PLT","OTH"))))
&amp;"-"&amp;TEXT(COUNTIFS($B$9:B1265,B1265,$E$9:E1265,E1265),"0000")</f>
        <v>SUR-PLT-0237</v>
      </c>
      <c r="B1265" s="322" t="s">
        <v>34</v>
      </c>
      <c r="C1265" s="322" t="s">
        <v>34</v>
      </c>
      <c r="D1265" s="323" t="s">
        <v>1455</v>
      </c>
      <c r="E1265" s="132" t="s">
        <v>26</v>
      </c>
      <c r="F1265" s="97" t="str">
        <f ca="1">IF(OR(Market_Data[[#This Row],[Start Date]]="",Market_Data[[#This Row],[Completion Date]]=""),"Needs Validation",IF(Market_Data[[#This Row],[Start Date]]&gt;TODAY(),"Planned",IF(Market_Data[[#This Row],[Completion Date]]&lt;TODAY(),"Completed","Ongoing")))</f>
        <v>Ongoing</v>
      </c>
      <c r="G1265" s="324">
        <v>45646</v>
      </c>
      <c r="H1265" s="324">
        <v>46752</v>
      </c>
      <c r="I1265" s="325">
        <v>39100</v>
      </c>
      <c r="J126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265" s="133">
        <f>_xlfn.XLOOKUP(Market_Data[[#This Row],[Project Type]],tbl_assumptions_market[Project Category (RERA)],tbl_assumptions_market[Concrete Intensity
(m³ / sq m BUA)],"",0)</f>
        <v>0.18</v>
      </c>
      <c r="L1265" s="134">
        <f>ROUND(Market_Data[[#This Row],[Estimated Built Up Area (sq m)]]*Market_Data[[#This Row],[Concrete Intensity
(m³ / sq m)]],0)</f>
        <v>7038</v>
      </c>
      <c r="M1265" s="135">
        <f>_xlfn.XLOOKUP(Market_Data[[#This Row],[District]],tbl_district_price[District],tbl_district_price[Standard Price
(INR/m³)],"",0)</f>
        <v>6200</v>
      </c>
      <c r="N1265" s="364">
        <f>IF(OR(Market_Data[[#This Row],[Estimated Concrete Demand (m³)]]="",Market_Data[[#This Row],[Avg Price per (₹ / m³)]]=""),"",Market_Data[[#This Row],[Estimated Concrete Demand (m³)]]*Market_Data[[#This Row],[Avg Price per (₹ / m³)]]/10000000)</f>
        <v>4.3635599999999997</v>
      </c>
      <c r="O1265" s="97" t="str">
        <f>IF(Market_Data[[#This Row],[Estimated Concrete Demand (m³)]]="","",
IF(Market_Data[[#This Row],[Estimated Concrete Demand (m³)]]&lt;10000,"Small",
IF(Market_Data[[#This Row],[Estimated Concrete Demand (m³)]]&lt;25000,"Medium",
IF(Market_Data[[#This Row],[Estimated Concrete Demand (m³)]]&lt;100000,"Large","Mega"))))</f>
        <v>Small</v>
      </c>
      <c r="P1265" s="287" t="str">
        <f t="shared" si="21"/>
        <v>GujRERA</v>
      </c>
    </row>
    <row r="1266" spans="1:16">
      <c r="A1266" s="129" t="str">
        <f>_xlfn.XLOOKUP(B1266,$S$9:$S$14,$T$9:$T$14)&amp;"-"&amp;
IF(E1266="Residential/Group Housing","RES",
IF(E1266="Commercial","COM",
IF(E1266="Mixed Development","MIX",
IF(E1266="Plotted Development","PLT","OTH"))))
&amp;"-"&amp;TEXT(COUNTIFS($B$9:B1266,B1266,$E$9:E1266,E1266),"0000")</f>
        <v>SUR-RES-0351</v>
      </c>
      <c r="B1266" s="322" t="s">
        <v>34</v>
      </c>
      <c r="C1266" s="322" t="s">
        <v>34</v>
      </c>
      <c r="D1266" s="323" t="s">
        <v>1456</v>
      </c>
      <c r="E1266" s="132" t="s">
        <v>24</v>
      </c>
      <c r="F1266" s="97" t="str">
        <f ca="1">IF(OR(Market_Data[[#This Row],[Start Date]]="",Market_Data[[#This Row],[Completion Date]]=""),"Needs Validation",IF(Market_Data[[#This Row],[Start Date]]&gt;TODAY(),"Planned",IF(Market_Data[[#This Row],[Completion Date]]&lt;TODAY(),"Completed","Ongoing")))</f>
        <v>Completed</v>
      </c>
      <c r="G1266" s="324">
        <v>43235</v>
      </c>
      <c r="H1266" s="324">
        <v>44742</v>
      </c>
      <c r="I1266" s="325">
        <v>54800</v>
      </c>
      <c r="J126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66" s="133">
        <f>_xlfn.XLOOKUP(Market_Data[[#This Row],[Project Type]],tbl_assumptions_market[Project Category (RERA)],tbl_assumptions_market[Concrete Intensity
(m³ / sq m BUA)],"",0)</f>
        <v>0.45</v>
      </c>
      <c r="L1266" s="134">
        <f>ROUND(Market_Data[[#This Row],[Estimated Built Up Area (sq m)]]*Market_Data[[#This Row],[Concrete Intensity
(m³ / sq m)]],0)</f>
        <v>24660</v>
      </c>
      <c r="M1266" s="135">
        <f>_xlfn.XLOOKUP(Market_Data[[#This Row],[District]],tbl_district_price[District],tbl_district_price[Standard Price
(INR/m³)],"",0)</f>
        <v>6200</v>
      </c>
      <c r="N1266" s="364">
        <f>IF(OR(Market_Data[[#This Row],[Estimated Concrete Demand (m³)]]="",Market_Data[[#This Row],[Avg Price per (₹ / m³)]]=""),"",Market_Data[[#This Row],[Estimated Concrete Demand (m³)]]*Market_Data[[#This Row],[Avg Price per (₹ / m³)]]/10000000)</f>
        <v>15.289199999999999</v>
      </c>
      <c r="O1266" s="97" t="str">
        <f>IF(Market_Data[[#This Row],[Estimated Concrete Demand (m³)]]="","",
IF(Market_Data[[#This Row],[Estimated Concrete Demand (m³)]]&lt;10000,"Small",
IF(Market_Data[[#This Row],[Estimated Concrete Demand (m³)]]&lt;25000,"Medium",
IF(Market_Data[[#This Row],[Estimated Concrete Demand (m³)]]&lt;100000,"Large","Mega"))))</f>
        <v>Medium</v>
      </c>
      <c r="P1266" s="287" t="str">
        <f t="shared" si="21"/>
        <v>GujRERA</v>
      </c>
    </row>
    <row r="1267" spans="1:16">
      <c r="A1267" s="129" t="str">
        <f>_xlfn.XLOOKUP(B1267,$S$9:$S$14,$T$9:$T$14)&amp;"-"&amp;
IF(E1267="Residential/Group Housing","RES",
IF(E1267="Commercial","COM",
IF(E1267="Mixed Development","MIX",
IF(E1267="Plotted Development","PLT","OTH"))))
&amp;"-"&amp;TEXT(COUNTIFS($B$9:B1267,B1267,$E$9:E1267,E1267),"0000")</f>
        <v>SUR-PLT-0238</v>
      </c>
      <c r="B1267" s="322" t="s">
        <v>34</v>
      </c>
      <c r="C1267" s="322" t="s">
        <v>34</v>
      </c>
      <c r="D1267" s="323" t="s">
        <v>1457</v>
      </c>
      <c r="E1267" s="132" t="s">
        <v>26</v>
      </c>
      <c r="F1267" s="97" t="str">
        <f ca="1">IF(OR(Market_Data[[#This Row],[Start Date]]="",Market_Data[[#This Row],[Completion Date]]=""),"Needs Validation",IF(Market_Data[[#This Row],[Start Date]]&gt;TODAY(),"Planned",IF(Market_Data[[#This Row],[Completion Date]]&lt;TODAY(),"Completed","Ongoing")))</f>
        <v>Ongoing</v>
      </c>
      <c r="G1267" s="324">
        <v>45385</v>
      </c>
      <c r="H1267" s="324">
        <v>47118</v>
      </c>
      <c r="I1267" s="325">
        <v>47300</v>
      </c>
      <c r="J126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267" s="133">
        <f>_xlfn.XLOOKUP(Market_Data[[#This Row],[Project Type]],tbl_assumptions_market[Project Category (RERA)],tbl_assumptions_market[Concrete Intensity
(m³ / sq m BUA)],"",0)</f>
        <v>0.18</v>
      </c>
      <c r="L1267" s="134">
        <f>ROUND(Market_Data[[#This Row],[Estimated Built Up Area (sq m)]]*Market_Data[[#This Row],[Concrete Intensity
(m³ / sq m)]],0)</f>
        <v>8514</v>
      </c>
      <c r="M1267" s="135">
        <f>_xlfn.XLOOKUP(Market_Data[[#This Row],[District]],tbl_district_price[District],tbl_district_price[Standard Price
(INR/m³)],"",0)</f>
        <v>6200</v>
      </c>
      <c r="N1267" s="364">
        <f>IF(OR(Market_Data[[#This Row],[Estimated Concrete Demand (m³)]]="",Market_Data[[#This Row],[Avg Price per (₹ / m³)]]=""),"",Market_Data[[#This Row],[Estimated Concrete Demand (m³)]]*Market_Data[[#This Row],[Avg Price per (₹ / m³)]]/10000000)</f>
        <v>5.2786799999999996</v>
      </c>
      <c r="O1267" s="97" t="str">
        <f>IF(Market_Data[[#This Row],[Estimated Concrete Demand (m³)]]="","",
IF(Market_Data[[#This Row],[Estimated Concrete Demand (m³)]]&lt;10000,"Small",
IF(Market_Data[[#This Row],[Estimated Concrete Demand (m³)]]&lt;25000,"Medium",
IF(Market_Data[[#This Row],[Estimated Concrete Demand (m³)]]&lt;100000,"Large","Mega"))))</f>
        <v>Small</v>
      </c>
      <c r="P1267" s="287" t="str">
        <f t="shared" si="21"/>
        <v>GujRERA</v>
      </c>
    </row>
    <row r="1268" spans="1:16">
      <c r="A1268" s="129" t="str">
        <f>_xlfn.XLOOKUP(B1268,$S$9:$S$14,$T$9:$T$14)&amp;"-"&amp;
IF(E1268="Residential/Group Housing","RES",
IF(E1268="Commercial","COM",
IF(E1268="Mixed Development","MIX",
IF(E1268="Plotted Development","PLT","OTH"))))
&amp;"-"&amp;TEXT(COUNTIFS($B$9:B1268,B1268,$E$9:E1268,E1268),"0000")</f>
        <v>SUR-PLT-0239</v>
      </c>
      <c r="B1268" s="322" t="s">
        <v>34</v>
      </c>
      <c r="C1268" s="322" t="s">
        <v>34</v>
      </c>
      <c r="D1268" s="323" t="s">
        <v>1458</v>
      </c>
      <c r="E1268" s="132" t="s">
        <v>26</v>
      </c>
      <c r="F1268" s="97" t="str">
        <f ca="1">IF(OR(Market_Data[[#This Row],[Start Date]]="",Market_Data[[#This Row],[Completion Date]]=""),"Needs Validation",IF(Market_Data[[#This Row],[Start Date]]&gt;TODAY(),"Planned",IF(Market_Data[[#This Row],[Completion Date]]&lt;TODAY(),"Completed","Ongoing")))</f>
        <v>Completed</v>
      </c>
      <c r="G1268" s="324">
        <v>44704</v>
      </c>
      <c r="H1268" s="324">
        <v>45657</v>
      </c>
      <c r="I1268" s="325">
        <v>37700</v>
      </c>
      <c r="J126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268" s="133">
        <f>_xlfn.XLOOKUP(Market_Data[[#This Row],[Project Type]],tbl_assumptions_market[Project Category (RERA)],tbl_assumptions_market[Concrete Intensity
(m³ / sq m BUA)],"",0)</f>
        <v>0.18</v>
      </c>
      <c r="L1268" s="134">
        <f>ROUND(Market_Data[[#This Row],[Estimated Built Up Area (sq m)]]*Market_Data[[#This Row],[Concrete Intensity
(m³ / sq m)]],0)</f>
        <v>6786</v>
      </c>
      <c r="M1268" s="135">
        <f>_xlfn.XLOOKUP(Market_Data[[#This Row],[District]],tbl_district_price[District],tbl_district_price[Standard Price
(INR/m³)],"",0)</f>
        <v>6200</v>
      </c>
      <c r="N1268" s="364">
        <f>IF(OR(Market_Data[[#This Row],[Estimated Concrete Demand (m³)]]="",Market_Data[[#This Row],[Avg Price per (₹ / m³)]]=""),"",Market_Data[[#This Row],[Estimated Concrete Demand (m³)]]*Market_Data[[#This Row],[Avg Price per (₹ / m³)]]/10000000)</f>
        <v>4.2073200000000002</v>
      </c>
      <c r="O1268" s="97" t="str">
        <f>IF(Market_Data[[#This Row],[Estimated Concrete Demand (m³)]]="","",
IF(Market_Data[[#This Row],[Estimated Concrete Demand (m³)]]&lt;10000,"Small",
IF(Market_Data[[#This Row],[Estimated Concrete Demand (m³)]]&lt;25000,"Medium",
IF(Market_Data[[#This Row],[Estimated Concrete Demand (m³)]]&lt;100000,"Large","Mega"))))</f>
        <v>Small</v>
      </c>
      <c r="P1268" s="287" t="str">
        <f t="shared" si="21"/>
        <v>GujRERA</v>
      </c>
    </row>
    <row r="1269" spans="1:16">
      <c r="A1269" s="129" t="str">
        <f>_xlfn.XLOOKUP(B1269,$S$9:$S$14,$T$9:$T$14)&amp;"-"&amp;
IF(E1269="Residential/Group Housing","RES",
IF(E1269="Commercial","COM",
IF(E1269="Mixed Development","MIX",
IF(E1269="Plotted Development","PLT","OTH"))))
&amp;"-"&amp;TEXT(COUNTIFS($B$9:B1269,B1269,$E$9:E1269,E1269),"0000")</f>
        <v>SUR-MIX-0172</v>
      </c>
      <c r="B1269" s="322" t="s">
        <v>34</v>
      </c>
      <c r="C1269" s="322" t="s">
        <v>34</v>
      </c>
      <c r="D1269" s="323" t="s">
        <v>1459</v>
      </c>
      <c r="E1269" s="132" t="s">
        <v>25</v>
      </c>
      <c r="F1269" s="97" t="str">
        <f ca="1">IF(OR(Market_Data[[#This Row],[Start Date]]="",Market_Data[[#This Row],[Completion Date]]=""),"Needs Validation",IF(Market_Data[[#This Row],[Start Date]]&gt;TODAY(),"Planned",IF(Market_Data[[#This Row],[Completion Date]]&lt;TODAY(),"Completed","Ongoing")))</f>
        <v>Ongoing</v>
      </c>
      <c r="G1269" s="324">
        <v>43449</v>
      </c>
      <c r="H1269" s="324">
        <v>47026</v>
      </c>
      <c r="I1269" s="325">
        <v>29200</v>
      </c>
      <c r="J126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69" s="133">
        <f>_xlfn.XLOOKUP(Market_Data[[#This Row],[Project Type]],tbl_assumptions_market[Project Category (RERA)],tbl_assumptions_market[Concrete Intensity
(m³ / sq m BUA)],"",0)</f>
        <v>0.42</v>
      </c>
      <c r="L1269" s="134">
        <f>ROUND(Market_Data[[#This Row],[Estimated Built Up Area (sq m)]]*Market_Data[[#This Row],[Concrete Intensity
(m³ / sq m)]],0)</f>
        <v>12264</v>
      </c>
      <c r="M1269" s="135">
        <f>_xlfn.XLOOKUP(Market_Data[[#This Row],[District]],tbl_district_price[District],tbl_district_price[Standard Price
(INR/m³)],"",0)</f>
        <v>6200</v>
      </c>
      <c r="N1269" s="364">
        <f>IF(OR(Market_Data[[#This Row],[Estimated Concrete Demand (m³)]]="",Market_Data[[#This Row],[Avg Price per (₹ / m³)]]=""),"",Market_Data[[#This Row],[Estimated Concrete Demand (m³)]]*Market_Data[[#This Row],[Avg Price per (₹ / m³)]]/10000000)</f>
        <v>7.6036799999999998</v>
      </c>
      <c r="O1269" s="97" t="str">
        <f>IF(Market_Data[[#This Row],[Estimated Concrete Demand (m³)]]="","",
IF(Market_Data[[#This Row],[Estimated Concrete Demand (m³)]]&lt;10000,"Small",
IF(Market_Data[[#This Row],[Estimated Concrete Demand (m³)]]&lt;25000,"Medium",
IF(Market_Data[[#This Row],[Estimated Concrete Demand (m³)]]&lt;100000,"Large","Mega"))))</f>
        <v>Medium</v>
      </c>
      <c r="P1269" s="287" t="str">
        <f t="shared" si="21"/>
        <v>GujRERA</v>
      </c>
    </row>
    <row r="1270" spans="1:16">
      <c r="A1270" s="129" t="str">
        <f>_xlfn.XLOOKUP(B1270,$S$9:$S$14,$T$9:$T$14)&amp;"-"&amp;
IF(E1270="Residential/Group Housing","RES",
IF(E1270="Commercial","COM",
IF(E1270="Mixed Development","MIX",
IF(E1270="Plotted Development","PLT","OTH"))))
&amp;"-"&amp;TEXT(COUNTIFS($B$9:B1270,B1270,$E$9:E1270,E1270),"0000")</f>
        <v>SUR-PLT-0240</v>
      </c>
      <c r="B1270" s="322" t="s">
        <v>34</v>
      </c>
      <c r="C1270" s="322" t="s">
        <v>34</v>
      </c>
      <c r="D1270" s="323" t="s">
        <v>1460</v>
      </c>
      <c r="E1270" s="132" t="s">
        <v>26</v>
      </c>
      <c r="F1270" s="97" t="str">
        <f ca="1">IF(OR(Market_Data[[#This Row],[Start Date]]="",Market_Data[[#This Row],[Completion Date]]=""),"Needs Validation",IF(Market_Data[[#This Row],[Start Date]]&gt;TODAY(),"Planned",IF(Market_Data[[#This Row],[Completion Date]]&lt;TODAY(),"Completed","Ongoing")))</f>
        <v>Ongoing</v>
      </c>
      <c r="G1270" s="324">
        <v>44981</v>
      </c>
      <c r="H1270" s="324">
        <v>46387</v>
      </c>
      <c r="I1270" s="325">
        <v>39600</v>
      </c>
      <c r="J127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270" s="133">
        <f>_xlfn.XLOOKUP(Market_Data[[#This Row],[Project Type]],tbl_assumptions_market[Project Category (RERA)],tbl_assumptions_market[Concrete Intensity
(m³ / sq m BUA)],"",0)</f>
        <v>0.18</v>
      </c>
      <c r="L1270" s="134">
        <f>ROUND(Market_Data[[#This Row],[Estimated Built Up Area (sq m)]]*Market_Data[[#This Row],[Concrete Intensity
(m³ / sq m)]],0)</f>
        <v>7128</v>
      </c>
      <c r="M1270" s="135">
        <f>_xlfn.XLOOKUP(Market_Data[[#This Row],[District]],tbl_district_price[District],tbl_district_price[Standard Price
(INR/m³)],"",0)</f>
        <v>6200</v>
      </c>
      <c r="N1270" s="364">
        <f>IF(OR(Market_Data[[#This Row],[Estimated Concrete Demand (m³)]]="",Market_Data[[#This Row],[Avg Price per (₹ / m³)]]=""),"",Market_Data[[#This Row],[Estimated Concrete Demand (m³)]]*Market_Data[[#This Row],[Avg Price per (₹ / m³)]]/10000000)</f>
        <v>4.4193600000000002</v>
      </c>
      <c r="O1270" s="97" t="str">
        <f>IF(Market_Data[[#This Row],[Estimated Concrete Demand (m³)]]="","",
IF(Market_Data[[#This Row],[Estimated Concrete Demand (m³)]]&lt;10000,"Small",
IF(Market_Data[[#This Row],[Estimated Concrete Demand (m³)]]&lt;25000,"Medium",
IF(Market_Data[[#This Row],[Estimated Concrete Demand (m³)]]&lt;100000,"Large","Mega"))))</f>
        <v>Small</v>
      </c>
      <c r="P1270" s="287" t="str">
        <f t="shared" si="21"/>
        <v>GujRERA</v>
      </c>
    </row>
    <row r="1271" spans="1:16">
      <c r="A1271" s="129" t="str">
        <f>_xlfn.XLOOKUP(B1271,$S$9:$S$14,$T$9:$T$14)&amp;"-"&amp;
IF(E1271="Residential/Group Housing","RES",
IF(E1271="Commercial","COM",
IF(E1271="Mixed Development","MIX",
IF(E1271="Plotted Development","PLT","OTH"))))
&amp;"-"&amp;TEXT(COUNTIFS($B$9:B1271,B1271,$E$9:E1271,E1271),"0000")</f>
        <v>SUR-PLT-0241</v>
      </c>
      <c r="B1271" s="322" t="s">
        <v>34</v>
      </c>
      <c r="C1271" s="322" t="s">
        <v>34</v>
      </c>
      <c r="D1271" s="323" t="s">
        <v>1461</v>
      </c>
      <c r="E1271" s="132" t="s">
        <v>26</v>
      </c>
      <c r="F1271" s="97" t="str">
        <f ca="1">IF(OR(Market_Data[[#This Row],[Start Date]]="",Market_Data[[#This Row],[Completion Date]]=""),"Needs Validation",IF(Market_Data[[#This Row],[Start Date]]&gt;TODAY(),"Planned",IF(Market_Data[[#This Row],[Completion Date]]&lt;TODAY(),"Completed","Ongoing")))</f>
        <v>Completed</v>
      </c>
      <c r="G1271" s="324">
        <v>43054</v>
      </c>
      <c r="H1271" s="324">
        <v>44834</v>
      </c>
      <c r="I1271" s="325">
        <v>56300</v>
      </c>
      <c r="J127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271" s="133">
        <f>_xlfn.XLOOKUP(Market_Data[[#This Row],[Project Type]],tbl_assumptions_market[Project Category (RERA)],tbl_assumptions_market[Concrete Intensity
(m³ / sq m BUA)],"",0)</f>
        <v>0.18</v>
      </c>
      <c r="L1271" s="134">
        <f>ROUND(Market_Data[[#This Row],[Estimated Built Up Area (sq m)]]*Market_Data[[#This Row],[Concrete Intensity
(m³ / sq m)]],0)</f>
        <v>10134</v>
      </c>
      <c r="M1271" s="135">
        <f>_xlfn.XLOOKUP(Market_Data[[#This Row],[District]],tbl_district_price[District],tbl_district_price[Standard Price
(INR/m³)],"",0)</f>
        <v>6200</v>
      </c>
      <c r="N1271" s="364">
        <f>IF(OR(Market_Data[[#This Row],[Estimated Concrete Demand (m³)]]="",Market_Data[[#This Row],[Avg Price per (₹ / m³)]]=""),"",Market_Data[[#This Row],[Estimated Concrete Demand (m³)]]*Market_Data[[#This Row],[Avg Price per (₹ / m³)]]/10000000)</f>
        <v>6.28308</v>
      </c>
      <c r="O1271" s="97" t="str">
        <f>IF(Market_Data[[#This Row],[Estimated Concrete Demand (m³)]]="","",
IF(Market_Data[[#This Row],[Estimated Concrete Demand (m³)]]&lt;10000,"Small",
IF(Market_Data[[#This Row],[Estimated Concrete Demand (m³)]]&lt;25000,"Medium",
IF(Market_Data[[#This Row],[Estimated Concrete Demand (m³)]]&lt;100000,"Large","Mega"))))</f>
        <v>Medium</v>
      </c>
      <c r="P1271" s="287" t="str">
        <f t="shared" si="21"/>
        <v>GujRERA</v>
      </c>
    </row>
    <row r="1272" spans="1:16">
      <c r="A1272" s="129" t="str">
        <f>_xlfn.XLOOKUP(B1272,$S$9:$S$14,$T$9:$T$14)&amp;"-"&amp;
IF(E1272="Residential/Group Housing","RES",
IF(E1272="Commercial","COM",
IF(E1272="Mixed Development","MIX",
IF(E1272="Plotted Development","PLT","OTH"))))
&amp;"-"&amp;TEXT(COUNTIFS($B$9:B1272,B1272,$E$9:E1272,E1272),"0000")</f>
        <v>SUR-MIX-0173</v>
      </c>
      <c r="B1272" s="322" t="s">
        <v>34</v>
      </c>
      <c r="C1272" s="322" t="s">
        <v>34</v>
      </c>
      <c r="D1272" s="323" t="s">
        <v>1462</v>
      </c>
      <c r="E1272" s="132" t="s">
        <v>25</v>
      </c>
      <c r="F1272" s="97" t="str">
        <f ca="1">IF(OR(Market_Data[[#This Row],[Start Date]]="",Market_Data[[#This Row],[Completion Date]]=""),"Needs Validation",IF(Market_Data[[#This Row],[Start Date]]&gt;TODAY(),"Planned",IF(Market_Data[[#This Row],[Completion Date]]&lt;TODAY(),"Completed","Ongoing")))</f>
        <v>Completed</v>
      </c>
      <c r="G1272" s="324">
        <v>42472</v>
      </c>
      <c r="H1272" s="324">
        <v>44957</v>
      </c>
      <c r="I1272" s="325">
        <v>22600</v>
      </c>
      <c r="J127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72" s="133">
        <f>_xlfn.XLOOKUP(Market_Data[[#This Row],[Project Type]],tbl_assumptions_market[Project Category (RERA)],tbl_assumptions_market[Concrete Intensity
(m³ / sq m BUA)],"",0)</f>
        <v>0.42</v>
      </c>
      <c r="L1272" s="134">
        <f>ROUND(Market_Data[[#This Row],[Estimated Built Up Area (sq m)]]*Market_Data[[#This Row],[Concrete Intensity
(m³ / sq m)]],0)</f>
        <v>9492</v>
      </c>
      <c r="M1272" s="135">
        <f>_xlfn.XLOOKUP(Market_Data[[#This Row],[District]],tbl_district_price[District],tbl_district_price[Standard Price
(INR/m³)],"",0)</f>
        <v>6200</v>
      </c>
      <c r="N1272" s="364">
        <f>IF(OR(Market_Data[[#This Row],[Estimated Concrete Demand (m³)]]="",Market_Data[[#This Row],[Avg Price per (₹ / m³)]]=""),"",Market_Data[[#This Row],[Estimated Concrete Demand (m³)]]*Market_Data[[#This Row],[Avg Price per (₹ / m³)]]/10000000)</f>
        <v>5.88504</v>
      </c>
      <c r="O1272" s="97" t="str">
        <f>IF(Market_Data[[#This Row],[Estimated Concrete Demand (m³)]]="","",
IF(Market_Data[[#This Row],[Estimated Concrete Demand (m³)]]&lt;10000,"Small",
IF(Market_Data[[#This Row],[Estimated Concrete Demand (m³)]]&lt;25000,"Medium",
IF(Market_Data[[#This Row],[Estimated Concrete Demand (m³)]]&lt;100000,"Large","Mega"))))</f>
        <v>Small</v>
      </c>
      <c r="P1272" s="287" t="str">
        <f t="shared" si="21"/>
        <v>GujRERA</v>
      </c>
    </row>
    <row r="1273" spans="1:16">
      <c r="A1273" s="129" t="str">
        <f>_xlfn.XLOOKUP(B1273,$S$9:$S$14,$T$9:$T$14)&amp;"-"&amp;
IF(E1273="Residential/Group Housing","RES",
IF(E1273="Commercial","COM",
IF(E1273="Mixed Development","MIX",
IF(E1273="Plotted Development","PLT","OTH"))))
&amp;"-"&amp;TEXT(COUNTIFS($B$9:B1273,B1273,$E$9:E1273,E1273),"0000")</f>
        <v>SUR-PLT-0242</v>
      </c>
      <c r="B1273" s="322" t="s">
        <v>34</v>
      </c>
      <c r="C1273" s="322" t="s">
        <v>34</v>
      </c>
      <c r="D1273" s="323" t="s">
        <v>1463</v>
      </c>
      <c r="E1273" s="132" t="s">
        <v>26</v>
      </c>
      <c r="F1273" s="97" t="str">
        <f ca="1">IF(OR(Market_Data[[#This Row],[Start Date]]="",Market_Data[[#This Row],[Completion Date]]=""),"Needs Validation",IF(Market_Data[[#This Row],[Start Date]]&gt;TODAY(),"Planned",IF(Market_Data[[#This Row],[Completion Date]]&lt;TODAY(),"Completed","Ongoing")))</f>
        <v>Ongoing</v>
      </c>
      <c r="G1273" s="324">
        <v>45818</v>
      </c>
      <c r="H1273" s="324">
        <v>47208</v>
      </c>
      <c r="I1273" s="325">
        <v>35500</v>
      </c>
      <c r="J127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273" s="133">
        <f>_xlfn.XLOOKUP(Market_Data[[#This Row],[Project Type]],tbl_assumptions_market[Project Category (RERA)],tbl_assumptions_market[Concrete Intensity
(m³ / sq m BUA)],"",0)</f>
        <v>0.18</v>
      </c>
      <c r="L1273" s="134">
        <f>ROUND(Market_Data[[#This Row],[Estimated Built Up Area (sq m)]]*Market_Data[[#This Row],[Concrete Intensity
(m³ / sq m)]],0)</f>
        <v>6390</v>
      </c>
      <c r="M1273" s="135">
        <f>_xlfn.XLOOKUP(Market_Data[[#This Row],[District]],tbl_district_price[District],tbl_district_price[Standard Price
(INR/m³)],"",0)</f>
        <v>6200</v>
      </c>
      <c r="N1273" s="364">
        <f>IF(OR(Market_Data[[#This Row],[Estimated Concrete Demand (m³)]]="",Market_Data[[#This Row],[Avg Price per (₹ / m³)]]=""),"",Market_Data[[#This Row],[Estimated Concrete Demand (m³)]]*Market_Data[[#This Row],[Avg Price per (₹ / m³)]]/10000000)</f>
        <v>3.9618000000000002</v>
      </c>
      <c r="O1273" s="97" t="str">
        <f>IF(Market_Data[[#This Row],[Estimated Concrete Demand (m³)]]="","",
IF(Market_Data[[#This Row],[Estimated Concrete Demand (m³)]]&lt;10000,"Small",
IF(Market_Data[[#This Row],[Estimated Concrete Demand (m³)]]&lt;25000,"Medium",
IF(Market_Data[[#This Row],[Estimated Concrete Demand (m³)]]&lt;100000,"Large","Mega"))))</f>
        <v>Small</v>
      </c>
      <c r="P1273" s="287" t="str">
        <f t="shared" si="21"/>
        <v>GujRERA</v>
      </c>
    </row>
    <row r="1274" spans="1:16">
      <c r="A1274" s="129" t="str">
        <f>_xlfn.XLOOKUP(B1274,$S$9:$S$14,$T$9:$T$14)&amp;"-"&amp;
IF(E1274="Residential/Group Housing","RES",
IF(E1274="Commercial","COM",
IF(E1274="Mixed Development","MIX",
IF(E1274="Plotted Development","PLT","OTH"))))
&amp;"-"&amp;TEXT(COUNTIFS($B$9:B1274,B1274,$E$9:E1274,E1274),"0000")</f>
        <v>SUR-RES-0352</v>
      </c>
      <c r="B1274" s="322" t="s">
        <v>34</v>
      </c>
      <c r="C1274" s="322" t="s">
        <v>34</v>
      </c>
      <c r="D1274" s="323" t="s">
        <v>1464</v>
      </c>
      <c r="E1274" s="132" t="s">
        <v>24</v>
      </c>
      <c r="F1274" s="97" t="str">
        <f ca="1">IF(OR(Market_Data[[#This Row],[Start Date]]="",Market_Data[[#This Row],[Completion Date]]=""),"Needs Validation",IF(Market_Data[[#This Row],[Start Date]]&gt;TODAY(),"Planned",IF(Market_Data[[#This Row],[Completion Date]]&lt;TODAY(),"Completed","Ongoing")))</f>
        <v>Completed</v>
      </c>
      <c r="G1274" s="324">
        <v>43191</v>
      </c>
      <c r="H1274" s="324">
        <v>45473</v>
      </c>
      <c r="I1274" s="325">
        <v>55400</v>
      </c>
      <c r="J127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74" s="133">
        <f>_xlfn.XLOOKUP(Market_Data[[#This Row],[Project Type]],tbl_assumptions_market[Project Category (RERA)],tbl_assumptions_market[Concrete Intensity
(m³ / sq m BUA)],"",0)</f>
        <v>0.45</v>
      </c>
      <c r="L1274" s="134">
        <f>ROUND(Market_Data[[#This Row],[Estimated Built Up Area (sq m)]]*Market_Data[[#This Row],[Concrete Intensity
(m³ / sq m)]],0)</f>
        <v>24930</v>
      </c>
      <c r="M1274" s="135">
        <f>_xlfn.XLOOKUP(Market_Data[[#This Row],[District]],tbl_district_price[District],tbl_district_price[Standard Price
(INR/m³)],"",0)</f>
        <v>6200</v>
      </c>
      <c r="N1274" s="364">
        <f>IF(OR(Market_Data[[#This Row],[Estimated Concrete Demand (m³)]]="",Market_Data[[#This Row],[Avg Price per (₹ / m³)]]=""),"",Market_Data[[#This Row],[Estimated Concrete Demand (m³)]]*Market_Data[[#This Row],[Avg Price per (₹ / m³)]]/10000000)</f>
        <v>15.4566</v>
      </c>
      <c r="O1274" s="97" t="str">
        <f>IF(Market_Data[[#This Row],[Estimated Concrete Demand (m³)]]="","",
IF(Market_Data[[#This Row],[Estimated Concrete Demand (m³)]]&lt;10000,"Small",
IF(Market_Data[[#This Row],[Estimated Concrete Demand (m³)]]&lt;25000,"Medium",
IF(Market_Data[[#This Row],[Estimated Concrete Demand (m³)]]&lt;100000,"Large","Mega"))))</f>
        <v>Medium</v>
      </c>
      <c r="P1274" s="287" t="str">
        <f t="shared" si="21"/>
        <v>GujRERA</v>
      </c>
    </row>
    <row r="1275" spans="1:16">
      <c r="A1275" s="129" t="str">
        <f>_xlfn.XLOOKUP(B1275,$S$9:$S$14,$T$9:$T$14)&amp;"-"&amp;
IF(E1275="Residential/Group Housing","RES",
IF(E1275="Commercial","COM",
IF(E1275="Mixed Development","MIX",
IF(E1275="Plotted Development","PLT","OTH"))))
&amp;"-"&amp;TEXT(COUNTIFS($B$9:B1275,B1275,$E$9:E1275,E1275),"0000")</f>
        <v>SUR-RES-0353</v>
      </c>
      <c r="B1275" s="322" t="s">
        <v>34</v>
      </c>
      <c r="C1275" s="322" t="s">
        <v>34</v>
      </c>
      <c r="D1275" s="323" t="s">
        <v>1465</v>
      </c>
      <c r="E1275" s="132" t="s">
        <v>24</v>
      </c>
      <c r="F1275" s="97" t="str">
        <f ca="1">IF(OR(Market_Data[[#This Row],[Start Date]]="",Market_Data[[#This Row],[Completion Date]]=""),"Needs Validation",IF(Market_Data[[#This Row],[Start Date]]&gt;TODAY(),"Planned",IF(Market_Data[[#This Row],[Completion Date]]&lt;TODAY(),"Completed","Ongoing")))</f>
        <v>Completed</v>
      </c>
      <c r="G1275" s="324">
        <v>42466</v>
      </c>
      <c r="H1275" s="324">
        <v>43555</v>
      </c>
      <c r="I1275" s="325">
        <v>54000</v>
      </c>
      <c r="J127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75" s="133">
        <f>_xlfn.XLOOKUP(Market_Data[[#This Row],[Project Type]],tbl_assumptions_market[Project Category (RERA)],tbl_assumptions_market[Concrete Intensity
(m³ / sq m BUA)],"",0)</f>
        <v>0.45</v>
      </c>
      <c r="L1275" s="134">
        <f>ROUND(Market_Data[[#This Row],[Estimated Built Up Area (sq m)]]*Market_Data[[#This Row],[Concrete Intensity
(m³ / sq m)]],0)</f>
        <v>24300</v>
      </c>
      <c r="M1275" s="135">
        <f>_xlfn.XLOOKUP(Market_Data[[#This Row],[District]],tbl_district_price[District],tbl_district_price[Standard Price
(INR/m³)],"",0)</f>
        <v>6200</v>
      </c>
      <c r="N1275" s="364">
        <f>IF(OR(Market_Data[[#This Row],[Estimated Concrete Demand (m³)]]="",Market_Data[[#This Row],[Avg Price per (₹ / m³)]]=""),"",Market_Data[[#This Row],[Estimated Concrete Demand (m³)]]*Market_Data[[#This Row],[Avg Price per (₹ / m³)]]/10000000)</f>
        <v>15.066000000000001</v>
      </c>
      <c r="O1275" s="97" t="str">
        <f>IF(Market_Data[[#This Row],[Estimated Concrete Demand (m³)]]="","",
IF(Market_Data[[#This Row],[Estimated Concrete Demand (m³)]]&lt;10000,"Small",
IF(Market_Data[[#This Row],[Estimated Concrete Demand (m³)]]&lt;25000,"Medium",
IF(Market_Data[[#This Row],[Estimated Concrete Demand (m³)]]&lt;100000,"Large","Mega"))))</f>
        <v>Medium</v>
      </c>
      <c r="P1275" s="287" t="str">
        <f t="shared" si="21"/>
        <v>GujRERA</v>
      </c>
    </row>
    <row r="1276" spans="1:16">
      <c r="A1276" s="129" t="str">
        <f>_xlfn.XLOOKUP(B1276,$S$9:$S$14,$T$9:$T$14)&amp;"-"&amp;
IF(E1276="Residential/Group Housing","RES",
IF(E1276="Commercial","COM",
IF(E1276="Mixed Development","MIX",
IF(E1276="Plotted Development","PLT","OTH"))))
&amp;"-"&amp;TEXT(COUNTIFS($B$9:B1276,B1276,$E$9:E1276,E1276),"0000")</f>
        <v>SUR-RES-0354</v>
      </c>
      <c r="B1276" s="322" t="s">
        <v>34</v>
      </c>
      <c r="C1276" s="322" t="s">
        <v>34</v>
      </c>
      <c r="D1276" s="323" t="s">
        <v>1466</v>
      </c>
      <c r="E1276" s="132" t="s">
        <v>24</v>
      </c>
      <c r="F1276" s="97" t="str">
        <f ca="1">IF(OR(Market_Data[[#This Row],[Start Date]]="",Market_Data[[#This Row],[Completion Date]]=""),"Needs Validation",IF(Market_Data[[#This Row],[Start Date]]&gt;TODAY(),"Planned",IF(Market_Data[[#This Row],[Completion Date]]&lt;TODAY(),"Completed","Ongoing")))</f>
        <v>Ongoing</v>
      </c>
      <c r="G1276" s="324">
        <v>44228</v>
      </c>
      <c r="H1276" s="324">
        <v>46477</v>
      </c>
      <c r="I1276" s="325">
        <v>11800</v>
      </c>
      <c r="J127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76" s="133">
        <f>_xlfn.XLOOKUP(Market_Data[[#This Row],[Project Type]],tbl_assumptions_market[Project Category (RERA)],tbl_assumptions_market[Concrete Intensity
(m³ / sq m BUA)],"",0)</f>
        <v>0.45</v>
      </c>
      <c r="L1276" s="134">
        <f>ROUND(Market_Data[[#This Row],[Estimated Built Up Area (sq m)]]*Market_Data[[#This Row],[Concrete Intensity
(m³ / sq m)]],0)</f>
        <v>5310</v>
      </c>
      <c r="M1276" s="135">
        <f>_xlfn.XLOOKUP(Market_Data[[#This Row],[District]],tbl_district_price[District],tbl_district_price[Standard Price
(INR/m³)],"",0)</f>
        <v>6200</v>
      </c>
      <c r="N1276" s="364">
        <f>IF(OR(Market_Data[[#This Row],[Estimated Concrete Demand (m³)]]="",Market_Data[[#This Row],[Avg Price per (₹ / m³)]]=""),"",Market_Data[[#This Row],[Estimated Concrete Demand (m³)]]*Market_Data[[#This Row],[Avg Price per (₹ / m³)]]/10000000)</f>
        <v>3.2921999999999998</v>
      </c>
      <c r="O1276" s="97" t="str">
        <f>IF(Market_Data[[#This Row],[Estimated Concrete Demand (m³)]]="","",
IF(Market_Data[[#This Row],[Estimated Concrete Demand (m³)]]&lt;10000,"Small",
IF(Market_Data[[#This Row],[Estimated Concrete Demand (m³)]]&lt;25000,"Medium",
IF(Market_Data[[#This Row],[Estimated Concrete Demand (m³)]]&lt;100000,"Large","Mega"))))</f>
        <v>Small</v>
      </c>
      <c r="P1276" s="287" t="str">
        <f t="shared" si="21"/>
        <v>GujRERA</v>
      </c>
    </row>
    <row r="1277" spans="1:16">
      <c r="A1277" s="129" t="str">
        <f>_xlfn.XLOOKUP(B1277,$S$9:$S$14,$T$9:$T$14)&amp;"-"&amp;
IF(E1277="Residential/Group Housing","RES",
IF(E1277="Commercial","COM",
IF(E1277="Mixed Development","MIX",
IF(E1277="Plotted Development","PLT","OTH"))))
&amp;"-"&amp;TEXT(COUNTIFS($B$9:B1277,B1277,$E$9:E1277,E1277),"0000")</f>
        <v>SUR-PLT-0243</v>
      </c>
      <c r="B1277" s="322" t="s">
        <v>34</v>
      </c>
      <c r="C1277" s="322" t="s">
        <v>34</v>
      </c>
      <c r="D1277" s="323" t="s">
        <v>1467</v>
      </c>
      <c r="E1277" s="132" t="s">
        <v>26</v>
      </c>
      <c r="F1277" s="97" t="str">
        <f ca="1">IF(OR(Market_Data[[#This Row],[Start Date]]="",Market_Data[[#This Row],[Completion Date]]=""),"Needs Validation",IF(Market_Data[[#This Row],[Start Date]]&gt;TODAY(),"Planned",IF(Market_Data[[#This Row],[Completion Date]]&lt;TODAY(),"Completed","Ongoing")))</f>
        <v>Completed</v>
      </c>
      <c r="G1277" s="324">
        <v>41888</v>
      </c>
      <c r="H1277" s="324">
        <v>44651</v>
      </c>
      <c r="I1277" s="325">
        <v>23200</v>
      </c>
      <c r="J127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77" s="133">
        <f>_xlfn.XLOOKUP(Market_Data[[#This Row],[Project Type]],tbl_assumptions_market[Project Category (RERA)],tbl_assumptions_market[Concrete Intensity
(m³ / sq m BUA)],"",0)</f>
        <v>0.18</v>
      </c>
      <c r="L1277" s="134">
        <f>ROUND(Market_Data[[#This Row],[Estimated Built Up Area (sq m)]]*Market_Data[[#This Row],[Concrete Intensity
(m³ / sq m)]],0)</f>
        <v>4176</v>
      </c>
      <c r="M1277" s="135">
        <f>_xlfn.XLOOKUP(Market_Data[[#This Row],[District]],tbl_district_price[District],tbl_district_price[Standard Price
(INR/m³)],"",0)</f>
        <v>6200</v>
      </c>
      <c r="N1277" s="364">
        <f>IF(OR(Market_Data[[#This Row],[Estimated Concrete Demand (m³)]]="",Market_Data[[#This Row],[Avg Price per (₹ / m³)]]=""),"",Market_Data[[#This Row],[Estimated Concrete Demand (m³)]]*Market_Data[[#This Row],[Avg Price per (₹ / m³)]]/10000000)</f>
        <v>2.5891199999999999</v>
      </c>
      <c r="O1277" s="97" t="str">
        <f>IF(Market_Data[[#This Row],[Estimated Concrete Demand (m³)]]="","",
IF(Market_Data[[#This Row],[Estimated Concrete Demand (m³)]]&lt;10000,"Small",
IF(Market_Data[[#This Row],[Estimated Concrete Demand (m³)]]&lt;25000,"Medium",
IF(Market_Data[[#This Row],[Estimated Concrete Demand (m³)]]&lt;100000,"Large","Mega"))))</f>
        <v>Small</v>
      </c>
      <c r="P1277" s="287" t="str">
        <f t="shared" si="21"/>
        <v>GujRERA</v>
      </c>
    </row>
    <row r="1278" spans="1:16">
      <c r="A1278" s="129" t="str">
        <f>_xlfn.XLOOKUP(B1278,$S$9:$S$14,$T$9:$T$14)&amp;"-"&amp;
IF(E1278="Residential/Group Housing","RES",
IF(E1278="Commercial","COM",
IF(E1278="Mixed Development","MIX",
IF(E1278="Plotted Development","PLT","OTH"))))
&amp;"-"&amp;TEXT(COUNTIFS($B$9:B1278,B1278,$E$9:E1278,E1278),"0000")</f>
        <v>SUR-RES-0355</v>
      </c>
      <c r="B1278" s="322" t="s">
        <v>34</v>
      </c>
      <c r="C1278" s="322" t="s">
        <v>34</v>
      </c>
      <c r="D1278" s="323" t="s">
        <v>1468</v>
      </c>
      <c r="E1278" s="132" t="s">
        <v>24</v>
      </c>
      <c r="F1278" s="97" t="str">
        <f ca="1">IF(OR(Market_Data[[#This Row],[Start Date]]="",Market_Data[[#This Row],[Completion Date]]=""),"Needs Validation",IF(Market_Data[[#This Row],[Start Date]]&gt;TODAY(),"Planned",IF(Market_Data[[#This Row],[Completion Date]]&lt;TODAY(),"Completed","Ongoing")))</f>
        <v>Ongoing</v>
      </c>
      <c r="G1278" s="324">
        <v>46054</v>
      </c>
      <c r="H1278" s="324">
        <v>48944</v>
      </c>
      <c r="I1278" s="325">
        <v>14900</v>
      </c>
      <c r="J127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78" s="133">
        <f>_xlfn.XLOOKUP(Market_Data[[#This Row],[Project Type]],tbl_assumptions_market[Project Category (RERA)],tbl_assumptions_market[Concrete Intensity
(m³ / sq m BUA)],"",0)</f>
        <v>0.45</v>
      </c>
      <c r="L1278" s="134">
        <f>ROUND(Market_Data[[#This Row],[Estimated Built Up Area (sq m)]]*Market_Data[[#This Row],[Concrete Intensity
(m³ / sq m)]],0)</f>
        <v>6705</v>
      </c>
      <c r="M1278" s="135">
        <f>_xlfn.XLOOKUP(Market_Data[[#This Row],[District]],tbl_district_price[District],tbl_district_price[Standard Price
(INR/m³)],"",0)</f>
        <v>6200</v>
      </c>
      <c r="N1278" s="364">
        <f>IF(OR(Market_Data[[#This Row],[Estimated Concrete Demand (m³)]]="",Market_Data[[#This Row],[Avg Price per (₹ / m³)]]=""),"",Market_Data[[#This Row],[Estimated Concrete Demand (m³)]]*Market_Data[[#This Row],[Avg Price per (₹ / m³)]]/10000000)</f>
        <v>4.1570999999999998</v>
      </c>
      <c r="O1278" s="97" t="str">
        <f>IF(Market_Data[[#This Row],[Estimated Concrete Demand (m³)]]="","",
IF(Market_Data[[#This Row],[Estimated Concrete Demand (m³)]]&lt;10000,"Small",
IF(Market_Data[[#This Row],[Estimated Concrete Demand (m³)]]&lt;25000,"Medium",
IF(Market_Data[[#This Row],[Estimated Concrete Demand (m³)]]&lt;100000,"Large","Mega"))))</f>
        <v>Small</v>
      </c>
      <c r="P1278" s="287" t="str">
        <f t="shared" si="21"/>
        <v>GujRERA</v>
      </c>
    </row>
    <row r="1279" spans="1:16">
      <c r="A1279" s="129" t="str">
        <f>_xlfn.XLOOKUP(B1279,$S$9:$S$14,$T$9:$T$14)&amp;"-"&amp;
IF(E1279="Residential/Group Housing","RES",
IF(E1279="Commercial","COM",
IF(E1279="Mixed Development","MIX",
IF(E1279="Plotted Development","PLT","OTH"))))
&amp;"-"&amp;TEXT(COUNTIFS($B$9:B1279,B1279,$E$9:E1279,E1279),"0000")</f>
        <v>SUR-RES-0356</v>
      </c>
      <c r="B1279" s="322" t="s">
        <v>34</v>
      </c>
      <c r="C1279" s="322" t="s">
        <v>34</v>
      </c>
      <c r="D1279" s="323" t="s">
        <v>1469</v>
      </c>
      <c r="E1279" s="132" t="s">
        <v>24</v>
      </c>
      <c r="F1279" s="97" t="str">
        <f ca="1">IF(OR(Market_Data[[#This Row],[Start Date]]="",Market_Data[[#This Row],[Completion Date]]=""),"Needs Validation",IF(Market_Data[[#This Row],[Start Date]]&gt;TODAY(),"Planned",IF(Market_Data[[#This Row],[Completion Date]]&lt;TODAY(),"Completed","Ongoing")))</f>
        <v>Ongoing</v>
      </c>
      <c r="G1279" s="324">
        <v>45475</v>
      </c>
      <c r="H1279" s="324">
        <v>46934</v>
      </c>
      <c r="I1279" s="325">
        <v>56900</v>
      </c>
      <c r="J127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79" s="133">
        <f>_xlfn.XLOOKUP(Market_Data[[#This Row],[Project Type]],tbl_assumptions_market[Project Category (RERA)],tbl_assumptions_market[Concrete Intensity
(m³ / sq m BUA)],"",0)</f>
        <v>0.45</v>
      </c>
      <c r="L1279" s="134">
        <f>ROUND(Market_Data[[#This Row],[Estimated Built Up Area (sq m)]]*Market_Data[[#This Row],[Concrete Intensity
(m³ / sq m)]],0)</f>
        <v>25605</v>
      </c>
      <c r="M1279" s="135">
        <f>_xlfn.XLOOKUP(Market_Data[[#This Row],[District]],tbl_district_price[District],tbl_district_price[Standard Price
(INR/m³)],"",0)</f>
        <v>6200</v>
      </c>
      <c r="N1279" s="364">
        <f>IF(OR(Market_Data[[#This Row],[Estimated Concrete Demand (m³)]]="",Market_Data[[#This Row],[Avg Price per (₹ / m³)]]=""),"",Market_Data[[#This Row],[Estimated Concrete Demand (m³)]]*Market_Data[[#This Row],[Avg Price per (₹ / m³)]]/10000000)</f>
        <v>15.8751</v>
      </c>
      <c r="O1279" s="97" t="str">
        <f>IF(Market_Data[[#This Row],[Estimated Concrete Demand (m³)]]="","",
IF(Market_Data[[#This Row],[Estimated Concrete Demand (m³)]]&lt;10000,"Small",
IF(Market_Data[[#This Row],[Estimated Concrete Demand (m³)]]&lt;25000,"Medium",
IF(Market_Data[[#This Row],[Estimated Concrete Demand (m³)]]&lt;100000,"Large","Mega"))))</f>
        <v>Large</v>
      </c>
      <c r="P1279" s="287" t="str">
        <f t="shared" si="21"/>
        <v>GujRERA</v>
      </c>
    </row>
    <row r="1280" spans="1:16">
      <c r="A1280" s="129" t="str">
        <f>_xlfn.XLOOKUP(B1280,$S$9:$S$14,$T$9:$T$14)&amp;"-"&amp;
IF(E1280="Residential/Group Housing","RES",
IF(E1280="Commercial","COM",
IF(E1280="Mixed Development","MIX",
IF(E1280="Plotted Development","PLT","OTH"))))
&amp;"-"&amp;TEXT(COUNTIFS($B$9:B1280,B1280,$E$9:E1280,E1280),"0000")</f>
        <v>SUR-RES-0357</v>
      </c>
      <c r="B1280" s="322" t="s">
        <v>34</v>
      </c>
      <c r="C1280" s="322" t="s">
        <v>34</v>
      </c>
      <c r="D1280" s="323" t="s">
        <v>1470</v>
      </c>
      <c r="E1280" s="132" t="s">
        <v>24</v>
      </c>
      <c r="F1280" s="97" t="str">
        <f ca="1">IF(OR(Market_Data[[#This Row],[Start Date]]="",Market_Data[[#This Row],[Completion Date]]=""),"Needs Validation",IF(Market_Data[[#This Row],[Start Date]]&gt;TODAY(),"Planned",IF(Market_Data[[#This Row],[Completion Date]]&lt;TODAY(),"Completed","Ongoing")))</f>
        <v>Ongoing</v>
      </c>
      <c r="G1280" s="324">
        <v>45588</v>
      </c>
      <c r="H1280" s="324">
        <v>47483</v>
      </c>
      <c r="I1280" s="325">
        <v>71400</v>
      </c>
      <c r="J128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280" s="133">
        <f>_xlfn.XLOOKUP(Market_Data[[#This Row],[Project Type]],tbl_assumptions_market[Project Category (RERA)],tbl_assumptions_market[Concrete Intensity
(m³ / sq m BUA)],"",0)</f>
        <v>0.45</v>
      </c>
      <c r="L1280" s="134">
        <f>ROUND(Market_Data[[#This Row],[Estimated Built Up Area (sq m)]]*Market_Data[[#This Row],[Concrete Intensity
(m³ / sq m)]],0)</f>
        <v>32130</v>
      </c>
      <c r="M1280" s="135">
        <f>_xlfn.XLOOKUP(Market_Data[[#This Row],[District]],tbl_district_price[District],tbl_district_price[Standard Price
(INR/m³)],"",0)</f>
        <v>6200</v>
      </c>
      <c r="N1280" s="364">
        <f>IF(OR(Market_Data[[#This Row],[Estimated Concrete Demand (m³)]]="",Market_Data[[#This Row],[Avg Price per (₹ / m³)]]=""),"",Market_Data[[#This Row],[Estimated Concrete Demand (m³)]]*Market_Data[[#This Row],[Avg Price per (₹ / m³)]]/10000000)</f>
        <v>19.9206</v>
      </c>
      <c r="O1280" s="97" t="str">
        <f>IF(Market_Data[[#This Row],[Estimated Concrete Demand (m³)]]="","",
IF(Market_Data[[#This Row],[Estimated Concrete Demand (m³)]]&lt;10000,"Small",
IF(Market_Data[[#This Row],[Estimated Concrete Demand (m³)]]&lt;25000,"Medium",
IF(Market_Data[[#This Row],[Estimated Concrete Demand (m³)]]&lt;100000,"Large","Mega"))))</f>
        <v>Large</v>
      </c>
      <c r="P1280" s="287" t="str">
        <f t="shared" si="21"/>
        <v>GujRERA</v>
      </c>
    </row>
    <row r="1281" spans="1:16">
      <c r="A1281" s="129" t="str">
        <f>_xlfn.XLOOKUP(B1281,$S$9:$S$14,$T$9:$T$14)&amp;"-"&amp;
IF(E1281="Residential/Group Housing","RES",
IF(E1281="Commercial","COM",
IF(E1281="Mixed Development","MIX",
IF(E1281="Plotted Development","PLT","OTH"))))
&amp;"-"&amp;TEXT(COUNTIFS($B$9:B1281,B1281,$E$9:E1281,E1281),"0000")</f>
        <v>SUR-RES-0358</v>
      </c>
      <c r="B1281" s="322" t="s">
        <v>34</v>
      </c>
      <c r="C1281" s="322" t="s">
        <v>34</v>
      </c>
      <c r="D1281" s="323" t="s">
        <v>1471</v>
      </c>
      <c r="E1281" s="132" t="s">
        <v>24</v>
      </c>
      <c r="F1281" s="97" t="str">
        <f ca="1">IF(OR(Market_Data[[#This Row],[Start Date]]="",Market_Data[[#This Row],[Completion Date]]=""),"Needs Validation",IF(Market_Data[[#This Row],[Start Date]]&gt;TODAY(),"Planned",IF(Market_Data[[#This Row],[Completion Date]]&lt;TODAY(),"Completed","Ongoing")))</f>
        <v>Completed</v>
      </c>
      <c r="G1281" s="324">
        <v>43172</v>
      </c>
      <c r="H1281" s="324">
        <v>44530</v>
      </c>
      <c r="I1281" s="325">
        <v>50400</v>
      </c>
      <c r="J128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81" s="133">
        <f>_xlfn.XLOOKUP(Market_Data[[#This Row],[Project Type]],tbl_assumptions_market[Project Category (RERA)],tbl_assumptions_market[Concrete Intensity
(m³ / sq m BUA)],"",0)</f>
        <v>0.45</v>
      </c>
      <c r="L1281" s="134">
        <f>ROUND(Market_Data[[#This Row],[Estimated Built Up Area (sq m)]]*Market_Data[[#This Row],[Concrete Intensity
(m³ / sq m)]],0)</f>
        <v>22680</v>
      </c>
      <c r="M1281" s="135">
        <f>_xlfn.XLOOKUP(Market_Data[[#This Row],[District]],tbl_district_price[District],tbl_district_price[Standard Price
(INR/m³)],"",0)</f>
        <v>6200</v>
      </c>
      <c r="N1281" s="364">
        <f>IF(OR(Market_Data[[#This Row],[Estimated Concrete Demand (m³)]]="",Market_Data[[#This Row],[Avg Price per (₹ / m³)]]=""),"",Market_Data[[#This Row],[Estimated Concrete Demand (m³)]]*Market_Data[[#This Row],[Avg Price per (₹ / m³)]]/10000000)</f>
        <v>14.0616</v>
      </c>
      <c r="O1281" s="97" t="str">
        <f>IF(Market_Data[[#This Row],[Estimated Concrete Demand (m³)]]="","",
IF(Market_Data[[#This Row],[Estimated Concrete Demand (m³)]]&lt;10000,"Small",
IF(Market_Data[[#This Row],[Estimated Concrete Demand (m³)]]&lt;25000,"Medium",
IF(Market_Data[[#This Row],[Estimated Concrete Demand (m³)]]&lt;100000,"Large","Mega"))))</f>
        <v>Medium</v>
      </c>
      <c r="P1281" s="287" t="str">
        <f t="shared" si="21"/>
        <v>GujRERA</v>
      </c>
    </row>
    <row r="1282" spans="1:16">
      <c r="A1282" s="129" t="str">
        <f>_xlfn.XLOOKUP(B1282,$S$9:$S$14,$T$9:$T$14)&amp;"-"&amp;
IF(E1282="Residential/Group Housing","RES",
IF(E1282="Commercial","COM",
IF(E1282="Mixed Development","MIX",
IF(E1282="Plotted Development","PLT","OTH"))))
&amp;"-"&amp;TEXT(COUNTIFS($B$9:B1282,B1282,$E$9:E1282,E1282),"0000")</f>
        <v>SUR-COM-0190</v>
      </c>
      <c r="B1282" s="322" t="s">
        <v>34</v>
      </c>
      <c r="C1282" s="322" t="s">
        <v>34</v>
      </c>
      <c r="D1282" s="323" t="s">
        <v>1472</v>
      </c>
      <c r="E1282" s="132" t="s">
        <v>23</v>
      </c>
      <c r="F1282" s="97" t="str">
        <f ca="1">IF(OR(Market_Data[[#This Row],[Start Date]]="",Market_Data[[#This Row],[Completion Date]]=""),"Needs Validation",IF(Market_Data[[#This Row],[Start Date]]&gt;TODAY(),"Planned",IF(Market_Data[[#This Row],[Completion Date]]&lt;TODAY(),"Completed","Ongoing")))</f>
        <v>Ongoing</v>
      </c>
      <c r="G1282" s="324">
        <v>45031</v>
      </c>
      <c r="H1282" s="324">
        <v>46752</v>
      </c>
      <c r="I1282" s="325">
        <v>13800</v>
      </c>
      <c r="J128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82" s="133">
        <f>_xlfn.XLOOKUP(Market_Data[[#This Row],[Project Type]],tbl_assumptions_market[Project Category (RERA)],tbl_assumptions_market[Concrete Intensity
(m³ / sq m BUA)],"",0)</f>
        <v>0.5</v>
      </c>
      <c r="L1282" s="134">
        <f>ROUND(Market_Data[[#This Row],[Estimated Built Up Area (sq m)]]*Market_Data[[#This Row],[Concrete Intensity
(m³ / sq m)]],0)</f>
        <v>6900</v>
      </c>
      <c r="M1282" s="135">
        <f>_xlfn.XLOOKUP(Market_Data[[#This Row],[District]],tbl_district_price[District],tbl_district_price[Standard Price
(INR/m³)],"",0)</f>
        <v>6200</v>
      </c>
      <c r="N1282" s="364">
        <f>IF(OR(Market_Data[[#This Row],[Estimated Concrete Demand (m³)]]="",Market_Data[[#This Row],[Avg Price per (₹ / m³)]]=""),"",Market_Data[[#This Row],[Estimated Concrete Demand (m³)]]*Market_Data[[#This Row],[Avg Price per (₹ / m³)]]/10000000)</f>
        <v>4.2779999999999996</v>
      </c>
      <c r="O1282" s="97" t="str">
        <f>IF(Market_Data[[#This Row],[Estimated Concrete Demand (m³)]]="","",
IF(Market_Data[[#This Row],[Estimated Concrete Demand (m³)]]&lt;10000,"Small",
IF(Market_Data[[#This Row],[Estimated Concrete Demand (m³)]]&lt;25000,"Medium",
IF(Market_Data[[#This Row],[Estimated Concrete Demand (m³)]]&lt;100000,"Large","Mega"))))</f>
        <v>Small</v>
      </c>
      <c r="P1282" s="287" t="str">
        <f t="shared" si="21"/>
        <v>GujRERA</v>
      </c>
    </row>
    <row r="1283" spans="1:16">
      <c r="A1283" s="129" t="str">
        <f>_xlfn.XLOOKUP(B1283,$S$9:$S$14,$T$9:$T$14)&amp;"-"&amp;
IF(E1283="Residential/Group Housing","RES",
IF(E1283="Commercial","COM",
IF(E1283="Mixed Development","MIX",
IF(E1283="Plotted Development","PLT","OTH"))))
&amp;"-"&amp;TEXT(COUNTIFS($B$9:B1283,B1283,$E$9:E1283,E1283),"0000")</f>
        <v>SUR-RES-0359</v>
      </c>
      <c r="B1283" s="322" t="s">
        <v>34</v>
      </c>
      <c r="C1283" s="322" t="s">
        <v>34</v>
      </c>
      <c r="D1283" s="323" t="s">
        <v>1473</v>
      </c>
      <c r="E1283" s="132" t="s">
        <v>24</v>
      </c>
      <c r="F1283" s="97" t="str">
        <f ca="1">IF(OR(Market_Data[[#This Row],[Start Date]]="",Market_Data[[#This Row],[Completion Date]]=""),"Needs Validation",IF(Market_Data[[#This Row],[Start Date]]&gt;TODAY(),"Planned",IF(Market_Data[[#This Row],[Completion Date]]&lt;TODAY(),"Completed","Ongoing")))</f>
        <v>Ongoing</v>
      </c>
      <c r="G1283" s="324">
        <v>44883</v>
      </c>
      <c r="H1283" s="324">
        <v>46752</v>
      </c>
      <c r="I1283" s="325">
        <v>48400</v>
      </c>
      <c r="J128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83" s="133">
        <f>_xlfn.XLOOKUP(Market_Data[[#This Row],[Project Type]],tbl_assumptions_market[Project Category (RERA)],tbl_assumptions_market[Concrete Intensity
(m³ / sq m BUA)],"",0)</f>
        <v>0.45</v>
      </c>
      <c r="L1283" s="134">
        <f>ROUND(Market_Data[[#This Row],[Estimated Built Up Area (sq m)]]*Market_Data[[#This Row],[Concrete Intensity
(m³ / sq m)]],0)</f>
        <v>21780</v>
      </c>
      <c r="M1283" s="135">
        <f>_xlfn.XLOOKUP(Market_Data[[#This Row],[District]],tbl_district_price[District],tbl_district_price[Standard Price
(INR/m³)],"",0)</f>
        <v>6200</v>
      </c>
      <c r="N1283" s="364">
        <f>IF(OR(Market_Data[[#This Row],[Estimated Concrete Demand (m³)]]="",Market_Data[[#This Row],[Avg Price per (₹ / m³)]]=""),"",Market_Data[[#This Row],[Estimated Concrete Demand (m³)]]*Market_Data[[#This Row],[Avg Price per (₹ / m³)]]/10000000)</f>
        <v>13.5036</v>
      </c>
      <c r="O1283" s="97" t="str">
        <f>IF(Market_Data[[#This Row],[Estimated Concrete Demand (m³)]]="","",
IF(Market_Data[[#This Row],[Estimated Concrete Demand (m³)]]&lt;10000,"Small",
IF(Market_Data[[#This Row],[Estimated Concrete Demand (m³)]]&lt;25000,"Medium",
IF(Market_Data[[#This Row],[Estimated Concrete Demand (m³)]]&lt;100000,"Large","Mega"))))</f>
        <v>Medium</v>
      </c>
      <c r="P1283" s="287" t="str">
        <f t="shared" si="21"/>
        <v>GujRERA</v>
      </c>
    </row>
    <row r="1284" spans="1:16">
      <c r="A1284" s="129" t="str">
        <f>_xlfn.XLOOKUP(B1284,$S$9:$S$14,$T$9:$T$14)&amp;"-"&amp;
IF(E1284="Residential/Group Housing","RES",
IF(E1284="Commercial","COM",
IF(E1284="Mixed Development","MIX",
IF(E1284="Plotted Development","PLT","OTH"))))
&amp;"-"&amp;TEXT(COUNTIFS($B$9:B1284,B1284,$E$9:E1284,E1284),"0000")</f>
        <v>SUR-RES-0360</v>
      </c>
      <c r="B1284" s="322" t="s">
        <v>34</v>
      </c>
      <c r="C1284" s="322" t="s">
        <v>34</v>
      </c>
      <c r="D1284" s="323" t="s">
        <v>1474</v>
      </c>
      <c r="E1284" s="132" t="s">
        <v>24</v>
      </c>
      <c r="F1284" s="97" t="str">
        <f ca="1">IF(OR(Market_Data[[#This Row],[Start Date]]="",Market_Data[[#This Row],[Completion Date]]=""),"Needs Validation",IF(Market_Data[[#This Row],[Start Date]]&gt;TODAY(),"Planned",IF(Market_Data[[#This Row],[Completion Date]]&lt;TODAY(),"Completed","Ongoing")))</f>
        <v>Ongoing</v>
      </c>
      <c r="G1284" s="324">
        <v>45594</v>
      </c>
      <c r="H1284" s="324">
        <v>47483</v>
      </c>
      <c r="I1284" s="325">
        <v>25700</v>
      </c>
      <c r="J128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84" s="133">
        <f>_xlfn.XLOOKUP(Market_Data[[#This Row],[Project Type]],tbl_assumptions_market[Project Category (RERA)],tbl_assumptions_market[Concrete Intensity
(m³ / sq m BUA)],"",0)</f>
        <v>0.45</v>
      </c>
      <c r="L1284" s="134">
        <f>ROUND(Market_Data[[#This Row],[Estimated Built Up Area (sq m)]]*Market_Data[[#This Row],[Concrete Intensity
(m³ / sq m)]],0)</f>
        <v>11565</v>
      </c>
      <c r="M1284" s="135">
        <f>_xlfn.XLOOKUP(Market_Data[[#This Row],[District]],tbl_district_price[District],tbl_district_price[Standard Price
(INR/m³)],"",0)</f>
        <v>6200</v>
      </c>
      <c r="N1284" s="364">
        <f>IF(OR(Market_Data[[#This Row],[Estimated Concrete Demand (m³)]]="",Market_Data[[#This Row],[Avg Price per (₹ / m³)]]=""),"",Market_Data[[#This Row],[Estimated Concrete Demand (m³)]]*Market_Data[[#This Row],[Avg Price per (₹ / m³)]]/10000000)</f>
        <v>7.1703000000000001</v>
      </c>
      <c r="O1284" s="97" t="str">
        <f>IF(Market_Data[[#This Row],[Estimated Concrete Demand (m³)]]="","",
IF(Market_Data[[#This Row],[Estimated Concrete Demand (m³)]]&lt;10000,"Small",
IF(Market_Data[[#This Row],[Estimated Concrete Demand (m³)]]&lt;25000,"Medium",
IF(Market_Data[[#This Row],[Estimated Concrete Demand (m³)]]&lt;100000,"Large","Mega"))))</f>
        <v>Medium</v>
      </c>
      <c r="P1284" s="287" t="str">
        <f t="shared" si="21"/>
        <v>GujRERA</v>
      </c>
    </row>
    <row r="1285" spans="1:16">
      <c r="A1285" s="129" t="str">
        <f>_xlfn.XLOOKUP(B1285,$S$9:$S$14,$T$9:$T$14)&amp;"-"&amp;
IF(E1285="Residential/Group Housing","RES",
IF(E1285="Commercial","COM",
IF(E1285="Mixed Development","MIX",
IF(E1285="Plotted Development","PLT","OTH"))))
&amp;"-"&amp;TEXT(COUNTIFS($B$9:B1285,B1285,$E$9:E1285,E1285),"0000")</f>
        <v>SUR-RES-0361</v>
      </c>
      <c r="B1285" s="322" t="s">
        <v>34</v>
      </c>
      <c r="C1285" s="322" t="s">
        <v>34</v>
      </c>
      <c r="D1285" s="323" t="s">
        <v>1475</v>
      </c>
      <c r="E1285" s="132" t="s">
        <v>24</v>
      </c>
      <c r="F1285" s="97" t="str">
        <f ca="1">IF(OR(Market_Data[[#This Row],[Start Date]]="",Market_Data[[#This Row],[Completion Date]]=""),"Needs Validation",IF(Market_Data[[#This Row],[Start Date]]&gt;TODAY(),"Planned",IF(Market_Data[[#This Row],[Completion Date]]&lt;TODAY(),"Completed","Ongoing")))</f>
        <v>Ongoing</v>
      </c>
      <c r="G1285" s="324">
        <v>44580</v>
      </c>
      <c r="H1285" s="324">
        <v>46660</v>
      </c>
      <c r="I1285" s="325">
        <v>53900</v>
      </c>
      <c r="J128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85" s="133">
        <f>_xlfn.XLOOKUP(Market_Data[[#This Row],[Project Type]],tbl_assumptions_market[Project Category (RERA)],tbl_assumptions_market[Concrete Intensity
(m³ / sq m BUA)],"",0)</f>
        <v>0.45</v>
      </c>
      <c r="L1285" s="134">
        <f>ROUND(Market_Data[[#This Row],[Estimated Built Up Area (sq m)]]*Market_Data[[#This Row],[Concrete Intensity
(m³ / sq m)]],0)</f>
        <v>24255</v>
      </c>
      <c r="M1285" s="135">
        <f>_xlfn.XLOOKUP(Market_Data[[#This Row],[District]],tbl_district_price[District],tbl_district_price[Standard Price
(INR/m³)],"",0)</f>
        <v>6200</v>
      </c>
      <c r="N1285" s="364">
        <f>IF(OR(Market_Data[[#This Row],[Estimated Concrete Demand (m³)]]="",Market_Data[[#This Row],[Avg Price per (₹ / m³)]]=""),"",Market_Data[[#This Row],[Estimated Concrete Demand (m³)]]*Market_Data[[#This Row],[Avg Price per (₹ / m³)]]/10000000)</f>
        <v>15.0381</v>
      </c>
      <c r="O1285" s="97" t="str">
        <f>IF(Market_Data[[#This Row],[Estimated Concrete Demand (m³)]]="","",
IF(Market_Data[[#This Row],[Estimated Concrete Demand (m³)]]&lt;10000,"Small",
IF(Market_Data[[#This Row],[Estimated Concrete Demand (m³)]]&lt;25000,"Medium",
IF(Market_Data[[#This Row],[Estimated Concrete Demand (m³)]]&lt;100000,"Large","Mega"))))</f>
        <v>Medium</v>
      </c>
      <c r="P1285" s="287" t="str">
        <f t="shared" si="21"/>
        <v>GujRERA</v>
      </c>
    </row>
    <row r="1286" spans="1:16">
      <c r="A1286" s="129" t="str">
        <f>_xlfn.XLOOKUP(B1286,$S$9:$S$14,$T$9:$T$14)&amp;"-"&amp;
IF(E1286="Residential/Group Housing","RES",
IF(E1286="Commercial","COM",
IF(E1286="Mixed Development","MIX",
IF(E1286="Plotted Development","PLT","OTH"))))
&amp;"-"&amp;TEXT(COUNTIFS($B$9:B1286,B1286,$E$9:E1286,E1286),"0000")</f>
        <v>SUR-PLT-0244</v>
      </c>
      <c r="B1286" s="322" t="s">
        <v>34</v>
      </c>
      <c r="C1286" s="322" t="s">
        <v>34</v>
      </c>
      <c r="D1286" s="323" t="s">
        <v>1476</v>
      </c>
      <c r="E1286" s="132" t="s">
        <v>26</v>
      </c>
      <c r="F1286" s="97" t="str">
        <f ca="1">IF(OR(Market_Data[[#This Row],[Start Date]]="",Market_Data[[#This Row],[Completion Date]]=""),"Needs Validation",IF(Market_Data[[#This Row],[Start Date]]&gt;TODAY(),"Planned",IF(Market_Data[[#This Row],[Completion Date]]&lt;TODAY(),"Completed","Ongoing")))</f>
        <v>Ongoing</v>
      </c>
      <c r="G1286" s="324">
        <v>45637</v>
      </c>
      <c r="H1286" s="324">
        <v>47118</v>
      </c>
      <c r="I1286" s="325">
        <v>9200</v>
      </c>
      <c r="J128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86" s="133">
        <f>_xlfn.XLOOKUP(Market_Data[[#This Row],[Project Type]],tbl_assumptions_market[Project Category (RERA)],tbl_assumptions_market[Concrete Intensity
(m³ / sq m BUA)],"",0)</f>
        <v>0.18</v>
      </c>
      <c r="L1286" s="134">
        <f>ROUND(Market_Data[[#This Row],[Estimated Built Up Area (sq m)]]*Market_Data[[#This Row],[Concrete Intensity
(m³ / sq m)]],0)</f>
        <v>1656</v>
      </c>
      <c r="M1286" s="135">
        <f>_xlfn.XLOOKUP(Market_Data[[#This Row],[District]],tbl_district_price[District],tbl_district_price[Standard Price
(INR/m³)],"",0)</f>
        <v>6200</v>
      </c>
      <c r="N1286" s="364">
        <f>IF(OR(Market_Data[[#This Row],[Estimated Concrete Demand (m³)]]="",Market_Data[[#This Row],[Avg Price per (₹ / m³)]]=""),"",Market_Data[[#This Row],[Estimated Concrete Demand (m³)]]*Market_Data[[#This Row],[Avg Price per (₹ / m³)]]/10000000)</f>
        <v>1.0267200000000001</v>
      </c>
      <c r="O1286" s="97" t="str">
        <f>IF(Market_Data[[#This Row],[Estimated Concrete Demand (m³)]]="","",
IF(Market_Data[[#This Row],[Estimated Concrete Demand (m³)]]&lt;10000,"Small",
IF(Market_Data[[#This Row],[Estimated Concrete Demand (m³)]]&lt;25000,"Medium",
IF(Market_Data[[#This Row],[Estimated Concrete Demand (m³)]]&lt;100000,"Large","Mega"))))</f>
        <v>Small</v>
      </c>
      <c r="P1286" s="287" t="str">
        <f t="shared" si="21"/>
        <v>GujRERA</v>
      </c>
    </row>
    <row r="1287" spans="1:16">
      <c r="A1287" s="129" t="str">
        <f>_xlfn.XLOOKUP(B1287,$S$9:$S$14,$T$9:$T$14)&amp;"-"&amp;
IF(E1287="Residential/Group Housing","RES",
IF(E1287="Commercial","COM",
IF(E1287="Mixed Development","MIX",
IF(E1287="Plotted Development","PLT","OTH"))))
&amp;"-"&amp;TEXT(COUNTIFS($B$9:B1287,B1287,$E$9:E1287,E1287),"0000")</f>
        <v>SUR-RES-0362</v>
      </c>
      <c r="B1287" s="322" t="s">
        <v>34</v>
      </c>
      <c r="C1287" s="322" t="s">
        <v>34</v>
      </c>
      <c r="D1287" s="323" t="s">
        <v>1477</v>
      </c>
      <c r="E1287" s="132" t="s">
        <v>24</v>
      </c>
      <c r="F1287" s="97" t="str">
        <f ca="1">IF(OR(Market_Data[[#This Row],[Start Date]]="",Market_Data[[#This Row],[Completion Date]]=""),"Needs Validation",IF(Market_Data[[#This Row],[Start Date]]&gt;TODAY(),"Planned",IF(Market_Data[[#This Row],[Completion Date]]&lt;TODAY(),"Completed","Ongoing")))</f>
        <v>Ongoing</v>
      </c>
      <c r="G1287" s="324">
        <v>44855</v>
      </c>
      <c r="H1287" s="324">
        <v>47208</v>
      </c>
      <c r="I1287" s="325">
        <v>55400</v>
      </c>
      <c r="J128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87" s="133">
        <f>_xlfn.XLOOKUP(Market_Data[[#This Row],[Project Type]],tbl_assumptions_market[Project Category (RERA)],tbl_assumptions_market[Concrete Intensity
(m³ / sq m BUA)],"",0)</f>
        <v>0.45</v>
      </c>
      <c r="L1287" s="134">
        <f>ROUND(Market_Data[[#This Row],[Estimated Built Up Area (sq m)]]*Market_Data[[#This Row],[Concrete Intensity
(m³ / sq m)]],0)</f>
        <v>24930</v>
      </c>
      <c r="M1287" s="135">
        <f>_xlfn.XLOOKUP(Market_Data[[#This Row],[District]],tbl_district_price[District],tbl_district_price[Standard Price
(INR/m³)],"",0)</f>
        <v>6200</v>
      </c>
      <c r="N1287" s="364">
        <f>IF(OR(Market_Data[[#This Row],[Estimated Concrete Demand (m³)]]="",Market_Data[[#This Row],[Avg Price per (₹ / m³)]]=""),"",Market_Data[[#This Row],[Estimated Concrete Demand (m³)]]*Market_Data[[#This Row],[Avg Price per (₹ / m³)]]/10000000)</f>
        <v>15.4566</v>
      </c>
      <c r="O1287" s="97" t="str">
        <f>IF(Market_Data[[#This Row],[Estimated Concrete Demand (m³)]]="","",
IF(Market_Data[[#This Row],[Estimated Concrete Demand (m³)]]&lt;10000,"Small",
IF(Market_Data[[#This Row],[Estimated Concrete Demand (m³)]]&lt;25000,"Medium",
IF(Market_Data[[#This Row],[Estimated Concrete Demand (m³)]]&lt;100000,"Large","Mega"))))</f>
        <v>Medium</v>
      </c>
      <c r="P1287" s="287" t="str">
        <f t="shared" si="21"/>
        <v>GujRERA</v>
      </c>
    </row>
    <row r="1288" spans="1:16">
      <c r="A1288" s="129" t="str">
        <f>_xlfn.XLOOKUP(B1288,$S$9:$S$14,$T$9:$T$14)&amp;"-"&amp;
IF(E1288="Residential/Group Housing","RES",
IF(E1288="Commercial","COM",
IF(E1288="Mixed Development","MIX",
IF(E1288="Plotted Development","PLT","OTH"))))
&amp;"-"&amp;TEXT(COUNTIFS($B$9:B1288,B1288,$E$9:E1288,E1288),"0000")</f>
        <v>SUR-COM-0191</v>
      </c>
      <c r="B1288" s="322" t="s">
        <v>34</v>
      </c>
      <c r="C1288" s="322" t="s">
        <v>34</v>
      </c>
      <c r="D1288" s="323" t="s">
        <v>1478</v>
      </c>
      <c r="E1288" s="132" t="s">
        <v>23</v>
      </c>
      <c r="F1288" s="97" t="str">
        <f ca="1">IF(OR(Market_Data[[#This Row],[Start Date]]="",Market_Data[[#This Row],[Completion Date]]=""),"Needs Validation",IF(Market_Data[[#This Row],[Start Date]]&gt;TODAY(),"Planned",IF(Market_Data[[#This Row],[Completion Date]]&lt;TODAY(),"Completed","Ongoing")))</f>
        <v>Ongoing</v>
      </c>
      <c r="G1288" s="324">
        <v>45427</v>
      </c>
      <c r="H1288" s="324">
        <v>47252</v>
      </c>
      <c r="I1288" s="325">
        <v>13600</v>
      </c>
      <c r="J128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88" s="133">
        <f>_xlfn.XLOOKUP(Market_Data[[#This Row],[Project Type]],tbl_assumptions_market[Project Category (RERA)],tbl_assumptions_market[Concrete Intensity
(m³ / sq m BUA)],"",0)</f>
        <v>0.5</v>
      </c>
      <c r="L1288" s="134">
        <f>ROUND(Market_Data[[#This Row],[Estimated Built Up Area (sq m)]]*Market_Data[[#This Row],[Concrete Intensity
(m³ / sq m)]],0)</f>
        <v>6800</v>
      </c>
      <c r="M1288" s="135">
        <f>_xlfn.XLOOKUP(Market_Data[[#This Row],[District]],tbl_district_price[District],tbl_district_price[Standard Price
(INR/m³)],"",0)</f>
        <v>6200</v>
      </c>
      <c r="N1288" s="364">
        <f>IF(OR(Market_Data[[#This Row],[Estimated Concrete Demand (m³)]]="",Market_Data[[#This Row],[Avg Price per (₹ / m³)]]=""),"",Market_Data[[#This Row],[Estimated Concrete Demand (m³)]]*Market_Data[[#This Row],[Avg Price per (₹ / m³)]]/10000000)</f>
        <v>4.2160000000000002</v>
      </c>
      <c r="O1288" s="97" t="str">
        <f>IF(Market_Data[[#This Row],[Estimated Concrete Demand (m³)]]="","",
IF(Market_Data[[#This Row],[Estimated Concrete Demand (m³)]]&lt;10000,"Small",
IF(Market_Data[[#This Row],[Estimated Concrete Demand (m³)]]&lt;25000,"Medium",
IF(Market_Data[[#This Row],[Estimated Concrete Demand (m³)]]&lt;100000,"Large","Mega"))))</f>
        <v>Small</v>
      </c>
      <c r="P1288" s="287" t="str">
        <f t="shared" si="21"/>
        <v>GujRERA</v>
      </c>
    </row>
    <row r="1289" spans="1:16">
      <c r="A1289" s="129" t="str">
        <f>_xlfn.XLOOKUP(B1289,$S$9:$S$14,$T$9:$T$14)&amp;"-"&amp;
IF(E1289="Residential/Group Housing","RES",
IF(E1289="Commercial","COM",
IF(E1289="Mixed Development","MIX",
IF(E1289="Plotted Development","PLT","OTH"))))
&amp;"-"&amp;TEXT(COUNTIFS($B$9:B1289,B1289,$E$9:E1289,E1289),"0000")</f>
        <v>SUR-MIX-0174</v>
      </c>
      <c r="B1289" s="322" t="s">
        <v>34</v>
      </c>
      <c r="C1289" s="322" t="s">
        <v>34</v>
      </c>
      <c r="D1289" s="323" t="s">
        <v>1479</v>
      </c>
      <c r="E1289" s="132" t="s">
        <v>25</v>
      </c>
      <c r="F1289" s="97" t="str">
        <f ca="1">IF(OR(Market_Data[[#This Row],[Start Date]]="",Market_Data[[#This Row],[Completion Date]]=""),"Needs Validation",IF(Market_Data[[#This Row],[Start Date]]&gt;TODAY(),"Planned",IF(Market_Data[[#This Row],[Completion Date]]&lt;TODAY(),"Completed","Ongoing")))</f>
        <v>Ongoing</v>
      </c>
      <c r="G1289" s="324">
        <v>45649</v>
      </c>
      <c r="H1289" s="324">
        <v>47361</v>
      </c>
      <c r="I1289" s="325">
        <v>16800</v>
      </c>
      <c r="J128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89" s="133">
        <f>_xlfn.XLOOKUP(Market_Data[[#This Row],[Project Type]],tbl_assumptions_market[Project Category (RERA)],tbl_assumptions_market[Concrete Intensity
(m³ / sq m BUA)],"",0)</f>
        <v>0.42</v>
      </c>
      <c r="L1289" s="134">
        <f>ROUND(Market_Data[[#This Row],[Estimated Built Up Area (sq m)]]*Market_Data[[#This Row],[Concrete Intensity
(m³ / sq m)]],0)</f>
        <v>7056</v>
      </c>
      <c r="M1289" s="135">
        <f>_xlfn.XLOOKUP(Market_Data[[#This Row],[District]],tbl_district_price[District],tbl_district_price[Standard Price
(INR/m³)],"",0)</f>
        <v>6200</v>
      </c>
      <c r="N1289" s="364">
        <f>IF(OR(Market_Data[[#This Row],[Estimated Concrete Demand (m³)]]="",Market_Data[[#This Row],[Avg Price per (₹ / m³)]]=""),"",Market_Data[[#This Row],[Estimated Concrete Demand (m³)]]*Market_Data[[#This Row],[Avg Price per (₹ / m³)]]/10000000)</f>
        <v>4.3747199999999999</v>
      </c>
      <c r="O1289" s="97" t="str">
        <f>IF(Market_Data[[#This Row],[Estimated Concrete Demand (m³)]]="","",
IF(Market_Data[[#This Row],[Estimated Concrete Demand (m³)]]&lt;10000,"Small",
IF(Market_Data[[#This Row],[Estimated Concrete Demand (m³)]]&lt;25000,"Medium",
IF(Market_Data[[#This Row],[Estimated Concrete Demand (m³)]]&lt;100000,"Large","Mega"))))</f>
        <v>Small</v>
      </c>
      <c r="P1289" s="287" t="str">
        <f t="shared" si="21"/>
        <v>GujRERA</v>
      </c>
    </row>
    <row r="1290" spans="1:16">
      <c r="A1290" s="129" t="str">
        <f>_xlfn.XLOOKUP(B1290,$S$9:$S$14,$T$9:$T$14)&amp;"-"&amp;
IF(E1290="Residential/Group Housing","RES",
IF(E1290="Commercial","COM",
IF(E1290="Mixed Development","MIX",
IF(E1290="Plotted Development","PLT","OTH"))))
&amp;"-"&amp;TEXT(COUNTIFS($B$9:B1290,B1290,$E$9:E1290,E1290),"0000")</f>
        <v>SUR-COM-0192</v>
      </c>
      <c r="B1290" s="322" t="s">
        <v>34</v>
      </c>
      <c r="C1290" s="322" t="s">
        <v>34</v>
      </c>
      <c r="D1290" s="323" t="s">
        <v>1480</v>
      </c>
      <c r="E1290" s="132" t="s">
        <v>23</v>
      </c>
      <c r="F1290" s="97" t="str">
        <f ca="1">IF(OR(Market_Data[[#This Row],[Start Date]]="",Market_Data[[#This Row],[Completion Date]]=""),"Needs Validation",IF(Market_Data[[#This Row],[Start Date]]&gt;TODAY(),"Planned",IF(Market_Data[[#This Row],[Completion Date]]&lt;TODAY(),"Completed","Ongoing")))</f>
        <v>Ongoing</v>
      </c>
      <c r="G1290" s="324">
        <v>45355</v>
      </c>
      <c r="H1290" s="324">
        <v>46934</v>
      </c>
      <c r="I1290" s="325">
        <v>28600</v>
      </c>
      <c r="J129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290" s="133">
        <f>_xlfn.XLOOKUP(Market_Data[[#This Row],[Project Type]],tbl_assumptions_market[Project Category (RERA)],tbl_assumptions_market[Concrete Intensity
(m³ / sq m BUA)],"",0)</f>
        <v>0.5</v>
      </c>
      <c r="L1290" s="134">
        <f>ROUND(Market_Data[[#This Row],[Estimated Built Up Area (sq m)]]*Market_Data[[#This Row],[Concrete Intensity
(m³ / sq m)]],0)</f>
        <v>14300</v>
      </c>
      <c r="M1290" s="135">
        <f>_xlfn.XLOOKUP(Market_Data[[#This Row],[District]],tbl_district_price[District],tbl_district_price[Standard Price
(INR/m³)],"",0)</f>
        <v>6200</v>
      </c>
      <c r="N1290" s="364">
        <f>IF(OR(Market_Data[[#This Row],[Estimated Concrete Demand (m³)]]="",Market_Data[[#This Row],[Avg Price per (₹ / m³)]]=""),"",Market_Data[[#This Row],[Estimated Concrete Demand (m³)]]*Market_Data[[#This Row],[Avg Price per (₹ / m³)]]/10000000)</f>
        <v>8.8659999999999997</v>
      </c>
      <c r="O1290" s="97" t="str">
        <f>IF(Market_Data[[#This Row],[Estimated Concrete Demand (m³)]]="","",
IF(Market_Data[[#This Row],[Estimated Concrete Demand (m³)]]&lt;10000,"Small",
IF(Market_Data[[#This Row],[Estimated Concrete Demand (m³)]]&lt;25000,"Medium",
IF(Market_Data[[#This Row],[Estimated Concrete Demand (m³)]]&lt;100000,"Large","Mega"))))</f>
        <v>Medium</v>
      </c>
      <c r="P1290" s="287" t="str">
        <f t="shared" ref="P1290:P1353" si="22">HYPERLINK(
"https://gujrera.gujarat.gov.in",
"GujRERA")</f>
        <v>GujRERA</v>
      </c>
    </row>
    <row r="1291" spans="1:16">
      <c r="A1291" s="129" t="str">
        <f>_xlfn.XLOOKUP(B1291,$S$9:$S$14,$T$9:$T$14)&amp;"-"&amp;
IF(E1291="Residential/Group Housing","RES",
IF(E1291="Commercial","COM",
IF(E1291="Mixed Development","MIX",
IF(E1291="Plotted Development","PLT","OTH"))))
&amp;"-"&amp;TEXT(COUNTIFS($B$9:B1291,B1291,$E$9:E1291,E1291),"0000")</f>
        <v>SUR-RES-0363</v>
      </c>
      <c r="B1291" s="322" t="s">
        <v>34</v>
      </c>
      <c r="C1291" s="322" t="s">
        <v>34</v>
      </c>
      <c r="D1291" s="323" t="s">
        <v>1481</v>
      </c>
      <c r="E1291" s="132" t="s">
        <v>24</v>
      </c>
      <c r="F1291" s="97" t="str">
        <f ca="1">IF(OR(Market_Data[[#This Row],[Start Date]]="",Market_Data[[#This Row],[Completion Date]]=""),"Needs Validation",IF(Market_Data[[#This Row],[Start Date]]&gt;TODAY(),"Planned",IF(Market_Data[[#This Row],[Completion Date]]&lt;TODAY(),"Completed","Ongoing")))</f>
        <v>Completed</v>
      </c>
      <c r="G1291" s="324">
        <v>42430</v>
      </c>
      <c r="H1291" s="324">
        <v>44377</v>
      </c>
      <c r="I1291" s="325">
        <v>2100</v>
      </c>
      <c r="J129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91" s="133">
        <f>_xlfn.XLOOKUP(Market_Data[[#This Row],[Project Type]],tbl_assumptions_market[Project Category (RERA)],tbl_assumptions_market[Concrete Intensity
(m³ / sq m BUA)],"",0)</f>
        <v>0.45</v>
      </c>
      <c r="L1291" s="134">
        <f>ROUND(Market_Data[[#This Row],[Estimated Built Up Area (sq m)]]*Market_Data[[#This Row],[Concrete Intensity
(m³ / sq m)]],0)</f>
        <v>945</v>
      </c>
      <c r="M1291" s="135">
        <f>_xlfn.XLOOKUP(Market_Data[[#This Row],[District]],tbl_district_price[District],tbl_district_price[Standard Price
(INR/m³)],"",0)</f>
        <v>6200</v>
      </c>
      <c r="N1291" s="364">
        <f>IF(OR(Market_Data[[#This Row],[Estimated Concrete Demand (m³)]]="",Market_Data[[#This Row],[Avg Price per (₹ / m³)]]=""),"",Market_Data[[#This Row],[Estimated Concrete Demand (m³)]]*Market_Data[[#This Row],[Avg Price per (₹ / m³)]]/10000000)</f>
        <v>0.58589999999999998</v>
      </c>
      <c r="O1291" s="97" t="str">
        <f>IF(Market_Data[[#This Row],[Estimated Concrete Demand (m³)]]="","",
IF(Market_Data[[#This Row],[Estimated Concrete Demand (m³)]]&lt;10000,"Small",
IF(Market_Data[[#This Row],[Estimated Concrete Demand (m³)]]&lt;25000,"Medium",
IF(Market_Data[[#This Row],[Estimated Concrete Demand (m³)]]&lt;100000,"Large","Mega"))))</f>
        <v>Small</v>
      </c>
      <c r="P1291" s="287" t="str">
        <f t="shared" si="22"/>
        <v>GujRERA</v>
      </c>
    </row>
    <row r="1292" spans="1:16">
      <c r="A1292" s="129" t="str">
        <f>_xlfn.XLOOKUP(B1292,$S$9:$S$14,$T$9:$T$14)&amp;"-"&amp;
IF(E1292="Residential/Group Housing","RES",
IF(E1292="Commercial","COM",
IF(E1292="Mixed Development","MIX",
IF(E1292="Plotted Development","PLT","OTH"))))
&amp;"-"&amp;TEXT(COUNTIFS($B$9:B1292,B1292,$E$9:E1292,E1292),"0000")</f>
        <v>SUR-COM-0193</v>
      </c>
      <c r="B1292" s="322" t="s">
        <v>34</v>
      </c>
      <c r="C1292" s="322" t="s">
        <v>34</v>
      </c>
      <c r="D1292" s="323" t="s">
        <v>1482</v>
      </c>
      <c r="E1292" s="132" t="s">
        <v>23</v>
      </c>
      <c r="F1292" s="97" t="str">
        <f ca="1">IF(OR(Market_Data[[#This Row],[Start Date]]="",Market_Data[[#This Row],[Completion Date]]=""),"Needs Validation",IF(Market_Data[[#This Row],[Start Date]]&gt;TODAY(),"Planned",IF(Market_Data[[#This Row],[Completion Date]]&lt;TODAY(),"Completed","Ongoing")))</f>
        <v>Ongoing</v>
      </c>
      <c r="G1292" s="324">
        <v>45863</v>
      </c>
      <c r="H1292" s="324">
        <v>47118</v>
      </c>
      <c r="I1292" s="325">
        <v>26000</v>
      </c>
      <c r="J129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292" s="133">
        <f>_xlfn.XLOOKUP(Market_Data[[#This Row],[Project Type]],tbl_assumptions_market[Project Category (RERA)],tbl_assumptions_market[Concrete Intensity
(m³ / sq m BUA)],"",0)</f>
        <v>0.5</v>
      </c>
      <c r="L1292" s="134">
        <f>ROUND(Market_Data[[#This Row],[Estimated Built Up Area (sq m)]]*Market_Data[[#This Row],[Concrete Intensity
(m³ / sq m)]],0)</f>
        <v>13000</v>
      </c>
      <c r="M1292" s="135">
        <f>_xlfn.XLOOKUP(Market_Data[[#This Row],[District]],tbl_district_price[District],tbl_district_price[Standard Price
(INR/m³)],"",0)</f>
        <v>6200</v>
      </c>
      <c r="N1292" s="364">
        <f>IF(OR(Market_Data[[#This Row],[Estimated Concrete Demand (m³)]]="",Market_Data[[#This Row],[Avg Price per (₹ / m³)]]=""),"",Market_Data[[#This Row],[Estimated Concrete Demand (m³)]]*Market_Data[[#This Row],[Avg Price per (₹ / m³)]]/10000000)</f>
        <v>8.06</v>
      </c>
      <c r="O1292" s="97" t="str">
        <f>IF(Market_Data[[#This Row],[Estimated Concrete Demand (m³)]]="","",
IF(Market_Data[[#This Row],[Estimated Concrete Demand (m³)]]&lt;10000,"Small",
IF(Market_Data[[#This Row],[Estimated Concrete Demand (m³)]]&lt;25000,"Medium",
IF(Market_Data[[#This Row],[Estimated Concrete Demand (m³)]]&lt;100000,"Large","Mega"))))</f>
        <v>Medium</v>
      </c>
      <c r="P1292" s="287" t="str">
        <f t="shared" si="22"/>
        <v>GujRERA</v>
      </c>
    </row>
    <row r="1293" spans="1:16">
      <c r="A1293" s="129" t="str">
        <f>_xlfn.XLOOKUP(B1293,$S$9:$S$14,$T$9:$T$14)&amp;"-"&amp;
IF(E1293="Residential/Group Housing","RES",
IF(E1293="Commercial","COM",
IF(E1293="Mixed Development","MIX",
IF(E1293="Plotted Development","PLT","OTH"))))
&amp;"-"&amp;TEXT(COUNTIFS($B$9:B1293,B1293,$E$9:E1293,E1293),"0000")</f>
        <v>SUR-COM-0194</v>
      </c>
      <c r="B1293" s="322" t="s">
        <v>34</v>
      </c>
      <c r="C1293" s="322" t="s">
        <v>34</v>
      </c>
      <c r="D1293" s="323" t="s">
        <v>1483</v>
      </c>
      <c r="E1293" s="132" t="s">
        <v>23</v>
      </c>
      <c r="F1293" s="97" t="str">
        <f ca="1">IF(OR(Market_Data[[#This Row],[Start Date]]="",Market_Data[[#This Row],[Completion Date]]=""),"Needs Validation",IF(Market_Data[[#This Row],[Start Date]]&gt;TODAY(),"Planned",IF(Market_Data[[#This Row],[Completion Date]]&lt;TODAY(),"Completed","Ongoing")))</f>
        <v>Ongoing</v>
      </c>
      <c r="G1293" s="324">
        <v>45748</v>
      </c>
      <c r="H1293" s="324">
        <v>47118</v>
      </c>
      <c r="I1293" s="325">
        <v>18500</v>
      </c>
      <c r="J129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93" s="133">
        <f>_xlfn.XLOOKUP(Market_Data[[#This Row],[Project Type]],tbl_assumptions_market[Project Category (RERA)],tbl_assumptions_market[Concrete Intensity
(m³ / sq m BUA)],"",0)</f>
        <v>0.5</v>
      </c>
      <c r="L1293" s="134">
        <f>ROUND(Market_Data[[#This Row],[Estimated Built Up Area (sq m)]]*Market_Data[[#This Row],[Concrete Intensity
(m³ / sq m)]],0)</f>
        <v>9250</v>
      </c>
      <c r="M1293" s="135">
        <f>_xlfn.XLOOKUP(Market_Data[[#This Row],[District]],tbl_district_price[District],tbl_district_price[Standard Price
(INR/m³)],"",0)</f>
        <v>6200</v>
      </c>
      <c r="N1293" s="364">
        <f>IF(OR(Market_Data[[#This Row],[Estimated Concrete Demand (m³)]]="",Market_Data[[#This Row],[Avg Price per (₹ / m³)]]=""),"",Market_Data[[#This Row],[Estimated Concrete Demand (m³)]]*Market_Data[[#This Row],[Avg Price per (₹ / m³)]]/10000000)</f>
        <v>5.7350000000000003</v>
      </c>
      <c r="O1293" s="97" t="str">
        <f>IF(Market_Data[[#This Row],[Estimated Concrete Demand (m³)]]="","",
IF(Market_Data[[#This Row],[Estimated Concrete Demand (m³)]]&lt;10000,"Small",
IF(Market_Data[[#This Row],[Estimated Concrete Demand (m³)]]&lt;25000,"Medium",
IF(Market_Data[[#This Row],[Estimated Concrete Demand (m³)]]&lt;100000,"Large","Mega"))))</f>
        <v>Small</v>
      </c>
      <c r="P1293" s="287" t="str">
        <f t="shared" si="22"/>
        <v>GujRERA</v>
      </c>
    </row>
    <row r="1294" spans="1:16">
      <c r="A1294" s="129" t="str">
        <f>_xlfn.XLOOKUP(B1294,$S$9:$S$14,$T$9:$T$14)&amp;"-"&amp;
IF(E1294="Residential/Group Housing","RES",
IF(E1294="Commercial","COM",
IF(E1294="Mixed Development","MIX",
IF(E1294="Plotted Development","PLT","OTH"))))
&amp;"-"&amp;TEXT(COUNTIFS($B$9:B1294,B1294,$E$9:E1294,E1294),"0000")</f>
        <v>SUR-COM-0195</v>
      </c>
      <c r="B1294" s="322" t="s">
        <v>34</v>
      </c>
      <c r="C1294" s="322" t="s">
        <v>34</v>
      </c>
      <c r="D1294" s="323" t="s">
        <v>1484</v>
      </c>
      <c r="E1294" s="132" t="s">
        <v>23</v>
      </c>
      <c r="F1294" s="97" t="str">
        <f ca="1">IF(OR(Market_Data[[#This Row],[Start Date]]="",Market_Data[[#This Row],[Completion Date]]=""),"Needs Validation",IF(Market_Data[[#This Row],[Start Date]]&gt;TODAY(),"Planned",IF(Market_Data[[#This Row],[Completion Date]]&lt;TODAY(),"Completed","Ongoing")))</f>
        <v>Completed</v>
      </c>
      <c r="G1294" s="324">
        <v>43602</v>
      </c>
      <c r="H1294" s="324">
        <v>46022</v>
      </c>
      <c r="I1294" s="325">
        <v>88200</v>
      </c>
      <c r="J129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294" s="133">
        <f>_xlfn.XLOOKUP(Market_Data[[#This Row],[Project Type]],tbl_assumptions_market[Project Category (RERA)],tbl_assumptions_market[Concrete Intensity
(m³ / sq m BUA)],"",0)</f>
        <v>0.5</v>
      </c>
      <c r="L1294" s="134">
        <f>ROUND(Market_Data[[#This Row],[Estimated Built Up Area (sq m)]]*Market_Data[[#This Row],[Concrete Intensity
(m³ / sq m)]],0)</f>
        <v>44100</v>
      </c>
      <c r="M1294" s="135">
        <f>_xlfn.XLOOKUP(Market_Data[[#This Row],[District]],tbl_district_price[District],tbl_district_price[Standard Price
(INR/m³)],"",0)</f>
        <v>6200</v>
      </c>
      <c r="N1294" s="364">
        <f>IF(OR(Market_Data[[#This Row],[Estimated Concrete Demand (m³)]]="",Market_Data[[#This Row],[Avg Price per (₹ / m³)]]=""),"",Market_Data[[#This Row],[Estimated Concrete Demand (m³)]]*Market_Data[[#This Row],[Avg Price per (₹ / m³)]]/10000000)</f>
        <v>27.341999999999999</v>
      </c>
      <c r="O1294" s="97" t="str">
        <f>IF(Market_Data[[#This Row],[Estimated Concrete Demand (m³)]]="","",
IF(Market_Data[[#This Row],[Estimated Concrete Demand (m³)]]&lt;10000,"Small",
IF(Market_Data[[#This Row],[Estimated Concrete Demand (m³)]]&lt;25000,"Medium",
IF(Market_Data[[#This Row],[Estimated Concrete Demand (m³)]]&lt;100000,"Large","Mega"))))</f>
        <v>Large</v>
      </c>
      <c r="P1294" s="287" t="str">
        <f t="shared" si="22"/>
        <v>GujRERA</v>
      </c>
    </row>
    <row r="1295" spans="1:16">
      <c r="A1295" s="129" t="str">
        <f>_xlfn.XLOOKUP(B1295,$S$9:$S$14,$T$9:$T$14)&amp;"-"&amp;
IF(E1295="Residential/Group Housing","RES",
IF(E1295="Commercial","COM",
IF(E1295="Mixed Development","MIX",
IF(E1295="Plotted Development","PLT","OTH"))))
&amp;"-"&amp;TEXT(COUNTIFS($B$9:B1295,B1295,$E$9:E1295,E1295),"0000")</f>
        <v>SUR-PLT-0245</v>
      </c>
      <c r="B1295" s="322" t="s">
        <v>34</v>
      </c>
      <c r="C1295" s="322" t="s">
        <v>34</v>
      </c>
      <c r="D1295" s="323" t="s">
        <v>1485</v>
      </c>
      <c r="E1295" s="132" t="s">
        <v>26</v>
      </c>
      <c r="F1295" s="97" t="str">
        <f ca="1">IF(OR(Market_Data[[#This Row],[Start Date]]="",Market_Data[[#This Row],[Completion Date]]=""),"Needs Validation",IF(Market_Data[[#This Row],[Start Date]]&gt;TODAY(),"Planned",IF(Market_Data[[#This Row],[Completion Date]]&lt;TODAY(),"Completed","Ongoing")))</f>
        <v>Ongoing</v>
      </c>
      <c r="G1295" s="324">
        <v>45387</v>
      </c>
      <c r="H1295" s="324">
        <v>46752</v>
      </c>
      <c r="I1295" s="325">
        <v>40000</v>
      </c>
      <c r="J129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295" s="133">
        <f>_xlfn.XLOOKUP(Market_Data[[#This Row],[Project Type]],tbl_assumptions_market[Project Category (RERA)],tbl_assumptions_market[Concrete Intensity
(m³ / sq m BUA)],"",0)</f>
        <v>0.18</v>
      </c>
      <c r="L1295" s="134">
        <f>ROUND(Market_Data[[#This Row],[Estimated Built Up Area (sq m)]]*Market_Data[[#This Row],[Concrete Intensity
(m³ / sq m)]],0)</f>
        <v>7200</v>
      </c>
      <c r="M1295" s="135">
        <f>_xlfn.XLOOKUP(Market_Data[[#This Row],[District]],tbl_district_price[District],tbl_district_price[Standard Price
(INR/m³)],"",0)</f>
        <v>6200</v>
      </c>
      <c r="N1295" s="364">
        <f>IF(OR(Market_Data[[#This Row],[Estimated Concrete Demand (m³)]]="",Market_Data[[#This Row],[Avg Price per (₹ / m³)]]=""),"",Market_Data[[#This Row],[Estimated Concrete Demand (m³)]]*Market_Data[[#This Row],[Avg Price per (₹ / m³)]]/10000000)</f>
        <v>4.4640000000000004</v>
      </c>
      <c r="O1295" s="97" t="str">
        <f>IF(Market_Data[[#This Row],[Estimated Concrete Demand (m³)]]="","",
IF(Market_Data[[#This Row],[Estimated Concrete Demand (m³)]]&lt;10000,"Small",
IF(Market_Data[[#This Row],[Estimated Concrete Demand (m³)]]&lt;25000,"Medium",
IF(Market_Data[[#This Row],[Estimated Concrete Demand (m³)]]&lt;100000,"Large","Mega"))))</f>
        <v>Small</v>
      </c>
      <c r="P1295" s="287" t="str">
        <f t="shared" si="22"/>
        <v>GujRERA</v>
      </c>
    </row>
    <row r="1296" spans="1:16">
      <c r="A1296" s="129" t="str">
        <f>_xlfn.XLOOKUP(B1296,$S$9:$S$14,$T$9:$T$14)&amp;"-"&amp;
IF(E1296="Residential/Group Housing","RES",
IF(E1296="Commercial","COM",
IF(E1296="Mixed Development","MIX",
IF(E1296="Plotted Development","PLT","OTH"))))
&amp;"-"&amp;TEXT(COUNTIFS($B$9:B1296,B1296,$E$9:E1296,E1296),"0000")</f>
        <v>SUR-RES-0364</v>
      </c>
      <c r="B1296" s="322" t="s">
        <v>34</v>
      </c>
      <c r="C1296" s="322" t="s">
        <v>34</v>
      </c>
      <c r="D1296" s="323" t="s">
        <v>1486</v>
      </c>
      <c r="E1296" s="132" t="s">
        <v>24</v>
      </c>
      <c r="F1296" s="97" t="str">
        <f ca="1">IF(OR(Market_Data[[#This Row],[Start Date]]="",Market_Data[[#This Row],[Completion Date]]=""),"Needs Validation",IF(Market_Data[[#This Row],[Start Date]]&gt;TODAY(),"Planned",IF(Market_Data[[#This Row],[Completion Date]]&lt;TODAY(),"Completed","Ongoing")))</f>
        <v>Ongoing</v>
      </c>
      <c r="G1296" s="324">
        <v>45001</v>
      </c>
      <c r="H1296" s="324">
        <v>47118</v>
      </c>
      <c r="I1296" s="325">
        <v>47600</v>
      </c>
      <c r="J129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96" s="133">
        <f>_xlfn.XLOOKUP(Market_Data[[#This Row],[Project Type]],tbl_assumptions_market[Project Category (RERA)],tbl_assumptions_market[Concrete Intensity
(m³ / sq m BUA)],"",0)</f>
        <v>0.45</v>
      </c>
      <c r="L1296" s="134">
        <f>ROUND(Market_Data[[#This Row],[Estimated Built Up Area (sq m)]]*Market_Data[[#This Row],[Concrete Intensity
(m³ / sq m)]],0)</f>
        <v>21420</v>
      </c>
      <c r="M1296" s="135">
        <f>_xlfn.XLOOKUP(Market_Data[[#This Row],[District]],tbl_district_price[District],tbl_district_price[Standard Price
(INR/m³)],"",0)</f>
        <v>6200</v>
      </c>
      <c r="N1296" s="364">
        <f>IF(OR(Market_Data[[#This Row],[Estimated Concrete Demand (m³)]]="",Market_Data[[#This Row],[Avg Price per (₹ / m³)]]=""),"",Market_Data[[#This Row],[Estimated Concrete Demand (m³)]]*Market_Data[[#This Row],[Avg Price per (₹ / m³)]]/10000000)</f>
        <v>13.2804</v>
      </c>
      <c r="O1296" s="97" t="str">
        <f>IF(Market_Data[[#This Row],[Estimated Concrete Demand (m³)]]="","",
IF(Market_Data[[#This Row],[Estimated Concrete Demand (m³)]]&lt;10000,"Small",
IF(Market_Data[[#This Row],[Estimated Concrete Demand (m³)]]&lt;25000,"Medium",
IF(Market_Data[[#This Row],[Estimated Concrete Demand (m³)]]&lt;100000,"Large","Mega"))))</f>
        <v>Medium</v>
      </c>
      <c r="P1296" s="287" t="str">
        <f t="shared" si="22"/>
        <v>GujRERA</v>
      </c>
    </row>
    <row r="1297" spans="1:16">
      <c r="A1297" s="129" t="str">
        <f>_xlfn.XLOOKUP(B1297,$S$9:$S$14,$T$9:$T$14)&amp;"-"&amp;
IF(E1297="Residential/Group Housing","RES",
IF(E1297="Commercial","COM",
IF(E1297="Mixed Development","MIX",
IF(E1297="Plotted Development","PLT","OTH"))))
&amp;"-"&amp;TEXT(COUNTIFS($B$9:B1297,B1297,$E$9:E1297,E1297),"0000")</f>
        <v>SUR-PLT-0246</v>
      </c>
      <c r="B1297" s="322" t="s">
        <v>34</v>
      </c>
      <c r="C1297" s="322" t="s">
        <v>34</v>
      </c>
      <c r="D1297" s="323" t="s">
        <v>1487</v>
      </c>
      <c r="E1297" s="132" t="s">
        <v>26</v>
      </c>
      <c r="F1297" s="97" t="str">
        <f ca="1">IF(OR(Market_Data[[#This Row],[Start Date]]="",Market_Data[[#This Row],[Completion Date]]=""),"Needs Validation",IF(Market_Data[[#This Row],[Start Date]]&gt;TODAY(),"Planned",IF(Market_Data[[#This Row],[Completion Date]]&lt;TODAY(),"Completed","Ongoing")))</f>
        <v>Ongoing</v>
      </c>
      <c r="G1297" s="324">
        <v>45108</v>
      </c>
      <c r="H1297" s="324">
        <v>46387</v>
      </c>
      <c r="I1297" s="325">
        <v>24700</v>
      </c>
      <c r="J129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97" s="133">
        <f>_xlfn.XLOOKUP(Market_Data[[#This Row],[Project Type]],tbl_assumptions_market[Project Category (RERA)],tbl_assumptions_market[Concrete Intensity
(m³ / sq m BUA)],"",0)</f>
        <v>0.18</v>
      </c>
      <c r="L1297" s="134">
        <f>ROUND(Market_Data[[#This Row],[Estimated Built Up Area (sq m)]]*Market_Data[[#This Row],[Concrete Intensity
(m³ / sq m)]],0)</f>
        <v>4446</v>
      </c>
      <c r="M1297" s="135">
        <f>_xlfn.XLOOKUP(Market_Data[[#This Row],[District]],tbl_district_price[District],tbl_district_price[Standard Price
(INR/m³)],"",0)</f>
        <v>6200</v>
      </c>
      <c r="N1297" s="364">
        <f>IF(OR(Market_Data[[#This Row],[Estimated Concrete Demand (m³)]]="",Market_Data[[#This Row],[Avg Price per (₹ / m³)]]=""),"",Market_Data[[#This Row],[Estimated Concrete Demand (m³)]]*Market_Data[[#This Row],[Avg Price per (₹ / m³)]]/10000000)</f>
        <v>2.7565200000000001</v>
      </c>
      <c r="O1297" s="97" t="str">
        <f>IF(Market_Data[[#This Row],[Estimated Concrete Demand (m³)]]="","",
IF(Market_Data[[#This Row],[Estimated Concrete Demand (m³)]]&lt;10000,"Small",
IF(Market_Data[[#This Row],[Estimated Concrete Demand (m³)]]&lt;25000,"Medium",
IF(Market_Data[[#This Row],[Estimated Concrete Demand (m³)]]&lt;100000,"Large","Mega"))))</f>
        <v>Small</v>
      </c>
      <c r="P1297" s="287" t="str">
        <f t="shared" si="22"/>
        <v>GujRERA</v>
      </c>
    </row>
    <row r="1298" spans="1:16">
      <c r="A1298" s="129" t="str">
        <f>_xlfn.XLOOKUP(B1298,$S$9:$S$14,$T$9:$T$14)&amp;"-"&amp;
IF(E1298="Residential/Group Housing","RES",
IF(E1298="Commercial","COM",
IF(E1298="Mixed Development","MIX",
IF(E1298="Plotted Development","PLT","OTH"))))
&amp;"-"&amp;TEXT(COUNTIFS($B$9:B1298,B1298,$E$9:E1298,E1298),"0000")</f>
        <v>SUR-RES-0365</v>
      </c>
      <c r="B1298" s="322" t="s">
        <v>34</v>
      </c>
      <c r="C1298" s="322" t="s">
        <v>34</v>
      </c>
      <c r="D1298" s="323" t="s">
        <v>1488</v>
      </c>
      <c r="E1298" s="132" t="s">
        <v>24</v>
      </c>
      <c r="F1298" s="97" t="str">
        <f ca="1">IF(OR(Market_Data[[#This Row],[Start Date]]="",Market_Data[[#This Row],[Completion Date]]=""),"Needs Validation",IF(Market_Data[[#This Row],[Start Date]]&gt;TODAY(),"Planned",IF(Market_Data[[#This Row],[Completion Date]]&lt;TODAY(),"Completed","Ongoing")))</f>
        <v>Completed</v>
      </c>
      <c r="G1298" s="324">
        <v>43106</v>
      </c>
      <c r="H1298" s="324">
        <v>45107</v>
      </c>
      <c r="I1298" s="325">
        <v>26700</v>
      </c>
      <c r="J129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298" s="133">
        <f>_xlfn.XLOOKUP(Market_Data[[#This Row],[Project Type]],tbl_assumptions_market[Project Category (RERA)],tbl_assumptions_market[Concrete Intensity
(m³ / sq m BUA)],"",0)</f>
        <v>0.45</v>
      </c>
      <c r="L1298" s="134">
        <f>ROUND(Market_Data[[#This Row],[Estimated Built Up Area (sq m)]]*Market_Data[[#This Row],[Concrete Intensity
(m³ / sq m)]],0)</f>
        <v>12015</v>
      </c>
      <c r="M1298" s="135">
        <f>_xlfn.XLOOKUP(Market_Data[[#This Row],[District]],tbl_district_price[District],tbl_district_price[Standard Price
(INR/m³)],"",0)</f>
        <v>6200</v>
      </c>
      <c r="N1298" s="364">
        <f>IF(OR(Market_Data[[#This Row],[Estimated Concrete Demand (m³)]]="",Market_Data[[#This Row],[Avg Price per (₹ / m³)]]=""),"",Market_Data[[#This Row],[Estimated Concrete Demand (m³)]]*Market_Data[[#This Row],[Avg Price per (₹ / m³)]]/10000000)</f>
        <v>7.4493</v>
      </c>
      <c r="O1298" s="97" t="str">
        <f>IF(Market_Data[[#This Row],[Estimated Concrete Demand (m³)]]="","",
IF(Market_Data[[#This Row],[Estimated Concrete Demand (m³)]]&lt;10000,"Small",
IF(Market_Data[[#This Row],[Estimated Concrete Demand (m³)]]&lt;25000,"Medium",
IF(Market_Data[[#This Row],[Estimated Concrete Demand (m³)]]&lt;100000,"Large","Mega"))))</f>
        <v>Medium</v>
      </c>
      <c r="P1298" s="287" t="str">
        <f t="shared" si="22"/>
        <v>GujRERA</v>
      </c>
    </row>
    <row r="1299" spans="1:16">
      <c r="A1299" s="129" t="str">
        <f>_xlfn.XLOOKUP(B1299,$S$9:$S$14,$T$9:$T$14)&amp;"-"&amp;
IF(E1299="Residential/Group Housing","RES",
IF(E1299="Commercial","COM",
IF(E1299="Mixed Development","MIX",
IF(E1299="Plotted Development","PLT","OTH"))))
&amp;"-"&amp;TEXT(COUNTIFS($B$9:B1299,B1299,$E$9:E1299,E1299),"0000")</f>
        <v>SUR-PLT-0247</v>
      </c>
      <c r="B1299" s="322" t="s">
        <v>34</v>
      </c>
      <c r="C1299" s="322" t="s">
        <v>34</v>
      </c>
      <c r="D1299" s="323" t="s">
        <v>1489</v>
      </c>
      <c r="E1299" s="132" t="s">
        <v>26</v>
      </c>
      <c r="F1299" s="97" t="str">
        <f ca="1">IF(OR(Market_Data[[#This Row],[Start Date]]="",Market_Data[[#This Row],[Completion Date]]=""),"Needs Validation",IF(Market_Data[[#This Row],[Start Date]]&gt;TODAY(),"Planned",IF(Market_Data[[#This Row],[Completion Date]]&lt;TODAY(),"Completed","Ongoing")))</f>
        <v>Ongoing</v>
      </c>
      <c r="G1299" s="324">
        <v>45275</v>
      </c>
      <c r="H1299" s="324">
        <v>46387</v>
      </c>
      <c r="I1299" s="325">
        <v>51000</v>
      </c>
      <c r="J129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299" s="133">
        <f>_xlfn.XLOOKUP(Market_Data[[#This Row],[Project Type]],tbl_assumptions_market[Project Category (RERA)],tbl_assumptions_market[Concrete Intensity
(m³ / sq m BUA)],"",0)</f>
        <v>0.18</v>
      </c>
      <c r="L1299" s="134">
        <f>ROUND(Market_Data[[#This Row],[Estimated Built Up Area (sq m)]]*Market_Data[[#This Row],[Concrete Intensity
(m³ / sq m)]],0)</f>
        <v>9180</v>
      </c>
      <c r="M1299" s="135">
        <f>_xlfn.XLOOKUP(Market_Data[[#This Row],[District]],tbl_district_price[District],tbl_district_price[Standard Price
(INR/m³)],"",0)</f>
        <v>6200</v>
      </c>
      <c r="N1299" s="364">
        <f>IF(OR(Market_Data[[#This Row],[Estimated Concrete Demand (m³)]]="",Market_Data[[#This Row],[Avg Price per (₹ / m³)]]=""),"",Market_Data[[#This Row],[Estimated Concrete Demand (m³)]]*Market_Data[[#This Row],[Avg Price per (₹ / m³)]]/10000000)</f>
        <v>5.6916000000000002</v>
      </c>
      <c r="O1299" s="97" t="str">
        <f>IF(Market_Data[[#This Row],[Estimated Concrete Demand (m³)]]="","",
IF(Market_Data[[#This Row],[Estimated Concrete Demand (m³)]]&lt;10000,"Small",
IF(Market_Data[[#This Row],[Estimated Concrete Demand (m³)]]&lt;25000,"Medium",
IF(Market_Data[[#This Row],[Estimated Concrete Demand (m³)]]&lt;100000,"Large","Mega"))))</f>
        <v>Small</v>
      </c>
      <c r="P1299" s="287" t="str">
        <f t="shared" si="22"/>
        <v>GujRERA</v>
      </c>
    </row>
    <row r="1300" spans="1:16">
      <c r="A1300" s="129" t="str">
        <f>_xlfn.XLOOKUP(B1300,$S$9:$S$14,$T$9:$T$14)&amp;"-"&amp;
IF(E1300="Residential/Group Housing","RES",
IF(E1300="Commercial","COM",
IF(E1300="Mixed Development","MIX",
IF(E1300="Plotted Development","PLT","OTH"))))
&amp;"-"&amp;TEXT(COUNTIFS($B$9:B1300,B1300,$E$9:E1300,E1300),"0000")</f>
        <v>SUR-MIX-0175</v>
      </c>
      <c r="B1300" s="322" t="s">
        <v>34</v>
      </c>
      <c r="C1300" s="322" t="s">
        <v>34</v>
      </c>
      <c r="D1300" s="323" t="s">
        <v>1490</v>
      </c>
      <c r="E1300" s="132" t="s">
        <v>25</v>
      </c>
      <c r="F1300" s="97" t="str">
        <f ca="1">IF(OR(Market_Data[[#This Row],[Start Date]]="",Market_Data[[#This Row],[Completion Date]]=""),"Needs Validation",IF(Market_Data[[#This Row],[Start Date]]&gt;TODAY(),"Planned",IF(Market_Data[[#This Row],[Completion Date]]&lt;TODAY(),"Completed","Ongoing")))</f>
        <v>Ongoing</v>
      </c>
      <c r="G1300" s="324">
        <v>45292</v>
      </c>
      <c r="H1300" s="324">
        <v>47149</v>
      </c>
      <c r="I1300" s="325">
        <v>53600</v>
      </c>
      <c r="J130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00" s="133">
        <f>_xlfn.XLOOKUP(Market_Data[[#This Row],[Project Type]],tbl_assumptions_market[Project Category (RERA)],tbl_assumptions_market[Concrete Intensity
(m³ / sq m BUA)],"",0)</f>
        <v>0.42</v>
      </c>
      <c r="L1300" s="134">
        <f>ROUND(Market_Data[[#This Row],[Estimated Built Up Area (sq m)]]*Market_Data[[#This Row],[Concrete Intensity
(m³ / sq m)]],0)</f>
        <v>22512</v>
      </c>
      <c r="M1300" s="135">
        <f>_xlfn.XLOOKUP(Market_Data[[#This Row],[District]],tbl_district_price[District],tbl_district_price[Standard Price
(INR/m³)],"",0)</f>
        <v>6200</v>
      </c>
      <c r="N1300" s="364">
        <f>IF(OR(Market_Data[[#This Row],[Estimated Concrete Demand (m³)]]="",Market_Data[[#This Row],[Avg Price per (₹ / m³)]]=""),"",Market_Data[[#This Row],[Estimated Concrete Demand (m³)]]*Market_Data[[#This Row],[Avg Price per (₹ / m³)]]/10000000)</f>
        <v>13.95744</v>
      </c>
      <c r="O1300" s="97" t="str">
        <f>IF(Market_Data[[#This Row],[Estimated Concrete Demand (m³)]]="","",
IF(Market_Data[[#This Row],[Estimated Concrete Demand (m³)]]&lt;10000,"Small",
IF(Market_Data[[#This Row],[Estimated Concrete Demand (m³)]]&lt;25000,"Medium",
IF(Market_Data[[#This Row],[Estimated Concrete Demand (m³)]]&lt;100000,"Large","Mega"))))</f>
        <v>Medium</v>
      </c>
      <c r="P1300" s="287" t="str">
        <f t="shared" si="22"/>
        <v>GujRERA</v>
      </c>
    </row>
    <row r="1301" spans="1:16">
      <c r="A1301" s="129" t="str">
        <f>_xlfn.XLOOKUP(B1301,$S$9:$S$14,$T$9:$T$14)&amp;"-"&amp;
IF(E1301="Residential/Group Housing","RES",
IF(E1301="Commercial","COM",
IF(E1301="Mixed Development","MIX",
IF(E1301="Plotted Development","PLT","OTH"))))
&amp;"-"&amp;TEXT(COUNTIFS($B$9:B1301,B1301,$E$9:E1301,E1301),"0000")</f>
        <v>SUR-MIX-0176</v>
      </c>
      <c r="B1301" s="322" t="s">
        <v>34</v>
      </c>
      <c r="C1301" s="322" t="s">
        <v>34</v>
      </c>
      <c r="D1301" s="323" t="s">
        <v>1491</v>
      </c>
      <c r="E1301" s="132" t="s">
        <v>25</v>
      </c>
      <c r="F1301" s="97" t="str">
        <f ca="1">IF(OR(Market_Data[[#This Row],[Start Date]]="",Market_Data[[#This Row],[Completion Date]]=""),"Needs Validation",IF(Market_Data[[#This Row],[Start Date]]&gt;TODAY(),"Planned",IF(Market_Data[[#This Row],[Completion Date]]&lt;TODAY(),"Completed","Ongoing")))</f>
        <v>Ongoing</v>
      </c>
      <c r="G1301" s="324">
        <v>46088</v>
      </c>
      <c r="H1301" s="324">
        <v>48213</v>
      </c>
      <c r="I1301" s="325">
        <v>40700</v>
      </c>
      <c r="J130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01" s="133">
        <f>_xlfn.XLOOKUP(Market_Data[[#This Row],[Project Type]],tbl_assumptions_market[Project Category (RERA)],tbl_assumptions_market[Concrete Intensity
(m³ / sq m BUA)],"",0)</f>
        <v>0.42</v>
      </c>
      <c r="L1301" s="134">
        <f>ROUND(Market_Data[[#This Row],[Estimated Built Up Area (sq m)]]*Market_Data[[#This Row],[Concrete Intensity
(m³ / sq m)]],0)</f>
        <v>17094</v>
      </c>
      <c r="M1301" s="135">
        <f>_xlfn.XLOOKUP(Market_Data[[#This Row],[District]],tbl_district_price[District],tbl_district_price[Standard Price
(INR/m³)],"",0)</f>
        <v>6200</v>
      </c>
      <c r="N1301" s="364">
        <f>IF(OR(Market_Data[[#This Row],[Estimated Concrete Demand (m³)]]="",Market_Data[[#This Row],[Avg Price per (₹ / m³)]]=""),"",Market_Data[[#This Row],[Estimated Concrete Demand (m³)]]*Market_Data[[#This Row],[Avg Price per (₹ / m³)]]/10000000)</f>
        <v>10.598280000000001</v>
      </c>
      <c r="O1301" s="97" t="str">
        <f>IF(Market_Data[[#This Row],[Estimated Concrete Demand (m³)]]="","",
IF(Market_Data[[#This Row],[Estimated Concrete Demand (m³)]]&lt;10000,"Small",
IF(Market_Data[[#This Row],[Estimated Concrete Demand (m³)]]&lt;25000,"Medium",
IF(Market_Data[[#This Row],[Estimated Concrete Demand (m³)]]&lt;100000,"Large","Mega"))))</f>
        <v>Medium</v>
      </c>
      <c r="P1301" s="287" t="str">
        <f t="shared" si="22"/>
        <v>GujRERA</v>
      </c>
    </row>
    <row r="1302" spans="1:16">
      <c r="A1302" s="129" t="str">
        <f>_xlfn.XLOOKUP(B1302,$S$9:$S$14,$T$9:$T$14)&amp;"-"&amp;
IF(E1302="Residential/Group Housing","RES",
IF(E1302="Commercial","COM",
IF(E1302="Mixed Development","MIX",
IF(E1302="Plotted Development","PLT","OTH"))))
&amp;"-"&amp;TEXT(COUNTIFS($B$9:B1302,B1302,$E$9:E1302,E1302),"0000")</f>
        <v>SUR-MIX-0177</v>
      </c>
      <c r="B1302" s="322" t="s">
        <v>34</v>
      </c>
      <c r="C1302" s="322" t="s">
        <v>34</v>
      </c>
      <c r="D1302" s="323" t="s">
        <v>1492</v>
      </c>
      <c r="E1302" s="132" t="s">
        <v>25</v>
      </c>
      <c r="F1302" s="97" t="str">
        <f ca="1">IF(OR(Market_Data[[#This Row],[Start Date]]="",Market_Data[[#This Row],[Completion Date]]=""),"Needs Validation",IF(Market_Data[[#This Row],[Start Date]]&gt;TODAY(),"Planned",IF(Market_Data[[#This Row],[Completion Date]]&lt;TODAY(),"Completed","Ongoing")))</f>
        <v>Ongoing</v>
      </c>
      <c r="G1302" s="324">
        <v>45848</v>
      </c>
      <c r="H1302" s="324">
        <v>48213</v>
      </c>
      <c r="I1302" s="325">
        <v>20100</v>
      </c>
      <c r="J130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02" s="133">
        <f>_xlfn.XLOOKUP(Market_Data[[#This Row],[Project Type]],tbl_assumptions_market[Project Category (RERA)],tbl_assumptions_market[Concrete Intensity
(m³ / sq m BUA)],"",0)</f>
        <v>0.42</v>
      </c>
      <c r="L1302" s="134">
        <f>ROUND(Market_Data[[#This Row],[Estimated Built Up Area (sq m)]]*Market_Data[[#This Row],[Concrete Intensity
(m³ / sq m)]],0)</f>
        <v>8442</v>
      </c>
      <c r="M1302" s="135">
        <f>_xlfn.XLOOKUP(Market_Data[[#This Row],[District]],tbl_district_price[District],tbl_district_price[Standard Price
(INR/m³)],"",0)</f>
        <v>6200</v>
      </c>
      <c r="N1302" s="364">
        <f>IF(OR(Market_Data[[#This Row],[Estimated Concrete Demand (m³)]]="",Market_Data[[#This Row],[Avg Price per (₹ / m³)]]=""),"",Market_Data[[#This Row],[Estimated Concrete Demand (m³)]]*Market_Data[[#This Row],[Avg Price per (₹ / m³)]]/10000000)</f>
        <v>5.2340400000000002</v>
      </c>
      <c r="O1302" s="97" t="str">
        <f>IF(Market_Data[[#This Row],[Estimated Concrete Demand (m³)]]="","",
IF(Market_Data[[#This Row],[Estimated Concrete Demand (m³)]]&lt;10000,"Small",
IF(Market_Data[[#This Row],[Estimated Concrete Demand (m³)]]&lt;25000,"Medium",
IF(Market_Data[[#This Row],[Estimated Concrete Demand (m³)]]&lt;100000,"Large","Mega"))))</f>
        <v>Small</v>
      </c>
      <c r="P1302" s="287" t="str">
        <f t="shared" si="22"/>
        <v>GujRERA</v>
      </c>
    </row>
    <row r="1303" spans="1:16">
      <c r="A1303" s="129" t="str">
        <f>_xlfn.XLOOKUP(B1303,$S$9:$S$14,$T$9:$T$14)&amp;"-"&amp;
IF(E1303="Residential/Group Housing","RES",
IF(E1303="Commercial","COM",
IF(E1303="Mixed Development","MIX",
IF(E1303="Plotted Development","PLT","OTH"))))
&amp;"-"&amp;TEXT(COUNTIFS($B$9:B1303,B1303,$E$9:E1303,E1303),"0000")</f>
        <v>SUR-MIX-0178</v>
      </c>
      <c r="B1303" s="322" t="s">
        <v>34</v>
      </c>
      <c r="C1303" s="322" t="s">
        <v>34</v>
      </c>
      <c r="D1303" s="323" t="s">
        <v>1493</v>
      </c>
      <c r="E1303" s="132" t="s">
        <v>25</v>
      </c>
      <c r="F1303" s="97" t="str">
        <f ca="1">IF(OR(Market_Data[[#This Row],[Start Date]]="",Market_Data[[#This Row],[Completion Date]]=""),"Needs Validation",IF(Market_Data[[#This Row],[Start Date]]&gt;TODAY(),"Planned",IF(Market_Data[[#This Row],[Completion Date]]&lt;TODAY(),"Completed","Ongoing")))</f>
        <v>Completed</v>
      </c>
      <c r="G1303" s="324">
        <v>42564</v>
      </c>
      <c r="H1303" s="324">
        <v>44104</v>
      </c>
      <c r="I1303" s="325">
        <v>29800</v>
      </c>
      <c r="J130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03" s="133">
        <f>_xlfn.XLOOKUP(Market_Data[[#This Row],[Project Type]],tbl_assumptions_market[Project Category (RERA)],tbl_assumptions_market[Concrete Intensity
(m³ / sq m BUA)],"",0)</f>
        <v>0.42</v>
      </c>
      <c r="L1303" s="134">
        <f>ROUND(Market_Data[[#This Row],[Estimated Built Up Area (sq m)]]*Market_Data[[#This Row],[Concrete Intensity
(m³ / sq m)]],0)</f>
        <v>12516</v>
      </c>
      <c r="M1303" s="135">
        <f>_xlfn.XLOOKUP(Market_Data[[#This Row],[District]],tbl_district_price[District],tbl_district_price[Standard Price
(INR/m³)],"",0)</f>
        <v>6200</v>
      </c>
      <c r="N1303" s="364">
        <f>IF(OR(Market_Data[[#This Row],[Estimated Concrete Demand (m³)]]="",Market_Data[[#This Row],[Avg Price per (₹ / m³)]]=""),"",Market_Data[[#This Row],[Estimated Concrete Demand (m³)]]*Market_Data[[#This Row],[Avg Price per (₹ / m³)]]/10000000)</f>
        <v>7.7599200000000002</v>
      </c>
      <c r="O1303" s="97" t="str">
        <f>IF(Market_Data[[#This Row],[Estimated Concrete Demand (m³)]]="","",
IF(Market_Data[[#This Row],[Estimated Concrete Demand (m³)]]&lt;10000,"Small",
IF(Market_Data[[#This Row],[Estimated Concrete Demand (m³)]]&lt;25000,"Medium",
IF(Market_Data[[#This Row],[Estimated Concrete Demand (m³)]]&lt;100000,"Large","Mega"))))</f>
        <v>Medium</v>
      </c>
      <c r="P1303" s="287" t="str">
        <f t="shared" si="22"/>
        <v>GujRERA</v>
      </c>
    </row>
    <row r="1304" spans="1:16">
      <c r="A1304" s="129" t="str">
        <f>_xlfn.XLOOKUP(B1304,$S$9:$S$14,$T$9:$T$14)&amp;"-"&amp;
IF(E1304="Residential/Group Housing","RES",
IF(E1304="Commercial","COM",
IF(E1304="Mixed Development","MIX",
IF(E1304="Plotted Development","PLT","OTH"))))
&amp;"-"&amp;TEXT(COUNTIFS($B$9:B1304,B1304,$E$9:E1304,E1304),"0000")</f>
        <v>SUR-MIX-0179</v>
      </c>
      <c r="B1304" s="322" t="s">
        <v>34</v>
      </c>
      <c r="C1304" s="322" t="s">
        <v>34</v>
      </c>
      <c r="D1304" s="323" t="s">
        <v>1494</v>
      </c>
      <c r="E1304" s="132" t="s">
        <v>25</v>
      </c>
      <c r="F1304" s="97" t="str">
        <f ca="1">IF(OR(Market_Data[[#This Row],[Start Date]]="",Market_Data[[#This Row],[Completion Date]]=""),"Needs Validation",IF(Market_Data[[#This Row],[Start Date]]&gt;TODAY(),"Planned",IF(Market_Data[[#This Row],[Completion Date]]&lt;TODAY(),"Completed","Ongoing")))</f>
        <v>Ongoing</v>
      </c>
      <c r="G1304" s="324">
        <v>45933</v>
      </c>
      <c r="H1304" s="324">
        <v>48213</v>
      </c>
      <c r="I1304" s="325">
        <v>43500</v>
      </c>
      <c r="J130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04" s="133">
        <f>_xlfn.XLOOKUP(Market_Data[[#This Row],[Project Type]],tbl_assumptions_market[Project Category (RERA)],tbl_assumptions_market[Concrete Intensity
(m³ / sq m BUA)],"",0)</f>
        <v>0.42</v>
      </c>
      <c r="L1304" s="134">
        <f>ROUND(Market_Data[[#This Row],[Estimated Built Up Area (sq m)]]*Market_Data[[#This Row],[Concrete Intensity
(m³ / sq m)]],0)</f>
        <v>18270</v>
      </c>
      <c r="M1304" s="135">
        <f>_xlfn.XLOOKUP(Market_Data[[#This Row],[District]],tbl_district_price[District],tbl_district_price[Standard Price
(INR/m³)],"",0)</f>
        <v>6200</v>
      </c>
      <c r="N1304" s="364">
        <f>IF(OR(Market_Data[[#This Row],[Estimated Concrete Demand (m³)]]="",Market_Data[[#This Row],[Avg Price per (₹ / m³)]]=""),"",Market_Data[[#This Row],[Estimated Concrete Demand (m³)]]*Market_Data[[#This Row],[Avg Price per (₹ / m³)]]/10000000)</f>
        <v>11.327400000000001</v>
      </c>
      <c r="O1304" s="97" t="str">
        <f>IF(Market_Data[[#This Row],[Estimated Concrete Demand (m³)]]="","",
IF(Market_Data[[#This Row],[Estimated Concrete Demand (m³)]]&lt;10000,"Small",
IF(Market_Data[[#This Row],[Estimated Concrete Demand (m³)]]&lt;25000,"Medium",
IF(Market_Data[[#This Row],[Estimated Concrete Demand (m³)]]&lt;100000,"Large","Mega"))))</f>
        <v>Medium</v>
      </c>
      <c r="P1304" s="287" t="str">
        <f t="shared" si="22"/>
        <v>GujRERA</v>
      </c>
    </row>
    <row r="1305" spans="1:16">
      <c r="A1305" s="129" t="str">
        <f>_xlfn.XLOOKUP(B1305,$S$9:$S$14,$T$9:$T$14)&amp;"-"&amp;
IF(E1305="Residential/Group Housing","RES",
IF(E1305="Commercial","COM",
IF(E1305="Mixed Development","MIX",
IF(E1305="Plotted Development","PLT","OTH"))))
&amp;"-"&amp;TEXT(COUNTIFS($B$9:B1305,B1305,$E$9:E1305,E1305),"0000")</f>
        <v>SUR-MIX-0180</v>
      </c>
      <c r="B1305" s="322" t="s">
        <v>34</v>
      </c>
      <c r="C1305" s="322" t="s">
        <v>34</v>
      </c>
      <c r="D1305" s="323" t="s">
        <v>1495</v>
      </c>
      <c r="E1305" s="132" t="s">
        <v>25</v>
      </c>
      <c r="F1305" s="97" t="str">
        <f ca="1">IF(OR(Market_Data[[#This Row],[Start Date]]="",Market_Data[[#This Row],[Completion Date]]=""),"Needs Validation",IF(Market_Data[[#This Row],[Start Date]]&gt;TODAY(),"Planned",IF(Market_Data[[#This Row],[Completion Date]]&lt;TODAY(),"Completed","Ongoing")))</f>
        <v>Ongoing</v>
      </c>
      <c r="G1305" s="324">
        <v>45292</v>
      </c>
      <c r="H1305" s="324">
        <v>46980</v>
      </c>
      <c r="I1305" s="325">
        <v>5600</v>
      </c>
      <c r="J130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305" s="133">
        <f>_xlfn.XLOOKUP(Market_Data[[#This Row],[Project Type]],tbl_assumptions_market[Project Category (RERA)],tbl_assumptions_market[Concrete Intensity
(m³ / sq m BUA)],"",0)</f>
        <v>0.42</v>
      </c>
      <c r="L1305" s="134">
        <f>ROUND(Market_Data[[#This Row],[Estimated Built Up Area (sq m)]]*Market_Data[[#This Row],[Concrete Intensity
(m³ / sq m)]],0)</f>
        <v>2352</v>
      </c>
      <c r="M1305" s="135">
        <f>_xlfn.XLOOKUP(Market_Data[[#This Row],[District]],tbl_district_price[District],tbl_district_price[Standard Price
(INR/m³)],"",0)</f>
        <v>6200</v>
      </c>
      <c r="N1305" s="364">
        <f>IF(OR(Market_Data[[#This Row],[Estimated Concrete Demand (m³)]]="",Market_Data[[#This Row],[Avg Price per (₹ / m³)]]=""),"",Market_Data[[#This Row],[Estimated Concrete Demand (m³)]]*Market_Data[[#This Row],[Avg Price per (₹ / m³)]]/10000000)</f>
        <v>1.45824</v>
      </c>
      <c r="O1305" s="97" t="str">
        <f>IF(Market_Data[[#This Row],[Estimated Concrete Demand (m³)]]="","",
IF(Market_Data[[#This Row],[Estimated Concrete Demand (m³)]]&lt;10000,"Small",
IF(Market_Data[[#This Row],[Estimated Concrete Demand (m³)]]&lt;25000,"Medium",
IF(Market_Data[[#This Row],[Estimated Concrete Demand (m³)]]&lt;100000,"Large","Mega"))))</f>
        <v>Small</v>
      </c>
      <c r="P1305" s="287" t="str">
        <f t="shared" si="22"/>
        <v>GujRERA</v>
      </c>
    </row>
    <row r="1306" spans="1:16">
      <c r="A1306" s="129" t="str">
        <f>_xlfn.XLOOKUP(B1306,$S$9:$S$14,$T$9:$T$14)&amp;"-"&amp;
IF(E1306="Residential/Group Housing","RES",
IF(E1306="Commercial","COM",
IF(E1306="Mixed Development","MIX",
IF(E1306="Plotted Development","PLT","OTH"))))
&amp;"-"&amp;TEXT(COUNTIFS($B$9:B1306,B1306,$E$9:E1306,E1306),"0000")</f>
        <v>SUR-PLT-0248</v>
      </c>
      <c r="B1306" s="322" t="s">
        <v>34</v>
      </c>
      <c r="C1306" s="322" t="s">
        <v>34</v>
      </c>
      <c r="D1306" s="323" t="s">
        <v>1496</v>
      </c>
      <c r="E1306" s="132" t="s">
        <v>26</v>
      </c>
      <c r="F1306" s="97" t="str">
        <f ca="1">IF(OR(Market_Data[[#This Row],[Start Date]]="",Market_Data[[#This Row],[Completion Date]]=""),"Needs Validation",IF(Market_Data[[#This Row],[Start Date]]&gt;TODAY(),"Planned",IF(Market_Data[[#This Row],[Completion Date]]&lt;TODAY(),"Completed","Ongoing")))</f>
        <v>Ongoing</v>
      </c>
      <c r="G1306" s="324">
        <v>45009</v>
      </c>
      <c r="H1306" s="324">
        <v>47118</v>
      </c>
      <c r="I1306" s="325">
        <v>21300</v>
      </c>
      <c r="J130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06" s="133">
        <f>_xlfn.XLOOKUP(Market_Data[[#This Row],[Project Type]],tbl_assumptions_market[Project Category (RERA)],tbl_assumptions_market[Concrete Intensity
(m³ / sq m BUA)],"",0)</f>
        <v>0.18</v>
      </c>
      <c r="L1306" s="134">
        <f>ROUND(Market_Data[[#This Row],[Estimated Built Up Area (sq m)]]*Market_Data[[#This Row],[Concrete Intensity
(m³ / sq m)]],0)</f>
        <v>3834</v>
      </c>
      <c r="M1306" s="135">
        <f>_xlfn.XLOOKUP(Market_Data[[#This Row],[District]],tbl_district_price[District],tbl_district_price[Standard Price
(INR/m³)],"",0)</f>
        <v>6200</v>
      </c>
      <c r="N1306" s="364">
        <f>IF(OR(Market_Data[[#This Row],[Estimated Concrete Demand (m³)]]="",Market_Data[[#This Row],[Avg Price per (₹ / m³)]]=""),"",Market_Data[[#This Row],[Estimated Concrete Demand (m³)]]*Market_Data[[#This Row],[Avg Price per (₹ / m³)]]/10000000)</f>
        <v>2.3770799999999999</v>
      </c>
      <c r="O1306" s="97" t="str">
        <f>IF(Market_Data[[#This Row],[Estimated Concrete Demand (m³)]]="","",
IF(Market_Data[[#This Row],[Estimated Concrete Demand (m³)]]&lt;10000,"Small",
IF(Market_Data[[#This Row],[Estimated Concrete Demand (m³)]]&lt;25000,"Medium",
IF(Market_Data[[#This Row],[Estimated Concrete Demand (m³)]]&lt;100000,"Large","Mega"))))</f>
        <v>Small</v>
      </c>
      <c r="P1306" s="287" t="str">
        <f t="shared" si="22"/>
        <v>GujRERA</v>
      </c>
    </row>
    <row r="1307" spans="1:16">
      <c r="A1307" s="129" t="str">
        <f>_xlfn.XLOOKUP(B1307,$S$9:$S$14,$T$9:$T$14)&amp;"-"&amp;
IF(E1307="Residential/Group Housing","RES",
IF(E1307="Commercial","COM",
IF(E1307="Mixed Development","MIX",
IF(E1307="Plotted Development","PLT","OTH"))))
&amp;"-"&amp;TEXT(COUNTIFS($B$9:B1307,B1307,$E$9:E1307,E1307),"0000")</f>
        <v>SUR-RES-0366</v>
      </c>
      <c r="B1307" s="322" t="s">
        <v>34</v>
      </c>
      <c r="C1307" s="322" t="s">
        <v>34</v>
      </c>
      <c r="D1307" s="323" t="s">
        <v>1497</v>
      </c>
      <c r="E1307" s="132" t="s">
        <v>24</v>
      </c>
      <c r="F1307" s="97" t="str">
        <f ca="1">IF(OR(Market_Data[[#This Row],[Start Date]]="",Market_Data[[#This Row],[Completion Date]]=""),"Needs Validation",IF(Market_Data[[#This Row],[Start Date]]&gt;TODAY(),"Planned",IF(Market_Data[[#This Row],[Completion Date]]&lt;TODAY(),"Completed","Ongoing")))</f>
        <v>Ongoing</v>
      </c>
      <c r="G1307" s="324">
        <v>44686</v>
      </c>
      <c r="H1307" s="324">
        <v>46752</v>
      </c>
      <c r="I1307" s="325">
        <v>58500</v>
      </c>
      <c r="J130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07" s="133">
        <f>_xlfn.XLOOKUP(Market_Data[[#This Row],[Project Type]],tbl_assumptions_market[Project Category (RERA)],tbl_assumptions_market[Concrete Intensity
(m³ / sq m BUA)],"",0)</f>
        <v>0.45</v>
      </c>
      <c r="L1307" s="134">
        <f>ROUND(Market_Data[[#This Row],[Estimated Built Up Area (sq m)]]*Market_Data[[#This Row],[Concrete Intensity
(m³ / sq m)]],0)</f>
        <v>26325</v>
      </c>
      <c r="M1307" s="135">
        <f>_xlfn.XLOOKUP(Market_Data[[#This Row],[District]],tbl_district_price[District],tbl_district_price[Standard Price
(INR/m³)],"",0)</f>
        <v>6200</v>
      </c>
      <c r="N1307" s="364">
        <f>IF(OR(Market_Data[[#This Row],[Estimated Concrete Demand (m³)]]="",Market_Data[[#This Row],[Avg Price per (₹ / m³)]]=""),"",Market_Data[[#This Row],[Estimated Concrete Demand (m³)]]*Market_Data[[#This Row],[Avg Price per (₹ / m³)]]/10000000)</f>
        <v>16.3215</v>
      </c>
      <c r="O1307" s="97" t="str">
        <f>IF(Market_Data[[#This Row],[Estimated Concrete Demand (m³)]]="","",
IF(Market_Data[[#This Row],[Estimated Concrete Demand (m³)]]&lt;10000,"Small",
IF(Market_Data[[#This Row],[Estimated Concrete Demand (m³)]]&lt;25000,"Medium",
IF(Market_Data[[#This Row],[Estimated Concrete Demand (m³)]]&lt;100000,"Large","Mega"))))</f>
        <v>Large</v>
      </c>
      <c r="P1307" s="287" t="str">
        <f t="shared" si="22"/>
        <v>GujRERA</v>
      </c>
    </row>
    <row r="1308" spans="1:16">
      <c r="A1308" s="129" t="str">
        <f>_xlfn.XLOOKUP(B1308,$S$9:$S$14,$T$9:$T$14)&amp;"-"&amp;
IF(E1308="Residential/Group Housing","RES",
IF(E1308="Commercial","COM",
IF(E1308="Mixed Development","MIX",
IF(E1308="Plotted Development","PLT","OTH"))))
&amp;"-"&amp;TEXT(COUNTIFS($B$9:B1308,B1308,$E$9:E1308,E1308),"0000")</f>
        <v>SUR-RES-0367</v>
      </c>
      <c r="B1308" s="322" t="s">
        <v>34</v>
      </c>
      <c r="C1308" s="322" t="s">
        <v>34</v>
      </c>
      <c r="D1308" s="323" t="s">
        <v>1498</v>
      </c>
      <c r="E1308" s="132" t="s">
        <v>24</v>
      </c>
      <c r="F1308" s="97" t="str">
        <f ca="1">IF(OR(Market_Data[[#This Row],[Start Date]]="",Market_Data[[#This Row],[Completion Date]]=""),"Needs Validation",IF(Market_Data[[#This Row],[Start Date]]&gt;TODAY(),"Planned",IF(Market_Data[[#This Row],[Completion Date]]&lt;TODAY(),"Completed","Ongoing")))</f>
        <v>Ongoing</v>
      </c>
      <c r="G1308" s="324">
        <v>45809</v>
      </c>
      <c r="H1308" s="324">
        <v>47421</v>
      </c>
      <c r="I1308" s="325">
        <v>36100</v>
      </c>
      <c r="J130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08" s="133">
        <f>_xlfn.XLOOKUP(Market_Data[[#This Row],[Project Type]],tbl_assumptions_market[Project Category (RERA)],tbl_assumptions_market[Concrete Intensity
(m³ / sq m BUA)],"",0)</f>
        <v>0.45</v>
      </c>
      <c r="L1308" s="134">
        <f>ROUND(Market_Data[[#This Row],[Estimated Built Up Area (sq m)]]*Market_Data[[#This Row],[Concrete Intensity
(m³ / sq m)]],0)</f>
        <v>16245</v>
      </c>
      <c r="M1308" s="135">
        <f>_xlfn.XLOOKUP(Market_Data[[#This Row],[District]],tbl_district_price[District],tbl_district_price[Standard Price
(INR/m³)],"",0)</f>
        <v>6200</v>
      </c>
      <c r="N1308" s="364">
        <f>IF(OR(Market_Data[[#This Row],[Estimated Concrete Demand (m³)]]="",Market_Data[[#This Row],[Avg Price per (₹ / m³)]]=""),"",Market_Data[[#This Row],[Estimated Concrete Demand (m³)]]*Market_Data[[#This Row],[Avg Price per (₹ / m³)]]/10000000)</f>
        <v>10.071899999999999</v>
      </c>
      <c r="O1308" s="97" t="str">
        <f>IF(Market_Data[[#This Row],[Estimated Concrete Demand (m³)]]="","",
IF(Market_Data[[#This Row],[Estimated Concrete Demand (m³)]]&lt;10000,"Small",
IF(Market_Data[[#This Row],[Estimated Concrete Demand (m³)]]&lt;25000,"Medium",
IF(Market_Data[[#This Row],[Estimated Concrete Demand (m³)]]&lt;100000,"Large","Mega"))))</f>
        <v>Medium</v>
      </c>
      <c r="P1308" s="287" t="str">
        <f t="shared" si="22"/>
        <v>GujRERA</v>
      </c>
    </row>
    <row r="1309" spans="1:16">
      <c r="A1309" s="129" t="str">
        <f>_xlfn.XLOOKUP(B1309,$S$9:$S$14,$T$9:$T$14)&amp;"-"&amp;
IF(E1309="Residential/Group Housing","RES",
IF(E1309="Commercial","COM",
IF(E1309="Mixed Development","MIX",
IF(E1309="Plotted Development","PLT","OTH"))))
&amp;"-"&amp;TEXT(COUNTIFS($B$9:B1309,B1309,$E$9:E1309,E1309),"0000")</f>
        <v>SUR-MIX-0181</v>
      </c>
      <c r="B1309" s="322" t="s">
        <v>34</v>
      </c>
      <c r="C1309" s="322" t="s">
        <v>34</v>
      </c>
      <c r="D1309" s="323" t="s">
        <v>1499</v>
      </c>
      <c r="E1309" s="132" t="s">
        <v>25</v>
      </c>
      <c r="F1309" s="97" t="str">
        <f ca="1">IF(OR(Market_Data[[#This Row],[Start Date]]="",Market_Data[[#This Row],[Completion Date]]=""),"Needs Validation",IF(Market_Data[[#This Row],[Start Date]]&gt;TODAY(),"Planned",IF(Market_Data[[#This Row],[Completion Date]]&lt;TODAY(),"Completed","Ongoing")))</f>
        <v>Completed</v>
      </c>
      <c r="G1309" s="324">
        <v>43453</v>
      </c>
      <c r="H1309" s="324">
        <v>44469</v>
      </c>
      <c r="I1309" s="325">
        <v>26000</v>
      </c>
      <c r="J130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09" s="133">
        <f>_xlfn.XLOOKUP(Market_Data[[#This Row],[Project Type]],tbl_assumptions_market[Project Category (RERA)],tbl_assumptions_market[Concrete Intensity
(m³ / sq m BUA)],"",0)</f>
        <v>0.42</v>
      </c>
      <c r="L1309" s="134">
        <f>ROUND(Market_Data[[#This Row],[Estimated Built Up Area (sq m)]]*Market_Data[[#This Row],[Concrete Intensity
(m³ / sq m)]],0)</f>
        <v>10920</v>
      </c>
      <c r="M1309" s="135">
        <f>_xlfn.XLOOKUP(Market_Data[[#This Row],[District]],tbl_district_price[District],tbl_district_price[Standard Price
(INR/m³)],"",0)</f>
        <v>6200</v>
      </c>
      <c r="N1309" s="364">
        <f>IF(OR(Market_Data[[#This Row],[Estimated Concrete Demand (m³)]]="",Market_Data[[#This Row],[Avg Price per (₹ / m³)]]=""),"",Market_Data[[#This Row],[Estimated Concrete Demand (m³)]]*Market_Data[[#This Row],[Avg Price per (₹ / m³)]]/10000000)</f>
        <v>6.7704000000000004</v>
      </c>
      <c r="O1309" s="97" t="str">
        <f>IF(Market_Data[[#This Row],[Estimated Concrete Demand (m³)]]="","",
IF(Market_Data[[#This Row],[Estimated Concrete Demand (m³)]]&lt;10000,"Small",
IF(Market_Data[[#This Row],[Estimated Concrete Demand (m³)]]&lt;25000,"Medium",
IF(Market_Data[[#This Row],[Estimated Concrete Demand (m³)]]&lt;100000,"Large","Mega"))))</f>
        <v>Medium</v>
      </c>
      <c r="P1309" s="287" t="str">
        <f t="shared" si="22"/>
        <v>GujRERA</v>
      </c>
    </row>
    <row r="1310" spans="1:16">
      <c r="A1310" s="129" t="str">
        <f>_xlfn.XLOOKUP(B1310,$S$9:$S$14,$T$9:$T$14)&amp;"-"&amp;
IF(E1310="Residential/Group Housing","RES",
IF(E1310="Commercial","COM",
IF(E1310="Mixed Development","MIX",
IF(E1310="Plotted Development","PLT","OTH"))))
&amp;"-"&amp;TEXT(COUNTIFS($B$9:B1310,B1310,$E$9:E1310,E1310),"0000")</f>
        <v>SUR-RES-0368</v>
      </c>
      <c r="B1310" s="322" t="s">
        <v>34</v>
      </c>
      <c r="C1310" s="322" t="s">
        <v>34</v>
      </c>
      <c r="D1310" s="323" t="s">
        <v>1500</v>
      </c>
      <c r="E1310" s="132" t="s">
        <v>24</v>
      </c>
      <c r="F1310" s="97" t="str">
        <f ca="1">IF(OR(Market_Data[[#This Row],[Start Date]]="",Market_Data[[#This Row],[Completion Date]]=""),"Needs Validation",IF(Market_Data[[#This Row],[Start Date]]&gt;TODAY(),"Planned",IF(Market_Data[[#This Row],[Completion Date]]&lt;TODAY(),"Completed","Ongoing")))</f>
        <v>Ongoing</v>
      </c>
      <c r="G1310" s="324">
        <v>45383</v>
      </c>
      <c r="H1310" s="324">
        <v>46980</v>
      </c>
      <c r="I1310" s="325">
        <v>23300</v>
      </c>
      <c r="J131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10" s="133">
        <f>_xlfn.XLOOKUP(Market_Data[[#This Row],[Project Type]],tbl_assumptions_market[Project Category (RERA)],tbl_assumptions_market[Concrete Intensity
(m³ / sq m BUA)],"",0)</f>
        <v>0.45</v>
      </c>
      <c r="L1310" s="134">
        <f>ROUND(Market_Data[[#This Row],[Estimated Built Up Area (sq m)]]*Market_Data[[#This Row],[Concrete Intensity
(m³ / sq m)]],0)</f>
        <v>10485</v>
      </c>
      <c r="M1310" s="135">
        <f>_xlfn.XLOOKUP(Market_Data[[#This Row],[District]],tbl_district_price[District],tbl_district_price[Standard Price
(INR/m³)],"",0)</f>
        <v>6200</v>
      </c>
      <c r="N1310" s="364">
        <f>IF(OR(Market_Data[[#This Row],[Estimated Concrete Demand (m³)]]="",Market_Data[[#This Row],[Avg Price per (₹ / m³)]]=""),"",Market_Data[[#This Row],[Estimated Concrete Demand (m³)]]*Market_Data[[#This Row],[Avg Price per (₹ / m³)]]/10000000)</f>
        <v>6.5007000000000001</v>
      </c>
      <c r="O1310" s="97" t="str">
        <f>IF(Market_Data[[#This Row],[Estimated Concrete Demand (m³)]]="","",
IF(Market_Data[[#This Row],[Estimated Concrete Demand (m³)]]&lt;10000,"Small",
IF(Market_Data[[#This Row],[Estimated Concrete Demand (m³)]]&lt;25000,"Medium",
IF(Market_Data[[#This Row],[Estimated Concrete Demand (m³)]]&lt;100000,"Large","Mega"))))</f>
        <v>Medium</v>
      </c>
      <c r="P1310" s="287" t="str">
        <f t="shared" si="22"/>
        <v>GujRERA</v>
      </c>
    </row>
    <row r="1311" spans="1:16">
      <c r="A1311" s="129" t="str">
        <f>_xlfn.XLOOKUP(B1311,$S$9:$S$14,$T$9:$T$14)&amp;"-"&amp;
IF(E1311="Residential/Group Housing","RES",
IF(E1311="Commercial","COM",
IF(E1311="Mixed Development","MIX",
IF(E1311="Plotted Development","PLT","OTH"))))
&amp;"-"&amp;TEXT(COUNTIFS($B$9:B1311,B1311,$E$9:E1311,E1311),"0000")</f>
        <v>SUR-RES-0369</v>
      </c>
      <c r="B1311" s="322" t="s">
        <v>34</v>
      </c>
      <c r="C1311" s="322" t="s">
        <v>34</v>
      </c>
      <c r="D1311" s="323" t="s">
        <v>1501</v>
      </c>
      <c r="E1311" s="132" t="s">
        <v>24</v>
      </c>
      <c r="F1311" s="97" t="str">
        <f ca="1">IF(OR(Market_Data[[#This Row],[Start Date]]="",Market_Data[[#This Row],[Completion Date]]=""),"Needs Validation",IF(Market_Data[[#This Row],[Start Date]]&gt;TODAY(),"Planned",IF(Market_Data[[#This Row],[Completion Date]]&lt;TODAY(),"Completed","Ongoing")))</f>
        <v>Completed</v>
      </c>
      <c r="G1311" s="324">
        <v>44136</v>
      </c>
      <c r="H1311" s="324">
        <v>45961</v>
      </c>
      <c r="I1311" s="325">
        <v>46500</v>
      </c>
      <c r="J131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11" s="133">
        <f>_xlfn.XLOOKUP(Market_Data[[#This Row],[Project Type]],tbl_assumptions_market[Project Category (RERA)],tbl_assumptions_market[Concrete Intensity
(m³ / sq m BUA)],"",0)</f>
        <v>0.45</v>
      </c>
      <c r="L1311" s="134">
        <f>ROUND(Market_Data[[#This Row],[Estimated Built Up Area (sq m)]]*Market_Data[[#This Row],[Concrete Intensity
(m³ / sq m)]],0)</f>
        <v>20925</v>
      </c>
      <c r="M1311" s="135">
        <f>_xlfn.XLOOKUP(Market_Data[[#This Row],[District]],tbl_district_price[District],tbl_district_price[Standard Price
(INR/m³)],"",0)</f>
        <v>6200</v>
      </c>
      <c r="N1311" s="364">
        <f>IF(OR(Market_Data[[#This Row],[Estimated Concrete Demand (m³)]]="",Market_Data[[#This Row],[Avg Price per (₹ / m³)]]=""),"",Market_Data[[#This Row],[Estimated Concrete Demand (m³)]]*Market_Data[[#This Row],[Avg Price per (₹ / m³)]]/10000000)</f>
        <v>12.9735</v>
      </c>
      <c r="O1311" s="97" t="str">
        <f>IF(Market_Data[[#This Row],[Estimated Concrete Demand (m³)]]="","",
IF(Market_Data[[#This Row],[Estimated Concrete Demand (m³)]]&lt;10000,"Small",
IF(Market_Data[[#This Row],[Estimated Concrete Demand (m³)]]&lt;25000,"Medium",
IF(Market_Data[[#This Row],[Estimated Concrete Demand (m³)]]&lt;100000,"Large","Mega"))))</f>
        <v>Medium</v>
      </c>
      <c r="P1311" s="287" t="str">
        <f t="shared" si="22"/>
        <v>GujRERA</v>
      </c>
    </row>
    <row r="1312" spans="1:16">
      <c r="A1312" s="129" t="str">
        <f>_xlfn.XLOOKUP(B1312,$S$9:$S$14,$T$9:$T$14)&amp;"-"&amp;
IF(E1312="Residential/Group Housing","RES",
IF(E1312="Commercial","COM",
IF(E1312="Mixed Development","MIX",
IF(E1312="Plotted Development","PLT","OTH"))))
&amp;"-"&amp;TEXT(COUNTIFS($B$9:B1312,B1312,$E$9:E1312,E1312),"0000")</f>
        <v>SUR-MIX-0182</v>
      </c>
      <c r="B1312" s="322" t="s">
        <v>34</v>
      </c>
      <c r="C1312" s="322" t="s">
        <v>34</v>
      </c>
      <c r="D1312" s="323" t="s">
        <v>1502</v>
      </c>
      <c r="E1312" s="132" t="s">
        <v>25</v>
      </c>
      <c r="F1312" s="97" t="str">
        <f ca="1">IF(OR(Market_Data[[#This Row],[Start Date]]="",Market_Data[[#This Row],[Completion Date]]=""),"Needs Validation",IF(Market_Data[[#This Row],[Start Date]]&gt;TODAY(),"Planned",IF(Market_Data[[#This Row],[Completion Date]]&lt;TODAY(),"Completed","Ongoing")))</f>
        <v>Ongoing</v>
      </c>
      <c r="G1312" s="324">
        <v>44387</v>
      </c>
      <c r="H1312" s="324">
        <v>46387</v>
      </c>
      <c r="I1312" s="325">
        <v>59900</v>
      </c>
      <c r="J131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12" s="133">
        <f>_xlfn.XLOOKUP(Market_Data[[#This Row],[Project Type]],tbl_assumptions_market[Project Category (RERA)],tbl_assumptions_market[Concrete Intensity
(m³ / sq m BUA)],"",0)</f>
        <v>0.42</v>
      </c>
      <c r="L1312" s="134">
        <f>ROUND(Market_Data[[#This Row],[Estimated Built Up Area (sq m)]]*Market_Data[[#This Row],[Concrete Intensity
(m³ / sq m)]],0)</f>
        <v>25158</v>
      </c>
      <c r="M1312" s="135">
        <f>_xlfn.XLOOKUP(Market_Data[[#This Row],[District]],tbl_district_price[District],tbl_district_price[Standard Price
(INR/m³)],"",0)</f>
        <v>6200</v>
      </c>
      <c r="N1312" s="364">
        <f>IF(OR(Market_Data[[#This Row],[Estimated Concrete Demand (m³)]]="",Market_Data[[#This Row],[Avg Price per (₹ / m³)]]=""),"",Market_Data[[#This Row],[Estimated Concrete Demand (m³)]]*Market_Data[[#This Row],[Avg Price per (₹ / m³)]]/10000000)</f>
        <v>15.59796</v>
      </c>
      <c r="O1312" s="97" t="str">
        <f>IF(Market_Data[[#This Row],[Estimated Concrete Demand (m³)]]="","",
IF(Market_Data[[#This Row],[Estimated Concrete Demand (m³)]]&lt;10000,"Small",
IF(Market_Data[[#This Row],[Estimated Concrete Demand (m³)]]&lt;25000,"Medium",
IF(Market_Data[[#This Row],[Estimated Concrete Demand (m³)]]&lt;100000,"Large","Mega"))))</f>
        <v>Large</v>
      </c>
      <c r="P1312" s="287" t="str">
        <f t="shared" si="22"/>
        <v>GujRERA</v>
      </c>
    </row>
    <row r="1313" spans="1:16">
      <c r="A1313" s="129" t="str">
        <f>_xlfn.XLOOKUP(B1313,$S$9:$S$14,$T$9:$T$14)&amp;"-"&amp;
IF(E1313="Residential/Group Housing","RES",
IF(E1313="Commercial","COM",
IF(E1313="Mixed Development","MIX",
IF(E1313="Plotted Development","PLT","OTH"))))
&amp;"-"&amp;TEXT(COUNTIFS($B$9:B1313,B1313,$E$9:E1313,E1313),"0000")</f>
        <v>SUR-RES-0370</v>
      </c>
      <c r="B1313" s="322" t="s">
        <v>34</v>
      </c>
      <c r="C1313" s="322" t="s">
        <v>34</v>
      </c>
      <c r="D1313" s="323" t="s">
        <v>1503</v>
      </c>
      <c r="E1313" s="132" t="s">
        <v>24</v>
      </c>
      <c r="F1313" s="97" t="str">
        <f ca="1">IF(OR(Market_Data[[#This Row],[Start Date]]="",Market_Data[[#This Row],[Completion Date]]=""),"Needs Validation",IF(Market_Data[[#This Row],[Start Date]]&gt;TODAY(),"Planned",IF(Market_Data[[#This Row],[Completion Date]]&lt;TODAY(),"Completed","Ongoing")))</f>
        <v>Ongoing</v>
      </c>
      <c r="G1313" s="324">
        <v>44958</v>
      </c>
      <c r="H1313" s="324">
        <v>46783</v>
      </c>
      <c r="I1313" s="325">
        <v>32000</v>
      </c>
      <c r="J131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13" s="133">
        <f>_xlfn.XLOOKUP(Market_Data[[#This Row],[Project Type]],tbl_assumptions_market[Project Category (RERA)],tbl_assumptions_market[Concrete Intensity
(m³ / sq m BUA)],"",0)</f>
        <v>0.45</v>
      </c>
      <c r="L1313" s="134">
        <f>ROUND(Market_Data[[#This Row],[Estimated Built Up Area (sq m)]]*Market_Data[[#This Row],[Concrete Intensity
(m³ / sq m)]],0)</f>
        <v>14400</v>
      </c>
      <c r="M1313" s="135">
        <f>_xlfn.XLOOKUP(Market_Data[[#This Row],[District]],tbl_district_price[District],tbl_district_price[Standard Price
(INR/m³)],"",0)</f>
        <v>6200</v>
      </c>
      <c r="N1313" s="364">
        <f>IF(OR(Market_Data[[#This Row],[Estimated Concrete Demand (m³)]]="",Market_Data[[#This Row],[Avg Price per (₹ / m³)]]=""),"",Market_Data[[#This Row],[Estimated Concrete Demand (m³)]]*Market_Data[[#This Row],[Avg Price per (₹ / m³)]]/10000000)</f>
        <v>8.9280000000000008</v>
      </c>
      <c r="O1313" s="97" t="str">
        <f>IF(Market_Data[[#This Row],[Estimated Concrete Demand (m³)]]="","",
IF(Market_Data[[#This Row],[Estimated Concrete Demand (m³)]]&lt;10000,"Small",
IF(Market_Data[[#This Row],[Estimated Concrete Demand (m³)]]&lt;25000,"Medium",
IF(Market_Data[[#This Row],[Estimated Concrete Demand (m³)]]&lt;100000,"Large","Mega"))))</f>
        <v>Medium</v>
      </c>
      <c r="P1313" s="287" t="str">
        <f t="shared" si="22"/>
        <v>GujRERA</v>
      </c>
    </row>
    <row r="1314" spans="1:16">
      <c r="A1314" s="129" t="str">
        <f>_xlfn.XLOOKUP(B1314,$S$9:$S$14,$T$9:$T$14)&amp;"-"&amp;
IF(E1314="Residential/Group Housing","RES",
IF(E1314="Commercial","COM",
IF(E1314="Mixed Development","MIX",
IF(E1314="Plotted Development","PLT","OTH"))))
&amp;"-"&amp;TEXT(COUNTIFS($B$9:B1314,B1314,$E$9:E1314,E1314),"0000")</f>
        <v>SUR-RES-0371</v>
      </c>
      <c r="B1314" s="322" t="s">
        <v>34</v>
      </c>
      <c r="C1314" s="322" t="s">
        <v>34</v>
      </c>
      <c r="D1314" s="323" t="s">
        <v>1504</v>
      </c>
      <c r="E1314" s="132" t="s">
        <v>24</v>
      </c>
      <c r="F1314" s="97" t="str">
        <f ca="1">IF(OR(Market_Data[[#This Row],[Start Date]]="",Market_Data[[#This Row],[Completion Date]]=""),"Needs Validation",IF(Market_Data[[#This Row],[Start Date]]&gt;TODAY(),"Planned",IF(Market_Data[[#This Row],[Completion Date]]&lt;TODAY(),"Completed","Ongoing")))</f>
        <v>Ongoing</v>
      </c>
      <c r="G1314" s="324">
        <v>45839</v>
      </c>
      <c r="H1314" s="324">
        <v>47514</v>
      </c>
      <c r="I1314" s="325">
        <v>4000</v>
      </c>
      <c r="J131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14" s="133">
        <f>_xlfn.XLOOKUP(Market_Data[[#This Row],[Project Type]],tbl_assumptions_market[Project Category (RERA)],tbl_assumptions_market[Concrete Intensity
(m³ / sq m BUA)],"",0)</f>
        <v>0.45</v>
      </c>
      <c r="L1314" s="134">
        <f>ROUND(Market_Data[[#This Row],[Estimated Built Up Area (sq m)]]*Market_Data[[#This Row],[Concrete Intensity
(m³ / sq m)]],0)</f>
        <v>1800</v>
      </c>
      <c r="M1314" s="135">
        <f>_xlfn.XLOOKUP(Market_Data[[#This Row],[District]],tbl_district_price[District],tbl_district_price[Standard Price
(INR/m³)],"",0)</f>
        <v>6200</v>
      </c>
      <c r="N1314" s="364">
        <f>IF(OR(Market_Data[[#This Row],[Estimated Concrete Demand (m³)]]="",Market_Data[[#This Row],[Avg Price per (₹ / m³)]]=""),"",Market_Data[[#This Row],[Estimated Concrete Demand (m³)]]*Market_Data[[#This Row],[Avg Price per (₹ / m³)]]/10000000)</f>
        <v>1.1160000000000001</v>
      </c>
      <c r="O1314" s="97" t="str">
        <f>IF(Market_Data[[#This Row],[Estimated Concrete Demand (m³)]]="","",
IF(Market_Data[[#This Row],[Estimated Concrete Demand (m³)]]&lt;10000,"Small",
IF(Market_Data[[#This Row],[Estimated Concrete Demand (m³)]]&lt;25000,"Medium",
IF(Market_Data[[#This Row],[Estimated Concrete Demand (m³)]]&lt;100000,"Large","Mega"))))</f>
        <v>Small</v>
      </c>
      <c r="P1314" s="287" t="str">
        <f t="shared" si="22"/>
        <v>GujRERA</v>
      </c>
    </row>
    <row r="1315" spans="1:16">
      <c r="A1315" s="129" t="str">
        <f>_xlfn.XLOOKUP(B1315,$S$9:$S$14,$T$9:$T$14)&amp;"-"&amp;
IF(E1315="Residential/Group Housing","RES",
IF(E1315="Commercial","COM",
IF(E1315="Mixed Development","MIX",
IF(E1315="Plotted Development","PLT","OTH"))))
&amp;"-"&amp;TEXT(COUNTIFS($B$9:B1315,B1315,$E$9:E1315,E1315),"0000")</f>
        <v>SUR-PLT-0249</v>
      </c>
      <c r="B1315" s="322" t="s">
        <v>34</v>
      </c>
      <c r="C1315" s="322" t="s">
        <v>34</v>
      </c>
      <c r="D1315" s="323" t="s">
        <v>1505</v>
      </c>
      <c r="E1315" s="132" t="s">
        <v>26</v>
      </c>
      <c r="F1315" s="97" t="str">
        <f ca="1">IF(OR(Market_Data[[#This Row],[Start Date]]="",Market_Data[[#This Row],[Completion Date]]=""),"Needs Validation",IF(Market_Data[[#This Row],[Start Date]]&gt;TODAY(),"Planned",IF(Market_Data[[#This Row],[Completion Date]]&lt;TODAY(),"Completed","Ongoing")))</f>
        <v>Ongoing</v>
      </c>
      <c r="G1315" s="324">
        <v>45517</v>
      </c>
      <c r="H1315" s="324">
        <v>46752</v>
      </c>
      <c r="I1315" s="325">
        <v>25900</v>
      </c>
      <c r="J131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15" s="133">
        <f>_xlfn.XLOOKUP(Market_Data[[#This Row],[Project Type]],tbl_assumptions_market[Project Category (RERA)],tbl_assumptions_market[Concrete Intensity
(m³ / sq m BUA)],"",0)</f>
        <v>0.18</v>
      </c>
      <c r="L1315" s="134">
        <f>ROUND(Market_Data[[#This Row],[Estimated Built Up Area (sq m)]]*Market_Data[[#This Row],[Concrete Intensity
(m³ / sq m)]],0)</f>
        <v>4662</v>
      </c>
      <c r="M1315" s="135">
        <f>_xlfn.XLOOKUP(Market_Data[[#This Row],[District]],tbl_district_price[District],tbl_district_price[Standard Price
(INR/m³)],"",0)</f>
        <v>6200</v>
      </c>
      <c r="N1315" s="364">
        <f>IF(OR(Market_Data[[#This Row],[Estimated Concrete Demand (m³)]]="",Market_Data[[#This Row],[Avg Price per (₹ / m³)]]=""),"",Market_Data[[#This Row],[Estimated Concrete Demand (m³)]]*Market_Data[[#This Row],[Avg Price per (₹ / m³)]]/10000000)</f>
        <v>2.8904399999999999</v>
      </c>
      <c r="O1315" s="97" t="str">
        <f>IF(Market_Data[[#This Row],[Estimated Concrete Demand (m³)]]="","",
IF(Market_Data[[#This Row],[Estimated Concrete Demand (m³)]]&lt;10000,"Small",
IF(Market_Data[[#This Row],[Estimated Concrete Demand (m³)]]&lt;25000,"Medium",
IF(Market_Data[[#This Row],[Estimated Concrete Demand (m³)]]&lt;100000,"Large","Mega"))))</f>
        <v>Small</v>
      </c>
      <c r="P1315" s="287" t="str">
        <f t="shared" si="22"/>
        <v>GujRERA</v>
      </c>
    </row>
    <row r="1316" spans="1:16">
      <c r="A1316" s="129" t="str">
        <f>_xlfn.XLOOKUP(B1316,$S$9:$S$14,$T$9:$T$14)&amp;"-"&amp;
IF(E1316="Residential/Group Housing","RES",
IF(E1316="Commercial","COM",
IF(E1316="Mixed Development","MIX",
IF(E1316="Plotted Development","PLT","OTH"))))
&amp;"-"&amp;TEXT(COUNTIFS($B$9:B1316,B1316,$E$9:E1316,E1316),"0000")</f>
        <v>SUR-PLT-0250</v>
      </c>
      <c r="B1316" s="322" t="s">
        <v>34</v>
      </c>
      <c r="C1316" s="322" t="s">
        <v>34</v>
      </c>
      <c r="D1316" s="323" t="s">
        <v>1506</v>
      </c>
      <c r="E1316" s="132" t="s">
        <v>26</v>
      </c>
      <c r="F1316" s="97" t="str">
        <f ca="1">IF(OR(Market_Data[[#This Row],[Start Date]]="",Market_Data[[#This Row],[Completion Date]]=""),"Needs Validation",IF(Market_Data[[#This Row],[Start Date]]&gt;TODAY(),"Planned",IF(Market_Data[[#This Row],[Completion Date]]&lt;TODAY(),"Completed","Ongoing")))</f>
        <v>Ongoing</v>
      </c>
      <c r="G1316" s="324">
        <v>46055</v>
      </c>
      <c r="H1316" s="324">
        <v>46752</v>
      </c>
      <c r="I1316" s="325">
        <v>24000</v>
      </c>
      <c r="J131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16" s="133">
        <f>_xlfn.XLOOKUP(Market_Data[[#This Row],[Project Type]],tbl_assumptions_market[Project Category (RERA)],tbl_assumptions_market[Concrete Intensity
(m³ / sq m BUA)],"",0)</f>
        <v>0.18</v>
      </c>
      <c r="L1316" s="134">
        <f>ROUND(Market_Data[[#This Row],[Estimated Built Up Area (sq m)]]*Market_Data[[#This Row],[Concrete Intensity
(m³ / sq m)]],0)</f>
        <v>4320</v>
      </c>
      <c r="M1316" s="135">
        <f>_xlfn.XLOOKUP(Market_Data[[#This Row],[District]],tbl_district_price[District],tbl_district_price[Standard Price
(INR/m³)],"",0)</f>
        <v>6200</v>
      </c>
      <c r="N1316" s="364">
        <f>IF(OR(Market_Data[[#This Row],[Estimated Concrete Demand (m³)]]="",Market_Data[[#This Row],[Avg Price per (₹ / m³)]]=""),"",Market_Data[[#This Row],[Estimated Concrete Demand (m³)]]*Market_Data[[#This Row],[Avg Price per (₹ / m³)]]/10000000)</f>
        <v>2.6783999999999999</v>
      </c>
      <c r="O1316" s="97" t="str">
        <f>IF(Market_Data[[#This Row],[Estimated Concrete Demand (m³)]]="","",
IF(Market_Data[[#This Row],[Estimated Concrete Demand (m³)]]&lt;10000,"Small",
IF(Market_Data[[#This Row],[Estimated Concrete Demand (m³)]]&lt;25000,"Medium",
IF(Market_Data[[#This Row],[Estimated Concrete Demand (m³)]]&lt;100000,"Large","Mega"))))</f>
        <v>Small</v>
      </c>
      <c r="P1316" s="287" t="str">
        <f t="shared" si="22"/>
        <v>GujRERA</v>
      </c>
    </row>
    <row r="1317" spans="1:16">
      <c r="A1317" s="129" t="str">
        <f>_xlfn.XLOOKUP(B1317,$S$9:$S$14,$T$9:$T$14)&amp;"-"&amp;
IF(E1317="Residential/Group Housing","RES",
IF(E1317="Commercial","COM",
IF(E1317="Mixed Development","MIX",
IF(E1317="Plotted Development","PLT","OTH"))))
&amp;"-"&amp;TEXT(COUNTIFS($B$9:B1317,B1317,$E$9:E1317,E1317),"0000")</f>
        <v>SUR-PLT-0251</v>
      </c>
      <c r="B1317" s="322" t="s">
        <v>34</v>
      </c>
      <c r="C1317" s="322" t="s">
        <v>34</v>
      </c>
      <c r="D1317" s="323" t="s">
        <v>1507</v>
      </c>
      <c r="E1317" s="132" t="s">
        <v>26</v>
      </c>
      <c r="F1317" s="97" t="str">
        <f ca="1">IF(OR(Market_Data[[#This Row],[Start Date]]="",Market_Data[[#This Row],[Completion Date]]=""),"Needs Validation",IF(Market_Data[[#This Row],[Start Date]]&gt;TODAY(),"Planned",IF(Market_Data[[#This Row],[Completion Date]]&lt;TODAY(),"Completed","Ongoing")))</f>
        <v>Ongoing</v>
      </c>
      <c r="G1317" s="324">
        <v>45752</v>
      </c>
      <c r="H1317" s="324">
        <v>46752</v>
      </c>
      <c r="I1317" s="325">
        <v>43500</v>
      </c>
      <c r="J131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317" s="133">
        <f>_xlfn.XLOOKUP(Market_Data[[#This Row],[Project Type]],tbl_assumptions_market[Project Category (RERA)],tbl_assumptions_market[Concrete Intensity
(m³ / sq m BUA)],"",0)</f>
        <v>0.18</v>
      </c>
      <c r="L1317" s="134">
        <f>ROUND(Market_Data[[#This Row],[Estimated Built Up Area (sq m)]]*Market_Data[[#This Row],[Concrete Intensity
(m³ / sq m)]],0)</f>
        <v>7830</v>
      </c>
      <c r="M1317" s="135">
        <f>_xlfn.XLOOKUP(Market_Data[[#This Row],[District]],tbl_district_price[District],tbl_district_price[Standard Price
(INR/m³)],"",0)</f>
        <v>6200</v>
      </c>
      <c r="N1317" s="364">
        <f>IF(OR(Market_Data[[#This Row],[Estimated Concrete Demand (m³)]]="",Market_Data[[#This Row],[Avg Price per (₹ / m³)]]=""),"",Market_Data[[#This Row],[Estimated Concrete Demand (m³)]]*Market_Data[[#This Row],[Avg Price per (₹ / m³)]]/10000000)</f>
        <v>4.8545999999999996</v>
      </c>
      <c r="O1317" s="97" t="str">
        <f>IF(Market_Data[[#This Row],[Estimated Concrete Demand (m³)]]="","",
IF(Market_Data[[#This Row],[Estimated Concrete Demand (m³)]]&lt;10000,"Small",
IF(Market_Data[[#This Row],[Estimated Concrete Demand (m³)]]&lt;25000,"Medium",
IF(Market_Data[[#This Row],[Estimated Concrete Demand (m³)]]&lt;100000,"Large","Mega"))))</f>
        <v>Small</v>
      </c>
      <c r="P1317" s="287" t="str">
        <f t="shared" si="22"/>
        <v>GujRERA</v>
      </c>
    </row>
    <row r="1318" spans="1:16">
      <c r="A1318" s="129" t="str">
        <f>_xlfn.XLOOKUP(B1318,$S$9:$S$14,$T$9:$T$14)&amp;"-"&amp;
IF(E1318="Residential/Group Housing","RES",
IF(E1318="Commercial","COM",
IF(E1318="Mixed Development","MIX",
IF(E1318="Plotted Development","PLT","OTH"))))
&amp;"-"&amp;TEXT(COUNTIFS($B$9:B1318,B1318,$E$9:E1318,E1318),"0000")</f>
        <v>SUR-RES-0372</v>
      </c>
      <c r="B1318" s="322" t="s">
        <v>34</v>
      </c>
      <c r="C1318" s="322" t="s">
        <v>34</v>
      </c>
      <c r="D1318" s="323" t="s">
        <v>1508</v>
      </c>
      <c r="E1318" s="132" t="s">
        <v>24</v>
      </c>
      <c r="F1318" s="97" t="str">
        <f ca="1">IF(OR(Market_Data[[#This Row],[Start Date]]="",Market_Data[[#This Row],[Completion Date]]=""),"Needs Validation",IF(Market_Data[[#This Row],[Start Date]]&gt;TODAY(),"Planned",IF(Market_Data[[#This Row],[Completion Date]]&lt;TODAY(),"Completed","Ongoing")))</f>
        <v>Ongoing</v>
      </c>
      <c r="G1318" s="324">
        <v>45847</v>
      </c>
      <c r="H1318" s="324">
        <v>47756</v>
      </c>
      <c r="I1318" s="325">
        <v>27100</v>
      </c>
      <c r="J131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18" s="133">
        <f>_xlfn.XLOOKUP(Market_Data[[#This Row],[Project Type]],tbl_assumptions_market[Project Category (RERA)],tbl_assumptions_market[Concrete Intensity
(m³ / sq m BUA)],"",0)</f>
        <v>0.45</v>
      </c>
      <c r="L1318" s="134">
        <f>ROUND(Market_Data[[#This Row],[Estimated Built Up Area (sq m)]]*Market_Data[[#This Row],[Concrete Intensity
(m³ / sq m)]],0)</f>
        <v>12195</v>
      </c>
      <c r="M1318" s="135">
        <f>_xlfn.XLOOKUP(Market_Data[[#This Row],[District]],tbl_district_price[District],tbl_district_price[Standard Price
(INR/m³)],"",0)</f>
        <v>6200</v>
      </c>
      <c r="N1318" s="364">
        <f>IF(OR(Market_Data[[#This Row],[Estimated Concrete Demand (m³)]]="",Market_Data[[#This Row],[Avg Price per (₹ / m³)]]=""),"",Market_Data[[#This Row],[Estimated Concrete Demand (m³)]]*Market_Data[[#This Row],[Avg Price per (₹ / m³)]]/10000000)</f>
        <v>7.5609000000000002</v>
      </c>
      <c r="O1318" s="97" t="str">
        <f>IF(Market_Data[[#This Row],[Estimated Concrete Demand (m³)]]="","",
IF(Market_Data[[#This Row],[Estimated Concrete Demand (m³)]]&lt;10000,"Small",
IF(Market_Data[[#This Row],[Estimated Concrete Demand (m³)]]&lt;25000,"Medium",
IF(Market_Data[[#This Row],[Estimated Concrete Demand (m³)]]&lt;100000,"Large","Mega"))))</f>
        <v>Medium</v>
      </c>
      <c r="P1318" s="287" t="str">
        <f t="shared" si="22"/>
        <v>GujRERA</v>
      </c>
    </row>
    <row r="1319" spans="1:16">
      <c r="A1319" s="129" t="str">
        <f>_xlfn.XLOOKUP(B1319,$S$9:$S$14,$T$9:$T$14)&amp;"-"&amp;
IF(E1319="Residential/Group Housing","RES",
IF(E1319="Commercial","COM",
IF(E1319="Mixed Development","MIX",
IF(E1319="Plotted Development","PLT","OTH"))))
&amp;"-"&amp;TEXT(COUNTIFS($B$9:B1319,B1319,$E$9:E1319,E1319),"0000")</f>
        <v>SUR-COM-0196</v>
      </c>
      <c r="B1319" s="322" t="s">
        <v>34</v>
      </c>
      <c r="C1319" s="322" t="s">
        <v>34</v>
      </c>
      <c r="D1319" s="323" t="s">
        <v>1509</v>
      </c>
      <c r="E1319" s="132" t="s">
        <v>23</v>
      </c>
      <c r="F1319" s="97" t="str">
        <f ca="1">IF(OR(Market_Data[[#This Row],[Start Date]]="",Market_Data[[#This Row],[Completion Date]]=""),"Needs Validation",IF(Market_Data[[#This Row],[Start Date]]&gt;TODAY(),"Planned",IF(Market_Data[[#This Row],[Completion Date]]&lt;TODAY(),"Completed","Ongoing")))</f>
        <v>Completed</v>
      </c>
      <c r="G1319" s="324">
        <v>42795</v>
      </c>
      <c r="H1319" s="324">
        <v>44651</v>
      </c>
      <c r="I1319" s="325">
        <v>19900</v>
      </c>
      <c r="J131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19" s="133">
        <f>_xlfn.XLOOKUP(Market_Data[[#This Row],[Project Type]],tbl_assumptions_market[Project Category (RERA)],tbl_assumptions_market[Concrete Intensity
(m³ / sq m BUA)],"",0)</f>
        <v>0.5</v>
      </c>
      <c r="L1319" s="134">
        <f>ROUND(Market_Data[[#This Row],[Estimated Built Up Area (sq m)]]*Market_Data[[#This Row],[Concrete Intensity
(m³ / sq m)]],0)</f>
        <v>9950</v>
      </c>
      <c r="M1319" s="135">
        <f>_xlfn.XLOOKUP(Market_Data[[#This Row],[District]],tbl_district_price[District],tbl_district_price[Standard Price
(INR/m³)],"",0)</f>
        <v>6200</v>
      </c>
      <c r="N1319" s="364">
        <f>IF(OR(Market_Data[[#This Row],[Estimated Concrete Demand (m³)]]="",Market_Data[[#This Row],[Avg Price per (₹ / m³)]]=""),"",Market_Data[[#This Row],[Estimated Concrete Demand (m³)]]*Market_Data[[#This Row],[Avg Price per (₹ / m³)]]/10000000)</f>
        <v>6.1689999999999996</v>
      </c>
      <c r="O1319" s="97" t="str">
        <f>IF(Market_Data[[#This Row],[Estimated Concrete Demand (m³)]]="","",
IF(Market_Data[[#This Row],[Estimated Concrete Demand (m³)]]&lt;10000,"Small",
IF(Market_Data[[#This Row],[Estimated Concrete Demand (m³)]]&lt;25000,"Medium",
IF(Market_Data[[#This Row],[Estimated Concrete Demand (m³)]]&lt;100000,"Large","Mega"))))</f>
        <v>Small</v>
      </c>
      <c r="P1319" s="287" t="str">
        <f t="shared" si="22"/>
        <v>GujRERA</v>
      </c>
    </row>
    <row r="1320" spans="1:16">
      <c r="A1320" s="129" t="str">
        <f>_xlfn.XLOOKUP(B1320,$S$9:$S$14,$T$9:$T$14)&amp;"-"&amp;
IF(E1320="Residential/Group Housing","RES",
IF(E1320="Commercial","COM",
IF(E1320="Mixed Development","MIX",
IF(E1320="Plotted Development","PLT","OTH"))))
&amp;"-"&amp;TEXT(COUNTIFS($B$9:B1320,B1320,$E$9:E1320,E1320),"0000")</f>
        <v>SUR-RES-0373</v>
      </c>
      <c r="B1320" s="322" t="s">
        <v>34</v>
      </c>
      <c r="C1320" s="322" t="s">
        <v>34</v>
      </c>
      <c r="D1320" s="323" t="s">
        <v>1510</v>
      </c>
      <c r="E1320" s="132" t="s">
        <v>24</v>
      </c>
      <c r="F1320" s="97" t="str">
        <f ca="1">IF(OR(Market_Data[[#This Row],[Start Date]]="",Market_Data[[#This Row],[Completion Date]]=""),"Needs Validation",IF(Market_Data[[#This Row],[Start Date]]&gt;TODAY(),"Planned",IF(Market_Data[[#This Row],[Completion Date]]&lt;TODAY(),"Completed","Ongoing")))</f>
        <v>Ongoing</v>
      </c>
      <c r="G1320" s="324">
        <v>45042</v>
      </c>
      <c r="H1320" s="324">
        <v>46477</v>
      </c>
      <c r="I1320" s="325">
        <v>42200</v>
      </c>
      <c r="J132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20" s="133">
        <f>_xlfn.XLOOKUP(Market_Data[[#This Row],[Project Type]],tbl_assumptions_market[Project Category (RERA)],tbl_assumptions_market[Concrete Intensity
(m³ / sq m BUA)],"",0)</f>
        <v>0.45</v>
      </c>
      <c r="L1320" s="134">
        <f>ROUND(Market_Data[[#This Row],[Estimated Built Up Area (sq m)]]*Market_Data[[#This Row],[Concrete Intensity
(m³ / sq m)]],0)</f>
        <v>18990</v>
      </c>
      <c r="M1320" s="135">
        <f>_xlfn.XLOOKUP(Market_Data[[#This Row],[District]],tbl_district_price[District],tbl_district_price[Standard Price
(INR/m³)],"",0)</f>
        <v>6200</v>
      </c>
      <c r="N1320" s="364">
        <f>IF(OR(Market_Data[[#This Row],[Estimated Concrete Demand (m³)]]="",Market_Data[[#This Row],[Avg Price per (₹ / m³)]]=""),"",Market_Data[[#This Row],[Estimated Concrete Demand (m³)]]*Market_Data[[#This Row],[Avg Price per (₹ / m³)]]/10000000)</f>
        <v>11.7738</v>
      </c>
      <c r="O1320" s="97" t="str">
        <f>IF(Market_Data[[#This Row],[Estimated Concrete Demand (m³)]]="","",
IF(Market_Data[[#This Row],[Estimated Concrete Demand (m³)]]&lt;10000,"Small",
IF(Market_Data[[#This Row],[Estimated Concrete Demand (m³)]]&lt;25000,"Medium",
IF(Market_Data[[#This Row],[Estimated Concrete Demand (m³)]]&lt;100000,"Large","Mega"))))</f>
        <v>Medium</v>
      </c>
      <c r="P1320" s="287" t="str">
        <f t="shared" si="22"/>
        <v>GujRERA</v>
      </c>
    </row>
    <row r="1321" spans="1:16">
      <c r="A1321" s="129" t="str">
        <f>_xlfn.XLOOKUP(B1321,$S$9:$S$14,$T$9:$T$14)&amp;"-"&amp;
IF(E1321="Residential/Group Housing","RES",
IF(E1321="Commercial","COM",
IF(E1321="Mixed Development","MIX",
IF(E1321="Plotted Development","PLT","OTH"))))
&amp;"-"&amp;TEXT(COUNTIFS($B$9:B1321,B1321,$E$9:E1321,E1321),"0000")</f>
        <v>SUR-RES-0374</v>
      </c>
      <c r="B1321" s="322" t="s">
        <v>34</v>
      </c>
      <c r="C1321" s="322" t="s">
        <v>34</v>
      </c>
      <c r="D1321" s="323" t="s">
        <v>1511</v>
      </c>
      <c r="E1321" s="132" t="s">
        <v>24</v>
      </c>
      <c r="F1321" s="97" t="str">
        <f ca="1">IF(OR(Market_Data[[#This Row],[Start Date]]="",Market_Data[[#This Row],[Completion Date]]=""),"Needs Validation",IF(Market_Data[[#This Row],[Start Date]]&gt;TODAY(),"Planned",IF(Market_Data[[#This Row],[Completion Date]]&lt;TODAY(),"Completed","Ongoing")))</f>
        <v>Ongoing</v>
      </c>
      <c r="G1321" s="324">
        <v>45572</v>
      </c>
      <c r="H1321" s="324">
        <v>47208</v>
      </c>
      <c r="I1321" s="325">
        <v>27000</v>
      </c>
      <c r="J132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21" s="133">
        <f>_xlfn.XLOOKUP(Market_Data[[#This Row],[Project Type]],tbl_assumptions_market[Project Category (RERA)],tbl_assumptions_market[Concrete Intensity
(m³ / sq m BUA)],"",0)</f>
        <v>0.45</v>
      </c>
      <c r="L1321" s="134">
        <f>ROUND(Market_Data[[#This Row],[Estimated Built Up Area (sq m)]]*Market_Data[[#This Row],[Concrete Intensity
(m³ / sq m)]],0)</f>
        <v>12150</v>
      </c>
      <c r="M1321" s="135">
        <f>_xlfn.XLOOKUP(Market_Data[[#This Row],[District]],tbl_district_price[District],tbl_district_price[Standard Price
(INR/m³)],"",0)</f>
        <v>6200</v>
      </c>
      <c r="N1321" s="364">
        <f>IF(OR(Market_Data[[#This Row],[Estimated Concrete Demand (m³)]]="",Market_Data[[#This Row],[Avg Price per (₹ / m³)]]=""),"",Market_Data[[#This Row],[Estimated Concrete Demand (m³)]]*Market_Data[[#This Row],[Avg Price per (₹ / m³)]]/10000000)</f>
        <v>7.5330000000000004</v>
      </c>
      <c r="O1321" s="97" t="str">
        <f>IF(Market_Data[[#This Row],[Estimated Concrete Demand (m³)]]="","",
IF(Market_Data[[#This Row],[Estimated Concrete Demand (m³)]]&lt;10000,"Small",
IF(Market_Data[[#This Row],[Estimated Concrete Demand (m³)]]&lt;25000,"Medium",
IF(Market_Data[[#This Row],[Estimated Concrete Demand (m³)]]&lt;100000,"Large","Mega"))))</f>
        <v>Medium</v>
      </c>
      <c r="P1321" s="287" t="str">
        <f t="shared" si="22"/>
        <v>GujRERA</v>
      </c>
    </row>
    <row r="1322" spans="1:16">
      <c r="A1322" s="129" t="str">
        <f>_xlfn.XLOOKUP(B1322,$S$9:$S$14,$T$9:$T$14)&amp;"-"&amp;
IF(E1322="Residential/Group Housing","RES",
IF(E1322="Commercial","COM",
IF(E1322="Mixed Development","MIX",
IF(E1322="Plotted Development","PLT","OTH"))))
&amp;"-"&amp;TEXT(COUNTIFS($B$9:B1322,B1322,$E$9:E1322,E1322),"0000")</f>
        <v>SUR-RES-0375</v>
      </c>
      <c r="B1322" s="322" t="s">
        <v>34</v>
      </c>
      <c r="C1322" s="322" t="s">
        <v>34</v>
      </c>
      <c r="D1322" s="323" t="s">
        <v>1512</v>
      </c>
      <c r="E1322" s="132" t="s">
        <v>24</v>
      </c>
      <c r="F1322" s="97" t="str">
        <f ca="1">IF(OR(Market_Data[[#This Row],[Start Date]]="",Market_Data[[#This Row],[Completion Date]]=""),"Needs Validation",IF(Market_Data[[#This Row],[Start Date]]&gt;TODAY(),"Planned",IF(Market_Data[[#This Row],[Completion Date]]&lt;TODAY(),"Completed","Ongoing")))</f>
        <v>Completed</v>
      </c>
      <c r="G1322" s="324">
        <v>44525</v>
      </c>
      <c r="H1322" s="324">
        <v>46265</v>
      </c>
      <c r="I1322" s="325">
        <v>52800</v>
      </c>
      <c r="J132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22" s="133">
        <f>_xlfn.XLOOKUP(Market_Data[[#This Row],[Project Type]],tbl_assumptions_market[Project Category (RERA)],tbl_assumptions_market[Concrete Intensity
(m³ / sq m BUA)],"",0)</f>
        <v>0.45</v>
      </c>
      <c r="L1322" s="134">
        <f>ROUND(Market_Data[[#This Row],[Estimated Built Up Area (sq m)]]*Market_Data[[#This Row],[Concrete Intensity
(m³ / sq m)]],0)</f>
        <v>23760</v>
      </c>
      <c r="M1322" s="135">
        <f>_xlfn.XLOOKUP(Market_Data[[#This Row],[District]],tbl_district_price[District],tbl_district_price[Standard Price
(INR/m³)],"",0)</f>
        <v>6200</v>
      </c>
      <c r="N1322" s="364">
        <f>IF(OR(Market_Data[[#This Row],[Estimated Concrete Demand (m³)]]="",Market_Data[[#This Row],[Avg Price per (₹ / m³)]]=""),"",Market_Data[[#This Row],[Estimated Concrete Demand (m³)]]*Market_Data[[#This Row],[Avg Price per (₹ / m³)]]/10000000)</f>
        <v>14.731199999999999</v>
      </c>
      <c r="O1322" s="97" t="str">
        <f>IF(Market_Data[[#This Row],[Estimated Concrete Demand (m³)]]="","",
IF(Market_Data[[#This Row],[Estimated Concrete Demand (m³)]]&lt;10000,"Small",
IF(Market_Data[[#This Row],[Estimated Concrete Demand (m³)]]&lt;25000,"Medium",
IF(Market_Data[[#This Row],[Estimated Concrete Demand (m³)]]&lt;100000,"Large","Mega"))))</f>
        <v>Medium</v>
      </c>
      <c r="P1322" s="287" t="str">
        <f t="shared" si="22"/>
        <v>GujRERA</v>
      </c>
    </row>
    <row r="1323" spans="1:16">
      <c r="A1323" s="129" t="str">
        <f>_xlfn.XLOOKUP(B1323,$S$9:$S$14,$T$9:$T$14)&amp;"-"&amp;
IF(E1323="Residential/Group Housing","RES",
IF(E1323="Commercial","COM",
IF(E1323="Mixed Development","MIX",
IF(E1323="Plotted Development","PLT","OTH"))))
&amp;"-"&amp;TEXT(COUNTIFS($B$9:B1323,B1323,$E$9:E1323,E1323),"0000")</f>
        <v>SUR-RES-0376</v>
      </c>
      <c r="B1323" s="322" t="s">
        <v>34</v>
      </c>
      <c r="C1323" s="322" t="s">
        <v>34</v>
      </c>
      <c r="D1323" s="323" t="s">
        <v>1513</v>
      </c>
      <c r="E1323" s="132" t="s">
        <v>24</v>
      </c>
      <c r="F1323" s="97" t="str">
        <f ca="1">IF(OR(Market_Data[[#This Row],[Start Date]]="",Market_Data[[#This Row],[Completion Date]]=""),"Needs Validation",IF(Market_Data[[#This Row],[Start Date]]&gt;TODAY(),"Planned",IF(Market_Data[[#This Row],[Completion Date]]&lt;TODAY(),"Completed","Ongoing")))</f>
        <v>Completed</v>
      </c>
      <c r="G1323" s="324">
        <v>43258</v>
      </c>
      <c r="H1323" s="324">
        <v>45930</v>
      </c>
      <c r="I1323" s="325">
        <v>58100</v>
      </c>
      <c r="J132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23" s="133">
        <f>_xlfn.XLOOKUP(Market_Data[[#This Row],[Project Type]],tbl_assumptions_market[Project Category (RERA)],tbl_assumptions_market[Concrete Intensity
(m³ / sq m BUA)],"",0)</f>
        <v>0.45</v>
      </c>
      <c r="L1323" s="134">
        <f>ROUND(Market_Data[[#This Row],[Estimated Built Up Area (sq m)]]*Market_Data[[#This Row],[Concrete Intensity
(m³ / sq m)]],0)</f>
        <v>26145</v>
      </c>
      <c r="M1323" s="135">
        <f>_xlfn.XLOOKUP(Market_Data[[#This Row],[District]],tbl_district_price[District],tbl_district_price[Standard Price
(INR/m³)],"",0)</f>
        <v>6200</v>
      </c>
      <c r="N1323" s="364">
        <f>IF(OR(Market_Data[[#This Row],[Estimated Concrete Demand (m³)]]="",Market_Data[[#This Row],[Avg Price per (₹ / m³)]]=""),"",Market_Data[[#This Row],[Estimated Concrete Demand (m³)]]*Market_Data[[#This Row],[Avg Price per (₹ / m³)]]/10000000)</f>
        <v>16.209900000000001</v>
      </c>
      <c r="O1323" s="97" t="str">
        <f>IF(Market_Data[[#This Row],[Estimated Concrete Demand (m³)]]="","",
IF(Market_Data[[#This Row],[Estimated Concrete Demand (m³)]]&lt;10000,"Small",
IF(Market_Data[[#This Row],[Estimated Concrete Demand (m³)]]&lt;25000,"Medium",
IF(Market_Data[[#This Row],[Estimated Concrete Demand (m³)]]&lt;100000,"Large","Mega"))))</f>
        <v>Large</v>
      </c>
      <c r="P1323" s="287" t="str">
        <f t="shared" si="22"/>
        <v>GujRERA</v>
      </c>
    </row>
    <row r="1324" spans="1:16">
      <c r="A1324" s="129" t="str">
        <f>_xlfn.XLOOKUP(B1324,$S$9:$S$14,$T$9:$T$14)&amp;"-"&amp;
IF(E1324="Residential/Group Housing","RES",
IF(E1324="Commercial","COM",
IF(E1324="Mixed Development","MIX",
IF(E1324="Plotted Development","PLT","OTH"))))
&amp;"-"&amp;TEXT(COUNTIFS($B$9:B1324,B1324,$E$9:E1324,E1324),"0000")</f>
        <v>SUR-RES-0377</v>
      </c>
      <c r="B1324" s="322" t="s">
        <v>34</v>
      </c>
      <c r="C1324" s="322" t="s">
        <v>34</v>
      </c>
      <c r="D1324" s="323" t="s">
        <v>1514</v>
      </c>
      <c r="E1324" s="132" t="s">
        <v>24</v>
      </c>
      <c r="F1324" s="97" t="str">
        <f ca="1">IF(OR(Market_Data[[#This Row],[Start Date]]="",Market_Data[[#This Row],[Completion Date]]=""),"Needs Validation",IF(Market_Data[[#This Row],[Start Date]]&gt;TODAY(),"Planned",IF(Market_Data[[#This Row],[Completion Date]]&lt;TODAY(),"Completed","Ongoing")))</f>
        <v>Completed</v>
      </c>
      <c r="G1324" s="324">
        <v>44783</v>
      </c>
      <c r="H1324" s="324">
        <v>46016</v>
      </c>
      <c r="I1324" s="325">
        <v>58500</v>
      </c>
      <c r="J132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24" s="133">
        <f>_xlfn.XLOOKUP(Market_Data[[#This Row],[Project Type]],tbl_assumptions_market[Project Category (RERA)],tbl_assumptions_market[Concrete Intensity
(m³ / sq m BUA)],"",0)</f>
        <v>0.45</v>
      </c>
      <c r="L1324" s="134">
        <f>ROUND(Market_Data[[#This Row],[Estimated Built Up Area (sq m)]]*Market_Data[[#This Row],[Concrete Intensity
(m³ / sq m)]],0)</f>
        <v>26325</v>
      </c>
      <c r="M1324" s="135">
        <f>_xlfn.XLOOKUP(Market_Data[[#This Row],[District]],tbl_district_price[District],tbl_district_price[Standard Price
(INR/m³)],"",0)</f>
        <v>6200</v>
      </c>
      <c r="N1324" s="364">
        <f>IF(OR(Market_Data[[#This Row],[Estimated Concrete Demand (m³)]]="",Market_Data[[#This Row],[Avg Price per (₹ / m³)]]=""),"",Market_Data[[#This Row],[Estimated Concrete Demand (m³)]]*Market_Data[[#This Row],[Avg Price per (₹ / m³)]]/10000000)</f>
        <v>16.3215</v>
      </c>
      <c r="O1324" s="97" t="str">
        <f>IF(Market_Data[[#This Row],[Estimated Concrete Demand (m³)]]="","",
IF(Market_Data[[#This Row],[Estimated Concrete Demand (m³)]]&lt;10000,"Small",
IF(Market_Data[[#This Row],[Estimated Concrete Demand (m³)]]&lt;25000,"Medium",
IF(Market_Data[[#This Row],[Estimated Concrete Demand (m³)]]&lt;100000,"Large","Mega"))))</f>
        <v>Large</v>
      </c>
      <c r="P1324" s="287" t="str">
        <f t="shared" si="22"/>
        <v>GujRERA</v>
      </c>
    </row>
    <row r="1325" spans="1:16">
      <c r="A1325" s="129" t="str">
        <f>_xlfn.XLOOKUP(B1325,$S$9:$S$14,$T$9:$T$14)&amp;"-"&amp;
IF(E1325="Residential/Group Housing","RES",
IF(E1325="Commercial","COM",
IF(E1325="Mixed Development","MIX",
IF(E1325="Plotted Development","PLT","OTH"))))
&amp;"-"&amp;TEXT(COUNTIFS($B$9:B1325,B1325,$E$9:E1325,E1325),"0000")</f>
        <v>SUR-RES-0378</v>
      </c>
      <c r="B1325" s="322" t="s">
        <v>34</v>
      </c>
      <c r="C1325" s="322" t="s">
        <v>34</v>
      </c>
      <c r="D1325" s="323" t="s">
        <v>1515</v>
      </c>
      <c r="E1325" s="132" t="s">
        <v>24</v>
      </c>
      <c r="F1325" s="97" t="str">
        <f ca="1">IF(OR(Market_Data[[#This Row],[Start Date]]="",Market_Data[[#This Row],[Completion Date]]=""),"Needs Validation",IF(Market_Data[[#This Row],[Start Date]]&gt;TODAY(),"Planned",IF(Market_Data[[#This Row],[Completion Date]]&lt;TODAY(),"Completed","Ongoing")))</f>
        <v>Ongoing</v>
      </c>
      <c r="G1325" s="324">
        <v>44811</v>
      </c>
      <c r="H1325" s="324">
        <v>46477</v>
      </c>
      <c r="I1325" s="325">
        <v>37600</v>
      </c>
      <c r="J132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25" s="133">
        <f>_xlfn.XLOOKUP(Market_Data[[#This Row],[Project Type]],tbl_assumptions_market[Project Category (RERA)],tbl_assumptions_market[Concrete Intensity
(m³ / sq m BUA)],"",0)</f>
        <v>0.45</v>
      </c>
      <c r="L1325" s="134">
        <f>ROUND(Market_Data[[#This Row],[Estimated Built Up Area (sq m)]]*Market_Data[[#This Row],[Concrete Intensity
(m³ / sq m)]],0)</f>
        <v>16920</v>
      </c>
      <c r="M1325" s="135">
        <f>_xlfn.XLOOKUP(Market_Data[[#This Row],[District]],tbl_district_price[District],tbl_district_price[Standard Price
(INR/m³)],"",0)</f>
        <v>6200</v>
      </c>
      <c r="N1325" s="364">
        <f>IF(OR(Market_Data[[#This Row],[Estimated Concrete Demand (m³)]]="",Market_Data[[#This Row],[Avg Price per (₹ / m³)]]=""),"",Market_Data[[#This Row],[Estimated Concrete Demand (m³)]]*Market_Data[[#This Row],[Avg Price per (₹ / m³)]]/10000000)</f>
        <v>10.490399999999999</v>
      </c>
      <c r="O1325" s="97" t="str">
        <f>IF(Market_Data[[#This Row],[Estimated Concrete Demand (m³)]]="","",
IF(Market_Data[[#This Row],[Estimated Concrete Demand (m³)]]&lt;10000,"Small",
IF(Market_Data[[#This Row],[Estimated Concrete Demand (m³)]]&lt;25000,"Medium",
IF(Market_Data[[#This Row],[Estimated Concrete Demand (m³)]]&lt;100000,"Large","Mega"))))</f>
        <v>Medium</v>
      </c>
      <c r="P1325" s="287" t="str">
        <f t="shared" si="22"/>
        <v>GujRERA</v>
      </c>
    </row>
    <row r="1326" spans="1:16">
      <c r="A1326" s="129" t="str">
        <f>_xlfn.XLOOKUP(B1326,$S$9:$S$14,$T$9:$T$14)&amp;"-"&amp;
IF(E1326="Residential/Group Housing","RES",
IF(E1326="Commercial","COM",
IF(E1326="Mixed Development","MIX",
IF(E1326="Plotted Development","PLT","OTH"))))
&amp;"-"&amp;TEXT(COUNTIFS($B$9:B1326,B1326,$E$9:E1326,E1326),"0000")</f>
        <v>SUR-RES-0379</v>
      </c>
      <c r="B1326" s="322" t="s">
        <v>34</v>
      </c>
      <c r="C1326" s="322" t="s">
        <v>34</v>
      </c>
      <c r="D1326" s="323" t="s">
        <v>1516</v>
      </c>
      <c r="E1326" s="132" t="s">
        <v>24</v>
      </c>
      <c r="F1326" s="97" t="str">
        <f ca="1">IF(OR(Market_Data[[#This Row],[Start Date]]="",Market_Data[[#This Row],[Completion Date]]=""),"Needs Validation",IF(Market_Data[[#This Row],[Start Date]]&gt;TODAY(),"Planned",IF(Market_Data[[#This Row],[Completion Date]]&lt;TODAY(),"Completed","Ongoing")))</f>
        <v>Completed</v>
      </c>
      <c r="G1326" s="324">
        <v>43384</v>
      </c>
      <c r="H1326" s="324">
        <v>45392</v>
      </c>
      <c r="I1326" s="325">
        <v>34400</v>
      </c>
      <c r="J132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26" s="133">
        <f>_xlfn.XLOOKUP(Market_Data[[#This Row],[Project Type]],tbl_assumptions_market[Project Category (RERA)],tbl_assumptions_market[Concrete Intensity
(m³ / sq m BUA)],"",0)</f>
        <v>0.45</v>
      </c>
      <c r="L1326" s="134">
        <f>ROUND(Market_Data[[#This Row],[Estimated Built Up Area (sq m)]]*Market_Data[[#This Row],[Concrete Intensity
(m³ / sq m)]],0)</f>
        <v>15480</v>
      </c>
      <c r="M1326" s="135">
        <f>_xlfn.XLOOKUP(Market_Data[[#This Row],[District]],tbl_district_price[District],tbl_district_price[Standard Price
(INR/m³)],"",0)</f>
        <v>6200</v>
      </c>
      <c r="N1326" s="364">
        <f>IF(OR(Market_Data[[#This Row],[Estimated Concrete Demand (m³)]]="",Market_Data[[#This Row],[Avg Price per (₹ / m³)]]=""),"",Market_Data[[#This Row],[Estimated Concrete Demand (m³)]]*Market_Data[[#This Row],[Avg Price per (₹ / m³)]]/10000000)</f>
        <v>9.5975999999999999</v>
      </c>
      <c r="O1326" s="97" t="str">
        <f>IF(Market_Data[[#This Row],[Estimated Concrete Demand (m³)]]="","",
IF(Market_Data[[#This Row],[Estimated Concrete Demand (m³)]]&lt;10000,"Small",
IF(Market_Data[[#This Row],[Estimated Concrete Demand (m³)]]&lt;25000,"Medium",
IF(Market_Data[[#This Row],[Estimated Concrete Demand (m³)]]&lt;100000,"Large","Mega"))))</f>
        <v>Medium</v>
      </c>
      <c r="P1326" s="287" t="str">
        <f t="shared" si="22"/>
        <v>GujRERA</v>
      </c>
    </row>
    <row r="1327" spans="1:16">
      <c r="A1327" s="129" t="str">
        <f>_xlfn.XLOOKUP(B1327,$S$9:$S$14,$T$9:$T$14)&amp;"-"&amp;
IF(E1327="Residential/Group Housing","RES",
IF(E1327="Commercial","COM",
IF(E1327="Mixed Development","MIX",
IF(E1327="Plotted Development","PLT","OTH"))))
&amp;"-"&amp;TEXT(COUNTIFS($B$9:B1327,B1327,$E$9:E1327,E1327),"0000")</f>
        <v>SUR-COM-0197</v>
      </c>
      <c r="B1327" s="322" t="s">
        <v>34</v>
      </c>
      <c r="C1327" s="322" t="s">
        <v>34</v>
      </c>
      <c r="D1327" s="323" t="s">
        <v>1517</v>
      </c>
      <c r="E1327" s="132" t="s">
        <v>23</v>
      </c>
      <c r="F1327" s="97" t="str">
        <f ca="1">IF(OR(Market_Data[[#This Row],[Start Date]]="",Market_Data[[#This Row],[Completion Date]]=""),"Needs Validation",IF(Market_Data[[#This Row],[Start Date]]&gt;TODAY(),"Planned",IF(Market_Data[[#This Row],[Completion Date]]&lt;TODAY(),"Completed","Ongoing")))</f>
        <v>Completed</v>
      </c>
      <c r="G1327" s="324">
        <v>43586</v>
      </c>
      <c r="H1327" s="324">
        <v>45412</v>
      </c>
      <c r="I1327" s="325">
        <v>19900</v>
      </c>
      <c r="J132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27" s="133">
        <f>_xlfn.XLOOKUP(Market_Data[[#This Row],[Project Type]],tbl_assumptions_market[Project Category (RERA)],tbl_assumptions_market[Concrete Intensity
(m³ / sq m BUA)],"",0)</f>
        <v>0.5</v>
      </c>
      <c r="L1327" s="134">
        <f>ROUND(Market_Data[[#This Row],[Estimated Built Up Area (sq m)]]*Market_Data[[#This Row],[Concrete Intensity
(m³ / sq m)]],0)</f>
        <v>9950</v>
      </c>
      <c r="M1327" s="135">
        <f>_xlfn.XLOOKUP(Market_Data[[#This Row],[District]],tbl_district_price[District],tbl_district_price[Standard Price
(INR/m³)],"",0)</f>
        <v>6200</v>
      </c>
      <c r="N1327" s="364">
        <f>IF(OR(Market_Data[[#This Row],[Estimated Concrete Demand (m³)]]="",Market_Data[[#This Row],[Avg Price per (₹ / m³)]]=""),"",Market_Data[[#This Row],[Estimated Concrete Demand (m³)]]*Market_Data[[#This Row],[Avg Price per (₹ / m³)]]/10000000)</f>
        <v>6.1689999999999996</v>
      </c>
      <c r="O1327" s="97" t="str">
        <f>IF(Market_Data[[#This Row],[Estimated Concrete Demand (m³)]]="","",
IF(Market_Data[[#This Row],[Estimated Concrete Demand (m³)]]&lt;10000,"Small",
IF(Market_Data[[#This Row],[Estimated Concrete Demand (m³)]]&lt;25000,"Medium",
IF(Market_Data[[#This Row],[Estimated Concrete Demand (m³)]]&lt;100000,"Large","Mega"))))</f>
        <v>Small</v>
      </c>
      <c r="P1327" s="287" t="str">
        <f t="shared" si="22"/>
        <v>GujRERA</v>
      </c>
    </row>
    <row r="1328" spans="1:16">
      <c r="A1328" s="129" t="str">
        <f>_xlfn.XLOOKUP(B1328,$S$9:$S$14,$T$9:$T$14)&amp;"-"&amp;
IF(E1328="Residential/Group Housing","RES",
IF(E1328="Commercial","COM",
IF(E1328="Mixed Development","MIX",
IF(E1328="Plotted Development","PLT","OTH"))))
&amp;"-"&amp;TEXT(COUNTIFS($B$9:B1328,B1328,$E$9:E1328,E1328),"0000")</f>
        <v>SUR-COM-0198</v>
      </c>
      <c r="B1328" s="322" t="s">
        <v>34</v>
      </c>
      <c r="C1328" s="322" t="s">
        <v>34</v>
      </c>
      <c r="D1328" s="323" t="s">
        <v>1518</v>
      </c>
      <c r="E1328" s="132" t="s">
        <v>23</v>
      </c>
      <c r="F1328" s="97" t="str">
        <f ca="1">IF(OR(Market_Data[[#This Row],[Start Date]]="",Market_Data[[#This Row],[Completion Date]]=""),"Needs Validation",IF(Market_Data[[#This Row],[Start Date]]&gt;TODAY(),"Planned",IF(Market_Data[[#This Row],[Completion Date]]&lt;TODAY(),"Completed","Ongoing")))</f>
        <v>Ongoing</v>
      </c>
      <c r="G1328" s="324">
        <v>44627</v>
      </c>
      <c r="H1328" s="324">
        <v>46387</v>
      </c>
      <c r="I1328" s="325">
        <v>10300</v>
      </c>
      <c r="J132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28" s="133">
        <f>_xlfn.XLOOKUP(Market_Data[[#This Row],[Project Type]],tbl_assumptions_market[Project Category (RERA)],tbl_assumptions_market[Concrete Intensity
(m³ / sq m BUA)],"",0)</f>
        <v>0.5</v>
      </c>
      <c r="L1328" s="134">
        <f>ROUND(Market_Data[[#This Row],[Estimated Built Up Area (sq m)]]*Market_Data[[#This Row],[Concrete Intensity
(m³ / sq m)]],0)</f>
        <v>5150</v>
      </c>
      <c r="M1328" s="135">
        <f>_xlfn.XLOOKUP(Market_Data[[#This Row],[District]],tbl_district_price[District],tbl_district_price[Standard Price
(INR/m³)],"",0)</f>
        <v>6200</v>
      </c>
      <c r="N1328" s="364">
        <f>IF(OR(Market_Data[[#This Row],[Estimated Concrete Demand (m³)]]="",Market_Data[[#This Row],[Avg Price per (₹ / m³)]]=""),"",Market_Data[[#This Row],[Estimated Concrete Demand (m³)]]*Market_Data[[#This Row],[Avg Price per (₹ / m³)]]/10000000)</f>
        <v>3.1930000000000001</v>
      </c>
      <c r="O1328" s="97" t="str">
        <f>IF(Market_Data[[#This Row],[Estimated Concrete Demand (m³)]]="","",
IF(Market_Data[[#This Row],[Estimated Concrete Demand (m³)]]&lt;10000,"Small",
IF(Market_Data[[#This Row],[Estimated Concrete Demand (m³)]]&lt;25000,"Medium",
IF(Market_Data[[#This Row],[Estimated Concrete Demand (m³)]]&lt;100000,"Large","Mega"))))</f>
        <v>Small</v>
      </c>
      <c r="P1328" s="287" t="str">
        <f t="shared" si="22"/>
        <v>GujRERA</v>
      </c>
    </row>
    <row r="1329" spans="1:16">
      <c r="A1329" s="129" t="str">
        <f>_xlfn.XLOOKUP(B1329,$S$9:$S$14,$T$9:$T$14)&amp;"-"&amp;
IF(E1329="Residential/Group Housing","RES",
IF(E1329="Commercial","COM",
IF(E1329="Mixed Development","MIX",
IF(E1329="Plotted Development","PLT","OTH"))))
&amp;"-"&amp;TEXT(COUNTIFS($B$9:B1329,B1329,$E$9:E1329,E1329),"0000")</f>
        <v>SUR-COM-0199</v>
      </c>
      <c r="B1329" s="322" t="s">
        <v>34</v>
      </c>
      <c r="C1329" s="322" t="s">
        <v>34</v>
      </c>
      <c r="D1329" s="323" t="s">
        <v>1519</v>
      </c>
      <c r="E1329" s="132" t="s">
        <v>23</v>
      </c>
      <c r="F1329" s="97" t="str">
        <f ca="1">IF(OR(Market_Data[[#This Row],[Start Date]]="",Market_Data[[#This Row],[Completion Date]]=""),"Needs Validation",IF(Market_Data[[#This Row],[Start Date]]&gt;TODAY(),"Planned",IF(Market_Data[[#This Row],[Completion Date]]&lt;TODAY(),"Completed","Ongoing")))</f>
        <v>Completed</v>
      </c>
      <c r="G1329" s="324">
        <v>43025</v>
      </c>
      <c r="H1329" s="324">
        <v>43830</v>
      </c>
      <c r="I1329" s="325">
        <v>15200</v>
      </c>
      <c r="J132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29" s="133">
        <f>_xlfn.XLOOKUP(Market_Data[[#This Row],[Project Type]],tbl_assumptions_market[Project Category (RERA)],tbl_assumptions_market[Concrete Intensity
(m³ / sq m BUA)],"",0)</f>
        <v>0.5</v>
      </c>
      <c r="L1329" s="134">
        <f>ROUND(Market_Data[[#This Row],[Estimated Built Up Area (sq m)]]*Market_Data[[#This Row],[Concrete Intensity
(m³ / sq m)]],0)</f>
        <v>7600</v>
      </c>
      <c r="M1329" s="135">
        <f>_xlfn.XLOOKUP(Market_Data[[#This Row],[District]],tbl_district_price[District],tbl_district_price[Standard Price
(INR/m³)],"",0)</f>
        <v>6200</v>
      </c>
      <c r="N1329" s="364">
        <f>IF(OR(Market_Data[[#This Row],[Estimated Concrete Demand (m³)]]="",Market_Data[[#This Row],[Avg Price per (₹ / m³)]]=""),"",Market_Data[[#This Row],[Estimated Concrete Demand (m³)]]*Market_Data[[#This Row],[Avg Price per (₹ / m³)]]/10000000)</f>
        <v>4.7119999999999997</v>
      </c>
      <c r="O1329" s="97" t="str">
        <f>IF(Market_Data[[#This Row],[Estimated Concrete Demand (m³)]]="","",
IF(Market_Data[[#This Row],[Estimated Concrete Demand (m³)]]&lt;10000,"Small",
IF(Market_Data[[#This Row],[Estimated Concrete Demand (m³)]]&lt;25000,"Medium",
IF(Market_Data[[#This Row],[Estimated Concrete Demand (m³)]]&lt;100000,"Large","Mega"))))</f>
        <v>Small</v>
      </c>
      <c r="P1329" s="287" t="str">
        <f t="shared" si="22"/>
        <v>GujRERA</v>
      </c>
    </row>
    <row r="1330" spans="1:16">
      <c r="A1330" s="129" t="str">
        <f>_xlfn.XLOOKUP(B1330,$S$9:$S$14,$T$9:$T$14)&amp;"-"&amp;
IF(E1330="Residential/Group Housing","RES",
IF(E1330="Commercial","COM",
IF(E1330="Mixed Development","MIX",
IF(E1330="Plotted Development","PLT","OTH"))))
&amp;"-"&amp;TEXT(COUNTIFS($B$9:B1330,B1330,$E$9:E1330,E1330),"0000")</f>
        <v>SUR-COM-0200</v>
      </c>
      <c r="B1330" s="322" t="s">
        <v>34</v>
      </c>
      <c r="C1330" s="322" t="s">
        <v>34</v>
      </c>
      <c r="D1330" s="323" t="s">
        <v>1520</v>
      </c>
      <c r="E1330" s="132" t="s">
        <v>23</v>
      </c>
      <c r="F1330" s="97" t="str">
        <f ca="1">IF(OR(Market_Data[[#This Row],[Start Date]]="",Market_Data[[#This Row],[Completion Date]]=""),"Needs Validation",IF(Market_Data[[#This Row],[Start Date]]&gt;TODAY(),"Planned",IF(Market_Data[[#This Row],[Completion Date]]&lt;TODAY(),"Completed","Ongoing")))</f>
        <v>Completed</v>
      </c>
      <c r="G1330" s="324">
        <v>42048</v>
      </c>
      <c r="H1330" s="324">
        <v>44742</v>
      </c>
      <c r="I1330" s="325">
        <v>18300</v>
      </c>
      <c r="J133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30" s="133">
        <f>_xlfn.XLOOKUP(Market_Data[[#This Row],[Project Type]],tbl_assumptions_market[Project Category (RERA)],tbl_assumptions_market[Concrete Intensity
(m³ / sq m BUA)],"",0)</f>
        <v>0.5</v>
      </c>
      <c r="L1330" s="134">
        <f>ROUND(Market_Data[[#This Row],[Estimated Built Up Area (sq m)]]*Market_Data[[#This Row],[Concrete Intensity
(m³ / sq m)]],0)</f>
        <v>9150</v>
      </c>
      <c r="M1330" s="135">
        <f>_xlfn.XLOOKUP(Market_Data[[#This Row],[District]],tbl_district_price[District],tbl_district_price[Standard Price
(INR/m³)],"",0)</f>
        <v>6200</v>
      </c>
      <c r="N1330" s="364">
        <f>IF(OR(Market_Data[[#This Row],[Estimated Concrete Demand (m³)]]="",Market_Data[[#This Row],[Avg Price per (₹ / m³)]]=""),"",Market_Data[[#This Row],[Estimated Concrete Demand (m³)]]*Market_Data[[#This Row],[Avg Price per (₹ / m³)]]/10000000)</f>
        <v>5.673</v>
      </c>
      <c r="O1330" s="97" t="str">
        <f>IF(Market_Data[[#This Row],[Estimated Concrete Demand (m³)]]="","",
IF(Market_Data[[#This Row],[Estimated Concrete Demand (m³)]]&lt;10000,"Small",
IF(Market_Data[[#This Row],[Estimated Concrete Demand (m³)]]&lt;25000,"Medium",
IF(Market_Data[[#This Row],[Estimated Concrete Demand (m³)]]&lt;100000,"Large","Mega"))))</f>
        <v>Small</v>
      </c>
      <c r="P1330" s="287" t="str">
        <f t="shared" si="22"/>
        <v>GujRERA</v>
      </c>
    </row>
    <row r="1331" spans="1:16">
      <c r="A1331" s="129" t="str">
        <f>_xlfn.XLOOKUP(B1331,$S$9:$S$14,$T$9:$T$14)&amp;"-"&amp;
IF(E1331="Residential/Group Housing","RES",
IF(E1331="Commercial","COM",
IF(E1331="Mixed Development","MIX",
IF(E1331="Plotted Development","PLT","OTH"))))
&amp;"-"&amp;TEXT(COUNTIFS($B$9:B1331,B1331,$E$9:E1331,E1331),"0000")</f>
        <v>SUR-MIX-0183</v>
      </c>
      <c r="B1331" s="322" t="s">
        <v>34</v>
      </c>
      <c r="C1331" s="322" t="s">
        <v>34</v>
      </c>
      <c r="D1331" s="323" t="s">
        <v>1521</v>
      </c>
      <c r="E1331" s="132" t="s">
        <v>25</v>
      </c>
      <c r="F1331" s="97" t="str">
        <f ca="1">IF(OR(Market_Data[[#This Row],[Start Date]]="",Market_Data[[#This Row],[Completion Date]]=""),"Needs Validation",IF(Market_Data[[#This Row],[Start Date]]&gt;TODAY(),"Planned",IF(Market_Data[[#This Row],[Completion Date]]&lt;TODAY(),"Completed","Ongoing")))</f>
        <v>Ongoing</v>
      </c>
      <c r="G1331" s="324">
        <v>44662</v>
      </c>
      <c r="H1331" s="324">
        <v>46752</v>
      </c>
      <c r="I1331" s="325">
        <v>31600</v>
      </c>
      <c r="J133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31" s="133">
        <f>_xlfn.XLOOKUP(Market_Data[[#This Row],[Project Type]],tbl_assumptions_market[Project Category (RERA)],tbl_assumptions_market[Concrete Intensity
(m³ / sq m BUA)],"",0)</f>
        <v>0.42</v>
      </c>
      <c r="L1331" s="134">
        <f>ROUND(Market_Data[[#This Row],[Estimated Built Up Area (sq m)]]*Market_Data[[#This Row],[Concrete Intensity
(m³ / sq m)]],0)</f>
        <v>13272</v>
      </c>
      <c r="M1331" s="135">
        <f>_xlfn.XLOOKUP(Market_Data[[#This Row],[District]],tbl_district_price[District],tbl_district_price[Standard Price
(INR/m³)],"",0)</f>
        <v>6200</v>
      </c>
      <c r="N1331" s="364">
        <f>IF(OR(Market_Data[[#This Row],[Estimated Concrete Demand (m³)]]="",Market_Data[[#This Row],[Avg Price per (₹ / m³)]]=""),"",Market_Data[[#This Row],[Estimated Concrete Demand (m³)]]*Market_Data[[#This Row],[Avg Price per (₹ / m³)]]/10000000)</f>
        <v>8.2286400000000004</v>
      </c>
      <c r="O1331" s="97" t="str">
        <f>IF(Market_Data[[#This Row],[Estimated Concrete Demand (m³)]]="","",
IF(Market_Data[[#This Row],[Estimated Concrete Demand (m³)]]&lt;10000,"Small",
IF(Market_Data[[#This Row],[Estimated Concrete Demand (m³)]]&lt;25000,"Medium",
IF(Market_Data[[#This Row],[Estimated Concrete Demand (m³)]]&lt;100000,"Large","Mega"))))</f>
        <v>Medium</v>
      </c>
      <c r="P1331" s="287" t="str">
        <f t="shared" si="22"/>
        <v>GujRERA</v>
      </c>
    </row>
    <row r="1332" spans="1:16">
      <c r="A1332" s="129" t="str">
        <f>_xlfn.XLOOKUP(B1332,$S$9:$S$14,$T$9:$T$14)&amp;"-"&amp;
IF(E1332="Residential/Group Housing","RES",
IF(E1332="Commercial","COM",
IF(E1332="Mixed Development","MIX",
IF(E1332="Plotted Development","PLT","OTH"))))
&amp;"-"&amp;TEXT(COUNTIFS($B$9:B1332,B1332,$E$9:E1332,E1332),"0000")</f>
        <v>SUR-RES-0380</v>
      </c>
      <c r="B1332" s="322" t="s">
        <v>34</v>
      </c>
      <c r="C1332" s="322" t="s">
        <v>34</v>
      </c>
      <c r="D1332" s="323" t="s">
        <v>1522</v>
      </c>
      <c r="E1332" s="132" t="s">
        <v>24</v>
      </c>
      <c r="F1332" s="97" t="str">
        <f ca="1">IF(OR(Market_Data[[#This Row],[Start Date]]="",Market_Data[[#This Row],[Completion Date]]=""),"Needs Validation",IF(Market_Data[[#This Row],[Start Date]]&gt;TODAY(),"Planned",IF(Market_Data[[#This Row],[Completion Date]]&lt;TODAY(),"Completed","Ongoing")))</f>
        <v>Completed</v>
      </c>
      <c r="G1332" s="324">
        <v>40966</v>
      </c>
      <c r="H1332" s="324">
        <v>43799</v>
      </c>
      <c r="I1332" s="325">
        <v>40200</v>
      </c>
      <c r="J133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32" s="133">
        <f>_xlfn.XLOOKUP(Market_Data[[#This Row],[Project Type]],tbl_assumptions_market[Project Category (RERA)],tbl_assumptions_market[Concrete Intensity
(m³ / sq m BUA)],"",0)</f>
        <v>0.45</v>
      </c>
      <c r="L1332" s="134">
        <f>ROUND(Market_Data[[#This Row],[Estimated Built Up Area (sq m)]]*Market_Data[[#This Row],[Concrete Intensity
(m³ / sq m)]],0)</f>
        <v>18090</v>
      </c>
      <c r="M1332" s="135">
        <f>_xlfn.XLOOKUP(Market_Data[[#This Row],[District]],tbl_district_price[District],tbl_district_price[Standard Price
(INR/m³)],"",0)</f>
        <v>6200</v>
      </c>
      <c r="N1332" s="364">
        <f>IF(OR(Market_Data[[#This Row],[Estimated Concrete Demand (m³)]]="",Market_Data[[#This Row],[Avg Price per (₹ / m³)]]=""),"",Market_Data[[#This Row],[Estimated Concrete Demand (m³)]]*Market_Data[[#This Row],[Avg Price per (₹ / m³)]]/10000000)</f>
        <v>11.2158</v>
      </c>
      <c r="O1332" s="97" t="str">
        <f>IF(Market_Data[[#This Row],[Estimated Concrete Demand (m³)]]="","",
IF(Market_Data[[#This Row],[Estimated Concrete Demand (m³)]]&lt;10000,"Small",
IF(Market_Data[[#This Row],[Estimated Concrete Demand (m³)]]&lt;25000,"Medium",
IF(Market_Data[[#This Row],[Estimated Concrete Demand (m³)]]&lt;100000,"Large","Mega"))))</f>
        <v>Medium</v>
      </c>
      <c r="P1332" s="287" t="str">
        <f t="shared" si="22"/>
        <v>GujRERA</v>
      </c>
    </row>
    <row r="1333" spans="1:16">
      <c r="A1333" s="129" t="str">
        <f>_xlfn.XLOOKUP(B1333,$S$9:$S$14,$T$9:$T$14)&amp;"-"&amp;
IF(E1333="Residential/Group Housing","RES",
IF(E1333="Commercial","COM",
IF(E1333="Mixed Development","MIX",
IF(E1333="Plotted Development","PLT","OTH"))))
&amp;"-"&amp;TEXT(COUNTIFS($B$9:B1333,B1333,$E$9:E1333,E1333),"0000")</f>
        <v>SUR-PLT-0252</v>
      </c>
      <c r="B1333" s="322" t="s">
        <v>34</v>
      </c>
      <c r="C1333" s="322" t="s">
        <v>34</v>
      </c>
      <c r="D1333" s="323" t="s">
        <v>1523</v>
      </c>
      <c r="E1333" s="132" t="s">
        <v>26</v>
      </c>
      <c r="F1333" s="97" t="str">
        <f ca="1">IF(OR(Market_Data[[#This Row],[Start Date]]="",Market_Data[[#This Row],[Completion Date]]=""),"Needs Validation",IF(Market_Data[[#This Row],[Start Date]]&gt;TODAY(),"Planned",IF(Market_Data[[#This Row],[Completion Date]]&lt;TODAY(),"Completed","Ongoing")))</f>
        <v>Ongoing</v>
      </c>
      <c r="G1333" s="324">
        <v>44771</v>
      </c>
      <c r="H1333" s="324">
        <v>46752</v>
      </c>
      <c r="I1333" s="325">
        <v>19100</v>
      </c>
      <c r="J133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33" s="133">
        <f>_xlfn.XLOOKUP(Market_Data[[#This Row],[Project Type]],tbl_assumptions_market[Project Category (RERA)],tbl_assumptions_market[Concrete Intensity
(m³ / sq m BUA)],"",0)</f>
        <v>0.18</v>
      </c>
      <c r="L1333" s="134">
        <f>ROUND(Market_Data[[#This Row],[Estimated Built Up Area (sq m)]]*Market_Data[[#This Row],[Concrete Intensity
(m³ / sq m)]],0)</f>
        <v>3438</v>
      </c>
      <c r="M1333" s="135">
        <f>_xlfn.XLOOKUP(Market_Data[[#This Row],[District]],tbl_district_price[District],tbl_district_price[Standard Price
(INR/m³)],"",0)</f>
        <v>6200</v>
      </c>
      <c r="N1333" s="364">
        <f>IF(OR(Market_Data[[#This Row],[Estimated Concrete Demand (m³)]]="",Market_Data[[#This Row],[Avg Price per (₹ / m³)]]=""),"",Market_Data[[#This Row],[Estimated Concrete Demand (m³)]]*Market_Data[[#This Row],[Avg Price per (₹ / m³)]]/10000000)</f>
        <v>2.1315599999999999</v>
      </c>
      <c r="O1333" s="97" t="str">
        <f>IF(Market_Data[[#This Row],[Estimated Concrete Demand (m³)]]="","",
IF(Market_Data[[#This Row],[Estimated Concrete Demand (m³)]]&lt;10000,"Small",
IF(Market_Data[[#This Row],[Estimated Concrete Demand (m³)]]&lt;25000,"Medium",
IF(Market_Data[[#This Row],[Estimated Concrete Demand (m³)]]&lt;100000,"Large","Mega"))))</f>
        <v>Small</v>
      </c>
      <c r="P1333" s="287" t="str">
        <f t="shared" si="22"/>
        <v>GujRERA</v>
      </c>
    </row>
    <row r="1334" spans="1:16">
      <c r="A1334" s="129" t="str">
        <f>_xlfn.XLOOKUP(B1334,$S$9:$S$14,$T$9:$T$14)&amp;"-"&amp;
IF(E1334="Residential/Group Housing","RES",
IF(E1334="Commercial","COM",
IF(E1334="Mixed Development","MIX",
IF(E1334="Plotted Development","PLT","OTH"))))
&amp;"-"&amp;TEXT(COUNTIFS($B$9:B1334,B1334,$E$9:E1334,E1334),"0000")</f>
        <v>SUR-COM-0201</v>
      </c>
      <c r="B1334" s="322" t="s">
        <v>34</v>
      </c>
      <c r="C1334" s="322" t="s">
        <v>34</v>
      </c>
      <c r="D1334" s="323" t="s">
        <v>1524</v>
      </c>
      <c r="E1334" s="132" t="s">
        <v>23</v>
      </c>
      <c r="F1334" s="97" t="str">
        <f ca="1">IF(OR(Market_Data[[#This Row],[Start Date]]="",Market_Data[[#This Row],[Completion Date]]=""),"Needs Validation",IF(Market_Data[[#This Row],[Start Date]]&gt;TODAY(),"Planned",IF(Market_Data[[#This Row],[Completion Date]]&lt;TODAY(),"Completed","Ongoing")))</f>
        <v>Completed</v>
      </c>
      <c r="G1334" s="324">
        <v>42649</v>
      </c>
      <c r="H1334" s="324">
        <v>43465</v>
      </c>
      <c r="I1334" s="325">
        <v>5600</v>
      </c>
      <c r="J133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34" s="133">
        <f>_xlfn.XLOOKUP(Market_Data[[#This Row],[Project Type]],tbl_assumptions_market[Project Category (RERA)],tbl_assumptions_market[Concrete Intensity
(m³ / sq m BUA)],"",0)</f>
        <v>0.5</v>
      </c>
      <c r="L1334" s="134">
        <f>ROUND(Market_Data[[#This Row],[Estimated Built Up Area (sq m)]]*Market_Data[[#This Row],[Concrete Intensity
(m³ / sq m)]],0)</f>
        <v>2800</v>
      </c>
      <c r="M1334" s="135">
        <f>_xlfn.XLOOKUP(Market_Data[[#This Row],[District]],tbl_district_price[District],tbl_district_price[Standard Price
(INR/m³)],"",0)</f>
        <v>6200</v>
      </c>
      <c r="N1334" s="364">
        <f>IF(OR(Market_Data[[#This Row],[Estimated Concrete Demand (m³)]]="",Market_Data[[#This Row],[Avg Price per (₹ / m³)]]=""),"",Market_Data[[#This Row],[Estimated Concrete Demand (m³)]]*Market_Data[[#This Row],[Avg Price per (₹ / m³)]]/10000000)</f>
        <v>1.736</v>
      </c>
      <c r="O1334" s="97" t="str">
        <f>IF(Market_Data[[#This Row],[Estimated Concrete Demand (m³)]]="","",
IF(Market_Data[[#This Row],[Estimated Concrete Demand (m³)]]&lt;10000,"Small",
IF(Market_Data[[#This Row],[Estimated Concrete Demand (m³)]]&lt;25000,"Medium",
IF(Market_Data[[#This Row],[Estimated Concrete Demand (m³)]]&lt;100000,"Large","Mega"))))</f>
        <v>Small</v>
      </c>
      <c r="P1334" s="287" t="str">
        <f t="shared" si="22"/>
        <v>GujRERA</v>
      </c>
    </row>
    <row r="1335" spans="1:16">
      <c r="A1335" s="129" t="str">
        <f>_xlfn.XLOOKUP(B1335,$S$9:$S$14,$T$9:$T$14)&amp;"-"&amp;
IF(E1335="Residential/Group Housing","RES",
IF(E1335="Commercial","COM",
IF(E1335="Mixed Development","MIX",
IF(E1335="Plotted Development","PLT","OTH"))))
&amp;"-"&amp;TEXT(COUNTIFS($B$9:B1335,B1335,$E$9:E1335,E1335),"0000")</f>
        <v>SUR-MIX-0184</v>
      </c>
      <c r="B1335" s="322" t="s">
        <v>34</v>
      </c>
      <c r="C1335" s="322" t="s">
        <v>34</v>
      </c>
      <c r="D1335" s="323" t="s">
        <v>1525</v>
      </c>
      <c r="E1335" s="132" t="s">
        <v>25</v>
      </c>
      <c r="F1335" s="97" t="str">
        <f ca="1">IF(OR(Market_Data[[#This Row],[Start Date]]="",Market_Data[[#This Row],[Completion Date]]=""),"Needs Validation",IF(Market_Data[[#This Row],[Start Date]]&gt;TODAY(),"Planned",IF(Market_Data[[#This Row],[Completion Date]]&lt;TODAY(),"Completed","Ongoing")))</f>
        <v>Ongoing</v>
      </c>
      <c r="G1335" s="324">
        <v>45200</v>
      </c>
      <c r="H1335" s="324">
        <v>46477</v>
      </c>
      <c r="I1335" s="325">
        <v>51400</v>
      </c>
      <c r="J133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35" s="133">
        <f>_xlfn.XLOOKUP(Market_Data[[#This Row],[Project Type]],tbl_assumptions_market[Project Category (RERA)],tbl_assumptions_market[Concrete Intensity
(m³ / sq m BUA)],"",0)</f>
        <v>0.42</v>
      </c>
      <c r="L1335" s="134">
        <f>ROUND(Market_Data[[#This Row],[Estimated Built Up Area (sq m)]]*Market_Data[[#This Row],[Concrete Intensity
(m³ / sq m)]],0)</f>
        <v>21588</v>
      </c>
      <c r="M1335" s="135">
        <f>_xlfn.XLOOKUP(Market_Data[[#This Row],[District]],tbl_district_price[District],tbl_district_price[Standard Price
(INR/m³)],"",0)</f>
        <v>6200</v>
      </c>
      <c r="N1335" s="364">
        <f>IF(OR(Market_Data[[#This Row],[Estimated Concrete Demand (m³)]]="",Market_Data[[#This Row],[Avg Price per (₹ / m³)]]=""),"",Market_Data[[#This Row],[Estimated Concrete Demand (m³)]]*Market_Data[[#This Row],[Avg Price per (₹ / m³)]]/10000000)</f>
        <v>13.38456</v>
      </c>
      <c r="O1335" s="97" t="str">
        <f>IF(Market_Data[[#This Row],[Estimated Concrete Demand (m³)]]="","",
IF(Market_Data[[#This Row],[Estimated Concrete Demand (m³)]]&lt;10000,"Small",
IF(Market_Data[[#This Row],[Estimated Concrete Demand (m³)]]&lt;25000,"Medium",
IF(Market_Data[[#This Row],[Estimated Concrete Demand (m³)]]&lt;100000,"Large","Mega"))))</f>
        <v>Medium</v>
      </c>
      <c r="P1335" s="287" t="str">
        <f t="shared" si="22"/>
        <v>GujRERA</v>
      </c>
    </row>
    <row r="1336" spans="1:16">
      <c r="A1336" s="129" t="str">
        <f>_xlfn.XLOOKUP(B1336,$S$9:$S$14,$T$9:$T$14)&amp;"-"&amp;
IF(E1336="Residential/Group Housing","RES",
IF(E1336="Commercial","COM",
IF(E1336="Mixed Development","MIX",
IF(E1336="Plotted Development","PLT","OTH"))))
&amp;"-"&amp;TEXT(COUNTIFS($B$9:B1336,B1336,$E$9:E1336,E1336),"0000")</f>
        <v>SUR-RES-0381</v>
      </c>
      <c r="B1336" s="322" t="s">
        <v>34</v>
      </c>
      <c r="C1336" s="322" t="s">
        <v>34</v>
      </c>
      <c r="D1336" s="323" t="s">
        <v>1526</v>
      </c>
      <c r="E1336" s="132" t="s">
        <v>24</v>
      </c>
      <c r="F1336" s="97" t="str">
        <f ca="1">IF(OR(Market_Data[[#This Row],[Start Date]]="",Market_Data[[#This Row],[Completion Date]]=""),"Needs Validation",IF(Market_Data[[#This Row],[Start Date]]&gt;TODAY(),"Planned",IF(Market_Data[[#This Row],[Completion Date]]&lt;TODAY(),"Completed","Ongoing")))</f>
        <v>Ongoing</v>
      </c>
      <c r="G1336" s="324">
        <v>43416</v>
      </c>
      <c r="H1336" s="324">
        <v>46325</v>
      </c>
      <c r="I1336" s="325">
        <v>57100</v>
      </c>
      <c r="J133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36" s="133">
        <f>_xlfn.XLOOKUP(Market_Data[[#This Row],[Project Type]],tbl_assumptions_market[Project Category (RERA)],tbl_assumptions_market[Concrete Intensity
(m³ / sq m BUA)],"",0)</f>
        <v>0.45</v>
      </c>
      <c r="L1336" s="134">
        <f>ROUND(Market_Data[[#This Row],[Estimated Built Up Area (sq m)]]*Market_Data[[#This Row],[Concrete Intensity
(m³ / sq m)]],0)</f>
        <v>25695</v>
      </c>
      <c r="M1336" s="135">
        <f>_xlfn.XLOOKUP(Market_Data[[#This Row],[District]],tbl_district_price[District],tbl_district_price[Standard Price
(INR/m³)],"",0)</f>
        <v>6200</v>
      </c>
      <c r="N1336" s="364">
        <f>IF(OR(Market_Data[[#This Row],[Estimated Concrete Demand (m³)]]="",Market_Data[[#This Row],[Avg Price per (₹ / m³)]]=""),"",Market_Data[[#This Row],[Estimated Concrete Demand (m³)]]*Market_Data[[#This Row],[Avg Price per (₹ / m³)]]/10000000)</f>
        <v>15.930899999999999</v>
      </c>
      <c r="O1336" s="97" t="str">
        <f>IF(Market_Data[[#This Row],[Estimated Concrete Demand (m³)]]="","",
IF(Market_Data[[#This Row],[Estimated Concrete Demand (m³)]]&lt;10000,"Small",
IF(Market_Data[[#This Row],[Estimated Concrete Demand (m³)]]&lt;25000,"Medium",
IF(Market_Data[[#This Row],[Estimated Concrete Demand (m³)]]&lt;100000,"Large","Mega"))))</f>
        <v>Large</v>
      </c>
      <c r="P1336" s="287" t="str">
        <f t="shared" si="22"/>
        <v>GujRERA</v>
      </c>
    </row>
    <row r="1337" spans="1:16">
      <c r="A1337" s="129" t="str">
        <f>_xlfn.XLOOKUP(B1337,$S$9:$S$14,$T$9:$T$14)&amp;"-"&amp;
IF(E1337="Residential/Group Housing","RES",
IF(E1337="Commercial","COM",
IF(E1337="Mixed Development","MIX",
IF(E1337="Plotted Development","PLT","OTH"))))
&amp;"-"&amp;TEXT(COUNTIFS($B$9:B1337,B1337,$E$9:E1337,E1337),"0000")</f>
        <v>SUR-RES-0382</v>
      </c>
      <c r="B1337" s="322" t="s">
        <v>34</v>
      </c>
      <c r="C1337" s="322" t="s">
        <v>34</v>
      </c>
      <c r="D1337" s="323" t="s">
        <v>1527</v>
      </c>
      <c r="E1337" s="132" t="s">
        <v>24</v>
      </c>
      <c r="F1337" s="97" t="str">
        <f ca="1">IF(OR(Market_Data[[#This Row],[Start Date]]="",Market_Data[[#This Row],[Completion Date]]=""),"Needs Validation",IF(Market_Data[[#This Row],[Start Date]]&gt;TODAY(),"Planned",IF(Market_Data[[#This Row],[Completion Date]]&lt;TODAY(),"Completed","Ongoing")))</f>
        <v>Completed</v>
      </c>
      <c r="G1337" s="324">
        <v>42867</v>
      </c>
      <c r="H1337" s="324">
        <v>44833</v>
      </c>
      <c r="I1337" s="325">
        <v>32400</v>
      </c>
      <c r="J133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37" s="133">
        <f>_xlfn.XLOOKUP(Market_Data[[#This Row],[Project Type]],tbl_assumptions_market[Project Category (RERA)],tbl_assumptions_market[Concrete Intensity
(m³ / sq m BUA)],"",0)</f>
        <v>0.45</v>
      </c>
      <c r="L1337" s="134">
        <f>ROUND(Market_Data[[#This Row],[Estimated Built Up Area (sq m)]]*Market_Data[[#This Row],[Concrete Intensity
(m³ / sq m)]],0)</f>
        <v>14580</v>
      </c>
      <c r="M1337" s="135">
        <f>_xlfn.XLOOKUP(Market_Data[[#This Row],[District]],tbl_district_price[District],tbl_district_price[Standard Price
(INR/m³)],"",0)</f>
        <v>6200</v>
      </c>
      <c r="N1337" s="364">
        <f>IF(OR(Market_Data[[#This Row],[Estimated Concrete Demand (m³)]]="",Market_Data[[#This Row],[Avg Price per (₹ / m³)]]=""),"",Market_Data[[#This Row],[Estimated Concrete Demand (m³)]]*Market_Data[[#This Row],[Avg Price per (₹ / m³)]]/10000000)</f>
        <v>9.0396000000000001</v>
      </c>
      <c r="O1337" s="97" t="str">
        <f>IF(Market_Data[[#This Row],[Estimated Concrete Demand (m³)]]="","",
IF(Market_Data[[#This Row],[Estimated Concrete Demand (m³)]]&lt;10000,"Small",
IF(Market_Data[[#This Row],[Estimated Concrete Demand (m³)]]&lt;25000,"Medium",
IF(Market_Data[[#This Row],[Estimated Concrete Demand (m³)]]&lt;100000,"Large","Mega"))))</f>
        <v>Medium</v>
      </c>
      <c r="P1337" s="287" t="str">
        <f t="shared" si="22"/>
        <v>GujRERA</v>
      </c>
    </row>
    <row r="1338" spans="1:16">
      <c r="A1338" s="129" t="str">
        <f>_xlfn.XLOOKUP(B1338,$S$9:$S$14,$T$9:$T$14)&amp;"-"&amp;
IF(E1338="Residential/Group Housing","RES",
IF(E1338="Commercial","COM",
IF(E1338="Mixed Development","MIX",
IF(E1338="Plotted Development","PLT","OTH"))))
&amp;"-"&amp;TEXT(COUNTIFS($B$9:B1338,B1338,$E$9:E1338,E1338),"0000")</f>
        <v>SUR-RES-0383</v>
      </c>
      <c r="B1338" s="322" t="s">
        <v>34</v>
      </c>
      <c r="C1338" s="322" t="s">
        <v>34</v>
      </c>
      <c r="D1338" s="323" t="s">
        <v>1528</v>
      </c>
      <c r="E1338" s="132" t="s">
        <v>24</v>
      </c>
      <c r="F1338" s="97" t="str">
        <f ca="1">IF(OR(Market_Data[[#This Row],[Start Date]]="",Market_Data[[#This Row],[Completion Date]]=""),"Needs Validation",IF(Market_Data[[#This Row],[Start Date]]&gt;TODAY(),"Planned",IF(Market_Data[[#This Row],[Completion Date]]&lt;TODAY(),"Completed","Ongoing")))</f>
        <v>Ongoing</v>
      </c>
      <c r="G1338" s="324">
        <v>43865</v>
      </c>
      <c r="H1338" s="324">
        <v>46326</v>
      </c>
      <c r="I1338" s="325">
        <v>23800</v>
      </c>
      <c r="J133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38" s="133">
        <f>_xlfn.XLOOKUP(Market_Data[[#This Row],[Project Type]],tbl_assumptions_market[Project Category (RERA)],tbl_assumptions_market[Concrete Intensity
(m³ / sq m BUA)],"",0)</f>
        <v>0.45</v>
      </c>
      <c r="L1338" s="134">
        <f>ROUND(Market_Data[[#This Row],[Estimated Built Up Area (sq m)]]*Market_Data[[#This Row],[Concrete Intensity
(m³ / sq m)]],0)</f>
        <v>10710</v>
      </c>
      <c r="M1338" s="135">
        <f>_xlfn.XLOOKUP(Market_Data[[#This Row],[District]],tbl_district_price[District],tbl_district_price[Standard Price
(INR/m³)],"",0)</f>
        <v>6200</v>
      </c>
      <c r="N1338" s="364">
        <f>IF(OR(Market_Data[[#This Row],[Estimated Concrete Demand (m³)]]="",Market_Data[[#This Row],[Avg Price per (₹ / m³)]]=""),"",Market_Data[[#This Row],[Estimated Concrete Demand (m³)]]*Market_Data[[#This Row],[Avg Price per (₹ / m³)]]/10000000)</f>
        <v>6.6402000000000001</v>
      </c>
      <c r="O1338" s="97" t="str">
        <f>IF(Market_Data[[#This Row],[Estimated Concrete Demand (m³)]]="","",
IF(Market_Data[[#This Row],[Estimated Concrete Demand (m³)]]&lt;10000,"Small",
IF(Market_Data[[#This Row],[Estimated Concrete Demand (m³)]]&lt;25000,"Medium",
IF(Market_Data[[#This Row],[Estimated Concrete Demand (m³)]]&lt;100000,"Large","Mega"))))</f>
        <v>Medium</v>
      </c>
      <c r="P1338" s="287" t="str">
        <f t="shared" si="22"/>
        <v>GujRERA</v>
      </c>
    </row>
    <row r="1339" spans="1:16">
      <c r="A1339" s="129" t="str">
        <f>_xlfn.XLOOKUP(B1339,$S$9:$S$14,$T$9:$T$14)&amp;"-"&amp;
IF(E1339="Residential/Group Housing","RES",
IF(E1339="Commercial","COM",
IF(E1339="Mixed Development","MIX",
IF(E1339="Plotted Development","PLT","OTH"))))
&amp;"-"&amp;TEXT(COUNTIFS($B$9:B1339,B1339,$E$9:E1339,E1339),"0000")</f>
        <v>SUR-RES-0384</v>
      </c>
      <c r="B1339" s="322" t="s">
        <v>34</v>
      </c>
      <c r="C1339" s="322" t="s">
        <v>34</v>
      </c>
      <c r="D1339" s="323" t="s">
        <v>1529</v>
      </c>
      <c r="E1339" s="132" t="s">
        <v>24</v>
      </c>
      <c r="F1339" s="97" t="str">
        <f ca="1">IF(OR(Market_Data[[#This Row],[Start Date]]="",Market_Data[[#This Row],[Completion Date]]=""),"Needs Validation",IF(Market_Data[[#This Row],[Start Date]]&gt;TODAY(),"Planned",IF(Market_Data[[#This Row],[Completion Date]]&lt;TODAY(),"Completed","Ongoing")))</f>
        <v>Completed</v>
      </c>
      <c r="G1339" s="324">
        <v>43328</v>
      </c>
      <c r="H1339" s="324">
        <v>46234</v>
      </c>
      <c r="I1339" s="325">
        <v>16400</v>
      </c>
      <c r="J133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39" s="133">
        <f>_xlfn.XLOOKUP(Market_Data[[#This Row],[Project Type]],tbl_assumptions_market[Project Category (RERA)],tbl_assumptions_market[Concrete Intensity
(m³ / sq m BUA)],"",0)</f>
        <v>0.45</v>
      </c>
      <c r="L1339" s="134">
        <f>ROUND(Market_Data[[#This Row],[Estimated Built Up Area (sq m)]]*Market_Data[[#This Row],[Concrete Intensity
(m³ / sq m)]],0)</f>
        <v>7380</v>
      </c>
      <c r="M1339" s="135">
        <f>_xlfn.XLOOKUP(Market_Data[[#This Row],[District]],tbl_district_price[District],tbl_district_price[Standard Price
(INR/m³)],"",0)</f>
        <v>6200</v>
      </c>
      <c r="N1339" s="364">
        <f>IF(OR(Market_Data[[#This Row],[Estimated Concrete Demand (m³)]]="",Market_Data[[#This Row],[Avg Price per (₹ / m³)]]=""),"",Market_Data[[#This Row],[Estimated Concrete Demand (m³)]]*Market_Data[[#This Row],[Avg Price per (₹ / m³)]]/10000000)</f>
        <v>4.5755999999999997</v>
      </c>
      <c r="O1339" s="97" t="str">
        <f>IF(Market_Data[[#This Row],[Estimated Concrete Demand (m³)]]="","",
IF(Market_Data[[#This Row],[Estimated Concrete Demand (m³)]]&lt;10000,"Small",
IF(Market_Data[[#This Row],[Estimated Concrete Demand (m³)]]&lt;25000,"Medium",
IF(Market_Data[[#This Row],[Estimated Concrete Demand (m³)]]&lt;100000,"Large","Mega"))))</f>
        <v>Small</v>
      </c>
      <c r="P1339" s="287" t="str">
        <f t="shared" si="22"/>
        <v>GujRERA</v>
      </c>
    </row>
    <row r="1340" spans="1:16">
      <c r="A1340" s="129" t="str">
        <f>_xlfn.XLOOKUP(B1340,$S$9:$S$14,$T$9:$T$14)&amp;"-"&amp;
IF(E1340="Residential/Group Housing","RES",
IF(E1340="Commercial","COM",
IF(E1340="Mixed Development","MIX",
IF(E1340="Plotted Development","PLT","OTH"))))
&amp;"-"&amp;TEXT(COUNTIFS($B$9:B1340,B1340,$E$9:E1340,E1340),"0000")</f>
        <v>SUR-COM-0202</v>
      </c>
      <c r="B1340" s="322" t="s">
        <v>34</v>
      </c>
      <c r="C1340" s="322" t="s">
        <v>34</v>
      </c>
      <c r="D1340" s="323" t="s">
        <v>1530</v>
      </c>
      <c r="E1340" s="132" t="s">
        <v>23</v>
      </c>
      <c r="F1340" s="97" t="str">
        <f ca="1">IF(OR(Market_Data[[#This Row],[Start Date]]="",Market_Data[[#This Row],[Completion Date]]=""),"Needs Validation",IF(Market_Data[[#This Row],[Start Date]]&gt;TODAY(),"Planned",IF(Market_Data[[#This Row],[Completion Date]]&lt;TODAY(),"Completed","Ongoing")))</f>
        <v>Ongoing</v>
      </c>
      <c r="G1340" s="324">
        <v>43709</v>
      </c>
      <c r="H1340" s="324">
        <v>46295</v>
      </c>
      <c r="I1340" s="325">
        <v>8800</v>
      </c>
      <c r="J134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40" s="133">
        <f>_xlfn.XLOOKUP(Market_Data[[#This Row],[Project Type]],tbl_assumptions_market[Project Category (RERA)],tbl_assumptions_market[Concrete Intensity
(m³ / sq m BUA)],"",0)</f>
        <v>0.5</v>
      </c>
      <c r="L1340" s="134">
        <f>ROUND(Market_Data[[#This Row],[Estimated Built Up Area (sq m)]]*Market_Data[[#This Row],[Concrete Intensity
(m³ / sq m)]],0)</f>
        <v>4400</v>
      </c>
      <c r="M1340" s="135">
        <f>_xlfn.XLOOKUP(Market_Data[[#This Row],[District]],tbl_district_price[District],tbl_district_price[Standard Price
(INR/m³)],"",0)</f>
        <v>6200</v>
      </c>
      <c r="N1340" s="364">
        <f>IF(OR(Market_Data[[#This Row],[Estimated Concrete Demand (m³)]]="",Market_Data[[#This Row],[Avg Price per (₹ / m³)]]=""),"",Market_Data[[#This Row],[Estimated Concrete Demand (m³)]]*Market_Data[[#This Row],[Avg Price per (₹ / m³)]]/10000000)</f>
        <v>2.7280000000000002</v>
      </c>
      <c r="O1340" s="97" t="str">
        <f>IF(Market_Data[[#This Row],[Estimated Concrete Demand (m³)]]="","",
IF(Market_Data[[#This Row],[Estimated Concrete Demand (m³)]]&lt;10000,"Small",
IF(Market_Data[[#This Row],[Estimated Concrete Demand (m³)]]&lt;25000,"Medium",
IF(Market_Data[[#This Row],[Estimated Concrete Demand (m³)]]&lt;100000,"Large","Mega"))))</f>
        <v>Small</v>
      </c>
      <c r="P1340" s="287" t="str">
        <f t="shared" si="22"/>
        <v>GujRERA</v>
      </c>
    </row>
    <row r="1341" spans="1:16">
      <c r="A1341" s="129" t="str">
        <f>_xlfn.XLOOKUP(B1341,$S$9:$S$14,$T$9:$T$14)&amp;"-"&amp;
IF(E1341="Residential/Group Housing","RES",
IF(E1341="Commercial","COM",
IF(E1341="Mixed Development","MIX",
IF(E1341="Plotted Development","PLT","OTH"))))
&amp;"-"&amp;TEXT(COUNTIFS($B$9:B1341,B1341,$E$9:E1341,E1341),"0000")</f>
        <v>SUR-RES-0385</v>
      </c>
      <c r="B1341" s="322" t="s">
        <v>34</v>
      </c>
      <c r="C1341" s="322" t="s">
        <v>34</v>
      </c>
      <c r="D1341" s="323" t="s">
        <v>1531</v>
      </c>
      <c r="E1341" s="132" t="s">
        <v>24</v>
      </c>
      <c r="F1341" s="97" t="str">
        <f ca="1">IF(OR(Market_Data[[#This Row],[Start Date]]="",Market_Data[[#This Row],[Completion Date]]=""),"Needs Validation",IF(Market_Data[[#This Row],[Start Date]]&gt;TODAY(),"Planned",IF(Market_Data[[#This Row],[Completion Date]]&lt;TODAY(),"Completed","Ongoing")))</f>
        <v>Ongoing</v>
      </c>
      <c r="G1341" s="324">
        <v>45565</v>
      </c>
      <c r="H1341" s="324">
        <v>47118</v>
      </c>
      <c r="I1341" s="325">
        <v>19800</v>
      </c>
      <c r="J134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41" s="133">
        <f>_xlfn.XLOOKUP(Market_Data[[#This Row],[Project Type]],tbl_assumptions_market[Project Category (RERA)],tbl_assumptions_market[Concrete Intensity
(m³ / sq m BUA)],"",0)</f>
        <v>0.45</v>
      </c>
      <c r="L1341" s="134">
        <f>ROUND(Market_Data[[#This Row],[Estimated Built Up Area (sq m)]]*Market_Data[[#This Row],[Concrete Intensity
(m³ / sq m)]],0)</f>
        <v>8910</v>
      </c>
      <c r="M1341" s="135">
        <f>_xlfn.XLOOKUP(Market_Data[[#This Row],[District]],tbl_district_price[District],tbl_district_price[Standard Price
(INR/m³)],"",0)</f>
        <v>6200</v>
      </c>
      <c r="N1341" s="364">
        <f>IF(OR(Market_Data[[#This Row],[Estimated Concrete Demand (m³)]]="",Market_Data[[#This Row],[Avg Price per (₹ / m³)]]=""),"",Market_Data[[#This Row],[Estimated Concrete Demand (m³)]]*Market_Data[[#This Row],[Avg Price per (₹ / m³)]]/10000000)</f>
        <v>5.5242000000000004</v>
      </c>
      <c r="O1341" s="97" t="str">
        <f>IF(Market_Data[[#This Row],[Estimated Concrete Demand (m³)]]="","",
IF(Market_Data[[#This Row],[Estimated Concrete Demand (m³)]]&lt;10000,"Small",
IF(Market_Data[[#This Row],[Estimated Concrete Demand (m³)]]&lt;25000,"Medium",
IF(Market_Data[[#This Row],[Estimated Concrete Demand (m³)]]&lt;100000,"Large","Mega"))))</f>
        <v>Small</v>
      </c>
      <c r="P1341" s="287" t="str">
        <f t="shared" si="22"/>
        <v>GujRERA</v>
      </c>
    </row>
    <row r="1342" spans="1:16">
      <c r="A1342" s="129" t="str">
        <f>_xlfn.XLOOKUP(B1342,$S$9:$S$14,$T$9:$T$14)&amp;"-"&amp;
IF(E1342="Residential/Group Housing","RES",
IF(E1342="Commercial","COM",
IF(E1342="Mixed Development","MIX",
IF(E1342="Plotted Development","PLT","OTH"))))
&amp;"-"&amp;TEXT(COUNTIFS($B$9:B1342,B1342,$E$9:E1342,E1342),"0000")</f>
        <v>SUR-MIX-0185</v>
      </c>
      <c r="B1342" s="322" t="s">
        <v>34</v>
      </c>
      <c r="C1342" s="322" t="s">
        <v>34</v>
      </c>
      <c r="D1342" s="323" t="s">
        <v>1532</v>
      </c>
      <c r="E1342" s="132" t="s">
        <v>25</v>
      </c>
      <c r="F1342" s="97" t="str">
        <f ca="1">IF(OR(Market_Data[[#This Row],[Start Date]]="",Market_Data[[#This Row],[Completion Date]]=""),"Needs Validation",IF(Market_Data[[#This Row],[Start Date]]&gt;TODAY(),"Planned",IF(Market_Data[[#This Row],[Completion Date]]&lt;TODAY(),"Completed","Ongoing")))</f>
        <v>Completed</v>
      </c>
      <c r="G1342" s="324">
        <v>43391</v>
      </c>
      <c r="H1342" s="324">
        <v>45473</v>
      </c>
      <c r="I1342" s="325">
        <v>49600</v>
      </c>
      <c r="J134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42" s="133">
        <f>_xlfn.XLOOKUP(Market_Data[[#This Row],[Project Type]],tbl_assumptions_market[Project Category (RERA)],tbl_assumptions_market[Concrete Intensity
(m³ / sq m BUA)],"",0)</f>
        <v>0.42</v>
      </c>
      <c r="L1342" s="134">
        <f>ROUND(Market_Data[[#This Row],[Estimated Built Up Area (sq m)]]*Market_Data[[#This Row],[Concrete Intensity
(m³ / sq m)]],0)</f>
        <v>20832</v>
      </c>
      <c r="M1342" s="135">
        <f>_xlfn.XLOOKUP(Market_Data[[#This Row],[District]],tbl_district_price[District],tbl_district_price[Standard Price
(INR/m³)],"",0)</f>
        <v>6200</v>
      </c>
      <c r="N1342" s="364">
        <f>IF(OR(Market_Data[[#This Row],[Estimated Concrete Demand (m³)]]="",Market_Data[[#This Row],[Avg Price per (₹ / m³)]]=""),"",Market_Data[[#This Row],[Estimated Concrete Demand (m³)]]*Market_Data[[#This Row],[Avg Price per (₹ / m³)]]/10000000)</f>
        <v>12.915839999999999</v>
      </c>
      <c r="O1342" s="97" t="str">
        <f>IF(Market_Data[[#This Row],[Estimated Concrete Demand (m³)]]="","",
IF(Market_Data[[#This Row],[Estimated Concrete Demand (m³)]]&lt;10000,"Small",
IF(Market_Data[[#This Row],[Estimated Concrete Demand (m³)]]&lt;25000,"Medium",
IF(Market_Data[[#This Row],[Estimated Concrete Demand (m³)]]&lt;100000,"Large","Mega"))))</f>
        <v>Medium</v>
      </c>
      <c r="P1342" s="287" t="str">
        <f t="shared" si="22"/>
        <v>GujRERA</v>
      </c>
    </row>
    <row r="1343" spans="1:16">
      <c r="A1343" s="129" t="str">
        <f>_xlfn.XLOOKUP(B1343,$S$9:$S$14,$T$9:$T$14)&amp;"-"&amp;
IF(E1343="Residential/Group Housing","RES",
IF(E1343="Commercial","COM",
IF(E1343="Mixed Development","MIX",
IF(E1343="Plotted Development","PLT","OTH"))))
&amp;"-"&amp;TEXT(COUNTIFS($B$9:B1343,B1343,$E$9:E1343,E1343),"0000")</f>
        <v>SUR-MIX-0186</v>
      </c>
      <c r="B1343" s="322" t="s">
        <v>34</v>
      </c>
      <c r="C1343" s="322" t="s">
        <v>34</v>
      </c>
      <c r="D1343" s="323" t="s">
        <v>1533</v>
      </c>
      <c r="E1343" s="132" t="s">
        <v>25</v>
      </c>
      <c r="F1343" s="97" t="str">
        <f ca="1">IF(OR(Market_Data[[#This Row],[Start Date]]="",Market_Data[[#This Row],[Completion Date]]=""),"Needs Validation",IF(Market_Data[[#This Row],[Start Date]]&gt;TODAY(),"Planned",IF(Market_Data[[#This Row],[Completion Date]]&lt;TODAY(),"Completed","Ongoing")))</f>
        <v>Completed</v>
      </c>
      <c r="G1343" s="324">
        <v>43831</v>
      </c>
      <c r="H1343" s="324">
        <v>45565</v>
      </c>
      <c r="I1343" s="325">
        <v>32300</v>
      </c>
      <c r="J134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43" s="133">
        <f>_xlfn.XLOOKUP(Market_Data[[#This Row],[Project Type]],tbl_assumptions_market[Project Category (RERA)],tbl_assumptions_market[Concrete Intensity
(m³ / sq m BUA)],"",0)</f>
        <v>0.42</v>
      </c>
      <c r="L1343" s="134">
        <f>ROUND(Market_Data[[#This Row],[Estimated Built Up Area (sq m)]]*Market_Data[[#This Row],[Concrete Intensity
(m³ / sq m)]],0)</f>
        <v>13566</v>
      </c>
      <c r="M1343" s="135">
        <f>_xlfn.XLOOKUP(Market_Data[[#This Row],[District]],tbl_district_price[District],tbl_district_price[Standard Price
(INR/m³)],"",0)</f>
        <v>6200</v>
      </c>
      <c r="N1343" s="364">
        <f>IF(OR(Market_Data[[#This Row],[Estimated Concrete Demand (m³)]]="",Market_Data[[#This Row],[Avg Price per (₹ / m³)]]=""),"",Market_Data[[#This Row],[Estimated Concrete Demand (m³)]]*Market_Data[[#This Row],[Avg Price per (₹ / m³)]]/10000000)</f>
        <v>8.4109200000000008</v>
      </c>
      <c r="O1343" s="97" t="str">
        <f>IF(Market_Data[[#This Row],[Estimated Concrete Demand (m³)]]="","",
IF(Market_Data[[#This Row],[Estimated Concrete Demand (m³)]]&lt;10000,"Small",
IF(Market_Data[[#This Row],[Estimated Concrete Demand (m³)]]&lt;25000,"Medium",
IF(Market_Data[[#This Row],[Estimated Concrete Demand (m³)]]&lt;100000,"Large","Mega"))))</f>
        <v>Medium</v>
      </c>
      <c r="P1343" s="287" t="str">
        <f t="shared" si="22"/>
        <v>GujRERA</v>
      </c>
    </row>
    <row r="1344" spans="1:16">
      <c r="A1344" s="129" t="str">
        <f>_xlfn.XLOOKUP(B1344,$S$9:$S$14,$T$9:$T$14)&amp;"-"&amp;
IF(E1344="Residential/Group Housing","RES",
IF(E1344="Commercial","COM",
IF(E1344="Mixed Development","MIX",
IF(E1344="Plotted Development","PLT","OTH"))))
&amp;"-"&amp;TEXT(COUNTIFS($B$9:B1344,B1344,$E$9:E1344,E1344),"0000")</f>
        <v>SUR-MIX-0187</v>
      </c>
      <c r="B1344" s="322" t="s">
        <v>34</v>
      </c>
      <c r="C1344" s="322" t="s">
        <v>34</v>
      </c>
      <c r="D1344" s="323" t="s">
        <v>1534</v>
      </c>
      <c r="E1344" s="132" t="s">
        <v>25</v>
      </c>
      <c r="F1344" s="97" t="str">
        <f ca="1">IF(OR(Market_Data[[#This Row],[Start Date]]="",Market_Data[[#This Row],[Completion Date]]=""),"Needs Validation",IF(Market_Data[[#This Row],[Start Date]]&gt;TODAY(),"Planned",IF(Market_Data[[#This Row],[Completion Date]]&lt;TODAY(),"Completed","Ongoing")))</f>
        <v>Completed</v>
      </c>
      <c r="G1344" s="324">
        <v>41547</v>
      </c>
      <c r="H1344" s="324">
        <v>45657</v>
      </c>
      <c r="I1344" s="325">
        <v>7500</v>
      </c>
      <c r="J134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344" s="133">
        <f>_xlfn.XLOOKUP(Market_Data[[#This Row],[Project Type]],tbl_assumptions_market[Project Category (RERA)],tbl_assumptions_market[Concrete Intensity
(m³ / sq m BUA)],"",0)</f>
        <v>0.42</v>
      </c>
      <c r="L1344" s="134">
        <f>ROUND(Market_Data[[#This Row],[Estimated Built Up Area (sq m)]]*Market_Data[[#This Row],[Concrete Intensity
(m³ / sq m)]],0)</f>
        <v>3150</v>
      </c>
      <c r="M1344" s="135">
        <f>_xlfn.XLOOKUP(Market_Data[[#This Row],[District]],tbl_district_price[District],tbl_district_price[Standard Price
(INR/m³)],"",0)</f>
        <v>6200</v>
      </c>
      <c r="N1344" s="364">
        <f>IF(OR(Market_Data[[#This Row],[Estimated Concrete Demand (m³)]]="",Market_Data[[#This Row],[Avg Price per (₹ / m³)]]=""),"",Market_Data[[#This Row],[Estimated Concrete Demand (m³)]]*Market_Data[[#This Row],[Avg Price per (₹ / m³)]]/10000000)</f>
        <v>1.9530000000000001</v>
      </c>
      <c r="O1344" s="97" t="str">
        <f>IF(Market_Data[[#This Row],[Estimated Concrete Demand (m³)]]="","",
IF(Market_Data[[#This Row],[Estimated Concrete Demand (m³)]]&lt;10000,"Small",
IF(Market_Data[[#This Row],[Estimated Concrete Demand (m³)]]&lt;25000,"Medium",
IF(Market_Data[[#This Row],[Estimated Concrete Demand (m³)]]&lt;100000,"Large","Mega"))))</f>
        <v>Small</v>
      </c>
      <c r="P1344" s="287" t="str">
        <f t="shared" si="22"/>
        <v>GujRERA</v>
      </c>
    </row>
    <row r="1345" spans="1:16">
      <c r="A1345" s="129" t="str">
        <f>_xlfn.XLOOKUP(B1345,$S$9:$S$14,$T$9:$T$14)&amp;"-"&amp;
IF(E1345="Residential/Group Housing","RES",
IF(E1345="Commercial","COM",
IF(E1345="Mixed Development","MIX",
IF(E1345="Plotted Development","PLT","OTH"))))
&amp;"-"&amp;TEXT(COUNTIFS($B$9:B1345,B1345,$E$9:E1345,E1345),"0000")</f>
        <v>SUR-COM-0203</v>
      </c>
      <c r="B1345" s="322" t="s">
        <v>34</v>
      </c>
      <c r="C1345" s="322" t="s">
        <v>34</v>
      </c>
      <c r="D1345" s="323" t="s">
        <v>1535</v>
      </c>
      <c r="E1345" s="132" t="s">
        <v>23</v>
      </c>
      <c r="F1345" s="97" t="str">
        <f ca="1">IF(OR(Market_Data[[#This Row],[Start Date]]="",Market_Data[[#This Row],[Completion Date]]=""),"Needs Validation",IF(Market_Data[[#This Row],[Start Date]]&gt;TODAY(),"Planned",IF(Market_Data[[#This Row],[Completion Date]]&lt;TODAY(),"Completed","Ongoing")))</f>
        <v>Completed</v>
      </c>
      <c r="G1345" s="324">
        <v>42581</v>
      </c>
      <c r="H1345" s="324">
        <v>44196</v>
      </c>
      <c r="I1345" s="325">
        <v>12500</v>
      </c>
      <c r="J134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45" s="133">
        <f>_xlfn.XLOOKUP(Market_Data[[#This Row],[Project Type]],tbl_assumptions_market[Project Category (RERA)],tbl_assumptions_market[Concrete Intensity
(m³ / sq m BUA)],"",0)</f>
        <v>0.5</v>
      </c>
      <c r="L1345" s="134">
        <f>ROUND(Market_Data[[#This Row],[Estimated Built Up Area (sq m)]]*Market_Data[[#This Row],[Concrete Intensity
(m³ / sq m)]],0)</f>
        <v>6250</v>
      </c>
      <c r="M1345" s="135">
        <f>_xlfn.XLOOKUP(Market_Data[[#This Row],[District]],tbl_district_price[District],tbl_district_price[Standard Price
(INR/m³)],"",0)</f>
        <v>6200</v>
      </c>
      <c r="N1345" s="364">
        <f>IF(OR(Market_Data[[#This Row],[Estimated Concrete Demand (m³)]]="",Market_Data[[#This Row],[Avg Price per (₹ / m³)]]=""),"",Market_Data[[#This Row],[Estimated Concrete Demand (m³)]]*Market_Data[[#This Row],[Avg Price per (₹ / m³)]]/10000000)</f>
        <v>3.875</v>
      </c>
      <c r="O1345" s="97" t="str">
        <f>IF(Market_Data[[#This Row],[Estimated Concrete Demand (m³)]]="","",
IF(Market_Data[[#This Row],[Estimated Concrete Demand (m³)]]&lt;10000,"Small",
IF(Market_Data[[#This Row],[Estimated Concrete Demand (m³)]]&lt;25000,"Medium",
IF(Market_Data[[#This Row],[Estimated Concrete Demand (m³)]]&lt;100000,"Large","Mega"))))</f>
        <v>Small</v>
      </c>
      <c r="P1345" s="287" t="str">
        <f t="shared" si="22"/>
        <v>GujRERA</v>
      </c>
    </row>
    <row r="1346" spans="1:16">
      <c r="A1346" s="129" t="str">
        <f>_xlfn.XLOOKUP(B1346,$S$9:$S$14,$T$9:$T$14)&amp;"-"&amp;
IF(E1346="Residential/Group Housing","RES",
IF(E1346="Commercial","COM",
IF(E1346="Mixed Development","MIX",
IF(E1346="Plotted Development","PLT","OTH"))))
&amp;"-"&amp;TEXT(COUNTIFS($B$9:B1346,B1346,$E$9:E1346,E1346),"0000")</f>
        <v>SUR-MIX-0188</v>
      </c>
      <c r="B1346" s="322" t="s">
        <v>34</v>
      </c>
      <c r="C1346" s="322" t="s">
        <v>34</v>
      </c>
      <c r="D1346" s="323" t="s">
        <v>1536</v>
      </c>
      <c r="E1346" s="132" t="s">
        <v>25</v>
      </c>
      <c r="F1346" s="97" t="str">
        <f ca="1">IF(OR(Market_Data[[#This Row],[Start Date]]="",Market_Data[[#This Row],[Completion Date]]=""),"Needs Validation",IF(Market_Data[[#This Row],[Start Date]]&gt;TODAY(),"Planned",IF(Market_Data[[#This Row],[Completion Date]]&lt;TODAY(),"Completed","Ongoing")))</f>
        <v>Ongoing</v>
      </c>
      <c r="G1346" s="324">
        <v>44436</v>
      </c>
      <c r="H1346" s="324">
        <v>46387</v>
      </c>
      <c r="I1346" s="325">
        <v>59700</v>
      </c>
      <c r="J134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46" s="133">
        <f>_xlfn.XLOOKUP(Market_Data[[#This Row],[Project Type]],tbl_assumptions_market[Project Category (RERA)],tbl_assumptions_market[Concrete Intensity
(m³ / sq m BUA)],"",0)</f>
        <v>0.42</v>
      </c>
      <c r="L1346" s="134">
        <f>ROUND(Market_Data[[#This Row],[Estimated Built Up Area (sq m)]]*Market_Data[[#This Row],[Concrete Intensity
(m³ / sq m)]],0)</f>
        <v>25074</v>
      </c>
      <c r="M1346" s="135">
        <f>_xlfn.XLOOKUP(Market_Data[[#This Row],[District]],tbl_district_price[District],tbl_district_price[Standard Price
(INR/m³)],"",0)</f>
        <v>6200</v>
      </c>
      <c r="N1346" s="364">
        <f>IF(OR(Market_Data[[#This Row],[Estimated Concrete Demand (m³)]]="",Market_Data[[#This Row],[Avg Price per (₹ / m³)]]=""),"",Market_Data[[#This Row],[Estimated Concrete Demand (m³)]]*Market_Data[[#This Row],[Avg Price per (₹ / m³)]]/10000000)</f>
        <v>15.54588</v>
      </c>
      <c r="O1346" s="97" t="str">
        <f>IF(Market_Data[[#This Row],[Estimated Concrete Demand (m³)]]="","",
IF(Market_Data[[#This Row],[Estimated Concrete Demand (m³)]]&lt;10000,"Small",
IF(Market_Data[[#This Row],[Estimated Concrete Demand (m³)]]&lt;25000,"Medium",
IF(Market_Data[[#This Row],[Estimated Concrete Demand (m³)]]&lt;100000,"Large","Mega"))))</f>
        <v>Large</v>
      </c>
      <c r="P1346" s="287" t="str">
        <f t="shared" si="22"/>
        <v>GujRERA</v>
      </c>
    </row>
    <row r="1347" spans="1:16">
      <c r="A1347" s="129" t="str">
        <f>_xlfn.XLOOKUP(B1347,$S$9:$S$14,$T$9:$T$14)&amp;"-"&amp;
IF(E1347="Residential/Group Housing","RES",
IF(E1347="Commercial","COM",
IF(E1347="Mixed Development","MIX",
IF(E1347="Plotted Development","PLT","OTH"))))
&amp;"-"&amp;TEXT(COUNTIFS($B$9:B1347,B1347,$E$9:E1347,E1347),"0000")</f>
        <v>SUR-PLT-0253</v>
      </c>
      <c r="B1347" s="322" t="s">
        <v>34</v>
      </c>
      <c r="C1347" s="322" t="s">
        <v>34</v>
      </c>
      <c r="D1347" s="323" t="s">
        <v>1537</v>
      </c>
      <c r="E1347" s="132" t="s">
        <v>26</v>
      </c>
      <c r="F1347" s="97" t="str">
        <f ca="1">IF(OR(Market_Data[[#This Row],[Start Date]]="",Market_Data[[#This Row],[Completion Date]]=""),"Needs Validation",IF(Market_Data[[#This Row],[Start Date]]&gt;TODAY(),"Planned",IF(Market_Data[[#This Row],[Completion Date]]&lt;TODAY(),"Completed","Ongoing")))</f>
        <v>Ongoing</v>
      </c>
      <c r="G1347" s="324">
        <v>45352</v>
      </c>
      <c r="H1347" s="324">
        <v>46387</v>
      </c>
      <c r="I1347" s="325">
        <v>13200</v>
      </c>
      <c r="J134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47" s="133">
        <f>_xlfn.XLOOKUP(Market_Data[[#This Row],[Project Type]],tbl_assumptions_market[Project Category (RERA)],tbl_assumptions_market[Concrete Intensity
(m³ / sq m BUA)],"",0)</f>
        <v>0.18</v>
      </c>
      <c r="L1347" s="134">
        <f>ROUND(Market_Data[[#This Row],[Estimated Built Up Area (sq m)]]*Market_Data[[#This Row],[Concrete Intensity
(m³ / sq m)]],0)</f>
        <v>2376</v>
      </c>
      <c r="M1347" s="135">
        <f>_xlfn.XLOOKUP(Market_Data[[#This Row],[District]],tbl_district_price[District],tbl_district_price[Standard Price
(INR/m³)],"",0)</f>
        <v>6200</v>
      </c>
      <c r="N1347" s="364">
        <f>IF(OR(Market_Data[[#This Row],[Estimated Concrete Demand (m³)]]="",Market_Data[[#This Row],[Avg Price per (₹ / m³)]]=""),"",Market_Data[[#This Row],[Estimated Concrete Demand (m³)]]*Market_Data[[#This Row],[Avg Price per (₹ / m³)]]/10000000)</f>
        <v>1.47312</v>
      </c>
      <c r="O1347" s="97" t="str">
        <f>IF(Market_Data[[#This Row],[Estimated Concrete Demand (m³)]]="","",
IF(Market_Data[[#This Row],[Estimated Concrete Demand (m³)]]&lt;10000,"Small",
IF(Market_Data[[#This Row],[Estimated Concrete Demand (m³)]]&lt;25000,"Medium",
IF(Market_Data[[#This Row],[Estimated Concrete Demand (m³)]]&lt;100000,"Large","Mega"))))</f>
        <v>Small</v>
      </c>
      <c r="P1347" s="287" t="str">
        <f t="shared" si="22"/>
        <v>GujRERA</v>
      </c>
    </row>
    <row r="1348" spans="1:16">
      <c r="A1348" s="129" t="str">
        <f>_xlfn.XLOOKUP(B1348,$S$9:$S$14,$T$9:$T$14)&amp;"-"&amp;
IF(E1348="Residential/Group Housing","RES",
IF(E1348="Commercial","COM",
IF(E1348="Mixed Development","MIX",
IF(E1348="Plotted Development","PLT","OTH"))))
&amp;"-"&amp;TEXT(COUNTIFS($B$9:B1348,B1348,$E$9:E1348,E1348),"0000")</f>
        <v>SUR-MIX-0189</v>
      </c>
      <c r="B1348" s="322" t="s">
        <v>34</v>
      </c>
      <c r="C1348" s="322" t="s">
        <v>34</v>
      </c>
      <c r="D1348" s="323" t="s">
        <v>1538</v>
      </c>
      <c r="E1348" s="132" t="s">
        <v>25</v>
      </c>
      <c r="F1348" s="97" t="str">
        <f ca="1">IF(OR(Market_Data[[#This Row],[Start Date]]="",Market_Data[[#This Row],[Completion Date]]=""),"Needs Validation",IF(Market_Data[[#This Row],[Start Date]]&gt;TODAY(),"Planned",IF(Market_Data[[#This Row],[Completion Date]]&lt;TODAY(),"Completed","Ongoing")))</f>
        <v>Completed</v>
      </c>
      <c r="G1348" s="324">
        <v>42644</v>
      </c>
      <c r="H1348" s="324">
        <v>43738</v>
      </c>
      <c r="I1348" s="325">
        <v>39000</v>
      </c>
      <c r="J134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48" s="133">
        <f>_xlfn.XLOOKUP(Market_Data[[#This Row],[Project Type]],tbl_assumptions_market[Project Category (RERA)],tbl_assumptions_market[Concrete Intensity
(m³ / sq m BUA)],"",0)</f>
        <v>0.42</v>
      </c>
      <c r="L1348" s="134">
        <f>ROUND(Market_Data[[#This Row],[Estimated Built Up Area (sq m)]]*Market_Data[[#This Row],[Concrete Intensity
(m³ / sq m)]],0)</f>
        <v>16380</v>
      </c>
      <c r="M1348" s="135">
        <f>_xlfn.XLOOKUP(Market_Data[[#This Row],[District]],tbl_district_price[District],tbl_district_price[Standard Price
(INR/m³)],"",0)</f>
        <v>6200</v>
      </c>
      <c r="N1348" s="364">
        <f>IF(OR(Market_Data[[#This Row],[Estimated Concrete Demand (m³)]]="",Market_Data[[#This Row],[Avg Price per (₹ / m³)]]=""),"",Market_Data[[#This Row],[Estimated Concrete Demand (m³)]]*Market_Data[[#This Row],[Avg Price per (₹ / m³)]]/10000000)</f>
        <v>10.1556</v>
      </c>
      <c r="O1348" s="97" t="str">
        <f>IF(Market_Data[[#This Row],[Estimated Concrete Demand (m³)]]="","",
IF(Market_Data[[#This Row],[Estimated Concrete Demand (m³)]]&lt;10000,"Small",
IF(Market_Data[[#This Row],[Estimated Concrete Demand (m³)]]&lt;25000,"Medium",
IF(Market_Data[[#This Row],[Estimated Concrete Demand (m³)]]&lt;100000,"Large","Mega"))))</f>
        <v>Medium</v>
      </c>
      <c r="P1348" s="287" t="str">
        <f t="shared" si="22"/>
        <v>GujRERA</v>
      </c>
    </row>
    <row r="1349" spans="1:16">
      <c r="A1349" s="129" t="str">
        <f>_xlfn.XLOOKUP(B1349,$S$9:$S$14,$T$9:$T$14)&amp;"-"&amp;
IF(E1349="Residential/Group Housing","RES",
IF(E1349="Commercial","COM",
IF(E1349="Mixed Development","MIX",
IF(E1349="Plotted Development","PLT","OTH"))))
&amp;"-"&amp;TEXT(COUNTIFS($B$9:B1349,B1349,$E$9:E1349,E1349),"0000")</f>
        <v>SUR-RES-0386</v>
      </c>
      <c r="B1349" s="322" t="s">
        <v>34</v>
      </c>
      <c r="C1349" s="322" t="s">
        <v>34</v>
      </c>
      <c r="D1349" s="323" t="s">
        <v>1539</v>
      </c>
      <c r="E1349" s="132" t="s">
        <v>24</v>
      </c>
      <c r="F1349" s="97" t="str">
        <f ca="1">IF(OR(Market_Data[[#This Row],[Start Date]]="",Market_Data[[#This Row],[Completion Date]]=""),"Needs Validation",IF(Market_Data[[#This Row],[Start Date]]&gt;TODAY(),"Planned",IF(Market_Data[[#This Row],[Completion Date]]&lt;TODAY(),"Completed","Ongoing")))</f>
        <v>Completed</v>
      </c>
      <c r="G1349" s="324">
        <v>43221</v>
      </c>
      <c r="H1349" s="324">
        <v>45107</v>
      </c>
      <c r="I1349" s="325">
        <v>40000</v>
      </c>
      <c r="J134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49" s="133">
        <f>_xlfn.XLOOKUP(Market_Data[[#This Row],[Project Type]],tbl_assumptions_market[Project Category (RERA)],tbl_assumptions_market[Concrete Intensity
(m³ / sq m BUA)],"",0)</f>
        <v>0.45</v>
      </c>
      <c r="L1349" s="134">
        <f>ROUND(Market_Data[[#This Row],[Estimated Built Up Area (sq m)]]*Market_Data[[#This Row],[Concrete Intensity
(m³ / sq m)]],0)</f>
        <v>18000</v>
      </c>
      <c r="M1349" s="135">
        <f>_xlfn.XLOOKUP(Market_Data[[#This Row],[District]],tbl_district_price[District],tbl_district_price[Standard Price
(INR/m³)],"",0)</f>
        <v>6200</v>
      </c>
      <c r="N1349" s="364">
        <f>IF(OR(Market_Data[[#This Row],[Estimated Concrete Demand (m³)]]="",Market_Data[[#This Row],[Avg Price per (₹ / m³)]]=""),"",Market_Data[[#This Row],[Estimated Concrete Demand (m³)]]*Market_Data[[#This Row],[Avg Price per (₹ / m³)]]/10000000)</f>
        <v>11.16</v>
      </c>
      <c r="O1349" s="97" t="str">
        <f>IF(Market_Data[[#This Row],[Estimated Concrete Demand (m³)]]="","",
IF(Market_Data[[#This Row],[Estimated Concrete Demand (m³)]]&lt;10000,"Small",
IF(Market_Data[[#This Row],[Estimated Concrete Demand (m³)]]&lt;25000,"Medium",
IF(Market_Data[[#This Row],[Estimated Concrete Demand (m³)]]&lt;100000,"Large","Mega"))))</f>
        <v>Medium</v>
      </c>
      <c r="P1349" s="287" t="str">
        <f t="shared" si="22"/>
        <v>GujRERA</v>
      </c>
    </row>
    <row r="1350" spans="1:16">
      <c r="A1350" s="129" t="str">
        <f>_xlfn.XLOOKUP(B1350,$S$9:$S$14,$T$9:$T$14)&amp;"-"&amp;
IF(E1350="Residential/Group Housing","RES",
IF(E1350="Commercial","COM",
IF(E1350="Mixed Development","MIX",
IF(E1350="Plotted Development","PLT","OTH"))))
&amp;"-"&amp;TEXT(COUNTIFS($B$9:B1350,B1350,$E$9:E1350,E1350),"0000")</f>
        <v>SUR-MIX-0190</v>
      </c>
      <c r="B1350" s="322" t="s">
        <v>34</v>
      </c>
      <c r="C1350" s="322" t="s">
        <v>34</v>
      </c>
      <c r="D1350" s="323" t="s">
        <v>1540</v>
      </c>
      <c r="E1350" s="132" t="s">
        <v>25</v>
      </c>
      <c r="F1350" s="97" t="str">
        <f ca="1">IF(OR(Market_Data[[#This Row],[Start Date]]="",Market_Data[[#This Row],[Completion Date]]=""),"Needs Validation",IF(Market_Data[[#This Row],[Start Date]]&gt;TODAY(),"Planned",IF(Market_Data[[#This Row],[Completion Date]]&lt;TODAY(),"Completed","Ongoing")))</f>
        <v>Completed</v>
      </c>
      <c r="G1350" s="324">
        <v>44273</v>
      </c>
      <c r="H1350" s="324">
        <v>46022</v>
      </c>
      <c r="I1350" s="325">
        <v>43400</v>
      </c>
      <c r="J135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50" s="133">
        <f>_xlfn.XLOOKUP(Market_Data[[#This Row],[Project Type]],tbl_assumptions_market[Project Category (RERA)],tbl_assumptions_market[Concrete Intensity
(m³ / sq m BUA)],"",0)</f>
        <v>0.42</v>
      </c>
      <c r="L1350" s="134">
        <f>ROUND(Market_Data[[#This Row],[Estimated Built Up Area (sq m)]]*Market_Data[[#This Row],[Concrete Intensity
(m³ / sq m)]],0)</f>
        <v>18228</v>
      </c>
      <c r="M1350" s="135">
        <f>_xlfn.XLOOKUP(Market_Data[[#This Row],[District]],tbl_district_price[District],tbl_district_price[Standard Price
(INR/m³)],"",0)</f>
        <v>6200</v>
      </c>
      <c r="N1350" s="364">
        <f>IF(OR(Market_Data[[#This Row],[Estimated Concrete Demand (m³)]]="",Market_Data[[#This Row],[Avg Price per (₹ / m³)]]=""),"",Market_Data[[#This Row],[Estimated Concrete Demand (m³)]]*Market_Data[[#This Row],[Avg Price per (₹ / m³)]]/10000000)</f>
        <v>11.301360000000001</v>
      </c>
      <c r="O1350" s="97" t="str">
        <f>IF(Market_Data[[#This Row],[Estimated Concrete Demand (m³)]]="","",
IF(Market_Data[[#This Row],[Estimated Concrete Demand (m³)]]&lt;10000,"Small",
IF(Market_Data[[#This Row],[Estimated Concrete Demand (m³)]]&lt;25000,"Medium",
IF(Market_Data[[#This Row],[Estimated Concrete Demand (m³)]]&lt;100000,"Large","Mega"))))</f>
        <v>Medium</v>
      </c>
      <c r="P1350" s="287" t="str">
        <f t="shared" si="22"/>
        <v>GujRERA</v>
      </c>
    </row>
    <row r="1351" spans="1:16">
      <c r="A1351" s="129" t="str">
        <f>_xlfn.XLOOKUP(B1351,$S$9:$S$14,$T$9:$T$14)&amp;"-"&amp;
IF(E1351="Residential/Group Housing","RES",
IF(E1351="Commercial","COM",
IF(E1351="Mixed Development","MIX",
IF(E1351="Plotted Development","PLT","OTH"))))
&amp;"-"&amp;TEXT(COUNTIFS($B$9:B1351,B1351,$E$9:E1351,E1351),"0000")</f>
        <v>SUR-RES-0387</v>
      </c>
      <c r="B1351" s="322" t="s">
        <v>34</v>
      </c>
      <c r="C1351" s="322" t="s">
        <v>34</v>
      </c>
      <c r="D1351" s="323" t="s">
        <v>1541</v>
      </c>
      <c r="E1351" s="132" t="s">
        <v>24</v>
      </c>
      <c r="F1351" s="97" t="str">
        <f ca="1">IF(OR(Market_Data[[#This Row],[Start Date]]="",Market_Data[[#This Row],[Completion Date]]=""),"Needs Validation",IF(Market_Data[[#This Row],[Start Date]]&gt;TODAY(),"Planned",IF(Market_Data[[#This Row],[Completion Date]]&lt;TODAY(),"Completed","Ongoing")))</f>
        <v>Ongoing</v>
      </c>
      <c r="G1351" s="324">
        <v>44747</v>
      </c>
      <c r="H1351" s="324">
        <v>47483</v>
      </c>
      <c r="I1351" s="325">
        <v>35100</v>
      </c>
      <c r="J135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51" s="133">
        <f>_xlfn.XLOOKUP(Market_Data[[#This Row],[Project Type]],tbl_assumptions_market[Project Category (RERA)],tbl_assumptions_market[Concrete Intensity
(m³ / sq m BUA)],"",0)</f>
        <v>0.45</v>
      </c>
      <c r="L1351" s="134">
        <f>ROUND(Market_Data[[#This Row],[Estimated Built Up Area (sq m)]]*Market_Data[[#This Row],[Concrete Intensity
(m³ / sq m)]],0)</f>
        <v>15795</v>
      </c>
      <c r="M1351" s="135">
        <f>_xlfn.XLOOKUP(Market_Data[[#This Row],[District]],tbl_district_price[District],tbl_district_price[Standard Price
(INR/m³)],"",0)</f>
        <v>6200</v>
      </c>
      <c r="N1351" s="364">
        <f>IF(OR(Market_Data[[#This Row],[Estimated Concrete Demand (m³)]]="",Market_Data[[#This Row],[Avg Price per (₹ / m³)]]=""),"",Market_Data[[#This Row],[Estimated Concrete Demand (m³)]]*Market_Data[[#This Row],[Avg Price per (₹ / m³)]]/10000000)</f>
        <v>9.7928999999999995</v>
      </c>
      <c r="O1351" s="97" t="str">
        <f>IF(Market_Data[[#This Row],[Estimated Concrete Demand (m³)]]="","",
IF(Market_Data[[#This Row],[Estimated Concrete Demand (m³)]]&lt;10000,"Small",
IF(Market_Data[[#This Row],[Estimated Concrete Demand (m³)]]&lt;25000,"Medium",
IF(Market_Data[[#This Row],[Estimated Concrete Demand (m³)]]&lt;100000,"Large","Mega"))))</f>
        <v>Medium</v>
      </c>
      <c r="P1351" s="287" t="str">
        <f t="shared" si="22"/>
        <v>GujRERA</v>
      </c>
    </row>
    <row r="1352" spans="1:16">
      <c r="A1352" s="129" t="str">
        <f>_xlfn.XLOOKUP(B1352,$S$9:$S$14,$T$9:$T$14)&amp;"-"&amp;
IF(E1352="Residential/Group Housing","RES",
IF(E1352="Commercial","COM",
IF(E1352="Mixed Development","MIX",
IF(E1352="Plotted Development","PLT","OTH"))))
&amp;"-"&amp;TEXT(COUNTIFS($B$9:B1352,B1352,$E$9:E1352,E1352),"0000")</f>
        <v>SUR-PLT-0254</v>
      </c>
      <c r="B1352" s="322" t="s">
        <v>34</v>
      </c>
      <c r="C1352" s="322" t="s">
        <v>34</v>
      </c>
      <c r="D1352" s="323" t="s">
        <v>1542</v>
      </c>
      <c r="E1352" s="132" t="s">
        <v>26</v>
      </c>
      <c r="F1352" s="97" t="str">
        <f ca="1">IF(OR(Market_Data[[#This Row],[Start Date]]="",Market_Data[[#This Row],[Completion Date]]=""),"Needs Validation",IF(Market_Data[[#This Row],[Start Date]]&gt;TODAY(),"Planned",IF(Market_Data[[#This Row],[Completion Date]]&lt;TODAY(),"Completed","Ongoing")))</f>
        <v>Ongoing</v>
      </c>
      <c r="G1352" s="324">
        <v>44781</v>
      </c>
      <c r="H1352" s="324">
        <v>46387</v>
      </c>
      <c r="I1352" s="325">
        <v>47200</v>
      </c>
      <c r="J135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352" s="133">
        <f>_xlfn.XLOOKUP(Market_Data[[#This Row],[Project Type]],tbl_assumptions_market[Project Category (RERA)],tbl_assumptions_market[Concrete Intensity
(m³ / sq m BUA)],"",0)</f>
        <v>0.18</v>
      </c>
      <c r="L1352" s="134">
        <f>ROUND(Market_Data[[#This Row],[Estimated Built Up Area (sq m)]]*Market_Data[[#This Row],[Concrete Intensity
(m³ / sq m)]],0)</f>
        <v>8496</v>
      </c>
      <c r="M1352" s="135">
        <f>_xlfn.XLOOKUP(Market_Data[[#This Row],[District]],tbl_district_price[District],tbl_district_price[Standard Price
(INR/m³)],"",0)</f>
        <v>6200</v>
      </c>
      <c r="N1352" s="364">
        <f>IF(OR(Market_Data[[#This Row],[Estimated Concrete Demand (m³)]]="",Market_Data[[#This Row],[Avg Price per (₹ / m³)]]=""),"",Market_Data[[#This Row],[Estimated Concrete Demand (m³)]]*Market_Data[[#This Row],[Avg Price per (₹ / m³)]]/10000000)</f>
        <v>5.2675200000000002</v>
      </c>
      <c r="O1352" s="97" t="str">
        <f>IF(Market_Data[[#This Row],[Estimated Concrete Demand (m³)]]="","",
IF(Market_Data[[#This Row],[Estimated Concrete Demand (m³)]]&lt;10000,"Small",
IF(Market_Data[[#This Row],[Estimated Concrete Demand (m³)]]&lt;25000,"Medium",
IF(Market_Data[[#This Row],[Estimated Concrete Demand (m³)]]&lt;100000,"Large","Mega"))))</f>
        <v>Small</v>
      </c>
      <c r="P1352" s="287" t="str">
        <f t="shared" si="22"/>
        <v>GujRERA</v>
      </c>
    </row>
    <row r="1353" spans="1:16">
      <c r="A1353" s="129" t="str">
        <f>_xlfn.XLOOKUP(B1353,$S$9:$S$14,$T$9:$T$14)&amp;"-"&amp;
IF(E1353="Residential/Group Housing","RES",
IF(E1353="Commercial","COM",
IF(E1353="Mixed Development","MIX",
IF(E1353="Plotted Development","PLT","OTH"))))
&amp;"-"&amp;TEXT(COUNTIFS($B$9:B1353,B1353,$E$9:E1353,E1353),"0000")</f>
        <v>SUR-RES-0388</v>
      </c>
      <c r="B1353" s="322" t="s">
        <v>34</v>
      </c>
      <c r="C1353" s="322" t="s">
        <v>34</v>
      </c>
      <c r="D1353" s="323" t="s">
        <v>1543</v>
      </c>
      <c r="E1353" s="132" t="s">
        <v>24</v>
      </c>
      <c r="F1353" s="97" t="str">
        <f ca="1">IF(OR(Market_Data[[#This Row],[Start Date]]="",Market_Data[[#This Row],[Completion Date]]=""),"Needs Validation",IF(Market_Data[[#This Row],[Start Date]]&gt;TODAY(),"Planned",IF(Market_Data[[#This Row],[Completion Date]]&lt;TODAY(),"Completed","Ongoing")))</f>
        <v>Ongoing</v>
      </c>
      <c r="G1353" s="324">
        <v>44530</v>
      </c>
      <c r="H1353" s="324">
        <v>47483</v>
      </c>
      <c r="I1353" s="325">
        <v>24500</v>
      </c>
      <c r="J135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53" s="133">
        <f>_xlfn.XLOOKUP(Market_Data[[#This Row],[Project Type]],tbl_assumptions_market[Project Category (RERA)],tbl_assumptions_market[Concrete Intensity
(m³ / sq m BUA)],"",0)</f>
        <v>0.45</v>
      </c>
      <c r="L1353" s="134">
        <f>ROUND(Market_Data[[#This Row],[Estimated Built Up Area (sq m)]]*Market_Data[[#This Row],[Concrete Intensity
(m³ / sq m)]],0)</f>
        <v>11025</v>
      </c>
      <c r="M1353" s="135">
        <f>_xlfn.XLOOKUP(Market_Data[[#This Row],[District]],tbl_district_price[District],tbl_district_price[Standard Price
(INR/m³)],"",0)</f>
        <v>6200</v>
      </c>
      <c r="N1353" s="364">
        <f>IF(OR(Market_Data[[#This Row],[Estimated Concrete Demand (m³)]]="",Market_Data[[#This Row],[Avg Price per (₹ / m³)]]=""),"",Market_Data[[#This Row],[Estimated Concrete Demand (m³)]]*Market_Data[[#This Row],[Avg Price per (₹ / m³)]]/10000000)</f>
        <v>6.8354999999999997</v>
      </c>
      <c r="O1353" s="97" t="str">
        <f>IF(Market_Data[[#This Row],[Estimated Concrete Demand (m³)]]="","",
IF(Market_Data[[#This Row],[Estimated Concrete Demand (m³)]]&lt;10000,"Small",
IF(Market_Data[[#This Row],[Estimated Concrete Demand (m³)]]&lt;25000,"Medium",
IF(Market_Data[[#This Row],[Estimated Concrete Demand (m³)]]&lt;100000,"Large","Mega"))))</f>
        <v>Medium</v>
      </c>
      <c r="P1353" s="287" t="str">
        <f t="shared" si="22"/>
        <v>GujRERA</v>
      </c>
    </row>
    <row r="1354" spans="1:16">
      <c r="A1354" s="129" t="str">
        <f>_xlfn.XLOOKUP(B1354,$S$9:$S$14,$T$9:$T$14)&amp;"-"&amp;
IF(E1354="Residential/Group Housing","RES",
IF(E1354="Commercial","COM",
IF(E1354="Mixed Development","MIX",
IF(E1354="Plotted Development","PLT","OTH"))))
&amp;"-"&amp;TEXT(COUNTIFS($B$9:B1354,B1354,$E$9:E1354,E1354),"0000")</f>
        <v>SUR-COM-0204</v>
      </c>
      <c r="B1354" s="322" t="s">
        <v>34</v>
      </c>
      <c r="C1354" s="322" t="s">
        <v>34</v>
      </c>
      <c r="D1354" s="323" t="s">
        <v>1544</v>
      </c>
      <c r="E1354" s="132" t="s">
        <v>23</v>
      </c>
      <c r="F1354" s="97" t="str">
        <f ca="1">IF(OR(Market_Data[[#This Row],[Start Date]]="",Market_Data[[#This Row],[Completion Date]]=""),"Needs Validation",IF(Market_Data[[#This Row],[Start Date]]&gt;TODAY(),"Planned",IF(Market_Data[[#This Row],[Completion Date]]&lt;TODAY(),"Completed","Ongoing")))</f>
        <v>Ongoing</v>
      </c>
      <c r="G1354" s="324">
        <v>45748</v>
      </c>
      <c r="H1354" s="324">
        <v>47938</v>
      </c>
      <c r="I1354" s="325">
        <v>12100</v>
      </c>
      <c r="J135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54" s="133">
        <f>_xlfn.XLOOKUP(Market_Data[[#This Row],[Project Type]],tbl_assumptions_market[Project Category (RERA)],tbl_assumptions_market[Concrete Intensity
(m³ / sq m BUA)],"",0)</f>
        <v>0.5</v>
      </c>
      <c r="L1354" s="134">
        <f>ROUND(Market_Data[[#This Row],[Estimated Built Up Area (sq m)]]*Market_Data[[#This Row],[Concrete Intensity
(m³ / sq m)]],0)</f>
        <v>6050</v>
      </c>
      <c r="M1354" s="135">
        <f>_xlfn.XLOOKUP(Market_Data[[#This Row],[District]],tbl_district_price[District],tbl_district_price[Standard Price
(INR/m³)],"",0)</f>
        <v>6200</v>
      </c>
      <c r="N1354" s="364">
        <f>IF(OR(Market_Data[[#This Row],[Estimated Concrete Demand (m³)]]="",Market_Data[[#This Row],[Avg Price per (₹ / m³)]]=""),"",Market_Data[[#This Row],[Estimated Concrete Demand (m³)]]*Market_Data[[#This Row],[Avg Price per (₹ / m³)]]/10000000)</f>
        <v>3.7509999999999999</v>
      </c>
      <c r="O1354" s="97" t="str">
        <f>IF(Market_Data[[#This Row],[Estimated Concrete Demand (m³)]]="","",
IF(Market_Data[[#This Row],[Estimated Concrete Demand (m³)]]&lt;10000,"Small",
IF(Market_Data[[#This Row],[Estimated Concrete Demand (m³)]]&lt;25000,"Medium",
IF(Market_Data[[#This Row],[Estimated Concrete Demand (m³)]]&lt;100000,"Large","Mega"))))</f>
        <v>Small</v>
      </c>
      <c r="P1354" s="287" t="str">
        <f t="shared" ref="P1354:P1417" si="23">HYPERLINK(
"https://gujrera.gujarat.gov.in",
"GujRERA")</f>
        <v>GujRERA</v>
      </c>
    </row>
    <row r="1355" spans="1:16">
      <c r="A1355" s="129" t="str">
        <f>_xlfn.XLOOKUP(B1355,$S$9:$S$14,$T$9:$T$14)&amp;"-"&amp;
IF(E1355="Residential/Group Housing","RES",
IF(E1355="Commercial","COM",
IF(E1355="Mixed Development","MIX",
IF(E1355="Plotted Development","PLT","OTH"))))
&amp;"-"&amp;TEXT(COUNTIFS($B$9:B1355,B1355,$E$9:E1355,E1355),"0000")</f>
        <v>SUR-MIX-0191</v>
      </c>
      <c r="B1355" s="322" t="s">
        <v>34</v>
      </c>
      <c r="C1355" s="322" t="s">
        <v>34</v>
      </c>
      <c r="D1355" s="323" t="s">
        <v>1545</v>
      </c>
      <c r="E1355" s="132" t="s">
        <v>25</v>
      </c>
      <c r="F1355" s="97" t="str">
        <f ca="1">IF(OR(Market_Data[[#This Row],[Start Date]]="",Market_Data[[#This Row],[Completion Date]]=""),"Needs Validation",IF(Market_Data[[#This Row],[Start Date]]&gt;TODAY(),"Planned",IF(Market_Data[[#This Row],[Completion Date]]&lt;TODAY(),"Completed","Ongoing")))</f>
        <v>Ongoing</v>
      </c>
      <c r="G1355" s="324">
        <v>45079</v>
      </c>
      <c r="H1355" s="324">
        <v>46752</v>
      </c>
      <c r="I1355" s="325">
        <v>50500</v>
      </c>
      <c r="J135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55" s="133">
        <f>_xlfn.XLOOKUP(Market_Data[[#This Row],[Project Type]],tbl_assumptions_market[Project Category (RERA)],tbl_assumptions_market[Concrete Intensity
(m³ / sq m BUA)],"",0)</f>
        <v>0.42</v>
      </c>
      <c r="L1355" s="134">
        <f>ROUND(Market_Data[[#This Row],[Estimated Built Up Area (sq m)]]*Market_Data[[#This Row],[Concrete Intensity
(m³ / sq m)]],0)</f>
        <v>21210</v>
      </c>
      <c r="M1355" s="135">
        <f>_xlfn.XLOOKUP(Market_Data[[#This Row],[District]],tbl_district_price[District],tbl_district_price[Standard Price
(INR/m³)],"",0)</f>
        <v>6200</v>
      </c>
      <c r="N1355" s="364">
        <f>IF(OR(Market_Data[[#This Row],[Estimated Concrete Demand (m³)]]="",Market_Data[[#This Row],[Avg Price per (₹ / m³)]]=""),"",Market_Data[[#This Row],[Estimated Concrete Demand (m³)]]*Market_Data[[#This Row],[Avg Price per (₹ / m³)]]/10000000)</f>
        <v>13.1502</v>
      </c>
      <c r="O1355" s="97" t="str">
        <f>IF(Market_Data[[#This Row],[Estimated Concrete Demand (m³)]]="","",
IF(Market_Data[[#This Row],[Estimated Concrete Demand (m³)]]&lt;10000,"Small",
IF(Market_Data[[#This Row],[Estimated Concrete Demand (m³)]]&lt;25000,"Medium",
IF(Market_Data[[#This Row],[Estimated Concrete Demand (m³)]]&lt;100000,"Large","Mega"))))</f>
        <v>Medium</v>
      </c>
      <c r="P1355" s="287" t="str">
        <f t="shared" si="23"/>
        <v>GujRERA</v>
      </c>
    </row>
    <row r="1356" spans="1:16">
      <c r="A1356" s="129" t="str">
        <f>_xlfn.XLOOKUP(B1356,$S$9:$S$14,$T$9:$T$14)&amp;"-"&amp;
IF(E1356="Residential/Group Housing","RES",
IF(E1356="Commercial","COM",
IF(E1356="Mixed Development","MIX",
IF(E1356="Plotted Development","PLT","OTH"))))
&amp;"-"&amp;TEXT(COUNTIFS($B$9:B1356,B1356,$E$9:E1356,E1356),"0000")</f>
        <v>SUR-RES-0389</v>
      </c>
      <c r="B1356" s="322" t="s">
        <v>34</v>
      </c>
      <c r="C1356" s="322" t="s">
        <v>34</v>
      </c>
      <c r="D1356" s="323" t="s">
        <v>1546</v>
      </c>
      <c r="E1356" s="132" t="s">
        <v>24</v>
      </c>
      <c r="F1356" s="97" t="str">
        <f ca="1">IF(OR(Market_Data[[#This Row],[Start Date]]="",Market_Data[[#This Row],[Completion Date]]=""),"Needs Validation",IF(Market_Data[[#This Row],[Start Date]]&gt;TODAY(),"Planned",IF(Market_Data[[#This Row],[Completion Date]]&lt;TODAY(),"Completed","Ongoing")))</f>
        <v>Completed</v>
      </c>
      <c r="G1356" s="324">
        <v>41825</v>
      </c>
      <c r="H1356" s="324">
        <v>44469</v>
      </c>
      <c r="I1356" s="325">
        <v>49300</v>
      </c>
      <c r="J135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56" s="133">
        <f>_xlfn.XLOOKUP(Market_Data[[#This Row],[Project Type]],tbl_assumptions_market[Project Category (RERA)],tbl_assumptions_market[Concrete Intensity
(m³ / sq m BUA)],"",0)</f>
        <v>0.45</v>
      </c>
      <c r="L1356" s="134">
        <f>ROUND(Market_Data[[#This Row],[Estimated Built Up Area (sq m)]]*Market_Data[[#This Row],[Concrete Intensity
(m³ / sq m)]],0)</f>
        <v>22185</v>
      </c>
      <c r="M1356" s="135">
        <f>_xlfn.XLOOKUP(Market_Data[[#This Row],[District]],tbl_district_price[District],tbl_district_price[Standard Price
(INR/m³)],"",0)</f>
        <v>6200</v>
      </c>
      <c r="N1356" s="364">
        <f>IF(OR(Market_Data[[#This Row],[Estimated Concrete Demand (m³)]]="",Market_Data[[#This Row],[Avg Price per (₹ / m³)]]=""),"",Market_Data[[#This Row],[Estimated Concrete Demand (m³)]]*Market_Data[[#This Row],[Avg Price per (₹ / m³)]]/10000000)</f>
        <v>13.7547</v>
      </c>
      <c r="O1356" s="97" t="str">
        <f>IF(Market_Data[[#This Row],[Estimated Concrete Demand (m³)]]="","",
IF(Market_Data[[#This Row],[Estimated Concrete Demand (m³)]]&lt;10000,"Small",
IF(Market_Data[[#This Row],[Estimated Concrete Demand (m³)]]&lt;25000,"Medium",
IF(Market_Data[[#This Row],[Estimated Concrete Demand (m³)]]&lt;100000,"Large","Mega"))))</f>
        <v>Medium</v>
      </c>
      <c r="P1356" s="287" t="str">
        <f t="shared" si="23"/>
        <v>GujRERA</v>
      </c>
    </row>
    <row r="1357" spans="1:16">
      <c r="A1357" s="129" t="str">
        <f>_xlfn.XLOOKUP(B1357,$S$9:$S$14,$T$9:$T$14)&amp;"-"&amp;
IF(E1357="Residential/Group Housing","RES",
IF(E1357="Commercial","COM",
IF(E1357="Mixed Development","MIX",
IF(E1357="Plotted Development","PLT","OTH"))))
&amp;"-"&amp;TEXT(COUNTIFS($B$9:B1357,B1357,$E$9:E1357,E1357),"0000")</f>
        <v>SUR-PLT-0255</v>
      </c>
      <c r="B1357" s="322" t="s">
        <v>34</v>
      </c>
      <c r="C1357" s="322" t="s">
        <v>34</v>
      </c>
      <c r="D1357" s="323" t="s">
        <v>1547</v>
      </c>
      <c r="E1357" s="132" t="s">
        <v>26</v>
      </c>
      <c r="F1357" s="97" t="str">
        <f ca="1">IF(OR(Market_Data[[#This Row],[Start Date]]="",Market_Data[[#This Row],[Completion Date]]=""),"Needs Validation",IF(Market_Data[[#This Row],[Start Date]]&gt;TODAY(),"Planned",IF(Market_Data[[#This Row],[Completion Date]]&lt;TODAY(),"Completed","Ongoing")))</f>
        <v>Ongoing</v>
      </c>
      <c r="G1357" s="324">
        <v>44256</v>
      </c>
      <c r="H1357" s="324">
        <v>46507</v>
      </c>
      <c r="I1357" s="325">
        <v>28900</v>
      </c>
      <c r="J135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57" s="133">
        <f>_xlfn.XLOOKUP(Market_Data[[#This Row],[Project Type]],tbl_assumptions_market[Project Category (RERA)],tbl_assumptions_market[Concrete Intensity
(m³ / sq m BUA)],"",0)</f>
        <v>0.18</v>
      </c>
      <c r="L1357" s="134">
        <f>ROUND(Market_Data[[#This Row],[Estimated Built Up Area (sq m)]]*Market_Data[[#This Row],[Concrete Intensity
(m³ / sq m)]],0)</f>
        <v>5202</v>
      </c>
      <c r="M1357" s="135">
        <f>_xlfn.XLOOKUP(Market_Data[[#This Row],[District]],tbl_district_price[District],tbl_district_price[Standard Price
(INR/m³)],"",0)</f>
        <v>6200</v>
      </c>
      <c r="N1357" s="364">
        <f>IF(OR(Market_Data[[#This Row],[Estimated Concrete Demand (m³)]]="",Market_Data[[#This Row],[Avg Price per (₹ / m³)]]=""),"",Market_Data[[#This Row],[Estimated Concrete Demand (m³)]]*Market_Data[[#This Row],[Avg Price per (₹ / m³)]]/10000000)</f>
        <v>3.2252399999999999</v>
      </c>
      <c r="O1357" s="97" t="str">
        <f>IF(Market_Data[[#This Row],[Estimated Concrete Demand (m³)]]="","",
IF(Market_Data[[#This Row],[Estimated Concrete Demand (m³)]]&lt;10000,"Small",
IF(Market_Data[[#This Row],[Estimated Concrete Demand (m³)]]&lt;25000,"Medium",
IF(Market_Data[[#This Row],[Estimated Concrete Demand (m³)]]&lt;100000,"Large","Mega"))))</f>
        <v>Small</v>
      </c>
      <c r="P1357" s="287" t="str">
        <f t="shared" si="23"/>
        <v>GujRERA</v>
      </c>
    </row>
    <row r="1358" spans="1:16">
      <c r="A1358" s="129" t="str">
        <f>_xlfn.XLOOKUP(B1358,$S$9:$S$14,$T$9:$T$14)&amp;"-"&amp;
IF(E1358="Residential/Group Housing","RES",
IF(E1358="Commercial","COM",
IF(E1358="Mixed Development","MIX",
IF(E1358="Plotted Development","PLT","OTH"))))
&amp;"-"&amp;TEXT(COUNTIFS($B$9:B1358,B1358,$E$9:E1358,E1358),"0000")</f>
        <v>SUR-RES-0390</v>
      </c>
      <c r="B1358" s="322" t="s">
        <v>34</v>
      </c>
      <c r="C1358" s="322" t="s">
        <v>34</v>
      </c>
      <c r="D1358" s="323" t="s">
        <v>1548</v>
      </c>
      <c r="E1358" s="132" t="s">
        <v>24</v>
      </c>
      <c r="F1358" s="97" t="str">
        <f ca="1">IF(OR(Market_Data[[#This Row],[Start Date]]="",Market_Data[[#This Row],[Completion Date]]=""),"Needs Validation",IF(Market_Data[[#This Row],[Start Date]]&gt;TODAY(),"Planned",IF(Market_Data[[#This Row],[Completion Date]]&lt;TODAY(),"Completed","Ongoing")))</f>
        <v>Completed</v>
      </c>
      <c r="G1358" s="324">
        <v>42538</v>
      </c>
      <c r="H1358" s="324">
        <v>43677</v>
      </c>
      <c r="I1358" s="325">
        <v>53900</v>
      </c>
      <c r="J135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58" s="133">
        <f>_xlfn.XLOOKUP(Market_Data[[#This Row],[Project Type]],tbl_assumptions_market[Project Category (RERA)],tbl_assumptions_market[Concrete Intensity
(m³ / sq m BUA)],"",0)</f>
        <v>0.45</v>
      </c>
      <c r="L1358" s="134">
        <f>ROUND(Market_Data[[#This Row],[Estimated Built Up Area (sq m)]]*Market_Data[[#This Row],[Concrete Intensity
(m³ / sq m)]],0)</f>
        <v>24255</v>
      </c>
      <c r="M1358" s="135">
        <f>_xlfn.XLOOKUP(Market_Data[[#This Row],[District]],tbl_district_price[District],tbl_district_price[Standard Price
(INR/m³)],"",0)</f>
        <v>6200</v>
      </c>
      <c r="N1358" s="364">
        <f>IF(OR(Market_Data[[#This Row],[Estimated Concrete Demand (m³)]]="",Market_Data[[#This Row],[Avg Price per (₹ / m³)]]=""),"",Market_Data[[#This Row],[Estimated Concrete Demand (m³)]]*Market_Data[[#This Row],[Avg Price per (₹ / m³)]]/10000000)</f>
        <v>15.0381</v>
      </c>
      <c r="O1358" s="97" t="str">
        <f>IF(Market_Data[[#This Row],[Estimated Concrete Demand (m³)]]="","",
IF(Market_Data[[#This Row],[Estimated Concrete Demand (m³)]]&lt;10000,"Small",
IF(Market_Data[[#This Row],[Estimated Concrete Demand (m³)]]&lt;25000,"Medium",
IF(Market_Data[[#This Row],[Estimated Concrete Demand (m³)]]&lt;100000,"Large","Mega"))))</f>
        <v>Medium</v>
      </c>
      <c r="P1358" s="287" t="str">
        <f t="shared" si="23"/>
        <v>GujRERA</v>
      </c>
    </row>
    <row r="1359" spans="1:16">
      <c r="A1359" s="129" t="str">
        <f>_xlfn.XLOOKUP(B1359,$S$9:$S$14,$T$9:$T$14)&amp;"-"&amp;
IF(E1359="Residential/Group Housing","RES",
IF(E1359="Commercial","COM",
IF(E1359="Mixed Development","MIX",
IF(E1359="Plotted Development","PLT","OTH"))))
&amp;"-"&amp;TEXT(COUNTIFS($B$9:B1359,B1359,$E$9:E1359,E1359),"0000")</f>
        <v>SUR-MIX-0192</v>
      </c>
      <c r="B1359" s="322" t="s">
        <v>34</v>
      </c>
      <c r="C1359" s="322" t="s">
        <v>34</v>
      </c>
      <c r="D1359" s="323" t="s">
        <v>1549</v>
      </c>
      <c r="E1359" s="132" t="s">
        <v>25</v>
      </c>
      <c r="F1359" s="97" t="str">
        <f ca="1">IF(OR(Market_Data[[#This Row],[Start Date]]="",Market_Data[[#This Row],[Completion Date]]=""),"Needs Validation",IF(Market_Data[[#This Row],[Start Date]]&gt;TODAY(),"Planned",IF(Market_Data[[#This Row],[Completion Date]]&lt;TODAY(),"Completed","Ongoing")))</f>
        <v>Completed</v>
      </c>
      <c r="G1359" s="324">
        <v>43466</v>
      </c>
      <c r="H1359" s="324">
        <v>45473</v>
      </c>
      <c r="I1359" s="325">
        <v>43500</v>
      </c>
      <c r="J135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59" s="133">
        <f>_xlfn.XLOOKUP(Market_Data[[#This Row],[Project Type]],tbl_assumptions_market[Project Category (RERA)],tbl_assumptions_market[Concrete Intensity
(m³ / sq m BUA)],"",0)</f>
        <v>0.42</v>
      </c>
      <c r="L1359" s="134">
        <f>ROUND(Market_Data[[#This Row],[Estimated Built Up Area (sq m)]]*Market_Data[[#This Row],[Concrete Intensity
(m³ / sq m)]],0)</f>
        <v>18270</v>
      </c>
      <c r="M1359" s="135">
        <f>_xlfn.XLOOKUP(Market_Data[[#This Row],[District]],tbl_district_price[District],tbl_district_price[Standard Price
(INR/m³)],"",0)</f>
        <v>6200</v>
      </c>
      <c r="N1359" s="364">
        <f>IF(OR(Market_Data[[#This Row],[Estimated Concrete Demand (m³)]]="",Market_Data[[#This Row],[Avg Price per (₹ / m³)]]=""),"",Market_Data[[#This Row],[Estimated Concrete Demand (m³)]]*Market_Data[[#This Row],[Avg Price per (₹ / m³)]]/10000000)</f>
        <v>11.327400000000001</v>
      </c>
      <c r="O1359" s="97" t="str">
        <f>IF(Market_Data[[#This Row],[Estimated Concrete Demand (m³)]]="","",
IF(Market_Data[[#This Row],[Estimated Concrete Demand (m³)]]&lt;10000,"Small",
IF(Market_Data[[#This Row],[Estimated Concrete Demand (m³)]]&lt;25000,"Medium",
IF(Market_Data[[#This Row],[Estimated Concrete Demand (m³)]]&lt;100000,"Large","Mega"))))</f>
        <v>Medium</v>
      </c>
      <c r="P1359" s="287" t="str">
        <f t="shared" si="23"/>
        <v>GujRERA</v>
      </c>
    </row>
    <row r="1360" spans="1:16">
      <c r="A1360" s="129" t="str">
        <f>_xlfn.XLOOKUP(B1360,$S$9:$S$14,$T$9:$T$14)&amp;"-"&amp;
IF(E1360="Residential/Group Housing","RES",
IF(E1360="Commercial","COM",
IF(E1360="Mixed Development","MIX",
IF(E1360="Plotted Development","PLT","OTH"))))
&amp;"-"&amp;TEXT(COUNTIFS($B$9:B1360,B1360,$E$9:E1360,E1360),"0000")</f>
        <v>SUR-PLT-0256</v>
      </c>
      <c r="B1360" s="322" t="s">
        <v>34</v>
      </c>
      <c r="C1360" s="322" t="s">
        <v>34</v>
      </c>
      <c r="D1360" s="323" t="s">
        <v>1550</v>
      </c>
      <c r="E1360" s="132" t="s">
        <v>26</v>
      </c>
      <c r="F1360" s="97" t="str">
        <f ca="1">IF(OR(Market_Data[[#This Row],[Start Date]]="",Market_Data[[#This Row],[Completion Date]]=""),"Needs Validation",IF(Market_Data[[#This Row],[Start Date]]&gt;TODAY(),"Planned",IF(Market_Data[[#This Row],[Completion Date]]&lt;TODAY(),"Completed","Ongoing")))</f>
        <v>Ongoing</v>
      </c>
      <c r="G1360" s="324">
        <v>45379</v>
      </c>
      <c r="H1360" s="324">
        <v>47118</v>
      </c>
      <c r="I1360" s="325">
        <v>53000</v>
      </c>
      <c r="J136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360" s="133">
        <f>_xlfn.XLOOKUP(Market_Data[[#This Row],[Project Type]],tbl_assumptions_market[Project Category (RERA)],tbl_assumptions_market[Concrete Intensity
(m³ / sq m BUA)],"",0)</f>
        <v>0.18</v>
      </c>
      <c r="L1360" s="134">
        <f>ROUND(Market_Data[[#This Row],[Estimated Built Up Area (sq m)]]*Market_Data[[#This Row],[Concrete Intensity
(m³ / sq m)]],0)</f>
        <v>9540</v>
      </c>
      <c r="M1360" s="135">
        <f>_xlfn.XLOOKUP(Market_Data[[#This Row],[District]],tbl_district_price[District],tbl_district_price[Standard Price
(INR/m³)],"",0)</f>
        <v>6200</v>
      </c>
      <c r="N1360" s="364">
        <f>IF(OR(Market_Data[[#This Row],[Estimated Concrete Demand (m³)]]="",Market_Data[[#This Row],[Avg Price per (₹ / m³)]]=""),"",Market_Data[[#This Row],[Estimated Concrete Demand (m³)]]*Market_Data[[#This Row],[Avg Price per (₹ / m³)]]/10000000)</f>
        <v>5.9147999999999996</v>
      </c>
      <c r="O1360" s="97" t="str">
        <f>IF(Market_Data[[#This Row],[Estimated Concrete Demand (m³)]]="","",
IF(Market_Data[[#This Row],[Estimated Concrete Demand (m³)]]&lt;10000,"Small",
IF(Market_Data[[#This Row],[Estimated Concrete Demand (m³)]]&lt;25000,"Medium",
IF(Market_Data[[#This Row],[Estimated Concrete Demand (m³)]]&lt;100000,"Large","Mega"))))</f>
        <v>Small</v>
      </c>
      <c r="P1360" s="287" t="str">
        <f t="shared" si="23"/>
        <v>GujRERA</v>
      </c>
    </row>
    <row r="1361" spans="1:16">
      <c r="A1361" s="129" t="str">
        <f>_xlfn.XLOOKUP(B1361,$S$9:$S$14,$T$9:$T$14)&amp;"-"&amp;
IF(E1361="Residential/Group Housing","RES",
IF(E1361="Commercial","COM",
IF(E1361="Mixed Development","MIX",
IF(E1361="Plotted Development","PLT","OTH"))))
&amp;"-"&amp;TEXT(COUNTIFS($B$9:B1361,B1361,$E$9:E1361,E1361),"0000")</f>
        <v>SUR-RES-0391</v>
      </c>
      <c r="B1361" s="322" t="s">
        <v>34</v>
      </c>
      <c r="C1361" s="322" t="s">
        <v>34</v>
      </c>
      <c r="D1361" s="323" t="s">
        <v>1551</v>
      </c>
      <c r="E1361" s="132" t="s">
        <v>24</v>
      </c>
      <c r="F1361" s="97" t="str">
        <f ca="1">IF(OR(Market_Data[[#This Row],[Start Date]]="",Market_Data[[#This Row],[Completion Date]]=""),"Needs Validation",IF(Market_Data[[#This Row],[Start Date]]&gt;TODAY(),"Planned",IF(Market_Data[[#This Row],[Completion Date]]&lt;TODAY(),"Completed","Ongoing")))</f>
        <v>Ongoing</v>
      </c>
      <c r="G1361" s="324">
        <v>45750</v>
      </c>
      <c r="H1361" s="324">
        <v>47848</v>
      </c>
      <c r="I1361" s="325">
        <v>49600</v>
      </c>
      <c r="J136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61" s="133">
        <f>_xlfn.XLOOKUP(Market_Data[[#This Row],[Project Type]],tbl_assumptions_market[Project Category (RERA)],tbl_assumptions_market[Concrete Intensity
(m³ / sq m BUA)],"",0)</f>
        <v>0.45</v>
      </c>
      <c r="L1361" s="134">
        <f>ROUND(Market_Data[[#This Row],[Estimated Built Up Area (sq m)]]*Market_Data[[#This Row],[Concrete Intensity
(m³ / sq m)]],0)</f>
        <v>22320</v>
      </c>
      <c r="M1361" s="135">
        <f>_xlfn.XLOOKUP(Market_Data[[#This Row],[District]],tbl_district_price[District],tbl_district_price[Standard Price
(INR/m³)],"",0)</f>
        <v>6200</v>
      </c>
      <c r="N1361" s="364">
        <f>IF(OR(Market_Data[[#This Row],[Estimated Concrete Demand (m³)]]="",Market_Data[[#This Row],[Avg Price per (₹ / m³)]]=""),"",Market_Data[[#This Row],[Estimated Concrete Demand (m³)]]*Market_Data[[#This Row],[Avg Price per (₹ / m³)]]/10000000)</f>
        <v>13.8384</v>
      </c>
      <c r="O1361" s="97" t="str">
        <f>IF(Market_Data[[#This Row],[Estimated Concrete Demand (m³)]]="","",
IF(Market_Data[[#This Row],[Estimated Concrete Demand (m³)]]&lt;10000,"Small",
IF(Market_Data[[#This Row],[Estimated Concrete Demand (m³)]]&lt;25000,"Medium",
IF(Market_Data[[#This Row],[Estimated Concrete Demand (m³)]]&lt;100000,"Large","Mega"))))</f>
        <v>Medium</v>
      </c>
      <c r="P1361" s="287" t="str">
        <f t="shared" si="23"/>
        <v>GujRERA</v>
      </c>
    </row>
    <row r="1362" spans="1:16">
      <c r="A1362" s="129" t="str">
        <f>_xlfn.XLOOKUP(B1362,$S$9:$S$14,$T$9:$T$14)&amp;"-"&amp;
IF(E1362="Residential/Group Housing","RES",
IF(E1362="Commercial","COM",
IF(E1362="Mixed Development","MIX",
IF(E1362="Plotted Development","PLT","OTH"))))
&amp;"-"&amp;TEXT(COUNTIFS($B$9:B1362,B1362,$E$9:E1362,E1362),"0000")</f>
        <v>SUR-RES-0392</v>
      </c>
      <c r="B1362" s="322" t="s">
        <v>34</v>
      </c>
      <c r="C1362" s="322" t="s">
        <v>34</v>
      </c>
      <c r="D1362" s="323" t="s">
        <v>1552</v>
      </c>
      <c r="E1362" s="132" t="s">
        <v>24</v>
      </c>
      <c r="F1362" s="97" t="str">
        <f ca="1">IF(OR(Market_Data[[#This Row],[Start Date]]="",Market_Data[[#This Row],[Completion Date]]=""),"Needs Validation",IF(Market_Data[[#This Row],[Start Date]]&gt;TODAY(),"Planned",IF(Market_Data[[#This Row],[Completion Date]]&lt;TODAY(),"Completed","Ongoing")))</f>
        <v>Completed</v>
      </c>
      <c r="G1362" s="324">
        <v>45037</v>
      </c>
      <c r="H1362" s="324">
        <v>46203</v>
      </c>
      <c r="I1362" s="325">
        <v>40100</v>
      </c>
      <c r="J136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62" s="133">
        <f>_xlfn.XLOOKUP(Market_Data[[#This Row],[Project Type]],tbl_assumptions_market[Project Category (RERA)],tbl_assumptions_market[Concrete Intensity
(m³ / sq m BUA)],"",0)</f>
        <v>0.45</v>
      </c>
      <c r="L1362" s="134">
        <f>ROUND(Market_Data[[#This Row],[Estimated Built Up Area (sq m)]]*Market_Data[[#This Row],[Concrete Intensity
(m³ / sq m)]],0)</f>
        <v>18045</v>
      </c>
      <c r="M1362" s="135">
        <f>_xlfn.XLOOKUP(Market_Data[[#This Row],[District]],tbl_district_price[District],tbl_district_price[Standard Price
(INR/m³)],"",0)</f>
        <v>6200</v>
      </c>
      <c r="N1362" s="364">
        <f>IF(OR(Market_Data[[#This Row],[Estimated Concrete Demand (m³)]]="",Market_Data[[#This Row],[Avg Price per (₹ / m³)]]=""),"",Market_Data[[#This Row],[Estimated Concrete Demand (m³)]]*Market_Data[[#This Row],[Avg Price per (₹ / m³)]]/10000000)</f>
        <v>11.187900000000001</v>
      </c>
      <c r="O1362" s="97" t="str">
        <f>IF(Market_Data[[#This Row],[Estimated Concrete Demand (m³)]]="","",
IF(Market_Data[[#This Row],[Estimated Concrete Demand (m³)]]&lt;10000,"Small",
IF(Market_Data[[#This Row],[Estimated Concrete Demand (m³)]]&lt;25000,"Medium",
IF(Market_Data[[#This Row],[Estimated Concrete Demand (m³)]]&lt;100000,"Large","Mega"))))</f>
        <v>Medium</v>
      </c>
      <c r="P1362" s="287" t="str">
        <f t="shared" si="23"/>
        <v>GujRERA</v>
      </c>
    </row>
    <row r="1363" spans="1:16">
      <c r="A1363" s="129" t="str">
        <f>_xlfn.XLOOKUP(B1363,$S$9:$S$14,$T$9:$T$14)&amp;"-"&amp;
IF(E1363="Residential/Group Housing","RES",
IF(E1363="Commercial","COM",
IF(E1363="Mixed Development","MIX",
IF(E1363="Plotted Development","PLT","OTH"))))
&amp;"-"&amp;TEXT(COUNTIFS($B$9:B1363,B1363,$E$9:E1363,E1363),"0000")</f>
        <v>SUR-COM-0205</v>
      </c>
      <c r="B1363" s="322" t="s">
        <v>34</v>
      </c>
      <c r="C1363" s="322" t="s">
        <v>34</v>
      </c>
      <c r="D1363" s="323" t="s">
        <v>1553</v>
      </c>
      <c r="E1363" s="132" t="s">
        <v>23</v>
      </c>
      <c r="F1363" s="97" t="str">
        <f ca="1">IF(OR(Market_Data[[#This Row],[Start Date]]="",Market_Data[[#This Row],[Completion Date]]=""),"Needs Validation",IF(Market_Data[[#This Row],[Start Date]]&gt;TODAY(),"Planned",IF(Market_Data[[#This Row],[Completion Date]]&lt;TODAY(),"Completed","Ongoing")))</f>
        <v>Completed</v>
      </c>
      <c r="G1363" s="324">
        <v>43507</v>
      </c>
      <c r="H1363" s="324">
        <v>44742</v>
      </c>
      <c r="I1363" s="325">
        <v>8200</v>
      </c>
      <c r="J136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63" s="133">
        <f>_xlfn.XLOOKUP(Market_Data[[#This Row],[Project Type]],tbl_assumptions_market[Project Category (RERA)],tbl_assumptions_market[Concrete Intensity
(m³ / sq m BUA)],"",0)</f>
        <v>0.5</v>
      </c>
      <c r="L1363" s="134">
        <f>ROUND(Market_Data[[#This Row],[Estimated Built Up Area (sq m)]]*Market_Data[[#This Row],[Concrete Intensity
(m³ / sq m)]],0)</f>
        <v>4100</v>
      </c>
      <c r="M1363" s="135">
        <f>_xlfn.XLOOKUP(Market_Data[[#This Row],[District]],tbl_district_price[District],tbl_district_price[Standard Price
(INR/m³)],"",0)</f>
        <v>6200</v>
      </c>
      <c r="N1363" s="364">
        <f>IF(OR(Market_Data[[#This Row],[Estimated Concrete Demand (m³)]]="",Market_Data[[#This Row],[Avg Price per (₹ / m³)]]=""),"",Market_Data[[#This Row],[Estimated Concrete Demand (m³)]]*Market_Data[[#This Row],[Avg Price per (₹ / m³)]]/10000000)</f>
        <v>2.5419999999999998</v>
      </c>
      <c r="O1363" s="97" t="str">
        <f>IF(Market_Data[[#This Row],[Estimated Concrete Demand (m³)]]="","",
IF(Market_Data[[#This Row],[Estimated Concrete Demand (m³)]]&lt;10000,"Small",
IF(Market_Data[[#This Row],[Estimated Concrete Demand (m³)]]&lt;25000,"Medium",
IF(Market_Data[[#This Row],[Estimated Concrete Demand (m³)]]&lt;100000,"Large","Mega"))))</f>
        <v>Small</v>
      </c>
      <c r="P1363" s="287" t="str">
        <f t="shared" si="23"/>
        <v>GujRERA</v>
      </c>
    </row>
    <row r="1364" spans="1:16">
      <c r="A1364" s="129" t="str">
        <f>_xlfn.XLOOKUP(B1364,$S$9:$S$14,$T$9:$T$14)&amp;"-"&amp;
IF(E1364="Residential/Group Housing","RES",
IF(E1364="Commercial","COM",
IF(E1364="Mixed Development","MIX",
IF(E1364="Plotted Development","PLT","OTH"))))
&amp;"-"&amp;TEXT(COUNTIFS($B$9:B1364,B1364,$E$9:E1364,E1364),"0000")</f>
        <v>SUR-PLT-0257</v>
      </c>
      <c r="B1364" s="322" t="s">
        <v>34</v>
      </c>
      <c r="C1364" s="322" t="s">
        <v>34</v>
      </c>
      <c r="D1364" s="323" t="s">
        <v>1554</v>
      </c>
      <c r="E1364" s="132" t="s">
        <v>26</v>
      </c>
      <c r="F1364" s="97" t="str">
        <f ca="1">IF(OR(Market_Data[[#This Row],[Start Date]]="",Market_Data[[#This Row],[Completion Date]]=""),"Needs Validation",IF(Market_Data[[#This Row],[Start Date]]&gt;TODAY(),"Planned",IF(Market_Data[[#This Row],[Completion Date]]&lt;TODAY(),"Completed","Ongoing")))</f>
        <v>Ongoing</v>
      </c>
      <c r="G1364" s="324">
        <v>45778</v>
      </c>
      <c r="H1364" s="324">
        <v>46691</v>
      </c>
      <c r="I1364" s="325">
        <v>6500</v>
      </c>
      <c r="J136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64" s="133">
        <f>_xlfn.XLOOKUP(Market_Data[[#This Row],[Project Type]],tbl_assumptions_market[Project Category (RERA)],tbl_assumptions_market[Concrete Intensity
(m³ / sq m BUA)],"",0)</f>
        <v>0.18</v>
      </c>
      <c r="L1364" s="134">
        <f>ROUND(Market_Data[[#This Row],[Estimated Built Up Area (sq m)]]*Market_Data[[#This Row],[Concrete Intensity
(m³ / sq m)]],0)</f>
        <v>1170</v>
      </c>
      <c r="M1364" s="135">
        <f>_xlfn.XLOOKUP(Market_Data[[#This Row],[District]],tbl_district_price[District],tbl_district_price[Standard Price
(INR/m³)],"",0)</f>
        <v>6200</v>
      </c>
      <c r="N1364" s="364">
        <f>IF(OR(Market_Data[[#This Row],[Estimated Concrete Demand (m³)]]="",Market_Data[[#This Row],[Avg Price per (₹ / m³)]]=""),"",Market_Data[[#This Row],[Estimated Concrete Demand (m³)]]*Market_Data[[#This Row],[Avg Price per (₹ / m³)]]/10000000)</f>
        <v>0.72540000000000004</v>
      </c>
      <c r="O1364" s="97" t="str">
        <f>IF(Market_Data[[#This Row],[Estimated Concrete Demand (m³)]]="","",
IF(Market_Data[[#This Row],[Estimated Concrete Demand (m³)]]&lt;10000,"Small",
IF(Market_Data[[#This Row],[Estimated Concrete Demand (m³)]]&lt;25000,"Medium",
IF(Market_Data[[#This Row],[Estimated Concrete Demand (m³)]]&lt;100000,"Large","Mega"))))</f>
        <v>Small</v>
      </c>
      <c r="P1364" s="287" t="str">
        <f t="shared" si="23"/>
        <v>GujRERA</v>
      </c>
    </row>
    <row r="1365" spans="1:16">
      <c r="A1365" s="129" t="str">
        <f>_xlfn.XLOOKUP(B1365,$S$9:$S$14,$T$9:$T$14)&amp;"-"&amp;
IF(E1365="Residential/Group Housing","RES",
IF(E1365="Commercial","COM",
IF(E1365="Mixed Development","MIX",
IF(E1365="Plotted Development","PLT","OTH"))))
&amp;"-"&amp;TEXT(COUNTIFS($B$9:B1365,B1365,$E$9:E1365,E1365),"0000")</f>
        <v>SUR-MIX-0193</v>
      </c>
      <c r="B1365" s="322" t="s">
        <v>34</v>
      </c>
      <c r="C1365" s="322" t="s">
        <v>34</v>
      </c>
      <c r="D1365" s="323" t="s">
        <v>1555</v>
      </c>
      <c r="E1365" s="132" t="s">
        <v>25</v>
      </c>
      <c r="F1365" s="97" t="str">
        <f ca="1">IF(OR(Market_Data[[#This Row],[Start Date]]="",Market_Data[[#This Row],[Completion Date]]=""),"Needs Validation",IF(Market_Data[[#This Row],[Start Date]]&gt;TODAY(),"Planned",IF(Market_Data[[#This Row],[Completion Date]]&lt;TODAY(),"Completed","Ongoing")))</f>
        <v>Ongoing</v>
      </c>
      <c r="G1365" s="324">
        <v>45383</v>
      </c>
      <c r="H1365" s="324">
        <v>47483</v>
      </c>
      <c r="I1365" s="325">
        <v>25400</v>
      </c>
      <c r="J136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65" s="133">
        <f>_xlfn.XLOOKUP(Market_Data[[#This Row],[Project Type]],tbl_assumptions_market[Project Category (RERA)],tbl_assumptions_market[Concrete Intensity
(m³ / sq m BUA)],"",0)</f>
        <v>0.42</v>
      </c>
      <c r="L1365" s="134">
        <f>ROUND(Market_Data[[#This Row],[Estimated Built Up Area (sq m)]]*Market_Data[[#This Row],[Concrete Intensity
(m³ / sq m)]],0)</f>
        <v>10668</v>
      </c>
      <c r="M1365" s="135">
        <f>_xlfn.XLOOKUP(Market_Data[[#This Row],[District]],tbl_district_price[District],tbl_district_price[Standard Price
(INR/m³)],"",0)</f>
        <v>6200</v>
      </c>
      <c r="N1365" s="364">
        <f>IF(OR(Market_Data[[#This Row],[Estimated Concrete Demand (m³)]]="",Market_Data[[#This Row],[Avg Price per (₹ / m³)]]=""),"",Market_Data[[#This Row],[Estimated Concrete Demand (m³)]]*Market_Data[[#This Row],[Avg Price per (₹ / m³)]]/10000000)</f>
        <v>6.61416</v>
      </c>
      <c r="O1365" s="97" t="str">
        <f>IF(Market_Data[[#This Row],[Estimated Concrete Demand (m³)]]="","",
IF(Market_Data[[#This Row],[Estimated Concrete Demand (m³)]]&lt;10000,"Small",
IF(Market_Data[[#This Row],[Estimated Concrete Demand (m³)]]&lt;25000,"Medium",
IF(Market_Data[[#This Row],[Estimated Concrete Demand (m³)]]&lt;100000,"Large","Mega"))))</f>
        <v>Medium</v>
      </c>
      <c r="P1365" s="287" t="str">
        <f t="shared" si="23"/>
        <v>GujRERA</v>
      </c>
    </row>
    <row r="1366" spans="1:16">
      <c r="A1366" s="129" t="str">
        <f>_xlfn.XLOOKUP(B1366,$S$9:$S$14,$T$9:$T$14)&amp;"-"&amp;
IF(E1366="Residential/Group Housing","RES",
IF(E1366="Commercial","COM",
IF(E1366="Mixed Development","MIX",
IF(E1366="Plotted Development","PLT","OTH"))))
&amp;"-"&amp;TEXT(COUNTIFS($B$9:B1366,B1366,$E$9:E1366,E1366),"0000")</f>
        <v>SUR-RES-0393</v>
      </c>
      <c r="B1366" s="322" t="s">
        <v>34</v>
      </c>
      <c r="C1366" s="322" t="s">
        <v>34</v>
      </c>
      <c r="D1366" s="323" t="s">
        <v>1556</v>
      </c>
      <c r="E1366" s="132" t="s">
        <v>24</v>
      </c>
      <c r="F1366" s="97" t="str">
        <f ca="1">IF(OR(Market_Data[[#This Row],[Start Date]]="",Market_Data[[#This Row],[Completion Date]]=""),"Needs Validation",IF(Market_Data[[#This Row],[Start Date]]&gt;TODAY(),"Planned",IF(Market_Data[[#This Row],[Completion Date]]&lt;TODAY(),"Completed","Ongoing")))</f>
        <v>Ongoing</v>
      </c>
      <c r="G1366" s="324">
        <v>45275</v>
      </c>
      <c r="H1366" s="324">
        <v>47483</v>
      </c>
      <c r="I1366" s="325">
        <v>28200</v>
      </c>
      <c r="J136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66" s="133">
        <f>_xlfn.XLOOKUP(Market_Data[[#This Row],[Project Type]],tbl_assumptions_market[Project Category (RERA)],tbl_assumptions_market[Concrete Intensity
(m³ / sq m BUA)],"",0)</f>
        <v>0.45</v>
      </c>
      <c r="L1366" s="134">
        <f>ROUND(Market_Data[[#This Row],[Estimated Built Up Area (sq m)]]*Market_Data[[#This Row],[Concrete Intensity
(m³ / sq m)]],0)</f>
        <v>12690</v>
      </c>
      <c r="M1366" s="135">
        <f>_xlfn.XLOOKUP(Market_Data[[#This Row],[District]],tbl_district_price[District],tbl_district_price[Standard Price
(INR/m³)],"",0)</f>
        <v>6200</v>
      </c>
      <c r="N1366" s="364">
        <f>IF(OR(Market_Data[[#This Row],[Estimated Concrete Demand (m³)]]="",Market_Data[[#This Row],[Avg Price per (₹ / m³)]]=""),"",Market_Data[[#This Row],[Estimated Concrete Demand (m³)]]*Market_Data[[#This Row],[Avg Price per (₹ / m³)]]/10000000)</f>
        <v>7.8677999999999999</v>
      </c>
      <c r="O1366" s="97" t="str">
        <f>IF(Market_Data[[#This Row],[Estimated Concrete Demand (m³)]]="","",
IF(Market_Data[[#This Row],[Estimated Concrete Demand (m³)]]&lt;10000,"Small",
IF(Market_Data[[#This Row],[Estimated Concrete Demand (m³)]]&lt;25000,"Medium",
IF(Market_Data[[#This Row],[Estimated Concrete Demand (m³)]]&lt;100000,"Large","Mega"))))</f>
        <v>Medium</v>
      </c>
      <c r="P1366" s="287" t="str">
        <f t="shared" si="23"/>
        <v>GujRERA</v>
      </c>
    </row>
    <row r="1367" spans="1:16">
      <c r="A1367" s="129" t="str">
        <f>_xlfn.XLOOKUP(B1367,$S$9:$S$14,$T$9:$T$14)&amp;"-"&amp;
IF(E1367="Residential/Group Housing","RES",
IF(E1367="Commercial","COM",
IF(E1367="Mixed Development","MIX",
IF(E1367="Plotted Development","PLT","OTH"))))
&amp;"-"&amp;TEXT(COUNTIFS($B$9:B1367,B1367,$E$9:E1367,E1367),"0000")</f>
        <v>SUR-COM-0206</v>
      </c>
      <c r="B1367" s="322" t="s">
        <v>34</v>
      </c>
      <c r="C1367" s="322" t="s">
        <v>34</v>
      </c>
      <c r="D1367" s="323" t="s">
        <v>1557</v>
      </c>
      <c r="E1367" s="132" t="s">
        <v>23</v>
      </c>
      <c r="F1367" s="97" t="str">
        <f ca="1">IF(OR(Market_Data[[#This Row],[Start Date]]="",Market_Data[[#This Row],[Completion Date]]=""),"Needs Validation",IF(Market_Data[[#This Row],[Start Date]]&gt;TODAY(),"Planned",IF(Market_Data[[#This Row],[Completion Date]]&lt;TODAY(),"Completed","Ongoing")))</f>
        <v>Completed</v>
      </c>
      <c r="G1367" s="324">
        <v>42741</v>
      </c>
      <c r="H1367" s="324">
        <v>45107</v>
      </c>
      <c r="I1367" s="325">
        <v>18700</v>
      </c>
      <c r="J136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67" s="133">
        <f>_xlfn.XLOOKUP(Market_Data[[#This Row],[Project Type]],tbl_assumptions_market[Project Category (RERA)],tbl_assumptions_market[Concrete Intensity
(m³ / sq m BUA)],"",0)</f>
        <v>0.5</v>
      </c>
      <c r="L1367" s="134">
        <f>ROUND(Market_Data[[#This Row],[Estimated Built Up Area (sq m)]]*Market_Data[[#This Row],[Concrete Intensity
(m³ / sq m)]],0)</f>
        <v>9350</v>
      </c>
      <c r="M1367" s="135">
        <f>_xlfn.XLOOKUP(Market_Data[[#This Row],[District]],tbl_district_price[District],tbl_district_price[Standard Price
(INR/m³)],"",0)</f>
        <v>6200</v>
      </c>
      <c r="N1367" s="364">
        <f>IF(OR(Market_Data[[#This Row],[Estimated Concrete Demand (m³)]]="",Market_Data[[#This Row],[Avg Price per (₹ / m³)]]=""),"",Market_Data[[#This Row],[Estimated Concrete Demand (m³)]]*Market_Data[[#This Row],[Avg Price per (₹ / m³)]]/10000000)</f>
        <v>5.7969999999999997</v>
      </c>
      <c r="O1367" s="97" t="str">
        <f>IF(Market_Data[[#This Row],[Estimated Concrete Demand (m³)]]="","",
IF(Market_Data[[#This Row],[Estimated Concrete Demand (m³)]]&lt;10000,"Small",
IF(Market_Data[[#This Row],[Estimated Concrete Demand (m³)]]&lt;25000,"Medium",
IF(Market_Data[[#This Row],[Estimated Concrete Demand (m³)]]&lt;100000,"Large","Mega"))))</f>
        <v>Small</v>
      </c>
      <c r="P1367" s="287" t="str">
        <f t="shared" si="23"/>
        <v>GujRERA</v>
      </c>
    </row>
    <row r="1368" spans="1:16">
      <c r="A1368" s="129" t="str">
        <f>_xlfn.XLOOKUP(B1368,$S$9:$S$14,$T$9:$T$14)&amp;"-"&amp;
IF(E1368="Residential/Group Housing","RES",
IF(E1368="Commercial","COM",
IF(E1368="Mixed Development","MIX",
IF(E1368="Plotted Development","PLT","OTH"))))
&amp;"-"&amp;TEXT(COUNTIFS($B$9:B1368,B1368,$E$9:E1368,E1368),"0000")</f>
        <v>SUR-MIX-0194</v>
      </c>
      <c r="B1368" s="322" t="s">
        <v>34</v>
      </c>
      <c r="C1368" s="322" t="s">
        <v>34</v>
      </c>
      <c r="D1368" s="323" t="s">
        <v>1558</v>
      </c>
      <c r="E1368" s="132" t="s">
        <v>25</v>
      </c>
      <c r="F1368" s="97" t="str">
        <f ca="1">IF(OR(Market_Data[[#This Row],[Start Date]]="",Market_Data[[#This Row],[Completion Date]]=""),"Needs Validation",IF(Market_Data[[#This Row],[Start Date]]&gt;TODAY(),"Planned",IF(Market_Data[[#This Row],[Completion Date]]&lt;TODAY(),"Completed","Ongoing")))</f>
        <v>Completed</v>
      </c>
      <c r="G1368" s="324">
        <v>42149</v>
      </c>
      <c r="H1368" s="324">
        <v>46202</v>
      </c>
      <c r="I1368" s="325">
        <v>26900</v>
      </c>
      <c r="J136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68" s="133">
        <f>_xlfn.XLOOKUP(Market_Data[[#This Row],[Project Type]],tbl_assumptions_market[Project Category (RERA)],tbl_assumptions_market[Concrete Intensity
(m³ / sq m BUA)],"",0)</f>
        <v>0.42</v>
      </c>
      <c r="L1368" s="134">
        <f>ROUND(Market_Data[[#This Row],[Estimated Built Up Area (sq m)]]*Market_Data[[#This Row],[Concrete Intensity
(m³ / sq m)]],0)</f>
        <v>11298</v>
      </c>
      <c r="M1368" s="135">
        <f>_xlfn.XLOOKUP(Market_Data[[#This Row],[District]],tbl_district_price[District],tbl_district_price[Standard Price
(INR/m³)],"",0)</f>
        <v>6200</v>
      </c>
      <c r="N1368" s="364">
        <f>IF(OR(Market_Data[[#This Row],[Estimated Concrete Demand (m³)]]="",Market_Data[[#This Row],[Avg Price per (₹ / m³)]]=""),"",Market_Data[[#This Row],[Estimated Concrete Demand (m³)]]*Market_Data[[#This Row],[Avg Price per (₹ / m³)]]/10000000)</f>
        <v>7.0047600000000001</v>
      </c>
      <c r="O1368" s="97" t="str">
        <f>IF(Market_Data[[#This Row],[Estimated Concrete Demand (m³)]]="","",
IF(Market_Data[[#This Row],[Estimated Concrete Demand (m³)]]&lt;10000,"Small",
IF(Market_Data[[#This Row],[Estimated Concrete Demand (m³)]]&lt;25000,"Medium",
IF(Market_Data[[#This Row],[Estimated Concrete Demand (m³)]]&lt;100000,"Large","Mega"))))</f>
        <v>Medium</v>
      </c>
      <c r="P1368" s="287" t="str">
        <f t="shared" si="23"/>
        <v>GujRERA</v>
      </c>
    </row>
    <row r="1369" spans="1:16">
      <c r="A1369" s="129" t="str">
        <f>_xlfn.XLOOKUP(B1369,$S$9:$S$14,$T$9:$T$14)&amp;"-"&amp;
IF(E1369="Residential/Group Housing","RES",
IF(E1369="Commercial","COM",
IF(E1369="Mixed Development","MIX",
IF(E1369="Plotted Development","PLT","OTH"))))
&amp;"-"&amp;TEXT(COUNTIFS($B$9:B1369,B1369,$E$9:E1369,E1369),"0000")</f>
        <v>SUR-MIX-0195</v>
      </c>
      <c r="B1369" s="322" t="s">
        <v>34</v>
      </c>
      <c r="C1369" s="322" t="s">
        <v>34</v>
      </c>
      <c r="D1369" s="323" t="s">
        <v>1559</v>
      </c>
      <c r="E1369" s="132" t="s">
        <v>25</v>
      </c>
      <c r="F1369" s="97" t="str">
        <f ca="1">IF(OR(Market_Data[[#This Row],[Start Date]]="",Market_Data[[#This Row],[Completion Date]]=""),"Needs Validation",IF(Market_Data[[#This Row],[Start Date]]&gt;TODAY(),"Planned",IF(Market_Data[[#This Row],[Completion Date]]&lt;TODAY(),"Completed","Ongoing")))</f>
        <v>Completed</v>
      </c>
      <c r="G1369" s="324">
        <v>44503</v>
      </c>
      <c r="H1369" s="324">
        <v>45747</v>
      </c>
      <c r="I1369" s="325">
        <v>54100</v>
      </c>
      <c r="J136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69" s="133">
        <f>_xlfn.XLOOKUP(Market_Data[[#This Row],[Project Type]],tbl_assumptions_market[Project Category (RERA)],tbl_assumptions_market[Concrete Intensity
(m³ / sq m BUA)],"",0)</f>
        <v>0.42</v>
      </c>
      <c r="L1369" s="134">
        <f>ROUND(Market_Data[[#This Row],[Estimated Built Up Area (sq m)]]*Market_Data[[#This Row],[Concrete Intensity
(m³ / sq m)]],0)</f>
        <v>22722</v>
      </c>
      <c r="M1369" s="135">
        <f>_xlfn.XLOOKUP(Market_Data[[#This Row],[District]],tbl_district_price[District],tbl_district_price[Standard Price
(INR/m³)],"",0)</f>
        <v>6200</v>
      </c>
      <c r="N1369" s="364">
        <f>IF(OR(Market_Data[[#This Row],[Estimated Concrete Demand (m³)]]="",Market_Data[[#This Row],[Avg Price per (₹ / m³)]]=""),"",Market_Data[[#This Row],[Estimated Concrete Demand (m³)]]*Market_Data[[#This Row],[Avg Price per (₹ / m³)]]/10000000)</f>
        <v>14.08764</v>
      </c>
      <c r="O1369" s="97" t="str">
        <f>IF(Market_Data[[#This Row],[Estimated Concrete Demand (m³)]]="","",
IF(Market_Data[[#This Row],[Estimated Concrete Demand (m³)]]&lt;10000,"Small",
IF(Market_Data[[#This Row],[Estimated Concrete Demand (m³)]]&lt;25000,"Medium",
IF(Market_Data[[#This Row],[Estimated Concrete Demand (m³)]]&lt;100000,"Large","Mega"))))</f>
        <v>Medium</v>
      </c>
      <c r="P1369" s="287" t="str">
        <f t="shared" si="23"/>
        <v>GujRERA</v>
      </c>
    </row>
    <row r="1370" spans="1:16">
      <c r="A1370" s="129" t="str">
        <f>_xlfn.XLOOKUP(B1370,$S$9:$S$14,$T$9:$T$14)&amp;"-"&amp;
IF(E1370="Residential/Group Housing","RES",
IF(E1370="Commercial","COM",
IF(E1370="Mixed Development","MIX",
IF(E1370="Plotted Development","PLT","OTH"))))
&amp;"-"&amp;TEXT(COUNTIFS($B$9:B1370,B1370,$E$9:E1370,E1370),"0000")</f>
        <v>SUR-MIX-0196</v>
      </c>
      <c r="B1370" s="322" t="s">
        <v>34</v>
      </c>
      <c r="C1370" s="322" t="s">
        <v>34</v>
      </c>
      <c r="D1370" s="323" t="s">
        <v>1560</v>
      </c>
      <c r="E1370" s="132" t="s">
        <v>25</v>
      </c>
      <c r="F1370" s="97" t="str">
        <f ca="1">IF(OR(Market_Data[[#This Row],[Start Date]]="",Market_Data[[#This Row],[Completion Date]]=""),"Needs Validation",IF(Market_Data[[#This Row],[Start Date]]&gt;TODAY(),"Planned",IF(Market_Data[[#This Row],[Completion Date]]&lt;TODAY(),"Completed","Ongoing")))</f>
        <v>Completed</v>
      </c>
      <c r="G1370" s="324">
        <v>42083</v>
      </c>
      <c r="H1370" s="324">
        <v>44196</v>
      </c>
      <c r="I1370" s="325">
        <v>22300</v>
      </c>
      <c r="J137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70" s="133">
        <f>_xlfn.XLOOKUP(Market_Data[[#This Row],[Project Type]],tbl_assumptions_market[Project Category (RERA)],tbl_assumptions_market[Concrete Intensity
(m³ / sq m BUA)],"",0)</f>
        <v>0.42</v>
      </c>
      <c r="L1370" s="134">
        <f>ROUND(Market_Data[[#This Row],[Estimated Built Up Area (sq m)]]*Market_Data[[#This Row],[Concrete Intensity
(m³ / sq m)]],0)</f>
        <v>9366</v>
      </c>
      <c r="M1370" s="135">
        <f>_xlfn.XLOOKUP(Market_Data[[#This Row],[District]],tbl_district_price[District],tbl_district_price[Standard Price
(INR/m³)],"",0)</f>
        <v>6200</v>
      </c>
      <c r="N1370" s="364">
        <f>IF(OR(Market_Data[[#This Row],[Estimated Concrete Demand (m³)]]="",Market_Data[[#This Row],[Avg Price per (₹ / m³)]]=""),"",Market_Data[[#This Row],[Estimated Concrete Demand (m³)]]*Market_Data[[#This Row],[Avg Price per (₹ / m³)]]/10000000)</f>
        <v>5.8069199999999999</v>
      </c>
      <c r="O1370" s="97" t="str">
        <f>IF(Market_Data[[#This Row],[Estimated Concrete Demand (m³)]]="","",
IF(Market_Data[[#This Row],[Estimated Concrete Demand (m³)]]&lt;10000,"Small",
IF(Market_Data[[#This Row],[Estimated Concrete Demand (m³)]]&lt;25000,"Medium",
IF(Market_Data[[#This Row],[Estimated Concrete Demand (m³)]]&lt;100000,"Large","Mega"))))</f>
        <v>Small</v>
      </c>
      <c r="P1370" s="287" t="str">
        <f t="shared" si="23"/>
        <v>GujRERA</v>
      </c>
    </row>
    <row r="1371" spans="1:16">
      <c r="A1371" s="129" t="str">
        <f>_xlfn.XLOOKUP(B1371,$S$9:$S$14,$T$9:$T$14)&amp;"-"&amp;
IF(E1371="Residential/Group Housing","RES",
IF(E1371="Commercial","COM",
IF(E1371="Mixed Development","MIX",
IF(E1371="Plotted Development","PLT","OTH"))))
&amp;"-"&amp;TEXT(COUNTIFS($B$9:B1371,B1371,$E$9:E1371,E1371),"0000")</f>
        <v>SUR-MIX-0197</v>
      </c>
      <c r="B1371" s="322" t="s">
        <v>34</v>
      </c>
      <c r="C1371" s="322" t="s">
        <v>34</v>
      </c>
      <c r="D1371" s="323" t="s">
        <v>1561</v>
      </c>
      <c r="E1371" s="132" t="s">
        <v>25</v>
      </c>
      <c r="F1371" s="97" t="str">
        <f ca="1">IF(OR(Market_Data[[#This Row],[Start Date]]="",Market_Data[[#This Row],[Completion Date]]=""),"Needs Validation",IF(Market_Data[[#This Row],[Start Date]]&gt;TODAY(),"Planned",IF(Market_Data[[#This Row],[Completion Date]]&lt;TODAY(),"Completed","Ongoing")))</f>
        <v>Completed</v>
      </c>
      <c r="G1371" s="324">
        <v>42545</v>
      </c>
      <c r="H1371" s="324">
        <v>44742</v>
      </c>
      <c r="I1371" s="325">
        <v>26600</v>
      </c>
      <c r="J137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71" s="133">
        <f>_xlfn.XLOOKUP(Market_Data[[#This Row],[Project Type]],tbl_assumptions_market[Project Category (RERA)],tbl_assumptions_market[Concrete Intensity
(m³ / sq m BUA)],"",0)</f>
        <v>0.42</v>
      </c>
      <c r="L1371" s="134">
        <f>ROUND(Market_Data[[#This Row],[Estimated Built Up Area (sq m)]]*Market_Data[[#This Row],[Concrete Intensity
(m³ / sq m)]],0)</f>
        <v>11172</v>
      </c>
      <c r="M1371" s="135">
        <f>_xlfn.XLOOKUP(Market_Data[[#This Row],[District]],tbl_district_price[District],tbl_district_price[Standard Price
(INR/m³)],"",0)</f>
        <v>6200</v>
      </c>
      <c r="N1371" s="364">
        <f>IF(OR(Market_Data[[#This Row],[Estimated Concrete Demand (m³)]]="",Market_Data[[#This Row],[Avg Price per (₹ / m³)]]=""),"",Market_Data[[#This Row],[Estimated Concrete Demand (m³)]]*Market_Data[[#This Row],[Avg Price per (₹ / m³)]]/10000000)</f>
        <v>6.9266399999999999</v>
      </c>
      <c r="O1371" s="97" t="str">
        <f>IF(Market_Data[[#This Row],[Estimated Concrete Demand (m³)]]="","",
IF(Market_Data[[#This Row],[Estimated Concrete Demand (m³)]]&lt;10000,"Small",
IF(Market_Data[[#This Row],[Estimated Concrete Demand (m³)]]&lt;25000,"Medium",
IF(Market_Data[[#This Row],[Estimated Concrete Demand (m³)]]&lt;100000,"Large","Mega"))))</f>
        <v>Medium</v>
      </c>
      <c r="P1371" s="287" t="str">
        <f t="shared" si="23"/>
        <v>GujRERA</v>
      </c>
    </row>
    <row r="1372" spans="1:16">
      <c r="A1372" s="129" t="str">
        <f>_xlfn.XLOOKUP(B1372,$S$9:$S$14,$T$9:$T$14)&amp;"-"&amp;
IF(E1372="Residential/Group Housing","RES",
IF(E1372="Commercial","COM",
IF(E1372="Mixed Development","MIX",
IF(E1372="Plotted Development","PLT","OTH"))))
&amp;"-"&amp;TEXT(COUNTIFS($B$9:B1372,B1372,$E$9:E1372,E1372),"0000")</f>
        <v>SUR-MIX-0198</v>
      </c>
      <c r="B1372" s="322" t="s">
        <v>34</v>
      </c>
      <c r="C1372" s="322" t="s">
        <v>34</v>
      </c>
      <c r="D1372" s="323" t="s">
        <v>1562</v>
      </c>
      <c r="E1372" s="132" t="s">
        <v>25</v>
      </c>
      <c r="F1372" s="97" t="str">
        <f ca="1">IF(OR(Market_Data[[#This Row],[Start Date]]="",Market_Data[[#This Row],[Completion Date]]=""),"Needs Validation",IF(Market_Data[[#This Row],[Start Date]]&gt;TODAY(),"Planned",IF(Market_Data[[#This Row],[Completion Date]]&lt;TODAY(),"Completed","Ongoing")))</f>
        <v>Completed</v>
      </c>
      <c r="G1372" s="324">
        <v>42375</v>
      </c>
      <c r="H1372" s="324">
        <v>44742</v>
      </c>
      <c r="I1372" s="325">
        <v>43600</v>
      </c>
      <c r="J137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72" s="133">
        <f>_xlfn.XLOOKUP(Market_Data[[#This Row],[Project Type]],tbl_assumptions_market[Project Category (RERA)],tbl_assumptions_market[Concrete Intensity
(m³ / sq m BUA)],"",0)</f>
        <v>0.42</v>
      </c>
      <c r="L1372" s="134">
        <f>ROUND(Market_Data[[#This Row],[Estimated Built Up Area (sq m)]]*Market_Data[[#This Row],[Concrete Intensity
(m³ / sq m)]],0)</f>
        <v>18312</v>
      </c>
      <c r="M1372" s="135">
        <f>_xlfn.XLOOKUP(Market_Data[[#This Row],[District]],tbl_district_price[District],tbl_district_price[Standard Price
(INR/m³)],"",0)</f>
        <v>6200</v>
      </c>
      <c r="N1372" s="364">
        <f>IF(OR(Market_Data[[#This Row],[Estimated Concrete Demand (m³)]]="",Market_Data[[#This Row],[Avg Price per (₹ / m³)]]=""),"",Market_Data[[#This Row],[Estimated Concrete Demand (m³)]]*Market_Data[[#This Row],[Avg Price per (₹ / m³)]]/10000000)</f>
        <v>11.353440000000001</v>
      </c>
      <c r="O1372" s="97" t="str">
        <f>IF(Market_Data[[#This Row],[Estimated Concrete Demand (m³)]]="","",
IF(Market_Data[[#This Row],[Estimated Concrete Demand (m³)]]&lt;10000,"Small",
IF(Market_Data[[#This Row],[Estimated Concrete Demand (m³)]]&lt;25000,"Medium",
IF(Market_Data[[#This Row],[Estimated Concrete Demand (m³)]]&lt;100000,"Large","Mega"))))</f>
        <v>Medium</v>
      </c>
      <c r="P1372" s="287" t="str">
        <f t="shared" si="23"/>
        <v>GujRERA</v>
      </c>
    </row>
    <row r="1373" spans="1:16">
      <c r="A1373" s="129" t="str">
        <f>_xlfn.XLOOKUP(B1373,$S$9:$S$14,$T$9:$T$14)&amp;"-"&amp;
IF(E1373="Residential/Group Housing","RES",
IF(E1373="Commercial","COM",
IF(E1373="Mixed Development","MIX",
IF(E1373="Plotted Development","PLT","OTH"))))
&amp;"-"&amp;TEXT(COUNTIFS($B$9:B1373,B1373,$E$9:E1373,E1373),"0000")</f>
        <v>SUR-MIX-0199</v>
      </c>
      <c r="B1373" s="322" t="s">
        <v>34</v>
      </c>
      <c r="C1373" s="322" t="s">
        <v>34</v>
      </c>
      <c r="D1373" s="323" t="s">
        <v>1563</v>
      </c>
      <c r="E1373" s="132" t="s">
        <v>25</v>
      </c>
      <c r="F1373" s="97" t="str">
        <f ca="1">IF(OR(Market_Data[[#This Row],[Start Date]]="",Market_Data[[#This Row],[Completion Date]]=""),"Needs Validation",IF(Market_Data[[#This Row],[Start Date]]&gt;TODAY(),"Planned",IF(Market_Data[[#This Row],[Completion Date]]&lt;TODAY(),"Completed","Ongoing")))</f>
        <v>Completed</v>
      </c>
      <c r="G1373" s="324">
        <v>42075</v>
      </c>
      <c r="H1373" s="324">
        <v>44196</v>
      </c>
      <c r="I1373" s="325">
        <v>4100</v>
      </c>
      <c r="J137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373" s="133">
        <f>_xlfn.XLOOKUP(Market_Data[[#This Row],[Project Type]],tbl_assumptions_market[Project Category (RERA)],tbl_assumptions_market[Concrete Intensity
(m³ / sq m BUA)],"",0)</f>
        <v>0.42</v>
      </c>
      <c r="L1373" s="134">
        <f>ROUND(Market_Data[[#This Row],[Estimated Built Up Area (sq m)]]*Market_Data[[#This Row],[Concrete Intensity
(m³ / sq m)]],0)</f>
        <v>1722</v>
      </c>
      <c r="M1373" s="135">
        <f>_xlfn.XLOOKUP(Market_Data[[#This Row],[District]],tbl_district_price[District],tbl_district_price[Standard Price
(INR/m³)],"",0)</f>
        <v>6200</v>
      </c>
      <c r="N1373" s="364">
        <f>IF(OR(Market_Data[[#This Row],[Estimated Concrete Demand (m³)]]="",Market_Data[[#This Row],[Avg Price per (₹ / m³)]]=""),"",Market_Data[[#This Row],[Estimated Concrete Demand (m³)]]*Market_Data[[#This Row],[Avg Price per (₹ / m³)]]/10000000)</f>
        <v>1.0676399999999999</v>
      </c>
      <c r="O1373" s="97" t="str">
        <f>IF(Market_Data[[#This Row],[Estimated Concrete Demand (m³)]]="","",
IF(Market_Data[[#This Row],[Estimated Concrete Demand (m³)]]&lt;10000,"Small",
IF(Market_Data[[#This Row],[Estimated Concrete Demand (m³)]]&lt;25000,"Medium",
IF(Market_Data[[#This Row],[Estimated Concrete Demand (m³)]]&lt;100000,"Large","Mega"))))</f>
        <v>Small</v>
      </c>
      <c r="P1373" s="287" t="str">
        <f t="shared" si="23"/>
        <v>GujRERA</v>
      </c>
    </row>
    <row r="1374" spans="1:16">
      <c r="A1374" s="129" t="str">
        <f>_xlfn.XLOOKUP(B1374,$S$9:$S$14,$T$9:$T$14)&amp;"-"&amp;
IF(E1374="Residential/Group Housing","RES",
IF(E1374="Commercial","COM",
IF(E1374="Mixed Development","MIX",
IF(E1374="Plotted Development","PLT","OTH"))))
&amp;"-"&amp;TEXT(COUNTIFS($B$9:B1374,B1374,$E$9:E1374,E1374),"0000")</f>
        <v>SUR-MIX-0200</v>
      </c>
      <c r="B1374" s="322" t="s">
        <v>34</v>
      </c>
      <c r="C1374" s="322" t="s">
        <v>34</v>
      </c>
      <c r="D1374" s="323" t="s">
        <v>1564</v>
      </c>
      <c r="E1374" s="132" t="s">
        <v>25</v>
      </c>
      <c r="F1374" s="97" t="str">
        <f ca="1">IF(OR(Market_Data[[#This Row],[Start Date]]="",Market_Data[[#This Row],[Completion Date]]=""),"Needs Validation",IF(Market_Data[[#This Row],[Start Date]]&gt;TODAY(),"Planned",IF(Market_Data[[#This Row],[Completion Date]]&lt;TODAY(),"Completed","Ongoing")))</f>
        <v>Ongoing</v>
      </c>
      <c r="G1374" s="324">
        <v>45021</v>
      </c>
      <c r="H1374" s="324">
        <v>46843</v>
      </c>
      <c r="I1374" s="325">
        <v>18800</v>
      </c>
      <c r="J137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74" s="133">
        <f>_xlfn.XLOOKUP(Market_Data[[#This Row],[Project Type]],tbl_assumptions_market[Project Category (RERA)],tbl_assumptions_market[Concrete Intensity
(m³ / sq m BUA)],"",0)</f>
        <v>0.42</v>
      </c>
      <c r="L1374" s="134">
        <f>ROUND(Market_Data[[#This Row],[Estimated Built Up Area (sq m)]]*Market_Data[[#This Row],[Concrete Intensity
(m³ / sq m)]],0)</f>
        <v>7896</v>
      </c>
      <c r="M1374" s="135">
        <f>_xlfn.XLOOKUP(Market_Data[[#This Row],[District]],tbl_district_price[District],tbl_district_price[Standard Price
(INR/m³)],"",0)</f>
        <v>6200</v>
      </c>
      <c r="N1374" s="364">
        <f>IF(OR(Market_Data[[#This Row],[Estimated Concrete Demand (m³)]]="",Market_Data[[#This Row],[Avg Price per (₹ / m³)]]=""),"",Market_Data[[#This Row],[Estimated Concrete Demand (m³)]]*Market_Data[[#This Row],[Avg Price per (₹ / m³)]]/10000000)</f>
        <v>4.8955200000000003</v>
      </c>
      <c r="O1374" s="97" t="str">
        <f>IF(Market_Data[[#This Row],[Estimated Concrete Demand (m³)]]="","",
IF(Market_Data[[#This Row],[Estimated Concrete Demand (m³)]]&lt;10000,"Small",
IF(Market_Data[[#This Row],[Estimated Concrete Demand (m³)]]&lt;25000,"Medium",
IF(Market_Data[[#This Row],[Estimated Concrete Demand (m³)]]&lt;100000,"Large","Mega"))))</f>
        <v>Small</v>
      </c>
      <c r="P1374" s="287" t="str">
        <f t="shared" si="23"/>
        <v>GujRERA</v>
      </c>
    </row>
    <row r="1375" spans="1:16">
      <c r="A1375" s="129" t="str">
        <f>_xlfn.XLOOKUP(B1375,$S$9:$S$14,$T$9:$T$14)&amp;"-"&amp;
IF(E1375="Residential/Group Housing","RES",
IF(E1375="Commercial","COM",
IF(E1375="Mixed Development","MIX",
IF(E1375="Plotted Development","PLT","OTH"))))
&amp;"-"&amp;TEXT(COUNTIFS($B$9:B1375,B1375,$E$9:E1375,E1375),"0000")</f>
        <v>SUR-RES-0394</v>
      </c>
      <c r="B1375" s="322" t="s">
        <v>34</v>
      </c>
      <c r="C1375" s="322" t="s">
        <v>34</v>
      </c>
      <c r="D1375" s="323" t="s">
        <v>1565</v>
      </c>
      <c r="E1375" s="132" t="s">
        <v>24</v>
      </c>
      <c r="F1375" s="97" t="str">
        <f ca="1">IF(OR(Market_Data[[#This Row],[Start Date]]="",Market_Data[[#This Row],[Completion Date]]=""),"Needs Validation",IF(Market_Data[[#This Row],[Start Date]]&gt;TODAY(),"Planned",IF(Market_Data[[#This Row],[Completion Date]]&lt;TODAY(),"Completed","Ongoing")))</f>
        <v>Completed</v>
      </c>
      <c r="G1375" s="324">
        <v>44652</v>
      </c>
      <c r="H1375" s="324">
        <v>45961</v>
      </c>
      <c r="I1375" s="325">
        <v>14100</v>
      </c>
      <c r="J137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75" s="133">
        <f>_xlfn.XLOOKUP(Market_Data[[#This Row],[Project Type]],tbl_assumptions_market[Project Category (RERA)],tbl_assumptions_market[Concrete Intensity
(m³ / sq m BUA)],"",0)</f>
        <v>0.45</v>
      </c>
      <c r="L1375" s="134">
        <f>ROUND(Market_Data[[#This Row],[Estimated Built Up Area (sq m)]]*Market_Data[[#This Row],[Concrete Intensity
(m³ / sq m)]],0)</f>
        <v>6345</v>
      </c>
      <c r="M1375" s="135">
        <f>_xlfn.XLOOKUP(Market_Data[[#This Row],[District]],tbl_district_price[District],tbl_district_price[Standard Price
(INR/m³)],"",0)</f>
        <v>6200</v>
      </c>
      <c r="N1375" s="364">
        <f>IF(OR(Market_Data[[#This Row],[Estimated Concrete Demand (m³)]]="",Market_Data[[#This Row],[Avg Price per (₹ / m³)]]=""),"",Market_Data[[#This Row],[Estimated Concrete Demand (m³)]]*Market_Data[[#This Row],[Avg Price per (₹ / m³)]]/10000000)</f>
        <v>3.9339</v>
      </c>
      <c r="O1375" s="97" t="str">
        <f>IF(Market_Data[[#This Row],[Estimated Concrete Demand (m³)]]="","",
IF(Market_Data[[#This Row],[Estimated Concrete Demand (m³)]]&lt;10000,"Small",
IF(Market_Data[[#This Row],[Estimated Concrete Demand (m³)]]&lt;25000,"Medium",
IF(Market_Data[[#This Row],[Estimated Concrete Demand (m³)]]&lt;100000,"Large","Mega"))))</f>
        <v>Small</v>
      </c>
      <c r="P1375" s="287" t="str">
        <f t="shared" si="23"/>
        <v>GujRERA</v>
      </c>
    </row>
    <row r="1376" spans="1:16">
      <c r="A1376" s="129" t="str">
        <f>_xlfn.XLOOKUP(B1376,$S$9:$S$14,$T$9:$T$14)&amp;"-"&amp;
IF(E1376="Residential/Group Housing","RES",
IF(E1376="Commercial","COM",
IF(E1376="Mixed Development","MIX",
IF(E1376="Plotted Development","PLT","OTH"))))
&amp;"-"&amp;TEXT(COUNTIFS($B$9:B1376,B1376,$E$9:E1376,E1376),"0000")</f>
        <v>SUR-PLT-0258</v>
      </c>
      <c r="B1376" s="322" t="s">
        <v>34</v>
      </c>
      <c r="C1376" s="322" t="s">
        <v>34</v>
      </c>
      <c r="D1376" s="323" t="s">
        <v>1566</v>
      </c>
      <c r="E1376" s="132" t="s">
        <v>26</v>
      </c>
      <c r="F1376" s="97" t="str">
        <f ca="1">IF(OR(Market_Data[[#This Row],[Start Date]]="",Market_Data[[#This Row],[Completion Date]]=""),"Needs Validation",IF(Market_Data[[#This Row],[Start Date]]&gt;TODAY(),"Planned",IF(Market_Data[[#This Row],[Completion Date]]&lt;TODAY(),"Completed","Ongoing")))</f>
        <v>Ongoing</v>
      </c>
      <c r="G1376" s="324">
        <v>45032</v>
      </c>
      <c r="H1376" s="324">
        <v>47118</v>
      </c>
      <c r="I1376" s="325">
        <v>18000</v>
      </c>
      <c r="J137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76" s="133">
        <f>_xlfn.XLOOKUP(Market_Data[[#This Row],[Project Type]],tbl_assumptions_market[Project Category (RERA)],tbl_assumptions_market[Concrete Intensity
(m³ / sq m BUA)],"",0)</f>
        <v>0.18</v>
      </c>
      <c r="L1376" s="134">
        <f>ROUND(Market_Data[[#This Row],[Estimated Built Up Area (sq m)]]*Market_Data[[#This Row],[Concrete Intensity
(m³ / sq m)]],0)</f>
        <v>3240</v>
      </c>
      <c r="M1376" s="135">
        <f>_xlfn.XLOOKUP(Market_Data[[#This Row],[District]],tbl_district_price[District],tbl_district_price[Standard Price
(INR/m³)],"",0)</f>
        <v>6200</v>
      </c>
      <c r="N1376" s="364">
        <f>IF(OR(Market_Data[[#This Row],[Estimated Concrete Demand (m³)]]="",Market_Data[[#This Row],[Avg Price per (₹ / m³)]]=""),"",Market_Data[[#This Row],[Estimated Concrete Demand (m³)]]*Market_Data[[#This Row],[Avg Price per (₹ / m³)]]/10000000)</f>
        <v>2.0087999999999999</v>
      </c>
      <c r="O1376" s="97" t="str">
        <f>IF(Market_Data[[#This Row],[Estimated Concrete Demand (m³)]]="","",
IF(Market_Data[[#This Row],[Estimated Concrete Demand (m³)]]&lt;10000,"Small",
IF(Market_Data[[#This Row],[Estimated Concrete Demand (m³)]]&lt;25000,"Medium",
IF(Market_Data[[#This Row],[Estimated Concrete Demand (m³)]]&lt;100000,"Large","Mega"))))</f>
        <v>Small</v>
      </c>
      <c r="P1376" s="287" t="str">
        <f t="shared" si="23"/>
        <v>GujRERA</v>
      </c>
    </row>
    <row r="1377" spans="1:16">
      <c r="A1377" s="129" t="str">
        <f>_xlfn.XLOOKUP(B1377,$S$9:$S$14,$T$9:$T$14)&amp;"-"&amp;
IF(E1377="Residential/Group Housing","RES",
IF(E1377="Commercial","COM",
IF(E1377="Mixed Development","MIX",
IF(E1377="Plotted Development","PLT","OTH"))))
&amp;"-"&amp;TEXT(COUNTIFS($B$9:B1377,B1377,$E$9:E1377,E1377),"0000")</f>
        <v>SUR-PLT-0259</v>
      </c>
      <c r="B1377" s="322" t="s">
        <v>34</v>
      </c>
      <c r="C1377" s="322" t="s">
        <v>34</v>
      </c>
      <c r="D1377" s="323" t="s">
        <v>1567</v>
      </c>
      <c r="E1377" s="132" t="s">
        <v>26</v>
      </c>
      <c r="F1377" s="97" t="str">
        <f ca="1">IF(OR(Market_Data[[#This Row],[Start Date]]="",Market_Data[[#This Row],[Completion Date]]=""),"Needs Validation",IF(Market_Data[[#This Row],[Start Date]]&gt;TODAY(),"Planned",IF(Market_Data[[#This Row],[Completion Date]]&lt;TODAY(),"Completed","Ongoing")))</f>
        <v>Ongoing</v>
      </c>
      <c r="G1377" s="324">
        <v>45868</v>
      </c>
      <c r="H1377" s="324">
        <v>47483</v>
      </c>
      <c r="I1377" s="325">
        <v>145900</v>
      </c>
      <c r="J137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377" s="133">
        <f>_xlfn.XLOOKUP(Market_Data[[#This Row],[Project Type]],tbl_assumptions_market[Project Category (RERA)],tbl_assumptions_market[Concrete Intensity
(m³ / sq m BUA)],"",0)</f>
        <v>0.18</v>
      </c>
      <c r="L1377" s="134">
        <f>ROUND(Market_Data[[#This Row],[Estimated Built Up Area (sq m)]]*Market_Data[[#This Row],[Concrete Intensity
(m³ / sq m)]],0)</f>
        <v>26262</v>
      </c>
      <c r="M1377" s="135">
        <f>_xlfn.XLOOKUP(Market_Data[[#This Row],[District]],tbl_district_price[District],tbl_district_price[Standard Price
(INR/m³)],"",0)</f>
        <v>6200</v>
      </c>
      <c r="N1377" s="364">
        <f>IF(OR(Market_Data[[#This Row],[Estimated Concrete Demand (m³)]]="",Market_Data[[#This Row],[Avg Price per (₹ / m³)]]=""),"",Market_Data[[#This Row],[Estimated Concrete Demand (m³)]]*Market_Data[[#This Row],[Avg Price per (₹ / m³)]]/10000000)</f>
        <v>16.282440000000001</v>
      </c>
      <c r="O1377" s="97" t="str">
        <f>IF(Market_Data[[#This Row],[Estimated Concrete Demand (m³)]]="","",
IF(Market_Data[[#This Row],[Estimated Concrete Demand (m³)]]&lt;10000,"Small",
IF(Market_Data[[#This Row],[Estimated Concrete Demand (m³)]]&lt;25000,"Medium",
IF(Market_Data[[#This Row],[Estimated Concrete Demand (m³)]]&lt;100000,"Large","Mega"))))</f>
        <v>Large</v>
      </c>
      <c r="P1377" s="287" t="str">
        <f t="shared" si="23"/>
        <v>GujRERA</v>
      </c>
    </row>
    <row r="1378" spans="1:16">
      <c r="A1378" s="129" t="str">
        <f>_xlfn.XLOOKUP(B1378,$S$9:$S$14,$T$9:$T$14)&amp;"-"&amp;
IF(E1378="Residential/Group Housing","RES",
IF(E1378="Commercial","COM",
IF(E1378="Mixed Development","MIX",
IF(E1378="Plotted Development","PLT","OTH"))))
&amp;"-"&amp;TEXT(COUNTIFS($B$9:B1378,B1378,$E$9:E1378,E1378),"0000")</f>
        <v>SUR-PLT-0260</v>
      </c>
      <c r="B1378" s="322" t="s">
        <v>34</v>
      </c>
      <c r="C1378" s="322" t="s">
        <v>34</v>
      </c>
      <c r="D1378" s="323" t="s">
        <v>1568</v>
      </c>
      <c r="E1378" s="132" t="s">
        <v>26</v>
      </c>
      <c r="F1378" s="97" t="str">
        <f ca="1">IF(OR(Market_Data[[#This Row],[Start Date]]="",Market_Data[[#This Row],[Completion Date]]=""),"Needs Validation",IF(Market_Data[[#This Row],[Start Date]]&gt;TODAY(),"Planned",IF(Market_Data[[#This Row],[Completion Date]]&lt;TODAY(),"Completed","Ongoing")))</f>
        <v>Completed</v>
      </c>
      <c r="G1378" s="324">
        <v>44378</v>
      </c>
      <c r="H1378" s="324">
        <v>45657</v>
      </c>
      <c r="I1378" s="325">
        <v>53300</v>
      </c>
      <c r="J137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378" s="133">
        <f>_xlfn.XLOOKUP(Market_Data[[#This Row],[Project Type]],tbl_assumptions_market[Project Category (RERA)],tbl_assumptions_market[Concrete Intensity
(m³ / sq m BUA)],"",0)</f>
        <v>0.18</v>
      </c>
      <c r="L1378" s="134">
        <f>ROUND(Market_Data[[#This Row],[Estimated Built Up Area (sq m)]]*Market_Data[[#This Row],[Concrete Intensity
(m³ / sq m)]],0)</f>
        <v>9594</v>
      </c>
      <c r="M1378" s="135">
        <f>_xlfn.XLOOKUP(Market_Data[[#This Row],[District]],tbl_district_price[District],tbl_district_price[Standard Price
(INR/m³)],"",0)</f>
        <v>6200</v>
      </c>
      <c r="N1378" s="364">
        <f>IF(OR(Market_Data[[#This Row],[Estimated Concrete Demand (m³)]]="",Market_Data[[#This Row],[Avg Price per (₹ / m³)]]=""),"",Market_Data[[#This Row],[Estimated Concrete Demand (m³)]]*Market_Data[[#This Row],[Avg Price per (₹ / m³)]]/10000000)</f>
        <v>5.9482799999999996</v>
      </c>
      <c r="O1378" s="97" t="str">
        <f>IF(Market_Data[[#This Row],[Estimated Concrete Demand (m³)]]="","",
IF(Market_Data[[#This Row],[Estimated Concrete Demand (m³)]]&lt;10000,"Small",
IF(Market_Data[[#This Row],[Estimated Concrete Demand (m³)]]&lt;25000,"Medium",
IF(Market_Data[[#This Row],[Estimated Concrete Demand (m³)]]&lt;100000,"Large","Mega"))))</f>
        <v>Small</v>
      </c>
      <c r="P1378" s="287" t="str">
        <f t="shared" si="23"/>
        <v>GujRERA</v>
      </c>
    </row>
    <row r="1379" spans="1:16">
      <c r="A1379" s="129" t="str">
        <f>_xlfn.XLOOKUP(B1379,$S$9:$S$14,$T$9:$T$14)&amp;"-"&amp;
IF(E1379="Residential/Group Housing","RES",
IF(E1379="Commercial","COM",
IF(E1379="Mixed Development","MIX",
IF(E1379="Plotted Development","PLT","OTH"))))
&amp;"-"&amp;TEXT(COUNTIFS($B$9:B1379,B1379,$E$9:E1379,E1379),"0000")</f>
        <v>SUR-PLT-0261</v>
      </c>
      <c r="B1379" s="322" t="s">
        <v>34</v>
      </c>
      <c r="C1379" s="322" t="s">
        <v>34</v>
      </c>
      <c r="D1379" s="323" t="s">
        <v>1569</v>
      </c>
      <c r="E1379" s="132" t="s">
        <v>26</v>
      </c>
      <c r="F1379" s="97" t="str">
        <f ca="1">IF(OR(Market_Data[[#This Row],[Start Date]]="",Market_Data[[#This Row],[Completion Date]]=""),"Needs Validation",IF(Market_Data[[#This Row],[Start Date]]&gt;TODAY(),"Planned",IF(Market_Data[[#This Row],[Completion Date]]&lt;TODAY(),"Completed","Ongoing")))</f>
        <v>Ongoing</v>
      </c>
      <c r="G1379" s="324">
        <v>45421</v>
      </c>
      <c r="H1379" s="324">
        <v>46752</v>
      </c>
      <c r="I1379" s="325">
        <v>4100</v>
      </c>
      <c r="J137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79" s="133">
        <f>_xlfn.XLOOKUP(Market_Data[[#This Row],[Project Type]],tbl_assumptions_market[Project Category (RERA)],tbl_assumptions_market[Concrete Intensity
(m³ / sq m BUA)],"",0)</f>
        <v>0.18</v>
      </c>
      <c r="L1379" s="134">
        <f>ROUND(Market_Data[[#This Row],[Estimated Built Up Area (sq m)]]*Market_Data[[#This Row],[Concrete Intensity
(m³ / sq m)]],0)</f>
        <v>738</v>
      </c>
      <c r="M1379" s="135">
        <f>_xlfn.XLOOKUP(Market_Data[[#This Row],[District]],tbl_district_price[District],tbl_district_price[Standard Price
(INR/m³)],"",0)</f>
        <v>6200</v>
      </c>
      <c r="N1379" s="364">
        <f>IF(OR(Market_Data[[#This Row],[Estimated Concrete Demand (m³)]]="",Market_Data[[#This Row],[Avg Price per (₹ / m³)]]=""),"",Market_Data[[#This Row],[Estimated Concrete Demand (m³)]]*Market_Data[[#This Row],[Avg Price per (₹ / m³)]]/10000000)</f>
        <v>0.45756000000000002</v>
      </c>
      <c r="O1379" s="97" t="str">
        <f>IF(Market_Data[[#This Row],[Estimated Concrete Demand (m³)]]="","",
IF(Market_Data[[#This Row],[Estimated Concrete Demand (m³)]]&lt;10000,"Small",
IF(Market_Data[[#This Row],[Estimated Concrete Demand (m³)]]&lt;25000,"Medium",
IF(Market_Data[[#This Row],[Estimated Concrete Demand (m³)]]&lt;100000,"Large","Mega"))))</f>
        <v>Small</v>
      </c>
      <c r="P1379" s="287" t="str">
        <f t="shared" si="23"/>
        <v>GujRERA</v>
      </c>
    </row>
    <row r="1380" spans="1:16">
      <c r="A1380" s="129" t="str">
        <f>_xlfn.XLOOKUP(B1380,$S$9:$S$14,$T$9:$T$14)&amp;"-"&amp;
IF(E1380="Residential/Group Housing","RES",
IF(E1380="Commercial","COM",
IF(E1380="Mixed Development","MIX",
IF(E1380="Plotted Development","PLT","OTH"))))
&amp;"-"&amp;TEXT(COUNTIFS($B$9:B1380,B1380,$E$9:E1380,E1380),"0000")</f>
        <v>SUR-PLT-0262</v>
      </c>
      <c r="B1380" s="322" t="s">
        <v>34</v>
      </c>
      <c r="C1380" s="322" t="s">
        <v>34</v>
      </c>
      <c r="D1380" s="323" t="s">
        <v>1570</v>
      </c>
      <c r="E1380" s="132" t="s">
        <v>26</v>
      </c>
      <c r="F1380" s="97" t="str">
        <f ca="1">IF(OR(Market_Data[[#This Row],[Start Date]]="",Market_Data[[#This Row],[Completion Date]]=""),"Needs Validation",IF(Market_Data[[#This Row],[Start Date]]&gt;TODAY(),"Planned",IF(Market_Data[[#This Row],[Completion Date]]&lt;TODAY(),"Completed","Ongoing")))</f>
        <v>Ongoing</v>
      </c>
      <c r="G1380" s="324">
        <v>45421</v>
      </c>
      <c r="H1380" s="324">
        <v>46752</v>
      </c>
      <c r="I1380" s="325">
        <v>36800</v>
      </c>
      <c r="J138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380" s="133">
        <f>_xlfn.XLOOKUP(Market_Data[[#This Row],[Project Type]],tbl_assumptions_market[Project Category (RERA)],tbl_assumptions_market[Concrete Intensity
(m³ / sq m BUA)],"",0)</f>
        <v>0.18</v>
      </c>
      <c r="L1380" s="134">
        <f>ROUND(Market_Data[[#This Row],[Estimated Built Up Area (sq m)]]*Market_Data[[#This Row],[Concrete Intensity
(m³ / sq m)]],0)</f>
        <v>6624</v>
      </c>
      <c r="M1380" s="135">
        <f>_xlfn.XLOOKUP(Market_Data[[#This Row],[District]],tbl_district_price[District],tbl_district_price[Standard Price
(INR/m³)],"",0)</f>
        <v>6200</v>
      </c>
      <c r="N1380" s="364">
        <f>IF(OR(Market_Data[[#This Row],[Estimated Concrete Demand (m³)]]="",Market_Data[[#This Row],[Avg Price per (₹ / m³)]]=""),"",Market_Data[[#This Row],[Estimated Concrete Demand (m³)]]*Market_Data[[#This Row],[Avg Price per (₹ / m³)]]/10000000)</f>
        <v>4.1068800000000003</v>
      </c>
      <c r="O1380" s="97" t="str">
        <f>IF(Market_Data[[#This Row],[Estimated Concrete Demand (m³)]]="","",
IF(Market_Data[[#This Row],[Estimated Concrete Demand (m³)]]&lt;10000,"Small",
IF(Market_Data[[#This Row],[Estimated Concrete Demand (m³)]]&lt;25000,"Medium",
IF(Market_Data[[#This Row],[Estimated Concrete Demand (m³)]]&lt;100000,"Large","Mega"))))</f>
        <v>Small</v>
      </c>
      <c r="P1380" s="287" t="str">
        <f t="shared" si="23"/>
        <v>GujRERA</v>
      </c>
    </row>
    <row r="1381" spans="1:16">
      <c r="A1381" s="129" t="str">
        <f>_xlfn.XLOOKUP(B1381,$S$9:$S$14,$T$9:$T$14)&amp;"-"&amp;
IF(E1381="Residential/Group Housing","RES",
IF(E1381="Commercial","COM",
IF(E1381="Mixed Development","MIX",
IF(E1381="Plotted Development","PLT","OTH"))))
&amp;"-"&amp;TEXT(COUNTIFS($B$9:B1381,B1381,$E$9:E1381,E1381),"0000")</f>
        <v>SUR-RES-0395</v>
      </c>
      <c r="B1381" s="322" t="s">
        <v>34</v>
      </c>
      <c r="C1381" s="322" t="s">
        <v>34</v>
      </c>
      <c r="D1381" s="323" t="s">
        <v>1571</v>
      </c>
      <c r="E1381" s="132" t="s">
        <v>24</v>
      </c>
      <c r="F1381" s="97" t="str">
        <f ca="1">IF(OR(Market_Data[[#This Row],[Start Date]]="",Market_Data[[#This Row],[Completion Date]]=""),"Needs Validation",IF(Market_Data[[#This Row],[Start Date]]&gt;TODAY(),"Planned",IF(Market_Data[[#This Row],[Completion Date]]&lt;TODAY(),"Completed","Ongoing")))</f>
        <v>Completed</v>
      </c>
      <c r="G1381" s="324">
        <v>43243</v>
      </c>
      <c r="H1381" s="324">
        <v>45838</v>
      </c>
      <c r="I1381" s="325">
        <v>4400</v>
      </c>
      <c r="J138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81" s="133">
        <f>_xlfn.XLOOKUP(Market_Data[[#This Row],[Project Type]],tbl_assumptions_market[Project Category (RERA)],tbl_assumptions_market[Concrete Intensity
(m³ / sq m BUA)],"",0)</f>
        <v>0.45</v>
      </c>
      <c r="L1381" s="134">
        <f>ROUND(Market_Data[[#This Row],[Estimated Built Up Area (sq m)]]*Market_Data[[#This Row],[Concrete Intensity
(m³ / sq m)]],0)</f>
        <v>1980</v>
      </c>
      <c r="M1381" s="135">
        <f>_xlfn.XLOOKUP(Market_Data[[#This Row],[District]],tbl_district_price[District],tbl_district_price[Standard Price
(INR/m³)],"",0)</f>
        <v>6200</v>
      </c>
      <c r="N1381" s="364">
        <f>IF(OR(Market_Data[[#This Row],[Estimated Concrete Demand (m³)]]="",Market_Data[[#This Row],[Avg Price per (₹ / m³)]]=""),"",Market_Data[[#This Row],[Estimated Concrete Demand (m³)]]*Market_Data[[#This Row],[Avg Price per (₹ / m³)]]/10000000)</f>
        <v>1.2276</v>
      </c>
      <c r="O1381" s="97" t="str">
        <f>IF(Market_Data[[#This Row],[Estimated Concrete Demand (m³)]]="","",
IF(Market_Data[[#This Row],[Estimated Concrete Demand (m³)]]&lt;10000,"Small",
IF(Market_Data[[#This Row],[Estimated Concrete Demand (m³)]]&lt;25000,"Medium",
IF(Market_Data[[#This Row],[Estimated Concrete Demand (m³)]]&lt;100000,"Large","Mega"))))</f>
        <v>Small</v>
      </c>
      <c r="P1381" s="287" t="str">
        <f t="shared" si="23"/>
        <v>GujRERA</v>
      </c>
    </row>
    <row r="1382" spans="1:16">
      <c r="A1382" s="129" t="str">
        <f>_xlfn.XLOOKUP(B1382,$S$9:$S$14,$T$9:$T$14)&amp;"-"&amp;
IF(E1382="Residential/Group Housing","RES",
IF(E1382="Commercial","COM",
IF(E1382="Mixed Development","MIX",
IF(E1382="Plotted Development","PLT","OTH"))))
&amp;"-"&amp;TEXT(COUNTIFS($B$9:B1382,B1382,$E$9:E1382,E1382),"0000")</f>
        <v>SUR-PLT-0263</v>
      </c>
      <c r="B1382" s="322" t="s">
        <v>34</v>
      </c>
      <c r="C1382" s="322" t="s">
        <v>34</v>
      </c>
      <c r="D1382" s="323" t="s">
        <v>1572</v>
      </c>
      <c r="E1382" s="132" t="s">
        <v>26</v>
      </c>
      <c r="F1382" s="97" t="str">
        <f ca="1">IF(OR(Market_Data[[#This Row],[Start Date]]="",Market_Data[[#This Row],[Completion Date]]=""),"Needs Validation",IF(Market_Data[[#This Row],[Start Date]]&gt;TODAY(),"Planned",IF(Market_Data[[#This Row],[Completion Date]]&lt;TODAY(),"Completed","Ongoing")))</f>
        <v>Ongoing</v>
      </c>
      <c r="G1382" s="324">
        <v>45484</v>
      </c>
      <c r="H1382" s="324">
        <v>46752</v>
      </c>
      <c r="I1382" s="325">
        <v>46600</v>
      </c>
      <c r="J138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382" s="133">
        <f>_xlfn.XLOOKUP(Market_Data[[#This Row],[Project Type]],tbl_assumptions_market[Project Category (RERA)],tbl_assumptions_market[Concrete Intensity
(m³ / sq m BUA)],"",0)</f>
        <v>0.18</v>
      </c>
      <c r="L1382" s="134">
        <f>ROUND(Market_Data[[#This Row],[Estimated Built Up Area (sq m)]]*Market_Data[[#This Row],[Concrete Intensity
(m³ / sq m)]],0)</f>
        <v>8388</v>
      </c>
      <c r="M1382" s="135">
        <f>_xlfn.XLOOKUP(Market_Data[[#This Row],[District]],tbl_district_price[District],tbl_district_price[Standard Price
(INR/m³)],"",0)</f>
        <v>6200</v>
      </c>
      <c r="N1382" s="364">
        <f>IF(OR(Market_Data[[#This Row],[Estimated Concrete Demand (m³)]]="",Market_Data[[#This Row],[Avg Price per (₹ / m³)]]=""),"",Market_Data[[#This Row],[Estimated Concrete Demand (m³)]]*Market_Data[[#This Row],[Avg Price per (₹ / m³)]]/10000000)</f>
        <v>5.2005600000000003</v>
      </c>
      <c r="O1382" s="97" t="str">
        <f>IF(Market_Data[[#This Row],[Estimated Concrete Demand (m³)]]="","",
IF(Market_Data[[#This Row],[Estimated Concrete Demand (m³)]]&lt;10000,"Small",
IF(Market_Data[[#This Row],[Estimated Concrete Demand (m³)]]&lt;25000,"Medium",
IF(Market_Data[[#This Row],[Estimated Concrete Demand (m³)]]&lt;100000,"Large","Mega"))))</f>
        <v>Small</v>
      </c>
      <c r="P1382" s="287" t="str">
        <f t="shared" si="23"/>
        <v>GujRERA</v>
      </c>
    </row>
    <row r="1383" spans="1:16">
      <c r="A1383" s="129" t="str">
        <f>_xlfn.XLOOKUP(B1383,$S$9:$S$14,$T$9:$T$14)&amp;"-"&amp;
IF(E1383="Residential/Group Housing","RES",
IF(E1383="Commercial","COM",
IF(E1383="Mixed Development","MIX",
IF(E1383="Plotted Development","PLT","OTH"))))
&amp;"-"&amp;TEXT(COUNTIFS($B$9:B1383,B1383,$E$9:E1383,E1383),"0000")</f>
        <v>SUR-COM-0207</v>
      </c>
      <c r="B1383" s="322" t="s">
        <v>34</v>
      </c>
      <c r="C1383" s="322" t="s">
        <v>34</v>
      </c>
      <c r="D1383" s="323" t="s">
        <v>1573</v>
      </c>
      <c r="E1383" s="132" t="s">
        <v>23</v>
      </c>
      <c r="F1383" s="97" t="str">
        <f ca="1">IF(OR(Market_Data[[#This Row],[Start Date]]="",Market_Data[[#This Row],[Completion Date]]=""),"Needs Validation",IF(Market_Data[[#This Row],[Start Date]]&gt;TODAY(),"Planned",IF(Market_Data[[#This Row],[Completion Date]]&lt;TODAY(),"Completed","Ongoing")))</f>
        <v>Completed</v>
      </c>
      <c r="G1383" s="324">
        <v>42736</v>
      </c>
      <c r="H1383" s="324">
        <v>43834</v>
      </c>
      <c r="I1383" s="325">
        <v>56000</v>
      </c>
      <c r="J138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383" s="133">
        <f>_xlfn.XLOOKUP(Market_Data[[#This Row],[Project Type]],tbl_assumptions_market[Project Category (RERA)],tbl_assumptions_market[Concrete Intensity
(m³ / sq m BUA)],"",0)</f>
        <v>0.5</v>
      </c>
      <c r="L1383" s="134">
        <f>ROUND(Market_Data[[#This Row],[Estimated Built Up Area (sq m)]]*Market_Data[[#This Row],[Concrete Intensity
(m³ / sq m)]],0)</f>
        <v>28000</v>
      </c>
      <c r="M1383" s="135">
        <f>_xlfn.XLOOKUP(Market_Data[[#This Row],[District]],tbl_district_price[District],tbl_district_price[Standard Price
(INR/m³)],"",0)</f>
        <v>6200</v>
      </c>
      <c r="N1383" s="364">
        <f>IF(OR(Market_Data[[#This Row],[Estimated Concrete Demand (m³)]]="",Market_Data[[#This Row],[Avg Price per (₹ / m³)]]=""),"",Market_Data[[#This Row],[Estimated Concrete Demand (m³)]]*Market_Data[[#This Row],[Avg Price per (₹ / m³)]]/10000000)</f>
        <v>17.36</v>
      </c>
      <c r="O1383" s="97" t="str">
        <f>IF(Market_Data[[#This Row],[Estimated Concrete Demand (m³)]]="","",
IF(Market_Data[[#This Row],[Estimated Concrete Demand (m³)]]&lt;10000,"Small",
IF(Market_Data[[#This Row],[Estimated Concrete Demand (m³)]]&lt;25000,"Medium",
IF(Market_Data[[#This Row],[Estimated Concrete Demand (m³)]]&lt;100000,"Large","Mega"))))</f>
        <v>Large</v>
      </c>
      <c r="P1383" s="287" t="str">
        <f t="shared" si="23"/>
        <v>GujRERA</v>
      </c>
    </row>
    <row r="1384" spans="1:16">
      <c r="A1384" s="129" t="str">
        <f>_xlfn.XLOOKUP(B1384,$S$9:$S$14,$T$9:$T$14)&amp;"-"&amp;
IF(E1384="Residential/Group Housing","RES",
IF(E1384="Commercial","COM",
IF(E1384="Mixed Development","MIX",
IF(E1384="Plotted Development","PLT","OTH"))))
&amp;"-"&amp;TEXT(COUNTIFS($B$9:B1384,B1384,$E$9:E1384,E1384),"0000")</f>
        <v>SUR-COM-0208</v>
      </c>
      <c r="B1384" s="322" t="s">
        <v>34</v>
      </c>
      <c r="C1384" s="322" t="s">
        <v>34</v>
      </c>
      <c r="D1384" s="323" t="s">
        <v>1574</v>
      </c>
      <c r="E1384" s="132" t="s">
        <v>23</v>
      </c>
      <c r="F1384" s="97" t="str">
        <f ca="1">IF(OR(Market_Data[[#This Row],[Start Date]]="",Market_Data[[#This Row],[Completion Date]]=""),"Needs Validation",IF(Market_Data[[#This Row],[Start Date]]&gt;TODAY(),"Planned",IF(Market_Data[[#This Row],[Completion Date]]&lt;TODAY(),"Completed","Ongoing")))</f>
        <v>Ongoing</v>
      </c>
      <c r="G1384" s="324">
        <v>45066</v>
      </c>
      <c r="H1384" s="324">
        <v>47848</v>
      </c>
      <c r="I1384" s="325">
        <v>28300</v>
      </c>
      <c r="J138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384" s="133">
        <f>_xlfn.XLOOKUP(Market_Data[[#This Row],[Project Type]],tbl_assumptions_market[Project Category (RERA)],tbl_assumptions_market[Concrete Intensity
(m³ / sq m BUA)],"",0)</f>
        <v>0.5</v>
      </c>
      <c r="L1384" s="134">
        <f>ROUND(Market_Data[[#This Row],[Estimated Built Up Area (sq m)]]*Market_Data[[#This Row],[Concrete Intensity
(m³ / sq m)]],0)</f>
        <v>14150</v>
      </c>
      <c r="M1384" s="135">
        <f>_xlfn.XLOOKUP(Market_Data[[#This Row],[District]],tbl_district_price[District],tbl_district_price[Standard Price
(INR/m³)],"",0)</f>
        <v>6200</v>
      </c>
      <c r="N1384" s="364">
        <f>IF(OR(Market_Data[[#This Row],[Estimated Concrete Demand (m³)]]="",Market_Data[[#This Row],[Avg Price per (₹ / m³)]]=""),"",Market_Data[[#This Row],[Estimated Concrete Demand (m³)]]*Market_Data[[#This Row],[Avg Price per (₹ / m³)]]/10000000)</f>
        <v>8.7729999999999997</v>
      </c>
      <c r="O1384" s="97" t="str">
        <f>IF(Market_Data[[#This Row],[Estimated Concrete Demand (m³)]]="","",
IF(Market_Data[[#This Row],[Estimated Concrete Demand (m³)]]&lt;10000,"Small",
IF(Market_Data[[#This Row],[Estimated Concrete Demand (m³)]]&lt;25000,"Medium",
IF(Market_Data[[#This Row],[Estimated Concrete Demand (m³)]]&lt;100000,"Large","Mega"))))</f>
        <v>Medium</v>
      </c>
      <c r="P1384" s="287" t="str">
        <f t="shared" si="23"/>
        <v>GujRERA</v>
      </c>
    </row>
    <row r="1385" spans="1:16">
      <c r="A1385" s="129" t="str">
        <f>_xlfn.XLOOKUP(B1385,$S$9:$S$14,$T$9:$T$14)&amp;"-"&amp;
IF(E1385="Residential/Group Housing","RES",
IF(E1385="Commercial","COM",
IF(E1385="Mixed Development","MIX",
IF(E1385="Plotted Development","PLT","OTH"))))
&amp;"-"&amp;TEXT(COUNTIFS($B$9:B1385,B1385,$E$9:E1385,E1385),"0000")</f>
        <v>SUR-COM-0209</v>
      </c>
      <c r="B1385" s="322" t="s">
        <v>34</v>
      </c>
      <c r="C1385" s="322" t="s">
        <v>34</v>
      </c>
      <c r="D1385" s="323" t="s">
        <v>1575</v>
      </c>
      <c r="E1385" s="132" t="s">
        <v>23</v>
      </c>
      <c r="F1385" s="97" t="str">
        <f ca="1">IF(OR(Market_Data[[#This Row],[Start Date]]="",Market_Data[[#This Row],[Completion Date]]=""),"Needs Validation",IF(Market_Data[[#This Row],[Start Date]]&gt;TODAY(),"Planned",IF(Market_Data[[#This Row],[Completion Date]]&lt;TODAY(),"Completed","Ongoing")))</f>
        <v>Ongoing</v>
      </c>
      <c r="G1385" s="324">
        <v>45400</v>
      </c>
      <c r="H1385" s="324">
        <v>47573</v>
      </c>
      <c r="I1385" s="325">
        <v>9100</v>
      </c>
      <c r="J138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85" s="133">
        <f>_xlfn.XLOOKUP(Market_Data[[#This Row],[Project Type]],tbl_assumptions_market[Project Category (RERA)],tbl_assumptions_market[Concrete Intensity
(m³ / sq m BUA)],"",0)</f>
        <v>0.5</v>
      </c>
      <c r="L1385" s="134">
        <f>ROUND(Market_Data[[#This Row],[Estimated Built Up Area (sq m)]]*Market_Data[[#This Row],[Concrete Intensity
(m³ / sq m)]],0)</f>
        <v>4550</v>
      </c>
      <c r="M1385" s="135">
        <f>_xlfn.XLOOKUP(Market_Data[[#This Row],[District]],tbl_district_price[District],tbl_district_price[Standard Price
(INR/m³)],"",0)</f>
        <v>6200</v>
      </c>
      <c r="N1385" s="364">
        <f>IF(OR(Market_Data[[#This Row],[Estimated Concrete Demand (m³)]]="",Market_Data[[#This Row],[Avg Price per (₹ / m³)]]=""),"",Market_Data[[#This Row],[Estimated Concrete Demand (m³)]]*Market_Data[[#This Row],[Avg Price per (₹ / m³)]]/10000000)</f>
        <v>2.8210000000000002</v>
      </c>
      <c r="O1385" s="97" t="str">
        <f>IF(Market_Data[[#This Row],[Estimated Concrete Demand (m³)]]="","",
IF(Market_Data[[#This Row],[Estimated Concrete Demand (m³)]]&lt;10000,"Small",
IF(Market_Data[[#This Row],[Estimated Concrete Demand (m³)]]&lt;25000,"Medium",
IF(Market_Data[[#This Row],[Estimated Concrete Demand (m³)]]&lt;100000,"Large","Mega"))))</f>
        <v>Small</v>
      </c>
      <c r="P1385" s="287" t="str">
        <f t="shared" si="23"/>
        <v>GujRERA</v>
      </c>
    </row>
    <row r="1386" spans="1:16">
      <c r="A1386" s="129" t="str">
        <f>_xlfn.XLOOKUP(B1386,$S$9:$S$14,$T$9:$T$14)&amp;"-"&amp;
IF(E1386="Residential/Group Housing","RES",
IF(E1386="Commercial","COM",
IF(E1386="Mixed Development","MIX",
IF(E1386="Plotted Development","PLT","OTH"))))
&amp;"-"&amp;TEXT(COUNTIFS($B$9:B1386,B1386,$E$9:E1386,E1386),"0000")</f>
        <v>SUR-COM-0210</v>
      </c>
      <c r="B1386" s="322" t="s">
        <v>34</v>
      </c>
      <c r="C1386" s="322" t="s">
        <v>34</v>
      </c>
      <c r="D1386" s="323" t="s">
        <v>1576</v>
      </c>
      <c r="E1386" s="132" t="s">
        <v>23</v>
      </c>
      <c r="F1386" s="97" t="str">
        <f ca="1">IF(OR(Market_Data[[#This Row],[Start Date]]="",Market_Data[[#This Row],[Completion Date]]=""),"Needs Validation",IF(Market_Data[[#This Row],[Start Date]]&gt;TODAY(),"Planned",IF(Market_Data[[#This Row],[Completion Date]]&lt;TODAY(),"Completed","Ongoing")))</f>
        <v>Ongoing</v>
      </c>
      <c r="G1386" s="324">
        <v>45589</v>
      </c>
      <c r="H1386" s="324">
        <v>47483</v>
      </c>
      <c r="I1386" s="325">
        <v>10600</v>
      </c>
      <c r="J138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86" s="133">
        <f>_xlfn.XLOOKUP(Market_Data[[#This Row],[Project Type]],tbl_assumptions_market[Project Category (RERA)],tbl_assumptions_market[Concrete Intensity
(m³ / sq m BUA)],"",0)</f>
        <v>0.5</v>
      </c>
      <c r="L1386" s="134">
        <f>ROUND(Market_Data[[#This Row],[Estimated Built Up Area (sq m)]]*Market_Data[[#This Row],[Concrete Intensity
(m³ / sq m)]],0)</f>
        <v>5300</v>
      </c>
      <c r="M1386" s="135">
        <f>_xlfn.XLOOKUP(Market_Data[[#This Row],[District]],tbl_district_price[District],tbl_district_price[Standard Price
(INR/m³)],"",0)</f>
        <v>6200</v>
      </c>
      <c r="N1386" s="364">
        <f>IF(OR(Market_Data[[#This Row],[Estimated Concrete Demand (m³)]]="",Market_Data[[#This Row],[Avg Price per (₹ / m³)]]=""),"",Market_Data[[#This Row],[Estimated Concrete Demand (m³)]]*Market_Data[[#This Row],[Avg Price per (₹ / m³)]]/10000000)</f>
        <v>3.286</v>
      </c>
      <c r="O1386" s="97" t="str">
        <f>IF(Market_Data[[#This Row],[Estimated Concrete Demand (m³)]]="","",
IF(Market_Data[[#This Row],[Estimated Concrete Demand (m³)]]&lt;10000,"Small",
IF(Market_Data[[#This Row],[Estimated Concrete Demand (m³)]]&lt;25000,"Medium",
IF(Market_Data[[#This Row],[Estimated Concrete Demand (m³)]]&lt;100000,"Large","Mega"))))</f>
        <v>Small</v>
      </c>
      <c r="P1386" s="287" t="str">
        <f t="shared" si="23"/>
        <v>GujRERA</v>
      </c>
    </row>
    <row r="1387" spans="1:16">
      <c r="A1387" s="129" t="str">
        <f>_xlfn.XLOOKUP(B1387,$S$9:$S$14,$T$9:$T$14)&amp;"-"&amp;
IF(E1387="Residential/Group Housing","RES",
IF(E1387="Commercial","COM",
IF(E1387="Mixed Development","MIX",
IF(E1387="Plotted Development","PLT","OTH"))))
&amp;"-"&amp;TEXT(COUNTIFS($B$9:B1387,B1387,$E$9:E1387,E1387),"0000")</f>
        <v>SUR-COM-0211</v>
      </c>
      <c r="B1387" s="322" t="s">
        <v>34</v>
      </c>
      <c r="C1387" s="322" t="s">
        <v>34</v>
      </c>
      <c r="D1387" s="323" t="s">
        <v>1577</v>
      </c>
      <c r="E1387" s="132" t="s">
        <v>23</v>
      </c>
      <c r="F1387" s="97" t="str">
        <f ca="1">IF(OR(Market_Data[[#This Row],[Start Date]]="",Market_Data[[#This Row],[Completion Date]]=""),"Needs Validation",IF(Market_Data[[#This Row],[Start Date]]&gt;TODAY(),"Planned",IF(Market_Data[[#This Row],[Completion Date]]&lt;TODAY(),"Completed","Ongoing")))</f>
        <v>Ongoing</v>
      </c>
      <c r="G1387" s="324">
        <v>44261</v>
      </c>
      <c r="H1387" s="324">
        <v>46387</v>
      </c>
      <c r="I1387" s="325">
        <v>5500</v>
      </c>
      <c r="J138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87" s="133">
        <f>_xlfn.XLOOKUP(Market_Data[[#This Row],[Project Type]],tbl_assumptions_market[Project Category (RERA)],tbl_assumptions_market[Concrete Intensity
(m³ / sq m BUA)],"",0)</f>
        <v>0.5</v>
      </c>
      <c r="L1387" s="134">
        <f>ROUND(Market_Data[[#This Row],[Estimated Built Up Area (sq m)]]*Market_Data[[#This Row],[Concrete Intensity
(m³ / sq m)]],0)</f>
        <v>2750</v>
      </c>
      <c r="M1387" s="135">
        <f>_xlfn.XLOOKUP(Market_Data[[#This Row],[District]],tbl_district_price[District],tbl_district_price[Standard Price
(INR/m³)],"",0)</f>
        <v>6200</v>
      </c>
      <c r="N1387" s="364">
        <f>IF(OR(Market_Data[[#This Row],[Estimated Concrete Demand (m³)]]="",Market_Data[[#This Row],[Avg Price per (₹ / m³)]]=""),"",Market_Data[[#This Row],[Estimated Concrete Demand (m³)]]*Market_Data[[#This Row],[Avg Price per (₹ / m³)]]/10000000)</f>
        <v>1.7050000000000001</v>
      </c>
      <c r="O1387" s="97" t="str">
        <f>IF(Market_Data[[#This Row],[Estimated Concrete Demand (m³)]]="","",
IF(Market_Data[[#This Row],[Estimated Concrete Demand (m³)]]&lt;10000,"Small",
IF(Market_Data[[#This Row],[Estimated Concrete Demand (m³)]]&lt;25000,"Medium",
IF(Market_Data[[#This Row],[Estimated Concrete Demand (m³)]]&lt;100000,"Large","Mega"))))</f>
        <v>Small</v>
      </c>
      <c r="P1387" s="287" t="str">
        <f t="shared" si="23"/>
        <v>GujRERA</v>
      </c>
    </row>
    <row r="1388" spans="1:16">
      <c r="A1388" s="129" t="str">
        <f>_xlfn.XLOOKUP(B1388,$S$9:$S$14,$T$9:$T$14)&amp;"-"&amp;
IF(E1388="Residential/Group Housing","RES",
IF(E1388="Commercial","COM",
IF(E1388="Mixed Development","MIX",
IF(E1388="Plotted Development","PLT","OTH"))))
&amp;"-"&amp;TEXT(COUNTIFS($B$9:B1388,B1388,$E$9:E1388,E1388),"0000")</f>
        <v>SUR-MIX-0201</v>
      </c>
      <c r="B1388" s="322" t="s">
        <v>34</v>
      </c>
      <c r="C1388" s="322" t="s">
        <v>34</v>
      </c>
      <c r="D1388" s="323" t="s">
        <v>1578</v>
      </c>
      <c r="E1388" s="132" t="s">
        <v>25</v>
      </c>
      <c r="F1388" s="97" t="str">
        <f ca="1">IF(OR(Market_Data[[#This Row],[Start Date]]="",Market_Data[[#This Row],[Completion Date]]=""),"Needs Validation",IF(Market_Data[[#This Row],[Start Date]]&gt;TODAY(),"Planned",IF(Market_Data[[#This Row],[Completion Date]]&lt;TODAY(),"Completed","Ongoing")))</f>
        <v>Completed</v>
      </c>
      <c r="G1388" s="324">
        <v>42653</v>
      </c>
      <c r="H1388" s="324">
        <v>43373</v>
      </c>
      <c r="I1388" s="325">
        <v>43500</v>
      </c>
      <c r="J138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88" s="133">
        <f>_xlfn.XLOOKUP(Market_Data[[#This Row],[Project Type]],tbl_assumptions_market[Project Category (RERA)],tbl_assumptions_market[Concrete Intensity
(m³ / sq m BUA)],"",0)</f>
        <v>0.42</v>
      </c>
      <c r="L1388" s="134">
        <f>ROUND(Market_Data[[#This Row],[Estimated Built Up Area (sq m)]]*Market_Data[[#This Row],[Concrete Intensity
(m³ / sq m)]],0)</f>
        <v>18270</v>
      </c>
      <c r="M1388" s="135">
        <f>_xlfn.XLOOKUP(Market_Data[[#This Row],[District]],tbl_district_price[District],tbl_district_price[Standard Price
(INR/m³)],"",0)</f>
        <v>6200</v>
      </c>
      <c r="N1388" s="364">
        <f>IF(OR(Market_Data[[#This Row],[Estimated Concrete Demand (m³)]]="",Market_Data[[#This Row],[Avg Price per (₹ / m³)]]=""),"",Market_Data[[#This Row],[Estimated Concrete Demand (m³)]]*Market_Data[[#This Row],[Avg Price per (₹ / m³)]]/10000000)</f>
        <v>11.327400000000001</v>
      </c>
      <c r="O1388" s="97" t="str">
        <f>IF(Market_Data[[#This Row],[Estimated Concrete Demand (m³)]]="","",
IF(Market_Data[[#This Row],[Estimated Concrete Demand (m³)]]&lt;10000,"Small",
IF(Market_Data[[#This Row],[Estimated Concrete Demand (m³)]]&lt;25000,"Medium",
IF(Market_Data[[#This Row],[Estimated Concrete Demand (m³)]]&lt;100000,"Large","Mega"))))</f>
        <v>Medium</v>
      </c>
      <c r="P1388" s="287" t="str">
        <f t="shared" si="23"/>
        <v>GujRERA</v>
      </c>
    </row>
    <row r="1389" spans="1:16">
      <c r="A1389" s="129" t="str">
        <f>_xlfn.XLOOKUP(B1389,$S$9:$S$14,$T$9:$T$14)&amp;"-"&amp;
IF(E1389="Residential/Group Housing","RES",
IF(E1389="Commercial","COM",
IF(E1389="Mixed Development","MIX",
IF(E1389="Plotted Development","PLT","OTH"))))
&amp;"-"&amp;TEXT(COUNTIFS($B$9:B1389,B1389,$E$9:E1389,E1389),"0000")</f>
        <v>SUR-RES-0396</v>
      </c>
      <c r="B1389" s="322" t="s">
        <v>34</v>
      </c>
      <c r="C1389" s="322" t="s">
        <v>34</v>
      </c>
      <c r="D1389" s="323" t="s">
        <v>1579</v>
      </c>
      <c r="E1389" s="132" t="s">
        <v>24</v>
      </c>
      <c r="F1389" s="97" t="str">
        <f ca="1">IF(OR(Market_Data[[#This Row],[Start Date]]="",Market_Data[[#This Row],[Completion Date]]=""),"Needs Validation",IF(Market_Data[[#This Row],[Start Date]]&gt;TODAY(),"Planned",IF(Market_Data[[#This Row],[Completion Date]]&lt;TODAY(),"Completed","Ongoing")))</f>
        <v>Completed</v>
      </c>
      <c r="G1389" s="324">
        <v>43374</v>
      </c>
      <c r="H1389" s="324">
        <v>44742</v>
      </c>
      <c r="I1389" s="325">
        <v>42200</v>
      </c>
      <c r="J138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89" s="133">
        <f>_xlfn.XLOOKUP(Market_Data[[#This Row],[Project Type]],tbl_assumptions_market[Project Category (RERA)],tbl_assumptions_market[Concrete Intensity
(m³ / sq m BUA)],"",0)</f>
        <v>0.45</v>
      </c>
      <c r="L1389" s="134">
        <f>ROUND(Market_Data[[#This Row],[Estimated Built Up Area (sq m)]]*Market_Data[[#This Row],[Concrete Intensity
(m³ / sq m)]],0)</f>
        <v>18990</v>
      </c>
      <c r="M1389" s="135">
        <f>_xlfn.XLOOKUP(Market_Data[[#This Row],[District]],tbl_district_price[District],tbl_district_price[Standard Price
(INR/m³)],"",0)</f>
        <v>6200</v>
      </c>
      <c r="N1389" s="364">
        <f>IF(OR(Market_Data[[#This Row],[Estimated Concrete Demand (m³)]]="",Market_Data[[#This Row],[Avg Price per (₹ / m³)]]=""),"",Market_Data[[#This Row],[Estimated Concrete Demand (m³)]]*Market_Data[[#This Row],[Avg Price per (₹ / m³)]]/10000000)</f>
        <v>11.7738</v>
      </c>
      <c r="O1389" s="97" t="str">
        <f>IF(Market_Data[[#This Row],[Estimated Concrete Demand (m³)]]="","",
IF(Market_Data[[#This Row],[Estimated Concrete Demand (m³)]]&lt;10000,"Small",
IF(Market_Data[[#This Row],[Estimated Concrete Demand (m³)]]&lt;25000,"Medium",
IF(Market_Data[[#This Row],[Estimated Concrete Demand (m³)]]&lt;100000,"Large","Mega"))))</f>
        <v>Medium</v>
      </c>
      <c r="P1389" s="287" t="str">
        <f t="shared" si="23"/>
        <v>GujRERA</v>
      </c>
    </row>
    <row r="1390" spans="1:16">
      <c r="A1390" s="129" t="str">
        <f>_xlfn.XLOOKUP(B1390,$S$9:$S$14,$T$9:$T$14)&amp;"-"&amp;
IF(E1390="Residential/Group Housing","RES",
IF(E1390="Commercial","COM",
IF(E1390="Mixed Development","MIX",
IF(E1390="Plotted Development","PLT","OTH"))))
&amp;"-"&amp;TEXT(COUNTIFS($B$9:B1390,B1390,$E$9:E1390,E1390),"0000")</f>
        <v>SUR-RES-0397</v>
      </c>
      <c r="B1390" s="322" t="s">
        <v>34</v>
      </c>
      <c r="C1390" s="322" t="s">
        <v>34</v>
      </c>
      <c r="D1390" s="323" t="s">
        <v>1580</v>
      </c>
      <c r="E1390" s="132" t="s">
        <v>24</v>
      </c>
      <c r="F1390" s="97" t="str">
        <f ca="1">IF(OR(Market_Data[[#This Row],[Start Date]]="",Market_Data[[#This Row],[Completion Date]]=""),"Needs Validation",IF(Market_Data[[#This Row],[Start Date]]&gt;TODAY(),"Planned",IF(Market_Data[[#This Row],[Completion Date]]&lt;TODAY(),"Completed","Ongoing")))</f>
        <v>Completed</v>
      </c>
      <c r="G1390" s="324">
        <v>43614</v>
      </c>
      <c r="H1390" s="324">
        <v>46203</v>
      </c>
      <c r="I1390" s="325">
        <v>47800</v>
      </c>
      <c r="J139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90" s="133">
        <f>_xlfn.XLOOKUP(Market_Data[[#This Row],[Project Type]],tbl_assumptions_market[Project Category (RERA)],tbl_assumptions_market[Concrete Intensity
(m³ / sq m BUA)],"",0)</f>
        <v>0.45</v>
      </c>
      <c r="L1390" s="134">
        <f>ROUND(Market_Data[[#This Row],[Estimated Built Up Area (sq m)]]*Market_Data[[#This Row],[Concrete Intensity
(m³ / sq m)]],0)</f>
        <v>21510</v>
      </c>
      <c r="M1390" s="135">
        <f>_xlfn.XLOOKUP(Market_Data[[#This Row],[District]],tbl_district_price[District],tbl_district_price[Standard Price
(INR/m³)],"",0)</f>
        <v>6200</v>
      </c>
      <c r="N1390" s="364">
        <f>IF(OR(Market_Data[[#This Row],[Estimated Concrete Demand (m³)]]="",Market_Data[[#This Row],[Avg Price per (₹ / m³)]]=""),"",Market_Data[[#This Row],[Estimated Concrete Demand (m³)]]*Market_Data[[#This Row],[Avg Price per (₹ / m³)]]/10000000)</f>
        <v>13.3362</v>
      </c>
      <c r="O1390" s="97" t="str">
        <f>IF(Market_Data[[#This Row],[Estimated Concrete Demand (m³)]]="","",
IF(Market_Data[[#This Row],[Estimated Concrete Demand (m³)]]&lt;10000,"Small",
IF(Market_Data[[#This Row],[Estimated Concrete Demand (m³)]]&lt;25000,"Medium",
IF(Market_Data[[#This Row],[Estimated Concrete Demand (m³)]]&lt;100000,"Large","Mega"))))</f>
        <v>Medium</v>
      </c>
      <c r="P1390" s="287" t="str">
        <f t="shared" si="23"/>
        <v>GujRERA</v>
      </c>
    </row>
    <row r="1391" spans="1:16">
      <c r="A1391" s="129" t="str">
        <f>_xlfn.XLOOKUP(B1391,$S$9:$S$14,$T$9:$T$14)&amp;"-"&amp;
IF(E1391="Residential/Group Housing","RES",
IF(E1391="Commercial","COM",
IF(E1391="Mixed Development","MIX",
IF(E1391="Plotted Development","PLT","OTH"))))
&amp;"-"&amp;TEXT(COUNTIFS($B$9:B1391,B1391,$E$9:E1391,E1391),"0000")</f>
        <v>SUR-RES-0398</v>
      </c>
      <c r="B1391" s="322" t="s">
        <v>34</v>
      </c>
      <c r="C1391" s="322" t="s">
        <v>34</v>
      </c>
      <c r="D1391" s="323" t="s">
        <v>1581</v>
      </c>
      <c r="E1391" s="132" t="s">
        <v>24</v>
      </c>
      <c r="F1391" s="97" t="str">
        <f ca="1">IF(OR(Market_Data[[#This Row],[Start Date]]="",Market_Data[[#This Row],[Completion Date]]=""),"Needs Validation",IF(Market_Data[[#This Row],[Start Date]]&gt;TODAY(),"Planned",IF(Market_Data[[#This Row],[Completion Date]]&lt;TODAY(),"Completed","Ongoing")))</f>
        <v>Ongoing</v>
      </c>
      <c r="G1391" s="324">
        <v>44511</v>
      </c>
      <c r="H1391" s="324">
        <v>46702</v>
      </c>
      <c r="I1391" s="325">
        <v>48900</v>
      </c>
      <c r="J139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91" s="133">
        <f>_xlfn.XLOOKUP(Market_Data[[#This Row],[Project Type]],tbl_assumptions_market[Project Category (RERA)],tbl_assumptions_market[Concrete Intensity
(m³ / sq m BUA)],"",0)</f>
        <v>0.45</v>
      </c>
      <c r="L1391" s="134">
        <f>ROUND(Market_Data[[#This Row],[Estimated Built Up Area (sq m)]]*Market_Data[[#This Row],[Concrete Intensity
(m³ / sq m)]],0)</f>
        <v>22005</v>
      </c>
      <c r="M1391" s="135">
        <f>_xlfn.XLOOKUP(Market_Data[[#This Row],[District]],tbl_district_price[District],tbl_district_price[Standard Price
(INR/m³)],"",0)</f>
        <v>6200</v>
      </c>
      <c r="N1391" s="364">
        <f>IF(OR(Market_Data[[#This Row],[Estimated Concrete Demand (m³)]]="",Market_Data[[#This Row],[Avg Price per (₹ / m³)]]=""),"",Market_Data[[#This Row],[Estimated Concrete Demand (m³)]]*Market_Data[[#This Row],[Avg Price per (₹ / m³)]]/10000000)</f>
        <v>13.6431</v>
      </c>
      <c r="O1391" s="97" t="str">
        <f>IF(Market_Data[[#This Row],[Estimated Concrete Demand (m³)]]="","",
IF(Market_Data[[#This Row],[Estimated Concrete Demand (m³)]]&lt;10000,"Small",
IF(Market_Data[[#This Row],[Estimated Concrete Demand (m³)]]&lt;25000,"Medium",
IF(Market_Data[[#This Row],[Estimated Concrete Demand (m³)]]&lt;100000,"Large","Mega"))))</f>
        <v>Medium</v>
      </c>
      <c r="P1391" s="287" t="str">
        <f t="shared" si="23"/>
        <v>GujRERA</v>
      </c>
    </row>
    <row r="1392" spans="1:16">
      <c r="A1392" s="129" t="str">
        <f>_xlfn.XLOOKUP(B1392,$S$9:$S$14,$T$9:$T$14)&amp;"-"&amp;
IF(E1392="Residential/Group Housing","RES",
IF(E1392="Commercial","COM",
IF(E1392="Mixed Development","MIX",
IF(E1392="Plotted Development","PLT","OTH"))))
&amp;"-"&amp;TEXT(COUNTIFS($B$9:B1392,B1392,$E$9:E1392,E1392),"0000")</f>
        <v>SUR-RES-0399</v>
      </c>
      <c r="B1392" s="322" t="s">
        <v>34</v>
      </c>
      <c r="C1392" s="322" t="s">
        <v>34</v>
      </c>
      <c r="D1392" s="323" t="s">
        <v>1582</v>
      </c>
      <c r="E1392" s="132" t="s">
        <v>24</v>
      </c>
      <c r="F1392" s="97" t="str">
        <f ca="1">IF(OR(Market_Data[[#This Row],[Start Date]]="",Market_Data[[#This Row],[Completion Date]]=""),"Needs Validation",IF(Market_Data[[#This Row],[Start Date]]&gt;TODAY(),"Planned",IF(Market_Data[[#This Row],[Completion Date]]&lt;TODAY(),"Completed","Ongoing")))</f>
        <v>Completed</v>
      </c>
      <c r="G1392" s="324">
        <v>42545</v>
      </c>
      <c r="H1392" s="324">
        <v>43921</v>
      </c>
      <c r="I1392" s="325">
        <v>55200</v>
      </c>
      <c r="J139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92" s="133">
        <f>_xlfn.XLOOKUP(Market_Data[[#This Row],[Project Type]],tbl_assumptions_market[Project Category (RERA)],tbl_assumptions_market[Concrete Intensity
(m³ / sq m BUA)],"",0)</f>
        <v>0.45</v>
      </c>
      <c r="L1392" s="134">
        <f>ROUND(Market_Data[[#This Row],[Estimated Built Up Area (sq m)]]*Market_Data[[#This Row],[Concrete Intensity
(m³ / sq m)]],0)</f>
        <v>24840</v>
      </c>
      <c r="M1392" s="135">
        <f>_xlfn.XLOOKUP(Market_Data[[#This Row],[District]],tbl_district_price[District],tbl_district_price[Standard Price
(INR/m³)],"",0)</f>
        <v>6200</v>
      </c>
      <c r="N1392" s="364">
        <f>IF(OR(Market_Data[[#This Row],[Estimated Concrete Demand (m³)]]="",Market_Data[[#This Row],[Avg Price per (₹ / m³)]]=""),"",Market_Data[[#This Row],[Estimated Concrete Demand (m³)]]*Market_Data[[#This Row],[Avg Price per (₹ / m³)]]/10000000)</f>
        <v>15.4008</v>
      </c>
      <c r="O1392" s="97" t="str">
        <f>IF(Market_Data[[#This Row],[Estimated Concrete Demand (m³)]]="","",
IF(Market_Data[[#This Row],[Estimated Concrete Demand (m³)]]&lt;10000,"Small",
IF(Market_Data[[#This Row],[Estimated Concrete Demand (m³)]]&lt;25000,"Medium",
IF(Market_Data[[#This Row],[Estimated Concrete Demand (m³)]]&lt;100000,"Large","Mega"))))</f>
        <v>Medium</v>
      </c>
      <c r="P1392" s="287" t="str">
        <f t="shared" si="23"/>
        <v>GujRERA</v>
      </c>
    </row>
    <row r="1393" spans="1:16">
      <c r="A1393" s="129" t="str">
        <f>_xlfn.XLOOKUP(B1393,$S$9:$S$14,$T$9:$T$14)&amp;"-"&amp;
IF(E1393="Residential/Group Housing","RES",
IF(E1393="Commercial","COM",
IF(E1393="Mixed Development","MIX",
IF(E1393="Plotted Development","PLT","OTH"))))
&amp;"-"&amp;TEXT(COUNTIFS($B$9:B1393,B1393,$E$9:E1393,E1393),"0000")</f>
        <v>SUR-COM-0212</v>
      </c>
      <c r="B1393" s="322" t="s">
        <v>34</v>
      </c>
      <c r="C1393" s="322" t="s">
        <v>34</v>
      </c>
      <c r="D1393" s="323" t="s">
        <v>1583</v>
      </c>
      <c r="E1393" s="132" t="s">
        <v>23</v>
      </c>
      <c r="F1393" s="97" t="str">
        <f ca="1">IF(OR(Market_Data[[#This Row],[Start Date]]="",Market_Data[[#This Row],[Completion Date]]=""),"Needs Validation",IF(Market_Data[[#This Row],[Start Date]]&gt;TODAY(),"Planned",IF(Market_Data[[#This Row],[Completion Date]]&lt;TODAY(),"Completed","Ongoing")))</f>
        <v>Completed</v>
      </c>
      <c r="G1393" s="324">
        <v>42545</v>
      </c>
      <c r="H1393" s="324">
        <v>44104</v>
      </c>
      <c r="I1393" s="325">
        <v>1400</v>
      </c>
      <c r="J139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93" s="133">
        <f>_xlfn.XLOOKUP(Market_Data[[#This Row],[Project Type]],tbl_assumptions_market[Project Category (RERA)],tbl_assumptions_market[Concrete Intensity
(m³ / sq m BUA)],"",0)</f>
        <v>0.5</v>
      </c>
      <c r="L1393" s="134">
        <f>ROUND(Market_Data[[#This Row],[Estimated Built Up Area (sq m)]]*Market_Data[[#This Row],[Concrete Intensity
(m³ / sq m)]],0)</f>
        <v>700</v>
      </c>
      <c r="M1393" s="135">
        <f>_xlfn.XLOOKUP(Market_Data[[#This Row],[District]],tbl_district_price[District],tbl_district_price[Standard Price
(INR/m³)],"",0)</f>
        <v>6200</v>
      </c>
      <c r="N1393" s="364">
        <f>IF(OR(Market_Data[[#This Row],[Estimated Concrete Demand (m³)]]="",Market_Data[[#This Row],[Avg Price per (₹ / m³)]]=""),"",Market_Data[[#This Row],[Estimated Concrete Demand (m³)]]*Market_Data[[#This Row],[Avg Price per (₹ / m³)]]/10000000)</f>
        <v>0.434</v>
      </c>
      <c r="O1393" s="97" t="str">
        <f>IF(Market_Data[[#This Row],[Estimated Concrete Demand (m³)]]="","",
IF(Market_Data[[#This Row],[Estimated Concrete Demand (m³)]]&lt;10000,"Small",
IF(Market_Data[[#This Row],[Estimated Concrete Demand (m³)]]&lt;25000,"Medium",
IF(Market_Data[[#This Row],[Estimated Concrete Demand (m³)]]&lt;100000,"Large","Mega"))))</f>
        <v>Small</v>
      </c>
      <c r="P1393" s="287" t="str">
        <f t="shared" si="23"/>
        <v>GujRERA</v>
      </c>
    </row>
    <row r="1394" spans="1:16">
      <c r="A1394" s="129" t="str">
        <f>_xlfn.XLOOKUP(B1394,$S$9:$S$14,$T$9:$T$14)&amp;"-"&amp;
IF(E1394="Residential/Group Housing","RES",
IF(E1394="Commercial","COM",
IF(E1394="Mixed Development","MIX",
IF(E1394="Plotted Development","PLT","OTH"))))
&amp;"-"&amp;TEXT(COUNTIFS($B$9:B1394,B1394,$E$9:E1394,E1394),"0000")</f>
        <v>SUR-PLT-0264</v>
      </c>
      <c r="B1394" s="322" t="s">
        <v>34</v>
      </c>
      <c r="C1394" s="322" t="s">
        <v>34</v>
      </c>
      <c r="D1394" s="323" t="s">
        <v>1584</v>
      </c>
      <c r="E1394" s="132" t="s">
        <v>26</v>
      </c>
      <c r="F1394" s="97" t="str">
        <f ca="1">IF(OR(Market_Data[[#This Row],[Start Date]]="",Market_Data[[#This Row],[Completion Date]]=""),"Needs Validation",IF(Market_Data[[#This Row],[Start Date]]&gt;TODAY(),"Planned",IF(Market_Data[[#This Row],[Completion Date]]&lt;TODAY(),"Completed","Ongoing")))</f>
        <v>Ongoing</v>
      </c>
      <c r="G1394" s="324">
        <v>45570</v>
      </c>
      <c r="H1394" s="324">
        <v>46752</v>
      </c>
      <c r="I1394" s="325">
        <v>35300</v>
      </c>
      <c r="J139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394" s="133">
        <f>_xlfn.XLOOKUP(Market_Data[[#This Row],[Project Type]],tbl_assumptions_market[Project Category (RERA)],tbl_assumptions_market[Concrete Intensity
(m³ / sq m BUA)],"",0)</f>
        <v>0.18</v>
      </c>
      <c r="L1394" s="134">
        <f>ROUND(Market_Data[[#This Row],[Estimated Built Up Area (sq m)]]*Market_Data[[#This Row],[Concrete Intensity
(m³ / sq m)]],0)</f>
        <v>6354</v>
      </c>
      <c r="M1394" s="135">
        <f>_xlfn.XLOOKUP(Market_Data[[#This Row],[District]],tbl_district_price[District],tbl_district_price[Standard Price
(INR/m³)],"",0)</f>
        <v>6200</v>
      </c>
      <c r="N1394" s="364">
        <f>IF(OR(Market_Data[[#This Row],[Estimated Concrete Demand (m³)]]="",Market_Data[[#This Row],[Avg Price per (₹ / m³)]]=""),"",Market_Data[[#This Row],[Estimated Concrete Demand (m³)]]*Market_Data[[#This Row],[Avg Price per (₹ / m³)]]/10000000)</f>
        <v>3.9394800000000001</v>
      </c>
      <c r="O1394" s="97" t="str">
        <f>IF(Market_Data[[#This Row],[Estimated Concrete Demand (m³)]]="","",
IF(Market_Data[[#This Row],[Estimated Concrete Demand (m³)]]&lt;10000,"Small",
IF(Market_Data[[#This Row],[Estimated Concrete Demand (m³)]]&lt;25000,"Medium",
IF(Market_Data[[#This Row],[Estimated Concrete Demand (m³)]]&lt;100000,"Large","Mega"))))</f>
        <v>Small</v>
      </c>
      <c r="P1394" s="287" t="str">
        <f t="shared" si="23"/>
        <v>GujRERA</v>
      </c>
    </row>
    <row r="1395" spans="1:16">
      <c r="A1395" s="129" t="str">
        <f>_xlfn.XLOOKUP(B1395,$S$9:$S$14,$T$9:$T$14)&amp;"-"&amp;
IF(E1395="Residential/Group Housing","RES",
IF(E1395="Commercial","COM",
IF(E1395="Mixed Development","MIX",
IF(E1395="Plotted Development","PLT","OTH"))))
&amp;"-"&amp;TEXT(COUNTIFS($B$9:B1395,B1395,$E$9:E1395,E1395),"0000")</f>
        <v>SUR-COM-0213</v>
      </c>
      <c r="B1395" s="322" t="s">
        <v>34</v>
      </c>
      <c r="C1395" s="322" t="s">
        <v>34</v>
      </c>
      <c r="D1395" s="323" t="s">
        <v>1585</v>
      </c>
      <c r="E1395" s="132" t="s">
        <v>23</v>
      </c>
      <c r="F1395" s="97" t="str">
        <f ca="1">IF(OR(Market_Data[[#This Row],[Start Date]]="",Market_Data[[#This Row],[Completion Date]]=""),"Needs Validation",IF(Market_Data[[#This Row],[Start Date]]&gt;TODAY(),"Planned",IF(Market_Data[[#This Row],[Completion Date]]&lt;TODAY(),"Completed","Ongoing")))</f>
        <v>Ongoing</v>
      </c>
      <c r="G1395" s="324">
        <v>45748</v>
      </c>
      <c r="H1395" s="324">
        <v>47573</v>
      </c>
      <c r="I1395" s="325">
        <v>2100</v>
      </c>
      <c r="J139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95" s="133">
        <f>_xlfn.XLOOKUP(Market_Data[[#This Row],[Project Type]],tbl_assumptions_market[Project Category (RERA)],tbl_assumptions_market[Concrete Intensity
(m³ / sq m BUA)],"",0)</f>
        <v>0.5</v>
      </c>
      <c r="L1395" s="134">
        <f>ROUND(Market_Data[[#This Row],[Estimated Built Up Area (sq m)]]*Market_Data[[#This Row],[Concrete Intensity
(m³ / sq m)]],0)</f>
        <v>1050</v>
      </c>
      <c r="M1395" s="135">
        <f>_xlfn.XLOOKUP(Market_Data[[#This Row],[District]],tbl_district_price[District],tbl_district_price[Standard Price
(INR/m³)],"",0)</f>
        <v>6200</v>
      </c>
      <c r="N1395" s="364">
        <f>IF(OR(Market_Data[[#This Row],[Estimated Concrete Demand (m³)]]="",Market_Data[[#This Row],[Avg Price per (₹ / m³)]]=""),"",Market_Data[[#This Row],[Estimated Concrete Demand (m³)]]*Market_Data[[#This Row],[Avg Price per (₹ / m³)]]/10000000)</f>
        <v>0.65100000000000002</v>
      </c>
      <c r="O1395" s="97" t="str">
        <f>IF(Market_Data[[#This Row],[Estimated Concrete Demand (m³)]]="","",
IF(Market_Data[[#This Row],[Estimated Concrete Demand (m³)]]&lt;10000,"Small",
IF(Market_Data[[#This Row],[Estimated Concrete Demand (m³)]]&lt;25000,"Medium",
IF(Market_Data[[#This Row],[Estimated Concrete Demand (m³)]]&lt;100000,"Large","Mega"))))</f>
        <v>Small</v>
      </c>
      <c r="P1395" s="287" t="str">
        <f t="shared" si="23"/>
        <v>GujRERA</v>
      </c>
    </row>
    <row r="1396" spans="1:16">
      <c r="A1396" s="129" t="str">
        <f>_xlfn.XLOOKUP(B1396,$S$9:$S$14,$T$9:$T$14)&amp;"-"&amp;
IF(E1396="Residential/Group Housing","RES",
IF(E1396="Commercial","COM",
IF(E1396="Mixed Development","MIX",
IF(E1396="Plotted Development","PLT","OTH"))))
&amp;"-"&amp;TEXT(COUNTIFS($B$9:B1396,B1396,$E$9:E1396,E1396),"0000")</f>
        <v>SUR-RES-0400</v>
      </c>
      <c r="B1396" s="322" t="s">
        <v>34</v>
      </c>
      <c r="C1396" s="322" t="s">
        <v>34</v>
      </c>
      <c r="D1396" s="323" t="s">
        <v>1586</v>
      </c>
      <c r="E1396" s="132" t="s">
        <v>24</v>
      </c>
      <c r="F1396" s="97" t="str">
        <f ca="1">IF(OR(Market_Data[[#This Row],[Start Date]]="",Market_Data[[#This Row],[Completion Date]]=""),"Needs Validation",IF(Market_Data[[#This Row],[Start Date]]&gt;TODAY(),"Planned",IF(Market_Data[[#This Row],[Completion Date]]&lt;TODAY(),"Completed","Ongoing")))</f>
        <v>Completed</v>
      </c>
      <c r="G1396" s="324">
        <v>43041</v>
      </c>
      <c r="H1396" s="324">
        <v>44469</v>
      </c>
      <c r="I1396" s="325">
        <v>24900</v>
      </c>
      <c r="J139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96" s="133">
        <f>_xlfn.XLOOKUP(Market_Data[[#This Row],[Project Type]],tbl_assumptions_market[Project Category (RERA)],tbl_assumptions_market[Concrete Intensity
(m³ / sq m BUA)],"",0)</f>
        <v>0.45</v>
      </c>
      <c r="L1396" s="134">
        <f>ROUND(Market_Data[[#This Row],[Estimated Built Up Area (sq m)]]*Market_Data[[#This Row],[Concrete Intensity
(m³ / sq m)]],0)</f>
        <v>11205</v>
      </c>
      <c r="M1396" s="135">
        <f>_xlfn.XLOOKUP(Market_Data[[#This Row],[District]],tbl_district_price[District],tbl_district_price[Standard Price
(INR/m³)],"",0)</f>
        <v>6200</v>
      </c>
      <c r="N1396" s="364">
        <f>IF(OR(Market_Data[[#This Row],[Estimated Concrete Demand (m³)]]="",Market_Data[[#This Row],[Avg Price per (₹ / m³)]]=""),"",Market_Data[[#This Row],[Estimated Concrete Demand (m³)]]*Market_Data[[#This Row],[Avg Price per (₹ / m³)]]/10000000)</f>
        <v>6.9470999999999998</v>
      </c>
      <c r="O1396" s="97" t="str">
        <f>IF(Market_Data[[#This Row],[Estimated Concrete Demand (m³)]]="","",
IF(Market_Data[[#This Row],[Estimated Concrete Demand (m³)]]&lt;10000,"Small",
IF(Market_Data[[#This Row],[Estimated Concrete Demand (m³)]]&lt;25000,"Medium",
IF(Market_Data[[#This Row],[Estimated Concrete Demand (m³)]]&lt;100000,"Large","Mega"))))</f>
        <v>Medium</v>
      </c>
      <c r="P1396" s="287" t="str">
        <f t="shared" si="23"/>
        <v>GujRERA</v>
      </c>
    </row>
    <row r="1397" spans="1:16">
      <c r="A1397" s="129" t="str">
        <f>_xlfn.XLOOKUP(B1397,$S$9:$S$14,$T$9:$T$14)&amp;"-"&amp;
IF(E1397="Residential/Group Housing","RES",
IF(E1397="Commercial","COM",
IF(E1397="Mixed Development","MIX",
IF(E1397="Plotted Development","PLT","OTH"))))
&amp;"-"&amp;TEXT(COUNTIFS($B$9:B1397,B1397,$E$9:E1397,E1397),"0000")</f>
        <v>SUR-RES-0401</v>
      </c>
      <c r="B1397" s="322" t="s">
        <v>34</v>
      </c>
      <c r="C1397" s="322" t="s">
        <v>34</v>
      </c>
      <c r="D1397" s="323" t="s">
        <v>1587</v>
      </c>
      <c r="E1397" s="132" t="s">
        <v>24</v>
      </c>
      <c r="F1397" s="97" t="str">
        <f ca="1">IF(OR(Market_Data[[#This Row],[Start Date]]="",Market_Data[[#This Row],[Completion Date]]=""),"Needs Validation",IF(Market_Data[[#This Row],[Start Date]]&gt;TODAY(),"Planned",IF(Market_Data[[#This Row],[Completion Date]]&lt;TODAY(),"Completed","Ongoing")))</f>
        <v>Completed</v>
      </c>
      <c r="G1397" s="324">
        <v>43501</v>
      </c>
      <c r="H1397" s="324">
        <v>45473</v>
      </c>
      <c r="I1397" s="325">
        <v>20900</v>
      </c>
      <c r="J139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97" s="133">
        <f>_xlfn.XLOOKUP(Market_Data[[#This Row],[Project Type]],tbl_assumptions_market[Project Category (RERA)],tbl_assumptions_market[Concrete Intensity
(m³ / sq m BUA)],"",0)</f>
        <v>0.45</v>
      </c>
      <c r="L1397" s="134">
        <f>ROUND(Market_Data[[#This Row],[Estimated Built Up Area (sq m)]]*Market_Data[[#This Row],[Concrete Intensity
(m³ / sq m)]],0)</f>
        <v>9405</v>
      </c>
      <c r="M1397" s="135">
        <f>_xlfn.XLOOKUP(Market_Data[[#This Row],[District]],tbl_district_price[District],tbl_district_price[Standard Price
(INR/m³)],"",0)</f>
        <v>6200</v>
      </c>
      <c r="N1397" s="364">
        <f>IF(OR(Market_Data[[#This Row],[Estimated Concrete Demand (m³)]]="",Market_Data[[#This Row],[Avg Price per (₹ / m³)]]=""),"",Market_Data[[#This Row],[Estimated Concrete Demand (m³)]]*Market_Data[[#This Row],[Avg Price per (₹ / m³)]]/10000000)</f>
        <v>5.8311000000000002</v>
      </c>
      <c r="O1397" s="97" t="str">
        <f>IF(Market_Data[[#This Row],[Estimated Concrete Demand (m³)]]="","",
IF(Market_Data[[#This Row],[Estimated Concrete Demand (m³)]]&lt;10000,"Small",
IF(Market_Data[[#This Row],[Estimated Concrete Demand (m³)]]&lt;25000,"Medium",
IF(Market_Data[[#This Row],[Estimated Concrete Demand (m³)]]&lt;100000,"Large","Mega"))))</f>
        <v>Small</v>
      </c>
      <c r="P1397" s="287" t="str">
        <f t="shared" si="23"/>
        <v>GujRERA</v>
      </c>
    </row>
    <row r="1398" spans="1:16">
      <c r="A1398" s="129" t="str">
        <f>_xlfn.XLOOKUP(B1398,$S$9:$S$14,$T$9:$T$14)&amp;"-"&amp;
IF(E1398="Residential/Group Housing","RES",
IF(E1398="Commercial","COM",
IF(E1398="Mixed Development","MIX",
IF(E1398="Plotted Development","PLT","OTH"))))
&amp;"-"&amp;TEXT(COUNTIFS($B$9:B1398,B1398,$E$9:E1398,E1398),"0000")</f>
        <v>SUR-PLT-0265</v>
      </c>
      <c r="B1398" s="322" t="s">
        <v>34</v>
      </c>
      <c r="C1398" s="322" t="s">
        <v>34</v>
      </c>
      <c r="D1398" s="323" t="s">
        <v>1588</v>
      </c>
      <c r="E1398" s="132" t="s">
        <v>26</v>
      </c>
      <c r="F1398" s="97" t="str">
        <f ca="1">IF(OR(Market_Data[[#This Row],[Start Date]]="",Market_Data[[#This Row],[Completion Date]]=""),"Needs Validation",IF(Market_Data[[#This Row],[Start Date]]&gt;TODAY(),"Planned",IF(Market_Data[[#This Row],[Completion Date]]&lt;TODAY(),"Completed","Ongoing")))</f>
        <v>Ongoing</v>
      </c>
      <c r="G1398" s="324">
        <v>45017</v>
      </c>
      <c r="H1398" s="324">
        <v>46387</v>
      </c>
      <c r="I1398" s="325">
        <v>53800</v>
      </c>
      <c r="J139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398" s="133">
        <f>_xlfn.XLOOKUP(Market_Data[[#This Row],[Project Type]],tbl_assumptions_market[Project Category (RERA)],tbl_assumptions_market[Concrete Intensity
(m³ / sq m BUA)],"",0)</f>
        <v>0.18</v>
      </c>
      <c r="L1398" s="134">
        <f>ROUND(Market_Data[[#This Row],[Estimated Built Up Area (sq m)]]*Market_Data[[#This Row],[Concrete Intensity
(m³ / sq m)]],0)</f>
        <v>9684</v>
      </c>
      <c r="M1398" s="135">
        <f>_xlfn.XLOOKUP(Market_Data[[#This Row],[District]],tbl_district_price[District],tbl_district_price[Standard Price
(INR/m³)],"",0)</f>
        <v>6200</v>
      </c>
      <c r="N1398" s="364">
        <f>IF(OR(Market_Data[[#This Row],[Estimated Concrete Demand (m³)]]="",Market_Data[[#This Row],[Avg Price per (₹ / m³)]]=""),"",Market_Data[[#This Row],[Estimated Concrete Demand (m³)]]*Market_Data[[#This Row],[Avg Price per (₹ / m³)]]/10000000)</f>
        <v>6.0040800000000001</v>
      </c>
      <c r="O1398" s="97" t="str">
        <f>IF(Market_Data[[#This Row],[Estimated Concrete Demand (m³)]]="","",
IF(Market_Data[[#This Row],[Estimated Concrete Demand (m³)]]&lt;10000,"Small",
IF(Market_Data[[#This Row],[Estimated Concrete Demand (m³)]]&lt;25000,"Medium",
IF(Market_Data[[#This Row],[Estimated Concrete Demand (m³)]]&lt;100000,"Large","Mega"))))</f>
        <v>Small</v>
      </c>
      <c r="P1398" s="287" t="str">
        <f t="shared" si="23"/>
        <v>GujRERA</v>
      </c>
    </row>
    <row r="1399" spans="1:16">
      <c r="A1399" s="129" t="str">
        <f>_xlfn.XLOOKUP(B1399,$S$9:$S$14,$T$9:$T$14)&amp;"-"&amp;
IF(E1399="Residential/Group Housing","RES",
IF(E1399="Commercial","COM",
IF(E1399="Mixed Development","MIX",
IF(E1399="Plotted Development","PLT","OTH"))))
&amp;"-"&amp;TEXT(COUNTIFS($B$9:B1399,B1399,$E$9:E1399,E1399),"0000")</f>
        <v>SUR-MIX-0202</v>
      </c>
      <c r="B1399" s="322" t="s">
        <v>34</v>
      </c>
      <c r="C1399" s="322" t="s">
        <v>34</v>
      </c>
      <c r="D1399" s="323" t="s">
        <v>1589</v>
      </c>
      <c r="E1399" s="132" t="s">
        <v>25</v>
      </c>
      <c r="F1399" s="97" t="str">
        <f ca="1">IF(OR(Market_Data[[#This Row],[Start Date]]="",Market_Data[[#This Row],[Completion Date]]=""),"Needs Validation",IF(Market_Data[[#This Row],[Start Date]]&gt;TODAY(),"Planned",IF(Market_Data[[#This Row],[Completion Date]]&lt;TODAY(),"Completed","Ongoing")))</f>
        <v>Completed</v>
      </c>
      <c r="G1399" s="324">
        <v>43139</v>
      </c>
      <c r="H1399" s="324">
        <v>45892</v>
      </c>
      <c r="I1399" s="325">
        <v>30800</v>
      </c>
      <c r="J139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399" s="133">
        <f>_xlfn.XLOOKUP(Market_Data[[#This Row],[Project Type]],tbl_assumptions_market[Project Category (RERA)],tbl_assumptions_market[Concrete Intensity
(m³ / sq m BUA)],"",0)</f>
        <v>0.42</v>
      </c>
      <c r="L1399" s="134">
        <f>ROUND(Market_Data[[#This Row],[Estimated Built Up Area (sq m)]]*Market_Data[[#This Row],[Concrete Intensity
(m³ / sq m)]],0)</f>
        <v>12936</v>
      </c>
      <c r="M1399" s="135">
        <f>_xlfn.XLOOKUP(Market_Data[[#This Row],[District]],tbl_district_price[District],tbl_district_price[Standard Price
(INR/m³)],"",0)</f>
        <v>6200</v>
      </c>
      <c r="N1399" s="364">
        <f>IF(OR(Market_Data[[#This Row],[Estimated Concrete Demand (m³)]]="",Market_Data[[#This Row],[Avg Price per (₹ / m³)]]=""),"",Market_Data[[#This Row],[Estimated Concrete Demand (m³)]]*Market_Data[[#This Row],[Avg Price per (₹ / m³)]]/10000000)</f>
        <v>8.0203199999999999</v>
      </c>
      <c r="O1399" s="97" t="str">
        <f>IF(Market_Data[[#This Row],[Estimated Concrete Demand (m³)]]="","",
IF(Market_Data[[#This Row],[Estimated Concrete Demand (m³)]]&lt;10000,"Small",
IF(Market_Data[[#This Row],[Estimated Concrete Demand (m³)]]&lt;25000,"Medium",
IF(Market_Data[[#This Row],[Estimated Concrete Demand (m³)]]&lt;100000,"Large","Mega"))))</f>
        <v>Medium</v>
      </c>
      <c r="P1399" s="287" t="str">
        <f t="shared" si="23"/>
        <v>GujRERA</v>
      </c>
    </row>
    <row r="1400" spans="1:16">
      <c r="A1400" s="129" t="str">
        <f>_xlfn.XLOOKUP(B1400,$S$9:$S$14,$T$9:$T$14)&amp;"-"&amp;
IF(E1400="Residential/Group Housing","RES",
IF(E1400="Commercial","COM",
IF(E1400="Mixed Development","MIX",
IF(E1400="Plotted Development","PLT","OTH"))))
&amp;"-"&amp;TEXT(COUNTIFS($B$9:B1400,B1400,$E$9:E1400,E1400),"0000")</f>
        <v>SUR-RES-0402</v>
      </c>
      <c r="B1400" s="322" t="s">
        <v>34</v>
      </c>
      <c r="C1400" s="322" t="s">
        <v>34</v>
      </c>
      <c r="D1400" s="323" t="s">
        <v>1590</v>
      </c>
      <c r="E1400" s="132" t="s">
        <v>24</v>
      </c>
      <c r="F1400" s="97" t="str">
        <f ca="1">IF(OR(Market_Data[[#This Row],[Start Date]]="",Market_Data[[#This Row],[Completion Date]]=""),"Needs Validation",IF(Market_Data[[#This Row],[Start Date]]&gt;TODAY(),"Planned",IF(Market_Data[[#This Row],[Completion Date]]&lt;TODAY(),"Completed","Ongoing")))</f>
        <v>Completed</v>
      </c>
      <c r="G1400" s="324">
        <v>42074</v>
      </c>
      <c r="H1400" s="324">
        <v>45911</v>
      </c>
      <c r="I1400" s="325">
        <v>53600</v>
      </c>
      <c r="J140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00" s="133">
        <f>_xlfn.XLOOKUP(Market_Data[[#This Row],[Project Type]],tbl_assumptions_market[Project Category (RERA)],tbl_assumptions_market[Concrete Intensity
(m³ / sq m BUA)],"",0)</f>
        <v>0.45</v>
      </c>
      <c r="L1400" s="134">
        <f>ROUND(Market_Data[[#This Row],[Estimated Built Up Area (sq m)]]*Market_Data[[#This Row],[Concrete Intensity
(m³ / sq m)]],0)</f>
        <v>24120</v>
      </c>
      <c r="M1400" s="135">
        <f>_xlfn.XLOOKUP(Market_Data[[#This Row],[District]],tbl_district_price[District],tbl_district_price[Standard Price
(INR/m³)],"",0)</f>
        <v>6200</v>
      </c>
      <c r="N1400" s="364">
        <f>IF(OR(Market_Data[[#This Row],[Estimated Concrete Demand (m³)]]="",Market_Data[[#This Row],[Avg Price per (₹ / m³)]]=""),"",Market_Data[[#This Row],[Estimated Concrete Demand (m³)]]*Market_Data[[#This Row],[Avg Price per (₹ / m³)]]/10000000)</f>
        <v>14.9544</v>
      </c>
      <c r="O1400" s="97" t="str">
        <f>IF(Market_Data[[#This Row],[Estimated Concrete Demand (m³)]]="","",
IF(Market_Data[[#This Row],[Estimated Concrete Demand (m³)]]&lt;10000,"Small",
IF(Market_Data[[#This Row],[Estimated Concrete Demand (m³)]]&lt;25000,"Medium",
IF(Market_Data[[#This Row],[Estimated Concrete Demand (m³)]]&lt;100000,"Large","Mega"))))</f>
        <v>Medium</v>
      </c>
      <c r="P1400" s="287" t="str">
        <f t="shared" si="23"/>
        <v>GujRERA</v>
      </c>
    </row>
    <row r="1401" spans="1:16">
      <c r="A1401" s="129" t="str">
        <f>_xlfn.XLOOKUP(B1401,$S$9:$S$14,$T$9:$T$14)&amp;"-"&amp;
IF(E1401="Residential/Group Housing","RES",
IF(E1401="Commercial","COM",
IF(E1401="Mixed Development","MIX",
IF(E1401="Plotted Development","PLT","OTH"))))
&amp;"-"&amp;TEXT(COUNTIFS($B$9:B1401,B1401,$E$9:E1401,E1401),"0000")</f>
        <v>SUR-RES-0403</v>
      </c>
      <c r="B1401" s="322" t="s">
        <v>34</v>
      </c>
      <c r="C1401" s="322" t="s">
        <v>34</v>
      </c>
      <c r="D1401" s="323" t="s">
        <v>1591</v>
      </c>
      <c r="E1401" s="132" t="s">
        <v>24</v>
      </c>
      <c r="F1401" s="97" t="str">
        <f ca="1">IF(OR(Market_Data[[#This Row],[Start Date]]="",Market_Data[[#This Row],[Completion Date]]=""),"Needs Validation",IF(Market_Data[[#This Row],[Start Date]]&gt;TODAY(),"Planned",IF(Market_Data[[#This Row],[Completion Date]]&lt;TODAY(),"Completed","Ongoing")))</f>
        <v>Ongoing</v>
      </c>
      <c r="G1401" s="324">
        <v>45034</v>
      </c>
      <c r="H1401" s="324">
        <v>47208</v>
      </c>
      <c r="I1401" s="325">
        <v>30300</v>
      </c>
      <c r="J140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01" s="133">
        <f>_xlfn.XLOOKUP(Market_Data[[#This Row],[Project Type]],tbl_assumptions_market[Project Category (RERA)],tbl_assumptions_market[Concrete Intensity
(m³ / sq m BUA)],"",0)</f>
        <v>0.45</v>
      </c>
      <c r="L1401" s="134">
        <f>ROUND(Market_Data[[#This Row],[Estimated Built Up Area (sq m)]]*Market_Data[[#This Row],[Concrete Intensity
(m³ / sq m)]],0)</f>
        <v>13635</v>
      </c>
      <c r="M1401" s="135">
        <f>_xlfn.XLOOKUP(Market_Data[[#This Row],[District]],tbl_district_price[District],tbl_district_price[Standard Price
(INR/m³)],"",0)</f>
        <v>6200</v>
      </c>
      <c r="N1401" s="364">
        <f>IF(OR(Market_Data[[#This Row],[Estimated Concrete Demand (m³)]]="",Market_Data[[#This Row],[Avg Price per (₹ / m³)]]=""),"",Market_Data[[#This Row],[Estimated Concrete Demand (m³)]]*Market_Data[[#This Row],[Avg Price per (₹ / m³)]]/10000000)</f>
        <v>8.4536999999999995</v>
      </c>
      <c r="O1401" s="97" t="str">
        <f>IF(Market_Data[[#This Row],[Estimated Concrete Demand (m³)]]="","",
IF(Market_Data[[#This Row],[Estimated Concrete Demand (m³)]]&lt;10000,"Small",
IF(Market_Data[[#This Row],[Estimated Concrete Demand (m³)]]&lt;25000,"Medium",
IF(Market_Data[[#This Row],[Estimated Concrete Demand (m³)]]&lt;100000,"Large","Mega"))))</f>
        <v>Medium</v>
      </c>
      <c r="P1401" s="287" t="str">
        <f t="shared" si="23"/>
        <v>GujRERA</v>
      </c>
    </row>
    <row r="1402" spans="1:16">
      <c r="A1402" s="129" t="str">
        <f>_xlfn.XLOOKUP(B1402,$S$9:$S$14,$T$9:$T$14)&amp;"-"&amp;
IF(E1402="Residential/Group Housing","RES",
IF(E1402="Commercial","COM",
IF(E1402="Mixed Development","MIX",
IF(E1402="Plotted Development","PLT","OTH"))))
&amp;"-"&amp;TEXT(COUNTIFS($B$9:B1402,B1402,$E$9:E1402,E1402),"0000")</f>
        <v>SUR-COM-0214</v>
      </c>
      <c r="B1402" s="322" t="s">
        <v>34</v>
      </c>
      <c r="C1402" s="322" t="s">
        <v>34</v>
      </c>
      <c r="D1402" s="323" t="s">
        <v>1592</v>
      </c>
      <c r="E1402" s="132" t="s">
        <v>23</v>
      </c>
      <c r="F1402" s="97" t="str">
        <f ca="1">IF(OR(Market_Data[[#This Row],[Start Date]]="",Market_Data[[#This Row],[Completion Date]]=""),"Needs Validation",IF(Market_Data[[#This Row],[Start Date]]&gt;TODAY(),"Planned",IF(Market_Data[[#This Row],[Completion Date]]&lt;TODAY(),"Completed","Ongoing")))</f>
        <v>Ongoing</v>
      </c>
      <c r="G1402" s="324">
        <v>45036</v>
      </c>
      <c r="H1402" s="324">
        <v>46477</v>
      </c>
      <c r="I1402" s="325">
        <v>19600</v>
      </c>
      <c r="J140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02" s="133">
        <f>_xlfn.XLOOKUP(Market_Data[[#This Row],[Project Type]],tbl_assumptions_market[Project Category (RERA)],tbl_assumptions_market[Concrete Intensity
(m³ / sq m BUA)],"",0)</f>
        <v>0.5</v>
      </c>
      <c r="L1402" s="134">
        <f>ROUND(Market_Data[[#This Row],[Estimated Built Up Area (sq m)]]*Market_Data[[#This Row],[Concrete Intensity
(m³ / sq m)]],0)</f>
        <v>9800</v>
      </c>
      <c r="M1402" s="135">
        <f>_xlfn.XLOOKUP(Market_Data[[#This Row],[District]],tbl_district_price[District],tbl_district_price[Standard Price
(INR/m³)],"",0)</f>
        <v>6200</v>
      </c>
      <c r="N1402" s="364">
        <f>IF(OR(Market_Data[[#This Row],[Estimated Concrete Demand (m³)]]="",Market_Data[[#This Row],[Avg Price per (₹ / m³)]]=""),"",Market_Data[[#This Row],[Estimated Concrete Demand (m³)]]*Market_Data[[#This Row],[Avg Price per (₹ / m³)]]/10000000)</f>
        <v>6.0759999999999996</v>
      </c>
      <c r="O1402" s="97" t="str">
        <f>IF(Market_Data[[#This Row],[Estimated Concrete Demand (m³)]]="","",
IF(Market_Data[[#This Row],[Estimated Concrete Demand (m³)]]&lt;10000,"Small",
IF(Market_Data[[#This Row],[Estimated Concrete Demand (m³)]]&lt;25000,"Medium",
IF(Market_Data[[#This Row],[Estimated Concrete Demand (m³)]]&lt;100000,"Large","Mega"))))</f>
        <v>Small</v>
      </c>
      <c r="P1402" s="287" t="str">
        <f t="shared" si="23"/>
        <v>GujRERA</v>
      </c>
    </row>
    <row r="1403" spans="1:16">
      <c r="A1403" s="129" t="str">
        <f>_xlfn.XLOOKUP(B1403,$S$9:$S$14,$T$9:$T$14)&amp;"-"&amp;
IF(E1403="Residential/Group Housing","RES",
IF(E1403="Commercial","COM",
IF(E1403="Mixed Development","MIX",
IF(E1403="Plotted Development","PLT","OTH"))))
&amp;"-"&amp;TEXT(COUNTIFS($B$9:B1403,B1403,$E$9:E1403,E1403),"0000")</f>
        <v>SUR-RES-0404</v>
      </c>
      <c r="B1403" s="322" t="s">
        <v>34</v>
      </c>
      <c r="C1403" s="322" t="s">
        <v>34</v>
      </c>
      <c r="D1403" s="323" t="s">
        <v>1593</v>
      </c>
      <c r="E1403" s="132" t="s">
        <v>24</v>
      </c>
      <c r="F1403" s="97" t="str">
        <f ca="1">IF(OR(Market_Data[[#This Row],[Start Date]]="",Market_Data[[#This Row],[Completion Date]]=""),"Needs Validation",IF(Market_Data[[#This Row],[Start Date]]&gt;TODAY(),"Planned",IF(Market_Data[[#This Row],[Completion Date]]&lt;TODAY(),"Completed","Ongoing")))</f>
        <v>Ongoing</v>
      </c>
      <c r="G1403" s="324">
        <v>46063</v>
      </c>
      <c r="H1403" s="324">
        <v>47726</v>
      </c>
      <c r="I1403" s="325">
        <v>9100</v>
      </c>
      <c r="J140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03" s="133">
        <f>_xlfn.XLOOKUP(Market_Data[[#This Row],[Project Type]],tbl_assumptions_market[Project Category (RERA)],tbl_assumptions_market[Concrete Intensity
(m³ / sq m BUA)],"",0)</f>
        <v>0.45</v>
      </c>
      <c r="L1403" s="134">
        <f>ROUND(Market_Data[[#This Row],[Estimated Built Up Area (sq m)]]*Market_Data[[#This Row],[Concrete Intensity
(m³ / sq m)]],0)</f>
        <v>4095</v>
      </c>
      <c r="M1403" s="135">
        <f>_xlfn.XLOOKUP(Market_Data[[#This Row],[District]],tbl_district_price[District],tbl_district_price[Standard Price
(INR/m³)],"",0)</f>
        <v>6200</v>
      </c>
      <c r="N1403" s="364">
        <f>IF(OR(Market_Data[[#This Row],[Estimated Concrete Demand (m³)]]="",Market_Data[[#This Row],[Avg Price per (₹ / m³)]]=""),"",Market_Data[[#This Row],[Estimated Concrete Demand (m³)]]*Market_Data[[#This Row],[Avg Price per (₹ / m³)]]/10000000)</f>
        <v>2.5388999999999999</v>
      </c>
      <c r="O1403" s="97" t="str">
        <f>IF(Market_Data[[#This Row],[Estimated Concrete Demand (m³)]]="","",
IF(Market_Data[[#This Row],[Estimated Concrete Demand (m³)]]&lt;10000,"Small",
IF(Market_Data[[#This Row],[Estimated Concrete Demand (m³)]]&lt;25000,"Medium",
IF(Market_Data[[#This Row],[Estimated Concrete Demand (m³)]]&lt;100000,"Large","Mega"))))</f>
        <v>Small</v>
      </c>
      <c r="P1403" s="287" t="str">
        <f t="shared" si="23"/>
        <v>GujRERA</v>
      </c>
    </row>
    <row r="1404" spans="1:16">
      <c r="A1404" s="129" t="str">
        <f>_xlfn.XLOOKUP(B1404,$S$9:$S$14,$T$9:$T$14)&amp;"-"&amp;
IF(E1404="Residential/Group Housing","RES",
IF(E1404="Commercial","COM",
IF(E1404="Mixed Development","MIX",
IF(E1404="Plotted Development","PLT","OTH"))))
&amp;"-"&amp;TEXT(COUNTIFS($B$9:B1404,B1404,$E$9:E1404,E1404),"0000")</f>
        <v>SUR-RES-0405</v>
      </c>
      <c r="B1404" s="322" t="s">
        <v>34</v>
      </c>
      <c r="C1404" s="322" t="s">
        <v>34</v>
      </c>
      <c r="D1404" s="323" t="s">
        <v>1594</v>
      </c>
      <c r="E1404" s="132" t="s">
        <v>24</v>
      </c>
      <c r="F1404" s="97" t="str">
        <f ca="1">IF(OR(Market_Data[[#This Row],[Start Date]]="",Market_Data[[#This Row],[Completion Date]]=""),"Needs Validation",IF(Market_Data[[#This Row],[Start Date]]&gt;TODAY(),"Planned",IF(Market_Data[[#This Row],[Completion Date]]&lt;TODAY(),"Completed","Ongoing")))</f>
        <v>Ongoing</v>
      </c>
      <c r="G1404" s="324">
        <v>43634</v>
      </c>
      <c r="H1404" s="324">
        <v>47118</v>
      </c>
      <c r="I1404" s="325">
        <v>128900</v>
      </c>
      <c r="J140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404" s="133">
        <f>_xlfn.XLOOKUP(Market_Data[[#This Row],[Project Type]],tbl_assumptions_market[Project Category (RERA)],tbl_assumptions_market[Concrete Intensity
(m³ / sq m BUA)],"",0)</f>
        <v>0.45</v>
      </c>
      <c r="L1404" s="134">
        <f>ROUND(Market_Data[[#This Row],[Estimated Built Up Area (sq m)]]*Market_Data[[#This Row],[Concrete Intensity
(m³ / sq m)]],0)</f>
        <v>58005</v>
      </c>
      <c r="M1404" s="135">
        <f>_xlfn.XLOOKUP(Market_Data[[#This Row],[District]],tbl_district_price[District],tbl_district_price[Standard Price
(INR/m³)],"",0)</f>
        <v>6200</v>
      </c>
      <c r="N1404" s="364">
        <f>IF(OR(Market_Data[[#This Row],[Estimated Concrete Demand (m³)]]="",Market_Data[[#This Row],[Avg Price per (₹ / m³)]]=""),"",Market_Data[[#This Row],[Estimated Concrete Demand (m³)]]*Market_Data[[#This Row],[Avg Price per (₹ / m³)]]/10000000)</f>
        <v>35.963099999999997</v>
      </c>
      <c r="O1404" s="97" t="str">
        <f>IF(Market_Data[[#This Row],[Estimated Concrete Demand (m³)]]="","",
IF(Market_Data[[#This Row],[Estimated Concrete Demand (m³)]]&lt;10000,"Small",
IF(Market_Data[[#This Row],[Estimated Concrete Demand (m³)]]&lt;25000,"Medium",
IF(Market_Data[[#This Row],[Estimated Concrete Demand (m³)]]&lt;100000,"Large","Mega"))))</f>
        <v>Large</v>
      </c>
      <c r="P1404" s="287" t="str">
        <f t="shared" si="23"/>
        <v>GujRERA</v>
      </c>
    </row>
    <row r="1405" spans="1:16">
      <c r="A1405" s="129" t="str">
        <f>_xlfn.XLOOKUP(B1405,$S$9:$S$14,$T$9:$T$14)&amp;"-"&amp;
IF(E1405="Residential/Group Housing","RES",
IF(E1405="Commercial","COM",
IF(E1405="Mixed Development","MIX",
IF(E1405="Plotted Development","PLT","OTH"))))
&amp;"-"&amp;TEXT(COUNTIFS($B$9:B1405,B1405,$E$9:E1405,E1405),"0000")</f>
        <v>SUR-COM-0215</v>
      </c>
      <c r="B1405" s="322" t="s">
        <v>34</v>
      </c>
      <c r="C1405" s="322" t="s">
        <v>34</v>
      </c>
      <c r="D1405" s="323" t="s">
        <v>1595</v>
      </c>
      <c r="E1405" s="132" t="s">
        <v>23</v>
      </c>
      <c r="F1405" s="97" t="str">
        <f ca="1">IF(OR(Market_Data[[#This Row],[Start Date]]="",Market_Data[[#This Row],[Completion Date]]=""),"Needs Validation",IF(Market_Data[[#This Row],[Start Date]]&gt;TODAY(),"Planned",IF(Market_Data[[#This Row],[Completion Date]]&lt;TODAY(),"Completed","Ongoing")))</f>
        <v>Ongoing</v>
      </c>
      <c r="G1405" s="324">
        <v>45047</v>
      </c>
      <c r="H1405" s="324">
        <v>46843</v>
      </c>
      <c r="I1405" s="325">
        <v>13400</v>
      </c>
      <c r="J140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05" s="133">
        <f>_xlfn.XLOOKUP(Market_Data[[#This Row],[Project Type]],tbl_assumptions_market[Project Category (RERA)],tbl_assumptions_market[Concrete Intensity
(m³ / sq m BUA)],"",0)</f>
        <v>0.5</v>
      </c>
      <c r="L1405" s="134">
        <f>ROUND(Market_Data[[#This Row],[Estimated Built Up Area (sq m)]]*Market_Data[[#This Row],[Concrete Intensity
(m³ / sq m)]],0)</f>
        <v>6700</v>
      </c>
      <c r="M1405" s="135">
        <f>_xlfn.XLOOKUP(Market_Data[[#This Row],[District]],tbl_district_price[District],tbl_district_price[Standard Price
(INR/m³)],"",0)</f>
        <v>6200</v>
      </c>
      <c r="N1405" s="364">
        <f>IF(OR(Market_Data[[#This Row],[Estimated Concrete Demand (m³)]]="",Market_Data[[#This Row],[Avg Price per (₹ / m³)]]=""),"",Market_Data[[#This Row],[Estimated Concrete Demand (m³)]]*Market_Data[[#This Row],[Avg Price per (₹ / m³)]]/10000000)</f>
        <v>4.1539999999999999</v>
      </c>
      <c r="O1405" s="97" t="str">
        <f>IF(Market_Data[[#This Row],[Estimated Concrete Demand (m³)]]="","",
IF(Market_Data[[#This Row],[Estimated Concrete Demand (m³)]]&lt;10000,"Small",
IF(Market_Data[[#This Row],[Estimated Concrete Demand (m³)]]&lt;25000,"Medium",
IF(Market_Data[[#This Row],[Estimated Concrete Demand (m³)]]&lt;100000,"Large","Mega"))))</f>
        <v>Small</v>
      </c>
      <c r="P1405" s="287" t="str">
        <f t="shared" si="23"/>
        <v>GujRERA</v>
      </c>
    </row>
    <row r="1406" spans="1:16">
      <c r="A1406" s="129" t="str">
        <f>_xlfn.XLOOKUP(B1406,$S$9:$S$14,$T$9:$T$14)&amp;"-"&amp;
IF(E1406="Residential/Group Housing","RES",
IF(E1406="Commercial","COM",
IF(E1406="Mixed Development","MIX",
IF(E1406="Plotted Development","PLT","OTH"))))
&amp;"-"&amp;TEXT(COUNTIFS($B$9:B1406,B1406,$E$9:E1406,E1406),"0000")</f>
        <v>SUR-COM-0216</v>
      </c>
      <c r="B1406" s="322" t="s">
        <v>34</v>
      </c>
      <c r="C1406" s="322" t="s">
        <v>34</v>
      </c>
      <c r="D1406" s="323" t="s">
        <v>1596</v>
      </c>
      <c r="E1406" s="132" t="s">
        <v>23</v>
      </c>
      <c r="F1406" s="97" t="str">
        <f ca="1">IF(OR(Market_Data[[#This Row],[Start Date]]="",Market_Data[[#This Row],[Completion Date]]=""),"Needs Validation",IF(Market_Data[[#This Row],[Start Date]]&gt;TODAY(),"Planned",IF(Market_Data[[#This Row],[Completion Date]]&lt;TODAY(),"Completed","Ongoing")))</f>
        <v>Ongoing</v>
      </c>
      <c r="G1406" s="324">
        <v>45839</v>
      </c>
      <c r="H1406" s="324">
        <v>47208</v>
      </c>
      <c r="I1406" s="325">
        <v>12500</v>
      </c>
      <c r="J140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06" s="133">
        <f>_xlfn.XLOOKUP(Market_Data[[#This Row],[Project Type]],tbl_assumptions_market[Project Category (RERA)],tbl_assumptions_market[Concrete Intensity
(m³ / sq m BUA)],"",0)</f>
        <v>0.5</v>
      </c>
      <c r="L1406" s="134">
        <f>ROUND(Market_Data[[#This Row],[Estimated Built Up Area (sq m)]]*Market_Data[[#This Row],[Concrete Intensity
(m³ / sq m)]],0)</f>
        <v>6250</v>
      </c>
      <c r="M1406" s="135">
        <f>_xlfn.XLOOKUP(Market_Data[[#This Row],[District]],tbl_district_price[District],tbl_district_price[Standard Price
(INR/m³)],"",0)</f>
        <v>6200</v>
      </c>
      <c r="N1406" s="364">
        <f>IF(OR(Market_Data[[#This Row],[Estimated Concrete Demand (m³)]]="",Market_Data[[#This Row],[Avg Price per (₹ / m³)]]=""),"",Market_Data[[#This Row],[Estimated Concrete Demand (m³)]]*Market_Data[[#This Row],[Avg Price per (₹ / m³)]]/10000000)</f>
        <v>3.875</v>
      </c>
      <c r="O1406" s="97" t="str">
        <f>IF(Market_Data[[#This Row],[Estimated Concrete Demand (m³)]]="","",
IF(Market_Data[[#This Row],[Estimated Concrete Demand (m³)]]&lt;10000,"Small",
IF(Market_Data[[#This Row],[Estimated Concrete Demand (m³)]]&lt;25000,"Medium",
IF(Market_Data[[#This Row],[Estimated Concrete Demand (m³)]]&lt;100000,"Large","Mega"))))</f>
        <v>Small</v>
      </c>
      <c r="P1406" s="287" t="str">
        <f t="shared" si="23"/>
        <v>GujRERA</v>
      </c>
    </row>
    <row r="1407" spans="1:16">
      <c r="A1407" s="129" t="str">
        <f>_xlfn.XLOOKUP(B1407,$S$9:$S$14,$T$9:$T$14)&amp;"-"&amp;
IF(E1407="Residential/Group Housing","RES",
IF(E1407="Commercial","COM",
IF(E1407="Mixed Development","MIX",
IF(E1407="Plotted Development","PLT","OTH"))))
&amp;"-"&amp;TEXT(COUNTIFS($B$9:B1407,B1407,$E$9:E1407,E1407),"0000")</f>
        <v>SUR-RES-0406</v>
      </c>
      <c r="B1407" s="322" t="s">
        <v>34</v>
      </c>
      <c r="C1407" s="322" t="s">
        <v>34</v>
      </c>
      <c r="D1407" s="323" t="s">
        <v>1597</v>
      </c>
      <c r="E1407" s="132" t="s">
        <v>24</v>
      </c>
      <c r="F1407" s="97" t="str">
        <f ca="1">IF(OR(Market_Data[[#This Row],[Start Date]]="",Market_Data[[#This Row],[Completion Date]]=""),"Needs Validation",IF(Market_Data[[#This Row],[Start Date]]&gt;TODAY(),"Planned",IF(Market_Data[[#This Row],[Completion Date]]&lt;TODAY(),"Completed","Ongoing")))</f>
        <v>Ongoing</v>
      </c>
      <c r="G1407" s="324">
        <v>46015</v>
      </c>
      <c r="H1407" s="324">
        <v>48213</v>
      </c>
      <c r="I1407" s="325">
        <v>7800</v>
      </c>
      <c r="J140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07" s="133">
        <f>_xlfn.XLOOKUP(Market_Data[[#This Row],[Project Type]],tbl_assumptions_market[Project Category (RERA)],tbl_assumptions_market[Concrete Intensity
(m³ / sq m BUA)],"",0)</f>
        <v>0.45</v>
      </c>
      <c r="L1407" s="134">
        <f>ROUND(Market_Data[[#This Row],[Estimated Built Up Area (sq m)]]*Market_Data[[#This Row],[Concrete Intensity
(m³ / sq m)]],0)</f>
        <v>3510</v>
      </c>
      <c r="M1407" s="135">
        <f>_xlfn.XLOOKUP(Market_Data[[#This Row],[District]],tbl_district_price[District],tbl_district_price[Standard Price
(INR/m³)],"",0)</f>
        <v>6200</v>
      </c>
      <c r="N1407" s="364">
        <f>IF(OR(Market_Data[[#This Row],[Estimated Concrete Demand (m³)]]="",Market_Data[[#This Row],[Avg Price per (₹ / m³)]]=""),"",Market_Data[[#This Row],[Estimated Concrete Demand (m³)]]*Market_Data[[#This Row],[Avg Price per (₹ / m³)]]/10000000)</f>
        <v>2.1762000000000001</v>
      </c>
      <c r="O1407" s="97" t="str">
        <f>IF(Market_Data[[#This Row],[Estimated Concrete Demand (m³)]]="","",
IF(Market_Data[[#This Row],[Estimated Concrete Demand (m³)]]&lt;10000,"Small",
IF(Market_Data[[#This Row],[Estimated Concrete Demand (m³)]]&lt;25000,"Medium",
IF(Market_Data[[#This Row],[Estimated Concrete Demand (m³)]]&lt;100000,"Large","Mega"))))</f>
        <v>Small</v>
      </c>
      <c r="P1407" s="287" t="str">
        <f t="shared" si="23"/>
        <v>GujRERA</v>
      </c>
    </row>
    <row r="1408" spans="1:16">
      <c r="A1408" s="129" t="str">
        <f>_xlfn.XLOOKUP(B1408,$S$9:$S$14,$T$9:$T$14)&amp;"-"&amp;
IF(E1408="Residential/Group Housing","RES",
IF(E1408="Commercial","COM",
IF(E1408="Mixed Development","MIX",
IF(E1408="Plotted Development","PLT","OTH"))))
&amp;"-"&amp;TEXT(COUNTIFS($B$9:B1408,B1408,$E$9:E1408,E1408),"0000")</f>
        <v>SUR-RES-0407</v>
      </c>
      <c r="B1408" s="322" t="s">
        <v>34</v>
      </c>
      <c r="C1408" s="322" t="s">
        <v>34</v>
      </c>
      <c r="D1408" s="323" t="s">
        <v>1598</v>
      </c>
      <c r="E1408" s="132" t="s">
        <v>24</v>
      </c>
      <c r="F1408" s="97" t="str">
        <f ca="1">IF(OR(Market_Data[[#This Row],[Start Date]]="",Market_Data[[#This Row],[Completion Date]]=""),"Needs Validation",IF(Market_Data[[#This Row],[Start Date]]&gt;TODAY(),"Planned",IF(Market_Data[[#This Row],[Completion Date]]&lt;TODAY(),"Completed","Ongoing")))</f>
        <v>Completed</v>
      </c>
      <c r="G1408" s="324">
        <v>42681</v>
      </c>
      <c r="H1408" s="324">
        <v>44651</v>
      </c>
      <c r="I1408" s="325">
        <v>36500</v>
      </c>
      <c r="J140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08" s="133">
        <f>_xlfn.XLOOKUP(Market_Data[[#This Row],[Project Type]],tbl_assumptions_market[Project Category (RERA)],tbl_assumptions_market[Concrete Intensity
(m³ / sq m BUA)],"",0)</f>
        <v>0.45</v>
      </c>
      <c r="L1408" s="134">
        <f>ROUND(Market_Data[[#This Row],[Estimated Built Up Area (sq m)]]*Market_Data[[#This Row],[Concrete Intensity
(m³ / sq m)]],0)</f>
        <v>16425</v>
      </c>
      <c r="M1408" s="135">
        <f>_xlfn.XLOOKUP(Market_Data[[#This Row],[District]],tbl_district_price[District],tbl_district_price[Standard Price
(INR/m³)],"",0)</f>
        <v>6200</v>
      </c>
      <c r="N1408" s="364">
        <f>IF(OR(Market_Data[[#This Row],[Estimated Concrete Demand (m³)]]="",Market_Data[[#This Row],[Avg Price per (₹ / m³)]]=""),"",Market_Data[[#This Row],[Estimated Concrete Demand (m³)]]*Market_Data[[#This Row],[Avg Price per (₹ / m³)]]/10000000)</f>
        <v>10.1835</v>
      </c>
      <c r="O1408" s="97" t="str">
        <f>IF(Market_Data[[#This Row],[Estimated Concrete Demand (m³)]]="","",
IF(Market_Data[[#This Row],[Estimated Concrete Demand (m³)]]&lt;10000,"Small",
IF(Market_Data[[#This Row],[Estimated Concrete Demand (m³)]]&lt;25000,"Medium",
IF(Market_Data[[#This Row],[Estimated Concrete Demand (m³)]]&lt;100000,"Large","Mega"))))</f>
        <v>Medium</v>
      </c>
      <c r="P1408" s="287" t="str">
        <f t="shared" si="23"/>
        <v>GujRERA</v>
      </c>
    </row>
    <row r="1409" spans="1:16">
      <c r="A1409" s="129" t="str">
        <f>_xlfn.XLOOKUP(B1409,$S$9:$S$14,$T$9:$T$14)&amp;"-"&amp;
IF(E1409="Residential/Group Housing","RES",
IF(E1409="Commercial","COM",
IF(E1409="Mixed Development","MIX",
IF(E1409="Plotted Development","PLT","OTH"))))
&amp;"-"&amp;TEXT(COUNTIFS($B$9:B1409,B1409,$E$9:E1409,E1409),"0000")</f>
        <v>SUR-RES-0408</v>
      </c>
      <c r="B1409" s="322" t="s">
        <v>34</v>
      </c>
      <c r="C1409" s="322" t="s">
        <v>34</v>
      </c>
      <c r="D1409" s="323" t="s">
        <v>1599</v>
      </c>
      <c r="E1409" s="132" t="s">
        <v>24</v>
      </c>
      <c r="F1409" s="97" t="str">
        <f ca="1">IF(OR(Market_Data[[#This Row],[Start Date]]="",Market_Data[[#This Row],[Completion Date]]=""),"Needs Validation",IF(Market_Data[[#This Row],[Start Date]]&gt;TODAY(),"Planned",IF(Market_Data[[#This Row],[Completion Date]]&lt;TODAY(),"Completed","Ongoing")))</f>
        <v>Completed</v>
      </c>
      <c r="G1409" s="324">
        <v>43524</v>
      </c>
      <c r="H1409" s="324">
        <v>45565</v>
      </c>
      <c r="I1409" s="325">
        <v>52400</v>
      </c>
      <c r="J140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09" s="133">
        <f>_xlfn.XLOOKUP(Market_Data[[#This Row],[Project Type]],tbl_assumptions_market[Project Category (RERA)],tbl_assumptions_market[Concrete Intensity
(m³ / sq m BUA)],"",0)</f>
        <v>0.45</v>
      </c>
      <c r="L1409" s="134">
        <f>ROUND(Market_Data[[#This Row],[Estimated Built Up Area (sq m)]]*Market_Data[[#This Row],[Concrete Intensity
(m³ / sq m)]],0)</f>
        <v>23580</v>
      </c>
      <c r="M1409" s="135">
        <f>_xlfn.XLOOKUP(Market_Data[[#This Row],[District]],tbl_district_price[District],tbl_district_price[Standard Price
(INR/m³)],"",0)</f>
        <v>6200</v>
      </c>
      <c r="N1409" s="364">
        <f>IF(OR(Market_Data[[#This Row],[Estimated Concrete Demand (m³)]]="",Market_Data[[#This Row],[Avg Price per (₹ / m³)]]=""),"",Market_Data[[#This Row],[Estimated Concrete Demand (m³)]]*Market_Data[[#This Row],[Avg Price per (₹ / m³)]]/10000000)</f>
        <v>14.6196</v>
      </c>
      <c r="O1409" s="97" t="str">
        <f>IF(Market_Data[[#This Row],[Estimated Concrete Demand (m³)]]="","",
IF(Market_Data[[#This Row],[Estimated Concrete Demand (m³)]]&lt;10000,"Small",
IF(Market_Data[[#This Row],[Estimated Concrete Demand (m³)]]&lt;25000,"Medium",
IF(Market_Data[[#This Row],[Estimated Concrete Demand (m³)]]&lt;100000,"Large","Mega"))))</f>
        <v>Medium</v>
      </c>
      <c r="P1409" s="287" t="str">
        <f t="shared" si="23"/>
        <v>GujRERA</v>
      </c>
    </row>
    <row r="1410" spans="1:16">
      <c r="A1410" s="129" t="str">
        <f>_xlfn.XLOOKUP(B1410,$S$9:$S$14,$T$9:$T$14)&amp;"-"&amp;
IF(E1410="Residential/Group Housing","RES",
IF(E1410="Commercial","COM",
IF(E1410="Mixed Development","MIX",
IF(E1410="Plotted Development","PLT","OTH"))))
&amp;"-"&amp;TEXT(COUNTIFS($B$9:B1410,B1410,$E$9:E1410,E1410),"0000")</f>
        <v>SUR-RES-0409</v>
      </c>
      <c r="B1410" s="322" t="s">
        <v>34</v>
      </c>
      <c r="C1410" s="322" t="s">
        <v>34</v>
      </c>
      <c r="D1410" s="323" t="s">
        <v>1600</v>
      </c>
      <c r="E1410" s="132" t="s">
        <v>24</v>
      </c>
      <c r="F1410" s="97" t="str">
        <f ca="1">IF(OR(Market_Data[[#This Row],[Start Date]]="",Market_Data[[#This Row],[Completion Date]]=""),"Needs Validation",IF(Market_Data[[#This Row],[Start Date]]&gt;TODAY(),"Planned",IF(Market_Data[[#This Row],[Completion Date]]&lt;TODAY(),"Completed","Ongoing")))</f>
        <v>Completed</v>
      </c>
      <c r="G1410" s="324">
        <v>43656</v>
      </c>
      <c r="H1410" s="324">
        <v>45991</v>
      </c>
      <c r="I1410" s="325">
        <v>12000</v>
      </c>
      <c r="J141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10" s="133">
        <f>_xlfn.XLOOKUP(Market_Data[[#This Row],[Project Type]],tbl_assumptions_market[Project Category (RERA)],tbl_assumptions_market[Concrete Intensity
(m³ / sq m BUA)],"",0)</f>
        <v>0.45</v>
      </c>
      <c r="L1410" s="134">
        <f>ROUND(Market_Data[[#This Row],[Estimated Built Up Area (sq m)]]*Market_Data[[#This Row],[Concrete Intensity
(m³ / sq m)]],0)</f>
        <v>5400</v>
      </c>
      <c r="M1410" s="135">
        <f>_xlfn.XLOOKUP(Market_Data[[#This Row],[District]],tbl_district_price[District],tbl_district_price[Standard Price
(INR/m³)],"",0)</f>
        <v>6200</v>
      </c>
      <c r="N1410" s="364">
        <f>IF(OR(Market_Data[[#This Row],[Estimated Concrete Demand (m³)]]="",Market_Data[[#This Row],[Avg Price per (₹ / m³)]]=""),"",Market_Data[[#This Row],[Estimated Concrete Demand (m³)]]*Market_Data[[#This Row],[Avg Price per (₹ / m³)]]/10000000)</f>
        <v>3.3479999999999999</v>
      </c>
      <c r="O1410" s="97" t="str">
        <f>IF(Market_Data[[#This Row],[Estimated Concrete Demand (m³)]]="","",
IF(Market_Data[[#This Row],[Estimated Concrete Demand (m³)]]&lt;10000,"Small",
IF(Market_Data[[#This Row],[Estimated Concrete Demand (m³)]]&lt;25000,"Medium",
IF(Market_Data[[#This Row],[Estimated Concrete Demand (m³)]]&lt;100000,"Large","Mega"))))</f>
        <v>Small</v>
      </c>
      <c r="P1410" s="287" t="str">
        <f t="shared" si="23"/>
        <v>GujRERA</v>
      </c>
    </row>
    <row r="1411" spans="1:16">
      <c r="A1411" s="129" t="str">
        <f>_xlfn.XLOOKUP(B1411,$S$9:$S$14,$T$9:$T$14)&amp;"-"&amp;
IF(E1411="Residential/Group Housing","RES",
IF(E1411="Commercial","COM",
IF(E1411="Mixed Development","MIX",
IF(E1411="Plotted Development","PLT","OTH"))))
&amp;"-"&amp;TEXT(COUNTIFS($B$9:B1411,B1411,$E$9:E1411,E1411),"0000")</f>
        <v>SUR-RES-0410</v>
      </c>
      <c r="B1411" s="322" t="s">
        <v>34</v>
      </c>
      <c r="C1411" s="322" t="s">
        <v>34</v>
      </c>
      <c r="D1411" s="323" t="s">
        <v>1601</v>
      </c>
      <c r="E1411" s="132" t="s">
        <v>24</v>
      </c>
      <c r="F1411" s="97" t="str">
        <f ca="1">IF(OR(Market_Data[[#This Row],[Start Date]]="",Market_Data[[#This Row],[Completion Date]]=""),"Needs Validation",IF(Market_Data[[#This Row],[Start Date]]&gt;TODAY(),"Planned",IF(Market_Data[[#This Row],[Completion Date]]&lt;TODAY(),"Completed","Ongoing")))</f>
        <v>Ongoing</v>
      </c>
      <c r="G1411" s="324">
        <v>45642</v>
      </c>
      <c r="H1411" s="324">
        <v>47483</v>
      </c>
      <c r="I1411" s="325">
        <v>2500</v>
      </c>
      <c r="J141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11" s="133">
        <f>_xlfn.XLOOKUP(Market_Data[[#This Row],[Project Type]],tbl_assumptions_market[Project Category (RERA)],tbl_assumptions_market[Concrete Intensity
(m³ / sq m BUA)],"",0)</f>
        <v>0.45</v>
      </c>
      <c r="L1411" s="134">
        <f>ROUND(Market_Data[[#This Row],[Estimated Built Up Area (sq m)]]*Market_Data[[#This Row],[Concrete Intensity
(m³ / sq m)]],0)</f>
        <v>1125</v>
      </c>
      <c r="M1411" s="135">
        <f>_xlfn.XLOOKUP(Market_Data[[#This Row],[District]],tbl_district_price[District],tbl_district_price[Standard Price
(INR/m³)],"",0)</f>
        <v>6200</v>
      </c>
      <c r="N1411" s="364">
        <f>IF(OR(Market_Data[[#This Row],[Estimated Concrete Demand (m³)]]="",Market_Data[[#This Row],[Avg Price per (₹ / m³)]]=""),"",Market_Data[[#This Row],[Estimated Concrete Demand (m³)]]*Market_Data[[#This Row],[Avg Price per (₹ / m³)]]/10000000)</f>
        <v>0.69750000000000001</v>
      </c>
      <c r="O1411" s="97" t="str">
        <f>IF(Market_Data[[#This Row],[Estimated Concrete Demand (m³)]]="","",
IF(Market_Data[[#This Row],[Estimated Concrete Demand (m³)]]&lt;10000,"Small",
IF(Market_Data[[#This Row],[Estimated Concrete Demand (m³)]]&lt;25000,"Medium",
IF(Market_Data[[#This Row],[Estimated Concrete Demand (m³)]]&lt;100000,"Large","Mega"))))</f>
        <v>Small</v>
      </c>
      <c r="P1411" s="287" t="str">
        <f t="shared" si="23"/>
        <v>GujRERA</v>
      </c>
    </row>
    <row r="1412" spans="1:16">
      <c r="A1412" s="129" t="str">
        <f>_xlfn.XLOOKUP(B1412,$S$9:$S$14,$T$9:$T$14)&amp;"-"&amp;
IF(E1412="Residential/Group Housing","RES",
IF(E1412="Commercial","COM",
IF(E1412="Mixed Development","MIX",
IF(E1412="Plotted Development","PLT","OTH"))))
&amp;"-"&amp;TEXT(COUNTIFS($B$9:B1412,B1412,$E$9:E1412,E1412),"0000")</f>
        <v>SUR-RES-0411</v>
      </c>
      <c r="B1412" s="322" t="s">
        <v>34</v>
      </c>
      <c r="C1412" s="322" t="s">
        <v>34</v>
      </c>
      <c r="D1412" s="323" t="s">
        <v>1602</v>
      </c>
      <c r="E1412" s="132" t="s">
        <v>24</v>
      </c>
      <c r="F1412" s="97" t="str">
        <f ca="1">IF(OR(Market_Data[[#This Row],[Start Date]]="",Market_Data[[#This Row],[Completion Date]]=""),"Needs Validation",IF(Market_Data[[#This Row],[Start Date]]&gt;TODAY(),"Planned",IF(Market_Data[[#This Row],[Completion Date]]&lt;TODAY(),"Completed","Ongoing")))</f>
        <v>Ongoing</v>
      </c>
      <c r="G1412" s="324">
        <v>44562</v>
      </c>
      <c r="H1412" s="324">
        <v>47118</v>
      </c>
      <c r="I1412" s="325">
        <v>18100</v>
      </c>
      <c r="J141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12" s="133">
        <f>_xlfn.XLOOKUP(Market_Data[[#This Row],[Project Type]],tbl_assumptions_market[Project Category (RERA)],tbl_assumptions_market[Concrete Intensity
(m³ / sq m BUA)],"",0)</f>
        <v>0.45</v>
      </c>
      <c r="L1412" s="134">
        <f>ROUND(Market_Data[[#This Row],[Estimated Built Up Area (sq m)]]*Market_Data[[#This Row],[Concrete Intensity
(m³ / sq m)]],0)</f>
        <v>8145</v>
      </c>
      <c r="M1412" s="135">
        <f>_xlfn.XLOOKUP(Market_Data[[#This Row],[District]],tbl_district_price[District],tbl_district_price[Standard Price
(INR/m³)],"",0)</f>
        <v>6200</v>
      </c>
      <c r="N1412" s="364">
        <f>IF(OR(Market_Data[[#This Row],[Estimated Concrete Demand (m³)]]="",Market_Data[[#This Row],[Avg Price per (₹ / m³)]]=""),"",Market_Data[[#This Row],[Estimated Concrete Demand (m³)]]*Market_Data[[#This Row],[Avg Price per (₹ / m³)]]/10000000)</f>
        <v>5.0499000000000001</v>
      </c>
      <c r="O1412" s="97" t="str">
        <f>IF(Market_Data[[#This Row],[Estimated Concrete Demand (m³)]]="","",
IF(Market_Data[[#This Row],[Estimated Concrete Demand (m³)]]&lt;10000,"Small",
IF(Market_Data[[#This Row],[Estimated Concrete Demand (m³)]]&lt;25000,"Medium",
IF(Market_Data[[#This Row],[Estimated Concrete Demand (m³)]]&lt;100000,"Large","Mega"))))</f>
        <v>Small</v>
      </c>
      <c r="P1412" s="287" t="str">
        <f t="shared" si="23"/>
        <v>GujRERA</v>
      </c>
    </row>
    <row r="1413" spans="1:16">
      <c r="A1413" s="129" t="str">
        <f>_xlfn.XLOOKUP(B1413,$S$9:$S$14,$T$9:$T$14)&amp;"-"&amp;
IF(E1413="Residential/Group Housing","RES",
IF(E1413="Commercial","COM",
IF(E1413="Mixed Development","MIX",
IF(E1413="Plotted Development","PLT","OTH"))))
&amp;"-"&amp;TEXT(COUNTIFS($B$9:B1413,B1413,$E$9:E1413,E1413),"0000")</f>
        <v>SUR-RES-0412</v>
      </c>
      <c r="B1413" s="322" t="s">
        <v>34</v>
      </c>
      <c r="C1413" s="322" t="s">
        <v>34</v>
      </c>
      <c r="D1413" s="323" t="s">
        <v>1603</v>
      </c>
      <c r="E1413" s="132" t="s">
        <v>24</v>
      </c>
      <c r="F1413" s="97" t="str">
        <f ca="1">IF(OR(Market_Data[[#This Row],[Start Date]]="",Market_Data[[#This Row],[Completion Date]]=""),"Needs Validation",IF(Market_Data[[#This Row],[Start Date]]&gt;TODAY(),"Planned",IF(Market_Data[[#This Row],[Completion Date]]&lt;TODAY(),"Completed","Ongoing")))</f>
        <v>Completed</v>
      </c>
      <c r="G1413" s="324">
        <v>43313</v>
      </c>
      <c r="H1413" s="324">
        <v>45097</v>
      </c>
      <c r="I1413" s="325">
        <v>25300</v>
      </c>
      <c r="J141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13" s="133">
        <f>_xlfn.XLOOKUP(Market_Data[[#This Row],[Project Type]],tbl_assumptions_market[Project Category (RERA)],tbl_assumptions_market[Concrete Intensity
(m³ / sq m BUA)],"",0)</f>
        <v>0.45</v>
      </c>
      <c r="L1413" s="134">
        <f>ROUND(Market_Data[[#This Row],[Estimated Built Up Area (sq m)]]*Market_Data[[#This Row],[Concrete Intensity
(m³ / sq m)]],0)</f>
        <v>11385</v>
      </c>
      <c r="M1413" s="135">
        <f>_xlfn.XLOOKUP(Market_Data[[#This Row],[District]],tbl_district_price[District],tbl_district_price[Standard Price
(INR/m³)],"",0)</f>
        <v>6200</v>
      </c>
      <c r="N1413" s="364">
        <f>IF(OR(Market_Data[[#This Row],[Estimated Concrete Demand (m³)]]="",Market_Data[[#This Row],[Avg Price per (₹ / m³)]]=""),"",Market_Data[[#This Row],[Estimated Concrete Demand (m³)]]*Market_Data[[#This Row],[Avg Price per (₹ / m³)]]/10000000)</f>
        <v>7.0587</v>
      </c>
      <c r="O1413" s="97" t="str">
        <f>IF(Market_Data[[#This Row],[Estimated Concrete Demand (m³)]]="","",
IF(Market_Data[[#This Row],[Estimated Concrete Demand (m³)]]&lt;10000,"Small",
IF(Market_Data[[#This Row],[Estimated Concrete Demand (m³)]]&lt;25000,"Medium",
IF(Market_Data[[#This Row],[Estimated Concrete Demand (m³)]]&lt;100000,"Large","Mega"))))</f>
        <v>Medium</v>
      </c>
      <c r="P1413" s="287" t="str">
        <f t="shared" si="23"/>
        <v>GujRERA</v>
      </c>
    </row>
    <row r="1414" spans="1:16">
      <c r="A1414" s="129" t="str">
        <f>_xlfn.XLOOKUP(B1414,$S$9:$S$14,$T$9:$T$14)&amp;"-"&amp;
IF(E1414="Residential/Group Housing","RES",
IF(E1414="Commercial","COM",
IF(E1414="Mixed Development","MIX",
IF(E1414="Plotted Development","PLT","OTH"))))
&amp;"-"&amp;TEXT(COUNTIFS($B$9:B1414,B1414,$E$9:E1414,E1414),"0000")</f>
        <v>SUR-RES-0413</v>
      </c>
      <c r="B1414" s="322" t="s">
        <v>34</v>
      </c>
      <c r="C1414" s="322" t="s">
        <v>34</v>
      </c>
      <c r="D1414" s="323" t="s">
        <v>1604</v>
      </c>
      <c r="E1414" s="132" t="s">
        <v>24</v>
      </c>
      <c r="F1414" s="97" t="str">
        <f ca="1">IF(OR(Market_Data[[#This Row],[Start Date]]="",Market_Data[[#This Row],[Completion Date]]=""),"Needs Validation",IF(Market_Data[[#This Row],[Start Date]]&gt;TODAY(),"Planned",IF(Market_Data[[#This Row],[Completion Date]]&lt;TODAY(),"Completed","Ongoing")))</f>
        <v>Ongoing</v>
      </c>
      <c r="G1414" s="324">
        <v>44910</v>
      </c>
      <c r="H1414" s="324">
        <v>47118</v>
      </c>
      <c r="I1414" s="325">
        <v>12500</v>
      </c>
      <c r="J141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14" s="133">
        <f>_xlfn.XLOOKUP(Market_Data[[#This Row],[Project Type]],tbl_assumptions_market[Project Category (RERA)],tbl_assumptions_market[Concrete Intensity
(m³ / sq m BUA)],"",0)</f>
        <v>0.45</v>
      </c>
      <c r="L1414" s="134">
        <f>ROUND(Market_Data[[#This Row],[Estimated Built Up Area (sq m)]]*Market_Data[[#This Row],[Concrete Intensity
(m³ / sq m)]],0)</f>
        <v>5625</v>
      </c>
      <c r="M1414" s="135">
        <f>_xlfn.XLOOKUP(Market_Data[[#This Row],[District]],tbl_district_price[District],tbl_district_price[Standard Price
(INR/m³)],"",0)</f>
        <v>6200</v>
      </c>
      <c r="N1414" s="364">
        <f>IF(OR(Market_Data[[#This Row],[Estimated Concrete Demand (m³)]]="",Market_Data[[#This Row],[Avg Price per (₹ / m³)]]=""),"",Market_Data[[#This Row],[Estimated Concrete Demand (m³)]]*Market_Data[[#This Row],[Avg Price per (₹ / m³)]]/10000000)</f>
        <v>3.4874999999999998</v>
      </c>
      <c r="O1414" s="97" t="str">
        <f>IF(Market_Data[[#This Row],[Estimated Concrete Demand (m³)]]="","",
IF(Market_Data[[#This Row],[Estimated Concrete Demand (m³)]]&lt;10000,"Small",
IF(Market_Data[[#This Row],[Estimated Concrete Demand (m³)]]&lt;25000,"Medium",
IF(Market_Data[[#This Row],[Estimated Concrete Demand (m³)]]&lt;100000,"Large","Mega"))))</f>
        <v>Small</v>
      </c>
      <c r="P1414" s="287" t="str">
        <f t="shared" si="23"/>
        <v>GujRERA</v>
      </c>
    </row>
    <row r="1415" spans="1:16">
      <c r="A1415" s="129" t="str">
        <f>_xlfn.XLOOKUP(B1415,$S$9:$S$14,$T$9:$T$14)&amp;"-"&amp;
IF(E1415="Residential/Group Housing","RES",
IF(E1415="Commercial","COM",
IF(E1415="Mixed Development","MIX",
IF(E1415="Plotted Development","PLT","OTH"))))
&amp;"-"&amp;TEXT(COUNTIFS($B$9:B1415,B1415,$E$9:E1415,E1415),"0000")</f>
        <v>SUR-PLT-0266</v>
      </c>
      <c r="B1415" s="322" t="s">
        <v>34</v>
      </c>
      <c r="C1415" s="322" t="s">
        <v>34</v>
      </c>
      <c r="D1415" s="323" t="s">
        <v>1605</v>
      </c>
      <c r="E1415" s="132" t="s">
        <v>26</v>
      </c>
      <c r="F1415" s="97" t="str">
        <f ca="1">IF(OR(Market_Data[[#This Row],[Start Date]]="",Market_Data[[#This Row],[Completion Date]]=""),"Needs Validation",IF(Market_Data[[#This Row],[Start Date]]&gt;TODAY(),"Planned",IF(Market_Data[[#This Row],[Completion Date]]&lt;TODAY(),"Completed","Ongoing")))</f>
        <v>Completed</v>
      </c>
      <c r="G1415" s="324">
        <v>45029</v>
      </c>
      <c r="H1415" s="324">
        <v>45413</v>
      </c>
      <c r="I1415" s="325">
        <v>40700</v>
      </c>
      <c r="J141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415" s="133">
        <f>_xlfn.XLOOKUP(Market_Data[[#This Row],[Project Type]],tbl_assumptions_market[Project Category (RERA)],tbl_assumptions_market[Concrete Intensity
(m³ / sq m BUA)],"",0)</f>
        <v>0.18</v>
      </c>
      <c r="L1415" s="134">
        <f>ROUND(Market_Data[[#This Row],[Estimated Built Up Area (sq m)]]*Market_Data[[#This Row],[Concrete Intensity
(m³ / sq m)]],0)</f>
        <v>7326</v>
      </c>
      <c r="M1415" s="135">
        <f>_xlfn.XLOOKUP(Market_Data[[#This Row],[District]],tbl_district_price[District],tbl_district_price[Standard Price
(INR/m³)],"",0)</f>
        <v>6200</v>
      </c>
      <c r="N1415" s="364">
        <f>IF(OR(Market_Data[[#This Row],[Estimated Concrete Demand (m³)]]="",Market_Data[[#This Row],[Avg Price per (₹ / m³)]]=""),"",Market_Data[[#This Row],[Estimated Concrete Demand (m³)]]*Market_Data[[#This Row],[Avg Price per (₹ / m³)]]/10000000)</f>
        <v>4.5421199999999997</v>
      </c>
      <c r="O1415" s="97" t="str">
        <f>IF(Market_Data[[#This Row],[Estimated Concrete Demand (m³)]]="","",
IF(Market_Data[[#This Row],[Estimated Concrete Demand (m³)]]&lt;10000,"Small",
IF(Market_Data[[#This Row],[Estimated Concrete Demand (m³)]]&lt;25000,"Medium",
IF(Market_Data[[#This Row],[Estimated Concrete Demand (m³)]]&lt;100000,"Large","Mega"))))</f>
        <v>Small</v>
      </c>
      <c r="P1415" s="287" t="str">
        <f t="shared" si="23"/>
        <v>GujRERA</v>
      </c>
    </row>
    <row r="1416" spans="1:16">
      <c r="A1416" s="129" t="str">
        <f>_xlfn.XLOOKUP(B1416,$S$9:$S$14,$T$9:$T$14)&amp;"-"&amp;
IF(E1416="Residential/Group Housing","RES",
IF(E1416="Commercial","COM",
IF(E1416="Mixed Development","MIX",
IF(E1416="Plotted Development","PLT","OTH"))))
&amp;"-"&amp;TEXT(COUNTIFS($B$9:B1416,B1416,$E$9:E1416,E1416),"0000")</f>
        <v>SUR-MIX-0203</v>
      </c>
      <c r="B1416" s="322" t="s">
        <v>34</v>
      </c>
      <c r="C1416" s="322" t="s">
        <v>34</v>
      </c>
      <c r="D1416" s="323" t="s">
        <v>1606</v>
      </c>
      <c r="E1416" s="132" t="s">
        <v>25</v>
      </c>
      <c r="F1416" s="97" t="str">
        <f ca="1">IF(OR(Market_Data[[#This Row],[Start Date]]="",Market_Data[[#This Row],[Completion Date]]=""),"Needs Validation",IF(Market_Data[[#This Row],[Start Date]]&gt;TODAY(),"Planned",IF(Market_Data[[#This Row],[Completion Date]]&lt;TODAY(),"Completed","Ongoing")))</f>
        <v>Ongoing</v>
      </c>
      <c r="G1416" s="324">
        <v>43914</v>
      </c>
      <c r="H1416" s="324">
        <v>46387</v>
      </c>
      <c r="I1416" s="325">
        <v>34700</v>
      </c>
      <c r="J141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16" s="133">
        <f>_xlfn.XLOOKUP(Market_Data[[#This Row],[Project Type]],tbl_assumptions_market[Project Category (RERA)],tbl_assumptions_market[Concrete Intensity
(m³ / sq m BUA)],"",0)</f>
        <v>0.42</v>
      </c>
      <c r="L1416" s="134">
        <f>ROUND(Market_Data[[#This Row],[Estimated Built Up Area (sq m)]]*Market_Data[[#This Row],[Concrete Intensity
(m³ / sq m)]],0)</f>
        <v>14574</v>
      </c>
      <c r="M1416" s="135">
        <f>_xlfn.XLOOKUP(Market_Data[[#This Row],[District]],tbl_district_price[District],tbl_district_price[Standard Price
(INR/m³)],"",0)</f>
        <v>6200</v>
      </c>
      <c r="N1416" s="364">
        <f>IF(OR(Market_Data[[#This Row],[Estimated Concrete Demand (m³)]]="",Market_Data[[#This Row],[Avg Price per (₹ / m³)]]=""),"",Market_Data[[#This Row],[Estimated Concrete Demand (m³)]]*Market_Data[[#This Row],[Avg Price per (₹ / m³)]]/10000000)</f>
        <v>9.0358800000000006</v>
      </c>
      <c r="O1416" s="97" t="str">
        <f>IF(Market_Data[[#This Row],[Estimated Concrete Demand (m³)]]="","",
IF(Market_Data[[#This Row],[Estimated Concrete Demand (m³)]]&lt;10000,"Small",
IF(Market_Data[[#This Row],[Estimated Concrete Demand (m³)]]&lt;25000,"Medium",
IF(Market_Data[[#This Row],[Estimated Concrete Demand (m³)]]&lt;100000,"Large","Mega"))))</f>
        <v>Medium</v>
      </c>
      <c r="P1416" s="287" t="str">
        <f t="shared" si="23"/>
        <v>GujRERA</v>
      </c>
    </row>
    <row r="1417" spans="1:16">
      <c r="A1417" s="129" t="str">
        <f>_xlfn.XLOOKUP(B1417,$S$9:$S$14,$T$9:$T$14)&amp;"-"&amp;
IF(E1417="Residential/Group Housing","RES",
IF(E1417="Commercial","COM",
IF(E1417="Mixed Development","MIX",
IF(E1417="Plotted Development","PLT","OTH"))))
&amp;"-"&amp;TEXT(COUNTIFS($B$9:B1417,B1417,$E$9:E1417,E1417),"0000")</f>
        <v>SUR-RES-0414</v>
      </c>
      <c r="B1417" s="322" t="s">
        <v>34</v>
      </c>
      <c r="C1417" s="322" t="s">
        <v>34</v>
      </c>
      <c r="D1417" s="323" t="s">
        <v>1607</v>
      </c>
      <c r="E1417" s="132" t="s">
        <v>24</v>
      </c>
      <c r="F1417" s="97" t="str">
        <f ca="1">IF(OR(Market_Data[[#This Row],[Start Date]]="",Market_Data[[#This Row],[Completion Date]]=""),"Needs Validation",IF(Market_Data[[#This Row],[Start Date]]&gt;TODAY(),"Planned",IF(Market_Data[[#This Row],[Completion Date]]&lt;TODAY(),"Completed","Ongoing")))</f>
        <v>Ongoing</v>
      </c>
      <c r="G1417" s="324">
        <v>45428</v>
      </c>
      <c r="H1417" s="324">
        <v>47208</v>
      </c>
      <c r="I1417" s="325">
        <v>10100</v>
      </c>
      <c r="J141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17" s="133">
        <f>_xlfn.XLOOKUP(Market_Data[[#This Row],[Project Type]],tbl_assumptions_market[Project Category (RERA)],tbl_assumptions_market[Concrete Intensity
(m³ / sq m BUA)],"",0)</f>
        <v>0.45</v>
      </c>
      <c r="L1417" s="134">
        <f>ROUND(Market_Data[[#This Row],[Estimated Built Up Area (sq m)]]*Market_Data[[#This Row],[Concrete Intensity
(m³ / sq m)]],0)</f>
        <v>4545</v>
      </c>
      <c r="M1417" s="135">
        <f>_xlfn.XLOOKUP(Market_Data[[#This Row],[District]],tbl_district_price[District],tbl_district_price[Standard Price
(INR/m³)],"",0)</f>
        <v>6200</v>
      </c>
      <c r="N1417" s="364">
        <f>IF(OR(Market_Data[[#This Row],[Estimated Concrete Demand (m³)]]="",Market_Data[[#This Row],[Avg Price per (₹ / m³)]]=""),"",Market_Data[[#This Row],[Estimated Concrete Demand (m³)]]*Market_Data[[#This Row],[Avg Price per (₹ / m³)]]/10000000)</f>
        <v>2.8178999999999998</v>
      </c>
      <c r="O1417" s="97" t="str">
        <f>IF(Market_Data[[#This Row],[Estimated Concrete Demand (m³)]]="","",
IF(Market_Data[[#This Row],[Estimated Concrete Demand (m³)]]&lt;10000,"Small",
IF(Market_Data[[#This Row],[Estimated Concrete Demand (m³)]]&lt;25000,"Medium",
IF(Market_Data[[#This Row],[Estimated Concrete Demand (m³)]]&lt;100000,"Large","Mega"))))</f>
        <v>Small</v>
      </c>
      <c r="P1417" s="287" t="str">
        <f t="shared" si="23"/>
        <v>GujRERA</v>
      </c>
    </row>
    <row r="1418" spans="1:16">
      <c r="A1418" s="129" t="str">
        <f>_xlfn.XLOOKUP(B1418,$S$9:$S$14,$T$9:$T$14)&amp;"-"&amp;
IF(E1418="Residential/Group Housing","RES",
IF(E1418="Commercial","COM",
IF(E1418="Mixed Development","MIX",
IF(E1418="Plotted Development","PLT","OTH"))))
&amp;"-"&amp;TEXT(COUNTIFS($B$9:B1418,B1418,$E$9:E1418,E1418),"0000")</f>
        <v>SUR-MIX-0204</v>
      </c>
      <c r="B1418" s="322" t="s">
        <v>34</v>
      </c>
      <c r="C1418" s="322" t="s">
        <v>34</v>
      </c>
      <c r="D1418" s="323" t="s">
        <v>1608</v>
      </c>
      <c r="E1418" s="132" t="s">
        <v>25</v>
      </c>
      <c r="F1418" s="97" t="str">
        <f ca="1">IF(OR(Market_Data[[#This Row],[Start Date]]="",Market_Data[[#This Row],[Completion Date]]=""),"Needs Validation",IF(Market_Data[[#This Row],[Start Date]]&gt;TODAY(),"Planned",IF(Market_Data[[#This Row],[Completion Date]]&lt;TODAY(),"Completed","Ongoing")))</f>
        <v>Ongoing</v>
      </c>
      <c r="G1418" s="324">
        <v>45569</v>
      </c>
      <c r="H1418" s="324">
        <v>47118</v>
      </c>
      <c r="I1418" s="325">
        <v>36100</v>
      </c>
      <c r="J141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18" s="133">
        <f>_xlfn.XLOOKUP(Market_Data[[#This Row],[Project Type]],tbl_assumptions_market[Project Category (RERA)],tbl_assumptions_market[Concrete Intensity
(m³ / sq m BUA)],"",0)</f>
        <v>0.42</v>
      </c>
      <c r="L1418" s="134">
        <f>ROUND(Market_Data[[#This Row],[Estimated Built Up Area (sq m)]]*Market_Data[[#This Row],[Concrete Intensity
(m³ / sq m)]],0)</f>
        <v>15162</v>
      </c>
      <c r="M1418" s="135">
        <f>_xlfn.XLOOKUP(Market_Data[[#This Row],[District]],tbl_district_price[District],tbl_district_price[Standard Price
(INR/m³)],"",0)</f>
        <v>6200</v>
      </c>
      <c r="N1418" s="364">
        <f>IF(OR(Market_Data[[#This Row],[Estimated Concrete Demand (m³)]]="",Market_Data[[#This Row],[Avg Price per (₹ / m³)]]=""),"",Market_Data[[#This Row],[Estimated Concrete Demand (m³)]]*Market_Data[[#This Row],[Avg Price per (₹ / m³)]]/10000000)</f>
        <v>9.4004399999999997</v>
      </c>
      <c r="O1418" s="97" t="str">
        <f>IF(Market_Data[[#This Row],[Estimated Concrete Demand (m³)]]="","",
IF(Market_Data[[#This Row],[Estimated Concrete Demand (m³)]]&lt;10000,"Small",
IF(Market_Data[[#This Row],[Estimated Concrete Demand (m³)]]&lt;25000,"Medium",
IF(Market_Data[[#This Row],[Estimated Concrete Demand (m³)]]&lt;100000,"Large","Mega"))))</f>
        <v>Medium</v>
      </c>
      <c r="P1418" s="287" t="str">
        <f t="shared" ref="P1418:P1481" si="24">HYPERLINK(
"https://gujrera.gujarat.gov.in",
"GujRERA")</f>
        <v>GujRERA</v>
      </c>
    </row>
    <row r="1419" spans="1:16">
      <c r="A1419" s="129" t="str">
        <f>_xlfn.XLOOKUP(B1419,$S$9:$S$14,$T$9:$T$14)&amp;"-"&amp;
IF(E1419="Residential/Group Housing","RES",
IF(E1419="Commercial","COM",
IF(E1419="Mixed Development","MIX",
IF(E1419="Plotted Development","PLT","OTH"))))
&amp;"-"&amp;TEXT(COUNTIFS($B$9:B1419,B1419,$E$9:E1419,E1419),"0000")</f>
        <v>SUR-MIX-0205</v>
      </c>
      <c r="B1419" s="322" t="s">
        <v>34</v>
      </c>
      <c r="C1419" s="322" t="s">
        <v>34</v>
      </c>
      <c r="D1419" s="323" t="s">
        <v>1609</v>
      </c>
      <c r="E1419" s="132" t="s">
        <v>25</v>
      </c>
      <c r="F1419" s="97" t="str">
        <f ca="1">IF(OR(Market_Data[[#This Row],[Start Date]]="",Market_Data[[#This Row],[Completion Date]]=""),"Needs Validation",IF(Market_Data[[#This Row],[Start Date]]&gt;TODAY(),"Planned",IF(Market_Data[[#This Row],[Completion Date]]&lt;TODAY(),"Completed","Ongoing")))</f>
        <v>Ongoing</v>
      </c>
      <c r="G1419" s="324">
        <v>45800</v>
      </c>
      <c r="H1419" s="324">
        <v>47483</v>
      </c>
      <c r="I1419" s="325">
        <v>53400</v>
      </c>
      <c r="J141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19" s="133">
        <f>_xlfn.XLOOKUP(Market_Data[[#This Row],[Project Type]],tbl_assumptions_market[Project Category (RERA)],tbl_assumptions_market[Concrete Intensity
(m³ / sq m BUA)],"",0)</f>
        <v>0.42</v>
      </c>
      <c r="L1419" s="134">
        <f>ROUND(Market_Data[[#This Row],[Estimated Built Up Area (sq m)]]*Market_Data[[#This Row],[Concrete Intensity
(m³ / sq m)]],0)</f>
        <v>22428</v>
      </c>
      <c r="M1419" s="135">
        <f>_xlfn.XLOOKUP(Market_Data[[#This Row],[District]],tbl_district_price[District],tbl_district_price[Standard Price
(INR/m³)],"",0)</f>
        <v>6200</v>
      </c>
      <c r="N1419" s="364">
        <f>IF(OR(Market_Data[[#This Row],[Estimated Concrete Demand (m³)]]="",Market_Data[[#This Row],[Avg Price per (₹ / m³)]]=""),"",Market_Data[[#This Row],[Estimated Concrete Demand (m³)]]*Market_Data[[#This Row],[Avg Price per (₹ / m³)]]/10000000)</f>
        <v>13.90536</v>
      </c>
      <c r="O1419" s="97" t="str">
        <f>IF(Market_Data[[#This Row],[Estimated Concrete Demand (m³)]]="","",
IF(Market_Data[[#This Row],[Estimated Concrete Demand (m³)]]&lt;10000,"Small",
IF(Market_Data[[#This Row],[Estimated Concrete Demand (m³)]]&lt;25000,"Medium",
IF(Market_Data[[#This Row],[Estimated Concrete Demand (m³)]]&lt;100000,"Large","Mega"))))</f>
        <v>Medium</v>
      </c>
      <c r="P1419" s="287" t="str">
        <f t="shared" si="24"/>
        <v>GujRERA</v>
      </c>
    </row>
    <row r="1420" spans="1:16">
      <c r="A1420" s="129" t="str">
        <f>_xlfn.XLOOKUP(B1420,$S$9:$S$14,$T$9:$T$14)&amp;"-"&amp;
IF(E1420="Residential/Group Housing","RES",
IF(E1420="Commercial","COM",
IF(E1420="Mixed Development","MIX",
IF(E1420="Plotted Development","PLT","OTH"))))
&amp;"-"&amp;TEXT(COUNTIFS($B$9:B1420,B1420,$E$9:E1420,E1420),"0000")</f>
        <v>SUR-RES-0415</v>
      </c>
      <c r="B1420" s="322" t="s">
        <v>34</v>
      </c>
      <c r="C1420" s="322" t="s">
        <v>34</v>
      </c>
      <c r="D1420" s="323" t="s">
        <v>1610</v>
      </c>
      <c r="E1420" s="132" t="s">
        <v>24</v>
      </c>
      <c r="F1420" s="97" t="str">
        <f ca="1">IF(OR(Market_Data[[#This Row],[Start Date]]="",Market_Data[[#This Row],[Completion Date]]=""),"Needs Validation",IF(Market_Data[[#This Row],[Start Date]]&gt;TODAY(),"Planned",IF(Market_Data[[#This Row],[Completion Date]]&lt;TODAY(),"Completed","Ongoing")))</f>
        <v>Ongoing</v>
      </c>
      <c r="G1420" s="324">
        <v>45827</v>
      </c>
      <c r="H1420" s="324">
        <v>47848</v>
      </c>
      <c r="I1420" s="325">
        <v>58800</v>
      </c>
      <c r="J142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20" s="133">
        <f>_xlfn.XLOOKUP(Market_Data[[#This Row],[Project Type]],tbl_assumptions_market[Project Category (RERA)],tbl_assumptions_market[Concrete Intensity
(m³ / sq m BUA)],"",0)</f>
        <v>0.45</v>
      </c>
      <c r="L1420" s="134">
        <f>ROUND(Market_Data[[#This Row],[Estimated Built Up Area (sq m)]]*Market_Data[[#This Row],[Concrete Intensity
(m³ / sq m)]],0)</f>
        <v>26460</v>
      </c>
      <c r="M1420" s="135">
        <f>_xlfn.XLOOKUP(Market_Data[[#This Row],[District]],tbl_district_price[District],tbl_district_price[Standard Price
(INR/m³)],"",0)</f>
        <v>6200</v>
      </c>
      <c r="N1420" s="364">
        <f>IF(OR(Market_Data[[#This Row],[Estimated Concrete Demand (m³)]]="",Market_Data[[#This Row],[Avg Price per (₹ / m³)]]=""),"",Market_Data[[#This Row],[Estimated Concrete Demand (m³)]]*Market_Data[[#This Row],[Avg Price per (₹ / m³)]]/10000000)</f>
        <v>16.405200000000001</v>
      </c>
      <c r="O1420" s="97" t="str">
        <f>IF(Market_Data[[#This Row],[Estimated Concrete Demand (m³)]]="","",
IF(Market_Data[[#This Row],[Estimated Concrete Demand (m³)]]&lt;10000,"Small",
IF(Market_Data[[#This Row],[Estimated Concrete Demand (m³)]]&lt;25000,"Medium",
IF(Market_Data[[#This Row],[Estimated Concrete Demand (m³)]]&lt;100000,"Large","Mega"))))</f>
        <v>Large</v>
      </c>
      <c r="P1420" s="287" t="str">
        <f t="shared" si="24"/>
        <v>GujRERA</v>
      </c>
    </row>
    <row r="1421" spans="1:16">
      <c r="A1421" s="129" t="str">
        <f>_xlfn.XLOOKUP(B1421,$S$9:$S$14,$T$9:$T$14)&amp;"-"&amp;
IF(E1421="Residential/Group Housing","RES",
IF(E1421="Commercial","COM",
IF(E1421="Mixed Development","MIX",
IF(E1421="Plotted Development","PLT","OTH"))))
&amp;"-"&amp;TEXT(COUNTIFS($B$9:B1421,B1421,$E$9:E1421,E1421),"0000")</f>
        <v>SUR-MIX-0206</v>
      </c>
      <c r="B1421" s="322" t="s">
        <v>34</v>
      </c>
      <c r="C1421" s="322" t="s">
        <v>34</v>
      </c>
      <c r="D1421" s="323" t="s">
        <v>1611</v>
      </c>
      <c r="E1421" s="132" t="s">
        <v>25</v>
      </c>
      <c r="F1421" s="97" t="str">
        <f ca="1">IF(OR(Market_Data[[#This Row],[Start Date]]="",Market_Data[[#This Row],[Completion Date]]=""),"Needs Validation",IF(Market_Data[[#This Row],[Start Date]]&gt;TODAY(),"Planned",IF(Market_Data[[#This Row],[Completion Date]]&lt;TODAY(),"Completed","Ongoing")))</f>
        <v>Ongoing</v>
      </c>
      <c r="G1421" s="324">
        <v>45117</v>
      </c>
      <c r="H1421" s="324">
        <v>47118</v>
      </c>
      <c r="I1421" s="325">
        <v>49600</v>
      </c>
      <c r="J142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21" s="133">
        <f>_xlfn.XLOOKUP(Market_Data[[#This Row],[Project Type]],tbl_assumptions_market[Project Category (RERA)],tbl_assumptions_market[Concrete Intensity
(m³ / sq m BUA)],"",0)</f>
        <v>0.42</v>
      </c>
      <c r="L1421" s="134">
        <f>ROUND(Market_Data[[#This Row],[Estimated Built Up Area (sq m)]]*Market_Data[[#This Row],[Concrete Intensity
(m³ / sq m)]],0)</f>
        <v>20832</v>
      </c>
      <c r="M1421" s="135">
        <f>_xlfn.XLOOKUP(Market_Data[[#This Row],[District]],tbl_district_price[District],tbl_district_price[Standard Price
(INR/m³)],"",0)</f>
        <v>6200</v>
      </c>
      <c r="N1421" s="364">
        <f>IF(OR(Market_Data[[#This Row],[Estimated Concrete Demand (m³)]]="",Market_Data[[#This Row],[Avg Price per (₹ / m³)]]=""),"",Market_Data[[#This Row],[Estimated Concrete Demand (m³)]]*Market_Data[[#This Row],[Avg Price per (₹ / m³)]]/10000000)</f>
        <v>12.915839999999999</v>
      </c>
      <c r="O1421" s="97" t="str">
        <f>IF(Market_Data[[#This Row],[Estimated Concrete Demand (m³)]]="","",
IF(Market_Data[[#This Row],[Estimated Concrete Demand (m³)]]&lt;10000,"Small",
IF(Market_Data[[#This Row],[Estimated Concrete Demand (m³)]]&lt;25000,"Medium",
IF(Market_Data[[#This Row],[Estimated Concrete Demand (m³)]]&lt;100000,"Large","Mega"))))</f>
        <v>Medium</v>
      </c>
      <c r="P1421" s="287" t="str">
        <f t="shared" si="24"/>
        <v>GujRERA</v>
      </c>
    </row>
    <row r="1422" spans="1:16">
      <c r="A1422" s="129" t="str">
        <f>_xlfn.XLOOKUP(B1422,$S$9:$S$14,$T$9:$T$14)&amp;"-"&amp;
IF(E1422="Residential/Group Housing","RES",
IF(E1422="Commercial","COM",
IF(E1422="Mixed Development","MIX",
IF(E1422="Plotted Development","PLT","OTH"))))
&amp;"-"&amp;TEXT(COUNTIFS($B$9:B1422,B1422,$E$9:E1422,E1422),"0000")</f>
        <v>SUR-MIX-0207</v>
      </c>
      <c r="B1422" s="322" t="s">
        <v>34</v>
      </c>
      <c r="C1422" s="322" t="s">
        <v>34</v>
      </c>
      <c r="D1422" s="323" t="s">
        <v>1612</v>
      </c>
      <c r="E1422" s="132" t="s">
        <v>25</v>
      </c>
      <c r="F1422" s="97" t="str">
        <f ca="1">IF(OR(Market_Data[[#This Row],[Start Date]]="",Market_Data[[#This Row],[Completion Date]]=""),"Needs Validation",IF(Market_Data[[#This Row],[Start Date]]&gt;TODAY(),"Planned",IF(Market_Data[[#This Row],[Completion Date]]&lt;TODAY(),"Completed","Ongoing")))</f>
        <v>Completed</v>
      </c>
      <c r="G1422" s="324">
        <v>43910</v>
      </c>
      <c r="H1422" s="324">
        <v>45657</v>
      </c>
      <c r="I1422" s="325">
        <v>4800</v>
      </c>
      <c r="J142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422" s="133">
        <f>_xlfn.XLOOKUP(Market_Data[[#This Row],[Project Type]],tbl_assumptions_market[Project Category (RERA)],tbl_assumptions_market[Concrete Intensity
(m³ / sq m BUA)],"",0)</f>
        <v>0.42</v>
      </c>
      <c r="L1422" s="134">
        <f>ROUND(Market_Data[[#This Row],[Estimated Built Up Area (sq m)]]*Market_Data[[#This Row],[Concrete Intensity
(m³ / sq m)]],0)</f>
        <v>2016</v>
      </c>
      <c r="M1422" s="135">
        <f>_xlfn.XLOOKUP(Market_Data[[#This Row],[District]],tbl_district_price[District],tbl_district_price[Standard Price
(INR/m³)],"",0)</f>
        <v>6200</v>
      </c>
      <c r="N1422" s="364">
        <f>IF(OR(Market_Data[[#This Row],[Estimated Concrete Demand (m³)]]="",Market_Data[[#This Row],[Avg Price per (₹ / m³)]]=""),"",Market_Data[[#This Row],[Estimated Concrete Demand (m³)]]*Market_Data[[#This Row],[Avg Price per (₹ / m³)]]/10000000)</f>
        <v>1.2499199999999999</v>
      </c>
      <c r="O1422" s="97" t="str">
        <f>IF(Market_Data[[#This Row],[Estimated Concrete Demand (m³)]]="","",
IF(Market_Data[[#This Row],[Estimated Concrete Demand (m³)]]&lt;10000,"Small",
IF(Market_Data[[#This Row],[Estimated Concrete Demand (m³)]]&lt;25000,"Medium",
IF(Market_Data[[#This Row],[Estimated Concrete Demand (m³)]]&lt;100000,"Large","Mega"))))</f>
        <v>Small</v>
      </c>
      <c r="P1422" s="287" t="str">
        <f t="shared" si="24"/>
        <v>GujRERA</v>
      </c>
    </row>
    <row r="1423" spans="1:16">
      <c r="A1423" s="129" t="str">
        <f>_xlfn.XLOOKUP(B1423,$S$9:$S$14,$T$9:$T$14)&amp;"-"&amp;
IF(E1423="Residential/Group Housing","RES",
IF(E1423="Commercial","COM",
IF(E1423="Mixed Development","MIX",
IF(E1423="Plotted Development","PLT","OTH"))))
&amp;"-"&amp;TEXT(COUNTIFS($B$9:B1423,B1423,$E$9:E1423,E1423),"0000")</f>
        <v>SUR-PLT-0267</v>
      </c>
      <c r="B1423" s="322" t="s">
        <v>34</v>
      </c>
      <c r="C1423" s="322" t="s">
        <v>34</v>
      </c>
      <c r="D1423" s="323" t="s">
        <v>1613</v>
      </c>
      <c r="E1423" s="132" t="s">
        <v>26</v>
      </c>
      <c r="F1423" s="97" t="str">
        <f ca="1">IF(OR(Market_Data[[#This Row],[Start Date]]="",Market_Data[[#This Row],[Completion Date]]=""),"Needs Validation",IF(Market_Data[[#This Row],[Start Date]]&gt;TODAY(),"Planned",IF(Market_Data[[#This Row],[Completion Date]]&lt;TODAY(),"Completed","Ongoing")))</f>
        <v>Completed</v>
      </c>
      <c r="G1423" s="324">
        <v>44922</v>
      </c>
      <c r="H1423" s="324">
        <v>45565</v>
      </c>
      <c r="I1423" s="325">
        <v>5800</v>
      </c>
      <c r="J142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23" s="133">
        <f>_xlfn.XLOOKUP(Market_Data[[#This Row],[Project Type]],tbl_assumptions_market[Project Category (RERA)],tbl_assumptions_market[Concrete Intensity
(m³ / sq m BUA)],"",0)</f>
        <v>0.18</v>
      </c>
      <c r="L1423" s="134">
        <f>ROUND(Market_Data[[#This Row],[Estimated Built Up Area (sq m)]]*Market_Data[[#This Row],[Concrete Intensity
(m³ / sq m)]],0)</f>
        <v>1044</v>
      </c>
      <c r="M1423" s="135">
        <f>_xlfn.XLOOKUP(Market_Data[[#This Row],[District]],tbl_district_price[District],tbl_district_price[Standard Price
(INR/m³)],"",0)</f>
        <v>6200</v>
      </c>
      <c r="N1423" s="364">
        <f>IF(OR(Market_Data[[#This Row],[Estimated Concrete Demand (m³)]]="",Market_Data[[#This Row],[Avg Price per (₹ / m³)]]=""),"",Market_Data[[#This Row],[Estimated Concrete Demand (m³)]]*Market_Data[[#This Row],[Avg Price per (₹ / m³)]]/10000000)</f>
        <v>0.64727999999999997</v>
      </c>
      <c r="O1423" s="97" t="str">
        <f>IF(Market_Data[[#This Row],[Estimated Concrete Demand (m³)]]="","",
IF(Market_Data[[#This Row],[Estimated Concrete Demand (m³)]]&lt;10000,"Small",
IF(Market_Data[[#This Row],[Estimated Concrete Demand (m³)]]&lt;25000,"Medium",
IF(Market_Data[[#This Row],[Estimated Concrete Demand (m³)]]&lt;100000,"Large","Mega"))))</f>
        <v>Small</v>
      </c>
      <c r="P1423" s="287" t="str">
        <f t="shared" si="24"/>
        <v>GujRERA</v>
      </c>
    </row>
    <row r="1424" spans="1:16">
      <c r="A1424" s="129" t="str">
        <f>_xlfn.XLOOKUP(B1424,$S$9:$S$14,$T$9:$T$14)&amp;"-"&amp;
IF(E1424="Residential/Group Housing","RES",
IF(E1424="Commercial","COM",
IF(E1424="Mixed Development","MIX",
IF(E1424="Plotted Development","PLT","OTH"))))
&amp;"-"&amp;TEXT(COUNTIFS($B$9:B1424,B1424,$E$9:E1424,E1424),"0000")</f>
        <v>SUR-PLT-0268</v>
      </c>
      <c r="B1424" s="322" t="s">
        <v>34</v>
      </c>
      <c r="C1424" s="322" t="s">
        <v>34</v>
      </c>
      <c r="D1424" s="323" t="s">
        <v>1614</v>
      </c>
      <c r="E1424" s="132" t="s">
        <v>26</v>
      </c>
      <c r="F1424" s="97" t="str">
        <f ca="1">IF(OR(Market_Data[[#This Row],[Start Date]]="",Market_Data[[#This Row],[Completion Date]]=""),"Needs Validation",IF(Market_Data[[#This Row],[Start Date]]&gt;TODAY(),"Planned",IF(Market_Data[[#This Row],[Completion Date]]&lt;TODAY(),"Completed","Ongoing")))</f>
        <v>Ongoing</v>
      </c>
      <c r="G1424" s="324">
        <v>45233</v>
      </c>
      <c r="H1424" s="324">
        <v>46752</v>
      </c>
      <c r="I1424" s="325">
        <v>42800</v>
      </c>
      <c r="J142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424" s="133">
        <f>_xlfn.XLOOKUP(Market_Data[[#This Row],[Project Type]],tbl_assumptions_market[Project Category (RERA)],tbl_assumptions_market[Concrete Intensity
(m³ / sq m BUA)],"",0)</f>
        <v>0.18</v>
      </c>
      <c r="L1424" s="134">
        <f>ROUND(Market_Data[[#This Row],[Estimated Built Up Area (sq m)]]*Market_Data[[#This Row],[Concrete Intensity
(m³ / sq m)]],0)</f>
        <v>7704</v>
      </c>
      <c r="M1424" s="135">
        <f>_xlfn.XLOOKUP(Market_Data[[#This Row],[District]],tbl_district_price[District],tbl_district_price[Standard Price
(INR/m³)],"",0)</f>
        <v>6200</v>
      </c>
      <c r="N1424" s="364">
        <f>IF(OR(Market_Data[[#This Row],[Estimated Concrete Demand (m³)]]="",Market_Data[[#This Row],[Avg Price per (₹ / m³)]]=""),"",Market_Data[[#This Row],[Estimated Concrete Demand (m³)]]*Market_Data[[#This Row],[Avg Price per (₹ / m³)]]/10000000)</f>
        <v>4.7764800000000003</v>
      </c>
      <c r="O1424" s="97" t="str">
        <f>IF(Market_Data[[#This Row],[Estimated Concrete Demand (m³)]]="","",
IF(Market_Data[[#This Row],[Estimated Concrete Demand (m³)]]&lt;10000,"Small",
IF(Market_Data[[#This Row],[Estimated Concrete Demand (m³)]]&lt;25000,"Medium",
IF(Market_Data[[#This Row],[Estimated Concrete Demand (m³)]]&lt;100000,"Large","Mega"))))</f>
        <v>Small</v>
      </c>
      <c r="P1424" s="287" t="str">
        <f t="shared" si="24"/>
        <v>GujRERA</v>
      </c>
    </row>
    <row r="1425" spans="1:16">
      <c r="A1425" s="129" t="str">
        <f>_xlfn.XLOOKUP(B1425,$S$9:$S$14,$T$9:$T$14)&amp;"-"&amp;
IF(E1425="Residential/Group Housing","RES",
IF(E1425="Commercial","COM",
IF(E1425="Mixed Development","MIX",
IF(E1425="Plotted Development","PLT","OTH"))))
&amp;"-"&amp;TEXT(COUNTIFS($B$9:B1425,B1425,$E$9:E1425,E1425),"0000")</f>
        <v>SUR-RES-0416</v>
      </c>
      <c r="B1425" s="322" t="s">
        <v>34</v>
      </c>
      <c r="C1425" s="322" t="s">
        <v>34</v>
      </c>
      <c r="D1425" s="323" t="s">
        <v>1615</v>
      </c>
      <c r="E1425" s="132" t="s">
        <v>24</v>
      </c>
      <c r="F1425" s="97" t="str">
        <f ca="1">IF(OR(Market_Data[[#This Row],[Start Date]]="",Market_Data[[#This Row],[Completion Date]]=""),"Needs Validation",IF(Market_Data[[#This Row],[Start Date]]&gt;TODAY(),"Planned",IF(Market_Data[[#This Row],[Completion Date]]&lt;TODAY(),"Completed","Ongoing")))</f>
        <v>Completed</v>
      </c>
      <c r="G1425" s="324">
        <v>41353</v>
      </c>
      <c r="H1425" s="324">
        <v>44834</v>
      </c>
      <c r="I1425" s="325">
        <v>27000</v>
      </c>
      <c r="J142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25" s="133">
        <f>_xlfn.XLOOKUP(Market_Data[[#This Row],[Project Type]],tbl_assumptions_market[Project Category (RERA)],tbl_assumptions_market[Concrete Intensity
(m³ / sq m BUA)],"",0)</f>
        <v>0.45</v>
      </c>
      <c r="L1425" s="134">
        <f>ROUND(Market_Data[[#This Row],[Estimated Built Up Area (sq m)]]*Market_Data[[#This Row],[Concrete Intensity
(m³ / sq m)]],0)</f>
        <v>12150</v>
      </c>
      <c r="M1425" s="135">
        <f>_xlfn.XLOOKUP(Market_Data[[#This Row],[District]],tbl_district_price[District],tbl_district_price[Standard Price
(INR/m³)],"",0)</f>
        <v>6200</v>
      </c>
      <c r="N1425" s="364">
        <f>IF(OR(Market_Data[[#This Row],[Estimated Concrete Demand (m³)]]="",Market_Data[[#This Row],[Avg Price per (₹ / m³)]]=""),"",Market_Data[[#This Row],[Estimated Concrete Demand (m³)]]*Market_Data[[#This Row],[Avg Price per (₹ / m³)]]/10000000)</f>
        <v>7.5330000000000004</v>
      </c>
      <c r="O1425" s="97" t="str">
        <f>IF(Market_Data[[#This Row],[Estimated Concrete Demand (m³)]]="","",
IF(Market_Data[[#This Row],[Estimated Concrete Demand (m³)]]&lt;10000,"Small",
IF(Market_Data[[#This Row],[Estimated Concrete Demand (m³)]]&lt;25000,"Medium",
IF(Market_Data[[#This Row],[Estimated Concrete Demand (m³)]]&lt;100000,"Large","Mega"))))</f>
        <v>Medium</v>
      </c>
      <c r="P1425" s="287" t="str">
        <f t="shared" si="24"/>
        <v>GujRERA</v>
      </c>
    </row>
    <row r="1426" spans="1:16">
      <c r="A1426" s="129" t="str">
        <f>_xlfn.XLOOKUP(B1426,$S$9:$S$14,$T$9:$T$14)&amp;"-"&amp;
IF(E1426="Residential/Group Housing","RES",
IF(E1426="Commercial","COM",
IF(E1426="Mixed Development","MIX",
IF(E1426="Plotted Development","PLT","OTH"))))
&amp;"-"&amp;TEXT(COUNTIFS($B$9:B1426,B1426,$E$9:E1426,E1426),"0000")</f>
        <v>SUR-PLT-0269</v>
      </c>
      <c r="B1426" s="322" t="s">
        <v>34</v>
      </c>
      <c r="C1426" s="322" t="s">
        <v>34</v>
      </c>
      <c r="D1426" s="323" t="s">
        <v>1616</v>
      </c>
      <c r="E1426" s="132" t="s">
        <v>26</v>
      </c>
      <c r="F1426" s="97" t="str">
        <f ca="1">IF(OR(Market_Data[[#This Row],[Start Date]]="",Market_Data[[#This Row],[Completion Date]]=""),"Needs Validation",IF(Market_Data[[#This Row],[Start Date]]&gt;TODAY(),"Planned",IF(Market_Data[[#This Row],[Completion Date]]&lt;TODAY(),"Completed","Ongoing")))</f>
        <v>Ongoing</v>
      </c>
      <c r="G1426" s="324">
        <v>45408</v>
      </c>
      <c r="H1426" s="324">
        <v>47208</v>
      </c>
      <c r="I1426" s="325">
        <v>50100</v>
      </c>
      <c r="J142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426" s="133">
        <f>_xlfn.XLOOKUP(Market_Data[[#This Row],[Project Type]],tbl_assumptions_market[Project Category (RERA)],tbl_assumptions_market[Concrete Intensity
(m³ / sq m BUA)],"",0)</f>
        <v>0.18</v>
      </c>
      <c r="L1426" s="134">
        <f>ROUND(Market_Data[[#This Row],[Estimated Built Up Area (sq m)]]*Market_Data[[#This Row],[Concrete Intensity
(m³ / sq m)]],0)</f>
        <v>9018</v>
      </c>
      <c r="M1426" s="135">
        <f>_xlfn.XLOOKUP(Market_Data[[#This Row],[District]],tbl_district_price[District],tbl_district_price[Standard Price
(INR/m³)],"",0)</f>
        <v>6200</v>
      </c>
      <c r="N1426" s="364">
        <f>IF(OR(Market_Data[[#This Row],[Estimated Concrete Demand (m³)]]="",Market_Data[[#This Row],[Avg Price per (₹ / m³)]]=""),"",Market_Data[[#This Row],[Estimated Concrete Demand (m³)]]*Market_Data[[#This Row],[Avg Price per (₹ / m³)]]/10000000)</f>
        <v>5.5911600000000004</v>
      </c>
      <c r="O1426" s="97" t="str">
        <f>IF(Market_Data[[#This Row],[Estimated Concrete Demand (m³)]]="","",
IF(Market_Data[[#This Row],[Estimated Concrete Demand (m³)]]&lt;10000,"Small",
IF(Market_Data[[#This Row],[Estimated Concrete Demand (m³)]]&lt;25000,"Medium",
IF(Market_Data[[#This Row],[Estimated Concrete Demand (m³)]]&lt;100000,"Large","Mega"))))</f>
        <v>Small</v>
      </c>
      <c r="P1426" s="287" t="str">
        <f t="shared" si="24"/>
        <v>GujRERA</v>
      </c>
    </row>
    <row r="1427" spans="1:16">
      <c r="A1427" s="129" t="str">
        <f>_xlfn.XLOOKUP(B1427,$S$9:$S$14,$T$9:$T$14)&amp;"-"&amp;
IF(E1427="Residential/Group Housing","RES",
IF(E1427="Commercial","COM",
IF(E1427="Mixed Development","MIX",
IF(E1427="Plotted Development","PLT","OTH"))))
&amp;"-"&amp;TEXT(COUNTIFS($B$9:B1427,B1427,$E$9:E1427,E1427),"0000")</f>
        <v>SUR-RES-0417</v>
      </c>
      <c r="B1427" s="322" t="s">
        <v>34</v>
      </c>
      <c r="C1427" s="322" t="s">
        <v>34</v>
      </c>
      <c r="D1427" s="323" t="s">
        <v>1617</v>
      </c>
      <c r="E1427" s="132" t="s">
        <v>24</v>
      </c>
      <c r="F1427" s="97" t="str">
        <f ca="1">IF(OR(Market_Data[[#This Row],[Start Date]]="",Market_Data[[#This Row],[Completion Date]]=""),"Needs Validation",IF(Market_Data[[#This Row],[Start Date]]&gt;TODAY(),"Planned",IF(Market_Data[[#This Row],[Completion Date]]&lt;TODAY(),"Completed","Ongoing")))</f>
        <v>Completed</v>
      </c>
      <c r="G1427" s="324">
        <v>42566</v>
      </c>
      <c r="H1427" s="324">
        <v>43190</v>
      </c>
      <c r="I1427" s="325">
        <v>33600</v>
      </c>
      <c r="J142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27" s="133">
        <f>_xlfn.XLOOKUP(Market_Data[[#This Row],[Project Type]],tbl_assumptions_market[Project Category (RERA)],tbl_assumptions_market[Concrete Intensity
(m³ / sq m BUA)],"",0)</f>
        <v>0.45</v>
      </c>
      <c r="L1427" s="134">
        <f>ROUND(Market_Data[[#This Row],[Estimated Built Up Area (sq m)]]*Market_Data[[#This Row],[Concrete Intensity
(m³ / sq m)]],0)</f>
        <v>15120</v>
      </c>
      <c r="M1427" s="135">
        <f>_xlfn.XLOOKUP(Market_Data[[#This Row],[District]],tbl_district_price[District],tbl_district_price[Standard Price
(INR/m³)],"",0)</f>
        <v>6200</v>
      </c>
      <c r="N1427" s="364">
        <f>IF(OR(Market_Data[[#This Row],[Estimated Concrete Demand (m³)]]="",Market_Data[[#This Row],[Avg Price per (₹ / m³)]]=""),"",Market_Data[[#This Row],[Estimated Concrete Demand (m³)]]*Market_Data[[#This Row],[Avg Price per (₹ / m³)]]/10000000)</f>
        <v>9.3743999999999996</v>
      </c>
      <c r="O1427" s="97" t="str">
        <f>IF(Market_Data[[#This Row],[Estimated Concrete Demand (m³)]]="","",
IF(Market_Data[[#This Row],[Estimated Concrete Demand (m³)]]&lt;10000,"Small",
IF(Market_Data[[#This Row],[Estimated Concrete Demand (m³)]]&lt;25000,"Medium",
IF(Market_Data[[#This Row],[Estimated Concrete Demand (m³)]]&lt;100000,"Large","Mega"))))</f>
        <v>Medium</v>
      </c>
      <c r="P1427" s="287" t="str">
        <f t="shared" si="24"/>
        <v>GujRERA</v>
      </c>
    </row>
    <row r="1428" spans="1:16">
      <c r="A1428" s="129" t="str">
        <f>_xlfn.XLOOKUP(B1428,$S$9:$S$14,$T$9:$T$14)&amp;"-"&amp;
IF(E1428="Residential/Group Housing","RES",
IF(E1428="Commercial","COM",
IF(E1428="Mixed Development","MIX",
IF(E1428="Plotted Development","PLT","OTH"))))
&amp;"-"&amp;TEXT(COUNTIFS($B$9:B1428,B1428,$E$9:E1428,E1428),"0000")</f>
        <v>SUR-RES-0418</v>
      </c>
      <c r="B1428" s="322" t="s">
        <v>34</v>
      </c>
      <c r="C1428" s="322" t="s">
        <v>34</v>
      </c>
      <c r="D1428" s="323" t="s">
        <v>1618</v>
      </c>
      <c r="E1428" s="132" t="s">
        <v>24</v>
      </c>
      <c r="F1428" s="97" t="str">
        <f ca="1">IF(OR(Market_Data[[#This Row],[Start Date]]="",Market_Data[[#This Row],[Completion Date]]=""),"Needs Validation",IF(Market_Data[[#This Row],[Start Date]]&gt;TODAY(),"Planned",IF(Market_Data[[#This Row],[Completion Date]]&lt;TODAY(),"Completed","Ongoing")))</f>
        <v>Completed</v>
      </c>
      <c r="G1428" s="324">
        <v>42708</v>
      </c>
      <c r="H1428" s="324">
        <v>43190</v>
      </c>
      <c r="I1428" s="325">
        <v>52500</v>
      </c>
      <c r="J142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28" s="133">
        <f>_xlfn.XLOOKUP(Market_Data[[#This Row],[Project Type]],tbl_assumptions_market[Project Category (RERA)],tbl_assumptions_market[Concrete Intensity
(m³ / sq m BUA)],"",0)</f>
        <v>0.45</v>
      </c>
      <c r="L1428" s="134">
        <f>ROUND(Market_Data[[#This Row],[Estimated Built Up Area (sq m)]]*Market_Data[[#This Row],[Concrete Intensity
(m³ / sq m)]],0)</f>
        <v>23625</v>
      </c>
      <c r="M1428" s="135">
        <f>_xlfn.XLOOKUP(Market_Data[[#This Row],[District]],tbl_district_price[District],tbl_district_price[Standard Price
(INR/m³)],"",0)</f>
        <v>6200</v>
      </c>
      <c r="N1428" s="364">
        <f>IF(OR(Market_Data[[#This Row],[Estimated Concrete Demand (m³)]]="",Market_Data[[#This Row],[Avg Price per (₹ / m³)]]=""),"",Market_Data[[#This Row],[Estimated Concrete Demand (m³)]]*Market_Data[[#This Row],[Avg Price per (₹ / m³)]]/10000000)</f>
        <v>14.647500000000001</v>
      </c>
      <c r="O1428" s="97" t="str">
        <f>IF(Market_Data[[#This Row],[Estimated Concrete Demand (m³)]]="","",
IF(Market_Data[[#This Row],[Estimated Concrete Demand (m³)]]&lt;10000,"Small",
IF(Market_Data[[#This Row],[Estimated Concrete Demand (m³)]]&lt;25000,"Medium",
IF(Market_Data[[#This Row],[Estimated Concrete Demand (m³)]]&lt;100000,"Large","Mega"))))</f>
        <v>Medium</v>
      </c>
      <c r="P1428" s="287" t="str">
        <f t="shared" si="24"/>
        <v>GujRERA</v>
      </c>
    </row>
    <row r="1429" spans="1:16">
      <c r="A1429" s="129" t="str">
        <f>_xlfn.XLOOKUP(B1429,$S$9:$S$14,$T$9:$T$14)&amp;"-"&amp;
IF(E1429="Residential/Group Housing","RES",
IF(E1429="Commercial","COM",
IF(E1429="Mixed Development","MIX",
IF(E1429="Plotted Development","PLT","OTH"))))
&amp;"-"&amp;TEXT(COUNTIFS($B$9:B1429,B1429,$E$9:E1429,E1429),"0000")</f>
        <v>SUR-COM-0217</v>
      </c>
      <c r="B1429" s="322" t="s">
        <v>34</v>
      </c>
      <c r="C1429" s="322" t="s">
        <v>34</v>
      </c>
      <c r="D1429" s="323" t="s">
        <v>1619</v>
      </c>
      <c r="E1429" s="132" t="s">
        <v>23</v>
      </c>
      <c r="F1429" s="97" t="str">
        <f ca="1">IF(OR(Market_Data[[#This Row],[Start Date]]="",Market_Data[[#This Row],[Completion Date]]=""),"Needs Validation",IF(Market_Data[[#This Row],[Start Date]]&gt;TODAY(),"Planned",IF(Market_Data[[#This Row],[Completion Date]]&lt;TODAY(),"Completed","Ongoing")))</f>
        <v>Ongoing</v>
      </c>
      <c r="G1429" s="324">
        <v>44280</v>
      </c>
      <c r="H1429" s="324">
        <v>46387</v>
      </c>
      <c r="I1429" s="325">
        <v>5800</v>
      </c>
      <c r="J142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29" s="133">
        <f>_xlfn.XLOOKUP(Market_Data[[#This Row],[Project Type]],tbl_assumptions_market[Project Category (RERA)],tbl_assumptions_market[Concrete Intensity
(m³ / sq m BUA)],"",0)</f>
        <v>0.5</v>
      </c>
      <c r="L1429" s="134">
        <f>ROUND(Market_Data[[#This Row],[Estimated Built Up Area (sq m)]]*Market_Data[[#This Row],[Concrete Intensity
(m³ / sq m)]],0)</f>
        <v>2900</v>
      </c>
      <c r="M1429" s="135">
        <f>_xlfn.XLOOKUP(Market_Data[[#This Row],[District]],tbl_district_price[District],tbl_district_price[Standard Price
(INR/m³)],"",0)</f>
        <v>6200</v>
      </c>
      <c r="N1429" s="364">
        <f>IF(OR(Market_Data[[#This Row],[Estimated Concrete Demand (m³)]]="",Market_Data[[#This Row],[Avg Price per (₹ / m³)]]=""),"",Market_Data[[#This Row],[Estimated Concrete Demand (m³)]]*Market_Data[[#This Row],[Avg Price per (₹ / m³)]]/10000000)</f>
        <v>1.798</v>
      </c>
      <c r="O1429" s="97" t="str">
        <f>IF(Market_Data[[#This Row],[Estimated Concrete Demand (m³)]]="","",
IF(Market_Data[[#This Row],[Estimated Concrete Demand (m³)]]&lt;10000,"Small",
IF(Market_Data[[#This Row],[Estimated Concrete Demand (m³)]]&lt;25000,"Medium",
IF(Market_Data[[#This Row],[Estimated Concrete Demand (m³)]]&lt;100000,"Large","Mega"))))</f>
        <v>Small</v>
      </c>
      <c r="P1429" s="287" t="str">
        <f t="shared" si="24"/>
        <v>GujRERA</v>
      </c>
    </row>
    <row r="1430" spans="1:16">
      <c r="A1430" s="129" t="str">
        <f>_xlfn.XLOOKUP(B1430,$S$9:$S$14,$T$9:$T$14)&amp;"-"&amp;
IF(E1430="Residential/Group Housing","RES",
IF(E1430="Commercial","COM",
IF(E1430="Mixed Development","MIX",
IF(E1430="Plotted Development","PLT","OTH"))))
&amp;"-"&amp;TEXT(COUNTIFS($B$9:B1430,B1430,$E$9:E1430,E1430),"0000")</f>
        <v>SUR-PLT-0270</v>
      </c>
      <c r="B1430" s="322" t="s">
        <v>34</v>
      </c>
      <c r="C1430" s="322" t="s">
        <v>34</v>
      </c>
      <c r="D1430" s="323" t="s">
        <v>1620</v>
      </c>
      <c r="E1430" s="132" t="s">
        <v>26</v>
      </c>
      <c r="F1430" s="97" t="str">
        <f ca="1">IF(OR(Market_Data[[#This Row],[Start Date]]="",Market_Data[[#This Row],[Completion Date]]=""),"Needs Validation",IF(Market_Data[[#This Row],[Start Date]]&gt;TODAY(),"Planned",IF(Market_Data[[#This Row],[Completion Date]]&lt;TODAY(),"Completed","Ongoing")))</f>
        <v>Ongoing</v>
      </c>
      <c r="G1430" s="324">
        <v>45742</v>
      </c>
      <c r="H1430" s="324">
        <v>46295</v>
      </c>
      <c r="I1430" s="325">
        <v>4700</v>
      </c>
      <c r="J143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30" s="133">
        <f>_xlfn.XLOOKUP(Market_Data[[#This Row],[Project Type]],tbl_assumptions_market[Project Category (RERA)],tbl_assumptions_market[Concrete Intensity
(m³ / sq m BUA)],"",0)</f>
        <v>0.18</v>
      </c>
      <c r="L1430" s="134">
        <f>ROUND(Market_Data[[#This Row],[Estimated Built Up Area (sq m)]]*Market_Data[[#This Row],[Concrete Intensity
(m³ / sq m)]],0)</f>
        <v>846</v>
      </c>
      <c r="M1430" s="135">
        <f>_xlfn.XLOOKUP(Market_Data[[#This Row],[District]],tbl_district_price[District],tbl_district_price[Standard Price
(INR/m³)],"",0)</f>
        <v>6200</v>
      </c>
      <c r="N1430" s="364">
        <f>IF(OR(Market_Data[[#This Row],[Estimated Concrete Demand (m³)]]="",Market_Data[[#This Row],[Avg Price per (₹ / m³)]]=""),"",Market_Data[[#This Row],[Estimated Concrete Demand (m³)]]*Market_Data[[#This Row],[Avg Price per (₹ / m³)]]/10000000)</f>
        <v>0.52451999999999999</v>
      </c>
      <c r="O1430" s="97" t="str">
        <f>IF(Market_Data[[#This Row],[Estimated Concrete Demand (m³)]]="","",
IF(Market_Data[[#This Row],[Estimated Concrete Demand (m³)]]&lt;10000,"Small",
IF(Market_Data[[#This Row],[Estimated Concrete Demand (m³)]]&lt;25000,"Medium",
IF(Market_Data[[#This Row],[Estimated Concrete Demand (m³)]]&lt;100000,"Large","Mega"))))</f>
        <v>Small</v>
      </c>
      <c r="P1430" s="287" t="str">
        <f t="shared" si="24"/>
        <v>GujRERA</v>
      </c>
    </row>
    <row r="1431" spans="1:16">
      <c r="A1431" s="129" t="str">
        <f>_xlfn.XLOOKUP(B1431,$S$9:$S$14,$T$9:$T$14)&amp;"-"&amp;
IF(E1431="Residential/Group Housing","RES",
IF(E1431="Commercial","COM",
IF(E1431="Mixed Development","MIX",
IF(E1431="Plotted Development","PLT","OTH"))))
&amp;"-"&amp;TEXT(COUNTIFS($B$9:B1431,B1431,$E$9:E1431,E1431),"0000")</f>
        <v>SUR-COM-0218</v>
      </c>
      <c r="B1431" s="322" t="s">
        <v>34</v>
      </c>
      <c r="C1431" s="322" t="s">
        <v>34</v>
      </c>
      <c r="D1431" s="323" t="s">
        <v>1621</v>
      </c>
      <c r="E1431" s="132" t="s">
        <v>23</v>
      </c>
      <c r="F1431" s="97" t="str">
        <f ca="1">IF(OR(Market_Data[[#This Row],[Start Date]]="",Market_Data[[#This Row],[Completion Date]]=""),"Needs Validation",IF(Market_Data[[#This Row],[Start Date]]&gt;TODAY(),"Planned",IF(Market_Data[[#This Row],[Completion Date]]&lt;TODAY(),"Completed","Ongoing")))</f>
        <v>Completed</v>
      </c>
      <c r="G1431" s="324">
        <v>43160</v>
      </c>
      <c r="H1431" s="324">
        <v>45166</v>
      </c>
      <c r="I1431" s="325">
        <v>7000</v>
      </c>
      <c r="J143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31" s="133">
        <f>_xlfn.XLOOKUP(Market_Data[[#This Row],[Project Type]],tbl_assumptions_market[Project Category (RERA)],tbl_assumptions_market[Concrete Intensity
(m³ / sq m BUA)],"",0)</f>
        <v>0.5</v>
      </c>
      <c r="L1431" s="134">
        <f>ROUND(Market_Data[[#This Row],[Estimated Built Up Area (sq m)]]*Market_Data[[#This Row],[Concrete Intensity
(m³ / sq m)]],0)</f>
        <v>3500</v>
      </c>
      <c r="M1431" s="135">
        <f>_xlfn.XLOOKUP(Market_Data[[#This Row],[District]],tbl_district_price[District],tbl_district_price[Standard Price
(INR/m³)],"",0)</f>
        <v>6200</v>
      </c>
      <c r="N1431" s="364">
        <f>IF(OR(Market_Data[[#This Row],[Estimated Concrete Demand (m³)]]="",Market_Data[[#This Row],[Avg Price per (₹ / m³)]]=""),"",Market_Data[[#This Row],[Estimated Concrete Demand (m³)]]*Market_Data[[#This Row],[Avg Price per (₹ / m³)]]/10000000)</f>
        <v>2.17</v>
      </c>
      <c r="O1431" s="97" t="str">
        <f>IF(Market_Data[[#This Row],[Estimated Concrete Demand (m³)]]="","",
IF(Market_Data[[#This Row],[Estimated Concrete Demand (m³)]]&lt;10000,"Small",
IF(Market_Data[[#This Row],[Estimated Concrete Demand (m³)]]&lt;25000,"Medium",
IF(Market_Data[[#This Row],[Estimated Concrete Demand (m³)]]&lt;100000,"Large","Mega"))))</f>
        <v>Small</v>
      </c>
      <c r="P1431" s="287" t="str">
        <f t="shared" si="24"/>
        <v>GujRERA</v>
      </c>
    </row>
    <row r="1432" spans="1:16">
      <c r="A1432" s="129" t="str">
        <f>_xlfn.XLOOKUP(B1432,$S$9:$S$14,$T$9:$T$14)&amp;"-"&amp;
IF(E1432="Residential/Group Housing","RES",
IF(E1432="Commercial","COM",
IF(E1432="Mixed Development","MIX",
IF(E1432="Plotted Development","PLT","OTH"))))
&amp;"-"&amp;TEXT(COUNTIFS($B$9:B1432,B1432,$E$9:E1432,E1432),"0000")</f>
        <v>SUR-COM-0219</v>
      </c>
      <c r="B1432" s="322" t="s">
        <v>34</v>
      </c>
      <c r="C1432" s="322" t="s">
        <v>34</v>
      </c>
      <c r="D1432" s="323" t="s">
        <v>1622</v>
      </c>
      <c r="E1432" s="132" t="s">
        <v>23</v>
      </c>
      <c r="F1432" s="97" t="str">
        <f ca="1">IF(OR(Market_Data[[#This Row],[Start Date]]="",Market_Data[[#This Row],[Completion Date]]=""),"Needs Validation",IF(Market_Data[[#This Row],[Start Date]]&gt;TODAY(),"Planned",IF(Market_Data[[#This Row],[Completion Date]]&lt;TODAY(),"Completed","Ongoing")))</f>
        <v>Completed</v>
      </c>
      <c r="G1432" s="324">
        <v>42901</v>
      </c>
      <c r="H1432" s="324">
        <v>43830</v>
      </c>
      <c r="I1432" s="325">
        <v>4700</v>
      </c>
      <c r="J143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32" s="133">
        <f>_xlfn.XLOOKUP(Market_Data[[#This Row],[Project Type]],tbl_assumptions_market[Project Category (RERA)],tbl_assumptions_market[Concrete Intensity
(m³ / sq m BUA)],"",0)</f>
        <v>0.5</v>
      </c>
      <c r="L1432" s="134">
        <f>ROUND(Market_Data[[#This Row],[Estimated Built Up Area (sq m)]]*Market_Data[[#This Row],[Concrete Intensity
(m³ / sq m)]],0)</f>
        <v>2350</v>
      </c>
      <c r="M1432" s="135">
        <f>_xlfn.XLOOKUP(Market_Data[[#This Row],[District]],tbl_district_price[District],tbl_district_price[Standard Price
(INR/m³)],"",0)</f>
        <v>6200</v>
      </c>
      <c r="N1432" s="364">
        <f>IF(OR(Market_Data[[#This Row],[Estimated Concrete Demand (m³)]]="",Market_Data[[#This Row],[Avg Price per (₹ / m³)]]=""),"",Market_Data[[#This Row],[Estimated Concrete Demand (m³)]]*Market_Data[[#This Row],[Avg Price per (₹ / m³)]]/10000000)</f>
        <v>1.4570000000000001</v>
      </c>
      <c r="O1432" s="97" t="str">
        <f>IF(Market_Data[[#This Row],[Estimated Concrete Demand (m³)]]="","",
IF(Market_Data[[#This Row],[Estimated Concrete Demand (m³)]]&lt;10000,"Small",
IF(Market_Data[[#This Row],[Estimated Concrete Demand (m³)]]&lt;25000,"Medium",
IF(Market_Data[[#This Row],[Estimated Concrete Demand (m³)]]&lt;100000,"Large","Mega"))))</f>
        <v>Small</v>
      </c>
      <c r="P1432" s="287" t="str">
        <f t="shared" si="24"/>
        <v>GujRERA</v>
      </c>
    </row>
    <row r="1433" spans="1:16">
      <c r="A1433" s="129" t="str">
        <f>_xlfn.XLOOKUP(B1433,$S$9:$S$14,$T$9:$T$14)&amp;"-"&amp;
IF(E1433="Residential/Group Housing","RES",
IF(E1433="Commercial","COM",
IF(E1433="Mixed Development","MIX",
IF(E1433="Plotted Development","PLT","OTH"))))
&amp;"-"&amp;TEXT(COUNTIFS($B$9:B1433,B1433,$E$9:E1433,E1433),"0000")</f>
        <v>SUR-PLT-0271</v>
      </c>
      <c r="B1433" s="322" t="s">
        <v>34</v>
      </c>
      <c r="C1433" s="322" t="s">
        <v>34</v>
      </c>
      <c r="D1433" s="323" t="s">
        <v>1623</v>
      </c>
      <c r="E1433" s="132" t="s">
        <v>26</v>
      </c>
      <c r="F1433" s="97" t="str">
        <f ca="1">IF(OR(Market_Data[[#This Row],[Start Date]]="",Market_Data[[#This Row],[Completion Date]]=""),"Needs Validation",IF(Market_Data[[#This Row],[Start Date]]&gt;TODAY(),"Planned",IF(Market_Data[[#This Row],[Completion Date]]&lt;TODAY(),"Completed","Ongoing")))</f>
        <v>Ongoing</v>
      </c>
      <c r="G1433" s="324">
        <v>45756</v>
      </c>
      <c r="H1433" s="324">
        <v>47483</v>
      </c>
      <c r="I1433" s="325">
        <v>6600</v>
      </c>
      <c r="J143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33" s="133">
        <f>_xlfn.XLOOKUP(Market_Data[[#This Row],[Project Type]],tbl_assumptions_market[Project Category (RERA)],tbl_assumptions_market[Concrete Intensity
(m³ / sq m BUA)],"",0)</f>
        <v>0.18</v>
      </c>
      <c r="L1433" s="134">
        <f>ROUND(Market_Data[[#This Row],[Estimated Built Up Area (sq m)]]*Market_Data[[#This Row],[Concrete Intensity
(m³ / sq m)]],0)</f>
        <v>1188</v>
      </c>
      <c r="M1433" s="135">
        <f>_xlfn.XLOOKUP(Market_Data[[#This Row],[District]],tbl_district_price[District],tbl_district_price[Standard Price
(INR/m³)],"",0)</f>
        <v>6200</v>
      </c>
      <c r="N1433" s="364">
        <f>IF(OR(Market_Data[[#This Row],[Estimated Concrete Demand (m³)]]="",Market_Data[[#This Row],[Avg Price per (₹ / m³)]]=""),"",Market_Data[[#This Row],[Estimated Concrete Demand (m³)]]*Market_Data[[#This Row],[Avg Price per (₹ / m³)]]/10000000)</f>
        <v>0.73655999999999999</v>
      </c>
      <c r="O1433" s="97" t="str">
        <f>IF(Market_Data[[#This Row],[Estimated Concrete Demand (m³)]]="","",
IF(Market_Data[[#This Row],[Estimated Concrete Demand (m³)]]&lt;10000,"Small",
IF(Market_Data[[#This Row],[Estimated Concrete Demand (m³)]]&lt;25000,"Medium",
IF(Market_Data[[#This Row],[Estimated Concrete Demand (m³)]]&lt;100000,"Large","Mega"))))</f>
        <v>Small</v>
      </c>
      <c r="P1433" s="287" t="str">
        <f t="shared" si="24"/>
        <v>GujRERA</v>
      </c>
    </row>
    <row r="1434" spans="1:16">
      <c r="A1434" s="129" t="str">
        <f>_xlfn.XLOOKUP(B1434,$S$9:$S$14,$T$9:$T$14)&amp;"-"&amp;
IF(E1434="Residential/Group Housing","RES",
IF(E1434="Commercial","COM",
IF(E1434="Mixed Development","MIX",
IF(E1434="Plotted Development","PLT","OTH"))))
&amp;"-"&amp;TEXT(COUNTIFS($B$9:B1434,B1434,$E$9:E1434,E1434),"0000")</f>
        <v>SUR-PLT-0272</v>
      </c>
      <c r="B1434" s="322" t="s">
        <v>34</v>
      </c>
      <c r="C1434" s="322" t="s">
        <v>34</v>
      </c>
      <c r="D1434" s="323" t="s">
        <v>1624</v>
      </c>
      <c r="E1434" s="132" t="s">
        <v>26</v>
      </c>
      <c r="F1434" s="97" t="str">
        <f ca="1">IF(OR(Market_Data[[#This Row],[Start Date]]="",Market_Data[[#This Row],[Completion Date]]=""),"Needs Validation",IF(Market_Data[[#This Row],[Start Date]]&gt;TODAY(),"Planned",IF(Market_Data[[#This Row],[Completion Date]]&lt;TODAY(),"Completed","Ongoing")))</f>
        <v>Ongoing</v>
      </c>
      <c r="G1434" s="324">
        <v>45517</v>
      </c>
      <c r="H1434" s="324">
        <v>47848</v>
      </c>
      <c r="I1434" s="325">
        <v>21600</v>
      </c>
      <c r="J143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34" s="133">
        <f>_xlfn.XLOOKUP(Market_Data[[#This Row],[Project Type]],tbl_assumptions_market[Project Category (RERA)],tbl_assumptions_market[Concrete Intensity
(m³ / sq m BUA)],"",0)</f>
        <v>0.18</v>
      </c>
      <c r="L1434" s="134">
        <f>ROUND(Market_Data[[#This Row],[Estimated Built Up Area (sq m)]]*Market_Data[[#This Row],[Concrete Intensity
(m³ / sq m)]],0)</f>
        <v>3888</v>
      </c>
      <c r="M1434" s="135">
        <f>_xlfn.XLOOKUP(Market_Data[[#This Row],[District]],tbl_district_price[District],tbl_district_price[Standard Price
(INR/m³)],"",0)</f>
        <v>6200</v>
      </c>
      <c r="N1434" s="364">
        <f>IF(OR(Market_Data[[#This Row],[Estimated Concrete Demand (m³)]]="",Market_Data[[#This Row],[Avg Price per (₹ / m³)]]=""),"",Market_Data[[#This Row],[Estimated Concrete Demand (m³)]]*Market_Data[[#This Row],[Avg Price per (₹ / m³)]]/10000000)</f>
        <v>2.4105599999999998</v>
      </c>
      <c r="O1434" s="97" t="str">
        <f>IF(Market_Data[[#This Row],[Estimated Concrete Demand (m³)]]="","",
IF(Market_Data[[#This Row],[Estimated Concrete Demand (m³)]]&lt;10000,"Small",
IF(Market_Data[[#This Row],[Estimated Concrete Demand (m³)]]&lt;25000,"Medium",
IF(Market_Data[[#This Row],[Estimated Concrete Demand (m³)]]&lt;100000,"Large","Mega"))))</f>
        <v>Small</v>
      </c>
      <c r="P1434" s="287" t="str">
        <f t="shared" si="24"/>
        <v>GujRERA</v>
      </c>
    </row>
    <row r="1435" spans="1:16">
      <c r="A1435" s="129" t="str">
        <f>_xlfn.XLOOKUP(B1435,$S$9:$S$14,$T$9:$T$14)&amp;"-"&amp;
IF(E1435="Residential/Group Housing","RES",
IF(E1435="Commercial","COM",
IF(E1435="Mixed Development","MIX",
IF(E1435="Plotted Development","PLT","OTH"))))
&amp;"-"&amp;TEXT(COUNTIFS($B$9:B1435,B1435,$E$9:E1435,E1435),"0000")</f>
        <v>SUR-COM-0220</v>
      </c>
      <c r="B1435" s="322" t="s">
        <v>34</v>
      </c>
      <c r="C1435" s="322" t="s">
        <v>34</v>
      </c>
      <c r="D1435" s="323" t="s">
        <v>1625</v>
      </c>
      <c r="E1435" s="132" t="s">
        <v>23</v>
      </c>
      <c r="F1435" s="97" t="str">
        <f ca="1">IF(OR(Market_Data[[#This Row],[Start Date]]="",Market_Data[[#This Row],[Completion Date]]=""),"Needs Validation",IF(Market_Data[[#This Row],[Start Date]]&gt;TODAY(),"Planned",IF(Market_Data[[#This Row],[Completion Date]]&lt;TODAY(),"Completed","Ongoing")))</f>
        <v>Completed</v>
      </c>
      <c r="G1435" s="324">
        <v>44136</v>
      </c>
      <c r="H1435" s="324">
        <v>45657</v>
      </c>
      <c r="I1435" s="325">
        <v>43500</v>
      </c>
      <c r="J143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435" s="133">
        <f>_xlfn.XLOOKUP(Market_Data[[#This Row],[Project Type]],tbl_assumptions_market[Project Category (RERA)],tbl_assumptions_market[Concrete Intensity
(m³ / sq m BUA)],"",0)</f>
        <v>0.5</v>
      </c>
      <c r="L1435" s="134">
        <f>ROUND(Market_Data[[#This Row],[Estimated Built Up Area (sq m)]]*Market_Data[[#This Row],[Concrete Intensity
(m³ / sq m)]],0)</f>
        <v>21750</v>
      </c>
      <c r="M1435" s="135">
        <f>_xlfn.XLOOKUP(Market_Data[[#This Row],[District]],tbl_district_price[District],tbl_district_price[Standard Price
(INR/m³)],"",0)</f>
        <v>6200</v>
      </c>
      <c r="N1435" s="364">
        <f>IF(OR(Market_Data[[#This Row],[Estimated Concrete Demand (m³)]]="",Market_Data[[#This Row],[Avg Price per (₹ / m³)]]=""),"",Market_Data[[#This Row],[Estimated Concrete Demand (m³)]]*Market_Data[[#This Row],[Avg Price per (₹ / m³)]]/10000000)</f>
        <v>13.484999999999999</v>
      </c>
      <c r="O1435" s="97" t="str">
        <f>IF(Market_Data[[#This Row],[Estimated Concrete Demand (m³)]]="","",
IF(Market_Data[[#This Row],[Estimated Concrete Demand (m³)]]&lt;10000,"Small",
IF(Market_Data[[#This Row],[Estimated Concrete Demand (m³)]]&lt;25000,"Medium",
IF(Market_Data[[#This Row],[Estimated Concrete Demand (m³)]]&lt;100000,"Large","Mega"))))</f>
        <v>Medium</v>
      </c>
      <c r="P1435" s="287" t="str">
        <f t="shared" si="24"/>
        <v>GujRERA</v>
      </c>
    </row>
    <row r="1436" spans="1:16">
      <c r="A1436" s="129" t="str">
        <f>_xlfn.XLOOKUP(B1436,$S$9:$S$14,$T$9:$T$14)&amp;"-"&amp;
IF(E1436="Residential/Group Housing","RES",
IF(E1436="Commercial","COM",
IF(E1436="Mixed Development","MIX",
IF(E1436="Plotted Development","PLT","OTH"))))
&amp;"-"&amp;TEXT(COUNTIFS($B$9:B1436,B1436,$E$9:E1436,E1436),"0000")</f>
        <v>SUR-MIX-0208</v>
      </c>
      <c r="B1436" s="322" t="s">
        <v>34</v>
      </c>
      <c r="C1436" s="322" t="s">
        <v>34</v>
      </c>
      <c r="D1436" s="323" t="s">
        <v>1626</v>
      </c>
      <c r="E1436" s="132" t="s">
        <v>25</v>
      </c>
      <c r="F1436" s="97" t="str">
        <f ca="1">IF(OR(Market_Data[[#This Row],[Start Date]]="",Market_Data[[#This Row],[Completion Date]]=""),"Needs Validation",IF(Market_Data[[#This Row],[Start Date]]&gt;TODAY(),"Planned",IF(Market_Data[[#This Row],[Completion Date]]&lt;TODAY(),"Completed","Ongoing")))</f>
        <v>Ongoing</v>
      </c>
      <c r="G1436" s="324">
        <v>45413</v>
      </c>
      <c r="H1436" s="324">
        <v>47483</v>
      </c>
      <c r="I1436" s="325">
        <v>33500</v>
      </c>
      <c r="J143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36" s="133">
        <f>_xlfn.XLOOKUP(Market_Data[[#This Row],[Project Type]],tbl_assumptions_market[Project Category (RERA)],tbl_assumptions_market[Concrete Intensity
(m³ / sq m BUA)],"",0)</f>
        <v>0.42</v>
      </c>
      <c r="L1436" s="134">
        <f>ROUND(Market_Data[[#This Row],[Estimated Built Up Area (sq m)]]*Market_Data[[#This Row],[Concrete Intensity
(m³ / sq m)]],0)</f>
        <v>14070</v>
      </c>
      <c r="M1436" s="135">
        <f>_xlfn.XLOOKUP(Market_Data[[#This Row],[District]],tbl_district_price[District],tbl_district_price[Standard Price
(INR/m³)],"",0)</f>
        <v>6200</v>
      </c>
      <c r="N1436" s="364">
        <f>IF(OR(Market_Data[[#This Row],[Estimated Concrete Demand (m³)]]="",Market_Data[[#This Row],[Avg Price per (₹ / m³)]]=""),"",Market_Data[[#This Row],[Estimated Concrete Demand (m³)]]*Market_Data[[#This Row],[Avg Price per (₹ / m³)]]/10000000)</f>
        <v>8.7233999999999998</v>
      </c>
      <c r="O1436" s="97" t="str">
        <f>IF(Market_Data[[#This Row],[Estimated Concrete Demand (m³)]]="","",
IF(Market_Data[[#This Row],[Estimated Concrete Demand (m³)]]&lt;10000,"Small",
IF(Market_Data[[#This Row],[Estimated Concrete Demand (m³)]]&lt;25000,"Medium",
IF(Market_Data[[#This Row],[Estimated Concrete Demand (m³)]]&lt;100000,"Large","Mega"))))</f>
        <v>Medium</v>
      </c>
      <c r="P1436" s="287" t="str">
        <f t="shared" si="24"/>
        <v>GujRERA</v>
      </c>
    </row>
    <row r="1437" spans="1:16">
      <c r="A1437" s="129" t="str">
        <f>_xlfn.XLOOKUP(B1437,$S$9:$S$14,$T$9:$T$14)&amp;"-"&amp;
IF(E1437="Residential/Group Housing","RES",
IF(E1437="Commercial","COM",
IF(E1437="Mixed Development","MIX",
IF(E1437="Plotted Development","PLT","OTH"))))
&amp;"-"&amp;TEXT(COUNTIFS($B$9:B1437,B1437,$E$9:E1437,E1437),"0000")</f>
        <v>SUR-RES-0419</v>
      </c>
      <c r="B1437" s="322" t="s">
        <v>34</v>
      </c>
      <c r="C1437" s="322" t="s">
        <v>34</v>
      </c>
      <c r="D1437" s="323" t="s">
        <v>1627</v>
      </c>
      <c r="E1437" s="132" t="s">
        <v>24</v>
      </c>
      <c r="F1437" s="97" t="str">
        <f ca="1">IF(OR(Market_Data[[#This Row],[Start Date]]="",Market_Data[[#This Row],[Completion Date]]=""),"Needs Validation",IF(Market_Data[[#This Row],[Start Date]]&gt;TODAY(),"Planned",IF(Market_Data[[#This Row],[Completion Date]]&lt;TODAY(),"Completed","Ongoing")))</f>
        <v>Ongoing</v>
      </c>
      <c r="G1437" s="324">
        <v>44470</v>
      </c>
      <c r="H1437" s="324">
        <v>46387</v>
      </c>
      <c r="I1437" s="325">
        <v>24000</v>
      </c>
      <c r="J143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37" s="133">
        <f>_xlfn.XLOOKUP(Market_Data[[#This Row],[Project Type]],tbl_assumptions_market[Project Category (RERA)],tbl_assumptions_market[Concrete Intensity
(m³ / sq m BUA)],"",0)</f>
        <v>0.45</v>
      </c>
      <c r="L1437" s="134">
        <f>ROUND(Market_Data[[#This Row],[Estimated Built Up Area (sq m)]]*Market_Data[[#This Row],[Concrete Intensity
(m³ / sq m)]],0)</f>
        <v>10800</v>
      </c>
      <c r="M1437" s="135">
        <f>_xlfn.XLOOKUP(Market_Data[[#This Row],[District]],tbl_district_price[District],tbl_district_price[Standard Price
(INR/m³)],"",0)</f>
        <v>6200</v>
      </c>
      <c r="N1437" s="364">
        <f>IF(OR(Market_Data[[#This Row],[Estimated Concrete Demand (m³)]]="",Market_Data[[#This Row],[Avg Price per (₹ / m³)]]=""),"",Market_Data[[#This Row],[Estimated Concrete Demand (m³)]]*Market_Data[[#This Row],[Avg Price per (₹ / m³)]]/10000000)</f>
        <v>6.6959999999999997</v>
      </c>
      <c r="O1437" s="97" t="str">
        <f>IF(Market_Data[[#This Row],[Estimated Concrete Demand (m³)]]="","",
IF(Market_Data[[#This Row],[Estimated Concrete Demand (m³)]]&lt;10000,"Small",
IF(Market_Data[[#This Row],[Estimated Concrete Demand (m³)]]&lt;25000,"Medium",
IF(Market_Data[[#This Row],[Estimated Concrete Demand (m³)]]&lt;100000,"Large","Mega"))))</f>
        <v>Medium</v>
      </c>
      <c r="P1437" s="287" t="str">
        <f t="shared" si="24"/>
        <v>GujRERA</v>
      </c>
    </row>
    <row r="1438" spans="1:16">
      <c r="A1438" s="129" t="str">
        <f>_xlfn.XLOOKUP(B1438,$S$9:$S$14,$T$9:$T$14)&amp;"-"&amp;
IF(E1438="Residential/Group Housing","RES",
IF(E1438="Commercial","COM",
IF(E1438="Mixed Development","MIX",
IF(E1438="Plotted Development","PLT","OTH"))))
&amp;"-"&amp;TEXT(COUNTIFS($B$9:B1438,B1438,$E$9:E1438,E1438),"0000")</f>
        <v>SUR-PLT-0273</v>
      </c>
      <c r="B1438" s="322" t="s">
        <v>34</v>
      </c>
      <c r="C1438" s="322" t="s">
        <v>34</v>
      </c>
      <c r="D1438" s="323" t="s">
        <v>1628</v>
      </c>
      <c r="E1438" s="132" t="s">
        <v>26</v>
      </c>
      <c r="F1438" s="97" t="str">
        <f ca="1">IF(OR(Market_Data[[#This Row],[Start Date]]="",Market_Data[[#This Row],[Completion Date]]=""),"Needs Validation",IF(Market_Data[[#This Row],[Start Date]]&gt;TODAY(),"Planned",IF(Market_Data[[#This Row],[Completion Date]]&lt;TODAY(),"Completed","Ongoing")))</f>
        <v>Ongoing</v>
      </c>
      <c r="G1438" s="324">
        <v>44599</v>
      </c>
      <c r="H1438" s="324">
        <v>46387</v>
      </c>
      <c r="I1438" s="325">
        <v>63700</v>
      </c>
      <c r="J143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438" s="133">
        <f>_xlfn.XLOOKUP(Market_Data[[#This Row],[Project Type]],tbl_assumptions_market[Project Category (RERA)],tbl_assumptions_market[Concrete Intensity
(m³ / sq m BUA)],"",0)</f>
        <v>0.18</v>
      </c>
      <c r="L1438" s="134">
        <f>ROUND(Market_Data[[#This Row],[Estimated Built Up Area (sq m)]]*Market_Data[[#This Row],[Concrete Intensity
(m³ / sq m)]],0)</f>
        <v>11466</v>
      </c>
      <c r="M1438" s="135">
        <f>_xlfn.XLOOKUP(Market_Data[[#This Row],[District]],tbl_district_price[District],tbl_district_price[Standard Price
(INR/m³)],"",0)</f>
        <v>6200</v>
      </c>
      <c r="N1438" s="364">
        <f>IF(OR(Market_Data[[#This Row],[Estimated Concrete Demand (m³)]]="",Market_Data[[#This Row],[Avg Price per (₹ / m³)]]=""),"",Market_Data[[#This Row],[Estimated Concrete Demand (m³)]]*Market_Data[[#This Row],[Avg Price per (₹ / m³)]]/10000000)</f>
        <v>7.1089200000000003</v>
      </c>
      <c r="O1438" s="97" t="str">
        <f>IF(Market_Data[[#This Row],[Estimated Concrete Demand (m³)]]="","",
IF(Market_Data[[#This Row],[Estimated Concrete Demand (m³)]]&lt;10000,"Small",
IF(Market_Data[[#This Row],[Estimated Concrete Demand (m³)]]&lt;25000,"Medium",
IF(Market_Data[[#This Row],[Estimated Concrete Demand (m³)]]&lt;100000,"Large","Mega"))))</f>
        <v>Medium</v>
      </c>
      <c r="P1438" s="287" t="str">
        <f t="shared" si="24"/>
        <v>GujRERA</v>
      </c>
    </row>
    <row r="1439" spans="1:16">
      <c r="A1439" s="129" t="str">
        <f>_xlfn.XLOOKUP(B1439,$S$9:$S$14,$T$9:$T$14)&amp;"-"&amp;
IF(E1439="Residential/Group Housing","RES",
IF(E1439="Commercial","COM",
IF(E1439="Mixed Development","MIX",
IF(E1439="Plotted Development","PLT","OTH"))))
&amp;"-"&amp;TEXT(COUNTIFS($B$9:B1439,B1439,$E$9:E1439,E1439),"0000")</f>
        <v>SUR-RES-0420</v>
      </c>
      <c r="B1439" s="322" t="s">
        <v>34</v>
      </c>
      <c r="C1439" s="322" t="s">
        <v>34</v>
      </c>
      <c r="D1439" s="323" t="s">
        <v>1629</v>
      </c>
      <c r="E1439" s="132" t="s">
        <v>24</v>
      </c>
      <c r="F1439" s="97" t="str">
        <f ca="1">IF(OR(Market_Data[[#This Row],[Start Date]]="",Market_Data[[#This Row],[Completion Date]]=""),"Needs Validation",IF(Market_Data[[#This Row],[Start Date]]&gt;TODAY(),"Planned",IF(Market_Data[[#This Row],[Completion Date]]&lt;TODAY(),"Completed","Ongoing")))</f>
        <v>Completed</v>
      </c>
      <c r="G1439" s="324">
        <v>43792</v>
      </c>
      <c r="H1439" s="324">
        <v>45473</v>
      </c>
      <c r="I1439" s="325">
        <v>56300</v>
      </c>
      <c r="J143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39" s="133">
        <f>_xlfn.XLOOKUP(Market_Data[[#This Row],[Project Type]],tbl_assumptions_market[Project Category (RERA)],tbl_assumptions_market[Concrete Intensity
(m³ / sq m BUA)],"",0)</f>
        <v>0.45</v>
      </c>
      <c r="L1439" s="134">
        <f>ROUND(Market_Data[[#This Row],[Estimated Built Up Area (sq m)]]*Market_Data[[#This Row],[Concrete Intensity
(m³ / sq m)]],0)</f>
        <v>25335</v>
      </c>
      <c r="M1439" s="135">
        <f>_xlfn.XLOOKUP(Market_Data[[#This Row],[District]],tbl_district_price[District],tbl_district_price[Standard Price
(INR/m³)],"",0)</f>
        <v>6200</v>
      </c>
      <c r="N1439" s="364">
        <f>IF(OR(Market_Data[[#This Row],[Estimated Concrete Demand (m³)]]="",Market_Data[[#This Row],[Avg Price per (₹ / m³)]]=""),"",Market_Data[[#This Row],[Estimated Concrete Demand (m³)]]*Market_Data[[#This Row],[Avg Price per (₹ / m³)]]/10000000)</f>
        <v>15.707700000000001</v>
      </c>
      <c r="O1439" s="97" t="str">
        <f>IF(Market_Data[[#This Row],[Estimated Concrete Demand (m³)]]="","",
IF(Market_Data[[#This Row],[Estimated Concrete Demand (m³)]]&lt;10000,"Small",
IF(Market_Data[[#This Row],[Estimated Concrete Demand (m³)]]&lt;25000,"Medium",
IF(Market_Data[[#This Row],[Estimated Concrete Demand (m³)]]&lt;100000,"Large","Mega"))))</f>
        <v>Large</v>
      </c>
      <c r="P1439" s="287" t="str">
        <f t="shared" si="24"/>
        <v>GujRERA</v>
      </c>
    </row>
    <row r="1440" spans="1:16">
      <c r="A1440" s="129" t="str">
        <f>_xlfn.XLOOKUP(B1440,$S$9:$S$14,$T$9:$T$14)&amp;"-"&amp;
IF(E1440="Residential/Group Housing","RES",
IF(E1440="Commercial","COM",
IF(E1440="Mixed Development","MIX",
IF(E1440="Plotted Development","PLT","OTH"))))
&amp;"-"&amp;TEXT(COUNTIFS($B$9:B1440,B1440,$E$9:E1440,E1440),"0000")</f>
        <v>SUR-PLT-0274</v>
      </c>
      <c r="B1440" s="322" t="s">
        <v>34</v>
      </c>
      <c r="C1440" s="322" t="s">
        <v>34</v>
      </c>
      <c r="D1440" s="323" t="s">
        <v>1630</v>
      </c>
      <c r="E1440" s="132" t="s">
        <v>26</v>
      </c>
      <c r="F1440" s="97" t="str">
        <f ca="1">IF(OR(Market_Data[[#This Row],[Start Date]]="",Market_Data[[#This Row],[Completion Date]]=""),"Needs Validation",IF(Market_Data[[#This Row],[Start Date]]&gt;TODAY(),"Planned",IF(Market_Data[[#This Row],[Completion Date]]&lt;TODAY(),"Completed","Ongoing")))</f>
        <v>Ongoing</v>
      </c>
      <c r="G1440" s="324">
        <v>45873</v>
      </c>
      <c r="H1440" s="324">
        <v>46752</v>
      </c>
      <c r="I1440" s="325">
        <v>28900</v>
      </c>
      <c r="J144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40" s="133">
        <f>_xlfn.XLOOKUP(Market_Data[[#This Row],[Project Type]],tbl_assumptions_market[Project Category (RERA)],tbl_assumptions_market[Concrete Intensity
(m³ / sq m BUA)],"",0)</f>
        <v>0.18</v>
      </c>
      <c r="L1440" s="134">
        <f>ROUND(Market_Data[[#This Row],[Estimated Built Up Area (sq m)]]*Market_Data[[#This Row],[Concrete Intensity
(m³ / sq m)]],0)</f>
        <v>5202</v>
      </c>
      <c r="M1440" s="135">
        <f>_xlfn.XLOOKUP(Market_Data[[#This Row],[District]],tbl_district_price[District],tbl_district_price[Standard Price
(INR/m³)],"",0)</f>
        <v>6200</v>
      </c>
      <c r="N1440" s="364">
        <f>IF(OR(Market_Data[[#This Row],[Estimated Concrete Demand (m³)]]="",Market_Data[[#This Row],[Avg Price per (₹ / m³)]]=""),"",Market_Data[[#This Row],[Estimated Concrete Demand (m³)]]*Market_Data[[#This Row],[Avg Price per (₹ / m³)]]/10000000)</f>
        <v>3.2252399999999999</v>
      </c>
      <c r="O1440" s="97" t="str">
        <f>IF(Market_Data[[#This Row],[Estimated Concrete Demand (m³)]]="","",
IF(Market_Data[[#This Row],[Estimated Concrete Demand (m³)]]&lt;10000,"Small",
IF(Market_Data[[#This Row],[Estimated Concrete Demand (m³)]]&lt;25000,"Medium",
IF(Market_Data[[#This Row],[Estimated Concrete Demand (m³)]]&lt;100000,"Large","Mega"))))</f>
        <v>Small</v>
      </c>
      <c r="P1440" s="287" t="str">
        <f t="shared" si="24"/>
        <v>GujRERA</v>
      </c>
    </row>
    <row r="1441" spans="1:16">
      <c r="A1441" s="129" t="str">
        <f>_xlfn.XLOOKUP(B1441,$S$9:$S$14,$T$9:$T$14)&amp;"-"&amp;
IF(E1441="Residential/Group Housing","RES",
IF(E1441="Commercial","COM",
IF(E1441="Mixed Development","MIX",
IF(E1441="Plotted Development","PLT","OTH"))))
&amp;"-"&amp;TEXT(COUNTIFS($B$9:B1441,B1441,$E$9:E1441,E1441),"0000")</f>
        <v>SUR-RES-0421</v>
      </c>
      <c r="B1441" s="322" t="s">
        <v>34</v>
      </c>
      <c r="C1441" s="322" t="s">
        <v>34</v>
      </c>
      <c r="D1441" s="323" t="s">
        <v>1631</v>
      </c>
      <c r="E1441" s="132" t="s">
        <v>24</v>
      </c>
      <c r="F1441" s="97" t="str">
        <f ca="1">IF(OR(Market_Data[[#This Row],[Start Date]]="",Market_Data[[#This Row],[Completion Date]]=""),"Needs Validation",IF(Market_Data[[#This Row],[Start Date]]&gt;TODAY(),"Planned",IF(Market_Data[[#This Row],[Completion Date]]&lt;TODAY(),"Completed","Ongoing")))</f>
        <v>Completed</v>
      </c>
      <c r="G1441" s="324">
        <v>45163</v>
      </c>
      <c r="H1441" s="324">
        <v>45930</v>
      </c>
      <c r="I1441" s="325">
        <v>10300</v>
      </c>
      <c r="J144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41" s="133">
        <f>_xlfn.XLOOKUP(Market_Data[[#This Row],[Project Type]],tbl_assumptions_market[Project Category (RERA)],tbl_assumptions_market[Concrete Intensity
(m³ / sq m BUA)],"",0)</f>
        <v>0.45</v>
      </c>
      <c r="L1441" s="134">
        <f>ROUND(Market_Data[[#This Row],[Estimated Built Up Area (sq m)]]*Market_Data[[#This Row],[Concrete Intensity
(m³ / sq m)]],0)</f>
        <v>4635</v>
      </c>
      <c r="M1441" s="135">
        <f>_xlfn.XLOOKUP(Market_Data[[#This Row],[District]],tbl_district_price[District],tbl_district_price[Standard Price
(INR/m³)],"",0)</f>
        <v>6200</v>
      </c>
      <c r="N1441" s="364">
        <f>IF(OR(Market_Data[[#This Row],[Estimated Concrete Demand (m³)]]="",Market_Data[[#This Row],[Avg Price per (₹ / m³)]]=""),"",Market_Data[[#This Row],[Estimated Concrete Demand (m³)]]*Market_Data[[#This Row],[Avg Price per (₹ / m³)]]/10000000)</f>
        <v>2.8736999999999999</v>
      </c>
      <c r="O1441" s="97" t="str">
        <f>IF(Market_Data[[#This Row],[Estimated Concrete Demand (m³)]]="","",
IF(Market_Data[[#This Row],[Estimated Concrete Demand (m³)]]&lt;10000,"Small",
IF(Market_Data[[#This Row],[Estimated Concrete Demand (m³)]]&lt;25000,"Medium",
IF(Market_Data[[#This Row],[Estimated Concrete Demand (m³)]]&lt;100000,"Large","Mega"))))</f>
        <v>Small</v>
      </c>
      <c r="P1441" s="287" t="str">
        <f t="shared" si="24"/>
        <v>GujRERA</v>
      </c>
    </row>
    <row r="1442" spans="1:16">
      <c r="A1442" s="129" t="str">
        <f>_xlfn.XLOOKUP(B1442,$S$9:$S$14,$T$9:$T$14)&amp;"-"&amp;
IF(E1442="Residential/Group Housing","RES",
IF(E1442="Commercial","COM",
IF(E1442="Mixed Development","MIX",
IF(E1442="Plotted Development","PLT","OTH"))))
&amp;"-"&amp;TEXT(COUNTIFS($B$9:B1442,B1442,$E$9:E1442,E1442),"0000")</f>
        <v>SUR-RES-0422</v>
      </c>
      <c r="B1442" s="322" t="s">
        <v>34</v>
      </c>
      <c r="C1442" s="322" t="s">
        <v>34</v>
      </c>
      <c r="D1442" s="323" t="s">
        <v>1632</v>
      </c>
      <c r="E1442" s="132" t="s">
        <v>24</v>
      </c>
      <c r="F1442" s="97" t="str">
        <f ca="1">IF(OR(Market_Data[[#This Row],[Start Date]]="",Market_Data[[#This Row],[Completion Date]]=""),"Needs Validation",IF(Market_Data[[#This Row],[Start Date]]&gt;TODAY(),"Planned",IF(Market_Data[[#This Row],[Completion Date]]&lt;TODAY(),"Completed","Ongoing")))</f>
        <v>Completed</v>
      </c>
      <c r="G1442" s="324">
        <v>42258</v>
      </c>
      <c r="H1442" s="324">
        <v>43465</v>
      </c>
      <c r="I1442" s="325">
        <v>41500</v>
      </c>
      <c r="J144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42" s="133">
        <f>_xlfn.XLOOKUP(Market_Data[[#This Row],[Project Type]],tbl_assumptions_market[Project Category (RERA)],tbl_assumptions_market[Concrete Intensity
(m³ / sq m BUA)],"",0)</f>
        <v>0.45</v>
      </c>
      <c r="L1442" s="134">
        <f>ROUND(Market_Data[[#This Row],[Estimated Built Up Area (sq m)]]*Market_Data[[#This Row],[Concrete Intensity
(m³ / sq m)]],0)</f>
        <v>18675</v>
      </c>
      <c r="M1442" s="135">
        <f>_xlfn.XLOOKUP(Market_Data[[#This Row],[District]],tbl_district_price[District],tbl_district_price[Standard Price
(INR/m³)],"",0)</f>
        <v>6200</v>
      </c>
      <c r="N1442" s="364">
        <f>IF(OR(Market_Data[[#This Row],[Estimated Concrete Demand (m³)]]="",Market_Data[[#This Row],[Avg Price per (₹ / m³)]]=""),"",Market_Data[[#This Row],[Estimated Concrete Demand (m³)]]*Market_Data[[#This Row],[Avg Price per (₹ / m³)]]/10000000)</f>
        <v>11.5785</v>
      </c>
      <c r="O1442" s="97" t="str">
        <f>IF(Market_Data[[#This Row],[Estimated Concrete Demand (m³)]]="","",
IF(Market_Data[[#This Row],[Estimated Concrete Demand (m³)]]&lt;10000,"Small",
IF(Market_Data[[#This Row],[Estimated Concrete Demand (m³)]]&lt;25000,"Medium",
IF(Market_Data[[#This Row],[Estimated Concrete Demand (m³)]]&lt;100000,"Large","Mega"))))</f>
        <v>Medium</v>
      </c>
      <c r="P1442" s="287" t="str">
        <f t="shared" si="24"/>
        <v>GujRERA</v>
      </c>
    </row>
    <row r="1443" spans="1:16">
      <c r="A1443" s="129" t="str">
        <f>_xlfn.XLOOKUP(B1443,$S$9:$S$14,$T$9:$T$14)&amp;"-"&amp;
IF(E1443="Residential/Group Housing","RES",
IF(E1443="Commercial","COM",
IF(E1443="Mixed Development","MIX",
IF(E1443="Plotted Development","PLT","OTH"))))
&amp;"-"&amp;TEXT(COUNTIFS($B$9:B1443,B1443,$E$9:E1443,E1443),"0000")</f>
        <v>SUR-RES-0423</v>
      </c>
      <c r="B1443" s="322" t="s">
        <v>34</v>
      </c>
      <c r="C1443" s="322" t="s">
        <v>34</v>
      </c>
      <c r="D1443" s="323" t="s">
        <v>1633</v>
      </c>
      <c r="E1443" s="132" t="s">
        <v>24</v>
      </c>
      <c r="F1443" s="97" t="str">
        <f ca="1">IF(OR(Market_Data[[#This Row],[Start Date]]="",Market_Data[[#This Row],[Completion Date]]=""),"Needs Validation",IF(Market_Data[[#This Row],[Start Date]]&gt;TODAY(),"Planned",IF(Market_Data[[#This Row],[Completion Date]]&lt;TODAY(),"Completed","Ongoing")))</f>
        <v>Completed</v>
      </c>
      <c r="G1443" s="324">
        <v>44211</v>
      </c>
      <c r="H1443" s="324">
        <v>45672</v>
      </c>
      <c r="I1443" s="325">
        <v>46600</v>
      </c>
      <c r="J144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43" s="133">
        <f>_xlfn.XLOOKUP(Market_Data[[#This Row],[Project Type]],tbl_assumptions_market[Project Category (RERA)],tbl_assumptions_market[Concrete Intensity
(m³ / sq m BUA)],"",0)</f>
        <v>0.45</v>
      </c>
      <c r="L1443" s="134">
        <f>ROUND(Market_Data[[#This Row],[Estimated Built Up Area (sq m)]]*Market_Data[[#This Row],[Concrete Intensity
(m³ / sq m)]],0)</f>
        <v>20970</v>
      </c>
      <c r="M1443" s="135">
        <f>_xlfn.XLOOKUP(Market_Data[[#This Row],[District]],tbl_district_price[District],tbl_district_price[Standard Price
(INR/m³)],"",0)</f>
        <v>6200</v>
      </c>
      <c r="N1443" s="364">
        <f>IF(OR(Market_Data[[#This Row],[Estimated Concrete Demand (m³)]]="",Market_Data[[#This Row],[Avg Price per (₹ / m³)]]=""),"",Market_Data[[#This Row],[Estimated Concrete Demand (m³)]]*Market_Data[[#This Row],[Avg Price per (₹ / m³)]]/10000000)</f>
        <v>13.0014</v>
      </c>
      <c r="O1443" s="97" t="str">
        <f>IF(Market_Data[[#This Row],[Estimated Concrete Demand (m³)]]="","",
IF(Market_Data[[#This Row],[Estimated Concrete Demand (m³)]]&lt;10000,"Small",
IF(Market_Data[[#This Row],[Estimated Concrete Demand (m³)]]&lt;25000,"Medium",
IF(Market_Data[[#This Row],[Estimated Concrete Demand (m³)]]&lt;100000,"Large","Mega"))))</f>
        <v>Medium</v>
      </c>
      <c r="P1443" s="287" t="str">
        <f t="shared" si="24"/>
        <v>GujRERA</v>
      </c>
    </row>
    <row r="1444" spans="1:16">
      <c r="A1444" s="129" t="str">
        <f>_xlfn.XLOOKUP(B1444,$S$9:$S$14,$T$9:$T$14)&amp;"-"&amp;
IF(E1444="Residential/Group Housing","RES",
IF(E1444="Commercial","COM",
IF(E1444="Mixed Development","MIX",
IF(E1444="Plotted Development","PLT","OTH"))))
&amp;"-"&amp;TEXT(COUNTIFS($B$9:B1444,B1444,$E$9:E1444,E1444),"0000")</f>
        <v>SUR-RES-0424</v>
      </c>
      <c r="B1444" s="322" t="s">
        <v>34</v>
      </c>
      <c r="C1444" s="322" t="s">
        <v>34</v>
      </c>
      <c r="D1444" s="323" t="s">
        <v>1634</v>
      </c>
      <c r="E1444" s="132" t="s">
        <v>24</v>
      </c>
      <c r="F1444" s="97" t="str">
        <f ca="1">IF(OR(Market_Data[[#This Row],[Start Date]]="",Market_Data[[#This Row],[Completion Date]]=""),"Needs Validation",IF(Market_Data[[#This Row],[Start Date]]&gt;TODAY(),"Planned",IF(Market_Data[[#This Row],[Completion Date]]&lt;TODAY(),"Completed","Ongoing")))</f>
        <v>Completed</v>
      </c>
      <c r="G1444" s="324">
        <v>42775</v>
      </c>
      <c r="H1444" s="324">
        <v>44780</v>
      </c>
      <c r="I1444" s="325">
        <v>17600</v>
      </c>
      <c r="J144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44" s="133">
        <f>_xlfn.XLOOKUP(Market_Data[[#This Row],[Project Type]],tbl_assumptions_market[Project Category (RERA)],tbl_assumptions_market[Concrete Intensity
(m³ / sq m BUA)],"",0)</f>
        <v>0.45</v>
      </c>
      <c r="L1444" s="134">
        <f>ROUND(Market_Data[[#This Row],[Estimated Built Up Area (sq m)]]*Market_Data[[#This Row],[Concrete Intensity
(m³ / sq m)]],0)</f>
        <v>7920</v>
      </c>
      <c r="M1444" s="135">
        <f>_xlfn.XLOOKUP(Market_Data[[#This Row],[District]],tbl_district_price[District],tbl_district_price[Standard Price
(INR/m³)],"",0)</f>
        <v>6200</v>
      </c>
      <c r="N1444" s="364">
        <f>IF(OR(Market_Data[[#This Row],[Estimated Concrete Demand (m³)]]="",Market_Data[[#This Row],[Avg Price per (₹ / m³)]]=""),"",Market_Data[[#This Row],[Estimated Concrete Demand (m³)]]*Market_Data[[#This Row],[Avg Price per (₹ / m³)]]/10000000)</f>
        <v>4.9104000000000001</v>
      </c>
      <c r="O1444" s="97" t="str">
        <f>IF(Market_Data[[#This Row],[Estimated Concrete Demand (m³)]]="","",
IF(Market_Data[[#This Row],[Estimated Concrete Demand (m³)]]&lt;10000,"Small",
IF(Market_Data[[#This Row],[Estimated Concrete Demand (m³)]]&lt;25000,"Medium",
IF(Market_Data[[#This Row],[Estimated Concrete Demand (m³)]]&lt;100000,"Large","Mega"))))</f>
        <v>Small</v>
      </c>
      <c r="P1444" s="287" t="str">
        <f t="shared" si="24"/>
        <v>GujRERA</v>
      </c>
    </row>
    <row r="1445" spans="1:16">
      <c r="A1445" s="129" t="str">
        <f>_xlfn.XLOOKUP(B1445,$S$9:$S$14,$T$9:$T$14)&amp;"-"&amp;
IF(E1445="Residential/Group Housing","RES",
IF(E1445="Commercial","COM",
IF(E1445="Mixed Development","MIX",
IF(E1445="Plotted Development","PLT","OTH"))))
&amp;"-"&amp;TEXT(COUNTIFS($B$9:B1445,B1445,$E$9:E1445,E1445),"0000")</f>
        <v>SUR-MIX-0209</v>
      </c>
      <c r="B1445" s="322" t="s">
        <v>34</v>
      </c>
      <c r="C1445" s="322" t="s">
        <v>34</v>
      </c>
      <c r="D1445" s="323" t="s">
        <v>1635</v>
      </c>
      <c r="E1445" s="132" t="s">
        <v>25</v>
      </c>
      <c r="F1445" s="97" t="str">
        <f ca="1">IF(OR(Market_Data[[#This Row],[Start Date]]="",Market_Data[[#This Row],[Completion Date]]=""),"Needs Validation",IF(Market_Data[[#This Row],[Start Date]]&gt;TODAY(),"Planned",IF(Market_Data[[#This Row],[Completion Date]]&lt;TODAY(),"Completed","Ongoing")))</f>
        <v>Ongoing</v>
      </c>
      <c r="G1445" s="324">
        <v>45386</v>
      </c>
      <c r="H1445" s="324">
        <v>47787</v>
      </c>
      <c r="I1445" s="325">
        <v>18900</v>
      </c>
      <c r="J144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45" s="133">
        <f>_xlfn.XLOOKUP(Market_Data[[#This Row],[Project Type]],tbl_assumptions_market[Project Category (RERA)],tbl_assumptions_market[Concrete Intensity
(m³ / sq m BUA)],"",0)</f>
        <v>0.42</v>
      </c>
      <c r="L1445" s="134">
        <f>ROUND(Market_Data[[#This Row],[Estimated Built Up Area (sq m)]]*Market_Data[[#This Row],[Concrete Intensity
(m³ / sq m)]],0)</f>
        <v>7938</v>
      </c>
      <c r="M1445" s="135">
        <f>_xlfn.XLOOKUP(Market_Data[[#This Row],[District]],tbl_district_price[District],tbl_district_price[Standard Price
(INR/m³)],"",0)</f>
        <v>6200</v>
      </c>
      <c r="N1445" s="364">
        <f>IF(OR(Market_Data[[#This Row],[Estimated Concrete Demand (m³)]]="",Market_Data[[#This Row],[Avg Price per (₹ / m³)]]=""),"",Market_Data[[#This Row],[Estimated Concrete Demand (m³)]]*Market_Data[[#This Row],[Avg Price per (₹ / m³)]]/10000000)</f>
        <v>4.9215600000000004</v>
      </c>
      <c r="O1445" s="97" t="str">
        <f>IF(Market_Data[[#This Row],[Estimated Concrete Demand (m³)]]="","",
IF(Market_Data[[#This Row],[Estimated Concrete Demand (m³)]]&lt;10000,"Small",
IF(Market_Data[[#This Row],[Estimated Concrete Demand (m³)]]&lt;25000,"Medium",
IF(Market_Data[[#This Row],[Estimated Concrete Demand (m³)]]&lt;100000,"Large","Mega"))))</f>
        <v>Small</v>
      </c>
      <c r="P1445" s="287" t="str">
        <f t="shared" si="24"/>
        <v>GujRERA</v>
      </c>
    </row>
    <row r="1446" spans="1:16">
      <c r="A1446" s="129" t="str">
        <f>_xlfn.XLOOKUP(B1446,$S$9:$S$14,$T$9:$T$14)&amp;"-"&amp;
IF(E1446="Residential/Group Housing","RES",
IF(E1446="Commercial","COM",
IF(E1446="Mixed Development","MIX",
IF(E1446="Plotted Development","PLT","OTH"))))
&amp;"-"&amp;TEXT(COUNTIFS($B$9:B1446,B1446,$E$9:E1446,E1446),"0000")</f>
        <v>SUR-RES-0425</v>
      </c>
      <c r="B1446" s="322" t="s">
        <v>34</v>
      </c>
      <c r="C1446" s="322" t="s">
        <v>34</v>
      </c>
      <c r="D1446" s="323" t="s">
        <v>1636</v>
      </c>
      <c r="E1446" s="132" t="s">
        <v>24</v>
      </c>
      <c r="F1446" s="97" t="str">
        <f ca="1">IF(OR(Market_Data[[#This Row],[Start Date]]="",Market_Data[[#This Row],[Completion Date]]=""),"Needs Validation",IF(Market_Data[[#This Row],[Start Date]]&gt;TODAY(),"Planned",IF(Market_Data[[#This Row],[Completion Date]]&lt;TODAY(),"Completed","Ongoing")))</f>
        <v>Completed</v>
      </c>
      <c r="G1446" s="324">
        <v>43945</v>
      </c>
      <c r="H1446" s="324">
        <v>45406</v>
      </c>
      <c r="I1446" s="325">
        <v>58900</v>
      </c>
      <c r="J144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46" s="133">
        <f>_xlfn.XLOOKUP(Market_Data[[#This Row],[Project Type]],tbl_assumptions_market[Project Category (RERA)],tbl_assumptions_market[Concrete Intensity
(m³ / sq m BUA)],"",0)</f>
        <v>0.45</v>
      </c>
      <c r="L1446" s="134">
        <f>ROUND(Market_Data[[#This Row],[Estimated Built Up Area (sq m)]]*Market_Data[[#This Row],[Concrete Intensity
(m³ / sq m)]],0)</f>
        <v>26505</v>
      </c>
      <c r="M1446" s="135">
        <f>_xlfn.XLOOKUP(Market_Data[[#This Row],[District]],tbl_district_price[District],tbl_district_price[Standard Price
(INR/m³)],"",0)</f>
        <v>6200</v>
      </c>
      <c r="N1446" s="364">
        <f>IF(OR(Market_Data[[#This Row],[Estimated Concrete Demand (m³)]]="",Market_Data[[#This Row],[Avg Price per (₹ / m³)]]=""),"",Market_Data[[#This Row],[Estimated Concrete Demand (m³)]]*Market_Data[[#This Row],[Avg Price per (₹ / m³)]]/10000000)</f>
        <v>16.4331</v>
      </c>
      <c r="O1446" s="97" t="str">
        <f>IF(Market_Data[[#This Row],[Estimated Concrete Demand (m³)]]="","",
IF(Market_Data[[#This Row],[Estimated Concrete Demand (m³)]]&lt;10000,"Small",
IF(Market_Data[[#This Row],[Estimated Concrete Demand (m³)]]&lt;25000,"Medium",
IF(Market_Data[[#This Row],[Estimated Concrete Demand (m³)]]&lt;100000,"Large","Mega"))))</f>
        <v>Large</v>
      </c>
      <c r="P1446" s="287" t="str">
        <f t="shared" si="24"/>
        <v>GujRERA</v>
      </c>
    </row>
    <row r="1447" spans="1:16">
      <c r="A1447" s="129" t="str">
        <f>_xlfn.XLOOKUP(B1447,$S$9:$S$14,$T$9:$T$14)&amp;"-"&amp;
IF(E1447="Residential/Group Housing","RES",
IF(E1447="Commercial","COM",
IF(E1447="Mixed Development","MIX",
IF(E1447="Plotted Development","PLT","OTH"))))
&amp;"-"&amp;TEXT(COUNTIFS($B$9:B1447,B1447,$E$9:E1447,E1447),"0000")</f>
        <v>SUR-RES-0426</v>
      </c>
      <c r="B1447" s="322" t="s">
        <v>34</v>
      </c>
      <c r="C1447" s="322" t="s">
        <v>34</v>
      </c>
      <c r="D1447" s="323" t="s">
        <v>1637</v>
      </c>
      <c r="E1447" s="132" t="s">
        <v>24</v>
      </c>
      <c r="F1447" s="97" t="str">
        <f ca="1">IF(OR(Market_Data[[#This Row],[Start Date]]="",Market_Data[[#This Row],[Completion Date]]=""),"Needs Validation",IF(Market_Data[[#This Row],[Start Date]]&gt;TODAY(),"Planned",IF(Market_Data[[#This Row],[Completion Date]]&lt;TODAY(),"Completed","Ongoing")))</f>
        <v>Ongoing</v>
      </c>
      <c r="G1447" s="324">
        <v>44906</v>
      </c>
      <c r="H1447" s="324">
        <v>46387</v>
      </c>
      <c r="I1447" s="325">
        <v>21500</v>
      </c>
      <c r="J144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47" s="133">
        <f>_xlfn.XLOOKUP(Market_Data[[#This Row],[Project Type]],tbl_assumptions_market[Project Category (RERA)],tbl_assumptions_market[Concrete Intensity
(m³ / sq m BUA)],"",0)</f>
        <v>0.45</v>
      </c>
      <c r="L1447" s="134">
        <f>ROUND(Market_Data[[#This Row],[Estimated Built Up Area (sq m)]]*Market_Data[[#This Row],[Concrete Intensity
(m³ / sq m)]],0)</f>
        <v>9675</v>
      </c>
      <c r="M1447" s="135">
        <f>_xlfn.XLOOKUP(Market_Data[[#This Row],[District]],tbl_district_price[District],tbl_district_price[Standard Price
(INR/m³)],"",0)</f>
        <v>6200</v>
      </c>
      <c r="N1447" s="364">
        <f>IF(OR(Market_Data[[#This Row],[Estimated Concrete Demand (m³)]]="",Market_Data[[#This Row],[Avg Price per (₹ / m³)]]=""),"",Market_Data[[#This Row],[Estimated Concrete Demand (m³)]]*Market_Data[[#This Row],[Avg Price per (₹ / m³)]]/10000000)</f>
        <v>5.9984999999999999</v>
      </c>
      <c r="O1447" s="97" t="str">
        <f>IF(Market_Data[[#This Row],[Estimated Concrete Demand (m³)]]="","",
IF(Market_Data[[#This Row],[Estimated Concrete Demand (m³)]]&lt;10000,"Small",
IF(Market_Data[[#This Row],[Estimated Concrete Demand (m³)]]&lt;25000,"Medium",
IF(Market_Data[[#This Row],[Estimated Concrete Demand (m³)]]&lt;100000,"Large","Mega"))))</f>
        <v>Small</v>
      </c>
      <c r="P1447" s="287" t="str">
        <f t="shared" si="24"/>
        <v>GujRERA</v>
      </c>
    </row>
    <row r="1448" spans="1:16">
      <c r="A1448" s="129" t="str">
        <f>_xlfn.XLOOKUP(B1448,$S$9:$S$14,$T$9:$T$14)&amp;"-"&amp;
IF(E1448="Residential/Group Housing","RES",
IF(E1448="Commercial","COM",
IF(E1448="Mixed Development","MIX",
IF(E1448="Plotted Development","PLT","OTH"))))
&amp;"-"&amp;TEXT(COUNTIFS($B$9:B1448,B1448,$E$9:E1448,E1448),"0000")</f>
        <v>SUR-PLT-0275</v>
      </c>
      <c r="B1448" s="322" t="s">
        <v>34</v>
      </c>
      <c r="C1448" s="322" t="s">
        <v>34</v>
      </c>
      <c r="D1448" s="323" t="s">
        <v>1638</v>
      </c>
      <c r="E1448" s="132" t="s">
        <v>26</v>
      </c>
      <c r="F1448" s="97" t="str">
        <f ca="1">IF(OR(Market_Data[[#This Row],[Start Date]]="",Market_Data[[#This Row],[Completion Date]]=""),"Needs Validation",IF(Market_Data[[#This Row],[Start Date]]&gt;TODAY(),"Planned",IF(Market_Data[[#This Row],[Completion Date]]&lt;TODAY(),"Completed","Ongoing")))</f>
        <v>Ongoing</v>
      </c>
      <c r="G1448" s="324">
        <v>45745</v>
      </c>
      <c r="H1448" s="324">
        <v>46752</v>
      </c>
      <c r="I1448" s="325">
        <v>24800</v>
      </c>
      <c r="J144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48" s="133">
        <f>_xlfn.XLOOKUP(Market_Data[[#This Row],[Project Type]],tbl_assumptions_market[Project Category (RERA)],tbl_assumptions_market[Concrete Intensity
(m³ / sq m BUA)],"",0)</f>
        <v>0.18</v>
      </c>
      <c r="L1448" s="134">
        <f>ROUND(Market_Data[[#This Row],[Estimated Built Up Area (sq m)]]*Market_Data[[#This Row],[Concrete Intensity
(m³ / sq m)]],0)</f>
        <v>4464</v>
      </c>
      <c r="M1448" s="135">
        <f>_xlfn.XLOOKUP(Market_Data[[#This Row],[District]],tbl_district_price[District],tbl_district_price[Standard Price
(INR/m³)],"",0)</f>
        <v>6200</v>
      </c>
      <c r="N1448" s="364">
        <f>IF(OR(Market_Data[[#This Row],[Estimated Concrete Demand (m³)]]="",Market_Data[[#This Row],[Avg Price per (₹ / m³)]]=""),"",Market_Data[[#This Row],[Estimated Concrete Demand (m³)]]*Market_Data[[#This Row],[Avg Price per (₹ / m³)]]/10000000)</f>
        <v>2.7676799999999999</v>
      </c>
      <c r="O1448" s="97" t="str">
        <f>IF(Market_Data[[#This Row],[Estimated Concrete Demand (m³)]]="","",
IF(Market_Data[[#This Row],[Estimated Concrete Demand (m³)]]&lt;10000,"Small",
IF(Market_Data[[#This Row],[Estimated Concrete Demand (m³)]]&lt;25000,"Medium",
IF(Market_Data[[#This Row],[Estimated Concrete Demand (m³)]]&lt;100000,"Large","Mega"))))</f>
        <v>Small</v>
      </c>
      <c r="P1448" s="287" t="str">
        <f t="shared" si="24"/>
        <v>GujRERA</v>
      </c>
    </row>
    <row r="1449" spans="1:16">
      <c r="A1449" s="129" t="str">
        <f>_xlfn.XLOOKUP(B1449,$S$9:$S$14,$T$9:$T$14)&amp;"-"&amp;
IF(E1449="Residential/Group Housing","RES",
IF(E1449="Commercial","COM",
IF(E1449="Mixed Development","MIX",
IF(E1449="Plotted Development","PLT","OTH"))))
&amp;"-"&amp;TEXT(COUNTIFS($B$9:B1449,B1449,$E$9:E1449,E1449),"0000")</f>
        <v>SUR-COM-0221</v>
      </c>
      <c r="B1449" s="322" t="s">
        <v>34</v>
      </c>
      <c r="C1449" s="322" t="s">
        <v>34</v>
      </c>
      <c r="D1449" s="323" t="s">
        <v>1639</v>
      </c>
      <c r="E1449" s="132" t="s">
        <v>23</v>
      </c>
      <c r="F1449" s="97" t="str">
        <f ca="1">IF(OR(Market_Data[[#This Row],[Start Date]]="",Market_Data[[#This Row],[Completion Date]]=""),"Needs Validation",IF(Market_Data[[#This Row],[Start Date]]&gt;TODAY(),"Planned",IF(Market_Data[[#This Row],[Completion Date]]&lt;TODAY(),"Completed","Ongoing")))</f>
        <v>Completed</v>
      </c>
      <c r="G1449" s="324">
        <v>41547</v>
      </c>
      <c r="H1449" s="324">
        <v>45657</v>
      </c>
      <c r="I1449" s="325">
        <v>38300</v>
      </c>
      <c r="J144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449" s="133">
        <f>_xlfn.XLOOKUP(Market_Data[[#This Row],[Project Type]],tbl_assumptions_market[Project Category (RERA)],tbl_assumptions_market[Concrete Intensity
(m³ / sq m BUA)],"",0)</f>
        <v>0.5</v>
      </c>
      <c r="L1449" s="134">
        <f>ROUND(Market_Data[[#This Row],[Estimated Built Up Area (sq m)]]*Market_Data[[#This Row],[Concrete Intensity
(m³ / sq m)]],0)</f>
        <v>19150</v>
      </c>
      <c r="M1449" s="135">
        <f>_xlfn.XLOOKUP(Market_Data[[#This Row],[District]],tbl_district_price[District],tbl_district_price[Standard Price
(INR/m³)],"",0)</f>
        <v>6200</v>
      </c>
      <c r="N1449" s="364">
        <f>IF(OR(Market_Data[[#This Row],[Estimated Concrete Demand (m³)]]="",Market_Data[[#This Row],[Avg Price per (₹ / m³)]]=""),"",Market_Data[[#This Row],[Estimated Concrete Demand (m³)]]*Market_Data[[#This Row],[Avg Price per (₹ / m³)]]/10000000)</f>
        <v>11.872999999999999</v>
      </c>
      <c r="O1449" s="97" t="str">
        <f>IF(Market_Data[[#This Row],[Estimated Concrete Demand (m³)]]="","",
IF(Market_Data[[#This Row],[Estimated Concrete Demand (m³)]]&lt;10000,"Small",
IF(Market_Data[[#This Row],[Estimated Concrete Demand (m³)]]&lt;25000,"Medium",
IF(Market_Data[[#This Row],[Estimated Concrete Demand (m³)]]&lt;100000,"Large","Mega"))))</f>
        <v>Medium</v>
      </c>
      <c r="P1449" s="287" t="str">
        <f t="shared" si="24"/>
        <v>GujRERA</v>
      </c>
    </row>
    <row r="1450" spans="1:16">
      <c r="A1450" s="129" t="str">
        <f>_xlfn.XLOOKUP(B1450,$S$9:$S$14,$T$9:$T$14)&amp;"-"&amp;
IF(E1450="Residential/Group Housing","RES",
IF(E1450="Commercial","COM",
IF(E1450="Mixed Development","MIX",
IF(E1450="Plotted Development","PLT","OTH"))))
&amp;"-"&amp;TEXT(COUNTIFS($B$9:B1450,B1450,$E$9:E1450,E1450),"0000")</f>
        <v>SUR-RES-0427</v>
      </c>
      <c r="B1450" s="322" t="s">
        <v>34</v>
      </c>
      <c r="C1450" s="322" t="s">
        <v>34</v>
      </c>
      <c r="D1450" s="323" t="s">
        <v>1640</v>
      </c>
      <c r="E1450" s="132" t="s">
        <v>24</v>
      </c>
      <c r="F1450" s="97" t="str">
        <f ca="1">IF(OR(Market_Data[[#This Row],[Start Date]]="",Market_Data[[#This Row],[Completion Date]]=""),"Needs Validation",IF(Market_Data[[#This Row],[Start Date]]&gt;TODAY(),"Planned",IF(Market_Data[[#This Row],[Completion Date]]&lt;TODAY(),"Completed","Ongoing")))</f>
        <v>Ongoing</v>
      </c>
      <c r="G1450" s="324">
        <v>45026</v>
      </c>
      <c r="H1450" s="324">
        <v>47149</v>
      </c>
      <c r="I1450" s="325">
        <v>47200</v>
      </c>
      <c r="J145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50" s="133">
        <f>_xlfn.XLOOKUP(Market_Data[[#This Row],[Project Type]],tbl_assumptions_market[Project Category (RERA)],tbl_assumptions_market[Concrete Intensity
(m³ / sq m BUA)],"",0)</f>
        <v>0.45</v>
      </c>
      <c r="L1450" s="134">
        <f>ROUND(Market_Data[[#This Row],[Estimated Built Up Area (sq m)]]*Market_Data[[#This Row],[Concrete Intensity
(m³ / sq m)]],0)</f>
        <v>21240</v>
      </c>
      <c r="M1450" s="135">
        <f>_xlfn.XLOOKUP(Market_Data[[#This Row],[District]],tbl_district_price[District],tbl_district_price[Standard Price
(INR/m³)],"",0)</f>
        <v>6200</v>
      </c>
      <c r="N1450" s="364">
        <f>IF(OR(Market_Data[[#This Row],[Estimated Concrete Demand (m³)]]="",Market_Data[[#This Row],[Avg Price per (₹ / m³)]]=""),"",Market_Data[[#This Row],[Estimated Concrete Demand (m³)]]*Market_Data[[#This Row],[Avg Price per (₹ / m³)]]/10000000)</f>
        <v>13.168799999999999</v>
      </c>
      <c r="O1450" s="97" t="str">
        <f>IF(Market_Data[[#This Row],[Estimated Concrete Demand (m³)]]="","",
IF(Market_Data[[#This Row],[Estimated Concrete Demand (m³)]]&lt;10000,"Small",
IF(Market_Data[[#This Row],[Estimated Concrete Demand (m³)]]&lt;25000,"Medium",
IF(Market_Data[[#This Row],[Estimated Concrete Demand (m³)]]&lt;100000,"Large","Mega"))))</f>
        <v>Medium</v>
      </c>
      <c r="P1450" s="287" t="str">
        <f t="shared" si="24"/>
        <v>GujRERA</v>
      </c>
    </row>
    <row r="1451" spans="1:16">
      <c r="A1451" s="129" t="str">
        <f>_xlfn.XLOOKUP(B1451,$S$9:$S$14,$T$9:$T$14)&amp;"-"&amp;
IF(E1451="Residential/Group Housing","RES",
IF(E1451="Commercial","COM",
IF(E1451="Mixed Development","MIX",
IF(E1451="Plotted Development","PLT","OTH"))))
&amp;"-"&amp;TEXT(COUNTIFS($B$9:B1451,B1451,$E$9:E1451,E1451),"0000")</f>
        <v>SUR-RES-0428</v>
      </c>
      <c r="B1451" s="322" t="s">
        <v>34</v>
      </c>
      <c r="C1451" s="322" t="s">
        <v>34</v>
      </c>
      <c r="D1451" s="323" t="s">
        <v>1641</v>
      </c>
      <c r="E1451" s="132" t="s">
        <v>24</v>
      </c>
      <c r="F1451" s="97" t="str">
        <f ca="1">IF(OR(Market_Data[[#This Row],[Start Date]]="",Market_Data[[#This Row],[Completion Date]]=""),"Needs Validation",IF(Market_Data[[#This Row],[Start Date]]&gt;TODAY(),"Planned",IF(Market_Data[[#This Row],[Completion Date]]&lt;TODAY(),"Completed","Ongoing")))</f>
        <v>Completed</v>
      </c>
      <c r="G1451" s="324">
        <v>42937</v>
      </c>
      <c r="H1451" s="324">
        <v>45565</v>
      </c>
      <c r="I1451" s="325">
        <v>49600</v>
      </c>
      <c r="J145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51" s="133">
        <f>_xlfn.XLOOKUP(Market_Data[[#This Row],[Project Type]],tbl_assumptions_market[Project Category (RERA)],tbl_assumptions_market[Concrete Intensity
(m³ / sq m BUA)],"",0)</f>
        <v>0.45</v>
      </c>
      <c r="L1451" s="134">
        <f>ROUND(Market_Data[[#This Row],[Estimated Built Up Area (sq m)]]*Market_Data[[#This Row],[Concrete Intensity
(m³ / sq m)]],0)</f>
        <v>22320</v>
      </c>
      <c r="M1451" s="135">
        <f>_xlfn.XLOOKUP(Market_Data[[#This Row],[District]],tbl_district_price[District],tbl_district_price[Standard Price
(INR/m³)],"",0)</f>
        <v>6200</v>
      </c>
      <c r="N1451" s="364">
        <f>IF(OR(Market_Data[[#This Row],[Estimated Concrete Demand (m³)]]="",Market_Data[[#This Row],[Avg Price per (₹ / m³)]]=""),"",Market_Data[[#This Row],[Estimated Concrete Demand (m³)]]*Market_Data[[#This Row],[Avg Price per (₹ / m³)]]/10000000)</f>
        <v>13.8384</v>
      </c>
      <c r="O1451" s="97" t="str">
        <f>IF(Market_Data[[#This Row],[Estimated Concrete Demand (m³)]]="","",
IF(Market_Data[[#This Row],[Estimated Concrete Demand (m³)]]&lt;10000,"Small",
IF(Market_Data[[#This Row],[Estimated Concrete Demand (m³)]]&lt;25000,"Medium",
IF(Market_Data[[#This Row],[Estimated Concrete Demand (m³)]]&lt;100000,"Large","Mega"))))</f>
        <v>Medium</v>
      </c>
      <c r="P1451" s="287" t="str">
        <f t="shared" si="24"/>
        <v>GujRERA</v>
      </c>
    </row>
    <row r="1452" spans="1:16">
      <c r="A1452" s="129" t="str">
        <f>_xlfn.XLOOKUP(B1452,$S$9:$S$14,$T$9:$T$14)&amp;"-"&amp;
IF(E1452="Residential/Group Housing","RES",
IF(E1452="Commercial","COM",
IF(E1452="Mixed Development","MIX",
IF(E1452="Plotted Development","PLT","OTH"))))
&amp;"-"&amp;TEXT(COUNTIFS($B$9:B1452,B1452,$E$9:E1452,E1452),"0000")</f>
        <v>SUR-MIX-0210</v>
      </c>
      <c r="B1452" s="322" t="s">
        <v>34</v>
      </c>
      <c r="C1452" s="322" t="s">
        <v>34</v>
      </c>
      <c r="D1452" s="323" t="s">
        <v>1642</v>
      </c>
      <c r="E1452" s="132" t="s">
        <v>25</v>
      </c>
      <c r="F1452" s="97" t="str">
        <f ca="1">IF(OR(Market_Data[[#This Row],[Start Date]]="",Market_Data[[#This Row],[Completion Date]]=""),"Needs Validation",IF(Market_Data[[#This Row],[Start Date]]&gt;TODAY(),"Planned",IF(Market_Data[[#This Row],[Completion Date]]&lt;TODAY(),"Completed","Ongoing")))</f>
        <v>Ongoing</v>
      </c>
      <c r="G1452" s="324">
        <v>44659</v>
      </c>
      <c r="H1452" s="324">
        <v>46660</v>
      </c>
      <c r="I1452" s="325">
        <v>22700</v>
      </c>
      <c r="J145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52" s="133">
        <f>_xlfn.XLOOKUP(Market_Data[[#This Row],[Project Type]],tbl_assumptions_market[Project Category (RERA)],tbl_assumptions_market[Concrete Intensity
(m³ / sq m BUA)],"",0)</f>
        <v>0.42</v>
      </c>
      <c r="L1452" s="134">
        <f>ROUND(Market_Data[[#This Row],[Estimated Built Up Area (sq m)]]*Market_Data[[#This Row],[Concrete Intensity
(m³ / sq m)]],0)</f>
        <v>9534</v>
      </c>
      <c r="M1452" s="135">
        <f>_xlfn.XLOOKUP(Market_Data[[#This Row],[District]],tbl_district_price[District],tbl_district_price[Standard Price
(INR/m³)],"",0)</f>
        <v>6200</v>
      </c>
      <c r="N1452" s="364">
        <f>IF(OR(Market_Data[[#This Row],[Estimated Concrete Demand (m³)]]="",Market_Data[[#This Row],[Avg Price per (₹ / m³)]]=""),"",Market_Data[[#This Row],[Estimated Concrete Demand (m³)]]*Market_Data[[#This Row],[Avg Price per (₹ / m³)]]/10000000)</f>
        <v>5.9110800000000001</v>
      </c>
      <c r="O1452" s="97" t="str">
        <f>IF(Market_Data[[#This Row],[Estimated Concrete Demand (m³)]]="","",
IF(Market_Data[[#This Row],[Estimated Concrete Demand (m³)]]&lt;10000,"Small",
IF(Market_Data[[#This Row],[Estimated Concrete Demand (m³)]]&lt;25000,"Medium",
IF(Market_Data[[#This Row],[Estimated Concrete Demand (m³)]]&lt;100000,"Large","Mega"))))</f>
        <v>Small</v>
      </c>
      <c r="P1452" s="287" t="str">
        <f t="shared" si="24"/>
        <v>GujRERA</v>
      </c>
    </row>
    <row r="1453" spans="1:16">
      <c r="A1453" s="129" t="str">
        <f>_xlfn.XLOOKUP(B1453,$S$9:$S$14,$T$9:$T$14)&amp;"-"&amp;
IF(E1453="Residential/Group Housing","RES",
IF(E1453="Commercial","COM",
IF(E1453="Mixed Development","MIX",
IF(E1453="Plotted Development","PLT","OTH"))))
&amp;"-"&amp;TEXT(COUNTIFS($B$9:B1453,B1453,$E$9:E1453,E1453),"0000")</f>
        <v>SUR-MIX-0211</v>
      </c>
      <c r="B1453" s="322" t="s">
        <v>34</v>
      </c>
      <c r="C1453" s="322" t="s">
        <v>34</v>
      </c>
      <c r="D1453" s="323" t="s">
        <v>1643</v>
      </c>
      <c r="E1453" s="132" t="s">
        <v>25</v>
      </c>
      <c r="F1453" s="97" t="str">
        <f ca="1">IF(OR(Market_Data[[#This Row],[Start Date]]="",Market_Data[[#This Row],[Completion Date]]=""),"Needs Validation",IF(Market_Data[[#This Row],[Start Date]]&gt;TODAY(),"Planned",IF(Market_Data[[#This Row],[Completion Date]]&lt;TODAY(),"Completed","Ongoing")))</f>
        <v>Completed</v>
      </c>
      <c r="G1453" s="324">
        <v>41769</v>
      </c>
      <c r="H1453" s="324">
        <v>45107</v>
      </c>
      <c r="I1453" s="325">
        <v>21100</v>
      </c>
      <c r="J145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53" s="133">
        <f>_xlfn.XLOOKUP(Market_Data[[#This Row],[Project Type]],tbl_assumptions_market[Project Category (RERA)],tbl_assumptions_market[Concrete Intensity
(m³ / sq m BUA)],"",0)</f>
        <v>0.42</v>
      </c>
      <c r="L1453" s="134">
        <f>ROUND(Market_Data[[#This Row],[Estimated Built Up Area (sq m)]]*Market_Data[[#This Row],[Concrete Intensity
(m³ / sq m)]],0)</f>
        <v>8862</v>
      </c>
      <c r="M1453" s="135">
        <f>_xlfn.XLOOKUP(Market_Data[[#This Row],[District]],tbl_district_price[District],tbl_district_price[Standard Price
(INR/m³)],"",0)</f>
        <v>6200</v>
      </c>
      <c r="N1453" s="364">
        <f>IF(OR(Market_Data[[#This Row],[Estimated Concrete Demand (m³)]]="",Market_Data[[#This Row],[Avg Price per (₹ / m³)]]=""),"",Market_Data[[#This Row],[Estimated Concrete Demand (m³)]]*Market_Data[[#This Row],[Avg Price per (₹ / m³)]]/10000000)</f>
        <v>5.49444</v>
      </c>
      <c r="O1453" s="97" t="str">
        <f>IF(Market_Data[[#This Row],[Estimated Concrete Demand (m³)]]="","",
IF(Market_Data[[#This Row],[Estimated Concrete Demand (m³)]]&lt;10000,"Small",
IF(Market_Data[[#This Row],[Estimated Concrete Demand (m³)]]&lt;25000,"Medium",
IF(Market_Data[[#This Row],[Estimated Concrete Demand (m³)]]&lt;100000,"Large","Mega"))))</f>
        <v>Small</v>
      </c>
      <c r="P1453" s="287" t="str">
        <f t="shared" si="24"/>
        <v>GujRERA</v>
      </c>
    </row>
    <row r="1454" spans="1:16">
      <c r="A1454" s="129" t="str">
        <f>_xlfn.XLOOKUP(B1454,$S$9:$S$14,$T$9:$T$14)&amp;"-"&amp;
IF(E1454="Residential/Group Housing","RES",
IF(E1454="Commercial","COM",
IF(E1454="Mixed Development","MIX",
IF(E1454="Plotted Development","PLT","OTH"))))
&amp;"-"&amp;TEXT(COUNTIFS($B$9:B1454,B1454,$E$9:E1454,E1454),"0000")</f>
        <v>SUR-COM-0222</v>
      </c>
      <c r="B1454" s="322" t="s">
        <v>34</v>
      </c>
      <c r="C1454" s="322" t="s">
        <v>34</v>
      </c>
      <c r="D1454" s="323" t="s">
        <v>1644</v>
      </c>
      <c r="E1454" s="132" t="s">
        <v>23</v>
      </c>
      <c r="F1454" s="97" t="str">
        <f ca="1">IF(OR(Market_Data[[#This Row],[Start Date]]="",Market_Data[[#This Row],[Completion Date]]=""),"Needs Validation",IF(Market_Data[[#This Row],[Start Date]]&gt;TODAY(),"Planned",IF(Market_Data[[#This Row],[Completion Date]]&lt;TODAY(),"Completed","Ongoing")))</f>
        <v>Completed</v>
      </c>
      <c r="G1454" s="324">
        <v>43089</v>
      </c>
      <c r="H1454" s="324">
        <v>43830</v>
      </c>
      <c r="I1454" s="325">
        <v>18200</v>
      </c>
      <c r="J145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54" s="133">
        <f>_xlfn.XLOOKUP(Market_Data[[#This Row],[Project Type]],tbl_assumptions_market[Project Category (RERA)],tbl_assumptions_market[Concrete Intensity
(m³ / sq m BUA)],"",0)</f>
        <v>0.5</v>
      </c>
      <c r="L1454" s="134">
        <f>ROUND(Market_Data[[#This Row],[Estimated Built Up Area (sq m)]]*Market_Data[[#This Row],[Concrete Intensity
(m³ / sq m)]],0)</f>
        <v>9100</v>
      </c>
      <c r="M1454" s="135">
        <f>_xlfn.XLOOKUP(Market_Data[[#This Row],[District]],tbl_district_price[District],tbl_district_price[Standard Price
(INR/m³)],"",0)</f>
        <v>6200</v>
      </c>
      <c r="N1454" s="364">
        <f>IF(OR(Market_Data[[#This Row],[Estimated Concrete Demand (m³)]]="",Market_Data[[#This Row],[Avg Price per (₹ / m³)]]=""),"",Market_Data[[#This Row],[Estimated Concrete Demand (m³)]]*Market_Data[[#This Row],[Avg Price per (₹ / m³)]]/10000000)</f>
        <v>5.6420000000000003</v>
      </c>
      <c r="O1454" s="97" t="str">
        <f>IF(Market_Data[[#This Row],[Estimated Concrete Demand (m³)]]="","",
IF(Market_Data[[#This Row],[Estimated Concrete Demand (m³)]]&lt;10000,"Small",
IF(Market_Data[[#This Row],[Estimated Concrete Demand (m³)]]&lt;25000,"Medium",
IF(Market_Data[[#This Row],[Estimated Concrete Demand (m³)]]&lt;100000,"Large","Mega"))))</f>
        <v>Small</v>
      </c>
      <c r="P1454" s="287" t="str">
        <f t="shared" si="24"/>
        <v>GujRERA</v>
      </c>
    </row>
    <row r="1455" spans="1:16">
      <c r="A1455" s="129" t="str">
        <f>_xlfn.XLOOKUP(B1455,$S$9:$S$14,$T$9:$T$14)&amp;"-"&amp;
IF(E1455="Residential/Group Housing","RES",
IF(E1455="Commercial","COM",
IF(E1455="Mixed Development","MIX",
IF(E1455="Plotted Development","PLT","OTH"))))
&amp;"-"&amp;TEXT(COUNTIFS($B$9:B1455,B1455,$E$9:E1455,E1455),"0000")</f>
        <v>SUR-COM-0223</v>
      </c>
      <c r="B1455" s="322" t="s">
        <v>34</v>
      </c>
      <c r="C1455" s="322" t="s">
        <v>34</v>
      </c>
      <c r="D1455" s="323" t="s">
        <v>1645</v>
      </c>
      <c r="E1455" s="132" t="s">
        <v>23</v>
      </c>
      <c r="F1455" s="97" t="str">
        <f ca="1">IF(OR(Market_Data[[#This Row],[Start Date]]="",Market_Data[[#This Row],[Completion Date]]=""),"Needs Validation",IF(Market_Data[[#This Row],[Start Date]]&gt;TODAY(),"Planned",IF(Market_Data[[#This Row],[Completion Date]]&lt;TODAY(),"Completed","Ongoing")))</f>
        <v>Completed</v>
      </c>
      <c r="G1455" s="324">
        <v>42005</v>
      </c>
      <c r="H1455" s="324">
        <v>43555</v>
      </c>
      <c r="I1455" s="325">
        <v>4100</v>
      </c>
      <c r="J145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55" s="133">
        <f>_xlfn.XLOOKUP(Market_Data[[#This Row],[Project Type]],tbl_assumptions_market[Project Category (RERA)],tbl_assumptions_market[Concrete Intensity
(m³ / sq m BUA)],"",0)</f>
        <v>0.5</v>
      </c>
      <c r="L1455" s="134">
        <f>ROUND(Market_Data[[#This Row],[Estimated Built Up Area (sq m)]]*Market_Data[[#This Row],[Concrete Intensity
(m³ / sq m)]],0)</f>
        <v>2050</v>
      </c>
      <c r="M1455" s="135">
        <f>_xlfn.XLOOKUP(Market_Data[[#This Row],[District]],tbl_district_price[District],tbl_district_price[Standard Price
(INR/m³)],"",0)</f>
        <v>6200</v>
      </c>
      <c r="N1455" s="364">
        <f>IF(OR(Market_Data[[#This Row],[Estimated Concrete Demand (m³)]]="",Market_Data[[#This Row],[Avg Price per (₹ / m³)]]=""),"",Market_Data[[#This Row],[Estimated Concrete Demand (m³)]]*Market_Data[[#This Row],[Avg Price per (₹ / m³)]]/10000000)</f>
        <v>1.2709999999999999</v>
      </c>
      <c r="O1455" s="97" t="str">
        <f>IF(Market_Data[[#This Row],[Estimated Concrete Demand (m³)]]="","",
IF(Market_Data[[#This Row],[Estimated Concrete Demand (m³)]]&lt;10000,"Small",
IF(Market_Data[[#This Row],[Estimated Concrete Demand (m³)]]&lt;25000,"Medium",
IF(Market_Data[[#This Row],[Estimated Concrete Demand (m³)]]&lt;100000,"Large","Mega"))))</f>
        <v>Small</v>
      </c>
      <c r="P1455" s="287" t="str">
        <f t="shared" si="24"/>
        <v>GujRERA</v>
      </c>
    </row>
    <row r="1456" spans="1:16">
      <c r="A1456" s="129" t="str">
        <f>_xlfn.XLOOKUP(B1456,$S$9:$S$14,$T$9:$T$14)&amp;"-"&amp;
IF(E1456="Residential/Group Housing","RES",
IF(E1456="Commercial","COM",
IF(E1456="Mixed Development","MIX",
IF(E1456="Plotted Development","PLT","OTH"))))
&amp;"-"&amp;TEXT(COUNTIFS($B$9:B1456,B1456,$E$9:E1456,E1456),"0000")</f>
        <v>SUR-RES-0429</v>
      </c>
      <c r="B1456" s="322" t="s">
        <v>34</v>
      </c>
      <c r="C1456" s="322" t="s">
        <v>34</v>
      </c>
      <c r="D1456" s="323" t="s">
        <v>1646</v>
      </c>
      <c r="E1456" s="132" t="s">
        <v>24</v>
      </c>
      <c r="F1456" s="97" t="str">
        <f ca="1">IF(OR(Market_Data[[#This Row],[Start Date]]="",Market_Data[[#This Row],[Completion Date]]=""),"Needs Validation",IF(Market_Data[[#This Row],[Start Date]]&gt;TODAY(),"Planned",IF(Market_Data[[#This Row],[Completion Date]]&lt;TODAY(),"Completed","Ongoing")))</f>
        <v>Completed</v>
      </c>
      <c r="G1456" s="324">
        <v>41577</v>
      </c>
      <c r="H1456" s="324">
        <v>43465</v>
      </c>
      <c r="I1456" s="325">
        <v>44000</v>
      </c>
      <c r="J145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56" s="133">
        <f>_xlfn.XLOOKUP(Market_Data[[#This Row],[Project Type]],tbl_assumptions_market[Project Category (RERA)],tbl_assumptions_market[Concrete Intensity
(m³ / sq m BUA)],"",0)</f>
        <v>0.45</v>
      </c>
      <c r="L1456" s="134">
        <f>ROUND(Market_Data[[#This Row],[Estimated Built Up Area (sq m)]]*Market_Data[[#This Row],[Concrete Intensity
(m³ / sq m)]],0)</f>
        <v>19800</v>
      </c>
      <c r="M1456" s="135">
        <f>_xlfn.XLOOKUP(Market_Data[[#This Row],[District]],tbl_district_price[District],tbl_district_price[Standard Price
(INR/m³)],"",0)</f>
        <v>6200</v>
      </c>
      <c r="N1456" s="364">
        <f>IF(OR(Market_Data[[#This Row],[Estimated Concrete Demand (m³)]]="",Market_Data[[#This Row],[Avg Price per (₹ / m³)]]=""),"",Market_Data[[#This Row],[Estimated Concrete Demand (m³)]]*Market_Data[[#This Row],[Avg Price per (₹ / m³)]]/10000000)</f>
        <v>12.276</v>
      </c>
      <c r="O1456" s="97" t="str">
        <f>IF(Market_Data[[#This Row],[Estimated Concrete Demand (m³)]]="","",
IF(Market_Data[[#This Row],[Estimated Concrete Demand (m³)]]&lt;10000,"Small",
IF(Market_Data[[#This Row],[Estimated Concrete Demand (m³)]]&lt;25000,"Medium",
IF(Market_Data[[#This Row],[Estimated Concrete Demand (m³)]]&lt;100000,"Large","Mega"))))</f>
        <v>Medium</v>
      </c>
      <c r="P1456" s="287" t="str">
        <f t="shared" si="24"/>
        <v>GujRERA</v>
      </c>
    </row>
    <row r="1457" spans="1:16">
      <c r="A1457" s="129" t="str">
        <f>_xlfn.XLOOKUP(B1457,$S$9:$S$14,$T$9:$T$14)&amp;"-"&amp;
IF(E1457="Residential/Group Housing","RES",
IF(E1457="Commercial","COM",
IF(E1457="Mixed Development","MIX",
IF(E1457="Plotted Development","PLT","OTH"))))
&amp;"-"&amp;TEXT(COUNTIFS($B$9:B1457,B1457,$E$9:E1457,E1457),"0000")</f>
        <v>SUR-MIX-0212</v>
      </c>
      <c r="B1457" s="322" t="s">
        <v>34</v>
      </c>
      <c r="C1457" s="322" t="s">
        <v>34</v>
      </c>
      <c r="D1457" s="323" t="s">
        <v>1647</v>
      </c>
      <c r="E1457" s="132" t="s">
        <v>25</v>
      </c>
      <c r="F1457" s="97" t="str">
        <f ca="1">IF(OR(Market_Data[[#This Row],[Start Date]]="",Market_Data[[#This Row],[Completion Date]]=""),"Needs Validation",IF(Market_Data[[#This Row],[Start Date]]&gt;TODAY(),"Planned",IF(Market_Data[[#This Row],[Completion Date]]&lt;TODAY(),"Completed","Ongoing")))</f>
        <v>Ongoing</v>
      </c>
      <c r="G1457" s="324">
        <v>44477</v>
      </c>
      <c r="H1457" s="324">
        <v>46387</v>
      </c>
      <c r="I1457" s="325">
        <v>37200</v>
      </c>
      <c r="J145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57" s="133">
        <f>_xlfn.XLOOKUP(Market_Data[[#This Row],[Project Type]],tbl_assumptions_market[Project Category (RERA)],tbl_assumptions_market[Concrete Intensity
(m³ / sq m BUA)],"",0)</f>
        <v>0.42</v>
      </c>
      <c r="L1457" s="134">
        <f>ROUND(Market_Data[[#This Row],[Estimated Built Up Area (sq m)]]*Market_Data[[#This Row],[Concrete Intensity
(m³ / sq m)]],0)</f>
        <v>15624</v>
      </c>
      <c r="M1457" s="135">
        <f>_xlfn.XLOOKUP(Market_Data[[#This Row],[District]],tbl_district_price[District],tbl_district_price[Standard Price
(INR/m³)],"",0)</f>
        <v>6200</v>
      </c>
      <c r="N1457" s="364">
        <f>IF(OR(Market_Data[[#This Row],[Estimated Concrete Demand (m³)]]="",Market_Data[[#This Row],[Avg Price per (₹ / m³)]]=""),"",Market_Data[[#This Row],[Estimated Concrete Demand (m³)]]*Market_Data[[#This Row],[Avg Price per (₹ / m³)]]/10000000)</f>
        <v>9.6868800000000004</v>
      </c>
      <c r="O1457" s="97" t="str">
        <f>IF(Market_Data[[#This Row],[Estimated Concrete Demand (m³)]]="","",
IF(Market_Data[[#This Row],[Estimated Concrete Demand (m³)]]&lt;10000,"Small",
IF(Market_Data[[#This Row],[Estimated Concrete Demand (m³)]]&lt;25000,"Medium",
IF(Market_Data[[#This Row],[Estimated Concrete Demand (m³)]]&lt;100000,"Large","Mega"))))</f>
        <v>Medium</v>
      </c>
      <c r="P1457" s="287" t="str">
        <f t="shared" si="24"/>
        <v>GujRERA</v>
      </c>
    </row>
    <row r="1458" spans="1:16">
      <c r="A1458" s="129" t="str">
        <f>_xlfn.XLOOKUP(B1458,$S$9:$S$14,$T$9:$T$14)&amp;"-"&amp;
IF(E1458="Residential/Group Housing","RES",
IF(E1458="Commercial","COM",
IF(E1458="Mixed Development","MIX",
IF(E1458="Plotted Development","PLT","OTH"))))
&amp;"-"&amp;TEXT(COUNTIFS($B$9:B1458,B1458,$E$9:E1458,E1458),"0000")</f>
        <v>SUR-RES-0430</v>
      </c>
      <c r="B1458" s="322" t="s">
        <v>34</v>
      </c>
      <c r="C1458" s="322" t="s">
        <v>34</v>
      </c>
      <c r="D1458" s="323" t="s">
        <v>1648</v>
      </c>
      <c r="E1458" s="132" t="s">
        <v>24</v>
      </c>
      <c r="F1458" s="97" t="str">
        <f ca="1">IF(OR(Market_Data[[#This Row],[Start Date]]="",Market_Data[[#This Row],[Completion Date]]=""),"Needs Validation",IF(Market_Data[[#This Row],[Start Date]]&gt;TODAY(),"Planned",IF(Market_Data[[#This Row],[Completion Date]]&lt;TODAY(),"Completed","Ongoing")))</f>
        <v>Ongoing</v>
      </c>
      <c r="G1458" s="324">
        <v>46015</v>
      </c>
      <c r="H1458" s="324">
        <v>47848</v>
      </c>
      <c r="I1458" s="325">
        <v>6300</v>
      </c>
      <c r="J145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58" s="133">
        <f>_xlfn.XLOOKUP(Market_Data[[#This Row],[Project Type]],tbl_assumptions_market[Project Category (RERA)],tbl_assumptions_market[Concrete Intensity
(m³ / sq m BUA)],"",0)</f>
        <v>0.45</v>
      </c>
      <c r="L1458" s="134">
        <f>ROUND(Market_Data[[#This Row],[Estimated Built Up Area (sq m)]]*Market_Data[[#This Row],[Concrete Intensity
(m³ / sq m)]],0)</f>
        <v>2835</v>
      </c>
      <c r="M1458" s="135">
        <f>_xlfn.XLOOKUP(Market_Data[[#This Row],[District]],tbl_district_price[District],tbl_district_price[Standard Price
(INR/m³)],"",0)</f>
        <v>6200</v>
      </c>
      <c r="N1458" s="364">
        <f>IF(OR(Market_Data[[#This Row],[Estimated Concrete Demand (m³)]]="",Market_Data[[#This Row],[Avg Price per (₹ / m³)]]=""),"",Market_Data[[#This Row],[Estimated Concrete Demand (m³)]]*Market_Data[[#This Row],[Avg Price per (₹ / m³)]]/10000000)</f>
        <v>1.7577</v>
      </c>
      <c r="O1458" s="97" t="str">
        <f>IF(Market_Data[[#This Row],[Estimated Concrete Demand (m³)]]="","",
IF(Market_Data[[#This Row],[Estimated Concrete Demand (m³)]]&lt;10000,"Small",
IF(Market_Data[[#This Row],[Estimated Concrete Demand (m³)]]&lt;25000,"Medium",
IF(Market_Data[[#This Row],[Estimated Concrete Demand (m³)]]&lt;100000,"Large","Mega"))))</f>
        <v>Small</v>
      </c>
      <c r="P1458" s="287" t="str">
        <f t="shared" si="24"/>
        <v>GujRERA</v>
      </c>
    </row>
    <row r="1459" spans="1:16">
      <c r="A1459" s="129" t="str">
        <f>_xlfn.XLOOKUP(B1459,$S$9:$S$14,$T$9:$T$14)&amp;"-"&amp;
IF(E1459="Residential/Group Housing","RES",
IF(E1459="Commercial","COM",
IF(E1459="Mixed Development","MIX",
IF(E1459="Plotted Development","PLT","OTH"))))
&amp;"-"&amp;TEXT(COUNTIFS($B$9:B1459,B1459,$E$9:E1459,E1459),"0000")</f>
        <v>SUR-PLT-0276</v>
      </c>
      <c r="B1459" s="322" t="s">
        <v>34</v>
      </c>
      <c r="C1459" s="322" t="s">
        <v>34</v>
      </c>
      <c r="D1459" s="323" t="s">
        <v>1649</v>
      </c>
      <c r="E1459" s="132" t="s">
        <v>26</v>
      </c>
      <c r="F1459" s="97" t="str">
        <f ca="1">IF(OR(Market_Data[[#This Row],[Start Date]]="",Market_Data[[#This Row],[Completion Date]]=""),"Needs Validation",IF(Market_Data[[#This Row],[Start Date]]&gt;TODAY(),"Planned",IF(Market_Data[[#This Row],[Completion Date]]&lt;TODAY(),"Completed","Ongoing")))</f>
        <v>Completed</v>
      </c>
      <c r="G1459" s="324">
        <v>44639</v>
      </c>
      <c r="H1459" s="324">
        <v>45657</v>
      </c>
      <c r="I1459" s="325">
        <v>18400</v>
      </c>
      <c r="J145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59" s="133">
        <f>_xlfn.XLOOKUP(Market_Data[[#This Row],[Project Type]],tbl_assumptions_market[Project Category (RERA)],tbl_assumptions_market[Concrete Intensity
(m³ / sq m BUA)],"",0)</f>
        <v>0.18</v>
      </c>
      <c r="L1459" s="134">
        <f>ROUND(Market_Data[[#This Row],[Estimated Built Up Area (sq m)]]*Market_Data[[#This Row],[Concrete Intensity
(m³ / sq m)]],0)</f>
        <v>3312</v>
      </c>
      <c r="M1459" s="135">
        <f>_xlfn.XLOOKUP(Market_Data[[#This Row],[District]],tbl_district_price[District],tbl_district_price[Standard Price
(INR/m³)],"",0)</f>
        <v>6200</v>
      </c>
      <c r="N1459" s="364">
        <f>IF(OR(Market_Data[[#This Row],[Estimated Concrete Demand (m³)]]="",Market_Data[[#This Row],[Avg Price per (₹ / m³)]]=""),"",Market_Data[[#This Row],[Estimated Concrete Demand (m³)]]*Market_Data[[#This Row],[Avg Price per (₹ / m³)]]/10000000)</f>
        <v>2.0534400000000002</v>
      </c>
      <c r="O1459" s="97" t="str">
        <f>IF(Market_Data[[#This Row],[Estimated Concrete Demand (m³)]]="","",
IF(Market_Data[[#This Row],[Estimated Concrete Demand (m³)]]&lt;10000,"Small",
IF(Market_Data[[#This Row],[Estimated Concrete Demand (m³)]]&lt;25000,"Medium",
IF(Market_Data[[#This Row],[Estimated Concrete Demand (m³)]]&lt;100000,"Large","Mega"))))</f>
        <v>Small</v>
      </c>
      <c r="P1459" s="287" t="str">
        <f t="shared" si="24"/>
        <v>GujRERA</v>
      </c>
    </row>
    <row r="1460" spans="1:16">
      <c r="A1460" s="129" t="str">
        <f>_xlfn.XLOOKUP(B1460,$S$9:$S$14,$T$9:$T$14)&amp;"-"&amp;
IF(E1460="Residential/Group Housing","RES",
IF(E1460="Commercial","COM",
IF(E1460="Mixed Development","MIX",
IF(E1460="Plotted Development","PLT","OTH"))))
&amp;"-"&amp;TEXT(COUNTIFS($B$9:B1460,B1460,$E$9:E1460,E1460),"0000")</f>
        <v>SUR-COM-0224</v>
      </c>
      <c r="B1460" s="322" t="s">
        <v>34</v>
      </c>
      <c r="C1460" s="322" t="s">
        <v>34</v>
      </c>
      <c r="D1460" s="323" t="s">
        <v>1650</v>
      </c>
      <c r="E1460" s="132" t="s">
        <v>23</v>
      </c>
      <c r="F1460" s="97" t="str">
        <f ca="1">IF(OR(Market_Data[[#This Row],[Start Date]]="",Market_Data[[#This Row],[Completion Date]]=""),"Needs Validation",IF(Market_Data[[#This Row],[Start Date]]&gt;TODAY(),"Planned",IF(Market_Data[[#This Row],[Completion Date]]&lt;TODAY(),"Completed","Ongoing")))</f>
        <v>Ongoing</v>
      </c>
      <c r="G1460" s="324">
        <v>45027</v>
      </c>
      <c r="H1460" s="324">
        <v>46387</v>
      </c>
      <c r="I1460" s="325">
        <v>48300</v>
      </c>
      <c r="J146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460" s="133">
        <f>_xlfn.XLOOKUP(Market_Data[[#This Row],[Project Type]],tbl_assumptions_market[Project Category (RERA)],tbl_assumptions_market[Concrete Intensity
(m³ / sq m BUA)],"",0)</f>
        <v>0.5</v>
      </c>
      <c r="L1460" s="134">
        <f>ROUND(Market_Data[[#This Row],[Estimated Built Up Area (sq m)]]*Market_Data[[#This Row],[Concrete Intensity
(m³ / sq m)]],0)</f>
        <v>24150</v>
      </c>
      <c r="M1460" s="135">
        <f>_xlfn.XLOOKUP(Market_Data[[#This Row],[District]],tbl_district_price[District],tbl_district_price[Standard Price
(INR/m³)],"",0)</f>
        <v>6200</v>
      </c>
      <c r="N1460" s="364">
        <f>IF(OR(Market_Data[[#This Row],[Estimated Concrete Demand (m³)]]="",Market_Data[[#This Row],[Avg Price per (₹ / m³)]]=""),"",Market_Data[[#This Row],[Estimated Concrete Demand (m³)]]*Market_Data[[#This Row],[Avg Price per (₹ / m³)]]/10000000)</f>
        <v>14.973000000000001</v>
      </c>
      <c r="O1460" s="97" t="str">
        <f>IF(Market_Data[[#This Row],[Estimated Concrete Demand (m³)]]="","",
IF(Market_Data[[#This Row],[Estimated Concrete Demand (m³)]]&lt;10000,"Small",
IF(Market_Data[[#This Row],[Estimated Concrete Demand (m³)]]&lt;25000,"Medium",
IF(Market_Data[[#This Row],[Estimated Concrete Demand (m³)]]&lt;100000,"Large","Mega"))))</f>
        <v>Medium</v>
      </c>
      <c r="P1460" s="287" t="str">
        <f t="shared" si="24"/>
        <v>GujRERA</v>
      </c>
    </row>
    <row r="1461" spans="1:16">
      <c r="A1461" s="129" t="str">
        <f>_xlfn.XLOOKUP(B1461,$S$9:$S$14,$T$9:$T$14)&amp;"-"&amp;
IF(E1461="Residential/Group Housing","RES",
IF(E1461="Commercial","COM",
IF(E1461="Mixed Development","MIX",
IF(E1461="Plotted Development","PLT","OTH"))))
&amp;"-"&amp;TEXT(COUNTIFS($B$9:B1461,B1461,$E$9:E1461,E1461),"0000")</f>
        <v>SUR-PLT-0277</v>
      </c>
      <c r="B1461" s="322" t="s">
        <v>34</v>
      </c>
      <c r="C1461" s="322" t="s">
        <v>34</v>
      </c>
      <c r="D1461" s="323" t="s">
        <v>1651</v>
      </c>
      <c r="E1461" s="132" t="s">
        <v>26</v>
      </c>
      <c r="F1461" s="97" t="str">
        <f ca="1">IF(OR(Market_Data[[#This Row],[Start Date]]="",Market_Data[[#This Row],[Completion Date]]=""),"Needs Validation",IF(Market_Data[[#This Row],[Start Date]]&gt;TODAY(),"Planned",IF(Market_Data[[#This Row],[Completion Date]]&lt;TODAY(),"Completed","Ongoing")))</f>
        <v>Ongoing</v>
      </c>
      <c r="G1461" s="324">
        <v>45045</v>
      </c>
      <c r="H1461" s="324">
        <v>46387</v>
      </c>
      <c r="I1461" s="325">
        <v>12700</v>
      </c>
      <c r="J146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61" s="133">
        <f>_xlfn.XLOOKUP(Market_Data[[#This Row],[Project Type]],tbl_assumptions_market[Project Category (RERA)],tbl_assumptions_market[Concrete Intensity
(m³ / sq m BUA)],"",0)</f>
        <v>0.18</v>
      </c>
      <c r="L1461" s="134">
        <f>ROUND(Market_Data[[#This Row],[Estimated Built Up Area (sq m)]]*Market_Data[[#This Row],[Concrete Intensity
(m³ / sq m)]],0)</f>
        <v>2286</v>
      </c>
      <c r="M1461" s="135">
        <f>_xlfn.XLOOKUP(Market_Data[[#This Row],[District]],tbl_district_price[District],tbl_district_price[Standard Price
(INR/m³)],"",0)</f>
        <v>6200</v>
      </c>
      <c r="N1461" s="364">
        <f>IF(OR(Market_Data[[#This Row],[Estimated Concrete Demand (m³)]]="",Market_Data[[#This Row],[Avg Price per (₹ / m³)]]=""),"",Market_Data[[#This Row],[Estimated Concrete Demand (m³)]]*Market_Data[[#This Row],[Avg Price per (₹ / m³)]]/10000000)</f>
        <v>1.4173199999999999</v>
      </c>
      <c r="O1461" s="97" t="str">
        <f>IF(Market_Data[[#This Row],[Estimated Concrete Demand (m³)]]="","",
IF(Market_Data[[#This Row],[Estimated Concrete Demand (m³)]]&lt;10000,"Small",
IF(Market_Data[[#This Row],[Estimated Concrete Demand (m³)]]&lt;25000,"Medium",
IF(Market_Data[[#This Row],[Estimated Concrete Demand (m³)]]&lt;100000,"Large","Mega"))))</f>
        <v>Small</v>
      </c>
      <c r="P1461" s="287" t="str">
        <f t="shared" si="24"/>
        <v>GujRERA</v>
      </c>
    </row>
    <row r="1462" spans="1:16">
      <c r="A1462" s="129" t="str">
        <f>_xlfn.XLOOKUP(B1462,$S$9:$S$14,$T$9:$T$14)&amp;"-"&amp;
IF(E1462="Residential/Group Housing","RES",
IF(E1462="Commercial","COM",
IF(E1462="Mixed Development","MIX",
IF(E1462="Plotted Development","PLT","OTH"))))
&amp;"-"&amp;TEXT(COUNTIFS($B$9:B1462,B1462,$E$9:E1462,E1462),"0000")</f>
        <v>SUR-COM-0225</v>
      </c>
      <c r="B1462" s="322" t="s">
        <v>34</v>
      </c>
      <c r="C1462" s="322" t="s">
        <v>34</v>
      </c>
      <c r="D1462" s="323" t="s">
        <v>1652</v>
      </c>
      <c r="E1462" s="132" t="s">
        <v>23</v>
      </c>
      <c r="F1462" s="97" t="str">
        <f ca="1">IF(OR(Market_Data[[#This Row],[Start Date]]="",Market_Data[[#This Row],[Completion Date]]=""),"Needs Validation",IF(Market_Data[[#This Row],[Start Date]]&gt;TODAY(),"Planned",IF(Market_Data[[#This Row],[Completion Date]]&lt;TODAY(),"Completed","Ongoing")))</f>
        <v>Ongoing</v>
      </c>
      <c r="G1462" s="324">
        <v>45514</v>
      </c>
      <c r="H1462" s="324">
        <v>47118</v>
      </c>
      <c r="I1462" s="325">
        <v>57800</v>
      </c>
      <c r="J146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462" s="133">
        <f>_xlfn.XLOOKUP(Market_Data[[#This Row],[Project Type]],tbl_assumptions_market[Project Category (RERA)],tbl_assumptions_market[Concrete Intensity
(m³ / sq m BUA)],"",0)</f>
        <v>0.5</v>
      </c>
      <c r="L1462" s="134">
        <f>ROUND(Market_Data[[#This Row],[Estimated Built Up Area (sq m)]]*Market_Data[[#This Row],[Concrete Intensity
(m³ / sq m)]],0)</f>
        <v>28900</v>
      </c>
      <c r="M1462" s="135">
        <f>_xlfn.XLOOKUP(Market_Data[[#This Row],[District]],tbl_district_price[District],tbl_district_price[Standard Price
(INR/m³)],"",0)</f>
        <v>6200</v>
      </c>
      <c r="N1462" s="364">
        <f>IF(OR(Market_Data[[#This Row],[Estimated Concrete Demand (m³)]]="",Market_Data[[#This Row],[Avg Price per (₹ / m³)]]=""),"",Market_Data[[#This Row],[Estimated Concrete Demand (m³)]]*Market_Data[[#This Row],[Avg Price per (₹ / m³)]]/10000000)</f>
        <v>17.917999999999999</v>
      </c>
      <c r="O1462" s="97" t="str">
        <f>IF(Market_Data[[#This Row],[Estimated Concrete Demand (m³)]]="","",
IF(Market_Data[[#This Row],[Estimated Concrete Demand (m³)]]&lt;10000,"Small",
IF(Market_Data[[#This Row],[Estimated Concrete Demand (m³)]]&lt;25000,"Medium",
IF(Market_Data[[#This Row],[Estimated Concrete Demand (m³)]]&lt;100000,"Large","Mega"))))</f>
        <v>Large</v>
      </c>
      <c r="P1462" s="287" t="str">
        <f t="shared" si="24"/>
        <v>GujRERA</v>
      </c>
    </row>
    <row r="1463" spans="1:16">
      <c r="A1463" s="129" t="str">
        <f>_xlfn.XLOOKUP(B1463,$S$9:$S$14,$T$9:$T$14)&amp;"-"&amp;
IF(E1463="Residential/Group Housing","RES",
IF(E1463="Commercial","COM",
IF(E1463="Mixed Development","MIX",
IF(E1463="Plotted Development","PLT","OTH"))))
&amp;"-"&amp;TEXT(COUNTIFS($B$9:B1463,B1463,$E$9:E1463,E1463),"0000")</f>
        <v>SUR-COM-0226</v>
      </c>
      <c r="B1463" s="322" t="s">
        <v>34</v>
      </c>
      <c r="C1463" s="322" t="s">
        <v>34</v>
      </c>
      <c r="D1463" s="323" t="s">
        <v>1653</v>
      </c>
      <c r="E1463" s="132" t="s">
        <v>23</v>
      </c>
      <c r="F1463" s="97" t="str">
        <f ca="1">IF(OR(Market_Data[[#This Row],[Start Date]]="",Market_Data[[#This Row],[Completion Date]]=""),"Needs Validation",IF(Market_Data[[#This Row],[Start Date]]&gt;TODAY(),"Planned",IF(Market_Data[[#This Row],[Completion Date]]&lt;TODAY(),"Completed","Ongoing")))</f>
        <v>Ongoing</v>
      </c>
      <c r="G1463" s="324">
        <v>44609</v>
      </c>
      <c r="H1463" s="324">
        <v>46387</v>
      </c>
      <c r="I1463" s="325">
        <v>39000</v>
      </c>
      <c r="J146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463" s="133">
        <f>_xlfn.XLOOKUP(Market_Data[[#This Row],[Project Type]],tbl_assumptions_market[Project Category (RERA)],tbl_assumptions_market[Concrete Intensity
(m³ / sq m BUA)],"",0)</f>
        <v>0.5</v>
      </c>
      <c r="L1463" s="134">
        <f>ROUND(Market_Data[[#This Row],[Estimated Built Up Area (sq m)]]*Market_Data[[#This Row],[Concrete Intensity
(m³ / sq m)]],0)</f>
        <v>19500</v>
      </c>
      <c r="M1463" s="135">
        <f>_xlfn.XLOOKUP(Market_Data[[#This Row],[District]],tbl_district_price[District],tbl_district_price[Standard Price
(INR/m³)],"",0)</f>
        <v>6200</v>
      </c>
      <c r="N1463" s="364">
        <f>IF(OR(Market_Data[[#This Row],[Estimated Concrete Demand (m³)]]="",Market_Data[[#This Row],[Avg Price per (₹ / m³)]]=""),"",Market_Data[[#This Row],[Estimated Concrete Demand (m³)]]*Market_Data[[#This Row],[Avg Price per (₹ / m³)]]/10000000)</f>
        <v>12.09</v>
      </c>
      <c r="O1463" s="97" t="str">
        <f>IF(Market_Data[[#This Row],[Estimated Concrete Demand (m³)]]="","",
IF(Market_Data[[#This Row],[Estimated Concrete Demand (m³)]]&lt;10000,"Small",
IF(Market_Data[[#This Row],[Estimated Concrete Demand (m³)]]&lt;25000,"Medium",
IF(Market_Data[[#This Row],[Estimated Concrete Demand (m³)]]&lt;100000,"Large","Mega"))))</f>
        <v>Medium</v>
      </c>
      <c r="P1463" s="287" t="str">
        <f t="shared" si="24"/>
        <v>GujRERA</v>
      </c>
    </row>
    <row r="1464" spans="1:16">
      <c r="A1464" s="129" t="str">
        <f>_xlfn.XLOOKUP(B1464,$S$9:$S$14,$T$9:$T$14)&amp;"-"&amp;
IF(E1464="Residential/Group Housing","RES",
IF(E1464="Commercial","COM",
IF(E1464="Mixed Development","MIX",
IF(E1464="Plotted Development","PLT","OTH"))))
&amp;"-"&amp;TEXT(COUNTIFS($B$9:B1464,B1464,$E$9:E1464,E1464),"0000")</f>
        <v>SUR-MIX-0213</v>
      </c>
      <c r="B1464" s="322" t="s">
        <v>34</v>
      </c>
      <c r="C1464" s="322" t="s">
        <v>34</v>
      </c>
      <c r="D1464" s="323" t="s">
        <v>1654</v>
      </c>
      <c r="E1464" s="132" t="s">
        <v>25</v>
      </c>
      <c r="F1464" s="97" t="str">
        <f ca="1">IF(OR(Market_Data[[#This Row],[Start Date]]="",Market_Data[[#This Row],[Completion Date]]=""),"Needs Validation",IF(Market_Data[[#This Row],[Start Date]]&gt;TODAY(),"Planned",IF(Market_Data[[#This Row],[Completion Date]]&lt;TODAY(),"Completed","Ongoing")))</f>
        <v>Ongoing</v>
      </c>
      <c r="G1464" s="324">
        <v>45996</v>
      </c>
      <c r="H1464" s="324">
        <v>47483</v>
      </c>
      <c r="I1464" s="325">
        <v>44000</v>
      </c>
      <c r="J146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64" s="133">
        <f>_xlfn.XLOOKUP(Market_Data[[#This Row],[Project Type]],tbl_assumptions_market[Project Category (RERA)],tbl_assumptions_market[Concrete Intensity
(m³ / sq m BUA)],"",0)</f>
        <v>0.42</v>
      </c>
      <c r="L1464" s="134">
        <f>ROUND(Market_Data[[#This Row],[Estimated Built Up Area (sq m)]]*Market_Data[[#This Row],[Concrete Intensity
(m³ / sq m)]],0)</f>
        <v>18480</v>
      </c>
      <c r="M1464" s="135">
        <f>_xlfn.XLOOKUP(Market_Data[[#This Row],[District]],tbl_district_price[District],tbl_district_price[Standard Price
(INR/m³)],"",0)</f>
        <v>6200</v>
      </c>
      <c r="N1464" s="364">
        <f>IF(OR(Market_Data[[#This Row],[Estimated Concrete Demand (m³)]]="",Market_Data[[#This Row],[Avg Price per (₹ / m³)]]=""),"",Market_Data[[#This Row],[Estimated Concrete Demand (m³)]]*Market_Data[[#This Row],[Avg Price per (₹ / m³)]]/10000000)</f>
        <v>11.457599999999999</v>
      </c>
      <c r="O1464" s="97" t="str">
        <f>IF(Market_Data[[#This Row],[Estimated Concrete Demand (m³)]]="","",
IF(Market_Data[[#This Row],[Estimated Concrete Demand (m³)]]&lt;10000,"Small",
IF(Market_Data[[#This Row],[Estimated Concrete Demand (m³)]]&lt;25000,"Medium",
IF(Market_Data[[#This Row],[Estimated Concrete Demand (m³)]]&lt;100000,"Large","Mega"))))</f>
        <v>Medium</v>
      </c>
      <c r="P1464" s="287" t="str">
        <f t="shared" si="24"/>
        <v>GujRERA</v>
      </c>
    </row>
    <row r="1465" spans="1:16">
      <c r="A1465" s="129" t="str">
        <f>_xlfn.XLOOKUP(B1465,$S$9:$S$14,$T$9:$T$14)&amp;"-"&amp;
IF(E1465="Residential/Group Housing","RES",
IF(E1465="Commercial","COM",
IF(E1465="Mixed Development","MIX",
IF(E1465="Plotted Development","PLT","OTH"))))
&amp;"-"&amp;TEXT(COUNTIFS($B$9:B1465,B1465,$E$9:E1465,E1465),"0000")</f>
        <v>SUR-PLT-0278</v>
      </c>
      <c r="B1465" s="322" t="s">
        <v>34</v>
      </c>
      <c r="C1465" s="322" t="s">
        <v>34</v>
      </c>
      <c r="D1465" s="323" t="s">
        <v>1655</v>
      </c>
      <c r="E1465" s="132" t="s">
        <v>26</v>
      </c>
      <c r="F1465" s="97" t="str">
        <f ca="1">IF(OR(Market_Data[[#This Row],[Start Date]]="",Market_Data[[#This Row],[Completion Date]]=""),"Needs Validation",IF(Market_Data[[#This Row],[Start Date]]&gt;TODAY(),"Planned",IF(Market_Data[[#This Row],[Completion Date]]&lt;TODAY(),"Completed","Ongoing")))</f>
        <v>Ongoing</v>
      </c>
      <c r="G1465" s="324">
        <v>45000</v>
      </c>
      <c r="H1465" s="324">
        <v>46387</v>
      </c>
      <c r="I1465" s="325">
        <v>54100</v>
      </c>
      <c r="J146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465" s="133">
        <f>_xlfn.XLOOKUP(Market_Data[[#This Row],[Project Type]],tbl_assumptions_market[Project Category (RERA)],tbl_assumptions_market[Concrete Intensity
(m³ / sq m BUA)],"",0)</f>
        <v>0.18</v>
      </c>
      <c r="L1465" s="134">
        <f>ROUND(Market_Data[[#This Row],[Estimated Built Up Area (sq m)]]*Market_Data[[#This Row],[Concrete Intensity
(m³ / sq m)]],0)</f>
        <v>9738</v>
      </c>
      <c r="M1465" s="135">
        <f>_xlfn.XLOOKUP(Market_Data[[#This Row],[District]],tbl_district_price[District],tbl_district_price[Standard Price
(INR/m³)],"",0)</f>
        <v>6200</v>
      </c>
      <c r="N1465" s="364">
        <f>IF(OR(Market_Data[[#This Row],[Estimated Concrete Demand (m³)]]="",Market_Data[[#This Row],[Avg Price per (₹ / m³)]]=""),"",Market_Data[[#This Row],[Estimated Concrete Demand (m³)]]*Market_Data[[#This Row],[Avg Price per (₹ / m³)]]/10000000)</f>
        <v>6.03756</v>
      </c>
      <c r="O1465" s="97" t="str">
        <f>IF(Market_Data[[#This Row],[Estimated Concrete Demand (m³)]]="","",
IF(Market_Data[[#This Row],[Estimated Concrete Demand (m³)]]&lt;10000,"Small",
IF(Market_Data[[#This Row],[Estimated Concrete Demand (m³)]]&lt;25000,"Medium",
IF(Market_Data[[#This Row],[Estimated Concrete Demand (m³)]]&lt;100000,"Large","Mega"))))</f>
        <v>Small</v>
      </c>
      <c r="P1465" s="287" t="str">
        <f t="shared" si="24"/>
        <v>GujRERA</v>
      </c>
    </row>
    <row r="1466" spans="1:16">
      <c r="A1466" s="129" t="str">
        <f>_xlfn.XLOOKUP(B1466,$S$9:$S$14,$T$9:$T$14)&amp;"-"&amp;
IF(E1466="Residential/Group Housing","RES",
IF(E1466="Commercial","COM",
IF(E1466="Mixed Development","MIX",
IF(E1466="Plotted Development","PLT","OTH"))))
&amp;"-"&amp;TEXT(COUNTIFS($B$9:B1466,B1466,$E$9:E1466,E1466),"0000")</f>
        <v>SUR-PLT-0279</v>
      </c>
      <c r="B1466" s="322" t="s">
        <v>34</v>
      </c>
      <c r="C1466" s="322" t="s">
        <v>34</v>
      </c>
      <c r="D1466" s="323" t="s">
        <v>1656</v>
      </c>
      <c r="E1466" s="132" t="s">
        <v>26</v>
      </c>
      <c r="F1466" s="97" t="str">
        <f ca="1">IF(OR(Market_Data[[#This Row],[Start Date]]="",Market_Data[[#This Row],[Completion Date]]=""),"Needs Validation",IF(Market_Data[[#This Row],[Start Date]]&gt;TODAY(),"Planned",IF(Market_Data[[#This Row],[Completion Date]]&lt;TODAY(),"Completed","Ongoing")))</f>
        <v>Ongoing</v>
      </c>
      <c r="G1466" s="324">
        <v>45321</v>
      </c>
      <c r="H1466" s="324">
        <v>46752</v>
      </c>
      <c r="I1466" s="325">
        <v>32400</v>
      </c>
      <c r="J146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466" s="133">
        <f>_xlfn.XLOOKUP(Market_Data[[#This Row],[Project Type]],tbl_assumptions_market[Project Category (RERA)],tbl_assumptions_market[Concrete Intensity
(m³ / sq m BUA)],"",0)</f>
        <v>0.18</v>
      </c>
      <c r="L1466" s="134">
        <f>ROUND(Market_Data[[#This Row],[Estimated Built Up Area (sq m)]]*Market_Data[[#This Row],[Concrete Intensity
(m³ / sq m)]],0)</f>
        <v>5832</v>
      </c>
      <c r="M1466" s="135">
        <f>_xlfn.XLOOKUP(Market_Data[[#This Row],[District]],tbl_district_price[District],tbl_district_price[Standard Price
(INR/m³)],"",0)</f>
        <v>6200</v>
      </c>
      <c r="N1466" s="364">
        <f>IF(OR(Market_Data[[#This Row],[Estimated Concrete Demand (m³)]]="",Market_Data[[#This Row],[Avg Price per (₹ / m³)]]=""),"",Market_Data[[#This Row],[Estimated Concrete Demand (m³)]]*Market_Data[[#This Row],[Avg Price per (₹ / m³)]]/10000000)</f>
        <v>3.6158399999999999</v>
      </c>
      <c r="O1466" s="97" t="str">
        <f>IF(Market_Data[[#This Row],[Estimated Concrete Demand (m³)]]="","",
IF(Market_Data[[#This Row],[Estimated Concrete Demand (m³)]]&lt;10000,"Small",
IF(Market_Data[[#This Row],[Estimated Concrete Demand (m³)]]&lt;25000,"Medium",
IF(Market_Data[[#This Row],[Estimated Concrete Demand (m³)]]&lt;100000,"Large","Mega"))))</f>
        <v>Small</v>
      </c>
      <c r="P1466" s="287" t="str">
        <f t="shared" si="24"/>
        <v>GujRERA</v>
      </c>
    </row>
    <row r="1467" spans="1:16">
      <c r="A1467" s="129" t="str">
        <f>_xlfn.XLOOKUP(B1467,$S$9:$S$14,$T$9:$T$14)&amp;"-"&amp;
IF(E1467="Residential/Group Housing","RES",
IF(E1467="Commercial","COM",
IF(E1467="Mixed Development","MIX",
IF(E1467="Plotted Development","PLT","OTH"))))
&amp;"-"&amp;TEXT(COUNTIFS($B$9:B1467,B1467,$E$9:E1467,E1467),"0000")</f>
        <v>SUR-COM-0227</v>
      </c>
      <c r="B1467" s="322" t="s">
        <v>34</v>
      </c>
      <c r="C1467" s="322" t="s">
        <v>34</v>
      </c>
      <c r="D1467" s="323" t="s">
        <v>1657</v>
      </c>
      <c r="E1467" s="132" t="s">
        <v>23</v>
      </c>
      <c r="F1467" s="97" t="str">
        <f ca="1">IF(OR(Market_Data[[#This Row],[Start Date]]="",Market_Data[[#This Row],[Completion Date]]=""),"Needs Validation",IF(Market_Data[[#This Row],[Start Date]]&gt;TODAY(),"Planned",IF(Market_Data[[#This Row],[Completion Date]]&lt;TODAY(),"Completed","Ongoing")))</f>
        <v>Ongoing</v>
      </c>
      <c r="G1467" s="324">
        <v>45911</v>
      </c>
      <c r="H1467" s="324">
        <v>48213</v>
      </c>
      <c r="I1467" s="325">
        <v>21300</v>
      </c>
      <c r="J146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467" s="133">
        <f>_xlfn.XLOOKUP(Market_Data[[#This Row],[Project Type]],tbl_assumptions_market[Project Category (RERA)],tbl_assumptions_market[Concrete Intensity
(m³ / sq m BUA)],"",0)</f>
        <v>0.5</v>
      </c>
      <c r="L1467" s="134">
        <f>ROUND(Market_Data[[#This Row],[Estimated Built Up Area (sq m)]]*Market_Data[[#This Row],[Concrete Intensity
(m³ / sq m)]],0)</f>
        <v>10650</v>
      </c>
      <c r="M1467" s="135">
        <f>_xlfn.XLOOKUP(Market_Data[[#This Row],[District]],tbl_district_price[District],tbl_district_price[Standard Price
(INR/m³)],"",0)</f>
        <v>6200</v>
      </c>
      <c r="N1467" s="364">
        <f>IF(OR(Market_Data[[#This Row],[Estimated Concrete Demand (m³)]]="",Market_Data[[#This Row],[Avg Price per (₹ / m³)]]=""),"",Market_Data[[#This Row],[Estimated Concrete Demand (m³)]]*Market_Data[[#This Row],[Avg Price per (₹ / m³)]]/10000000)</f>
        <v>6.6029999999999998</v>
      </c>
      <c r="O1467" s="97" t="str">
        <f>IF(Market_Data[[#This Row],[Estimated Concrete Demand (m³)]]="","",
IF(Market_Data[[#This Row],[Estimated Concrete Demand (m³)]]&lt;10000,"Small",
IF(Market_Data[[#This Row],[Estimated Concrete Demand (m³)]]&lt;25000,"Medium",
IF(Market_Data[[#This Row],[Estimated Concrete Demand (m³)]]&lt;100000,"Large","Mega"))))</f>
        <v>Medium</v>
      </c>
      <c r="P1467" s="287" t="str">
        <f t="shared" si="24"/>
        <v>GujRERA</v>
      </c>
    </row>
    <row r="1468" spans="1:16">
      <c r="A1468" s="129" t="str">
        <f>_xlfn.XLOOKUP(B1468,$S$9:$S$14,$T$9:$T$14)&amp;"-"&amp;
IF(E1468="Residential/Group Housing","RES",
IF(E1468="Commercial","COM",
IF(E1468="Mixed Development","MIX",
IF(E1468="Plotted Development","PLT","OTH"))))
&amp;"-"&amp;TEXT(COUNTIFS($B$9:B1468,B1468,$E$9:E1468,E1468),"0000")</f>
        <v>SUR-COM-0228</v>
      </c>
      <c r="B1468" s="322" t="s">
        <v>34</v>
      </c>
      <c r="C1468" s="322" t="s">
        <v>34</v>
      </c>
      <c r="D1468" s="323" t="s">
        <v>1658</v>
      </c>
      <c r="E1468" s="132" t="s">
        <v>23</v>
      </c>
      <c r="F1468" s="97" t="str">
        <f ca="1">IF(OR(Market_Data[[#This Row],[Start Date]]="",Market_Data[[#This Row],[Completion Date]]=""),"Needs Validation",IF(Market_Data[[#This Row],[Start Date]]&gt;TODAY(),"Planned",IF(Market_Data[[#This Row],[Completion Date]]&lt;TODAY(),"Completed","Ongoing")))</f>
        <v>Ongoing</v>
      </c>
      <c r="G1468" s="324">
        <v>45240</v>
      </c>
      <c r="H1468" s="324">
        <v>47118</v>
      </c>
      <c r="I1468" s="325">
        <v>56300</v>
      </c>
      <c r="J146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468" s="133">
        <f>_xlfn.XLOOKUP(Market_Data[[#This Row],[Project Type]],tbl_assumptions_market[Project Category (RERA)],tbl_assumptions_market[Concrete Intensity
(m³ / sq m BUA)],"",0)</f>
        <v>0.5</v>
      </c>
      <c r="L1468" s="134">
        <f>ROUND(Market_Data[[#This Row],[Estimated Built Up Area (sq m)]]*Market_Data[[#This Row],[Concrete Intensity
(m³ / sq m)]],0)</f>
        <v>28150</v>
      </c>
      <c r="M1468" s="135">
        <f>_xlfn.XLOOKUP(Market_Data[[#This Row],[District]],tbl_district_price[District],tbl_district_price[Standard Price
(INR/m³)],"",0)</f>
        <v>6200</v>
      </c>
      <c r="N1468" s="364">
        <f>IF(OR(Market_Data[[#This Row],[Estimated Concrete Demand (m³)]]="",Market_Data[[#This Row],[Avg Price per (₹ / m³)]]=""),"",Market_Data[[#This Row],[Estimated Concrete Demand (m³)]]*Market_Data[[#This Row],[Avg Price per (₹ / m³)]]/10000000)</f>
        <v>17.452999999999999</v>
      </c>
      <c r="O1468" s="97" t="str">
        <f>IF(Market_Data[[#This Row],[Estimated Concrete Demand (m³)]]="","",
IF(Market_Data[[#This Row],[Estimated Concrete Demand (m³)]]&lt;10000,"Small",
IF(Market_Data[[#This Row],[Estimated Concrete Demand (m³)]]&lt;25000,"Medium",
IF(Market_Data[[#This Row],[Estimated Concrete Demand (m³)]]&lt;100000,"Large","Mega"))))</f>
        <v>Large</v>
      </c>
      <c r="P1468" s="287" t="str">
        <f t="shared" si="24"/>
        <v>GujRERA</v>
      </c>
    </row>
    <row r="1469" spans="1:16">
      <c r="A1469" s="129" t="str">
        <f>_xlfn.XLOOKUP(B1469,$S$9:$S$14,$T$9:$T$14)&amp;"-"&amp;
IF(E1469="Residential/Group Housing","RES",
IF(E1469="Commercial","COM",
IF(E1469="Mixed Development","MIX",
IF(E1469="Plotted Development","PLT","OTH"))))
&amp;"-"&amp;TEXT(COUNTIFS($B$9:B1469,B1469,$E$9:E1469,E1469),"0000")</f>
        <v>SUR-PLT-0280</v>
      </c>
      <c r="B1469" s="322" t="s">
        <v>34</v>
      </c>
      <c r="C1469" s="322" t="s">
        <v>34</v>
      </c>
      <c r="D1469" s="323" t="s">
        <v>1659</v>
      </c>
      <c r="E1469" s="132" t="s">
        <v>26</v>
      </c>
      <c r="F1469" s="97" t="str">
        <f ca="1">IF(OR(Market_Data[[#This Row],[Start Date]]="",Market_Data[[#This Row],[Completion Date]]=""),"Needs Validation",IF(Market_Data[[#This Row],[Start Date]]&gt;TODAY(),"Planned",IF(Market_Data[[#This Row],[Completion Date]]&lt;TODAY(),"Completed","Ongoing")))</f>
        <v>Ongoing</v>
      </c>
      <c r="G1469" s="324">
        <v>45063</v>
      </c>
      <c r="H1469" s="324">
        <v>46387</v>
      </c>
      <c r="I1469" s="325">
        <v>45600</v>
      </c>
      <c r="J146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469" s="133">
        <f>_xlfn.XLOOKUP(Market_Data[[#This Row],[Project Type]],tbl_assumptions_market[Project Category (RERA)],tbl_assumptions_market[Concrete Intensity
(m³ / sq m BUA)],"",0)</f>
        <v>0.18</v>
      </c>
      <c r="L1469" s="134">
        <f>ROUND(Market_Data[[#This Row],[Estimated Built Up Area (sq m)]]*Market_Data[[#This Row],[Concrete Intensity
(m³ / sq m)]],0)</f>
        <v>8208</v>
      </c>
      <c r="M1469" s="135">
        <f>_xlfn.XLOOKUP(Market_Data[[#This Row],[District]],tbl_district_price[District],tbl_district_price[Standard Price
(INR/m³)],"",0)</f>
        <v>6200</v>
      </c>
      <c r="N1469" s="364">
        <f>IF(OR(Market_Data[[#This Row],[Estimated Concrete Demand (m³)]]="",Market_Data[[#This Row],[Avg Price per (₹ / m³)]]=""),"",Market_Data[[#This Row],[Estimated Concrete Demand (m³)]]*Market_Data[[#This Row],[Avg Price per (₹ / m³)]]/10000000)</f>
        <v>5.0889600000000002</v>
      </c>
      <c r="O1469" s="97" t="str">
        <f>IF(Market_Data[[#This Row],[Estimated Concrete Demand (m³)]]="","",
IF(Market_Data[[#This Row],[Estimated Concrete Demand (m³)]]&lt;10000,"Small",
IF(Market_Data[[#This Row],[Estimated Concrete Demand (m³)]]&lt;25000,"Medium",
IF(Market_Data[[#This Row],[Estimated Concrete Demand (m³)]]&lt;100000,"Large","Mega"))))</f>
        <v>Small</v>
      </c>
      <c r="P1469" s="287" t="str">
        <f t="shared" si="24"/>
        <v>GujRERA</v>
      </c>
    </row>
    <row r="1470" spans="1:16">
      <c r="A1470" s="129" t="str">
        <f>_xlfn.XLOOKUP(B1470,$S$9:$S$14,$T$9:$T$14)&amp;"-"&amp;
IF(E1470="Residential/Group Housing","RES",
IF(E1470="Commercial","COM",
IF(E1470="Mixed Development","MIX",
IF(E1470="Plotted Development","PLT","OTH"))))
&amp;"-"&amp;TEXT(COUNTIFS($B$9:B1470,B1470,$E$9:E1470,E1470),"0000")</f>
        <v>SUR-PLT-0281</v>
      </c>
      <c r="B1470" s="322" t="s">
        <v>34</v>
      </c>
      <c r="C1470" s="322" t="s">
        <v>34</v>
      </c>
      <c r="D1470" s="323" t="s">
        <v>1660</v>
      </c>
      <c r="E1470" s="132" t="s">
        <v>26</v>
      </c>
      <c r="F1470" s="97" t="str">
        <f ca="1">IF(OR(Market_Data[[#This Row],[Start Date]]="",Market_Data[[#This Row],[Completion Date]]=""),"Needs Validation",IF(Market_Data[[#This Row],[Start Date]]&gt;TODAY(),"Planned",IF(Market_Data[[#This Row],[Completion Date]]&lt;TODAY(),"Completed","Ongoing")))</f>
        <v>Ongoing</v>
      </c>
      <c r="G1470" s="324">
        <v>45917</v>
      </c>
      <c r="H1470" s="324">
        <v>47483</v>
      </c>
      <c r="I1470" s="325">
        <v>30200</v>
      </c>
      <c r="J147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470" s="133">
        <f>_xlfn.XLOOKUP(Market_Data[[#This Row],[Project Type]],tbl_assumptions_market[Project Category (RERA)],tbl_assumptions_market[Concrete Intensity
(m³ / sq m BUA)],"",0)</f>
        <v>0.18</v>
      </c>
      <c r="L1470" s="134">
        <f>ROUND(Market_Data[[#This Row],[Estimated Built Up Area (sq m)]]*Market_Data[[#This Row],[Concrete Intensity
(m³ / sq m)]],0)</f>
        <v>5436</v>
      </c>
      <c r="M1470" s="135">
        <f>_xlfn.XLOOKUP(Market_Data[[#This Row],[District]],tbl_district_price[District],tbl_district_price[Standard Price
(INR/m³)],"",0)</f>
        <v>6200</v>
      </c>
      <c r="N1470" s="364">
        <f>IF(OR(Market_Data[[#This Row],[Estimated Concrete Demand (m³)]]="",Market_Data[[#This Row],[Avg Price per (₹ / m³)]]=""),"",Market_Data[[#This Row],[Estimated Concrete Demand (m³)]]*Market_Data[[#This Row],[Avg Price per (₹ / m³)]]/10000000)</f>
        <v>3.37032</v>
      </c>
      <c r="O1470" s="97" t="str">
        <f>IF(Market_Data[[#This Row],[Estimated Concrete Demand (m³)]]="","",
IF(Market_Data[[#This Row],[Estimated Concrete Demand (m³)]]&lt;10000,"Small",
IF(Market_Data[[#This Row],[Estimated Concrete Demand (m³)]]&lt;25000,"Medium",
IF(Market_Data[[#This Row],[Estimated Concrete Demand (m³)]]&lt;100000,"Large","Mega"))))</f>
        <v>Small</v>
      </c>
      <c r="P1470" s="287" t="str">
        <f t="shared" si="24"/>
        <v>GujRERA</v>
      </c>
    </row>
    <row r="1471" spans="1:16">
      <c r="A1471" s="129" t="str">
        <f>_xlfn.XLOOKUP(B1471,$S$9:$S$14,$T$9:$T$14)&amp;"-"&amp;
IF(E1471="Residential/Group Housing","RES",
IF(E1471="Commercial","COM",
IF(E1471="Mixed Development","MIX",
IF(E1471="Plotted Development","PLT","OTH"))))
&amp;"-"&amp;TEXT(COUNTIFS($B$9:B1471,B1471,$E$9:E1471,E1471),"0000")</f>
        <v>SUR-PLT-0282</v>
      </c>
      <c r="B1471" s="322" t="s">
        <v>34</v>
      </c>
      <c r="C1471" s="322" t="s">
        <v>34</v>
      </c>
      <c r="D1471" s="323" t="s">
        <v>1661</v>
      </c>
      <c r="E1471" s="132" t="s">
        <v>26</v>
      </c>
      <c r="F1471" s="97" t="str">
        <f ca="1">IF(OR(Market_Data[[#This Row],[Start Date]]="",Market_Data[[#This Row],[Completion Date]]=""),"Needs Validation",IF(Market_Data[[#This Row],[Start Date]]&gt;TODAY(),"Planned",IF(Market_Data[[#This Row],[Completion Date]]&lt;TODAY(),"Completed","Ongoing")))</f>
        <v>Completed</v>
      </c>
      <c r="G1471" s="324">
        <v>44680</v>
      </c>
      <c r="H1471" s="324">
        <v>45657</v>
      </c>
      <c r="I1471" s="325">
        <v>5900</v>
      </c>
      <c r="J147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71" s="133">
        <f>_xlfn.XLOOKUP(Market_Data[[#This Row],[Project Type]],tbl_assumptions_market[Project Category (RERA)],tbl_assumptions_market[Concrete Intensity
(m³ / sq m BUA)],"",0)</f>
        <v>0.18</v>
      </c>
      <c r="L1471" s="134">
        <f>ROUND(Market_Data[[#This Row],[Estimated Built Up Area (sq m)]]*Market_Data[[#This Row],[Concrete Intensity
(m³ / sq m)]],0)</f>
        <v>1062</v>
      </c>
      <c r="M1471" s="135">
        <f>_xlfn.XLOOKUP(Market_Data[[#This Row],[District]],tbl_district_price[District],tbl_district_price[Standard Price
(INR/m³)],"",0)</f>
        <v>6200</v>
      </c>
      <c r="N1471" s="364">
        <f>IF(OR(Market_Data[[#This Row],[Estimated Concrete Demand (m³)]]="",Market_Data[[#This Row],[Avg Price per (₹ / m³)]]=""),"",Market_Data[[#This Row],[Estimated Concrete Demand (m³)]]*Market_Data[[#This Row],[Avg Price per (₹ / m³)]]/10000000)</f>
        <v>0.65844000000000003</v>
      </c>
      <c r="O1471" s="97" t="str">
        <f>IF(Market_Data[[#This Row],[Estimated Concrete Demand (m³)]]="","",
IF(Market_Data[[#This Row],[Estimated Concrete Demand (m³)]]&lt;10000,"Small",
IF(Market_Data[[#This Row],[Estimated Concrete Demand (m³)]]&lt;25000,"Medium",
IF(Market_Data[[#This Row],[Estimated Concrete Demand (m³)]]&lt;100000,"Large","Mega"))))</f>
        <v>Small</v>
      </c>
      <c r="P1471" s="287" t="str">
        <f t="shared" si="24"/>
        <v>GujRERA</v>
      </c>
    </row>
    <row r="1472" spans="1:16">
      <c r="A1472" s="129" t="str">
        <f>_xlfn.XLOOKUP(B1472,$S$9:$S$14,$T$9:$T$14)&amp;"-"&amp;
IF(E1472="Residential/Group Housing","RES",
IF(E1472="Commercial","COM",
IF(E1472="Mixed Development","MIX",
IF(E1472="Plotted Development","PLT","OTH"))))
&amp;"-"&amp;TEXT(COUNTIFS($B$9:B1472,B1472,$E$9:E1472,E1472),"0000")</f>
        <v>SUR-RES-0431</v>
      </c>
      <c r="B1472" s="322" t="s">
        <v>34</v>
      </c>
      <c r="C1472" s="322" t="s">
        <v>34</v>
      </c>
      <c r="D1472" s="323" t="s">
        <v>1662</v>
      </c>
      <c r="E1472" s="132" t="s">
        <v>24</v>
      </c>
      <c r="F1472" s="97" t="str">
        <f ca="1">IF(OR(Market_Data[[#This Row],[Start Date]]="",Market_Data[[#This Row],[Completion Date]]=""),"Needs Validation",IF(Market_Data[[#This Row],[Start Date]]&gt;TODAY(),"Planned",IF(Market_Data[[#This Row],[Completion Date]]&lt;TODAY(),"Completed","Ongoing")))</f>
        <v>Completed</v>
      </c>
      <c r="G1472" s="324">
        <v>42217</v>
      </c>
      <c r="H1472" s="324">
        <v>43279</v>
      </c>
      <c r="I1472" s="325">
        <v>41700</v>
      </c>
      <c r="J147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72" s="133">
        <f>_xlfn.XLOOKUP(Market_Data[[#This Row],[Project Type]],tbl_assumptions_market[Project Category (RERA)],tbl_assumptions_market[Concrete Intensity
(m³ / sq m BUA)],"",0)</f>
        <v>0.45</v>
      </c>
      <c r="L1472" s="134">
        <f>ROUND(Market_Data[[#This Row],[Estimated Built Up Area (sq m)]]*Market_Data[[#This Row],[Concrete Intensity
(m³ / sq m)]],0)</f>
        <v>18765</v>
      </c>
      <c r="M1472" s="135">
        <f>_xlfn.XLOOKUP(Market_Data[[#This Row],[District]],tbl_district_price[District],tbl_district_price[Standard Price
(INR/m³)],"",0)</f>
        <v>6200</v>
      </c>
      <c r="N1472" s="364">
        <f>IF(OR(Market_Data[[#This Row],[Estimated Concrete Demand (m³)]]="",Market_Data[[#This Row],[Avg Price per (₹ / m³)]]=""),"",Market_Data[[#This Row],[Estimated Concrete Demand (m³)]]*Market_Data[[#This Row],[Avg Price per (₹ / m³)]]/10000000)</f>
        <v>11.6343</v>
      </c>
      <c r="O1472" s="97" t="str">
        <f>IF(Market_Data[[#This Row],[Estimated Concrete Demand (m³)]]="","",
IF(Market_Data[[#This Row],[Estimated Concrete Demand (m³)]]&lt;10000,"Small",
IF(Market_Data[[#This Row],[Estimated Concrete Demand (m³)]]&lt;25000,"Medium",
IF(Market_Data[[#This Row],[Estimated Concrete Demand (m³)]]&lt;100000,"Large","Mega"))))</f>
        <v>Medium</v>
      </c>
      <c r="P1472" s="287" t="str">
        <f t="shared" si="24"/>
        <v>GujRERA</v>
      </c>
    </row>
    <row r="1473" spans="1:16">
      <c r="A1473" s="129" t="str">
        <f>_xlfn.XLOOKUP(B1473,$S$9:$S$14,$T$9:$T$14)&amp;"-"&amp;
IF(E1473="Residential/Group Housing","RES",
IF(E1473="Commercial","COM",
IF(E1473="Mixed Development","MIX",
IF(E1473="Plotted Development","PLT","OTH"))))
&amp;"-"&amp;TEXT(COUNTIFS($B$9:B1473,B1473,$E$9:E1473,E1473),"0000")</f>
        <v>SUR-MIX-0214</v>
      </c>
      <c r="B1473" s="322" t="s">
        <v>34</v>
      </c>
      <c r="C1473" s="322" t="s">
        <v>34</v>
      </c>
      <c r="D1473" s="323" t="s">
        <v>1663</v>
      </c>
      <c r="E1473" s="132" t="s">
        <v>25</v>
      </c>
      <c r="F1473" s="97" t="str">
        <f ca="1">IF(OR(Market_Data[[#This Row],[Start Date]]="",Market_Data[[#This Row],[Completion Date]]=""),"Needs Validation",IF(Market_Data[[#This Row],[Start Date]]&gt;TODAY(),"Planned",IF(Market_Data[[#This Row],[Completion Date]]&lt;TODAY(),"Completed","Ongoing")))</f>
        <v>Completed</v>
      </c>
      <c r="G1473" s="324">
        <v>42375</v>
      </c>
      <c r="H1473" s="324">
        <v>44317</v>
      </c>
      <c r="I1473" s="325">
        <v>5200</v>
      </c>
      <c r="J147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473" s="133">
        <f>_xlfn.XLOOKUP(Market_Data[[#This Row],[Project Type]],tbl_assumptions_market[Project Category (RERA)],tbl_assumptions_market[Concrete Intensity
(m³ / sq m BUA)],"",0)</f>
        <v>0.42</v>
      </c>
      <c r="L1473" s="134">
        <f>ROUND(Market_Data[[#This Row],[Estimated Built Up Area (sq m)]]*Market_Data[[#This Row],[Concrete Intensity
(m³ / sq m)]],0)</f>
        <v>2184</v>
      </c>
      <c r="M1473" s="135">
        <f>_xlfn.XLOOKUP(Market_Data[[#This Row],[District]],tbl_district_price[District],tbl_district_price[Standard Price
(INR/m³)],"",0)</f>
        <v>6200</v>
      </c>
      <c r="N1473" s="364">
        <f>IF(OR(Market_Data[[#This Row],[Estimated Concrete Demand (m³)]]="",Market_Data[[#This Row],[Avg Price per (₹ / m³)]]=""),"",Market_Data[[#This Row],[Estimated Concrete Demand (m³)]]*Market_Data[[#This Row],[Avg Price per (₹ / m³)]]/10000000)</f>
        <v>1.35408</v>
      </c>
      <c r="O1473" s="97" t="str">
        <f>IF(Market_Data[[#This Row],[Estimated Concrete Demand (m³)]]="","",
IF(Market_Data[[#This Row],[Estimated Concrete Demand (m³)]]&lt;10000,"Small",
IF(Market_Data[[#This Row],[Estimated Concrete Demand (m³)]]&lt;25000,"Medium",
IF(Market_Data[[#This Row],[Estimated Concrete Demand (m³)]]&lt;100000,"Large","Mega"))))</f>
        <v>Small</v>
      </c>
      <c r="P1473" s="287" t="str">
        <f t="shared" si="24"/>
        <v>GujRERA</v>
      </c>
    </row>
    <row r="1474" spans="1:16">
      <c r="A1474" s="129" t="str">
        <f>_xlfn.XLOOKUP(B1474,$S$9:$S$14,$T$9:$T$14)&amp;"-"&amp;
IF(E1474="Residential/Group Housing","RES",
IF(E1474="Commercial","COM",
IF(E1474="Mixed Development","MIX",
IF(E1474="Plotted Development","PLT","OTH"))))
&amp;"-"&amp;TEXT(COUNTIFS($B$9:B1474,B1474,$E$9:E1474,E1474),"0000")</f>
        <v>SUR-RES-0432</v>
      </c>
      <c r="B1474" s="322" t="s">
        <v>34</v>
      </c>
      <c r="C1474" s="322" t="s">
        <v>34</v>
      </c>
      <c r="D1474" s="323" t="s">
        <v>1664</v>
      </c>
      <c r="E1474" s="132" t="s">
        <v>24</v>
      </c>
      <c r="F1474" s="97" t="str">
        <f ca="1">IF(OR(Market_Data[[#This Row],[Start Date]]="",Market_Data[[#This Row],[Completion Date]]=""),"Needs Validation",IF(Market_Data[[#This Row],[Start Date]]&gt;TODAY(),"Planned",IF(Market_Data[[#This Row],[Completion Date]]&lt;TODAY(),"Completed","Ongoing")))</f>
        <v>Ongoing</v>
      </c>
      <c r="G1474" s="324">
        <v>45731</v>
      </c>
      <c r="H1474" s="324">
        <v>48213</v>
      </c>
      <c r="I1474" s="325">
        <v>57400</v>
      </c>
      <c r="J147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74" s="133">
        <f>_xlfn.XLOOKUP(Market_Data[[#This Row],[Project Type]],tbl_assumptions_market[Project Category (RERA)],tbl_assumptions_market[Concrete Intensity
(m³ / sq m BUA)],"",0)</f>
        <v>0.45</v>
      </c>
      <c r="L1474" s="134">
        <f>ROUND(Market_Data[[#This Row],[Estimated Built Up Area (sq m)]]*Market_Data[[#This Row],[Concrete Intensity
(m³ / sq m)]],0)</f>
        <v>25830</v>
      </c>
      <c r="M1474" s="135">
        <f>_xlfn.XLOOKUP(Market_Data[[#This Row],[District]],tbl_district_price[District],tbl_district_price[Standard Price
(INR/m³)],"",0)</f>
        <v>6200</v>
      </c>
      <c r="N1474" s="364">
        <f>IF(OR(Market_Data[[#This Row],[Estimated Concrete Demand (m³)]]="",Market_Data[[#This Row],[Avg Price per (₹ / m³)]]=""),"",Market_Data[[#This Row],[Estimated Concrete Demand (m³)]]*Market_Data[[#This Row],[Avg Price per (₹ / m³)]]/10000000)</f>
        <v>16.014600000000002</v>
      </c>
      <c r="O1474" s="97" t="str">
        <f>IF(Market_Data[[#This Row],[Estimated Concrete Demand (m³)]]="","",
IF(Market_Data[[#This Row],[Estimated Concrete Demand (m³)]]&lt;10000,"Small",
IF(Market_Data[[#This Row],[Estimated Concrete Demand (m³)]]&lt;25000,"Medium",
IF(Market_Data[[#This Row],[Estimated Concrete Demand (m³)]]&lt;100000,"Large","Mega"))))</f>
        <v>Large</v>
      </c>
      <c r="P1474" s="287" t="str">
        <f t="shared" si="24"/>
        <v>GujRERA</v>
      </c>
    </row>
    <row r="1475" spans="1:16">
      <c r="A1475" s="129" t="str">
        <f>_xlfn.XLOOKUP(B1475,$S$9:$S$14,$T$9:$T$14)&amp;"-"&amp;
IF(E1475="Residential/Group Housing","RES",
IF(E1475="Commercial","COM",
IF(E1475="Mixed Development","MIX",
IF(E1475="Plotted Development","PLT","OTH"))))
&amp;"-"&amp;TEXT(COUNTIFS($B$9:B1475,B1475,$E$9:E1475,E1475),"0000")</f>
        <v>SUR-RES-0433</v>
      </c>
      <c r="B1475" s="322" t="s">
        <v>34</v>
      </c>
      <c r="C1475" s="322" t="s">
        <v>34</v>
      </c>
      <c r="D1475" s="323" t="s">
        <v>1665</v>
      </c>
      <c r="E1475" s="132" t="s">
        <v>24</v>
      </c>
      <c r="F1475" s="97" t="str">
        <f ca="1">IF(OR(Market_Data[[#This Row],[Start Date]]="",Market_Data[[#This Row],[Completion Date]]=""),"Needs Validation",IF(Market_Data[[#This Row],[Start Date]]&gt;TODAY(),"Planned",IF(Market_Data[[#This Row],[Completion Date]]&lt;TODAY(),"Completed","Ongoing")))</f>
        <v>Ongoing</v>
      </c>
      <c r="G1475" s="324">
        <v>45034</v>
      </c>
      <c r="H1475" s="324">
        <v>46843</v>
      </c>
      <c r="I1475" s="325">
        <v>24200</v>
      </c>
      <c r="J147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75" s="133">
        <f>_xlfn.XLOOKUP(Market_Data[[#This Row],[Project Type]],tbl_assumptions_market[Project Category (RERA)],tbl_assumptions_market[Concrete Intensity
(m³ / sq m BUA)],"",0)</f>
        <v>0.45</v>
      </c>
      <c r="L1475" s="134">
        <f>ROUND(Market_Data[[#This Row],[Estimated Built Up Area (sq m)]]*Market_Data[[#This Row],[Concrete Intensity
(m³ / sq m)]],0)</f>
        <v>10890</v>
      </c>
      <c r="M1475" s="135">
        <f>_xlfn.XLOOKUP(Market_Data[[#This Row],[District]],tbl_district_price[District],tbl_district_price[Standard Price
(INR/m³)],"",0)</f>
        <v>6200</v>
      </c>
      <c r="N1475" s="364">
        <f>IF(OR(Market_Data[[#This Row],[Estimated Concrete Demand (m³)]]="",Market_Data[[#This Row],[Avg Price per (₹ / m³)]]=""),"",Market_Data[[#This Row],[Estimated Concrete Demand (m³)]]*Market_Data[[#This Row],[Avg Price per (₹ / m³)]]/10000000)</f>
        <v>6.7518000000000002</v>
      </c>
      <c r="O1475" s="97" t="str">
        <f>IF(Market_Data[[#This Row],[Estimated Concrete Demand (m³)]]="","",
IF(Market_Data[[#This Row],[Estimated Concrete Demand (m³)]]&lt;10000,"Small",
IF(Market_Data[[#This Row],[Estimated Concrete Demand (m³)]]&lt;25000,"Medium",
IF(Market_Data[[#This Row],[Estimated Concrete Demand (m³)]]&lt;100000,"Large","Mega"))))</f>
        <v>Medium</v>
      </c>
      <c r="P1475" s="287" t="str">
        <f t="shared" si="24"/>
        <v>GujRERA</v>
      </c>
    </row>
    <row r="1476" spans="1:16">
      <c r="A1476" s="129" t="str">
        <f>_xlfn.XLOOKUP(B1476,$S$9:$S$14,$T$9:$T$14)&amp;"-"&amp;
IF(E1476="Residential/Group Housing","RES",
IF(E1476="Commercial","COM",
IF(E1476="Mixed Development","MIX",
IF(E1476="Plotted Development","PLT","OTH"))))
&amp;"-"&amp;TEXT(COUNTIFS($B$9:B1476,B1476,$E$9:E1476,E1476),"0000")</f>
        <v>SUR-MIX-0215</v>
      </c>
      <c r="B1476" s="322" t="s">
        <v>34</v>
      </c>
      <c r="C1476" s="322" t="s">
        <v>34</v>
      </c>
      <c r="D1476" s="323" t="s">
        <v>1666</v>
      </c>
      <c r="E1476" s="132" t="s">
        <v>25</v>
      </c>
      <c r="F1476" s="97" t="str">
        <f ca="1">IF(OR(Market_Data[[#This Row],[Start Date]]="",Market_Data[[#This Row],[Completion Date]]=""),"Needs Validation",IF(Market_Data[[#This Row],[Start Date]]&gt;TODAY(),"Planned",IF(Market_Data[[#This Row],[Completion Date]]&lt;TODAY(),"Completed","Ongoing")))</f>
        <v>Completed</v>
      </c>
      <c r="G1476" s="324">
        <v>42387</v>
      </c>
      <c r="H1476" s="324">
        <v>44377</v>
      </c>
      <c r="I1476" s="325">
        <v>19700</v>
      </c>
      <c r="J147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76" s="133">
        <f>_xlfn.XLOOKUP(Market_Data[[#This Row],[Project Type]],tbl_assumptions_market[Project Category (RERA)],tbl_assumptions_market[Concrete Intensity
(m³ / sq m BUA)],"",0)</f>
        <v>0.42</v>
      </c>
      <c r="L1476" s="134">
        <f>ROUND(Market_Data[[#This Row],[Estimated Built Up Area (sq m)]]*Market_Data[[#This Row],[Concrete Intensity
(m³ / sq m)]],0)</f>
        <v>8274</v>
      </c>
      <c r="M1476" s="135">
        <f>_xlfn.XLOOKUP(Market_Data[[#This Row],[District]],tbl_district_price[District],tbl_district_price[Standard Price
(INR/m³)],"",0)</f>
        <v>6200</v>
      </c>
      <c r="N1476" s="364">
        <f>IF(OR(Market_Data[[#This Row],[Estimated Concrete Demand (m³)]]="",Market_Data[[#This Row],[Avg Price per (₹ / m³)]]=""),"",Market_Data[[#This Row],[Estimated Concrete Demand (m³)]]*Market_Data[[#This Row],[Avg Price per (₹ / m³)]]/10000000)</f>
        <v>5.12988</v>
      </c>
      <c r="O1476" s="97" t="str">
        <f>IF(Market_Data[[#This Row],[Estimated Concrete Demand (m³)]]="","",
IF(Market_Data[[#This Row],[Estimated Concrete Demand (m³)]]&lt;10000,"Small",
IF(Market_Data[[#This Row],[Estimated Concrete Demand (m³)]]&lt;25000,"Medium",
IF(Market_Data[[#This Row],[Estimated Concrete Demand (m³)]]&lt;100000,"Large","Mega"))))</f>
        <v>Small</v>
      </c>
      <c r="P1476" s="287" t="str">
        <f t="shared" si="24"/>
        <v>GujRERA</v>
      </c>
    </row>
    <row r="1477" spans="1:16">
      <c r="A1477" s="129" t="str">
        <f>_xlfn.XLOOKUP(B1477,$S$9:$S$14,$T$9:$T$14)&amp;"-"&amp;
IF(E1477="Residential/Group Housing","RES",
IF(E1477="Commercial","COM",
IF(E1477="Mixed Development","MIX",
IF(E1477="Plotted Development","PLT","OTH"))))
&amp;"-"&amp;TEXT(COUNTIFS($B$9:B1477,B1477,$E$9:E1477,E1477),"0000")</f>
        <v>SUR-COM-0229</v>
      </c>
      <c r="B1477" s="322" t="s">
        <v>34</v>
      </c>
      <c r="C1477" s="322" t="s">
        <v>34</v>
      </c>
      <c r="D1477" s="323" t="s">
        <v>1667</v>
      </c>
      <c r="E1477" s="132" t="s">
        <v>23</v>
      </c>
      <c r="F1477" s="97" t="str">
        <f ca="1">IF(OR(Market_Data[[#This Row],[Start Date]]="",Market_Data[[#This Row],[Completion Date]]=""),"Needs Validation",IF(Market_Data[[#This Row],[Start Date]]&gt;TODAY(),"Planned",IF(Market_Data[[#This Row],[Completion Date]]&lt;TODAY(),"Completed","Ongoing")))</f>
        <v>Ongoing</v>
      </c>
      <c r="G1477" s="324">
        <v>45404</v>
      </c>
      <c r="H1477" s="324">
        <v>47208</v>
      </c>
      <c r="I1477" s="325">
        <v>31000</v>
      </c>
      <c r="J147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477" s="133">
        <f>_xlfn.XLOOKUP(Market_Data[[#This Row],[Project Type]],tbl_assumptions_market[Project Category (RERA)],tbl_assumptions_market[Concrete Intensity
(m³ / sq m BUA)],"",0)</f>
        <v>0.5</v>
      </c>
      <c r="L1477" s="134">
        <f>ROUND(Market_Data[[#This Row],[Estimated Built Up Area (sq m)]]*Market_Data[[#This Row],[Concrete Intensity
(m³ / sq m)]],0)</f>
        <v>15500</v>
      </c>
      <c r="M1477" s="135">
        <f>_xlfn.XLOOKUP(Market_Data[[#This Row],[District]],tbl_district_price[District],tbl_district_price[Standard Price
(INR/m³)],"",0)</f>
        <v>6200</v>
      </c>
      <c r="N1477" s="364">
        <f>IF(OR(Market_Data[[#This Row],[Estimated Concrete Demand (m³)]]="",Market_Data[[#This Row],[Avg Price per (₹ / m³)]]=""),"",Market_Data[[#This Row],[Estimated Concrete Demand (m³)]]*Market_Data[[#This Row],[Avg Price per (₹ / m³)]]/10000000)</f>
        <v>9.61</v>
      </c>
      <c r="O1477" s="97" t="str">
        <f>IF(Market_Data[[#This Row],[Estimated Concrete Demand (m³)]]="","",
IF(Market_Data[[#This Row],[Estimated Concrete Demand (m³)]]&lt;10000,"Small",
IF(Market_Data[[#This Row],[Estimated Concrete Demand (m³)]]&lt;25000,"Medium",
IF(Market_Data[[#This Row],[Estimated Concrete Demand (m³)]]&lt;100000,"Large","Mega"))))</f>
        <v>Medium</v>
      </c>
      <c r="P1477" s="287" t="str">
        <f t="shared" si="24"/>
        <v>GujRERA</v>
      </c>
    </row>
    <row r="1478" spans="1:16">
      <c r="A1478" s="129" t="str">
        <f>_xlfn.XLOOKUP(B1478,$S$9:$S$14,$T$9:$T$14)&amp;"-"&amp;
IF(E1478="Residential/Group Housing","RES",
IF(E1478="Commercial","COM",
IF(E1478="Mixed Development","MIX",
IF(E1478="Plotted Development","PLT","OTH"))))
&amp;"-"&amp;TEXT(COUNTIFS($B$9:B1478,B1478,$E$9:E1478,E1478),"0000")</f>
        <v>SUR-COM-0230</v>
      </c>
      <c r="B1478" s="322" t="s">
        <v>34</v>
      </c>
      <c r="C1478" s="322" t="s">
        <v>34</v>
      </c>
      <c r="D1478" s="323" t="s">
        <v>1668</v>
      </c>
      <c r="E1478" s="132" t="s">
        <v>23</v>
      </c>
      <c r="F1478" s="97" t="str">
        <f ca="1">IF(OR(Market_Data[[#This Row],[Start Date]]="",Market_Data[[#This Row],[Completion Date]]=""),"Needs Validation",IF(Market_Data[[#This Row],[Start Date]]&gt;TODAY(),"Planned",IF(Market_Data[[#This Row],[Completion Date]]&lt;TODAY(),"Completed","Ongoing")))</f>
        <v>Completed</v>
      </c>
      <c r="G1478" s="324">
        <v>42795</v>
      </c>
      <c r="H1478" s="324">
        <v>44440</v>
      </c>
      <c r="I1478" s="325">
        <v>54400</v>
      </c>
      <c r="J147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478" s="133">
        <f>_xlfn.XLOOKUP(Market_Data[[#This Row],[Project Type]],tbl_assumptions_market[Project Category (RERA)],tbl_assumptions_market[Concrete Intensity
(m³ / sq m BUA)],"",0)</f>
        <v>0.5</v>
      </c>
      <c r="L1478" s="134">
        <f>ROUND(Market_Data[[#This Row],[Estimated Built Up Area (sq m)]]*Market_Data[[#This Row],[Concrete Intensity
(m³ / sq m)]],0)</f>
        <v>27200</v>
      </c>
      <c r="M1478" s="135">
        <f>_xlfn.XLOOKUP(Market_Data[[#This Row],[District]],tbl_district_price[District],tbl_district_price[Standard Price
(INR/m³)],"",0)</f>
        <v>6200</v>
      </c>
      <c r="N1478" s="364">
        <f>IF(OR(Market_Data[[#This Row],[Estimated Concrete Demand (m³)]]="",Market_Data[[#This Row],[Avg Price per (₹ / m³)]]=""),"",Market_Data[[#This Row],[Estimated Concrete Demand (m³)]]*Market_Data[[#This Row],[Avg Price per (₹ / m³)]]/10000000)</f>
        <v>16.864000000000001</v>
      </c>
      <c r="O1478" s="97" t="str">
        <f>IF(Market_Data[[#This Row],[Estimated Concrete Demand (m³)]]="","",
IF(Market_Data[[#This Row],[Estimated Concrete Demand (m³)]]&lt;10000,"Small",
IF(Market_Data[[#This Row],[Estimated Concrete Demand (m³)]]&lt;25000,"Medium",
IF(Market_Data[[#This Row],[Estimated Concrete Demand (m³)]]&lt;100000,"Large","Mega"))))</f>
        <v>Large</v>
      </c>
      <c r="P1478" s="287" t="str">
        <f t="shared" si="24"/>
        <v>GujRERA</v>
      </c>
    </row>
    <row r="1479" spans="1:16">
      <c r="A1479" s="129" t="str">
        <f>_xlfn.XLOOKUP(B1479,$S$9:$S$14,$T$9:$T$14)&amp;"-"&amp;
IF(E1479="Residential/Group Housing","RES",
IF(E1479="Commercial","COM",
IF(E1479="Mixed Development","MIX",
IF(E1479="Plotted Development","PLT","OTH"))))
&amp;"-"&amp;TEXT(COUNTIFS($B$9:B1479,B1479,$E$9:E1479,E1479),"0000")</f>
        <v>SUR-RES-0434</v>
      </c>
      <c r="B1479" s="322" t="s">
        <v>34</v>
      </c>
      <c r="C1479" s="322" t="s">
        <v>34</v>
      </c>
      <c r="D1479" s="323" t="s">
        <v>1669</v>
      </c>
      <c r="E1479" s="132" t="s">
        <v>24</v>
      </c>
      <c r="F1479" s="97" t="str">
        <f ca="1">IF(OR(Market_Data[[#This Row],[Start Date]]="",Market_Data[[#This Row],[Completion Date]]=""),"Needs Validation",IF(Market_Data[[#This Row],[Start Date]]&gt;TODAY(),"Planned",IF(Market_Data[[#This Row],[Completion Date]]&lt;TODAY(),"Completed","Ongoing")))</f>
        <v>Ongoing</v>
      </c>
      <c r="G1479" s="324">
        <v>45057</v>
      </c>
      <c r="H1479" s="324">
        <v>47118</v>
      </c>
      <c r="I1479" s="325">
        <v>2000</v>
      </c>
      <c r="J147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79" s="133">
        <f>_xlfn.XLOOKUP(Market_Data[[#This Row],[Project Type]],tbl_assumptions_market[Project Category (RERA)],tbl_assumptions_market[Concrete Intensity
(m³ / sq m BUA)],"",0)</f>
        <v>0.45</v>
      </c>
      <c r="L1479" s="134">
        <f>ROUND(Market_Data[[#This Row],[Estimated Built Up Area (sq m)]]*Market_Data[[#This Row],[Concrete Intensity
(m³ / sq m)]],0)</f>
        <v>900</v>
      </c>
      <c r="M1479" s="135">
        <f>_xlfn.XLOOKUP(Market_Data[[#This Row],[District]],tbl_district_price[District],tbl_district_price[Standard Price
(INR/m³)],"",0)</f>
        <v>6200</v>
      </c>
      <c r="N1479" s="364">
        <f>IF(OR(Market_Data[[#This Row],[Estimated Concrete Demand (m³)]]="",Market_Data[[#This Row],[Avg Price per (₹ / m³)]]=""),"",Market_Data[[#This Row],[Estimated Concrete Demand (m³)]]*Market_Data[[#This Row],[Avg Price per (₹ / m³)]]/10000000)</f>
        <v>0.55800000000000005</v>
      </c>
      <c r="O1479" s="97" t="str">
        <f>IF(Market_Data[[#This Row],[Estimated Concrete Demand (m³)]]="","",
IF(Market_Data[[#This Row],[Estimated Concrete Demand (m³)]]&lt;10000,"Small",
IF(Market_Data[[#This Row],[Estimated Concrete Demand (m³)]]&lt;25000,"Medium",
IF(Market_Data[[#This Row],[Estimated Concrete Demand (m³)]]&lt;100000,"Large","Mega"))))</f>
        <v>Small</v>
      </c>
      <c r="P1479" s="287" t="str">
        <f t="shared" si="24"/>
        <v>GujRERA</v>
      </c>
    </row>
    <row r="1480" spans="1:16">
      <c r="A1480" s="129" t="str">
        <f>_xlfn.XLOOKUP(B1480,$S$9:$S$14,$T$9:$T$14)&amp;"-"&amp;
IF(E1480="Residential/Group Housing","RES",
IF(E1480="Commercial","COM",
IF(E1480="Mixed Development","MIX",
IF(E1480="Plotted Development","PLT","OTH"))))
&amp;"-"&amp;TEXT(COUNTIFS($B$9:B1480,B1480,$E$9:E1480,E1480),"0000")</f>
        <v>SUR-RES-0435</v>
      </c>
      <c r="B1480" s="322" t="s">
        <v>34</v>
      </c>
      <c r="C1480" s="322" t="s">
        <v>34</v>
      </c>
      <c r="D1480" s="323" t="s">
        <v>1670</v>
      </c>
      <c r="E1480" s="132" t="s">
        <v>24</v>
      </c>
      <c r="F1480" s="97" t="str">
        <f ca="1">IF(OR(Market_Data[[#This Row],[Start Date]]="",Market_Data[[#This Row],[Completion Date]]=""),"Needs Validation",IF(Market_Data[[#This Row],[Start Date]]&gt;TODAY(),"Planned",IF(Market_Data[[#This Row],[Completion Date]]&lt;TODAY(),"Completed","Ongoing")))</f>
        <v>Completed</v>
      </c>
      <c r="G1480" s="324">
        <v>41759</v>
      </c>
      <c r="H1480" s="324">
        <v>43465</v>
      </c>
      <c r="I1480" s="325">
        <v>12300</v>
      </c>
      <c r="J148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80" s="133">
        <f>_xlfn.XLOOKUP(Market_Data[[#This Row],[Project Type]],tbl_assumptions_market[Project Category (RERA)],tbl_assumptions_market[Concrete Intensity
(m³ / sq m BUA)],"",0)</f>
        <v>0.45</v>
      </c>
      <c r="L1480" s="134">
        <f>ROUND(Market_Data[[#This Row],[Estimated Built Up Area (sq m)]]*Market_Data[[#This Row],[Concrete Intensity
(m³ / sq m)]],0)</f>
        <v>5535</v>
      </c>
      <c r="M1480" s="135">
        <f>_xlfn.XLOOKUP(Market_Data[[#This Row],[District]],tbl_district_price[District],tbl_district_price[Standard Price
(INR/m³)],"",0)</f>
        <v>6200</v>
      </c>
      <c r="N1480" s="364">
        <f>IF(OR(Market_Data[[#This Row],[Estimated Concrete Demand (m³)]]="",Market_Data[[#This Row],[Avg Price per (₹ / m³)]]=""),"",Market_Data[[#This Row],[Estimated Concrete Demand (m³)]]*Market_Data[[#This Row],[Avg Price per (₹ / m³)]]/10000000)</f>
        <v>3.4317000000000002</v>
      </c>
      <c r="O1480" s="97" t="str">
        <f>IF(Market_Data[[#This Row],[Estimated Concrete Demand (m³)]]="","",
IF(Market_Data[[#This Row],[Estimated Concrete Demand (m³)]]&lt;10000,"Small",
IF(Market_Data[[#This Row],[Estimated Concrete Demand (m³)]]&lt;25000,"Medium",
IF(Market_Data[[#This Row],[Estimated Concrete Demand (m³)]]&lt;100000,"Large","Mega"))))</f>
        <v>Small</v>
      </c>
      <c r="P1480" s="287" t="str">
        <f t="shared" si="24"/>
        <v>GujRERA</v>
      </c>
    </row>
    <row r="1481" spans="1:16">
      <c r="A1481" s="129" t="str">
        <f>_xlfn.XLOOKUP(B1481,$S$9:$S$14,$T$9:$T$14)&amp;"-"&amp;
IF(E1481="Residential/Group Housing","RES",
IF(E1481="Commercial","COM",
IF(E1481="Mixed Development","MIX",
IF(E1481="Plotted Development","PLT","OTH"))))
&amp;"-"&amp;TEXT(COUNTIFS($B$9:B1481,B1481,$E$9:E1481,E1481),"0000")</f>
        <v>SUR-RES-0436</v>
      </c>
      <c r="B1481" s="322" t="s">
        <v>34</v>
      </c>
      <c r="C1481" s="322" t="s">
        <v>34</v>
      </c>
      <c r="D1481" s="323" t="s">
        <v>1671</v>
      </c>
      <c r="E1481" s="132" t="s">
        <v>24</v>
      </c>
      <c r="F1481" s="97" t="str">
        <f ca="1">IF(OR(Market_Data[[#This Row],[Start Date]]="",Market_Data[[#This Row],[Completion Date]]=""),"Needs Validation",IF(Market_Data[[#This Row],[Start Date]]&gt;TODAY(),"Planned",IF(Market_Data[[#This Row],[Completion Date]]&lt;TODAY(),"Completed","Ongoing")))</f>
        <v>Completed</v>
      </c>
      <c r="G1481" s="324">
        <v>41754</v>
      </c>
      <c r="H1481" s="324">
        <v>43465</v>
      </c>
      <c r="I1481" s="325">
        <v>5000</v>
      </c>
      <c r="J148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81" s="133">
        <f>_xlfn.XLOOKUP(Market_Data[[#This Row],[Project Type]],tbl_assumptions_market[Project Category (RERA)],tbl_assumptions_market[Concrete Intensity
(m³ / sq m BUA)],"",0)</f>
        <v>0.45</v>
      </c>
      <c r="L1481" s="134">
        <f>ROUND(Market_Data[[#This Row],[Estimated Built Up Area (sq m)]]*Market_Data[[#This Row],[Concrete Intensity
(m³ / sq m)]],0)</f>
        <v>2250</v>
      </c>
      <c r="M1481" s="135">
        <f>_xlfn.XLOOKUP(Market_Data[[#This Row],[District]],tbl_district_price[District],tbl_district_price[Standard Price
(INR/m³)],"",0)</f>
        <v>6200</v>
      </c>
      <c r="N1481" s="364">
        <f>IF(OR(Market_Data[[#This Row],[Estimated Concrete Demand (m³)]]="",Market_Data[[#This Row],[Avg Price per (₹ / m³)]]=""),"",Market_Data[[#This Row],[Estimated Concrete Demand (m³)]]*Market_Data[[#This Row],[Avg Price per (₹ / m³)]]/10000000)</f>
        <v>1.395</v>
      </c>
      <c r="O1481" s="97" t="str">
        <f>IF(Market_Data[[#This Row],[Estimated Concrete Demand (m³)]]="","",
IF(Market_Data[[#This Row],[Estimated Concrete Demand (m³)]]&lt;10000,"Small",
IF(Market_Data[[#This Row],[Estimated Concrete Demand (m³)]]&lt;25000,"Medium",
IF(Market_Data[[#This Row],[Estimated Concrete Demand (m³)]]&lt;100000,"Large","Mega"))))</f>
        <v>Small</v>
      </c>
      <c r="P1481" s="287" t="str">
        <f t="shared" si="24"/>
        <v>GujRERA</v>
      </c>
    </row>
    <row r="1482" spans="1:16">
      <c r="A1482" s="129" t="str">
        <f>_xlfn.XLOOKUP(B1482,$S$9:$S$14,$T$9:$T$14)&amp;"-"&amp;
IF(E1482="Residential/Group Housing","RES",
IF(E1482="Commercial","COM",
IF(E1482="Mixed Development","MIX",
IF(E1482="Plotted Development","PLT","OTH"))))
&amp;"-"&amp;TEXT(COUNTIFS($B$9:B1482,B1482,$E$9:E1482,E1482),"0000")</f>
        <v>SUR-COM-0231</v>
      </c>
      <c r="B1482" s="322" t="s">
        <v>34</v>
      </c>
      <c r="C1482" s="322" t="s">
        <v>34</v>
      </c>
      <c r="D1482" s="323" t="s">
        <v>1672</v>
      </c>
      <c r="E1482" s="132" t="s">
        <v>23</v>
      </c>
      <c r="F1482" s="97" t="str">
        <f ca="1">IF(OR(Market_Data[[#This Row],[Start Date]]="",Market_Data[[#This Row],[Completion Date]]=""),"Needs Validation",IF(Market_Data[[#This Row],[Start Date]]&gt;TODAY(),"Planned",IF(Market_Data[[#This Row],[Completion Date]]&lt;TODAY(),"Completed","Ongoing")))</f>
        <v>Ongoing</v>
      </c>
      <c r="G1482" s="324">
        <v>45884</v>
      </c>
      <c r="H1482" s="324">
        <v>47483</v>
      </c>
      <c r="I1482" s="325">
        <v>13100</v>
      </c>
      <c r="J148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82" s="133">
        <f>_xlfn.XLOOKUP(Market_Data[[#This Row],[Project Type]],tbl_assumptions_market[Project Category (RERA)],tbl_assumptions_market[Concrete Intensity
(m³ / sq m BUA)],"",0)</f>
        <v>0.5</v>
      </c>
      <c r="L1482" s="134">
        <f>ROUND(Market_Data[[#This Row],[Estimated Built Up Area (sq m)]]*Market_Data[[#This Row],[Concrete Intensity
(m³ / sq m)]],0)</f>
        <v>6550</v>
      </c>
      <c r="M1482" s="135">
        <f>_xlfn.XLOOKUP(Market_Data[[#This Row],[District]],tbl_district_price[District],tbl_district_price[Standard Price
(INR/m³)],"",0)</f>
        <v>6200</v>
      </c>
      <c r="N1482" s="364">
        <f>IF(OR(Market_Data[[#This Row],[Estimated Concrete Demand (m³)]]="",Market_Data[[#This Row],[Avg Price per (₹ / m³)]]=""),"",Market_Data[[#This Row],[Estimated Concrete Demand (m³)]]*Market_Data[[#This Row],[Avg Price per (₹ / m³)]]/10000000)</f>
        <v>4.0609999999999999</v>
      </c>
      <c r="O1482" s="97" t="str">
        <f>IF(Market_Data[[#This Row],[Estimated Concrete Demand (m³)]]="","",
IF(Market_Data[[#This Row],[Estimated Concrete Demand (m³)]]&lt;10000,"Small",
IF(Market_Data[[#This Row],[Estimated Concrete Demand (m³)]]&lt;25000,"Medium",
IF(Market_Data[[#This Row],[Estimated Concrete Demand (m³)]]&lt;100000,"Large","Mega"))))</f>
        <v>Small</v>
      </c>
      <c r="P1482" s="287" t="str">
        <f t="shared" ref="P1482:P1545" si="25">HYPERLINK(
"https://gujrera.gujarat.gov.in",
"GujRERA")</f>
        <v>GujRERA</v>
      </c>
    </row>
    <row r="1483" spans="1:16">
      <c r="A1483" s="129" t="str">
        <f>_xlfn.XLOOKUP(B1483,$S$9:$S$14,$T$9:$T$14)&amp;"-"&amp;
IF(E1483="Residential/Group Housing","RES",
IF(E1483="Commercial","COM",
IF(E1483="Mixed Development","MIX",
IF(E1483="Plotted Development","PLT","OTH"))))
&amp;"-"&amp;TEXT(COUNTIFS($B$9:B1483,B1483,$E$9:E1483,E1483),"0000")</f>
        <v>SUR-RES-0437</v>
      </c>
      <c r="B1483" s="322" t="s">
        <v>34</v>
      </c>
      <c r="C1483" s="322" t="s">
        <v>34</v>
      </c>
      <c r="D1483" s="323" t="s">
        <v>1673</v>
      </c>
      <c r="E1483" s="132" t="s">
        <v>24</v>
      </c>
      <c r="F1483" s="97" t="str">
        <f ca="1">IF(OR(Market_Data[[#This Row],[Start Date]]="",Market_Data[[#This Row],[Completion Date]]=""),"Needs Validation",IF(Market_Data[[#This Row],[Start Date]]&gt;TODAY(),"Planned",IF(Market_Data[[#This Row],[Completion Date]]&lt;TODAY(),"Completed","Ongoing")))</f>
        <v>Ongoing</v>
      </c>
      <c r="G1483" s="324">
        <v>45731</v>
      </c>
      <c r="H1483" s="324">
        <v>47208</v>
      </c>
      <c r="I1483" s="325">
        <v>5300</v>
      </c>
      <c r="J148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83" s="133">
        <f>_xlfn.XLOOKUP(Market_Data[[#This Row],[Project Type]],tbl_assumptions_market[Project Category (RERA)],tbl_assumptions_market[Concrete Intensity
(m³ / sq m BUA)],"",0)</f>
        <v>0.45</v>
      </c>
      <c r="L1483" s="134">
        <f>ROUND(Market_Data[[#This Row],[Estimated Built Up Area (sq m)]]*Market_Data[[#This Row],[Concrete Intensity
(m³ / sq m)]],0)</f>
        <v>2385</v>
      </c>
      <c r="M1483" s="135">
        <f>_xlfn.XLOOKUP(Market_Data[[#This Row],[District]],tbl_district_price[District],tbl_district_price[Standard Price
(INR/m³)],"",0)</f>
        <v>6200</v>
      </c>
      <c r="N1483" s="364">
        <f>IF(OR(Market_Data[[#This Row],[Estimated Concrete Demand (m³)]]="",Market_Data[[#This Row],[Avg Price per (₹ / m³)]]=""),"",Market_Data[[#This Row],[Estimated Concrete Demand (m³)]]*Market_Data[[#This Row],[Avg Price per (₹ / m³)]]/10000000)</f>
        <v>1.4786999999999999</v>
      </c>
      <c r="O1483" s="97" t="str">
        <f>IF(Market_Data[[#This Row],[Estimated Concrete Demand (m³)]]="","",
IF(Market_Data[[#This Row],[Estimated Concrete Demand (m³)]]&lt;10000,"Small",
IF(Market_Data[[#This Row],[Estimated Concrete Demand (m³)]]&lt;25000,"Medium",
IF(Market_Data[[#This Row],[Estimated Concrete Demand (m³)]]&lt;100000,"Large","Mega"))))</f>
        <v>Small</v>
      </c>
      <c r="P1483" s="287" t="str">
        <f t="shared" si="25"/>
        <v>GujRERA</v>
      </c>
    </row>
    <row r="1484" spans="1:16">
      <c r="A1484" s="129" t="str">
        <f>_xlfn.XLOOKUP(B1484,$S$9:$S$14,$T$9:$T$14)&amp;"-"&amp;
IF(E1484="Residential/Group Housing","RES",
IF(E1484="Commercial","COM",
IF(E1484="Mixed Development","MIX",
IF(E1484="Plotted Development","PLT","OTH"))))
&amp;"-"&amp;TEXT(COUNTIFS($B$9:B1484,B1484,$E$9:E1484,E1484),"0000")</f>
        <v>SUR-RES-0438</v>
      </c>
      <c r="B1484" s="322" t="s">
        <v>34</v>
      </c>
      <c r="C1484" s="322" t="s">
        <v>34</v>
      </c>
      <c r="D1484" s="323" t="s">
        <v>1674</v>
      </c>
      <c r="E1484" s="132" t="s">
        <v>24</v>
      </c>
      <c r="F1484" s="97" t="str">
        <f ca="1">IF(OR(Market_Data[[#This Row],[Start Date]]="",Market_Data[[#This Row],[Completion Date]]=""),"Needs Validation",IF(Market_Data[[#This Row],[Start Date]]&gt;TODAY(),"Planned",IF(Market_Data[[#This Row],[Completion Date]]&lt;TODAY(),"Completed","Ongoing")))</f>
        <v>Ongoing</v>
      </c>
      <c r="G1484" s="324">
        <v>45021</v>
      </c>
      <c r="H1484" s="324">
        <v>46660</v>
      </c>
      <c r="I1484" s="325">
        <v>46200</v>
      </c>
      <c r="J148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84" s="133">
        <f>_xlfn.XLOOKUP(Market_Data[[#This Row],[Project Type]],tbl_assumptions_market[Project Category (RERA)],tbl_assumptions_market[Concrete Intensity
(m³ / sq m BUA)],"",0)</f>
        <v>0.45</v>
      </c>
      <c r="L1484" s="134">
        <f>ROUND(Market_Data[[#This Row],[Estimated Built Up Area (sq m)]]*Market_Data[[#This Row],[Concrete Intensity
(m³ / sq m)]],0)</f>
        <v>20790</v>
      </c>
      <c r="M1484" s="135">
        <f>_xlfn.XLOOKUP(Market_Data[[#This Row],[District]],tbl_district_price[District],tbl_district_price[Standard Price
(INR/m³)],"",0)</f>
        <v>6200</v>
      </c>
      <c r="N1484" s="364">
        <f>IF(OR(Market_Data[[#This Row],[Estimated Concrete Demand (m³)]]="",Market_Data[[#This Row],[Avg Price per (₹ / m³)]]=""),"",Market_Data[[#This Row],[Estimated Concrete Demand (m³)]]*Market_Data[[#This Row],[Avg Price per (₹ / m³)]]/10000000)</f>
        <v>12.889799999999999</v>
      </c>
      <c r="O1484" s="97" t="str">
        <f>IF(Market_Data[[#This Row],[Estimated Concrete Demand (m³)]]="","",
IF(Market_Data[[#This Row],[Estimated Concrete Demand (m³)]]&lt;10000,"Small",
IF(Market_Data[[#This Row],[Estimated Concrete Demand (m³)]]&lt;25000,"Medium",
IF(Market_Data[[#This Row],[Estimated Concrete Demand (m³)]]&lt;100000,"Large","Mega"))))</f>
        <v>Medium</v>
      </c>
      <c r="P1484" s="287" t="str">
        <f t="shared" si="25"/>
        <v>GujRERA</v>
      </c>
    </row>
    <row r="1485" spans="1:16">
      <c r="A1485" s="129" t="str">
        <f>_xlfn.XLOOKUP(B1485,$S$9:$S$14,$T$9:$T$14)&amp;"-"&amp;
IF(E1485="Residential/Group Housing","RES",
IF(E1485="Commercial","COM",
IF(E1485="Mixed Development","MIX",
IF(E1485="Plotted Development","PLT","OTH"))))
&amp;"-"&amp;TEXT(COUNTIFS($B$9:B1485,B1485,$E$9:E1485,E1485),"0000")</f>
        <v>SUR-PLT-0283</v>
      </c>
      <c r="B1485" s="322" t="s">
        <v>34</v>
      </c>
      <c r="C1485" s="322" t="s">
        <v>34</v>
      </c>
      <c r="D1485" s="323" t="s">
        <v>1675</v>
      </c>
      <c r="E1485" s="132" t="s">
        <v>26</v>
      </c>
      <c r="F1485" s="97" t="str">
        <f ca="1">IF(OR(Market_Data[[#This Row],[Start Date]]="",Market_Data[[#This Row],[Completion Date]]=""),"Needs Validation",IF(Market_Data[[#This Row],[Start Date]]&gt;TODAY(),"Planned",IF(Market_Data[[#This Row],[Completion Date]]&lt;TODAY(),"Completed","Ongoing")))</f>
        <v>Completed</v>
      </c>
      <c r="G1485" s="324">
        <v>44722</v>
      </c>
      <c r="H1485" s="324">
        <v>45657</v>
      </c>
      <c r="I1485" s="325">
        <v>25900</v>
      </c>
      <c r="J148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85" s="133">
        <f>_xlfn.XLOOKUP(Market_Data[[#This Row],[Project Type]],tbl_assumptions_market[Project Category (RERA)],tbl_assumptions_market[Concrete Intensity
(m³ / sq m BUA)],"",0)</f>
        <v>0.18</v>
      </c>
      <c r="L1485" s="134">
        <f>ROUND(Market_Data[[#This Row],[Estimated Built Up Area (sq m)]]*Market_Data[[#This Row],[Concrete Intensity
(m³ / sq m)]],0)</f>
        <v>4662</v>
      </c>
      <c r="M1485" s="135">
        <f>_xlfn.XLOOKUP(Market_Data[[#This Row],[District]],tbl_district_price[District],tbl_district_price[Standard Price
(INR/m³)],"",0)</f>
        <v>6200</v>
      </c>
      <c r="N1485" s="364">
        <f>IF(OR(Market_Data[[#This Row],[Estimated Concrete Demand (m³)]]="",Market_Data[[#This Row],[Avg Price per (₹ / m³)]]=""),"",Market_Data[[#This Row],[Estimated Concrete Demand (m³)]]*Market_Data[[#This Row],[Avg Price per (₹ / m³)]]/10000000)</f>
        <v>2.8904399999999999</v>
      </c>
      <c r="O1485" s="97" t="str">
        <f>IF(Market_Data[[#This Row],[Estimated Concrete Demand (m³)]]="","",
IF(Market_Data[[#This Row],[Estimated Concrete Demand (m³)]]&lt;10000,"Small",
IF(Market_Data[[#This Row],[Estimated Concrete Demand (m³)]]&lt;25000,"Medium",
IF(Market_Data[[#This Row],[Estimated Concrete Demand (m³)]]&lt;100000,"Large","Mega"))))</f>
        <v>Small</v>
      </c>
      <c r="P1485" s="287" t="str">
        <f t="shared" si="25"/>
        <v>GujRERA</v>
      </c>
    </row>
    <row r="1486" spans="1:16">
      <c r="A1486" s="129" t="str">
        <f>_xlfn.XLOOKUP(B1486,$S$9:$S$14,$T$9:$T$14)&amp;"-"&amp;
IF(E1486="Residential/Group Housing","RES",
IF(E1486="Commercial","COM",
IF(E1486="Mixed Development","MIX",
IF(E1486="Plotted Development","PLT","OTH"))))
&amp;"-"&amp;TEXT(COUNTIFS($B$9:B1486,B1486,$E$9:E1486,E1486),"0000")</f>
        <v>SUR-RES-0439</v>
      </c>
      <c r="B1486" s="322" t="s">
        <v>34</v>
      </c>
      <c r="C1486" s="322" t="s">
        <v>34</v>
      </c>
      <c r="D1486" s="323" t="s">
        <v>1676</v>
      </c>
      <c r="E1486" s="132" t="s">
        <v>24</v>
      </c>
      <c r="F1486" s="97" t="str">
        <f ca="1">IF(OR(Market_Data[[#This Row],[Start Date]]="",Market_Data[[#This Row],[Completion Date]]=""),"Needs Validation",IF(Market_Data[[#This Row],[Start Date]]&gt;TODAY(),"Planned",IF(Market_Data[[#This Row],[Completion Date]]&lt;TODAY(),"Completed","Ongoing")))</f>
        <v>Completed</v>
      </c>
      <c r="G1486" s="324">
        <v>41785</v>
      </c>
      <c r="H1486" s="324">
        <v>44561</v>
      </c>
      <c r="I1486" s="325">
        <v>37800</v>
      </c>
      <c r="J148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86" s="133">
        <f>_xlfn.XLOOKUP(Market_Data[[#This Row],[Project Type]],tbl_assumptions_market[Project Category (RERA)],tbl_assumptions_market[Concrete Intensity
(m³ / sq m BUA)],"",0)</f>
        <v>0.45</v>
      </c>
      <c r="L1486" s="134">
        <f>ROUND(Market_Data[[#This Row],[Estimated Built Up Area (sq m)]]*Market_Data[[#This Row],[Concrete Intensity
(m³ / sq m)]],0)</f>
        <v>17010</v>
      </c>
      <c r="M1486" s="135">
        <f>_xlfn.XLOOKUP(Market_Data[[#This Row],[District]],tbl_district_price[District],tbl_district_price[Standard Price
(INR/m³)],"",0)</f>
        <v>6200</v>
      </c>
      <c r="N1486" s="364">
        <f>IF(OR(Market_Data[[#This Row],[Estimated Concrete Demand (m³)]]="",Market_Data[[#This Row],[Avg Price per (₹ / m³)]]=""),"",Market_Data[[#This Row],[Estimated Concrete Demand (m³)]]*Market_Data[[#This Row],[Avg Price per (₹ / m³)]]/10000000)</f>
        <v>10.546200000000001</v>
      </c>
      <c r="O1486" s="97" t="str">
        <f>IF(Market_Data[[#This Row],[Estimated Concrete Demand (m³)]]="","",
IF(Market_Data[[#This Row],[Estimated Concrete Demand (m³)]]&lt;10000,"Small",
IF(Market_Data[[#This Row],[Estimated Concrete Demand (m³)]]&lt;25000,"Medium",
IF(Market_Data[[#This Row],[Estimated Concrete Demand (m³)]]&lt;100000,"Large","Mega"))))</f>
        <v>Medium</v>
      </c>
      <c r="P1486" s="287" t="str">
        <f t="shared" si="25"/>
        <v>GujRERA</v>
      </c>
    </row>
    <row r="1487" spans="1:16">
      <c r="A1487" s="129" t="str">
        <f>_xlfn.XLOOKUP(B1487,$S$9:$S$14,$T$9:$T$14)&amp;"-"&amp;
IF(E1487="Residential/Group Housing","RES",
IF(E1487="Commercial","COM",
IF(E1487="Mixed Development","MIX",
IF(E1487="Plotted Development","PLT","OTH"))))
&amp;"-"&amp;TEXT(COUNTIFS($B$9:B1487,B1487,$E$9:E1487,E1487),"0000")</f>
        <v>SUR-PLT-0284</v>
      </c>
      <c r="B1487" s="322" t="s">
        <v>34</v>
      </c>
      <c r="C1487" s="322" t="s">
        <v>34</v>
      </c>
      <c r="D1487" s="323" t="s">
        <v>1677</v>
      </c>
      <c r="E1487" s="132" t="s">
        <v>26</v>
      </c>
      <c r="F1487" s="97" t="str">
        <f ca="1">IF(OR(Market_Data[[#This Row],[Start Date]]="",Market_Data[[#This Row],[Completion Date]]=""),"Needs Validation",IF(Market_Data[[#This Row],[Start Date]]&gt;TODAY(),"Planned",IF(Market_Data[[#This Row],[Completion Date]]&lt;TODAY(),"Completed","Ongoing")))</f>
        <v>Ongoing</v>
      </c>
      <c r="G1487" s="324">
        <v>45148</v>
      </c>
      <c r="H1487" s="324">
        <v>46843</v>
      </c>
      <c r="I1487" s="325">
        <v>57900</v>
      </c>
      <c r="J148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487" s="133">
        <f>_xlfn.XLOOKUP(Market_Data[[#This Row],[Project Type]],tbl_assumptions_market[Project Category (RERA)],tbl_assumptions_market[Concrete Intensity
(m³ / sq m BUA)],"",0)</f>
        <v>0.18</v>
      </c>
      <c r="L1487" s="134">
        <f>ROUND(Market_Data[[#This Row],[Estimated Built Up Area (sq m)]]*Market_Data[[#This Row],[Concrete Intensity
(m³ / sq m)]],0)</f>
        <v>10422</v>
      </c>
      <c r="M1487" s="135">
        <f>_xlfn.XLOOKUP(Market_Data[[#This Row],[District]],tbl_district_price[District],tbl_district_price[Standard Price
(INR/m³)],"",0)</f>
        <v>6200</v>
      </c>
      <c r="N1487" s="364">
        <f>IF(OR(Market_Data[[#This Row],[Estimated Concrete Demand (m³)]]="",Market_Data[[#This Row],[Avg Price per (₹ / m³)]]=""),"",Market_Data[[#This Row],[Estimated Concrete Demand (m³)]]*Market_Data[[#This Row],[Avg Price per (₹ / m³)]]/10000000)</f>
        <v>6.4616400000000001</v>
      </c>
      <c r="O1487" s="97" t="str">
        <f>IF(Market_Data[[#This Row],[Estimated Concrete Demand (m³)]]="","",
IF(Market_Data[[#This Row],[Estimated Concrete Demand (m³)]]&lt;10000,"Small",
IF(Market_Data[[#This Row],[Estimated Concrete Demand (m³)]]&lt;25000,"Medium",
IF(Market_Data[[#This Row],[Estimated Concrete Demand (m³)]]&lt;100000,"Large","Mega"))))</f>
        <v>Medium</v>
      </c>
      <c r="P1487" s="287" t="str">
        <f t="shared" si="25"/>
        <v>GujRERA</v>
      </c>
    </row>
    <row r="1488" spans="1:16">
      <c r="A1488" s="129" t="str">
        <f>_xlfn.XLOOKUP(B1488,$S$9:$S$14,$T$9:$T$14)&amp;"-"&amp;
IF(E1488="Residential/Group Housing","RES",
IF(E1488="Commercial","COM",
IF(E1488="Mixed Development","MIX",
IF(E1488="Plotted Development","PLT","OTH"))))
&amp;"-"&amp;TEXT(COUNTIFS($B$9:B1488,B1488,$E$9:E1488,E1488),"0000")</f>
        <v>SUR-RES-0440</v>
      </c>
      <c r="B1488" s="322" t="s">
        <v>34</v>
      </c>
      <c r="C1488" s="322" t="s">
        <v>34</v>
      </c>
      <c r="D1488" s="323" t="s">
        <v>1678</v>
      </c>
      <c r="E1488" s="132" t="s">
        <v>24</v>
      </c>
      <c r="F1488" s="97" t="str">
        <f ca="1">IF(OR(Market_Data[[#This Row],[Start Date]]="",Market_Data[[#This Row],[Completion Date]]=""),"Needs Validation",IF(Market_Data[[#This Row],[Start Date]]&gt;TODAY(),"Planned",IF(Market_Data[[#This Row],[Completion Date]]&lt;TODAY(),"Completed","Ongoing")))</f>
        <v>Ongoing</v>
      </c>
      <c r="G1488" s="324">
        <v>45212</v>
      </c>
      <c r="H1488" s="324">
        <v>47483</v>
      </c>
      <c r="I1488" s="325">
        <v>41900</v>
      </c>
      <c r="J148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88" s="133">
        <f>_xlfn.XLOOKUP(Market_Data[[#This Row],[Project Type]],tbl_assumptions_market[Project Category (RERA)],tbl_assumptions_market[Concrete Intensity
(m³ / sq m BUA)],"",0)</f>
        <v>0.45</v>
      </c>
      <c r="L1488" s="134">
        <f>ROUND(Market_Data[[#This Row],[Estimated Built Up Area (sq m)]]*Market_Data[[#This Row],[Concrete Intensity
(m³ / sq m)]],0)</f>
        <v>18855</v>
      </c>
      <c r="M1488" s="135">
        <f>_xlfn.XLOOKUP(Market_Data[[#This Row],[District]],tbl_district_price[District],tbl_district_price[Standard Price
(INR/m³)],"",0)</f>
        <v>6200</v>
      </c>
      <c r="N1488" s="364">
        <f>IF(OR(Market_Data[[#This Row],[Estimated Concrete Demand (m³)]]="",Market_Data[[#This Row],[Avg Price per (₹ / m³)]]=""),"",Market_Data[[#This Row],[Estimated Concrete Demand (m³)]]*Market_Data[[#This Row],[Avg Price per (₹ / m³)]]/10000000)</f>
        <v>11.690099999999999</v>
      </c>
      <c r="O1488" s="97" t="str">
        <f>IF(Market_Data[[#This Row],[Estimated Concrete Demand (m³)]]="","",
IF(Market_Data[[#This Row],[Estimated Concrete Demand (m³)]]&lt;10000,"Small",
IF(Market_Data[[#This Row],[Estimated Concrete Demand (m³)]]&lt;25000,"Medium",
IF(Market_Data[[#This Row],[Estimated Concrete Demand (m³)]]&lt;100000,"Large","Mega"))))</f>
        <v>Medium</v>
      </c>
      <c r="P1488" s="287" t="str">
        <f t="shared" si="25"/>
        <v>GujRERA</v>
      </c>
    </row>
    <row r="1489" spans="1:16">
      <c r="A1489" s="129" t="str">
        <f>_xlfn.XLOOKUP(B1489,$S$9:$S$14,$T$9:$T$14)&amp;"-"&amp;
IF(E1489="Residential/Group Housing","RES",
IF(E1489="Commercial","COM",
IF(E1489="Mixed Development","MIX",
IF(E1489="Plotted Development","PLT","OTH"))))
&amp;"-"&amp;TEXT(COUNTIFS($B$9:B1489,B1489,$E$9:E1489,E1489),"0000")</f>
        <v>SUR-RES-0441</v>
      </c>
      <c r="B1489" s="322" t="s">
        <v>34</v>
      </c>
      <c r="C1489" s="322" t="s">
        <v>34</v>
      </c>
      <c r="D1489" s="323" t="s">
        <v>1679</v>
      </c>
      <c r="E1489" s="132" t="s">
        <v>24</v>
      </c>
      <c r="F1489" s="97" t="str">
        <f ca="1">IF(OR(Market_Data[[#This Row],[Start Date]]="",Market_Data[[#This Row],[Completion Date]]=""),"Needs Validation",IF(Market_Data[[#This Row],[Start Date]]&gt;TODAY(),"Planned",IF(Market_Data[[#This Row],[Completion Date]]&lt;TODAY(),"Completed","Ongoing")))</f>
        <v>Ongoing</v>
      </c>
      <c r="G1489" s="324">
        <v>45042</v>
      </c>
      <c r="H1489" s="324">
        <v>47208</v>
      </c>
      <c r="I1489" s="325">
        <v>42800</v>
      </c>
      <c r="J148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89" s="133">
        <f>_xlfn.XLOOKUP(Market_Data[[#This Row],[Project Type]],tbl_assumptions_market[Project Category (RERA)],tbl_assumptions_market[Concrete Intensity
(m³ / sq m BUA)],"",0)</f>
        <v>0.45</v>
      </c>
      <c r="L1489" s="134">
        <f>ROUND(Market_Data[[#This Row],[Estimated Built Up Area (sq m)]]*Market_Data[[#This Row],[Concrete Intensity
(m³ / sq m)]],0)</f>
        <v>19260</v>
      </c>
      <c r="M1489" s="135">
        <f>_xlfn.XLOOKUP(Market_Data[[#This Row],[District]],tbl_district_price[District],tbl_district_price[Standard Price
(INR/m³)],"",0)</f>
        <v>6200</v>
      </c>
      <c r="N1489" s="364">
        <f>IF(OR(Market_Data[[#This Row],[Estimated Concrete Demand (m³)]]="",Market_Data[[#This Row],[Avg Price per (₹ / m³)]]=""),"",Market_Data[[#This Row],[Estimated Concrete Demand (m³)]]*Market_Data[[#This Row],[Avg Price per (₹ / m³)]]/10000000)</f>
        <v>11.9412</v>
      </c>
      <c r="O1489" s="97" t="str">
        <f>IF(Market_Data[[#This Row],[Estimated Concrete Demand (m³)]]="","",
IF(Market_Data[[#This Row],[Estimated Concrete Demand (m³)]]&lt;10000,"Small",
IF(Market_Data[[#This Row],[Estimated Concrete Demand (m³)]]&lt;25000,"Medium",
IF(Market_Data[[#This Row],[Estimated Concrete Demand (m³)]]&lt;100000,"Large","Mega"))))</f>
        <v>Medium</v>
      </c>
      <c r="P1489" s="287" t="str">
        <f t="shared" si="25"/>
        <v>GujRERA</v>
      </c>
    </row>
    <row r="1490" spans="1:16">
      <c r="A1490" s="129" t="str">
        <f>_xlfn.XLOOKUP(B1490,$S$9:$S$14,$T$9:$T$14)&amp;"-"&amp;
IF(E1490="Residential/Group Housing","RES",
IF(E1490="Commercial","COM",
IF(E1490="Mixed Development","MIX",
IF(E1490="Plotted Development","PLT","OTH"))))
&amp;"-"&amp;TEXT(COUNTIFS($B$9:B1490,B1490,$E$9:E1490,E1490),"0000")</f>
        <v>SUR-MIX-0216</v>
      </c>
      <c r="B1490" s="322" t="s">
        <v>34</v>
      </c>
      <c r="C1490" s="322" t="s">
        <v>34</v>
      </c>
      <c r="D1490" s="323" t="s">
        <v>1680</v>
      </c>
      <c r="E1490" s="132" t="s">
        <v>25</v>
      </c>
      <c r="F1490" s="97" t="str">
        <f ca="1">IF(OR(Market_Data[[#This Row],[Start Date]]="",Market_Data[[#This Row],[Completion Date]]=""),"Needs Validation",IF(Market_Data[[#This Row],[Start Date]]&gt;TODAY(),"Planned",IF(Market_Data[[#This Row],[Completion Date]]&lt;TODAY(),"Completed","Ongoing")))</f>
        <v>Ongoing</v>
      </c>
      <c r="G1490" s="324">
        <v>45652</v>
      </c>
      <c r="H1490" s="324">
        <v>47208</v>
      </c>
      <c r="I1490" s="325">
        <v>24600</v>
      </c>
      <c r="J149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90" s="133">
        <f>_xlfn.XLOOKUP(Market_Data[[#This Row],[Project Type]],tbl_assumptions_market[Project Category (RERA)],tbl_assumptions_market[Concrete Intensity
(m³ / sq m BUA)],"",0)</f>
        <v>0.42</v>
      </c>
      <c r="L1490" s="134">
        <f>ROUND(Market_Data[[#This Row],[Estimated Built Up Area (sq m)]]*Market_Data[[#This Row],[Concrete Intensity
(m³ / sq m)]],0)</f>
        <v>10332</v>
      </c>
      <c r="M1490" s="135">
        <f>_xlfn.XLOOKUP(Market_Data[[#This Row],[District]],tbl_district_price[District],tbl_district_price[Standard Price
(INR/m³)],"",0)</f>
        <v>6200</v>
      </c>
      <c r="N1490" s="364">
        <f>IF(OR(Market_Data[[#This Row],[Estimated Concrete Demand (m³)]]="",Market_Data[[#This Row],[Avg Price per (₹ / m³)]]=""),"",Market_Data[[#This Row],[Estimated Concrete Demand (m³)]]*Market_Data[[#This Row],[Avg Price per (₹ / m³)]]/10000000)</f>
        <v>6.4058400000000004</v>
      </c>
      <c r="O1490" s="97" t="str">
        <f>IF(Market_Data[[#This Row],[Estimated Concrete Demand (m³)]]="","",
IF(Market_Data[[#This Row],[Estimated Concrete Demand (m³)]]&lt;10000,"Small",
IF(Market_Data[[#This Row],[Estimated Concrete Demand (m³)]]&lt;25000,"Medium",
IF(Market_Data[[#This Row],[Estimated Concrete Demand (m³)]]&lt;100000,"Large","Mega"))))</f>
        <v>Medium</v>
      </c>
      <c r="P1490" s="287" t="str">
        <f t="shared" si="25"/>
        <v>GujRERA</v>
      </c>
    </row>
    <row r="1491" spans="1:16">
      <c r="A1491" s="129" t="str">
        <f>_xlfn.XLOOKUP(B1491,$S$9:$S$14,$T$9:$T$14)&amp;"-"&amp;
IF(E1491="Residential/Group Housing","RES",
IF(E1491="Commercial","COM",
IF(E1491="Mixed Development","MIX",
IF(E1491="Plotted Development","PLT","OTH"))))
&amp;"-"&amp;TEXT(COUNTIFS($B$9:B1491,B1491,$E$9:E1491,E1491),"0000")</f>
        <v>SUR-RES-0442</v>
      </c>
      <c r="B1491" s="322" t="s">
        <v>34</v>
      </c>
      <c r="C1491" s="322" t="s">
        <v>34</v>
      </c>
      <c r="D1491" s="323" t="s">
        <v>1681</v>
      </c>
      <c r="E1491" s="132" t="s">
        <v>24</v>
      </c>
      <c r="F1491" s="97" t="str">
        <f ca="1">IF(OR(Market_Data[[#This Row],[Start Date]]="",Market_Data[[#This Row],[Completion Date]]=""),"Needs Validation",IF(Market_Data[[#This Row],[Start Date]]&gt;TODAY(),"Planned",IF(Market_Data[[#This Row],[Completion Date]]&lt;TODAY(),"Completed","Ongoing")))</f>
        <v>Ongoing</v>
      </c>
      <c r="G1491" s="324">
        <v>45749</v>
      </c>
      <c r="H1491" s="324">
        <v>47483</v>
      </c>
      <c r="I1491" s="325">
        <v>32200</v>
      </c>
      <c r="J149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91" s="133">
        <f>_xlfn.XLOOKUP(Market_Data[[#This Row],[Project Type]],tbl_assumptions_market[Project Category (RERA)],tbl_assumptions_market[Concrete Intensity
(m³ / sq m BUA)],"",0)</f>
        <v>0.45</v>
      </c>
      <c r="L1491" s="134">
        <f>ROUND(Market_Data[[#This Row],[Estimated Built Up Area (sq m)]]*Market_Data[[#This Row],[Concrete Intensity
(m³ / sq m)]],0)</f>
        <v>14490</v>
      </c>
      <c r="M1491" s="135">
        <f>_xlfn.XLOOKUP(Market_Data[[#This Row],[District]],tbl_district_price[District],tbl_district_price[Standard Price
(INR/m³)],"",0)</f>
        <v>6200</v>
      </c>
      <c r="N1491" s="364">
        <f>IF(OR(Market_Data[[#This Row],[Estimated Concrete Demand (m³)]]="",Market_Data[[#This Row],[Avg Price per (₹ / m³)]]=""),"",Market_Data[[#This Row],[Estimated Concrete Demand (m³)]]*Market_Data[[#This Row],[Avg Price per (₹ / m³)]]/10000000)</f>
        <v>8.9838000000000005</v>
      </c>
      <c r="O1491" s="97" t="str">
        <f>IF(Market_Data[[#This Row],[Estimated Concrete Demand (m³)]]="","",
IF(Market_Data[[#This Row],[Estimated Concrete Demand (m³)]]&lt;10000,"Small",
IF(Market_Data[[#This Row],[Estimated Concrete Demand (m³)]]&lt;25000,"Medium",
IF(Market_Data[[#This Row],[Estimated Concrete Demand (m³)]]&lt;100000,"Large","Mega"))))</f>
        <v>Medium</v>
      </c>
      <c r="P1491" s="287" t="str">
        <f t="shared" si="25"/>
        <v>GujRERA</v>
      </c>
    </row>
    <row r="1492" spans="1:16">
      <c r="A1492" s="129" t="str">
        <f>_xlfn.XLOOKUP(B1492,$S$9:$S$14,$T$9:$T$14)&amp;"-"&amp;
IF(E1492="Residential/Group Housing","RES",
IF(E1492="Commercial","COM",
IF(E1492="Mixed Development","MIX",
IF(E1492="Plotted Development","PLT","OTH"))))
&amp;"-"&amp;TEXT(COUNTIFS($B$9:B1492,B1492,$E$9:E1492,E1492),"0000")</f>
        <v>SUR-RES-0443</v>
      </c>
      <c r="B1492" s="322" t="s">
        <v>34</v>
      </c>
      <c r="C1492" s="322" t="s">
        <v>34</v>
      </c>
      <c r="D1492" s="323" t="s">
        <v>1682</v>
      </c>
      <c r="E1492" s="132" t="s">
        <v>24</v>
      </c>
      <c r="F1492" s="97" t="str">
        <f ca="1">IF(OR(Market_Data[[#This Row],[Start Date]]="",Market_Data[[#This Row],[Completion Date]]=""),"Needs Validation",IF(Market_Data[[#This Row],[Start Date]]&gt;TODAY(),"Planned",IF(Market_Data[[#This Row],[Completion Date]]&lt;TODAY(),"Completed","Ongoing")))</f>
        <v>Ongoing</v>
      </c>
      <c r="G1492" s="324">
        <v>45034</v>
      </c>
      <c r="H1492" s="324">
        <v>47118</v>
      </c>
      <c r="I1492" s="325">
        <v>30600</v>
      </c>
      <c r="J149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92" s="133">
        <f>_xlfn.XLOOKUP(Market_Data[[#This Row],[Project Type]],tbl_assumptions_market[Project Category (RERA)],tbl_assumptions_market[Concrete Intensity
(m³ / sq m BUA)],"",0)</f>
        <v>0.45</v>
      </c>
      <c r="L1492" s="134">
        <f>ROUND(Market_Data[[#This Row],[Estimated Built Up Area (sq m)]]*Market_Data[[#This Row],[Concrete Intensity
(m³ / sq m)]],0)</f>
        <v>13770</v>
      </c>
      <c r="M1492" s="135">
        <f>_xlfn.XLOOKUP(Market_Data[[#This Row],[District]],tbl_district_price[District],tbl_district_price[Standard Price
(INR/m³)],"",0)</f>
        <v>6200</v>
      </c>
      <c r="N1492" s="364">
        <f>IF(OR(Market_Data[[#This Row],[Estimated Concrete Demand (m³)]]="",Market_Data[[#This Row],[Avg Price per (₹ / m³)]]=""),"",Market_Data[[#This Row],[Estimated Concrete Demand (m³)]]*Market_Data[[#This Row],[Avg Price per (₹ / m³)]]/10000000)</f>
        <v>8.5373999999999999</v>
      </c>
      <c r="O1492" s="97" t="str">
        <f>IF(Market_Data[[#This Row],[Estimated Concrete Demand (m³)]]="","",
IF(Market_Data[[#This Row],[Estimated Concrete Demand (m³)]]&lt;10000,"Small",
IF(Market_Data[[#This Row],[Estimated Concrete Demand (m³)]]&lt;25000,"Medium",
IF(Market_Data[[#This Row],[Estimated Concrete Demand (m³)]]&lt;100000,"Large","Mega"))))</f>
        <v>Medium</v>
      </c>
      <c r="P1492" s="287" t="str">
        <f t="shared" si="25"/>
        <v>GujRERA</v>
      </c>
    </row>
    <row r="1493" spans="1:16">
      <c r="A1493" s="129" t="str">
        <f>_xlfn.XLOOKUP(B1493,$S$9:$S$14,$T$9:$T$14)&amp;"-"&amp;
IF(E1493="Residential/Group Housing","RES",
IF(E1493="Commercial","COM",
IF(E1493="Mixed Development","MIX",
IF(E1493="Plotted Development","PLT","OTH"))))
&amp;"-"&amp;TEXT(COUNTIFS($B$9:B1493,B1493,$E$9:E1493,E1493),"0000")</f>
        <v>SUR-RES-0444</v>
      </c>
      <c r="B1493" s="322" t="s">
        <v>34</v>
      </c>
      <c r="C1493" s="322" t="s">
        <v>34</v>
      </c>
      <c r="D1493" s="323" t="s">
        <v>1683</v>
      </c>
      <c r="E1493" s="132" t="s">
        <v>24</v>
      </c>
      <c r="F1493" s="97" t="str">
        <f ca="1">IF(OR(Market_Data[[#This Row],[Start Date]]="",Market_Data[[#This Row],[Completion Date]]=""),"Needs Validation",IF(Market_Data[[#This Row],[Start Date]]&gt;TODAY(),"Planned",IF(Market_Data[[#This Row],[Completion Date]]&lt;TODAY(),"Completed","Ongoing")))</f>
        <v>Ongoing</v>
      </c>
      <c r="G1493" s="324">
        <v>45848</v>
      </c>
      <c r="H1493" s="324">
        <v>47848</v>
      </c>
      <c r="I1493" s="325">
        <v>19400</v>
      </c>
      <c r="J149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93" s="133">
        <f>_xlfn.XLOOKUP(Market_Data[[#This Row],[Project Type]],tbl_assumptions_market[Project Category (RERA)],tbl_assumptions_market[Concrete Intensity
(m³ / sq m BUA)],"",0)</f>
        <v>0.45</v>
      </c>
      <c r="L1493" s="134">
        <f>ROUND(Market_Data[[#This Row],[Estimated Built Up Area (sq m)]]*Market_Data[[#This Row],[Concrete Intensity
(m³ / sq m)]],0)</f>
        <v>8730</v>
      </c>
      <c r="M1493" s="135">
        <f>_xlfn.XLOOKUP(Market_Data[[#This Row],[District]],tbl_district_price[District],tbl_district_price[Standard Price
(INR/m³)],"",0)</f>
        <v>6200</v>
      </c>
      <c r="N1493" s="364">
        <f>IF(OR(Market_Data[[#This Row],[Estimated Concrete Demand (m³)]]="",Market_Data[[#This Row],[Avg Price per (₹ / m³)]]=""),"",Market_Data[[#This Row],[Estimated Concrete Demand (m³)]]*Market_Data[[#This Row],[Avg Price per (₹ / m³)]]/10000000)</f>
        <v>5.4126000000000003</v>
      </c>
      <c r="O1493" s="97" t="str">
        <f>IF(Market_Data[[#This Row],[Estimated Concrete Demand (m³)]]="","",
IF(Market_Data[[#This Row],[Estimated Concrete Demand (m³)]]&lt;10000,"Small",
IF(Market_Data[[#This Row],[Estimated Concrete Demand (m³)]]&lt;25000,"Medium",
IF(Market_Data[[#This Row],[Estimated Concrete Demand (m³)]]&lt;100000,"Large","Mega"))))</f>
        <v>Small</v>
      </c>
      <c r="P1493" s="287" t="str">
        <f t="shared" si="25"/>
        <v>GujRERA</v>
      </c>
    </row>
    <row r="1494" spans="1:16">
      <c r="A1494" s="129" t="str">
        <f>_xlfn.XLOOKUP(B1494,$S$9:$S$14,$T$9:$T$14)&amp;"-"&amp;
IF(E1494="Residential/Group Housing","RES",
IF(E1494="Commercial","COM",
IF(E1494="Mixed Development","MIX",
IF(E1494="Plotted Development","PLT","OTH"))))
&amp;"-"&amp;TEXT(COUNTIFS($B$9:B1494,B1494,$E$9:E1494,E1494),"0000")</f>
        <v>SUR-COM-0232</v>
      </c>
      <c r="B1494" s="322" t="s">
        <v>34</v>
      </c>
      <c r="C1494" s="322" t="s">
        <v>34</v>
      </c>
      <c r="D1494" s="323" t="s">
        <v>1684</v>
      </c>
      <c r="E1494" s="132" t="s">
        <v>23</v>
      </c>
      <c r="F1494" s="97" t="str">
        <f ca="1">IF(OR(Market_Data[[#This Row],[Start Date]]="",Market_Data[[#This Row],[Completion Date]]=""),"Needs Validation",IF(Market_Data[[#This Row],[Start Date]]&gt;TODAY(),"Planned",IF(Market_Data[[#This Row],[Completion Date]]&lt;TODAY(),"Completed","Ongoing")))</f>
        <v>Ongoing</v>
      </c>
      <c r="G1494" s="324">
        <v>45912</v>
      </c>
      <c r="H1494" s="324">
        <v>47848</v>
      </c>
      <c r="I1494" s="325">
        <v>16600</v>
      </c>
      <c r="J149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94" s="133">
        <f>_xlfn.XLOOKUP(Market_Data[[#This Row],[Project Type]],tbl_assumptions_market[Project Category (RERA)],tbl_assumptions_market[Concrete Intensity
(m³ / sq m BUA)],"",0)</f>
        <v>0.5</v>
      </c>
      <c r="L1494" s="134">
        <f>ROUND(Market_Data[[#This Row],[Estimated Built Up Area (sq m)]]*Market_Data[[#This Row],[Concrete Intensity
(m³ / sq m)]],0)</f>
        <v>8300</v>
      </c>
      <c r="M1494" s="135">
        <f>_xlfn.XLOOKUP(Market_Data[[#This Row],[District]],tbl_district_price[District],tbl_district_price[Standard Price
(INR/m³)],"",0)</f>
        <v>6200</v>
      </c>
      <c r="N1494" s="364">
        <f>IF(OR(Market_Data[[#This Row],[Estimated Concrete Demand (m³)]]="",Market_Data[[#This Row],[Avg Price per (₹ / m³)]]=""),"",Market_Data[[#This Row],[Estimated Concrete Demand (m³)]]*Market_Data[[#This Row],[Avg Price per (₹ / m³)]]/10000000)</f>
        <v>5.1459999999999999</v>
      </c>
      <c r="O1494" s="97" t="str">
        <f>IF(Market_Data[[#This Row],[Estimated Concrete Demand (m³)]]="","",
IF(Market_Data[[#This Row],[Estimated Concrete Demand (m³)]]&lt;10000,"Small",
IF(Market_Data[[#This Row],[Estimated Concrete Demand (m³)]]&lt;25000,"Medium",
IF(Market_Data[[#This Row],[Estimated Concrete Demand (m³)]]&lt;100000,"Large","Mega"))))</f>
        <v>Small</v>
      </c>
      <c r="P1494" s="287" t="str">
        <f t="shared" si="25"/>
        <v>GujRERA</v>
      </c>
    </row>
    <row r="1495" spans="1:16">
      <c r="A1495" s="129" t="str">
        <f>_xlfn.XLOOKUP(B1495,$S$9:$S$14,$T$9:$T$14)&amp;"-"&amp;
IF(E1495="Residential/Group Housing","RES",
IF(E1495="Commercial","COM",
IF(E1495="Mixed Development","MIX",
IF(E1495="Plotted Development","PLT","OTH"))))
&amp;"-"&amp;TEXT(COUNTIFS($B$9:B1495,B1495,$E$9:E1495,E1495),"0000")</f>
        <v>SUR-MIX-0217</v>
      </c>
      <c r="B1495" s="322" t="s">
        <v>34</v>
      </c>
      <c r="C1495" s="322" t="s">
        <v>34</v>
      </c>
      <c r="D1495" s="323" t="s">
        <v>1685</v>
      </c>
      <c r="E1495" s="132" t="s">
        <v>25</v>
      </c>
      <c r="F1495" s="97" t="str">
        <f ca="1">IF(OR(Market_Data[[#This Row],[Start Date]]="",Market_Data[[#This Row],[Completion Date]]=""),"Needs Validation",IF(Market_Data[[#This Row],[Start Date]]&gt;TODAY(),"Planned",IF(Market_Data[[#This Row],[Completion Date]]&lt;TODAY(),"Completed","Ongoing")))</f>
        <v>Completed</v>
      </c>
      <c r="G1495" s="324">
        <v>44651</v>
      </c>
      <c r="H1495" s="324">
        <v>46129</v>
      </c>
      <c r="I1495" s="325">
        <v>24100</v>
      </c>
      <c r="J149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95" s="133">
        <f>_xlfn.XLOOKUP(Market_Data[[#This Row],[Project Type]],tbl_assumptions_market[Project Category (RERA)],tbl_assumptions_market[Concrete Intensity
(m³ / sq m BUA)],"",0)</f>
        <v>0.42</v>
      </c>
      <c r="L1495" s="134">
        <f>ROUND(Market_Data[[#This Row],[Estimated Built Up Area (sq m)]]*Market_Data[[#This Row],[Concrete Intensity
(m³ / sq m)]],0)</f>
        <v>10122</v>
      </c>
      <c r="M1495" s="135">
        <f>_xlfn.XLOOKUP(Market_Data[[#This Row],[District]],tbl_district_price[District],tbl_district_price[Standard Price
(INR/m³)],"",0)</f>
        <v>6200</v>
      </c>
      <c r="N1495" s="364">
        <f>IF(OR(Market_Data[[#This Row],[Estimated Concrete Demand (m³)]]="",Market_Data[[#This Row],[Avg Price per (₹ / m³)]]=""),"",Market_Data[[#This Row],[Estimated Concrete Demand (m³)]]*Market_Data[[#This Row],[Avg Price per (₹ / m³)]]/10000000)</f>
        <v>6.2756400000000001</v>
      </c>
      <c r="O1495" s="97" t="str">
        <f>IF(Market_Data[[#This Row],[Estimated Concrete Demand (m³)]]="","",
IF(Market_Data[[#This Row],[Estimated Concrete Demand (m³)]]&lt;10000,"Small",
IF(Market_Data[[#This Row],[Estimated Concrete Demand (m³)]]&lt;25000,"Medium",
IF(Market_Data[[#This Row],[Estimated Concrete Demand (m³)]]&lt;100000,"Large","Mega"))))</f>
        <v>Medium</v>
      </c>
      <c r="P1495" s="287" t="str">
        <f t="shared" si="25"/>
        <v>GujRERA</v>
      </c>
    </row>
    <row r="1496" spans="1:16">
      <c r="A1496" s="129" t="str">
        <f>_xlfn.XLOOKUP(B1496,$S$9:$S$14,$T$9:$T$14)&amp;"-"&amp;
IF(E1496="Residential/Group Housing","RES",
IF(E1496="Commercial","COM",
IF(E1496="Mixed Development","MIX",
IF(E1496="Plotted Development","PLT","OTH"))))
&amp;"-"&amp;TEXT(COUNTIFS($B$9:B1496,B1496,$E$9:E1496,E1496),"0000")</f>
        <v>SUR-MIX-0218</v>
      </c>
      <c r="B1496" s="322" t="s">
        <v>34</v>
      </c>
      <c r="C1496" s="322" t="s">
        <v>34</v>
      </c>
      <c r="D1496" s="323" t="s">
        <v>1686</v>
      </c>
      <c r="E1496" s="132" t="s">
        <v>25</v>
      </c>
      <c r="F1496" s="97" t="str">
        <f ca="1">IF(OR(Market_Data[[#This Row],[Start Date]]="",Market_Data[[#This Row],[Completion Date]]=""),"Needs Validation",IF(Market_Data[[#This Row],[Start Date]]&gt;TODAY(),"Planned",IF(Market_Data[[#This Row],[Completion Date]]&lt;TODAY(),"Completed","Ongoing")))</f>
        <v>Ongoing</v>
      </c>
      <c r="G1496" s="324">
        <v>45940</v>
      </c>
      <c r="H1496" s="324">
        <v>47483</v>
      </c>
      <c r="I1496" s="325">
        <v>56500</v>
      </c>
      <c r="J149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96" s="133">
        <f>_xlfn.XLOOKUP(Market_Data[[#This Row],[Project Type]],tbl_assumptions_market[Project Category (RERA)],tbl_assumptions_market[Concrete Intensity
(m³ / sq m BUA)],"",0)</f>
        <v>0.42</v>
      </c>
      <c r="L1496" s="134">
        <f>ROUND(Market_Data[[#This Row],[Estimated Built Up Area (sq m)]]*Market_Data[[#This Row],[Concrete Intensity
(m³ / sq m)]],0)</f>
        <v>23730</v>
      </c>
      <c r="M1496" s="135">
        <f>_xlfn.XLOOKUP(Market_Data[[#This Row],[District]],tbl_district_price[District],tbl_district_price[Standard Price
(INR/m³)],"",0)</f>
        <v>6200</v>
      </c>
      <c r="N1496" s="364">
        <f>IF(OR(Market_Data[[#This Row],[Estimated Concrete Demand (m³)]]="",Market_Data[[#This Row],[Avg Price per (₹ / m³)]]=""),"",Market_Data[[#This Row],[Estimated Concrete Demand (m³)]]*Market_Data[[#This Row],[Avg Price per (₹ / m³)]]/10000000)</f>
        <v>14.7126</v>
      </c>
      <c r="O1496" s="97" t="str">
        <f>IF(Market_Data[[#This Row],[Estimated Concrete Demand (m³)]]="","",
IF(Market_Data[[#This Row],[Estimated Concrete Demand (m³)]]&lt;10000,"Small",
IF(Market_Data[[#This Row],[Estimated Concrete Demand (m³)]]&lt;25000,"Medium",
IF(Market_Data[[#This Row],[Estimated Concrete Demand (m³)]]&lt;100000,"Large","Mega"))))</f>
        <v>Medium</v>
      </c>
      <c r="P1496" s="287" t="str">
        <f t="shared" si="25"/>
        <v>GujRERA</v>
      </c>
    </row>
    <row r="1497" spans="1:16">
      <c r="A1497" s="129" t="str">
        <f>_xlfn.XLOOKUP(B1497,$S$9:$S$14,$T$9:$T$14)&amp;"-"&amp;
IF(E1497="Residential/Group Housing","RES",
IF(E1497="Commercial","COM",
IF(E1497="Mixed Development","MIX",
IF(E1497="Plotted Development","PLT","OTH"))))
&amp;"-"&amp;TEXT(COUNTIFS($B$9:B1497,B1497,$E$9:E1497,E1497),"0000")</f>
        <v>SUR-COM-0233</v>
      </c>
      <c r="B1497" s="322" t="s">
        <v>34</v>
      </c>
      <c r="C1497" s="322" t="s">
        <v>34</v>
      </c>
      <c r="D1497" s="323" t="s">
        <v>1687</v>
      </c>
      <c r="E1497" s="132" t="s">
        <v>23</v>
      </c>
      <c r="F1497" s="97" t="str">
        <f ca="1">IF(OR(Market_Data[[#This Row],[Start Date]]="",Market_Data[[#This Row],[Completion Date]]=""),"Needs Validation",IF(Market_Data[[#This Row],[Start Date]]&gt;TODAY(),"Planned",IF(Market_Data[[#This Row],[Completion Date]]&lt;TODAY(),"Completed","Ongoing")))</f>
        <v>Ongoing</v>
      </c>
      <c r="G1497" s="324">
        <v>45940</v>
      </c>
      <c r="H1497" s="324">
        <v>47483</v>
      </c>
      <c r="I1497" s="325">
        <v>47500</v>
      </c>
      <c r="J149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497" s="133">
        <f>_xlfn.XLOOKUP(Market_Data[[#This Row],[Project Type]],tbl_assumptions_market[Project Category (RERA)],tbl_assumptions_market[Concrete Intensity
(m³ / sq m BUA)],"",0)</f>
        <v>0.5</v>
      </c>
      <c r="L1497" s="134">
        <f>ROUND(Market_Data[[#This Row],[Estimated Built Up Area (sq m)]]*Market_Data[[#This Row],[Concrete Intensity
(m³ / sq m)]],0)</f>
        <v>23750</v>
      </c>
      <c r="M1497" s="135">
        <f>_xlfn.XLOOKUP(Market_Data[[#This Row],[District]],tbl_district_price[District],tbl_district_price[Standard Price
(INR/m³)],"",0)</f>
        <v>6200</v>
      </c>
      <c r="N1497" s="364">
        <f>IF(OR(Market_Data[[#This Row],[Estimated Concrete Demand (m³)]]="",Market_Data[[#This Row],[Avg Price per (₹ / m³)]]=""),"",Market_Data[[#This Row],[Estimated Concrete Demand (m³)]]*Market_Data[[#This Row],[Avg Price per (₹ / m³)]]/10000000)</f>
        <v>14.725</v>
      </c>
      <c r="O1497" s="97" t="str">
        <f>IF(Market_Data[[#This Row],[Estimated Concrete Demand (m³)]]="","",
IF(Market_Data[[#This Row],[Estimated Concrete Demand (m³)]]&lt;10000,"Small",
IF(Market_Data[[#This Row],[Estimated Concrete Demand (m³)]]&lt;25000,"Medium",
IF(Market_Data[[#This Row],[Estimated Concrete Demand (m³)]]&lt;100000,"Large","Mega"))))</f>
        <v>Medium</v>
      </c>
      <c r="P1497" s="287" t="str">
        <f t="shared" si="25"/>
        <v>GujRERA</v>
      </c>
    </row>
    <row r="1498" spans="1:16">
      <c r="A1498" s="129" t="str">
        <f>_xlfn.XLOOKUP(B1498,$S$9:$S$14,$T$9:$T$14)&amp;"-"&amp;
IF(E1498="Residential/Group Housing","RES",
IF(E1498="Commercial","COM",
IF(E1498="Mixed Development","MIX",
IF(E1498="Plotted Development","PLT","OTH"))))
&amp;"-"&amp;TEXT(COUNTIFS($B$9:B1498,B1498,$E$9:E1498,E1498),"0000")</f>
        <v>SUR-MIX-0219</v>
      </c>
      <c r="B1498" s="322" t="s">
        <v>34</v>
      </c>
      <c r="C1498" s="322" t="s">
        <v>34</v>
      </c>
      <c r="D1498" s="323" t="s">
        <v>1688</v>
      </c>
      <c r="E1498" s="132" t="s">
        <v>25</v>
      </c>
      <c r="F1498" s="97" t="str">
        <f ca="1">IF(OR(Market_Data[[#This Row],[Start Date]]="",Market_Data[[#This Row],[Completion Date]]=""),"Needs Validation",IF(Market_Data[[#This Row],[Start Date]]&gt;TODAY(),"Planned",IF(Market_Data[[#This Row],[Completion Date]]&lt;TODAY(),"Completed","Ongoing")))</f>
        <v>Completed</v>
      </c>
      <c r="G1498" s="324">
        <v>43921</v>
      </c>
      <c r="H1498" s="324">
        <v>45505</v>
      </c>
      <c r="I1498" s="325">
        <v>2500</v>
      </c>
      <c r="J149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498" s="133">
        <f>_xlfn.XLOOKUP(Market_Data[[#This Row],[Project Type]],tbl_assumptions_market[Project Category (RERA)],tbl_assumptions_market[Concrete Intensity
(m³ / sq m BUA)],"",0)</f>
        <v>0.42</v>
      </c>
      <c r="L1498" s="134">
        <f>ROUND(Market_Data[[#This Row],[Estimated Built Up Area (sq m)]]*Market_Data[[#This Row],[Concrete Intensity
(m³ / sq m)]],0)</f>
        <v>1050</v>
      </c>
      <c r="M1498" s="135">
        <f>_xlfn.XLOOKUP(Market_Data[[#This Row],[District]],tbl_district_price[District],tbl_district_price[Standard Price
(INR/m³)],"",0)</f>
        <v>6200</v>
      </c>
      <c r="N1498" s="364">
        <f>IF(OR(Market_Data[[#This Row],[Estimated Concrete Demand (m³)]]="",Market_Data[[#This Row],[Avg Price per (₹ / m³)]]=""),"",Market_Data[[#This Row],[Estimated Concrete Demand (m³)]]*Market_Data[[#This Row],[Avg Price per (₹ / m³)]]/10000000)</f>
        <v>0.65100000000000002</v>
      </c>
      <c r="O1498" s="97" t="str">
        <f>IF(Market_Data[[#This Row],[Estimated Concrete Demand (m³)]]="","",
IF(Market_Data[[#This Row],[Estimated Concrete Demand (m³)]]&lt;10000,"Small",
IF(Market_Data[[#This Row],[Estimated Concrete Demand (m³)]]&lt;25000,"Medium",
IF(Market_Data[[#This Row],[Estimated Concrete Demand (m³)]]&lt;100000,"Large","Mega"))))</f>
        <v>Small</v>
      </c>
      <c r="P1498" s="287" t="str">
        <f t="shared" si="25"/>
        <v>GujRERA</v>
      </c>
    </row>
    <row r="1499" spans="1:16">
      <c r="A1499" s="129" t="str">
        <f>_xlfn.XLOOKUP(B1499,$S$9:$S$14,$T$9:$T$14)&amp;"-"&amp;
IF(E1499="Residential/Group Housing","RES",
IF(E1499="Commercial","COM",
IF(E1499="Mixed Development","MIX",
IF(E1499="Plotted Development","PLT","OTH"))))
&amp;"-"&amp;TEXT(COUNTIFS($B$9:B1499,B1499,$E$9:E1499,E1499),"0000")</f>
        <v>SUR-PLT-0285</v>
      </c>
      <c r="B1499" s="322" t="s">
        <v>34</v>
      </c>
      <c r="C1499" s="322" t="s">
        <v>34</v>
      </c>
      <c r="D1499" s="323" t="s">
        <v>1689</v>
      </c>
      <c r="E1499" s="132" t="s">
        <v>26</v>
      </c>
      <c r="F1499" s="97" t="str">
        <f ca="1">IF(OR(Market_Data[[#This Row],[Start Date]]="",Market_Data[[#This Row],[Completion Date]]=""),"Needs Validation",IF(Market_Data[[#This Row],[Start Date]]&gt;TODAY(),"Planned",IF(Market_Data[[#This Row],[Completion Date]]&lt;TODAY(),"Completed","Ongoing")))</f>
        <v>Completed</v>
      </c>
      <c r="G1499" s="324">
        <v>44880</v>
      </c>
      <c r="H1499" s="324">
        <v>45626</v>
      </c>
      <c r="I1499" s="325">
        <v>11000</v>
      </c>
      <c r="J149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499" s="133">
        <f>_xlfn.XLOOKUP(Market_Data[[#This Row],[Project Type]],tbl_assumptions_market[Project Category (RERA)],tbl_assumptions_market[Concrete Intensity
(m³ / sq m BUA)],"",0)</f>
        <v>0.18</v>
      </c>
      <c r="L1499" s="134">
        <f>ROUND(Market_Data[[#This Row],[Estimated Built Up Area (sq m)]]*Market_Data[[#This Row],[Concrete Intensity
(m³ / sq m)]],0)</f>
        <v>1980</v>
      </c>
      <c r="M1499" s="135">
        <f>_xlfn.XLOOKUP(Market_Data[[#This Row],[District]],tbl_district_price[District],tbl_district_price[Standard Price
(INR/m³)],"",0)</f>
        <v>6200</v>
      </c>
      <c r="N1499" s="364">
        <f>IF(OR(Market_Data[[#This Row],[Estimated Concrete Demand (m³)]]="",Market_Data[[#This Row],[Avg Price per (₹ / m³)]]=""),"",Market_Data[[#This Row],[Estimated Concrete Demand (m³)]]*Market_Data[[#This Row],[Avg Price per (₹ / m³)]]/10000000)</f>
        <v>1.2276</v>
      </c>
      <c r="O1499" s="97" t="str">
        <f>IF(Market_Data[[#This Row],[Estimated Concrete Demand (m³)]]="","",
IF(Market_Data[[#This Row],[Estimated Concrete Demand (m³)]]&lt;10000,"Small",
IF(Market_Data[[#This Row],[Estimated Concrete Demand (m³)]]&lt;25000,"Medium",
IF(Market_Data[[#This Row],[Estimated Concrete Demand (m³)]]&lt;100000,"Large","Mega"))))</f>
        <v>Small</v>
      </c>
      <c r="P1499" s="287" t="str">
        <f t="shared" si="25"/>
        <v>GujRERA</v>
      </c>
    </row>
    <row r="1500" spans="1:16">
      <c r="A1500" s="129" t="str">
        <f>_xlfn.XLOOKUP(B1500,$S$9:$S$14,$T$9:$T$14)&amp;"-"&amp;
IF(E1500="Residential/Group Housing","RES",
IF(E1500="Commercial","COM",
IF(E1500="Mixed Development","MIX",
IF(E1500="Plotted Development","PLT","OTH"))))
&amp;"-"&amp;TEXT(COUNTIFS($B$9:B1500,B1500,$E$9:E1500,E1500),"0000")</f>
        <v>SUR-MIX-0220</v>
      </c>
      <c r="B1500" s="322" t="s">
        <v>34</v>
      </c>
      <c r="C1500" s="322" t="s">
        <v>34</v>
      </c>
      <c r="D1500" s="323" t="s">
        <v>1690</v>
      </c>
      <c r="E1500" s="132" t="s">
        <v>25</v>
      </c>
      <c r="F1500" s="97" t="str">
        <f ca="1">IF(OR(Market_Data[[#This Row],[Start Date]]="",Market_Data[[#This Row],[Completion Date]]=""),"Needs Validation",IF(Market_Data[[#This Row],[Start Date]]&gt;TODAY(),"Planned",IF(Market_Data[[#This Row],[Completion Date]]&lt;TODAY(),"Completed","Ongoing")))</f>
        <v>Completed</v>
      </c>
      <c r="G1500" s="324">
        <v>44276</v>
      </c>
      <c r="H1500" s="324">
        <v>45229</v>
      </c>
      <c r="I1500" s="325">
        <v>32900</v>
      </c>
      <c r="J150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00" s="133">
        <f>_xlfn.XLOOKUP(Market_Data[[#This Row],[Project Type]],tbl_assumptions_market[Project Category (RERA)],tbl_assumptions_market[Concrete Intensity
(m³ / sq m BUA)],"",0)</f>
        <v>0.42</v>
      </c>
      <c r="L1500" s="134">
        <f>ROUND(Market_Data[[#This Row],[Estimated Built Up Area (sq m)]]*Market_Data[[#This Row],[Concrete Intensity
(m³ / sq m)]],0)</f>
        <v>13818</v>
      </c>
      <c r="M1500" s="135">
        <f>_xlfn.XLOOKUP(Market_Data[[#This Row],[District]],tbl_district_price[District],tbl_district_price[Standard Price
(INR/m³)],"",0)</f>
        <v>6200</v>
      </c>
      <c r="N1500" s="364">
        <f>IF(OR(Market_Data[[#This Row],[Estimated Concrete Demand (m³)]]="",Market_Data[[#This Row],[Avg Price per (₹ / m³)]]=""),"",Market_Data[[#This Row],[Estimated Concrete Demand (m³)]]*Market_Data[[#This Row],[Avg Price per (₹ / m³)]]/10000000)</f>
        <v>8.5671599999999994</v>
      </c>
      <c r="O1500" s="97" t="str">
        <f>IF(Market_Data[[#This Row],[Estimated Concrete Demand (m³)]]="","",
IF(Market_Data[[#This Row],[Estimated Concrete Demand (m³)]]&lt;10000,"Small",
IF(Market_Data[[#This Row],[Estimated Concrete Demand (m³)]]&lt;25000,"Medium",
IF(Market_Data[[#This Row],[Estimated Concrete Demand (m³)]]&lt;100000,"Large","Mega"))))</f>
        <v>Medium</v>
      </c>
      <c r="P1500" s="287" t="str">
        <f t="shared" si="25"/>
        <v>GujRERA</v>
      </c>
    </row>
    <row r="1501" spans="1:16">
      <c r="A1501" s="129" t="str">
        <f>_xlfn.XLOOKUP(B1501,$S$9:$S$14,$T$9:$T$14)&amp;"-"&amp;
IF(E1501="Residential/Group Housing","RES",
IF(E1501="Commercial","COM",
IF(E1501="Mixed Development","MIX",
IF(E1501="Plotted Development","PLT","OTH"))))
&amp;"-"&amp;TEXT(COUNTIFS($B$9:B1501,B1501,$E$9:E1501,E1501),"0000")</f>
        <v>SUR-RES-0445</v>
      </c>
      <c r="B1501" s="322" t="s">
        <v>34</v>
      </c>
      <c r="C1501" s="322" t="s">
        <v>34</v>
      </c>
      <c r="D1501" s="323" t="s">
        <v>1691</v>
      </c>
      <c r="E1501" s="132" t="s">
        <v>24</v>
      </c>
      <c r="F1501" s="97" t="str">
        <f ca="1">IF(OR(Market_Data[[#This Row],[Start Date]]="",Market_Data[[#This Row],[Completion Date]]=""),"Needs Validation",IF(Market_Data[[#This Row],[Start Date]]&gt;TODAY(),"Planned",IF(Market_Data[[#This Row],[Completion Date]]&lt;TODAY(),"Completed","Ongoing")))</f>
        <v>Completed</v>
      </c>
      <c r="G1501" s="324">
        <v>42592</v>
      </c>
      <c r="H1501" s="324">
        <v>44237</v>
      </c>
      <c r="I1501" s="325">
        <v>17500</v>
      </c>
      <c r="J150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01" s="133">
        <f>_xlfn.XLOOKUP(Market_Data[[#This Row],[Project Type]],tbl_assumptions_market[Project Category (RERA)],tbl_assumptions_market[Concrete Intensity
(m³ / sq m BUA)],"",0)</f>
        <v>0.45</v>
      </c>
      <c r="L1501" s="134">
        <f>ROUND(Market_Data[[#This Row],[Estimated Built Up Area (sq m)]]*Market_Data[[#This Row],[Concrete Intensity
(m³ / sq m)]],0)</f>
        <v>7875</v>
      </c>
      <c r="M1501" s="135">
        <f>_xlfn.XLOOKUP(Market_Data[[#This Row],[District]],tbl_district_price[District],tbl_district_price[Standard Price
(INR/m³)],"",0)</f>
        <v>6200</v>
      </c>
      <c r="N1501" s="364">
        <f>IF(OR(Market_Data[[#This Row],[Estimated Concrete Demand (m³)]]="",Market_Data[[#This Row],[Avg Price per (₹ / m³)]]=""),"",Market_Data[[#This Row],[Estimated Concrete Demand (m³)]]*Market_Data[[#This Row],[Avg Price per (₹ / m³)]]/10000000)</f>
        <v>4.8825000000000003</v>
      </c>
      <c r="O1501" s="97" t="str">
        <f>IF(Market_Data[[#This Row],[Estimated Concrete Demand (m³)]]="","",
IF(Market_Data[[#This Row],[Estimated Concrete Demand (m³)]]&lt;10000,"Small",
IF(Market_Data[[#This Row],[Estimated Concrete Demand (m³)]]&lt;25000,"Medium",
IF(Market_Data[[#This Row],[Estimated Concrete Demand (m³)]]&lt;100000,"Large","Mega"))))</f>
        <v>Small</v>
      </c>
      <c r="P1501" s="287" t="str">
        <f t="shared" si="25"/>
        <v>GujRERA</v>
      </c>
    </row>
    <row r="1502" spans="1:16">
      <c r="A1502" s="129" t="str">
        <f>_xlfn.XLOOKUP(B1502,$S$9:$S$14,$T$9:$T$14)&amp;"-"&amp;
IF(E1502="Residential/Group Housing","RES",
IF(E1502="Commercial","COM",
IF(E1502="Mixed Development","MIX",
IF(E1502="Plotted Development","PLT","OTH"))))
&amp;"-"&amp;TEXT(COUNTIFS($B$9:B1502,B1502,$E$9:E1502,E1502),"0000")</f>
        <v>SUR-MIX-0221</v>
      </c>
      <c r="B1502" s="322" t="s">
        <v>34</v>
      </c>
      <c r="C1502" s="322" t="s">
        <v>34</v>
      </c>
      <c r="D1502" s="323" t="s">
        <v>1692</v>
      </c>
      <c r="E1502" s="132" t="s">
        <v>25</v>
      </c>
      <c r="F1502" s="97" t="str">
        <f ca="1">IF(OR(Market_Data[[#This Row],[Start Date]]="",Market_Data[[#This Row],[Completion Date]]=""),"Needs Validation",IF(Market_Data[[#This Row],[Start Date]]&gt;TODAY(),"Planned",IF(Market_Data[[#This Row],[Completion Date]]&lt;TODAY(),"Completed","Ongoing")))</f>
        <v>Ongoing</v>
      </c>
      <c r="G1502" s="324">
        <v>45397</v>
      </c>
      <c r="H1502" s="324">
        <v>47483</v>
      </c>
      <c r="I1502" s="325">
        <v>18100</v>
      </c>
      <c r="J150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02" s="133">
        <f>_xlfn.XLOOKUP(Market_Data[[#This Row],[Project Type]],tbl_assumptions_market[Project Category (RERA)],tbl_assumptions_market[Concrete Intensity
(m³ / sq m BUA)],"",0)</f>
        <v>0.42</v>
      </c>
      <c r="L1502" s="134">
        <f>ROUND(Market_Data[[#This Row],[Estimated Built Up Area (sq m)]]*Market_Data[[#This Row],[Concrete Intensity
(m³ / sq m)]],0)</f>
        <v>7602</v>
      </c>
      <c r="M1502" s="135">
        <f>_xlfn.XLOOKUP(Market_Data[[#This Row],[District]],tbl_district_price[District],tbl_district_price[Standard Price
(INR/m³)],"",0)</f>
        <v>6200</v>
      </c>
      <c r="N1502" s="364">
        <f>IF(OR(Market_Data[[#This Row],[Estimated Concrete Demand (m³)]]="",Market_Data[[#This Row],[Avg Price per (₹ / m³)]]=""),"",Market_Data[[#This Row],[Estimated Concrete Demand (m³)]]*Market_Data[[#This Row],[Avg Price per (₹ / m³)]]/10000000)</f>
        <v>4.7132399999999999</v>
      </c>
      <c r="O1502" s="97" t="str">
        <f>IF(Market_Data[[#This Row],[Estimated Concrete Demand (m³)]]="","",
IF(Market_Data[[#This Row],[Estimated Concrete Demand (m³)]]&lt;10000,"Small",
IF(Market_Data[[#This Row],[Estimated Concrete Demand (m³)]]&lt;25000,"Medium",
IF(Market_Data[[#This Row],[Estimated Concrete Demand (m³)]]&lt;100000,"Large","Mega"))))</f>
        <v>Small</v>
      </c>
      <c r="P1502" s="287" t="str">
        <f t="shared" si="25"/>
        <v>GujRERA</v>
      </c>
    </row>
    <row r="1503" spans="1:16">
      <c r="A1503" s="129" t="str">
        <f>_xlfn.XLOOKUP(B1503,$S$9:$S$14,$T$9:$T$14)&amp;"-"&amp;
IF(E1503="Residential/Group Housing","RES",
IF(E1503="Commercial","COM",
IF(E1503="Mixed Development","MIX",
IF(E1503="Plotted Development","PLT","OTH"))))
&amp;"-"&amp;TEXT(COUNTIFS($B$9:B1503,B1503,$E$9:E1503,E1503),"0000")</f>
        <v>SUR-MIX-0222</v>
      </c>
      <c r="B1503" s="322" t="s">
        <v>34</v>
      </c>
      <c r="C1503" s="322" t="s">
        <v>34</v>
      </c>
      <c r="D1503" s="323" t="s">
        <v>1693</v>
      </c>
      <c r="E1503" s="132" t="s">
        <v>25</v>
      </c>
      <c r="F1503" s="97" t="str">
        <f ca="1">IF(OR(Market_Data[[#This Row],[Start Date]]="",Market_Data[[#This Row],[Completion Date]]=""),"Needs Validation",IF(Market_Data[[#This Row],[Start Date]]&gt;TODAY(),"Planned",IF(Market_Data[[#This Row],[Completion Date]]&lt;TODAY(),"Completed","Ongoing")))</f>
        <v>Completed</v>
      </c>
      <c r="G1503" s="324">
        <v>43491</v>
      </c>
      <c r="H1503" s="324">
        <v>44742</v>
      </c>
      <c r="I1503" s="325">
        <v>46200</v>
      </c>
      <c r="J150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03" s="133">
        <f>_xlfn.XLOOKUP(Market_Data[[#This Row],[Project Type]],tbl_assumptions_market[Project Category (RERA)],tbl_assumptions_market[Concrete Intensity
(m³ / sq m BUA)],"",0)</f>
        <v>0.42</v>
      </c>
      <c r="L1503" s="134">
        <f>ROUND(Market_Data[[#This Row],[Estimated Built Up Area (sq m)]]*Market_Data[[#This Row],[Concrete Intensity
(m³ / sq m)]],0)</f>
        <v>19404</v>
      </c>
      <c r="M1503" s="135">
        <f>_xlfn.XLOOKUP(Market_Data[[#This Row],[District]],tbl_district_price[District],tbl_district_price[Standard Price
(INR/m³)],"",0)</f>
        <v>6200</v>
      </c>
      <c r="N1503" s="364">
        <f>IF(OR(Market_Data[[#This Row],[Estimated Concrete Demand (m³)]]="",Market_Data[[#This Row],[Avg Price per (₹ / m³)]]=""),"",Market_Data[[#This Row],[Estimated Concrete Demand (m³)]]*Market_Data[[#This Row],[Avg Price per (₹ / m³)]]/10000000)</f>
        <v>12.030480000000001</v>
      </c>
      <c r="O1503" s="97" t="str">
        <f>IF(Market_Data[[#This Row],[Estimated Concrete Demand (m³)]]="","",
IF(Market_Data[[#This Row],[Estimated Concrete Demand (m³)]]&lt;10000,"Small",
IF(Market_Data[[#This Row],[Estimated Concrete Demand (m³)]]&lt;25000,"Medium",
IF(Market_Data[[#This Row],[Estimated Concrete Demand (m³)]]&lt;100000,"Large","Mega"))))</f>
        <v>Medium</v>
      </c>
      <c r="P1503" s="287" t="str">
        <f t="shared" si="25"/>
        <v>GujRERA</v>
      </c>
    </row>
    <row r="1504" spans="1:16">
      <c r="A1504" s="129" t="str">
        <f>_xlfn.XLOOKUP(B1504,$S$9:$S$14,$T$9:$T$14)&amp;"-"&amp;
IF(E1504="Residential/Group Housing","RES",
IF(E1504="Commercial","COM",
IF(E1504="Mixed Development","MIX",
IF(E1504="Plotted Development","PLT","OTH"))))
&amp;"-"&amp;TEXT(COUNTIFS($B$9:B1504,B1504,$E$9:E1504,E1504),"0000")</f>
        <v>SUR-MIX-0223</v>
      </c>
      <c r="B1504" s="322" t="s">
        <v>34</v>
      </c>
      <c r="C1504" s="322" t="s">
        <v>34</v>
      </c>
      <c r="D1504" s="323" t="s">
        <v>1694</v>
      </c>
      <c r="E1504" s="132" t="s">
        <v>25</v>
      </c>
      <c r="F1504" s="97" t="str">
        <f ca="1">IF(OR(Market_Data[[#This Row],[Start Date]]="",Market_Data[[#This Row],[Completion Date]]=""),"Needs Validation",IF(Market_Data[[#This Row],[Start Date]]&gt;TODAY(),"Planned",IF(Market_Data[[#This Row],[Completion Date]]&lt;TODAY(),"Completed","Ongoing")))</f>
        <v>Ongoing</v>
      </c>
      <c r="G1504" s="324">
        <v>45200</v>
      </c>
      <c r="H1504" s="324">
        <v>46376</v>
      </c>
      <c r="I1504" s="325">
        <v>39700</v>
      </c>
      <c r="J150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04" s="133">
        <f>_xlfn.XLOOKUP(Market_Data[[#This Row],[Project Type]],tbl_assumptions_market[Project Category (RERA)],tbl_assumptions_market[Concrete Intensity
(m³ / sq m BUA)],"",0)</f>
        <v>0.42</v>
      </c>
      <c r="L1504" s="134">
        <f>ROUND(Market_Data[[#This Row],[Estimated Built Up Area (sq m)]]*Market_Data[[#This Row],[Concrete Intensity
(m³ / sq m)]],0)</f>
        <v>16674</v>
      </c>
      <c r="M1504" s="135">
        <f>_xlfn.XLOOKUP(Market_Data[[#This Row],[District]],tbl_district_price[District],tbl_district_price[Standard Price
(INR/m³)],"",0)</f>
        <v>6200</v>
      </c>
      <c r="N1504" s="364">
        <f>IF(OR(Market_Data[[#This Row],[Estimated Concrete Demand (m³)]]="",Market_Data[[#This Row],[Avg Price per (₹ / m³)]]=""),"",Market_Data[[#This Row],[Estimated Concrete Demand (m³)]]*Market_Data[[#This Row],[Avg Price per (₹ / m³)]]/10000000)</f>
        <v>10.33788</v>
      </c>
      <c r="O1504" s="97" t="str">
        <f>IF(Market_Data[[#This Row],[Estimated Concrete Demand (m³)]]="","",
IF(Market_Data[[#This Row],[Estimated Concrete Demand (m³)]]&lt;10000,"Small",
IF(Market_Data[[#This Row],[Estimated Concrete Demand (m³)]]&lt;25000,"Medium",
IF(Market_Data[[#This Row],[Estimated Concrete Demand (m³)]]&lt;100000,"Large","Mega"))))</f>
        <v>Medium</v>
      </c>
      <c r="P1504" s="287" t="str">
        <f t="shared" si="25"/>
        <v>GujRERA</v>
      </c>
    </row>
    <row r="1505" spans="1:16">
      <c r="A1505" s="129" t="str">
        <f>_xlfn.XLOOKUP(B1505,$S$9:$S$14,$T$9:$T$14)&amp;"-"&amp;
IF(E1505="Residential/Group Housing","RES",
IF(E1505="Commercial","COM",
IF(E1505="Mixed Development","MIX",
IF(E1505="Plotted Development","PLT","OTH"))))
&amp;"-"&amp;TEXT(COUNTIFS($B$9:B1505,B1505,$E$9:E1505,E1505),"0000")</f>
        <v>SUR-MIX-0224</v>
      </c>
      <c r="B1505" s="322" t="s">
        <v>34</v>
      </c>
      <c r="C1505" s="322" t="s">
        <v>34</v>
      </c>
      <c r="D1505" s="323" t="s">
        <v>1695</v>
      </c>
      <c r="E1505" s="132" t="s">
        <v>25</v>
      </c>
      <c r="F1505" s="97" t="str">
        <f ca="1">IF(OR(Market_Data[[#This Row],[Start Date]]="",Market_Data[[#This Row],[Completion Date]]=""),"Needs Validation",IF(Market_Data[[#This Row],[Start Date]]&gt;TODAY(),"Planned",IF(Market_Data[[#This Row],[Completion Date]]&lt;TODAY(),"Completed","Ongoing")))</f>
        <v>Ongoing</v>
      </c>
      <c r="G1505" s="324">
        <v>45474</v>
      </c>
      <c r="H1505" s="324">
        <v>47118</v>
      </c>
      <c r="I1505" s="325">
        <v>37100</v>
      </c>
      <c r="J150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05" s="133">
        <f>_xlfn.XLOOKUP(Market_Data[[#This Row],[Project Type]],tbl_assumptions_market[Project Category (RERA)],tbl_assumptions_market[Concrete Intensity
(m³ / sq m BUA)],"",0)</f>
        <v>0.42</v>
      </c>
      <c r="L1505" s="134">
        <f>ROUND(Market_Data[[#This Row],[Estimated Built Up Area (sq m)]]*Market_Data[[#This Row],[Concrete Intensity
(m³ / sq m)]],0)</f>
        <v>15582</v>
      </c>
      <c r="M1505" s="135">
        <f>_xlfn.XLOOKUP(Market_Data[[#This Row],[District]],tbl_district_price[District],tbl_district_price[Standard Price
(INR/m³)],"",0)</f>
        <v>6200</v>
      </c>
      <c r="N1505" s="364">
        <f>IF(OR(Market_Data[[#This Row],[Estimated Concrete Demand (m³)]]="",Market_Data[[#This Row],[Avg Price per (₹ / m³)]]=""),"",Market_Data[[#This Row],[Estimated Concrete Demand (m³)]]*Market_Data[[#This Row],[Avg Price per (₹ / m³)]]/10000000)</f>
        <v>9.6608400000000003</v>
      </c>
      <c r="O1505" s="97" t="str">
        <f>IF(Market_Data[[#This Row],[Estimated Concrete Demand (m³)]]="","",
IF(Market_Data[[#This Row],[Estimated Concrete Demand (m³)]]&lt;10000,"Small",
IF(Market_Data[[#This Row],[Estimated Concrete Demand (m³)]]&lt;25000,"Medium",
IF(Market_Data[[#This Row],[Estimated Concrete Demand (m³)]]&lt;100000,"Large","Mega"))))</f>
        <v>Medium</v>
      </c>
      <c r="P1505" s="287" t="str">
        <f t="shared" si="25"/>
        <v>GujRERA</v>
      </c>
    </row>
    <row r="1506" spans="1:16">
      <c r="A1506" s="129" t="str">
        <f>_xlfn.XLOOKUP(B1506,$S$9:$S$14,$T$9:$T$14)&amp;"-"&amp;
IF(E1506="Residential/Group Housing","RES",
IF(E1506="Commercial","COM",
IF(E1506="Mixed Development","MIX",
IF(E1506="Plotted Development","PLT","OTH"))))
&amp;"-"&amp;TEXT(COUNTIFS($B$9:B1506,B1506,$E$9:E1506,E1506),"0000")</f>
        <v>SUR-MIX-0225</v>
      </c>
      <c r="B1506" s="322" t="s">
        <v>34</v>
      </c>
      <c r="C1506" s="322" t="s">
        <v>34</v>
      </c>
      <c r="D1506" s="323" t="s">
        <v>1696</v>
      </c>
      <c r="E1506" s="132" t="s">
        <v>25</v>
      </c>
      <c r="F1506" s="97" t="str">
        <f ca="1">IF(OR(Market_Data[[#This Row],[Start Date]]="",Market_Data[[#This Row],[Completion Date]]=""),"Needs Validation",IF(Market_Data[[#This Row],[Start Date]]&gt;TODAY(),"Planned",IF(Market_Data[[#This Row],[Completion Date]]&lt;TODAY(),"Completed","Ongoing")))</f>
        <v>Completed</v>
      </c>
      <c r="G1506" s="324">
        <v>44799</v>
      </c>
      <c r="H1506" s="324">
        <v>45688</v>
      </c>
      <c r="I1506" s="325">
        <v>14100</v>
      </c>
      <c r="J150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06" s="133">
        <f>_xlfn.XLOOKUP(Market_Data[[#This Row],[Project Type]],tbl_assumptions_market[Project Category (RERA)],tbl_assumptions_market[Concrete Intensity
(m³ / sq m BUA)],"",0)</f>
        <v>0.42</v>
      </c>
      <c r="L1506" s="134">
        <f>ROUND(Market_Data[[#This Row],[Estimated Built Up Area (sq m)]]*Market_Data[[#This Row],[Concrete Intensity
(m³ / sq m)]],0)</f>
        <v>5922</v>
      </c>
      <c r="M1506" s="135">
        <f>_xlfn.XLOOKUP(Market_Data[[#This Row],[District]],tbl_district_price[District],tbl_district_price[Standard Price
(INR/m³)],"",0)</f>
        <v>6200</v>
      </c>
      <c r="N1506" s="364">
        <f>IF(OR(Market_Data[[#This Row],[Estimated Concrete Demand (m³)]]="",Market_Data[[#This Row],[Avg Price per (₹ / m³)]]=""),"",Market_Data[[#This Row],[Estimated Concrete Demand (m³)]]*Market_Data[[#This Row],[Avg Price per (₹ / m³)]]/10000000)</f>
        <v>3.67164</v>
      </c>
      <c r="O1506" s="97" t="str">
        <f>IF(Market_Data[[#This Row],[Estimated Concrete Demand (m³)]]="","",
IF(Market_Data[[#This Row],[Estimated Concrete Demand (m³)]]&lt;10000,"Small",
IF(Market_Data[[#This Row],[Estimated Concrete Demand (m³)]]&lt;25000,"Medium",
IF(Market_Data[[#This Row],[Estimated Concrete Demand (m³)]]&lt;100000,"Large","Mega"))))</f>
        <v>Small</v>
      </c>
      <c r="P1506" s="287" t="str">
        <f t="shared" si="25"/>
        <v>GujRERA</v>
      </c>
    </row>
    <row r="1507" spans="1:16">
      <c r="A1507" s="129" t="str">
        <f>_xlfn.XLOOKUP(B1507,$S$9:$S$14,$T$9:$T$14)&amp;"-"&amp;
IF(E1507="Residential/Group Housing","RES",
IF(E1507="Commercial","COM",
IF(E1507="Mixed Development","MIX",
IF(E1507="Plotted Development","PLT","OTH"))))
&amp;"-"&amp;TEXT(COUNTIFS($B$9:B1507,B1507,$E$9:E1507,E1507),"0000")</f>
        <v>SUR-RES-0446</v>
      </c>
      <c r="B1507" s="322" t="s">
        <v>34</v>
      </c>
      <c r="C1507" s="322" t="s">
        <v>34</v>
      </c>
      <c r="D1507" s="323" t="s">
        <v>1697</v>
      </c>
      <c r="E1507" s="132" t="s">
        <v>24</v>
      </c>
      <c r="F1507" s="97" t="str">
        <f ca="1">IF(OR(Market_Data[[#This Row],[Start Date]]="",Market_Data[[#This Row],[Completion Date]]=""),"Needs Validation",IF(Market_Data[[#This Row],[Start Date]]&gt;TODAY(),"Planned",IF(Market_Data[[#This Row],[Completion Date]]&lt;TODAY(),"Completed","Ongoing")))</f>
        <v>Completed</v>
      </c>
      <c r="G1507" s="324">
        <v>42208</v>
      </c>
      <c r="H1507" s="324">
        <v>43830</v>
      </c>
      <c r="I1507" s="325">
        <v>33800</v>
      </c>
      <c r="J150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07" s="133">
        <f>_xlfn.XLOOKUP(Market_Data[[#This Row],[Project Type]],tbl_assumptions_market[Project Category (RERA)],tbl_assumptions_market[Concrete Intensity
(m³ / sq m BUA)],"",0)</f>
        <v>0.45</v>
      </c>
      <c r="L1507" s="134">
        <f>ROUND(Market_Data[[#This Row],[Estimated Built Up Area (sq m)]]*Market_Data[[#This Row],[Concrete Intensity
(m³ / sq m)]],0)</f>
        <v>15210</v>
      </c>
      <c r="M1507" s="135">
        <f>_xlfn.XLOOKUP(Market_Data[[#This Row],[District]],tbl_district_price[District],tbl_district_price[Standard Price
(INR/m³)],"",0)</f>
        <v>6200</v>
      </c>
      <c r="N1507" s="364">
        <f>IF(OR(Market_Data[[#This Row],[Estimated Concrete Demand (m³)]]="",Market_Data[[#This Row],[Avg Price per (₹ / m³)]]=""),"",Market_Data[[#This Row],[Estimated Concrete Demand (m³)]]*Market_Data[[#This Row],[Avg Price per (₹ / m³)]]/10000000)</f>
        <v>9.4301999999999992</v>
      </c>
      <c r="O1507" s="97" t="str">
        <f>IF(Market_Data[[#This Row],[Estimated Concrete Demand (m³)]]="","",
IF(Market_Data[[#This Row],[Estimated Concrete Demand (m³)]]&lt;10000,"Small",
IF(Market_Data[[#This Row],[Estimated Concrete Demand (m³)]]&lt;25000,"Medium",
IF(Market_Data[[#This Row],[Estimated Concrete Demand (m³)]]&lt;100000,"Large","Mega"))))</f>
        <v>Medium</v>
      </c>
      <c r="P1507" s="287" t="str">
        <f t="shared" si="25"/>
        <v>GujRERA</v>
      </c>
    </row>
    <row r="1508" spans="1:16">
      <c r="A1508" s="129" t="str">
        <f>_xlfn.XLOOKUP(B1508,$S$9:$S$14,$T$9:$T$14)&amp;"-"&amp;
IF(E1508="Residential/Group Housing","RES",
IF(E1508="Commercial","COM",
IF(E1508="Mixed Development","MIX",
IF(E1508="Plotted Development","PLT","OTH"))))
&amp;"-"&amp;TEXT(COUNTIFS($B$9:B1508,B1508,$E$9:E1508,E1508),"0000")</f>
        <v>SUR-MIX-0226</v>
      </c>
      <c r="B1508" s="322" t="s">
        <v>34</v>
      </c>
      <c r="C1508" s="322" t="s">
        <v>34</v>
      </c>
      <c r="D1508" s="323" t="s">
        <v>1698</v>
      </c>
      <c r="E1508" s="132" t="s">
        <v>25</v>
      </c>
      <c r="F1508" s="97" t="str">
        <f ca="1">IF(OR(Market_Data[[#This Row],[Start Date]]="",Market_Data[[#This Row],[Completion Date]]=""),"Needs Validation",IF(Market_Data[[#This Row],[Start Date]]&gt;TODAY(),"Planned",IF(Market_Data[[#This Row],[Completion Date]]&lt;TODAY(),"Completed","Ongoing")))</f>
        <v>Completed</v>
      </c>
      <c r="G1508" s="324">
        <v>43424</v>
      </c>
      <c r="H1508" s="324">
        <v>45107</v>
      </c>
      <c r="I1508" s="325">
        <v>4500</v>
      </c>
      <c r="J150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508" s="133">
        <f>_xlfn.XLOOKUP(Market_Data[[#This Row],[Project Type]],tbl_assumptions_market[Project Category (RERA)],tbl_assumptions_market[Concrete Intensity
(m³ / sq m BUA)],"",0)</f>
        <v>0.42</v>
      </c>
      <c r="L1508" s="134">
        <f>ROUND(Market_Data[[#This Row],[Estimated Built Up Area (sq m)]]*Market_Data[[#This Row],[Concrete Intensity
(m³ / sq m)]],0)</f>
        <v>1890</v>
      </c>
      <c r="M1508" s="135">
        <f>_xlfn.XLOOKUP(Market_Data[[#This Row],[District]],tbl_district_price[District],tbl_district_price[Standard Price
(INR/m³)],"",0)</f>
        <v>6200</v>
      </c>
      <c r="N1508" s="364">
        <f>IF(OR(Market_Data[[#This Row],[Estimated Concrete Demand (m³)]]="",Market_Data[[#This Row],[Avg Price per (₹ / m³)]]=""),"",Market_Data[[#This Row],[Estimated Concrete Demand (m³)]]*Market_Data[[#This Row],[Avg Price per (₹ / m³)]]/10000000)</f>
        <v>1.1718</v>
      </c>
      <c r="O1508" s="97" t="str">
        <f>IF(Market_Data[[#This Row],[Estimated Concrete Demand (m³)]]="","",
IF(Market_Data[[#This Row],[Estimated Concrete Demand (m³)]]&lt;10000,"Small",
IF(Market_Data[[#This Row],[Estimated Concrete Demand (m³)]]&lt;25000,"Medium",
IF(Market_Data[[#This Row],[Estimated Concrete Demand (m³)]]&lt;100000,"Large","Mega"))))</f>
        <v>Small</v>
      </c>
      <c r="P1508" s="287" t="str">
        <f t="shared" si="25"/>
        <v>GujRERA</v>
      </c>
    </row>
    <row r="1509" spans="1:16">
      <c r="A1509" s="129" t="str">
        <f>_xlfn.XLOOKUP(B1509,$S$9:$S$14,$T$9:$T$14)&amp;"-"&amp;
IF(E1509="Residential/Group Housing","RES",
IF(E1509="Commercial","COM",
IF(E1509="Mixed Development","MIX",
IF(E1509="Plotted Development","PLT","OTH"))))
&amp;"-"&amp;TEXT(COUNTIFS($B$9:B1509,B1509,$E$9:E1509,E1509),"0000")</f>
        <v>SUR-MIX-0227</v>
      </c>
      <c r="B1509" s="322" t="s">
        <v>34</v>
      </c>
      <c r="C1509" s="322" t="s">
        <v>34</v>
      </c>
      <c r="D1509" s="323" t="s">
        <v>1699</v>
      </c>
      <c r="E1509" s="132" t="s">
        <v>25</v>
      </c>
      <c r="F1509" s="97" t="str">
        <f ca="1">IF(OR(Market_Data[[#This Row],[Start Date]]="",Market_Data[[#This Row],[Completion Date]]=""),"Needs Validation",IF(Market_Data[[#This Row],[Start Date]]&gt;TODAY(),"Planned",IF(Market_Data[[#This Row],[Completion Date]]&lt;TODAY(),"Completed","Ongoing")))</f>
        <v>Completed</v>
      </c>
      <c r="G1509" s="324">
        <v>43586</v>
      </c>
      <c r="H1509" s="324">
        <v>44866</v>
      </c>
      <c r="I1509" s="325">
        <v>35900</v>
      </c>
      <c r="J150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09" s="133">
        <f>_xlfn.XLOOKUP(Market_Data[[#This Row],[Project Type]],tbl_assumptions_market[Project Category (RERA)],tbl_assumptions_market[Concrete Intensity
(m³ / sq m BUA)],"",0)</f>
        <v>0.42</v>
      </c>
      <c r="L1509" s="134">
        <f>ROUND(Market_Data[[#This Row],[Estimated Built Up Area (sq m)]]*Market_Data[[#This Row],[Concrete Intensity
(m³ / sq m)]],0)</f>
        <v>15078</v>
      </c>
      <c r="M1509" s="135">
        <f>_xlfn.XLOOKUP(Market_Data[[#This Row],[District]],tbl_district_price[District],tbl_district_price[Standard Price
(INR/m³)],"",0)</f>
        <v>6200</v>
      </c>
      <c r="N1509" s="364">
        <f>IF(OR(Market_Data[[#This Row],[Estimated Concrete Demand (m³)]]="",Market_Data[[#This Row],[Avg Price per (₹ / m³)]]=""),"",Market_Data[[#This Row],[Estimated Concrete Demand (m³)]]*Market_Data[[#This Row],[Avg Price per (₹ / m³)]]/10000000)</f>
        <v>9.3483599999999996</v>
      </c>
      <c r="O1509" s="97" t="str">
        <f>IF(Market_Data[[#This Row],[Estimated Concrete Demand (m³)]]="","",
IF(Market_Data[[#This Row],[Estimated Concrete Demand (m³)]]&lt;10000,"Small",
IF(Market_Data[[#This Row],[Estimated Concrete Demand (m³)]]&lt;25000,"Medium",
IF(Market_Data[[#This Row],[Estimated Concrete Demand (m³)]]&lt;100000,"Large","Mega"))))</f>
        <v>Medium</v>
      </c>
      <c r="P1509" s="287" t="str">
        <f t="shared" si="25"/>
        <v>GujRERA</v>
      </c>
    </row>
    <row r="1510" spans="1:16">
      <c r="A1510" s="129" t="str">
        <f>_xlfn.XLOOKUP(B1510,$S$9:$S$14,$T$9:$T$14)&amp;"-"&amp;
IF(E1510="Residential/Group Housing","RES",
IF(E1510="Commercial","COM",
IF(E1510="Mixed Development","MIX",
IF(E1510="Plotted Development","PLT","OTH"))))
&amp;"-"&amp;TEXT(COUNTIFS($B$9:B1510,B1510,$E$9:E1510,E1510),"0000")</f>
        <v>SUR-MIX-0228</v>
      </c>
      <c r="B1510" s="322" t="s">
        <v>34</v>
      </c>
      <c r="C1510" s="322" t="s">
        <v>34</v>
      </c>
      <c r="D1510" s="323" t="s">
        <v>1700</v>
      </c>
      <c r="E1510" s="132" t="s">
        <v>25</v>
      </c>
      <c r="F1510" s="97" t="str">
        <f ca="1">IF(OR(Market_Data[[#This Row],[Start Date]]="",Market_Data[[#This Row],[Completion Date]]=""),"Needs Validation",IF(Market_Data[[#This Row],[Start Date]]&gt;TODAY(),"Planned",IF(Market_Data[[#This Row],[Completion Date]]&lt;TODAY(),"Completed","Ongoing")))</f>
        <v>Completed</v>
      </c>
      <c r="G1510" s="324">
        <v>45047</v>
      </c>
      <c r="H1510" s="324">
        <v>46053</v>
      </c>
      <c r="I1510" s="325">
        <v>9500</v>
      </c>
      <c r="J151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510" s="133">
        <f>_xlfn.XLOOKUP(Market_Data[[#This Row],[Project Type]],tbl_assumptions_market[Project Category (RERA)],tbl_assumptions_market[Concrete Intensity
(m³ / sq m BUA)],"",0)</f>
        <v>0.42</v>
      </c>
      <c r="L1510" s="134">
        <f>ROUND(Market_Data[[#This Row],[Estimated Built Up Area (sq m)]]*Market_Data[[#This Row],[Concrete Intensity
(m³ / sq m)]],0)</f>
        <v>3990</v>
      </c>
      <c r="M1510" s="135">
        <f>_xlfn.XLOOKUP(Market_Data[[#This Row],[District]],tbl_district_price[District],tbl_district_price[Standard Price
(INR/m³)],"",0)</f>
        <v>6200</v>
      </c>
      <c r="N1510" s="364">
        <f>IF(OR(Market_Data[[#This Row],[Estimated Concrete Demand (m³)]]="",Market_Data[[#This Row],[Avg Price per (₹ / m³)]]=""),"",Market_Data[[#This Row],[Estimated Concrete Demand (m³)]]*Market_Data[[#This Row],[Avg Price per (₹ / m³)]]/10000000)</f>
        <v>2.4738000000000002</v>
      </c>
      <c r="O1510" s="97" t="str">
        <f>IF(Market_Data[[#This Row],[Estimated Concrete Demand (m³)]]="","",
IF(Market_Data[[#This Row],[Estimated Concrete Demand (m³)]]&lt;10000,"Small",
IF(Market_Data[[#This Row],[Estimated Concrete Demand (m³)]]&lt;25000,"Medium",
IF(Market_Data[[#This Row],[Estimated Concrete Demand (m³)]]&lt;100000,"Large","Mega"))))</f>
        <v>Small</v>
      </c>
      <c r="P1510" s="287" t="str">
        <f t="shared" si="25"/>
        <v>GujRERA</v>
      </c>
    </row>
    <row r="1511" spans="1:16">
      <c r="A1511" s="129" t="str">
        <f>_xlfn.XLOOKUP(B1511,$S$9:$S$14,$T$9:$T$14)&amp;"-"&amp;
IF(E1511="Residential/Group Housing","RES",
IF(E1511="Commercial","COM",
IF(E1511="Mixed Development","MIX",
IF(E1511="Plotted Development","PLT","OTH"))))
&amp;"-"&amp;TEXT(COUNTIFS($B$9:B1511,B1511,$E$9:E1511,E1511),"0000")</f>
        <v>SUR-MIX-0229</v>
      </c>
      <c r="B1511" s="322" t="s">
        <v>34</v>
      </c>
      <c r="C1511" s="322" t="s">
        <v>34</v>
      </c>
      <c r="D1511" s="323" t="s">
        <v>1701</v>
      </c>
      <c r="E1511" s="132" t="s">
        <v>25</v>
      </c>
      <c r="F1511" s="97" t="str">
        <f ca="1">IF(OR(Market_Data[[#This Row],[Start Date]]="",Market_Data[[#This Row],[Completion Date]]=""),"Needs Validation",IF(Market_Data[[#This Row],[Start Date]]&gt;TODAY(),"Planned",IF(Market_Data[[#This Row],[Completion Date]]&lt;TODAY(),"Completed","Ongoing")))</f>
        <v>Completed</v>
      </c>
      <c r="G1511" s="324">
        <v>43824</v>
      </c>
      <c r="H1511" s="324">
        <v>45102</v>
      </c>
      <c r="I1511" s="325">
        <v>24800</v>
      </c>
      <c r="J151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11" s="133">
        <f>_xlfn.XLOOKUP(Market_Data[[#This Row],[Project Type]],tbl_assumptions_market[Project Category (RERA)],tbl_assumptions_market[Concrete Intensity
(m³ / sq m BUA)],"",0)</f>
        <v>0.42</v>
      </c>
      <c r="L1511" s="134">
        <f>ROUND(Market_Data[[#This Row],[Estimated Built Up Area (sq m)]]*Market_Data[[#This Row],[Concrete Intensity
(m³ / sq m)]],0)</f>
        <v>10416</v>
      </c>
      <c r="M1511" s="135">
        <f>_xlfn.XLOOKUP(Market_Data[[#This Row],[District]],tbl_district_price[District],tbl_district_price[Standard Price
(INR/m³)],"",0)</f>
        <v>6200</v>
      </c>
      <c r="N1511" s="364">
        <f>IF(OR(Market_Data[[#This Row],[Estimated Concrete Demand (m³)]]="",Market_Data[[#This Row],[Avg Price per (₹ / m³)]]=""),"",Market_Data[[#This Row],[Estimated Concrete Demand (m³)]]*Market_Data[[#This Row],[Avg Price per (₹ / m³)]]/10000000)</f>
        <v>6.4579199999999997</v>
      </c>
      <c r="O1511" s="97" t="str">
        <f>IF(Market_Data[[#This Row],[Estimated Concrete Demand (m³)]]="","",
IF(Market_Data[[#This Row],[Estimated Concrete Demand (m³)]]&lt;10000,"Small",
IF(Market_Data[[#This Row],[Estimated Concrete Demand (m³)]]&lt;25000,"Medium",
IF(Market_Data[[#This Row],[Estimated Concrete Demand (m³)]]&lt;100000,"Large","Mega"))))</f>
        <v>Medium</v>
      </c>
      <c r="P1511" s="287" t="str">
        <f t="shared" si="25"/>
        <v>GujRERA</v>
      </c>
    </row>
    <row r="1512" spans="1:16">
      <c r="A1512" s="129" t="str">
        <f>_xlfn.XLOOKUP(B1512,$S$9:$S$14,$T$9:$T$14)&amp;"-"&amp;
IF(E1512="Residential/Group Housing","RES",
IF(E1512="Commercial","COM",
IF(E1512="Mixed Development","MIX",
IF(E1512="Plotted Development","PLT","OTH"))))
&amp;"-"&amp;TEXT(COUNTIFS($B$9:B1512,B1512,$E$9:E1512,E1512),"0000")</f>
        <v>SUR-RES-0447</v>
      </c>
      <c r="B1512" s="322" t="s">
        <v>34</v>
      </c>
      <c r="C1512" s="322" t="s">
        <v>34</v>
      </c>
      <c r="D1512" s="323" t="s">
        <v>1702</v>
      </c>
      <c r="E1512" s="132" t="s">
        <v>24</v>
      </c>
      <c r="F1512" s="97" t="str">
        <f ca="1">IF(OR(Market_Data[[#This Row],[Start Date]]="",Market_Data[[#This Row],[Completion Date]]=""),"Needs Validation",IF(Market_Data[[#This Row],[Start Date]]&gt;TODAY(),"Planned",IF(Market_Data[[#This Row],[Completion Date]]&lt;TODAY(),"Completed","Ongoing")))</f>
        <v>Ongoing</v>
      </c>
      <c r="G1512" s="324">
        <v>45474</v>
      </c>
      <c r="H1512" s="324">
        <v>46843</v>
      </c>
      <c r="I1512" s="325">
        <v>52800</v>
      </c>
      <c r="J151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12" s="133">
        <f>_xlfn.XLOOKUP(Market_Data[[#This Row],[Project Type]],tbl_assumptions_market[Project Category (RERA)],tbl_assumptions_market[Concrete Intensity
(m³ / sq m BUA)],"",0)</f>
        <v>0.45</v>
      </c>
      <c r="L1512" s="134">
        <f>ROUND(Market_Data[[#This Row],[Estimated Built Up Area (sq m)]]*Market_Data[[#This Row],[Concrete Intensity
(m³ / sq m)]],0)</f>
        <v>23760</v>
      </c>
      <c r="M1512" s="135">
        <f>_xlfn.XLOOKUP(Market_Data[[#This Row],[District]],tbl_district_price[District],tbl_district_price[Standard Price
(INR/m³)],"",0)</f>
        <v>6200</v>
      </c>
      <c r="N1512" s="364">
        <f>IF(OR(Market_Data[[#This Row],[Estimated Concrete Demand (m³)]]="",Market_Data[[#This Row],[Avg Price per (₹ / m³)]]=""),"",Market_Data[[#This Row],[Estimated Concrete Demand (m³)]]*Market_Data[[#This Row],[Avg Price per (₹ / m³)]]/10000000)</f>
        <v>14.731199999999999</v>
      </c>
      <c r="O1512" s="97" t="str">
        <f>IF(Market_Data[[#This Row],[Estimated Concrete Demand (m³)]]="","",
IF(Market_Data[[#This Row],[Estimated Concrete Demand (m³)]]&lt;10000,"Small",
IF(Market_Data[[#This Row],[Estimated Concrete Demand (m³)]]&lt;25000,"Medium",
IF(Market_Data[[#This Row],[Estimated Concrete Demand (m³)]]&lt;100000,"Large","Mega"))))</f>
        <v>Medium</v>
      </c>
      <c r="P1512" s="287" t="str">
        <f t="shared" si="25"/>
        <v>GujRERA</v>
      </c>
    </row>
    <row r="1513" spans="1:16">
      <c r="A1513" s="129" t="str">
        <f>_xlfn.XLOOKUP(B1513,$S$9:$S$14,$T$9:$T$14)&amp;"-"&amp;
IF(E1513="Residential/Group Housing","RES",
IF(E1513="Commercial","COM",
IF(E1513="Mixed Development","MIX",
IF(E1513="Plotted Development","PLT","OTH"))))
&amp;"-"&amp;TEXT(COUNTIFS($B$9:B1513,B1513,$E$9:E1513,E1513),"0000")</f>
        <v>SUR-PLT-0286</v>
      </c>
      <c r="B1513" s="322" t="s">
        <v>34</v>
      </c>
      <c r="C1513" s="322" t="s">
        <v>34</v>
      </c>
      <c r="D1513" s="323" t="s">
        <v>1703</v>
      </c>
      <c r="E1513" s="132" t="s">
        <v>26</v>
      </c>
      <c r="F1513" s="97" t="str">
        <f ca="1">IF(OR(Market_Data[[#This Row],[Start Date]]="",Market_Data[[#This Row],[Completion Date]]=""),"Needs Validation",IF(Market_Data[[#This Row],[Start Date]]&gt;TODAY(),"Planned",IF(Market_Data[[#This Row],[Completion Date]]&lt;TODAY(),"Completed","Ongoing")))</f>
        <v>Ongoing</v>
      </c>
      <c r="G1513" s="324">
        <v>45200</v>
      </c>
      <c r="H1513" s="324">
        <v>46387</v>
      </c>
      <c r="I1513" s="325">
        <v>53100</v>
      </c>
      <c r="J151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513" s="133">
        <f>_xlfn.XLOOKUP(Market_Data[[#This Row],[Project Type]],tbl_assumptions_market[Project Category (RERA)],tbl_assumptions_market[Concrete Intensity
(m³ / sq m BUA)],"",0)</f>
        <v>0.18</v>
      </c>
      <c r="L1513" s="134">
        <f>ROUND(Market_Data[[#This Row],[Estimated Built Up Area (sq m)]]*Market_Data[[#This Row],[Concrete Intensity
(m³ / sq m)]],0)</f>
        <v>9558</v>
      </c>
      <c r="M1513" s="135">
        <f>_xlfn.XLOOKUP(Market_Data[[#This Row],[District]],tbl_district_price[District],tbl_district_price[Standard Price
(INR/m³)],"",0)</f>
        <v>6200</v>
      </c>
      <c r="N1513" s="364">
        <f>IF(OR(Market_Data[[#This Row],[Estimated Concrete Demand (m³)]]="",Market_Data[[#This Row],[Avg Price per (₹ / m³)]]=""),"",Market_Data[[#This Row],[Estimated Concrete Demand (m³)]]*Market_Data[[#This Row],[Avg Price per (₹ / m³)]]/10000000)</f>
        <v>5.9259599999999999</v>
      </c>
      <c r="O1513" s="97" t="str">
        <f>IF(Market_Data[[#This Row],[Estimated Concrete Demand (m³)]]="","",
IF(Market_Data[[#This Row],[Estimated Concrete Demand (m³)]]&lt;10000,"Small",
IF(Market_Data[[#This Row],[Estimated Concrete Demand (m³)]]&lt;25000,"Medium",
IF(Market_Data[[#This Row],[Estimated Concrete Demand (m³)]]&lt;100000,"Large","Mega"))))</f>
        <v>Small</v>
      </c>
      <c r="P1513" s="287" t="str">
        <f t="shared" si="25"/>
        <v>GujRERA</v>
      </c>
    </row>
    <row r="1514" spans="1:16">
      <c r="A1514" s="129" t="str">
        <f>_xlfn.XLOOKUP(B1514,$S$9:$S$14,$T$9:$T$14)&amp;"-"&amp;
IF(E1514="Residential/Group Housing","RES",
IF(E1514="Commercial","COM",
IF(E1514="Mixed Development","MIX",
IF(E1514="Plotted Development","PLT","OTH"))))
&amp;"-"&amp;TEXT(COUNTIFS($B$9:B1514,B1514,$E$9:E1514,E1514),"0000")</f>
        <v>SUR-RES-0448</v>
      </c>
      <c r="B1514" s="322" t="s">
        <v>34</v>
      </c>
      <c r="C1514" s="322" t="s">
        <v>34</v>
      </c>
      <c r="D1514" s="323" t="s">
        <v>1704</v>
      </c>
      <c r="E1514" s="132" t="s">
        <v>24</v>
      </c>
      <c r="F1514" s="97" t="str">
        <f ca="1">IF(OR(Market_Data[[#This Row],[Start Date]]="",Market_Data[[#This Row],[Completion Date]]=""),"Needs Validation",IF(Market_Data[[#This Row],[Start Date]]&gt;TODAY(),"Planned",IF(Market_Data[[#This Row],[Completion Date]]&lt;TODAY(),"Completed","Ongoing")))</f>
        <v>Ongoing</v>
      </c>
      <c r="G1514" s="324">
        <v>45496</v>
      </c>
      <c r="H1514" s="324">
        <v>47483</v>
      </c>
      <c r="I1514" s="325">
        <v>19400</v>
      </c>
      <c r="J151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14" s="133">
        <f>_xlfn.XLOOKUP(Market_Data[[#This Row],[Project Type]],tbl_assumptions_market[Project Category (RERA)],tbl_assumptions_market[Concrete Intensity
(m³ / sq m BUA)],"",0)</f>
        <v>0.45</v>
      </c>
      <c r="L1514" s="134">
        <f>ROUND(Market_Data[[#This Row],[Estimated Built Up Area (sq m)]]*Market_Data[[#This Row],[Concrete Intensity
(m³ / sq m)]],0)</f>
        <v>8730</v>
      </c>
      <c r="M1514" s="135">
        <f>_xlfn.XLOOKUP(Market_Data[[#This Row],[District]],tbl_district_price[District],tbl_district_price[Standard Price
(INR/m³)],"",0)</f>
        <v>6200</v>
      </c>
      <c r="N1514" s="364">
        <f>IF(OR(Market_Data[[#This Row],[Estimated Concrete Demand (m³)]]="",Market_Data[[#This Row],[Avg Price per (₹ / m³)]]=""),"",Market_Data[[#This Row],[Estimated Concrete Demand (m³)]]*Market_Data[[#This Row],[Avg Price per (₹ / m³)]]/10000000)</f>
        <v>5.4126000000000003</v>
      </c>
      <c r="O1514" s="97" t="str">
        <f>IF(Market_Data[[#This Row],[Estimated Concrete Demand (m³)]]="","",
IF(Market_Data[[#This Row],[Estimated Concrete Demand (m³)]]&lt;10000,"Small",
IF(Market_Data[[#This Row],[Estimated Concrete Demand (m³)]]&lt;25000,"Medium",
IF(Market_Data[[#This Row],[Estimated Concrete Demand (m³)]]&lt;100000,"Large","Mega"))))</f>
        <v>Small</v>
      </c>
      <c r="P1514" s="287" t="str">
        <f t="shared" si="25"/>
        <v>GujRERA</v>
      </c>
    </row>
    <row r="1515" spans="1:16">
      <c r="A1515" s="129" t="str">
        <f>_xlfn.XLOOKUP(B1515,$S$9:$S$14,$T$9:$T$14)&amp;"-"&amp;
IF(E1515="Residential/Group Housing","RES",
IF(E1515="Commercial","COM",
IF(E1515="Mixed Development","MIX",
IF(E1515="Plotted Development","PLT","OTH"))))
&amp;"-"&amp;TEXT(COUNTIFS($B$9:B1515,B1515,$E$9:E1515,E1515),"0000")</f>
        <v>SUR-RES-0449</v>
      </c>
      <c r="B1515" s="322" t="s">
        <v>34</v>
      </c>
      <c r="C1515" s="322" t="s">
        <v>34</v>
      </c>
      <c r="D1515" s="323" t="s">
        <v>1705</v>
      </c>
      <c r="E1515" s="132" t="s">
        <v>24</v>
      </c>
      <c r="F1515" s="97" t="str">
        <f ca="1">IF(OR(Market_Data[[#This Row],[Start Date]]="",Market_Data[[#This Row],[Completion Date]]=""),"Needs Validation",IF(Market_Data[[#This Row],[Start Date]]&gt;TODAY(),"Planned",IF(Market_Data[[#This Row],[Completion Date]]&lt;TODAY(),"Completed","Ongoing")))</f>
        <v>Ongoing</v>
      </c>
      <c r="G1515" s="324">
        <v>45496</v>
      </c>
      <c r="H1515" s="324">
        <v>47483</v>
      </c>
      <c r="I1515" s="325">
        <v>44000</v>
      </c>
      <c r="J151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15" s="133">
        <f>_xlfn.XLOOKUP(Market_Data[[#This Row],[Project Type]],tbl_assumptions_market[Project Category (RERA)],tbl_assumptions_market[Concrete Intensity
(m³ / sq m BUA)],"",0)</f>
        <v>0.45</v>
      </c>
      <c r="L1515" s="134">
        <f>ROUND(Market_Data[[#This Row],[Estimated Built Up Area (sq m)]]*Market_Data[[#This Row],[Concrete Intensity
(m³ / sq m)]],0)</f>
        <v>19800</v>
      </c>
      <c r="M1515" s="135">
        <f>_xlfn.XLOOKUP(Market_Data[[#This Row],[District]],tbl_district_price[District],tbl_district_price[Standard Price
(INR/m³)],"",0)</f>
        <v>6200</v>
      </c>
      <c r="N1515" s="364">
        <f>IF(OR(Market_Data[[#This Row],[Estimated Concrete Demand (m³)]]="",Market_Data[[#This Row],[Avg Price per (₹ / m³)]]=""),"",Market_Data[[#This Row],[Estimated Concrete Demand (m³)]]*Market_Data[[#This Row],[Avg Price per (₹ / m³)]]/10000000)</f>
        <v>12.276</v>
      </c>
      <c r="O1515" s="97" t="str">
        <f>IF(Market_Data[[#This Row],[Estimated Concrete Demand (m³)]]="","",
IF(Market_Data[[#This Row],[Estimated Concrete Demand (m³)]]&lt;10000,"Small",
IF(Market_Data[[#This Row],[Estimated Concrete Demand (m³)]]&lt;25000,"Medium",
IF(Market_Data[[#This Row],[Estimated Concrete Demand (m³)]]&lt;100000,"Large","Mega"))))</f>
        <v>Medium</v>
      </c>
      <c r="P1515" s="287" t="str">
        <f t="shared" si="25"/>
        <v>GujRERA</v>
      </c>
    </row>
    <row r="1516" spans="1:16">
      <c r="A1516" s="129" t="str">
        <f>_xlfn.XLOOKUP(B1516,$S$9:$S$14,$T$9:$T$14)&amp;"-"&amp;
IF(E1516="Residential/Group Housing","RES",
IF(E1516="Commercial","COM",
IF(E1516="Mixed Development","MIX",
IF(E1516="Plotted Development","PLT","OTH"))))
&amp;"-"&amp;TEXT(COUNTIFS($B$9:B1516,B1516,$E$9:E1516,E1516),"0000")</f>
        <v>SUR-RES-0450</v>
      </c>
      <c r="B1516" s="322" t="s">
        <v>34</v>
      </c>
      <c r="C1516" s="322" t="s">
        <v>34</v>
      </c>
      <c r="D1516" s="323" t="s">
        <v>1706</v>
      </c>
      <c r="E1516" s="132" t="s">
        <v>24</v>
      </c>
      <c r="F1516" s="97" t="str">
        <f ca="1">IF(OR(Market_Data[[#This Row],[Start Date]]="",Market_Data[[#This Row],[Completion Date]]=""),"Needs Validation",IF(Market_Data[[#This Row],[Start Date]]&gt;TODAY(),"Planned",IF(Market_Data[[#This Row],[Completion Date]]&lt;TODAY(),"Completed","Ongoing")))</f>
        <v>Ongoing</v>
      </c>
      <c r="G1516" s="324">
        <v>45652</v>
      </c>
      <c r="H1516" s="324">
        <v>47483</v>
      </c>
      <c r="I1516" s="325">
        <v>27000</v>
      </c>
      <c r="J151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16" s="133">
        <f>_xlfn.XLOOKUP(Market_Data[[#This Row],[Project Type]],tbl_assumptions_market[Project Category (RERA)],tbl_assumptions_market[Concrete Intensity
(m³ / sq m BUA)],"",0)</f>
        <v>0.45</v>
      </c>
      <c r="L1516" s="134">
        <f>ROUND(Market_Data[[#This Row],[Estimated Built Up Area (sq m)]]*Market_Data[[#This Row],[Concrete Intensity
(m³ / sq m)]],0)</f>
        <v>12150</v>
      </c>
      <c r="M1516" s="135">
        <f>_xlfn.XLOOKUP(Market_Data[[#This Row],[District]],tbl_district_price[District],tbl_district_price[Standard Price
(INR/m³)],"",0)</f>
        <v>6200</v>
      </c>
      <c r="N1516" s="364">
        <f>IF(OR(Market_Data[[#This Row],[Estimated Concrete Demand (m³)]]="",Market_Data[[#This Row],[Avg Price per (₹ / m³)]]=""),"",Market_Data[[#This Row],[Estimated Concrete Demand (m³)]]*Market_Data[[#This Row],[Avg Price per (₹ / m³)]]/10000000)</f>
        <v>7.5330000000000004</v>
      </c>
      <c r="O1516" s="97" t="str">
        <f>IF(Market_Data[[#This Row],[Estimated Concrete Demand (m³)]]="","",
IF(Market_Data[[#This Row],[Estimated Concrete Demand (m³)]]&lt;10000,"Small",
IF(Market_Data[[#This Row],[Estimated Concrete Demand (m³)]]&lt;25000,"Medium",
IF(Market_Data[[#This Row],[Estimated Concrete Demand (m³)]]&lt;100000,"Large","Mega"))))</f>
        <v>Medium</v>
      </c>
      <c r="P1516" s="287" t="str">
        <f t="shared" si="25"/>
        <v>GujRERA</v>
      </c>
    </row>
    <row r="1517" spans="1:16">
      <c r="A1517" s="129" t="str">
        <f>_xlfn.XLOOKUP(B1517,$S$9:$S$14,$T$9:$T$14)&amp;"-"&amp;
IF(E1517="Residential/Group Housing","RES",
IF(E1517="Commercial","COM",
IF(E1517="Mixed Development","MIX",
IF(E1517="Plotted Development","PLT","OTH"))))
&amp;"-"&amp;TEXT(COUNTIFS($B$9:B1517,B1517,$E$9:E1517,E1517),"0000")</f>
        <v>SUR-MIX-0230</v>
      </c>
      <c r="B1517" s="322" t="s">
        <v>34</v>
      </c>
      <c r="C1517" s="322" t="s">
        <v>34</v>
      </c>
      <c r="D1517" s="323" t="s">
        <v>1707</v>
      </c>
      <c r="E1517" s="132" t="s">
        <v>25</v>
      </c>
      <c r="F1517" s="97" t="str">
        <f ca="1">IF(OR(Market_Data[[#This Row],[Start Date]]="",Market_Data[[#This Row],[Completion Date]]=""),"Needs Validation",IF(Market_Data[[#This Row],[Start Date]]&gt;TODAY(),"Planned",IF(Market_Data[[#This Row],[Completion Date]]&lt;TODAY(),"Completed","Ongoing")))</f>
        <v>Ongoing</v>
      </c>
      <c r="G1517" s="324">
        <v>45052</v>
      </c>
      <c r="H1517" s="324">
        <v>47118</v>
      </c>
      <c r="I1517" s="325">
        <v>30000</v>
      </c>
      <c r="J151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17" s="133">
        <f>_xlfn.XLOOKUP(Market_Data[[#This Row],[Project Type]],tbl_assumptions_market[Project Category (RERA)],tbl_assumptions_market[Concrete Intensity
(m³ / sq m BUA)],"",0)</f>
        <v>0.42</v>
      </c>
      <c r="L1517" s="134">
        <f>ROUND(Market_Data[[#This Row],[Estimated Built Up Area (sq m)]]*Market_Data[[#This Row],[Concrete Intensity
(m³ / sq m)]],0)</f>
        <v>12600</v>
      </c>
      <c r="M1517" s="135">
        <f>_xlfn.XLOOKUP(Market_Data[[#This Row],[District]],tbl_district_price[District],tbl_district_price[Standard Price
(INR/m³)],"",0)</f>
        <v>6200</v>
      </c>
      <c r="N1517" s="364">
        <f>IF(OR(Market_Data[[#This Row],[Estimated Concrete Demand (m³)]]="",Market_Data[[#This Row],[Avg Price per (₹ / m³)]]=""),"",Market_Data[[#This Row],[Estimated Concrete Demand (m³)]]*Market_Data[[#This Row],[Avg Price per (₹ / m³)]]/10000000)</f>
        <v>7.8120000000000003</v>
      </c>
      <c r="O1517" s="97" t="str">
        <f>IF(Market_Data[[#This Row],[Estimated Concrete Demand (m³)]]="","",
IF(Market_Data[[#This Row],[Estimated Concrete Demand (m³)]]&lt;10000,"Small",
IF(Market_Data[[#This Row],[Estimated Concrete Demand (m³)]]&lt;25000,"Medium",
IF(Market_Data[[#This Row],[Estimated Concrete Demand (m³)]]&lt;100000,"Large","Mega"))))</f>
        <v>Medium</v>
      </c>
      <c r="P1517" s="287" t="str">
        <f t="shared" si="25"/>
        <v>GujRERA</v>
      </c>
    </row>
    <row r="1518" spans="1:16">
      <c r="A1518" s="129" t="str">
        <f>_xlfn.XLOOKUP(B1518,$S$9:$S$14,$T$9:$T$14)&amp;"-"&amp;
IF(E1518="Residential/Group Housing","RES",
IF(E1518="Commercial","COM",
IF(E1518="Mixed Development","MIX",
IF(E1518="Plotted Development","PLT","OTH"))))
&amp;"-"&amp;TEXT(COUNTIFS($B$9:B1518,B1518,$E$9:E1518,E1518),"0000")</f>
        <v>SUR-RES-0451</v>
      </c>
      <c r="B1518" s="322" t="s">
        <v>34</v>
      </c>
      <c r="C1518" s="322" t="s">
        <v>34</v>
      </c>
      <c r="D1518" s="323" t="s">
        <v>1708</v>
      </c>
      <c r="E1518" s="132" t="s">
        <v>24</v>
      </c>
      <c r="F1518" s="97" t="str">
        <f ca="1">IF(OR(Market_Data[[#This Row],[Start Date]]="",Market_Data[[#This Row],[Completion Date]]=""),"Needs Validation",IF(Market_Data[[#This Row],[Start Date]]&gt;TODAY(),"Planned",IF(Market_Data[[#This Row],[Completion Date]]&lt;TODAY(),"Completed","Ongoing")))</f>
        <v>Completed</v>
      </c>
      <c r="G1518" s="324">
        <v>43020</v>
      </c>
      <c r="H1518" s="324">
        <v>43933</v>
      </c>
      <c r="I1518" s="325">
        <v>3700</v>
      </c>
      <c r="J151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18" s="133">
        <f>_xlfn.XLOOKUP(Market_Data[[#This Row],[Project Type]],tbl_assumptions_market[Project Category (RERA)],tbl_assumptions_market[Concrete Intensity
(m³ / sq m BUA)],"",0)</f>
        <v>0.45</v>
      </c>
      <c r="L1518" s="134">
        <f>ROUND(Market_Data[[#This Row],[Estimated Built Up Area (sq m)]]*Market_Data[[#This Row],[Concrete Intensity
(m³ / sq m)]],0)</f>
        <v>1665</v>
      </c>
      <c r="M1518" s="135">
        <f>_xlfn.XLOOKUP(Market_Data[[#This Row],[District]],tbl_district_price[District],tbl_district_price[Standard Price
(INR/m³)],"",0)</f>
        <v>6200</v>
      </c>
      <c r="N1518" s="364">
        <f>IF(OR(Market_Data[[#This Row],[Estimated Concrete Demand (m³)]]="",Market_Data[[#This Row],[Avg Price per (₹ / m³)]]=""),"",Market_Data[[#This Row],[Estimated Concrete Demand (m³)]]*Market_Data[[#This Row],[Avg Price per (₹ / m³)]]/10000000)</f>
        <v>1.0323</v>
      </c>
      <c r="O1518" s="97" t="str">
        <f>IF(Market_Data[[#This Row],[Estimated Concrete Demand (m³)]]="","",
IF(Market_Data[[#This Row],[Estimated Concrete Demand (m³)]]&lt;10000,"Small",
IF(Market_Data[[#This Row],[Estimated Concrete Demand (m³)]]&lt;25000,"Medium",
IF(Market_Data[[#This Row],[Estimated Concrete Demand (m³)]]&lt;100000,"Large","Mega"))))</f>
        <v>Small</v>
      </c>
      <c r="P1518" s="287" t="str">
        <f t="shared" si="25"/>
        <v>GujRERA</v>
      </c>
    </row>
    <row r="1519" spans="1:16">
      <c r="A1519" s="129" t="str">
        <f>_xlfn.XLOOKUP(B1519,$S$9:$S$14,$T$9:$T$14)&amp;"-"&amp;
IF(E1519="Residential/Group Housing","RES",
IF(E1519="Commercial","COM",
IF(E1519="Mixed Development","MIX",
IF(E1519="Plotted Development","PLT","OTH"))))
&amp;"-"&amp;TEXT(COUNTIFS($B$9:B1519,B1519,$E$9:E1519,E1519),"0000")</f>
        <v>SUR-RES-0452</v>
      </c>
      <c r="B1519" s="322" t="s">
        <v>34</v>
      </c>
      <c r="C1519" s="322" t="s">
        <v>34</v>
      </c>
      <c r="D1519" s="323" t="s">
        <v>1709</v>
      </c>
      <c r="E1519" s="132" t="s">
        <v>24</v>
      </c>
      <c r="F1519" s="97" t="str">
        <f ca="1">IF(OR(Market_Data[[#This Row],[Start Date]]="",Market_Data[[#This Row],[Completion Date]]=""),"Needs Validation",IF(Market_Data[[#This Row],[Start Date]]&gt;TODAY(),"Planned",IF(Market_Data[[#This Row],[Completion Date]]&lt;TODAY(),"Completed","Ongoing")))</f>
        <v>Completed</v>
      </c>
      <c r="G1519" s="324">
        <v>44162</v>
      </c>
      <c r="H1519" s="324">
        <v>46022</v>
      </c>
      <c r="I1519" s="325">
        <v>44500</v>
      </c>
      <c r="J151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19" s="133">
        <f>_xlfn.XLOOKUP(Market_Data[[#This Row],[Project Type]],tbl_assumptions_market[Project Category (RERA)],tbl_assumptions_market[Concrete Intensity
(m³ / sq m BUA)],"",0)</f>
        <v>0.45</v>
      </c>
      <c r="L1519" s="134">
        <f>ROUND(Market_Data[[#This Row],[Estimated Built Up Area (sq m)]]*Market_Data[[#This Row],[Concrete Intensity
(m³ / sq m)]],0)</f>
        <v>20025</v>
      </c>
      <c r="M1519" s="135">
        <f>_xlfn.XLOOKUP(Market_Data[[#This Row],[District]],tbl_district_price[District],tbl_district_price[Standard Price
(INR/m³)],"",0)</f>
        <v>6200</v>
      </c>
      <c r="N1519" s="364">
        <f>IF(OR(Market_Data[[#This Row],[Estimated Concrete Demand (m³)]]="",Market_Data[[#This Row],[Avg Price per (₹ / m³)]]=""),"",Market_Data[[#This Row],[Estimated Concrete Demand (m³)]]*Market_Data[[#This Row],[Avg Price per (₹ / m³)]]/10000000)</f>
        <v>12.4155</v>
      </c>
      <c r="O1519" s="97" t="str">
        <f>IF(Market_Data[[#This Row],[Estimated Concrete Demand (m³)]]="","",
IF(Market_Data[[#This Row],[Estimated Concrete Demand (m³)]]&lt;10000,"Small",
IF(Market_Data[[#This Row],[Estimated Concrete Demand (m³)]]&lt;25000,"Medium",
IF(Market_Data[[#This Row],[Estimated Concrete Demand (m³)]]&lt;100000,"Large","Mega"))))</f>
        <v>Medium</v>
      </c>
      <c r="P1519" s="287" t="str">
        <f t="shared" si="25"/>
        <v>GujRERA</v>
      </c>
    </row>
    <row r="1520" spans="1:16">
      <c r="A1520" s="129" t="str">
        <f>_xlfn.XLOOKUP(B1520,$S$9:$S$14,$T$9:$T$14)&amp;"-"&amp;
IF(E1520="Residential/Group Housing","RES",
IF(E1520="Commercial","COM",
IF(E1520="Mixed Development","MIX",
IF(E1520="Plotted Development","PLT","OTH"))))
&amp;"-"&amp;TEXT(COUNTIFS($B$9:B1520,B1520,$E$9:E1520,E1520),"0000")</f>
        <v>SUR-COM-0234</v>
      </c>
      <c r="B1520" s="322" t="s">
        <v>34</v>
      </c>
      <c r="C1520" s="322" t="s">
        <v>34</v>
      </c>
      <c r="D1520" s="323" t="s">
        <v>1710</v>
      </c>
      <c r="E1520" s="132" t="s">
        <v>23</v>
      </c>
      <c r="F1520" s="97" t="str">
        <f ca="1">IF(OR(Market_Data[[#This Row],[Start Date]]="",Market_Data[[#This Row],[Completion Date]]=""),"Needs Validation",IF(Market_Data[[#This Row],[Start Date]]&gt;TODAY(),"Planned",IF(Market_Data[[#This Row],[Completion Date]]&lt;TODAY(),"Completed","Ongoing")))</f>
        <v>Ongoing</v>
      </c>
      <c r="G1520" s="324">
        <v>45658</v>
      </c>
      <c r="H1520" s="324">
        <v>47118</v>
      </c>
      <c r="I1520" s="325">
        <v>14800</v>
      </c>
      <c r="J152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20" s="133">
        <f>_xlfn.XLOOKUP(Market_Data[[#This Row],[Project Type]],tbl_assumptions_market[Project Category (RERA)],tbl_assumptions_market[Concrete Intensity
(m³ / sq m BUA)],"",0)</f>
        <v>0.5</v>
      </c>
      <c r="L1520" s="134">
        <f>ROUND(Market_Data[[#This Row],[Estimated Built Up Area (sq m)]]*Market_Data[[#This Row],[Concrete Intensity
(m³ / sq m)]],0)</f>
        <v>7400</v>
      </c>
      <c r="M1520" s="135">
        <f>_xlfn.XLOOKUP(Market_Data[[#This Row],[District]],tbl_district_price[District],tbl_district_price[Standard Price
(INR/m³)],"",0)</f>
        <v>6200</v>
      </c>
      <c r="N1520" s="364">
        <f>IF(OR(Market_Data[[#This Row],[Estimated Concrete Demand (m³)]]="",Market_Data[[#This Row],[Avg Price per (₹ / m³)]]=""),"",Market_Data[[#This Row],[Estimated Concrete Demand (m³)]]*Market_Data[[#This Row],[Avg Price per (₹ / m³)]]/10000000)</f>
        <v>4.5880000000000001</v>
      </c>
      <c r="O1520" s="97" t="str">
        <f>IF(Market_Data[[#This Row],[Estimated Concrete Demand (m³)]]="","",
IF(Market_Data[[#This Row],[Estimated Concrete Demand (m³)]]&lt;10000,"Small",
IF(Market_Data[[#This Row],[Estimated Concrete Demand (m³)]]&lt;25000,"Medium",
IF(Market_Data[[#This Row],[Estimated Concrete Demand (m³)]]&lt;100000,"Large","Mega"))))</f>
        <v>Small</v>
      </c>
      <c r="P1520" s="287" t="str">
        <f t="shared" si="25"/>
        <v>GujRERA</v>
      </c>
    </row>
    <row r="1521" spans="1:16">
      <c r="A1521" s="129" t="str">
        <f>_xlfn.XLOOKUP(B1521,$S$9:$S$14,$T$9:$T$14)&amp;"-"&amp;
IF(E1521="Residential/Group Housing","RES",
IF(E1521="Commercial","COM",
IF(E1521="Mixed Development","MIX",
IF(E1521="Plotted Development","PLT","OTH"))))
&amp;"-"&amp;TEXT(COUNTIFS($B$9:B1521,B1521,$E$9:E1521,E1521),"0000")</f>
        <v>SUR-RES-0453</v>
      </c>
      <c r="B1521" s="322" t="s">
        <v>34</v>
      </c>
      <c r="C1521" s="322" t="s">
        <v>34</v>
      </c>
      <c r="D1521" s="323" t="s">
        <v>1711</v>
      </c>
      <c r="E1521" s="132" t="s">
        <v>24</v>
      </c>
      <c r="F1521" s="97" t="str">
        <f ca="1">IF(OR(Market_Data[[#This Row],[Start Date]]="",Market_Data[[#This Row],[Completion Date]]=""),"Needs Validation",IF(Market_Data[[#This Row],[Start Date]]&gt;TODAY(),"Planned",IF(Market_Data[[#This Row],[Completion Date]]&lt;TODAY(),"Completed","Ongoing")))</f>
        <v>Completed</v>
      </c>
      <c r="G1521" s="324">
        <v>44661</v>
      </c>
      <c r="H1521" s="324">
        <v>46022</v>
      </c>
      <c r="I1521" s="325">
        <v>48600</v>
      </c>
      <c r="J152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21" s="133">
        <f>_xlfn.XLOOKUP(Market_Data[[#This Row],[Project Type]],tbl_assumptions_market[Project Category (RERA)],tbl_assumptions_market[Concrete Intensity
(m³ / sq m BUA)],"",0)</f>
        <v>0.45</v>
      </c>
      <c r="L1521" s="134">
        <f>ROUND(Market_Data[[#This Row],[Estimated Built Up Area (sq m)]]*Market_Data[[#This Row],[Concrete Intensity
(m³ / sq m)]],0)</f>
        <v>21870</v>
      </c>
      <c r="M1521" s="135">
        <f>_xlfn.XLOOKUP(Market_Data[[#This Row],[District]],tbl_district_price[District],tbl_district_price[Standard Price
(INR/m³)],"",0)</f>
        <v>6200</v>
      </c>
      <c r="N1521" s="364">
        <f>IF(OR(Market_Data[[#This Row],[Estimated Concrete Demand (m³)]]="",Market_Data[[#This Row],[Avg Price per (₹ / m³)]]=""),"",Market_Data[[#This Row],[Estimated Concrete Demand (m³)]]*Market_Data[[#This Row],[Avg Price per (₹ / m³)]]/10000000)</f>
        <v>13.5594</v>
      </c>
      <c r="O1521" s="97" t="str">
        <f>IF(Market_Data[[#This Row],[Estimated Concrete Demand (m³)]]="","",
IF(Market_Data[[#This Row],[Estimated Concrete Demand (m³)]]&lt;10000,"Small",
IF(Market_Data[[#This Row],[Estimated Concrete Demand (m³)]]&lt;25000,"Medium",
IF(Market_Data[[#This Row],[Estimated Concrete Demand (m³)]]&lt;100000,"Large","Mega"))))</f>
        <v>Medium</v>
      </c>
      <c r="P1521" s="287" t="str">
        <f t="shared" si="25"/>
        <v>GujRERA</v>
      </c>
    </row>
    <row r="1522" spans="1:16">
      <c r="A1522" s="129" t="str">
        <f>_xlfn.XLOOKUP(B1522,$S$9:$S$14,$T$9:$T$14)&amp;"-"&amp;
IF(E1522="Residential/Group Housing","RES",
IF(E1522="Commercial","COM",
IF(E1522="Mixed Development","MIX",
IF(E1522="Plotted Development","PLT","OTH"))))
&amp;"-"&amp;TEXT(COUNTIFS($B$9:B1522,B1522,$E$9:E1522,E1522),"0000")</f>
        <v>SUR-RES-0454</v>
      </c>
      <c r="B1522" s="322" t="s">
        <v>34</v>
      </c>
      <c r="C1522" s="322" t="s">
        <v>34</v>
      </c>
      <c r="D1522" s="323" t="s">
        <v>1712</v>
      </c>
      <c r="E1522" s="132" t="s">
        <v>24</v>
      </c>
      <c r="F1522" s="97" t="str">
        <f ca="1">IF(OR(Market_Data[[#This Row],[Start Date]]="",Market_Data[[#This Row],[Completion Date]]=""),"Needs Validation",IF(Market_Data[[#This Row],[Start Date]]&gt;TODAY(),"Planned",IF(Market_Data[[#This Row],[Completion Date]]&lt;TODAY(),"Completed","Ongoing")))</f>
        <v>Ongoing</v>
      </c>
      <c r="G1522" s="324">
        <v>45040</v>
      </c>
      <c r="H1522" s="324">
        <v>47483</v>
      </c>
      <c r="I1522" s="325">
        <v>27400</v>
      </c>
      <c r="J152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22" s="133">
        <f>_xlfn.XLOOKUP(Market_Data[[#This Row],[Project Type]],tbl_assumptions_market[Project Category (RERA)],tbl_assumptions_market[Concrete Intensity
(m³ / sq m BUA)],"",0)</f>
        <v>0.45</v>
      </c>
      <c r="L1522" s="134">
        <f>ROUND(Market_Data[[#This Row],[Estimated Built Up Area (sq m)]]*Market_Data[[#This Row],[Concrete Intensity
(m³ / sq m)]],0)</f>
        <v>12330</v>
      </c>
      <c r="M1522" s="135">
        <f>_xlfn.XLOOKUP(Market_Data[[#This Row],[District]],tbl_district_price[District],tbl_district_price[Standard Price
(INR/m³)],"",0)</f>
        <v>6200</v>
      </c>
      <c r="N1522" s="364">
        <f>IF(OR(Market_Data[[#This Row],[Estimated Concrete Demand (m³)]]="",Market_Data[[#This Row],[Avg Price per (₹ / m³)]]=""),"",Market_Data[[#This Row],[Estimated Concrete Demand (m³)]]*Market_Data[[#This Row],[Avg Price per (₹ / m³)]]/10000000)</f>
        <v>7.6445999999999996</v>
      </c>
      <c r="O1522" s="97" t="str">
        <f>IF(Market_Data[[#This Row],[Estimated Concrete Demand (m³)]]="","",
IF(Market_Data[[#This Row],[Estimated Concrete Demand (m³)]]&lt;10000,"Small",
IF(Market_Data[[#This Row],[Estimated Concrete Demand (m³)]]&lt;25000,"Medium",
IF(Market_Data[[#This Row],[Estimated Concrete Demand (m³)]]&lt;100000,"Large","Mega"))))</f>
        <v>Medium</v>
      </c>
      <c r="P1522" s="287" t="str">
        <f t="shared" si="25"/>
        <v>GujRERA</v>
      </c>
    </row>
    <row r="1523" spans="1:16">
      <c r="A1523" s="129" t="str">
        <f>_xlfn.XLOOKUP(B1523,$S$9:$S$14,$T$9:$T$14)&amp;"-"&amp;
IF(E1523="Residential/Group Housing","RES",
IF(E1523="Commercial","COM",
IF(E1523="Mixed Development","MIX",
IF(E1523="Plotted Development","PLT","OTH"))))
&amp;"-"&amp;TEXT(COUNTIFS($B$9:B1523,B1523,$E$9:E1523,E1523),"0000")</f>
        <v>SUR-RES-0455</v>
      </c>
      <c r="B1523" s="322" t="s">
        <v>34</v>
      </c>
      <c r="C1523" s="322" t="s">
        <v>34</v>
      </c>
      <c r="D1523" s="323" t="s">
        <v>1713</v>
      </c>
      <c r="E1523" s="132" t="s">
        <v>24</v>
      </c>
      <c r="F1523" s="97" t="str">
        <f ca="1">IF(OR(Market_Data[[#This Row],[Start Date]]="",Market_Data[[#This Row],[Completion Date]]=""),"Needs Validation",IF(Market_Data[[#This Row],[Start Date]]&gt;TODAY(),"Planned",IF(Market_Data[[#This Row],[Completion Date]]&lt;TODAY(),"Completed","Ongoing")))</f>
        <v>Ongoing</v>
      </c>
      <c r="G1523" s="324">
        <v>45046</v>
      </c>
      <c r="H1523" s="324">
        <v>47483</v>
      </c>
      <c r="I1523" s="325">
        <v>22400</v>
      </c>
      <c r="J152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23" s="133">
        <f>_xlfn.XLOOKUP(Market_Data[[#This Row],[Project Type]],tbl_assumptions_market[Project Category (RERA)],tbl_assumptions_market[Concrete Intensity
(m³ / sq m BUA)],"",0)</f>
        <v>0.45</v>
      </c>
      <c r="L1523" s="134">
        <f>ROUND(Market_Data[[#This Row],[Estimated Built Up Area (sq m)]]*Market_Data[[#This Row],[Concrete Intensity
(m³ / sq m)]],0)</f>
        <v>10080</v>
      </c>
      <c r="M1523" s="135">
        <f>_xlfn.XLOOKUP(Market_Data[[#This Row],[District]],tbl_district_price[District],tbl_district_price[Standard Price
(INR/m³)],"",0)</f>
        <v>6200</v>
      </c>
      <c r="N1523" s="364">
        <f>IF(OR(Market_Data[[#This Row],[Estimated Concrete Demand (m³)]]="",Market_Data[[#This Row],[Avg Price per (₹ / m³)]]=""),"",Market_Data[[#This Row],[Estimated Concrete Demand (m³)]]*Market_Data[[#This Row],[Avg Price per (₹ / m³)]]/10000000)</f>
        <v>6.2496</v>
      </c>
      <c r="O1523" s="97" t="str">
        <f>IF(Market_Data[[#This Row],[Estimated Concrete Demand (m³)]]="","",
IF(Market_Data[[#This Row],[Estimated Concrete Demand (m³)]]&lt;10000,"Small",
IF(Market_Data[[#This Row],[Estimated Concrete Demand (m³)]]&lt;25000,"Medium",
IF(Market_Data[[#This Row],[Estimated Concrete Demand (m³)]]&lt;100000,"Large","Mega"))))</f>
        <v>Medium</v>
      </c>
      <c r="P1523" s="287" t="str">
        <f t="shared" si="25"/>
        <v>GujRERA</v>
      </c>
    </row>
    <row r="1524" spans="1:16">
      <c r="A1524" s="129" t="str">
        <f>_xlfn.XLOOKUP(B1524,$S$9:$S$14,$T$9:$T$14)&amp;"-"&amp;
IF(E1524="Residential/Group Housing","RES",
IF(E1524="Commercial","COM",
IF(E1524="Mixed Development","MIX",
IF(E1524="Plotted Development","PLT","OTH"))))
&amp;"-"&amp;TEXT(COUNTIFS($B$9:B1524,B1524,$E$9:E1524,E1524),"0000")</f>
        <v>SUR-RES-0456</v>
      </c>
      <c r="B1524" s="322" t="s">
        <v>34</v>
      </c>
      <c r="C1524" s="322" t="s">
        <v>34</v>
      </c>
      <c r="D1524" s="323" t="s">
        <v>1714</v>
      </c>
      <c r="E1524" s="132" t="s">
        <v>24</v>
      </c>
      <c r="F1524" s="97" t="str">
        <f ca="1">IF(OR(Market_Data[[#This Row],[Start Date]]="",Market_Data[[#This Row],[Completion Date]]=""),"Needs Validation",IF(Market_Data[[#This Row],[Start Date]]&gt;TODAY(),"Planned",IF(Market_Data[[#This Row],[Completion Date]]&lt;TODAY(),"Completed","Ongoing")))</f>
        <v>Completed</v>
      </c>
      <c r="G1524" s="324">
        <v>44256</v>
      </c>
      <c r="H1524" s="324">
        <v>46022</v>
      </c>
      <c r="I1524" s="325">
        <v>54400</v>
      </c>
      <c r="J152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24" s="133">
        <f>_xlfn.XLOOKUP(Market_Data[[#This Row],[Project Type]],tbl_assumptions_market[Project Category (RERA)],tbl_assumptions_market[Concrete Intensity
(m³ / sq m BUA)],"",0)</f>
        <v>0.45</v>
      </c>
      <c r="L1524" s="134">
        <f>ROUND(Market_Data[[#This Row],[Estimated Built Up Area (sq m)]]*Market_Data[[#This Row],[Concrete Intensity
(m³ / sq m)]],0)</f>
        <v>24480</v>
      </c>
      <c r="M1524" s="135">
        <f>_xlfn.XLOOKUP(Market_Data[[#This Row],[District]],tbl_district_price[District],tbl_district_price[Standard Price
(INR/m³)],"",0)</f>
        <v>6200</v>
      </c>
      <c r="N1524" s="364">
        <f>IF(OR(Market_Data[[#This Row],[Estimated Concrete Demand (m³)]]="",Market_Data[[#This Row],[Avg Price per (₹ / m³)]]=""),"",Market_Data[[#This Row],[Estimated Concrete Demand (m³)]]*Market_Data[[#This Row],[Avg Price per (₹ / m³)]]/10000000)</f>
        <v>15.1776</v>
      </c>
      <c r="O1524" s="97" t="str">
        <f>IF(Market_Data[[#This Row],[Estimated Concrete Demand (m³)]]="","",
IF(Market_Data[[#This Row],[Estimated Concrete Demand (m³)]]&lt;10000,"Small",
IF(Market_Data[[#This Row],[Estimated Concrete Demand (m³)]]&lt;25000,"Medium",
IF(Market_Data[[#This Row],[Estimated Concrete Demand (m³)]]&lt;100000,"Large","Mega"))))</f>
        <v>Medium</v>
      </c>
      <c r="P1524" s="287" t="str">
        <f t="shared" si="25"/>
        <v>GujRERA</v>
      </c>
    </row>
    <row r="1525" spans="1:16">
      <c r="A1525" s="129" t="str">
        <f>_xlfn.XLOOKUP(B1525,$S$9:$S$14,$T$9:$T$14)&amp;"-"&amp;
IF(E1525="Residential/Group Housing","RES",
IF(E1525="Commercial","COM",
IF(E1525="Mixed Development","MIX",
IF(E1525="Plotted Development","PLT","OTH"))))
&amp;"-"&amp;TEXT(COUNTIFS($B$9:B1525,B1525,$E$9:E1525,E1525),"0000")</f>
        <v>SUR-RES-0457</v>
      </c>
      <c r="B1525" s="322" t="s">
        <v>34</v>
      </c>
      <c r="C1525" s="322" t="s">
        <v>34</v>
      </c>
      <c r="D1525" s="323" t="s">
        <v>1715</v>
      </c>
      <c r="E1525" s="132" t="s">
        <v>24</v>
      </c>
      <c r="F1525" s="97" t="str">
        <f ca="1">IF(OR(Market_Data[[#This Row],[Start Date]]="",Market_Data[[#This Row],[Completion Date]]=""),"Needs Validation",IF(Market_Data[[#This Row],[Start Date]]&gt;TODAY(),"Planned",IF(Market_Data[[#This Row],[Completion Date]]&lt;TODAY(),"Completed","Ongoing")))</f>
        <v>Completed</v>
      </c>
      <c r="G1525" s="324">
        <v>42852</v>
      </c>
      <c r="H1525" s="324">
        <v>43947</v>
      </c>
      <c r="I1525" s="325">
        <v>44800</v>
      </c>
      <c r="J152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25" s="133">
        <f>_xlfn.XLOOKUP(Market_Data[[#This Row],[Project Type]],tbl_assumptions_market[Project Category (RERA)],tbl_assumptions_market[Concrete Intensity
(m³ / sq m BUA)],"",0)</f>
        <v>0.45</v>
      </c>
      <c r="L1525" s="134">
        <f>ROUND(Market_Data[[#This Row],[Estimated Built Up Area (sq m)]]*Market_Data[[#This Row],[Concrete Intensity
(m³ / sq m)]],0)</f>
        <v>20160</v>
      </c>
      <c r="M1525" s="135">
        <f>_xlfn.XLOOKUP(Market_Data[[#This Row],[District]],tbl_district_price[District],tbl_district_price[Standard Price
(INR/m³)],"",0)</f>
        <v>6200</v>
      </c>
      <c r="N1525" s="364">
        <f>IF(OR(Market_Data[[#This Row],[Estimated Concrete Demand (m³)]]="",Market_Data[[#This Row],[Avg Price per (₹ / m³)]]=""),"",Market_Data[[#This Row],[Estimated Concrete Demand (m³)]]*Market_Data[[#This Row],[Avg Price per (₹ / m³)]]/10000000)</f>
        <v>12.4992</v>
      </c>
      <c r="O1525" s="97" t="str">
        <f>IF(Market_Data[[#This Row],[Estimated Concrete Demand (m³)]]="","",
IF(Market_Data[[#This Row],[Estimated Concrete Demand (m³)]]&lt;10000,"Small",
IF(Market_Data[[#This Row],[Estimated Concrete Demand (m³)]]&lt;25000,"Medium",
IF(Market_Data[[#This Row],[Estimated Concrete Demand (m³)]]&lt;100000,"Large","Mega"))))</f>
        <v>Medium</v>
      </c>
      <c r="P1525" s="287" t="str">
        <f t="shared" si="25"/>
        <v>GujRERA</v>
      </c>
    </row>
    <row r="1526" spans="1:16">
      <c r="A1526" s="129" t="str">
        <f>_xlfn.XLOOKUP(B1526,$S$9:$S$14,$T$9:$T$14)&amp;"-"&amp;
IF(E1526="Residential/Group Housing","RES",
IF(E1526="Commercial","COM",
IF(E1526="Mixed Development","MIX",
IF(E1526="Plotted Development","PLT","OTH"))))
&amp;"-"&amp;TEXT(COUNTIFS($B$9:B1526,B1526,$E$9:E1526,E1526),"0000")</f>
        <v>SUR-RES-0458</v>
      </c>
      <c r="B1526" s="322" t="s">
        <v>34</v>
      </c>
      <c r="C1526" s="322" t="s">
        <v>34</v>
      </c>
      <c r="D1526" s="323" t="s">
        <v>1716</v>
      </c>
      <c r="E1526" s="132" t="s">
        <v>24</v>
      </c>
      <c r="F1526" s="97" t="str">
        <f ca="1">IF(OR(Market_Data[[#This Row],[Start Date]]="",Market_Data[[#This Row],[Completion Date]]=""),"Needs Validation",IF(Market_Data[[#This Row],[Start Date]]&gt;TODAY(),"Planned",IF(Market_Data[[#This Row],[Completion Date]]&lt;TODAY(),"Completed","Ongoing")))</f>
        <v>Completed</v>
      </c>
      <c r="G1526" s="324">
        <v>44348</v>
      </c>
      <c r="H1526" s="324">
        <v>46022</v>
      </c>
      <c r="I1526" s="325">
        <v>18000</v>
      </c>
      <c r="J152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26" s="133">
        <f>_xlfn.XLOOKUP(Market_Data[[#This Row],[Project Type]],tbl_assumptions_market[Project Category (RERA)],tbl_assumptions_market[Concrete Intensity
(m³ / sq m BUA)],"",0)</f>
        <v>0.45</v>
      </c>
      <c r="L1526" s="134">
        <f>ROUND(Market_Data[[#This Row],[Estimated Built Up Area (sq m)]]*Market_Data[[#This Row],[Concrete Intensity
(m³ / sq m)]],0)</f>
        <v>8100</v>
      </c>
      <c r="M1526" s="135">
        <f>_xlfn.XLOOKUP(Market_Data[[#This Row],[District]],tbl_district_price[District],tbl_district_price[Standard Price
(INR/m³)],"",0)</f>
        <v>6200</v>
      </c>
      <c r="N1526" s="364">
        <f>IF(OR(Market_Data[[#This Row],[Estimated Concrete Demand (m³)]]="",Market_Data[[#This Row],[Avg Price per (₹ / m³)]]=""),"",Market_Data[[#This Row],[Estimated Concrete Demand (m³)]]*Market_Data[[#This Row],[Avg Price per (₹ / m³)]]/10000000)</f>
        <v>5.0220000000000002</v>
      </c>
      <c r="O1526" s="97" t="str">
        <f>IF(Market_Data[[#This Row],[Estimated Concrete Demand (m³)]]="","",
IF(Market_Data[[#This Row],[Estimated Concrete Demand (m³)]]&lt;10000,"Small",
IF(Market_Data[[#This Row],[Estimated Concrete Demand (m³)]]&lt;25000,"Medium",
IF(Market_Data[[#This Row],[Estimated Concrete Demand (m³)]]&lt;100000,"Large","Mega"))))</f>
        <v>Small</v>
      </c>
      <c r="P1526" s="287" t="str">
        <f t="shared" si="25"/>
        <v>GujRERA</v>
      </c>
    </row>
    <row r="1527" spans="1:16">
      <c r="A1527" s="129" t="str">
        <f>_xlfn.XLOOKUP(B1527,$S$9:$S$14,$T$9:$T$14)&amp;"-"&amp;
IF(E1527="Residential/Group Housing","RES",
IF(E1527="Commercial","COM",
IF(E1527="Mixed Development","MIX",
IF(E1527="Plotted Development","PLT","OTH"))))
&amp;"-"&amp;TEXT(COUNTIFS($B$9:B1527,B1527,$E$9:E1527,E1527),"0000")</f>
        <v>SUR-RES-0459</v>
      </c>
      <c r="B1527" s="322" t="s">
        <v>34</v>
      </c>
      <c r="C1527" s="322" t="s">
        <v>34</v>
      </c>
      <c r="D1527" s="323" t="s">
        <v>1717</v>
      </c>
      <c r="E1527" s="132" t="s">
        <v>24</v>
      </c>
      <c r="F1527" s="97" t="str">
        <f ca="1">IF(OR(Market_Data[[#This Row],[Start Date]]="",Market_Data[[#This Row],[Completion Date]]=""),"Needs Validation",IF(Market_Data[[#This Row],[Start Date]]&gt;TODAY(),"Planned",IF(Market_Data[[#This Row],[Completion Date]]&lt;TODAY(),"Completed","Ongoing")))</f>
        <v>Completed</v>
      </c>
      <c r="G1527" s="324">
        <v>44501</v>
      </c>
      <c r="H1527" s="324">
        <v>46022</v>
      </c>
      <c r="I1527" s="325">
        <v>54700</v>
      </c>
      <c r="J152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27" s="133">
        <f>_xlfn.XLOOKUP(Market_Data[[#This Row],[Project Type]],tbl_assumptions_market[Project Category (RERA)],tbl_assumptions_market[Concrete Intensity
(m³ / sq m BUA)],"",0)</f>
        <v>0.45</v>
      </c>
      <c r="L1527" s="134">
        <f>ROUND(Market_Data[[#This Row],[Estimated Built Up Area (sq m)]]*Market_Data[[#This Row],[Concrete Intensity
(m³ / sq m)]],0)</f>
        <v>24615</v>
      </c>
      <c r="M1527" s="135">
        <f>_xlfn.XLOOKUP(Market_Data[[#This Row],[District]],tbl_district_price[District],tbl_district_price[Standard Price
(INR/m³)],"",0)</f>
        <v>6200</v>
      </c>
      <c r="N1527" s="364">
        <f>IF(OR(Market_Data[[#This Row],[Estimated Concrete Demand (m³)]]="",Market_Data[[#This Row],[Avg Price per (₹ / m³)]]=""),"",Market_Data[[#This Row],[Estimated Concrete Demand (m³)]]*Market_Data[[#This Row],[Avg Price per (₹ / m³)]]/10000000)</f>
        <v>15.2613</v>
      </c>
      <c r="O1527" s="97" t="str">
        <f>IF(Market_Data[[#This Row],[Estimated Concrete Demand (m³)]]="","",
IF(Market_Data[[#This Row],[Estimated Concrete Demand (m³)]]&lt;10000,"Small",
IF(Market_Data[[#This Row],[Estimated Concrete Demand (m³)]]&lt;25000,"Medium",
IF(Market_Data[[#This Row],[Estimated Concrete Demand (m³)]]&lt;100000,"Large","Mega"))))</f>
        <v>Medium</v>
      </c>
      <c r="P1527" s="287" t="str">
        <f t="shared" si="25"/>
        <v>GujRERA</v>
      </c>
    </row>
    <row r="1528" spans="1:16">
      <c r="A1528" s="129" t="str">
        <f>_xlfn.XLOOKUP(B1528,$S$9:$S$14,$T$9:$T$14)&amp;"-"&amp;
IF(E1528="Residential/Group Housing","RES",
IF(E1528="Commercial","COM",
IF(E1528="Mixed Development","MIX",
IF(E1528="Plotted Development","PLT","OTH"))))
&amp;"-"&amp;TEXT(COUNTIFS($B$9:B1528,B1528,$E$9:E1528,E1528),"0000")</f>
        <v>SUR-RES-0460</v>
      </c>
      <c r="B1528" s="322" t="s">
        <v>34</v>
      </c>
      <c r="C1528" s="322" t="s">
        <v>34</v>
      </c>
      <c r="D1528" s="323" t="s">
        <v>1718</v>
      </c>
      <c r="E1528" s="132" t="s">
        <v>24</v>
      </c>
      <c r="F1528" s="97" t="str">
        <f ca="1">IF(OR(Market_Data[[#This Row],[Start Date]]="",Market_Data[[#This Row],[Completion Date]]=""),"Needs Validation",IF(Market_Data[[#This Row],[Start Date]]&gt;TODAY(),"Planned",IF(Market_Data[[#This Row],[Completion Date]]&lt;TODAY(),"Completed","Ongoing")))</f>
        <v>Ongoing</v>
      </c>
      <c r="G1528" s="324">
        <v>44831</v>
      </c>
      <c r="H1528" s="324">
        <v>46752</v>
      </c>
      <c r="I1528" s="325">
        <v>7100</v>
      </c>
      <c r="J152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28" s="133">
        <f>_xlfn.XLOOKUP(Market_Data[[#This Row],[Project Type]],tbl_assumptions_market[Project Category (RERA)],tbl_assumptions_market[Concrete Intensity
(m³ / sq m BUA)],"",0)</f>
        <v>0.45</v>
      </c>
      <c r="L1528" s="134">
        <f>ROUND(Market_Data[[#This Row],[Estimated Built Up Area (sq m)]]*Market_Data[[#This Row],[Concrete Intensity
(m³ / sq m)]],0)</f>
        <v>3195</v>
      </c>
      <c r="M1528" s="135">
        <f>_xlfn.XLOOKUP(Market_Data[[#This Row],[District]],tbl_district_price[District],tbl_district_price[Standard Price
(INR/m³)],"",0)</f>
        <v>6200</v>
      </c>
      <c r="N1528" s="364">
        <f>IF(OR(Market_Data[[#This Row],[Estimated Concrete Demand (m³)]]="",Market_Data[[#This Row],[Avg Price per (₹ / m³)]]=""),"",Market_Data[[#This Row],[Estimated Concrete Demand (m³)]]*Market_Data[[#This Row],[Avg Price per (₹ / m³)]]/10000000)</f>
        <v>1.9809000000000001</v>
      </c>
      <c r="O1528" s="97" t="str">
        <f>IF(Market_Data[[#This Row],[Estimated Concrete Demand (m³)]]="","",
IF(Market_Data[[#This Row],[Estimated Concrete Demand (m³)]]&lt;10000,"Small",
IF(Market_Data[[#This Row],[Estimated Concrete Demand (m³)]]&lt;25000,"Medium",
IF(Market_Data[[#This Row],[Estimated Concrete Demand (m³)]]&lt;100000,"Large","Mega"))))</f>
        <v>Small</v>
      </c>
      <c r="P1528" s="287" t="str">
        <f t="shared" si="25"/>
        <v>GujRERA</v>
      </c>
    </row>
    <row r="1529" spans="1:16">
      <c r="A1529" s="129" t="str">
        <f>_xlfn.XLOOKUP(B1529,$S$9:$S$14,$T$9:$T$14)&amp;"-"&amp;
IF(E1529="Residential/Group Housing","RES",
IF(E1529="Commercial","COM",
IF(E1529="Mixed Development","MIX",
IF(E1529="Plotted Development","PLT","OTH"))))
&amp;"-"&amp;TEXT(COUNTIFS($B$9:B1529,B1529,$E$9:E1529,E1529),"0000")</f>
        <v>SUR-PLT-0287</v>
      </c>
      <c r="B1529" s="322" t="s">
        <v>34</v>
      </c>
      <c r="C1529" s="322" t="s">
        <v>34</v>
      </c>
      <c r="D1529" s="323" t="s">
        <v>1719</v>
      </c>
      <c r="E1529" s="132" t="s">
        <v>26</v>
      </c>
      <c r="F1529" s="97" t="str">
        <f ca="1">IF(OR(Market_Data[[#This Row],[Start Date]]="",Market_Data[[#This Row],[Completion Date]]=""),"Needs Validation",IF(Market_Data[[#This Row],[Start Date]]&gt;TODAY(),"Planned",IF(Market_Data[[#This Row],[Completion Date]]&lt;TODAY(),"Completed","Ongoing")))</f>
        <v>Ongoing</v>
      </c>
      <c r="G1529" s="324">
        <v>44817</v>
      </c>
      <c r="H1529" s="324">
        <v>46752</v>
      </c>
      <c r="I1529" s="325">
        <v>55000</v>
      </c>
      <c r="J152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529" s="133">
        <f>_xlfn.XLOOKUP(Market_Data[[#This Row],[Project Type]],tbl_assumptions_market[Project Category (RERA)],tbl_assumptions_market[Concrete Intensity
(m³ / sq m BUA)],"",0)</f>
        <v>0.18</v>
      </c>
      <c r="L1529" s="134">
        <f>ROUND(Market_Data[[#This Row],[Estimated Built Up Area (sq m)]]*Market_Data[[#This Row],[Concrete Intensity
(m³ / sq m)]],0)</f>
        <v>9900</v>
      </c>
      <c r="M1529" s="135">
        <f>_xlfn.XLOOKUP(Market_Data[[#This Row],[District]],tbl_district_price[District],tbl_district_price[Standard Price
(INR/m³)],"",0)</f>
        <v>6200</v>
      </c>
      <c r="N1529" s="364">
        <f>IF(OR(Market_Data[[#This Row],[Estimated Concrete Demand (m³)]]="",Market_Data[[#This Row],[Avg Price per (₹ / m³)]]=""),"",Market_Data[[#This Row],[Estimated Concrete Demand (m³)]]*Market_Data[[#This Row],[Avg Price per (₹ / m³)]]/10000000)</f>
        <v>6.1379999999999999</v>
      </c>
      <c r="O1529" s="97" t="str">
        <f>IF(Market_Data[[#This Row],[Estimated Concrete Demand (m³)]]="","",
IF(Market_Data[[#This Row],[Estimated Concrete Demand (m³)]]&lt;10000,"Small",
IF(Market_Data[[#This Row],[Estimated Concrete Demand (m³)]]&lt;25000,"Medium",
IF(Market_Data[[#This Row],[Estimated Concrete Demand (m³)]]&lt;100000,"Large","Mega"))))</f>
        <v>Small</v>
      </c>
      <c r="P1529" s="287" t="str">
        <f t="shared" si="25"/>
        <v>GujRERA</v>
      </c>
    </row>
    <row r="1530" spans="1:16">
      <c r="A1530" s="129" t="str">
        <f>_xlfn.XLOOKUP(B1530,$S$9:$S$14,$T$9:$T$14)&amp;"-"&amp;
IF(E1530="Residential/Group Housing","RES",
IF(E1530="Commercial","COM",
IF(E1530="Mixed Development","MIX",
IF(E1530="Plotted Development","PLT","OTH"))))
&amp;"-"&amp;TEXT(COUNTIFS($B$9:B1530,B1530,$E$9:E1530,E1530),"0000")</f>
        <v>SUR-RES-0461</v>
      </c>
      <c r="B1530" s="322" t="s">
        <v>34</v>
      </c>
      <c r="C1530" s="322" t="s">
        <v>34</v>
      </c>
      <c r="D1530" s="323" t="s">
        <v>1720</v>
      </c>
      <c r="E1530" s="132" t="s">
        <v>24</v>
      </c>
      <c r="F1530" s="97" t="str">
        <f ca="1">IF(OR(Market_Data[[#This Row],[Start Date]]="",Market_Data[[#This Row],[Completion Date]]=""),"Needs Validation",IF(Market_Data[[#This Row],[Start Date]]&gt;TODAY(),"Planned",IF(Market_Data[[#This Row],[Completion Date]]&lt;TODAY(),"Completed","Ongoing")))</f>
        <v>Ongoing</v>
      </c>
      <c r="G1530" s="324">
        <v>45675</v>
      </c>
      <c r="H1530" s="324">
        <v>47483</v>
      </c>
      <c r="I1530" s="325">
        <v>42000</v>
      </c>
      <c r="J153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30" s="133">
        <f>_xlfn.XLOOKUP(Market_Data[[#This Row],[Project Type]],tbl_assumptions_market[Project Category (RERA)],tbl_assumptions_market[Concrete Intensity
(m³ / sq m BUA)],"",0)</f>
        <v>0.45</v>
      </c>
      <c r="L1530" s="134">
        <f>ROUND(Market_Data[[#This Row],[Estimated Built Up Area (sq m)]]*Market_Data[[#This Row],[Concrete Intensity
(m³ / sq m)]],0)</f>
        <v>18900</v>
      </c>
      <c r="M1530" s="135">
        <f>_xlfn.XLOOKUP(Market_Data[[#This Row],[District]],tbl_district_price[District],tbl_district_price[Standard Price
(INR/m³)],"",0)</f>
        <v>6200</v>
      </c>
      <c r="N1530" s="364">
        <f>IF(OR(Market_Data[[#This Row],[Estimated Concrete Demand (m³)]]="",Market_Data[[#This Row],[Avg Price per (₹ / m³)]]=""),"",Market_Data[[#This Row],[Estimated Concrete Demand (m³)]]*Market_Data[[#This Row],[Avg Price per (₹ / m³)]]/10000000)</f>
        <v>11.718</v>
      </c>
      <c r="O1530" s="97" t="str">
        <f>IF(Market_Data[[#This Row],[Estimated Concrete Demand (m³)]]="","",
IF(Market_Data[[#This Row],[Estimated Concrete Demand (m³)]]&lt;10000,"Small",
IF(Market_Data[[#This Row],[Estimated Concrete Demand (m³)]]&lt;25000,"Medium",
IF(Market_Data[[#This Row],[Estimated Concrete Demand (m³)]]&lt;100000,"Large","Mega"))))</f>
        <v>Medium</v>
      </c>
      <c r="P1530" s="287" t="str">
        <f t="shared" si="25"/>
        <v>GujRERA</v>
      </c>
    </row>
    <row r="1531" spans="1:16">
      <c r="A1531" s="129" t="str">
        <f>_xlfn.XLOOKUP(B1531,$S$9:$S$14,$T$9:$T$14)&amp;"-"&amp;
IF(E1531="Residential/Group Housing","RES",
IF(E1531="Commercial","COM",
IF(E1531="Mixed Development","MIX",
IF(E1531="Plotted Development","PLT","OTH"))))
&amp;"-"&amp;TEXT(COUNTIFS($B$9:B1531,B1531,$E$9:E1531,E1531),"0000")</f>
        <v>SUR-MIX-0231</v>
      </c>
      <c r="B1531" s="322" t="s">
        <v>34</v>
      </c>
      <c r="C1531" s="322" t="s">
        <v>34</v>
      </c>
      <c r="D1531" s="323" t="s">
        <v>1721</v>
      </c>
      <c r="E1531" s="132" t="s">
        <v>25</v>
      </c>
      <c r="F1531" s="97" t="str">
        <f ca="1">IF(OR(Market_Data[[#This Row],[Start Date]]="",Market_Data[[#This Row],[Completion Date]]=""),"Needs Validation",IF(Market_Data[[#This Row],[Start Date]]&gt;TODAY(),"Planned",IF(Market_Data[[#This Row],[Completion Date]]&lt;TODAY(),"Completed","Ongoing")))</f>
        <v>Ongoing</v>
      </c>
      <c r="G1531" s="324">
        <v>45261</v>
      </c>
      <c r="H1531" s="324">
        <v>47391</v>
      </c>
      <c r="I1531" s="325">
        <v>42500</v>
      </c>
      <c r="J153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31" s="133">
        <f>_xlfn.XLOOKUP(Market_Data[[#This Row],[Project Type]],tbl_assumptions_market[Project Category (RERA)],tbl_assumptions_market[Concrete Intensity
(m³ / sq m BUA)],"",0)</f>
        <v>0.42</v>
      </c>
      <c r="L1531" s="134">
        <f>ROUND(Market_Data[[#This Row],[Estimated Built Up Area (sq m)]]*Market_Data[[#This Row],[Concrete Intensity
(m³ / sq m)]],0)</f>
        <v>17850</v>
      </c>
      <c r="M1531" s="135">
        <f>_xlfn.XLOOKUP(Market_Data[[#This Row],[District]],tbl_district_price[District],tbl_district_price[Standard Price
(INR/m³)],"",0)</f>
        <v>6200</v>
      </c>
      <c r="N1531" s="364">
        <f>IF(OR(Market_Data[[#This Row],[Estimated Concrete Demand (m³)]]="",Market_Data[[#This Row],[Avg Price per (₹ / m³)]]=""),"",Market_Data[[#This Row],[Estimated Concrete Demand (m³)]]*Market_Data[[#This Row],[Avg Price per (₹ / m³)]]/10000000)</f>
        <v>11.067</v>
      </c>
      <c r="O1531" s="97" t="str">
        <f>IF(Market_Data[[#This Row],[Estimated Concrete Demand (m³)]]="","",
IF(Market_Data[[#This Row],[Estimated Concrete Demand (m³)]]&lt;10000,"Small",
IF(Market_Data[[#This Row],[Estimated Concrete Demand (m³)]]&lt;25000,"Medium",
IF(Market_Data[[#This Row],[Estimated Concrete Demand (m³)]]&lt;100000,"Large","Mega"))))</f>
        <v>Medium</v>
      </c>
      <c r="P1531" s="287" t="str">
        <f t="shared" si="25"/>
        <v>GujRERA</v>
      </c>
    </row>
    <row r="1532" spans="1:16">
      <c r="A1532" s="129" t="str">
        <f>_xlfn.XLOOKUP(B1532,$S$9:$S$14,$T$9:$T$14)&amp;"-"&amp;
IF(E1532="Residential/Group Housing","RES",
IF(E1532="Commercial","COM",
IF(E1532="Mixed Development","MIX",
IF(E1532="Plotted Development","PLT","OTH"))))
&amp;"-"&amp;TEXT(COUNTIFS($B$9:B1532,B1532,$E$9:E1532,E1532),"0000")</f>
        <v>SUR-RES-0462</v>
      </c>
      <c r="B1532" s="322" t="s">
        <v>34</v>
      </c>
      <c r="C1532" s="322" t="s">
        <v>34</v>
      </c>
      <c r="D1532" s="323" t="s">
        <v>1722</v>
      </c>
      <c r="E1532" s="132" t="s">
        <v>24</v>
      </c>
      <c r="F1532" s="97" t="str">
        <f ca="1">IF(OR(Market_Data[[#This Row],[Start Date]]="",Market_Data[[#This Row],[Completion Date]]=""),"Needs Validation",IF(Market_Data[[#This Row],[Start Date]]&gt;TODAY(),"Planned",IF(Market_Data[[#This Row],[Completion Date]]&lt;TODAY(),"Completed","Ongoing")))</f>
        <v>Completed</v>
      </c>
      <c r="G1532" s="324">
        <v>44835</v>
      </c>
      <c r="H1532" s="324">
        <v>46203</v>
      </c>
      <c r="I1532" s="325">
        <v>33100</v>
      </c>
      <c r="J153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32" s="133">
        <f>_xlfn.XLOOKUP(Market_Data[[#This Row],[Project Type]],tbl_assumptions_market[Project Category (RERA)],tbl_assumptions_market[Concrete Intensity
(m³ / sq m BUA)],"",0)</f>
        <v>0.45</v>
      </c>
      <c r="L1532" s="134">
        <f>ROUND(Market_Data[[#This Row],[Estimated Built Up Area (sq m)]]*Market_Data[[#This Row],[Concrete Intensity
(m³ / sq m)]],0)</f>
        <v>14895</v>
      </c>
      <c r="M1532" s="135">
        <f>_xlfn.XLOOKUP(Market_Data[[#This Row],[District]],tbl_district_price[District],tbl_district_price[Standard Price
(INR/m³)],"",0)</f>
        <v>6200</v>
      </c>
      <c r="N1532" s="364">
        <f>IF(OR(Market_Data[[#This Row],[Estimated Concrete Demand (m³)]]="",Market_Data[[#This Row],[Avg Price per (₹ / m³)]]=""),"",Market_Data[[#This Row],[Estimated Concrete Demand (m³)]]*Market_Data[[#This Row],[Avg Price per (₹ / m³)]]/10000000)</f>
        <v>9.2348999999999997</v>
      </c>
      <c r="O1532" s="97" t="str">
        <f>IF(Market_Data[[#This Row],[Estimated Concrete Demand (m³)]]="","",
IF(Market_Data[[#This Row],[Estimated Concrete Demand (m³)]]&lt;10000,"Small",
IF(Market_Data[[#This Row],[Estimated Concrete Demand (m³)]]&lt;25000,"Medium",
IF(Market_Data[[#This Row],[Estimated Concrete Demand (m³)]]&lt;100000,"Large","Mega"))))</f>
        <v>Medium</v>
      </c>
      <c r="P1532" s="287" t="str">
        <f t="shared" si="25"/>
        <v>GujRERA</v>
      </c>
    </row>
    <row r="1533" spans="1:16">
      <c r="A1533" s="129" t="str">
        <f>_xlfn.XLOOKUP(B1533,$S$9:$S$14,$T$9:$T$14)&amp;"-"&amp;
IF(E1533="Residential/Group Housing","RES",
IF(E1533="Commercial","COM",
IF(E1533="Mixed Development","MIX",
IF(E1533="Plotted Development","PLT","OTH"))))
&amp;"-"&amp;TEXT(COUNTIFS($B$9:B1533,B1533,$E$9:E1533,E1533),"0000")</f>
        <v>SUR-RES-0463</v>
      </c>
      <c r="B1533" s="322" t="s">
        <v>34</v>
      </c>
      <c r="C1533" s="322" t="s">
        <v>34</v>
      </c>
      <c r="D1533" s="323" t="s">
        <v>1723</v>
      </c>
      <c r="E1533" s="132" t="s">
        <v>24</v>
      </c>
      <c r="F1533" s="97" t="str">
        <f ca="1">IF(OR(Market_Data[[#This Row],[Start Date]]="",Market_Data[[#This Row],[Completion Date]]=""),"Needs Validation",IF(Market_Data[[#This Row],[Start Date]]&gt;TODAY(),"Planned",IF(Market_Data[[#This Row],[Completion Date]]&lt;TODAY(),"Completed","Ongoing")))</f>
        <v>Ongoing</v>
      </c>
      <c r="G1533" s="324">
        <v>45273</v>
      </c>
      <c r="H1533" s="324">
        <v>47483</v>
      </c>
      <c r="I1533" s="325">
        <v>41500</v>
      </c>
      <c r="J153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33" s="133">
        <f>_xlfn.XLOOKUP(Market_Data[[#This Row],[Project Type]],tbl_assumptions_market[Project Category (RERA)],tbl_assumptions_market[Concrete Intensity
(m³ / sq m BUA)],"",0)</f>
        <v>0.45</v>
      </c>
      <c r="L1533" s="134">
        <f>ROUND(Market_Data[[#This Row],[Estimated Built Up Area (sq m)]]*Market_Data[[#This Row],[Concrete Intensity
(m³ / sq m)]],0)</f>
        <v>18675</v>
      </c>
      <c r="M1533" s="135">
        <f>_xlfn.XLOOKUP(Market_Data[[#This Row],[District]],tbl_district_price[District],tbl_district_price[Standard Price
(INR/m³)],"",0)</f>
        <v>6200</v>
      </c>
      <c r="N1533" s="364">
        <f>IF(OR(Market_Data[[#This Row],[Estimated Concrete Demand (m³)]]="",Market_Data[[#This Row],[Avg Price per (₹ / m³)]]=""),"",Market_Data[[#This Row],[Estimated Concrete Demand (m³)]]*Market_Data[[#This Row],[Avg Price per (₹ / m³)]]/10000000)</f>
        <v>11.5785</v>
      </c>
      <c r="O1533" s="97" t="str">
        <f>IF(Market_Data[[#This Row],[Estimated Concrete Demand (m³)]]="","",
IF(Market_Data[[#This Row],[Estimated Concrete Demand (m³)]]&lt;10000,"Small",
IF(Market_Data[[#This Row],[Estimated Concrete Demand (m³)]]&lt;25000,"Medium",
IF(Market_Data[[#This Row],[Estimated Concrete Demand (m³)]]&lt;100000,"Large","Mega"))))</f>
        <v>Medium</v>
      </c>
      <c r="P1533" s="287" t="str">
        <f t="shared" si="25"/>
        <v>GujRERA</v>
      </c>
    </row>
    <row r="1534" spans="1:16">
      <c r="A1534" s="129" t="str">
        <f>_xlfn.XLOOKUP(B1534,$S$9:$S$14,$T$9:$T$14)&amp;"-"&amp;
IF(E1534="Residential/Group Housing","RES",
IF(E1534="Commercial","COM",
IF(E1534="Mixed Development","MIX",
IF(E1534="Plotted Development","PLT","OTH"))))
&amp;"-"&amp;TEXT(COUNTIFS($B$9:B1534,B1534,$E$9:E1534,E1534),"0000")</f>
        <v>SUR-PLT-0288</v>
      </c>
      <c r="B1534" s="322" t="s">
        <v>34</v>
      </c>
      <c r="C1534" s="322" t="s">
        <v>34</v>
      </c>
      <c r="D1534" s="323" t="s">
        <v>1724</v>
      </c>
      <c r="E1534" s="132" t="s">
        <v>26</v>
      </c>
      <c r="F1534" s="97" t="str">
        <f ca="1">IF(OR(Market_Data[[#This Row],[Start Date]]="",Market_Data[[#This Row],[Completion Date]]=""),"Needs Validation",IF(Market_Data[[#This Row],[Start Date]]&gt;TODAY(),"Planned",IF(Market_Data[[#This Row],[Completion Date]]&lt;TODAY(),"Completed","Ongoing")))</f>
        <v>Completed</v>
      </c>
      <c r="G1534" s="324">
        <v>44113</v>
      </c>
      <c r="H1534" s="324">
        <v>45939</v>
      </c>
      <c r="I1534" s="325">
        <v>11900</v>
      </c>
      <c r="J153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34" s="133">
        <f>_xlfn.XLOOKUP(Market_Data[[#This Row],[Project Type]],tbl_assumptions_market[Project Category (RERA)],tbl_assumptions_market[Concrete Intensity
(m³ / sq m BUA)],"",0)</f>
        <v>0.18</v>
      </c>
      <c r="L1534" s="134">
        <f>ROUND(Market_Data[[#This Row],[Estimated Built Up Area (sq m)]]*Market_Data[[#This Row],[Concrete Intensity
(m³ / sq m)]],0)</f>
        <v>2142</v>
      </c>
      <c r="M1534" s="135">
        <f>_xlfn.XLOOKUP(Market_Data[[#This Row],[District]],tbl_district_price[District],tbl_district_price[Standard Price
(INR/m³)],"",0)</f>
        <v>6200</v>
      </c>
      <c r="N1534" s="364">
        <f>IF(OR(Market_Data[[#This Row],[Estimated Concrete Demand (m³)]]="",Market_Data[[#This Row],[Avg Price per (₹ / m³)]]=""),"",Market_Data[[#This Row],[Estimated Concrete Demand (m³)]]*Market_Data[[#This Row],[Avg Price per (₹ / m³)]]/10000000)</f>
        <v>1.3280400000000001</v>
      </c>
      <c r="O1534" s="97" t="str">
        <f>IF(Market_Data[[#This Row],[Estimated Concrete Demand (m³)]]="","",
IF(Market_Data[[#This Row],[Estimated Concrete Demand (m³)]]&lt;10000,"Small",
IF(Market_Data[[#This Row],[Estimated Concrete Demand (m³)]]&lt;25000,"Medium",
IF(Market_Data[[#This Row],[Estimated Concrete Demand (m³)]]&lt;100000,"Large","Mega"))))</f>
        <v>Small</v>
      </c>
      <c r="P1534" s="287" t="str">
        <f t="shared" si="25"/>
        <v>GujRERA</v>
      </c>
    </row>
    <row r="1535" spans="1:16">
      <c r="A1535" s="129" t="str">
        <f>_xlfn.XLOOKUP(B1535,$S$9:$S$14,$T$9:$T$14)&amp;"-"&amp;
IF(E1535="Residential/Group Housing","RES",
IF(E1535="Commercial","COM",
IF(E1535="Mixed Development","MIX",
IF(E1535="Plotted Development","PLT","OTH"))))
&amp;"-"&amp;TEXT(COUNTIFS($B$9:B1535,B1535,$E$9:E1535,E1535),"0000")</f>
        <v>SUR-RES-0464</v>
      </c>
      <c r="B1535" s="322" t="s">
        <v>34</v>
      </c>
      <c r="C1535" s="322" t="s">
        <v>34</v>
      </c>
      <c r="D1535" s="323" t="s">
        <v>1725</v>
      </c>
      <c r="E1535" s="132" t="s">
        <v>24</v>
      </c>
      <c r="F1535" s="97" t="str">
        <f ca="1">IF(OR(Market_Data[[#This Row],[Start Date]]="",Market_Data[[#This Row],[Completion Date]]=""),"Needs Validation",IF(Market_Data[[#This Row],[Start Date]]&gt;TODAY(),"Planned",IF(Market_Data[[#This Row],[Completion Date]]&lt;TODAY(),"Completed","Ongoing")))</f>
        <v>Completed</v>
      </c>
      <c r="G1535" s="324">
        <v>43435</v>
      </c>
      <c r="H1535" s="324">
        <v>45991</v>
      </c>
      <c r="I1535" s="325">
        <v>42700</v>
      </c>
      <c r="J153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35" s="133">
        <f>_xlfn.XLOOKUP(Market_Data[[#This Row],[Project Type]],tbl_assumptions_market[Project Category (RERA)],tbl_assumptions_market[Concrete Intensity
(m³ / sq m BUA)],"",0)</f>
        <v>0.45</v>
      </c>
      <c r="L1535" s="134">
        <f>ROUND(Market_Data[[#This Row],[Estimated Built Up Area (sq m)]]*Market_Data[[#This Row],[Concrete Intensity
(m³ / sq m)]],0)</f>
        <v>19215</v>
      </c>
      <c r="M1535" s="135">
        <f>_xlfn.XLOOKUP(Market_Data[[#This Row],[District]],tbl_district_price[District],tbl_district_price[Standard Price
(INR/m³)],"",0)</f>
        <v>6200</v>
      </c>
      <c r="N1535" s="364">
        <f>IF(OR(Market_Data[[#This Row],[Estimated Concrete Demand (m³)]]="",Market_Data[[#This Row],[Avg Price per (₹ / m³)]]=""),"",Market_Data[[#This Row],[Estimated Concrete Demand (m³)]]*Market_Data[[#This Row],[Avg Price per (₹ / m³)]]/10000000)</f>
        <v>11.9133</v>
      </c>
      <c r="O1535" s="97" t="str">
        <f>IF(Market_Data[[#This Row],[Estimated Concrete Demand (m³)]]="","",
IF(Market_Data[[#This Row],[Estimated Concrete Demand (m³)]]&lt;10000,"Small",
IF(Market_Data[[#This Row],[Estimated Concrete Demand (m³)]]&lt;25000,"Medium",
IF(Market_Data[[#This Row],[Estimated Concrete Demand (m³)]]&lt;100000,"Large","Mega"))))</f>
        <v>Medium</v>
      </c>
      <c r="P1535" s="287" t="str">
        <f t="shared" si="25"/>
        <v>GujRERA</v>
      </c>
    </row>
    <row r="1536" spans="1:16">
      <c r="A1536" s="129" t="str">
        <f>_xlfn.XLOOKUP(B1536,$S$9:$S$14,$T$9:$T$14)&amp;"-"&amp;
IF(E1536="Residential/Group Housing","RES",
IF(E1536="Commercial","COM",
IF(E1536="Mixed Development","MIX",
IF(E1536="Plotted Development","PLT","OTH"))))
&amp;"-"&amp;TEXT(COUNTIFS($B$9:B1536,B1536,$E$9:E1536,E1536),"0000")</f>
        <v>SUR-PLT-0289</v>
      </c>
      <c r="B1536" s="322" t="s">
        <v>34</v>
      </c>
      <c r="C1536" s="322" t="s">
        <v>34</v>
      </c>
      <c r="D1536" s="323" t="s">
        <v>1726</v>
      </c>
      <c r="E1536" s="132" t="s">
        <v>26</v>
      </c>
      <c r="F1536" s="97" t="str">
        <f ca="1">IF(OR(Market_Data[[#This Row],[Start Date]]="",Market_Data[[#This Row],[Completion Date]]=""),"Needs Validation",IF(Market_Data[[#This Row],[Start Date]]&gt;TODAY(),"Planned",IF(Market_Data[[#This Row],[Completion Date]]&lt;TODAY(),"Completed","Ongoing")))</f>
        <v>Completed</v>
      </c>
      <c r="G1536" s="324">
        <v>43418</v>
      </c>
      <c r="H1536" s="324">
        <v>44561</v>
      </c>
      <c r="I1536" s="325">
        <v>8800</v>
      </c>
      <c r="J153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36" s="133">
        <f>_xlfn.XLOOKUP(Market_Data[[#This Row],[Project Type]],tbl_assumptions_market[Project Category (RERA)],tbl_assumptions_market[Concrete Intensity
(m³ / sq m BUA)],"",0)</f>
        <v>0.18</v>
      </c>
      <c r="L1536" s="134">
        <f>ROUND(Market_Data[[#This Row],[Estimated Built Up Area (sq m)]]*Market_Data[[#This Row],[Concrete Intensity
(m³ / sq m)]],0)</f>
        <v>1584</v>
      </c>
      <c r="M1536" s="135">
        <f>_xlfn.XLOOKUP(Market_Data[[#This Row],[District]],tbl_district_price[District],tbl_district_price[Standard Price
(INR/m³)],"",0)</f>
        <v>6200</v>
      </c>
      <c r="N1536" s="364">
        <f>IF(OR(Market_Data[[#This Row],[Estimated Concrete Demand (m³)]]="",Market_Data[[#This Row],[Avg Price per (₹ / m³)]]=""),"",Market_Data[[#This Row],[Estimated Concrete Demand (m³)]]*Market_Data[[#This Row],[Avg Price per (₹ / m³)]]/10000000)</f>
        <v>0.98207999999999995</v>
      </c>
      <c r="O1536" s="97" t="str">
        <f>IF(Market_Data[[#This Row],[Estimated Concrete Demand (m³)]]="","",
IF(Market_Data[[#This Row],[Estimated Concrete Demand (m³)]]&lt;10000,"Small",
IF(Market_Data[[#This Row],[Estimated Concrete Demand (m³)]]&lt;25000,"Medium",
IF(Market_Data[[#This Row],[Estimated Concrete Demand (m³)]]&lt;100000,"Large","Mega"))))</f>
        <v>Small</v>
      </c>
      <c r="P1536" s="287" t="str">
        <f t="shared" si="25"/>
        <v>GujRERA</v>
      </c>
    </row>
    <row r="1537" spans="1:16">
      <c r="A1537" s="129" t="str">
        <f>_xlfn.XLOOKUP(B1537,$S$9:$S$14,$T$9:$T$14)&amp;"-"&amp;
IF(E1537="Residential/Group Housing","RES",
IF(E1537="Commercial","COM",
IF(E1537="Mixed Development","MIX",
IF(E1537="Plotted Development","PLT","OTH"))))
&amp;"-"&amp;TEXT(COUNTIFS($B$9:B1537,B1537,$E$9:E1537,E1537),"0000")</f>
        <v>SUR-PLT-0290</v>
      </c>
      <c r="B1537" s="322" t="s">
        <v>34</v>
      </c>
      <c r="C1537" s="322" t="s">
        <v>34</v>
      </c>
      <c r="D1537" s="323" t="s">
        <v>1727</v>
      </c>
      <c r="E1537" s="132" t="s">
        <v>26</v>
      </c>
      <c r="F1537" s="97" t="str">
        <f ca="1">IF(OR(Market_Data[[#This Row],[Start Date]]="",Market_Data[[#This Row],[Completion Date]]=""),"Needs Validation",IF(Market_Data[[#This Row],[Start Date]]&gt;TODAY(),"Planned",IF(Market_Data[[#This Row],[Completion Date]]&lt;TODAY(),"Completed","Ongoing")))</f>
        <v>Completed</v>
      </c>
      <c r="G1537" s="324">
        <v>43160</v>
      </c>
      <c r="H1537" s="324">
        <v>44650</v>
      </c>
      <c r="I1537" s="325">
        <v>52200</v>
      </c>
      <c r="J153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537" s="133">
        <f>_xlfn.XLOOKUP(Market_Data[[#This Row],[Project Type]],tbl_assumptions_market[Project Category (RERA)],tbl_assumptions_market[Concrete Intensity
(m³ / sq m BUA)],"",0)</f>
        <v>0.18</v>
      </c>
      <c r="L1537" s="134">
        <f>ROUND(Market_Data[[#This Row],[Estimated Built Up Area (sq m)]]*Market_Data[[#This Row],[Concrete Intensity
(m³ / sq m)]],0)</f>
        <v>9396</v>
      </c>
      <c r="M1537" s="135">
        <f>_xlfn.XLOOKUP(Market_Data[[#This Row],[District]],tbl_district_price[District],tbl_district_price[Standard Price
(INR/m³)],"",0)</f>
        <v>6200</v>
      </c>
      <c r="N1537" s="364">
        <f>IF(OR(Market_Data[[#This Row],[Estimated Concrete Demand (m³)]]="",Market_Data[[#This Row],[Avg Price per (₹ / m³)]]=""),"",Market_Data[[#This Row],[Estimated Concrete Demand (m³)]]*Market_Data[[#This Row],[Avg Price per (₹ / m³)]]/10000000)</f>
        <v>5.82552</v>
      </c>
      <c r="O1537" s="97" t="str">
        <f>IF(Market_Data[[#This Row],[Estimated Concrete Demand (m³)]]="","",
IF(Market_Data[[#This Row],[Estimated Concrete Demand (m³)]]&lt;10000,"Small",
IF(Market_Data[[#This Row],[Estimated Concrete Demand (m³)]]&lt;25000,"Medium",
IF(Market_Data[[#This Row],[Estimated Concrete Demand (m³)]]&lt;100000,"Large","Mega"))))</f>
        <v>Small</v>
      </c>
      <c r="P1537" s="287" t="str">
        <f t="shared" si="25"/>
        <v>GujRERA</v>
      </c>
    </row>
    <row r="1538" spans="1:16">
      <c r="A1538" s="129" t="str">
        <f>_xlfn.XLOOKUP(B1538,$S$9:$S$14,$T$9:$T$14)&amp;"-"&amp;
IF(E1538="Residential/Group Housing","RES",
IF(E1538="Commercial","COM",
IF(E1538="Mixed Development","MIX",
IF(E1538="Plotted Development","PLT","OTH"))))
&amp;"-"&amp;TEXT(COUNTIFS($B$9:B1538,B1538,$E$9:E1538,E1538),"0000")</f>
        <v>SUR-COM-0235</v>
      </c>
      <c r="B1538" s="322" t="s">
        <v>34</v>
      </c>
      <c r="C1538" s="322" t="s">
        <v>34</v>
      </c>
      <c r="D1538" s="323" t="s">
        <v>1728</v>
      </c>
      <c r="E1538" s="132" t="s">
        <v>23</v>
      </c>
      <c r="F1538" s="97" t="str">
        <f ca="1">IF(OR(Market_Data[[#This Row],[Start Date]]="",Market_Data[[#This Row],[Completion Date]]=""),"Needs Validation",IF(Market_Data[[#This Row],[Start Date]]&gt;TODAY(),"Planned",IF(Market_Data[[#This Row],[Completion Date]]&lt;TODAY(),"Completed","Ongoing")))</f>
        <v>Completed</v>
      </c>
      <c r="G1538" s="324">
        <v>44166</v>
      </c>
      <c r="H1538" s="324">
        <v>45016</v>
      </c>
      <c r="I1538" s="325">
        <v>52900</v>
      </c>
      <c r="J153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538" s="133">
        <f>_xlfn.XLOOKUP(Market_Data[[#This Row],[Project Type]],tbl_assumptions_market[Project Category (RERA)],tbl_assumptions_market[Concrete Intensity
(m³ / sq m BUA)],"",0)</f>
        <v>0.5</v>
      </c>
      <c r="L1538" s="134">
        <f>ROUND(Market_Data[[#This Row],[Estimated Built Up Area (sq m)]]*Market_Data[[#This Row],[Concrete Intensity
(m³ / sq m)]],0)</f>
        <v>26450</v>
      </c>
      <c r="M1538" s="135">
        <f>_xlfn.XLOOKUP(Market_Data[[#This Row],[District]],tbl_district_price[District],tbl_district_price[Standard Price
(INR/m³)],"",0)</f>
        <v>6200</v>
      </c>
      <c r="N1538" s="364">
        <f>IF(OR(Market_Data[[#This Row],[Estimated Concrete Demand (m³)]]="",Market_Data[[#This Row],[Avg Price per (₹ / m³)]]=""),"",Market_Data[[#This Row],[Estimated Concrete Demand (m³)]]*Market_Data[[#This Row],[Avg Price per (₹ / m³)]]/10000000)</f>
        <v>16.399000000000001</v>
      </c>
      <c r="O1538" s="97" t="str">
        <f>IF(Market_Data[[#This Row],[Estimated Concrete Demand (m³)]]="","",
IF(Market_Data[[#This Row],[Estimated Concrete Demand (m³)]]&lt;10000,"Small",
IF(Market_Data[[#This Row],[Estimated Concrete Demand (m³)]]&lt;25000,"Medium",
IF(Market_Data[[#This Row],[Estimated Concrete Demand (m³)]]&lt;100000,"Large","Mega"))))</f>
        <v>Large</v>
      </c>
      <c r="P1538" s="287" t="str">
        <f t="shared" si="25"/>
        <v>GujRERA</v>
      </c>
    </row>
    <row r="1539" spans="1:16">
      <c r="A1539" s="129" t="str">
        <f>_xlfn.XLOOKUP(B1539,$S$9:$S$14,$T$9:$T$14)&amp;"-"&amp;
IF(E1539="Residential/Group Housing","RES",
IF(E1539="Commercial","COM",
IF(E1539="Mixed Development","MIX",
IF(E1539="Plotted Development","PLT","OTH"))))
&amp;"-"&amp;TEXT(COUNTIFS($B$9:B1539,B1539,$E$9:E1539,E1539),"0000")</f>
        <v>SUR-RES-0465</v>
      </c>
      <c r="B1539" s="322" t="s">
        <v>34</v>
      </c>
      <c r="C1539" s="322" t="s">
        <v>34</v>
      </c>
      <c r="D1539" s="323" t="s">
        <v>1729</v>
      </c>
      <c r="E1539" s="132" t="s">
        <v>24</v>
      </c>
      <c r="F1539" s="97" t="str">
        <f ca="1">IF(OR(Market_Data[[#This Row],[Start Date]]="",Market_Data[[#This Row],[Completion Date]]=""),"Needs Validation",IF(Market_Data[[#This Row],[Start Date]]&gt;TODAY(),"Planned",IF(Market_Data[[#This Row],[Completion Date]]&lt;TODAY(),"Completed","Ongoing")))</f>
        <v>Completed</v>
      </c>
      <c r="G1539" s="324">
        <v>43148</v>
      </c>
      <c r="H1539" s="324">
        <v>44834</v>
      </c>
      <c r="I1539" s="325">
        <v>49100</v>
      </c>
      <c r="J153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39" s="133">
        <f>_xlfn.XLOOKUP(Market_Data[[#This Row],[Project Type]],tbl_assumptions_market[Project Category (RERA)],tbl_assumptions_market[Concrete Intensity
(m³ / sq m BUA)],"",0)</f>
        <v>0.45</v>
      </c>
      <c r="L1539" s="134">
        <f>ROUND(Market_Data[[#This Row],[Estimated Built Up Area (sq m)]]*Market_Data[[#This Row],[Concrete Intensity
(m³ / sq m)]],0)</f>
        <v>22095</v>
      </c>
      <c r="M1539" s="135">
        <f>_xlfn.XLOOKUP(Market_Data[[#This Row],[District]],tbl_district_price[District],tbl_district_price[Standard Price
(INR/m³)],"",0)</f>
        <v>6200</v>
      </c>
      <c r="N1539" s="364">
        <f>IF(OR(Market_Data[[#This Row],[Estimated Concrete Demand (m³)]]="",Market_Data[[#This Row],[Avg Price per (₹ / m³)]]=""),"",Market_Data[[#This Row],[Estimated Concrete Demand (m³)]]*Market_Data[[#This Row],[Avg Price per (₹ / m³)]]/10000000)</f>
        <v>13.6989</v>
      </c>
      <c r="O1539" s="97" t="str">
        <f>IF(Market_Data[[#This Row],[Estimated Concrete Demand (m³)]]="","",
IF(Market_Data[[#This Row],[Estimated Concrete Demand (m³)]]&lt;10000,"Small",
IF(Market_Data[[#This Row],[Estimated Concrete Demand (m³)]]&lt;25000,"Medium",
IF(Market_Data[[#This Row],[Estimated Concrete Demand (m³)]]&lt;100000,"Large","Mega"))))</f>
        <v>Medium</v>
      </c>
      <c r="P1539" s="287" t="str">
        <f t="shared" si="25"/>
        <v>GujRERA</v>
      </c>
    </row>
    <row r="1540" spans="1:16">
      <c r="A1540" s="129" t="str">
        <f>_xlfn.XLOOKUP(B1540,$S$9:$S$14,$T$9:$T$14)&amp;"-"&amp;
IF(E1540="Residential/Group Housing","RES",
IF(E1540="Commercial","COM",
IF(E1540="Mixed Development","MIX",
IF(E1540="Plotted Development","PLT","OTH"))))
&amp;"-"&amp;TEXT(COUNTIFS($B$9:B1540,B1540,$E$9:E1540,E1540),"0000")</f>
        <v>SUR-RES-0466</v>
      </c>
      <c r="B1540" s="322" t="s">
        <v>34</v>
      </c>
      <c r="C1540" s="322" t="s">
        <v>34</v>
      </c>
      <c r="D1540" s="323" t="s">
        <v>1730</v>
      </c>
      <c r="E1540" s="132" t="s">
        <v>24</v>
      </c>
      <c r="F1540" s="97" t="str">
        <f ca="1">IF(OR(Market_Data[[#This Row],[Start Date]]="",Market_Data[[#This Row],[Completion Date]]=""),"Needs Validation",IF(Market_Data[[#This Row],[Start Date]]&gt;TODAY(),"Planned",IF(Market_Data[[#This Row],[Completion Date]]&lt;TODAY(),"Completed","Ongoing")))</f>
        <v>Ongoing</v>
      </c>
      <c r="G1540" s="324">
        <v>45322</v>
      </c>
      <c r="H1540" s="324">
        <v>47118</v>
      </c>
      <c r="I1540" s="325">
        <v>29200</v>
      </c>
      <c r="J154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40" s="133">
        <f>_xlfn.XLOOKUP(Market_Data[[#This Row],[Project Type]],tbl_assumptions_market[Project Category (RERA)],tbl_assumptions_market[Concrete Intensity
(m³ / sq m BUA)],"",0)</f>
        <v>0.45</v>
      </c>
      <c r="L1540" s="134">
        <f>ROUND(Market_Data[[#This Row],[Estimated Built Up Area (sq m)]]*Market_Data[[#This Row],[Concrete Intensity
(m³ / sq m)]],0)</f>
        <v>13140</v>
      </c>
      <c r="M1540" s="135">
        <f>_xlfn.XLOOKUP(Market_Data[[#This Row],[District]],tbl_district_price[District],tbl_district_price[Standard Price
(INR/m³)],"",0)</f>
        <v>6200</v>
      </c>
      <c r="N1540" s="364">
        <f>IF(OR(Market_Data[[#This Row],[Estimated Concrete Demand (m³)]]="",Market_Data[[#This Row],[Avg Price per (₹ / m³)]]=""),"",Market_Data[[#This Row],[Estimated Concrete Demand (m³)]]*Market_Data[[#This Row],[Avg Price per (₹ / m³)]]/10000000)</f>
        <v>8.1468000000000007</v>
      </c>
      <c r="O1540" s="97" t="str">
        <f>IF(Market_Data[[#This Row],[Estimated Concrete Demand (m³)]]="","",
IF(Market_Data[[#This Row],[Estimated Concrete Demand (m³)]]&lt;10000,"Small",
IF(Market_Data[[#This Row],[Estimated Concrete Demand (m³)]]&lt;25000,"Medium",
IF(Market_Data[[#This Row],[Estimated Concrete Demand (m³)]]&lt;100000,"Large","Mega"))))</f>
        <v>Medium</v>
      </c>
      <c r="P1540" s="287" t="str">
        <f t="shared" si="25"/>
        <v>GujRERA</v>
      </c>
    </row>
    <row r="1541" spans="1:16">
      <c r="A1541" s="129" t="str">
        <f>_xlfn.XLOOKUP(B1541,$S$9:$S$14,$T$9:$T$14)&amp;"-"&amp;
IF(E1541="Residential/Group Housing","RES",
IF(E1541="Commercial","COM",
IF(E1541="Mixed Development","MIX",
IF(E1541="Plotted Development","PLT","OTH"))))
&amp;"-"&amp;TEXT(COUNTIFS($B$9:B1541,B1541,$E$9:E1541,E1541),"0000")</f>
        <v>SUR-PLT-0291</v>
      </c>
      <c r="B1541" s="322" t="s">
        <v>34</v>
      </c>
      <c r="C1541" s="322" t="s">
        <v>34</v>
      </c>
      <c r="D1541" s="323" t="s">
        <v>1731</v>
      </c>
      <c r="E1541" s="132" t="s">
        <v>26</v>
      </c>
      <c r="F1541" s="97" t="str">
        <f ca="1">IF(OR(Market_Data[[#This Row],[Start Date]]="",Market_Data[[#This Row],[Completion Date]]=""),"Needs Validation",IF(Market_Data[[#This Row],[Start Date]]&gt;TODAY(),"Planned",IF(Market_Data[[#This Row],[Completion Date]]&lt;TODAY(),"Completed","Ongoing")))</f>
        <v>Completed</v>
      </c>
      <c r="G1541" s="324">
        <v>42789</v>
      </c>
      <c r="H1541" s="324">
        <v>43555</v>
      </c>
      <c r="I1541" s="325">
        <v>36100</v>
      </c>
      <c r="J154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541" s="133">
        <f>_xlfn.XLOOKUP(Market_Data[[#This Row],[Project Type]],tbl_assumptions_market[Project Category (RERA)],tbl_assumptions_market[Concrete Intensity
(m³ / sq m BUA)],"",0)</f>
        <v>0.18</v>
      </c>
      <c r="L1541" s="134">
        <f>ROUND(Market_Data[[#This Row],[Estimated Built Up Area (sq m)]]*Market_Data[[#This Row],[Concrete Intensity
(m³ / sq m)]],0)</f>
        <v>6498</v>
      </c>
      <c r="M1541" s="135">
        <f>_xlfn.XLOOKUP(Market_Data[[#This Row],[District]],tbl_district_price[District],tbl_district_price[Standard Price
(INR/m³)],"",0)</f>
        <v>6200</v>
      </c>
      <c r="N1541" s="364">
        <f>IF(OR(Market_Data[[#This Row],[Estimated Concrete Demand (m³)]]="",Market_Data[[#This Row],[Avg Price per (₹ / m³)]]=""),"",Market_Data[[#This Row],[Estimated Concrete Demand (m³)]]*Market_Data[[#This Row],[Avg Price per (₹ / m³)]]/10000000)</f>
        <v>4.0287600000000001</v>
      </c>
      <c r="O1541" s="97" t="str">
        <f>IF(Market_Data[[#This Row],[Estimated Concrete Demand (m³)]]="","",
IF(Market_Data[[#This Row],[Estimated Concrete Demand (m³)]]&lt;10000,"Small",
IF(Market_Data[[#This Row],[Estimated Concrete Demand (m³)]]&lt;25000,"Medium",
IF(Market_Data[[#This Row],[Estimated Concrete Demand (m³)]]&lt;100000,"Large","Mega"))))</f>
        <v>Small</v>
      </c>
      <c r="P1541" s="287" t="str">
        <f t="shared" si="25"/>
        <v>GujRERA</v>
      </c>
    </row>
    <row r="1542" spans="1:16">
      <c r="A1542" s="129" t="str">
        <f>_xlfn.XLOOKUP(B1542,$S$9:$S$14,$T$9:$T$14)&amp;"-"&amp;
IF(E1542="Residential/Group Housing","RES",
IF(E1542="Commercial","COM",
IF(E1542="Mixed Development","MIX",
IF(E1542="Plotted Development","PLT","OTH"))))
&amp;"-"&amp;TEXT(COUNTIFS($B$9:B1542,B1542,$E$9:E1542,E1542),"0000")</f>
        <v>SUR-COM-0236</v>
      </c>
      <c r="B1542" s="322" t="s">
        <v>34</v>
      </c>
      <c r="C1542" s="322" t="s">
        <v>34</v>
      </c>
      <c r="D1542" s="323" t="s">
        <v>1732</v>
      </c>
      <c r="E1542" s="132" t="s">
        <v>23</v>
      </c>
      <c r="F1542" s="97" t="str">
        <f ca="1">IF(OR(Market_Data[[#This Row],[Start Date]]="",Market_Data[[#This Row],[Completion Date]]=""),"Needs Validation",IF(Market_Data[[#This Row],[Start Date]]&gt;TODAY(),"Planned",IF(Market_Data[[#This Row],[Completion Date]]&lt;TODAY(),"Completed","Ongoing")))</f>
        <v>Completed</v>
      </c>
      <c r="G1542" s="324">
        <v>42053</v>
      </c>
      <c r="H1542" s="324">
        <v>44255</v>
      </c>
      <c r="I1542" s="325">
        <v>2400</v>
      </c>
      <c r="J154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42" s="133">
        <f>_xlfn.XLOOKUP(Market_Data[[#This Row],[Project Type]],tbl_assumptions_market[Project Category (RERA)],tbl_assumptions_market[Concrete Intensity
(m³ / sq m BUA)],"",0)</f>
        <v>0.5</v>
      </c>
      <c r="L1542" s="134">
        <f>ROUND(Market_Data[[#This Row],[Estimated Built Up Area (sq m)]]*Market_Data[[#This Row],[Concrete Intensity
(m³ / sq m)]],0)</f>
        <v>1200</v>
      </c>
      <c r="M1542" s="135">
        <f>_xlfn.XLOOKUP(Market_Data[[#This Row],[District]],tbl_district_price[District],tbl_district_price[Standard Price
(INR/m³)],"",0)</f>
        <v>6200</v>
      </c>
      <c r="N1542" s="364">
        <f>IF(OR(Market_Data[[#This Row],[Estimated Concrete Demand (m³)]]="",Market_Data[[#This Row],[Avg Price per (₹ / m³)]]=""),"",Market_Data[[#This Row],[Estimated Concrete Demand (m³)]]*Market_Data[[#This Row],[Avg Price per (₹ / m³)]]/10000000)</f>
        <v>0.74399999999999999</v>
      </c>
      <c r="O1542" s="97" t="str">
        <f>IF(Market_Data[[#This Row],[Estimated Concrete Demand (m³)]]="","",
IF(Market_Data[[#This Row],[Estimated Concrete Demand (m³)]]&lt;10000,"Small",
IF(Market_Data[[#This Row],[Estimated Concrete Demand (m³)]]&lt;25000,"Medium",
IF(Market_Data[[#This Row],[Estimated Concrete Demand (m³)]]&lt;100000,"Large","Mega"))))</f>
        <v>Small</v>
      </c>
      <c r="P1542" s="287" t="str">
        <f t="shared" si="25"/>
        <v>GujRERA</v>
      </c>
    </row>
    <row r="1543" spans="1:16">
      <c r="A1543" s="129" t="str">
        <f>_xlfn.XLOOKUP(B1543,$S$9:$S$14,$T$9:$T$14)&amp;"-"&amp;
IF(E1543="Residential/Group Housing","RES",
IF(E1543="Commercial","COM",
IF(E1543="Mixed Development","MIX",
IF(E1543="Plotted Development","PLT","OTH"))))
&amp;"-"&amp;TEXT(COUNTIFS($B$9:B1543,B1543,$E$9:E1543,E1543),"0000")</f>
        <v>SUR-COM-0237</v>
      </c>
      <c r="B1543" s="322" t="s">
        <v>34</v>
      </c>
      <c r="C1543" s="322" t="s">
        <v>34</v>
      </c>
      <c r="D1543" s="323" t="s">
        <v>1733</v>
      </c>
      <c r="E1543" s="132" t="s">
        <v>23</v>
      </c>
      <c r="F1543" s="97" t="str">
        <f ca="1">IF(OR(Market_Data[[#This Row],[Start Date]]="",Market_Data[[#This Row],[Completion Date]]=""),"Needs Validation",IF(Market_Data[[#This Row],[Start Date]]&gt;TODAY(),"Planned",IF(Market_Data[[#This Row],[Completion Date]]&lt;TODAY(),"Completed","Ongoing")))</f>
        <v>Completed</v>
      </c>
      <c r="G1543" s="324">
        <v>41579</v>
      </c>
      <c r="H1543" s="324">
        <v>44073</v>
      </c>
      <c r="I1543" s="325">
        <v>5800</v>
      </c>
      <c r="J154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43" s="133">
        <f>_xlfn.XLOOKUP(Market_Data[[#This Row],[Project Type]],tbl_assumptions_market[Project Category (RERA)],tbl_assumptions_market[Concrete Intensity
(m³ / sq m BUA)],"",0)</f>
        <v>0.5</v>
      </c>
      <c r="L1543" s="134">
        <f>ROUND(Market_Data[[#This Row],[Estimated Built Up Area (sq m)]]*Market_Data[[#This Row],[Concrete Intensity
(m³ / sq m)]],0)</f>
        <v>2900</v>
      </c>
      <c r="M1543" s="135">
        <f>_xlfn.XLOOKUP(Market_Data[[#This Row],[District]],tbl_district_price[District],tbl_district_price[Standard Price
(INR/m³)],"",0)</f>
        <v>6200</v>
      </c>
      <c r="N1543" s="364">
        <f>IF(OR(Market_Data[[#This Row],[Estimated Concrete Demand (m³)]]="",Market_Data[[#This Row],[Avg Price per (₹ / m³)]]=""),"",Market_Data[[#This Row],[Estimated Concrete Demand (m³)]]*Market_Data[[#This Row],[Avg Price per (₹ / m³)]]/10000000)</f>
        <v>1.798</v>
      </c>
      <c r="O1543" s="97" t="str">
        <f>IF(Market_Data[[#This Row],[Estimated Concrete Demand (m³)]]="","",
IF(Market_Data[[#This Row],[Estimated Concrete Demand (m³)]]&lt;10000,"Small",
IF(Market_Data[[#This Row],[Estimated Concrete Demand (m³)]]&lt;25000,"Medium",
IF(Market_Data[[#This Row],[Estimated Concrete Demand (m³)]]&lt;100000,"Large","Mega"))))</f>
        <v>Small</v>
      </c>
      <c r="P1543" s="287" t="str">
        <f t="shared" si="25"/>
        <v>GujRERA</v>
      </c>
    </row>
    <row r="1544" spans="1:16">
      <c r="A1544" s="129" t="str">
        <f>_xlfn.XLOOKUP(B1544,$S$9:$S$14,$T$9:$T$14)&amp;"-"&amp;
IF(E1544="Residential/Group Housing","RES",
IF(E1544="Commercial","COM",
IF(E1544="Mixed Development","MIX",
IF(E1544="Plotted Development","PLT","OTH"))))
&amp;"-"&amp;TEXT(COUNTIFS($B$9:B1544,B1544,$E$9:E1544,E1544),"0000")</f>
        <v>SUR-MIX-0232</v>
      </c>
      <c r="B1544" s="322" t="s">
        <v>34</v>
      </c>
      <c r="C1544" s="322" t="s">
        <v>34</v>
      </c>
      <c r="D1544" s="323" t="s">
        <v>1734</v>
      </c>
      <c r="E1544" s="132" t="s">
        <v>25</v>
      </c>
      <c r="F1544" s="97" t="str">
        <f ca="1">IF(OR(Market_Data[[#This Row],[Start Date]]="",Market_Data[[#This Row],[Completion Date]]=""),"Needs Validation",IF(Market_Data[[#This Row],[Start Date]]&gt;TODAY(),"Planned",IF(Market_Data[[#This Row],[Completion Date]]&lt;TODAY(),"Completed","Ongoing")))</f>
        <v>Completed</v>
      </c>
      <c r="G1544" s="324">
        <v>42598</v>
      </c>
      <c r="H1544" s="324">
        <v>44196</v>
      </c>
      <c r="I1544" s="325">
        <v>2000</v>
      </c>
      <c r="J154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544" s="133">
        <f>_xlfn.XLOOKUP(Market_Data[[#This Row],[Project Type]],tbl_assumptions_market[Project Category (RERA)],tbl_assumptions_market[Concrete Intensity
(m³ / sq m BUA)],"",0)</f>
        <v>0.42</v>
      </c>
      <c r="L1544" s="134">
        <f>ROUND(Market_Data[[#This Row],[Estimated Built Up Area (sq m)]]*Market_Data[[#This Row],[Concrete Intensity
(m³ / sq m)]],0)</f>
        <v>840</v>
      </c>
      <c r="M1544" s="135">
        <f>_xlfn.XLOOKUP(Market_Data[[#This Row],[District]],tbl_district_price[District],tbl_district_price[Standard Price
(INR/m³)],"",0)</f>
        <v>6200</v>
      </c>
      <c r="N1544" s="364">
        <f>IF(OR(Market_Data[[#This Row],[Estimated Concrete Demand (m³)]]="",Market_Data[[#This Row],[Avg Price per (₹ / m³)]]=""),"",Market_Data[[#This Row],[Estimated Concrete Demand (m³)]]*Market_Data[[#This Row],[Avg Price per (₹ / m³)]]/10000000)</f>
        <v>0.52080000000000004</v>
      </c>
      <c r="O1544" s="97" t="str">
        <f>IF(Market_Data[[#This Row],[Estimated Concrete Demand (m³)]]="","",
IF(Market_Data[[#This Row],[Estimated Concrete Demand (m³)]]&lt;10000,"Small",
IF(Market_Data[[#This Row],[Estimated Concrete Demand (m³)]]&lt;25000,"Medium",
IF(Market_Data[[#This Row],[Estimated Concrete Demand (m³)]]&lt;100000,"Large","Mega"))))</f>
        <v>Small</v>
      </c>
      <c r="P1544" s="287" t="str">
        <f t="shared" si="25"/>
        <v>GujRERA</v>
      </c>
    </row>
    <row r="1545" spans="1:16">
      <c r="A1545" s="129" t="str">
        <f>_xlfn.XLOOKUP(B1545,$S$9:$S$14,$T$9:$T$14)&amp;"-"&amp;
IF(E1545="Residential/Group Housing","RES",
IF(E1545="Commercial","COM",
IF(E1545="Mixed Development","MIX",
IF(E1545="Plotted Development","PLT","OTH"))))
&amp;"-"&amp;TEXT(COUNTIFS($B$9:B1545,B1545,$E$9:E1545,E1545),"0000")</f>
        <v>SUR-COM-0238</v>
      </c>
      <c r="B1545" s="322" t="s">
        <v>34</v>
      </c>
      <c r="C1545" s="322" t="s">
        <v>34</v>
      </c>
      <c r="D1545" s="323" t="s">
        <v>1735</v>
      </c>
      <c r="E1545" s="132" t="s">
        <v>23</v>
      </c>
      <c r="F1545" s="97" t="str">
        <f ca="1">IF(OR(Market_Data[[#This Row],[Start Date]]="",Market_Data[[#This Row],[Completion Date]]=""),"Needs Validation",IF(Market_Data[[#This Row],[Start Date]]&gt;TODAY(),"Planned",IF(Market_Data[[#This Row],[Completion Date]]&lt;TODAY(),"Completed","Ongoing")))</f>
        <v>Completed</v>
      </c>
      <c r="G1545" s="324">
        <v>43114</v>
      </c>
      <c r="H1545" s="324">
        <v>45199</v>
      </c>
      <c r="I1545" s="325">
        <v>11700</v>
      </c>
      <c r="J154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45" s="133">
        <f>_xlfn.XLOOKUP(Market_Data[[#This Row],[Project Type]],tbl_assumptions_market[Project Category (RERA)],tbl_assumptions_market[Concrete Intensity
(m³ / sq m BUA)],"",0)</f>
        <v>0.5</v>
      </c>
      <c r="L1545" s="134">
        <f>ROUND(Market_Data[[#This Row],[Estimated Built Up Area (sq m)]]*Market_Data[[#This Row],[Concrete Intensity
(m³ / sq m)]],0)</f>
        <v>5850</v>
      </c>
      <c r="M1545" s="135">
        <f>_xlfn.XLOOKUP(Market_Data[[#This Row],[District]],tbl_district_price[District],tbl_district_price[Standard Price
(INR/m³)],"",0)</f>
        <v>6200</v>
      </c>
      <c r="N1545" s="364">
        <f>IF(OR(Market_Data[[#This Row],[Estimated Concrete Demand (m³)]]="",Market_Data[[#This Row],[Avg Price per (₹ / m³)]]=""),"",Market_Data[[#This Row],[Estimated Concrete Demand (m³)]]*Market_Data[[#This Row],[Avg Price per (₹ / m³)]]/10000000)</f>
        <v>3.6269999999999998</v>
      </c>
      <c r="O1545" s="97" t="str">
        <f>IF(Market_Data[[#This Row],[Estimated Concrete Demand (m³)]]="","",
IF(Market_Data[[#This Row],[Estimated Concrete Demand (m³)]]&lt;10000,"Small",
IF(Market_Data[[#This Row],[Estimated Concrete Demand (m³)]]&lt;25000,"Medium",
IF(Market_Data[[#This Row],[Estimated Concrete Demand (m³)]]&lt;100000,"Large","Mega"))))</f>
        <v>Small</v>
      </c>
      <c r="P1545" s="287" t="str">
        <f t="shared" si="25"/>
        <v>GujRERA</v>
      </c>
    </row>
    <row r="1546" spans="1:16">
      <c r="A1546" s="129" t="str">
        <f>_xlfn.XLOOKUP(B1546,$S$9:$S$14,$T$9:$T$14)&amp;"-"&amp;
IF(E1546="Residential/Group Housing","RES",
IF(E1546="Commercial","COM",
IF(E1546="Mixed Development","MIX",
IF(E1546="Plotted Development","PLT","OTH"))))
&amp;"-"&amp;TEXT(COUNTIFS($B$9:B1546,B1546,$E$9:E1546,E1546),"0000")</f>
        <v>SUR-COM-0239</v>
      </c>
      <c r="B1546" s="322" t="s">
        <v>34</v>
      </c>
      <c r="C1546" s="322" t="s">
        <v>34</v>
      </c>
      <c r="D1546" s="323" t="s">
        <v>1736</v>
      </c>
      <c r="E1546" s="132" t="s">
        <v>23</v>
      </c>
      <c r="F1546" s="97" t="str">
        <f ca="1">IF(OR(Market_Data[[#This Row],[Start Date]]="",Market_Data[[#This Row],[Completion Date]]=""),"Needs Validation",IF(Market_Data[[#This Row],[Start Date]]&gt;TODAY(),"Planned",IF(Market_Data[[#This Row],[Completion Date]]&lt;TODAY(),"Completed","Ongoing")))</f>
        <v>Completed</v>
      </c>
      <c r="G1546" s="324">
        <v>41552</v>
      </c>
      <c r="H1546" s="324">
        <v>46203</v>
      </c>
      <c r="I1546" s="325">
        <v>147200</v>
      </c>
      <c r="J154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546" s="133">
        <f>_xlfn.XLOOKUP(Market_Data[[#This Row],[Project Type]],tbl_assumptions_market[Project Category (RERA)],tbl_assumptions_market[Concrete Intensity
(m³ / sq m BUA)],"",0)</f>
        <v>0.5</v>
      </c>
      <c r="L1546" s="134">
        <f>ROUND(Market_Data[[#This Row],[Estimated Built Up Area (sq m)]]*Market_Data[[#This Row],[Concrete Intensity
(m³ / sq m)]],0)</f>
        <v>73600</v>
      </c>
      <c r="M1546" s="135">
        <f>_xlfn.XLOOKUP(Market_Data[[#This Row],[District]],tbl_district_price[District],tbl_district_price[Standard Price
(INR/m³)],"",0)</f>
        <v>6200</v>
      </c>
      <c r="N1546" s="364">
        <f>IF(OR(Market_Data[[#This Row],[Estimated Concrete Demand (m³)]]="",Market_Data[[#This Row],[Avg Price per (₹ / m³)]]=""),"",Market_Data[[#This Row],[Estimated Concrete Demand (m³)]]*Market_Data[[#This Row],[Avg Price per (₹ / m³)]]/10000000)</f>
        <v>45.631999999999998</v>
      </c>
      <c r="O1546" s="97" t="str">
        <f>IF(Market_Data[[#This Row],[Estimated Concrete Demand (m³)]]="","",
IF(Market_Data[[#This Row],[Estimated Concrete Demand (m³)]]&lt;10000,"Small",
IF(Market_Data[[#This Row],[Estimated Concrete Demand (m³)]]&lt;25000,"Medium",
IF(Market_Data[[#This Row],[Estimated Concrete Demand (m³)]]&lt;100000,"Large","Mega"))))</f>
        <v>Large</v>
      </c>
      <c r="P1546" s="287" t="str">
        <f t="shared" ref="P1546:P1609" si="26">HYPERLINK(
"https://gujrera.gujarat.gov.in",
"GujRERA")</f>
        <v>GujRERA</v>
      </c>
    </row>
    <row r="1547" spans="1:16">
      <c r="A1547" s="129" t="str">
        <f>_xlfn.XLOOKUP(B1547,$S$9:$S$14,$T$9:$T$14)&amp;"-"&amp;
IF(E1547="Residential/Group Housing","RES",
IF(E1547="Commercial","COM",
IF(E1547="Mixed Development","MIX",
IF(E1547="Plotted Development","PLT","OTH"))))
&amp;"-"&amp;TEXT(COUNTIFS($B$9:B1547,B1547,$E$9:E1547,E1547),"0000")</f>
        <v>SUR-COM-0240</v>
      </c>
      <c r="B1547" s="322" t="s">
        <v>34</v>
      </c>
      <c r="C1547" s="322" t="s">
        <v>34</v>
      </c>
      <c r="D1547" s="323" t="s">
        <v>1737</v>
      </c>
      <c r="E1547" s="132" t="s">
        <v>23</v>
      </c>
      <c r="F1547" s="97" t="str">
        <f ca="1">IF(OR(Market_Data[[#This Row],[Start Date]]="",Market_Data[[#This Row],[Completion Date]]=""),"Needs Validation",IF(Market_Data[[#This Row],[Start Date]]&gt;TODAY(),"Planned",IF(Market_Data[[#This Row],[Completion Date]]&lt;TODAY(),"Completed","Ongoing")))</f>
        <v>Completed</v>
      </c>
      <c r="G1547" s="324">
        <v>41552</v>
      </c>
      <c r="H1547" s="324">
        <v>43830</v>
      </c>
      <c r="I1547" s="325">
        <v>144300</v>
      </c>
      <c r="J154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547" s="133">
        <f>_xlfn.XLOOKUP(Market_Data[[#This Row],[Project Type]],tbl_assumptions_market[Project Category (RERA)],tbl_assumptions_market[Concrete Intensity
(m³ / sq m BUA)],"",0)</f>
        <v>0.5</v>
      </c>
      <c r="L1547" s="134">
        <f>ROUND(Market_Data[[#This Row],[Estimated Built Up Area (sq m)]]*Market_Data[[#This Row],[Concrete Intensity
(m³ / sq m)]],0)</f>
        <v>72150</v>
      </c>
      <c r="M1547" s="135">
        <f>_xlfn.XLOOKUP(Market_Data[[#This Row],[District]],tbl_district_price[District],tbl_district_price[Standard Price
(INR/m³)],"",0)</f>
        <v>6200</v>
      </c>
      <c r="N1547" s="364">
        <f>IF(OR(Market_Data[[#This Row],[Estimated Concrete Demand (m³)]]="",Market_Data[[#This Row],[Avg Price per (₹ / m³)]]=""),"",Market_Data[[#This Row],[Estimated Concrete Demand (m³)]]*Market_Data[[#This Row],[Avg Price per (₹ / m³)]]/10000000)</f>
        <v>44.732999999999997</v>
      </c>
      <c r="O1547" s="97" t="str">
        <f>IF(Market_Data[[#This Row],[Estimated Concrete Demand (m³)]]="","",
IF(Market_Data[[#This Row],[Estimated Concrete Demand (m³)]]&lt;10000,"Small",
IF(Market_Data[[#This Row],[Estimated Concrete Demand (m³)]]&lt;25000,"Medium",
IF(Market_Data[[#This Row],[Estimated Concrete Demand (m³)]]&lt;100000,"Large","Mega"))))</f>
        <v>Large</v>
      </c>
      <c r="P1547" s="287" t="str">
        <f t="shared" si="26"/>
        <v>GujRERA</v>
      </c>
    </row>
    <row r="1548" spans="1:16">
      <c r="A1548" s="129" t="str">
        <f>_xlfn.XLOOKUP(B1548,$S$9:$S$14,$T$9:$T$14)&amp;"-"&amp;
IF(E1548="Residential/Group Housing","RES",
IF(E1548="Commercial","COM",
IF(E1548="Mixed Development","MIX",
IF(E1548="Plotted Development","PLT","OTH"))))
&amp;"-"&amp;TEXT(COUNTIFS($B$9:B1548,B1548,$E$9:E1548,E1548),"0000")</f>
        <v>SUR-PLT-0292</v>
      </c>
      <c r="B1548" s="322" t="s">
        <v>34</v>
      </c>
      <c r="C1548" s="322" t="s">
        <v>34</v>
      </c>
      <c r="D1548" s="323" t="s">
        <v>1738</v>
      </c>
      <c r="E1548" s="132" t="s">
        <v>26</v>
      </c>
      <c r="F1548" s="97" t="str">
        <f ca="1">IF(OR(Market_Data[[#This Row],[Start Date]]="",Market_Data[[#This Row],[Completion Date]]=""),"Needs Validation",IF(Market_Data[[#This Row],[Start Date]]&gt;TODAY(),"Planned",IF(Market_Data[[#This Row],[Completion Date]]&lt;TODAY(),"Completed","Ongoing")))</f>
        <v>Ongoing</v>
      </c>
      <c r="G1548" s="324">
        <v>43215</v>
      </c>
      <c r="H1548" s="324">
        <v>46934</v>
      </c>
      <c r="I1548" s="325">
        <v>39400</v>
      </c>
      <c r="J154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548" s="133">
        <f>_xlfn.XLOOKUP(Market_Data[[#This Row],[Project Type]],tbl_assumptions_market[Project Category (RERA)],tbl_assumptions_market[Concrete Intensity
(m³ / sq m BUA)],"",0)</f>
        <v>0.18</v>
      </c>
      <c r="L1548" s="134">
        <f>ROUND(Market_Data[[#This Row],[Estimated Built Up Area (sq m)]]*Market_Data[[#This Row],[Concrete Intensity
(m³ / sq m)]],0)</f>
        <v>7092</v>
      </c>
      <c r="M1548" s="135">
        <f>_xlfn.XLOOKUP(Market_Data[[#This Row],[District]],tbl_district_price[District],tbl_district_price[Standard Price
(INR/m³)],"",0)</f>
        <v>6200</v>
      </c>
      <c r="N1548" s="364">
        <f>IF(OR(Market_Data[[#This Row],[Estimated Concrete Demand (m³)]]="",Market_Data[[#This Row],[Avg Price per (₹ / m³)]]=""),"",Market_Data[[#This Row],[Estimated Concrete Demand (m³)]]*Market_Data[[#This Row],[Avg Price per (₹ / m³)]]/10000000)</f>
        <v>4.3970399999999996</v>
      </c>
      <c r="O1548" s="97" t="str">
        <f>IF(Market_Data[[#This Row],[Estimated Concrete Demand (m³)]]="","",
IF(Market_Data[[#This Row],[Estimated Concrete Demand (m³)]]&lt;10000,"Small",
IF(Market_Data[[#This Row],[Estimated Concrete Demand (m³)]]&lt;25000,"Medium",
IF(Market_Data[[#This Row],[Estimated Concrete Demand (m³)]]&lt;100000,"Large","Mega"))))</f>
        <v>Small</v>
      </c>
      <c r="P1548" s="287" t="str">
        <f t="shared" si="26"/>
        <v>GujRERA</v>
      </c>
    </row>
    <row r="1549" spans="1:16">
      <c r="A1549" s="129" t="str">
        <f>_xlfn.XLOOKUP(B1549,$S$9:$S$14,$T$9:$T$14)&amp;"-"&amp;
IF(E1549="Residential/Group Housing","RES",
IF(E1549="Commercial","COM",
IF(E1549="Mixed Development","MIX",
IF(E1549="Plotted Development","PLT","OTH"))))
&amp;"-"&amp;TEXT(COUNTIFS($B$9:B1549,B1549,$E$9:E1549,E1549),"0000")</f>
        <v>SUR-PLT-0293</v>
      </c>
      <c r="B1549" s="322" t="s">
        <v>34</v>
      </c>
      <c r="C1549" s="322" t="s">
        <v>34</v>
      </c>
      <c r="D1549" s="323" t="s">
        <v>1739</v>
      </c>
      <c r="E1549" s="132" t="s">
        <v>26</v>
      </c>
      <c r="F1549" s="97" t="str">
        <f ca="1">IF(OR(Market_Data[[#This Row],[Start Date]]="",Market_Data[[#This Row],[Completion Date]]=""),"Needs Validation",IF(Market_Data[[#This Row],[Start Date]]&gt;TODAY(),"Planned",IF(Market_Data[[#This Row],[Completion Date]]&lt;TODAY(),"Completed","Ongoing")))</f>
        <v>Completed</v>
      </c>
      <c r="G1549" s="324">
        <v>43862</v>
      </c>
      <c r="H1549" s="324">
        <v>45473</v>
      </c>
      <c r="I1549" s="325">
        <v>49800</v>
      </c>
      <c r="J154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549" s="133">
        <f>_xlfn.XLOOKUP(Market_Data[[#This Row],[Project Type]],tbl_assumptions_market[Project Category (RERA)],tbl_assumptions_market[Concrete Intensity
(m³ / sq m BUA)],"",0)</f>
        <v>0.18</v>
      </c>
      <c r="L1549" s="134">
        <f>ROUND(Market_Data[[#This Row],[Estimated Built Up Area (sq m)]]*Market_Data[[#This Row],[Concrete Intensity
(m³ / sq m)]],0)</f>
        <v>8964</v>
      </c>
      <c r="M1549" s="135">
        <f>_xlfn.XLOOKUP(Market_Data[[#This Row],[District]],tbl_district_price[District],tbl_district_price[Standard Price
(INR/m³)],"",0)</f>
        <v>6200</v>
      </c>
      <c r="N1549" s="364">
        <f>IF(OR(Market_Data[[#This Row],[Estimated Concrete Demand (m³)]]="",Market_Data[[#This Row],[Avg Price per (₹ / m³)]]=""),"",Market_Data[[#This Row],[Estimated Concrete Demand (m³)]]*Market_Data[[#This Row],[Avg Price per (₹ / m³)]]/10000000)</f>
        <v>5.5576800000000004</v>
      </c>
      <c r="O1549" s="97" t="str">
        <f>IF(Market_Data[[#This Row],[Estimated Concrete Demand (m³)]]="","",
IF(Market_Data[[#This Row],[Estimated Concrete Demand (m³)]]&lt;10000,"Small",
IF(Market_Data[[#This Row],[Estimated Concrete Demand (m³)]]&lt;25000,"Medium",
IF(Market_Data[[#This Row],[Estimated Concrete Demand (m³)]]&lt;100000,"Large","Mega"))))</f>
        <v>Small</v>
      </c>
      <c r="P1549" s="287" t="str">
        <f t="shared" si="26"/>
        <v>GujRERA</v>
      </c>
    </row>
    <row r="1550" spans="1:16">
      <c r="A1550" s="129" t="str">
        <f>_xlfn.XLOOKUP(B1550,$S$9:$S$14,$T$9:$T$14)&amp;"-"&amp;
IF(E1550="Residential/Group Housing","RES",
IF(E1550="Commercial","COM",
IF(E1550="Mixed Development","MIX",
IF(E1550="Plotted Development","PLT","OTH"))))
&amp;"-"&amp;TEXT(COUNTIFS($B$9:B1550,B1550,$E$9:E1550,E1550),"0000")</f>
        <v>SUR-PLT-0294</v>
      </c>
      <c r="B1550" s="322" t="s">
        <v>34</v>
      </c>
      <c r="C1550" s="322" t="s">
        <v>34</v>
      </c>
      <c r="D1550" s="323" t="s">
        <v>1740</v>
      </c>
      <c r="E1550" s="132" t="s">
        <v>26</v>
      </c>
      <c r="F1550" s="97" t="str">
        <f ca="1">IF(OR(Market_Data[[#This Row],[Start Date]]="",Market_Data[[#This Row],[Completion Date]]=""),"Needs Validation",IF(Market_Data[[#This Row],[Start Date]]&gt;TODAY(),"Planned",IF(Market_Data[[#This Row],[Completion Date]]&lt;TODAY(),"Completed","Ongoing")))</f>
        <v>Completed</v>
      </c>
      <c r="G1550" s="324">
        <v>44835</v>
      </c>
      <c r="H1550" s="324">
        <v>45657</v>
      </c>
      <c r="I1550" s="325">
        <v>15300</v>
      </c>
      <c r="J155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50" s="133">
        <f>_xlfn.XLOOKUP(Market_Data[[#This Row],[Project Type]],tbl_assumptions_market[Project Category (RERA)],tbl_assumptions_market[Concrete Intensity
(m³ / sq m BUA)],"",0)</f>
        <v>0.18</v>
      </c>
      <c r="L1550" s="134">
        <f>ROUND(Market_Data[[#This Row],[Estimated Built Up Area (sq m)]]*Market_Data[[#This Row],[Concrete Intensity
(m³ / sq m)]],0)</f>
        <v>2754</v>
      </c>
      <c r="M1550" s="135">
        <f>_xlfn.XLOOKUP(Market_Data[[#This Row],[District]],tbl_district_price[District],tbl_district_price[Standard Price
(INR/m³)],"",0)</f>
        <v>6200</v>
      </c>
      <c r="N1550" s="364">
        <f>IF(OR(Market_Data[[#This Row],[Estimated Concrete Demand (m³)]]="",Market_Data[[#This Row],[Avg Price per (₹ / m³)]]=""),"",Market_Data[[#This Row],[Estimated Concrete Demand (m³)]]*Market_Data[[#This Row],[Avg Price per (₹ / m³)]]/10000000)</f>
        <v>1.7074800000000001</v>
      </c>
      <c r="O1550" s="97" t="str">
        <f>IF(Market_Data[[#This Row],[Estimated Concrete Demand (m³)]]="","",
IF(Market_Data[[#This Row],[Estimated Concrete Demand (m³)]]&lt;10000,"Small",
IF(Market_Data[[#This Row],[Estimated Concrete Demand (m³)]]&lt;25000,"Medium",
IF(Market_Data[[#This Row],[Estimated Concrete Demand (m³)]]&lt;100000,"Large","Mega"))))</f>
        <v>Small</v>
      </c>
      <c r="P1550" s="287" t="str">
        <f t="shared" si="26"/>
        <v>GujRERA</v>
      </c>
    </row>
    <row r="1551" spans="1:16">
      <c r="A1551" s="129" t="str">
        <f>_xlfn.XLOOKUP(B1551,$S$9:$S$14,$T$9:$T$14)&amp;"-"&amp;
IF(E1551="Residential/Group Housing","RES",
IF(E1551="Commercial","COM",
IF(E1551="Mixed Development","MIX",
IF(E1551="Plotted Development","PLT","OTH"))))
&amp;"-"&amp;TEXT(COUNTIFS($B$9:B1551,B1551,$E$9:E1551,E1551),"0000")</f>
        <v>SUR-PLT-0295</v>
      </c>
      <c r="B1551" s="322" t="s">
        <v>34</v>
      </c>
      <c r="C1551" s="322" t="s">
        <v>34</v>
      </c>
      <c r="D1551" s="323" t="s">
        <v>1741</v>
      </c>
      <c r="E1551" s="132" t="s">
        <v>26</v>
      </c>
      <c r="F1551" s="97" t="str">
        <f ca="1">IF(OR(Market_Data[[#This Row],[Start Date]]="",Market_Data[[#This Row],[Completion Date]]=""),"Needs Validation",IF(Market_Data[[#This Row],[Start Date]]&gt;TODAY(),"Planned",IF(Market_Data[[#This Row],[Completion Date]]&lt;TODAY(),"Completed","Ongoing")))</f>
        <v>Ongoing</v>
      </c>
      <c r="G1551" s="324">
        <v>44835</v>
      </c>
      <c r="H1551" s="324">
        <v>47118</v>
      </c>
      <c r="I1551" s="325">
        <v>44600</v>
      </c>
      <c r="J155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551" s="133">
        <f>_xlfn.XLOOKUP(Market_Data[[#This Row],[Project Type]],tbl_assumptions_market[Project Category (RERA)],tbl_assumptions_market[Concrete Intensity
(m³ / sq m BUA)],"",0)</f>
        <v>0.18</v>
      </c>
      <c r="L1551" s="134">
        <f>ROUND(Market_Data[[#This Row],[Estimated Built Up Area (sq m)]]*Market_Data[[#This Row],[Concrete Intensity
(m³ / sq m)]],0)</f>
        <v>8028</v>
      </c>
      <c r="M1551" s="135">
        <f>_xlfn.XLOOKUP(Market_Data[[#This Row],[District]],tbl_district_price[District],tbl_district_price[Standard Price
(INR/m³)],"",0)</f>
        <v>6200</v>
      </c>
      <c r="N1551" s="364">
        <f>IF(OR(Market_Data[[#This Row],[Estimated Concrete Demand (m³)]]="",Market_Data[[#This Row],[Avg Price per (₹ / m³)]]=""),"",Market_Data[[#This Row],[Estimated Concrete Demand (m³)]]*Market_Data[[#This Row],[Avg Price per (₹ / m³)]]/10000000)</f>
        <v>4.97736</v>
      </c>
      <c r="O1551" s="97" t="str">
        <f>IF(Market_Data[[#This Row],[Estimated Concrete Demand (m³)]]="","",
IF(Market_Data[[#This Row],[Estimated Concrete Demand (m³)]]&lt;10000,"Small",
IF(Market_Data[[#This Row],[Estimated Concrete Demand (m³)]]&lt;25000,"Medium",
IF(Market_Data[[#This Row],[Estimated Concrete Demand (m³)]]&lt;100000,"Large","Mega"))))</f>
        <v>Small</v>
      </c>
      <c r="P1551" s="287" t="str">
        <f t="shared" si="26"/>
        <v>GujRERA</v>
      </c>
    </row>
    <row r="1552" spans="1:16">
      <c r="A1552" s="129" t="str">
        <f>_xlfn.XLOOKUP(B1552,$S$9:$S$14,$T$9:$T$14)&amp;"-"&amp;
IF(E1552="Residential/Group Housing","RES",
IF(E1552="Commercial","COM",
IF(E1552="Mixed Development","MIX",
IF(E1552="Plotted Development","PLT","OTH"))))
&amp;"-"&amp;TEXT(COUNTIFS($B$9:B1552,B1552,$E$9:E1552,E1552),"0000")</f>
        <v>SUR-PLT-0296</v>
      </c>
      <c r="B1552" s="322" t="s">
        <v>34</v>
      </c>
      <c r="C1552" s="322" t="s">
        <v>34</v>
      </c>
      <c r="D1552" s="323" t="s">
        <v>1742</v>
      </c>
      <c r="E1552" s="132" t="s">
        <v>26</v>
      </c>
      <c r="F1552" s="97" t="str">
        <f ca="1">IF(OR(Market_Data[[#This Row],[Start Date]]="",Market_Data[[#This Row],[Completion Date]]=""),"Needs Validation",IF(Market_Data[[#This Row],[Start Date]]&gt;TODAY(),"Planned",IF(Market_Data[[#This Row],[Completion Date]]&lt;TODAY(),"Completed","Ongoing")))</f>
        <v>Ongoing</v>
      </c>
      <c r="G1552" s="324">
        <v>45742</v>
      </c>
      <c r="H1552" s="324">
        <v>47483</v>
      </c>
      <c r="I1552" s="325">
        <v>49800</v>
      </c>
      <c r="J155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552" s="133">
        <f>_xlfn.XLOOKUP(Market_Data[[#This Row],[Project Type]],tbl_assumptions_market[Project Category (RERA)],tbl_assumptions_market[Concrete Intensity
(m³ / sq m BUA)],"",0)</f>
        <v>0.18</v>
      </c>
      <c r="L1552" s="134">
        <f>ROUND(Market_Data[[#This Row],[Estimated Built Up Area (sq m)]]*Market_Data[[#This Row],[Concrete Intensity
(m³ / sq m)]],0)</f>
        <v>8964</v>
      </c>
      <c r="M1552" s="135">
        <f>_xlfn.XLOOKUP(Market_Data[[#This Row],[District]],tbl_district_price[District],tbl_district_price[Standard Price
(INR/m³)],"",0)</f>
        <v>6200</v>
      </c>
      <c r="N1552" s="364">
        <f>IF(OR(Market_Data[[#This Row],[Estimated Concrete Demand (m³)]]="",Market_Data[[#This Row],[Avg Price per (₹ / m³)]]=""),"",Market_Data[[#This Row],[Estimated Concrete Demand (m³)]]*Market_Data[[#This Row],[Avg Price per (₹ / m³)]]/10000000)</f>
        <v>5.5576800000000004</v>
      </c>
      <c r="O1552" s="97" t="str">
        <f>IF(Market_Data[[#This Row],[Estimated Concrete Demand (m³)]]="","",
IF(Market_Data[[#This Row],[Estimated Concrete Demand (m³)]]&lt;10000,"Small",
IF(Market_Data[[#This Row],[Estimated Concrete Demand (m³)]]&lt;25000,"Medium",
IF(Market_Data[[#This Row],[Estimated Concrete Demand (m³)]]&lt;100000,"Large","Mega"))))</f>
        <v>Small</v>
      </c>
      <c r="P1552" s="287" t="str">
        <f t="shared" si="26"/>
        <v>GujRERA</v>
      </c>
    </row>
    <row r="1553" spans="1:16">
      <c r="A1553" s="129" t="str">
        <f>_xlfn.XLOOKUP(B1553,$S$9:$S$14,$T$9:$T$14)&amp;"-"&amp;
IF(E1553="Residential/Group Housing","RES",
IF(E1553="Commercial","COM",
IF(E1553="Mixed Development","MIX",
IF(E1553="Plotted Development","PLT","OTH"))))
&amp;"-"&amp;TEXT(COUNTIFS($B$9:B1553,B1553,$E$9:E1553,E1553),"0000")</f>
        <v>SUR-MIX-0233</v>
      </c>
      <c r="B1553" s="322" t="s">
        <v>34</v>
      </c>
      <c r="C1553" s="322" t="s">
        <v>34</v>
      </c>
      <c r="D1553" s="323" t="s">
        <v>1743</v>
      </c>
      <c r="E1553" s="132" t="s">
        <v>25</v>
      </c>
      <c r="F1553" s="97" t="str">
        <f ca="1">IF(OR(Market_Data[[#This Row],[Start Date]]="",Market_Data[[#This Row],[Completion Date]]=""),"Needs Validation",IF(Market_Data[[#This Row],[Start Date]]&gt;TODAY(),"Planned",IF(Market_Data[[#This Row],[Completion Date]]&lt;TODAY(),"Completed","Ongoing")))</f>
        <v>Completed</v>
      </c>
      <c r="G1553" s="324">
        <v>42187</v>
      </c>
      <c r="H1553" s="324">
        <v>43404</v>
      </c>
      <c r="I1553" s="325">
        <v>8700</v>
      </c>
      <c r="J155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553" s="133">
        <f>_xlfn.XLOOKUP(Market_Data[[#This Row],[Project Type]],tbl_assumptions_market[Project Category (RERA)],tbl_assumptions_market[Concrete Intensity
(m³ / sq m BUA)],"",0)</f>
        <v>0.42</v>
      </c>
      <c r="L1553" s="134">
        <f>ROUND(Market_Data[[#This Row],[Estimated Built Up Area (sq m)]]*Market_Data[[#This Row],[Concrete Intensity
(m³ / sq m)]],0)</f>
        <v>3654</v>
      </c>
      <c r="M1553" s="135">
        <f>_xlfn.XLOOKUP(Market_Data[[#This Row],[District]],tbl_district_price[District],tbl_district_price[Standard Price
(INR/m³)],"",0)</f>
        <v>6200</v>
      </c>
      <c r="N1553" s="364">
        <f>IF(OR(Market_Data[[#This Row],[Estimated Concrete Demand (m³)]]="",Market_Data[[#This Row],[Avg Price per (₹ / m³)]]=""),"",Market_Data[[#This Row],[Estimated Concrete Demand (m³)]]*Market_Data[[#This Row],[Avg Price per (₹ / m³)]]/10000000)</f>
        <v>2.2654800000000002</v>
      </c>
      <c r="O1553" s="97" t="str">
        <f>IF(Market_Data[[#This Row],[Estimated Concrete Demand (m³)]]="","",
IF(Market_Data[[#This Row],[Estimated Concrete Demand (m³)]]&lt;10000,"Small",
IF(Market_Data[[#This Row],[Estimated Concrete Demand (m³)]]&lt;25000,"Medium",
IF(Market_Data[[#This Row],[Estimated Concrete Demand (m³)]]&lt;100000,"Large","Mega"))))</f>
        <v>Small</v>
      </c>
      <c r="P1553" s="287" t="str">
        <f t="shared" si="26"/>
        <v>GujRERA</v>
      </c>
    </row>
    <row r="1554" spans="1:16">
      <c r="A1554" s="129" t="str">
        <f>_xlfn.XLOOKUP(B1554,$S$9:$S$14,$T$9:$T$14)&amp;"-"&amp;
IF(E1554="Residential/Group Housing","RES",
IF(E1554="Commercial","COM",
IF(E1554="Mixed Development","MIX",
IF(E1554="Plotted Development","PLT","OTH"))))
&amp;"-"&amp;TEXT(COUNTIFS($B$9:B1554,B1554,$E$9:E1554,E1554),"0000")</f>
        <v>SUR-MIX-0234</v>
      </c>
      <c r="B1554" s="322" t="s">
        <v>34</v>
      </c>
      <c r="C1554" s="322" t="s">
        <v>34</v>
      </c>
      <c r="D1554" s="323" t="s">
        <v>1744</v>
      </c>
      <c r="E1554" s="132" t="s">
        <v>25</v>
      </c>
      <c r="F1554" s="97" t="str">
        <f ca="1">IF(OR(Market_Data[[#This Row],[Start Date]]="",Market_Data[[#This Row],[Completion Date]]=""),"Needs Validation",IF(Market_Data[[#This Row],[Start Date]]&gt;TODAY(),"Planned",IF(Market_Data[[#This Row],[Completion Date]]&lt;TODAY(),"Completed","Ongoing")))</f>
        <v>Completed</v>
      </c>
      <c r="G1554" s="324">
        <v>42616</v>
      </c>
      <c r="H1554" s="324">
        <v>43251</v>
      </c>
      <c r="I1554" s="325">
        <v>56600</v>
      </c>
      <c r="J155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54" s="133">
        <f>_xlfn.XLOOKUP(Market_Data[[#This Row],[Project Type]],tbl_assumptions_market[Project Category (RERA)],tbl_assumptions_market[Concrete Intensity
(m³ / sq m BUA)],"",0)</f>
        <v>0.42</v>
      </c>
      <c r="L1554" s="134">
        <f>ROUND(Market_Data[[#This Row],[Estimated Built Up Area (sq m)]]*Market_Data[[#This Row],[Concrete Intensity
(m³ / sq m)]],0)</f>
        <v>23772</v>
      </c>
      <c r="M1554" s="135">
        <f>_xlfn.XLOOKUP(Market_Data[[#This Row],[District]],tbl_district_price[District],tbl_district_price[Standard Price
(INR/m³)],"",0)</f>
        <v>6200</v>
      </c>
      <c r="N1554" s="364">
        <f>IF(OR(Market_Data[[#This Row],[Estimated Concrete Demand (m³)]]="",Market_Data[[#This Row],[Avg Price per (₹ / m³)]]=""),"",Market_Data[[#This Row],[Estimated Concrete Demand (m³)]]*Market_Data[[#This Row],[Avg Price per (₹ / m³)]]/10000000)</f>
        <v>14.73864</v>
      </c>
      <c r="O1554" s="97" t="str">
        <f>IF(Market_Data[[#This Row],[Estimated Concrete Demand (m³)]]="","",
IF(Market_Data[[#This Row],[Estimated Concrete Demand (m³)]]&lt;10000,"Small",
IF(Market_Data[[#This Row],[Estimated Concrete Demand (m³)]]&lt;25000,"Medium",
IF(Market_Data[[#This Row],[Estimated Concrete Demand (m³)]]&lt;100000,"Large","Mega"))))</f>
        <v>Medium</v>
      </c>
      <c r="P1554" s="287" t="str">
        <f t="shared" si="26"/>
        <v>GujRERA</v>
      </c>
    </row>
    <row r="1555" spans="1:16">
      <c r="A1555" s="129" t="str">
        <f>_xlfn.XLOOKUP(B1555,$S$9:$S$14,$T$9:$T$14)&amp;"-"&amp;
IF(E1555="Residential/Group Housing","RES",
IF(E1555="Commercial","COM",
IF(E1555="Mixed Development","MIX",
IF(E1555="Plotted Development","PLT","OTH"))))
&amp;"-"&amp;TEXT(COUNTIFS($B$9:B1555,B1555,$E$9:E1555,E1555),"0000")</f>
        <v>SUR-PLT-0297</v>
      </c>
      <c r="B1555" s="322" t="s">
        <v>34</v>
      </c>
      <c r="C1555" s="322" t="s">
        <v>34</v>
      </c>
      <c r="D1555" s="323" t="s">
        <v>1745</v>
      </c>
      <c r="E1555" s="132" t="s">
        <v>26</v>
      </c>
      <c r="F1555" s="97" t="str">
        <f ca="1">IF(OR(Market_Data[[#This Row],[Start Date]]="",Market_Data[[#This Row],[Completion Date]]=""),"Needs Validation",IF(Market_Data[[#This Row],[Start Date]]&gt;TODAY(),"Planned",IF(Market_Data[[#This Row],[Completion Date]]&lt;TODAY(),"Completed","Ongoing")))</f>
        <v>Ongoing</v>
      </c>
      <c r="G1555" s="324">
        <v>45978</v>
      </c>
      <c r="H1555" s="324">
        <v>47118</v>
      </c>
      <c r="I1555" s="325">
        <v>28400</v>
      </c>
      <c r="J155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55" s="133">
        <f>_xlfn.XLOOKUP(Market_Data[[#This Row],[Project Type]],tbl_assumptions_market[Project Category (RERA)],tbl_assumptions_market[Concrete Intensity
(m³ / sq m BUA)],"",0)</f>
        <v>0.18</v>
      </c>
      <c r="L1555" s="134">
        <f>ROUND(Market_Data[[#This Row],[Estimated Built Up Area (sq m)]]*Market_Data[[#This Row],[Concrete Intensity
(m³ / sq m)]],0)</f>
        <v>5112</v>
      </c>
      <c r="M1555" s="135">
        <f>_xlfn.XLOOKUP(Market_Data[[#This Row],[District]],tbl_district_price[District],tbl_district_price[Standard Price
(INR/m³)],"",0)</f>
        <v>6200</v>
      </c>
      <c r="N1555" s="364">
        <f>IF(OR(Market_Data[[#This Row],[Estimated Concrete Demand (m³)]]="",Market_Data[[#This Row],[Avg Price per (₹ / m³)]]=""),"",Market_Data[[#This Row],[Estimated Concrete Demand (m³)]]*Market_Data[[#This Row],[Avg Price per (₹ / m³)]]/10000000)</f>
        <v>3.1694399999999998</v>
      </c>
      <c r="O1555" s="97" t="str">
        <f>IF(Market_Data[[#This Row],[Estimated Concrete Demand (m³)]]="","",
IF(Market_Data[[#This Row],[Estimated Concrete Demand (m³)]]&lt;10000,"Small",
IF(Market_Data[[#This Row],[Estimated Concrete Demand (m³)]]&lt;25000,"Medium",
IF(Market_Data[[#This Row],[Estimated Concrete Demand (m³)]]&lt;100000,"Large","Mega"))))</f>
        <v>Small</v>
      </c>
      <c r="P1555" s="287" t="str">
        <f t="shared" si="26"/>
        <v>GujRERA</v>
      </c>
    </row>
    <row r="1556" spans="1:16">
      <c r="A1556" s="129" t="str">
        <f>_xlfn.XLOOKUP(B1556,$S$9:$S$14,$T$9:$T$14)&amp;"-"&amp;
IF(E1556="Residential/Group Housing","RES",
IF(E1556="Commercial","COM",
IF(E1556="Mixed Development","MIX",
IF(E1556="Plotted Development","PLT","OTH"))))
&amp;"-"&amp;TEXT(COUNTIFS($B$9:B1556,B1556,$E$9:E1556,E1556),"0000")</f>
        <v>SUR-COM-0241</v>
      </c>
      <c r="B1556" s="322" t="s">
        <v>34</v>
      </c>
      <c r="C1556" s="322" t="s">
        <v>34</v>
      </c>
      <c r="D1556" s="323" t="s">
        <v>1746</v>
      </c>
      <c r="E1556" s="132" t="s">
        <v>23</v>
      </c>
      <c r="F1556" s="97" t="str">
        <f ca="1">IF(OR(Market_Data[[#This Row],[Start Date]]="",Market_Data[[#This Row],[Completion Date]]=""),"Needs Validation",IF(Market_Data[[#This Row],[Start Date]]&gt;TODAY(),"Planned",IF(Market_Data[[#This Row],[Completion Date]]&lt;TODAY(),"Completed","Ongoing")))</f>
        <v>Completed</v>
      </c>
      <c r="G1556" s="324">
        <v>42095</v>
      </c>
      <c r="H1556" s="324">
        <v>43404</v>
      </c>
      <c r="I1556" s="325">
        <v>13400</v>
      </c>
      <c r="J155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56" s="133">
        <f>_xlfn.XLOOKUP(Market_Data[[#This Row],[Project Type]],tbl_assumptions_market[Project Category (RERA)],tbl_assumptions_market[Concrete Intensity
(m³ / sq m BUA)],"",0)</f>
        <v>0.5</v>
      </c>
      <c r="L1556" s="134">
        <f>ROUND(Market_Data[[#This Row],[Estimated Built Up Area (sq m)]]*Market_Data[[#This Row],[Concrete Intensity
(m³ / sq m)]],0)</f>
        <v>6700</v>
      </c>
      <c r="M1556" s="135">
        <f>_xlfn.XLOOKUP(Market_Data[[#This Row],[District]],tbl_district_price[District],tbl_district_price[Standard Price
(INR/m³)],"",0)</f>
        <v>6200</v>
      </c>
      <c r="N1556" s="364">
        <f>IF(OR(Market_Data[[#This Row],[Estimated Concrete Demand (m³)]]="",Market_Data[[#This Row],[Avg Price per (₹ / m³)]]=""),"",Market_Data[[#This Row],[Estimated Concrete Demand (m³)]]*Market_Data[[#This Row],[Avg Price per (₹ / m³)]]/10000000)</f>
        <v>4.1539999999999999</v>
      </c>
      <c r="O1556" s="97" t="str">
        <f>IF(Market_Data[[#This Row],[Estimated Concrete Demand (m³)]]="","",
IF(Market_Data[[#This Row],[Estimated Concrete Demand (m³)]]&lt;10000,"Small",
IF(Market_Data[[#This Row],[Estimated Concrete Demand (m³)]]&lt;25000,"Medium",
IF(Market_Data[[#This Row],[Estimated Concrete Demand (m³)]]&lt;100000,"Large","Mega"))))</f>
        <v>Small</v>
      </c>
      <c r="P1556" s="287" t="str">
        <f t="shared" si="26"/>
        <v>GujRERA</v>
      </c>
    </row>
    <row r="1557" spans="1:16">
      <c r="A1557" s="129" t="str">
        <f>_xlfn.XLOOKUP(B1557,$S$9:$S$14,$T$9:$T$14)&amp;"-"&amp;
IF(E1557="Residential/Group Housing","RES",
IF(E1557="Commercial","COM",
IF(E1557="Mixed Development","MIX",
IF(E1557="Plotted Development","PLT","OTH"))))
&amp;"-"&amp;TEXT(COUNTIFS($B$9:B1557,B1557,$E$9:E1557,E1557),"0000")</f>
        <v>SUR-COM-0242</v>
      </c>
      <c r="B1557" s="322" t="s">
        <v>34</v>
      </c>
      <c r="C1557" s="322" t="s">
        <v>34</v>
      </c>
      <c r="D1557" s="323" t="s">
        <v>1747</v>
      </c>
      <c r="E1557" s="132" t="s">
        <v>23</v>
      </c>
      <c r="F1557" s="97" t="str">
        <f ca="1">IF(OR(Market_Data[[#This Row],[Start Date]]="",Market_Data[[#This Row],[Completion Date]]=""),"Needs Validation",IF(Market_Data[[#This Row],[Start Date]]&gt;TODAY(),"Planned",IF(Market_Data[[#This Row],[Completion Date]]&lt;TODAY(),"Completed","Ongoing")))</f>
        <v>Completed</v>
      </c>
      <c r="G1557" s="324">
        <v>42430</v>
      </c>
      <c r="H1557" s="324">
        <v>44561</v>
      </c>
      <c r="I1557" s="325">
        <v>37900</v>
      </c>
      <c r="J155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557" s="133">
        <f>_xlfn.XLOOKUP(Market_Data[[#This Row],[Project Type]],tbl_assumptions_market[Project Category (RERA)],tbl_assumptions_market[Concrete Intensity
(m³ / sq m BUA)],"",0)</f>
        <v>0.5</v>
      </c>
      <c r="L1557" s="134">
        <f>ROUND(Market_Data[[#This Row],[Estimated Built Up Area (sq m)]]*Market_Data[[#This Row],[Concrete Intensity
(m³ / sq m)]],0)</f>
        <v>18950</v>
      </c>
      <c r="M1557" s="135">
        <f>_xlfn.XLOOKUP(Market_Data[[#This Row],[District]],tbl_district_price[District],tbl_district_price[Standard Price
(INR/m³)],"",0)</f>
        <v>6200</v>
      </c>
      <c r="N1557" s="364">
        <f>IF(OR(Market_Data[[#This Row],[Estimated Concrete Demand (m³)]]="",Market_Data[[#This Row],[Avg Price per (₹ / m³)]]=""),"",Market_Data[[#This Row],[Estimated Concrete Demand (m³)]]*Market_Data[[#This Row],[Avg Price per (₹ / m³)]]/10000000)</f>
        <v>11.749000000000001</v>
      </c>
      <c r="O1557" s="97" t="str">
        <f>IF(Market_Data[[#This Row],[Estimated Concrete Demand (m³)]]="","",
IF(Market_Data[[#This Row],[Estimated Concrete Demand (m³)]]&lt;10000,"Small",
IF(Market_Data[[#This Row],[Estimated Concrete Demand (m³)]]&lt;25000,"Medium",
IF(Market_Data[[#This Row],[Estimated Concrete Demand (m³)]]&lt;100000,"Large","Mega"))))</f>
        <v>Medium</v>
      </c>
      <c r="P1557" s="287" t="str">
        <f t="shared" si="26"/>
        <v>GujRERA</v>
      </c>
    </row>
    <row r="1558" spans="1:16">
      <c r="A1558" s="129" t="str">
        <f>_xlfn.XLOOKUP(B1558,$S$9:$S$14,$T$9:$T$14)&amp;"-"&amp;
IF(E1558="Residential/Group Housing","RES",
IF(E1558="Commercial","COM",
IF(E1558="Mixed Development","MIX",
IF(E1558="Plotted Development","PLT","OTH"))))
&amp;"-"&amp;TEXT(COUNTIFS($B$9:B1558,B1558,$E$9:E1558,E1558),"0000")</f>
        <v>SUR-RES-0467</v>
      </c>
      <c r="B1558" s="322" t="s">
        <v>34</v>
      </c>
      <c r="C1558" s="322" t="s">
        <v>34</v>
      </c>
      <c r="D1558" s="323" t="s">
        <v>1748</v>
      </c>
      <c r="E1558" s="132" t="s">
        <v>24</v>
      </c>
      <c r="F1558" s="97" t="str">
        <f ca="1">IF(OR(Market_Data[[#This Row],[Start Date]]="",Market_Data[[#This Row],[Completion Date]]=""),"Needs Validation",IF(Market_Data[[#This Row],[Start Date]]&gt;TODAY(),"Planned",IF(Market_Data[[#This Row],[Completion Date]]&lt;TODAY(),"Completed","Ongoing")))</f>
        <v>Completed</v>
      </c>
      <c r="G1558" s="324">
        <v>44134</v>
      </c>
      <c r="H1558" s="324">
        <v>45657</v>
      </c>
      <c r="I1558" s="325">
        <v>8000</v>
      </c>
      <c r="J155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58" s="133">
        <f>_xlfn.XLOOKUP(Market_Data[[#This Row],[Project Type]],tbl_assumptions_market[Project Category (RERA)],tbl_assumptions_market[Concrete Intensity
(m³ / sq m BUA)],"",0)</f>
        <v>0.45</v>
      </c>
      <c r="L1558" s="134">
        <f>ROUND(Market_Data[[#This Row],[Estimated Built Up Area (sq m)]]*Market_Data[[#This Row],[Concrete Intensity
(m³ / sq m)]],0)</f>
        <v>3600</v>
      </c>
      <c r="M1558" s="135">
        <f>_xlfn.XLOOKUP(Market_Data[[#This Row],[District]],tbl_district_price[District],tbl_district_price[Standard Price
(INR/m³)],"",0)</f>
        <v>6200</v>
      </c>
      <c r="N1558" s="364">
        <f>IF(OR(Market_Data[[#This Row],[Estimated Concrete Demand (m³)]]="",Market_Data[[#This Row],[Avg Price per (₹ / m³)]]=""),"",Market_Data[[#This Row],[Estimated Concrete Demand (m³)]]*Market_Data[[#This Row],[Avg Price per (₹ / m³)]]/10000000)</f>
        <v>2.2320000000000002</v>
      </c>
      <c r="O1558" s="97" t="str">
        <f>IF(Market_Data[[#This Row],[Estimated Concrete Demand (m³)]]="","",
IF(Market_Data[[#This Row],[Estimated Concrete Demand (m³)]]&lt;10000,"Small",
IF(Market_Data[[#This Row],[Estimated Concrete Demand (m³)]]&lt;25000,"Medium",
IF(Market_Data[[#This Row],[Estimated Concrete Demand (m³)]]&lt;100000,"Large","Mega"))))</f>
        <v>Small</v>
      </c>
      <c r="P1558" s="287" t="str">
        <f t="shared" si="26"/>
        <v>GujRERA</v>
      </c>
    </row>
    <row r="1559" spans="1:16">
      <c r="A1559" s="129" t="str">
        <f>_xlfn.XLOOKUP(B1559,$S$9:$S$14,$T$9:$T$14)&amp;"-"&amp;
IF(E1559="Residential/Group Housing","RES",
IF(E1559="Commercial","COM",
IF(E1559="Mixed Development","MIX",
IF(E1559="Plotted Development","PLT","OTH"))))
&amp;"-"&amp;TEXT(COUNTIFS($B$9:B1559,B1559,$E$9:E1559,E1559),"0000")</f>
        <v>SUR-COM-0243</v>
      </c>
      <c r="B1559" s="322" t="s">
        <v>34</v>
      </c>
      <c r="C1559" s="322" t="s">
        <v>34</v>
      </c>
      <c r="D1559" s="323" t="s">
        <v>1749</v>
      </c>
      <c r="E1559" s="132" t="s">
        <v>23</v>
      </c>
      <c r="F1559" s="97" t="str">
        <f ca="1">IF(OR(Market_Data[[#This Row],[Start Date]]="",Market_Data[[#This Row],[Completion Date]]=""),"Needs Validation",IF(Market_Data[[#This Row],[Start Date]]&gt;TODAY(),"Planned",IF(Market_Data[[#This Row],[Completion Date]]&lt;TODAY(),"Completed","Ongoing")))</f>
        <v>Completed</v>
      </c>
      <c r="G1559" s="324">
        <v>42812</v>
      </c>
      <c r="H1559" s="324">
        <v>44742</v>
      </c>
      <c r="I1559" s="325">
        <v>43100</v>
      </c>
      <c r="J155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559" s="133">
        <f>_xlfn.XLOOKUP(Market_Data[[#This Row],[Project Type]],tbl_assumptions_market[Project Category (RERA)],tbl_assumptions_market[Concrete Intensity
(m³ / sq m BUA)],"",0)</f>
        <v>0.5</v>
      </c>
      <c r="L1559" s="134">
        <f>ROUND(Market_Data[[#This Row],[Estimated Built Up Area (sq m)]]*Market_Data[[#This Row],[Concrete Intensity
(m³ / sq m)]],0)</f>
        <v>21550</v>
      </c>
      <c r="M1559" s="135">
        <f>_xlfn.XLOOKUP(Market_Data[[#This Row],[District]],tbl_district_price[District],tbl_district_price[Standard Price
(INR/m³)],"",0)</f>
        <v>6200</v>
      </c>
      <c r="N1559" s="364">
        <f>IF(OR(Market_Data[[#This Row],[Estimated Concrete Demand (m³)]]="",Market_Data[[#This Row],[Avg Price per (₹ / m³)]]=""),"",Market_Data[[#This Row],[Estimated Concrete Demand (m³)]]*Market_Data[[#This Row],[Avg Price per (₹ / m³)]]/10000000)</f>
        <v>13.361000000000001</v>
      </c>
      <c r="O1559" s="97" t="str">
        <f>IF(Market_Data[[#This Row],[Estimated Concrete Demand (m³)]]="","",
IF(Market_Data[[#This Row],[Estimated Concrete Demand (m³)]]&lt;10000,"Small",
IF(Market_Data[[#This Row],[Estimated Concrete Demand (m³)]]&lt;25000,"Medium",
IF(Market_Data[[#This Row],[Estimated Concrete Demand (m³)]]&lt;100000,"Large","Mega"))))</f>
        <v>Medium</v>
      </c>
      <c r="P1559" s="287" t="str">
        <f t="shared" si="26"/>
        <v>GujRERA</v>
      </c>
    </row>
    <row r="1560" spans="1:16">
      <c r="A1560" s="129" t="str">
        <f>_xlfn.XLOOKUP(B1560,$S$9:$S$14,$T$9:$T$14)&amp;"-"&amp;
IF(E1560="Residential/Group Housing","RES",
IF(E1560="Commercial","COM",
IF(E1560="Mixed Development","MIX",
IF(E1560="Plotted Development","PLT","OTH"))))
&amp;"-"&amp;TEXT(COUNTIFS($B$9:B1560,B1560,$E$9:E1560,E1560),"0000")</f>
        <v>SUR-RES-0468</v>
      </c>
      <c r="B1560" s="322" t="s">
        <v>34</v>
      </c>
      <c r="C1560" s="322" t="s">
        <v>34</v>
      </c>
      <c r="D1560" s="323" t="s">
        <v>1750</v>
      </c>
      <c r="E1560" s="132" t="s">
        <v>24</v>
      </c>
      <c r="F1560" s="97" t="str">
        <f ca="1">IF(OR(Market_Data[[#This Row],[Start Date]]="",Market_Data[[#This Row],[Completion Date]]=""),"Needs Validation",IF(Market_Data[[#This Row],[Start Date]]&gt;TODAY(),"Planned",IF(Market_Data[[#This Row],[Completion Date]]&lt;TODAY(),"Completed","Ongoing")))</f>
        <v>Completed</v>
      </c>
      <c r="G1560" s="324">
        <v>41381</v>
      </c>
      <c r="H1560" s="324">
        <v>43465</v>
      </c>
      <c r="I1560" s="325">
        <v>50100</v>
      </c>
      <c r="J156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60" s="133">
        <f>_xlfn.XLOOKUP(Market_Data[[#This Row],[Project Type]],tbl_assumptions_market[Project Category (RERA)],tbl_assumptions_market[Concrete Intensity
(m³ / sq m BUA)],"",0)</f>
        <v>0.45</v>
      </c>
      <c r="L1560" s="134">
        <f>ROUND(Market_Data[[#This Row],[Estimated Built Up Area (sq m)]]*Market_Data[[#This Row],[Concrete Intensity
(m³ / sq m)]],0)</f>
        <v>22545</v>
      </c>
      <c r="M1560" s="135">
        <f>_xlfn.XLOOKUP(Market_Data[[#This Row],[District]],tbl_district_price[District],tbl_district_price[Standard Price
(INR/m³)],"",0)</f>
        <v>6200</v>
      </c>
      <c r="N1560" s="364">
        <f>IF(OR(Market_Data[[#This Row],[Estimated Concrete Demand (m³)]]="",Market_Data[[#This Row],[Avg Price per (₹ / m³)]]=""),"",Market_Data[[#This Row],[Estimated Concrete Demand (m³)]]*Market_Data[[#This Row],[Avg Price per (₹ / m³)]]/10000000)</f>
        <v>13.9779</v>
      </c>
      <c r="O1560" s="97" t="str">
        <f>IF(Market_Data[[#This Row],[Estimated Concrete Demand (m³)]]="","",
IF(Market_Data[[#This Row],[Estimated Concrete Demand (m³)]]&lt;10000,"Small",
IF(Market_Data[[#This Row],[Estimated Concrete Demand (m³)]]&lt;25000,"Medium",
IF(Market_Data[[#This Row],[Estimated Concrete Demand (m³)]]&lt;100000,"Large","Mega"))))</f>
        <v>Medium</v>
      </c>
      <c r="P1560" s="287" t="str">
        <f t="shared" si="26"/>
        <v>GujRERA</v>
      </c>
    </row>
    <row r="1561" spans="1:16">
      <c r="A1561" s="129" t="str">
        <f>_xlfn.XLOOKUP(B1561,$S$9:$S$14,$T$9:$T$14)&amp;"-"&amp;
IF(E1561="Residential/Group Housing","RES",
IF(E1561="Commercial","COM",
IF(E1561="Mixed Development","MIX",
IF(E1561="Plotted Development","PLT","OTH"))))
&amp;"-"&amp;TEXT(COUNTIFS($B$9:B1561,B1561,$E$9:E1561,E1561),"0000")</f>
        <v>SUR-RES-0469</v>
      </c>
      <c r="B1561" s="322" t="s">
        <v>34</v>
      </c>
      <c r="C1561" s="322" t="s">
        <v>34</v>
      </c>
      <c r="D1561" s="323" t="s">
        <v>1751</v>
      </c>
      <c r="E1561" s="132" t="s">
        <v>24</v>
      </c>
      <c r="F1561" s="97" t="str">
        <f ca="1">IF(OR(Market_Data[[#This Row],[Start Date]]="",Market_Data[[#This Row],[Completion Date]]=""),"Needs Validation",IF(Market_Data[[#This Row],[Start Date]]&gt;TODAY(),"Planned",IF(Market_Data[[#This Row],[Completion Date]]&lt;TODAY(),"Completed","Ongoing")))</f>
        <v>Ongoing</v>
      </c>
      <c r="G1561" s="324">
        <v>44810</v>
      </c>
      <c r="H1561" s="324">
        <v>46752</v>
      </c>
      <c r="I1561" s="325">
        <v>43100</v>
      </c>
      <c r="J156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61" s="133">
        <f>_xlfn.XLOOKUP(Market_Data[[#This Row],[Project Type]],tbl_assumptions_market[Project Category (RERA)],tbl_assumptions_market[Concrete Intensity
(m³ / sq m BUA)],"",0)</f>
        <v>0.45</v>
      </c>
      <c r="L1561" s="134">
        <f>ROUND(Market_Data[[#This Row],[Estimated Built Up Area (sq m)]]*Market_Data[[#This Row],[Concrete Intensity
(m³ / sq m)]],0)</f>
        <v>19395</v>
      </c>
      <c r="M1561" s="135">
        <f>_xlfn.XLOOKUP(Market_Data[[#This Row],[District]],tbl_district_price[District],tbl_district_price[Standard Price
(INR/m³)],"",0)</f>
        <v>6200</v>
      </c>
      <c r="N1561" s="364">
        <f>IF(OR(Market_Data[[#This Row],[Estimated Concrete Demand (m³)]]="",Market_Data[[#This Row],[Avg Price per (₹ / m³)]]=""),"",Market_Data[[#This Row],[Estimated Concrete Demand (m³)]]*Market_Data[[#This Row],[Avg Price per (₹ / m³)]]/10000000)</f>
        <v>12.024900000000001</v>
      </c>
      <c r="O1561" s="97" t="str">
        <f>IF(Market_Data[[#This Row],[Estimated Concrete Demand (m³)]]="","",
IF(Market_Data[[#This Row],[Estimated Concrete Demand (m³)]]&lt;10000,"Small",
IF(Market_Data[[#This Row],[Estimated Concrete Demand (m³)]]&lt;25000,"Medium",
IF(Market_Data[[#This Row],[Estimated Concrete Demand (m³)]]&lt;100000,"Large","Mega"))))</f>
        <v>Medium</v>
      </c>
      <c r="P1561" s="287" t="str">
        <f t="shared" si="26"/>
        <v>GujRERA</v>
      </c>
    </row>
    <row r="1562" spans="1:16">
      <c r="A1562" s="129" t="str">
        <f>_xlfn.XLOOKUP(B1562,$S$9:$S$14,$T$9:$T$14)&amp;"-"&amp;
IF(E1562="Residential/Group Housing","RES",
IF(E1562="Commercial","COM",
IF(E1562="Mixed Development","MIX",
IF(E1562="Plotted Development","PLT","OTH"))))
&amp;"-"&amp;TEXT(COUNTIFS($B$9:B1562,B1562,$E$9:E1562,E1562),"0000")</f>
        <v>SUR-RES-0470</v>
      </c>
      <c r="B1562" s="322" t="s">
        <v>34</v>
      </c>
      <c r="C1562" s="322" t="s">
        <v>34</v>
      </c>
      <c r="D1562" s="323" t="s">
        <v>1752</v>
      </c>
      <c r="E1562" s="132" t="s">
        <v>24</v>
      </c>
      <c r="F1562" s="97" t="str">
        <f ca="1">IF(OR(Market_Data[[#This Row],[Start Date]]="",Market_Data[[#This Row],[Completion Date]]=""),"Needs Validation",IF(Market_Data[[#This Row],[Start Date]]&gt;TODAY(),"Planned",IF(Market_Data[[#This Row],[Completion Date]]&lt;TODAY(),"Completed","Ongoing")))</f>
        <v>Ongoing</v>
      </c>
      <c r="G1562" s="324">
        <v>45092</v>
      </c>
      <c r="H1562" s="324">
        <v>47483</v>
      </c>
      <c r="I1562" s="325">
        <v>59400</v>
      </c>
      <c r="J156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62" s="133">
        <f>_xlfn.XLOOKUP(Market_Data[[#This Row],[Project Type]],tbl_assumptions_market[Project Category (RERA)],tbl_assumptions_market[Concrete Intensity
(m³ / sq m BUA)],"",0)</f>
        <v>0.45</v>
      </c>
      <c r="L1562" s="134">
        <f>ROUND(Market_Data[[#This Row],[Estimated Built Up Area (sq m)]]*Market_Data[[#This Row],[Concrete Intensity
(m³ / sq m)]],0)</f>
        <v>26730</v>
      </c>
      <c r="M1562" s="135">
        <f>_xlfn.XLOOKUP(Market_Data[[#This Row],[District]],tbl_district_price[District],tbl_district_price[Standard Price
(INR/m³)],"",0)</f>
        <v>6200</v>
      </c>
      <c r="N1562" s="364">
        <f>IF(OR(Market_Data[[#This Row],[Estimated Concrete Demand (m³)]]="",Market_Data[[#This Row],[Avg Price per (₹ / m³)]]=""),"",Market_Data[[#This Row],[Estimated Concrete Demand (m³)]]*Market_Data[[#This Row],[Avg Price per (₹ / m³)]]/10000000)</f>
        <v>16.572600000000001</v>
      </c>
      <c r="O1562" s="97" t="str">
        <f>IF(Market_Data[[#This Row],[Estimated Concrete Demand (m³)]]="","",
IF(Market_Data[[#This Row],[Estimated Concrete Demand (m³)]]&lt;10000,"Small",
IF(Market_Data[[#This Row],[Estimated Concrete Demand (m³)]]&lt;25000,"Medium",
IF(Market_Data[[#This Row],[Estimated Concrete Demand (m³)]]&lt;100000,"Large","Mega"))))</f>
        <v>Large</v>
      </c>
      <c r="P1562" s="287" t="str">
        <f t="shared" si="26"/>
        <v>GujRERA</v>
      </c>
    </row>
    <row r="1563" spans="1:16">
      <c r="A1563" s="129" t="str">
        <f>_xlfn.XLOOKUP(B1563,$S$9:$S$14,$T$9:$T$14)&amp;"-"&amp;
IF(E1563="Residential/Group Housing","RES",
IF(E1563="Commercial","COM",
IF(E1563="Mixed Development","MIX",
IF(E1563="Plotted Development","PLT","OTH"))))
&amp;"-"&amp;TEXT(COUNTIFS($B$9:B1563,B1563,$E$9:E1563,E1563),"0000")</f>
        <v>SUR-RES-0471</v>
      </c>
      <c r="B1563" s="322" t="s">
        <v>34</v>
      </c>
      <c r="C1563" s="322" t="s">
        <v>34</v>
      </c>
      <c r="D1563" s="323" t="s">
        <v>1753</v>
      </c>
      <c r="E1563" s="132" t="s">
        <v>24</v>
      </c>
      <c r="F1563" s="97" t="str">
        <f ca="1">IF(OR(Market_Data[[#This Row],[Start Date]]="",Market_Data[[#This Row],[Completion Date]]=""),"Needs Validation",IF(Market_Data[[#This Row],[Start Date]]&gt;TODAY(),"Planned",IF(Market_Data[[#This Row],[Completion Date]]&lt;TODAY(),"Completed","Ongoing")))</f>
        <v>Completed</v>
      </c>
      <c r="G1563" s="324">
        <v>43101</v>
      </c>
      <c r="H1563" s="324">
        <v>46022</v>
      </c>
      <c r="I1563" s="325">
        <v>28000</v>
      </c>
      <c r="J156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63" s="133">
        <f>_xlfn.XLOOKUP(Market_Data[[#This Row],[Project Type]],tbl_assumptions_market[Project Category (RERA)],tbl_assumptions_market[Concrete Intensity
(m³ / sq m BUA)],"",0)</f>
        <v>0.45</v>
      </c>
      <c r="L1563" s="134">
        <f>ROUND(Market_Data[[#This Row],[Estimated Built Up Area (sq m)]]*Market_Data[[#This Row],[Concrete Intensity
(m³ / sq m)]],0)</f>
        <v>12600</v>
      </c>
      <c r="M1563" s="135">
        <f>_xlfn.XLOOKUP(Market_Data[[#This Row],[District]],tbl_district_price[District],tbl_district_price[Standard Price
(INR/m³)],"",0)</f>
        <v>6200</v>
      </c>
      <c r="N1563" s="364">
        <f>IF(OR(Market_Data[[#This Row],[Estimated Concrete Demand (m³)]]="",Market_Data[[#This Row],[Avg Price per (₹ / m³)]]=""),"",Market_Data[[#This Row],[Estimated Concrete Demand (m³)]]*Market_Data[[#This Row],[Avg Price per (₹ / m³)]]/10000000)</f>
        <v>7.8120000000000003</v>
      </c>
      <c r="O1563" s="97" t="str">
        <f>IF(Market_Data[[#This Row],[Estimated Concrete Demand (m³)]]="","",
IF(Market_Data[[#This Row],[Estimated Concrete Demand (m³)]]&lt;10000,"Small",
IF(Market_Data[[#This Row],[Estimated Concrete Demand (m³)]]&lt;25000,"Medium",
IF(Market_Data[[#This Row],[Estimated Concrete Demand (m³)]]&lt;100000,"Large","Mega"))))</f>
        <v>Medium</v>
      </c>
      <c r="P1563" s="287" t="str">
        <f t="shared" si="26"/>
        <v>GujRERA</v>
      </c>
    </row>
    <row r="1564" spans="1:16">
      <c r="A1564" s="129" t="str">
        <f>_xlfn.XLOOKUP(B1564,$S$9:$S$14,$T$9:$T$14)&amp;"-"&amp;
IF(E1564="Residential/Group Housing","RES",
IF(E1564="Commercial","COM",
IF(E1564="Mixed Development","MIX",
IF(E1564="Plotted Development","PLT","OTH"))))
&amp;"-"&amp;TEXT(COUNTIFS($B$9:B1564,B1564,$E$9:E1564,E1564),"0000")</f>
        <v>SUR-RES-0472</v>
      </c>
      <c r="B1564" s="322" t="s">
        <v>34</v>
      </c>
      <c r="C1564" s="322" t="s">
        <v>34</v>
      </c>
      <c r="D1564" s="323" t="s">
        <v>1754</v>
      </c>
      <c r="E1564" s="132" t="s">
        <v>24</v>
      </c>
      <c r="F1564" s="97" t="str">
        <f ca="1">IF(OR(Market_Data[[#This Row],[Start Date]]="",Market_Data[[#This Row],[Completion Date]]=""),"Needs Validation",IF(Market_Data[[#This Row],[Start Date]]&gt;TODAY(),"Planned",IF(Market_Data[[#This Row],[Completion Date]]&lt;TODAY(),"Completed","Ongoing")))</f>
        <v>Completed</v>
      </c>
      <c r="G1564" s="324">
        <v>43831</v>
      </c>
      <c r="H1564" s="324">
        <v>45838</v>
      </c>
      <c r="I1564" s="325">
        <v>26800</v>
      </c>
      <c r="J156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64" s="133">
        <f>_xlfn.XLOOKUP(Market_Data[[#This Row],[Project Type]],tbl_assumptions_market[Project Category (RERA)],tbl_assumptions_market[Concrete Intensity
(m³ / sq m BUA)],"",0)</f>
        <v>0.45</v>
      </c>
      <c r="L1564" s="134">
        <f>ROUND(Market_Data[[#This Row],[Estimated Built Up Area (sq m)]]*Market_Data[[#This Row],[Concrete Intensity
(m³ / sq m)]],0)</f>
        <v>12060</v>
      </c>
      <c r="M1564" s="135">
        <f>_xlfn.XLOOKUP(Market_Data[[#This Row],[District]],tbl_district_price[District],tbl_district_price[Standard Price
(INR/m³)],"",0)</f>
        <v>6200</v>
      </c>
      <c r="N1564" s="364">
        <f>IF(OR(Market_Data[[#This Row],[Estimated Concrete Demand (m³)]]="",Market_Data[[#This Row],[Avg Price per (₹ / m³)]]=""),"",Market_Data[[#This Row],[Estimated Concrete Demand (m³)]]*Market_Data[[#This Row],[Avg Price per (₹ / m³)]]/10000000)</f>
        <v>7.4771999999999998</v>
      </c>
      <c r="O1564" s="97" t="str">
        <f>IF(Market_Data[[#This Row],[Estimated Concrete Demand (m³)]]="","",
IF(Market_Data[[#This Row],[Estimated Concrete Demand (m³)]]&lt;10000,"Small",
IF(Market_Data[[#This Row],[Estimated Concrete Demand (m³)]]&lt;25000,"Medium",
IF(Market_Data[[#This Row],[Estimated Concrete Demand (m³)]]&lt;100000,"Large","Mega"))))</f>
        <v>Medium</v>
      </c>
      <c r="P1564" s="287" t="str">
        <f t="shared" si="26"/>
        <v>GujRERA</v>
      </c>
    </row>
    <row r="1565" spans="1:16">
      <c r="A1565" s="129" t="str">
        <f>_xlfn.XLOOKUP(B1565,$S$9:$S$14,$T$9:$T$14)&amp;"-"&amp;
IF(E1565="Residential/Group Housing","RES",
IF(E1565="Commercial","COM",
IF(E1565="Mixed Development","MIX",
IF(E1565="Plotted Development","PLT","OTH"))))
&amp;"-"&amp;TEXT(COUNTIFS($B$9:B1565,B1565,$E$9:E1565,E1565),"0000")</f>
        <v>SUR-RES-0473</v>
      </c>
      <c r="B1565" s="322" t="s">
        <v>34</v>
      </c>
      <c r="C1565" s="322" t="s">
        <v>34</v>
      </c>
      <c r="D1565" s="323" t="s">
        <v>1755</v>
      </c>
      <c r="E1565" s="132" t="s">
        <v>24</v>
      </c>
      <c r="F1565" s="97" t="str">
        <f ca="1">IF(OR(Market_Data[[#This Row],[Start Date]]="",Market_Data[[#This Row],[Completion Date]]=""),"Needs Validation",IF(Market_Data[[#This Row],[Start Date]]&gt;TODAY(),"Planned",IF(Market_Data[[#This Row],[Completion Date]]&lt;TODAY(),"Completed","Ongoing")))</f>
        <v>Completed</v>
      </c>
      <c r="G1565" s="324">
        <v>43881</v>
      </c>
      <c r="H1565" s="324">
        <v>46203</v>
      </c>
      <c r="I1565" s="325">
        <v>17500</v>
      </c>
      <c r="J156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65" s="133">
        <f>_xlfn.XLOOKUP(Market_Data[[#This Row],[Project Type]],tbl_assumptions_market[Project Category (RERA)],tbl_assumptions_market[Concrete Intensity
(m³ / sq m BUA)],"",0)</f>
        <v>0.45</v>
      </c>
      <c r="L1565" s="134">
        <f>ROUND(Market_Data[[#This Row],[Estimated Built Up Area (sq m)]]*Market_Data[[#This Row],[Concrete Intensity
(m³ / sq m)]],0)</f>
        <v>7875</v>
      </c>
      <c r="M1565" s="135">
        <f>_xlfn.XLOOKUP(Market_Data[[#This Row],[District]],tbl_district_price[District],tbl_district_price[Standard Price
(INR/m³)],"",0)</f>
        <v>6200</v>
      </c>
      <c r="N1565" s="364">
        <f>IF(OR(Market_Data[[#This Row],[Estimated Concrete Demand (m³)]]="",Market_Data[[#This Row],[Avg Price per (₹ / m³)]]=""),"",Market_Data[[#This Row],[Estimated Concrete Demand (m³)]]*Market_Data[[#This Row],[Avg Price per (₹ / m³)]]/10000000)</f>
        <v>4.8825000000000003</v>
      </c>
      <c r="O1565" s="97" t="str">
        <f>IF(Market_Data[[#This Row],[Estimated Concrete Demand (m³)]]="","",
IF(Market_Data[[#This Row],[Estimated Concrete Demand (m³)]]&lt;10000,"Small",
IF(Market_Data[[#This Row],[Estimated Concrete Demand (m³)]]&lt;25000,"Medium",
IF(Market_Data[[#This Row],[Estimated Concrete Demand (m³)]]&lt;100000,"Large","Mega"))))</f>
        <v>Small</v>
      </c>
      <c r="P1565" s="287" t="str">
        <f t="shared" si="26"/>
        <v>GujRERA</v>
      </c>
    </row>
    <row r="1566" spans="1:16">
      <c r="A1566" s="129" t="str">
        <f>_xlfn.XLOOKUP(B1566,$S$9:$S$14,$T$9:$T$14)&amp;"-"&amp;
IF(E1566="Residential/Group Housing","RES",
IF(E1566="Commercial","COM",
IF(E1566="Mixed Development","MIX",
IF(E1566="Plotted Development","PLT","OTH"))))
&amp;"-"&amp;TEXT(COUNTIFS($B$9:B1566,B1566,$E$9:E1566,E1566),"0000")</f>
        <v>SUR-RES-0474</v>
      </c>
      <c r="B1566" s="322" t="s">
        <v>34</v>
      </c>
      <c r="C1566" s="322" t="s">
        <v>34</v>
      </c>
      <c r="D1566" s="323" t="s">
        <v>1756</v>
      </c>
      <c r="E1566" s="132" t="s">
        <v>24</v>
      </c>
      <c r="F1566" s="97" t="str">
        <f ca="1">IF(OR(Market_Data[[#This Row],[Start Date]]="",Market_Data[[#This Row],[Completion Date]]=""),"Needs Validation",IF(Market_Data[[#This Row],[Start Date]]&gt;TODAY(),"Planned",IF(Market_Data[[#This Row],[Completion Date]]&lt;TODAY(),"Completed","Ongoing")))</f>
        <v>Ongoing</v>
      </c>
      <c r="G1566" s="324">
        <v>45110</v>
      </c>
      <c r="H1566" s="324">
        <v>47483</v>
      </c>
      <c r="I1566" s="325">
        <v>45500</v>
      </c>
      <c r="J156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66" s="133">
        <f>_xlfn.XLOOKUP(Market_Data[[#This Row],[Project Type]],tbl_assumptions_market[Project Category (RERA)],tbl_assumptions_market[Concrete Intensity
(m³ / sq m BUA)],"",0)</f>
        <v>0.45</v>
      </c>
      <c r="L1566" s="134">
        <f>ROUND(Market_Data[[#This Row],[Estimated Built Up Area (sq m)]]*Market_Data[[#This Row],[Concrete Intensity
(m³ / sq m)]],0)</f>
        <v>20475</v>
      </c>
      <c r="M1566" s="135">
        <f>_xlfn.XLOOKUP(Market_Data[[#This Row],[District]],tbl_district_price[District],tbl_district_price[Standard Price
(INR/m³)],"",0)</f>
        <v>6200</v>
      </c>
      <c r="N1566" s="364">
        <f>IF(OR(Market_Data[[#This Row],[Estimated Concrete Demand (m³)]]="",Market_Data[[#This Row],[Avg Price per (₹ / m³)]]=""),"",Market_Data[[#This Row],[Estimated Concrete Demand (m³)]]*Market_Data[[#This Row],[Avg Price per (₹ / m³)]]/10000000)</f>
        <v>12.6945</v>
      </c>
      <c r="O1566" s="97" t="str">
        <f>IF(Market_Data[[#This Row],[Estimated Concrete Demand (m³)]]="","",
IF(Market_Data[[#This Row],[Estimated Concrete Demand (m³)]]&lt;10000,"Small",
IF(Market_Data[[#This Row],[Estimated Concrete Demand (m³)]]&lt;25000,"Medium",
IF(Market_Data[[#This Row],[Estimated Concrete Demand (m³)]]&lt;100000,"Large","Mega"))))</f>
        <v>Medium</v>
      </c>
      <c r="P1566" s="287" t="str">
        <f t="shared" si="26"/>
        <v>GujRERA</v>
      </c>
    </row>
    <row r="1567" spans="1:16">
      <c r="A1567" s="129" t="str">
        <f>_xlfn.XLOOKUP(B1567,$S$9:$S$14,$T$9:$T$14)&amp;"-"&amp;
IF(E1567="Residential/Group Housing","RES",
IF(E1567="Commercial","COM",
IF(E1567="Mixed Development","MIX",
IF(E1567="Plotted Development","PLT","OTH"))))
&amp;"-"&amp;TEXT(COUNTIFS($B$9:B1567,B1567,$E$9:E1567,E1567),"0000")</f>
        <v>SUR-COM-0244</v>
      </c>
      <c r="B1567" s="322" t="s">
        <v>34</v>
      </c>
      <c r="C1567" s="322" t="s">
        <v>34</v>
      </c>
      <c r="D1567" s="323" t="s">
        <v>1757</v>
      </c>
      <c r="E1567" s="132" t="s">
        <v>23</v>
      </c>
      <c r="F1567" s="97" t="str">
        <f ca="1">IF(OR(Market_Data[[#This Row],[Start Date]]="",Market_Data[[#This Row],[Completion Date]]=""),"Needs Validation",IF(Market_Data[[#This Row],[Start Date]]&gt;TODAY(),"Planned",IF(Market_Data[[#This Row],[Completion Date]]&lt;TODAY(),"Completed","Ongoing")))</f>
        <v>Ongoing</v>
      </c>
      <c r="G1567" s="324">
        <v>45444</v>
      </c>
      <c r="H1567" s="324">
        <v>47269</v>
      </c>
      <c r="I1567" s="325">
        <v>2400</v>
      </c>
      <c r="J156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67" s="133">
        <f>_xlfn.XLOOKUP(Market_Data[[#This Row],[Project Type]],tbl_assumptions_market[Project Category (RERA)],tbl_assumptions_market[Concrete Intensity
(m³ / sq m BUA)],"",0)</f>
        <v>0.5</v>
      </c>
      <c r="L1567" s="134">
        <f>ROUND(Market_Data[[#This Row],[Estimated Built Up Area (sq m)]]*Market_Data[[#This Row],[Concrete Intensity
(m³ / sq m)]],0)</f>
        <v>1200</v>
      </c>
      <c r="M1567" s="135">
        <f>_xlfn.XLOOKUP(Market_Data[[#This Row],[District]],tbl_district_price[District],tbl_district_price[Standard Price
(INR/m³)],"",0)</f>
        <v>6200</v>
      </c>
      <c r="N1567" s="364">
        <f>IF(OR(Market_Data[[#This Row],[Estimated Concrete Demand (m³)]]="",Market_Data[[#This Row],[Avg Price per (₹ / m³)]]=""),"",Market_Data[[#This Row],[Estimated Concrete Demand (m³)]]*Market_Data[[#This Row],[Avg Price per (₹ / m³)]]/10000000)</f>
        <v>0.74399999999999999</v>
      </c>
      <c r="O1567" s="97" t="str">
        <f>IF(Market_Data[[#This Row],[Estimated Concrete Demand (m³)]]="","",
IF(Market_Data[[#This Row],[Estimated Concrete Demand (m³)]]&lt;10000,"Small",
IF(Market_Data[[#This Row],[Estimated Concrete Demand (m³)]]&lt;25000,"Medium",
IF(Market_Data[[#This Row],[Estimated Concrete Demand (m³)]]&lt;100000,"Large","Mega"))))</f>
        <v>Small</v>
      </c>
      <c r="P1567" s="287" t="str">
        <f t="shared" si="26"/>
        <v>GujRERA</v>
      </c>
    </row>
    <row r="1568" spans="1:16">
      <c r="A1568" s="129" t="str">
        <f>_xlfn.XLOOKUP(B1568,$S$9:$S$14,$T$9:$T$14)&amp;"-"&amp;
IF(E1568="Residential/Group Housing","RES",
IF(E1568="Commercial","COM",
IF(E1568="Mixed Development","MIX",
IF(E1568="Plotted Development","PLT","OTH"))))
&amp;"-"&amp;TEXT(COUNTIFS($B$9:B1568,B1568,$E$9:E1568,E1568),"0000")</f>
        <v>SUR-COM-0245</v>
      </c>
      <c r="B1568" s="322" t="s">
        <v>34</v>
      </c>
      <c r="C1568" s="322" t="s">
        <v>34</v>
      </c>
      <c r="D1568" s="323" t="s">
        <v>1758</v>
      </c>
      <c r="E1568" s="132" t="s">
        <v>23</v>
      </c>
      <c r="F1568" s="97" t="str">
        <f ca="1">IF(OR(Market_Data[[#This Row],[Start Date]]="",Market_Data[[#This Row],[Completion Date]]=""),"Needs Validation",IF(Market_Data[[#This Row],[Start Date]]&gt;TODAY(),"Planned",IF(Market_Data[[#This Row],[Completion Date]]&lt;TODAY(),"Completed","Ongoing")))</f>
        <v>Completed</v>
      </c>
      <c r="G1568" s="324">
        <v>42818</v>
      </c>
      <c r="H1568" s="324">
        <v>44469</v>
      </c>
      <c r="I1568" s="325">
        <v>11700</v>
      </c>
      <c r="J156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68" s="133">
        <f>_xlfn.XLOOKUP(Market_Data[[#This Row],[Project Type]],tbl_assumptions_market[Project Category (RERA)],tbl_assumptions_market[Concrete Intensity
(m³ / sq m BUA)],"",0)</f>
        <v>0.5</v>
      </c>
      <c r="L1568" s="134">
        <f>ROUND(Market_Data[[#This Row],[Estimated Built Up Area (sq m)]]*Market_Data[[#This Row],[Concrete Intensity
(m³ / sq m)]],0)</f>
        <v>5850</v>
      </c>
      <c r="M1568" s="135">
        <f>_xlfn.XLOOKUP(Market_Data[[#This Row],[District]],tbl_district_price[District],tbl_district_price[Standard Price
(INR/m³)],"",0)</f>
        <v>6200</v>
      </c>
      <c r="N1568" s="364">
        <f>IF(OR(Market_Data[[#This Row],[Estimated Concrete Demand (m³)]]="",Market_Data[[#This Row],[Avg Price per (₹ / m³)]]=""),"",Market_Data[[#This Row],[Estimated Concrete Demand (m³)]]*Market_Data[[#This Row],[Avg Price per (₹ / m³)]]/10000000)</f>
        <v>3.6269999999999998</v>
      </c>
      <c r="O1568" s="97" t="str">
        <f>IF(Market_Data[[#This Row],[Estimated Concrete Demand (m³)]]="","",
IF(Market_Data[[#This Row],[Estimated Concrete Demand (m³)]]&lt;10000,"Small",
IF(Market_Data[[#This Row],[Estimated Concrete Demand (m³)]]&lt;25000,"Medium",
IF(Market_Data[[#This Row],[Estimated Concrete Demand (m³)]]&lt;100000,"Large","Mega"))))</f>
        <v>Small</v>
      </c>
      <c r="P1568" s="287" t="str">
        <f t="shared" si="26"/>
        <v>GujRERA</v>
      </c>
    </row>
    <row r="1569" spans="1:16">
      <c r="A1569" s="129" t="str">
        <f>_xlfn.XLOOKUP(B1569,$S$9:$S$14,$T$9:$T$14)&amp;"-"&amp;
IF(E1569="Residential/Group Housing","RES",
IF(E1569="Commercial","COM",
IF(E1569="Mixed Development","MIX",
IF(E1569="Plotted Development","PLT","OTH"))))
&amp;"-"&amp;TEXT(COUNTIFS($B$9:B1569,B1569,$E$9:E1569,E1569),"0000")</f>
        <v>SUR-PLT-0298</v>
      </c>
      <c r="B1569" s="322" t="s">
        <v>34</v>
      </c>
      <c r="C1569" s="322" t="s">
        <v>34</v>
      </c>
      <c r="D1569" s="323" t="s">
        <v>1759</v>
      </c>
      <c r="E1569" s="132" t="s">
        <v>26</v>
      </c>
      <c r="F1569" s="97" t="str">
        <f ca="1">IF(OR(Market_Data[[#This Row],[Start Date]]="",Market_Data[[#This Row],[Completion Date]]=""),"Needs Validation",IF(Market_Data[[#This Row],[Start Date]]&gt;TODAY(),"Planned",IF(Market_Data[[#This Row],[Completion Date]]&lt;TODAY(),"Completed","Ongoing")))</f>
        <v>Ongoing</v>
      </c>
      <c r="G1569" s="324">
        <v>45145</v>
      </c>
      <c r="H1569" s="324">
        <v>46387</v>
      </c>
      <c r="I1569" s="325">
        <v>28400</v>
      </c>
      <c r="J156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69" s="133">
        <f>_xlfn.XLOOKUP(Market_Data[[#This Row],[Project Type]],tbl_assumptions_market[Project Category (RERA)],tbl_assumptions_market[Concrete Intensity
(m³ / sq m BUA)],"",0)</f>
        <v>0.18</v>
      </c>
      <c r="L1569" s="134">
        <f>ROUND(Market_Data[[#This Row],[Estimated Built Up Area (sq m)]]*Market_Data[[#This Row],[Concrete Intensity
(m³ / sq m)]],0)</f>
        <v>5112</v>
      </c>
      <c r="M1569" s="135">
        <f>_xlfn.XLOOKUP(Market_Data[[#This Row],[District]],tbl_district_price[District],tbl_district_price[Standard Price
(INR/m³)],"",0)</f>
        <v>6200</v>
      </c>
      <c r="N1569" s="364">
        <f>IF(OR(Market_Data[[#This Row],[Estimated Concrete Demand (m³)]]="",Market_Data[[#This Row],[Avg Price per (₹ / m³)]]=""),"",Market_Data[[#This Row],[Estimated Concrete Demand (m³)]]*Market_Data[[#This Row],[Avg Price per (₹ / m³)]]/10000000)</f>
        <v>3.1694399999999998</v>
      </c>
      <c r="O1569" s="97" t="str">
        <f>IF(Market_Data[[#This Row],[Estimated Concrete Demand (m³)]]="","",
IF(Market_Data[[#This Row],[Estimated Concrete Demand (m³)]]&lt;10000,"Small",
IF(Market_Data[[#This Row],[Estimated Concrete Demand (m³)]]&lt;25000,"Medium",
IF(Market_Data[[#This Row],[Estimated Concrete Demand (m³)]]&lt;100000,"Large","Mega"))))</f>
        <v>Small</v>
      </c>
      <c r="P1569" s="287" t="str">
        <f t="shared" si="26"/>
        <v>GujRERA</v>
      </c>
    </row>
    <row r="1570" spans="1:16">
      <c r="A1570" s="129" t="str">
        <f>_xlfn.XLOOKUP(B1570,$S$9:$S$14,$T$9:$T$14)&amp;"-"&amp;
IF(E1570="Residential/Group Housing","RES",
IF(E1570="Commercial","COM",
IF(E1570="Mixed Development","MIX",
IF(E1570="Plotted Development","PLT","OTH"))))
&amp;"-"&amp;TEXT(COUNTIFS($B$9:B1570,B1570,$E$9:E1570,E1570),"0000")</f>
        <v>SUR-PLT-0299</v>
      </c>
      <c r="B1570" s="322" t="s">
        <v>34</v>
      </c>
      <c r="C1570" s="322" t="s">
        <v>34</v>
      </c>
      <c r="D1570" s="323" t="s">
        <v>1760</v>
      </c>
      <c r="E1570" s="132" t="s">
        <v>26</v>
      </c>
      <c r="F1570" s="97" t="str">
        <f ca="1">IF(OR(Market_Data[[#This Row],[Start Date]]="",Market_Data[[#This Row],[Completion Date]]=""),"Needs Validation",IF(Market_Data[[#This Row],[Start Date]]&gt;TODAY(),"Planned",IF(Market_Data[[#This Row],[Completion Date]]&lt;TODAY(),"Completed","Ongoing")))</f>
        <v>Completed</v>
      </c>
      <c r="G1570" s="324">
        <v>44894</v>
      </c>
      <c r="H1570" s="324">
        <v>45657</v>
      </c>
      <c r="I1570" s="325">
        <v>42700</v>
      </c>
      <c r="J157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570" s="133">
        <f>_xlfn.XLOOKUP(Market_Data[[#This Row],[Project Type]],tbl_assumptions_market[Project Category (RERA)],tbl_assumptions_market[Concrete Intensity
(m³ / sq m BUA)],"",0)</f>
        <v>0.18</v>
      </c>
      <c r="L1570" s="134">
        <f>ROUND(Market_Data[[#This Row],[Estimated Built Up Area (sq m)]]*Market_Data[[#This Row],[Concrete Intensity
(m³ / sq m)]],0)</f>
        <v>7686</v>
      </c>
      <c r="M1570" s="135">
        <f>_xlfn.XLOOKUP(Market_Data[[#This Row],[District]],tbl_district_price[District],tbl_district_price[Standard Price
(INR/m³)],"",0)</f>
        <v>6200</v>
      </c>
      <c r="N1570" s="364">
        <f>IF(OR(Market_Data[[#This Row],[Estimated Concrete Demand (m³)]]="",Market_Data[[#This Row],[Avg Price per (₹ / m³)]]=""),"",Market_Data[[#This Row],[Estimated Concrete Demand (m³)]]*Market_Data[[#This Row],[Avg Price per (₹ / m³)]]/10000000)</f>
        <v>4.76532</v>
      </c>
      <c r="O1570" s="97" t="str">
        <f>IF(Market_Data[[#This Row],[Estimated Concrete Demand (m³)]]="","",
IF(Market_Data[[#This Row],[Estimated Concrete Demand (m³)]]&lt;10000,"Small",
IF(Market_Data[[#This Row],[Estimated Concrete Demand (m³)]]&lt;25000,"Medium",
IF(Market_Data[[#This Row],[Estimated Concrete Demand (m³)]]&lt;100000,"Large","Mega"))))</f>
        <v>Small</v>
      </c>
      <c r="P1570" s="287" t="str">
        <f t="shared" si="26"/>
        <v>GujRERA</v>
      </c>
    </row>
    <row r="1571" spans="1:16">
      <c r="A1571" s="129" t="str">
        <f>_xlfn.XLOOKUP(B1571,$S$9:$S$14,$T$9:$T$14)&amp;"-"&amp;
IF(E1571="Residential/Group Housing","RES",
IF(E1571="Commercial","COM",
IF(E1571="Mixed Development","MIX",
IF(E1571="Plotted Development","PLT","OTH"))))
&amp;"-"&amp;TEXT(COUNTIFS($B$9:B1571,B1571,$E$9:E1571,E1571),"0000")</f>
        <v>SUR-RES-0475</v>
      </c>
      <c r="B1571" s="322" t="s">
        <v>34</v>
      </c>
      <c r="C1571" s="322" t="s">
        <v>34</v>
      </c>
      <c r="D1571" s="323" t="s">
        <v>1761</v>
      </c>
      <c r="E1571" s="132" t="s">
        <v>24</v>
      </c>
      <c r="F1571" s="97" t="str">
        <f ca="1">IF(OR(Market_Data[[#This Row],[Start Date]]="",Market_Data[[#This Row],[Completion Date]]=""),"Needs Validation",IF(Market_Data[[#This Row],[Start Date]]&gt;TODAY(),"Planned",IF(Market_Data[[#This Row],[Completion Date]]&lt;TODAY(),"Completed","Ongoing")))</f>
        <v>Completed</v>
      </c>
      <c r="G1571" s="324">
        <v>43906</v>
      </c>
      <c r="H1571" s="324">
        <v>45000</v>
      </c>
      <c r="I1571" s="325">
        <v>59400</v>
      </c>
      <c r="J157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71" s="133">
        <f>_xlfn.XLOOKUP(Market_Data[[#This Row],[Project Type]],tbl_assumptions_market[Project Category (RERA)],tbl_assumptions_market[Concrete Intensity
(m³ / sq m BUA)],"",0)</f>
        <v>0.45</v>
      </c>
      <c r="L1571" s="134">
        <f>ROUND(Market_Data[[#This Row],[Estimated Built Up Area (sq m)]]*Market_Data[[#This Row],[Concrete Intensity
(m³ / sq m)]],0)</f>
        <v>26730</v>
      </c>
      <c r="M1571" s="135">
        <f>_xlfn.XLOOKUP(Market_Data[[#This Row],[District]],tbl_district_price[District],tbl_district_price[Standard Price
(INR/m³)],"",0)</f>
        <v>6200</v>
      </c>
      <c r="N1571" s="364">
        <f>IF(OR(Market_Data[[#This Row],[Estimated Concrete Demand (m³)]]="",Market_Data[[#This Row],[Avg Price per (₹ / m³)]]=""),"",Market_Data[[#This Row],[Estimated Concrete Demand (m³)]]*Market_Data[[#This Row],[Avg Price per (₹ / m³)]]/10000000)</f>
        <v>16.572600000000001</v>
      </c>
      <c r="O1571" s="97" t="str">
        <f>IF(Market_Data[[#This Row],[Estimated Concrete Demand (m³)]]="","",
IF(Market_Data[[#This Row],[Estimated Concrete Demand (m³)]]&lt;10000,"Small",
IF(Market_Data[[#This Row],[Estimated Concrete Demand (m³)]]&lt;25000,"Medium",
IF(Market_Data[[#This Row],[Estimated Concrete Demand (m³)]]&lt;100000,"Large","Mega"))))</f>
        <v>Large</v>
      </c>
      <c r="P1571" s="287" t="str">
        <f t="shared" si="26"/>
        <v>GujRERA</v>
      </c>
    </row>
    <row r="1572" spans="1:16">
      <c r="A1572" s="129" t="str">
        <f>_xlfn.XLOOKUP(B1572,$S$9:$S$14,$T$9:$T$14)&amp;"-"&amp;
IF(E1572="Residential/Group Housing","RES",
IF(E1572="Commercial","COM",
IF(E1572="Mixed Development","MIX",
IF(E1572="Plotted Development","PLT","OTH"))))
&amp;"-"&amp;TEXT(COUNTIFS($B$9:B1572,B1572,$E$9:E1572,E1572),"0000")</f>
        <v>SUR-COM-0246</v>
      </c>
      <c r="B1572" s="322" t="s">
        <v>34</v>
      </c>
      <c r="C1572" s="322" t="s">
        <v>34</v>
      </c>
      <c r="D1572" s="323" t="s">
        <v>1762</v>
      </c>
      <c r="E1572" s="132" t="s">
        <v>23</v>
      </c>
      <c r="F1572" s="97" t="str">
        <f ca="1">IF(OR(Market_Data[[#This Row],[Start Date]]="",Market_Data[[#This Row],[Completion Date]]=""),"Needs Validation",IF(Market_Data[[#This Row],[Start Date]]&gt;TODAY(),"Planned",IF(Market_Data[[#This Row],[Completion Date]]&lt;TODAY(),"Completed","Ongoing")))</f>
        <v>Completed</v>
      </c>
      <c r="G1572" s="324">
        <v>43061</v>
      </c>
      <c r="H1572" s="324">
        <v>45565</v>
      </c>
      <c r="I1572" s="325">
        <v>43500</v>
      </c>
      <c r="J157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572" s="133">
        <f>_xlfn.XLOOKUP(Market_Data[[#This Row],[Project Type]],tbl_assumptions_market[Project Category (RERA)],tbl_assumptions_market[Concrete Intensity
(m³ / sq m BUA)],"",0)</f>
        <v>0.5</v>
      </c>
      <c r="L1572" s="134">
        <f>ROUND(Market_Data[[#This Row],[Estimated Built Up Area (sq m)]]*Market_Data[[#This Row],[Concrete Intensity
(m³ / sq m)]],0)</f>
        <v>21750</v>
      </c>
      <c r="M1572" s="135">
        <f>_xlfn.XLOOKUP(Market_Data[[#This Row],[District]],tbl_district_price[District],tbl_district_price[Standard Price
(INR/m³)],"",0)</f>
        <v>6200</v>
      </c>
      <c r="N1572" s="364">
        <f>IF(OR(Market_Data[[#This Row],[Estimated Concrete Demand (m³)]]="",Market_Data[[#This Row],[Avg Price per (₹ / m³)]]=""),"",Market_Data[[#This Row],[Estimated Concrete Demand (m³)]]*Market_Data[[#This Row],[Avg Price per (₹ / m³)]]/10000000)</f>
        <v>13.484999999999999</v>
      </c>
      <c r="O1572" s="97" t="str">
        <f>IF(Market_Data[[#This Row],[Estimated Concrete Demand (m³)]]="","",
IF(Market_Data[[#This Row],[Estimated Concrete Demand (m³)]]&lt;10000,"Small",
IF(Market_Data[[#This Row],[Estimated Concrete Demand (m³)]]&lt;25000,"Medium",
IF(Market_Data[[#This Row],[Estimated Concrete Demand (m³)]]&lt;100000,"Large","Mega"))))</f>
        <v>Medium</v>
      </c>
      <c r="P1572" s="287" t="str">
        <f t="shared" si="26"/>
        <v>GujRERA</v>
      </c>
    </row>
    <row r="1573" spans="1:16">
      <c r="A1573" s="129" t="str">
        <f>_xlfn.XLOOKUP(B1573,$S$9:$S$14,$T$9:$T$14)&amp;"-"&amp;
IF(E1573="Residential/Group Housing","RES",
IF(E1573="Commercial","COM",
IF(E1573="Mixed Development","MIX",
IF(E1573="Plotted Development","PLT","OTH"))))
&amp;"-"&amp;TEXT(COUNTIFS($B$9:B1573,B1573,$E$9:E1573,E1573),"0000")</f>
        <v>SUR-PLT-0300</v>
      </c>
      <c r="B1573" s="322" t="s">
        <v>34</v>
      </c>
      <c r="C1573" s="322" t="s">
        <v>34</v>
      </c>
      <c r="D1573" s="323" t="s">
        <v>1763</v>
      </c>
      <c r="E1573" s="132" t="s">
        <v>26</v>
      </c>
      <c r="F1573" s="97" t="str">
        <f ca="1">IF(OR(Market_Data[[#This Row],[Start Date]]="",Market_Data[[#This Row],[Completion Date]]=""),"Needs Validation",IF(Market_Data[[#This Row],[Start Date]]&gt;TODAY(),"Planned",IF(Market_Data[[#This Row],[Completion Date]]&lt;TODAY(),"Completed","Ongoing")))</f>
        <v>Completed</v>
      </c>
      <c r="G1573" s="324">
        <v>42346</v>
      </c>
      <c r="H1573" s="324">
        <v>44834</v>
      </c>
      <c r="I1573" s="325">
        <v>51700</v>
      </c>
      <c r="J157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573" s="133">
        <f>_xlfn.XLOOKUP(Market_Data[[#This Row],[Project Type]],tbl_assumptions_market[Project Category (RERA)],tbl_assumptions_market[Concrete Intensity
(m³ / sq m BUA)],"",0)</f>
        <v>0.18</v>
      </c>
      <c r="L1573" s="134">
        <f>ROUND(Market_Data[[#This Row],[Estimated Built Up Area (sq m)]]*Market_Data[[#This Row],[Concrete Intensity
(m³ / sq m)]],0)</f>
        <v>9306</v>
      </c>
      <c r="M1573" s="135">
        <f>_xlfn.XLOOKUP(Market_Data[[#This Row],[District]],tbl_district_price[District],tbl_district_price[Standard Price
(INR/m³)],"",0)</f>
        <v>6200</v>
      </c>
      <c r="N1573" s="364">
        <f>IF(OR(Market_Data[[#This Row],[Estimated Concrete Demand (m³)]]="",Market_Data[[#This Row],[Avg Price per (₹ / m³)]]=""),"",Market_Data[[#This Row],[Estimated Concrete Demand (m³)]]*Market_Data[[#This Row],[Avg Price per (₹ / m³)]]/10000000)</f>
        <v>5.7697200000000004</v>
      </c>
      <c r="O1573" s="97" t="str">
        <f>IF(Market_Data[[#This Row],[Estimated Concrete Demand (m³)]]="","",
IF(Market_Data[[#This Row],[Estimated Concrete Demand (m³)]]&lt;10000,"Small",
IF(Market_Data[[#This Row],[Estimated Concrete Demand (m³)]]&lt;25000,"Medium",
IF(Market_Data[[#This Row],[Estimated Concrete Demand (m³)]]&lt;100000,"Large","Mega"))))</f>
        <v>Small</v>
      </c>
      <c r="P1573" s="287" t="str">
        <f t="shared" si="26"/>
        <v>GujRERA</v>
      </c>
    </row>
    <row r="1574" spans="1:16">
      <c r="A1574" s="129" t="str">
        <f>_xlfn.XLOOKUP(B1574,$S$9:$S$14,$T$9:$T$14)&amp;"-"&amp;
IF(E1574="Residential/Group Housing","RES",
IF(E1574="Commercial","COM",
IF(E1574="Mixed Development","MIX",
IF(E1574="Plotted Development","PLT","OTH"))))
&amp;"-"&amp;TEXT(COUNTIFS($B$9:B1574,B1574,$E$9:E1574,E1574),"0000")</f>
        <v>SUR-COM-0247</v>
      </c>
      <c r="B1574" s="322" t="s">
        <v>34</v>
      </c>
      <c r="C1574" s="322" t="s">
        <v>34</v>
      </c>
      <c r="D1574" s="323" t="s">
        <v>1764</v>
      </c>
      <c r="E1574" s="132" t="s">
        <v>23</v>
      </c>
      <c r="F1574" s="97" t="str">
        <f ca="1">IF(OR(Market_Data[[#This Row],[Start Date]]="",Market_Data[[#This Row],[Completion Date]]=""),"Needs Validation",IF(Market_Data[[#This Row],[Start Date]]&gt;TODAY(),"Planned",IF(Market_Data[[#This Row],[Completion Date]]&lt;TODAY(),"Completed","Ongoing")))</f>
        <v>Completed</v>
      </c>
      <c r="G1574" s="324">
        <v>42552</v>
      </c>
      <c r="H1574" s="324">
        <v>44104</v>
      </c>
      <c r="I1574" s="325">
        <v>46400</v>
      </c>
      <c r="J157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574" s="133">
        <f>_xlfn.XLOOKUP(Market_Data[[#This Row],[Project Type]],tbl_assumptions_market[Project Category (RERA)],tbl_assumptions_market[Concrete Intensity
(m³ / sq m BUA)],"",0)</f>
        <v>0.5</v>
      </c>
      <c r="L1574" s="134">
        <f>ROUND(Market_Data[[#This Row],[Estimated Built Up Area (sq m)]]*Market_Data[[#This Row],[Concrete Intensity
(m³ / sq m)]],0)</f>
        <v>23200</v>
      </c>
      <c r="M1574" s="135">
        <f>_xlfn.XLOOKUP(Market_Data[[#This Row],[District]],tbl_district_price[District],tbl_district_price[Standard Price
(INR/m³)],"",0)</f>
        <v>6200</v>
      </c>
      <c r="N1574" s="364">
        <f>IF(OR(Market_Data[[#This Row],[Estimated Concrete Demand (m³)]]="",Market_Data[[#This Row],[Avg Price per (₹ / m³)]]=""),"",Market_Data[[#This Row],[Estimated Concrete Demand (m³)]]*Market_Data[[#This Row],[Avg Price per (₹ / m³)]]/10000000)</f>
        <v>14.384</v>
      </c>
      <c r="O1574" s="97" t="str">
        <f>IF(Market_Data[[#This Row],[Estimated Concrete Demand (m³)]]="","",
IF(Market_Data[[#This Row],[Estimated Concrete Demand (m³)]]&lt;10000,"Small",
IF(Market_Data[[#This Row],[Estimated Concrete Demand (m³)]]&lt;25000,"Medium",
IF(Market_Data[[#This Row],[Estimated Concrete Demand (m³)]]&lt;100000,"Large","Mega"))))</f>
        <v>Medium</v>
      </c>
      <c r="P1574" s="287" t="str">
        <f t="shared" si="26"/>
        <v>GujRERA</v>
      </c>
    </row>
    <row r="1575" spans="1:16">
      <c r="A1575" s="129" t="str">
        <f>_xlfn.XLOOKUP(B1575,$S$9:$S$14,$T$9:$T$14)&amp;"-"&amp;
IF(E1575="Residential/Group Housing","RES",
IF(E1575="Commercial","COM",
IF(E1575="Mixed Development","MIX",
IF(E1575="Plotted Development","PLT","OTH"))))
&amp;"-"&amp;TEXT(COUNTIFS($B$9:B1575,B1575,$E$9:E1575,E1575),"0000")</f>
        <v>SUR-MIX-0235</v>
      </c>
      <c r="B1575" s="322" t="s">
        <v>34</v>
      </c>
      <c r="C1575" s="322" t="s">
        <v>34</v>
      </c>
      <c r="D1575" s="323" t="s">
        <v>1765</v>
      </c>
      <c r="E1575" s="132" t="s">
        <v>25</v>
      </c>
      <c r="F1575" s="97" t="str">
        <f ca="1">IF(OR(Market_Data[[#This Row],[Start Date]]="",Market_Data[[#This Row],[Completion Date]]=""),"Needs Validation",IF(Market_Data[[#This Row],[Start Date]]&gt;TODAY(),"Planned",IF(Market_Data[[#This Row],[Completion Date]]&lt;TODAY(),"Completed","Ongoing")))</f>
        <v>Ongoing</v>
      </c>
      <c r="G1575" s="324">
        <v>45352</v>
      </c>
      <c r="H1575" s="324">
        <v>47483</v>
      </c>
      <c r="I1575" s="325">
        <v>42200</v>
      </c>
      <c r="J157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75" s="133">
        <f>_xlfn.XLOOKUP(Market_Data[[#This Row],[Project Type]],tbl_assumptions_market[Project Category (RERA)],tbl_assumptions_market[Concrete Intensity
(m³ / sq m BUA)],"",0)</f>
        <v>0.42</v>
      </c>
      <c r="L1575" s="134">
        <f>ROUND(Market_Data[[#This Row],[Estimated Built Up Area (sq m)]]*Market_Data[[#This Row],[Concrete Intensity
(m³ / sq m)]],0)</f>
        <v>17724</v>
      </c>
      <c r="M1575" s="135">
        <f>_xlfn.XLOOKUP(Market_Data[[#This Row],[District]],tbl_district_price[District],tbl_district_price[Standard Price
(INR/m³)],"",0)</f>
        <v>6200</v>
      </c>
      <c r="N1575" s="364">
        <f>IF(OR(Market_Data[[#This Row],[Estimated Concrete Demand (m³)]]="",Market_Data[[#This Row],[Avg Price per (₹ / m³)]]=""),"",Market_Data[[#This Row],[Estimated Concrete Demand (m³)]]*Market_Data[[#This Row],[Avg Price per (₹ / m³)]]/10000000)</f>
        <v>10.98888</v>
      </c>
      <c r="O1575" s="97" t="str">
        <f>IF(Market_Data[[#This Row],[Estimated Concrete Demand (m³)]]="","",
IF(Market_Data[[#This Row],[Estimated Concrete Demand (m³)]]&lt;10000,"Small",
IF(Market_Data[[#This Row],[Estimated Concrete Demand (m³)]]&lt;25000,"Medium",
IF(Market_Data[[#This Row],[Estimated Concrete Demand (m³)]]&lt;100000,"Large","Mega"))))</f>
        <v>Medium</v>
      </c>
      <c r="P1575" s="287" t="str">
        <f t="shared" si="26"/>
        <v>GujRERA</v>
      </c>
    </row>
    <row r="1576" spans="1:16">
      <c r="A1576" s="129" t="str">
        <f>_xlfn.XLOOKUP(B1576,$S$9:$S$14,$T$9:$T$14)&amp;"-"&amp;
IF(E1576="Residential/Group Housing","RES",
IF(E1576="Commercial","COM",
IF(E1576="Mixed Development","MIX",
IF(E1576="Plotted Development","PLT","OTH"))))
&amp;"-"&amp;TEXT(COUNTIFS($B$9:B1576,B1576,$E$9:E1576,E1576),"0000")</f>
        <v>SUR-MIX-0236</v>
      </c>
      <c r="B1576" s="322" t="s">
        <v>34</v>
      </c>
      <c r="C1576" s="322" t="s">
        <v>34</v>
      </c>
      <c r="D1576" s="323" t="s">
        <v>1766</v>
      </c>
      <c r="E1576" s="132" t="s">
        <v>25</v>
      </c>
      <c r="F1576" s="97" t="str">
        <f ca="1">IF(OR(Market_Data[[#This Row],[Start Date]]="",Market_Data[[#This Row],[Completion Date]]=""),"Needs Validation",IF(Market_Data[[#This Row],[Start Date]]&gt;TODAY(),"Planned",IF(Market_Data[[#This Row],[Completion Date]]&lt;TODAY(),"Completed","Ongoing")))</f>
        <v>Ongoing</v>
      </c>
      <c r="G1576" s="324">
        <v>44986</v>
      </c>
      <c r="H1576" s="324">
        <v>46843</v>
      </c>
      <c r="I1576" s="325">
        <v>15200</v>
      </c>
      <c r="J157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76" s="133">
        <f>_xlfn.XLOOKUP(Market_Data[[#This Row],[Project Type]],tbl_assumptions_market[Project Category (RERA)],tbl_assumptions_market[Concrete Intensity
(m³ / sq m BUA)],"",0)</f>
        <v>0.42</v>
      </c>
      <c r="L1576" s="134">
        <f>ROUND(Market_Data[[#This Row],[Estimated Built Up Area (sq m)]]*Market_Data[[#This Row],[Concrete Intensity
(m³ / sq m)]],0)</f>
        <v>6384</v>
      </c>
      <c r="M1576" s="135">
        <f>_xlfn.XLOOKUP(Market_Data[[#This Row],[District]],tbl_district_price[District],tbl_district_price[Standard Price
(INR/m³)],"",0)</f>
        <v>6200</v>
      </c>
      <c r="N1576" s="364">
        <f>IF(OR(Market_Data[[#This Row],[Estimated Concrete Demand (m³)]]="",Market_Data[[#This Row],[Avg Price per (₹ / m³)]]=""),"",Market_Data[[#This Row],[Estimated Concrete Demand (m³)]]*Market_Data[[#This Row],[Avg Price per (₹ / m³)]]/10000000)</f>
        <v>3.9580799999999998</v>
      </c>
      <c r="O1576" s="97" t="str">
        <f>IF(Market_Data[[#This Row],[Estimated Concrete Demand (m³)]]="","",
IF(Market_Data[[#This Row],[Estimated Concrete Demand (m³)]]&lt;10000,"Small",
IF(Market_Data[[#This Row],[Estimated Concrete Demand (m³)]]&lt;25000,"Medium",
IF(Market_Data[[#This Row],[Estimated Concrete Demand (m³)]]&lt;100000,"Large","Mega"))))</f>
        <v>Small</v>
      </c>
      <c r="P1576" s="287" t="str">
        <f t="shared" si="26"/>
        <v>GujRERA</v>
      </c>
    </row>
    <row r="1577" spans="1:16">
      <c r="A1577" s="129" t="str">
        <f>_xlfn.XLOOKUP(B1577,$S$9:$S$14,$T$9:$T$14)&amp;"-"&amp;
IF(E1577="Residential/Group Housing","RES",
IF(E1577="Commercial","COM",
IF(E1577="Mixed Development","MIX",
IF(E1577="Plotted Development","PLT","OTH"))))
&amp;"-"&amp;TEXT(COUNTIFS($B$9:B1577,B1577,$E$9:E1577,E1577),"0000")</f>
        <v>SUR-MIX-0237</v>
      </c>
      <c r="B1577" s="322" t="s">
        <v>34</v>
      </c>
      <c r="C1577" s="322" t="s">
        <v>34</v>
      </c>
      <c r="D1577" s="323" t="s">
        <v>1767</v>
      </c>
      <c r="E1577" s="132" t="s">
        <v>25</v>
      </c>
      <c r="F1577" s="97" t="str">
        <f ca="1">IF(OR(Market_Data[[#This Row],[Start Date]]="",Market_Data[[#This Row],[Completion Date]]=""),"Needs Validation",IF(Market_Data[[#This Row],[Start Date]]&gt;TODAY(),"Planned",IF(Market_Data[[#This Row],[Completion Date]]&lt;TODAY(),"Completed","Ongoing")))</f>
        <v>Ongoing</v>
      </c>
      <c r="G1577" s="324">
        <v>44621</v>
      </c>
      <c r="H1577" s="324">
        <v>46446</v>
      </c>
      <c r="I1577" s="325">
        <v>9600</v>
      </c>
      <c r="J157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577" s="133">
        <f>_xlfn.XLOOKUP(Market_Data[[#This Row],[Project Type]],tbl_assumptions_market[Project Category (RERA)],tbl_assumptions_market[Concrete Intensity
(m³ / sq m BUA)],"",0)</f>
        <v>0.42</v>
      </c>
      <c r="L1577" s="134">
        <f>ROUND(Market_Data[[#This Row],[Estimated Built Up Area (sq m)]]*Market_Data[[#This Row],[Concrete Intensity
(m³ / sq m)]],0)</f>
        <v>4032</v>
      </c>
      <c r="M1577" s="135">
        <f>_xlfn.XLOOKUP(Market_Data[[#This Row],[District]],tbl_district_price[District],tbl_district_price[Standard Price
(INR/m³)],"",0)</f>
        <v>6200</v>
      </c>
      <c r="N1577" s="364">
        <f>IF(OR(Market_Data[[#This Row],[Estimated Concrete Demand (m³)]]="",Market_Data[[#This Row],[Avg Price per (₹ / m³)]]=""),"",Market_Data[[#This Row],[Estimated Concrete Demand (m³)]]*Market_Data[[#This Row],[Avg Price per (₹ / m³)]]/10000000)</f>
        <v>2.4998399999999998</v>
      </c>
      <c r="O1577" s="97" t="str">
        <f>IF(Market_Data[[#This Row],[Estimated Concrete Demand (m³)]]="","",
IF(Market_Data[[#This Row],[Estimated Concrete Demand (m³)]]&lt;10000,"Small",
IF(Market_Data[[#This Row],[Estimated Concrete Demand (m³)]]&lt;25000,"Medium",
IF(Market_Data[[#This Row],[Estimated Concrete Demand (m³)]]&lt;100000,"Large","Mega"))))</f>
        <v>Small</v>
      </c>
      <c r="P1577" s="287" t="str">
        <f t="shared" si="26"/>
        <v>GujRERA</v>
      </c>
    </row>
    <row r="1578" spans="1:16">
      <c r="A1578" s="129" t="str">
        <f>_xlfn.XLOOKUP(B1578,$S$9:$S$14,$T$9:$T$14)&amp;"-"&amp;
IF(E1578="Residential/Group Housing","RES",
IF(E1578="Commercial","COM",
IF(E1578="Mixed Development","MIX",
IF(E1578="Plotted Development","PLT","OTH"))))
&amp;"-"&amp;TEXT(COUNTIFS($B$9:B1578,B1578,$E$9:E1578,E1578),"0000")</f>
        <v>SUR-MIX-0238</v>
      </c>
      <c r="B1578" s="322" t="s">
        <v>34</v>
      </c>
      <c r="C1578" s="322" t="s">
        <v>34</v>
      </c>
      <c r="D1578" s="323" t="s">
        <v>1768</v>
      </c>
      <c r="E1578" s="132" t="s">
        <v>25</v>
      </c>
      <c r="F1578" s="97" t="str">
        <f ca="1">IF(OR(Market_Data[[#This Row],[Start Date]]="",Market_Data[[#This Row],[Completion Date]]=""),"Needs Validation",IF(Market_Data[[#This Row],[Start Date]]&gt;TODAY(),"Planned",IF(Market_Data[[#This Row],[Completion Date]]&lt;TODAY(),"Completed","Ongoing")))</f>
        <v>Completed</v>
      </c>
      <c r="G1578" s="324">
        <v>43206</v>
      </c>
      <c r="H1578" s="324">
        <v>45838</v>
      </c>
      <c r="I1578" s="325">
        <v>37200</v>
      </c>
      <c r="J157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78" s="133">
        <f>_xlfn.XLOOKUP(Market_Data[[#This Row],[Project Type]],tbl_assumptions_market[Project Category (RERA)],tbl_assumptions_market[Concrete Intensity
(m³ / sq m BUA)],"",0)</f>
        <v>0.42</v>
      </c>
      <c r="L1578" s="134">
        <f>ROUND(Market_Data[[#This Row],[Estimated Built Up Area (sq m)]]*Market_Data[[#This Row],[Concrete Intensity
(m³ / sq m)]],0)</f>
        <v>15624</v>
      </c>
      <c r="M1578" s="135">
        <f>_xlfn.XLOOKUP(Market_Data[[#This Row],[District]],tbl_district_price[District],tbl_district_price[Standard Price
(INR/m³)],"",0)</f>
        <v>6200</v>
      </c>
      <c r="N1578" s="364">
        <f>IF(OR(Market_Data[[#This Row],[Estimated Concrete Demand (m³)]]="",Market_Data[[#This Row],[Avg Price per (₹ / m³)]]=""),"",Market_Data[[#This Row],[Estimated Concrete Demand (m³)]]*Market_Data[[#This Row],[Avg Price per (₹ / m³)]]/10000000)</f>
        <v>9.6868800000000004</v>
      </c>
      <c r="O1578" s="97" t="str">
        <f>IF(Market_Data[[#This Row],[Estimated Concrete Demand (m³)]]="","",
IF(Market_Data[[#This Row],[Estimated Concrete Demand (m³)]]&lt;10000,"Small",
IF(Market_Data[[#This Row],[Estimated Concrete Demand (m³)]]&lt;25000,"Medium",
IF(Market_Data[[#This Row],[Estimated Concrete Demand (m³)]]&lt;100000,"Large","Mega"))))</f>
        <v>Medium</v>
      </c>
      <c r="P1578" s="287" t="str">
        <f t="shared" si="26"/>
        <v>GujRERA</v>
      </c>
    </row>
    <row r="1579" spans="1:16">
      <c r="A1579" s="129" t="str">
        <f>_xlfn.XLOOKUP(B1579,$S$9:$S$14,$T$9:$T$14)&amp;"-"&amp;
IF(E1579="Residential/Group Housing","RES",
IF(E1579="Commercial","COM",
IF(E1579="Mixed Development","MIX",
IF(E1579="Plotted Development","PLT","OTH"))))
&amp;"-"&amp;TEXT(COUNTIFS($B$9:B1579,B1579,$E$9:E1579,E1579),"0000")</f>
        <v>SUR-COM-0248</v>
      </c>
      <c r="B1579" s="322" t="s">
        <v>34</v>
      </c>
      <c r="C1579" s="322" t="s">
        <v>34</v>
      </c>
      <c r="D1579" s="323" t="s">
        <v>1769</v>
      </c>
      <c r="E1579" s="132" t="s">
        <v>23</v>
      </c>
      <c r="F1579" s="97" t="str">
        <f ca="1">IF(OR(Market_Data[[#This Row],[Start Date]]="",Market_Data[[#This Row],[Completion Date]]=""),"Needs Validation",IF(Market_Data[[#This Row],[Start Date]]&gt;TODAY(),"Planned",IF(Market_Data[[#This Row],[Completion Date]]&lt;TODAY(),"Completed","Ongoing")))</f>
        <v>Completed</v>
      </c>
      <c r="G1579" s="324">
        <v>42186</v>
      </c>
      <c r="H1579" s="324">
        <v>44377</v>
      </c>
      <c r="I1579" s="325">
        <v>27300</v>
      </c>
      <c r="J157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579" s="133">
        <f>_xlfn.XLOOKUP(Market_Data[[#This Row],[Project Type]],tbl_assumptions_market[Project Category (RERA)],tbl_assumptions_market[Concrete Intensity
(m³ / sq m BUA)],"",0)</f>
        <v>0.5</v>
      </c>
      <c r="L1579" s="134">
        <f>ROUND(Market_Data[[#This Row],[Estimated Built Up Area (sq m)]]*Market_Data[[#This Row],[Concrete Intensity
(m³ / sq m)]],0)</f>
        <v>13650</v>
      </c>
      <c r="M1579" s="135">
        <f>_xlfn.XLOOKUP(Market_Data[[#This Row],[District]],tbl_district_price[District],tbl_district_price[Standard Price
(INR/m³)],"",0)</f>
        <v>6200</v>
      </c>
      <c r="N1579" s="364">
        <f>IF(OR(Market_Data[[#This Row],[Estimated Concrete Demand (m³)]]="",Market_Data[[#This Row],[Avg Price per (₹ / m³)]]=""),"",Market_Data[[#This Row],[Estimated Concrete Demand (m³)]]*Market_Data[[#This Row],[Avg Price per (₹ / m³)]]/10000000)</f>
        <v>8.4629999999999992</v>
      </c>
      <c r="O1579" s="97" t="str">
        <f>IF(Market_Data[[#This Row],[Estimated Concrete Demand (m³)]]="","",
IF(Market_Data[[#This Row],[Estimated Concrete Demand (m³)]]&lt;10000,"Small",
IF(Market_Data[[#This Row],[Estimated Concrete Demand (m³)]]&lt;25000,"Medium",
IF(Market_Data[[#This Row],[Estimated Concrete Demand (m³)]]&lt;100000,"Large","Mega"))))</f>
        <v>Medium</v>
      </c>
      <c r="P1579" s="287" t="str">
        <f t="shared" si="26"/>
        <v>GujRERA</v>
      </c>
    </row>
    <row r="1580" spans="1:16">
      <c r="A1580" s="129" t="str">
        <f>_xlfn.XLOOKUP(B1580,$S$9:$S$14,$T$9:$T$14)&amp;"-"&amp;
IF(E1580="Residential/Group Housing","RES",
IF(E1580="Commercial","COM",
IF(E1580="Mixed Development","MIX",
IF(E1580="Plotted Development","PLT","OTH"))))
&amp;"-"&amp;TEXT(COUNTIFS($B$9:B1580,B1580,$E$9:E1580,E1580),"0000")</f>
        <v>SUR-MIX-0239</v>
      </c>
      <c r="B1580" s="322" t="s">
        <v>34</v>
      </c>
      <c r="C1580" s="322" t="s">
        <v>34</v>
      </c>
      <c r="D1580" s="323" t="s">
        <v>1770</v>
      </c>
      <c r="E1580" s="132" t="s">
        <v>25</v>
      </c>
      <c r="F1580" s="97" t="str">
        <f ca="1">IF(OR(Market_Data[[#This Row],[Start Date]]="",Market_Data[[#This Row],[Completion Date]]=""),"Needs Validation",IF(Market_Data[[#This Row],[Start Date]]&gt;TODAY(),"Planned",IF(Market_Data[[#This Row],[Completion Date]]&lt;TODAY(),"Completed","Ongoing")))</f>
        <v>Ongoing</v>
      </c>
      <c r="G1580" s="324">
        <v>45111</v>
      </c>
      <c r="H1580" s="324">
        <v>47026</v>
      </c>
      <c r="I1580" s="325">
        <v>23700</v>
      </c>
      <c r="J158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80" s="133">
        <f>_xlfn.XLOOKUP(Market_Data[[#This Row],[Project Type]],tbl_assumptions_market[Project Category (RERA)],tbl_assumptions_market[Concrete Intensity
(m³ / sq m BUA)],"",0)</f>
        <v>0.42</v>
      </c>
      <c r="L1580" s="134">
        <f>ROUND(Market_Data[[#This Row],[Estimated Built Up Area (sq m)]]*Market_Data[[#This Row],[Concrete Intensity
(m³ / sq m)]],0)</f>
        <v>9954</v>
      </c>
      <c r="M1580" s="135">
        <f>_xlfn.XLOOKUP(Market_Data[[#This Row],[District]],tbl_district_price[District],tbl_district_price[Standard Price
(INR/m³)],"",0)</f>
        <v>6200</v>
      </c>
      <c r="N1580" s="364">
        <f>IF(OR(Market_Data[[#This Row],[Estimated Concrete Demand (m³)]]="",Market_Data[[#This Row],[Avg Price per (₹ / m³)]]=""),"",Market_Data[[#This Row],[Estimated Concrete Demand (m³)]]*Market_Data[[#This Row],[Avg Price per (₹ / m³)]]/10000000)</f>
        <v>6.1714799999999999</v>
      </c>
      <c r="O1580" s="97" t="str">
        <f>IF(Market_Data[[#This Row],[Estimated Concrete Demand (m³)]]="","",
IF(Market_Data[[#This Row],[Estimated Concrete Demand (m³)]]&lt;10000,"Small",
IF(Market_Data[[#This Row],[Estimated Concrete Demand (m³)]]&lt;25000,"Medium",
IF(Market_Data[[#This Row],[Estimated Concrete Demand (m³)]]&lt;100000,"Large","Mega"))))</f>
        <v>Small</v>
      </c>
      <c r="P1580" s="287" t="str">
        <f t="shared" si="26"/>
        <v>GujRERA</v>
      </c>
    </row>
    <row r="1581" spans="1:16">
      <c r="A1581" s="129" t="str">
        <f>_xlfn.XLOOKUP(B1581,$S$9:$S$14,$T$9:$T$14)&amp;"-"&amp;
IF(E1581="Residential/Group Housing","RES",
IF(E1581="Commercial","COM",
IF(E1581="Mixed Development","MIX",
IF(E1581="Plotted Development","PLT","OTH"))))
&amp;"-"&amp;TEXT(COUNTIFS($B$9:B1581,B1581,$E$9:E1581,E1581),"0000")</f>
        <v>SUR-PLT-0301</v>
      </c>
      <c r="B1581" s="322" t="s">
        <v>34</v>
      </c>
      <c r="C1581" s="322" t="s">
        <v>34</v>
      </c>
      <c r="D1581" s="323" t="s">
        <v>1771</v>
      </c>
      <c r="E1581" s="132" t="s">
        <v>26</v>
      </c>
      <c r="F1581" s="97" t="str">
        <f ca="1">IF(OR(Market_Data[[#This Row],[Start Date]]="",Market_Data[[#This Row],[Completion Date]]=""),"Needs Validation",IF(Market_Data[[#This Row],[Start Date]]&gt;TODAY(),"Planned",IF(Market_Data[[#This Row],[Completion Date]]&lt;TODAY(),"Completed","Ongoing")))</f>
        <v>Ongoing</v>
      </c>
      <c r="G1581" s="324">
        <v>45868</v>
      </c>
      <c r="H1581" s="324">
        <v>47118</v>
      </c>
      <c r="I1581" s="325">
        <v>20000</v>
      </c>
      <c r="J158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81" s="133">
        <f>_xlfn.XLOOKUP(Market_Data[[#This Row],[Project Type]],tbl_assumptions_market[Project Category (RERA)],tbl_assumptions_market[Concrete Intensity
(m³ / sq m BUA)],"",0)</f>
        <v>0.18</v>
      </c>
      <c r="L1581" s="134">
        <f>ROUND(Market_Data[[#This Row],[Estimated Built Up Area (sq m)]]*Market_Data[[#This Row],[Concrete Intensity
(m³ / sq m)]],0)</f>
        <v>3600</v>
      </c>
      <c r="M1581" s="135">
        <f>_xlfn.XLOOKUP(Market_Data[[#This Row],[District]],tbl_district_price[District],tbl_district_price[Standard Price
(INR/m³)],"",0)</f>
        <v>6200</v>
      </c>
      <c r="N1581" s="364">
        <f>IF(OR(Market_Data[[#This Row],[Estimated Concrete Demand (m³)]]="",Market_Data[[#This Row],[Avg Price per (₹ / m³)]]=""),"",Market_Data[[#This Row],[Estimated Concrete Demand (m³)]]*Market_Data[[#This Row],[Avg Price per (₹ / m³)]]/10000000)</f>
        <v>2.2320000000000002</v>
      </c>
      <c r="O1581" s="97" t="str">
        <f>IF(Market_Data[[#This Row],[Estimated Concrete Demand (m³)]]="","",
IF(Market_Data[[#This Row],[Estimated Concrete Demand (m³)]]&lt;10000,"Small",
IF(Market_Data[[#This Row],[Estimated Concrete Demand (m³)]]&lt;25000,"Medium",
IF(Market_Data[[#This Row],[Estimated Concrete Demand (m³)]]&lt;100000,"Large","Mega"))))</f>
        <v>Small</v>
      </c>
      <c r="P1581" s="287" t="str">
        <f t="shared" si="26"/>
        <v>GujRERA</v>
      </c>
    </row>
    <row r="1582" spans="1:16">
      <c r="A1582" s="129" t="str">
        <f>_xlfn.XLOOKUP(B1582,$S$9:$S$14,$T$9:$T$14)&amp;"-"&amp;
IF(E1582="Residential/Group Housing","RES",
IF(E1582="Commercial","COM",
IF(E1582="Mixed Development","MIX",
IF(E1582="Plotted Development","PLT","OTH"))))
&amp;"-"&amp;TEXT(COUNTIFS($B$9:B1582,B1582,$E$9:E1582,E1582),"0000")</f>
        <v>SUR-RES-0476</v>
      </c>
      <c r="B1582" s="322" t="s">
        <v>34</v>
      </c>
      <c r="C1582" s="322" t="s">
        <v>34</v>
      </c>
      <c r="D1582" s="323" t="s">
        <v>1772</v>
      </c>
      <c r="E1582" s="132" t="s">
        <v>24</v>
      </c>
      <c r="F1582" s="97" t="str">
        <f ca="1">IF(OR(Market_Data[[#This Row],[Start Date]]="",Market_Data[[#This Row],[Completion Date]]=""),"Needs Validation",IF(Market_Data[[#This Row],[Start Date]]&gt;TODAY(),"Planned",IF(Market_Data[[#This Row],[Completion Date]]&lt;TODAY(),"Completed","Ongoing")))</f>
        <v>Completed</v>
      </c>
      <c r="G1582" s="324">
        <v>43191</v>
      </c>
      <c r="H1582" s="324">
        <v>44835</v>
      </c>
      <c r="I1582" s="325">
        <v>12600</v>
      </c>
      <c r="J158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82" s="133">
        <f>_xlfn.XLOOKUP(Market_Data[[#This Row],[Project Type]],tbl_assumptions_market[Project Category (RERA)],tbl_assumptions_market[Concrete Intensity
(m³ / sq m BUA)],"",0)</f>
        <v>0.45</v>
      </c>
      <c r="L1582" s="134">
        <f>ROUND(Market_Data[[#This Row],[Estimated Built Up Area (sq m)]]*Market_Data[[#This Row],[Concrete Intensity
(m³ / sq m)]],0)</f>
        <v>5670</v>
      </c>
      <c r="M1582" s="135">
        <f>_xlfn.XLOOKUP(Market_Data[[#This Row],[District]],tbl_district_price[District],tbl_district_price[Standard Price
(INR/m³)],"",0)</f>
        <v>6200</v>
      </c>
      <c r="N1582" s="364">
        <f>IF(OR(Market_Data[[#This Row],[Estimated Concrete Demand (m³)]]="",Market_Data[[#This Row],[Avg Price per (₹ / m³)]]=""),"",Market_Data[[#This Row],[Estimated Concrete Demand (m³)]]*Market_Data[[#This Row],[Avg Price per (₹ / m³)]]/10000000)</f>
        <v>3.5154000000000001</v>
      </c>
      <c r="O1582" s="97" t="str">
        <f>IF(Market_Data[[#This Row],[Estimated Concrete Demand (m³)]]="","",
IF(Market_Data[[#This Row],[Estimated Concrete Demand (m³)]]&lt;10000,"Small",
IF(Market_Data[[#This Row],[Estimated Concrete Demand (m³)]]&lt;25000,"Medium",
IF(Market_Data[[#This Row],[Estimated Concrete Demand (m³)]]&lt;100000,"Large","Mega"))))</f>
        <v>Small</v>
      </c>
      <c r="P1582" s="287" t="str">
        <f t="shared" si="26"/>
        <v>GujRERA</v>
      </c>
    </row>
    <row r="1583" spans="1:16">
      <c r="A1583" s="129" t="str">
        <f>_xlfn.XLOOKUP(B1583,$S$9:$S$14,$T$9:$T$14)&amp;"-"&amp;
IF(E1583="Residential/Group Housing","RES",
IF(E1583="Commercial","COM",
IF(E1583="Mixed Development","MIX",
IF(E1583="Plotted Development","PLT","OTH"))))
&amp;"-"&amp;TEXT(COUNTIFS($B$9:B1583,B1583,$E$9:E1583,E1583),"0000")</f>
        <v>SUR-RES-0477</v>
      </c>
      <c r="B1583" s="322" t="s">
        <v>34</v>
      </c>
      <c r="C1583" s="322" t="s">
        <v>34</v>
      </c>
      <c r="D1583" s="323" t="s">
        <v>1773</v>
      </c>
      <c r="E1583" s="132" t="s">
        <v>24</v>
      </c>
      <c r="F1583" s="97" t="str">
        <f ca="1">IF(OR(Market_Data[[#This Row],[Start Date]]="",Market_Data[[#This Row],[Completion Date]]=""),"Needs Validation",IF(Market_Data[[#This Row],[Start Date]]&gt;TODAY(),"Planned",IF(Market_Data[[#This Row],[Completion Date]]&lt;TODAY(),"Completed","Ongoing")))</f>
        <v>Completed</v>
      </c>
      <c r="G1583" s="324">
        <v>43191</v>
      </c>
      <c r="H1583" s="324">
        <v>44742</v>
      </c>
      <c r="I1583" s="325">
        <v>58900</v>
      </c>
      <c r="J158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83" s="133">
        <f>_xlfn.XLOOKUP(Market_Data[[#This Row],[Project Type]],tbl_assumptions_market[Project Category (RERA)],tbl_assumptions_market[Concrete Intensity
(m³ / sq m BUA)],"",0)</f>
        <v>0.45</v>
      </c>
      <c r="L1583" s="134">
        <f>ROUND(Market_Data[[#This Row],[Estimated Built Up Area (sq m)]]*Market_Data[[#This Row],[Concrete Intensity
(m³ / sq m)]],0)</f>
        <v>26505</v>
      </c>
      <c r="M1583" s="135">
        <f>_xlfn.XLOOKUP(Market_Data[[#This Row],[District]],tbl_district_price[District],tbl_district_price[Standard Price
(INR/m³)],"",0)</f>
        <v>6200</v>
      </c>
      <c r="N1583" s="364">
        <f>IF(OR(Market_Data[[#This Row],[Estimated Concrete Demand (m³)]]="",Market_Data[[#This Row],[Avg Price per (₹ / m³)]]=""),"",Market_Data[[#This Row],[Estimated Concrete Demand (m³)]]*Market_Data[[#This Row],[Avg Price per (₹ / m³)]]/10000000)</f>
        <v>16.4331</v>
      </c>
      <c r="O1583" s="97" t="str">
        <f>IF(Market_Data[[#This Row],[Estimated Concrete Demand (m³)]]="","",
IF(Market_Data[[#This Row],[Estimated Concrete Demand (m³)]]&lt;10000,"Small",
IF(Market_Data[[#This Row],[Estimated Concrete Demand (m³)]]&lt;25000,"Medium",
IF(Market_Data[[#This Row],[Estimated Concrete Demand (m³)]]&lt;100000,"Large","Mega"))))</f>
        <v>Large</v>
      </c>
      <c r="P1583" s="287" t="str">
        <f t="shared" si="26"/>
        <v>GujRERA</v>
      </c>
    </row>
    <row r="1584" spans="1:16">
      <c r="A1584" s="129" t="str">
        <f>_xlfn.XLOOKUP(B1584,$S$9:$S$14,$T$9:$T$14)&amp;"-"&amp;
IF(E1584="Residential/Group Housing","RES",
IF(E1584="Commercial","COM",
IF(E1584="Mixed Development","MIX",
IF(E1584="Plotted Development","PLT","OTH"))))
&amp;"-"&amp;TEXT(COUNTIFS($B$9:B1584,B1584,$E$9:E1584,E1584),"0000")</f>
        <v>SUR-RES-0478</v>
      </c>
      <c r="B1584" s="322" t="s">
        <v>34</v>
      </c>
      <c r="C1584" s="322" t="s">
        <v>34</v>
      </c>
      <c r="D1584" s="323" t="s">
        <v>1774</v>
      </c>
      <c r="E1584" s="132" t="s">
        <v>24</v>
      </c>
      <c r="F1584" s="97" t="str">
        <f ca="1">IF(OR(Market_Data[[#This Row],[Start Date]]="",Market_Data[[#This Row],[Completion Date]]=""),"Needs Validation",IF(Market_Data[[#This Row],[Start Date]]&gt;TODAY(),"Planned",IF(Market_Data[[#This Row],[Completion Date]]&lt;TODAY(),"Completed","Ongoing")))</f>
        <v>Completed</v>
      </c>
      <c r="G1584" s="324">
        <v>43544</v>
      </c>
      <c r="H1584" s="324">
        <v>45473</v>
      </c>
      <c r="I1584" s="325">
        <v>54400</v>
      </c>
      <c r="J158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84" s="133">
        <f>_xlfn.XLOOKUP(Market_Data[[#This Row],[Project Type]],tbl_assumptions_market[Project Category (RERA)],tbl_assumptions_market[Concrete Intensity
(m³ / sq m BUA)],"",0)</f>
        <v>0.45</v>
      </c>
      <c r="L1584" s="134">
        <f>ROUND(Market_Data[[#This Row],[Estimated Built Up Area (sq m)]]*Market_Data[[#This Row],[Concrete Intensity
(m³ / sq m)]],0)</f>
        <v>24480</v>
      </c>
      <c r="M1584" s="135">
        <f>_xlfn.XLOOKUP(Market_Data[[#This Row],[District]],tbl_district_price[District],tbl_district_price[Standard Price
(INR/m³)],"",0)</f>
        <v>6200</v>
      </c>
      <c r="N1584" s="364">
        <f>IF(OR(Market_Data[[#This Row],[Estimated Concrete Demand (m³)]]="",Market_Data[[#This Row],[Avg Price per (₹ / m³)]]=""),"",Market_Data[[#This Row],[Estimated Concrete Demand (m³)]]*Market_Data[[#This Row],[Avg Price per (₹ / m³)]]/10000000)</f>
        <v>15.1776</v>
      </c>
      <c r="O1584" s="97" t="str">
        <f>IF(Market_Data[[#This Row],[Estimated Concrete Demand (m³)]]="","",
IF(Market_Data[[#This Row],[Estimated Concrete Demand (m³)]]&lt;10000,"Small",
IF(Market_Data[[#This Row],[Estimated Concrete Demand (m³)]]&lt;25000,"Medium",
IF(Market_Data[[#This Row],[Estimated Concrete Demand (m³)]]&lt;100000,"Large","Mega"))))</f>
        <v>Medium</v>
      </c>
      <c r="P1584" s="287" t="str">
        <f t="shared" si="26"/>
        <v>GujRERA</v>
      </c>
    </row>
    <row r="1585" spans="1:16">
      <c r="A1585" s="129" t="str">
        <f>_xlfn.XLOOKUP(B1585,$S$9:$S$14,$T$9:$T$14)&amp;"-"&amp;
IF(E1585="Residential/Group Housing","RES",
IF(E1585="Commercial","COM",
IF(E1585="Mixed Development","MIX",
IF(E1585="Plotted Development","PLT","OTH"))))
&amp;"-"&amp;TEXT(COUNTIFS($B$9:B1585,B1585,$E$9:E1585,E1585),"0000")</f>
        <v>SUR-MIX-0240</v>
      </c>
      <c r="B1585" s="322" t="s">
        <v>34</v>
      </c>
      <c r="C1585" s="322" t="s">
        <v>34</v>
      </c>
      <c r="D1585" s="323" t="s">
        <v>1775</v>
      </c>
      <c r="E1585" s="132" t="s">
        <v>25</v>
      </c>
      <c r="F1585" s="97" t="str">
        <f ca="1">IF(OR(Market_Data[[#This Row],[Start Date]]="",Market_Data[[#This Row],[Completion Date]]=""),"Needs Validation",IF(Market_Data[[#This Row],[Start Date]]&gt;TODAY(),"Planned",IF(Market_Data[[#This Row],[Completion Date]]&lt;TODAY(),"Completed","Ongoing")))</f>
        <v>Completed</v>
      </c>
      <c r="G1585" s="324">
        <v>43579</v>
      </c>
      <c r="H1585" s="324">
        <v>45838</v>
      </c>
      <c r="I1585" s="325">
        <v>9900</v>
      </c>
      <c r="J158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585" s="133">
        <f>_xlfn.XLOOKUP(Market_Data[[#This Row],[Project Type]],tbl_assumptions_market[Project Category (RERA)],tbl_assumptions_market[Concrete Intensity
(m³ / sq m BUA)],"",0)</f>
        <v>0.42</v>
      </c>
      <c r="L1585" s="134">
        <f>ROUND(Market_Data[[#This Row],[Estimated Built Up Area (sq m)]]*Market_Data[[#This Row],[Concrete Intensity
(m³ / sq m)]],0)</f>
        <v>4158</v>
      </c>
      <c r="M1585" s="135">
        <f>_xlfn.XLOOKUP(Market_Data[[#This Row],[District]],tbl_district_price[District],tbl_district_price[Standard Price
(INR/m³)],"",0)</f>
        <v>6200</v>
      </c>
      <c r="N1585" s="364">
        <f>IF(OR(Market_Data[[#This Row],[Estimated Concrete Demand (m³)]]="",Market_Data[[#This Row],[Avg Price per (₹ / m³)]]=""),"",Market_Data[[#This Row],[Estimated Concrete Demand (m³)]]*Market_Data[[#This Row],[Avg Price per (₹ / m³)]]/10000000)</f>
        <v>2.57796</v>
      </c>
      <c r="O1585" s="97" t="str">
        <f>IF(Market_Data[[#This Row],[Estimated Concrete Demand (m³)]]="","",
IF(Market_Data[[#This Row],[Estimated Concrete Demand (m³)]]&lt;10000,"Small",
IF(Market_Data[[#This Row],[Estimated Concrete Demand (m³)]]&lt;25000,"Medium",
IF(Market_Data[[#This Row],[Estimated Concrete Demand (m³)]]&lt;100000,"Large","Mega"))))</f>
        <v>Small</v>
      </c>
      <c r="P1585" s="287" t="str">
        <f t="shared" si="26"/>
        <v>GujRERA</v>
      </c>
    </row>
    <row r="1586" spans="1:16">
      <c r="A1586" s="129" t="str">
        <f>_xlfn.XLOOKUP(B1586,$S$9:$S$14,$T$9:$T$14)&amp;"-"&amp;
IF(E1586="Residential/Group Housing","RES",
IF(E1586="Commercial","COM",
IF(E1586="Mixed Development","MIX",
IF(E1586="Plotted Development","PLT","OTH"))))
&amp;"-"&amp;TEXT(COUNTIFS($B$9:B1586,B1586,$E$9:E1586,E1586),"0000")</f>
        <v>SUR-COM-0249</v>
      </c>
      <c r="B1586" s="322" t="s">
        <v>34</v>
      </c>
      <c r="C1586" s="322" t="s">
        <v>34</v>
      </c>
      <c r="D1586" s="323" t="s">
        <v>1776</v>
      </c>
      <c r="E1586" s="132" t="s">
        <v>23</v>
      </c>
      <c r="F1586" s="97" t="str">
        <f ca="1">IF(OR(Market_Data[[#This Row],[Start Date]]="",Market_Data[[#This Row],[Completion Date]]=""),"Needs Validation",IF(Market_Data[[#This Row],[Start Date]]&gt;TODAY(),"Planned",IF(Market_Data[[#This Row],[Completion Date]]&lt;TODAY(),"Completed","Ongoing")))</f>
        <v>Completed</v>
      </c>
      <c r="G1586" s="324">
        <v>42835</v>
      </c>
      <c r="H1586" s="324">
        <v>44377</v>
      </c>
      <c r="I1586" s="325">
        <v>19700</v>
      </c>
      <c r="J158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86" s="133">
        <f>_xlfn.XLOOKUP(Market_Data[[#This Row],[Project Type]],tbl_assumptions_market[Project Category (RERA)],tbl_assumptions_market[Concrete Intensity
(m³ / sq m BUA)],"",0)</f>
        <v>0.5</v>
      </c>
      <c r="L1586" s="134">
        <f>ROUND(Market_Data[[#This Row],[Estimated Built Up Area (sq m)]]*Market_Data[[#This Row],[Concrete Intensity
(m³ / sq m)]],0)</f>
        <v>9850</v>
      </c>
      <c r="M1586" s="135">
        <f>_xlfn.XLOOKUP(Market_Data[[#This Row],[District]],tbl_district_price[District],tbl_district_price[Standard Price
(INR/m³)],"",0)</f>
        <v>6200</v>
      </c>
      <c r="N1586" s="364">
        <f>IF(OR(Market_Data[[#This Row],[Estimated Concrete Demand (m³)]]="",Market_Data[[#This Row],[Avg Price per (₹ / m³)]]=""),"",Market_Data[[#This Row],[Estimated Concrete Demand (m³)]]*Market_Data[[#This Row],[Avg Price per (₹ / m³)]]/10000000)</f>
        <v>6.1070000000000002</v>
      </c>
      <c r="O1586" s="97" t="str">
        <f>IF(Market_Data[[#This Row],[Estimated Concrete Demand (m³)]]="","",
IF(Market_Data[[#This Row],[Estimated Concrete Demand (m³)]]&lt;10000,"Small",
IF(Market_Data[[#This Row],[Estimated Concrete Demand (m³)]]&lt;25000,"Medium",
IF(Market_Data[[#This Row],[Estimated Concrete Demand (m³)]]&lt;100000,"Large","Mega"))))</f>
        <v>Small</v>
      </c>
      <c r="P1586" s="287" t="str">
        <f t="shared" si="26"/>
        <v>GujRERA</v>
      </c>
    </row>
    <row r="1587" spans="1:16">
      <c r="A1587" s="129" t="str">
        <f>_xlfn.XLOOKUP(B1587,$S$9:$S$14,$T$9:$T$14)&amp;"-"&amp;
IF(E1587="Residential/Group Housing","RES",
IF(E1587="Commercial","COM",
IF(E1587="Mixed Development","MIX",
IF(E1587="Plotted Development","PLT","OTH"))))
&amp;"-"&amp;TEXT(COUNTIFS($B$9:B1587,B1587,$E$9:E1587,E1587),"0000")</f>
        <v>SUR-COM-0250</v>
      </c>
      <c r="B1587" s="322" t="s">
        <v>34</v>
      </c>
      <c r="C1587" s="322" t="s">
        <v>34</v>
      </c>
      <c r="D1587" s="323" t="s">
        <v>1777</v>
      </c>
      <c r="E1587" s="132" t="s">
        <v>23</v>
      </c>
      <c r="F1587" s="97" t="str">
        <f ca="1">IF(OR(Market_Data[[#This Row],[Start Date]]="",Market_Data[[#This Row],[Completion Date]]=""),"Needs Validation",IF(Market_Data[[#This Row],[Start Date]]&gt;TODAY(),"Planned",IF(Market_Data[[#This Row],[Completion Date]]&lt;TODAY(),"Completed","Ongoing")))</f>
        <v>Completed</v>
      </c>
      <c r="G1587" s="324">
        <v>42583</v>
      </c>
      <c r="H1587" s="324">
        <v>45473</v>
      </c>
      <c r="I1587" s="325">
        <v>19400</v>
      </c>
      <c r="J158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87" s="133">
        <f>_xlfn.XLOOKUP(Market_Data[[#This Row],[Project Type]],tbl_assumptions_market[Project Category (RERA)],tbl_assumptions_market[Concrete Intensity
(m³ / sq m BUA)],"",0)</f>
        <v>0.5</v>
      </c>
      <c r="L1587" s="134">
        <f>ROUND(Market_Data[[#This Row],[Estimated Built Up Area (sq m)]]*Market_Data[[#This Row],[Concrete Intensity
(m³ / sq m)]],0)</f>
        <v>9700</v>
      </c>
      <c r="M1587" s="135">
        <f>_xlfn.XLOOKUP(Market_Data[[#This Row],[District]],tbl_district_price[District],tbl_district_price[Standard Price
(INR/m³)],"",0)</f>
        <v>6200</v>
      </c>
      <c r="N1587" s="364">
        <f>IF(OR(Market_Data[[#This Row],[Estimated Concrete Demand (m³)]]="",Market_Data[[#This Row],[Avg Price per (₹ / m³)]]=""),"",Market_Data[[#This Row],[Estimated Concrete Demand (m³)]]*Market_Data[[#This Row],[Avg Price per (₹ / m³)]]/10000000)</f>
        <v>6.0140000000000002</v>
      </c>
      <c r="O1587" s="97" t="str">
        <f>IF(Market_Data[[#This Row],[Estimated Concrete Demand (m³)]]="","",
IF(Market_Data[[#This Row],[Estimated Concrete Demand (m³)]]&lt;10000,"Small",
IF(Market_Data[[#This Row],[Estimated Concrete Demand (m³)]]&lt;25000,"Medium",
IF(Market_Data[[#This Row],[Estimated Concrete Demand (m³)]]&lt;100000,"Large","Mega"))))</f>
        <v>Small</v>
      </c>
      <c r="P1587" s="287" t="str">
        <f t="shared" si="26"/>
        <v>GujRERA</v>
      </c>
    </row>
    <row r="1588" spans="1:16">
      <c r="A1588" s="129" t="str">
        <f>_xlfn.XLOOKUP(B1588,$S$9:$S$14,$T$9:$T$14)&amp;"-"&amp;
IF(E1588="Residential/Group Housing","RES",
IF(E1588="Commercial","COM",
IF(E1588="Mixed Development","MIX",
IF(E1588="Plotted Development","PLT","OTH"))))
&amp;"-"&amp;TEXT(COUNTIFS($B$9:B1588,B1588,$E$9:E1588,E1588),"0000")</f>
        <v>SUR-COM-0251</v>
      </c>
      <c r="B1588" s="322" t="s">
        <v>34</v>
      </c>
      <c r="C1588" s="322" t="s">
        <v>34</v>
      </c>
      <c r="D1588" s="323" t="s">
        <v>1778</v>
      </c>
      <c r="E1588" s="132" t="s">
        <v>23</v>
      </c>
      <c r="F1588" s="97" t="str">
        <f ca="1">IF(OR(Market_Data[[#This Row],[Start Date]]="",Market_Data[[#This Row],[Completion Date]]=""),"Needs Validation",IF(Market_Data[[#This Row],[Start Date]]&gt;TODAY(),"Planned",IF(Market_Data[[#This Row],[Completion Date]]&lt;TODAY(),"Completed","Ongoing")))</f>
        <v>Completed</v>
      </c>
      <c r="G1588" s="324">
        <v>42720</v>
      </c>
      <c r="H1588" s="324">
        <v>44742</v>
      </c>
      <c r="I1588" s="325">
        <v>12800</v>
      </c>
      <c r="J158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88" s="133">
        <f>_xlfn.XLOOKUP(Market_Data[[#This Row],[Project Type]],tbl_assumptions_market[Project Category (RERA)],tbl_assumptions_market[Concrete Intensity
(m³ / sq m BUA)],"",0)</f>
        <v>0.5</v>
      </c>
      <c r="L1588" s="134">
        <f>ROUND(Market_Data[[#This Row],[Estimated Built Up Area (sq m)]]*Market_Data[[#This Row],[Concrete Intensity
(m³ / sq m)]],0)</f>
        <v>6400</v>
      </c>
      <c r="M1588" s="135">
        <f>_xlfn.XLOOKUP(Market_Data[[#This Row],[District]],tbl_district_price[District],tbl_district_price[Standard Price
(INR/m³)],"",0)</f>
        <v>6200</v>
      </c>
      <c r="N1588" s="364">
        <f>IF(OR(Market_Data[[#This Row],[Estimated Concrete Demand (m³)]]="",Market_Data[[#This Row],[Avg Price per (₹ / m³)]]=""),"",Market_Data[[#This Row],[Estimated Concrete Demand (m³)]]*Market_Data[[#This Row],[Avg Price per (₹ / m³)]]/10000000)</f>
        <v>3.968</v>
      </c>
      <c r="O1588" s="97" t="str">
        <f>IF(Market_Data[[#This Row],[Estimated Concrete Demand (m³)]]="","",
IF(Market_Data[[#This Row],[Estimated Concrete Demand (m³)]]&lt;10000,"Small",
IF(Market_Data[[#This Row],[Estimated Concrete Demand (m³)]]&lt;25000,"Medium",
IF(Market_Data[[#This Row],[Estimated Concrete Demand (m³)]]&lt;100000,"Large","Mega"))))</f>
        <v>Small</v>
      </c>
      <c r="P1588" s="287" t="str">
        <f t="shared" si="26"/>
        <v>GujRERA</v>
      </c>
    </row>
    <row r="1589" spans="1:16">
      <c r="A1589" s="129" t="str">
        <f>_xlfn.XLOOKUP(B1589,$S$9:$S$14,$T$9:$T$14)&amp;"-"&amp;
IF(E1589="Residential/Group Housing","RES",
IF(E1589="Commercial","COM",
IF(E1589="Mixed Development","MIX",
IF(E1589="Plotted Development","PLT","OTH"))))
&amp;"-"&amp;TEXT(COUNTIFS($B$9:B1589,B1589,$E$9:E1589,E1589),"0000")</f>
        <v>SUR-COM-0252</v>
      </c>
      <c r="B1589" s="322" t="s">
        <v>34</v>
      </c>
      <c r="C1589" s="322" t="s">
        <v>34</v>
      </c>
      <c r="D1589" s="323" t="s">
        <v>1779</v>
      </c>
      <c r="E1589" s="132" t="s">
        <v>23</v>
      </c>
      <c r="F1589" s="97" t="str">
        <f ca="1">IF(OR(Market_Data[[#This Row],[Start Date]]="",Market_Data[[#This Row],[Completion Date]]=""),"Needs Validation",IF(Market_Data[[#This Row],[Start Date]]&gt;TODAY(),"Planned",IF(Market_Data[[#This Row],[Completion Date]]&lt;TODAY(),"Completed","Ongoing")))</f>
        <v>Completed</v>
      </c>
      <c r="G1589" s="324">
        <v>42646</v>
      </c>
      <c r="H1589" s="324">
        <v>45473</v>
      </c>
      <c r="I1589" s="325">
        <v>12400</v>
      </c>
      <c r="J158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89" s="133">
        <f>_xlfn.XLOOKUP(Market_Data[[#This Row],[Project Type]],tbl_assumptions_market[Project Category (RERA)],tbl_assumptions_market[Concrete Intensity
(m³ / sq m BUA)],"",0)</f>
        <v>0.5</v>
      </c>
      <c r="L1589" s="134">
        <f>ROUND(Market_Data[[#This Row],[Estimated Built Up Area (sq m)]]*Market_Data[[#This Row],[Concrete Intensity
(m³ / sq m)]],0)</f>
        <v>6200</v>
      </c>
      <c r="M1589" s="135">
        <f>_xlfn.XLOOKUP(Market_Data[[#This Row],[District]],tbl_district_price[District],tbl_district_price[Standard Price
(INR/m³)],"",0)</f>
        <v>6200</v>
      </c>
      <c r="N1589" s="364">
        <f>IF(OR(Market_Data[[#This Row],[Estimated Concrete Demand (m³)]]="",Market_Data[[#This Row],[Avg Price per (₹ / m³)]]=""),"",Market_Data[[#This Row],[Estimated Concrete Demand (m³)]]*Market_Data[[#This Row],[Avg Price per (₹ / m³)]]/10000000)</f>
        <v>3.8439999999999999</v>
      </c>
      <c r="O1589" s="97" t="str">
        <f>IF(Market_Data[[#This Row],[Estimated Concrete Demand (m³)]]="","",
IF(Market_Data[[#This Row],[Estimated Concrete Demand (m³)]]&lt;10000,"Small",
IF(Market_Data[[#This Row],[Estimated Concrete Demand (m³)]]&lt;25000,"Medium",
IF(Market_Data[[#This Row],[Estimated Concrete Demand (m³)]]&lt;100000,"Large","Mega"))))</f>
        <v>Small</v>
      </c>
      <c r="P1589" s="287" t="str">
        <f t="shared" si="26"/>
        <v>GujRERA</v>
      </c>
    </row>
    <row r="1590" spans="1:16">
      <c r="A1590" s="129" t="str">
        <f>_xlfn.XLOOKUP(B1590,$S$9:$S$14,$T$9:$T$14)&amp;"-"&amp;
IF(E1590="Residential/Group Housing","RES",
IF(E1590="Commercial","COM",
IF(E1590="Mixed Development","MIX",
IF(E1590="Plotted Development","PLT","OTH"))))
&amp;"-"&amp;TEXT(COUNTIFS($B$9:B1590,B1590,$E$9:E1590,E1590),"0000")</f>
        <v>SUR-COM-0253</v>
      </c>
      <c r="B1590" s="322" t="s">
        <v>34</v>
      </c>
      <c r="C1590" s="322" t="s">
        <v>34</v>
      </c>
      <c r="D1590" s="323" t="s">
        <v>1780</v>
      </c>
      <c r="E1590" s="132" t="s">
        <v>23</v>
      </c>
      <c r="F1590" s="97" t="str">
        <f ca="1">IF(OR(Market_Data[[#This Row],[Start Date]]="",Market_Data[[#This Row],[Completion Date]]=""),"Needs Validation",IF(Market_Data[[#This Row],[Start Date]]&gt;TODAY(),"Planned",IF(Market_Data[[#This Row],[Completion Date]]&lt;TODAY(),"Completed","Ongoing")))</f>
        <v>Completed</v>
      </c>
      <c r="G1590" s="324">
        <v>42318</v>
      </c>
      <c r="H1590" s="324">
        <v>43312</v>
      </c>
      <c r="I1590" s="325">
        <v>4600</v>
      </c>
      <c r="J159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90" s="133">
        <f>_xlfn.XLOOKUP(Market_Data[[#This Row],[Project Type]],tbl_assumptions_market[Project Category (RERA)],tbl_assumptions_market[Concrete Intensity
(m³ / sq m BUA)],"",0)</f>
        <v>0.5</v>
      </c>
      <c r="L1590" s="134">
        <f>ROUND(Market_Data[[#This Row],[Estimated Built Up Area (sq m)]]*Market_Data[[#This Row],[Concrete Intensity
(m³ / sq m)]],0)</f>
        <v>2300</v>
      </c>
      <c r="M1590" s="135">
        <f>_xlfn.XLOOKUP(Market_Data[[#This Row],[District]],tbl_district_price[District],tbl_district_price[Standard Price
(INR/m³)],"",0)</f>
        <v>6200</v>
      </c>
      <c r="N1590" s="364">
        <f>IF(OR(Market_Data[[#This Row],[Estimated Concrete Demand (m³)]]="",Market_Data[[#This Row],[Avg Price per (₹ / m³)]]=""),"",Market_Data[[#This Row],[Estimated Concrete Demand (m³)]]*Market_Data[[#This Row],[Avg Price per (₹ / m³)]]/10000000)</f>
        <v>1.4259999999999999</v>
      </c>
      <c r="O1590" s="97" t="str">
        <f>IF(Market_Data[[#This Row],[Estimated Concrete Demand (m³)]]="","",
IF(Market_Data[[#This Row],[Estimated Concrete Demand (m³)]]&lt;10000,"Small",
IF(Market_Data[[#This Row],[Estimated Concrete Demand (m³)]]&lt;25000,"Medium",
IF(Market_Data[[#This Row],[Estimated Concrete Demand (m³)]]&lt;100000,"Large","Mega"))))</f>
        <v>Small</v>
      </c>
      <c r="P1590" s="287" t="str">
        <f t="shared" si="26"/>
        <v>GujRERA</v>
      </c>
    </row>
    <row r="1591" spans="1:16">
      <c r="A1591" s="129" t="str">
        <f>_xlfn.XLOOKUP(B1591,$S$9:$S$14,$T$9:$T$14)&amp;"-"&amp;
IF(E1591="Residential/Group Housing","RES",
IF(E1591="Commercial","COM",
IF(E1591="Mixed Development","MIX",
IF(E1591="Plotted Development","PLT","OTH"))))
&amp;"-"&amp;TEXT(COUNTIFS($B$9:B1591,B1591,$E$9:E1591,E1591),"0000")</f>
        <v>SUR-PLT-0302</v>
      </c>
      <c r="B1591" s="322" t="s">
        <v>34</v>
      </c>
      <c r="C1591" s="322" t="s">
        <v>34</v>
      </c>
      <c r="D1591" s="323" t="s">
        <v>1781</v>
      </c>
      <c r="E1591" s="132" t="s">
        <v>26</v>
      </c>
      <c r="F1591" s="97" t="str">
        <f ca="1">IF(OR(Market_Data[[#This Row],[Start Date]]="",Market_Data[[#This Row],[Completion Date]]=""),"Needs Validation",IF(Market_Data[[#This Row],[Start Date]]&gt;TODAY(),"Planned",IF(Market_Data[[#This Row],[Completion Date]]&lt;TODAY(),"Completed","Ongoing")))</f>
        <v>Ongoing</v>
      </c>
      <c r="G1591" s="324">
        <v>45544</v>
      </c>
      <c r="H1591" s="324">
        <v>46752</v>
      </c>
      <c r="I1591" s="325">
        <v>37100</v>
      </c>
      <c r="J159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591" s="133">
        <f>_xlfn.XLOOKUP(Market_Data[[#This Row],[Project Type]],tbl_assumptions_market[Project Category (RERA)],tbl_assumptions_market[Concrete Intensity
(m³ / sq m BUA)],"",0)</f>
        <v>0.18</v>
      </c>
      <c r="L1591" s="134">
        <f>ROUND(Market_Data[[#This Row],[Estimated Built Up Area (sq m)]]*Market_Data[[#This Row],[Concrete Intensity
(m³ / sq m)]],0)</f>
        <v>6678</v>
      </c>
      <c r="M1591" s="135">
        <f>_xlfn.XLOOKUP(Market_Data[[#This Row],[District]],tbl_district_price[District],tbl_district_price[Standard Price
(INR/m³)],"",0)</f>
        <v>6200</v>
      </c>
      <c r="N1591" s="364">
        <f>IF(OR(Market_Data[[#This Row],[Estimated Concrete Demand (m³)]]="",Market_Data[[#This Row],[Avg Price per (₹ / m³)]]=""),"",Market_Data[[#This Row],[Estimated Concrete Demand (m³)]]*Market_Data[[#This Row],[Avg Price per (₹ / m³)]]/10000000)</f>
        <v>4.1403600000000003</v>
      </c>
      <c r="O1591" s="97" t="str">
        <f>IF(Market_Data[[#This Row],[Estimated Concrete Demand (m³)]]="","",
IF(Market_Data[[#This Row],[Estimated Concrete Demand (m³)]]&lt;10000,"Small",
IF(Market_Data[[#This Row],[Estimated Concrete Demand (m³)]]&lt;25000,"Medium",
IF(Market_Data[[#This Row],[Estimated Concrete Demand (m³)]]&lt;100000,"Large","Mega"))))</f>
        <v>Small</v>
      </c>
      <c r="P1591" s="287" t="str">
        <f t="shared" si="26"/>
        <v>GujRERA</v>
      </c>
    </row>
    <row r="1592" spans="1:16">
      <c r="A1592" s="129" t="str">
        <f>_xlfn.XLOOKUP(B1592,$S$9:$S$14,$T$9:$T$14)&amp;"-"&amp;
IF(E1592="Residential/Group Housing","RES",
IF(E1592="Commercial","COM",
IF(E1592="Mixed Development","MIX",
IF(E1592="Plotted Development","PLT","OTH"))))
&amp;"-"&amp;TEXT(COUNTIFS($B$9:B1592,B1592,$E$9:E1592,E1592),"0000")</f>
        <v>SUR-RES-0479</v>
      </c>
      <c r="B1592" s="322" t="s">
        <v>34</v>
      </c>
      <c r="C1592" s="322" t="s">
        <v>34</v>
      </c>
      <c r="D1592" s="323" t="s">
        <v>1782</v>
      </c>
      <c r="E1592" s="132" t="s">
        <v>24</v>
      </c>
      <c r="F1592" s="97" t="str">
        <f ca="1">IF(OR(Market_Data[[#This Row],[Start Date]]="",Market_Data[[#This Row],[Completion Date]]=""),"Needs Validation",IF(Market_Data[[#This Row],[Start Date]]&gt;TODAY(),"Planned",IF(Market_Data[[#This Row],[Completion Date]]&lt;TODAY(),"Completed","Ongoing")))</f>
        <v>Completed</v>
      </c>
      <c r="G1592" s="324">
        <v>44530</v>
      </c>
      <c r="H1592" s="324">
        <v>46112</v>
      </c>
      <c r="I1592" s="325">
        <v>57000</v>
      </c>
      <c r="J159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92" s="133">
        <f>_xlfn.XLOOKUP(Market_Data[[#This Row],[Project Type]],tbl_assumptions_market[Project Category (RERA)],tbl_assumptions_market[Concrete Intensity
(m³ / sq m BUA)],"",0)</f>
        <v>0.45</v>
      </c>
      <c r="L1592" s="134">
        <f>ROUND(Market_Data[[#This Row],[Estimated Built Up Area (sq m)]]*Market_Data[[#This Row],[Concrete Intensity
(m³ / sq m)]],0)</f>
        <v>25650</v>
      </c>
      <c r="M1592" s="135">
        <f>_xlfn.XLOOKUP(Market_Data[[#This Row],[District]],tbl_district_price[District],tbl_district_price[Standard Price
(INR/m³)],"",0)</f>
        <v>6200</v>
      </c>
      <c r="N1592" s="364">
        <f>IF(OR(Market_Data[[#This Row],[Estimated Concrete Demand (m³)]]="",Market_Data[[#This Row],[Avg Price per (₹ / m³)]]=""),"",Market_Data[[#This Row],[Estimated Concrete Demand (m³)]]*Market_Data[[#This Row],[Avg Price per (₹ / m³)]]/10000000)</f>
        <v>15.903</v>
      </c>
      <c r="O1592" s="97" t="str">
        <f>IF(Market_Data[[#This Row],[Estimated Concrete Demand (m³)]]="","",
IF(Market_Data[[#This Row],[Estimated Concrete Demand (m³)]]&lt;10000,"Small",
IF(Market_Data[[#This Row],[Estimated Concrete Demand (m³)]]&lt;25000,"Medium",
IF(Market_Data[[#This Row],[Estimated Concrete Demand (m³)]]&lt;100000,"Large","Mega"))))</f>
        <v>Large</v>
      </c>
      <c r="P1592" s="287" t="str">
        <f t="shared" si="26"/>
        <v>GujRERA</v>
      </c>
    </row>
    <row r="1593" spans="1:16">
      <c r="A1593" s="129" t="str">
        <f>_xlfn.XLOOKUP(B1593,$S$9:$S$14,$T$9:$T$14)&amp;"-"&amp;
IF(E1593="Residential/Group Housing","RES",
IF(E1593="Commercial","COM",
IF(E1593="Mixed Development","MIX",
IF(E1593="Plotted Development","PLT","OTH"))))
&amp;"-"&amp;TEXT(COUNTIFS($B$9:B1593,B1593,$E$9:E1593,E1593),"0000")</f>
        <v>SUR-COM-0254</v>
      </c>
      <c r="B1593" s="322" t="s">
        <v>34</v>
      </c>
      <c r="C1593" s="322" t="s">
        <v>34</v>
      </c>
      <c r="D1593" s="323" t="s">
        <v>1783</v>
      </c>
      <c r="E1593" s="132" t="s">
        <v>23</v>
      </c>
      <c r="F1593" s="97" t="str">
        <f ca="1">IF(OR(Market_Data[[#This Row],[Start Date]]="",Market_Data[[#This Row],[Completion Date]]=""),"Needs Validation",IF(Market_Data[[#This Row],[Start Date]]&gt;TODAY(),"Planned",IF(Market_Data[[#This Row],[Completion Date]]&lt;TODAY(),"Completed","Ongoing")))</f>
        <v>Completed</v>
      </c>
      <c r="G1593" s="324">
        <v>44535</v>
      </c>
      <c r="H1593" s="324">
        <v>45688</v>
      </c>
      <c r="I1593" s="325">
        <v>14200</v>
      </c>
      <c r="J159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93" s="133">
        <f>_xlfn.XLOOKUP(Market_Data[[#This Row],[Project Type]],tbl_assumptions_market[Project Category (RERA)],tbl_assumptions_market[Concrete Intensity
(m³ / sq m BUA)],"",0)</f>
        <v>0.5</v>
      </c>
      <c r="L1593" s="134">
        <f>ROUND(Market_Data[[#This Row],[Estimated Built Up Area (sq m)]]*Market_Data[[#This Row],[Concrete Intensity
(m³ / sq m)]],0)</f>
        <v>7100</v>
      </c>
      <c r="M1593" s="135">
        <f>_xlfn.XLOOKUP(Market_Data[[#This Row],[District]],tbl_district_price[District],tbl_district_price[Standard Price
(INR/m³)],"",0)</f>
        <v>6200</v>
      </c>
      <c r="N1593" s="364">
        <f>IF(OR(Market_Data[[#This Row],[Estimated Concrete Demand (m³)]]="",Market_Data[[#This Row],[Avg Price per (₹ / m³)]]=""),"",Market_Data[[#This Row],[Estimated Concrete Demand (m³)]]*Market_Data[[#This Row],[Avg Price per (₹ / m³)]]/10000000)</f>
        <v>4.4020000000000001</v>
      </c>
      <c r="O1593" s="97" t="str">
        <f>IF(Market_Data[[#This Row],[Estimated Concrete Demand (m³)]]="","",
IF(Market_Data[[#This Row],[Estimated Concrete Demand (m³)]]&lt;10000,"Small",
IF(Market_Data[[#This Row],[Estimated Concrete Demand (m³)]]&lt;25000,"Medium",
IF(Market_Data[[#This Row],[Estimated Concrete Demand (m³)]]&lt;100000,"Large","Mega"))))</f>
        <v>Small</v>
      </c>
      <c r="P1593" s="287" t="str">
        <f t="shared" si="26"/>
        <v>GujRERA</v>
      </c>
    </row>
    <row r="1594" spans="1:16">
      <c r="A1594" s="129" t="str">
        <f>_xlfn.XLOOKUP(B1594,$S$9:$S$14,$T$9:$T$14)&amp;"-"&amp;
IF(E1594="Residential/Group Housing","RES",
IF(E1594="Commercial","COM",
IF(E1594="Mixed Development","MIX",
IF(E1594="Plotted Development","PLT","OTH"))))
&amp;"-"&amp;TEXT(COUNTIFS($B$9:B1594,B1594,$E$9:E1594,E1594),"0000")</f>
        <v>SUR-COM-0255</v>
      </c>
      <c r="B1594" s="322" t="s">
        <v>34</v>
      </c>
      <c r="C1594" s="322" t="s">
        <v>34</v>
      </c>
      <c r="D1594" s="323" t="s">
        <v>1784</v>
      </c>
      <c r="E1594" s="132" t="s">
        <v>23</v>
      </c>
      <c r="F1594" s="97" t="str">
        <f ca="1">IF(OR(Market_Data[[#This Row],[Start Date]]="",Market_Data[[#This Row],[Completion Date]]=""),"Needs Validation",IF(Market_Data[[#This Row],[Start Date]]&gt;TODAY(),"Planned",IF(Market_Data[[#This Row],[Completion Date]]&lt;TODAY(),"Completed","Ongoing")))</f>
        <v>Ongoing</v>
      </c>
      <c r="G1594" s="324">
        <v>45469</v>
      </c>
      <c r="H1594" s="324">
        <v>47483</v>
      </c>
      <c r="I1594" s="325">
        <v>17800</v>
      </c>
      <c r="J159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94" s="133">
        <f>_xlfn.XLOOKUP(Market_Data[[#This Row],[Project Type]],tbl_assumptions_market[Project Category (RERA)],tbl_assumptions_market[Concrete Intensity
(m³ / sq m BUA)],"",0)</f>
        <v>0.5</v>
      </c>
      <c r="L1594" s="134">
        <f>ROUND(Market_Data[[#This Row],[Estimated Built Up Area (sq m)]]*Market_Data[[#This Row],[Concrete Intensity
(m³ / sq m)]],0)</f>
        <v>8900</v>
      </c>
      <c r="M1594" s="135">
        <f>_xlfn.XLOOKUP(Market_Data[[#This Row],[District]],tbl_district_price[District],tbl_district_price[Standard Price
(INR/m³)],"",0)</f>
        <v>6200</v>
      </c>
      <c r="N1594" s="364">
        <f>IF(OR(Market_Data[[#This Row],[Estimated Concrete Demand (m³)]]="",Market_Data[[#This Row],[Avg Price per (₹ / m³)]]=""),"",Market_Data[[#This Row],[Estimated Concrete Demand (m³)]]*Market_Data[[#This Row],[Avg Price per (₹ / m³)]]/10000000)</f>
        <v>5.5179999999999998</v>
      </c>
      <c r="O1594" s="97" t="str">
        <f>IF(Market_Data[[#This Row],[Estimated Concrete Demand (m³)]]="","",
IF(Market_Data[[#This Row],[Estimated Concrete Demand (m³)]]&lt;10000,"Small",
IF(Market_Data[[#This Row],[Estimated Concrete Demand (m³)]]&lt;25000,"Medium",
IF(Market_Data[[#This Row],[Estimated Concrete Demand (m³)]]&lt;100000,"Large","Mega"))))</f>
        <v>Small</v>
      </c>
      <c r="P1594" s="287" t="str">
        <f t="shared" si="26"/>
        <v>GujRERA</v>
      </c>
    </row>
    <row r="1595" spans="1:16">
      <c r="A1595" s="129" t="str">
        <f>_xlfn.XLOOKUP(B1595,$S$9:$S$14,$T$9:$T$14)&amp;"-"&amp;
IF(E1595="Residential/Group Housing","RES",
IF(E1595="Commercial","COM",
IF(E1595="Mixed Development","MIX",
IF(E1595="Plotted Development","PLT","OTH"))))
&amp;"-"&amp;TEXT(COUNTIFS($B$9:B1595,B1595,$E$9:E1595,E1595),"0000")</f>
        <v>SUR-COM-0256</v>
      </c>
      <c r="B1595" s="322" t="s">
        <v>34</v>
      </c>
      <c r="C1595" s="322" t="s">
        <v>34</v>
      </c>
      <c r="D1595" s="323" t="s">
        <v>1785</v>
      </c>
      <c r="E1595" s="132" t="s">
        <v>23</v>
      </c>
      <c r="F1595" s="97" t="str">
        <f ca="1">IF(OR(Market_Data[[#This Row],[Start Date]]="",Market_Data[[#This Row],[Completion Date]]=""),"Needs Validation",IF(Market_Data[[#This Row],[Start Date]]&gt;TODAY(),"Planned",IF(Market_Data[[#This Row],[Completion Date]]&lt;TODAY(),"Completed","Ongoing")))</f>
        <v>Completed</v>
      </c>
      <c r="G1595" s="324">
        <v>42290</v>
      </c>
      <c r="H1595" s="324">
        <v>45135</v>
      </c>
      <c r="I1595" s="325">
        <v>6900</v>
      </c>
      <c r="J159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95" s="133">
        <f>_xlfn.XLOOKUP(Market_Data[[#This Row],[Project Type]],tbl_assumptions_market[Project Category (RERA)],tbl_assumptions_market[Concrete Intensity
(m³ / sq m BUA)],"",0)</f>
        <v>0.5</v>
      </c>
      <c r="L1595" s="134">
        <f>ROUND(Market_Data[[#This Row],[Estimated Built Up Area (sq m)]]*Market_Data[[#This Row],[Concrete Intensity
(m³ / sq m)]],0)</f>
        <v>3450</v>
      </c>
      <c r="M1595" s="135">
        <f>_xlfn.XLOOKUP(Market_Data[[#This Row],[District]],tbl_district_price[District],tbl_district_price[Standard Price
(INR/m³)],"",0)</f>
        <v>6200</v>
      </c>
      <c r="N1595" s="364">
        <f>IF(OR(Market_Data[[#This Row],[Estimated Concrete Demand (m³)]]="",Market_Data[[#This Row],[Avg Price per (₹ / m³)]]=""),"",Market_Data[[#This Row],[Estimated Concrete Demand (m³)]]*Market_Data[[#This Row],[Avg Price per (₹ / m³)]]/10000000)</f>
        <v>2.1389999999999998</v>
      </c>
      <c r="O1595" s="97" t="str">
        <f>IF(Market_Data[[#This Row],[Estimated Concrete Demand (m³)]]="","",
IF(Market_Data[[#This Row],[Estimated Concrete Demand (m³)]]&lt;10000,"Small",
IF(Market_Data[[#This Row],[Estimated Concrete Demand (m³)]]&lt;25000,"Medium",
IF(Market_Data[[#This Row],[Estimated Concrete Demand (m³)]]&lt;100000,"Large","Mega"))))</f>
        <v>Small</v>
      </c>
      <c r="P1595" s="287" t="str">
        <f t="shared" si="26"/>
        <v>GujRERA</v>
      </c>
    </row>
    <row r="1596" spans="1:16">
      <c r="A1596" s="129" t="str">
        <f>_xlfn.XLOOKUP(B1596,$S$9:$S$14,$T$9:$T$14)&amp;"-"&amp;
IF(E1596="Residential/Group Housing","RES",
IF(E1596="Commercial","COM",
IF(E1596="Mixed Development","MIX",
IF(E1596="Plotted Development","PLT","OTH"))))
&amp;"-"&amp;TEXT(COUNTIFS($B$9:B1596,B1596,$E$9:E1596,E1596),"0000")</f>
        <v>SUR-RES-0480</v>
      </c>
      <c r="B1596" s="322" t="s">
        <v>34</v>
      </c>
      <c r="C1596" s="322" t="s">
        <v>34</v>
      </c>
      <c r="D1596" s="323" t="s">
        <v>1786</v>
      </c>
      <c r="E1596" s="132" t="s">
        <v>24</v>
      </c>
      <c r="F1596" s="97" t="str">
        <f ca="1">IF(OR(Market_Data[[#This Row],[Start Date]]="",Market_Data[[#This Row],[Completion Date]]=""),"Needs Validation",IF(Market_Data[[#This Row],[Start Date]]&gt;TODAY(),"Planned",IF(Market_Data[[#This Row],[Completion Date]]&lt;TODAY(),"Completed","Ongoing")))</f>
        <v>Completed</v>
      </c>
      <c r="G1596" s="324">
        <v>44534</v>
      </c>
      <c r="H1596" s="324">
        <v>46112</v>
      </c>
      <c r="I1596" s="325">
        <v>45000</v>
      </c>
      <c r="J159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96" s="133">
        <f>_xlfn.XLOOKUP(Market_Data[[#This Row],[Project Type]],tbl_assumptions_market[Project Category (RERA)],tbl_assumptions_market[Concrete Intensity
(m³ / sq m BUA)],"",0)</f>
        <v>0.45</v>
      </c>
      <c r="L1596" s="134">
        <f>ROUND(Market_Data[[#This Row],[Estimated Built Up Area (sq m)]]*Market_Data[[#This Row],[Concrete Intensity
(m³ / sq m)]],0)</f>
        <v>20250</v>
      </c>
      <c r="M1596" s="135">
        <f>_xlfn.XLOOKUP(Market_Data[[#This Row],[District]],tbl_district_price[District],tbl_district_price[Standard Price
(INR/m³)],"",0)</f>
        <v>6200</v>
      </c>
      <c r="N1596" s="364">
        <f>IF(OR(Market_Data[[#This Row],[Estimated Concrete Demand (m³)]]="",Market_Data[[#This Row],[Avg Price per (₹ / m³)]]=""),"",Market_Data[[#This Row],[Estimated Concrete Demand (m³)]]*Market_Data[[#This Row],[Avg Price per (₹ / m³)]]/10000000)</f>
        <v>12.555</v>
      </c>
      <c r="O1596" s="97" t="str">
        <f>IF(Market_Data[[#This Row],[Estimated Concrete Demand (m³)]]="","",
IF(Market_Data[[#This Row],[Estimated Concrete Demand (m³)]]&lt;10000,"Small",
IF(Market_Data[[#This Row],[Estimated Concrete Demand (m³)]]&lt;25000,"Medium",
IF(Market_Data[[#This Row],[Estimated Concrete Demand (m³)]]&lt;100000,"Large","Mega"))))</f>
        <v>Medium</v>
      </c>
      <c r="P1596" s="287" t="str">
        <f t="shared" si="26"/>
        <v>GujRERA</v>
      </c>
    </row>
    <row r="1597" spans="1:16">
      <c r="A1597" s="129" t="str">
        <f>_xlfn.XLOOKUP(B1597,$S$9:$S$14,$T$9:$T$14)&amp;"-"&amp;
IF(E1597="Residential/Group Housing","RES",
IF(E1597="Commercial","COM",
IF(E1597="Mixed Development","MIX",
IF(E1597="Plotted Development","PLT","OTH"))))
&amp;"-"&amp;TEXT(COUNTIFS($B$9:B1597,B1597,$E$9:E1597,E1597),"0000")</f>
        <v>SUR-RES-0481</v>
      </c>
      <c r="B1597" s="322" t="s">
        <v>34</v>
      </c>
      <c r="C1597" s="322" t="s">
        <v>34</v>
      </c>
      <c r="D1597" s="323" t="s">
        <v>1787</v>
      </c>
      <c r="E1597" s="132" t="s">
        <v>24</v>
      </c>
      <c r="F1597" s="97" t="str">
        <f ca="1">IF(OR(Market_Data[[#This Row],[Start Date]]="",Market_Data[[#This Row],[Completion Date]]=""),"Needs Validation",IF(Market_Data[[#This Row],[Start Date]]&gt;TODAY(),"Planned",IF(Market_Data[[#This Row],[Completion Date]]&lt;TODAY(),"Completed","Ongoing")))</f>
        <v>Completed</v>
      </c>
      <c r="G1597" s="324">
        <v>43647</v>
      </c>
      <c r="H1597" s="324">
        <v>45291</v>
      </c>
      <c r="I1597" s="325">
        <v>28600</v>
      </c>
      <c r="J159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97" s="133">
        <f>_xlfn.XLOOKUP(Market_Data[[#This Row],[Project Type]],tbl_assumptions_market[Project Category (RERA)],tbl_assumptions_market[Concrete Intensity
(m³ / sq m BUA)],"",0)</f>
        <v>0.45</v>
      </c>
      <c r="L1597" s="134">
        <f>ROUND(Market_Data[[#This Row],[Estimated Built Up Area (sq m)]]*Market_Data[[#This Row],[Concrete Intensity
(m³ / sq m)]],0)</f>
        <v>12870</v>
      </c>
      <c r="M1597" s="135">
        <f>_xlfn.XLOOKUP(Market_Data[[#This Row],[District]],tbl_district_price[District],tbl_district_price[Standard Price
(INR/m³)],"",0)</f>
        <v>6200</v>
      </c>
      <c r="N1597" s="364">
        <f>IF(OR(Market_Data[[#This Row],[Estimated Concrete Demand (m³)]]="",Market_Data[[#This Row],[Avg Price per (₹ / m³)]]=""),"",Market_Data[[#This Row],[Estimated Concrete Demand (m³)]]*Market_Data[[#This Row],[Avg Price per (₹ / m³)]]/10000000)</f>
        <v>7.9794</v>
      </c>
      <c r="O1597" s="97" t="str">
        <f>IF(Market_Data[[#This Row],[Estimated Concrete Demand (m³)]]="","",
IF(Market_Data[[#This Row],[Estimated Concrete Demand (m³)]]&lt;10000,"Small",
IF(Market_Data[[#This Row],[Estimated Concrete Demand (m³)]]&lt;25000,"Medium",
IF(Market_Data[[#This Row],[Estimated Concrete Demand (m³)]]&lt;100000,"Large","Mega"))))</f>
        <v>Medium</v>
      </c>
      <c r="P1597" s="287" t="str">
        <f t="shared" si="26"/>
        <v>GujRERA</v>
      </c>
    </row>
    <row r="1598" spans="1:16">
      <c r="A1598" s="129" t="str">
        <f>_xlfn.XLOOKUP(B1598,$S$9:$S$14,$T$9:$T$14)&amp;"-"&amp;
IF(E1598="Residential/Group Housing","RES",
IF(E1598="Commercial","COM",
IF(E1598="Mixed Development","MIX",
IF(E1598="Plotted Development","PLT","OTH"))))
&amp;"-"&amp;TEXT(COUNTIFS($B$9:B1598,B1598,$E$9:E1598,E1598),"0000")</f>
        <v>SUR-RES-0482</v>
      </c>
      <c r="B1598" s="322" t="s">
        <v>34</v>
      </c>
      <c r="C1598" s="322" t="s">
        <v>34</v>
      </c>
      <c r="D1598" s="323" t="s">
        <v>1788</v>
      </c>
      <c r="E1598" s="132" t="s">
        <v>24</v>
      </c>
      <c r="F1598" s="97" t="str">
        <f ca="1">IF(OR(Market_Data[[#This Row],[Start Date]]="",Market_Data[[#This Row],[Completion Date]]=""),"Needs Validation",IF(Market_Data[[#This Row],[Start Date]]&gt;TODAY(),"Planned",IF(Market_Data[[#This Row],[Completion Date]]&lt;TODAY(),"Completed","Ongoing")))</f>
        <v>Completed</v>
      </c>
      <c r="G1598" s="324">
        <v>43647</v>
      </c>
      <c r="H1598" s="324">
        <v>45291</v>
      </c>
      <c r="I1598" s="325">
        <v>18700</v>
      </c>
      <c r="J159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98" s="133">
        <f>_xlfn.XLOOKUP(Market_Data[[#This Row],[Project Type]],tbl_assumptions_market[Project Category (RERA)],tbl_assumptions_market[Concrete Intensity
(m³ / sq m BUA)],"",0)</f>
        <v>0.45</v>
      </c>
      <c r="L1598" s="134">
        <f>ROUND(Market_Data[[#This Row],[Estimated Built Up Area (sq m)]]*Market_Data[[#This Row],[Concrete Intensity
(m³ / sq m)]],0)</f>
        <v>8415</v>
      </c>
      <c r="M1598" s="135">
        <f>_xlfn.XLOOKUP(Market_Data[[#This Row],[District]],tbl_district_price[District],tbl_district_price[Standard Price
(INR/m³)],"",0)</f>
        <v>6200</v>
      </c>
      <c r="N1598" s="364">
        <f>IF(OR(Market_Data[[#This Row],[Estimated Concrete Demand (m³)]]="",Market_Data[[#This Row],[Avg Price per (₹ / m³)]]=""),"",Market_Data[[#This Row],[Estimated Concrete Demand (m³)]]*Market_Data[[#This Row],[Avg Price per (₹ / m³)]]/10000000)</f>
        <v>5.2172999999999998</v>
      </c>
      <c r="O1598" s="97" t="str">
        <f>IF(Market_Data[[#This Row],[Estimated Concrete Demand (m³)]]="","",
IF(Market_Data[[#This Row],[Estimated Concrete Demand (m³)]]&lt;10000,"Small",
IF(Market_Data[[#This Row],[Estimated Concrete Demand (m³)]]&lt;25000,"Medium",
IF(Market_Data[[#This Row],[Estimated Concrete Demand (m³)]]&lt;100000,"Large","Mega"))))</f>
        <v>Small</v>
      </c>
      <c r="P1598" s="287" t="str">
        <f t="shared" si="26"/>
        <v>GujRERA</v>
      </c>
    </row>
    <row r="1599" spans="1:16">
      <c r="A1599" s="129" t="str">
        <f>_xlfn.XLOOKUP(B1599,$S$9:$S$14,$T$9:$T$14)&amp;"-"&amp;
IF(E1599="Residential/Group Housing","RES",
IF(E1599="Commercial","COM",
IF(E1599="Mixed Development","MIX",
IF(E1599="Plotted Development","PLT","OTH"))))
&amp;"-"&amp;TEXT(COUNTIFS($B$9:B1599,B1599,$E$9:E1599,E1599),"0000")</f>
        <v>SUR-RES-0483</v>
      </c>
      <c r="B1599" s="322" t="s">
        <v>34</v>
      </c>
      <c r="C1599" s="322" t="s">
        <v>34</v>
      </c>
      <c r="D1599" s="323" t="s">
        <v>1789</v>
      </c>
      <c r="E1599" s="132" t="s">
        <v>24</v>
      </c>
      <c r="F1599" s="97" t="str">
        <f ca="1">IF(OR(Market_Data[[#This Row],[Start Date]]="",Market_Data[[#This Row],[Completion Date]]=""),"Needs Validation",IF(Market_Data[[#This Row],[Start Date]]&gt;TODAY(),"Planned",IF(Market_Data[[#This Row],[Completion Date]]&lt;TODAY(),"Completed","Ongoing")))</f>
        <v>Completed</v>
      </c>
      <c r="G1599" s="324">
        <v>44323</v>
      </c>
      <c r="H1599" s="324">
        <v>45747</v>
      </c>
      <c r="I1599" s="325">
        <v>12000</v>
      </c>
      <c r="J159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599" s="133">
        <f>_xlfn.XLOOKUP(Market_Data[[#This Row],[Project Type]],tbl_assumptions_market[Project Category (RERA)],tbl_assumptions_market[Concrete Intensity
(m³ / sq m BUA)],"",0)</f>
        <v>0.45</v>
      </c>
      <c r="L1599" s="134">
        <f>ROUND(Market_Data[[#This Row],[Estimated Built Up Area (sq m)]]*Market_Data[[#This Row],[Concrete Intensity
(m³ / sq m)]],0)</f>
        <v>5400</v>
      </c>
      <c r="M1599" s="135">
        <f>_xlfn.XLOOKUP(Market_Data[[#This Row],[District]],tbl_district_price[District],tbl_district_price[Standard Price
(INR/m³)],"",0)</f>
        <v>6200</v>
      </c>
      <c r="N1599" s="364">
        <f>IF(OR(Market_Data[[#This Row],[Estimated Concrete Demand (m³)]]="",Market_Data[[#This Row],[Avg Price per (₹ / m³)]]=""),"",Market_Data[[#This Row],[Estimated Concrete Demand (m³)]]*Market_Data[[#This Row],[Avg Price per (₹ / m³)]]/10000000)</f>
        <v>3.3479999999999999</v>
      </c>
      <c r="O1599" s="97" t="str">
        <f>IF(Market_Data[[#This Row],[Estimated Concrete Demand (m³)]]="","",
IF(Market_Data[[#This Row],[Estimated Concrete Demand (m³)]]&lt;10000,"Small",
IF(Market_Data[[#This Row],[Estimated Concrete Demand (m³)]]&lt;25000,"Medium",
IF(Market_Data[[#This Row],[Estimated Concrete Demand (m³)]]&lt;100000,"Large","Mega"))))</f>
        <v>Small</v>
      </c>
      <c r="P1599" s="287" t="str">
        <f t="shared" si="26"/>
        <v>GujRERA</v>
      </c>
    </row>
    <row r="1600" spans="1:16">
      <c r="A1600" s="129" t="str">
        <f>_xlfn.XLOOKUP(B1600,$S$9:$S$14,$T$9:$T$14)&amp;"-"&amp;
IF(E1600="Residential/Group Housing","RES",
IF(E1600="Commercial","COM",
IF(E1600="Mixed Development","MIX",
IF(E1600="Plotted Development","PLT","OTH"))))
&amp;"-"&amp;TEXT(COUNTIFS($B$9:B1600,B1600,$E$9:E1600,E1600),"0000")</f>
        <v>SUR-RES-0484</v>
      </c>
      <c r="B1600" s="322" t="s">
        <v>34</v>
      </c>
      <c r="C1600" s="322" t="s">
        <v>34</v>
      </c>
      <c r="D1600" s="323" t="s">
        <v>1790</v>
      </c>
      <c r="E1600" s="132" t="s">
        <v>24</v>
      </c>
      <c r="F1600" s="97" t="str">
        <f ca="1">IF(OR(Market_Data[[#This Row],[Start Date]]="",Market_Data[[#This Row],[Completion Date]]=""),"Needs Validation",IF(Market_Data[[#This Row],[Start Date]]&gt;TODAY(),"Planned",IF(Market_Data[[#This Row],[Completion Date]]&lt;TODAY(),"Completed","Ongoing")))</f>
        <v>Completed</v>
      </c>
      <c r="G1600" s="324">
        <v>44569</v>
      </c>
      <c r="H1600" s="324">
        <v>45991</v>
      </c>
      <c r="I1600" s="325">
        <v>36800</v>
      </c>
      <c r="J160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00" s="133">
        <f>_xlfn.XLOOKUP(Market_Data[[#This Row],[Project Type]],tbl_assumptions_market[Project Category (RERA)],tbl_assumptions_market[Concrete Intensity
(m³ / sq m BUA)],"",0)</f>
        <v>0.45</v>
      </c>
      <c r="L1600" s="134">
        <f>ROUND(Market_Data[[#This Row],[Estimated Built Up Area (sq m)]]*Market_Data[[#This Row],[Concrete Intensity
(m³ / sq m)]],0)</f>
        <v>16560</v>
      </c>
      <c r="M1600" s="135">
        <f>_xlfn.XLOOKUP(Market_Data[[#This Row],[District]],tbl_district_price[District],tbl_district_price[Standard Price
(INR/m³)],"",0)</f>
        <v>6200</v>
      </c>
      <c r="N1600" s="364">
        <f>IF(OR(Market_Data[[#This Row],[Estimated Concrete Demand (m³)]]="",Market_Data[[#This Row],[Avg Price per (₹ / m³)]]=""),"",Market_Data[[#This Row],[Estimated Concrete Demand (m³)]]*Market_Data[[#This Row],[Avg Price per (₹ / m³)]]/10000000)</f>
        <v>10.267200000000001</v>
      </c>
      <c r="O1600" s="97" t="str">
        <f>IF(Market_Data[[#This Row],[Estimated Concrete Demand (m³)]]="","",
IF(Market_Data[[#This Row],[Estimated Concrete Demand (m³)]]&lt;10000,"Small",
IF(Market_Data[[#This Row],[Estimated Concrete Demand (m³)]]&lt;25000,"Medium",
IF(Market_Data[[#This Row],[Estimated Concrete Demand (m³)]]&lt;100000,"Large","Mega"))))</f>
        <v>Medium</v>
      </c>
      <c r="P1600" s="287" t="str">
        <f t="shared" si="26"/>
        <v>GujRERA</v>
      </c>
    </row>
    <row r="1601" spans="1:16">
      <c r="A1601" s="129" t="str">
        <f>_xlfn.XLOOKUP(B1601,$S$9:$S$14,$T$9:$T$14)&amp;"-"&amp;
IF(E1601="Residential/Group Housing","RES",
IF(E1601="Commercial","COM",
IF(E1601="Mixed Development","MIX",
IF(E1601="Plotted Development","PLT","OTH"))))
&amp;"-"&amp;TEXT(COUNTIFS($B$9:B1601,B1601,$E$9:E1601,E1601),"0000")</f>
        <v>SUR-RES-0485</v>
      </c>
      <c r="B1601" s="322" t="s">
        <v>34</v>
      </c>
      <c r="C1601" s="322" t="s">
        <v>34</v>
      </c>
      <c r="D1601" s="323" t="s">
        <v>1791</v>
      </c>
      <c r="E1601" s="132" t="s">
        <v>24</v>
      </c>
      <c r="F1601" s="97" t="str">
        <f ca="1">IF(OR(Market_Data[[#This Row],[Start Date]]="",Market_Data[[#This Row],[Completion Date]]=""),"Needs Validation",IF(Market_Data[[#This Row],[Start Date]]&gt;TODAY(),"Planned",IF(Market_Data[[#This Row],[Completion Date]]&lt;TODAY(),"Completed","Ongoing")))</f>
        <v>Ongoing</v>
      </c>
      <c r="G1601" s="324">
        <v>44714</v>
      </c>
      <c r="H1601" s="324">
        <v>46568</v>
      </c>
      <c r="I1601" s="325">
        <v>41200</v>
      </c>
      <c r="J160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01" s="133">
        <f>_xlfn.XLOOKUP(Market_Data[[#This Row],[Project Type]],tbl_assumptions_market[Project Category (RERA)],tbl_assumptions_market[Concrete Intensity
(m³ / sq m BUA)],"",0)</f>
        <v>0.45</v>
      </c>
      <c r="L1601" s="134">
        <f>ROUND(Market_Data[[#This Row],[Estimated Built Up Area (sq m)]]*Market_Data[[#This Row],[Concrete Intensity
(m³ / sq m)]],0)</f>
        <v>18540</v>
      </c>
      <c r="M1601" s="135">
        <f>_xlfn.XLOOKUP(Market_Data[[#This Row],[District]],tbl_district_price[District],tbl_district_price[Standard Price
(INR/m³)],"",0)</f>
        <v>6200</v>
      </c>
      <c r="N1601" s="364">
        <f>IF(OR(Market_Data[[#This Row],[Estimated Concrete Demand (m³)]]="",Market_Data[[#This Row],[Avg Price per (₹ / m³)]]=""),"",Market_Data[[#This Row],[Estimated Concrete Demand (m³)]]*Market_Data[[#This Row],[Avg Price per (₹ / m³)]]/10000000)</f>
        <v>11.4948</v>
      </c>
      <c r="O1601" s="97" t="str">
        <f>IF(Market_Data[[#This Row],[Estimated Concrete Demand (m³)]]="","",
IF(Market_Data[[#This Row],[Estimated Concrete Demand (m³)]]&lt;10000,"Small",
IF(Market_Data[[#This Row],[Estimated Concrete Demand (m³)]]&lt;25000,"Medium",
IF(Market_Data[[#This Row],[Estimated Concrete Demand (m³)]]&lt;100000,"Large","Mega"))))</f>
        <v>Medium</v>
      </c>
      <c r="P1601" s="287" t="str">
        <f t="shared" si="26"/>
        <v>GujRERA</v>
      </c>
    </row>
    <row r="1602" spans="1:16">
      <c r="A1602" s="129" t="str">
        <f>_xlfn.XLOOKUP(B1602,$S$9:$S$14,$T$9:$T$14)&amp;"-"&amp;
IF(E1602="Residential/Group Housing","RES",
IF(E1602="Commercial","COM",
IF(E1602="Mixed Development","MIX",
IF(E1602="Plotted Development","PLT","OTH"))))
&amp;"-"&amp;TEXT(COUNTIFS($B$9:B1602,B1602,$E$9:E1602,E1602),"0000")</f>
        <v>SUR-COM-0257</v>
      </c>
      <c r="B1602" s="322" t="s">
        <v>34</v>
      </c>
      <c r="C1602" s="322" t="s">
        <v>34</v>
      </c>
      <c r="D1602" s="323" t="s">
        <v>1792</v>
      </c>
      <c r="E1602" s="132" t="s">
        <v>23</v>
      </c>
      <c r="F1602" s="97" t="str">
        <f ca="1">IF(OR(Market_Data[[#This Row],[Start Date]]="",Market_Data[[#This Row],[Completion Date]]=""),"Needs Validation",IF(Market_Data[[#This Row],[Start Date]]&gt;TODAY(),"Planned",IF(Market_Data[[#This Row],[Completion Date]]&lt;TODAY(),"Completed","Ongoing")))</f>
        <v>Completed</v>
      </c>
      <c r="G1602" s="324">
        <v>43191</v>
      </c>
      <c r="H1602" s="324">
        <v>45291</v>
      </c>
      <c r="I1602" s="325">
        <v>39400</v>
      </c>
      <c r="J160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602" s="133">
        <f>_xlfn.XLOOKUP(Market_Data[[#This Row],[Project Type]],tbl_assumptions_market[Project Category (RERA)],tbl_assumptions_market[Concrete Intensity
(m³ / sq m BUA)],"",0)</f>
        <v>0.5</v>
      </c>
      <c r="L1602" s="134">
        <f>ROUND(Market_Data[[#This Row],[Estimated Built Up Area (sq m)]]*Market_Data[[#This Row],[Concrete Intensity
(m³ / sq m)]],0)</f>
        <v>19700</v>
      </c>
      <c r="M1602" s="135">
        <f>_xlfn.XLOOKUP(Market_Data[[#This Row],[District]],tbl_district_price[District],tbl_district_price[Standard Price
(INR/m³)],"",0)</f>
        <v>6200</v>
      </c>
      <c r="N1602" s="364">
        <f>IF(OR(Market_Data[[#This Row],[Estimated Concrete Demand (m³)]]="",Market_Data[[#This Row],[Avg Price per (₹ / m³)]]=""),"",Market_Data[[#This Row],[Estimated Concrete Demand (m³)]]*Market_Data[[#This Row],[Avg Price per (₹ / m³)]]/10000000)</f>
        <v>12.214</v>
      </c>
      <c r="O1602" s="97" t="str">
        <f>IF(Market_Data[[#This Row],[Estimated Concrete Demand (m³)]]="","",
IF(Market_Data[[#This Row],[Estimated Concrete Demand (m³)]]&lt;10000,"Small",
IF(Market_Data[[#This Row],[Estimated Concrete Demand (m³)]]&lt;25000,"Medium",
IF(Market_Data[[#This Row],[Estimated Concrete Demand (m³)]]&lt;100000,"Large","Mega"))))</f>
        <v>Medium</v>
      </c>
      <c r="P1602" s="287" t="str">
        <f t="shared" si="26"/>
        <v>GujRERA</v>
      </c>
    </row>
    <row r="1603" spans="1:16">
      <c r="A1603" s="129" t="str">
        <f>_xlfn.XLOOKUP(B1603,$S$9:$S$14,$T$9:$T$14)&amp;"-"&amp;
IF(E1603="Residential/Group Housing","RES",
IF(E1603="Commercial","COM",
IF(E1603="Mixed Development","MIX",
IF(E1603="Plotted Development","PLT","OTH"))))
&amp;"-"&amp;TEXT(COUNTIFS($B$9:B1603,B1603,$E$9:E1603,E1603),"0000")</f>
        <v>SUR-COM-0258</v>
      </c>
      <c r="B1603" s="322" t="s">
        <v>34</v>
      </c>
      <c r="C1603" s="322" t="s">
        <v>34</v>
      </c>
      <c r="D1603" s="323" t="s">
        <v>1793</v>
      </c>
      <c r="E1603" s="132" t="s">
        <v>23</v>
      </c>
      <c r="F1603" s="97" t="str">
        <f ca="1">IF(OR(Market_Data[[#This Row],[Start Date]]="",Market_Data[[#This Row],[Completion Date]]=""),"Needs Validation",IF(Market_Data[[#This Row],[Start Date]]&gt;TODAY(),"Planned",IF(Market_Data[[#This Row],[Completion Date]]&lt;TODAY(),"Completed","Ongoing")))</f>
        <v>Completed</v>
      </c>
      <c r="G1603" s="324">
        <v>43801</v>
      </c>
      <c r="H1603" s="324">
        <v>45015</v>
      </c>
      <c r="I1603" s="325">
        <v>16800</v>
      </c>
      <c r="J160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03" s="133">
        <f>_xlfn.XLOOKUP(Market_Data[[#This Row],[Project Type]],tbl_assumptions_market[Project Category (RERA)],tbl_assumptions_market[Concrete Intensity
(m³ / sq m BUA)],"",0)</f>
        <v>0.5</v>
      </c>
      <c r="L1603" s="134">
        <f>ROUND(Market_Data[[#This Row],[Estimated Built Up Area (sq m)]]*Market_Data[[#This Row],[Concrete Intensity
(m³ / sq m)]],0)</f>
        <v>8400</v>
      </c>
      <c r="M1603" s="135">
        <f>_xlfn.XLOOKUP(Market_Data[[#This Row],[District]],tbl_district_price[District],tbl_district_price[Standard Price
(INR/m³)],"",0)</f>
        <v>6200</v>
      </c>
      <c r="N1603" s="364">
        <f>IF(OR(Market_Data[[#This Row],[Estimated Concrete Demand (m³)]]="",Market_Data[[#This Row],[Avg Price per (₹ / m³)]]=""),"",Market_Data[[#This Row],[Estimated Concrete Demand (m³)]]*Market_Data[[#This Row],[Avg Price per (₹ / m³)]]/10000000)</f>
        <v>5.2080000000000002</v>
      </c>
      <c r="O1603" s="97" t="str">
        <f>IF(Market_Data[[#This Row],[Estimated Concrete Demand (m³)]]="","",
IF(Market_Data[[#This Row],[Estimated Concrete Demand (m³)]]&lt;10000,"Small",
IF(Market_Data[[#This Row],[Estimated Concrete Demand (m³)]]&lt;25000,"Medium",
IF(Market_Data[[#This Row],[Estimated Concrete Demand (m³)]]&lt;100000,"Large","Mega"))))</f>
        <v>Small</v>
      </c>
      <c r="P1603" s="287" t="str">
        <f t="shared" si="26"/>
        <v>GujRERA</v>
      </c>
    </row>
    <row r="1604" spans="1:16">
      <c r="A1604" s="129" t="str">
        <f>_xlfn.XLOOKUP(B1604,$S$9:$S$14,$T$9:$T$14)&amp;"-"&amp;
IF(E1604="Residential/Group Housing","RES",
IF(E1604="Commercial","COM",
IF(E1604="Mixed Development","MIX",
IF(E1604="Plotted Development","PLT","OTH"))))
&amp;"-"&amp;TEXT(COUNTIFS($B$9:B1604,B1604,$E$9:E1604,E1604),"0000")</f>
        <v>SUR-RES-0486</v>
      </c>
      <c r="B1604" s="322" t="s">
        <v>34</v>
      </c>
      <c r="C1604" s="322" t="s">
        <v>34</v>
      </c>
      <c r="D1604" s="323" t="s">
        <v>1794</v>
      </c>
      <c r="E1604" s="132" t="s">
        <v>24</v>
      </c>
      <c r="F1604" s="97" t="str">
        <f ca="1">IF(OR(Market_Data[[#This Row],[Start Date]]="",Market_Data[[#This Row],[Completion Date]]=""),"Needs Validation",IF(Market_Data[[#This Row],[Start Date]]&gt;TODAY(),"Planned",IF(Market_Data[[#This Row],[Completion Date]]&lt;TODAY(),"Completed","Ongoing")))</f>
        <v>Ongoing</v>
      </c>
      <c r="G1604" s="324">
        <v>45038</v>
      </c>
      <c r="H1604" s="324">
        <v>46752</v>
      </c>
      <c r="I1604" s="325">
        <v>34100</v>
      </c>
      <c r="J160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04" s="133">
        <f>_xlfn.XLOOKUP(Market_Data[[#This Row],[Project Type]],tbl_assumptions_market[Project Category (RERA)],tbl_assumptions_market[Concrete Intensity
(m³ / sq m BUA)],"",0)</f>
        <v>0.45</v>
      </c>
      <c r="L1604" s="134">
        <f>ROUND(Market_Data[[#This Row],[Estimated Built Up Area (sq m)]]*Market_Data[[#This Row],[Concrete Intensity
(m³ / sq m)]],0)</f>
        <v>15345</v>
      </c>
      <c r="M1604" s="135">
        <f>_xlfn.XLOOKUP(Market_Data[[#This Row],[District]],tbl_district_price[District],tbl_district_price[Standard Price
(INR/m³)],"",0)</f>
        <v>6200</v>
      </c>
      <c r="N1604" s="364">
        <f>IF(OR(Market_Data[[#This Row],[Estimated Concrete Demand (m³)]]="",Market_Data[[#This Row],[Avg Price per (₹ / m³)]]=""),"",Market_Data[[#This Row],[Estimated Concrete Demand (m³)]]*Market_Data[[#This Row],[Avg Price per (₹ / m³)]]/10000000)</f>
        <v>9.5138999999999996</v>
      </c>
      <c r="O1604" s="97" t="str">
        <f>IF(Market_Data[[#This Row],[Estimated Concrete Demand (m³)]]="","",
IF(Market_Data[[#This Row],[Estimated Concrete Demand (m³)]]&lt;10000,"Small",
IF(Market_Data[[#This Row],[Estimated Concrete Demand (m³)]]&lt;25000,"Medium",
IF(Market_Data[[#This Row],[Estimated Concrete Demand (m³)]]&lt;100000,"Large","Mega"))))</f>
        <v>Medium</v>
      </c>
      <c r="P1604" s="287" t="str">
        <f t="shared" si="26"/>
        <v>GujRERA</v>
      </c>
    </row>
    <row r="1605" spans="1:16">
      <c r="A1605" s="129" t="str">
        <f>_xlfn.XLOOKUP(B1605,$S$9:$S$14,$T$9:$T$14)&amp;"-"&amp;
IF(E1605="Residential/Group Housing","RES",
IF(E1605="Commercial","COM",
IF(E1605="Mixed Development","MIX",
IF(E1605="Plotted Development","PLT","OTH"))))
&amp;"-"&amp;TEXT(COUNTIFS($B$9:B1605,B1605,$E$9:E1605,E1605),"0000")</f>
        <v>SUR-RES-0487</v>
      </c>
      <c r="B1605" s="322" t="s">
        <v>34</v>
      </c>
      <c r="C1605" s="322" t="s">
        <v>34</v>
      </c>
      <c r="D1605" s="323" t="s">
        <v>1795</v>
      </c>
      <c r="E1605" s="132" t="s">
        <v>24</v>
      </c>
      <c r="F1605" s="97" t="str">
        <f ca="1">IF(OR(Market_Data[[#This Row],[Start Date]]="",Market_Data[[#This Row],[Completion Date]]=""),"Needs Validation",IF(Market_Data[[#This Row],[Start Date]]&gt;TODAY(),"Planned",IF(Market_Data[[#This Row],[Completion Date]]&lt;TODAY(),"Completed","Ongoing")))</f>
        <v>Completed</v>
      </c>
      <c r="G1605" s="324">
        <v>43057</v>
      </c>
      <c r="H1605" s="324">
        <v>44629</v>
      </c>
      <c r="I1605" s="325">
        <v>9400</v>
      </c>
      <c r="J160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05" s="133">
        <f>_xlfn.XLOOKUP(Market_Data[[#This Row],[Project Type]],tbl_assumptions_market[Project Category (RERA)],tbl_assumptions_market[Concrete Intensity
(m³ / sq m BUA)],"",0)</f>
        <v>0.45</v>
      </c>
      <c r="L1605" s="134">
        <f>ROUND(Market_Data[[#This Row],[Estimated Built Up Area (sq m)]]*Market_Data[[#This Row],[Concrete Intensity
(m³ / sq m)]],0)</f>
        <v>4230</v>
      </c>
      <c r="M1605" s="135">
        <f>_xlfn.XLOOKUP(Market_Data[[#This Row],[District]],tbl_district_price[District],tbl_district_price[Standard Price
(INR/m³)],"",0)</f>
        <v>6200</v>
      </c>
      <c r="N1605" s="364">
        <f>IF(OR(Market_Data[[#This Row],[Estimated Concrete Demand (m³)]]="",Market_Data[[#This Row],[Avg Price per (₹ / m³)]]=""),"",Market_Data[[#This Row],[Estimated Concrete Demand (m³)]]*Market_Data[[#This Row],[Avg Price per (₹ / m³)]]/10000000)</f>
        <v>2.6225999999999998</v>
      </c>
      <c r="O1605" s="97" t="str">
        <f>IF(Market_Data[[#This Row],[Estimated Concrete Demand (m³)]]="","",
IF(Market_Data[[#This Row],[Estimated Concrete Demand (m³)]]&lt;10000,"Small",
IF(Market_Data[[#This Row],[Estimated Concrete Demand (m³)]]&lt;25000,"Medium",
IF(Market_Data[[#This Row],[Estimated Concrete Demand (m³)]]&lt;100000,"Large","Mega"))))</f>
        <v>Small</v>
      </c>
      <c r="P1605" s="287" t="str">
        <f t="shared" si="26"/>
        <v>GujRERA</v>
      </c>
    </row>
    <row r="1606" spans="1:16">
      <c r="A1606" s="129" t="str">
        <f>_xlfn.XLOOKUP(B1606,$S$9:$S$14,$T$9:$T$14)&amp;"-"&amp;
IF(E1606="Residential/Group Housing","RES",
IF(E1606="Commercial","COM",
IF(E1606="Mixed Development","MIX",
IF(E1606="Plotted Development","PLT","OTH"))))
&amp;"-"&amp;TEXT(COUNTIFS($B$9:B1606,B1606,$E$9:E1606,E1606),"0000")</f>
        <v>SUR-COM-0259</v>
      </c>
      <c r="B1606" s="322" t="s">
        <v>34</v>
      </c>
      <c r="C1606" s="322" t="s">
        <v>34</v>
      </c>
      <c r="D1606" s="323" t="s">
        <v>1796</v>
      </c>
      <c r="E1606" s="132" t="s">
        <v>23</v>
      </c>
      <c r="F1606" s="97" t="str">
        <f ca="1">IF(OR(Market_Data[[#This Row],[Start Date]]="",Market_Data[[#This Row],[Completion Date]]=""),"Needs Validation",IF(Market_Data[[#This Row],[Start Date]]&gt;TODAY(),"Planned",IF(Market_Data[[#This Row],[Completion Date]]&lt;TODAY(),"Completed","Ongoing")))</f>
        <v>Completed</v>
      </c>
      <c r="G1606" s="324">
        <v>43374</v>
      </c>
      <c r="H1606" s="324">
        <v>44136</v>
      </c>
      <c r="I1606" s="325">
        <v>54700</v>
      </c>
      <c r="J160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606" s="133">
        <f>_xlfn.XLOOKUP(Market_Data[[#This Row],[Project Type]],tbl_assumptions_market[Project Category (RERA)],tbl_assumptions_market[Concrete Intensity
(m³ / sq m BUA)],"",0)</f>
        <v>0.5</v>
      </c>
      <c r="L1606" s="134">
        <f>ROUND(Market_Data[[#This Row],[Estimated Built Up Area (sq m)]]*Market_Data[[#This Row],[Concrete Intensity
(m³ / sq m)]],0)</f>
        <v>27350</v>
      </c>
      <c r="M1606" s="135">
        <f>_xlfn.XLOOKUP(Market_Data[[#This Row],[District]],tbl_district_price[District],tbl_district_price[Standard Price
(INR/m³)],"",0)</f>
        <v>6200</v>
      </c>
      <c r="N1606" s="364">
        <f>IF(OR(Market_Data[[#This Row],[Estimated Concrete Demand (m³)]]="",Market_Data[[#This Row],[Avg Price per (₹ / m³)]]=""),"",Market_Data[[#This Row],[Estimated Concrete Demand (m³)]]*Market_Data[[#This Row],[Avg Price per (₹ / m³)]]/10000000)</f>
        <v>16.957000000000001</v>
      </c>
      <c r="O1606" s="97" t="str">
        <f>IF(Market_Data[[#This Row],[Estimated Concrete Demand (m³)]]="","",
IF(Market_Data[[#This Row],[Estimated Concrete Demand (m³)]]&lt;10000,"Small",
IF(Market_Data[[#This Row],[Estimated Concrete Demand (m³)]]&lt;25000,"Medium",
IF(Market_Data[[#This Row],[Estimated Concrete Demand (m³)]]&lt;100000,"Large","Mega"))))</f>
        <v>Large</v>
      </c>
      <c r="P1606" s="287" t="str">
        <f t="shared" si="26"/>
        <v>GujRERA</v>
      </c>
    </row>
    <row r="1607" spans="1:16">
      <c r="A1607" s="129" t="str">
        <f>_xlfn.XLOOKUP(B1607,$S$9:$S$14,$T$9:$T$14)&amp;"-"&amp;
IF(E1607="Residential/Group Housing","RES",
IF(E1607="Commercial","COM",
IF(E1607="Mixed Development","MIX",
IF(E1607="Plotted Development","PLT","OTH"))))
&amp;"-"&amp;TEXT(COUNTIFS($B$9:B1607,B1607,$E$9:E1607,E1607),"0000")</f>
        <v>SUR-RES-0488</v>
      </c>
      <c r="B1607" s="322" t="s">
        <v>34</v>
      </c>
      <c r="C1607" s="322" t="s">
        <v>34</v>
      </c>
      <c r="D1607" s="323" t="s">
        <v>1797</v>
      </c>
      <c r="E1607" s="132" t="s">
        <v>24</v>
      </c>
      <c r="F1607" s="97" t="str">
        <f ca="1">IF(OR(Market_Data[[#This Row],[Start Date]]="",Market_Data[[#This Row],[Completion Date]]=""),"Needs Validation",IF(Market_Data[[#This Row],[Start Date]]&gt;TODAY(),"Planned",IF(Market_Data[[#This Row],[Completion Date]]&lt;TODAY(),"Completed","Ongoing")))</f>
        <v>Ongoing</v>
      </c>
      <c r="G1607" s="324">
        <v>45037</v>
      </c>
      <c r="H1607" s="324">
        <v>47118</v>
      </c>
      <c r="I1607" s="325">
        <v>48900</v>
      </c>
      <c r="J160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07" s="133">
        <f>_xlfn.XLOOKUP(Market_Data[[#This Row],[Project Type]],tbl_assumptions_market[Project Category (RERA)],tbl_assumptions_market[Concrete Intensity
(m³ / sq m BUA)],"",0)</f>
        <v>0.45</v>
      </c>
      <c r="L1607" s="134">
        <f>ROUND(Market_Data[[#This Row],[Estimated Built Up Area (sq m)]]*Market_Data[[#This Row],[Concrete Intensity
(m³ / sq m)]],0)</f>
        <v>22005</v>
      </c>
      <c r="M1607" s="135">
        <f>_xlfn.XLOOKUP(Market_Data[[#This Row],[District]],tbl_district_price[District],tbl_district_price[Standard Price
(INR/m³)],"",0)</f>
        <v>6200</v>
      </c>
      <c r="N1607" s="364">
        <f>IF(OR(Market_Data[[#This Row],[Estimated Concrete Demand (m³)]]="",Market_Data[[#This Row],[Avg Price per (₹ / m³)]]=""),"",Market_Data[[#This Row],[Estimated Concrete Demand (m³)]]*Market_Data[[#This Row],[Avg Price per (₹ / m³)]]/10000000)</f>
        <v>13.6431</v>
      </c>
      <c r="O1607" s="97" t="str">
        <f>IF(Market_Data[[#This Row],[Estimated Concrete Demand (m³)]]="","",
IF(Market_Data[[#This Row],[Estimated Concrete Demand (m³)]]&lt;10000,"Small",
IF(Market_Data[[#This Row],[Estimated Concrete Demand (m³)]]&lt;25000,"Medium",
IF(Market_Data[[#This Row],[Estimated Concrete Demand (m³)]]&lt;100000,"Large","Mega"))))</f>
        <v>Medium</v>
      </c>
      <c r="P1607" s="287" t="str">
        <f t="shared" si="26"/>
        <v>GujRERA</v>
      </c>
    </row>
    <row r="1608" spans="1:16">
      <c r="A1608" s="129" t="str">
        <f>_xlfn.XLOOKUP(B1608,$S$9:$S$14,$T$9:$T$14)&amp;"-"&amp;
IF(E1608="Residential/Group Housing","RES",
IF(E1608="Commercial","COM",
IF(E1608="Mixed Development","MIX",
IF(E1608="Plotted Development","PLT","OTH"))))
&amp;"-"&amp;TEXT(COUNTIFS($B$9:B1608,B1608,$E$9:E1608,E1608),"0000")</f>
        <v>SUR-RES-0489</v>
      </c>
      <c r="B1608" s="322" t="s">
        <v>34</v>
      </c>
      <c r="C1608" s="322" t="s">
        <v>34</v>
      </c>
      <c r="D1608" s="323" t="s">
        <v>1798</v>
      </c>
      <c r="E1608" s="132" t="s">
        <v>24</v>
      </c>
      <c r="F1608" s="97" t="str">
        <f ca="1">IF(OR(Market_Data[[#This Row],[Start Date]]="",Market_Data[[#This Row],[Completion Date]]=""),"Needs Validation",IF(Market_Data[[#This Row],[Start Date]]&gt;TODAY(),"Planned",IF(Market_Data[[#This Row],[Completion Date]]&lt;TODAY(),"Completed","Ongoing")))</f>
        <v>Ongoing</v>
      </c>
      <c r="G1608" s="324">
        <v>45391</v>
      </c>
      <c r="H1608" s="324">
        <v>47483</v>
      </c>
      <c r="I1608" s="325">
        <v>10500</v>
      </c>
      <c r="J160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08" s="133">
        <f>_xlfn.XLOOKUP(Market_Data[[#This Row],[Project Type]],tbl_assumptions_market[Project Category (RERA)],tbl_assumptions_market[Concrete Intensity
(m³ / sq m BUA)],"",0)</f>
        <v>0.45</v>
      </c>
      <c r="L1608" s="134">
        <f>ROUND(Market_Data[[#This Row],[Estimated Built Up Area (sq m)]]*Market_Data[[#This Row],[Concrete Intensity
(m³ / sq m)]],0)</f>
        <v>4725</v>
      </c>
      <c r="M1608" s="135">
        <f>_xlfn.XLOOKUP(Market_Data[[#This Row],[District]],tbl_district_price[District],tbl_district_price[Standard Price
(INR/m³)],"",0)</f>
        <v>6200</v>
      </c>
      <c r="N1608" s="364">
        <f>IF(OR(Market_Data[[#This Row],[Estimated Concrete Demand (m³)]]="",Market_Data[[#This Row],[Avg Price per (₹ / m³)]]=""),"",Market_Data[[#This Row],[Estimated Concrete Demand (m³)]]*Market_Data[[#This Row],[Avg Price per (₹ / m³)]]/10000000)</f>
        <v>2.9295</v>
      </c>
      <c r="O1608" s="97" t="str">
        <f>IF(Market_Data[[#This Row],[Estimated Concrete Demand (m³)]]="","",
IF(Market_Data[[#This Row],[Estimated Concrete Demand (m³)]]&lt;10000,"Small",
IF(Market_Data[[#This Row],[Estimated Concrete Demand (m³)]]&lt;25000,"Medium",
IF(Market_Data[[#This Row],[Estimated Concrete Demand (m³)]]&lt;100000,"Large","Mega"))))</f>
        <v>Small</v>
      </c>
      <c r="P1608" s="287" t="str">
        <f t="shared" si="26"/>
        <v>GujRERA</v>
      </c>
    </row>
    <row r="1609" spans="1:16">
      <c r="A1609" s="129" t="str">
        <f>_xlfn.XLOOKUP(B1609,$S$9:$S$14,$T$9:$T$14)&amp;"-"&amp;
IF(E1609="Residential/Group Housing","RES",
IF(E1609="Commercial","COM",
IF(E1609="Mixed Development","MIX",
IF(E1609="Plotted Development","PLT","OTH"))))
&amp;"-"&amp;TEXT(COUNTIFS($B$9:B1609,B1609,$E$9:E1609,E1609),"0000")</f>
        <v>SUR-COM-0260</v>
      </c>
      <c r="B1609" s="322" t="s">
        <v>34</v>
      </c>
      <c r="C1609" s="322" t="s">
        <v>34</v>
      </c>
      <c r="D1609" s="323" t="s">
        <v>1799</v>
      </c>
      <c r="E1609" s="132" t="s">
        <v>23</v>
      </c>
      <c r="F1609" s="97" t="str">
        <f ca="1">IF(OR(Market_Data[[#This Row],[Start Date]]="",Market_Data[[#This Row],[Completion Date]]=""),"Needs Validation",IF(Market_Data[[#This Row],[Start Date]]&gt;TODAY(),"Planned",IF(Market_Data[[#This Row],[Completion Date]]&lt;TODAY(),"Completed","Ongoing")))</f>
        <v>Ongoing</v>
      </c>
      <c r="G1609" s="324">
        <v>46027</v>
      </c>
      <c r="H1609" s="324">
        <v>48213</v>
      </c>
      <c r="I1609" s="325">
        <v>9000</v>
      </c>
      <c r="J160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09" s="133">
        <f>_xlfn.XLOOKUP(Market_Data[[#This Row],[Project Type]],tbl_assumptions_market[Project Category (RERA)],tbl_assumptions_market[Concrete Intensity
(m³ / sq m BUA)],"",0)</f>
        <v>0.5</v>
      </c>
      <c r="L1609" s="134">
        <f>ROUND(Market_Data[[#This Row],[Estimated Built Up Area (sq m)]]*Market_Data[[#This Row],[Concrete Intensity
(m³ / sq m)]],0)</f>
        <v>4500</v>
      </c>
      <c r="M1609" s="135">
        <f>_xlfn.XLOOKUP(Market_Data[[#This Row],[District]],tbl_district_price[District],tbl_district_price[Standard Price
(INR/m³)],"",0)</f>
        <v>6200</v>
      </c>
      <c r="N1609" s="364">
        <f>IF(OR(Market_Data[[#This Row],[Estimated Concrete Demand (m³)]]="",Market_Data[[#This Row],[Avg Price per (₹ / m³)]]=""),"",Market_Data[[#This Row],[Estimated Concrete Demand (m³)]]*Market_Data[[#This Row],[Avg Price per (₹ / m³)]]/10000000)</f>
        <v>2.79</v>
      </c>
      <c r="O1609" s="97" t="str">
        <f>IF(Market_Data[[#This Row],[Estimated Concrete Demand (m³)]]="","",
IF(Market_Data[[#This Row],[Estimated Concrete Demand (m³)]]&lt;10000,"Small",
IF(Market_Data[[#This Row],[Estimated Concrete Demand (m³)]]&lt;25000,"Medium",
IF(Market_Data[[#This Row],[Estimated Concrete Demand (m³)]]&lt;100000,"Large","Mega"))))</f>
        <v>Small</v>
      </c>
      <c r="P1609" s="287" t="str">
        <f t="shared" si="26"/>
        <v>GujRERA</v>
      </c>
    </row>
    <row r="1610" spans="1:16">
      <c r="A1610" s="129" t="str">
        <f>_xlfn.XLOOKUP(B1610,$S$9:$S$14,$T$9:$T$14)&amp;"-"&amp;
IF(E1610="Residential/Group Housing","RES",
IF(E1610="Commercial","COM",
IF(E1610="Mixed Development","MIX",
IF(E1610="Plotted Development","PLT","OTH"))))
&amp;"-"&amp;TEXT(COUNTIFS($B$9:B1610,B1610,$E$9:E1610,E1610),"0000")</f>
        <v>SUR-COM-0261</v>
      </c>
      <c r="B1610" s="322" t="s">
        <v>34</v>
      </c>
      <c r="C1610" s="322" t="s">
        <v>34</v>
      </c>
      <c r="D1610" s="323" t="s">
        <v>1800</v>
      </c>
      <c r="E1610" s="132" t="s">
        <v>23</v>
      </c>
      <c r="F1610" s="97" t="str">
        <f ca="1">IF(OR(Market_Data[[#This Row],[Start Date]]="",Market_Data[[#This Row],[Completion Date]]=""),"Needs Validation",IF(Market_Data[[#This Row],[Start Date]]&gt;TODAY(),"Planned",IF(Market_Data[[#This Row],[Completion Date]]&lt;TODAY(),"Completed","Ongoing")))</f>
        <v>Completed</v>
      </c>
      <c r="G1610" s="324">
        <v>43070</v>
      </c>
      <c r="H1610" s="324">
        <v>44650</v>
      </c>
      <c r="I1610" s="325">
        <v>17700</v>
      </c>
      <c r="J161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10" s="133">
        <f>_xlfn.XLOOKUP(Market_Data[[#This Row],[Project Type]],tbl_assumptions_market[Project Category (RERA)],tbl_assumptions_market[Concrete Intensity
(m³ / sq m BUA)],"",0)</f>
        <v>0.5</v>
      </c>
      <c r="L1610" s="134">
        <f>ROUND(Market_Data[[#This Row],[Estimated Built Up Area (sq m)]]*Market_Data[[#This Row],[Concrete Intensity
(m³ / sq m)]],0)</f>
        <v>8850</v>
      </c>
      <c r="M1610" s="135">
        <f>_xlfn.XLOOKUP(Market_Data[[#This Row],[District]],tbl_district_price[District],tbl_district_price[Standard Price
(INR/m³)],"",0)</f>
        <v>6200</v>
      </c>
      <c r="N1610" s="364">
        <f>IF(OR(Market_Data[[#This Row],[Estimated Concrete Demand (m³)]]="",Market_Data[[#This Row],[Avg Price per (₹ / m³)]]=""),"",Market_Data[[#This Row],[Estimated Concrete Demand (m³)]]*Market_Data[[#This Row],[Avg Price per (₹ / m³)]]/10000000)</f>
        <v>5.4870000000000001</v>
      </c>
      <c r="O1610" s="97" t="str">
        <f>IF(Market_Data[[#This Row],[Estimated Concrete Demand (m³)]]="","",
IF(Market_Data[[#This Row],[Estimated Concrete Demand (m³)]]&lt;10000,"Small",
IF(Market_Data[[#This Row],[Estimated Concrete Demand (m³)]]&lt;25000,"Medium",
IF(Market_Data[[#This Row],[Estimated Concrete Demand (m³)]]&lt;100000,"Large","Mega"))))</f>
        <v>Small</v>
      </c>
      <c r="P1610" s="287" t="str">
        <f t="shared" ref="P1610:P1673" si="27">HYPERLINK(
"https://gujrera.gujarat.gov.in",
"GujRERA")</f>
        <v>GujRERA</v>
      </c>
    </row>
    <row r="1611" spans="1:16">
      <c r="A1611" s="129" t="str">
        <f>_xlfn.XLOOKUP(B1611,$S$9:$S$14,$T$9:$T$14)&amp;"-"&amp;
IF(E1611="Residential/Group Housing","RES",
IF(E1611="Commercial","COM",
IF(E1611="Mixed Development","MIX",
IF(E1611="Plotted Development","PLT","OTH"))))
&amp;"-"&amp;TEXT(COUNTIFS($B$9:B1611,B1611,$E$9:E1611,E1611),"0000")</f>
        <v>SUR-RES-0490</v>
      </c>
      <c r="B1611" s="322" t="s">
        <v>34</v>
      </c>
      <c r="C1611" s="322" t="s">
        <v>34</v>
      </c>
      <c r="D1611" s="323" t="s">
        <v>1801</v>
      </c>
      <c r="E1611" s="132" t="s">
        <v>24</v>
      </c>
      <c r="F1611" s="97" t="str">
        <f ca="1">IF(OR(Market_Data[[#This Row],[Start Date]]="",Market_Data[[#This Row],[Completion Date]]=""),"Needs Validation",IF(Market_Data[[#This Row],[Start Date]]&gt;TODAY(),"Planned",IF(Market_Data[[#This Row],[Completion Date]]&lt;TODAY(),"Completed","Ongoing")))</f>
        <v>Completed</v>
      </c>
      <c r="G1611" s="324">
        <v>42313</v>
      </c>
      <c r="H1611" s="324">
        <v>43280</v>
      </c>
      <c r="I1611" s="325">
        <v>2100</v>
      </c>
      <c r="J161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11" s="133">
        <f>_xlfn.XLOOKUP(Market_Data[[#This Row],[Project Type]],tbl_assumptions_market[Project Category (RERA)],tbl_assumptions_market[Concrete Intensity
(m³ / sq m BUA)],"",0)</f>
        <v>0.45</v>
      </c>
      <c r="L1611" s="134">
        <f>ROUND(Market_Data[[#This Row],[Estimated Built Up Area (sq m)]]*Market_Data[[#This Row],[Concrete Intensity
(m³ / sq m)]],0)</f>
        <v>945</v>
      </c>
      <c r="M1611" s="135">
        <f>_xlfn.XLOOKUP(Market_Data[[#This Row],[District]],tbl_district_price[District],tbl_district_price[Standard Price
(INR/m³)],"",0)</f>
        <v>6200</v>
      </c>
      <c r="N1611" s="364">
        <f>IF(OR(Market_Data[[#This Row],[Estimated Concrete Demand (m³)]]="",Market_Data[[#This Row],[Avg Price per (₹ / m³)]]=""),"",Market_Data[[#This Row],[Estimated Concrete Demand (m³)]]*Market_Data[[#This Row],[Avg Price per (₹ / m³)]]/10000000)</f>
        <v>0.58589999999999998</v>
      </c>
      <c r="O1611" s="97" t="str">
        <f>IF(Market_Data[[#This Row],[Estimated Concrete Demand (m³)]]="","",
IF(Market_Data[[#This Row],[Estimated Concrete Demand (m³)]]&lt;10000,"Small",
IF(Market_Data[[#This Row],[Estimated Concrete Demand (m³)]]&lt;25000,"Medium",
IF(Market_Data[[#This Row],[Estimated Concrete Demand (m³)]]&lt;100000,"Large","Mega"))))</f>
        <v>Small</v>
      </c>
      <c r="P1611" s="287" t="str">
        <f t="shared" si="27"/>
        <v>GujRERA</v>
      </c>
    </row>
    <row r="1612" spans="1:16">
      <c r="A1612" s="129" t="str">
        <f>_xlfn.XLOOKUP(B1612,$S$9:$S$14,$T$9:$T$14)&amp;"-"&amp;
IF(E1612="Residential/Group Housing","RES",
IF(E1612="Commercial","COM",
IF(E1612="Mixed Development","MIX",
IF(E1612="Plotted Development","PLT","OTH"))))
&amp;"-"&amp;TEXT(COUNTIFS($B$9:B1612,B1612,$E$9:E1612,E1612),"0000")</f>
        <v>SUR-COM-0262</v>
      </c>
      <c r="B1612" s="322" t="s">
        <v>34</v>
      </c>
      <c r="C1612" s="322" t="s">
        <v>34</v>
      </c>
      <c r="D1612" s="323" t="s">
        <v>1802</v>
      </c>
      <c r="E1612" s="132" t="s">
        <v>23</v>
      </c>
      <c r="F1612" s="97" t="str">
        <f ca="1">IF(OR(Market_Data[[#This Row],[Start Date]]="",Market_Data[[#This Row],[Completion Date]]=""),"Needs Validation",IF(Market_Data[[#This Row],[Start Date]]&gt;TODAY(),"Planned",IF(Market_Data[[#This Row],[Completion Date]]&lt;TODAY(),"Completed","Ongoing")))</f>
        <v>Ongoing</v>
      </c>
      <c r="G1612" s="324">
        <v>45425</v>
      </c>
      <c r="H1612" s="324">
        <v>47483</v>
      </c>
      <c r="I1612" s="325">
        <v>17900</v>
      </c>
      <c r="J161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12" s="133">
        <f>_xlfn.XLOOKUP(Market_Data[[#This Row],[Project Type]],tbl_assumptions_market[Project Category (RERA)],tbl_assumptions_market[Concrete Intensity
(m³ / sq m BUA)],"",0)</f>
        <v>0.5</v>
      </c>
      <c r="L1612" s="134">
        <f>ROUND(Market_Data[[#This Row],[Estimated Built Up Area (sq m)]]*Market_Data[[#This Row],[Concrete Intensity
(m³ / sq m)]],0)</f>
        <v>8950</v>
      </c>
      <c r="M1612" s="135">
        <f>_xlfn.XLOOKUP(Market_Data[[#This Row],[District]],tbl_district_price[District],tbl_district_price[Standard Price
(INR/m³)],"",0)</f>
        <v>6200</v>
      </c>
      <c r="N1612" s="364">
        <f>IF(OR(Market_Data[[#This Row],[Estimated Concrete Demand (m³)]]="",Market_Data[[#This Row],[Avg Price per (₹ / m³)]]=""),"",Market_Data[[#This Row],[Estimated Concrete Demand (m³)]]*Market_Data[[#This Row],[Avg Price per (₹ / m³)]]/10000000)</f>
        <v>5.5490000000000004</v>
      </c>
      <c r="O1612" s="97" t="str">
        <f>IF(Market_Data[[#This Row],[Estimated Concrete Demand (m³)]]="","",
IF(Market_Data[[#This Row],[Estimated Concrete Demand (m³)]]&lt;10000,"Small",
IF(Market_Data[[#This Row],[Estimated Concrete Demand (m³)]]&lt;25000,"Medium",
IF(Market_Data[[#This Row],[Estimated Concrete Demand (m³)]]&lt;100000,"Large","Mega"))))</f>
        <v>Small</v>
      </c>
      <c r="P1612" s="287" t="str">
        <f t="shared" si="27"/>
        <v>GujRERA</v>
      </c>
    </row>
    <row r="1613" spans="1:16">
      <c r="A1613" s="129" t="str">
        <f>_xlfn.XLOOKUP(B1613,$S$9:$S$14,$T$9:$T$14)&amp;"-"&amp;
IF(E1613="Residential/Group Housing","RES",
IF(E1613="Commercial","COM",
IF(E1613="Mixed Development","MIX",
IF(E1613="Plotted Development","PLT","OTH"))))
&amp;"-"&amp;TEXT(COUNTIFS($B$9:B1613,B1613,$E$9:E1613,E1613),"0000")</f>
        <v>SUR-RES-0491</v>
      </c>
      <c r="B1613" s="322" t="s">
        <v>34</v>
      </c>
      <c r="C1613" s="322" t="s">
        <v>34</v>
      </c>
      <c r="D1613" s="323" t="s">
        <v>1803</v>
      </c>
      <c r="E1613" s="132" t="s">
        <v>24</v>
      </c>
      <c r="F1613" s="97" t="str">
        <f ca="1">IF(OR(Market_Data[[#This Row],[Start Date]]="",Market_Data[[#This Row],[Completion Date]]=""),"Needs Validation",IF(Market_Data[[#This Row],[Start Date]]&gt;TODAY(),"Planned",IF(Market_Data[[#This Row],[Completion Date]]&lt;TODAY(),"Completed","Ongoing")))</f>
        <v>Completed</v>
      </c>
      <c r="G1613" s="324">
        <v>43087</v>
      </c>
      <c r="H1613" s="324">
        <v>44607</v>
      </c>
      <c r="I1613" s="325">
        <v>30800</v>
      </c>
      <c r="J161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13" s="133">
        <f>_xlfn.XLOOKUP(Market_Data[[#This Row],[Project Type]],tbl_assumptions_market[Project Category (RERA)],tbl_assumptions_market[Concrete Intensity
(m³ / sq m BUA)],"",0)</f>
        <v>0.45</v>
      </c>
      <c r="L1613" s="134">
        <f>ROUND(Market_Data[[#This Row],[Estimated Built Up Area (sq m)]]*Market_Data[[#This Row],[Concrete Intensity
(m³ / sq m)]],0)</f>
        <v>13860</v>
      </c>
      <c r="M1613" s="135">
        <f>_xlfn.XLOOKUP(Market_Data[[#This Row],[District]],tbl_district_price[District],tbl_district_price[Standard Price
(INR/m³)],"",0)</f>
        <v>6200</v>
      </c>
      <c r="N1613" s="364">
        <f>IF(OR(Market_Data[[#This Row],[Estimated Concrete Demand (m³)]]="",Market_Data[[#This Row],[Avg Price per (₹ / m³)]]=""),"",Market_Data[[#This Row],[Estimated Concrete Demand (m³)]]*Market_Data[[#This Row],[Avg Price per (₹ / m³)]]/10000000)</f>
        <v>8.5931999999999995</v>
      </c>
      <c r="O1613" s="97" t="str">
        <f>IF(Market_Data[[#This Row],[Estimated Concrete Demand (m³)]]="","",
IF(Market_Data[[#This Row],[Estimated Concrete Demand (m³)]]&lt;10000,"Small",
IF(Market_Data[[#This Row],[Estimated Concrete Demand (m³)]]&lt;25000,"Medium",
IF(Market_Data[[#This Row],[Estimated Concrete Demand (m³)]]&lt;100000,"Large","Mega"))))</f>
        <v>Medium</v>
      </c>
      <c r="P1613" s="287" t="str">
        <f t="shared" si="27"/>
        <v>GujRERA</v>
      </c>
    </row>
    <row r="1614" spans="1:16">
      <c r="A1614" s="129" t="str">
        <f>_xlfn.XLOOKUP(B1614,$S$9:$S$14,$T$9:$T$14)&amp;"-"&amp;
IF(E1614="Residential/Group Housing","RES",
IF(E1614="Commercial","COM",
IF(E1614="Mixed Development","MIX",
IF(E1614="Plotted Development","PLT","OTH"))))
&amp;"-"&amp;TEXT(COUNTIFS($B$9:B1614,B1614,$E$9:E1614,E1614),"0000")</f>
        <v>SUR-RES-0492</v>
      </c>
      <c r="B1614" s="322" t="s">
        <v>34</v>
      </c>
      <c r="C1614" s="322" t="s">
        <v>34</v>
      </c>
      <c r="D1614" s="323" t="s">
        <v>1804</v>
      </c>
      <c r="E1614" s="132" t="s">
        <v>24</v>
      </c>
      <c r="F1614" s="97" t="str">
        <f ca="1">IF(OR(Market_Data[[#This Row],[Start Date]]="",Market_Data[[#This Row],[Completion Date]]=""),"Needs Validation",IF(Market_Data[[#This Row],[Start Date]]&gt;TODAY(),"Planned",IF(Market_Data[[#This Row],[Completion Date]]&lt;TODAY(),"Completed","Ongoing")))</f>
        <v>Ongoing</v>
      </c>
      <c r="G1614" s="324">
        <v>45545</v>
      </c>
      <c r="H1614" s="324">
        <v>47848</v>
      </c>
      <c r="I1614" s="325">
        <v>7700</v>
      </c>
      <c r="J161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14" s="133">
        <f>_xlfn.XLOOKUP(Market_Data[[#This Row],[Project Type]],tbl_assumptions_market[Project Category (RERA)],tbl_assumptions_market[Concrete Intensity
(m³ / sq m BUA)],"",0)</f>
        <v>0.45</v>
      </c>
      <c r="L1614" s="134">
        <f>ROUND(Market_Data[[#This Row],[Estimated Built Up Area (sq m)]]*Market_Data[[#This Row],[Concrete Intensity
(m³ / sq m)]],0)</f>
        <v>3465</v>
      </c>
      <c r="M1614" s="135">
        <f>_xlfn.XLOOKUP(Market_Data[[#This Row],[District]],tbl_district_price[District],tbl_district_price[Standard Price
(INR/m³)],"",0)</f>
        <v>6200</v>
      </c>
      <c r="N1614" s="364">
        <f>IF(OR(Market_Data[[#This Row],[Estimated Concrete Demand (m³)]]="",Market_Data[[#This Row],[Avg Price per (₹ / m³)]]=""),"",Market_Data[[#This Row],[Estimated Concrete Demand (m³)]]*Market_Data[[#This Row],[Avg Price per (₹ / m³)]]/10000000)</f>
        <v>2.1482999999999999</v>
      </c>
      <c r="O1614" s="97" t="str">
        <f>IF(Market_Data[[#This Row],[Estimated Concrete Demand (m³)]]="","",
IF(Market_Data[[#This Row],[Estimated Concrete Demand (m³)]]&lt;10000,"Small",
IF(Market_Data[[#This Row],[Estimated Concrete Demand (m³)]]&lt;25000,"Medium",
IF(Market_Data[[#This Row],[Estimated Concrete Demand (m³)]]&lt;100000,"Large","Mega"))))</f>
        <v>Small</v>
      </c>
      <c r="P1614" s="287" t="str">
        <f t="shared" si="27"/>
        <v>GujRERA</v>
      </c>
    </row>
    <row r="1615" spans="1:16">
      <c r="A1615" s="129" t="str">
        <f>_xlfn.XLOOKUP(B1615,$S$9:$S$14,$T$9:$T$14)&amp;"-"&amp;
IF(E1615="Residential/Group Housing","RES",
IF(E1615="Commercial","COM",
IF(E1615="Mixed Development","MIX",
IF(E1615="Plotted Development","PLT","OTH"))))
&amp;"-"&amp;TEXT(COUNTIFS($B$9:B1615,B1615,$E$9:E1615,E1615),"0000")</f>
        <v>SUR-COM-0263</v>
      </c>
      <c r="B1615" s="322" t="s">
        <v>34</v>
      </c>
      <c r="C1615" s="322" t="s">
        <v>34</v>
      </c>
      <c r="D1615" s="323" t="s">
        <v>1805</v>
      </c>
      <c r="E1615" s="132" t="s">
        <v>23</v>
      </c>
      <c r="F1615" s="97" t="str">
        <f ca="1">IF(OR(Market_Data[[#This Row],[Start Date]]="",Market_Data[[#This Row],[Completion Date]]=""),"Needs Validation",IF(Market_Data[[#This Row],[Start Date]]&gt;TODAY(),"Planned",IF(Market_Data[[#This Row],[Completion Date]]&lt;TODAY(),"Completed","Ongoing")))</f>
        <v>Ongoing</v>
      </c>
      <c r="G1615" s="324">
        <v>45028</v>
      </c>
      <c r="H1615" s="324">
        <v>46721</v>
      </c>
      <c r="I1615" s="325">
        <v>31600</v>
      </c>
      <c r="J161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615" s="133">
        <f>_xlfn.XLOOKUP(Market_Data[[#This Row],[Project Type]],tbl_assumptions_market[Project Category (RERA)],tbl_assumptions_market[Concrete Intensity
(m³ / sq m BUA)],"",0)</f>
        <v>0.5</v>
      </c>
      <c r="L1615" s="134">
        <f>ROUND(Market_Data[[#This Row],[Estimated Built Up Area (sq m)]]*Market_Data[[#This Row],[Concrete Intensity
(m³ / sq m)]],0)</f>
        <v>15800</v>
      </c>
      <c r="M1615" s="135">
        <f>_xlfn.XLOOKUP(Market_Data[[#This Row],[District]],tbl_district_price[District],tbl_district_price[Standard Price
(INR/m³)],"",0)</f>
        <v>6200</v>
      </c>
      <c r="N1615" s="364">
        <f>IF(OR(Market_Data[[#This Row],[Estimated Concrete Demand (m³)]]="",Market_Data[[#This Row],[Avg Price per (₹ / m³)]]=""),"",Market_Data[[#This Row],[Estimated Concrete Demand (m³)]]*Market_Data[[#This Row],[Avg Price per (₹ / m³)]]/10000000)</f>
        <v>9.7959999999999994</v>
      </c>
      <c r="O1615" s="97" t="str">
        <f>IF(Market_Data[[#This Row],[Estimated Concrete Demand (m³)]]="","",
IF(Market_Data[[#This Row],[Estimated Concrete Demand (m³)]]&lt;10000,"Small",
IF(Market_Data[[#This Row],[Estimated Concrete Demand (m³)]]&lt;25000,"Medium",
IF(Market_Data[[#This Row],[Estimated Concrete Demand (m³)]]&lt;100000,"Large","Mega"))))</f>
        <v>Medium</v>
      </c>
      <c r="P1615" s="287" t="str">
        <f t="shared" si="27"/>
        <v>GujRERA</v>
      </c>
    </row>
    <row r="1616" spans="1:16">
      <c r="A1616" s="129" t="str">
        <f>_xlfn.XLOOKUP(B1616,$S$9:$S$14,$T$9:$T$14)&amp;"-"&amp;
IF(E1616="Residential/Group Housing","RES",
IF(E1616="Commercial","COM",
IF(E1616="Mixed Development","MIX",
IF(E1616="Plotted Development","PLT","OTH"))))
&amp;"-"&amp;TEXT(COUNTIFS($B$9:B1616,B1616,$E$9:E1616,E1616),"0000")</f>
        <v>SUR-MIX-0241</v>
      </c>
      <c r="B1616" s="322" t="s">
        <v>34</v>
      </c>
      <c r="C1616" s="322" t="s">
        <v>34</v>
      </c>
      <c r="D1616" s="323" t="s">
        <v>1806</v>
      </c>
      <c r="E1616" s="132" t="s">
        <v>25</v>
      </c>
      <c r="F1616" s="97" t="str">
        <f ca="1">IF(OR(Market_Data[[#This Row],[Start Date]]="",Market_Data[[#This Row],[Completion Date]]=""),"Needs Validation",IF(Market_Data[[#This Row],[Start Date]]&gt;TODAY(),"Planned",IF(Market_Data[[#This Row],[Completion Date]]&lt;TODAY(),"Completed","Ongoing")))</f>
        <v>Completed</v>
      </c>
      <c r="G1616" s="324">
        <v>42703</v>
      </c>
      <c r="H1616" s="324">
        <v>43982</v>
      </c>
      <c r="I1616" s="325">
        <v>102500</v>
      </c>
      <c r="J161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16" s="133">
        <f>_xlfn.XLOOKUP(Market_Data[[#This Row],[Project Type]],tbl_assumptions_market[Project Category (RERA)],tbl_assumptions_market[Concrete Intensity
(m³ / sq m BUA)],"",0)</f>
        <v>0.42</v>
      </c>
      <c r="L1616" s="134">
        <f>ROUND(Market_Data[[#This Row],[Estimated Built Up Area (sq m)]]*Market_Data[[#This Row],[Concrete Intensity
(m³ / sq m)]],0)</f>
        <v>43050</v>
      </c>
      <c r="M1616" s="135">
        <f>_xlfn.XLOOKUP(Market_Data[[#This Row],[District]],tbl_district_price[District],tbl_district_price[Standard Price
(INR/m³)],"",0)</f>
        <v>6200</v>
      </c>
      <c r="N1616" s="364">
        <f>IF(OR(Market_Data[[#This Row],[Estimated Concrete Demand (m³)]]="",Market_Data[[#This Row],[Avg Price per (₹ / m³)]]=""),"",Market_Data[[#This Row],[Estimated Concrete Demand (m³)]]*Market_Data[[#This Row],[Avg Price per (₹ / m³)]]/10000000)</f>
        <v>26.690999999999999</v>
      </c>
      <c r="O1616" s="97" t="str">
        <f>IF(Market_Data[[#This Row],[Estimated Concrete Demand (m³)]]="","",
IF(Market_Data[[#This Row],[Estimated Concrete Demand (m³)]]&lt;10000,"Small",
IF(Market_Data[[#This Row],[Estimated Concrete Demand (m³)]]&lt;25000,"Medium",
IF(Market_Data[[#This Row],[Estimated Concrete Demand (m³)]]&lt;100000,"Large","Mega"))))</f>
        <v>Large</v>
      </c>
      <c r="P1616" s="287" t="str">
        <f t="shared" si="27"/>
        <v>GujRERA</v>
      </c>
    </row>
    <row r="1617" spans="1:16">
      <c r="A1617" s="129" t="str">
        <f>_xlfn.XLOOKUP(B1617,$S$9:$S$14,$T$9:$T$14)&amp;"-"&amp;
IF(E1617="Residential/Group Housing","RES",
IF(E1617="Commercial","COM",
IF(E1617="Mixed Development","MIX",
IF(E1617="Plotted Development","PLT","OTH"))))
&amp;"-"&amp;TEXT(COUNTIFS($B$9:B1617,B1617,$E$9:E1617,E1617),"0000")</f>
        <v>SUR-RES-0493</v>
      </c>
      <c r="B1617" s="322" t="s">
        <v>34</v>
      </c>
      <c r="C1617" s="322" t="s">
        <v>34</v>
      </c>
      <c r="D1617" s="323" t="s">
        <v>1807</v>
      </c>
      <c r="E1617" s="132" t="s">
        <v>24</v>
      </c>
      <c r="F1617" s="97" t="str">
        <f ca="1">IF(OR(Market_Data[[#This Row],[Start Date]]="",Market_Data[[#This Row],[Completion Date]]=""),"Needs Validation",IF(Market_Data[[#This Row],[Start Date]]&gt;TODAY(),"Planned",IF(Market_Data[[#This Row],[Completion Date]]&lt;TODAY(),"Completed","Ongoing")))</f>
        <v>Completed</v>
      </c>
      <c r="G1617" s="324">
        <v>43191</v>
      </c>
      <c r="H1617" s="324">
        <v>44530</v>
      </c>
      <c r="I1617" s="325">
        <v>49500</v>
      </c>
      <c r="J161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17" s="133">
        <f>_xlfn.XLOOKUP(Market_Data[[#This Row],[Project Type]],tbl_assumptions_market[Project Category (RERA)],tbl_assumptions_market[Concrete Intensity
(m³ / sq m BUA)],"",0)</f>
        <v>0.45</v>
      </c>
      <c r="L1617" s="134">
        <f>ROUND(Market_Data[[#This Row],[Estimated Built Up Area (sq m)]]*Market_Data[[#This Row],[Concrete Intensity
(m³ / sq m)]],0)</f>
        <v>22275</v>
      </c>
      <c r="M1617" s="135">
        <f>_xlfn.XLOOKUP(Market_Data[[#This Row],[District]],tbl_district_price[District],tbl_district_price[Standard Price
(INR/m³)],"",0)</f>
        <v>6200</v>
      </c>
      <c r="N1617" s="364">
        <f>IF(OR(Market_Data[[#This Row],[Estimated Concrete Demand (m³)]]="",Market_Data[[#This Row],[Avg Price per (₹ / m³)]]=""),"",Market_Data[[#This Row],[Estimated Concrete Demand (m³)]]*Market_Data[[#This Row],[Avg Price per (₹ / m³)]]/10000000)</f>
        <v>13.810499999999999</v>
      </c>
      <c r="O1617" s="97" t="str">
        <f>IF(Market_Data[[#This Row],[Estimated Concrete Demand (m³)]]="","",
IF(Market_Data[[#This Row],[Estimated Concrete Demand (m³)]]&lt;10000,"Small",
IF(Market_Data[[#This Row],[Estimated Concrete Demand (m³)]]&lt;25000,"Medium",
IF(Market_Data[[#This Row],[Estimated Concrete Demand (m³)]]&lt;100000,"Large","Mega"))))</f>
        <v>Medium</v>
      </c>
      <c r="P1617" s="287" t="str">
        <f t="shared" si="27"/>
        <v>GujRERA</v>
      </c>
    </row>
    <row r="1618" spans="1:16">
      <c r="A1618" s="129" t="str">
        <f>_xlfn.XLOOKUP(B1618,$S$9:$S$14,$T$9:$T$14)&amp;"-"&amp;
IF(E1618="Residential/Group Housing","RES",
IF(E1618="Commercial","COM",
IF(E1618="Mixed Development","MIX",
IF(E1618="Plotted Development","PLT","OTH"))))
&amp;"-"&amp;TEXT(COUNTIFS($B$9:B1618,B1618,$E$9:E1618,E1618),"0000")</f>
        <v>SUR-COM-0264</v>
      </c>
      <c r="B1618" s="322" t="s">
        <v>34</v>
      </c>
      <c r="C1618" s="322" t="s">
        <v>34</v>
      </c>
      <c r="D1618" s="323" t="s">
        <v>1808</v>
      </c>
      <c r="E1618" s="132" t="s">
        <v>23</v>
      </c>
      <c r="F1618" s="97" t="str">
        <f ca="1">IF(OR(Market_Data[[#This Row],[Start Date]]="",Market_Data[[#This Row],[Completion Date]]=""),"Needs Validation",IF(Market_Data[[#This Row],[Start Date]]&gt;TODAY(),"Planned",IF(Market_Data[[#This Row],[Completion Date]]&lt;TODAY(),"Completed","Ongoing")))</f>
        <v>Ongoing</v>
      </c>
      <c r="G1618" s="324">
        <v>45911</v>
      </c>
      <c r="H1618" s="324">
        <v>46752</v>
      </c>
      <c r="I1618" s="325">
        <v>2600</v>
      </c>
      <c r="J161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18" s="133">
        <f>_xlfn.XLOOKUP(Market_Data[[#This Row],[Project Type]],tbl_assumptions_market[Project Category (RERA)],tbl_assumptions_market[Concrete Intensity
(m³ / sq m BUA)],"",0)</f>
        <v>0.5</v>
      </c>
      <c r="L1618" s="134">
        <f>ROUND(Market_Data[[#This Row],[Estimated Built Up Area (sq m)]]*Market_Data[[#This Row],[Concrete Intensity
(m³ / sq m)]],0)</f>
        <v>1300</v>
      </c>
      <c r="M1618" s="135">
        <f>_xlfn.XLOOKUP(Market_Data[[#This Row],[District]],tbl_district_price[District],tbl_district_price[Standard Price
(INR/m³)],"",0)</f>
        <v>6200</v>
      </c>
      <c r="N1618" s="364">
        <f>IF(OR(Market_Data[[#This Row],[Estimated Concrete Demand (m³)]]="",Market_Data[[#This Row],[Avg Price per (₹ / m³)]]=""),"",Market_Data[[#This Row],[Estimated Concrete Demand (m³)]]*Market_Data[[#This Row],[Avg Price per (₹ / m³)]]/10000000)</f>
        <v>0.80600000000000005</v>
      </c>
      <c r="O1618" s="97" t="str">
        <f>IF(Market_Data[[#This Row],[Estimated Concrete Demand (m³)]]="","",
IF(Market_Data[[#This Row],[Estimated Concrete Demand (m³)]]&lt;10000,"Small",
IF(Market_Data[[#This Row],[Estimated Concrete Demand (m³)]]&lt;25000,"Medium",
IF(Market_Data[[#This Row],[Estimated Concrete Demand (m³)]]&lt;100000,"Large","Mega"))))</f>
        <v>Small</v>
      </c>
      <c r="P1618" s="287" t="str">
        <f t="shared" si="27"/>
        <v>GujRERA</v>
      </c>
    </row>
    <row r="1619" spans="1:16">
      <c r="A1619" s="129" t="str">
        <f>_xlfn.XLOOKUP(B1619,$S$9:$S$14,$T$9:$T$14)&amp;"-"&amp;
IF(E1619="Residential/Group Housing","RES",
IF(E1619="Commercial","COM",
IF(E1619="Mixed Development","MIX",
IF(E1619="Plotted Development","PLT","OTH"))))
&amp;"-"&amp;TEXT(COUNTIFS($B$9:B1619,B1619,$E$9:E1619,E1619),"0000")</f>
        <v>SUR-COM-0265</v>
      </c>
      <c r="B1619" s="322" t="s">
        <v>34</v>
      </c>
      <c r="C1619" s="322" t="s">
        <v>34</v>
      </c>
      <c r="D1619" s="323" t="s">
        <v>1809</v>
      </c>
      <c r="E1619" s="132" t="s">
        <v>23</v>
      </c>
      <c r="F1619" s="97" t="str">
        <f ca="1">IF(OR(Market_Data[[#This Row],[Start Date]]="",Market_Data[[#This Row],[Completion Date]]=""),"Needs Validation",IF(Market_Data[[#This Row],[Start Date]]&gt;TODAY(),"Planned",IF(Market_Data[[#This Row],[Completion Date]]&lt;TODAY(),"Completed","Ongoing")))</f>
        <v>Completed</v>
      </c>
      <c r="G1619" s="324">
        <v>43222</v>
      </c>
      <c r="H1619" s="324">
        <v>44651</v>
      </c>
      <c r="I1619" s="325">
        <v>4400</v>
      </c>
      <c r="J161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19" s="133">
        <f>_xlfn.XLOOKUP(Market_Data[[#This Row],[Project Type]],tbl_assumptions_market[Project Category (RERA)],tbl_assumptions_market[Concrete Intensity
(m³ / sq m BUA)],"",0)</f>
        <v>0.5</v>
      </c>
      <c r="L1619" s="134">
        <f>ROUND(Market_Data[[#This Row],[Estimated Built Up Area (sq m)]]*Market_Data[[#This Row],[Concrete Intensity
(m³ / sq m)]],0)</f>
        <v>2200</v>
      </c>
      <c r="M1619" s="135">
        <f>_xlfn.XLOOKUP(Market_Data[[#This Row],[District]],tbl_district_price[District],tbl_district_price[Standard Price
(INR/m³)],"",0)</f>
        <v>6200</v>
      </c>
      <c r="N1619" s="364">
        <f>IF(OR(Market_Data[[#This Row],[Estimated Concrete Demand (m³)]]="",Market_Data[[#This Row],[Avg Price per (₹ / m³)]]=""),"",Market_Data[[#This Row],[Estimated Concrete Demand (m³)]]*Market_Data[[#This Row],[Avg Price per (₹ / m³)]]/10000000)</f>
        <v>1.3640000000000001</v>
      </c>
      <c r="O1619" s="97" t="str">
        <f>IF(Market_Data[[#This Row],[Estimated Concrete Demand (m³)]]="","",
IF(Market_Data[[#This Row],[Estimated Concrete Demand (m³)]]&lt;10000,"Small",
IF(Market_Data[[#This Row],[Estimated Concrete Demand (m³)]]&lt;25000,"Medium",
IF(Market_Data[[#This Row],[Estimated Concrete Demand (m³)]]&lt;100000,"Large","Mega"))))</f>
        <v>Small</v>
      </c>
      <c r="P1619" s="287" t="str">
        <f t="shared" si="27"/>
        <v>GujRERA</v>
      </c>
    </row>
    <row r="1620" spans="1:16">
      <c r="A1620" s="129" t="str">
        <f>_xlfn.XLOOKUP(B1620,$S$9:$S$14,$T$9:$T$14)&amp;"-"&amp;
IF(E1620="Residential/Group Housing","RES",
IF(E1620="Commercial","COM",
IF(E1620="Mixed Development","MIX",
IF(E1620="Plotted Development","PLT","OTH"))))
&amp;"-"&amp;TEXT(COUNTIFS($B$9:B1620,B1620,$E$9:E1620,E1620),"0000")</f>
        <v>SUR-COM-0266</v>
      </c>
      <c r="B1620" s="322" t="s">
        <v>34</v>
      </c>
      <c r="C1620" s="322" t="s">
        <v>34</v>
      </c>
      <c r="D1620" s="323" t="s">
        <v>1810</v>
      </c>
      <c r="E1620" s="132" t="s">
        <v>23</v>
      </c>
      <c r="F1620" s="97" t="str">
        <f ca="1">IF(OR(Market_Data[[#This Row],[Start Date]]="",Market_Data[[#This Row],[Completion Date]]=""),"Needs Validation",IF(Market_Data[[#This Row],[Start Date]]&gt;TODAY(),"Planned",IF(Market_Data[[#This Row],[Completion Date]]&lt;TODAY(),"Completed","Ongoing")))</f>
        <v>Completed</v>
      </c>
      <c r="G1620" s="324">
        <v>43894</v>
      </c>
      <c r="H1620" s="324">
        <v>44742</v>
      </c>
      <c r="I1620" s="325">
        <v>47600</v>
      </c>
      <c r="J162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620" s="133">
        <f>_xlfn.XLOOKUP(Market_Data[[#This Row],[Project Type]],tbl_assumptions_market[Project Category (RERA)],tbl_assumptions_market[Concrete Intensity
(m³ / sq m BUA)],"",0)</f>
        <v>0.5</v>
      </c>
      <c r="L1620" s="134">
        <f>ROUND(Market_Data[[#This Row],[Estimated Built Up Area (sq m)]]*Market_Data[[#This Row],[Concrete Intensity
(m³ / sq m)]],0)</f>
        <v>23800</v>
      </c>
      <c r="M1620" s="135">
        <f>_xlfn.XLOOKUP(Market_Data[[#This Row],[District]],tbl_district_price[District],tbl_district_price[Standard Price
(INR/m³)],"",0)</f>
        <v>6200</v>
      </c>
      <c r="N1620" s="364">
        <f>IF(OR(Market_Data[[#This Row],[Estimated Concrete Demand (m³)]]="",Market_Data[[#This Row],[Avg Price per (₹ / m³)]]=""),"",Market_Data[[#This Row],[Estimated Concrete Demand (m³)]]*Market_Data[[#This Row],[Avg Price per (₹ / m³)]]/10000000)</f>
        <v>14.756</v>
      </c>
      <c r="O1620" s="97" t="str">
        <f>IF(Market_Data[[#This Row],[Estimated Concrete Demand (m³)]]="","",
IF(Market_Data[[#This Row],[Estimated Concrete Demand (m³)]]&lt;10000,"Small",
IF(Market_Data[[#This Row],[Estimated Concrete Demand (m³)]]&lt;25000,"Medium",
IF(Market_Data[[#This Row],[Estimated Concrete Demand (m³)]]&lt;100000,"Large","Mega"))))</f>
        <v>Medium</v>
      </c>
      <c r="P1620" s="287" t="str">
        <f t="shared" si="27"/>
        <v>GujRERA</v>
      </c>
    </row>
    <row r="1621" spans="1:16">
      <c r="A1621" s="129" t="str">
        <f>_xlfn.XLOOKUP(B1621,$S$9:$S$14,$T$9:$T$14)&amp;"-"&amp;
IF(E1621="Residential/Group Housing","RES",
IF(E1621="Commercial","COM",
IF(E1621="Mixed Development","MIX",
IF(E1621="Plotted Development","PLT","OTH"))))
&amp;"-"&amp;TEXT(COUNTIFS($B$9:B1621,B1621,$E$9:E1621,E1621),"0000")</f>
        <v>SUR-COM-0267</v>
      </c>
      <c r="B1621" s="322" t="s">
        <v>34</v>
      </c>
      <c r="C1621" s="322" t="s">
        <v>34</v>
      </c>
      <c r="D1621" s="323" t="s">
        <v>1811</v>
      </c>
      <c r="E1621" s="132" t="s">
        <v>23</v>
      </c>
      <c r="F1621" s="97" t="str">
        <f ca="1">IF(OR(Market_Data[[#This Row],[Start Date]]="",Market_Data[[#This Row],[Completion Date]]=""),"Needs Validation",IF(Market_Data[[#This Row],[Start Date]]&gt;TODAY(),"Planned",IF(Market_Data[[#This Row],[Completion Date]]&lt;TODAY(),"Completed","Ongoing")))</f>
        <v>Completed</v>
      </c>
      <c r="G1621" s="324">
        <v>43540</v>
      </c>
      <c r="H1621" s="324">
        <v>44469</v>
      </c>
      <c r="I1621" s="325">
        <v>30100</v>
      </c>
      <c r="J162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621" s="133">
        <f>_xlfn.XLOOKUP(Market_Data[[#This Row],[Project Type]],tbl_assumptions_market[Project Category (RERA)],tbl_assumptions_market[Concrete Intensity
(m³ / sq m BUA)],"",0)</f>
        <v>0.5</v>
      </c>
      <c r="L1621" s="134">
        <f>ROUND(Market_Data[[#This Row],[Estimated Built Up Area (sq m)]]*Market_Data[[#This Row],[Concrete Intensity
(m³ / sq m)]],0)</f>
        <v>15050</v>
      </c>
      <c r="M1621" s="135">
        <f>_xlfn.XLOOKUP(Market_Data[[#This Row],[District]],tbl_district_price[District],tbl_district_price[Standard Price
(INR/m³)],"",0)</f>
        <v>6200</v>
      </c>
      <c r="N1621" s="364">
        <f>IF(OR(Market_Data[[#This Row],[Estimated Concrete Demand (m³)]]="",Market_Data[[#This Row],[Avg Price per (₹ / m³)]]=""),"",Market_Data[[#This Row],[Estimated Concrete Demand (m³)]]*Market_Data[[#This Row],[Avg Price per (₹ / m³)]]/10000000)</f>
        <v>9.3309999999999995</v>
      </c>
      <c r="O1621" s="97" t="str">
        <f>IF(Market_Data[[#This Row],[Estimated Concrete Demand (m³)]]="","",
IF(Market_Data[[#This Row],[Estimated Concrete Demand (m³)]]&lt;10000,"Small",
IF(Market_Data[[#This Row],[Estimated Concrete Demand (m³)]]&lt;25000,"Medium",
IF(Market_Data[[#This Row],[Estimated Concrete Demand (m³)]]&lt;100000,"Large","Mega"))))</f>
        <v>Medium</v>
      </c>
      <c r="P1621" s="287" t="str">
        <f t="shared" si="27"/>
        <v>GujRERA</v>
      </c>
    </row>
    <row r="1622" spans="1:16">
      <c r="A1622" s="129" t="str">
        <f>_xlfn.XLOOKUP(B1622,$S$9:$S$14,$T$9:$T$14)&amp;"-"&amp;
IF(E1622="Residential/Group Housing","RES",
IF(E1622="Commercial","COM",
IF(E1622="Mixed Development","MIX",
IF(E1622="Plotted Development","PLT","OTH"))))
&amp;"-"&amp;TEXT(COUNTIFS($B$9:B1622,B1622,$E$9:E1622,E1622),"0000")</f>
        <v>SUR-RES-0494</v>
      </c>
      <c r="B1622" s="322" t="s">
        <v>34</v>
      </c>
      <c r="C1622" s="322" t="s">
        <v>34</v>
      </c>
      <c r="D1622" s="323" t="s">
        <v>1812</v>
      </c>
      <c r="E1622" s="132" t="s">
        <v>24</v>
      </c>
      <c r="F1622" s="97" t="str">
        <f ca="1">IF(OR(Market_Data[[#This Row],[Start Date]]="",Market_Data[[#This Row],[Completion Date]]=""),"Needs Validation",IF(Market_Data[[#This Row],[Start Date]]&gt;TODAY(),"Planned",IF(Market_Data[[#This Row],[Completion Date]]&lt;TODAY(),"Completed","Ongoing")))</f>
        <v>Completed</v>
      </c>
      <c r="G1622" s="324">
        <v>44973</v>
      </c>
      <c r="H1622" s="324">
        <v>46022</v>
      </c>
      <c r="I1622" s="325">
        <v>3300</v>
      </c>
      <c r="J162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22" s="133">
        <f>_xlfn.XLOOKUP(Market_Data[[#This Row],[Project Type]],tbl_assumptions_market[Project Category (RERA)],tbl_assumptions_market[Concrete Intensity
(m³ / sq m BUA)],"",0)</f>
        <v>0.45</v>
      </c>
      <c r="L1622" s="134">
        <f>ROUND(Market_Data[[#This Row],[Estimated Built Up Area (sq m)]]*Market_Data[[#This Row],[Concrete Intensity
(m³ / sq m)]],0)</f>
        <v>1485</v>
      </c>
      <c r="M1622" s="135">
        <f>_xlfn.XLOOKUP(Market_Data[[#This Row],[District]],tbl_district_price[District],tbl_district_price[Standard Price
(INR/m³)],"",0)</f>
        <v>6200</v>
      </c>
      <c r="N1622" s="364">
        <f>IF(OR(Market_Data[[#This Row],[Estimated Concrete Demand (m³)]]="",Market_Data[[#This Row],[Avg Price per (₹ / m³)]]=""),"",Market_Data[[#This Row],[Estimated Concrete Demand (m³)]]*Market_Data[[#This Row],[Avg Price per (₹ / m³)]]/10000000)</f>
        <v>0.92069999999999996</v>
      </c>
      <c r="O1622" s="97" t="str">
        <f>IF(Market_Data[[#This Row],[Estimated Concrete Demand (m³)]]="","",
IF(Market_Data[[#This Row],[Estimated Concrete Demand (m³)]]&lt;10000,"Small",
IF(Market_Data[[#This Row],[Estimated Concrete Demand (m³)]]&lt;25000,"Medium",
IF(Market_Data[[#This Row],[Estimated Concrete Demand (m³)]]&lt;100000,"Large","Mega"))))</f>
        <v>Small</v>
      </c>
      <c r="P1622" s="287" t="str">
        <f t="shared" si="27"/>
        <v>GujRERA</v>
      </c>
    </row>
    <row r="1623" spans="1:16">
      <c r="A1623" s="129" t="str">
        <f>_xlfn.XLOOKUP(B1623,$S$9:$S$14,$T$9:$T$14)&amp;"-"&amp;
IF(E1623="Residential/Group Housing","RES",
IF(E1623="Commercial","COM",
IF(E1623="Mixed Development","MIX",
IF(E1623="Plotted Development","PLT","OTH"))))
&amp;"-"&amp;TEXT(COUNTIFS($B$9:B1623,B1623,$E$9:E1623,E1623),"0000")</f>
        <v>SUR-RES-0495</v>
      </c>
      <c r="B1623" s="322" t="s">
        <v>34</v>
      </c>
      <c r="C1623" s="322" t="s">
        <v>34</v>
      </c>
      <c r="D1623" s="323" t="s">
        <v>1813</v>
      </c>
      <c r="E1623" s="132" t="s">
        <v>24</v>
      </c>
      <c r="F1623" s="97" t="str">
        <f ca="1">IF(OR(Market_Data[[#This Row],[Start Date]]="",Market_Data[[#This Row],[Completion Date]]=""),"Needs Validation",IF(Market_Data[[#This Row],[Start Date]]&gt;TODAY(),"Planned",IF(Market_Data[[#This Row],[Completion Date]]&lt;TODAY(),"Completed","Ongoing")))</f>
        <v>Ongoing</v>
      </c>
      <c r="G1623" s="324">
        <v>45539</v>
      </c>
      <c r="H1623" s="324">
        <v>47848</v>
      </c>
      <c r="I1623" s="325">
        <v>29700</v>
      </c>
      <c r="J162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23" s="133">
        <f>_xlfn.XLOOKUP(Market_Data[[#This Row],[Project Type]],tbl_assumptions_market[Project Category (RERA)],tbl_assumptions_market[Concrete Intensity
(m³ / sq m BUA)],"",0)</f>
        <v>0.45</v>
      </c>
      <c r="L1623" s="134">
        <f>ROUND(Market_Data[[#This Row],[Estimated Built Up Area (sq m)]]*Market_Data[[#This Row],[Concrete Intensity
(m³ / sq m)]],0)</f>
        <v>13365</v>
      </c>
      <c r="M1623" s="135">
        <f>_xlfn.XLOOKUP(Market_Data[[#This Row],[District]],tbl_district_price[District],tbl_district_price[Standard Price
(INR/m³)],"",0)</f>
        <v>6200</v>
      </c>
      <c r="N1623" s="364">
        <f>IF(OR(Market_Data[[#This Row],[Estimated Concrete Demand (m³)]]="",Market_Data[[#This Row],[Avg Price per (₹ / m³)]]=""),"",Market_Data[[#This Row],[Estimated Concrete Demand (m³)]]*Market_Data[[#This Row],[Avg Price per (₹ / m³)]]/10000000)</f>
        <v>8.2863000000000007</v>
      </c>
      <c r="O1623" s="97" t="str">
        <f>IF(Market_Data[[#This Row],[Estimated Concrete Demand (m³)]]="","",
IF(Market_Data[[#This Row],[Estimated Concrete Demand (m³)]]&lt;10000,"Small",
IF(Market_Data[[#This Row],[Estimated Concrete Demand (m³)]]&lt;25000,"Medium",
IF(Market_Data[[#This Row],[Estimated Concrete Demand (m³)]]&lt;100000,"Large","Mega"))))</f>
        <v>Medium</v>
      </c>
      <c r="P1623" s="287" t="str">
        <f t="shared" si="27"/>
        <v>GujRERA</v>
      </c>
    </row>
    <row r="1624" spans="1:16">
      <c r="A1624" s="129" t="str">
        <f>_xlfn.XLOOKUP(B1624,$S$9:$S$14,$T$9:$T$14)&amp;"-"&amp;
IF(E1624="Residential/Group Housing","RES",
IF(E1624="Commercial","COM",
IF(E1624="Mixed Development","MIX",
IF(E1624="Plotted Development","PLT","OTH"))))
&amp;"-"&amp;TEXT(COUNTIFS($B$9:B1624,B1624,$E$9:E1624,E1624),"0000")</f>
        <v>SUR-RES-0496</v>
      </c>
      <c r="B1624" s="322" t="s">
        <v>34</v>
      </c>
      <c r="C1624" s="322" t="s">
        <v>34</v>
      </c>
      <c r="D1624" s="323" t="s">
        <v>1814</v>
      </c>
      <c r="E1624" s="132" t="s">
        <v>24</v>
      </c>
      <c r="F1624" s="97" t="str">
        <f ca="1">IF(OR(Market_Data[[#This Row],[Start Date]]="",Market_Data[[#This Row],[Completion Date]]=""),"Needs Validation",IF(Market_Data[[#This Row],[Start Date]]&gt;TODAY(),"Planned",IF(Market_Data[[#This Row],[Completion Date]]&lt;TODAY(),"Completed","Ongoing")))</f>
        <v>Ongoing</v>
      </c>
      <c r="G1624" s="324">
        <v>44986</v>
      </c>
      <c r="H1624" s="324">
        <v>46387</v>
      </c>
      <c r="I1624" s="325">
        <v>19300</v>
      </c>
      <c r="J162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24" s="133">
        <f>_xlfn.XLOOKUP(Market_Data[[#This Row],[Project Type]],tbl_assumptions_market[Project Category (RERA)],tbl_assumptions_market[Concrete Intensity
(m³ / sq m BUA)],"",0)</f>
        <v>0.45</v>
      </c>
      <c r="L1624" s="134">
        <f>ROUND(Market_Data[[#This Row],[Estimated Built Up Area (sq m)]]*Market_Data[[#This Row],[Concrete Intensity
(m³ / sq m)]],0)</f>
        <v>8685</v>
      </c>
      <c r="M1624" s="135">
        <f>_xlfn.XLOOKUP(Market_Data[[#This Row],[District]],tbl_district_price[District],tbl_district_price[Standard Price
(INR/m³)],"",0)</f>
        <v>6200</v>
      </c>
      <c r="N1624" s="364">
        <f>IF(OR(Market_Data[[#This Row],[Estimated Concrete Demand (m³)]]="",Market_Data[[#This Row],[Avg Price per (₹ / m³)]]=""),"",Market_Data[[#This Row],[Estimated Concrete Demand (m³)]]*Market_Data[[#This Row],[Avg Price per (₹ / m³)]]/10000000)</f>
        <v>5.3846999999999996</v>
      </c>
      <c r="O1624" s="97" t="str">
        <f>IF(Market_Data[[#This Row],[Estimated Concrete Demand (m³)]]="","",
IF(Market_Data[[#This Row],[Estimated Concrete Demand (m³)]]&lt;10000,"Small",
IF(Market_Data[[#This Row],[Estimated Concrete Demand (m³)]]&lt;25000,"Medium",
IF(Market_Data[[#This Row],[Estimated Concrete Demand (m³)]]&lt;100000,"Large","Mega"))))</f>
        <v>Small</v>
      </c>
      <c r="P1624" s="287" t="str">
        <f t="shared" si="27"/>
        <v>GujRERA</v>
      </c>
    </row>
    <row r="1625" spans="1:16">
      <c r="A1625" s="129" t="str">
        <f>_xlfn.XLOOKUP(B1625,$S$9:$S$14,$T$9:$T$14)&amp;"-"&amp;
IF(E1625="Residential/Group Housing","RES",
IF(E1625="Commercial","COM",
IF(E1625="Mixed Development","MIX",
IF(E1625="Plotted Development","PLT","OTH"))))
&amp;"-"&amp;TEXT(COUNTIFS($B$9:B1625,B1625,$E$9:E1625,E1625),"0000")</f>
        <v>SUR-PLT-0303</v>
      </c>
      <c r="B1625" s="322" t="s">
        <v>34</v>
      </c>
      <c r="C1625" s="322" t="s">
        <v>34</v>
      </c>
      <c r="D1625" s="323" t="s">
        <v>1815</v>
      </c>
      <c r="E1625" s="132" t="s">
        <v>26</v>
      </c>
      <c r="F1625" s="97" t="str">
        <f ca="1">IF(OR(Market_Data[[#This Row],[Start Date]]="",Market_Data[[#This Row],[Completion Date]]=""),"Needs Validation",IF(Market_Data[[#This Row],[Start Date]]&gt;TODAY(),"Planned",IF(Market_Data[[#This Row],[Completion Date]]&lt;TODAY(),"Completed","Ongoing")))</f>
        <v>Completed</v>
      </c>
      <c r="G1625" s="324">
        <v>42235</v>
      </c>
      <c r="H1625" s="324">
        <v>44651</v>
      </c>
      <c r="I1625" s="325">
        <v>17600</v>
      </c>
      <c r="J162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25" s="133">
        <f>_xlfn.XLOOKUP(Market_Data[[#This Row],[Project Type]],tbl_assumptions_market[Project Category (RERA)],tbl_assumptions_market[Concrete Intensity
(m³ / sq m BUA)],"",0)</f>
        <v>0.18</v>
      </c>
      <c r="L1625" s="134">
        <f>ROUND(Market_Data[[#This Row],[Estimated Built Up Area (sq m)]]*Market_Data[[#This Row],[Concrete Intensity
(m³ / sq m)]],0)</f>
        <v>3168</v>
      </c>
      <c r="M1625" s="135">
        <f>_xlfn.XLOOKUP(Market_Data[[#This Row],[District]],tbl_district_price[District],tbl_district_price[Standard Price
(INR/m³)],"",0)</f>
        <v>6200</v>
      </c>
      <c r="N1625" s="364">
        <f>IF(OR(Market_Data[[#This Row],[Estimated Concrete Demand (m³)]]="",Market_Data[[#This Row],[Avg Price per (₹ / m³)]]=""),"",Market_Data[[#This Row],[Estimated Concrete Demand (m³)]]*Market_Data[[#This Row],[Avg Price per (₹ / m³)]]/10000000)</f>
        <v>1.9641599999999999</v>
      </c>
      <c r="O1625" s="97" t="str">
        <f>IF(Market_Data[[#This Row],[Estimated Concrete Demand (m³)]]="","",
IF(Market_Data[[#This Row],[Estimated Concrete Demand (m³)]]&lt;10000,"Small",
IF(Market_Data[[#This Row],[Estimated Concrete Demand (m³)]]&lt;25000,"Medium",
IF(Market_Data[[#This Row],[Estimated Concrete Demand (m³)]]&lt;100000,"Large","Mega"))))</f>
        <v>Small</v>
      </c>
      <c r="P1625" s="287" t="str">
        <f t="shared" si="27"/>
        <v>GujRERA</v>
      </c>
    </row>
    <row r="1626" spans="1:16">
      <c r="A1626" s="129" t="str">
        <f>_xlfn.XLOOKUP(B1626,$S$9:$S$14,$T$9:$T$14)&amp;"-"&amp;
IF(E1626="Residential/Group Housing","RES",
IF(E1626="Commercial","COM",
IF(E1626="Mixed Development","MIX",
IF(E1626="Plotted Development","PLT","OTH"))))
&amp;"-"&amp;TEXT(COUNTIFS($B$9:B1626,B1626,$E$9:E1626,E1626),"0000")</f>
        <v>SUR-RES-0497</v>
      </c>
      <c r="B1626" s="322" t="s">
        <v>34</v>
      </c>
      <c r="C1626" s="322" t="s">
        <v>34</v>
      </c>
      <c r="D1626" s="323" t="s">
        <v>1816</v>
      </c>
      <c r="E1626" s="132" t="s">
        <v>24</v>
      </c>
      <c r="F1626" s="97" t="str">
        <f ca="1">IF(OR(Market_Data[[#This Row],[Start Date]]="",Market_Data[[#This Row],[Completion Date]]=""),"Needs Validation",IF(Market_Data[[#This Row],[Start Date]]&gt;TODAY(),"Planned",IF(Market_Data[[#This Row],[Completion Date]]&lt;TODAY(),"Completed","Ongoing")))</f>
        <v>Ongoing</v>
      </c>
      <c r="G1626" s="324">
        <v>44501</v>
      </c>
      <c r="H1626" s="324">
        <v>46387</v>
      </c>
      <c r="I1626" s="325">
        <v>4600</v>
      </c>
      <c r="J162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26" s="133">
        <f>_xlfn.XLOOKUP(Market_Data[[#This Row],[Project Type]],tbl_assumptions_market[Project Category (RERA)],tbl_assumptions_market[Concrete Intensity
(m³ / sq m BUA)],"",0)</f>
        <v>0.45</v>
      </c>
      <c r="L1626" s="134">
        <f>ROUND(Market_Data[[#This Row],[Estimated Built Up Area (sq m)]]*Market_Data[[#This Row],[Concrete Intensity
(m³ / sq m)]],0)</f>
        <v>2070</v>
      </c>
      <c r="M1626" s="135">
        <f>_xlfn.XLOOKUP(Market_Data[[#This Row],[District]],tbl_district_price[District],tbl_district_price[Standard Price
(INR/m³)],"",0)</f>
        <v>6200</v>
      </c>
      <c r="N1626" s="364">
        <f>IF(OR(Market_Data[[#This Row],[Estimated Concrete Demand (m³)]]="",Market_Data[[#This Row],[Avg Price per (₹ / m³)]]=""),"",Market_Data[[#This Row],[Estimated Concrete Demand (m³)]]*Market_Data[[#This Row],[Avg Price per (₹ / m³)]]/10000000)</f>
        <v>1.2834000000000001</v>
      </c>
      <c r="O1626" s="97" t="str">
        <f>IF(Market_Data[[#This Row],[Estimated Concrete Demand (m³)]]="","",
IF(Market_Data[[#This Row],[Estimated Concrete Demand (m³)]]&lt;10000,"Small",
IF(Market_Data[[#This Row],[Estimated Concrete Demand (m³)]]&lt;25000,"Medium",
IF(Market_Data[[#This Row],[Estimated Concrete Demand (m³)]]&lt;100000,"Large","Mega"))))</f>
        <v>Small</v>
      </c>
      <c r="P1626" s="287" t="str">
        <f t="shared" si="27"/>
        <v>GujRERA</v>
      </c>
    </row>
    <row r="1627" spans="1:16">
      <c r="A1627" s="129" t="str">
        <f>_xlfn.XLOOKUP(B1627,$S$9:$S$14,$T$9:$T$14)&amp;"-"&amp;
IF(E1627="Residential/Group Housing","RES",
IF(E1627="Commercial","COM",
IF(E1627="Mixed Development","MIX",
IF(E1627="Plotted Development","PLT","OTH"))))
&amp;"-"&amp;TEXT(COUNTIFS($B$9:B1627,B1627,$E$9:E1627,E1627),"0000")</f>
        <v>SUR-COM-0268</v>
      </c>
      <c r="B1627" s="322" t="s">
        <v>34</v>
      </c>
      <c r="C1627" s="322" t="s">
        <v>34</v>
      </c>
      <c r="D1627" s="323" t="s">
        <v>1817</v>
      </c>
      <c r="E1627" s="132" t="s">
        <v>23</v>
      </c>
      <c r="F1627" s="97" t="str">
        <f ca="1">IF(OR(Market_Data[[#This Row],[Start Date]]="",Market_Data[[#This Row],[Completion Date]]=""),"Needs Validation",IF(Market_Data[[#This Row],[Start Date]]&gt;TODAY(),"Planned",IF(Market_Data[[#This Row],[Completion Date]]&lt;TODAY(),"Completed","Ongoing")))</f>
        <v>Completed</v>
      </c>
      <c r="G1627" s="324">
        <v>43252</v>
      </c>
      <c r="H1627" s="324">
        <v>45016</v>
      </c>
      <c r="I1627" s="325">
        <v>145500</v>
      </c>
      <c r="J162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627" s="133">
        <f>_xlfn.XLOOKUP(Market_Data[[#This Row],[Project Type]],tbl_assumptions_market[Project Category (RERA)],tbl_assumptions_market[Concrete Intensity
(m³ / sq m BUA)],"",0)</f>
        <v>0.5</v>
      </c>
      <c r="L1627" s="134">
        <f>ROUND(Market_Data[[#This Row],[Estimated Built Up Area (sq m)]]*Market_Data[[#This Row],[Concrete Intensity
(m³ / sq m)]],0)</f>
        <v>72750</v>
      </c>
      <c r="M1627" s="135">
        <f>_xlfn.XLOOKUP(Market_Data[[#This Row],[District]],tbl_district_price[District],tbl_district_price[Standard Price
(INR/m³)],"",0)</f>
        <v>6200</v>
      </c>
      <c r="N1627" s="364">
        <f>IF(OR(Market_Data[[#This Row],[Estimated Concrete Demand (m³)]]="",Market_Data[[#This Row],[Avg Price per (₹ / m³)]]=""),"",Market_Data[[#This Row],[Estimated Concrete Demand (m³)]]*Market_Data[[#This Row],[Avg Price per (₹ / m³)]]/10000000)</f>
        <v>45.104999999999997</v>
      </c>
      <c r="O1627" s="97" t="str">
        <f>IF(Market_Data[[#This Row],[Estimated Concrete Demand (m³)]]="","",
IF(Market_Data[[#This Row],[Estimated Concrete Demand (m³)]]&lt;10000,"Small",
IF(Market_Data[[#This Row],[Estimated Concrete Demand (m³)]]&lt;25000,"Medium",
IF(Market_Data[[#This Row],[Estimated Concrete Demand (m³)]]&lt;100000,"Large","Mega"))))</f>
        <v>Large</v>
      </c>
      <c r="P1627" s="287" t="str">
        <f t="shared" si="27"/>
        <v>GujRERA</v>
      </c>
    </row>
    <row r="1628" spans="1:16">
      <c r="A1628" s="129" t="str">
        <f>_xlfn.XLOOKUP(B1628,$S$9:$S$14,$T$9:$T$14)&amp;"-"&amp;
IF(E1628="Residential/Group Housing","RES",
IF(E1628="Commercial","COM",
IF(E1628="Mixed Development","MIX",
IF(E1628="Plotted Development","PLT","OTH"))))
&amp;"-"&amp;TEXT(COUNTIFS($B$9:B1628,B1628,$E$9:E1628,E1628),"0000")</f>
        <v>SUR-COM-0269</v>
      </c>
      <c r="B1628" s="322" t="s">
        <v>34</v>
      </c>
      <c r="C1628" s="322" t="s">
        <v>34</v>
      </c>
      <c r="D1628" s="323" t="s">
        <v>1818</v>
      </c>
      <c r="E1628" s="132" t="s">
        <v>23</v>
      </c>
      <c r="F1628" s="97" t="str">
        <f ca="1">IF(OR(Market_Data[[#This Row],[Start Date]]="",Market_Data[[#This Row],[Completion Date]]=""),"Needs Validation",IF(Market_Data[[#This Row],[Start Date]]&gt;TODAY(),"Planned",IF(Market_Data[[#This Row],[Completion Date]]&lt;TODAY(),"Completed","Ongoing")))</f>
        <v>Completed</v>
      </c>
      <c r="G1628" s="324">
        <v>43080</v>
      </c>
      <c r="H1628" s="324">
        <v>44469</v>
      </c>
      <c r="I1628" s="325">
        <v>2600</v>
      </c>
      <c r="J162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28" s="133">
        <f>_xlfn.XLOOKUP(Market_Data[[#This Row],[Project Type]],tbl_assumptions_market[Project Category (RERA)],tbl_assumptions_market[Concrete Intensity
(m³ / sq m BUA)],"",0)</f>
        <v>0.5</v>
      </c>
      <c r="L1628" s="134">
        <f>ROUND(Market_Data[[#This Row],[Estimated Built Up Area (sq m)]]*Market_Data[[#This Row],[Concrete Intensity
(m³ / sq m)]],0)</f>
        <v>1300</v>
      </c>
      <c r="M1628" s="135">
        <f>_xlfn.XLOOKUP(Market_Data[[#This Row],[District]],tbl_district_price[District],tbl_district_price[Standard Price
(INR/m³)],"",0)</f>
        <v>6200</v>
      </c>
      <c r="N1628" s="364">
        <f>IF(OR(Market_Data[[#This Row],[Estimated Concrete Demand (m³)]]="",Market_Data[[#This Row],[Avg Price per (₹ / m³)]]=""),"",Market_Data[[#This Row],[Estimated Concrete Demand (m³)]]*Market_Data[[#This Row],[Avg Price per (₹ / m³)]]/10000000)</f>
        <v>0.80600000000000005</v>
      </c>
      <c r="O1628" s="97" t="str">
        <f>IF(Market_Data[[#This Row],[Estimated Concrete Demand (m³)]]="","",
IF(Market_Data[[#This Row],[Estimated Concrete Demand (m³)]]&lt;10000,"Small",
IF(Market_Data[[#This Row],[Estimated Concrete Demand (m³)]]&lt;25000,"Medium",
IF(Market_Data[[#This Row],[Estimated Concrete Demand (m³)]]&lt;100000,"Large","Mega"))))</f>
        <v>Small</v>
      </c>
      <c r="P1628" s="287" t="str">
        <f t="shared" si="27"/>
        <v>GujRERA</v>
      </c>
    </row>
    <row r="1629" spans="1:16">
      <c r="A1629" s="129" t="str">
        <f>_xlfn.XLOOKUP(B1629,$S$9:$S$14,$T$9:$T$14)&amp;"-"&amp;
IF(E1629="Residential/Group Housing","RES",
IF(E1629="Commercial","COM",
IF(E1629="Mixed Development","MIX",
IF(E1629="Plotted Development","PLT","OTH"))))
&amp;"-"&amp;TEXT(COUNTIFS($B$9:B1629,B1629,$E$9:E1629,E1629),"0000")</f>
        <v>SUR-PLT-0304</v>
      </c>
      <c r="B1629" s="322" t="s">
        <v>34</v>
      </c>
      <c r="C1629" s="322" t="s">
        <v>34</v>
      </c>
      <c r="D1629" s="323" t="s">
        <v>1819</v>
      </c>
      <c r="E1629" s="132" t="s">
        <v>26</v>
      </c>
      <c r="F1629" s="97" t="str">
        <f ca="1">IF(OR(Market_Data[[#This Row],[Start Date]]="",Market_Data[[#This Row],[Completion Date]]=""),"Needs Validation",IF(Market_Data[[#This Row],[Start Date]]&gt;TODAY(),"Planned",IF(Market_Data[[#This Row],[Completion Date]]&lt;TODAY(),"Completed","Ongoing")))</f>
        <v>Completed</v>
      </c>
      <c r="G1629" s="324">
        <v>44639</v>
      </c>
      <c r="H1629" s="324">
        <v>46112</v>
      </c>
      <c r="I1629" s="325">
        <v>39600</v>
      </c>
      <c r="J162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629" s="133">
        <f>_xlfn.XLOOKUP(Market_Data[[#This Row],[Project Type]],tbl_assumptions_market[Project Category (RERA)],tbl_assumptions_market[Concrete Intensity
(m³ / sq m BUA)],"",0)</f>
        <v>0.18</v>
      </c>
      <c r="L1629" s="134">
        <f>ROUND(Market_Data[[#This Row],[Estimated Built Up Area (sq m)]]*Market_Data[[#This Row],[Concrete Intensity
(m³ / sq m)]],0)</f>
        <v>7128</v>
      </c>
      <c r="M1629" s="135">
        <f>_xlfn.XLOOKUP(Market_Data[[#This Row],[District]],tbl_district_price[District],tbl_district_price[Standard Price
(INR/m³)],"",0)</f>
        <v>6200</v>
      </c>
      <c r="N1629" s="364">
        <f>IF(OR(Market_Data[[#This Row],[Estimated Concrete Demand (m³)]]="",Market_Data[[#This Row],[Avg Price per (₹ / m³)]]=""),"",Market_Data[[#This Row],[Estimated Concrete Demand (m³)]]*Market_Data[[#This Row],[Avg Price per (₹ / m³)]]/10000000)</f>
        <v>4.4193600000000002</v>
      </c>
      <c r="O1629" s="97" t="str">
        <f>IF(Market_Data[[#This Row],[Estimated Concrete Demand (m³)]]="","",
IF(Market_Data[[#This Row],[Estimated Concrete Demand (m³)]]&lt;10000,"Small",
IF(Market_Data[[#This Row],[Estimated Concrete Demand (m³)]]&lt;25000,"Medium",
IF(Market_Data[[#This Row],[Estimated Concrete Demand (m³)]]&lt;100000,"Large","Mega"))))</f>
        <v>Small</v>
      </c>
      <c r="P1629" s="287" t="str">
        <f t="shared" si="27"/>
        <v>GujRERA</v>
      </c>
    </row>
    <row r="1630" spans="1:16">
      <c r="A1630" s="129" t="str">
        <f>_xlfn.XLOOKUP(B1630,$S$9:$S$14,$T$9:$T$14)&amp;"-"&amp;
IF(E1630="Residential/Group Housing","RES",
IF(E1630="Commercial","COM",
IF(E1630="Mixed Development","MIX",
IF(E1630="Plotted Development","PLT","OTH"))))
&amp;"-"&amp;TEXT(COUNTIFS($B$9:B1630,B1630,$E$9:E1630,E1630),"0000")</f>
        <v>SUR-COM-0270</v>
      </c>
      <c r="B1630" s="322" t="s">
        <v>34</v>
      </c>
      <c r="C1630" s="322" t="s">
        <v>34</v>
      </c>
      <c r="D1630" s="323" t="s">
        <v>1820</v>
      </c>
      <c r="E1630" s="132" t="s">
        <v>23</v>
      </c>
      <c r="F1630" s="97" t="str">
        <f ca="1">IF(OR(Market_Data[[#This Row],[Start Date]]="",Market_Data[[#This Row],[Completion Date]]=""),"Needs Validation",IF(Market_Data[[#This Row],[Start Date]]&gt;TODAY(),"Planned",IF(Market_Data[[#This Row],[Completion Date]]&lt;TODAY(),"Completed","Ongoing")))</f>
        <v>Completed</v>
      </c>
      <c r="G1630" s="324">
        <v>43070</v>
      </c>
      <c r="H1630" s="324">
        <v>44377</v>
      </c>
      <c r="I1630" s="325">
        <v>9700</v>
      </c>
      <c r="J163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30" s="133">
        <f>_xlfn.XLOOKUP(Market_Data[[#This Row],[Project Type]],tbl_assumptions_market[Project Category (RERA)],tbl_assumptions_market[Concrete Intensity
(m³ / sq m BUA)],"",0)</f>
        <v>0.5</v>
      </c>
      <c r="L1630" s="134">
        <f>ROUND(Market_Data[[#This Row],[Estimated Built Up Area (sq m)]]*Market_Data[[#This Row],[Concrete Intensity
(m³ / sq m)]],0)</f>
        <v>4850</v>
      </c>
      <c r="M1630" s="135">
        <f>_xlfn.XLOOKUP(Market_Data[[#This Row],[District]],tbl_district_price[District],tbl_district_price[Standard Price
(INR/m³)],"",0)</f>
        <v>6200</v>
      </c>
      <c r="N1630" s="364">
        <f>IF(OR(Market_Data[[#This Row],[Estimated Concrete Demand (m³)]]="",Market_Data[[#This Row],[Avg Price per (₹ / m³)]]=""),"",Market_Data[[#This Row],[Estimated Concrete Demand (m³)]]*Market_Data[[#This Row],[Avg Price per (₹ / m³)]]/10000000)</f>
        <v>3.0070000000000001</v>
      </c>
      <c r="O1630" s="97" t="str">
        <f>IF(Market_Data[[#This Row],[Estimated Concrete Demand (m³)]]="","",
IF(Market_Data[[#This Row],[Estimated Concrete Demand (m³)]]&lt;10000,"Small",
IF(Market_Data[[#This Row],[Estimated Concrete Demand (m³)]]&lt;25000,"Medium",
IF(Market_Data[[#This Row],[Estimated Concrete Demand (m³)]]&lt;100000,"Large","Mega"))))</f>
        <v>Small</v>
      </c>
      <c r="P1630" s="287" t="str">
        <f t="shared" si="27"/>
        <v>GujRERA</v>
      </c>
    </row>
    <row r="1631" spans="1:16">
      <c r="A1631" s="129" t="str">
        <f>_xlfn.XLOOKUP(B1631,$S$9:$S$14,$T$9:$T$14)&amp;"-"&amp;
IF(E1631="Residential/Group Housing","RES",
IF(E1631="Commercial","COM",
IF(E1631="Mixed Development","MIX",
IF(E1631="Plotted Development","PLT","OTH"))))
&amp;"-"&amp;TEXT(COUNTIFS($B$9:B1631,B1631,$E$9:E1631,E1631),"0000")</f>
        <v>SUR-MIX-0242</v>
      </c>
      <c r="B1631" s="322" t="s">
        <v>34</v>
      </c>
      <c r="C1631" s="322" t="s">
        <v>34</v>
      </c>
      <c r="D1631" s="323" t="s">
        <v>1821</v>
      </c>
      <c r="E1631" s="132" t="s">
        <v>25</v>
      </c>
      <c r="F1631" s="97" t="str">
        <f ca="1">IF(OR(Market_Data[[#This Row],[Start Date]]="",Market_Data[[#This Row],[Completion Date]]=""),"Needs Validation",IF(Market_Data[[#This Row],[Start Date]]&gt;TODAY(),"Planned",IF(Market_Data[[#This Row],[Completion Date]]&lt;TODAY(),"Completed","Ongoing")))</f>
        <v>Ongoing</v>
      </c>
      <c r="G1631" s="324">
        <v>45539</v>
      </c>
      <c r="H1631" s="324">
        <v>47208</v>
      </c>
      <c r="I1631" s="325">
        <v>4000</v>
      </c>
      <c r="J163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631" s="133">
        <f>_xlfn.XLOOKUP(Market_Data[[#This Row],[Project Type]],tbl_assumptions_market[Project Category (RERA)],tbl_assumptions_market[Concrete Intensity
(m³ / sq m BUA)],"",0)</f>
        <v>0.42</v>
      </c>
      <c r="L1631" s="134">
        <f>ROUND(Market_Data[[#This Row],[Estimated Built Up Area (sq m)]]*Market_Data[[#This Row],[Concrete Intensity
(m³ / sq m)]],0)</f>
        <v>1680</v>
      </c>
      <c r="M1631" s="135">
        <f>_xlfn.XLOOKUP(Market_Data[[#This Row],[District]],tbl_district_price[District],tbl_district_price[Standard Price
(INR/m³)],"",0)</f>
        <v>6200</v>
      </c>
      <c r="N1631" s="364">
        <f>IF(OR(Market_Data[[#This Row],[Estimated Concrete Demand (m³)]]="",Market_Data[[#This Row],[Avg Price per (₹ / m³)]]=""),"",Market_Data[[#This Row],[Estimated Concrete Demand (m³)]]*Market_Data[[#This Row],[Avg Price per (₹ / m³)]]/10000000)</f>
        <v>1.0416000000000001</v>
      </c>
      <c r="O1631" s="97" t="str">
        <f>IF(Market_Data[[#This Row],[Estimated Concrete Demand (m³)]]="","",
IF(Market_Data[[#This Row],[Estimated Concrete Demand (m³)]]&lt;10000,"Small",
IF(Market_Data[[#This Row],[Estimated Concrete Demand (m³)]]&lt;25000,"Medium",
IF(Market_Data[[#This Row],[Estimated Concrete Demand (m³)]]&lt;100000,"Large","Mega"))))</f>
        <v>Small</v>
      </c>
      <c r="P1631" s="287" t="str">
        <f t="shared" si="27"/>
        <v>GujRERA</v>
      </c>
    </row>
    <row r="1632" spans="1:16">
      <c r="A1632" s="129" t="str">
        <f>_xlfn.XLOOKUP(B1632,$S$9:$S$14,$T$9:$T$14)&amp;"-"&amp;
IF(E1632="Residential/Group Housing","RES",
IF(E1632="Commercial","COM",
IF(E1632="Mixed Development","MIX",
IF(E1632="Plotted Development","PLT","OTH"))))
&amp;"-"&amp;TEXT(COUNTIFS($B$9:B1632,B1632,$E$9:E1632,E1632),"0000")</f>
        <v>SUR-RES-0498</v>
      </c>
      <c r="B1632" s="322" t="s">
        <v>34</v>
      </c>
      <c r="C1632" s="322" t="s">
        <v>34</v>
      </c>
      <c r="D1632" s="323" t="s">
        <v>1822</v>
      </c>
      <c r="E1632" s="132" t="s">
        <v>24</v>
      </c>
      <c r="F1632" s="97" t="str">
        <f ca="1">IF(OR(Market_Data[[#This Row],[Start Date]]="",Market_Data[[#This Row],[Completion Date]]=""),"Needs Validation",IF(Market_Data[[#This Row],[Start Date]]&gt;TODAY(),"Planned",IF(Market_Data[[#This Row],[Completion Date]]&lt;TODAY(),"Completed","Ongoing")))</f>
        <v>Ongoing</v>
      </c>
      <c r="G1632" s="324">
        <v>45652</v>
      </c>
      <c r="H1632" s="324">
        <v>46752</v>
      </c>
      <c r="I1632" s="325">
        <v>41400</v>
      </c>
      <c r="J163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32" s="133">
        <f>_xlfn.XLOOKUP(Market_Data[[#This Row],[Project Type]],tbl_assumptions_market[Project Category (RERA)],tbl_assumptions_market[Concrete Intensity
(m³ / sq m BUA)],"",0)</f>
        <v>0.45</v>
      </c>
      <c r="L1632" s="134">
        <f>ROUND(Market_Data[[#This Row],[Estimated Built Up Area (sq m)]]*Market_Data[[#This Row],[Concrete Intensity
(m³ / sq m)]],0)</f>
        <v>18630</v>
      </c>
      <c r="M1632" s="135">
        <f>_xlfn.XLOOKUP(Market_Data[[#This Row],[District]],tbl_district_price[District],tbl_district_price[Standard Price
(INR/m³)],"",0)</f>
        <v>6200</v>
      </c>
      <c r="N1632" s="364">
        <f>IF(OR(Market_Data[[#This Row],[Estimated Concrete Demand (m³)]]="",Market_Data[[#This Row],[Avg Price per (₹ / m³)]]=""),"",Market_Data[[#This Row],[Estimated Concrete Demand (m³)]]*Market_Data[[#This Row],[Avg Price per (₹ / m³)]]/10000000)</f>
        <v>11.550599999999999</v>
      </c>
      <c r="O1632" s="97" t="str">
        <f>IF(Market_Data[[#This Row],[Estimated Concrete Demand (m³)]]="","",
IF(Market_Data[[#This Row],[Estimated Concrete Demand (m³)]]&lt;10000,"Small",
IF(Market_Data[[#This Row],[Estimated Concrete Demand (m³)]]&lt;25000,"Medium",
IF(Market_Data[[#This Row],[Estimated Concrete Demand (m³)]]&lt;100000,"Large","Mega"))))</f>
        <v>Medium</v>
      </c>
      <c r="P1632" s="287" t="str">
        <f t="shared" si="27"/>
        <v>GujRERA</v>
      </c>
    </row>
    <row r="1633" spans="1:16">
      <c r="A1633" s="129" t="str">
        <f>_xlfn.XLOOKUP(B1633,$S$9:$S$14,$T$9:$T$14)&amp;"-"&amp;
IF(E1633="Residential/Group Housing","RES",
IF(E1633="Commercial","COM",
IF(E1633="Mixed Development","MIX",
IF(E1633="Plotted Development","PLT","OTH"))))
&amp;"-"&amp;TEXT(COUNTIFS($B$9:B1633,B1633,$E$9:E1633,E1633),"0000")</f>
        <v>SUR-RES-0499</v>
      </c>
      <c r="B1633" s="322" t="s">
        <v>34</v>
      </c>
      <c r="C1633" s="322" t="s">
        <v>34</v>
      </c>
      <c r="D1633" s="323" t="s">
        <v>1823</v>
      </c>
      <c r="E1633" s="132" t="s">
        <v>24</v>
      </c>
      <c r="F1633" s="97" t="str">
        <f ca="1">IF(OR(Market_Data[[#This Row],[Start Date]]="",Market_Data[[#This Row],[Completion Date]]=""),"Needs Validation",IF(Market_Data[[#This Row],[Start Date]]&gt;TODAY(),"Planned",IF(Market_Data[[#This Row],[Completion Date]]&lt;TODAY(),"Completed","Ongoing")))</f>
        <v>Completed</v>
      </c>
      <c r="G1633" s="324">
        <v>43203</v>
      </c>
      <c r="H1633" s="324">
        <v>45578</v>
      </c>
      <c r="I1633" s="325">
        <v>48500</v>
      </c>
      <c r="J163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33" s="133">
        <f>_xlfn.XLOOKUP(Market_Data[[#This Row],[Project Type]],tbl_assumptions_market[Project Category (RERA)],tbl_assumptions_market[Concrete Intensity
(m³ / sq m BUA)],"",0)</f>
        <v>0.45</v>
      </c>
      <c r="L1633" s="134">
        <f>ROUND(Market_Data[[#This Row],[Estimated Built Up Area (sq m)]]*Market_Data[[#This Row],[Concrete Intensity
(m³ / sq m)]],0)</f>
        <v>21825</v>
      </c>
      <c r="M1633" s="135">
        <f>_xlfn.XLOOKUP(Market_Data[[#This Row],[District]],tbl_district_price[District],tbl_district_price[Standard Price
(INR/m³)],"",0)</f>
        <v>6200</v>
      </c>
      <c r="N1633" s="364">
        <f>IF(OR(Market_Data[[#This Row],[Estimated Concrete Demand (m³)]]="",Market_Data[[#This Row],[Avg Price per (₹ / m³)]]=""),"",Market_Data[[#This Row],[Estimated Concrete Demand (m³)]]*Market_Data[[#This Row],[Avg Price per (₹ / m³)]]/10000000)</f>
        <v>13.531499999999999</v>
      </c>
      <c r="O1633" s="97" t="str">
        <f>IF(Market_Data[[#This Row],[Estimated Concrete Demand (m³)]]="","",
IF(Market_Data[[#This Row],[Estimated Concrete Demand (m³)]]&lt;10000,"Small",
IF(Market_Data[[#This Row],[Estimated Concrete Demand (m³)]]&lt;25000,"Medium",
IF(Market_Data[[#This Row],[Estimated Concrete Demand (m³)]]&lt;100000,"Large","Mega"))))</f>
        <v>Medium</v>
      </c>
      <c r="P1633" s="287" t="str">
        <f t="shared" si="27"/>
        <v>GujRERA</v>
      </c>
    </row>
    <row r="1634" spans="1:16">
      <c r="A1634" s="129" t="str">
        <f>_xlfn.XLOOKUP(B1634,$S$9:$S$14,$T$9:$T$14)&amp;"-"&amp;
IF(E1634="Residential/Group Housing","RES",
IF(E1634="Commercial","COM",
IF(E1634="Mixed Development","MIX",
IF(E1634="Plotted Development","PLT","OTH"))))
&amp;"-"&amp;TEXT(COUNTIFS($B$9:B1634,B1634,$E$9:E1634,E1634),"0000")</f>
        <v>SUR-PLT-0305</v>
      </c>
      <c r="B1634" s="322" t="s">
        <v>34</v>
      </c>
      <c r="C1634" s="322" t="s">
        <v>34</v>
      </c>
      <c r="D1634" s="323" t="s">
        <v>1824</v>
      </c>
      <c r="E1634" s="132" t="s">
        <v>26</v>
      </c>
      <c r="F1634" s="97" t="str">
        <f ca="1">IF(OR(Market_Data[[#This Row],[Start Date]]="",Market_Data[[#This Row],[Completion Date]]=""),"Needs Validation",IF(Market_Data[[#This Row],[Start Date]]&gt;TODAY(),"Planned",IF(Market_Data[[#This Row],[Completion Date]]&lt;TODAY(),"Completed","Ongoing")))</f>
        <v>Ongoing</v>
      </c>
      <c r="G1634" s="324">
        <v>45315</v>
      </c>
      <c r="H1634" s="324">
        <v>46387</v>
      </c>
      <c r="I1634" s="325">
        <v>28100</v>
      </c>
      <c r="J163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34" s="133">
        <f>_xlfn.XLOOKUP(Market_Data[[#This Row],[Project Type]],tbl_assumptions_market[Project Category (RERA)],tbl_assumptions_market[Concrete Intensity
(m³ / sq m BUA)],"",0)</f>
        <v>0.18</v>
      </c>
      <c r="L1634" s="134">
        <f>ROUND(Market_Data[[#This Row],[Estimated Built Up Area (sq m)]]*Market_Data[[#This Row],[Concrete Intensity
(m³ / sq m)]],0)</f>
        <v>5058</v>
      </c>
      <c r="M1634" s="135">
        <f>_xlfn.XLOOKUP(Market_Data[[#This Row],[District]],tbl_district_price[District],tbl_district_price[Standard Price
(INR/m³)],"",0)</f>
        <v>6200</v>
      </c>
      <c r="N1634" s="364">
        <f>IF(OR(Market_Data[[#This Row],[Estimated Concrete Demand (m³)]]="",Market_Data[[#This Row],[Avg Price per (₹ / m³)]]=""),"",Market_Data[[#This Row],[Estimated Concrete Demand (m³)]]*Market_Data[[#This Row],[Avg Price per (₹ / m³)]]/10000000)</f>
        <v>3.1359599999999999</v>
      </c>
      <c r="O1634" s="97" t="str">
        <f>IF(Market_Data[[#This Row],[Estimated Concrete Demand (m³)]]="","",
IF(Market_Data[[#This Row],[Estimated Concrete Demand (m³)]]&lt;10000,"Small",
IF(Market_Data[[#This Row],[Estimated Concrete Demand (m³)]]&lt;25000,"Medium",
IF(Market_Data[[#This Row],[Estimated Concrete Demand (m³)]]&lt;100000,"Large","Mega"))))</f>
        <v>Small</v>
      </c>
      <c r="P1634" s="287" t="str">
        <f t="shared" si="27"/>
        <v>GujRERA</v>
      </c>
    </row>
    <row r="1635" spans="1:16">
      <c r="A1635" s="129" t="str">
        <f>_xlfn.XLOOKUP(B1635,$S$9:$S$14,$T$9:$T$14)&amp;"-"&amp;
IF(E1635="Residential/Group Housing","RES",
IF(E1635="Commercial","COM",
IF(E1635="Mixed Development","MIX",
IF(E1635="Plotted Development","PLT","OTH"))))
&amp;"-"&amp;TEXT(COUNTIFS($B$9:B1635,B1635,$E$9:E1635,E1635),"0000")</f>
        <v>SUR-PLT-0306</v>
      </c>
      <c r="B1635" s="322" t="s">
        <v>34</v>
      </c>
      <c r="C1635" s="322" t="s">
        <v>34</v>
      </c>
      <c r="D1635" s="323" t="s">
        <v>1825</v>
      </c>
      <c r="E1635" s="132" t="s">
        <v>26</v>
      </c>
      <c r="F1635" s="97" t="str">
        <f ca="1">IF(OR(Market_Data[[#This Row],[Start Date]]="",Market_Data[[#This Row],[Completion Date]]=""),"Needs Validation",IF(Market_Data[[#This Row],[Start Date]]&gt;TODAY(),"Planned",IF(Market_Data[[#This Row],[Completion Date]]&lt;TODAY(),"Completed","Ongoing")))</f>
        <v>Ongoing</v>
      </c>
      <c r="G1635" s="324">
        <v>45644</v>
      </c>
      <c r="H1635" s="324">
        <v>46752</v>
      </c>
      <c r="I1635" s="325">
        <v>5500</v>
      </c>
      <c r="J163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35" s="133">
        <f>_xlfn.XLOOKUP(Market_Data[[#This Row],[Project Type]],tbl_assumptions_market[Project Category (RERA)],tbl_assumptions_market[Concrete Intensity
(m³ / sq m BUA)],"",0)</f>
        <v>0.18</v>
      </c>
      <c r="L1635" s="134">
        <f>ROUND(Market_Data[[#This Row],[Estimated Built Up Area (sq m)]]*Market_Data[[#This Row],[Concrete Intensity
(m³ / sq m)]],0)</f>
        <v>990</v>
      </c>
      <c r="M1635" s="135">
        <f>_xlfn.XLOOKUP(Market_Data[[#This Row],[District]],tbl_district_price[District],tbl_district_price[Standard Price
(INR/m³)],"",0)</f>
        <v>6200</v>
      </c>
      <c r="N1635" s="364">
        <f>IF(OR(Market_Data[[#This Row],[Estimated Concrete Demand (m³)]]="",Market_Data[[#This Row],[Avg Price per (₹ / m³)]]=""),"",Market_Data[[#This Row],[Estimated Concrete Demand (m³)]]*Market_Data[[#This Row],[Avg Price per (₹ / m³)]]/10000000)</f>
        <v>0.61380000000000001</v>
      </c>
      <c r="O1635" s="97" t="str">
        <f>IF(Market_Data[[#This Row],[Estimated Concrete Demand (m³)]]="","",
IF(Market_Data[[#This Row],[Estimated Concrete Demand (m³)]]&lt;10000,"Small",
IF(Market_Data[[#This Row],[Estimated Concrete Demand (m³)]]&lt;25000,"Medium",
IF(Market_Data[[#This Row],[Estimated Concrete Demand (m³)]]&lt;100000,"Large","Mega"))))</f>
        <v>Small</v>
      </c>
      <c r="P1635" s="287" t="str">
        <f t="shared" si="27"/>
        <v>GujRERA</v>
      </c>
    </row>
    <row r="1636" spans="1:16">
      <c r="A1636" s="129" t="str">
        <f>_xlfn.XLOOKUP(B1636,$S$9:$S$14,$T$9:$T$14)&amp;"-"&amp;
IF(E1636="Residential/Group Housing","RES",
IF(E1636="Commercial","COM",
IF(E1636="Mixed Development","MIX",
IF(E1636="Plotted Development","PLT","OTH"))))
&amp;"-"&amp;TEXT(COUNTIFS($B$9:B1636,B1636,$E$9:E1636,E1636),"0000")</f>
        <v>SUR-PLT-0307</v>
      </c>
      <c r="B1636" s="322" t="s">
        <v>34</v>
      </c>
      <c r="C1636" s="322" t="s">
        <v>34</v>
      </c>
      <c r="D1636" s="323" t="s">
        <v>1826</v>
      </c>
      <c r="E1636" s="132" t="s">
        <v>26</v>
      </c>
      <c r="F1636" s="97" t="str">
        <f ca="1">IF(OR(Market_Data[[#This Row],[Start Date]]="",Market_Data[[#This Row],[Completion Date]]=""),"Needs Validation",IF(Market_Data[[#This Row],[Start Date]]&gt;TODAY(),"Planned",IF(Market_Data[[#This Row],[Completion Date]]&lt;TODAY(),"Completed","Ongoing")))</f>
        <v>Ongoing</v>
      </c>
      <c r="G1636" s="324">
        <v>45699</v>
      </c>
      <c r="H1636" s="324">
        <v>46752</v>
      </c>
      <c r="I1636" s="325">
        <v>10000</v>
      </c>
      <c r="J163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36" s="133">
        <f>_xlfn.XLOOKUP(Market_Data[[#This Row],[Project Type]],tbl_assumptions_market[Project Category (RERA)],tbl_assumptions_market[Concrete Intensity
(m³ / sq m BUA)],"",0)</f>
        <v>0.18</v>
      </c>
      <c r="L1636" s="134">
        <f>ROUND(Market_Data[[#This Row],[Estimated Built Up Area (sq m)]]*Market_Data[[#This Row],[Concrete Intensity
(m³ / sq m)]],0)</f>
        <v>1800</v>
      </c>
      <c r="M1636" s="135">
        <f>_xlfn.XLOOKUP(Market_Data[[#This Row],[District]],tbl_district_price[District],tbl_district_price[Standard Price
(INR/m³)],"",0)</f>
        <v>6200</v>
      </c>
      <c r="N1636" s="364">
        <f>IF(OR(Market_Data[[#This Row],[Estimated Concrete Demand (m³)]]="",Market_Data[[#This Row],[Avg Price per (₹ / m³)]]=""),"",Market_Data[[#This Row],[Estimated Concrete Demand (m³)]]*Market_Data[[#This Row],[Avg Price per (₹ / m³)]]/10000000)</f>
        <v>1.1160000000000001</v>
      </c>
      <c r="O1636" s="97" t="str">
        <f>IF(Market_Data[[#This Row],[Estimated Concrete Demand (m³)]]="","",
IF(Market_Data[[#This Row],[Estimated Concrete Demand (m³)]]&lt;10000,"Small",
IF(Market_Data[[#This Row],[Estimated Concrete Demand (m³)]]&lt;25000,"Medium",
IF(Market_Data[[#This Row],[Estimated Concrete Demand (m³)]]&lt;100000,"Large","Mega"))))</f>
        <v>Small</v>
      </c>
      <c r="P1636" s="287" t="str">
        <f t="shared" si="27"/>
        <v>GujRERA</v>
      </c>
    </row>
    <row r="1637" spans="1:16">
      <c r="A1637" s="129" t="str">
        <f>_xlfn.XLOOKUP(B1637,$S$9:$S$14,$T$9:$T$14)&amp;"-"&amp;
IF(E1637="Residential/Group Housing","RES",
IF(E1637="Commercial","COM",
IF(E1637="Mixed Development","MIX",
IF(E1637="Plotted Development","PLT","OTH"))))
&amp;"-"&amp;TEXT(COUNTIFS($B$9:B1637,B1637,$E$9:E1637,E1637),"0000")</f>
        <v>SUR-PLT-0308</v>
      </c>
      <c r="B1637" s="322" t="s">
        <v>34</v>
      </c>
      <c r="C1637" s="322" t="s">
        <v>34</v>
      </c>
      <c r="D1637" s="323" t="s">
        <v>1827</v>
      </c>
      <c r="E1637" s="132" t="s">
        <v>26</v>
      </c>
      <c r="F1637" s="97" t="str">
        <f ca="1">IF(OR(Market_Data[[#This Row],[Start Date]]="",Market_Data[[#This Row],[Completion Date]]=""),"Needs Validation",IF(Market_Data[[#This Row],[Start Date]]&gt;TODAY(),"Planned",IF(Market_Data[[#This Row],[Completion Date]]&lt;TODAY(),"Completed","Ongoing")))</f>
        <v>Ongoing</v>
      </c>
      <c r="G1637" s="324">
        <v>45392</v>
      </c>
      <c r="H1637" s="324">
        <v>46387</v>
      </c>
      <c r="I1637" s="325">
        <v>56200</v>
      </c>
      <c r="J163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637" s="133">
        <f>_xlfn.XLOOKUP(Market_Data[[#This Row],[Project Type]],tbl_assumptions_market[Project Category (RERA)],tbl_assumptions_market[Concrete Intensity
(m³ / sq m BUA)],"",0)</f>
        <v>0.18</v>
      </c>
      <c r="L1637" s="134">
        <f>ROUND(Market_Data[[#This Row],[Estimated Built Up Area (sq m)]]*Market_Data[[#This Row],[Concrete Intensity
(m³ / sq m)]],0)</f>
        <v>10116</v>
      </c>
      <c r="M1637" s="135">
        <f>_xlfn.XLOOKUP(Market_Data[[#This Row],[District]],tbl_district_price[District],tbl_district_price[Standard Price
(INR/m³)],"",0)</f>
        <v>6200</v>
      </c>
      <c r="N1637" s="364">
        <f>IF(OR(Market_Data[[#This Row],[Estimated Concrete Demand (m³)]]="",Market_Data[[#This Row],[Avg Price per (₹ / m³)]]=""),"",Market_Data[[#This Row],[Estimated Concrete Demand (m³)]]*Market_Data[[#This Row],[Avg Price per (₹ / m³)]]/10000000)</f>
        <v>6.2719199999999997</v>
      </c>
      <c r="O1637" s="97" t="str">
        <f>IF(Market_Data[[#This Row],[Estimated Concrete Demand (m³)]]="","",
IF(Market_Data[[#This Row],[Estimated Concrete Demand (m³)]]&lt;10000,"Small",
IF(Market_Data[[#This Row],[Estimated Concrete Demand (m³)]]&lt;25000,"Medium",
IF(Market_Data[[#This Row],[Estimated Concrete Demand (m³)]]&lt;100000,"Large","Mega"))))</f>
        <v>Medium</v>
      </c>
      <c r="P1637" s="287" t="str">
        <f t="shared" si="27"/>
        <v>GujRERA</v>
      </c>
    </row>
    <row r="1638" spans="1:16">
      <c r="A1638" s="129" t="str">
        <f>_xlfn.XLOOKUP(B1638,$S$9:$S$14,$T$9:$T$14)&amp;"-"&amp;
IF(E1638="Residential/Group Housing","RES",
IF(E1638="Commercial","COM",
IF(E1638="Mixed Development","MIX",
IF(E1638="Plotted Development","PLT","OTH"))))
&amp;"-"&amp;TEXT(COUNTIFS($B$9:B1638,B1638,$E$9:E1638,E1638),"0000")</f>
        <v>SUR-PLT-0309</v>
      </c>
      <c r="B1638" s="322" t="s">
        <v>34</v>
      </c>
      <c r="C1638" s="322" t="s">
        <v>34</v>
      </c>
      <c r="D1638" s="323" t="s">
        <v>1828</v>
      </c>
      <c r="E1638" s="132" t="s">
        <v>26</v>
      </c>
      <c r="F1638" s="97" t="str">
        <f ca="1">IF(OR(Market_Data[[#This Row],[Start Date]]="",Market_Data[[#This Row],[Completion Date]]=""),"Needs Validation",IF(Market_Data[[#This Row],[Start Date]]&gt;TODAY(),"Planned",IF(Market_Data[[#This Row],[Completion Date]]&lt;TODAY(),"Completed","Ongoing")))</f>
        <v>Completed</v>
      </c>
      <c r="G1638" s="324">
        <v>43466</v>
      </c>
      <c r="H1638" s="324">
        <v>44834</v>
      </c>
      <c r="I1638" s="325">
        <v>51800</v>
      </c>
      <c r="J163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638" s="133">
        <f>_xlfn.XLOOKUP(Market_Data[[#This Row],[Project Type]],tbl_assumptions_market[Project Category (RERA)],tbl_assumptions_market[Concrete Intensity
(m³ / sq m BUA)],"",0)</f>
        <v>0.18</v>
      </c>
      <c r="L1638" s="134">
        <f>ROUND(Market_Data[[#This Row],[Estimated Built Up Area (sq m)]]*Market_Data[[#This Row],[Concrete Intensity
(m³ / sq m)]],0)</f>
        <v>9324</v>
      </c>
      <c r="M1638" s="135">
        <f>_xlfn.XLOOKUP(Market_Data[[#This Row],[District]],tbl_district_price[District],tbl_district_price[Standard Price
(INR/m³)],"",0)</f>
        <v>6200</v>
      </c>
      <c r="N1638" s="364">
        <f>IF(OR(Market_Data[[#This Row],[Estimated Concrete Demand (m³)]]="",Market_Data[[#This Row],[Avg Price per (₹ / m³)]]=""),"",Market_Data[[#This Row],[Estimated Concrete Demand (m³)]]*Market_Data[[#This Row],[Avg Price per (₹ / m³)]]/10000000)</f>
        <v>5.7808799999999998</v>
      </c>
      <c r="O1638" s="97" t="str">
        <f>IF(Market_Data[[#This Row],[Estimated Concrete Demand (m³)]]="","",
IF(Market_Data[[#This Row],[Estimated Concrete Demand (m³)]]&lt;10000,"Small",
IF(Market_Data[[#This Row],[Estimated Concrete Demand (m³)]]&lt;25000,"Medium",
IF(Market_Data[[#This Row],[Estimated Concrete Demand (m³)]]&lt;100000,"Large","Mega"))))</f>
        <v>Small</v>
      </c>
      <c r="P1638" s="287" t="str">
        <f t="shared" si="27"/>
        <v>GujRERA</v>
      </c>
    </row>
    <row r="1639" spans="1:16">
      <c r="A1639" s="129" t="str">
        <f>_xlfn.XLOOKUP(B1639,$S$9:$S$14,$T$9:$T$14)&amp;"-"&amp;
IF(E1639="Residential/Group Housing","RES",
IF(E1639="Commercial","COM",
IF(E1639="Mixed Development","MIX",
IF(E1639="Plotted Development","PLT","OTH"))))
&amp;"-"&amp;TEXT(COUNTIFS($B$9:B1639,B1639,$E$9:E1639,E1639),"0000")</f>
        <v>SUR-PLT-0310</v>
      </c>
      <c r="B1639" s="322" t="s">
        <v>34</v>
      </c>
      <c r="C1639" s="322" t="s">
        <v>34</v>
      </c>
      <c r="D1639" s="323" t="s">
        <v>1829</v>
      </c>
      <c r="E1639" s="132" t="s">
        <v>26</v>
      </c>
      <c r="F1639" s="97" t="str">
        <f ca="1">IF(OR(Market_Data[[#This Row],[Start Date]]="",Market_Data[[#This Row],[Completion Date]]=""),"Needs Validation",IF(Market_Data[[#This Row],[Start Date]]&gt;TODAY(),"Planned",IF(Market_Data[[#This Row],[Completion Date]]&lt;TODAY(),"Completed","Ongoing")))</f>
        <v>Completed</v>
      </c>
      <c r="G1639" s="324">
        <v>45261</v>
      </c>
      <c r="H1639" s="324">
        <v>46022</v>
      </c>
      <c r="I1639" s="325">
        <v>24300</v>
      </c>
      <c r="J163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39" s="133">
        <f>_xlfn.XLOOKUP(Market_Data[[#This Row],[Project Type]],tbl_assumptions_market[Project Category (RERA)],tbl_assumptions_market[Concrete Intensity
(m³ / sq m BUA)],"",0)</f>
        <v>0.18</v>
      </c>
      <c r="L1639" s="134">
        <f>ROUND(Market_Data[[#This Row],[Estimated Built Up Area (sq m)]]*Market_Data[[#This Row],[Concrete Intensity
(m³ / sq m)]],0)</f>
        <v>4374</v>
      </c>
      <c r="M1639" s="135">
        <f>_xlfn.XLOOKUP(Market_Data[[#This Row],[District]],tbl_district_price[District],tbl_district_price[Standard Price
(INR/m³)],"",0)</f>
        <v>6200</v>
      </c>
      <c r="N1639" s="364">
        <f>IF(OR(Market_Data[[#This Row],[Estimated Concrete Demand (m³)]]="",Market_Data[[#This Row],[Avg Price per (₹ / m³)]]=""),"",Market_Data[[#This Row],[Estimated Concrete Demand (m³)]]*Market_Data[[#This Row],[Avg Price per (₹ / m³)]]/10000000)</f>
        <v>2.7118799999999998</v>
      </c>
      <c r="O1639" s="97" t="str">
        <f>IF(Market_Data[[#This Row],[Estimated Concrete Demand (m³)]]="","",
IF(Market_Data[[#This Row],[Estimated Concrete Demand (m³)]]&lt;10000,"Small",
IF(Market_Data[[#This Row],[Estimated Concrete Demand (m³)]]&lt;25000,"Medium",
IF(Market_Data[[#This Row],[Estimated Concrete Demand (m³)]]&lt;100000,"Large","Mega"))))</f>
        <v>Small</v>
      </c>
      <c r="P1639" s="287" t="str">
        <f t="shared" si="27"/>
        <v>GujRERA</v>
      </c>
    </row>
    <row r="1640" spans="1:16">
      <c r="A1640" s="129" t="str">
        <f>_xlfn.XLOOKUP(B1640,$S$9:$S$14,$T$9:$T$14)&amp;"-"&amp;
IF(E1640="Residential/Group Housing","RES",
IF(E1640="Commercial","COM",
IF(E1640="Mixed Development","MIX",
IF(E1640="Plotted Development","PLT","OTH"))))
&amp;"-"&amp;TEXT(COUNTIFS($B$9:B1640,B1640,$E$9:E1640,E1640),"0000")</f>
        <v>SUR-RES-0500</v>
      </c>
      <c r="B1640" s="322" t="s">
        <v>34</v>
      </c>
      <c r="C1640" s="322" t="s">
        <v>34</v>
      </c>
      <c r="D1640" s="323" t="s">
        <v>1830</v>
      </c>
      <c r="E1640" s="132" t="s">
        <v>24</v>
      </c>
      <c r="F1640" s="97" t="str">
        <f ca="1">IF(OR(Market_Data[[#This Row],[Start Date]]="",Market_Data[[#This Row],[Completion Date]]=""),"Needs Validation",IF(Market_Data[[#This Row],[Start Date]]&gt;TODAY(),"Planned",IF(Market_Data[[#This Row],[Completion Date]]&lt;TODAY(),"Completed","Ongoing")))</f>
        <v>Ongoing</v>
      </c>
      <c r="G1640" s="324">
        <v>45292</v>
      </c>
      <c r="H1640" s="324">
        <v>47848</v>
      </c>
      <c r="I1640" s="325">
        <v>35100</v>
      </c>
      <c r="J164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40" s="133">
        <f>_xlfn.XLOOKUP(Market_Data[[#This Row],[Project Type]],tbl_assumptions_market[Project Category (RERA)],tbl_assumptions_market[Concrete Intensity
(m³ / sq m BUA)],"",0)</f>
        <v>0.45</v>
      </c>
      <c r="L1640" s="134">
        <f>ROUND(Market_Data[[#This Row],[Estimated Built Up Area (sq m)]]*Market_Data[[#This Row],[Concrete Intensity
(m³ / sq m)]],0)</f>
        <v>15795</v>
      </c>
      <c r="M1640" s="135">
        <f>_xlfn.XLOOKUP(Market_Data[[#This Row],[District]],tbl_district_price[District],tbl_district_price[Standard Price
(INR/m³)],"",0)</f>
        <v>6200</v>
      </c>
      <c r="N1640" s="364">
        <f>IF(OR(Market_Data[[#This Row],[Estimated Concrete Demand (m³)]]="",Market_Data[[#This Row],[Avg Price per (₹ / m³)]]=""),"",Market_Data[[#This Row],[Estimated Concrete Demand (m³)]]*Market_Data[[#This Row],[Avg Price per (₹ / m³)]]/10000000)</f>
        <v>9.7928999999999995</v>
      </c>
      <c r="O1640" s="97" t="str">
        <f>IF(Market_Data[[#This Row],[Estimated Concrete Demand (m³)]]="","",
IF(Market_Data[[#This Row],[Estimated Concrete Demand (m³)]]&lt;10000,"Small",
IF(Market_Data[[#This Row],[Estimated Concrete Demand (m³)]]&lt;25000,"Medium",
IF(Market_Data[[#This Row],[Estimated Concrete Demand (m³)]]&lt;100000,"Large","Mega"))))</f>
        <v>Medium</v>
      </c>
      <c r="P1640" s="287" t="str">
        <f t="shared" si="27"/>
        <v>GujRERA</v>
      </c>
    </row>
    <row r="1641" spans="1:16">
      <c r="A1641" s="129" t="str">
        <f>_xlfn.XLOOKUP(B1641,$S$9:$S$14,$T$9:$T$14)&amp;"-"&amp;
IF(E1641="Residential/Group Housing","RES",
IF(E1641="Commercial","COM",
IF(E1641="Mixed Development","MIX",
IF(E1641="Plotted Development","PLT","OTH"))))
&amp;"-"&amp;TEXT(COUNTIFS($B$9:B1641,B1641,$E$9:E1641,E1641),"0000")</f>
        <v>SUR-RES-0501</v>
      </c>
      <c r="B1641" s="322" t="s">
        <v>34</v>
      </c>
      <c r="C1641" s="322" t="s">
        <v>34</v>
      </c>
      <c r="D1641" s="323" t="s">
        <v>1831</v>
      </c>
      <c r="E1641" s="132" t="s">
        <v>24</v>
      </c>
      <c r="F1641" s="97" t="str">
        <f ca="1">IF(OR(Market_Data[[#This Row],[Start Date]]="",Market_Data[[#This Row],[Completion Date]]=""),"Needs Validation",IF(Market_Data[[#This Row],[Start Date]]&gt;TODAY(),"Planned",IF(Market_Data[[#This Row],[Completion Date]]&lt;TODAY(),"Completed","Ongoing")))</f>
        <v>Completed</v>
      </c>
      <c r="G1641" s="324">
        <v>41883</v>
      </c>
      <c r="H1641" s="324">
        <v>44227</v>
      </c>
      <c r="I1641" s="325">
        <v>8000</v>
      </c>
      <c r="J164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41" s="133">
        <f>_xlfn.XLOOKUP(Market_Data[[#This Row],[Project Type]],tbl_assumptions_market[Project Category (RERA)],tbl_assumptions_market[Concrete Intensity
(m³ / sq m BUA)],"",0)</f>
        <v>0.45</v>
      </c>
      <c r="L1641" s="134">
        <f>ROUND(Market_Data[[#This Row],[Estimated Built Up Area (sq m)]]*Market_Data[[#This Row],[Concrete Intensity
(m³ / sq m)]],0)</f>
        <v>3600</v>
      </c>
      <c r="M1641" s="135">
        <f>_xlfn.XLOOKUP(Market_Data[[#This Row],[District]],tbl_district_price[District],tbl_district_price[Standard Price
(INR/m³)],"",0)</f>
        <v>6200</v>
      </c>
      <c r="N1641" s="364">
        <f>IF(OR(Market_Data[[#This Row],[Estimated Concrete Demand (m³)]]="",Market_Data[[#This Row],[Avg Price per (₹ / m³)]]=""),"",Market_Data[[#This Row],[Estimated Concrete Demand (m³)]]*Market_Data[[#This Row],[Avg Price per (₹ / m³)]]/10000000)</f>
        <v>2.2320000000000002</v>
      </c>
      <c r="O1641" s="97" t="str">
        <f>IF(Market_Data[[#This Row],[Estimated Concrete Demand (m³)]]="","",
IF(Market_Data[[#This Row],[Estimated Concrete Demand (m³)]]&lt;10000,"Small",
IF(Market_Data[[#This Row],[Estimated Concrete Demand (m³)]]&lt;25000,"Medium",
IF(Market_Data[[#This Row],[Estimated Concrete Demand (m³)]]&lt;100000,"Large","Mega"))))</f>
        <v>Small</v>
      </c>
      <c r="P1641" s="287" t="str">
        <f t="shared" si="27"/>
        <v>GujRERA</v>
      </c>
    </row>
    <row r="1642" spans="1:16">
      <c r="A1642" s="129" t="str">
        <f>_xlfn.XLOOKUP(B1642,$S$9:$S$14,$T$9:$T$14)&amp;"-"&amp;
IF(E1642="Residential/Group Housing","RES",
IF(E1642="Commercial","COM",
IF(E1642="Mixed Development","MIX",
IF(E1642="Plotted Development","PLT","OTH"))))
&amp;"-"&amp;TEXT(COUNTIFS($B$9:B1642,B1642,$E$9:E1642,E1642),"0000")</f>
        <v>SUR-MIX-0243</v>
      </c>
      <c r="B1642" s="322" t="s">
        <v>34</v>
      </c>
      <c r="C1642" s="322" t="s">
        <v>34</v>
      </c>
      <c r="D1642" s="323" t="s">
        <v>1832</v>
      </c>
      <c r="E1642" s="132" t="s">
        <v>25</v>
      </c>
      <c r="F1642" s="97" t="str">
        <f ca="1">IF(OR(Market_Data[[#This Row],[Start Date]]="",Market_Data[[#This Row],[Completion Date]]=""),"Needs Validation",IF(Market_Data[[#This Row],[Start Date]]&gt;TODAY(),"Planned",IF(Market_Data[[#This Row],[Completion Date]]&lt;TODAY(),"Completed","Ongoing")))</f>
        <v>Completed</v>
      </c>
      <c r="G1642" s="324">
        <v>41520</v>
      </c>
      <c r="H1642" s="324">
        <v>44742</v>
      </c>
      <c r="I1642" s="325">
        <v>10800</v>
      </c>
      <c r="J164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42" s="133">
        <f>_xlfn.XLOOKUP(Market_Data[[#This Row],[Project Type]],tbl_assumptions_market[Project Category (RERA)],tbl_assumptions_market[Concrete Intensity
(m³ / sq m BUA)],"",0)</f>
        <v>0.42</v>
      </c>
      <c r="L1642" s="134">
        <f>ROUND(Market_Data[[#This Row],[Estimated Built Up Area (sq m)]]*Market_Data[[#This Row],[Concrete Intensity
(m³ / sq m)]],0)</f>
        <v>4536</v>
      </c>
      <c r="M1642" s="135">
        <f>_xlfn.XLOOKUP(Market_Data[[#This Row],[District]],tbl_district_price[District],tbl_district_price[Standard Price
(INR/m³)],"",0)</f>
        <v>6200</v>
      </c>
      <c r="N1642" s="364">
        <f>IF(OR(Market_Data[[#This Row],[Estimated Concrete Demand (m³)]]="",Market_Data[[#This Row],[Avg Price per (₹ / m³)]]=""),"",Market_Data[[#This Row],[Estimated Concrete Demand (m³)]]*Market_Data[[#This Row],[Avg Price per (₹ / m³)]]/10000000)</f>
        <v>2.8123200000000002</v>
      </c>
      <c r="O1642" s="97" t="str">
        <f>IF(Market_Data[[#This Row],[Estimated Concrete Demand (m³)]]="","",
IF(Market_Data[[#This Row],[Estimated Concrete Demand (m³)]]&lt;10000,"Small",
IF(Market_Data[[#This Row],[Estimated Concrete Demand (m³)]]&lt;25000,"Medium",
IF(Market_Data[[#This Row],[Estimated Concrete Demand (m³)]]&lt;100000,"Large","Mega"))))</f>
        <v>Small</v>
      </c>
      <c r="P1642" s="287" t="str">
        <f t="shared" si="27"/>
        <v>GujRERA</v>
      </c>
    </row>
    <row r="1643" spans="1:16">
      <c r="A1643" s="129" t="str">
        <f>_xlfn.XLOOKUP(B1643,$S$9:$S$14,$T$9:$T$14)&amp;"-"&amp;
IF(E1643="Residential/Group Housing","RES",
IF(E1643="Commercial","COM",
IF(E1643="Mixed Development","MIX",
IF(E1643="Plotted Development","PLT","OTH"))))
&amp;"-"&amp;TEXT(COUNTIFS($B$9:B1643,B1643,$E$9:E1643,E1643),"0000")</f>
        <v>SUR-RES-0502</v>
      </c>
      <c r="B1643" s="322" t="s">
        <v>34</v>
      </c>
      <c r="C1643" s="322" t="s">
        <v>34</v>
      </c>
      <c r="D1643" s="323" t="s">
        <v>1833</v>
      </c>
      <c r="E1643" s="132" t="s">
        <v>24</v>
      </c>
      <c r="F1643" s="97" t="str">
        <f ca="1">IF(OR(Market_Data[[#This Row],[Start Date]]="",Market_Data[[#This Row],[Completion Date]]=""),"Needs Validation",IF(Market_Data[[#This Row],[Start Date]]&gt;TODAY(),"Planned",IF(Market_Data[[#This Row],[Completion Date]]&lt;TODAY(),"Completed","Ongoing")))</f>
        <v>Ongoing</v>
      </c>
      <c r="G1643" s="324">
        <v>44835</v>
      </c>
      <c r="H1643" s="324">
        <v>47483</v>
      </c>
      <c r="I1643" s="325">
        <v>30800</v>
      </c>
      <c r="J164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43" s="133">
        <f>_xlfn.XLOOKUP(Market_Data[[#This Row],[Project Type]],tbl_assumptions_market[Project Category (RERA)],tbl_assumptions_market[Concrete Intensity
(m³ / sq m BUA)],"",0)</f>
        <v>0.45</v>
      </c>
      <c r="L1643" s="134">
        <f>ROUND(Market_Data[[#This Row],[Estimated Built Up Area (sq m)]]*Market_Data[[#This Row],[Concrete Intensity
(m³ / sq m)]],0)</f>
        <v>13860</v>
      </c>
      <c r="M1643" s="135">
        <f>_xlfn.XLOOKUP(Market_Data[[#This Row],[District]],tbl_district_price[District],tbl_district_price[Standard Price
(INR/m³)],"",0)</f>
        <v>6200</v>
      </c>
      <c r="N1643" s="364">
        <f>IF(OR(Market_Data[[#This Row],[Estimated Concrete Demand (m³)]]="",Market_Data[[#This Row],[Avg Price per (₹ / m³)]]=""),"",Market_Data[[#This Row],[Estimated Concrete Demand (m³)]]*Market_Data[[#This Row],[Avg Price per (₹ / m³)]]/10000000)</f>
        <v>8.5931999999999995</v>
      </c>
      <c r="O1643" s="97" t="str">
        <f>IF(Market_Data[[#This Row],[Estimated Concrete Demand (m³)]]="","",
IF(Market_Data[[#This Row],[Estimated Concrete Demand (m³)]]&lt;10000,"Small",
IF(Market_Data[[#This Row],[Estimated Concrete Demand (m³)]]&lt;25000,"Medium",
IF(Market_Data[[#This Row],[Estimated Concrete Demand (m³)]]&lt;100000,"Large","Mega"))))</f>
        <v>Medium</v>
      </c>
      <c r="P1643" s="287" t="str">
        <f t="shared" si="27"/>
        <v>GujRERA</v>
      </c>
    </row>
    <row r="1644" spans="1:16">
      <c r="A1644" s="129" t="str">
        <f>_xlfn.XLOOKUP(B1644,$S$9:$S$14,$T$9:$T$14)&amp;"-"&amp;
IF(E1644="Residential/Group Housing","RES",
IF(E1644="Commercial","COM",
IF(E1644="Mixed Development","MIX",
IF(E1644="Plotted Development","PLT","OTH"))))
&amp;"-"&amp;TEXT(COUNTIFS($B$9:B1644,B1644,$E$9:E1644,E1644),"0000")</f>
        <v>SUR-RES-0503</v>
      </c>
      <c r="B1644" s="322" t="s">
        <v>34</v>
      </c>
      <c r="C1644" s="322" t="s">
        <v>34</v>
      </c>
      <c r="D1644" s="323" t="s">
        <v>1834</v>
      </c>
      <c r="E1644" s="132" t="s">
        <v>24</v>
      </c>
      <c r="F1644" s="97" t="str">
        <f ca="1">IF(OR(Market_Data[[#This Row],[Start Date]]="",Market_Data[[#This Row],[Completion Date]]=""),"Needs Validation",IF(Market_Data[[#This Row],[Start Date]]&gt;TODAY(),"Planned",IF(Market_Data[[#This Row],[Completion Date]]&lt;TODAY(),"Completed","Ongoing")))</f>
        <v>Completed</v>
      </c>
      <c r="G1644" s="324">
        <v>43438</v>
      </c>
      <c r="H1644" s="324">
        <v>46203</v>
      </c>
      <c r="I1644" s="325">
        <v>36300</v>
      </c>
      <c r="J164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44" s="133">
        <f>_xlfn.XLOOKUP(Market_Data[[#This Row],[Project Type]],tbl_assumptions_market[Project Category (RERA)],tbl_assumptions_market[Concrete Intensity
(m³ / sq m BUA)],"",0)</f>
        <v>0.45</v>
      </c>
      <c r="L1644" s="134">
        <f>ROUND(Market_Data[[#This Row],[Estimated Built Up Area (sq m)]]*Market_Data[[#This Row],[Concrete Intensity
(m³ / sq m)]],0)</f>
        <v>16335</v>
      </c>
      <c r="M1644" s="135">
        <f>_xlfn.XLOOKUP(Market_Data[[#This Row],[District]],tbl_district_price[District],tbl_district_price[Standard Price
(INR/m³)],"",0)</f>
        <v>6200</v>
      </c>
      <c r="N1644" s="364">
        <f>IF(OR(Market_Data[[#This Row],[Estimated Concrete Demand (m³)]]="",Market_Data[[#This Row],[Avg Price per (₹ / m³)]]=""),"",Market_Data[[#This Row],[Estimated Concrete Demand (m³)]]*Market_Data[[#This Row],[Avg Price per (₹ / m³)]]/10000000)</f>
        <v>10.127700000000001</v>
      </c>
      <c r="O1644" s="97" t="str">
        <f>IF(Market_Data[[#This Row],[Estimated Concrete Demand (m³)]]="","",
IF(Market_Data[[#This Row],[Estimated Concrete Demand (m³)]]&lt;10000,"Small",
IF(Market_Data[[#This Row],[Estimated Concrete Demand (m³)]]&lt;25000,"Medium",
IF(Market_Data[[#This Row],[Estimated Concrete Demand (m³)]]&lt;100000,"Large","Mega"))))</f>
        <v>Medium</v>
      </c>
      <c r="P1644" s="287" t="str">
        <f t="shared" si="27"/>
        <v>GujRERA</v>
      </c>
    </row>
    <row r="1645" spans="1:16">
      <c r="A1645" s="129" t="str">
        <f>_xlfn.XLOOKUP(B1645,$S$9:$S$14,$T$9:$T$14)&amp;"-"&amp;
IF(E1645="Residential/Group Housing","RES",
IF(E1645="Commercial","COM",
IF(E1645="Mixed Development","MIX",
IF(E1645="Plotted Development","PLT","OTH"))))
&amp;"-"&amp;TEXT(COUNTIFS($B$9:B1645,B1645,$E$9:E1645,E1645),"0000")</f>
        <v>SUR-RES-0504</v>
      </c>
      <c r="B1645" s="322" t="s">
        <v>34</v>
      </c>
      <c r="C1645" s="322" t="s">
        <v>34</v>
      </c>
      <c r="D1645" s="323" t="s">
        <v>1835</v>
      </c>
      <c r="E1645" s="132" t="s">
        <v>24</v>
      </c>
      <c r="F1645" s="97" t="str">
        <f ca="1">IF(OR(Market_Data[[#This Row],[Start Date]]="",Market_Data[[#This Row],[Completion Date]]=""),"Needs Validation",IF(Market_Data[[#This Row],[Start Date]]&gt;TODAY(),"Planned",IF(Market_Data[[#This Row],[Completion Date]]&lt;TODAY(),"Completed","Ongoing")))</f>
        <v>Ongoing</v>
      </c>
      <c r="G1645" s="324">
        <v>43059</v>
      </c>
      <c r="H1645" s="324">
        <v>46568</v>
      </c>
      <c r="I1645" s="325">
        <v>29300</v>
      </c>
      <c r="J164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45" s="133">
        <f>_xlfn.XLOOKUP(Market_Data[[#This Row],[Project Type]],tbl_assumptions_market[Project Category (RERA)],tbl_assumptions_market[Concrete Intensity
(m³ / sq m BUA)],"",0)</f>
        <v>0.45</v>
      </c>
      <c r="L1645" s="134">
        <f>ROUND(Market_Data[[#This Row],[Estimated Built Up Area (sq m)]]*Market_Data[[#This Row],[Concrete Intensity
(m³ / sq m)]],0)</f>
        <v>13185</v>
      </c>
      <c r="M1645" s="135">
        <f>_xlfn.XLOOKUP(Market_Data[[#This Row],[District]],tbl_district_price[District],tbl_district_price[Standard Price
(INR/m³)],"",0)</f>
        <v>6200</v>
      </c>
      <c r="N1645" s="364">
        <f>IF(OR(Market_Data[[#This Row],[Estimated Concrete Demand (m³)]]="",Market_Data[[#This Row],[Avg Price per (₹ / m³)]]=""),"",Market_Data[[#This Row],[Estimated Concrete Demand (m³)]]*Market_Data[[#This Row],[Avg Price per (₹ / m³)]]/10000000)</f>
        <v>8.1746999999999996</v>
      </c>
      <c r="O1645" s="97" t="str">
        <f>IF(Market_Data[[#This Row],[Estimated Concrete Demand (m³)]]="","",
IF(Market_Data[[#This Row],[Estimated Concrete Demand (m³)]]&lt;10000,"Small",
IF(Market_Data[[#This Row],[Estimated Concrete Demand (m³)]]&lt;25000,"Medium",
IF(Market_Data[[#This Row],[Estimated Concrete Demand (m³)]]&lt;100000,"Large","Mega"))))</f>
        <v>Medium</v>
      </c>
      <c r="P1645" s="287" t="str">
        <f t="shared" si="27"/>
        <v>GujRERA</v>
      </c>
    </row>
    <row r="1646" spans="1:16">
      <c r="A1646" s="129" t="str">
        <f>_xlfn.XLOOKUP(B1646,$S$9:$S$14,$T$9:$T$14)&amp;"-"&amp;
IF(E1646="Residential/Group Housing","RES",
IF(E1646="Commercial","COM",
IF(E1646="Mixed Development","MIX",
IF(E1646="Plotted Development","PLT","OTH"))))
&amp;"-"&amp;TEXT(COUNTIFS($B$9:B1646,B1646,$E$9:E1646,E1646),"0000")</f>
        <v>SUR-RES-0505</v>
      </c>
      <c r="B1646" s="322" t="s">
        <v>34</v>
      </c>
      <c r="C1646" s="322" t="s">
        <v>34</v>
      </c>
      <c r="D1646" s="323" t="s">
        <v>1836</v>
      </c>
      <c r="E1646" s="132" t="s">
        <v>24</v>
      </c>
      <c r="F1646" s="97" t="str">
        <f ca="1">IF(OR(Market_Data[[#This Row],[Start Date]]="",Market_Data[[#This Row],[Completion Date]]=""),"Needs Validation",IF(Market_Data[[#This Row],[Start Date]]&gt;TODAY(),"Planned",IF(Market_Data[[#This Row],[Completion Date]]&lt;TODAY(),"Completed","Ongoing")))</f>
        <v>Ongoing</v>
      </c>
      <c r="G1646" s="324">
        <v>45047</v>
      </c>
      <c r="H1646" s="324">
        <v>46853</v>
      </c>
      <c r="I1646" s="325">
        <v>37200</v>
      </c>
      <c r="J164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46" s="133">
        <f>_xlfn.XLOOKUP(Market_Data[[#This Row],[Project Type]],tbl_assumptions_market[Project Category (RERA)],tbl_assumptions_market[Concrete Intensity
(m³ / sq m BUA)],"",0)</f>
        <v>0.45</v>
      </c>
      <c r="L1646" s="134">
        <f>ROUND(Market_Data[[#This Row],[Estimated Built Up Area (sq m)]]*Market_Data[[#This Row],[Concrete Intensity
(m³ / sq m)]],0)</f>
        <v>16740</v>
      </c>
      <c r="M1646" s="135">
        <f>_xlfn.XLOOKUP(Market_Data[[#This Row],[District]],tbl_district_price[District],tbl_district_price[Standard Price
(INR/m³)],"",0)</f>
        <v>6200</v>
      </c>
      <c r="N1646" s="364">
        <f>IF(OR(Market_Data[[#This Row],[Estimated Concrete Demand (m³)]]="",Market_Data[[#This Row],[Avg Price per (₹ / m³)]]=""),"",Market_Data[[#This Row],[Estimated Concrete Demand (m³)]]*Market_Data[[#This Row],[Avg Price per (₹ / m³)]]/10000000)</f>
        <v>10.3788</v>
      </c>
      <c r="O1646" s="97" t="str">
        <f>IF(Market_Data[[#This Row],[Estimated Concrete Demand (m³)]]="","",
IF(Market_Data[[#This Row],[Estimated Concrete Demand (m³)]]&lt;10000,"Small",
IF(Market_Data[[#This Row],[Estimated Concrete Demand (m³)]]&lt;25000,"Medium",
IF(Market_Data[[#This Row],[Estimated Concrete Demand (m³)]]&lt;100000,"Large","Mega"))))</f>
        <v>Medium</v>
      </c>
      <c r="P1646" s="287" t="str">
        <f t="shared" si="27"/>
        <v>GujRERA</v>
      </c>
    </row>
    <row r="1647" spans="1:16">
      <c r="A1647" s="129" t="str">
        <f>_xlfn.XLOOKUP(B1647,$S$9:$S$14,$T$9:$T$14)&amp;"-"&amp;
IF(E1647="Residential/Group Housing","RES",
IF(E1647="Commercial","COM",
IF(E1647="Mixed Development","MIX",
IF(E1647="Plotted Development","PLT","OTH"))))
&amp;"-"&amp;TEXT(COUNTIFS($B$9:B1647,B1647,$E$9:E1647,E1647),"0000")</f>
        <v>SUR-MIX-0244</v>
      </c>
      <c r="B1647" s="322" t="s">
        <v>34</v>
      </c>
      <c r="C1647" s="322" t="s">
        <v>34</v>
      </c>
      <c r="D1647" s="323" t="s">
        <v>1837</v>
      </c>
      <c r="E1647" s="132" t="s">
        <v>25</v>
      </c>
      <c r="F1647" s="97" t="str">
        <f ca="1">IF(OR(Market_Data[[#This Row],[Start Date]]="",Market_Data[[#This Row],[Completion Date]]=""),"Needs Validation",IF(Market_Data[[#This Row],[Start Date]]&gt;TODAY(),"Planned",IF(Market_Data[[#This Row],[Completion Date]]&lt;TODAY(),"Completed","Ongoing")))</f>
        <v>Ongoing</v>
      </c>
      <c r="G1647" s="324">
        <v>45030</v>
      </c>
      <c r="H1647" s="324">
        <v>47483</v>
      </c>
      <c r="I1647" s="325">
        <v>29700</v>
      </c>
      <c r="J164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47" s="133">
        <f>_xlfn.XLOOKUP(Market_Data[[#This Row],[Project Type]],tbl_assumptions_market[Project Category (RERA)],tbl_assumptions_market[Concrete Intensity
(m³ / sq m BUA)],"",0)</f>
        <v>0.42</v>
      </c>
      <c r="L1647" s="134">
        <f>ROUND(Market_Data[[#This Row],[Estimated Built Up Area (sq m)]]*Market_Data[[#This Row],[Concrete Intensity
(m³ / sq m)]],0)</f>
        <v>12474</v>
      </c>
      <c r="M1647" s="135">
        <f>_xlfn.XLOOKUP(Market_Data[[#This Row],[District]],tbl_district_price[District],tbl_district_price[Standard Price
(INR/m³)],"",0)</f>
        <v>6200</v>
      </c>
      <c r="N1647" s="364">
        <f>IF(OR(Market_Data[[#This Row],[Estimated Concrete Demand (m³)]]="",Market_Data[[#This Row],[Avg Price per (₹ / m³)]]=""),"",Market_Data[[#This Row],[Estimated Concrete Demand (m³)]]*Market_Data[[#This Row],[Avg Price per (₹ / m³)]]/10000000)</f>
        <v>7.7338800000000001</v>
      </c>
      <c r="O1647" s="97" t="str">
        <f>IF(Market_Data[[#This Row],[Estimated Concrete Demand (m³)]]="","",
IF(Market_Data[[#This Row],[Estimated Concrete Demand (m³)]]&lt;10000,"Small",
IF(Market_Data[[#This Row],[Estimated Concrete Demand (m³)]]&lt;25000,"Medium",
IF(Market_Data[[#This Row],[Estimated Concrete Demand (m³)]]&lt;100000,"Large","Mega"))))</f>
        <v>Medium</v>
      </c>
      <c r="P1647" s="287" t="str">
        <f t="shared" si="27"/>
        <v>GujRERA</v>
      </c>
    </row>
    <row r="1648" spans="1:16">
      <c r="A1648" s="129" t="str">
        <f>_xlfn.XLOOKUP(B1648,$S$9:$S$14,$T$9:$T$14)&amp;"-"&amp;
IF(E1648="Residential/Group Housing","RES",
IF(E1648="Commercial","COM",
IF(E1648="Mixed Development","MIX",
IF(E1648="Plotted Development","PLT","OTH"))))
&amp;"-"&amp;TEXT(COUNTIFS($B$9:B1648,B1648,$E$9:E1648,E1648),"0000")</f>
        <v>SUR-RES-0506</v>
      </c>
      <c r="B1648" s="322" t="s">
        <v>34</v>
      </c>
      <c r="C1648" s="322" t="s">
        <v>34</v>
      </c>
      <c r="D1648" s="323" t="s">
        <v>1838</v>
      </c>
      <c r="E1648" s="132" t="s">
        <v>24</v>
      </c>
      <c r="F1648" s="97" t="str">
        <f ca="1">IF(OR(Market_Data[[#This Row],[Start Date]]="",Market_Data[[#This Row],[Completion Date]]=""),"Needs Validation",IF(Market_Data[[#This Row],[Start Date]]&gt;TODAY(),"Planned",IF(Market_Data[[#This Row],[Completion Date]]&lt;TODAY(),"Completed","Ongoing")))</f>
        <v>Completed</v>
      </c>
      <c r="G1648" s="324">
        <v>39570</v>
      </c>
      <c r="H1648" s="324">
        <v>44195</v>
      </c>
      <c r="I1648" s="325">
        <v>36700</v>
      </c>
      <c r="J164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48" s="133">
        <f>_xlfn.XLOOKUP(Market_Data[[#This Row],[Project Type]],tbl_assumptions_market[Project Category (RERA)],tbl_assumptions_market[Concrete Intensity
(m³ / sq m BUA)],"",0)</f>
        <v>0.45</v>
      </c>
      <c r="L1648" s="134">
        <f>ROUND(Market_Data[[#This Row],[Estimated Built Up Area (sq m)]]*Market_Data[[#This Row],[Concrete Intensity
(m³ / sq m)]],0)</f>
        <v>16515</v>
      </c>
      <c r="M1648" s="135">
        <f>_xlfn.XLOOKUP(Market_Data[[#This Row],[District]],tbl_district_price[District],tbl_district_price[Standard Price
(INR/m³)],"",0)</f>
        <v>6200</v>
      </c>
      <c r="N1648" s="364">
        <f>IF(OR(Market_Data[[#This Row],[Estimated Concrete Demand (m³)]]="",Market_Data[[#This Row],[Avg Price per (₹ / m³)]]=""),"",Market_Data[[#This Row],[Estimated Concrete Demand (m³)]]*Market_Data[[#This Row],[Avg Price per (₹ / m³)]]/10000000)</f>
        <v>10.2393</v>
      </c>
      <c r="O1648" s="97" t="str">
        <f>IF(Market_Data[[#This Row],[Estimated Concrete Demand (m³)]]="","",
IF(Market_Data[[#This Row],[Estimated Concrete Demand (m³)]]&lt;10000,"Small",
IF(Market_Data[[#This Row],[Estimated Concrete Demand (m³)]]&lt;25000,"Medium",
IF(Market_Data[[#This Row],[Estimated Concrete Demand (m³)]]&lt;100000,"Large","Mega"))))</f>
        <v>Medium</v>
      </c>
      <c r="P1648" s="287" t="str">
        <f t="shared" si="27"/>
        <v>GujRERA</v>
      </c>
    </row>
    <row r="1649" spans="1:16">
      <c r="A1649" s="129" t="str">
        <f>_xlfn.XLOOKUP(B1649,$S$9:$S$14,$T$9:$T$14)&amp;"-"&amp;
IF(E1649="Residential/Group Housing","RES",
IF(E1649="Commercial","COM",
IF(E1649="Mixed Development","MIX",
IF(E1649="Plotted Development","PLT","OTH"))))
&amp;"-"&amp;TEXT(COUNTIFS($B$9:B1649,B1649,$E$9:E1649,E1649),"0000")</f>
        <v>SUR-COM-0271</v>
      </c>
      <c r="B1649" s="322" t="s">
        <v>34</v>
      </c>
      <c r="C1649" s="322" t="s">
        <v>34</v>
      </c>
      <c r="D1649" s="323" t="s">
        <v>1839</v>
      </c>
      <c r="E1649" s="132" t="s">
        <v>23</v>
      </c>
      <c r="F1649" s="97" t="str">
        <f ca="1">IF(OR(Market_Data[[#This Row],[Start Date]]="",Market_Data[[#This Row],[Completion Date]]=""),"Needs Validation",IF(Market_Data[[#This Row],[Start Date]]&gt;TODAY(),"Planned",IF(Market_Data[[#This Row],[Completion Date]]&lt;TODAY(),"Completed","Ongoing")))</f>
        <v>Ongoing</v>
      </c>
      <c r="G1649" s="324">
        <v>44985</v>
      </c>
      <c r="H1649" s="324">
        <v>46387</v>
      </c>
      <c r="I1649" s="325">
        <v>42400</v>
      </c>
      <c r="J164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649" s="133">
        <f>_xlfn.XLOOKUP(Market_Data[[#This Row],[Project Type]],tbl_assumptions_market[Project Category (RERA)],tbl_assumptions_market[Concrete Intensity
(m³ / sq m BUA)],"",0)</f>
        <v>0.5</v>
      </c>
      <c r="L1649" s="134">
        <f>ROUND(Market_Data[[#This Row],[Estimated Built Up Area (sq m)]]*Market_Data[[#This Row],[Concrete Intensity
(m³ / sq m)]],0)</f>
        <v>21200</v>
      </c>
      <c r="M1649" s="135">
        <f>_xlfn.XLOOKUP(Market_Data[[#This Row],[District]],tbl_district_price[District],tbl_district_price[Standard Price
(INR/m³)],"",0)</f>
        <v>6200</v>
      </c>
      <c r="N1649" s="364">
        <f>IF(OR(Market_Data[[#This Row],[Estimated Concrete Demand (m³)]]="",Market_Data[[#This Row],[Avg Price per (₹ / m³)]]=""),"",Market_Data[[#This Row],[Estimated Concrete Demand (m³)]]*Market_Data[[#This Row],[Avg Price per (₹ / m³)]]/10000000)</f>
        <v>13.144</v>
      </c>
      <c r="O1649" s="97" t="str">
        <f>IF(Market_Data[[#This Row],[Estimated Concrete Demand (m³)]]="","",
IF(Market_Data[[#This Row],[Estimated Concrete Demand (m³)]]&lt;10000,"Small",
IF(Market_Data[[#This Row],[Estimated Concrete Demand (m³)]]&lt;25000,"Medium",
IF(Market_Data[[#This Row],[Estimated Concrete Demand (m³)]]&lt;100000,"Large","Mega"))))</f>
        <v>Medium</v>
      </c>
      <c r="P1649" s="287" t="str">
        <f t="shared" si="27"/>
        <v>GujRERA</v>
      </c>
    </row>
    <row r="1650" spans="1:16">
      <c r="A1650" s="129" t="str">
        <f>_xlfn.XLOOKUP(B1650,$S$9:$S$14,$T$9:$T$14)&amp;"-"&amp;
IF(E1650="Residential/Group Housing","RES",
IF(E1650="Commercial","COM",
IF(E1650="Mixed Development","MIX",
IF(E1650="Plotted Development","PLT","OTH"))))
&amp;"-"&amp;TEXT(COUNTIFS($B$9:B1650,B1650,$E$9:E1650,E1650),"0000")</f>
        <v>SUR-RES-0507</v>
      </c>
      <c r="B1650" s="322" t="s">
        <v>34</v>
      </c>
      <c r="C1650" s="322" t="s">
        <v>34</v>
      </c>
      <c r="D1650" s="323" t="s">
        <v>1840</v>
      </c>
      <c r="E1650" s="132" t="s">
        <v>24</v>
      </c>
      <c r="F1650" s="97" t="str">
        <f ca="1">IF(OR(Market_Data[[#This Row],[Start Date]]="",Market_Data[[#This Row],[Completion Date]]=""),"Needs Validation",IF(Market_Data[[#This Row],[Start Date]]&gt;TODAY(),"Planned",IF(Market_Data[[#This Row],[Completion Date]]&lt;TODAY(),"Completed","Ongoing")))</f>
        <v>Ongoing</v>
      </c>
      <c r="G1650" s="324">
        <v>46118</v>
      </c>
      <c r="H1650" s="324">
        <v>47848</v>
      </c>
      <c r="I1650" s="325">
        <v>4300</v>
      </c>
      <c r="J165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50" s="133">
        <f>_xlfn.XLOOKUP(Market_Data[[#This Row],[Project Type]],tbl_assumptions_market[Project Category (RERA)],tbl_assumptions_market[Concrete Intensity
(m³ / sq m BUA)],"",0)</f>
        <v>0.45</v>
      </c>
      <c r="L1650" s="134">
        <f>ROUND(Market_Data[[#This Row],[Estimated Built Up Area (sq m)]]*Market_Data[[#This Row],[Concrete Intensity
(m³ / sq m)]],0)</f>
        <v>1935</v>
      </c>
      <c r="M1650" s="135">
        <f>_xlfn.XLOOKUP(Market_Data[[#This Row],[District]],tbl_district_price[District],tbl_district_price[Standard Price
(INR/m³)],"",0)</f>
        <v>6200</v>
      </c>
      <c r="N1650" s="364">
        <f>IF(OR(Market_Data[[#This Row],[Estimated Concrete Demand (m³)]]="",Market_Data[[#This Row],[Avg Price per (₹ / m³)]]=""),"",Market_Data[[#This Row],[Estimated Concrete Demand (m³)]]*Market_Data[[#This Row],[Avg Price per (₹ / m³)]]/10000000)</f>
        <v>1.1997</v>
      </c>
      <c r="O1650" s="97" t="str">
        <f>IF(Market_Data[[#This Row],[Estimated Concrete Demand (m³)]]="","",
IF(Market_Data[[#This Row],[Estimated Concrete Demand (m³)]]&lt;10000,"Small",
IF(Market_Data[[#This Row],[Estimated Concrete Demand (m³)]]&lt;25000,"Medium",
IF(Market_Data[[#This Row],[Estimated Concrete Demand (m³)]]&lt;100000,"Large","Mega"))))</f>
        <v>Small</v>
      </c>
      <c r="P1650" s="287" t="str">
        <f t="shared" si="27"/>
        <v>GujRERA</v>
      </c>
    </row>
    <row r="1651" spans="1:16">
      <c r="A1651" s="129" t="str">
        <f>_xlfn.XLOOKUP(B1651,$S$9:$S$14,$T$9:$T$14)&amp;"-"&amp;
IF(E1651="Residential/Group Housing","RES",
IF(E1651="Commercial","COM",
IF(E1651="Mixed Development","MIX",
IF(E1651="Plotted Development","PLT","OTH"))))
&amp;"-"&amp;TEXT(COUNTIFS($B$9:B1651,B1651,$E$9:E1651,E1651),"0000")</f>
        <v>SUR-COM-0272</v>
      </c>
      <c r="B1651" s="322" t="s">
        <v>34</v>
      </c>
      <c r="C1651" s="322" t="s">
        <v>34</v>
      </c>
      <c r="D1651" s="323" t="s">
        <v>1841</v>
      </c>
      <c r="E1651" s="132" t="s">
        <v>23</v>
      </c>
      <c r="F1651" s="97" t="str">
        <f ca="1">IF(OR(Market_Data[[#This Row],[Start Date]]="",Market_Data[[#This Row],[Completion Date]]=""),"Needs Validation",IF(Market_Data[[#This Row],[Start Date]]&gt;TODAY(),"Planned",IF(Market_Data[[#This Row],[Completion Date]]&lt;TODAY(),"Completed","Ongoing")))</f>
        <v>Completed</v>
      </c>
      <c r="G1651" s="324">
        <v>43070</v>
      </c>
      <c r="H1651" s="324">
        <v>44287</v>
      </c>
      <c r="I1651" s="325">
        <v>7900</v>
      </c>
      <c r="J165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51" s="133">
        <f>_xlfn.XLOOKUP(Market_Data[[#This Row],[Project Type]],tbl_assumptions_market[Project Category (RERA)],tbl_assumptions_market[Concrete Intensity
(m³ / sq m BUA)],"",0)</f>
        <v>0.5</v>
      </c>
      <c r="L1651" s="134">
        <f>ROUND(Market_Data[[#This Row],[Estimated Built Up Area (sq m)]]*Market_Data[[#This Row],[Concrete Intensity
(m³ / sq m)]],0)</f>
        <v>3950</v>
      </c>
      <c r="M1651" s="135">
        <f>_xlfn.XLOOKUP(Market_Data[[#This Row],[District]],tbl_district_price[District],tbl_district_price[Standard Price
(INR/m³)],"",0)</f>
        <v>6200</v>
      </c>
      <c r="N1651" s="364">
        <f>IF(OR(Market_Data[[#This Row],[Estimated Concrete Demand (m³)]]="",Market_Data[[#This Row],[Avg Price per (₹ / m³)]]=""),"",Market_Data[[#This Row],[Estimated Concrete Demand (m³)]]*Market_Data[[#This Row],[Avg Price per (₹ / m³)]]/10000000)</f>
        <v>2.4489999999999998</v>
      </c>
      <c r="O1651" s="97" t="str">
        <f>IF(Market_Data[[#This Row],[Estimated Concrete Demand (m³)]]="","",
IF(Market_Data[[#This Row],[Estimated Concrete Demand (m³)]]&lt;10000,"Small",
IF(Market_Data[[#This Row],[Estimated Concrete Demand (m³)]]&lt;25000,"Medium",
IF(Market_Data[[#This Row],[Estimated Concrete Demand (m³)]]&lt;100000,"Large","Mega"))))</f>
        <v>Small</v>
      </c>
      <c r="P1651" s="287" t="str">
        <f t="shared" si="27"/>
        <v>GujRERA</v>
      </c>
    </row>
    <row r="1652" spans="1:16">
      <c r="A1652" s="129" t="str">
        <f>_xlfn.XLOOKUP(B1652,$S$9:$S$14,$T$9:$T$14)&amp;"-"&amp;
IF(E1652="Residential/Group Housing","RES",
IF(E1652="Commercial","COM",
IF(E1652="Mixed Development","MIX",
IF(E1652="Plotted Development","PLT","OTH"))))
&amp;"-"&amp;TEXT(COUNTIFS($B$9:B1652,B1652,$E$9:E1652,E1652),"0000")</f>
        <v>SUR-RES-0508</v>
      </c>
      <c r="B1652" s="322" t="s">
        <v>34</v>
      </c>
      <c r="C1652" s="322" t="s">
        <v>34</v>
      </c>
      <c r="D1652" s="323" t="s">
        <v>1842</v>
      </c>
      <c r="E1652" s="132" t="s">
        <v>24</v>
      </c>
      <c r="F1652" s="97" t="str">
        <f ca="1">IF(OR(Market_Data[[#This Row],[Start Date]]="",Market_Data[[#This Row],[Completion Date]]=""),"Needs Validation",IF(Market_Data[[#This Row],[Start Date]]&gt;TODAY(),"Planned",IF(Market_Data[[#This Row],[Completion Date]]&lt;TODAY(),"Completed","Ongoing")))</f>
        <v>Completed</v>
      </c>
      <c r="G1652" s="324">
        <v>43313</v>
      </c>
      <c r="H1652" s="324">
        <v>44800</v>
      </c>
      <c r="I1652" s="325">
        <v>18100</v>
      </c>
      <c r="J165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52" s="133">
        <f>_xlfn.XLOOKUP(Market_Data[[#This Row],[Project Type]],tbl_assumptions_market[Project Category (RERA)],tbl_assumptions_market[Concrete Intensity
(m³ / sq m BUA)],"",0)</f>
        <v>0.45</v>
      </c>
      <c r="L1652" s="134">
        <f>ROUND(Market_Data[[#This Row],[Estimated Built Up Area (sq m)]]*Market_Data[[#This Row],[Concrete Intensity
(m³ / sq m)]],0)</f>
        <v>8145</v>
      </c>
      <c r="M1652" s="135">
        <f>_xlfn.XLOOKUP(Market_Data[[#This Row],[District]],tbl_district_price[District],tbl_district_price[Standard Price
(INR/m³)],"",0)</f>
        <v>6200</v>
      </c>
      <c r="N1652" s="364">
        <f>IF(OR(Market_Data[[#This Row],[Estimated Concrete Demand (m³)]]="",Market_Data[[#This Row],[Avg Price per (₹ / m³)]]=""),"",Market_Data[[#This Row],[Estimated Concrete Demand (m³)]]*Market_Data[[#This Row],[Avg Price per (₹ / m³)]]/10000000)</f>
        <v>5.0499000000000001</v>
      </c>
      <c r="O1652" s="97" t="str">
        <f>IF(Market_Data[[#This Row],[Estimated Concrete Demand (m³)]]="","",
IF(Market_Data[[#This Row],[Estimated Concrete Demand (m³)]]&lt;10000,"Small",
IF(Market_Data[[#This Row],[Estimated Concrete Demand (m³)]]&lt;25000,"Medium",
IF(Market_Data[[#This Row],[Estimated Concrete Demand (m³)]]&lt;100000,"Large","Mega"))))</f>
        <v>Small</v>
      </c>
      <c r="P1652" s="287" t="str">
        <f t="shared" si="27"/>
        <v>GujRERA</v>
      </c>
    </row>
    <row r="1653" spans="1:16">
      <c r="A1653" s="129" t="str">
        <f>_xlfn.XLOOKUP(B1653,$S$9:$S$14,$T$9:$T$14)&amp;"-"&amp;
IF(E1653="Residential/Group Housing","RES",
IF(E1653="Commercial","COM",
IF(E1653="Mixed Development","MIX",
IF(E1653="Plotted Development","PLT","OTH"))))
&amp;"-"&amp;TEXT(COUNTIFS($B$9:B1653,B1653,$E$9:E1653,E1653),"0000")</f>
        <v>SUR-RES-0509</v>
      </c>
      <c r="B1653" s="322" t="s">
        <v>34</v>
      </c>
      <c r="C1653" s="322" t="s">
        <v>34</v>
      </c>
      <c r="D1653" s="323" t="s">
        <v>1843</v>
      </c>
      <c r="E1653" s="132" t="s">
        <v>24</v>
      </c>
      <c r="F1653" s="97" t="str">
        <f ca="1">IF(OR(Market_Data[[#This Row],[Start Date]]="",Market_Data[[#This Row],[Completion Date]]=""),"Needs Validation",IF(Market_Data[[#This Row],[Start Date]]&gt;TODAY(),"Planned",IF(Market_Data[[#This Row],[Completion Date]]&lt;TODAY(),"Completed","Ongoing")))</f>
        <v>Completed</v>
      </c>
      <c r="G1653" s="324">
        <v>43507</v>
      </c>
      <c r="H1653" s="324">
        <v>45565</v>
      </c>
      <c r="I1653" s="325">
        <v>16000</v>
      </c>
      <c r="J165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53" s="133">
        <f>_xlfn.XLOOKUP(Market_Data[[#This Row],[Project Type]],tbl_assumptions_market[Project Category (RERA)],tbl_assumptions_market[Concrete Intensity
(m³ / sq m BUA)],"",0)</f>
        <v>0.45</v>
      </c>
      <c r="L1653" s="134">
        <f>ROUND(Market_Data[[#This Row],[Estimated Built Up Area (sq m)]]*Market_Data[[#This Row],[Concrete Intensity
(m³ / sq m)]],0)</f>
        <v>7200</v>
      </c>
      <c r="M1653" s="135">
        <f>_xlfn.XLOOKUP(Market_Data[[#This Row],[District]],tbl_district_price[District],tbl_district_price[Standard Price
(INR/m³)],"",0)</f>
        <v>6200</v>
      </c>
      <c r="N1653" s="364">
        <f>IF(OR(Market_Data[[#This Row],[Estimated Concrete Demand (m³)]]="",Market_Data[[#This Row],[Avg Price per (₹ / m³)]]=""),"",Market_Data[[#This Row],[Estimated Concrete Demand (m³)]]*Market_Data[[#This Row],[Avg Price per (₹ / m³)]]/10000000)</f>
        <v>4.4640000000000004</v>
      </c>
      <c r="O1653" s="97" t="str">
        <f>IF(Market_Data[[#This Row],[Estimated Concrete Demand (m³)]]="","",
IF(Market_Data[[#This Row],[Estimated Concrete Demand (m³)]]&lt;10000,"Small",
IF(Market_Data[[#This Row],[Estimated Concrete Demand (m³)]]&lt;25000,"Medium",
IF(Market_Data[[#This Row],[Estimated Concrete Demand (m³)]]&lt;100000,"Large","Mega"))))</f>
        <v>Small</v>
      </c>
      <c r="P1653" s="287" t="str">
        <f t="shared" si="27"/>
        <v>GujRERA</v>
      </c>
    </row>
    <row r="1654" spans="1:16">
      <c r="A1654" s="129" t="str">
        <f>_xlfn.XLOOKUP(B1654,$S$9:$S$14,$T$9:$T$14)&amp;"-"&amp;
IF(E1654="Residential/Group Housing","RES",
IF(E1654="Commercial","COM",
IF(E1654="Mixed Development","MIX",
IF(E1654="Plotted Development","PLT","OTH"))))
&amp;"-"&amp;TEXT(COUNTIFS($B$9:B1654,B1654,$E$9:E1654,E1654),"0000")</f>
        <v>SUR-MIX-0245</v>
      </c>
      <c r="B1654" s="322" t="s">
        <v>34</v>
      </c>
      <c r="C1654" s="322" t="s">
        <v>34</v>
      </c>
      <c r="D1654" s="323" t="s">
        <v>1844</v>
      </c>
      <c r="E1654" s="132" t="s">
        <v>25</v>
      </c>
      <c r="F1654" s="97" t="str">
        <f ca="1">IF(OR(Market_Data[[#This Row],[Start Date]]="",Market_Data[[#This Row],[Completion Date]]=""),"Needs Validation",IF(Market_Data[[#This Row],[Start Date]]&gt;TODAY(),"Planned",IF(Market_Data[[#This Row],[Completion Date]]&lt;TODAY(),"Completed","Ongoing")))</f>
        <v>Completed</v>
      </c>
      <c r="G1654" s="324">
        <v>41454</v>
      </c>
      <c r="H1654" s="324">
        <v>43769</v>
      </c>
      <c r="I1654" s="325">
        <v>11500</v>
      </c>
      <c r="J165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54" s="133">
        <f>_xlfn.XLOOKUP(Market_Data[[#This Row],[Project Type]],tbl_assumptions_market[Project Category (RERA)],tbl_assumptions_market[Concrete Intensity
(m³ / sq m BUA)],"",0)</f>
        <v>0.42</v>
      </c>
      <c r="L1654" s="134">
        <f>ROUND(Market_Data[[#This Row],[Estimated Built Up Area (sq m)]]*Market_Data[[#This Row],[Concrete Intensity
(m³ / sq m)]],0)</f>
        <v>4830</v>
      </c>
      <c r="M1654" s="135">
        <f>_xlfn.XLOOKUP(Market_Data[[#This Row],[District]],tbl_district_price[District],tbl_district_price[Standard Price
(INR/m³)],"",0)</f>
        <v>6200</v>
      </c>
      <c r="N1654" s="364">
        <f>IF(OR(Market_Data[[#This Row],[Estimated Concrete Demand (m³)]]="",Market_Data[[#This Row],[Avg Price per (₹ / m³)]]=""),"",Market_Data[[#This Row],[Estimated Concrete Demand (m³)]]*Market_Data[[#This Row],[Avg Price per (₹ / m³)]]/10000000)</f>
        <v>2.9946000000000002</v>
      </c>
      <c r="O1654" s="97" t="str">
        <f>IF(Market_Data[[#This Row],[Estimated Concrete Demand (m³)]]="","",
IF(Market_Data[[#This Row],[Estimated Concrete Demand (m³)]]&lt;10000,"Small",
IF(Market_Data[[#This Row],[Estimated Concrete Demand (m³)]]&lt;25000,"Medium",
IF(Market_Data[[#This Row],[Estimated Concrete Demand (m³)]]&lt;100000,"Large","Mega"))))</f>
        <v>Small</v>
      </c>
      <c r="P1654" s="287" t="str">
        <f t="shared" si="27"/>
        <v>GujRERA</v>
      </c>
    </row>
    <row r="1655" spans="1:16">
      <c r="A1655" s="129" t="str">
        <f>_xlfn.XLOOKUP(B1655,$S$9:$S$14,$T$9:$T$14)&amp;"-"&amp;
IF(E1655="Residential/Group Housing","RES",
IF(E1655="Commercial","COM",
IF(E1655="Mixed Development","MIX",
IF(E1655="Plotted Development","PLT","OTH"))))
&amp;"-"&amp;TEXT(COUNTIFS($B$9:B1655,B1655,$E$9:E1655,E1655),"0000")</f>
        <v>SUR-RES-0510</v>
      </c>
      <c r="B1655" s="322" t="s">
        <v>34</v>
      </c>
      <c r="C1655" s="322" t="s">
        <v>34</v>
      </c>
      <c r="D1655" s="323" t="s">
        <v>1845</v>
      </c>
      <c r="E1655" s="132" t="s">
        <v>24</v>
      </c>
      <c r="F1655" s="97" t="str">
        <f ca="1">IF(OR(Market_Data[[#This Row],[Start Date]]="",Market_Data[[#This Row],[Completion Date]]=""),"Needs Validation",IF(Market_Data[[#This Row],[Start Date]]&gt;TODAY(),"Planned",IF(Market_Data[[#This Row],[Completion Date]]&lt;TODAY(),"Completed","Ongoing")))</f>
        <v>Ongoing</v>
      </c>
      <c r="G1655" s="324">
        <v>44617</v>
      </c>
      <c r="H1655" s="324">
        <v>47192</v>
      </c>
      <c r="I1655" s="325">
        <v>56600</v>
      </c>
      <c r="J165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55" s="133">
        <f>_xlfn.XLOOKUP(Market_Data[[#This Row],[Project Type]],tbl_assumptions_market[Project Category (RERA)],tbl_assumptions_market[Concrete Intensity
(m³ / sq m BUA)],"",0)</f>
        <v>0.45</v>
      </c>
      <c r="L1655" s="134">
        <f>ROUND(Market_Data[[#This Row],[Estimated Built Up Area (sq m)]]*Market_Data[[#This Row],[Concrete Intensity
(m³ / sq m)]],0)</f>
        <v>25470</v>
      </c>
      <c r="M1655" s="135">
        <f>_xlfn.XLOOKUP(Market_Data[[#This Row],[District]],tbl_district_price[District],tbl_district_price[Standard Price
(INR/m³)],"",0)</f>
        <v>6200</v>
      </c>
      <c r="N1655" s="364">
        <f>IF(OR(Market_Data[[#This Row],[Estimated Concrete Demand (m³)]]="",Market_Data[[#This Row],[Avg Price per (₹ / m³)]]=""),"",Market_Data[[#This Row],[Estimated Concrete Demand (m³)]]*Market_Data[[#This Row],[Avg Price per (₹ / m³)]]/10000000)</f>
        <v>15.791399999999999</v>
      </c>
      <c r="O1655" s="97" t="str">
        <f>IF(Market_Data[[#This Row],[Estimated Concrete Demand (m³)]]="","",
IF(Market_Data[[#This Row],[Estimated Concrete Demand (m³)]]&lt;10000,"Small",
IF(Market_Data[[#This Row],[Estimated Concrete Demand (m³)]]&lt;25000,"Medium",
IF(Market_Data[[#This Row],[Estimated Concrete Demand (m³)]]&lt;100000,"Large","Mega"))))</f>
        <v>Large</v>
      </c>
      <c r="P1655" s="287" t="str">
        <f t="shared" si="27"/>
        <v>GujRERA</v>
      </c>
    </row>
    <row r="1656" spans="1:16">
      <c r="A1656" s="129" t="str">
        <f>_xlfn.XLOOKUP(B1656,$S$9:$S$14,$T$9:$T$14)&amp;"-"&amp;
IF(E1656="Residential/Group Housing","RES",
IF(E1656="Commercial","COM",
IF(E1656="Mixed Development","MIX",
IF(E1656="Plotted Development","PLT","OTH"))))
&amp;"-"&amp;TEXT(COUNTIFS($B$9:B1656,B1656,$E$9:E1656,E1656),"0000")</f>
        <v>SUR-COM-0273</v>
      </c>
      <c r="B1656" s="322" t="s">
        <v>34</v>
      </c>
      <c r="C1656" s="322" t="s">
        <v>34</v>
      </c>
      <c r="D1656" s="323" t="s">
        <v>1846</v>
      </c>
      <c r="E1656" s="132" t="s">
        <v>23</v>
      </c>
      <c r="F1656" s="97" t="str">
        <f ca="1">IF(OR(Market_Data[[#This Row],[Start Date]]="",Market_Data[[#This Row],[Completion Date]]=""),"Needs Validation",IF(Market_Data[[#This Row],[Start Date]]&gt;TODAY(),"Planned",IF(Market_Data[[#This Row],[Completion Date]]&lt;TODAY(),"Completed","Ongoing")))</f>
        <v>Completed</v>
      </c>
      <c r="G1656" s="324">
        <v>43281</v>
      </c>
      <c r="H1656" s="324">
        <v>44742</v>
      </c>
      <c r="I1656" s="325">
        <v>50500</v>
      </c>
      <c r="J165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656" s="133">
        <f>_xlfn.XLOOKUP(Market_Data[[#This Row],[Project Type]],tbl_assumptions_market[Project Category (RERA)],tbl_assumptions_market[Concrete Intensity
(m³ / sq m BUA)],"",0)</f>
        <v>0.5</v>
      </c>
      <c r="L1656" s="134">
        <f>ROUND(Market_Data[[#This Row],[Estimated Built Up Area (sq m)]]*Market_Data[[#This Row],[Concrete Intensity
(m³ / sq m)]],0)</f>
        <v>25250</v>
      </c>
      <c r="M1656" s="135">
        <f>_xlfn.XLOOKUP(Market_Data[[#This Row],[District]],tbl_district_price[District],tbl_district_price[Standard Price
(INR/m³)],"",0)</f>
        <v>6200</v>
      </c>
      <c r="N1656" s="364">
        <f>IF(OR(Market_Data[[#This Row],[Estimated Concrete Demand (m³)]]="",Market_Data[[#This Row],[Avg Price per (₹ / m³)]]=""),"",Market_Data[[#This Row],[Estimated Concrete Demand (m³)]]*Market_Data[[#This Row],[Avg Price per (₹ / m³)]]/10000000)</f>
        <v>15.654999999999999</v>
      </c>
      <c r="O1656" s="97" t="str">
        <f>IF(Market_Data[[#This Row],[Estimated Concrete Demand (m³)]]="","",
IF(Market_Data[[#This Row],[Estimated Concrete Demand (m³)]]&lt;10000,"Small",
IF(Market_Data[[#This Row],[Estimated Concrete Demand (m³)]]&lt;25000,"Medium",
IF(Market_Data[[#This Row],[Estimated Concrete Demand (m³)]]&lt;100000,"Large","Mega"))))</f>
        <v>Large</v>
      </c>
      <c r="P1656" s="287" t="str">
        <f t="shared" si="27"/>
        <v>GujRERA</v>
      </c>
    </row>
    <row r="1657" spans="1:16">
      <c r="A1657" s="129" t="str">
        <f>_xlfn.XLOOKUP(B1657,$S$9:$S$14,$T$9:$T$14)&amp;"-"&amp;
IF(E1657="Residential/Group Housing","RES",
IF(E1657="Commercial","COM",
IF(E1657="Mixed Development","MIX",
IF(E1657="Plotted Development","PLT","OTH"))))
&amp;"-"&amp;TEXT(COUNTIFS($B$9:B1657,B1657,$E$9:E1657,E1657),"0000")</f>
        <v>SUR-COM-0274</v>
      </c>
      <c r="B1657" s="322" t="s">
        <v>34</v>
      </c>
      <c r="C1657" s="322" t="s">
        <v>34</v>
      </c>
      <c r="D1657" s="323" t="s">
        <v>1847</v>
      </c>
      <c r="E1657" s="132" t="s">
        <v>23</v>
      </c>
      <c r="F1657" s="97" t="str">
        <f ca="1">IF(OR(Market_Data[[#This Row],[Start Date]]="",Market_Data[[#This Row],[Completion Date]]=""),"Needs Validation",IF(Market_Data[[#This Row],[Start Date]]&gt;TODAY(),"Planned",IF(Market_Data[[#This Row],[Completion Date]]&lt;TODAY(),"Completed","Ongoing")))</f>
        <v>Completed</v>
      </c>
      <c r="G1657" s="324">
        <v>44715</v>
      </c>
      <c r="H1657" s="324">
        <v>45747</v>
      </c>
      <c r="I1657" s="325">
        <v>15300</v>
      </c>
      <c r="J165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57" s="133">
        <f>_xlfn.XLOOKUP(Market_Data[[#This Row],[Project Type]],tbl_assumptions_market[Project Category (RERA)],tbl_assumptions_market[Concrete Intensity
(m³ / sq m BUA)],"",0)</f>
        <v>0.5</v>
      </c>
      <c r="L1657" s="134">
        <f>ROUND(Market_Data[[#This Row],[Estimated Built Up Area (sq m)]]*Market_Data[[#This Row],[Concrete Intensity
(m³ / sq m)]],0)</f>
        <v>7650</v>
      </c>
      <c r="M1657" s="135">
        <f>_xlfn.XLOOKUP(Market_Data[[#This Row],[District]],tbl_district_price[District],tbl_district_price[Standard Price
(INR/m³)],"",0)</f>
        <v>6200</v>
      </c>
      <c r="N1657" s="364">
        <f>IF(OR(Market_Data[[#This Row],[Estimated Concrete Demand (m³)]]="",Market_Data[[#This Row],[Avg Price per (₹ / m³)]]=""),"",Market_Data[[#This Row],[Estimated Concrete Demand (m³)]]*Market_Data[[#This Row],[Avg Price per (₹ / m³)]]/10000000)</f>
        <v>4.7430000000000003</v>
      </c>
      <c r="O1657" s="97" t="str">
        <f>IF(Market_Data[[#This Row],[Estimated Concrete Demand (m³)]]="","",
IF(Market_Data[[#This Row],[Estimated Concrete Demand (m³)]]&lt;10000,"Small",
IF(Market_Data[[#This Row],[Estimated Concrete Demand (m³)]]&lt;25000,"Medium",
IF(Market_Data[[#This Row],[Estimated Concrete Demand (m³)]]&lt;100000,"Large","Mega"))))</f>
        <v>Small</v>
      </c>
      <c r="P1657" s="287" t="str">
        <f t="shared" si="27"/>
        <v>GujRERA</v>
      </c>
    </row>
    <row r="1658" spans="1:16">
      <c r="A1658" s="129" t="str">
        <f>_xlfn.XLOOKUP(B1658,$S$9:$S$14,$T$9:$T$14)&amp;"-"&amp;
IF(E1658="Residential/Group Housing","RES",
IF(E1658="Commercial","COM",
IF(E1658="Mixed Development","MIX",
IF(E1658="Plotted Development","PLT","OTH"))))
&amp;"-"&amp;TEXT(COUNTIFS($B$9:B1658,B1658,$E$9:E1658,E1658),"0000")</f>
        <v>SUR-RES-0511</v>
      </c>
      <c r="B1658" s="322" t="s">
        <v>34</v>
      </c>
      <c r="C1658" s="322" t="s">
        <v>34</v>
      </c>
      <c r="D1658" s="323" t="s">
        <v>1848</v>
      </c>
      <c r="E1658" s="132" t="s">
        <v>24</v>
      </c>
      <c r="F1658" s="97" t="str">
        <f ca="1">IF(OR(Market_Data[[#This Row],[Start Date]]="",Market_Data[[#This Row],[Completion Date]]=""),"Needs Validation",IF(Market_Data[[#This Row],[Start Date]]&gt;TODAY(),"Planned",IF(Market_Data[[#This Row],[Completion Date]]&lt;TODAY(),"Completed","Ongoing")))</f>
        <v>Completed</v>
      </c>
      <c r="G1658" s="324">
        <v>43411</v>
      </c>
      <c r="H1658" s="324">
        <v>44469</v>
      </c>
      <c r="I1658" s="325">
        <v>47100</v>
      </c>
      <c r="J165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58" s="133">
        <f>_xlfn.XLOOKUP(Market_Data[[#This Row],[Project Type]],tbl_assumptions_market[Project Category (RERA)],tbl_assumptions_market[Concrete Intensity
(m³ / sq m BUA)],"",0)</f>
        <v>0.45</v>
      </c>
      <c r="L1658" s="134">
        <f>ROUND(Market_Data[[#This Row],[Estimated Built Up Area (sq m)]]*Market_Data[[#This Row],[Concrete Intensity
(m³ / sq m)]],0)</f>
        <v>21195</v>
      </c>
      <c r="M1658" s="135">
        <f>_xlfn.XLOOKUP(Market_Data[[#This Row],[District]],tbl_district_price[District],tbl_district_price[Standard Price
(INR/m³)],"",0)</f>
        <v>6200</v>
      </c>
      <c r="N1658" s="364">
        <f>IF(OR(Market_Data[[#This Row],[Estimated Concrete Demand (m³)]]="",Market_Data[[#This Row],[Avg Price per (₹ / m³)]]=""),"",Market_Data[[#This Row],[Estimated Concrete Demand (m³)]]*Market_Data[[#This Row],[Avg Price per (₹ / m³)]]/10000000)</f>
        <v>13.1409</v>
      </c>
      <c r="O1658" s="97" t="str">
        <f>IF(Market_Data[[#This Row],[Estimated Concrete Demand (m³)]]="","",
IF(Market_Data[[#This Row],[Estimated Concrete Demand (m³)]]&lt;10000,"Small",
IF(Market_Data[[#This Row],[Estimated Concrete Demand (m³)]]&lt;25000,"Medium",
IF(Market_Data[[#This Row],[Estimated Concrete Demand (m³)]]&lt;100000,"Large","Mega"))))</f>
        <v>Medium</v>
      </c>
      <c r="P1658" s="287" t="str">
        <f t="shared" si="27"/>
        <v>GujRERA</v>
      </c>
    </row>
    <row r="1659" spans="1:16">
      <c r="A1659" s="129" t="str">
        <f>_xlfn.XLOOKUP(B1659,$S$9:$S$14,$T$9:$T$14)&amp;"-"&amp;
IF(E1659="Residential/Group Housing","RES",
IF(E1659="Commercial","COM",
IF(E1659="Mixed Development","MIX",
IF(E1659="Plotted Development","PLT","OTH"))))
&amp;"-"&amp;TEXT(COUNTIFS($B$9:B1659,B1659,$E$9:E1659,E1659),"0000")</f>
        <v>SUR-PLT-0311</v>
      </c>
      <c r="B1659" s="322" t="s">
        <v>34</v>
      </c>
      <c r="C1659" s="322" t="s">
        <v>34</v>
      </c>
      <c r="D1659" s="323" t="s">
        <v>1849</v>
      </c>
      <c r="E1659" s="132" t="s">
        <v>26</v>
      </c>
      <c r="F1659" s="97" t="str">
        <f ca="1">IF(OR(Market_Data[[#This Row],[Start Date]]="",Market_Data[[#This Row],[Completion Date]]=""),"Needs Validation",IF(Market_Data[[#This Row],[Start Date]]&gt;TODAY(),"Planned",IF(Market_Data[[#This Row],[Completion Date]]&lt;TODAY(),"Completed","Ongoing")))</f>
        <v>Ongoing</v>
      </c>
      <c r="G1659" s="324">
        <v>45526</v>
      </c>
      <c r="H1659" s="324">
        <v>46752</v>
      </c>
      <c r="I1659" s="325">
        <v>18000</v>
      </c>
      <c r="J165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59" s="133">
        <f>_xlfn.XLOOKUP(Market_Data[[#This Row],[Project Type]],tbl_assumptions_market[Project Category (RERA)],tbl_assumptions_market[Concrete Intensity
(m³ / sq m BUA)],"",0)</f>
        <v>0.18</v>
      </c>
      <c r="L1659" s="134">
        <f>ROUND(Market_Data[[#This Row],[Estimated Built Up Area (sq m)]]*Market_Data[[#This Row],[Concrete Intensity
(m³ / sq m)]],0)</f>
        <v>3240</v>
      </c>
      <c r="M1659" s="135">
        <f>_xlfn.XLOOKUP(Market_Data[[#This Row],[District]],tbl_district_price[District],tbl_district_price[Standard Price
(INR/m³)],"",0)</f>
        <v>6200</v>
      </c>
      <c r="N1659" s="364">
        <f>IF(OR(Market_Data[[#This Row],[Estimated Concrete Demand (m³)]]="",Market_Data[[#This Row],[Avg Price per (₹ / m³)]]=""),"",Market_Data[[#This Row],[Estimated Concrete Demand (m³)]]*Market_Data[[#This Row],[Avg Price per (₹ / m³)]]/10000000)</f>
        <v>2.0087999999999999</v>
      </c>
      <c r="O1659" s="97" t="str">
        <f>IF(Market_Data[[#This Row],[Estimated Concrete Demand (m³)]]="","",
IF(Market_Data[[#This Row],[Estimated Concrete Demand (m³)]]&lt;10000,"Small",
IF(Market_Data[[#This Row],[Estimated Concrete Demand (m³)]]&lt;25000,"Medium",
IF(Market_Data[[#This Row],[Estimated Concrete Demand (m³)]]&lt;100000,"Large","Mega"))))</f>
        <v>Small</v>
      </c>
      <c r="P1659" s="287" t="str">
        <f t="shared" si="27"/>
        <v>GujRERA</v>
      </c>
    </row>
    <row r="1660" spans="1:16">
      <c r="A1660" s="129" t="str">
        <f>_xlfn.XLOOKUP(B1660,$S$9:$S$14,$T$9:$T$14)&amp;"-"&amp;
IF(E1660="Residential/Group Housing","RES",
IF(E1660="Commercial","COM",
IF(E1660="Mixed Development","MIX",
IF(E1660="Plotted Development","PLT","OTH"))))
&amp;"-"&amp;TEXT(COUNTIFS($B$9:B1660,B1660,$E$9:E1660,E1660),"0000")</f>
        <v>SUR-COM-0275</v>
      </c>
      <c r="B1660" s="322" t="s">
        <v>34</v>
      </c>
      <c r="C1660" s="322" t="s">
        <v>34</v>
      </c>
      <c r="D1660" s="323" t="s">
        <v>1850</v>
      </c>
      <c r="E1660" s="132" t="s">
        <v>23</v>
      </c>
      <c r="F1660" s="97" t="str">
        <f ca="1">IF(OR(Market_Data[[#This Row],[Start Date]]="",Market_Data[[#This Row],[Completion Date]]=""),"Needs Validation",IF(Market_Data[[#This Row],[Start Date]]&gt;TODAY(),"Planned",IF(Market_Data[[#This Row],[Completion Date]]&lt;TODAY(),"Completed","Ongoing")))</f>
        <v>Completed</v>
      </c>
      <c r="G1660" s="324">
        <v>43132</v>
      </c>
      <c r="H1660" s="324">
        <v>44408</v>
      </c>
      <c r="I1660" s="325">
        <v>22000</v>
      </c>
      <c r="J166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660" s="133">
        <f>_xlfn.XLOOKUP(Market_Data[[#This Row],[Project Type]],tbl_assumptions_market[Project Category (RERA)],tbl_assumptions_market[Concrete Intensity
(m³ / sq m BUA)],"",0)</f>
        <v>0.5</v>
      </c>
      <c r="L1660" s="134">
        <f>ROUND(Market_Data[[#This Row],[Estimated Built Up Area (sq m)]]*Market_Data[[#This Row],[Concrete Intensity
(m³ / sq m)]],0)</f>
        <v>11000</v>
      </c>
      <c r="M1660" s="135">
        <f>_xlfn.XLOOKUP(Market_Data[[#This Row],[District]],tbl_district_price[District],tbl_district_price[Standard Price
(INR/m³)],"",0)</f>
        <v>6200</v>
      </c>
      <c r="N1660" s="364">
        <f>IF(OR(Market_Data[[#This Row],[Estimated Concrete Demand (m³)]]="",Market_Data[[#This Row],[Avg Price per (₹ / m³)]]=""),"",Market_Data[[#This Row],[Estimated Concrete Demand (m³)]]*Market_Data[[#This Row],[Avg Price per (₹ / m³)]]/10000000)</f>
        <v>6.82</v>
      </c>
      <c r="O1660" s="97" t="str">
        <f>IF(Market_Data[[#This Row],[Estimated Concrete Demand (m³)]]="","",
IF(Market_Data[[#This Row],[Estimated Concrete Demand (m³)]]&lt;10000,"Small",
IF(Market_Data[[#This Row],[Estimated Concrete Demand (m³)]]&lt;25000,"Medium",
IF(Market_Data[[#This Row],[Estimated Concrete Demand (m³)]]&lt;100000,"Large","Mega"))))</f>
        <v>Medium</v>
      </c>
      <c r="P1660" s="287" t="str">
        <f t="shared" si="27"/>
        <v>GujRERA</v>
      </c>
    </row>
    <row r="1661" spans="1:16">
      <c r="A1661" s="129" t="str">
        <f>_xlfn.XLOOKUP(B1661,$S$9:$S$14,$T$9:$T$14)&amp;"-"&amp;
IF(E1661="Residential/Group Housing","RES",
IF(E1661="Commercial","COM",
IF(E1661="Mixed Development","MIX",
IF(E1661="Plotted Development","PLT","OTH"))))
&amp;"-"&amp;TEXT(COUNTIFS($B$9:B1661,B1661,$E$9:E1661,E1661),"0000")</f>
        <v>SUR-COM-0276</v>
      </c>
      <c r="B1661" s="322" t="s">
        <v>34</v>
      </c>
      <c r="C1661" s="322" t="s">
        <v>34</v>
      </c>
      <c r="D1661" s="323" t="s">
        <v>1851</v>
      </c>
      <c r="E1661" s="132" t="s">
        <v>23</v>
      </c>
      <c r="F1661" s="97" t="str">
        <f ca="1">IF(OR(Market_Data[[#This Row],[Start Date]]="",Market_Data[[#This Row],[Completion Date]]=""),"Needs Validation",IF(Market_Data[[#This Row],[Start Date]]&gt;TODAY(),"Planned",IF(Market_Data[[#This Row],[Completion Date]]&lt;TODAY(),"Completed","Ongoing")))</f>
        <v>Ongoing</v>
      </c>
      <c r="G1661" s="324">
        <v>44681</v>
      </c>
      <c r="H1661" s="324">
        <v>46843</v>
      </c>
      <c r="I1661" s="325">
        <v>1500</v>
      </c>
      <c r="J166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61" s="133">
        <f>_xlfn.XLOOKUP(Market_Data[[#This Row],[Project Type]],tbl_assumptions_market[Project Category (RERA)],tbl_assumptions_market[Concrete Intensity
(m³ / sq m BUA)],"",0)</f>
        <v>0.5</v>
      </c>
      <c r="L1661" s="134">
        <f>ROUND(Market_Data[[#This Row],[Estimated Built Up Area (sq m)]]*Market_Data[[#This Row],[Concrete Intensity
(m³ / sq m)]],0)</f>
        <v>750</v>
      </c>
      <c r="M1661" s="135">
        <f>_xlfn.XLOOKUP(Market_Data[[#This Row],[District]],tbl_district_price[District],tbl_district_price[Standard Price
(INR/m³)],"",0)</f>
        <v>6200</v>
      </c>
      <c r="N1661" s="364">
        <f>IF(OR(Market_Data[[#This Row],[Estimated Concrete Demand (m³)]]="",Market_Data[[#This Row],[Avg Price per (₹ / m³)]]=""),"",Market_Data[[#This Row],[Estimated Concrete Demand (m³)]]*Market_Data[[#This Row],[Avg Price per (₹ / m³)]]/10000000)</f>
        <v>0.46500000000000002</v>
      </c>
      <c r="O1661" s="97" t="str">
        <f>IF(Market_Data[[#This Row],[Estimated Concrete Demand (m³)]]="","",
IF(Market_Data[[#This Row],[Estimated Concrete Demand (m³)]]&lt;10000,"Small",
IF(Market_Data[[#This Row],[Estimated Concrete Demand (m³)]]&lt;25000,"Medium",
IF(Market_Data[[#This Row],[Estimated Concrete Demand (m³)]]&lt;100000,"Large","Mega"))))</f>
        <v>Small</v>
      </c>
      <c r="P1661" s="287" t="str">
        <f t="shared" si="27"/>
        <v>GujRERA</v>
      </c>
    </row>
    <row r="1662" spans="1:16">
      <c r="A1662" s="129" t="str">
        <f>_xlfn.XLOOKUP(B1662,$S$9:$S$14,$T$9:$T$14)&amp;"-"&amp;
IF(E1662="Residential/Group Housing","RES",
IF(E1662="Commercial","COM",
IF(E1662="Mixed Development","MIX",
IF(E1662="Plotted Development","PLT","OTH"))))
&amp;"-"&amp;TEXT(COUNTIFS($B$9:B1662,B1662,$E$9:E1662,E1662),"0000")</f>
        <v>SUR-RES-0512</v>
      </c>
      <c r="B1662" s="322" t="s">
        <v>34</v>
      </c>
      <c r="C1662" s="322" t="s">
        <v>34</v>
      </c>
      <c r="D1662" s="323" t="s">
        <v>1852</v>
      </c>
      <c r="E1662" s="132" t="s">
        <v>24</v>
      </c>
      <c r="F1662" s="97" t="str">
        <f ca="1">IF(OR(Market_Data[[#This Row],[Start Date]]="",Market_Data[[#This Row],[Completion Date]]=""),"Needs Validation",IF(Market_Data[[#This Row],[Start Date]]&gt;TODAY(),"Planned",IF(Market_Data[[#This Row],[Completion Date]]&lt;TODAY(),"Completed","Ongoing")))</f>
        <v>Ongoing</v>
      </c>
      <c r="G1662" s="324">
        <v>45594</v>
      </c>
      <c r="H1662" s="324">
        <v>47848</v>
      </c>
      <c r="I1662" s="325">
        <v>59800</v>
      </c>
      <c r="J166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62" s="133">
        <f>_xlfn.XLOOKUP(Market_Data[[#This Row],[Project Type]],tbl_assumptions_market[Project Category (RERA)],tbl_assumptions_market[Concrete Intensity
(m³ / sq m BUA)],"",0)</f>
        <v>0.45</v>
      </c>
      <c r="L1662" s="134">
        <f>ROUND(Market_Data[[#This Row],[Estimated Built Up Area (sq m)]]*Market_Data[[#This Row],[Concrete Intensity
(m³ / sq m)]],0)</f>
        <v>26910</v>
      </c>
      <c r="M1662" s="135">
        <f>_xlfn.XLOOKUP(Market_Data[[#This Row],[District]],tbl_district_price[District],tbl_district_price[Standard Price
(INR/m³)],"",0)</f>
        <v>6200</v>
      </c>
      <c r="N1662" s="364">
        <f>IF(OR(Market_Data[[#This Row],[Estimated Concrete Demand (m³)]]="",Market_Data[[#This Row],[Avg Price per (₹ / m³)]]=""),"",Market_Data[[#This Row],[Estimated Concrete Demand (m³)]]*Market_Data[[#This Row],[Avg Price per (₹ / m³)]]/10000000)</f>
        <v>16.684200000000001</v>
      </c>
      <c r="O1662" s="97" t="str">
        <f>IF(Market_Data[[#This Row],[Estimated Concrete Demand (m³)]]="","",
IF(Market_Data[[#This Row],[Estimated Concrete Demand (m³)]]&lt;10000,"Small",
IF(Market_Data[[#This Row],[Estimated Concrete Demand (m³)]]&lt;25000,"Medium",
IF(Market_Data[[#This Row],[Estimated Concrete Demand (m³)]]&lt;100000,"Large","Mega"))))</f>
        <v>Large</v>
      </c>
      <c r="P1662" s="287" t="str">
        <f t="shared" si="27"/>
        <v>GujRERA</v>
      </c>
    </row>
    <row r="1663" spans="1:16">
      <c r="A1663" s="129" t="str">
        <f>_xlfn.XLOOKUP(B1663,$S$9:$S$14,$T$9:$T$14)&amp;"-"&amp;
IF(E1663="Residential/Group Housing","RES",
IF(E1663="Commercial","COM",
IF(E1663="Mixed Development","MIX",
IF(E1663="Plotted Development","PLT","OTH"))))
&amp;"-"&amp;TEXT(COUNTIFS($B$9:B1663,B1663,$E$9:E1663,E1663),"0000")</f>
        <v>SUR-MIX-0246</v>
      </c>
      <c r="B1663" s="322" t="s">
        <v>34</v>
      </c>
      <c r="C1663" s="322" t="s">
        <v>34</v>
      </c>
      <c r="D1663" s="323" t="s">
        <v>1853</v>
      </c>
      <c r="E1663" s="132" t="s">
        <v>25</v>
      </c>
      <c r="F1663" s="97" t="str">
        <f ca="1">IF(OR(Market_Data[[#This Row],[Start Date]]="",Market_Data[[#This Row],[Completion Date]]=""),"Needs Validation",IF(Market_Data[[#This Row],[Start Date]]&gt;TODAY(),"Planned",IF(Market_Data[[#This Row],[Completion Date]]&lt;TODAY(),"Completed","Ongoing")))</f>
        <v>Completed</v>
      </c>
      <c r="G1663" s="324">
        <v>44639</v>
      </c>
      <c r="H1663" s="324">
        <v>45838</v>
      </c>
      <c r="I1663" s="325">
        <v>56300</v>
      </c>
      <c r="J166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63" s="133">
        <f>_xlfn.XLOOKUP(Market_Data[[#This Row],[Project Type]],tbl_assumptions_market[Project Category (RERA)],tbl_assumptions_market[Concrete Intensity
(m³ / sq m BUA)],"",0)</f>
        <v>0.42</v>
      </c>
      <c r="L1663" s="134">
        <f>ROUND(Market_Data[[#This Row],[Estimated Built Up Area (sq m)]]*Market_Data[[#This Row],[Concrete Intensity
(m³ / sq m)]],0)</f>
        <v>23646</v>
      </c>
      <c r="M1663" s="135">
        <f>_xlfn.XLOOKUP(Market_Data[[#This Row],[District]],tbl_district_price[District],tbl_district_price[Standard Price
(INR/m³)],"",0)</f>
        <v>6200</v>
      </c>
      <c r="N1663" s="364">
        <f>IF(OR(Market_Data[[#This Row],[Estimated Concrete Demand (m³)]]="",Market_Data[[#This Row],[Avg Price per (₹ / m³)]]=""),"",Market_Data[[#This Row],[Estimated Concrete Demand (m³)]]*Market_Data[[#This Row],[Avg Price per (₹ / m³)]]/10000000)</f>
        <v>14.66052</v>
      </c>
      <c r="O1663" s="97" t="str">
        <f>IF(Market_Data[[#This Row],[Estimated Concrete Demand (m³)]]="","",
IF(Market_Data[[#This Row],[Estimated Concrete Demand (m³)]]&lt;10000,"Small",
IF(Market_Data[[#This Row],[Estimated Concrete Demand (m³)]]&lt;25000,"Medium",
IF(Market_Data[[#This Row],[Estimated Concrete Demand (m³)]]&lt;100000,"Large","Mega"))))</f>
        <v>Medium</v>
      </c>
      <c r="P1663" s="287" t="str">
        <f t="shared" si="27"/>
        <v>GujRERA</v>
      </c>
    </row>
    <row r="1664" spans="1:16">
      <c r="A1664" s="129" t="str">
        <f>_xlfn.XLOOKUP(B1664,$S$9:$S$14,$T$9:$T$14)&amp;"-"&amp;
IF(E1664="Residential/Group Housing","RES",
IF(E1664="Commercial","COM",
IF(E1664="Mixed Development","MIX",
IF(E1664="Plotted Development","PLT","OTH"))))
&amp;"-"&amp;TEXT(COUNTIFS($B$9:B1664,B1664,$E$9:E1664,E1664),"0000")</f>
        <v>SUR-MIX-0247</v>
      </c>
      <c r="B1664" s="322" t="s">
        <v>34</v>
      </c>
      <c r="C1664" s="322" t="s">
        <v>34</v>
      </c>
      <c r="D1664" s="323" t="s">
        <v>1854</v>
      </c>
      <c r="E1664" s="132" t="s">
        <v>25</v>
      </c>
      <c r="F1664" s="97" t="str">
        <f ca="1">IF(OR(Market_Data[[#This Row],[Start Date]]="",Market_Data[[#This Row],[Completion Date]]=""),"Needs Validation",IF(Market_Data[[#This Row],[Start Date]]&gt;TODAY(),"Planned",IF(Market_Data[[#This Row],[Completion Date]]&lt;TODAY(),"Completed","Ongoing")))</f>
        <v>Ongoing</v>
      </c>
      <c r="G1664" s="324">
        <v>44690</v>
      </c>
      <c r="H1664" s="324">
        <v>47208</v>
      </c>
      <c r="I1664" s="325">
        <v>7000</v>
      </c>
      <c r="J166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664" s="133">
        <f>_xlfn.XLOOKUP(Market_Data[[#This Row],[Project Type]],tbl_assumptions_market[Project Category (RERA)],tbl_assumptions_market[Concrete Intensity
(m³ / sq m BUA)],"",0)</f>
        <v>0.42</v>
      </c>
      <c r="L1664" s="134">
        <f>ROUND(Market_Data[[#This Row],[Estimated Built Up Area (sq m)]]*Market_Data[[#This Row],[Concrete Intensity
(m³ / sq m)]],0)</f>
        <v>2940</v>
      </c>
      <c r="M1664" s="135">
        <f>_xlfn.XLOOKUP(Market_Data[[#This Row],[District]],tbl_district_price[District],tbl_district_price[Standard Price
(INR/m³)],"",0)</f>
        <v>6200</v>
      </c>
      <c r="N1664" s="364">
        <f>IF(OR(Market_Data[[#This Row],[Estimated Concrete Demand (m³)]]="",Market_Data[[#This Row],[Avg Price per (₹ / m³)]]=""),"",Market_Data[[#This Row],[Estimated Concrete Demand (m³)]]*Market_Data[[#This Row],[Avg Price per (₹ / m³)]]/10000000)</f>
        <v>1.8228</v>
      </c>
      <c r="O1664" s="97" t="str">
        <f>IF(Market_Data[[#This Row],[Estimated Concrete Demand (m³)]]="","",
IF(Market_Data[[#This Row],[Estimated Concrete Demand (m³)]]&lt;10000,"Small",
IF(Market_Data[[#This Row],[Estimated Concrete Demand (m³)]]&lt;25000,"Medium",
IF(Market_Data[[#This Row],[Estimated Concrete Demand (m³)]]&lt;100000,"Large","Mega"))))</f>
        <v>Small</v>
      </c>
      <c r="P1664" s="287" t="str">
        <f t="shared" si="27"/>
        <v>GujRERA</v>
      </c>
    </row>
    <row r="1665" spans="1:16">
      <c r="A1665" s="129" t="str">
        <f>_xlfn.XLOOKUP(B1665,$S$9:$S$14,$T$9:$T$14)&amp;"-"&amp;
IF(E1665="Residential/Group Housing","RES",
IF(E1665="Commercial","COM",
IF(E1665="Mixed Development","MIX",
IF(E1665="Plotted Development","PLT","OTH"))))
&amp;"-"&amp;TEXT(COUNTIFS($B$9:B1665,B1665,$E$9:E1665,E1665),"0000")</f>
        <v>SUR-PLT-0312</v>
      </c>
      <c r="B1665" s="322" t="s">
        <v>34</v>
      </c>
      <c r="C1665" s="322" t="s">
        <v>34</v>
      </c>
      <c r="D1665" s="323" t="s">
        <v>1855</v>
      </c>
      <c r="E1665" s="132" t="s">
        <v>26</v>
      </c>
      <c r="F1665" s="97" t="str">
        <f ca="1">IF(OR(Market_Data[[#This Row],[Start Date]]="",Market_Data[[#This Row],[Completion Date]]=""),"Needs Validation",IF(Market_Data[[#This Row],[Start Date]]&gt;TODAY(),"Planned",IF(Market_Data[[#This Row],[Completion Date]]&lt;TODAY(),"Completed","Ongoing")))</f>
        <v>Completed</v>
      </c>
      <c r="G1665" s="324">
        <v>44317</v>
      </c>
      <c r="H1665" s="324">
        <v>45056</v>
      </c>
      <c r="I1665" s="325">
        <v>20300</v>
      </c>
      <c r="J166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65" s="133">
        <f>_xlfn.XLOOKUP(Market_Data[[#This Row],[Project Type]],tbl_assumptions_market[Project Category (RERA)],tbl_assumptions_market[Concrete Intensity
(m³ / sq m BUA)],"",0)</f>
        <v>0.18</v>
      </c>
      <c r="L1665" s="134">
        <f>ROUND(Market_Data[[#This Row],[Estimated Built Up Area (sq m)]]*Market_Data[[#This Row],[Concrete Intensity
(m³ / sq m)]],0)</f>
        <v>3654</v>
      </c>
      <c r="M1665" s="135">
        <f>_xlfn.XLOOKUP(Market_Data[[#This Row],[District]],tbl_district_price[District],tbl_district_price[Standard Price
(INR/m³)],"",0)</f>
        <v>6200</v>
      </c>
      <c r="N1665" s="364">
        <f>IF(OR(Market_Data[[#This Row],[Estimated Concrete Demand (m³)]]="",Market_Data[[#This Row],[Avg Price per (₹ / m³)]]=""),"",Market_Data[[#This Row],[Estimated Concrete Demand (m³)]]*Market_Data[[#This Row],[Avg Price per (₹ / m³)]]/10000000)</f>
        <v>2.2654800000000002</v>
      </c>
      <c r="O1665" s="97" t="str">
        <f>IF(Market_Data[[#This Row],[Estimated Concrete Demand (m³)]]="","",
IF(Market_Data[[#This Row],[Estimated Concrete Demand (m³)]]&lt;10000,"Small",
IF(Market_Data[[#This Row],[Estimated Concrete Demand (m³)]]&lt;25000,"Medium",
IF(Market_Data[[#This Row],[Estimated Concrete Demand (m³)]]&lt;100000,"Large","Mega"))))</f>
        <v>Small</v>
      </c>
      <c r="P1665" s="287" t="str">
        <f t="shared" si="27"/>
        <v>GujRERA</v>
      </c>
    </row>
    <row r="1666" spans="1:16">
      <c r="A1666" s="129" t="str">
        <f>_xlfn.XLOOKUP(B1666,$S$9:$S$14,$T$9:$T$14)&amp;"-"&amp;
IF(E1666="Residential/Group Housing","RES",
IF(E1666="Commercial","COM",
IF(E1666="Mixed Development","MIX",
IF(E1666="Plotted Development","PLT","OTH"))))
&amp;"-"&amp;TEXT(COUNTIFS($B$9:B1666,B1666,$E$9:E1666,E1666),"0000")</f>
        <v>SUR-RES-0513</v>
      </c>
      <c r="B1666" s="322" t="s">
        <v>34</v>
      </c>
      <c r="C1666" s="322" t="s">
        <v>34</v>
      </c>
      <c r="D1666" s="323" t="s">
        <v>1856</v>
      </c>
      <c r="E1666" s="132" t="s">
        <v>24</v>
      </c>
      <c r="F1666" s="97" t="str">
        <f ca="1">IF(OR(Market_Data[[#This Row],[Start Date]]="",Market_Data[[#This Row],[Completion Date]]=""),"Needs Validation",IF(Market_Data[[#This Row],[Start Date]]&gt;TODAY(),"Planned",IF(Market_Data[[#This Row],[Completion Date]]&lt;TODAY(),"Completed","Ongoing")))</f>
        <v>Completed</v>
      </c>
      <c r="G1666" s="324">
        <v>44645</v>
      </c>
      <c r="H1666" s="324">
        <v>46022</v>
      </c>
      <c r="I1666" s="325">
        <v>70500</v>
      </c>
      <c r="J166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666" s="133">
        <f>_xlfn.XLOOKUP(Market_Data[[#This Row],[Project Type]],tbl_assumptions_market[Project Category (RERA)],tbl_assumptions_market[Concrete Intensity
(m³ / sq m BUA)],"",0)</f>
        <v>0.45</v>
      </c>
      <c r="L1666" s="134">
        <f>ROUND(Market_Data[[#This Row],[Estimated Built Up Area (sq m)]]*Market_Data[[#This Row],[Concrete Intensity
(m³ / sq m)]],0)</f>
        <v>31725</v>
      </c>
      <c r="M1666" s="135">
        <f>_xlfn.XLOOKUP(Market_Data[[#This Row],[District]],tbl_district_price[District],tbl_district_price[Standard Price
(INR/m³)],"",0)</f>
        <v>6200</v>
      </c>
      <c r="N1666" s="364">
        <f>IF(OR(Market_Data[[#This Row],[Estimated Concrete Demand (m³)]]="",Market_Data[[#This Row],[Avg Price per (₹ / m³)]]=""),"",Market_Data[[#This Row],[Estimated Concrete Demand (m³)]]*Market_Data[[#This Row],[Avg Price per (₹ / m³)]]/10000000)</f>
        <v>19.669499999999999</v>
      </c>
      <c r="O1666" s="97" t="str">
        <f>IF(Market_Data[[#This Row],[Estimated Concrete Demand (m³)]]="","",
IF(Market_Data[[#This Row],[Estimated Concrete Demand (m³)]]&lt;10000,"Small",
IF(Market_Data[[#This Row],[Estimated Concrete Demand (m³)]]&lt;25000,"Medium",
IF(Market_Data[[#This Row],[Estimated Concrete Demand (m³)]]&lt;100000,"Large","Mega"))))</f>
        <v>Large</v>
      </c>
      <c r="P1666" s="287" t="str">
        <f t="shared" si="27"/>
        <v>GujRERA</v>
      </c>
    </row>
    <row r="1667" spans="1:16">
      <c r="A1667" s="129" t="str">
        <f>_xlfn.XLOOKUP(B1667,$S$9:$S$14,$T$9:$T$14)&amp;"-"&amp;
IF(E1667="Residential/Group Housing","RES",
IF(E1667="Commercial","COM",
IF(E1667="Mixed Development","MIX",
IF(E1667="Plotted Development","PLT","OTH"))))
&amp;"-"&amp;TEXT(COUNTIFS($B$9:B1667,B1667,$E$9:E1667,E1667),"0000")</f>
        <v>SUR-RES-0514</v>
      </c>
      <c r="B1667" s="322" t="s">
        <v>34</v>
      </c>
      <c r="C1667" s="322" t="s">
        <v>34</v>
      </c>
      <c r="D1667" s="323" t="s">
        <v>1857</v>
      </c>
      <c r="E1667" s="132" t="s">
        <v>24</v>
      </c>
      <c r="F1667" s="97" t="str">
        <f ca="1">IF(OR(Market_Data[[#This Row],[Start Date]]="",Market_Data[[#This Row],[Completion Date]]=""),"Needs Validation",IF(Market_Data[[#This Row],[Start Date]]&gt;TODAY(),"Planned",IF(Market_Data[[#This Row],[Completion Date]]&lt;TODAY(),"Completed","Ongoing")))</f>
        <v>Ongoing</v>
      </c>
      <c r="G1667" s="324">
        <v>45586</v>
      </c>
      <c r="H1667" s="324">
        <v>47118</v>
      </c>
      <c r="I1667" s="325">
        <v>5300</v>
      </c>
      <c r="J166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67" s="133">
        <f>_xlfn.XLOOKUP(Market_Data[[#This Row],[Project Type]],tbl_assumptions_market[Project Category (RERA)],tbl_assumptions_market[Concrete Intensity
(m³ / sq m BUA)],"",0)</f>
        <v>0.45</v>
      </c>
      <c r="L1667" s="134">
        <f>ROUND(Market_Data[[#This Row],[Estimated Built Up Area (sq m)]]*Market_Data[[#This Row],[Concrete Intensity
(m³ / sq m)]],0)</f>
        <v>2385</v>
      </c>
      <c r="M1667" s="135">
        <f>_xlfn.XLOOKUP(Market_Data[[#This Row],[District]],tbl_district_price[District],tbl_district_price[Standard Price
(INR/m³)],"",0)</f>
        <v>6200</v>
      </c>
      <c r="N1667" s="364">
        <f>IF(OR(Market_Data[[#This Row],[Estimated Concrete Demand (m³)]]="",Market_Data[[#This Row],[Avg Price per (₹ / m³)]]=""),"",Market_Data[[#This Row],[Estimated Concrete Demand (m³)]]*Market_Data[[#This Row],[Avg Price per (₹ / m³)]]/10000000)</f>
        <v>1.4786999999999999</v>
      </c>
      <c r="O1667" s="97" t="str">
        <f>IF(Market_Data[[#This Row],[Estimated Concrete Demand (m³)]]="","",
IF(Market_Data[[#This Row],[Estimated Concrete Demand (m³)]]&lt;10000,"Small",
IF(Market_Data[[#This Row],[Estimated Concrete Demand (m³)]]&lt;25000,"Medium",
IF(Market_Data[[#This Row],[Estimated Concrete Demand (m³)]]&lt;100000,"Large","Mega"))))</f>
        <v>Small</v>
      </c>
      <c r="P1667" s="287" t="str">
        <f t="shared" si="27"/>
        <v>GujRERA</v>
      </c>
    </row>
    <row r="1668" spans="1:16">
      <c r="A1668" s="129" t="str">
        <f>_xlfn.XLOOKUP(B1668,$S$9:$S$14,$T$9:$T$14)&amp;"-"&amp;
IF(E1668="Residential/Group Housing","RES",
IF(E1668="Commercial","COM",
IF(E1668="Mixed Development","MIX",
IF(E1668="Plotted Development","PLT","OTH"))))
&amp;"-"&amp;TEXT(COUNTIFS($B$9:B1668,B1668,$E$9:E1668,E1668),"0000")</f>
        <v>SUR-COM-0277</v>
      </c>
      <c r="B1668" s="322" t="s">
        <v>34</v>
      </c>
      <c r="C1668" s="322" t="s">
        <v>34</v>
      </c>
      <c r="D1668" s="323" t="s">
        <v>1858</v>
      </c>
      <c r="E1668" s="132" t="s">
        <v>23</v>
      </c>
      <c r="F1668" s="97" t="str">
        <f ca="1">IF(OR(Market_Data[[#This Row],[Start Date]]="",Market_Data[[#This Row],[Completion Date]]=""),"Needs Validation",IF(Market_Data[[#This Row],[Start Date]]&gt;TODAY(),"Planned",IF(Market_Data[[#This Row],[Completion Date]]&lt;TODAY(),"Completed","Ongoing")))</f>
        <v>Ongoing</v>
      </c>
      <c r="G1668" s="324">
        <v>45852</v>
      </c>
      <c r="H1668" s="324">
        <v>46934</v>
      </c>
      <c r="I1668" s="325">
        <v>29500</v>
      </c>
      <c r="J166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668" s="133">
        <f>_xlfn.XLOOKUP(Market_Data[[#This Row],[Project Type]],tbl_assumptions_market[Project Category (RERA)],tbl_assumptions_market[Concrete Intensity
(m³ / sq m BUA)],"",0)</f>
        <v>0.5</v>
      </c>
      <c r="L1668" s="134">
        <f>ROUND(Market_Data[[#This Row],[Estimated Built Up Area (sq m)]]*Market_Data[[#This Row],[Concrete Intensity
(m³ / sq m)]],0)</f>
        <v>14750</v>
      </c>
      <c r="M1668" s="135">
        <f>_xlfn.XLOOKUP(Market_Data[[#This Row],[District]],tbl_district_price[District],tbl_district_price[Standard Price
(INR/m³)],"",0)</f>
        <v>6200</v>
      </c>
      <c r="N1668" s="364">
        <f>IF(OR(Market_Data[[#This Row],[Estimated Concrete Demand (m³)]]="",Market_Data[[#This Row],[Avg Price per (₹ / m³)]]=""),"",Market_Data[[#This Row],[Estimated Concrete Demand (m³)]]*Market_Data[[#This Row],[Avg Price per (₹ / m³)]]/10000000)</f>
        <v>9.1449999999999996</v>
      </c>
      <c r="O1668" s="97" t="str">
        <f>IF(Market_Data[[#This Row],[Estimated Concrete Demand (m³)]]="","",
IF(Market_Data[[#This Row],[Estimated Concrete Demand (m³)]]&lt;10000,"Small",
IF(Market_Data[[#This Row],[Estimated Concrete Demand (m³)]]&lt;25000,"Medium",
IF(Market_Data[[#This Row],[Estimated Concrete Demand (m³)]]&lt;100000,"Large","Mega"))))</f>
        <v>Medium</v>
      </c>
      <c r="P1668" s="287" t="str">
        <f t="shared" si="27"/>
        <v>GujRERA</v>
      </c>
    </row>
    <row r="1669" spans="1:16">
      <c r="A1669" s="129" t="str">
        <f>_xlfn.XLOOKUP(B1669,$S$9:$S$14,$T$9:$T$14)&amp;"-"&amp;
IF(E1669="Residential/Group Housing","RES",
IF(E1669="Commercial","COM",
IF(E1669="Mixed Development","MIX",
IF(E1669="Plotted Development","PLT","OTH"))))
&amp;"-"&amp;TEXT(COUNTIFS($B$9:B1669,B1669,$E$9:E1669,E1669),"0000")</f>
        <v>SUR-RES-0515</v>
      </c>
      <c r="B1669" s="322" t="s">
        <v>34</v>
      </c>
      <c r="C1669" s="322" t="s">
        <v>34</v>
      </c>
      <c r="D1669" s="323" t="s">
        <v>1859</v>
      </c>
      <c r="E1669" s="132" t="s">
        <v>24</v>
      </c>
      <c r="F1669" s="97" t="str">
        <f ca="1">IF(OR(Market_Data[[#This Row],[Start Date]]="",Market_Data[[#This Row],[Completion Date]]=""),"Needs Validation",IF(Market_Data[[#This Row],[Start Date]]&gt;TODAY(),"Planned",IF(Market_Data[[#This Row],[Completion Date]]&lt;TODAY(),"Completed","Ongoing")))</f>
        <v>Completed</v>
      </c>
      <c r="G1669" s="324">
        <v>42972</v>
      </c>
      <c r="H1669" s="324">
        <v>44561</v>
      </c>
      <c r="I1669" s="325">
        <v>9000</v>
      </c>
      <c r="J166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69" s="133">
        <f>_xlfn.XLOOKUP(Market_Data[[#This Row],[Project Type]],tbl_assumptions_market[Project Category (RERA)],tbl_assumptions_market[Concrete Intensity
(m³ / sq m BUA)],"",0)</f>
        <v>0.45</v>
      </c>
      <c r="L1669" s="134">
        <f>ROUND(Market_Data[[#This Row],[Estimated Built Up Area (sq m)]]*Market_Data[[#This Row],[Concrete Intensity
(m³ / sq m)]],0)</f>
        <v>4050</v>
      </c>
      <c r="M1669" s="135">
        <f>_xlfn.XLOOKUP(Market_Data[[#This Row],[District]],tbl_district_price[District],tbl_district_price[Standard Price
(INR/m³)],"",0)</f>
        <v>6200</v>
      </c>
      <c r="N1669" s="364">
        <f>IF(OR(Market_Data[[#This Row],[Estimated Concrete Demand (m³)]]="",Market_Data[[#This Row],[Avg Price per (₹ / m³)]]=""),"",Market_Data[[#This Row],[Estimated Concrete Demand (m³)]]*Market_Data[[#This Row],[Avg Price per (₹ / m³)]]/10000000)</f>
        <v>2.5110000000000001</v>
      </c>
      <c r="O1669" s="97" t="str">
        <f>IF(Market_Data[[#This Row],[Estimated Concrete Demand (m³)]]="","",
IF(Market_Data[[#This Row],[Estimated Concrete Demand (m³)]]&lt;10000,"Small",
IF(Market_Data[[#This Row],[Estimated Concrete Demand (m³)]]&lt;25000,"Medium",
IF(Market_Data[[#This Row],[Estimated Concrete Demand (m³)]]&lt;100000,"Large","Mega"))))</f>
        <v>Small</v>
      </c>
      <c r="P1669" s="287" t="str">
        <f t="shared" si="27"/>
        <v>GujRERA</v>
      </c>
    </row>
    <row r="1670" spans="1:16">
      <c r="A1670" s="129" t="str">
        <f>_xlfn.XLOOKUP(B1670,$S$9:$S$14,$T$9:$T$14)&amp;"-"&amp;
IF(E1670="Residential/Group Housing","RES",
IF(E1670="Commercial","COM",
IF(E1670="Mixed Development","MIX",
IF(E1670="Plotted Development","PLT","OTH"))))
&amp;"-"&amp;TEXT(COUNTIFS($B$9:B1670,B1670,$E$9:E1670,E1670),"0000")</f>
        <v>SUR-RES-0516</v>
      </c>
      <c r="B1670" s="322" t="s">
        <v>34</v>
      </c>
      <c r="C1670" s="322" t="s">
        <v>34</v>
      </c>
      <c r="D1670" s="323" t="s">
        <v>1860</v>
      </c>
      <c r="E1670" s="132" t="s">
        <v>24</v>
      </c>
      <c r="F1670" s="97" t="str">
        <f ca="1">IF(OR(Market_Data[[#This Row],[Start Date]]="",Market_Data[[#This Row],[Completion Date]]=""),"Needs Validation",IF(Market_Data[[#This Row],[Start Date]]&gt;TODAY(),"Planned",IF(Market_Data[[#This Row],[Completion Date]]&lt;TODAY(),"Completed","Ongoing")))</f>
        <v>Ongoing</v>
      </c>
      <c r="G1670" s="324">
        <v>44335</v>
      </c>
      <c r="H1670" s="324">
        <v>46387</v>
      </c>
      <c r="I1670" s="325">
        <v>19800</v>
      </c>
      <c r="J167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70" s="133">
        <f>_xlfn.XLOOKUP(Market_Data[[#This Row],[Project Type]],tbl_assumptions_market[Project Category (RERA)],tbl_assumptions_market[Concrete Intensity
(m³ / sq m BUA)],"",0)</f>
        <v>0.45</v>
      </c>
      <c r="L1670" s="134">
        <f>ROUND(Market_Data[[#This Row],[Estimated Built Up Area (sq m)]]*Market_Data[[#This Row],[Concrete Intensity
(m³ / sq m)]],0)</f>
        <v>8910</v>
      </c>
      <c r="M1670" s="135">
        <f>_xlfn.XLOOKUP(Market_Data[[#This Row],[District]],tbl_district_price[District],tbl_district_price[Standard Price
(INR/m³)],"",0)</f>
        <v>6200</v>
      </c>
      <c r="N1670" s="364">
        <f>IF(OR(Market_Data[[#This Row],[Estimated Concrete Demand (m³)]]="",Market_Data[[#This Row],[Avg Price per (₹ / m³)]]=""),"",Market_Data[[#This Row],[Estimated Concrete Demand (m³)]]*Market_Data[[#This Row],[Avg Price per (₹ / m³)]]/10000000)</f>
        <v>5.5242000000000004</v>
      </c>
      <c r="O1670" s="97" t="str">
        <f>IF(Market_Data[[#This Row],[Estimated Concrete Demand (m³)]]="","",
IF(Market_Data[[#This Row],[Estimated Concrete Demand (m³)]]&lt;10000,"Small",
IF(Market_Data[[#This Row],[Estimated Concrete Demand (m³)]]&lt;25000,"Medium",
IF(Market_Data[[#This Row],[Estimated Concrete Demand (m³)]]&lt;100000,"Large","Mega"))))</f>
        <v>Small</v>
      </c>
      <c r="P1670" s="287" t="str">
        <f t="shared" si="27"/>
        <v>GujRERA</v>
      </c>
    </row>
    <row r="1671" spans="1:16">
      <c r="A1671" s="129" t="str">
        <f>_xlfn.XLOOKUP(B1671,$S$9:$S$14,$T$9:$T$14)&amp;"-"&amp;
IF(E1671="Residential/Group Housing","RES",
IF(E1671="Commercial","COM",
IF(E1671="Mixed Development","MIX",
IF(E1671="Plotted Development","PLT","OTH"))))
&amp;"-"&amp;TEXT(COUNTIFS($B$9:B1671,B1671,$E$9:E1671,E1671),"0000")</f>
        <v>SUR-MIX-0248</v>
      </c>
      <c r="B1671" s="322" t="s">
        <v>34</v>
      </c>
      <c r="C1671" s="322" t="s">
        <v>34</v>
      </c>
      <c r="D1671" s="323" t="s">
        <v>1861</v>
      </c>
      <c r="E1671" s="132" t="s">
        <v>25</v>
      </c>
      <c r="F1671" s="97" t="str">
        <f ca="1">IF(OR(Market_Data[[#This Row],[Start Date]]="",Market_Data[[#This Row],[Completion Date]]=""),"Needs Validation",IF(Market_Data[[#This Row],[Start Date]]&gt;TODAY(),"Planned",IF(Market_Data[[#This Row],[Completion Date]]&lt;TODAY(),"Completed","Ongoing")))</f>
        <v>Completed</v>
      </c>
      <c r="G1671" s="324">
        <v>44129</v>
      </c>
      <c r="H1671" s="324">
        <v>45291</v>
      </c>
      <c r="I1671" s="325">
        <v>13200</v>
      </c>
      <c r="J167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71" s="133">
        <f>_xlfn.XLOOKUP(Market_Data[[#This Row],[Project Type]],tbl_assumptions_market[Project Category (RERA)],tbl_assumptions_market[Concrete Intensity
(m³ / sq m BUA)],"",0)</f>
        <v>0.42</v>
      </c>
      <c r="L1671" s="134">
        <f>ROUND(Market_Data[[#This Row],[Estimated Built Up Area (sq m)]]*Market_Data[[#This Row],[Concrete Intensity
(m³ / sq m)]],0)</f>
        <v>5544</v>
      </c>
      <c r="M1671" s="135">
        <f>_xlfn.XLOOKUP(Market_Data[[#This Row],[District]],tbl_district_price[District],tbl_district_price[Standard Price
(INR/m³)],"",0)</f>
        <v>6200</v>
      </c>
      <c r="N1671" s="364">
        <f>IF(OR(Market_Data[[#This Row],[Estimated Concrete Demand (m³)]]="",Market_Data[[#This Row],[Avg Price per (₹ / m³)]]=""),"",Market_Data[[#This Row],[Estimated Concrete Demand (m³)]]*Market_Data[[#This Row],[Avg Price per (₹ / m³)]]/10000000)</f>
        <v>3.4372799999999999</v>
      </c>
      <c r="O1671" s="97" t="str">
        <f>IF(Market_Data[[#This Row],[Estimated Concrete Demand (m³)]]="","",
IF(Market_Data[[#This Row],[Estimated Concrete Demand (m³)]]&lt;10000,"Small",
IF(Market_Data[[#This Row],[Estimated Concrete Demand (m³)]]&lt;25000,"Medium",
IF(Market_Data[[#This Row],[Estimated Concrete Demand (m³)]]&lt;100000,"Large","Mega"))))</f>
        <v>Small</v>
      </c>
      <c r="P1671" s="287" t="str">
        <f t="shared" si="27"/>
        <v>GujRERA</v>
      </c>
    </row>
    <row r="1672" spans="1:16">
      <c r="A1672" s="129" t="str">
        <f>_xlfn.XLOOKUP(B1672,$S$9:$S$14,$T$9:$T$14)&amp;"-"&amp;
IF(E1672="Residential/Group Housing","RES",
IF(E1672="Commercial","COM",
IF(E1672="Mixed Development","MIX",
IF(E1672="Plotted Development","PLT","OTH"))))
&amp;"-"&amp;TEXT(COUNTIFS($B$9:B1672,B1672,$E$9:E1672,E1672),"0000")</f>
        <v>SUR-MIX-0249</v>
      </c>
      <c r="B1672" s="322" t="s">
        <v>34</v>
      </c>
      <c r="C1672" s="322" t="s">
        <v>34</v>
      </c>
      <c r="D1672" s="323" t="s">
        <v>1862</v>
      </c>
      <c r="E1672" s="132" t="s">
        <v>25</v>
      </c>
      <c r="F1672" s="97" t="str">
        <f ca="1">IF(OR(Market_Data[[#This Row],[Start Date]]="",Market_Data[[#This Row],[Completion Date]]=""),"Needs Validation",IF(Market_Data[[#This Row],[Start Date]]&gt;TODAY(),"Planned",IF(Market_Data[[#This Row],[Completion Date]]&lt;TODAY(),"Completed","Ongoing")))</f>
        <v>Completed</v>
      </c>
      <c r="G1672" s="324">
        <v>44317</v>
      </c>
      <c r="H1672" s="324">
        <v>46022</v>
      </c>
      <c r="I1672" s="325">
        <v>34300</v>
      </c>
      <c r="J167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72" s="133">
        <f>_xlfn.XLOOKUP(Market_Data[[#This Row],[Project Type]],tbl_assumptions_market[Project Category (RERA)],tbl_assumptions_market[Concrete Intensity
(m³ / sq m BUA)],"",0)</f>
        <v>0.42</v>
      </c>
      <c r="L1672" s="134">
        <f>ROUND(Market_Data[[#This Row],[Estimated Built Up Area (sq m)]]*Market_Data[[#This Row],[Concrete Intensity
(m³ / sq m)]],0)</f>
        <v>14406</v>
      </c>
      <c r="M1672" s="135">
        <f>_xlfn.XLOOKUP(Market_Data[[#This Row],[District]],tbl_district_price[District],tbl_district_price[Standard Price
(INR/m³)],"",0)</f>
        <v>6200</v>
      </c>
      <c r="N1672" s="364">
        <f>IF(OR(Market_Data[[#This Row],[Estimated Concrete Demand (m³)]]="",Market_Data[[#This Row],[Avg Price per (₹ / m³)]]=""),"",Market_Data[[#This Row],[Estimated Concrete Demand (m³)]]*Market_Data[[#This Row],[Avg Price per (₹ / m³)]]/10000000)</f>
        <v>8.9317200000000003</v>
      </c>
      <c r="O1672" s="97" t="str">
        <f>IF(Market_Data[[#This Row],[Estimated Concrete Demand (m³)]]="","",
IF(Market_Data[[#This Row],[Estimated Concrete Demand (m³)]]&lt;10000,"Small",
IF(Market_Data[[#This Row],[Estimated Concrete Demand (m³)]]&lt;25000,"Medium",
IF(Market_Data[[#This Row],[Estimated Concrete Demand (m³)]]&lt;100000,"Large","Mega"))))</f>
        <v>Medium</v>
      </c>
      <c r="P1672" s="287" t="str">
        <f t="shared" si="27"/>
        <v>GujRERA</v>
      </c>
    </row>
    <row r="1673" spans="1:16">
      <c r="A1673" s="129" t="str">
        <f>_xlfn.XLOOKUP(B1673,$S$9:$S$14,$T$9:$T$14)&amp;"-"&amp;
IF(E1673="Residential/Group Housing","RES",
IF(E1673="Commercial","COM",
IF(E1673="Mixed Development","MIX",
IF(E1673="Plotted Development","PLT","OTH"))))
&amp;"-"&amp;TEXT(COUNTIFS($B$9:B1673,B1673,$E$9:E1673,E1673),"0000")</f>
        <v>SUR-RES-0517</v>
      </c>
      <c r="B1673" s="322" t="s">
        <v>34</v>
      </c>
      <c r="C1673" s="322" t="s">
        <v>34</v>
      </c>
      <c r="D1673" s="323" t="s">
        <v>1863</v>
      </c>
      <c r="E1673" s="132" t="s">
        <v>24</v>
      </c>
      <c r="F1673" s="97" t="str">
        <f ca="1">IF(OR(Market_Data[[#This Row],[Start Date]]="",Market_Data[[#This Row],[Completion Date]]=""),"Needs Validation",IF(Market_Data[[#This Row],[Start Date]]&gt;TODAY(),"Planned",IF(Market_Data[[#This Row],[Completion Date]]&lt;TODAY(),"Completed","Ongoing")))</f>
        <v>Completed</v>
      </c>
      <c r="G1673" s="324">
        <v>43003</v>
      </c>
      <c r="H1673" s="324">
        <v>44635</v>
      </c>
      <c r="I1673" s="325">
        <v>32400</v>
      </c>
      <c r="J167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73" s="133">
        <f>_xlfn.XLOOKUP(Market_Data[[#This Row],[Project Type]],tbl_assumptions_market[Project Category (RERA)],tbl_assumptions_market[Concrete Intensity
(m³ / sq m BUA)],"",0)</f>
        <v>0.45</v>
      </c>
      <c r="L1673" s="134">
        <f>ROUND(Market_Data[[#This Row],[Estimated Built Up Area (sq m)]]*Market_Data[[#This Row],[Concrete Intensity
(m³ / sq m)]],0)</f>
        <v>14580</v>
      </c>
      <c r="M1673" s="135">
        <f>_xlfn.XLOOKUP(Market_Data[[#This Row],[District]],tbl_district_price[District],tbl_district_price[Standard Price
(INR/m³)],"",0)</f>
        <v>6200</v>
      </c>
      <c r="N1673" s="364">
        <f>IF(OR(Market_Data[[#This Row],[Estimated Concrete Demand (m³)]]="",Market_Data[[#This Row],[Avg Price per (₹ / m³)]]=""),"",Market_Data[[#This Row],[Estimated Concrete Demand (m³)]]*Market_Data[[#This Row],[Avg Price per (₹ / m³)]]/10000000)</f>
        <v>9.0396000000000001</v>
      </c>
      <c r="O1673" s="97" t="str">
        <f>IF(Market_Data[[#This Row],[Estimated Concrete Demand (m³)]]="","",
IF(Market_Data[[#This Row],[Estimated Concrete Demand (m³)]]&lt;10000,"Small",
IF(Market_Data[[#This Row],[Estimated Concrete Demand (m³)]]&lt;25000,"Medium",
IF(Market_Data[[#This Row],[Estimated Concrete Demand (m³)]]&lt;100000,"Large","Mega"))))</f>
        <v>Medium</v>
      </c>
      <c r="P1673" s="287" t="str">
        <f t="shared" si="27"/>
        <v>GujRERA</v>
      </c>
    </row>
    <row r="1674" spans="1:16">
      <c r="A1674" s="129" t="str">
        <f>_xlfn.XLOOKUP(B1674,$S$9:$S$14,$T$9:$T$14)&amp;"-"&amp;
IF(E1674="Residential/Group Housing","RES",
IF(E1674="Commercial","COM",
IF(E1674="Mixed Development","MIX",
IF(E1674="Plotted Development","PLT","OTH"))))
&amp;"-"&amp;TEXT(COUNTIFS($B$9:B1674,B1674,$E$9:E1674,E1674),"0000")</f>
        <v>SUR-RES-0518</v>
      </c>
      <c r="B1674" s="322" t="s">
        <v>34</v>
      </c>
      <c r="C1674" s="322" t="s">
        <v>34</v>
      </c>
      <c r="D1674" s="323" t="s">
        <v>1864</v>
      </c>
      <c r="E1674" s="132" t="s">
        <v>24</v>
      </c>
      <c r="F1674" s="97" t="str">
        <f ca="1">IF(OR(Market_Data[[#This Row],[Start Date]]="",Market_Data[[#This Row],[Completion Date]]=""),"Needs Validation",IF(Market_Data[[#This Row],[Start Date]]&gt;TODAY(),"Planned",IF(Market_Data[[#This Row],[Completion Date]]&lt;TODAY(),"Completed","Ongoing")))</f>
        <v>Completed</v>
      </c>
      <c r="G1674" s="324">
        <v>44686</v>
      </c>
      <c r="H1674" s="324">
        <v>46022</v>
      </c>
      <c r="I1674" s="325">
        <v>54600</v>
      </c>
      <c r="J167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74" s="133">
        <f>_xlfn.XLOOKUP(Market_Data[[#This Row],[Project Type]],tbl_assumptions_market[Project Category (RERA)],tbl_assumptions_market[Concrete Intensity
(m³ / sq m BUA)],"",0)</f>
        <v>0.45</v>
      </c>
      <c r="L1674" s="134">
        <f>ROUND(Market_Data[[#This Row],[Estimated Built Up Area (sq m)]]*Market_Data[[#This Row],[Concrete Intensity
(m³ / sq m)]],0)</f>
        <v>24570</v>
      </c>
      <c r="M1674" s="135">
        <f>_xlfn.XLOOKUP(Market_Data[[#This Row],[District]],tbl_district_price[District],tbl_district_price[Standard Price
(INR/m³)],"",0)</f>
        <v>6200</v>
      </c>
      <c r="N1674" s="364">
        <f>IF(OR(Market_Data[[#This Row],[Estimated Concrete Demand (m³)]]="",Market_Data[[#This Row],[Avg Price per (₹ / m³)]]=""),"",Market_Data[[#This Row],[Estimated Concrete Demand (m³)]]*Market_Data[[#This Row],[Avg Price per (₹ / m³)]]/10000000)</f>
        <v>15.2334</v>
      </c>
      <c r="O1674" s="97" t="str">
        <f>IF(Market_Data[[#This Row],[Estimated Concrete Demand (m³)]]="","",
IF(Market_Data[[#This Row],[Estimated Concrete Demand (m³)]]&lt;10000,"Small",
IF(Market_Data[[#This Row],[Estimated Concrete Demand (m³)]]&lt;25000,"Medium",
IF(Market_Data[[#This Row],[Estimated Concrete Demand (m³)]]&lt;100000,"Large","Mega"))))</f>
        <v>Medium</v>
      </c>
      <c r="P1674" s="287" t="str">
        <f t="shared" ref="P1674:P1737" si="28">HYPERLINK(
"https://gujrera.gujarat.gov.in",
"GujRERA")</f>
        <v>GujRERA</v>
      </c>
    </row>
    <row r="1675" spans="1:16">
      <c r="A1675" s="129" t="str">
        <f>_xlfn.XLOOKUP(B1675,$S$9:$S$14,$T$9:$T$14)&amp;"-"&amp;
IF(E1675="Residential/Group Housing","RES",
IF(E1675="Commercial","COM",
IF(E1675="Mixed Development","MIX",
IF(E1675="Plotted Development","PLT","OTH"))))
&amp;"-"&amp;TEXT(COUNTIFS($B$9:B1675,B1675,$E$9:E1675,E1675),"0000")</f>
        <v>SUR-MIX-0250</v>
      </c>
      <c r="B1675" s="322" t="s">
        <v>34</v>
      </c>
      <c r="C1675" s="322" t="s">
        <v>34</v>
      </c>
      <c r="D1675" s="323" t="s">
        <v>1865</v>
      </c>
      <c r="E1675" s="132" t="s">
        <v>25</v>
      </c>
      <c r="F1675" s="97" t="str">
        <f ca="1">IF(OR(Market_Data[[#This Row],[Start Date]]="",Market_Data[[#This Row],[Completion Date]]=""),"Needs Validation",IF(Market_Data[[#This Row],[Start Date]]&gt;TODAY(),"Planned",IF(Market_Data[[#This Row],[Completion Date]]&lt;TODAY(),"Completed","Ongoing")))</f>
        <v>Completed</v>
      </c>
      <c r="G1675" s="324">
        <v>43847</v>
      </c>
      <c r="H1675" s="324">
        <v>45869</v>
      </c>
      <c r="I1675" s="325">
        <v>5500</v>
      </c>
      <c r="J167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675" s="133">
        <f>_xlfn.XLOOKUP(Market_Data[[#This Row],[Project Type]],tbl_assumptions_market[Project Category (RERA)],tbl_assumptions_market[Concrete Intensity
(m³ / sq m BUA)],"",0)</f>
        <v>0.42</v>
      </c>
      <c r="L1675" s="134">
        <f>ROUND(Market_Data[[#This Row],[Estimated Built Up Area (sq m)]]*Market_Data[[#This Row],[Concrete Intensity
(m³ / sq m)]],0)</f>
        <v>2310</v>
      </c>
      <c r="M1675" s="135">
        <f>_xlfn.XLOOKUP(Market_Data[[#This Row],[District]],tbl_district_price[District],tbl_district_price[Standard Price
(INR/m³)],"",0)</f>
        <v>6200</v>
      </c>
      <c r="N1675" s="364">
        <f>IF(OR(Market_Data[[#This Row],[Estimated Concrete Demand (m³)]]="",Market_Data[[#This Row],[Avg Price per (₹ / m³)]]=""),"",Market_Data[[#This Row],[Estimated Concrete Demand (m³)]]*Market_Data[[#This Row],[Avg Price per (₹ / m³)]]/10000000)</f>
        <v>1.4321999999999999</v>
      </c>
      <c r="O1675" s="97" t="str">
        <f>IF(Market_Data[[#This Row],[Estimated Concrete Demand (m³)]]="","",
IF(Market_Data[[#This Row],[Estimated Concrete Demand (m³)]]&lt;10000,"Small",
IF(Market_Data[[#This Row],[Estimated Concrete Demand (m³)]]&lt;25000,"Medium",
IF(Market_Data[[#This Row],[Estimated Concrete Demand (m³)]]&lt;100000,"Large","Mega"))))</f>
        <v>Small</v>
      </c>
      <c r="P1675" s="287" t="str">
        <f t="shared" si="28"/>
        <v>GujRERA</v>
      </c>
    </row>
    <row r="1676" spans="1:16">
      <c r="A1676" s="129" t="str">
        <f>_xlfn.XLOOKUP(B1676,$S$9:$S$14,$T$9:$T$14)&amp;"-"&amp;
IF(E1676="Residential/Group Housing","RES",
IF(E1676="Commercial","COM",
IF(E1676="Mixed Development","MIX",
IF(E1676="Plotted Development","PLT","OTH"))))
&amp;"-"&amp;TEXT(COUNTIFS($B$9:B1676,B1676,$E$9:E1676,E1676),"0000")</f>
        <v>SUR-RES-0519</v>
      </c>
      <c r="B1676" s="322" t="s">
        <v>34</v>
      </c>
      <c r="C1676" s="322" t="s">
        <v>34</v>
      </c>
      <c r="D1676" s="323" t="s">
        <v>1866</v>
      </c>
      <c r="E1676" s="132" t="s">
        <v>24</v>
      </c>
      <c r="F1676" s="97" t="str">
        <f ca="1">IF(OR(Market_Data[[#This Row],[Start Date]]="",Market_Data[[#This Row],[Completion Date]]=""),"Needs Validation",IF(Market_Data[[#This Row],[Start Date]]&gt;TODAY(),"Planned",IF(Market_Data[[#This Row],[Completion Date]]&lt;TODAY(),"Completed","Ongoing")))</f>
        <v>Completed</v>
      </c>
      <c r="G1676" s="324">
        <v>43354</v>
      </c>
      <c r="H1676" s="324">
        <v>46188</v>
      </c>
      <c r="I1676" s="325">
        <v>21300</v>
      </c>
      <c r="J167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76" s="133">
        <f>_xlfn.XLOOKUP(Market_Data[[#This Row],[Project Type]],tbl_assumptions_market[Project Category (RERA)],tbl_assumptions_market[Concrete Intensity
(m³ / sq m BUA)],"",0)</f>
        <v>0.45</v>
      </c>
      <c r="L1676" s="134">
        <f>ROUND(Market_Data[[#This Row],[Estimated Built Up Area (sq m)]]*Market_Data[[#This Row],[Concrete Intensity
(m³ / sq m)]],0)</f>
        <v>9585</v>
      </c>
      <c r="M1676" s="135">
        <f>_xlfn.XLOOKUP(Market_Data[[#This Row],[District]],tbl_district_price[District],tbl_district_price[Standard Price
(INR/m³)],"",0)</f>
        <v>6200</v>
      </c>
      <c r="N1676" s="364">
        <f>IF(OR(Market_Data[[#This Row],[Estimated Concrete Demand (m³)]]="",Market_Data[[#This Row],[Avg Price per (₹ / m³)]]=""),"",Market_Data[[#This Row],[Estimated Concrete Demand (m³)]]*Market_Data[[#This Row],[Avg Price per (₹ / m³)]]/10000000)</f>
        <v>5.9427000000000003</v>
      </c>
      <c r="O1676" s="97" t="str">
        <f>IF(Market_Data[[#This Row],[Estimated Concrete Demand (m³)]]="","",
IF(Market_Data[[#This Row],[Estimated Concrete Demand (m³)]]&lt;10000,"Small",
IF(Market_Data[[#This Row],[Estimated Concrete Demand (m³)]]&lt;25000,"Medium",
IF(Market_Data[[#This Row],[Estimated Concrete Demand (m³)]]&lt;100000,"Large","Mega"))))</f>
        <v>Small</v>
      </c>
      <c r="P1676" s="287" t="str">
        <f t="shared" si="28"/>
        <v>GujRERA</v>
      </c>
    </row>
    <row r="1677" spans="1:16">
      <c r="A1677" s="129" t="str">
        <f>_xlfn.XLOOKUP(B1677,$S$9:$S$14,$T$9:$T$14)&amp;"-"&amp;
IF(E1677="Residential/Group Housing","RES",
IF(E1677="Commercial","COM",
IF(E1677="Mixed Development","MIX",
IF(E1677="Plotted Development","PLT","OTH"))))
&amp;"-"&amp;TEXT(COUNTIFS($B$9:B1677,B1677,$E$9:E1677,E1677),"0000")</f>
        <v>SUR-RES-0520</v>
      </c>
      <c r="B1677" s="322" t="s">
        <v>34</v>
      </c>
      <c r="C1677" s="322" t="s">
        <v>34</v>
      </c>
      <c r="D1677" s="323" t="s">
        <v>1867</v>
      </c>
      <c r="E1677" s="132" t="s">
        <v>24</v>
      </c>
      <c r="F1677" s="97" t="str">
        <f ca="1">IF(OR(Market_Data[[#This Row],[Start Date]]="",Market_Data[[#This Row],[Completion Date]]=""),"Needs Validation",IF(Market_Data[[#This Row],[Start Date]]&gt;TODAY(),"Planned",IF(Market_Data[[#This Row],[Completion Date]]&lt;TODAY(),"Completed","Ongoing")))</f>
        <v>Completed</v>
      </c>
      <c r="G1677" s="324">
        <v>43575</v>
      </c>
      <c r="H1677" s="324">
        <v>45412</v>
      </c>
      <c r="I1677" s="325">
        <v>44000</v>
      </c>
      <c r="J167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77" s="133">
        <f>_xlfn.XLOOKUP(Market_Data[[#This Row],[Project Type]],tbl_assumptions_market[Project Category (RERA)],tbl_assumptions_market[Concrete Intensity
(m³ / sq m BUA)],"",0)</f>
        <v>0.45</v>
      </c>
      <c r="L1677" s="134">
        <f>ROUND(Market_Data[[#This Row],[Estimated Built Up Area (sq m)]]*Market_Data[[#This Row],[Concrete Intensity
(m³ / sq m)]],0)</f>
        <v>19800</v>
      </c>
      <c r="M1677" s="135">
        <f>_xlfn.XLOOKUP(Market_Data[[#This Row],[District]],tbl_district_price[District],tbl_district_price[Standard Price
(INR/m³)],"",0)</f>
        <v>6200</v>
      </c>
      <c r="N1677" s="364">
        <f>IF(OR(Market_Data[[#This Row],[Estimated Concrete Demand (m³)]]="",Market_Data[[#This Row],[Avg Price per (₹ / m³)]]=""),"",Market_Data[[#This Row],[Estimated Concrete Demand (m³)]]*Market_Data[[#This Row],[Avg Price per (₹ / m³)]]/10000000)</f>
        <v>12.276</v>
      </c>
      <c r="O1677" s="97" t="str">
        <f>IF(Market_Data[[#This Row],[Estimated Concrete Demand (m³)]]="","",
IF(Market_Data[[#This Row],[Estimated Concrete Demand (m³)]]&lt;10000,"Small",
IF(Market_Data[[#This Row],[Estimated Concrete Demand (m³)]]&lt;25000,"Medium",
IF(Market_Data[[#This Row],[Estimated Concrete Demand (m³)]]&lt;100000,"Large","Mega"))))</f>
        <v>Medium</v>
      </c>
      <c r="P1677" s="287" t="str">
        <f t="shared" si="28"/>
        <v>GujRERA</v>
      </c>
    </row>
    <row r="1678" spans="1:16">
      <c r="A1678" s="129" t="str">
        <f>_xlfn.XLOOKUP(B1678,$S$9:$S$14,$T$9:$T$14)&amp;"-"&amp;
IF(E1678="Residential/Group Housing","RES",
IF(E1678="Commercial","COM",
IF(E1678="Mixed Development","MIX",
IF(E1678="Plotted Development","PLT","OTH"))))
&amp;"-"&amp;TEXT(COUNTIFS($B$9:B1678,B1678,$E$9:E1678,E1678),"0000")</f>
        <v>SUR-RES-0521</v>
      </c>
      <c r="B1678" s="322" t="s">
        <v>34</v>
      </c>
      <c r="C1678" s="322" t="s">
        <v>34</v>
      </c>
      <c r="D1678" s="323" t="s">
        <v>1868</v>
      </c>
      <c r="E1678" s="132" t="s">
        <v>24</v>
      </c>
      <c r="F1678" s="97" t="str">
        <f ca="1">IF(OR(Market_Data[[#This Row],[Start Date]]="",Market_Data[[#This Row],[Completion Date]]=""),"Needs Validation",IF(Market_Data[[#This Row],[Start Date]]&gt;TODAY(),"Planned",IF(Market_Data[[#This Row],[Completion Date]]&lt;TODAY(),"Completed","Ongoing")))</f>
        <v>Completed</v>
      </c>
      <c r="G1678" s="324">
        <v>43491</v>
      </c>
      <c r="H1678" s="324">
        <v>45626</v>
      </c>
      <c r="I1678" s="325">
        <v>44900</v>
      </c>
      <c r="J167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78" s="133">
        <f>_xlfn.XLOOKUP(Market_Data[[#This Row],[Project Type]],tbl_assumptions_market[Project Category (RERA)],tbl_assumptions_market[Concrete Intensity
(m³ / sq m BUA)],"",0)</f>
        <v>0.45</v>
      </c>
      <c r="L1678" s="134">
        <f>ROUND(Market_Data[[#This Row],[Estimated Built Up Area (sq m)]]*Market_Data[[#This Row],[Concrete Intensity
(m³ / sq m)]],0)</f>
        <v>20205</v>
      </c>
      <c r="M1678" s="135">
        <f>_xlfn.XLOOKUP(Market_Data[[#This Row],[District]],tbl_district_price[District],tbl_district_price[Standard Price
(INR/m³)],"",0)</f>
        <v>6200</v>
      </c>
      <c r="N1678" s="364">
        <f>IF(OR(Market_Data[[#This Row],[Estimated Concrete Demand (m³)]]="",Market_Data[[#This Row],[Avg Price per (₹ / m³)]]=""),"",Market_Data[[#This Row],[Estimated Concrete Demand (m³)]]*Market_Data[[#This Row],[Avg Price per (₹ / m³)]]/10000000)</f>
        <v>12.527100000000001</v>
      </c>
      <c r="O1678" s="97" t="str">
        <f>IF(Market_Data[[#This Row],[Estimated Concrete Demand (m³)]]="","",
IF(Market_Data[[#This Row],[Estimated Concrete Demand (m³)]]&lt;10000,"Small",
IF(Market_Data[[#This Row],[Estimated Concrete Demand (m³)]]&lt;25000,"Medium",
IF(Market_Data[[#This Row],[Estimated Concrete Demand (m³)]]&lt;100000,"Large","Mega"))))</f>
        <v>Medium</v>
      </c>
      <c r="P1678" s="287" t="str">
        <f t="shared" si="28"/>
        <v>GujRERA</v>
      </c>
    </row>
    <row r="1679" spans="1:16">
      <c r="A1679" s="129" t="str">
        <f>_xlfn.XLOOKUP(B1679,$S$9:$S$14,$T$9:$T$14)&amp;"-"&amp;
IF(E1679="Residential/Group Housing","RES",
IF(E1679="Commercial","COM",
IF(E1679="Mixed Development","MIX",
IF(E1679="Plotted Development","PLT","OTH"))))
&amp;"-"&amp;TEXT(COUNTIFS($B$9:B1679,B1679,$E$9:E1679,E1679),"0000")</f>
        <v>SUR-RES-0522</v>
      </c>
      <c r="B1679" s="322" t="s">
        <v>34</v>
      </c>
      <c r="C1679" s="322" t="s">
        <v>34</v>
      </c>
      <c r="D1679" s="323" t="s">
        <v>1869</v>
      </c>
      <c r="E1679" s="132" t="s">
        <v>24</v>
      </c>
      <c r="F1679" s="97" t="str">
        <f ca="1">IF(OR(Market_Data[[#This Row],[Start Date]]="",Market_Data[[#This Row],[Completion Date]]=""),"Needs Validation",IF(Market_Data[[#This Row],[Start Date]]&gt;TODAY(),"Planned",IF(Market_Data[[#This Row],[Completion Date]]&lt;TODAY(),"Completed","Ongoing")))</f>
        <v>Ongoing</v>
      </c>
      <c r="G1679" s="324">
        <v>45148</v>
      </c>
      <c r="H1679" s="324">
        <v>46752</v>
      </c>
      <c r="I1679" s="325">
        <v>50100</v>
      </c>
      <c r="J167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79" s="133">
        <f>_xlfn.XLOOKUP(Market_Data[[#This Row],[Project Type]],tbl_assumptions_market[Project Category (RERA)],tbl_assumptions_market[Concrete Intensity
(m³ / sq m BUA)],"",0)</f>
        <v>0.45</v>
      </c>
      <c r="L1679" s="134">
        <f>ROUND(Market_Data[[#This Row],[Estimated Built Up Area (sq m)]]*Market_Data[[#This Row],[Concrete Intensity
(m³ / sq m)]],0)</f>
        <v>22545</v>
      </c>
      <c r="M1679" s="135">
        <f>_xlfn.XLOOKUP(Market_Data[[#This Row],[District]],tbl_district_price[District],tbl_district_price[Standard Price
(INR/m³)],"",0)</f>
        <v>6200</v>
      </c>
      <c r="N1679" s="364">
        <f>IF(OR(Market_Data[[#This Row],[Estimated Concrete Demand (m³)]]="",Market_Data[[#This Row],[Avg Price per (₹ / m³)]]=""),"",Market_Data[[#This Row],[Estimated Concrete Demand (m³)]]*Market_Data[[#This Row],[Avg Price per (₹ / m³)]]/10000000)</f>
        <v>13.9779</v>
      </c>
      <c r="O1679" s="97" t="str">
        <f>IF(Market_Data[[#This Row],[Estimated Concrete Demand (m³)]]="","",
IF(Market_Data[[#This Row],[Estimated Concrete Demand (m³)]]&lt;10000,"Small",
IF(Market_Data[[#This Row],[Estimated Concrete Demand (m³)]]&lt;25000,"Medium",
IF(Market_Data[[#This Row],[Estimated Concrete Demand (m³)]]&lt;100000,"Large","Mega"))))</f>
        <v>Medium</v>
      </c>
      <c r="P1679" s="287" t="str">
        <f t="shared" si="28"/>
        <v>GujRERA</v>
      </c>
    </row>
    <row r="1680" spans="1:16">
      <c r="A1680" s="129" t="str">
        <f>_xlfn.XLOOKUP(B1680,$S$9:$S$14,$T$9:$T$14)&amp;"-"&amp;
IF(E1680="Residential/Group Housing","RES",
IF(E1680="Commercial","COM",
IF(E1680="Mixed Development","MIX",
IF(E1680="Plotted Development","PLT","OTH"))))
&amp;"-"&amp;TEXT(COUNTIFS($B$9:B1680,B1680,$E$9:E1680,E1680),"0000")</f>
        <v>SUR-PLT-0313</v>
      </c>
      <c r="B1680" s="322" t="s">
        <v>34</v>
      </c>
      <c r="C1680" s="322" t="s">
        <v>34</v>
      </c>
      <c r="D1680" s="323" t="s">
        <v>1870</v>
      </c>
      <c r="E1680" s="132" t="s">
        <v>26</v>
      </c>
      <c r="F1680" s="97" t="str">
        <f ca="1">IF(OR(Market_Data[[#This Row],[Start Date]]="",Market_Data[[#This Row],[Completion Date]]=""),"Needs Validation",IF(Market_Data[[#This Row],[Start Date]]&gt;TODAY(),"Planned",IF(Market_Data[[#This Row],[Completion Date]]&lt;TODAY(),"Completed","Ongoing")))</f>
        <v>Completed</v>
      </c>
      <c r="G1680" s="324">
        <v>44372</v>
      </c>
      <c r="H1680" s="324">
        <v>45169</v>
      </c>
      <c r="I1680" s="325">
        <v>38200</v>
      </c>
      <c r="J168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680" s="133">
        <f>_xlfn.XLOOKUP(Market_Data[[#This Row],[Project Type]],tbl_assumptions_market[Project Category (RERA)],tbl_assumptions_market[Concrete Intensity
(m³ / sq m BUA)],"",0)</f>
        <v>0.18</v>
      </c>
      <c r="L1680" s="134">
        <f>ROUND(Market_Data[[#This Row],[Estimated Built Up Area (sq m)]]*Market_Data[[#This Row],[Concrete Intensity
(m³ / sq m)]],0)</f>
        <v>6876</v>
      </c>
      <c r="M1680" s="135">
        <f>_xlfn.XLOOKUP(Market_Data[[#This Row],[District]],tbl_district_price[District],tbl_district_price[Standard Price
(INR/m³)],"",0)</f>
        <v>6200</v>
      </c>
      <c r="N1680" s="364">
        <f>IF(OR(Market_Data[[#This Row],[Estimated Concrete Demand (m³)]]="",Market_Data[[#This Row],[Avg Price per (₹ / m³)]]=""),"",Market_Data[[#This Row],[Estimated Concrete Demand (m³)]]*Market_Data[[#This Row],[Avg Price per (₹ / m³)]]/10000000)</f>
        <v>4.2631199999999998</v>
      </c>
      <c r="O1680" s="97" t="str">
        <f>IF(Market_Data[[#This Row],[Estimated Concrete Demand (m³)]]="","",
IF(Market_Data[[#This Row],[Estimated Concrete Demand (m³)]]&lt;10000,"Small",
IF(Market_Data[[#This Row],[Estimated Concrete Demand (m³)]]&lt;25000,"Medium",
IF(Market_Data[[#This Row],[Estimated Concrete Demand (m³)]]&lt;100000,"Large","Mega"))))</f>
        <v>Small</v>
      </c>
      <c r="P1680" s="287" t="str">
        <f t="shared" si="28"/>
        <v>GujRERA</v>
      </c>
    </row>
    <row r="1681" spans="1:16">
      <c r="A1681" s="129" t="str">
        <f>_xlfn.XLOOKUP(B1681,$S$9:$S$14,$T$9:$T$14)&amp;"-"&amp;
IF(E1681="Residential/Group Housing","RES",
IF(E1681="Commercial","COM",
IF(E1681="Mixed Development","MIX",
IF(E1681="Plotted Development","PLT","OTH"))))
&amp;"-"&amp;TEXT(COUNTIFS($B$9:B1681,B1681,$E$9:E1681,E1681),"0000")</f>
        <v>SUR-RES-0523</v>
      </c>
      <c r="B1681" s="322" t="s">
        <v>34</v>
      </c>
      <c r="C1681" s="322" t="s">
        <v>34</v>
      </c>
      <c r="D1681" s="323" t="s">
        <v>1871</v>
      </c>
      <c r="E1681" s="132" t="s">
        <v>24</v>
      </c>
      <c r="F1681" s="97" t="str">
        <f ca="1">IF(OR(Market_Data[[#This Row],[Start Date]]="",Market_Data[[#This Row],[Completion Date]]=""),"Needs Validation",IF(Market_Data[[#This Row],[Start Date]]&gt;TODAY(),"Planned",IF(Market_Data[[#This Row],[Completion Date]]&lt;TODAY(),"Completed","Ongoing")))</f>
        <v>Ongoing</v>
      </c>
      <c r="G1681" s="324">
        <v>45279</v>
      </c>
      <c r="H1681" s="324">
        <v>47483</v>
      </c>
      <c r="I1681" s="325">
        <v>19000</v>
      </c>
      <c r="J168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81" s="133">
        <f>_xlfn.XLOOKUP(Market_Data[[#This Row],[Project Type]],tbl_assumptions_market[Project Category (RERA)],tbl_assumptions_market[Concrete Intensity
(m³ / sq m BUA)],"",0)</f>
        <v>0.45</v>
      </c>
      <c r="L1681" s="134">
        <f>ROUND(Market_Data[[#This Row],[Estimated Built Up Area (sq m)]]*Market_Data[[#This Row],[Concrete Intensity
(m³ / sq m)]],0)</f>
        <v>8550</v>
      </c>
      <c r="M1681" s="135">
        <f>_xlfn.XLOOKUP(Market_Data[[#This Row],[District]],tbl_district_price[District],tbl_district_price[Standard Price
(INR/m³)],"",0)</f>
        <v>6200</v>
      </c>
      <c r="N1681" s="364">
        <f>IF(OR(Market_Data[[#This Row],[Estimated Concrete Demand (m³)]]="",Market_Data[[#This Row],[Avg Price per (₹ / m³)]]=""),"",Market_Data[[#This Row],[Estimated Concrete Demand (m³)]]*Market_Data[[#This Row],[Avg Price per (₹ / m³)]]/10000000)</f>
        <v>5.3010000000000002</v>
      </c>
      <c r="O1681" s="97" t="str">
        <f>IF(Market_Data[[#This Row],[Estimated Concrete Demand (m³)]]="","",
IF(Market_Data[[#This Row],[Estimated Concrete Demand (m³)]]&lt;10000,"Small",
IF(Market_Data[[#This Row],[Estimated Concrete Demand (m³)]]&lt;25000,"Medium",
IF(Market_Data[[#This Row],[Estimated Concrete Demand (m³)]]&lt;100000,"Large","Mega"))))</f>
        <v>Small</v>
      </c>
      <c r="P1681" s="287" t="str">
        <f t="shared" si="28"/>
        <v>GujRERA</v>
      </c>
    </row>
    <row r="1682" spans="1:16">
      <c r="A1682" s="129" t="str">
        <f>_xlfn.XLOOKUP(B1682,$S$9:$S$14,$T$9:$T$14)&amp;"-"&amp;
IF(E1682="Residential/Group Housing","RES",
IF(E1682="Commercial","COM",
IF(E1682="Mixed Development","MIX",
IF(E1682="Plotted Development","PLT","OTH"))))
&amp;"-"&amp;TEXT(COUNTIFS($B$9:B1682,B1682,$E$9:E1682,E1682),"0000")</f>
        <v>SUR-RES-0524</v>
      </c>
      <c r="B1682" s="322" t="s">
        <v>34</v>
      </c>
      <c r="C1682" s="322" t="s">
        <v>34</v>
      </c>
      <c r="D1682" s="323" t="s">
        <v>1872</v>
      </c>
      <c r="E1682" s="132" t="s">
        <v>24</v>
      </c>
      <c r="F1682" s="97" t="str">
        <f ca="1">IF(OR(Market_Data[[#This Row],[Start Date]]="",Market_Data[[#This Row],[Completion Date]]=""),"Needs Validation",IF(Market_Data[[#This Row],[Start Date]]&gt;TODAY(),"Planned",IF(Market_Data[[#This Row],[Completion Date]]&lt;TODAY(),"Completed","Ongoing")))</f>
        <v>Ongoing</v>
      </c>
      <c r="G1682" s="324">
        <v>45000</v>
      </c>
      <c r="H1682" s="324">
        <v>46387</v>
      </c>
      <c r="I1682" s="325">
        <v>9000</v>
      </c>
      <c r="J168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82" s="133">
        <f>_xlfn.XLOOKUP(Market_Data[[#This Row],[Project Type]],tbl_assumptions_market[Project Category (RERA)],tbl_assumptions_market[Concrete Intensity
(m³ / sq m BUA)],"",0)</f>
        <v>0.45</v>
      </c>
      <c r="L1682" s="134">
        <f>ROUND(Market_Data[[#This Row],[Estimated Built Up Area (sq m)]]*Market_Data[[#This Row],[Concrete Intensity
(m³ / sq m)]],0)</f>
        <v>4050</v>
      </c>
      <c r="M1682" s="135">
        <f>_xlfn.XLOOKUP(Market_Data[[#This Row],[District]],tbl_district_price[District],tbl_district_price[Standard Price
(INR/m³)],"",0)</f>
        <v>6200</v>
      </c>
      <c r="N1682" s="364">
        <f>IF(OR(Market_Data[[#This Row],[Estimated Concrete Demand (m³)]]="",Market_Data[[#This Row],[Avg Price per (₹ / m³)]]=""),"",Market_Data[[#This Row],[Estimated Concrete Demand (m³)]]*Market_Data[[#This Row],[Avg Price per (₹ / m³)]]/10000000)</f>
        <v>2.5110000000000001</v>
      </c>
      <c r="O1682" s="97" t="str">
        <f>IF(Market_Data[[#This Row],[Estimated Concrete Demand (m³)]]="","",
IF(Market_Data[[#This Row],[Estimated Concrete Demand (m³)]]&lt;10000,"Small",
IF(Market_Data[[#This Row],[Estimated Concrete Demand (m³)]]&lt;25000,"Medium",
IF(Market_Data[[#This Row],[Estimated Concrete Demand (m³)]]&lt;100000,"Large","Mega"))))</f>
        <v>Small</v>
      </c>
      <c r="P1682" s="287" t="str">
        <f t="shared" si="28"/>
        <v>GujRERA</v>
      </c>
    </row>
    <row r="1683" spans="1:16">
      <c r="A1683" s="129" t="str">
        <f>_xlfn.XLOOKUP(B1683,$S$9:$S$14,$T$9:$T$14)&amp;"-"&amp;
IF(E1683="Residential/Group Housing","RES",
IF(E1683="Commercial","COM",
IF(E1683="Mixed Development","MIX",
IF(E1683="Plotted Development","PLT","OTH"))))
&amp;"-"&amp;TEXT(COUNTIFS($B$9:B1683,B1683,$E$9:E1683,E1683),"0000")</f>
        <v>SUR-RES-0525</v>
      </c>
      <c r="B1683" s="322" t="s">
        <v>34</v>
      </c>
      <c r="C1683" s="322" t="s">
        <v>34</v>
      </c>
      <c r="D1683" s="323" t="s">
        <v>1873</v>
      </c>
      <c r="E1683" s="132" t="s">
        <v>24</v>
      </c>
      <c r="F1683" s="97" t="str">
        <f ca="1">IF(OR(Market_Data[[#This Row],[Start Date]]="",Market_Data[[#This Row],[Completion Date]]=""),"Needs Validation",IF(Market_Data[[#This Row],[Start Date]]&gt;TODAY(),"Planned",IF(Market_Data[[#This Row],[Completion Date]]&lt;TODAY(),"Completed","Ongoing")))</f>
        <v>Completed</v>
      </c>
      <c r="G1683" s="324">
        <v>43812</v>
      </c>
      <c r="H1683" s="324">
        <v>46203</v>
      </c>
      <c r="I1683" s="325">
        <v>56900</v>
      </c>
      <c r="J168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83" s="133">
        <f>_xlfn.XLOOKUP(Market_Data[[#This Row],[Project Type]],tbl_assumptions_market[Project Category (RERA)],tbl_assumptions_market[Concrete Intensity
(m³ / sq m BUA)],"",0)</f>
        <v>0.45</v>
      </c>
      <c r="L1683" s="134">
        <f>ROUND(Market_Data[[#This Row],[Estimated Built Up Area (sq m)]]*Market_Data[[#This Row],[Concrete Intensity
(m³ / sq m)]],0)</f>
        <v>25605</v>
      </c>
      <c r="M1683" s="135">
        <f>_xlfn.XLOOKUP(Market_Data[[#This Row],[District]],tbl_district_price[District],tbl_district_price[Standard Price
(INR/m³)],"",0)</f>
        <v>6200</v>
      </c>
      <c r="N1683" s="364">
        <f>IF(OR(Market_Data[[#This Row],[Estimated Concrete Demand (m³)]]="",Market_Data[[#This Row],[Avg Price per (₹ / m³)]]=""),"",Market_Data[[#This Row],[Estimated Concrete Demand (m³)]]*Market_Data[[#This Row],[Avg Price per (₹ / m³)]]/10000000)</f>
        <v>15.8751</v>
      </c>
      <c r="O1683" s="97" t="str">
        <f>IF(Market_Data[[#This Row],[Estimated Concrete Demand (m³)]]="","",
IF(Market_Data[[#This Row],[Estimated Concrete Demand (m³)]]&lt;10000,"Small",
IF(Market_Data[[#This Row],[Estimated Concrete Demand (m³)]]&lt;25000,"Medium",
IF(Market_Data[[#This Row],[Estimated Concrete Demand (m³)]]&lt;100000,"Large","Mega"))))</f>
        <v>Large</v>
      </c>
      <c r="P1683" s="287" t="str">
        <f t="shared" si="28"/>
        <v>GujRERA</v>
      </c>
    </row>
    <row r="1684" spans="1:16">
      <c r="A1684" s="129" t="str">
        <f>_xlfn.XLOOKUP(B1684,$S$9:$S$14,$T$9:$T$14)&amp;"-"&amp;
IF(E1684="Residential/Group Housing","RES",
IF(E1684="Commercial","COM",
IF(E1684="Mixed Development","MIX",
IF(E1684="Plotted Development","PLT","OTH"))))
&amp;"-"&amp;TEXT(COUNTIFS($B$9:B1684,B1684,$E$9:E1684,E1684),"0000")</f>
        <v>SUR-RES-0526</v>
      </c>
      <c r="B1684" s="322" t="s">
        <v>34</v>
      </c>
      <c r="C1684" s="322" t="s">
        <v>34</v>
      </c>
      <c r="D1684" s="323" t="s">
        <v>1874</v>
      </c>
      <c r="E1684" s="132" t="s">
        <v>24</v>
      </c>
      <c r="F1684" s="97" t="str">
        <f ca="1">IF(OR(Market_Data[[#This Row],[Start Date]]="",Market_Data[[#This Row],[Completion Date]]=""),"Needs Validation",IF(Market_Data[[#This Row],[Start Date]]&gt;TODAY(),"Planned",IF(Market_Data[[#This Row],[Completion Date]]&lt;TODAY(),"Completed","Ongoing")))</f>
        <v>Completed</v>
      </c>
      <c r="G1684" s="324">
        <v>43283</v>
      </c>
      <c r="H1684" s="324">
        <v>46203</v>
      </c>
      <c r="I1684" s="325">
        <v>7100</v>
      </c>
      <c r="J168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84" s="133">
        <f>_xlfn.XLOOKUP(Market_Data[[#This Row],[Project Type]],tbl_assumptions_market[Project Category (RERA)],tbl_assumptions_market[Concrete Intensity
(m³ / sq m BUA)],"",0)</f>
        <v>0.45</v>
      </c>
      <c r="L1684" s="134">
        <f>ROUND(Market_Data[[#This Row],[Estimated Built Up Area (sq m)]]*Market_Data[[#This Row],[Concrete Intensity
(m³ / sq m)]],0)</f>
        <v>3195</v>
      </c>
      <c r="M1684" s="135">
        <f>_xlfn.XLOOKUP(Market_Data[[#This Row],[District]],tbl_district_price[District],tbl_district_price[Standard Price
(INR/m³)],"",0)</f>
        <v>6200</v>
      </c>
      <c r="N1684" s="364">
        <f>IF(OR(Market_Data[[#This Row],[Estimated Concrete Demand (m³)]]="",Market_Data[[#This Row],[Avg Price per (₹ / m³)]]=""),"",Market_Data[[#This Row],[Estimated Concrete Demand (m³)]]*Market_Data[[#This Row],[Avg Price per (₹ / m³)]]/10000000)</f>
        <v>1.9809000000000001</v>
      </c>
      <c r="O1684" s="97" t="str">
        <f>IF(Market_Data[[#This Row],[Estimated Concrete Demand (m³)]]="","",
IF(Market_Data[[#This Row],[Estimated Concrete Demand (m³)]]&lt;10000,"Small",
IF(Market_Data[[#This Row],[Estimated Concrete Demand (m³)]]&lt;25000,"Medium",
IF(Market_Data[[#This Row],[Estimated Concrete Demand (m³)]]&lt;100000,"Large","Mega"))))</f>
        <v>Small</v>
      </c>
      <c r="P1684" s="287" t="str">
        <f t="shared" si="28"/>
        <v>GujRERA</v>
      </c>
    </row>
    <row r="1685" spans="1:16">
      <c r="A1685" s="129" t="str">
        <f>_xlfn.XLOOKUP(B1685,$S$9:$S$14,$T$9:$T$14)&amp;"-"&amp;
IF(E1685="Residential/Group Housing","RES",
IF(E1685="Commercial","COM",
IF(E1685="Mixed Development","MIX",
IF(E1685="Plotted Development","PLT","OTH"))))
&amp;"-"&amp;TEXT(COUNTIFS($B$9:B1685,B1685,$E$9:E1685,E1685),"0000")</f>
        <v>SUR-RES-0527</v>
      </c>
      <c r="B1685" s="322" t="s">
        <v>34</v>
      </c>
      <c r="C1685" s="322" t="s">
        <v>34</v>
      </c>
      <c r="D1685" s="323" t="s">
        <v>1875</v>
      </c>
      <c r="E1685" s="132" t="s">
        <v>24</v>
      </c>
      <c r="F1685" s="97" t="str">
        <f ca="1">IF(OR(Market_Data[[#This Row],[Start Date]]="",Market_Data[[#This Row],[Completion Date]]=""),"Needs Validation",IF(Market_Data[[#This Row],[Start Date]]&gt;TODAY(),"Planned",IF(Market_Data[[#This Row],[Completion Date]]&lt;TODAY(),"Completed","Ongoing")))</f>
        <v>Completed</v>
      </c>
      <c r="G1685" s="324">
        <v>42004</v>
      </c>
      <c r="H1685" s="324">
        <v>44377</v>
      </c>
      <c r="I1685" s="325">
        <v>29000</v>
      </c>
      <c r="J168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85" s="133">
        <f>_xlfn.XLOOKUP(Market_Data[[#This Row],[Project Type]],tbl_assumptions_market[Project Category (RERA)],tbl_assumptions_market[Concrete Intensity
(m³ / sq m BUA)],"",0)</f>
        <v>0.45</v>
      </c>
      <c r="L1685" s="134">
        <f>ROUND(Market_Data[[#This Row],[Estimated Built Up Area (sq m)]]*Market_Data[[#This Row],[Concrete Intensity
(m³ / sq m)]],0)</f>
        <v>13050</v>
      </c>
      <c r="M1685" s="135">
        <f>_xlfn.XLOOKUP(Market_Data[[#This Row],[District]],tbl_district_price[District],tbl_district_price[Standard Price
(INR/m³)],"",0)</f>
        <v>6200</v>
      </c>
      <c r="N1685" s="364">
        <f>IF(OR(Market_Data[[#This Row],[Estimated Concrete Demand (m³)]]="",Market_Data[[#This Row],[Avg Price per (₹ / m³)]]=""),"",Market_Data[[#This Row],[Estimated Concrete Demand (m³)]]*Market_Data[[#This Row],[Avg Price per (₹ / m³)]]/10000000)</f>
        <v>8.0909999999999993</v>
      </c>
      <c r="O1685" s="97" t="str">
        <f>IF(Market_Data[[#This Row],[Estimated Concrete Demand (m³)]]="","",
IF(Market_Data[[#This Row],[Estimated Concrete Demand (m³)]]&lt;10000,"Small",
IF(Market_Data[[#This Row],[Estimated Concrete Demand (m³)]]&lt;25000,"Medium",
IF(Market_Data[[#This Row],[Estimated Concrete Demand (m³)]]&lt;100000,"Large","Mega"))))</f>
        <v>Medium</v>
      </c>
      <c r="P1685" s="287" t="str">
        <f t="shared" si="28"/>
        <v>GujRERA</v>
      </c>
    </row>
    <row r="1686" spans="1:16">
      <c r="A1686" s="129" t="str">
        <f>_xlfn.XLOOKUP(B1686,$S$9:$S$14,$T$9:$T$14)&amp;"-"&amp;
IF(E1686="Residential/Group Housing","RES",
IF(E1686="Commercial","COM",
IF(E1686="Mixed Development","MIX",
IF(E1686="Plotted Development","PLT","OTH"))))
&amp;"-"&amp;TEXT(COUNTIFS($B$9:B1686,B1686,$E$9:E1686,E1686),"0000")</f>
        <v>SUR-RES-0528</v>
      </c>
      <c r="B1686" s="322" t="s">
        <v>34</v>
      </c>
      <c r="C1686" s="322" t="s">
        <v>34</v>
      </c>
      <c r="D1686" s="323" t="s">
        <v>1876</v>
      </c>
      <c r="E1686" s="132" t="s">
        <v>24</v>
      </c>
      <c r="F1686" s="97" t="str">
        <f ca="1">IF(OR(Market_Data[[#This Row],[Start Date]]="",Market_Data[[#This Row],[Completion Date]]=""),"Needs Validation",IF(Market_Data[[#This Row],[Start Date]]&gt;TODAY(),"Planned",IF(Market_Data[[#This Row],[Completion Date]]&lt;TODAY(),"Completed","Ongoing")))</f>
        <v>Ongoing</v>
      </c>
      <c r="G1686" s="324">
        <v>44837</v>
      </c>
      <c r="H1686" s="324">
        <v>46752</v>
      </c>
      <c r="I1686" s="325">
        <v>33700</v>
      </c>
      <c r="J168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86" s="133">
        <f>_xlfn.XLOOKUP(Market_Data[[#This Row],[Project Type]],tbl_assumptions_market[Project Category (RERA)],tbl_assumptions_market[Concrete Intensity
(m³ / sq m BUA)],"",0)</f>
        <v>0.45</v>
      </c>
      <c r="L1686" s="134">
        <f>ROUND(Market_Data[[#This Row],[Estimated Built Up Area (sq m)]]*Market_Data[[#This Row],[Concrete Intensity
(m³ / sq m)]],0)</f>
        <v>15165</v>
      </c>
      <c r="M1686" s="135">
        <f>_xlfn.XLOOKUP(Market_Data[[#This Row],[District]],tbl_district_price[District],tbl_district_price[Standard Price
(INR/m³)],"",0)</f>
        <v>6200</v>
      </c>
      <c r="N1686" s="364">
        <f>IF(OR(Market_Data[[#This Row],[Estimated Concrete Demand (m³)]]="",Market_Data[[#This Row],[Avg Price per (₹ / m³)]]=""),"",Market_Data[[#This Row],[Estimated Concrete Demand (m³)]]*Market_Data[[#This Row],[Avg Price per (₹ / m³)]]/10000000)</f>
        <v>9.4023000000000003</v>
      </c>
      <c r="O1686" s="97" t="str">
        <f>IF(Market_Data[[#This Row],[Estimated Concrete Demand (m³)]]="","",
IF(Market_Data[[#This Row],[Estimated Concrete Demand (m³)]]&lt;10000,"Small",
IF(Market_Data[[#This Row],[Estimated Concrete Demand (m³)]]&lt;25000,"Medium",
IF(Market_Data[[#This Row],[Estimated Concrete Demand (m³)]]&lt;100000,"Large","Mega"))))</f>
        <v>Medium</v>
      </c>
      <c r="P1686" s="287" t="str">
        <f t="shared" si="28"/>
        <v>GujRERA</v>
      </c>
    </row>
    <row r="1687" spans="1:16">
      <c r="A1687" s="129" t="str">
        <f>_xlfn.XLOOKUP(B1687,$S$9:$S$14,$T$9:$T$14)&amp;"-"&amp;
IF(E1687="Residential/Group Housing","RES",
IF(E1687="Commercial","COM",
IF(E1687="Mixed Development","MIX",
IF(E1687="Plotted Development","PLT","OTH"))))
&amp;"-"&amp;TEXT(COUNTIFS($B$9:B1687,B1687,$E$9:E1687,E1687),"0000")</f>
        <v>SUR-RES-0529</v>
      </c>
      <c r="B1687" s="322" t="s">
        <v>34</v>
      </c>
      <c r="C1687" s="322" t="s">
        <v>34</v>
      </c>
      <c r="D1687" s="323" t="s">
        <v>1877</v>
      </c>
      <c r="E1687" s="132" t="s">
        <v>24</v>
      </c>
      <c r="F1687" s="97" t="str">
        <f ca="1">IF(OR(Market_Data[[#This Row],[Start Date]]="",Market_Data[[#This Row],[Completion Date]]=""),"Needs Validation",IF(Market_Data[[#This Row],[Start Date]]&gt;TODAY(),"Planned",IF(Market_Data[[#This Row],[Completion Date]]&lt;TODAY(),"Completed","Ongoing")))</f>
        <v>Ongoing</v>
      </c>
      <c r="G1687" s="324">
        <v>45321</v>
      </c>
      <c r="H1687" s="324">
        <v>47118</v>
      </c>
      <c r="I1687" s="325">
        <v>46900</v>
      </c>
      <c r="J168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87" s="133">
        <f>_xlfn.XLOOKUP(Market_Data[[#This Row],[Project Type]],tbl_assumptions_market[Project Category (RERA)],tbl_assumptions_market[Concrete Intensity
(m³ / sq m BUA)],"",0)</f>
        <v>0.45</v>
      </c>
      <c r="L1687" s="134">
        <f>ROUND(Market_Data[[#This Row],[Estimated Built Up Area (sq m)]]*Market_Data[[#This Row],[Concrete Intensity
(m³ / sq m)]],0)</f>
        <v>21105</v>
      </c>
      <c r="M1687" s="135">
        <f>_xlfn.XLOOKUP(Market_Data[[#This Row],[District]],tbl_district_price[District],tbl_district_price[Standard Price
(INR/m³)],"",0)</f>
        <v>6200</v>
      </c>
      <c r="N1687" s="364">
        <f>IF(OR(Market_Data[[#This Row],[Estimated Concrete Demand (m³)]]="",Market_Data[[#This Row],[Avg Price per (₹ / m³)]]=""),"",Market_Data[[#This Row],[Estimated Concrete Demand (m³)]]*Market_Data[[#This Row],[Avg Price per (₹ / m³)]]/10000000)</f>
        <v>13.085100000000001</v>
      </c>
      <c r="O1687" s="97" t="str">
        <f>IF(Market_Data[[#This Row],[Estimated Concrete Demand (m³)]]="","",
IF(Market_Data[[#This Row],[Estimated Concrete Demand (m³)]]&lt;10000,"Small",
IF(Market_Data[[#This Row],[Estimated Concrete Demand (m³)]]&lt;25000,"Medium",
IF(Market_Data[[#This Row],[Estimated Concrete Demand (m³)]]&lt;100000,"Large","Mega"))))</f>
        <v>Medium</v>
      </c>
      <c r="P1687" s="287" t="str">
        <f t="shared" si="28"/>
        <v>GujRERA</v>
      </c>
    </row>
    <row r="1688" spans="1:16">
      <c r="A1688" s="129" t="str">
        <f>_xlfn.XLOOKUP(B1688,$S$9:$S$14,$T$9:$T$14)&amp;"-"&amp;
IF(E1688="Residential/Group Housing","RES",
IF(E1688="Commercial","COM",
IF(E1688="Mixed Development","MIX",
IF(E1688="Plotted Development","PLT","OTH"))))
&amp;"-"&amp;TEXT(COUNTIFS($B$9:B1688,B1688,$E$9:E1688,E1688),"0000")</f>
        <v>SUR-RES-0530</v>
      </c>
      <c r="B1688" s="322" t="s">
        <v>34</v>
      </c>
      <c r="C1688" s="322" t="s">
        <v>34</v>
      </c>
      <c r="D1688" s="323" t="s">
        <v>1878</v>
      </c>
      <c r="E1688" s="132" t="s">
        <v>24</v>
      </c>
      <c r="F1688" s="97" t="str">
        <f ca="1">IF(OR(Market_Data[[#This Row],[Start Date]]="",Market_Data[[#This Row],[Completion Date]]=""),"Needs Validation",IF(Market_Data[[#This Row],[Start Date]]&gt;TODAY(),"Planned",IF(Market_Data[[#This Row],[Completion Date]]&lt;TODAY(),"Completed","Ongoing")))</f>
        <v>Ongoing</v>
      </c>
      <c r="G1688" s="324">
        <v>45321</v>
      </c>
      <c r="H1688" s="324">
        <v>47118</v>
      </c>
      <c r="I1688" s="325">
        <v>47300</v>
      </c>
      <c r="J168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88" s="133">
        <f>_xlfn.XLOOKUP(Market_Data[[#This Row],[Project Type]],tbl_assumptions_market[Project Category (RERA)],tbl_assumptions_market[Concrete Intensity
(m³ / sq m BUA)],"",0)</f>
        <v>0.45</v>
      </c>
      <c r="L1688" s="134">
        <f>ROUND(Market_Data[[#This Row],[Estimated Built Up Area (sq m)]]*Market_Data[[#This Row],[Concrete Intensity
(m³ / sq m)]],0)</f>
        <v>21285</v>
      </c>
      <c r="M1688" s="135">
        <f>_xlfn.XLOOKUP(Market_Data[[#This Row],[District]],tbl_district_price[District],tbl_district_price[Standard Price
(INR/m³)],"",0)</f>
        <v>6200</v>
      </c>
      <c r="N1688" s="364">
        <f>IF(OR(Market_Data[[#This Row],[Estimated Concrete Demand (m³)]]="",Market_Data[[#This Row],[Avg Price per (₹ / m³)]]=""),"",Market_Data[[#This Row],[Estimated Concrete Demand (m³)]]*Market_Data[[#This Row],[Avg Price per (₹ / m³)]]/10000000)</f>
        <v>13.1967</v>
      </c>
      <c r="O1688" s="97" t="str">
        <f>IF(Market_Data[[#This Row],[Estimated Concrete Demand (m³)]]="","",
IF(Market_Data[[#This Row],[Estimated Concrete Demand (m³)]]&lt;10000,"Small",
IF(Market_Data[[#This Row],[Estimated Concrete Demand (m³)]]&lt;25000,"Medium",
IF(Market_Data[[#This Row],[Estimated Concrete Demand (m³)]]&lt;100000,"Large","Mega"))))</f>
        <v>Medium</v>
      </c>
      <c r="P1688" s="287" t="str">
        <f t="shared" si="28"/>
        <v>GujRERA</v>
      </c>
    </row>
    <row r="1689" spans="1:16">
      <c r="A1689" s="129" t="str">
        <f>_xlfn.XLOOKUP(B1689,$S$9:$S$14,$T$9:$T$14)&amp;"-"&amp;
IF(E1689="Residential/Group Housing","RES",
IF(E1689="Commercial","COM",
IF(E1689="Mixed Development","MIX",
IF(E1689="Plotted Development","PLT","OTH"))))
&amp;"-"&amp;TEXT(COUNTIFS($B$9:B1689,B1689,$E$9:E1689,E1689),"0000")</f>
        <v>SUR-MIX-0251</v>
      </c>
      <c r="B1689" s="322" t="s">
        <v>34</v>
      </c>
      <c r="C1689" s="322" t="s">
        <v>34</v>
      </c>
      <c r="D1689" s="323" t="s">
        <v>1879</v>
      </c>
      <c r="E1689" s="132" t="s">
        <v>25</v>
      </c>
      <c r="F1689" s="97" t="str">
        <f ca="1">IF(OR(Market_Data[[#This Row],[Start Date]]="",Market_Data[[#This Row],[Completion Date]]=""),"Needs Validation",IF(Market_Data[[#This Row],[Start Date]]&gt;TODAY(),"Planned",IF(Market_Data[[#This Row],[Completion Date]]&lt;TODAY(),"Completed","Ongoing")))</f>
        <v>Completed</v>
      </c>
      <c r="G1689" s="324">
        <v>42145</v>
      </c>
      <c r="H1689" s="324">
        <v>44286</v>
      </c>
      <c r="I1689" s="325">
        <v>29200</v>
      </c>
      <c r="J168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89" s="133">
        <f>_xlfn.XLOOKUP(Market_Data[[#This Row],[Project Type]],tbl_assumptions_market[Project Category (RERA)],tbl_assumptions_market[Concrete Intensity
(m³ / sq m BUA)],"",0)</f>
        <v>0.42</v>
      </c>
      <c r="L1689" s="134">
        <f>ROUND(Market_Data[[#This Row],[Estimated Built Up Area (sq m)]]*Market_Data[[#This Row],[Concrete Intensity
(m³ / sq m)]],0)</f>
        <v>12264</v>
      </c>
      <c r="M1689" s="135">
        <f>_xlfn.XLOOKUP(Market_Data[[#This Row],[District]],tbl_district_price[District],tbl_district_price[Standard Price
(INR/m³)],"",0)</f>
        <v>6200</v>
      </c>
      <c r="N1689" s="364">
        <f>IF(OR(Market_Data[[#This Row],[Estimated Concrete Demand (m³)]]="",Market_Data[[#This Row],[Avg Price per (₹ / m³)]]=""),"",Market_Data[[#This Row],[Estimated Concrete Demand (m³)]]*Market_Data[[#This Row],[Avg Price per (₹ / m³)]]/10000000)</f>
        <v>7.6036799999999998</v>
      </c>
      <c r="O1689" s="97" t="str">
        <f>IF(Market_Data[[#This Row],[Estimated Concrete Demand (m³)]]="","",
IF(Market_Data[[#This Row],[Estimated Concrete Demand (m³)]]&lt;10000,"Small",
IF(Market_Data[[#This Row],[Estimated Concrete Demand (m³)]]&lt;25000,"Medium",
IF(Market_Data[[#This Row],[Estimated Concrete Demand (m³)]]&lt;100000,"Large","Mega"))))</f>
        <v>Medium</v>
      </c>
      <c r="P1689" s="287" t="str">
        <f t="shared" si="28"/>
        <v>GujRERA</v>
      </c>
    </row>
    <row r="1690" spans="1:16">
      <c r="A1690" s="129" t="str">
        <f>_xlfn.XLOOKUP(B1690,$S$9:$S$14,$T$9:$T$14)&amp;"-"&amp;
IF(E1690="Residential/Group Housing","RES",
IF(E1690="Commercial","COM",
IF(E1690="Mixed Development","MIX",
IF(E1690="Plotted Development","PLT","OTH"))))
&amp;"-"&amp;TEXT(COUNTIFS($B$9:B1690,B1690,$E$9:E1690,E1690),"0000")</f>
        <v>SUR-PLT-0314</v>
      </c>
      <c r="B1690" s="322" t="s">
        <v>34</v>
      </c>
      <c r="C1690" s="322" t="s">
        <v>34</v>
      </c>
      <c r="D1690" s="323" t="s">
        <v>1880</v>
      </c>
      <c r="E1690" s="132" t="s">
        <v>26</v>
      </c>
      <c r="F1690" s="97" t="str">
        <f ca="1">IF(OR(Market_Data[[#This Row],[Start Date]]="",Market_Data[[#This Row],[Completion Date]]=""),"Needs Validation",IF(Market_Data[[#This Row],[Start Date]]&gt;TODAY(),"Planned",IF(Market_Data[[#This Row],[Completion Date]]&lt;TODAY(),"Completed","Ongoing")))</f>
        <v>Completed</v>
      </c>
      <c r="G1690" s="324">
        <v>44870</v>
      </c>
      <c r="H1690" s="324">
        <v>45657</v>
      </c>
      <c r="I1690" s="325">
        <v>55200</v>
      </c>
      <c r="J169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690" s="133">
        <f>_xlfn.XLOOKUP(Market_Data[[#This Row],[Project Type]],tbl_assumptions_market[Project Category (RERA)],tbl_assumptions_market[Concrete Intensity
(m³ / sq m BUA)],"",0)</f>
        <v>0.18</v>
      </c>
      <c r="L1690" s="134">
        <f>ROUND(Market_Data[[#This Row],[Estimated Built Up Area (sq m)]]*Market_Data[[#This Row],[Concrete Intensity
(m³ / sq m)]],0)</f>
        <v>9936</v>
      </c>
      <c r="M1690" s="135">
        <f>_xlfn.XLOOKUP(Market_Data[[#This Row],[District]],tbl_district_price[District],tbl_district_price[Standard Price
(INR/m³)],"",0)</f>
        <v>6200</v>
      </c>
      <c r="N1690" s="364">
        <f>IF(OR(Market_Data[[#This Row],[Estimated Concrete Demand (m³)]]="",Market_Data[[#This Row],[Avg Price per (₹ / m³)]]=""),"",Market_Data[[#This Row],[Estimated Concrete Demand (m³)]]*Market_Data[[#This Row],[Avg Price per (₹ / m³)]]/10000000)</f>
        <v>6.1603199999999996</v>
      </c>
      <c r="O1690" s="97" t="str">
        <f>IF(Market_Data[[#This Row],[Estimated Concrete Demand (m³)]]="","",
IF(Market_Data[[#This Row],[Estimated Concrete Demand (m³)]]&lt;10000,"Small",
IF(Market_Data[[#This Row],[Estimated Concrete Demand (m³)]]&lt;25000,"Medium",
IF(Market_Data[[#This Row],[Estimated Concrete Demand (m³)]]&lt;100000,"Large","Mega"))))</f>
        <v>Small</v>
      </c>
      <c r="P1690" s="287" t="str">
        <f t="shared" si="28"/>
        <v>GujRERA</v>
      </c>
    </row>
    <row r="1691" spans="1:16">
      <c r="A1691" s="129" t="str">
        <f>_xlfn.XLOOKUP(B1691,$S$9:$S$14,$T$9:$T$14)&amp;"-"&amp;
IF(E1691="Residential/Group Housing","RES",
IF(E1691="Commercial","COM",
IF(E1691="Mixed Development","MIX",
IF(E1691="Plotted Development","PLT","OTH"))))
&amp;"-"&amp;TEXT(COUNTIFS($B$9:B1691,B1691,$E$9:E1691,E1691),"0000")</f>
        <v>SUR-COM-0278</v>
      </c>
      <c r="B1691" s="322" t="s">
        <v>34</v>
      </c>
      <c r="C1691" s="322" t="s">
        <v>34</v>
      </c>
      <c r="D1691" s="323" t="s">
        <v>1881</v>
      </c>
      <c r="E1691" s="132" t="s">
        <v>23</v>
      </c>
      <c r="F1691" s="97" t="str">
        <f ca="1">IF(OR(Market_Data[[#This Row],[Start Date]]="",Market_Data[[#This Row],[Completion Date]]=""),"Needs Validation",IF(Market_Data[[#This Row],[Start Date]]&gt;TODAY(),"Planned",IF(Market_Data[[#This Row],[Completion Date]]&lt;TODAY(),"Completed","Ongoing")))</f>
        <v>Ongoing</v>
      </c>
      <c r="G1691" s="324">
        <v>45533</v>
      </c>
      <c r="H1691" s="324">
        <v>46477</v>
      </c>
      <c r="I1691" s="325">
        <v>14200</v>
      </c>
      <c r="J169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91" s="133">
        <f>_xlfn.XLOOKUP(Market_Data[[#This Row],[Project Type]],tbl_assumptions_market[Project Category (RERA)],tbl_assumptions_market[Concrete Intensity
(m³ / sq m BUA)],"",0)</f>
        <v>0.5</v>
      </c>
      <c r="L1691" s="134">
        <f>ROUND(Market_Data[[#This Row],[Estimated Built Up Area (sq m)]]*Market_Data[[#This Row],[Concrete Intensity
(m³ / sq m)]],0)</f>
        <v>7100</v>
      </c>
      <c r="M1691" s="135">
        <f>_xlfn.XLOOKUP(Market_Data[[#This Row],[District]],tbl_district_price[District],tbl_district_price[Standard Price
(INR/m³)],"",0)</f>
        <v>6200</v>
      </c>
      <c r="N1691" s="364">
        <f>IF(OR(Market_Data[[#This Row],[Estimated Concrete Demand (m³)]]="",Market_Data[[#This Row],[Avg Price per (₹ / m³)]]=""),"",Market_Data[[#This Row],[Estimated Concrete Demand (m³)]]*Market_Data[[#This Row],[Avg Price per (₹ / m³)]]/10000000)</f>
        <v>4.4020000000000001</v>
      </c>
      <c r="O1691" s="97" t="str">
        <f>IF(Market_Data[[#This Row],[Estimated Concrete Demand (m³)]]="","",
IF(Market_Data[[#This Row],[Estimated Concrete Demand (m³)]]&lt;10000,"Small",
IF(Market_Data[[#This Row],[Estimated Concrete Demand (m³)]]&lt;25000,"Medium",
IF(Market_Data[[#This Row],[Estimated Concrete Demand (m³)]]&lt;100000,"Large","Mega"))))</f>
        <v>Small</v>
      </c>
      <c r="P1691" s="287" t="str">
        <f t="shared" si="28"/>
        <v>GujRERA</v>
      </c>
    </row>
    <row r="1692" spans="1:16">
      <c r="A1692" s="129" t="str">
        <f>_xlfn.XLOOKUP(B1692,$S$9:$S$14,$T$9:$T$14)&amp;"-"&amp;
IF(E1692="Residential/Group Housing","RES",
IF(E1692="Commercial","COM",
IF(E1692="Mixed Development","MIX",
IF(E1692="Plotted Development","PLT","OTH"))))
&amp;"-"&amp;TEXT(COUNTIFS($B$9:B1692,B1692,$E$9:E1692,E1692),"0000")</f>
        <v>SUR-MIX-0252</v>
      </c>
      <c r="B1692" s="322" t="s">
        <v>34</v>
      </c>
      <c r="C1692" s="322" t="s">
        <v>34</v>
      </c>
      <c r="D1692" s="323" t="s">
        <v>1882</v>
      </c>
      <c r="E1692" s="132" t="s">
        <v>25</v>
      </c>
      <c r="F1692" s="97" t="str">
        <f ca="1">IF(OR(Market_Data[[#This Row],[Start Date]]="",Market_Data[[#This Row],[Completion Date]]=""),"Needs Validation",IF(Market_Data[[#This Row],[Start Date]]&gt;TODAY(),"Planned",IF(Market_Data[[#This Row],[Completion Date]]&lt;TODAY(),"Completed","Ongoing")))</f>
        <v>Completed</v>
      </c>
      <c r="G1692" s="324">
        <v>43862</v>
      </c>
      <c r="H1692" s="324">
        <v>45897</v>
      </c>
      <c r="I1692" s="325">
        <v>31500</v>
      </c>
      <c r="J169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92" s="133">
        <f>_xlfn.XLOOKUP(Market_Data[[#This Row],[Project Type]],tbl_assumptions_market[Project Category (RERA)],tbl_assumptions_market[Concrete Intensity
(m³ / sq m BUA)],"",0)</f>
        <v>0.42</v>
      </c>
      <c r="L1692" s="134">
        <f>ROUND(Market_Data[[#This Row],[Estimated Built Up Area (sq m)]]*Market_Data[[#This Row],[Concrete Intensity
(m³ / sq m)]],0)</f>
        <v>13230</v>
      </c>
      <c r="M1692" s="135">
        <f>_xlfn.XLOOKUP(Market_Data[[#This Row],[District]],tbl_district_price[District],tbl_district_price[Standard Price
(INR/m³)],"",0)</f>
        <v>6200</v>
      </c>
      <c r="N1692" s="364">
        <f>IF(OR(Market_Data[[#This Row],[Estimated Concrete Demand (m³)]]="",Market_Data[[#This Row],[Avg Price per (₹ / m³)]]=""),"",Market_Data[[#This Row],[Estimated Concrete Demand (m³)]]*Market_Data[[#This Row],[Avg Price per (₹ / m³)]]/10000000)</f>
        <v>8.2026000000000003</v>
      </c>
      <c r="O1692" s="97" t="str">
        <f>IF(Market_Data[[#This Row],[Estimated Concrete Demand (m³)]]="","",
IF(Market_Data[[#This Row],[Estimated Concrete Demand (m³)]]&lt;10000,"Small",
IF(Market_Data[[#This Row],[Estimated Concrete Demand (m³)]]&lt;25000,"Medium",
IF(Market_Data[[#This Row],[Estimated Concrete Demand (m³)]]&lt;100000,"Large","Mega"))))</f>
        <v>Medium</v>
      </c>
      <c r="P1692" s="287" t="str">
        <f t="shared" si="28"/>
        <v>GujRERA</v>
      </c>
    </row>
    <row r="1693" spans="1:16">
      <c r="A1693" s="129" t="str">
        <f>_xlfn.XLOOKUP(B1693,$S$9:$S$14,$T$9:$T$14)&amp;"-"&amp;
IF(E1693="Residential/Group Housing","RES",
IF(E1693="Commercial","COM",
IF(E1693="Mixed Development","MIX",
IF(E1693="Plotted Development","PLT","OTH"))))
&amp;"-"&amp;TEXT(COUNTIFS($B$9:B1693,B1693,$E$9:E1693,E1693),"0000")</f>
        <v>SUR-RES-0531</v>
      </c>
      <c r="B1693" s="322" t="s">
        <v>34</v>
      </c>
      <c r="C1693" s="322" t="s">
        <v>34</v>
      </c>
      <c r="D1693" s="323" t="s">
        <v>1883</v>
      </c>
      <c r="E1693" s="132" t="s">
        <v>24</v>
      </c>
      <c r="F1693" s="97" t="str">
        <f ca="1">IF(OR(Market_Data[[#This Row],[Start Date]]="",Market_Data[[#This Row],[Completion Date]]=""),"Needs Validation",IF(Market_Data[[#This Row],[Start Date]]&gt;TODAY(),"Planned",IF(Market_Data[[#This Row],[Completion Date]]&lt;TODAY(),"Completed","Ongoing")))</f>
        <v>Ongoing</v>
      </c>
      <c r="G1693" s="324">
        <v>45853</v>
      </c>
      <c r="H1693" s="324">
        <v>48304</v>
      </c>
      <c r="I1693" s="325">
        <v>52000</v>
      </c>
      <c r="J169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93" s="133">
        <f>_xlfn.XLOOKUP(Market_Data[[#This Row],[Project Type]],tbl_assumptions_market[Project Category (RERA)],tbl_assumptions_market[Concrete Intensity
(m³ / sq m BUA)],"",0)</f>
        <v>0.45</v>
      </c>
      <c r="L1693" s="134">
        <f>ROUND(Market_Data[[#This Row],[Estimated Built Up Area (sq m)]]*Market_Data[[#This Row],[Concrete Intensity
(m³ / sq m)]],0)</f>
        <v>23400</v>
      </c>
      <c r="M1693" s="135">
        <f>_xlfn.XLOOKUP(Market_Data[[#This Row],[District]],tbl_district_price[District],tbl_district_price[Standard Price
(INR/m³)],"",0)</f>
        <v>6200</v>
      </c>
      <c r="N1693" s="364">
        <f>IF(OR(Market_Data[[#This Row],[Estimated Concrete Demand (m³)]]="",Market_Data[[#This Row],[Avg Price per (₹ / m³)]]=""),"",Market_Data[[#This Row],[Estimated Concrete Demand (m³)]]*Market_Data[[#This Row],[Avg Price per (₹ / m³)]]/10000000)</f>
        <v>14.507999999999999</v>
      </c>
      <c r="O1693" s="97" t="str">
        <f>IF(Market_Data[[#This Row],[Estimated Concrete Demand (m³)]]="","",
IF(Market_Data[[#This Row],[Estimated Concrete Demand (m³)]]&lt;10000,"Small",
IF(Market_Data[[#This Row],[Estimated Concrete Demand (m³)]]&lt;25000,"Medium",
IF(Market_Data[[#This Row],[Estimated Concrete Demand (m³)]]&lt;100000,"Large","Mega"))))</f>
        <v>Medium</v>
      </c>
      <c r="P1693" s="287" t="str">
        <f t="shared" si="28"/>
        <v>GujRERA</v>
      </c>
    </row>
    <row r="1694" spans="1:16">
      <c r="A1694" s="129" t="str">
        <f>_xlfn.XLOOKUP(B1694,$S$9:$S$14,$T$9:$T$14)&amp;"-"&amp;
IF(E1694="Residential/Group Housing","RES",
IF(E1694="Commercial","COM",
IF(E1694="Mixed Development","MIX",
IF(E1694="Plotted Development","PLT","OTH"))))
&amp;"-"&amp;TEXT(COUNTIFS($B$9:B1694,B1694,$E$9:E1694,E1694),"0000")</f>
        <v>SUR-COM-0279</v>
      </c>
      <c r="B1694" s="322" t="s">
        <v>34</v>
      </c>
      <c r="C1694" s="322" t="s">
        <v>34</v>
      </c>
      <c r="D1694" s="323" t="s">
        <v>1884</v>
      </c>
      <c r="E1694" s="132" t="s">
        <v>23</v>
      </c>
      <c r="F1694" s="97" t="str">
        <f ca="1">IF(OR(Market_Data[[#This Row],[Start Date]]="",Market_Data[[#This Row],[Completion Date]]=""),"Needs Validation",IF(Market_Data[[#This Row],[Start Date]]&gt;TODAY(),"Planned",IF(Market_Data[[#This Row],[Completion Date]]&lt;TODAY(),"Completed","Ongoing")))</f>
        <v>Ongoing</v>
      </c>
      <c r="G1694" s="324">
        <v>46027</v>
      </c>
      <c r="H1694" s="324">
        <v>47848</v>
      </c>
      <c r="I1694" s="325">
        <v>18200</v>
      </c>
      <c r="J169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94" s="133">
        <f>_xlfn.XLOOKUP(Market_Data[[#This Row],[Project Type]],tbl_assumptions_market[Project Category (RERA)],tbl_assumptions_market[Concrete Intensity
(m³ / sq m BUA)],"",0)</f>
        <v>0.5</v>
      </c>
      <c r="L1694" s="134">
        <f>ROUND(Market_Data[[#This Row],[Estimated Built Up Area (sq m)]]*Market_Data[[#This Row],[Concrete Intensity
(m³ / sq m)]],0)</f>
        <v>9100</v>
      </c>
      <c r="M1694" s="135">
        <f>_xlfn.XLOOKUP(Market_Data[[#This Row],[District]],tbl_district_price[District],tbl_district_price[Standard Price
(INR/m³)],"",0)</f>
        <v>6200</v>
      </c>
      <c r="N1694" s="364">
        <f>IF(OR(Market_Data[[#This Row],[Estimated Concrete Demand (m³)]]="",Market_Data[[#This Row],[Avg Price per (₹ / m³)]]=""),"",Market_Data[[#This Row],[Estimated Concrete Demand (m³)]]*Market_Data[[#This Row],[Avg Price per (₹ / m³)]]/10000000)</f>
        <v>5.6420000000000003</v>
      </c>
      <c r="O1694" s="97" t="str">
        <f>IF(Market_Data[[#This Row],[Estimated Concrete Demand (m³)]]="","",
IF(Market_Data[[#This Row],[Estimated Concrete Demand (m³)]]&lt;10000,"Small",
IF(Market_Data[[#This Row],[Estimated Concrete Demand (m³)]]&lt;25000,"Medium",
IF(Market_Data[[#This Row],[Estimated Concrete Demand (m³)]]&lt;100000,"Large","Mega"))))</f>
        <v>Small</v>
      </c>
      <c r="P1694" s="287" t="str">
        <f t="shared" si="28"/>
        <v>GujRERA</v>
      </c>
    </row>
    <row r="1695" spans="1:16">
      <c r="A1695" s="129" t="str">
        <f>_xlfn.XLOOKUP(B1695,$S$9:$S$14,$T$9:$T$14)&amp;"-"&amp;
IF(E1695="Residential/Group Housing","RES",
IF(E1695="Commercial","COM",
IF(E1695="Mixed Development","MIX",
IF(E1695="Plotted Development","PLT","OTH"))))
&amp;"-"&amp;TEXT(COUNTIFS($B$9:B1695,B1695,$E$9:E1695,E1695),"0000")</f>
        <v>SUR-RES-0532</v>
      </c>
      <c r="B1695" s="322" t="s">
        <v>34</v>
      </c>
      <c r="C1695" s="322" t="s">
        <v>34</v>
      </c>
      <c r="D1695" s="323" t="s">
        <v>1885</v>
      </c>
      <c r="E1695" s="132" t="s">
        <v>24</v>
      </c>
      <c r="F1695" s="97" t="str">
        <f ca="1">IF(OR(Market_Data[[#This Row],[Start Date]]="",Market_Data[[#This Row],[Completion Date]]=""),"Needs Validation",IF(Market_Data[[#This Row],[Start Date]]&gt;TODAY(),"Planned",IF(Market_Data[[#This Row],[Completion Date]]&lt;TODAY(),"Completed","Ongoing")))</f>
        <v>Ongoing</v>
      </c>
      <c r="G1695" s="324">
        <v>44686</v>
      </c>
      <c r="H1695" s="324">
        <v>46477</v>
      </c>
      <c r="I1695" s="325">
        <v>53500</v>
      </c>
      <c r="J169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95" s="133">
        <f>_xlfn.XLOOKUP(Market_Data[[#This Row],[Project Type]],tbl_assumptions_market[Project Category (RERA)],tbl_assumptions_market[Concrete Intensity
(m³ / sq m BUA)],"",0)</f>
        <v>0.45</v>
      </c>
      <c r="L1695" s="134">
        <f>ROUND(Market_Data[[#This Row],[Estimated Built Up Area (sq m)]]*Market_Data[[#This Row],[Concrete Intensity
(m³ / sq m)]],0)</f>
        <v>24075</v>
      </c>
      <c r="M1695" s="135">
        <f>_xlfn.XLOOKUP(Market_Data[[#This Row],[District]],tbl_district_price[District],tbl_district_price[Standard Price
(INR/m³)],"",0)</f>
        <v>6200</v>
      </c>
      <c r="N1695" s="364">
        <f>IF(OR(Market_Data[[#This Row],[Estimated Concrete Demand (m³)]]="",Market_Data[[#This Row],[Avg Price per (₹ / m³)]]=""),"",Market_Data[[#This Row],[Estimated Concrete Demand (m³)]]*Market_Data[[#This Row],[Avg Price per (₹ / m³)]]/10000000)</f>
        <v>14.926500000000001</v>
      </c>
      <c r="O1695" s="97" t="str">
        <f>IF(Market_Data[[#This Row],[Estimated Concrete Demand (m³)]]="","",
IF(Market_Data[[#This Row],[Estimated Concrete Demand (m³)]]&lt;10000,"Small",
IF(Market_Data[[#This Row],[Estimated Concrete Demand (m³)]]&lt;25000,"Medium",
IF(Market_Data[[#This Row],[Estimated Concrete Demand (m³)]]&lt;100000,"Large","Mega"))))</f>
        <v>Medium</v>
      </c>
      <c r="P1695" s="287" t="str">
        <f t="shared" si="28"/>
        <v>GujRERA</v>
      </c>
    </row>
    <row r="1696" spans="1:16">
      <c r="A1696" s="129" t="str">
        <f>_xlfn.XLOOKUP(B1696,$S$9:$S$14,$T$9:$T$14)&amp;"-"&amp;
IF(E1696="Residential/Group Housing","RES",
IF(E1696="Commercial","COM",
IF(E1696="Mixed Development","MIX",
IF(E1696="Plotted Development","PLT","OTH"))))
&amp;"-"&amp;TEXT(COUNTIFS($B$9:B1696,B1696,$E$9:E1696,E1696),"0000")</f>
        <v>SUR-MIX-0253</v>
      </c>
      <c r="B1696" s="322" t="s">
        <v>34</v>
      </c>
      <c r="C1696" s="322" t="s">
        <v>34</v>
      </c>
      <c r="D1696" s="323" t="s">
        <v>1886</v>
      </c>
      <c r="E1696" s="132" t="s">
        <v>25</v>
      </c>
      <c r="F1696" s="97" t="str">
        <f ca="1">IF(OR(Market_Data[[#This Row],[Start Date]]="",Market_Data[[#This Row],[Completion Date]]=""),"Needs Validation",IF(Market_Data[[#This Row],[Start Date]]&gt;TODAY(),"Planned",IF(Market_Data[[#This Row],[Completion Date]]&lt;TODAY(),"Completed","Ongoing")))</f>
        <v>Ongoing</v>
      </c>
      <c r="G1696" s="324">
        <v>45029</v>
      </c>
      <c r="H1696" s="324">
        <v>46660</v>
      </c>
      <c r="I1696" s="325">
        <v>14600</v>
      </c>
      <c r="J169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96" s="133">
        <f>_xlfn.XLOOKUP(Market_Data[[#This Row],[Project Type]],tbl_assumptions_market[Project Category (RERA)],tbl_assumptions_market[Concrete Intensity
(m³ / sq m BUA)],"",0)</f>
        <v>0.42</v>
      </c>
      <c r="L1696" s="134">
        <f>ROUND(Market_Data[[#This Row],[Estimated Built Up Area (sq m)]]*Market_Data[[#This Row],[Concrete Intensity
(m³ / sq m)]],0)</f>
        <v>6132</v>
      </c>
      <c r="M1696" s="135">
        <f>_xlfn.XLOOKUP(Market_Data[[#This Row],[District]],tbl_district_price[District],tbl_district_price[Standard Price
(INR/m³)],"",0)</f>
        <v>6200</v>
      </c>
      <c r="N1696" s="364">
        <f>IF(OR(Market_Data[[#This Row],[Estimated Concrete Demand (m³)]]="",Market_Data[[#This Row],[Avg Price per (₹ / m³)]]=""),"",Market_Data[[#This Row],[Estimated Concrete Demand (m³)]]*Market_Data[[#This Row],[Avg Price per (₹ / m³)]]/10000000)</f>
        <v>3.8018399999999999</v>
      </c>
      <c r="O1696" s="97" t="str">
        <f>IF(Market_Data[[#This Row],[Estimated Concrete Demand (m³)]]="","",
IF(Market_Data[[#This Row],[Estimated Concrete Demand (m³)]]&lt;10000,"Small",
IF(Market_Data[[#This Row],[Estimated Concrete Demand (m³)]]&lt;25000,"Medium",
IF(Market_Data[[#This Row],[Estimated Concrete Demand (m³)]]&lt;100000,"Large","Mega"))))</f>
        <v>Small</v>
      </c>
      <c r="P1696" s="287" t="str">
        <f t="shared" si="28"/>
        <v>GujRERA</v>
      </c>
    </row>
    <row r="1697" spans="1:16">
      <c r="A1697" s="129" t="str">
        <f>_xlfn.XLOOKUP(B1697,$S$9:$S$14,$T$9:$T$14)&amp;"-"&amp;
IF(E1697="Residential/Group Housing","RES",
IF(E1697="Commercial","COM",
IF(E1697="Mixed Development","MIX",
IF(E1697="Plotted Development","PLT","OTH"))))
&amp;"-"&amp;TEXT(COUNTIFS($B$9:B1697,B1697,$E$9:E1697,E1697),"0000")</f>
        <v>SUR-MIX-0254</v>
      </c>
      <c r="B1697" s="322" t="s">
        <v>34</v>
      </c>
      <c r="C1697" s="322" t="s">
        <v>34</v>
      </c>
      <c r="D1697" s="323" t="s">
        <v>1887</v>
      </c>
      <c r="E1697" s="132" t="s">
        <v>25</v>
      </c>
      <c r="F1697" s="97" t="str">
        <f ca="1">IF(OR(Market_Data[[#This Row],[Start Date]]="",Market_Data[[#This Row],[Completion Date]]=""),"Needs Validation",IF(Market_Data[[#This Row],[Start Date]]&gt;TODAY(),"Planned",IF(Market_Data[[#This Row],[Completion Date]]&lt;TODAY(),"Completed","Ongoing")))</f>
        <v>Completed</v>
      </c>
      <c r="G1697" s="324">
        <v>44489</v>
      </c>
      <c r="H1697" s="324">
        <v>45565</v>
      </c>
      <c r="I1697" s="325">
        <v>9700</v>
      </c>
      <c r="J169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697" s="133">
        <f>_xlfn.XLOOKUP(Market_Data[[#This Row],[Project Type]],tbl_assumptions_market[Project Category (RERA)],tbl_assumptions_market[Concrete Intensity
(m³ / sq m BUA)],"",0)</f>
        <v>0.42</v>
      </c>
      <c r="L1697" s="134">
        <f>ROUND(Market_Data[[#This Row],[Estimated Built Up Area (sq m)]]*Market_Data[[#This Row],[Concrete Intensity
(m³ / sq m)]],0)</f>
        <v>4074</v>
      </c>
      <c r="M1697" s="135">
        <f>_xlfn.XLOOKUP(Market_Data[[#This Row],[District]],tbl_district_price[District],tbl_district_price[Standard Price
(INR/m³)],"",0)</f>
        <v>6200</v>
      </c>
      <c r="N1697" s="364">
        <f>IF(OR(Market_Data[[#This Row],[Estimated Concrete Demand (m³)]]="",Market_Data[[#This Row],[Avg Price per (₹ / m³)]]=""),"",Market_Data[[#This Row],[Estimated Concrete Demand (m³)]]*Market_Data[[#This Row],[Avg Price per (₹ / m³)]]/10000000)</f>
        <v>2.5258799999999999</v>
      </c>
      <c r="O1697" s="97" t="str">
        <f>IF(Market_Data[[#This Row],[Estimated Concrete Demand (m³)]]="","",
IF(Market_Data[[#This Row],[Estimated Concrete Demand (m³)]]&lt;10000,"Small",
IF(Market_Data[[#This Row],[Estimated Concrete Demand (m³)]]&lt;25000,"Medium",
IF(Market_Data[[#This Row],[Estimated Concrete Demand (m³)]]&lt;100000,"Large","Mega"))))</f>
        <v>Small</v>
      </c>
      <c r="P1697" s="287" t="str">
        <f t="shared" si="28"/>
        <v>GujRERA</v>
      </c>
    </row>
    <row r="1698" spans="1:16">
      <c r="A1698" s="129" t="str">
        <f>_xlfn.XLOOKUP(B1698,$S$9:$S$14,$T$9:$T$14)&amp;"-"&amp;
IF(E1698="Residential/Group Housing","RES",
IF(E1698="Commercial","COM",
IF(E1698="Mixed Development","MIX",
IF(E1698="Plotted Development","PLT","OTH"))))
&amp;"-"&amp;TEXT(COUNTIFS($B$9:B1698,B1698,$E$9:E1698,E1698),"0000")</f>
        <v>SUR-COM-0280</v>
      </c>
      <c r="B1698" s="322" t="s">
        <v>34</v>
      </c>
      <c r="C1698" s="322" t="s">
        <v>34</v>
      </c>
      <c r="D1698" s="323" t="s">
        <v>1888</v>
      </c>
      <c r="E1698" s="132" t="s">
        <v>23</v>
      </c>
      <c r="F1698" s="97" t="str">
        <f ca="1">IF(OR(Market_Data[[#This Row],[Start Date]]="",Market_Data[[#This Row],[Completion Date]]=""),"Needs Validation",IF(Market_Data[[#This Row],[Start Date]]&gt;TODAY(),"Planned",IF(Market_Data[[#This Row],[Completion Date]]&lt;TODAY(),"Completed","Ongoing")))</f>
        <v>Completed</v>
      </c>
      <c r="G1698" s="324">
        <v>43573</v>
      </c>
      <c r="H1698" s="324">
        <v>45382</v>
      </c>
      <c r="I1698" s="325">
        <v>23200</v>
      </c>
      <c r="J169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698" s="133">
        <f>_xlfn.XLOOKUP(Market_Data[[#This Row],[Project Type]],tbl_assumptions_market[Project Category (RERA)],tbl_assumptions_market[Concrete Intensity
(m³ / sq m BUA)],"",0)</f>
        <v>0.5</v>
      </c>
      <c r="L1698" s="134">
        <f>ROUND(Market_Data[[#This Row],[Estimated Built Up Area (sq m)]]*Market_Data[[#This Row],[Concrete Intensity
(m³ / sq m)]],0)</f>
        <v>11600</v>
      </c>
      <c r="M1698" s="135">
        <f>_xlfn.XLOOKUP(Market_Data[[#This Row],[District]],tbl_district_price[District],tbl_district_price[Standard Price
(INR/m³)],"",0)</f>
        <v>6200</v>
      </c>
      <c r="N1698" s="364">
        <f>IF(OR(Market_Data[[#This Row],[Estimated Concrete Demand (m³)]]="",Market_Data[[#This Row],[Avg Price per (₹ / m³)]]=""),"",Market_Data[[#This Row],[Estimated Concrete Demand (m³)]]*Market_Data[[#This Row],[Avg Price per (₹ / m³)]]/10000000)</f>
        <v>7.1920000000000002</v>
      </c>
      <c r="O1698" s="97" t="str">
        <f>IF(Market_Data[[#This Row],[Estimated Concrete Demand (m³)]]="","",
IF(Market_Data[[#This Row],[Estimated Concrete Demand (m³)]]&lt;10000,"Small",
IF(Market_Data[[#This Row],[Estimated Concrete Demand (m³)]]&lt;25000,"Medium",
IF(Market_Data[[#This Row],[Estimated Concrete Demand (m³)]]&lt;100000,"Large","Mega"))))</f>
        <v>Medium</v>
      </c>
      <c r="P1698" s="287" t="str">
        <f t="shared" si="28"/>
        <v>GujRERA</v>
      </c>
    </row>
    <row r="1699" spans="1:16">
      <c r="A1699" s="129" t="str">
        <f>_xlfn.XLOOKUP(B1699,$S$9:$S$14,$T$9:$T$14)&amp;"-"&amp;
IF(E1699="Residential/Group Housing","RES",
IF(E1699="Commercial","COM",
IF(E1699="Mixed Development","MIX",
IF(E1699="Plotted Development","PLT","OTH"))))
&amp;"-"&amp;TEXT(COUNTIFS($B$9:B1699,B1699,$E$9:E1699,E1699),"0000")</f>
        <v>SUR-RES-0533</v>
      </c>
      <c r="B1699" s="322" t="s">
        <v>34</v>
      </c>
      <c r="C1699" s="322" t="s">
        <v>34</v>
      </c>
      <c r="D1699" s="323" t="s">
        <v>1889</v>
      </c>
      <c r="E1699" s="132" t="s">
        <v>24</v>
      </c>
      <c r="F1699" s="97" t="str">
        <f ca="1">IF(OR(Market_Data[[#This Row],[Start Date]]="",Market_Data[[#This Row],[Completion Date]]=""),"Needs Validation",IF(Market_Data[[#This Row],[Start Date]]&gt;TODAY(),"Planned",IF(Market_Data[[#This Row],[Completion Date]]&lt;TODAY(),"Completed","Ongoing")))</f>
        <v>Completed</v>
      </c>
      <c r="G1699" s="324">
        <v>42139</v>
      </c>
      <c r="H1699" s="324">
        <v>43830</v>
      </c>
      <c r="I1699" s="325">
        <v>8200</v>
      </c>
      <c r="J169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699" s="133">
        <f>_xlfn.XLOOKUP(Market_Data[[#This Row],[Project Type]],tbl_assumptions_market[Project Category (RERA)],tbl_assumptions_market[Concrete Intensity
(m³ / sq m BUA)],"",0)</f>
        <v>0.45</v>
      </c>
      <c r="L1699" s="134">
        <f>ROUND(Market_Data[[#This Row],[Estimated Built Up Area (sq m)]]*Market_Data[[#This Row],[Concrete Intensity
(m³ / sq m)]],0)</f>
        <v>3690</v>
      </c>
      <c r="M1699" s="135">
        <f>_xlfn.XLOOKUP(Market_Data[[#This Row],[District]],tbl_district_price[District],tbl_district_price[Standard Price
(INR/m³)],"",0)</f>
        <v>6200</v>
      </c>
      <c r="N1699" s="364">
        <f>IF(OR(Market_Data[[#This Row],[Estimated Concrete Demand (m³)]]="",Market_Data[[#This Row],[Avg Price per (₹ / m³)]]=""),"",Market_Data[[#This Row],[Estimated Concrete Demand (m³)]]*Market_Data[[#This Row],[Avg Price per (₹ / m³)]]/10000000)</f>
        <v>2.2877999999999998</v>
      </c>
      <c r="O1699" s="97" t="str">
        <f>IF(Market_Data[[#This Row],[Estimated Concrete Demand (m³)]]="","",
IF(Market_Data[[#This Row],[Estimated Concrete Demand (m³)]]&lt;10000,"Small",
IF(Market_Data[[#This Row],[Estimated Concrete Demand (m³)]]&lt;25000,"Medium",
IF(Market_Data[[#This Row],[Estimated Concrete Demand (m³)]]&lt;100000,"Large","Mega"))))</f>
        <v>Small</v>
      </c>
      <c r="P1699" s="287" t="str">
        <f t="shared" si="28"/>
        <v>GujRERA</v>
      </c>
    </row>
    <row r="1700" spans="1:16">
      <c r="A1700" s="129" t="str">
        <f>_xlfn.XLOOKUP(B1700,$S$9:$S$14,$T$9:$T$14)&amp;"-"&amp;
IF(E1700="Residential/Group Housing","RES",
IF(E1700="Commercial","COM",
IF(E1700="Mixed Development","MIX",
IF(E1700="Plotted Development","PLT","OTH"))))
&amp;"-"&amp;TEXT(COUNTIFS($B$9:B1700,B1700,$E$9:E1700,E1700),"0000")</f>
        <v>SUR-RES-0534</v>
      </c>
      <c r="B1700" s="322" t="s">
        <v>34</v>
      </c>
      <c r="C1700" s="322" t="s">
        <v>34</v>
      </c>
      <c r="D1700" s="323" t="s">
        <v>1890</v>
      </c>
      <c r="E1700" s="132" t="s">
        <v>24</v>
      </c>
      <c r="F1700" s="97" t="str">
        <f ca="1">IF(OR(Market_Data[[#This Row],[Start Date]]="",Market_Data[[#This Row],[Completion Date]]=""),"Needs Validation",IF(Market_Data[[#This Row],[Start Date]]&gt;TODAY(),"Planned",IF(Market_Data[[#This Row],[Completion Date]]&lt;TODAY(),"Completed","Ongoing")))</f>
        <v>Ongoing</v>
      </c>
      <c r="G1700" s="324">
        <v>46022</v>
      </c>
      <c r="H1700" s="324">
        <v>47848</v>
      </c>
      <c r="I1700" s="325">
        <v>20600</v>
      </c>
      <c r="J170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00" s="133">
        <f>_xlfn.XLOOKUP(Market_Data[[#This Row],[Project Type]],tbl_assumptions_market[Project Category (RERA)],tbl_assumptions_market[Concrete Intensity
(m³ / sq m BUA)],"",0)</f>
        <v>0.45</v>
      </c>
      <c r="L1700" s="134">
        <f>ROUND(Market_Data[[#This Row],[Estimated Built Up Area (sq m)]]*Market_Data[[#This Row],[Concrete Intensity
(m³ / sq m)]],0)</f>
        <v>9270</v>
      </c>
      <c r="M1700" s="135">
        <f>_xlfn.XLOOKUP(Market_Data[[#This Row],[District]],tbl_district_price[District],tbl_district_price[Standard Price
(INR/m³)],"",0)</f>
        <v>6200</v>
      </c>
      <c r="N1700" s="364">
        <f>IF(OR(Market_Data[[#This Row],[Estimated Concrete Demand (m³)]]="",Market_Data[[#This Row],[Avg Price per (₹ / m³)]]=""),"",Market_Data[[#This Row],[Estimated Concrete Demand (m³)]]*Market_Data[[#This Row],[Avg Price per (₹ / m³)]]/10000000)</f>
        <v>5.7473999999999998</v>
      </c>
      <c r="O1700" s="97" t="str">
        <f>IF(Market_Data[[#This Row],[Estimated Concrete Demand (m³)]]="","",
IF(Market_Data[[#This Row],[Estimated Concrete Demand (m³)]]&lt;10000,"Small",
IF(Market_Data[[#This Row],[Estimated Concrete Demand (m³)]]&lt;25000,"Medium",
IF(Market_Data[[#This Row],[Estimated Concrete Demand (m³)]]&lt;100000,"Large","Mega"))))</f>
        <v>Small</v>
      </c>
      <c r="P1700" s="287" t="str">
        <f t="shared" si="28"/>
        <v>GujRERA</v>
      </c>
    </row>
    <row r="1701" spans="1:16">
      <c r="A1701" s="129" t="str">
        <f>_xlfn.XLOOKUP(B1701,$S$9:$S$14,$T$9:$T$14)&amp;"-"&amp;
IF(E1701="Residential/Group Housing","RES",
IF(E1701="Commercial","COM",
IF(E1701="Mixed Development","MIX",
IF(E1701="Plotted Development","PLT","OTH"))))
&amp;"-"&amp;TEXT(COUNTIFS($B$9:B1701,B1701,$E$9:E1701,E1701),"0000")</f>
        <v>SUR-RES-0535</v>
      </c>
      <c r="B1701" s="322" t="s">
        <v>34</v>
      </c>
      <c r="C1701" s="322" t="s">
        <v>34</v>
      </c>
      <c r="D1701" s="323" t="s">
        <v>1891</v>
      </c>
      <c r="E1701" s="132" t="s">
        <v>24</v>
      </c>
      <c r="F1701" s="97" t="str">
        <f ca="1">IF(OR(Market_Data[[#This Row],[Start Date]]="",Market_Data[[#This Row],[Completion Date]]=""),"Needs Validation",IF(Market_Data[[#This Row],[Start Date]]&gt;TODAY(),"Planned",IF(Market_Data[[#This Row],[Completion Date]]&lt;TODAY(),"Completed","Ongoing")))</f>
        <v>Ongoing</v>
      </c>
      <c r="G1701" s="324">
        <v>45521</v>
      </c>
      <c r="H1701" s="324">
        <v>47483</v>
      </c>
      <c r="I1701" s="325">
        <v>19400</v>
      </c>
      <c r="J170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01" s="133">
        <f>_xlfn.XLOOKUP(Market_Data[[#This Row],[Project Type]],tbl_assumptions_market[Project Category (RERA)],tbl_assumptions_market[Concrete Intensity
(m³ / sq m BUA)],"",0)</f>
        <v>0.45</v>
      </c>
      <c r="L1701" s="134">
        <f>ROUND(Market_Data[[#This Row],[Estimated Built Up Area (sq m)]]*Market_Data[[#This Row],[Concrete Intensity
(m³ / sq m)]],0)</f>
        <v>8730</v>
      </c>
      <c r="M1701" s="135">
        <f>_xlfn.XLOOKUP(Market_Data[[#This Row],[District]],tbl_district_price[District],tbl_district_price[Standard Price
(INR/m³)],"",0)</f>
        <v>6200</v>
      </c>
      <c r="N1701" s="364">
        <f>IF(OR(Market_Data[[#This Row],[Estimated Concrete Demand (m³)]]="",Market_Data[[#This Row],[Avg Price per (₹ / m³)]]=""),"",Market_Data[[#This Row],[Estimated Concrete Demand (m³)]]*Market_Data[[#This Row],[Avg Price per (₹ / m³)]]/10000000)</f>
        <v>5.4126000000000003</v>
      </c>
      <c r="O1701" s="97" t="str">
        <f>IF(Market_Data[[#This Row],[Estimated Concrete Demand (m³)]]="","",
IF(Market_Data[[#This Row],[Estimated Concrete Demand (m³)]]&lt;10000,"Small",
IF(Market_Data[[#This Row],[Estimated Concrete Demand (m³)]]&lt;25000,"Medium",
IF(Market_Data[[#This Row],[Estimated Concrete Demand (m³)]]&lt;100000,"Large","Mega"))))</f>
        <v>Small</v>
      </c>
      <c r="P1701" s="287" t="str">
        <f t="shared" si="28"/>
        <v>GujRERA</v>
      </c>
    </row>
    <row r="1702" spans="1:16">
      <c r="A1702" s="129" t="str">
        <f>_xlfn.XLOOKUP(B1702,$S$9:$S$14,$T$9:$T$14)&amp;"-"&amp;
IF(E1702="Residential/Group Housing","RES",
IF(E1702="Commercial","COM",
IF(E1702="Mixed Development","MIX",
IF(E1702="Plotted Development","PLT","OTH"))))
&amp;"-"&amp;TEXT(COUNTIFS($B$9:B1702,B1702,$E$9:E1702,E1702),"0000")</f>
        <v>SUR-RES-0536</v>
      </c>
      <c r="B1702" s="322" t="s">
        <v>34</v>
      </c>
      <c r="C1702" s="322" t="s">
        <v>34</v>
      </c>
      <c r="D1702" s="323" t="s">
        <v>1892</v>
      </c>
      <c r="E1702" s="132" t="s">
        <v>24</v>
      </c>
      <c r="F1702" s="97" t="str">
        <f ca="1">IF(OR(Market_Data[[#This Row],[Start Date]]="",Market_Data[[#This Row],[Completion Date]]=""),"Needs Validation",IF(Market_Data[[#This Row],[Start Date]]&gt;TODAY(),"Planned",IF(Market_Data[[#This Row],[Completion Date]]&lt;TODAY(),"Completed","Ongoing")))</f>
        <v>Ongoing</v>
      </c>
      <c r="G1702" s="324">
        <v>45658</v>
      </c>
      <c r="H1702" s="324">
        <v>47299</v>
      </c>
      <c r="I1702" s="325">
        <v>47400</v>
      </c>
      <c r="J170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02" s="133">
        <f>_xlfn.XLOOKUP(Market_Data[[#This Row],[Project Type]],tbl_assumptions_market[Project Category (RERA)],tbl_assumptions_market[Concrete Intensity
(m³ / sq m BUA)],"",0)</f>
        <v>0.45</v>
      </c>
      <c r="L1702" s="134">
        <f>ROUND(Market_Data[[#This Row],[Estimated Built Up Area (sq m)]]*Market_Data[[#This Row],[Concrete Intensity
(m³ / sq m)]],0)</f>
        <v>21330</v>
      </c>
      <c r="M1702" s="135">
        <f>_xlfn.XLOOKUP(Market_Data[[#This Row],[District]],tbl_district_price[District],tbl_district_price[Standard Price
(INR/m³)],"",0)</f>
        <v>6200</v>
      </c>
      <c r="N1702" s="364">
        <f>IF(OR(Market_Data[[#This Row],[Estimated Concrete Demand (m³)]]="",Market_Data[[#This Row],[Avg Price per (₹ / m³)]]=""),"",Market_Data[[#This Row],[Estimated Concrete Demand (m³)]]*Market_Data[[#This Row],[Avg Price per (₹ / m³)]]/10000000)</f>
        <v>13.224600000000001</v>
      </c>
      <c r="O1702" s="97" t="str">
        <f>IF(Market_Data[[#This Row],[Estimated Concrete Demand (m³)]]="","",
IF(Market_Data[[#This Row],[Estimated Concrete Demand (m³)]]&lt;10000,"Small",
IF(Market_Data[[#This Row],[Estimated Concrete Demand (m³)]]&lt;25000,"Medium",
IF(Market_Data[[#This Row],[Estimated Concrete Demand (m³)]]&lt;100000,"Large","Mega"))))</f>
        <v>Medium</v>
      </c>
      <c r="P1702" s="287" t="str">
        <f t="shared" si="28"/>
        <v>GujRERA</v>
      </c>
    </row>
    <row r="1703" spans="1:16">
      <c r="A1703" s="129" t="str">
        <f>_xlfn.XLOOKUP(B1703,$S$9:$S$14,$T$9:$T$14)&amp;"-"&amp;
IF(E1703="Residential/Group Housing","RES",
IF(E1703="Commercial","COM",
IF(E1703="Mixed Development","MIX",
IF(E1703="Plotted Development","PLT","OTH"))))
&amp;"-"&amp;TEXT(COUNTIFS($B$9:B1703,B1703,$E$9:E1703,E1703),"0000")</f>
        <v>SUR-MIX-0255</v>
      </c>
      <c r="B1703" s="322" t="s">
        <v>34</v>
      </c>
      <c r="C1703" s="322" t="s">
        <v>34</v>
      </c>
      <c r="D1703" s="323" t="s">
        <v>1893</v>
      </c>
      <c r="E1703" s="132" t="s">
        <v>25</v>
      </c>
      <c r="F1703" s="97" t="str">
        <f ca="1">IF(OR(Market_Data[[#This Row],[Start Date]]="",Market_Data[[#This Row],[Completion Date]]=""),"Needs Validation",IF(Market_Data[[#This Row],[Start Date]]&gt;TODAY(),"Planned",IF(Market_Data[[#This Row],[Completion Date]]&lt;TODAY(),"Completed","Ongoing")))</f>
        <v>Completed</v>
      </c>
      <c r="G1703" s="324">
        <v>41897</v>
      </c>
      <c r="H1703" s="324">
        <v>43404</v>
      </c>
      <c r="I1703" s="325">
        <v>36800</v>
      </c>
      <c r="J170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03" s="133">
        <f>_xlfn.XLOOKUP(Market_Data[[#This Row],[Project Type]],tbl_assumptions_market[Project Category (RERA)],tbl_assumptions_market[Concrete Intensity
(m³ / sq m BUA)],"",0)</f>
        <v>0.42</v>
      </c>
      <c r="L1703" s="134">
        <f>ROUND(Market_Data[[#This Row],[Estimated Built Up Area (sq m)]]*Market_Data[[#This Row],[Concrete Intensity
(m³ / sq m)]],0)</f>
        <v>15456</v>
      </c>
      <c r="M1703" s="135">
        <f>_xlfn.XLOOKUP(Market_Data[[#This Row],[District]],tbl_district_price[District],tbl_district_price[Standard Price
(INR/m³)],"",0)</f>
        <v>6200</v>
      </c>
      <c r="N1703" s="364">
        <f>IF(OR(Market_Data[[#This Row],[Estimated Concrete Demand (m³)]]="",Market_Data[[#This Row],[Avg Price per (₹ / m³)]]=""),"",Market_Data[[#This Row],[Estimated Concrete Demand (m³)]]*Market_Data[[#This Row],[Avg Price per (₹ / m³)]]/10000000)</f>
        <v>9.5827200000000001</v>
      </c>
      <c r="O1703" s="97" t="str">
        <f>IF(Market_Data[[#This Row],[Estimated Concrete Demand (m³)]]="","",
IF(Market_Data[[#This Row],[Estimated Concrete Demand (m³)]]&lt;10000,"Small",
IF(Market_Data[[#This Row],[Estimated Concrete Demand (m³)]]&lt;25000,"Medium",
IF(Market_Data[[#This Row],[Estimated Concrete Demand (m³)]]&lt;100000,"Large","Mega"))))</f>
        <v>Medium</v>
      </c>
      <c r="P1703" s="287" t="str">
        <f t="shared" si="28"/>
        <v>GujRERA</v>
      </c>
    </row>
    <row r="1704" spans="1:16">
      <c r="A1704" s="129" t="str">
        <f>_xlfn.XLOOKUP(B1704,$S$9:$S$14,$T$9:$T$14)&amp;"-"&amp;
IF(E1704="Residential/Group Housing","RES",
IF(E1704="Commercial","COM",
IF(E1704="Mixed Development","MIX",
IF(E1704="Plotted Development","PLT","OTH"))))
&amp;"-"&amp;TEXT(COUNTIFS($B$9:B1704,B1704,$E$9:E1704,E1704),"0000")</f>
        <v>SUR-RES-0537</v>
      </c>
      <c r="B1704" s="322" t="s">
        <v>34</v>
      </c>
      <c r="C1704" s="322" t="s">
        <v>34</v>
      </c>
      <c r="D1704" s="323" t="s">
        <v>1894</v>
      </c>
      <c r="E1704" s="132" t="s">
        <v>24</v>
      </c>
      <c r="F1704" s="97" t="str">
        <f ca="1">IF(OR(Market_Data[[#This Row],[Start Date]]="",Market_Data[[#This Row],[Completion Date]]=""),"Needs Validation",IF(Market_Data[[#This Row],[Start Date]]&gt;TODAY(),"Planned",IF(Market_Data[[#This Row],[Completion Date]]&lt;TODAY(),"Completed","Ongoing")))</f>
        <v>Completed</v>
      </c>
      <c r="G1704" s="324">
        <v>43132</v>
      </c>
      <c r="H1704" s="324">
        <v>44286</v>
      </c>
      <c r="I1704" s="325">
        <v>21400</v>
      </c>
      <c r="J170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04" s="133">
        <f>_xlfn.XLOOKUP(Market_Data[[#This Row],[Project Type]],tbl_assumptions_market[Project Category (RERA)],tbl_assumptions_market[Concrete Intensity
(m³ / sq m BUA)],"",0)</f>
        <v>0.45</v>
      </c>
      <c r="L1704" s="134">
        <f>ROUND(Market_Data[[#This Row],[Estimated Built Up Area (sq m)]]*Market_Data[[#This Row],[Concrete Intensity
(m³ / sq m)]],0)</f>
        <v>9630</v>
      </c>
      <c r="M1704" s="135">
        <f>_xlfn.XLOOKUP(Market_Data[[#This Row],[District]],tbl_district_price[District],tbl_district_price[Standard Price
(INR/m³)],"",0)</f>
        <v>6200</v>
      </c>
      <c r="N1704" s="364">
        <f>IF(OR(Market_Data[[#This Row],[Estimated Concrete Demand (m³)]]="",Market_Data[[#This Row],[Avg Price per (₹ / m³)]]=""),"",Market_Data[[#This Row],[Estimated Concrete Demand (m³)]]*Market_Data[[#This Row],[Avg Price per (₹ / m³)]]/10000000)</f>
        <v>5.9706000000000001</v>
      </c>
      <c r="O1704" s="97" t="str">
        <f>IF(Market_Data[[#This Row],[Estimated Concrete Demand (m³)]]="","",
IF(Market_Data[[#This Row],[Estimated Concrete Demand (m³)]]&lt;10000,"Small",
IF(Market_Data[[#This Row],[Estimated Concrete Demand (m³)]]&lt;25000,"Medium",
IF(Market_Data[[#This Row],[Estimated Concrete Demand (m³)]]&lt;100000,"Large","Mega"))))</f>
        <v>Small</v>
      </c>
      <c r="P1704" s="287" t="str">
        <f t="shared" si="28"/>
        <v>GujRERA</v>
      </c>
    </row>
    <row r="1705" spans="1:16">
      <c r="A1705" s="129" t="str">
        <f>_xlfn.XLOOKUP(B1705,$S$9:$S$14,$T$9:$T$14)&amp;"-"&amp;
IF(E1705="Residential/Group Housing","RES",
IF(E1705="Commercial","COM",
IF(E1705="Mixed Development","MIX",
IF(E1705="Plotted Development","PLT","OTH"))))
&amp;"-"&amp;TEXT(COUNTIFS($B$9:B1705,B1705,$E$9:E1705,E1705),"0000")</f>
        <v>SUR-RES-0538</v>
      </c>
      <c r="B1705" s="322" t="s">
        <v>34</v>
      </c>
      <c r="C1705" s="322" t="s">
        <v>34</v>
      </c>
      <c r="D1705" s="323" t="s">
        <v>1895</v>
      </c>
      <c r="E1705" s="132" t="s">
        <v>24</v>
      </c>
      <c r="F1705" s="97" t="str">
        <f ca="1">IF(OR(Market_Data[[#This Row],[Start Date]]="",Market_Data[[#This Row],[Completion Date]]=""),"Needs Validation",IF(Market_Data[[#This Row],[Start Date]]&gt;TODAY(),"Planned",IF(Market_Data[[#This Row],[Completion Date]]&lt;TODAY(),"Completed","Ongoing")))</f>
        <v>Completed</v>
      </c>
      <c r="G1705" s="324">
        <v>42961</v>
      </c>
      <c r="H1705" s="324">
        <v>44196</v>
      </c>
      <c r="I1705" s="325">
        <v>30400</v>
      </c>
      <c r="J170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05" s="133">
        <f>_xlfn.XLOOKUP(Market_Data[[#This Row],[Project Type]],tbl_assumptions_market[Project Category (RERA)],tbl_assumptions_market[Concrete Intensity
(m³ / sq m BUA)],"",0)</f>
        <v>0.45</v>
      </c>
      <c r="L1705" s="134">
        <f>ROUND(Market_Data[[#This Row],[Estimated Built Up Area (sq m)]]*Market_Data[[#This Row],[Concrete Intensity
(m³ / sq m)]],0)</f>
        <v>13680</v>
      </c>
      <c r="M1705" s="135">
        <f>_xlfn.XLOOKUP(Market_Data[[#This Row],[District]],tbl_district_price[District],tbl_district_price[Standard Price
(INR/m³)],"",0)</f>
        <v>6200</v>
      </c>
      <c r="N1705" s="364">
        <f>IF(OR(Market_Data[[#This Row],[Estimated Concrete Demand (m³)]]="",Market_Data[[#This Row],[Avg Price per (₹ / m³)]]=""),"",Market_Data[[#This Row],[Estimated Concrete Demand (m³)]]*Market_Data[[#This Row],[Avg Price per (₹ / m³)]]/10000000)</f>
        <v>8.4816000000000003</v>
      </c>
      <c r="O1705" s="97" t="str">
        <f>IF(Market_Data[[#This Row],[Estimated Concrete Demand (m³)]]="","",
IF(Market_Data[[#This Row],[Estimated Concrete Demand (m³)]]&lt;10000,"Small",
IF(Market_Data[[#This Row],[Estimated Concrete Demand (m³)]]&lt;25000,"Medium",
IF(Market_Data[[#This Row],[Estimated Concrete Demand (m³)]]&lt;100000,"Large","Mega"))))</f>
        <v>Medium</v>
      </c>
      <c r="P1705" s="287" t="str">
        <f t="shared" si="28"/>
        <v>GujRERA</v>
      </c>
    </row>
    <row r="1706" spans="1:16">
      <c r="A1706" s="129" t="str">
        <f>_xlfn.XLOOKUP(B1706,$S$9:$S$14,$T$9:$T$14)&amp;"-"&amp;
IF(E1706="Residential/Group Housing","RES",
IF(E1706="Commercial","COM",
IF(E1706="Mixed Development","MIX",
IF(E1706="Plotted Development","PLT","OTH"))))
&amp;"-"&amp;TEXT(COUNTIFS($B$9:B1706,B1706,$E$9:E1706,E1706),"0000")</f>
        <v>SUR-COM-0281</v>
      </c>
      <c r="B1706" s="322" t="s">
        <v>34</v>
      </c>
      <c r="C1706" s="322" t="s">
        <v>34</v>
      </c>
      <c r="D1706" s="323" t="s">
        <v>1896</v>
      </c>
      <c r="E1706" s="132" t="s">
        <v>23</v>
      </c>
      <c r="F1706" s="97" t="str">
        <f ca="1">IF(OR(Market_Data[[#This Row],[Start Date]]="",Market_Data[[#This Row],[Completion Date]]=""),"Needs Validation",IF(Market_Data[[#This Row],[Start Date]]&gt;TODAY(),"Planned",IF(Market_Data[[#This Row],[Completion Date]]&lt;TODAY(),"Completed","Ongoing")))</f>
        <v>Ongoing</v>
      </c>
      <c r="G1706" s="324">
        <v>45132</v>
      </c>
      <c r="H1706" s="324">
        <v>47118</v>
      </c>
      <c r="I1706" s="325">
        <v>51000</v>
      </c>
      <c r="J170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706" s="133">
        <f>_xlfn.XLOOKUP(Market_Data[[#This Row],[Project Type]],tbl_assumptions_market[Project Category (RERA)],tbl_assumptions_market[Concrete Intensity
(m³ / sq m BUA)],"",0)</f>
        <v>0.5</v>
      </c>
      <c r="L1706" s="134">
        <f>ROUND(Market_Data[[#This Row],[Estimated Built Up Area (sq m)]]*Market_Data[[#This Row],[Concrete Intensity
(m³ / sq m)]],0)</f>
        <v>25500</v>
      </c>
      <c r="M1706" s="135">
        <f>_xlfn.XLOOKUP(Market_Data[[#This Row],[District]],tbl_district_price[District],tbl_district_price[Standard Price
(INR/m³)],"",0)</f>
        <v>6200</v>
      </c>
      <c r="N1706" s="364">
        <f>IF(OR(Market_Data[[#This Row],[Estimated Concrete Demand (m³)]]="",Market_Data[[#This Row],[Avg Price per (₹ / m³)]]=""),"",Market_Data[[#This Row],[Estimated Concrete Demand (m³)]]*Market_Data[[#This Row],[Avg Price per (₹ / m³)]]/10000000)</f>
        <v>15.81</v>
      </c>
      <c r="O1706" s="97" t="str">
        <f>IF(Market_Data[[#This Row],[Estimated Concrete Demand (m³)]]="","",
IF(Market_Data[[#This Row],[Estimated Concrete Demand (m³)]]&lt;10000,"Small",
IF(Market_Data[[#This Row],[Estimated Concrete Demand (m³)]]&lt;25000,"Medium",
IF(Market_Data[[#This Row],[Estimated Concrete Demand (m³)]]&lt;100000,"Large","Mega"))))</f>
        <v>Large</v>
      </c>
      <c r="P1706" s="287" t="str">
        <f t="shared" si="28"/>
        <v>GujRERA</v>
      </c>
    </row>
    <row r="1707" spans="1:16">
      <c r="A1707" s="129" t="str">
        <f>_xlfn.XLOOKUP(B1707,$S$9:$S$14,$T$9:$T$14)&amp;"-"&amp;
IF(E1707="Residential/Group Housing","RES",
IF(E1707="Commercial","COM",
IF(E1707="Mixed Development","MIX",
IF(E1707="Plotted Development","PLT","OTH"))))
&amp;"-"&amp;TEXT(COUNTIFS($B$9:B1707,B1707,$E$9:E1707,E1707),"0000")</f>
        <v>SUR-PLT-0315</v>
      </c>
      <c r="B1707" s="322" t="s">
        <v>34</v>
      </c>
      <c r="C1707" s="322" t="s">
        <v>34</v>
      </c>
      <c r="D1707" s="323" t="s">
        <v>1897</v>
      </c>
      <c r="E1707" s="132" t="s">
        <v>26</v>
      </c>
      <c r="F1707" s="97" t="str">
        <f ca="1">IF(OR(Market_Data[[#This Row],[Start Date]]="",Market_Data[[#This Row],[Completion Date]]=""),"Needs Validation",IF(Market_Data[[#This Row],[Start Date]]&gt;TODAY(),"Planned",IF(Market_Data[[#This Row],[Completion Date]]&lt;TODAY(),"Completed","Ongoing")))</f>
        <v>Ongoing</v>
      </c>
      <c r="G1707" s="324">
        <v>45944</v>
      </c>
      <c r="H1707" s="324">
        <v>46752</v>
      </c>
      <c r="I1707" s="325">
        <v>22500</v>
      </c>
      <c r="J170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07" s="133">
        <f>_xlfn.XLOOKUP(Market_Data[[#This Row],[Project Type]],tbl_assumptions_market[Project Category (RERA)],tbl_assumptions_market[Concrete Intensity
(m³ / sq m BUA)],"",0)</f>
        <v>0.18</v>
      </c>
      <c r="L1707" s="134">
        <f>ROUND(Market_Data[[#This Row],[Estimated Built Up Area (sq m)]]*Market_Data[[#This Row],[Concrete Intensity
(m³ / sq m)]],0)</f>
        <v>4050</v>
      </c>
      <c r="M1707" s="135">
        <f>_xlfn.XLOOKUP(Market_Data[[#This Row],[District]],tbl_district_price[District],tbl_district_price[Standard Price
(INR/m³)],"",0)</f>
        <v>6200</v>
      </c>
      <c r="N1707" s="364">
        <f>IF(OR(Market_Data[[#This Row],[Estimated Concrete Demand (m³)]]="",Market_Data[[#This Row],[Avg Price per (₹ / m³)]]=""),"",Market_Data[[#This Row],[Estimated Concrete Demand (m³)]]*Market_Data[[#This Row],[Avg Price per (₹ / m³)]]/10000000)</f>
        <v>2.5110000000000001</v>
      </c>
      <c r="O1707" s="97" t="str">
        <f>IF(Market_Data[[#This Row],[Estimated Concrete Demand (m³)]]="","",
IF(Market_Data[[#This Row],[Estimated Concrete Demand (m³)]]&lt;10000,"Small",
IF(Market_Data[[#This Row],[Estimated Concrete Demand (m³)]]&lt;25000,"Medium",
IF(Market_Data[[#This Row],[Estimated Concrete Demand (m³)]]&lt;100000,"Large","Mega"))))</f>
        <v>Small</v>
      </c>
      <c r="P1707" s="287" t="str">
        <f t="shared" si="28"/>
        <v>GujRERA</v>
      </c>
    </row>
    <row r="1708" spans="1:16">
      <c r="A1708" s="129" t="str">
        <f>_xlfn.XLOOKUP(B1708,$S$9:$S$14,$T$9:$T$14)&amp;"-"&amp;
IF(E1708="Residential/Group Housing","RES",
IF(E1708="Commercial","COM",
IF(E1708="Mixed Development","MIX",
IF(E1708="Plotted Development","PLT","OTH"))))
&amp;"-"&amp;TEXT(COUNTIFS($B$9:B1708,B1708,$E$9:E1708,E1708),"0000")</f>
        <v>SUR-PLT-0316</v>
      </c>
      <c r="B1708" s="322" t="s">
        <v>34</v>
      </c>
      <c r="C1708" s="322" t="s">
        <v>34</v>
      </c>
      <c r="D1708" s="323" t="s">
        <v>1898</v>
      </c>
      <c r="E1708" s="132" t="s">
        <v>26</v>
      </c>
      <c r="F1708" s="97" t="str">
        <f ca="1">IF(OR(Market_Data[[#This Row],[Start Date]]="",Market_Data[[#This Row],[Completion Date]]=""),"Needs Validation",IF(Market_Data[[#This Row],[Start Date]]&gt;TODAY(),"Planned",IF(Market_Data[[#This Row],[Completion Date]]&lt;TODAY(),"Completed","Ongoing")))</f>
        <v>Ongoing</v>
      </c>
      <c r="G1708" s="324">
        <v>45758</v>
      </c>
      <c r="H1708" s="324">
        <v>46752</v>
      </c>
      <c r="I1708" s="325">
        <v>9300</v>
      </c>
      <c r="J170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08" s="133">
        <f>_xlfn.XLOOKUP(Market_Data[[#This Row],[Project Type]],tbl_assumptions_market[Project Category (RERA)],tbl_assumptions_market[Concrete Intensity
(m³ / sq m BUA)],"",0)</f>
        <v>0.18</v>
      </c>
      <c r="L1708" s="134">
        <f>ROUND(Market_Data[[#This Row],[Estimated Built Up Area (sq m)]]*Market_Data[[#This Row],[Concrete Intensity
(m³ / sq m)]],0)</f>
        <v>1674</v>
      </c>
      <c r="M1708" s="135">
        <f>_xlfn.XLOOKUP(Market_Data[[#This Row],[District]],tbl_district_price[District],tbl_district_price[Standard Price
(INR/m³)],"",0)</f>
        <v>6200</v>
      </c>
      <c r="N1708" s="364">
        <f>IF(OR(Market_Data[[#This Row],[Estimated Concrete Demand (m³)]]="",Market_Data[[#This Row],[Avg Price per (₹ / m³)]]=""),"",Market_Data[[#This Row],[Estimated Concrete Demand (m³)]]*Market_Data[[#This Row],[Avg Price per (₹ / m³)]]/10000000)</f>
        <v>1.0378799999999999</v>
      </c>
      <c r="O1708" s="97" t="str">
        <f>IF(Market_Data[[#This Row],[Estimated Concrete Demand (m³)]]="","",
IF(Market_Data[[#This Row],[Estimated Concrete Demand (m³)]]&lt;10000,"Small",
IF(Market_Data[[#This Row],[Estimated Concrete Demand (m³)]]&lt;25000,"Medium",
IF(Market_Data[[#This Row],[Estimated Concrete Demand (m³)]]&lt;100000,"Large","Mega"))))</f>
        <v>Small</v>
      </c>
      <c r="P1708" s="287" t="str">
        <f t="shared" si="28"/>
        <v>GujRERA</v>
      </c>
    </row>
    <row r="1709" spans="1:16">
      <c r="A1709" s="129" t="str">
        <f>_xlfn.XLOOKUP(B1709,$S$9:$S$14,$T$9:$T$14)&amp;"-"&amp;
IF(E1709="Residential/Group Housing","RES",
IF(E1709="Commercial","COM",
IF(E1709="Mixed Development","MIX",
IF(E1709="Plotted Development","PLT","OTH"))))
&amp;"-"&amp;TEXT(COUNTIFS($B$9:B1709,B1709,$E$9:E1709,E1709),"0000")</f>
        <v>SUR-RES-0539</v>
      </c>
      <c r="B1709" s="322" t="s">
        <v>34</v>
      </c>
      <c r="C1709" s="322" t="s">
        <v>34</v>
      </c>
      <c r="D1709" s="323" t="s">
        <v>1899</v>
      </c>
      <c r="E1709" s="132" t="s">
        <v>24</v>
      </c>
      <c r="F1709" s="97" t="str">
        <f ca="1">IF(OR(Market_Data[[#This Row],[Start Date]]="",Market_Data[[#This Row],[Completion Date]]=""),"Needs Validation",IF(Market_Data[[#This Row],[Start Date]]&gt;TODAY(),"Planned",IF(Market_Data[[#This Row],[Completion Date]]&lt;TODAY(),"Completed","Ongoing")))</f>
        <v>Completed</v>
      </c>
      <c r="G1709" s="324">
        <v>42094</v>
      </c>
      <c r="H1709" s="324">
        <v>46172</v>
      </c>
      <c r="I1709" s="325">
        <v>26200</v>
      </c>
      <c r="J170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09" s="133">
        <f>_xlfn.XLOOKUP(Market_Data[[#This Row],[Project Type]],tbl_assumptions_market[Project Category (RERA)],tbl_assumptions_market[Concrete Intensity
(m³ / sq m BUA)],"",0)</f>
        <v>0.45</v>
      </c>
      <c r="L1709" s="134">
        <f>ROUND(Market_Data[[#This Row],[Estimated Built Up Area (sq m)]]*Market_Data[[#This Row],[Concrete Intensity
(m³ / sq m)]],0)</f>
        <v>11790</v>
      </c>
      <c r="M1709" s="135">
        <f>_xlfn.XLOOKUP(Market_Data[[#This Row],[District]],tbl_district_price[District],tbl_district_price[Standard Price
(INR/m³)],"",0)</f>
        <v>6200</v>
      </c>
      <c r="N1709" s="364">
        <f>IF(OR(Market_Data[[#This Row],[Estimated Concrete Demand (m³)]]="",Market_Data[[#This Row],[Avg Price per (₹ / m³)]]=""),"",Market_Data[[#This Row],[Estimated Concrete Demand (m³)]]*Market_Data[[#This Row],[Avg Price per (₹ / m³)]]/10000000)</f>
        <v>7.3098000000000001</v>
      </c>
      <c r="O1709" s="97" t="str">
        <f>IF(Market_Data[[#This Row],[Estimated Concrete Demand (m³)]]="","",
IF(Market_Data[[#This Row],[Estimated Concrete Demand (m³)]]&lt;10000,"Small",
IF(Market_Data[[#This Row],[Estimated Concrete Demand (m³)]]&lt;25000,"Medium",
IF(Market_Data[[#This Row],[Estimated Concrete Demand (m³)]]&lt;100000,"Large","Mega"))))</f>
        <v>Medium</v>
      </c>
      <c r="P1709" s="287" t="str">
        <f t="shared" si="28"/>
        <v>GujRERA</v>
      </c>
    </row>
    <row r="1710" spans="1:16">
      <c r="A1710" s="129" t="str">
        <f>_xlfn.XLOOKUP(B1710,$S$9:$S$14,$T$9:$T$14)&amp;"-"&amp;
IF(E1710="Residential/Group Housing","RES",
IF(E1710="Commercial","COM",
IF(E1710="Mixed Development","MIX",
IF(E1710="Plotted Development","PLT","OTH"))))
&amp;"-"&amp;TEXT(COUNTIFS($B$9:B1710,B1710,$E$9:E1710,E1710),"0000")</f>
        <v>SUR-MIX-0256</v>
      </c>
      <c r="B1710" s="322" t="s">
        <v>34</v>
      </c>
      <c r="C1710" s="322" t="s">
        <v>34</v>
      </c>
      <c r="D1710" s="323" t="s">
        <v>1900</v>
      </c>
      <c r="E1710" s="132" t="s">
        <v>25</v>
      </c>
      <c r="F1710" s="97" t="str">
        <f ca="1">IF(OR(Market_Data[[#This Row],[Start Date]]="",Market_Data[[#This Row],[Completion Date]]=""),"Needs Validation",IF(Market_Data[[#This Row],[Start Date]]&gt;TODAY(),"Planned",IF(Market_Data[[#This Row],[Completion Date]]&lt;TODAY(),"Completed","Ongoing")))</f>
        <v>Completed</v>
      </c>
      <c r="G1710" s="324">
        <v>43444</v>
      </c>
      <c r="H1710" s="324">
        <v>45838</v>
      </c>
      <c r="I1710" s="325">
        <v>18800</v>
      </c>
      <c r="J171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10" s="133">
        <f>_xlfn.XLOOKUP(Market_Data[[#This Row],[Project Type]],tbl_assumptions_market[Project Category (RERA)],tbl_assumptions_market[Concrete Intensity
(m³ / sq m BUA)],"",0)</f>
        <v>0.42</v>
      </c>
      <c r="L1710" s="134">
        <f>ROUND(Market_Data[[#This Row],[Estimated Built Up Area (sq m)]]*Market_Data[[#This Row],[Concrete Intensity
(m³ / sq m)]],0)</f>
        <v>7896</v>
      </c>
      <c r="M1710" s="135">
        <f>_xlfn.XLOOKUP(Market_Data[[#This Row],[District]],tbl_district_price[District],tbl_district_price[Standard Price
(INR/m³)],"",0)</f>
        <v>6200</v>
      </c>
      <c r="N1710" s="364">
        <f>IF(OR(Market_Data[[#This Row],[Estimated Concrete Demand (m³)]]="",Market_Data[[#This Row],[Avg Price per (₹ / m³)]]=""),"",Market_Data[[#This Row],[Estimated Concrete Demand (m³)]]*Market_Data[[#This Row],[Avg Price per (₹ / m³)]]/10000000)</f>
        <v>4.8955200000000003</v>
      </c>
      <c r="O1710" s="97" t="str">
        <f>IF(Market_Data[[#This Row],[Estimated Concrete Demand (m³)]]="","",
IF(Market_Data[[#This Row],[Estimated Concrete Demand (m³)]]&lt;10000,"Small",
IF(Market_Data[[#This Row],[Estimated Concrete Demand (m³)]]&lt;25000,"Medium",
IF(Market_Data[[#This Row],[Estimated Concrete Demand (m³)]]&lt;100000,"Large","Mega"))))</f>
        <v>Small</v>
      </c>
      <c r="P1710" s="287" t="str">
        <f t="shared" si="28"/>
        <v>GujRERA</v>
      </c>
    </row>
    <row r="1711" spans="1:16">
      <c r="A1711" s="129" t="str">
        <f>_xlfn.XLOOKUP(B1711,$S$9:$S$14,$T$9:$T$14)&amp;"-"&amp;
IF(E1711="Residential/Group Housing","RES",
IF(E1711="Commercial","COM",
IF(E1711="Mixed Development","MIX",
IF(E1711="Plotted Development","PLT","OTH"))))
&amp;"-"&amp;TEXT(COUNTIFS($B$9:B1711,B1711,$E$9:E1711,E1711),"0000")</f>
        <v>SUR-PLT-0317</v>
      </c>
      <c r="B1711" s="322" t="s">
        <v>34</v>
      </c>
      <c r="C1711" s="322" t="s">
        <v>34</v>
      </c>
      <c r="D1711" s="323" t="s">
        <v>1901</v>
      </c>
      <c r="E1711" s="132" t="s">
        <v>26</v>
      </c>
      <c r="F1711" s="97" t="str">
        <f ca="1">IF(OR(Market_Data[[#This Row],[Start Date]]="",Market_Data[[#This Row],[Completion Date]]=""),"Needs Validation",IF(Market_Data[[#This Row],[Start Date]]&gt;TODAY(),"Planned",IF(Market_Data[[#This Row],[Completion Date]]&lt;TODAY(),"Completed","Ongoing")))</f>
        <v>Completed</v>
      </c>
      <c r="G1711" s="324">
        <v>43497</v>
      </c>
      <c r="H1711" s="324">
        <v>45838</v>
      </c>
      <c r="I1711" s="325">
        <v>40900</v>
      </c>
      <c r="J171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711" s="133">
        <f>_xlfn.XLOOKUP(Market_Data[[#This Row],[Project Type]],tbl_assumptions_market[Project Category (RERA)],tbl_assumptions_market[Concrete Intensity
(m³ / sq m BUA)],"",0)</f>
        <v>0.18</v>
      </c>
      <c r="L1711" s="134">
        <f>ROUND(Market_Data[[#This Row],[Estimated Built Up Area (sq m)]]*Market_Data[[#This Row],[Concrete Intensity
(m³ / sq m)]],0)</f>
        <v>7362</v>
      </c>
      <c r="M1711" s="135">
        <f>_xlfn.XLOOKUP(Market_Data[[#This Row],[District]],tbl_district_price[District],tbl_district_price[Standard Price
(INR/m³)],"",0)</f>
        <v>6200</v>
      </c>
      <c r="N1711" s="364">
        <f>IF(OR(Market_Data[[#This Row],[Estimated Concrete Demand (m³)]]="",Market_Data[[#This Row],[Avg Price per (₹ / m³)]]=""),"",Market_Data[[#This Row],[Estimated Concrete Demand (m³)]]*Market_Data[[#This Row],[Avg Price per (₹ / m³)]]/10000000)</f>
        <v>4.5644400000000003</v>
      </c>
      <c r="O1711" s="97" t="str">
        <f>IF(Market_Data[[#This Row],[Estimated Concrete Demand (m³)]]="","",
IF(Market_Data[[#This Row],[Estimated Concrete Demand (m³)]]&lt;10000,"Small",
IF(Market_Data[[#This Row],[Estimated Concrete Demand (m³)]]&lt;25000,"Medium",
IF(Market_Data[[#This Row],[Estimated Concrete Demand (m³)]]&lt;100000,"Large","Mega"))))</f>
        <v>Small</v>
      </c>
      <c r="P1711" s="287" t="str">
        <f t="shared" si="28"/>
        <v>GujRERA</v>
      </c>
    </row>
    <row r="1712" spans="1:16">
      <c r="A1712" s="129" t="str">
        <f>_xlfn.XLOOKUP(B1712,$S$9:$S$14,$T$9:$T$14)&amp;"-"&amp;
IF(E1712="Residential/Group Housing","RES",
IF(E1712="Commercial","COM",
IF(E1712="Mixed Development","MIX",
IF(E1712="Plotted Development","PLT","OTH"))))
&amp;"-"&amp;TEXT(COUNTIFS($B$9:B1712,B1712,$E$9:E1712,E1712),"0000")</f>
        <v>SUR-RES-0540</v>
      </c>
      <c r="B1712" s="322" t="s">
        <v>34</v>
      </c>
      <c r="C1712" s="322" t="s">
        <v>34</v>
      </c>
      <c r="D1712" s="323" t="s">
        <v>1902</v>
      </c>
      <c r="E1712" s="132" t="s">
        <v>24</v>
      </c>
      <c r="F1712" s="97" t="str">
        <f ca="1">IF(OR(Market_Data[[#This Row],[Start Date]]="",Market_Data[[#This Row],[Completion Date]]=""),"Needs Validation",IF(Market_Data[[#This Row],[Start Date]]&gt;TODAY(),"Planned",IF(Market_Data[[#This Row],[Completion Date]]&lt;TODAY(),"Completed","Ongoing")))</f>
        <v>Ongoing</v>
      </c>
      <c r="G1712" s="324">
        <v>45323</v>
      </c>
      <c r="H1712" s="324">
        <v>47208</v>
      </c>
      <c r="I1712" s="325">
        <v>51700</v>
      </c>
      <c r="J171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12" s="133">
        <f>_xlfn.XLOOKUP(Market_Data[[#This Row],[Project Type]],tbl_assumptions_market[Project Category (RERA)],tbl_assumptions_market[Concrete Intensity
(m³ / sq m BUA)],"",0)</f>
        <v>0.45</v>
      </c>
      <c r="L1712" s="134">
        <f>ROUND(Market_Data[[#This Row],[Estimated Built Up Area (sq m)]]*Market_Data[[#This Row],[Concrete Intensity
(m³ / sq m)]],0)</f>
        <v>23265</v>
      </c>
      <c r="M1712" s="135">
        <f>_xlfn.XLOOKUP(Market_Data[[#This Row],[District]],tbl_district_price[District],tbl_district_price[Standard Price
(INR/m³)],"",0)</f>
        <v>6200</v>
      </c>
      <c r="N1712" s="364">
        <f>IF(OR(Market_Data[[#This Row],[Estimated Concrete Demand (m³)]]="",Market_Data[[#This Row],[Avg Price per (₹ / m³)]]=""),"",Market_Data[[#This Row],[Estimated Concrete Demand (m³)]]*Market_Data[[#This Row],[Avg Price per (₹ / m³)]]/10000000)</f>
        <v>14.424300000000001</v>
      </c>
      <c r="O1712" s="97" t="str">
        <f>IF(Market_Data[[#This Row],[Estimated Concrete Demand (m³)]]="","",
IF(Market_Data[[#This Row],[Estimated Concrete Demand (m³)]]&lt;10000,"Small",
IF(Market_Data[[#This Row],[Estimated Concrete Demand (m³)]]&lt;25000,"Medium",
IF(Market_Data[[#This Row],[Estimated Concrete Demand (m³)]]&lt;100000,"Large","Mega"))))</f>
        <v>Medium</v>
      </c>
      <c r="P1712" s="287" t="str">
        <f t="shared" si="28"/>
        <v>GujRERA</v>
      </c>
    </row>
    <row r="1713" spans="1:16">
      <c r="A1713" s="129" t="str">
        <f>_xlfn.XLOOKUP(B1713,$S$9:$S$14,$T$9:$T$14)&amp;"-"&amp;
IF(E1713="Residential/Group Housing","RES",
IF(E1713="Commercial","COM",
IF(E1713="Mixed Development","MIX",
IF(E1713="Plotted Development","PLT","OTH"))))
&amp;"-"&amp;TEXT(COUNTIFS($B$9:B1713,B1713,$E$9:E1713,E1713),"0000")</f>
        <v>SUR-MIX-0257</v>
      </c>
      <c r="B1713" s="322" t="s">
        <v>34</v>
      </c>
      <c r="C1713" s="322" t="s">
        <v>34</v>
      </c>
      <c r="D1713" s="323" t="s">
        <v>1903</v>
      </c>
      <c r="E1713" s="132" t="s">
        <v>25</v>
      </c>
      <c r="F1713" s="97" t="str">
        <f ca="1">IF(OR(Market_Data[[#This Row],[Start Date]]="",Market_Data[[#This Row],[Completion Date]]=""),"Needs Validation",IF(Market_Data[[#This Row],[Start Date]]&gt;TODAY(),"Planned",IF(Market_Data[[#This Row],[Completion Date]]&lt;TODAY(),"Completed","Ongoing")))</f>
        <v>Completed</v>
      </c>
      <c r="G1713" s="324">
        <v>42642</v>
      </c>
      <c r="H1713" s="324">
        <v>44742</v>
      </c>
      <c r="I1713" s="325">
        <v>12800</v>
      </c>
      <c r="J171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13" s="133">
        <f>_xlfn.XLOOKUP(Market_Data[[#This Row],[Project Type]],tbl_assumptions_market[Project Category (RERA)],tbl_assumptions_market[Concrete Intensity
(m³ / sq m BUA)],"",0)</f>
        <v>0.42</v>
      </c>
      <c r="L1713" s="134">
        <f>ROUND(Market_Data[[#This Row],[Estimated Built Up Area (sq m)]]*Market_Data[[#This Row],[Concrete Intensity
(m³ / sq m)]],0)</f>
        <v>5376</v>
      </c>
      <c r="M1713" s="135">
        <f>_xlfn.XLOOKUP(Market_Data[[#This Row],[District]],tbl_district_price[District],tbl_district_price[Standard Price
(INR/m³)],"",0)</f>
        <v>6200</v>
      </c>
      <c r="N1713" s="364">
        <f>IF(OR(Market_Data[[#This Row],[Estimated Concrete Demand (m³)]]="",Market_Data[[#This Row],[Avg Price per (₹ / m³)]]=""),"",Market_Data[[#This Row],[Estimated Concrete Demand (m³)]]*Market_Data[[#This Row],[Avg Price per (₹ / m³)]]/10000000)</f>
        <v>3.3331200000000001</v>
      </c>
      <c r="O1713" s="97" t="str">
        <f>IF(Market_Data[[#This Row],[Estimated Concrete Demand (m³)]]="","",
IF(Market_Data[[#This Row],[Estimated Concrete Demand (m³)]]&lt;10000,"Small",
IF(Market_Data[[#This Row],[Estimated Concrete Demand (m³)]]&lt;25000,"Medium",
IF(Market_Data[[#This Row],[Estimated Concrete Demand (m³)]]&lt;100000,"Large","Mega"))))</f>
        <v>Small</v>
      </c>
      <c r="P1713" s="287" t="str">
        <f t="shared" si="28"/>
        <v>GujRERA</v>
      </c>
    </row>
    <row r="1714" spans="1:16">
      <c r="A1714" s="129" t="str">
        <f>_xlfn.XLOOKUP(B1714,$S$9:$S$14,$T$9:$T$14)&amp;"-"&amp;
IF(E1714="Residential/Group Housing","RES",
IF(E1714="Commercial","COM",
IF(E1714="Mixed Development","MIX",
IF(E1714="Plotted Development","PLT","OTH"))))
&amp;"-"&amp;TEXT(COUNTIFS($B$9:B1714,B1714,$E$9:E1714,E1714),"0000")</f>
        <v>SUR-COM-0282</v>
      </c>
      <c r="B1714" s="322" t="s">
        <v>34</v>
      </c>
      <c r="C1714" s="322" t="s">
        <v>34</v>
      </c>
      <c r="D1714" s="323" t="s">
        <v>1904</v>
      </c>
      <c r="E1714" s="132" t="s">
        <v>23</v>
      </c>
      <c r="F1714" s="97" t="str">
        <f ca="1">IF(OR(Market_Data[[#This Row],[Start Date]]="",Market_Data[[#This Row],[Completion Date]]=""),"Needs Validation",IF(Market_Data[[#This Row],[Start Date]]&gt;TODAY(),"Planned",IF(Market_Data[[#This Row],[Completion Date]]&lt;TODAY(),"Completed","Ongoing")))</f>
        <v>Completed</v>
      </c>
      <c r="G1714" s="324">
        <v>44147</v>
      </c>
      <c r="H1714" s="324">
        <v>45231</v>
      </c>
      <c r="I1714" s="325">
        <v>29800</v>
      </c>
      <c r="J171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714" s="133">
        <f>_xlfn.XLOOKUP(Market_Data[[#This Row],[Project Type]],tbl_assumptions_market[Project Category (RERA)],tbl_assumptions_market[Concrete Intensity
(m³ / sq m BUA)],"",0)</f>
        <v>0.5</v>
      </c>
      <c r="L1714" s="134">
        <f>ROUND(Market_Data[[#This Row],[Estimated Built Up Area (sq m)]]*Market_Data[[#This Row],[Concrete Intensity
(m³ / sq m)]],0)</f>
        <v>14900</v>
      </c>
      <c r="M1714" s="135">
        <f>_xlfn.XLOOKUP(Market_Data[[#This Row],[District]],tbl_district_price[District],tbl_district_price[Standard Price
(INR/m³)],"",0)</f>
        <v>6200</v>
      </c>
      <c r="N1714" s="364">
        <f>IF(OR(Market_Data[[#This Row],[Estimated Concrete Demand (m³)]]="",Market_Data[[#This Row],[Avg Price per (₹ / m³)]]=""),"",Market_Data[[#This Row],[Estimated Concrete Demand (m³)]]*Market_Data[[#This Row],[Avg Price per (₹ / m³)]]/10000000)</f>
        <v>9.2379999999999995</v>
      </c>
      <c r="O1714" s="97" t="str">
        <f>IF(Market_Data[[#This Row],[Estimated Concrete Demand (m³)]]="","",
IF(Market_Data[[#This Row],[Estimated Concrete Demand (m³)]]&lt;10000,"Small",
IF(Market_Data[[#This Row],[Estimated Concrete Demand (m³)]]&lt;25000,"Medium",
IF(Market_Data[[#This Row],[Estimated Concrete Demand (m³)]]&lt;100000,"Large","Mega"))))</f>
        <v>Medium</v>
      </c>
      <c r="P1714" s="287" t="str">
        <f t="shared" si="28"/>
        <v>GujRERA</v>
      </c>
    </row>
    <row r="1715" spans="1:16">
      <c r="A1715" s="129" t="str">
        <f>_xlfn.XLOOKUP(B1715,$S$9:$S$14,$T$9:$T$14)&amp;"-"&amp;
IF(E1715="Residential/Group Housing","RES",
IF(E1715="Commercial","COM",
IF(E1715="Mixed Development","MIX",
IF(E1715="Plotted Development","PLT","OTH"))))
&amp;"-"&amp;TEXT(COUNTIFS($B$9:B1715,B1715,$E$9:E1715,E1715),"0000")</f>
        <v>SUR-COM-0283</v>
      </c>
      <c r="B1715" s="322" t="s">
        <v>34</v>
      </c>
      <c r="C1715" s="322" t="s">
        <v>34</v>
      </c>
      <c r="D1715" s="323" t="s">
        <v>1905</v>
      </c>
      <c r="E1715" s="132" t="s">
        <v>23</v>
      </c>
      <c r="F1715" s="97" t="str">
        <f ca="1">IF(OR(Market_Data[[#This Row],[Start Date]]="",Market_Data[[#This Row],[Completion Date]]=""),"Needs Validation",IF(Market_Data[[#This Row],[Start Date]]&gt;TODAY(),"Planned",IF(Market_Data[[#This Row],[Completion Date]]&lt;TODAY(),"Completed","Ongoing")))</f>
        <v>Ongoing</v>
      </c>
      <c r="G1715" s="324">
        <v>43831</v>
      </c>
      <c r="H1715" s="324">
        <v>46387</v>
      </c>
      <c r="I1715" s="325">
        <v>110500</v>
      </c>
      <c r="J171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715" s="133">
        <f>_xlfn.XLOOKUP(Market_Data[[#This Row],[Project Type]],tbl_assumptions_market[Project Category (RERA)],tbl_assumptions_market[Concrete Intensity
(m³ / sq m BUA)],"",0)</f>
        <v>0.5</v>
      </c>
      <c r="L1715" s="134">
        <f>ROUND(Market_Data[[#This Row],[Estimated Built Up Area (sq m)]]*Market_Data[[#This Row],[Concrete Intensity
(m³ / sq m)]],0)</f>
        <v>55250</v>
      </c>
      <c r="M1715" s="135">
        <f>_xlfn.XLOOKUP(Market_Data[[#This Row],[District]],tbl_district_price[District],tbl_district_price[Standard Price
(INR/m³)],"",0)</f>
        <v>6200</v>
      </c>
      <c r="N1715" s="364">
        <f>IF(OR(Market_Data[[#This Row],[Estimated Concrete Demand (m³)]]="",Market_Data[[#This Row],[Avg Price per (₹ / m³)]]=""),"",Market_Data[[#This Row],[Estimated Concrete Demand (m³)]]*Market_Data[[#This Row],[Avg Price per (₹ / m³)]]/10000000)</f>
        <v>34.255000000000003</v>
      </c>
      <c r="O1715" s="97" t="str">
        <f>IF(Market_Data[[#This Row],[Estimated Concrete Demand (m³)]]="","",
IF(Market_Data[[#This Row],[Estimated Concrete Demand (m³)]]&lt;10000,"Small",
IF(Market_Data[[#This Row],[Estimated Concrete Demand (m³)]]&lt;25000,"Medium",
IF(Market_Data[[#This Row],[Estimated Concrete Demand (m³)]]&lt;100000,"Large","Mega"))))</f>
        <v>Large</v>
      </c>
      <c r="P1715" s="287" t="str">
        <f t="shared" si="28"/>
        <v>GujRERA</v>
      </c>
    </row>
    <row r="1716" spans="1:16">
      <c r="A1716" s="129" t="str">
        <f>_xlfn.XLOOKUP(B1716,$S$9:$S$14,$T$9:$T$14)&amp;"-"&amp;
IF(E1716="Residential/Group Housing","RES",
IF(E1716="Commercial","COM",
IF(E1716="Mixed Development","MIX",
IF(E1716="Plotted Development","PLT","OTH"))))
&amp;"-"&amp;TEXT(COUNTIFS($B$9:B1716,B1716,$E$9:E1716,E1716),"0000")</f>
        <v>SUR-COM-0284</v>
      </c>
      <c r="B1716" s="322" t="s">
        <v>34</v>
      </c>
      <c r="C1716" s="322" t="s">
        <v>34</v>
      </c>
      <c r="D1716" s="323" t="s">
        <v>1906</v>
      </c>
      <c r="E1716" s="132" t="s">
        <v>23</v>
      </c>
      <c r="F1716" s="97" t="str">
        <f ca="1">IF(OR(Market_Data[[#This Row],[Start Date]]="",Market_Data[[#This Row],[Completion Date]]=""),"Needs Validation",IF(Market_Data[[#This Row],[Start Date]]&gt;TODAY(),"Planned",IF(Market_Data[[#This Row],[Completion Date]]&lt;TODAY(),"Completed","Ongoing")))</f>
        <v>Completed</v>
      </c>
      <c r="G1716" s="324">
        <v>42867</v>
      </c>
      <c r="H1716" s="324">
        <v>44377</v>
      </c>
      <c r="I1716" s="325">
        <v>44500</v>
      </c>
      <c r="J171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716" s="133">
        <f>_xlfn.XLOOKUP(Market_Data[[#This Row],[Project Type]],tbl_assumptions_market[Project Category (RERA)],tbl_assumptions_market[Concrete Intensity
(m³ / sq m BUA)],"",0)</f>
        <v>0.5</v>
      </c>
      <c r="L1716" s="134">
        <f>ROUND(Market_Data[[#This Row],[Estimated Built Up Area (sq m)]]*Market_Data[[#This Row],[Concrete Intensity
(m³ / sq m)]],0)</f>
        <v>22250</v>
      </c>
      <c r="M1716" s="135">
        <f>_xlfn.XLOOKUP(Market_Data[[#This Row],[District]],tbl_district_price[District],tbl_district_price[Standard Price
(INR/m³)],"",0)</f>
        <v>6200</v>
      </c>
      <c r="N1716" s="364">
        <f>IF(OR(Market_Data[[#This Row],[Estimated Concrete Demand (m³)]]="",Market_Data[[#This Row],[Avg Price per (₹ / m³)]]=""),"",Market_Data[[#This Row],[Estimated Concrete Demand (m³)]]*Market_Data[[#This Row],[Avg Price per (₹ / m³)]]/10000000)</f>
        <v>13.795</v>
      </c>
      <c r="O1716" s="97" t="str">
        <f>IF(Market_Data[[#This Row],[Estimated Concrete Demand (m³)]]="","",
IF(Market_Data[[#This Row],[Estimated Concrete Demand (m³)]]&lt;10000,"Small",
IF(Market_Data[[#This Row],[Estimated Concrete Demand (m³)]]&lt;25000,"Medium",
IF(Market_Data[[#This Row],[Estimated Concrete Demand (m³)]]&lt;100000,"Large","Mega"))))</f>
        <v>Medium</v>
      </c>
      <c r="P1716" s="287" t="str">
        <f t="shared" si="28"/>
        <v>GujRERA</v>
      </c>
    </row>
    <row r="1717" spans="1:16">
      <c r="A1717" s="129" t="str">
        <f>_xlfn.XLOOKUP(B1717,$S$9:$S$14,$T$9:$T$14)&amp;"-"&amp;
IF(E1717="Residential/Group Housing","RES",
IF(E1717="Commercial","COM",
IF(E1717="Mixed Development","MIX",
IF(E1717="Plotted Development","PLT","OTH"))))
&amp;"-"&amp;TEXT(COUNTIFS($B$9:B1717,B1717,$E$9:E1717,E1717),"0000")</f>
        <v>SUR-COM-0285</v>
      </c>
      <c r="B1717" s="322" t="s">
        <v>34</v>
      </c>
      <c r="C1717" s="322" t="s">
        <v>34</v>
      </c>
      <c r="D1717" s="323" t="s">
        <v>1907</v>
      </c>
      <c r="E1717" s="132" t="s">
        <v>23</v>
      </c>
      <c r="F1717" s="97" t="str">
        <f ca="1">IF(OR(Market_Data[[#This Row],[Start Date]]="",Market_Data[[#This Row],[Completion Date]]=""),"Needs Validation",IF(Market_Data[[#This Row],[Start Date]]&gt;TODAY(),"Planned",IF(Market_Data[[#This Row],[Completion Date]]&lt;TODAY(),"Completed","Ongoing")))</f>
        <v>Ongoing</v>
      </c>
      <c r="G1717" s="324">
        <v>44560</v>
      </c>
      <c r="H1717" s="324">
        <v>46752</v>
      </c>
      <c r="I1717" s="325">
        <v>45000</v>
      </c>
      <c r="J171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717" s="133">
        <f>_xlfn.XLOOKUP(Market_Data[[#This Row],[Project Type]],tbl_assumptions_market[Project Category (RERA)],tbl_assumptions_market[Concrete Intensity
(m³ / sq m BUA)],"",0)</f>
        <v>0.5</v>
      </c>
      <c r="L1717" s="134">
        <f>ROUND(Market_Data[[#This Row],[Estimated Built Up Area (sq m)]]*Market_Data[[#This Row],[Concrete Intensity
(m³ / sq m)]],0)</f>
        <v>22500</v>
      </c>
      <c r="M1717" s="135">
        <f>_xlfn.XLOOKUP(Market_Data[[#This Row],[District]],tbl_district_price[District],tbl_district_price[Standard Price
(INR/m³)],"",0)</f>
        <v>6200</v>
      </c>
      <c r="N1717" s="364">
        <f>IF(OR(Market_Data[[#This Row],[Estimated Concrete Demand (m³)]]="",Market_Data[[#This Row],[Avg Price per (₹ / m³)]]=""),"",Market_Data[[#This Row],[Estimated Concrete Demand (m³)]]*Market_Data[[#This Row],[Avg Price per (₹ / m³)]]/10000000)</f>
        <v>13.95</v>
      </c>
      <c r="O1717" s="97" t="str">
        <f>IF(Market_Data[[#This Row],[Estimated Concrete Demand (m³)]]="","",
IF(Market_Data[[#This Row],[Estimated Concrete Demand (m³)]]&lt;10000,"Small",
IF(Market_Data[[#This Row],[Estimated Concrete Demand (m³)]]&lt;25000,"Medium",
IF(Market_Data[[#This Row],[Estimated Concrete Demand (m³)]]&lt;100000,"Large","Mega"))))</f>
        <v>Medium</v>
      </c>
      <c r="P1717" s="287" t="str">
        <f t="shared" si="28"/>
        <v>GujRERA</v>
      </c>
    </row>
    <row r="1718" spans="1:16">
      <c r="A1718" s="129" t="str">
        <f>_xlfn.XLOOKUP(B1718,$S$9:$S$14,$T$9:$T$14)&amp;"-"&amp;
IF(E1718="Residential/Group Housing","RES",
IF(E1718="Commercial","COM",
IF(E1718="Mixed Development","MIX",
IF(E1718="Plotted Development","PLT","OTH"))))
&amp;"-"&amp;TEXT(COUNTIFS($B$9:B1718,B1718,$E$9:E1718,E1718),"0000")</f>
        <v>SUR-PLT-0318</v>
      </c>
      <c r="B1718" s="322" t="s">
        <v>34</v>
      </c>
      <c r="C1718" s="322" t="s">
        <v>34</v>
      </c>
      <c r="D1718" s="323" t="s">
        <v>1908</v>
      </c>
      <c r="E1718" s="132" t="s">
        <v>26</v>
      </c>
      <c r="F1718" s="97" t="str">
        <f ca="1">IF(OR(Market_Data[[#This Row],[Start Date]]="",Market_Data[[#This Row],[Completion Date]]=""),"Needs Validation",IF(Market_Data[[#This Row],[Start Date]]&gt;TODAY(),"Planned",IF(Market_Data[[#This Row],[Completion Date]]&lt;TODAY(),"Completed","Ongoing")))</f>
        <v>Completed</v>
      </c>
      <c r="G1718" s="324">
        <v>45800</v>
      </c>
      <c r="H1718" s="324">
        <v>46112</v>
      </c>
      <c r="I1718" s="325">
        <v>13000</v>
      </c>
      <c r="J171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18" s="133">
        <f>_xlfn.XLOOKUP(Market_Data[[#This Row],[Project Type]],tbl_assumptions_market[Project Category (RERA)],tbl_assumptions_market[Concrete Intensity
(m³ / sq m BUA)],"",0)</f>
        <v>0.18</v>
      </c>
      <c r="L1718" s="134">
        <f>ROUND(Market_Data[[#This Row],[Estimated Built Up Area (sq m)]]*Market_Data[[#This Row],[Concrete Intensity
(m³ / sq m)]],0)</f>
        <v>2340</v>
      </c>
      <c r="M1718" s="135">
        <f>_xlfn.XLOOKUP(Market_Data[[#This Row],[District]],tbl_district_price[District],tbl_district_price[Standard Price
(INR/m³)],"",0)</f>
        <v>6200</v>
      </c>
      <c r="N1718" s="364">
        <f>IF(OR(Market_Data[[#This Row],[Estimated Concrete Demand (m³)]]="",Market_Data[[#This Row],[Avg Price per (₹ / m³)]]=""),"",Market_Data[[#This Row],[Estimated Concrete Demand (m³)]]*Market_Data[[#This Row],[Avg Price per (₹ / m³)]]/10000000)</f>
        <v>1.4508000000000001</v>
      </c>
      <c r="O1718" s="97" t="str">
        <f>IF(Market_Data[[#This Row],[Estimated Concrete Demand (m³)]]="","",
IF(Market_Data[[#This Row],[Estimated Concrete Demand (m³)]]&lt;10000,"Small",
IF(Market_Data[[#This Row],[Estimated Concrete Demand (m³)]]&lt;25000,"Medium",
IF(Market_Data[[#This Row],[Estimated Concrete Demand (m³)]]&lt;100000,"Large","Mega"))))</f>
        <v>Small</v>
      </c>
      <c r="P1718" s="287" t="str">
        <f t="shared" si="28"/>
        <v>GujRERA</v>
      </c>
    </row>
    <row r="1719" spans="1:16">
      <c r="A1719" s="129" t="str">
        <f>_xlfn.XLOOKUP(B1719,$S$9:$S$14,$T$9:$T$14)&amp;"-"&amp;
IF(E1719="Residential/Group Housing","RES",
IF(E1719="Commercial","COM",
IF(E1719="Mixed Development","MIX",
IF(E1719="Plotted Development","PLT","OTH"))))
&amp;"-"&amp;TEXT(COUNTIFS($B$9:B1719,B1719,$E$9:E1719,E1719),"0000")</f>
        <v>SUR-COM-0286</v>
      </c>
      <c r="B1719" s="322" t="s">
        <v>34</v>
      </c>
      <c r="C1719" s="322" t="s">
        <v>34</v>
      </c>
      <c r="D1719" s="323" t="s">
        <v>1909</v>
      </c>
      <c r="E1719" s="132" t="s">
        <v>23</v>
      </c>
      <c r="F1719" s="97" t="str">
        <f ca="1">IF(OR(Market_Data[[#This Row],[Start Date]]="",Market_Data[[#This Row],[Completion Date]]=""),"Needs Validation",IF(Market_Data[[#This Row],[Start Date]]&gt;TODAY(),"Planned",IF(Market_Data[[#This Row],[Completion Date]]&lt;TODAY(),"Completed","Ongoing")))</f>
        <v>Ongoing</v>
      </c>
      <c r="G1719" s="324">
        <v>45831</v>
      </c>
      <c r="H1719" s="324">
        <v>47848</v>
      </c>
      <c r="I1719" s="325">
        <v>52900</v>
      </c>
      <c r="J171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719" s="133">
        <f>_xlfn.XLOOKUP(Market_Data[[#This Row],[Project Type]],tbl_assumptions_market[Project Category (RERA)],tbl_assumptions_market[Concrete Intensity
(m³ / sq m BUA)],"",0)</f>
        <v>0.5</v>
      </c>
      <c r="L1719" s="134">
        <f>ROUND(Market_Data[[#This Row],[Estimated Built Up Area (sq m)]]*Market_Data[[#This Row],[Concrete Intensity
(m³ / sq m)]],0)</f>
        <v>26450</v>
      </c>
      <c r="M1719" s="135">
        <f>_xlfn.XLOOKUP(Market_Data[[#This Row],[District]],tbl_district_price[District],tbl_district_price[Standard Price
(INR/m³)],"",0)</f>
        <v>6200</v>
      </c>
      <c r="N1719" s="364">
        <f>IF(OR(Market_Data[[#This Row],[Estimated Concrete Demand (m³)]]="",Market_Data[[#This Row],[Avg Price per (₹ / m³)]]=""),"",Market_Data[[#This Row],[Estimated Concrete Demand (m³)]]*Market_Data[[#This Row],[Avg Price per (₹ / m³)]]/10000000)</f>
        <v>16.399000000000001</v>
      </c>
      <c r="O1719" s="97" t="str">
        <f>IF(Market_Data[[#This Row],[Estimated Concrete Demand (m³)]]="","",
IF(Market_Data[[#This Row],[Estimated Concrete Demand (m³)]]&lt;10000,"Small",
IF(Market_Data[[#This Row],[Estimated Concrete Demand (m³)]]&lt;25000,"Medium",
IF(Market_Data[[#This Row],[Estimated Concrete Demand (m³)]]&lt;100000,"Large","Mega"))))</f>
        <v>Large</v>
      </c>
      <c r="P1719" s="287" t="str">
        <f t="shared" si="28"/>
        <v>GujRERA</v>
      </c>
    </row>
    <row r="1720" spans="1:16">
      <c r="A1720" s="129" t="str">
        <f>_xlfn.XLOOKUP(B1720,$S$9:$S$14,$T$9:$T$14)&amp;"-"&amp;
IF(E1720="Residential/Group Housing","RES",
IF(E1720="Commercial","COM",
IF(E1720="Mixed Development","MIX",
IF(E1720="Plotted Development","PLT","OTH"))))
&amp;"-"&amp;TEXT(COUNTIFS($B$9:B1720,B1720,$E$9:E1720,E1720),"0000")</f>
        <v>SUR-MIX-0258</v>
      </c>
      <c r="B1720" s="322" t="s">
        <v>34</v>
      </c>
      <c r="C1720" s="322" t="s">
        <v>34</v>
      </c>
      <c r="D1720" s="323" t="s">
        <v>1910</v>
      </c>
      <c r="E1720" s="132" t="s">
        <v>25</v>
      </c>
      <c r="F1720" s="97" t="str">
        <f ca="1">IF(OR(Market_Data[[#This Row],[Start Date]]="",Market_Data[[#This Row],[Completion Date]]=""),"Needs Validation",IF(Market_Data[[#This Row],[Start Date]]&gt;TODAY(),"Planned",IF(Market_Data[[#This Row],[Completion Date]]&lt;TODAY(),"Completed","Ongoing")))</f>
        <v>Completed</v>
      </c>
      <c r="G1720" s="324">
        <v>43573</v>
      </c>
      <c r="H1720" s="324">
        <v>45473</v>
      </c>
      <c r="I1720" s="325">
        <v>5000</v>
      </c>
      <c r="J172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720" s="133">
        <f>_xlfn.XLOOKUP(Market_Data[[#This Row],[Project Type]],tbl_assumptions_market[Project Category (RERA)],tbl_assumptions_market[Concrete Intensity
(m³ / sq m BUA)],"",0)</f>
        <v>0.42</v>
      </c>
      <c r="L1720" s="134">
        <f>ROUND(Market_Data[[#This Row],[Estimated Built Up Area (sq m)]]*Market_Data[[#This Row],[Concrete Intensity
(m³ / sq m)]],0)</f>
        <v>2100</v>
      </c>
      <c r="M1720" s="135">
        <f>_xlfn.XLOOKUP(Market_Data[[#This Row],[District]],tbl_district_price[District],tbl_district_price[Standard Price
(INR/m³)],"",0)</f>
        <v>6200</v>
      </c>
      <c r="N1720" s="364">
        <f>IF(OR(Market_Data[[#This Row],[Estimated Concrete Demand (m³)]]="",Market_Data[[#This Row],[Avg Price per (₹ / m³)]]=""),"",Market_Data[[#This Row],[Estimated Concrete Demand (m³)]]*Market_Data[[#This Row],[Avg Price per (₹ / m³)]]/10000000)</f>
        <v>1.302</v>
      </c>
      <c r="O1720" s="97" t="str">
        <f>IF(Market_Data[[#This Row],[Estimated Concrete Demand (m³)]]="","",
IF(Market_Data[[#This Row],[Estimated Concrete Demand (m³)]]&lt;10000,"Small",
IF(Market_Data[[#This Row],[Estimated Concrete Demand (m³)]]&lt;25000,"Medium",
IF(Market_Data[[#This Row],[Estimated Concrete Demand (m³)]]&lt;100000,"Large","Mega"))))</f>
        <v>Small</v>
      </c>
      <c r="P1720" s="287" t="str">
        <f t="shared" si="28"/>
        <v>GujRERA</v>
      </c>
    </row>
    <row r="1721" spans="1:16">
      <c r="A1721" s="129" t="str">
        <f>_xlfn.XLOOKUP(B1721,$S$9:$S$14,$T$9:$T$14)&amp;"-"&amp;
IF(E1721="Residential/Group Housing","RES",
IF(E1721="Commercial","COM",
IF(E1721="Mixed Development","MIX",
IF(E1721="Plotted Development","PLT","OTH"))))
&amp;"-"&amp;TEXT(COUNTIFS($B$9:B1721,B1721,$E$9:E1721,E1721),"0000")</f>
        <v>SUR-RES-0541</v>
      </c>
      <c r="B1721" s="322" t="s">
        <v>34</v>
      </c>
      <c r="C1721" s="322" t="s">
        <v>34</v>
      </c>
      <c r="D1721" s="323" t="s">
        <v>1911</v>
      </c>
      <c r="E1721" s="132" t="s">
        <v>24</v>
      </c>
      <c r="F1721" s="97" t="str">
        <f ca="1">IF(OR(Market_Data[[#This Row],[Start Date]]="",Market_Data[[#This Row],[Completion Date]]=""),"Needs Validation",IF(Market_Data[[#This Row],[Start Date]]&gt;TODAY(),"Planned",IF(Market_Data[[#This Row],[Completion Date]]&lt;TODAY(),"Completed","Ongoing")))</f>
        <v>Ongoing</v>
      </c>
      <c r="G1721" s="324">
        <v>44932</v>
      </c>
      <c r="H1721" s="324">
        <v>46752</v>
      </c>
      <c r="I1721" s="325">
        <v>24000</v>
      </c>
      <c r="J172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21" s="133">
        <f>_xlfn.XLOOKUP(Market_Data[[#This Row],[Project Type]],tbl_assumptions_market[Project Category (RERA)],tbl_assumptions_market[Concrete Intensity
(m³ / sq m BUA)],"",0)</f>
        <v>0.45</v>
      </c>
      <c r="L1721" s="134">
        <f>ROUND(Market_Data[[#This Row],[Estimated Built Up Area (sq m)]]*Market_Data[[#This Row],[Concrete Intensity
(m³ / sq m)]],0)</f>
        <v>10800</v>
      </c>
      <c r="M1721" s="135">
        <f>_xlfn.XLOOKUP(Market_Data[[#This Row],[District]],tbl_district_price[District],tbl_district_price[Standard Price
(INR/m³)],"",0)</f>
        <v>6200</v>
      </c>
      <c r="N1721" s="364">
        <f>IF(OR(Market_Data[[#This Row],[Estimated Concrete Demand (m³)]]="",Market_Data[[#This Row],[Avg Price per (₹ / m³)]]=""),"",Market_Data[[#This Row],[Estimated Concrete Demand (m³)]]*Market_Data[[#This Row],[Avg Price per (₹ / m³)]]/10000000)</f>
        <v>6.6959999999999997</v>
      </c>
      <c r="O1721" s="97" t="str">
        <f>IF(Market_Data[[#This Row],[Estimated Concrete Demand (m³)]]="","",
IF(Market_Data[[#This Row],[Estimated Concrete Demand (m³)]]&lt;10000,"Small",
IF(Market_Data[[#This Row],[Estimated Concrete Demand (m³)]]&lt;25000,"Medium",
IF(Market_Data[[#This Row],[Estimated Concrete Demand (m³)]]&lt;100000,"Large","Mega"))))</f>
        <v>Medium</v>
      </c>
      <c r="P1721" s="287" t="str">
        <f t="shared" si="28"/>
        <v>GujRERA</v>
      </c>
    </row>
    <row r="1722" spans="1:16">
      <c r="A1722" s="129" t="str">
        <f>_xlfn.XLOOKUP(B1722,$S$9:$S$14,$T$9:$T$14)&amp;"-"&amp;
IF(E1722="Residential/Group Housing","RES",
IF(E1722="Commercial","COM",
IF(E1722="Mixed Development","MIX",
IF(E1722="Plotted Development","PLT","OTH"))))
&amp;"-"&amp;TEXT(COUNTIFS($B$9:B1722,B1722,$E$9:E1722,E1722),"0000")</f>
        <v>SUR-PLT-0319</v>
      </c>
      <c r="B1722" s="322" t="s">
        <v>34</v>
      </c>
      <c r="C1722" s="322" t="s">
        <v>34</v>
      </c>
      <c r="D1722" s="323" t="s">
        <v>1912</v>
      </c>
      <c r="E1722" s="132" t="s">
        <v>26</v>
      </c>
      <c r="F1722" s="97" t="str">
        <f ca="1">IF(OR(Market_Data[[#This Row],[Start Date]]="",Market_Data[[#This Row],[Completion Date]]=""),"Needs Validation",IF(Market_Data[[#This Row],[Start Date]]&gt;TODAY(),"Planned",IF(Market_Data[[#This Row],[Completion Date]]&lt;TODAY(),"Completed","Ongoing")))</f>
        <v>Completed</v>
      </c>
      <c r="G1722" s="324">
        <v>43358</v>
      </c>
      <c r="H1722" s="324">
        <v>44635</v>
      </c>
      <c r="I1722" s="325">
        <v>48100</v>
      </c>
      <c r="J172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722" s="133">
        <f>_xlfn.XLOOKUP(Market_Data[[#This Row],[Project Type]],tbl_assumptions_market[Project Category (RERA)],tbl_assumptions_market[Concrete Intensity
(m³ / sq m BUA)],"",0)</f>
        <v>0.18</v>
      </c>
      <c r="L1722" s="134">
        <f>ROUND(Market_Data[[#This Row],[Estimated Built Up Area (sq m)]]*Market_Data[[#This Row],[Concrete Intensity
(m³ / sq m)]],0)</f>
        <v>8658</v>
      </c>
      <c r="M1722" s="135">
        <f>_xlfn.XLOOKUP(Market_Data[[#This Row],[District]],tbl_district_price[District],tbl_district_price[Standard Price
(INR/m³)],"",0)</f>
        <v>6200</v>
      </c>
      <c r="N1722" s="364">
        <f>IF(OR(Market_Data[[#This Row],[Estimated Concrete Demand (m³)]]="",Market_Data[[#This Row],[Avg Price per (₹ / m³)]]=""),"",Market_Data[[#This Row],[Estimated Concrete Demand (m³)]]*Market_Data[[#This Row],[Avg Price per (₹ / m³)]]/10000000)</f>
        <v>5.3679600000000001</v>
      </c>
      <c r="O1722" s="97" t="str">
        <f>IF(Market_Data[[#This Row],[Estimated Concrete Demand (m³)]]="","",
IF(Market_Data[[#This Row],[Estimated Concrete Demand (m³)]]&lt;10000,"Small",
IF(Market_Data[[#This Row],[Estimated Concrete Demand (m³)]]&lt;25000,"Medium",
IF(Market_Data[[#This Row],[Estimated Concrete Demand (m³)]]&lt;100000,"Large","Mega"))))</f>
        <v>Small</v>
      </c>
      <c r="P1722" s="287" t="str">
        <f t="shared" si="28"/>
        <v>GujRERA</v>
      </c>
    </row>
    <row r="1723" spans="1:16">
      <c r="A1723" s="129" t="str">
        <f>_xlfn.XLOOKUP(B1723,$S$9:$S$14,$T$9:$T$14)&amp;"-"&amp;
IF(E1723="Residential/Group Housing","RES",
IF(E1723="Commercial","COM",
IF(E1723="Mixed Development","MIX",
IF(E1723="Plotted Development","PLT","OTH"))))
&amp;"-"&amp;TEXT(COUNTIFS($B$9:B1723,B1723,$E$9:E1723,E1723),"0000")</f>
        <v>SUR-MIX-0259</v>
      </c>
      <c r="B1723" s="322" t="s">
        <v>34</v>
      </c>
      <c r="C1723" s="322" t="s">
        <v>34</v>
      </c>
      <c r="D1723" s="323" t="s">
        <v>1913</v>
      </c>
      <c r="E1723" s="132" t="s">
        <v>25</v>
      </c>
      <c r="F1723" s="97" t="str">
        <f ca="1">IF(OR(Market_Data[[#This Row],[Start Date]]="",Market_Data[[#This Row],[Completion Date]]=""),"Needs Validation",IF(Market_Data[[#This Row],[Start Date]]&gt;TODAY(),"Planned",IF(Market_Data[[#This Row],[Completion Date]]&lt;TODAY(),"Completed","Ongoing")))</f>
        <v>Ongoing</v>
      </c>
      <c r="G1723" s="324">
        <v>44847</v>
      </c>
      <c r="H1723" s="324">
        <v>47483</v>
      </c>
      <c r="I1723" s="325">
        <v>3400</v>
      </c>
      <c r="J172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723" s="133">
        <f>_xlfn.XLOOKUP(Market_Data[[#This Row],[Project Type]],tbl_assumptions_market[Project Category (RERA)],tbl_assumptions_market[Concrete Intensity
(m³ / sq m BUA)],"",0)</f>
        <v>0.42</v>
      </c>
      <c r="L1723" s="134">
        <f>ROUND(Market_Data[[#This Row],[Estimated Built Up Area (sq m)]]*Market_Data[[#This Row],[Concrete Intensity
(m³ / sq m)]],0)</f>
        <v>1428</v>
      </c>
      <c r="M1723" s="135">
        <f>_xlfn.XLOOKUP(Market_Data[[#This Row],[District]],tbl_district_price[District],tbl_district_price[Standard Price
(INR/m³)],"",0)</f>
        <v>6200</v>
      </c>
      <c r="N1723" s="364">
        <f>IF(OR(Market_Data[[#This Row],[Estimated Concrete Demand (m³)]]="",Market_Data[[#This Row],[Avg Price per (₹ / m³)]]=""),"",Market_Data[[#This Row],[Estimated Concrete Demand (m³)]]*Market_Data[[#This Row],[Avg Price per (₹ / m³)]]/10000000)</f>
        <v>0.88536000000000004</v>
      </c>
      <c r="O1723" s="97" t="str">
        <f>IF(Market_Data[[#This Row],[Estimated Concrete Demand (m³)]]="","",
IF(Market_Data[[#This Row],[Estimated Concrete Demand (m³)]]&lt;10000,"Small",
IF(Market_Data[[#This Row],[Estimated Concrete Demand (m³)]]&lt;25000,"Medium",
IF(Market_Data[[#This Row],[Estimated Concrete Demand (m³)]]&lt;100000,"Large","Mega"))))</f>
        <v>Small</v>
      </c>
      <c r="P1723" s="287" t="str">
        <f t="shared" si="28"/>
        <v>GujRERA</v>
      </c>
    </row>
    <row r="1724" spans="1:16">
      <c r="A1724" s="129" t="str">
        <f>_xlfn.XLOOKUP(B1724,$S$9:$S$14,$T$9:$T$14)&amp;"-"&amp;
IF(E1724="Residential/Group Housing","RES",
IF(E1724="Commercial","COM",
IF(E1724="Mixed Development","MIX",
IF(E1724="Plotted Development","PLT","OTH"))))
&amp;"-"&amp;TEXT(COUNTIFS($B$9:B1724,B1724,$E$9:E1724,E1724),"0000")</f>
        <v>SUR-MIX-0260</v>
      </c>
      <c r="B1724" s="322" t="s">
        <v>34</v>
      </c>
      <c r="C1724" s="322" t="s">
        <v>34</v>
      </c>
      <c r="D1724" s="323" t="s">
        <v>1914</v>
      </c>
      <c r="E1724" s="132" t="s">
        <v>25</v>
      </c>
      <c r="F1724" s="97" t="str">
        <f ca="1">IF(OR(Market_Data[[#This Row],[Start Date]]="",Market_Data[[#This Row],[Completion Date]]=""),"Needs Validation",IF(Market_Data[[#This Row],[Start Date]]&gt;TODAY(),"Planned",IF(Market_Data[[#This Row],[Completion Date]]&lt;TODAY(),"Completed","Ongoing")))</f>
        <v>Completed</v>
      </c>
      <c r="G1724" s="324">
        <v>43893</v>
      </c>
      <c r="H1724" s="324">
        <v>45199</v>
      </c>
      <c r="I1724" s="325">
        <v>48900</v>
      </c>
      <c r="J172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24" s="133">
        <f>_xlfn.XLOOKUP(Market_Data[[#This Row],[Project Type]],tbl_assumptions_market[Project Category (RERA)],tbl_assumptions_market[Concrete Intensity
(m³ / sq m BUA)],"",0)</f>
        <v>0.42</v>
      </c>
      <c r="L1724" s="134">
        <f>ROUND(Market_Data[[#This Row],[Estimated Built Up Area (sq m)]]*Market_Data[[#This Row],[Concrete Intensity
(m³ / sq m)]],0)</f>
        <v>20538</v>
      </c>
      <c r="M1724" s="135">
        <f>_xlfn.XLOOKUP(Market_Data[[#This Row],[District]],tbl_district_price[District],tbl_district_price[Standard Price
(INR/m³)],"",0)</f>
        <v>6200</v>
      </c>
      <c r="N1724" s="364">
        <f>IF(OR(Market_Data[[#This Row],[Estimated Concrete Demand (m³)]]="",Market_Data[[#This Row],[Avg Price per (₹ / m³)]]=""),"",Market_Data[[#This Row],[Estimated Concrete Demand (m³)]]*Market_Data[[#This Row],[Avg Price per (₹ / m³)]]/10000000)</f>
        <v>12.733560000000001</v>
      </c>
      <c r="O1724" s="97" t="str">
        <f>IF(Market_Data[[#This Row],[Estimated Concrete Demand (m³)]]="","",
IF(Market_Data[[#This Row],[Estimated Concrete Demand (m³)]]&lt;10000,"Small",
IF(Market_Data[[#This Row],[Estimated Concrete Demand (m³)]]&lt;25000,"Medium",
IF(Market_Data[[#This Row],[Estimated Concrete Demand (m³)]]&lt;100000,"Large","Mega"))))</f>
        <v>Medium</v>
      </c>
      <c r="P1724" s="287" t="str">
        <f t="shared" si="28"/>
        <v>GujRERA</v>
      </c>
    </row>
    <row r="1725" spans="1:16">
      <c r="A1725" s="129" t="str">
        <f>_xlfn.XLOOKUP(B1725,$S$9:$S$14,$T$9:$T$14)&amp;"-"&amp;
IF(E1725="Residential/Group Housing","RES",
IF(E1725="Commercial","COM",
IF(E1725="Mixed Development","MIX",
IF(E1725="Plotted Development","PLT","OTH"))))
&amp;"-"&amp;TEXT(COUNTIFS($B$9:B1725,B1725,$E$9:E1725,E1725),"0000")</f>
        <v>SUR-MIX-0261</v>
      </c>
      <c r="B1725" s="322" t="s">
        <v>34</v>
      </c>
      <c r="C1725" s="322" t="s">
        <v>34</v>
      </c>
      <c r="D1725" s="323" t="s">
        <v>1915</v>
      </c>
      <c r="E1725" s="132" t="s">
        <v>25</v>
      </c>
      <c r="F1725" s="97" t="str">
        <f ca="1">IF(OR(Market_Data[[#This Row],[Start Date]]="",Market_Data[[#This Row],[Completion Date]]=""),"Needs Validation",IF(Market_Data[[#This Row],[Start Date]]&gt;TODAY(),"Planned",IF(Market_Data[[#This Row],[Completion Date]]&lt;TODAY(),"Completed","Ongoing")))</f>
        <v>Completed</v>
      </c>
      <c r="G1725" s="324">
        <v>40924</v>
      </c>
      <c r="H1725" s="324">
        <v>46077</v>
      </c>
      <c r="I1725" s="325">
        <v>46400</v>
      </c>
      <c r="J172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25" s="133">
        <f>_xlfn.XLOOKUP(Market_Data[[#This Row],[Project Type]],tbl_assumptions_market[Project Category (RERA)],tbl_assumptions_market[Concrete Intensity
(m³ / sq m BUA)],"",0)</f>
        <v>0.42</v>
      </c>
      <c r="L1725" s="134">
        <f>ROUND(Market_Data[[#This Row],[Estimated Built Up Area (sq m)]]*Market_Data[[#This Row],[Concrete Intensity
(m³ / sq m)]],0)</f>
        <v>19488</v>
      </c>
      <c r="M1725" s="135">
        <f>_xlfn.XLOOKUP(Market_Data[[#This Row],[District]],tbl_district_price[District],tbl_district_price[Standard Price
(INR/m³)],"",0)</f>
        <v>6200</v>
      </c>
      <c r="N1725" s="364">
        <f>IF(OR(Market_Data[[#This Row],[Estimated Concrete Demand (m³)]]="",Market_Data[[#This Row],[Avg Price per (₹ / m³)]]=""),"",Market_Data[[#This Row],[Estimated Concrete Demand (m³)]]*Market_Data[[#This Row],[Avg Price per (₹ / m³)]]/10000000)</f>
        <v>12.082560000000001</v>
      </c>
      <c r="O1725" s="97" t="str">
        <f>IF(Market_Data[[#This Row],[Estimated Concrete Demand (m³)]]="","",
IF(Market_Data[[#This Row],[Estimated Concrete Demand (m³)]]&lt;10000,"Small",
IF(Market_Data[[#This Row],[Estimated Concrete Demand (m³)]]&lt;25000,"Medium",
IF(Market_Data[[#This Row],[Estimated Concrete Demand (m³)]]&lt;100000,"Large","Mega"))))</f>
        <v>Medium</v>
      </c>
      <c r="P1725" s="287" t="str">
        <f t="shared" si="28"/>
        <v>GujRERA</v>
      </c>
    </row>
    <row r="1726" spans="1:16">
      <c r="A1726" s="129" t="str">
        <f>_xlfn.XLOOKUP(B1726,$S$9:$S$14,$T$9:$T$14)&amp;"-"&amp;
IF(E1726="Residential/Group Housing","RES",
IF(E1726="Commercial","COM",
IF(E1726="Mixed Development","MIX",
IF(E1726="Plotted Development","PLT","OTH"))))
&amp;"-"&amp;TEXT(COUNTIFS($B$9:B1726,B1726,$E$9:E1726,E1726),"0000")</f>
        <v>SUR-MIX-0262</v>
      </c>
      <c r="B1726" s="322" t="s">
        <v>34</v>
      </c>
      <c r="C1726" s="322" t="s">
        <v>34</v>
      </c>
      <c r="D1726" s="323" t="s">
        <v>1916</v>
      </c>
      <c r="E1726" s="132" t="s">
        <v>25</v>
      </c>
      <c r="F1726" s="97" t="str">
        <f ca="1">IF(OR(Market_Data[[#This Row],[Start Date]]="",Market_Data[[#This Row],[Completion Date]]=""),"Needs Validation",IF(Market_Data[[#This Row],[Start Date]]&gt;TODAY(),"Planned",IF(Market_Data[[#This Row],[Completion Date]]&lt;TODAY(),"Completed","Ongoing")))</f>
        <v>Ongoing</v>
      </c>
      <c r="G1726" s="324">
        <v>45003</v>
      </c>
      <c r="H1726" s="324">
        <v>46477</v>
      </c>
      <c r="I1726" s="325">
        <v>16300</v>
      </c>
      <c r="J172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26" s="133">
        <f>_xlfn.XLOOKUP(Market_Data[[#This Row],[Project Type]],tbl_assumptions_market[Project Category (RERA)],tbl_assumptions_market[Concrete Intensity
(m³ / sq m BUA)],"",0)</f>
        <v>0.42</v>
      </c>
      <c r="L1726" s="134">
        <f>ROUND(Market_Data[[#This Row],[Estimated Built Up Area (sq m)]]*Market_Data[[#This Row],[Concrete Intensity
(m³ / sq m)]],0)</f>
        <v>6846</v>
      </c>
      <c r="M1726" s="135">
        <f>_xlfn.XLOOKUP(Market_Data[[#This Row],[District]],tbl_district_price[District],tbl_district_price[Standard Price
(INR/m³)],"",0)</f>
        <v>6200</v>
      </c>
      <c r="N1726" s="364">
        <f>IF(OR(Market_Data[[#This Row],[Estimated Concrete Demand (m³)]]="",Market_Data[[#This Row],[Avg Price per (₹ / m³)]]=""),"",Market_Data[[#This Row],[Estimated Concrete Demand (m³)]]*Market_Data[[#This Row],[Avg Price per (₹ / m³)]]/10000000)</f>
        <v>4.2445199999999996</v>
      </c>
      <c r="O1726" s="97" t="str">
        <f>IF(Market_Data[[#This Row],[Estimated Concrete Demand (m³)]]="","",
IF(Market_Data[[#This Row],[Estimated Concrete Demand (m³)]]&lt;10000,"Small",
IF(Market_Data[[#This Row],[Estimated Concrete Demand (m³)]]&lt;25000,"Medium",
IF(Market_Data[[#This Row],[Estimated Concrete Demand (m³)]]&lt;100000,"Large","Mega"))))</f>
        <v>Small</v>
      </c>
      <c r="P1726" s="287" t="str">
        <f t="shared" si="28"/>
        <v>GujRERA</v>
      </c>
    </row>
    <row r="1727" spans="1:16">
      <c r="A1727" s="129" t="str">
        <f>_xlfn.XLOOKUP(B1727,$S$9:$S$14,$T$9:$T$14)&amp;"-"&amp;
IF(E1727="Residential/Group Housing","RES",
IF(E1727="Commercial","COM",
IF(E1727="Mixed Development","MIX",
IF(E1727="Plotted Development","PLT","OTH"))))
&amp;"-"&amp;TEXT(COUNTIFS($B$9:B1727,B1727,$E$9:E1727,E1727),"0000")</f>
        <v>SUR-PLT-0320</v>
      </c>
      <c r="B1727" s="322" t="s">
        <v>34</v>
      </c>
      <c r="C1727" s="322" t="s">
        <v>34</v>
      </c>
      <c r="D1727" s="323" t="s">
        <v>1917</v>
      </c>
      <c r="E1727" s="132" t="s">
        <v>26</v>
      </c>
      <c r="F1727" s="97" t="str">
        <f ca="1">IF(OR(Market_Data[[#This Row],[Start Date]]="",Market_Data[[#This Row],[Completion Date]]=""),"Needs Validation",IF(Market_Data[[#This Row],[Start Date]]&gt;TODAY(),"Planned",IF(Market_Data[[#This Row],[Completion Date]]&lt;TODAY(),"Completed","Ongoing")))</f>
        <v>Completed</v>
      </c>
      <c r="G1727" s="324">
        <v>44890</v>
      </c>
      <c r="H1727" s="324">
        <v>45657</v>
      </c>
      <c r="I1727" s="325">
        <v>16500</v>
      </c>
      <c r="J172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27" s="133">
        <f>_xlfn.XLOOKUP(Market_Data[[#This Row],[Project Type]],tbl_assumptions_market[Project Category (RERA)],tbl_assumptions_market[Concrete Intensity
(m³ / sq m BUA)],"",0)</f>
        <v>0.18</v>
      </c>
      <c r="L1727" s="134">
        <f>ROUND(Market_Data[[#This Row],[Estimated Built Up Area (sq m)]]*Market_Data[[#This Row],[Concrete Intensity
(m³ / sq m)]],0)</f>
        <v>2970</v>
      </c>
      <c r="M1727" s="135">
        <f>_xlfn.XLOOKUP(Market_Data[[#This Row],[District]],tbl_district_price[District],tbl_district_price[Standard Price
(INR/m³)],"",0)</f>
        <v>6200</v>
      </c>
      <c r="N1727" s="364">
        <f>IF(OR(Market_Data[[#This Row],[Estimated Concrete Demand (m³)]]="",Market_Data[[#This Row],[Avg Price per (₹ / m³)]]=""),"",Market_Data[[#This Row],[Estimated Concrete Demand (m³)]]*Market_Data[[#This Row],[Avg Price per (₹ / m³)]]/10000000)</f>
        <v>1.8413999999999999</v>
      </c>
      <c r="O1727" s="97" t="str">
        <f>IF(Market_Data[[#This Row],[Estimated Concrete Demand (m³)]]="","",
IF(Market_Data[[#This Row],[Estimated Concrete Demand (m³)]]&lt;10000,"Small",
IF(Market_Data[[#This Row],[Estimated Concrete Demand (m³)]]&lt;25000,"Medium",
IF(Market_Data[[#This Row],[Estimated Concrete Demand (m³)]]&lt;100000,"Large","Mega"))))</f>
        <v>Small</v>
      </c>
      <c r="P1727" s="287" t="str">
        <f t="shared" si="28"/>
        <v>GujRERA</v>
      </c>
    </row>
    <row r="1728" spans="1:16">
      <c r="A1728" s="129" t="str">
        <f>_xlfn.XLOOKUP(B1728,$S$9:$S$14,$T$9:$T$14)&amp;"-"&amp;
IF(E1728="Residential/Group Housing","RES",
IF(E1728="Commercial","COM",
IF(E1728="Mixed Development","MIX",
IF(E1728="Plotted Development","PLT","OTH"))))
&amp;"-"&amp;TEXT(COUNTIFS($B$9:B1728,B1728,$E$9:E1728,E1728),"0000")</f>
        <v>SUR-RES-0542</v>
      </c>
      <c r="B1728" s="322" t="s">
        <v>34</v>
      </c>
      <c r="C1728" s="322" t="s">
        <v>34</v>
      </c>
      <c r="D1728" s="323" t="s">
        <v>1918</v>
      </c>
      <c r="E1728" s="132" t="s">
        <v>24</v>
      </c>
      <c r="F1728" s="97" t="str">
        <f ca="1">IF(OR(Market_Data[[#This Row],[Start Date]]="",Market_Data[[#This Row],[Completion Date]]=""),"Needs Validation",IF(Market_Data[[#This Row],[Start Date]]&gt;TODAY(),"Planned",IF(Market_Data[[#This Row],[Completion Date]]&lt;TODAY(),"Completed","Ongoing")))</f>
        <v>Completed</v>
      </c>
      <c r="G1728" s="324">
        <v>42331</v>
      </c>
      <c r="H1728" s="324">
        <v>43343</v>
      </c>
      <c r="I1728" s="325">
        <v>14000</v>
      </c>
      <c r="J172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28" s="133">
        <f>_xlfn.XLOOKUP(Market_Data[[#This Row],[Project Type]],tbl_assumptions_market[Project Category (RERA)],tbl_assumptions_market[Concrete Intensity
(m³ / sq m BUA)],"",0)</f>
        <v>0.45</v>
      </c>
      <c r="L1728" s="134">
        <f>ROUND(Market_Data[[#This Row],[Estimated Built Up Area (sq m)]]*Market_Data[[#This Row],[Concrete Intensity
(m³ / sq m)]],0)</f>
        <v>6300</v>
      </c>
      <c r="M1728" s="135">
        <f>_xlfn.XLOOKUP(Market_Data[[#This Row],[District]],tbl_district_price[District],tbl_district_price[Standard Price
(INR/m³)],"",0)</f>
        <v>6200</v>
      </c>
      <c r="N1728" s="364">
        <f>IF(OR(Market_Data[[#This Row],[Estimated Concrete Demand (m³)]]="",Market_Data[[#This Row],[Avg Price per (₹ / m³)]]=""),"",Market_Data[[#This Row],[Estimated Concrete Demand (m³)]]*Market_Data[[#This Row],[Avg Price per (₹ / m³)]]/10000000)</f>
        <v>3.9060000000000001</v>
      </c>
      <c r="O1728" s="97" t="str">
        <f>IF(Market_Data[[#This Row],[Estimated Concrete Demand (m³)]]="","",
IF(Market_Data[[#This Row],[Estimated Concrete Demand (m³)]]&lt;10000,"Small",
IF(Market_Data[[#This Row],[Estimated Concrete Demand (m³)]]&lt;25000,"Medium",
IF(Market_Data[[#This Row],[Estimated Concrete Demand (m³)]]&lt;100000,"Large","Mega"))))</f>
        <v>Small</v>
      </c>
      <c r="P1728" s="287" t="str">
        <f t="shared" si="28"/>
        <v>GujRERA</v>
      </c>
    </row>
    <row r="1729" spans="1:16">
      <c r="A1729" s="129" t="str">
        <f>_xlfn.XLOOKUP(B1729,$S$9:$S$14,$T$9:$T$14)&amp;"-"&amp;
IF(E1729="Residential/Group Housing","RES",
IF(E1729="Commercial","COM",
IF(E1729="Mixed Development","MIX",
IF(E1729="Plotted Development","PLT","OTH"))))
&amp;"-"&amp;TEXT(COUNTIFS($B$9:B1729,B1729,$E$9:E1729,E1729),"0000")</f>
        <v>SUR-PLT-0321</v>
      </c>
      <c r="B1729" s="322" t="s">
        <v>34</v>
      </c>
      <c r="C1729" s="322" t="s">
        <v>34</v>
      </c>
      <c r="D1729" s="323" t="s">
        <v>1919</v>
      </c>
      <c r="E1729" s="132" t="s">
        <v>26</v>
      </c>
      <c r="F1729" s="97" t="str">
        <f ca="1">IF(OR(Market_Data[[#This Row],[Start Date]]="",Market_Data[[#This Row],[Completion Date]]=""),"Needs Validation",IF(Market_Data[[#This Row],[Start Date]]&gt;TODAY(),"Planned",IF(Market_Data[[#This Row],[Completion Date]]&lt;TODAY(),"Completed","Ongoing")))</f>
        <v>Ongoing</v>
      </c>
      <c r="G1729" s="324">
        <v>45511</v>
      </c>
      <c r="H1729" s="324">
        <v>46752</v>
      </c>
      <c r="I1729" s="325">
        <v>2900</v>
      </c>
      <c r="J172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29" s="133">
        <f>_xlfn.XLOOKUP(Market_Data[[#This Row],[Project Type]],tbl_assumptions_market[Project Category (RERA)],tbl_assumptions_market[Concrete Intensity
(m³ / sq m BUA)],"",0)</f>
        <v>0.18</v>
      </c>
      <c r="L1729" s="134">
        <f>ROUND(Market_Data[[#This Row],[Estimated Built Up Area (sq m)]]*Market_Data[[#This Row],[Concrete Intensity
(m³ / sq m)]],0)</f>
        <v>522</v>
      </c>
      <c r="M1729" s="135">
        <f>_xlfn.XLOOKUP(Market_Data[[#This Row],[District]],tbl_district_price[District],tbl_district_price[Standard Price
(INR/m³)],"",0)</f>
        <v>6200</v>
      </c>
      <c r="N1729" s="364">
        <f>IF(OR(Market_Data[[#This Row],[Estimated Concrete Demand (m³)]]="",Market_Data[[#This Row],[Avg Price per (₹ / m³)]]=""),"",Market_Data[[#This Row],[Estimated Concrete Demand (m³)]]*Market_Data[[#This Row],[Avg Price per (₹ / m³)]]/10000000)</f>
        <v>0.32363999999999998</v>
      </c>
      <c r="O1729" s="97" t="str">
        <f>IF(Market_Data[[#This Row],[Estimated Concrete Demand (m³)]]="","",
IF(Market_Data[[#This Row],[Estimated Concrete Demand (m³)]]&lt;10000,"Small",
IF(Market_Data[[#This Row],[Estimated Concrete Demand (m³)]]&lt;25000,"Medium",
IF(Market_Data[[#This Row],[Estimated Concrete Demand (m³)]]&lt;100000,"Large","Mega"))))</f>
        <v>Small</v>
      </c>
      <c r="P1729" s="287" t="str">
        <f t="shared" si="28"/>
        <v>GujRERA</v>
      </c>
    </row>
    <row r="1730" spans="1:16">
      <c r="A1730" s="129" t="str">
        <f>_xlfn.XLOOKUP(B1730,$S$9:$S$14,$T$9:$T$14)&amp;"-"&amp;
IF(E1730="Residential/Group Housing","RES",
IF(E1730="Commercial","COM",
IF(E1730="Mixed Development","MIX",
IF(E1730="Plotted Development","PLT","OTH"))))
&amp;"-"&amp;TEXT(COUNTIFS($B$9:B1730,B1730,$E$9:E1730,E1730),"0000")</f>
        <v>SUR-MIX-0263</v>
      </c>
      <c r="B1730" s="322" t="s">
        <v>34</v>
      </c>
      <c r="C1730" s="322" t="s">
        <v>34</v>
      </c>
      <c r="D1730" s="323" t="s">
        <v>1920</v>
      </c>
      <c r="E1730" s="132" t="s">
        <v>25</v>
      </c>
      <c r="F1730" s="97" t="str">
        <f ca="1">IF(OR(Market_Data[[#This Row],[Start Date]]="",Market_Data[[#This Row],[Completion Date]]=""),"Needs Validation",IF(Market_Data[[#This Row],[Start Date]]&gt;TODAY(),"Planned",IF(Market_Data[[#This Row],[Completion Date]]&lt;TODAY(),"Completed","Ongoing")))</f>
        <v>Completed</v>
      </c>
      <c r="G1730" s="324">
        <v>42495</v>
      </c>
      <c r="H1730" s="324">
        <v>43738</v>
      </c>
      <c r="I1730" s="325">
        <v>3600</v>
      </c>
      <c r="J173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730" s="133">
        <f>_xlfn.XLOOKUP(Market_Data[[#This Row],[Project Type]],tbl_assumptions_market[Project Category (RERA)],tbl_assumptions_market[Concrete Intensity
(m³ / sq m BUA)],"",0)</f>
        <v>0.42</v>
      </c>
      <c r="L1730" s="134">
        <f>ROUND(Market_Data[[#This Row],[Estimated Built Up Area (sq m)]]*Market_Data[[#This Row],[Concrete Intensity
(m³ / sq m)]],0)</f>
        <v>1512</v>
      </c>
      <c r="M1730" s="135">
        <f>_xlfn.XLOOKUP(Market_Data[[#This Row],[District]],tbl_district_price[District],tbl_district_price[Standard Price
(INR/m³)],"",0)</f>
        <v>6200</v>
      </c>
      <c r="N1730" s="364">
        <f>IF(OR(Market_Data[[#This Row],[Estimated Concrete Demand (m³)]]="",Market_Data[[#This Row],[Avg Price per (₹ / m³)]]=""),"",Market_Data[[#This Row],[Estimated Concrete Demand (m³)]]*Market_Data[[#This Row],[Avg Price per (₹ / m³)]]/10000000)</f>
        <v>0.93744000000000005</v>
      </c>
      <c r="O1730" s="97" t="str">
        <f>IF(Market_Data[[#This Row],[Estimated Concrete Demand (m³)]]="","",
IF(Market_Data[[#This Row],[Estimated Concrete Demand (m³)]]&lt;10000,"Small",
IF(Market_Data[[#This Row],[Estimated Concrete Demand (m³)]]&lt;25000,"Medium",
IF(Market_Data[[#This Row],[Estimated Concrete Demand (m³)]]&lt;100000,"Large","Mega"))))</f>
        <v>Small</v>
      </c>
      <c r="P1730" s="287" t="str">
        <f t="shared" si="28"/>
        <v>GujRERA</v>
      </c>
    </row>
    <row r="1731" spans="1:16">
      <c r="A1731" s="129" t="str">
        <f>_xlfn.XLOOKUP(B1731,$S$9:$S$14,$T$9:$T$14)&amp;"-"&amp;
IF(E1731="Residential/Group Housing","RES",
IF(E1731="Commercial","COM",
IF(E1731="Mixed Development","MIX",
IF(E1731="Plotted Development","PLT","OTH"))))
&amp;"-"&amp;TEXT(COUNTIFS($B$9:B1731,B1731,$E$9:E1731,E1731),"0000")</f>
        <v>SUR-RES-0543</v>
      </c>
      <c r="B1731" s="322" t="s">
        <v>34</v>
      </c>
      <c r="C1731" s="322" t="s">
        <v>34</v>
      </c>
      <c r="D1731" s="323" t="s">
        <v>1921</v>
      </c>
      <c r="E1731" s="132" t="s">
        <v>24</v>
      </c>
      <c r="F1731" s="97" t="str">
        <f ca="1">IF(OR(Market_Data[[#This Row],[Start Date]]="",Market_Data[[#This Row],[Completion Date]]=""),"Needs Validation",IF(Market_Data[[#This Row],[Start Date]]&gt;TODAY(),"Planned",IF(Market_Data[[#This Row],[Completion Date]]&lt;TODAY(),"Completed","Ongoing")))</f>
        <v>Completed</v>
      </c>
      <c r="G1731" s="324">
        <v>43191</v>
      </c>
      <c r="H1731" s="324">
        <v>44499</v>
      </c>
      <c r="I1731" s="325">
        <v>24000</v>
      </c>
      <c r="J173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31" s="133">
        <f>_xlfn.XLOOKUP(Market_Data[[#This Row],[Project Type]],tbl_assumptions_market[Project Category (RERA)],tbl_assumptions_market[Concrete Intensity
(m³ / sq m BUA)],"",0)</f>
        <v>0.45</v>
      </c>
      <c r="L1731" s="134">
        <f>ROUND(Market_Data[[#This Row],[Estimated Built Up Area (sq m)]]*Market_Data[[#This Row],[Concrete Intensity
(m³ / sq m)]],0)</f>
        <v>10800</v>
      </c>
      <c r="M1731" s="135">
        <f>_xlfn.XLOOKUP(Market_Data[[#This Row],[District]],tbl_district_price[District],tbl_district_price[Standard Price
(INR/m³)],"",0)</f>
        <v>6200</v>
      </c>
      <c r="N1731" s="364">
        <f>IF(OR(Market_Data[[#This Row],[Estimated Concrete Demand (m³)]]="",Market_Data[[#This Row],[Avg Price per (₹ / m³)]]=""),"",Market_Data[[#This Row],[Estimated Concrete Demand (m³)]]*Market_Data[[#This Row],[Avg Price per (₹ / m³)]]/10000000)</f>
        <v>6.6959999999999997</v>
      </c>
      <c r="O1731" s="97" t="str">
        <f>IF(Market_Data[[#This Row],[Estimated Concrete Demand (m³)]]="","",
IF(Market_Data[[#This Row],[Estimated Concrete Demand (m³)]]&lt;10000,"Small",
IF(Market_Data[[#This Row],[Estimated Concrete Demand (m³)]]&lt;25000,"Medium",
IF(Market_Data[[#This Row],[Estimated Concrete Demand (m³)]]&lt;100000,"Large","Mega"))))</f>
        <v>Medium</v>
      </c>
      <c r="P1731" s="287" t="str">
        <f t="shared" si="28"/>
        <v>GujRERA</v>
      </c>
    </row>
    <row r="1732" spans="1:16">
      <c r="A1732" s="129" t="str">
        <f>_xlfn.XLOOKUP(B1732,$S$9:$S$14,$T$9:$T$14)&amp;"-"&amp;
IF(E1732="Residential/Group Housing","RES",
IF(E1732="Commercial","COM",
IF(E1732="Mixed Development","MIX",
IF(E1732="Plotted Development","PLT","OTH"))))
&amp;"-"&amp;TEXT(COUNTIFS($B$9:B1732,B1732,$E$9:E1732,E1732),"0000")</f>
        <v>SUR-RES-0544</v>
      </c>
      <c r="B1732" s="322" t="s">
        <v>34</v>
      </c>
      <c r="C1732" s="322" t="s">
        <v>34</v>
      </c>
      <c r="D1732" s="323" t="s">
        <v>1922</v>
      </c>
      <c r="E1732" s="132" t="s">
        <v>24</v>
      </c>
      <c r="F1732" s="97" t="str">
        <f ca="1">IF(OR(Market_Data[[#This Row],[Start Date]]="",Market_Data[[#This Row],[Completion Date]]=""),"Needs Validation",IF(Market_Data[[#This Row],[Start Date]]&gt;TODAY(),"Planned",IF(Market_Data[[#This Row],[Completion Date]]&lt;TODAY(),"Completed","Ongoing")))</f>
        <v>Completed</v>
      </c>
      <c r="G1732" s="324">
        <v>42856</v>
      </c>
      <c r="H1732" s="324">
        <v>44985</v>
      </c>
      <c r="I1732" s="325">
        <v>53200</v>
      </c>
      <c r="J173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32" s="133">
        <f>_xlfn.XLOOKUP(Market_Data[[#This Row],[Project Type]],tbl_assumptions_market[Project Category (RERA)],tbl_assumptions_market[Concrete Intensity
(m³ / sq m BUA)],"",0)</f>
        <v>0.45</v>
      </c>
      <c r="L1732" s="134">
        <f>ROUND(Market_Data[[#This Row],[Estimated Built Up Area (sq m)]]*Market_Data[[#This Row],[Concrete Intensity
(m³ / sq m)]],0)</f>
        <v>23940</v>
      </c>
      <c r="M1732" s="135">
        <f>_xlfn.XLOOKUP(Market_Data[[#This Row],[District]],tbl_district_price[District],tbl_district_price[Standard Price
(INR/m³)],"",0)</f>
        <v>6200</v>
      </c>
      <c r="N1732" s="364">
        <f>IF(OR(Market_Data[[#This Row],[Estimated Concrete Demand (m³)]]="",Market_Data[[#This Row],[Avg Price per (₹ / m³)]]=""),"",Market_Data[[#This Row],[Estimated Concrete Demand (m³)]]*Market_Data[[#This Row],[Avg Price per (₹ / m³)]]/10000000)</f>
        <v>14.8428</v>
      </c>
      <c r="O1732" s="97" t="str">
        <f>IF(Market_Data[[#This Row],[Estimated Concrete Demand (m³)]]="","",
IF(Market_Data[[#This Row],[Estimated Concrete Demand (m³)]]&lt;10000,"Small",
IF(Market_Data[[#This Row],[Estimated Concrete Demand (m³)]]&lt;25000,"Medium",
IF(Market_Data[[#This Row],[Estimated Concrete Demand (m³)]]&lt;100000,"Large","Mega"))))</f>
        <v>Medium</v>
      </c>
      <c r="P1732" s="287" t="str">
        <f t="shared" si="28"/>
        <v>GujRERA</v>
      </c>
    </row>
    <row r="1733" spans="1:16">
      <c r="A1733" s="129" t="str">
        <f>_xlfn.XLOOKUP(B1733,$S$9:$S$14,$T$9:$T$14)&amp;"-"&amp;
IF(E1733="Residential/Group Housing","RES",
IF(E1733="Commercial","COM",
IF(E1733="Mixed Development","MIX",
IF(E1733="Plotted Development","PLT","OTH"))))
&amp;"-"&amp;TEXT(COUNTIFS($B$9:B1733,B1733,$E$9:E1733,E1733),"0000")</f>
        <v>SUR-PLT-0322</v>
      </c>
      <c r="B1733" s="322" t="s">
        <v>34</v>
      </c>
      <c r="C1733" s="322" t="s">
        <v>34</v>
      </c>
      <c r="D1733" s="323" t="s">
        <v>1923</v>
      </c>
      <c r="E1733" s="132" t="s">
        <v>26</v>
      </c>
      <c r="F1733" s="97" t="str">
        <f ca="1">IF(OR(Market_Data[[#This Row],[Start Date]]="",Market_Data[[#This Row],[Completion Date]]=""),"Needs Validation",IF(Market_Data[[#This Row],[Start Date]]&gt;TODAY(),"Planned",IF(Market_Data[[#This Row],[Completion Date]]&lt;TODAY(),"Completed","Ongoing")))</f>
        <v>Ongoing</v>
      </c>
      <c r="G1733" s="324">
        <v>45847</v>
      </c>
      <c r="H1733" s="324">
        <v>46752</v>
      </c>
      <c r="I1733" s="325">
        <v>43800</v>
      </c>
      <c r="J173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733" s="133">
        <f>_xlfn.XLOOKUP(Market_Data[[#This Row],[Project Type]],tbl_assumptions_market[Project Category (RERA)],tbl_assumptions_market[Concrete Intensity
(m³ / sq m BUA)],"",0)</f>
        <v>0.18</v>
      </c>
      <c r="L1733" s="134">
        <f>ROUND(Market_Data[[#This Row],[Estimated Built Up Area (sq m)]]*Market_Data[[#This Row],[Concrete Intensity
(m³ / sq m)]],0)</f>
        <v>7884</v>
      </c>
      <c r="M1733" s="135">
        <f>_xlfn.XLOOKUP(Market_Data[[#This Row],[District]],tbl_district_price[District],tbl_district_price[Standard Price
(INR/m³)],"",0)</f>
        <v>6200</v>
      </c>
      <c r="N1733" s="364">
        <f>IF(OR(Market_Data[[#This Row],[Estimated Concrete Demand (m³)]]="",Market_Data[[#This Row],[Avg Price per (₹ / m³)]]=""),"",Market_Data[[#This Row],[Estimated Concrete Demand (m³)]]*Market_Data[[#This Row],[Avg Price per (₹ / m³)]]/10000000)</f>
        <v>4.8880800000000004</v>
      </c>
      <c r="O1733" s="97" t="str">
        <f>IF(Market_Data[[#This Row],[Estimated Concrete Demand (m³)]]="","",
IF(Market_Data[[#This Row],[Estimated Concrete Demand (m³)]]&lt;10000,"Small",
IF(Market_Data[[#This Row],[Estimated Concrete Demand (m³)]]&lt;25000,"Medium",
IF(Market_Data[[#This Row],[Estimated Concrete Demand (m³)]]&lt;100000,"Large","Mega"))))</f>
        <v>Small</v>
      </c>
      <c r="P1733" s="287" t="str">
        <f t="shared" si="28"/>
        <v>GujRERA</v>
      </c>
    </row>
    <row r="1734" spans="1:16">
      <c r="A1734" s="129" t="str">
        <f>_xlfn.XLOOKUP(B1734,$S$9:$S$14,$T$9:$T$14)&amp;"-"&amp;
IF(E1734="Residential/Group Housing","RES",
IF(E1734="Commercial","COM",
IF(E1734="Mixed Development","MIX",
IF(E1734="Plotted Development","PLT","OTH"))))
&amp;"-"&amp;TEXT(COUNTIFS($B$9:B1734,B1734,$E$9:E1734,E1734),"0000")</f>
        <v>SUR-PLT-0323</v>
      </c>
      <c r="B1734" s="322" t="s">
        <v>34</v>
      </c>
      <c r="C1734" s="322" t="s">
        <v>34</v>
      </c>
      <c r="D1734" s="323" t="s">
        <v>1924</v>
      </c>
      <c r="E1734" s="132" t="s">
        <v>26</v>
      </c>
      <c r="F1734" s="97" t="str">
        <f ca="1">IF(OR(Market_Data[[#This Row],[Start Date]]="",Market_Data[[#This Row],[Completion Date]]=""),"Needs Validation",IF(Market_Data[[#This Row],[Start Date]]&gt;TODAY(),"Planned",IF(Market_Data[[#This Row],[Completion Date]]&lt;TODAY(),"Completed","Ongoing")))</f>
        <v>Completed</v>
      </c>
      <c r="G1734" s="324">
        <v>44931</v>
      </c>
      <c r="H1734" s="324">
        <v>46203</v>
      </c>
      <c r="I1734" s="325">
        <v>14100</v>
      </c>
      <c r="J173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34" s="133">
        <f>_xlfn.XLOOKUP(Market_Data[[#This Row],[Project Type]],tbl_assumptions_market[Project Category (RERA)],tbl_assumptions_market[Concrete Intensity
(m³ / sq m BUA)],"",0)</f>
        <v>0.18</v>
      </c>
      <c r="L1734" s="134">
        <f>ROUND(Market_Data[[#This Row],[Estimated Built Up Area (sq m)]]*Market_Data[[#This Row],[Concrete Intensity
(m³ / sq m)]],0)</f>
        <v>2538</v>
      </c>
      <c r="M1734" s="135">
        <f>_xlfn.XLOOKUP(Market_Data[[#This Row],[District]],tbl_district_price[District],tbl_district_price[Standard Price
(INR/m³)],"",0)</f>
        <v>6200</v>
      </c>
      <c r="N1734" s="364">
        <f>IF(OR(Market_Data[[#This Row],[Estimated Concrete Demand (m³)]]="",Market_Data[[#This Row],[Avg Price per (₹ / m³)]]=""),"",Market_Data[[#This Row],[Estimated Concrete Demand (m³)]]*Market_Data[[#This Row],[Avg Price per (₹ / m³)]]/10000000)</f>
        <v>1.5735600000000001</v>
      </c>
      <c r="O1734" s="97" t="str">
        <f>IF(Market_Data[[#This Row],[Estimated Concrete Demand (m³)]]="","",
IF(Market_Data[[#This Row],[Estimated Concrete Demand (m³)]]&lt;10000,"Small",
IF(Market_Data[[#This Row],[Estimated Concrete Demand (m³)]]&lt;25000,"Medium",
IF(Market_Data[[#This Row],[Estimated Concrete Demand (m³)]]&lt;100000,"Large","Mega"))))</f>
        <v>Small</v>
      </c>
      <c r="P1734" s="287" t="str">
        <f t="shared" si="28"/>
        <v>GujRERA</v>
      </c>
    </row>
    <row r="1735" spans="1:16">
      <c r="A1735" s="129" t="str">
        <f>_xlfn.XLOOKUP(B1735,$S$9:$S$14,$T$9:$T$14)&amp;"-"&amp;
IF(E1735="Residential/Group Housing","RES",
IF(E1735="Commercial","COM",
IF(E1735="Mixed Development","MIX",
IF(E1735="Plotted Development","PLT","OTH"))))
&amp;"-"&amp;TEXT(COUNTIFS($B$9:B1735,B1735,$E$9:E1735,E1735),"0000")</f>
        <v>SUR-RES-0545</v>
      </c>
      <c r="B1735" s="322" t="s">
        <v>34</v>
      </c>
      <c r="C1735" s="322" t="s">
        <v>34</v>
      </c>
      <c r="D1735" s="323" t="s">
        <v>1925</v>
      </c>
      <c r="E1735" s="132" t="s">
        <v>24</v>
      </c>
      <c r="F1735" s="97" t="str">
        <f ca="1">IF(OR(Market_Data[[#This Row],[Start Date]]="",Market_Data[[#This Row],[Completion Date]]=""),"Needs Validation",IF(Market_Data[[#This Row],[Start Date]]&gt;TODAY(),"Planned",IF(Market_Data[[#This Row],[Completion Date]]&lt;TODAY(),"Completed","Ongoing")))</f>
        <v>Completed</v>
      </c>
      <c r="G1735" s="324">
        <v>43480</v>
      </c>
      <c r="H1735" s="324">
        <v>45555</v>
      </c>
      <c r="I1735" s="325">
        <v>47700</v>
      </c>
      <c r="J173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35" s="133">
        <f>_xlfn.XLOOKUP(Market_Data[[#This Row],[Project Type]],tbl_assumptions_market[Project Category (RERA)],tbl_assumptions_market[Concrete Intensity
(m³ / sq m BUA)],"",0)</f>
        <v>0.45</v>
      </c>
      <c r="L1735" s="134">
        <f>ROUND(Market_Data[[#This Row],[Estimated Built Up Area (sq m)]]*Market_Data[[#This Row],[Concrete Intensity
(m³ / sq m)]],0)</f>
        <v>21465</v>
      </c>
      <c r="M1735" s="135">
        <f>_xlfn.XLOOKUP(Market_Data[[#This Row],[District]],tbl_district_price[District],tbl_district_price[Standard Price
(INR/m³)],"",0)</f>
        <v>6200</v>
      </c>
      <c r="N1735" s="364">
        <f>IF(OR(Market_Data[[#This Row],[Estimated Concrete Demand (m³)]]="",Market_Data[[#This Row],[Avg Price per (₹ / m³)]]=""),"",Market_Data[[#This Row],[Estimated Concrete Demand (m³)]]*Market_Data[[#This Row],[Avg Price per (₹ / m³)]]/10000000)</f>
        <v>13.308299999999999</v>
      </c>
      <c r="O1735" s="97" t="str">
        <f>IF(Market_Data[[#This Row],[Estimated Concrete Demand (m³)]]="","",
IF(Market_Data[[#This Row],[Estimated Concrete Demand (m³)]]&lt;10000,"Small",
IF(Market_Data[[#This Row],[Estimated Concrete Demand (m³)]]&lt;25000,"Medium",
IF(Market_Data[[#This Row],[Estimated Concrete Demand (m³)]]&lt;100000,"Large","Mega"))))</f>
        <v>Medium</v>
      </c>
      <c r="P1735" s="287" t="str">
        <f t="shared" si="28"/>
        <v>GujRERA</v>
      </c>
    </row>
    <row r="1736" spans="1:16">
      <c r="A1736" s="129" t="str">
        <f>_xlfn.XLOOKUP(B1736,$S$9:$S$14,$T$9:$T$14)&amp;"-"&amp;
IF(E1736="Residential/Group Housing","RES",
IF(E1736="Commercial","COM",
IF(E1736="Mixed Development","MIX",
IF(E1736="Plotted Development","PLT","OTH"))))
&amp;"-"&amp;TEXT(COUNTIFS($B$9:B1736,B1736,$E$9:E1736,E1736),"0000")</f>
        <v>SUR-RES-0546</v>
      </c>
      <c r="B1736" s="322" t="s">
        <v>34</v>
      </c>
      <c r="C1736" s="322" t="s">
        <v>34</v>
      </c>
      <c r="D1736" s="323" t="s">
        <v>1926</v>
      </c>
      <c r="E1736" s="132" t="s">
        <v>24</v>
      </c>
      <c r="F1736" s="97" t="str">
        <f ca="1">IF(OR(Market_Data[[#This Row],[Start Date]]="",Market_Data[[#This Row],[Completion Date]]=""),"Needs Validation",IF(Market_Data[[#This Row],[Start Date]]&gt;TODAY(),"Planned",IF(Market_Data[[#This Row],[Completion Date]]&lt;TODAY(),"Completed","Ongoing")))</f>
        <v>Completed</v>
      </c>
      <c r="G1736" s="324">
        <v>43344</v>
      </c>
      <c r="H1736" s="324">
        <v>45837</v>
      </c>
      <c r="I1736" s="325">
        <v>35100</v>
      </c>
      <c r="J173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36" s="133">
        <f>_xlfn.XLOOKUP(Market_Data[[#This Row],[Project Type]],tbl_assumptions_market[Project Category (RERA)],tbl_assumptions_market[Concrete Intensity
(m³ / sq m BUA)],"",0)</f>
        <v>0.45</v>
      </c>
      <c r="L1736" s="134">
        <f>ROUND(Market_Data[[#This Row],[Estimated Built Up Area (sq m)]]*Market_Data[[#This Row],[Concrete Intensity
(m³ / sq m)]],0)</f>
        <v>15795</v>
      </c>
      <c r="M1736" s="135">
        <f>_xlfn.XLOOKUP(Market_Data[[#This Row],[District]],tbl_district_price[District],tbl_district_price[Standard Price
(INR/m³)],"",0)</f>
        <v>6200</v>
      </c>
      <c r="N1736" s="364">
        <f>IF(OR(Market_Data[[#This Row],[Estimated Concrete Demand (m³)]]="",Market_Data[[#This Row],[Avg Price per (₹ / m³)]]=""),"",Market_Data[[#This Row],[Estimated Concrete Demand (m³)]]*Market_Data[[#This Row],[Avg Price per (₹ / m³)]]/10000000)</f>
        <v>9.7928999999999995</v>
      </c>
      <c r="O1736" s="97" t="str">
        <f>IF(Market_Data[[#This Row],[Estimated Concrete Demand (m³)]]="","",
IF(Market_Data[[#This Row],[Estimated Concrete Demand (m³)]]&lt;10000,"Small",
IF(Market_Data[[#This Row],[Estimated Concrete Demand (m³)]]&lt;25000,"Medium",
IF(Market_Data[[#This Row],[Estimated Concrete Demand (m³)]]&lt;100000,"Large","Mega"))))</f>
        <v>Medium</v>
      </c>
      <c r="P1736" s="287" t="str">
        <f t="shared" si="28"/>
        <v>GujRERA</v>
      </c>
    </row>
    <row r="1737" spans="1:16">
      <c r="A1737" s="129" t="str">
        <f>_xlfn.XLOOKUP(B1737,$S$9:$S$14,$T$9:$T$14)&amp;"-"&amp;
IF(E1737="Residential/Group Housing","RES",
IF(E1737="Commercial","COM",
IF(E1737="Mixed Development","MIX",
IF(E1737="Plotted Development","PLT","OTH"))))
&amp;"-"&amp;TEXT(COUNTIFS($B$9:B1737,B1737,$E$9:E1737,E1737),"0000")</f>
        <v>SUR-MIX-0264</v>
      </c>
      <c r="B1737" s="322" t="s">
        <v>34</v>
      </c>
      <c r="C1737" s="322" t="s">
        <v>34</v>
      </c>
      <c r="D1737" s="323" t="s">
        <v>1927</v>
      </c>
      <c r="E1737" s="132" t="s">
        <v>25</v>
      </c>
      <c r="F1737" s="97" t="str">
        <f ca="1">IF(OR(Market_Data[[#This Row],[Start Date]]="",Market_Data[[#This Row],[Completion Date]]=""),"Needs Validation",IF(Market_Data[[#This Row],[Start Date]]&gt;TODAY(),"Planned",IF(Market_Data[[#This Row],[Completion Date]]&lt;TODAY(),"Completed","Ongoing")))</f>
        <v>Completed</v>
      </c>
      <c r="G1737" s="324">
        <v>44120</v>
      </c>
      <c r="H1737" s="324">
        <v>46112</v>
      </c>
      <c r="I1737" s="325">
        <v>76600</v>
      </c>
      <c r="J173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37" s="133">
        <f>_xlfn.XLOOKUP(Market_Data[[#This Row],[Project Type]],tbl_assumptions_market[Project Category (RERA)],tbl_assumptions_market[Concrete Intensity
(m³ / sq m BUA)],"",0)</f>
        <v>0.42</v>
      </c>
      <c r="L1737" s="134">
        <f>ROUND(Market_Data[[#This Row],[Estimated Built Up Area (sq m)]]*Market_Data[[#This Row],[Concrete Intensity
(m³ / sq m)]],0)</f>
        <v>32172</v>
      </c>
      <c r="M1737" s="135">
        <f>_xlfn.XLOOKUP(Market_Data[[#This Row],[District]],tbl_district_price[District],tbl_district_price[Standard Price
(INR/m³)],"",0)</f>
        <v>6200</v>
      </c>
      <c r="N1737" s="364">
        <f>IF(OR(Market_Data[[#This Row],[Estimated Concrete Demand (m³)]]="",Market_Data[[#This Row],[Avg Price per (₹ / m³)]]=""),"",Market_Data[[#This Row],[Estimated Concrete Demand (m³)]]*Market_Data[[#This Row],[Avg Price per (₹ / m³)]]/10000000)</f>
        <v>19.946639999999999</v>
      </c>
      <c r="O1737" s="97" t="str">
        <f>IF(Market_Data[[#This Row],[Estimated Concrete Demand (m³)]]="","",
IF(Market_Data[[#This Row],[Estimated Concrete Demand (m³)]]&lt;10000,"Small",
IF(Market_Data[[#This Row],[Estimated Concrete Demand (m³)]]&lt;25000,"Medium",
IF(Market_Data[[#This Row],[Estimated Concrete Demand (m³)]]&lt;100000,"Large","Mega"))))</f>
        <v>Large</v>
      </c>
      <c r="P1737" s="287" t="str">
        <f t="shared" si="28"/>
        <v>GujRERA</v>
      </c>
    </row>
    <row r="1738" spans="1:16">
      <c r="A1738" s="129" t="str">
        <f>_xlfn.XLOOKUP(B1738,$S$9:$S$14,$T$9:$T$14)&amp;"-"&amp;
IF(E1738="Residential/Group Housing","RES",
IF(E1738="Commercial","COM",
IF(E1738="Mixed Development","MIX",
IF(E1738="Plotted Development","PLT","OTH"))))
&amp;"-"&amp;TEXT(COUNTIFS($B$9:B1738,B1738,$E$9:E1738,E1738),"0000")</f>
        <v>SUR-PLT-0324</v>
      </c>
      <c r="B1738" s="322" t="s">
        <v>34</v>
      </c>
      <c r="C1738" s="322" t="s">
        <v>34</v>
      </c>
      <c r="D1738" s="323" t="s">
        <v>1928</v>
      </c>
      <c r="E1738" s="132" t="s">
        <v>26</v>
      </c>
      <c r="F1738" s="97" t="str">
        <f ca="1">IF(OR(Market_Data[[#This Row],[Start Date]]="",Market_Data[[#This Row],[Completion Date]]=""),"Needs Validation",IF(Market_Data[[#This Row],[Start Date]]&gt;TODAY(),"Planned",IF(Market_Data[[#This Row],[Completion Date]]&lt;TODAY(),"Completed","Ongoing")))</f>
        <v>Ongoing</v>
      </c>
      <c r="G1738" s="324">
        <v>45047</v>
      </c>
      <c r="H1738" s="324">
        <v>46387</v>
      </c>
      <c r="I1738" s="325">
        <v>9400</v>
      </c>
      <c r="J173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38" s="133">
        <f>_xlfn.XLOOKUP(Market_Data[[#This Row],[Project Type]],tbl_assumptions_market[Project Category (RERA)],tbl_assumptions_market[Concrete Intensity
(m³ / sq m BUA)],"",0)</f>
        <v>0.18</v>
      </c>
      <c r="L1738" s="134">
        <f>ROUND(Market_Data[[#This Row],[Estimated Built Up Area (sq m)]]*Market_Data[[#This Row],[Concrete Intensity
(m³ / sq m)]],0)</f>
        <v>1692</v>
      </c>
      <c r="M1738" s="135">
        <f>_xlfn.XLOOKUP(Market_Data[[#This Row],[District]],tbl_district_price[District],tbl_district_price[Standard Price
(INR/m³)],"",0)</f>
        <v>6200</v>
      </c>
      <c r="N1738" s="364">
        <f>IF(OR(Market_Data[[#This Row],[Estimated Concrete Demand (m³)]]="",Market_Data[[#This Row],[Avg Price per (₹ / m³)]]=""),"",Market_Data[[#This Row],[Estimated Concrete Demand (m³)]]*Market_Data[[#This Row],[Avg Price per (₹ / m³)]]/10000000)</f>
        <v>1.04904</v>
      </c>
      <c r="O1738" s="97" t="str">
        <f>IF(Market_Data[[#This Row],[Estimated Concrete Demand (m³)]]="","",
IF(Market_Data[[#This Row],[Estimated Concrete Demand (m³)]]&lt;10000,"Small",
IF(Market_Data[[#This Row],[Estimated Concrete Demand (m³)]]&lt;25000,"Medium",
IF(Market_Data[[#This Row],[Estimated Concrete Demand (m³)]]&lt;100000,"Large","Mega"))))</f>
        <v>Small</v>
      </c>
      <c r="P1738" s="287" t="str">
        <f t="shared" ref="P1738:P1801" si="29">HYPERLINK(
"https://gujrera.gujarat.gov.in",
"GujRERA")</f>
        <v>GujRERA</v>
      </c>
    </row>
    <row r="1739" spans="1:16">
      <c r="A1739" s="129" t="str">
        <f>_xlfn.XLOOKUP(B1739,$S$9:$S$14,$T$9:$T$14)&amp;"-"&amp;
IF(E1739="Residential/Group Housing","RES",
IF(E1739="Commercial","COM",
IF(E1739="Mixed Development","MIX",
IF(E1739="Plotted Development","PLT","OTH"))))
&amp;"-"&amp;TEXT(COUNTIFS($B$9:B1739,B1739,$E$9:E1739,E1739),"0000")</f>
        <v>SUR-COM-0287</v>
      </c>
      <c r="B1739" s="322" t="s">
        <v>34</v>
      </c>
      <c r="C1739" s="322" t="s">
        <v>34</v>
      </c>
      <c r="D1739" s="323" t="s">
        <v>1929</v>
      </c>
      <c r="E1739" s="132" t="s">
        <v>23</v>
      </c>
      <c r="F1739" s="97" t="str">
        <f ca="1">IF(OR(Market_Data[[#This Row],[Start Date]]="",Market_Data[[#This Row],[Completion Date]]=""),"Needs Validation",IF(Market_Data[[#This Row],[Start Date]]&gt;TODAY(),"Planned",IF(Market_Data[[#This Row],[Completion Date]]&lt;TODAY(),"Completed","Ongoing")))</f>
        <v>Completed</v>
      </c>
      <c r="G1739" s="324">
        <v>44085</v>
      </c>
      <c r="H1739" s="324">
        <v>45107</v>
      </c>
      <c r="I1739" s="325">
        <v>10800</v>
      </c>
      <c r="J173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39" s="133">
        <f>_xlfn.XLOOKUP(Market_Data[[#This Row],[Project Type]],tbl_assumptions_market[Project Category (RERA)],tbl_assumptions_market[Concrete Intensity
(m³ / sq m BUA)],"",0)</f>
        <v>0.5</v>
      </c>
      <c r="L1739" s="134">
        <f>ROUND(Market_Data[[#This Row],[Estimated Built Up Area (sq m)]]*Market_Data[[#This Row],[Concrete Intensity
(m³ / sq m)]],0)</f>
        <v>5400</v>
      </c>
      <c r="M1739" s="135">
        <f>_xlfn.XLOOKUP(Market_Data[[#This Row],[District]],tbl_district_price[District],tbl_district_price[Standard Price
(INR/m³)],"",0)</f>
        <v>6200</v>
      </c>
      <c r="N1739" s="364">
        <f>IF(OR(Market_Data[[#This Row],[Estimated Concrete Demand (m³)]]="",Market_Data[[#This Row],[Avg Price per (₹ / m³)]]=""),"",Market_Data[[#This Row],[Estimated Concrete Demand (m³)]]*Market_Data[[#This Row],[Avg Price per (₹ / m³)]]/10000000)</f>
        <v>3.3479999999999999</v>
      </c>
      <c r="O1739" s="97" t="str">
        <f>IF(Market_Data[[#This Row],[Estimated Concrete Demand (m³)]]="","",
IF(Market_Data[[#This Row],[Estimated Concrete Demand (m³)]]&lt;10000,"Small",
IF(Market_Data[[#This Row],[Estimated Concrete Demand (m³)]]&lt;25000,"Medium",
IF(Market_Data[[#This Row],[Estimated Concrete Demand (m³)]]&lt;100000,"Large","Mega"))))</f>
        <v>Small</v>
      </c>
      <c r="P1739" s="287" t="str">
        <f t="shared" si="29"/>
        <v>GujRERA</v>
      </c>
    </row>
    <row r="1740" spans="1:16">
      <c r="A1740" s="129" t="str">
        <f>_xlfn.XLOOKUP(B1740,$S$9:$S$14,$T$9:$T$14)&amp;"-"&amp;
IF(E1740="Residential/Group Housing","RES",
IF(E1740="Commercial","COM",
IF(E1740="Mixed Development","MIX",
IF(E1740="Plotted Development","PLT","OTH"))))
&amp;"-"&amp;TEXT(COUNTIFS($B$9:B1740,B1740,$E$9:E1740,E1740),"0000")</f>
        <v>SUR-RES-0547</v>
      </c>
      <c r="B1740" s="322" t="s">
        <v>34</v>
      </c>
      <c r="C1740" s="322" t="s">
        <v>34</v>
      </c>
      <c r="D1740" s="323" t="s">
        <v>1930</v>
      </c>
      <c r="E1740" s="132" t="s">
        <v>24</v>
      </c>
      <c r="F1740" s="97" t="str">
        <f ca="1">IF(OR(Market_Data[[#This Row],[Start Date]]="",Market_Data[[#This Row],[Completion Date]]=""),"Needs Validation",IF(Market_Data[[#This Row],[Start Date]]&gt;TODAY(),"Planned",IF(Market_Data[[#This Row],[Completion Date]]&lt;TODAY(),"Completed","Ongoing")))</f>
        <v>Ongoing</v>
      </c>
      <c r="G1740" s="324">
        <v>44958</v>
      </c>
      <c r="H1740" s="324">
        <v>46752</v>
      </c>
      <c r="I1740" s="325">
        <v>56700</v>
      </c>
      <c r="J174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40" s="133">
        <f>_xlfn.XLOOKUP(Market_Data[[#This Row],[Project Type]],tbl_assumptions_market[Project Category (RERA)],tbl_assumptions_market[Concrete Intensity
(m³ / sq m BUA)],"",0)</f>
        <v>0.45</v>
      </c>
      <c r="L1740" s="134">
        <f>ROUND(Market_Data[[#This Row],[Estimated Built Up Area (sq m)]]*Market_Data[[#This Row],[Concrete Intensity
(m³ / sq m)]],0)</f>
        <v>25515</v>
      </c>
      <c r="M1740" s="135">
        <f>_xlfn.XLOOKUP(Market_Data[[#This Row],[District]],tbl_district_price[District],tbl_district_price[Standard Price
(INR/m³)],"",0)</f>
        <v>6200</v>
      </c>
      <c r="N1740" s="364">
        <f>IF(OR(Market_Data[[#This Row],[Estimated Concrete Demand (m³)]]="",Market_Data[[#This Row],[Avg Price per (₹ / m³)]]=""),"",Market_Data[[#This Row],[Estimated Concrete Demand (m³)]]*Market_Data[[#This Row],[Avg Price per (₹ / m³)]]/10000000)</f>
        <v>15.8193</v>
      </c>
      <c r="O1740" s="97" t="str">
        <f>IF(Market_Data[[#This Row],[Estimated Concrete Demand (m³)]]="","",
IF(Market_Data[[#This Row],[Estimated Concrete Demand (m³)]]&lt;10000,"Small",
IF(Market_Data[[#This Row],[Estimated Concrete Demand (m³)]]&lt;25000,"Medium",
IF(Market_Data[[#This Row],[Estimated Concrete Demand (m³)]]&lt;100000,"Large","Mega"))))</f>
        <v>Large</v>
      </c>
      <c r="P1740" s="287" t="str">
        <f t="shared" si="29"/>
        <v>GujRERA</v>
      </c>
    </row>
    <row r="1741" spans="1:16">
      <c r="A1741" s="129" t="str">
        <f>_xlfn.XLOOKUP(B1741,$S$9:$S$14,$T$9:$T$14)&amp;"-"&amp;
IF(E1741="Residential/Group Housing","RES",
IF(E1741="Commercial","COM",
IF(E1741="Mixed Development","MIX",
IF(E1741="Plotted Development","PLT","OTH"))))
&amp;"-"&amp;TEXT(COUNTIFS($B$9:B1741,B1741,$E$9:E1741,E1741),"0000")</f>
        <v>SUR-PLT-0325</v>
      </c>
      <c r="B1741" s="322" t="s">
        <v>34</v>
      </c>
      <c r="C1741" s="322" t="s">
        <v>34</v>
      </c>
      <c r="D1741" s="323" t="s">
        <v>1931</v>
      </c>
      <c r="E1741" s="132" t="s">
        <v>26</v>
      </c>
      <c r="F1741" s="97" t="str">
        <f ca="1">IF(OR(Market_Data[[#This Row],[Start Date]]="",Market_Data[[#This Row],[Completion Date]]=""),"Needs Validation",IF(Market_Data[[#This Row],[Start Date]]&gt;TODAY(),"Planned",IF(Market_Data[[#This Row],[Completion Date]]&lt;TODAY(),"Completed","Ongoing")))</f>
        <v>Ongoing</v>
      </c>
      <c r="G1741" s="324">
        <v>44943</v>
      </c>
      <c r="H1741" s="324">
        <v>46752</v>
      </c>
      <c r="I1741" s="325">
        <v>42500</v>
      </c>
      <c r="J174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741" s="133">
        <f>_xlfn.XLOOKUP(Market_Data[[#This Row],[Project Type]],tbl_assumptions_market[Project Category (RERA)],tbl_assumptions_market[Concrete Intensity
(m³ / sq m BUA)],"",0)</f>
        <v>0.18</v>
      </c>
      <c r="L1741" s="134">
        <f>ROUND(Market_Data[[#This Row],[Estimated Built Up Area (sq m)]]*Market_Data[[#This Row],[Concrete Intensity
(m³ / sq m)]],0)</f>
        <v>7650</v>
      </c>
      <c r="M1741" s="135">
        <f>_xlfn.XLOOKUP(Market_Data[[#This Row],[District]],tbl_district_price[District],tbl_district_price[Standard Price
(INR/m³)],"",0)</f>
        <v>6200</v>
      </c>
      <c r="N1741" s="364">
        <f>IF(OR(Market_Data[[#This Row],[Estimated Concrete Demand (m³)]]="",Market_Data[[#This Row],[Avg Price per (₹ / m³)]]=""),"",Market_Data[[#This Row],[Estimated Concrete Demand (m³)]]*Market_Data[[#This Row],[Avg Price per (₹ / m³)]]/10000000)</f>
        <v>4.7430000000000003</v>
      </c>
      <c r="O1741" s="97" t="str">
        <f>IF(Market_Data[[#This Row],[Estimated Concrete Demand (m³)]]="","",
IF(Market_Data[[#This Row],[Estimated Concrete Demand (m³)]]&lt;10000,"Small",
IF(Market_Data[[#This Row],[Estimated Concrete Demand (m³)]]&lt;25000,"Medium",
IF(Market_Data[[#This Row],[Estimated Concrete Demand (m³)]]&lt;100000,"Large","Mega"))))</f>
        <v>Small</v>
      </c>
      <c r="P1741" s="287" t="str">
        <f t="shared" si="29"/>
        <v>GujRERA</v>
      </c>
    </row>
    <row r="1742" spans="1:16">
      <c r="A1742" s="129" t="str">
        <f>_xlfn.XLOOKUP(B1742,$S$9:$S$14,$T$9:$T$14)&amp;"-"&amp;
IF(E1742="Residential/Group Housing","RES",
IF(E1742="Commercial","COM",
IF(E1742="Mixed Development","MIX",
IF(E1742="Plotted Development","PLT","OTH"))))
&amp;"-"&amp;TEXT(COUNTIFS($B$9:B1742,B1742,$E$9:E1742,E1742),"0000")</f>
        <v>SUR-RES-0548</v>
      </c>
      <c r="B1742" s="322" t="s">
        <v>34</v>
      </c>
      <c r="C1742" s="322" t="s">
        <v>34</v>
      </c>
      <c r="D1742" s="323" t="s">
        <v>1932</v>
      </c>
      <c r="E1742" s="132" t="s">
        <v>24</v>
      </c>
      <c r="F1742" s="97" t="str">
        <f ca="1">IF(OR(Market_Data[[#This Row],[Start Date]]="",Market_Data[[#This Row],[Completion Date]]=""),"Needs Validation",IF(Market_Data[[#This Row],[Start Date]]&gt;TODAY(),"Planned",IF(Market_Data[[#This Row],[Completion Date]]&lt;TODAY(),"Completed","Ongoing")))</f>
        <v>Completed</v>
      </c>
      <c r="G1742" s="324">
        <v>42231</v>
      </c>
      <c r="H1742" s="324">
        <v>43373</v>
      </c>
      <c r="I1742" s="325">
        <v>35100</v>
      </c>
      <c r="J174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42" s="133">
        <f>_xlfn.XLOOKUP(Market_Data[[#This Row],[Project Type]],tbl_assumptions_market[Project Category (RERA)],tbl_assumptions_market[Concrete Intensity
(m³ / sq m BUA)],"",0)</f>
        <v>0.45</v>
      </c>
      <c r="L1742" s="134">
        <f>ROUND(Market_Data[[#This Row],[Estimated Built Up Area (sq m)]]*Market_Data[[#This Row],[Concrete Intensity
(m³ / sq m)]],0)</f>
        <v>15795</v>
      </c>
      <c r="M1742" s="135">
        <f>_xlfn.XLOOKUP(Market_Data[[#This Row],[District]],tbl_district_price[District],tbl_district_price[Standard Price
(INR/m³)],"",0)</f>
        <v>6200</v>
      </c>
      <c r="N1742" s="364">
        <f>IF(OR(Market_Data[[#This Row],[Estimated Concrete Demand (m³)]]="",Market_Data[[#This Row],[Avg Price per (₹ / m³)]]=""),"",Market_Data[[#This Row],[Estimated Concrete Demand (m³)]]*Market_Data[[#This Row],[Avg Price per (₹ / m³)]]/10000000)</f>
        <v>9.7928999999999995</v>
      </c>
      <c r="O1742" s="97" t="str">
        <f>IF(Market_Data[[#This Row],[Estimated Concrete Demand (m³)]]="","",
IF(Market_Data[[#This Row],[Estimated Concrete Demand (m³)]]&lt;10000,"Small",
IF(Market_Data[[#This Row],[Estimated Concrete Demand (m³)]]&lt;25000,"Medium",
IF(Market_Data[[#This Row],[Estimated Concrete Demand (m³)]]&lt;100000,"Large","Mega"))))</f>
        <v>Medium</v>
      </c>
      <c r="P1742" s="287" t="str">
        <f t="shared" si="29"/>
        <v>GujRERA</v>
      </c>
    </row>
    <row r="1743" spans="1:16">
      <c r="A1743" s="129" t="str">
        <f>_xlfn.XLOOKUP(B1743,$S$9:$S$14,$T$9:$T$14)&amp;"-"&amp;
IF(E1743="Residential/Group Housing","RES",
IF(E1743="Commercial","COM",
IF(E1743="Mixed Development","MIX",
IF(E1743="Plotted Development","PLT","OTH"))))
&amp;"-"&amp;TEXT(COUNTIFS($B$9:B1743,B1743,$E$9:E1743,E1743),"0000")</f>
        <v>SUR-COM-0288</v>
      </c>
      <c r="B1743" s="322" t="s">
        <v>34</v>
      </c>
      <c r="C1743" s="322" t="s">
        <v>34</v>
      </c>
      <c r="D1743" s="323" t="s">
        <v>1933</v>
      </c>
      <c r="E1743" s="132" t="s">
        <v>23</v>
      </c>
      <c r="F1743" s="97" t="str">
        <f ca="1">IF(OR(Market_Data[[#This Row],[Start Date]]="",Market_Data[[#This Row],[Completion Date]]=""),"Needs Validation",IF(Market_Data[[#This Row],[Start Date]]&gt;TODAY(),"Planned",IF(Market_Data[[#This Row],[Completion Date]]&lt;TODAY(),"Completed","Ongoing")))</f>
        <v>Ongoing</v>
      </c>
      <c r="G1743" s="324">
        <v>44995</v>
      </c>
      <c r="H1743" s="324">
        <v>46752</v>
      </c>
      <c r="I1743" s="325">
        <v>10900</v>
      </c>
      <c r="J174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43" s="133">
        <f>_xlfn.XLOOKUP(Market_Data[[#This Row],[Project Type]],tbl_assumptions_market[Project Category (RERA)],tbl_assumptions_market[Concrete Intensity
(m³ / sq m BUA)],"",0)</f>
        <v>0.5</v>
      </c>
      <c r="L1743" s="134">
        <f>ROUND(Market_Data[[#This Row],[Estimated Built Up Area (sq m)]]*Market_Data[[#This Row],[Concrete Intensity
(m³ / sq m)]],0)</f>
        <v>5450</v>
      </c>
      <c r="M1743" s="135">
        <f>_xlfn.XLOOKUP(Market_Data[[#This Row],[District]],tbl_district_price[District],tbl_district_price[Standard Price
(INR/m³)],"",0)</f>
        <v>6200</v>
      </c>
      <c r="N1743" s="364">
        <f>IF(OR(Market_Data[[#This Row],[Estimated Concrete Demand (m³)]]="",Market_Data[[#This Row],[Avg Price per (₹ / m³)]]=""),"",Market_Data[[#This Row],[Estimated Concrete Demand (m³)]]*Market_Data[[#This Row],[Avg Price per (₹ / m³)]]/10000000)</f>
        <v>3.379</v>
      </c>
      <c r="O1743" s="97" t="str">
        <f>IF(Market_Data[[#This Row],[Estimated Concrete Demand (m³)]]="","",
IF(Market_Data[[#This Row],[Estimated Concrete Demand (m³)]]&lt;10000,"Small",
IF(Market_Data[[#This Row],[Estimated Concrete Demand (m³)]]&lt;25000,"Medium",
IF(Market_Data[[#This Row],[Estimated Concrete Demand (m³)]]&lt;100000,"Large","Mega"))))</f>
        <v>Small</v>
      </c>
      <c r="P1743" s="287" t="str">
        <f t="shared" si="29"/>
        <v>GujRERA</v>
      </c>
    </row>
    <row r="1744" spans="1:16">
      <c r="A1744" s="129" t="str">
        <f>_xlfn.XLOOKUP(B1744,$S$9:$S$14,$T$9:$T$14)&amp;"-"&amp;
IF(E1744="Residential/Group Housing","RES",
IF(E1744="Commercial","COM",
IF(E1744="Mixed Development","MIX",
IF(E1744="Plotted Development","PLT","OTH"))))
&amp;"-"&amp;TEXT(COUNTIFS($B$9:B1744,B1744,$E$9:E1744,E1744),"0000")</f>
        <v>SUR-MIX-0265</v>
      </c>
      <c r="B1744" s="322" t="s">
        <v>34</v>
      </c>
      <c r="C1744" s="322" t="s">
        <v>34</v>
      </c>
      <c r="D1744" s="323" t="s">
        <v>1934</v>
      </c>
      <c r="E1744" s="132" t="s">
        <v>25</v>
      </c>
      <c r="F1744" s="97" t="str">
        <f ca="1">IF(OR(Market_Data[[#This Row],[Start Date]]="",Market_Data[[#This Row],[Completion Date]]=""),"Needs Validation",IF(Market_Data[[#This Row],[Start Date]]&gt;TODAY(),"Planned",IF(Market_Data[[#This Row],[Completion Date]]&lt;TODAY(),"Completed","Ongoing")))</f>
        <v>Ongoing</v>
      </c>
      <c r="G1744" s="324">
        <v>45323</v>
      </c>
      <c r="H1744" s="324">
        <v>47848</v>
      </c>
      <c r="I1744" s="325">
        <v>52800</v>
      </c>
      <c r="J174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44" s="133">
        <f>_xlfn.XLOOKUP(Market_Data[[#This Row],[Project Type]],tbl_assumptions_market[Project Category (RERA)],tbl_assumptions_market[Concrete Intensity
(m³ / sq m BUA)],"",0)</f>
        <v>0.42</v>
      </c>
      <c r="L1744" s="134">
        <f>ROUND(Market_Data[[#This Row],[Estimated Built Up Area (sq m)]]*Market_Data[[#This Row],[Concrete Intensity
(m³ / sq m)]],0)</f>
        <v>22176</v>
      </c>
      <c r="M1744" s="135">
        <f>_xlfn.XLOOKUP(Market_Data[[#This Row],[District]],tbl_district_price[District],tbl_district_price[Standard Price
(INR/m³)],"",0)</f>
        <v>6200</v>
      </c>
      <c r="N1744" s="364">
        <f>IF(OR(Market_Data[[#This Row],[Estimated Concrete Demand (m³)]]="",Market_Data[[#This Row],[Avg Price per (₹ / m³)]]=""),"",Market_Data[[#This Row],[Estimated Concrete Demand (m³)]]*Market_Data[[#This Row],[Avg Price per (₹ / m³)]]/10000000)</f>
        <v>13.74912</v>
      </c>
      <c r="O1744" s="97" t="str">
        <f>IF(Market_Data[[#This Row],[Estimated Concrete Demand (m³)]]="","",
IF(Market_Data[[#This Row],[Estimated Concrete Demand (m³)]]&lt;10000,"Small",
IF(Market_Data[[#This Row],[Estimated Concrete Demand (m³)]]&lt;25000,"Medium",
IF(Market_Data[[#This Row],[Estimated Concrete Demand (m³)]]&lt;100000,"Large","Mega"))))</f>
        <v>Medium</v>
      </c>
      <c r="P1744" s="287" t="str">
        <f t="shared" si="29"/>
        <v>GujRERA</v>
      </c>
    </row>
    <row r="1745" spans="1:16">
      <c r="A1745" s="129" t="str">
        <f>_xlfn.XLOOKUP(B1745,$S$9:$S$14,$T$9:$T$14)&amp;"-"&amp;
IF(E1745="Residential/Group Housing","RES",
IF(E1745="Commercial","COM",
IF(E1745="Mixed Development","MIX",
IF(E1745="Plotted Development","PLT","OTH"))))
&amp;"-"&amp;TEXT(COUNTIFS($B$9:B1745,B1745,$E$9:E1745,E1745),"0000")</f>
        <v>SUR-MIX-0266</v>
      </c>
      <c r="B1745" s="322" t="s">
        <v>34</v>
      </c>
      <c r="C1745" s="322" t="s">
        <v>34</v>
      </c>
      <c r="D1745" s="323" t="s">
        <v>1935</v>
      </c>
      <c r="E1745" s="132" t="s">
        <v>25</v>
      </c>
      <c r="F1745" s="97" t="str">
        <f ca="1">IF(OR(Market_Data[[#This Row],[Start Date]]="",Market_Data[[#This Row],[Completion Date]]=""),"Needs Validation",IF(Market_Data[[#This Row],[Start Date]]&gt;TODAY(),"Planned",IF(Market_Data[[#This Row],[Completion Date]]&lt;TODAY(),"Completed","Ongoing")))</f>
        <v>Completed</v>
      </c>
      <c r="G1745" s="324">
        <v>42222</v>
      </c>
      <c r="H1745" s="324">
        <v>43555</v>
      </c>
      <c r="I1745" s="325">
        <v>13900</v>
      </c>
      <c r="J174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45" s="133">
        <f>_xlfn.XLOOKUP(Market_Data[[#This Row],[Project Type]],tbl_assumptions_market[Project Category (RERA)],tbl_assumptions_market[Concrete Intensity
(m³ / sq m BUA)],"",0)</f>
        <v>0.42</v>
      </c>
      <c r="L1745" s="134">
        <f>ROUND(Market_Data[[#This Row],[Estimated Built Up Area (sq m)]]*Market_Data[[#This Row],[Concrete Intensity
(m³ / sq m)]],0)</f>
        <v>5838</v>
      </c>
      <c r="M1745" s="135">
        <f>_xlfn.XLOOKUP(Market_Data[[#This Row],[District]],tbl_district_price[District],tbl_district_price[Standard Price
(INR/m³)],"",0)</f>
        <v>6200</v>
      </c>
      <c r="N1745" s="364">
        <f>IF(OR(Market_Data[[#This Row],[Estimated Concrete Demand (m³)]]="",Market_Data[[#This Row],[Avg Price per (₹ / m³)]]=""),"",Market_Data[[#This Row],[Estimated Concrete Demand (m³)]]*Market_Data[[#This Row],[Avg Price per (₹ / m³)]]/10000000)</f>
        <v>3.6195599999999999</v>
      </c>
      <c r="O1745" s="97" t="str">
        <f>IF(Market_Data[[#This Row],[Estimated Concrete Demand (m³)]]="","",
IF(Market_Data[[#This Row],[Estimated Concrete Demand (m³)]]&lt;10000,"Small",
IF(Market_Data[[#This Row],[Estimated Concrete Demand (m³)]]&lt;25000,"Medium",
IF(Market_Data[[#This Row],[Estimated Concrete Demand (m³)]]&lt;100000,"Large","Mega"))))</f>
        <v>Small</v>
      </c>
      <c r="P1745" s="287" t="str">
        <f t="shared" si="29"/>
        <v>GujRERA</v>
      </c>
    </row>
    <row r="1746" spans="1:16">
      <c r="A1746" s="129" t="str">
        <f>_xlfn.XLOOKUP(B1746,$S$9:$S$14,$T$9:$T$14)&amp;"-"&amp;
IF(E1746="Residential/Group Housing","RES",
IF(E1746="Commercial","COM",
IF(E1746="Mixed Development","MIX",
IF(E1746="Plotted Development","PLT","OTH"))))
&amp;"-"&amp;TEXT(COUNTIFS($B$9:B1746,B1746,$E$9:E1746,E1746),"0000")</f>
        <v>SUR-RES-0549</v>
      </c>
      <c r="B1746" s="322" t="s">
        <v>34</v>
      </c>
      <c r="C1746" s="322" t="s">
        <v>34</v>
      </c>
      <c r="D1746" s="323" t="s">
        <v>1936</v>
      </c>
      <c r="E1746" s="132" t="s">
        <v>24</v>
      </c>
      <c r="F1746" s="97" t="str">
        <f ca="1">IF(OR(Market_Data[[#This Row],[Start Date]]="",Market_Data[[#This Row],[Completion Date]]=""),"Needs Validation",IF(Market_Data[[#This Row],[Start Date]]&gt;TODAY(),"Planned",IF(Market_Data[[#This Row],[Completion Date]]&lt;TODAY(),"Completed","Ongoing")))</f>
        <v>Completed</v>
      </c>
      <c r="G1746" s="324">
        <v>43311</v>
      </c>
      <c r="H1746" s="324">
        <v>45473</v>
      </c>
      <c r="I1746" s="325">
        <v>31600</v>
      </c>
      <c r="J174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46" s="133">
        <f>_xlfn.XLOOKUP(Market_Data[[#This Row],[Project Type]],tbl_assumptions_market[Project Category (RERA)],tbl_assumptions_market[Concrete Intensity
(m³ / sq m BUA)],"",0)</f>
        <v>0.45</v>
      </c>
      <c r="L1746" s="134">
        <f>ROUND(Market_Data[[#This Row],[Estimated Built Up Area (sq m)]]*Market_Data[[#This Row],[Concrete Intensity
(m³ / sq m)]],0)</f>
        <v>14220</v>
      </c>
      <c r="M1746" s="135">
        <f>_xlfn.XLOOKUP(Market_Data[[#This Row],[District]],tbl_district_price[District],tbl_district_price[Standard Price
(INR/m³)],"",0)</f>
        <v>6200</v>
      </c>
      <c r="N1746" s="364">
        <f>IF(OR(Market_Data[[#This Row],[Estimated Concrete Demand (m³)]]="",Market_Data[[#This Row],[Avg Price per (₹ / m³)]]=""),"",Market_Data[[#This Row],[Estimated Concrete Demand (m³)]]*Market_Data[[#This Row],[Avg Price per (₹ / m³)]]/10000000)</f>
        <v>8.8163999999999998</v>
      </c>
      <c r="O1746" s="97" t="str">
        <f>IF(Market_Data[[#This Row],[Estimated Concrete Demand (m³)]]="","",
IF(Market_Data[[#This Row],[Estimated Concrete Demand (m³)]]&lt;10000,"Small",
IF(Market_Data[[#This Row],[Estimated Concrete Demand (m³)]]&lt;25000,"Medium",
IF(Market_Data[[#This Row],[Estimated Concrete Demand (m³)]]&lt;100000,"Large","Mega"))))</f>
        <v>Medium</v>
      </c>
      <c r="P1746" s="287" t="str">
        <f t="shared" si="29"/>
        <v>GujRERA</v>
      </c>
    </row>
    <row r="1747" spans="1:16">
      <c r="A1747" s="129" t="str">
        <f>_xlfn.XLOOKUP(B1747,$S$9:$S$14,$T$9:$T$14)&amp;"-"&amp;
IF(E1747="Residential/Group Housing","RES",
IF(E1747="Commercial","COM",
IF(E1747="Mixed Development","MIX",
IF(E1747="Plotted Development","PLT","OTH"))))
&amp;"-"&amp;TEXT(COUNTIFS($B$9:B1747,B1747,$E$9:E1747,E1747),"0000")</f>
        <v>SUR-PLT-0326</v>
      </c>
      <c r="B1747" s="322" t="s">
        <v>34</v>
      </c>
      <c r="C1747" s="322" t="s">
        <v>34</v>
      </c>
      <c r="D1747" s="323" t="s">
        <v>1937</v>
      </c>
      <c r="E1747" s="132" t="s">
        <v>26</v>
      </c>
      <c r="F1747" s="97" t="str">
        <f ca="1">IF(OR(Market_Data[[#This Row],[Start Date]]="",Market_Data[[#This Row],[Completion Date]]=""),"Needs Validation",IF(Market_Data[[#This Row],[Start Date]]&gt;TODAY(),"Planned",IF(Market_Data[[#This Row],[Completion Date]]&lt;TODAY(),"Completed","Ongoing")))</f>
        <v>Ongoing</v>
      </c>
      <c r="G1747" s="324">
        <v>45870</v>
      </c>
      <c r="H1747" s="324">
        <v>47118</v>
      </c>
      <c r="I1747" s="325">
        <v>57200</v>
      </c>
      <c r="J174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747" s="133">
        <f>_xlfn.XLOOKUP(Market_Data[[#This Row],[Project Type]],tbl_assumptions_market[Project Category (RERA)],tbl_assumptions_market[Concrete Intensity
(m³ / sq m BUA)],"",0)</f>
        <v>0.18</v>
      </c>
      <c r="L1747" s="134">
        <f>ROUND(Market_Data[[#This Row],[Estimated Built Up Area (sq m)]]*Market_Data[[#This Row],[Concrete Intensity
(m³ / sq m)]],0)</f>
        <v>10296</v>
      </c>
      <c r="M1747" s="135">
        <f>_xlfn.XLOOKUP(Market_Data[[#This Row],[District]],tbl_district_price[District],tbl_district_price[Standard Price
(INR/m³)],"",0)</f>
        <v>6200</v>
      </c>
      <c r="N1747" s="364">
        <f>IF(OR(Market_Data[[#This Row],[Estimated Concrete Demand (m³)]]="",Market_Data[[#This Row],[Avg Price per (₹ / m³)]]=""),"",Market_Data[[#This Row],[Estimated Concrete Demand (m³)]]*Market_Data[[#This Row],[Avg Price per (₹ / m³)]]/10000000)</f>
        <v>6.3835199999999999</v>
      </c>
      <c r="O1747" s="97" t="str">
        <f>IF(Market_Data[[#This Row],[Estimated Concrete Demand (m³)]]="","",
IF(Market_Data[[#This Row],[Estimated Concrete Demand (m³)]]&lt;10000,"Small",
IF(Market_Data[[#This Row],[Estimated Concrete Demand (m³)]]&lt;25000,"Medium",
IF(Market_Data[[#This Row],[Estimated Concrete Demand (m³)]]&lt;100000,"Large","Mega"))))</f>
        <v>Medium</v>
      </c>
      <c r="P1747" s="287" t="str">
        <f t="shared" si="29"/>
        <v>GujRERA</v>
      </c>
    </row>
    <row r="1748" spans="1:16">
      <c r="A1748" s="129" t="str">
        <f>_xlfn.XLOOKUP(B1748,$S$9:$S$14,$T$9:$T$14)&amp;"-"&amp;
IF(E1748="Residential/Group Housing","RES",
IF(E1748="Commercial","COM",
IF(E1748="Mixed Development","MIX",
IF(E1748="Plotted Development","PLT","OTH"))))
&amp;"-"&amp;TEXT(COUNTIFS($B$9:B1748,B1748,$E$9:E1748,E1748),"0000")</f>
        <v>SUR-COM-0289</v>
      </c>
      <c r="B1748" s="322" t="s">
        <v>34</v>
      </c>
      <c r="C1748" s="322" t="s">
        <v>34</v>
      </c>
      <c r="D1748" s="323" t="s">
        <v>1938</v>
      </c>
      <c r="E1748" s="132" t="s">
        <v>23</v>
      </c>
      <c r="F1748" s="97" t="str">
        <f ca="1">IF(OR(Market_Data[[#This Row],[Start Date]]="",Market_Data[[#This Row],[Completion Date]]=""),"Needs Validation",IF(Market_Data[[#This Row],[Start Date]]&gt;TODAY(),"Planned",IF(Market_Data[[#This Row],[Completion Date]]&lt;TODAY(),"Completed","Ongoing")))</f>
        <v>Completed</v>
      </c>
      <c r="G1748" s="324">
        <v>42500</v>
      </c>
      <c r="H1748" s="324">
        <v>43555</v>
      </c>
      <c r="I1748" s="325">
        <v>15500</v>
      </c>
      <c r="J174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48" s="133">
        <f>_xlfn.XLOOKUP(Market_Data[[#This Row],[Project Type]],tbl_assumptions_market[Project Category (RERA)],tbl_assumptions_market[Concrete Intensity
(m³ / sq m BUA)],"",0)</f>
        <v>0.5</v>
      </c>
      <c r="L1748" s="134">
        <f>ROUND(Market_Data[[#This Row],[Estimated Built Up Area (sq m)]]*Market_Data[[#This Row],[Concrete Intensity
(m³ / sq m)]],0)</f>
        <v>7750</v>
      </c>
      <c r="M1748" s="135">
        <f>_xlfn.XLOOKUP(Market_Data[[#This Row],[District]],tbl_district_price[District],tbl_district_price[Standard Price
(INR/m³)],"",0)</f>
        <v>6200</v>
      </c>
      <c r="N1748" s="364">
        <f>IF(OR(Market_Data[[#This Row],[Estimated Concrete Demand (m³)]]="",Market_Data[[#This Row],[Avg Price per (₹ / m³)]]=""),"",Market_Data[[#This Row],[Estimated Concrete Demand (m³)]]*Market_Data[[#This Row],[Avg Price per (₹ / m³)]]/10000000)</f>
        <v>4.8049999999999997</v>
      </c>
      <c r="O1748" s="97" t="str">
        <f>IF(Market_Data[[#This Row],[Estimated Concrete Demand (m³)]]="","",
IF(Market_Data[[#This Row],[Estimated Concrete Demand (m³)]]&lt;10000,"Small",
IF(Market_Data[[#This Row],[Estimated Concrete Demand (m³)]]&lt;25000,"Medium",
IF(Market_Data[[#This Row],[Estimated Concrete Demand (m³)]]&lt;100000,"Large","Mega"))))</f>
        <v>Small</v>
      </c>
      <c r="P1748" s="287" t="str">
        <f t="shared" si="29"/>
        <v>GujRERA</v>
      </c>
    </row>
    <row r="1749" spans="1:16">
      <c r="A1749" s="129" t="str">
        <f>_xlfn.XLOOKUP(B1749,$S$9:$S$14,$T$9:$T$14)&amp;"-"&amp;
IF(E1749="Residential/Group Housing","RES",
IF(E1749="Commercial","COM",
IF(E1749="Mixed Development","MIX",
IF(E1749="Plotted Development","PLT","OTH"))))
&amp;"-"&amp;TEXT(COUNTIFS($B$9:B1749,B1749,$E$9:E1749,E1749),"0000")</f>
        <v>SUR-RES-0550</v>
      </c>
      <c r="B1749" s="322" t="s">
        <v>34</v>
      </c>
      <c r="C1749" s="322" t="s">
        <v>34</v>
      </c>
      <c r="D1749" s="323" t="s">
        <v>1939</v>
      </c>
      <c r="E1749" s="132" t="s">
        <v>24</v>
      </c>
      <c r="F1749" s="97" t="str">
        <f ca="1">IF(OR(Market_Data[[#This Row],[Start Date]]="",Market_Data[[#This Row],[Completion Date]]=""),"Needs Validation",IF(Market_Data[[#This Row],[Start Date]]&gt;TODAY(),"Planned",IF(Market_Data[[#This Row],[Completion Date]]&lt;TODAY(),"Completed","Ongoing")))</f>
        <v>Completed</v>
      </c>
      <c r="G1749" s="324">
        <v>42788</v>
      </c>
      <c r="H1749" s="324">
        <v>44833</v>
      </c>
      <c r="I1749" s="325">
        <v>44300</v>
      </c>
      <c r="J174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49" s="133">
        <f>_xlfn.XLOOKUP(Market_Data[[#This Row],[Project Type]],tbl_assumptions_market[Project Category (RERA)],tbl_assumptions_market[Concrete Intensity
(m³ / sq m BUA)],"",0)</f>
        <v>0.45</v>
      </c>
      <c r="L1749" s="134">
        <f>ROUND(Market_Data[[#This Row],[Estimated Built Up Area (sq m)]]*Market_Data[[#This Row],[Concrete Intensity
(m³ / sq m)]],0)</f>
        <v>19935</v>
      </c>
      <c r="M1749" s="135">
        <f>_xlfn.XLOOKUP(Market_Data[[#This Row],[District]],tbl_district_price[District],tbl_district_price[Standard Price
(INR/m³)],"",0)</f>
        <v>6200</v>
      </c>
      <c r="N1749" s="364">
        <f>IF(OR(Market_Data[[#This Row],[Estimated Concrete Demand (m³)]]="",Market_Data[[#This Row],[Avg Price per (₹ / m³)]]=""),"",Market_Data[[#This Row],[Estimated Concrete Demand (m³)]]*Market_Data[[#This Row],[Avg Price per (₹ / m³)]]/10000000)</f>
        <v>12.3597</v>
      </c>
      <c r="O1749" s="97" t="str">
        <f>IF(Market_Data[[#This Row],[Estimated Concrete Demand (m³)]]="","",
IF(Market_Data[[#This Row],[Estimated Concrete Demand (m³)]]&lt;10000,"Small",
IF(Market_Data[[#This Row],[Estimated Concrete Demand (m³)]]&lt;25000,"Medium",
IF(Market_Data[[#This Row],[Estimated Concrete Demand (m³)]]&lt;100000,"Large","Mega"))))</f>
        <v>Medium</v>
      </c>
      <c r="P1749" s="287" t="str">
        <f t="shared" si="29"/>
        <v>GujRERA</v>
      </c>
    </row>
    <row r="1750" spans="1:16" ht="24">
      <c r="A1750" s="129" t="str">
        <f>_xlfn.XLOOKUP(B1750,$S$9:$S$14,$T$9:$T$14)&amp;"-"&amp;
IF(E1750="Residential/Group Housing","RES",
IF(E1750="Commercial","COM",
IF(E1750="Mixed Development","MIX",
IF(E1750="Plotted Development","PLT","OTH"))))
&amp;"-"&amp;TEXT(COUNTIFS($B$9:B1750,B1750,$E$9:E1750,E1750),"0000")</f>
        <v>SUR-RES-0551</v>
      </c>
      <c r="B1750" s="322" t="s">
        <v>34</v>
      </c>
      <c r="C1750" s="322" t="s">
        <v>34</v>
      </c>
      <c r="D1750" s="323" t="s">
        <v>1940</v>
      </c>
      <c r="E1750" s="132" t="s">
        <v>24</v>
      </c>
      <c r="F1750" s="97" t="str">
        <f ca="1">IF(OR(Market_Data[[#This Row],[Start Date]]="",Market_Data[[#This Row],[Completion Date]]=""),"Needs Validation",IF(Market_Data[[#This Row],[Start Date]]&gt;TODAY(),"Planned",IF(Market_Data[[#This Row],[Completion Date]]&lt;TODAY(),"Completed","Ongoing")))</f>
        <v>Completed</v>
      </c>
      <c r="G1750" s="324">
        <v>42470</v>
      </c>
      <c r="H1750" s="324">
        <v>44530</v>
      </c>
      <c r="I1750" s="325">
        <v>46400</v>
      </c>
      <c r="J175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50" s="133">
        <f>_xlfn.XLOOKUP(Market_Data[[#This Row],[Project Type]],tbl_assumptions_market[Project Category (RERA)],tbl_assumptions_market[Concrete Intensity
(m³ / sq m BUA)],"",0)</f>
        <v>0.45</v>
      </c>
      <c r="L1750" s="134">
        <f>ROUND(Market_Data[[#This Row],[Estimated Built Up Area (sq m)]]*Market_Data[[#This Row],[Concrete Intensity
(m³ / sq m)]],0)</f>
        <v>20880</v>
      </c>
      <c r="M1750" s="135">
        <f>_xlfn.XLOOKUP(Market_Data[[#This Row],[District]],tbl_district_price[District],tbl_district_price[Standard Price
(INR/m³)],"",0)</f>
        <v>6200</v>
      </c>
      <c r="N1750" s="364">
        <f>IF(OR(Market_Data[[#This Row],[Estimated Concrete Demand (m³)]]="",Market_Data[[#This Row],[Avg Price per (₹ / m³)]]=""),"",Market_Data[[#This Row],[Estimated Concrete Demand (m³)]]*Market_Data[[#This Row],[Avg Price per (₹ / m³)]]/10000000)</f>
        <v>12.945600000000001</v>
      </c>
      <c r="O1750" s="97" t="str">
        <f>IF(Market_Data[[#This Row],[Estimated Concrete Demand (m³)]]="","",
IF(Market_Data[[#This Row],[Estimated Concrete Demand (m³)]]&lt;10000,"Small",
IF(Market_Data[[#This Row],[Estimated Concrete Demand (m³)]]&lt;25000,"Medium",
IF(Market_Data[[#This Row],[Estimated Concrete Demand (m³)]]&lt;100000,"Large","Mega"))))</f>
        <v>Medium</v>
      </c>
      <c r="P1750" s="287" t="str">
        <f t="shared" si="29"/>
        <v>GujRERA</v>
      </c>
    </row>
    <row r="1751" spans="1:16">
      <c r="A1751" s="129" t="str">
        <f>_xlfn.XLOOKUP(B1751,$S$9:$S$14,$T$9:$T$14)&amp;"-"&amp;
IF(E1751="Residential/Group Housing","RES",
IF(E1751="Commercial","COM",
IF(E1751="Mixed Development","MIX",
IF(E1751="Plotted Development","PLT","OTH"))))
&amp;"-"&amp;TEXT(COUNTIFS($B$9:B1751,B1751,$E$9:E1751,E1751),"0000")</f>
        <v>SUR-MIX-0267</v>
      </c>
      <c r="B1751" s="322" t="s">
        <v>34</v>
      </c>
      <c r="C1751" s="322" t="s">
        <v>34</v>
      </c>
      <c r="D1751" s="323" t="s">
        <v>1941</v>
      </c>
      <c r="E1751" s="132" t="s">
        <v>25</v>
      </c>
      <c r="F1751" s="97" t="str">
        <f ca="1">IF(OR(Market_Data[[#This Row],[Start Date]]="",Market_Data[[#This Row],[Completion Date]]=""),"Needs Validation",IF(Market_Data[[#This Row],[Start Date]]&gt;TODAY(),"Planned",IF(Market_Data[[#This Row],[Completion Date]]&lt;TODAY(),"Completed","Ongoing")))</f>
        <v>Completed</v>
      </c>
      <c r="G1751" s="324">
        <v>42401</v>
      </c>
      <c r="H1751" s="324">
        <v>43312</v>
      </c>
      <c r="I1751" s="325">
        <v>56900</v>
      </c>
      <c r="J175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51" s="133">
        <f>_xlfn.XLOOKUP(Market_Data[[#This Row],[Project Type]],tbl_assumptions_market[Project Category (RERA)],tbl_assumptions_market[Concrete Intensity
(m³ / sq m BUA)],"",0)</f>
        <v>0.42</v>
      </c>
      <c r="L1751" s="134">
        <f>ROUND(Market_Data[[#This Row],[Estimated Built Up Area (sq m)]]*Market_Data[[#This Row],[Concrete Intensity
(m³ / sq m)]],0)</f>
        <v>23898</v>
      </c>
      <c r="M1751" s="135">
        <f>_xlfn.XLOOKUP(Market_Data[[#This Row],[District]],tbl_district_price[District],tbl_district_price[Standard Price
(INR/m³)],"",0)</f>
        <v>6200</v>
      </c>
      <c r="N1751" s="364">
        <f>IF(OR(Market_Data[[#This Row],[Estimated Concrete Demand (m³)]]="",Market_Data[[#This Row],[Avg Price per (₹ / m³)]]=""),"",Market_Data[[#This Row],[Estimated Concrete Demand (m³)]]*Market_Data[[#This Row],[Avg Price per (₹ / m³)]]/10000000)</f>
        <v>14.81676</v>
      </c>
      <c r="O1751" s="97" t="str">
        <f>IF(Market_Data[[#This Row],[Estimated Concrete Demand (m³)]]="","",
IF(Market_Data[[#This Row],[Estimated Concrete Demand (m³)]]&lt;10000,"Small",
IF(Market_Data[[#This Row],[Estimated Concrete Demand (m³)]]&lt;25000,"Medium",
IF(Market_Data[[#This Row],[Estimated Concrete Demand (m³)]]&lt;100000,"Large","Mega"))))</f>
        <v>Medium</v>
      </c>
      <c r="P1751" s="287" t="str">
        <f t="shared" si="29"/>
        <v>GujRERA</v>
      </c>
    </row>
    <row r="1752" spans="1:16">
      <c r="A1752" s="129" t="str">
        <f>_xlfn.XLOOKUP(B1752,$S$9:$S$14,$T$9:$T$14)&amp;"-"&amp;
IF(E1752="Residential/Group Housing","RES",
IF(E1752="Commercial","COM",
IF(E1752="Mixed Development","MIX",
IF(E1752="Plotted Development","PLT","OTH"))))
&amp;"-"&amp;TEXT(COUNTIFS($B$9:B1752,B1752,$E$9:E1752,E1752),"0000")</f>
        <v>SUR-RES-0552</v>
      </c>
      <c r="B1752" s="322" t="s">
        <v>34</v>
      </c>
      <c r="C1752" s="322" t="s">
        <v>34</v>
      </c>
      <c r="D1752" s="323" t="s">
        <v>1942</v>
      </c>
      <c r="E1752" s="132" t="s">
        <v>24</v>
      </c>
      <c r="F1752" s="97" t="str">
        <f ca="1">IF(OR(Market_Data[[#This Row],[Start Date]]="",Market_Data[[#This Row],[Completion Date]]=""),"Needs Validation",IF(Market_Data[[#This Row],[Start Date]]&gt;TODAY(),"Planned",IF(Market_Data[[#This Row],[Completion Date]]&lt;TODAY(),"Completed","Ongoing")))</f>
        <v>Completed</v>
      </c>
      <c r="G1752" s="324">
        <v>42537</v>
      </c>
      <c r="H1752" s="324">
        <v>43830</v>
      </c>
      <c r="I1752" s="325">
        <v>26200</v>
      </c>
      <c r="J175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52" s="133">
        <f>_xlfn.XLOOKUP(Market_Data[[#This Row],[Project Type]],tbl_assumptions_market[Project Category (RERA)],tbl_assumptions_market[Concrete Intensity
(m³ / sq m BUA)],"",0)</f>
        <v>0.45</v>
      </c>
      <c r="L1752" s="134">
        <f>ROUND(Market_Data[[#This Row],[Estimated Built Up Area (sq m)]]*Market_Data[[#This Row],[Concrete Intensity
(m³ / sq m)]],0)</f>
        <v>11790</v>
      </c>
      <c r="M1752" s="135">
        <f>_xlfn.XLOOKUP(Market_Data[[#This Row],[District]],tbl_district_price[District],tbl_district_price[Standard Price
(INR/m³)],"",0)</f>
        <v>6200</v>
      </c>
      <c r="N1752" s="364">
        <f>IF(OR(Market_Data[[#This Row],[Estimated Concrete Demand (m³)]]="",Market_Data[[#This Row],[Avg Price per (₹ / m³)]]=""),"",Market_Data[[#This Row],[Estimated Concrete Demand (m³)]]*Market_Data[[#This Row],[Avg Price per (₹ / m³)]]/10000000)</f>
        <v>7.3098000000000001</v>
      </c>
      <c r="O1752" s="97" t="str">
        <f>IF(Market_Data[[#This Row],[Estimated Concrete Demand (m³)]]="","",
IF(Market_Data[[#This Row],[Estimated Concrete Demand (m³)]]&lt;10000,"Small",
IF(Market_Data[[#This Row],[Estimated Concrete Demand (m³)]]&lt;25000,"Medium",
IF(Market_Data[[#This Row],[Estimated Concrete Demand (m³)]]&lt;100000,"Large","Mega"))))</f>
        <v>Medium</v>
      </c>
      <c r="P1752" s="287" t="str">
        <f t="shared" si="29"/>
        <v>GujRERA</v>
      </c>
    </row>
    <row r="1753" spans="1:16">
      <c r="A1753" s="129" t="str">
        <f>_xlfn.XLOOKUP(B1753,$S$9:$S$14,$T$9:$T$14)&amp;"-"&amp;
IF(E1753="Residential/Group Housing","RES",
IF(E1753="Commercial","COM",
IF(E1753="Mixed Development","MIX",
IF(E1753="Plotted Development","PLT","OTH"))))
&amp;"-"&amp;TEXT(COUNTIFS($B$9:B1753,B1753,$E$9:E1753,E1753),"0000")</f>
        <v>SUR-MIX-0268</v>
      </c>
      <c r="B1753" s="322" t="s">
        <v>34</v>
      </c>
      <c r="C1753" s="322" t="s">
        <v>34</v>
      </c>
      <c r="D1753" s="323" t="s">
        <v>1943</v>
      </c>
      <c r="E1753" s="132" t="s">
        <v>25</v>
      </c>
      <c r="F1753" s="97" t="str">
        <f ca="1">IF(OR(Market_Data[[#This Row],[Start Date]]="",Market_Data[[#This Row],[Completion Date]]=""),"Needs Validation",IF(Market_Data[[#This Row],[Start Date]]&gt;TODAY(),"Planned",IF(Market_Data[[#This Row],[Completion Date]]&lt;TODAY(),"Completed","Ongoing")))</f>
        <v>Ongoing</v>
      </c>
      <c r="G1753" s="324">
        <v>45602</v>
      </c>
      <c r="H1753" s="324">
        <v>47118</v>
      </c>
      <c r="I1753" s="325">
        <v>46800</v>
      </c>
      <c r="J175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53" s="133">
        <f>_xlfn.XLOOKUP(Market_Data[[#This Row],[Project Type]],tbl_assumptions_market[Project Category (RERA)],tbl_assumptions_market[Concrete Intensity
(m³ / sq m BUA)],"",0)</f>
        <v>0.42</v>
      </c>
      <c r="L1753" s="134">
        <f>ROUND(Market_Data[[#This Row],[Estimated Built Up Area (sq m)]]*Market_Data[[#This Row],[Concrete Intensity
(m³ / sq m)]],0)</f>
        <v>19656</v>
      </c>
      <c r="M1753" s="135">
        <f>_xlfn.XLOOKUP(Market_Data[[#This Row],[District]],tbl_district_price[District],tbl_district_price[Standard Price
(INR/m³)],"",0)</f>
        <v>6200</v>
      </c>
      <c r="N1753" s="364">
        <f>IF(OR(Market_Data[[#This Row],[Estimated Concrete Demand (m³)]]="",Market_Data[[#This Row],[Avg Price per (₹ / m³)]]=""),"",Market_Data[[#This Row],[Estimated Concrete Demand (m³)]]*Market_Data[[#This Row],[Avg Price per (₹ / m³)]]/10000000)</f>
        <v>12.186719999999999</v>
      </c>
      <c r="O1753" s="97" t="str">
        <f>IF(Market_Data[[#This Row],[Estimated Concrete Demand (m³)]]="","",
IF(Market_Data[[#This Row],[Estimated Concrete Demand (m³)]]&lt;10000,"Small",
IF(Market_Data[[#This Row],[Estimated Concrete Demand (m³)]]&lt;25000,"Medium",
IF(Market_Data[[#This Row],[Estimated Concrete Demand (m³)]]&lt;100000,"Large","Mega"))))</f>
        <v>Medium</v>
      </c>
      <c r="P1753" s="287" t="str">
        <f t="shared" si="29"/>
        <v>GujRERA</v>
      </c>
    </row>
    <row r="1754" spans="1:16">
      <c r="A1754" s="129" t="str">
        <f>_xlfn.XLOOKUP(B1754,$S$9:$S$14,$T$9:$T$14)&amp;"-"&amp;
IF(E1754="Residential/Group Housing","RES",
IF(E1754="Commercial","COM",
IF(E1754="Mixed Development","MIX",
IF(E1754="Plotted Development","PLT","OTH"))))
&amp;"-"&amp;TEXT(COUNTIFS($B$9:B1754,B1754,$E$9:E1754,E1754),"0000")</f>
        <v>SUR-MIX-0269</v>
      </c>
      <c r="B1754" s="322" t="s">
        <v>34</v>
      </c>
      <c r="C1754" s="322" t="s">
        <v>34</v>
      </c>
      <c r="D1754" s="323" t="s">
        <v>1944</v>
      </c>
      <c r="E1754" s="132" t="s">
        <v>25</v>
      </c>
      <c r="F1754" s="97" t="str">
        <f ca="1">IF(OR(Market_Data[[#This Row],[Start Date]]="",Market_Data[[#This Row],[Completion Date]]=""),"Needs Validation",IF(Market_Data[[#This Row],[Start Date]]&gt;TODAY(),"Planned",IF(Market_Data[[#This Row],[Completion Date]]&lt;TODAY(),"Completed","Ongoing")))</f>
        <v>Ongoing</v>
      </c>
      <c r="G1754" s="324">
        <v>43514</v>
      </c>
      <c r="H1754" s="324">
        <v>46477</v>
      </c>
      <c r="I1754" s="325">
        <v>57800</v>
      </c>
      <c r="J175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54" s="133">
        <f>_xlfn.XLOOKUP(Market_Data[[#This Row],[Project Type]],tbl_assumptions_market[Project Category (RERA)],tbl_assumptions_market[Concrete Intensity
(m³ / sq m BUA)],"",0)</f>
        <v>0.42</v>
      </c>
      <c r="L1754" s="134">
        <f>ROUND(Market_Data[[#This Row],[Estimated Built Up Area (sq m)]]*Market_Data[[#This Row],[Concrete Intensity
(m³ / sq m)]],0)</f>
        <v>24276</v>
      </c>
      <c r="M1754" s="135">
        <f>_xlfn.XLOOKUP(Market_Data[[#This Row],[District]],tbl_district_price[District],tbl_district_price[Standard Price
(INR/m³)],"",0)</f>
        <v>6200</v>
      </c>
      <c r="N1754" s="364">
        <f>IF(OR(Market_Data[[#This Row],[Estimated Concrete Demand (m³)]]="",Market_Data[[#This Row],[Avg Price per (₹ / m³)]]=""),"",Market_Data[[#This Row],[Estimated Concrete Demand (m³)]]*Market_Data[[#This Row],[Avg Price per (₹ / m³)]]/10000000)</f>
        <v>15.051119999999999</v>
      </c>
      <c r="O1754" s="97" t="str">
        <f>IF(Market_Data[[#This Row],[Estimated Concrete Demand (m³)]]="","",
IF(Market_Data[[#This Row],[Estimated Concrete Demand (m³)]]&lt;10000,"Small",
IF(Market_Data[[#This Row],[Estimated Concrete Demand (m³)]]&lt;25000,"Medium",
IF(Market_Data[[#This Row],[Estimated Concrete Demand (m³)]]&lt;100000,"Large","Mega"))))</f>
        <v>Medium</v>
      </c>
      <c r="P1754" s="287" t="str">
        <f t="shared" si="29"/>
        <v>GujRERA</v>
      </c>
    </row>
    <row r="1755" spans="1:16">
      <c r="A1755" s="129" t="str">
        <f>_xlfn.XLOOKUP(B1755,$S$9:$S$14,$T$9:$T$14)&amp;"-"&amp;
IF(E1755="Residential/Group Housing","RES",
IF(E1755="Commercial","COM",
IF(E1755="Mixed Development","MIX",
IF(E1755="Plotted Development","PLT","OTH"))))
&amp;"-"&amp;TEXT(COUNTIFS($B$9:B1755,B1755,$E$9:E1755,E1755),"0000")</f>
        <v>SUR-RES-0553</v>
      </c>
      <c r="B1755" s="322" t="s">
        <v>34</v>
      </c>
      <c r="C1755" s="322" t="s">
        <v>34</v>
      </c>
      <c r="D1755" s="323" t="s">
        <v>1945</v>
      </c>
      <c r="E1755" s="132" t="s">
        <v>24</v>
      </c>
      <c r="F1755" s="97" t="str">
        <f ca="1">IF(OR(Market_Data[[#This Row],[Start Date]]="",Market_Data[[#This Row],[Completion Date]]=""),"Needs Validation",IF(Market_Data[[#This Row],[Start Date]]&gt;TODAY(),"Planned",IF(Market_Data[[#This Row],[Completion Date]]&lt;TODAY(),"Completed","Ongoing")))</f>
        <v>Ongoing</v>
      </c>
      <c r="G1755" s="324">
        <v>44943</v>
      </c>
      <c r="H1755" s="324">
        <v>46783</v>
      </c>
      <c r="I1755" s="325">
        <v>7200</v>
      </c>
      <c r="J175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55" s="133">
        <f>_xlfn.XLOOKUP(Market_Data[[#This Row],[Project Type]],tbl_assumptions_market[Project Category (RERA)],tbl_assumptions_market[Concrete Intensity
(m³ / sq m BUA)],"",0)</f>
        <v>0.45</v>
      </c>
      <c r="L1755" s="134">
        <f>ROUND(Market_Data[[#This Row],[Estimated Built Up Area (sq m)]]*Market_Data[[#This Row],[Concrete Intensity
(m³ / sq m)]],0)</f>
        <v>3240</v>
      </c>
      <c r="M1755" s="135">
        <f>_xlfn.XLOOKUP(Market_Data[[#This Row],[District]],tbl_district_price[District],tbl_district_price[Standard Price
(INR/m³)],"",0)</f>
        <v>6200</v>
      </c>
      <c r="N1755" s="364">
        <f>IF(OR(Market_Data[[#This Row],[Estimated Concrete Demand (m³)]]="",Market_Data[[#This Row],[Avg Price per (₹ / m³)]]=""),"",Market_Data[[#This Row],[Estimated Concrete Demand (m³)]]*Market_Data[[#This Row],[Avg Price per (₹ / m³)]]/10000000)</f>
        <v>2.0087999999999999</v>
      </c>
      <c r="O1755" s="97" t="str">
        <f>IF(Market_Data[[#This Row],[Estimated Concrete Demand (m³)]]="","",
IF(Market_Data[[#This Row],[Estimated Concrete Demand (m³)]]&lt;10000,"Small",
IF(Market_Data[[#This Row],[Estimated Concrete Demand (m³)]]&lt;25000,"Medium",
IF(Market_Data[[#This Row],[Estimated Concrete Demand (m³)]]&lt;100000,"Large","Mega"))))</f>
        <v>Small</v>
      </c>
      <c r="P1755" s="287" t="str">
        <f t="shared" si="29"/>
        <v>GujRERA</v>
      </c>
    </row>
    <row r="1756" spans="1:16">
      <c r="A1756" s="129" t="str">
        <f>_xlfn.XLOOKUP(B1756,$S$9:$S$14,$T$9:$T$14)&amp;"-"&amp;
IF(E1756="Residential/Group Housing","RES",
IF(E1756="Commercial","COM",
IF(E1756="Mixed Development","MIX",
IF(E1756="Plotted Development","PLT","OTH"))))
&amp;"-"&amp;TEXT(COUNTIFS($B$9:B1756,B1756,$E$9:E1756,E1756),"0000")</f>
        <v>SUR-COM-0290</v>
      </c>
      <c r="B1756" s="322" t="s">
        <v>34</v>
      </c>
      <c r="C1756" s="322" t="s">
        <v>34</v>
      </c>
      <c r="D1756" s="323" t="s">
        <v>1946</v>
      </c>
      <c r="E1756" s="132" t="s">
        <v>23</v>
      </c>
      <c r="F1756" s="97" t="str">
        <f ca="1">IF(OR(Market_Data[[#This Row],[Start Date]]="",Market_Data[[#This Row],[Completion Date]]=""),"Needs Validation",IF(Market_Data[[#This Row],[Start Date]]&gt;TODAY(),"Planned",IF(Market_Data[[#This Row],[Completion Date]]&lt;TODAY(),"Completed","Ongoing")))</f>
        <v>Completed</v>
      </c>
      <c r="G1756" s="324">
        <v>42491</v>
      </c>
      <c r="H1756" s="324">
        <v>45107</v>
      </c>
      <c r="I1756" s="325">
        <v>8500</v>
      </c>
      <c r="J175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56" s="133">
        <f>_xlfn.XLOOKUP(Market_Data[[#This Row],[Project Type]],tbl_assumptions_market[Project Category (RERA)],tbl_assumptions_market[Concrete Intensity
(m³ / sq m BUA)],"",0)</f>
        <v>0.5</v>
      </c>
      <c r="L1756" s="134">
        <f>ROUND(Market_Data[[#This Row],[Estimated Built Up Area (sq m)]]*Market_Data[[#This Row],[Concrete Intensity
(m³ / sq m)]],0)</f>
        <v>4250</v>
      </c>
      <c r="M1756" s="135">
        <f>_xlfn.XLOOKUP(Market_Data[[#This Row],[District]],tbl_district_price[District],tbl_district_price[Standard Price
(INR/m³)],"",0)</f>
        <v>6200</v>
      </c>
      <c r="N1756" s="364">
        <f>IF(OR(Market_Data[[#This Row],[Estimated Concrete Demand (m³)]]="",Market_Data[[#This Row],[Avg Price per (₹ / m³)]]=""),"",Market_Data[[#This Row],[Estimated Concrete Demand (m³)]]*Market_Data[[#This Row],[Avg Price per (₹ / m³)]]/10000000)</f>
        <v>2.6349999999999998</v>
      </c>
      <c r="O1756" s="97" t="str">
        <f>IF(Market_Data[[#This Row],[Estimated Concrete Demand (m³)]]="","",
IF(Market_Data[[#This Row],[Estimated Concrete Demand (m³)]]&lt;10000,"Small",
IF(Market_Data[[#This Row],[Estimated Concrete Demand (m³)]]&lt;25000,"Medium",
IF(Market_Data[[#This Row],[Estimated Concrete Demand (m³)]]&lt;100000,"Large","Mega"))))</f>
        <v>Small</v>
      </c>
      <c r="P1756" s="287" t="str">
        <f t="shared" si="29"/>
        <v>GujRERA</v>
      </c>
    </row>
    <row r="1757" spans="1:16">
      <c r="A1757" s="129" t="str">
        <f>_xlfn.XLOOKUP(B1757,$S$9:$S$14,$T$9:$T$14)&amp;"-"&amp;
IF(E1757="Residential/Group Housing","RES",
IF(E1757="Commercial","COM",
IF(E1757="Mixed Development","MIX",
IF(E1757="Plotted Development","PLT","OTH"))))
&amp;"-"&amp;TEXT(COUNTIFS($B$9:B1757,B1757,$E$9:E1757,E1757),"0000")</f>
        <v>SUR-PLT-0327</v>
      </c>
      <c r="B1757" s="322" t="s">
        <v>34</v>
      </c>
      <c r="C1757" s="322" t="s">
        <v>34</v>
      </c>
      <c r="D1757" s="323" t="s">
        <v>1947</v>
      </c>
      <c r="E1757" s="132" t="s">
        <v>26</v>
      </c>
      <c r="F1757" s="97" t="str">
        <f ca="1">IF(OR(Market_Data[[#This Row],[Start Date]]="",Market_Data[[#This Row],[Completion Date]]=""),"Needs Validation",IF(Market_Data[[#This Row],[Start Date]]&gt;TODAY(),"Planned",IF(Market_Data[[#This Row],[Completion Date]]&lt;TODAY(),"Completed","Ongoing")))</f>
        <v>Completed</v>
      </c>
      <c r="G1757" s="324">
        <v>44684</v>
      </c>
      <c r="H1757" s="324">
        <v>45107</v>
      </c>
      <c r="I1757" s="325">
        <v>29100</v>
      </c>
      <c r="J175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57" s="133">
        <f>_xlfn.XLOOKUP(Market_Data[[#This Row],[Project Type]],tbl_assumptions_market[Project Category (RERA)],tbl_assumptions_market[Concrete Intensity
(m³ / sq m BUA)],"",0)</f>
        <v>0.18</v>
      </c>
      <c r="L1757" s="134">
        <f>ROUND(Market_Data[[#This Row],[Estimated Built Up Area (sq m)]]*Market_Data[[#This Row],[Concrete Intensity
(m³ / sq m)]],0)</f>
        <v>5238</v>
      </c>
      <c r="M1757" s="135">
        <f>_xlfn.XLOOKUP(Market_Data[[#This Row],[District]],tbl_district_price[District],tbl_district_price[Standard Price
(INR/m³)],"",0)</f>
        <v>6200</v>
      </c>
      <c r="N1757" s="364">
        <f>IF(OR(Market_Data[[#This Row],[Estimated Concrete Demand (m³)]]="",Market_Data[[#This Row],[Avg Price per (₹ / m³)]]=""),"",Market_Data[[#This Row],[Estimated Concrete Demand (m³)]]*Market_Data[[#This Row],[Avg Price per (₹ / m³)]]/10000000)</f>
        <v>3.24756</v>
      </c>
      <c r="O1757" s="97" t="str">
        <f>IF(Market_Data[[#This Row],[Estimated Concrete Demand (m³)]]="","",
IF(Market_Data[[#This Row],[Estimated Concrete Demand (m³)]]&lt;10000,"Small",
IF(Market_Data[[#This Row],[Estimated Concrete Demand (m³)]]&lt;25000,"Medium",
IF(Market_Data[[#This Row],[Estimated Concrete Demand (m³)]]&lt;100000,"Large","Mega"))))</f>
        <v>Small</v>
      </c>
      <c r="P1757" s="287" t="str">
        <f t="shared" si="29"/>
        <v>GujRERA</v>
      </c>
    </row>
    <row r="1758" spans="1:16">
      <c r="A1758" s="129" t="str">
        <f>_xlfn.XLOOKUP(B1758,$S$9:$S$14,$T$9:$T$14)&amp;"-"&amp;
IF(E1758="Residential/Group Housing","RES",
IF(E1758="Commercial","COM",
IF(E1758="Mixed Development","MIX",
IF(E1758="Plotted Development","PLT","OTH"))))
&amp;"-"&amp;TEXT(COUNTIFS($B$9:B1758,B1758,$E$9:E1758,E1758),"0000")</f>
        <v>SUR-RES-0554</v>
      </c>
      <c r="B1758" s="322" t="s">
        <v>34</v>
      </c>
      <c r="C1758" s="322" t="s">
        <v>34</v>
      </c>
      <c r="D1758" s="323" t="s">
        <v>1948</v>
      </c>
      <c r="E1758" s="132" t="s">
        <v>24</v>
      </c>
      <c r="F1758" s="97" t="str">
        <f ca="1">IF(OR(Market_Data[[#This Row],[Start Date]]="",Market_Data[[#This Row],[Completion Date]]=""),"Needs Validation",IF(Market_Data[[#This Row],[Start Date]]&gt;TODAY(),"Planned",IF(Market_Data[[#This Row],[Completion Date]]&lt;TODAY(),"Completed","Ongoing")))</f>
        <v>Completed</v>
      </c>
      <c r="G1758" s="324">
        <v>42068</v>
      </c>
      <c r="H1758" s="324">
        <v>43738</v>
      </c>
      <c r="I1758" s="325">
        <v>25000</v>
      </c>
      <c r="J175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58" s="133">
        <f>_xlfn.XLOOKUP(Market_Data[[#This Row],[Project Type]],tbl_assumptions_market[Project Category (RERA)],tbl_assumptions_market[Concrete Intensity
(m³ / sq m BUA)],"",0)</f>
        <v>0.45</v>
      </c>
      <c r="L1758" s="134">
        <f>ROUND(Market_Data[[#This Row],[Estimated Built Up Area (sq m)]]*Market_Data[[#This Row],[Concrete Intensity
(m³ / sq m)]],0)</f>
        <v>11250</v>
      </c>
      <c r="M1758" s="135">
        <f>_xlfn.XLOOKUP(Market_Data[[#This Row],[District]],tbl_district_price[District],tbl_district_price[Standard Price
(INR/m³)],"",0)</f>
        <v>6200</v>
      </c>
      <c r="N1758" s="364">
        <f>IF(OR(Market_Data[[#This Row],[Estimated Concrete Demand (m³)]]="",Market_Data[[#This Row],[Avg Price per (₹ / m³)]]=""),"",Market_Data[[#This Row],[Estimated Concrete Demand (m³)]]*Market_Data[[#This Row],[Avg Price per (₹ / m³)]]/10000000)</f>
        <v>6.9749999999999996</v>
      </c>
      <c r="O1758" s="97" t="str">
        <f>IF(Market_Data[[#This Row],[Estimated Concrete Demand (m³)]]="","",
IF(Market_Data[[#This Row],[Estimated Concrete Demand (m³)]]&lt;10000,"Small",
IF(Market_Data[[#This Row],[Estimated Concrete Demand (m³)]]&lt;25000,"Medium",
IF(Market_Data[[#This Row],[Estimated Concrete Demand (m³)]]&lt;100000,"Large","Mega"))))</f>
        <v>Medium</v>
      </c>
      <c r="P1758" s="287" t="str">
        <f t="shared" si="29"/>
        <v>GujRERA</v>
      </c>
    </row>
    <row r="1759" spans="1:16">
      <c r="A1759" s="129" t="str">
        <f>_xlfn.XLOOKUP(B1759,$S$9:$S$14,$T$9:$T$14)&amp;"-"&amp;
IF(E1759="Residential/Group Housing","RES",
IF(E1759="Commercial","COM",
IF(E1759="Mixed Development","MIX",
IF(E1759="Plotted Development","PLT","OTH"))))
&amp;"-"&amp;TEXT(COUNTIFS($B$9:B1759,B1759,$E$9:E1759,E1759),"0000")</f>
        <v>SUR-MIX-0270</v>
      </c>
      <c r="B1759" s="322" t="s">
        <v>34</v>
      </c>
      <c r="C1759" s="322" t="s">
        <v>34</v>
      </c>
      <c r="D1759" s="323" t="s">
        <v>1949</v>
      </c>
      <c r="E1759" s="132" t="s">
        <v>25</v>
      </c>
      <c r="F1759" s="97" t="str">
        <f ca="1">IF(OR(Market_Data[[#This Row],[Start Date]]="",Market_Data[[#This Row],[Completion Date]]=""),"Needs Validation",IF(Market_Data[[#This Row],[Start Date]]&gt;TODAY(),"Planned",IF(Market_Data[[#This Row],[Completion Date]]&lt;TODAY(),"Completed","Ongoing")))</f>
        <v>Completed</v>
      </c>
      <c r="G1759" s="324">
        <v>43512</v>
      </c>
      <c r="H1759" s="324">
        <v>45280</v>
      </c>
      <c r="I1759" s="325">
        <v>3700</v>
      </c>
      <c r="J175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759" s="133">
        <f>_xlfn.XLOOKUP(Market_Data[[#This Row],[Project Type]],tbl_assumptions_market[Project Category (RERA)],tbl_assumptions_market[Concrete Intensity
(m³ / sq m BUA)],"",0)</f>
        <v>0.42</v>
      </c>
      <c r="L1759" s="134">
        <f>ROUND(Market_Data[[#This Row],[Estimated Built Up Area (sq m)]]*Market_Data[[#This Row],[Concrete Intensity
(m³ / sq m)]],0)</f>
        <v>1554</v>
      </c>
      <c r="M1759" s="135">
        <f>_xlfn.XLOOKUP(Market_Data[[#This Row],[District]],tbl_district_price[District],tbl_district_price[Standard Price
(INR/m³)],"",0)</f>
        <v>6200</v>
      </c>
      <c r="N1759" s="364">
        <f>IF(OR(Market_Data[[#This Row],[Estimated Concrete Demand (m³)]]="",Market_Data[[#This Row],[Avg Price per (₹ / m³)]]=""),"",Market_Data[[#This Row],[Estimated Concrete Demand (m³)]]*Market_Data[[#This Row],[Avg Price per (₹ / m³)]]/10000000)</f>
        <v>0.96348</v>
      </c>
      <c r="O1759" s="97" t="str">
        <f>IF(Market_Data[[#This Row],[Estimated Concrete Demand (m³)]]="","",
IF(Market_Data[[#This Row],[Estimated Concrete Demand (m³)]]&lt;10000,"Small",
IF(Market_Data[[#This Row],[Estimated Concrete Demand (m³)]]&lt;25000,"Medium",
IF(Market_Data[[#This Row],[Estimated Concrete Demand (m³)]]&lt;100000,"Large","Mega"))))</f>
        <v>Small</v>
      </c>
      <c r="P1759" s="287" t="str">
        <f t="shared" si="29"/>
        <v>GujRERA</v>
      </c>
    </row>
    <row r="1760" spans="1:16">
      <c r="A1760" s="129" t="str">
        <f>_xlfn.XLOOKUP(B1760,$S$9:$S$14,$T$9:$T$14)&amp;"-"&amp;
IF(E1760="Residential/Group Housing","RES",
IF(E1760="Commercial","COM",
IF(E1760="Mixed Development","MIX",
IF(E1760="Plotted Development","PLT","OTH"))))
&amp;"-"&amp;TEXT(COUNTIFS($B$9:B1760,B1760,$E$9:E1760,E1760),"0000")</f>
        <v>SUR-MIX-0271</v>
      </c>
      <c r="B1760" s="322" t="s">
        <v>34</v>
      </c>
      <c r="C1760" s="322" t="s">
        <v>34</v>
      </c>
      <c r="D1760" s="323" t="s">
        <v>1950</v>
      </c>
      <c r="E1760" s="132" t="s">
        <v>25</v>
      </c>
      <c r="F1760" s="97" t="str">
        <f ca="1">IF(OR(Market_Data[[#This Row],[Start Date]]="",Market_Data[[#This Row],[Completion Date]]=""),"Needs Validation",IF(Market_Data[[#This Row],[Start Date]]&gt;TODAY(),"Planned",IF(Market_Data[[#This Row],[Completion Date]]&lt;TODAY(),"Completed","Ongoing")))</f>
        <v>Completed</v>
      </c>
      <c r="G1760" s="324">
        <v>44417</v>
      </c>
      <c r="H1760" s="324">
        <v>46022</v>
      </c>
      <c r="I1760" s="325">
        <v>44000</v>
      </c>
      <c r="J176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60" s="133">
        <f>_xlfn.XLOOKUP(Market_Data[[#This Row],[Project Type]],tbl_assumptions_market[Project Category (RERA)],tbl_assumptions_market[Concrete Intensity
(m³ / sq m BUA)],"",0)</f>
        <v>0.42</v>
      </c>
      <c r="L1760" s="134">
        <f>ROUND(Market_Data[[#This Row],[Estimated Built Up Area (sq m)]]*Market_Data[[#This Row],[Concrete Intensity
(m³ / sq m)]],0)</f>
        <v>18480</v>
      </c>
      <c r="M1760" s="135">
        <f>_xlfn.XLOOKUP(Market_Data[[#This Row],[District]],tbl_district_price[District],tbl_district_price[Standard Price
(INR/m³)],"",0)</f>
        <v>6200</v>
      </c>
      <c r="N1760" s="364">
        <f>IF(OR(Market_Data[[#This Row],[Estimated Concrete Demand (m³)]]="",Market_Data[[#This Row],[Avg Price per (₹ / m³)]]=""),"",Market_Data[[#This Row],[Estimated Concrete Demand (m³)]]*Market_Data[[#This Row],[Avg Price per (₹ / m³)]]/10000000)</f>
        <v>11.457599999999999</v>
      </c>
      <c r="O1760" s="97" t="str">
        <f>IF(Market_Data[[#This Row],[Estimated Concrete Demand (m³)]]="","",
IF(Market_Data[[#This Row],[Estimated Concrete Demand (m³)]]&lt;10000,"Small",
IF(Market_Data[[#This Row],[Estimated Concrete Demand (m³)]]&lt;25000,"Medium",
IF(Market_Data[[#This Row],[Estimated Concrete Demand (m³)]]&lt;100000,"Large","Mega"))))</f>
        <v>Medium</v>
      </c>
      <c r="P1760" s="287" t="str">
        <f t="shared" si="29"/>
        <v>GujRERA</v>
      </c>
    </row>
    <row r="1761" spans="1:16">
      <c r="A1761" s="129" t="str">
        <f>_xlfn.XLOOKUP(B1761,$S$9:$S$14,$T$9:$T$14)&amp;"-"&amp;
IF(E1761="Residential/Group Housing","RES",
IF(E1761="Commercial","COM",
IF(E1761="Mixed Development","MIX",
IF(E1761="Plotted Development","PLT","OTH"))))
&amp;"-"&amp;TEXT(COUNTIFS($B$9:B1761,B1761,$E$9:E1761,E1761),"0000")</f>
        <v>SUR-MIX-0272</v>
      </c>
      <c r="B1761" s="322" t="s">
        <v>34</v>
      </c>
      <c r="C1761" s="322" t="s">
        <v>34</v>
      </c>
      <c r="D1761" s="323" t="s">
        <v>1951</v>
      </c>
      <c r="E1761" s="132" t="s">
        <v>25</v>
      </c>
      <c r="F1761" s="97" t="str">
        <f ca="1">IF(OR(Market_Data[[#This Row],[Start Date]]="",Market_Data[[#This Row],[Completion Date]]=""),"Needs Validation",IF(Market_Data[[#This Row],[Start Date]]&gt;TODAY(),"Planned",IF(Market_Data[[#This Row],[Completion Date]]&lt;TODAY(),"Completed","Ongoing")))</f>
        <v>Ongoing</v>
      </c>
      <c r="G1761" s="324">
        <v>45000</v>
      </c>
      <c r="H1761" s="324">
        <v>46477</v>
      </c>
      <c r="I1761" s="325">
        <v>16600</v>
      </c>
      <c r="J176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61" s="133">
        <f>_xlfn.XLOOKUP(Market_Data[[#This Row],[Project Type]],tbl_assumptions_market[Project Category (RERA)],tbl_assumptions_market[Concrete Intensity
(m³ / sq m BUA)],"",0)</f>
        <v>0.42</v>
      </c>
      <c r="L1761" s="134">
        <f>ROUND(Market_Data[[#This Row],[Estimated Built Up Area (sq m)]]*Market_Data[[#This Row],[Concrete Intensity
(m³ / sq m)]],0)</f>
        <v>6972</v>
      </c>
      <c r="M1761" s="135">
        <f>_xlfn.XLOOKUP(Market_Data[[#This Row],[District]],tbl_district_price[District],tbl_district_price[Standard Price
(INR/m³)],"",0)</f>
        <v>6200</v>
      </c>
      <c r="N1761" s="364">
        <f>IF(OR(Market_Data[[#This Row],[Estimated Concrete Demand (m³)]]="",Market_Data[[#This Row],[Avg Price per (₹ / m³)]]=""),"",Market_Data[[#This Row],[Estimated Concrete Demand (m³)]]*Market_Data[[#This Row],[Avg Price per (₹ / m³)]]/10000000)</f>
        <v>4.3226399999999998</v>
      </c>
      <c r="O1761" s="97" t="str">
        <f>IF(Market_Data[[#This Row],[Estimated Concrete Demand (m³)]]="","",
IF(Market_Data[[#This Row],[Estimated Concrete Demand (m³)]]&lt;10000,"Small",
IF(Market_Data[[#This Row],[Estimated Concrete Demand (m³)]]&lt;25000,"Medium",
IF(Market_Data[[#This Row],[Estimated Concrete Demand (m³)]]&lt;100000,"Large","Mega"))))</f>
        <v>Small</v>
      </c>
      <c r="P1761" s="287" t="str">
        <f t="shared" si="29"/>
        <v>GujRERA</v>
      </c>
    </row>
    <row r="1762" spans="1:16">
      <c r="A1762" s="129" t="str">
        <f>_xlfn.XLOOKUP(B1762,$S$9:$S$14,$T$9:$T$14)&amp;"-"&amp;
IF(E1762="Residential/Group Housing","RES",
IF(E1762="Commercial","COM",
IF(E1762="Mixed Development","MIX",
IF(E1762="Plotted Development","PLT","OTH"))))
&amp;"-"&amp;TEXT(COUNTIFS($B$9:B1762,B1762,$E$9:E1762,E1762),"0000")</f>
        <v>SUR-MIX-0273</v>
      </c>
      <c r="B1762" s="322" t="s">
        <v>34</v>
      </c>
      <c r="C1762" s="322" t="s">
        <v>34</v>
      </c>
      <c r="D1762" s="323" t="s">
        <v>1952</v>
      </c>
      <c r="E1762" s="132" t="s">
        <v>25</v>
      </c>
      <c r="F1762" s="97" t="str">
        <f ca="1">IF(OR(Market_Data[[#This Row],[Start Date]]="",Market_Data[[#This Row],[Completion Date]]=""),"Needs Validation",IF(Market_Data[[#This Row],[Start Date]]&gt;TODAY(),"Planned",IF(Market_Data[[#This Row],[Completion Date]]&lt;TODAY(),"Completed","Ongoing")))</f>
        <v>Completed</v>
      </c>
      <c r="G1762" s="324">
        <v>43510</v>
      </c>
      <c r="H1762" s="324">
        <v>45565</v>
      </c>
      <c r="I1762" s="325">
        <v>16600</v>
      </c>
      <c r="J176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62" s="133">
        <f>_xlfn.XLOOKUP(Market_Data[[#This Row],[Project Type]],tbl_assumptions_market[Project Category (RERA)],tbl_assumptions_market[Concrete Intensity
(m³ / sq m BUA)],"",0)</f>
        <v>0.42</v>
      </c>
      <c r="L1762" s="134">
        <f>ROUND(Market_Data[[#This Row],[Estimated Built Up Area (sq m)]]*Market_Data[[#This Row],[Concrete Intensity
(m³ / sq m)]],0)</f>
        <v>6972</v>
      </c>
      <c r="M1762" s="135">
        <f>_xlfn.XLOOKUP(Market_Data[[#This Row],[District]],tbl_district_price[District],tbl_district_price[Standard Price
(INR/m³)],"",0)</f>
        <v>6200</v>
      </c>
      <c r="N1762" s="364">
        <f>IF(OR(Market_Data[[#This Row],[Estimated Concrete Demand (m³)]]="",Market_Data[[#This Row],[Avg Price per (₹ / m³)]]=""),"",Market_Data[[#This Row],[Estimated Concrete Demand (m³)]]*Market_Data[[#This Row],[Avg Price per (₹ / m³)]]/10000000)</f>
        <v>4.3226399999999998</v>
      </c>
      <c r="O1762" s="97" t="str">
        <f>IF(Market_Data[[#This Row],[Estimated Concrete Demand (m³)]]="","",
IF(Market_Data[[#This Row],[Estimated Concrete Demand (m³)]]&lt;10000,"Small",
IF(Market_Data[[#This Row],[Estimated Concrete Demand (m³)]]&lt;25000,"Medium",
IF(Market_Data[[#This Row],[Estimated Concrete Demand (m³)]]&lt;100000,"Large","Mega"))))</f>
        <v>Small</v>
      </c>
      <c r="P1762" s="287" t="str">
        <f t="shared" si="29"/>
        <v>GujRERA</v>
      </c>
    </row>
    <row r="1763" spans="1:16">
      <c r="A1763" s="129" t="str">
        <f>_xlfn.XLOOKUP(B1763,$S$9:$S$14,$T$9:$T$14)&amp;"-"&amp;
IF(E1763="Residential/Group Housing","RES",
IF(E1763="Commercial","COM",
IF(E1763="Mixed Development","MIX",
IF(E1763="Plotted Development","PLT","OTH"))))
&amp;"-"&amp;TEXT(COUNTIFS($B$9:B1763,B1763,$E$9:E1763,E1763),"0000")</f>
        <v>SUR-MIX-0274</v>
      </c>
      <c r="B1763" s="322" t="s">
        <v>34</v>
      </c>
      <c r="C1763" s="322" t="s">
        <v>34</v>
      </c>
      <c r="D1763" s="323" t="s">
        <v>1953</v>
      </c>
      <c r="E1763" s="132" t="s">
        <v>25</v>
      </c>
      <c r="F1763" s="97" t="str">
        <f ca="1">IF(OR(Market_Data[[#This Row],[Start Date]]="",Market_Data[[#This Row],[Completion Date]]=""),"Needs Validation",IF(Market_Data[[#This Row],[Start Date]]&gt;TODAY(),"Planned",IF(Market_Data[[#This Row],[Completion Date]]&lt;TODAY(),"Completed","Ongoing")))</f>
        <v>Completed</v>
      </c>
      <c r="G1763" s="324">
        <v>43556</v>
      </c>
      <c r="H1763" s="324">
        <v>45565</v>
      </c>
      <c r="I1763" s="325">
        <v>149600</v>
      </c>
      <c r="J176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63" s="133">
        <f>_xlfn.XLOOKUP(Market_Data[[#This Row],[Project Type]],tbl_assumptions_market[Project Category (RERA)],tbl_assumptions_market[Concrete Intensity
(m³ / sq m BUA)],"",0)</f>
        <v>0.42</v>
      </c>
      <c r="L1763" s="134">
        <f>ROUND(Market_Data[[#This Row],[Estimated Built Up Area (sq m)]]*Market_Data[[#This Row],[Concrete Intensity
(m³ / sq m)]],0)</f>
        <v>62832</v>
      </c>
      <c r="M1763" s="135">
        <f>_xlfn.XLOOKUP(Market_Data[[#This Row],[District]],tbl_district_price[District],tbl_district_price[Standard Price
(INR/m³)],"",0)</f>
        <v>6200</v>
      </c>
      <c r="N1763" s="364">
        <f>IF(OR(Market_Data[[#This Row],[Estimated Concrete Demand (m³)]]="",Market_Data[[#This Row],[Avg Price per (₹ / m³)]]=""),"",Market_Data[[#This Row],[Estimated Concrete Demand (m³)]]*Market_Data[[#This Row],[Avg Price per (₹ / m³)]]/10000000)</f>
        <v>38.955840000000002</v>
      </c>
      <c r="O1763" s="97" t="str">
        <f>IF(Market_Data[[#This Row],[Estimated Concrete Demand (m³)]]="","",
IF(Market_Data[[#This Row],[Estimated Concrete Demand (m³)]]&lt;10000,"Small",
IF(Market_Data[[#This Row],[Estimated Concrete Demand (m³)]]&lt;25000,"Medium",
IF(Market_Data[[#This Row],[Estimated Concrete Demand (m³)]]&lt;100000,"Large","Mega"))))</f>
        <v>Large</v>
      </c>
      <c r="P1763" s="287" t="str">
        <f t="shared" si="29"/>
        <v>GujRERA</v>
      </c>
    </row>
    <row r="1764" spans="1:16">
      <c r="A1764" s="129" t="str">
        <f>_xlfn.XLOOKUP(B1764,$S$9:$S$14,$T$9:$T$14)&amp;"-"&amp;
IF(E1764="Residential/Group Housing","RES",
IF(E1764="Commercial","COM",
IF(E1764="Mixed Development","MIX",
IF(E1764="Plotted Development","PLT","OTH"))))
&amp;"-"&amp;TEXT(COUNTIFS($B$9:B1764,B1764,$E$9:E1764,E1764),"0000")</f>
        <v>SUR-MIX-0275</v>
      </c>
      <c r="B1764" s="322" t="s">
        <v>34</v>
      </c>
      <c r="C1764" s="322" t="s">
        <v>34</v>
      </c>
      <c r="D1764" s="323" t="s">
        <v>1954</v>
      </c>
      <c r="E1764" s="132" t="s">
        <v>25</v>
      </c>
      <c r="F1764" s="97" t="str">
        <f ca="1">IF(OR(Market_Data[[#This Row],[Start Date]]="",Market_Data[[#This Row],[Completion Date]]=""),"Needs Validation",IF(Market_Data[[#This Row],[Start Date]]&gt;TODAY(),"Planned",IF(Market_Data[[#This Row],[Completion Date]]&lt;TODAY(),"Completed","Ongoing")))</f>
        <v>Completed</v>
      </c>
      <c r="G1764" s="324">
        <v>42996</v>
      </c>
      <c r="H1764" s="324">
        <v>44742</v>
      </c>
      <c r="I1764" s="325">
        <v>45400</v>
      </c>
      <c r="J176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64" s="133">
        <f>_xlfn.XLOOKUP(Market_Data[[#This Row],[Project Type]],tbl_assumptions_market[Project Category (RERA)],tbl_assumptions_market[Concrete Intensity
(m³ / sq m BUA)],"",0)</f>
        <v>0.42</v>
      </c>
      <c r="L1764" s="134">
        <f>ROUND(Market_Data[[#This Row],[Estimated Built Up Area (sq m)]]*Market_Data[[#This Row],[Concrete Intensity
(m³ / sq m)]],0)</f>
        <v>19068</v>
      </c>
      <c r="M1764" s="135">
        <f>_xlfn.XLOOKUP(Market_Data[[#This Row],[District]],tbl_district_price[District],tbl_district_price[Standard Price
(INR/m³)],"",0)</f>
        <v>6200</v>
      </c>
      <c r="N1764" s="364">
        <f>IF(OR(Market_Data[[#This Row],[Estimated Concrete Demand (m³)]]="",Market_Data[[#This Row],[Avg Price per (₹ / m³)]]=""),"",Market_Data[[#This Row],[Estimated Concrete Demand (m³)]]*Market_Data[[#This Row],[Avg Price per (₹ / m³)]]/10000000)</f>
        <v>11.82216</v>
      </c>
      <c r="O1764" s="97" t="str">
        <f>IF(Market_Data[[#This Row],[Estimated Concrete Demand (m³)]]="","",
IF(Market_Data[[#This Row],[Estimated Concrete Demand (m³)]]&lt;10000,"Small",
IF(Market_Data[[#This Row],[Estimated Concrete Demand (m³)]]&lt;25000,"Medium",
IF(Market_Data[[#This Row],[Estimated Concrete Demand (m³)]]&lt;100000,"Large","Mega"))))</f>
        <v>Medium</v>
      </c>
      <c r="P1764" s="287" t="str">
        <f t="shared" si="29"/>
        <v>GujRERA</v>
      </c>
    </row>
    <row r="1765" spans="1:16">
      <c r="A1765" s="129" t="str">
        <f>_xlfn.XLOOKUP(B1765,$S$9:$S$14,$T$9:$T$14)&amp;"-"&amp;
IF(E1765="Residential/Group Housing","RES",
IF(E1765="Commercial","COM",
IF(E1765="Mixed Development","MIX",
IF(E1765="Plotted Development","PLT","OTH"))))
&amp;"-"&amp;TEXT(COUNTIFS($B$9:B1765,B1765,$E$9:E1765,E1765),"0000")</f>
        <v>SUR-RES-0555</v>
      </c>
      <c r="B1765" s="322" t="s">
        <v>34</v>
      </c>
      <c r="C1765" s="322" t="s">
        <v>34</v>
      </c>
      <c r="D1765" s="323" t="s">
        <v>1955</v>
      </c>
      <c r="E1765" s="132" t="s">
        <v>24</v>
      </c>
      <c r="F1765" s="97" t="str">
        <f ca="1">IF(OR(Market_Data[[#This Row],[Start Date]]="",Market_Data[[#This Row],[Completion Date]]=""),"Needs Validation",IF(Market_Data[[#This Row],[Start Date]]&gt;TODAY(),"Planned",IF(Market_Data[[#This Row],[Completion Date]]&lt;TODAY(),"Completed","Ongoing")))</f>
        <v>Ongoing</v>
      </c>
      <c r="G1765" s="324">
        <v>45482</v>
      </c>
      <c r="H1765" s="324">
        <v>46752</v>
      </c>
      <c r="I1765" s="325">
        <v>44500</v>
      </c>
      <c r="J176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65" s="133">
        <f>_xlfn.XLOOKUP(Market_Data[[#This Row],[Project Type]],tbl_assumptions_market[Project Category (RERA)],tbl_assumptions_market[Concrete Intensity
(m³ / sq m BUA)],"",0)</f>
        <v>0.45</v>
      </c>
      <c r="L1765" s="134">
        <f>ROUND(Market_Data[[#This Row],[Estimated Built Up Area (sq m)]]*Market_Data[[#This Row],[Concrete Intensity
(m³ / sq m)]],0)</f>
        <v>20025</v>
      </c>
      <c r="M1765" s="135">
        <f>_xlfn.XLOOKUP(Market_Data[[#This Row],[District]],tbl_district_price[District],tbl_district_price[Standard Price
(INR/m³)],"",0)</f>
        <v>6200</v>
      </c>
      <c r="N1765" s="364">
        <f>IF(OR(Market_Data[[#This Row],[Estimated Concrete Demand (m³)]]="",Market_Data[[#This Row],[Avg Price per (₹ / m³)]]=""),"",Market_Data[[#This Row],[Estimated Concrete Demand (m³)]]*Market_Data[[#This Row],[Avg Price per (₹ / m³)]]/10000000)</f>
        <v>12.4155</v>
      </c>
      <c r="O1765" s="97" t="str">
        <f>IF(Market_Data[[#This Row],[Estimated Concrete Demand (m³)]]="","",
IF(Market_Data[[#This Row],[Estimated Concrete Demand (m³)]]&lt;10000,"Small",
IF(Market_Data[[#This Row],[Estimated Concrete Demand (m³)]]&lt;25000,"Medium",
IF(Market_Data[[#This Row],[Estimated Concrete Demand (m³)]]&lt;100000,"Large","Mega"))))</f>
        <v>Medium</v>
      </c>
      <c r="P1765" s="287" t="str">
        <f t="shared" si="29"/>
        <v>GujRERA</v>
      </c>
    </row>
    <row r="1766" spans="1:16">
      <c r="A1766" s="129" t="str">
        <f>_xlfn.XLOOKUP(B1766,$S$9:$S$14,$T$9:$T$14)&amp;"-"&amp;
IF(E1766="Residential/Group Housing","RES",
IF(E1766="Commercial","COM",
IF(E1766="Mixed Development","MIX",
IF(E1766="Plotted Development","PLT","OTH"))))
&amp;"-"&amp;TEXT(COUNTIFS($B$9:B1766,B1766,$E$9:E1766,E1766),"0000")</f>
        <v>SUR-RES-0556</v>
      </c>
      <c r="B1766" s="322" t="s">
        <v>34</v>
      </c>
      <c r="C1766" s="322" t="s">
        <v>34</v>
      </c>
      <c r="D1766" s="323" t="s">
        <v>1956</v>
      </c>
      <c r="E1766" s="132" t="s">
        <v>24</v>
      </c>
      <c r="F1766" s="97" t="str">
        <f ca="1">IF(OR(Market_Data[[#This Row],[Start Date]]="",Market_Data[[#This Row],[Completion Date]]=""),"Needs Validation",IF(Market_Data[[#This Row],[Start Date]]&gt;TODAY(),"Planned",IF(Market_Data[[#This Row],[Completion Date]]&lt;TODAY(),"Completed","Ongoing")))</f>
        <v>Completed</v>
      </c>
      <c r="G1766" s="324">
        <v>44378</v>
      </c>
      <c r="H1766" s="324">
        <v>46021</v>
      </c>
      <c r="I1766" s="325">
        <v>8200</v>
      </c>
      <c r="J176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66" s="133">
        <f>_xlfn.XLOOKUP(Market_Data[[#This Row],[Project Type]],tbl_assumptions_market[Project Category (RERA)],tbl_assumptions_market[Concrete Intensity
(m³ / sq m BUA)],"",0)</f>
        <v>0.45</v>
      </c>
      <c r="L1766" s="134">
        <f>ROUND(Market_Data[[#This Row],[Estimated Built Up Area (sq m)]]*Market_Data[[#This Row],[Concrete Intensity
(m³ / sq m)]],0)</f>
        <v>3690</v>
      </c>
      <c r="M1766" s="135">
        <f>_xlfn.XLOOKUP(Market_Data[[#This Row],[District]],tbl_district_price[District],tbl_district_price[Standard Price
(INR/m³)],"",0)</f>
        <v>6200</v>
      </c>
      <c r="N1766" s="364">
        <f>IF(OR(Market_Data[[#This Row],[Estimated Concrete Demand (m³)]]="",Market_Data[[#This Row],[Avg Price per (₹ / m³)]]=""),"",Market_Data[[#This Row],[Estimated Concrete Demand (m³)]]*Market_Data[[#This Row],[Avg Price per (₹ / m³)]]/10000000)</f>
        <v>2.2877999999999998</v>
      </c>
      <c r="O1766" s="97" t="str">
        <f>IF(Market_Data[[#This Row],[Estimated Concrete Demand (m³)]]="","",
IF(Market_Data[[#This Row],[Estimated Concrete Demand (m³)]]&lt;10000,"Small",
IF(Market_Data[[#This Row],[Estimated Concrete Demand (m³)]]&lt;25000,"Medium",
IF(Market_Data[[#This Row],[Estimated Concrete Demand (m³)]]&lt;100000,"Large","Mega"))))</f>
        <v>Small</v>
      </c>
      <c r="P1766" s="287" t="str">
        <f t="shared" si="29"/>
        <v>GujRERA</v>
      </c>
    </row>
    <row r="1767" spans="1:16">
      <c r="A1767" s="129" t="str">
        <f>_xlfn.XLOOKUP(B1767,$S$9:$S$14,$T$9:$T$14)&amp;"-"&amp;
IF(E1767="Residential/Group Housing","RES",
IF(E1767="Commercial","COM",
IF(E1767="Mixed Development","MIX",
IF(E1767="Plotted Development","PLT","OTH"))))
&amp;"-"&amp;TEXT(COUNTIFS($B$9:B1767,B1767,$E$9:E1767,E1767),"0000")</f>
        <v>SUR-MIX-0276</v>
      </c>
      <c r="B1767" s="322" t="s">
        <v>34</v>
      </c>
      <c r="C1767" s="322" t="s">
        <v>34</v>
      </c>
      <c r="D1767" s="323" t="s">
        <v>1957</v>
      </c>
      <c r="E1767" s="132" t="s">
        <v>25</v>
      </c>
      <c r="F1767" s="97" t="str">
        <f ca="1">IF(OR(Market_Data[[#This Row],[Start Date]]="",Market_Data[[#This Row],[Completion Date]]=""),"Needs Validation",IF(Market_Data[[#This Row],[Start Date]]&gt;TODAY(),"Planned",IF(Market_Data[[#This Row],[Completion Date]]&lt;TODAY(),"Completed","Ongoing")))</f>
        <v>Ongoing</v>
      </c>
      <c r="G1767" s="324">
        <v>44711</v>
      </c>
      <c r="H1767" s="324">
        <v>46387</v>
      </c>
      <c r="I1767" s="325">
        <v>27200</v>
      </c>
      <c r="J176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67" s="133">
        <f>_xlfn.XLOOKUP(Market_Data[[#This Row],[Project Type]],tbl_assumptions_market[Project Category (RERA)],tbl_assumptions_market[Concrete Intensity
(m³ / sq m BUA)],"",0)</f>
        <v>0.42</v>
      </c>
      <c r="L1767" s="134">
        <f>ROUND(Market_Data[[#This Row],[Estimated Built Up Area (sq m)]]*Market_Data[[#This Row],[Concrete Intensity
(m³ / sq m)]],0)</f>
        <v>11424</v>
      </c>
      <c r="M1767" s="135">
        <f>_xlfn.XLOOKUP(Market_Data[[#This Row],[District]],tbl_district_price[District],tbl_district_price[Standard Price
(INR/m³)],"",0)</f>
        <v>6200</v>
      </c>
      <c r="N1767" s="364">
        <f>IF(OR(Market_Data[[#This Row],[Estimated Concrete Demand (m³)]]="",Market_Data[[#This Row],[Avg Price per (₹ / m³)]]=""),"",Market_Data[[#This Row],[Estimated Concrete Demand (m³)]]*Market_Data[[#This Row],[Avg Price per (₹ / m³)]]/10000000)</f>
        <v>7.0828800000000003</v>
      </c>
      <c r="O1767" s="97" t="str">
        <f>IF(Market_Data[[#This Row],[Estimated Concrete Demand (m³)]]="","",
IF(Market_Data[[#This Row],[Estimated Concrete Demand (m³)]]&lt;10000,"Small",
IF(Market_Data[[#This Row],[Estimated Concrete Demand (m³)]]&lt;25000,"Medium",
IF(Market_Data[[#This Row],[Estimated Concrete Demand (m³)]]&lt;100000,"Large","Mega"))))</f>
        <v>Medium</v>
      </c>
      <c r="P1767" s="287" t="str">
        <f t="shared" si="29"/>
        <v>GujRERA</v>
      </c>
    </row>
    <row r="1768" spans="1:16">
      <c r="A1768" s="129" t="str">
        <f>_xlfn.XLOOKUP(B1768,$S$9:$S$14,$T$9:$T$14)&amp;"-"&amp;
IF(E1768="Residential/Group Housing","RES",
IF(E1768="Commercial","COM",
IF(E1768="Mixed Development","MIX",
IF(E1768="Plotted Development","PLT","OTH"))))
&amp;"-"&amp;TEXT(COUNTIFS($B$9:B1768,B1768,$E$9:E1768,E1768),"0000")</f>
        <v>SUR-COM-0291</v>
      </c>
      <c r="B1768" s="322" t="s">
        <v>34</v>
      </c>
      <c r="C1768" s="322" t="s">
        <v>34</v>
      </c>
      <c r="D1768" s="323" t="s">
        <v>1958</v>
      </c>
      <c r="E1768" s="132" t="s">
        <v>23</v>
      </c>
      <c r="F1768" s="97" t="str">
        <f ca="1">IF(OR(Market_Data[[#This Row],[Start Date]]="",Market_Data[[#This Row],[Completion Date]]=""),"Needs Validation",IF(Market_Data[[#This Row],[Start Date]]&gt;TODAY(),"Planned",IF(Market_Data[[#This Row],[Completion Date]]&lt;TODAY(),"Completed","Ongoing")))</f>
        <v>Completed</v>
      </c>
      <c r="G1768" s="324">
        <v>41659</v>
      </c>
      <c r="H1768" s="324">
        <v>43464</v>
      </c>
      <c r="I1768" s="325">
        <v>5400</v>
      </c>
      <c r="J176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68" s="133">
        <f>_xlfn.XLOOKUP(Market_Data[[#This Row],[Project Type]],tbl_assumptions_market[Project Category (RERA)],tbl_assumptions_market[Concrete Intensity
(m³ / sq m BUA)],"",0)</f>
        <v>0.5</v>
      </c>
      <c r="L1768" s="134">
        <f>ROUND(Market_Data[[#This Row],[Estimated Built Up Area (sq m)]]*Market_Data[[#This Row],[Concrete Intensity
(m³ / sq m)]],0)</f>
        <v>2700</v>
      </c>
      <c r="M1768" s="135">
        <f>_xlfn.XLOOKUP(Market_Data[[#This Row],[District]],tbl_district_price[District],tbl_district_price[Standard Price
(INR/m³)],"",0)</f>
        <v>6200</v>
      </c>
      <c r="N1768" s="364">
        <f>IF(OR(Market_Data[[#This Row],[Estimated Concrete Demand (m³)]]="",Market_Data[[#This Row],[Avg Price per (₹ / m³)]]=""),"",Market_Data[[#This Row],[Estimated Concrete Demand (m³)]]*Market_Data[[#This Row],[Avg Price per (₹ / m³)]]/10000000)</f>
        <v>1.6739999999999999</v>
      </c>
      <c r="O1768" s="97" t="str">
        <f>IF(Market_Data[[#This Row],[Estimated Concrete Demand (m³)]]="","",
IF(Market_Data[[#This Row],[Estimated Concrete Demand (m³)]]&lt;10000,"Small",
IF(Market_Data[[#This Row],[Estimated Concrete Demand (m³)]]&lt;25000,"Medium",
IF(Market_Data[[#This Row],[Estimated Concrete Demand (m³)]]&lt;100000,"Large","Mega"))))</f>
        <v>Small</v>
      </c>
      <c r="P1768" s="287" t="str">
        <f t="shared" si="29"/>
        <v>GujRERA</v>
      </c>
    </row>
    <row r="1769" spans="1:16">
      <c r="A1769" s="129" t="str">
        <f>_xlfn.XLOOKUP(B1769,$S$9:$S$14,$T$9:$T$14)&amp;"-"&amp;
IF(E1769="Residential/Group Housing","RES",
IF(E1769="Commercial","COM",
IF(E1769="Mixed Development","MIX",
IF(E1769="Plotted Development","PLT","OTH"))))
&amp;"-"&amp;TEXT(COUNTIFS($B$9:B1769,B1769,$E$9:E1769,E1769),"0000")</f>
        <v>SUR-MIX-0277</v>
      </c>
      <c r="B1769" s="322" t="s">
        <v>34</v>
      </c>
      <c r="C1769" s="322" t="s">
        <v>34</v>
      </c>
      <c r="D1769" s="323" t="s">
        <v>1959</v>
      </c>
      <c r="E1769" s="132" t="s">
        <v>25</v>
      </c>
      <c r="F1769" s="97" t="str">
        <f ca="1">IF(OR(Market_Data[[#This Row],[Start Date]]="",Market_Data[[#This Row],[Completion Date]]=""),"Needs Validation",IF(Market_Data[[#This Row],[Start Date]]&gt;TODAY(),"Planned",IF(Market_Data[[#This Row],[Completion Date]]&lt;TODAY(),"Completed","Ongoing")))</f>
        <v>Completed</v>
      </c>
      <c r="G1769" s="324">
        <v>42492</v>
      </c>
      <c r="H1769" s="324">
        <v>43769</v>
      </c>
      <c r="I1769" s="325">
        <v>34700</v>
      </c>
      <c r="J176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69" s="133">
        <f>_xlfn.XLOOKUP(Market_Data[[#This Row],[Project Type]],tbl_assumptions_market[Project Category (RERA)],tbl_assumptions_market[Concrete Intensity
(m³ / sq m BUA)],"",0)</f>
        <v>0.42</v>
      </c>
      <c r="L1769" s="134">
        <f>ROUND(Market_Data[[#This Row],[Estimated Built Up Area (sq m)]]*Market_Data[[#This Row],[Concrete Intensity
(m³ / sq m)]],0)</f>
        <v>14574</v>
      </c>
      <c r="M1769" s="135">
        <f>_xlfn.XLOOKUP(Market_Data[[#This Row],[District]],tbl_district_price[District],tbl_district_price[Standard Price
(INR/m³)],"",0)</f>
        <v>6200</v>
      </c>
      <c r="N1769" s="364">
        <f>IF(OR(Market_Data[[#This Row],[Estimated Concrete Demand (m³)]]="",Market_Data[[#This Row],[Avg Price per (₹ / m³)]]=""),"",Market_Data[[#This Row],[Estimated Concrete Demand (m³)]]*Market_Data[[#This Row],[Avg Price per (₹ / m³)]]/10000000)</f>
        <v>9.0358800000000006</v>
      </c>
      <c r="O1769" s="97" t="str">
        <f>IF(Market_Data[[#This Row],[Estimated Concrete Demand (m³)]]="","",
IF(Market_Data[[#This Row],[Estimated Concrete Demand (m³)]]&lt;10000,"Small",
IF(Market_Data[[#This Row],[Estimated Concrete Demand (m³)]]&lt;25000,"Medium",
IF(Market_Data[[#This Row],[Estimated Concrete Demand (m³)]]&lt;100000,"Large","Mega"))))</f>
        <v>Medium</v>
      </c>
      <c r="P1769" s="287" t="str">
        <f t="shared" si="29"/>
        <v>GujRERA</v>
      </c>
    </row>
    <row r="1770" spans="1:16">
      <c r="A1770" s="129" t="str">
        <f>_xlfn.XLOOKUP(B1770,$S$9:$S$14,$T$9:$T$14)&amp;"-"&amp;
IF(E1770="Residential/Group Housing","RES",
IF(E1770="Commercial","COM",
IF(E1770="Mixed Development","MIX",
IF(E1770="Plotted Development","PLT","OTH"))))
&amp;"-"&amp;TEXT(COUNTIFS($B$9:B1770,B1770,$E$9:E1770,E1770),"0000")</f>
        <v>SUR-MIX-0278</v>
      </c>
      <c r="B1770" s="322" t="s">
        <v>34</v>
      </c>
      <c r="C1770" s="322" t="s">
        <v>34</v>
      </c>
      <c r="D1770" s="323" t="s">
        <v>1960</v>
      </c>
      <c r="E1770" s="132" t="s">
        <v>25</v>
      </c>
      <c r="F1770" s="97" t="str">
        <f ca="1">IF(OR(Market_Data[[#This Row],[Start Date]]="",Market_Data[[#This Row],[Completion Date]]=""),"Needs Validation",IF(Market_Data[[#This Row],[Start Date]]&gt;TODAY(),"Planned",IF(Market_Data[[#This Row],[Completion Date]]&lt;TODAY(),"Completed","Ongoing")))</f>
        <v>Completed</v>
      </c>
      <c r="G1770" s="324">
        <v>44127</v>
      </c>
      <c r="H1770" s="324">
        <v>45961</v>
      </c>
      <c r="I1770" s="325">
        <v>38000</v>
      </c>
      <c r="J177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70" s="133">
        <f>_xlfn.XLOOKUP(Market_Data[[#This Row],[Project Type]],tbl_assumptions_market[Project Category (RERA)],tbl_assumptions_market[Concrete Intensity
(m³ / sq m BUA)],"",0)</f>
        <v>0.42</v>
      </c>
      <c r="L1770" s="134">
        <f>ROUND(Market_Data[[#This Row],[Estimated Built Up Area (sq m)]]*Market_Data[[#This Row],[Concrete Intensity
(m³ / sq m)]],0)</f>
        <v>15960</v>
      </c>
      <c r="M1770" s="135">
        <f>_xlfn.XLOOKUP(Market_Data[[#This Row],[District]],tbl_district_price[District],tbl_district_price[Standard Price
(INR/m³)],"",0)</f>
        <v>6200</v>
      </c>
      <c r="N1770" s="364">
        <f>IF(OR(Market_Data[[#This Row],[Estimated Concrete Demand (m³)]]="",Market_Data[[#This Row],[Avg Price per (₹ / m³)]]=""),"",Market_Data[[#This Row],[Estimated Concrete Demand (m³)]]*Market_Data[[#This Row],[Avg Price per (₹ / m³)]]/10000000)</f>
        <v>9.8952000000000009</v>
      </c>
      <c r="O1770" s="97" t="str">
        <f>IF(Market_Data[[#This Row],[Estimated Concrete Demand (m³)]]="","",
IF(Market_Data[[#This Row],[Estimated Concrete Demand (m³)]]&lt;10000,"Small",
IF(Market_Data[[#This Row],[Estimated Concrete Demand (m³)]]&lt;25000,"Medium",
IF(Market_Data[[#This Row],[Estimated Concrete Demand (m³)]]&lt;100000,"Large","Mega"))))</f>
        <v>Medium</v>
      </c>
      <c r="P1770" s="287" t="str">
        <f t="shared" si="29"/>
        <v>GujRERA</v>
      </c>
    </row>
    <row r="1771" spans="1:16">
      <c r="A1771" s="129" t="str">
        <f>_xlfn.XLOOKUP(B1771,$S$9:$S$14,$T$9:$T$14)&amp;"-"&amp;
IF(E1771="Residential/Group Housing","RES",
IF(E1771="Commercial","COM",
IF(E1771="Mixed Development","MIX",
IF(E1771="Plotted Development","PLT","OTH"))))
&amp;"-"&amp;TEXT(COUNTIFS($B$9:B1771,B1771,$E$9:E1771,E1771),"0000")</f>
        <v>SUR-MIX-0279</v>
      </c>
      <c r="B1771" s="322" t="s">
        <v>34</v>
      </c>
      <c r="C1771" s="322" t="s">
        <v>34</v>
      </c>
      <c r="D1771" s="323" t="s">
        <v>1961</v>
      </c>
      <c r="E1771" s="132" t="s">
        <v>25</v>
      </c>
      <c r="F1771" s="97" t="str">
        <f ca="1">IF(OR(Market_Data[[#This Row],[Start Date]]="",Market_Data[[#This Row],[Completion Date]]=""),"Needs Validation",IF(Market_Data[[#This Row],[Start Date]]&gt;TODAY(),"Planned",IF(Market_Data[[#This Row],[Completion Date]]&lt;TODAY(),"Completed","Ongoing")))</f>
        <v>Ongoing</v>
      </c>
      <c r="G1771" s="324">
        <v>44855</v>
      </c>
      <c r="H1771" s="324">
        <v>46843</v>
      </c>
      <c r="I1771" s="325">
        <v>10500</v>
      </c>
      <c r="J177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71" s="133">
        <f>_xlfn.XLOOKUP(Market_Data[[#This Row],[Project Type]],tbl_assumptions_market[Project Category (RERA)],tbl_assumptions_market[Concrete Intensity
(m³ / sq m BUA)],"",0)</f>
        <v>0.42</v>
      </c>
      <c r="L1771" s="134">
        <f>ROUND(Market_Data[[#This Row],[Estimated Built Up Area (sq m)]]*Market_Data[[#This Row],[Concrete Intensity
(m³ / sq m)]],0)</f>
        <v>4410</v>
      </c>
      <c r="M1771" s="135">
        <f>_xlfn.XLOOKUP(Market_Data[[#This Row],[District]],tbl_district_price[District],tbl_district_price[Standard Price
(INR/m³)],"",0)</f>
        <v>6200</v>
      </c>
      <c r="N1771" s="364">
        <f>IF(OR(Market_Data[[#This Row],[Estimated Concrete Demand (m³)]]="",Market_Data[[#This Row],[Avg Price per (₹ / m³)]]=""),"",Market_Data[[#This Row],[Estimated Concrete Demand (m³)]]*Market_Data[[#This Row],[Avg Price per (₹ / m³)]]/10000000)</f>
        <v>2.7342</v>
      </c>
      <c r="O1771" s="97" t="str">
        <f>IF(Market_Data[[#This Row],[Estimated Concrete Demand (m³)]]="","",
IF(Market_Data[[#This Row],[Estimated Concrete Demand (m³)]]&lt;10000,"Small",
IF(Market_Data[[#This Row],[Estimated Concrete Demand (m³)]]&lt;25000,"Medium",
IF(Market_Data[[#This Row],[Estimated Concrete Demand (m³)]]&lt;100000,"Large","Mega"))))</f>
        <v>Small</v>
      </c>
      <c r="P1771" s="287" t="str">
        <f t="shared" si="29"/>
        <v>GujRERA</v>
      </c>
    </row>
    <row r="1772" spans="1:16">
      <c r="A1772" s="129" t="str">
        <f>_xlfn.XLOOKUP(B1772,$S$9:$S$14,$T$9:$T$14)&amp;"-"&amp;
IF(E1772="Residential/Group Housing","RES",
IF(E1772="Commercial","COM",
IF(E1772="Mixed Development","MIX",
IF(E1772="Plotted Development","PLT","OTH"))))
&amp;"-"&amp;TEXT(COUNTIFS($B$9:B1772,B1772,$E$9:E1772,E1772),"0000")</f>
        <v>SUR-MIX-0280</v>
      </c>
      <c r="B1772" s="322" t="s">
        <v>34</v>
      </c>
      <c r="C1772" s="322" t="s">
        <v>34</v>
      </c>
      <c r="D1772" s="323" t="s">
        <v>1962</v>
      </c>
      <c r="E1772" s="132" t="s">
        <v>25</v>
      </c>
      <c r="F1772" s="97" t="str">
        <f ca="1">IF(OR(Market_Data[[#This Row],[Start Date]]="",Market_Data[[#This Row],[Completion Date]]=""),"Needs Validation",IF(Market_Data[[#This Row],[Start Date]]&gt;TODAY(),"Planned",IF(Market_Data[[#This Row],[Completion Date]]&lt;TODAY(),"Completed","Ongoing")))</f>
        <v>Completed</v>
      </c>
      <c r="G1772" s="324">
        <v>42545</v>
      </c>
      <c r="H1772" s="324">
        <v>44469</v>
      </c>
      <c r="I1772" s="325">
        <v>13700</v>
      </c>
      <c r="J177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72" s="133">
        <f>_xlfn.XLOOKUP(Market_Data[[#This Row],[Project Type]],tbl_assumptions_market[Project Category (RERA)],tbl_assumptions_market[Concrete Intensity
(m³ / sq m BUA)],"",0)</f>
        <v>0.42</v>
      </c>
      <c r="L1772" s="134">
        <f>ROUND(Market_Data[[#This Row],[Estimated Built Up Area (sq m)]]*Market_Data[[#This Row],[Concrete Intensity
(m³ / sq m)]],0)</f>
        <v>5754</v>
      </c>
      <c r="M1772" s="135">
        <f>_xlfn.XLOOKUP(Market_Data[[#This Row],[District]],tbl_district_price[District],tbl_district_price[Standard Price
(INR/m³)],"",0)</f>
        <v>6200</v>
      </c>
      <c r="N1772" s="364">
        <f>IF(OR(Market_Data[[#This Row],[Estimated Concrete Demand (m³)]]="",Market_Data[[#This Row],[Avg Price per (₹ / m³)]]=""),"",Market_Data[[#This Row],[Estimated Concrete Demand (m³)]]*Market_Data[[#This Row],[Avg Price per (₹ / m³)]]/10000000)</f>
        <v>3.5674800000000002</v>
      </c>
      <c r="O1772" s="97" t="str">
        <f>IF(Market_Data[[#This Row],[Estimated Concrete Demand (m³)]]="","",
IF(Market_Data[[#This Row],[Estimated Concrete Demand (m³)]]&lt;10000,"Small",
IF(Market_Data[[#This Row],[Estimated Concrete Demand (m³)]]&lt;25000,"Medium",
IF(Market_Data[[#This Row],[Estimated Concrete Demand (m³)]]&lt;100000,"Large","Mega"))))</f>
        <v>Small</v>
      </c>
      <c r="P1772" s="287" t="str">
        <f t="shared" si="29"/>
        <v>GujRERA</v>
      </c>
    </row>
    <row r="1773" spans="1:16">
      <c r="A1773" s="129" t="str">
        <f>_xlfn.XLOOKUP(B1773,$S$9:$S$14,$T$9:$T$14)&amp;"-"&amp;
IF(E1773="Residential/Group Housing","RES",
IF(E1773="Commercial","COM",
IF(E1773="Mixed Development","MIX",
IF(E1773="Plotted Development","PLT","OTH"))))
&amp;"-"&amp;TEXT(COUNTIFS($B$9:B1773,B1773,$E$9:E1773,E1773),"0000")</f>
        <v>SUR-MIX-0281</v>
      </c>
      <c r="B1773" s="322" t="s">
        <v>34</v>
      </c>
      <c r="C1773" s="322" t="s">
        <v>34</v>
      </c>
      <c r="D1773" s="323" t="s">
        <v>1963</v>
      </c>
      <c r="E1773" s="132" t="s">
        <v>25</v>
      </c>
      <c r="F1773" s="97" t="str">
        <f ca="1">IF(OR(Market_Data[[#This Row],[Start Date]]="",Market_Data[[#This Row],[Completion Date]]=""),"Needs Validation",IF(Market_Data[[#This Row],[Start Date]]&gt;TODAY(),"Planned",IF(Market_Data[[#This Row],[Completion Date]]&lt;TODAY(),"Completed","Ongoing")))</f>
        <v>Completed</v>
      </c>
      <c r="G1773" s="324">
        <v>43174</v>
      </c>
      <c r="H1773" s="324">
        <v>44834</v>
      </c>
      <c r="I1773" s="325">
        <v>5700</v>
      </c>
      <c r="J177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773" s="133">
        <f>_xlfn.XLOOKUP(Market_Data[[#This Row],[Project Type]],tbl_assumptions_market[Project Category (RERA)],tbl_assumptions_market[Concrete Intensity
(m³ / sq m BUA)],"",0)</f>
        <v>0.42</v>
      </c>
      <c r="L1773" s="134">
        <f>ROUND(Market_Data[[#This Row],[Estimated Built Up Area (sq m)]]*Market_Data[[#This Row],[Concrete Intensity
(m³ / sq m)]],0)</f>
        <v>2394</v>
      </c>
      <c r="M1773" s="135">
        <f>_xlfn.XLOOKUP(Market_Data[[#This Row],[District]],tbl_district_price[District],tbl_district_price[Standard Price
(INR/m³)],"",0)</f>
        <v>6200</v>
      </c>
      <c r="N1773" s="364">
        <f>IF(OR(Market_Data[[#This Row],[Estimated Concrete Demand (m³)]]="",Market_Data[[#This Row],[Avg Price per (₹ / m³)]]=""),"",Market_Data[[#This Row],[Estimated Concrete Demand (m³)]]*Market_Data[[#This Row],[Avg Price per (₹ / m³)]]/10000000)</f>
        <v>1.48428</v>
      </c>
      <c r="O1773" s="97" t="str">
        <f>IF(Market_Data[[#This Row],[Estimated Concrete Demand (m³)]]="","",
IF(Market_Data[[#This Row],[Estimated Concrete Demand (m³)]]&lt;10000,"Small",
IF(Market_Data[[#This Row],[Estimated Concrete Demand (m³)]]&lt;25000,"Medium",
IF(Market_Data[[#This Row],[Estimated Concrete Demand (m³)]]&lt;100000,"Large","Mega"))))</f>
        <v>Small</v>
      </c>
      <c r="P1773" s="287" t="str">
        <f t="shared" si="29"/>
        <v>GujRERA</v>
      </c>
    </row>
    <row r="1774" spans="1:16">
      <c r="A1774" s="129" t="str">
        <f>_xlfn.XLOOKUP(B1774,$S$9:$S$14,$T$9:$T$14)&amp;"-"&amp;
IF(E1774="Residential/Group Housing","RES",
IF(E1774="Commercial","COM",
IF(E1774="Mixed Development","MIX",
IF(E1774="Plotted Development","PLT","OTH"))))
&amp;"-"&amp;TEXT(COUNTIFS($B$9:B1774,B1774,$E$9:E1774,E1774),"0000")</f>
        <v>SUR-MIX-0282</v>
      </c>
      <c r="B1774" s="322" t="s">
        <v>34</v>
      </c>
      <c r="C1774" s="322" t="s">
        <v>34</v>
      </c>
      <c r="D1774" s="323" t="s">
        <v>1964</v>
      </c>
      <c r="E1774" s="132" t="s">
        <v>25</v>
      </c>
      <c r="F1774" s="97" t="str">
        <f ca="1">IF(OR(Market_Data[[#This Row],[Start Date]]="",Market_Data[[#This Row],[Completion Date]]=""),"Needs Validation",IF(Market_Data[[#This Row],[Start Date]]&gt;TODAY(),"Planned",IF(Market_Data[[#This Row],[Completion Date]]&lt;TODAY(),"Completed","Ongoing")))</f>
        <v>Ongoing</v>
      </c>
      <c r="G1774" s="324">
        <v>45428</v>
      </c>
      <c r="H1774" s="324">
        <v>46477</v>
      </c>
      <c r="I1774" s="325">
        <v>8300</v>
      </c>
      <c r="J177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774" s="133">
        <f>_xlfn.XLOOKUP(Market_Data[[#This Row],[Project Type]],tbl_assumptions_market[Project Category (RERA)],tbl_assumptions_market[Concrete Intensity
(m³ / sq m BUA)],"",0)</f>
        <v>0.42</v>
      </c>
      <c r="L1774" s="134">
        <f>ROUND(Market_Data[[#This Row],[Estimated Built Up Area (sq m)]]*Market_Data[[#This Row],[Concrete Intensity
(m³ / sq m)]],0)</f>
        <v>3486</v>
      </c>
      <c r="M1774" s="135">
        <f>_xlfn.XLOOKUP(Market_Data[[#This Row],[District]],tbl_district_price[District],tbl_district_price[Standard Price
(INR/m³)],"",0)</f>
        <v>6200</v>
      </c>
      <c r="N1774" s="364">
        <f>IF(OR(Market_Data[[#This Row],[Estimated Concrete Demand (m³)]]="",Market_Data[[#This Row],[Avg Price per (₹ / m³)]]=""),"",Market_Data[[#This Row],[Estimated Concrete Demand (m³)]]*Market_Data[[#This Row],[Avg Price per (₹ / m³)]]/10000000)</f>
        <v>2.1613199999999999</v>
      </c>
      <c r="O1774" s="97" t="str">
        <f>IF(Market_Data[[#This Row],[Estimated Concrete Demand (m³)]]="","",
IF(Market_Data[[#This Row],[Estimated Concrete Demand (m³)]]&lt;10000,"Small",
IF(Market_Data[[#This Row],[Estimated Concrete Demand (m³)]]&lt;25000,"Medium",
IF(Market_Data[[#This Row],[Estimated Concrete Demand (m³)]]&lt;100000,"Large","Mega"))))</f>
        <v>Small</v>
      </c>
      <c r="P1774" s="287" t="str">
        <f t="shared" si="29"/>
        <v>GujRERA</v>
      </c>
    </row>
    <row r="1775" spans="1:16">
      <c r="A1775" s="129" t="str">
        <f>_xlfn.XLOOKUP(B1775,$S$9:$S$14,$T$9:$T$14)&amp;"-"&amp;
IF(E1775="Residential/Group Housing","RES",
IF(E1775="Commercial","COM",
IF(E1775="Mixed Development","MIX",
IF(E1775="Plotted Development","PLT","OTH"))))
&amp;"-"&amp;TEXT(COUNTIFS($B$9:B1775,B1775,$E$9:E1775,E1775),"0000")</f>
        <v>SUR-PLT-0328</v>
      </c>
      <c r="B1775" s="322" t="s">
        <v>34</v>
      </c>
      <c r="C1775" s="322" t="s">
        <v>34</v>
      </c>
      <c r="D1775" s="323" t="s">
        <v>1965</v>
      </c>
      <c r="E1775" s="132" t="s">
        <v>26</v>
      </c>
      <c r="F1775" s="97" t="str">
        <f ca="1">IF(OR(Market_Data[[#This Row],[Start Date]]="",Market_Data[[#This Row],[Completion Date]]=""),"Needs Validation",IF(Market_Data[[#This Row],[Start Date]]&gt;TODAY(),"Planned",IF(Market_Data[[#This Row],[Completion Date]]&lt;TODAY(),"Completed","Ongoing")))</f>
        <v>Completed</v>
      </c>
      <c r="G1775" s="324">
        <v>44640</v>
      </c>
      <c r="H1775" s="324">
        <v>45657</v>
      </c>
      <c r="I1775" s="325">
        <v>3400</v>
      </c>
      <c r="J177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75" s="133">
        <f>_xlfn.XLOOKUP(Market_Data[[#This Row],[Project Type]],tbl_assumptions_market[Project Category (RERA)],tbl_assumptions_market[Concrete Intensity
(m³ / sq m BUA)],"",0)</f>
        <v>0.18</v>
      </c>
      <c r="L1775" s="134">
        <f>ROUND(Market_Data[[#This Row],[Estimated Built Up Area (sq m)]]*Market_Data[[#This Row],[Concrete Intensity
(m³ / sq m)]],0)</f>
        <v>612</v>
      </c>
      <c r="M1775" s="135">
        <f>_xlfn.XLOOKUP(Market_Data[[#This Row],[District]],tbl_district_price[District],tbl_district_price[Standard Price
(INR/m³)],"",0)</f>
        <v>6200</v>
      </c>
      <c r="N1775" s="364">
        <f>IF(OR(Market_Data[[#This Row],[Estimated Concrete Demand (m³)]]="",Market_Data[[#This Row],[Avg Price per (₹ / m³)]]=""),"",Market_Data[[#This Row],[Estimated Concrete Demand (m³)]]*Market_Data[[#This Row],[Avg Price per (₹ / m³)]]/10000000)</f>
        <v>0.37944</v>
      </c>
      <c r="O1775" s="97" t="str">
        <f>IF(Market_Data[[#This Row],[Estimated Concrete Demand (m³)]]="","",
IF(Market_Data[[#This Row],[Estimated Concrete Demand (m³)]]&lt;10000,"Small",
IF(Market_Data[[#This Row],[Estimated Concrete Demand (m³)]]&lt;25000,"Medium",
IF(Market_Data[[#This Row],[Estimated Concrete Demand (m³)]]&lt;100000,"Large","Mega"))))</f>
        <v>Small</v>
      </c>
      <c r="P1775" s="287" t="str">
        <f t="shared" si="29"/>
        <v>GujRERA</v>
      </c>
    </row>
    <row r="1776" spans="1:16">
      <c r="A1776" s="129" t="str">
        <f>_xlfn.XLOOKUP(B1776,$S$9:$S$14,$T$9:$T$14)&amp;"-"&amp;
IF(E1776="Residential/Group Housing","RES",
IF(E1776="Commercial","COM",
IF(E1776="Mixed Development","MIX",
IF(E1776="Plotted Development","PLT","OTH"))))
&amp;"-"&amp;TEXT(COUNTIFS($B$9:B1776,B1776,$E$9:E1776,E1776),"0000")</f>
        <v>SUR-RES-0557</v>
      </c>
      <c r="B1776" s="322" t="s">
        <v>34</v>
      </c>
      <c r="C1776" s="322" t="s">
        <v>34</v>
      </c>
      <c r="D1776" s="323" t="s">
        <v>1966</v>
      </c>
      <c r="E1776" s="132" t="s">
        <v>24</v>
      </c>
      <c r="F1776" s="97" t="str">
        <f ca="1">IF(OR(Market_Data[[#This Row],[Start Date]]="",Market_Data[[#This Row],[Completion Date]]=""),"Needs Validation",IF(Market_Data[[#This Row],[Start Date]]&gt;TODAY(),"Planned",IF(Market_Data[[#This Row],[Completion Date]]&lt;TODAY(),"Completed","Ongoing")))</f>
        <v>Completed</v>
      </c>
      <c r="G1776" s="324">
        <v>43904</v>
      </c>
      <c r="H1776" s="324">
        <v>45366</v>
      </c>
      <c r="I1776" s="325">
        <v>21600</v>
      </c>
      <c r="J177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76" s="133">
        <f>_xlfn.XLOOKUP(Market_Data[[#This Row],[Project Type]],tbl_assumptions_market[Project Category (RERA)],tbl_assumptions_market[Concrete Intensity
(m³ / sq m BUA)],"",0)</f>
        <v>0.45</v>
      </c>
      <c r="L1776" s="134">
        <f>ROUND(Market_Data[[#This Row],[Estimated Built Up Area (sq m)]]*Market_Data[[#This Row],[Concrete Intensity
(m³ / sq m)]],0)</f>
        <v>9720</v>
      </c>
      <c r="M1776" s="135">
        <f>_xlfn.XLOOKUP(Market_Data[[#This Row],[District]],tbl_district_price[District],tbl_district_price[Standard Price
(INR/m³)],"",0)</f>
        <v>6200</v>
      </c>
      <c r="N1776" s="364">
        <f>IF(OR(Market_Data[[#This Row],[Estimated Concrete Demand (m³)]]="",Market_Data[[#This Row],[Avg Price per (₹ / m³)]]=""),"",Market_Data[[#This Row],[Estimated Concrete Demand (m³)]]*Market_Data[[#This Row],[Avg Price per (₹ / m³)]]/10000000)</f>
        <v>6.0263999999999998</v>
      </c>
      <c r="O1776" s="97" t="str">
        <f>IF(Market_Data[[#This Row],[Estimated Concrete Demand (m³)]]="","",
IF(Market_Data[[#This Row],[Estimated Concrete Demand (m³)]]&lt;10000,"Small",
IF(Market_Data[[#This Row],[Estimated Concrete Demand (m³)]]&lt;25000,"Medium",
IF(Market_Data[[#This Row],[Estimated Concrete Demand (m³)]]&lt;100000,"Large","Mega"))))</f>
        <v>Small</v>
      </c>
      <c r="P1776" s="287" t="str">
        <f t="shared" si="29"/>
        <v>GujRERA</v>
      </c>
    </row>
    <row r="1777" spans="1:16">
      <c r="A1777" s="129" t="str">
        <f>_xlfn.XLOOKUP(B1777,$S$9:$S$14,$T$9:$T$14)&amp;"-"&amp;
IF(E1777="Residential/Group Housing","RES",
IF(E1777="Commercial","COM",
IF(E1777="Mixed Development","MIX",
IF(E1777="Plotted Development","PLT","OTH"))))
&amp;"-"&amp;TEXT(COUNTIFS($B$9:B1777,B1777,$E$9:E1777,E1777),"0000")</f>
        <v>SUR-RES-0558</v>
      </c>
      <c r="B1777" s="322" t="s">
        <v>34</v>
      </c>
      <c r="C1777" s="322" t="s">
        <v>34</v>
      </c>
      <c r="D1777" s="323" t="s">
        <v>1967</v>
      </c>
      <c r="E1777" s="132" t="s">
        <v>24</v>
      </c>
      <c r="F1777" s="97" t="str">
        <f ca="1">IF(OR(Market_Data[[#This Row],[Start Date]]="",Market_Data[[#This Row],[Completion Date]]=""),"Needs Validation",IF(Market_Data[[#This Row],[Start Date]]&gt;TODAY(),"Planned",IF(Market_Data[[#This Row],[Completion Date]]&lt;TODAY(),"Completed","Ongoing")))</f>
        <v>Ongoing</v>
      </c>
      <c r="G1777" s="324">
        <v>45347</v>
      </c>
      <c r="H1777" s="324">
        <v>47483</v>
      </c>
      <c r="I1777" s="325">
        <v>40300</v>
      </c>
      <c r="J177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77" s="133">
        <f>_xlfn.XLOOKUP(Market_Data[[#This Row],[Project Type]],tbl_assumptions_market[Project Category (RERA)],tbl_assumptions_market[Concrete Intensity
(m³ / sq m BUA)],"",0)</f>
        <v>0.45</v>
      </c>
      <c r="L1777" s="134">
        <f>ROUND(Market_Data[[#This Row],[Estimated Built Up Area (sq m)]]*Market_Data[[#This Row],[Concrete Intensity
(m³ / sq m)]],0)</f>
        <v>18135</v>
      </c>
      <c r="M1777" s="135">
        <f>_xlfn.XLOOKUP(Market_Data[[#This Row],[District]],tbl_district_price[District],tbl_district_price[Standard Price
(INR/m³)],"",0)</f>
        <v>6200</v>
      </c>
      <c r="N1777" s="364">
        <f>IF(OR(Market_Data[[#This Row],[Estimated Concrete Demand (m³)]]="",Market_Data[[#This Row],[Avg Price per (₹ / m³)]]=""),"",Market_Data[[#This Row],[Estimated Concrete Demand (m³)]]*Market_Data[[#This Row],[Avg Price per (₹ / m³)]]/10000000)</f>
        <v>11.2437</v>
      </c>
      <c r="O1777" s="97" t="str">
        <f>IF(Market_Data[[#This Row],[Estimated Concrete Demand (m³)]]="","",
IF(Market_Data[[#This Row],[Estimated Concrete Demand (m³)]]&lt;10000,"Small",
IF(Market_Data[[#This Row],[Estimated Concrete Demand (m³)]]&lt;25000,"Medium",
IF(Market_Data[[#This Row],[Estimated Concrete Demand (m³)]]&lt;100000,"Large","Mega"))))</f>
        <v>Medium</v>
      </c>
      <c r="P1777" s="287" t="str">
        <f t="shared" si="29"/>
        <v>GujRERA</v>
      </c>
    </row>
    <row r="1778" spans="1:16">
      <c r="A1778" s="129" t="str">
        <f>_xlfn.XLOOKUP(B1778,$S$9:$S$14,$T$9:$T$14)&amp;"-"&amp;
IF(E1778="Residential/Group Housing","RES",
IF(E1778="Commercial","COM",
IF(E1778="Mixed Development","MIX",
IF(E1778="Plotted Development","PLT","OTH"))))
&amp;"-"&amp;TEXT(COUNTIFS($B$9:B1778,B1778,$E$9:E1778,E1778),"0000")</f>
        <v>SUR-PLT-0329</v>
      </c>
      <c r="B1778" s="322" t="s">
        <v>34</v>
      </c>
      <c r="C1778" s="322" t="s">
        <v>34</v>
      </c>
      <c r="D1778" s="323" t="s">
        <v>1968</v>
      </c>
      <c r="E1778" s="132" t="s">
        <v>26</v>
      </c>
      <c r="F1778" s="97" t="str">
        <f ca="1">IF(OR(Market_Data[[#This Row],[Start Date]]="",Market_Data[[#This Row],[Completion Date]]=""),"Needs Validation",IF(Market_Data[[#This Row],[Start Date]]&gt;TODAY(),"Planned",IF(Market_Data[[#This Row],[Completion Date]]&lt;TODAY(),"Completed","Ongoing")))</f>
        <v>Ongoing</v>
      </c>
      <c r="G1778" s="324">
        <v>45692</v>
      </c>
      <c r="H1778" s="324">
        <v>47118</v>
      </c>
      <c r="I1778" s="325">
        <v>39500</v>
      </c>
      <c r="J177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778" s="133">
        <f>_xlfn.XLOOKUP(Market_Data[[#This Row],[Project Type]],tbl_assumptions_market[Project Category (RERA)],tbl_assumptions_market[Concrete Intensity
(m³ / sq m BUA)],"",0)</f>
        <v>0.18</v>
      </c>
      <c r="L1778" s="134">
        <f>ROUND(Market_Data[[#This Row],[Estimated Built Up Area (sq m)]]*Market_Data[[#This Row],[Concrete Intensity
(m³ / sq m)]],0)</f>
        <v>7110</v>
      </c>
      <c r="M1778" s="135">
        <f>_xlfn.XLOOKUP(Market_Data[[#This Row],[District]],tbl_district_price[District],tbl_district_price[Standard Price
(INR/m³)],"",0)</f>
        <v>6200</v>
      </c>
      <c r="N1778" s="364">
        <f>IF(OR(Market_Data[[#This Row],[Estimated Concrete Demand (m³)]]="",Market_Data[[#This Row],[Avg Price per (₹ / m³)]]=""),"",Market_Data[[#This Row],[Estimated Concrete Demand (m³)]]*Market_Data[[#This Row],[Avg Price per (₹ / m³)]]/10000000)</f>
        <v>4.4081999999999999</v>
      </c>
      <c r="O1778" s="97" t="str">
        <f>IF(Market_Data[[#This Row],[Estimated Concrete Demand (m³)]]="","",
IF(Market_Data[[#This Row],[Estimated Concrete Demand (m³)]]&lt;10000,"Small",
IF(Market_Data[[#This Row],[Estimated Concrete Demand (m³)]]&lt;25000,"Medium",
IF(Market_Data[[#This Row],[Estimated Concrete Demand (m³)]]&lt;100000,"Large","Mega"))))</f>
        <v>Small</v>
      </c>
      <c r="P1778" s="287" t="str">
        <f t="shared" si="29"/>
        <v>GujRERA</v>
      </c>
    </row>
    <row r="1779" spans="1:16">
      <c r="A1779" s="129" t="str">
        <f>_xlfn.XLOOKUP(B1779,$S$9:$S$14,$T$9:$T$14)&amp;"-"&amp;
IF(E1779="Residential/Group Housing","RES",
IF(E1779="Commercial","COM",
IF(E1779="Mixed Development","MIX",
IF(E1779="Plotted Development","PLT","OTH"))))
&amp;"-"&amp;TEXT(COUNTIFS($B$9:B1779,B1779,$E$9:E1779,E1779),"0000")</f>
        <v>SUR-COM-0292</v>
      </c>
      <c r="B1779" s="322" t="s">
        <v>34</v>
      </c>
      <c r="C1779" s="322" t="s">
        <v>34</v>
      </c>
      <c r="D1779" s="323" t="s">
        <v>1969</v>
      </c>
      <c r="E1779" s="132" t="s">
        <v>23</v>
      </c>
      <c r="F1779" s="97" t="str">
        <f ca="1">IF(OR(Market_Data[[#This Row],[Start Date]]="",Market_Data[[#This Row],[Completion Date]]=""),"Needs Validation",IF(Market_Data[[#This Row],[Start Date]]&gt;TODAY(),"Planned",IF(Market_Data[[#This Row],[Completion Date]]&lt;TODAY(),"Completed","Ongoing")))</f>
        <v>Completed</v>
      </c>
      <c r="G1779" s="324">
        <v>43514</v>
      </c>
      <c r="H1779" s="324">
        <v>45473</v>
      </c>
      <c r="I1779" s="325">
        <v>20700</v>
      </c>
      <c r="J177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779" s="133">
        <f>_xlfn.XLOOKUP(Market_Data[[#This Row],[Project Type]],tbl_assumptions_market[Project Category (RERA)],tbl_assumptions_market[Concrete Intensity
(m³ / sq m BUA)],"",0)</f>
        <v>0.5</v>
      </c>
      <c r="L1779" s="134">
        <f>ROUND(Market_Data[[#This Row],[Estimated Built Up Area (sq m)]]*Market_Data[[#This Row],[Concrete Intensity
(m³ / sq m)]],0)</f>
        <v>10350</v>
      </c>
      <c r="M1779" s="135">
        <f>_xlfn.XLOOKUP(Market_Data[[#This Row],[District]],tbl_district_price[District],tbl_district_price[Standard Price
(INR/m³)],"",0)</f>
        <v>6200</v>
      </c>
      <c r="N1779" s="364">
        <f>IF(OR(Market_Data[[#This Row],[Estimated Concrete Demand (m³)]]="",Market_Data[[#This Row],[Avg Price per (₹ / m³)]]=""),"",Market_Data[[#This Row],[Estimated Concrete Demand (m³)]]*Market_Data[[#This Row],[Avg Price per (₹ / m³)]]/10000000)</f>
        <v>6.4169999999999998</v>
      </c>
      <c r="O1779" s="97" t="str">
        <f>IF(Market_Data[[#This Row],[Estimated Concrete Demand (m³)]]="","",
IF(Market_Data[[#This Row],[Estimated Concrete Demand (m³)]]&lt;10000,"Small",
IF(Market_Data[[#This Row],[Estimated Concrete Demand (m³)]]&lt;25000,"Medium",
IF(Market_Data[[#This Row],[Estimated Concrete Demand (m³)]]&lt;100000,"Large","Mega"))))</f>
        <v>Medium</v>
      </c>
      <c r="P1779" s="287" t="str">
        <f t="shared" si="29"/>
        <v>GujRERA</v>
      </c>
    </row>
    <row r="1780" spans="1:16">
      <c r="A1780" s="129" t="str">
        <f>_xlfn.XLOOKUP(B1780,$S$9:$S$14,$T$9:$T$14)&amp;"-"&amp;
IF(E1780="Residential/Group Housing","RES",
IF(E1780="Commercial","COM",
IF(E1780="Mixed Development","MIX",
IF(E1780="Plotted Development","PLT","OTH"))))
&amp;"-"&amp;TEXT(COUNTIFS($B$9:B1780,B1780,$E$9:E1780,E1780),"0000")</f>
        <v>SUR-MIX-0283</v>
      </c>
      <c r="B1780" s="322" t="s">
        <v>34</v>
      </c>
      <c r="C1780" s="322" t="s">
        <v>34</v>
      </c>
      <c r="D1780" s="323" t="s">
        <v>1970</v>
      </c>
      <c r="E1780" s="132" t="s">
        <v>25</v>
      </c>
      <c r="F1780" s="97" t="str">
        <f ca="1">IF(OR(Market_Data[[#This Row],[Start Date]]="",Market_Data[[#This Row],[Completion Date]]=""),"Needs Validation",IF(Market_Data[[#This Row],[Start Date]]&gt;TODAY(),"Planned",IF(Market_Data[[#This Row],[Completion Date]]&lt;TODAY(),"Completed","Ongoing")))</f>
        <v>Ongoing</v>
      </c>
      <c r="G1780" s="324">
        <v>45608</v>
      </c>
      <c r="H1780" s="324">
        <v>47118</v>
      </c>
      <c r="I1780" s="325">
        <v>16100</v>
      </c>
      <c r="J178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80" s="133">
        <f>_xlfn.XLOOKUP(Market_Data[[#This Row],[Project Type]],tbl_assumptions_market[Project Category (RERA)],tbl_assumptions_market[Concrete Intensity
(m³ / sq m BUA)],"",0)</f>
        <v>0.42</v>
      </c>
      <c r="L1780" s="134">
        <f>ROUND(Market_Data[[#This Row],[Estimated Built Up Area (sq m)]]*Market_Data[[#This Row],[Concrete Intensity
(m³ / sq m)]],0)</f>
        <v>6762</v>
      </c>
      <c r="M1780" s="135">
        <f>_xlfn.XLOOKUP(Market_Data[[#This Row],[District]],tbl_district_price[District],tbl_district_price[Standard Price
(INR/m³)],"",0)</f>
        <v>6200</v>
      </c>
      <c r="N1780" s="364">
        <f>IF(OR(Market_Data[[#This Row],[Estimated Concrete Demand (m³)]]="",Market_Data[[#This Row],[Avg Price per (₹ / m³)]]=""),"",Market_Data[[#This Row],[Estimated Concrete Demand (m³)]]*Market_Data[[#This Row],[Avg Price per (₹ / m³)]]/10000000)</f>
        <v>4.1924400000000004</v>
      </c>
      <c r="O1780" s="97" t="str">
        <f>IF(Market_Data[[#This Row],[Estimated Concrete Demand (m³)]]="","",
IF(Market_Data[[#This Row],[Estimated Concrete Demand (m³)]]&lt;10000,"Small",
IF(Market_Data[[#This Row],[Estimated Concrete Demand (m³)]]&lt;25000,"Medium",
IF(Market_Data[[#This Row],[Estimated Concrete Demand (m³)]]&lt;100000,"Large","Mega"))))</f>
        <v>Small</v>
      </c>
      <c r="P1780" s="287" t="str">
        <f t="shared" si="29"/>
        <v>GujRERA</v>
      </c>
    </row>
    <row r="1781" spans="1:16">
      <c r="A1781" s="129" t="str">
        <f>_xlfn.XLOOKUP(B1781,$S$9:$S$14,$T$9:$T$14)&amp;"-"&amp;
IF(E1781="Residential/Group Housing","RES",
IF(E1781="Commercial","COM",
IF(E1781="Mixed Development","MIX",
IF(E1781="Plotted Development","PLT","OTH"))))
&amp;"-"&amp;TEXT(COUNTIFS($B$9:B1781,B1781,$E$9:E1781,E1781),"0000")</f>
        <v>SUR-COM-0293</v>
      </c>
      <c r="B1781" s="322" t="s">
        <v>34</v>
      </c>
      <c r="C1781" s="322" t="s">
        <v>34</v>
      </c>
      <c r="D1781" s="323" t="s">
        <v>1971</v>
      </c>
      <c r="E1781" s="132" t="s">
        <v>23</v>
      </c>
      <c r="F1781" s="97" t="str">
        <f ca="1">IF(OR(Market_Data[[#This Row],[Start Date]]="",Market_Data[[#This Row],[Completion Date]]=""),"Needs Validation",IF(Market_Data[[#This Row],[Start Date]]&gt;TODAY(),"Planned",IF(Market_Data[[#This Row],[Completion Date]]&lt;TODAY(),"Completed","Ongoing")))</f>
        <v>Completed</v>
      </c>
      <c r="G1781" s="324">
        <v>42158</v>
      </c>
      <c r="H1781" s="324">
        <v>45993</v>
      </c>
      <c r="I1781" s="325">
        <v>6200</v>
      </c>
      <c r="J178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81" s="133">
        <f>_xlfn.XLOOKUP(Market_Data[[#This Row],[Project Type]],tbl_assumptions_market[Project Category (RERA)],tbl_assumptions_market[Concrete Intensity
(m³ / sq m BUA)],"",0)</f>
        <v>0.5</v>
      </c>
      <c r="L1781" s="134">
        <f>ROUND(Market_Data[[#This Row],[Estimated Built Up Area (sq m)]]*Market_Data[[#This Row],[Concrete Intensity
(m³ / sq m)]],0)</f>
        <v>3100</v>
      </c>
      <c r="M1781" s="135">
        <f>_xlfn.XLOOKUP(Market_Data[[#This Row],[District]],tbl_district_price[District],tbl_district_price[Standard Price
(INR/m³)],"",0)</f>
        <v>6200</v>
      </c>
      <c r="N1781" s="364">
        <f>IF(OR(Market_Data[[#This Row],[Estimated Concrete Demand (m³)]]="",Market_Data[[#This Row],[Avg Price per (₹ / m³)]]=""),"",Market_Data[[#This Row],[Estimated Concrete Demand (m³)]]*Market_Data[[#This Row],[Avg Price per (₹ / m³)]]/10000000)</f>
        <v>1.9219999999999999</v>
      </c>
      <c r="O1781" s="97" t="str">
        <f>IF(Market_Data[[#This Row],[Estimated Concrete Demand (m³)]]="","",
IF(Market_Data[[#This Row],[Estimated Concrete Demand (m³)]]&lt;10000,"Small",
IF(Market_Data[[#This Row],[Estimated Concrete Demand (m³)]]&lt;25000,"Medium",
IF(Market_Data[[#This Row],[Estimated Concrete Demand (m³)]]&lt;100000,"Large","Mega"))))</f>
        <v>Small</v>
      </c>
      <c r="P1781" s="287" t="str">
        <f t="shared" si="29"/>
        <v>GujRERA</v>
      </c>
    </row>
    <row r="1782" spans="1:16">
      <c r="A1782" s="129" t="str">
        <f>_xlfn.XLOOKUP(B1782,$S$9:$S$14,$T$9:$T$14)&amp;"-"&amp;
IF(E1782="Residential/Group Housing","RES",
IF(E1782="Commercial","COM",
IF(E1782="Mixed Development","MIX",
IF(E1782="Plotted Development","PLT","OTH"))))
&amp;"-"&amp;TEXT(COUNTIFS($B$9:B1782,B1782,$E$9:E1782,E1782),"0000")</f>
        <v>SUR-MIX-0284</v>
      </c>
      <c r="B1782" s="322" t="s">
        <v>34</v>
      </c>
      <c r="C1782" s="322" t="s">
        <v>34</v>
      </c>
      <c r="D1782" s="323" t="s">
        <v>1972</v>
      </c>
      <c r="E1782" s="132" t="s">
        <v>25</v>
      </c>
      <c r="F1782" s="97" t="str">
        <f ca="1">IF(OR(Market_Data[[#This Row],[Start Date]]="",Market_Data[[#This Row],[Completion Date]]=""),"Needs Validation",IF(Market_Data[[#This Row],[Start Date]]&gt;TODAY(),"Planned",IF(Market_Data[[#This Row],[Completion Date]]&lt;TODAY(),"Completed","Ongoing")))</f>
        <v>Completed</v>
      </c>
      <c r="G1782" s="324">
        <v>43818</v>
      </c>
      <c r="H1782" s="324">
        <v>45473</v>
      </c>
      <c r="I1782" s="325">
        <v>33300</v>
      </c>
      <c r="J178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82" s="133">
        <f>_xlfn.XLOOKUP(Market_Data[[#This Row],[Project Type]],tbl_assumptions_market[Project Category (RERA)],tbl_assumptions_market[Concrete Intensity
(m³ / sq m BUA)],"",0)</f>
        <v>0.42</v>
      </c>
      <c r="L1782" s="134">
        <f>ROUND(Market_Data[[#This Row],[Estimated Built Up Area (sq m)]]*Market_Data[[#This Row],[Concrete Intensity
(m³ / sq m)]],0)</f>
        <v>13986</v>
      </c>
      <c r="M1782" s="135">
        <f>_xlfn.XLOOKUP(Market_Data[[#This Row],[District]],tbl_district_price[District],tbl_district_price[Standard Price
(INR/m³)],"",0)</f>
        <v>6200</v>
      </c>
      <c r="N1782" s="364">
        <f>IF(OR(Market_Data[[#This Row],[Estimated Concrete Demand (m³)]]="",Market_Data[[#This Row],[Avg Price per (₹ / m³)]]=""),"",Market_Data[[#This Row],[Estimated Concrete Demand (m³)]]*Market_Data[[#This Row],[Avg Price per (₹ / m³)]]/10000000)</f>
        <v>8.6713199999999997</v>
      </c>
      <c r="O1782" s="97" t="str">
        <f>IF(Market_Data[[#This Row],[Estimated Concrete Demand (m³)]]="","",
IF(Market_Data[[#This Row],[Estimated Concrete Demand (m³)]]&lt;10000,"Small",
IF(Market_Data[[#This Row],[Estimated Concrete Demand (m³)]]&lt;25000,"Medium",
IF(Market_Data[[#This Row],[Estimated Concrete Demand (m³)]]&lt;100000,"Large","Mega"))))</f>
        <v>Medium</v>
      </c>
      <c r="P1782" s="287" t="str">
        <f t="shared" si="29"/>
        <v>GujRERA</v>
      </c>
    </row>
    <row r="1783" spans="1:16">
      <c r="A1783" s="129" t="str">
        <f>_xlfn.XLOOKUP(B1783,$S$9:$S$14,$T$9:$T$14)&amp;"-"&amp;
IF(E1783="Residential/Group Housing","RES",
IF(E1783="Commercial","COM",
IF(E1783="Mixed Development","MIX",
IF(E1783="Plotted Development","PLT","OTH"))))
&amp;"-"&amp;TEXT(COUNTIFS($B$9:B1783,B1783,$E$9:E1783,E1783),"0000")</f>
        <v>SUR-COM-0294</v>
      </c>
      <c r="B1783" s="322" t="s">
        <v>34</v>
      </c>
      <c r="C1783" s="322" t="s">
        <v>34</v>
      </c>
      <c r="D1783" s="323" t="s">
        <v>1973</v>
      </c>
      <c r="E1783" s="132" t="s">
        <v>23</v>
      </c>
      <c r="F1783" s="97" t="str">
        <f ca="1">IF(OR(Market_Data[[#This Row],[Start Date]]="",Market_Data[[#This Row],[Completion Date]]=""),"Needs Validation",IF(Market_Data[[#This Row],[Start Date]]&gt;TODAY(),"Planned",IF(Market_Data[[#This Row],[Completion Date]]&lt;TODAY(),"Completed","Ongoing")))</f>
        <v>Completed</v>
      </c>
      <c r="G1783" s="324">
        <v>43203</v>
      </c>
      <c r="H1783" s="324">
        <v>45473</v>
      </c>
      <c r="I1783" s="325">
        <v>17300</v>
      </c>
      <c r="J178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83" s="133">
        <f>_xlfn.XLOOKUP(Market_Data[[#This Row],[Project Type]],tbl_assumptions_market[Project Category (RERA)],tbl_assumptions_market[Concrete Intensity
(m³ / sq m BUA)],"",0)</f>
        <v>0.5</v>
      </c>
      <c r="L1783" s="134">
        <f>ROUND(Market_Data[[#This Row],[Estimated Built Up Area (sq m)]]*Market_Data[[#This Row],[Concrete Intensity
(m³ / sq m)]],0)</f>
        <v>8650</v>
      </c>
      <c r="M1783" s="135">
        <f>_xlfn.XLOOKUP(Market_Data[[#This Row],[District]],tbl_district_price[District],tbl_district_price[Standard Price
(INR/m³)],"",0)</f>
        <v>6200</v>
      </c>
      <c r="N1783" s="364">
        <f>IF(OR(Market_Data[[#This Row],[Estimated Concrete Demand (m³)]]="",Market_Data[[#This Row],[Avg Price per (₹ / m³)]]=""),"",Market_Data[[#This Row],[Estimated Concrete Demand (m³)]]*Market_Data[[#This Row],[Avg Price per (₹ / m³)]]/10000000)</f>
        <v>5.3630000000000004</v>
      </c>
      <c r="O1783" s="97" t="str">
        <f>IF(Market_Data[[#This Row],[Estimated Concrete Demand (m³)]]="","",
IF(Market_Data[[#This Row],[Estimated Concrete Demand (m³)]]&lt;10000,"Small",
IF(Market_Data[[#This Row],[Estimated Concrete Demand (m³)]]&lt;25000,"Medium",
IF(Market_Data[[#This Row],[Estimated Concrete Demand (m³)]]&lt;100000,"Large","Mega"))))</f>
        <v>Small</v>
      </c>
      <c r="P1783" s="287" t="str">
        <f t="shared" si="29"/>
        <v>GujRERA</v>
      </c>
    </row>
    <row r="1784" spans="1:16">
      <c r="A1784" s="129" t="str">
        <f>_xlfn.XLOOKUP(B1784,$S$9:$S$14,$T$9:$T$14)&amp;"-"&amp;
IF(E1784="Residential/Group Housing","RES",
IF(E1784="Commercial","COM",
IF(E1784="Mixed Development","MIX",
IF(E1784="Plotted Development","PLT","OTH"))))
&amp;"-"&amp;TEXT(COUNTIFS($B$9:B1784,B1784,$E$9:E1784,E1784),"0000")</f>
        <v>SUR-MIX-0285</v>
      </c>
      <c r="B1784" s="322" t="s">
        <v>34</v>
      </c>
      <c r="C1784" s="322" t="s">
        <v>34</v>
      </c>
      <c r="D1784" s="323" t="s">
        <v>1974</v>
      </c>
      <c r="E1784" s="132" t="s">
        <v>25</v>
      </c>
      <c r="F1784" s="97" t="str">
        <f ca="1">IF(OR(Market_Data[[#This Row],[Start Date]]="",Market_Data[[#This Row],[Completion Date]]=""),"Needs Validation",IF(Market_Data[[#This Row],[Start Date]]&gt;TODAY(),"Planned",IF(Market_Data[[#This Row],[Completion Date]]&lt;TODAY(),"Completed","Ongoing")))</f>
        <v>Completed</v>
      </c>
      <c r="G1784" s="324">
        <v>41944</v>
      </c>
      <c r="H1784" s="324">
        <v>44166</v>
      </c>
      <c r="I1784" s="325">
        <v>4900</v>
      </c>
      <c r="J178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784" s="133">
        <f>_xlfn.XLOOKUP(Market_Data[[#This Row],[Project Type]],tbl_assumptions_market[Project Category (RERA)],tbl_assumptions_market[Concrete Intensity
(m³ / sq m BUA)],"",0)</f>
        <v>0.42</v>
      </c>
      <c r="L1784" s="134">
        <f>ROUND(Market_Data[[#This Row],[Estimated Built Up Area (sq m)]]*Market_Data[[#This Row],[Concrete Intensity
(m³ / sq m)]],0)</f>
        <v>2058</v>
      </c>
      <c r="M1784" s="135">
        <f>_xlfn.XLOOKUP(Market_Data[[#This Row],[District]],tbl_district_price[District],tbl_district_price[Standard Price
(INR/m³)],"",0)</f>
        <v>6200</v>
      </c>
      <c r="N1784" s="364">
        <f>IF(OR(Market_Data[[#This Row],[Estimated Concrete Demand (m³)]]="",Market_Data[[#This Row],[Avg Price per (₹ / m³)]]=""),"",Market_Data[[#This Row],[Estimated Concrete Demand (m³)]]*Market_Data[[#This Row],[Avg Price per (₹ / m³)]]/10000000)</f>
        <v>1.27596</v>
      </c>
      <c r="O1784" s="97" t="str">
        <f>IF(Market_Data[[#This Row],[Estimated Concrete Demand (m³)]]="","",
IF(Market_Data[[#This Row],[Estimated Concrete Demand (m³)]]&lt;10000,"Small",
IF(Market_Data[[#This Row],[Estimated Concrete Demand (m³)]]&lt;25000,"Medium",
IF(Market_Data[[#This Row],[Estimated Concrete Demand (m³)]]&lt;100000,"Large","Mega"))))</f>
        <v>Small</v>
      </c>
      <c r="P1784" s="287" t="str">
        <f t="shared" si="29"/>
        <v>GujRERA</v>
      </c>
    </row>
    <row r="1785" spans="1:16">
      <c r="A1785" s="129" t="str">
        <f>_xlfn.XLOOKUP(B1785,$S$9:$S$14,$T$9:$T$14)&amp;"-"&amp;
IF(E1785="Residential/Group Housing","RES",
IF(E1785="Commercial","COM",
IF(E1785="Mixed Development","MIX",
IF(E1785="Plotted Development","PLT","OTH"))))
&amp;"-"&amp;TEXT(COUNTIFS($B$9:B1785,B1785,$E$9:E1785,E1785),"0000")</f>
        <v>SUR-MIX-0286</v>
      </c>
      <c r="B1785" s="322" t="s">
        <v>34</v>
      </c>
      <c r="C1785" s="322" t="s">
        <v>34</v>
      </c>
      <c r="D1785" s="323" t="s">
        <v>1975</v>
      </c>
      <c r="E1785" s="132" t="s">
        <v>25</v>
      </c>
      <c r="F1785" s="97" t="str">
        <f ca="1">IF(OR(Market_Data[[#This Row],[Start Date]]="",Market_Data[[#This Row],[Completion Date]]=""),"Needs Validation",IF(Market_Data[[#This Row],[Start Date]]&gt;TODAY(),"Planned",IF(Market_Data[[#This Row],[Completion Date]]&lt;TODAY(),"Completed","Ongoing")))</f>
        <v>Ongoing</v>
      </c>
      <c r="G1785" s="324">
        <v>45869</v>
      </c>
      <c r="H1785" s="324">
        <v>48579</v>
      </c>
      <c r="I1785" s="325">
        <v>55900</v>
      </c>
      <c r="J178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85" s="133">
        <f>_xlfn.XLOOKUP(Market_Data[[#This Row],[Project Type]],tbl_assumptions_market[Project Category (RERA)],tbl_assumptions_market[Concrete Intensity
(m³ / sq m BUA)],"",0)</f>
        <v>0.42</v>
      </c>
      <c r="L1785" s="134">
        <f>ROUND(Market_Data[[#This Row],[Estimated Built Up Area (sq m)]]*Market_Data[[#This Row],[Concrete Intensity
(m³ / sq m)]],0)</f>
        <v>23478</v>
      </c>
      <c r="M1785" s="135">
        <f>_xlfn.XLOOKUP(Market_Data[[#This Row],[District]],tbl_district_price[District],tbl_district_price[Standard Price
(INR/m³)],"",0)</f>
        <v>6200</v>
      </c>
      <c r="N1785" s="364">
        <f>IF(OR(Market_Data[[#This Row],[Estimated Concrete Demand (m³)]]="",Market_Data[[#This Row],[Avg Price per (₹ / m³)]]=""),"",Market_Data[[#This Row],[Estimated Concrete Demand (m³)]]*Market_Data[[#This Row],[Avg Price per (₹ / m³)]]/10000000)</f>
        <v>14.55636</v>
      </c>
      <c r="O1785" s="97" t="str">
        <f>IF(Market_Data[[#This Row],[Estimated Concrete Demand (m³)]]="","",
IF(Market_Data[[#This Row],[Estimated Concrete Demand (m³)]]&lt;10000,"Small",
IF(Market_Data[[#This Row],[Estimated Concrete Demand (m³)]]&lt;25000,"Medium",
IF(Market_Data[[#This Row],[Estimated Concrete Demand (m³)]]&lt;100000,"Large","Mega"))))</f>
        <v>Medium</v>
      </c>
      <c r="P1785" s="287" t="str">
        <f t="shared" si="29"/>
        <v>GujRERA</v>
      </c>
    </row>
    <row r="1786" spans="1:16">
      <c r="A1786" s="129" t="str">
        <f>_xlfn.XLOOKUP(B1786,$S$9:$S$14,$T$9:$T$14)&amp;"-"&amp;
IF(E1786="Residential/Group Housing","RES",
IF(E1786="Commercial","COM",
IF(E1786="Mixed Development","MIX",
IF(E1786="Plotted Development","PLT","OTH"))))
&amp;"-"&amp;TEXT(COUNTIFS($B$9:B1786,B1786,$E$9:E1786,E1786),"0000")</f>
        <v>SUR-MIX-0287</v>
      </c>
      <c r="B1786" s="322" t="s">
        <v>34</v>
      </c>
      <c r="C1786" s="322" t="s">
        <v>34</v>
      </c>
      <c r="D1786" s="323" t="s">
        <v>1976</v>
      </c>
      <c r="E1786" s="132" t="s">
        <v>25</v>
      </c>
      <c r="F1786" s="97" t="str">
        <f ca="1">IF(OR(Market_Data[[#This Row],[Start Date]]="",Market_Data[[#This Row],[Completion Date]]=""),"Needs Validation",IF(Market_Data[[#This Row],[Start Date]]&gt;TODAY(),"Planned",IF(Market_Data[[#This Row],[Completion Date]]&lt;TODAY(),"Completed","Ongoing")))</f>
        <v>Ongoing</v>
      </c>
      <c r="G1786" s="324">
        <v>45748</v>
      </c>
      <c r="H1786" s="324">
        <v>47848</v>
      </c>
      <c r="I1786" s="325">
        <v>40500</v>
      </c>
      <c r="J178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86" s="133">
        <f>_xlfn.XLOOKUP(Market_Data[[#This Row],[Project Type]],tbl_assumptions_market[Project Category (RERA)],tbl_assumptions_market[Concrete Intensity
(m³ / sq m BUA)],"",0)</f>
        <v>0.42</v>
      </c>
      <c r="L1786" s="134">
        <f>ROUND(Market_Data[[#This Row],[Estimated Built Up Area (sq m)]]*Market_Data[[#This Row],[Concrete Intensity
(m³ / sq m)]],0)</f>
        <v>17010</v>
      </c>
      <c r="M1786" s="135">
        <f>_xlfn.XLOOKUP(Market_Data[[#This Row],[District]],tbl_district_price[District],tbl_district_price[Standard Price
(INR/m³)],"",0)</f>
        <v>6200</v>
      </c>
      <c r="N1786" s="364">
        <f>IF(OR(Market_Data[[#This Row],[Estimated Concrete Demand (m³)]]="",Market_Data[[#This Row],[Avg Price per (₹ / m³)]]=""),"",Market_Data[[#This Row],[Estimated Concrete Demand (m³)]]*Market_Data[[#This Row],[Avg Price per (₹ / m³)]]/10000000)</f>
        <v>10.546200000000001</v>
      </c>
      <c r="O1786" s="97" t="str">
        <f>IF(Market_Data[[#This Row],[Estimated Concrete Demand (m³)]]="","",
IF(Market_Data[[#This Row],[Estimated Concrete Demand (m³)]]&lt;10000,"Small",
IF(Market_Data[[#This Row],[Estimated Concrete Demand (m³)]]&lt;25000,"Medium",
IF(Market_Data[[#This Row],[Estimated Concrete Demand (m³)]]&lt;100000,"Large","Mega"))))</f>
        <v>Medium</v>
      </c>
      <c r="P1786" s="287" t="str">
        <f t="shared" si="29"/>
        <v>GujRERA</v>
      </c>
    </row>
    <row r="1787" spans="1:16">
      <c r="A1787" s="129" t="str">
        <f>_xlfn.XLOOKUP(B1787,$S$9:$S$14,$T$9:$T$14)&amp;"-"&amp;
IF(E1787="Residential/Group Housing","RES",
IF(E1787="Commercial","COM",
IF(E1787="Mixed Development","MIX",
IF(E1787="Plotted Development","PLT","OTH"))))
&amp;"-"&amp;TEXT(COUNTIFS($B$9:B1787,B1787,$E$9:E1787,E1787),"0000")</f>
        <v>SUR-RES-0559</v>
      </c>
      <c r="B1787" s="322" t="s">
        <v>34</v>
      </c>
      <c r="C1787" s="322" t="s">
        <v>34</v>
      </c>
      <c r="D1787" s="323" t="s">
        <v>1977</v>
      </c>
      <c r="E1787" s="132" t="s">
        <v>24</v>
      </c>
      <c r="F1787" s="97" t="str">
        <f ca="1">IF(OR(Market_Data[[#This Row],[Start Date]]="",Market_Data[[#This Row],[Completion Date]]=""),"Needs Validation",IF(Market_Data[[#This Row],[Start Date]]&gt;TODAY(),"Planned",IF(Market_Data[[#This Row],[Completion Date]]&lt;TODAY(),"Completed","Ongoing")))</f>
        <v>Ongoing</v>
      </c>
      <c r="G1787" s="324">
        <v>44649</v>
      </c>
      <c r="H1787" s="324">
        <v>46387</v>
      </c>
      <c r="I1787" s="325">
        <v>24200</v>
      </c>
      <c r="J178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87" s="133">
        <f>_xlfn.XLOOKUP(Market_Data[[#This Row],[Project Type]],tbl_assumptions_market[Project Category (RERA)],tbl_assumptions_market[Concrete Intensity
(m³ / sq m BUA)],"",0)</f>
        <v>0.45</v>
      </c>
      <c r="L1787" s="134">
        <f>ROUND(Market_Data[[#This Row],[Estimated Built Up Area (sq m)]]*Market_Data[[#This Row],[Concrete Intensity
(m³ / sq m)]],0)</f>
        <v>10890</v>
      </c>
      <c r="M1787" s="135">
        <f>_xlfn.XLOOKUP(Market_Data[[#This Row],[District]],tbl_district_price[District],tbl_district_price[Standard Price
(INR/m³)],"",0)</f>
        <v>6200</v>
      </c>
      <c r="N1787" s="364">
        <f>IF(OR(Market_Data[[#This Row],[Estimated Concrete Demand (m³)]]="",Market_Data[[#This Row],[Avg Price per (₹ / m³)]]=""),"",Market_Data[[#This Row],[Estimated Concrete Demand (m³)]]*Market_Data[[#This Row],[Avg Price per (₹ / m³)]]/10000000)</f>
        <v>6.7518000000000002</v>
      </c>
      <c r="O1787" s="97" t="str">
        <f>IF(Market_Data[[#This Row],[Estimated Concrete Demand (m³)]]="","",
IF(Market_Data[[#This Row],[Estimated Concrete Demand (m³)]]&lt;10000,"Small",
IF(Market_Data[[#This Row],[Estimated Concrete Demand (m³)]]&lt;25000,"Medium",
IF(Market_Data[[#This Row],[Estimated Concrete Demand (m³)]]&lt;100000,"Large","Mega"))))</f>
        <v>Medium</v>
      </c>
      <c r="P1787" s="287" t="str">
        <f t="shared" si="29"/>
        <v>GujRERA</v>
      </c>
    </row>
    <row r="1788" spans="1:16">
      <c r="A1788" s="129" t="str">
        <f>_xlfn.XLOOKUP(B1788,$S$9:$S$14,$T$9:$T$14)&amp;"-"&amp;
IF(E1788="Residential/Group Housing","RES",
IF(E1788="Commercial","COM",
IF(E1788="Mixed Development","MIX",
IF(E1788="Plotted Development","PLT","OTH"))))
&amp;"-"&amp;TEXT(COUNTIFS($B$9:B1788,B1788,$E$9:E1788,E1788),"0000")</f>
        <v>SUR-RES-0560</v>
      </c>
      <c r="B1788" s="322" t="s">
        <v>34</v>
      </c>
      <c r="C1788" s="322" t="s">
        <v>34</v>
      </c>
      <c r="D1788" s="323" t="s">
        <v>1978</v>
      </c>
      <c r="E1788" s="132" t="s">
        <v>24</v>
      </c>
      <c r="F1788" s="97" t="str">
        <f ca="1">IF(OR(Market_Data[[#This Row],[Start Date]]="",Market_Data[[#This Row],[Completion Date]]=""),"Needs Validation",IF(Market_Data[[#This Row],[Start Date]]&gt;TODAY(),"Planned",IF(Market_Data[[#This Row],[Completion Date]]&lt;TODAY(),"Completed","Ongoing")))</f>
        <v>Completed</v>
      </c>
      <c r="G1788" s="324">
        <v>44602</v>
      </c>
      <c r="H1788" s="324">
        <v>46045</v>
      </c>
      <c r="I1788" s="325">
        <v>11800</v>
      </c>
      <c r="J178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88" s="133">
        <f>_xlfn.XLOOKUP(Market_Data[[#This Row],[Project Type]],tbl_assumptions_market[Project Category (RERA)],tbl_assumptions_market[Concrete Intensity
(m³ / sq m BUA)],"",0)</f>
        <v>0.45</v>
      </c>
      <c r="L1788" s="134">
        <f>ROUND(Market_Data[[#This Row],[Estimated Built Up Area (sq m)]]*Market_Data[[#This Row],[Concrete Intensity
(m³ / sq m)]],0)</f>
        <v>5310</v>
      </c>
      <c r="M1788" s="135">
        <f>_xlfn.XLOOKUP(Market_Data[[#This Row],[District]],tbl_district_price[District],tbl_district_price[Standard Price
(INR/m³)],"",0)</f>
        <v>6200</v>
      </c>
      <c r="N1788" s="364">
        <f>IF(OR(Market_Data[[#This Row],[Estimated Concrete Demand (m³)]]="",Market_Data[[#This Row],[Avg Price per (₹ / m³)]]=""),"",Market_Data[[#This Row],[Estimated Concrete Demand (m³)]]*Market_Data[[#This Row],[Avg Price per (₹ / m³)]]/10000000)</f>
        <v>3.2921999999999998</v>
      </c>
      <c r="O1788" s="97" t="str">
        <f>IF(Market_Data[[#This Row],[Estimated Concrete Demand (m³)]]="","",
IF(Market_Data[[#This Row],[Estimated Concrete Demand (m³)]]&lt;10000,"Small",
IF(Market_Data[[#This Row],[Estimated Concrete Demand (m³)]]&lt;25000,"Medium",
IF(Market_Data[[#This Row],[Estimated Concrete Demand (m³)]]&lt;100000,"Large","Mega"))))</f>
        <v>Small</v>
      </c>
      <c r="P1788" s="287" t="str">
        <f t="shared" si="29"/>
        <v>GujRERA</v>
      </c>
    </row>
    <row r="1789" spans="1:16">
      <c r="A1789" s="129" t="str">
        <f>_xlfn.XLOOKUP(B1789,$S$9:$S$14,$T$9:$T$14)&amp;"-"&amp;
IF(E1789="Residential/Group Housing","RES",
IF(E1789="Commercial","COM",
IF(E1789="Mixed Development","MIX",
IF(E1789="Plotted Development","PLT","OTH"))))
&amp;"-"&amp;TEXT(COUNTIFS($B$9:B1789,B1789,$E$9:E1789,E1789),"0000")</f>
        <v>SUR-PLT-0330</v>
      </c>
      <c r="B1789" s="322" t="s">
        <v>34</v>
      </c>
      <c r="C1789" s="322" t="s">
        <v>34</v>
      </c>
      <c r="D1789" s="323" t="s">
        <v>1979</v>
      </c>
      <c r="E1789" s="132" t="s">
        <v>26</v>
      </c>
      <c r="F1789" s="97" t="str">
        <f ca="1">IF(OR(Market_Data[[#This Row],[Start Date]]="",Market_Data[[#This Row],[Completion Date]]=""),"Needs Validation",IF(Market_Data[[#This Row],[Start Date]]&gt;TODAY(),"Planned",IF(Market_Data[[#This Row],[Completion Date]]&lt;TODAY(),"Completed","Ongoing")))</f>
        <v>Completed</v>
      </c>
      <c r="G1789" s="324">
        <v>43525</v>
      </c>
      <c r="H1789" s="324">
        <v>46203</v>
      </c>
      <c r="I1789" s="325">
        <v>25700</v>
      </c>
      <c r="J178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89" s="133">
        <f>_xlfn.XLOOKUP(Market_Data[[#This Row],[Project Type]],tbl_assumptions_market[Project Category (RERA)],tbl_assumptions_market[Concrete Intensity
(m³ / sq m BUA)],"",0)</f>
        <v>0.18</v>
      </c>
      <c r="L1789" s="134">
        <f>ROUND(Market_Data[[#This Row],[Estimated Built Up Area (sq m)]]*Market_Data[[#This Row],[Concrete Intensity
(m³ / sq m)]],0)</f>
        <v>4626</v>
      </c>
      <c r="M1789" s="135">
        <f>_xlfn.XLOOKUP(Market_Data[[#This Row],[District]],tbl_district_price[District],tbl_district_price[Standard Price
(INR/m³)],"",0)</f>
        <v>6200</v>
      </c>
      <c r="N1789" s="364">
        <f>IF(OR(Market_Data[[#This Row],[Estimated Concrete Demand (m³)]]="",Market_Data[[#This Row],[Avg Price per (₹ / m³)]]=""),"",Market_Data[[#This Row],[Estimated Concrete Demand (m³)]]*Market_Data[[#This Row],[Avg Price per (₹ / m³)]]/10000000)</f>
        <v>2.8681199999999998</v>
      </c>
      <c r="O1789" s="97" t="str">
        <f>IF(Market_Data[[#This Row],[Estimated Concrete Demand (m³)]]="","",
IF(Market_Data[[#This Row],[Estimated Concrete Demand (m³)]]&lt;10000,"Small",
IF(Market_Data[[#This Row],[Estimated Concrete Demand (m³)]]&lt;25000,"Medium",
IF(Market_Data[[#This Row],[Estimated Concrete Demand (m³)]]&lt;100000,"Large","Mega"))))</f>
        <v>Small</v>
      </c>
      <c r="P1789" s="287" t="str">
        <f t="shared" si="29"/>
        <v>GujRERA</v>
      </c>
    </row>
    <row r="1790" spans="1:16">
      <c r="A1790" s="129" t="str">
        <f>_xlfn.XLOOKUP(B1790,$S$9:$S$14,$T$9:$T$14)&amp;"-"&amp;
IF(E1790="Residential/Group Housing","RES",
IF(E1790="Commercial","COM",
IF(E1790="Mixed Development","MIX",
IF(E1790="Plotted Development","PLT","OTH"))))
&amp;"-"&amp;TEXT(COUNTIFS($B$9:B1790,B1790,$E$9:E1790,E1790),"0000")</f>
        <v>SUR-COM-0295</v>
      </c>
      <c r="B1790" s="322" t="s">
        <v>34</v>
      </c>
      <c r="C1790" s="322" t="s">
        <v>34</v>
      </c>
      <c r="D1790" s="323" t="s">
        <v>1980</v>
      </c>
      <c r="E1790" s="132" t="s">
        <v>23</v>
      </c>
      <c r="F1790" s="97" t="str">
        <f ca="1">IF(OR(Market_Data[[#This Row],[Start Date]]="",Market_Data[[#This Row],[Completion Date]]=""),"Needs Validation",IF(Market_Data[[#This Row],[Start Date]]&gt;TODAY(),"Planned",IF(Market_Data[[#This Row],[Completion Date]]&lt;TODAY(),"Completed","Ongoing")))</f>
        <v>Ongoing</v>
      </c>
      <c r="G1790" s="324">
        <v>45780</v>
      </c>
      <c r="H1790" s="324">
        <v>47483</v>
      </c>
      <c r="I1790" s="325">
        <v>10000</v>
      </c>
      <c r="J179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90" s="133">
        <f>_xlfn.XLOOKUP(Market_Data[[#This Row],[Project Type]],tbl_assumptions_market[Project Category (RERA)],tbl_assumptions_market[Concrete Intensity
(m³ / sq m BUA)],"",0)</f>
        <v>0.5</v>
      </c>
      <c r="L1790" s="134">
        <f>ROUND(Market_Data[[#This Row],[Estimated Built Up Area (sq m)]]*Market_Data[[#This Row],[Concrete Intensity
(m³ / sq m)]],0)</f>
        <v>5000</v>
      </c>
      <c r="M1790" s="135">
        <f>_xlfn.XLOOKUP(Market_Data[[#This Row],[District]],tbl_district_price[District],tbl_district_price[Standard Price
(INR/m³)],"",0)</f>
        <v>6200</v>
      </c>
      <c r="N1790" s="364">
        <f>IF(OR(Market_Data[[#This Row],[Estimated Concrete Demand (m³)]]="",Market_Data[[#This Row],[Avg Price per (₹ / m³)]]=""),"",Market_Data[[#This Row],[Estimated Concrete Demand (m³)]]*Market_Data[[#This Row],[Avg Price per (₹ / m³)]]/10000000)</f>
        <v>3.1</v>
      </c>
      <c r="O1790" s="97" t="str">
        <f>IF(Market_Data[[#This Row],[Estimated Concrete Demand (m³)]]="","",
IF(Market_Data[[#This Row],[Estimated Concrete Demand (m³)]]&lt;10000,"Small",
IF(Market_Data[[#This Row],[Estimated Concrete Demand (m³)]]&lt;25000,"Medium",
IF(Market_Data[[#This Row],[Estimated Concrete Demand (m³)]]&lt;100000,"Large","Mega"))))</f>
        <v>Small</v>
      </c>
      <c r="P1790" s="287" t="str">
        <f t="shared" si="29"/>
        <v>GujRERA</v>
      </c>
    </row>
    <row r="1791" spans="1:16">
      <c r="A1791" s="129" t="str">
        <f>_xlfn.XLOOKUP(B1791,$S$9:$S$14,$T$9:$T$14)&amp;"-"&amp;
IF(E1791="Residential/Group Housing","RES",
IF(E1791="Commercial","COM",
IF(E1791="Mixed Development","MIX",
IF(E1791="Plotted Development","PLT","OTH"))))
&amp;"-"&amp;TEXT(COUNTIFS($B$9:B1791,B1791,$E$9:E1791,E1791),"0000")</f>
        <v>SUR-RES-0561</v>
      </c>
      <c r="B1791" s="322" t="s">
        <v>34</v>
      </c>
      <c r="C1791" s="322" t="s">
        <v>34</v>
      </c>
      <c r="D1791" s="323" t="s">
        <v>1981</v>
      </c>
      <c r="E1791" s="132" t="s">
        <v>24</v>
      </c>
      <c r="F1791" s="97" t="str">
        <f ca="1">IF(OR(Market_Data[[#This Row],[Start Date]]="",Market_Data[[#This Row],[Completion Date]]=""),"Needs Validation",IF(Market_Data[[#This Row],[Start Date]]&gt;TODAY(),"Planned",IF(Market_Data[[#This Row],[Completion Date]]&lt;TODAY(),"Completed","Ongoing")))</f>
        <v>Ongoing</v>
      </c>
      <c r="G1791" s="324">
        <v>45904</v>
      </c>
      <c r="H1791" s="324">
        <v>47483</v>
      </c>
      <c r="I1791" s="325">
        <v>19400</v>
      </c>
      <c r="J179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91" s="133">
        <f>_xlfn.XLOOKUP(Market_Data[[#This Row],[Project Type]],tbl_assumptions_market[Project Category (RERA)],tbl_assumptions_market[Concrete Intensity
(m³ / sq m BUA)],"",0)</f>
        <v>0.45</v>
      </c>
      <c r="L1791" s="134">
        <f>ROUND(Market_Data[[#This Row],[Estimated Built Up Area (sq m)]]*Market_Data[[#This Row],[Concrete Intensity
(m³ / sq m)]],0)</f>
        <v>8730</v>
      </c>
      <c r="M1791" s="135">
        <f>_xlfn.XLOOKUP(Market_Data[[#This Row],[District]],tbl_district_price[District],tbl_district_price[Standard Price
(INR/m³)],"",0)</f>
        <v>6200</v>
      </c>
      <c r="N1791" s="364">
        <f>IF(OR(Market_Data[[#This Row],[Estimated Concrete Demand (m³)]]="",Market_Data[[#This Row],[Avg Price per (₹ / m³)]]=""),"",Market_Data[[#This Row],[Estimated Concrete Demand (m³)]]*Market_Data[[#This Row],[Avg Price per (₹ / m³)]]/10000000)</f>
        <v>5.4126000000000003</v>
      </c>
      <c r="O1791" s="97" t="str">
        <f>IF(Market_Data[[#This Row],[Estimated Concrete Demand (m³)]]="","",
IF(Market_Data[[#This Row],[Estimated Concrete Demand (m³)]]&lt;10000,"Small",
IF(Market_Data[[#This Row],[Estimated Concrete Demand (m³)]]&lt;25000,"Medium",
IF(Market_Data[[#This Row],[Estimated Concrete Demand (m³)]]&lt;100000,"Large","Mega"))))</f>
        <v>Small</v>
      </c>
      <c r="P1791" s="287" t="str">
        <f t="shared" si="29"/>
        <v>GujRERA</v>
      </c>
    </row>
    <row r="1792" spans="1:16">
      <c r="A1792" s="129" t="str">
        <f>_xlfn.XLOOKUP(B1792,$S$9:$S$14,$T$9:$T$14)&amp;"-"&amp;
IF(E1792="Residential/Group Housing","RES",
IF(E1792="Commercial","COM",
IF(E1792="Mixed Development","MIX",
IF(E1792="Plotted Development","PLT","OTH"))))
&amp;"-"&amp;TEXT(COUNTIFS($B$9:B1792,B1792,$E$9:E1792,E1792),"0000")</f>
        <v>SUR-RES-0562</v>
      </c>
      <c r="B1792" s="322" t="s">
        <v>34</v>
      </c>
      <c r="C1792" s="322" t="s">
        <v>34</v>
      </c>
      <c r="D1792" s="323" t="s">
        <v>1982</v>
      </c>
      <c r="E1792" s="132" t="s">
        <v>24</v>
      </c>
      <c r="F1792" s="97" t="str">
        <f ca="1">IF(OR(Market_Data[[#This Row],[Start Date]]="",Market_Data[[#This Row],[Completion Date]]=""),"Needs Validation",IF(Market_Data[[#This Row],[Start Date]]&gt;TODAY(),"Planned",IF(Market_Data[[#This Row],[Completion Date]]&lt;TODAY(),"Completed","Ongoing")))</f>
        <v>Ongoing</v>
      </c>
      <c r="G1792" s="324">
        <v>45274</v>
      </c>
      <c r="H1792" s="324">
        <v>46568</v>
      </c>
      <c r="I1792" s="325">
        <v>40300</v>
      </c>
      <c r="J179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92" s="133">
        <f>_xlfn.XLOOKUP(Market_Data[[#This Row],[Project Type]],tbl_assumptions_market[Project Category (RERA)],tbl_assumptions_market[Concrete Intensity
(m³ / sq m BUA)],"",0)</f>
        <v>0.45</v>
      </c>
      <c r="L1792" s="134">
        <f>ROUND(Market_Data[[#This Row],[Estimated Built Up Area (sq m)]]*Market_Data[[#This Row],[Concrete Intensity
(m³ / sq m)]],0)</f>
        <v>18135</v>
      </c>
      <c r="M1792" s="135">
        <f>_xlfn.XLOOKUP(Market_Data[[#This Row],[District]],tbl_district_price[District],tbl_district_price[Standard Price
(INR/m³)],"",0)</f>
        <v>6200</v>
      </c>
      <c r="N1792" s="364">
        <f>IF(OR(Market_Data[[#This Row],[Estimated Concrete Demand (m³)]]="",Market_Data[[#This Row],[Avg Price per (₹ / m³)]]=""),"",Market_Data[[#This Row],[Estimated Concrete Demand (m³)]]*Market_Data[[#This Row],[Avg Price per (₹ / m³)]]/10000000)</f>
        <v>11.2437</v>
      </c>
      <c r="O1792" s="97" t="str">
        <f>IF(Market_Data[[#This Row],[Estimated Concrete Demand (m³)]]="","",
IF(Market_Data[[#This Row],[Estimated Concrete Demand (m³)]]&lt;10000,"Small",
IF(Market_Data[[#This Row],[Estimated Concrete Demand (m³)]]&lt;25000,"Medium",
IF(Market_Data[[#This Row],[Estimated Concrete Demand (m³)]]&lt;100000,"Large","Mega"))))</f>
        <v>Medium</v>
      </c>
      <c r="P1792" s="287" t="str">
        <f t="shared" si="29"/>
        <v>GujRERA</v>
      </c>
    </row>
    <row r="1793" spans="1:16">
      <c r="A1793" s="129" t="str">
        <f>_xlfn.XLOOKUP(B1793,$S$9:$S$14,$T$9:$T$14)&amp;"-"&amp;
IF(E1793="Residential/Group Housing","RES",
IF(E1793="Commercial","COM",
IF(E1793="Mixed Development","MIX",
IF(E1793="Plotted Development","PLT","OTH"))))
&amp;"-"&amp;TEXT(COUNTIFS($B$9:B1793,B1793,$E$9:E1793,E1793),"0000")</f>
        <v>SUR-RES-0563</v>
      </c>
      <c r="B1793" s="322" t="s">
        <v>34</v>
      </c>
      <c r="C1793" s="322" t="s">
        <v>34</v>
      </c>
      <c r="D1793" s="323" t="s">
        <v>1983</v>
      </c>
      <c r="E1793" s="132" t="s">
        <v>24</v>
      </c>
      <c r="F1793" s="97" t="str">
        <f ca="1">IF(OR(Market_Data[[#This Row],[Start Date]]="",Market_Data[[#This Row],[Completion Date]]=""),"Needs Validation",IF(Market_Data[[#This Row],[Start Date]]&gt;TODAY(),"Planned",IF(Market_Data[[#This Row],[Completion Date]]&lt;TODAY(),"Completed","Ongoing")))</f>
        <v>Ongoing</v>
      </c>
      <c r="G1793" s="324">
        <v>44755</v>
      </c>
      <c r="H1793" s="324">
        <v>46477</v>
      </c>
      <c r="I1793" s="325">
        <v>2200</v>
      </c>
      <c r="J179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93" s="133">
        <f>_xlfn.XLOOKUP(Market_Data[[#This Row],[Project Type]],tbl_assumptions_market[Project Category (RERA)],tbl_assumptions_market[Concrete Intensity
(m³ / sq m BUA)],"",0)</f>
        <v>0.45</v>
      </c>
      <c r="L1793" s="134">
        <f>ROUND(Market_Data[[#This Row],[Estimated Built Up Area (sq m)]]*Market_Data[[#This Row],[Concrete Intensity
(m³ / sq m)]],0)</f>
        <v>990</v>
      </c>
      <c r="M1793" s="135">
        <f>_xlfn.XLOOKUP(Market_Data[[#This Row],[District]],tbl_district_price[District],tbl_district_price[Standard Price
(INR/m³)],"",0)</f>
        <v>6200</v>
      </c>
      <c r="N1793" s="364">
        <f>IF(OR(Market_Data[[#This Row],[Estimated Concrete Demand (m³)]]="",Market_Data[[#This Row],[Avg Price per (₹ / m³)]]=""),"",Market_Data[[#This Row],[Estimated Concrete Demand (m³)]]*Market_Data[[#This Row],[Avg Price per (₹ / m³)]]/10000000)</f>
        <v>0.61380000000000001</v>
      </c>
      <c r="O1793" s="97" t="str">
        <f>IF(Market_Data[[#This Row],[Estimated Concrete Demand (m³)]]="","",
IF(Market_Data[[#This Row],[Estimated Concrete Demand (m³)]]&lt;10000,"Small",
IF(Market_Data[[#This Row],[Estimated Concrete Demand (m³)]]&lt;25000,"Medium",
IF(Market_Data[[#This Row],[Estimated Concrete Demand (m³)]]&lt;100000,"Large","Mega"))))</f>
        <v>Small</v>
      </c>
      <c r="P1793" s="287" t="str">
        <f t="shared" si="29"/>
        <v>GujRERA</v>
      </c>
    </row>
    <row r="1794" spans="1:16">
      <c r="A1794" s="129" t="str">
        <f>_xlfn.XLOOKUP(B1794,$S$9:$S$14,$T$9:$T$14)&amp;"-"&amp;
IF(E1794="Residential/Group Housing","RES",
IF(E1794="Commercial","COM",
IF(E1794="Mixed Development","MIX",
IF(E1794="Plotted Development","PLT","OTH"))))
&amp;"-"&amp;TEXT(COUNTIFS($B$9:B1794,B1794,$E$9:E1794,E1794),"0000")</f>
        <v>SUR-PLT-0331</v>
      </c>
      <c r="B1794" s="322" t="s">
        <v>34</v>
      </c>
      <c r="C1794" s="322" t="s">
        <v>34</v>
      </c>
      <c r="D1794" s="323" t="s">
        <v>1984</v>
      </c>
      <c r="E1794" s="132" t="s">
        <v>26</v>
      </c>
      <c r="F1794" s="97" t="str">
        <f ca="1">IF(OR(Market_Data[[#This Row],[Start Date]]="",Market_Data[[#This Row],[Completion Date]]=""),"Needs Validation",IF(Market_Data[[#This Row],[Start Date]]&gt;TODAY(),"Planned",IF(Market_Data[[#This Row],[Completion Date]]&lt;TODAY(),"Completed","Ongoing")))</f>
        <v>Completed</v>
      </c>
      <c r="G1794" s="324">
        <v>45026</v>
      </c>
      <c r="H1794" s="324">
        <v>45747</v>
      </c>
      <c r="I1794" s="325">
        <v>32400</v>
      </c>
      <c r="J179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794" s="133">
        <f>_xlfn.XLOOKUP(Market_Data[[#This Row],[Project Type]],tbl_assumptions_market[Project Category (RERA)],tbl_assumptions_market[Concrete Intensity
(m³ / sq m BUA)],"",0)</f>
        <v>0.18</v>
      </c>
      <c r="L1794" s="134">
        <f>ROUND(Market_Data[[#This Row],[Estimated Built Up Area (sq m)]]*Market_Data[[#This Row],[Concrete Intensity
(m³ / sq m)]],0)</f>
        <v>5832</v>
      </c>
      <c r="M1794" s="135">
        <f>_xlfn.XLOOKUP(Market_Data[[#This Row],[District]],tbl_district_price[District],tbl_district_price[Standard Price
(INR/m³)],"",0)</f>
        <v>6200</v>
      </c>
      <c r="N1794" s="364">
        <f>IF(OR(Market_Data[[#This Row],[Estimated Concrete Demand (m³)]]="",Market_Data[[#This Row],[Avg Price per (₹ / m³)]]=""),"",Market_Data[[#This Row],[Estimated Concrete Demand (m³)]]*Market_Data[[#This Row],[Avg Price per (₹ / m³)]]/10000000)</f>
        <v>3.6158399999999999</v>
      </c>
      <c r="O1794" s="97" t="str">
        <f>IF(Market_Data[[#This Row],[Estimated Concrete Demand (m³)]]="","",
IF(Market_Data[[#This Row],[Estimated Concrete Demand (m³)]]&lt;10000,"Small",
IF(Market_Data[[#This Row],[Estimated Concrete Demand (m³)]]&lt;25000,"Medium",
IF(Market_Data[[#This Row],[Estimated Concrete Demand (m³)]]&lt;100000,"Large","Mega"))))</f>
        <v>Small</v>
      </c>
      <c r="P1794" s="287" t="str">
        <f t="shared" si="29"/>
        <v>GujRERA</v>
      </c>
    </row>
    <row r="1795" spans="1:16">
      <c r="A1795" s="129" t="str">
        <f>_xlfn.XLOOKUP(B1795,$S$9:$S$14,$T$9:$T$14)&amp;"-"&amp;
IF(E1795="Residential/Group Housing","RES",
IF(E1795="Commercial","COM",
IF(E1795="Mixed Development","MIX",
IF(E1795="Plotted Development","PLT","OTH"))))
&amp;"-"&amp;TEXT(COUNTIFS($B$9:B1795,B1795,$E$9:E1795,E1795),"0000")</f>
        <v>SUR-PLT-0332</v>
      </c>
      <c r="B1795" s="322" t="s">
        <v>34</v>
      </c>
      <c r="C1795" s="322" t="s">
        <v>34</v>
      </c>
      <c r="D1795" s="323" t="s">
        <v>1985</v>
      </c>
      <c r="E1795" s="132" t="s">
        <v>26</v>
      </c>
      <c r="F1795" s="97" t="str">
        <f ca="1">IF(OR(Market_Data[[#This Row],[Start Date]]="",Market_Data[[#This Row],[Completion Date]]=""),"Needs Validation",IF(Market_Data[[#This Row],[Start Date]]&gt;TODAY(),"Planned",IF(Market_Data[[#This Row],[Completion Date]]&lt;TODAY(),"Completed","Ongoing")))</f>
        <v>Completed</v>
      </c>
      <c r="G1795" s="324">
        <v>42418</v>
      </c>
      <c r="H1795" s="324">
        <v>43311</v>
      </c>
      <c r="I1795" s="325">
        <v>15900</v>
      </c>
      <c r="J179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95" s="133">
        <f>_xlfn.XLOOKUP(Market_Data[[#This Row],[Project Type]],tbl_assumptions_market[Project Category (RERA)],tbl_assumptions_market[Concrete Intensity
(m³ / sq m BUA)],"",0)</f>
        <v>0.18</v>
      </c>
      <c r="L1795" s="134">
        <f>ROUND(Market_Data[[#This Row],[Estimated Built Up Area (sq m)]]*Market_Data[[#This Row],[Concrete Intensity
(m³ / sq m)]],0)</f>
        <v>2862</v>
      </c>
      <c r="M1795" s="135">
        <f>_xlfn.XLOOKUP(Market_Data[[#This Row],[District]],tbl_district_price[District],tbl_district_price[Standard Price
(INR/m³)],"",0)</f>
        <v>6200</v>
      </c>
      <c r="N1795" s="364">
        <f>IF(OR(Market_Data[[#This Row],[Estimated Concrete Demand (m³)]]="",Market_Data[[#This Row],[Avg Price per (₹ / m³)]]=""),"",Market_Data[[#This Row],[Estimated Concrete Demand (m³)]]*Market_Data[[#This Row],[Avg Price per (₹ / m³)]]/10000000)</f>
        <v>1.77444</v>
      </c>
      <c r="O1795" s="97" t="str">
        <f>IF(Market_Data[[#This Row],[Estimated Concrete Demand (m³)]]="","",
IF(Market_Data[[#This Row],[Estimated Concrete Demand (m³)]]&lt;10000,"Small",
IF(Market_Data[[#This Row],[Estimated Concrete Demand (m³)]]&lt;25000,"Medium",
IF(Market_Data[[#This Row],[Estimated Concrete Demand (m³)]]&lt;100000,"Large","Mega"))))</f>
        <v>Small</v>
      </c>
      <c r="P1795" s="287" t="str">
        <f t="shared" si="29"/>
        <v>GujRERA</v>
      </c>
    </row>
    <row r="1796" spans="1:16">
      <c r="A1796" s="129" t="str">
        <f>_xlfn.XLOOKUP(B1796,$S$9:$S$14,$T$9:$T$14)&amp;"-"&amp;
IF(E1796="Residential/Group Housing","RES",
IF(E1796="Commercial","COM",
IF(E1796="Mixed Development","MIX",
IF(E1796="Plotted Development","PLT","OTH"))))
&amp;"-"&amp;TEXT(COUNTIFS($B$9:B1796,B1796,$E$9:E1796,E1796),"0000")</f>
        <v>SUR-MIX-0288</v>
      </c>
      <c r="B1796" s="322" t="s">
        <v>34</v>
      </c>
      <c r="C1796" s="322" t="s">
        <v>34</v>
      </c>
      <c r="D1796" s="323" t="s">
        <v>1986</v>
      </c>
      <c r="E1796" s="132" t="s">
        <v>25</v>
      </c>
      <c r="F1796" s="97" t="str">
        <f ca="1">IF(OR(Market_Data[[#This Row],[Start Date]]="",Market_Data[[#This Row],[Completion Date]]=""),"Needs Validation",IF(Market_Data[[#This Row],[Start Date]]&gt;TODAY(),"Planned",IF(Market_Data[[#This Row],[Completion Date]]&lt;TODAY(),"Completed","Ongoing")))</f>
        <v>Completed</v>
      </c>
      <c r="G1796" s="324">
        <v>44228</v>
      </c>
      <c r="H1796" s="324">
        <v>45292</v>
      </c>
      <c r="I1796" s="325">
        <v>25600</v>
      </c>
      <c r="J179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96" s="133">
        <f>_xlfn.XLOOKUP(Market_Data[[#This Row],[Project Type]],tbl_assumptions_market[Project Category (RERA)],tbl_assumptions_market[Concrete Intensity
(m³ / sq m BUA)],"",0)</f>
        <v>0.42</v>
      </c>
      <c r="L1796" s="134">
        <f>ROUND(Market_Data[[#This Row],[Estimated Built Up Area (sq m)]]*Market_Data[[#This Row],[Concrete Intensity
(m³ / sq m)]],0)</f>
        <v>10752</v>
      </c>
      <c r="M1796" s="135">
        <f>_xlfn.XLOOKUP(Market_Data[[#This Row],[District]],tbl_district_price[District],tbl_district_price[Standard Price
(INR/m³)],"",0)</f>
        <v>6200</v>
      </c>
      <c r="N1796" s="364">
        <f>IF(OR(Market_Data[[#This Row],[Estimated Concrete Demand (m³)]]="",Market_Data[[#This Row],[Avg Price per (₹ / m³)]]=""),"",Market_Data[[#This Row],[Estimated Concrete Demand (m³)]]*Market_Data[[#This Row],[Avg Price per (₹ / m³)]]/10000000)</f>
        <v>6.6662400000000002</v>
      </c>
      <c r="O1796" s="97" t="str">
        <f>IF(Market_Data[[#This Row],[Estimated Concrete Demand (m³)]]="","",
IF(Market_Data[[#This Row],[Estimated Concrete Demand (m³)]]&lt;10000,"Small",
IF(Market_Data[[#This Row],[Estimated Concrete Demand (m³)]]&lt;25000,"Medium",
IF(Market_Data[[#This Row],[Estimated Concrete Demand (m³)]]&lt;100000,"Large","Mega"))))</f>
        <v>Medium</v>
      </c>
      <c r="P1796" s="287" t="str">
        <f t="shared" si="29"/>
        <v>GujRERA</v>
      </c>
    </row>
    <row r="1797" spans="1:16">
      <c r="A1797" s="129" t="str">
        <f>_xlfn.XLOOKUP(B1797,$S$9:$S$14,$T$9:$T$14)&amp;"-"&amp;
IF(E1797="Residential/Group Housing","RES",
IF(E1797="Commercial","COM",
IF(E1797="Mixed Development","MIX",
IF(E1797="Plotted Development","PLT","OTH"))))
&amp;"-"&amp;TEXT(COUNTIFS($B$9:B1797,B1797,$E$9:E1797,E1797),"0000")</f>
        <v>SUR-RES-0564</v>
      </c>
      <c r="B1797" s="322" t="s">
        <v>34</v>
      </c>
      <c r="C1797" s="322" t="s">
        <v>34</v>
      </c>
      <c r="D1797" s="323" t="s">
        <v>1987</v>
      </c>
      <c r="E1797" s="132" t="s">
        <v>24</v>
      </c>
      <c r="F1797" s="97" t="str">
        <f ca="1">IF(OR(Market_Data[[#This Row],[Start Date]]="",Market_Data[[#This Row],[Completion Date]]=""),"Needs Validation",IF(Market_Data[[#This Row],[Start Date]]&gt;TODAY(),"Planned",IF(Market_Data[[#This Row],[Completion Date]]&lt;TODAY(),"Completed","Ongoing")))</f>
        <v>Completed</v>
      </c>
      <c r="G1797" s="324">
        <v>43344</v>
      </c>
      <c r="H1797" s="324">
        <v>45565</v>
      </c>
      <c r="I1797" s="325">
        <v>45900</v>
      </c>
      <c r="J179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97" s="133">
        <f>_xlfn.XLOOKUP(Market_Data[[#This Row],[Project Type]],tbl_assumptions_market[Project Category (RERA)],tbl_assumptions_market[Concrete Intensity
(m³ / sq m BUA)],"",0)</f>
        <v>0.45</v>
      </c>
      <c r="L1797" s="134">
        <f>ROUND(Market_Data[[#This Row],[Estimated Built Up Area (sq m)]]*Market_Data[[#This Row],[Concrete Intensity
(m³ / sq m)]],0)</f>
        <v>20655</v>
      </c>
      <c r="M1797" s="135">
        <f>_xlfn.XLOOKUP(Market_Data[[#This Row],[District]],tbl_district_price[District],tbl_district_price[Standard Price
(INR/m³)],"",0)</f>
        <v>6200</v>
      </c>
      <c r="N1797" s="364">
        <f>IF(OR(Market_Data[[#This Row],[Estimated Concrete Demand (m³)]]="",Market_Data[[#This Row],[Avg Price per (₹ / m³)]]=""),"",Market_Data[[#This Row],[Estimated Concrete Demand (m³)]]*Market_Data[[#This Row],[Avg Price per (₹ / m³)]]/10000000)</f>
        <v>12.806100000000001</v>
      </c>
      <c r="O1797" s="97" t="str">
        <f>IF(Market_Data[[#This Row],[Estimated Concrete Demand (m³)]]="","",
IF(Market_Data[[#This Row],[Estimated Concrete Demand (m³)]]&lt;10000,"Small",
IF(Market_Data[[#This Row],[Estimated Concrete Demand (m³)]]&lt;25000,"Medium",
IF(Market_Data[[#This Row],[Estimated Concrete Demand (m³)]]&lt;100000,"Large","Mega"))))</f>
        <v>Medium</v>
      </c>
      <c r="P1797" s="287" t="str">
        <f t="shared" si="29"/>
        <v>GujRERA</v>
      </c>
    </row>
    <row r="1798" spans="1:16">
      <c r="A1798" s="129" t="str">
        <f>_xlfn.XLOOKUP(B1798,$S$9:$S$14,$T$9:$T$14)&amp;"-"&amp;
IF(E1798="Residential/Group Housing","RES",
IF(E1798="Commercial","COM",
IF(E1798="Mixed Development","MIX",
IF(E1798="Plotted Development","PLT","OTH"))))
&amp;"-"&amp;TEXT(COUNTIFS($B$9:B1798,B1798,$E$9:E1798,E1798),"0000")</f>
        <v>SUR-COM-0296</v>
      </c>
      <c r="B1798" s="322" t="s">
        <v>34</v>
      </c>
      <c r="C1798" s="322" t="s">
        <v>34</v>
      </c>
      <c r="D1798" s="323" t="s">
        <v>1988</v>
      </c>
      <c r="E1798" s="132" t="s">
        <v>23</v>
      </c>
      <c r="F1798" s="97" t="str">
        <f ca="1">IF(OR(Market_Data[[#This Row],[Start Date]]="",Market_Data[[#This Row],[Completion Date]]=""),"Needs Validation",IF(Market_Data[[#This Row],[Start Date]]&gt;TODAY(),"Planned",IF(Market_Data[[#This Row],[Completion Date]]&lt;TODAY(),"Completed","Ongoing")))</f>
        <v>Completed</v>
      </c>
      <c r="G1798" s="324">
        <v>44713</v>
      </c>
      <c r="H1798" s="324">
        <v>45747</v>
      </c>
      <c r="I1798" s="325">
        <v>34600</v>
      </c>
      <c r="J179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798" s="133">
        <f>_xlfn.XLOOKUP(Market_Data[[#This Row],[Project Type]],tbl_assumptions_market[Project Category (RERA)],tbl_assumptions_market[Concrete Intensity
(m³ / sq m BUA)],"",0)</f>
        <v>0.5</v>
      </c>
      <c r="L1798" s="134">
        <f>ROUND(Market_Data[[#This Row],[Estimated Built Up Area (sq m)]]*Market_Data[[#This Row],[Concrete Intensity
(m³ / sq m)]],0)</f>
        <v>17300</v>
      </c>
      <c r="M1798" s="135">
        <f>_xlfn.XLOOKUP(Market_Data[[#This Row],[District]],tbl_district_price[District],tbl_district_price[Standard Price
(INR/m³)],"",0)</f>
        <v>6200</v>
      </c>
      <c r="N1798" s="364">
        <f>IF(OR(Market_Data[[#This Row],[Estimated Concrete Demand (m³)]]="",Market_Data[[#This Row],[Avg Price per (₹ / m³)]]=""),"",Market_Data[[#This Row],[Estimated Concrete Demand (m³)]]*Market_Data[[#This Row],[Avg Price per (₹ / m³)]]/10000000)</f>
        <v>10.726000000000001</v>
      </c>
      <c r="O1798" s="97" t="str">
        <f>IF(Market_Data[[#This Row],[Estimated Concrete Demand (m³)]]="","",
IF(Market_Data[[#This Row],[Estimated Concrete Demand (m³)]]&lt;10000,"Small",
IF(Market_Data[[#This Row],[Estimated Concrete Demand (m³)]]&lt;25000,"Medium",
IF(Market_Data[[#This Row],[Estimated Concrete Demand (m³)]]&lt;100000,"Large","Mega"))))</f>
        <v>Medium</v>
      </c>
      <c r="P1798" s="287" t="str">
        <f t="shared" si="29"/>
        <v>GujRERA</v>
      </c>
    </row>
    <row r="1799" spans="1:16">
      <c r="A1799" s="129" t="str">
        <f>_xlfn.XLOOKUP(B1799,$S$9:$S$14,$T$9:$T$14)&amp;"-"&amp;
IF(E1799="Residential/Group Housing","RES",
IF(E1799="Commercial","COM",
IF(E1799="Mixed Development","MIX",
IF(E1799="Plotted Development","PLT","OTH"))))
&amp;"-"&amp;TEXT(COUNTIFS($B$9:B1799,B1799,$E$9:E1799,E1799),"0000")</f>
        <v>SUR-PLT-0333</v>
      </c>
      <c r="B1799" s="322" t="s">
        <v>34</v>
      </c>
      <c r="C1799" s="322" t="s">
        <v>34</v>
      </c>
      <c r="D1799" s="323" t="s">
        <v>1989</v>
      </c>
      <c r="E1799" s="132" t="s">
        <v>26</v>
      </c>
      <c r="F1799" s="97" t="str">
        <f ca="1">IF(OR(Market_Data[[#This Row],[Start Date]]="",Market_Data[[#This Row],[Completion Date]]=""),"Needs Validation",IF(Market_Data[[#This Row],[Start Date]]&gt;TODAY(),"Planned",IF(Market_Data[[#This Row],[Completion Date]]&lt;TODAY(),"Completed","Ongoing")))</f>
        <v>Ongoing</v>
      </c>
      <c r="G1799" s="324">
        <v>45810</v>
      </c>
      <c r="H1799" s="324">
        <v>46477</v>
      </c>
      <c r="I1799" s="325">
        <v>14800</v>
      </c>
      <c r="J179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799" s="133">
        <f>_xlfn.XLOOKUP(Market_Data[[#This Row],[Project Type]],tbl_assumptions_market[Project Category (RERA)],tbl_assumptions_market[Concrete Intensity
(m³ / sq m BUA)],"",0)</f>
        <v>0.18</v>
      </c>
      <c r="L1799" s="134">
        <f>ROUND(Market_Data[[#This Row],[Estimated Built Up Area (sq m)]]*Market_Data[[#This Row],[Concrete Intensity
(m³ / sq m)]],0)</f>
        <v>2664</v>
      </c>
      <c r="M1799" s="135">
        <f>_xlfn.XLOOKUP(Market_Data[[#This Row],[District]],tbl_district_price[District],tbl_district_price[Standard Price
(INR/m³)],"",0)</f>
        <v>6200</v>
      </c>
      <c r="N1799" s="364">
        <f>IF(OR(Market_Data[[#This Row],[Estimated Concrete Demand (m³)]]="",Market_Data[[#This Row],[Avg Price per (₹ / m³)]]=""),"",Market_Data[[#This Row],[Estimated Concrete Demand (m³)]]*Market_Data[[#This Row],[Avg Price per (₹ / m³)]]/10000000)</f>
        <v>1.65168</v>
      </c>
      <c r="O1799" s="97" t="str">
        <f>IF(Market_Data[[#This Row],[Estimated Concrete Demand (m³)]]="","",
IF(Market_Data[[#This Row],[Estimated Concrete Demand (m³)]]&lt;10000,"Small",
IF(Market_Data[[#This Row],[Estimated Concrete Demand (m³)]]&lt;25000,"Medium",
IF(Market_Data[[#This Row],[Estimated Concrete Demand (m³)]]&lt;100000,"Large","Mega"))))</f>
        <v>Small</v>
      </c>
      <c r="P1799" s="287" t="str">
        <f t="shared" si="29"/>
        <v>GujRERA</v>
      </c>
    </row>
    <row r="1800" spans="1:16">
      <c r="A1800" s="129" t="str">
        <f>_xlfn.XLOOKUP(B1800,$S$9:$S$14,$T$9:$T$14)&amp;"-"&amp;
IF(E1800="Residential/Group Housing","RES",
IF(E1800="Commercial","COM",
IF(E1800="Mixed Development","MIX",
IF(E1800="Plotted Development","PLT","OTH"))))
&amp;"-"&amp;TEXT(COUNTIFS($B$9:B1800,B1800,$E$9:E1800,E1800),"0000")</f>
        <v>SUR-MIX-0289</v>
      </c>
      <c r="B1800" s="322" t="s">
        <v>34</v>
      </c>
      <c r="C1800" s="322" t="s">
        <v>34</v>
      </c>
      <c r="D1800" s="323" t="s">
        <v>1990</v>
      </c>
      <c r="E1800" s="132" t="s">
        <v>25</v>
      </c>
      <c r="F1800" s="97" t="str">
        <f ca="1">IF(OR(Market_Data[[#This Row],[Start Date]]="",Market_Data[[#This Row],[Completion Date]]=""),"Needs Validation",IF(Market_Data[[#This Row],[Start Date]]&gt;TODAY(),"Planned",IF(Market_Data[[#This Row],[Completion Date]]&lt;TODAY(),"Completed","Ongoing")))</f>
        <v>Ongoing</v>
      </c>
      <c r="G1800" s="324">
        <v>45044</v>
      </c>
      <c r="H1800" s="324">
        <v>46477</v>
      </c>
      <c r="I1800" s="325">
        <v>40900</v>
      </c>
      <c r="J180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00" s="133">
        <f>_xlfn.XLOOKUP(Market_Data[[#This Row],[Project Type]],tbl_assumptions_market[Project Category (RERA)],tbl_assumptions_market[Concrete Intensity
(m³ / sq m BUA)],"",0)</f>
        <v>0.42</v>
      </c>
      <c r="L1800" s="134">
        <f>ROUND(Market_Data[[#This Row],[Estimated Built Up Area (sq m)]]*Market_Data[[#This Row],[Concrete Intensity
(m³ / sq m)]],0)</f>
        <v>17178</v>
      </c>
      <c r="M1800" s="135">
        <f>_xlfn.XLOOKUP(Market_Data[[#This Row],[District]],tbl_district_price[District],tbl_district_price[Standard Price
(INR/m³)],"",0)</f>
        <v>6200</v>
      </c>
      <c r="N1800" s="364">
        <f>IF(OR(Market_Data[[#This Row],[Estimated Concrete Demand (m³)]]="",Market_Data[[#This Row],[Avg Price per (₹ / m³)]]=""),"",Market_Data[[#This Row],[Estimated Concrete Demand (m³)]]*Market_Data[[#This Row],[Avg Price per (₹ / m³)]]/10000000)</f>
        <v>10.650359999999999</v>
      </c>
      <c r="O1800" s="97" t="str">
        <f>IF(Market_Data[[#This Row],[Estimated Concrete Demand (m³)]]="","",
IF(Market_Data[[#This Row],[Estimated Concrete Demand (m³)]]&lt;10000,"Small",
IF(Market_Data[[#This Row],[Estimated Concrete Demand (m³)]]&lt;25000,"Medium",
IF(Market_Data[[#This Row],[Estimated Concrete Demand (m³)]]&lt;100000,"Large","Mega"))))</f>
        <v>Medium</v>
      </c>
      <c r="P1800" s="287" t="str">
        <f t="shared" si="29"/>
        <v>GujRERA</v>
      </c>
    </row>
    <row r="1801" spans="1:16">
      <c r="A1801" s="129" t="str">
        <f>_xlfn.XLOOKUP(B1801,$S$9:$S$14,$T$9:$T$14)&amp;"-"&amp;
IF(E1801="Residential/Group Housing","RES",
IF(E1801="Commercial","COM",
IF(E1801="Mixed Development","MIX",
IF(E1801="Plotted Development","PLT","OTH"))))
&amp;"-"&amp;TEXT(COUNTIFS($B$9:B1801,B1801,$E$9:E1801,E1801),"0000")</f>
        <v>SUR-RES-0565</v>
      </c>
      <c r="B1801" s="322" t="s">
        <v>34</v>
      </c>
      <c r="C1801" s="322" t="s">
        <v>34</v>
      </c>
      <c r="D1801" s="323" t="s">
        <v>1991</v>
      </c>
      <c r="E1801" s="132" t="s">
        <v>24</v>
      </c>
      <c r="F1801" s="97" t="str">
        <f ca="1">IF(OR(Market_Data[[#This Row],[Start Date]]="",Market_Data[[#This Row],[Completion Date]]=""),"Needs Validation",IF(Market_Data[[#This Row],[Start Date]]&gt;TODAY(),"Planned",IF(Market_Data[[#This Row],[Completion Date]]&lt;TODAY(),"Completed","Ongoing")))</f>
        <v>Completed</v>
      </c>
      <c r="G1801" s="324">
        <v>43191</v>
      </c>
      <c r="H1801" s="324">
        <v>44835</v>
      </c>
      <c r="I1801" s="325">
        <v>41400</v>
      </c>
      <c r="J180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01" s="133">
        <f>_xlfn.XLOOKUP(Market_Data[[#This Row],[Project Type]],tbl_assumptions_market[Project Category (RERA)],tbl_assumptions_market[Concrete Intensity
(m³ / sq m BUA)],"",0)</f>
        <v>0.45</v>
      </c>
      <c r="L1801" s="134">
        <f>ROUND(Market_Data[[#This Row],[Estimated Built Up Area (sq m)]]*Market_Data[[#This Row],[Concrete Intensity
(m³ / sq m)]],0)</f>
        <v>18630</v>
      </c>
      <c r="M1801" s="135">
        <f>_xlfn.XLOOKUP(Market_Data[[#This Row],[District]],tbl_district_price[District],tbl_district_price[Standard Price
(INR/m³)],"",0)</f>
        <v>6200</v>
      </c>
      <c r="N1801" s="364">
        <f>IF(OR(Market_Data[[#This Row],[Estimated Concrete Demand (m³)]]="",Market_Data[[#This Row],[Avg Price per (₹ / m³)]]=""),"",Market_Data[[#This Row],[Estimated Concrete Demand (m³)]]*Market_Data[[#This Row],[Avg Price per (₹ / m³)]]/10000000)</f>
        <v>11.550599999999999</v>
      </c>
      <c r="O1801" s="97" t="str">
        <f>IF(Market_Data[[#This Row],[Estimated Concrete Demand (m³)]]="","",
IF(Market_Data[[#This Row],[Estimated Concrete Demand (m³)]]&lt;10000,"Small",
IF(Market_Data[[#This Row],[Estimated Concrete Demand (m³)]]&lt;25000,"Medium",
IF(Market_Data[[#This Row],[Estimated Concrete Demand (m³)]]&lt;100000,"Large","Mega"))))</f>
        <v>Medium</v>
      </c>
      <c r="P1801" s="287" t="str">
        <f t="shared" si="29"/>
        <v>GujRERA</v>
      </c>
    </row>
    <row r="1802" spans="1:16">
      <c r="A1802" s="129" t="str">
        <f>_xlfn.XLOOKUP(B1802,$S$9:$S$14,$T$9:$T$14)&amp;"-"&amp;
IF(E1802="Residential/Group Housing","RES",
IF(E1802="Commercial","COM",
IF(E1802="Mixed Development","MIX",
IF(E1802="Plotted Development","PLT","OTH"))))
&amp;"-"&amp;TEXT(COUNTIFS($B$9:B1802,B1802,$E$9:E1802,E1802),"0000")</f>
        <v>SUR-MIX-0290</v>
      </c>
      <c r="B1802" s="322" t="s">
        <v>34</v>
      </c>
      <c r="C1802" s="322" t="s">
        <v>34</v>
      </c>
      <c r="D1802" s="323" t="s">
        <v>1992</v>
      </c>
      <c r="E1802" s="132" t="s">
        <v>25</v>
      </c>
      <c r="F1802" s="97" t="str">
        <f ca="1">IF(OR(Market_Data[[#This Row],[Start Date]]="",Market_Data[[#This Row],[Completion Date]]=""),"Needs Validation",IF(Market_Data[[#This Row],[Start Date]]&gt;TODAY(),"Planned",IF(Market_Data[[#This Row],[Completion Date]]&lt;TODAY(),"Completed","Ongoing")))</f>
        <v>Ongoing</v>
      </c>
      <c r="G1802" s="324">
        <v>45359</v>
      </c>
      <c r="H1802" s="324">
        <v>47483</v>
      </c>
      <c r="I1802" s="325">
        <v>13800</v>
      </c>
      <c r="J180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02" s="133">
        <f>_xlfn.XLOOKUP(Market_Data[[#This Row],[Project Type]],tbl_assumptions_market[Project Category (RERA)],tbl_assumptions_market[Concrete Intensity
(m³ / sq m BUA)],"",0)</f>
        <v>0.42</v>
      </c>
      <c r="L1802" s="134">
        <f>ROUND(Market_Data[[#This Row],[Estimated Built Up Area (sq m)]]*Market_Data[[#This Row],[Concrete Intensity
(m³ / sq m)]],0)</f>
        <v>5796</v>
      </c>
      <c r="M1802" s="135">
        <f>_xlfn.XLOOKUP(Market_Data[[#This Row],[District]],tbl_district_price[District],tbl_district_price[Standard Price
(INR/m³)],"",0)</f>
        <v>6200</v>
      </c>
      <c r="N1802" s="364">
        <f>IF(OR(Market_Data[[#This Row],[Estimated Concrete Demand (m³)]]="",Market_Data[[#This Row],[Avg Price per (₹ / m³)]]=""),"",Market_Data[[#This Row],[Estimated Concrete Demand (m³)]]*Market_Data[[#This Row],[Avg Price per (₹ / m³)]]/10000000)</f>
        <v>3.5935199999999998</v>
      </c>
      <c r="O1802" s="97" t="str">
        <f>IF(Market_Data[[#This Row],[Estimated Concrete Demand (m³)]]="","",
IF(Market_Data[[#This Row],[Estimated Concrete Demand (m³)]]&lt;10000,"Small",
IF(Market_Data[[#This Row],[Estimated Concrete Demand (m³)]]&lt;25000,"Medium",
IF(Market_Data[[#This Row],[Estimated Concrete Demand (m³)]]&lt;100000,"Large","Mega"))))</f>
        <v>Small</v>
      </c>
      <c r="P1802" s="287" t="str">
        <f t="shared" ref="P1802:P1865" si="30">HYPERLINK(
"https://gujrera.gujarat.gov.in",
"GujRERA")</f>
        <v>GujRERA</v>
      </c>
    </row>
    <row r="1803" spans="1:16">
      <c r="A1803" s="129" t="str">
        <f>_xlfn.XLOOKUP(B1803,$S$9:$S$14,$T$9:$T$14)&amp;"-"&amp;
IF(E1803="Residential/Group Housing","RES",
IF(E1803="Commercial","COM",
IF(E1803="Mixed Development","MIX",
IF(E1803="Plotted Development","PLT","OTH"))))
&amp;"-"&amp;TEXT(COUNTIFS($B$9:B1803,B1803,$E$9:E1803,E1803),"0000")</f>
        <v>SUR-RES-0566</v>
      </c>
      <c r="B1803" s="322" t="s">
        <v>34</v>
      </c>
      <c r="C1803" s="322" t="s">
        <v>34</v>
      </c>
      <c r="D1803" s="323" t="s">
        <v>1993</v>
      </c>
      <c r="E1803" s="132" t="s">
        <v>24</v>
      </c>
      <c r="F1803" s="97" t="str">
        <f ca="1">IF(OR(Market_Data[[#This Row],[Start Date]]="",Market_Data[[#This Row],[Completion Date]]=""),"Needs Validation",IF(Market_Data[[#This Row],[Start Date]]&gt;TODAY(),"Planned",IF(Market_Data[[#This Row],[Completion Date]]&lt;TODAY(),"Completed","Ongoing")))</f>
        <v>Ongoing</v>
      </c>
      <c r="G1803" s="324">
        <v>45158</v>
      </c>
      <c r="H1803" s="324">
        <v>47725</v>
      </c>
      <c r="I1803" s="325">
        <v>32500</v>
      </c>
      <c r="J180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03" s="133">
        <f>_xlfn.XLOOKUP(Market_Data[[#This Row],[Project Type]],tbl_assumptions_market[Project Category (RERA)],tbl_assumptions_market[Concrete Intensity
(m³ / sq m BUA)],"",0)</f>
        <v>0.45</v>
      </c>
      <c r="L1803" s="134">
        <f>ROUND(Market_Data[[#This Row],[Estimated Built Up Area (sq m)]]*Market_Data[[#This Row],[Concrete Intensity
(m³ / sq m)]],0)</f>
        <v>14625</v>
      </c>
      <c r="M1803" s="135">
        <f>_xlfn.XLOOKUP(Market_Data[[#This Row],[District]],tbl_district_price[District],tbl_district_price[Standard Price
(INR/m³)],"",0)</f>
        <v>6200</v>
      </c>
      <c r="N1803" s="364">
        <f>IF(OR(Market_Data[[#This Row],[Estimated Concrete Demand (m³)]]="",Market_Data[[#This Row],[Avg Price per (₹ / m³)]]=""),"",Market_Data[[#This Row],[Estimated Concrete Demand (m³)]]*Market_Data[[#This Row],[Avg Price per (₹ / m³)]]/10000000)</f>
        <v>9.0675000000000008</v>
      </c>
      <c r="O1803" s="97" t="str">
        <f>IF(Market_Data[[#This Row],[Estimated Concrete Demand (m³)]]="","",
IF(Market_Data[[#This Row],[Estimated Concrete Demand (m³)]]&lt;10000,"Small",
IF(Market_Data[[#This Row],[Estimated Concrete Demand (m³)]]&lt;25000,"Medium",
IF(Market_Data[[#This Row],[Estimated Concrete Demand (m³)]]&lt;100000,"Large","Mega"))))</f>
        <v>Medium</v>
      </c>
      <c r="P1803" s="287" t="str">
        <f t="shared" si="30"/>
        <v>GujRERA</v>
      </c>
    </row>
    <row r="1804" spans="1:16">
      <c r="A1804" s="129" t="str">
        <f>_xlfn.XLOOKUP(B1804,$S$9:$S$14,$T$9:$T$14)&amp;"-"&amp;
IF(E1804="Residential/Group Housing","RES",
IF(E1804="Commercial","COM",
IF(E1804="Mixed Development","MIX",
IF(E1804="Plotted Development","PLT","OTH"))))
&amp;"-"&amp;TEXT(COUNTIFS($B$9:B1804,B1804,$E$9:E1804,E1804),"0000")</f>
        <v>SUR-MIX-0291</v>
      </c>
      <c r="B1804" s="322" t="s">
        <v>34</v>
      </c>
      <c r="C1804" s="322" t="s">
        <v>34</v>
      </c>
      <c r="D1804" s="323" t="s">
        <v>1994</v>
      </c>
      <c r="E1804" s="132" t="s">
        <v>25</v>
      </c>
      <c r="F1804" s="97" t="str">
        <f ca="1">IF(OR(Market_Data[[#This Row],[Start Date]]="",Market_Data[[#This Row],[Completion Date]]=""),"Needs Validation",IF(Market_Data[[#This Row],[Start Date]]&gt;TODAY(),"Planned",IF(Market_Data[[#This Row],[Completion Date]]&lt;TODAY(),"Completed","Ongoing")))</f>
        <v>Completed</v>
      </c>
      <c r="G1804" s="324">
        <v>44136</v>
      </c>
      <c r="H1804" s="324">
        <v>46022</v>
      </c>
      <c r="I1804" s="325">
        <v>33500</v>
      </c>
      <c r="J180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04" s="133">
        <f>_xlfn.XLOOKUP(Market_Data[[#This Row],[Project Type]],tbl_assumptions_market[Project Category (RERA)],tbl_assumptions_market[Concrete Intensity
(m³ / sq m BUA)],"",0)</f>
        <v>0.42</v>
      </c>
      <c r="L1804" s="134">
        <f>ROUND(Market_Data[[#This Row],[Estimated Built Up Area (sq m)]]*Market_Data[[#This Row],[Concrete Intensity
(m³ / sq m)]],0)</f>
        <v>14070</v>
      </c>
      <c r="M1804" s="135">
        <f>_xlfn.XLOOKUP(Market_Data[[#This Row],[District]],tbl_district_price[District],tbl_district_price[Standard Price
(INR/m³)],"",0)</f>
        <v>6200</v>
      </c>
      <c r="N1804" s="364">
        <f>IF(OR(Market_Data[[#This Row],[Estimated Concrete Demand (m³)]]="",Market_Data[[#This Row],[Avg Price per (₹ / m³)]]=""),"",Market_Data[[#This Row],[Estimated Concrete Demand (m³)]]*Market_Data[[#This Row],[Avg Price per (₹ / m³)]]/10000000)</f>
        <v>8.7233999999999998</v>
      </c>
      <c r="O1804" s="97" t="str">
        <f>IF(Market_Data[[#This Row],[Estimated Concrete Demand (m³)]]="","",
IF(Market_Data[[#This Row],[Estimated Concrete Demand (m³)]]&lt;10000,"Small",
IF(Market_Data[[#This Row],[Estimated Concrete Demand (m³)]]&lt;25000,"Medium",
IF(Market_Data[[#This Row],[Estimated Concrete Demand (m³)]]&lt;100000,"Large","Mega"))))</f>
        <v>Medium</v>
      </c>
      <c r="P1804" s="287" t="str">
        <f t="shared" si="30"/>
        <v>GujRERA</v>
      </c>
    </row>
    <row r="1805" spans="1:16">
      <c r="A1805" s="129" t="str">
        <f>_xlfn.XLOOKUP(B1805,$S$9:$S$14,$T$9:$T$14)&amp;"-"&amp;
IF(E1805="Residential/Group Housing","RES",
IF(E1805="Commercial","COM",
IF(E1805="Mixed Development","MIX",
IF(E1805="Plotted Development","PLT","OTH"))))
&amp;"-"&amp;TEXT(COUNTIFS($B$9:B1805,B1805,$E$9:E1805,E1805),"0000")</f>
        <v>SUR-RES-0567</v>
      </c>
      <c r="B1805" s="322" t="s">
        <v>34</v>
      </c>
      <c r="C1805" s="322" t="s">
        <v>34</v>
      </c>
      <c r="D1805" s="323" t="s">
        <v>1995</v>
      </c>
      <c r="E1805" s="132" t="s">
        <v>24</v>
      </c>
      <c r="F1805" s="97" t="str">
        <f ca="1">IF(OR(Market_Data[[#This Row],[Start Date]]="",Market_Data[[#This Row],[Completion Date]]=""),"Needs Validation",IF(Market_Data[[#This Row],[Start Date]]&gt;TODAY(),"Planned",IF(Market_Data[[#This Row],[Completion Date]]&lt;TODAY(),"Completed","Ongoing")))</f>
        <v>Completed</v>
      </c>
      <c r="G1805" s="324">
        <v>44393</v>
      </c>
      <c r="H1805" s="324">
        <v>46022</v>
      </c>
      <c r="I1805" s="325">
        <v>37900</v>
      </c>
      <c r="J180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05" s="133">
        <f>_xlfn.XLOOKUP(Market_Data[[#This Row],[Project Type]],tbl_assumptions_market[Project Category (RERA)],tbl_assumptions_market[Concrete Intensity
(m³ / sq m BUA)],"",0)</f>
        <v>0.45</v>
      </c>
      <c r="L1805" s="134">
        <f>ROUND(Market_Data[[#This Row],[Estimated Built Up Area (sq m)]]*Market_Data[[#This Row],[Concrete Intensity
(m³ / sq m)]],0)</f>
        <v>17055</v>
      </c>
      <c r="M1805" s="135">
        <f>_xlfn.XLOOKUP(Market_Data[[#This Row],[District]],tbl_district_price[District],tbl_district_price[Standard Price
(INR/m³)],"",0)</f>
        <v>6200</v>
      </c>
      <c r="N1805" s="364">
        <f>IF(OR(Market_Data[[#This Row],[Estimated Concrete Demand (m³)]]="",Market_Data[[#This Row],[Avg Price per (₹ / m³)]]=""),"",Market_Data[[#This Row],[Estimated Concrete Demand (m³)]]*Market_Data[[#This Row],[Avg Price per (₹ / m³)]]/10000000)</f>
        <v>10.5741</v>
      </c>
      <c r="O1805" s="97" t="str">
        <f>IF(Market_Data[[#This Row],[Estimated Concrete Demand (m³)]]="","",
IF(Market_Data[[#This Row],[Estimated Concrete Demand (m³)]]&lt;10000,"Small",
IF(Market_Data[[#This Row],[Estimated Concrete Demand (m³)]]&lt;25000,"Medium",
IF(Market_Data[[#This Row],[Estimated Concrete Demand (m³)]]&lt;100000,"Large","Mega"))))</f>
        <v>Medium</v>
      </c>
      <c r="P1805" s="287" t="str">
        <f t="shared" si="30"/>
        <v>GujRERA</v>
      </c>
    </row>
    <row r="1806" spans="1:16">
      <c r="A1806" s="129" t="str">
        <f>_xlfn.XLOOKUP(B1806,$S$9:$S$14,$T$9:$T$14)&amp;"-"&amp;
IF(E1806="Residential/Group Housing","RES",
IF(E1806="Commercial","COM",
IF(E1806="Mixed Development","MIX",
IF(E1806="Plotted Development","PLT","OTH"))))
&amp;"-"&amp;TEXT(COUNTIFS($B$9:B1806,B1806,$E$9:E1806,E1806),"0000")</f>
        <v>SUR-RES-0568</v>
      </c>
      <c r="B1806" s="322" t="s">
        <v>34</v>
      </c>
      <c r="C1806" s="322" t="s">
        <v>34</v>
      </c>
      <c r="D1806" s="323" t="s">
        <v>1996</v>
      </c>
      <c r="E1806" s="132" t="s">
        <v>24</v>
      </c>
      <c r="F1806" s="97" t="str">
        <f ca="1">IF(OR(Market_Data[[#This Row],[Start Date]]="",Market_Data[[#This Row],[Completion Date]]=""),"Needs Validation",IF(Market_Data[[#This Row],[Start Date]]&gt;TODAY(),"Planned",IF(Market_Data[[#This Row],[Completion Date]]&lt;TODAY(),"Completed","Ongoing")))</f>
        <v>Ongoing</v>
      </c>
      <c r="G1806" s="324">
        <v>46015</v>
      </c>
      <c r="H1806" s="324">
        <v>48213</v>
      </c>
      <c r="I1806" s="325">
        <v>7900</v>
      </c>
      <c r="J180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06" s="133">
        <f>_xlfn.XLOOKUP(Market_Data[[#This Row],[Project Type]],tbl_assumptions_market[Project Category (RERA)],tbl_assumptions_market[Concrete Intensity
(m³ / sq m BUA)],"",0)</f>
        <v>0.45</v>
      </c>
      <c r="L1806" s="134">
        <f>ROUND(Market_Data[[#This Row],[Estimated Built Up Area (sq m)]]*Market_Data[[#This Row],[Concrete Intensity
(m³ / sq m)]],0)</f>
        <v>3555</v>
      </c>
      <c r="M1806" s="135">
        <f>_xlfn.XLOOKUP(Market_Data[[#This Row],[District]],tbl_district_price[District],tbl_district_price[Standard Price
(INR/m³)],"",0)</f>
        <v>6200</v>
      </c>
      <c r="N1806" s="364">
        <f>IF(OR(Market_Data[[#This Row],[Estimated Concrete Demand (m³)]]="",Market_Data[[#This Row],[Avg Price per (₹ / m³)]]=""),"",Market_Data[[#This Row],[Estimated Concrete Demand (m³)]]*Market_Data[[#This Row],[Avg Price per (₹ / m³)]]/10000000)</f>
        <v>2.2040999999999999</v>
      </c>
      <c r="O1806" s="97" t="str">
        <f>IF(Market_Data[[#This Row],[Estimated Concrete Demand (m³)]]="","",
IF(Market_Data[[#This Row],[Estimated Concrete Demand (m³)]]&lt;10000,"Small",
IF(Market_Data[[#This Row],[Estimated Concrete Demand (m³)]]&lt;25000,"Medium",
IF(Market_Data[[#This Row],[Estimated Concrete Demand (m³)]]&lt;100000,"Large","Mega"))))</f>
        <v>Small</v>
      </c>
      <c r="P1806" s="287" t="str">
        <f t="shared" si="30"/>
        <v>GujRERA</v>
      </c>
    </row>
    <row r="1807" spans="1:16">
      <c r="A1807" s="129" t="str">
        <f>_xlfn.XLOOKUP(B1807,$S$9:$S$14,$T$9:$T$14)&amp;"-"&amp;
IF(E1807="Residential/Group Housing","RES",
IF(E1807="Commercial","COM",
IF(E1807="Mixed Development","MIX",
IF(E1807="Plotted Development","PLT","OTH"))))
&amp;"-"&amp;TEXT(COUNTIFS($B$9:B1807,B1807,$E$9:E1807,E1807),"0000")</f>
        <v>SUR-RES-0569</v>
      </c>
      <c r="B1807" s="322" t="s">
        <v>34</v>
      </c>
      <c r="C1807" s="322" t="s">
        <v>34</v>
      </c>
      <c r="D1807" s="323" t="s">
        <v>1997</v>
      </c>
      <c r="E1807" s="132" t="s">
        <v>24</v>
      </c>
      <c r="F1807" s="97" t="str">
        <f ca="1">IF(OR(Market_Data[[#This Row],[Start Date]]="",Market_Data[[#This Row],[Completion Date]]=""),"Needs Validation",IF(Market_Data[[#This Row],[Start Date]]&gt;TODAY(),"Planned",IF(Market_Data[[#This Row],[Completion Date]]&lt;TODAY(),"Completed","Ongoing")))</f>
        <v>Ongoing</v>
      </c>
      <c r="G1807" s="324">
        <v>45041</v>
      </c>
      <c r="H1807" s="324">
        <v>46752</v>
      </c>
      <c r="I1807" s="325">
        <v>56500</v>
      </c>
      <c r="J180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07" s="133">
        <f>_xlfn.XLOOKUP(Market_Data[[#This Row],[Project Type]],tbl_assumptions_market[Project Category (RERA)],tbl_assumptions_market[Concrete Intensity
(m³ / sq m BUA)],"",0)</f>
        <v>0.45</v>
      </c>
      <c r="L1807" s="134">
        <f>ROUND(Market_Data[[#This Row],[Estimated Built Up Area (sq m)]]*Market_Data[[#This Row],[Concrete Intensity
(m³ / sq m)]],0)</f>
        <v>25425</v>
      </c>
      <c r="M1807" s="135">
        <f>_xlfn.XLOOKUP(Market_Data[[#This Row],[District]],tbl_district_price[District],tbl_district_price[Standard Price
(INR/m³)],"",0)</f>
        <v>6200</v>
      </c>
      <c r="N1807" s="364">
        <f>IF(OR(Market_Data[[#This Row],[Estimated Concrete Demand (m³)]]="",Market_Data[[#This Row],[Avg Price per (₹ / m³)]]=""),"",Market_Data[[#This Row],[Estimated Concrete Demand (m³)]]*Market_Data[[#This Row],[Avg Price per (₹ / m³)]]/10000000)</f>
        <v>15.763500000000001</v>
      </c>
      <c r="O1807" s="97" t="str">
        <f>IF(Market_Data[[#This Row],[Estimated Concrete Demand (m³)]]="","",
IF(Market_Data[[#This Row],[Estimated Concrete Demand (m³)]]&lt;10000,"Small",
IF(Market_Data[[#This Row],[Estimated Concrete Demand (m³)]]&lt;25000,"Medium",
IF(Market_Data[[#This Row],[Estimated Concrete Demand (m³)]]&lt;100000,"Large","Mega"))))</f>
        <v>Large</v>
      </c>
      <c r="P1807" s="287" t="str">
        <f t="shared" si="30"/>
        <v>GujRERA</v>
      </c>
    </row>
    <row r="1808" spans="1:16">
      <c r="A1808" s="129" t="str">
        <f>_xlfn.XLOOKUP(B1808,$S$9:$S$14,$T$9:$T$14)&amp;"-"&amp;
IF(E1808="Residential/Group Housing","RES",
IF(E1808="Commercial","COM",
IF(E1808="Mixed Development","MIX",
IF(E1808="Plotted Development","PLT","OTH"))))
&amp;"-"&amp;TEXT(COUNTIFS($B$9:B1808,B1808,$E$9:E1808,E1808),"0000")</f>
        <v>SUR-RES-0570</v>
      </c>
      <c r="B1808" s="322" t="s">
        <v>34</v>
      </c>
      <c r="C1808" s="322" t="s">
        <v>34</v>
      </c>
      <c r="D1808" s="323" t="s">
        <v>1998</v>
      </c>
      <c r="E1808" s="132" t="s">
        <v>24</v>
      </c>
      <c r="F1808" s="97" t="str">
        <f ca="1">IF(OR(Market_Data[[#This Row],[Start Date]]="",Market_Data[[#This Row],[Completion Date]]=""),"Needs Validation",IF(Market_Data[[#This Row],[Start Date]]&gt;TODAY(),"Planned",IF(Market_Data[[#This Row],[Completion Date]]&lt;TODAY(),"Completed","Ongoing")))</f>
        <v>Ongoing</v>
      </c>
      <c r="G1808" s="324">
        <v>45292</v>
      </c>
      <c r="H1808" s="324">
        <v>47118</v>
      </c>
      <c r="I1808" s="325">
        <v>15700</v>
      </c>
      <c r="J180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08" s="133">
        <f>_xlfn.XLOOKUP(Market_Data[[#This Row],[Project Type]],tbl_assumptions_market[Project Category (RERA)],tbl_assumptions_market[Concrete Intensity
(m³ / sq m BUA)],"",0)</f>
        <v>0.45</v>
      </c>
      <c r="L1808" s="134">
        <f>ROUND(Market_Data[[#This Row],[Estimated Built Up Area (sq m)]]*Market_Data[[#This Row],[Concrete Intensity
(m³ / sq m)]],0)</f>
        <v>7065</v>
      </c>
      <c r="M1808" s="135">
        <f>_xlfn.XLOOKUP(Market_Data[[#This Row],[District]],tbl_district_price[District],tbl_district_price[Standard Price
(INR/m³)],"",0)</f>
        <v>6200</v>
      </c>
      <c r="N1808" s="364">
        <f>IF(OR(Market_Data[[#This Row],[Estimated Concrete Demand (m³)]]="",Market_Data[[#This Row],[Avg Price per (₹ / m³)]]=""),"",Market_Data[[#This Row],[Estimated Concrete Demand (m³)]]*Market_Data[[#This Row],[Avg Price per (₹ / m³)]]/10000000)</f>
        <v>4.3803000000000001</v>
      </c>
      <c r="O1808" s="97" t="str">
        <f>IF(Market_Data[[#This Row],[Estimated Concrete Demand (m³)]]="","",
IF(Market_Data[[#This Row],[Estimated Concrete Demand (m³)]]&lt;10000,"Small",
IF(Market_Data[[#This Row],[Estimated Concrete Demand (m³)]]&lt;25000,"Medium",
IF(Market_Data[[#This Row],[Estimated Concrete Demand (m³)]]&lt;100000,"Large","Mega"))))</f>
        <v>Small</v>
      </c>
      <c r="P1808" s="287" t="str">
        <f t="shared" si="30"/>
        <v>GujRERA</v>
      </c>
    </row>
    <row r="1809" spans="1:16">
      <c r="A1809" s="129" t="str">
        <f>_xlfn.XLOOKUP(B1809,$S$9:$S$14,$T$9:$T$14)&amp;"-"&amp;
IF(E1809="Residential/Group Housing","RES",
IF(E1809="Commercial","COM",
IF(E1809="Mixed Development","MIX",
IF(E1809="Plotted Development","PLT","OTH"))))
&amp;"-"&amp;TEXT(COUNTIFS($B$9:B1809,B1809,$E$9:E1809,E1809),"0000")</f>
        <v>SUR-RES-0571</v>
      </c>
      <c r="B1809" s="322" t="s">
        <v>34</v>
      </c>
      <c r="C1809" s="322" t="s">
        <v>34</v>
      </c>
      <c r="D1809" s="323" t="s">
        <v>1999</v>
      </c>
      <c r="E1809" s="132" t="s">
        <v>24</v>
      </c>
      <c r="F1809" s="97" t="str">
        <f ca="1">IF(OR(Market_Data[[#This Row],[Start Date]]="",Market_Data[[#This Row],[Completion Date]]=""),"Needs Validation",IF(Market_Data[[#This Row],[Start Date]]&gt;TODAY(),"Planned",IF(Market_Data[[#This Row],[Completion Date]]&lt;TODAY(),"Completed","Ongoing")))</f>
        <v>Completed</v>
      </c>
      <c r="G1809" s="324">
        <v>42944</v>
      </c>
      <c r="H1809" s="324">
        <v>45138</v>
      </c>
      <c r="I1809" s="325">
        <v>28000</v>
      </c>
      <c r="J180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09" s="133">
        <f>_xlfn.XLOOKUP(Market_Data[[#This Row],[Project Type]],tbl_assumptions_market[Project Category (RERA)],tbl_assumptions_market[Concrete Intensity
(m³ / sq m BUA)],"",0)</f>
        <v>0.45</v>
      </c>
      <c r="L1809" s="134">
        <f>ROUND(Market_Data[[#This Row],[Estimated Built Up Area (sq m)]]*Market_Data[[#This Row],[Concrete Intensity
(m³ / sq m)]],0)</f>
        <v>12600</v>
      </c>
      <c r="M1809" s="135">
        <f>_xlfn.XLOOKUP(Market_Data[[#This Row],[District]],tbl_district_price[District],tbl_district_price[Standard Price
(INR/m³)],"",0)</f>
        <v>6200</v>
      </c>
      <c r="N1809" s="364">
        <f>IF(OR(Market_Data[[#This Row],[Estimated Concrete Demand (m³)]]="",Market_Data[[#This Row],[Avg Price per (₹ / m³)]]=""),"",Market_Data[[#This Row],[Estimated Concrete Demand (m³)]]*Market_Data[[#This Row],[Avg Price per (₹ / m³)]]/10000000)</f>
        <v>7.8120000000000003</v>
      </c>
      <c r="O1809" s="97" t="str">
        <f>IF(Market_Data[[#This Row],[Estimated Concrete Demand (m³)]]="","",
IF(Market_Data[[#This Row],[Estimated Concrete Demand (m³)]]&lt;10000,"Small",
IF(Market_Data[[#This Row],[Estimated Concrete Demand (m³)]]&lt;25000,"Medium",
IF(Market_Data[[#This Row],[Estimated Concrete Demand (m³)]]&lt;100000,"Large","Mega"))))</f>
        <v>Medium</v>
      </c>
      <c r="P1809" s="287" t="str">
        <f t="shared" si="30"/>
        <v>GujRERA</v>
      </c>
    </row>
    <row r="1810" spans="1:16">
      <c r="A1810" s="129" t="str">
        <f>_xlfn.XLOOKUP(B1810,$S$9:$S$14,$T$9:$T$14)&amp;"-"&amp;
IF(E1810="Residential/Group Housing","RES",
IF(E1810="Commercial","COM",
IF(E1810="Mixed Development","MIX",
IF(E1810="Plotted Development","PLT","OTH"))))
&amp;"-"&amp;TEXT(COUNTIFS($B$9:B1810,B1810,$E$9:E1810,E1810),"0000")</f>
        <v>SUR-COM-0297</v>
      </c>
      <c r="B1810" s="322" t="s">
        <v>34</v>
      </c>
      <c r="C1810" s="322" t="s">
        <v>34</v>
      </c>
      <c r="D1810" s="323" t="s">
        <v>2000</v>
      </c>
      <c r="E1810" s="132" t="s">
        <v>23</v>
      </c>
      <c r="F1810" s="97" t="str">
        <f ca="1">IF(OR(Market_Data[[#This Row],[Start Date]]="",Market_Data[[#This Row],[Completion Date]]=""),"Needs Validation",IF(Market_Data[[#This Row],[Start Date]]&gt;TODAY(),"Planned",IF(Market_Data[[#This Row],[Completion Date]]&lt;TODAY(),"Completed","Ongoing")))</f>
        <v>Completed</v>
      </c>
      <c r="G1810" s="324">
        <v>43393</v>
      </c>
      <c r="H1810" s="324">
        <v>44377</v>
      </c>
      <c r="I1810" s="325">
        <v>45300</v>
      </c>
      <c r="J181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810" s="133">
        <f>_xlfn.XLOOKUP(Market_Data[[#This Row],[Project Type]],tbl_assumptions_market[Project Category (RERA)],tbl_assumptions_market[Concrete Intensity
(m³ / sq m BUA)],"",0)</f>
        <v>0.5</v>
      </c>
      <c r="L1810" s="134">
        <f>ROUND(Market_Data[[#This Row],[Estimated Built Up Area (sq m)]]*Market_Data[[#This Row],[Concrete Intensity
(m³ / sq m)]],0)</f>
        <v>22650</v>
      </c>
      <c r="M1810" s="135">
        <f>_xlfn.XLOOKUP(Market_Data[[#This Row],[District]],tbl_district_price[District],tbl_district_price[Standard Price
(INR/m³)],"",0)</f>
        <v>6200</v>
      </c>
      <c r="N1810" s="364">
        <f>IF(OR(Market_Data[[#This Row],[Estimated Concrete Demand (m³)]]="",Market_Data[[#This Row],[Avg Price per (₹ / m³)]]=""),"",Market_Data[[#This Row],[Estimated Concrete Demand (m³)]]*Market_Data[[#This Row],[Avg Price per (₹ / m³)]]/10000000)</f>
        <v>14.042999999999999</v>
      </c>
      <c r="O1810" s="97" t="str">
        <f>IF(Market_Data[[#This Row],[Estimated Concrete Demand (m³)]]="","",
IF(Market_Data[[#This Row],[Estimated Concrete Demand (m³)]]&lt;10000,"Small",
IF(Market_Data[[#This Row],[Estimated Concrete Demand (m³)]]&lt;25000,"Medium",
IF(Market_Data[[#This Row],[Estimated Concrete Demand (m³)]]&lt;100000,"Large","Mega"))))</f>
        <v>Medium</v>
      </c>
      <c r="P1810" s="287" t="str">
        <f t="shared" si="30"/>
        <v>GujRERA</v>
      </c>
    </row>
    <row r="1811" spans="1:16">
      <c r="A1811" s="129" t="str">
        <f>_xlfn.XLOOKUP(B1811,$S$9:$S$14,$T$9:$T$14)&amp;"-"&amp;
IF(E1811="Residential/Group Housing","RES",
IF(E1811="Commercial","COM",
IF(E1811="Mixed Development","MIX",
IF(E1811="Plotted Development","PLT","OTH"))))
&amp;"-"&amp;TEXT(COUNTIFS($B$9:B1811,B1811,$E$9:E1811,E1811),"0000")</f>
        <v>SUR-RES-0572</v>
      </c>
      <c r="B1811" s="322" t="s">
        <v>34</v>
      </c>
      <c r="C1811" s="322" t="s">
        <v>34</v>
      </c>
      <c r="D1811" s="323" t="s">
        <v>2001</v>
      </c>
      <c r="E1811" s="132" t="s">
        <v>24</v>
      </c>
      <c r="F1811" s="97" t="str">
        <f ca="1">IF(OR(Market_Data[[#This Row],[Start Date]]="",Market_Data[[#This Row],[Completion Date]]=""),"Needs Validation",IF(Market_Data[[#This Row],[Start Date]]&gt;TODAY(),"Planned",IF(Market_Data[[#This Row],[Completion Date]]&lt;TODAY(),"Completed","Ongoing")))</f>
        <v>Ongoing</v>
      </c>
      <c r="G1811" s="324">
        <v>45000</v>
      </c>
      <c r="H1811" s="324">
        <v>46568</v>
      </c>
      <c r="I1811" s="325">
        <v>50900</v>
      </c>
      <c r="J181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11" s="133">
        <f>_xlfn.XLOOKUP(Market_Data[[#This Row],[Project Type]],tbl_assumptions_market[Project Category (RERA)],tbl_assumptions_market[Concrete Intensity
(m³ / sq m BUA)],"",0)</f>
        <v>0.45</v>
      </c>
      <c r="L1811" s="134">
        <f>ROUND(Market_Data[[#This Row],[Estimated Built Up Area (sq m)]]*Market_Data[[#This Row],[Concrete Intensity
(m³ / sq m)]],0)</f>
        <v>22905</v>
      </c>
      <c r="M1811" s="135">
        <f>_xlfn.XLOOKUP(Market_Data[[#This Row],[District]],tbl_district_price[District],tbl_district_price[Standard Price
(INR/m³)],"",0)</f>
        <v>6200</v>
      </c>
      <c r="N1811" s="364">
        <f>IF(OR(Market_Data[[#This Row],[Estimated Concrete Demand (m³)]]="",Market_Data[[#This Row],[Avg Price per (₹ / m³)]]=""),"",Market_Data[[#This Row],[Estimated Concrete Demand (m³)]]*Market_Data[[#This Row],[Avg Price per (₹ / m³)]]/10000000)</f>
        <v>14.2011</v>
      </c>
      <c r="O1811" s="97" t="str">
        <f>IF(Market_Data[[#This Row],[Estimated Concrete Demand (m³)]]="","",
IF(Market_Data[[#This Row],[Estimated Concrete Demand (m³)]]&lt;10000,"Small",
IF(Market_Data[[#This Row],[Estimated Concrete Demand (m³)]]&lt;25000,"Medium",
IF(Market_Data[[#This Row],[Estimated Concrete Demand (m³)]]&lt;100000,"Large","Mega"))))</f>
        <v>Medium</v>
      </c>
      <c r="P1811" s="287" t="str">
        <f t="shared" si="30"/>
        <v>GujRERA</v>
      </c>
    </row>
    <row r="1812" spans="1:16">
      <c r="A1812" s="129" t="str">
        <f>_xlfn.XLOOKUP(B1812,$S$9:$S$14,$T$9:$T$14)&amp;"-"&amp;
IF(E1812="Residential/Group Housing","RES",
IF(E1812="Commercial","COM",
IF(E1812="Mixed Development","MIX",
IF(E1812="Plotted Development","PLT","OTH"))))
&amp;"-"&amp;TEXT(COUNTIFS($B$9:B1812,B1812,$E$9:E1812,E1812),"0000")</f>
        <v>SUR-COM-0298</v>
      </c>
      <c r="B1812" s="322" t="s">
        <v>34</v>
      </c>
      <c r="C1812" s="322" t="s">
        <v>34</v>
      </c>
      <c r="D1812" s="323" t="s">
        <v>2002</v>
      </c>
      <c r="E1812" s="132" t="s">
        <v>23</v>
      </c>
      <c r="F1812" s="97" t="str">
        <f ca="1">IF(OR(Market_Data[[#This Row],[Start Date]]="",Market_Data[[#This Row],[Completion Date]]=""),"Needs Validation",IF(Market_Data[[#This Row],[Start Date]]&gt;TODAY(),"Planned",IF(Market_Data[[#This Row],[Completion Date]]&lt;TODAY(),"Completed","Ongoing")))</f>
        <v>Ongoing</v>
      </c>
      <c r="G1812" s="324">
        <v>45444</v>
      </c>
      <c r="H1812" s="324">
        <v>47118</v>
      </c>
      <c r="I1812" s="325">
        <v>4200</v>
      </c>
      <c r="J181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12" s="133">
        <f>_xlfn.XLOOKUP(Market_Data[[#This Row],[Project Type]],tbl_assumptions_market[Project Category (RERA)],tbl_assumptions_market[Concrete Intensity
(m³ / sq m BUA)],"",0)</f>
        <v>0.5</v>
      </c>
      <c r="L1812" s="134">
        <f>ROUND(Market_Data[[#This Row],[Estimated Built Up Area (sq m)]]*Market_Data[[#This Row],[Concrete Intensity
(m³ / sq m)]],0)</f>
        <v>2100</v>
      </c>
      <c r="M1812" s="135">
        <f>_xlfn.XLOOKUP(Market_Data[[#This Row],[District]],tbl_district_price[District],tbl_district_price[Standard Price
(INR/m³)],"",0)</f>
        <v>6200</v>
      </c>
      <c r="N1812" s="364">
        <f>IF(OR(Market_Data[[#This Row],[Estimated Concrete Demand (m³)]]="",Market_Data[[#This Row],[Avg Price per (₹ / m³)]]=""),"",Market_Data[[#This Row],[Estimated Concrete Demand (m³)]]*Market_Data[[#This Row],[Avg Price per (₹ / m³)]]/10000000)</f>
        <v>1.302</v>
      </c>
      <c r="O1812" s="97" t="str">
        <f>IF(Market_Data[[#This Row],[Estimated Concrete Demand (m³)]]="","",
IF(Market_Data[[#This Row],[Estimated Concrete Demand (m³)]]&lt;10000,"Small",
IF(Market_Data[[#This Row],[Estimated Concrete Demand (m³)]]&lt;25000,"Medium",
IF(Market_Data[[#This Row],[Estimated Concrete Demand (m³)]]&lt;100000,"Large","Mega"))))</f>
        <v>Small</v>
      </c>
      <c r="P1812" s="287" t="str">
        <f t="shared" si="30"/>
        <v>GujRERA</v>
      </c>
    </row>
    <row r="1813" spans="1:16">
      <c r="A1813" s="129" t="str">
        <f>_xlfn.XLOOKUP(B1813,$S$9:$S$14,$T$9:$T$14)&amp;"-"&amp;
IF(E1813="Residential/Group Housing","RES",
IF(E1813="Commercial","COM",
IF(E1813="Mixed Development","MIX",
IF(E1813="Plotted Development","PLT","OTH"))))
&amp;"-"&amp;TEXT(COUNTIFS($B$9:B1813,B1813,$E$9:E1813,E1813),"0000")</f>
        <v>SUR-RES-0573</v>
      </c>
      <c r="B1813" s="322" t="s">
        <v>34</v>
      </c>
      <c r="C1813" s="322" t="s">
        <v>34</v>
      </c>
      <c r="D1813" s="323" t="s">
        <v>2003</v>
      </c>
      <c r="E1813" s="132" t="s">
        <v>24</v>
      </c>
      <c r="F1813" s="97" t="str">
        <f ca="1">IF(OR(Market_Data[[#This Row],[Start Date]]="",Market_Data[[#This Row],[Completion Date]]=""),"Needs Validation",IF(Market_Data[[#This Row],[Start Date]]&gt;TODAY(),"Planned",IF(Market_Data[[#This Row],[Completion Date]]&lt;TODAY(),"Completed","Ongoing")))</f>
        <v>Completed</v>
      </c>
      <c r="G1813" s="324">
        <v>44148</v>
      </c>
      <c r="H1813" s="324">
        <v>45657</v>
      </c>
      <c r="I1813" s="325">
        <v>18000</v>
      </c>
      <c r="J181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13" s="133">
        <f>_xlfn.XLOOKUP(Market_Data[[#This Row],[Project Type]],tbl_assumptions_market[Project Category (RERA)],tbl_assumptions_market[Concrete Intensity
(m³ / sq m BUA)],"",0)</f>
        <v>0.45</v>
      </c>
      <c r="L1813" s="134">
        <f>ROUND(Market_Data[[#This Row],[Estimated Built Up Area (sq m)]]*Market_Data[[#This Row],[Concrete Intensity
(m³ / sq m)]],0)</f>
        <v>8100</v>
      </c>
      <c r="M1813" s="135">
        <f>_xlfn.XLOOKUP(Market_Data[[#This Row],[District]],tbl_district_price[District],tbl_district_price[Standard Price
(INR/m³)],"",0)</f>
        <v>6200</v>
      </c>
      <c r="N1813" s="364">
        <f>IF(OR(Market_Data[[#This Row],[Estimated Concrete Demand (m³)]]="",Market_Data[[#This Row],[Avg Price per (₹ / m³)]]=""),"",Market_Data[[#This Row],[Estimated Concrete Demand (m³)]]*Market_Data[[#This Row],[Avg Price per (₹ / m³)]]/10000000)</f>
        <v>5.0220000000000002</v>
      </c>
      <c r="O1813" s="97" t="str">
        <f>IF(Market_Data[[#This Row],[Estimated Concrete Demand (m³)]]="","",
IF(Market_Data[[#This Row],[Estimated Concrete Demand (m³)]]&lt;10000,"Small",
IF(Market_Data[[#This Row],[Estimated Concrete Demand (m³)]]&lt;25000,"Medium",
IF(Market_Data[[#This Row],[Estimated Concrete Demand (m³)]]&lt;100000,"Large","Mega"))))</f>
        <v>Small</v>
      </c>
      <c r="P1813" s="287" t="str">
        <f t="shared" si="30"/>
        <v>GujRERA</v>
      </c>
    </row>
    <row r="1814" spans="1:16">
      <c r="A1814" s="129" t="str">
        <f>_xlfn.XLOOKUP(B1814,$S$9:$S$14,$T$9:$T$14)&amp;"-"&amp;
IF(E1814="Residential/Group Housing","RES",
IF(E1814="Commercial","COM",
IF(E1814="Mixed Development","MIX",
IF(E1814="Plotted Development","PLT","OTH"))))
&amp;"-"&amp;TEXT(COUNTIFS($B$9:B1814,B1814,$E$9:E1814,E1814),"0000")</f>
        <v>SUR-RES-0574</v>
      </c>
      <c r="B1814" s="322" t="s">
        <v>34</v>
      </c>
      <c r="C1814" s="322" t="s">
        <v>34</v>
      </c>
      <c r="D1814" s="323" t="s">
        <v>2004</v>
      </c>
      <c r="E1814" s="132" t="s">
        <v>24</v>
      </c>
      <c r="F1814" s="97" t="str">
        <f ca="1">IF(OR(Market_Data[[#This Row],[Start Date]]="",Market_Data[[#This Row],[Completion Date]]=""),"Needs Validation",IF(Market_Data[[#This Row],[Start Date]]&gt;TODAY(),"Planned",IF(Market_Data[[#This Row],[Completion Date]]&lt;TODAY(),"Completed","Ongoing")))</f>
        <v>Ongoing</v>
      </c>
      <c r="G1814" s="324">
        <v>45211</v>
      </c>
      <c r="H1814" s="324">
        <v>47847</v>
      </c>
      <c r="I1814" s="325">
        <v>33100</v>
      </c>
      <c r="J181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14" s="133">
        <f>_xlfn.XLOOKUP(Market_Data[[#This Row],[Project Type]],tbl_assumptions_market[Project Category (RERA)],tbl_assumptions_market[Concrete Intensity
(m³ / sq m BUA)],"",0)</f>
        <v>0.45</v>
      </c>
      <c r="L1814" s="134">
        <f>ROUND(Market_Data[[#This Row],[Estimated Built Up Area (sq m)]]*Market_Data[[#This Row],[Concrete Intensity
(m³ / sq m)]],0)</f>
        <v>14895</v>
      </c>
      <c r="M1814" s="135">
        <f>_xlfn.XLOOKUP(Market_Data[[#This Row],[District]],tbl_district_price[District],tbl_district_price[Standard Price
(INR/m³)],"",0)</f>
        <v>6200</v>
      </c>
      <c r="N1814" s="364">
        <f>IF(OR(Market_Data[[#This Row],[Estimated Concrete Demand (m³)]]="",Market_Data[[#This Row],[Avg Price per (₹ / m³)]]=""),"",Market_Data[[#This Row],[Estimated Concrete Demand (m³)]]*Market_Data[[#This Row],[Avg Price per (₹ / m³)]]/10000000)</f>
        <v>9.2348999999999997</v>
      </c>
      <c r="O1814" s="97" t="str">
        <f>IF(Market_Data[[#This Row],[Estimated Concrete Demand (m³)]]="","",
IF(Market_Data[[#This Row],[Estimated Concrete Demand (m³)]]&lt;10000,"Small",
IF(Market_Data[[#This Row],[Estimated Concrete Demand (m³)]]&lt;25000,"Medium",
IF(Market_Data[[#This Row],[Estimated Concrete Demand (m³)]]&lt;100000,"Large","Mega"))))</f>
        <v>Medium</v>
      </c>
      <c r="P1814" s="287" t="str">
        <f t="shared" si="30"/>
        <v>GujRERA</v>
      </c>
    </row>
    <row r="1815" spans="1:16">
      <c r="A1815" s="129" t="str">
        <f>_xlfn.XLOOKUP(B1815,$S$9:$S$14,$T$9:$T$14)&amp;"-"&amp;
IF(E1815="Residential/Group Housing","RES",
IF(E1815="Commercial","COM",
IF(E1815="Mixed Development","MIX",
IF(E1815="Plotted Development","PLT","OTH"))))
&amp;"-"&amp;TEXT(COUNTIFS($B$9:B1815,B1815,$E$9:E1815,E1815),"0000")</f>
        <v>SUR-MIX-0292</v>
      </c>
      <c r="B1815" s="322" t="s">
        <v>34</v>
      </c>
      <c r="C1815" s="322" t="s">
        <v>34</v>
      </c>
      <c r="D1815" s="323" t="s">
        <v>2005</v>
      </c>
      <c r="E1815" s="132" t="s">
        <v>25</v>
      </c>
      <c r="F1815" s="97" t="str">
        <f ca="1">IF(OR(Market_Data[[#This Row],[Start Date]]="",Market_Data[[#This Row],[Completion Date]]=""),"Needs Validation",IF(Market_Data[[#This Row],[Start Date]]&gt;TODAY(),"Planned",IF(Market_Data[[#This Row],[Completion Date]]&lt;TODAY(),"Completed","Ongoing")))</f>
        <v>Completed</v>
      </c>
      <c r="G1815" s="324">
        <v>43067</v>
      </c>
      <c r="H1815" s="324">
        <v>45412</v>
      </c>
      <c r="I1815" s="325">
        <v>19100</v>
      </c>
      <c r="J181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15" s="133">
        <f>_xlfn.XLOOKUP(Market_Data[[#This Row],[Project Type]],tbl_assumptions_market[Project Category (RERA)],tbl_assumptions_market[Concrete Intensity
(m³ / sq m BUA)],"",0)</f>
        <v>0.42</v>
      </c>
      <c r="L1815" s="134">
        <f>ROUND(Market_Data[[#This Row],[Estimated Built Up Area (sq m)]]*Market_Data[[#This Row],[Concrete Intensity
(m³ / sq m)]],0)</f>
        <v>8022</v>
      </c>
      <c r="M1815" s="135">
        <f>_xlfn.XLOOKUP(Market_Data[[#This Row],[District]],tbl_district_price[District],tbl_district_price[Standard Price
(INR/m³)],"",0)</f>
        <v>6200</v>
      </c>
      <c r="N1815" s="364">
        <f>IF(OR(Market_Data[[#This Row],[Estimated Concrete Demand (m³)]]="",Market_Data[[#This Row],[Avg Price per (₹ / m³)]]=""),"",Market_Data[[#This Row],[Estimated Concrete Demand (m³)]]*Market_Data[[#This Row],[Avg Price per (₹ / m³)]]/10000000)</f>
        <v>4.9736399999999996</v>
      </c>
      <c r="O1815" s="97" t="str">
        <f>IF(Market_Data[[#This Row],[Estimated Concrete Demand (m³)]]="","",
IF(Market_Data[[#This Row],[Estimated Concrete Demand (m³)]]&lt;10000,"Small",
IF(Market_Data[[#This Row],[Estimated Concrete Demand (m³)]]&lt;25000,"Medium",
IF(Market_Data[[#This Row],[Estimated Concrete Demand (m³)]]&lt;100000,"Large","Mega"))))</f>
        <v>Small</v>
      </c>
      <c r="P1815" s="287" t="str">
        <f t="shared" si="30"/>
        <v>GujRERA</v>
      </c>
    </row>
    <row r="1816" spans="1:16">
      <c r="A1816" s="129" t="str">
        <f>_xlfn.XLOOKUP(B1816,$S$9:$S$14,$T$9:$T$14)&amp;"-"&amp;
IF(E1816="Residential/Group Housing","RES",
IF(E1816="Commercial","COM",
IF(E1816="Mixed Development","MIX",
IF(E1816="Plotted Development","PLT","OTH"))))
&amp;"-"&amp;TEXT(COUNTIFS($B$9:B1816,B1816,$E$9:E1816,E1816),"0000")</f>
        <v>SUR-RES-0575</v>
      </c>
      <c r="B1816" s="322" t="s">
        <v>34</v>
      </c>
      <c r="C1816" s="322" t="s">
        <v>34</v>
      </c>
      <c r="D1816" s="323" t="s">
        <v>2006</v>
      </c>
      <c r="E1816" s="132" t="s">
        <v>24</v>
      </c>
      <c r="F1816" s="97" t="str">
        <f ca="1">IF(OR(Market_Data[[#This Row],[Start Date]]="",Market_Data[[#This Row],[Completion Date]]=""),"Needs Validation",IF(Market_Data[[#This Row],[Start Date]]&gt;TODAY(),"Planned",IF(Market_Data[[#This Row],[Completion Date]]&lt;TODAY(),"Completed","Ongoing")))</f>
        <v>Ongoing</v>
      </c>
      <c r="G1816" s="324">
        <v>44856</v>
      </c>
      <c r="H1816" s="324">
        <v>47391</v>
      </c>
      <c r="I1816" s="325">
        <v>51600</v>
      </c>
      <c r="J181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16" s="133">
        <f>_xlfn.XLOOKUP(Market_Data[[#This Row],[Project Type]],tbl_assumptions_market[Project Category (RERA)],tbl_assumptions_market[Concrete Intensity
(m³ / sq m BUA)],"",0)</f>
        <v>0.45</v>
      </c>
      <c r="L1816" s="134">
        <f>ROUND(Market_Data[[#This Row],[Estimated Built Up Area (sq m)]]*Market_Data[[#This Row],[Concrete Intensity
(m³ / sq m)]],0)</f>
        <v>23220</v>
      </c>
      <c r="M1816" s="135">
        <f>_xlfn.XLOOKUP(Market_Data[[#This Row],[District]],tbl_district_price[District],tbl_district_price[Standard Price
(INR/m³)],"",0)</f>
        <v>6200</v>
      </c>
      <c r="N1816" s="364">
        <f>IF(OR(Market_Data[[#This Row],[Estimated Concrete Demand (m³)]]="",Market_Data[[#This Row],[Avg Price per (₹ / m³)]]=""),"",Market_Data[[#This Row],[Estimated Concrete Demand (m³)]]*Market_Data[[#This Row],[Avg Price per (₹ / m³)]]/10000000)</f>
        <v>14.3964</v>
      </c>
      <c r="O1816" s="97" t="str">
        <f>IF(Market_Data[[#This Row],[Estimated Concrete Demand (m³)]]="","",
IF(Market_Data[[#This Row],[Estimated Concrete Demand (m³)]]&lt;10000,"Small",
IF(Market_Data[[#This Row],[Estimated Concrete Demand (m³)]]&lt;25000,"Medium",
IF(Market_Data[[#This Row],[Estimated Concrete Demand (m³)]]&lt;100000,"Large","Mega"))))</f>
        <v>Medium</v>
      </c>
      <c r="P1816" s="287" t="str">
        <f t="shared" si="30"/>
        <v>GujRERA</v>
      </c>
    </row>
    <row r="1817" spans="1:16">
      <c r="A1817" s="129" t="str">
        <f>_xlfn.XLOOKUP(B1817,$S$9:$S$14,$T$9:$T$14)&amp;"-"&amp;
IF(E1817="Residential/Group Housing","RES",
IF(E1817="Commercial","COM",
IF(E1817="Mixed Development","MIX",
IF(E1817="Plotted Development","PLT","OTH"))))
&amp;"-"&amp;TEXT(COUNTIFS($B$9:B1817,B1817,$E$9:E1817,E1817),"0000")</f>
        <v>SUR-COM-0299</v>
      </c>
      <c r="B1817" s="322" t="s">
        <v>34</v>
      </c>
      <c r="C1817" s="322" t="s">
        <v>34</v>
      </c>
      <c r="D1817" s="323" t="s">
        <v>2007</v>
      </c>
      <c r="E1817" s="132" t="s">
        <v>23</v>
      </c>
      <c r="F1817" s="97" t="str">
        <f ca="1">IF(OR(Market_Data[[#This Row],[Start Date]]="",Market_Data[[#This Row],[Completion Date]]=""),"Needs Validation",IF(Market_Data[[#This Row],[Start Date]]&gt;TODAY(),"Planned",IF(Market_Data[[#This Row],[Completion Date]]&lt;TODAY(),"Completed","Ongoing")))</f>
        <v>Completed</v>
      </c>
      <c r="G1817" s="324">
        <v>42377</v>
      </c>
      <c r="H1817" s="324">
        <v>43008</v>
      </c>
      <c r="I1817" s="325">
        <v>26700</v>
      </c>
      <c r="J181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817" s="133">
        <f>_xlfn.XLOOKUP(Market_Data[[#This Row],[Project Type]],tbl_assumptions_market[Project Category (RERA)],tbl_assumptions_market[Concrete Intensity
(m³ / sq m BUA)],"",0)</f>
        <v>0.5</v>
      </c>
      <c r="L1817" s="134">
        <f>ROUND(Market_Data[[#This Row],[Estimated Built Up Area (sq m)]]*Market_Data[[#This Row],[Concrete Intensity
(m³ / sq m)]],0)</f>
        <v>13350</v>
      </c>
      <c r="M1817" s="135">
        <f>_xlfn.XLOOKUP(Market_Data[[#This Row],[District]],tbl_district_price[District],tbl_district_price[Standard Price
(INR/m³)],"",0)</f>
        <v>6200</v>
      </c>
      <c r="N1817" s="364">
        <f>IF(OR(Market_Data[[#This Row],[Estimated Concrete Demand (m³)]]="",Market_Data[[#This Row],[Avg Price per (₹ / m³)]]=""),"",Market_Data[[#This Row],[Estimated Concrete Demand (m³)]]*Market_Data[[#This Row],[Avg Price per (₹ / m³)]]/10000000)</f>
        <v>8.2769999999999992</v>
      </c>
      <c r="O1817" s="97" t="str">
        <f>IF(Market_Data[[#This Row],[Estimated Concrete Demand (m³)]]="","",
IF(Market_Data[[#This Row],[Estimated Concrete Demand (m³)]]&lt;10000,"Small",
IF(Market_Data[[#This Row],[Estimated Concrete Demand (m³)]]&lt;25000,"Medium",
IF(Market_Data[[#This Row],[Estimated Concrete Demand (m³)]]&lt;100000,"Large","Mega"))))</f>
        <v>Medium</v>
      </c>
      <c r="P1817" s="287" t="str">
        <f t="shared" si="30"/>
        <v>GujRERA</v>
      </c>
    </row>
    <row r="1818" spans="1:16">
      <c r="A1818" s="129" t="str">
        <f>_xlfn.XLOOKUP(B1818,$S$9:$S$14,$T$9:$T$14)&amp;"-"&amp;
IF(E1818="Residential/Group Housing","RES",
IF(E1818="Commercial","COM",
IF(E1818="Mixed Development","MIX",
IF(E1818="Plotted Development","PLT","OTH"))))
&amp;"-"&amp;TEXT(COUNTIFS($B$9:B1818,B1818,$E$9:E1818,E1818),"0000")</f>
        <v>SUR-RES-0576</v>
      </c>
      <c r="B1818" s="322" t="s">
        <v>34</v>
      </c>
      <c r="C1818" s="322" t="s">
        <v>34</v>
      </c>
      <c r="D1818" s="323" t="s">
        <v>2008</v>
      </c>
      <c r="E1818" s="132" t="s">
        <v>24</v>
      </c>
      <c r="F1818" s="97" t="str">
        <f ca="1">IF(OR(Market_Data[[#This Row],[Start Date]]="",Market_Data[[#This Row],[Completion Date]]=""),"Needs Validation",IF(Market_Data[[#This Row],[Start Date]]&gt;TODAY(),"Planned",IF(Market_Data[[#This Row],[Completion Date]]&lt;TODAY(),"Completed","Ongoing")))</f>
        <v>Ongoing</v>
      </c>
      <c r="G1818" s="324">
        <v>44343</v>
      </c>
      <c r="H1818" s="324">
        <v>46630</v>
      </c>
      <c r="I1818" s="325">
        <v>34300</v>
      </c>
      <c r="J181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18" s="133">
        <f>_xlfn.XLOOKUP(Market_Data[[#This Row],[Project Type]],tbl_assumptions_market[Project Category (RERA)],tbl_assumptions_market[Concrete Intensity
(m³ / sq m BUA)],"",0)</f>
        <v>0.45</v>
      </c>
      <c r="L1818" s="134">
        <f>ROUND(Market_Data[[#This Row],[Estimated Built Up Area (sq m)]]*Market_Data[[#This Row],[Concrete Intensity
(m³ / sq m)]],0)</f>
        <v>15435</v>
      </c>
      <c r="M1818" s="135">
        <f>_xlfn.XLOOKUP(Market_Data[[#This Row],[District]],tbl_district_price[District],tbl_district_price[Standard Price
(INR/m³)],"",0)</f>
        <v>6200</v>
      </c>
      <c r="N1818" s="364">
        <f>IF(OR(Market_Data[[#This Row],[Estimated Concrete Demand (m³)]]="",Market_Data[[#This Row],[Avg Price per (₹ / m³)]]=""),"",Market_Data[[#This Row],[Estimated Concrete Demand (m³)]]*Market_Data[[#This Row],[Avg Price per (₹ / m³)]]/10000000)</f>
        <v>9.5696999999999992</v>
      </c>
      <c r="O1818" s="97" t="str">
        <f>IF(Market_Data[[#This Row],[Estimated Concrete Demand (m³)]]="","",
IF(Market_Data[[#This Row],[Estimated Concrete Demand (m³)]]&lt;10000,"Small",
IF(Market_Data[[#This Row],[Estimated Concrete Demand (m³)]]&lt;25000,"Medium",
IF(Market_Data[[#This Row],[Estimated Concrete Demand (m³)]]&lt;100000,"Large","Mega"))))</f>
        <v>Medium</v>
      </c>
      <c r="P1818" s="287" t="str">
        <f t="shared" si="30"/>
        <v>GujRERA</v>
      </c>
    </row>
    <row r="1819" spans="1:16">
      <c r="A1819" s="129" t="str">
        <f>_xlfn.XLOOKUP(B1819,$S$9:$S$14,$T$9:$T$14)&amp;"-"&amp;
IF(E1819="Residential/Group Housing","RES",
IF(E1819="Commercial","COM",
IF(E1819="Mixed Development","MIX",
IF(E1819="Plotted Development","PLT","OTH"))))
&amp;"-"&amp;TEXT(COUNTIFS($B$9:B1819,B1819,$E$9:E1819,E1819),"0000")</f>
        <v>SUR-RES-0577</v>
      </c>
      <c r="B1819" s="322" t="s">
        <v>34</v>
      </c>
      <c r="C1819" s="322" t="s">
        <v>34</v>
      </c>
      <c r="D1819" s="323" t="s">
        <v>2009</v>
      </c>
      <c r="E1819" s="132" t="s">
        <v>24</v>
      </c>
      <c r="F1819" s="97" t="str">
        <f ca="1">IF(OR(Market_Data[[#This Row],[Start Date]]="",Market_Data[[#This Row],[Completion Date]]=""),"Needs Validation",IF(Market_Data[[#This Row],[Start Date]]&gt;TODAY(),"Planned",IF(Market_Data[[#This Row],[Completion Date]]&lt;TODAY(),"Completed","Ongoing")))</f>
        <v>Completed</v>
      </c>
      <c r="G1819" s="324">
        <v>44271</v>
      </c>
      <c r="H1819" s="324">
        <v>45838</v>
      </c>
      <c r="I1819" s="325">
        <v>35500</v>
      </c>
      <c r="J181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19" s="133">
        <f>_xlfn.XLOOKUP(Market_Data[[#This Row],[Project Type]],tbl_assumptions_market[Project Category (RERA)],tbl_assumptions_market[Concrete Intensity
(m³ / sq m BUA)],"",0)</f>
        <v>0.45</v>
      </c>
      <c r="L1819" s="134">
        <f>ROUND(Market_Data[[#This Row],[Estimated Built Up Area (sq m)]]*Market_Data[[#This Row],[Concrete Intensity
(m³ / sq m)]],0)</f>
        <v>15975</v>
      </c>
      <c r="M1819" s="135">
        <f>_xlfn.XLOOKUP(Market_Data[[#This Row],[District]],tbl_district_price[District],tbl_district_price[Standard Price
(INR/m³)],"",0)</f>
        <v>6200</v>
      </c>
      <c r="N1819" s="364">
        <f>IF(OR(Market_Data[[#This Row],[Estimated Concrete Demand (m³)]]="",Market_Data[[#This Row],[Avg Price per (₹ / m³)]]=""),"",Market_Data[[#This Row],[Estimated Concrete Demand (m³)]]*Market_Data[[#This Row],[Avg Price per (₹ / m³)]]/10000000)</f>
        <v>9.9045000000000005</v>
      </c>
      <c r="O1819" s="97" t="str">
        <f>IF(Market_Data[[#This Row],[Estimated Concrete Demand (m³)]]="","",
IF(Market_Data[[#This Row],[Estimated Concrete Demand (m³)]]&lt;10000,"Small",
IF(Market_Data[[#This Row],[Estimated Concrete Demand (m³)]]&lt;25000,"Medium",
IF(Market_Data[[#This Row],[Estimated Concrete Demand (m³)]]&lt;100000,"Large","Mega"))))</f>
        <v>Medium</v>
      </c>
      <c r="P1819" s="287" t="str">
        <f t="shared" si="30"/>
        <v>GujRERA</v>
      </c>
    </row>
    <row r="1820" spans="1:16">
      <c r="A1820" s="129" t="str">
        <f>_xlfn.XLOOKUP(B1820,$S$9:$S$14,$T$9:$T$14)&amp;"-"&amp;
IF(E1820="Residential/Group Housing","RES",
IF(E1820="Commercial","COM",
IF(E1820="Mixed Development","MIX",
IF(E1820="Plotted Development","PLT","OTH"))))
&amp;"-"&amp;TEXT(COUNTIFS($B$9:B1820,B1820,$E$9:E1820,E1820),"0000")</f>
        <v>SUR-MIX-0293</v>
      </c>
      <c r="B1820" s="322" t="s">
        <v>34</v>
      </c>
      <c r="C1820" s="322" t="s">
        <v>34</v>
      </c>
      <c r="D1820" s="323" t="s">
        <v>2010</v>
      </c>
      <c r="E1820" s="132" t="s">
        <v>25</v>
      </c>
      <c r="F1820" s="97" t="str">
        <f ca="1">IF(OR(Market_Data[[#This Row],[Start Date]]="",Market_Data[[#This Row],[Completion Date]]=""),"Needs Validation",IF(Market_Data[[#This Row],[Start Date]]&gt;TODAY(),"Planned",IF(Market_Data[[#This Row],[Completion Date]]&lt;TODAY(),"Completed","Ongoing")))</f>
        <v>Ongoing</v>
      </c>
      <c r="G1820" s="324">
        <v>44643</v>
      </c>
      <c r="H1820" s="324">
        <v>46477</v>
      </c>
      <c r="I1820" s="325">
        <v>11300</v>
      </c>
      <c r="J182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20" s="133">
        <f>_xlfn.XLOOKUP(Market_Data[[#This Row],[Project Type]],tbl_assumptions_market[Project Category (RERA)],tbl_assumptions_market[Concrete Intensity
(m³ / sq m BUA)],"",0)</f>
        <v>0.42</v>
      </c>
      <c r="L1820" s="134">
        <f>ROUND(Market_Data[[#This Row],[Estimated Built Up Area (sq m)]]*Market_Data[[#This Row],[Concrete Intensity
(m³ / sq m)]],0)</f>
        <v>4746</v>
      </c>
      <c r="M1820" s="135">
        <f>_xlfn.XLOOKUP(Market_Data[[#This Row],[District]],tbl_district_price[District],tbl_district_price[Standard Price
(INR/m³)],"",0)</f>
        <v>6200</v>
      </c>
      <c r="N1820" s="364">
        <f>IF(OR(Market_Data[[#This Row],[Estimated Concrete Demand (m³)]]="",Market_Data[[#This Row],[Avg Price per (₹ / m³)]]=""),"",Market_Data[[#This Row],[Estimated Concrete Demand (m³)]]*Market_Data[[#This Row],[Avg Price per (₹ / m³)]]/10000000)</f>
        <v>2.94252</v>
      </c>
      <c r="O1820" s="97" t="str">
        <f>IF(Market_Data[[#This Row],[Estimated Concrete Demand (m³)]]="","",
IF(Market_Data[[#This Row],[Estimated Concrete Demand (m³)]]&lt;10000,"Small",
IF(Market_Data[[#This Row],[Estimated Concrete Demand (m³)]]&lt;25000,"Medium",
IF(Market_Data[[#This Row],[Estimated Concrete Demand (m³)]]&lt;100000,"Large","Mega"))))</f>
        <v>Small</v>
      </c>
      <c r="P1820" s="287" t="str">
        <f t="shared" si="30"/>
        <v>GujRERA</v>
      </c>
    </row>
    <row r="1821" spans="1:16">
      <c r="A1821" s="129" t="str">
        <f>_xlfn.XLOOKUP(B1821,$S$9:$S$14,$T$9:$T$14)&amp;"-"&amp;
IF(E1821="Residential/Group Housing","RES",
IF(E1821="Commercial","COM",
IF(E1821="Mixed Development","MIX",
IF(E1821="Plotted Development","PLT","OTH"))))
&amp;"-"&amp;TEXT(COUNTIFS($B$9:B1821,B1821,$E$9:E1821,E1821),"0000")</f>
        <v>SUR-RES-0578</v>
      </c>
      <c r="B1821" s="322" t="s">
        <v>34</v>
      </c>
      <c r="C1821" s="322" t="s">
        <v>34</v>
      </c>
      <c r="D1821" s="323" t="s">
        <v>2011</v>
      </c>
      <c r="E1821" s="132" t="s">
        <v>24</v>
      </c>
      <c r="F1821" s="97" t="str">
        <f ca="1">IF(OR(Market_Data[[#This Row],[Start Date]]="",Market_Data[[#This Row],[Completion Date]]=""),"Needs Validation",IF(Market_Data[[#This Row],[Start Date]]&gt;TODAY(),"Planned",IF(Market_Data[[#This Row],[Completion Date]]&lt;TODAY(),"Completed","Ongoing")))</f>
        <v>Ongoing</v>
      </c>
      <c r="G1821" s="324">
        <v>44160</v>
      </c>
      <c r="H1821" s="324">
        <v>46568</v>
      </c>
      <c r="I1821" s="325">
        <v>10400</v>
      </c>
      <c r="J182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21" s="133">
        <f>_xlfn.XLOOKUP(Market_Data[[#This Row],[Project Type]],tbl_assumptions_market[Project Category (RERA)],tbl_assumptions_market[Concrete Intensity
(m³ / sq m BUA)],"",0)</f>
        <v>0.45</v>
      </c>
      <c r="L1821" s="134">
        <f>ROUND(Market_Data[[#This Row],[Estimated Built Up Area (sq m)]]*Market_Data[[#This Row],[Concrete Intensity
(m³ / sq m)]],0)</f>
        <v>4680</v>
      </c>
      <c r="M1821" s="135">
        <f>_xlfn.XLOOKUP(Market_Data[[#This Row],[District]],tbl_district_price[District],tbl_district_price[Standard Price
(INR/m³)],"",0)</f>
        <v>6200</v>
      </c>
      <c r="N1821" s="364">
        <f>IF(OR(Market_Data[[#This Row],[Estimated Concrete Demand (m³)]]="",Market_Data[[#This Row],[Avg Price per (₹ / m³)]]=""),"",Market_Data[[#This Row],[Estimated Concrete Demand (m³)]]*Market_Data[[#This Row],[Avg Price per (₹ / m³)]]/10000000)</f>
        <v>2.9016000000000002</v>
      </c>
      <c r="O1821" s="97" t="str">
        <f>IF(Market_Data[[#This Row],[Estimated Concrete Demand (m³)]]="","",
IF(Market_Data[[#This Row],[Estimated Concrete Demand (m³)]]&lt;10000,"Small",
IF(Market_Data[[#This Row],[Estimated Concrete Demand (m³)]]&lt;25000,"Medium",
IF(Market_Data[[#This Row],[Estimated Concrete Demand (m³)]]&lt;100000,"Large","Mega"))))</f>
        <v>Small</v>
      </c>
      <c r="P1821" s="287" t="str">
        <f t="shared" si="30"/>
        <v>GujRERA</v>
      </c>
    </row>
    <row r="1822" spans="1:16">
      <c r="A1822" s="129" t="str">
        <f>_xlfn.XLOOKUP(B1822,$S$9:$S$14,$T$9:$T$14)&amp;"-"&amp;
IF(E1822="Residential/Group Housing","RES",
IF(E1822="Commercial","COM",
IF(E1822="Mixed Development","MIX",
IF(E1822="Plotted Development","PLT","OTH"))))
&amp;"-"&amp;TEXT(COUNTIFS($B$9:B1822,B1822,$E$9:E1822,E1822),"0000")</f>
        <v>SUR-RES-0579</v>
      </c>
      <c r="B1822" s="322" t="s">
        <v>34</v>
      </c>
      <c r="C1822" s="322" t="s">
        <v>34</v>
      </c>
      <c r="D1822" s="323" t="s">
        <v>2012</v>
      </c>
      <c r="E1822" s="132" t="s">
        <v>24</v>
      </c>
      <c r="F1822" s="97" t="str">
        <f ca="1">IF(OR(Market_Data[[#This Row],[Start Date]]="",Market_Data[[#This Row],[Completion Date]]=""),"Needs Validation",IF(Market_Data[[#This Row],[Start Date]]&gt;TODAY(),"Planned",IF(Market_Data[[#This Row],[Completion Date]]&lt;TODAY(),"Completed","Ongoing")))</f>
        <v>Ongoing</v>
      </c>
      <c r="G1822" s="324">
        <v>44566</v>
      </c>
      <c r="H1822" s="324">
        <v>46934</v>
      </c>
      <c r="I1822" s="325">
        <v>22700</v>
      </c>
      <c r="J182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22" s="133">
        <f>_xlfn.XLOOKUP(Market_Data[[#This Row],[Project Type]],tbl_assumptions_market[Project Category (RERA)],tbl_assumptions_market[Concrete Intensity
(m³ / sq m BUA)],"",0)</f>
        <v>0.45</v>
      </c>
      <c r="L1822" s="134">
        <f>ROUND(Market_Data[[#This Row],[Estimated Built Up Area (sq m)]]*Market_Data[[#This Row],[Concrete Intensity
(m³ / sq m)]],0)</f>
        <v>10215</v>
      </c>
      <c r="M1822" s="135">
        <f>_xlfn.XLOOKUP(Market_Data[[#This Row],[District]],tbl_district_price[District],tbl_district_price[Standard Price
(INR/m³)],"",0)</f>
        <v>6200</v>
      </c>
      <c r="N1822" s="364">
        <f>IF(OR(Market_Data[[#This Row],[Estimated Concrete Demand (m³)]]="",Market_Data[[#This Row],[Avg Price per (₹ / m³)]]=""),"",Market_Data[[#This Row],[Estimated Concrete Demand (m³)]]*Market_Data[[#This Row],[Avg Price per (₹ / m³)]]/10000000)</f>
        <v>6.3333000000000004</v>
      </c>
      <c r="O1822" s="97" t="str">
        <f>IF(Market_Data[[#This Row],[Estimated Concrete Demand (m³)]]="","",
IF(Market_Data[[#This Row],[Estimated Concrete Demand (m³)]]&lt;10000,"Small",
IF(Market_Data[[#This Row],[Estimated Concrete Demand (m³)]]&lt;25000,"Medium",
IF(Market_Data[[#This Row],[Estimated Concrete Demand (m³)]]&lt;100000,"Large","Mega"))))</f>
        <v>Medium</v>
      </c>
      <c r="P1822" s="287" t="str">
        <f t="shared" si="30"/>
        <v>GujRERA</v>
      </c>
    </row>
    <row r="1823" spans="1:16">
      <c r="A1823" s="129" t="str">
        <f>_xlfn.XLOOKUP(B1823,$S$9:$S$14,$T$9:$T$14)&amp;"-"&amp;
IF(E1823="Residential/Group Housing","RES",
IF(E1823="Commercial","COM",
IF(E1823="Mixed Development","MIX",
IF(E1823="Plotted Development","PLT","OTH"))))
&amp;"-"&amp;TEXT(COUNTIFS($B$9:B1823,B1823,$E$9:E1823,E1823),"0000")</f>
        <v>SUR-MIX-0294</v>
      </c>
      <c r="B1823" s="322" t="s">
        <v>34</v>
      </c>
      <c r="C1823" s="322" t="s">
        <v>34</v>
      </c>
      <c r="D1823" s="323" t="s">
        <v>2013</v>
      </c>
      <c r="E1823" s="132" t="s">
        <v>25</v>
      </c>
      <c r="F1823" s="97" t="str">
        <f ca="1">IF(OR(Market_Data[[#This Row],[Start Date]]="",Market_Data[[#This Row],[Completion Date]]=""),"Needs Validation",IF(Market_Data[[#This Row],[Start Date]]&gt;TODAY(),"Planned",IF(Market_Data[[#This Row],[Completion Date]]&lt;TODAY(),"Completed","Ongoing")))</f>
        <v>Completed</v>
      </c>
      <c r="G1823" s="324">
        <v>42994</v>
      </c>
      <c r="H1823" s="324">
        <v>44560</v>
      </c>
      <c r="I1823" s="325">
        <v>35600</v>
      </c>
      <c r="J182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23" s="133">
        <f>_xlfn.XLOOKUP(Market_Data[[#This Row],[Project Type]],tbl_assumptions_market[Project Category (RERA)],tbl_assumptions_market[Concrete Intensity
(m³ / sq m BUA)],"",0)</f>
        <v>0.42</v>
      </c>
      <c r="L1823" s="134">
        <f>ROUND(Market_Data[[#This Row],[Estimated Built Up Area (sq m)]]*Market_Data[[#This Row],[Concrete Intensity
(m³ / sq m)]],0)</f>
        <v>14952</v>
      </c>
      <c r="M1823" s="135">
        <f>_xlfn.XLOOKUP(Market_Data[[#This Row],[District]],tbl_district_price[District],tbl_district_price[Standard Price
(INR/m³)],"",0)</f>
        <v>6200</v>
      </c>
      <c r="N1823" s="364">
        <f>IF(OR(Market_Data[[#This Row],[Estimated Concrete Demand (m³)]]="",Market_Data[[#This Row],[Avg Price per (₹ / m³)]]=""),"",Market_Data[[#This Row],[Estimated Concrete Demand (m³)]]*Market_Data[[#This Row],[Avg Price per (₹ / m³)]]/10000000)</f>
        <v>9.2702399999999994</v>
      </c>
      <c r="O1823" s="97" t="str">
        <f>IF(Market_Data[[#This Row],[Estimated Concrete Demand (m³)]]="","",
IF(Market_Data[[#This Row],[Estimated Concrete Demand (m³)]]&lt;10000,"Small",
IF(Market_Data[[#This Row],[Estimated Concrete Demand (m³)]]&lt;25000,"Medium",
IF(Market_Data[[#This Row],[Estimated Concrete Demand (m³)]]&lt;100000,"Large","Mega"))))</f>
        <v>Medium</v>
      </c>
      <c r="P1823" s="287" t="str">
        <f t="shared" si="30"/>
        <v>GujRERA</v>
      </c>
    </row>
    <row r="1824" spans="1:16">
      <c r="A1824" s="129" t="str">
        <f>_xlfn.XLOOKUP(B1824,$S$9:$S$14,$T$9:$T$14)&amp;"-"&amp;
IF(E1824="Residential/Group Housing","RES",
IF(E1824="Commercial","COM",
IF(E1824="Mixed Development","MIX",
IF(E1824="Plotted Development","PLT","OTH"))))
&amp;"-"&amp;TEXT(COUNTIFS($B$9:B1824,B1824,$E$9:E1824,E1824),"0000")</f>
        <v>SUR-RES-0580</v>
      </c>
      <c r="B1824" s="322" t="s">
        <v>34</v>
      </c>
      <c r="C1824" s="322" t="s">
        <v>34</v>
      </c>
      <c r="D1824" s="323" t="s">
        <v>2014</v>
      </c>
      <c r="E1824" s="132" t="s">
        <v>24</v>
      </c>
      <c r="F1824" s="97" t="str">
        <f ca="1">IF(OR(Market_Data[[#This Row],[Start Date]]="",Market_Data[[#This Row],[Completion Date]]=""),"Needs Validation",IF(Market_Data[[#This Row],[Start Date]]&gt;TODAY(),"Planned",IF(Market_Data[[#This Row],[Completion Date]]&lt;TODAY(),"Completed","Ongoing")))</f>
        <v>Completed</v>
      </c>
      <c r="G1824" s="324">
        <v>42410</v>
      </c>
      <c r="H1824" s="324">
        <v>44316</v>
      </c>
      <c r="I1824" s="325">
        <v>25800</v>
      </c>
      <c r="J182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24" s="133">
        <f>_xlfn.XLOOKUP(Market_Data[[#This Row],[Project Type]],tbl_assumptions_market[Project Category (RERA)],tbl_assumptions_market[Concrete Intensity
(m³ / sq m BUA)],"",0)</f>
        <v>0.45</v>
      </c>
      <c r="L1824" s="134">
        <f>ROUND(Market_Data[[#This Row],[Estimated Built Up Area (sq m)]]*Market_Data[[#This Row],[Concrete Intensity
(m³ / sq m)]],0)</f>
        <v>11610</v>
      </c>
      <c r="M1824" s="135">
        <f>_xlfn.XLOOKUP(Market_Data[[#This Row],[District]],tbl_district_price[District],tbl_district_price[Standard Price
(INR/m³)],"",0)</f>
        <v>6200</v>
      </c>
      <c r="N1824" s="364">
        <f>IF(OR(Market_Data[[#This Row],[Estimated Concrete Demand (m³)]]="",Market_Data[[#This Row],[Avg Price per (₹ / m³)]]=""),"",Market_Data[[#This Row],[Estimated Concrete Demand (m³)]]*Market_Data[[#This Row],[Avg Price per (₹ / m³)]]/10000000)</f>
        <v>7.1981999999999999</v>
      </c>
      <c r="O1824" s="97" t="str">
        <f>IF(Market_Data[[#This Row],[Estimated Concrete Demand (m³)]]="","",
IF(Market_Data[[#This Row],[Estimated Concrete Demand (m³)]]&lt;10000,"Small",
IF(Market_Data[[#This Row],[Estimated Concrete Demand (m³)]]&lt;25000,"Medium",
IF(Market_Data[[#This Row],[Estimated Concrete Demand (m³)]]&lt;100000,"Large","Mega"))))</f>
        <v>Medium</v>
      </c>
      <c r="P1824" s="287" t="str">
        <f t="shared" si="30"/>
        <v>GujRERA</v>
      </c>
    </row>
    <row r="1825" spans="1:16">
      <c r="A1825" s="129" t="str">
        <f>_xlfn.XLOOKUP(B1825,$S$9:$S$14,$T$9:$T$14)&amp;"-"&amp;
IF(E1825="Residential/Group Housing","RES",
IF(E1825="Commercial","COM",
IF(E1825="Mixed Development","MIX",
IF(E1825="Plotted Development","PLT","OTH"))))
&amp;"-"&amp;TEXT(COUNTIFS($B$9:B1825,B1825,$E$9:E1825,E1825),"0000")</f>
        <v>SUR-COM-0300</v>
      </c>
      <c r="B1825" s="322" t="s">
        <v>34</v>
      </c>
      <c r="C1825" s="322" t="s">
        <v>34</v>
      </c>
      <c r="D1825" s="323" t="s">
        <v>2015</v>
      </c>
      <c r="E1825" s="132" t="s">
        <v>23</v>
      </c>
      <c r="F1825" s="97" t="str">
        <f ca="1">IF(OR(Market_Data[[#This Row],[Start Date]]="",Market_Data[[#This Row],[Completion Date]]=""),"Needs Validation",IF(Market_Data[[#This Row],[Start Date]]&gt;TODAY(),"Planned",IF(Market_Data[[#This Row],[Completion Date]]&lt;TODAY(),"Completed","Ongoing")))</f>
        <v>Ongoing</v>
      </c>
      <c r="G1825" s="324">
        <v>45413</v>
      </c>
      <c r="H1825" s="324">
        <v>47239</v>
      </c>
      <c r="I1825" s="325">
        <v>32200</v>
      </c>
      <c r="J182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825" s="133">
        <f>_xlfn.XLOOKUP(Market_Data[[#This Row],[Project Type]],tbl_assumptions_market[Project Category (RERA)],tbl_assumptions_market[Concrete Intensity
(m³ / sq m BUA)],"",0)</f>
        <v>0.5</v>
      </c>
      <c r="L1825" s="134">
        <f>ROUND(Market_Data[[#This Row],[Estimated Built Up Area (sq m)]]*Market_Data[[#This Row],[Concrete Intensity
(m³ / sq m)]],0)</f>
        <v>16100</v>
      </c>
      <c r="M1825" s="135">
        <f>_xlfn.XLOOKUP(Market_Data[[#This Row],[District]],tbl_district_price[District],tbl_district_price[Standard Price
(INR/m³)],"",0)</f>
        <v>6200</v>
      </c>
      <c r="N1825" s="364">
        <f>IF(OR(Market_Data[[#This Row],[Estimated Concrete Demand (m³)]]="",Market_Data[[#This Row],[Avg Price per (₹ / m³)]]=""),"",Market_Data[[#This Row],[Estimated Concrete Demand (m³)]]*Market_Data[[#This Row],[Avg Price per (₹ / m³)]]/10000000)</f>
        <v>9.9819999999999993</v>
      </c>
      <c r="O1825" s="97" t="str">
        <f>IF(Market_Data[[#This Row],[Estimated Concrete Demand (m³)]]="","",
IF(Market_Data[[#This Row],[Estimated Concrete Demand (m³)]]&lt;10000,"Small",
IF(Market_Data[[#This Row],[Estimated Concrete Demand (m³)]]&lt;25000,"Medium",
IF(Market_Data[[#This Row],[Estimated Concrete Demand (m³)]]&lt;100000,"Large","Mega"))))</f>
        <v>Medium</v>
      </c>
      <c r="P1825" s="287" t="str">
        <f t="shared" si="30"/>
        <v>GujRERA</v>
      </c>
    </row>
    <row r="1826" spans="1:16">
      <c r="A1826" s="129" t="str">
        <f>_xlfn.XLOOKUP(B1826,$S$9:$S$14,$T$9:$T$14)&amp;"-"&amp;
IF(E1826="Residential/Group Housing","RES",
IF(E1826="Commercial","COM",
IF(E1826="Mixed Development","MIX",
IF(E1826="Plotted Development","PLT","OTH"))))
&amp;"-"&amp;TEXT(COUNTIFS($B$9:B1826,B1826,$E$9:E1826,E1826),"0000")</f>
        <v>SUR-COM-0301</v>
      </c>
      <c r="B1826" s="322" t="s">
        <v>34</v>
      </c>
      <c r="C1826" s="322" t="s">
        <v>34</v>
      </c>
      <c r="D1826" s="323" t="s">
        <v>2016</v>
      </c>
      <c r="E1826" s="132" t="s">
        <v>23</v>
      </c>
      <c r="F1826" s="97" t="str">
        <f ca="1">IF(OR(Market_Data[[#This Row],[Start Date]]="",Market_Data[[#This Row],[Completion Date]]=""),"Needs Validation",IF(Market_Data[[#This Row],[Start Date]]&gt;TODAY(),"Planned",IF(Market_Data[[#This Row],[Completion Date]]&lt;TODAY(),"Completed","Ongoing")))</f>
        <v>Completed</v>
      </c>
      <c r="G1826" s="324">
        <v>42282</v>
      </c>
      <c r="H1826" s="324">
        <v>43226</v>
      </c>
      <c r="I1826" s="325">
        <v>8200</v>
      </c>
      <c r="J182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26" s="133">
        <f>_xlfn.XLOOKUP(Market_Data[[#This Row],[Project Type]],tbl_assumptions_market[Project Category (RERA)],tbl_assumptions_market[Concrete Intensity
(m³ / sq m BUA)],"",0)</f>
        <v>0.5</v>
      </c>
      <c r="L1826" s="134">
        <f>ROUND(Market_Data[[#This Row],[Estimated Built Up Area (sq m)]]*Market_Data[[#This Row],[Concrete Intensity
(m³ / sq m)]],0)</f>
        <v>4100</v>
      </c>
      <c r="M1826" s="135">
        <f>_xlfn.XLOOKUP(Market_Data[[#This Row],[District]],tbl_district_price[District],tbl_district_price[Standard Price
(INR/m³)],"",0)</f>
        <v>6200</v>
      </c>
      <c r="N1826" s="364">
        <f>IF(OR(Market_Data[[#This Row],[Estimated Concrete Demand (m³)]]="",Market_Data[[#This Row],[Avg Price per (₹ / m³)]]=""),"",Market_Data[[#This Row],[Estimated Concrete Demand (m³)]]*Market_Data[[#This Row],[Avg Price per (₹ / m³)]]/10000000)</f>
        <v>2.5419999999999998</v>
      </c>
      <c r="O1826" s="97" t="str">
        <f>IF(Market_Data[[#This Row],[Estimated Concrete Demand (m³)]]="","",
IF(Market_Data[[#This Row],[Estimated Concrete Demand (m³)]]&lt;10000,"Small",
IF(Market_Data[[#This Row],[Estimated Concrete Demand (m³)]]&lt;25000,"Medium",
IF(Market_Data[[#This Row],[Estimated Concrete Demand (m³)]]&lt;100000,"Large","Mega"))))</f>
        <v>Small</v>
      </c>
      <c r="P1826" s="287" t="str">
        <f t="shared" si="30"/>
        <v>GujRERA</v>
      </c>
    </row>
    <row r="1827" spans="1:16">
      <c r="A1827" s="129" t="str">
        <f>_xlfn.XLOOKUP(B1827,$S$9:$S$14,$T$9:$T$14)&amp;"-"&amp;
IF(E1827="Residential/Group Housing","RES",
IF(E1827="Commercial","COM",
IF(E1827="Mixed Development","MIX",
IF(E1827="Plotted Development","PLT","OTH"))))
&amp;"-"&amp;TEXT(COUNTIFS($B$9:B1827,B1827,$E$9:E1827,E1827),"0000")</f>
        <v>SUR-COM-0302</v>
      </c>
      <c r="B1827" s="322" t="s">
        <v>34</v>
      </c>
      <c r="C1827" s="322" t="s">
        <v>34</v>
      </c>
      <c r="D1827" s="323" t="s">
        <v>2017</v>
      </c>
      <c r="E1827" s="132" t="s">
        <v>23</v>
      </c>
      <c r="F1827" s="97" t="str">
        <f ca="1">IF(OR(Market_Data[[#This Row],[Start Date]]="",Market_Data[[#This Row],[Completion Date]]=""),"Needs Validation",IF(Market_Data[[#This Row],[Start Date]]&gt;TODAY(),"Planned",IF(Market_Data[[#This Row],[Completion Date]]&lt;TODAY(),"Completed","Ongoing")))</f>
        <v>Completed</v>
      </c>
      <c r="G1827" s="324">
        <v>42648</v>
      </c>
      <c r="H1827" s="324">
        <v>44743</v>
      </c>
      <c r="I1827" s="325">
        <v>9000</v>
      </c>
      <c r="J182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27" s="133">
        <f>_xlfn.XLOOKUP(Market_Data[[#This Row],[Project Type]],tbl_assumptions_market[Project Category (RERA)],tbl_assumptions_market[Concrete Intensity
(m³ / sq m BUA)],"",0)</f>
        <v>0.5</v>
      </c>
      <c r="L1827" s="134">
        <f>ROUND(Market_Data[[#This Row],[Estimated Built Up Area (sq m)]]*Market_Data[[#This Row],[Concrete Intensity
(m³ / sq m)]],0)</f>
        <v>4500</v>
      </c>
      <c r="M1827" s="135">
        <f>_xlfn.XLOOKUP(Market_Data[[#This Row],[District]],tbl_district_price[District],tbl_district_price[Standard Price
(INR/m³)],"",0)</f>
        <v>6200</v>
      </c>
      <c r="N1827" s="364">
        <f>IF(OR(Market_Data[[#This Row],[Estimated Concrete Demand (m³)]]="",Market_Data[[#This Row],[Avg Price per (₹ / m³)]]=""),"",Market_Data[[#This Row],[Estimated Concrete Demand (m³)]]*Market_Data[[#This Row],[Avg Price per (₹ / m³)]]/10000000)</f>
        <v>2.79</v>
      </c>
      <c r="O1827" s="97" t="str">
        <f>IF(Market_Data[[#This Row],[Estimated Concrete Demand (m³)]]="","",
IF(Market_Data[[#This Row],[Estimated Concrete Demand (m³)]]&lt;10000,"Small",
IF(Market_Data[[#This Row],[Estimated Concrete Demand (m³)]]&lt;25000,"Medium",
IF(Market_Data[[#This Row],[Estimated Concrete Demand (m³)]]&lt;100000,"Large","Mega"))))</f>
        <v>Small</v>
      </c>
      <c r="P1827" s="287" t="str">
        <f t="shared" si="30"/>
        <v>GujRERA</v>
      </c>
    </row>
    <row r="1828" spans="1:16">
      <c r="A1828" s="129" t="str">
        <f>_xlfn.XLOOKUP(B1828,$S$9:$S$14,$T$9:$T$14)&amp;"-"&amp;
IF(E1828="Residential/Group Housing","RES",
IF(E1828="Commercial","COM",
IF(E1828="Mixed Development","MIX",
IF(E1828="Plotted Development","PLT","OTH"))))
&amp;"-"&amp;TEXT(COUNTIFS($B$9:B1828,B1828,$E$9:E1828,E1828),"0000")</f>
        <v>SUR-COM-0303</v>
      </c>
      <c r="B1828" s="322" t="s">
        <v>34</v>
      </c>
      <c r="C1828" s="322" t="s">
        <v>34</v>
      </c>
      <c r="D1828" s="323" t="s">
        <v>2018</v>
      </c>
      <c r="E1828" s="132" t="s">
        <v>23</v>
      </c>
      <c r="F1828" s="97" t="str">
        <f ca="1">IF(OR(Market_Data[[#This Row],[Start Date]]="",Market_Data[[#This Row],[Completion Date]]=""),"Needs Validation",IF(Market_Data[[#This Row],[Start Date]]&gt;TODAY(),"Planned",IF(Market_Data[[#This Row],[Completion Date]]&lt;TODAY(),"Completed","Ongoing")))</f>
        <v>Completed</v>
      </c>
      <c r="G1828" s="324">
        <v>43084</v>
      </c>
      <c r="H1828" s="324">
        <v>45716</v>
      </c>
      <c r="I1828" s="325">
        <v>5900</v>
      </c>
      <c r="J182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28" s="133">
        <f>_xlfn.XLOOKUP(Market_Data[[#This Row],[Project Type]],tbl_assumptions_market[Project Category (RERA)],tbl_assumptions_market[Concrete Intensity
(m³ / sq m BUA)],"",0)</f>
        <v>0.5</v>
      </c>
      <c r="L1828" s="134">
        <f>ROUND(Market_Data[[#This Row],[Estimated Built Up Area (sq m)]]*Market_Data[[#This Row],[Concrete Intensity
(m³ / sq m)]],0)</f>
        <v>2950</v>
      </c>
      <c r="M1828" s="135">
        <f>_xlfn.XLOOKUP(Market_Data[[#This Row],[District]],tbl_district_price[District],tbl_district_price[Standard Price
(INR/m³)],"",0)</f>
        <v>6200</v>
      </c>
      <c r="N1828" s="364">
        <f>IF(OR(Market_Data[[#This Row],[Estimated Concrete Demand (m³)]]="",Market_Data[[#This Row],[Avg Price per (₹ / m³)]]=""),"",Market_Data[[#This Row],[Estimated Concrete Demand (m³)]]*Market_Data[[#This Row],[Avg Price per (₹ / m³)]]/10000000)</f>
        <v>1.829</v>
      </c>
      <c r="O1828" s="97" t="str">
        <f>IF(Market_Data[[#This Row],[Estimated Concrete Demand (m³)]]="","",
IF(Market_Data[[#This Row],[Estimated Concrete Demand (m³)]]&lt;10000,"Small",
IF(Market_Data[[#This Row],[Estimated Concrete Demand (m³)]]&lt;25000,"Medium",
IF(Market_Data[[#This Row],[Estimated Concrete Demand (m³)]]&lt;100000,"Large","Mega"))))</f>
        <v>Small</v>
      </c>
      <c r="P1828" s="287" t="str">
        <f t="shared" si="30"/>
        <v>GujRERA</v>
      </c>
    </row>
    <row r="1829" spans="1:16">
      <c r="A1829" s="129" t="str">
        <f>_xlfn.XLOOKUP(B1829,$S$9:$S$14,$T$9:$T$14)&amp;"-"&amp;
IF(E1829="Residential/Group Housing","RES",
IF(E1829="Commercial","COM",
IF(E1829="Mixed Development","MIX",
IF(E1829="Plotted Development","PLT","OTH"))))
&amp;"-"&amp;TEXT(COUNTIFS($B$9:B1829,B1829,$E$9:E1829,E1829),"0000")</f>
        <v>SUR-RES-0581</v>
      </c>
      <c r="B1829" s="322" t="s">
        <v>34</v>
      </c>
      <c r="C1829" s="322" t="s">
        <v>34</v>
      </c>
      <c r="D1829" s="323" t="s">
        <v>2019</v>
      </c>
      <c r="E1829" s="132" t="s">
        <v>24</v>
      </c>
      <c r="F1829" s="97" t="str">
        <f ca="1">IF(OR(Market_Data[[#This Row],[Start Date]]="",Market_Data[[#This Row],[Completion Date]]=""),"Needs Validation",IF(Market_Data[[#This Row],[Start Date]]&gt;TODAY(),"Planned",IF(Market_Data[[#This Row],[Completion Date]]&lt;TODAY(),"Completed","Ongoing")))</f>
        <v>Completed</v>
      </c>
      <c r="G1829" s="324">
        <v>43203</v>
      </c>
      <c r="H1829" s="324">
        <v>46234</v>
      </c>
      <c r="I1829" s="325">
        <v>47800</v>
      </c>
      <c r="J182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29" s="133">
        <f>_xlfn.XLOOKUP(Market_Data[[#This Row],[Project Type]],tbl_assumptions_market[Project Category (RERA)],tbl_assumptions_market[Concrete Intensity
(m³ / sq m BUA)],"",0)</f>
        <v>0.45</v>
      </c>
      <c r="L1829" s="134">
        <f>ROUND(Market_Data[[#This Row],[Estimated Built Up Area (sq m)]]*Market_Data[[#This Row],[Concrete Intensity
(m³ / sq m)]],0)</f>
        <v>21510</v>
      </c>
      <c r="M1829" s="135">
        <f>_xlfn.XLOOKUP(Market_Data[[#This Row],[District]],tbl_district_price[District],tbl_district_price[Standard Price
(INR/m³)],"",0)</f>
        <v>6200</v>
      </c>
      <c r="N1829" s="364">
        <f>IF(OR(Market_Data[[#This Row],[Estimated Concrete Demand (m³)]]="",Market_Data[[#This Row],[Avg Price per (₹ / m³)]]=""),"",Market_Data[[#This Row],[Estimated Concrete Demand (m³)]]*Market_Data[[#This Row],[Avg Price per (₹ / m³)]]/10000000)</f>
        <v>13.3362</v>
      </c>
      <c r="O1829" s="97" t="str">
        <f>IF(Market_Data[[#This Row],[Estimated Concrete Demand (m³)]]="","",
IF(Market_Data[[#This Row],[Estimated Concrete Demand (m³)]]&lt;10000,"Small",
IF(Market_Data[[#This Row],[Estimated Concrete Demand (m³)]]&lt;25000,"Medium",
IF(Market_Data[[#This Row],[Estimated Concrete Demand (m³)]]&lt;100000,"Large","Mega"))))</f>
        <v>Medium</v>
      </c>
      <c r="P1829" s="287" t="str">
        <f t="shared" si="30"/>
        <v>GujRERA</v>
      </c>
    </row>
    <row r="1830" spans="1:16">
      <c r="A1830" s="129" t="str">
        <f>_xlfn.XLOOKUP(B1830,$S$9:$S$14,$T$9:$T$14)&amp;"-"&amp;
IF(E1830="Residential/Group Housing","RES",
IF(E1830="Commercial","COM",
IF(E1830="Mixed Development","MIX",
IF(E1830="Plotted Development","PLT","OTH"))))
&amp;"-"&amp;TEXT(COUNTIFS($B$9:B1830,B1830,$E$9:E1830,E1830),"0000")</f>
        <v>SUR-COM-0304</v>
      </c>
      <c r="B1830" s="322" t="s">
        <v>34</v>
      </c>
      <c r="C1830" s="322" t="s">
        <v>34</v>
      </c>
      <c r="D1830" s="323" t="s">
        <v>2020</v>
      </c>
      <c r="E1830" s="132" t="s">
        <v>23</v>
      </c>
      <c r="F1830" s="97" t="str">
        <f ca="1">IF(OR(Market_Data[[#This Row],[Start Date]]="",Market_Data[[#This Row],[Completion Date]]=""),"Needs Validation",IF(Market_Data[[#This Row],[Start Date]]&gt;TODAY(),"Planned",IF(Market_Data[[#This Row],[Completion Date]]&lt;TODAY(),"Completed","Ongoing")))</f>
        <v>Ongoing</v>
      </c>
      <c r="G1830" s="324">
        <v>45566</v>
      </c>
      <c r="H1830" s="324">
        <v>47118</v>
      </c>
      <c r="I1830" s="325">
        <v>42800</v>
      </c>
      <c r="J183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830" s="133">
        <f>_xlfn.XLOOKUP(Market_Data[[#This Row],[Project Type]],tbl_assumptions_market[Project Category (RERA)],tbl_assumptions_market[Concrete Intensity
(m³ / sq m BUA)],"",0)</f>
        <v>0.5</v>
      </c>
      <c r="L1830" s="134">
        <f>ROUND(Market_Data[[#This Row],[Estimated Built Up Area (sq m)]]*Market_Data[[#This Row],[Concrete Intensity
(m³ / sq m)]],0)</f>
        <v>21400</v>
      </c>
      <c r="M1830" s="135">
        <f>_xlfn.XLOOKUP(Market_Data[[#This Row],[District]],tbl_district_price[District],tbl_district_price[Standard Price
(INR/m³)],"",0)</f>
        <v>6200</v>
      </c>
      <c r="N1830" s="364">
        <f>IF(OR(Market_Data[[#This Row],[Estimated Concrete Demand (m³)]]="",Market_Data[[#This Row],[Avg Price per (₹ / m³)]]=""),"",Market_Data[[#This Row],[Estimated Concrete Demand (m³)]]*Market_Data[[#This Row],[Avg Price per (₹ / m³)]]/10000000)</f>
        <v>13.268000000000001</v>
      </c>
      <c r="O1830" s="97" t="str">
        <f>IF(Market_Data[[#This Row],[Estimated Concrete Demand (m³)]]="","",
IF(Market_Data[[#This Row],[Estimated Concrete Demand (m³)]]&lt;10000,"Small",
IF(Market_Data[[#This Row],[Estimated Concrete Demand (m³)]]&lt;25000,"Medium",
IF(Market_Data[[#This Row],[Estimated Concrete Demand (m³)]]&lt;100000,"Large","Mega"))))</f>
        <v>Medium</v>
      </c>
      <c r="P1830" s="287" t="str">
        <f t="shared" si="30"/>
        <v>GujRERA</v>
      </c>
    </row>
    <row r="1831" spans="1:16">
      <c r="A1831" s="129" t="str">
        <f>_xlfn.XLOOKUP(B1831,$S$9:$S$14,$T$9:$T$14)&amp;"-"&amp;
IF(E1831="Residential/Group Housing","RES",
IF(E1831="Commercial","COM",
IF(E1831="Mixed Development","MIX",
IF(E1831="Plotted Development","PLT","OTH"))))
&amp;"-"&amp;TEXT(COUNTIFS($B$9:B1831,B1831,$E$9:E1831,E1831),"0000")</f>
        <v>SUR-PLT-0334</v>
      </c>
      <c r="B1831" s="322" t="s">
        <v>34</v>
      </c>
      <c r="C1831" s="322" t="s">
        <v>34</v>
      </c>
      <c r="D1831" s="323" t="s">
        <v>2021</v>
      </c>
      <c r="E1831" s="132" t="s">
        <v>26</v>
      </c>
      <c r="F1831" s="97" t="str">
        <f ca="1">IF(OR(Market_Data[[#This Row],[Start Date]]="",Market_Data[[#This Row],[Completion Date]]=""),"Needs Validation",IF(Market_Data[[#This Row],[Start Date]]&gt;TODAY(),"Planned",IF(Market_Data[[#This Row],[Completion Date]]&lt;TODAY(),"Completed","Ongoing")))</f>
        <v>Ongoing</v>
      </c>
      <c r="G1831" s="324">
        <v>45782</v>
      </c>
      <c r="H1831" s="324">
        <v>47118</v>
      </c>
      <c r="I1831" s="325">
        <v>20300</v>
      </c>
      <c r="J183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31" s="133">
        <f>_xlfn.XLOOKUP(Market_Data[[#This Row],[Project Type]],tbl_assumptions_market[Project Category (RERA)],tbl_assumptions_market[Concrete Intensity
(m³ / sq m BUA)],"",0)</f>
        <v>0.18</v>
      </c>
      <c r="L1831" s="134">
        <f>ROUND(Market_Data[[#This Row],[Estimated Built Up Area (sq m)]]*Market_Data[[#This Row],[Concrete Intensity
(m³ / sq m)]],0)</f>
        <v>3654</v>
      </c>
      <c r="M1831" s="135">
        <f>_xlfn.XLOOKUP(Market_Data[[#This Row],[District]],tbl_district_price[District],tbl_district_price[Standard Price
(INR/m³)],"",0)</f>
        <v>6200</v>
      </c>
      <c r="N1831" s="364">
        <f>IF(OR(Market_Data[[#This Row],[Estimated Concrete Demand (m³)]]="",Market_Data[[#This Row],[Avg Price per (₹ / m³)]]=""),"",Market_Data[[#This Row],[Estimated Concrete Demand (m³)]]*Market_Data[[#This Row],[Avg Price per (₹ / m³)]]/10000000)</f>
        <v>2.2654800000000002</v>
      </c>
      <c r="O1831" s="97" t="str">
        <f>IF(Market_Data[[#This Row],[Estimated Concrete Demand (m³)]]="","",
IF(Market_Data[[#This Row],[Estimated Concrete Demand (m³)]]&lt;10000,"Small",
IF(Market_Data[[#This Row],[Estimated Concrete Demand (m³)]]&lt;25000,"Medium",
IF(Market_Data[[#This Row],[Estimated Concrete Demand (m³)]]&lt;100000,"Large","Mega"))))</f>
        <v>Small</v>
      </c>
      <c r="P1831" s="287" t="str">
        <f t="shared" si="30"/>
        <v>GujRERA</v>
      </c>
    </row>
    <row r="1832" spans="1:16">
      <c r="A1832" s="129" t="str">
        <f>_xlfn.XLOOKUP(B1832,$S$9:$S$14,$T$9:$T$14)&amp;"-"&amp;
IF(E1832="Residential/Group Housing","RES",
IF(E1832="Commercial","COM",
IF(E1832="Mixed Development","MIX",
IF(E1832="Plotted Development","PLT","OTH"))))
&amp;"-"&amp;TEXT(COUNTIFS($B$9:B1832,B1832,$E$9:E1832,E1832),"0000")</f>
        <v>SUR-RES-0582</v>
      </c>
      <c r="B1832" s="322" t="s">
        <v>34</v>
      </c>
      <c r="C1832" s="322" t="s">
        <v>34</v>
      </c>
      <c r="D1832" s="323" t="s">
        <v>2022</v>
      </c>
      <c r="E1832" s="132" t="s">
        <v>24</v>
      </c>
      <c r="F1832" s="97" t="str">
        <f ca="1">IF(OR(Market_Data[[#This Row],[Start Date]]="",Market_Data[[#This Row],[Completion Date]]=""),"Needs Validation",IF(Market_Data[[#This Row],[Start Date]]&gt;TODAY(),"Planned",IF(Market_Data[[#This Row],[Completion Date]]&lt;TODAY(),"Completed","Ongoing")))</f>
        <v>Ongoing</v>
      </c>
      <c r="G1832" s="324">
        <v>44620</v>
      </c>
      <c r="H1832" s="324">
        <v>46477</v>
      </c>
      <c r="I1832" s="325">
        <v>130000</v>
      </c>
      <c r="J183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832" s="133">
        <f>_xlfn.XLOOKUP(Market_Data[[#This Row],[Project Type]],tbl_assumptions_market[Project Category (RERA)],tbl_assumptions_market[Concrete Intensity
(m³ / sq m BUA)],"",0)</f>
        <v>0.45</v>
      </c>
      <c r="L1832" s="134">
        <f>ROUND(Market_Data[[#This Row],[Estimated Built Up Area (sq m)]]*Market_Data[[#This Row],[Concrete Intensity
(m³ / sq m)]],0)</f>
        <v>58500</v>
      </c>
      <c r="M1832" s="135">
        <f>_xlfn.XLOOKUP(Market_Data[[#This Row],[District]],tbl_district_price[District],tbl_district_price[Standard Price
(INR/m³)],"",0)</f>
        <v>6200</v>
      </c>
      <c r="N1832" s="364">
        <f>IF(OR(Market_Data[[#This Row],[Estimated Concrete Demand (m³)]]="",Market_Data[[#This Row],[Avg Price per (₹ / m³)]]=""),"",Market_Data[[#This Row],[Estimated Concrete Demand (m³)]]*Market_Data[[#This Row],[Avg Price per (₹ / m³)]]/10000000)</f>
        <v>36.270000000000003</v>
      </c>
      <c r="O1832" s="97" t="str">
        <f>IF(Market_Data[[#This Row],[Estimated Concrete Demand (m³)]]="","",
IF(Market_Data[[#This Row],[Estimated Concrete Demand (m³)]]&lt;10000,"Small",
IF(Market_Data[[#This Row],[Estimated Concrete Demand (m³)]]&lt;25000,"Medium",
IF(Market_Data[[#This Row],[Estimated Concrete Demand (m³)]]&lt;100000,"Large","Mega"))))</f>
        <v>Large</v>
      </c>
      <c r="P1832" s="287" t="str">
        <f t="shared" si="30"/>
        <v>GujRERA</v>
      </c>
    </row>
    <row r="1833" spans="1:16">
      <c r="A1833" s="129" t="str">
        <f>_xlfn.XLOOKUP(B1833,$S$9:$S$14,$T$9:$T$14)&amp;"-"&amp;
IF(E1833="Residential/Group Housing","RES",
IF(E1833="Commercial","COM",
IF(E1833="Mixed Development","MIX",
IF(E1833="Plotted Development","PLT","OTH"))))
&amp;"-"&amp;TEXT(COUNTIFS($B$9:B1833,B1833,$E$9:E1833,E1833),"0000")</f>
        <v>SUR-MIX-0295</v>
      </c>
      <c r="B1833" s="322" t="s">
        <v>34</v>
      </c>
      <c r="C1833" s="322" t="s">
        <v>34</v>
      </c>
      <c r="D1833" s="323" t="s">
        <v>2023</v>
      </c>
      <c r="E1833" s="132" t="s">
        <v>25</v>
      </c>
      <c r="F1833" s="97" t="str">
        <f ca="1">IF(OR(Market_Data[[#This Row],[Start Date]]="",Market_Data[[#This Row],[Completion Date]]=""),"Needs Validation",IF(Market_Data[[#This Row],[Start Date]]&gt;TODAY(),"Planned",IF(Market_Data[[#This Row],[Completion Date]]&lt;TODAY(),"Completed","Ongoing")))</f>
        <v>Ongoing</v>
      </c>
      <c r="G1833" s="324">
        <v>45593</v>
      </c>
      <c r="H1833" s="324">
        <v>47483</v>
      </c>
      <c r="I1833" s="325">
        <v>46700</v>
      </c>
      <c r="J183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33" s="133">
        <f>_xlfn.XLOOKUP(Market_Data[[#This Row],[Project Type]],tbl_assumptions_market[Project Category (RERA)],tbl_assumptions_market[Concrete Intensity
(m³ / sq m BUA)],"",0)</f>
        <v>0.42</v>
      </c>
      <c r="L1833" s="134">
        <f>ROUND(Market_Data[[#This Row],[Estimated Built Up Area (sq m)]]*Market_Data[[#This Row],[Concrete Intensity
(m³ / sq m)]],0)</f>
        <v>19614</v>
      </c>
      <c r="M1833" s="135">
        <f>_xlfn.XLOOKUP(Market_Data[[#This Row],[District]],tbl_district_price[District],tbl_district_price[Standard Price
(INR/m³)],"",0)</f>
        <v>6200</v>
      </c>
      <c r="N1833" s="364">
        <f>IF(OR(Market_Data[[#This Row],[Estimated Concrete Demand (m³)]]="",Market_Data[[#This Row],[Avg Price per (₹ / m³)]]=""),"",Market_Data[[#This Row],[Estimated Concrete Demand (m³)]]*Market_Data[[#This Row],[Avg Price per (₹ / m³)]]/10000000)</f>
        <v>12.160679999999999</v>
      </c>
      <c r="O1833" s="97" t="str">
        <f>IF(Market_Data[[#This Row],[Estimated Concrete Demand (m³)]]="","",
IF(Market_Data[[#This Row],[Estimated Concrete Demand (m³)]]&lt;10000,"Small",
IF(Market_Data[[#This Row],[Estimated Concrete Demand (m³)]]&lt;25000,"Medium",
IF(Market_Data[[#This Row],[Estimated Concrete Demand (m³)]]&lt;100000,"Large","Mega"))))</f>
        <v>Medium</v>
      </c>
      <c r="P1833" s="287" t="str">
        <f t="shared" si="30"/>
        <v>GujRERA</v>
      </c>
    </row>
    <row r="1834" spans="1:16">
      <c r="A1834" s="129" t="str">
        <f>_xlfn.XLOOKUP(B1834,$S$9:$S$14,$T$9:$T$14)&amp;"-"&amp;
IF(E1834="Residential/Group Housing","RES",
IF(E1834="Commercial","COM",
IF(E1834="Mixed Development","MIX",
IF(E1834="Plotted Development","PLT","OTH"))))
&amp;"-"&amp;TEXT(COUNTIFS($B$9:B1834,B1834,$E$9:E1834,E1834),"0000")</f>
        <v>SUR-RES-0583</v>
      </c>
      <c r="B1834" s="322" t="s">
        <v>34</v>
      </c>
      <c r="C1834" s="322" t="s">
        <v>34</v>
      </c>
      <c r="D1834" s="323" t="s">
        <v>2024</v>
      </c>
      <c r="E1834" s="132" t="s">
        <v>24</v>
      </c>
      <c r="F1834" s="97" t="str">
        <f ca="1">IF(OR(Market_Data[[#This Row],[Start Date]]="",Market_Data[[#This Row],[Completion Date]]=""),"Needs Validation",IF(Market_Data[[#This Row],[Start Date]]&gt;TODAY(),"Planned",IF(Market_Data[[#This Row],[Completion Date]]&lt;TODAY(),"Completed","Ongoing")))</f>
        <v>Ongoing</v>
      </c>
      <c r="G1834" s="324">
        <v>45702</v>
      </c>
      <c r="H1834" s="324">
        <v>47483</v>
      </c>
      <c r="I1834" s="325">
        <v>39400</v>
      </c>
      <c r="J183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34" s="133">
        <f>_xlfn.XLOOKUP(Market_Data[[#This Row],[Project Type]],tbl_assumptions_market[Project Category (RERA)],tbl_assumptions_market[Concrete Intensity
(m³ / sq m BUA)],"",0)</f>
        <v>0.45</v>
      </c>
      <c r="L1834" s="134">
        <f>ROUND(Market_Data[[#This Row],[Estimated Built Up Area (sq m)]]*Market_Data[[#This Row],[Concrete Intensity
(m³ / sq m)]],0)</f>
        <v>17730</v>
      </c>
      <c r="M1834" s="135">
        <f>_xlfn.XLOOKUP(Market_Data[[#This Row],[District]],tbl_district_price[District],tbl_district_price[Standard Price
(INR/m³)],"",0)</f>
        <v>6200</v>
      </c>
      <c r="N1834" s="364">
        <f>IF(OR(Market_Data[[#This Row],[Estimated Concrete Demand (m³)]]="",Market_Data[[#This Row],[Avg Price per (₹ / m³)]]=""),"",Market_Data[[#This Row],[Estimated Concrete Demand (m³)]]*Market_Data[[#This Row],[Avg Price per (₹ / m³)]]/10000000)</f>
        <v>10.992599999999999</v>
      </c>
      <c r="O1834" s="97" t="str">
        <f>IF(Market_Data[[#This Row],[Estimated Concrete Demand (m³)]]="","",
IF(Market_Data[[#This Row],[Estimated Concrete Demand (m³)]]&lt;10000,"Small",
IF(Market_Data[[#This Row],[Estimated Concrete Demand (m³)]]&lt;25000,"Medium",
IF(Market_Data[[#This Row],[Estimated Concrete Demand (m³)]]&lt;100000,"Large","Mega"))))</f>
        <v>Medium</v>
      </c>
      <c r="P1834" s="287" t="str">
        <f t="shared" si="30"/>
        <v>GujRERA</v>
      </c>
    </row>
    <row r="1835" spans="1:16">
      <c r="A1835" s="129" t="str">
        <f>_xlfn.XLOOKUP(B1835,$S$9:$S$14,$T$9:$T$14)&amp;"-"&amp;
IF(E1835="Residential/Group Housing","RES",
IF(E1835="Commercial","COM",
IF(E1835="Mixed Development","MIX",
IF(E1835="Plotted Development","PLT","OTH"))))
&amp;"-"&amp;TEXT(COUNTIFS($B$9:B1835,B1835,$E$9:E1835,E1835),"0000")</f>
        <v>SUR-MIX-0296</v>
      </c>
      <c r="B1835" s="322" t="s">
        <v>34</v>
      </c>
      <c r="C1835" s="322" t="s">
        <v>34</v>
      </c>
      <c r="D1835" s="323" t="s">
        <v>2025</v>
      </c>
      <c r="E1835" s="132" t="s">
        <v>25</v>
      </c>
      <c r="F1835" s="97" t="str">
        <f ca="1">IF(OR(Market_Data[[#This Row],[Start Date]]="",Market_Data[[#This Row],[Completion Date]]=""),"Needs Validation",IF(Market_Data[[#This Row],[Start Date]]&gt;TODAY(),"Planned",IF(Market_Data[[#This Row],[Completion Date]]&lt;TODAY(),"Completed","Ongoing")))</f>
        <v>Completed</v>
      </c>
      <c r="G1835" s="324">
        <v>42835</v>
      </c>
      <c r="H1835" s="324">
        <v>43738</v>
      </c>
      <c r="I1835" s="325">
        <v>52100</v>
      </c>
      <c r="J183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35" s="133">
        <f>_xlfn.XLOOKUP(Market_Data[[#This Row],[Project Type]],tbl_assumptions_market[Project Category (RERA)],tbl_assumptions_market[Concrete Intensity
(m³ / sq m BUA)],"",0)</f>
        <v>0.42</v>
      </c>
      <c r="L1835" s="134">
        <f>ROUND(Market_Data[[#This Row],[Estimated Built Up Area (sq m)]]*Market_Data[[#This Row],[Concrete Intensity
(m³ / sq m)]],0)</f>
        <v>21882</v>
      </c>
      <c r="M1835" s="135">
        <f>_xlfn.XLOOKUP(Market_Data[[#This Row],[District]],tbl_district_price[District],tbl_district_price[Standard Price
(INR/m³)],"",0)</f>
        <v>6200</v>
      </c>
      <c r="N1835" s="364">
        <f>IF(OR(Market_Data[[#This Row],[Estimated Concrete Demand (m³)]]="",Market_Data[[#This Row],[Avg Price per (₹ / m³)]]=""),"",Market_Data[[#This Row],[Estimated Concrete Demand (m³)]]*Market_Data[[#This Row],[Avg Price per (₹ / m³)]]/10000000)</f>
        <v>13.566839999999999</v>
      </c>
      <c r="O1835" s="97" t="str">
        <f>IF(Market_Data[[#This Row],[Estimated Concrete Demand (m³)]]="","",
IF(Market_Data[[#This Row],[Estimated Concrete Demand (m³)]]&lt;10000,"Small",
IF(Market_Data[[#This Row],[Estimated Concrete Demand (m³)]]&lt;25000,"Medium",
IF(Market_Data[[#This Row],[Estimated Concrete Demand (m³)]]&lt;100000,"Large","Mega"))))</f>
        <v>Medium</v>
      </c>
      <c r="P1835" s="287" t="str">
        <f t="shared" si="30"/>
        <v>GujRERA</v>
      </c>
    </row>
    <row r="1836" spans="1:16">
      <c r="A1836" s="129" t="str">
        <f>_xlfn.XLOOKUP(B1836,$S$9:$S$14,$T$9:$T$14)&amp;"-"&amp;
IF(E1836="Residential/Group Housing","RES",
IF(E1836="Commercial","COM",
IF(E1836="Mixed Development","MIX",
IF(E1836="Plotted Development","PLT","OTH"))))
&amp;"-"&amp;TEXT(COUNTIFS($B$9:B1836,B1836,$E$9:E1836,E1836),"0000")</f>
        <v>SUR-RES-0584</v>
      </c>
      <c r="B1836" s="322" t="s">
        <v>34</v>
      </c>
      <c r="C1836" s="322" t="s">
        <v>34</v>
      </c>
      <c r="D1836" s="323" t="s">
        <v>2026</v>
      </c>
      <c r="E1836" s="132" t="s">
        <v>24</v>
      </c>
      <c r="F1836" s="97" t="str">
        <f ca="1">IF(OR(Market_Data[[#This Row],[Start Date]]="",Market_Data[[#This Row],[Completion Date]]=""),"Needs Validation",IF(Market_Data[[#This Row],[Start Date]]&gt;TODAY(),"Planned",IF(Market_Data[[#This Row],[Completion Date]]&lt;TODAY(),"Completed","Ongoing")))</f>
        <v>Completed</v>
      </c>
      <c r="G1836" s="324">
        <v>43148</v>
      </c>
      <c r="H1836" s="324">
        <v>44773</v>
      </c>
      <c r="I1836" s="325">
        <v>54200</v>
      </c>
      <c r="J183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36" s="133">
        <f>_xlfn.XLOOKUP(Market_Data[[#This Row],[Project Type]],tbl_assumptions_market[Project Category (RERA)],tbl_assumptions_market[Concrete Intensity
(m³ / sq m BUA)],"",0)</f>
        <v>0.45</v>
      </c>
      <c r="L1836" s="134">
        <f>ROUND(Market_Data[[#This Row],[Estimated Built Up Area (sq m)]]*Market_Data[[#This Row],[Concrete Intensity
(m³ / sq m)]],0)</f>
        <v>24390</v>
      </c>
      <c r="M1836" s="135">
        <f>_xlfn.XLOOKUP(Market_Data[[#This Row],[District]],tbl_district_price[District],tbl_district_price[Standard Price
(INR/m³)],"",0)</f>
        <v>6200</v>
      </c>
      <c r="N1836" s="364">
        <f>IF(OR(Market_Data[[#This Row],[Estimated Concrete Demand (m³)]]="",Market_Data[[#This Row],[Avg Price per (₹ / m³)]]=""),"",Market_Data[[#This Row],[Estimated Concrete Demand (m³)]]*Market_Data[[#This Row],[Avg Price per (₹ / m³)]]/10000000)</f>
        <v>15.1218</v>
      </c>
      <c r="O1836" s="97" t="str">
        <f>IF(Market_Data[[#This Row],[Estimated Concrete Demand (m³)]]="","",
IF(Market_Data[[#This Row],[Estimated Concrete Demand (m³)]]&lt;10000,"Small",
IF(Market_Data[[#This Row],[Estimated Concrete Demand (m³)]]&lt;25000,"Medium",
IF(Market_Data[[#This Row],[Estimated Concrete Demand (m³)]]&lt;100000,"Large","Mega"))))</f>
        <v>Medium</v>
      </c>
      <c r="P1836" s="287" t="str">
        <f t="shared" si="30"/>
        <v>GujRERA</v>
      </c>
    </row>
    <row r="1837" spans="1:16">
      <c r="A1837" s="129" t="str">
        <f>_xlfn.XLOOKUP(B1837,$S$9:$S$14,$T$9:$T$14)&amp;"-"&amp;
IF(E1837="Residential/Group Housing","RES",
IF(E1837="Commercial","COM",
IF(E1837="Mixed Development","MIX",
IF(E1837="Plotted Development","PLT","OTH"))))
&amp;"-"&amp;TEXT(COUNTIFS($B$9:B1837,B1837,$E$9:E1837,E1837),"0000")</f>
        <v>SUR-COM-0305</v>
      </c>
      <c r="B1837" s="322" t="s">
        <v>34</v>
      </c>
      <c r="C1837" s="322" t="s">
        <v>34</v>
      </c>
      <c r="D1837" s="323" t="s">
        <v>2027</v>
      </c>
      <c r="E1837" s="132" t="s">
        <v>23</v>
      </c>
      <c r="F1837" s="97" t="str">
        <f ca="1">IF(OR(Market_Data[[#This Row],[Start Date]]="",Market_Data[[#This Row],[Completion Date]]=""),"Needs Validation",IF(Market_Data[[#This Row],[Start Date]]&gt;TODAY(),"Planned",IF(Market_Data[[#This Row],[Completion Date]]&lt;TODAY(),"Completed","Ongoing")))</f>
        <v>Completed</v>
      </c>
      <c r="G1837" s="324">
        <v>42600</v>
      </c>
      <c r="H1837" s="324">
        <v>43555</v>
      </c>
      <c r="I1837" s="325">
        <v>13400</v>
      </c>
      <c r="J183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37" s="133">
        <f>_xlfn.XLOOKUP(Market_Data[[#This Row],[Project Type]],tbl_assumptions_market[Project Category (RERA)],tbl_assumptions_market[Concrete Intensity
(m³ / sq m BUA)],"",0)</f>
        <v>0.5</v>
      </c>
      <c r="L1837" s="134">
        <f>ROUND(Market_Data[[#This Row],[Estimated Built Up Area (sq m)]]*Market_Data[[#This Row],[Concrete Intensity
(m³ / sq m)]],0)</f>
        <v>6700</v>
      </c>
      <c r="M1837" s="135">
        <f>_xlfn.XLOOKUP(Market_Data[[#This Row],[District]],tbl_district_price[District],tbl_district_price[Standard Price
(INR/m³)],"",0)</f>
        <v>6200</v>
      </c>
      <c r="N1837" s="364">
        <f>IF(OR(Market_Data[[#This Row],[Estimated Concrete Demand (m³)]]="",Market_Data[[#This Row],[Avg Price per (₹ / m³)]]=""),"",Market_Data[[#This Row],[Estimated Concrete Demand (m³)]]*Market_Data[[#This Row],[Avg Price per (₹ / m³)]]/10000000)</f>
        <v>4.1539999999999999</v>
      </c>
      <c r="O1837" s="97" t="str">
        <f>IF(Market_Data[[#This Row],[Estimated Concrete Demand (m³)]]="","",
IF(Market_Data[[#This Row],[Estimated Concrete Demand (m³)]]&lt;10000,"Small",
IF(Market_Data[[#This Row],[Estimated Concrete Demand (m³)]]&lt;25000,"Medium",
IF(Market_Data[[#This Row],[Estimated Concrete Demand (m³)]]&lt;100000,"Large","Mega"))))</f>
        <v>Small</v>
      </c>
      <c r="P1837" s="287" t="str">
        <f t="shared" si="30"/>
        <v>GujRERA</v>
      </c>
    </row>
    <row r="1838" spans="1:16">
      <c r="A1838" s="129" t="str">
        <f>_xlfn.XLOOKUP(B1838,$S$9:$S$14,$T$9:$T$14)&amp;"-"&amp;
IF(E1838="Residential/Group Housing","RES",
IF(E1838="Commercial","COM",
IF(E1838="Mixed Development","MIX",
IF(E1838="Plotted Development","PLT","OTH"))))
&amp;"-"&amp;TEXT(COUNTIFS($B$9:B1838,B1838,$E$9:E1838,E1838),"0000")</f>
        <v>SUR-RES-0585</v>
      </c>
      <c r="B1838" s="322" t="s">
        <v>34</v>
      </c>
      <c r="C1838" s="322" t="s">
        <v>34</v>
      </c>
      <c r="D1838" s="323" t="s">
        <v>2028</v>
      </c>
      <c r="E1838" s="132" t="s">
        <v>24</v>
      </c>
      <c r="F1838" s="97" t="str">
        <f ca="1">IF(OR(Market_Data[[#This Row],[Start Date]]="",Market_Data[[#This Row],[Completion Date]]=""),"Needs Validation",IF(Market_Data[[#This Row],[Start Date]]&gt;TODAY(),"Planned",IF(Market_Data[[#This Row],[Completion Date]]&lt;TODAY(),"Completed","Ongoing")))</f>
        <v>Ongoing</v>
      </c>
      <c r="G1838" s="324">
        <v>45139</v>
      </c>
      <c r="H1838" s="324">
        <v>47483</v>
      </c>
      <c r="I1838" s="325">
        <v>36700</v>
      </c>
      <c r="J183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38" s="133">
        <f>_xlfn.XLOOKUP(Market_Data[[#This Row],[Project Type]],tbl_assumptions_market[Project Category (RERA)],tbl_assumptions_market[Concrete Intensity
(m³ / sq m BUA)],"",0)</f>
        <v>0.45</v>
      </c>
      <c r="L1838" s="134">
        <f>ROUND(Market_Data[[#This Row],[Estimated Built Up Area (sq m)]]*Market_Data[[#This Row],[Concrete Intensity
(m³ / sq m)]],0)</f>
        <v>16515</v>
      </c>
      <c r="M1838" s="135">
        <f>_xlfn.XLOOKUP(Market_Data[[#This Row],[District]],tbl_district_price[District],tbl_district_price[Standard Price
(INR/m³)],"",0)</f>
        <v>6200</v>
      </c>
      <c r="N1838" s="364">
        <f>IF(OR(Market_Data[[#This Row],[Estimated Concrete Demand (m³)]]="",Market_Data[[#This Row],[Avg Price per (₹ / m³)]]=""),"",Market_Data[[#This Row],[Estimated Concrete Demand (m³)]]*Market_Data[[#This Row],[Avg Price per (₹ / m³)]]/10000000)</f>
        <v>10.2393</v>
      </c>
      <c r="O1838" s="97" t="str">
        <f>IF(Market_Data[[#This Row],[Estimated Concrete Demand (m³)]]="","",
IF(Market_Data[[#This Row],[Estimated Concrete Demand (m³)]]&lt;10000,"Small",
IF(Market_Data[[#This Row],[Estimated Concrete Demand (m³)]]&lt;25000,"Medium",
IF(Market_Data[[#This Row],[Estimated Concrete Demand (m³)]]&lt;100000,"Large","Mega"))))</f>
        <v>Medium</v>
      </c>
      <c r="P1838" s="287" t="str">
        <f t="shared" si="30"/>
        <v>GujRERA</v>
      </c>
    </row>
    <row r="1839" spans="1:16">
      <c r="A1839" s="129" t="str">
        <f>_xlfn.XLOOKUP(B1839,$S$9:$S$14,$T$9:$T$14)&amp;"-"&amp;
IF(E1839="Residential/Group Housing","RES",
IF(E1839="Commercial","COM",
IF(E1839="Mixed Development","MIX",
IF(E1839="Plotted Development","PLT","OTH"))))
&amp;"-"&amp;TEXT(COUNTIFS($B$9:B1839,B1839,$E$9:E1839,E1839),"0000")</f>
        <v>SUR-PLT-0335</v>
      </c>
      <c r="B1839" s="322" t="s">
        <v>34</v>
      </c>
      <c r="C1839" s="322" t="s">
        <v>34</v>
      </c>
      <c r="D1839" s="323" t="s">
        <v>2029</v>
      </c>
      <c r="E1839" s="132" t="s">
        <v>26</v>
      </c>
      <c r="F1839" s="97" t="str">
        <f ca="1">IF(OR(Market_Data[[#This Row],[Start Date]]="",Market_Data[[#This Row],[Completion Date]]=""),"Needs Validation",IF(Market_Data[[#This Row],[Start Date]]&gt;TODAY(),"Planned",IF(Market_Data[[#This Row],[Completion Date]]&lt;TODAY(),"Completed","Ongoing")))</f>
        <v>Ongoing</v>
      </c>
      <c r="G1839" s="324">
        <v>45533</v>
      </c>
      <c r="H1839" s="324">
        <v>46387</v>
      </c>
      <c r="I1839" s="325">
        <v>30100</v>
      </c>
      <c r="J183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839" s="133">
        <f>_xlfn.XLOOKUP(Market_Data[[#This Row],[Project Type]],tbl_assumptions_market[Project Category (RERA)],tbl_assumptions_market[Concrete Intensity
(m³ / sq m BUA)],"",0)</f>
        <v>0.18</v>
      </c>
      <c r="L1839" s="134">
        <f>ROUND(Market_Data[[#This Row],[Estimated Built Up Area (sq m)]]*Market_Data[[#This Row],[Concrete Intensity
(m³ / sq m)]],0)</f>
        <v>5418</v>
      </c>
      <c r="M1839" s="135">
        <f>_xlfn.XLOOKUP(Market_Data[[#This Row],[District]],tbl_district_price[District],tbl_district_price[Standard Price
(INR/m³)],"",0)</f>
        <v>6200</v>
      </c>
      <c r="N1839" s="364">
        <f>IF(OR(Market_Data[[#This Row],[Estimated Concrete Demand (m³)]]="",Market_Data[[#This Row],[Avg Price per (₹ / m³)]]=""),"",Market_Data[[#This Row],[Estimated Concrete Demand (m³)]]*Market_Data[[#This Row],[Avg Price per (₹ / m³)]]/10000000)</f>
        <v>3.3591600000000001</v>
      </c>
      <c r="O1839" s="97" t="str">
        <f>IF(Market_Data[[#This Row],[Estimated Concrete Demand (m³)]]="","",
IF(Market_Data[[#This Row],[Estimated Concrete Demand (m³)]]&lt;10000,"Small",
IF(Market_Data[[#This Row],[Estimated Concrete Demand (m³)]]&lt;25000,"Medium",
IF(Market_Data[[#This Row],[Estimated Concrete Demand (m³)]]&lt;100000,"Large","Mega"))))</f>
        <v>Small</v>
      </c>
      <c r="P1839" s="287" t="str">
        <f t="shared" si="30"/>
        <v>GujRERA</v>
      </c>
    </row>
    <row r="1840" spans="1:16">
      <c r="A1840" s="129" t="str">
        <f>_xlfn.XLOOKUP(B1840,$S$9:$S$14,$T$9:$T$14)&amp;"-"&amp;
IF(E1840="Residential/Group Housing","RES",
IF(E1840="Commercial","COM",
IF(E1840="Mixed Development","MIX",
IF(E1840="Plotted Development","PLT","OTH"))))
&amp;"-"&amp;TEXT(COUNTIFS($B$9:B1840,B1840,$E$9:E1840,E1840),"0000")</f>
        <v>SUR-MIX-0297</v>
      </c>
      <c r="B1840" s="322" t="s">
        <v>34</v>
      </c>
      <c r="C1840" s="322" t="s">
        <v>34</v>
      </c>
      <c r="D1840" s="323" t="s">
        <v>2030</v>
      </c>
      <c r="E1840" s="132" t="s">
        <v>25</v>
      </c>
      <c r="F1840" s="97" t="str">
        <f ca="1">IF(OR(Market_Data[[#This Row],[Start Date]]="",Market_Data[[#This Row],[Completion Date]]=""),"Needs Validation",IF(Market_Data[[#This Row],[Start Date]]&gt;TODAY(),"Planned",IF(Market_Data[[#This Row],[Completion Date]]&lt;TODAY(),"Completed","Ongoing")))</f>
        <v>Completed</v>
      </c>
      <c r="G1840" s="324">
        <v>41103</v>
      </c>
      <c r="H1840" s="324">
        <v>45107</v>
      </c>
      <c r="I1840" s="325">
        <v>11200</v>
      </c>
      <c r="J184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40" s="133">
        <f>_xlfn.XLOOKUP(Market_Data[[#This Row],[Project Type]],tbl_assumptions_market[Project Category (RERA)],tbl_assumptions_market[Concrete Intensity
(m³ / sq m BUA)],"",0)</f>
        <v>0.42</v>
      </c>
      <c r="L1840" s="134">
        <f>ROUND(Market_Data[[#This Row],[Estimated Built Up Area (sq m)]]*Market_Data[[#This Row],[Concrete Intensity
(m³ / sq m)]],0)</f>
        <v>4704</v>
      </c>
      <c r="M1840" s="135">
        <f>_xlfn.XLOOKUP(Market_Data[[#This Row],[District]],tbl_district_price[District],tbl_district_price[Standard Price
(INR/m³)],"",0)</f>
        <v>6200</v>
      </c>
      <c r="N1840" s="364">
        <f>IF(OR(Market_Data[[#This Row],[Estimated Concrete Demand (m³)]]="",Market_Data[[#This Row],[Avg Price per (₹ / m³)]]=""),"",Market_Data[[#This Row],[Estimated Concrete Demand (m³)]]*Market_Data[[#This Row],[Avg Price per (₹ / m³)]]/10000000)</f>
        <v>2.91648</v>
      </c>
      <c r="O1840" s="97" t="str">
        <f>IF(Market_Data[[#This Row],[Estimated Concrete Demand (m³)]]="","",
IF(Market_Data[[#This Row],[Estimated Concrete Demand (m³)]]&lt;10000,"Small",
IF(Market_Data[[#This Row],[Estimated Concrete Demand (m³)]]&lt;25000,"Medium",
IF(Market_Data[[#This Row],[Estimated Concrete Demand (m³)]]&lt;100000,"Large","Mega"))))</f>
        <v>Small</v>
      </c>
      <c r="P1840" s="287" t="str">
        <f t="shared" si="30"/>
        <v>GujRERA</v>
      </c>
    </row>
    <row r="1841" spans="1:16">
      <c r="A1841" s="129" t="str">
        <f>_xlfn.XLOOKUP(B1841,$S$9:$S$14,$T$9:$T$14)&amp;"-"&amp;
IF(E1841="Residential/Group Housing","RES",
IF(E1841="Commercial","COM",
IF(E1841="Mixed Development","MIX",
IF(E1841="Plotted Development","PLT","OTH"))))
&amp;"-"&amp;TEXT(COUNTIFS($B$9:B1841,B1841,$E$9:E1841,E1841),"0000")</f>
        <v>SUR-MIX-0298</v>
      </c>
      <c r="B1841" s="322" t="s">
        <v>34</v>
      </c>
      <c r="C1841" s="322" t="s">
        <v>34</v>
      </c>
      <c r="D1841" s="323" t="s">
        <v>2031</v>
      </c>
      <c r="E1841" s="132" t="s">
        <v>25</v>
      </c>
      <c r="F1841" s="97" t="str">
        <f ca="1">IF(OR(Market_Data[[#This Row],[Start Date]]="",Market_Data[[#This Row],[Completion Date]]=""),"Needs Validation",IF(Market_Data[[#This Row],[Start Date]]&gt;TODAY(),"Planned",IF(Market_Data[[#This Row],[Completion Date]]&lt;TODAY(),"Completed","Ongoing")))</f>
        <v>Ongoing</v>
      </c>
      <c r="G1841" s="324">
        <v>45705</v>
      </c>
      <c r="H1841" s="324">
        <v>47299</v>
      </c>
      <c r="I1841" s="325">
        <v>67100</v>
      </c>
      <c r="J184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41" s="133">
        <f>_xlfn.XLOOKUP(Market_Data[[#This Row],[Project Type]],tbl_assumptions_market[Project Category (RERA)],tbl_assumptions_market[Concrete Intensity
(m³ / sq m BUA)],"",0)</f>
        <v>0.42</v>
      </c>
      <c r="L1841" s="134">
        <f>ROUND(Market_Data[[#This Row],[Estimated Built Up Area (sq m)]]*Market_Data[[#This Row],[Concrete Intensity
(m³ / sq m)]],0)</f>
        <v>28182</v>
      </c>
      <c r="M1841" s="135">
        <f>_xlfn.XLOOKUP(Market_Data[[#This Row],[District]],tbl_district_price[District],tbl_district_price[Standard Price
(INR/m³)],"",0)</f>
        <v>6200</v>
      </c>
      <c r="N1841" s="364">
        <f>IF(OR(Market_Data[[#This Row],[Estimated Concrete Demand (m³)]]="",Market_Data[[#This Row],[Avg Price per (₹ / m³)]]=""),"",Market_Data[[#This Row],[Estimated Concrete Demand (m³)]]*Market_Data[[#This Row],[Avg Price per (₹ / m³)]]/10000000)</f>
        <v>17.472840000000001</v>
      </c>
      <c r="O1841" s="97" t="str">
        <f>IF(Market_Data[[#This Row],[Estimated Concrete Demand (m³)]]="","",
IF(Market_Data[[#This Row],[Estimated Concrete Demand (m³)]]&lt;10000,"Small",
IF(Market_Data[[#This Row],[Estimated Concrete Demand (m³)]]&lt;25000,"Medium",
IF(Market_Data[[#This Row],[Estimated Concrete Demand (m³)]]&lt;100000,"Large","Mega"))))</f>
        <v>Large</v>
      </c>
      <c r="P1841" s="287" t="str">
        <f t="shared" si="30"/>
        <v>GujRERA</v>
      </c>
    </row>
    <row r="1842" spans="1:16">
      <c r="A1842" s="129" t="str">
        <f>_xlfn.XLOOKUP(B1842,$S$9:$S$14,$T$9:$T$14)&amp;"-"&amp;
IF(E1842="Residential/Group Housing","RES",
IF(E1842="Commercial","COM",
IF(E1842="Mixed Development","MIX",
IF(E1842="Plotted Development","PLT","OTH"))))
&amp;"-"&amp;TEXT(COUNTIFS($B$9:B1842,B1842,$E$9:E1842,E1842),"0000")</f>
        <v>SUR-RES-0586</v>
      </c>
      <c r="B1842" s="322" t="s">
        <v>34</v>
      </c>
      <c r="C1842" s="322" t="s">
        <v>34</v>
      </c>
      <c r="D1842" s="323" t="s">
        <v>2032</v>
      </c>
      <c r="E1842" s="132" t="s">
        <v>24</v>
      </c>
      <c r="F1842" s="97" t="str">
        <f ca="1">IF(OR(Market_Data[[#This Row],[Start Date]]="",Market_Data[[#This Row],[Completion Date]]=""),"Needs Validation",IF(Market_Data[[#This Row],[Start Date]]&gt;TODAY(),"Planned",IF(Market_Data[[#This Row],[Completion Date]]&lt;TODAY(),"Completed","Ongoing")))</f>
        <v>Ongoing</v>
      </c>
      <c r="G1842" s="324">
        <v>45047</v>
      </c>
      <c r="H1842" s="324">
        <v>46477</v>
      </c>
      <c r="I1842" s="325">
        <v>58000</v>
      </c>
      <c r="J184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42" s="133">
        <f>_xlfn.XLOOKUP(Market_Data[[#This Row],[Project Type]],tbl_assumptions_market[Project Category (RERA)],tbl_assumptions_market[Concrete Intensity
(m³ / sq m BUA)],"",0)</f>
        <v>0.45</v>
      </c>
      <c r="L1842" s="134">
        <f>ROUND(Market_Data[[#This Row],[Estimated Built Up Area (sq m)]]*Market_Data[[#This Row],[Concrete Intensity
(m³ / sq m)]],0)</f>
        <v>26100</v>
      </c>
      <c r="M1842" s="135">
        <f>_xlfn.XLOOKUP(Market_Data[[#This Row],[District]],tbl_district_price[District],tbl_district_price[Standard Price
(INR/m³)],"",0)</f>
        <v>6200</v>
      </c>
      <c r="N1842" s="364">
        <f>IF(OR(Market_Data[[#This Row],[Estimated Concrete Demand (m³)]]="",Market_Data[[#This Row],[Avg Price per (₹ / m³)]]=""),"",Market_Data[[#This Row],[Estimated Concrete Demand (m³)]]*Market_Data[[#This Row],[Avg Price per (₹ / m³)]]/10000000)</f>
        <v>16.181999999999999</v>
      </c>
      <c r="O1842" s="97" t="str">
        <f>IF(Market_Data[[#This Row],[Estimated Concrete Demand (m³)]]="","",
IF(Market_Data[[#This Row],[Estimated Concrete Demand (m³)]]&lt;10000,"Small",
IF(Market_Data[[#This Row],[Estimated Concrete Demand (m³)]]&lt;25000,"Medium",
IF(Market_Data[[#This Row],[Estimated Concrete Demand (m³)]]&lt;100000,"Large","Mega"))))</f>
        <v>Large</v>
      </c>
      <c r="P1842" s="287" t="str">
        <f t="shared" si="30"/>
        <v>GujRERA</v>
      </c>
    </row>
    <row r="1843" spans="1:16">
      <c r="A1843" s="129" t="str">
        <f>_xlfn.XLOOKUP(B1843,$S$9:$S$14,$T$9:$T$14)&amp;"-"&amp;
IF(E1843="Residential/Group Housing","RES",
IF(E1843="Commercial","COM",
IF(E1843="Mixed Development","MIX",
IF(E1843="Plotted Development","PLT","OTH"))))
&amp;"-"&amp;TEXT(COUNTIFS($B$9:B1843,B1843,$E$9:E1843,E1843),"0000")</f>
        <v>SUR-RES-0587</v>
      </c>
      <c r="B1843" s="322" t="s">
        <v>34</v>
      </c>
      <c r="C1843" s="322" t="s">
        <v>34</v>
      </c>
      <c r="D1843" s="323" t="s">
        <v>2033</v>
      </c>
      <c r="E1843" s="132" t="s">
        <v>24</v>
      </c>
      <c r="F1843" s="97" t="str">
        <f ca="1">IF(OR(Market_Data[[#This Row],[Start Date]]="",Market_Data[[#This Row],[Completion Date]]=""),"Needs Validation",IF(Market_Data[[#This Row],[Start Date]]&gt;TODAY(),"Planned",IF(Market_Data[[#This Row],[Completion Date]]&lt;TODAY(),"Completed","Ongoing")))</f>
        <v>Ongoing</v>
      </c>
      <c r="G1843" s="324">
        <v>45469</v>
      </c>
      <c r="H1843" s="324">
        <v>47483</v>
      </c>
      <c r="I1843" s="325">
        <v>45300</v>
      </c>
      <c r="J184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43" s="133">
        <f>_xlfn.XLOOKUP(Market_Data[[#This Row],[Project Type]],tbl_assumptions_market[Project Category (RERA)],tbl_assumptions_market[Concrete Intensity
(m³ / sq m BUA)],"",0)</f>
        <v>0.45</v>
      </c>
      <c r="L1843" s="134">
        <f>ROUND(Market_Data[[#This Row],[Estimated Built Up Area (sq m)]]*Market_Data[[#This Row],[Concrete Intensity
(m³ / sq m)]],0)</f>
        <v>20385</v>
      </c>
      <c r="M1843" s="135">
        <f>_xlfn.XLOOKUP(Market_Data[[#This Row],[District]],tbl_district_price[District],tbl_district_price[Standard Price
(INR/m³)],"",0)</f>
        <v>6200</v>
      </c>
      <c r="N1843" s="364">
        <f>IF(OR(Market_Data[[#This Row],[Estimated Concrete Demand (m³)]]="",Market_Data[[#This Row],[Avg Price per (₹ / m³)]]=""),"",Market_Data[[#This Row],[Estimated Concrete Demand (m³)]]*Market_Data[[#This Row],[Avg Price per (₹ / m³)]]/10000000)</f>
        <v>12.6387</v>
      </c>
      <c r="O1843" s="97" t="str">
        <f>IF(Market_Data[[#This Row],[Estimated Concrete Demand (m³)]]="","",
IF(Market_Data[[#This Row],[Estimated Concrete Demand (m³)]]&lt;10000,"Small",
IF(Market_Data[[#This Row],[Estimated Concrete Demand (m³)]]&lt;25000,"Medium",
IF(Market_Data[[#This Row],[Estimated Concrete Demand (m³)]]&lt;100000,"Large","Mega"))))</f>
        <v>Medium</v>
      </c>
      <c r="P1843" s="287" t="str">
        <f t="shared" si="30"/>
        <v>GujRERA</v>
      </c>
    </row>
    <row r="1844" spans="1:16">
      <c r="A1844" s="129" t="str">
        <f>_xlfn.XLOOKUP(B1844,$S$9:$S$14,$T$9:$T$14)&amp;"-"&amp;
IF(E1844="Residential/Group Housing","RES",
IF(E1844="Commercial","COM",
IF(E1844="Mixed Development","MIX",
IF(E1844="Plotted Development","PLT","OTH"))))
&amp;"-"&amp;TEXT(COUNTIFS($B$9:B1844,B1844,$E$9:E1844,E1844),"0000")</f>
        <v>SUR-COM-0306</v>
      </c>
      <c r="B1844" s="322" t="s">
        <v>34</v>
      </c>
      <c r="C1844" s="322" t="s">
        <v>34</v>
      </c>
      <c r="D1844" s="323" t="s">
        <v>2034</v>
      </c>
      <c r="E1844" s="132" t="s">
        <v>23</v>
      </c>
      <c r="F1844" s="97" t="str">
        <f ca="1">IF(OR(Market_Data[[#This Row],[Start Date]]="",Market_Data[[#This Row],[Completion Date]]=""),"Needs Validation",IF(Market_Data[[#This Row],[Start Date]]&gt;TODAY(),"Planned",IF(Market_Data[[#This Row],[Completion Date]]&lt;TODAY(),"Completed","Ongoing")))</f>
        <v>Completed</v>
      </c>
      <c r="G1844" s="324">
        <v>42876</v>
      </c>
      <c r="H1844" s="324">
        <v>43555</v>
      </c>
      <c r="I1844" s="325">
        <v>9900</v>
      </c>
      <c r="J184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44" s="133">
        <f>_xlfn.XLOOKUP(Market_Data[[#This Row],[Project Type]],tbl_assumptions_market[Project Category (RERA)],tbl_assumptions_market[Concrete Intensity
(m³ / sq m BUA)],"",0)</f>
        <v>0.5</v>
      </c>
      <c r="L1844" s="134">
        <f>ROUND(Market_Data[[#This Row],[Estimated Built Up Area (sq m)]]*Market_Data[[#This Row],[Concrete Intensity
(m³ / sq m)]],0)</f>
        <v>4950</v>
      </c>
      <c r="M1844" s="135">
        <f>_xlfn.XLOOKUP(Market_Data[[#This Row],[District]],tbl_district_price[District],tbl_district_price[Standard Price
(INR/m³)],"",0)</f>
        <v>6200</v>
      </c>
      <c r="N1844" s="364">
        <f>IF(OR(Market_Data[[#This Row],[Estimated Concrete Demand (m³)]]="",Market_Data[[#This Row],[Avg Price per (₹ / m³)]]=""),"",Market_Data[[#This Row],[Estimated Concrete Demand (m³)]]*Market_Data[[#This Row],[Avg Price per (₹ / m³)]]/10000000)</f>
        <v>3.069</v>
      </c>
      <c r="O1844" s="97" t="str">
        <f>IF(Market_Data[[#This Row],[Estimated Concrete Demand (m³)]]="","",
IF(Market_Data[[#This Row],[Estimated Concrete Demand (m³)]]&lt;10000,"Small",
IF(Market_Data[[#This Row],[Estimated Concrete Demand (m³)]]&lt;25000,"Medium",
IF(Market_Data[[#This Row],[Estimated Concrete Demand (m³)]]&lt;100000,"Large","Mega"))))</f>
        <v>Small</v>
      </c>
      <c r="P1844" s="287" t="str">
        <f t="shared" si="30"/>
        <v>GujRERA</v>
      </c>
    </row>
    <row r="1845" spans="1:16">
      <c r="A1845" s="129" t="str">
        <f>_xlfn.XLOOKUP(B1845,$S$9:$S$14,$T$9:$T$14)&amp;"-"&amp;
IF(E1845="Residential/Group Housing","RES",
IF(E1845="Commercial","COM",
IF(E1845="Mixed Development","MIX",
IF(E1845="Plotted Development","PLT","OTH"))))
&amp;"-"&amp;TEXT(COUNTIFS($B$9:B1845,B1845,$E$9:E1845,E1845),"0000")</f>
        <v>SUR-RES-0588</v>
      </c>
      <c r="B1845" s="322" t="s">
        <v>34</v>
      </c>
      <c r="C1845" s="322" t="s">
        <v>34</v>
      </c>
      <c r="D1845" s="323" t="s">
        <v>2035</v>
      </c>
      <c r="E1845" s="132" t="s">
        <v>24</v>
      </c>
      <c r="F1845" s="97" t="str">
        <f ca="1">IF(OR(Market_Data[[#This Row],[Start Date]]="",Market_Data[[#This Row],[Completion Date]]=""),"Needs Validation",IF(Market_Data[[#This Row],[Start Date]]&gt;TODAY(),"Planned",IF(Market_Data[[#This Row],[Completion Date]]&lt;TODAY(),"Completed","Ongoing")))</f>
        <v>Completed</v>
      </c>
      <c r="G1845" s="324">
        <v>43567</v>
      </c>
      <c r="H1845" s="324">
        <v>45565</v>
      </c>
      <c r="I1845" s="325">
        <v>40600</v>
      </c>
      <c r="J184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45" s="133">
        <f>_xlfn.XLOOKUP(Market_Data[[#This Row],[Project Type]],tbl_assumptions_market[Project Category (RERA)],tbl_assumptions_market[Concrete Intensity
(m³ / sq m BUA)],"",0)</f>
        <v>0.45</v>
      </c>
      <c r="L1845" s="134">
        <f>ROUND(Market_Data[[#This Row],[Estimated Built Up Area (sq m)]]*Market_Data[[#This Row],[Concrete Intensity
(m³ / sq m)]],0)</f>
        <v>18270</v>
      </c>
      <c r="M1845" s="135">
        <f>_xlfn.XLOOKUP(Market_Data[[#This Row],[District]],tbl_district_price[District],tbl_district_price[Standard Price
(INR/m³)],"",0)</f>
        <v>6200</v>
      </c>
      <c r="N1845" s="364">
        <f>IF(OR(Market_Data[[#This Row],[Estimated Concrete Demand (m³)]]="",Market_Data[[#This Row],[Avg Price per (₹ / m³)]]=""),"",Market_Data[[#This Row],[Estimated Concrete Demand (m³)]]*Market_Data[[#This Row],[Avg Price per (₹ / m³)]]/10000000)</f>
        <v>11.327400000000001</v>
      </c>
      <c r="O1845" s="97" t="str">
        <f>IF(Market_Data[[#This Row],[Estimated Concrete Demand (m³)]]="","",
IF(Market_Data[[#This Row],[Estimated Concrete Demand (m³)]]&lt;10000,"Small",
IF(Market_Data[[#This Row],[Estimated Concrete Demand (m³)]]&lt;25000,"Medium",
IF(Market_Data[[#This Row],[Estimated Concrete Demand (m³)]]&lt;100000,"Large","Mega"))))</f>
        <v>Medium</v>
      </c>
      <c r="P1845" s="287" t="str">
        <f t="shared" si="30"/>
        <v>GujRERA</v>
      </c>
    </row>
    <row r="1846" spans="1:16">
      <c r="A1846" s="129" t="str">
        <f>_xlfn.XLOOKUP(B1846,$S$9:$S$14,$T$9:$T$14)&amp;"-"&amp;
IF(E1846="Residential/Group Housing","RES",
IF(E1846="Commercial","COM",
IF(E1846="Mixed Development","MIX",
IF(E1846="Plotted Development","PLT","OTH"))))
&amp;"-"&amp;TEXT(COUNTIFS($B$9:B1846,B1846,$E$9:E1846,E1846),"0000")</f>
        <v>SUR-RES-0589</v>
      </c>
      <c r="B1846" s="322" t="s">
        <v>34</v>
      </c>
      <c r="C1846" s="322" t="s">
        <v>34</v>
      </c>
      <c r="D1846" s="323" t="s">
        <v>2036</v>
      </c>
      <c r="E1846" s="132" t="s">
        <v>24</v>
      </c>
      <c r="F1846" s="97" t="str">
        <f ca="1">IF(OR(Market_Data[[#This Row],[Start Date]]="",Market_Data[[#This Row],[Completion Date]]=""),"Needs Validation",IF(Market_Data[[#This Row],[Start Date]]&gt;TODAY(),"Planned",IF(Market_Data[[#This Row],[Completion Date]]&lt;TODAY(),"Completed","Ongoing")))</f>
        <v>Ongoing</v>
      </c>
      <c r="G1846" s="324">
        <v>44652</v>
      </c>
      <c r="H1846" s="324">
        <v>46599</v>
      </c>
      <c r="I1846" s="325">
        <v>26500</v>
      </c>
      <c r="J184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46" s="133">
        <f>_xlfn.XLOOKUP(Market_Data[[#This Row],[Project Type]],tbl_assumptions_market[Project Category (RERA)],tbl_assumptions_market[Concrete Intensity
(m³ / sq m BUA)],"",0)</f>
        <v>0.45</v>
      </c>
      <c r="L1846" s="134">
        <f>ROUND(Market_Data[[#This Row],[Estimated Built Up Area (sq m)]]*Market_Data[[#This Row],[Concrete Intensity
(m³ / sq m)]],0)</f>
        <v>11925</v>
      </c>
      <c r="M1846" s="135">
        <f>_xlfn.XLOOKUP(Market_Data[[#This Row],[District]],tbl_district_price[District],tbl_district_price[Standard Price
(INR/m³)],"",0)</f>
        <v>6200</v>
      </c>
      <c r="N1846" s="364">
        <f>IF(OR(Market_Data[[#This Row],[Estimated Concrete Demand (m³)]]="",Market_Data[[#This Row],[Avg Price per (₹ / m³)]]=""),"",Market_Data[[#This Row],[Estimated Concrete Demand (m³)]]*Market_Data[[#This Row],[Avg Price per (₹ / m³)]]/10000000)</f>
        <v>7.3935000000000004</v>
      </c>
      <c r="O1846" s="97" t="str">
        <f>IF(Market_Data[[#This Row],[Estimated Concrete Demand (m³)]]="","",
IF(Market_Data[[#This Row],[Estimated Concrete Demand (m³)]]&lt;10000,"Small",
IF(Market_Data[[#This Row],[Estimated Concrete Demand (m³)]]&lt;25000,"Medium",
IF(Market_Data[[#This Row],[Estimated Concrete Demand (m³)]]&lt;100000,"Large","Mega"))))</f>
        <v>Medium</v>
      </c>
      <c r="P1846" s="287" t="str">
        <f t="shared" si="30"/>
        <v>GujRERA</v>
      </c>
    </row>
    <row r="1847" spans="1:16">
      <c r="A1847" s="129" t="str">
        <f>_xlfn.XLOOKUP(B1847,$S$9:$S$14,$T$9:$T$14)&amp;"-"&amp;
IF(E1847="Residential/Group Housing","RES",
IF(E1847="Commercial","COM",
IF(E1847="Mixed Development","MIX",
IF(E1847="Plotted Development","PLT","OTH"))))
&amp;"-"&amp;TEXT(COUNTIFS($B$9:B1847,B1847,$E$9:E1847,E1847),"0000")</f>
        <v>SUR-RES-0590</v>
      </c>
      <c r="B1847" s="322" t="s">
        <v>34</v>
      </c>
      <c r="C1847" s="322" t="s">
        <v>34</v>
      </c>
      <c r="D1847" s="323" t="s">
        <v>2037</v>
      </c>
      <c r="E1847" s="132" t="s">
        <v>24</v>
      </c>
      <c r="F1847" s="97" t="str">
        <f ca="1">IF(OR(Market_Data[[#This Row],[Start Date]]="",Market_Data[[#This Row],[Completion Date]]=""),"Needs Validation",IF(Market_Data[[#This Row],[Start Date]]&gt;TODAY(),"Planned",IF(Market_Data[[#This Row],[Completion Date]]&lt;TODAY(),"Completed","Ongoing")))</f>
        <v>Completed</v>
      </c>
      <c r="G1847" s="324">
        <v>44361</v>
      </c>
      <c r="H1847" s="324">
        <v>45748</v>
      </c>
      <c r="I1847" s="325">
        <v>6900</v>
      </c>
      <c r="J184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47" s="133">
        <f>_xlfn.XLOOKUP(Market_Data[[#This Row],[Project Type]],tbl_assumptions_market[Project Category (RERA)],tbl_assumptions_market[Concrete Intensity
(m³ / sq m BUA)],"",0)</f>
        <v>0.45</v>
      </c>
      <c r="L1847" s="134">
        <f>ROUND(Market_Data[[#This Row],[Estimated Built Up Area (sq m)]]*Market_Data[[#This Row],[Concrete Intensity
(m³ / sq m)]],0)</f>
        <v>3105</v>
      </c>
      <c r="M1847" s="135">
        <f>_xlfn.XLOOKUP(Market_Data[[#This Row],[District]],tbl_district_price[District],tbl_district_price[Standard Price
(INR/m³)],"",0)</f>
        <v>6200</v>
      </c>
      <c r="N1847" s="364">
        <f>IF(OR(Market_Data[[#This Row],[Estimated Concrete Demand (m³)]]="",Market_Data[[#This Row],[Avg Price per (₹ / m³)]]=""),"",Market_Data[[#This Row],[Estimated Concrete Demand (m³)]]*Market_Data[[#This Row],[Avg Price per (₹ / m³)]]/10000000)</f>
        <v>1.9251</v>
      </c>
      <c r="O1847" s="97" t="str">
        <f>IF(Market_Data[[#This Row],[Estimated Concrete Demand (m³)]]="","",
IF(Market_Data[[#This Row],[Estimated Concrete Demand (m³)]]&lt;10000,"Small",
IF(Market_Data[[#This Row],[Estimated Concrete Demand (m³)]]&lt;25000,"Medium",
IF(Market_Data[[#This Row],[Estimated Concrete Demand (m³)]]&lt;100000,"Large","Mega"))))</f>
        <v>Small</v>
      </c>
      <c r="P1847" s="287" t="str">
        <f t="shared" si="30"/>
        <v>GujRERA</v>
      </c>
    </row>
    <row r="1848" spans="1:16">
      <c r="A1848" s="129" t="str">
        <f>_xlfn.XLOOKUP(B1848,$S$9:$S$14,$T$9:$T$14)&amp;"-"&amp;
IF(E1848="Residential/Group Housing","RES",
IF(E1848="Commercial","COM",
IF(E1848="Mixed Development","MIX",
IF(E1848="Plotted Development","PLT","OTH"))))
&amp;"-"&amp;TEXT(COUNTIFS($B$9:B1848,B1848,$E$9:E1848,E1848),"0000")</f>
        <v>SUR-RES-0591</v>
      </c>
      <c r="B1848" s="322" t="s">
        <v>34</v>
      </c>
      <c r="C1848" s="322" t="s">
        <v>34</v>
      </c>
      <c r="D1848" s="323" t="s">
        <v>2038</v>
      </c>
      <c r="E1848" s="132" t="s">
        <v>24</v>
      </c>
      <c r="F1848" s="97" t="str">
        <f ca="1">IF(OR(Market_Data[[#This Row],[Start Date]]="",Market_Data[[#This Row],[Completion Date]]=""),"Needs Validation",IF(Market_Data[[#This Row],[Start Date]]&gt;TODAY(),"Planned",IF(Market_Data[[#This Row],[Completion Date]]&lt;TODAY(),"Completed","Ongoing")))</f>
        <v>Ongoing</v>
      </c>
      <c r="G1848" s="324">
        <v>45922</v>
      </c>
      <c r="H1848" s="324">
        <v>47483</v>
      </c>
      <c r="I1848" s="325">
        <v>26400</v>
      </c>
      <c r="J184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48" s="133">
        <f>_xlfn.XLOOKUP(Market_Data[[#This Row],[Project Type]],tbl_assumptions_market[Project Category (RERA)],tbl_assumptions_market[Concrete Intensity
(m³ / sq m BUA)],"",0)</f>
        <v>0.45</v>
      </c>
      <c r="L1848" s="134">
        <f>ROUND(Market_Data[[#This Row],[Estimated Built Up Area (sq m)]]*Market_Data[[#This Row],[Concrete Intensity
(m³ / sq m)]],0)</f>
        <v>11880</v>
      </c>
      <c r="M1848" s="135">
        <f>_xlfn.XLOOKUP(Market_Data[[#This Row],[District]],tbl_district_price[District],tbl_district_price[Standard Price
(INR/m³)],"",0)</f>
        <v>6200</v>
      </c>
      <c r="N1848" s="364">
        <f>IF(OR(Market_Data[[#This Row],[Estimated Concrete Demand (m³)]]="",Market_Data[[#This Row],[Avg Price per (₹ / m³)]]=""),"",Market_Data[[#This Row],[Estimated Concrete Demand (m³)]]*Market_Data[[#This Row],[Avg Price per (₹ / m³)]]/10000000)</f>
        <v>7.3655999999999997</v>
      </c>
      <c r="O1848" s="97" t="str">
        <f>IF(Market_Data[[#This Row],[Estimated Concrete Demand (m³)]]="","",
IF(Market_Data[[#This Row],[Estimated Concrete Demand (m³)]]&lt;10000,"Small",
IF(Market_Data[[#This Row],[Estimated Concrete Demand (m³)]]&lt;25000,"Medium",
IF(Market_Data[[#This Row],[Estimated Concrete Demand (m³)]]&lt;100000,"Large","Mega"))))</f>
        <v>Medium</v>
      </c>
      <c r="P1848" s="287" t="str">
        <f t="shared" si="30"/>
        <v>GujRERA</v>
      </c>
    </row>
    <row r="1849" spans="1:16">
      <c r="A1849" s="129" t="str">
        <f>_xlfn.XLOOKUP(B1849,$S$9:$S$14,$T$9:$T$14)&amp;"-"&amp;
IF(E1849="Residential/Group Housing","RES",
IF(E1849="Commercial","COM",
IF(E1849="Mixed Development","MIX",
IF(E1849="Plotted Development","PLT","OTH"))))
&amp;"-"&amp;TEXT(COUNTIFS($B$9:B1849,B1849,$E$9:E1849,E1849),"0000")</f>
        <v>SUR-RES-0592</v>
      </c>
      <c r="B1849" s="322" t="s">
        <v>34</v>
      </c>
      <c r="C1849" s="322" t="s">
        <v>34</v>
      </c>
      <c r="D1849" s="323" t="s">
        <v>2039</v>
      </c>
      <c r="E1849" s="132" t="s">
        <v>24</v>
      </c>
      <c r="F1849" s="97" t="str">
        <f ca="1">IF(OR(Market_Data[[#This Row],[Start Date]]="",Market_Data[[#This Row],[Completion Date]]=""),"Needs Validation",IF(Market_Data[[#This Row],[Start Date]]&gt;TODAY(),"Planned",IF(Market_Data[[#This Row],[Completion Date]]&lt;TODAY(),"Completed","Ongoing")))</f>
        <v>Completed</v>
      </c>
      <c r="G1849" s="324">
        <v>44712</v>
      </c>
      <c r="H1849" s="324">
        <v>46173</v>
      </c>
      <c r="I1849" s="325">
        <v>20600</v>
      </c>
      <c r="J184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49" s="133">
        <f>_xlfn.XLOOKUP(Market_Data[[#This Row],[Project Type]],tbl_assumptions_market[Project Category (RERA)],tbl_assumptions_market[Concrete Intensity
(m³ / sq m BUA)],"",0)</f>
        <v>0.45</v>
      </c>
      <c r="L1849" s="134">
        <f>ROUND(Market_Data[[#This Row],[Estimated Built Up Area (sq m)]]*Market_Data[[#This Row],[Concrete Intensity
(m³ / sq m)]],0)</f>
        <v>9270</v>
      </c>
      <c r="M1849" s="135">
        <f>_xlfn.XLOOKUP(Market_Data[[#This Row],[District]],tbl_district_price[District],tbl_district_price[Standard Price
(INR/m³)],"",0)</f>
        <v>6200</v>
      </c>
      <c r="N1849" s="364">
        <f>IF(OR(Market_Data[[#This Row],[Estimated Concrete Demand (m³)]]="",Market_Data[[#This Row],[Avg Price per (₹ / m³)]]=""),"",Market_Data[[#This Row],[Estimated Concrete Demand (m³)]]*Market_Data[[#This Row],[Avg Price per (₹ / m³)]]/10000000)</f>
        <v>5.7473999999999998</v>
      </c>
      <c r="O1849" s="97" t="str">
        <f>IF(Market_Data[[#This Row],[Estimated Concrete Demand (m³)]]="","",
IF(Market_Data[[#This Row],[Estimated Concrete Demand (m³)]]&lt;10000,"Small",
IF(Market_Data[[#This Row],[Estimated Concrete Demand (m³)]]&lt;25000,"Medium",
IF(Market_Data[[#This Row],[Estimated Concrete Demand (m³)]]&lt;100000,"Large","Mega"))))</f>
        <v>Small</v>
      </c>
      <c r="P1849" s="287" t="str">
        <f t="shared" si="30"/>
        <v>GujRERA</v>
      </c>
    </row>
    <row r="1850" spans="1:16">
      <c r="A1850" s="129" t="str">
        <f>_xlfn.XLOOKUP(B1850,$S$9:$S$14,$T$9:$T$14)&amp;"-"&amp;
IF(E1850="Residential/Group Housing","RES",
IF(E1850="Commercial","COM",
IF(E1850="Mixed Development","MIX",
IF(E1850="Plotted Development","PLT","OTH"))))
&amp;"-"&amp;TEXT(COUNTIFS($B$9:B1850,B1850,$E$9:E1850,E1850),"0000")</f>
        <v>SUR-RES-0593</v>
      </c>
      <c r="B1850" s="322" t="s">
        <v>34</v>
      </c>
      <c r="C1850" s="322" t="s">
        <v>34</v>
      </c>
      <c r="D1850" s="323" t="s">
        <v>2040</v>
      </c>
      <c r="E1850" s="132" t="s">
        <v>24</v>
      </c>
      <c r="F1850" s="97" t="str">
        <f ca="1">IF(OR(Market_Data[[#This Row],[Start Date]]="",Market_Data[[#This Row],[Completion Date]]=""),"Needs Validation",IF(Market_Data[[#This Row],[Start Date]]&gt;TODAY(),"Planned",IF(Market_Data[[#This Row],[Completion Date]]&lt;TODAY(),"Completed","Ongoing")))</f>
        <v>Completed</v>
      </c>
      <c r="G1850" s="324">
        <v>43060</v>
      </c>
      <c r="H1850" s="324">
        <v>44742</v>
      </c>
      <c r="I1850" s="325">
        <v>25200</v>
      </c>
      <c r="J185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50" s="133">
        <f>_xlfn.XLOOKUP(Market_Data[[#This Row],[Project Type]],tbl_assumptions_market[Project Category (RERA)],tbl_assumptions_market[Concrete Intensity
(m³ / sq m BUA)],"",0)</f>
        <v>0.45</v>
      </c>
      <c r="L1850" s="134">
        <f>ROUND(Market_Data[[#This Row],[Estimated Built Up Area (sq m)]]*Market_Data[[#This Row],[Concrete Intensity
(m³ / sq m)]],0)</f>
        <v>11340</v>
      </c>
      <c r="M1850" s="135">
        <f>_xlfn.XLOOKUP(Market_Data[[#This Row],[District]],tbl_district_price[District],tbl_district_price[Standard Price
(INR/m³)],"",0)</f>
        <v>6200</v>
      </c>
      <c r="N1850" s="364">
        <f>IF(OR(Market_Data[[#This Row],[Estimated Concrete Demand (m³)]]="",Market_Data[[#This Row],[Avg Price per (₹ / m³)]]=""),"",Market_Data[[#This Row],[Estimated Concrete Demand (m³)]]*Market_Data[[#This Row],[Avg Price per (₹ / m³)]]/10000000)</f>
        <v>7.0308000000000002</v>
      </c>
      <c r="O1850" s="97" t="str">
        <f>IF(Market_Data[[#This Row],[Estimated Concrete Demand (m³)]]="","",
IF(Market_Data[[#This Row],[Estimated Concrete Demand (m³)]]&lt;10000,"Small",
IF(Market_Data[[#This Row],[Estimated Concrete Demand (m³)]]&lt;25000,"Medium",
IF(Market_Data[[#This Row],[Estimated Concrete Demand (m³)]]&lt;100000,"Large","Mega"))))</f>
        <v>Medium</v>
      </c>
      <c r="P1850" s="287" t="str">
        <f t="shared" si="30"/>
        <v>GujRERA</v>
      </c>
    </row>
    <row r="1851" spans="1:16">
      <c r="A1851" s="129" t="str">
        <f>_xlfn.XLOOKUP(B1851,$S$9:$S$14,$T$9:$T$14)&amp;"-"&amp;
IF(E1851="Residential/Group Housing","RES",
IF(E1851="Commercial","COM",
IF(E1851="Mixed Development","MIX",
IF(E1851="Plotted Development","PLT","OTH"))))
&amp;"-"&amp;TEXT(COUNTIFS($B$9:B1851,B1851,$E$9:E1851,E1851),"0000")</f>
        <v>SUR-MIX-0299</v>
      </c>
      <c r="B1851" s="322" t="s">
        <v>34</v>
      </c>
      <c r="C1851" s="322" t="s">
        <v>34</v>
      </c>
      <c r="D1851" s="323" t="s">
        <v>2041</v>
      </c>
      <c r="E1851" s="132" t="s">
        <v>25</v>
      </c>
      <c r="F1851" s="97" t="str">
        <f ca="1">IF(OR(Market_Data[[#This Row],[Start Date]]="",Market_Data[[#This Row],[Completion Date]]=""),"Needs Validation",IF(Market_Data[[#This Row],[Start Date]]&gt;TODAY(),"Planned",IF(Market_Data[[#This Row],[Completion Date]]&lt;TODAY(),"Completed","Ongoing")))</f>
        <v>Completed</v>
      </c>
      <c r="G1851" s="324">
        <v>44652</v>
      </c>
      <c r="H1851" s="324">
        <v>46126</v>
      </c>
      <c r="I1851" s="325">
        <v>58500</v>
      </c>
      <c r="J185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51" s="133">
        <f>_xlfn.XLOOKUP(Market_Data[[#This Row],[Project Type]],tbl_assumptions_market[Project Category (RERA)],tbl_assumptions_market[Concrete Intensity
(m³ / sq m BUA)],"",0)</f>
        <v>0.42</v>
      </c>
      <c r="L1851" s="134">
        <f>ROUND(Market_Data[[#This Row],[Estimated Built Up Area (sq m)]]*Market_Data[[#This Row],[Concrete Intensity
(m³ / sq m)]],0)</f>
        <v>24570</v>
      </c>
      <c r="M1851" s="135">
        <f>_xlfn.XLOOKUP(Market_Data[[#This Row],[District]],tbl_district_price[District],tbl_district_price[Standard Price
(INR/m³)],"",0)</f>
        <v>6200</v>
      </c>
      <c r="N1851" s="364">
        <f>IF(OR(Market_Data[[#This Row],[Estimated Concrete Demand (m³)]]="",Market_Data[[#This Row],[Avg Price per (₹ / m³)]]=""),"",Market_Data[[#This Row],[Estimated Concrete Demand (m³)]]*Market_Data[[#This Row],[Avg Price per (₹ / m³)]]/10000000)</f>
        <v>15.2334</v>
      </c>
      <c r="O1851" s="97" t="str">
        <f>IF(Market_Data[[#This Row],[Estimated Concrete Demand (m³)]]="","",
IF(Market_Data[[#This Row],[Estimated Concrete Demand (m³)]]&lt;10000,"Small",
IF(Market_Data[[#This Row],[Estimated Concrete Demand (m³)]]&lt;25000,"Medium",
IF(Market_Data[[#This Row],[Estimated Concrete Demand (m³)]]&lt;100000,"Large","Mega"))))</f>
        <v>Medium</v>
      </c>
      <c r="P1851" s="287" t="str">
        <f t="shared" si="30"/>
        <v>GujRERA</v>
      </c>
    </row>
    <row r="1852" spans="1:16">
      <c r="A1852" s="129" t="str">
        <f>_xlfn.XLOOKUP(B1852,$S$9:$S$14,$T$9:$T$14)&amp;"-"&amp;
IF(E1852="Residential/Group Housing","RES",
IF(E1852="Commercial","COM",
IF(E1852="Mixed Development","MIX",
IF(E1852="Plotted Development","PLT","OTH"))))
&amp;"-"&amp;TEXT(COUNTIFS($B$9:B1852,B1852,$E$9:E1852,E1852),"0000")</f>
        <v>SUR-MIX-0300</v>
      </c>
      <c r="B1852" s="322" t="s">
        <v>34</v>
      </c>
      <c r="C1852" s="322" t="s">
        <v>34</v>
      </c>
      <c r="D1852" s="323" t="s">
        <v>2042</v>
      </c>
      <c r="E1852" s="132" t="s">
        <v>25</v>
      </c>
      <c r="F1852" s="97" t="str">
        <f ca="1">IF(OR(Market_Data[[#This Row],[Start Date]]="",Market_Data[[#This Row],[Completion Date]]=""),"Needs Validation",IF(Market_Data[[#This Row],[Start Date]]&gt;TODAY(),"Planned",IF(Market_Data[[#This Row],[Completion Date]]&lt;TODAY(),"Completed","Ongoing")))</f>
        <v>Completed</v>
      </c>
      <c r="G1852" s="324">
        <v>42425</v>
      </c>
      <c r="H1852" s="324">
        <v>45468</v>
      </c>
      <c r="I1852" s="325">
        <v>31800</v>
      </c>
      <c r="J185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52" s="133">
        <f>_xlfn.XLOOKUP(Market_Data[[#This Row],[Project Type]],tbl_assumptions_market[Project Category (RERA)],tbl_assumptions_market[Concrete Intensity
(m³ / sq m BUA)],"",0)</f>
        <v>0.42</v>
      </c>
      <c r="L1852" s="134">
        <f>ROUND(Market_Data[[#This Row],[Estimated Built Up Area (sq m)]]*Market_Data[[#This Row],[Concrete Intensity
(m³ / sq m)]],0)</f>
        <v>13356</v>
      </c>
      <c r="M1852" s="135">
        <f>_xlfn.XLOOKUP(Market_Data[[#This Row],[District]],tbl_district_price[District],tbl_district_price[Standard Price
(INR/m³)],"",0)</f>
        <v>6200</v>
      </c>
      <c r="N1852" s="364">
        <f>IF(OR(Market_Data[[#This Row],[Estimated Concrete Demand (m³)]]="",Market_Data[[#This Row],[Avg Price per (₹ / m³)]]=""),"",Market_Data[[#This Row],[Estimated Concrete Demand (m³)]]*Market_Data[[#This Row],[Avg Price per (₹ / m³)]]/10000000)</f>
        <v>8.2807200000000005</v>
      </c>
      <c r="O1852" s="97" t="str">
        <f>IF(Market_Data[[#This Row],[Estimated Concrete Demand (m³)]]="","",
IF(Market_Data[[#This Row],[Estimated Concrete Demand (m³)]]&lt;10000,"Small",
IF(Market_Data[[#This Row],[Estimated Concrete Demand (m³)]]&lt;25000,"Medium",
IF(Market_Data[[#This Row],[Estimated Concrete Demand (m³)]]&lt;100000,"Large","Mega"))))</f>
        <v>Medium</v>
      </c>
      <c r="P1852" s="287" t="str">
        <f t="shared" si="30"/>
        <v>GujRERA</v>
      </c>
    </row>
    <row r="1853" spans="1:16">
      <c r="A1853" s="129" t="str">
        <f>_xlfn.XLOOKUP(B1853,$S$9:$S$14,$T$9:$T$14)&amp;"-"&amp;
IF(E1853="Residential/Group Housing","RES",
IF(E1853="Commercial","COM",
IF(E1853="Mixed Development","MIX",
IF(E1853="Plotted Development","PLT","OTH"))))
&amp;"-"&amp;TEXT(COUNTIFS($B$9:B1853,B1853,$E$9:E1853,E1853),"0000")</f>
        <v>SUR-RES-0594</v>
      </c>
      <c r="B1853" s="322" t="s">
        <v>34</v>
      </c>
      <c r="C1853" s="322" t="s">
        <v>34</v>
      </c>
      <c r="D1853" s="323" t="s">
        <v>2043</v>
      </c>
      <c r="E1853" s="132" t="s">
        <v>24</v>
      </c>
      <c r="F1853" s="97" t="str">
        <f ca="1">IF(OR(Market_Data[[#This Row],[Start Date]]="",Market_Data[[#This Row],[Completion Date]]=""),"Needs Validation",IF(Market_Data[[#This Row],[Start Date]]&gt;TODAY(),"Planned",IF(Market_Data[[#This Row],[Completion Date]]&lt;TODAY(),"Completed","Ongoing")))</f>
        <v>Completed</v>
      </c>
      <c r="G1853" s="324">
        <v>42886</v>
      </c>
      <c r="H1853" s="324">
        <v>44957</v>
      </c>
      <c r="I1853" s="325">
        <v>24100</v>
      </c>
      <c r="J185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53" s="133">
        <f>_xlfn.XLOOKUP(Market_Data[[#This Row],[Project Type]],tbl_assumptions_market[Project Category (RERA)],tbl_assumptions_market[Concrete Intensity
(m³ / sq m BUA)],"",0)</f>
        <v>0.45</v>
      </c>
      <c r="L1853" s="134">
        <f>ROUND(Market_Data[[#This Row],[Estimated Built Up Area (sq m)]]*Market_Data[[#This Row],[Concrete Intensity
(m³ / sq m)]],0)</f>
        <v>10845</v>
      </c>
      <c r="M1853" s="135">
        <f>_xlfn.XLOOKUP(Market_Data[[#This Row],[District]],tbl_district_price[District],tbl_district_price[Standard Price
(INR/m³)],"",0)</f>
        <v>6200</v>
      </c>
      <c r="N1853" s="364">
        <f>IF(OR(Market_Data[[#This Row],[Estimated Concrete Demand (m³)]]="",Market_Data[[#This Row],[Avg Price per (₹ / m³)]]=""),"",Market_Data[[#This Row],[Estimated Concrete Demand (m³)]]*Market_Data[[#This Row],[Avg Price per (₹ / m³)]]/10000000)</f>
        <v>6.7239000000000004</v>
      </c>
      <c r="O1853" s="97" t="str">
        <f>IF(Market_Data[[#This Row],[Estimated Concrete Demand (m³)]]="","",
IF(Market_Data[[#This Row],[Estimated Concrete Demand (m³)]]&lt;10000,"Small",
IF(Market_Data[[#This Row],[Estimated Concrete Demand (m³)]]&lt;25000,"Medium",
IF(Market_Data[[#This Row],[Estimated Concrete Demand (m³)]]&lt;100000,"Large","Mega"))))</f>
        <v>Medium</v>
      </c>
      <c r="P1853" s="287" t="str">
        <f t="shared" si="30"/>
        <v>GujRERA</v>
      </c>
    </row>
    <row r="1854" spans="1:16">
      <c r="A1854" s="129" t="str">
        <f>_xlfn.XLOOKUP(B1854,$S$9:$S$14,$T$9:$T$14)&amp;"-"&amp;
IF(E1854="Residential/Group Housing","RES",
IF(E1854="Commercial","COM",
IF(E1854="Mixed Development","MIX",
IF(E1854="Plotted Development","PLT","OTH"))))
&amp;"-"&amp;TEXT(COUNTIFS($B$9:B1854,B1854,$E$9:E1854,E1854),"0000")</f>
        <v>SUR-RES-0595</v>
      </c>
      <c r="B1854" s="322" t="s">
        <v>34</v>
      </c>
      <c r="C1854" s="322" t="s">
        <v>34</v>
      </c>
      <c r="D1854" s="323" t="s">
        <v>2044</v>
      </c>
      <c r="E1854" s="132" t="s">
        <v>24</v>
      </c>
      <c r="F1854" s="97" t="str">
        <f ca="1">IF(OR(Market_Data[[#This Row],[Start Date]]="",Market_Data[[#This Row],[Completion Date]]=""),"Needs Validation",IF(Market_Data[[#This Row],[Start Date]]&gt;TODAY(),"Planned",IF(Market_Data[[#This Row],[Completion Date]]&lt;TODAY(),"Completed","Ongoing")))</f>
        <v>Ongoing</v>
      </c>
      <c r="G1854" s="324">
        <v>43620</v>
      </c>
      <c r="H1854" s="324">
        <v>47299</v>
      </c>
      <c r="I1854" s="325">
        <v>12800</v>
      </c>
      <c r="J185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54" s="133">
        <f>_xlfn.XLOOKUP(Market_Data[[#This Row],[Project Type]],tbl_assumptions_market[Project Category (RERA)],tbl_assumptions_market[Concrete Intensity
(m³ / sq m BUA)],"",0)</f>
        <v>0.45</v>
      </c>
      <c r="L1854" s="134">
        <f>ROUND(Market_Data[[#This Row],[Estimated Built Up Area (sq m)]]*Market_Data[[#This Row],[Concrete Intensity
(m³ / sq m)]],0)</f>
        <v>5760</v>
      </c>
      <c r="M1854" s="135">
        <f>_xlfn.XLOOKUP(Market_Data[[#This Row],[District]],tbl_district_price[District],tbl_district_price[Standard Price
(INR/m³)],"",0)</f>
        <v>6200</v>
      </c>
      <c r="N1854" s="364">
        <f>IF(OR(Market_Data[[#This Row],[Estimated Concrete Demand (m³)]]="",Market_Data[[#This Row],[Avg Price per (₹ / m³)]]=""),"",Market_Data[[#This Row],[Estimated Concrete Demand (m³)]]*Market_Data[[#This Row],[Avg Price per (₹ / m³)]]/10000000)</f>
        <v>3.5712000000000002</v>
      </c>
      <c r="O1854" s="97" t="str">
        <f>IF(Market_Data[[#This Row],[Estimated Concrete Demand (m³)]]="","",
IF(Market_Data[[#This Row],[Estimated Concrete Demand (m³)]]&lt;10000,"Small",
IF(Market_Data[[#This Row],[Estimated Concrete Demand (m³)]]&lt;25000,"Medium",
IF(Market_Data[[#This Row],[Estimated Concrete Demand (m³)]]&lt;100000,"Large","Mega"))))</f>
        <v>Small</v>
      </c>
      <c r="P1854" s="287" t="str">
        <f t="shared" si="30"/>
        <v>GujRERA</v>
      </c>
    </row>
    <row r="1855" spans="1:16">
      <c r="A1855" s="129" t="str">
        <f>_xlfn.XLOOKUP(B1855,$S$9:$S$14,$T$9:$T$14)&amp;"-"&amp;
IF(E1855="Residential/Group Housing","RES",
IF(E1855="Commercial","COM",
IF(E1855="Mixed Development","MIX",
IF(E1855="Plotted Development","PLT","OTH"))))
&amp;"-"&amp;TEXT(COUNTIFS($B$9:B1855,B1855,$E$9:E1855,E1855),"0000")</f>
        <v>SUR-MIX-0301</v>
      </c>
      <c r="B1855" s="322" t="s">
        <v>34</v>
      </c>
      <c r="C1855" s="322" t="s">
        <v>34</v>
      </c>
      <c r="D1855" s="323" t="s">
        <v>2045</v>
      </c>
      <c r="E1855" s="132" t="s">
        <v>25</v>
      </c>
      <c r="F1855" s="97" t="str">
        <f ca="1">IF(OR(Market_Data[[#This Row],[Start Date]]="",Market_Data[[#This Row],[Completion Date]]=""),"Needs Validation",IF(Market_Data[[#This Row],[Start Date]]&gt;TODAY(),"Planned",IF(Market_Data[[#This Row],[Completion Date]]&lt;TODAY(),"Completed","Ongoing")))</f>
        <v>Ongoing</v>
      </c>
      <c r="G1855" s="324">
        <v>44774</v>
      </c>
      <c r="H1855" s="324">
        <v>46600</v>
      </c>
      <c r="I1855" s="325">
        <v>18000</v>
      </c>
      <c r="J185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55" s="133">
        <f>_xlfn.XLOOKUP(Market_Data[[#This Row],[Project Type]],tbl_assumptions_market[Project Category (RERA)],tbl_assumptions_market[Concrete Intensity
(m³ / sq m BUA)],"",0)</f>
        <v>0.42</v>
      </c>
      <c r="L1855" s="134">
        <f>ROUND(Market_Data[[#This Row],[Estimated Built Up Area (sq m)]]*Market_Data[[#This Row],[Concrete Intensity
(m³ / sq m)]],0)</f>
        <v>7560</v>
      </c>
      <c r="M1855" s="135">
        <f>_xlfn.XLOOKUP(Market_Data[[#This Row],[District]],tbl_district_price[District],tbl_district_price[Standard Price
(INR/m³)],"",0)</f>
        <v>6200</v>
      </c>
      <c r="N1855" s="364">
        <f>IF(OR(Market_Data[[#This Row],[Estimated Concrete Demand (m³)]]="",Market_Data[[#This Row],[Avg Price per (₹ / m³)]]=""),"",Market_Data[[#This Row],[Estimated Concrete Demand (m³)]]*Market_Data[[#This Row],[Avg Price per (₹ / m³)]]/10000000)</f>
        <v>4.6871999999999998</v>
      </c>
      <c r="O1855" s="97" t="str">
        <f>IF(Market_Data[[#This Row],[Estimated Concrete Demand (m³)]]="","",
IF(Market_Data[[#This Row],[Estimated Concrete Demand (m³)]]&lt;10000,"Small",
IF(Market_Data[[#This Row],[Estimated Concrete Demand (m³)]]&lt;25000,"Medium",
IF(Market_Data[[#This Row],[Estimated Concrete Demand (m³)]]&lt;100000,"Large","Mega"))))</f>
        <v>Small</v>
      </c>
      <c r="P1855" s="287" t="str">
        <f t="shared" si="30"/>
        <v>GujRERA</v>
      </c>
    </row>
    <row r="1856" spans="1:16">
      <c r="A1856" s="129" t="str">
        <f>_xlfn.XLOOKUP(B1856,$S$9:$S$14,$T$9:$T$14)&amp;"-"&amp;
IF(E1856="Residential/Group Housing","RES",
IF(E1856="Commercial","COM",
IF(E1856="Mixed Development","MIX",
IF(E1856="Plotted Development","PLT","OTH"))))
&amp;"-"&amp;TEXT(COUNTIFS($B$9:B1856,B1856,$E$9:E1856,E1856),"0000")</f>
        <v>SUR-MIX-0302</v>
      </c>
      <c r="B1856" s="322" t="s">
        <v>34</v>
      </c>
      <c r="C1856" s="322" t="s">
        <v>34</v>
      </c>
      <c r="D1856" s="323" t="s">
        <v>2046</v>
      </c>
      <c r="E1856" s="132" t="s">
        <v>25</v>
      </c>
      <c r="F1856" s="97" t="str">
        <f ca="1">IF(OR(Market_Data[[#This Row],[Start Date]]="",Market_Data[[#This Row],[Completion Date]]=""),"Needs Validation",IF(Market_Data[[#This Row],[Start Date]]&gt;TODAY(),"Planned",IF(Market_Data[[#This Row],[Completion Date]]&lt;TODAY(),"Completed","Ongoing")))</f>
        <v>Ongoing</v>
      </c>
      <c r="G1856" s="324">
        <v>46039</v>
      </c>
      <c r="H1856" s="324">
        <v>47391</v>
      </c>
      <c r="I1856" s="325">
        <v>10600</v>
      </c>
      <c r="J185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56" s="133">
        <f>_xlfn.XLOOKUP(Market_Data[[#This Row],[Project Type]],tbl_assumptions_market[Project Category (RERA)],tbl_assumptions_market[Concrete Intensity
(m³ / sq m BUA)],"",0)</f>
        <v>0.42</v>
      </c>
      <c r="L1856" s="134">
        <f>ROUND(Market_Data[[#This Row],[Estimated Built Up Area (sq m)]]*Market_Data[[#This Row],[Concrete Intensity
(m³ / sq m)]],0)</f>
        <v>4452</v>
      </c>
      <c r="M1856" s="135">
        <f>_xlfn.XLOOKUP(Market_Data[[#This Row],[District]],tbl_district_price[District],tbl_district_price[Standard Price
(INR/m³)],"",0)</f>
        <v>6200</v>
      </c>
      <c r="N1856" s="364">
        <f>IF(OR(Market_Data[[#This Row],[Estimated Concrete Demand (m³)]]="",Market_Data[[#This Row],[Avg Price per (₹ / m³)]]=""),"",Market_Data[[#This Row],[Estimated Concrete Demand (m³)]]*Market_Data[[#This Row],[Avg Price per (₹ / m³)]]/10000000)</f>
        <v>2.76024</v>
      </c>
      <c r="O1856" s="97" t="str">
        <f>IF(Market_Data[[#This Row],[Estimated Concrete Demand (m³)]]="","",
IF(Market_Data[[#This Row],[Estimated Concrete Demand (m³)]]&lt;10000,"Small",
IF(Market_Data[[#This Row],[Estimated Concrete Demand (m³)]]&lt;25000,"Medium",
IF(Market_Data[[#This Row],[Estimated Concrete Demand (m³)]]&lt;100000,"Large","Mega"))))</f>
        <v>Small</v>
      </c>
      <c r="P1856" s="287" t="str">
        <f t="shared" si="30"/>
        <v>GujRERA</v>
      </c>
    </row>
    <row r="1857" spans="1:16">
      <c r="A1857" s="129" t="str">
        <f>_xlfn.XLOOKUP(B1857,$S$9:$S$14,$T$9:$T$14)&amp;"-"&amp;
IF(E1857="Residential/Group Housing","RES",
IF(E1857="Commercial","COM",
IF(E1857="Mixed Development","MIX",
IF(E1857="Plotted Development","PLT","OTH"))))
&amp;"-"&amp;TEXT(COUNTIFS($B$9:B1857,B1857,$E$9:E1857,E1857),"0000")</f>
        <v>SUR-RES-0596</v>
      </c>
      <c r="B1857" s="322" t="s">
        <v>34</v>
      </c>
      <c r="C1857" s="322" t="s">
        <v>34</v>
      </c>
      <c r="D1857" s="323" t="s">
        <v>2047</v>
      </c>
      <c r="E1857" s="132" t="s">
        <v>24</v>
      </c>
      <c r="F1857" s="97" t="str">
        <f ca="1">IF(OR(Market_Data[[#This Row],[Start Date]]="",Market_Data[[#This Row],[Completion Date]]=""),"Needs Validation",IF(Market_Data[[#This Row],[Start Date]]&gt;TODAY(),"Planned",IF(Market_Data[[#This Row],[Completion Date]]&lt;TODAY(),"Completed","Ongoing")))</f>
        <v>Completed</v>
      </c>
      <c r="G1857" s="324">
        <v>42522</v>
      </c>
      <c r="H1857" s="324">
        <v>43646</v>
      </c>
      <c r="I1857" s="325">
        <v>6400</v>
      </c>
      <c r="J185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57" s="133">
        <f>_xlfn.XLOOKUP(Market_Data[[#This Row],[Project Type]],tbl_assumptions_market[Project Category (RERA)],tbl_assumptions_market[Concrete Intensity
(m³ / sq m BUA)],"",0)</f>
        <v>0.45</v>
      </c>
      <c r="L1857" s="134">
        <f>ROUND(Market_Data[[#This Row],[Estimated Built Up Area (sq m)]]*Market_Data[[#This Row],[Concrete Intensity
(m³ / sq m)]],0)</f>
        <v>2880</v>
      </c>
      <c r="M1857" s="135">
        <f>_xlfn.XLOOKUP(Market_Data[[#This Row],[District]],tbl_district_price[District],tbl_district_price[Standard Price
(INR/m³)],"",0)</f>
        <v>6200</v>
      </c>
      <c r="N1857" s="364">
        <f>IF(OR(Market_Data[[#This Row],[Estimated Concrete Demand (m³)]]="",Market_Data[[#This Row],[Avg Price per (₹ / m³)]]=""),"",Market_Data[[#This Row],[Estimated Concrete Demand (m³)]]*Market_Data[[#This Row],[Avg Price per (₹ / m³)]]/10000000)</f>
        <v>1.7856000000000001</v>
      </c>
      <c r="O1857" s="97" t="str">
        <f>IF(Market_Data[[#This Row],[Estimated Concrete Demand (m³)]]="","",
IF(Market_Data[[#This Row],[Estimated Concrete Demand (m³)]]&lt;10000,"Small",
IF(Market_Data[[#This Row],[Estimated Concrete Demand (m³)]]&lt;25000,"Medium",
IF(Market_Data[[#This Row],[Estimated Concrete Demand (m³)]]&lt;100000,"Large","Mega"))))</f>
        <v>Small</v>
      </c>
      <c r="P1857" s="287" t="str">
        <f t="shared" si="30"/>
        <v>GujRERA</v>
      </c>
    </row>
    <row r="1858" spans="1:16">
      <c r="A1858" s="129" t="str">
        <f>_xlfn.XLOOKUP(B1858,$S$9:$S$14,$T$9:$T$14)&amp;"-"&amp;
IF(E1858="Residential/Group Housing","RES",
IF(E1858="Commercial","COM",
IF(E1858="Mixed Development","MIX",
IF(E1858="Plotted Development","PLT","OTH"))))
&amp;"-"&amp;TEXT(COUNTIFS($B$9:B1858,B1858,$E$9:E1858,E1858),"0000")</f>
        <v>SUR-RES-0597</v>
      </c>
      <c r="B1858" s="322" t="s">
        <v>34</v>
      </c>
      <c r="C1858" s="322" t="s">
        <v>34</v>
      </c>
      <c r="D1858" s="323" t="s">
        <v>2048</v>
      </c>
      <c r="E1858" s="132" t="s">
        <v>24</v>
      </c>
      <c r="F1858" s="97" t="str">
        <f ca="1">IF(OR(Market_Data[[#This Row],[Start Date]]="",Market_Data[[#This Row],[Completion Date]]=""),"Needs Validation",IF(Market_Data[[#This Row],[Start Date]]&gt;TODAY(),"Planned",IF(Market_Data[[#This Row],[Completion Date]]&lt;TODAY(),"Completed","Ongoing")))</f>
        <v>Completed</v>
      </c>
      <c r="G1858" s="324">
        <v>44489</v>
      </c>
      <c r="H1858" s="324">
        <v>45657</v>
      </c>
      <c r="I1858" s="325">
        <v>41300</v>
      </c>
      <c r="J185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58" s="133">
        <f>_xlfn.XLOOKUP(Market_Data[[#This Row],[Project Type]],tbl_assumptions_market[Project Category (RERA)],tbl_assumptions_market[Concrete Intensity
(m³ / sq m BUA)],"",0)</f>
        <v>0.45</v>
      </c>
      <c r="L1858" s="134">
        <f>ROUND(Market_Data[[#This Row],[Estimated Built Up Area (sq m)]]*Market_Data[[#This Row],[Concrete Intensity
(m³ / sq m)]],0)</f>
        <v>18585</v>
      </c>
      <c r="M1858" s="135">
        <f>_xlfn.XLOOKUP(Market_Data[[#This Row],[District]],tbl_district_price[District],tbl_district_price[Standard Price
(INR/m³)],"",0)</f>
        <v>6200</v>
      </c>
      <c r="N1858" s="364">
        <f>IF(OR(Market_Data[[#This Row],[Estimated Concrete Demand (m³)]]="",Market_Data[[#This Row],[Avg Price per (₹ / m³)]]=""),"",Market_Data[[#This Row],[Estimated Concrete Demand (m³)]]*Market_Data[[#This Row],[Avg Price per (₹ / m³)]]/10000000)</f>
        <v>11.5227</v>
      </c>
      <c r="O1858" s="97" t="str">
        <f>IF(Market_Data[[#This Row],[Estimated Concrete Demand (m³)]]="","",
IF(Market_Data[[#This Row],[Estimated Concrete Demand (m³)]]&lt;10000,"Small",
IF(Market_Data[[#This Row],[Estimated Concrete Demand (m³)]]&lt;25000,"Medium",
IF(Market_Data[[#This Row],[Estimated Concrete Demand (m³)]]&lt;100000,"Large","Mega"))))</f>
        <v>Medium</v>
      </c>
      <c r="P1858" s="287" t="str">
        <f t="shared" si="30"/>
        <v>GujRERA</v>
      </c>
    </row>
    <row r="1859" spans="1:16">
      <c r="A1859" s="129" t="str">
        <f>_xlfn.XLOOKUP(B1859,$S$9:$S$14,$T$9:$T$14)&amp;"-"&amp;
IF(E1859="Residential/Group Housing","RES",
IF(E1859="Commercial","COM",
IF(E1859="Mixed Development","MIX",
IF(E1859="Plotted Development","PLT","OTH"))))
&amp;"-"&amp;TEXT(COUNTIFS($B$9:B1859,B1859,$E$9:E1859,E1859),"0000")</f>
        <v>SUR-RES-0598</v>
      </c>
      <c r="B1859" s="322" t="s">
        <v>34</v>
      </c>
      <c r="C1859" s="322" t="s">
        <v>34</v>
      </c>
      <c r="D1859" s="323" t="s">
        <v>2049</v>
      </c>
      <c r="E1859" s="132" t="s">
        <v>24</v>
      </c>
      <c r="F1859" s="97" t="str">
        <f ca="1">IF(OR(Market_Data[[#This Row],[Start Date]]="",Market_Data[[#This Row],[Completion Date]]=""),"Needs Validation",IF(Market_Data[[#This Row],[Start Date]]&gt;TODAY(),"Planned",IF(Market_Data[[#This Row],[Completion Date]]&lt;TODAY(),"Completed","Ongoing")))</f>
        <v>Completed</v>
      </c>
      <c r="G1859" s="324">
        <v>42901</v>
      </c>
      <c r="H1859" s="324">
        <v>45107</v>
      </c>
      <c r="I1859" s="325">
        <v>35000</v>
      </c>
      <c r="J185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59" s="133">
        <f>_xlfn.XLOOKUP(Market_Data[[#This Row],[Project Type]],tbl_assumptions_market[Project Category (RERA)],tbl_assumptions_market[Concrete Intensity
(m³ / sq m BUA)],"",0)</f>
        <v>0.45</v>
      </c>
      <c r="L1859" s="134">
        <f>ROUND(Market_Data[[#This Row],[Estimated Built Up Area (sq m)]]*Market_Data[[#This Row],[Concrete Intensity
(m³ / sq m)]],0)</f>
        <v>15750</v>
      </c>
      <c r="M1859" s="135">
        <f>_xlfn.XLOOKUP(Market_Data[[#This Row],[District]],tbl_district_price[District],tbl_district_price[Standard Price
(INR/m³)],"",0)</f>
        <v>6200</v>
      </c>
      <c r="N1859" s="364">
        <f>IF(OR(Market_Data[[#This Row],[Estimated Concrete Demand (m³)]]="",Market_Data[[#This Row],[Avg Price per (₹ / m³)]]=""),"",Market_Data[[#This Row],[Estimated Concrete Demand (m³)]]*Market_Data[[#This Row],[Avg Price per (₹ / m³)]]/10000000)</f>
        <v>9.7650000000000006</v>
      </c>
      <c r="O1859" s="97" t="str">
        <f>IF(Market_Data[[#This Row],[Estimated Concrete Demand (m³)]]="","",
IF(Market_Data[[#This Row],[Estimated Concrete Demand (m³)]]&lt;10000,"Small",
IF(Market_Data[[#This Row],[Estimated Concrete Demand (m³)]]&lt;25000,"Medium",
IF(Market_Data[[#This Row],[Estimated Concrete Demand (m³)]]&lt;100000,"Large","Mega"))))</f>
        <v>Medium</v>
      </c>
      <c r="P1859" s="287" t="str">
        <f t="shared" si="30"/>
        <v>GujRERA</v>
      </c>
    </row>
    <row r="1860" spans="1:16">
      <c r="A1860" s="129" t="str">
        <f>_xlfn.XLOOKUP(B1860,$S$9:$S$14,$T$9:$T$14)&amp;"-"&amp;
IF(E1860="Residential/Group Housing","RES",
IF(E1860="Commercial","COM",
IF(E1860="Mixed Development","MIX",
IF(E1860="Plotted Development","PLT","OTH"))))
&amp;"-"&amp;TEXT(COUNTIFS($B$9:B1860,B1860,$E$9:E1860,E1860),"0000")</f>
        <v>SUR-COM-0307</v>
      </c>
      <c r="B1860" s="322" t="s">
        <v>34</v>
      </c>
      <c r="C1860" s="322" t="s">
        <v>34</v>
      </c>
      <c r="D1860" s="323" t="s">
        <v>2050</v>
      </c>
      <c r="E1860" s="132" t="s">
        <v>23</v>
      </c>
      <c r="F1860" s="97" t="str">
        <f ca="1">IF(OR(Market_Data[[#This Row],[Start Date]]="",Market_Data[[#This Row],[Completion Date]]=""),"Needs Validation",IF(Market_Data[[#This Row],[Start Date]]&gt;TODAY(),"Planned",IF(Market_Data[[#This Row],[Completion Date]]&lt;TODAY(),"Completed","Ongoing")))</f>
        <v>Completed</v>
      </c>
      <c r="G1860" s="324">
        <v>44593</v>
      </c>
      <c r="H1860" s="324">
        <v>46112</v>
      </c>
      <c r="I1860" s="325">
        <v>4700</v>
      </c>
      <c r="J186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60" s="133">
        <f>_xlfn.XLOOKUP(Market_Data[[#This Row],[Project Type]],tbl_assumptions_market[Project Category (RERA)],tbl_assumptions_market[Concrete Intensity
(m³ / sq m BUA)],"",0)</f>
        <v>0.5</v>
      </c>
      <c r="L1860" s="134">
        <f>ROUND(Market_Data[[#This Row],[Estimated Built Up Area (sq m)]]*Market_Data[[#This Row],[Concrete Intensity
(m³ / sq m)]],0)</f>
        <v>2350</v>
      </c>
      <c r="M1860" s="135">
        <f>_xlfn.XLOOKUP(Market_Data[[#This Row],[District]],tbl_district_price[District],tbl_district_price[Standard Price
(INR/m³)],"",0)</f>
        <v>6200</v>
      </c>
      <c r="N1860" s="364">
        <f>IF(OR(Market_Data[[#This Row],[Estimated Concrete Demand (m³)]]="",Market_Data[[#This Row],[Avg Price per (₹ / m³)]]=""),"",Market_Data[[#This Row],[Estimated Concrete Demand (m³)]]*Market_Data[[#This Row],[Avg Price per (₹ / m³)]]/10000000)</f>
        <v>1.4570000000000001</v>
      </c>
      <c r="O1860" s="97" t="str">
        <f>IF(Market_Data[[#This Row],[Estimated Concrete Demand (m³)]]="","",
IF(Market_Data[[#This Row],[Estimated Concrete Demand (m³)]]&lt;10000,"Small",
IF(Market_Data[[#This Row],[Estimated Concrete Demand (m³)]]&lt;25000,"Medium",
IF(Market_Data[[#This Row],[Estimated Concrete Demand (m³)]]&lt;100000,"Large","Mega"))))</f>
        <v>Small</v>
      </c>
      <c r="P1860" s="287" t="str">
        <f t="shared" si="30"/>
        <v>GujRERA</v>
      </c>
    </row>
    <row r="1861" spans="1:16">
      <c r="A1861" s="129" t="str">
        <f>_xlfn.XLOOKUP(B1861,$S$9:$S$14,$T$9:$T$14)&amp;"-"&amp;
IF(E1861="Residential/Group Housing","RES",
IF(E1861="Commercial","COM",
IF(E1861="Mixed Development","MIX",
IF(E1861="Plotted Development","PLT","OTH"))))
&amp;"-"&amp;TEXT(COUNTIFS($B$9:B1861,B1861,$E$9:E1861,E1861),"0000")</f>
        <v>SUR-RES-0599</v>
      </c>
      <c r="B1861" s="322" t="s">
        <v>34</v>
      </c>
      <c r="C1861" s="322" t="s">
        <v>34</v>
      </c>
      <c r="D1861" s="323" t="s">
        <v>2051</v>
      </c>
      <c r="E1861" s="132" t="s">
        <v>24</v>
      </c>
      <c r="F1861" s="97" t="str">
        <f ca="1">IF(OR(Market_Data[[#This Row],[Start Date]]="",Market_Data[[#This Row],[Completion Date]]=""),"Needs Validation",IF(Market_Data[[#This Row],[Start Date]]&gt;TODAY(),"Planned",IF(Market_Data[[#This Row],[Completion Date]]&lt;TODAY(),"Completed","Ongoing")))</f>
        <v>Completed</v>
      </c>
      <c r="G1861" s="324">
        <v>43556</v>
      </c>
      <c r="H1861" s="324">
        <v>44834</v>
      </c>
      <c r="I1861" s="325">
        <v>30600</v>
      </c>
      <c r="J186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61" s="133">
        <f>_xlfn.XLOOKUP(Market_Data[[#This Row],[Project Type]],tbl_assumptions_market[Project Category (RERA)],tbl_assumptions_market[Concrete Intensity
(m³ / sq m BUA)],"",0)</f>
        <v>0.45</v>
      </c>
      <c r="L1861" s="134">
        <f>ROUND(Market_Data[[#This Row],[Estimated Built Up Area (sq m)]]*Market_Data[[#This Row],[Concrete Intensity
(m³ / sq m)]],0)</f>
        <v>13770</v>
      </c>
      <c r="M1861" s="135">
        <f>_xlfn.XLOOKUP(Market_Data[[#This Row],[District]],tbl_district_price[District],tbl_district_price[Standard Price
(INR/m³)],"",0)</f>
        <v>6200</v>
      </c>
      <c r="N1861" s="364">
        <f>IF(OR(Market_Data[[#This Row],[Estimated Concrete Demand (m³)]]="",Market_Data[[#This Row],[Avg Price per (₹ / m³)]]=""),"",Market_Data[[#This Row],[Estimated Concrete Demand (m³)]]*Market_Data[[#This Row],[Avg Price per (₹ / m³)]]/10000000)</f>
        <v>8.5373999999999999</v>
      </c>
      <c r="O1861" s="97" t="str">
        <f>IF(Market_Data[[#This Row],[Estimated Concrete Demand (m³)]]="","",
IF(Market_Data[[#This Row],[Estimated Concrete Demand (m³)]]&lt;10000,"Small",
IF(Market_Data[[#This Row],[Estimated Concrete Demand (m³)]]&lt;25000,"Medium",
IF(Market_Data[[#This Row],[Estimated Concrete Demand (m³)]]&lt;100000,"Large","Mega"))))</f>
        <v>Medium</v>
      </c>
      <c r="P1861" s="287" t="str">
        <f t="shared" si="30"/>
        <v>GujRERA</v>
      </c>
    </row>
    <row r="1862" spans="1:16">
      <c r="A1862" s="129" t="str">
        <f>_xlfn.XLOOKUP(B1862,$S$9:$S$14,$T$9:$T$14)&amp;"-"&amp;
IF(E1862="Residential/Group Housing","RES",
IF(E1862="Commercial","COM",
IF(E1862="Mixed Development","MIX",
IF(E1862="Plotted Development","PLT","OTH"))))
&amp;"-"&amp;TEXT(COUNTIFS($B$9:B1862,B1862,$E$9:E1862,E1862),"0000")</f>
        <v>SUR-RES-0600</v>
      </c>
      <c r="B1862" s="322" t="s">
        <v>34</v>
      </c>
      <c r="C1862" s="322" t="s">
        <v>34</v>
      </c>
      <c r="D1862" s="323" t="s">
        <v>2052</v>
      </c>
      <c r="E1862" s="132" t="s">
        <v>24</v>
      </c>
      <c r="F1862" s="97" t="str">
        <f ca="1">IF(OR(Market_Data[[#This Row],[Start Date]]="",Market_Data[[#This Row],[Completion Date]]=""),"Needs Validation",IF(Market_Data[[#This Row],[Start Date]]&gt;TODAY(),"Planned",IF(Market_Data[[#This Row],[Completion Date]]&lt;TODAY(),"Completed","Ongoing")))</f>
        <v>Completed</v>
      </c>
      <c r="G1862" s="324">
        <v>43466</v>
      </c>
      <c r="H1862" s="324">
        <v>44925</v>
      </c>
      <c r="I1862" s="325">
        <v>46700</v>
      </c>
      <c r="J186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62" s="133">
        <f>_xlfn.XLOOKUP(Market_Data[[#This Row],[Project Type]],tbl_assumptions_market[Project Category (RERA)],tbl_assumptions_market[Concrete Intensity
(m³ / sq m BUA)],"",0)</f>
        <v>0.45</v>
      </c>
      <c r="L1862" s="134">
        <f>ROUND(Market_Data[[#This Row],[Estimated Built Up Area (sq m)]]*Market_Data[[#This Row],[Concrete Intensity
(m³ / sq m)]],0)</f>
        <v>21015</v>
      </c>
      <c r="M1862" s="135">
        <f>_xlfn.XLOOKUP(Market_Data[[#This Row],[District]],tbl_district_price[District],tbl_district_price[Standard Price
(INR/m³)],"",0)</f>
        <v>6200</v>
      </c>
      <c r="N1862" s="364">
        <f>IF(OR(Market_Data[[#This Row],[Estimated Concrete Demand (m³)]]="",Market_Data[[#This Row],[Avg Price per (₹ / m³)]]=""),"",Market_Data[[#This Row],[Estimated Concrete Demand (m³)]]*Market_Data[[#This Row],[Avg Price per (₹ / m³)]]/10000000)</f>
        <v>13.029299999999999</v>
      </c>
      <c r="O1862" s="97" t="str">
        <f>IF(Market_Data[[#This Row],[Estimated Concrete Demand (m³)]]="","",
IF(Market_Data[[#This Row],[Estimated Concrete Demand (m³)]]&lt;10000,"Small",
IF(Market_Data[[#This Row],[Estimated Concrete Demand (m³)]]&lt;25000,"Medium",
IF(Market_Data[[#This Row],[Estimated Concrete Demand (m³)]]&lt;100000,"Large","Mega"))))</f>
        <v>Medium</v>
      </c>
      <c r="P1862" s="287" t="str">
        <f t="shared" si="30"/>
        <v>GujRERA</v>
      </c>
    </row>
    <row r="1863" spans="1:16">
      <c r="A1863" s="129" t="str">
        <f>_xlfn.XLOOKUP(B1863,$S$9:$S$14,$T$9:$T$14)&amp;"-"&amp;
IF(E1863="Residential/Group Housing","RES",
IF(E1863="Commercial","COM",
IF(E1863="Mixed Development","MIX",
IF(E1863="Plotted Development","PLT","OTH"))))
&amp;"-"&amp;TEXT(COUNTIFS($B$9:B1863,B1863,$E$9:E1863,E1863),"0000")</f>
        <v>SUR-RES-0601</v>
      </c>
      <c r="B1863" s="322" t="s">
        <v>34</v>
      </c>
      <c r="C1863" s="322" t="s">
        <v>34</v>
      </c>
      <c r="D1863" s="323" t="s">
        <v>2053</v>
      </c>
      <c r="E1863" s="132" t="s">
        <v>24</v>
      </c>
      <c r="F1863" s="97" t="str">
        <f ca="1">IF(OR(Market_Data[[#This Row],[Start Date]]="",Market_Data[[#This Row],[Completion Date]]=""),"Needs Validation",IF(Market_Data[[#This Row],[Start Date]]&gt;TODAY(),"Planned",IF(Market_Data[[#This Row],[Completion Date]]&lt;TODAY(),"Completed","Ongoing")))</f>
        <v>Ongoing</v>
      </c>
      <c r="G1863" s="324">
        <v>45839</v>
      </c>
      <c r="H1863" s="324">
        <v>47452</v>
      </c>
      <c r="I1863" s="325">
        <v>17300</v>
      </c>
      <c r="J186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63" s="133">
        <f>_xlfn.XLOOKUP(Market_Data[[#This Row],[Project Type]],tbl_assumptions_market[Project Category (RERA)],tbl_assumptions_market[Concrete Intensity
(m³ / sq m BUA)],"",0)</f>
        <v>0.45</v>
      </c>
      <c r="L1863" s="134">
        <f>ROUND(Market_Data[[#This Row],[Estimated Built Up Area (sq m)]]*Market_Data[[#This Row],[Concrete Intensity
(m³ / sq m)]],0)</f>
        <v>7785</v>
      </c>
      <c r="M1863" s="135">
        <f>_xlfn.XLOOKUP(Market_Data[[#This Row],[District]],tbl_district_price[District],tbl_district_price[Standard Price
(INR/m³)],"",0)</f>
        <v>6200</v>
      </c>
      <c r="N1863" s="364">
        <f>IF(OR(Market_Data[[#This Row],[Estimated Concrete Demand (m³)]]="",Market_Data[[#This Row],[Avg Price per (₹ / m³)]]=""),"",Market_Data[[#This Row],[Estimated Concrete Demand (m³)]]*Market_Data[[#This Row],[Avg Price per (₹ / m³)]]/10000000)</f>
        <v>4.8266999999999998</v>
      </c>
      <c r="O1863" s="97" t="str">
        <f>IF(Market_Data[[#This Row],[Estimated Concrete Demand (m³)]]="","",
IF(Market_Data[[#This Row],[Estimated Concrete Demand (m³)]]&lt;10000,"Small",
IF(Market_Data[[#This Row],[Estimated Concrete Demand (m³)]]&lt;25000,"Medium",
IF(Market_Data[[#This Row],[Estimated Concrete Demand (m³)]]&lt;100000,"Large","Mega"))))</f>
        <v>Small</v>
      </c>
      <c r="P1863" s="287" t="str">
        <f t="shared" si="30"/>
        <v>GujRERA</v>
      </c>
    </row>
    <row r="1864" spans="1:16">
      <c r="A1864" s="129" t="str">
        <f>_xlfn.XLOOKUP(B1864,$S$9:$S$14,$T$9:$T$14)&amp;"-"&amp;
IF(E1864="Residential/Group Housing","RES",
IF(E1864="Commercial","COM",
IF(E1864="Mixed Development","MIX",
IF(E1864="Plotted Development","PLT","OTH"))))
&amp;"-"&amp;TEXT(COUNTIFS($B$9:B1864,B1864,$E$9:E1864,E1864),"0000")</f>
        <v>SUR-RES-0602</v>
      </c>
      <c r="B1864" s="322" t="s">
        <v>34</v>
      </c>
      <c r="C1864" s="322" t="s">
        <v>34</v>
      </c>
      <c r="D1864" s="323" t="s">
        <v>2054</v>
      </c>
      <c r="E1864" s="132" t="s">
        <v>24</v>
      </c>
      <c r="F1864" s="97" t="str">
        <f ca="1">IF(OR(Market_Data[[#This Row],[Start Date]]="",Market_Data[[#This Row],[Completion Date]]=""),"Needs Validation",IF(Market_Data[[#This Row],[Start Date]]&gt;TODAY(),"Planned",IF(Market_Data[[#This Row],[Completion Date]]&lt;TODAY(),"Completed","Ongoing")))</f>
        <v>Completed</v>
      </c>
      <c r="G1864" s="324">
        <v>43101</v>
      </c>
      <c r="H1864" s="324">
        <v>44560</v>
      </c>
      <c r="I1864" s="325">
        <v>10700</v>
      </c>
      <c r="J186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64" s="133">
        <f>_xlfn.XLOOKUP(Market_Data[[#This Row],[Project Type]],tbl_assumptions_market[Project Category (RERA)],tbl_assumptions_market[Concrete Intensity
(m³ / sq m BUA)],"",0)</f>
        <v>0.45</v>
      </c>
      <c r="L1864" s="134">
        <f>ROUND(Market_Data[[#This Row],[Estimated Built Up Area (sq m)]]*Market_Data[[#This Row],[Concrete Intensity
(m³ / sq m)]],0)</f>
        <v>4815</v>
      </c>
      <c r="M1864" s="135">
        <f>_xlfn.XLOOKUP(Market_Data[[#This Row],[District]],tbl_district_price[District],tbl_district_price[Standard Price
(INR/m³)],"",0)</f>
        <v>6200</v>
      </c>
      <c r="N1864" s="364">
        <f>IF(OR(Market_Data[[#This Row],[Estimated Concrete Demand (m³)]]="",Market_Data[[#This Row],[Avg Price per (₹ / m³)]]=""),"",Market_Data[[#This Row],[Estimated Concrete Demand (m³)]]*Market_Data[[#This Row],[Avg Price per (₹ / m³)]]/10000000)</f>
        <v>2.9853000000000001</v>
      </c>
      <c r="O1864" s="97" t="str">
        <f>IF(Market_Data[[#This Row],[Estimated Concrete Demand (m³)]]="","",
IF(Market_Data[[#This Row],[Estimated Concrete Demand (m³)]]&lt;10000,"Small",
IF(Market_Data[[#This Row],[Estimated Concrete Demand (m³)]]&lt;25000,"Medium",
IF(Market_Data[[#This Row],[Estimated Concrete Demand (m³)]]&lt;100000,"Large","Mega"))))</f>
        <v>Small</v>
      </c>
      <c r="P1864" s="287" t="str">
        <f t="shared" si="30"/>
        <v>GujRERA</v>
      </c>
    </row>
    <row r="1865" spans="1:16">
      <c r="A1865" s="129" t="str">
        <f>_xlfn.XLOOKUP(B1865,$S$9:$S$14,$T$9:$T$14)&amp;"-"&amp;
IF(E1865="Residential/Group Housing","RES",
IF(E1865="Commercial","COM",
IF(E1865="Mixed Development","MIX",
IF(E1865="Plotted Development","PLT","OTH"))))
&amp;"-"&amp;TEXT(COUNTIFS($B$9:B1865,B1865,$E$9:E1865,E1865),"0000")</f>
        <v>SUR-COM-0308</v>
      </c>
      <c r="B1865" s="322" t="s">
        <v>34</v>
      </c>
      <c r="C1865" s="322" t="s">
        <v>34</v>
      </c>
      <c r="D1865" s="323" t="s">
        <v>2055</v>
      </c>
      <c r="E1865" s="132" t="s">
        <v>23</v>
      </c>
      <c r="F1865" s="97" t="str">
        <f ca="1">IF(OR(Market_Data[[#This Row],[Start Date]]="",Market_Data[[#This Row],[Completion Date]]=""),"Needs Validation",IF(Market_Data[[#This Row],[Start Date]]&gt;TODAY(),"Planned",IF(Market_Data[[#This Row],[Completion Date]]&lt;TODAY(),"Completed","Ongoing")))</f>
        <v>Ongoing</v>
      </c>
      <c r="G1865" s="324">
        <v>45809</v>
      </c>
      <c r="H1865" s="324">
        <v>47573</v>
      </c>
      <c r="I1865" s="325">
        <v>18700</v>
      </c>
      <c r="J186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65" s="133">
        <f>_xlfn.XLOOKUP(Market_Data[[#This Row],[Project Type]],tbl_assumptions_market[Project Category (RERA)],tbl_assumptions_market[Concrete Intensity
(m³ / sq m BUA)],"",0)</f>
        <v>0.5</v>
      </c>
      <c r="L1865" s="134">
        <f>ROUND(Market_Data[[#This Row],[Estimated Built Up Area (sq m)]]*Market_Data[[#This Row],[Concrete Intensity
(m³ / sq m)]],0)</f>
        <v>9350</v>
      </c>
      <c r="M1865" s="135">
        <f>_xlfn.XLOOKUP(Market_Data[[#This Row],[District]],tbl_district_price[District],tbl_district_price[Standard Price
(INR/m³)],"",0)</f>
        <v>6200</v>
      </c>
      <c r="N1865" s="364">
        <f>IF(OR(Market_Data[[#This Row],[Estimated Concrete Demand (m³)]]="",Market_Data[[#This Row],[Avg Price per (₹ / m³)]]=""),"",Market_Data[[#This Row],[Estimated Concrete Demand (m³)]]*Market_Data[[#This Row],[Avg Price per (₹ / m³)]]/10000000)</f>
        <v>5.7969999999999997</v>
      </c>
      <c r="O1865" s="97" t="str">
        <f>IF(Market_Data[[#This Row],[Estimated Concrete Demand (m³)]]="","",
IF(Market_Data[[#This Row],[Estimated Concrete Demand (m³)]]&lt;10000,"Small",
IF(Market_Data[[#This Row],[Estimated Concrete Demand (m³)]]&lt;25000,"Medium",
IF(Market_Data[[#This Row],[Estimated Concrete Demand (m³)]]&lt;100000,"Large","Mega"))))</f>
        <v>Small</v>
      </c>
      <c r="P1865" s="287" t="str">
        <f t="shared" si="30"/>
        <v>GujRERA</v>
      </c>
    </row>
    <row r="1866" spans="1:16">
      <c r="A1866" s="129" t="str">
        <f>_xlfn.XLOOKUP(B1866,$S$9:$S$14,$T$9:$T$14)&amp;"-"&amp;
IF(E1866="Residential/Group Housing","RES",
IF(E1866="Commercial","COM",
IF(E1866="Mixed Development","MIX",
IF(E1866="Plotted Development","PLT","OTH"))))
&amp;"-"&amp;TEXT(COUNTIFS($B$9:B1866,B1866,$E$9:E1866,E1866),"0000")</f>
        <v>SUR-MIX-0303</v>
      </c>
      <c r="B1866" s="322" t="s">
        <v>34</v>
      </c>
      <c r="C1866" s="322" t="s">
        <v>34</v>
      </c>
      <c r="D1866" s="323" t="s">
        <v>2056</v>
      </c>
      <c r="E1866" s="132" t="s">
        <v>25</v>
      </c>
      <c r="F1866" s="97" t="str">
        <f ca="1">IF(OR(Market_Data[[#This Row],[Start Date]]="",Market_Data[[#This Row],[Completion Date]]=""),"Needs Validation",IF(Market_Data[[#This Row],[Start Date]]&gt;TODAY(),"Planned",IF(Market_Data[[#This Row],[Completion Date]]&lt;TODAY(),"Completed","Ongoing")))</f>
        <v>Ongoing</v>
      </c>
      <c r="G1866" s="324">
        <v>45897</v>
      </c>
      <c r="H1866" s="324">
        <v>48213</v>
      </c>
      <c r="I1866" s="325">
        <v>42400</v>
      </c>
      <c r="J186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66" s="133">
        <f>_xlfn.XLOOKUP(Market_Data[[#This Row],[Project Type]],tbl_assumptions_market[Project Category (RERA)],tbl_assumptions_market[Concrete Intensity
(m³ / sq m BUA)],"",0)</f>
        <v>0.42</v>
      </c>
      <c r="L1866" s="134">
        <f>ROUND(Market_Data[[#This Row],[Estimated Built Up Area (sq m)]]*Market_Data[[#This Row],[Concrete Intensity
(m³ / sq m)]],0)</f>
        <v>17808</v>
      </c>
      <c r="M1866" s="135">
        <f>_xlfn.XLOOKUP(Market_Data[[#This Row],[District]],tbl_district_price[District],tbl_district_price[Standard Price
(INR/m³)],"",0)</f>
        <v>6200</v>
      </c>
      <c r="N1866" s="364">
        <f>IF(OR(Market_Data[[#This Row],[Estimated Concrete Demand (m³)]]="",Market_Data[[#This Row],[Avg Price per (₹ / m³)]]=""),"",Market_Data[[#This Row],[Estimated Concrete Demand (m³)]]*Market_Data[[#This Row],[Avg Price per (₹ / m³)]]/10000000)</f>
        <v>11.04096</v>
      </c>
      <c r="O1866" s="97" t="str">
        <f>IF(Market_Data[[#This Row],[Estimated Concrete Demand (m³)]]="","",
IF(Market_Data[[#This Row],[Estimated Concrete Demand (m³)]]&lt;10000,"Small",
IF(Market_Data[[#This Row],[Estimated Concrete Demand (m³)]]&lt;25000,"Medium",
IF(Market_Data[[#This Row],[Estimated Concrete Demand (m³)]]&lt;100000,"Large","Mega"))))</f>
        <v>Medium</v>
      </c>
      <c r="P1866" s="287" t="str">
        <f t="shared" ref="P1866:P1929" si="31">HYPERLINK(
"https://gujrera.gujarat.gov.in",
"GujRERA")</f>
        <v>GujRERA</v>
      </c>
    </row>
    <row r="1867" spans="1:16">
      <c r="A1867" s="129" t="str">
        <f>_xlfn.XLOOKUP(B1867,$S$9:$S$14,$T$9:$T$14)&amp;"-"&amp;
IF(E1867="Residential/Group Housing","RES",
IF(E1867="Commercial","COM",
IF(E1867="Mixed Development","MIX",
IF(E1867="Plotted Development","PLT","OTH"))))
&amp;"-"&amp;TEXT(COUNTIFS($B$9:B1867,B1867,$E$9:E1867,E1867),"0000")</f>
        <v>SUR-PLT-0336</v>
      </c>
      <c r="B1867" s="322" t="s">
        <v>34</v>
      </c>
      <c r="C1867" s="322" t="s">
        <v>34</v>
      </c>
      <c r="D1867" s="323" t="s">
        <v>2057</v>
      </c>
      <c r="E1867" s="132" t="s">
        <v>26</v>
      </c>
      <c r="F1867" s="97" t="str">
        <f ca="1">IF(OR(Market_Data[[#This Row],[Start Date]]="",Market_Data[[#This Row],[Completion Date]]=""),"Needs Validation",IF(Market_Data[[#This Row],[Start Date]]&gt;TODAY(),"Planned",IF(Market_Data[[#This Row],[Completion Date]]&lt;TODAY(),"Completed","Ongoing")))</f>
        <v>Ongoing</v>
      </c>
      <c r="G1867" s="324">
        <v>45931</v>
      </c>
      <c r="H1867" s="324">
        <v>47391</v>
      </c>
      <c r="I1867" s="325">
        <v>29600</v>
      </c>
      <c r="J186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67" s="133">
        <f>_xlfn.XLOOKUP(Market_Data[[#This Row],[Project Type]],tbl_assumptions_market[Project Category (RERA)],tbl_assumptions_market[Concrete Intensity
(m³ / sq m BUA)],"",0)</f>
        <v>0.18</v>
      </c>
      <c r="L1867" s="134">
        <f>ROUND(Market_Data[[#This Row],[Estimated Built Up Area (sq m)]]*Market_Data[[#This Row],[Concrete Intensity
(m³ / sq m)]],0)</f>
        <v>5328</v>
      </c>
      <c r="M1867" s="135">
        <f>_xlfn.XLOOKUP(Market_Data[[#This Row],[District]],tbl_district_price[District],tbl_district_price[Standard Price
(INR/m³)],"",0)</f>
        <v>6200</v>
      </c>
      <c r="N1867" s="364">
        <f>IF(OR(Market_Data[[#This Row],[Estimated Concrete Demand (m³)]]="",Market_Data[[#This Row],[Avg Price per (₹ / m³)]]=""),"",Market_Data[[#This Row],[Estimated Concrete Demand (m³)]]*Market_Data[[#This Row],[Avg Price per (₹ / m³)]]/10000000)</f>
        <v>3.3033600000000001</v>
      </c>
      <c r="O1867" s="97" t="str">
        <f>IF(Market_Data[[#This Row],[Estimated Concrete Demand (m³)]]="","",
IF(Market_Data[[#This Row],[Estimated Concrete Demand (m³)]]&lt;10000,"Small",
IF(Market_Data[[#This Row],[Estimated Concrete Demand (m³)]]&lt;25000,"Medium",
IF(Market_Data[[#This Row],[Estimated Concrete Demand (m³)]]&lt;100000,"Large","Mega"))))</f>
        <v>Small</v>
      </c>
      <c r="P1867" s="287" t="str">
        <f t="shared" si="31"/>
        <v>GujRERA</v>
      </c>
    </row>
    <row r="1868" spans="1:16">
      <c r="A1868" s="129" t="str">
        <f>_xlfn.XLOOKUP(B1868,$S$9:$S$14,$T$9:$T$14)&amp;"-"&amp;
IF(E1868="Residential/Group Housing","RES",
IF(E1868="Commercial","COM",
IF(E1868="Mixed Development","MIX",
IF(E1868="Plotted Development","PLT","OTH"))))
&amp;"-"&amp;TEXT(COUNTIFS($B$9:B1868,B1868,$E$9:E1868,E1868),"0000")</f>
        <v>SUR-PLT-0337</v>
      </c>
      <c r="B1868" s="322" t="s">
        <v>34</v>
      </c>
      <c r="C1868" s="322" t="s">
        <v>34</v>
      </c>
      <c r="D1868" s="323" t="s">
        <v>2058</v>
      </c>
      <c r="E1868" s="132" t="s">
        <v>26</v>
      </c>
      <c r="F1868" s="97" t="str">
        <f ca="1">IF(OR(Market_Data[[#This Row],[Start Date]]="",Market_Data[[#This Row],[Completion Date]]=""),"Needs Validation",IF(Market_Data[[#This Row],[Start Date]]&gt;TODAY(),"Planned",IF(Market_Data[[#This Row],[Completion Date]]&lt;TODAY(),"Completed","Ongoing")))</f>
        <v>Ongoing</v>
      </c>
      <c r="G1868" s="324">
        <v>45689</v>
      </c>
      <c r="H1868" s="324">
        <v>46752</v>
      </c>
      <c r="I1868" s="325">
        <v>18500</v>
      </c>
      <c r="J186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68" s="133">
        <f>_xlfn.XLOOKUP(Market_Data[[#This Row],[Project Type]],tbl_assumptions_market[Project Category (RERA)],tbl_assumptions_market[Concrete Intensity
(m³ / sq m BUA)],"",0)</f>
        <v>0.18</v>
      </c>
      <c r="L1868" s="134">
        <f>ROUND(Market_Data[[#This Row],[Estimated Built Up Area (sq m)]]*Market_Data[[#This Row],[Concrete Intensity
(m³ / sq m)]],0)</f>
        <v>3330</v>
      </c>
      <c r="M1868" s="135">
        <f>_xlfn.XLOOKUP(Market_Data[[#This Row],[District]],tbl_district_price[District],tbl_district_price[Standard Price
(INR/m³)],"",0)</f>
        <v>6200</v>
      </c>
      <c r="N1868" s="364">
        <f>IF(OR(Market_Data[[#This Row],[Estimated Concrete Demand (m³)]]="",Market_Data[[#This Row],[Avg Price per (₹ / m³)]]=""),"",Market_Data[[#This Row],[Estimated Concrete Demand (m³)]]*Market_Data[[#This Row],[Avg Price per (₹ / m³)]]/10000000)</f>
        <v>2.0646</v>
      </c>
      <c r="O1868" s="97" t="str">
        <f>IF(Market_Data[[#This Row],[Estimated Concrete Demand (m³)]]="","",
IF(Market_Data[[#This Row],[Estimated Concrete Demand (m³)]]&lt;10000,"Small",
IF(Market_Data[[#This Row],[Estimated Concrete Demand (m³)]]&lt;25000,"Medium",
IF(Market_Data[[#This Row],[Estimated Concrete Demand (m³)]]&lt;100000,"Large","Mega"))))</f>
        <v>Small</v>
      </c>
      <c r="P1868" s="287" t="str">
        <f t="shared" si="31"/>
        <v>GujRERA</v>
      </c>
    </row>
    <row r="1869" spans="1:16">
      <c r="A1869" s="129" t="str">
        <f>_xlfn.XLOOKUP(B1869,$S$9:$S$14,$T$9:$T$14)&amp;"-"&amp;
IF(E1869="Residential/Group Housing","RES",
IF(E1869="Commercial","COM",
IF(E1869="Mixed Development","MIX",
IF(E1869="Plotted Development","PLT","OTH"))))
&amp;"-"&amp;TEXT(COUNTIFS($B$9:B1869,B1869,$E$9:E1869,E1869),"0000")</f>
        <v>SUR-MIX-0304</v>
      </c>
      <c r="B1869" s="322" t="s">
        <v>34</v>
      </c>
      <c r="C1869" s="322" t="s">
        <v>34</v>
      </c>
      <c r="D1869" s="323" t="s">
        <v>2059</v>
      </c>
      <c r="E1869" s="132" t="s">
        <v>25</v>
      </c>
      <c r="F1869" s="97" t="str">
        <f ca="1">IF(OR(Market_Data[[#This Row],[Start Date]]="",Market_Data[[#This Row],[Completion Date]]=""),"Needs Validation",IF(Market_Data[[#This Row],[Start Date]]&gt;TODAY(),"Planned",IF(Market_Data[[#This Row],[Completion Date]]&lt;TODAY(),"Completed","Ongoing")))</f>
        <v>Completed</v>
      </c>
      <c r="G1869" s="324">
        <v>41063</v>
      </c>
      <c r="H1869" s="324">
        <v>44104</v>
      </c>
      <c r="I1869" s="325">
        <v>25800</v>
      </c>
      <c r="J186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69" s="133">
        <f>_xlfn.XLOOKUP(Market_Data[[#This Row],[Project Type]],tbl_assumptions_market[Project Category (RERA)],tbl_assumptions_market[Concrete Intensity
(m³ / sq m BUA)],"",0)</f>
        <v>0.42</v>
      </c>
      <c r="L1869" s="134">
        <f>ROUND(Market_Data[[#This Row],[Estimated Built Up Area (sq m)]]*Market_Data[[#This Row],[Concrete Intensity
(m³ / sq m)]],0)</f>
        <v>10836</v>
      </c>
      <c r="M1869" s="135">
        <f>_xlfn.XLOOKUP(Market_Data[[#This Row],[District]],tbl_district_price[District],tbl_district_price[Standard Price
(INR/m³)],"",0)</f>
        <v>6200</v>
      </c>
      <c r="N1869" s="364">
        <f>IF(OR(Market_Data[[#This Row],[Estimated Concrete Demand (m³)]]="",Market_Data[[#This Row],[Avg Price per (₹ / m³)]]=""),"",Market_Data[[#This Row],[Estimated Concrete Demand (m³)]]*Market_Data[[#This Row],[Avg Price per (₹ / m³)]]/10000000)</f>
        <v>6.7183200000000003</v>
      </c>
      <c r="O1869" s="97" t="str">
        <f>IF(Market_Data[[#This Row],[Estimated Concrete Demand (m³)]]="","",
IF(Market_Data[[#This Row],[Estimated Concrete Demand (m³)]]&lt;10000,"Small",
IF(Market_Data[[#This Row],[Estimated Concrete Demand (m³)]]&lt;25000,"Medium",
IF(Market_Data[[#This Row],[Estimated Concrete Demand (m³)]]&lt;100000,"Large","Mega"))))</f>
        <v>Medium</v>
      </c>
      <c r="P1869" s="287" t="str">
        <f t="shared" si="31"/>
        <v>GujRERA</v>
      </c>
    </row>
    <row r="1870" spans="1:16">
      <c r="A1870" s="129" t="str">
        <f>_xlfn.XLOOKUP(B1870,$S$9:$S$14,$T$9:$T$14)&amp;"-"&amp;
IF(E1870="Residential/Group Housing","RES",
IF(E1870="Commercial","COM",
IF(E1870="Mixed Development","MIX",
IF(E1870="Plotted Development","PLT","OTH"))))
&amp;"-"&amp;TEXT(COUNTIFS($B$9:B1870,B1870,$E$9:E1870,E1870),"0000")</f>
        <v>SUR-MIX-0305</v>
      </c>
      <c r="B1870" s="322" t="s">
        <v>34</v>
      </c>
      <c r="C1870" s="322" t="s">
        <v>34</v>
      </c>
      <c r="D1870" s="323" t="s">
        <v>2060</v>
      </c>
      <c r="E1870" s="132" t="s">
        <v>25</v>
      </c>
      <c r="F1870" s="97" t="str">
        <f ca="1">IF(OR(Market_Data[[#This Row],[Start Date]]="",Market_Data[[#This Row],[Completion Date]]=""),"Needs Validation",IF(Market_Data[[#This Row],[Start Date]]&gt;TODAY(),"Planned",IF(Market_Data[[#This Row],[Completion Date]]&lt;TODAY(),"Completed","Ongoing")))</f>
        <v>Ongoing</v>
      </c>
      <c r="G1870" s="324">
        <v>45037</v>
      </c>
      <c r="H1870" s="324">
        <v>47118</v>
      </c>
      <c r="I1870" s="325">
        <v>34200</v>
      </c>
      <c r="J187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70" s="133">
        <f>_xlfn.XLOOKUP(Market_Data[[#This Row],[Project Type]],tbl_assumptions_market[Project Category (RERA)],tbl_assumptions_market[Concrete Intensity
(m³ / sq m BUA)],"",0)</f>
        <v>0.42</v>
      </c>
      <c r="L1870" s="134">
        <f>ROUND(Market_Data[[#This Row],[Estimated Built Up Area (sq m)]]*Market_Data[[#This Row],[Concrete Intensity
(m³ / sq m)]],0)</f>
        <v>14364</v>
      </c>
      <c r="M1870" s="135">
        <f>_xlfn.XLOOKUP(Market_Data[[#This Row],[District]],tbl_district_price[District],tbl_district_price[Standard Price
(INR/m³)],"",0)</f>
        <v>6200</v>
      </c>
      <c r="N1870" s="364">
        <f>IF(OR(Market_Data[[#This Row],[Estimated Concrete Demand (m³)]]="",Market_Data[[#This Row],[Avg Price per (₹ / m³)]]=""),"",Market_Data[[#This Row],[Estimated Concrete Demand (m³)]]*Market_Data[[#This Row],[Avg Price per (₹ / m³)]]/10000000)</f>
        <v>8.9056800000000003</v>
      </c>
      <c r="O1870" s="97" t="str">
        <f>IF(Market_Data[[#This Row],[Estimated Concrete Demand (m³)]]="","",
IF(Market_Data[[#This Row],[Estimated Concrete Demand (m³)]]&lt;10000,"Small",
IF(Market_Data[[#This Row],[Estimated Concrete Demand (m³)]]&lt;25000,"Medium",
IF(Market_Data[[#This Row],[Estimated Concrete Demand (m³)]]&lt;100000,"Large","Mega"))))</f>
        <v>Medium</v>
      </c>
      <c r="P1870" s="287" t="str">
        <f t="shared" si="31"/>
        <v>GujRERA</v>
      </c>
    </row>
    <row r="1871" spans="1:16">
      <c r="A1871" s="129" t="str">
        <f>_xlfn.XLOOKUP(B1871,$S$9:$S$14,$T$9:$T$14)&amp;"-"&amp;
IF(E1871="Residential/Group Housing","RES",
IF(E1871="Commercial","COM",
IF(E1871="Mixed Development","MIX",
IF(E1871="Plotted Development","PLT","OTH"))))
&amp;"-"&amp;TEXT(COUNTIFS($B$9:B1871,B1871,$E$9:E1871,E1871),"0000")</f>
        <v>SUR-RES-0603</v>
      </c>
      <c r="B1871" s="322" t="s">
        <v>34</v>
      </c>
      <c r="C1871" s="322" t="s">
        <v>34</v>
      </c>
      <c r="D1871" s="323" t="s">
        <v>2061</v>
      </c>
      <c r="E1871" s="132" t="s">
        <v>24</v>
      </c>
      <c r="F1871" s="97" t="str">
        <f ca="1">IF(OR(Market_Data[[#This Row],[Start Date]]="",Market_Data[[#This Row],[Completion Date]]=""),"Needs Validation",IF(Market_Data[[#This Row],[Start Date]]&gt;TODAY(),"Planned",IF(Market_Data[[#This Row],[Completion Date]]&lt;TODAY(),"Completed","Ongoing")))</f>
        <v>Ongoing</v>
      </c>
      <c r="G1871" s="324">
        <v>45357</v>
      </c>
      <c r="H1871" s="324">
        <v>47483</v>
      </c>
      <c r="I1871" s="325">
        <v>49800</v>
      </c>
      <c r="J187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71" s="133">
        <f>_xlfn.XLOOKUP(Market_Data[[#This Row],[Project Type]],tbl_assumptions_market[Project Category (RERA)],tbl_assumptions_market[Concrete Intensity
(m³ / sq m BUA)],"",0)</f>
        <v>0.45</v>
      </c>
      <c r="L1871" s="134">
        <f>ROUND(Market_Data[[#This Row],[Estimated Built Up Area (sq m)]]*Market_Data[[#This Row],[Concrete Intensity
(m³ / sq m)]],0)</f>
        <v>22410</v>
      </c>
      <c r="M1871" s="135">
        <f>_xlfn.XLOOKUP(Market_Data[[#This Row],[District]],tbl_district_price[District],tbl_district_price[Standard Price
(INR/m³)],"",0)</f>
        <v>6200</v>
      </c>
      <c r="N1871" s="364">
        <f>IF(OR(Market_Data[[#This Row],[Estimated Concrete Demand (m³)]]="",Market_Data[[#This Row],[Avg Price per (₹ / m³)]]=""),"",Market_Data[[#This Row],[Estimated Concrete Demand (m³)]]*Market_Data[[#This Row],[Avg Price per (₹ / m³)]]/10000000)</f>
        <v>13.8942</v>
      </c>
      <c r="O1871" s="97" t="str">
        <f>IF(Market_Data[[#This Row],[Estimated Concrete Demand (m³)]]="","",
IF(Market_Data[[#This Row],[Estimated Concrete Demand (m³)]]&lt;10000,"Small",
IF(Market_Data[[#This Row],[Estimated Concrete Demand (m³)]]&lt;25000,"Medium",
IF(Market_Data[[#This Row],[Estimated Concrete Demand (m³)]]&lt;100000,"Large","Mega"))))</f>
        <v>Medium</v>
      </c>
      <c r="P1871" s="287" t="str">
        <f t="shared" si="31"/>
        <v>GujRERA</v>
      </c>
    </row>
    <row r="1872" spans="1:16">
      <c r="A1872" s="129" t="str">
        <f>_xlfn.XLOOKUP(B1872,$S$9:$S$14,$T$9:$T$14)&amp;"-"&amp;
IF(E1872="Residential/Group Housing","RES",
IF(E1872="Commercial","COM",
IF(E1872="Mixed Development","MIX",
IF(E1872="Plotted Development","PLT","OTH"))))
&amp;"-"&amp;TEXT(COUNTIFS($B$9:B1872,B1872,$E$9:E1872,E1872),"0000")</f>
        <v>SUR-RES-0604</v>
      </c>
      <c r="B1872" s="322" t="s">
        <v>34</v>
      </c>
      <c r="C1872" s="322" t="s">
        <v>34</v>
      </c>
      <c r="D1872" s="323" t="s">
        <v>2062</v>
      </c>
      <c r="E1872" s="132" t="s">
        <v>24</v>
      </c>
      <c r="F1872" s="97" t="str">
        <f ca="1">IF(OR(Market_Data[[#This Row],[Start Date]]="",Market_Data[[#This Row],[Completion Date]]=""),"Needs Validation",IF(Market_Data[[#This Row],[Start Date]]&gt;TODAY(),"Planned",IF(Market_Data[[#This Row],[Completion Date]]&lt;TODAY(),"Completed","Ongoing")))</f>
        <v>Completed</v>
      </c>
      <c r="G1872" s="324">
        <v>44361</v>
      </c>
      <c r="H1872" s="324">
        <v>45747</v>
      </c>
      <c r="I1872" s="325">
        <v>54700</v>
      </c>
      <c r="J187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72" s="133">
        <f>_xlfn.XLOOKUP(Market_Data[[#This Row],[Project Type]],tbl_assumptions_market[Project Category (RERA)],tbl_assumptions_market[Concrete Intensity
(m³ / sq m BUA)],"",0)</f>
        <v>0.45</v>
      </c>
      <c r="L1872" s="134">
        <f>ROUND(Market_Data[[#This Row],[Estimated Built Up Area (sq m)]]*Market_Data[[#This Row],[Concrete Intensity
(m³ / sq m)]],0)</f>
        <v>24615</v>
      </c>
      <c r="M1872" s="135">
        <f>_xlfn.XLOOKUP(Market_Data[[#This Row],[District]],tbl_district_price[District],tbl_district_price[Standard Price
(INR/m³)],"",0)</f>
        <v>6200</v>
      </c>
      <c r="N1872" s="364">
        <f>IF(OR(Market_Data[[#This Row],[Estimated Concrete Demand (m³)]]="",Market_Data[[#This Row],[Avg Price per (₹ / m³)]]=""),"",Market_Data[[#This Row],[Estimated Concrete Demand (m³)]]*Market_Data[[#This Row],[Avg Price per (₹ / m³)]]/10000000)</f>
        <v>15.2613</v>
      </c>
      <c r="O1872" s="97" t="str">
        <f>IF(Market_Data[[#This Row],[Estimated Concrete Demand (m³)]]="","",
IF(Market_Data[[#This Row],[Estimated Concrete Demand (m³)]]&lt;10000,"Small",
IF(Market_Data[[#This Row],[Estimated Concrete Demand (m³)]]&lt;25000,"Medium",
IF(Market_Data[[#This Row],[Estimated Concrete Demand (m³)]]&lt;100000,"Large","Mega"))))</f>
        <v>Medium</v>
      </c>
      <c r="P1872" s="287" t="str">
        <f t="shared" si="31"/>
        <v>GujRERA</v>
      </c>
    </row>
    <row r="1873" spans="1:16">
      <c r="A1873" s="129" t="str">
        <f>_xlfn.XLOOKUP(B1873,$S$9:$S$14,$T$9:$T$14)&amp;"-"&amp;
IF(E1873="Residential/Group Housing","RES",
IF(E1873="Commercial","COM",
IF(E1873="Mixed Development","MIX",
IF(E1873="Plotted Development","PLT","OTH"))))
&amp;"-"&amp;TEXT(COUNTIFS($B$9:B1873,B1873,$E$9:E1873,E1873),"0000")</f>
        <v>SUR-RES-0605</v>
      </c>
      <c r="B1873" s="322" t="s">
        <v>34</v>
      </c>
      <c r="C1873" s="322" t="s">
        <v>34</v>
      </c>
      <c r="D1873" s="323" t="s">
        <v>2063</v>
      </c>
      <c r="E1873" s="132" t="s">
        <v>24</v>
      </c>
      <c r="F1873" s="97" t="str">
        <f ca="1">IF(OR(Market_Data[[#This Row],[Start Date]]="",Market_Data[[#This Row],[Completion Date]]=""),"Needs Validation",IF(Market_Data[[#This Row],[Start Date]]&gt;TODAY(),"Planned",IF(Market_Data[[#This Row],[Completion Date]]&lt;TODAY(),"Completed","Ongoing")))</f>
        <v>Completed</v>
      </c>
      <c r="G1873" s="324">
        <v>41821</v>
      </c>
      <c r="H1873" s="324">
        <v>44469</v>
      </c>
      <c r="I1873" s="325">
        <v>19600</v>
      </c>
      <c r="J187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73" s="133">
        <f>_xlfn.XLOOKUP(Market_Data[[#This Row],[Project Type]],tbl_assumptions_market[Project Category (RERA)],tbl_assumptions_market[Concrete Intensity
(m³ / sq m BUA)],"",0)</f>
        <v>0.45</v>
      </c>
      <c r="L1873" s="134">
        <f>ROUND(Market_Data[[#This Row],[Estimated Built Up Area (sq m)]]*Market_Data[[#This Row],[Concrete Intensity
(m³ / sq m)]],0)</f>
        <v>8820</v>
      </c>
      <c r="M1873" s="135">
        <f>_xlfn.XLOOKUP(Market_Data[[#This Row],[District]],tbl_district_price[District],tbl_district_price[Standard Price
(INR/m³)],"",0)</f>
        <v>6200</v>
      </c>
      <c r="N1873" s="364">
        <f>IF(OR(Market_Data[[#This Row],[Estimated Concrete Demand (m³)]]="",Market_Data[[#This Row],[Avg Price per (₹ / m³)]]=""),"",Market_Data[[#This Row],[Estimated Concrete Demand (m³)]]*Market_Data[[#This Row],[Avg Price per (₹ / m³)]]/10000000)</f>
        <v>5.4683999999999999</v>
      </c>
      <c r="O1873" s="97" t="str">
        <f>IF(Market_Data[[#This Row],[Estimated Concrete Demand (m³)]]="","",
IF(Market_Data[[#This Row],[Estimated Concrete Demand (m³)]]&lt;10000,"Small",
IF(Market_Data[[#This Row],[Estimated Concrete Demand (m³)]]&lt;25000,"Medium",
IF(Market_Data[[#This Row],[Estimated Concrete Demand (m³)]]&lt;100000,"Large","Mega"))))</f>
        <v>Small</v>
      </c>
      <c r="P1873" s="287" t="str">
        <f t="shared" si="31"/>
        <v>GujRERA</v>
      </c>
    </row>
    <row r="1874" spans="1:16">
      <c r="A1874" s="129" t="str">
        <f>_xlfn.XLOOKUP(B1874,$S$9:$S$14,$T$9:$T$14)&amp;"-"&amp;
IF(E1874="Residential/Group Housing","RES",
IF(E1874="Commercial","COM",
IF(E1874="Mixed Development","MIX",
IF(E1874="Plotted Development","PLT","OTH"))))
&amp;"-"&amp;TEXT(COUNTIFS($B$9:B1874,B1874,$E$9:E1874,E1874),"0000")</f>
        <v>SUR-RES-0606</v>
      </c>
      <c r="B1874" s="322" t="s">
        <v>34</v>
      </c>
      <c r="C1874" s="322" t="s">
        <v>34</v>
      </c>
      <c r="D1874" s="323" t="s">
        <v>2064</v>
      </c>
      <c r="E1874" s="132" t="s">
        <v>24</v>
      </c>
      <c r="F1874" s="97" t="str">
        <f ca="1">IF(OR(Market_Data[[#This Row],[Start Date]]="",Market_Data[[#This Row],[Completion Date]]=""),"Needs Validation",IF(Market_Data[[#This Row],[Start Date]]&gt;TODAY(),"Planned",IF(Market_Data[[#This Row],[Completion Date]]&lt;TODAY(),"Completed","Ongoing")))</f>
        <v>Completed</v>
      </c>
      <c r="G1874" s="324">
        <v>43194</v>
      </c>
      <c r="H1874" s="324">
        <v>44894</v>
      </c>
      <c r="I1874" s="325">
        <v>56500</v>
      </c>
      <c r="J187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74" s="133">
        <f>_xlfn.XLOOKUP(Market_Data[[#This Row],[Project Type]],tbl_assumptions_market[Project Category (RERA)],tbl_assumptions_market[Concrete Intensity
(m³ / sq m BUA)],"",0)</f>
        <v>0.45</v>
      </c>
      <c r="L1874" s="134">
        <f>ROUND(Market_Data[[#This Row],[Estimated Built Up Area (sq m)]]*Market_Data[[#This Row],[Concrete Intensity
(m³ / sq m)]],0)</f>
        <v>25425</v>
      </c>
      <c r="M1874" s="135">
        <f>_xlfn.XLOOKUP(Market_Data[[#This Row],[District]],tbl_district_price[District],tbl_district_price[Standard Price
(INR/m³)],"",0)</f>
        <v>6200</v>
      </c>
      <c r="N1874" s="364">
        <f>IF(OR(Market_Data[[#This Row],[Estimated Concrete Demand (m³)]]="",Market_Data[[#This Row],[Avg Price per (₹ / m³)]]=""),"",Market_Data[[#This Row],[Estimated Concrete Demand (m³)]]*Market_Data[[#This Row],[Avg Price per (₹ / m³)]]/10000000)</f>
        <v>15.763500000000001</v>
      </c>
      <c r="O1874" s="97" t="str">
        <f>IF(Market_Data[[#This Row],[Estimated Concrete Demand (m³)]]="","",
IF(Market_Data[[#This Row],[Estimated Concrete Demand (m³)]]&lt;10000,"Small",
IF(Market_Data[[#This Row],[Estimated Concrete Demand (m³)]]&lt;25000,"Medium",
IF(Market_Data[[#This Row],[Estimated Concrete Demand (m³)]]&lt;100000,"Large","Mega"))))</f>
        <v>Large</v>
      </c>
      <c r="P1874" s="287" t="str">
        <f t="shared" si="31"/>
        <v>GujRERA</v>
      </c>
    </row>
    <row r="1875" spans="1:16">
      <c r="A1875" s="129" t="str">
        <f>_xlfn.XLOOKUP(B1875,$S$9:$S$14,$T$9:$T$14)&amp;"-"&amp;
IF(E1875="Residential/Group Housing","RES",
IF(E1875="Commercial","COM",
IF(E1875="Mixed Development","MIX",
IF(E1875="Plotted Development","PLT","OTH"))))
&amp;"-"&amp;TEXT(COUNTIFS($B$9:B1875,B1875,$E$9:E1875,E1875),"0000")</f>
        <v>SUR-MIX-0306</v>
      </c>
      <c r="B1875" s="322" t="s">
        <v>34</v>
      </c>
      <c r="C1875" s="322" t="s">
        <v>34</v>
      </c>
      <c r="D1875" s="323" t="s">
        <v>2065</v>
      </c>
      <c r="E1875" s="132" t="s">
        <v>25</v>
      </c>
      <c r="F1875" s="97" t="str">
        <f ca="1">IF(OR(Market_Data[[#This Row],[Start Date]]="",Market_Data[[#This Row],[Completion Date]]=""),"Needs Validation",IF(Market_Data[[#This Row],[Start Date]]&gt;TODAY(),"Planned",IF(Market_Data[[#This Row],[Completion Date]]&lt;TODAY(),"Completed","Ongoing")))</f>
        <v>Ongoing</v>
      </c>
      <c r="G1875" s="324">
        <v>44783</v>
      </c>
      <c r="H1875" s="324">
        <v>46752</v>
      </c>
      <c r="I1875" s="325">
        <v>17500</v>
      </c>
      <c r="J187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75" s="133">
        <f>_xlfn.XLOOKUP(Market_Data[[#This Row],[Project Type]],tbl_assumptions_market[Project Category (RERA)],tbl_assumptions_market[Concrete Intensity
(m³ / sq m BUA)],"",0)</f>
        <v>0.42</v>
      </c>
      <c r="L1875" s="134">
        <f>ROUND(Market_Data[[#This Row],[Estimated Built Up Area (sq m)]]*Market_Data[[#This Row],[Concrete Intensity
(m³ / sq m)]],0)</f>
        <v>7350</v>
      </c>
      <c r="M1875" s="135">
        <f>_xlfn.XLOOKUP(Market_Data[[#This Row],[District]],tbl_district_price[District],tbl_district_price[Standard Price
(INR/m³)],"",0)</f>
        <v>6200</v>
      </c>
      <c r="N1875" s="364">
        <f>IF(OR(Market_Data[[#This Row],[Estimated Concrete Demand (m³)]]="",Market_Data[[#This Row],[Avg Price per (₹ / m³)]]=""),"",Market_Data[[#This Row],[Estimated Concrete Demand (m³)]]*Market_Data[[#This Row],[Avg Price per (₹ / m³)]]/10000000)</f>
        <v>4.5570000000000004</v>
      </c>
      <c r="O1875" s="97" t="str">
        <f>IF(Market_Data[[#This Row],[Estimated Concrete Demand (m³)]]="","",
IF(Market_Data[[#This Row],[Estimated Concrete Demand (m³)]]&lt;10000,"Small",
IF(Market_Data[[#This Row],[Estimated Concrete Demand (m³)]]&lt;25000,"Medium",
IF(Market_Data[[#This Row],[Estimated Concrete Demand (m³)]]&lt;100000,"Large","Mega"))))</f>
        <v>Small</v>
      </c>
      <c r="P1875" s="287" t="str">
        <f t="shared" si="31"/>
        <v>GujRERA</v>
      </c>
    </row>
    <row r="1876" spans="1:16">
      <c r="A1876" s="129" t="str">
        <f>_xlfn.XLOOKUP(B1876,$S$9:$S$14,$T$9:$T$14)&amp;"-"&amp;
IF(E1876="Residential/Group Housing","RES",
IF(E1876="Commercial","COM",
IF(E1876="Mixed Development","MIX",
IF(E1876="Plotted Development","PLT","OTH"))))
&amp;"-"&amp;TEXT(COUNTIFS($B$9:B1876,B1876,$E$9:E1876,E1876),"0000")</f>
        <v>SUR-RES-0607</v>
      </c>
      <c r="B1876" s="322" t="s">
        <v>34</v>
      </c>
      <c r="C1876" s="322" t="s">
        <v>34</v>
      </c>
      <c r="D1876" s="323" t="s">
        <v>2066</v>
      </c>
      <c r="E1876" s="132" t="s">
        <v>24</v>
      </c>
      <c r="F1876" s="97" t="str">
        <f ca="1">IF(OR(Market_Data[[#This Row],[Start Date]]="",Market_Data[[#This Row],[Completion Date]]=""),"Needs Validation",IF(Market_Data[[#This Row],[Start Date]]&gt;TODAY(),"Planned",IF(Market_Data[[#This Row],[Completion Date]]&lt;TODAY(),"Completed","Ongoing")))</f>
        <v>Ongoing</v>
      </c>
      <c r="G1876" s="324">
        <v>44216</v>
      </c>
      <c r="H1876" s="324">
        <v>46387</v>
      </c>
      <c r="I1876" s="325">
        <v>28600</v>
      </c>
      <c r="J187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76" s="133">
        <f>_xlfn.XLOOKUP(Market_Data[[#This Row],[Project Type]],tbl_assumptions_market[Project Category (RERA)],tbl_assumptions_market[Concrete Intensity
(m³ / sq m BUA)],"",0)</f>
        <v>0.45</v>
      </c>
      <c r="L1876" s="134">
        <f>ROUND(Market_Data[[#This Row],[Estimated Built Up Area (sq m)]]*Market_Data[[#This Row],[Concrete Intensity
(m³ / sq m)]],0)</f>
        <v>12870</v>
      </c>
      <c r="M1876" s="135">
        <f>_xlfn.XLOOKUP(Market_Data[[#This Row],[District]],tbl_district_price[District],tbl_district_price[Standard Price
(INR/m³)],"",0)</f>
        <v>6200</v>
      </c>
      <c r="N1876" s="364">
        <f>IF(OR(Market_Data[[#This Row],[Estimated Concrete Demand (m³)]]="",Market_Data[[#This Row],[Avg Price per (₹ / m³)]]=""),"",Market_Data[[#This Row],[Estimated Concrete Demand (m³)]]*Market_Data[[#This Row],[Avg Price per (₹ / m³)]]/10000000)</f>
        <v>7.9794</v>
      </c>
      <c r="O1876" s="97" t="str">
        <f>IF(Market_Data[[#This Row],[Estimated Concrete Demand (m³)]]="","",
IF(Market_Data[[#This Row],[Estimated Concrete Demand (m³)]]&lt;10000,"Small",
IF(Market_Data[[#This Row],[Estimated Concrete Demand (m³)]]&lt;25000,"Medium",
IF(Market_Data[[#This Row],[Estimated Concrete Demand (m³)]]&lt;100000,"Large","Mega"))))</f>
        <v>Medium</v>
      </c>
      <c r="P1876" s="287" t="str">
        <f t="shared" si="31"/>
        <v>GujRERA</v>
      </c>
    </row>
    <row r="1877" spans="1:16">
      <c r="A1877" s="129" t="str">
        <f>_xlfn.XLOOKUP(B1877,$S$9:$S$14,$T$9:$T$14)&amp;"-"&amp;
IF(E1877="Residential/Group Housing","RES",
IF(E1877="Commercial","COM",
IF(E1877="Mixed Development","MIX",
IF(E1877="Plotted Development","PLT","OTH"))))
&amp;"-"&amp;TEXT(COUNTIFS($B$9:B1877,B1877,$E$9:E1877,E1877),"0000")</f>
        <v>SUR-RES-0608</v>
      </c>
      <c r="B1877" s="322" t="s">
        <v>34</v>
      </c>
      <c r="C1877" s="322" t="s">
        <v>34</v>
      </c>
      <c r="D1877" s="323" t="s">
        <v>2067</v>
      </c>
      <c r="E1877" s="132" t="s">
        <v>24</v>
      </c>
      <c r="F1877" s="97" t="str">
        <f ca="1">IF(OR(Market_Data[[#This Row],[Start Date]]="",Market_Data[[#This Row],[Completion Date]]=""),"Needs Validation",IF(Market_Data[[#This Row],[Start Date]]&gt;TODAY(),"Planned",IF(Market_Data[[#This Row],[Completion Date]]&lt;TODAY(),"Completed","Ongoing")))</f>
        <v>Ongoing</v>
      </c>
      <c r="G1877" s="324">
        <v>45030</v>
      </c>
      <c r="H1877" s="324">
        <v>46295</v>
      </c>
      <c r="I1877" s="325">
        <v>26300</v>
      </c>
      <c r="J187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77" s="133">
        <f>_xlfn.XLOOKUP(Market_Data[[#This Row],[Project Type]],tbl_assumptions_market[Project Category (RERA)],tbl_assumptions_market[Concrete Intensity
(m³ / sq m BUA)],"",0)</f>
        <v>0.45</v>
      </c>
      <c r="L1877" s="134">
        <f>ROUND(Market_Data[[#This Row],[Estimated Built Up Area (sq m)]]*Market_Data[[#This Row],[Concrete Intensity
(m³ / sq m)]],0)</f>
        <v>11835</v>
      </c>
      <c r="M1877" s="135">
        <f>_xlfn.XLOOKUP(Market_Data[[#This Row],[District]],tbl_district_price[District],tbl_district_price[Standard Price
(INR/m³)],"",0)</f>
        <v>6200</v>
      </c>
      <c r="N1877" s="364">
        <f>IF(OR(Market_Data[[#This Row],[Estimated Concrete Demand (m³)]]="",Market_Data[[#This Row],[Avg Price per (₹ / m³)]]=""),"",Market_Data[[#This Row],[Estimated Concrete Demand (m³)]]*Market_Data[[#This Row],[Avg Price per (₹ / m³)]]/10000000)</f>
        <v>7.3376999999999999</v>
      </c>
      <c r="O1877" s="97" t="str">
        <f>IF(Market_Data[[#This Row],[Estimated Concrete Demand (m³)]]="","",
IF(Market_Data[[#This Row],[Estimated Concrete Demand (m³)]]&lt;10000,"Small",
IF(Market_Data[[#This Row],[Estimated Concrete Demand (m³)]]&lt;25000,"Medium",
IF(Market_Data[[#This Row],[Estimated Concrete Demand (m³)]]&lt;100000,"Large","Mega"))))</f>
        <v>Medium</v>
      </c>
      <c r="P1877" s="287" t="str">
        <f t="shared" si="31"/>
        <v>GujRERA</v>
      </c>
    </row>
    <row r="1878" spans="1:16">
      <c r="A1878" s="129" t="str">
        <f>_xlfn.XLOOKUP(B1878,$S$9:$S$14,$T$9:$T$14)&amp;"-"&amp;
IF(E1878="Residential/Group Housing","RES",
IF(E1878="Commercial","COM",
IF(E1878="Mixed Development","MIX",
IF(E1878="Plotted Development","PLT","OTH"))))
&amp;"-"&amp;TEXT(COUNTIFS($B$9:B1878,B1878,$E$9:E1878,E1878),"0000")</f>
        <v>SUR-RES-0609</v>
      </c>
      <c r="B1878" s="322" t="s">
        <v>34</v>
      </c>
      <c r="C1878" s="322" t="s">
        <v>34</v>
      </c>
      <c r="D1878" s="323" t="s">
        <v>2068</v>
      </c>
      <c r="E1878" s="132" t="s">
        <v>24</v>
      </c>
      <c r="F1878" s="97" t="str">
        <f ca="1">IF(OR(Market_Data[[#This Row],[Start Date]]="",Market_Data[[#This Row],[Completion Date]]=""),"Needs Validation",IF(Market_Data[[#This Row],[Start Date]]&gt;TODAY(),"Planned",IF(Market_Data[[#This Row],[Completion Date]]&lt;TODAY(),"Completed","Ongoing")))</f>
        <v>Ongoing</v>
      </c>
      <c r="G1878" s="324">
        <v>45789</v>
      </c>
      <c r="H1878" s="324">
        <v>47483</v>
      </c>
      <c r="I1878" s="325">
        <v>124200</v>
      </c>
      <c r="J187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878" s="133">
        <f>_xlfn.XLOOKUP(Market_Data[[#This Row],[Project Type]],tbl_assumptions_market[Project Category (RERA)],tbl_assumptions_market[Concrete Intensity
(m³ / sq m BUA)],"",0)</f>
        <v>0.45</v>
      </c>
      <c r="L1878" s="134">
        <f>ROUND(Market_Data[[#This Row],[Estimated Built Up Area (sq m)]]*Market_Data[[#This Row],[Concrete Intensity
(m³ / sq m)]],0)</f>
        <v>55890</v>
      </c>
      <c r="M1878" s="135">
        <f>_xlfn.XLOOKUP(Market_Data[[#This Row],[District]],tbl_district_price[District],tbl_district_price[Standard Price
(INR/m³)],"",0)</f>
        <v>6200</v>
      </c>
      <c r="N1878" s="364">
        <f>IF(OR(Market_Data[[#This Row],[Estimated Concrete Demand (m³)]]="",Market_Data[[#This Row],[Avg Price per (₹ / m³)]]=""),"",Market_Data[[#This Row],[Estimated Concrete Demand (m³)]]*Market_Data[[#This Row],[Avg Price per (₹ / m³)]]/10000000)</f>
        <v>34.651800000000001</v>
      </c>
      <c r="O1878" s="97" t="str">
        <f>IF(Market_Data[[#This Row],[Estimated Concrete Demand (m³)]]="","",
IF(Market_Data[[#This Row],[Estimated Concrete Demand (m³)]]&lt;10000,"Small",
IF(Market_Data[[#This Row],[Estimated Concrete Demand (m³)]]&lt;25000,"Medium",
IF(Market_Data[[#This Row],[Estimated Concrete Demand (m³)]]&lt;100000,"Large","Mega"))))</f>
        <v>Large</v>
      </c>
      <c r="P1878" s="287" t="str">
        <f t="shared" si="31"/>
        <v>GujRERA</v>
      </c>
    </row>
    <row r="1879" spans="1:16">
      <c r="A1879" s="129" t="str">
        <f>_xlfn.XLOOKUP(B1879,$S$9:$S$14,$T$9:$T$14)&amp;"-"&amp;
IF(E1879="Residential/Group Housing","RES",
IF(E1879="Commercial","COM",
IF(E1879="Mixed Development","MIX",
IF(E1879="Plotted Development","PLT","OTH"))))
&amp;"-"&amp;TEXT(COUNTIFS($B$9:B1879,B1879,$E$9:E1879,E1879),"0000")</f>
        <v>SUR-MIX-0307</v>
      </c>
      <c r="B1879" s="322" t="s">
        <v>34</v>
      </c>
      <c r="C1879" s="322" t="s">
        <v>34</v>
      </c>
      <c r="D1879" s="323" t="s">
        <v>2069</v>
      </c>
      <c r="E1879" s="132" t="s">
        <v>25</v>
      </c>
      <c r="F1879" s="97" t="str">
        <f ca="1">IF(OR(Market_Data[[#This Row],[Start Date]]="",Market_Data[[#This Row],[Completion Date]]=""),"Needs Validation",IF(Market_Data[[#This Row],[Start Date]]&gt;TODAY(),"Planned",IF(Market_Data[[#This Row],[Completion Date]]&lt;TODAY(),"Completed","Ongoing")))</f>
        <v>Completed</v>
      </c>
      <c r="G1879" s="324">
        <v>42083</v>
      </c>
      <c r="H1879" s="324">
        <v>44823</v>
      </c>
      <c r="I1879" s="325">
        <v>84800</v>
      </c>
      <c r="J187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79" s="133">
        <f>_xlfn.XLOOKUP(Market_Data[[#This Row],[Project Type]],tbl_assumptions_market[Project Category (RERA)],tbl_assumptions_market[Concrete Intensity
(m³ / sq m BUA)],"",0)</f>
        <v>0.42</v>
      </c>
      <c r="L1879" s="134">
        <f>ROUND(Market_Data[[#This Row],[Estimated Built Up Area (sq m)]]*Market_Data[[#This Row],[Concrete Intensity
(m³ / sq m)]],0)</f>
        <v>35616</v>
      </c>
      <c r="M1879" s="135">
        <f>_xlfn.XLOOKUP(Market_Data[[#This Row],[District]],tbl_district_price[District],tbl_district_price[Standard Price
(INR/m³)],"",0)</f>
        <v>6200</v>
      </c>
      <c r="N1879" s="364">
        <f>IF(OR(Market_Data[[#This Row],[Estimated Concrete Demand (m³)]]="",Market_Data[[#This Row],[Avg Price per (₹ / m³)]]=""),"",Market_Data[[#This Row],[Estimated Concrete Demand (m³)]]*Market_Data[[#This Row],[Avg Price per (₹ / m³)]]/10000000)</f>
        <v>22.08192</v>
      </c>
      <c r="O1879" s="97" t="str">
        <f>IF(Market_Data[[#This Row],[Estimated Concrete Demand (m³)]]="","",
IF(Market_Data[[#This Row],[Estimated Concrete Demand (m³)]]&lt;10000,"Small",
IF(Market_Data[[#This Row],[Estimated Concrete Demand (m³)]]&lt;25000,"Medium",
IF(Market_Data[[#This Row],[Estimated Concrete Demand (m³)]]&lt;100000,"Large","Mega"))))</f>
        <v>Large</v>
      </c>
      <c r="P1879" s="287" t="str">
        <f t="shared" si="31"/>
        <v>GujRERA</v>
      </c>
    </row>
    <row r="1880" spans="1:16">
      <c r="A1880" s="129" t="str">
        <f>_xlfn.XLOOKUP(B1880,$S$9:$S$14,$T$9:$T$14)&amp;"-"&amp;
IF(E1880="Residential/Group Housing","RES",
IF(E1880="Commercial","COM",
IF(E1880="Mixed Development","MIX",
IF(E1880="Plotted Development","PLT","OTH"))))
&amp;"-"&amp;TEXT(COUNTIFS($B$9:B1880,B1880,$E$9:E1880,E1880),"0000")</f>
        <v>SUR-RES-0610</v>
      </c>
      <c r="B1880" s="322" t="s">
        <v>34</v>
      </c>
      <c r="C1880" s="322" t="s">
        <v>34</v>
      </c>
      <c r="D1880" s="323" t="s">
        <v>2070</v>
      </c>
      <c r="E1880" s="132" t="s">
        <v>24</v>
      </c>
      <c r="F1880" s="97" t="str">
        <f ca="1">IF(OR(Market_Data[[#This Row],[Start Date]]="",Market_Data[[#This Row],[Completion Date]]=""),"Needs Validation",IF(Market_Data[[#This Row],[Start Date]]&gt;TODAY(),"Planned",IF(Market_Data[[#This Row],[Completion Date]]&lt;TODAY(),"Completed","Ongoing")))</f>
        <v>Completed</v>
      </c>
      <c r="G1880" s="324">
        <v>41493</v>
      </c>
      <c r="H1880" s="324">
        <v>43830</v>
      </c>
      <c r="I1880" s="325">
        <v>10200</v>
      </c>
      <c r="J188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80" s="133">
        <f>_xlfn.XLOOKUP(Market_Data[[#This Row],[Project Type]],tbl_assumptions_market[Project Category (RERA)],tbl_assumptions_market[Concrete Intensity
(m³ / sq m BUA)],"",0)</f>
        <v>0.45</v>
      </c>
      <c r="L1880" s="134">
        <f>ROUND(Market_Data[[#This Row],[Estimated Built Up Area (sq m)]]*Market_Data[[#This Row],[Concrete Intensity
(m³ / sq m)]],0)</f>
        <v>4590</v>
      </c>
      <c r="M1880" s="135">
        <f>_xlfn.XLOOKUP(Market_Data[[#This Row],[District]],tbl_district_price[District],tbl_district_price[Standard Price
(INR/m³)],"",0)</f>
        <v>6200</v>
      </c>
      <c r="N1880" s="364">
        <f>IF(OR(Market_Data[[#This Row],[Estimated Concrete Demand (m³)]]="",Market_Data[[#This Row],[Avg Price per (₹ / m³)]]=""),"",Market_Data[[#This Row],[Estimated Concrete Demand (m³)]]*Market_Data[[#This Row],[Avg Price per (₹ / m³)]]/10000000)</f>
        <v>2.8458000000000001</v>
      </c>
      <c r="O1880" s="97" t="str">
        <f>IF(Market_Data[[#This Row],[Estimated Concrete Demand (m³)]]="","",
IF(Market_Data[[#This Row],[Estimated Concrete Demand (m³)]]&lt;10000,"Small",
IF(Market_Data[[#This Row],[Estimated Concrete Demand (m³)]]&lt;25000,"Medium",
IF(Market_Data[[#This Row],[Estimated Concrete Demand (m³)]]&lt;100000,"Large","Mega"))))</f>
        <v>Small</v>
      </c>
      <c r="P1880" s="287" t="str">
        <f t="shared" si="31"/>
        <v>GujRERA</v>
      </c>
    </row>
    <row r="1881" spans="1:16">
      <c r="A1881" s="129" t="str">
        <f>_xlfn.XLOOKUP(B1881,$S$9:$S$14,$T$9:$T$14)&amp;"-"&amp;
IF(E1881="Residential/Group Housing","RES",
IF(E1881="Commercial","COM",
IF(E1881="Mixed Development","MIX",
IF(E1881="Plotted Development","PLT","OTH"))))
&amp;"-"&amp;TEXT(COUNTIFS($B$9:B1881,B1881,$E$9:E1881,E1881),"0000")</f>
        <v>SUR-PLT-0338</v>
      </c>
      <c r="B1881" s="322" t="s">
        <v>34</v>
      </c>
      <c r="C1881" s="322" t="s">
        <v>34</v>
      </c>
      <c r="D1881" s="323" t="s">
        <v>2071</v>
      </c>
      <c r="E1881" s="132" t="s">
        <v>26</v>
      </c>
      <c r="F1881" s="97" t="str">
        <f ca="1">IF(OR(Market_Data[[#This Row],[Start Date]]="",Market_Data[[#This Row],[Completion Date]]=""),"Needs Validation",IF(Market_Data[[#This Row],[Start Date]]&gt;TODAY(),"Planned",IF(Market_Data[[#This Row],[Completion Date]]&lt;TODAY(),"Completed","Ongoing")))</f>
        <v>Completed</v>
      </c>
      <c r="G1881" s="324">
        <v>44701</v>
      </c>
      <c r="H1881" s="324">
        <v>46022</v>
      </c>
      <c r="I1881" s="325">
        <v>44900</v>
      </c>
      <c r="J188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881" s="133">
        <f>_xlfn.XLOOKUP(Market_Data[[#This Row],[Project Type]],tbl_assumptions_market[Project Category (RERA)],tbl_assumptions_market[Concrete Intensity
(m³ / sq m BUA)],"",0)</f>
        <v>0.18</v>
      </c>
      <c r="L1881" s="134">
        <f>ROUND(Market_Data[[#This Row],[Estimated Built Up Area (sq m)]]*Market_Data[[#This Row],[Concrete Intensity
(m³ / sq m)]],0)</f>
        <v>8082</v>
      </c>
      <c r="M1881" s="135">
        <f>_xlfn.XLOOKUP(Market_Data[[#This Row],[District]],tbl_district_price[District],tbl_district_price[Standard Price
(INR/m³)],"",0)</f>
        <v>6200</v>
      </c>
      <c r="N1881" s="364">
        <f>IF(OR(Market_Data[[#This Row],[Estimated Concrete Demand (m³)]]="",Market_Data[[#This Row],[Avg Price per (₹ / m³)]]=""),"",Market_Data[[#This Row],[Estimated Concrete Demand (m³)]]*Market_Data[[#This Row],[Avg Price per (₹ / m³)]]/10000000)</f>
        <v>5.01084</v>
      </c>
      <c r="O1881" s="97" t="str">
        <f>IF(Market_Data[[#This Row],[Estimated Concrete Demand (m³)]]="","",
IF(Market_Data[[#This Row],[Estimated Concrete Demand (m³)]]&lt;10000,"Small",
IF(Market_Data[[#This Row],[Estimated Concrete Demand (m³)]]&lt;25000,"Medium",
IF(Market_Data[[#This Row],[Estimated Concrete Demand (m³)]]&lt;100000,"Large","Mega"))))</f>
        <v>Small</v>
      </c>
      <c r="P1881" s="287" t="str">
        <f t="shared" si="31"/>
        <v>GujRERA</v>
      </c>
    </row>
    <row r="1882" spans="1:16">
      <c r="A1882" s="129" t="str">
        <f>_xlfn.XLOOKUP(B1882,$S$9:$S$14,$T$9:$T$14)&amp;"-"&amp;
IF(E1882="Residential/Group Housing","RES",
IF(E1882="Commercial","COM",
IF(E1882="Mixed Development","MIX",
IF(E1882="Plotted Development","PLT","OTH"))))
&amp;"-"&amp;TEXT(COUNTIFS($B$9:B1882,B1882,$E$9:E1882,E1882),"0000")</f>
        <v>SUR-RES-0611</v>
      </c>
      <c r="B1882" s="322" t="s">
        <v>34</v>
      </c>
      <c r="C1882" s="322" t="s">
        <v>34</v>
      </c>
      <c r="D1882" s="323" t="s">
        <v>2072</v>
      </c>
      <c r="E1882" s="132" t="s">
        <v>24</v>
      </c>
      <c r="F1882" s="97" t="str">
        <f ca="1">IF(OR(Market_Data[[#This Row],[Start Date]]="",Market_Data[[#This Row],[Completion Date]]=""),"Needs Validation",IF(Market_Data[[#This Row],[Start Date]]&gt;TODAY(),"Planned",IF(Market_Data[[#This Row],[Completion Date]]&lt;TODAY(),"Completed","Ongoing")))</f>
        <v>Ongoing</v>
      </c>
      <c r="G1882" s="324">
        <v>45947</v>
      </c>
      <c r="H1882" s="324">
        <v>47848</v>
      </c>
      <c r="I1882" s="325">
        <v>35900</v>
      </c>
      <c r="J188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82" s="133">
        <f>_xlfn.XLOOKUP(Market_Data[[#This Row],[Project Type]],tbl_assumptions_market[Project Category (RERA)],tbl_assumptions_market[Concrete Intensity
(m³ / sq m BUA)],"",0)</f>
        <v>0.45</v>
      </c>
      <c r="L1882" s="134">
        <f>ROUND(Market_Data[[#This Row],[Estimated Built Up Area (sq m)]]*Market_Data[[#This Row],[Concrete Intensity
(m³ / sq m)]],0)</f>
        <v>16155</v>
      </c>
      <c r="M1882" s="135">
        <f>_xlfn.XLOOKUP(Market_Data[[#This Row],[District]],tbl_district_price[District],tbl_district_price[Standard Price
(INR/m³)],"",0)</f>
        <v>6200</v>
      </c>
      <c r="N1882" s="364">
        <f>IF(OR(Market_Data[[#This Row],[Estimated Concrete Demand (m³)]]="",Market_Data[[#This Row],[Avg Price per (₹ / m³)]]=""),"",Market_Data[[#This Row],[Estimated Concrete Demand (m³)]]*Market_Data[[#This Row],[Avg Price per (₹ / m³)]]/10000000)</f>
        <v>10.0161</v>
      </c>
      <c r="O1882" s="97" t="str">
        <f>IF(Market_Data[[#This Row],[Estimated Concrete Demand (m³)]]="","",
IF(Market_Data[[#This Row],[Estimated Concrete Demand (m³)]]&lt;10000,"Small",
IF(Market_Data[[#This Row],[Estimated Concrete Demand (m³)]]&lt;25000,"Medium",
IF(Market_Data[[#This Row],[Estimated Concrete Demand (m³)]]&lt;100000,"Large","Mega"))))</f>
        <v>Medium</v>
      </c>
      <c r="P1882" s="287" t="str">
        <f t="shared" si="31"/>
        <v>GujRERA</v>
      </c>
    </row>
    <row r="1883" spans="1:16">
      <c r="A1883" s="129" t="str">
        <f>_xlfn.XLOOKUP(B1883,$S$9:$S$14,$T$9:$T$14)&amp;"-"&amp;
IF(E1883="Residential/Group Housing","RES",
IF(E1883="Commercial","COM",
IF(E1883="Mixed Development","MIX",
IF(E1883="Plotted Development","PLT","OTH"))))
&amp;"-"&amp;TEXT(COUNTIFS($B$9:B1883,B1883,$E$9:E1883,E1883),"0000")</f>
        <v>SUR-MIX-0308</v>
      </c>
      <c r="B1883" s="322" t="s">
        <v>34</v>
      </c>
      <c r="C1883" s="322" t="s">
        <v>34</v>
      </c>
      <c r="D1883" s="323" t="s">
        <v>2073</v>
      </c>
      <c r="E1883" s="132" t="s">
        <v>25</v>
      </c>
      <c r="F1883" s="97" t="str">
        <f ca="1">IF(OR(Market_Data[[#This Row],[Start Date]]="",Market_Data[[#This Row],[Completion Date]]=""),"Needs Validation",IF(Market_Data[[#This Row],[Start Date]]&gt;TODAY(),"Planned",IF(Market_Data[[#This Row],[Completion Date]]&lt;TODAY(),"Completed","Ongoing")))</f>
        <v>Completed</v>
      </c>
      <c r="G1883" s="324">
        <v>41690</v>
      </c>
      <c r="H1883" s="324">
        <v>43830</v>
      </c>
      <c r="I1883" s="325">
        <v>51100</v>
      </c>
      <c r="J188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83" s="133">
        <f>_xlfn.XLOOKUP(Market_Data[[#This Row],[Project Type]],tbl_assumptions_market[Project Category (RERA)],tbl_assumptions_market[Concrete Intensity
(m³ / sq m BUA)],"",0)</f>
        <v>0.42</v>
      </c>
      <c r="L1883" s="134">
        <f>ROUND(Market_Data[[#This Row],[Estimated Built Up Area (sq m)]]*Market_Data[[#This Row],[Concrete Intensity
(m³ / sq m)]],0)</f>
        <v>21462</v>
      </c>
      <c r="M1883" s="135">
        <f>_xlfn.XLOOKUP(Market_Data[[#This Row],[District]],tbl_district_price[District],tbl_district_price[Standard Price
(INR/m³)],"",0)</f>
        <v>6200</v>
      </c>
      <c r="N1883" s="364">
        <f>IF(OR(Market_Data[[#This Row],[Estimated Concrete Demand (m³)]]="",Market_Data[[#This Row],[Avg Price per (₹ / m³)]]=""),"",Market_Data[[#This Row],[Estimated Concrete Demand (m³)]]*Market_Data[[#This Row],[Avg Price per (₹ / m³)]]/10000000)</f>
        <v>13.30644</v>
      </c>
      <c r="O1883" s="97" t="str">
        <f>IF(Market_Data[[#This Row],[Estimated Concrete Demand (m³)]]="","",
IF(Market_Data[[#This Row],[Estimated Concrete Demand (m³)]]&lt;10000,"Small",
IF(Market_Data[[#This Row],[Estimated Concrete Demand (m³)]]&lt;25000,"Medium",
IF(Market_Data[[#This Row],[Estimated Concrete Demand (m³)]]&lt;100000,"Large","Mega"))))</f>
        <v>Medium</v>
      </c>
      <c r="P1883" s="287" t="str">
        <f t="shared" si="31"/>
        <v>GujRERA</v>
      </c>
    </row>
    <row r="1884" spans="1:16">
      <c r="A1884" s="129" t="str">
        <f>_xlfn.XLOOKUP(B1884,$S$9:$S$14,$T$9:$T$14)&amp;"-"&amp;
IF(E1884="Residential/Group Housing","RES",
IF(E1884="Commercial","COM",
IF(E1884="Mixed Development","MIX",
IF(E1884="Plotted Development","PLT","OTH"))))
&amp;"-"&amp;TEXT(COUNTIFS($B$9:B1884,B1884,$E$9:E1884,E1884),"0000")</f>
        <v>SUR-RES-0612</v>
      </c>
      <c r="B1884" s="322" t="s">
        <v>34</v>
      </c>
      <c r="C1884" s="322" t="s">
        <v>34</v>
      </c>
      <c r="D1884" s="323" t="s">
        <v>2074</v>
      </c>
      <c r="E1884" s="132" t="s">
        <v>24</v>
      </c>
      <c r="F1884" s="97" t="str">
        <f ca="1">IF(OR(Market_Data[[#This Row],[Start Date]]="",Market_Data[[#This Row],[Completion Date]]=""),"Needs Validation",IF(Market_Data[[#This Row],[Start Date]]&gt;TODAY(),"Planned",IF(Market_Data[[#This Row],[Completion Date]]&lt;TODAY(),"Completed","Ongoing")))</f>
        <v>Completed</v>
      </c>
      <c r="G1884" s="324">
        <v>44287</v>
      </c>
      <c r="H1884" s="324">
        <v>46112</v>
      </c>
      <c r="I1884" s="325">
        <v>10600</v>
      </c>
      <c r="J188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84" s="133">
        <f>_xlfn.XLOOKUP(Market_Data[[#This Row],[Project Type]],tbl_assumptions_market[Project Category (RERA)],tbl_assumptions_market[Concrete Intensity
(m³ / sq m BUA)],"",0)</f>
        <v>0.45</v>
      </c>
      <c r="L1884" s="134">
        <f>ROUND(Market_Data[[#This Row],[Estimated Built Up Area (sq m)]]*Market_Data[[#This Row],[Concrete Intensity
(m³ / sq m)]],0)</f>
        <v>4770</v>
      </c>
      <c r="M1884" s="135">
        <f>_xlfn.XLOOKUP(Market_Data[[#This Row],[District]],tbl_district_price[District],tbl_district_price[Standard Price
(INR/m³)],"",0)</f>
        <v>6200</v>
      </c>
      <c r="N1884" s="364">
        <f>IF(OR(Market_Data[[#This Row],[Estimated Concrete Demand (m³)]]="",Market_Data[[#This Row],[Avg Price per (₹ / m³)]]=""),"",Market_Data[[#This Row],[Estimated Concrete Demand (m³)]]*Market_Data[[#This Row],[Avg Price per (₹ / m³)]]/10000000)</f>
        <v>2.9573999999999998</v>
      </c>
      <c r="O1884" s="97" t="str">
        <f>IF(Market_Data[[#This Row],[Estimated Concrete Demand (m³)]]="","",
IF(Market_Data[[#This Row],[Estimated Concrete Demand (m³)]]&lt;10000,"Small",
IF(Market_Data[[#This Row],[Estimated Concrete Demand (m³)]]&lt;25000,"Medium",
IF(Market_Data[[#This Row],[Estimated Concrete Demand (m³)]]&lt;100000,"Large","Mega"))))</f>
        <v>Small</v>
      </c>
      <c r="P1884" s="287" t="str">
        <f t="shared" si="31"/>
        <v>GujRERA</v>
      </c>
    </row>
    <row r="1885" spans="1:16">
      <c r="A1885" s="129" t="str">
        <f>_xlfn.XLOOKUP(B1885,$S$9:$S$14,$T$9:$T$14)&amp;"-"&amp;
IF(E1885="Residential/Group Housing","RES",
IF(E1885="Commercial","COM",
IF(E1885="Mixed Development","MIX",
IF(E1885="Plotted Development","PLT","OTH"))))
&amp;"-"&amp;TEXT(COUNTIFS($B$9:B1885,B1885,$E$9:E1885,E1885),"0000")</f>
        <v>SUR-MIX-0309</v>
      </c>
      <c r="B1885" s="322" t="s">
        <v>34</v>
      </c>
      <c r="C1885" s="322" t="s">
        <v>34</v>
      </c>
      <c r="D1885" s="323" t="s">
        <v>2075</v>
      </c>
      <c r="E1885" s="132" t="s">
        <v>25</v>
      </c>
      <c r="F1885" s="97" t="str">
        <f ca="1">IF(OR(Market_Data[[#This Row],[Start Date]]="",Market_Data[[#This Row],[Completion Date]]=""),"Needs Validation",IF(Market_Data[[#This Row],[Start Date]]&gt;TODAY(),"Planned",IF(Market_Data[[#This Row],[Completion Date]]&lt;TODAY(),"Completed","Ongoing")))</f>
        <v>Ongoing</v>
      </c>
      <c r="G1885" s="324">
        <v>44181</v>
      </c>
      <c r="H1885" s="324">
        <v>46387</v>
      </c>
      <c r="I1885" s="325">
        <v>7600</v>
      </c>
      <c r="J188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885" s="133">
        <f>_xlfn.XLOOKUP(Market_Data[[#This Row],[Project Type]],tbl_assumptions_market[Project Category (RERA)],tbl_assumptions_market[Concrete Intensity
(m³ / sq m BUA)],"",0)</f>
        <v>0.42</v>
      </c>
      <c r="L1885" s="134">
        <f>ROUND(Market_Data[[#This Row],[Estimated Built Up Area (sq m)]]*Market_Data[[#This Row],[Concrete Intensity
(m³ / sq m)]],0)</f>
        <v>3192</v>
      </c>
      <c r="M1885" s="135">
        <f>_xlfn.XLOOKUP(Market_Data[[#This Row],[District]],tbl_district_price[District],tbl_district_price[Standard Price
(INR/m³)],"",0)</f>
        <v>6200</v>
      </c>
      <c r="N1885" s="364">
        <f>IF(OR(Market_Data[[#This Row],[Estimated Concrete Demand (m³)]]="",Market_Data[[#This Row],[Avg Price per (₹ / m³)]]=""),"",Market_Data[[#This Row],[Estimated Concrete Demand (m³)]]*Market_Data[[#This Row],[Avg Price per (₹ / m³)]]/10000000)</f>
        <v>1.9790399999999999</v>
      </c>
      <c r="O1885" s="97" t="str">
        <f>IF(Market_Data[[#This Row],[Estimated Concrete Demand (m³)]]="","",
IF(Market_Data[[#This Row],[Estimated Concrete Demand (m³)]]&lt;10000,"Small",
IF(Market_Data[[#This Row],[Estimated Concrete Demand (m³)]]&lt;25000,"Medium",
IF(Market_Data[[#This Row],[Estimated Concrete Demand (m³)]]&lt;100000,"Large","Mega"))))</f>
        <v>Small</v>
      </c>
      <c r="P1885" s="287" t="str">
        <f t="shared" si="31"/>
        <v>GujRERA</v>
      </c>
    </row>
    <row r="1886" spans="1:16">
      <c r="A1886" s="129" t="str">
        <f>_xlfn.XLOOKUP(B1886,$S$9:$S$14,$T$9:$T$14)&amp;"-"&amp;
IF(E1886="Residential/Group Housing","RES",
IF(E1886="Commercial","COM",
IF(E1886="Mixed Development","MIX",
IF(E1886="Plotted Development","PLT","OTH"))))
&amp;"-"&amp;TEXT(COUNTIFS($B$9:B1886,B1886,$E$9:E1886,E1886),"0000")</f>
        <v>SUR-MIX-0310</v>
      </c>
      <c r="B1886" s="322" t="s">
        <v>34</v>
      </c>
      <c r="C1886" s="322" t="s">
        <v>34</v>
      </c>
      <c r="D1886" s="323" t="s">
        <v>2076</v>
      </c>
      <c r="E1886" s="132" t="s">
        <v>25</v>
      </c>
      <c r="F1886" s="97" t="str">
        <f ca="1">IF(OR(Market_Data[[#This Row],[Start Date]]="",Market_Data[[#This Row],[Completion Date]]=""),"Needs Validation",IF(Market_Data[[#This Row],[Start Date]]&gt;TODAY(),"Planned",IF(Market_Data[[#This Row],[Completion Date]]&lt;TODAY(),"Completed","Ongoing")))</f>
        <v>Completed</v>
      </c>
      <c r="G1886" s="324">
        <v>43221</v>
      </c>
      <c r="H1886" s="324">
        <v>45838</v>
      </c>
      <c r="I1886" s="325">
        <v>11700</v>
      </c>
      <c r="J188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86" s="133">
        <f>_xlfn.XLOOKUP(Market_Data[[#This Row],[Project Type]],tbl_assumptions_market[Project Category (RERA)],tbl_assumptions_market[Concrete Intensity
(m³ / sq m BUA)],"",0)</f>
        <v>0.42</v>
      </c>
      <c r="L1886" s="134">
        <f>ROUND(Market_Data[[#This Row],[Estimated Built Up Area (sq m)]]*Market_Data[[#This Row],[Concrete Intensity
(m³ / sq m)]],0)</f>
        <v>4914</v>
      </c>
      <c r="M1886" s="135">
        <f>_xlfn.XLOOKUP(Market_Data[[#This Row],[District]],tbl_district_price[District],tbl_district_price[Standard Price
(INR/m³)],"",0)</f>
        <v>6200</v>
      </c>
      <c r="N1886" s="364">
        <f>IF(OR(Market_Data[[#This Row],[Estimated Concrete Demand (m³)]]="",Market_Data[[#This Row],[Avg Price per (₹ / m³)]]=""),"",Market_Data[[#This Row],[Estimated Concrete Demand (m³)]]*Market_Data[[#This Row],[Avg Price per (₹ / m³)]]/10000000)</f>
        <v>3.0466799999999998</v>
      </c>
      <c r="O1886" s="97" t="str">
        <f>IF(Market_Data[[#This Row],[Estimated Concrete Demand (m³)]]="","",
IF(Market_Data[[#This Row],[Estimated Concrete Demand (m³)]]&lt;10000,"Small",
IF(Market_Data[[#This Row],[Estimated Concrete Demand (m³)]]&lt;25000,"Medium",
IF(Market_Data[[#This Row],[Estimated Concrete Demand (m³)]]&lt;100000,"Large","Mega"))))</f>
        <v>Small</v>
      </c>
      <c r="P1886" s="287" t="str">
        <f t="shared" si="31"/>
        <v>GujRERA</v>
      </c>
    </row>
    <row r="1887" spans="1:16">
      <c r="A1887" s="129" t="str">
        <f>_xlfn.XLOOKUP(B1887,$S$9:$S$14,$T$9:$T$14)&amp;"-"&amp;
IF(E1887="Residential/Group Housing","RES",
IF(E1887="Commercial","COM",
IF(E1887="Mixed Development","MIX",
IF(E1887="Plotted Development","PLT","OTH"))))
&amp;"-"&amp;TEXT(COUNTIFS($B$9:B1887,B1887,$E$9:E1887,E1887),"0000")</f>
        <v>SUR-MIX-0311</v>
      </c>
      <c r="B1887" s="322" t="s">
        <v>34</v>
      </c>
      <c r="C1887" s="322" t="s">
        <v>34</v>
      </c>
      <c r="D1887" s="323" t="s">
        <v>2077</v>
      </c>
      <c r="E1887" s="132" t="s">
        <v>25</v>
      </c>
      <c r="F1887" s="97" t="str">
        <f ca="1">IF(OR(Market_Data[[#This Row],[Start Date]]="",Market_Data[[#This Row],[Completion Date]]=""),"Needs Validation",IF(Market_Data[[#This Row],[Start Date]]&gt;TODAY(),"Planned",IF(Market_Data[[#This Row],[Completion Date]]&lt;TODAY(),"Completed","Ongoing")))</f>
        <v>Completed</v>
      </c>
      <c r="G1887" s="324">
        <v>43148</v>
      </c>
      <c r="H1887" s="324">
        <v>45838</v>
      </c>
      <c r="I1887" s="325">
        <v>34800</v>
      </c>
      <c r="J188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87" s="133">
        <f>_xlfn.XLOOKUP(Market_Data[[#This Row],[Project Type]],tbl_assumptions_market[Project Category (RERA)],tbl_assumptions_market[Concrete Intensity
(m³ / sq m BUA)],"",0)</f>
        <v>0.42</v>
      </c>
      <c r="L1887" s="134">
        <f>ROUND(Market_Data[[#This Row],[Estimated Built Up Area (sq m)]]*Market_Data[[#This Row],[Concrete Intensity
(m³ / sq m)]],0)</f>
        <v>14616</v>
      </c>
      <c r="M1887" s="135">
        <f>_xlfn.XLOOKUP(Market_Data[[#This Row],[District]],tbl_district_price[District],tbl_district_price[Standard Price
(INR/m³)],"",0)</f>
        <v>6200</v>
      </c>
      <c r="N1887" s="364">
        <f>IF(OR(Market_Data[[#This Row],[Estimated Concrete Demand (m³)]]="",Market_Data[[#This Row],[Avg Price per (₹ / m³)]]=""),"",Market_Data[[#This Row],[Estimated Concrete Demand (m³)]]*Market_Data[[#This Row],[Avg Price per (₹ / m³)]]/10000000)</f>
        <v>9.0619200000000006</v>
      </c>
      <c r="O1887" s="97" t="str">
        <f>IF(Market_Data[[#This Row],[Estimated Concrete Demand (m³)]]="","",
IF(Market_Data[[#This Row],[Estimated Concrete Demand (m³)]]&lt;10000,"Small",
IF(Market_Data[[#This Row],[Estimated Concrete Demand (m³)]]&lt;25000,"Medium",
IF(Market_Data[[#This Row],[Estimated Concrete Demand (m³)]]&lt;100000,"Large","Mega"))))</f>
        <v>Medium</v>
      </c>
      <c r="P1887" s="287" t="str">
        <f t="shared" si="31"/>
        <v>GujRERA</v>
      </c>
    </row>
    <row r="1888" spans="1:16">
      <c r="A1888" s="129" t="str">
        <f>_xlfn.XLOOKUP(B1888,$S$9:$S$14,$T$9:$T$14)&amp;"-"&amp;
IF(E1888="Residential/Group Housing","RES",
IF(E1888="Commercial","COM",
IF(E1888="Mixed Development","MIX",
IF(E1888="Plotted Development","PLT","OTH"))))
&amp;"-"&amp;TEXT(COUNTIFS($B$9:B1888,B1888,$E$9:E1888,E1888),"0000")</f>
        <v>SUR-MIX-0312</v>
      </c>
      <c r="B1888" s="322" t="s">
        <v>34</v>
      </c>
      <c r="C1888" s="322" t="s">
        <v>34</v>
      </c>
      <c r="D1888" s="323" t="s">
        <v>2078</v>
      </c>
      <c r="E1888" s="132" t="s">
        <v>25</v>
      </c>
      <c r="F1888" s="97" t="str">
        <f ca="1">IF(OR(Market_Data[[#This Row],[Start Date]]="",Market_Data[[#This Row],[Completion Date]]=""),"Needs Validation",IF(Market_Data[[#This Row],[Start Date]]&gt;TODAY(),"Planned",IF(Market_Data[[#This Row],[Completion Date]]&lt;TODAY(),"Completed","Ongoing")))</f>
        <v>Completed</v>
      </c>
      <c r="G1888" s="324">
        <v>43770</v>
      </c>
      <c r="H1888" s="324">
        <v>45107</v>
      </c>
      <c r="I1888" s="325">
        <v>14700</v>
      </c>
      <c r="J188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88" s="133">
        <f>_xlfn.XLOOKUP(Market_Data[[#This Row],[Project Type]],tbl_assumptions_market[Project Category (RERA)],tbl_assumptions_market[Concrete Intensity
(m³ / sq m BUA)],"",0)</f>
        <v>0.42</v>
      </c>
      <c r="L1888" s="134">
        <f>ROUND(Market_Data[[#This Row],[Estimated Built Up Area (sq m)]]*Market_Data[[#This Row],[Concrete Intensity
(m³ / sq m)]],0)</f>
        <v>6174</v>
      </c>
      <c r="M1888" s="135">
        <f>_xlfn.XLOOKUP(Market_Data[[#This Row],[District]],tbl_district_price[District],tbl_district_price[Standard Price
(INR/m³)],"",0)</f>
        <v>6200</v>
      </c>
      <c r="N1888" s="364">
        <f>IF(OR(Market_Data[[#This Row],[Estimated Concrete Demand (m³)]]="",Market_Data[[#This Row],[Avg Price per (₹ / m³)]]=""),"",Market_Data[[#This Row],[Estimated Concrete Demand (m³)]]*Market_Data[[#This Row],[Avg Price per (₹ / m³)]]/10000000)</f>
        <v>3.8278799999999999</v>
      </c>
      <c r="O1888" s="97" t="str">
        <f>IF(Market_Data[[#This Row],[Estimated Concrete Demand (m³)]]="","",
IF(Market_Data[[#This Row],[Estimated Concrete Demand (m³)]]&lt;10000,"Small",
IF(Market_Data[[#This Row],[Estimated Concrete Demand (m³)]]&lt;25000,"Medium",
IF(Market_Data[[#This Row],[Estimated Concrete Demand (m³)]]&lt;100000,"Large","Mega"))))</f>
        <v>Small</v>
      </c>
      <c r="P1888" s="287" t="str">
        <f t="shared" si="31"/>
        <v>GujRERA</v>
      </c>
    </row>
    <row r="1889" spans="1:16">
      <c r="A1889" s="129" t="str">
        <f>_xlfn.XLOOKUP(B1889,$S$9:$S$14,$T$9:$T$14)&amp;"-"&amp;
IF(E1889="Residential/Group Housing","RES",
IF(E1889="Commercial","COM",
IF(E1889="Mixed Development","MIX",
IF(E1889="Plotted Development","PLT","OTH"))))
&amp;"-"&amp;TEXT(COUNTIFS($B$9:B1889,B1889,$E$9:E1889,E1889),"0000")</f>
        <v>SUR-MIX-0313</v>
      </c>
      <c r="B1889" s="322" t="s">
        <v>34</v>
      </c>
      <c r="C1889" s="322" t="s">
        <v>34</v>
      </c>
      <c r="D1889" s="323" t="s">
        <v>2079</v>
      </c>
      <c r="E1889" s="132" t="s">
        <v>25</v>
      </c>
      <c r="F1889" s="97" t="str">
        <f ca="1">IF(OR(Market_Data[[#This Row],[Start Date]]="",Market_Data[[#This Row],[Completion Date]]=""),"Needs Validation",IF(Market_Data[[#This Row],[Start Date]]&gt;TODAY(),"Planned",IF(Market_Data[[#This Row],[Completion Date]]&lt;TODAY(),"Completed","Ongoing")))</f>
        <v>Ongoing</v>
      </c>
      <c r="G1889" s="324">
        <v>44817</v>
      </c>
      <c r="H1889" s="324">
        <v>46387</v>
      </c>
      <c r="I1889" s="325">
        <v>37500</v>
      </c>
      <c r="J188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89" s="133">
        <f>_xlfn.XLOOKUP(Market_Data[[#This Row],[Project Type]],tbl_assumptions_market[Project Category (RERA)],tbl_assumptions_market[Concrete Intensity
(m³ / sq m BUA)],"",0)</f>
        <v>0.42</v>
      </c>
      <c r="L1889" s="134">
        <f>ROUND(Market_Data[[#This Row],[Estimated Built Up Area (sq m)]]*Market_Data[[#This Row],[Concrete Intensity
(m³ / sq m)]],0)</f>
        <v>15750</v>
      </c>
      <c r="M1889" s="135">
        <f>_xlfn.XLOOKUP(Market_Data[[#This Row],[District]],tbl_district_price[District],tbl_district_price[Standard Price
(INR/m³)],"",0)</f>
        <v>6200</v>
      </c>
      <c r="N1889" s="364">
        <f>IF(OR(Market_Data[[#This Row],[Estimated Concrete Demand (m³)]]="",Market_Data[[#This Row],[Avg Price per (₹ / m³)]]=""),"",Market_Data[[#This Row],[Estimated Concrete Demand (m³)]]*Market_Data[[#This Row],[Avg Price per (₹ / m³)]]/10000000)</f>
        <v>9.7650000000000006</v>
      </c>
      <c r="O1889" s="97" t="str">
        <f>IF(Market_Data[[#This Row],[Estimated Concrete Demand (m³)]]="","",
IF(Market_Data[[#This Row],[Estimated Concrete Demand (m³)]]&lt;10000,"Small",
IF(Market_Data[[#This Row],[Estimated Concrete Demand (m³)]]&lt;25000,"Medium",
IF(Market_Data[[#This Row],[Estimated Concrete Demand (m³)]]&lt;100000,"Large","Mega"))))</f>
        <v>Medium</v>
      </c>
      <c r="P1889" s="287" t="str">
        <f t="shared" si="31"/>
        <v>GujRERA</v>
      </c>
    </row>
    <row r="1890" spans="1:16">
      <c r="A1890" s="129" t="str">
        <f>_xlfn.XLOOKUP(B1890,$S$9:$S$14,$T$9:$T$14)&amp;"-"&amp;
IF(E1890="Residential/Group Housing","RES",
IF(E1890="Commercial","COM",
IF(E1890="Mixed Development","MIX",
IF(E1890="Plotted Development","PLT","OTH"))))
&amp;"-"&amp;TEXT(COUNTIFS($B$9:B1890,B1890,$E$9:E1890,E1890),"0000")</f>
        <v>SUR-PLT-0339</v>
      </c>
      <c r="B1890" s="322" t="s">
        <v>34</v>
      </c>
      <c r="C1890" s="322" t="s">
        <v>34</v>
      </c>
      <c r="D1890" s="323" t="s">
        <v>2080</v>
      </c>
      <c r="E1890" s="132" t="s">
        <v>26</v>
      </c>
      <c r="F1890" s="97" t="str">
        <f ca="1">IF(OR(Market_Data[[#This Row],[Start Date]]="",Market_Data[[#This Row],[Completion Date]]=""),"Needs Validation",IF(Market_Data[[#This Row],[Start Date]]&gt;TODAY(),"Planned",IF(Market_Data[[#This Row],[Completion Date]]&lt;TODAY(),"Completed","Ongoing")))</f>
        <v>Completed</v>
      </c>
      <c r="G1890" s="324">
        <v>44663</v>
      </c>
      <c r="H1890" s="324">
        <v>46022</v>
      </c>
      <c r="I1890" s="325">
        <v>22500</v>
      </c>
      <c r="J189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90" s="133">
        <f>_xlfn.XLOOKUP(Market_Data[[#This Row],[Project Type]],tbl_assumptions_market[Project Category (RERA)],tbl_assumptions_market[Concrete Intensity
(m³ / sq m BUA)],"",0)</f>
        <v>0.18</v>
      </c>
      <c r="L1890" s="134">
        <f>ROUND(Market_Data[[#This Row],[Estimated Built Up Area (sq m)]]*Market_Data[[#This Row],[Concrete Intensity
(m³ / sq m)]],0)</f>
        <v>4050</v>
      </c>
      <c r="M1890" s="135">
        <f>_xlfn.XLOOKUP(Market_Data[[#This Row],[District]],tbl_district_price[District],tbl_district_price[Standard Price
(INR/m³)],"",0)</f>
        <v>6200</v>
      </c>
      <c r="N1890" s="364">
        <f>IF(OR(Market_Data[[#This Row],[Estimated Concrete Demand (m³)]]="",Market_Data[[#This Row],[Avg Price per (₹ / m³)]]=""),"",Market_Data[[#This Row],[Estimated Concrete Demand (m³)]]*Market_Data[[#This Row],[Avg Price per (₹ / m³)]]/10000000)</f>
        <v>2.5110000000000001</v>
      </c>
      <c r="O1890" s="97" t="str">
        <f>IF(Market_Data[[#This Row],[Estimated Concrete Demand (m³)]]="","",
IF(Market_Data[[#This Row],[Estimated Concrete Demand (m³)]]&lt;10000,"Small",
IF(Market_Data[[#This Row],[Estimated Concrete Demand (m³)]]&lt;25000,"Medium",
IF(Market_Data[[#This Row],[Estimated Concrete Demand (m³)]]&lt;100000,"Large","Mega"))))</f>
        <v>Small</v>
      </c>
      <c r="P1890" s="287" t="str">
        <f t="shared" si="31"/>
        <v>GujRERA</v>
      </c>
    </row>
    <row r="1891" spans="1:16">
      <c r="A1891" s="129" t="str">
        <f>_xlfn.XLOOKUP(B1891,$S$9:$S$14,$T$9:$T$14)&amp;"-"&amp;
IF(E1891="Residential/Group Housing","RES",
IF(E1891="Commercial","COM",
IF(E1891="Mixed Development","MIX",
IF(E1891="Plotted Development","PLT","OTH"))))
&amp;"-"&amp;TEXT(COUNTIFS($B$9:B1891,B1891,$E$9:E1891,E1891),"0000")</f>
        <v>SUR-RES-0613</v>
      </c>
      <c r="B1891" s="322" t="s">
        <v>34</v>
      </c>
      <c r="C1891" s="322" t="s">
        <v>34</v>
      </c>
      <c r="D1891" s="323" t="s">
        <v>2081</v>
      </c>
      <c r="E1891" s="132" t="s">
        <v>24</v>
      </c>
      <c r="F1891" s="97" t="str">
        <f ca="1">IF(OR(Market_Data[[#This Row],[Start Date]]="",Market_Data[[#This Row],[Completion Date]]=""),"Needs Validation",IF(Market_Data[[#This Row],[Start Date]]&gt;TODAY(),"Planned",IF(Market_Data[[#This Row],[Completion Date]]&lt;TODAY(),"Completed","Ongoing")))</f>
        <v>Completed</v>
      </c>
      <c r="G1891" s="324">
        <v>43570</v>
      </c>
      <c r="H1891" s="324">
        <v>45565</v>
      </c>
      <c r="I1891" s="325">
        <v>29900</v>
      </c>
      <c r="J189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91" s="133">
        <f>_xlfn.XLOOKUP(Market_Data[[#This Row],[Project Type]],tbl_assumptions_market[Project Category (RERA)],tbl_assumptions_market[Concrete Intensity
(m³ / sq m BUA)],"",0)</f>
        <v>0.45</v>
      </c>
      <c r="L1891" s="134">
        <f>ROUND(Market_Data[[#This Row],[Estimated Built Up Area (sq m)]]*Market_Data[[#This Row],[Concrete Intensity
(m³ / sq m)]],0)</f>
        <v>13455</v>
      </c>
      <c r="M1891" s="135">
        <f>_xlfn.XLOOKUP(Market_Data[[#This Row],[District]],tbl_district_price[District],tbl_district_price[Standard Price
(INR/m³)],"",0)</f>
        <v>6200</v>
      </c>
      <c r="N1891" s="364">
        <f>IF(OR(Market_Data[[#This Row],[Estimated Concrete Demand (m³)]]="",Market_Data[[#This Row],[Avg Price per (₹ / m³)]]=""),"",Market_Data[[#This Row],[Estimated Concrete Demand (m³)]]*Market_Data[[#This Row],[Avg Price per (₹ / m³)]]/10000000)</f>
        <v>8.3421000000000003</v>
      </c>
      <c r="O1891" s="97" t="str">
        <f>IF(Market_Data[[#This Row],[Estimated Concrete Demand (m³)]]="","",
IF(Market_Data[[#This Row],[Estimated Concrete Demand (m³)]]&lt;10000,"Small",
IF(Market_Data[[#This Row],[Estimated Concrete Demand (m³)]]&lt;25000,"Medium",
IF(Market_Data[[#This Row],[Estimated Concrete Demand (m³)]]&lt;100000,"Large","Mega"))))</f>
        <v>Medium</v>
      </c>
      <c r="P1891" s="287" t="str">
        <f t="shared" si="31"/>
        <v>GujRERA</v>
      </c>
    </row>
    <row r="1892" spans="1:16">
      <c r="A1892" s="129" t="str">
        <f>_xlfn.XLOOKUP(B1892,$S$9:$S$14,$T$9:$T$14)&amp;"-"&amp;
IF(E1892="Residential/Group Housing","RES",
IF(E1892="Commercial","COM",
IF(E1892="Mixed Development","MIX",
IF(E1892="Plotted Development","PLT","OTH"))))
&amp;"-"&amp;TEXT(COUNTIFS($B$9:B1892,B1892,$E$9:E1892,E1892),"0000")</f>
        <v>SUR-PLT-0340</v>
      </c>
      <c r="B1892" s="322" t="s">
        <v>34</v>
      </c>
      <c r="C1892" s="322" t="s">
        <v>34</v>
      </c>
      <c r="D1892" s="323" t="s">
        <v>2082</v>
      </c>
      <c r="E1892" s="132" t="s">
        <v>26</v>
      </c>
      <c r="F1892" s="97" t="str">
        <f ca="1">IF(OR(Market_Data[[#This Row],[Start Date]]="",Market_Data[[#This Row],[Completion Date]]=""),"Needs Validation",IF(Market_Data[[#This Row],[Start Date]]&gt;TODAY(),"Planned",IF(Market_Data[[#This Row],[Completion Date]]&lt;TODAY(),"Completed","Ongoing")))</f>
        <v>Ongoing</v>
      </c>
      <c r="G1892" s="324">
        <v>45035</v>
      </c>
      <c r="H1892" s="324">
        <v>46752</v>
      </c>
      <c r="I1892" s="325">
        <v>27700</v>
      </c>
      <c r="J189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92" s="133">
        <f>_xlfn.XLOOKUP(Market_Data[[#This Row],[Project Type]],tbl_assumptions_market[Project Category (RERA)],tbl_assumptions_market[Concrete Intensity
(m³ / sq m BUA)],"",0)</f>
        <v>0.18</v>
      </c>
      <c r="L1892" s="134">
        <f>ROUND(Market_Data[[#This Row],[Estimated Built Up Area (sq m)]]*Market_Data[[#This Row],[Concrete Intensity
(m³ / sq m)]],0)</f>
        <v>4986</v>
      </c>
      <c r="M1892" s="135">
        <f>_xlfn.XLOOKUP(Market_Data[[#This Row],[District]],tbl_district_price[District],tbl_district_price[Standard Price
(INR/m³)],"",0)</f>
        <v>6200</v>
      </c>
      <c r="N1892" s="364">
        <f>IF(OR(Market_Data[[#This Row],[Estimated Concrete Demand (m³)]]="",Market_Data[[#This Row],[Avg Price per (₹ / m³)]]=""),"",Market_Data[[#This Row],[Estimated Concrete Demand (m³)]]*Market_Data[[#This Row],[Avg Price per (₹ / m³)]]/10000000)</f>
        <v>3.0913200000000001</v>
      </c>
      <c r="O1892" s="97" t="str">
        <f>IF(Market_Data[[#This Row],[Estimated Concrete Demand (m³)]]="","",
IF(Market_Data[[#This Row],[Estimated Concrete Demand (m³)]]&lt;10000,"Small",
IF(Market_Data[[#This Row],[Estimated Concrete Demand (m³)]]&lt;25000,"Medium",
IF(Market_Data[[#This Row],[Estimated Concrete Demand (m³)]]&lt;100000,"Large","Mega"))))</f>
        <v>Small</v>
      </c>
      <c r="P1892" s="287" t="str">
        <f t="shared" si="31"/>
        <v>GujRERA</v>
      </c>
    </row>
    <row r="1893" spans="1:16">
      <c r="A1893" s="129" t="str">
        <f>_xlfn.XLOOKUP(B1893,$S$9:$S$14,$T$9:$T$14)&amp;"-"&amp;
IF(E1893="Residential/Group Housing","RES",
IF(E1893="Commercial","COM",
IF(E1893="Mixed Development","MIX",
IF(E1893="Plotted Development","PLT","OTH"))))
&amp;"-"&amp;TEXT(COUNTIFS($B$9:B1893,B1893,$E$9:E1893,E1893),"0000")</f>
        <v>SUR-RES-0614</v>
      </c>
      <c r="B1893" s="322" t="s">
        <v>34</v>
      </c>
      <c r="C1893" s="322" t="s">
        <v>34</v>
      </c>
      <c r="D1893" s="323" t="s">
        <v>2083</v>
      </c>
      <c r="E1893" s="132" t="s">
        <v>24</v>
      </c>
      <c r="F1893" s="97" t="str">
        <f ca="1">IF(OR(Market_Data[[#This Row],[Start Date]]="",Market_Data[[#This Row],[Completion Date]]=""),"Needs Validation",IF(Market_Data[[#This Row],[Start Date]]&gt;TODAY(),"Planned",IF(Market_Data[[#This Row],[Completion Date]]&lt;TODAY(),"Completed","Ongoing")))</f>
        <v>Ongoing</v>
      </c>
      <c r="G1893" s="324">
        <v>45748</v>
      </c>
      <c r="H1893" s="324">
        <v>47573</v>
      </c>
      <c r="I1893" s="325">
        <v>11300</v>
      </c>
      <c r="J189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93" s="133">
        <f>_xlfn.XLOOKUP(Market_Data[[#This Row],[Project Type]],tbl_assumptions_market[Project Category (RERA)],tbl_assumptions_market[Concrete Intensity
(m³ / sq m BUA)],"",0)</f>
        <v>0.45</v>
      </c>
      <c r="L1893" s="134">
        <f>ROUND(Market_Data[[#This Row],[Estimated Built Up Area (sq m)]]*Market_Data[[#This Row],[Concrete Intensity
(m³ / sq m)]],0)</f>
        <v>5085</v>
      </c>
      <c r="M1893" s="135">
        <f>_xlfn.XLOOKUP(Market_Data[[#This Row],[District]],tbl_district_price[District],tbl_district_price[Standard Price
(INR/m³)],"",0)</f>
        <v>6200</v>
      </c>
      <c r="N1893" s="364">
        <f>IF(OR(Market_Data[[#This Row],[Estimated Concrete Demand (m³)]]="",Market_Data[[#This Row],[Avg Price per (₹ / m³)]]=""),"",Market_Data[[#This Row],[Estimated Concrete Demand (m³)]]*Market_Data[[#This Row],[Avg Price per (₹ / m³)]]/10000000)</f>
        <v>3.1526999999999998</v>
      </c>
      <c r="O1893" s="97" t="str">
        <f>IF(Market_Data[[#This Row],[Estimated Concrete Demand (m³)]]="","",
IF(Market_Data[[#This Row],[Estimated Concrete Demand (m³)]]&lt;10000,"Small",
IF(Market_Data[[#This Row],[Estimated Concrete Demand (m³)]]&lt;25000,"Medium",
IF(Market_Data[[#This Row],[Estimated Concrete Demand (m³)]]&lt;100000,"Large","Mega"))))</f>
        <v>Small</v>
      </c>
      <c r="P1893" s="287" t="str">
        <f t="shared" si="31"/>
        <v>GujRERA</v>
      </c>
    </row>
    <row r="1894" spans="1:16">
      <c r="A1894" s="129" t="str">
        <f>_xlfn.XLOOKUP(B1894,$S$9:$S$14,$T$9:$T$14)&amp;"-"&amp;
IF(E1894="Residential/Group Housing","RES",
IF(E1894="Commercial","COM",
IF(E1894="Mixed Development","MIX",
IF(E1894="Plotted Development","PLT","OTH"))))
&amp;"-"&amp;TEXT(COUNTIFS($B$9:B1894,B1894,$E$9:E1894,E1894),"0000")</f>
        <v>SUR-MIX-0314</v>
      </c>
      <c r="B1894" s="322" t="s">
        <v>34</v>
      </c>
      <c r="C1894" s="322" t="s">
        <v>34</v>
      </c>
      <c r="D1894" s="323" t="s">
        <v>2084</v>
      </c>
      <c r="E1894" s="132" t="s">
        <v>25</v>
      </c>
      <c r="F1894" s="97" t="str">
        <f ca="1">IF(OR(Market_Data[[#This Row],[Start Date]]="",Market_Data[[#This Row],[Completion Date]]=""),"Needs Validation",IF(Market_Data[[#This Row],[Start Date]]&gt;TODAY(),"Planned",IF(Market_Data[[#This Row],[Completion Date]]&lt;TODAY(),"Completed","Ongoing")))</f>
        <v>Ongoing</v>
      </c>
      <c r="G1894" s="324">
        <v>43555</v>
      </c>
      <c r="H1894" s="324">
        <v>46568</v>
      </c>
      <c r="I1894" s="325">
        <v>12200</v>
      </c>
      <c r="J189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94" s="133">
        <f>_xlfn.XLOOKUP(Market_Data[[#This Row],[Project Type]],tbl_assumptions_market[Project Category (RERA)],tbl_assumptions_market[Concrete Intensity
(m³ / sq m BUA)],"",0)</f>
        <v>0.42</v>
      </c>
      <c r="L1894" s="134">
        <f>ROUND(Market_Data[[#This Row],[Estimated Built Up Area (sq m)]]*Market_Data[[#This Row],[Concrete Intensity
(m³ / sq m)]],0)</f>
        <v>5124</v>
      </c>
      <c r="M1894" s="135">
        <f>_xlfn.XLOOKUP(Market_Data[[#This Row],[District]],tbl_district_price[District],tbl_district_price[Standard Price
(INR/m³)],"",0)</f>
        <v>6200</v>
      </c>
      <c r="N1894" s="364">
        <f>IF(OR(Market_Data[[#This Row],[Estimated Concrete Demand (m³)]]="",Market_Data[[#This Row],[Avg Price per (₹ / m³)]]=""),"",Market_Data[[#This Row],[Estimated Concrete Demand (m³)]]*Market_Data[[#This Row],[Avg Price per (₹ / m³)]]/10000000)</f>
        <v>3.1768800000000001</v>
      </c>
      <c r="O1894" s="97" t="str">
        <f>IF(Market_Data[[#This Row],[Estimated Concrete Demand (m³)]]="","",
IF(Market_Data[[#This Row],[Estimated Concrete Demand (m³)]]&lt;10000,"Small",
IF(Market_Data[[#This Row],[Estimated Concrete Demand (m³)]]&lt;25000,"Medium",
IF(Market_Data[[#This Row],[Estimated Concrete Demand (m³)]]&lt;100000,"Large","Mega"))))</f>
        <v>Small</v>
      </c>
      <c r="P1894" s="287" t="str">
        <f t="shared" si="31"/>
        <v>GujRERA</v>
      </c>
    </row>
    <row r="1895" spans="1:16">
      <c r="A1895" s="129" t="str">
        <f>_xlfn.XLOOKUP(B1895,$S$9:$S$14,$T$9:$T$14)&amp;"-"&amp;
IF(E1895="Residential/Group Housing","RES",
IF(E1895="Commercial","COM",
IF(E1895="Mixed Development","MIX",
IF(E1895="Plotted Development","PLT","OTH"))))
&amp;"-"&amp;TEXT(COUNTIFS($B$9:B1895,B1895,$E$9:E1895,E1895),"0000")</f>
        <v>SUR-MIX-0315</v>
      </c>
      <c r="B1895" s="322" t="s">
        <v>34</v>
      </c>
      <c r="C1895" s="322" t="s">
        <v>34</v>
      </c>
      <c r="D1895" s="323" t="s">
        <v>2085</v>
      </c>
      <c r="E1895" s="132" t="s">
        <v>25</v>
      </c>
      <c r="F1895" s="97" t="str">
        <f ca="1">IF(OR(Market_Data[[#This Row],[Start Date]]="",Market_Data[[#This Row],[Completion Date]]=""),"Needs Validation",IF(Market_Data[[#This Row],[Start Date]]&gt;TODAY(),"Planned",IF(Market_Data[[#This Row],[Completion Date]]&lt;TODAY(),"Completed","Ongoing")))</f>
        <v>Completed</v>
      </c>
      <c r="G1895" s="324">
        <v>44849</v>
      </c>
      <c r="H1895" s="324">
        <v>46203</v>
      </c>
      <c r="I1895" s="325">
        <v>28000</v>
      </c>
      <c r="J189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95" s="133">
        <f>_xlfn.XLOOKUP(Market_Data[[#This Row],[Project Type]],tbl_assumptions_market[Project Category (RERA)],tbl_assumptions_market[Concrete Intensity
(m³ / sq m BUA)],"",0)</f>
        <v>0.42</v>
      </c>
      <c r="L1895" s="134">
        <f>ROUND(Market_Data[[#This Row],[Estimated Built Up Area (sq m)]]*Market_Data[[#This Row],[Concrete Intensity
(m³ / sq m)]],0)</f>
        <v>11760</v>
      </c>
      <c r="M1895" s="135">
        <f>_xlfn.XLOOKUP(Market_Data[[#This Row],[District]],tbl_district_price[District],tbl_district_price[Standard Price
(INR/m³)],"",0)</f>
        <v>6200</v>
      </c>
      <c r="N1895" s="364">
        <f>IF(OR(Market_Data[[#This Row],[Estimated Concrete Demand (m³)]]="",Market_Data[[#This Row],[Avg Price per (₹ / m³)]]=""),"",Market_Data[[#This Row],[Estimated Concrete Demand (m³)]]*Market_Data[[#This Row],[Avg Price per (₹ / m³)]]/10000000)</f>
        <v>7.2911999999999999</v>
      </c>
      <c r="O1895" s="97" t="str">
        <f>IF(Market_Data[[#This Row],[Estimated Concrete Demand (m³)]]="","",
IF(Market_Data[[#This Row],[Estimated Concrete Demand (m³)]]&lt;10000,"Small",
IF(Market_Data[[#This Row],[Estimated Concrete Demand (m³)]]&lt;25000,"Medium",
IF(Market_Data[[#This Row],[Estimated Concrete Demand (m³)]]&lt;100000,"Large","Mega"))))</f>
        <v>Medium</v>
      </c>
      <c r="P1895" s="287" t="str">
        <f t="shared" si="31"/>
        <v>GujRERA</v>
      </c>
    </row>
    <row r="1896" spans="1:16">
      <c r="A1896" s="129" t="str">
        <f>_xlfn.XLOOKUP(B1896,$S$9:$S$14,$T$9:$T$14)&amp;"-"&amp;
IF(E1896="Residential/Group Housing","RES",
IF(E1896="Commercial","COM",
IF(E1896="Mixed Development","MIX",
IF(E1896="Plotted Development","PLT","OTH"))))
&amp;"-"&amp;TEXT(COUNTIFS($B$9:B1896,B1896,$E$9:E1896,E1896),"0000")</f>
        <v>SUR-PLT-0341</v>
      </c>
      <c r="B1896" s="322" t="s">
        <v>34</v>
      </c>
      <c r="C1896" s="322" t="s">
        <v>34</v>
      </c>
      <c r="D1896" s="323" t="s">
        <v>2086</v>
      </c>
      <c r="E1896" s="132" t="s">
        <v>26</v>
      </c>
      <c r="F1896" s="97" t="str">
        <f ca="1">IF(OR(Market_Data[[#This Row],[Start Date]]="",Market_Data[[#This Row],[Completion Date]]=""),"Needs Validation",IF(Market_Data[[#This Row],[Start Date]]&gt;TODAY(),"Planned",IF(Market_Data[[#This Row],[Completion Date]]&lt;TODAY(),"Completed","Ongoing")))</f>
        <v>Completed</v>
      </c>
      <c r="G1896" s="324">
        <v>44075</v>
      </c>
      <c r="H1896" s="324">
        <v>45657</v>
      </c>
      <c r="I1896" s="325">
        <v>54800</v>
      </c>
      <c r="J189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896" s="133">
        <f>_xlfn.XLOOKUP(Market_Data[[#This Row],[Project Type]],tbl_assumptions_market[Project Category (RERA)],tbl_assumptions_market[Concrete Intensity
(m³ / sq m BUA)],"",0)</f>
        <v>0.18</v>
      </c>
      <c r="L1896" s="134">
        <f>ROUND(Market_Data[[#This Row],[Estimated Built Up Area (sq m)]]*Market_Data[[#This Row],[Concrete Intensity
(m³ / sq m)]],0)</f>
        <v>9864</v>
      </c>
      <c r="M1896" s="135">
        <f>_xlfn.XLOOKUP(Market_Data[[#This Row],[District]],tbl_district_price[District],tbl_district_price[Standard Price
(INR/m³)],"",0)</f>
        <v>6200</v>
      </c>
      <c r="N1896" s="364">
        <f>IF(OR(Market_Data[[#This Row],[Estimated Concrete Demand (m³)]]="",Market_Data[[#This Row],[Avg Price per (₹ / m³)]]=""),"",Market_Data[[#This Row],[Estimated Concrete Demand (m³)]]*Market_Data[[#This Row],[Avg Price per (₹ / m³)]]/10000000)</f>
        <v>6.1156800000000002</v>
      </c>
      <c r="O1896" s="97" t="str">
        <f>IF(Market_Data[[#This Row],[Estimated Concrete Demand (m³)]]="","",
IF(Market_Data[[#This Row],[Estimated Concrete Demand (m³)]]&lt;10000,"Small",
IF(Market_Data[[#This Row],[Estimated Concrete Demand (m³)]]&lt;25000,"Medium",
IF(Market_Data[[#This Row],[Estimated Concrete Demand (m³)]]&lt;100000,"Large","Mega"))))</f>
        <v>Small</v>
      </c>
      <c r="P1896" s="287" t="str">
        <f t="shared" si="31"/>
        <v>GujRERA</v>
      </c>
    </row>
    <row r="1897" spans="1:16">
      <c r="A1897" s="129" t="str">
        <f>_xlfn.XLOOKUP(B1897,$S$9:$S$14,$T$9:$T$14)&amp;"-"&amp;
IF(E1897="Residential/Group Housing","RES",
IF(E1897="Commercial","COM",
IF(E1897="Mixed Development","MIX",
IF(E1897="Plotted Development","PLT","OTH"))))
&amp;"-"&amp;TEXT(COUNTIFS($B$9:B1897,B1897,$E$9:E1897,E1897),"0000")</f>
        <v>SUR-RES-0615</v>
      </c>
      <c r="B1897" s="322" t="s">
        <v>34</v>
      </c>
      <c r="C1897" s="322" t="s">
        <v>34</v>
      </c>
      <c r="D1897" s="323" t="s">
        <v>2087</v>
      </c>
      <c r="E1897" s="132" t="s">
        <v>24</v>
      </c>
      <c r="F1897" s="97" t="str">
        <f ca="1">IF(OR(Market_Data[[#This Row],[Start Date]]="",Market_Data[[#This Row],[Completion Date]]=""),"Needs Validation",IF(Market_Data[[#This Row],[Start Date]]&gt;TODAY(),"Planned",IF(Market_Data[[#This Row],[Completion Date]]&lt;TODAY(),"Completed","Ongoing")))</f>
        <v>Ongoing</v>
      </c>
      <c r="G1897" s="324">
        <v>44655</v>
      </c>
      <c r="H1897" s="324">
        <v>46843</v>
      </c>
      <c r="I1897" s="325">
        <v>28400</v>
      </c>
      <c r="J189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97" s="133">
        <f>_xlfn.XLOOKUP(Market_Data[[#This Row],[Project Type]],tbl_assumptions_market[Project Category (RERA)],tbl_assumptions_market[Concrete Intensity
(m³ / sq m BUA)],"",0)</f>
        <v>0.45</v>
      </c>
      <c r="L1897" s="134">
        <f>ROUND(Market_Data[[#This Row],[Estimated Built Up Area (sq m)]]*Market_Data[[#This Row],[Concrete Intensity
(m³ / sq m)]],0)</f>
        <v>12780</v>
      </c>
      <c r="M1897" s="135">
        <f>_xlfn.XLOOKUP(Market_Data[[#This Row],[District]],tbl_district_price[District],tbl_district_price[Standard Price
(INR/m³)],"",0)</f>
        <v>6200</v>
      </c>
      <c r="N1897" s="364">
        <f>IF(OR(Market_Data[[#This Row],[Estimated Concrete Demand (m³)]]="",Market_Data[[#This Row],[Avg Price per (₹ / m³)]]=""),"",Market_Data[[#This Row],[Estimated Concrete Demand (m³)]]*Market_Data[[#This Row],[Avg Price per (₹ / m³)]]/10000000)</f>
        <v>7.9236000000000004</v>
      </c>
      <c r="O1897" s="97" t="str">
        <f>IF(Market_Data[[#This Row],[Estimated Concrete Demand (m³)]]="","",
IF(Market_Data[[#This Row],[Estimated Concrete Demand (m³)]]&lt;10000,"Small",
IF(Market_Data[[#This Row],[Estimated Concrete Demand (m³)]]&lt;25000,"Medium",
IF(Market_Data[[#This Row],[Estimated Concrete Demand (m³)]]&lt;100000,"Large","Mega"))))</f>
        <v>Medium</v>
      </c>
      <c r="P1897" s="287" t="str">
        <f t="shared" si="31"/>
        <v>GujRERA</v>
      </c>
    </row>
    <row r="1898" spans="1:16">
      <c r="A1898" s="129" t="str">
        <f>_xlfn.XLOOKUP(B1898,$S$9:$S$14,$T$9:$T$14)&amp;"-"&amp;
IF(E1898="Residential/Group Housing","RES",
IF(E1898="Commercial","COM",
IF(E1898="Mixed Development","MIX",
IF(E1898="Plotted Development","PLT","OTH"))))
&amp;"-"&amp;TEXT(COUNTIFS($B$9:B1898,B1898,$E$9:E1898,E1898),"0000")</f>
        <v>SUR-RES-0616</v>
      </c>
      <c r="B1898" s="322" t="s">
        <v>34</v>
      </c>
      <c r="C1898" s="322" t="s">
        <v>34</v>
      </c>
      <c r="D1898" s="323" t="s">
        <v>2088</v>
      </c>
      <c r="E1898" s="132" t="s">
        <v>24</v>
      </c>
      <c r="F1898" s="97" t="str">
        <f ca="1">IF(OR(Market_Data[[#This Row],[Start Date]]="",Market_Data[[#This Row],[Completion Date]]=""),"Needs Validation",IF(Market_Data[[#This Row],[Start Date]]&gt;TODAY(),"Planned",IF(Market_Data[[#This Row],[Completion Date]]&lt;TODAY(),"Completed","Ongoing")))</f>
        <v>Ongoing</v>
      </c>
      <c r="G1898" s="324">
        <v>44277</v>
      </c>
      <c r="H1898" s="324">
        <v>46387</v>
      </c>
      <c r="I1898" s="325">
        <v>16500</v>
      </c>
      <c r="J189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98" s="133">
        <f>_xlfn.XLOOKUP(Market_Data[[#This Row],[Project Type]],tbl_assumptions_market[Project Category (RERA)],tbl_assumptions_market[Concrete Intensity
(m³ / sq m BUA)],"",0)</f>
        <v>0.45</v>
      </c>
      <c r="L1898" s="134">
        <f>ROUND(Market_Data[[#This Row],[Estimated Built Up Area (sq m)]]*Market_Data[[#This Row],[Concrete Intensity
(m³ / sq m)]],0)</f>
        <v>7425</v>
      </c>
      <c r="M1898" s="135">
        <f>_xlfn.XLOOKUP(Market_Data[[#This Row],[District]],tbl_district_price[District],tbl_district_price[Standard Price
(INR/m³)],"",0)</f>
        <v>6200</v>
      </c>
      <c r="N1898" s="364">
        <f>IF(OR(Market_Data[[#This Row],[Estimated Concrete Demand (m³)]]="",Market_Data[[#This Row],[Avg Price per (₹ / m³)]]=""),"",Market_Data[[#This Row],[Estimated Concrete Demand (m³)]]*Market_Data[[#This Row],[Avg Price per (₹ / m³)]]/10000000)</f>
        <v>4.6035000000000004</v>
      </c>
      <c r="O1898" s="97" t="str">
        <f>IF(Market_Data[[#This Row],[Estimated Concrete Demand (m³)]]="","",
IF(Market_Data[[#This Row],[Estimated Concrete Demand (m³)]]&lt;10000,"Small",
IF(Market_Data[[#This Row],[Estimated Concrete Demand (m³)]]&lt;25000,"Medium",
IF(Market_Data[[#This Row],[Estimated Concrete Demand (m³)]]&lt;100000,"Large","Mega"))))</f>
        <v>Small</v>
      </c>
      <c r="P1898" s="287" t="str">
        <f t="shared" si="31"/>
        <v>GujRERA</v>
      </c>
    </row>
    <row r="1899" spans="1:16">
      <c r="A1899" s="129" t="str">
        <f>_xlfn.XLOOKUP(B1899,$S$9:$S$14,$T$9:$T$14)&amp;"-"&amp;
IF(E1899="Residential/Group Housing","RES",
IF(E1899="Commercial","COM",
IF(E1899="Mixed Development","MIX",
IF(E1899="Plotted Development","PLT","OTH"))))
&amp;"-"&amp;TEXT(COUNTIFS($B$9:B1899,B1899,$E$9:E1899,E1899),"0000")</f>
        <v>SUR-RES-0617</v>
      </c>
      <c r="B1899" s="322" t="s">
        <v>34</v>
      </c>
      <c r="C1899" s="322" t="s">
        <v>34</v>
      </c>
      <c r="D1899" s="323" t="s">
        <v>2089</v>
      </c>
      <c r="E1899" s="132" t="s">
        <v>24</v>
      </c>
      <c r="F1899" s="97" t="str">
        <f ca="1">IF(OR(Market_Data[[#This Row],[Start Date]]="",Market_Data[[#This Row],[Completion Date]]=""),"Needs Validation",IF(Market_Data[[#This Row],[Start Date]]&gt;TODAY(),"Planned",IF(Market_Data[[#This Row],[Completion Date]]&lt;TODAY(),"Completed","Ongoing")))</f>
        <v>Completed</v>
      </c>
      <c r="G1899" s="324">
        <v>41000</v>
      </c>
      <c r="H1899" s="324">
        <v>44104</v>
      </c>
      <c r="I1899" s="325">
        <v>54500</v>
      </c>
      <c r="J189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899" s="133">
        <f>_xlfn.XLOOKUP(Market_Data[[#This Row],[Project Type]],tbl_assumptions_market[Project Category (RERA)],tbl_assumptions_market[Concrete Intensity
(m³ / sq m BUA)],"",0)</f>
        <v>0.45</v>
      </c>
      <c r="L1899" s="134">
        <f>ROUND(Market_Data[[#This Row],[Estimated Built Up Area (sq m)]]*Market_Data[[#This Row],[Concrete Intensity
(m³ / sq m)]],0)</f>
        <v>24525</v>
      </c>
      <c r="M1899" s="135">
        <f>_xlfn.XLOOKUP(Market_Data[[#This Row],[District]],tbl_district_price[District],tbl_district_price[Standard Price
(INR/m³)],"",0)</f>
        <v>6200</v>
      </c>
      <c r="N1899" s="364">
        <f>IF(OR(Market_Data[[#This Row],[Estimated Concrete Demand (m³)]]="",Market_Data[[#This Row],[Avg Price per (₹ / m³)]]=""),"",Market_Data[[#This Row],[Estimated Concrete Demand (m³)]]*Market_Data[[#This Row],[Avg Price per (₹ / m³)]]/10000000)</f>
        <v>15.205500000000001</v>
      </c>
      <c r="O1899" s="97" t="str">
        <f>IF(Market_Data[[#This Row],[Estimated Concrete Demand (m³)]]="","",
IF(Market_Data[[#This Row],[Estimated Concrete Demand (m³)]]&lt;10000,"Small",
IF(Market_Data[[#This Row],[Estimated Concrete Demand (m³)]]&lt;25000,"Medium",
IF(Market_Data[[#This Row],[Estimated Concrete Demand (m³)]]&lt;100000,"Large","Mega"))))</f>
        <v>Medium</v>
      </c>
      <c r="P1899" s="287" t="str">
        <f t="shared" si="31"/>
        <v>GujRERA</v>
      </c>
    </row>
    <row r="1900" spans="1:16">
      <c r="A1900" s="129" t="str">
        <f>_xlfn.XLOOKUP(B1900,$S$9:$S$14,$T$9:$T$14)&amp;"-"&amp;
IF(E1900="Residential/Group Housing","RES",
IF(E1900="Commercial","COM",
IF(E1900="Mixed Development","MIX",
IF(E1900="Plotted Development","PLT","OTH"))))
&amp;"-"&amp;TEXT(COUNTIFS($B$9:B1900,B1900,$E$9:E1900,E1900),"0000")</f>
        <v>SUR-RES-0618</v>
      </c>
      <c r="B1900" s="322" t="s">
        <v>34</v>
      </c>
      <c r="C1900" s="322" t="s">
        <v>34</v>
      </c>
      <c r="D1900" s="323" t="s">
        <v>2090</v>
      </c>
      <c r="E1900" s="132" t="s">
        <v>24</v>
      </c>
      <c r="F1900" s="97" t="str">
        <f ca="1">IF(OR(Market_Data[[#This Row],[Start Date]]="",Market_Data[[#This Row],[Completion Date]]=""),"Needs Validation",IF(Market_Data[[#This Row],[Start Date]]&gt;TODAY(),"Planned",IF(Market_Data[[#This Row],[Completion Date]]&lt;TODAY(),"Completed","Ongoing")))</f>
        <v>Completed</v>
      </c>
      <c r="G1900" s="324">
        <v>43388</v>
      </c>
      <c r="H1900" s="324">
        <v>45473</v>
      </c>
      <c r="I1900" s="325">
        <v>28600</v>
      </c>
      <c r="J190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00" s="133">
        <f>_xlfn.XLOOKUP(Market_Data[[#This Row],[Project Type]],tbl_assumptions_market[Project Category (RERA)],tbl_assumptions_market[Concrete Intensity
(m³ / sq m BUA)],"",0)</f>
        <v>0.45</v>
      </c>
      <c r="L1900" s="134">
        <f>ROUND(Market_Data[[#This Row],[Estimated Built Up Area (sq m)]]*Market_Data[[#This Row],[Concrete Intensity
(m³ / sq m)]],0)</f>
        <v>12870</v>
      </c>
      <c r="M1900" s="135">
        <f>_xlfn.XLOOKUP(Market_Data[[#This Row],[District]],tbl_district_price[District],tbl_district_price[Standard Price
(INR/m³)],"",0)</f>
        <v>6200</v>
      </c>
      <c r="N1900" s="364">
        <f>IF(OR(Market_Data[[#This Row],[Estimated Concrete Demand (m³)]]="",Market_Data[[#This Row],[Avg Price per (₹ / m³)]]=""),"",Market_Data[[#This Row],[Estimated Concrete Demand (m³)]]*Market_Data[[#This Row],[Avg Price per (₹ / m³)]]/10000000)</f>
        <v>7.9794</v>
      </c>
      <c r="O1900" s="97" t="str">
        <f>IF(Market_Data[[#This Row],[Estimated Concrete Demand (m³)]]="","",
IF(Market_Data[[#This Row],[Estimated Concrete Demand (m³)]]&lt;10000,"Small",
IF(Market_Data[[#This Row],[Estimated Concrete Demand (m³)]]&lt;25000,"Medium",
IF(Market_Data[[#This Row],[Estimated Concrete Demand (m³)]]&lt;100000,"Large","Mega"))))</f>
        <v>Medium</v>
      </c>
      <c r="P1900" s="287" t="str">
        <f t="shared" si="31"/>
        <v>GujRERA</v>
      </c>
    </row>
    <row r="1901" spans="1:16">
      <c r="A1901" s="129" t="str">
        <f>_xlfn.XLOOKUP(B1901,$S$9:$S$14,$T$9:$T$14)&amp;"-"&amp;
IF(E1901="Residential/Group Housing","RES",
IF(E1901="Commercial","COM",
IF(E1901="Mixed Development","MIX",
IF(E1901="Plotted Development","PLT","OTH"))))
&amp;"-"&amp;TEXT(COUNTIFS($B$9:B1901,B1901,$E$9:E1901,E1901),"0000")</f>
        <v>SUR-RES-0619</v>
      </c>
      <c r="B1901" s="322" t="s">
        <v>34</v>
      </c>
      <c r="C1901" s="322" t="s">
        <v>34</v>
      </c>
      <c r="D1901" s="323" t="s">
        <v>2091</v>
      </c>
      <c r="E1901" s="132" t="s">
        <v>24</v>
      </c>
      <c r="F1901" s="97" t="str">
        <f ca="1">IF(OR(Market_Data[[#This Row],[Start Date]]="",Market_Data[[#This Row],[Completion Date]]=""),"Needs Validation",IF(Market_Data[[#This Row],[Start Date]]&gt;TODAY(),"Planned",IF(Market_Data[[#This Row],[Completion Date]]&lt;TODAY(),"Completed","Ongoing")))</f>
        <v>Ongoing</v>
      </c>
      <c r="G1901" s="324">
        <v>45156</v>
      </c>
      <c r="H1901" s="324">
        <v>47208</v>
      </c>
      <c r="I1901" s="325">
        <v>40800</v>
      </c>
      <c r="J190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01" s="133">
        <f>_xlfn.XLOOKUP(Market_Data[[#This Row],[Project Type]],tbl_assumptions_market[Project Category (RERA)],tbl_assumptions_market[Concrete Intensity
(m³ / sq m BUA)],"",0)</f>
        <v>0.45</v>
      </c>
      <c r="L1901" s="134">
        <f>ROUND(Market_Data[[#This Row],[Estimated Built Up Area (sq m)]]*Market_Data[[#This Row],[Concrete Intensity
(m³ / sq m)]],0)</f>
        <v>18360</v>
      </c>
      <c r="M1901" s="135">
        <f>_xlfn.XLOOKUP(Market_Data[[#This Row],[District]],tbl_district_price[District],tbl_district_price[Standard Price
(INR/m³)],"",0)</f>
        <v>6200</v>
      </c>
      <c r="N1901" s="364">
        <f>IF(OR(Market_Data[[#This Row],[Estimated Concrete Demand (m³)]]="",Market_Data[[#This Row],[Avg Price per (₹ / m³)]]=""),"",Market_Data[[#This Row],[Estimated Concrete Demand (m³)]]*Market_Data[[#This Row],[Avg Price per (₹ / m³)]]/10000000)</f>
        <v>11.3832</v>
      </c>
      <c r="O1901" s="97" t="str">
        <f>IF(Market_Data[[#This Row],[Estimated Concrete Demand (m³)]]="","",
IF(Market_Data[[#This Row],[Estimated Concrete Demand (m³)]]&lt;10000,"Small",
IF(Market_Data[[#This Row],[Estimated Concrete Demand (m³)]]&lt;25000,"Medium",
IF(Market_Data[[#This Row],[Estimated Concrete Demand (m³)]]&lt;100000,"Large","Mega"))))</f>
        <v>Medium</v>
      </c>
      <c r="P1901" s="287" t="str">
        <f t="shared" si="31"/>
        <v>GujRERA</v>
      </c>
    </row>
    <row r="1902" spans="1:16">
      <c r="A1902" s="129" t="str">
        <f>_xlfn.XLOOKUP(B1902,$S$9:$S$14,$T$9:$T$14)&amp;"-"&amp;
IF(E1902="Residential/Group Housing","RES",
IF(E1902="Commercial","COM",
IF(E1902="Mixed Development","MIX",
IF(E1902="Plotted Development","PLT","OTH"))))
&amp;"-"&amp;TEXT(COUNTIFS($B$9:B1902,B1902,$E$9:E1902,E1902),"0000")</f>
        <v>SUR-RES-0620</v>
      </c>
      <c r="B1902" s="322" t="s">
        <v>34</v>
      </c>
      <c r="C1902" s="322" t="s">
        <v>34</v>
      </c>
      <c r="D1902" s="323" t="s">
        <v>2092</v>
      </c>
      <c r="E1902" s="132" t="s">
        <v>24</v>
      </c>
      <c r="F1902" s="97" t="str">
        <f ca="1">IF(OR(Market_Data[[#This Row],[Start Date]]="",Market_Data[[#This Row],[Completion Date]]=""),"Needs Validation",IF(Market_Data[[#This Row],[Start Date]]&gt;TODAY(),"Planned",IF(Market_Data[[#This Row],[Completion Date]]&lt;TODAY(),"Completed","Ongoing")))</f>
        <v>Ongoing</v>
      </c>
      <c r="G1902" s="324">
        <v>46120</v>
      </c>
      <c r="H1902" s="324">
        <v>47938</v>
      </c>
      <c r="I1902" s="325">
        <v>17100</v>
      </c>
      <c r="J190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02" s="133">
        <f>_xlfn.XLOOKUP(Market_Data[[#This Row],[Project Type]],tbl_assumptions_market[Project Category (RERA)],tbl_assumptions_market[Concrete Intensity
(m³ / sq m BUA)],"",0)</f>
        <v>0.45</v>
      </c>
      <c r="L1902" s="134">
        <f>ROUND(Market_Data[[#This Row],[Estimated Built Up Area (sq m)]]*Market_Data[[#This Row],[Concrete Intensity
(m³ / sq m)]],0)</f>
        <v>7695</v>
      </c>
      <c r="M1902" s="135">
        <f>_xlfn.XLOOKUP(Market_Data[[#This Row],[District]],tbl_district_price[District],tbl_district_price[Standard Price
(INR/m³)],"",0)</f>
        <v>6200</v>
      </c>
      <c r="N1902" s="364">
        <f>IF(OR(Market_Data[[#This Row],[Estimated Concrete Demand (m³)]]="",Market_Data[[#This Row],[Avg Price per (₹ / m³)]]=""),"",Market_Data[[#This Row],[Estimated Concrete Demand (m³)]]*Market_Data[[#This Row],[Avg Price per (₹ / m³)]]/10000000)</f>
        <v>4.7709000000000001</v>
      </c>
      <c r="O1902" s="97" t="str">
        <f>IF(Market_Data[[#This Row],[Estimated Concrete Demand (m³)]]="","",
IF(Market_Data[[#This Row],[Estimated Concrete Demand (m³)]]&lt;10000,"Small",
IF(Market_Data[[#This Row],[Estimated Concrete Demand (m³)]]&lt;25000,"Medium",
IF(Market_Data[[#This Row],[Estimated Concrete Demand (m³)]]&lt;100000,"Large","Mega"))))</f>
        <v>Small</v>
      </c>
      <c r="P1902" s="287" t="str">
        <f t="shared" si="31"/>
        <v>GujRERA</v>
      </c>
    </row>
    <row r="1903" spans="1:16">
      <c r="A1903" s="129" t="str">
        <f>_xlfn.XLOOKUP(B1903,$S$9:$S$14,$T$9:$T$14)&amp;"-"&amp;
IF(E1903="Residential/Group Housing","RES",
IF(E1903="Commercial","COM",
IF(E1903="Mixed Development","MIX",
IF(E1903="Plotted Development","PLT","OTH"))))
&amp;"-"&amp;TEXT(COUNTIFS($B$9:B1903,B1903,$E$9:E1903,E1903),"0000")</f>
        <v>SUR-RES-0621</v>
      </c>
      <c r="B1903" s="322" t="s">
        <v>34</v>
      </c>
      <c r="C1903" s="322" t="s">
        <v>34</v>
      </c>
      <c r="D1903" s="323" t="s">
        <v>2093</v>
      </c>
      <c r="E1903" s="132" t="s">
        <v>24</v>
      </c>
      <c r="F1903" s="97" t="str">
        <f ca="1">IF(OR(Market_Data[[#This Row],[Start Date]]="",Market_Data[[#This Row],[Completion Date]]=""),"Needs Validation",IF(Market_Data[[#This Row],[Start Date]]&gt;TODAY(),"Planned",IF(Market_Data[[#This Row],[Completion Date]]&lt;TODAY(),"Completed","Ongoing")))</f>
        <v>Completed</v>
      </c>
      <c r="G1903" s="324">
        <v>42475</v>
      </c>
      <c r="H1903" s="324">
        <v>45107</v>
      </c>
      <c r="I1903" s="325">
        <v>36600</v>
      </c>
      <c r="J190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03" s="133">
        <f>_xlfn.XLOOKUP(Market_Data[[#This Row],[Project Type]],tbl_assumptions_market[Project Category (RERA)],tbl_assumptions_market[Concrete Intensity
(m³ / sq m BUA)],"",0)</f>
        <v>0.45</v>
      </c>
      <c r="L1903" s="134">
        <f>ROUND(Market_Data[[#This Row],[Estimated Built Up Area (sq m)]]*Market_Data[[#This Row],[Concrete Intensity
(m³ / sq m)]],0)</f>
        <v>16470</v>
      </c>
      <c r="M1903" s="135">
        <f>_xlfn.XLOOKUP(Market_Data[[#This Row],[District]],tbl_district_price[District],tbl_district_price[Standard Price
(INR/m³)],"",0)</f>
        <v>6200</v>
      </c>
      <c r="N1903" s="364">
        <f>IF(OR(Market_Data[[#This Row],[Estimated Concrete Demand (m³)]]="",Market_Data[[#This Row],[Avg Price per (₹ / m³)]]=""),"",Market_Data[[#This Row],[Estimated Concrete Demand (m³)]]*Market_Data[[#This Row],[Avg Price per (₹ / m³)]]/10000000)</f>
        <v>10.211399999999999</v>
      </c>
      <c r="O1903" s="97" t="str">
        <f>IF(Market_Data[[#This Row],[Estimated Concrete Demand (m³)]]="","",
IF(Market_Data[[#This Row],[Estimated Concrete Demand (m³)]]&lt;10000,"Small",
IF(Market_Data[[#This Row],[Estimated Concrete Demand (m³)]]&lt;25000,"Medium",
IF(Market_Data[[#This Row],[Estimated Concrete Demand (m³)]]&lt;100000,"Large","Mega"))))</f>
        <v>Medium</v>
      </c>
      <c r="P1903" s="287" t="str">
        <f t="shared" si="31"/>
        <v>GujRERA</v>
      </c>
    </row>
    <row r="1904" spans="1:16">
      <c r="A1904" s="129" t="str">
        <f>_xlfn.XLOOKUP(B1904,$S$9:$S$14,$T$9:$T$14)&amp;"-"&amp;
IF(E1904="Residential/Group Housing","RES",
IF(E1904="Commercial","COM",
IF(E1904="Mixed Development","MIX",
IF(E1904="Plotted Development","PLT","OTH"))))
&amp;"-"&amp;TEXT(COUNTIFS($B$9:B1904,B1904,$E$9:E1904,E1904),"0000")</f>
        <v>SUR-COM-0309</v>
      </c>
      <c r="B1904" s="322" t="s">
        <v>34</v>
      </c>
      <c r="C1904" s="322" t="s">
        <v>34</v>
      </c>
      <c r="D1904" s="323" t="s">
        <v>2094</v>
      </c>
      <c r="E1904" s="132" t="s">
        <v>23</v>
      </c>
      <c r="F1904" s="97" t="str">
        <f ca="1">IF(OR(Market_Data[[#This Row],[Start Date]]="",Market_Data[[#This Row],[Completion Date]]=""),"Needs Validation",IF(Market_Data[[#This Row],[Start Date]]&gt;TODAY(),"Planned",IF(Market_Data[[#This Row],[Completion Date]]&lt;TODAY(),"Completed","Ongoing")))</f>
        <v>Completed</v>
      </c>
      <c r="G1904" s="324">
        <v>44211</v>
      </c>
      <c r="H1904" s="324">
        <v>45473</v>
      </c>
      <c r="I1904" s="325">
        <v>19700</v>
      </c>
      <c r="J190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04" s="133">
        <f>_xlfn.XLOOKUP(Market_Data[[#This Row],[Project Type]],tbl_assumptions_market[Project Category (RERA)],tbl_assumptions_market[Concrete Intensity
(m³ / sq m BUA)],"",0)</f>
        <v>0.5</v>
      </c>
      <c r="L1904" s="134">
        <f>ROUND(Market_Data[[#This Row],[Estimated Built Up Area (sq m)]]*Market_Data[[#This Row],[Concrete Intensity
(m³ / sq m)]],0)</f>
        <v>9850</v>
      </c>
      <c r="M1904" s="135">
        <f>_xlfn.XLOOKUP(Market_Data[[#This Row],[District]],tbl_district_price[District],tbl_district_price[Standard Price
(INR/m³)],"",0)</f>
        <v>6200</v>
      </c>
      <c r="N1904" s="364">
        <f>IF(OR(Market_Data[[#This Row],[Estimated Concrete Demand (m³)]]="",Market_Data[[#This Row],[Avg Price per (₹ / m³)]]=""),"",Market_Data[[#This Row],[Estimated Concrete Demand (m³)]]*Market_Data[[#This Row],[Avg Price per (₹ / m³)]]/10000000)</f>
        <v>6.1070000000000002</v>
      </c>
      <c r="O1904" s="97" t="str">
        <f>IF(Market_Data[[#This Row],[Estimated Concrete Demand (m³)]]="","",
IF(Market_Data[[#This Row],[Estimated Concrete Demand (m³)]]&lt;10000,"Small",
IF(Market_Data[[#This Row],[Estimated Concrete Demand (m³)]]&lt;25000,"Medium",
IF(Market_Data[[#This Row],[Estimated Concrete Demand (m³)]]&lt;100000,"Large","Mega"))))</f>
        <v>Small</v>
      </c>
      <c r="P1904" s="287" t="str">
        <f t="shared" si="31"/>
        <v>GujRERA</v>
      </c>
    </row>
    <row r="1905" spans="1:16">
      <c r="A1905" s="129" t="str">
        <f>_xlfn.XLOOKUP(B1905,$S$9:$S$14,$T$9:$T$14)&amp;"-"&amp;
IF(E1905="Residential/Group Housing","RES",
IF(E1905="Commercial","COM",
IF(E1905="Mixed Development","MIX",
IF(E1905="Plotted Development","PLT","OTH"))))
&amp;"-"&amp;TEXT(COUNTIFS($B$9:B1905,B1905,$E$9:E1905,E1905),"0000")</f>
        <v>SUR-MIX-0316</v>
      </c>
      <c r="B1905" s="322" t="s">
        <v>34</v>
      </c>
      <c r="C1905" s="322" t="s">
        <v>34</v>
      </c>
      <c r="D1905" s="323" t="s">
        <v>2095</v>
      </c>
      <c r="E1905" s="132" t="s">
        <v>25</v>
      </c>
      <c r="F1905" s="97" t="str">
        <f ca="1">IF(OR(Market_Data[[#This Row],[Start Date]]="",Market_Data[[#This Row],[Completion Date]]=""),"Needs Validation",IF(Market_Data[[#This Row],[Start Date]]&gt;TODAY(),"Planned",IF(Market_Data[[#This Row],[Completion Date]]&lt;TODAY(),"Completed","Ongoing")))</f>
        <v>Completed</v>
      </c>
      <c r="G1905" s="324">
        <v>42310</v>
      </c>
      <c r="H1905" s="324">
        <v>43861</v>
      </c>
      <c r="I1905" s="325">
        <v>32100</v>
      </c>
      <c r="J190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05" s="133">
        <f>_xlfn.XLOOKUP(Market_Data[[#This Row],[Project Type]],tbl_assumptions_market[Project Category (RERA)],tbl_assumptions_market[Concrete Intensity
(m³ / sq m BUA)],"",0)</f>
        <v>0.42</v>
      </c>
      <c r="L1905" s="134">
        <f>ROUND(Market_Data[[#This Row],[Estimated Built Up Area (sq m)]]*Market_Data[[#This Row],[Concrete Intensity
(m³ / sq m)]],0)</f>
        <v>13482</v>
      </c>
      <c r="M1905" s="135">
        <f>_xlfn.XLOOKUP(Market_Data[[#This Row],[District]],tbl_district_price[District],tbl_district_price[Standard Price
(INR/m³)],"",0)</f>
        <v>6200</v>
      </c>
      <c r="N1905" s="364">
        <f>IF(OR(Market_Data[[#This Row],[Estimated Concrete Demand (m³)]]="",Market_Data[[#This Row],[Avg Price per (₹ / m³)]]=""),"",Market_Data[[#This Row],[Estimated Concrete Demand (m³)]]*Market_Data[[#This Row],[Avg Price per (₹ / m³)]]/10000000)</f>
        <v>8.3588400000000007</v>
      </c>
      <c r="O1905" s="97" t="str">
        <f>IF(Market_Data[[#This Row],[Estimated Concrete Demand (m³)]]="","",
IF(Market_Data[[#This Row],[Estimated Concrete Demand (m³)]]&lt;10000,"Small",
IF(Market_Data[[#This Row],[Estimated Concrete Demand (m³)]]&lt;25000,"Medium",
IF(Market_Data[[#This Row],[Estimated Concrete Demand (m³)]]&lt;100000,"Large","Mega"))))</f>
        <v>Medium</v>
      </c>
      <c r="P1905" s="287" t="str">
        <f t="shared" si="31"/>
        <v>GujRERA</v>
      </c>
    </row>
    <row r="1906" spans="1:16">
      <c r="A1906" s="129" t="str">
        <f>_xlfn.XLOOKUP(B1906,$S$9:$S$14,$T$9:$T$14)&amp;"-"&amp;
IF(E1906="Residential/Group Housing","RES",
IF(E1906="Commercial","COM",
IF(E1906="Mixed Development","MIX",
IF(E1906="Plotted Development","PLT","OTH"))))
&amp;"-"&amp;TEXT(COUNTIFS($B$9:B1906,B1906,$E$9:E1906,E1906),"0000")</f>
        <v>SUR-RES-0622</v>
      </c>
      <c r="B1906" s="322" t="s">
        <v>34</v>
      </c>
      <c r="C1906" s="322" t="s">
        <v>34</v>
      </c>
      <c r="D1906" s="323" t="s">
        <v>2096</v>
      </c>
      <c r="E1906" s="132" t="s">
        <v>24</v>
      </c>
      <c r="F1906" s="97" t="str">
        <f ca="1">IF(OR(Market_Data[[#This Row],[Start Date]]="",Market_Data[[#This Row],[Completion Date]]=""),"Needs Validation",IF(Market_Data[[#This Row],[Start Date]]&gt;TODAY(),"Planned",IF(Market_Data[[#This Row],[Completion Date]]&lt;TODAY(),"Completed","Ongoing")))</f>
        <v>Ongoing</v>
      </c>
      <c r="G1906" s="324">
        <v>45329</v>
      </c>
      <c r="H1906" s="324">
        <v>46477</v>
      </c>
      <c r="I1906" s="325">
        <v>15500</v>
      </c>
      <c r="J190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06" s="133">
        <f>_xlfn.XLOOKUP(Market_Data[[#This Row],[Project Type]],tbl_assumptions_market[Project Category (RERA)],tbl_assumptions_market[Concrete Intensity
(m³ / sq m BUA)],"",0)</f>
        <v>0.45</v>
      </c>
      <c r="L1906" s="134">
        <f>ROUND(Market_Data[[#This Row],[Estimated Built Up Area (sq m)]]*Market_Data[[#This Row],[Concrete Intensity
(m³ / sq m)]],0)</f>
        <v>6975</v>
      </c>
      <c r="M1906" s="135">
        <f>_xlfn.XLOOKUP(Market_Data[[#This Row],[District]],tbl_district_price[District],tbl_district_price[Standard Price
(INR/m³)],"",0)</f>
        <v>6200</v>
      </c>
      <c r="N1906" s="364">
        <f>IF(OR(Market_Data[[#This Row],[Estimated Concrete Demand (m³)]]="",Market_Data[[#This Row],[Avg Price per (₹ / m³)]]=""),"",Market_Data[[#This Row],[Estimated Concrete Demand (m³)]]*Market_Data[[#This Row],[Avg Price per (₹ / m³)]]/10000000)</f>
        <v>4.3244999999999996</v>
      </c>
      <c r="O1906" s="97" t="str">
        <f>IF(Market_Data[[#This Row],[Estimated Concrete Demand (m³)]]="","",
IF(Market_Data[[#This Row],[Estimated Concrete Demand (m³)]]&lt;10000,"Small",
IF(Market_Data[[#This Row],[Estimated Concrete Demand (m³)]]&lt;25000,"Medium",
IF(Market_Data[[#This Row],[Estimated Concrete Demand (m³)]]&lt;100000,"Large","Mega"))))</f>
        <v>Small</v>
      </c>
      <c r="P1906" s="287" t="str">
        <f t="shared" si="31"/>
        <v>GujRERA</v>
      </c>
    </row>
    <row r="1907" spans="1:16">
      <c r="A1907" s="129" t="str">
        <f>_xlfn.XLOOKUP(B1907,$S$9:$S$14,$T$9:$T$14)&amp;"-"&amp;
IF(E1907="Residential/Group Housing","RES",
IF(E1907="Commercial","COM",
IF(E1907="Mixed Development","MIX",
IF(E1907="Plotted Development","PLT","OTH"))))
&amp;"-"&amp;TEXT(COUNTIFS($B$9:B1907,B1907,$E$9:E1907,E1907),"0000")</f>
        <v>SUR-PLT-0342</v>
      </c>
      <c r="B1907" s="322" t="s">
        <v>34</v>
      </c>
      <c r="C1907" s="322" t="s">
        <v>34</v>
      </c>
      <c r="D1907" s="323" t="s">
        <v>2097</v>
      </c>
      <c r="E1907" s="132" t="s">
        <v>26</v>
      </c>
      <c r="F1907" s="97" t="str">
        <f ca="1">IF(OR(Market_Data[[#This Row],[Start Date]]="",Market_Data[[#This Row],[Completion Date]]=""),"Needs Validation",IF(Market_Data[[#This Row],[Start Date]]&gt;TODAY(),"Planned",IF(Market_Data[[#This Row],[Completion Date]]&lt;TODAY(),"Completed","Ongoing")))</f>
        <v>Completed</v>
      </c>
      <c r="G1907" s="324">
        <v>44197</v>
      </c>
      <c r="H1907" s="324">
        <v>44926</v>
      </c>
      <c r="I1907" s="325">
        <v>5000</v>
      </c>
      <c r="J190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07" s="133">
        <f>_xlfn.XLOOKUP(Market_Data[[#This Row],[Project Type]],tbl_assumptions_market[Project Category (RERA)],tbl_assumptions_market[Concrete Intensity
(m³ / sq m BUA)],"",0)</f>
        <v>0.18</v>
      </c>
      <c r="L1907" s="134">
        <f>ROUND(Market_Data[[#This Row],[Estimated Built Up Area (sq m)]]*Market_Data[[#This Row],[Concrete Intensity
(m³ / sq m)]],0)</f>
        <v>900</v>
      </c>
      <c r="M1907" s="135">
        <f>_xlfn.XLOOKUP(Market_Data[[#This Row],[District]],tbl_district_price[District],tbl_district_price[Standard Price
(INR/m³)],"",0)</f>
        <v>6200</v>
      </c>
      <c r="N1907" s="364">
        <f>IF(OR(Market_Data[[#This Row],[Estimated Concrete Demand (m³)]]="",Market_Data[[#This Row],[Avg Price per (₹ / m³)]]=""),"",Market_Data[[#This Row],[Estimated Concrete Demand (m³)]]*Market_Data[[#This Row],[Avg Price per (₹ / m³)]]/10000000)</f>
        <v>0.55800000000000005</v>
      </c>
      <c r="O1907" s="97" t="str">
        <f>IF(Market_Data[[#This Row],[Estimated Concrete Demand (m³)]]="","",
IF(Market_Data[[#This Row],[Estimated Concrete Demand (m³)]]&lt;10000,"Small",
IF(Market_Data[[#This Row],[Estimated Concrete Demand (m³)]]&lt;25000,"Medium",
IF(Market_Data[[#This Row],[Estimated Concrete Demand (m³)]]&lt;100000,"Large","Mega"))))</f>
        <v>Small</v>
      </c>
      <c r="P1907" s="287" t="str">
        <f t="shared" si="31"/>
        <v>GujRERA</v>
      </c>
    </row>
    <row r="1908" spans="1:16">
      <c r="A1908" s="129" t="str">
        <f>_xlfn.XLOOKUP(B1908,$S$9:$S$14,$T$9:$T$14)&amp;"-"&amp;
IF(E1908="Residential/Group Housing","RES",
IF(E1908="Commercial","COM",
IF(E1908="Mixed Development","MIX",
IF(E1908="Plotted Development","PLT","OTH"))))
&amp;"-"&amp;TEXT(COUNTIFS($B$9:B1908,B1908,$E$9:E1908,E1908),"0000")</f>
        <v>SUR-RES-0623</v>
      </c>
      <c r="B1908" s="322" t="s">
        <v>34</v>
      </c>
      <c r="C1908" s="322" t="s">
        <v>34</v>
      </c>
      <c r="D1908" s="323" t="s">
        <v>2098</v>
      </c>
      <c r="E1908" s="132" t="s">
        <v>24</v>
      </c>
      <c r="F1908" s="97" t="str">
        <f ca="1">IF(OR(Market_Data[[#This Row],[Start Date]]="",Market_Data[[#This Row],[Completion Date]]=""),"Needs Validation",IF(Market_Data[[#This Row],[Start Date]]&gt;TODAY(),"Planned",IF(Market_Data[[#This Row],[Completion Date]]&lt;TODAY(),"Completed","Ongoing")))</f>
        <v>Ongoing</v>
      </c>
      <c r="G1908" s="324">
        <v>45158</v>
      </c>
      <c r="H1908" s="324">
        <v>47483</v>
      </c>
      <c r="I1908" s="325">
        <v>41000</v>
      </c>
      <c r="J190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08" s="133">
        <f>_xlfn.XLOOKUP(Market_Data[[#This Row],[Project Type]],tbl_assumptions_market[Project Category (RERA)],tbl_assumptions_market[Concrete Intensity
(m³ / sq m BUA)],"",0)</f>
        <v>0.45</v>
      </c>
      <c r="L1908" s="134">
        <f>ROUND(Market_Data[[#This Row],[Estimated Built Up Area (sq m)]]*Market_Data[[#This Row],[Concrete Intensity
(m³ / sq m)]],0)</f>
        <v>18450</v>
      </c>
      <c r="M1908" s="135">
        <f>_xlfn.XLOOKUP(Market_Data[[#This Row],[District]],tbl_district_price[District],tbl_district_price[Standard Price
(INR/m³)],"",0)</f>
        <v>6200</v>
      </c>
      <c r="N1908" s="364">
        <f>IF(OR(Market_Data[[#This Row],[Estimated Concrete Demand (m³)]]="",Market_Data[[#This Row],[Avg Price per (₹ / m³)]]=""),"",Market_Data[[#This Row],[Estimated Concrete Demand (m³)]]*Market_Data[[#This Row],[Avg Price per (₹ / m³)]]/10000000)</f>
        <v>11.439</v>
      </c>
      <c r="O1908" s="97" t="str">
        <f>IF(Market_Data[[#This Row],[Estimated Concrete Demand (m³)]]="","",
IF(Market_Data[[#This Row],[Estimated Concrete Demand (m³)]]&lt;10000,"Small",
IF(Market_Data[[#This Row],[Estimated Concrete Demand (m³)]]&lt;25000,"Medium",
IF(Market_Data[[#This Row],[Estimated Concrete Demand (m³)]]&lt;100000,"Large","Mega"))))</f>
        <v>Medium</v>
      </c>
      <c r="P1908" s="287" t="str">
        <f t="shared" si="31"/>
        <v>GujRERA</v>
      </c>
    </row>
    <row r="1909" spans="1:16">
      <c r="A1909" s="129" t="str">
        <f>_xlfn.XLOOKUP(B1909,$S$9:$S$14,$T$9:$T$14)&amp;"-"&amp;
IF(E1909="Residential/Group Housing","RES",
IF(E1909="Commercial","COM",
IF(E1909="Mixed Development","MIX",
IF(E1909="Plotted Development","PLT","OTH"))))
&amp;"-"&amp;TEXT(COUNTIFS($B$9:B1909,B1909,$E$9:E1909,E1909),"0000")</f>
        <v>SUR-PLT-0343</v>
      </c>
      <c r="B1909" s="322" t="s">
        <v>34</v>
      </c>
      <c r="C1909" s="322" t="s">
        <v>34</v>
      </c>
      <c r="D1909" s="323" t="s">
        <v>2099</v>
      </c>
      <c r="E1909" s="132" t="s">
        <v>26</v>
      </c>
      <c r="F1909" s="97" t="str">
        <f ca="1">IF(OR(Market_Data[[#This Row],[Start Date]]="",Market_Data[[#This Row],[Completion Date]]=""),"Needs Validation",IF(Market_Data[[#This Row],[Start Date]]&gt;TODAY(),"Planned",IF(Market_Data[[#This Row],[Completion Date]]&lt;TODAY(),"Completed","Ongoing")))</f>
        <v>Ongoing</v>
      </c>
      <c r="G1909" s="324">
        <v>45320</v>
      </c>
      <c r="H1909" s="324">
        <v>46387</v>
      </c>
      <c r="I1909" s="325">
        <v>47000</v>
      </c>
      <c r="J190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909" s="133">
        <f>_xlfn.XLOOKUP(Market_Data[[#This Row],[Project Type]],tbl_assumptions_market[Project Category (RERA)],tbl_assumptions_market[Concrete Intensity
(m³ / sq m BUA)],"",0)</f>
        <v>0.18</v>
      </c>
      <c r="L1909" s="134">
        <f>ROUND(Market_Data[[#This Row],[Estimated Built Up Area (sq m)]]*Market_Data[[#This Row],[Concrete Intensity
(m³ / sq m)]],0)</f>
        <v>8460</v>
      </c>
      <c r="M1909" s="135">
        <f>_xlfn.XLOOKUP(Market_Data[[#This Row],[District]],tbl_district_price[District],tbl_district_price[Standard Price
(INR/m³)],"",0)</f>
        <v>6200</v>
      </c>
      <c r="N1909" s="364">
        <f>IF(OR(Market_Data[[#This Row],[Estimated Concrete Demand (m³)]]="",Market_Data[[#This Row],[Avg Price per (₹ / m³)]]=""),"",Market_Data[[#This Row],[Estimated Concrete Demand (m³)]]*Market_Data[[#This Row],[Avg Price per (₹ / m³)]]/10000000)</f>
        <v>5.2451999999999996</v>
      </c>
      <c r="O1909" s="97" t="str">
        <f>IF(Market_Data[[#This Row],[Estimated Concrete Demand (m³)]]="","",
IF(Market_Data[[#This Row],[Estimated Concrete Demand (m³)]]&lt;10000,"Small",
IF(Market_Data[[#This Row],[Estimated Concrete Demand (m³)]]&lt;25000,"Medium",
IF(Market_Data[[#This Row],[Estimated Concrete Demand (m³)]]&lt;100000,"Large","Mega"))))</f>
        <v>Small</v>
      </c>
      <c r="P1909" s="287" t="str">
        <f t="shared" si="31"/>
        <v>GujRERA</v>
      </c>
    </row>
    <row r="1910" spans="1:16">
      <c r="A1910" s="129" t="str">
        <f>_xlfn.XLOOKUP(B1910,$S$9:$S$14,$T$9:$T$14)&amp;"-"&amp;
IF(E1910="Residential/Group Housing","RES",
IF(E1910="Commercial","COM",
IF(E1910="Mixed Development","MIX",
IF(E1910="Plotted Development","PLT","OTH"))))
&amp;"-"&amp;TEXT(COUNTIFS($B$9:B1910,B1910,$E$9:E1910,E1910),"0000")</f>
        <v>SUR-RES-0624</v>
      </c>
      <c r="B1910" s="322" t="s">
        <v>34</v>
      </c>
      <c r="C1910" s="322" t="s">
        <v>34</v>
      </c>
      <c r="D1910" s="323" t="s">
        <v>2100</v>
      </c>
      <c r="E1910" s="132" t="s">
        <v>24</v>
      </c>
      <c r="F1910" s="97" t="str">
        <f ca="1">IF(OR(Market_Data[[#This Row],[Start Date]]="",Market_Data[[#This Row],[Completion Date]]=""),"Needs Validation",IF(Market_Data[[#This Row],[Start Date]]&gt;TODAY(),"Planned",IF(Market_Data[[#This Row],[Completion Date]]&lt;TODAY(),"Completed","Ongoing")))</f>
        <v>Completed</v>
      </c>
      <c r="G1910" s="324">
        <v>42117</v>
      </c>
      <c r="H1910" s="324">
        <v>45261</v>
      </c>
      <c r="I1910" s="325">
        <v>23700</v>
      </c>
      <c r="J191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10" s="133">
        <f>_xlfn.XLOOKUP(Market_Data[[#This Row],[Project Type]],tbl_assumptions_market[Project Category (RERA)],tbl_assumptions_market[Concrete Intensity
(m³ / sq m BUA)],"",0)</f>
        <v>0.45</v>
      </c>
      <c r="L1910" s="134">
        <f>ROUND(Market_Data[[#This Row],[Estimated Built Up Area (sq m)]]*Market_Data[[#This Row],[Concrete Intensity
(m³ / sq m)]],0)</f>
        <v>10665</v>
      </c>
      <c r="M1910" s="135">
        <f>_xlfn.XLOOKUP(Market_Data[[#This Row],[District]],tbl_district_price[District],tbl_district_price[Standard Price
(INR/m³)],"",0)</f>
        <v>6200</v>
      </c>
      <c r="N1910" s="364">
        <f>IF(OR(Market_Data[[#This Row],[Estimated Concrete Demand (m³)]]="",Market_Data[[#This Row],[Avg Price per (₹ / m³)]]=""),"",Market_Data[[#This Row],[Estimated Concrete Demand (m³)]]*Market_Data[[#This Row],[Avg Price per (₹ / m³)]]/10000000)</f>
        <v>6.6123000000000003</v>
      </c>
      <c r="O1910" s="97" t="str">
        <f>IF(Market_Data[[#This Row],[Estimated Concrete Demand (m³)]]="","",
IF(Market_Data[[#This Row],[Estimated Concrete Demand (m³)]]&lt;10000,"Small",
IF(Market_Data[[#This Row],[Estimated Concrete Demand (m³)]]&lt;25000,"Medium",
IF(Market_Data[[#This Row],[Estimated Concrete Demand (m³)]]&lt;100000,"Large","Mega"))))</f>
        <v>Medium</v>
      </c>
      <c r="P1910" s="287" t="str">
        <f t="shared" si="31"/>
        <v>GujRERA</v>
      </c>
    </row>
    <row r="1911" spans="1:16">
      <c r="A1911" s="129" t="str">
        <f>_xlfn.XLOOKUP(B1911,$S$9:$S$14,$T$9:$T$14)&amp;"-"&amp;
IF(E1911="Residential/Group Housing","RES",
IF(E1911="Commercial","COM",
IF(E1911="Mixed Development","MIX",
IF(E1911="Plotted Development","PLT","OTH"))))
&amp;"-"&amp;TEXT(COUNTIFS($B$9:B1911,B1911,$E$9:E1911,E1911),"0000")</f>
        <v>SUR-PLT-0344</v>
      </c>
      <c r="B1911" s="322" t="s">
        <v>34</v>
      </c>
      <c r="C1911" s="322" t="s">
        <v>34</v>
      </c>
      <c r="D1911" s="323" t="s">
        <v>2101</v>
      </c>
      <c r="E1911" s="132" t="s">
        <v>26</v>
      </c>
      <c r="F1911" s="97" t="str">
        <f ca="1">IF(OR(Market_Data[[#This Row],[Start Date]]="",Market_Data[[#This Row],[Completion Date]]=""),"Needs Validation",IF(Market_Data[[#This Row],[Start Date]]&gt;TODAY(),"Planned",IF(Market_Data[[#This Row],[Completion Date]]&lt;TODAY(),"Completed","Ongoing")))</f>
        <v>Ongoing</v>
      </c>
      <c r="G1911" s="324">
        <v>45379</v>
      </c>
      <c r="H1911" s="324">
        <v>46387</v>
      </c>
      <c r="I1911" s="325">
        <v>26800</v>
      </c>
      <c r="J191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11" s="133">
        <f>_xlfn.XLOOKUP(Market_Data[[#This Row],[Project Type]],tbl_assumptions_market[Project Category (RERA)],tbl_assumptions_market[Concrete Intensity
(m³ / sq m BUA)],"",0)</f>
        <v>0.18</v>
      </c>
      <c r="L1911" s="134">
        <f>ROUND(Market_Data[[#This Row],[Estimated Built Up Area (sq m)]]*Market_Data[[#This Row],[Concrete Intensity
(m³ / sq m)]],0)</f>
        <v>4824</v>
      </c>
      <c r="M1911" s="135">
        <f>_xlfn.XLOOKUP(Market_Data[[#This Row],[District]],tbl_district_price[District],tbl_district_price[Standard Price
(INR/m³)],"",0)</f>
        <v>6200</v>
      </c>
      <c r="N1911" s="364">
        <f>IF(OR(Market_Data[[#This Row],[Estimated Concrete Demand (m³)]]="",Market_Data[[#This Row],[Avg Price per (₹ / m³)]]=""),"",Market_Data[[#This Row],[Estimated Concrete Demand (m³)]]*Market_Data[[#This Row],[Avg Price per (₹ / m³)]]/10000000)</f>
        <v>2.9908800000000002</v>
      </c>
      <c r="O1911" s="97" t="str">
        <f>IF(Market_Data[[#This Row],[Estimated Concrete Demand (m³)]]="","",
IF(Market_Data[[#This Row],[Estimated Concrete Demand (m³)]]&lt;10000,"Small",
IF(Market_Data[[#This Row],[Estimated Concrete Demand (m³)]]&lt;25000,"Medium",
IF(Market_Data[[#This Row],[Estimated Concrete Demand (m³)]]&lt;100000,"Large","Mega"))))</f>
        <v>Small</v>
      </c>
      <c r="P1911" s="287" t="str">
        <f t="shared" si="31"/>
        <v>GujRERA</v>
      </c>
    </row>
    <row r="1912" spans="1:16">
      <c r="A1912" s="129" t="str">
        <f>_xlfn.XLOOKUP(B1912,$S$9:$S$14,$T$9:$T$14)&amp;"-"&amp;
IF(E1912="Residential/Group Housing","RES",
IF(E1912="Commercial","COM",
IF(E1912="Mixed Development","MIX",
IF(E1912="Plotted Development","PLT","OTH"))))
&amp;"-"&amp;TEXT(COUNTIFS($B$9:B1912,B1912,$E$9:E1912,E1912),"0000")</f>
        <v>SUR-PLT-0345</v>
      </c>
      <c r="B1912" s="322" t="s">
        <v>34</v>
      </c>
      <c r="C1912" s="322" t="s">
        <v>34</v>
      </c>
      <c r="D1912" s="323" t="s">
        <v>2102</v>
      </c>
      <c r="E1912" s="132" t="s">
        <v>26</v>
      </c>
      <c r="F1912" s="97" t="str">
        <f ca="1">IF(OR(Market_Data[[#This Row],[Start Date]]="",Market_Data[[#This Row],[Completion Date]]=""),"Needs Validation",IF(Market_Data[[#This Row],[Start Date]]&gt;TODAY(),"Planned",IF(Market_Data[[#This Row],[Completion Date]]&lt;TODAY(),"Completed","Ongoing")))</f>
        <v>Ongoing</v>
      </c>
      <c r="G1912" s="324">
        <v>45260</v>
      </c>
      <c r="H1912" s="324">
        <v>46387</v>
      </c>
      <c r="I1912" s="325">
        <v>16400</v>
      </c>
      <c r="J191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12" s="133">
        <f>_xlfn.XLOOKUP(Market_Data[[#This Row],[Project Type]],tbl_assumptions_market[Project Category (RERA)],tbl_assumptions_market[Concrete Intensity
(m³ / sq m BUA)],"",0)</f>
        <v>0.18</v>
      </c>
      <c r="L1912" s="134">
        <f>ROUND(Market_Data[[#This Row],[Estimated Built Up Area (sq m)]]*Market_Data[[#This Row],[Concrete Intensity
(m³ / sq m)]],0)</f>
        <v>2952</v>
      </c>
      <c r="M1912" s="135">
        <f>_xlfn.XLOOKUP(Market_Data[[#This Row],[District]],tbl_district_price[District],tbl_district_price[Standard Price
(INR/m³)],"",0)</f>
        <v>6200</v>
      </c>
      <c r="N1912" s="364">
        <f>IF(OR(Market_Data[[#This Row],[Estimated Concrete Demand (m³)]]="",Market_Data[[#This Row],[Avg Price per (₹ / m³)]]=""),"",Market_Data[[#This Row],[Estimated Concrete Demand (m³)]]*Market_Data[[#This Row],[Avg Price per (₹ / m³)]]/10000000)</f>
        <v>1.8302400000000001</v>
      </c>
      <c r="O1912" s="97" t="str">
        <f>IF(Market_Data[[#This Row],[Estimated Concrete Demand (m³)]]="","",
IF(Market_Data[[#This Row],[Estimated Concrete Demand (m³)]]&lt;10000,"Small",
IF(Market_Data[[#This Row],[Estimated Concrete Demand (m³)]]&lt;25000,"Medium",
IF(Market_Data[[#This Row],[Estimated Concrete Demand (m³)]]&lt;100000,"Large","Mega"))))</f>
        <v>Small</v>
      </c>
      <c r="P1912" s="287" t="str">
        <f t="shared" si="31"/>
        <v>GujRERA</v>
      </c>
    </row>
    <row r="1913" spans="1:16">
      <c r="A1913" s="129" t="str">
        <f>_xlfn.XLOOKUP(B1913,$S$9:$S$14,$T$9:$T$14)&amp;"-"&amp;
IF(E1913="Residential/Group Housing","RES",
IF(E1913="Commercial","COM",
IF(E1913="Mixed Development","MIX",
IF(E1913="Plotted Development","PLT","OTH"))))
&amp;"-"&amp;TEXT(COUNTIFS($B$9:B1913,B1913,$E$9:E1913,E1913),"0000")</f>
        <v>SUR-PLT-0346</v>
      </c>
      <c r="B1913" s="322" t="s">
        <v>34</v>
      </c>
      <c r="C1913" s="322" t="s">
        <v>34</v>
      </c>
      <c r="D1913" s="323" t="s">
        <v>2103</v>
      </c>
      <c r="E1913" s="132" t="s">
        <v>26</v>
      </c>
      <c r="F1913" s="97" t="str">
        <f ca="1">IF(OR(Market_Data[[#This Row],[Start Date]]="",Market_Data[[#This Row],[Completion Date]]=""),"Needs Validation",IF(Market_Data[[#This Row],[Start Date]]&gt;TODAY(),"Planned",IF(Market_Data[[#This Row],[Completion Date]]&lt;TODAY(),"Completed","Ongoing")))</f>
        <v>Ongoing</v>
      </c>
      <c r="G1913" s="324">
        <v>45238</v>
      </c>
      <c r="H1913" s="324">
        <v>47118</v>
      </c>
      <c r="I1913" s="325">
        <v>13500</v>
      </c>
      <c r="J191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13" s="133">
        <f>_xlfn.XLOOKUP(Market_Data[[#This Row],[Project Type]],tbl_assumptions_market[Project Category (RERA)],tbl_assumptions_market[Concrete Intensity
(m³ / sq m BUA)],"",0)</f>
        <v>0.18</v>
      </c>
      <c r="L1913" s="134">
        <f>ROUND(Market_Data[[#This Row],[Estimated Built Up Area (sq m)]]*Market_Data[[#This Row],[Concrete Intensity
(m³ / sq m)]],0)</f>
        <v>2430</v>
      </c>
      <c r="M1913" s="135">
        <f>_xlfn.XLOOKUP(Market_Data[[#This Row],[District]],tbl_district_price[District],tbl_district_price[Standard Price
(INR/m³)],"",0)</f>
        <v>6200</v>
      </c>
      <c r="N1913" s="364">
        <f>IF(OR(Market_Data[[#This Row],[Estimated Concrete Demand (m³)]]="",Market_Data[[#This Row],[Avg Price per (₹ / m³)]]=""),"",Market_Data[[#This Row],[Estimated Concrete Demand (m³)]]*Market_Data[[#This Row],[Avg Price per (₹ / m³)]]/10000000)</f>
        <v>1.5065999999999999</v>
      </c>
      <c r="O1913" s="97" t="str">
        <f>IF(Market_Data[[#This Row],[Estimated Concrete Demand (m³)]]="","",
IF(Market_Data[[#This Row],[Estimated Concrete Demand (m³)]]&lt;10000,"Small",
IF(Market_Data[[#This Row],[Estimated Concrete Demand (m³)]]&lt;25000,"Medium",
IF(Market_Data[[#This Row],[Estimated Concrete Demand (m³)]]&lt;100000,"Large","Mega"))))</f>
        <v>Small</v>
      </c>
      <c r="P1913" s="287" t="str">
        <f t="shared" si="31"/>
        <v>GujRERA</v>
      </c>
    </row>
    <row r="1914" spans="1:16">
      <c r="A1914" s="129" t="str">
        <f>_xlfn.XLOOKUP(B1914,$S$9:$S$14,$T$9:$T$14)&amp;"-"&amp;
IF(E1914="Residential/Group Housing","RES",
IF(E1914="Commercial","COM",
IF(E1914="Mixed Development","MIX",
IF(E1914="Plotted Development","PLT","OTH"))))
&amp;"-"&amp;TEXT(COUNTIFS($B$9:B1914,B1914,$E$9:E1914,E1914),"0000")</f>
        <v>SUR-RES-0625</v>
      </c>
      <c r="B1914" s="322" t="s">
        <v>34</v>
      </c>
      <c r="C1914" s="322" t="s">
        <v>34</v>
      </c>
      <c r="D1914" s="323" t="s">
        <v>2104</v>
      </c>
      <c r="E1914" s="132" t="s">
        <v>24</v>
      </c>
      <c r="F1914" s="97" t="str">
        <f ca="1">IF(OR(Market_Data[[#This Row],[Start Date]]="",Market_Data[[#This Row],[Completion Date]]=""),"Needs Validation",IF(Market_Data[[#This Row],[Start Date]]&gt;TODAY(),"Planned",IF(Market_Data[[#This Row],[Completion Date]]&lt;TODAY(),"Completed","Ongoing")))</f>
        <v>Completed</v>
      </c>
      <c r="G1914" s="324">
        <v>42990</v>
      </c>
      <c r="H1914" s="324">
        <v>45565</v>
      </c>
      <c r="I1914" s="325">
        <v>25000</v>
      </c>
      <c r="J191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14" s="133">
        <f>_xlfn.XLOOKUP(Market_Data[[#This Row],[Project Type]],tbl_assumptions_market[Project Category (RERA)],tbl_assumptions_market[Concrete Intensity
(m³ / sq m BUA)],"",0)</f>
        <v>0.45</v>
      </c>
      <c r="L1914" s="134">
        <f>ROUND(Market_Data[[#This Row],[Estimated Built Up Area (sq m)]]*Market_Data[[#This Row],[Concrete Intensity
(m³ / sq m)]],0)</f>
        <v>11250</v>
      </c>
      <c r="M1914" s="135">
        <f>_xlfn.XLOOKUP(Market_Data[[#This Row],[District]],tbl_district_price[District],tbl_district_price[Standard Price
(INR/m³)],"",0)</f>
        <v>6200</v>
      </c>
      <c r="N1914" s="364">
        <f>IF(OR(Market_Data[[#This Row],[Estimated Concrete Demand (m³)]]="",Market_Data[[#This Row],[Avg Price per (₹ / m³)]]=""),"",Market_Data[[#This Row],[Estimated Concrete Demand (m³)]]*Market_Data[[#This Row],[Avg Price per (₹ / m³)]]/10000000)</f>
        <v>6.9749999999999996</v>
      </c>
      <c r="O1914" s="97" t="str">
        <f>IF(Market_Data[[#This Row],[Estimated Concrete Demand (m³)]]="","",
IF(Market_Data[[#This Row],[Estimated Concrete Demand (m³)]]&lt;10000,"Small",
IF(Market_Data[[#This Row],[Estimated Concrete Demand (m³)]]&lt;25000,"Medium",
IF(Market_Data[[#This Row],[Estimated Concrete Demand (m³)]]&lt;100000,"Large","Mega"))))</f>
        <v>Medium</v>
      </c>
      <c r="P1914" s="287" t="str">
        <f t="shared" si="31"/>
        <v>GujRERA</v>
      </c>
    </row>
    <row r="1915" spans="1:16">
      <c r="A1915" s="129" t="str">
        <f>_xlfn.XLOOKUP(B1915,$S$9:$S$14,$T$9:$T$14)&amp;"-"&amp;
IF(E1915="Residential/Group Housing","RES",
IF(E1915="Commercial","COM",
IF(E1915="Mixed Development","MIX",
IF(E1915="Plotted Development","PLT","OTH"))))
&amp;"-"&amp;TEXT(COUNTIFS($B$9:B1915,B1915,$E$9:E1915,E1915),"0000")</f>
        <v>SUR-PLT-0347</v>
      </c>
      <c r="B1915" s="322" t="s">
        <v>34</v>
      </c>
      <c r="C1915" s="322" t="s">
        <v>34</v>
      </c>
      <c r="D1915" s="323" t="s">
        <v>2105</v>
      </c>
      <c r="E1915" s="132" t="s">
        <v>26</v>
      </c>
      <c r="F1915" s="97" t="str">
        <f ca="1">IF(OR(Market_Data[[#This Row],[Start Date]]="",Market_Data[[#This Row],[Completion Date]]=""),"Needs Validation",IF(Market_Data[[#This Row],[Start Date]]&gt;TODAY(),"Planned",IF(Market_Data[[#This Row],[Completion Date]]&lt;TODAY(),"Completed","Ongoing")))</f>
        <v>Ongoing</v>
      </c>
      <c r="G1915" s="324">
        <v>45234</v>
      </c>
      <c r="H1915" s="324">
        <v>46752</v>
      </c>
      <c r="I1915" s="325">
        <v>58000</v>
      </c>
      <c r="J191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915" s="133">
        <f>_xlfn.XLOOKUP(Market_Data[[#This Row],[Project Type]],tbl_assumptions_market[Project Category (RERA)],tbl_assumptions_market[Concrete Intensity
(m³ / sq m BUA)],"",0)</f>
        <v>0.18</v>
      </c>
      <c r="L1915" s="134">
        <f>ROUND(Market_Data[[#This Row],[Estimated Built Up Area (sq m)]]*Market_Data[[#This Row],[Concrete Intensity
(m³ / sq m)]],0)</f>
        <v>10440</v>
      </c>
      <c r="M1915" s="135">
        <f>_xlfn.XLOOKUP(Market_Data[[#This Row],[District]],tbl_district_price[District],tbl_district_price[Standard Price
(INR/m³)],"",0)</f>
        <v>6200</v>
      </c>
      <c r="N1915" s="364">
        <f>IF(OR(Market_Data[[#This Row],[Estimated Concrete Demand (m³)]]="",Market_Data[[#This Row],[Avg Price per (₹ / m³)]]=""),"",Market_Data[[#This Row],[Estimated Concrete Demand (m³)]]*Market_Data[[#This Row],[Avg Price per (₹ / m³)]]/10000000)</f>
        <v>6.4728000000000003</v>
      </c>
      <c r="O1915" s="97" t="str">
        <f>IF(Market_Data[[#This Row],[Estimated Concrete Demand (m³)]]="","",
IF(Market_Data[[#This Row],[Estimated Concrete Demand (m³)]]&lt;10000,"Small",
IF(Market_Data[[#This Row],[Estimated Concrete Demand (m³)]]&lt;25000,"Medium",
IF(Market_Data[[#This Row],[Estimated Concrete Demand (m³)]]&lt;100000,"Large","Mega"))))</f>
        <v>Medium</v>
      </c>
      <c r="P1915" s="287" t="str">
        <f t="shared" si="31"/>
        <v>GujRERA</v>
      </c>
    </row>
    <row r="1916" spans="1:16">
      <c r="A1916" s="129" t="str">
        <f>_xlfn.XLOOKUP(B1916,$S$9:$S$14,$T$9:$T$14)&amp;"-"&amp;
IF(E1916="Residential/Group Housing","RES",
IF(E1916="Commercial","COM",
IF(E1916="Mixed Development","MIX",
IF(E1916="Plotted Development","PLT","OTH"))))
&amp;"-"&amp;TEXT(COUNTIFS($B$9:B1916,B1916,$E$9:E1916,E1916),"0000")</f>
        <v>SUR-MIX-0317</v>
      </c>
      <c r="B1916" s="322" t="s">
        <v>34</v>
      </c>
      <c r="C1916" s="322" t="s">
        <v>34</v>
      </c>
      <c r="D1916" s="323" t="s">
        <v>2106</v>
      </c>
      <c r="E1916" s="132" t="s">
        <v>25</v>
      </c>
      <c r="F1916" s="97" t="str">
        <f ca="1">IF(OR(Market_Data[[#This Row],[Start Date]]="",Market_Data[[#This Row],[Completion Date]]=""),"Needs Validation",IF(Market_Data[[#This Row],[Start Date]]&gt;TODAY(),"Planned",IF(Market_Data[[#This Row],[Completion Date]]&lt;TODAY(),"Completed","Ongoing")))</f>
        <v>Completed</v>
      </c>
      <c r="G1916" s="324">
        <v>42475</v>
      </c>
      <c r="H1916" s="324">
        <v>45565</v>
      </c>
      <c r="I1916" s="325">
        <v>25500</v>
      </c>
      <c r="J191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16" s="133">
        <f>_xlfn.XLOOKUP(Market_Data[[#This Row],[Project Type]],tbl_assumptions_market[Project Category (RERA)],tbl_assumptions_market[Concrete Intensity
(m³ / sq m BUA)],"",0)</f>
        <v>0.42</v>
      </c>
      <c r="L1916" s="134">
        <f>ROUND(Market_Data[[#This Row],[Estimated Built Up Area (sq m)]]*Market_Data[[#This Row],[Concrete Intensity
(m³ / sq m)]],0)</f>
        <v>10710</v>
      </c>
      <c r="M1916" s="135">
        <f>_xlfn.XLOOKUP(Market_Data[[#This Row],[District]],tbl_district_price[District],tbl_district_price[Standard Price
(INR/m³)],"",0)</f>
        <v>6200</v>
      </c>
      <c r="N1916" s="364">
        <f>IF(OR(Market_Data[[#This Row],[Estimated Concrete Demand (m³)]]="",Market_Data[[#This Row],[Avg Price per (₹ / m³)]]=""),"",Market_Data[[#This Row],[Estimated Concrete Demand (m³)]]*Market_Data[[#This Row],[Avg Price per (₹ / m³)]]/10000000)</f>
        <v>6.6402000000000001</v>
      </c>
      <c r="O1916" s="97" t="str">
        <f>IF(Market_Data[[#This Row],[Estimated Concrete Demand (m³)]]="","",
IF(Market_Data[[#This Row],[Estimated Concrete Demand (m³)]]&lt;10000,"Small",
IF(Market_Data[[#This Row],[Estimated Concrete Demand (m³)]]&lt;25000,"Medium",
IF(Market_Data[[#This Row],[Estimated Concrete Demand (m³)]]&lt;100000,"Large","Mega"))))</f>
        <v>Medium</v>
      </c>
      <c r="P1916" s="287" t="str">
        <f t="shared" si="31"/>
        <v>GujRERA</v>
      </c>
    </row>
    <row r="1917" spans="1:16">
      <c r="A1917" s="129" t="str">
        <f>_xlfn.XLOOKUP(B1917,$S$9:$S$14,$T$9:$T$14)&amp;"-"&amp;
IF(E1917="Residential/Group Housing","RES",
IF(E1917="Commercial","COM",
IF(E1917="Mixed Development","MIX",
IF(E1917="Plotted Development","PLT","OTH"))))
&amp;"-"&amp;TEXT(COUNTIFS($B$9:B1917,B1917,$E$9:E1917,E1917),"0000")</f>
        <v>SUR-RES-0626</v>
      </c>
      <c r="B1917" s="322" t="s">
        <v>34</v>
      </c>
      <c r="C1917" s="322" t="s">
        <v>34</v>
      </c>
      <c r="D1917" s="323" t="s">
        <v>2107</v>
      </c>
      <c r="E1917" s="132" t="s">
        <v>24</v>
      </c>
      <c r="F1917" s="97" t="str">
        <f ca="1">IF(OR(Market_Data[[#This Row],[Start Date]]="",Market_Data[[#This Row],[Completion Date]]=""),"Needs Validation",IF(Market_Data[[#This Row],[Start Date]]&gt;TODAY(),"Planned",IF(Market_Data[[#This Row],[Completion Date]]&lt;TODAY(),"Completed","Ongoing")))</f>
        <v>Completed</v>
      </c>
      <c r="G1917" s="324">
        <v>43026</v>
      </c>
      <c r="H1917" s="324">
        <v>44196</v>
      </c>
      <c r="I1917" s="325">
        <v>41000</v>
      </c>
      <c r="J191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17" s="133">
        <f>_xlfn.XLOOKUP(Market_Data[[#This Row],[Project Type]],tbl_assumptions_market[Project Category (RERA)],tbl_assumptions_market[Concrete Intensity
(m³ / sq m BUA)],"",0)</f>
        <v>0.45</v>
      </c>
      <c r="L1917" s="134">
        <f>ROUND(Market_Data[[#This Row],[Estimated Built Up Area (sq m)]]*Market_Data[[#This Row],[Concrete Intensity
(m³ / sq m)]],0)</f>
        <v>18450</v>
      </c>
      <c r="M1917" s="135">
        <f>_xlfn.XLOOKUP(Market_Data[[#This Row],[District]],tbl_district_price[District],tbl_district_price[Standard Price
(INR/m³)],"",0)</f>
        <v>6200</v>
      </c>
      <c r="N1917" s="364">
        <f>IF(OR(Market_Data[[#This Row],[Estimated Concrete Demand (m³)]]="",Market_Data[[#This Row],[Avg Price per (₹ / m³)]]=""),"",Market_Data[[#This Row],[Estimated Concrete Demand (m³)]]*Market_Data[[#This Row],[Avg Price per (₹ / m³)]]/10000000)</f>
        <v>11.439</v>
      </c>
      <c r="O1917" s="97" t="str">
        <f>IF(Market_Data[[#This Row],[Estimated Concrete Demand (m³)]]="","",
IF(Market_Data[[#This Row],[Estimated Concrete Demand (m³)]]&lt;10000,"Small",
IF(Market_Data[[#This Row],[Estimated Concrete Demand (m³)]]&lt;25000,"Medium",
IF(Market_Data[[#This Row],[Estimated Concrete Demand (m³)]]&lt;100000,"Large","Mega"))))</f>
        <v>Medium</v>
      </c>
      <c r="P1917" s="287" t="str">
        <f t="shared" si="31"/>
        <v>GujRERA</v>
      </c>
    </row>
    <row r="1918" spans="1:16">
      <c r="A1918" s="129" t="str">
        <f>_xlfn.XLOOKUP(B1918,$S$9:$S$14,$T$9:$T$14)&amp;"-"&amp;
IF(E1918="Residential/Group Housing","RES",
IF(E1918="Commercial","COM",
IF(E1918="Mixed Development","MIX",
IF(E1918="Plotted Development","PLT","OTH"))))
&amp;"-"&amp;TEXT(COUNTIFS($B$9:B1918,B1918,$E$9:E1918,E1918),"0000")</f>
        <v>SUR-MIX-0318</v>
      </c>
      <c r="B1918" s="322" t="s">
        <v>34</v>
      </c>
      <c r="C1918" s="322" t="s">
        <v>34</v>
      </c>
      <c r="D1918" s="323" t="s">
        <v>2108</v>
      </c>
      <c r="E1918" s="132" t="s">
        <v>25</v>
      </c>
      <c r="F1918" s="97" t="str">
        <f ca="1">IF(OR(Market_Data[[#This Row],[Start Date]]="",Market_Data[[#This Row],[Completion Date]]=""),"Needs Validation",IF(Market_Data[[#This Row],[Start Date]]&gt;TODAY(),"Planned",IF(Market_Data[[#This Row],[Completion Date]]&lt;TODAY(),"Completed","Ongoing")))</f>
        <v>Completed</v>
      </c>
      <c r="G1918" s="324">
        <v>43888</v>
      </c>
      <c r="H1918" s="324">
        <v>46112</v>
      </c>
      <c r="I1918" s="325">
        <v>39400</v>
      </c>
      <c r="J191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18" s="133">
        <f>_xlfn.XLOOKUP(Market_Data[[#This Row],[Project Type]],tbl_assumptions_market[Project Category (RERA)],tbl_assumptions_market[Concrete Intensity
(m³ / sq m BUA)],"",0)</f>
        <v>0.42</v>
      </c>
      <c r="L1918" s="134">
        <f>ROUND(Market_Data[[#This Row],[Estimated Built Up Area (sq m)]]*Market_Data[[#This Row],[Concrete Intensity
(m³ / sq m)]],0)</f>
        <v>16548</v>
      </c>
      <c r="M1918" s="135">
        <f>_xlfn.XLOOKUP(Market_Data[[#This Row],[District]],tbl_district_price[District],tbl_district_price[Standard Price
(INR/m³)],"",0)</f>
        <v>6200</v>
      </c>
      <c r="N1918" s="364">
        <f>IF(OR(Market_Data[[#This Row],[Estimated Concrete Demand (m³)]]="",Market_Data[[#This Row],[Avg Price per (₹ / m³)]]=""),"",Market_Data[[#This Row],[Estimated Concrete Demand (m³)]]*Market_Data[[#This Row],[Avg Price per (₹ / m³)]]/10000000)</f>
        <v>10.25976</v>
      </c>
      <c r="O1918" s="97" t="str">
        <f>IF(Market_Data[[#This Row],[Estimated Concrete Demand (m³)]]="","",
IF(Market_Data[[#This Row],[Estimated Concrete Demand (m³)]]&lt;10000,"Small",
IF(Market_Data[[#This Row],[Estimated Concrete Demand (m³)]]&lt;25000,"Medium",
IF(Market_Data[[#This Row],[Estimated Concrete Demand (m³)]]&lt;100000,"Large","Mega"))))</f>
        <v>Medium</v>
      </c>
      <c r="P1918" s="287" t="str">
        <f t="shared" si="31"/>
        <v>GujRERA</v>
      </c>
    </row>
    <row r="1919" spans="1:16">
      <c r="A1919" s="129" t="str">
        <f>_xlfn.XLOOKUP(B1919,$S$9:$S$14,$T$9:$T$14)&amp;"-"&amp;
IF(E1919="Residential/Group Housing","RES",
IF(E1919="Commercial","COM",
IF(E1919="Mixed Development","MIX",
IF(E1919="Plotted Development","PLT","OTH"))))
&amp;"-"&amp;TEXT(COUNTIFS($B$9:B1919,B1919,$E$9:E1919,E1919),"0000")</f>
        <v>SUR-PLT-0348</v>
      </c>
      <c r="B1919" s="322" t="s">
        <v>34</v>
      </c>
      <c r="C1919" s="322" t="s">
        <v>34</v>
      </c>
      <c r="D1919" s="323" t="s">
        <v>2109</v>
      </c>
      <c r="E1919" s="132" t="s">
        <v>26</v>
      </c>
      <c r="F1919" s="97" t="str">
        <f ca="1">IF(OR(Market_Data[[#This Row],[Start Date]]="",Market_Data[[#This Row],[Completion Date]]=""),"Needs Validation",IF(Market_Data[[#This Row],[Start Date]]&gt;TODAY(),"Planned",IF(Market_Data[[#This Row],[Completion Date]]&lt;TODAY(),"Completed","Ongoing")))</f>
        <v>Ongoing</v>
      </c>
      <c r="G1919" s="324">
        <v>44777</v>
      </c>
      <c r="H1919" s="324">
        <v>46752</v>
      </c>
      <c r="I1919" s="325">
        <v>51200</v>
      </c>
      <c r="J191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919" s="133">
        <f>_xlfn.XLOOKUP(Market_Data[[#This Row],[Project Type]],tbl_assumptions_market[Project Category (RERA)],tbl_assumptions_market[Concrete Intensity
(m³ / sq m BUA)],"",0)</f>
        <v>0.18</v>
      </c>
      <c r="L1919" s="134">
        <f>ROUND(Market_Data[[#This Row],[Estimated Built Up Area (sq m)]]*Market_Data[[#This Row],[Concrete Intensity
(m³ / sq m)]],0)</f>
        <v>9216</v>
      </c>
      <c r="M1919" s="135">
        <f>_xlfn.XLOOKUP(Market_Data[[#This Row],[District]],tbl_district_price[District],tbl_district_price[Standard Price
(INR/m³)],"",0)</f>
        <v>6200</v>
      </c>
      <c r="N1919" s="364">
        <f>IF(OR(Market_Data[[#This Row],[Estimated Concrete Demand (m³)]]="",Market_Data[[#This Row],[Avg Price per (₹ / m³)]]=""),"",Market_Data[[#This Row],[Estimated Concrete Demand (m³)]]*Market_Data[[#This Row],[Avg Price per (₹ / m³)]]/10000000)</f>
        <v>5.7139199999999999</v>
      </c>
      <c r="O1919" s="97" t="str">
        <f>IF(Market_Data[[#This Row],[Estimated Concrete Demand (m³)]]="","",
IF(Market_Data[[#This Row],[Estimated Concrete Demand (m³)]]&lt;10000,"Small",
IF(Market_Data[[#This Row],[Estimated Concrete Demand (m³)]]&lt;25000,"Medium",
IF(Market_Data[[#This Row],[Estimated Concrete Demand (m³)]]&lt;100000,"Large","Mega"))))</f>
        <v>Small</v>
      </c>
      <c r="P1919" s="287" t="str">
        <f t="shared" si="31"/>
        <v>GujRERA</v>
      </c>
    </row>
    <row r="1920" spans="1:16">
      <c r="A1920" s="129" t="str">
        <f>_xlfn.XLOOKUP(B1920,$S$9:$S$14,$T$9:$T$14)&amp;"-"&amp;
IF(E1920="Residential/Group Housing","RES",
IF(E1920="Commercial","COM",
IF(E1920="Mixed Development","MIX",
IF(E1920="Plotted Development","PLT","OTH"))))
&amp;"-"&amp;TEXT(COUNTIFS($B$9:B1920,B1920,$E$9:E1920,E1920),"0000")</f>
        <v>SUR-MIX-0319</v>
      </c>
      <c r="B1920" s="322" t="s">
        <v>34</v>
      </c>
      <c r="C1920" s="322" t="s">
        <v>34</v>
      </c>
      <c r="D1920" s="323" t="s">
        <v>2110</v>
      </c>
      <c r="E1920" s="132" t="s">
        <v>25</v>
      </c>
      <c r="F1920" s="97" t="str">
        <f ca="1">IF(OR(Market_Data[[#This Row],[Start Date]]="",Market_Data[[#This Row],[Completion Date]]=""),"Needs Validation",IF(Market_Data[[#This Row],[Start Date]]&gt;TODAY(),"Planned",IF(Market_Data[[#This Row],[Completion Date]]&lt;TODAY(),"Completed","Ongoing")))</f>
        <v>Ongoing</v>
      </c>
      <c r="G1920" s="324">
        <v>45869</v>
      </c>
      <c r="H1920" s="324">
        <v>48579</v>
      </c>
      <c r="I1920" s="325">
        <v>57700</v>
      </c>
      <c r="J192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20" s="133">
        <f>_xlfn.XLOOKUP(Market_Data[[#This Row],[Project Type]],tbl_assumptions_market[Project Category (RERA)],tbl_assumptions_market[Concrete Intensity
(m³ / sq m BUA)],"",0)</f>
        <v>0.42</v>
      </c>
      <c r="L1920" s="134">
        <f>ROUND(Market_Data[[#This Row],[Estimated Built Up Area (sq m)]]*Market_Data[[#This Row],[Concrete Intensity
(m³ / sq m)]],0)</f>
        <v>24234</v>
      </c>
      <c r="M1920" s="135">
        <f>_xlfn.XLOOKUP(Market_Data[[#This Row],[District]],tbl_district_price[District],tbl_district_price[Standard Price
(INR/m³)],"",0)</f>
        <v>6200</v>
      </c>
      <c r="N1920" s="364">
        <f>IF(OR(Market_Data[[#This Row],[Estimated Concrete Demand (m³)]]="",Market_Data[[#This Row],[Avg Price per (₹ / m³)]]=""),"",Market_Data[[#This Row],[Estimated Concrete Demand (m³)]]*Market_Data[[#This Row],[Avg Price per (₹ / m³)]]/10000000)</f>
        <v>15.025080000000001</v>
      </c>
      <c r="O1920" s="97" t="str">
        <f>IF(Market_Data[[#This Row],[Estimated Concrete Demand (m³)]]="","",
IF(Market_Data[[#This Row],[Estimated Concrete Demand (m³)]]&lt;10000,"Small",
IF(Market_Data[[#This Row],[Estimated Concrete Demand (m³)]]&lt;25000,"Medium",
IF(Market_Data[[#This Row],[Estimated Concrete Demand (m³)]]&lt;100000,"Large","Mega"))))</f>
        <v>Medium</v>
      </c>
      <c r="P1920" s="287" t="str">
        <f t="shared" si="31"/>
        <v>GujRERA</v>
      </c>
    </row>
    <row r="1921" spans="1:16">
      <c r="A1921" s="129" t="str">
        <f>_xlfn.XLOOKUP(B1921,$S$9:$S$14,$T$9:$T$14)&amp;"-"&amp;
IF(E1921="Residential/Group Housing","RES",
IF(E1921="Commercial","COM",
IF(E1921="Mixed Development","MIX",
IF(E1921="Plotted Development","PLT","OTH"))))
&amp;"-"&amp;TEXT(COUNTIFS($B$9:B1921,B1921,$E$9:E1921,E1921),"0000")</f>
        <v>SUR-MIX-0320</v>
      </c>
      <c r="B1921" s="322" t="s">
        <v>34</v>
      </c>
      <c r="C1921" s="322" t="s">
        <v>34</v>
      </c>
      <c r="D1921" s="323" t="s">
        <v>2111</v>
      </c>
      <c r="E1921" s="132" t="s">
        <v>25</v>
      </c>
      <c r="F1921" s="97" t="str">
        <f ca="1">IF(OR(Market_Data[[#This Row],[Start Date]]="",Market_Data[[#This Row],[Completion Date]]=""),"Needs Validation",IF(Market_Data[[#This Row],[Start Date]]&gt;TODAY(),"Planned",IF(Market_Data[[#This Row],[Completion Date]]&lt;TODAY(),"Completed","Ongoing")))</f>
        <v>Ongoing</v>
      </c>
      <c r="G1921" s="324">
        <v>44835</v>
      </c>
      <c r="H1921" s="324">
        <v>46752</v>
      </c>
      <c r="I1921" s="325">
        <v>9100</v>
      </c>
      <c r="J192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921" s="133">
        <f>_xlfn.XLOOKUP(Market_Data[[#This Row],[Project Type]],tbl_assumptions_market[Project Category (RERA)],tbl_assumptions_market[Concrete Intensity
(m³ / sq m BUA)],"",0)</f>
        <v>0.42</v>
      </c>
      <c r="L1921" s="134">
        <f>ROUND(Market_Data[[#This Row],[Estimated Built Up Area (sq m)]]*Market_Data[[#This Row],[Concrete Intensity
(m³ / sq m)]],0)</f>
        <v>3822</v>
      </c>
      <c r="M1921" s="135">
        <f>_xlfn.XLOOKUP(Market_Data[[#This Row],[District]],tbl_district_price[District],tbl_district_price[Standard Price
(INR/m³)],"",0)</f>
        <v>6200</v>
      </c>
      <c r="N1921" s="364">
        <f>IF(OR(Market_Data[[#This Row],[Estimated Concrete Demand (m³)]]="",Market_Data[[#This Row],[Avg Price per (₹ / m³)]]=""),"",Market_Data[[#This Row],[Estimated Concrete Demand (m³)]]*Market_Data[[#This Row],[Avg Price per (₹ / m³)]]/10000000)</f>
        <v>2.36964</v>
      </c>
      <c r="O1921" s="97" t="str">
        <f>IF(Market_Data[[#This Row],[Estimated Concrete Demand (m³)]]="","",
IF(Market_Data[[#This Row],[Estimated Concrete Demand (m³)]]&lt;10000,"Small",
IF(Market_Data[[#This Row],[Estimated Concrete Demand (m³)]]&lt;25000,"Medium",
IF(Market_Data[[#This Row],[Estimated Concrete Demand (m³)]]&lt;100000,"Large","Mega"))))</f>
        <v>Small</v>
      </c>
      <c r="P1921" s="287" t="str">
        <f t="shared" si="31"/>
        <v>GujRERA</v>
      </c>
    </row>
    <row r="1922" spans="1:16">
      <c r="A1922" s="129" t="str">
        <f>_xlfn.XLOOKUP(B1922,$S$9:$S$14,$T$9:$T$14)&amp;"-"&amp;
IF(E1922="Residential/Group Housing","RES",
IF(E1922="Commercial","COM",
IF(E1922="Mixed Development","MIX",
IF(E1922="Plotted Development","PLT","OTH"))))
&amp;"-"&amp;TEXT(COUNTIFS($B$9:B1922,B1922,$E$9:E1922,E1922),"0000")</f>
        <v>SUR-PLT-0349</v>
      </c>
      <c r="B1922" s="322" t="s">
        <v>34</v>
      </c>
      <c r="C1922" s="322" t="s">
        <v>34</v>
      </c>
      <c r="D1922" s="323" t="s">
        <v>2112</v>
      </c>
      <c r="E1922" s="132" t="s">
        <v>26</v>
      </c>
      <c r="F1922" s="97" t="str">
        <f ca="1">IF(OR(Market_Data[[#This Row],[Start Date]]="",Market_Data[[#This Row],[Completion Date]]=""),"Needs Validation",IF(Market_Data[[#This Row],[Start Date]]&gt;TODAY(),"Planned",IF(Market_Data[[#This Row],[Completion Date]]&lt;TODAY(),"Completed","Ongoing")))</f>
        <v>Ongoing</v>
      </c>
      <c r="G1922" s="324">
        <v>45240</v>
      </c>
      <c r="H1922" s="324">
        <v>46387</v>
      </c>
      <c r="I1922" s="325">
        <v>26500</v>
      </c>
      <c r="J192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22" s="133">
        <f>_xlfn.XLOOKUP(Market_Data[[#This Row],[Project Type]],tbl_assumptions_market[Project Category (RERA)],tbl_assumptions_market[Concrete Intensity
(m³ / sq m BUA)],"",0)</f>
        <v>0.18</v>
      </c>
      <c r="L1922" s="134">
        <f>ROUND(Market_Data[[#This Row],[Estimated Built Up Area (sq m)]]*Market_Data[[#This Row],[Concrete Intensity
(m³ / sq m)]],0)</f>
        <v>4770</v>
      </c>
      <c r="M1922" s="135">
        <f>_xlfn.XLOOKUP(Market_Data[[#This Row],[District]],tbl_district_price[District],tbl_district_price[Standard Price
(INR/m³)],"",0)</f>
        <v>6200</v>
      </c>
      <c r="N1922" s="364">
        <f>IF(OR(Market_Data[[#This Row],[Estimated Concrete Demand (m³)]]="",Market_Data[[#This Row],[Avg Price per (₹ / m³)]]=""),"",Market_Data[[#This Row],[Estimated Concrete Demand (m³)]]*Market_Data[[#This Row],[Avg Price per (₹ / m³)]]/10000000)</f>
        <v>2.9573999999999998</v>
      </c>
      <c r="O1922" s="97" t="str">
        <f>IF(Market_Data[[#This Row],[Estimated Concrete Demand (m³)]]="","",
IF(Market_Data[[#This Row],[Estimated Concrete Demand (m³)]]&lt;10000,"Small",
IF(Market_Data[[#This Row],[Estimated Concrete Demand (m³)]]&lt;25000,"Medium",
IF(Market_Data[[#This Row],[Estimated Concrete Demand (m³)]]&lt;100000,"Large","Mega"))))</f>
        <v>Small</v>
      </c>
      <c r="P1922" s="287" t="str">
        <f t="shared" si="31"/>
        <v>GujRERA</v>
      </c>
    </row>
    <row r="1923" spans="1:16">
      <c r="A1923" s="129" t="str">
        <f>_xlfn.XLOOKUP(B1923,$S$9:$S$14,$T$9:$T$14)&amp;"-"&amp;
IF(E1923="Residential/Group Housing","RES",
IF(E1923="Commercial","COM",
IF(E1923="Mixed Development","MIX",
IF(E1923="Plotted Development","PLT","OTH"))))
&amp;"-"&amp;TEXT(COUNTIFS($B$9:B1923,B1923,$E$9:E1923,E1923),"0000")</f>
        <v>SUR-MIX-0321</v>
      </c>
      <c r="B1923" s="322" t="s">
        <v>34</v>
      </c>
      <c r="C1923" s="322" t="s">
        <v>34</v>
      </c>
      <c r="D1923" s="323" t="s">
        <v>2113</v>
      </c>
      <c r="E1923" s="132" t="s">
        <v>25</v>
      </c>
      <c r="F1923" s="97" t="str">
        <f ca="1">IF(OR(Market_Data[[#This Row],[Start Date]]="",Market_Data[[#This Row],[Completion Date]]=""),"Needs Validation",IF(Market_Data[[#This Row],[Start Date]]&gt;TODAY(),"Planned",IF(Market_Data[[#This Row],[Completion Date]]&lt;TODAY(),"Completed","Ongoing")))</f>
        <v>Ongoing</v>
      </c>
      <c r="G1923" s="324">
        <v>45092</v>
      </c>
      <c r="H1923" s="324">
        <v>47483</v>
      </c>
      <c r="I1923" s="325">
        <v>10400</v>
      </c>
      <c r="J192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23" s="133">
        <f>_xlfn.XLOOKUP(Market_Data[[#This Row],[Project Type]],tbl_assumptions_market[Project Category (RERA)],tbl_assumptions_market[Concrete Intensity
(m³ / sq m BUA)],"",0)</f>
        <v>0.42</v>
      </c>
      <c r="L1923" s="134">
        <f>ROUND(Market_Data[[#This Row],[Estimated Built Up Area (sq m)]]*Market_Data[[#This Row],[Concrete Intensity
(m³ / sq m)]],0)</f>
        <v>4368</v>
      </c>
      <c r="M1923" s="135">
        <f>_xlfn.XLOOKUP(Market_Data[[#This Row],[District]],tbl_district_price[District],tbl_district_price[Standard Price
(INR/m³)],"",0)</f>
        <v>6200</v>
      </c>
      <c r="N1923" s="364">
        <f>IF(OR(Market_Data[[#This Row],[Estimated Concrete Demand (m³)]]="",Market_Data[[#This Row],[Avg Price per (₹ / m³)]]=""),"",Market_Data[[#This Row],[Estimated Concrete Demand (m³)]]*Market_Data[[#This Row],[Avg Price per (₹ / m³)]]/10000000)</f>
        <v>2.7081599999999999</v>
      </c>
      <c r="O1923" s="97" t="str">
        <f>IF(Market_Data[[#This Row],[Estimated Concrete Demand (m³)]]="","",
IF(Market_Data[[#This Row],[Estimated Concrete Demand (m³)]]&lt;10000,"Small",
IF(Market_Data[[#This Row],[Estimated Concrete Demand (m³)]]&lt;25000,"Medium",
IF(Market_Data[[#This Row],[Estimated Concrete Demand (m³)]]&lt;100000,"Large","Mega"))))</f>
        <v>Small</v>
      </c>
      <c r="P1923" s="287" t="str">
        <f t="shared" si="31"/>
        <v>GujRERA</v>
      </c>
    </row>
    <row r="1924" spans="1:16">
      <c r="A1924" s="129" t="str">
        <f>_xlfn.XLOOKUP(B1924,$S$9:$S$14,$T$9:$T$14)&amp;"-"&amp;
IF(E1924="Residential/Group Housing","RES",
IF(E1924="Commercial","COM",
IF(E1924="Mixed Development","MIX",
IF(E1924="Plotted Development","PLT","OTH"))))
&amp;"-"&amp;TEXT(COUNTIFS($B$9:B1924,B1924,$E$9:E1924,E1924),"0000")</f>
        <v>SUR-MIX-0322</v>
      </c>
      <c r="B1924" s="322" t="s">
        <v>34</v>
      </c>
      <c r="C1924" s="322" t="s">
        <v>34</v>
      </c>
      <c r="D1924" s="323" t="s">
        <v>2114</v>
      </c>
      <c r="E1924" s="132" t="s">
        <v>25</v>
      </c>
      <c r="F1924" s="97" t="str">
        <f ca="1">IF(OR(Market_Data[[#This Row],[Start Date]]="",Market_Data[[#This Row],[Completion Date]]=""),"Needs Validation",IF(Market_Data[[#This Row],[Start Date]]&gt;TODAY(),"Planned",IF(Market_Data[[#This Row],[Completion Date]]&lt;TODAY(),"Completed","Ongoing")))</f>
        <v>Completed</v>
      </c>
      <c r="G1924" s="324">
        <v>41708</v>
      </c>
      <c r="H1924" s="324">
        <v>44834</v>
      </c>
      <c r="I1924" s="325">
        <v>17600</v>
      </c>
      <c r="J192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24" s="133">
        <f>_xlfn.XLOOKUP(Market_Data[[#This Row],[Project Type]],tbl_assumptions_market[Project Category (RERA)],tbl_assumptions_market[Concrete Intensity
(m³ / sq m BUA)],"",0)</f>
        <v>0.42</v>
      </c>
      <c r="L1924" s="134">
        <f>ROUND(Market_Data[[#This Row],[Estimated Built Up Area (sq m)]]*Market_Data[[#This Row],[Concrete Intensity
(m³ / sq m)]],0)</f>
        <v>7392</v>
      </c>
      <c r="M1924" s="135">
        <f>_xlfn.XLOOKUP(Market_Data[[#This Row],[District]],tbl_district_price[District],tbl_district_price[Standard Price
(INR/m³)],"",0)</f>
        <v>6200</v>
      </c>
      <c r="N1924" s="364">
        <f>IF(OR(Market_Data[[#This Row],[Estimated Concrete Demand (m³)]]="",Market_Data[[#This Row],[Avg Price per (₹ / m³)]]=""),"",Market_Data[[#This Row],[Estimated Concrete Demand (m³)]]*Market_Data[[#This Row],[Avg Price per (₹ / m³)]]/10000000)</f>
        <v>4.5830399999999996</v>
      </c>
      <c r="O1924" s="97" t="str">
        <f>IF(Market_Data[[#This Row],[Estimated Concrete Demand (m³)]]="","",
IF(Market_Data[[#This Row],[Estimated Concrete Demand (m³)]]&lt;10000,"Small",
IF(Market_Data[[#This Row],[Estimated Concrete Demand (m³)]]&lt;25000,"Medium",
IF(Market_Data[[#This Row],[Estimated Concrete Demand (m³)]]&lt;100000,"Large","Mega"))))</f>
        <v>Small</v>
      </c>
      <c r="P1924" s="287" t="str">
        <f t="shared" si="31"/>
        <v>GujRERA</v>
      </c>
    </row>
    <row r="1925" spans="1:16">
      <c r="A1925" s="129" t="str">
        <f>_xlfn.XLOOKUP(B1925,$S$9:$S$14,$T$9:$T$14)&amp;"-"&amp;
IF(E1925="Residential/Group Housing","RES",
IF(E1925="Commercial","COM",
IF(E1925="Mixed Development","MIX",
IF(E1925="Plotted Development","PLT","OTH"))))
&amp;"-"&amp;TEXT(COUNTIFS($B$9:B1925,B1925,$E$9:E1925,E1925),"0000")</f>
        <v>SUR-RES-0627</v>
      </c>
      <c r="B1925" s="322" t="s">
        <v>34</v>
      </c>
      <c r="C1925" s="322" t="s">
        <v>34</v>
      </c>
      <c r="D1925" s="323" t="s">
        <v>2115</v>
      </c>
      <c r="E1925" s="132" t="s">
        <v>24</v>
      </c>
      <c r="F1925" s="97" t="str">
        <f ca="1">IF(OR(Market_Data[[#This Row],[Start Date]]="",Market_Data[[#This Row],[Completion Date]]=""),"Needs Validation",IF(Market_Data[[#This Row],[Start Date]]&gt;TODAY(),"Planned",IF(Market_Data[[#This Row],[Completion Date]]&lt;TODAY(),"Completed","Ongoing")))</f>
        <v>Ongoing</v>
      </c>
      <c r="G1925" s="324">
        <v>45017</v>
      </c>
      <c r="H1925" s="324">
        <v>46295</v>
      </c>
      <c r="I1925" s="325">
        <v>41600</v>
      </c>
      <c r="J192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25" s="133">
        <f>_xlfn.XLOOKUP(Market_Data[[#This Row],[Project Type]],tbl_assumptions_market[Project Category (RERA)],tbl_assumptions_market[Concrete Intensity
(m³ / sq m BUA)],"",0)</f>
        <v>0.45</v>
      </c>
      <c r="L1925" s="134">
        <f>ROUND(Market_Data[[#This Row],[Estimated Built Up Area (sq m)]]*Market_Data[[#This Row],[Concrete Intensity
(m³ / sq m)]],0)</f>
        <v>18720</v>
      </c>
      <c r="M1925" s="135">
        <f>_xlfn.XLOOKUP(Market_Data[[#This Row],[District]],tbl_district_price[District],tbl_district_price[Standard Price
(INR/m³)],"",0)</f>
        <v>6200</v>
      </c>
      <c r="N1925" s="364">
        <f>IF(OR(Market_Data[[#This Row],[Estimated Concrete Demand (m³)]]="",Market_Data[[#This Row],[Avg Price per (₹ / m³)]]=""),"",Market_Data[[#This Row],[Estimated Concrete Demand (m³)]]*Market_Data[[#This Row],[Avg Price per (₹ / m³)]]/10000000)</f>
        <v>11.606400000000001</v>
      </c>
      <c r="O1925" s="97" t="str">
        <f>IF(Market_Data[[#This Row],[Estimated Concrete Demand (m³)]]="","",
IF(Market_Data[[#This Row],[Estimated Concrete Demand (m³)]]&lt;10000,"Small",
IF(Market_Data[[#This Row],[Estimated Concrete Demand (m³)]]&lt;25000,"Medium",
IF(Market_Data[[#This Row],[Estimated Concrete Demand (m³)]]&lt;100000,"Large","Mega"))))</f>
        <v>Medium</v>
      </c>
      <c r="P1925" s="287" t="str">
        <f t="shared" si="31"/>
        <v>GujRERA</v>
      </c>
    </row>
    <row r="1926" spans="1:16">
      <c r="A1926" s="129" t="str">
        <f>_xlfn.XLOOKUP(B1926,$S$9:$S$14,$T$9:$T$14)&amp;"-"&amp;
IF(E1926="Residential/Group Housing","RES",
IF(E1926="Commercial","COM",
IF(E1926="Mixed Development","MIX",
IF(E1926="Plotted Development","PLT","OTH"))))
&amp;"-"&amp;TEXT(COUNTIFS($B$9:B1926,B1926,$E$9:E1926,E1926),"0000")</f>
        <v>SUR-RES-0628</v>
      </c>
      <c r="B1926" s="322" t="s">
        <v>34</v>
      </c>
      <c r="C1926" s="322" t="s">
        <v>34</v>
      </c>
      <c r="D1926" s="323" t="s">
        <v>2116</v>
      </c>
      <c r="E1926" s="132" t="s">
        <v>24</v>
      </c>
      <c r="F1926" s="97" t="str">
        <f ca="1">IF(OR(Market_Data[[#This Row],[Start Date]]="",Market_Data[[#This Row],[Completion Date]]=""),"Needs Validation",IF(Market_Data[[#This Row],[Start Date]]&gt;TODAY(),"Planned",IF(Market_Data[[#This Row],[Completion Date]]&lt;TODAY(),"Completed","Ongoing")))</f>
        <v>Completed</v>
      </c>
      <c r="G1926" s="324">
        <v>43528</v>
      </c>
      <c r="H1926" s="324">
        <v>45930</v>
      </c>
      <c r="I1926" s="325">
        <v>13600</v>
      </c>
      <c r="J192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26" s="133">
        <f>_xlfn.XLOOKUP(Market_Data[[#This Row],[Project Type]],tbl_assumptions_market[Project Category (RERA)],tbl_assumptions_market[Concrete Intensity
(m³ / sq m BUA)],"",0)</f>
        <v>0.45</v>
      </c>
      <c r="L1926" s="134">
        <f>ROUND(Market_Data[[#This Row],[Estimated Built Up Area (sq m)]]*Market_Data[[#This Row],[Concrete Intensity
(m³ / sq m)]],0)</f>
        <v>6120</v>
      </c>
      <c r="M1926" s="135">
        <f>_xlfn.XLOOKUP(Market_Data[[#This Row],[District]],tbl_district_price[District],tbl_district_price[Standard Price
(INR/m³)],"",0)</f>
        <v>6200</v>
      </c>
      <c r="N1926" s="364">
        <f>IF(OR(Market_Data[[#This Row],[Estimated Concrete Demand (m³)]]="",Market_Data[[#This Row],[Avg Price per (₹ / m³)]]=""),"",Market_Data[[#This Row],[Estimated Concrete Demand (m³)]]*Market_Data[[#This Row],[Avg Price per (₹ / m³)]]/10000000)</f>
        <v>3.7944</v>
      </c>
      <c r="O1926" s="97" t="str">
        <f>IF(Market_Data[[#This Row],[Estimated Concrete Demand (m³)]]="","",
IF(Market_Data[[#This Row],[Estimated Concrete Demand (m³)]]&lt;10000,"Small",
IF(Market_Data[[#This Row],[Estimated Concrete Demand (m³)]]&lt;25000,"Medium",
IF(Market_Data[[#This Row],[Estimated Concrete Demand (m³)]]&lt;100000,"Large","Mega"))))</f>
        <v>Small</v>
      </c>
      <c r="P1926" s="287" t="str">
        <f t="shared" si="31"/>
        <v>GujRERA</v>
      </c>
    </row>
    <row r="1927" spans="1:16">
      <c r="A1927" s="129" t="str">
        <f>_xlfn.XLOOKUP(B1927,$S$9:$S$14,$T$9:$T$14)&amp;"-"&amp;
IF(E1927="Residential/Group Housing","RES",
IF(E1927="Commercial","COM",
IF(E1927="Mixed Development","MIX",
IF(E1927="Plotted Development","PLT","OTH"))))
&amp;"-"&amp;TEXT(COUNTIFS($B$9:B1927,B1927,$E$9:E1927,E1927),"0000")</f>
        <v>SUR-RES-0629</v>
      </c>
      <c r="B1927" s="322" t="s">
        <v>34</v>
      </c>
      <c r="C1927" s="322" t="s">
        <v>34</v>
      </c>
      <c r="D1927" s="323" t="s">
        <v>2117</v>
      </c>
      <c r="E1927" s="132" t="s">
        <v>24</v>
      </c>
      <c r="F1927" s="97" t="str">
        <f ca="1">IF(OR(Market_Data[[#This Row],[Start Date]]="",Market_Data[[#This Row],[Completion Date]]=""),"Needs Validation",IF(Market_Data[[#This Row],[Start Date]]&gt;TODAY(),"Planned",IF(Market_Data[[#This Row],[Completion Date]]&lt;TODAY(),"Completed","Ongoing")))</f>
        <v>Completed</v>
      </c>
      <c r="G1927" s="324">
        <v>40970</v>
      </c>
      <c r="H1927" s="324">
        <v>44377</v>
      </c>
      <c r="I1927" s="325">
        <v>17600</v>
      </c>
      <c r="J192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27" s="133">
        <f>_xlfn.XLOOKUP(Market_Data[[#This Row],[Project Type]],tbl_assumptions_market[Project Category (RERA)],tbl_assumptions_market[Concrete Intensity
(m³ / sq m BUA)],"",0)</f>
        <v>0.45</v>
      </c>
      <c r="L1927" s="134">
        <f>ROUND(Market_Data[[#This Row],[Estimated Built Up Area (sq m)]]*Market_Data[[#This Row],[Concrete Intensity
(m³ / sq m)]],0)</f>
        <v>7920</v>
      </c>
      <c r="M1927" s="135">
        <f>_xlfn.XLOOKUP(Market_Data[[#This Row],[District]],tbl_district_price[District],tbl_district_price[Standard Price
(INR/m³)],"",0)</f>
        <v>6200</v>
      </c>
      <c r="N1927" s="364">
        <f>IF(OR(Market_Data[[#This Row],[Estimated Concrete Demand (m³)]]="",Market_Data[[#This Row],[Avg Price per (₹ / m³)]]=""),"",Market_Data[[#This Row],[Estimated Concrete Demand (m³)]]*Market_Data[[#This Row],[Avg Price per (₹ / m³)]]/10000000)</f>
        <v>4.9104000000000001</v>
      </c>
      <c r="O1927" s="97" t="str">
        <f>IF(Market_Data[[#This Row],[Estimated Concrete Demand (m³)]]="","",
IF(Market_Data[[#This Row],[Estimated Concrete Demand (m³)]]&lt;10000,"Small",
IF(Market_Data[[#This Row],[Estimated Concrete Demand (m³)]]&lt;25000,"Medium",
IF(Market_Data[[#This Row],[Estimated Concrete Demand (m³)]]&lt;100000,"Large","Mega"))))</f>
        <v>Small</v>
      </c>
      <c r="P1927" s="287" t="str">
        <f t="shared" si="31"/>
        <v>GujRERA</v>
      </c>
    </row>
    <row r="1928" spans="1:16">
      <c r="A1928" s="129" t="str">
        <f>_xlfn.XLOOKUP(B1928,$S$9:$S$14,$T$9:$T$14)&amp;"-"&amp;
IF(E1928="Residential/Group Housing","RES",
IF(E1928="Commercial","COM",
IF(E1928="Mixed Development","MIX",
IF(E1928="Plotted Development","PLT","OTH"))))
&amp;"-"&amp;TEXT(COUNTIFS($B$9:B1928,B1928,$E$9:E1928,E1928),"0000")</f>
        <v>SUR-RES-0630</v>
      </c>
      <c r="B1928" s="322" t="s">
        <v>34</v>
      </c>
      <c r="C1928" s="322" t="s">
        <v>34</v>
      </c>
      <c r="D1928" s="323" t="s">
        <v>2118</v>
      </c>
      <c r="E1928" s="132" t="s">
        <v>24</v>
      </c>
      <c r="F1928" s="97" t="str">
        <f ca="1">IF(OR(Market_Data[[#This Row],[Start Date]]="",Market_Data[[#This Row],[Completion Date]]=""),"Needs Validation",IF(Market_Data[[#This Row],[Start Date]]&gt;TODAY(),"Planned",IF(Market_Data[[#This Row],[Completion Date]]&lt;TODAY(),"Completed","Ongoing")))</f>
        <v>Completed</v>
      </c>
      <c r="G1928" s="324">
        <v>42163</v>
      </c>
      <c r="H1928" s="324">
        <v>44104</v>
      </c>
      <c r="I1928" s="325">
        <v>30500</v>
      </c>
      <c r="J192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28" s="133">
        <f>_xlfn.XLOOKUP(Market_Data[[#This Row],[Project Type]],tbl_assumptions_market[Project Category (RERA)],tbl_assumptions_market[Concrete Intensity
(m³ / sq m BUA)],"",0)</f>
        <v>0.45</v>
      </c>
      <c r="L1928" s="134">
        <f>ROUND(Market_Data[[#This Row],[Estimated Built Up Area (sq m)]]*Market_Data[[#This Row],[Concrete Intensity
(m³ / sq m)]],0)</f>
        <v>13725</v>
      </c>
      <c r="M1928" s="135">
        <f>_xlfn.XLOOKUP(Market_Data[[#This Row],[District]],tbl_district_price[District],tbl_district_price[Standard Price
(INR/m³)],"",0)</f>
        <v>6200</v>
      </c>
      <c r="N1928" s="364">
        <f>IF(OR(Market_Data[[#This Row],[Estimated Concrete Demand (m³)]]="",Market_Data[[#This Row],[Avg Price per (₹ / m³)]]=""),"",Market_Data[[#This Row],[Estimated Concrete Demand (m³)]]*Market_Data[[#This Row],[Avg Price per (₹ / m³)]]/10000000)</f>
        <v>8.5094999999999992</v>
      </c>
      <c r="O1928" s="97" t="str">
        <f>IF(Market_Data[[#This Row],[Estimated Concrete Demand (m³)]]="","",
IF(Market_Data[[#This Row],[Estimated Concrete Demand (m³)]]&lt;10000,"Small",
IF(Market_Data[[#This Row],[Estimated Concrete Demand (m³)]]&lt;25000,"Medium",
IF(Market_Data[[#This Row],[Estimated Concrete Demand (m³)]]&lt;100000,"Large","Mega"))))</f>
        <v>Medium</v>
      </c>
      <c r="P1928" s="287" t="str">
        <f t="shared" si="31"/>
        <v>GujRERA</v>
      </c>
    </row>
    <row r="1929" spans="1:16">
      <c r="A1929" s="129" t="str">
        <f>_xlfn.XLOOKUP(B1929,$S$9:$S$14,$T$9:$T$14)&amp;"-"&amp;
IF(E1929="Residential/Group Housing","RES",
IF(E1929="Commercial","COM",
IF(E1929="Mixed Development","MIX",
IF(E1929="Plotted Development","PLT","OTH"))))
&amp;"-"&amp;TEXT(COUNTIFS($B$9:B1929,B1929,$E$9:E1929,E1929),"0000")</f>
        <v>SUR-RES-0631</v>
      </c>
      <c r="B1929" s="322" t="s">
        <v>34</v>
      </c>
      <c r="C1929" s="322" t="s">
        <v>34</v>
      </c>
      <c r="D1929" s="323" t="s">
        <v>2119</v>
      </c>
      <c r="E1929" s="132" t="s">
        <v>24</v>
      </c>
      <c r="F1929" s="97" t="str">
        <f ca="1">IF(OR(Market_Data[[#This Row],[Start Date]]="",Market_Data[[#This Row],[Completion Date]]=""),"Needs Validation",IF(Market_Data[[#This Row],[Start Date]]&gt;TODAY(),"Planned",IF(Market_Data[[#This Row],[Completion Date]]&lt;TODAY(),"Completed","Ongoing")))</f>
        <v>Completed</v>
      </c>
      <c r="G1929" s="324">
        <v>42470</v>
      </c>
      <c r="H1929" s="324">
        <v>43555</v>
      </c>
      <c r="I1929" s="325">
        <v>19800</v>
      </c>
      <c r="J192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29" s="133">
        <f>_xlfn.XLOOKUP(Market_Data[[#This Row],[Project Type]],tbl_assumptions_market[Project Category (RERA)],tbl_assumptions_market[Concrete Intensity
(m³ / sq m BUA)],"",0)</f>
        <v>0.45</v>
      </c>
      <c r="L1929" s="134">
        <f>ROUND(Market_Data[[#This Row],[Estimated Built Up Area (sq m)]]*Market_Data[[#This Row],[Concrete Intensity
(m³ / sq m)]],0)</f>
        <v>8910</v>
      </c>
      <c r="M1929" s="135">
        <f>_xlfn.XLOOKUP(Market_Data[[#This Row],[District]],tbl_district_price[District],tbl_district_price[Standard Price
(INR/m³)],"",0)</f>
        <v>6200</v>
      </c>
      <c r="N1929" s="364">
        <f>IF(OR(Market_Data[[#This Row],[Estimated Concrete Demand (m³)]]="",Market_Data[[#This Row],[Avg Price per (₹ / m³)]]=""),"",Market_Data[[#This Row],[Estimated Concrete Demand (m³)]]*Market_Data[[#This Row],[Avg Price per (₹ / m³)]]/10000000)</f>
        <v>5.5242000000000004</v>
      </c>
      <c r="O1929" s="97" t="str">
        <f>IF(Market_Data[[#This Row],[Estimated Concrete Demand (m³)]]="","",
IF(Market_Data[[#This Row],[Estimated Concrete Demand (m³)]]&lt;10000,"Small",
IF(Market_Data[[#This Row],[Estimated Concrete Demand (m³)]]&lt;25000,"Medium",
IF(Market_Data[[#This Row],[Estimated Concrete Demand (m³)]]&lt;100000,"Large","Mega"))))</f>
        <v>Small</v>
      </c>
      <c r="P1929" s="287" t="str">
        <f t="shared" si="31"/>
        <v>GujRERA</v>
      </c>
    </row>
    <row r="1930" spans="1:16">
      <c r="A1930" s="129" t="str">
        <f>_xlfn.XLOOKUP(B1930,$S$9:$S$14,$T$9:$T$14)&amp;"-"&amp;
IF(E1930="Residential/Group Housing","RES",
IF(E1930="Commercial","COM",
IF(E1930="Mixed Development","MIX",
IF(E1930="Plotted Development","PLT","OTH"))))
&amp;"-"&amp;TEXT(COUNTIFS($B$9:B1930,B1930,$E$9:E1930,E1930),"0000")</f>
        <v>SUR-RES-0632</v>
      </c>
      <c r="B1930" s="322" t="s">
        <v>34</v>
      </c>
      <c r="C1930" s="322" t="s">
        <v>34</v>
      </c>
      <c r="D1930" s="323" t="s">
        <v>2120</v>
      </c>
      <c r="E1930" s="132" t="s">
        <v>24</v>
      </c>
      <c r="F1930" s="97" t="str">
        <f ca="1">IF(OR(Market_Data[[#This Row],[Start Date]]="",Market_Data[[#This Row],[Completion Date]]=""),"Needs Validation",IF(Market_Data[[#This Row],[Start Date]]&gt;TODAY(),"Planned",IF(Market_Data[[#This Row],[Completion Date]]&lt;TODAY(),"Completed","Ongoing")))</f>
        <v>Ongoing</v>
      </c>
      <c r="G1930" s="324">
        <v>45376</v>
      </c>
      <c r="H1930" s="324">
        <v>47118</v>
      </c>
      <c r="I1930" s="325">
        <v>46800</v>
      </c>
      <c r="J193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30" s="133">
        <f>_xlfn.XLOOKUP(Market_Data[[#This Row],[Project Type]],tbl_assumptions_market[Project Category (RERA)],tbl_assumptions_market[Concrete Intensity
(m³ / sq m BUA)],"",0)</f>
        <v>0.45</v>
      </c>
      <c r="L1930" s="134">
        <f>ROUND(Market_Data[[#This Row],[Estimated Built Up Area (sq m)]]*Market_Data[[#This Row],[Concrete Intensity
(m³ / sq m)]],0)</f>
        <v>21060</v>
      </c>
      <c r="M1930" s="135">
        <f>_xlfn.XLOOKUP(Market_Data[[#This Row],[District]],tbl_district_price[District],tbl_district_price[Standard Price
(INR/m³)],"",0)</f>
        <v>6200</v>
      </c>
      <c r="N1930" s="364">
        <f>IF(OR(Market_Data[[#This Row],[Estimated Concrete Demand (m³)]]="",Market_Data[[#This Row],[Avg Price per (₹ / m³)]]=""),"",Market_Data[[#This Row],[Estimated Concrete Demand (m³)]]*Market_Data[[#This Row],[Avg Price per (₹ / m³)]]/10000000)</f>
        <v>13.0572</v>
      </c>
      <c r="O1930" s="97" t="str">
        <f>IF(Market_Data[[#This Row],[Estimated Concrete Demand (m³)]]="","",
IF(Market_Data[[#This Row],[Estimated Concrete Demand (m³)]]&lt;10000,"Small",
IF(Market_Data[[#This Row],[Estimated Concrete Demand (m³)]]&lt;25000,"Medium",
IF(Market_Data[[#This Row],[Estimated Concrete Demand (m³)]]&lt;100000,"Large","Mega"))))</f>
        <v>Medium</v>
      </c>
      <c r="P1930" s="287" t="str">
        <f t="shared" ref="P1930:P1993" si="32">HYPERLINK(
"https://gujrera.gujarat.gov.in",
"GujRERA")</f>
        <v>GujRERA</v>
      </c>
    </row>
    <row r="1931" spans="1:16">
      <c r="A1931" s="129" t="str">
        <f>_xlfn.XLOOKUP(B1931,$S$9:$S$14,$T$9:$T$14)&amp;"-"&amp;
IF(E1931="Residential/Group Housing","RES",
IF(E1931="Commercial","COM",
IF(E1931="Mixed Development","MIX",
IF(E1931="Plotted Development","PLT","OTH"))))
&amp;"-"&amp;TEXT(COUNTIFS($B$9:B1931,B1931,$E$9:E1931,E1931),"0000")</f>
        <v>SUR-RES-0633</v>
      </c>
      <c r="B1931" s="322" t="s">
        <v>34</v>
      </c>
      <c r="C1931" s="322" t="s">
        <v>34</v>
      </c>
      <c r="D1931" s="323" t="s">
        <v>2121</v>
      </c>
      <c r="E1931" s="132" t="s">
        <v>24</v>
      </c>
      <c r="F1931" s="97" t="str">
        <f ca="1">IF(OR(Market_Data[[#This Row],[Start Date]]="",Market_Data[[#This Row],[Completion Date]]=""),"Needs Validation",IF(Market_Data[[#This Row],[Start Date]]&gt;TODAY(),"Planned",IF(Market_Data[[#This Row],[Completion Date]]&lt;TODAY(),"Completed","Ongoing")))</f>
        <v>Ongoing</v>
      </c>
      <c r="G1931" s="324">
        <v>45033</v>
      </c>
      <c r="H1931" s="324">
        <v>46905</v>
      </c>
      <c r="I1931" s="325">
        <v>22400</v>
      </c>
      <c r="J193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31" s="133">
        <f>_xlfn.XLOOKUP(Market_Data[[#This Row],[Project Type]],tbl_assumptions_market[Project Category (RERA)],tbl_assumptions_market[Concrete Intensity
(m³ / sq m BUA)],"",0)</f>
        <v>0.45</v>
      </c>
      <c r="L1931" s="134">
        <f>ROUND(Market_Data[[#This Row],[Estimated Built Up Area (sq m)]]*Market_Data[[#This Row],[Concrete Intensity
(m³ / sq m)]],0)</f>
        <v>10080</v>
      </c>
      <c r="M1931" s="135">
        <f>_xlfn.XLOOKUP(Market_Data[[#This Row],[District]],tbl_district_price[District],tbl_district_price[Standard Price
(INR/m³)],"",0)</f>
        <v>6200</v>
      </c>
      <c r="N1931" s="364">
        <f>IF(OR(Market_Data[[#This Row],[Estimated Concrete Demand (m³)]]="",Market_Data[[#This Row],[Avg Price per (₹ / m³)]]=""),"",Market_Data[[#This Row],[Estimated Concrete Demand (m³)]]*Market_Data[[#This Row],[Avg Price per (₹ / m³)]]/10000000)</f>
        <v>6.2496</v>
      </c>
      <c r="O1931" s="97" t="str">
        <f>IF(Market_Data[[#This Row],[Estimated Concrete Demand (m³)]]="","",
IF(Market_Data[[#This Row],[Estimated Concrete Demand (m³)]]&lt;10000,"Small",
IF(Market_Data[[#This Row],[Estimated Concrete Demand (m³)]]&lt;25000,"Medium",
IF(Market_Data[[#This Row],[Estimated Concrete Demand (m³)]]&lt;100000,"Large","Mega"))))</f>
        <v>Medium</v>
      </c>
      <c r="P1931" s="287" t="str">
        <f t="shared" si="32"/>
        <v>GujRERA</v>
      </c>
    </row>
    <row r="1932" spans="1:16">
      <c r="A1932" s="129" t="str">
        <f>_xlfn.XLOOKUP(B1932,$S$9:$S$14,$T$9:$T$14)&amp;"-"&amp;
IF(E1932="Residential/Group Housing","RES",
IF(E1932="Commercial","COM",
IF(E1932="Mixed Development","MIX",
IF(E1932="Plotted Development","PLT","OTH"))))
&amp;"-"&amp;TEXT(COUNTIFS($B$9:B1932,B1932,$E$9:E1932,E1932),"0000")</f>
        <v>SUR-RES-0634</v>
      </c>
      <c r="B1932" s="322" t="s">
        <v>34</v>
      </c>
      <c r="C1932" s="322" t="s">
        <v>34</v>
      </c>
      <c r="D1932" s="323" t="s">
        <v>2122</v>
      </c>
      <c r="E1932" s="132" t="s">
        <v>24</v>
      </c>
      <c r="F1932" s="97" t="str">
        <f ca="1">IF(OR(Market_Data[[#This Row],[Start Date]]="",Market_Data[[#This Row],[Completion Date]]=""),"Needs Validation",IF(Market_Data[[#This Row],[Start Date]]&gt;TODAY(),"Planned",IF(Market_Data[[#This Row],[Completion Date]]&lt;TODAY(),"Completed","Ongoing")))</f>
        <v>Completed</v>
      </c>
      <c r="G1932" s="324">
        <v>39975</v>
      </c>
      <c r="H1932" s="324">
        <v>45107</v>
      </c>
      <c r="I1932" s="325">
        <v>50800</v>
      </c>
      <c r="J193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32" s="133">
        <f>_xlfn.XLOOKUP(Market_Data[[#This Row],[Project Type]],tbl_assumptions_market[Project Category (RERA)],tbl_assumptions_market[Concrete Intensity
(m³ / sq m BUA)],"",0)</f>
        <v>0.45</v>
      </c>
      <c r="L1932" s="134">
        <f>ROUND(Market_Data[[#This Row],[Estimated Built Up Area (sq m)]]*Market_Data[[#This Row],[Concrete Intensity
(m³ / sq m)]],0)</f>
        <v>22860</v>
      </c>
      <c r="M1932" s="135">
        <f>_xlfn.XLOOKUP(Market_Data[[#This Row],[District]],tbl_district_price[District],tbl_district_price[Standard Price
(INR/m³)],"",0)</f>
        <v>6200</v>
      </c>
      <c r="N1932" s="364">
        <f>IF(OR(Market_Data[[#This Row],[Estimated Concrete Demand (m³)]]="",Market_Data[[#This Row],[Avg Price per (₹ / m³)]]=""),"",Market_Data[[#This Row],[Estimated Concrete Demand (m³)]]*Market_Data[[#This Row],[Avg Price per (₹ / m³)]]/10000000)</f>
        <v>14.1732</v>
      </c>
      <c r="O1932" s="97" t="str">
        <f>IF(Market_Data[[#This Row],[Estimated Concrete Demand (m³)]]="","",
IF(Market_Data[[#This Row],[Estimated Concrete Demand (m³)]]&lt;10000,"Small",
IF(Market_Data[[#This Row],[Estimated Concrete Demand (m³)]]&lt;25000,"Medium",
IF(Market_Data[[#This Row],[Estimated Concrete Demand (m³)]]&lt;100000,"Large","Mega"))))</f>
        <v>Medium</v>
      </c>
      <c r="P1932" s="287" t="str">
        <f t="shared" si="32"/>
        <v>GujRERA</v>
      </c>
    </row>
    <row r="1933" spans="1:16">
      <c r="A1933" s="129" t="str">
        <f>_xlfn.XLOOKUP(B1933,$S$9:$S$14,$T$9:$T$14)&amp;"-"&amp;
IF(E1933="Residential/Group Housing","RES",
IF(E1933="Commercial","COM",
IF(E1933="Mixed Development","MIX",
IF(E1933="Plotted Development","PLT","OTH"))))
&amp;"-"&amp;TEXT(COUNTIFS($B$9:B1933,B1933,$E$9:E1933,E1933),"0000")</f>
        <v>SUR-RES-0635</v>
      </c>
      <c r="B1933" s="322" t="s">
        <v>34</v>
      </c>
      <c r="C1933" s="322" t="s">
        <v>34</v>
      </c>
      <c r="D1933" s="323" t="s">
        <v>2123</v>
      </c>
      <c r="E1933" s="132" t="s">
        <v>24</v>
      </c>
      <c r="F1933" s="97" t="str">
        <f ca="1">IF(OR(Market_Data[[#This Row],[Start Date]]="",Market_Data[[#This Row],[Completion Date]]=""),"Needs Validation",IF(Market_Data[[#This Row],[Start Date]]&gt;TODAY(),"Planned",IF(Market_Data[[#This Row],[Completion Date]]&lt;TODAY(),"Completed","Ongoing")))</f>
        <v>Completed</v>
      </c>
      <c r="G1933" s="324">
        <v>39563</v>
      </c>
      <c r="H1933" s="324">
        <v>45107</v>
      </c>
      <c r="I1933" s="325">
        <v>33500</v>
      </c>
      <c r="J193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33" s="133">
        <f>_xlfn.XLOOKUP(Market_Data[[#This Row],[Project Type]],tbl_assumptions_market[Project Category (RERA)],tbl_assumptions_market[Concrete Intensity
(m³ / sq m BUA)],"",0)</f>
        <v>0.45</v>
      </c>
      <c r="L1933" s="134">
        <f>ROUND(Market_Data[[#This Row],[Estimated Built Up Area (sq m)]]*Market_Data[[#This Row],[Concrete Intensity
(m³ / sq m)]],0)</f>
        <v>15075</v>
      </c>
      <c r="M1933" s="135">
        <f>_xlfn.XLOOKUP(Market_Data[[#This Row],[District]],tbl_district_price[District],tbl_district_price[Standard Price
(INR/m³)],"",0)</f>
        <v>6200</v>
      </c>
      <c r="N1933" s="364">
        <f>IF(OR(Market_Data[[#This Row],[Estimated Concrete Demand (m³)]]="",Market_Data[[#This Row],[Avg Price per (₹ / m³)]]=""),"",Market_Data[[#This Row],[Estimated Concrete Demand (m³)]]*Market_Data[[#This Row],[Avg Price per (₹ / m³)]]/10000000)</f>
        <v>9.3465000000000007</v>
      </c>
      <c r="O1933" s="97" t="str">
        <f>IF(Market_Data[[#This Row],[Estimated Concrete Demand (m³)]]="","",
IF(Market_Data[[#This Row],[Estimated Concrete Demand (m³)]]&lt;10000,"Small",
IF(Market_Data[[#This Row],[Estimated Concrete Demand (m³)]]&lt;25000,"Medium",
IF(Market_Data[[#This Row],[Estimated Concrete Demand (m³)]]&lt;100000,"Large","Mega"))))</f>
        <v>Medium</v>
      </c>
      <c r="P1933" s="287" t="str">
        <f t="shared" si="32"/>
        <v>GujRERA</v>
      </c>
    </row>
    <row r="1934" spans="1:16">
      <c r="A1934" s="129" t="str">
        <f>_xlfn.XLOOKUP(B1934,$S$9:$S$14,$T$9:$T$14)&amp;"-"&amp;
IF(E1934="Residential/Group Housing","RES",
IF(E1934="Commercial","COM",
IF(E1934="Mixed Development","MIX",
IF(E1934="Plotted Development","PLT","OTH"))))
&amp;"-"&amp;TEXT(COUNTIFS($B$9:B1934,B1934,$E$9:E1934,E1934),"0000")</f>
        <v>SUR-PLT-0350</v>
      </c>
      <c r="B1934" s="322" t="s">
        <v>34</v>
      </c>
      <c r="C1934" s="322" t="s">
        <v>34</v>
      </c>
      <c r="D1934" s="323" t="s">
        <v>2124</v>
      </c>
      <c r="E1934" s="132" t="s">
        <v>26</v>
      </c>
      <c r="F1934" s="97" t="str">
        <f ca="1">IF(OR(Market_Data[[#This Row],[Start Date]]="",Market_Data[[#This Row],[Completion Date]]=""),"Needs Validation",IF(Market_Data[[#This Row],[Start Date]]&gt;TODAY(),"Planned",IF(Market_Data[[#This Row],[Completion Date]]&lt;TODAY(),"Completed","Ongoing")))</f>
        <v>Completed</v>
      </c>
      <c r="G1934" s="324">
        <v>41863</v>
      </c>
      <c r="H1934" s="324">
        <v>43921</v>
      </c>
      <c r="I1934" s="325">
        <v>29500</v>
      </c>
      <c r="J193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34" s="133">
        <f>_xlfn.XLOOKUP(Market_Data[[#This Row],[Project Type]],tbl_assumptions_market[Project Category (RERA)],tbl_assumptions_market[Concrete Intensity
(m³ / sq m BUA)],"",0)</f>
        <v>0.18</v>
      </c>
      <c r="L1934" s="134">
        <f>ROUND(Market_Data[[#This Row],[Estimated Built Up Area (sq m)]]*Market_Data[[#This Row],[Concrete Intensity
(m³ / sq m)]],0)</f>
        <v>5310</v>
      </c>
      <c r="M1934" s="135">
        <f>_xlfn.XLOOKUP(Market_Data[[#This Row],[District]],tbl_district_price[District],tbl_district_price[Standard Price
(INR/m³)],"",0)</f>
        <v>6200</v>
      </c>
      <c r="N1934" s="364">
        <f>IF(OR(Market_Data[[#This Row],[Estimated Concrete Demand (m³)]]="",Market_Data[[#This Row],[Avg Price per (₹ / m³)]]=""),"",Market_Data[[#This Row],[Estimated Concrete Demand (m³)]]*Market_Data[[#This Row],[Avg Price per (₹ / m³)]]/10000000)</f>
        <v>3.2921999999999998</v>
      </c>
      <c r="O1934" s="97" t="str">
        <f>IF(Market_Data[[#This Row],[Estimated Concrete Demand (m³)]]="","",
IF(Market_Data[[#This Row],[Estimated Concrete Demand (m³)]]&lt;10000,"Small",
IF(Market_Data[[#This Row],[Estimated Concrete Demand (m³)]]&lt;25000,"Medium",
IF(Market_Data[[#This Row],[Estimated Concrete Demand (m³)]]&lt;100000,"Large","Mega"))))</f>
        <v>Small</v>
      </c>
      <c r="P1934" s="287" t="str">
        <f t="shared" si="32"/>
        <v>GujRERA</v>
      </c>
    </row>
    <row r="1935" spans="1:16">
      <c r="A1935" s="129" t="str">
        <f>_xlfn.XLOOKUP(B1935,$S$9:$S$14,$T$9:$T$14)&amp;"-"&amp;
IF(E1935="Residential/Group Housing","RES",
IF(E1935="Commercial","COM",
IF(E1935="Mixed Development","MIX",
IF(E1935="Plotted Development","PLT","OTH"))))
&amp;"-"&amp;TEXT(COUNTIFS($B$9:B1935,B1935,$E$9:E1935,E1935),"0000")</f>
        <v>SUR-PLT-0351</v>
      </c>
      <c r="B1935" s="322" t="s">
        <v>34</v>
      </c>
      <c r="C1935" s="322" t="s">
        <v>34</v>
      </c>
      <c r="D1935" s="323" t="s">
        <v>2125</v>
      </c>
      <c r="E1935" s="132" t="s">
        <v>26</v>
      </c>
      <c r="F1935" s="97" t="str">
        <f ca="1">IF(OR(Market_Data[[#This Row],[Start Date]]="",Market_Data[[#This Row],[Completion Date]]=""),"Needs Validation",IF(Market_Data[[#This Row],[Start Date]]&gt;TODAY(),"Planned",IF(Market_Data[[#This Row],[Completion Date]]&lt;TODAY(),"Completed","Ongoing")))</f>
        <v>Completed</v>
      </c>
      <c r="G1935" s="324">
        <v>42167</v>
      </c>
      <c r="H1935" s="324">
        <v>43921</v>
      </c>
      <c r="I1935" s="325">
        <v>42000</v>
      </c>
      <c r="J193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935" s="133">
        <f>_xlfn.XLOOKUP(Market_Data[[#This Row],[Project Type]],tbl_assumptions_market[Project Category (RERA)],tbl_assumptions_market[Concrete Intensity
(m³ / sq m BUA)],"",0)</f>
        <v>0.18</v>
      </c>
      <c r="L1935" s="134">
        <f>ROUND(Market_Data[[#This Row],[Estimated Built Up Area (sq m)]]*Market_Data[[#This Row],[Concrete Intensity
(m³ / sq m)]],0)</f>
        <v>7560</v>
      </c>
      <c r="M1935" s="135">
        <f>_xlfn.XLOOKUP(Market_Data[[#This Row],[District]],tbl_district_price[District],tbl_district_price[Standard Price
(INR/m³)],"",0)</f>
        <v>6200</v>
      </c>
      <c r="N1935" s="364">
        <f>IF(OR(Market_Data[[#This Row],[Estimated Concrete Demand (m³)]]="",Market_Data[[#This Row],[Avg Price per (₹ / m³)]]=""),"",Market_Data[[#This Row],[Estimated Concrete Demand (m³)]]*Market_Data[[#This Row],[Avg Price per (₹ / m³)]]/10000000)</f>
        <v>4.6871999999999998</v>
      </c>
      <c r="O1935" s="97" t="str">
        <f>IF(Market_Data[[#This Row],[Estimated Concrete Demand (m³)]]="","",
IF(Market_Data[[#This Row],[Estimated Concrete Demand (m³)]]&lt;10000,"Small",
IF(Market_Data[[#This Row],[Estimated Concrete Demand (m³)]]&lt;25000,"Medium",
IF(Market_Data[[#This Row],[Estimated Concrete Demand (m³)]]&lt;100000,"Large","Mega"))))</f>
        <v>Small</v>
      </c>
      <c r="P1935" s="287" t="str">
        <f t="shared" si="32"/>
        <v>GujRERA</v>
      </c>
    </row>
    <row r="1936" spans="1:16">
      <c r="A1936" s="129" t="str">
        <f>_xlfn.XLOOKUP(B1936,$S$9:$S$14,$T$9:$T$14)&amp;"-"&amp;
IF(E1936="Residential/Group Housing","RES",
IF(E1936="Commercial","COM",
IF(E1936="Mixed Development","MIX",
IF(E1936="Plotted Development","PLT","OTH"))))
&amp;"-"&amp;TEXT(COUNTIFS($B$9:B1936,B1936,$E$9:E1936,E1936),"0000")</f>
        <v>SUR-PLT-0352</v>
      </c>
      <c r="B1936" s="322" t="s">
        <v>34</v>
      </c>
      <c r="C1936" s="322" t="s">
        <v>34</v>
      </c>
      <c r="D1936" s="323" t="s">
        <v>2126</v>
      </c>
      <c r="E1936" s="132" t="s">
        <v>26</v>
      </c>
      <c r="F1936" s="97" t="str">
        <f ca="1">IF(OR(Market_Data[[#This Row],[Start Date]]="",Market_Data[[#This Row],[Completion Date]]=""),"Needs Validation",IF(Market_Data[[#This Row],[Start Date]]&gt;TODAY(),"Planned",IF(Market_Data[[#This Row],[Completion Date]]&lt;TODAY(),"Completed","Ongoing")))</f>
        <v>Completed</v>
      </c>
      <c r="G1936" s="324">
        <v>41858</v>
      </c>
      <c r="H1936" s="324">
        <v>43921</v>
      </c>
      <c r="I1936" s="325">
        <v>11800</v>
      </c>
      <c r="J193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36" s="133">
        <f>_xlfn.XLOOKUP(Market_Data[[#This Row],[Project Type]],tbl_assumptions_market[Project Category (RERA)],tbl_assumptions_market[Concrete Intensity
(m³ / sq m BUA)],"",0)</f>
        <v>0.18</v>
      </c>
      <c r="L1936" s="134">
        <f>ROUND(Market_Data[[#This Row],[Estimated Built Up Area (sq m)]]*Market_Data[[#This Row],[Concrete Intensity
(m³ / sq m)]],0)</f>
        <v>2124</v>
      </c>
      <c r="M1936" s="135">
        <f>_xlfn.XLOOKUP(Market_Data[[#This Row],[District]],tbl_district_price[District],tbl_district_price[Standard Price
(INR/m³)],"",0)</f>
        <v>6200</v>
      </c>
      <c r="N1936" s="364">
        <f>IF(OR(Market_Data[[#This Row],[Estimated Concrete Demand (m³)]]="",Market_Data[[#This Row],[Avg Price per (₹ / m³)]]=""),"",Market_Data[[#This Row],[Estimated Concrete Demand (m³)]]*Market_Data[[#This Row],[Avg Price per (₹ / m³)]]/10000000)</f>
        <v>1.3168800000000001</v>
      </c>
      <c r="O1936" s="97" t="str">
        <f>IF(Market_Data[[#This Row],[Estimated Concrete Demand (m³)]]="","",
IF(Market_Data[[#This Row],[Estimated Concrete Demand (m³)]]&lt;10000,"Small",
IF(Market_Data[[#This Row],[Estimated Concrete Demand (m³)]]&lt;25000,"Medium",
IF(Market_Data[[#This Row],[Estimated Concrete Demand (m³)]]&lt;100000,"Large","Mega"))))</f>
        <v>Small</v>
      </c>
      <c r="P1936" s="287" t="str">
        <f t="shared" si="32"/>
        <v>GujRERA</v>
      </c>
    </row>
    <row r="1937" spans="1:16">
      <c r="A1937" s="129" t="str">
        <f>_xlfn.XLOOKUP(B1937,$S$9:$S$14,$T$9:$T$14)&amp;"-"&amp;
IF(E1937="Residential/Group Housing","RES",
IF(E1937="Commercial","COM",
IF(E1937="Mixed Development","MIX",
IF(E1937="Plotted Development","PLT","OTH"))))
&amp;"-"&amp;TEXT(COUNTIFS($B$9:B1937,B1937,$E$9:E1937,E1937),"0000")</f>
        <v>SUR-PLT-0353</v>
      </c>
      <c r="B1937" s="322" t="s">
        <v>34</v>
      </c>
      <c r="C1937" s="322" t="s">
        <v>34</v>
      </c>
      <c r="D1937" s="323" t="s">
        <v>2127</v>
      </c>
      <c r="E1937" s="132" t="s">
        <v>26</v>
      </c>
      <c r="F1937" s="97" t="str">
        <f ca="1">IF(OR(Market_Data[[#This Row],[Start Date]]="",Market_Data[[#This Row],[Completion Date]]=""),"Needs Validation",IF(Market_Data[[#This Row],[Start Date]]&gt;TODAY(),"Planned",IF(Market_Data[[#This Row],[Completion Date]]&lt;TODAY(),"Completed","Ongoing")))</f>
        <v>Completed</v>
      </c>
      <c r="G1937" s="324">
        <v>44805</v>
      </c>
      <c r="H1937" s="324">
        <v>46022</v>
      </c>
      <c r="I1937" s="325">
        <v>26000</v>
      </c>
      <c r="J193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37" s="133">
        <f>_xlfn.XLOOKUP(Market_Data[[#This Row],[Project Type]],tbl_assumptions_market[Project Category (RERA)],tbl_assumptions_market[Concrete Intensity
(m³ / sq m BUA)],"",0)</f>
        <v>0.18</v>
      </c>
      <c r="L1937" s="134">
        <f>ROUND(Market_Data[[#This Row],[Estimated Built Up Area (sq m)]]*Market_Data[[#This Row],[Concrete Intensity
(m³ / sq m)]],0)</f>
        <v>4680</v>
      </c>
      <c r="M1937" s="135">
        <f>_xlfn.XLOOKUP(Market_Data[[#This Row],[District]],tbl_district_price[District],tbl_district_price[Standard Price
(INR/m³)],"",0)</f>
        <v>6200</v>
      </c>
      <c r="N1937" s="364">
        <f>IF(OR(Market_Data[[#This Row],[Estimated Concrete Demand (m³)]]="",Market_Data[[#This Row],[Avg Price per (₹ / m³)]]=""),"",Market_Data[[#This Row],[Estimated Concrete Demand (m³)]]*Market_Data[[#This Row],[Avg Price per (₹ / m³)]]/10000000)</f>
        <v>2.9016000000000002</v>
      </c>
      <c r="O1937" s="97" t="str">
        <f>IF(Market_Data[[#This Row],[Estimated Concrete Demand (m³)]]="","",
IF(Market_Data[[#This Row],[Estimated Concrete Demand (m³)]]&lt;10000,"Small",
IF(Market_Data[[#This Row],[Estimated Concrete Demand (m³)]]&lt;25000,"Medium",
IF(Market_Data[[#This Row],[Estimated Concrete Demand (m³)]]&lt;100000,"Large","Mega"))))</f>
        <v>Small</v>
      </c>
      <c r="P1937" s="287" t="str">
        <f t="shared" si="32"/>
        <v>GujRERA</v>
      </c>
    </row>
    <row r="1938" spans="1:16">
      <c r="A1938" s="129" t="str">
        <f>_xlfn.XLOOKUP(B1938,$S$9:$S$14,$T$9:$T$14)&amp;"-"&amp;
IF(E1938="Residential/Group Housing","RES",
IF(E1938="Commercial","COM",
IF(E1938="Mixed Development","MIX",
IF(E1938="Plotted Development","PLT","OTH"))))
&amp;"-"&amp;TEXT(COUNTIFS($B$9:B1938,B1938,$E$9:E1938,E1938),"0000")</f>
        <v>SUR-PLT-0354</v>
      </c>
      <c r="B1938" s="322" t="s">
        <v>34</v>
      </c>
      <c r="C1938" s="322" t="s">
        <v>34</v>
      </c>
      <c r="D1938" s="323" t="s">
        <v>2128</v>
      </c>
      <c r="E1938" s="132" t="s">
        <v>26</v>
      </c>
      <c r="F1938" s="97" t="str">
        <f ca="1">IF(OR(Market_Data[[#This Row],[Start Date]]="",Market_Data[[#This Row],[Completion Date]]=""),"Needs Validation",IF(Market_Data[[#This Row],[Start Date]]&gt;TODAY(),"Planned",IF(Market_Data[[#This Row],[Completion Date]]&lt;TODAY(),"Completed","Ongoing")))</f>
        <v>Ongoing</v>
      </c>
      <c r="G1938" s="324">
        <v>45583</v>
      </c>
      <c r="H1938" s="324">
        <v>46752</v>
      </c>
      <c r="I1938" s="325">
        <v>43700</v>
      </c>
      <c r="J193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938" s="133">
        <f>_xlfn.XLOOKUP(Market_Data[[#This Row],[Project Type]],tbl_assumptions_market[Project Category (RERA)],tbl_assumptions_market[Concrete Intensity
(m³ / sq m BUA)],"",0)</f>
        <v>0.18</v>
      </c>
      <c r="L1938" s="134">
        <f>ROUND(Market_Data[[#This Row],[Estimated Built Up Area (sq m)]]*Market_Data[[#This Row],[Concrete Intensity
(m³ / sq m)]],0)</f>
        <v>7866</v>
      </c>
      <c r="M1938" s="135">
        <f>_xlfn.XLOOKUP(Market_Data[[#This Row],[District]],tbl_district_price[District],tbl_district_price[Standard Price
(INR/m³)],"",0)</f>
        <v>6200</v>
      </c>
      <c r="N1938" s="364">
        <f>IF(OR(Market_Data[[#This Row],[Estimated Concrete Demand (m³)]]="",Market_Data[[#This Row],[Avg Price per (₹ / m³)]]=""),"",Market_Data[[#This Row],[Estimated Concrete Demand (m³)]]*Market_Data[[#This Row],[Avg Price per (₹ / m³)]]/10000000)</f>
        <v>4.8769200000000001</v>
      </c>
      <c r="O1938" s="97" t="str">
        <f>IF(Market_Data[[#This Row],[Estimated Concrete Demand (m³)]]="","",
IF(Market_Data[[#This Row],[Estimated Concrete Demand (m³)]]&lt;10000,"Small",
IF(Market_Data[[#This Row],[Estimated Concrete Demand (m³)]]&lt;25000,"Medium",
IF(Market_Data[[#This Row],[Estimated Concrete Demand (m³)]]&lt;100000,"Large","Mega"))))</f>
        <v>Small</v>
      </c>
      <c r="P1938" s="287" t="str">
        <f t="shared" si="32"/>
        <v>GujRERA</v>
      </c>
    </row>
    <row r="1939" spans="1:16">
      <c r="A1939" s="129" t="str">
        <f>_xlfn.XLOOKUP(B1939,$S$9:$S$14,$T$9:$T$14)&amp;"-"&amp;
IF(E1939="Residential/Group Housing","RES",
IF(E1939="Commercial","COM",
IF(E1939="Mixed Development","MIX",
IF(E1939="Plotted Development","PLT","OTH"))))
&amp;"-"&amp;TEXT(COUNTIFS($B$9:B1939,B1939,$E$9:E1939,E1939),"0000")</f>
        <v>SUR-PLT-0355</v>
      </c>
      <c r="B1939" s="322" t="s">
        <v>34</v>
      </c>
      <c r="C1939" s="322" t="s">
        <v>34</v>
      </c>
      <c r="D1939" s="323" t="s">
        <v>2129</v>
      </c>
      <c r="E1939" s="132" t="s">
        <v>26</v>
      </c>
      <c r="F1939" s="97" t="str">
        <f ca="1">IF(OR(Market_Data[[#This Row],[Start Date]]="",Market_Data[[#This Row],[Completion Date]]=""),"Needs Validation",IF(Market_Data[[#This Row],[Start Date]]&gt;TODAY(),"Planned",IF(Market_Data[[#This Row],[Completion Date]]&lt;TODAY(),"Completed","Ongoing")))</f>
        <v>Completed</v>
      </c>
      <c r="G1939" s="324">
        <v>42838</v>
      </c>
      <c r="H1939" s="324">
        <v>44286</v>
      </c>
      <c r="I1939" s="325">
        <v>2600</v>
      </c>
      <c r="J193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39" s="133">
        <f>_xlfn.XLOOKUP(Market_Data[[#This Row],[Project Type]],tbl_assumptions_market[Project Category (RERA)],tbl_assumptions_market[Concrete Intensity
(m³ / sq m BUA)],"",0)</f>
        <v>0.18</v>
      </c>
      <c r="L1939" s="134">
        <f>ROUND(Market_Data[[#This Row],[Estimated Built Up Area (sq m)]]*Market_Data[[#This Row],[Concrete Intensity
(m³ / sq m)]],0)</f>
        <v>468</v>
      </c>
      <c r="M1939" s="135">
        <f>_xlfn.XLOOKUP(Market_Data[[#This Row],[District]],tbl_district_price[District],tbl_district_price[Standard Price
(INR/m³)],"",0)</f>
        <v>6200</v>
      </c>
      <c r="N1939" s="364">
        <f>IF(OR(Market_Data[[#This Row],[Estimated Concrete Demand (m³)]]="",Market_Data[[#This Row],[Avg Price per (₹ / m³)]]=""),"",Market_Data[[#This Row],[Estimated Concrete Demand (m³)]]*Market_Data[[#This Row],[Avg Price per (₹ / m³)]]/10000000)</f>
        <v>0.29015999999999997</v>
      </c>
      <c r="O1939" s="97" t="str">
        <f>IF(Market_Data[[#This Row],[Estimated Concrete Demand (m³)]]="","",
IF(Market_Data[[#This Row],[Estimated Concrete Demand (m³)]]&lt;10000,"Small",
IF(Market_Data[[#This Row],[Estimated Concrete Demand (m³)]]&lt;25000,"Medium",
IF(Market_Data[[#This Row],[Estimated Concrete Demand (m³)]]&lt;100000,"Large","Mega"))))</f>
        <v>Small</v>
      </c>
      <c r="P1939" s="287" t="str">
        <f t="shared" si="32"/>
        <v>GujRERA</v>
      </c>
    </row>
    <row r="1940" spans="1:16">
      <c r="A1940" s="129" t="str">
        <f>_xlfn.XLOOKUP(B1940,$S$9:$S$14,$T$9:$T$14)&amp;"-"&amp;
IF(E1940="Residential/Group Housing","RES",
IF(E1940="Commercial","COM",
IF(E1940="Mixed Development","MIX",
IF(E1940="Plotted Development","PLT","OTH"))))
&amp;"-"&amp;TEXT(COUNTIFS($B$9:B1940,B1940,$E$9:E1940,E1940),"0000")</f>
        <v>SUR-PLT-0356</v>
      </c>
      <c r="B1940" s="322" t="s">
        <v>34</v>
      </c>
      <c r="C1940" s="322" t="s">
        <v>34</v>
      </c>
      <c r="D1940" s="323" t="s">
        <v>2130</v>
      </c>
      <c r="E1940" s="132" t="s">
        <v>26</v>
      </c>
      <c r="F1940" s="97" t="str">
        <f ca="1">IF(OR(Market_Data[[#This Row],[Start Date]]="",Market_Data[[#This Row],[Completion Date]]=""),"Needs Validation",IF(Market_Data[[#This Row],[Start Date]]&gt;TODAY(),"Planned",IF(Market_Data[[#This Row],[Completion Date]]&lt;TODAY(),"Completed","Ongoing")))</f>
        <v>Completed</v>
      </c>
      <c r="G1940" s="324">
        <v>41716</v>
      </c>
      <c r="H1940" s="324">
        <v>43921</v>
      </c>
      <c r="I1940" s="325">
        <v>17100</v>
      </c>
      <c r="J194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40" s="133">
        <f>_xlfn.XLOOKUP(Market_Data[[#This Row],[Project Type]],tbl_assumptions_market[Project Category (RERA)],tbl_assumptions_market[Concrete Intensity
(m³ / sq m BUA)],"",0)</f>
        <v>0.18</v>
      </c>
      <c r="L1940" s="134">
        <f>ROUND(Market_Data[[#This Row],[Estimated Built Up Area (sq m)]]*Market_Data[[#This Row],[Concrete Intensity
(m³ / sq m)]],0)</f>
        <v>3078</v>
      </c>
      <c r="M1940" s="135">
        <f>_xlfn.XLOOKUP(Market_Data[[#This Row],[District]],tbl_district_price[District],tbl_district_price[Standard Price
(INR/m³)],"",0)</f>
        <v>6200</v>
      </c>
      <c r="N1940" s="364">
        <f>IF(OR(Market_Data[[#This Row],[Estimated Concrete Demand (m³)]]="",Market_Data[[#This Row],[Avg Price per (₹ / m³)]]=""),"",Market_Data[[#This Row],[Estimated Concrete Demand (m³)]]*Market_Data[[#This Row],[Avg Price per (₹ / m³)]]/10000000)</f>
        <v>1.9083600000000001</v>
      </c>
      <c r="O1940" s="97" t="str">
        <f>IF(Market_Data[[#This Row],[Estimated Concrete Demand (m³)]]="","",
IF(Market_Data[[#This Row],[Estimated Concrete Demand (m³)]]&lt;10000,"Small",
IF(Market_Data[[#This Row],[Estimated Concrete Demand (m³)]]&lt;25000,"Medium",
IF(Market_Data[[#This Row],[Estimated Concrete Demand (m³)]]&lt;100000,"Large","Mega"))))</f>
        <v>Small</v>
      </c>
      <c r="P1940" s="287" t="str">
        <f t="shared" si="32"/>
        <v>GujRERA</v>
      </c>
    </row>
    <row r="1941" spans="1:16">
      <c r="A1941" s="129" t="str">
        <f>_xlfn.XLOOKUP(B1941,$S$9:$S$14,$T$9:$T$14)&amp;"-"&amp;
IF(E1941="Residential/Group Housing","RES",
IF(E1941="Commercial","COM",
IF(E1941="Mixed Development","MIX",
IF(E1941="Plotted Development","PLT","OTH"))))
&amp;"-"&amp;TEXT(COUNTIFS($B$9:B1941,B1941,$E$9:E1941,E1941),"0000")</f>
        <v>SUR-MIX-0323</v>
      </c>
      <c r="B1941" s="322" t="s">
        <v>34</v>
      </c>
      <c r="C1941" s="322" t="s">
        <v>34</v>
      </c>
      <c r="D1941" s="323" t="s">
        <v>2131</v>
      </c>
      <c r="E1941" s="132" t="s">
        <v>25</v>
      </c>
      <c r="F1941" s="97" t="str">
        <f ca="1">IF(OR(Market_Data[[#This Row],[Start Date]]="",Market_Data[[#This Row],[Completion Date]]=""),"Needs Validation",IF(Market_Data[[#This Row],[Start Date]]&gt;TODAY(),"Planned",IF(Market_Data[[#This Row],[Completion Date]]&lt;TODAY(),"Completed","Ongoing")))</f>
        <v>Completed</v>
      </c>
      <c r="G1941" s="324">
        <v>43073</v>
      </c>
      <c r="H1941" s="324">
        <v>44742</v>
      </c>
      <c r="I1941" s="325">
        <v>52000</v>
      </c>
      <c r="J194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41" s="133">
        <f>_xlfn.XLOOKUP(Market_Data[[#This Row],[Project Type]],tbl_assumptions_market[Project Category (RERA)],tbl_assumptions_market[Concrete Intensity
(m³ / sq m BUA)],"",0)</f>
        <v>0.42</v>
      </c>
      <c r="L1941" s="134">
        <f>ROUND(Market_Data[[#This Row],[Estimated Built Up Area (sq m)]]*Market_Data[[#This Row],[Concrete Intensity
(m³ / sq m)]],0)</f>
        <v>21840</v>
      </c>
      <c r="M1941" s="135">
        <f>_xlfn.XLOOKUP(Market_Data[[#This Row],[District]],tbl_district_price[District],tbl_district_price[Standard Price
(INR/m³)],"",0)</f>
        <v>6200</v>
      </c>
      <c r="N1941" s="364">
        <f>IF(OR(Market_Data[[#This Row],[Estimated Concrete Demand (m³)]]="",Market_Data[[#This Row],[Avg Price per (₹ / m³)]]=""),"",Market_Data[[#This Row],[Estimated Concrete Demand (m³)]]*Market_Data[[#This Row],[Avg Price per (₹ / m³)]]/10000000)</f>
        <v>13.540800000000001</v>
      </c>
      <c r="O1941" s="97" t="str">
        <f>IF(Market_Data[[#This Row],[Estimated Concrete Demand (m³)]]="","",
IF(Market_Data[[#This Row],[Estimated Concrete Demand (m³)]]&lt;10000,"Small",
IF(Market_Data[[#This Row],[Estimated Concrete Demand (m³)]]&lt;25000,"Medium",
IF(Market_Data[[#This Row],[Estimated Concrete Demand (m³)]]&lt;100000,"Large","Mega"))))</f>
        <v>Medium</v>
      </c>
      <c r="P1941" s="287" t="str">
        <f t="shared" si="32"/>
        <v>GujRERA</v>
      </c>
    </row>
    <row r="1942" spans="1:16">
      <c r="A1942" s="129" t="str">
        <f>_xlfn.XLOOKUP(B1942,$S$9:$S$14,$T$9:$T$14)&amp;"-"&amp;
IF(E1942="Residential/Group Housing","RES",
IF(E1942="Commercial","COM",
IF(E1942="Mixed Development","MIX",
IF(E1942="Plotted Development","PLT","OTH"))))
&amp;"-"&amp;TEXT(COUNTIFS($B$9:B1942,B1942,$E$9:E1942,E1942),"0000")</f>
        <v>SUR-MIX-0324</v>
      </c>
      <c r="B1942" s="322" t="s">
        <v>34</v>
      </c>
      <c r="C1942" s="322" t="s">
        <v>34</v>
      </c>
      <c r="D1942" s="323" t="s">
        <v>2132</v>
      </c>
      <c r="E1942" s="132" t="s">
        <v>25</v>
      </c>
      <c r="F1942" s="97" t="str">
        <f ca="1">IF(OR(Market_Data[[#This Row],[Start Date]]="",Market_Data[[#This Row],[Completion Date]]=""),"Needs Validation",IF(Market_Data[[#This Row],[Start Date]]&gt;TODAY(),"Planned",IF(Market_Data[[#This Row],[Completion Date]]&lt;TODAY(),"Completed","Ongoing")))</f>
        <v>Completed</v>
      </c>
      <c r="G1942" s="324">
        <v>42844</v>
      </c>
      <c r="H1942" s="324">
        <v>45221</v>
      </c>
      <c r="I1942" s="325">
        <v>8000</v>
      </c>
      <c r="J194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942" s="133">
        <f>_xlfn.XLOOKUP(Market_Data[[#This Row],[Project Type]],tbl_assumptions_market[Project Category (RERA)],tbl_assumptions_market[Concrete Intensity
(m³ / sq m BUA)],"",0)</f>
        <v>0.42</v>
      </c>
      <c r="L1942" s="134">
        <f>ROUND(Market_Data[[#This Row],[Estimated Built Up Area (sq m)]]*Market_Data[[#This Row],[Concrete Intensity
(m³ / sq m)]],0)</f>
        <v>3360</v>
      </c>
      <c r="M1942" s="135">
        <f>_xlfn.XLOOKUP(Market_Data[[#This Row],[District]],tbl_district_price[District],tbl_district_price[Standard Price
(INR/m³)],"",0)</f>
        <v>6200</v>
      </c>
      <c r="N1942" s="364">
        <f>IF(OR(Market_Data[[#This Row],[Estimated Concrete Demand (m³)]]="",Market_Data[[#This Row],[Avg Price per (₹ / m³)]]=""),"",Market_Data[[#This Row],[Estimated Concrete Demand (m³)]]*Market_Data[[#This Row],[Avg Price per (₹ / m³)]]/10000000)</f>
        <v>2.0832000000000002</v>
      </c>
      <c r="O1942" s="97" t="str">
        <f>IF(Market_Data[[#This Row],[Estimated Concrete Demand (m³)]]="","",
IF(Market_Data[[#This Row],[Estimated Concrete Demand (m³)]]&lt;10000,"Small",
IF(Market_Data[[#This Row],[Estimated Concrete Demand (m³)]]&lt;25000,"Medium",
IF(Market_Data[[#This Row],[Estimated Concrete Demand (m³)]]&lt;100000,"Large","Mega"))))</f>
        <v>Small</v>
      </c>
      <c r="P1942" s="287" t="str">
        <f t="shared" si="32"/>
        <v>GujRERA</v>
      </c>
    </row>
    <row r="1943" spans="1:16">
      <c r="A1943" s="129" t="str">
        <f>_xlfn.XLOOKUP(B1943,$S$9:$S$14,$T$9:$T$14)&amp;"-"&amp;
IF(E1943="Residential/Group Housing","RES",
IF(E1943="Commercial","COM",
IF(E1943="Mixed Development","MIX",
IF(E1943="Plotted Development","PLT","OTH"))))
&amp;"-"&amp;TEXT(COUNTIFS($B$9:B1943,B1943,$E$9:E1943,E1943),"0000")</f>
        <v>SUR-RES-0636</v>
      </c>
      <c r="B1943" s="322" t="s">
        <v>34</v>
      </c>
      <c r="C1943" s="322" t="s">
        <v>34</v>
      </c>
      <c r="D1943" s="323" t="s">
        <v>2133</v>
      </c>
      <c r="E1943" s="132" t="s">
        <v>24</v>
      </c>
      <c r="F1943" s="97" t="str">
        <f ca="1">IF(OR(Market_Data[[#This Row],[Start Date]]="",Market_Data[[#This Row],[Completion Date]]=""),"Needs Validation",IF(Market_Data[[#This Row],[Start Date]]&gt;TODAY(),"Planned",IF(Market_Data[[#This Row],[Completion Date]]&lt;TODAY(),"Completed","Ongoing")))</f>
        <v>Ongoing</v>
      </c>
      <c r="G1943" s="324">
        <v>45909</v>
      </c>
      <c r="H1943" s="324">
        <v>47848</v>
      </c>
      <c r="I1943" s="325">
        <v>48500</v>
      </c>
      <c r="J194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43" s="133">
        <f>_xlfn.XLOOKUP(Market_Data[[#This Row],[Project Type]],tbl_assumptions_market[Project Category (RERA)],tbl_assumptions_market[Concrete Intensity
(m³ / sq m BUA)],"",0)</f>
        <v>0.45</v>
      </c>
      <c r="L1943" s="134">
        <f>ROUND(Market_Data[[#This Row],[Estimated Built Up Area (sq m)]]*Market_Data[[#This Row],[Concrete Intensity
(m³ / sq m)]],0)</f>
        <v>21825</v>
      </c>
      <c r="M1943" s="135">
        <f>_xlfn.XLOOKUP(Market_Data[[#This Row],[District]],tbl_district_price[District],tbl_district_price[Standard Price
(INR/m³)],"",0)</f>
        <v>6200</v>
      </c>
      <c r="N1943" s="364">
        <f>IF(OR(Market_Data[[#This Row],[Estimated Concrete Demand (m³)]]="",Market_Data[[#This Row],[Avg Price per (₹ / m³)]]=""),"",Market_Data[[#This Row],[Estimated Concrete Demand (m³)]]*Market_Data[[#This Row],[Avg Price per (₹ / m³)]]/10000000)</f>
        <v>13.531499999999999</v>
      </c>
      <c r="O1943" s="97" t="str">
        <f>IF(Market_Data[[#This Row],[Estimated Concrete Demand (m³)]]="","",
IF(Market_Data[[#This Row],[Estimated Concrete Demand (m³)]]&lt;10000,"Small",
IF(Market_Data[[#This Row],[Estimated Concrete Demand (m³)]]&lt;25000,"Medium",
IF(Market_Data[[#This Row],[Estimated Concrete Demand (m³)]]&lt;100000,"Large","Mega"))))</f>
        <v>Medium</v>
      </c>
      <c r="P1943" s="287" t="str">
        <f t="shared" si="32"/>
        <v>GujRERA</v>
      </c>
    </row>
    <row r="1944" spans="1:16">
      <c r="A1944" s="129" t="str">
        <f>_xlfn.XLOOKUP(B1944,$S$9:$S$14,$T$9:$T$14)&amp;"-"&amp;
IF(E1944="Residential/Group Housing","RES",
IF(E1944="Commercial","COM",
IF(E1944="Mixed Development","MIX",
IF(E1944="Plotted Development","PLT","OTH"))))
&amp;"-"&amp;TEXT(COUNTIFS($B$9:B1944,B1944,$E$9:E1944,E1944),"0000")</f>
        <v>SUR-PLT-0357</v>
      </c>
      <c r="B1944" s="322" t="s">
        <v>34</v>
      </c>
      <c r="C1944" s="322" t="s">
        <v>34</v>
      </c>
      <c r="D1944" s="323" t="s">
        <v>2134</v>
      </c>
      <c r="E1944" s="132" t="s">
        <v>26</v>
      </c>
      <c r="F1944" s="97" t="str">
        <f ca="1">IF(OR(Market_Data[[#This Row],[Start Date]]="",Market_Data[[#This Row],[Completion Date]]=""),"Needs Validation",IF(Market_Data[[#This Row],[Start Date]]&gt;TODAY(),"Planned",IF(Market_Data[[#This Row],[Completion Date]]&lt;TODAY(),"Completed","Ongoing")))</f>
        <v>Completed</v>
      </c>
      <c r="G1944" s="324">
        <v>41717</v>
      </c>
      <c r="H1944" s="324">
        <v>43921</v>
      </c>
      <c r="I1944" s="325">
        <v>14700</v>
      </c>
      <c r="J194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44" s="133">
        <f>_xlfn.XLOOKUP(Market_Data[[#This Row],[Project Type]],tbl_assumptions_market[Project Category (RERA)],tbl_assumptions_market[Concrete Intensity
(m³ / sq m BUA)],"",0)</f>
        <v>0.18</v>
      </c>
      <c r="L1944" s="134">
        <f>ROUND(Market_Data[[#This Row],[Estimated Built Up Area (sq m)]]*Market_Data[[#This Row],[Concrete Intensity
(m³ / sq m)]],0)</f>
        <v>2646</v>
      </c>
      <c r="M1944" s="135">
        <f>_xlfn.XLOOKUP(Market_Data[[#This Row],[District]],tbl_district_price[District],tbl_district_price[Standard Price
(INR/m³)],"",0)</f>
        <v>6200</v>
      </c>
      <c r="N1944" s="364">
        <f>IF(OR(Market_Data[[#This Row],[Estimated Concrete Demand (m³)]]="",Market_Data[[#This Row],[Avg Price per (₹ / m³)]]=""),"",Market_Data[[#This Row],[Estimated Concrete Demand (m³)]]*Market_Data[[#This Row],[Avg Price per (₹ / m³)]]/10000000)</f>
        <v>1.64052</v>
      </c>
      <c r="O1944" s="97" t="str">
        <f>IF(Market_Data[[#This Row],[Estimated Concrete Demand (m³)]]="","",
IF(Market_Data[[#This Row],[Estimated Concrete Demand (m³)]]&lt;10000,"Small",
IF(Market_Data[[#This Row],[Estimated Concrete Demand (m³)]]&lt;25000,"Medium",
IF(Market_Data[[#This Row],[Estimated Concrete Demand (m³)]]&lt;100000,"Large","Mega"))))</f>
        <v>Small</v>
      </c>
      <c r="P1944" s="287" t="str">
        <f t="shared" si="32"/>
        <v>GujRERA</v>
      </c>
    </row>
    <row r="1945" spans="1:16">
      <c r="A1945" s="129" t="str">
        <f>_xlfn.XLOOKUP(B1945,$S$9:$S$14,$T$9:$T$14)&amp;"-"&amp;
IF(E1945="Residential/Group Housing","RES",
IF(E1945="Commercial","COM",
IF(E1945="Mixed Development","MIX",
IF(E1945="Plotted Development","PLT","OTH"))))
&amp;"-"&amp;TEXT(COUNTIFS($B$9:B1945,B1945,$E$9:E1945,E1945),"0000")</f>
        <v>SUR-PLT-0358</v>
      </c>
      <c r="B1945" s="322" t="s">
        <v>34</v>
      </c>
      <c r="C1945" s="322" t="s">
        <v>34</v>
      </c>
      <c r="D1945" s="323" t="s">
        <v>2135</v>
      </c>
      <c r="E1945" s="132" t="s">
        <v>26</v>
      </c>
      <c r="F1945" s="97" t="str">
        <f ca="1">IF(OR(Market_Data[[#This Row],[Start Date]]="",Market_Data[[#This Row],[Completion Date]]=""),"Needs Validation",IF(Market_Data[[#This Row],[Start Date]]&gt;TODAY(),"Planned",IF(Market_Data[[#This Row],[Completion Date]]&lt;TODAY(),"Completed","Ongoing")))</f>
        <v>Completed</v>
      </c>
      <c r="G1945" s="324">
        <v>42209</v>
      </c>
      <c r="H1945" s="324">
        <v>43921</v>
      </c>
      <c r="I1945" s="325">
        <v>38500</v>
      </c>
      <c r="J194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945" s="133">
        <f>_xlfn.XLOOKUP(Market_Data[[#This Row],[Project Type]],tbl_assumptions_market[Project Category (RERA)],tbl_assumptions_market[Concrete Intensity
(m³ / sq m BUA)],"",0)</f>
        <v>0.18</v>
      </c>
      <c r="L1945" s="134">
        <f>ROUND(Market_Data[[#This Row],[Estimated Built Up Area (sq m)]]*Market_Data[[#This Row],[Concrete Intensity
(m³ / sq m)]],0)</f>
        <v>6930</v>
      </c>
      <c r="M1945" s="135">
        <f>_xlfn.XLOOKUP(Market_Data[[#This Row],[District]],tbl_district_price[District],tbl_district_price[Standard Price
(INR/m³)],"",0)</f>
        <v>6200</v>
      </c>
      <c r="N1945" s="364">
        <f>IF(OR(Market_Data[[#This Row],[Estimated Concrete Demand (m³)]]="",Market_Data[[#This Row],[Avg Price per (₹ / m³)]]=""),"",Market_Data[[#This Row],[Estimated Concrete Demand (m³)]]*Market_Data[[#This Row],[Avg Price per (₹ / m³)]]/10000000)</f>
        <v>4.2965999999999998</v>
      </c>
      <c r="O1945" s="97" t="str">
        <f>IF(Market_Data[[#This Row],[Estimated Concrete Demand (m³)]]="","",
IF(Market_Data[[#This Row],[Estimated Concrete Demand (m³)]]&lt;10000,"Small",
IF(Market_Data[[#This Row],[Estimated Concrete Demand (m³)]]&lt;25000,"Medium",
IF(Market_Data[[#This Row],[Estimated Concrete Demand (m³)]]&lt;100000,"Large","Mega"))))</f>
        <v>Small</v>
      </c>
      <c r="P1945" s="287" t="str">
        <f t="shared" si="32"/>
        <v>GujRERA</v>
      </c>
    </row>
    <row r="1946" spans="1:16">
      <c r="A1946" s="129" t="str">
        <f>_xlfn.XLOOKUP(B1946,$S$9:$S$14,$T$9:$T$14)&amp;"-"&amp;
IF(E1946="Residential/Group Housing","RES",
IF(E1946="Commercial","COM",
IF(E1946="Mixed Development","MIX",
IF(E1946="Plotted Development","PLT","OTH"))))
&amp;"-"&amp;TEXT(COUNTIFS($B$9:B1946,B1946,$E$9:E1946,E1946),"0000")</f>
        <v>SUR-MIX-0325</v>
      </c>
      <c r="B1946" s="322" t="s">
        <v>34</v>
      </c>
      <c r="C1946" s="322" t="s">
        <v>34</v>
      </c>
      <c r="D1946" s="323" t="s">
        <v>2136</v>
      </c>
      <c r="E1946" s="132" t="s">
        <v>25</v>
      </c>
      <c r="F1946" s="97" t="str">
        <f ca="1">IF(OR(Market_Data[[#This Row],[Start Date]]="",Market_Data[[#This Row],[Completion Date]]=""),"Needs Validation",IF(Market_Data[[#This Row],[Start Date]]&gt;TODAY(),"Planned",IF(Market_Data[[#This Row],[Completion Date]]&lt;TODAY(),"Completed","Ongoing")))</f>
        <v>Completed</v>
      </c>
      <c r="G1946" s="324">
        <v>40233</v>
      </c>
      <c r="H1946" s="324">
        <v>43320</v>
      </c>
      <c r="I1946" s="325">
        <v>36200</v>
      </c>
      <c r="J194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46" s="133">
        <f>_xlfn.XLOOKUP(Market_Data[[#This Row],[Project Type]],tbl_assumptions_market[Project Category (RERA)],tbl_assumptions_market[Concrete Intensity
(m³ / sq m BUA)],"",0)</f>
        <v>0.42</v>
      </c>
      <c r="L1946" s="134">
        <f>ROUND(Market_Data[[#This Row],[Estimated Built Up Area (sq m)]]*Market_Data[[#This Row],[Concrete Intensity
(m³ / sq m)]],0)</f>
        <v>15204</v>
      </c>
      <c r="M1946" s="135">
        <f>_xlfn.XLOOKUP(Market_Data[[#This Row],[District]],tbl_district_price[District],tbl_district_price[Standard Price
(INR/m³)],"",0)</f>
        <v>6200</v>
      </c>
      <c r="N1946" s="364">
        <f>IF(OR(Market_Data[[#This Row],[Estimated Concrete Demand (m³)]]="",Market_Data[[#This Row],[Avg Price per (₹ / m³)]]=""),"",Market_Data[[#This Row],[Estimated Concrete Demand (m³)]]*Market_Data[[#This Row],[Avg Price per (₹ / m³)]]/10000000)</f>
        <v>9.4264799999999997</v>
      </c>
      <c r="O1946" s="97" t="str">
        <f>IF(Market_Data[[#This Row],[Estimated Concrete Demand (m³)]]="","",
IF(Market_Data[[#This Row],[Estimated Concrete Demand (m³)]]&lt;10000,"Small",
IF(Market_Data[[#This Row],[Estimated Concrete Demand (m³)]]&lt;25000,"Medium",
IF(Market_Data[[#This Row],[Estimated Concrete Demand (m³)]]&lt;100000,"Large","Mega"))))</f>
        <v>Medium</v>
      </c>
      <c r="P1946" s="287" t="str">
        <f t="shared" si="32"/>
        <v>GujRERA</v>
      </c>
    </row>
    <row r="1947" spans="1:16">
      <c r="A1947" s="129" t="str">
        <f>_xlfn.XLOOKUP(B1947,$S$9:$S$14,$T$9:$T$14)&amp;"-"&amp;
IF(E1947="Residential/Group Housing","RES",
IF(E1947="Commercial","COM",
IF(E1947="Mixed Development","MIX",
IF(E1947="Plotted Development","PLT","OTH"))))
&amp;"-"&amp;TEXT(COUNTIFS($B$9:B1947,B1947,$E$9:E1947,E1947),"0000")</f>
        <v>SUR-PLT-0359</v>
      </c>
      <c r="B1947" s="322" t="s">
        <v>34</v>
      </c>
      <c r="C1947" s="322" t="s">
        <v>34</v>
      </c>
      <c r="D1947" s="323" t="s">
        <v>2137</v>
      </c>
      <c r="E1947" s="132" t="s">
        <v>26</v>
      </c>
      <c r="F1947" s="97" t="str">
        <f ca="1">IF(OR(Market_Data[[#This Row],[Start Date]]="",Market_Data[[#This Row],[Completion Date]]=""),"Needs Validation",IF(Market_Data[[#This Row],[Start Date]]&gt;TODAY(),"Planned",IF(Market_Data[[#This Row],[Completion Date]]&lt;TODAY(),"Completed","Ongoing")))</f>
        <v>Completed</v>
      </c>
      <c r="G1947" s="324">
        <v>44501</v>
      </c>
      <c r="H1947" s="324">
        <v>45657</v>
      </c>
      <c r="I1947" s="325">
        <v>57200</v>
      </c>
      <c r="J194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947" s="133">
        <f>_xlfn.XLOOKUP(Market_Data[[#This Row],[Project Type]],tbl_assumptions_market[Project Category (RERA)],tbl_assumptions_market[Concrete Intensity
(m³ / sq m BUA)],"",0)</f>
        <v>0.18</v>
      </c>
      <c r="L1947" s="134">
        <f>ROUND(Market_Data[[#This Row],[Estimated Built Up Area (sq m)]]*Market_Data[[#This Row],[Concrete Intensity
(m³ / sq m)]],0)</f>
        <v>10296</v>
      </c>
      <c r="M1947" s="135">
        <f>_xlfn.XLOOKUP(Market_Data[[#This Row],[District]],tbl_district_price[District],tbl_district_price[Standard Price
(INR/m³)],"",0)</f>
        <v>6200</v>
      </c>
      <c r="N1947" s="364">
        <f>IF(OR(Market_Data[[#This Row],[Estimated Concrete Demand (m³)]]="",Market_Data[[#This Row],[Avg Price per (₹ / m³)]]=""),"",Market_Data[[#This Row],[Estimated Concrete Demand (m³)]]*Market_Data[[#This Row],[Avg Price per (₹ / m³)]]/10000000)</f>
        <v>6.3835199999999999</v>
      </c>
      <c r="O1947" s="97" t="str">
        <f>IF(Market_Data[[#This Row],[Estimated Concrete Demand (m³)]]="","",
IF(Market_Data[[#This Row],[Estimated Concrete Demand (m³)]]&lt;10000,"Small",
IF(Market_Data[[#This Row],[Estimated Concrete Demand (m³)]]&lt;25000,"Medium",
IF(Market_Data[[#This Row],[Estimated Concrete Demand (m³)]]&lt;100000,"Large","Mega"))))</f>
        <v>Medium</v>
      </c>
      <c r="P1947" s="287" t="str">
        <f t="shared" si="32"/>
        <v>GujRERA</v>
      </c>
    </row>
    <row r="1948" spans="1:16">
      <c r="A1948" s="129" t="str">
        <f>_xlfn.XLOOKUP(B1948,$S$9:$S$14,$T$9:$T$14)&amp;"-"&amp;
IF(E1948="Residential/Group Housing","RES",
IF(E1948="Commercial","COM",
IF(E1948="Mixed Development","MIX",
IF(E1948="Plotted Development","PLT","OTH"))))
&amp;"-"&amp;TEXT(COUNTIFS($B$9:B1948,B1948,$E$9:E1948,E1948),"0000")</f>
        <v>SUR-MIX-0326</v>
      </c>
      <c r="B1948" s="322" t="s">
        <v>34</v>
      </c>
      <c r="C1948" s="322" t="s">
        <v>34</v>
      </c>
      <c r="D1948" s="323" t="s">
        <v>2138</v>
      </c>
      <c r="E1948" s="132" t="s">
        <v>25</v>
      </c>
      <c r="F1948" s="97" t="str">
        <f ca="1">IF(OR(Market_Data[[#This Row],[Start Date]]="",Market_Data[[#This Row],[Completion Date]]=""),"Needs Validation",IF(Market_Data[[#This Row],[Start Date]]&gt;TODAY(),"Planned",IF(Market_Data[[#This Row],[Completion Date]]&lt;TODAY(),"Completed","Ongoing")))</f>
        <v>Ongoing</v>
      </c>
      <c r="G1948" s="324">
        <v>44575</v>
      </c>
      <c r="H1948" s="324">
        <v>47299</v>
      </c>
      <c r="I1948" s="325">
        <v>25400</v>
      </c>
      <c r="J194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48" s="133">
        <f>_xlfn.XLOOKUP(Market_Data[[#This Row],[Project Type]],tbl_assumptions_market[Project Category (RERA)],tbl_assumptions_market[Concrete Intensity
(m³ / sq m BUA)],"",0)</f>
        <v>0.42</v>
      </c>
      <c r="L1948" s="134">
        <f>ROUND(Market_Data[[#This Row],[Estimated Built Up Area (sq m)]]*Market_Data[[#This Row],[Concrete Intensity
(m³ / sq m)]],0)</f>
        <v>10668</v>
      </c>
      <c r="M1948" s="135">
        <f>_xlfn.XLOOKUP(Market_Data[[#This Row],[District]],tbl_district_price[District],tbl_district_price[Standard Price
(INR/m³)],"",0)</f>
        <v>6200</v>
      </c>
      <c r="N1948" s="364">
        <f>IF(OR(Market_Data[[#This Row],[Estimated Concrete Demand (m³)]]="",Market_Data[[#This Row],[Avg Price per (₹ / m³)]]=""),"",Market_Data[[#This Row],[Estimated Concrete Demand (m³)]]*Market_Data[[#This Row],[Avg Price per (₹ / m³)]]/10000000)</f>
        <v>6.61416</v>
      </c>
      <c r="O1948" s="97" t="str">
        <f>IF(Market_Data[[#This Row],[Estimated Concrete Demand (m³)]]="","",
IF(Market_Data[[#This Row],[Estimated Concrete Demand (m³)]]&lt;10000,"Small",
IF(Market_Data[[#This Row],[Estimated Concrete Demand (m³)]]&lt;25000,"Medium",
IF(Market_Data[[#This Row],[Estimated Concrete Demand (m³)]]&lt;100000,"Large","Mega"))))</f>
        <v>Medium</v>
      </c>
      <c r="P1948" s="287" t="str">
        <f t="shared" si="32"/>
        <v>GujRERA</v>
      </c>
    </row>
    <row r="1949" spans="1:16">
      <c r="A1949" s="129" t="str">
        <f>_xlfn.XLOOKUP(B1949,$S$9:$S$14,$T$9:$T$14)&amp;"-"&amp;
IF(E1949="Residential/Group Housing","RES",
IF(E1949="Commercial","COM",
IF(E1949="Mixed Development","MIX",
IF(E1949="Plotted Development","PLT","OTH"))))
&amp;"-"&amp;TEXT(COUNTIFS($B$9:B1949,B1949,$E$9:E1949,E1949),"0000")</f>
        <v>SUR-RES-0637</v>
      </c>
      <c r="B1949" s="322" t="s">
        <v>34</v>
      </c>
      <c r="C1949" s="322" t="s">
        <v>34</v>
      </c>
      <c r="D1949" s="323" t="s">
        <v>2139</v>
      </c>
      <c r="E1949" s="132" t="s">
        <v>24</v>
      </c>
      <c r="F1949" s="97" t="str">
        <f ca="1">IF(OR(Market_Data[[#This Row],[Start Date]]="",Market_Data[[#This Row],[Completion Date]]=""),"Needs Validation",IF(Market_Data[[#This Row],[Start Date]]&gt;TODAY(),"Planned",IF(Market_Data[[#This Row],[Completion Date]]&lt;TODAY(),"Completed","Ongoing")))</f>
        <v>Ongoing</v>
      </c>
      <c r="G1949" s="324">
        <v>44414</v>
      </c>
      <c r="H1949" s="324">
        <v>46752</v>
      </c>
      <c r="I1949" s="325">
        <v>49600</v>
      </c>
      <c r="J194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49" s="133">
        <f>_xlfn.XLOOKUP(Market_Data[[#This Row],[Project Type]],tbl_assumptions_market[Project Category (RERA)],tbl_assumptions_market[Concrete Intensity
(m³ / sq m BUA)],"",0)</f>
        <v>0.45</v>
      </c>
      <c r="L1949" s="134">
        <f>ROUND(Market_Data[[#This Row],[Estimated Built Up Area (sq m)]]*Market_Data[[#This Row],[Concrete Intensity
(m³ / sq m)]],0)</f>
        <v>22320</v>
      </c>
      <c r="M1949" s="135">
        <f>_xlfn.XLOOKUP(Market_Data[[#This Row],[District]],tbl_district_price[District],tbl_district_price[Standard Price
(INR/m³)],"",0)</f>
        <v>6200</v>
      </c>
      <c r="N1949" s="364">
        <f>IF(OR(Market_Data[[#This Row],[Estimated Concrete Demand (m³)]]="",Market_Data[[#This Row],[Avg Price per (₹ / m³)]]=""),"",Market_Data[[#This Row],[Estimated Concrete Demand (m³)]]*Market_Data[[#This Row],[Avg Price per (₹ / m³)]]/10000000)</f>
        <v>13.8384</v>
      </c>
      <c r="O1949" s="97" t="str">
        <f>IF(Market_Data[[#This Row],[Estimated Concrete Demand (m³)]]="","",
IF(Market_Data[[#This Row],[Estimated Concrete Demand (m³)]]&lt;10000,"Small",
IF(Market_Data[[#This Row],[Estimated Concrete Demand (m³)]]&lt;25000,"Medium",
IF(Market_Data[[#This Row],[Estimated Concrete Demand (m³)]]&lt;100000,"Large","Mega"))))</f>
        <v>Medium</v>
      </c>
      <c r="P1949" s="287" t="str">
        <f t="shared" si="32"/>
        <v>GujRERA</v>
      </c>
    </row>
    <row r="1950" spans="1:16">
      <c r="A1950" s="129" t="str">
        <f>_xlfn.XLOOKUP(B1950,$S$9:$S$14,$T$9:$T$14)&amp;"-"&amp;
IF(E1950="Residential/Group Housing","RES",
IF(E1950="Commercial","COM",
IF(E1950="Mixed Development","MIX",
IF(E1950="Plotted Development","PLT","OTH"))))
&amp;"-"&amp;TEXT(COUNTIFS($B$9:B1950,B1950,$E$9:E1950,E1950),"0000")</f>
        <v>SUR-PLT-0360</v>
      </c>
      <c r="B1950" s="322" t="s">
        <v>34</v>
      </c>
      <c r="C1950" s="322" t="s">
        <v>34</v>
      </c>
      <c r="D1950" s="323" t="s">
        <v>2140</v>
      </c>
      <c r="E1950" s="132" t="s">
        <v>26</v>
      </c>
      <c r="F1950" s="97" t="str">
        <f ca="1">IF(OR(Market_Data[[#This Row],[Start Date]]="",Market_Data[[#This Row],[Completion Date]]=""),"Needs Validation",IF(Market_Data[[#This Row],[Start Date]]&gt;TODAY(),"Planned",IF(Market_Data[[#This Row],[Completion Date]]&lt;TODAY(),"Completed","Ongoing")))</f>
        <v>Ongoing</v>
      </c>
      <c r="G1950" s="324">
        <v>45432</v>
      </c>
      <c r="H1950" s="324">
        <v>46752</v>
      </c>
      <c r="I1950" s="325">
        <v>47000</v>
      </c>
      <c r="J195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950" s="133">
        <f>_xlfn.XLOOKUP(Market_Data[[#This Row],[Project Type]],tbl_assumptions_market[Project Category (RERA)],tbl_assumptions_market[Concrete Intensity
(m³ / sq m BUA)],"",0)</f>
        <v>0.18</v>
      </c>
      <c r="L1950" s="134">
        <f>ROUND(Market_Data[[#This Row],[Estimated Built Up Area (sq m)]]*Market_Data[[#This Row],[Concrete Intensity
(m³ / sq m)]],0)</f>
        <v>8460</v>
      </c>
      <c r="M1950" s="135">
        <f>_xlfn.XLOOKUP(Market_Data[[#This Row],[District]],tbl_district_price[District],tbl_district_price[Standard Price
(INR/m³)],"",0)</f>
        <v>6200</v>
      </c>
      <c r="N1950" s="364">
        <f>IF(OR(Market_Data[[#This Row],[Estimated Concrete Demand (m³)]]="",Market_Data[[#This Row],[Avg Price per (₹ / m³)]]=""),"",Market_Data[[#This Row],[Estimated Concrete Demand (m³)]]*Market_Data[[#This Row],[Avg Price per (₹ / m³)]]/10000000)</f>
        <v>5.2451999999999996</v>
      </c>
      <c r="O1950" s="97" t="str">
        <f>IF(Market_Data[[#This Row],[Estimated Concrete Demand (m³)]]="","",
IF(Market_Data[[#This Row],[Estimated Concrete Demand (m³)]]&lt;10000,"Small",
IF(Market_Data[[#This Row],[Estimated Concrete Demand (m³)]]&lt;25000,"Medium",
IF(Market_Data[[#This Row],[Estimated Concrete Demand (m³)]]&lt;100000,"Large","Mega"))))</f>
        <v>Small</v>
      </c>
      <c r="P1950" s="287" t="str">
        <f t="shared" si="32"/>
        <v>GujRERA</v>
      </c>
    </row>
    <row r="1951" spans="1:16">
      <c r="A1951" s="129" t="str">
        <f>_xlfn.XLOOKUP(B1951,$S$9:$S$14,$T$9:$T$14)&amp;"-"&amp;
IF(E1951="Residential/Group Housing","RES",
IF(E1951="Commercial","COM",
IF(E1951="Mixed Development","MIX",
IF(E1951="Plotted Development","PLT","OTH"))))
&amp;"-"&amp;TEXT(COUNTIFS($B$9:B1951,B1951,$E$9:E1951,E1951),"0000")</f>
        <v>SUR-RES-0638</v>
      </c>
      <c r="B1951" s="322" t="s">
        <v>34</v>
      </c>
      <c r="C1951" s="322" t="s">
        <v>34</v>
      </c>
      <c r="D1951" s="323" t="s">
        <v>2141</v>
      </c>
      <c r="E1951" s="132" t="s">
        <v>24</v>
      </c>
      <c r="F1951" s="97" t="str">
        <f ca="1">IF(OR(Market_Data[[#This Row],[Start Date]]="",Market_Data[[#This Row],[Completion Date]]=""),"Needs Validation",IF(Market_Data[[#This Row],[Start Date]]&gt;TODAY(),"Planned",IF(Market_Data[[#This Row],[Completion Date]]&lt;TODAY(),"Completed","Ongoing")))</f>
        <v>Ongoing</v>
      </c>
      <c r="G1951" s="324">
        <v>42935</v>
      </c>
      <c r="H1951" s="324">
        <v>47136</v>
      </c>
      <c r="I1951" s="325">
        <v>50800</v>
      </c>
      <c r="J195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51" s="133">
        <f>_xlfn.XLOOKUP(Market_Data[[#This Row],[Project Type]],tbl_assumptions_market[Project Category (RERA)],tbl_assumptions_market[Concrete Intensity
(m³ / sq m BUA)],"",0)</f>
        <v>0.45</v>
      </c>
      <c r="L1951" s="134">
        <f>ROUND(Market_Data[[#This Row],[Estimated Built Up Area (sq m)]]*Market_Data[[#This Row],[Concrete Intensity
(m³ / sq m)]],0)</f>
        <v>22860</v>
      </c>
      <c r="M1951" s="135">
        <f>_xlfn.XLOOKUP(Market_Data[[#This Row],[District]],tbl_district_price[District],tbl_district_price[Standard Price
(INR/m³)],"",0)</f>
        <v>6200</v>
      </c>
      <c r="N1951" s="364">
        <f>IF(OR(Market_Data[[#This Row],[Estimated Concrete Demand (m³)]]="",Market_Data[[#This Row],[Avg Price per (₹ / m³)]]=""),"",Market_Data[[#This Row],[Estimated Concrete Demand (m³)]]*Market_Data[[#This Row],[Avg Price per (₹ / m³)]]/10000000)</f>
        <v>14.1732</v>
      </c>
      <c r="O1951" s="97" t="str">
        <f>IF(Market_Data[[#This Row],[Estimated Concrete Demand (m³)]]="","",
IF(Market_Data[[#This Row],[Estimated Concrete Demand (m³)]]&lt;10000,"Small",
IF(Market_Data[[#This Row],[Estimated Concrete Demand (m³)]]&lt;25000,"Medium",
IF(Market_Data[[#This Row],[Estimated Concrete Demand (m³)]]&lt;100000,"Large","Mega"))))</f>
        <v>Medium</v>
      </c>
      <c r="P1951" s="287" t="str">
        <f t="shared" si="32"/>
        <v>GujRERA</v>
      </c>
    </row>
    <row r="1952" spans="1:16">
      <c r="A1952" s="129" t="str">
        <f>_xlfn.XLOOKUP(B1952,$S$9:$S$14,$T$9:$T$14)&amp;"-"&amp;
IF(E1952="Residential/Group Housing","RES",
IF(E1952="Commercial","COM",
IF(E1952="Mixed Development","MIX",
IF(E1952="Plotted Development","PLT","OTH"))))
&amp;"-"&amp;TEXT(COUNTIFS($B$9:B1952,B1952,$E$9:E1952,E1952),"0000")</f>
        <v>SUR-RES-0639</v>
      </c>
      <c r="B1952" s="322" t="s">
        <v>34</v>
      </c>
      <c r="C1952" s="322" t="s">
        <v>34</v>
      </c>
      <c r="D1952" s="323" t="s">
        <v>2142</v>
      </c>
      <c r="E1952" s="132" t="s">
        <v>24</v>
      </c>
      <c r="F1952" s="97" t="str">
        <f ca="1">IF(OR(Market_Data[[#This Row],[Start Date]]="",Market_Data[[#This Row],[Completion Date]]=""),"Needs Validation",IF(Market_Data[[#This Row],[Start Date]]&gt;TODAY(),"Planned",IF(Market_Data[[#This Row],[Completion Date]]&lt;TODAY(),"Completed","Ongoing")))</f>
        <v>Completed</v>
      </c>
      <c r="G1952" s="324">
        <v>44154</v>
      </c>
      <c r="H1952" s="324">
        <v>45657</v>
      </c>
      <c r="I1952" s="325">
        <v>34900</v>
      </c>
      <c r="J195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52" s="133">
        <f>_xlfn.XLOOKUP(Market_Data[[#This Row],[Project Type]],tbl_assumptions_market[Project Category (RERA)],tbl_assumptions_market[Concrete Intensity
(m³ / sq m BUA)],"",0)</f>
        <v>0.45</v>
      </c>
      <c r="L1952" s="134">
        <f>ROUND(Market_Data[[#This Row],[Estimated Built Up Area (sq m)]]*Market_Data[[#This Row],[Concrete Intensity
(m³ / sq m)]],0)</f>
        <v>15705</v>
      </c>
      <c r="M1952" s="135">
        <f>_xlfn.XLOOKUP(Market_Data[[#This Row],[District]],tbl_district_price[District],tbl_district_price[Standard Price
(INR/m³)],"",0)</f>
        <v>6200</v>
      </c>
      <c r="N1952" s="364">
        <f>IF(OR(Market_Data[[#This Row],[Estimated Concrete Demand (m³)]]="",Market_Data[[#This Row],[Avg Price per (₹ / m³)]]=""),"",Market_Data[[#This Row],[Estimated Concrete Demand (m³)]]*Market_Data[[#This Row],[Avg Price per (₹ / m³)]]/10000000)</f>
        <v>9.7370999999999999</v>
      </c>
      <c r="O1952" s="97" t="str">
        <f>IF(Market_Data[[#This Row],[Estimated Concrete Demand (m³)]]="","",
IF(Market_Data[[#This Row],[Estimated Concrete Demand (m³)]]&lt;10000,"Small",
IF(Market_Data[[#This Row],[Estimated Concrete Demand (m³)]]&lt;25000,"Medium",
IF(Market_Data[[#This Row],[Estimated Concrete Demand (m³)]]&lt;100000,"Large","Mega"))))</f>
        <v>Medium</v>
      </c>
      <c r="P1952" s="287" t="str">
        <f t="shared" si="32"/>
        <v>GujRERA</v>
      </c>
    </row>
    <row r="1953" spans="1:16">
      <c r="A1953" s="129" t="str">
        <f>_xlfn.XLOOKUP(B1953,$S$9:$S$14,$T$9:$T$14)&amp;"-"&amp;
IF(E1953="Residential/Group Housing","RES",
IF(E1953="Commercial","COM",
IF(E1953="Mixed Development","MIX",
IF(E1953="Plotted Development","PLT","OTH"))))
&amp;"-"&amp;TEXT(COUNTIFS($B$9:B1953,B1953,$E$9:E1953,E1953),"0000")</f>
        <v>SUR-PLT-0361</v>
      </c>
      <c r="B1953" s="322" t="s">
        <v>34</v>
      </c>
      <c r="C1953" s="322" t="s">
        <v>34</v>
      </c>
      <c r="D1953" s="323" t="s">
        <v>2143</v>
      </c>
      <c r="E1953" s="132" t="s">
        <v>26</v>
      </c>
      <c r="F1953" s="97" t="str">
        <f ca="1">IF(OR(Market_Data[[#This Row],[Start Date]]="",Market_Data[[#This Row],[Completion Date]]=""),"Needs Validation",IF(Market_Data[[#This Row],[Start Date]]&gt;TODAY(),"Planned",IF(Market_Data[[#This Row],[Completion Date]]&lt;TODAY(),"Completed","Ongoing")))</f>
        <v>Ongoing</v>
      </c>
      <c r="G1953" s="324">
        <v>45679</v>
      </c>
      <c r="H1953" s="324">
        <v>46752</v>
      </c>
      <c r="I1953" s="325">
        <v>24200</v>
      </c>
      <c r="J195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53" s="133">
        <f>_xlfn.XLOOKUP(Market_Data[[#This Row],[Project Type]],tbl_assumptions_market[Project Category (RERA)],tbl_assumptions_market[Concrete Intensity
(m³ / sq m BUA)],"",0)</f>
        <v>0.18</v>
      </c>
      <c r="L1953" s="134">
        <f>ROUND(Market_Data[[#This Row],[Estimated Built Up Area (sq m)]]*Market_Data[[#This Row],[Concrete Intensity
(m³ / sq m)]],0)</f>
        <v>4356</v>
      </c>
      <c r="M1953" s="135">
        <f>_xlfn.XLOOKUP(Market_Data[[#This Row],[District]],tbl_district_price[District],tbl_district_price[Standard Price
(INR/m³)],"",0)</f>
        <v>6200</v>
      </c>
      <c r="N1953" s="364">
        <f>IF(OR(Market_Data[[#This Row],[Estimated Concrete Demand (m³)]]="",Market_Data[[#This Row],[Avg Price per (₹ / m³)]]=""),"",Market_Data[[#This Row],[Estimated Concrete Demand (m³)]]*Market_Data[[#This Row],[Avg Price per (₹ / m³)]]/10000000)</f>
        <v>2.70072</v>
      </c>
      <c r="O1953" s="97" t="str">
        <f>IF(Market_Data[[#This Row],[Estimated Concrete Demand (m³)]]="","",
IF(Market_Data[[#This Row],[Estimated Concrete Demand (m³)]]&lt;10000,"Small",
IF(Market_Data[[#This Row],[Estimated Concrete Demand (m³)]]&lt;25000,"Medium",
IF(Market_Data[[#This Row],[Estimated Concrete Demand (m³)]]&lt;100000,"Large","Mega"))))</f>
        <v>Small</v>
      </c>
      <c r="P1953" s="287" t="str">
        <f t="shared" si="32"/>
        <v>GujRERA</v>
      </c>
    </row>
    <row r="1954" spans="1:16">
      <c r="A1954" s="129" t="str">
        <f>_xlfn.XLOOKUP(B1954,$S$9:$S$14,$T$9:$T$14)&amp;"-"&amp;
IF(E1954="Residential/Group Housing","RES",
IF(E1954="Commercial","COM",
IF(E1954="Mixed Development","MIX",
IF(E1954="Plotted Development","PLT","OTH"))))
&amp;"-"&amp;TEXT(COUNTIFS($B$9:B1954,B1954,$E$9:E1954,E1954),"0000")</f>
        <v>SUR-PLT-0362</v>
      </c>
      <c r="B1954" s="322" t="s">
        <v>34</v>
      </c>
      <c r="C1954" s="322" t="s">
        <v>34</v>
      </c>
      <c r="D1954" s="323" t="s">
        <v>2144</v>
      </c>
      <c r="E1954" s="132" t="s">
        <v>26</v>
      </c>
      <c r="F1954" s="97" t="str">
        <f ca="1">IF(OR(Market_Data[[#This Row],[Start Date]]="",Market_Data[[#This Row],[Completion Date]]=""),"Needs Validation",IF(Market_Data[[#This Row],[Start Date]]&gt;TODAY(),"Planned",IF(Market_Data[[#This Row],[Completion Date]]&lt;TODAY(),"Completed","Ongoing")))</f>
        <v>Ongoing</v>
      </c>
      <c r="G1954" s="324">
        <v>45191</v>
      </c>
      <c r="H1954" s="324">
        <v>46752</v>
      </c>
      <c r="I1954" s="325">
        <v>23500</v>
      </c>
      <c r="J195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54" s="133">
        <f>_xlfn.XLOOKUP(Market_Data[[#This Row],[Project Type]],tbl_assumptions_market[Project Category (RERA)],tbl_assumptions_market[Concrete Intensity
(m³ / sq m BUA)],"",0)</f>
        <v>0.18</v>
      </c>
      <c r="L1954" s="134">
        <f>ROUND(Market_Data[[#This Row],[Estimated Built Up Area (sq m)]]*Market_Data[[#This Row],[Concrete Intensity
(m³ / sq m)]],0)</f>
        <v>4230</v>
      </c>
      <c r="M1954" s="135">
        <f>_xlfn.XLOOKUP(Market_Data[[#This Row],[District]],tbl_district_price[District],tbl_district_price[Standard Price
(INR/m³)],"",0)</f>
        <v>6200</v>
      </c>
      <c r="N1954" s="364">
        <f>IF(OR(Market_Data[[#This Row],[Estimated Concrete Demand (m³)]]="",Market_Data[[#This Row],[Avg Price per (₹ / m³)]]=""),"",Market_Data[[#This Row],[Estimated Concrete Demand (m³)]]*Market_Data[[#This Row],[Avg Price per (₹ / m³)]]/10000000)</f>
        <v>2.6225999999999998</v>
      </c>
      <c r="O1954" s="97" t="str">
        <f>IF(Market_Data[[#This Row],[Estimated Concrete Demand (m³)]]="","",
IF(Market_Data[[#This Row],[Estimated Concrete Demand (m³)]]&lt;10000,"Small",
IF(Market_Data[[#This Row],[Estimated Concrete Demand (m³)]]&lt;25000,"Medium",
IF(Market_Data[[#This Row],[Estimated Concrete Demand (m³)]]&lt;100000,"Large","Mega"))))</f>
        <v>Small</v>
      </c>
      <c r="P1954" s="287" t="str">
        <f t="shared" si="32"/>
        <v>GujRERA</v>
      </c>
    </row>
    <row r="1955" spans="1:16">
      <c r="A1955" s="129" t="str">
        <f>_xlfn.XLOOKUP(B1955,$S$9:$S$14,$T$9:$T$14)&amp;"-"&amp;
IF(E1955="Residential/Group Housing","RES",
IF(E1955="Commercial","COM",
IF(E1955="Mixed Development","MIX",
IF(E1955="Plotted Development","PLT","OTH"))))
&amp;"-"&amp;TEXT(COUNTIFS($B$9:B1955,B1955,$E$9:E1955,E1955),"0000")</f>
        <v>SUR-PLT-0363</v>
      </c>
      <c r="B1955" s="322" t="s">
        <v>34</v>
      </c>
      <c r="C1955" s="322" t="s">
        <v>34</v>
      </c>
      <c r="D1955" s="323" t="s">
        <v>2145</v>
      </c>
      <c r="E1955" s="132" t="s">
        <v>26</v>
      </c>
      <c r="F1955" s="97" t="str">
        <f ca="1">IF(OR(Market_Data[[#This Row],[Start Date]]="",Market_Data[[#This Row],[Completion Date]]=""),"Needs Validation",IF(Market_Data[[#This Row],[Start Date]]&gt;TODAY(),"Planned",IF(Market_Data[[#This Row],[Completion Date]]&lt;TODAY(),"Completed","Ongoing")))</f>
        <v>Completed</v>
      </c>
      <c r="G1955" s="324">
        <v>43243</v>
      </c>
      <c r="H1955" s="324">
        <v>45261</v>
      </c>
      <c r="I1955" s="325">
        <v>47600</v>
      </c>
      <c r="J195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955" s="133">
        <f>_xlfn.XLOOKUP(Market_Data[[#This Row],[Project Type]],tbl_assumptions_market[Project Category (RERA)],tbl_assumptions_market[Concrete Intensity
(m³ / sq m BUA)],"",0)</f>
        <v>0.18</v>
      </c>
      <c r="L1955" s="134">
        <f>ROUND(Market_Data[[#This Row],[Estimated Built Up Area (sq m)]]*Market_Data[[#This Row],[Concrete Intensity
(m³ / sq m)]],0)</f>
        <v>8568</v>
      </c>
      <c r="M1955" s="135">
        <f>_xlfn.XLOOKUP(Market_Data[[#This Row],[District]],tbl_district_price[District],tbl_district_price[Standard Price
(INR/m³)],"",0)</f>
        <v>6200</v>
      </c>
      <c r="N1955" s="364">
        <f>IF(OR(Market_Data[[#This Row],[Estimated Concrete Demand (m³)]]="",Market_Data[[#This Row],[Avg Price per (₹ / m³)]]=""),"",Market_Data[[#This Row],[Estimated Concrete Demand (m³)]]*Market_Data[[#This Row],[Avg Price per (₹ / m³)]]/10000000)</f>
        <v>5.3121600000000004</v>
      </c>
      <c r="O1955" s="97" t="str">
        <f>IF(Market_Data[[#This Row],[Estimated Concrete Demand (m³)]]="","",
IF(Market_Data[[#This Row],[Estimated Concrete Demand (m³)]]&lt;10000,"Small",
IF(Market_Data[[#This Row],[Estimated Concrete Demand (m³)]]&lt;25000,"Medium",
IF(Market_Data[[#This Row],[Estimated Concrete Demand (m³)]]&lt;100000,"Large","Mega"))))</f>
        <v>Small</v>
      </c>
      <c r="P1955" s="287" t="str">
        <f t="shared" si="32"/>
        <v>GujRERA</v>
      </c>
    </row>
    <row r="1956" spans="1:16">
      <c r="A1956" s="129" t="str">
        <f>_xlfn.XLOOKUP(B1956,$S$9:$S$14,$T$9:$T$14)&amp;"-"&amp;
IF(E1956="Residential/Group Housing","RES",
IF(E1956="Commercial","COM",
IF(E1956="Mixed Development","MIX",
IF(E1956="Plotted Development","PLT","OTH"))))
&amp;"-"&amp;TEXT(COUNTIFS($B$9:B1956,B1956,$E$9:E1956,E1956),"0000")</f>
        <v>SUR-PLT-0364</v>
      </c>
      <c r="B1956" s="322" t="s">
        <v>34</v>
      </c>
      <c r="C1956" s="322" t="s">
        <v>34</v>
      </c>
      <c r="D1956" s="323" t="s">
        <v>2146</v>
      </c>
      <c r="E1956" s="132" t="s">
        <v>26</v>
      </c>
      <c r="F1956" s="97" t="str">
        <f ca="1">IF(OR(Market_Data[[#This Row],[Start Date]]="",Market_Data[[#This Row],[Completion Date]]=""),"Needs Validation",IF(Market_Data[[#This Row],[Start Date]]&gt;TODAY(),"Planned",IF(Market_Data[[#This Row],[Completion Date]]&lt;TODAY(),"Completed","Ongoing")))</f>
        <v>Completed</v>
      </c>
      <c r="G1956" s="324">
        <v>44579</v>
      </c>
      <c r="H1956" s="324">
        <v>46022</v>
      </c>
      <c r="I1956" s="325">
        <v>13000</v>
      </c>
      <c r="J195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56" s="133">
        <f>_xlfn.XLOOKUP(Market_Data[[#This Row],[Project Type]],tbl_assumptions_market[Project Category (RERA)],tbl_assumptions_market[Concrete Intensity
(m³ / sq m BUA)],"",0)</f>
        <v>0.18</v>
      </c>
      <c r="L1956" s="134">
        <f>ROUND(Market_Data[[#This Row],[Estimated Built Up Area (sq m)]]*Market_Data[[#This Row],[Concrete Intensity
(m³ / sq m)]],0)</f>
        <v>2340</v>
      </c>
      <c r="M1956" s="135">
        <f>_xlfn.XLOOKUP(Market_Data[[#This Row],[District]],tbl_district_price[District],tbl_district_price[Standard Price
(INR/m³)],"",0)</f>
        <v>6200</v>
      </c>
      <c r="N1956" s="364">
        <f>IF(OR(Market_Data[[#This Row],[Estimated Concrete Demand (m³)]]="",Market_Data[[#This Row],[Avg Price per (₹ / m³)]]=""),"",Market_Data[[#This Row],[Estimated Concrete Demand (m³)]]*Market_Data[[#This Row],[Avg Price per (₹ / m³)]]/10000000)</f>
        <v>1.4508000000000001</v>
      </c>
      <c r="O1956" s="97" t="str">
        <f>IF(Market_Data[[#This Row],[Estimated Concrete Demand (m³)]]="","",
IF(Market_Data[[#This Row],[Estimated Concrete Demand (m³)]]&lt;10000,"Small",
IF(Market_Data[[#This Row],[Estimated Concrete Demand (m³)]]&lt;25000,"Medium",
IF(Market_Data[[#This Row],[Estimated Concrete Demand (m³)]]&lt;100000,"Large","Mega"))))</f>
        <v>Small</v>
      </c>
      <c r="P1956" s="287" t="str">
        <f t="shared" si="32"/>
        <v>GujRERA</v>
      </c>
    </row>
    <row r="1957" spans="1:16">
      <c r="A1957" s="129" t="str">
        <f>_xlfn.XLOOKUP(B1957,$S$9:$S$14,$T$9:$T$14)&amp;"-"&amp;
IF(E1957="Residential/Group Housing","RES",
IF(E1957="Commercial","COM",
IF(E1957="Mixed Development","MIX",
IF(E1957="Plotted Development","PLT","OTH"))))
&amp;"-"&amp;TEXT(COUNTIFS($B$9:B1957,B1957,$E$9:E1957,E1957),"0000")</f>
        <v>SUR-PLT-0365</v>
      </c>
      <c r="B1957" s="322" t="s">
        <v>34</v>
      </c>
      <c r="C1957" s="322" t="s">
        <v>34</v>
      </c>
      <c r="D1957" s="323" t="s">
        <v>2147</v>
      </c>
      <c r="E1957" s="132" t="s">
        <v>26</v>
      </c>
      <c r="F1957" s="97" t="str">
        <f ca="1">IF(OR(Market_Data[[#This Row],[Start Date]]="",Market_Data[[#This Row],[Completion Date]]=""),"Needs Validation",IF(Market_Data[[#This Row],[Start Date]]&gt;TODAY(),"Planned",IF(Market_Data[[#This Row],[Completion Date]]&lt;TODAY(),"Completed","Ongoing")))</f>
        <v>Ongoing</v>
      </c>
      <c r="G1957" s="324">
        <v>45384</v>
      </c>
      <c r="H1957" s="324">
        <v>46752</v>
      </c>
      <c r="I1957" s="325">
        <v>40500</v>
      </c>
      <c r="J195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957" s="133">
        <f>_xlfn.XLOOKUP(Market_Data[[#This Row],[Project Type]],tbl_assumptions_market[Project Category (RERA)],tbl_assumptions_market[Concrete Intensity
(m³ / sq m BUA)],"",0)</f>
        <v>0.18</v>
      </c>
      <c r="L1957" s="134">
        <f>ROUND(Market_Data[[#This Row],[Estimated Built Up Area (sq m)]]*Market_Data[[#This Row],[Concrete Intensity
(m³ / sq m)]],0)</f>
        <v>7290</v>
      </c>
      <c r="M1957" s="135">
        <f>_xlfn.XLOOKUP(Market_Data[[#This Row],[District]],tbl_district_price[District],tbl_district_price[Standard Price
(INR/m³)],"",0)</f>
        <v>6200</v>
      </c>
      <c r="N1957" s="364">
        <f>IF(OR(Market_Data[[#This Row],[Estimated Concrete Demand (m³)]]="",Market_Data[[#This Row],[Avg Price per (₹ / m³)]]=""),"",Market_Data[[#This Row],[Estimated Concrete Demand (m³)]]*Market_Data[[#This Row],[Avg Price per (₹ / m³)]]/10000000)</f>
        <v>4.5198</v>
      </c>
      <c r="O1957" s="97" t="str">
        <f>IF(Market_Data[[#This Row],[Estimated Concrete Demand (m³)]]="","",
IF(Market_Data[[#This Row],[Estimated Concrete Demand (m³)]]&lt;10000,"Small",
IF(Market_Data[[#This Row],[Estimated Concrete Demand (m³)]]&lt;25000,"Medium",
IF(Market_Data[[#This Row],[Estimated Concrete Demand (m³)]]&lt;100000,"Large","Mega"))))</f>
        <v>Small</v>
      </c>
      <c r="P1957" s="287" t="str">
        <f t="shared" si="32"/>
        <v>GujRERA</v>
      </c>
    </row>
    <row r="1958" spans="1:16">
      <c r="A1958" s="129" t="str">
        <f>_xlfn.XLOOKUP(B1958,$S$9:$S$14,$T$9:$T$14)&amp;"-"&amp;
IF(E1958="Residential/Group Housing","RES",
IF(E1958="Commercial","COM",
IF(E1958="Mixed Development","MIX",
IF(E1958="Plotted Development","PLT","OTH"))))
&amp;"-"&amp;TEXT(COUNTIFS($B$9:B1958,B1958,$E$9:E1958,E1958),"0000")</f>
        <v>SUR-PLT-0366</v>
      </c>
      <c r="B1958" s="322" t="s">
        <v>34</v>
      </c>
      <c r="C1958" s="322" t="s">
        <v>34</v>
      </c>
      <c r="D1958" s="323" t="s">
        <v>2148</v>
      </c>
      <c r="E1958" s="132" t="s">
        <v>26</v>
      </c>
      <c r="F1958" s="97" t="str">
        <f ca="1">IF(OR(Market_Data[[#This Row],[Start Date]]="",Market_Data[[#This Row],[Completion Date]]=""),"Needs Validation",IF(Market_Data[[#This Row],[Start Date]]&gt;TODAY(),"Planned",IF(Market_Data[[#This Row],[Completion Date]]&lt;TODAY(),"Completed","Ongoing")))</f>
        <v>Ongoing</v>
      </c>
      <c r="G1958" s="324">
        <v>44854</v>
      </c>
      <c r="H1958" s="324">
        <v>46568</v>
      </c>
      <c r="I1958" s="325">
        <v>25800</v>
      </c>
      <c r="J195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58" s="133">
        <f>_xlfn.XLOOKUP(Market_Data[[#This Row],[Project Type]],tbl_assumptions_market[Project Category (RERA)],tbl_assumptions_market[Concrete Intensity
(m³ / sq m BUA)],"",0)</f>
        <v>0.18</v>
      </c>
      <c r="L1958" s="134">
        <f>ROUND(Market_Data[[#This Row],[Estimated Built Up Area (sq m)]]*Market_Data[[#This Row],[Concrete Intensity
(m³ / sq m)]],0)</f>
        <v>4644</v>
      </c>
      <c r="M1958" s="135">
        <f>_xlfn.XLOOKUP(Market_Data[[#This Row],[District]],tbl_district_price[District],tbl_district_price[Standard Price
(INR/m³)],"",0)</f>
        <v>6200</v>
      </c>
      <c r="N1958" s="364">
        <f>IF(OR(Market_Data[[#This Row],[Estimated Concrete Demand (m³)]]="",Market_Data[[#This Row],[Avg Price per (₹ / m³)]]=""),"",Market_Data[[#This Row],[Estimated Concrete Demand (m³)]]*Market_Data[[#This Row],[Avg Price per (₹ / m³)]]/10000000)</f>
        <v>2.8792800000000001</v>
      </c>
      <c r="O1958" s="97" t="str">
        <f>IF(Market_Data[[#This Row],[Estimated Concrete Demand (m³)]]="","",
IF(Market_Data[[#This Row],[Estimated Concrete Demand (m³)]]&lt;10000,"Small",
IF(Market_Data[[#This Row],[Estimated Concrete Demand (m³)]]&lt;25000,"Medium",
IF(Market_Data[[#This Row],[Estimated Concrete Demand (m³)]]&lt;100000,"Large","Mega"))))</f>
        <v>Small</v>
      </c>
      <c r="P1958" s="287" t="str">
        <f t="shared" si="32"/>
        <v>GujRERA</v>
      </c>
    </row>
    <row r="1959" spans="1:16">
      <c r="A1959" s="129" t="str">
        <f>_xlfn.XLOOKUP(B1959,$S$9:$S$14,$T$9:$T$14)&amp;"-"&amp;
IF(E1959="Residential/Group Housing","RES",
IF(E1959="Commercial","COM",
IF(E1959="Mixed Development","MIX",
IF(E1959="Plotted Development","PLT","OTH"))))
&amp;"-"&amp;TEXT(COUNTIFS($B$9:B1959,B1959,$E$9:E1959,E1959),"0000")</f>
        <v>SUR-COM-0310</v>
      </c>
      <c r="B1959" s="322" t="s">
        <v>34</v>
      </c>
      <c r="C1959" s="322" t="s">
        <v>34</v>
      </c>
      <c r="D1959" s="323" t="s">
        <v>2149</v>
      </c>
      <c r="E1959" s="132" t="s">
        <v>23</v>
      </c>
      <c r="F1959" s="97" t="str">
        <f ca="1">IF(OR(Market_Data[[#This Row],[Start Date]]="",Market_Data[[#This Row],[Completion Date]]=""),"Needs Validation",IF(Market_Data[[#This Row],[Start Date]]&gt;TODAY(),"Planned",IF(Market_Data[[#This Row],[Completion Date]]&lt;TODAY(),"Completed","Ongoing")))</f>
        <v>Completed</v>
      </c>
      <c r="G1959" s="324">
        <v>43122</v>
      </c>
      <c r="H1959" s="324">
        <v>44399</v>
      </c>
      <c r="I1959" s="325">
        <v>12000</v>
      </c>
      <c r="J195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59" s="133">
        <f>_xlfn.XLOOKUP(Market_Data[[#This Row],[Project Type]],tbl_assumptions_market[Project Category (RERA)],tbl_assumptions_market[Concrete Intensity
(m³ / sq m BUA)],"",0)</f>
        <v>0.5</v>
      </c>
      <c r="L1959" s="134">
        <f>ROUND(Market_Data[[#This Row],[Estimated Built Up Area (sq m)]]*Market_Data[[#This Row],[Concrete Intensity
(m³ / sq m)]],0)</f>
        <v>6000</v>
      </c>
      <c r="M1959" s="135">
        <f>_xlfn.XLOOKUP(Market_Data[[#This Row],[District]],tbl_district_price[District],tbl_district_price[Standard Price
(INR/m³)],"",0)</f>
        <v>6200</v>
      </c>
      <c r="N1959" s="364">
        <f>IF(OR(Market_Data[[#This Row],[Estimated Concrete Demand (m³)]]="",Market_Data[[#This Row],[Avg Price per (₹ / m³)]]=""),"",Market_Data[[#This Row],[Estimated Concrete Demand (m³)]]*Market_Data[[#This Row],[Avg Price per (₹ / m³)]]/10000000)</f>
        <v>3.72</v>
      </c>
      <c r="O1959" s="97" t="str">
        <f>IF(Market_Data[[#This Row],[Estimated Concrete Demand (m³)]]="","",
IF(Market_Data[[#This Row],[Estimated Concrete Demand (m³)]]&lt;10000,"Small",
IF(Market_Data[[#This Row],[Estimated Concrete Demand (m³)]]&lt;25000,"Medium",
IF(Market_Data[[#This Row],[Estimated Concrete Demand (m³)]]&lt;100000,"Large","Mega"))))</f>
        <v>Small</v>
      </c>
      <c r="P1959" s="287" t="str">
        <f t="shared" si="32"/>
        <v>GujRERA</v>
      </c>
    </row>
    <row r="1960" spans="1:16">
      <c r="A1960" s="129" t="str">
        <f>_xlfn.XLOOKUP(B1960,$S$9:$S$14,$T$9:$T$14)&amp;"-"&amp;
IF(E1960="Residential/Group Housing","RES",
IF(E1960="Commercial","COM",
IF(E1960="Mixed Development","MIX",
IF(E1960="Plotted Development","PLT","OTH"))))
&amp;"-"&amp;TEXT(COUNTIFS($B$9:B1960,B1960,$E$9:E1960,E1960),"0000")</f>
        <v>SUR-RES-0640</v>
      </c>
      <c r="B1960" s="322" t="s">
        <v>34</v>
      </c>
      <c r="C1960" s="322" t="s">
        <v>34</v>
      </c>
      <c r="D1960" s="323" t="s">
        <v>2150</v>
      </c>
      <c r="E1960" s="132" t="s">
        <v>24</v>
      </c>
      <c r="F1960" s="97" t="str">
        <f ca="1">IF(OR(Market_Data[[#This Row],[Start Date]]="",Market_Data[[#This Row],[Completion Date]]=""),"Needs Validation",IF(Market_Data[[#This Row],[Start Date]]&gt;TODAY(),"Planned",IF(Market_Data[[#This Row],[Completion Date]]&lt;TODAY(),"Completed","Ongoing")))</f>
        <v>Ongoing</v>
      </c>
      <c r="G1960" s="324">
        <v>45237</v>
      </c>
      <c r="H1960" s="324">
        <v>46752</v>
      </c>
      <c r="I1960" s="325">
        <v>11900</v>
      </c>
      <c r="J196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60" s="133">
        <f>_xlfn.XLOOKUP(Market_Data[[#This Row],[Project Type]],tbl_assumptions_market[Project Category (RERA)],tbl_assumptions_market[Concrete Intensity
(m³ / sq m BUA)],"",0)</f>
        <v>0.45</v>
      </c>
      <c r="L1960" s="134">
        <f>ROUND(Market_Data[[#This Row],[Estimated Built Up Area (sq m)]]*Market_Data[[#This Row],[Concrete Intensity
(m³ / sq m)]],0)</f>
        <v>5355</v>
      </c>
      <c r="M1960" s="135">
        <f>_xlfn.XLOOKUP(Market_Data[[#This Row],[District]],tbl_district_price[District],tbl_district_price[Standard Price
(INR/m³)],"",0)</f>
        <v>6200</v>
      </c>
      <c r="N1960" s="364">
        <f>IF(OR(Market_Data[[#This Row],[Estimated Concrete Demand (m³)]]="",Market_Data[[#This Row],[Avg Price per (₹ / m³)]]=""),"",Market_Data[[#This Row],[Estimated Concrete Demand (m³)]]*Market_Data[[#This Row],[Avg Price per (₹ / m³)]]/10000000)</f>
        <v>3.3201000000000001</v>
      </c>
      <c r="O1960" s="97" t="str">
        <f>IF(Market_Data[[#This Row],[Estimated Concrete Demand (m³)]]="","",
IF(Market_Data[[#This Row],[Estimated Concrete Demand (m³)]]&lt;10000,"Small",
IF(Market_Data[[#This Row],[Estimated Concrete Demand (m³)]]&lt;25000,"Medium",
IF(Market_Data[[#This Row],[Estimated Concrete Demand (m³)]]&lt;100000,"Large","Mega"))))</f>
        <v>Small</v>
      </c>
      <c r="P1960" s="287" t="str">
        <f t="shared" si="32"/>
        <v>GujRERA</v>
      </c>
    </row>
    <row r="1961" spans="1:16">
      <c r="A1961" s="129" t="str">
        <f>_xlfn.XLOOKUP(B1961,$S$9:$S$14,$T$9:$T$14)&amp;"-"&amp;
IF(E1961="Residential/Group Housing","RES",
IF(E1961="Commercial","COM",
IF(E1961="Mixed Development","MIX",
IF(E1961="Plotted Development","PLT","OTH"))))
&amp;"-"&amp;TEXT(COUNTIFS($B$9:B1961,B1961,$E$9:E1961,E1961),"0000")</f>
        <v>SUR-MIX-0327</v>
      </c>
      <c r="B1961" s="322" t="s">
        <v>34</v>
      </c>
      <c r="C1961" s="322" t="s">
        <v>34</v>
      </c>
      <c r="D1961" s="323" t="s">
        <v>2151</v>
      </c>
      <c r="E1961" s="132" t="s">
        <v>25</v>
      </c>
      <c r="F1961" s="97" t="str">
        <f ca="1">IF(OR(Market_Data[[#This Row],[Start Date]]="",Market_Data[[#This Row],[Completion Date]]=""),"Needs Validation",IF(Market_Data[[#This Row],[Start Date]]&gt;TODAY(),"Planned",IF(Market_Data[[#This Row],[Completion Date]]&lt;TODAY(),"Completed","Ongoing")))</f>
        <v>Ongoing</v>
      </c>
      <c r="G1961" s="324">
        <v>44753</v>
      </c>
      <c r="H1961" s="324">
        <v>46387</v>
      </c>
      <c r="I1961" s="325">
        <v>6000</v>
      </c>
      <c r="J196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961" s="133">
        <f>_xlfn.XLOOKUP(Market_Data[[#This Row],[Project Type]],tbl_assumptions_market[Project Category (RERA)],tbl_assumptions_market[Concrete Intensity
(m³ / sq m BUA)],"",0)</f>
        <v>0.42</v>
      </c>
      <c r="L1961" s="134">
        <f>ROUND(Market_Data[[#This Row],[Estimated Built Up Area (sq m)]]*Market_Data[[#This Row],[Concrete Intensity
(m³ / sq m)]],0)</f>
        <v>2520</v>
      </c>
      <c r="M1961" s="135">
        <f>_xlfn.XLOOKUP(Market_Data[[#This Row],[District]],tbl_district_price[District],tbl_district_price[Standard Price
(INR/m³)],"",0)</f>
        <v>6200</v>
      </c>
      <c r="N1961" s="364">
        <f>IF(OR(Market_Data[[#This Row],[Estimated Concrete Demand (m³)]]="",Market_Data[[#This Row],[Avg Price per (₹ / m³)]]=""),"",Market_Data[[#This Row],[Estimated Concrete Demand (m³)]]*Market_Data[[#This Row],[Avg Price per (₹ / m³)]]/10000000)</f>
        <v>1.5624</v>
      </c>
      <c r="O1961" s="97" t="str">
        <f>IF(Market_Data[[#This Row],[Estimated Concrete Demand (m³)]]="","",
IF(Market_Data[[#This Row],[Estimated Concrete Demand (m³)]]&lt;10000,"Small",
IF(Market_Data[[#This Row],[Estimated Concrete Demand (m³)]]&lt;25000,"Medium",
IF(Market_Data[[#This Row],[Estimated Concrete Demand (m³)]]&lt;100000,"Large","Mega"))))</f>
        <v>Small</v>
      </c>
      <c r="P1961" s="287" t="str">
        <f t="shared" si="32"/>
        <v>GujRERA</v>
      </c>
    </row>
    <row r="1962" spans="1:16">
      <c r="A1962" s="129" t="str">
        <f>_xlfn.XLOOKUP(B1962,$S$9:$S$14,$T$9:$T$14)&amp;"-"&amp;
IF(E1962="Residential/Group Housing","RES",
IF(E1962="Commercial","COM",
IF(E1962="Mixed Development","MIX",
IF(E1962="Plotted Development","PLT","OTH"))))
&amp;"-"&amp;TEXT(COUNTIFS($B$9:B1962,B1962,$E$9:E1962,E1962),"0000")</f>
        <v>SUR-RES-0641</v>
      </c>
      <c r="B1962" s="322" t="s">
        <v>34</v>
      </c>
      <c r="C1962" s="322" t="s">
        <v>34</v>
      </c>
      <c r="D1962" s="323" t="s">
        <v>2152</v>
      </c>
      <c r="E1962" s="132" t="s">
        <v>24</v>
      </c>
      <c r="F1962" s="97" t="str">
        <f ca="1">IF(OR(Market_Data[[#This Row],[Start Date]]="",Market_Data[[#This Row],[Completion Date]]=""),"Needs Validation",IF(Market_Data[[#This Row],[Start Date]]&gt;TODAY(),"Planned",IF(Market_Data[[#This Row],[Completion Date]]&lt;TODAY(),"Completed","Ongoing")))</f>
        <v>Ongoing</v>
      </c>
      <c r="G1962" s="324">
        <v>45506</v>
      </c>
      <c r="H1962" s="324">
        <v>47118</v>
      </c>
      <c r="I1962" s="325">
        <v>58200</v>
      </c>
      <c r="J196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62" s="133">
        <f>_xlfn.XLOOKUP(Market_Data[[#This Row],[Project Type]],tbl_assumptions_market[Project Category (RERA)],tbl_assumptions_market[Concrete Intensity
(m³ / sq m BUA)],"",0)</f>
        <v>0.45</v>
      </c>
      <c r="L1962" s="134">
        <f>ROUND(Market_Data[[#This Row],[Estimated Built Up Area (sq m)]]*Market_Data[[#This Row],[Concrete Intensity
(m³ / sq m)]],0)</f>
        <v>26190</v>
      </c>
      <c r="M1962" s="135">
        <f>_xlfn.XLOOKUP(Market_Data[[#This Row],[District]],tbl_district_price[District],tbl_district_price[Standard Price
(INR/m³)],"",0)</f>
        <v>6200</v>
      </c>
      <c r="N1962" s="364">
        <f>IF(OR(Market_Data[[#This Row],[Estimated Concrete Demand (m³)]]="",Market_Data[[#This Row],[Avg Price per (₹ / m³)]]=""),"",Market_Data[[#This Row],[Estimated Concrete Demand (m³)]]*Market_Data[[#This Row],[Avg Price per (₹ / m³)]]/10000000)</f>
        <v>16.2378</v>
      </c>
      <c r="O1962" s="97" t="str">
        <f>IF(Market_Data[[#This Row],[Estimated Concrete Demand (m³)]]="","",
IF(Market_Data[[#This Row],[Estimated Concrete Demand (m³)]]&lt;10000,"Small",
IF(Market_Data[[#This Row],[Estimated Concrete Demand (m³)]]&lt;25000,"Medium",
IF(Market_Data[[#This Row],[Estimated Concrete Demand (m³)]]&lt;100000,"Large","Mega"))))</f>
        <v>Large</v>
      </c>
      <c r="P1962" s="287" t="str">
        <f t="shared" si="32"/>
        <v>GujRERA</v>
      </c>
    </row>
    <row r="1963" spans="1:16">
      <c r="A1963" s="129" t="str">
        <f>_xlfn.XLOOKUP(B1963,$S$9:$S$14,$T$9:$T$14)&amp;"-"&amp;
IF(E1963="Residential/Group Housing","RES",
IF(E1963="Commercial","COM",
IF(E1963="Mixed Development","MIX",
IF(E1963="Plotted Development","PLT","OTH"))))
&amp;"-"&amp;TEXT(COUNTIFS($B$9:B1963,B1963,$E$9:E1963,E1963),"0000")</f>
        <v>SUR-RES-0642</v>
      </c>
      <c r="B1963" s="322" t="s">
        <v>34</v>
      </c>
      <c r="C1963" s="322" t="s">
        <v>34</v>
      </c>
      <c r="D1963" s="323" t="s">
        <v>2153</v>
      </c>
      <c r="E1963" s="132" t="s">
        <v>24</v>
      </c>
      <c r="F1963" s="97" t="str">
        <f ca="1">IF(OR(Market_Data[[#This Row],[Start Date]]="",Market_Data[[#This Row],[Completion Date]]=""),"Needs Validation",IF(Market_Data[[#This Row],[Start Date]]&gt;TODAY(),"Planned",IF(Market_Data[[#This Row],[Completion Date]]&lt;TODAY(),"Completed","Ongoing")))</f>
        <v>Ongoing</v>
      </c>
      <c r="G1963" s="324">
        <v>45428</v>
      </c>
      <c r="H1963" s="324">
        <v>47483</v>
      </c>
      <c r="I1963" s="325">
        <v>37500</v>
      </c>
      <c r="J196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63" s="133">
        <f>_xlfn.XLOOKUP(Market_Data[[#This Row],[Project Type]],tbl_assumptions_market[Project Category (RERA)],tbl_assumptions_market[Concrete Intensity
(m³ / sq m BUA)],"",0)</f>
        <v>0.45</v>
      </c>
      <c r="L1963" s="134">
        <f>ROUND(Market_Data[[#This Row],[Estimated Built Up Area (sq m)]]*Market_Data[[#This Row],[Concrete Intensity
(m³ / sq m)]],0)</f>
        <v>16875</v>
      </c>
      <c r="M1963" s="135">
        <f>_xlfn.XLOOKUP(Market_Data[[#This Row],[District]],tbl_district_price[District],tbl_district_price[Standard Price
(INR/m³)],"",0)</f>
        <v>6200</v>
      </c>
      <c r="N1963" s="364">
        <f>IF(OR(Market_Data[[#This Row],[Estimated Concrete Demand (m³)]]="",Market_Data[[#This Row],[Avg Price per (₹ / m³)]]=""),"",Market_Data[[#This Row],[Estimated Concrete Demand (m³)]]*Market_Data[[#This Row],[Avg Price per (₹ / m³)]]/10000000)</f>
        <v>10.4625</v>
      </c>
      <c r="O1963" s="97" t="str">
        <f>IF(Market_Data[[#This Row],[Estimated Concrete Demand (m³)]]="","",
IF(Market_Data[[#This Row],[Estimated Concrete Demand (m³)]]&lt;10000,"Small",
IF(Market_Data[[#This Row],[Estimated Concrete Demand (m³)]]&lt;25000,"Medium",
IF(Market_Data[[#This Row],[Estimated Concrete Demand (m³)]]&lt;100000,"Large","Mega"))))</f>
        <v>Medium</v>
      </c>
      <c r="P1963" s="287" t="str">
        <f t="shared" si="32"/>
        <v>GujRERA</v>
      </c>
    </row>
    <row r="1964" spans="1:16">
      <c r="A1964" s="129" t="str">
        <f>_xlfn.XLOOKUP(B1964,$S$9:$S$14,$T$9:$T$14)&amp;"-"&amp;
IF(E1964="Residential/Group Housing","RES",
IF(E1964="Commercial","COM",
IF(E1964="Mixed Development","MIX",
IF(E1964="Plotted Development","PLT","OTH"))))
&amp;"-"&amp;TEXT(COUNTIFS($B$9:B1964,B1964,$E$9:E1964,E1964),"0000")</f>
        <v>SUR-RES-0643</v>
      </c>
      <c r="B1964" s="322" t="s">
        <v>34</v>
      </c>
      <c r="C1964" s="322" t="s">
        <v>34</v>
      </c>
      <c r="D1964" s="323" t="s">
        <v>2154</v>
      </c>
      <c r="E1964" s="132" t="s">
        <v>24</v>
      </c>
      <c r="F1964" s="97" t="str">
        <f ca="1">IF(OR(Market_Data[[#This Row],[Start Date]]="",Market_Data[[#This Row],[Completion Date]]=""),"Needs Validation",IF(Market_Data[[#This Row],[Start Date]]&gt;TODAY(),"Planned",IF(Market_Data[[#This Row],[Completion Date]]&lt;TODAY(),"Completed","Ongoing")))</f>
        <v>Ongoing</v>
      </c>
      <c r="G1964" s="324">
        <v>45183</v>
      </c>
      <c r="H1964" s="324">
        <v>47118</v>
      </c>
      <c r="I1964" s="325">
        <v>30000</v>
      </c>
      <c r="J196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64" s="133">
        <f>_xlfn.XLOOKUP(Market_Data[[#This Row],[Project Type]],tbl_assumptions_market[Project Category (RERA)],tbl_assumptions_market[Concrete Intensity
(m³ / sq m BUA)],"",0)</f>
        <v>0.45</v>
      </c>
      <c r="L1964" s="134">
        <f>ROUND(Market_Data[[#This Row],[Estimated Built Up Area (sq m)]]*Market_Data[[#This Row],[Concrete Intensity
(m³ / sq m)]],0)</f>
        <v>13500</v>
      </c>
      <c r="M1964" s="135">
        <f>_xlfn.XLOOKUP(Market_Data[[#This Row],[District]],tbl_district_price[District],tbl_district_price[Standard Price
(INR/m³)],"",0)</f>
        <v>6200</v>
      </c>
      <c r="N1964" s="364">
        <f>IF(OR(Market_Data[[#This Row],[Estimated Concrete Demand (m³)]]="",Market_Data[[#This Row],[Avg Price per (₹ / m³)]]=""),"",Market_Data[[#This Row],[Estimated Concrete Demand (m³)]]*Market_Data[[#This Row],[Avg Price per (₹ / m³)]]/10000000)</f>
        <v>8.3699999999999992</v>
      </c>
      <c r="O1964" s="97" t="str">
        <f>IF(Market_Data[[#This Row],[Estimated Concrete Demand (m³)]]="","",
IF(Market_Data[[#This Row],[Estimated Concrete Demand (m³)]]&lt;10000,"Small",
IF(Market_Data[[#This Row],[Estimated Concrete Demand (m³)]]&lt;25000,"Medium",
IF(Market_Data[[#This Row],[Estimated Concrete Demand (m³)]]&lt;100000,"Large","Mega"))))</f>
        <v>Medium</v>
      </c>
      <c r="P1964" s="287" t="str">
        <f t="shared" si="32"/>
        <v>GujRERA</v>
      </c>
    </row>
    <row r="1965" spans="1:16">
      <c r="A1965" s="129" t="str">
        <f>_xlfn.XLOOKUP(B1965,$S$9:$S$14,$T$9:$T$14)&amp;"-"&amp;
IF(E1965="Residential/Group Housing","RES",
IF(E1965="Commercial","COM",
IF(E1965="Mixed Development","MIX",
IF(E1965="Plotted Development","PLT","OTH"))))
&amp;"-"&amp;TEXT(COUNTIFS($B$9:B1965,B1965,$E$9:E1965,E1965),"0000")</f>
        <v>SUR-PLT-0367</v>
      </c>
      <c r="B1965" s="322" t="s">
        <v>34</v>
      </c>
      <c r="C1965" s="322" t="s">
        <v>34</v>
      </c>
      <c r="D1965" s="323" t="s">
        <v>2155</v>
      </c>
      <c r="E1965" s="132" t="s">
        <v>26</v>
      </c>
      <c r="F1965" s="97" t="str">
        <f ca="1">IF(OR(Market_Data[[#This Row],[Start Date]]="",Market_Data[[#This Row],[Completion Date]]=""),"Needs Validation",IF(Market_Data[[#This Row],[Start Date]]&gt;TODAY(),"Planned",IF(Market_Data[[#This Row],[Completion Date]]&lt;TODAY(),"Completed","Ongoing")))</f>
        <v>Ongoing</v>
      </c>
      <c r="G1965" s="324">
        <v>46113</v>
      </c>
      <c r="H1965" s="324">
        <v>47483</v>
      </c>
      <c r="I1965" s="325">
        <v>18600</v>
      </c>
      <c r="J196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65" s="133">
        <f>_xlfn.XLOOKUP(Market_Data[[#This Row],[Project Type]],tbl_assumptions_market[Project Category (RERA)],tbl_assumptions_market[Concrete Intensity
(m³ / sq m BUA)],"",0)</f>
        <v>0.18</v>
      </c>
      <c r="L1965" s="134">
        <f>ROUND(Market_Data[[#This Row],[Estimated Built Up Area (sq m)]]*Market_Data[[#This Row],[Concrete Intensity
(m³ / sq m)]],0)</f>
        <v>3348</v>
      </c>
      <c r="M1965" s="135">
        <f>_xlfn.XLOOKUP(Market_Data[[#This Row],[District]],tbl_district_price[District],tbl_district_price[Standard Price
(INR/m³)],"",0)</f>
        <v>6200</v>
      </c>
      <c r="N1965" s="364">
        <f>IF(OR(Market_Data[[#This Row],[Estimated Concrete Demand (m³)]]="",Market_Data[[#This Row],[Avg Price per (₹ / m³)]]=""),"",Market_Data[[#This Row],[Estimated Concrete Demand (m³)]]*Market_Data[[#This Row],[Avg Price per (₹ / m³)]]/10000000)</f>
        <v>2.0757599999999998</v>
      </c>
      <c r="O1965" s="97" t="str">
        <f>IF(Market_Data[[#This Row],[Estimated Concrete Demand (m³)]]="","",
IF(Market_Data[[#This Row],[Estimated Concrete Demand (m³)]]&lt;10000,"Small",
IF(Market_Data[[#This Row],[Estimated Concrete Demand (m³)]]&lt;25000,"Medium",
IF(Market_Data[[#This Row],[Estimated Concrete Demand (m³)]]&lt;100000,"Large","Mega"))))</f>
        <v>Small</v>
      </c>
      <c r="P1965" s="287" t="str">
        <f t="shared" si="32"/>
        <v>GujRERA</v>
      </c>
    </row>
    <row r="1966" spans="1:16">
      <c r="A1966" s="129" t="str">
        <f>_xlfn.XLOOKUP(B1966,$S$9:$S$14,$T$9:$T$14)&amp;"-"&amp;
IF(E1966="Residential/Group Housing","RES",
IF(E1966="Commercial","COM",
IF(E1966="Mixed Development","MIX",
IF(E1966="Plotted Development","PLT","OTH"))))
&amp;"-"&amp;TEXT(COUNTIFS($B$9:B1966,B1966,$E$9:E1966,E1966),"0000")</f>
        <v>SUR-PLT-0368</v>
      </c>
      <c r="B1966" s="322" t="s">
        <v>34</v>
      </c>
      <c r="C1966" s="322" t="s">
        <v>34</v>
      </c>
      <c r="D1966" s="323" t="s">
        <v>2156</v>
      </c>
      <c r="E1966" s="132" t="s">
        <v>26</v>
      </c>
      <c r="F1966" s="97" t="str">
        <f ca="1">IF(OR(Market_Data[[#This Row],[Start Date]]="",Market_Data[[#This Row],[Completion Date]]=""),"Needs Validation",IF(Market_Data[[#This Row],[Start Date]]&gt;TODAY(),"Planned",IF(Market_Data[[#This Row],[Completion Date]]&lt;TODAY(),"Completed","Ongoing")))</f>
        <v>Ongoing</v>
      </c>
      <c r="G1966" s="324">
        <v>45167</v>
      </c>
      <c r="H1966" s="324">
        <v>46387</v>
      </c>
      <c r="I1966" s="325">
        <v>37300</v>
      </c>
      <c r="J196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966" s="133">
        <f>_xlfn.XLOOKUP(Market_Data[[#This Row],[Project Type]],tbl_assumptions_market[Project Category (RERA)],tbl_assumptions_market[Concrete Intensity
(m³ / sq m BUA)],"",0)</f>
        <v>0.18</v>
      </c>
      <c r="L1966" s="134">
        <f>ROUND(Market_Data[[#This Row],[Estimated Built Up Area (sq m)]]*Market_Data[[#This Row],[Concrete Intensity
(m³ / sq m)]],0)</f>
        <v>6714</v>
      </c>
      <c r="M1966" s="135">
        <f>_xlfn.XLOOKUP(Market_Data[[#This Row],[District]],tbl_district_price[District],tbl_district_price[Standard Price
(INR/m³)],"",0)</f>
        <v>6200</v>
      </c>
      <c r="N1966" s="364">
        <f>IF(OR(Market_Data[[#This Row],[Estimated Concrete Demand (m³)]]="",Market_Data[[#This Row],[Avg Price per (₹ / m³)]]=""),"",Market_Data[[#This Row],[Estimated Concrete Demand (m³)]]*Market_Data[[#This Row],[Avg Price per (₹ / m³)]]/10000000)</f>
        <v>4.1626799999999999</v>
      </c>
      <c r="O1966" s="97" t="str">
        <f>IF(Market_Data[[#This Row],[Estimated Concrete Demand (m³)]]="","",
IF(Market_Data[[#This Row],[Estimated Concrete Demand (m³)]]&lt;10000,"Small",
IF(Market_Data[[#This Row],[Estimated Concrete Demand (m³)]]&lt;25000,"Medium",
IF(Market_Data[[#This Row],[Estimated Concrete Demand (m³)]]&lt;100000,"Large","Mega"))))</f>
        <v>Small</v>
      </c>
      <c r="P1966" s="287" t="str">
        <f t="shared" si="32"/>
        <v>GujRERA</v>
      </c>
    </row>
    <row r="1967" spans="1:16">
      <c r="A1967" s="129" t="str">
        <f>_xlfn.XLOOKUP(B1967,$S$9:$S$14,$T$9:$T$14)&amp;"-"&amp;
IF(E1967="Residential/Group Housing","RES",
IF(E1967="Commercial","COM",
IF(E1967="Mixed Development","MIX",
IF(E1967="Plotted Development","PLT","OTH"))))
&amp;"-"&amp;TEXT(COUNTIFS($B$9:B1967,B1967,$E$9:E1967,E1967),"0000")</f>
        <v>SUR-PLT-0369</v>
      </c>
      <c r="B1967" s="322" t="s">
        <v>34</v>
      </c>
      <c r="C1967" s="322" t="s">
        <v>34</v>
      </c>
      <c r="D1967" s="323" t="s">
        <v>2157</v>
      </c>
      <c r="E1967" s="132" t="s">
        <v>26</v>
      </c>
      <c r="F1967" s="97" t="str">
        <f ca="1">IF(OR(Market_Data[[#This Row],[Start Date]]="",Market_Data[[#This Row],[Completion Date]]=""),"Needs Validation",IF(Market_Data[[#This Row],[Start Date]]&gt;TODAY(),"Planned",IF(Market_Data[[#This Row],[Completion Date]]&lt;TODAY(),"Completed","Ongoing")))</f>
        <v>Ongoing</v>
      </c>
      <c r="G1967" s="324">
        <v>45167</v>
      </c>
      <c r="H1967" s="324">
        <v>46387</v>
      </c>
      <c r="I1967" s="325">
        <v>25600</v>
      </c>
      <c r="J196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67" s="133">
        <f>_xlfn.XLOOKUP(Market_Data[[#This Row],[Project Type]],tbl_assumptions_market[Project Category (RERA)],tbl_assumptions_market[Concrete Intensity
(m³ / sq m BUA)],"",0)</f>
        <v>0.18</v>
      </c>
      <c r="L1967" s="134">
        <f>ROUND(Market_Data[[#This Row],[Estimated Built Up Area (sq m)]]*Market_Data[[#This Row],[Concrete Intensity
(m³ / sq m)]],0)</f>
        <v>4608</v>
      </c>
      <c r="M1967" s="135">
        <f>_xlfn.XLOOKUP(Market_Data[[#This Row],[District]],tbl_district_price[District],tbl_district_price[Standard Price
(INR/m³)],"",0)</f>
        <v>6200</v>
      </c>
      <c r="N1967" s="364">
        <f>IF(OR(Market_Data[[#This Row],[Estimated Concrete Demand (m³)]]="",Market_Data[[#This Row],[Avg Price per (₹ / m³)]]=""),"",Market_Data[[#This Row],[Estimated Concrete Demand (m³)]]*Market_Data[[#This Row],[Avg Price per (₹ / m³)]]/10000000)</f>
        <v>2.8569599999999999</v>
      </c>
      <c r="O1967" s="97" t="str">
        <f>IF(Market_Data[[#This Row],[Estimated Concrete Demand (m³)]]="","",
IF(Market_Data[[#This Row],[Estimated Concrete Demand (m³)]]&lt;10000,"Small",
IF(Market_Data[[#This Row],[Estimated Concrete Demand (m³)]]&lt;25000,"Medium",
IF(Market_Data[[#This Row],[Estimated Concrete Demand (m³)]]&lt;100000,"Large","Mega"))))</f>
        <v>Small</v>
      </c>
      <c r="P1967" s="287" t="str">
        <f t="shared" si="32"/>
        <v>GujRERA</v>
      </c>
    </row>
    <row r="1968" spans="1:16">
      <c r="A1968" s="129" t="str">
        <f>_xlfn.XLOOKUP(B1968,$S$9:$S$14,$T$9:$T$14)&amp;"-"&amp;
IF(E1968="Residential/Group Housing","RES",
IF(E1968="Commercial","COM",
IF(E1968="Mixed Development","MIX",
IF(E1968="Plotted Development","PLT","OTH"))))
&amp;"-"&amp;TEXT(COUNTIFS($B$9:B1968,B1968,$E$9:E1968,E1968),"0000")</f>
        <v>SUR-PLT-0370</v>
      </c>
      <c r="B1968" s="322" t="s">
        <v>34</v>
      </c>
      <c r="C1968" s="322" t="s">
        <v>34</v>
      </c>
      <c r="D1968" s="323" t="s">
        <v>2158</v>
      </c>
      <c r="E1968" s="132" t="s">
        <v>26</v>
      </c>
      <c r="F1968" s="97" t="str">
        <f ca="1">IF(OR(Market_Data[[#This Row],[Start Date]]="",Market_Data[[#This Row],[Completion Date]]=""),"Needs Validation",IF(Market_Data[[#This Row],[Start Date]]&gt;TODAY(),"Planned",IF(Market_Data[[#This Row],[Completion Date]]&lt;TODAY(),"Completed","Ongoing")))</f>
        <v>Ongoing</v>
      </c>
      <c r="G1968" s="324">
        <v>45622</v>
      </c>
      <c r="H1968" s="324">
        <v>46752</v>
      </c>
      <c r="I1968" s="325">
        <v>57500</v>
      </c>
      <c r="J196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968" s="133">
        <f>_xlfn.XLOOKUP(Market_Data[[#This Row],[Project Type]],tbl_assumptions_market[Project Category (RERA)],tbl_assumptions_market[Concrete Intensity
(m³ / sq m BUA)],"",0)</f>
        <v>0.18</v>
      </c>
      <c r="L1968" s="134">
        <f>ROUND(Market_Data[[#This Row],[Estimated Built Up Area (sq m)]]*Market_Data[[#This Row],[Concrete Intensity
(m³ / sq m)]],0)</f>
        <v>10350</v>
      </c>
      <c r="M1968" s="135">
        <f>_xlfn.XLOOKUP(Market_Data[[#This Row],[District]],tbl_district_price[District],tbl_district_price[Standard Price
(INR/m³)],"",0)</f>
        <v>6200</v>
      </c>
      <c r="N1968" s="364">
        <f>IF(OR(Market_Data[[#This Row],[Estimated Concrete Demand (m³)]]="",Market_Data[[#This Row],[Avg Price per (₹ / m³)]]=""),"",Market_Data[[#This Row],[Estimated Concrete Demand (m³)]]*Market_Data[[#This Row],[Avg Price per (₹ / m³)]]/10000000)</f>
        <v>6.4169999999999998</v>
      </c>
      <c r="O1968" s="97" t="str">
        <f>IF(Market_Data[[#This Row],[Estimated Concrete Demand (m³)]]="","",
IF(Market_Data[[#This Row],[Estimated Concrete Demand (m³)]]&lt;10000,"Small",
IF(Market_Data[[#This Row],[Estimated Concrete Demand (m³)]]&lt;25000,"Medium",
IF(Market_Data[[#This Row],[Estimated Concrete Demand (m³)]]&lt;100000,"Large","Mega"))))</f>
        <v>Medium</v>
      </c>
      <c r="P1968" s="287" t="str">
        <f t="shared" si="32"/>
        <v>GujRERA</v>
      </c>
    </row>
    <row r="1969" spans="1:16">
      <c r="A1969" s="129" t="str">
        <f>_xlfn.XLOOKUP(B1969,$S$9:$S$14,$T$9:$T$14)&amp;"-"&amp;
IF(E1969="Residential/Group Housing","RES",
IF(E1969="Commercial","COM",
IF(E1969="Mixed Development","MIX",
IF(E1969="Plotted Development","PLT","OTH"))))
&amp;"-"&amp;TEXT(COUNTIFS($B$9:B1969,B1969,$E$9:E1969,E1969),"0000")</f>
        <v>SUR-PLT-0371</v>
      </c>
      <c r="B1969" s="322" t="s">
        <v>34</v>
      </c>
      <c r="C1969" s="322" t="s">
        <v>34</v>
      </c>
      <c r="D1969" s="323" t="s">
        <v>2159</v>
      </c>
      <c r="E1969" s="132" t="s">
        <v>26</v>
      </c>
      <c r="F1969" s="97" t="str">
        <f ca="1">IF(OR(Market_Data[[#This Row],[Start Date]]="",Market_Data[[#This Row],[Completion Date]]=""),"Needs Validation",IF(Market_Data[[#This Row],[Start Date]]&gt;TODAY(),"Planned",IF(Market_Data[[#This Row],[Completion Date]]&lt;TODAY(),"Completed","Ongoing")))</f>
        <v>Completed</v>
      </c>
      <c r="G1969" s="324">
        <v>44890</v>
      </c>
      <c r="H1969" s="324">
        <v>46022</v>
      </c>
      <c r="I1969" s="325">
        <v>10500</v>
      </c>
      <c r="J196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69" s="133">
        <f>_xlfn.XLOOKUP(Market_Data[[#This Row],[Project Type]],tbl_assumptions_market[Project Category (RERA)],tbl_assumptions_market[Concrete Intensity
(m³ / sq m BUA)],"",0)</f>
        <v>0.18</v>
      </c>
      <c r="L1969" s="134">
        <f>ROUND(Market_Data[[#This Row],[Estimated Built Up Area (sq m)]]*Market_Data[[#This Row],[Concrete Intensity
(m³ / sq m)]],0)</f>
        <v>1890</v>
      </c>
      <c r="M1969" s="135">
        <f>_xlfn.XLOOKUP(Market_Data[[#This Row],[District]],tbl_district_price[District],tbl_district_price[Standard Price
(INR/m³)],"",0)</f>
        <v>6200</v>
      </c>
      <c r="N1969" s="364">
        <f>IF(OR(Market_Data[[#This Row],[Estimated Concrete Demand (m³)]]="",Market_Data[[#This Row],[Avg Price per (₹ / m³)]]=""),"",Market_Data[[#This Row],[Estimated Concrete Demand (m³)]]*Market_Data[[#This Row],[Avg Price per (₹ / m³)]]/10000000)</f>
        <v>1.1718</v>
      </c>
      <c r="O1969" s="97" t="str">
        <f>IF(Market_Data[[#This Row],[Estimated Concrete Demand (m³)]]="","",
IF(Market_Data[[#This Row],[Estimated Concrete Demand (m³)]]&lt;10000,"Small",
IF(Market_Data[[#This Row],[Estimated Concrete Demand (m³)]]&lt;25000,"Medium",
IF(Market_Data[[#This Row],[Estimated Concrete Demand (m³)]]&lt;100000,"Large","Mega"))))</f>
        <v>Small</v>
      </c>
      <c r="P1969" s="287" t="str">
        <f t="shared" si="32"/>
        <v>GujRERA</v>
      </c>
    </row>
    <row r="1970" spans="1:16">
      <c r="A1970" s="129" t="str">
        <f>_xlfn.XLOOKUP(B1970,$S$9:$S$14,$T$9:$T$14)&amp;"-"&amp;
IF(E1970="Residential/Group Housing","RES",
IF(E1970="Commercial","COM",
IF(E1970="Mixed Development","MIX",
IF(E1970="Plotted Development","PLT","OTH"))))
&amp;"-"&amp;TEXT(COUNTIFS($B$9:B1970,B1970,$E$9:E1970,E1970),"0000")</f>
        <v>SUR-PLT-0372</v>
      </c>
      <c r="B1970" s="322" t="s">
        <v>34</v>
      </c>
      <c r="C1970" s="322" t="s">
        <v>34</v>
      </c>
      <c r="D1970" s="323" t="s">
        <v>2160</v>
      </c>
      <c r="E1970" s="132" t="s">
        <v>26</v>
      </c>
      <c r="F1970" s="97" t="str">
        <f ca="1">IF(OR(Market_Data[[#This Row],[Start Date]]="",Market_Data[[#This Row],[Completion Date]]=""),"Needs Validation",IF(Market_Data[[#This Row],[Start Date]]&gt;TODAY(),"Planned",IF(Market_Data[[#This Row],[Completion Date]]&lt;TODAY(),"Completed","Ongoing")))</f>
        <v>Ongoing</v>
      </c>
      <c r="G1970" s="324">
        <v>45279</v>
      </c>
      <c r="H1970" s="324">
        <v>46752</v>
      </c>
      <c r="I1970" s="325">
        <v>54600</v>
      </c>
      <c r="J197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970" s="133">
        <f>_xlfn.XLOOKUP(Market_Data[[#This Row],[Project Type]],tbl_assumptions_market[Project Category (RERA)],tbl_assumptions_market[Concrete Intensity
(m³ / sq m BUA)],"",0)</f>
        <v>0.18</v>
      </c>
      <c r="L1970" s="134">
        <f>ROUND(Market_Data[[#This Row],[Estimated Built Up Area (sq m)]]*Market_Data[[#This Row],[Concrete Intensity
(m³ / sq m)]],0)</f>
        <v>9828</v>
      </c>
      <c r="M1970" s="135">
        <f>_xlfn.XLOOKUP(Market_Data[[#This Row],[District]],tbl_district_price[District],tbl_district_price[Standard Price
(INR/m³)],"",0)</f>
        <v>6200</v>
      </c>
      <c r="N1970" s="364">
        <f>IF(OR(Market_Data[[#This Row],[Estimated Concrete Demand (m³)]]="",Market_Data[[#This Row],[Avg Price per (₹ / m³)]]=""),"",Market_Data[[#This Row],[Estimated Concrete Demand (m³)]]*Market_Data[[#This Row],[Avg Price per (₹ / m³)]]/10000000)</f>
        <v>6.0933599999999997</v>
      </c>
      <c r="O1970" s="97" t="str">
        <f>IF(Market_Data[[#This Row],[Estimated Concrete Demand (m³)]]="","",
IF(Market_Data[[#This Row],[Estimated Concrete Demand (m³)]]&lt;10000,"Small",
IF(Market_Data[[#This Row],[Estimated Concrete Demand (m³)]]&lt;25000,"Medium",
IF(Market_Data[[#This Row],[Estimated Concrete Demand (m³)]]&lt;100000,"Large","Mega"))))</f>
        <v>Small</v>
      </c>
      <c r="P1970" s="287" t="str">
        <f t="shared" si="32"/>
        <v>GujRERA</v>
      </c>
    </row>
    <row r="1971" spans="1:16">
      <c r="A1971" s="129" t="str">
        <f>_xlfn.XLOOKUP(B1971,$S$9:$S$14,$T$9:$T$14)&amp;"-"&amp;
IF(E1971="Residential/Group Housing","RES",
IF(E1971="Commercial","COM",
IF(E1971="Mixed Development","MIX",
IF(E1971="Plotted Development","PLT","OTH"))))
&amp;"-"&amp;TEXT(COUNTIFS($B$9:B1971,B1971,$E$9:E1971,E1971),"0000")</f>
        <v>SUR-PLT-0373</v>
      </c>
      <c r="B1971" s="322" t="s">
        <v>34</v>
      </c>
      <c r="C1971" s="322" t="s">
        <v>34</v>
      </c>
      <c r="D1971" s="323" t="s">
        <v>2161</v>
      </c>
      <c r="E1971" s="132" t="s">
        <v>26</v>
      </c>
      <c r="F1971" s="97" t="str">
        <f ca="1">IF(OR(Market_Data[[#This Row],[Start Date]]="",Market_Data[[#This Row],[Completion Date]]=""),"Needs Validation",IF(Market_Data[[#This Row],[Start Date]]&gt;TODAY(),"Planned",IF(Market_Data[[#This Row],[Completion Date]]&lt;TODAY(),"Completed","Ongoing")))</f>
        <v>Completed</v>
      </c>
      <c r="G1971" s="324">
        <v>44643</v>
      </c>
      <c r="H1971" s="324">
        <v>45657</v>
      </c>
      <c r="I1971" s="325">
        <v>105900</v>
      </c>
      <c r="J197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971" s="133">
        <f>_xlfn.XLOOKUP(Market_Data[[#This Row],[Project Type]],tbl_assumptions_market[Project Category (RERA)],tbl_assumptions_market[Concrete Intensity
(m³ / sq m BUA)],"",0)</f>
        <v>0.18</v>
      </c>
      <c r="L1971" s="134">
        <f>ROUND(Market_Data[[#This Row],[Estimated Built Up Area (sq m)]]*Market_Data[[#This Row],[Concrete Intensity
(m³ / sq m)]],0)</f>
        <v>19062</v>
      </c>
      <c r="M1971" s="135">
        <f>_xlfn.XLOOKUP(Market_Data[[#This Row],[District]],tbl_district_price[District],tbl_district_price[Standard Price
(INR/m³)],"",0)</f>
        <v>6200</v>
      </c>
      <c r="N1971" s="364">
        <f>IF(OR(Market_Data[[#This Row],[Estimated Concrete Demand (m³)]]="",Market_Data[[#This Row],[Avg Price per (₹ / m³)]]=""),"",Market_Data[[#This Row],[Estimated Concrete Demand (m³)]]*Market_Data[[#This Row],[Avg Price per (₹ / m³)]]/10000000)</f>
        <v>11.818440000000001</v>
      </c>
      <c r="O1971" s="97" t="str">
        <f>IF(Market_Data[[#This Row],[Estimated Concrete Demand (m³)]]="","",
IF(Market_Data[[#This Row],[Estimated Concrete Demand (m³)]]&lt;10000,"Small",
IF(Market_Data[[#This Row],[Estimated Concrete Demand (m³)]]&lt;25000,"Medium",
IF(Market_Data[[#This Row],[Estimated Concrete Demand (m³)]]&lt;100000,"Large","Mega"))))</f>
        <v>Medium</v>
      </c>
      <c r="P1971" s="287" t="str">
        <f t="shared" si="32"/>
        <v>GujRERA</v>
      </c>
    </row>
    <row r="1972" spans="1:16">
      <c r="A1972" s="129" t="str">
        <f>_xlfn.XLOOKUP(B1972,$S$9:$S$14,$T$9:$T$14)&amp;"-"&amp;
IF(E1972="Residential/Group Housing","RES",
IF(E1972="Commercial","COM",
IF(E1972="Mixed Development","MIX",
IF(E1972="Plotted Development","PLT","OTH"))))
&amp;"-"&amp;TEXT(COUNTIFS($B$9:B1972,B1972,$E$9:E1972,E1972),"0000")</f>
        <v>SUR-RES-0644</v>
      </c>
      <c r="B1972" s="322" t="s">
        <v>34</v>
      </c>
      <c r="C1972" s="322" t="s">
        <v>34</v>
      </c>
      <c r="D1972" s="323" t="s">
        <v>2162</v>
      </c>
      <c r="E1972" s="132" t="s">
        <v>24</v>
      </c>
      <c r="F1972" s="97" t="str">
        <f ca="1">IF(OR(Market_Data[[#This Row],[Start Date]]="",Market_Data[[#This Row],[Completion Date]]=""),"Needs Validation",IF(Market_Data[[#This Row],[Start Date]]&gt;TODAY(),"Planned",IF(Market_Data[[#This Row],[Completion Date]]&lt;TODAY(),"Completed","Ongoing")))</f>
        <v>Completed</v>
      </c>
      <c r="G1972" s="324">
        <v>44152</v>
      </c>
      <c r="H1972" s="324">
        <v>46022</v>
      </c>
      <c r="I1972" s="325">
        <v>25500</v>
      </c>
      <c r="J197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72" s="133">
        <f>_xlfn.XLOOKUP(Market_Data[[#This Row],[Project Type]],tbl_assumptions_market[Project Category (RERA)],tbl_assumptions_market[Concrete Intensity
(m³ / sq m BUA)],"",0)</f>
        <v>0.45</v>
      </c>
      <c r="L1972" s="134">
        <f>ROUND(Market_Data[[#This Row],[Estimated Built Up Area (sq m)]]*Market_Data[[#This Row],[Concrete Intensity
(m³ / sq m)]],0)</f>
        <v>11475</v>
      </c>
      <c r="M1972" s="135">
        <f>_xlfn.XLOOKUP(Market_Data[[#This Row],[District]],tbl_district_price[District],tbl_district_price[Standard Price
(INR/m³)],"",0)</f>
        <v>6200</v>
      </c>
      <c r="N1972" s="364">
        <f>IF(OR(Market_Data[[#This Row],[Estimated Concrete Demand (m³)]]="",Market_Data[[#This Row],[Avg Price per (₹ / m³)]]=""),"",Market_Data[[#This Row],[Estimated Concrete Demand (m³)]]*Market_Data[[#This Row],[Avg Price per (₹ / m³)]]/10000000)</f>
        <v>7.1144999999999996</v>
      </c>
      <c r="O1972" s="97" t="str">
        <f>IF(Market_Data[[#This Row],[Estimated Concrete Demand (m³)]]="","",
IF(Market_Data[[#This Row],[Estimated Concrete Demand (m³)]]&lt;10000,"Small",
IF(Market_Data[[#This Row],[Estimated Concrete Demand (m³)]]&lt;25000,"Medium",
IF(Market_Data[[#This Row],[Estimated Concrete Demand (m³)]]&lt;100000,"Large","Mega"))))</f>
        <v>Medium</v>
      </c>
      <c r="P1972" s="287" t="str">
        <f t="shared" si="32"/>
        <v>GujRERA</v>
      </c>
    </row>
    <row r="1973" spans="1:16">
      <c r="A1973" s="129" t="str">
        <f>_xlfn.XLOOKUP(B1973,$S$9:$S$14,$T$9:$T$14)&amp;"-"&amp;
IF(E1973="Residential/Group Housing","RES",
IF(E1973="Commercial","COM",
IF(E1973="Mixed Development","MIX",
IF(E1973="Plotted Development","PLT","OTH"))))
&amp;"-"&amp;TEXT(COUNTIFS($B$9:B1973,B1973,$E$9:E1973,E1973),"0000")</f>
        <v>SUR-RES-0645</v>
      </c>
      <c r="B1973" s="322" t="s">
        <v>34</v>
      </c>
      <c r="C1973" s="322" t="s">
        <v>34</v>
      </c>
      <c r="D1973" s="323" t="s">
        <v>2163</v>
      </c>
      <c r="E1973" s="132" t="s">
        <v>24</v>
      </c>
      <c r="F1973" s="97" t="str">
        <f ca="1">IF(OR(Market_Data[[#This Row],[Start Date]]="",Market_Data[[#This Row],[Completion Date]]=""),"Needs Validation",IF(Market_Data[[#This Row],[Start Date]]&gt;TODAY(),"Planned",IF(Market_Data[[#This Row],[Completion Date]]&lt;TODAY(),"Completed","Ongoing")))</f>
        <v>Ongoing</v>
      </c>
      <c r="G1973" s="324">
        <v>44548</v>
      </c>
      <c r="H1973" s="324">
        <v>46387</v>
      </c>
      <c r="I1973" s="325">
        <v>18500</v>
      </c>
      <c r="J197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73" s="133">
        <f>_xlfn.XLOOKUP(Market_Data[[#This Row],[Project Type]],tbl_assumptions_market[Project Category (RERA)],tbl_assumptions_market[Concrete Intensity
(m³ / sq m BUA)],"",0)</f>
        <v>0.45</v>
      </c>
      <c r="L1973" s="134">
        <f>ROUND(Market_Data[[#This Row],[Estimated Built Up Area (sq m)]]*Market_Data[[#This Row],[Concrete Intensity
(m³ / sq m)]],0)</f>
        <v>8325</v>
      </c>
      <c r="M1973" s="135">
        <f>_xlfn.XLOOKUP(Market_Data[[#This Row],[District]],tbl_district_price[District],tbl_district_price[Standard Price
(INR/m³)],"",0)</f>
        <v>6200</v>
      </c>
      <c r="N1973" s="364">
        <f>IF(OR(Market_Data[[#This Row],[Estimated Concrete Demand (m³)]]="",Market_Data[[#This Row],[Avg Price per (₹ / m³)]]=""),"",Market_Data[[#This Row],[Estimated Concrete Demand (m³)]]*Market_Data[[#This Row],[Avg Price per (₹ / m³)]]/10000000)</f>
        <v>5.1615000000000002</v>
      </c>
      <c r="O1973" s="97" t="str">
        <f>IF(Market_Data[[#This Row],[Estimated Concrete Demand (m³)]]="","",
IF(Market_Data[[#This Row],[Estimated Concrete Demand (m³)]]&lt;10000,"Small",
IF(Market_Data[[#This Row],[Estimated Concrete Demand (m³)]]&lt;25000,"Medium",
IF(Market_Data[[#This Row],[Estimated Concrete Demand (m³)]]&lt;100000,"Large","Mega"))))</f>
        <v>Small</v>
      </c>
      <c r="P1973" s="287" t="str">
        <f t="shared" si="32"/>
        <v>GujRERA</v>
      </c>
    </row>
    <row r="1974" spans="1:16">
      <c r="A1974" s="129" t="str">
        <f>_xlfn.XLOOKUP(B1974,$S$9:$S$14,$T$9:$T$14)&amp;"-"&amp;
IF(E1974="Residential/Group Housing","RES",
IF(E1974="Commercial","COM",
IF(E1974="Mixed Development","MIX",
IF(E1974="Plotted Development","PLT","OTH"))))
&amp;"-"&amp;TEXT(COUNTIFS($B$9:B1974,B1974,$E$9:E1974,E1974),"0000")</f>
        <v>SUR-PLT-0374</v>
      </c>
      <c r="B1974" s="322" t="s">
        <v>34</v>
      </c>
      <c r="C1974" s="322" t="s">
        <v>34</v>
      </c>
      <c r="D1974" s="323" t="s">
        <v>2164</v>
      </c>
      <c r="E1974" s="132" t="s">
        <v>26</v>
      </c>
      <c r="F1974" s="97" t="str">
        <f ca="1">IF(OR(Market_Data[[#This Row],[Start Date]]="",Market_Data[[#This Row],[Completion Date]]=""),"Needs Validation",IF(Market_Data[[#This Row],[Start Date]]&gt;TODAY(),"Planned",IF(Market_Data[[#This Row],[Completion Date]]&lt;TODAY(),"Completed","Ongoing")))</f>
        <v>Completed</v>
      </c>
      <c r="G1974" s="324">
        <v>43906</v>
      </c>
      <c r="H1974" s="324">
        <v>45291</v>
      </c>
      <c r="I1974" s="325">
        <v>56200</v>
      </c>
      <c r="J197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974" s="133">
        <f>_xlfn.XLOOKUP(Market_Data[[#This Row],[Project Type]],tbl_assumptions_market[Project Category (RERA)],tbl_assumptions_market[Concrete Intensity
(m³ / sq m BUA)],"",0)</f>
        <v>0.18</v>
      </c>
      <c r="L1974" s="134">
        <f>ROUND(Market_Data[[#This Row],[Estimated Built Up Area (sq m)]]*Market_Data[[#This Row],[Concrete Intensity
(m³ / sq m)]],0)</f>
        <v>10116</v>
      </c>
      <c r="M1974" s="135">
        <f>_xlfn.XLOOKUP(Market_Data[[#This Row],[District]],tbl_district_price[District],tbl_district_price[Standard Price
(INR/m³)],"",0)</f>
        <v>6200</v>
      </c>
      <c r="N1974" s="364">
        <f>IF(OR(Market_Data[[#This Row],[Estimated Concrete Demand (m³)]]="",Market_Data[[#This Row],[Avg Price per (₹ / m³)]]=""),"",Market_Data[[#This Row],[Estimated Concrete Demand (m³)]]*Market_Data[[#This Row],[Avg Price per (₹ / m³)]]/10000000)</f>
        <v>6.2719199999999997</v>
      </c>
      <c r="O1974" s="97" t="str">
        <f>IF(Market_Data[[#This Row],[Estimated Concrete Demand (m³)]]="","",
IF(Market_Data[[#This Row],[Estimated Concrete Demand (m³)]]&lt;10000,"Small",
IF(Market_Data[[#This Row],[Estimated Concrete Demand (m³)]]&lt;25000,"Medium",
IF(Market_Data[[#This Row],[Estimated Concrete Demand (m³)]]&lt;100000,"Large","Mega"))))</f>
        <v>Medium</v>
      </c>
      <c r="P1974" s="287" t="str">
        <f t="shared" si="32"/>
        <v>GujRERA</v>
      </c>
    </row>
    <row r="1975" spans="1:16">
      <c r="A1975" s="129" t="str">
        <f>_xlfn.XLOOKUP(B1975,$S$9:$S$14,$T$9:$T$14)&amp;"-"&amp;
IF(E1975="Residential/Group Housing","RES",
IF(E1975="Commercial","COM",
IF(E1975="Mixed Development","MIX",
IF(E1975="Plotted Development","PLT","OTH"))))
&amp;"-"&amp;TEXT(COUNTIFS($B$9:B1975,B1975,$E$9:E1975,E1975),"0000")</f>
        <v>SUR-MIX-0328</v>
      </c>
      <c r="B1975" s="322" t="s">
        <v>34</v>
      </c>
      <c r="C1975" s="322" t="s">
        <v>34</v>
      </c>
      <c r="D1975" s="323" t="s">
        <v>2165</v>
      </c>
      <c r="E1975" s="132" t="s">
        <v>25</v>
      </c>
      <c r="F1975" s="97" t="str">
        <f ca="1">IF(OR(Market_Data[[#This Row],[Start Date]]="",Market_Data[[#This Row],[Completion Date]]=""),"Needs Validation",IF(Market_Data[[#This Row],[Start Date]]&gt;TODAY(),"Planned",IF(Market_Data[[#This Row],[Completion Date]]&lt;TODAY(),"Completed","Ongoing")))</f>
        <v>Ongoing</v>
      </c>
      <c r="G1975" s="324">
        <v>45293</v>
      </c>
      <c r="H1975" s="324">
        <v>47118</v>
      </c>
      <c r="I1975" s="325">
        <v>49200</v>
      </c>
      <c r="J197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75" s="133">
        <f>_xlfn.XLOOKUP(Market_Data[[#This Row],[Project Type]],tbl_assumptions_market[Project Category (RERA)],tbl_assumptions_market[Concrete Intensity
(m³ / sq m BUA)],"",0)</f>
        <v>0.42</v>
      </c>
      <c r="L1975" s="134">
        <f>ROUND(Market_Data[[#This Row],[Estimated Built Up Area (sq m)]]*Market_Data[[#This Row],[Concrete Intensity
(m³ / sq m)]],0)</f>
        <v>20664</v>
      </c>
      <c r="M1975" s="135">
        <f>_xlfn.XLOOKUP(Market_Data[[#This Row],[District]],tbl_district_price[District],tbl_district_price[Standard Price
(INR/m³)],"",0)</f>
        <v>6200</v>
      </c>
      <c r="N1975" s="364">
        <f>IF(OR(Market_Data[[#This Row],[Estimated Concrete Demand (m³)]]="",Market_Data[[#This Row],[Avg Price per (₹ / m³)]]=""),"",Market_Data[[#This Row],[Estimated Concrete Demand (m³)]]*Market_Data[[#This Row],[Avg Price per (₹ / m³)]]/10000000)</f>
        <v>12.811680000000001</v>
      </c>
      <c r="O1975" s="97" t="str">
        <f>IF(Market_Data[[#This Row],[Estimated Concrete Demand (m³)]]="","",
IF(Market_Data[[#This Row],[Estimated Concrete Demand (m³)]]&lt;10000,"Small",
IF(Market_Data[[#This Row],[Estimated Concrete Demand (m³)]]&lt;25000,"Medium",
IF(Market_Data[[#This Row],[Estimated Concrete Demand (m³)]]&lt;100000,"Large","Mega"))))</f>
        <v>Medium</v>
      </c>
      <c r="P1975" s="287" t="str">
        <f t="shared" si="32"/>
        <v>GujRERA</v>
      </c>
    </row>
    <row r="1976" spans="1:16">
      <c r="A1976" s="129" t="str">
        <f>_xlfn.XLOOKUP(B1976,$S$9:$S$14,$T$9:$T$14)&amp;"-"&amp;
IF(E1976="Residential/Group Housing","RES",
IF(E1976="Commercial","COM",
IF(E1976="Mixed Development","MIX",
IF(E1976="Plotted Development","PLT","OTH"))))
&amp;"-"&amp;TEXT(COUNTIFS($B$9:B1976,B1976,$E$9:E1976,E1976),"0000")</f>
        <v>SUR-RES-0646</v>
      </c>
      <c r="B1976" s="322" t="s">
        <v>34</v>
      </c>
      <c r="C1976" s="322" t="s">
        <v>34</v>
      </c>
      <c r="D1976" s="323" t="s">
        <v>2166</v>
      </c>
      <c r="E1976" s="132" t="s">
        <v>24</v>
      </c>
      <c r="F1976" s="97" t="str">
        <f ca="1">IF(OR(Market_Data[[#This Row],[Start Date]]="",Market_Data[[#This Row],[Completion Date]]=""),"Needs Validation",IF(Market_Data[[#This Row],[Start Date]]&gt;TODAY(),"Planned",IF(Market_Data[[#This Row],[Completion Date]]&lt;TODAY(),"Completed","Ongoing")))</f>
        <v>Ongoing</v>
      </c>
      <c r="G1976" s="324">
        <v>41435</v>
      </c>
      <c r="H1976" s="324">
        <v>47391</v>
      </c>
      <c r="I1976" s="325">
        <v>26100</v>
      </c>
      <c r="J197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76" s="133">
        <f>_xlfn.XLOOKUP(Market_Data[[#This Row],[Project Type]],tbl_assumptions_market[Project Category (RERA)],tbl_assumptions_market[Concrete Intensity
(m³ / sq m BUA)],"",0)</f>
        <v>0.45</v>
      </c>
      <c r="L1976" s="134">
        <f>ROUND(Market_Data[[#This Row],[Estimated Built Up Area (sq m)]]*Market_Data[[#This Row],[Concrete Intensity
(m³ / sq m)]],0)</f>
        <v>11745</v>
      </c>
      <c r="M1976" s="135">
        <f>_xlfn.XLOOKUP(Market_Data[[#This Row],[District]],tbl_district_price[District],tbl_district_price[Standard Price
(INR/m³)],"",0)</f>
        <v>6200</v>
      </c>
      <c r="N1976" s="364">
        <f>IF(OR(Market_Data[[#This Row],[Estimated Concrete Demand (m³)]]="",Market_Data[[#This Row],[Avg Price per (₹ / m³)]]=""),"",Market_Data[[#This Row],[Estimated Concrete Demand (m³)]]*Market_Data[[#This Row],[Avg Price per (₹ / m³)]]/10000000)</f>
        <v>7.2819000000000003</v>
      </c>
      <c r="O1976" s="97" t="str">
        <f>IF(Market_Data[[#This Row],[Estimated Concrete Demand (m³)]]="","",
IF(Market_Data[[#This Row],[Estimated Concrete Demand (m³)]]&lt;10000,"Small",
IF(Market_Data[[#This Row],[Estimated Concrete Demand (m³)]]&lt;25000,"Medium",
IF(Market_Data[[#This Row],[Estimated Concrete Demand (m³)]]&lt;100000,"Large","Mega"))))</f>
        <v>Medium</v>
      </c>
      <c r="P1976" s="287" t="str">
        <f t="shared" si="32"/>
        <v>GujRERA</v>
      </c>
    </row>
    <row r="1977" spans="1:16">
      <c r="A1977" s="129" t="str">
        <f>_xlfn.XLOOKUP(B1977,$S$9:$S$14,$T$9:$T$14)&amp;"-"&amp;
IF(E1977="Residential/Group Housing","RES",
IF(E1977="Commercial","COM",
IF(E1977="Mixed Development","MIX",
IF(E1977="Plotted Development","PLT","OTH"))))
&amp;"-"&amp;TEXT(COUNTIFS($B$9:B1977,B1977,$E$9:E1977,E1977),"0000")</f>
        <v>SUR-RES-0647</v>
      </c>
      <c r="B1977" s="322" t="s">
        <v>34</v>
      </c>
      <c r="C1977" s="322" t="s">
        <v>34</v>
      </c>
      <c r="D1977" s="323" t="s">
        <v>2167</v>
      </c>
      <c r="E1977" s="132" t="s">
        <v>24</v>
      </c>
      <c r="F1977" s="97" t="str">
        <f ca="1">IF(OR(Market_Data[[#This Row],[Start Date]]="",Market_Data[[#This Row],[Completion Date]]=""),"Needs Validation",IF(Market_Data[[#This Row],[Start Date]]&gt;TODAY(),"Planned",IF(Market_Data[[#This Row],[Completion Date]]&lt;TODAY(),"Completed","Ongoing")))</f>
        <v>Completed</v>
      </c>
      <c r="G1977" s="324">
        <v>42461</v>
      </c>
      <c r="H1977" s="324">
        <v>44742</v>
      </c>
      <c r="I1977" s="325">
        <v>28400</v>
      </c>
      <c r="J197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77" s="133">
        <f>_xlfn.XLOOKUP(Market_Data[[#This Row],[Project Type]],tbl_assumptions_market[Project Category (RERA)],tbl_assumptions_market[Concrete Intensity
(m³ / sq m BUA)],"",0)</f>
        <v>0.45</v>
      </c>
      <c r="L1977" s="134">
        <f>ROUND(Market_Data[[#This Row],[Estimated Built Up Area (sq m)]]*Market_Data[[#This Row],[Concrete Intensity
(m³ / sq m)]],0)</f>
        <v>12780</v>
      </c>
      <c r="M1977" s="135">
        <f>_xlfn.XLOOKUP(Market_Data[[#This Row],[District]],tbl_district_price[District],tbl_district_price[Standard Price
(INR/m³)],"",0)</f>
        <v>6200</v>
      </c>
      <c r="N1977" s="364">
        <f>IF(OR(Market_Data[[#This Row],[Estimated Concrete Demand (m³)]]="",Market_Data[[#This Row],[Avg Price per (₹ / m³)]]=""),"",Market_Data[[#This Row],[Estimated Concrete Demand (m³)]]*Market_Data[[#This Row],[Avg Price per (₹ / m³)]]/10000000)</f>
        <v>7.9236000000000004</v>
      </c>
      <c r="O1977" s="97" t="str">
        <f>IF(Market_Data[[#This Row],[Estimated Concrete Demand (m³)]]="","",
IF(Market_Data[[#This Row],[Estimated Concrete Demand (m³)]]&lt;10000,"Small",
IF(Market_Data[[#This Row],[Estimated Concrete Demand (m³)]]&lt;25000,"Medium",
IF(Market_Data[[#This Row],[Estimated Concrete Demand (m³)]]&lt;100000,"Large","Mega"))))</f>
        <v>Medium</v>
      </c>
      <c r="P1977" s="287" t="str">
        <f t="shared" si="32"/>
        <v>GujRERA</v>
      </c>
    </row>
    <row r="1978" spans="1:16">
      <c r="A1978" s="129" t="str">
        <f>_xlfn.XLOOKUP(B1978,$S$9:$S$14,$T$9:$T$14)&amp;"-"&amp;
IF(E1978="Residential/Group Housing","RES",
IF(E1978="Commercial","COM",
IF(E1978="Mixed Development","MIX",
IF(E1978="Plotted Development","PLT","OTH"))))
&amp;"-"&amp;TEXT(COUNTIFS($B$9:B1978,B1978,$E$9:E1978,E1978),"0000")</f>
        <v>SUR-COM-0311</v>
      </c>
      <c r="B1978" s="322" t="s">
        <v>34</v>
      </c>
      <c r="C1978" s="322" t="s">
        <v>34</v>
      </c>
      <c r="D1978" s="323" t="s">
        <v>2168</v>
      </c>
      <c r="E1978" s="132" t="s">
        <v>23</v>
      </c>
      <c r="F1978" s="97" t="str">
        <f ca="1">IF(OR(Market_Data[[#This Row],[Start Date]]="",Market_Data[[#This Row],[Completion Date]]=""),"Needs Validation",IF(Market_Data[[#This Row],[Start Date]]&gt;TODAY(),"Planned",IF(Market_Data[[#This Row],[Completion Date]]&lt;TODAY(),"Completed","Ongoing")))</f>
        <v>Completed</v>
      </c>
      <c r="G1978" s="324">
        <v>43497</v>
      </c>
      <c r="H1978" s="324">
        <v>44834</v>
      </c>
      <c r="I1978" s="325">
        <v>3300</v>
      </c>
      <c r="J197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78" s="133">
        <f>_xlfn.XLOOKUP(Market_Data[[#This Row],[Project Type]],tbl_assumptions_market[Project Category (RERA)],tbl_assumptions_market[Concrete Intensity
(m³ / sq m BUA)],"",0)</f>
        <v>0.5</v>
      </c>
      <c r="L1978" s="134">
        <f>ROUND(Market_Data[[#This Row],[Estimated Built Up Area (sq m)]]*Market_Data[[#This Row],[Concrete Intensity
(m³ / sq m)]],0)</f>
        <v>1650</v>
      </c>
      <c r="M1978" s="135">
        <f>_xlfn.XLOOKUP(Market_Data[[#This Row],[District]],tbl_district_price[District],tbl_district_price[Standard Price
(INR/m³)],"",0)</f>
        <v>6200</v>
      </c>
      <c r="N1978" s="364">
        <f>IF(OR(Market_Data[[#This Row],[Estimated Concrete Demand (m³)]]="",Market_Data[[#This Row],[Avg Price per (₹ / m³)]]=""),"",Market_Data[[#This Row],[Estimated Concrete Demand (m³)]]*Market_Data[[#This Row],[Avg Price per (₹ / m³)]]/10000000)</f>
        <v>1.0229999999999999</v>
      </c>
      <c r="O1978" s="97" t="str">
        <f>IF(Market_Data[[#This Row],[Estimated Concrete Demand (m³)]]="","",
IF(Market_Data[[#This Row],[Estimated Concrete Demand (m³)]]&lt;10000,"Small",
IF(Market_Data[[#This Row],[Estimated Concrete Demand (m³)]]&lt;25000,"Medium",
IF(Market_Data[[#This Row],[Estimated Concrete Demand (m³)]]&lt;100000,"Large","Mega"))))</f>
        <v>Small</v>
      </c>
      <c r="P1978" s="287" t="str">
        <f t="shared" si="32"/>
        <v>GujRERA</v>
      </c>
    </row>
    <row r="1979" spans="1:16">
      <c r="A1979" s="129" t="str">
        <f>_xlfn.XLOOKUP(B1979,$S$9:$S$14,$T$9:$T$14)&amp;"-"&amp;
IF(E1979="Residential/Group Housing","RES",
IF(E1979="Commercial","COM",
IF(E1979="Mixed Development","MIX",
IF(E1979="Plotted Development","PLT","OTH"))))
&amp;"-"&amp;TEXT(COUNTIFS($B$9:B1979,B1979,$E$9:E1979,E1979),"0000")</f>
        <v>SUR-RES-0648</v>
      </c>
      <c r="B1979" s="322" t="s">
        <v>34</v>
      </c>
      <c r="C1979" s="322" t="s">
        <v>34</v>
      </c>
      <c r="D1979" s="323" t="s">
        <v>2169</v>
      </c>
      <c r="E1979" s="132" t="s">
        <v>24</v>
      </c>
      <c r="F1979" s="97" t="str">
        <f ca="1">IF(OR(Market_Data[[#This Row],[Start Date]]="",Market_Data[[#This Row],[Completion Date]]=""),"Needs Validation",IF(Market_Data[[#This Row],[Start Date]]&gt;TODAY(),"Planned",IF(Market_Data[[#This Row],[Completion Date]]&lt;TODAY(),"Completed","Ongoing")))</f>
        <v>Completed</v>
      </c>
      <c r="G1979" s="324">
        <v>44927</v>
      </c>
      <c r="H1979" s="324">
        <v>46112</v>
      </c>
      <c r="I1979" s="325">
        <v>58200</v>
      </c>
      <c r="J197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79" s="133">
        <f>_xlfn.XLOOKUP(Market_Data[[#This Row],[Project Type]],tbl_assumptions_market[Project Category (RERA)],tbl_assumptions_market[Concrete Intensity
(m³ / sq m BUA)],"",0)</f>
        <v>0.45</v>
      </c>
      <c r="L1979" s="134">
        <f>ROUND(Market_Data[[#This Row],[Estimated Built Up Area (sq m)]]*Market_Data[[#This Row],[Concrete Intensity
(m³ / sq m)]],0)</f>
        <v>26190</v>
      </c>
      <c r="M1979" s="135">
        <f>_xlfn.XLOOKUP(Market_Data[[#This Row],[District]],tbl_district_price[District],tbl_district_price[Standard Price
(INR/m³)],"",0)</f>
        <v>6200</v>
      </c>
      <c r="N1979" s="364">
        <f>IF(OR(Market_Data[[#This Row],[Estimated Concrete Demand (m³)]]="",Market_Data[[#This Row],[Avg Price per (₹ / m³)]]=""),"",Market_Data[[#This Row],[Estimated Concrete Demand (m³)]]*Market_Data[[#This Row],[Avg Price per (₹ / m³)]]/10000000)</f>
        <v>16.2378</v>
      </c>
      <c r="O1979" s="97" t="str">
        <f>IF(Market_Data[[#This Row],[Estimated Concrete Demand (m³)]]="","",
IF(Market_Data[[#This Row],[Estimated Concrete Demand (m³)]]&lt;10000,"Small",
IF(Market_Data[[#This Row],[Estimated Concrete Demand (m³)]]&lt;25000,"Medium",
IF(Market_Data[[#This Row],[Estimated Concrete Demand (m³)]]&lt;100000,"Large","Mega"))))</f>
        <v>Large</v>
      </c>
      <c r="P1979" s="287" t="str">
        <f t="shared" si="32"/>
        <v>GujRERA</v>
      </c>
    </row>
    <row r="1980" spans="1:16">
      <c r="A1980" s="129" t="str">
        <f>_xlfn.XLOOKUP(B1980,$S$9:$S$14,$T$9:$T$14)&amp;"-"&amp;
IF(E1980="Residential/Group Housing","RES",
IF(E1980="Commercial","COM",
IF(E1980="Mixed Development","MIX",
IF(E1980="Plotted Development","PLT","OTH"))))
&amp;"-"&amp;TEXT(COUNTIFS($B$9:B1980,B1980,$E$9:E1980,E1980),"0000")</f>
        <v>SUR-RES-0649</v>
      </c>
      <c r="B1980" s="322" t="s">
        <v>34</v>
      </c>
      <c r="C1980" s="322" t="s">
        <v>34</v>
      </c>
      <c r="D1980" s="323" t="s">
        <v>2170</v>
      </c>
      <c r="E1980" s="132" t="s">
        <v>24</v>
      </c>
      <c r="F1980" s="97" t="str">
        <f ca="1">IF(OR(Market_Data[[#This Row],[Start Date]]="",Market_Data[[#This Row],[Completion Date]]=""),"Needs Validation",IF(Market_Data[[#This Row],[Start Date]]&gt;TODAY(),"Planned",IF(Market_Data[[#This Row],[Completion Date]]&lt;TODAY(),"Completed","Ongoing")))</f>
        <v>Ongoing</v>
      </c>
      <c r="G1980" s="324">
        <v>44888</v>
      </c>
      <c r="H1980" s="324">
        <v>47118</v>
      </c>
      <c r="I1980" s="325">
        <v>7700</v>
      </c>
      <c r="J198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80" s="133">
        <f>_xlfn.XLOOKUP(Market_Data[[#This Row],[Project Type]],tbl_assumptions_market[Project Category (RERA)],tbl_assumptions_market[Concrete Intensity
(m³ / sq m BUA)],"",0)</f>
        <v>0.45</v>
      </c>
      <c r="L1980" s="134">
        <f>ROUND(Market_Data[[#This Row],[Estimated Built Up Area (sq m)]]*Market_Data[[#This Row],[Concrete Intensity
(m³ / sq m)]],0)</f>
        <v>3465</v>
      </c>
      <c r="M1980" s="135">
        <f>_xlfn.XLOOKUP(Market_Data[[#This Row],[District]],tbl_district_price[District],tbl_district_price[Standard Price
(INR/m³)],"",0)</f>
        <v>6200</v>
      </c>
      <c r="N1980" s="364">
        <f>IF(OR(Market_Data[[#This Row],[Estimated Concrete Demand (m³)]]="",Market_Data[[#This Row],[Avg Price per (₹ / m³)]]=""),"",Market_Data[[#This Row],[Estimated Concrete Demand (m³)]]*Market_Data[[#This Row],[Avg Price per (₹ / m³)]]/10000000)</f>
        <v>2.1482999999999999</v>
      </c>
      <c r="O1980" s="97" t="str">
        <f>IF(Market_Data[[#This Row],[Estimated Concrete Demand (m³)]]="","",
IF(Market_Data[[#This Row],[Estimated Concrete Demand (m³)]]&lt;10000,"Small",
IF(Market_Data[[#This Row],[Estimated Concrete Demand (m³)]]&lt;25000,"Medium",
IF(Market_Data[[#This Row],[Estimated Concrete Demand (m³)]]&lt;100000,"Large","Mega"))))</f>
        <v>Small</v>
      </c>
      <c r="P1980" s="287" t="str">
        <f t="shared" si="32"/>
        <v>GujRERA</v>
      </c>
    </row>
    <row r="1981" spans="1:16">
      <c r="A1981" s="129" t="str">
        <f>_xlfn.XLOOKUP(B1981,$S$9:$S$14,$T$9:$T$14)&amp;"-"&amp;
IF(E1981="Residential/Group Housing","RES",
IF(E1981="Commercial","COM",
IF(E1981="Mixed Development","MIX",
IF(E1981="Plotted Development","PLT","OTH"))))
&amp;"-"&amp;TEXT(COUNTIFS($B$9:B1981,B1981,$E$9:E1981,E1981),"0000")</f>
        <v>SUR-MIX-0329</v>
      </c>
      <c r="B1981" s="322" t="s">
        <v>34</v>
      </c>
      <c r="C1981" s="322" t="s">
        <v>34</v>
      </c>
      <c r="D1981" s="323" t="s">
        <v>2171</v>
      </c>
      <c r="E1981" s="132" t="s">
        <v>25</v>
      </c>
      <c r="F1981" s="97" t="str">
        <f ca="1">IF(OR(Market_Data[[#This Row],[Start Date]]="",Market_Data[[#This Row],[Completion Date]]=""),"Needs Validation",IF(Market_Data[[#This Row],[Start Date]]&gt;TODAY(),"Planned",IF(Market_Data[[#This Row],[Completion Date]]&lt;TODAY(),"Completed","Ongoing")))</f>
        <v>Ongoing</v>
      </c>
      <c r="G1981" s="324">
        <v>46106</v>
      </c>
      <c r="H1981" s="324">
        <v>48213</v>
      </c>
      <c r="I1981" s="325">
        <v>50600</v>
      </c>
      <c r="J198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81" s="133">
        <f>_xlfn.XLOOKUP(Market_Data[[#This Row],[Project Type]],tbl_assumptions_market[Project Category (RERA)],tbl_assumptions_market[Concrete Intensity
(m³ / sq m BUA)],"",0)</f>
        <v>0.42</v>
      </c>
      <c r="L1981" s="134">
        <f>ROUND(Market_Data[[#This Row],[Estimated Built Up Area (sq m)]]*Market_Data[[#This Row],[Concrete Intensity
(m³ / sq m)]],0)</f>
        <v>21252</v>
      </c>
      <c r="M1981" s="135">
        <f>_xlfn.XLOOKUP(Market_Data[[#This Row],[District]],tbl_district_price[District],tbl_district_price[Standard Price
(INR/m³)],"",0)</f>
        <v>6200</v>
      </c>
      <c r="N1981" s="364">
        <f>IF(OR(Market_Data[[#This Row],[Estimated Concrete Demand (m³)]]="",Market_Data[[#This Row],[Avg Price per (₹ / m³)]]=""),"",Market_Data[[#This Row],[Estimated Concrete Demand (m³)]]*Market_Data[[#This Row],[Avg Price per (₹ / m³)]]/10000000)</f>
        <v>13.17624</v>
      </c>
      <c r="O1981" s="97" t="str">
        <f>IF(Market_Data[[#This Row],[Estimated Concrete Demand (m³)]]="","",
IF(Market_Data[[#This Row],[Estimated Concrete Demand (m³)]]&lt;10000,"Small",
IF(Market_Data[[#This Row],[Estimated Concrete Demand (m³)]]&lt;25000,"Medium",
IF(Market_Data[[#This Row],[Estimated Concrete Demand (m³)]]&lt;100000,"Large","Mega"))))</f>
        <v>Medium</v>
      </c>
      <c r="P1981" s="287" t="str">
        <f t="shared" si="32"/>
        <v>GujRERA</v>
      </c>
    </row>
    <row r="1982" spans="1:16">
      <c r="A1982" s="129" t="str">
        <f>_xlfn.XLOOKUP(B1982,$S$9:$S$14,$T$9:$T$14)&amp;"-"&amp;
IF(E1982="Residential/Group Housing","RES",
IF(E1982="Commercial","COM",
IF(E1982="Mixed Development","MIX",
IF(E1982="Plotted Development","PLT","OTH"))))
&amp;"-"&amp;TEXT(COUNTIFS($B$9:B1982,B1982,$E$9:E1982,E1982),"0000")</f>
        <v>SUR-MIX-0330</v>
      </c>
      <c r="B1982" s="322" t="s">
        <v>34</v>
      </c>
      <c r="C1982" s="322" t="s">
        <v>34</v>
      </c>
      <c r="D1982" s="323" t="s">
        <v>2172</v>
      </c>
      <c r="E1982" s="132" t="s">
        <v>25</v>
      </c>
      <c r="F1982" s="97" t="str">
        <f ca="1">IF(OR(Market_Data[[#This Row],[Start Date]]="",Market_Data[[#This Row],[Completion Date]]=""),"Needs Validation",IF(Market_Data[[#This Row],[Start Date]]&gt;TODAY(),"Planned",IF(Market_Data[[#This Row],[Completion Date]]&lt;TODAY(),"Completed","Ongoing")))</f>
        <v>Ongoing</v>
      </c>
      <c r="G1982" s="324">
        <v>45296</v>
      </c>
      <c r="H1982" s="324">
        <v>47118</v>
      </c>
      <c r="I1982" s="325">
        <v>42400</v>
      </c>
      <c r="J198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82" s="133">
        <f>_xlfn.XLOOKUP(Market_Data[[#This Row],[Project Type]],tbl_assumptions_market[Project Category (RERA)],tbl_assumptions_market[Concrete Intensity
(m³ / sq m BUA)],"",0)</f>
        <v>0.42</v>
      </c>
      <c r="L1982" s="134">
        <f>ROUND(Market_Data[[#This Row],[Estimated Built Up Area (sq m)]]*Market_Data[[#This Row],[Concrete Intensity
(m³ / sq m)]],0)</f>
        <v>17808</v>
      </c>
      <c r="M1982" s="135">
        <f>_xlfn.XLOOKUP(Market_Data[[#This Row],[District]],tbl_district_price[District],tbl_district_price[Standard Price
(INR/m³)],"",0)</f>
        <v>6200</v>
      </c>
      <c r="N1982" s="364">
        <f>IF(OR(Market_Data[[#This Row],[Estimated Concrete Demand (m³)]]="",Market_Data[[#This Row],[Avg Price per (₹ / m³)]]=""),"",Market_Data[[#This Row],[Estimated Concrete Demand (m³)]]*Market_Data[[#This Row],[Avg Price per (₹ / m³)]]/10000000)</f>
        <v>11.04096</v>
      </c>
      <c r="O1982" s="97" t="str">
        <f>IF(Market_Data[[#This Row],[Estimated Concrete Demand (m³)]]="","",
IF(Market_Data[[#This Row],[Estimated Concrete Demand (m³)]]&lt;10000,"Small",
IF(Market_Data[[#This Row],[Estimated Concrete Demand (m³)]]&lt;25000,"Medium",
IF(Market_Data[[#This Row],[Estimated Concrete Demand (m³)]]&lt;100000,"Large","Mega"))))</f>
        <v>Medium</v>
      </c>
      <c r="P1982" s="287" t="str">
        <f t="shared" si="32"/>
        <v>GujRERA</v>
      </c>
    </row>
    <row r="1983" spans="1:16">
      <c r="A1983" s="129" t="str">
        <f>_xlfn.XLOOKUP(B1983,$S$9:$S$14,$T$9:$T$14)&amp;"-"&amp;
IF(E1983="Residential/Group Housing","RES",
IF(E1983="Commercial","COM",
IF(E1983="Mixed Development","MIX",
IF(E1983="Plotted Development","PLT","OTH"))))
&amp;"-"&amp;TEXT(COUNTIFS($B$9:B1983,B1983,$E$9:E1983,E1983),"0000")</f>
        <v>SUR-RES-0650</v>
      </c>
      <c r="B1983" s="322" t="s">
        <v>34</v>
      </c>
      <c r="C1983" s="322" t="s">
        <v>34</v>
      </c>
      <c r="D1983" s="323" t="s">
        <v>2173</v>
      </c>
      <c r="E1983" s="132" t="s">
        <v>24</v>
      </c>
      <c r="F1983" s="97" t="str">
        <f ca="1">IF(OR(Market_Data[[#This Row],[Start Date]]="",Market_Data[[#This Row],[Completion Date]]=""),"Needs Validation",IF(Market_Data[[#This Row],[Start Date]]&gt;TODAY(),"Planned",IF(Market_Data[[#This Row],[Completion Date]]&lt;TODAY(),"Completed","Ongoing")))</f>
        <v>Completed</v>
      </c>
      <c r="G1983" s="324">
        <v>43130</v>
      </c>
      <c r="H1983" s="324">
        <v>45838</v>
      </c>
      <c r="I1983" s="325">
        <v>32600</v>
      </c>
      <c r="J198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83" s="133">
        <f>_xlfn.XLOOKUP(Market_Data[[#This Row],[Project Type]],tbl_assumptions_market[Project Category (RERA)],tbl_assumptions_market[Concrete Intensity
(m³ / sq m BUA)],"",0)</f>
        <v>0.45</v>
      </c>
      <c r="L1983" s="134">
        <f>ROUND(Market_Data[[#This Row],[Estimated Built Up Area (sq m)]]*Market_Data[[#This Row],[Concrete Intensity
(m³ / sq m)]],0)</f>
        <v>14670</v>
      </c>
      <c r="M1983" s="135">
        <f>_xlfn.XLOOKUP(Market_Data[[#This Row],[District]],tbl_district_price[District],tbl_district_price[Standard Price
(INR/m³)],"",0)</f>
        <v>6200</v>
      </c>
      <c r="N1983" s="364">
        <f>IF(OR(Market_Data[[#This Row],[Estimated Concrete Demand (m³)]]="",Market_Data[[#This Row],[Avg Price per (₹ / m³)]]=""),"",Market_Data[[#This Row],[Estimated Concrete Demand (m³)]]*Market_Data[[#This Row],[Avg Price per (₹ / m³)]]/10000000)</f>
        <v>9.0953999999999997</v>
      </c>
      <c r="O1983" s="97" t="str">
        <f>IF(Market_Data[[#This Row],[Estimated Concrete Demand (m³)]]="","",
IF(Market_Data[[#This Row],[Estimated Concrete Demand (m³)]]&lt;10000,"Small",
IF(Market_Data[[#This Row],[Estimated Concrete Demand (m³)]]&lt;25000,"Medium",
IF(Market_Data[[#This Row],[Estimated Concrete Demand (m³)]]&lt;100000,"Large","Mega"))))</f>
        <v>Medium</v>
      </c>
      <c r="P1983" s="287" t="str">
        <f t="shared" si="32"/>
        <v>GujRERA</v>
      </c>
    </row>
    <row r="1984" spans="1:16">
      <c r="A1984" s="129" t="str">
        <f>_xlfn.XLOOKUP(B1984,$S$9:$S$14,$T$9:$T$14)&amp;"-"&amp;
IF(E1984="Residential/Group Housing","RES",
IF(E1984="Commercial","COM",
IF(E1984="Mixed Development","MIX",
IF(E1984="Plotted Development","PLT","OTH"))))
&amp;"-"&amp;TEXT(COUNTIFS($B$9:B1984,B1984,$E$9:E1984,E1984),"0000")</f>
        <v>SUR-RES-0651</v>
      </c>
      <c r="B1984" s="322" t="s">
        <v>34</v>
      </c>
      <c r="C1984" s="322" t="s">
        <v>34</v>
      </c>
      <c r="D1984" s="323" t="s">
        <v>2174</v>
      </c>
      <c r="E1984" s="132" t="s">
        <v>24</v>
      </c>
      <c r="F1984" s="97" t="str">
        <f ca="1">IF(OR(Market_Data[[#This Row],[Start Date]]="",Market_Data[[#This Row],[Completion Date]]=""),"Needs Validation",IF(Market_Data[[#This Row],[Start Date]]&gt;TODAY(),"Planned",IF(Market_Data[[#This Row],[Completion Date]]&lt;TODAY(),"Completed","Ongoing")))</f>
        <v>Ongoing</v>
      </c>
      <c r="G1984" s="324">
        <v>45416</v>
      </c>
      <c r="H1984" s="324">
        <v>47299</v>
      </c>
      <c r="I1984" s="325">
        <v>32000</v>
      </c>
      <c r="J198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84" s="133">
        <f>_xlfn.XLOOKUP(Market_Data[[#This Row],[Project Type]],tbl_assumptions_market[Project Category (RERA)],tbl_assumptions_market[Concrete Intensity
(m³ / sq m BUA)],"",0)</f>
        <v>0.45</v>
      </c>
      <c r="L1984" s="134">
        <f>ROUND(Market_Data[[#This Row],[Estimated Built Up Area (sq m)]]*Market_Data[[#This Row],[Concrete Intensity
(m³ / sq m)]],0)</f>
        <v>14400</v>
      </c>
      <c r="M1984" s="135">
        <f>_xlfn.XLOOKUP(Market_Data[[#This Row],[District]],tbl_district_price[District],tbl_district_price[Standard Price
(INR/m³)],"",0)</f>
        <v>6200</v>
      </c>
      <c r="N1984" s="364">
        <f>IF(OR(Market_Data[[#This Row],[Estimated Concrete Demand (m³)]]="",Market_Data[[#This Row],[Avg Price per (₹ / m³)]]=""),"",Market_Data[[#This Row],[Estimated Concrete Demand (m³)]]*Market_Data[[#This Row],[Avg Price per (₹ / m³)]]/10000000)</f>
        <v>8.9280000000000008</v>
      </c>
      <c r="O1984" s="97" t="str">
        <f>IF(Market_Data[[#This Row],[Estimated Concrete Demand (m³)]]="","",
IF(Market_Data[[#This Row],[Estimated Concrete Demand (m³)]]&lt;10000,"Small",
IF(Market_Data[[#This Row],[Estimated Concrete Demand (m³)]]&lt;25000,"Medium",
IF(Market_Data[[#This Row],[Estimated Concrete Demand (m³)]]&lt;100000,"Large","Mega"))))</f>
        <v>Medium</v>
      </c>
      <c r="P1984" s="287" t="str">
        <f t="shared" si="32"/>
        <v>GujRERA</v>
      </c>
    </row>
    <row r="1985" spans="1:16">
      <c r="A1985" s="129" t="str">
        <f>_xlfn.XLOOKUP(B1985,$S$9:$S$14,$T$9:$T$14)&amp;"-"&amp;
IF(E1985="Residential/Group Housing","RES",
IF(E1985="Commercial","COM",
IF(E1985="Mixed Development","MIX",
IF(E1985="Plotted Development","PLT","OTH"))))
&amp;"-"&amp;TEXT(COUNTIFS($B$9:B1985,B1985,$E$9:E1985,E1985),"0000")</f>
        <v>SUR-RES-0652</v>
      </c>
      <c r="B1985" s="322" t="s">
        <v>34</v>
      </c>
      <c r="C1985" s="322" t="s">
        <v>34</v>
      </c>
      <c r="D1985" s="323" t="s">
        <v>2175</v>
      </c>
      <c r="E1985" s="132" t="s">
        <v>24</v>
      </c>
      <c r="F1985" s="97" t="str">
        <f ca="1">IF(OR(Market_Data[[#This Row],[Start Date]]="",Market_Data[[#This Row],[Completion Date]]=""),"Needs Validation",IF(Market_Data[[#This Row],[Start Date]]&gt;TODAY(),"Planned",IF(Market_Data[[#This Row],[Completion Date]]&lt;TODAY(),"Completed","Ongoing")))</f>
        <v>Ongoing</v>
      </c>
      <c r="G1985" s="324">
        <v>45947</v>
      </c>
      <c r="H1985" s="324">
        <v>48213</v>
      </c>
      <c r="I1985" s="325">
        <v>20800</v>
      </c>
      <c r="J198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85" s="133">
        <f>_xlfn.XLOOKUP(Market_Data[[#This Row],[Project Type]],tbl_assumptions_market[Project Category (RERA)],tbl_assumptions_market[Concrete Intensity
(m³ / sq m BUA)],"",0)</f>
        <v>0.45</v>
      </c>
      <c r="L1985" s="134">
        <f>ROUND(Market_Data[[#This Row],[Estimated Built Up Area (sq m)]]*Market_Data[[#This Row],[Concrete Intensity
(m³ / sq m)]],0)</f>
        <v>9360</v>
      </c>
      <c r="M1985" s="135">
        <f>_xlfn.XLOOKUP(Market_Data[[#This Row],[District]],tbl_district_price[District],tbl_district_price[Standard Price
(INR/m³)],"",0)</f>
        <v>6200</v>
      </c>
      <c r="N1985" s="364">
        <f>IF(OR(Market_Data[[#This Row],[Estimated Concrete Demand (m³)]]="",Market_Data[[#This Row],[Avg Price per (₹ / m³)]]=""),"",Market_Data[[#This Row],[Estimated Concrete Demand (m³)]]*Market_Data[[#This Row],[Avg Price per (₹ / m³)]]/10000000)</f>
        <v>5.8032000000000004</v>
      </c>
      <c r="O1985" s="97" t="str">
        <f>IF(Market_Data[[#This Row],[Estimated Concrete Demand (m³)]]="","",
IF(Market_Data[[#This Row],[Estimated Concrete Demand (m³)]]&lt;10000,"Small",
IF(Market_Data[[#This Row],[Estimated Concrete Demand (m³)]]&lt;25000,"Medium",
IF(Market_Data[[#This Row],[Estimated Concrete Demand (m³)]]&lt;100000,"Large","Mega"))))</f>
        <v>Small</v>
      </c>
      <c r="P1985" s="287" t="str">
        <f t="shared" si="32"/>
        <v>GujRERA</v>
      </c>
    </row>
    <row r="1986" spans="1:16">
      <c r="A1986" s="129" t="str">
        <f>_xlfn.XLOOKUP(B1986,$S$9:$S$14,$T$9:$T$14)&amp;"-"&amp;
IF(E1986="Residential/Group Housing","RES",
IF(E1986="Commercial","COM",
IF(E1986="Mixed Development","MIX",
IF(E1986="Plotted Development","PLT","OTH"))))
&amp;"-"&amp;TEXT(COUNTIFS($B$9:B1986,B1986,$E$9:E1986,E1986),"0000")</f>
        <v>SUR-RES-0653</v>
      </c>
      <c r="B1986" s="322" t="s">
        <v>34</v>
      </c>
      <c r="C1986" s="322" t="s">
        <v>34</v>
      </c>
      <c r="D1986" s="323" t="s">
        <v>2176</v>
      </c>
      <c r="E1986" s="132" t="s">
        <v>24</v>
      </c>
      <c r="F1986" s="97" t="str">
        <f ca="1">IF(OR(Market_Data[[#This Row],[Start Date]]="",Market_Data[[#This Row],[Completion Date]]=""),"Needs Validation",IF(Market_Data[[#This Row],[Start Date]]&gt;TODAY(),"Planned",IF(Market_Data[[#This Row],[Completion Date]]&lt;TODAY(),"Completed","Ongoing")))</f>
        <v>Completed</v>
      </c>
      <c r="G1986" s="324">
        <v>43056</v>
      </c>
      <c r="H1986" s="324">
        <v>45107</v>
      </c>
      <c r="I1986" s="325">
        <v>54300</v>
      </c>
      <c r="J198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86" s="133">
        <f>_xlfn.XLOOKUP(Market_Data[[#This Row],[Project Type]],tbl_assumptions_market[Project Category (RERA)],tbl_assumptions_market[Concrete Intensity
(m³ / sq m BUA)],"",0)</f>
        <v>0.45</v>
      </c>
      <c r="L1986" s="134">
        <f>ROUND(Market_Data[[#This Row],[Estimated Built Up Area (sq m)]]*Market_Data[[#This Row],[Concrete Intensity
(m³ / sq m)]],0)</f>
        <v>24435</v>
      </c>
      <c r="M1986" s="135">
        <f>_xlfn.XLOOKUP(Market_Data[[#This Row],[District]],tbl_district_price[District],tbl_district_price[Standard Price
(INR/m³)],"",0)</f>
        <v>6200</v>
      </c>
      <c r="N1986" s="364">
        <f>IF(OR(Market_Data[[#This Row],[Estimated Concrete Demand (m³)]]="",Market_Data[[#This Row],[Avg Price per (₹ / m³)]]=""),"",Market_Data[[#This Row],[Estimated Concrete Demand (m³)]]*Market_Data[[#This Row],[Avg Price per (₹ / m³)]]/10000000)</f>
        <v>15.149699999999999</v>
      </c>
      <c r="O1986" s="97" t="str">
        <f>IF(Market_Data[[#This Row],[Estimated Concrete Demand (m³)]]="","",
IF(Market_Data[[#This Row],[Estimated Concrete Demand (m³)]]&lt;10000,"Small",
IF(Market_Data[[#This Row],[Estimated Concrete Demand (m³)]]&lt;25000,"Medium",
IF(Market_Data[[#This Row],[Estimated Concrete Demand (m³)]]&lt;100000,"Large","Mega"))))</f>
        <v>Medium</v>
      </c>
      <c r="P1986" s="287" t="str">
        <f t="shared" si="32"/>
        <v>GujRERA</v>
      </c>
    </row>
    <row r="1987" spans="1:16">
      <c r="A1987" s="129" t="str">
        <f>_xlfn.XLOOKUP(B1987,$S$9:$S$14,$T$9:$T$14)&amp;"-"&amp;
IF(E1987="Residential/Group Housing","RES",
IF(E1987="Commercial","COM",
IF(E1987="Mixed Development","MIX",
IF(E1987="Plotted Development","PLT","OTH"))))
&amp;"-"&amp;TEXT(COUNTIFS($B$9:B1987,B1987,$E$9:E1987,E1987),"0000")</f>
        <v>SUR-MIX-0331</v>
      </c>
      <c r="B1987" s="322" t="s">
        <v>34</v>
      </c>
      <c r="C1987" s="322" t="s">
        <v>34</v>
      </c>
      <c r="D1987" s="323" t="s">
        <v>2177</v>
      </c>
      <c r="E1987" s="132" t="s">
        <v>25</v>
      </c>
      <c r="F1987" s="97" t="str">
        <f ca="1">IF(OR(Market_Data[[#This Row],[Start Date]]="",Market_Data[[#This Row],[Completion Date]]=""),"Needs Validation",IF(Market_Data[[#This Row],[Start Date]]&gt;TODAY(),"Planned",IF(Market_Data[[#This Row],[Completion Date]]&lt;TODAY(),"Completed","Ongoing")))</f>
        <v>Ongoing</v>
      </c>
      <c r="G1987" s="324">
        <v>44835</v>
      </c>
      <c r="H1987" s="324">
        <v>47848</v>
      </c>
      <c r="I1987" s="325">
        <v>44000</v>
      </c>
      <c r="J198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87" s="133">
        <f>_xlfn.XLOOKUP(Market_Data[[#This Row],[Project Type]],tbl_assumptions_market[Project Category (RERA)],tbl_assumptions_market[Concrete Intensity
(m³ / sq m BUA)],"",0)</f>
        <v>0.42</v>
      </c>
      <c r="L1987" s="134">
        <f>ROUND(Market_Data[[#This Row],[Estimated Built Up Area (sq m)]]*Market_Data[[#This Row],[Concrete Intensity
(m³ / sq m)]],0)</f>
        <v>18480</v>
      </c>
      <c r="M1987" s="135">
        <f>_xlfn.XLOOKUP(Market_Data[[#This Row],[District]],tbl_district_price[District],tbl_district_price[Standard Price
(INR/m³)],"",0)</f>
        <v>6200</v>
      </c>
      <c r="N1987" s="364">
        <f>IF(OR(Market_Data[[#This Row],[Estimated Concrete Demand (m³)]]="",Market_Data[[#This Row],[Avg Price per (₹ / m³)]]=""),"",Market_Data[[#This Row],[Estimated Concrete Demand (m³)]]*Market_Data[[#This Row],[Avg Price per (₹ / m³)]]/10000000)</f>
        <v>11.457599999999999</v>
      </c>
      <c r="O1987" s="97" t="str">
        <f>IF(Market_Data[[#This Row],[Estimated Concrete Demand (m³)]]="","",
IF(Market_Data[[#This Row],[Estimated Concrete Demand (m³)]]&lt;10000,"Small",
IF(Market_Data[[#This Row],[Estimated Concrete Demand (m³)]]&lt;25000,"Medium",
IF(Market_Data[[#This Row],[Estimated Concrete Demand (m³)]]&lt;100000,"Large","Mega"))))</f>
        <v>Medium</v>
      </c>
      <c r="P1987" s="287" t="str">
        <f t="shared" si="32"/>
        <v>GujRERA</v>
      </c>
    </row>
    <row r="1988" spans="1:16">
      <c r="A1988" s="129" t="str">
        <f>_xlfn.XLOOKUP(B1988,$S$9:$S$14,$T$9:$T$14)&amp;"-"&amp;
IF(E1988="Residential/Group Housing","RES",
IF(E1988="Commercial","COM",
IF(E1988="Mixed Development","MIX",
IF(E1988="Plotted Development","PLT","OTH"))))
&amp;"-"&amp;TEXT(COUNTIFS($B$9:B1988,B1988,$E$9:E1988,E1988),"0000")</f>
        <v>SUR-RES-0654</v>
      </c>
      <c r="B1988" s="322" t="s">
        <v>34</v>
      </c>
      <c r="C1988" s="322" t="s">
        <v>34</v>
      </c>
      <c r="D1988" s="323" t="s">
        <v>2178</v>
      </c>
      <c r="E1988" s="132" t="s">
        <v>24</v>
      </c>
      <c r="F1988" s="97" t="str">
        <f ca="1">IF(OR(Market_Data[[#This Row],[Start Date]]="",Market_Data[[#This Row],[Completion Date]]=""),"Needs Validation",IF(Market_Data[[#This Row],[Start Date]]&gt;TODAY(),"Planned",IF(Market_Data[[#This Row],[Completion Date]]&lt;TODAY(),"Completed","Ongoing")))</f>
        <v>Ongoing</v>
      </c>
      <c r="G1988" s="324">
        <v>44555</v>
      </c>
      <c r="H1988" s="324">
        <v>46387</v>
      </c>
      <c r="I1988" s="325">
        <v>32900</v>
      </c>
      <c r="J198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88" s="133">
        <f>_xlfn.XLOOKUP(Market_Data[[#This Row],[Project Type]],tbl_assumptions_market[Project Category (RERA)],tbl_assumptions_market[Concrete Intensity
(m³ / sq m BUA)],"",0)</f>
        <v>0.45</v>
      </c>
      <c r="L1988" s="134">
        <f>ROUND(Market_Data[[#This Row],[Estimated Built Up Area (sq m)]]*Market_Data[[#This Row],[Concrete Intensity
(m³ / sq m)]],0)</f>
        <v>14805</v>
      </c>
      <c r="M1988" s="135">
        <f>_xlfn.XLOOKUP(Market_Data[[#This Row],[District]],tbl_district_price[District],tbl_district_price[Standard Price
(INR/m³)],"",0)</f>
        <v>6200</v>
      </c>
      <c r="N1988" s="364">
        <f>IF(OR(Market_Data[[#This Row],[Estimated Concrete Demand (m³)]]="",Market_Data[[#This Row],[Avg Price per (₹ / m³)]]=""),"",Market_Data[[#This Row],[Estimated Concrete Demand (m³)]]*Market_Data[[#This Row],[Avg Price per (₹ / m³)]]/10000000)</f>
        <v>9.1791</v>
      </c>
      <c r="O1988" s="97" t="str">
        <f>IF(Market_Data[[#This Row],[Estimated Concrete Demand (m³)]]="","",
IF(Market_Data[[#This Row],[Estimated Concrete Demand (m³)]]&lt;10000,"Small",
IF(Market_Data[[#This Row],[Estimated Concrete Demand (m³)]]&lt;25000,"Medium",
IF(Market_Data[[#This Row],[Estimated Concrete Demand (m³)]]&lt;100000,"Large","Mega"))))</f>
        <v>Medium</v>
      </c>
      <c r="P1988" s="287" t="str">
        <f t="shared" si="32"/>
        <v>GujRERA</v>
      </c>
    </row>
    <row r="1989" spans="1:16">
      <c r="A1989" s="129" t="str">
        <f>_xlfn.XLOOKUP(B1989,$S$9:$S$14,$T$9:$T$14)&amp;"-"&amp;
IF(E1989="Residential/Group Housing","RES",
IF(E1989="Commercial","COM",
IF(E1989="Mixed Development","MIX",
IF(E1989="Plotted Development","PLT","OTH"))))
&amp;"-"&amp;TEXT(COUNTIFS($B$9:B1989,B1989,$E$9:E1989,E1989),"0000")</f>
        <v>SUR-MIX-0332</v>
      </c>
      <c r="B1989" s="322" t="s">
        <v>34</v>
      </c>
      <c r="C1989" s="322" t="s">
        <v>34</v>
      </c>
      <c r="D1989" s="323" t="s">
        <v>2179</v>
      </c>
      <c r="E1989" s="132" t="s">
        <v>25</v>
      </c>
      <c r="F1989" s="97" t="str">
        <f ca="1">IF(OR(Market_Data[[#This Row],[Start Date]]="",Market_Data[[#This Row],[Completion Date]]=""),"Needs Validation",IF(Market_Data[[#This Row],[Start Date]]&gt;TODAY(),"Planned",IF(Market_Data[[#This Row],[Completion Date]]&lt;TODAY(),"Completed","Ongoing")))</f>
        <v>Ongoing</v>
      </c>
      <c r="G1989" s="324">
        <v>45869</v>
      </c>
      <c r="H1989" s="324">
        <v>47848</v>
      </c>
      <c r="I1989" s="325">
        <v>33900</v>
      </c>
      <c r="J198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89" s="133">
        <f>_xlfn.XLOOKUP(Market_Data[[#This Row],[Project Type]],tbl_assumptions_market[Project Category (RERA)],tbl_assumptions_market[Concrete Intensity
(m³ / sq m BUA)],"",0)</f>
        <v>0.42</v>
      </c>
      <c r="L1989" s="134">
        <f>ROUND(Market_Data[[#This Row],[Estimated Built Up Area (sq m)]]*Market_Data[[#This Row],[Concrete Intensity
(m³ / sq m)]],0)</f>
        <v>14238</v>
      </c>
      <c r="M1989" s="135">
        <f>_xlfn.XLOOKUP(Market_Data[[#This Row],[District]],tbl_district_price[District],tbl_district_price[Standard Price
(INR/m³)],"",0)</f>
        <v>6200</v>
      </c>
      <c r="N1989" s="364">
        <f>IF(OR(Market_Data[[#This Row],[Estimated Concrete Demand (m³)]]="",Market_Data[[#This Row],[Avg Price per (₹ / m³)]]=""),"",Market_Data[[#This Row],[Estimated Concrete Demand (m³)]]*Market_Data[[#This Row],[Avg Price per (₹ / m³)]]/10000000)</f>
        <v>8.8275600000000001</v>
      </c>
      <c r="O1989" s="97" t="str">
        <f>IF(Market_Data[[#This Row],[Estimated Concrete Demand (m³)]]="","",
IF(Market_Data[[#This Row],[Estimated Concrete Demand (m³)]]&lt;10000,"Small",
IF(Market_Data[[#This Row],[Estimated Concrete Demand (m³)]]&lt;25000,"Medium",
IF(Market_Data[[#This Row],[Estimated Concrete Demand (m³)]]&lt;100000,"Large","Mega"))))</f>
        <v>Medium</v>
      </c>
      <c r="P1989" s="287" t="str">
        <f t="shared" si="32"/>
        <v>GujRERA</v>
      </c>
    </row>
    <row r="1990" spans="1:16">
      <c r="A1990" s="129" t="str">
        <f>_xlfn.XLOOKUP(B1990,$S$9:$S$14,$T$9:$T$14)&amp;"-"&amp;
IF(E1990="Residential/Group Housing","RES",
IF(E1990="Commercial","COM",
IF(E1990="Mixed Development","MIX",
IF(E1990="Plotted Development","PLT","OTH"))))
&amp;"-"&amp;TEXT(COUNTIFS($B$9:B1990,B1990,$E$9:E1990,E1990),"0000")</f>
        <v>SUR-RES-0655</v>
      </c>
      <c r="B1990" s="322" t="s">
        <v>34</v>
      </c>
      <c r="C1990" s="322" t="s">
        <v>34</v>
      </c>
      <c r="D1990" s="323" t="s">
        <v>2180</v>
      </c>
      <c r="E1990" s="132" t="s">
        <v>24</v>
      </c>
      <c r="F1990" s="97" t="str">
        <f ca="1">IF(OR(Market_Data[[#This Row],[Start Date]]="",Market_Data[[#This Row],[Completion Date]]=""),"Needs Validation",IF(Market_Data[[#This Row],[Start Date]]&gt;TODAY(),"Planned",IF(Market_Data[[#This Row],[Completion Date]]&lt;TODAY(),"Completed","Ongoing")))</f>
        <v>Ongoing</v>
      </c>
      <c r="G1990" s="324">
        <v>45120</v>
      </c>
      <c r="H1990" s="324">
        <v>46387</v>
      </c>
      <c r="I1990" s="325">
        <v>47800</v>
      </c>
      <c r="J199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90" s="133">
        <f>_xlfn.XLOOKUP(Market_Data[[#This Row],[Project Type]],tbl_assumptions_market[Project Category (RERA)],tbl_assumptions_market[Concrete Intensity
(m³ / sq m BUA)],"",0)</f>
        <v>0.45</v>
      </c>
      <c r="L1990" s="134">
        <f>ROUND(Market_Data[[#This Row],[Estimated Built Up Area (sq m)]]*Market_Data[[#This Row],[Concrete Intensity
(m³ / sq m)]],0)</f>
        <v>21510</v>
      </c>
      <c r="M1990" s="135">
        <f>_xlfn.XLOOKUP(Market_Data[[#This Row],[District]],tbl_district_price[District],tbl_district_price[Standard Price
(INR/m³)],"",0)</f>
        <v>6200</v>
      </c>
      <c r="N1990" s="364">
        <f>IF(OR(Market_Data[[#This Row],[Estimated Concrete Demand (m³)]]="",Market_Data[[#This Row],[Avg Price per (₹ / m³)]]=""),"",Market_Data[[#This Row],[Estimated Concrete Demand (m³)]]*Market_Data[[#This Row],[Avg Price per (₹ / m³)]]/10000000)</f>
        <v>13.3362</v>
      </c>
      <c r="O1990" s="97" t="str">
        <f>IF(Market_Data[[#This Row],[Estimated Concrete Demand (m³)]]="","",
IF(Market_Data[[#This Row],[Estimated Concrete Demand (m³)]]&lt;10000,"Small",
IF(Market_Data[[#This Row],[Estimated Concrete Demand (m³)]]&lt;25000,"Medium",
IF(Market_Data[[#This Row],[Estimated Concrete Demand (m³)]]&lt;100000,"Large","Mega"))))</f>
        <v>Medium</v>
      </c>
      <c r="P1990" s="287" t="str">
        <f t="shared" si="32"/>
        <v>GujRERA</v>
      </c>
    </row>
    <row r="1991" spans="1:16">
      <c r="A1991" s="129" t="str">
        <f>_xlfn.XLOOKUP(B1991,$S$9:$S$14,$T$9:$T$14)&amp;"-"&amp;
IF(E1991="Residential/Group Housing","RES",
IF(E1991="Commercial","COM",
IF(E1991="Mixed Development","MIX",
IF(E1991="Plotted Development","PLT","OTH"))))
&amp;"-"&amp;TEXT(COUNTIFS($B$9:B1991,B1991,$E$9:E1991,E1991),"0000")</f>
        <v>SUR-RES-0656</v>
      </c>
      <c r="B1991" s="322" t="s">
        <v>34</v>
      </c>
      <c r="C1991" s="322" t="s">
        <v>34</v>
      </c>
      <c r="D1991" s="323" t="s">
        <v>2181</v>
      </c>
      <c r="E1991" s="132" t="s">
        <v>24</v>
      </c>
      <c r="F1991" s="97" t="str">
        <f ca="1">IF(OR(Market_Data[[#This Row],[Start Date]]="",Market_Data[[#This Row],[Completion Date]]=""),"Needs Validation",IF(Market_Data[[#This Row],[Start Date]]&gt;TODAY(),"Planned",IF(Market_Data[[#This Row],[Completion Date]]&lt;TODAY(),"Completed","Ongoing")))</f>
        <v>Ongoing</v>
      </c>
      <c r="G1991" s="324">
        <v>45702</v>
      </c>
      <c r="H1991" s="324">
        <v>47483</v>
      </c>
      <c r="I1991" s="325">
        <v>40400</v>
      </c>
      <c r="J199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91" s="133">
        <f>_xlfn.XLOOKUP(Market_Data[[#This Row],[Project Type]],tbl_assumptions_market[Project Category (RERA)],tbl_assumptions_market[Concrete Intensity
(m³ / sq m BUA)],"",0)</f>
        <v>0.45</v>
      </c>
      <c r="L1991" s="134">
        <f>ROUND(Market_Data[[#This Row],[Estimated Built Up Area (sq m)]]*Market_Data[[#This Row],[Concrete Intensity
(m³ / sq m)]],0)</f>
        <v>18180</v>
      </c>
      <c r="M1991" s="135">
        <f>_xlfn.XLOOKUP(Market_Data[[#This Row],[District]],tbl_district_price[District],tbl_district_price[Standard Price
(INR/m³)],"",0)</f>
        <v>6200</v>
      </c>
      <c r="N1991" s="364">
        <f>IF(OR(Market_Data[[#This Row],[Estimated Concrete Demand (m³)]]="",Market_Data[[#This Row],[Avg Price per (₹ / m³)]]=""),"",Market_Data[[#This Row],[Estimated Concrete Demand (m³)]]*Market_Data[[#This Row],[Avg Price per (₹ / m³)]]/10000000)</f>
        <v>11.271599999999999</v>
      </c>
      <c r="O1991" s="97" t="str">
        <f>IF(Market_Data[[#This Row],[Estimated Concrete Demand (m³)]]="","",
IF(Market_Data[[#This Row],[Estimated Concrete Demand (m³)]]&lt;10000,"Small",
IF(Market_Data[[#This Row],[Estimated Concrete Demand (m³)]]&lt;25000,"Medium",
IF(Market_Data[[#This Row],[Estimated Concrete Demand (m³)]]&lt;100000,"Large","Mega"))))</f>
        <v>Medium</v>
      </c>
      <c r="P1991" s="287" t="str">
        <f t="shared" si="32"/>
        <v>GujRERA</v>
      </c>
    </row>
    <row r="1992" spans="1:16">
      <c r="A1992" s="129" t="str">
        <f>_xlfn.XLOOKUP(B1992,$S$9:$S$14,$T$9:$T$14)&amp;"-"&amp;
IF(E1992="Residential/Group Housing","RES",
IF(E1992="Commercial","COM",
IF(E1992="Mixed Development","MIX",
IF(E1992="Plotted Development","PLT","OTH"))))
&amp;"-"&amp;TEXT(COUNTIFS($B$9:B1992,B1992,$E$9:E1992,E1992),"0000")</f>
        <v>SUR-PLT-0375</v>
      </c>
      <c r="B1992" s="322" t="s">
        <v>34</v>
      </c>
      <c r="C1992" s="322" t="s">
        <v>34</v>
      </c>
      <c r="D1992" s="323" t="s">
        <v>2182</v>
      </c>
      <c r="E1992" s="132" t="s">
        <v>26</v>
      </c>
      <c r="F1992" s="97" t="str">
        <f ca="1">IF(OR(Market_Data[[#This Row],[Start Date]]="",Market_Data[[#This Row],[Completion Date]]=""),"Needs Validation",IF(Market_Data[[#This Row],[Start Date]]&gt;TODAY(),"Planned",IF(Market_Data[[#This Row],[Completion Date]]&lt;TODAY(),"Completed","Ongoing")))</f>
        <v>Ongoing</v>
      </c>
      <c r="G1992" s="324">
        <v>44763</v>
      </c>
      <c r="H1992" s="324">
        <v>47118</v>
      </c>
      <c r="I1992" s="325">
        <v>57900</v>
      </c>
      <c r="J199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992" s="133">
        <f>_xlfn.XLOOKUP(Market_Data[[#This Row],[Project Type]],tbl_assumptions_market[Project Category (RERA)],tbl_assumptions_market[Concrete Intensity
(m³ / sq m BUA)],"",0)</f>
        <v>0.18</v>
      </c>
      <c r="L1992" s="134">
        <f>ROUND(Market_Data[[#This Row],[Estimated Built Up Area (sq m)]]*Market_Data[[#This Row],[Concrete Intensity
(m³ / sq m)]],0)</f>
        <v>10422</v>
      </c>
      <c r="M1992" s="135">
        <f>_xlfn.XLOOKUP(Market_Data[[#This Row],[District]],tbl_district_price[District],tbl_district_price[Standard Price
(INR/m³)],"",0)</f>
        <v>6200</v>
      </c>
      <c r="N1992" s="364">
        <f>IF(OR(Market_Data[[#This Row],[Estimated Concrete Demand (m³)]]="",Market_Data[[#This Row],[Avg Price per (₹ / m³)]]=""),"",Market_Data[[#This Row],[Estimated Concrete Demand (m³)]]*Market_Data[[#This Row],[Avg Price per (₹ / m³)]]/10000000)</f>
        <v>6.4616400000000001</v>
      </c>
      <c r="O1992" s="97" t="str">
        <f>IF(Market_Data[[#This Row],[Estimated Concrete Demand (m³)]]="","",
IF(Market_Data[[#This Row],[Estimated Concrete Demand (m³)]]&lt;10000,"Small",
IF(Market_Data[[#This Row],[Estimated Concrete Demand (m³)]]&lt;25000,"Medium",
IF(Market_Data[[#This Row],[Estimated Concrete Demand (m³)]]&lt;100000,"Large","Mega"))))</f>
        <v>Medium</v>
      </c>
      <c r="P1992" s="287" t="str">
        <f t="shared" si="32"/>
        <v>GujRERA</v>
      </c>
    </row>
    <row r="1993" spans="1:16">
      <c r="A1993" s="129" t="str">
        <f>_xlfn.XLOOKUP(B1993,$S$9:$S$14,$T$9:$T$14)&amp;"-"&amp;
IF(E1993="Residential/Group Housing","RES",
IF(E1993="Commercial","COM",
IF(E1993="Mixed Development","MIX",
IF(E1993="Plotted Development","PLT","OTH"))))
&amp;"-"&amp;TEXT(COUNTIFS($B$9:B1993,B1993,$E$9:E1993,E1993),"0000")</f>
        <v>SUR-RES-0657</v>
      </c>
      <c r="B1993" s="322" t="s">
        <v>34</v>
      </c>
      <c r="C1993" s="322" t="s">
        <v>34</v>
      </c>
      <c r="D1993" s="323" t="s">
        <v>2183</v>
      </c>
      <c r="E1993" s="132" t="s">
        <v>24</v>
      </c>
      <c r="F1993" s="97" t="str">
        <f ca="1">IF(OR(Market_Data[[#This Row],[Start Date]]="",Market_Data[[#This Row],[Completion Date]]=""),"Needs Validation",IF(Market_Data[[#This Row],[Start Date]]&gt;TODAY(),"Planned",IF(Market_Data[[#This Row],[Completion Date]]&lt;TODAY(),"Completed","Ongoing")))</f>
        <v>Ongoing</v>
      </c>
      <c r="G1993" s="324">
        <v>43593</v>
      </c>
      <c r="H1993" s="324">
        <v>47299</v>
      </c>
      <c r="I1993" s="325">
        <v>10500</v>
      </c>
      <c r="J199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93" s="133">
        <f>_xlfn.XLOOKUP(Market_Data[[#This Row],[Project Type]],tbl_assumptions_market[Project Category (RERA)],tbl_assumptions_market[Concrete Intensity
(m³ / sq m BUA)],"",0)</f>
        <v>0.45</v>
      </c>
      <c r="L1993" s="134">
        <f>ROUND(Market_Data[[#This Row],[Estimated Built Up Area (sq m)]]*Market_Data[[#This Row],[Concrete Intensity
(m³ / sq m)]],0)</f>
        <v>4725</v>
      </c>
      <c r="M1993" s="135">
        <f>_xlfn.XLOOKUP(Market_Data[[#This Row],[District]],tbl_district_price[District],tbl_district_price[Standard Price
(INR/m³)],"",0)</f>
        <v>6200</v>
      </c>
      <c r="N1993" s="364">
        <f>IF(OR(Market_Data[[#This Row],[Estimated Concrete Demand (m³)]]="",Market_Data[[#This Row],[Avg Price per (₹ / m³)]]=""),"",Market_Data[[#This Row],[Estimated Concrete Demand (m³)]]*Market_Data[[#This Row],[Avg Price per (₹ / m³)]]/10000000)</f>
        <v>2.9295</v>
      </c>
      <c r="O1993" s="97" t="str">
        <f>IF(Market_Data[[#This Row],[Estimated Concrete Demand (m³)]]="","",
IF(Market_Data[[#This Row],[Estimated Concrete Demand (m³)]]&lt;10000,"Small",
IF(Market_Data[[#This Row],[Estimated Concrete Demand (m³)]]&lt;25000,"Medium",
IF(Market_Data[[#This Row],[Estimated Concrete Demand (m³)]]&lt;100000,"Large","Mega"))))</f>
        <v>Small</v>
      </c>
      <c r="P1993" s="287" t="str">
        <f t="shared" si="32"/>
        <v>GujRERA</v>
      </c>
    </row>
    <row r="1994" spans="1:16">
      <c r="A1994" s="129" t="str">
        <f>_xlfn.XLOOKUP(B1994,$S$9:$S$14,$T$9:$T$14)&amp;"-"&amp;
IF(E1994="Residential/Group Housing","RES",
IF(E1994="Commercial","COM",
IF(E1994="Mixed Development","MIX",
IF(E1994="Plotted Development","PLT","OTH"))))
&amp;"-"&amp;TEXT(COUNTIFS($B$9:B1994,B1994,$E$9:E1994,E1994),"0000")</f>
        <v>SUR-RES-0658</v>
      </c>
      <c r="B1994" s="322" t="s">
        <v>34</v>
      </c>
      <c r="C1994" s="322" t="s">
        <v>34</v>
      </c>
      <c r="D1994" s="323" t="s">
        <v>2184</v>
      </c>
      <c r="E1994" s="132" t="s">
        <v>24</v>
      </c>
      <c r="F1994" s="97" t="str">
        <f ca="1">IF(OR(Market_Data[[#This Row],[Start Date]]="",Market_Data[[#This Row],[Completion Date]]=""),"Needs Validation",IF(Market_Data[[#This Row],[Start Date]]&gt;TODAY(),"Planned",IF(Market_Data[[#This Row],[Completion Date]]&lt;TODAY(),"Completed","Ongoing")))</f>
        <v>Ongoing</v>
      </c>
      <c r="G1994" s="324">
        <v>44918</v>
      </c>
      <c r="H1994" s="324">
        <v>46752</v>
      </c>
      <c r="I1994" s="325">
        <v>59800</v>
      </c>
      <c r="J199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94" s="133">
        <f>_xlfn.XLOOKUP(Market_Data[[#This Row],[Project Type]],tbl_assumptions_market[Project Category (RERA)],tbl_assumptions_market[Concrete Intensity
(m³ / sq m BUA)],"",0)</f>
        <v>0.45</v>
      </c>
      <c r="L1994" s="134">
        <f>ROUND(Market_Data[[#This Row],[Estimated Built Up Area (sq m)]]*Market_Data[[#This Row],[Concrete Intensity
(m³ / sq m)]],0)</f>
        <v>26910</v>
      </c>
      <c r="M1994" s="135">
        <f>_xlfn.XLOOKUP(Market_Data[[#This Row],[District]],tbl_district_price[District],tbl_district_price[Standard Price
(INR/m³)],"",0)</f>
        <v>6200</v>
      </c>
      <c r="N1994" s="364">
        <f>IF(OR(Market_Data[[#This Row],[Estimated Concrete Demand (m³)]]="",Market_Data[[#This Row],[Avg Price per (₹ / m³)]]=""),"",Market_Data[[#This Row],[Estimated Concrete Demand (m³)]]*Market_Data[[#This Row],[Avg Price per (₹ / m³)]]/10000000)</f>
        <v>16.684200000000001</v>
      </c>
      <c r="O1994" s="97" t="str">
        <f>IF(Market_Data[[#This Row],[Estimated Concrete Demand (m³)]]="","",
IF(Market_Data[[#This Row],[Estimated Concrete Demand (m³)]]&lt;10000,"Small",
IF(Market_Data[[#This Row],[Estimated Concrete Demand (m³)]]&lt;25000,"Medium",
IF(Market_Data[[#This Row],[Estimated Concrete Demand (m³)]]&lt;100000,"Large","Mega"))))</f>
        <v>Large</v>
      </c>
      <c r="P1994" s="287" t="str">
        <f t="shared" ref="P1994:P2057" si="33">HYPERLINK(
"https://gujrera.gujarat.gov.in",
"GujRERA")</f>
        <v>GujRERA</v>
      </c>
    </row>
    <row r="1995" spans="1:16">
      <c r="A1995" s="129" t="str">
        <f>_xlfn.XLOOKUP(B1995,$S$9:$S$14,$T$9:$T$14)&amp;"-"&amp;
IF(E1995="Residential/Group Housing","RES",
IF(E1995="Commercial","COM",
IF(E1995="Mixed Development","MIX",
IF(E1995="Plotted Development","PLT","OTH"))))
&amp;"-"&amp;TEXT(COUNTIFS($B$9:B1995,B1995,$E$9:E1995,E1995),"0000")</f>
        <v>SUR-RES-0659</v>
      </c>
      <c r="B1995" s="322" t="s">
        <v>34</v>
      </c>
      <c r="C1995" s="322" t="s">
        <v>34</v>
      </c>
      <c r="D1995" s="323" t="s">
        <v>2185</v>
      </c>
      <c r="E1995" s="132" t="s">
        <v>24</v>
      </c>
      <c r="F1995" s="97" t="str">
        <f ca="1">IF(OR(Market_Data[[#This Row],[Start Date]]="",Market_Data[[#This Row],[Completion Date]]=""),"Needs Validation",IF(Market_Data[[#This Row],[Start Date]]&gt;TODAY(),"Planned",IF(Market_Data[[#This Row],[Completion Date]]&lt;TODAY(),"Completed","Ongoing")))</f>
        <v>Ongoing</v>
      </c>
      <c r="G1995" s="324">
        <v>45383</v>
      </c>
      <c r="H1995" s="324">
        <v>48213</v>
      </c>
      <c r="I1995" s="325">
        <v>55500</v>
      </c>
      <c r="J199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95" s="133">
        <f>_xlfn.XLOOKUP(Market_Data[[#This Row],[Project Type]],tbl_assumptions_market[Project Category (RERA)],tbl_assumptions_market[Concrete Intensity
(m³ / sq m BUA)],"",0)</f>
        <v>0.45</v>
      </c>
      <c r="L1995" s="134">
        <f>ROUND(Market_Data[[#This Row],[Estimated Built Up Area (sq m)]]*Market_Data[[#This Row],[Concrete Intensity
(m³ / sq m)]],0)</f>
        <v>24975</v>
      </c>
      <c r="M1995" s="135">
        <f>_xlfn.XLOOKUP(Market_Data[[#This Row],[District]],tbl_district_price[District],tbl_district_price[Standard Price
(INR/m³)],"",0)</f>
        <v>6200</v>
      </c>
      <c r="N1995" s="364">
        <f>IF(OR(Market_Data[[#This Row],[Estimated Concrete Demand (m³)]]="",Market_Data[[#This Row],[Avg Price per (₹ / m³)]]=""),"",Market_Data[[#This Row],[Estimated Concrete Demand (m³)]]*Market_Data[[#This Row],[Avg Price per (₹ / m³)]]/10000000)</f>
        <v>15.484500000000001</v>
      </c>
      <c r="O1995" s="97" t="str">
        <f>IF(Market_Data[[#This Row],[Estimated Concrete Demand (m³)]]="","",
IF(Market_Data[[#This Row],[Estimated Concrete Demand (m³)]]&lt;10000,"Small",
IF(Market_Data[[#This Row],[Estimated Concrete Demand (m³)]]&lt;25000,"Medium",
IF(Market_Data[[#This Row],[Estimated Concrete Demand (m³)]]&lt;100000,"Large","Mega"))))</f>
        <v>Medium</v>
      </c>
      <c r="P1995" s="287" t="str">
        <f t="shared" si="33"/>
        <v>GujRERA</v>
      </c>
    </row>
    <row r="1996" spans="1:16">
      <c r="A1996" s="129" t="str">
        <f>_xlfn.XLOOKUP(B1996,$S$9:$S$14,$T$9:$T$14)&amp;"-"&amp;
IF(E1996="Residential/Group Housing","RES",
IF(E1996="Commercial","COM",
IF(E1996="Mixed Development","MIX",
IF(E1996="Plotted Development","PLT","OTH"))))
&amp;"-"&amp;TEXT(COUNTIFS($B$9:B1996,B1996,$E$9:E1996,E1996),"0000")</f>
        <v>SUR-PLT-0376</v>
      </c>
      <c r="B1996" s="322" t="s">
        <v>34</v>
      </c>
      <c r="C1996" s="322" t="s">
        <v>34</v>
      </c>
      <c r="D1996" s="323" t="s">
        <v>2186</v>
      </c>
      <c r="E1996" s="132" t="s">
        <v>26</v>
      </c>
      <c r="F1996" s="97" t="str">
        <f ca="1">IF(OR(Market_Data[[#This Row],[Start Date]]="",Market_Data[[#This Row],[Completion Date]]=""),"Needs Validation",IF(Market_Data[[#This Row],[Start Date]]&gt;TODAY(),"Planned",IF(Market_Data[[#This Row],[Completion Date]]&lt;TODAY(),"Completed","Ongoing")))</f>
        <v>Ongoing</v>
      </c>
      <c r="G1996" s="324">
        <v>45947</v>
      </c>
      <c r="H1996" s="324">
        <v>47483</v>
      </c>
      <c r="I1996" s="325">
        <v>6100</v>
      </c>
      <c r="J199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96" s="133">
        <f>_xlfn.XLOOKUP(Market_Data[[#This Row],[Project Type]],tbl_assumptions_market[Project Category (RERA)],tbl_assumptions_market[Concrete Intensity
(m³ / sq m BUA)],"",0)</f>
        <v>0.18</v>
      </c>
      <c r="L1996" s="134">
        <f>ROUND(Market_Data[[#This Row],[Estimated Built Up Area (sq m)]]*Market_Data[[#This Row],[Concrete Intensity
(m³ / sq m)]],0)</f>
        <v>1098</v>
      </c>
      <c r="M1996" s="135">
        <f>_xlfn.XLOOKUP(Market_Data[[#This Row],[District]],tbl_district_price[District],tbl_district_price[Standard Price
(INR/m³)],"",0)</f>
        <v>6200</v>
      </c>
      <c r="N1996" s="364">
        <f>IF(OR(Market_Data[[#This Row],[Estimated Concrete Demand (m³)]]="",Market_Data[[#This Row],[Avg Price per (₹ / m³)]]=""),"",Market_Data[[#This Row],[Estimated Concrete Demand (m³)]]*Market_Data[[#This Row],[Avg Price per (₹ / m³)]]/10000000)</f>
        <v>0.68076000000000003</v>
      </c>
      <c r="O1996" s="97" t="str">
        <f>IF(Market_Data[[#This Row],[Estimated Concrete Demand (m³)]]="","",
IF(Market_Data[[#This Row],[Estimated Concrete Demand (m³)]]&lt;10000,"Small",
IF(Market_Data[[#This Row],[Estimated Concrete Demand (m³)]]&lt;25000,"Medium",
IF(Market_Data[[#This Row],[Estimated Concrete Demand (m³)]]&lt;100000,"Large","Mega"))))</f>
        <v>Small</v>
      </c>
      <c r="P1996" s="287" t="str">
        <f t="shared" si="33"/>
        <v>GujRERA</v>
      </c>
    </row>
    <row r="1997" spans="1:16">
      <c r="A1997" s="129" t="str">
        <f>_xlfn.XLOOKUP(B1997,$S$9:$S$14,$T$9:$T$14)&amp;"-"&amp;
IF(E1997="Residential/Group Housing","RES",
IF(E1997="Commercial","COM",
IF(E1997="Mixed Development","MIX",
IF(E1997="Plotted Development","PLT","OTH"))))
&amp;"-"&amp;TEXT(COUNTIFS($B$9:B1997,B1997,$E$9:E1997,E1997),"0000")</f>
        <v>SUR-RES-0660</v>
      </c>
      <c r="B1997" s="322" t="s">
        <v>34</v>
      </c>
      <c r="C1997" s="322" t="s">
        <v>34</v>
      </c>
      <c r="D1997" s="323" t="s">
        <v>2187</v>
      </c>
      <c r="E1997" s="132" t="s">
        <v>24</v>
      </c>
      <c r="F1997" s="97" t="str">
        <f ca="1">IF(OR(Market_Data[[#This Row],[Start Date]]="",Market_Data[[#This Row],[Completion Date]]=""),"Needs Validation",IF(Market_Data[[#This Row],[Start Date]]&gt;TODAY(),"Planned",IF(Market_Data[[#This Row],[Completion Date]]&lt;TODAY(),"Completed","Ongoing")))</f>
        <v>Ongoing</v>
      </c>
      <c r="G1997" s="324">
        <v>45755</v>
      </c>
      <c r="H1997" s="324">
        <v>47848</v>
      </c>
      <c r="I1997" s="325">
        <v>17200</v>
      </c>
      <c r="J199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97" s="133">
        <f>_xlfn.XLOOKUP(Market_Data[[#This Row],[Project Type]],tbl_assumptions_market[Project Category (RERA)],tbl_assumptions_market[Concrete Intensity
(m³ / sq m BUA)],"",0)</f>
        <v>0.45</v>
      </c>
      <c r="L1997" s="134">
        <f>ROUND(Market_Data[[#This Row],[Estimated Built Up Area (sq m)]]*Market_Data[[#This Row],[Concrete Intensity
(m³ / sq m)]],0)</f>
        <v>7740</v>
      </c>
      <c r="M1997" s="135">
        <f>_xlfn.XLOOKUP(Market_Data[[#This Row],[District]],tbl_district_price[District],tbl_district_price[Standard Price
(INR/m³)],"",0)</f>
        <v>6200</v>
      </c>
      <c r="N1997" s="364">
        <f>IF(OR(Market_Data[[#This Row],[Estimated Concrete Demand (m³)]]="",Market_Data[[#This Row],[Avg Price per (₹ / m³)]]=""),"",Market_Data[[#This Row],[Estimated Concrete Demand (m³)]]*Market_Data[[#This Row],[Avg Price per (₹ / m³)]]/10000000)</f>
        <v>4.7988</v>
      </c>
      <c r="O1997" s="97" t="str">
        <f>IF(Market_Data[[#This Row],[Estimated Concrete Demand (m³)]]="","",
IF(Market_Data[[#This Row],[Estimated Concrete Demand (m³)]]&lt;10000,"Small",
IF(Market_Data[[#This Row],[Estimated Concrete Demand (m³)]]&lt;25000,"Medium",
IF(Market_Data[[#This Row],[Estimated Concrete Demand (m³)]]&lt;100000,"Large","Mega"))))</f>
        <v>Small</v>
      </c>
      <c r="P1997" s="287" t="str">
        <f t="shared" si="33"/>
        <v>GujRERA</v>
      </c>
    </row>
    <row r="1998" spans="1:16">
      <c r="A1998" s="129" t="str">
        <f>_xlfn.XLOOKUP(B1998,$S$9:$S$14,$T$9:$T$14)&amp;"-"&amp;
IF(E1998="Residential/Group Housing","RES",
IF(E1998="Commercial","COM",
IF(E1998="Mixed Development","MIX",
IF(E1998="Plotted Development","PLT","OTH"))))
&amp;"-"&amp;TEXT(COUNTIFS($B$9:B1998,B1998,$E$9:E1998,E1998),"0000")</f>
        <v>SUR-RES-0661</v>
      </c>
      <c r="B1998" s="322" t="s">
        <v>34</v>
      </c>
      <c r="C1998" s="322" t="s">
        <v>34</v>
      </c>
      <c r="D1998" s="323" t="s">
        <v>2188</v>
      </c>
      <c r="E1998" s="132" t="s">
        <v>24</v>
      </c>
      <c r="F1998" s="97" t="str">
        <f ca="1">IF(OR(Market_Data[[#This Row],[Start Date]]="",Market_Data[[#This Row],[Completion Date]]=""),"Needs Validation",IF(Market_Data[[#This Row],[Start Date]]&gt;TODAY(),"Planned",IF(Market_Data[[#This Row],[Completion Date]]&lt;TODAY(),"Completed","Ongoing")))</f>
        <v>Completed</v>
      </c>
      <c r="G1998" s="324">
        <v>43057</v>
      </c>
      <c r="H1998" s="324">
        <v>44377</v>
      </c>
      <c r="I1998" s="325">
        <v>58900</v>
      </c>
      <c r="J199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1998" s="133">
        <f>_xlfn.XLOOKUP(Market_Data[[#This Row],[Project Type]],tbl_assumptions_market[Project Category (RERA)],tbl_assumptions_market[Concrete Intensity
(m³ / sq m BUA)],"",0)</f>
        <v>0.45</v>
      </c>
      <c r="L1998" s="134">
        <f>ROUND(Market_Data[[#This Row],[Estimated Built Up Area (sq m)]]*Market_Data[[#This Row],[Concrete Intensity
(m³ / sq m)]],0)</f>
        <v>26505</v>
      </c>
      <c r="M1998" s="135">
        <f>_xlfn.XLOOKUP(Market_Data[[#This Row],[District]],tbl_district_price[District],tbl_district_price[Standard Price
(INR/m³)],"",0)</f>
        <v>6200</v>
      </c>
      <c r="N1998" s="364">
        <f>IF(OR(Market_Data[[#This Row],[Estimated Concrete Demand (m³)]]="",Market_Data[[#This Row],[Avg Price per (₹ / m³)]]=""),"",Market_Data[[#This Row],[Estimated Concrete Demand (m³)]]*Market_Data[[#This Row],[Avg Price per (₹ / m³)]]/10000000)</f>
        <v>16.4331</v>
      </c>
      <c r="O1998" s="97" t="str">
        <f>IF(Market_Data[[#This Row],[Estimated Concrete Demand (m³)]]="","",
IF(Market_Data[[#This Row],[Estimated Concrete Demand (m³)]]&lt;10000,"Small",
IF(Market_Data[[#This Row],[Estimated Concrete Demand (m³)]]&lt;25000,"Medium",
IF(Market_Data[[#This Row],[Estimated Concrete Demand (m³)]]&lt;100000,"Large","Mega"))))</f>
        <v>Large</v>
      </c>
      <c r="P1998" s="287" t="str">
        <f t="shared" si="33"/>
        <v>GujRERA</v>
      </c>
    </row>
    <row r="1999" spans="1:16">
      <c r="A1999" s="129" t="str">
        <f>_xlfn.XLOOKUP(B1999,$S$9:$S$14,$T$9:$T$14)&amp;"-"&amp;
IF(E1999="Residential/Group Housing","RES",
IF(E1999="Commercial","COM",
IF(E1999="Mixed Development","MIX",
IF(E1999="Plotted Development","PLT","OTH"))))
&amp;"-"&amp;TEXT(COUNTIFS($B$9:B1999,B1999,$E$9:E1999,E1999),"0000")</f>
        <v>SUR-COM-0312</v>
      </c>
      <c r="B1999" s="322" t="s">
        <v>34</v>
      </c>
      <c r="C1999" s="322" t="s">
        <v>34</v>
      </c>
      <c r="D1999" s="323" t="s">
        <v>2189</v>
      </c>
      <c r="E1999" s="132" t="s">
        <v>23</v>
      </c>
      <c r="F1999" s="97" t="str">
        <f ca="1">IF(OR(Market_Data[[#This Row],[Start Date]]="",Market_Data[[#This Row],[Completion Date]]=""),"Needs Validation",IF(Market_Data[[#This Row],[Start Date]]&gt;TODAY(),"Planned",IF(Market_Data[[#This Row],[Completion Date]]&lt;TODAY(),"Completed","Ongoing")))</f>
        <v>Completed</v>
      </c>
      <c r="G1999" s="324">
        <v>44341</v>
      </c>
      <c r="H1999" s="324">
        <v>44864</v>
      </c>
      <c r="I1999" s="325">
        <v>59900</v>
      </c>
      <c r="J199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1999" s="133">
        <f>_xlfn.XLOOKUP(Market_Data[[#This Row],[Project Type]],tbl_assumptions_market[Project Category (RERA)],tbl_assumptions_market[Concrete Intensity
(m³ / sq m BUA)],"",0)</f>
        <v>0.5</v>
      </c>
      <c r="L1999" s="134">
        <f>ROUND(Market_Data[[#This Row],[Estimated Built Up Area (sq m)]]*Market_Data[[#This Row],[Concrete Intensity
(m³ / sq m)]],0)</f>
        <v>29950</v>
      </c>
      <c r="M1999" s="135">
        <f>_xlfn.XLOOKUP(Market_Data[[#This Row],[District]],tbl_district_price[District],tbl_district_price[Standard Price
(INR/m³)],"",0)</f>
        <v>6200</v>
      </c>
      <c r="N1999" s="364">
        <f>IF(OR(Market_Data[[#This Row],[Estimated Concrete Demand (m³)]]="",Market_Data[[#This Row],[Avg Price per (₹ / m³)]]=""),"",Market_Data[[#This Row],[Estimated Concrete Demand (m³)]]*Market_Data[[#This Row],[Avg Price per (₹ / m³)]]/10000000)</f>
        <v>18.568999999999999</v>
      </c>
      <c r="O1999" s="97" t="str">
        <f>IF(Market_Data[[#This Row],[Estimated Concrete Demand (m³)]]="","",
IF(Market_Data[[#This Row],[Estimated Concrete Demand (m³)]]&lt;10000,"Small",
IF(Market_Data[[#This Row],[Estimated Concrete Demand (m³)]]&lt;25000,"Medium",
IF(Market_Data[[#This Row],[Estimated Concrete Demand (m³)]]&lt;100000,"Large","Mega"))))</f>
        <v>Large</v>
      </c>
      <c r="P1999" s="287" t="str">
        <f t="shared" si="33"/>
        <v>GujRERA</v>
      </c>
    </row>
    <row r="2000" spans="1:16">
      <c r="A2000" s="129" t="str">
        <f>_xlfn.XLOOKUP(B2000,$S$9:$S$14,$T$9:$T$14)&amp;"-"&amp;
IF(E2000="Residential/Group Housing","RES",
IF(E2000="Commercial","COM",
IF(E2000="Mixed Development","MIX",
IF(E2000="Plotted Development","PLT","OTH"))))
&amp;"-"&amp;TEXT(COUNTIFS($B$9:B2000,B2000,$E$9:E2000,E2000),"0000")</f>
        <v>SUR-RES-0662</v>
      </c>
      <c r="B2000" s="322" t="s">
        <v>34</v>
      </c>
      <c r="C2000" s="322" t="s">
        <v>34</v>
      </c>
      <c r="D2000" s="323" t="s">
        <v>2190</v>
      </c>
      <c r="E2000" s="132" t="s">
        <v>24</v>
      </c>
      <c r="F2000" s="97" t="str">
        <f ca="1">IF(OR(Market_Data[[#This Row],[Start Date]]="",Market_Data[[#This Row],[Completion Date]]=""),"Needs Validation",IF(Market_Data[[#This Row],[Start Date]]&gt;TODAY(),"Planned",IF(Market_Data[[#This Row],[Completion Date]]&lt;TODAY(),"Completed","Ongoing")))</f>
        <v>Completed</v>
      </c>
      <c r="G2000" s="324">
        <v>43040</v>
      </c>
      <c r="H2000" s="324">
        <v>44165</v>
      </c>
      <c r="I2000" s="325">
        <v>32300</v>
      </c>
      <c r="J200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00" s="133">
        <f>_xlfn.XLOOKUP(Market_Data[[#This Row],[Project Type]],tbl_assumptions_market[Project Category (RERA)],tbl_assumptions_market[Concrete Intensity
(m³ / sq m BUA)],"",0)</f>
        <v>0.45</v>
      </c>
      <c r="L2000" s="134">
        <f>ROUND(Market_Data[[#This Row],[Estimated Built Up Area (sq m)]]*Market_Data[[#This Row],[Concrete Intensity
(m³ / sq m)]],0)</f>
        <v>14535</v>
      </c>
      <c r="M2000" s="135">
        <f>_xlfn.XLOOKUP(Market_Data[[#This Row],[District]],tbl_district_price[District],tbl_district_price[Standard Price
(INR/m³)],"",0)</f>
        <v>6200</v>
      </c>
      <c r="N2000" s="364">
        <f>IF(OR(Market_Data[[#This Row],[Estimated Concrete Demand (m³)]]="",Market_Data[[#This Row],[Avg Price per (₹ / m³)]]=""),"",Market_Data[[#This Row],[Estimated Concrete Demand (m³)]]*Market_Data[[#This Row],[Avg Price per (₹ / m³)]]/10000000)</f>
        <v>9.0116999999999994</v>
      </c>
      <c r="O2000" s="97" t="str">
        <f>IF(Market_Data[[#This Row],[Estimated Concrete Demand (m³)]]="","",
IF(Market_Data[[#This Row],[Estimated Concrete Demand (m³)]]&lt;10000,"Small",
IF(Market_Data[[#This Row],[Estimated Concrete Demand (m³)]]&lt;25000,"Medium",
IF(Market_Data[[#This Row],[Estimated Concrete Demand (m³)]]&lt;100000,"Large","Mega"))))</f>
        <v>Medium</v>
      </c>
      <c r="P2000" s="287" t="str">
        <f t="shared" si="33"/>
        <v>GujRERA</v>
      </c>
    </row>
    <row r="2001" spans="1:16">
      <c r="A2001" s="129" t="str">
        <f>_xlfn.XLOOKUP(B2001,$S$9:$S$14,$T$9:$T$14)&amp;"-"&amp;
IF(E2001="Residential/Group Housing","RES",
IF(E2001="Commercial","COM",
IF(E2001="Mixed Development","MIX",
IF(E2001="Plotted Development","PLT","OTH"))))
&amp;"-"&amp;TEXT(COUNTIFS($B$9:B2001,B2001,$E$9:E2001,E2001),"0000")</f>
        <v>SUR-COM-0313</v>
      </c>
      <c r="B2001" s="322" t="s">
        <v>34</v>
      </c>
      <c r="C2001" s="322" t="s">
        <v>34</v>
      </c>
      <c r="D2001" s="323" t="s">
        <v>2191</v>
      </c>
      <c r="E2001" s="132" t="s">
        <v>23</v>
      </c>
      <c r="F2001" s="97" t="str">
        <f ca="1">IF(OR(Market_Data[[#This Row],[Start Date]]="",Market_Data[[#This Row],[Completion Date]]=""),"Needs Validation",IF(Market_Data[[#This Row],[Start Date]]&gt;TODAY(),"Planned",IF(Market_Data[[#This Row],[Completion Date]]&lt;TODAY(),"Completed","Ongoing")))</f>
        <v>Completed</v>
      </c>
      <c r="G2001" s="324">
        <v>43164</v>
      </c>
      <c r="H2001" s="324">
        <v>44561</v>
      </c>
      <c r="I2001" s="325">
        <v>7300</v>
      </c>
      <c r="J200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01" s="133">
        <f>_xlfn.XLOOKUP(Market_Data[[#This Row],[Project Type]],tbl_assumptions_market[Project Category (RERA)],tbl_assumptions_market[Concrete Intensity
(m³ / sq m BUA)],"",0)</f>
        <v>0.5</v>
      </c>
      <c r="L2001" s="134">
        <f>ROUND(Market_Data[[#This Row],[Estimated Built Up Area (sq m)]]*Market_Data[[#This Row],[Concrete Intensity
(m³ / sq m)]],0)</f>
        <v>3650</v>
      </c>
      <c r="M2001" s="135">
        <f>_xlfn.XLOOKUP(Market_Data[[#This Row],[District]],tbl_district_price[District],tbl_district_price[Standard Price
(INR/m³)],"",0)</f>
        <v>6200</v>
      </c>
      <c r="N2001" s="364">
        <f>IF(OR(Market_Data[[#This Row],[Estimated Concrete Demand (m³)]]="",Market_Data[[#This Row],[Avg Price per (₹ / m³)]]=""),"",Market_Data[[#This Row],[Estimated Concrete Demand (m³)]]*Market_Data[[#This Row],[Avg Price per (₹ / m³)]]/10000000)</f>
        <v>2.2629999999999999</v>
      </c>
      <c r="O2001" s="97" t="str">
        <f>IF(Market_Data[[#This Row],[Estimated Concrete Demand (m³)]]="","",
IF(Market_Data[[#This Row],[Estimated Concrete Demand (m³)]]&lt;10000,"Small",
IF(Market_Data[[#This Row],[Estimated Concrete Demand (m³)]]&lt;25000,"Medium",
IF(Market_Data[[#This Row],[Estimated Concrete Demand (m³)]]&lt;100000,"Large","Mega"))))</f>
        <v>Small</v>
      </c>
      <c r="P2001" s="287" t="str">
        <f t="shared" si="33"/>
        <v>GujRERA</v>
      </c>
    </row>
    <row r="2002" spans="1:16">
      <c r="A2002" s="129" t="str">
        <f>_xlfn.XLOOKUP(B2002,$S$9:$S$14,$T$9:$T$14)&amp;"-"&amp;
IF(E2002="Residential/Group Housing","RES",
IF(E2002="Commercial","COM",
IF(E2002="Mixed Development","MIX",
IF(E2002="Plotted Development","PLT","OTH"))))
&amp;"-"&amp;TEXT(COUNTIFS($B$9:B2002,B2002,$E$9:E2002,E2002),"0000")</f>
        <v>SUR-RES-0663</v>
      </c>
      <c r="B2002" s="322" t="s">
        <v>34</v>
      </c>
      <c r="C2002" s="322" t="s">
        <v>34</v>
      </c>
      <c r="D2002" s="323" t="s">
        <v>2192</v>
      </c>
      <c r="E2002" s="132" t="s">
        <v>24</v>
      </c>
      <c r="F2002" s="97" t="str">
        <f ca="1">IF(OR(Market_Data[[#This Row],[Start Date]]="",Market_Data[[#This Row],[Completion Date]]=""),"Needs Validation",IF(Market_Data[[#This Row],[Start Date]]&gt;TODAY(),"Planned",IF(Market_Data[[#This Row],[Completion Date]]&lt;TODAY(),"Completed","Ongoing")))</f>
        <v>Ongoing</v>
      </c>
      <c r="G2002" s="324">
        <v>43406</v>
      </c>
      <c r="H2002" s="324">
        <v>46323</v>
      </c>
      <c r="I2002" s="325">
        <v>25900</v>
      </c>
      <c r="J200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02" s="133">
        <f>_xlfn.XLOOKUP(Market_Data[[#This Row],[Project Type]],tbl_assumptions_market[Project Category (RERA)],tbl_assumptions_market[Concrete Intensity
(m³ / sq m BUA)],"",0)</f>
        <v>0.45</v>
      </c>
      <c r="L2002" s="134">
        <f>ROUND(Market_Data[[#This Row],[Estimated Built Up Area (sq m)]]*Market_Data[[#This Row],[Concrete Intensity
(m³ / sq m)]],0)</f>
        <v>11655</v>
      </c>
      <c r="M2002" s="135">
        <f>_xlfn.XLOOKUP(Market_Data[[#This Row],[District]],tbl_district_price[District],tbl_district_price[Standard Price
(INR/m³)],"",0)</f>
        <v>6200</v>
      </c>
      <c r="N2002" s="364">
        <f>IF(OR(Market_Data[[#This Row],[Estimated Concrete Demand (m³)]]="",Market_Data[[#This Row],[Avg Price per (₹ / m³)]]=""),"",Market_Data[[#This Row],[Estimated Concrete Demand (m³)]]*Market_Data[[#This Row],[Avg Price per (₹ / m³)]]/10000000)</f>
        <v>7.2260999999999997</v>
      </c>
      <c r="O2002" s="97" t="str">
        <f>IF(Market_Data[[#This Row],[Estimated Concrete Demand (m³)]]="","",
IF(Market_Data[[#This Row],[Estimated Concrete Demand (m³)]]&lt;10000,"Small",
IF(Market_Data[[#This Row],[Estimated Concrete Demand (m³)]]&lt;25000,"Medium",
IF(Market_Data[[#This Row],[Estimated Concrete Demand (m³)]]&lt;100000,"Large","Mega"))))</f>
        <v>Medium</v>
      </c>
      <c r="P2002" s="287" t="str">
        <f t="shared" si="33"/>
        <v>GujRERA</v>
      </c>
    </row>
    <row r="2003" spans="1:16">
      <c r="A2003" s="129" t="str">
        <f>_xlfn.XLOOKUP(B2003,$S$9:$S$14,$T$9:$T$14)&amp;"-"&amp;
IF(E2003="Residential/Group Housing","RES",
IF(E2003="Commercial","COM",
IF(E2003="Mixed Development","MIX",
IF(E2003="Plotted Development","PLT","OTH"))))
&amp;"-"&amp;TEXT(COUNTIFS($B$9:B2003,B2003,$E$9:E2003,E2003),"0000")</f>
        <v>SUR-RES-0664</v>
      </c>
      <c r="B2003" s="322" t="s">
        <v>34</v>
      </c>
      <c r="C2003" s="322" t="s">
        <v>34</v>
      </c>
      <c r="D2003" s="323" t="s">
        <v>2193</v>
      </c>
      <c r="E2003" s="132" t="s">
        <v>24</v>
      </c>
      <c r="F2003" s="97" t="str">
        <f ca="1">IF(OR(Market_Data[[#This Row],[Start Date]]="",Market_Data[[#This Row],[Completion Date]]=""),"Needs Validation",IF(Market_Data[[#This Row],[Start Date]]&gt;TODAY(),"Planned",IF(Market_Data[[#This Row],[Completion Date]]&lt;TODAY(),"Completed","Ongoing")))</f>
        <v>Completed</v>
      </c>
      <c r="G2003" s="324">
        <v>43472</v>
      </c>
      <c r="H2003" s="324">
        <v>46110</v>
      </c>
      <c r="I2003" s="325">
        <v>10000</v>
      </c>
      <c r="J200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03" s="133">
        <f>_xlfn.XLOOKUP(Market_Data[[#This Row],[Project Type]],tbl_assumptions_market[Project Category (RERA)],tbl_assumptions_market[Concrete Intensity
(m³ / sq m BUA)],"",0)</f>
        <v>0.45</v>
      </c>
      <c r="L2003" s="134">
        <f>ROUND(Market_Data[[#This Row],[Estimated Built Up Area (sq m)]]*Market_Data[[#This Row],[Concrete Intensity
(m³ / sq m)]],0)</f>
        <v>4500</v>
      </c>
      <c r="M2003" s="135">
        <f>_xlfn.XLOOKUP(Market_Data[[#This Row],[District]],tbl_district_price[District],tbl_district_price[Standard Price
(INR/m³)],"",0)</f>
        <v>6200</v>
      </c>
      <c r="N2003" s="364">
        <f>IF(OR(Market_Data[[#This Row],[Estimated Concrete Demand (m³)]]="",Market_Data[[#This Row],[Avg Price per (₹ / m³)]]=""),"",Market_Data[[#This Row],[Estimated Concrete Demand (m³)]]*Market_Data[[#This Row],[Avg Price per (₹ / m³)]]/10000000)</f>
        <v>2.79</v>
      </c>
      <c r="O2003" s="97" t="str">
        <f>IF(Market_Data[[#This Row],[Estimated Concrete Demand (m³)]]="","",
IF(Market_Data[[#This Row],[Estimated Concrete Demand (m³)]]&lt;10000,"Small",
IF(Market_Data[[#This Row],[Estimated Concrete Demand (m³)]]&lt;25000,"Medium",
IF(Market_Data[[#This Row],[Estimated Concrete Demand (m³)]]&lt;100000,"Large","Mega"))))</f>
        <v>Small</v>
      </c>
      <c r="P2003" s="287" t="str">
        <f t="shared" si="33"/>
        <v>GujRERA</v>
      </c>
    </row>
    <row r="2004" spans="1:16">
      <c r="A2004" s="129" t="str">
        <f>_xlfn.XLOOKUP(B2004,$S$9:$S$14,$T$9:$T$14)&amp;"-"&amp;
IF(E2004="Residential/Group Housing","RES",
IF(E2004="Commercial","COM",
IF(E2004="Mixed Development","MIX",
IF(E2004="Plotted Development","PLT","OTH"))))
&amp;"-"&amp;TEXT(COUNTIFS($B$9:B2004,B2004,$E$9:E2004,E2004),"0000")</f>
        <v>SUR-COM-0314</v>
      </c>
      <c r="B2004" s="322" t="s">
        <v>34</v>
      </c>
      <c r="C2004" s="322" t="s">
        <v>34</v>
      </c>
      <c r="D2004" s="323" t="s">
        <v>2194</v>
      </c>
      <c r="E2004" s="132" t="s">
        <v>23</v>
      </c>
      <c r="F2004" s="97" t="str">
        <f ca="1">IF(OR(Market_Data[[#This Row],[Start Date]]="",Market_Data[[#This Row],[Completion Date]]=""),"Needs Validation",IF(Market_Data[[#This Row],[Start Date]]&gt;TODAY(),"Planned",IF(Market_Data[[#This Row],[Completion Date]]&lt;TODAY(),"Completed","Ongoing")))</f>
        <v>Completed</v>
      </c>
      <c r="G2004" s="324">
        <v>43472</v>
      </c>
      <c r="H2004" s="324">
        <v>46111</v>
      </c>
      <c r="I2004" s="325">
        <v>16700</v>
      </c>
      <c r="J200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04" s="133">
        <f>_xlfn.XLOOKUP(Market_Data[[#This Row],[Project Type]],tbl_assumptions_market[Project Category (RERA)],tbl_assumptions_market[Concrete Intensity
(m³ / sq m BUA)],"",0)</f>
        <v>0.5</v>
      </c>
      <c r="L2004" s="134">
        <f>ROUND(Market_Data[[#This Row],[Estimated Built Up Area (sq m)]]*Market_Data[[#This Row],[Concrete Intensity
(m³ / sq m)]],0)</f>
        <v>8350</v>
      </c>
      <c r="M2004" s="135">
        <f>_xlfn.XLOOKUP(Market_Data[[#This Row],[District]],tbl_district_price[District],tbl_district_price[Standard Price
(INR/m³)],"",0)</f>
        <v>6200</v>
      </c>
      <c r="N2004" s="364">
        <f>IF(OR(Market_Data[[#This Row],[Estimated Concrete Demand (m³)]]="",Market_Data[[#This Row],[Avg Price per (₹ / m³)]]=""),"",Market_Data[[#This Row],[Estimated Concrete Demand (m³)]]*Market_Data[[#This Row],[Avg Price per (₹ / m³)]]/10000000)</f>
        <v>5.1769999999999996</v>
      </c>
      <c r="O2004" s="97" t="str">
        <f>IF(Market_Data[[#This Row],[Estimated Concrete Demand (m³)]]="","",
IF(Market_Data[[#This Row],[Estimated Concrete Demand (m³)]]&lt;10000,"Small",
IF(Market_Data[[#This Row],[Estimated Concrete Demand (m³)]]&lt;25000,"Medium",
IF(Market_Data[[#This Row],[Estimated Concrete Demand (m³)]]&lt;100000,"Large","Mega"))))</f>
        <v>Small</v>
      </c>
      <c r="P2004" s="287" t="str">
        <f t="shared" si="33"/>
        <v>GujRERA</v>
      </c>
    </row>
    <row r="2005" spans="1:16">
      <c r="A2005" s="129" t="str">
        <f>_xlfn.XLOOKUP(B2005,$S$9:$S$14,$T$9:$T$14)&amp;"-"&amp;
IF(E2005="Residential/Group Housing","RES",
IF(E2005="Commercial","COM",
IF(E2005="Mixed Development","MIX",
IF(E2005="Plotted Development","PLT","OTH"))))
&amp;"-"&amp;TEXT(COUNTIFS($B$9:B2005,B2005,$E$9:E2005,E2005),"0000")</f>
        <v>SUR-COM-0315</v>
      </c>
      <c r="B2005" s="322" t="s">
        <v>34</v>
      </c>
      <c r="C2005" s="322" t="s">
        <v>34</v>
      </c>
      <c r="D2005" s="323" t="s">
        <v>2195</v>
      </c>
      <c r="E2005" s="132" t="s">
        <v>23</v>
      </c>
      <c r="F2005" s="97" t="str">
        <f ca="1">IF(OR(Market_Data[[#This Row],[Start Date]]="",Market_Data[[#This Row],[Completion Date]]=""),"Needs Validation",IF(Market_Data[[#This Row],[Start Date]]&gt;TODAY(),"Planned",IF(Market_Data[[#This Row],[Completion Date]]&lt;TODAY(),"Completed","Ongoing")))</f>
        <v>Completed</v>
      </c>
      <c r="G2005" s="324">
        <v>42888</v>
      </c>
      <c r="H2005" s="324">
        <v>43921</v>
      </c>
      <c r="I2005" s="325">
        <v>6500</v>
      </c>
      <c r="J200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05" s="133">
        <f>_xlfn.XLOOKUP(Market_Data[[#This Row],[Project Type]],tbl_assumptions_market[Project Category (RERA)],tbl_assumptions_market[Concrete Intensity
(m³ / sq m BUA)],"",0)</f>
        <v>0.5</v>
      </c>
      <c r="L2005" s="134">
        <f>ROUND(Market_Data[[#This Row],[Estimated Built Up Area (sq m)]]*Market_Data[[#This Row],[Concrete Intensity
(m³ / sq m)]],0)</f>
        <v>3250</v>
      </c>
      <c r="M2005" s="135">
        <f>_xlfn.XLOOKUP(Market_Data[[#This Row],[District]],tbl_district_price[District],tbl_district_price[Standard Price
(INR/m³)],"",0)</f>
        <v>6200</v>
      </c>
      <c r="N2005" s="364">
        <f>IF(OR(Market_Data[[#This Row],[Estimated Concrete Demand (m³)]]="",Market_Data[[#This Row],[Avg Price per (₹ / m³)]]=""),"",Market_Data[[#This Row],[Estimated Concrete Demand (m³)]]*Market_Data[[#This Row],[Avg Price per (₹ / m³)]]/10000000)</f>
        <v>2.0150000000000001</v>
      </c>
      <c r="O2005" s="97" t="str">
        <f>IF(Market_Data[[#This Row],[Estimated Concrete Demand (m³)]]="","",
IF(Market_Data[[#This Row],[Estimated Concrete Demand (m³)]]&lt;10000,"Small",
IF(Market_Data[[#This Row],[Estimated Concrete Demand (m³)]]&lt;25000,"Medium",
IF(Market_Data[[#This Row],[Estimated Concrete Demand (m³)]]&lt;100000,"Large","Mega"))))</f>
        <v>Small</v>
      </c>
      <c r="P2005" s="287" t="str">
        <f t="shared" si="33"/>
        <v>GujRERA</v>
      </c>
    </row>
    <row r="2006" spans="1:16">
      <c r="A2006" s="129" t="str">
        <f>_xlfn.XLOOKUP(B2006,$S$9:$S$14,$T$9:$T$14)&amp;"-"&amp;
IF(E2006="Residential/Group Housing","RES",
IF(E2006="Commercial","COM",
IF(E2006="Mixed Development","MIX",
IF(E2006="Plotted Development","PLT","OTH"))))
&amp;"-"&amp;TEXT(COUNTIFS($B$9:B2006,B2006,$E$9:E2006,E2006),"0000")</f>
        <v>SUR-COM-0316</v>
      </c>
      <c r="B2006" s="322" t="s">
        <v>34</v>
      </c>
      <c r="C2006" s="322" t="s">
        <v>34</v>
      </c>
      <c r="D2006" s="323" t="s">
        <v>2196</v>
      </c>
      <c r="E2006" s="132" t="s">
        <v>23</v>
      </c>
      <c r="F2006" s="97" t="str">
        <f ca="1">IF(OR(Market_Data[[#This Row],[Start Date]]="",Market_Data[[#This Row],[Completion Date]]=""),"Needs Validation",IF(Market_Data[[#This Row],[Start Date]]&gt;TODAY(),"Planned",IF(Market_Data[[#This Row],[Completion Date]]&lt;TODAY(),"Completed","Ongoing")))</f>
        <v>Completed</v>
      </c>
      <c r="G2006" s="324">
        <v>42740</v>
      </c>
      <c r="H2006" s="324">
        <v>44284</v>
      </c>
      <c r="I2006" s="325">
        <v>15800</v>
      </c>
      <c r="J200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06" s="133">
        <f>_xlfn.XLOOKUP(Market_Data[[#This Row],[Project Type]],tbl_assumptions_market[Project Category (RERA)],tbl_assumptions_market[Concrete Intensity
(m³ / sq m BUA)],"",0)</f>
        <v>0.5</v>
      </c>
      <c r="L2006" s="134">
        <f>ROUND(Market_Data[[#This Row],[Estimated Built Up Area (sq m)]]*Market_Data[[#This Row],[Concrete Intensity
(m³ / sq m)]],0)</f>
        <v>7900</v>
      </c>
      <c r="M2006" s="135">
        <f>_xlfn.XLOOKUP(Market_Data[[#This Row],[District]],tbl_district_price[District],tbl_district_price[Standard Price
(INR/m³)],"",0)</f>
        <v>6200</v>
      </c>
      <c r="N2006" s="364">
        <f>IF(OR(Market_Data[[#This Row],[Estimated Concrete Demand (m³)]]="",Market_Data[[#This Row],[Avg Price per (₹ / m³)]]=""),"",Market_Data[[#This Row],[Estimated Concrete Demand (m³)]]*Market_Data[[#This Row],[Avg Price per (₹ / m³)]]/10000000)</f>
        <v>4.8979999999999997</v>
      </c>
      <c r="O2006" s="97" t="str">
        <f>IF(Market_Data[[#This Row],[Estimated Concrete Demand (m³)]]="","",
IF(Market_Data[[#This Row],[Estimated Concrete Demand (m³)]]&lt;10000,"Small",
IF(Market_Data[[#This Row],[Estimated Concrete Demand (m³)]]&lt;25000,"Medium",
IF(Market_Data[[#This Row],[Estimated Concrete Demand (m³)]]&lt;100000,"Large","Mega"))))</f>
        <v>Small</v>
      </c>
      <c r="P2006" s="287" t="str">
        <f t="shared" si="33"/>
        <v>GujRERA</v>
      </c>
    </row>
    <row r="2007" spans="1:16">
      <c r="A2007" s="129" t="str">
        <f>_xlfn.XLOOKUP(B2007,$S$9:$S$14,$T$9:$T$14)&amp;"-"&amp;
IF(E2007="Residential/Group Housing","RES",
IF(E2007="Commercial","COM",
IF(E2007="Mixed Development","MIX",
IF(E2007="Plotted Development","PLT","OTH"))))
&amp;"-"&amp;TEXT(COUNTIFS($B$9:B2007,B2007,$E$9:E2007,E2007),"0000")</f>
        <v>SUR-PLT-0377</v>
      </c>
      <c r="B2007" s="322" t="s">
        <v>34</v>
      </c>
      <c r="C2007" s="322" t="s">
        <v>34</v>
      </c>
      <c r="D2007" s="323" t="s">
        <v>2197</v>
      </c>
      <c r="E2007" s="132" t="s">
        <v>26</v>
      </c>
      <c r="F2007" s="97" t="str">
        <f ca="1">IF(OR(Market_Data[[#This Row],[Start Date]]="",Market_Data[[#This Row],[Completion Date]]=""),"Needs Validation",IF(Market_Data[[#This Row],[Start Date]]&gt;TODAY(),"Planned",IF(Market_Data[[#This Row],[Completion Date]]&lt;TODAY(),"Completed","Ongoing")))</f>
        <v>Completed</v>
      </c>
      <c r="G2007" s="324">
        <v>44531</v>
      </c>
      <c r="H2007" s="324">
        <v>45291</v>
      </c>
      <c r="I2007" s="325">
        <v>36000</v>
      </c>
      <c r="J200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007" s="133">
        <f>_xlfn.XLOOKUP(Market_Data[[#This Row],[Project Type]],tbl_assumptions_market[Project Category (RERA)],tbl_assumptions_market[Concrete Intensity
(m³ / sq m BUA)],"",0)</f>
        <v>0.18</v>
      </c>
      <c r="L2007" s="134">
        <f>ROUND(Market_Data[[#This Row],[Estimated Built Up Area (sq m)]]*Market_Data[[#This Row],[Concrete Intensity
(m³ / sq m)]],0)</f>
        <v>6480</v>
      </c>
      <c r="M2007" s="135">
        <f>_xlfn.XLOOKUP(Market_Data[[#This Row],[District]],tbl_district_price[District],tbl_district_price[Standard Price
(INR/m³)],"",0)</f>
        <v>6200</v>
      </c>
      <c r="N2007" s="364">
        <f>IF(OR(Market_Data[[#This Row],[Estimated Concrete Demand (m³)]]="",Market_Data[[#This Row],[Avg Price per (₹ / m³)]]=""),"",Market_Data[[#This Row],[Estimated Concrete Demand (m³)]]*Market_Data[[#This Row],[Avg Price per (₹ / m³)]]/10000000)</f>
        <v>4.0175999999999998</v>
      </c>
      <c r="O2007" s="97" t="str">
        <f>IF(Market_Data[[#This Row],[Estimated Concrete Demand (m³)]]="","",
IF(Market_Data[[#This Row],[Estimated Concrete Demand (m³)]]&lt;10000,"Small",
IF(Market_Data[[#This Row],[Estimated Concrete Demand (m³)]]&lt;25000,"Medium",
IF(Market_Data[[#This Row],[Estimated Concrete Demand (m³)]]&lt;100000,"Large","Mega"))))</f>
        <v>Small</v>
      </c>
      <c r="P2007" s="287" t="str">
        <f t="shared" si="33"/>
        <v>GujRERA</v>
      </c>
    </row>
    <row r="2008" spans="1:16">
      <c r="A2008" s="129" t="str">
        <f>_xlfn.XLOOKUP(B2008,$S$9:$S$14,$T$9:$T$14)&amp;"-"&amp;
IF(E2008="Residential/Group Housing","RES",
IF(E2008="Commercial","COM",
IF(E2008="Mixed Development","MIX",
IF(E2008="Plotted Development","PLT","OTH"))))
&amp;"-"&amp;TEXT(COUNTIFS($B$9:B2008,B2008,$E$9:E2008,E2008),"0000")</f>
        <v>SUR-MIX-0333</v>
      </c>
      <c r="B2008" s="322" t="s">
        <v>34</v>
      </c>
      <c r="C2008" s="322" t="s">
        <v>34</v>
      </c>
      <c r="D2008" s="323" t="s">
        <v>2198</v>
      </c>
      <c r="E2008" s="132" t="s">
        <v>25</v>
      </c>
      <c r="F2008" s="97" t="str">
        <f ca="1">IF(OR(Market_Data[[#This Row],[Start Date]]="",Market_Data[[#This Row],[Completion Date]]=""),"Needs Validation",IF(Market_Data[[#This Row],[Start Date]]&gt;TODAY(),"Planned",IF(Market_Data[[#This Row],[Completion Date]]&lt;TODAY(),"Completed","Ongoing")))</f>
        <v>Ongoing</v>
      </c>
      <c r="G2008" s="324">
        <v>45940</v>
      </c>
      <c r="H2008" s="324">
        <v>47269</v>
      </c>
      <c r="I2008" s="325">
        <v>51800</v>
      </c>
      <c r="J200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08" s="133">
        <f>_xlfn.XLOOKUP(Market_Data[[#This Row],[Project Type]],tbl_assumptions_market[Project Category (RERA)],tbl_assumptions_market[Concrete Intensity
(m³ / sq m BUA)],"",0)</f>
        <v>0.42</v>
      </c>
      <c r="L2008" s="134">
        <f>ROUND(Market_Data[[#This Row],[Estimated Built Up Area (sq m)]]*Market_Data[[#This Row],[Concrete Intensity
(m³ / sq m)]],0)</f>
        <v>21756</v>
      </c>
      <c r="M2008" s="135">
        <f>_xlfn.XLOOKUP(Market_Data[[#This Row],[District]],tbl_district_price[District],tbl_district_price[Standard Price
(INR/m³)],"",0)</f>
        <v>6200</v>
      </c>
      <c r="N2008" s="364">
        <f>IF(OR(Market_Data[[#This Row],[Estimated Concrete Demand (m³)]]="",Market_Data[[#This Row],[Avg Price per (₹ / m³)]]=""),"",Market_Data[[#This Row],[Estimated Concrete Demand (m³)]]*Market_Data[[#This Row],[Avg Price per (₹ / m³)]]/10000000)</f>
        <v>13.488720000000001</v>
      </c>
      <c r="O2008" s="97" t="str">
        <f>IF(Market_Data[[#This Row],[Estimated Concrete Demand (m³)]]="","",
IF(Market_Data[[#This Row],[Estimated Concrete Demand (m³)]]&lt;10000,"Small",
IF(Market_Data[[#This Row],[Estimated Concrete Demand (m³)]]&lt;25000,"Medium",
IF(Market_Data[[#This Row],[Estimated Concrete Demand (m³)]]&lt;100000,"Large","Mega"))))</f>
        <v>Medium</v>
      </c>
      <c r="P2008" s="287" t="str">
        <f t="shared" si="33"/>
        <v>GujRERA</v>
      </c>
    </row>
    <row r="2009" spans="1:16">
      <c r="A2009" s="129" t="str">
        <f>_xlfn.XLOOKUP(B2009,$S$9:$S$14,$T$9:$T$14)&amp;"-"&amp;
IF(E2009="Residential/Group Housing","RES",
IF(E2009="Commercial","COM",
IF(E2009="Mixed Development","MIX",
IF(E2009="Plotted Development","PLT","OTH"))))
&amp;"-"&amp;TEXT(COUNTIFS($B$9:B2009,B2009,$E$9:E2009,E2009),"0000")</f>
        <v>SUR-MIX-0334</v>
      </c>
      <c r="B2009" s="322" t="s">
        <v>34</v>
      </c>
      <c r="C2009" s="322" t="s">
        <v>34</v>
      </c>
      <c r="D2009" s="323" t="s">
        <v>2199</v>
      </c>
      <c r="E2009" s="132" t="s">
        <v>25</v>
      </c>
      <c r="F2009" s="97" t="str">
        <f ca="1">IF(OR(Market_Data[[#This Row],[Start Date]]="",Market_Data[[#This Row],[Completion Date]]=""),"Needs Validation",IF(Market_Data[[#This Row],[Start Date]]&gt;TODAY(),"Planned",IF(Market_Data[[#This Row],[Completion Date]]&lt;TODAY(),"Completed","Ongoing")))</f>
        <v>Ongoing</v>
      </c>
      <c r="G2009" s="324">
        <v>45014</v>
      </c>
      <c r="H2009" s="324">
        <v>46843</v>
      </c>
      <c r="I2009" s="325">
        <v>42700</v>
      </c>
      <c r="J200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09" s="133">
        <f>_xlfn.XLOOKUP(Market_Data[[#This Row],[Project Type]],tbl_assumptions_market[Project Category (RERA)],tbl_assumptions_market[Concrete Intensity
(m³ / sq m BUA)],"",0)</f>
        <v>0.42</v>
      </c>
      <c r="L2009" s="134">
        <f>ROUND(Market_Data[[#This Row],[Estimated Built Up Area (sq m)]]*Market_Data[[#This Row],[Concrete Intensity
(m³ / sq m)]],0)</f>
        <v>17934</v>
      </c>
      <c r="M2009" s="135">
        <f>_xlfn.XLOOKUP(Market_Data[[#This Row],[District]],tbl_district_price[District],tbl_district_price[Standard Price
(INR/m³)],"",0)</f>
        <v>6200</v>
      </c>
      <c r="N2009" s="364">
        <f>IF(OR(Market_Data[[#This Row],[Estimated Concrete Demand (m³)]]="",Market_Data[[#This Row],[Avg Price per (₹ / m³)]]=""),"",Market_Data[[#This Row],[Estimated Concrete Demand (m³)]]*Market_Data[[#This Row],[Avg Price per (₹ / m³)]]/10000000)</f>
        <v>11.11908</v>
      </c>
      <c r="O2009" s="97" t="str">
        <f>IF(Market_Data[[#This Row],[Estimated Concrete Demand (m³)]]="","",
IF(Market_Data[[#This Row],[Estimated Concrete Demand (m³)]]&lt;10000,"Small",
IF(Market_Data[[#This Row],[Estimated Concrete Demand (m³)]]&lt;25000,"Medium",
IF(Market_Data[[#This Row],[Estimated Concrete Demand (m³)]]&lt;100000,"Large","Mega"))))</f>
        <v>Medium</v>
      </c>
      <c r="P2009" s="287" t="str">
        <f t="shared" si="33"/>
        <v>GujRERA</v>
      </c>
    </row>
    <row r="2010" spans="1:16">
      <c r="A2010" s="129" t="str">
        <f>_xlfn.XLOOKUP(B2010,$S$9:$S$14,$T$9:$T$14)&amp;"-"&amp;
IF(E2010="Residential/Group Housing","RES",
IF(E2010="Commercial","COM",
IF(E2010="Mixed Development","MIX",
IF(E2010="Plotted Development","PLT","OTH"))))
&amp;"-"&amp;TEXT(COUNTIFS($B$9:B2010,B2010,$E$9:E2010,E2010),"0000")</f>
        <v>SUR-PLT-0378</v>
      </c>
      <c r="B2010" s="322" t="s">
        <v>34</v>
      </c>
      <c r="C2010" s="322" t="s">
        <v>34</v>
      </c>
      <c r="D2010" s="323" t="s">
        <v>2200</v>
      </c>
      <c r="E2010" s="132" t="s">
        <v>26</v>
      </c>
      <c r="F2010" s="97" t="str">
        <f ca="1">IF(OR(Market_Data[[#This Row],[Start Date]]="",Market_Data[[#This Row],[Completion Date]]=""),"Needs Validation",IF(Market_Data[[#This Row],[Start Date]]&gt;TODAY(),"Planned",IF(Market_Data[[#This Row],[Completion Date]]&lt;TODAY(),"Completed","Ongoing")))</f>
        <v>Completed</v>
      </c>
      <c r="G2010" s="324">
        <v>42522</v>
      </c>
      <c r="H2010" s="324">
        <v>43738</v>
      </c>
      <c r="I2010" s="325">
        <v>37800</v>
      </c>
      <c r="J201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010" s="133">
        <f>_xlfn.XLOOKUP(Market_Data[[#This Row],[Project Type]],tbl_assumptions_market[Project Category (RERA)],tbl_assumptions_market[Concrete Intensity
(m³ / sq m BUA)],"",0)</f>
        <v>0.18</v>
      </c>
      <c r="L2010" s="134">
        <f>ROUND(Market_Data[[#This Row],[Estimated Built Up Area (sq m)]]*Market_Data[[#This Row],[Concrete Intensity
(m³ / sq m)]],0)</f>
        <v>6804</v>
      </c>
      <c r="M2010" s="135">
        <f>_xlfn.XLOOKUP(Market_Data[[#This Row],[District]],tbl_district_price[District],tbl_district_price[Standard Price
(INR/m³)],"",0)</f>
        <v>6200</v>
      </c>
      <c r="N2010" s="364">
        <f>IF(OR(Market_Data[[#This Row],[Estimated Concrete Demand (m³)]]="",Market_Data[[#This Row],[Avg Price per (₹ / m³)]]=""),"",Market_Data[[#This Row],[Estimated Concrete Demand (m³)]]*Market_Data[[#This Row],[Avg Price per (₹ / m³)]]/10000000)</f>
        <v>4.2184799999999996</v>
      </c>
      <c r="O2010" s="97" t="str">
        <f>IF(Market_Data[[#This Row],[Estimated Concrete Demand (m³)]]="","",
IF(Market_Data[[#This Row],[Estimated Concrete Demand (m³)]]&lt;10000,"Small",
IF(Market_Data[[#This Row],[Estimated Concrete Demand (m³)]]&lt;25000,"Medium",
IF(Market_Data[[#This Row],[Estimated Concrete Demand (m³)]]&lt;100000,"Large","Mega"))))</f>
        <v>Small</v>
      </c>
      <c r="P2010" s="287" t="str">
        <f t="shared" si="33"/>
        <v>GujRERA</v>
      </c>
    </row>
    <row r="2011" spans="1:16">
      <c r="A2011" s="129" t="str">
        <f>_xlfn.XLOOKUP(B2011,$S$9:$S$14,$T$9:$T$14)&amp;"-"&amp;
IF(E2011="Residential/Group Housing","RES",
IF(E2011="Commercial","COM",
IF(E2011="Mixed Development","MIX",
IF(E2011="Plotted Development","PLT","OTH"))))
&amp;"-"&amp;TEXT(COUNTIFS($B$9:B2011,B2011,$E$9:E2011,E2011),"0000")</f>
        <v>SUR-MIX-0335</v>
      </c>
      <c r="B2011" s="322" t="s">
        <v>34</v>
      </c>
      <c r="C2011" s="322" t="s">
        <v>34</v>
      </c>
      <c r="D2011" s="323" t="s">
        <v>2201</v>
      </c>
      <c r="E2011" s="132" t="s">
        <v>25</v>
      </c>
      <c r="F2011" s="97" t="str">
        <f ca="1">IF(OR(Market_Data[[#This Row],[Start Date]]="",Market_Data[[#This Row],[Completion Date]]=""),"Needs Validation",IF(Market_Data[[#This Row],[Start Date]]&gt;TODAY(),"Planned",IF(Market_Data[[#This Row],[Completion Date]]&lt;TODAY(),"Completed","Ongoing")))</f>
        <v>Ongoing</v>
      </c>
      <c r="G2011" s="324">
        <v>45904</v>
      </c>
      <c r="H2011" s="324">
        <v>48579</v>
      </c>
      <c r="I2011" s="325">
        <v>21500</v>
      </c>
      <c r="J201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11" s="133">
        <f>_xlfn.XLOOKUP(Market_Data[[#This Row],[Project Type]],tbl_assumptions_market[Project Category (RERA)],tbl_assumptions_market[Concrete Intensity
(m³ / sq m BUA)],"",0)</f>
        <v>0.42</v>
      </c>
      <c r="L2011" s="134">
        <f>ROUND(Market_Data[[#This Row],[Estimated Built Up Area (sq m)]]*Market_Data[[#This Row],[Concrete Intensity
(m³ / sq m)]],0)</f>
        <v>9030</v>
      </c>
      <c r="M2011" s="135">
        <f>_xlfn.XLOOKUP(Market_Data[[#This Row],[District]],tbl_district_price[District],tbl_district_price[Standard Price
(INR/m³)],"",0)</f>
        <v>6200</v>
      </c>
      <c r="N2011" s="364">
        <f>IF(OR(Market_Data[[#This Row],[Estimated Concrete Demand (m³)]]="",Market_Data[[#This Row],[Avg Price per (₹ / m³)]]=""),"",Market_Data[[#This Row],[Estimated Concrete Demand (m³)]]*Market_Data[[#This Row],[Avg Price per (₹ / m³)]]/10000000)</f>
        <v>5.5986000000000002</v>
      </c>
      <c r="O2011" s="97" t="str">
        <f>IF(Market_Data[[#This Row],[Estimated Concrete Demand (m³)]]="","",
IF(Market_Data[[#This Row],[Estimated Concrete Demand (m³)]]&lt;10000,"Small",
IF(Market_Data[[#This Row],[Estimated Concrete Demand (m³)]]&lt;25000,"Medium",
IF(Market_Data[[#This Row],[Estimated Concrete Demand (m³)]]&lt;100000,"Large","Mega"))))</f>
        <v>Small</v>
      </c>
      <c r="P2011" s="287" t="str">
        <f t="shared" si="33"/>
        <v>GujRERA</v>
      </c>
    </row>
    <row r="2012" spans="1:16">
      <c r="A2012" s="129" t="str">
        <f>_xlfn.XLOOKUP(B2012,$S$9:$S$14,$T$9:$T$14)&amp;"-"&amp;
IF(E2012="Residential/Group Housing","RES",
IF(E2012="Commercial","COM",
IF(E2012="Mixed Development","MIX",
IF(E2012="Plotted Development","PLT","OTH"))))
&amp;"-"&amp;TEXT(COUNTIFS($B$9:B2012,B2012,$E$9:E2012,E2012),"0000")</f>
        <v>SUR-RES-0665</v>
      </c>
      <c r="B2012" s="322" t="s">
        <v>34</v>
      </c>
      <c r="C2012" s="322" t="s">
        <v>34</v>
      </c>
      <c r="D2012" s="323" t="s">
        <v>2202</v>
      </c>
      <c r="E2012" s="132" t="s">
        <v>24</v>
      </c>
      <c r="F2012" s="97" t="str">
        <f ca="1">IF(OR(Market_Data[[#This Row],[Start Date]]="",Market_Data[[#This Row],[Completion Date]]=""),"Needs Validation",IF(Market_Data[[#This Row],[Start Date]]&gt;TODAY(),"Planned",IF(Market_Data[[#This Row],[Completion Date]]&lt;TODAY(),"Completed","Ongoing")))</f>
        <v>Ongoing</v>
      </c>
      <c r="G2012" s="324">
        <v>45826</v>
      </c>
      <c r="H2012" s="324">
        <v>47483</v>
      </c>
      <c r="I2012" s="325">
        <v>39600</v>
      </c>
      <c r="J201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12" s="133">
        <f>_xlfn.XLOOKUP(Market_Data[[#This Row],[Project Type]],tbl_assumptions_market[Project Category (RERA)],tbl_assumptions_market[Concrete Intensity
(m³ / sq m BUA)],"",0)</f>
        <v>0.45</v>
      </c>
      <c r="L2012" s="134">
        <f>ROUND(Market_Data[[#This Row],[Estimated Built Up Area (sq m)]]*Market_Data[[#This Row],[Concrete Intensity
(m³ / sq m)]],0)</f>
        <v>17820</v>
      </c>
      <c r="M2012" s="135">
        <f>_xlfn.XLOOKUP(Market_Data[[#This Row],[District]],tbl_district_price[District],tbl_district_price[Standard Price
(INR/m³)],"",0)</f>
        <v>6200</v>
      </c>
      <c r="N2012" s="364">
        <f>IF(OR(Market_Data[[#This Row],[Estimated Concrete Demand (m³)]]="",Market_Data[[#This Row],[Avg Price per (₹ / m³)]]=""),"",Market_Data[[#This Row],[Estimated Concrete Demand (m³)]]*Market_Data[[#This Row],[Avg Price per (₹ / m³)]]/10000000)</f>
        <v>11.048400000000001</v>
      </c>
      <c r="O2012" s="97" t="str">
        <f>IF(Market_Data[[#This Row],[Estimated Concrete Demand (m³)]]="","",
IF(Market_Data[[#This Row],[Estimated Concrete Demand (m³)]]&lt;10000,"Small",
IF(Market_Data[[#This Row],[Estimated Concrete Demand (m³)]]&lt;25000,"Medium",
IF(Market_Data[[#This Row],[Estimated Concrete Demand (m³)]]&lt;100000,"Large","Mega"))))</f>
        <v>Medium</v>
      </c>
      <c r="P2012" s="287" t="str">
        <f t="shared" si="33"/>
        <v>GujRERA</v>
      </c>
    </row>
    <row r="2013" spans="1:16">
      <c r="A2013" s="129" t="str">
        <f>_xlfn.XLOOKUP(B2013,$S$9:$S$14,$T$9:$T$14)&amp;"-"&amp;
IF(E2013="Residential/Group Housing","RES",
IF(E2013="Commercial","COM",
IF(E2013="Mixed Development","MIX",
IF(E2013="Plotted Development","PLT","OTH"))))
&amp;"-"&amp;TEXT(COUNTIFS($B$9:B2013,B2013,$E$9:E2013,E2013),"0000")</f>
        <v>SUR-PLT-0379</v>
      </c>
      <c r="B2013" s="322" t="s">
        <v>34</v>
      </c>
      <c r="C2013" s="322" t="s">
        <v>34</v>
      </c>
      <c r="D2013" s="323" t="s">
        <v>2203</v>
      </c>
      <c r="E2013" s="132" t="s">
        <v>26</v>
      </c>
      <c r="F2013" s="97" t="str">
        <f ca="1">IF(OR(Market_Data[[#This Row],[Start Date]]="",Market_Data[[#This Row],[Completion Date]]=""),"Needs Validation",IF(Market_Data[[#This Row],[Start Date]]&gt;TODAY(),"Planned",IF(Market_Data[[#This Row],[Completion Date]]&lt;TODAY(),"Completed","Ongoing")))</f>
        <v>Completed</v>
      </c>
      <c r="G2013" s="324">
        <v>45293</v>
      </c>
      <c r="H2013" s="324">
        <v>46022</v>
      </c>
      <c r="I2013" s="325">
        <v>15200</v>
      </c>
      <c r="J201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13" s="133">
        <f>_xlfn.XLOOKUP(Market_Data[[#This Row],[Project Type]],tbl_assumptions_market[Project Category (RERA)],tbl_assumptions_market[Concrete Intensity
(m³ / sq m BUA)],"",0)</f>
        <v>0.18</v>
      </c>
      <c r="L2013" s="134">
        <f>ROUND(Market_Data[[#This Row],[Estimated Built Up Area (sq m)]]*Market_Data[[#This Row],[Concrete Intensity
(m³ / sq m)]],0)</f>
        <v>2736</v>
      </c>
      <c r="M2013" s="135">
        <f>_xlfn.XLOOKUP(Market_Data[[#This Row],[District]],tbl_district_price[District],tbl_district_price[Standard Price
(INR/m³)],"",0)</f>
        <v>6200</v>
      </c>
      <c r="N2013" s="364">
        <f>IF(OR(Market_Data[[#This Row],[Estimated Concrete Demand (m³)]]="",Market_Data[[#This Row],[Avg Price per (₹ / m³)]]=""),"",Market_Data[[#This Row],[Estimated Concrete Demand (m³)]]*Market_Data[[#This Row],[Avg Price per (₹ / m³)]]/10000000)</f>
        <v>1.6963200000000001</v>
      </c>
      <c r="O2013" s="97" t="str">
        <f>IF(Market_Data[[#This Row],[Estimated Concrete Demand (m³)]]="","",
IF(Market_Data[[#This Row],[Estimated Concrete Demand (m³)]]&lt;10000,"Small",
IF(Market_Data[[#This Row],[Estimated Concrete Demand (m³)]]&lt;25000,"Medium",
IF(Market_Data[[#This Row],[Estimated Concrete Demand (m³)]]&lt;100000,"Large","Mega"))))</f>
        <v>Small</v>
      </c>
      <c r="P2013" s="287" t="str">
        <f t="shared" si="33"/>
        <v>GujRERA</v>
      </c>
    </row>
    <row r="2014" spans="1:16">
      <c r="A2014" s="129" t="str">
        <f>_xlfn.XLOOKUP(B2014,$S$9:$S$14,$T$9:$T$14)&amp;"-"&amp;
IF(E2014="Residential/Group Housing","RES",
IF(E2014="Commercial","COM",
IF(E2014="Mixed Development","MIX",
IF(E2014="Plotted Development","PLT","OTH"))))
&amp;"-"&amp;TEXT(COUNTIFS($B$9:B2014,B2014,$E$9:E2014,E2014),"0000")</f>
        <v>SUR-PLT-0380</v>
      </c>
      <c r="B2014" s="322" t="s">
        <v>34</v>
      </c>
      <c r="C2014" s="322" t="s">
        <v>34</v>
      </c>
      <c r="D2014" s="323" t="s">
        <v>2204</v>
      </c>
      <c r="E2014" s="132" t="s">
        <v>26</v>
      </c>
      <c r="F2014" s="97" t="str">
        <f ca="1">IF(OR(Market_Data[[#This Row],[Start Date]]="",Market_Data[[#This Row],[Completion Date]]=""),"Needs Validation",IF(Market_Data[[#This Row],[Start Date]]&gt;TODAY(),"Planned",IF(Market_Data[[#This Row],[Completion Date]]&lt;TODAY(),"Completed","Ongoing")))</f>
        <v>Ongoing</v>
      </c>
      <c r="G2014" s="324">
        <v>45845</v>
      </c>
      <c r="H2014" s="324">
        <v>46843</v>
      </c>
      <c r="I2014" s="325">
        <v>38400</v>
      </c>
      <c r="J201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014" s="133">
        <f>_xlfn.XLOOKUP(Market_Data[[#This Row],[Project Type]],tbl_assumptions_market[Project Category (RERA)],tbl_assumptions_market[Concrete Intensity
(m³ / sq m BUA)],"",0)</f>
        <v>0.18</v>
      </c>
      <c r="L2014" s="134">
        <f>ROUND(Market_Data[[#This Row],[Estimated Built Up Area (sq m)]]*Market_Data[[#This Row],[Concrete Intensity
(m³ / sq m)]],0)</f>
        <v>6912</v>
      </c>
      <c r="M2014" s="135">
        <f>_xlfn.XLOOKUP(Market_Data[[#This Row],[District]],tbl_district_price[District],tbl_district_price[Standard Price
(INR/m³)],"",0)</f>
        <v>6200</v>
      </c>
      <c r="N2014" s="364">
        <f>IF(OR(Market_Data[[#This Row],[Estimated Concrete Demand (m³)]]="",Market_Data[[#This Row],[Avg Price per (₹ / m³)]]=""),"",Market_Data[[#This Row],[Estimated Concrete Demand (m³)]]*Market_Data[[#This Row],[Avg Price per (₹ / m³)]]/10000000)</f>
        <v>4.2854400000000004</v>
      </c>
      <c r="O2014" s="97" t="str">
        <f>IF(Market_Data[[#This Row],[Estimated Concrete Demand (m³)]]="","",
IF(Market_Data[[#This Row],[Estimated Concrete Demand (m³)]]&lt;10000,"Small",
IF(Market_Data[[#This Row],[Estimated Concrete Demand (m³)]]&lt;25000,"Medium",
IF(Market_Data[[#This Row],[Estimated Concrete Demand (m³)]]&lt;100000,"Large","Mega"))))</f>
        <v>Small</v>
      </c>
      <c r="P2014" s="287" t="str">
        <f t="shared" si="33"/>
        <v>GujRERA</v>
      </c>
    </row>
    <row r="2015" spans="1:16">
      <c r="A2015" s="129" t="str">
        <f>_xlfn.XLOOKUP(B2015,$S$9:$S$14,$T$9:$T$14)&amp;"-"&amp;
IF(E2015="Residential/Group Housing","RES",
IF(E2015="Commercial","COM",
IF(E2015="Mixed Development","MIX",
IF(E2015="Plotted Development","PLT","OTH"))))
&amp;"-"&amp;TEXT(COUNTIFS($B$9:B2015,B2015,$E$9:E2015,E2015),"0000")</f>
        <v>SUR-PLT-0381</v>
      </c>
      <c r="B2015" s="322" t="s">
        <v>34</v>
      </c>
      <c r="C2015" s="322" t="s">
        <v>34</v>
      </c>
      <c r="D2015" s="323" t="s">
        <v>2205</v>
      </c>
      <c r="E2015" s="132" t="s">
        <v>26</v>
      </c>
      <c r="F2015" s="97" t="str">
        <f ca="1">IF(OR(Market_Data[[#This Row],[Start Date]]="",Market_Data[[#This Row],[Completion Date]]=""),"Needs Validation",IF(Market_Data[[#This Row],[Start Date]]&gt;TODAY(),"Planned",IF(Market_Data[[#This Row],[Completion Date]]&lt;TODAY(),"Completed","Ongoing")))</f>
        <v>Completed</v>
      </c>
      <c r="G2015" s="324">
        <v>45293</v>
      </c>
      <c r="H2015" s="324">
        <v>46022</v>
      </c>
      <c r="I2015" s="325">
        <v>8400</v>
      </c>
      <c r="J201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15" s="133">
        <f>_xlfn.XLOOKUP(Market_Data[[#This Row],[Project Type]],tbl_assumptions_market[Project Category (RERA)],tbl_assumptions_market[Concrete Intensity
(m³ / sq m BUA)],"",0)</f>
        <v>0.18</v>
      </c>
      <c r="L2015" s="134">
        <f>ROUND(Market_Data[[#This Row],[Estimated Built Up Area (sq m)]]*Market_Data[[#This Row],[Concrete Intensity
(m³ / sq m)]],0)</f>
        <v>1512</v>
      </c>
      <c r="M2015" s="135">
        <f>_xlfn.XLOOKUP(Market_Data[[#This Row],[District]],tbl_district_price[District],tbl_district_price[Standard Price
(INR/m³)],"",0)</f>
        <v>6200</v>
      </c>
      <c r="N2015" s="364">
        <f>IF(OR(Market_Data[[#This Row],[Estimated Concrete Demand (m³)]]="",Market_Data[[#This Row],[Avg Price per (₹ / m³)]]=""),"",Market_Data[[#This Row],[Estimated Concrete Demand (m³)]]*Market_Data[[#This Row],[Avg Price per (₹ / m³)]]/10000000)</f>
        <v>0.93744000000000005</v>
      </c>
      <c r="O2015" s="97" t="str">
        <f>IF(Market_Data[[#This Row],[Estimated Concrete Demand (m³)]]="","",
IF(Market_Data[[#This Row],[Estimated Concrete Demand (m³)]]&lt;10000,"Small",
IF(Market_Data[[#This Row],[Estimated Concrete Demand (m³)]]&lt;25000,"Medium",
IF(Market_Data[[#This Row],[Estimated Concrete Demand (m³)]]&lt;100000,"Large","Mega"))))</f>
        <v>Small</v>
      </c>
      <c r="P2015" s="287" t="str">
        <f t="shared" si="33"/>
        <v>GujRERA</v>
      </c>
    </row>
    <row r="2016" spans="1:16">
      <c r="A2016" s="129" t="str">
        <f>_xlfn.XLOOKUP(B2016,$S$9:$S$14,$T$9:$T$14)&amp;"-"&amp;
IF(E2016="Residential/Group Housing","RES",
IF(E2016="Commercial","COM",
IF(E2016="Mixed Development","MIX",
IF(E2016="Plotted Development","PLT","OTH"))))
&amp;"-"&amp;TEXT(COUNTIFS($B$9:B2016,B2016,$E$9:E2016,E2016),"0000")</f>
        <v>SUR-PLT-0382</v>
      </c>
      <c r="B2016" s="322" t="s">
        <v>34</v>
      </c>
      <c r="C2016" s="322" t="s">
        <v>34</v>
      </c>
      <c r="D2016" s="323" t="s">
        <v>2206</v>
      </c>
      <c r="E2016" s="132" t="s">
        <v>26</v>
      </c>
      <c r="F2016" s="97" t="str">
        <f ca="1">IF(OR(Market_Data[[#This Row],[Start Date]]="",Market_Data[[#This Row],[Completion Date]]=""),"Needs Validation",IF(Market_Data[[#This Row],[Start Date]]&gt;TODAY(),"Planned",IF(Market_Data[[#This Row],[Completion Date]]&lt;TODAY(),"Completed","Ongoing")))</f>
        <v>Ongoing</v>
      </c>
      <c r="G2016" s="324">
        <v>45544</v>
      </c>
      <c r="H2016" s="324">
        <v>46843</v>
      </c>
      <c r="I2016" s="325">
        <v>53600</v>
      </c>
      <c r="J201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016" s="133">
        <f>_xlfn.XLOOKUP(Market_Data[[#This Row],[Project Type]],tbl_assumptions_market[Project Category (RERA)],tbl_assumptions_market[Concrete Intensity
(m³ / sq m BUA)],"",0)</f>
        <v>0.18</v>
      </c>
      <c r="L2016" s="134">
        <f>ROUND(Market_Data[[#This Row],[Estimated Built Up Area (sq m)]]*Market_Data[[#This Row],[Concrete Intensity
(m³ / sq m)]],0)</f>
        <v>9648</v>
      </c>
      <c r="M2016" s="135">
        <f>_xlfn.XLOOKUP(Market_Data[[#This Row],[District]],tbl_district_price[District],tbl_district_price[Standard Price
(INR/m³)],"",0)</f>
        <v>6200</v>
      </c>
      <c r="N2016" s="364">
        <f>IF(OR(Market_Data[[#This Row],[Estimated Concrete Demand (m³)]]="",Market_Data[[#This Row],[Avg Price per (₹ / m³)]]=""),"",Market_Data[[#This Row],[Estimated Concrete Demand (m³)]]*Market_Data[[#This Row],[Avg Price per (₹ / m³)]]/10000000)</f>
        <v>5.9817600000000004</v>
      </c>
      <c r="O2016" s="97" t="str">
        <f>IF(Market_Data[[#This Row],[Estimated Concrete Demand (m³)]]="","",
IF(Market_Data[[#This Row],[Estimated Concrete Demand (m³)]]&lt;10000,"Small",
IF(Market_Data[[#This Row],[Estimated Concrete Demand (m³)]]&lt;25000,"Medium",
IF(Market_Data[[#This Row],[Estimated Concrete Demand (m³)]]&lt;100000,"Large","Mega"))))</f>
        <v>Small</v>
      </c>
      <c r="P2016" s="287" t="str">
        <f t="shared" si="33"/>
        <v>GujRERA</v>
      </c>
    </row>
    <row r="2017" spans="1:16">
      <c r="A2017" s="129" t="str">
        <f>_xlfn.XLOOKUP(B2017,$S$9:$S$14,$T$9:$T$14)&amp;"-"&amp;
IF(E2017="Residential/Group Housing","RES",
IF(E2017="Commercial","COM",
IF(E2017="Mixed Development","MIX",
IF(E2017="Plotted Development","PLT","OTH"))))
&amp;"-"&amp;TEXT(COUNTIFS($B$9:B2017,B2017,$E$9:E2017,E2017),"0000")</f>
        <v>SUR-PLT-0383</v>
      </c>
      <c r="B2017" s="322" t="s">
        <v>34</v>
      </c>
      <c r="C2017" s="322" t="s">
        <v>34</v>
      </c>
      <c r="D2017" s="323" t="s">
        <v>2207</v>
      </c>
      <c r="E2017" s="132" t="s">
        <v>26</v>
      </c>
      <c r="F2017" s="97" t="str">
        <f ca="1">IF(OR(Market_Data[[#This Row],[Start Date]]="",Market_Data[[#This Row],[Completion Date]]=""),"Needs Validation",IF(Market_Data[[#This Row],[Start Date]]&gt;TODAY(),"Planned",IF(Market_Data[[#This Row],[Completion Date]]&lt;TODAY(),"Completed","Ongoing")))</f>
        <v>Completed</v>
      </c>
      <c r="G2017" s="324">
        <v>45093</v>
      </c>
      <c r="H2017" s="324">
        <v>46022</v>
      </c>
      <c r="I2017" s="325">
        <v>32500</v>
      </c>
      <c r="J201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017" s="133">
        <f>_xlfn.XLOOKUP(Market_Data[[#This Row],[Project Type]],tbl_assumptions_market[Project Category (RERA)],tbl_assumptions_market[Concrete Intensity
(m³ / sq m BUA)],"",0)</f>
        <v>0.18</v>
      </c>
      <c r="L2017" s="134">
        <f>ROUND(Market_Data[[#This Row],[Estimated Built Up Area (sq m)]]*Market_Data[[#This Row],[Concrete Intensity
(m³ / sq m)]],0)</f>
        <v>5850</v>
      </c>
      <c r="M2017" s="135">
        <f>_xlfn.XLOOKUP(Market_Data[[#This Row],[District]],tbl_district_price[District],tbl_district_price[Standard Price
(INR/m³)],"",0)</f>
        <v>6200</v>
      </c>
      <c r="N2017" s="364">
        <f>IF(OR(Market_Data[[#This Row],[Estimated Concrete Demand (m³)]]="",Market_Data[[#This Row],[Avg Price per (₹ / m³)]]=""),"",Market_Data[[#This Row],[Estimated Concrete Demand (m³)]]*Market_Data[[#This Row],[Avg Price per (₹ / m³)]]/10000000)</f>
        <v>3.6269999999999998</v>
      </c>
      <c r="O2017" s="97" t="str">
        <f>IF(Market_Data[[#This Row],[Estimated Concrete Demand (m³)]]="","",
IF(Market_Data[[#This Row],[Estimated Concrete Demand (m³)]]&lt;10000,"Small",
IF(Market_Data[[#This Row],[Estimated Concrete Demand (m³)]]&lt;25000,"Medium",
IF(Market_Data[[#This Row],[Estimated Concrete Demand (m³)]]&lt;100000,"Large","Mega"))))</f>
        <v>Small</v>
      </c>
      <c r="P2017" s="287" t="str">
        <f t="shared" si="33"/>
        <v>GujRERA</v>
      </c>
    </row>
    <row r="2018" spans="1:16">
      <c r="A2018" s="129" t="str">
        <f>_xlfn.XLOOKUP(B2018,$S$9:$S$14,$T$9:$T$14)&amp;"-"&amp;
IF(E2018="Residential/Group Housing","RES",
IF(E2018="Commercial","COM",
IF(E2018="Mixed Development","MIX",
IF(E2018="Plotted Development","PLT","OTH"))))
&amp;"-"&amp;TEXT(COUNTIFS($B$9:B2018,B2018,$E$9:E2018,E2018),"0000")</f>
        <v>SUR-MIX-0336</v>
      </c>
      <c r="B2018" s="322" t="s">
        <v>34</v>
      </c>
      <c r="C2018" s="322" t="s">
        <v>34</v>
      </c>
      <c r="D2018" s="323" t="s">
        <v>2208</v>
      </c>
      <c r="E2018" s="132" t="s">
        <v>25</v>
      </c>
      <c r="F2018" s="97" t="str">
        <f ca="1">IF(OR(Market_Data[[#This Row],[Start Date]]="",Market_Data[[#This Row],[Completion Date]]=""),"Needs Validation",IF(Market_Data[[#This Row],[Start Date]]&gt;TODAY(),"Planned",IF(Market_Data[[#This Row],[Completion Date]]&lt;TODAY(),"Completed","Ongoing")))</f>
        <v>Completed</v>
      </c>
      <c r="G2018" s="324">
        <v>43119</v>
      </c>
      <c r="H2018" s="324">
        <v>45015</v>
      </c>
      <c r="I2018" s="325">
        <v>33400</v>
      </c>
      <c r="J201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18" s="133">
        <f>_xlfn.XLOOKUP(Market_Data[[#This Row],[Project Type]],tbl_assumptions_market[Project Category (RERA)],tbl_assumptions_market[Concrete Intensity
(m³ / sq m BUA)],"",0)</f>
        <v>0.42</v>
      </c>
      <c r="L2018" s="134">
        <f>ROUND(Market_Data[[#This Row],[Estimated Built Up Area (sq m)]]*Market_Data[[#This Row],[Concrete Intensity
(m³ / sq m)]],0)</f>
        <v>14028</v>
      </c>
      <c r="M2018" s="135">
        <f>_xlfn.XLOOKUP(Market_Data[[#This Row],[District]],tbl_district_price[District],tbl_district_price[Standard Price
(INR/m³)],"",0)</f>
        <v>6200</v>
      </c>
      <c r="N2018" s="364">
        <f>IF(OR(Market_Data[[#This Row],[Estimated Concrete Demand (m³)]]="",Market_Data[[#This Row],[Avg Price per (₹ / m³)]]=""),"",Market_Data[[#This Row],[Estimated Concrete Demand (m³)]]*Market_Data[[#This Row],[Avg Price per (₹ / m³)]]/10000000)</f>
        <v>8.6973599999999998</v>
      </c>
      <c r="O2018" s="97" t="str">
        <f>IF(Market_Data[[#This Row],[Estimated Concrete Demand (m³)]]="","",
IF(Market_Data[[#This Row],[Estimated Concrete Demand (m³)]]&lt;10000,"Small",
IF(Market_Data[[#This Row],[Estimated Concrete Demand (m³)]]&lt;25000,"Medium",
IF(Market_Data[[#This Row],[Estimated Concrete Demand (m³)]]&lt;100000,"Large","Mega"))))</f>
        <v>Medium</v>
      </c>
      <c r="P2018" s="287" t="str">
        <f t="shared" si="33"/>
        <v>GujRERA</v>
      </c>
    </row>
    <row r="2019" spans="1:16">
      <c r="A2019" s="129" t="str">
        <f>_xlfn.XLOOKUP(B2019,$S$9:$S$14,$T$9:$T$14)&amp;"-"&amp;
IF(E2019="Residential/Group Housing","RES",
IF(E2019="Commercial","COM",
IF(E2019="Mixed Development","MIX",
IF(E2019="Plotted Development","PLT","OTH"))))
&amp;"-"&amp;TEXT(COUNTIFS($B$9:B2019,B2019,$E$9:E2019,E2019),"0000")</f>
        <v>SUR-COM-0317</v>
      </c>
      <c r="B2019" s="322" t="s">
        <v>34</v>
      </c>
      <c r="C2019" s="322" t="s">
        <v>34</v>
      </c>
      <c r="D2019" s="323" t="s">
        <v>2209</v>
      </c>
      <c r="E2019" s="132" t="s">
        <v>23</v>
      </c>
      <c r="F2019" s="97" t="str">
        <f ca="1">IF(OR(Market_Data[[#This Row],[Start Date]]="",Market_Data[[#This Row],[Completion Date]]=""),"Needs Validation",IF(Market_Data[[#This Row],[Start Date]]&gt;TODAY(),"Planned",IF(Market_Data[[#This Row],[Completion Date]]&lt;TODAY(),"Completed","Ongoing")))</f>
        <v>Completed</v>
      </c>
      <c r="G2019" s="324">
        <v>38443</v>
      </c>
      <c r="H2019" s="324">
        <v>44377</v>
      </c>
      <c r="I2019" s="325">
        <v>10500</v>
      </c>
      <c r="J201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19" s="133">
        <f>_xlfn.XLOOKUP(Market_Data[[#This Row],[Project Type]],tbl_assumptions_market[Project Category (RERA)],tbl_assumptions_market[Concrete Intensity
(m³ / sq m BUA)],"",0)</f>
        <v>0.5</v>
      </c>
      <c r="L2019" s="134">
        <f>ROUND(Market_Data[[#This Row],[Estimated Built Up Area (sq m)]]*Market_Data[[#This Row],[Concrete Intensity
(m³ / sq m)]],0)</f>
        <v>5250</v>
      </c>
      <c r="M2019" s="135">
        <f>_xlfn.XLOOKUP(Market_Data[[#This Row],[District]],tbl_district_price[District],tbl_district_price[Standard Price
(INR/m³)],"",0)</f>
        <v>6200</v>
      </c>
      <c r="N2019" s="364">
        <f>IF(OR(Market_Data[[#This Row],[Estimated Concrete Demand (m³)]]="",Market_Data[[#This Row],[Avg Price per (₹ / m³)]]=""),"",Market_Data[[#This Row],[Estimated Concrete Demand (m³)]]*Market_Data[[#This Row],[Avg Price per (₹ / m³)]]/10000000)</f>
        <v>3.2549999999999999</v>
      </c>
      <c r="O2019" s="97" t="str">
        <f>IF(Market_Data[[#This Row],[Estimated Concrete Demand (m³)]]="","",
IF(Market_Data[[#This Row],[Estimated Concrete Demand (m³)]]&lt;10000,"Small",
IF(Market_Data[[#This Row],[Estimated Concrete Demand (m³)]]&lt;25000,"Medium",
IF(Market_Data[[#This Row],[Estimated Concrete Demand (m³)]]&lt;100000,"Large","Mega"))))</f>
        <v>Small</v>
      </c>
      <c r="P2019" s="287" t="str">
        <f t="shared" si="33"/>
        <v>GujRERA</v>
      </c>
    </row>
    <row r="2020" spans="1:16">
      <c r="A2020" s="129" t="str">
        <f>_xlfn.XLOOKUP(B2020,$S$9:$S$14,$T$9:$T$14)&amp;"-"&amp;
IF(E2020="Residential/Group Housing","RES",
IF(E2020="Commercial","COM",
IF(E2020="Mixed Development","MIX",
IF(E2020="Plotted Development","PLT","OTH"))))
&amp;"-"&amp;TEXT(COUNTIFS($B$9:B2020,B2020,$E$9:E2020,E2020),"0000")</f>
        <v>SUR-PLT-0384</v>
      </c>
      <c r="B2020" s="322" t="s">
        <v>34</v>
      </c>
      <c r="C2020" s="322" t="s">
        <v>34</v>
      </c>
      <c r="D2020" s="323" t="s">
        <v>2210</v>
      </c>
      <c r="E2020" s="132" t="s">
        <v>26</v>
      </c>
      <c r="F2020" s="97" t="str">
        <f ca="1">IF(OR(Market_Data[[#This Row],[Start Date]]="",Market_Data[[#This Row],[Completion Date]]=""),"Needs Validation",IF(Market_Data[[#This Row],[Start Date]]&gt;TODAY(),"Planned",IF(Market_Data[[#This Row],[Completion Date]]&lt;TODAY(),"Completed","Ongoing")))</f>
        <v>Completed</v>
      </c>
      <c r="G2020" s="324">
        <v>44593</v>
      </c>
      <c r="H2020" s="324">
        <v>45382</v>
      </c>
      <c r="I2020" s="325">
        <v>2500</v>
      </c>
      <c r="J202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20" s="133">
        <f>_xlfn.XLOOKUP(Market_Data[[#This Row],[Project Type]],tbl_assumptions_market[Project Category (RERA)],tbl_assumptions_market[Concrete Intensity
(m³ / sq m BUA)],"",0)</f>
        <v>0.18</v>
      </c>
      <c r="L2020" s="134">
        <f>ROUND(Market_Data[[#This Row],[Estimated Built Up Area (sq m)]]*Market_Data[[#This Row],[Concrete Intensity
(m³ / sq m)]],0)</f>
        <v>450</v>
      </c>
      <c r="M2020" s="135">
        <f>_xlfn.XLOOKUP(Market_Data[[#This Row],[District]],tbl_district_price[District],tbl_district_price[Standard Price
(INR/m³)],"",0)</f>
        <v>6200</v>
      </c>
      <c r="N2020" s="364">
        <f>IF(OR(Market_Data[[#This Row],[Estimated Concrete Demand (m³)]]="",Market_Data[[#This Row],[Avg Price per (₹ / m³)]]=""),"",Market_Data[[#This Row],[Estimated Concrete Demand (m³)]]*Market_Data[[#This Row],[Avg Price per (₹ / m³)]]/10000000)</f>
        <v>0.27900000000000003</v>
      </c>
      <c r="O2020" s="97" t="str">
        <f>IF(Market_Data[[#This Row],[Estimated Concrete Demand (m³)]]="","",
IF(Market_Data[[#This Row],[Estimated Concrete Demand (m³)]]&lt;10000,"Small",
IF(Market_Data[[#This Row],[Estimated Concrete Demand (m³)]]&lt;25000,"Medium",
IF(Market_Data[[#This Row],[Estimated Concrete Demand (m³)]]&lt;100000,"Large","Mega"))))</f>
        <v>Small</v>
      </c>
      <c r="P2020" s="287" t="str">
        <f t="shared" si="33"/>
        <v>GujRERA</v>
      </c>
    </row>
    <row r="2021" spans="1:16">
      <c r="A2021" s="129" t="str">
        <f>_xlfn.XLOOKUP(B2021,$S$9:$S$14,$T$9:$T$14)&amp;"-"&amp;
IF(E2021="Residential/Group Housing","RES",
IF(E2021="Commercial","COM",
IF(E2021="Mixed Development","MIX",
IF(E2021="Plotted Development","PLT","OTH"))))
&amp;"-"&amp;TEXT(COUNTIFS($B$9:B2021,B2021,$E$9:E2021,E2021),"0000")</f>
        <v>SUR-PLT-0385</v>
      </c>
      <c r="B2021" s="322" t="s">
        <v>34</v>
      </c>
      <c r="C2021" s="322" t="s">
        <v>34</v>
      </c>
      <c r="D2021" s="323" t="s">
        <v>2211</v>
      </c>
      <c r="E2021" s="132" t="s">
        <v>26</v>
      </c>
      <c r="F2021" s="97" t="str">
        <f ca="1">IF(OR(Market_Data[[#This Row],[Start Date]]="",Market_Data[[#This Row],[Completion Date]]=""),"Needs Validation",IF(Market_Data[[#This Row],[Start Date]]&gt;TODAY(),"Planned",IF(Market_Data[[#This Row],[Completion Date]]&lt;TODAY(),"Completed","Ongoing")))</f>
        <v>Ongoing</v>
      </c>
      <c r="G2021" s="324">
        <v>44807</v>
      </c>
      <c r="H2021" s="324">
        <v>46387</v>
      </c>
      <c r="I2021" s="325">
        <v>47800</v>
      </c>
      <c r="J202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021" s="133">
        <f>_xlfn.XLOOKUP(Market_Data[[#This Row],[Project Type]],tbl_assumptions_market[Project Category (RERA)],tbl_assumptions_market[Concrete Intensity
(m³ / sq m BUA)],"",0)</f>
        <v>0.18</v>
      </c>
      <c r="L2021" s="134">
        <f>ROUND(Market_Data[[#This Row],[Estimated Built Up Area (sq m)]]*Market_Data[[#This Row],[Concrete Intensity
(m³ / sq m)]],0)</f>
        <v>8604</v>
      </c>
      <c r="M2021" s="135">
        <f>_xlfn.XLOOKUP(Market_Data[[#This Row],[District]],tbl_district_price[District],tbl_district_price[Standard Price
(INR/m³)],"",0)</f>
        <v>6200</v>
      </c>
      <c r="N2021" s="364">
        <f>IF(OR(Market_Data[[#This Row],[Estimated Concrete Demand (m³)]]="",Market_Data[[#This Row],[Avg Price per (₹ / m³)]]=""),"",Market_Data[[#This Row],[Estimated Concrete Demand (m³)]]*Market_Data[[#This Row],[Avg Price per (₹ / m³)]]/10000000)</f>
        <v>5.3344800000000001</v>
      </c>
      <c r="O2021" s="97" t="str">
        <f>IF(Market_Data[[#This Row],[Estimated Concrete Demand (m³)]]="","",
IF(Market_Data[[#This Row],[Estimated Concrete Demand (m³)]]&lt;10000,"Small",
IF(Market_Data[[#This Row],[Estimated Concrete Demand (m³)]]&lt;25000,"Medium",
IF(Market_Data[[#This Row],[Estimated Concrete Demand (m³)]]&lt;100000,"Large","Mega"))))</f>
        <v>Small</v>
      </c>
      <c r="P2021" s="287" t="str">
        <f t="shared" si="33"/>
        <v>GujRERA</v>
      </c>
    </row>
    <row r="2022" spans="1:16">
      <c r="A2022" s="129" t="str">
        <f>_xlfn.XLOOKUP(B2022,$S$9:$S$14,$T$9:$T$14)&amp;"-"&amp;
IF(E2022="Residential/Group Housing","RES",
IF(E2022="Commercial","COM",
IF(E2022="Mixed Development","MIX",
IF(E2022="Plotted Development","PLT","OTH"))))
&amp;"-"&amp;TEXT(COUNTIFS($B$9:B2022,B2022,$E$9:E2022,E2022),"0000")</f>
        <v>SUR-PLT-0386</v>
      </c>
      <c r="B2022" s="322" t="s">
        <v>34</v>
      </c>
      <c r="C2022" s="322" t="s">
        <v>34</v>
      </c>
      <c r="D2022" s="323" t="s">
        <v>2212</v>
      </c>
      <c r="E2022" s="132" t="s">
        <v>26</v>
      </c>
      <c r="F2022" s="97" t="str">
        <f ca="1">IF(OR(Market_Data[[#This Row],[Start Date]]="",Market_Data[[#This Row],[Completion Date]]=""),"Needs Validation",IF(Market_Data[[#This Row],[Start Date]]&gt;TODAY(),"Planned",IF(Market_Data[[#This Row],[Completion Date]]&lt;TODAY(),"Completed","Ongoing")))</f>
        <v>Ongoing</v>
      </c>
      <c r="G2022" s="324">
        <v>45925</v>
      </c>
      <c r="H2022" s="324">
        <v>47118</v>
      </c>
      <c r="I2022" s="325">
        <v>3600</v>
      </c>
      <c r="J202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22" s="133">
        <f>_xlfn.XLOOKUP(Market_Data[[#This Row],[Project Type]],tbl_assumptions_market[Project Category (RERA)],tbl_assumptions_market[Concrete Intensity
(m³ / sq m BUA)],"",0)</f>
        <v>0.18</v>
      </c>
      <c r="L2022" s="134">
        <f>ROUND(Market_Data[[#This Row],[Estimated Built Up Area (sq m)]]*Market_Data[[#This Row],[Concrete Intensity
(m³ / sq m)]],0)</f>
        <v>648</v>
      </c>
      <c r="M2022" s="135">
        <f>_xlfn.XLOOKUP(Market_Data[[#This Row],[District]],tbl_district_price[District],tbl_district_price[Standard Price
(INR/m³)],"",0)</f>
        <v>6200</v>
      </c>
      <c r="N2022" s="364">
        <f>IF(OR(Market_Data[[#This Row],[Estimated Concrete Demand (m³)]]="",Market_Data[[#This Row],[Avg Price per (₹ / m³)]]=""),"",Market_Data[[#This Row],[Estimated Concrete Demand (m³)]]*Market_Data[[#This Row],[Avg Price per (₹ / m³)]]/10000000)</f>
        <v>0.40176000000000001</v>
      </c>
      <c r="O2022" s="97" t="str">
        <f>IF(Market_Data[[#This Row],[Estimated Concrete Demand (m³)]]="","",
IF(Market_Data[[#This Row],[Estimated Concrete Demand (m³)]]&lt;10000,"Small",
IF(Market_Data[[#This Row],[Estimated Concrete Demand (m³)]]&lt;25000,"Medium",
IF(Market_Data[[#This Row],[Estimated Concrete Demand (m³)]]&lt;100000,"Large","Mega"))))</f>
        <v>Small</v>
      </c>
      <c r="P2022" s="287" t="str">
        <f t="shared" si="33"/>
        <v>GujRERA</v>
      </c>
    </row>
    <row r="2023" spans="1:16">
      <c r="A2023" s="129" t="str">
        <f>_xlfn.XLOOKUP(B2023,$S$9:$S$14,$T$9:$T$14)&amp;"-"&amp;
IF(E2023="Residential/Group Housing","RES",
IF(E2023="Commercial","COM",
IF(E2023="Mixed Development","MIX",
IF(E2023="Plotted Development","PLT","OTH"))))
&amp;"-"&amp;TEXT(COUNTIFS($B$9:B2023,B2023,$E$9:E2023,E2023),"0000")</f>
        <v>SUR-PLT-0387</v>
      </c>
      <c r="B2023" s="322" t="s">
        <v>34</v>
      </c>
      <c r="C2023" s="322" t="s">
        <v>34</v>
      </c>
      <c r="D2023" s="323" t="s">
        <v>2213</v>
      </c>
      <c r="E2023" s="132" t="s">
        <v>26</v>
      </c>
      <c r="F2023" s="97" t="str">
        <f ca="1">IF(OR(Market_Data[[#This Row],[Start Date]]="",Market_Data[[#This Row],[Completion Date]]=""),"Needs Validation",IF(Market_Data[[#This Row],[Start Date]]&gt;TODAY(),"Planned",IF(Market_Data[[#This Row],[Completion Date]]&lt;TODAY(),"Completed","Ongoing")))</f>
        <v>Ongoing</v>
      </c>
      <c r="G2023" s="324">
        <v>45869</v>
      </c>
      <c r="H2023" s="324">
        <v>47118</v>
      </c>
      <c r="I2023" s="325">
        <v>20300</v>
      </c>
      <c r="J202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23" s="133">
        <f>_xlfn.XLOOKUP(Market_Data[[#This Row],[Project Type]],tbl_assumptions_market[Project Category (RERA)],tbl_assumptions_market[Concrete Intensity
(m³ / sq m BUA)],"",0)</f>
        <v>0.18</v>
      </c>
      <c r="L2023" s="134">
        <f>ROUND(Market_Data[[#This Row],[Estimated Built Up Area (sq m)]]*Market_Data[[#This Row],[Concrete Intensity
(m³ / sq m)]],0)</f>
        <v>3654</v>
      </c>
      <c r="M2023" s="135">
        <f>_xlfn.XLOOKUP(Market_Data[[#This Row],[District]],tbl_district_price[District],tbl_district_price[Standard Price
(INR/m³)],"",0)</f>
        <v>6200</v>
      </c>
      <c r="N2023" s="364">
        <f>IF(OR(Market_Data[[#This Row],[Estimated Concrete Demand (m³)]]="",Market_Data[[#This Row],[Avg Price per (₹ / m³)]]=""),"",Market_Data[[#This Row],[Estimated Concrete Demand (m³)]]*Market_Data[[#This Row],[Avg Price per (₹ / m³)]]/10000000)</f>
        <v>2.2654800000000002</v>
      </c>
      <c r="O2023" s="97" t="str">
        <f>IF(Market_Data[[#This Row],[Estimated Concrete Demand (m³)]]="","",
IF(Market_Data[[#This Row],[Estimated Concrete Demand (m³)]]&lt;10000,"Small",
IF(Market_Data[[#This Row],[Estimated Concrete Demand (m³)]]&lt;25000,"Medium",
IF(Market_Data[[#This Row],[Estimated Concrete Demand (m³)]]&lt;100000,"Large","Mega"))))</f>
        <v>Small</v>
      </c>
      <c r="P2023" s="287" t="str">
        <f t="shared" si="33"/>
        <v>GujRERA</v>
      </c>
    </row>
    <row r="2024" spans="1:16">
      <c r="A2024" s="129" t="str">
        <f>_xlfn.XLOOKUP(B2024,$S$9:$S$14,$T$9:$T$14)&amp;"-"&amp;
IF(E2024="Residential/Group Housing","RES",
IF(E2024="Commercial","COM",
IF(E2024="Mixed Development","MIX",
IF(E2024="Plotted Development","PLT","OTH"))))
&amp;"-"&amp;TEXT(COUNTIFS($B$9:B2024,B2024,$E$9:E2024,E2024),"0000")</f>
        <v>SUR-PLT-0388</v>
      </c>
      <c r="B2024" s="322" t="s">
        <v>34</v>
      </c>
      <c r="C2024" s="322" t="s">
        <v>34</v>
      </c>
      <c r="D2024" s="323" t="s">
        <v>2214</v>
      </c>
      <c r="E2024" s="132" t="s">
        <v>26</v>
      </c>
      <c r="F2024" s="97" t="str">
        <f ca="1">IF(OR(Market_Data[[#This Row],[Start Date]]="",Market_Data[[#This Row],[Completion Date]]=""),"Needs Validation",IF(Market_Data[[#This Row],[Start Date]]&gt;TODAY(),"Planned",IF(Market_Data[[#This Row],[Completion Date]]&lt;TODAY(),"Completed","Ongoing")))</f>
        <v>Ongoing</v>
      </c>
      <c r="G2024" s="324">
        <v>45720</v>
      </c>
      <c r="H2024" s="324">
        <v>47848</v>
      </c>
      <c r="I2024" s="325">
        <v>21400</v>
      </c>
      <c r="J202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24" s="133">
        <f>_xlfn.XLOOKUP(Market_Data[[#This Row],[Project Type]],tbl_assumptions_market[Project Category (RERA)],tbl_assumptions_market[Concrete Intensity
(m³ / sq m BUA)],"",0)</f>
        <v>0.18</v>
      </c>
      <c r="L2024" s="134">
        <f>ROUND(Market_Data[[#This Row],[Estimated Built Up Area (sq m)]]*Market_Data[[#This Row],[Concrete Intensity
(m³ / sq m)]],0)</f>
        <v>3852</v>
      </c>
      <c r="M2024" s="135">
        <f>_xlfn.XLOOKUP(Market_Data[[#This Row],[District]],tbl_district_price[District],tbl_district_price[Standard Price
(INR/m³)],"",0)</f>
        <v>6200</v>
      </c>
      <c r="N2024" s="364">
        <f>IF(OR(Market_Data[[#This Row],[Estimated Concrete Demand (m³)]]="",Market_Data[[#This Row],[Avg Price per (₹ / m³)]]=""),"",Market_Data[[#This Row],[Estimated Concrete Demand (m³)]]*Market_Data[[#This Row],[Avg Price per (₹ / m³)]]/10000000)</f>
        <v>2.3882400000000001</v>
      </c>
      <c r="O2024" s="97" t="str">
        <f>IF(Market_Data[[#This Row],[Estimated Concrete Demand (m³)]]="","",
IF(Market_Data[[#This Row],[Estimated Concrete Demand (m³)]]&lt;10000,"Small",
IF(Market_Data[[#This Row],[Estimated Concrete Demand (m³)]]&lt;25000,"Medium",
IF(Market_Data[[#This Row],[Estimated Concrete Demand (m³)]]&lt;100000,"Large","Mega"))))</f>
        <v>Small</v>
      </c>
      <c r="P2024" s="287" t="str">
        <f t="shared" si="33"/>
        <v>GujRERA</v>
      </c>
    </row>
    <row r="2025" spans="1:16">
      <c r="A2025" s="129" t="str">
        <f>_xlfn.XLOOKUP(B2025,$S$9:$S$14,$T$9:$T$14)&amp;"-"&amp;
IF(E2025="Residential/Group Housing","RES",
IF(E2025="Commercial","COM",
IF(E2025="Mixed Development","MIX",
IF(E2025="Plotted Development","PLT","OTH"))))
&amp;"-"&amp;TEXT(COUNTIFS($B$9:B2025,B2025,$E$9:E2025,E2025),"0000")</f>
        <v>SUR-RES-0666</v>
      </c>
      <c r="B2025" s="322" t="s">
        <v>34</v>
      </c>
      <c r="C2025" s="322" t="s">
        <v>34</v>
      </c>
      <c r="D2025" s="323" t="s">
        <v>2215</v>
      </c>
      <c r="E2025" s="132" t="s">
        <v>24</v>
      </c>
      <c r="F2025" s="97" t="str">
        <f ca="1">IF(OR(Market_Data[[#This Row],[Start Date]]="",Market_Data[[#This Row],[Completion Date]]=""),"Needs Validation",IF(Market_Data[[#This Row],[Start Date]]&gt;TODAY(),"Planned",IF(Market_Data[[#This Row],[Completion Date]]&lt;TODAY(),"Completed","Ongoing")))</f>
        <v>Completed</v>
      </c>
      <c r="G2025" s="324">
        <v>43552</v>
      </c>
      <c r="H2025" s="324">
        <v>45562</v>
      </c>
      <c r="I2025" s="325">
        <v>18600</v>
      </c>
      <c r="J202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25" s="133">
        <f>_xlfn.XLOOKUP(Market_Data[[#This Row],[Project Type]],tbl_assumptions_market[Project Category (RERA)],tbl_assumptions_market[Concrete Intensity
(m³ / sq m BUA)],"",0)</f>
        <v>0.45</v>
      </c>
      <c r="L2025" s="134">
        <f>ROUND(Market_Data[[#This Row],[Estimated Built Up Area (sq m)]]*Market_Data[[#This Row],[Concrete Intensity
(m³ / sq m)]],0)</f>
        <v>8370</v>
      </c>
      <c r="M2025" s="135">
        <f>_xlfn.XLOOKUP(Market_Data[[#This Row],[District]],tbl_district_price[District],tbl_district_price[Standard Price
(INR/m³)],"",0)</f>
        <v>6200</v>
      </c>
      <c r="N2025" s="364">
        <f>IF(OR(Market_Data[[#This Row],[Estimated Concrete Demand (m³)]]="",Market_Data[[#This Row],[Avg Price per (₹ / m³)]]=""),"",Market_Data[[#This Row],[Estimated Concrete Demand (m³)]]*Market_Data[[#This Row],[Avg Price per (₹ / m³)]]/10000000)</f>
        <v>5.1894</v>
      </c>
      <c r="O2025" s="97" t="str">
        <f>IF(Market_Data[[#This Row],[Estimated Concrete Demand (m³)]]="","",
IF(Market_Data[[#This Row],[Estimated Concrete Demand (m³)]]&lt;10000,"Small",
IF(Market_Data[[#This Row],[Estimated Concrete Demand (m³)]]&lt;25000,"Medium",
IF(Market_Data[[#This Row],[Estimated Concrete Demand (m³)]]&lt;100000,"Large","Mega"))))</f>
        <v>Small</v>
      </c>
      <c r="P2025" s="287" t="str">
        <f t="shared" si="33"/>
        <v>GujRERA</v>
      </c>
    </row>
    <row r="2026" spans="1:16">
      <c r="A2026" s="129" t="str">
        <f>_xlfn.XLOOKUP(B2026,$S$9:$S$14,$T$9:$T$14)&amp;"-"&amp;
IF(E2026="Residential/Group Housing","RES",
IF(E2026="Commercial","COM",
IF(E2026="Mixed Development","MIX",
IF(E2026="Plotted Development","PLT","OTH"))))
&amp;"-"&amp;TEXT(COUNTIFS($B$9:B2026,B2026,$E$9:E2026,E2026),"0000")</f>
        <v>SUR-MIX-0337</v>
      </c>
      <c r="B2026" s="322" t="s">
        <v>34</v>
      </c>
      <c r="C2026" s="322" t="s">
        <v>34</v>
      </c>
      <c r="D2026" s="323" t="s">
        <v>2216</v>
      </c>
      <c r="E2026" s="132" t="s">
        <v>25</v>
      </c>
      <c r="F2026" s="97" t="str">
        <f ca="1">IF(OR(Market_Data[[#This Row],[Start Date]]="",Market_Data[[#This Row],[Completion Date]]=""),"Needs Validation",IF(Market_Data[[#This Row],[Start Date]]&gt;TODAY(),"Planned",IF(Market_Data[[#This Row],[Completion Date]]&lt;TODAY(),"Completed","Ongoing")))</f>
        <v>Ongoing</v>
      </c>
      <c r="G2026" s="324">
        <v>44592</v>
      </c>
      <c r="H2026" s="324">
        <v>47208</v>
      </c>
      <c r="I2026" s="325">
        <v>2800</v>
      </c>
      <c r="J202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026" s="133">
        <f>_xlfn.XLOOKUP(Market_Data[[#This Row],[Project Type]],tbl_assumptions_market[Project Category (RERA)],tbl_assumptions_market[Concrete Intensity
(m³ / sq m BUA)],"",0)</f>
        <v>0.42</v>
      </c>
      <c r="L2026" s="134">
        <f>ROUND(Market_Data[[#This Row],[Estimated Built Up Area (sq m)]]*Market_Data[[#This Row],[Concrete Intensity
(m³ / sq m)]],0)</f>
        <v>1176</v>
      </c>
      <c r="M2026" s="135">
        <f>_xlfn.XLOOKUP(Market_Data[[#This Row],[District]],tbl_district_price[District],tbl_district_price[Standard Price
(INR/m³)],"",0)</f>
        <v>6200</v>
      </c>
      <c r="N2026" s="364">
        <f>IF(OR(Market_Data[[#This Row],[Estimated Concrete Demand (m³)]]="",Market_Data[[#This Row],[Avg Price per (₹ / m³)]]=""),"",Market_Data[[#This Row],[Estimated Concrete Demand (m³)]]*Market_Data[[#This Row],[Avg Price per (₹ / m³)]]/10000000)</f>
        <v>0.72911999999999999</v>
      </c>
      <c r="O2026" s="97" t="str">
        <f>IF(Market_Data[[#This Row],[Estimated Concrete Demand (m³)]]="","",
IF(Market_Data[[#This Row],[Estimated Concrete Demand (m³)]]&lt;10000,"Small",
IF(Market_Data[[#This Row],[Estimated Concrete Demand (m³)]]&lt;25000,"Medium",
IF(Market_Data[[#This Row],[Estimated Concrete Demand (m³)]]&lt;100000,"Large","Mega"))))</f>
        <v>Small</v>
      </c>
      <c r="P2026" s="287" t="str">
        <f t="shared" si="33"/>
        <v>GujRERA</v>
      </c>
    </row>
    <row r="2027" spans="1:16">
      <c r="A2027" s="129" t="str">
        <f>_xlfn.XLOOKUP(B2027,$S$9:$S$14,$T$9:$T$14)&amp;"-"&amp;
IF(E2027="Residential/Group Housing","RES",
IF(E2027="Commercial","COM",
IF(E2027="Mixed Development","MIX",
IF(E2027="Plotted Development","PLT","OTH"))))
&amp;"-"&amp;TEXT(COUNTIFS($B$9:B2027,B2027,$E$9:E2027,E2027),"0000")</f>
        <v>SUR-RES-0667</v>
      </c>
      <c r="B2027" s="322" t="s">
        <v>34</v>
      </c>
      <c r="C2027" s="322" t="s">
        <v>34</v>
      </c>
      <c r="D2027" s="323" t="s">
        <v>2217</v>
      </c>
      <c r="E2027" s="132" t="s">
        <v>24</v>
      </c>
      <c r="F2027" s="97" t="str">
        <f ca="1">IF(OR(Market_Data[[#This Row],[Start Date]]="",Market_Data[[#This Row],[Completion Date]]=""),"Needs Validation",IF(Market_Data[[#This Row],[Start Date]]&gt;TODAY(),"Planned",IF(Market_Data[[#This Row],[Completion Date]]&lt;TODAY(),"Completed","Ongoing")))</f>
        <v>Ongoing</v>
      </c>
      <c r="G2027" s="324">
        <v>44927</v>
      </c>
      <c r="H2027" s="324">
        <v>46477</v>
      </c>
      <c r="I2027" s="325">
        <v>30300</v>
      </c>
      <c r="J202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27" s="133">
        <f>_xlfn.XLOOKUP(Market_Data[[#This Row],[Project Type]],tbl_assumptions_market[Project Category (RERA)],tbl_assumptions_market[Concrete Intensity
(m³ / sq m BUA)],"",0)</f>
        <v>0.45</v>
      </c>
      <c r="L2027" s="134">
        <f>ROUND(Market_Data[[#This Row],[Estimated Built Up Area (sq m)]]*Market_Data[[#This Row],[Concrete Intensity
(m³ / sq m)]],0)</f>
        <v>13635</v>
      </c>
      <c r="M2027" s="135">
        <f>_xlfn.XLOOKUP(Market_Data[[#This Row],[District]],tbl_district_price[District],tbl_district_price[Standard Price
(INR/m³)],"",0)</f>
        <v>6200</v>
      </c>
      <c r="N2027" s="364">
        <f>IF(OR(Market_Data[[#This Row],[Estimated Concrete Demand (m³)]]="",Market_Data[[#This Row],[Avg Price per (₹ / m³)]]=""),"",Market_Data[[#This Row],[Estimated Concrete Demand (m³)]]*Market_Data[[#This Row],[Avg Price per (₹ / m³)]]/10000000)</f>
        <v>8.4536999999999995</v>
      </c>
      <c r="O2027" s="97" t="str">
        <f>IF(Market_Data[[#This Row],[Estimated Concrete Demand (m³)]]="","",
IF(Market_Data[[#This Row],[Estimated Concrete Demand (m³)]]&lt;10000,"Small",
IF(Market_Data[[#This Row],[Estimated Concrete Demand (m³)]]&lt;25000,"Medium",
IF(Market_Data[[#This Row],[Estimated Concrete Demand (m³)]]&lt;100000,"Large","Mega"))))</f>
        <v>Medium</v>
      </c>
      <c r="P2027" s="287" t="str">
        <f t="shared" si="33"/>
        <v>GujRERA</v>
      </c>
    </row>
    <row r="2028" spans="1:16">
      <c r="A2028" s="129" t="str">
        <f>_xlfn.XLOOKUP(B2028,$S$9:$S$14,$T$9:$T$14)&amp;"-"&amp;
IF(E2028="Residential/Group Housing","RES",
IF(E2028="Commercial","COM",
IF(E2028="Mixed Development","MIX",
IF(E2028="Plotted Development","PLT","OTH"))))
&amp;"-"&amp;TEXT(COUNTIFS($B$9:B2028,B2028,$E$9:E2028,E2028),"0000")</f>
        <v>SUR-MIX-0338</v>
      </c>
      <c r="B2028" s="322" t="s">
        <v>34</v>
      </c>
      <c r="C2028" s="322" t="s">
        <v>34</v>
      </c>
      <c r="D2028" s="323" t="s">
        <v>2218</v>
      </c>
      <c r="E2028" s="132" t="s">
        <v>25</v>
      </c>
      <c r="F2028" s="97" t="str">
        <f ca="1">IF(OR(Market_Data[[#This Row],[Start Date]]="",Market_Data[[#This Row],[Completion Date]]=""),"Needs Validation",IF(Market_Data[[#This Row],[Start Date]]&gt;TODAY(),"Planned",IF(Market_Data[[#This Row],[Completion Date]]&lt;TODAY(),"Completed","Ongoing")))</f>
        <v>Completed</v>
      </c>
      <c r="G2028" s="324">
        <v>41349</v>
      </c>
      <c r="H2028" s="324">
        <v>44377</v>
      </c>
      <c r="I2028" s="325">
        <v>4600</v>
      </c>
      <c r="J202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028" s="133">
        <f>_xlfn.XLOOKUP(Market_Data[[#This Row],[Project Type]],tbl_assumptions_market[Project Category (RERA)],tbl_assumptions_market[Concrete Intensity
(m³ / sq m BUA)],"",0)</f>
        <v>0.42</v>
      </c>
      <c r="L2028" s="134">
        <f>ROUND(Market_Data[[#This Row],[Estimated Built Up Area (sq m)]]*Market_Data[[#This Row],[Concrete Intensity
(m³ / sq m)]],0)</f>
        <v>1932</v>
      </c>
      <c r="M2028" s="135">
        <f>_xlfn.XLOOKUP(Market_Data[[#This Row],[District]],tbl_district_price[District],tbl_district_price[Standard Price
(INR/m³)],"",0)</f>
        <v>6200</v>
      </c>
      <c r="N2028" s="364">
        <f>IF(OR(Market_Data[[#This Row],[Estimated Concrete Demand (m³)]]="",Market_Data[[#This Row],[Avg Price per (₹ / m³)]]=""),"",Market_Data[[#This Row],[Estimated Concrete Demand (m³)]]*Market_Data[[#This Row],[Avg Price per (₹ / m³)]]/10000000)</f>
        <v>1.19784</v>
      </c>
      <c r="O2028" s="97" t="str">
        <f>IF(Market_Data[[#This Row],[Estimated Concrete Demand (m³)]]="","",
IF(Market_Data[[#This Row],[Estimated Concrete Demand (m³)]]&lt;10000,"Small",
IF(Market_Data[[#This Row],[Estimated Concrete Demand (m³)]]&lt;25000,"Medium",
IF(Market_Data[[#This Row],[Estimated Concrete Demand (m³)]]&lt;100000,"Large","Mega"))))</f>
        <v>Small</v>
      </c>
      <c r="P2028" s="287" t="str">
        <f t="shared" si="33"/>
        <v>GujRERA</v>
      </c>
    </row>
    <row r="2029" spans="1:16">
      <c r="A2029" s="129" t="str">
        <f>_xlfn.XLOOKUP(B2029,$S$9:$S$14,$T$9:$T$14)&amp;"-"&amp;
IF(E2029="Residential/Group Housing","RES",
IF(E2029="Commercial","COM",
IF(E2029="Mixed Development","MIX",
IF(E2029="Plotted Development","PLT","OTH"))))
&amp;"-"&amp;TEXT(COUNTIFS($B$9:B2029,B2029,$E$9:E2029,E2029),"0000")</f>
        <v>SUR-MIX-0339</v>
      </c>
      <c r="B2029" s="322" t="s">
        <v>34</v>
      </c>
      <c r="C2029" s="322" t="s">
        <v>34</v>
      </c>
      <c r="D2029" s="323" t="s">
        <v>2219</v>
      </c>
      <c r="E2029" s="132" t="s">
        <v>25</v>
      </c>
      <c r="F2029" s="97" t="str">
        <f ca="1">IF(OR(Market_Data[[#This Row],[Start Date]]="",Market_Data[[#This Row],[Completion Date]]=""),"Needs Validation",IF(Market_Data[[#This Row],[Start Date]]&gt;TODAY(),"Planned",IF(Market_Data[[#This Row],[Completion Date]]&lt;TODAY(),"Completed","Ongoing")))</f>
        <v>Completed</v>
      </c>
      <c r="G2029" s="324">
        <v>43867</v>
      </c>
      <c r="H2029" s="324">
        <v>46111</v>
      </c>
      <c r="I2029" s="325">
        <v>58800</v>
      </c>
      <c r="J202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29" s="133">
        <f>_xlfn.XLOOKUP(Market_Data[[#This Row],[Project Type]],tbl_assumptions_market[Project Category (RERA)],tbl_assumptions_market[Concrete Intensity
(m³ / sq m BUA)],"",0)</f>
        <v>0.42</v>
      </c>
      <c r="L2029" s="134">
        <f>ROUND(Market_Data[[#This Row],[Estimated Built Up Area (sq m)]]*Market_Data[[#This Row],[Concrete Intensity
(m³ / sq m)]],0)</f>
        <v>24696</v>
      </c>
      <c r="M2029" s="135">
        <f>_xlfn.XLOOKUP(Market_Data[[#This Row],[District]],tbl_district_price[District],tbl_district_price[Standard Price
(INR/m³)],"",0)</f>
        <v>6200</v>
      </c>
      <c r="N2029" s="364">
        <f>IF(OR(Market_Data[[#This Row],[Estimated Concrete Demand (m³)]]="",Market_Data[[#This Row],[Avg Price per (₹ / m³)]]=""),"",Market_Data[[#This Row],[Estimated Concrete Demand (m³)]]*Market_Data[[#This Row],[Avg Price per (₹ / m³)]]/10000000)</f>
        <v>15.31152</v>
      </c>
      <c r="O2029" s="97" t="str">
        <f>IF(Market_Data[[#This Row],[Estimated Concrete Demand (m³)]]="","",
IF(Market_Data[[#This Row],[Estimated Concrete Demand (m³)]]&lt;10000,"Small",
IF(Market_Data[[#This Row],[Estimated Concrete Demand (m³)]]&lt;25000,"Medium",
IF(Market_Data[[#This Row],[Estimated Concrete Demand (m³)]]&lt;100000,"Large","Mega"))))</f>
        <v>Medium</v>
      </c>
      <c r="P2029" s="287" t="str">
        <f t="shared" si="33"/>
        <v>GujRERA</v>
      </c>
    </row>
    <row r="2030" spans="1:16">
      <c r="A2030" s="129" t="str">
        <f>_xlfn.XLOOKUP(B2030,$S$9:$S$14,$T$9:$T$14)&amp;"-"&amp;
IF(E2030="Residential/Group Housing","RES",
IF(E2030="Commercial","COM",
IF(E2030="Mixed Development","MIX",
IF(E2030="Plotted Development","PLT","OTH"))))
&amp;"-"&amp;TEXT(COUNTIFS($B$9:B2030,B2030,$E$9:E2030,E2030),"0000")</f>
        <v>SUR-RES-0668</v>
      </c>
      <c r="B2030" s="322" t="s">
        <v>34</v>
      </c>
      <c r="C2030" s="322" t="s">
        <v>34</v>
      </c>
      <c r="D2030" s="323" t="s">
        <v>2220</v>
      </c>
      <c r="E2030" s="132" t="s">
        <v>24</v>
      </c>
      <c r="F2030" s="97" t="str">
        <f ca="1">IF(OR(Market_Data[[#This Row],[Start Date]]="",Market_Data[[#This Row],[Completion Date]]=""),"Needs Validation",IF(Market_Data[[#This Row],[Start Date]]&gt;TODAY(),"Planned",IF(Market_Data[[#This Row],[Completion Date]]&lt;TODAY(),"Completed","Ongoing")))</f>
        <v>Ongoing</v>
      </c>
      <c r="G2030" s="324">
        <v>44958</v>
      </c>
      <c r="H2030" s="324">
        <v>46843</v>
      </c>
      <c r="I2030" s="325">
        <v>13400</v>
      </c>
      <c r="J203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30" s="133">
        <f>_xlfn.XLOOKUP(Market_Data[[#This Row],[Project Type]],tbl_assumptions_market[Project Category (RERA)],tbl_assumptions_market[Concrete Intensity
(m³ / sq m BUA)],"",0)</f>
        <v>0.45</v>
      </c>
      <c r="L2030" s="134">
        <f>ROUND(Market_Data[[#This Row],[Estimated Built Up Area (sq m)]]*Market_Data[[#This Row],[Concrete Intensity
(m³ / sq m)]],0)</f>
        <v>6030</v>
      </c>
      <c r="M2030" s="135">
        <f>_xlfn.XLOOKUP(Market_Data[[#This Row],[District]],tbl_district_price[District],tbl_district_price[Standard Price
(INR/m³)],"",0)</f>
        <v>6200</v>
      </c>
      <c r="N2030" s="364">
        <f>IF(OR(Market_Data[[#This Row],[Estimated Concrete Demand (m³)]]="",Market_Data[[#This Row],[Avg Price per (₹ / m³)]]=""),"",Market_Data[[#This Row],[Estimated Concrete Demand (m³)]]*Market_Data[[#This Row],[Avg Price per (₹ / m³)]]/10000000)</f>
        <v>3.7385999999999999</v>
      </c>
      <c r="O2030" s="97" t="str">
        <f>IF(Market_Data[[#This Row],[Estimated Concrete Demand (m³)]]="","",
IF(Market_Data[[#This Row],[Estimated Concrete Demand (m³)]]&lt;10000,"Small",
IF(Market_Data[[#This Row],[Estimated Concrete Demand (m³)]]&lt;25000,"Medium",
IF(Market_Data[[#This Row],[Estimated Concrete Demand (m³)]]&lt;100000,"Large","Mega"))))</f>
        <v>Small</v>
      </c>
      <c r="P2030" s="287" t="str">
        <f t="shared" si="33"/>
        <v>GujRERA</v>
      </c>
    </row>
    <row r="2031" spans="1:16">
      <c r="A2031" s="129" t="str">
        <f>_xlfn.XLOOKUP(B2031,$S$9:$S$14,$T$9:$T$14)&amp;"-"&amp;
IF(E2031="Residential/Group Housing","RES",
IF(E2031="Commercial","COM",
IF(E2031="Mixed Development","MIX",
IF(E2031="Plotted Development","PLT","OTH"))))
&amp;"-"&amp;TEXT(COUNTIFS($B$9:B2031,B2031,$E$9:E2031,E2031),"0000")</f>
        <v>SUR-MIX-0340</v>
      </c>
      <c r="B2031" s="322" t="s">
        <v>34</v>
      </c>
      <c r="C2031" s="322" t="s">
        <v>34</v>
      </c>
      <c r="D2031" s="323" t="s">
        <v>2221</v>
      </c>
      <c r="E2031" s="132" t="s">
        <v>25</v>
      </c>
      <c r="F2031" s="97" t="str">
        <f ca="1">IF(OR(Market_Data[[#This Row],[Start Date]]="",Market_Data[[#This Row],[Completion Date]]=""),"Needs Validation",IF(Market_Data[[#This Row],[Start Date]]&gt;TODAY(),"Planned",IF(Market_Data[[#This Row],[Completion Date]]&lt;TODAY(),"Completed","Ongoing")))</f>
        <v>Ongoing</v>
      </c>
      <c r="G2031" s="324">
        <v>45009</v>
      </c>
      <c r="H2031" s="324">
        <v>47118</v>
      </c>
      <c r="I2031" s="325">
        <v>23100</v>
      </c>
      <c r="J203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31" s="133">
        <f>_xlfn.XLOOKUP(Market_Data[[#This Row],[Project Type]],tbl_assumptions_market[Project Category (RERA)],tbl_assumptions_market[Concrete Intensity
(m³ / sq m BUA)],"",0)</f>
        <v>0.42</v>
      </c>
      <c r="L2031" s="134">
        <f>ROUND(Market_Data[[#This Row],[Estimated Built Up Area (sq m)]]*Market_Data[[#This Row],[Concrete Intensity
(m³ / sq m)]],0)</f>
        <v>9702</v>
      </c>
      <c r="M2031" s="135">
        <f>_xlfn.XLOOKUP(Market_Data[[#This Row],[District]],tbl_district_price[District],tbl_district_price[Standard Price
(INR/m³)],"",0)</f>
        <v>6200</v>
      </c>
      <c r="N2031" s="364">
        <f>IF(OR(Market_Data[[#This Row],[Estimated Concrete Demand (m³)]]="",Market_Data[[#This Row],[Avg Price per (₹ / m³)]]=""),"",Market_Data[[#This Row],[Estimated Concrete Demand (m³)]]*Market_Data[[#This Row],[Avg Price per (₹ / m³)]]/10000000)</f>
        <v>6.0152400000000004</v>
      </c>
      <c r="O2031" s="97" t="str">
        <f>IF(Market_Data[[#This Row],[Estimated Concrete Demand (m³)]]="","",
IF(Market_Data[[#This Row],[Estimated Concrete Demand (m³)]]&lt;10000,"Small",
IF(Market_Data[[#This Row],[Estimated Concrete Demand (m³)]]&lt;25000,"Medium",
IF(Market_Data[[#This Row],[Estimated Concrete Demand (m³)]]&lt;100000,"Large","Mega"))))</f>
        <v>Small</v>
      </c>
      <c r="P2031" s="287" t="str">
        <f t="shared" si="33"/>
        <v>GujRERA</v>
      </c>
    </row>
    <row r="2032" spans="1:16">
      <c r="A2032" s="129" t="str">
        <f>_xlfn.XLOOKUP(B2032,$S$9:$S$14,$T$9:$T$14)&amp;"-"&amp;
IF(E2032="Residential/Group Housing","RES",
IF(E2032="Commercial","COM",
IF(E2032="Mixed Development","MIX",
IF(E2032="Plotted Development","PLT","OTH"))))
&amp;"-"&amp;TEXT(COUNTIFS($B$9:B2032,B2032,$E$9:E2032,E2032),"0000")</f>
        <v>SUR-PLT-0389</v>
      </c>
      <c r="B2032" s="322" t="s">
        <v>34</v>
      </c>
      <c r="C2032" s="322" t="s">
        <v>34</v>
      </c>
      <c r="D2032" s="323" t="s">
        <v>2222</v>
      </c>
      <c r="E2032" s="132" t="s">
        <v>26</v>
      </c>
      <c r="F2032" s="97" t="str">
        <f ca="1">IF(OR(Market_Data[[#This Row],[Start Date]]="",Market_Data[[#This Row],[Completion Date]]=""),"Needs Validation",IF(Market_Data[[#This Row],[Start Date]]&gt;TODAY(),"Planned",IF(Market_Data[[#This Row],[Completion Date]]&lt;TODAY(),"Completed","Ongoing")))</f>
        <v>Ongoing</v>
      </c>
      <c r="G2032" s="324">
        <v>45717</v>
      </c>
      <c r="H2032" s="324">
        <v>47057</v>
      </c>
      <c r="I2032" s="325">
        <v>3600</v>
      </c>
      <c r="J203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32" s="133">
        <f>_xlfn.XLOOKUP(Market_Data[[#This Row],[Project Type]],tbl_assumptions_market[Project Category (RERA)],tbl_assumptions_market[Concrete Intensity
(m³ / sq m BUA)],"",0)</f>
        <v>0.18</v>
      </c>
      <c r="L2032" s="134">
        <f>ROUND(Market_Data[[#This Row],[Estimated Built Up Area (sq m)]]*Market_Data[[#This Row],[Concrete Intensity
(m³ / sq m)]],0)</f>
        <v>648</v>
      </c>
      <c r="M2032" s="135">
        <f>_xlfn.XLOOKUP(Market_Data[[#This Row],[District]],tbl_district_price[District],tbl_district_price[Standard Price
(INR/m³)],"",0)</f>
        <v>6200</v>
      </c>
      <c r="N2032" s="364">
        <f>IF(OR(Market_Data[[#This Row],[Estimated Concrete Demand (m³)]]="",Market_Data[[#This Row],[Avg Price per (₹ / m³)]]=""),"",Market_Data[[#This Row],[Estimated Concrete Demand (m³)]]*Market_Data[[#This Row],[Avg Price per (₹ / m³)]]/10000000)</f>
        <v>0.40176000000000001</v>
      </c>
      <c r="O2032" s="97" t="str">
        <f>IF(Market_Data[[#This Row],[Estimated Concrete Demand (m³)]]="","",
IF(Market_Data[[#This Row],[Estimated Concrete Demand (m³)]]&lt;10000,"Small",
IF(Market_Data[[#This Row],[Estimated Concrete Demand (m³)]]&lt;25000,"Medium",
IF(Market_Data[[#This Row],[Estimated Concrete Demand (m³)]]&lt;100000,"Large","Mega"))))</f>
        <v>Small</v>
      </c>
      <c r="P2032" s="287" t="str">
        <f t="shared" si="33"/>
        <v>GujRERA</v>
      </c>
    </row>
    <row r="2033" spans="1:16">
      <c r="A2033" s="129" t="str">
        <f>_xlfn.XLOOKUP(B2033,$S$9:$S$14,$T$9:$T$14)&amp;"-"&amp;
IF(E2033="Residential/Group Housing","RES",
IF(E2033="Commercial","COM",
IF(E2033="Mixed Development","MIX",
IF(E2033="Plotted Development","PLT","OTH"))))
&amp;"-"&amp;TEXT(COUNTIFS($B$9:B2033,B2033,$E$9:E2033,E2033),"0000")</f>
        <v>SUR-RES-0669</v>
      </c>
      <c r="B2033" s="322" t="s">
        <v>34</v>
      </c>
      <c r="C2033" s="322" t="s">
        <v>34</v>
      </c>
      <c r="D2033" s="323" t="s">
        <v>2223</v>
      </c>
      <c r="E2033" s="132" t="s">
        <v>24</v>
      </c>
      <c r="F2033" s="97" t="str">
        <f ca="1">IF(OR(Market_Data[[#This Row],[Start Date]]="",Market_Data[[#This Row],[Completion Date]]=""),"Needs Validation",IF(Market_Data[[#This Row],[Start Date]]&gt;TODAY(),"Planned",IF(Market_Data[[#This Row],[Completion Date]]&lt;TODAY(),"Completed","Ongoing")))</f>
        <v>Ongoing</v>
      </c>
      <c r="G2033" s="324">
        <v>45658</v>
      </c>
      <c r="H2033" s="324">
        <v>46934</v>
      </c>
      <c r="I2033" s="325">
        <v>43300</v>
      </c>
      <c r="J203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33" s="133">
        <f>_xlfn.XLOOKUP(Market_Data[[#This Row],[Project Type]],tbl_assumptions_market[Project Category (RERA)],tbl_assumptions_market[Concrete Intensity
(m³ / sq m BUA)],"",0)</f>
        <v>0.45</v>
      </c>
      <c r="L2033" s="134">
        <f>ROUND(Market_Data[[#This Row],[Estimated Built Up Area (sq m)]]*Market_Data[[#This Row],[Concrete Intensity
(m³ / sq m)]],0)</f>
        <v>19485</v>
      </c>
      <c r="M2033" s="135">
        <f>_xlfn.XLOOKUP(Market_Data[[#This Row],[District]],tbl_district_price[District],tbl_district_price[Standard Price
(INR/m³)],"",0)</f>
        <v>6200</v>
      </c>
      <c r="N2033" s="364">
        <f>IF(OR(Market_Data[[#This Row],[Estimated Concrete Demand (m³)]]="",Market_Data[[#This Row],[Avg Price per (₹ / m³)]]=""),"",Market_Data[[#This Row],[Estimated Concrete Demand (m³)]]*Market_Data[[#This Row],[Avg Price per (₹ / m³)]]/10000000)</f>
        <v>12.0807</v>
      </c>
      <c r="O2033" s="97" t="str">
        <f>IF(Market_Data[[#This Row],[Estimated Concrete Demand (m³)]]="","",
IF(Market_Data[[#This Row],[Estimated Concrete Demand (m³)]]&lt;10000,"Small",
IF(Market_Data[[#This Row],[Estimated Concrete Demand (m³)]]&lt;25000,"Medium",
IF(Market_Data[[#This Row],[Estimated Concrete Demand (m³)]]&lt;100000,"Large","Mega"))))</f>
        <v>Medium</v>
      </c>
      <c r="P2033" s="287" t="str">
        <f t="shared" si="33"/>
        <v>GujRERA</v>
      </c>
    </row>
    <row r="2034" spans="1:16">
      <c r="A2034" s="129" t="str">
        <f>_xlfn.XLOOKUP(B2034,$S$9:$S$14,$T$9:$T$14)&amp;"-"&amp;
IF(E2034="Residential/Group Housing","RES",
IF(E2034="Commercial","COM",
IF(E2034="Mixed Development","MIX",
IF(E2034="Plotted Development","PLT","OTH"))))
&amp;"-"&amp;TEXT(COUNTIFS($B$9:B2034,B2034,$E$9:E2034,E2034),"0000")</f>
        <v>SUR-MIX-0341</v>
      </c>
      <c r="B2034" s="322" t="s">
        <v>34</v>
      </c>
      <c r="C2034" s="322" t="s">
        <v>34</v>
      </c>
      <c r="D2034" s="323" t="s">
        <v>2224</v>
      </c>
      <c r="E2034" s="132" t="s">
        <v>25</v>
      </c>
      <c r="F2034" s="97" t="str">
        <f ca="1">IF(OR(Market_Data[[#This Row],[Start Date]]="",Market_Data[[#This Row],[Completion Date]]=""),"Needs Validation",IF(Market_Data[[#This Row],[Start Date]]&gt;TODAY(),"Planned",IF(Market_Data[[#This Row],[Completion Date]]&lt;TODAY(),"Completed","Ongoing")))</f>
        <v>Ongoing</v>
      </c>
      <c r="G2034" s="324">
        <v>45467</v>
      </c>
      <c r="H2034" s="324">
        <v>47057</v>
      </c>
      <c r="I2034" s="325">
        <v>32600</v>
      </c>
      <c r="J203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34" s="133">
        <f>_xlfn.XLOOKUP(Market_Data[[#This Row],[Project Type]],tbl_assumptions_market[Project Category (RERA)],tbl_assumptions_market[Concrete Intensity
(m³ / sq m BUA)],"",0)</f>
        <v>0.42</v>
      </c>
      <c r="L2034" s="134">
        <f>ROUND(Market_Data[[#This Row],[Estimated Built Up Area (sq m)]]*Market_Data[[#This Row],[Concrete Intensity
(m³ / sq m)]],0)</f>
        <v>13692</v>
      </c>
      <c r="M2034" s="135">
        <f>_xlfn.XLOOKUP(Market_Data[[#This Row],[District]],tbl_district_price[District],tbl_district_price[Standard Price
(INR/m³)],"",0)</f>
        <v>6200</v>
      </c>
      <c r="N2034" s="364">
        <f>IF(OR(Market_Data[[#This Row],[Estimated Concrete Demand (m³)]]="",Market_Data[[#This Row],[Avg Price per (₹ / m³)]]=""),"",Market_Data[[#This Row],[Estimated Concrete Demand (m³)]]*Market_Data[[#This Row],[Avg Price per (₹ / m³)]]/10000000)</f>
        <v>8.4890399999999993</v>
      </c>
      <c r="O2034" s="97" t="str">
        <f>IF(Market_Data[[#This Row],[Estimated Concrete Demand (m³)]]="","",
IF(Market_Data[[#This Row],[Estimated Concrete Demand (m³)]]&lt;10000,"Small",
IF(Market_Data[[#This Row],[Estimated Concrete Demand (m³)]]&lt;25000,"Medium",
IF(Market_Data[[#This Row],[Estimated Concrete Demand (m³)]]&lt;100000,"Large","Mega"))))</f>
        <v>Medium</v>
      </c>
      <c r="P2034" s="287" t="str">
        <f t="shared" si="33"/>
        <v>GujRERA</v>
      </c>
    </row>
    <row r="2035" spans="1:16">
      <c r="A2035" s="129" t="str">
        <f>_xlfn.XLOOKUP(B2035,$S$9:$S$14,$T$9:$T$14)&amp;"-"&amp;
IF(E2035="Residential/Group Housing","RES",
IF(E2035="Commercial","COM",
IF(E2035="Mixed Development","MIX",
IF(E2035="Plotted Development","PLT","OTH"))))
&amp;"-"&amp;TEXT(COUNTIFS($B$9:B2035,B2035,$E$9:E2035,E2035),"0000")</f>
        <v>SUR-PLT-0390</v>
      </c>
      <c r="B2035" s="322" t="s">
        <v>34</v>
      </c>
      <c r="C2035" s="322" t="s">
        <v>34</v>
      </c>
      <c r="D2035" s="323" t="s">
        <v>2225</v>
      </c>
      <c r="E2035" s="132" t="s">
        <v>26</v>
      </c>
      <c r="F2035" s="97" t="str">
        <f ca="1">IF(OR(Market_Data[[#This Row],[Start Date]]="",Market_Data[[#This Row],[Completion Date]]=""),"Needs Validation",IF(Market_Data[[#This Row],[Start Date]]&gt;TODAY(),"Planned",IF(Market_Data[[#This Row],[Completion Date]]&lt;TODAY(),"Completed","Ongoing")))</f>
        <v>Completed</v>
      </c>
      <c r="G2035" s="324">
        <v>44383</v>
      </c>
      <c r="H2035" s="324">
        <v>45838</v>
      </c>
      <c r="I2035" s="325">
        <v>47900</v>
      </c>
      <c r="J203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035" s="133">
        <f>_xlfn.XLOOKUP(Market_Data[[#This Row],[Project Type]],tbl_assumptions_market[Project Category (RERA)],tbl_assumptions_market[Concrete Intensity
(m³ / sq m BUA)],"",0)</f>
        <v>0.18</v>
      </c>
      <c r="L2035" s="134">
        <f>ROUND(Market_Data[[#This Row],[Estimated Built Up Area (sq m)]]*Market_Data[[#This Row],[Concrete Intensity
(m³ / sq m)]],0)</f>
        <v>8622</v>
      </c>
      <c r="M2035" s="135">
        <f>_xlfn.XLOOKUP(Market_Data[[#This Row],[District]],tbl_district_price[District],tbl_district_price[Standard Price
(INR/m³)],"",0)</f>
        <v>6200</v>
      </c>
      <c r="N2035" s="364">
        <f>IF(OR(Market_Data[[#This Row],[Estimated Concrete Demand (m³)]]="",Market_Data[[#This Row],[Avg Price per (₹ / m³)]]=""),"",Market_Data[[#This Row],[Estimated Concrete Demand (m³)]]*Market_Data[[#This Row],[Avg Price per (₹ / m³)]]/10000000)</f>
        <v>5.3456400000000004</v>
      </c>
      <c r="O2035" s="97" t="str">
        <f>IF(Market_Data[[#This Row],[Estimated Concrete Demand (m³)]]="","",
IF(Market_Data[[#This Row],[Estimated Concrete Demand (m³)]]&lt;10000,"Small",
IF(Market_Data[[#This Row],[Estimated Concrete Demand (m³)]]&lt;25000,"Medium",
IF(Market_Data[[#This Row],[Estimated Concrete Demand (m³)]]&lt;100000,"Large","Mega"))))</f>
        <v>Small</v>
      </c>
      <c r="P2035" s="287" t="str">
        <f t="shared" si="33"/>
        <v>GujRERA</v>
      </c>
    </row>
    <row r="2036" spans="1:16">
      <c r="A2036" s="129" t="str">
        <f>_xlfn.XLOOKUP(B2036,$S$9:$S$14,$T$9:$T$14)&amp;"-"&amp;
IF(E2036="Residential/Group Housing","RES",
IF(E2036="Commercial","COM",
IF(E2036="Mixed Development","MIX",
IF(E2036="Plotted Development","PLT","OTH"))))
&amp;"-"&amp;TEXT(COUNTIFS($B$9:B2036,B2036,$E$9:E2036,E2036),"0000")</f>
        <v>SUR-MIX-0342</v>
      </c>
      <c r="B2036" s="322" t="s">
        <v>34</v>
      </c>
      <c r="C2036" s="322" t="s">
        <v>34</v>
      </c>
      <c r="D2036" s="323" t="s">
        <v>2226</v>
      </c>
      <c r="E2036" s="132" t="s">
        <v>25</v>
      </c>
      <c r="F2036" s="97" t="str">
        <f ca="1">IF(OR(Market_Data[[#This Row],[Start Date]]="",Market_Data[[#This Row],[Completion Date]]=""),"Needs Validation",IF(Market_Data[[#This Row],[Start Date]]&gt;TODAY(),"Planned",IF(Market_Data[[#This Row],[Completion Date]]&lt;TODAY(),"Completed","Ongoing")))</f>
        <v>Completed</v>
      </c>
      <c r="G2036" s="324">
        <v>42736</v>
      </c>
      <c r="H2036" s="324">
        <v>43830</v>
      </c>
      <c r="I2036" s="325">
        <v>49800</v>
      </c>
      <c r="J203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36" s="133">
        <f>_xlfn.XLOOKUP(Market_Data[[#This Row],[Project Type]],tbl_assumptions_market[Project Category (RERA)],tbl_assumptions_market[Concrete Intensity
(m³ / sq m BUA)],"",0)</f>
        <v>0.42</v>
      </c>
      <c r="L2036" s="134">
        <f>ROUND(Market_Data[[#This Row],[Estimated Built Up Area (sq m)]]*Market_Data[[#This Row],[Concrete Intensity
(m³ / sq m)]],0)</f>
        <v>20916</v>
      </c>
      <c r="M2036" s="135">
        <f>_xlfn.XLOOKUP(Market_Data[[#This Row],[District]],tbl_district_price[District],tbl_district_price[Standard Price
(INR/m³)],"",0)</f>
        <v>6200</v>
      </c>
      <c r="N2036" s="364">
        <f>IF(OR(Market_Data[[#This Row],[Estimated Concrete Demand (m³)]]="",Market_Data[[#This Row],[Avg Price per (₹ / m³)]]=""),"",Market_Data[[#This Row],[Estimated Concrete Demand (m³)]]*Market_Data[[#This Row],[Avg Price per (₹ / m³)]]/10000000)</f>
        <v>12.967919999999999</v>
      </c>
      <c r="O2036" s="97" t="str">
        <f>IF(Market_Data[[#This Row],[Estimated Concrete Demand (m³)]]="","",
IF(Market_Data[[#This Row],[Estimated Concrete Demand (m³)]]&lt;10000,"Small",
IF(Market_Data[[#This Row],[Estimated Concrete Demand (m³)]]&lt;25000,"Medium",
IF(Market_Data[[#This Row],[Estimated Concrete Demand (m³)]]&lt;100000,"Large","Mega"))))</f>
        <v>Medium</v>
      </c>
      <c r="P2036" s="287" t="str">
        <f t="shared" si="33"/>
        <v>GujRERA</v>
      </c>
    </row>
    <row r="2037" spans="1:16">
      <c r="A2037" s="129" t="str">
        <f>_xlfn.XLOOKUP(B2037,$S$9:$S$14,$T$9:$T$14)&amp;"-"&amp;
IF(E2037="Residential/Group Housing","RES",
IF(E2037="Commercial","COM",
IF(E2037="Mixed Development","MIX",
IF(E2037="Plotted Development","PLT","OTH"))))
&amp;"-"&amp;TEXT(COUNTIFS($B$9:B2037,B2037,$E$9:E2037,E2037),"0000")</f>
        <v>SUR-COM-0318</v>
      </c>
      <c r="B2037" s="322" t="s">
        <v>34</v>
      </c>
      <c r="C2037" s="322" t="s">
        <v>34</v>
      </c>
      <c r="D2037" s="323" t="s">
        <v>2227</v>
      </c>
      <c r="E2037" s="132" t="s">
        <v>23</v>
      </c>
      <c r="F2037" s="97" t="str">
        <f ca="1">IF(OR(Market_Data[[#This Row],[Start Date]]="",Market_Data[[#This Row],[Completion Date]]=""),"Needs Validation",IF(Market_Data[[#This Row],[Start Date]]&gt;TODAY(),"Planned",IF(Market_Data[[#This Row],[Completion Date]]&lt;TODAY(),"Completed","Ongoing")))</f>
        <v>Completed</v>
      </c>
      <c r="G2037" s="324">
        <v>43586</v>
      </c>
      <c r="H2037" s="324">
        <v>45107</v>
      </c>
      <c r="I2037" s="325">
        <v>18600</v>
      </c>
      <c r="J203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37" s="133">
        <f>_xlfn.XLOOKUP(Market_Data[[#This Row],[Project Type]],tbl_assumptions_market[Project Category (RERA)],tbl_assumptions_market[Concrete Intensity
(m³ / sq m BUA)],"",0)</f>
        <v>0.5</v>
      </c>
      <c r="L2037" s="134">
        <f>ROUND(Market_Data[[#This Row],[Estimated Built Up Area (sq m)]]*Market_Data[[#This Row],[Concrete Intensity
(m³ / sq m)]],0)</f>
        <v>9300</v>
      </c>
      <c r="M2037" s="135">
        <f>_xlfn.XLOOKUP(Market_Data[[#This Row],[District]],tbl_district_price[District],tbl_district_price[Standard Price
(INR/m³)],"",0)</f>
        <v>6200</v>
      </c>
      <c r="N2037" s="364">
        <f>IF(OR(Market_Data[[#This Row],[Estimated Concrete Demand (m³)]]="",Market_Data[[#This Row],[Avg Price per (₹ / m³)]]=""),"",Market_Data[[#This Row],[Estimated Concrete Demand (m³)]]*Market_Data[[#This Row],[Avg Price per (₹ / m³)]]/10000000)</f>
        <v>5.766</v>
      </c>
      <c r="O2037" s="97" t="str">
        <f>IF(Market_Data[[#This Row],[Estimated Concrete Demand (m³)]]="","",
IF(Market_Data[[#This Row],[Estimated Concrete Demand (m³)]]&lt;10000,"Small",
IF(Market_Data[[#This Row],[Estimated Concrete Demand (m³)]]&lt;25000,"Medium",
IF(Market_Data[[#This Row],[Estimated Concrete Demand (m³)]]&lt;100000,"Large","Mega"))))</f>
        <v>Small</v>
      </c>
      <c r="P2037" s="287" t="str">
        <f t="shared" si="33"/>
        <v>GujRERA</v>
      </c>
    </row>
    <row r="2038" spans="1:16">
      <c r="A2038" s="129" t="str">
        <f>_xlfn.XLOOKUP(B2038,$S$9:$S$14,$T$9:$T$14)&amp;"-"&amp;
IF(E2038="Residential/Group Housing","RES",
IF(E2038="Commercial","COM",
IF(E2038="Mixed Development","MIX",
IF(E2038="Plotted Development","PLT","OTH"))))
&amp;"-"&amp;TEXT(COUNTIFS($B$9:B2038,B2038,$E$9:E2038,E2038),"0000")</f>
        <v>SUR-MIX-0343</v>
      </c>
      <c r="B2038" s="322" t="s">
        <v>34</v>
      </c>
      <c r="C2038" s="322" t="s">
        <v>34</v>
      </c>
      <c r="D2038" s="323" t="s">
        <v>2228</v>
      </c>
      <c r="E2038" s="132" t="s">
        <v>25</v>
      </c>
      <c r="F2038" s="97" t="str">
        <f ca="1">IF(OR(Market_Data[[#This Row],[Start Date]]="",Market_Data[[#This Row],[Completion Date]]=""),"Needs Validation",IF(Market_Data[[#This Row],[Start Date]]&gt;TODAY(),"Planned",IF(Market_Data[[#This Row],[Completion Date]]&lt;TODAY(),"Completed","Ongoing")))</f>
        <v>Completed</v>
      </c>
      <c r="G2038" s="324">
        <v>43831</v>
      </c>
      <c r="H2038" s="324">
        <v>45107</v>
      </c>
      <c r="I2038" s="325">
        <v>58800</v>
      </c>
      <c r="J203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38" s="133">
        <f>_xlfn.XLOOKUP(Market_Data[[#This Row],[Project Type]],tbl_assumptions_market[Project Category (RERA)],tbl_assumptions_market[Concrete Intensity
(m³ / sq m BUA)],"",0)</f>
        <v>0.42</v>
      </c>
      <c r="L2038" s="134">
        <f>ROUND(Market_Data[[#This Row],[Estimated Built Up Area (sq m)]]*Market_Data[[#This Row],[Concrete Intensity
(m³ / sq m)]],0)</f>
        <v>24696</v>
      </c>
      <c r="M2038" s="135">
        <f>_xlfn.XLOOKUP(Market_Data[[#This Row],[District]],tbl_district_price[District],tbl_district_price[Standard Price
(INR/m³)],"",0)</f>
        <v>6200</v>
      </c>
      <c r="N2038" s="364">
        <f>IF(OR(Market_Data[[#This Row],[Estimated Concrete Demand (m³)]]="",Market_Data[[#This Row],[Avg Price per (₹ / m³)]]=""),"",Market_Data[[#This Row],[Estimated Concrete Demand (m³)]]*Market_Data[[#This Row],[Avg Price per (₹ / m³)]]/10000000)</f>
        <v>15.31152</v>
      </c>
      <c r="O2038" s="97" t="str">
        <f>IF(Market_Data[[#This Row],[Estimated Concrete Demand (m³)]]="","",
IF(Market_Data[[#This Row],[Estimated Concrete Demand (m³)]]&lt;10000,"Small",
IF(Market_Data[[#This Row],[Estimated Concrete Demand (m³)]]&lt;25000,"Medium",
IF(Market_Data[[#This Row],[Estimated Concrete Demand (m³)]]&lt;100000,"Large","Mega"))))</f>
        <v>Medium</v>
      </c>
      <c r="P2038" s="287" t="str">
        <f t="shared" si="33"/>
        <v>GujRERA</v>
      </c>
    </row>
    <row r="2039" spans="1:16">
      <c r="A2039" s="129" t="str">
        <f>_xlfn.XLOOKUP(B2039,$S$9:$S$14,$T$9:$T$14)&amp;"-"&amp;
IF(E2039="Residential/Group Housing","RES",
IF(E2039="Commercial","COM",
IF(E2039="Mixed Development","MIX",
IF(E2039="Plotted Development","PLT","OTH"))))
&amp;"-"&amp;TEXT(COUNTIFS($B$9:B2039,B2039,$E$9:E2039,E2039),"0000")</f>
        <v>SUR-MIX-0344</v>
      </c>
      <c r="B2039" s="322" t="s">
        <v>34</v>
      </c>
      <c r="C2039" s="322" t="s">
        <v>34</v>
      </c>
      <c r="D2039" s="323" t="s">
        <v>2229</v>
      </c>
      <c r="E2039" s="132" t="s">
        <v>25</v>
      </c>
      <c r="F2039" s="97" t="str">
        <f ca="1">IF(OR(Market_Data[[#This Row],[Start Date]]="",Market_Data[[#This Row],[Completion Date]]=""),"Needs Validation",IF(Market_Data[[#This Row],[Start Date]]&gt;TODAY(),"Planned",IF(Market_Data[[#This Row],[Completion Date]]&lt;TODAY(),"Completed","Ongoing")))</f>
        <v>Completed</v>
      </c>
      <c r="G2039" s="324">
        <v>44866</v>
      </c>
      <c r="H2039" s="324">
        <v>45838</v>
      </c>
      <c r="I2039" s="325">
        <v>58700</v>
      </c>
      <c r="J203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39" s="133">
        <f>_xlfn.XLOOKUP(Market_Data[[#This Row],[Project Type]],tbl_assumptions_market[Project Category (RERA)],tbl_assumptions_market[Concrete Intensity
(m³ / sq m BUA)],"",0)</f>
        <v>0.42</v>
      </c>
      <c r="L2039" s="134">
        <f>ROUND(Market_Data[[#This Row],[Estimated Built Up Area (sq m)]]*Market_Data[[#This Row],[Concrete Intensity
(m³ / sq m)]],0)</f>
        <v>24654</v>
      </c>
      <c r="M2039" s="135">
        <f>_xlfn.XLOOKUP(Market_Data[[#This Row],[District]],tbl_district_price[District],tbl_district_price[Standard Price
(INR/m³)],"",0)</f>
        <v>6200</v>
      </c>
      <c r="N2039" s="364">
        <f>IF(OR(Market_Data[[#This Row],[Estimated Concrete Demand (m³)]]="",Market_Data[[#This Row],[Avg Price per (₹ / m³)]]=""),"",Market_Data[[#This Row],[Estimated Concrete Demand (m³)]]*Market_Data[[#This Row],[Avg Price per (₹ / m³)]]/10000000)</f>
        <v>15.28548</v>
      </c>
      <c r="O2039" s="97" t="str">
        <f>IF(Market_Data[[#This Row],[Estimated Concrete Demand (m³)]]="","",
IF(Market_Data[[#This Row],[Estimated Concrete Demand (m³)]]&lt;10000,"Small",
IF(Market_Data[[#This Row],[Estimated Concrete Demand (m³)]]&lt;25000,"Medium",
IF(Market_Data[[#This Row],[Estimated Concrete Demand (m³)]]&lt;100000,"Large","Mega"))))</f>
        <v>Medium</v>
      </c>
      <c r="P2039" s="287" t="str">
        <f t="shared" si="33"/>
        <v>GujRERA</v>
      </c>
    </row>
    <row r="2040" spans="1:16">
      <c r="A2040" s="129" t="str">
        <f>_xlfn.XLOOKUP(B2040,$S$9:$S$14,$T$9:$T$14)&amp;"-"&amp;
IF(E2040="Residential/Group Housing","RES",
IF(E2040="Commercial","COM",
IF(E2040="Mixed Development","MIX",
IF(E2040="Plotted Development","PLT","OTH"))))
&amp;"-"&amp;TEXT(COUNTIFS($B$9:B2040,B2040,$E$9:E2040,E2040),"0000")</f>
        <v>SUR-MIX-0345</v>
      </c>
      <c r="B2040" s="322" t="s">
        <v>34</v>
      </c>
      <c r="C2040" s="322" t="s">
        <v>34</v>
      </c>
      <c r="D2040" s="323" t="s">
        <v>2230</v>
      </c>
      <c r="E2040" s="132" t="s">
        <v>25</v>
      </c>
      <c r="F2040" s="97" t="str">
        <f ca="1">IF(OR(Market_Data[[#This Row],[Start Date]]="",Market_Data[[#This Row],[Completion Date]]=""),"Needs Validation",IF(Market_Data[[#This Row],[Start Date]]&gt;TODAY(),"Planned",IF(Market_Data[[#This Row],[Completion Date]]&lt;TODAY(),"Completed","Ongoing")))</f>
        <v>Completed</v>
      </c>
      <c r="G2040" s="324">
        <v>43313</v>
      </c>
      <c r="H2040" s="324">
        <v>44925</v>
      </c>
      <c r="I2040" s="325">
        <v>44800</v>
      </c>
      <c r="J204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40" s="133">
        <f>_xlfn.XLOOKUP(Market_Data[[#This Row],[Project Type]],tbl_assumptions_market[Project Category (RERA)],tbl_assumptions_market[Concrete Intensity
(m³ / sq m BUA)],"",0)</f>
        <v>0.42</v>
      </c>
      <c r="L2040" s="134">
        <f>ROUND(Market_Data[[#This Row],[Estimated Built Up Area (sq m)]]*Market_Data[[#This Row],[Concrete Intensity
(m³ / sq m)]],0)</f>
        <v>18816</v>
      </c>
      <c r="M2040" s="135">
        <f>_xlfn.XLOOKUP(Market_Data[[#This Row],[District]],tbl_district_price[District],tbl_district_price[Standard Price
(INR/m³)],"",0)</f>
        <v>6200</v>
      </c>
      <c r="N2040" s="364">
        <f>IF(OR(Market_Data[[#This Row],[Estimated Concrete Demand (m³)]]="",Market_Data[[#This Row],[Avg Price per (₹ / m³)]]=""),"",Market_Data[[#This Row],[Estimated Concrete Demand (m³)]]*Market_Data[[#This Row],[Avg Price per (₹ / m³)]]/10000000)</f>
        <v>11.66592</v>
      </c>
      <c r="O2040" s="97" t="str">
        <f>IF(Market_Data[[#This Row],[Estimated Concrete Demand (m³)]]="","",
IF(Market_Data[[#This Row],[Estimated Concrete Demand (m³)]]&lt;10000,"Small",
IF(Market_Data[[#This Row],[Estimated Concrete Demand (m³)]]&lt;25000,"Medium",
IF(Market_Data[[#This Row],[Estimated Concrete Demand (m³)]]&lt;100000,"Large","Mega"))))</f>
        <v>Medium</v>
      </c>
      <c r="P2040" s="287" t="str">
        <f t="shared" si="33"/>
        <v>GujRERA</v>
      </c>
    </row>
    <row r="2041" spans="1:16">
      <c r="A2041" s="129" t="str">
        <f>_xlfn.XLOOKUP(B2041,$S$9:$S$14,$T$9:$T$14)&amp;"-"&amp;
IF(E2041="Residential/Group Housing","RES",
IF(E2041="Commercial","COM",
IF(E2041="Mixed Development","MIX",
IF(E2041="Plotted Development","PLT","OTH"))))
&amp;"-"&amp;TEXT(COUNTIFS($B$9:B2041,B2041,$E$9:E2041,E2041),"0000")</f>
        <v>SUR-MIX-0346</v>
      </c>
      <c r="B2041" s="322" t="s">
        <v>34</v>
      </c>
      <c r="C2041" s="322" t="s">
        <v>34</v>
      </c>
      <c r="D2041" s="323" t="s">
        <v>2231</v>
      </c>
      <c r="E2041" s="132" t="s">
        <v>25</v>
      </c>
      <c r="F2041" s="97" t="str">
        <f ca="1">IF(OR(Market_Data[[#This Row],[Start Date]]="",Market_Data[[#This Row],[Completion Date]]=""),"Needs Validation",IF(Market_Data[[#This Row],[Start Date]]&gt;TODAY(),"Planned",IF(Market_Data[[#This Row],[Completion Date]]&lt;TODAY(),"Completed","Ongoing")))</f>
        <v>Ongoing</v>
      </c>
      <c r="G2041" s="324">
        <v>45870</v>
      </c>
      <c r="H2041" s="324">
        <v>47118</v>
      </c>
      <c r="I2041" s="325">
        <v>53500</v>
      </c>
      <c r="J204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41" s="133">
        <f>_xlfn.XLOOKUP(Market_Data[[#This Row],[Project Type]],tbl_assumptions_market[Project Category (RERA)],tbl_assumptions_market[Concrete Intensity
(m³ / sq m BUA)],"",0)</f>
        <v>0.42</v>
      </c>
      <c r="L2041" s="134">
        <f>ROUND(Market_Data[[#This Row],[Estimated Built Up Area (sq m)]]*Market_Data[[#This Row],[Concrete Intensity
(m³ / sq m)]],0)</f>
        <v>22470</v>
      </c>
      <c r="M2041" s="135">
        <f>_xlfn.XLOOKUP(Market_Data[[#This Row],[District]],tbl_district_price[District],tbl_district_price[Standard Price
(INR/m³)],"",0)</f>
        <v>6200</v>
      </c>
      <c r="N2041" s="364">
        <f>IF(OR(Market_Data[[#This Row],[Estimated Concrete Demand (m³)]]="",Market_Data[[#This Row],[Avg Price per (₹ / m³)]]=""),"",Market_Data[[#This Row],[Estimated Concrete Demand (m³)]]*Market_Data[[#This Row],[Avg Price per (₹ / m³)]]/10000000)</f>
        <v>13.9314</v>
      </c>
      <c r="O2041" s="97" t="str">
        <f>IF(Market_Data[[#This Row],[Estimated Concrete Demand (m³)]]="","",
IF(Market_Data[[#This Row],[Estimated Concrete Demand (m³)]]&lt;10000,"Small",
IF(Market_Data[[#This Row],[Estimated Concrete Demand (m³)]]&lt;25000,"Medium",
IF(Market_Data[[#This Row],[Estimated Concrete Demand (m³)]]&lt;100000,"Large","Mega"))))</f>
        <v>Medium</v>
      </c>
      <c r="P2041" s="287" t="str">
        <f t="shared" si="33"/>
        <v>GujRERA</v>
      </c>
    </row>
    <row r="2042" spans="1:16">
      <c r="A2042" s="129" t="str">
        <f>_xlfn.XLOOKUP(B2042,$S$9:$S$14,$T$9:$T$14)&amp;"-"&amp;
IF(E2042="Residential/Group Housing","RES",
IF(E2042="Commercial","COM",
IF(E2042="Mixed Development","MIX",
IF(E2042="Plotted Development","PLT","OTH"))))
&amp;"-"&amp;TEXT(COUNTIFS($B$9:B2042,B2042,$E$9:E2042,E2042),"0000")</f>
        <v>SUR-MIX-0347</v>
      </c>
      <c r="B2042" s="322" t="s">
        <v>34</v>
      </c>
      <c r="C2042" s="322" t="s">
        <v>34</v>
      </c>
      <c r="D2042" s="323" t="s">
        <v>2232</v>
      </c>
      <c r="E2042" s="132" t="s">
        <v>25</v>
      </c>
      <c r="F2042" s="97" t="str">
        <f ca="1">IF(OR(Market_Data[[#This Row],[Start Date]]="",Market_Data[[#This Row],[Completion Date]]=""),"Needs Validation",IF(Market_Data[[#This Row],[Start Date]]&gt;TODAY(),"Planned",IF(Market_Data[[#This Row],[Completion Date]]&lt;TODAY(),"Completed","Ongoing")))</f>
        <v>Ongoing</v>
      </c>
      <c r="G2042" s="324">
        <v>46082</v>
      </c>
      <c r="H2042" s="324">
        <v>47483</v>
      </c>
      <c r="I2042" s="325">
        <v>34400</v>
      </c>
      <c r="J204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42" s="133">
        <f>_xlfn.XLOOKUP(Market_Data[[#This Row],[Project Type]],tbl_assumptions_market[Project Category (RERA)],tbl_assumptions_market[Concrete Intensity
(m³ / sq m BUA)],"",0)</f>
        <v>0.42</v>
      </c>
      <c r="L2042" s="134">
        <f>ROUND(Market_Data[[#This Row],[Estimated Built Up Area (sq m)]]*Market_Data[[#This Row],[Concrete Intensity
(m³ / sq m)]],0)</f>
        <v>14448</v>
      </c>
      <c r="M2042" s="135">
        <f>_xlfn.XLOOKUP(Market_Data[[#This Row],[District]],tbl_district_price[District],tbl_district_price[Standard Price
(INR/m³)],"",0)</f>
        <v>6200</v>
      </c>
      <c r="N2042" s="364">
        <f>IF(OR(Market_Data[[#This Row],[Estimated Concrete Demand (m³)]]="",Market_Data[[#This Row],[Avg Price per (₹ / m³)]]=""),"",Market_Data[[#This Row],[Estimated Concrete Demand (m³)]]*Market_Data[[#This Row],[Avg Price per (₹ / m³)]]/10000000)</f>
        <v>8.9577600000000004</v>
      </c>
      <c r="O2042" s="97" t="str">
        <f>IF(Market_Data[[#This Row],[Estimated Concrete Demand (m³)]]="","",
IF(Market_Data[[#This Row],[Estimated Concrete Demand (m³)]]&lt;10000,"Small",
IF(Market_Data[[#This Row],[Estimated Concrete Demand (m³)]]&lt;25000,"Medium",
IF(Market_Data[[#This Row],[Estimated Concrete Demand (m³)]]&lt;100000,"Large","Mega"))))</f>
        <v>Medium</v>
      </c>
      <c r="P2042" s="287" t="str">
        <f t="shared" si="33"/>
        <v>GujRERA</v>
      </c>
    </row>
    <row r="2043" spans="1:16">
      <c r="A2043" s="129" t="str">
        <f>_xlfn.XLOOKUP(B2043,$S$9:$S$14,$T$9:$T$14)&amp;"-"&amp;
IF(E2043="Residential/Group Housing","RES",
IF(E2043="Commercial","COM",
IF(E2043="Mixed Development","MIX",
IF(E2043="Plotted Development","PLT","OTH"))))
&amp;"-"&amp;TEXT(COUNTIFS($B$9:B2043,B2043,$E$9:E2043,E2043),"0000")</f>
        <v>SUR-RES-0670</v>
      </c>
      <c r="B2043" s="322" t="s">
        <v>34</v>
      </c>
      <c r="C2043" s="322" t="s">
        <v>34</v>
      </c>
      <c r="D2043" s="323" t="s">
        <v>2233</v>
      </c>
      <c r="E2043" s="132" t="s">
        <v>24</v>
      </c>
      <c r="F2043" s="97" t="str">
        <f ca="1">IF(OR(Market_Data[[#This Row],[Start Date]]="",Market_Data[[#This Row],[Completion Date]]=""),"Needs Validation",IF(Market_Data[[#This Row],[Start Date]]&gt;TODAY(),"Planned",IF(Market_Data[[#This Row],[Completion Date]]&lt;TODAY(),"Completed","Ongoing")))</f>
        <v>Ongoing</v>
      </c>
      <c r="G2043" s="324">
        <v>44958</v>
      </c>
      <c r="H2043" s="324">
        <v>46568</v>
      </c>
      <c r="I2043" s="325">
        <v>58900</v>
      </c>
      <c r="J204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43" s="133">
        <f>_xlfn.XLOOKUP(Market_Data[[#This Row],[Project Type]],tbl_assumptions_market[Project Category (RERA)],tbl_assumptions_market[Concrete Intensity
(m³ / sq m BUA)],"",0)</f>
        <v>0.45</v>
      </c>
      <c r="L2043" s="134">
        <f>ROUND(Market_Data[[#This Row],[Estimated Built Up Area (sq m)]]*Market_Data[[#This Row],[Concrete Intensity
(m³ / sq m)]],0)</f>
        <v>26505</v>
      </c>
      <c r="M2043" s="135">
        <f>_xlfn.XLOOKUP(Market_Data[[#This Row],[District]],tbl_district_price[District],tbl_district_price[Standard Price
(INR/m³)],"",0)</f>
        <v>6200</v>
      </c>
      <c r="N2043" s="364">
        <f>IF(OR(Market_Data[[#This Row],[Estimated Concrete Demand (m³)]]="",Market_Data[[#This Row],[Avg Price per (₹ / m³)]]=""),"",Market_Data[[#This Row],[Estimated Concrete Demand (m³)]]*Market_Data[[#This Row],[Avg Price per (₹ / m³)]]/10000000)</f>
        <v>16.4331</v>
      </c>
      <c r="O2043" s="97" t="str">
        <f>IF(Market_Data[[#This Row],[Estimated Concrete Demand (m³)]]="","",
IF(Market_Data[[#This Row],[Estimated Concrete Demand (m³)]]&lt;10000,"Small",
IF(Market_Data[[#This Row],[Estimated Concrete Demand (m³)]]&lt;25000,"Medium",
IF(Market_Data[[#This Row],[Estimated Concrete Demand (m³)]]&lt;100000,"Large","Mega"))))</f>
        <v>Large</v>
      </c>
      <c r="P2043" s="287" t="str">
        <f t="shared" si="33"/>
        <v>GujRERA</v>
      </c>
    </row>
    <row r="2044" spans="1:16">
      <c r="A2044" s="129" t="str">
        <f>_xlfn.XLOOKUP(B2044,$S$9:$S$14,$T$9:$T$14)&amp;"-"&amp;
IF(E2044="Residential/Group Housing","RES",
IF(E2044="Commercial","COM",
IF(E2044="Mixed Development","MIX",
IF(E2044="Plotted Development","PLT","OTH"))))
&amp;"-"&amp;TEXT(COUNTIFS($B$9:B2044,B2044,$E$9:E2044,E2044),"0000")</f>
        <v>SUR-PLT-0391</v>
      </c>
      <c r="B2044" s="322" t="s">
        <v>34</v>
      </c>
      <c r="C2044" s="322" t="s">
        <v>34</v>
      </c>
      <c r="D2044" s="323" t="s">
        <v>2234</v>
      </c>
      <c r="E2044" s="132" t="s">
        <v>26</v>
      </c>
      <c r="F2044" s="97" t="str">
        <f ca="1">IF(OR(Market_Data[[#This Row],[Start Date]]="",Market_Data[[#This Row],[Completion Date]]=""),"Needs Validation",IF(Market_Data[[#This Row],[Start Date]]&gt;TODAY(),"Planned",IF(Market_Data[[#This Row],[Completion Date]]&lt;TODAY(),"Completed","Ongoing")))</f>
        <v>Completed</v>
      </c>
      <c r="G2044" s="324">
        <v>45078</v>
      </c>
      <c r="H2044" s="324">
        <v>45838</v>
      </c>
      <c r="I2044" s="325">
        <v>38900</v>
      </c>
      <c r="J204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044" s="133">
        <f>_xlfn.XLOOKUP(Market_Data[[#This Row],[Project Type]],tbl_assumptions_market[Project Category (RERA)],tbl_assumptions_market[Concrete Intensity
(m³ / sq m BUA)],"",0)</f>
        <v>0.18</v>
      </c>
      <c r="L2044" s="134">
        <f>ROUND(Market_Data[[#This Row],[Estimated Built Up Area (sq m)]]*Market_Data[[#This Row],[Concrete Intensity
(m³ / sq m)]],0)</f>
        <v>7002</v>
      </c>
      <c r="M2044" s="135">
        <f>_xlfn.XLOOKUP(Market_Data[[#This Row],[District]],tbl_district_price[District],tbl_district_price[Standard Price
(INR/m³)],"",0)</f>
        <v>6200</v>
      </c>
      <c r="N2044" s="364">
        <f>IF(OR(Market_Data[[#This Row],[Estimated Concrete Demand (m³)]]="",Market_Data[[#This Row],[Avg Price per (₹ / m³)]]=""),"",Market_Data[[#This Row],[Estimated Concrete Demand (m³)]]*Market_Data[[#This Row],[Avg Price per (₹ / m³)]]/10000000)</f>
        <v>4.34124</v>
      </c>
      <c r="O2044" s="97" t="str">
        <f>IF(Market_Data[[#This Row],[Estimated Concrete Demand (m³)]]="","",
IF(Market_Data[[#This Row],[Estimated Concrete Demand (m³)]]&lt;10000,"Small",
IF(Market_Data[[#This Row],[Estimated Concrete Demand (m³)]]&lt;25000,"Medium",
IF(Market_Data[[#This Row],[Estimated Concrete Demand (m³)]]&lt;100000,"Large","Mega"))))</f>
        <v>Small</v>
      </c>
      <c r="P2044" s="287" t="str">
        <f t="shared" si="33"/>
        <v>GujRERA</v>
      </c>
    </row>
    <row r="2045" spans="1:16">
      <c r="A2045" s="129" t="str">
        <f>_xlfn.XLOOKUP(B2045,$S$9:$S$14,$T$9:$T$14)&amp;"-"&amp;
IF(E2045="Residential/Group Housing","RES",
IF(E2045="Commercial","COM",
IF(E2045="Mixed Development","MIX",
IF(E2045="Plotted Development","PLT","OTH"))))
&amp;"-"&amp;TEXT(COUNTIFS($B$9:B2045,B2045,$E$9:E2045,E2045),"0000")</f>
        <v>SUR-COM-0319</v>
      </c>
      <c r="B2045" s="322" t="s">
        <v>34</v>
      </c>
      <c r="C2045" s="322" t="s">
        <v>34</v>
      </c>
      <c r="D2045" s="323" t="s">
        <v>2235</v>
      </c>
      <c r="E2045" s="132" t="s">
        <v>23</v>
      </c>
      <c r="F2045" s="97" t="str">
        <f ca="1">IF(OR(Market_Data[[#This Row],[Start Date]]="",Market_Data[[#This Row],[Completion Date]]=""),"Needs Validation",IF(Market_Data[[#This Row],[Start Date]]&gt;TODAY(),"Planned",IF(Market_Data[[#This Row],[Completion Date]]&lt;TODAY(),"Completed","Ongoing")))</f>
        <v>Ongoing</v>
      </c>
      <c r="G2045" s="324">
        <v>43447</v>
      </c>
      <c r="H2045" s="324">
        <v>46476</v>
      </c>
      <c r="I2045" s="325">
        <v>4800</v>
      </c>
      <c r="J204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45" s="133">
        <f>_xlfn.XLOOKUP(Market_Data[[#This Row],[Project Type]],tbl_assumptions_market[Project Category (RERA)],tbl_assumptions_market[Concrete Intensity
(m³ / sq m BUA)],"",0)</f>
        <v>0.5</v>
      </c>
      <c r="L2045" s="134">
        <f>ROUND(Market_Data[[#This Row],[Estimated Built Up Area (sq m)]]*Market_Data[[#This Row],[Concrete Intensity
(m³ / sq m)]],0)</f>
        <v>2400</v>
      </c>
      <c r="M2045" s="135">
        <f>_xlfn.XLOOKUP(Market_Data[[#This Row],[District]],tbl_district_price[District],tbl_district_price[Standard Price
(INR/m³)],"",0)</f>
        <v>6200</v>
      </c>
      <c r="N2045" s="364">
        <f>IF(OR(Market_Data[[#This Row],[Estimated Concrete Demand (m³)]]="",Market_Data[[#This Row],[Avg Price per (₹ / m³)]]=""),"",Market_Data[[#This Row],[Estimated Concrete Demand (m³)]]*Market_Data[[#This Row],[Avg Price per (₹ / m³)]]/10000000)</f>
        <v>1.488</v>
      </c>
      <c r="O2045" s="97" t="str">
        <f>IF(Market_Data[[#This Row],[Estimated Concrete Demand (m³)]]="","",
IF(Market_Data[[#This Row],[Estimated Concrete Demand (m³)]]&lt;10000,"Small",
IF(Market_Data[[#This Row],[Estimated Concrete Demand (m³)]]&lt;25000,"Medium",
IF(Market_Data[[#This Row],[Estimated Concrete Demand (m³)]]&lt;100000,"Large","Mega"))))</f>
        <v>Small</v>
      </c>
      <c r="P2045" s="287" t="str">
        <f t="shared" si="33"/>
        <v>GujRERA</v>
      </c>
    </row>
    <row r="2046" spans="1:16">
      <c r="A2046" s="129" t="str">
        <f>_xlfn.XLOOKUP(B2046,$S$9:$S$14,$T$9:$T$14)&amp;"-"&amp;
IF(E2046="Residential/Group Housing","RES",
IF(E2046="Commercial","COM",
IF(E2046="Mixed Development","MIX",
IF(E2046="Plotted Development","PLT","OTH"))))
&amp;"-"&amp;TEXT(COUNTIFS($B$9:B2046,B2046,$E$9:E2046,E2046),"0000")</f>
        <v>SUR-MIX-0348</v>
      </c>
      <c r="B2046" s="322" t="s">
        <v>34</v>
      </c>
      <c r="C2046" s="322" t="s">
        <v>34</v>
      </c>
      <c r="D2046" s="323" t="s">
        <v>2236</v>
      </c>
      <c r="E2046" s="132" t="s">
        <v>25</v>
      </c>
      <c r="F2046" s="97" t="str">
        <f ca="1">IF(OR(Market_Data[[#This Row],[Start Date]]="",Market_Data[[#This Row],[Completion Date]]=""),"Needs Validation",IF(Market_Data[[#This Row],[Start Date]]&gt;TODAY(),"Planned",IF(Market_Data[[#This Row],[Completion Date]]&lt;TODAY(),"Completed","Ongoing")))</f>
        <v>Ongoing</v>
      </c>
      <c r="G2046" s="324">
        <v>44499</v>
      </c>
      <c r="H2046" s="324">
        <v>46387</v>
      </c>
      <c r="I2046" s="325">
        <v>31600</v>
      </c>
      <c r="J204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46" s="133">
        <f>_xlfn.XLOOKUP(Market_Data[[#This Row],[Project Type]],tbl_assumptions_market[Project Category (RERA)],tbl_assumptions_market[Concrete Intensity
(m³ / sq m BUA)],"",0)</f>
        <v>0.42</v>
      </c>
      <c r="L2046" s="134">
        <f>ROUND(Market_Data[[#This Row],[Estimated Built Up Area (sq m)]]*Market_Data[[#This Row],[Concrete Intensity
(m³ / sq m)]],0)</f>
        <v>13272</v>
      </c>
      <c r="M2046" s="135">
        <f>_xlfn.XLOOKUP(Market_Data[[#This Row],[District]],tbl_district_price[District],tbl_district_price[Standard Price
(INR/m³)],"",0)</f>
        <v>6200</v>
      </c>
      <c r="N2046" s="364">
        <f>IF(OR(Market_Data[[#This Row],[Estimated Concrete Demand (m³)]]="",Market_Data[[#This Row],[Avg Price per (₹ / m³)]]=""),"",Market_Data[[#This Row],[Estimated Concrete Demand (m³)]]*Market_Data[[#This Row],[Avg Price per (₹ / m³)]]/10000000)</f>
        <v>8.2286400000000004</v>
      </c>
      <c r="O2046" s="97" t="str">
        <f>IF(Market_Data[[#This Row],[Estimated Concrete Demand (m³)]]="","",
IF(Market_Data[[#This Row],[Estimated Concrete Demand (m³)]]&lt;10000,"Small",
IF(Market_Data[[#This Row],[Estimated Concrete Demand (m³)]]&lt;25000,"Medium",
IF(Market_Data[[#This Row],[Estimated Concrete Demand (m³)]]&lt;100000,"Large","Mega"))))</f>
        <v>Medium</v>
      </c>
      <c r="P2046" s="287" t="str">
        <f t="shared" si="33"/>
        <v>GujRERA</v>
      </c>
    </row>
    <row r="2047" spans="1:16">
      <c r="A2047" s="129" t="str">
        <f>_xlfn.XLOOKUP(B2047,$S$9:$S$14,$T$9:$T$14)&amp;"-"&amp;
IF(E2047="Residential/Group Housing","RES",
IF(E2047="Commercial","COM",
IF(E2047="Mixed Development","MIX",
IF(E2047="Plotted Development","PLT","OTH"))))
&amp;"-"&amp;TEXT(COUNTIFS($B$9:B2047,B2047,$E$9:E2047,E2047),"0000")</f>
        <v>SUR-COM-0320</v>
      </c>
      <c r="B2047" s="322" t="s">
        <v>34</v>
      </c>
      <c r="C2047" s="322" t="s">
        <v>34</v>
      </c>
      <c r="D2047" s="323" t="s">
        <v>2237</v>
      </c>
      <c r="E2047" s="132" t="s">
        <v>23</v>
      </c>
      <c r="F2047" s="97" t="str">
        <f ca="1">IF(OR(Market_Data[[#This Row],[Start Date]]="",Market_Data[[#This Row],[Completion Date]]=""),"Needs Validation",IF(Market_Data[[#This Row],[Start Date]]&gt;TODAY(),"Planned",IF(Market_Data[[#This Row],[Completion Date]]&lt;TODAY(),"Completed","Ongoing")))</f>
        <v>Completed</v>
      </c>
      <c r="G2047" s="324">
        <v>42675</v>
      </c>
      <c r="H2047" s="324">
        <v>45442</v>
      </c>
      <c r="I2047" s="325">
        <v>6700</v>
      </c>
      <c r="J204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47" s="133">
        <f>_xlfn.XLOOKUP(Market_Data[[#This Row],[Project Type]],tbl_assumptions_market[Project Category (RERA)],tbl_assumptions_market[Concrete Intensity
(m³ / sq m BUA)],"",0)</f>
        <v>0.5</v>
      </c>
      <c r="L2047" s="134">
        <f>ROUND(Market_Data[[#This Row],[Estimated Built Up Area (sq m)]]*Market_Data[[#This Row],[Concrete Intensity
(m³ / sq m)]],0)</f>
        <v>3350</v>
      </c>
      <c r="M2047" s="135">
        <f>_xlfn.XLOOKUP(Market_Data[[#This Row],[District]],tbl_district_price[District],tbl_district_price[Standard Price
(INR/m³)],"",0)</f>
        <v>6200</v>
      </c>
      <c r="N2047" s="364">
        <f>IF(OR(Market_Data[[#This Row],[Estimated Concrete Demand (m³)]]="",Market_Data[[#This Row],[Avg Price per (₹ / m³)]]=""),"",Market_Data[[#This Row],[Estimated Concrete Demand (m³)]]*Market_Data[[#This Row],[Avg Price per (₹ / m³)]]/10000000)</f>
        <v>2.077</v>
      </c>
      <c r="O2047" s="97" t="str">
        <f>IF(Market_Data[[#This Row],[Estimated Concrete Demand (m³)]]="","",
IF(Market_Data[[#This Row],[Estimated Concrete Demand (m³)]]&lt;10000,"Small",
IF(Market_Data[[#This Row],[Estimated Concrete Demand (m³)]]&lt;25000,"Medium",
IF(Market_Data[[#This Row],[Estimated Concrete Demand (m³)]]&lt;100000,"Large","Mega"))))</f>
        <v>Small</v>
      </c>
      <c r="P2047" s="287" t="str">
        <f t="shared" si="33"/>
        <v>GujRERA</v>
      </c>
    </row>
    <row r="2048" spans="1:16">
      <c r="A2048" s="129" t="str">
        <f>_xlfn.XLOOKUP(B2048,$S$9:$S$14,$T$9:$T$14)&amp;"-"&amp;
IF(E2048="Residential/Group Housing","RES",
IF(E2048="Commercial","COM",
IF(E2048="Mixed Development","MIX",
IF(E2048="Plotted Development","PLT","OTH"))))
&amp;"-"&amp;TEXT(COUNTIFS($B$9:B2048,B2048,$E$9:E2048,E2048),"0000")</f>
        <v>SUR-COM-0321</v>
      </c>
      <c r="B2048" s="322" t="s">
        <v>34</v>
      </c>
      <c r="C2048" s="322" t="s">
        <v>34</v>
      </c>
      <c r="D2048" s="323" t="s">
        <v>2238</v>
      </c>
      <c r="E2048" s="132" t="s">
        <v>23</v>
      </c>
      <c r="F2048" s="97" t="str">
        <f ca="1">IF(OR(Market_Data[[#This Row],[Start Date]]="",Market_Data[[#This Row],[Completion Date]]=""),"Needs Validation",IF(Market_Data[[#This Row],[Start Date]]&gt;TODAY(),"Planned",IF(Market_Data[[#This Row],[Completion Date]]&lt;TODAY(),"Completed","Ongoing")))</f>
        <v>Ongoing</v>
      </c>
      <c r="G2048" s="324">
        <v>45901</v>
      </c>
      <c r="H2048" s="324">
        <v>47725</v>
      </c>
      <c r="I2048" s="325">
        <v>36300</v>
      </c>
      <c r="J204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048" s="133">
        <f>_xlfn.XLOOKUP(Market_Data[[#This Row],[Project Type]],tbl_assumptions_market[Project Category (RERA)],tbl_assumptions_market[Concrete Intensity
(m³ / sq m BUA)],"",0)</f>
        <v>0.5</v>
      </c>
      <c r="L2048" s="134">
        <f>ROUND(Market_Data[[#This Row],[Estimated Built Up Area (sq m)]]*Market_Data[[#This Row],[Concrete Intensity
(m³ / sq m)]],0)</f>
        <v>18150</v>
      </c>
      <c r="M2048" s="135">
        <f>_xlfn.XLOOKUP(Market_Data[[#This Row],[District]],tbl_district_price[District],tbl_district_price[Standard Price
(INR/m³)],"",0)</f>
        <v>6200</v>
      </c>
      <c r="N2048" s="364">
        <f>IF(OR(Market_Data[[#This Row],[Estimated Concrete Demand (m³)]]="",Market_Data[[#This Row],[Avg Price per (₹ / m³)]]=""),"",Market_Data[[#This Row],[Estimated Concrete Demand (m³)]]*Market_Data[[#This Row],[Avg Price per (₹ / m³)]]/10000000)</f>
        <v>11.253</v>
      </c>
      <c r="O2048" s="97" t="str">
        <f>IF(Market_Data[[#This Row],[Estimated Concrete Demand (m³)]]="","",
IF(Market_Data[[#This Row],[Estimated Concrete Demand (m³)]]&lt;10000,"Small",
IF(Market_Data[[#This Row],[Estimated Concrete Demand (m³)]]&lt;25000,"Medium",
IF(Market_Data[[#This Row],[Estimated Concrete Demand (m³)]]&lt;100000,"Large","Mega"))))</f>
        <v>Medium</v>
      </c>
      <c r="P2048" s="287" t="str">
        <f t="shared" si="33"/>
        <v>GujRERA</v>
      </c>
    </row>
    <row r="2049" spans="1:16">
      <c r="A2049" s="129" t="str">
        <f>_xlfn.XLOOKUP(B2049,$S$9:$S$14,$T$9:$T$14)&amp;"-"&amp;
IF(E2049="Residential/Group Housing","RES",
IF(E2049="Commercial","COM",
IF(E2049="Mixed Development","MIX",
IF(E2049="Plotted Development","PLT","OTH"))))
&amp;"-"&amp;TEXT(COUNTIFS($B$9:B2049,B2049,$E$9:E2049,E2049),"0000")</f>
        <v>SUR-COM-0322</v>
      </c>
      <c r="B2049" s="322" t="s">
        <v>34</v>
      </c>
      <c r="C2049" s="322" t="s">
        <v>34</v>
      </c>
      <c r="D2049" s="323" t="s">
        <v>2239</v>
      </c>
      <c r="E2049" s="132" t="s">
        <v>23</v>
      </c>
      <c r="F2049" s="97" t="str">
        <f ca="1">IF(OR(Market_Data[[#This Row],[Start Date]]="",Market_Data[[#This Row],[Completion Date]]=""),"Needs Validation",IF(Market_Data[[#This Row],[Start Date]]&gt;TODAY(),"Planned",IF(Market_Data[[#This Row],[Completion Date]]&lt;TODAY(),"Completed","Ongoing")))</f>
        <v>Completed</v>
      </c>
      <c r="G2049" s="324">
        <v>42675</v>
      </c>
      <c r="H2049" s="324">
        <v>45412</v>
      </c>
      <c r="I2049" s="325">
        <v>20400</v>
      </c>
      <c r="J204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049" s="133">
        <f>_xlfn.XLOOKUP(Market_Data[[#This Row],[Project Type]],tbl_assumptions_market[Project Category (RERA)],tbl_assumptions_market[Concrete Intensity
(m³ / sq m BUA)],"",0)</f>
        <v>0.5</v>
      </c>
      <c r="L2049" s="134">
        <f>ROUND(Market_Data[[#This Row],[Estimated Built Up Area (sq m)]]*Market_Data[[#This Row],[Concrete Intensity
(m³ / sq m)]],0)</f>
        <v>10200</v>
      </c>
      <c r="M2049" s="135">
        <f>_xlfn.XLOOKUP(Market_Data[[#This Row],[District]],tbl_district_price[District],tbl_district_price[Standard Price
(INR/m³)],"",0)</f>
        <v>6200</v>
      </c>
      <c r="N2049" s="364">
        <f>IF(OR(Market_Data[[#This Row],[Estimated Concrete Demand (m³)]]="",Market_Data[[#This Row],[Avg Price per (₹ / m³)]]=""),"",Market_Data[[#This Row],[Estimated Concrete Demand (m³)]]*Market_Data[[#This Row],[Avg Price per (₹ / m³)]]/10000000)</f>
        <v>6.3239999999999998</v>
      </c>
      <c r="O2049" s="97" t="str">
        <f>IF(Market_Data[[#This Row],[Estimated Concrete Demand (m³)]]="","",
IF(Market_Data[[#This Row],[Estimated Concrete Demand (m³)]]&lt;10000,"Small",
IF(Market_Data[[#This Row],[Estimated Concrete Demand (m³)]]&lt;25000,"Medium",
IF(Market_Data[[#This Row],[Estimated Concrete Demand (m³)]]&lt;100000,"Large","Mega"))))</f>
        <v>Medium</v>
      </c>
      <c r="P2049" s="287" t="str">
        <f t="shared" si="33"/>
        <v>GujRERA</v>
      </c>
    </row>
    <row r="2050" spans="1:16">
      <c r="A2050" s="129" t="str">
        <f>_xlfn.XLOOKUP(B2050,$S$9:$S$14,$T$9:$T$14)&amp;"-"&amp;
IF(E2050="Residential/Group Housing","RES",
IF(E2050="Commercial","COM",
IF(E2050="Mixed Development","MIX",
IF(E2050="Plotted Development","PLT","OTH"))))
&amp;"-"&amp;TEXT(COUNTIFS($B$9:B2050,B2050,$E$9:E2050,E2050),"0000")</f>
        <v>SUR-COM-0323</v>
      </c>
      <c r="B2050" s="322" t="s">
        <v>34</v>
      </c>
      <c r="C2050" s="322" t="s">
        <v>34</v>
      </c>
      <c r="D2050" s="323" t="s">
        <v>2240</v>
      </c>
      <c r="E2050" s="132" t="s">
        <v>23</v>
      </c>
      <c r="F2050" s="97" t="str">
        <f ca="1">IF(OR(Market_Data[[#This Row],[Start Date]]="",Market_Data[[#This Row],[Completion Date]]=""),"Needs Validation",IF(Market_Data[[#This Row],[Start Date]]&gt;TODAY(),"Planned",IF(Market_Data[[#This Row],[Completion Date]]&lt;TODAY(),"Completed","Ongoing")))</f>
        <v>Completed</v>
      </c>
      <c r="G2050" s="324">
        <v>43101</v>
      </c>
      <c r="H2050" s="324">
        <v>45504</v>
      </c>
      <c r="I2050" s="325">
        <v>8100</v>
      </c>
      <c r="J205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50" s="133">
        <f>_xlfn.XLOOKUP(Market_Data[[#This Row],[Project Type]],tbl_assumptions_market[Project Category (RERA)],tbl_assumptions_market[Concrete Intensity
(m³ / sq m BUA)],"",0)</f>
        <v>0.5</v>
      </c>
      <c r="L2050" s="134">
        <f>ROUND(Market_Data[[#This Row],[Estimated Built Up Area (sq m)]]*Market_Data[[#This Row],[Concrete Intensity
(m³ / sq m)]],0)</f>
        <v>4050</v>
      </c>
      <c r="M2050" s="135">
        <f>_xlfn.XLOOKUP(Market_Data[[#This Row],[District]],tbl_district_price[District],tbl_district_price[Standard Price
(INR/m³)],"",0)</f>
        <v>6200</v>
      </c>
      <c r="N2050" s="364">
        <f>IF(OR(Market_Data[[#This Row],[Estimated Concrete Demand (m³)]]="",Market_Data[[#This Row],[Avg Price per (₹ / m³)]]=""),"",Market_Data[[#This Row],[Estimated Concrete Demand (m³)]]*Market_Data[[#This Row],[Avg Price per (₹ / m³)]]/10000000)</f>
        <v>2.5110000000000001</v>
      </c>
      <c r="O2050" s="97" t="str">
        <f>IF(Market_Data[[#This Row],[Estimated Concrete Demand (m³)]]="","",
IF(Market_Data[[#This Row],[Estimated Concrete Demand (m³)]]&lt;10000,"Small",
IF(Market_Data[[#This Row],[Estimated Concrete Demand (m³)]]&lt;25000,"Medium",
IF(Market_Data[[#This Row],[Estimated Concrete Demand (m³)]]&lt;100000,"Large","Mega"))))</f>
        <v>Small</v>
      </c>
      <c r="P2050" s="287" t="str">
        <f t="shared" si="33"/>
        <v>GujRERA</v>
      </c>
    </row>
    <row r="2051" spans="1:16">
      <c r="A2051" s="129" t="str">
        <f>_xlfn.XLOOKUP(B2051,$S$9:$S$14,$T$9:$T$14)&amp;"-"&amp;
IF(E2051="Residential/Group Housing","RES",
IF(E2051="Commercial","COM",
IF(E2051="Mixed Development","MIX",
IF(E2051="Plotted Development","PLT","OTH"))))
&amp;"-"&amp;TEXT(COUNTIFS($B$9:B2051,B2051,$E$9:E2051,E2051),"0000")</f>
        <v>SUR-COM-0324</v>
      </c>
      <c r="B2051" s="322" t="s">
        <v>34</v>
      </c>
      <c r="C2051" s="322" t="s">
        <v>34</v>
      </c>
      <c r="D2051" s="323" t="s">
        <v>2241</v>
      </c>
      <c r="E2051" s="132" t="s">
        <v>23</v>
      </c>
      <c r="F2051" s="97" t="str">
        <f ca="1">IF(OR(Market_Data[[#This Row],[Start Date]]="",Market_Data[[#This Row],[Completion Date]]=""),"Needs Validation",IF(Market_Data[[#This Row],[Start Date]]&gt;TODAY(),"Planned",IF(Market_Data[[#This Row],[Completion Date]]&lt;TODAY(),"Completed","Ongoing")))</f>
        <v>Ongoing</v>
      </c>
      <c r="G2051" s="324">
        <v>44721</v>
      </c>
      <c r="H2051" s="324">
        <v>46752</v>
      </c>
      <c r="I2051" s="325">
        <v>43200</v>
      </c>
      <c r="J205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051" s="133">
        <f>_xlfn.XLOOKUP(Market_Data[[#This Row],[Project Type]],tbl_assumptions_market[Project Category (RERA)],tbl_assumptions_market[Concrete Intensity
(m³ / sq m BUA)],"",0)</f>
        <v>0.5</v>
      </c>
      <c r="L2051" s="134">
        <f>ROUND(Market_Data[[#This Row],[Estimated Built Up Area (sq m)]]*Market_Data[[#This Row],[Concrete Intensity
(m³ / sq m)]],0)</f>
        <v>21600</v>
      </c>
      <c r="M2051" s="135">
        <f>_xlfn.XLOOKUP(Market_Data[[#This Row],[District]],tbl_district_price[District],tbl_district_price[Standard Price
(INR/m³)],"",0)</f>
        <v>6200</v>
      </c>
      <c r="N2051" s="364">
        <f>IF(OR(Market_Data[[#This Row],[Estimated Concrete Demand (m³)]]="",Market_Data[[#This Row],[Avg Price per (₹ / m³)]]=""),"",Market_Data[[#This Row],[Estimated Concrete Demand (m³)]]*Market_Data[[#This Row],[Avg Price per (₹ / m³)]]/10000000)</f>
        <v>13.391999999999999</v>
      </c>
      <c r="O2051" s="97" t="str">
        <f>IF(Market_Data[[#This Row],[Estimated Concrete Demand (m³)]]="","",
IF(Market_Data[[#This Row],[Estimated Concrete Demand (m³)]]&lt;10000,"Small",
IF(Market_Data[[#This Row],[Estimated Concrete Demand (m³)]]&lt;25000,"Medium",
IF(Market_Data[[#This Row],[Estimated Concrete Demand (m³)]]&lt;100000,"Large","Mega"))))</f>
        <v>Medium</v>
      </c>
      <c r="P2051" s="287" t="str">
        <f t="shared" si="33"/>
        <v>GujRERA</v>
      </c>
    </row>
    <row r="2052" spans="1:16">
      <c r="A2052" s="129" t="str">
        <f>_xlfn.XLOOKUP(B2052,$S$9:$S$14,$T$9:$T$14)&amp;"-"&amp;
IF(E2052="Residential/Group Housing","RES",
IF(E2052="Commercial","COM",
IF(E2052="Mixed Development","MIX",
IF(E2052="Plotted Development","PLT","OTH"))))
&amp;"-"&amp;TEXT(COUNTIFS($B$9:B2052,B2052,$E$9:E2052,E2052),"0000")</f>
        <v>SUR-RES-0671</v>
      </c>
      <c r="B2052" s="322" t="s">
        <v>34</v>
      </c>
      <c r="C2052" s="322" t="s">
        <v>34</v>
      </c>
      <c r="D2052" s="323" t="s">
        <v>2242</v>
      </c>
      <c r="E2052" s="132" t="s">
        <v>24</v>
      </c>
      <c r="F2052" s="97" t="str">
        <f ca="1">IF(OR(Market_Data[[#This Row],[Start Date]]="",Market_Data[[#This Row],[Completion Date]]=""),"Needs Validation",IF(Market_Data[[#This Row],[Start Date]]&gt;TODAY(),"Planned",IF(Market_Data[[#This Row],[Completion Date]]&lt;TODAY(),"Completed","Ongoing")))</f>
        <v>Ongoing</v>
      </c>
      <c r="G2052" s="324">
        <v>45292</v>
      </c>
      <c r="H2052" s="324">
        <v>46752</v>
      </c>
      <c r="I2052" s="325">
        <v>5500</v>
      </c>
      <c r="J205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52" s="133">
        <f>_xlfn.XLOOKUP(Market_Data[[#This Row],[Project Type]],tbl_assumptions_market[Project Category (RERA)],tbl_assumptions_market[Concrete Intensity
(m³ / sq m BUA)],"",0)</f>
        <v>0.45</v>
      </c>
      <c r="L2052" s="134">
        <f>ROUND(Market_Data[[#This Row],[Estimated Built Up Area (sq m)]]*Market_Data[[#This Row],[Concrete Intensity
(m³ / sq m)]],0)</f>
        <v>2475</v>
      </c>
      <c r="M2052" s="135">
        <f>_xlfn.XLOOKUP(Market_Data[[#This Row],[District]],tbl_district_price[District],tbl_district_price[Standard Price
(INR/m³)],"",0)</f>
        <v>6200</v>
      </c>
      <c r="N2052" s="364">
        <f>IF(OR(Market_Data[[#This Row],[Estimated Concrete Demand (m³)]]="",Market_Data[[#This Row],[Avg Price per (₹ / m³)]]=""),"",Market_Data[[#This Row],[Estimated Concrete Demand (m³)]]*Market_Data[[#This Row],[Avg Price per (₹ / m³)]]/10000000)</f>
        <v>1.5345</v>
      </c>
      <c r="O2052" s="97" t="str">
        <f>IF(Market_Data[[#This Row],[Estimated Concrete Demand (m³)]]="","",
IF(Market_Data[[#This Row],[Estimated Concrete Demand (m³)]]&lt;10000,"Small",
IF(Market_Data[[#This Row],[Estimated Concrete Demand (m³)]]&lt;25000,"Medium",
IF(Market_Data[[#This Row],[Estimated Concrete Demand (m³)]]&lt;100000,"Large","Mega"))))</f>
        <v>Small</v>
      </c>
      <c r="P2052" s="287" t="str">
        <f t="shared" si="33"/>
        <v>GujRERA</v>
      </c>
    </row>
    <row r="2053" spans="1:16">
      <c r="A2053" s="129" t="str">
        <f>_xlfn.XLOOKUP(B2053,$S$9:$S$14,$T$9:$T$14)&amp;"-"&amp;
IF(E2053="Residential/Group Housing","RES",
IF(E2053="Commercial","COM",
IF(E2053="Mixed Development","MIX",
IF(E2053="Plotted Development","PLT","OTH"))))
&amp;"-"&amp;TEXT(COUNTIFS($B$9:B2053,B2053,$E$9:E2053,E2053),"0000")</f>
        <v>SUR-RES-0672</v>
      </c>
      <c r="B2053" s="322" t="s">
        <v>34</v>
      </c>
      <c r="C2053" s="322" t="s">
        <v>34</v>
      </c>
      <c r="D2053" s="323" t="s">
        <v>2243</v>
      </c>
      <c r="E2053" s="132" t="s">
        <v>24</v>
      </c>
      <c r="F2053" s="97" t="str">
        <f ca="1">IF(OR(Market_Data[[#This Row],[Start Date]]="",Market_Data[[#This Row],[Completion Date]]=""),"Needs Validation",IF(Market_Data[[#This Row],[Start Date]]&gt;TODAY(),"Planned",IF(Market_Data[[#This Row],[Completion Date]]&lt;TODAY(),"Completed","Ongoing")))</f>
        <v>Ongoing</v>
      </c>
      <c r="G2053" s="324">
        <v>45413</v>
      </c>
      <c r="H2053" s="324">
        <v>47118</v>
      </c>
      <c r="I2053" s="325">
        <v>58000</v>
      </c>
      <c r="J205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53" s="133">
        <f>_xlfn.XLOOKUP(Market_Data[[#This Row],[Project Type]],tbl_assumptions_market[Project Category (RERA)],tbl_assumptions_market[Concrete Intensity
(m³ / sq m BUA)],"",0)</f>
        <v>0.45</v>
      </c>
      <c r="L2053" s="134">
        <f>ROUND(Market_Data[[#This Row],[Estimated Built Up Area (sq m)]]*Market_Data[[#This Row],[Concrete Intensity
(m³ / sq m)]],0)</f>
        <v>26100</v>
      </c>
      <c r="M2053" s="135">
        <f>_xlfn.XLOOKUP(Market_Data[[#This Row],[District]],tbl_district_price[District],tbl_district_price[Standard Price
(INR/m³)],"",0)</f>
        <v>6200</v>
      </c>
      <c r="N2053" s="364">
        <f>IF(OR(Market_Data[[#This Row],[Estimated Concrete Demand (m³)]]="",Market_Data[[#This Row],[Avg Price per (₹ / m³)]]=""),"",Market_Data[[#This Row],[Estimated Concrete Demand (m³)]]*Market_Data[[#This Row],[Avg Price per (₹ / m³)]]/10000000)</f>
        <v>16.181999999999999</v>
      </c>
      <c r="O2053" s="97" t="str">
        <f>IF(Market_Data[[#This Row],[Estimated Concrete Demand (m³)]]="","",
IF(Market_Data[[#This Row],[Estimated Concrete Demand (m³)]]&lt;10000,"Small",
IF(Market_Data[[#This Row],[Estimated Concrete Demand (m³)]]&lt;25000,"Medium",
IF(Market_Data[[#This Row],[Estimated Concrete Demand (m³)]]&lt;100000,"Large","Mega"))))</f>
        <v>Large</v>
      </c>
      <c r="P2053" s="287" t="str">
        <f t="shared" si="33"/>
        <v>GujRERA</v>
      </c>
    </row>
    <row r="2054" spans="1:16">
      <c r="A2054" s="129" t="str">
        <f>_xlfn.XLOOKUP(B2054,$S$9:$S$14,$T$9:$T$14)&amp;"-"&amp;
IF(E2054="Residential/Group Housing","RES",
IF(E2054="Commercial","COM",
IF(E2054="Mixed Development","MIX",
IF(E2054="Plotted Development","PLT","OTH"))))
&amp;"-"&amp;TEXT(COUNTIFS($B$9:B2054,B2054,$E$9:E2054,E2054),"0000")</f>
        <v>SUR-PLT-0392</v>
      </c>
      <c r="B2054" s="322" t="s">
        <v>34</v>
      </c>
      <c r="C2054" s="322" t="s">
        <v>34</v>
      </c>
      <c r="D2054" s="323" t="s">
        <v>2244</v>
      </c>
      <c r="E2054" s="132" t="s">
        <v>26</v>
      </c>
      <c r="F2054" s="97" t="str">
        <f ca="1">IF(OR(Market_Data[[#This Row],[Start Date]]="",Market_Data[[#This Row],[Completion Date]]=""),"Needs Validation",IF(Market_Data[[#This Row],[Start Date]]&gt;TODAY(),"Planned",IF(Market_Data[[#This Row],[Completion Date]]&lt;TODAY(),"Completed","Ongoing")))</f>
        <v>Ongoing</v>
      </c>
      <c r="G2054" s="324">
        <v>44775</v>
      </c>
      <c r="H2054" s="324">
        <v>46599</v>
      </c>
      <c r="I2054" s="325">
        <v>18400</v>
      </c>
      <c r="J205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54" s="133">
        <f>_xlfn.XLOOKUP(Market_Data[[#This Row],[Project Type]],tbl_assumptions_market[Project Category (RERA)],tbl_assumptions_market[Concrete Intensity
(m³ / sq m BUA)],"",0)</f>
        <v>0.18</v>
      </c>
      <c r="L2054" s="134">
        <f>ROUND(Market_Data[[#This Row],[Estimated Built Up Area (sq m)]]*Market_Data[[#This Row],[Concrete Intensity
(m³ / sq m)]],0)</f>
        <v>3312</v>
      </c>
      <c r="M2054" s="135">
        <f>_xlfn.XLOOKUP(Market_Data[[#This Row],[District]],tbl_district_price[District],tbl_district_price[Standard Price
(INR/m³)],"",0)</f>
        <v>6200</v>
      </c>
      <c r="N2054" s="364">
        <f>IF(OR(Market_Data[[#This Row],[Estimated Concrete Demand (m³)]]="",Market_Data[[#This Row],[Avg Price per (₹ / m³)]]=""),"",Market_Data[[#This Row],[Estimated Concrete Demand (m³)]]*Market_Data[[#This Row],[Avg Price per (₹ / m³)]]/10000000)</f>
        <v>2.0534400000000002</v>
      </c>
      <c r="O2054" s="97" t="str">
        <f>IF(Market_Data[[#This Row],[Estimated Concrete Demand (m³)]]="","",
IF(Market_Data[[#This Row],[Estimated Concrete Demand (m³)]]&lt;10000,"Small",
IF(Market_Data[[#This Row],[Estimated Concrete Demand (m³)]]&lt;25000,"Medium",
IF(Market_Data[[#This Row],[Estimated Concrete Demand (m³)]]&lt;100000,"Large","Mega"))))</f>
        <v>Small</v>
      </c>
      <c r="P2054" s="287" t="str">
        <f t="shared" si="33"/>
        <v>GujRERA</v>
      </c>
    </row>
    <row r="2055" spans="1:16">
      <c r="A2055" s="129" t="str">
        <f>_xlfn.XLOOKUP(B2055,$S$9:$S$14,$T$9:$T$14)&amp;"-"&amp;
IF(E2055="Residential/Group Housing","RES",
IF(E2055="Commercial","COM",
IF(E2055="Mixed Development","MIX",
IF(E2055="Plotted Development","PLT","OTH"))))
&amp;"-"&amp;TEXT(COUNTIFS($B$9:B2055,B2055,$E$9:E2055,E2055),"0000")</f>
        <v>SUR-RES-0673</v>
      </c>
      <c r="B2055" s="322" t="s">
        <v>34</v>
      </c>
      <c r="C2055" s="322" t="s">
        <v>37</v>
      </c>
      <c r="D2055" s="323" t="s">
        <v>2245</v>
      </c>
      <c r="E2055" s="132" t="s">
        <v>24</v>
      </c>
      <c r="F2055" s="97" t="str">
        <f ca="1">IF(OR(Market_Data[[#This Row],[Start Date]]="",Market_Data[[#This Row],[Completion Date]]=""),"Needs Validation",IF(Market_Data[[#This Row],[Start Date]]&gt;TODAY(),"Planned",IF(Market_Data[[#This Row],[Completion Date]]&lt;TODAY(),"Completed","Ongoing")))</f>
        <v>Completed</v>
      </c>
      <c r="G2055" s="324">
        <v>42681</v>
      </c>
      <c r="H2055" s="324">
        <v>45747</v>
      </c>
      <c r="I2055" s="325">
        <v>43800</v>
      </c>
      <c r="J205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55" s="133">
        <f>_xlfn.XLOOKUP(Market_Data[[#This Row],[Project Type]],tbl_assumptions_market[Project Category (RERA)],tbl_assumptions_market[Concrete Intensity
(m³ / sq m BUA)],"",0)</f>
        <v>0.45</v>
      </c>
      <c r="L2055" s="134">
        <f>ROUND(Market_Data[[#This Row],[Estimated Built Up Area (sq m)]]*Market_Data[[#This Row],[Concrete Intensity
(m³ / sq m)]],0)</f>
        <v>19710</v>
      </c>
      <c r="M2055" s="135">
        <f>_xlfn.XLOOKUP(Market_Data[[#This Row],[District]],tbl_district_price[District],tbl_district_price[Standard Price
(INR/m³)],"",0)</f>
        <v>6200</v>
      </c>
      <c r="N2055" s="364">
        <f>IF(OR(Market_Data[[#This Row],[Estimated Concrete Demand (m³)]]="",Market_Data[[#This Row],[Avg Price per (₹ / m³)]]=""),"",Market_Data[[#This Row],[Estimated Concrete Demand (m³)]]*Market_Data[[#This Row],[Avg Price per (₹ / m³)]]/10000000)</f>
        <v>12.2202</v>
      </c>
      <c r="O2055" s="97" t="str">
        <f>IF(Market_Data[[#This Row],[Estimated Concrete Demand (m³)]]="","",
IF(Market_Data[[#This Row],[Estimated Concrete Demand (m³)]]&lt;10000,"Small",
IF(Market_Data[[#This Row],[Estimated Concrete Demand (m³)]]&lt;25000,"Medium",
IF(Market_Data[[#This Row],[Estimated Concrete Demand (m³)]]&lt;100000,"Large","Mega"))))</f>
        <v>Medium</v>
      </c>
      <c r="P2055" s="287" t="str">
        <f t="shared" si="33"/>
        <v>GujRERA</v>
      </c>
    </row>
    <row r="2056" spans="1:16">
      <c r="A2056" s="129" t="str">
        <f>_xlfn.XLOOKUP(B2056,$S$9:$S$14,$T$9:$T$14)&amp;"-"&amp;
IF(E2056="Residential/Group Housing","RES",
IF(E2056="Commercial","COM",
IF(E2056="Mixed Development","MIX",
IF(E2056="Plotted Development","PLT","OTH"))))
&amp;"-"&amp;TEXT(COUNTIFS($B$9:B2056,B2056,$E$9:E2056,E2056),"0000")</f>
        <v>SUR-COM-0325</v>
      </c>
      <c r="B2056" s="322" t="s">
        <v>34</v>
      </c>
      <c r="C2056" s="322" t="s">
        <v>34</v>
      </c>
      <c r="D2056" s="323" t="s">
        <v>2246</v>
      </c>
      <c r="E2056" s="132" t="s">
        <v>23</v>
      </c>
      <c r="F2056" s="97" t="str">
        <f ca="1">IF(OR(Market_Data[[#This Row],[Start Date]]="",Market_Data[[#This Row],[Completion Date]]=""),"Needs Validation",IF(Market_Data[[#This Row],[Start Date]]&gt;TODAY(),"Planned",IF(Market_Data[[#This Row],[Completion Date]]&lt;TODAY(),"Completed","Ongoing")))</f>
        <v>Completed</v>
      </c>
      <c r="G2056" s="324">
        <v>43616</v>
      </c>
      <c r="H2056" s="324">
        <v>45627</v>
      </c>
      <c r="I2056" s="325">
        <v>3700</v>
      </c>
      <c r="J205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56" s="133">
        <f>_xlfn.XLOOKUP(Market_Data[[#This Row],[Project Type]],tbl_assumptions_market[Project Category (RERA)],tbl_assumptions_market[Concrete Intensity
(m³ / sq m BUA)],"",0)</f>
        <v>0.5</v>
      </c>
      <c r="L2056" s="134">
        <f>ROUND(Market_Data[[#This Row],[Estimated Built Up Area (sq m)]]*Market_Data[[#This Row],[Concrete Intensity
(m³ / sq m)]],0)</f>
        <v>1850</v>
      </c>
      <c r="M2056" s="135">
        <f>_xlfn.XLOOKUP(Market_Data[[#This Row],[District]],tbl_district_price[District],tbl_district_price[Standard Price
(INR/m³)],"",0)</f>
        <v>6200</v>
      </c>
      <c r="N2056" s="364">
        <f>IF(OR(Market_Data[[#This Row],[Estimated Concrete Demand (m³)]]="",Market_Data[[#This Row],[Avg Price per (₹ / m³)]]=""),"",Market_Data[[#This Row],[Estimated Concrete Demand (m³)]]*Market_Data[[#This Row],[Avg Price per (₹ / m³)]]/10000000)</f>
        <v>1.147</v>
      </c>
      <c r="O2056" s="97" t="str">
        <f>IF(Market_Data[[#This Row],[Estimated Concrete Demand (m³)]]="","",
IF(Market_Data[[#This Row],[Estimated Concrete Demand (m³)]]&lt;10000,"Small",
IF(Market_Data[[#This Row],[Estimated Concrete Demand (m³)]]&lt;25000,"Medium",
IF(Market_Data[[#This Row],[Estimated Concrete Demand (m³)]]&lt;100000,"Large","Mega"))))</f>
        <v>Small</v>
      </c>
      <c r="P2056" s="287" t="str">
        <f t="shared" si="33"/>
        <v>GujRERA</v>
      </c>
    </row>
    <row r="2057" spans="1:16">
      <c r="A2057" s="129" t="str">
        <f>_xlfn.XLOOKUP(B2057,$S$9:$S$14,$T$9:$T$14)&amp;"-"&amp;
IF(E2057="Residential/Group Housing","RES",
IF(E2057="Commercial","COM",
IF(E2057="Mixed Development","MIX",
IF(E2057="Plotted Development","PLT","OTH"))))
&amp;"-"&amp;TEXT(COUNTIFS($B$9:B2057,B2057,$E$9:E2057,E2057),"0000")</f>
        <v>SUR-RES-0674</v>
      </c>
      <c r="B2057" s="322" t="s">
        <v>34</v>
      </c>
      <c r="C2057" s="322" t="s">
        <v>34</v>
      </c>
      <c r="D2057" s="323" t="s">
        <v>2247</v>
      </c>
      <c r="E2057" s="132" t="s">
        <v>24</v>
      </c>
      <c r="F2057" s="97" t="str">
        <f ca="1">IF(OR(Market_Data[[#This Row],[Start Date]]="",Market_Data[[#This Row],[Completion Date]]=""),"Needs Validation",IF(Market_Data[[#This Row],[Start Date]]&gt;TODAY(),"Planned",IF(Market_Data[[#This Row],[Completion Date]]&lt;TODAY(),"Completed","Ongoing")))</f>
        <v>Completed</v>
      </c>
      <c r="G2057" s="324">
        <v>43693</v>
      </c>
      <c r="H2057" s="324">
        <v>45565</v>
      </c>
      <c r="I2057" s="325">
        <v>15600</v>
      </c>
      <c r="J205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57" s="133">
        <f>_xlfn.XLOOKUP(Market_Data[[#This Row],[Project Type]],tbl_assumptions_market[Project Category (RERA)],tbl_assumptions_market[Concrete Intensity
(m³ / sq m BUA)],"",0)</f>
        <v>0.45</v>
      </c>
      <c r="L2057" s="134">
        <f>ROUND(Market_Data[[#This Row],[Estimated Built Up Area (sq m)]]*Market_Data[[#This Row],[Concrete Intensity
(m³ / sq m)]],0)</f>
        <v>7020</v>
      </c>
      <c r="M2057" s="135">
        <f>_xlfn.XLOOKUP(Market_Data[[#This Row],[District]],tbl_district_price[District],tbl_district_price[Standard Price
(INR/m³)],"",0)</f>
        <v>6200</v>
      </c>
      <c r="N2057" s="364">
        <f>IF(OR(Market_Data[[#This Row],[Estimated Concrete Demand (m³)]]="",Market_Data[[#This Row],[Avg Price per (₹ / m³)]]=""),"",Market_Data[[#This Row],[Estimated Concrete Demand (m³)]]*Market_Data[[#This Row],[Avg Price per (₹ / m³)]]/10000000)</f>
        <v>4.3524000000000003</v>
      </c>
      <c r="O2057" s="97" t="str">
        <f>IF(Market_Data[[#This Row],[Estimated Concrete Demand (m³)]]="","",
IF(Market_Data[[#This Row],[Estimated Concrete Demand (m³)]]&lt;10000,"Small",
IF(Market_Data[[#This Row],[Estimated Concrete Demand (m³)]]&lt;25000,"Medium",
IF(Market_Data[[#This Row],[Estimated Concrete Demand (m³)]]&lt;100000,"Large","Mega"))))</f>
        <v>Small</v>
      </c>
      <c r="P2057" s="287" t="str">
        <f t="shared" si="33"/>
        <v>GujRERA</v>
      </c>
    </row>
    <row r="2058" spans="1:16">
      <c r="A2058" s="129" t="str">
        <f>_xlfn.XLOOKUP(B2058,$S$9:$S$14,$T$9:$T$14)&amp;"-"&amp;
IF(E2058="Residential/Group Housing","RES",
IF(E2058="Commercial","COM",
IF(E2058="Mixed Development","MIX",
IF(E2058="Plotted Development","PLT","OTH"))))
&amp;"-"&amp;TEXT(COUNTIFS($B$9:B2058,B2058,$E$9:E2058,E2058),"0000")</f>
        <v>SUR-PLT-0393</v>
      </c>
      <c r="B2058" s="322" t="s">
        <v>34</v>
      </c>
      <c r="C2058" s="322" t="s">
        <v>34</v>
      </c>
      <c r="D2058" s="323" t="s">
        <v>2248</v>
      </c>
      <c r="E2058" s="132" t="s">
        <v>26</v>
      </c>
      <c r="F2058" s="97" t="str">
        <f ca="1">IF(OR(Market_Data[[#This Row],[Start Date]]="",Market_Data[[#This Row],[Completion Date]]=""),"Needs Validation",IF(Market_Data[[#This Row],[Start Date]]&gt;TODAY(),"Planned",IF(Market_Data[[#This Row],[Completion Date]]&lt;TODAY(),"Completed","Ongoing")))</f>
        <v>Ongoing</v>
      </c>
      <c r="G2058" s="324">
        <v>45945</v>
      </c>
      <c r="H2058" s="324">
        <v>47118</v>
      </c>
      <c r="I2058" s="325">
        <v>19300</v>
      </c>
      <c r="J205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58" s="133">
        <f>_xlfn.XLOOKUP(Market_Data[[#This Row],[Project Type]],tbl_assumptions_market[Project Category (RERA)],tbl_assumptions_market[Concrete Intensity
(m³ / sq m BUA)],"",0)</f>
        <v>0.18</v>
      </c>
      <c r="L2058" s="134">
        <f>ROUND(Market_Data[[#This Row],[Estimated Built Up Area (sq m)]]*Market_Data[[#This Row],[Concrete Intensity
(m³ / sq m)]],0)</f>
        <v>3474</v>
      </c>
      <c r="M2058" s="135">
        <f>_xlfn.XLOOKUP(Market_Data[[#This Row],[District]],tbl_district_price[District],tbl_district_price[Standard Price
(INR/m³)],"",0)</f>
        <v>6200</v>
      </c>
      <c r="N2058" s="364">
        <f>IF(OR(Market_Data[[#This Row],[Estimated Concrete Demand (m³)]]="",Market_Data[[#This Row],[Avg Price per (₹ / m³)]]=""),"",Market_Data[[#This Row],[Estimated Concrete Demand (m³)]]*Market_Data[[#This Row],[Avg Price per (₹ / m³)]]/10000000)</f>
        <v>2.15388</v>
      </c>
      <c r="O2058" s="97" t="str">
        <f>IF(Market_Data[[#This Row],[Estimated Concrete Demand (m³)]]="","",
IF(Market_Data[[#This Row],[Estimated Concrete Demand (m³)]]&lt;10000,"Small",
IF(Market_Data[[#This Row],[Estimated Concrete Demand (m³)]]&lt;25000,"Medium",
IF(Market_Data[[#This Row],[Estimated Concrete Demand (m³)]]&lt;100000,"Large","Mega"))))</f>
        <v>Small</v>
      </c>
      <c r="P2058" s="287" t="str">
        <f t="shared" ref="P2058:P2121" si="34">HYPERLINK(
"https://gujrera.gujarat.gov.in",
"GujRERA")</f>
        <v>GujRERA</v>
      </c>
    </row>
    <row r="2059" spans="1:16">
      <c r="A2059" s="129" t="str">
        <f>_xlfn.XLOOKUP(B2059,$S$9:$S$14,$T$9:$T$14)&amp;"-"&amp;
IF(E2059="Residential/Group Housing","RES",
IF(E2059="Commercial","COM",
IF(E2059="Mixed Development","MIX",
IF(E2059="Plotted Development","PLT","OTH"))))
&amp;"-"&amp;TEXT(COUNTIFS($B$9:B2059,B2059,$E$9:E2059,E2059),"0000")</f>
        <v>SUR-PLT-0394</v>
      </c>
      <c r="B2059" s="322" t="s">
        <v>34</v>
      </c>
      <c r="C2059" s="322" t="s">
        <v>34</v>
      </c>
      <c r="D2059" s="323" t="s">
        <v>2249</v>
      </c>
      <c r="E2059" s="132" t="s">
        <v>26</v>
      </c>
      <c r="F2059" s="97" t="str">
        <f ca="1">IF(OR(Market_Data[[#This Row],[Start Date]]="",Market_Data[[#This Row],[Completion Date]]=""),"Needs Validation",IF(Market_Data[[#This Row],[Start Date]]&gt;TODAY(),"Planned",IF(Market_Data[[#This Row],[Completion Date]]&lt;TODAY(),"Completed","Ongoing")))</f>
        <v>Ongoing</v>
      </c>
      <c r="G2059" s="324">
        <v>45583</v>
      </c>
      <c r="H2059" s="324">
        <v>46752</v>
      </c>
      <c r="I2059" s="325">
        <v>42100</v>
      </c>
      <c r="J205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059" s="133">
        <f>_xlfn.XLOOKUP(Market_Data[[#This Row],[Project Type]],tbl_assumptions_market[Project Category (RERA)],tbl_assumptions_market[Concrete Intensity
(m³ / sq m BUA)],"",0)</f>
        <v>0.18</v>
      </c>
      <c r="L2059" s="134">
        <f>ROUND(Market_Data[[#This Row],[Estimated Built Up Area (sq m)]]*Market_Data[[#This Row],[Concrete Intensity
(m³ / sq m)]],0)</f>
        <v>7578</v>
      </c>
      <c r="M2059" s="135">
        <f>_xlfn.XLOOKUP(Market_Data[[#This Row],[District]],tbl_district_price[District],tbl_district_price[Standard Price
(INR/m³)],"",0)</f>
        <v>6200</v>
      </c>
      <c r="N2059" s="364">
        <f>IF(OR(Market_Data[[#This Row],[Estimated Concrete Demand (m³)]]="",Market_Data[[#This Row],[Avg Price per (₹ / m³)]]=""),"",Market_Data[[#This Row],[Estimated Concrete Demand (m³)]]*Market_Data[[#This Row],[Avg Price per (₹ / m³)]]/10000000)</f>
        <v>4.6983600000000001</v>
      </c>
      <c r="O2059" s="97" t="str">
        <f>IF(Market_Data[[#This Row],[Estimated Concrete Demand (m³)]]="","",
IF(Market_Data[[#This Row],[Estimated Concrete Demand (m³)]]&lt;10000,"Small",
IF(Market_Data[[#This Row],[Estimated Concrete Demand (m³)]]&lt;25000,"Medium",
IF(Market_Data[[#This Row],[Estimated Concrete Demand (m³)]]&lt;100000,"Large","Mega"))))</f>
        <v>Small</v>
      </c>
      <c r="P2059" s="287" t="str">
        <f t="shared" si="34"/>
        <v>GujRERA</v>
      </c>
    </row>
    <row r="2060" spans="1:16">
      <c r="A2060" s="129" t="str">
        <f>_xlfn.XLOOKUP(B2060,$S$9:$S$14,$T$9:$T$14)&amp;"-"&amp;
IF(E2060="Residential/Group Housing","RES",
IF(E2060="Commercial","COM",
IF(E2060="Mixed Development","MIX",
IF(E2060="Plotted Development","PLT","OTH"))))
&amp;"-"&amp;TEXT(COUNTIFS($B$9:B2060,B2060,$E$9:E2060,E2060),"0000")</f>
        <v>SUR-PLT-0395</v>
      </c>
      <c r="B2060" s="322" t="s">
        <v>34</v>
      </c>
      <c r="C2060" s="322" t="s">
        <v>34</v>
      </c>
      <c r="D2060" s="323" t="s">
        <v>2250</v>
      </c>
      <c r="E2060" s="132" t="s">
        <v>26</v>
      </c>
      <c r="F2060" s="97" t="str">
        <f ca="1">IF(OR(Market_Data[[#This Row],[Start Date]]="",Market_Data[[#This Row],[Completion Date]]=""),"Needs Validation",IF(Market_Data[[#This Row],[Start Date]]&gt;TODAY(),"Planned",IF(Market_Data[[#This Row],[Completion Date]]&lt;TODAY(),"Completed","Ongoing")))</f>
        <v>Ongoing</v>
      </c>
      <c r="G2060" s="324">
        <v>46065</v>
      </c>
      <c r="H2060" s="324">
        <v>47118</v>
      </c>
      <c r="I2060" s="325">
        <v>36600</v>
      </c>
      <c r="J206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060" s="133">
        <f>_xlfn.XLOOKUP(Market_Data[[#This Row],[Project Type]],tbl_assumptions_market[Project Category (RERA)],tbl_assumptions_market[Concrete Intensity
(m³ / sq m BUA)],"",0)</f>
        <v>0.18</v>
      </c>
      <c r="L2060" s="134">
        <f>ROUND(Market_Data[[#This Row],[Estimated Built Up Area (sq m)]]*Market_Data[[#This Row],[Concrete Intensity
(m³ / sq m)]],0)</f>
        <v>6588</v>
      </c>
      <c r="M2060" s="135">
        <f>_xlfn.XLOOKUP(Market_Data[[#This Row],[District]],tbl_district_price[District],tbl_district_price[Standard Price
(INR/m³)],"",0)</f>
        <v>6200</v>
      </c>
      <c r="N2060" s="364">
        <f>IF(OR(Market_Data[[#This Row],[Estimated Concrete Demand (m³)]]="",Market_Data[[#This Row],[Avg Price per (₹ / m³)]]=""),"",Market_Data[[#This Row],[Estimated Concrete Demand (m³)]]*Market_Data[[#This Row],[Avg Price per (₹ / m³)]]/10000000)</f>
        <v>4.0845599999999997</v>
      </c>
      <c r="O2060" s="97" t="str">
        <f>IF(Market_Data[[#This Row],[Estimated Concrete Demand (m³)]]="","",
IF(Market_Data[[#This Row],[Estimated Concrete Demand (m³)]]&lt;10000,"Small",
IF(Market_Data[[#This Row],[Estimated Concrete Demand (m³)]]&lt;25000,"Medium",
IF(Market_Data[[#This Row],[Estimated Concrete Demand (m³)]]&lt;100000,"Large","Mega"))))</f>
        <v>Small</v>
      </c>
      <c r="P2060" s="287" t="str">
        <f t="shared" si="34"/>
        <v>GujRERA</v>
      </c>
    </row>
    <row r="2061" spans="1:16">
      <c r="A2061" s="129" t="str">
        <f>_xlfn.XLOOKUP(B2061,$S$9:$S$14,$T$9:$T$14)&amp;"-"&amp;
IF(E2061="Residential/Group Housing","RES",
IF(E2061="Commercial","COM",
IF(E2061="Mixed Development","MIX",
IF(E2061="Plotted Development","PLT","OTH"))))
&amp;"-"&amp;TEXT(COUNTIFS($B$9:B2061,B2061,$E$9:E2061,E2061),"0000")</f>
        <v>SUR-PLT-0396</v>
      </c>
      <c r="B2061" s="322" t="s">
        <v>34</v>
      </c>
      <c r="C2061" s="322" t="s">
        <v>34</v>
      </c>
      <c r="D2061" s="323" t="s">
        <v>2251</v>
      </c>
      <c r="E2061" s="132" t="s">
        <v>26</v>
      </c>
      <c r="F2061" s="97" t="str">
        <f ca="1">IF(OR(Market_Data[[#This Row],[Start Date]]="",Market_Data[[#This Row],[Completion Date]]=""),"Needs Validation",IF(Market_Data[[#This Row],[Start Date]]&gt;TODAY(),"Planned",IF(Market_Data[[#This Row],[Completion Date]]&lt;TODAY(),"Completed","Ongoing")))</f>
        <v>Ongoing</v>
      </c>
      <c r="G2061" s="324">
        <v>46065</v>
      </c>
      <c r="H2061" s="324">
        <v>47118</v>
      </c>
      <c r="I2061" s="325">
        <v>41000</v>
      </c>
      <c r="J206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061" s="133">
        <f>_xlfn.XLOOKUP(Market_Data[[#This Row],[Project Type]],tbl_assumptions_market[Project Category (RERA)],tbl_assumptions_market[Concrete Intensity
(m³ / sq m BUA)],"",0)</f>
        <v>0.18</v>
      </c>
      <c r="L2061" s="134">
        <f>ROUND(Market_Data[[#This Row],[Estimated Built Up Area (sq m)]]*Market_Data[[#This Row],[Concrete Intensity
(m³ / sq m)]],0)</f>
        <v>7380</v>
      </c>
      <c r="M2061" s="135">
        <f>_xlfn.XLOOKUP(Market_Data[[#This Row],[District]],tbl_district_price[District],tbl_district_price[Standard Price
(INR/m³)],"",0)</f>
        <v>6200</v>
      </c>
      <c r="N2061" s="364">
        <f>IF(OR(Market_Data[[#This Row],[Estimated Concrete Demand (m³)]]="",Market_Data[[#This Row],[Avg Price per (₹ / m³)]]=""),"",Market_Data[[#This Row],[Estimated Concrete Demand (m³)]]*Market_Data[[#This Row],[Avg Price per (₹ / m³)]]/10000000)</f>
        <v>4.5755999999999997</v>
      </c>
      <c r="O2061" s="97" t="str">
        <f>IF(Market_Data[[#This Row],[Estimated Concrete Demand (m³)]]="","",
IF(Market_Data[[#This Row],[Estimated Concrete Demand (m³)]]&lt;10000,"Small",
IF(Market_Data[[#This Row],[Estimated Concrete Demand (m³)]]&lt;25000,"Medium",
IF(Market_Data[[#This Row],[Estimated Concrete Demand (m³)]]&lt;100000,"Large","Mega"))))</f>
        <v>Small</v>
      </c>
      <c r="P2061" s="287" t="str">
        <f t="shared" si="34"/>
        <v>GujRERA</v>
      </c>
    </row>
    <row r="2062" spans="1:16">
      <c r="A2062" s="129" t="str">
        <f>_xlfn.XLOOKUP(B2062,$S$9:$S$14,$T$9:$T$14)&amp;"-"&amp;
IF(E2062="Residential/Group Housing","RES",
IF(E2062="Commercial","COM",
IF(E2062="Mixed Development","MIX",
IF(E2062="Plotted Development","PLT","OTH"))))
&amp;"-"&amp;TEXT(COUNTIFS($B$9:B2062,B2062,$E$9:E2062,E2062),"0000")</f>
        <v>SUR-COM-0326</v>
      </c>
      <c r="B2062" s="322" t="s">
        <v>34</v>
      </c>
      <c r="C2062" s="322" t="s">
        <v>34</v>
      </c>
      <c r="D2062" s="323" t="s">
        <v>2252</v>
      </c>
      <c r="E2062" s="132" t="s">
        <v>23</v>
      </c>
      <c r="F2062" s="97" t="str">
        <f ca="1">IF(OR(Market_Data[[#This Row],[Start Date]]="",Market_Data[[#This Row],[Completion Date]]=""),"Needs Validation",IF(Market_Data[[#This Row],[Start Date]]&gt;TODAY(),"Planned",IF(Market_Data[[#This Row],[Completion Date]]&lt;TODAY(),"Completed","Ongoing")))</f>
        <v>Completed</v>
      </c>
      <c r="G2062" s="324">
        <v>43101</v>
      </c>
      <c r="H2062" s="324">
        <v>44561</v>
      </c>
      <c r="I2062" s="325">
        <v>9800</v>
      </c>
      <c r="J206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62" s="133">
        <f>_xlfn.XLOOKUP(Market_Data[[#This Row],[Project Type]],tbl_assumptions_market[Project Category (RERA)],tbl_assumptions_market[Concrete Intensity
(m³ / sq m BUA)],"",0)</f>
        <v>0.5</v>
      </c>
      <c r="L2062" s="134">
        <f>ROUND(Market_Data[[#This Row],[Estimated Built Up Area (sq m)]]*Market_Data[[#This Row],[Concrete Intensity
(m³ / sq m)]],0)</f>
        <v>4900</v>
      </c>
      <c r="M2062" s="135">
        <f>_xlfn.XLOOKUP(Market_Data[[#This Row],[District]],tbl_district_price[District],tbl_district_price[Standard Price
(INR/m³)],"",0)</f>
        <v>6200</v>
      </c>
      <c r="N2062" s="364">
        <f>IF(OR(Market_Data[[#This Row],[Estimated Concrete Demand (m³)]]="",Market_Data[[#This Row],[Avg Price per (₹ / m³)]]=""),"",Market_Data[[#This Row],[Estimated Concrete Demand (m³)]]*Market_Data[[#This Row],[Avg Price per (₹ / m³)]]/10000000)</f>
        <v>3.0379999999999998</v>
      </c>
      <c r="O2062" s="97" t="str">
        <f>IF(Market_Data[[#This Row],[Estimated Concrete Demand (m³)]]="","",
IF(Market_Data[[#This Row],[Estimated Concrete Demand (m³)]]&lt;10000,"Small",
IF(Market_Data[[#This Row],[Estimated Concrete Demand (m³)]]&lt;25000,"Medium",
IF(Market_Data[[#This Row],[Estimated Concrete Demand (m³)]]&lt;100000,"Large","Mega"))))</f>
        <v>Small</v>
      </c>
      <c r="P2062" s="287" t="str">
        <f t="shared" si="34"/>
        <v>GujRERA</v>
      </c>
    </row>
    <row r="2063" spans="1:16">
      <c r="A2063" s="129" t="str">
        <f>_xlfn.XLOOKUP(B2063,$S$9:$S$14,$T$9:$T$14)&amp;"-"&amp;
IF(E2063="Residential/Group Housing","RES",
IF(E2063="Commercial","COM",
IF(E2063="Mixed Development","MIX",
IF(E2063="Plotted Development","PLT","OTH"))))
&amp;"-"&amp;TEXT(COUNTIFS($B$9:B2063,B2063,$E$9:E2063,E2063),"0000")</f>
        <v>SUR-RES-0675</v>
      </c>
      <c r="B2063" s="322" t="s">
        <v>34</v>
      </c>
      <c r="C2063" s="322" t="s">
        <v>34</v>
      </c>
      <c r="D2063" s="323" t="s">
        <v>2253</v>
      </c>
      <c r="E2063" s="132" t="s">
        <v>24</v>
      </c>
      <c r="F2063" s="97" t="str">
        <f ca="1">IF(OR(Market_Data[[#This Row],[Start Date]]="",Market_Data[[#This Row],[Completion Date]]=""),"Needs Validation",IF(Market_Data[[#This Row],[Start Date]]&gt;TODAY(),"Planned",IF(Market_Data[[#This Row],[Completion Date]]&lt;TODAY(),"Completed","Ongoing")))</f>
        <v>Completed</v>
      </c>
      <c r="G2063" s="324">
        <v>44593</v>
      </c>
      <c r="H2063" s="324">
        <v>45747</v>
      </c>
      <c r="I2063" s="325">
        <v>55800</v>
      </c>
      <c r="J206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63" s="133">
        <f>_xlfn.XLOOKUP(Market_Data[[#This Row],[Project Type]],tbl_assumptions_market[Project Category (RERA)],tbl_assumptions_market[Concrete Intensity
(m³ / sq m BUA)],"",0)</f>
        <v>0.45</v>
      </c>
      <c r="L2063" s="134">
        <f>ROUND(Market_Data[[#This Row],[Estimated Built Up Area (sq m)]]*Market_Data[[#This Row],[Concrete Intensity
(m³ / sq m)]],0)</f>
        <v>25110</v>
      </c>
      <c r="M2063" s="135">
        <f>_xlfn.XLOOKUP(Market_Data[[#This Row],[District]],tbl_district_price[District],tbl_district_price[Standard Price
(INR/m³)],"",0)</f>
        <v>6200</v>
      </c>
      <c r="N2063" s="364">
        <f>IF(OR(Market_Data[[#This Row],[Estimated Concrete Demand (m³)]]="",Market_Data[[#This Row],[Avg Price per (₹ / m³)]]=""),"",Market_Data[[#This Row],[Estimated Concrete Demand (m³)]]*Market_Data[[#This Row],[Avg Price per (₹ / m³)]]/10000000)</f>
        <v>15.568199999999999</v>
      </c>
      <c r="O2063" s="97" t="str">
        <f>IF(Market_Data[[#This Row],[Estimated Concrete Demand (m³)]]="","",
IF(Market_Data[[#This Row],[Estimated Concrete Demand (m³)]]&lt;10000,"Small",
IF(Market_Data[[#This Row],[Estimated Concrete Demand (m³)]]&lt;25000,"Medium",
IF(Market_Data[[#This Row],[Estimated Concrete Demand (m³)]]&lt;100000,"Large","Mega"))))</f>
        <v>Large</v>
      </c>
      <c r="P2063" s="287" t="str">
        <f t="shared" si="34"/>
        <v>GujRERA</v>
      </c>
    </row>
    <row r="2064" spans="1:16">
      <c r="A2064" s="129" t="str">
        <f>_xlfn.XLOOKUP(B2064,$S$9:$S$14,$T$9:$T$14)&amp;"-"&amp;
IF(E2064="Residential/Group Housing","RES",
IF(E2064="Commercial","COM",
IF(E2064="Mixed Development","MIX",
IF(E2064="Plotted Development","PLT","OTH"))))
&amp;"-"&amp;TEXT(COUNTIFS($B$9:B2064,B2064,$E$9:E2064,E2064),"0000")</f>
        <v>SUR-COM-0327</v>
      </c>
      <c r="B2064" s="322" t="s">
        <v>34</v>
      </c>
      <c r="C2064" s="322" t="s">
        <v>34</v>
      </c>
      <c r="D2064" s="323" t="s">
        <v>2254</v>
      </c>
      <c r="E2064" s="132" t="s">
        <v>23</v>
      </c>
      <c r="F2064" s="97" t="str">
        <f ca="1">IF(OR(Market_Data[[#This Row],[Start Date]]="",Market_Data[[#This Row],[Completion Date]]=""),"Needs Validation",IF(Market_Data[[#This Row],[Start Date]]&gt;TODAY(),"Planned",IF(Market_Data[[#This Row],[Completion Date]]&lt;TODAY(),"Completed","Ongoing")))</f>
        <v>Completed</v>
      </c>
      <c r="G2064" s="324">
        <v>42729</v>
      </c>
      <c r="H2064" s="324">
        <v>43830</v>
      </c>
      <c r="I2064" s="325">
        <v>15500</v>
      </c>
      <c r="J206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64" s="133">
        <f>_xlfn.XLOOKUP(Market_Data[[#This Row],[Project Type]],tbl_assumptions_market[Project Category (RERA)],tbl_assumptions_market[Concrete Intensity
(m³ / sq m BUA)],"",0)</f>
        <v>0.5</v>
      </c>
      <c r="L2064" s="134">
        <f>ROUND(Market_Data[[#This Row],[Estimated Built Up Area (sq m)]]*Market_Data[[#This Row],[Concrete Intensity
(m³ / sq m)]],0)</f>
        <v>7750</v>
      </c>
      <c r="M2064" s="135">
        <f>_xlfn.XLOOKUP(Market_Data[[#This Row],[District]],tbl_district_price[District],tbl_district_price[Standard Price
(INR/m³)],"",0)</f>
        <v>6200</v>
      </c>
      <c r="N2064" s="364">
        <f>IF(OR(Market_Data[[#This Row],[Estimated Concrete Demand (m³)]]="",Market_Data[[#This Row],[Avg Price per (₹ / m³)]]=""),"",Market_Data[[#This Row],[Estimated Concrete Demand (m³)]]*Market_Data[[#This Row],[Avg Price per (₹ / m³)]]/10000000)</f>
        <v>4.8049999999999997</v>
      </c>
      <c r="O2064" s="97" t="str">
        <f>IF(Market_Data[[#This Row],[Estimated Concrete Demand (m³)]]="","",
IF(Market_Data[[#This Row],[Estimated Concrete Demand (m³)]]&lt;10000,"Small",
IF(Market_Data[[#This Row],[Estimated Concrete Demand (m³)]]&lt;25000,"Medium",
IF(Market_Data[[#This Row],[Estimated Concrete Demand (m³)]]&lt;100000,"Large","Mega"))))</f>
        <v>Small</v>
      </c>
      <c r="P2064" s="287" t="str">
        <f t="shared" si="34"/>
        <v>GujRERA</v>
      </c>
    </row>
    <row r="2065" spans="1:16">
      <c r="A2065" s="129" t="str">
        <f>_xlfn.XLOOKUP(B2065,$S$9:$S$14,$T$9:$T$14)&amp;"-"&amp;
IF(E2065="Residential/Group Housing","RES",
IF(E2065="Commercial","COM",
IF(E2065="Mixed Development","MIX",
IF(E2065="Plotted Development","PLT","OTH"))))
&amp;"-"&amp;TEXT(COUNTIFS($B$9:B2065,B2065,$E$9:E2065,E2065),"0000")</f>
        <v>SUR-PLT-0397</v>
      </c>
      <c r="B2065" s="322" t="s">
        <v>34</v>
      </c>
      <c r="C2065" s="322" t="s">
        <v>34</v>
      </c>
      <c r="D2065" s="323" t="s">
        <v>2255</v>
      </c>
      <c r="E2065" s="132" t="s">
        <v>26</v>
      </c>
      <c r="F2065" s="97" t="str">
        <f ca="1">IF(OR(Market_Data[[#This Row],[Start Date]]="",Market_Data[[#This Row],[Completion Date]]=""),"Needs Validation",IF(Market_Data[[#This Row],[Start Date]]&gt;TODAY(),"Planned",IF(Market_Data[[#This Row],[Completion Date]]&lt;TODAY(),"Completed","Ongoing")))</f>
        <v>Ongoing</v>
      </c>
      <c r="G2065" s="324">
        <v>45413</v>
      </c>
      <c r="H2065" s="324">
        <v>46387</v>
      </c>
      <c r="I2065" s="325">
        <v>56800</v>
      </c>
      <c r="J206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065" s="133">
        <f>_xlfn.XLOOKUP(Market_Data[[#This Row],[Project Type]],tbl_assumptions_market[Project Category (RERA)],tbl_assumptions_market[Concrete Intensity
(m³ / sq m BUA)],"",0)</f>
        <v>0.18</v>
      </c>
      <c r="L2065" s="134">
        <f>ROUND(Market_Data[[#This Row],[Estimated Built Up Area (sq m)]]*Market_Data[[#This Row],[Concrete Intensity
(m³ / sq m)]],0)</f>
        <v>10224</v>
      </c>
      <c r="M2065" s="135">
        <f>_xlfn.XLOOKUP(Market_Data[[#This Row],[District]],tbl_district_price[District],tbl_district_price[Standard Price
(INR/m³)],"",0)</f>
        <v>6200</v>
      </c>
      <c r="N2065" s="364">
        <f>IF(OR(Market_Data[[#This Row],[Estimated Concrete Demand (m³)]]="",Market_Data[[#This Row],[Avg Price per (₹ / m³)]]=""),"",Market_Data[[#This Row],[Estimated Concrete Demand (m³)]]*Market_Data[[#This Row],[Avg Price per (₹ / m³)]]/10000000)</f>
        <v>6.3388799999999996</v>
      </c>
      <c r="O2065" s="97" t="str">
        <f>IF(Market_Data[[#This Row],[Estimated Concrete Demand (m³)]]="","",
IF(Market_Data[[#This Row],[Estimated Concrete Demand (m³)]]&lt;10000,"Small",
IF(Market_Data[[#This Row],[Estimated Concrete Demand (m³)]]&lt;25000,"Medium",
IF(Market_Data[[#This Row],[Estimated Concrete Demand (m³)]]&lt;100000,"Large","Mega"))))</f>
        <v>Medium</v>
      </c>
      <c r="P2065" s="287" t="str">
        <f t="shared" si="34"/>
        <v>GujRERA</v>
      </c>
    </row>
    <row r="2066" spans="1:16">
      <c r="A2066" s="129" t="str">
        <f>_xlfn.XLOOKUP(B2066,$S$9:$S$14,$T$9:$T$14)&amp;"-"&amp;
IF(E2066="Residential/Group Housing","RES",
IF(E2066="Commercial","COM",
IF(E2066="Mixed Development","MIX",
IF(E2066="Plotted Development","PLT","OTH"))))
&amp;"-"&amp;TEXT(COUNTIFS($B$9:B2066,B2066,$E$9:E2066,E2066),"0000")</f>
        <v>SUR-MIX-0349</v>
      </c>
      <c r="B2066" s="322" t="s">
        <v>34</v>
      </c>
      <c r="C2066" s="322" t="s">
        <v>34</v>
      </c>
      <c r="D2066" s="323" t="s">
        <v>2256</v>
      </c>
      <c r="E2066" s="132" t="s">
        <v>25</v>
      </c>
      <c r="F2066" s="97" t="str">
        <f ca="1">IF(OR(Market_Data[[#This Row],[Start Date]]="",Market_Data[[#This Row],[Completion Date]]=""),"Needs Validation",IF(Market_Data[[#This Row],[Start Date]]&gt;TODAY(),"Planned",IF(Market_Data[[#This Row],[Completion Date]]&lt;TODAY(),"Completed","Ongoing")))</f>
        <v>Completed</v>
      </c>
      <c r="G2066" s="324">
        <v>42826</v>
      </c>
      <c r="H2066" s="324">
        <v>44134</v>
      </c>
      <c r="I2066" s="325">
        <v>57700</v>
      </c>
      <c r="J206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66" s="133">
        <f>_xlfn.XLOOKUP(Market_Data[[#This Row],[Project Type]],tbl_assumptions_market[Project Category (RERA)],tbl_assumptions_market[Concrete Intensity
(m³ / sq m BUA)],"",0)</f>
        <v>0.42</v>
      </c>
      <c r="L2066" s="134">
        <f>ROUND(Market_Data[[#This Row],[Estimated Built Up Area (sq m)]]*Market_Data[[#This Row],[Concrete Intensity
(m³ / sq m)]],0)</f>
        <v>24234</v>
      </c>
      <c r="M2066" s="135">
        <f>_xlfn.XLOOKUP(Market_Data[[#This Row],[District]],tbl_district_price[District],tbl_district_price[Standard Price
(INR/m³)],"",0)</f>
        <v>6200</v>
      </c>
      <c r="N2066" s="364">
        <f>IF(OR(Market_Data[[#This Row],[Estimated Concrete Demand (m³)]]="",Market_Data[[#This Row],[Avg Price per (₹ / m³)]]=""),"",Market_Data[[#This Row],[Estimated Concrete Demand (m³)]]*Market_Data[[#This Row],[Avg Price per (₹ / m³)]]/10000000)</f>
        <v>15.025080000000001</v>
      </c>
      <c r="O2066" s="97" t="str">
        <f>IF(Market_Data[[#This Row],[Estimated Concrete Demand (m³)]]="","",
IF(Market_Data[[#This Row],[Estimated Concrete Demand (m³)]]&lt;10000,"Small",
IF(Market_Data[[#This Row],[Estimated Concrete Demand (m³)]]&lt;25000,"Medium",
IF(Market_Data[[#This Row],[Estimated Concrete Demand (m³)]]&lt;100000,"Large","Mega"))))</f>
        <v>Medium</v>
      </c>
      <c r="P2066" s="287" t="str">
        <f t="shared" si="34"/>
        <v>GujRERA</v>
      </c>
    </row>
    <row r="2067" spans="1:16">
      <c r="A2067" s="129" t="str">
        <f>_xlfn.XLOOKUP(B2067,$S$9:$S$14,$T$9:$T$14)&amp;"-"&amp;
IF(E2067="Residential/Group Housing","RES",
IF(E2067="Commercial","COM",
IF(E2067="Mixed Development","MIX",
IF(E2067="Plotted Development","PLT","OTH"))))
&amp;"-"&amp;TEXT(COUNTIFS($B$9:B2067,B2067,$E$9:E2067,E2067),"0000")</f>
        <v>SUR-MIX-0350</v>
      </c>
      <c r="B2067" s="322" t="s">
        <v>34</v>
      </c>
      <c r="C2067" s="322" t="s">
        <v>34</v>
      </c>
      <c r="D2067" s="323" t="s">
        <v>2257</v>
      </c>
      <c r="E2067" s="132" t="s">
        <v>25</v>
      </c>
      <c r="F2067" s="97" t="str">
        <f ca="1">IF(OR(Market_Data[[#This Row],[Start Date]]="",Market_Data[[#This Row],[Completion Date]]=""),"Needs Validation",IF(Market_Data[[#This Row],[Start Date]]&gt;TODAY(),"Planned",IF(Market_Data[[#This Row],[Completion Date]]&lt;TODAY(),"Completed","Ongoing")))</f>
        <v>Ongoing</v>
      </c>
      <c r="G2067" s="324">
        <v>44854</v>
      </c>
      <c r="H2067" s="324">
        <v>47118</v>
      </c>
      <c r="I2067" s="325">
        <v>35700</v>
      </c>
      <c r="J206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67" s="133">
        <f>_xlfn.XLOOKUP(Market_Data[[#This Row],[Project Type]],tbl_assumptions_market[Project Category (RERA)],tbl_assumptions_market[Concrete Intensity
(m³ / sq m BUA)],"",0)</f>
        <v>0.42</v>
      </c>
      <c r="L2067" s="134">
        <f>ROUND(Market_Data[[#This Row],[Estimated Built Up Area (sq m)]]*Market_Data[[#This Row],[Concrete Intensity
(m³ / sq m)]],0)</f>
        <v>14994</v>
      </c>
      <c r="M2067" s="135">
        <f>_xlfn.XLOOKUP(Market_Data[[#This Row],[District]],tbl_district_price[District],tbl_district_price[Standard Price
(INR/m³)],"",0)</f>
        <v>6200</v>
      </c>
      <c r="N2067" s="364">
        <f>IF(OR(Market_Data[[#This Row],[Estimated Concrete Demand (m³)]]="",Market_Data[[#This Row],[Avg Price per (₹ / m³)]]=""),"",Market_Data[[#This Row],[Estimated Concrete Demand (m³)]]*Market_Data[[#This Row],[Avg Price per (₹ / m³)]]/10000000)</f>
        <v>9.2962799999999994</v>
      </c>
      <c r="O2067" s="97" t="str">
        <f>IF(Market_Data[[#This Row],[Estimated Concrete Demand (m³)]]="","",
IF(Market_Data[[#This Row],[Estimated Concrete Demand (m³)]]&lt;10000,"Small",
IF(Market_Data[[#This Row],[Estimated Concrete Demand (m³)]]&lt;25000,"Medium",
IF(Market_Data[[#This Row],[Estimated Concrete Demand (m³)]]&lt;100000,"Large","Mega"))))</f>
        <v>Medium</v>
      </c>
      <c r="P2067" s="287" t="str">
        <f t="shared" si="34"/>
        <v>GujRERA</v>
      </c>
    </row>
    <row r="2068" spans="1:16">
      <c r="A2068" s="129" t="str">
        <f>_xlfn.XLOOKUP(B2068,$S$9:$S$14,$T$9:$T$14)&amp;"-"&amp;
IF(E2068="Residential/Group Housing","RES",
IF(E2068="Commercial","COM",
IF(E2068="Mixed Development","MIX",
IF(E2068="Plotted Development","PLT","OTH"))))
&amp;"-"&amp;TEXT(COUNTIFS($B$9:B2068,B2068,$E$9:E2068,E2068),"0000")</f>
        <v>SUR-COM-0328</v>
      </c>
      <c r="B2068" s="322" t="s">
        <v>34</v>
      </c>
      <c r="C2068" s="322" t="s">
        <v>34</v>
      </c>
      <c r="D2068" s="323" t="s">
        <v>2258</v>
      </c>
      <c r="E2068" s="132" t="s">
        <v>23</v>
      </c>
      <c r="F2068" s="97" t="str">
        <f ca="1">IF(OR(Market_Data[[#This Row],[Start Date]]="",Market_Data[[#This Row],[Completion Date]]=""),"Needs Validation",IF(Market_Data[[#This Row],[Start Date]]&gt;TODAY(),"Planned",IF(Market_Data[[#This Row],[Completion Date]]&lt;TODAY(),"Completed","Ongoing")))</f>
        <v>Completed</v>
      </c>
      <c r="G2068" s="324">
        <v>42623</v>
      </c>
      <c r="H2068" s="324">
        <v>43814</v>
      </c>
      <c r="I2068" s="325">
        <v>6600</v>
      </c>
      <c r="J206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68" s="133">
        <f>_xlfn.XLOOKUP(Market_Data[[#This Row],[Project Type]],tbl_assumptions_market[Project Category (RERA)],tbl_assumptions_market[Concrete Intensity
(m³ / sq m BUA)],"",0)</f>
        <v>0.5</v>
      </c>
      <c r="L2068" s="134">
        <f>ROUND(Market_Data[[#This Row],[Estimated Built Up Area (sq m)]]*Market_Data[[#This Row],[Concrete Intensity
(m³ / sq m)]],0)</f>
        <v>3300</v>
      </c>
      <c r="M2068" s="135">
        <f>_xlfn.XLOOKUP(Market_Data[[#This Row],[District]],tbl_district_price[District],tbl_district_price[Standard Price
(INR/m³)],"",0)</f>
        <v>6200</v>
      </c>
      <c r="N2068" s="364">
        <f>IF(OR(Market_Data[[#This Row],[Estimated Concrete Demand (m³)]]="",Market_Data[[#This Row],[Avg Price per (₹ / m³)]]=""),"",Market_Data[[#This Row],[Estimated Concrete Demand (m³)]]*Market_Data[[#This Row],[Avg Price per (₹ / m³)]]/10000000)</f>
        <v>2.0459999999999998</v>
      </c>
      <c r="O2068" s="97" t="str">
        <f>IF(Market_Data[[#This Row],[Estimated Concrete Demand (m³)]]="","",
IF(Market_Data[[#This Row],[Estimated Concrete Demand (m³)]]&lt;10000,"Small",
IF(Market_Data[[#This Row],[Estimated Concrete Demand (m³)]]&lt;25000,"Medium",
IF(Market_Data[[#This Row],[Estimated Concrete Demand (m³)]]&lt;100000,"Large","Mega"))))</f>
        <v>Small</v>
      </c>
      <c r="P2068" s="287" t="str">
        <f t="shared" si="34"/>
        <v>GujRERA</v>
      </c>
    </row>
    <row r="2069" spans="1:16">
      <c r="A2069" s="129" t="str">
        <f>_xlfn.XLOOKUP(B2069,$S$9:$S$14,$T$9:$T$14)&amp;"-"&amp;
IF(E2069="Residential/Group Housing","RES",
IF(E2069="Commercial","COM",
IF(E2069="Mixed Development","MIX",
IF(E2069="Plotted Development","PLT","OTH"))))
&amp;"-"&amp;TEXT(COUNTIFS($B$9:B2069,B2069,$E$9:E2069,E2069),"0000")</f>
        <v>SUR-RES-0676</v>
      </c>
      <c r="B2069" s="322" t="s">
        <v>34</v>
      </c>
      <c r="C2069" s="322" t="s">
        <v>34</v>
      </c>
      <c r="D2069" s="323" t="s">
        <v>2259</v>
      </c>
      <c r="E2069" s="132" t="s">
        <v>24</v>
      </c>
      <c r="F2069" s="97" t="str">
        <f ca="1">IF(OR(Market_Data[[#This Row],[Start Date]]="",Market_Data[[#This Row],[Completion Date]]=""),"Needs Validation",IF(Market_Data[[#This Row],[Start Date]]&gt;TODAY(),"Planned",IF(Market_Data[[#This Row],[Completion Date]]&lt;TODAY(),"Completed","Ongoing")))</f>
        <v>Completed</v>
      </c>
      <c r="G2069" s="324">
        <v>42380</v>
      </c>
      <c r="H2069" s="324">
        <v>45015</v>
      </c>
      <c r="I2069" s="325">
        <v>44600</v>
      </c>
      <c r="J206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69" s="133">
        <f>_xlfn.XLOOKUP(Market_Data[[#This Row],[Project Type]],tbl_assumptions_market[Project Category (RERA)],tbl_assumptions_market[Concrete Intensity
(m³ / sq m BUA)],"",0)</f>
        <v>0.45</v>
      </c>
      <c r="L2069" s="134">
        <f>ROUND(Market_Data[[#This Row],[Estimated Built Up Area (sq m)]]*Market_Data[[#This Row],[Concrete Intensity
(m³ / sq m)]],0)</f>
        <v>20070</v>
      </c>
      <c r="M2069" s="135">
        <f>_xlfn.XLOOKUP(Market_Data[[#This Row],[District]],tbl_district_price[District],tbl_district_price[Standard Price
(INR/m³)],"",0)</f>
        <v>6200</v>
      </c>
      <c r="N2069" s="364">
        <f>IF(OR(Market_Data[[#This Row],[Estimated Concrete Demand (m³)]]="",Market_Data[[#This Row],[Avg Price per (₹ / m³)]]=""),"",Market_Data[[#This Row],[Estimated Concrete Demand (m³)]]*Market_Data[[#This Row],[Avg Price per (₹ / m³)]]/10000000)</f>
        <v>12.4434</v>
      </c>
      <c r="O2069" s="97" t="str">
        <f>IF(Market_Data[[#This Row],[Estimated Concrete Demand (m³)]]="","",
IF(Market_Data[[#This Row],[Estimated Concrete Demand (m³)]]&lt;10000,"Small",
IF(Market_Data[[#This Row],[Estimated Concrete Demand (m³)]]&lt;25000,"Medium",
IF(Market_Data[[#This Row],[Estimated Concrete Demand (m³)]]&lt;100000,"Large","Mega"))))</f>
        <v>Medium</v>
      </c>
      <c r="P2069" s="287" t="str">
        <f t="shared" si="34"/>
        <v>GujRERA</v>
      </c>
    </row>
    <row r="2070" spans="1:16">
      <c r="A2070" s="129" t="str">
        <f>_xlfn.XLOOKUP(B2070,$S$9:$S$14,$T$9:$T$14)&amp;"-"&amp;
IF(E2070="Residential/Group Housing","RES",
IF(E2070="Commercial","COM",
IF(E2070="Mixed Development","MIX",
IF(E2070="Plotted Development","PLT","OTH"))))
&amp;"-"&amp;TEXT(COUNTIFS($B$9:B2070,B2070,$E$9:E2070,E2070),"0000")</f>
        <v>SUR-PLT-0398</v>
      </c>
      <c r="B2070" s="322" t="s">
        <v>34</v>
      </c>
      <c r="C2070" s="322" t="s">
        <v>34</v>
      </c>
      <c r="D2070" s="323" t="s">
        <v>2260</v>
      </c>
      <c r="E2070" s="132" t="s">
        <v>26</v>
      </c>
      <c r="F2070" s="97" t="str">
        <f ca="1">IF(OR(Market_Data[[#This Row],[Start Date]]="",Market_Data[[#This Row],[Completion Date]]=""),"Needs Validation",IF(Market_Data[[#This Row],[Start Date]]&gt;TODAY(),"Planned",IF(Market_Data[[#This Row],[Completion Date]]&lt;TODAY(),"Completed","Ongoing")))</f>
        <v>Completed</v>
      </c>
      <c r="G2070" s="324">
        <v>44494</v>
      </c>
      <c r="H2070" s="324">
        <v>45291</v>
      </c>
      <c r="I2070" s="325">
        <v>49000</v>
      </c>
      <c r="J207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070" s="133">
        <f>_xlfn.XLOOKUP(Market_Data[[#This Row],[Project Type]],tbl_assumptions_market[Project Category (RERA)],tbl_assumptions_market[Concrete Intensity
(m³ / sq m BUA)],"",0)</f>
        <v>0.18</v>
      </c>
      <c r="L2070" s="134">
        <f>ROUND(Market_Data[[#This Row],[Estimated Built Up Area (sq m)]]*Market_Data[[#This Row],[Concrete Intensity
(m³ / sq m)]],0)</f>
        <v>8820</v>
      </c>
      <c r="M2070" s="135">
        <f>_xlfn.XLOOKUP(Market_Data[[#This Row],[District]],tbl_district_price[District],tbl_district_price[Standard Price
(INR/m³)],"",0)</f>
        <v>6200</v>
      </c>
      <c r="N2070" s="364">
        <f>IF(OR(Market_Data[[#This Row],[Estimated Concrete Demand (m³)]]="",Market_Data[[#This Row],[Avg Price per (₹ / m³)]]=""),"",Market_Data[[#This Row],[Estimated Concrete Demand (m³)]]*Market_Data[[#This Row],[Avg Price per (₹ / m³)]]/10000000)</f>
        <v>5.4683999999999999</v>
      </c>
      <c r="O2070" s="97" t="str">
        <f>IF(Market_Data[[#This Row],[Estimated Concrete Demand (m³)]]="","",
IF(Market_Data[[#This Row],[Estimated Concrete Demand (m³)]]&lt;10000,"Small",
IF(Market_Data[[#This Row],[Estimated Concrete Demand (m³)]]&lt;25000,"Medium",
IF(Market_Data[[#This Row],[Estimated Concrete Demand (m³)]]&lt;100000,"Large","Mega"))))</f>
        <v>Small</v>
      </c>
      <c r="P2070" s="287" t="str">
        <f t="shared" si="34"/>
        <v>GujRERA</v>
      </c>
    </row>
    <row r="2071" spans="1:16">
      <c r="A2071" s="129" t="str">
        <f>_xlfn.XLOOKUP(B2071,$S$9:$S$14,$T$9:$T$14)&amp;"-"&amp;
IF(E2071="Residential/Group Housing","RES",
IF(E2071="Commercial","COM",
IF(E2071="Mixed Development","MIX",
IF(E2071="Plotted Development","PLT","OTH"))))
&amp;"-"&amp;TEXT(COUNTIFS($B$9:B2071,B2071,$E$9:E2071,E2071),"0000")</f>
        <v>SUR-PLT-0399</v>
      </c>
      <c r="B2071" s="322" t="s">
        <v>34</v>
      </c>
      <c r="C2071" s="322" t="s">
        <v>34</v>
      </c>
      <c r="D2071" s="323" t="s">
        <v>2261</v>
      </c>
      <c r="E2071" s="132" t="s">
        <v>26</v>
      </c>
      <c r="F2071" s="97" t="str">
        <f ca="1">IF(OR(Market_Data[[#This Row],[Start Date]]="",Market_Data[[#This Row],[Completion Date]]=""),"Needs Validation",IF(Market_Data[[#This Row],[Start Date]]&gt;TODAY(),"Planned",IF(Market_Data[[#This Row],[Completion Date]]&lt;TODAY(),"Completed","Ongoing")))</f>
        <v>Completed</v>
      </c>
      <c r="G2071" s="324">
        <v>44762</v>
      </c>
      <c r="H2071" s="324">
        <v>45291</v>
      </c>
      <c r="I2071" s="325">
        <v>4600</v>
      </c>
      <c r="J207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71" s="133">
        <f>_xlfn.XLOOKUP(Market_Data[[#This Row],[Project Type]],tbl_assumptions_market[Project Category (RERA)],tbl_assumptions_market[Concrete Intensity
(m³ / sq m BUA)],"",0)</f>
        <v>0.18</v>
      </c>
      <c r="L2071" s="134">
        <f>ROUND(Market_Data[[#This Row],[Estimated Built Up Area (sq m)]]*Market_Data[[#This Row],[Concrete Intensity
(m³ / sq m)]],0)</f>
        <v>828</v>
      </c>
      <c r="M2071" s="135">
        <f>_xlfn.XLOOKUP(Market_Data[[#This Row],[District]],tbl_district_price[District],tbl_district_price[Standard Price
(INR/m³)],"",0)</f>
        <v>6200</v>
      </c>
      <c r="N2071" s="364">
        <f>IF(OR(Market_Data[[#This Row],[Estimated Concrete Demand (m³)]]="",Market_Data[[#This Row],[Avg Price per (₹ / m³)]]=""),"",Market_Data[[#This Row],[Estimated Concrete Demand (m³)]]*Market_Data[[#This Row],[Avg Price per (₹ / m³)]]/10000000)</f>
        <v>0.51336000000000004</v>
      </c>
      <c r="O2071" s="97" t="str">
        <f>IF(Market_Data[[#This Row],[Estimated Concrete Demand (m³)]]="","",
IF(Market_Data[[#This Row],[Estimated Concrete Demand (m³)]]&lt;10000,"Small",
IF(Market_Data[[#This Row],[Estimated Concrete Demand (m³)]]&lt;25000,"Medium",
IF(Market_Data[[#This Row],[Estimated Concrete Demand (m³)]]&lt;100000,"Large","Mega"))))</f>
        <v>Small</v>
      </c>
      <c r="P2071" s="287" t="str">
        <f t="shared" si="34"/>
        <v>GujRERA</v>
      </c>
    </row>
    <row r="2072" spans="1:16">
      <c r="A2072" s="129" t="str">
        <f>_xlfn.XLOOKUP(B2072,$S$9:$S$14,$T$9:$T$14)&amp;"-"&amp;
IF(E2072="Residential/Group Housing","RES",
IF(E2072="Commercial","COM",
IF(E2072="Mixed Development","MIX",
IF(E2072="Plotted Development","PLT","OTH"))))
&amp;"-"&amp;TEXT(COUNTIFS($B$9:B2072,B2072,$E$9:E2072,E2072),"0000")</f>
        <v>SUR-MIX-0351</v>
      </c>
      <c r="B2072" s="322" t="s">
        <v>34</v>
      </c>
      <c r="C2072" s="322" t="s">
        <v>34</v>
      </c>
      <c r="D2072" s="323" t="s">
        <v>2262</v>
      </c>
      <c r="E2072" s="132" t="s">
        <v>25</v>
      </c>
      <c r="F2072" s="97" t="str">
        <f ca="1">IF(OR(Market_Data[[#This Row],[Start Date]]="",Market_Data[[#This Row],[Completion Date]]=""),"Needs Validation",IF(Market_Data[[#This Row],[Start Date]]&gt;TODAY(),"Planned",IF(Market_Data[[#This Row],[Completion Date]]&lt;TODAY(),"Completed","Ongoing")))</f>
        <v>Ongoing</v>
      </c>
      <c r="G2072" s="324">
        <v>44476</v>
      </c>
      <c r="H2072" s="324">
        <v>46752</v>
      </c>
      <c r="I2072" s="325">
        <v>43600</v>
      </c>
      <c r="J207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72" s="133">
        <f>_xlfn.XLOOKUP(Market_Data[[#This Row],[Project Type]],tbl_assumptions_market[Project Category (RERA)],tbl_assumptions_market[Concrete Intensity
(m³ / sq m BUA)],"",0)</f>
        <v>0.42</v>
      </c>
      <c r="L2072" s="134">
        <f>ROUND(Market_Data[[#This Row],[Estimated Built Up Area (sq m)]]*Market_Data[[#This Row],[Concrete Intensity
(m³ / sq m)]],0)</f>
        <v>18312</v>
      </c>
      <c r="M2072" s="135">
        <f>_xlfn.XLOOKUP(Market_Data[[#This Row],[District]],tbl_district_price[District],tbl_district_price[Standard Price
(INR/m³)],"",0)</f>
        <v>6200</v>
      </c>
      <c r="N2072" s="364">
        <f>IF(OR(Market_Data[[#This Row],[Estimated Concrete Demand (m³)]]="",Market_Data[[#This Row],[Avg Price per (₹ / m³)]]=""),"",Market_Data[[#This Row],[Estimated Concrete Demand (m³)]]*Market_Data[[#This Row],[Avg Price per (₹ / m³)]]/10000000)</f>
        <v>11.353440000000001</v>
      </c>
      <c r="O2072" s="97" t="str">
        <f>IF(Market_Data[[#This Row],[Estimated Concrete Demand (m³)]]="","",
IF(Market_Data[[#This Row],[Estimated Concrete Demand (m³)]]&lt;10000,"Small",
IF(Market_Data[[#This Row],[Estimated Concrete Demand (m³)]]&lt;25000,"Medium",
IF(Market_Data[[#This Row],[Estimated Concrete Demand (m³)]]&lt;100000,"Large","Mega"))))</f>
        <v>Medium</v>
      </c>
      <c r="P2072" s="287" t="str">
        <f t="shared" si="34"/>
        <v>GujRERA</v>
      </c>
    </row>
    <row r="2073" spans="1:16">
      <c r="A2073" s="129" t="str">
        <f>_xlfn.XLOOKUP(B2073,$S$9:$S$14,$T$9:$T$14)&amp;"-"&amp;
IF(E2073="Residential/Group Housing","RES",
IF(E2073="Commercial","COM",
IF(E2073="Mixed Development","MIX",
IF(E2073="Plotted Development","PLT","OTH"))))
&amp;"-"&amp;TEXT(COUNTIFS($B$9:B2073,B2073,$E$9:E2073,E2073),"0000")</f>
        <v>SUR-MIX-0352</v>
      </c>
      <c r="B2073" s="322" t="s">
        <v>34</v>
      </c>
      <c r="C2073" s="322" t="s">
        <v>34</v>
      </c>
      <c r="D2073" s="323" t="s">
        <v>2263</v>
      </c>
      <c r="E2073" s="132" t="s">
        <v>25</v>
      </c>
      <c r="F2073" s="97" t="str">
        <f ca="1">IF(OR(Market_Data[[#This Row],[Start Date]]="",Market_Data[[#This Row],[Completion Date]]=""),"Needs Validation",IF(Market_Data[[#This Row],[Start Date]]&gt;TODAY(),"Planned",IF(Market_Data[[#This Row],[Completion Date]]&lt;TODAY(),"Completed","Ongoing")))</f>
        <v>Ongoing</v>
      </c>
      <c r="G2073" s="324">
        <v>45684</v>
      </c>
      <c r="H2073" s="324">
        <v>47483</v>
      </c>
      <c r="I2073" s="325">
        <v>45800</v>
      </c>
      <c r="J207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73" s="133">
        <f>_xlfn.XLOOKUP(Market_Data[[#This Row],[Project Type]],tbl_assumptions_market[Project Category (RERA)],tbl_assumptions_market[Concrete Intensity
(m³ / sq m BUA)],"",0)</f>
        <v>0.42</v>
      </c>
      <c r="L2073" s="134">
        <f>ROUND(Market_Data[[#This Row],[Estimated Built Up Area (sq m)]]*Market_Data[[#This Row],[Concrete Intensity
(m³ / sq m)]],0)</f>
        <v>19236</v>
      </c>
      <c r="M2073" s="135">
        <f>_xlfn.XLOOKUP(Market_Data[[#This Row],[District]],tbl_district_price[District],tbl_district_price[Standard Price
(INR/m³)],"",0)</f>
        <v>6200</v>
      </c>
      <c r="N2073" s="364">
        <f>IF(OR(Market_Data[[#This Row],[Estimated Concrete Demand (m³)]]="",Market_Data[[#This Row],[Avg Price per (₹ / m³)]]=""),"",Market_Data[[#This Row],[Estimated Concrete Demand (m³)]]*Market_Data[[#This Row],[Avg Price per (₹ / m³)]]/10000000)</f>
        <v>11.92632</v>
      </c>
      <c r="O2073" s="97" t="str">
        <f>IF(Market_Data[[#This Row],[Estimated Concrete Demand (m³)]]="","",
IF(Market_Data[[#This Row],[Estimated Concrete Demand (m³)]]&lt;10000,"Small",
IF(Market_Data[[#This Row],[Estimated Concrete Demand (m³)]]&lt;25000,"Medium",
IF(Market_Data[[#This Row],[Estimated Concrete Demand (m³)]]&lt;100000,"Large","Mega"))))</f>
        <v>Medium</v>
      </c>
      <c r="P2073" s="287" t="str">
        <f t="shared" si="34"/>
        <v>GujRERA</v>
      </c>
    </row>
    <row r="2074" spans="1:16">
      <c r="A2074" s="129" t="str">
        <f>_xlfn.XLOOKUP(B2074,$S$9:$S$14,$T$9:$T$14)&amp;"-"&amp;
IF(E2074="Residential/Group Housing","RES",
IF(E2074="Commercial","COM",
IF(E2074="Mixed Development","MIX",
IF(E2074="Plotted Development","PLT","OTH"))))
&amp;"-"&amp;TEXT(COUNTIFS($B$9:B2074,B2074,$E$9:E2074,E2074),"0000")</f>
        <v>SUR-MIX-0353</v>
      </c>
      <c r="B2074" s="322" t="s">
        <v>34</v>
      </c>
      <c r="C2074" s="322" t="s">
        <v>34</v>
      </c>
      <c r="D2074" s="323" t="s">
        <v>2264</v>
      </c>
      <c r="E2074" s="132" t="s">
        <v>25</v>
      </c>
      <c r="F2074" s="97" t="str">
        <f ca="1">IF(OR(Market_Data[[#This Row],[Start Date]]="",Market_Data[[#This Row],[Completion Date]]=""),"Needs Validation",IF(Market_Data[[#This Row],[Start Date]]&gt;TODAY(),"Planned",IF(Market_Data[[#This Row],[Completion Date]]&lt;TODAY(),"Completed","Ongoing")))</f>
        <v>Completed</v>
      </c>
      <c r="G2074" s="324">
        <v>42583</v>
      </c>
      <c r="H2074" s="324">
        <v>45473</v>
      </c>
      <c r="I2074" s="325">
        <v>48400</v>
      </c>
      <c r="J207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74" s="133">
        <f>_xlfn.XLOOKUP(Market_Data[[#This Row],[Project Type]],tbl_assumptions_market[Project Category (RERA)],tbl_assumptions_market[Concrete Intensity
(m³ / sq m BUA)],"",0)</f>
        <v>0.42</v>
      </c>
      <c r="L2074" s="134">
        <f>ROUND(Market_Data[[#This Row],[Estimated Built Up Area (sq m)]]*Market_Data[[#This Row],[Concrete Intensity
(m³ / sq m)]],0)</f>
        <v>20328</v>
      </c>
      <c r="M2074" s="135">
        <f>_xlfn.XLOOKUP(Market_Data[[#This Row],[District]],tbl_district_price[District],tbl_district_price[Standard Price
(INR/m³)],"",0)</f>
        <v>6200</v>
      </c>
      <c r="N2074" s="364">
        <f>IF(OR(Market_Data[[#This Row],[Estimated Concrete Demand (m³)]]="",Market_Data[[#This Row],[Avg Price per (₹ / m³)]]=""),"",Market_Data[[#This Row],[Estimated Concrete Demand (m³)]]*Market_Data[[#This Row],[Avg Price per (₹ / m³)]]/10000000)</f>
        <v>12.60336</v>
      </c>
      <c r="O2074" s="97" t="str">
        <f>IF(Market_Data[[#This Row],[Estimated Concrete Demand (m³)]]="","",
IF(Market_Data[[#This Row],[Estimated Concrete Demand (m³)]]&lt;10000,"Small",
IF(Market_Data[[#This Row],[Estimated Concrete Demand (m³)]]&lt;25000,"Medium",
IF(Market_Data[[#This Row],[Estimated Concrete Demand (m³)]]&lt;100000,"Large","Mega"))))</f>
        <v>Medium</v>
      </c>
      <c r="P2074" s="287" t="str">
        <f t="shared" si="34"/>
        <v>GujRERA</v>
      </c>
    </row>
    <row r="2075" spans="1:16">
      <c r="A2075" s="129" t="str">
        <f>_xlfn.XLOOKUP(B2075,$S$9:$S$14,$T$9:$T$14)&amp;"-"&amp;
IF(E2075="Residential/Group Housing","RES",
IF(E2075="Commercial","COM",
IF(E2075="Mixed Development","MIX",
IF(E2075="Plotted Development","PLT","OTH"))))
&amp;"-"&amp;TEXT(COUNTIFS($B$9:B2075,B2075,$E$9:E2075,E2075),"0000")</f>
        <v>SUR-PLT-0400</v>
      </c>
      <c r="B2075" s="322" t="s">
        <v>34</v>
      </c>
      <c r="C2075" s="322" t="s">
        <v>34</v>
      </c>
      <c r="D2075" s="323" t="s">
        <v>2265</v>
      </c>
      <c r="E2075" s="132" t="s">
        <v>26</v>
      </c>
      <c r="F2075" s="97" t="str">
        <f ca="1">IF(OR(Market_Data[[#This Row],[Start Date]]="",Market_Data[[#This Row],[Completion Date]]=""),"Needs Validation",IF(Market_Data[[#This Row],[Start Date]]&gt;TODAY(),"Planned",IF(Market_Data[[#This Row],[Completion Date]]&lt;TODAY(),"Completed","Ongoing")))</f>
        <v>Completed</v>
      </c>
      <c r="G2075" s="324">
        <v>44105</v>
      </c>
      <c r="H2075" s="324">
        <v>44651</v>
      </c>
      <c r="I2075" s="325">
        <v>8000</v>
      </c>
      <c r="J207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75" s="133">
        <f>_xlfn.XLOOKUP(Market_Data[[#This Row],[Project Type]],tbl_assumptions_market[Project Category (RERA)],tbl_assumptions_market[Concrete Intensity
(m³ / sq m BUA)],"",0)</f>
        <v>0.18</v>
      </c>
      <c r="L2075" s="134">
        <f>ROUND(Market_Data[[#This Row],[Estimated Built Up Area (sq m)]]*Market_Data[[#This Row],[Concrete Intensity
(m³ / sq m)]],0)</f>
        <v>1440</v>
      </c>
      <c r="M2075" s="135">
        <f>_xlfn.XLOOKUP(Market_Data[[#This Row],[District]],tbl_district_price[District],tbl_district_price[Standard Price
(INR/m³)],"",0)</f>
        <v>6200</v>
      </c>
      <c r="N2075" s="364">
        <f>IF(OR(Market_Data[[#This Row],[Estimated Concrete Demand (m³)]]="",Market_Data[[#This Row],[Avg Price per (₹ / m³)]]=""),"",Market_Data[[#This Row],[Estimated Concrete Demand (m³)]]*Market_Data[[#This Row],[Avg Price per (₹ / m³)]]/10000000)</f>
        <v>0.89280000000000004</v>
      </c>
      <c r="O2075" s="97" t="str">
        <f>IF(Market_Data[[#This Row],[Estimated Concrete Demand (m³)]]="","",
IF(Market_Data[[#This Row],[Estimated Concrete Demand (m³)]]&lt;10000,"Small",
IF(Market_Data[[#This Row],[Estimated Concrete Demand (m³)]]&lt;25000,"Medium",
IF(Market_Data[[#This Row],[Estimated Concrete Demand (m³)]]&lt;100000,"Large","Mega"))))</f>
        <v>Small</v>
      </c>
      <c r="P2075" s="287" t="str">
        <f t="shared" si="34"/>
        <v>GujRERA</v>
      </c>
    </row>
    <row r="2076" spans="1:16">
      <c r="A2076" s="129" t="str">
        <f>_xlfn.XLOOKUP(B2076,$S$9:$S$14,$T$9:$T$14)&amp;"-"&amp;
IF(E2076="Residential/Group Housing","RES",
IF(E2076="Commercial","COM",
IF(E2076="Mixed Development","MIX",
IF(E2076="Plotted Development","PLT","OTH"))))
&amp;"-"&amp;TEXT(COUNTIFS($B$9:B2076,B2076,$E$9:E2076,E2076),"0000")</f>
        <v>SUR-RES-0677</v>
      </c>
      <c r="B2076" s="322" t="s">
        <v>34</v>
      </c>
      <c r="C2076" s="322" t="s">
        <v>34</v>
      </c>
      <c r="D2076" s="323" t="s">
        <v>2266</v>
      </c>
      <c r="E2076" s="132" t="s">
        <v>24</v>
      </c>
      <c r="F2076" s="97" t="str">
        <f ca="1">IF(OR(Market_Data[[#This Row],[Start Date]]="",Market_Data[[#This Row],[Completion Date]]=""),"Needs Validation",IF(Market_Data[[#This Row],[Start Date]]&gt;TODAY(),"Planned",IF(Market_Data[[#This Row],[Completion Date]]&lt;TODAY(),"Completed","Ongoing")))</f>
        <v>Completed</v>
      </c>
      <c r="G2076" s="324">
        <v>44851</v>
      </c>
      <c r="H2076" s="324">
        <v>45930</v>
      </c>
      <c r="I2076" s="325">
        <v>52600</v>
      </c>
      <c r="J207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76" s="133">
        <f>_xlfn.XLOOKUP(Market_Data[[#This Row],[Project Type]],tbl_assumptions_market[Project Category (RERA)],tbl_assumptions_market[Concrete Intensity
(m³ / sq m BUA)],"",0)</f>
        <v>0.45</v>
      </c>
      <c r="L2076" s="134">
        <f>ROUND(Market_Data[[#This Row],[Estimated Built Up Area (sq m)]]*Market_Data[[#This Row],[Concrete Intensity
(m³ / sq m)]],0)</f>
        <v>23670</v>
      </c>
      <c r="M2076" s="135">
        <f>_xlfn.XLOOKUP(Market_Data[[#This Row],[District]],tbl_district_price[District],tbl_district_price[Standard Price
(INR/m³)],"",0)</f>
        <v>6200</v>
      </c>
      <c r="N2076" s="364">
        <f>IF(OR(Market_Data[[#This Row],[Estimated Concrete Demand (m³)]]="",Market_Data[[#This Row],[Avg Price per (₹ / m³)]]=""),"",Market_Data[[#This Row],[Estimated Concrete Demand (m³)]]*Market_Data[[#This Row],[Avg Price per (₹ / m³)]]/10000000)</f>
        <v>14.6754</v>
      </c>
      <c r="O2076" s="97" t="str">
        <f>IF(Market_Data[[#This Row],[Estimated Concrete Demand (m³)]]="","",
IF(Market_Data[[#This Row],[Estimated Concrete Demand (m³)]]&lt;10000,"Small",
IF(Market_Data[[#This Row],[Estimated Concrete Demand (m³)]]&lt;25000,"Medium",
IF(Market_Data[[#This Row],[Estimated Concrete Demand (m³)]]&lt;100000,"Large","Mega"))))</f>
        <v>Medium</v>
      </c>
      <c r="P2076" s="287" t="str">
        <f t="shared" si="34"/>
        <v>GujRERA</v>
      </c>
    </row>
    <row r="2077" spans="1:16">
      <c r="A2077" s="129" t="str">
        <f>_xlfn.XLOOKUP(B2077,$S$9:$S$14,$T$9:$T$14)&amp;"-"&amp;
IF(E2077="Residential/Group Housing","RES",
IF(E2077="Commercial","COM",
IF(E2077="Mixed Development","MIX",
IF(E2077="Plotted Development","PLT","OTH"))))
&amp;"-"&amp;TEXT(COUNTIFS($B$9:B2077,B2077,$E$9:E2077,E2077),"0000")</f>
        <v>SUR-RES-0678</v>
      </c>
      <c r="B2077" s="322" t="s">
        <v>34</v>
      </c>
      <c r="C2077" s="322" t="s">
        <v>34</v>
      </c>
      <c r="D2077" s="323" t="s">
        <v>2267</v>
      </c>
      <c r="E2077" s="132" t="s">
        <v>24</v>
      </c>
      <c r="F2077" s="97" t="str">
        <f ca="1">IF(OR(Market_Data[[#This Row],[Start Date]]="",Market_Data[[#This Row],[Completion Date]]=""),"Needs Validation",IF(Market_Data[[#This Row],[Start Date]]&gt;TODAY(),"Planned",IF(Market_Data[[#This Row],[Completion Date]]&lt;TODAY(),"Completed","Ongoing")))</f>
        <v>Ongoing</v>
      </c>
      <c r="G2077" s="324">
        <v>45488</v>
      </c>
      <c r="H2077" s="324">
        <v>46934</v>
      </c>
      <c r="I2077" s="325">
        <v>39200</v>
      </c>
      <c r="J207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77" s="133">
        <f>_xlfn.XLOOKUP(Market_Data[[#This Row],[Project Type]],tbl_assumptions_market[Project Category (RERA)],tbl_assumptions_market[Concrete Intensity
(m³ / sq m BUA)],"",0)</f>
        <v>0.45</v>
      </c>
      <c r="L2077" s="134">
        <f>ROUND(Market_Data[[#This Row],[Estimated Built Up Area (sq m)]]*Market_Data[[#This Row],[Concrete Intensity
(m³ / sq m)]],0)</f>
        <v>17640</v>
      </c>
      <c r="M2077" s="135">
        <f>_xlfn.XLOOKUP(Market_Data[[#This Row],[District]],tbl_district_price[District],tbl_district_price[Standard Price
(INR/m³)],"",0)</f>
        <v>6200</v>
      </c>
      <c r="N2077" s="364">
        <f>IF(OR(Market_Data[[#This Row],[Estimated Concrete Demand (m³)]]="",Market_Data[[#This Row],[Avg Price per (₹ / m³)]]=""),"",Market_Data[[#This Row],[Estimated Concrete Demand (m³)]]*Market_Data[[#This Row],[Avg Price per (₹ / m³)]]/10000000)</f>
        <v>10.9368</v>
      </c>
      <c r="O2077" s="97" t="str">
        <f>IF(Market_Data[[#This Row],[Estimated Concrete Demand (m³)]]="","",
IF(Market_Data[[#This Row],[Estimated Concrete Demand (m³)]]&lt;10000,"Small",
IF(Market_Data[[#This Row],[Estimated Concrete Demand (m³)]]&lt;25000,"Medium",
IF(Market_Data[[#This Row],[Estimated Concrete Demand (m³)]]&lt;100000,"Large","Mega"))))</f>
        <v>Medium</v>
      </c>
      <c r="P2077" s="287" t="str">
        <f t="shared" si="34"/>
        <v>GujRERA</v>
      </c>
    </row>
    <row r="2078" spans="1:16">
      <c r="A2078" s="129" t="str">
        <f>_xlfn.XLOOKUP(B2078,$S$9:$S$14,$T$9:$T$14)&amp;"-"&amp;
IF(E2078="Residential/Group Housing","RES",
IF(E2078="Commercial","COM",
IF(E2078="Mixed Development","MIX",
IF(E2078="Plotted Development","PLT","OTH"))))
&amp;"-"&amp;TEXT(COUNTIFS($B$9:B2078,B2078,$E$9:E2078,E2078),"0000")</f>
        <v>SUR-RES-0679</v>
      </c>
      <c r="B2078" s="322" t="s">
        <v>34</v>
      </c>
      <c r="C2078" s="322" t="s">
        <v>34</v>
      </c>
      <c r="D2078" s="323" t="s">
        <v>2268</v>
      </c>
      <c r="E2078" s="132" t="s">
        <v>24</v>
      </c>
      <c r="F2078" s="97" t="str">
        <f ca="1">IF(OR(Market_Data[[#This Row],[Start Date]]="",Market_Data[[#This Row],[Completion Date]]=""),"Needs Validation",IF(Market_Data[[#This Row],[Start Date]]&gt;TODAY(),"Planned",IF(Market_Data[[#This Row],[Completion Date]]&lt;TODAY(),"Completed","Ongoing")))</f>
        <v>Completed</v>
      </c>
      <c r="G2078" s="324">
        <v>40583</v>
      </c>
      <c r="H2078" s="324">
        <v>44377</v>
      </c>
      <c r="I2078" s="325">
        <v>43300</v>
      </c>
      <c r="J207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78" s="133">
        <f>_xlfn.XLOOKUP(Market_Data[[#This Row],[Project Type]],tbl_assumptions_market[Project Category (RERA)],tbl_assumptions_market[Concrete Intensity
(m³ / sq m BUA)],"",0)</f>
        <v>0.45</v>
      </c>
      <c r="L2078" s="134">
        <f>ROUND(Market_Data[[#This Row],[Estimated Built Up Area (sq m)]]*Market_Data[[#This Row],[Concrete Intensity
(m³ / sq m)]],0)</f>
        <v>19485</v>
      </c>
      <c r="M2078" s="135">
        <f>_xlfn.XLOOKUP(Market_Data[[#This Row],[District]],tbl_district_price[District],tbl_district_price[Standard Price
(INR/m³)],"",0)</f>
        <v>6200</v>
      </c>
      <c r="N2078" s="364">
        <f>IF(OR(Market_Data[[#This Row],[Estimated Concrete Demand (m³)]]="",Market_Data[[#This Row],[Avg Price per (₹ / m³)]]=""),"",Market_Data[[#This Row],[Estimated Concrete Demand (m³)]]*Market_Data[[#This Row],[Avg Price per (₹ / m³)]]/10000000)</f>
        <v>12.0807</v>
      </c>
      <c r="O2078" s="97" t="str">
        <f>IF(Market_Data[[#This Row],[Estimated Concrete Demand (m³)]]="","",
IF(Market_Data[[#This Row],[Estimated Concrete Demand (m³)]]&lt;10000,"Small",
IF(Market_Data[[#This Row],[Estimated Concrete Demand (m³)]]&lt;25000,"Medium",
IF(Market_Data[[#This Row],[Estimated Concrete Demand (m³)]]&lt;100000,"Large","Mega"))))</f>
        <v>Medium</v>
      </c>
      <c r="P2078" s="287" t="str">
        <f t="shared" si="34"/>
        <v>GujRERA</v>
      </c>
    </row>
    <row r="2079" spans="1:16">
      <c r="A2079" s="129" t="str">
        <f>_xlfn.XLOOKUP(B2079,$S$9:$S$14,$T$9:$T$14)&amp;"-"&amp;
IF(E2079="Residential/Group Housing","RES",
IF(E2079="Commercial","COM",
IF(E2079="Mixed Development","MIX",
IF(E2079="Plotted Development","PLT","OTH"))))
&amp;"-"&amp;TEXT(COUNTIFS($B$9:B2079,B2079,$E$9:E2079,E2079),"0000")</f>
        <v>SUR-MIX-0354</v>
      </c>
      <c r="B2079" s="322" t="s">
        <v>34</v>
      </c>
      <c r="C2079" s="322" t="s">
        <v>34</v>
      </c>
      <c r="D2079" s="323" t="s">
        <v>2269</v>
      </c>
      <c r="E2079" s="132" t="s">
        <v>25</v>
      </c>
      <c r="F2079" s="97" t="str">
        <f ca="1">IF(OR(Market_Data[[#This Row],[Start Date]]="",Market_Data[[#This Row],[Completion Date]]=""),"Needs Validation",IF(Market_Data[[#This Row],[Start Date]]&gt;TODAY(),"Planned",IF(Market_Data[[#This Row],[Completion Date]]&lt;TODAY(),"Completed","Ongoing")))</f>
        <v>Completed</v>
      </c>
      <c r="G2079" s="324">
        <v>42387</v>
      </c>
      <c r="H2079" s="324">
        <v>43316</v>
      </c>
      <c r="I2079" s="325">
        <v>50800</v>
      </c>
      <c r="J207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79" s="133">
        <f>_xlfn.XLOOKUP(Market_Data[[#This Row],[Project Type]],tbl_assumptions_market[Project Category (RERA)],tbl_assumptions_market[Concrete Intensity
(m³ / sq m BUA)],"",0)</f>
        <v>0.42</v>
      </c>
      <c r="L2079" s="134">
        <f>ROUND(Market_Data[[#This Row],[Estimated Built Up Area (sq m)]]*Market_Data[[#This Row],[Concrete Intensity
(m³ / sq m)]],0)</f>
        <v>21336</v>
      </c>
      <c r="M2079" s="135">
        <f>_xlfn.XLOOKUP(Market_Data[[#This Row],[District]],tbl_district_price[District],tbl_district_price[Standard Price
(INR/m³)],"",0)</f>
        <v>6200</v>
      </c>
      <c r="N2079" s="364">
        <f>IF(OR(Market_Data[[#This Row],[Estimated Concrete Demand (m³)]]="",Market_Data[[#This Row],[Avg Price per (₹ / m³)]]=""),"",Market_Data[[#This Row],[Estimated Concrete Demand (m³)]]*Market_Data[[#This Row],[Avg Price per (₹ / m³)]]/10000000)</f>
        <v>13.22832</v>
      </c>
      <c r="O2079" s="97" t="str">
        <f>IF(Market_Data[[#This Row],[Estimated Concrete Demand (m³)]]="","",
IF(Market_Data[[#This Row],[Estimated Concrete Demand (m³)]]&lt;10000,"Small",
IF(Market_Data[[#This Row],[Estimated Concrete Demand (m³)]]&lt;25000,"Medium",
IF(Market_Data[[#This Row],[Estimated Concrete Demand (m³)]]&lt;100000,"Large","Mega"))))</f>
        <v>Medium</v>
      </c>
      <c r="P2079" s="287" t="str">
        <f t="shared" si="34"/>
        <v>GujRERA</v>
      </c>
    </row>
    <row r="2080" spans="1:16">
      <c r="A2080" s="129" t="str">
        <f>_xlfn.XLOOKUP(B2080,$S$9:$S$14,$T$9:$T$14)&amp;"-"&amp;
IF(E2080="Residential/Group Housing","RES",
IF(E2080="Commercial","COM",
IF(E2080="Mixed Development","MIX",
IF(E2080="Plotted Development","PLT","OTH"))))
&amp;"-"&amp;TEXT(COUNTIFS($B$9:B2080,B2080,$E$9:E2080,E2080),"0000")</f>
        <v>SUR-RES-0680</v>
      </c>
      <c r="B2080" s="322" t="s">
        <v>34</v>
      </c>
      <c r="C2080" s="322" t="s">
        <v>34</v>
      </c>
      <c r="D2080" s="323" t="s">
        <v>2270</v>
      </c>
      <c r="E2080" s="132" t="s">
        <v>24</v>
      </c>
      <c r="F2080" s="97" t="str">
        <f ca="1">IF(OR(Market_Data[[#This Row],[Start Date]]="",Market_Data[[#This Row],[Completion Date]]=""),"Needs Validation",IF(Market_Data[[#This Row],[Start Date]]&gt;TODAY(),"Planned",IF(Market_Data[[#This Row],[Completion Date]]&lt;TODAY(),"Completed","Ongoing")))</f>
        <v>Ongoing</v>
      </c>
      <c r="G2080" s="324">
        <v>45595</v>
      </c>
      <c r="H2080" s="324">
        <v>47208</v>
      </c>
      <c r="I2080" s="325">
        <v>45100</v>
      </c>
      <c r="J208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80" s="133">
        <f>_xlfn.XLOOKUP(Market_Data[[#This Row],[Project Type]],tbl_assumptions_market[Project Category (RERA)],tbl_assumptions_market[Concrete Intensity
(m³ / sq m BUA)],"",0)</f>
        <v>0.45</v>
      </c>
      <c r="L2080" s="134">
        <f>ROUND(Market_Data[[#This Row],[Estimated Built Up Area (sq m)]]*Market_Data[[#This Row],[Concrete Intensity
(m³ / sq m)]],0)</f>
        <v>20295</v>
      </c>
      <c r="M2080" s="135">
        <f>_xlfn.XLOOKUP(Market_Data[[#This Row],[District]],tbl_district_price[District],tbl_district_price[Standard Price
(INR/m³)],"",0)</f>
        <v>6200</v>
      </c>
      <c r="N2080" s="364">
        <f>IF(OR(Market_Data[[#This Row],[Estimated Concrete Demand (m³)]]="",Market_Data[[#This Row],[Avg Price per (₹ / m³)]]=""),"",Market_Data[[#This Row],[Estimated Concrete Demand (m³)]]*Market_Data[[#This Row],[Avg Price per (₹ / m³)]]/10000000)</f>
        <v>12.5829</v>
      </c>
      <c r="O2080" s="97" t="str">
        <f>IF(Market_Data[[#This Row],[Estimated Concrete Demand (m³)]]="","",
IF(Market_Data[[#This Row],[Estimated Concrete Demand (m³)]]&lt;10000,"Small",
IF(Market_Data[[#This Row],[Estimated Concrete Demand (m³)]]&lt;25000,"Medium",
IF(Market_Data[[#This Row],[Estimated Concrete Demand (m³)]]&lt;100000,"Large","Mega"))))</f>
        <v>Medium</v>
      </c>
      <c r="P2080" s="287" t="str">
        <f t="shared" si="34"/>
        <v>GujRERA</v>
      </c>
    </row>
    <row r="2081" spans="1:16">
      <c r="A2081" s="129" t="str">
        <f>_xlfn.XLOOKUP(B2081,$S$9:$S$14,$T$9:$T$14)&amp;"-"&amp;
IF(E2081="Residential/Group Housing","RES",
IF(E2081="Commercial","COM",
IF(E2081="Mixed Development","MIX",
IF(E2081="Plotted Development","PLT","OTH"))))
&amp;"-"&amp;TEXT(COUNTIFS($B$9:B2081,B2081,$E$9:E2081,E2081),"0000")</f>
        <v>SUR-RES-0681</v>
      </c>
      <c r="B2081" s="322" t="s">
        <v>34</v>
      </c>
      <c r="C2081" s="322" t="s">
        <v>34</v>
      </c>
      <c r="D2081" s="323" t="s">
        <v>2271</v>
      </c>
      <c r="E2081" s="132" t="s">
        <v>24</v>
      </c>
      <c r="F2081" s="97" t="str">
        <f ca="1">IF(OR(Market_Data[[#This Row],[Start Date]]="",Market_Data[[#This Row],[Completion Date]]=""),"Needs Validation",IF(Market_Data[[#This Row],[Start Date]]&gt;TODAY(),"Planned",IF(Market_Data[[#This Row],[Completion Date]]&lt;TODAY(),"Completed","Ongoing")))</f>
        <v>Completed</v>
      </c>
      <c r="G2081" s="324">
        <v>43290</v>
      </c>
      <c r="H2081" s="324">
        <v>44454</v>
      </c>
      <c r="I2081" s="325">
        <v>30400</v>
      </c>
      <c r="J208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81" s="133">
        <f>_xlfn.XLOOKUP(Market_Data[[#This Row],[Project Type]],tbl_assumptions_market[Project Category (RERA)],tbl_assumptions_market[Concrete Intensity
(m³ / sq m BUA)],"",0)</f>
        <v>0.45</v>
      </c>
      <c r="L2081" s="134">
        <f>ROUND(Market_Data[[#This Row],[Estimated Built Up Area (sq m)]]*Market_Data[[#This Row],[Concrete Intensity
(m³ / sq m)]],0)</f>
        <v>13680</v>
      </c>
      <c r="M2081" s="135">
        <f>_xlfn.XLOOKUP(Market_Data[[#This Row],[District]],tbl_district_price[District],tbl_district_price[Standard Price
(INR/m³)],"",0)</f>
        <v>6200</v>
      </c>
      <c r="N2081" s="364">
        <f>IF(OR(Market_Data[[#This Row],[Estimated Concrete Demand (m³)]]="",Market_Data[[#This Row],[Avg Price per (₹ / m³)]]=""),"",Market_Data[[#This Row],[Estimated Concrete Demand (m³)]]*Market_Data[[#This Row],[Avg Price per (₹ / m³)]]/10000000)</f>
        <v>8.4816000000000003</v>
      </c>
      <c r="O2081" s="97" t="str">
        <f>IF(Market_Data[[#This Row],[Estimated Concrete Demand (m³)]]="","",
IF(Market_Data[[#This Row],[Estimated Concrete Demand (m³)]]&lt;10000,"Small",
IF(Market_Data[[#This Row],[Estimated Concrete Demand (m³)]]&lt;25000,"Medium",
IF(Market_Data[[#This Row],[Estimated Concrete Demand (m³)]]&lt;100000,"Large","Mega"))))</f>
        <v>Medium</v>
      </c>
      <c r="P2081" s="287" t="str">
        <f t="shared" si="34"/>
        <v>GujRERA</v>
      </c>
    </row>
    <row r="2082" spans="1:16">
      <c r="A2082" s="129" t="str">
        <f>_xlfn.XLOOKUP(B2082,$S$9:$S$14,$T$9:$T$14)&amp;"-"&amp;
IF(E2082="Residential/Group Housing","RES",
IF(E2082="Commercial","COM",
IF(E2082="Mixed Development","MIX",
IF(E2082="Plotted Development","PLT","OTH"))))
&amp;"-"&amp;TEXT(COUNTIFS($B$9:B2082,B2082,$E$9:E2082,E2082),"0000")</f>
        <v>SUR-RES-0682</v>
      </c>
      <c r="B2082" s="322" t="s">
        <v>34</v>
      </c>
      <c r="C2082" s="322" t="s">
        <v>34</v>
      </c>
      <c r="D2082" s="323" t="s">
        <v>2272</v>
      </c>
      <c r="E2082" s="132" t="s">
        <v>24</v>
      </c>
      <c r="F2082" s="97" t="str">
        <f ca="1">IF(OR(Market_Data[[#This Row],[Start Date]]="",Market_Data[[#This Row],[Completion Date]]=""),"Needs Validation",IF(Market_Data[[#This Row],[Start Date]]&gt;TODAY(),"Planned",IF(Market_Data[[#This Row],[Completion Date]]&lt;TODAY(),"Completed","Ongoing")))</f>
        <v>Ongoing</v>
      </c>
      <c r="G2082" s="324">
        <v>44855</v>
      </c>
      <c r="H2082" s="324">
        <v>46630</v>
      </c>
      <c r="I2082" s="325">
        <v>8800</v>
      </c>
      <c r="J208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82" s="133">
        <f>_xlfn.XLOOKUP(Market_Data[[#This Row],[Project Type]],tbl_assumptions_market[Project Category (RERA)],tbl_assumptions_market[Concrete Intensity
(m³ / sq m BUA)],"",0)</f>
        <v>0.45</v>
      </c>
      <c r="L2082" s="134">
        <f>ROUND(Market_Data[[#This Row],[Estimated Built Up Area (sq m)]]*Market_Data[[#This Row],[Concrete Intensity
(m³ / sq m)]],0)</f>
        <v>3960</v>
      </c>
      <c r="M2082" s="135">
        <f>_xlfn.XLOOKUP(Market_Data[[#This Row],[District]],tbl_district_price[District],tbl_district_price[Standard Price
(INR/m³)],"",0)</f>
        <v>6200</v>
      </c>
      <c r="N2082" s="364">
        <f>IF(OR(Market_Data[[#This Row],[Estimated Concrete Demand (m³)]]="",Market_Data[[#This Row],[Avg Price per (₹ / m³)]]=""),"",Market_Data[[#This Row],[Estimated Concrete Demand (m³)]]*Market_Data[[#This Row],[Avg Price per (₹ / m³)]]/10000000)</f>
        <v>2.4552</v>
      </c>
      <c r="O2082" s="97" t="str">
        <f>IF(Market_Data[[#This Row],[Estimated Concrete Demand (m³)]]="","",
IF(Market_Data[[#This Row],[Estimated Concrete Demand (m³)]]&lt;10000,"Small",
IF(Market_Data[[#This Row],[Estimated Concrete Demand (m³)]]&lt;25000,"Medium",
IF(Market_Data[[#This Row],[Estimated Concrete Demand (m³)]]&lt;100000,"Large","Mega"))))</f>
        <v>Small</v>
      </c>
      <c r="P2082" s="287" t="str">
        <f t="shared" si="34"/>
        <v>GujRERA</v>
      </c>
    </row>
    <row r="2083" spans="1:16">
      <c r="A2083" s="129" t="str">
        <f>_xlfn.XLOOKUP(B2083,$S$9:$S$14,$T$9:$T$14)&amp;"-"&amp;
IF(E2083="Residential/Group Housing","RES",
IF(E2083="Commercial","COM",
IF(E2083="Mixed Development","MIX",
IF(E2083="Plotted Development","PLT","OTH"))))
&amp;"-"&amp;TEXT(COUNTIFS($B$9:B2083,B2083,$E$9:E2083,E2083),"0000")</f>
        <v>SUR-PLT-0401</v>
      </c>
      <c r="B2083" s="322" t="s">
        <v>34</v>
      </c>
      <c r="C2083" s="322" t="s">
        <v>34</v>
      </c>
      <c r="D2083" s="323" t="s">
        <v>2273</v>
      </c>
      <c r="E2083" s="132" t="s">
        <v>26</v>
      </c>
      <c r="F2083" s="97" t="str">
        <f ca="1">IF(OR(Market_Data[[#This Row],[Start Date]]="",Market_Data[[#This Row],[Completion Date]]=""),"Needs Validation",IF(Market_Data[[#This Row],[Start Date]]&gt;TODAY(),"Planned",IF(Market_Data[[#This Row],[Completion Date]]&lt;TODAY(),"Completed","Ongoing")))</f>
        <v>Completed</v>
      </c>
      <c r="G2083" s="324">
        <v>44795</v>
      </c>
      <c r="H2083" s="324">
        <v>46022</v>
      </c>
      <c r="I2083" s="325">
        <v>15800</v>
      </c>
      <c r="J208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83" s="133">
        <f>_xlfn.XLOOKUP(Market_Data[[#This Row],[Project Type]],tbl_assumptions_market[Project Category (RERA)],tbl_assumptions_market[Concrete Intensity
(m³ / sq m BUA)],"",0)</f>
        <v>0.18</v>
      </c>
      <c r="L2083" s="134">
        <f>ROUND(Market_Data[[#This Row],[Estimated Built Up Area (sq m)]]*Market_Data[[#This Row],[Concrete Intensity
(m³ / sq m)]],0)</f>
        <v>2844</v>
      </c>
      <c r="M2083" s="135">
        <f>_xlfn.XLOOKUP(Market_Data[[#This Row],[District]],tbl_district_price[District],tbl_district_price[Standard Price
(INR/m³)],"",0)</f>
        <v>6200</v>
      </c>
      <c r="N2083" s="364">
        <f>IF(OR(Market_Data[[#This Row],[Estimated Concrete Demand (m³)]]="",Market_Data[[#This Row],[Avg Price per (₹ / m³)]]=""),"",Market_Data[[#This Row],[Estimated Concrete Demand (m³)]]*Market_Data[[#This Row],[Avg Price per (₹ / m³)]]/10000000)</f>
        <v>1.76328</v>
      </c>
      <c r="O2083" s="97" t="str">
        <f>IF(Market_Data[[#This Row],[Estimated Concrete Demand (m³)]]="","",
IF(Market_Data[[#This Row],[Estimated Concrete Demand (m³)]]&lt;10000,"Small",
IF(Market_Data[[#This Row],[Estimated Concrete Demand (m³)]]&lt;25000,"Medium",
IF(Market_Data[[#This Row],[Estimated Concrete Demand (m³)]]&lt;100000,"Large","Mega"))))</f>
        <v>Small</v>
      </c>
      <c r="P2083" s="287" t="str">
        <f t="shared" si="34"/>
        <v>GujRERA</v>
      </c>
    </row>
    <row r="2084" spans="1:16">
      <c r="A2084" s="129" t="str">
        <f>_xlfn.XLOOKUP(B2084,$S$9:$S$14,$T$9:$T$14)&amp;"-"&amp;
IF(E2084="Residential/Group Housing","RES",
IF(E2084="Commercial","COM",
IF(E2084="Mixed Development","MIX",
IF(E2084="Plotted Development","PLT","OTH"))))
&amp;"-"&amp;TEXT(COUNTIFS($B$9:B2084,B2084,$E$9:E2084,E2084),"0000")</f>
        <v>SUR-PLT-0402</v>
      </c>
      <c r="B2084" s="322" t="s">
        <v>34</v>
      </c>
      <c r="C2084" s="322" t="s">
        <v>34</v>
      </c>
      <c r="D2084" s="323" t="s">
        <v>2274</v>
      </c>
      <c r="E2084" s="132" t="s">
        <v>26</v>
      </c>
      <c r="F2084" s="97" t="str">
        <f ca="1">IF(OR(Market_Data[[#This Row],[Start Date]]="",Market_Data[[#This Row],[Completion Date]]=""),"Needs Validation",IF(Market_Data[[#This Row],[Start Date]]&gt;TODAY(),"Planned",IF(Market_Data[[#This Row],[Completion Date]]&lt;TODAY(),"Completed","Ongoing")))</f>
        <v>Completed</v>
      </c>
      <c r="G2084" s="324">
        <v>44557</v>
      </c>
      <c r="H2084" s="324">
        <v>45657</v>
      </c>
      <c r="I2084" s="325">
        <v>33800</v>
      </c>
      <c r="J208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084" s="133">
        <f>_xlfn.XLOOKUP(Market_Data[[#This Row],[Project Type]],tbl_assumptions_market[Project Category (RERA)],tbl_assumptions_market[Concrete Intensity
(m³ / sq m BUA)],"",0)</f>
        <v>0.18</v>
      </c>
      <c r="L2084" s="134">
        <f>ROUND(Market_Data[[#This Row],[Estimated Built Up Area (sq m)]]*Market_Data[[#This Row],[Concrete Intensity
(m³ / sq m)]],0)</f>
        <v>6084</v>
      </c>
      <c r="M2084" s="135">
        <f>_xlfn.XLOOKUP(Market_Data[[#This Row],[District]],tbl_district_price[District],tbl_district_price[Standard Price
(INR/m³)],"",0)</f>
        <v>6200</v>
      </c>
      <c r="N2084" s="364">
        <f>IF(OR(Market_Data[[#This Row],[Estimated Concrete Demand (m³)]]="",Market_Data[[#This Row],[Avg Price per (₹ / m³)]]=""),"",Market_Data[[#This Row],[Estimated Concrete Demand (m³)]]*Market_Data[[#This Row],[Avg Price per (₹ / m³)]]/10000000)</f>
        <v>3.7720799999999999</v>
      </c>
      <c r="O2084" s="97" t="str">
        <f>IF(Market_Data[[#This Row],[Estimated Concrete Demand (m³)]]="","",
IF(Market_Data[[#This Row],[Estimated Concrete Demand (m³)]]&lt;10000,"Small",
IF(Market_Data[[#This Row],[Estimated Concrete Demand (m³)]]&lt;25000,"Medium",
IF(Market_Data[[#This Row],[Estimated Concrete Demand (m³)]]&lt;100000,"Large","Mega"))))</f>
        <v>Small</v>
      </c>
      <c r="P2084" s="287" t="str">
        <f t="shared" si="34"/>
        <v>GujRERA</v>
      </c>
    </row>
    <row r="2085" spans="1:16">
      <c r="A2085" s="129" t="str">
        <f>_xlfn.XLOOKUP(B2085,$S$9:$S$14,$T$9:$T$14)&amp;"-"&amp;
IF(E2085="Residential/Group Housing","RES",
IF(E2085="Commercial","COM",
IF(E2085="Mixed Development","MIX",
IF(E2085="Plotted Development","PLT","OTH"))))
&amp;"-"&amp;TEXT(COUNTIFS($B$9:B2085,B2085,$E$9:E2085,E2085),"0000")</f>
        <v>SUR-PLT-0403</v>
      </c>
      <c r="B2085" s="322" t="s">
        <v>34</v>
      </c>
      <c r="C2085" s="322" t="s">
        <v>34</v>
      </c>
      <c r="D2085" s="323" t="s">
        <v>2275</v>
      </c>
      <c r="E2085" s="132" t="s">
        <v>26</v>
      </c>
      <c r="F2085" s="97" t="str">
        <f ca="1">IF(OR(Market_Data[[#This Row],[Start Date]]="",Market_Data[[#This Row],[Completion Date]]=""),"Needs Validation",IF(Market_Data[[#This Row],[Start Date]]&gt;TODAY(),"Planned",IF(Market_Data[[#This Row],[Completion Date]]&lt;TODAY(),"Completed","Ongoing")))</f>
        <v>Ongoing</v>
      </c>
      <c r="G2085" s="324">
        <v>45285</v>
      </c>
      <c r="H2085" s="324">
        <v>46934</v>
      </c>
      <c r="I2085" s="325">
        <v>32200</v>
      </c>
      <c r="J208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085" s="133">
        <f>_xlfn.XLOOKUP(Market_Data[[#This Row],[Project Type]],tbl_assumptions_market[Project Category (RERA)],tbl_assumptions_market[Concrete Intensity
(m³ / sq m BUA)],"",0)</f>
        <v>0.18</v>
      </c>
      <c r="L2085" s="134">
        <f>ROUND(Market_Data[[#This Row],[Estimated Built Up Area (sq m)]]*Market_Data[[#This Row],[Concrete Intensity
(m³ / sq m)]],0)</f>
        <v>5796</v>
      </c>
      <c r="M2085" s="135">
        <f>_xlfn.XLOOKUP(Market_Data[[#This Row],[District]],tbl_district_price[District],tbl_district_price[Standard Price
(INR/m³)],"",0)</f>
        <v>6200</v>
      </c>
      <c r="N2085" s="364">
        <f>IF(OR(Market_Data[[#This Row],[Estimated Concrete Demand (m³)]]="",Market_Data[[#This Row],[Avg Price per (₹ / m³)]]=""),"",Market_Data[[#This Row],[Estimated Concrete Demand (m³)]]*Market_Data[[#This Row],[Avg Price per (₹ / m³)]]/10000000)</f>
        <v>3.5935199999999998</v>
      </c>
      <c r="O2085" s="97" t="str">
        <f>IF(Market_Data[[#This Row],[Estimated Concrete Demand (m³)]]="","",
IF(Market_Data[[#This Row],[Estimated Concrete Demand (m³)]]&lt;10000,"Small",
IF(Market_Data[[#This Row],[Estimated Concrete Demand (m³)]]&lt;25000,"Medium",
IF(Market_Data[[#This Row],[Estimated Concrete Demand (m³)]]&lt;100000,"Large","Mega"))))</f>
        <v>Small</v>
      </c>
      <c r="P2085" s="287" t="str">
        <f t="shared" si="34"/>
        <v>GujRERA</v>
      </c>
    </row>
    <row r="2086" spans="1:16">
      <c r="A2086" s="129" t="str">
        <f>_xlfn.XLOOKUP(B2086,$S$9:$S$14,$T$9:$T$14)&amp;"-"&amp;
IF(E2086="Residential/Group Housing","RES",
IF(E2086="Commercial","COM",
IF(E2086="Mixed Development","MIX",
IF(E2086="Plotted Development","PLT","OTH"))))
&amp;"-"&amp;TEXT(COUNTIFS($B$9:B2086,B2086,$E$9:E2086,E2086),"0000")</f>
        <v>SUR-MIX-0355</v>
      </c>
      <c r="B2086" s="322" t="s">
        <v>34</v>
      </c>
      <c r="C2086" s="322" t="s">
        <v>34</v>
      </c>
      <c r="D2086" s="323" t="s">
        <v>2276</v>
      </c>
      <c r="E2086" s="132" t="s">
        <v>25</v>
      </c>
      <c r="F2086" s="97" t="str">
        <f ca="1">IF(OR(Market_Data[[#This Row],[Start Date]]="",Market_Data[[#This Row],[Completion Date]]=""),"Needs Validation",IF(Market_Data[[#This Row],[Start Date]]&gt;TODAY(),"Planned",IF(Market_Data[[#This Row],[Completion Date]]&lt;TODAY(),"Completed","Ongoing")))</f>
        <v>Ongoing</v>
      </c>
      <c r="G2086" s="324">
        <v>44652</v>
      </c>
      <c r="H2086" s="324">
        <v>47848</v>
      </c>
      <c r="I2086" s="325">
        <v>27800</v>
      </c>
      <c r="J208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86" s="133">
        <f>_xlfn.XLOOKUP(Market_Data[[#This Row],[Project Type]],tbl_assumptions_market[Project Category (RERA)],tbl_assumptions_market[Concrete Intensity
(m³ / sq m BUA)],"",0)</f>
        <v>0.42</v>
      </c>
      <c r="L2086" s="134">
        <f>ROUND(Market_Data[[#This Row],[Estimated Built Up Area (sq m)]]*Market_Data[[#This Row],[Concrete Intensity
(m³ / sq m)]],0)</f>
        <v>11676</v>
      </c>
      <c r="M2086" s="135">
        <f>_xlfn.XLOOKUP(Market_Data[[#This Row],[District]],tbl_district_price[District],tbl_district_price[Standard Price
(INR/m³)],"",0)</f>
        <v>6200</v>
      </c>
      <c r="N2086" s="364">
        <f>IF(OR(Market_Data[[#This Row],[Estimated Concrete Demand (m³)]]="",Market_Data[[#This Row],[Avg Price per (₹ / m³)]]=""),"",Market_Data[[#This Row],[Estimated Concrete Demand (m³)]]*Market_Data[[#This Row],[Avg Price per (₹ / m³)]]/10000000)</f>
        <v>7.2391199999999998</v>
      </c>
      <c r="O2086" s="97" t="str">
        <f>IF(Market_Data[[#This Row],[Estimated Concrete Demand (m³)]]="","",
IF(Market_Data[[#This Row],[Estimated Concrete Demand (m³)]]&lt;10000,"Small",
IF(Market_Data[[#This Row],[Estimated Concrete Demand (m³)]]&lt;25000,"Medium",
IF(Market_Data[[#This Row],[Estimated Concrete Demand (m³)]]&lt;100000,"Large","Mega"))))</f>
        <v>Medium</v>
      </c>
      <c r="P2086" s="287" t="str">
        <f t="shared" si="34"/>
        <v>GujRERA</v>
      </c>
    </row>
    <row r="2087" spans="1:16">
      <c r="A2087" s="129" t="str">
        <f>_xlfn.XLOOKUP(B2087,$S$9:$S$14,$T$9:$T$14)&amp;"-"&amp;
IF(E2087="Residential/Group Housing","RES",
IF(E2087="Commercial","COM",
IF(E2087="Mixed Development","MIX",
IF(E2087="Plotted Development","PLT","OTH"))))
&amp;"-"&amp;TEXT(COUNTIFS($B$9:B2087,B2087,$E$9:E2087,E2087),"0000")</f>
        <v>SUR-PLT-0404</v>
      </c>
      <c r="B2087" s="322" t="s">
        <v>34</v>
      </c>
      <c r="C2087" s="322" t="s">
        <v>34</v>
      </c>
      <c r="D2087" s="323" t="s">
        <v>2277</v>
      </c>
      <c r="E2087" s="132" t="s">
        <v>26</v>
      </c>
      <c r="F2087" s="97" t="str">
        <f ca="1">IF(OR(Market_Data[[#This Row],[Start Date]]="",Market_Data[[#This Row],[Completion Date]]=""),"Needs Validation",IF(Market_Data[[#This Row],[Start Date]]&gt;TODAY(),"Planned",IF(Market_Data[[#This Row],[Completion Date]]&lt;TODAY(),"Completed","Ongoing")))</f>
        <v>Completed</v>
      </c>
      <c r="G2087" s="324">
        <v>43265</v>
      </c>
      <c r="H2087" s="324">
        <v>45657</v>
      </c>
      <c r="I2087" s="325">
        <v>29300</v>
      </c>
      <c r="J208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87" s="133">
        <f>_xlfn.XLOOKUP(Market_Data[[#This Row],[Project Type]],tbl_assumptions_market[Project Category (RERA)],tbl_assumptions_market[Concrete Intensity
(m³ / sq m BUA)],"",0)</f>
        <v>0.18</v>
      </c>
      <c r="L2087" s="134">
        <f>ROUND(Market_Data[[#This Row],[Estimated Built Up Area (sq m)]]*Market_Data[[#This Row],[Concrete Intensity
(m³ / sq m)]],0)</f>
        <v>5274</v>
      </c>
      <c r="M2087" s="135">
        <f>_xlfn.XLOOKUP(Market_Data[[#This Row],[District]],tbl_district_price[District],tbl_district_price[Standard Price
(INR/m³)],"",0)</f>
        <v>6200</v>
      </c>
      <c r="N2087" s="364">
        <f>IF(OR(Market_Data[[#This Row],[Estimated Concrete Demand (m³)]]="",Market_Data[[#This Row],[Avg Price per (₹ / m³)]]=""),"",Market_Data[[#This Row],[Estimated Concrete Demand (m³)]]*Market_Data[[#This Row],[Avg Price per (₹ / m³)]]/10000000)</f>
        <v>3.2698800000000001</v>
      </c>
      <c r="O2087" s="97" t="str">
        <f>IF(Market_Data[[#This Row],[Estimated Concrete Demand (m³)]]="","",
IF(Market_Data[[#This Row],[Estimated Concrete Demand (m³)]]&lt;10000,"Small",
IF(Market_Data[[#This Row],[Estimated Concrete Demand (m³)]]&lt;25000,"Medium",
IF(Market_Data[[#This Row],[Estimated Concrete Demand (m³)]]&lt;100000,"Large","Mega"))))</f>
        <v>Small</v>
      </c>
      <c r="P2087" s="287" t="str">
        <f t="shared" si="34"/>
        <v>GujRERA</v>
      </c>
    </row>
    <row r="2088" spans="1:16">
      <c r="A2088" s="129" t="str">
        <f>_xlfn.XLOOKUP(B2088,$S$9:$S$14,$T$9:$T$14)&amp;"-"&amp;
IF(E2088="Residential/Group Housing","RES",
IF(E2088="Commercial","COM",
IF(E2088="Mixed Development","MIX",
IF(E2088="Plotted Development","PLT","OTH"))))
&amp;"-"&amp;TEXT(COUNTIFS($B$9:B2088,B2088,$E$9:E2088,E2088),"0000")</f>
        <v>SUR-MIX-0356</v>
      </c>
      <c r="B2088" s="322" t="s">
        <v>34</v>
      </c>
      <c r="C2088" s="322" t="s">
        <v>34</v>
      </c>
      <c r="D2088" s="323" t="s">
        <v>2278</v>
      </c>
      <c r="E2088" s="132" t="s">
        <v>25</v>
      </c>
      <c r="F2088" s="97" t="str">
        <f ca="1">IF(OR(Market_Data[[#This Row],[Start Date]]="",Market_Data[[#This Row],[Completion Date]]=""),"Needs Validation",IF(Market_Data[[#This Row],[Start Date]]&gt;TODAY(),"Planned",IF(Market_Data[[#This Row],[Completion Date]]&lt;TODAY(),"Completed","Ongoing")))</f>
        <v>Completed</v>
      </c>
      <c r="G2088" s="324">
        <v>45142</v>
      </c>
      <c r="H2088" s="324">
        <v>46142</v>
      </c>
      <c r="I2088" s="325">
        <v>4600</v>
      </c>
      <c r="J208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088" s="133">
        <f>_xlfn.XLOOKUP(Market_Data[[#This Row],[Project Type]],tbl_assumptions_market[Project Category (RERA)],tbl_assumptions_market[Concrete Intensity
(m³ / sq m BUA)],"",0)</f>
        <v>0.42</v>
      </c>
      <c r="L2088" s="134">
        <f>ROUND(Market_Data[[#This Row],[Estimated Built Up Area (sq m)]]*Market_Data[[#This Row],[Concrete Intensity
(m³ / sq m)]],0)</f>
        <v>1932</v>
      </c>
      <c r="M2088" s="135">
        <f>_xlfn.XLOOKUP(Market_Data[[#This Row],[District]],tbl_district_price[District],tbl_district_price[Standard Price
(INR/m³)],"",0)</f>
        <v>6200</v>
      </c>
      <c r="N2088" s="364">
        <f>IF(OR(Market_Data[[#This Row],[Estimated Concrete Demand (m³)]]="",Market_Data[[#This Row],[Avg Price per (₹ / m³)]]=""),"",Market_Data[[#This Row],[Estimated Concrete Demand (m³)]]*Market_Data[[#This Row],[Avg Price per (₹ / m³)]]/10000000)</f>
        <v>1.19784</v>
      </c>
      <c r="O2088" s="97" t="str">
        <f>IF(Market_Data[[#This Row],[Estimated Concrete Demand (m³)]]="","",
IF(Market_Data[[#This Row],[Estimated Concrete Demand (m³)]]&lt;10000,"Small",
IF(Market_Data[[#This Row],[Estimated Concrete Demand (m³)]]&lt;25000,"Medium",
IF(Market_Data[[#This Row],[Estimated Concrete Demand (m³)]]&lt;100000,"Large","Mega"))))</f>
        <v>Small</v>
      </c>
      <c r="P2088" s="287" t="str">
        <f t="shared" si="34"/>
        <v>GujRERA</v>
      </c>
    </row>
    <row r="2089" spans="1:16">
      <c r="A2089" s="129" t="str">
        <f>_xlfn.XLOOKUP(B2089,$S$9:$S$14,$T$9:$T$14)&amp;"-"&amp;
IF(E2089="Residential/Group Housing","RES",
IF(E2089="Commercial","COM",
IF(E2089="Mixed Development","MIX",
IF(E2089="Plotted Development","PLT","OTH"))))
&amp;"-"&amp;TEXT(COUNTIFS($B$9:B2089,B2089,$E$9:E2089,E2089),"0000")</f>
        <v>SUR-PLT-0405</v>
      </c>
      <c r="B2089" s="322" t="s">
        <v>34</v>
      </c>
      <c r="C2089" s="322" t="s">
        <v>34</v>
      </c>
      <c r="D2089" s="323" t="s">
        <v>2279</v>
      </c>
      <c r="E2089" s="132" t="s">
        <v>26</v>
      </c>
      <c r="F2089" s="97" t="str">
        <f ca="1">IF(OR(Market_Data[[#This Row],[Start Date]]="",Market_Data[[#This Row],[Completion Date]]=""),"Needs Validation",IF(Market_Data[[#This Row],[Start Date]]&gt;TODAY(),"Planned",IF(Market_Data[[#This Row],[Completion Date]]&lt;TODAY(),"Completed","Ongoing")))</f>
        <v>Completed</v>
      </c>
      <c r="G2089" s="324">
        <v>44373</v>
      </c>
      <c r="H2089" s="324">
        <v>44651</v>
      </c>
      <c r="I2089" s="325">
        <v>15300</v>
      </c>
      <c r="J208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89" s="133">
        <f>_xlfn.XLOOKUP(Market_Data[[#This Row],[Project Type]],tbl_assumptions_market[Project Category (RERA)],tbl_assumptions_market[Concrete Intensity
(m³ / sq m BUA)],"",0)</f>
        <v>0.18</v>
      </c>
      <c r="L2089" s="134">
        <f>ROUND(Market_Data[[#This Row],[Estimated Built Up Area (sq m)]]*Market_Data[[#This Row],[Concrete Intensity
(m³ / sq m)]],0)</f>
        <v>2754</v>
      </c>
      <c r="M2089" s="135">
        <f>_xlfn.XLOOKUP(Market_Data[[#This Row],[District]],tbl_district_price[District],tbl_district_price[Standard Price
(INR/m³)],"",0)</f>
        <v>6200</v>
      </c>
      <c r="N2089" s="364">
        <f>IF(OR(Market_Data[[#This Row],[Estimated Concrete Demand (m³)]]="",Market_Data[[#This Row],[Avg Price per (₹ / m³)]]=""),"",Market_Data[[#This Row],[Estimated Concrete Demand (m³)]]*Market_Data[[#This Row],[Avg Price per (₹ / m³)]]/10000000)</f>
        <v>1.7074800000000001</v>
      </c>
      <c r="O2089" s="97" t="str">
        <f>IF(Market_Data[[#This Row],[Estimated Concrete Demand (m³)]]="","",
IF(Market_Data[[#This Row],[Estimated Concrete Demand (m³)]]&lt;10000,"Small",
IF(Market_Data[[#This Row],[Estimated Concrete Demand (m³)]]&lt;25000,"Medium",
IF(Market_Data[[#This Row],[Estimated Concrete Demand (m³)]]&lt;100000,"Large","Mega"))))</f>
        <v>Small</v>
      </c>
      <c r="P2089" s="287" t="str">
        <f t="shared" si="34"/>
        <v>GujRERA</v>
      </c>
    </row>
    <row r="2090" spans="1:16">
      <c r="A2090" s="129" t="str">
        <f>_xlfn.XLOOKUP(B2090,$S$9:$S$14,$T$9:$T$14)&amp;"-"&amp;
IF(E2090="Residential/Group Housing","RES",
IF(E2090="Commercial","COM",
IF(E2090="Mixed Development","MIX",
IF(E2090="Plotted Development","PLT","OTH"))))
&amp;"-"&amp;TEXT(COUNTIFS($B$9:B2090,B2090,$E$9:E2090,E2090),"0000")</f>
        <v>SUR-PLT-0406</v>
      </c>
      <c r="B2090" s="322" t="s">
        <v>34</v>
      </c>
      <c r="C2090" s="322" t="s">
        <v>34</v>
      </c>
      <c r="D2090" s="323" t="s">
        <v>2280</v>
      </c>
      <c r="E2090" s="132" t="s">
        <v>26</v>
      </c>
      <c r="F2090" s="97" t="str">
        <f ca="1">IF(OR(Market_Data[[#This Row],[Start Date]]="",Market_Data[[#This Row],[Completion Date]]=""),"Needs Validation",IF(Market_Data[[#This Row],[Start Date]]&gt;TODAY(),"Planned",IF(Market_Data[[#This Row],[Completion Date]]&lt;TODAY(),"Completed","Ongoing")))</f>
        <v>Ongoing</v>
      </c>
      <c r="G2090" s="324">
        <v>45805</v>
      </c>
      <c r="H2090" s="324">
        <v>46843</v>
      </c>
      <c r="I2090" s="325">
        <v>29400</v>
      </c>
      <c r="J209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90" s="133">
        <f>_xlfn.XLOOKUP(Market_Data[[#This Row],[Project Type]],tbl_assumptions_market[Project Category (RERA)],tbl_assumptions_market[Concrete Intensity
(m³ / sq m BUA)],"",0)</f>
        <v>0.18</v>
      </c>
      <c r="L2090" s="134">
        <f>ROUND(Market_Data[[#This Row],[Estimated Built Up Area (sq m)]]*Market_Data[[#This Row],[Concrete Intensity
(m³ / sq m)]],0)</f>
        <v>5292</v>
      </c>
      <c r="M2090" s="135">
        <f>_xlfn.XLOOKUP(Market_Data[[#This Row],[District]],tbl_district_price[District],tbl_district_price[Standard Price
(INR/m³)],"",0)</f>
        <v>6200</v>
      </c>
      <c r="N2090" s="364">
        <f>IF(OR(Market_Data[[#This Row],[Estimated Concrete Demand (m³)]]="",Market_Data[[#This Row],[Avg Price per (₹ / m³)]]=""),"",Market_Data[[#This Row],[Estimated Concrete Demand (m³)]]*Market_Data[[#This Row],[Avg Price per (₹ / m³)]]/10000000)</f>
        <v>3.28104</v>
      </c>
      <c r="O2090" s="97" t="str">
        <f>IF(Market_Data[[#This Row],[Estimated Concrete Demand (m³)]]="","",
IF(Market_Data[[#This Row],[Estimated Concrete Demand (m³)]]&lt;10000,"Small",
IF(Market_Data[[#This Row],[Estimated Concrete Demand (m³)]]&lt;25000,"Medium",
IF(Market_Data[[#This Row],[Estimated Concrete Demand (m³)]]&lt;100000,"Large","Mega"))))</f>
        <v>Small</v>
      </c>
      <c r="P2090" s="287" t="str">
        <f t="shared" si="34"/>
        <v>GujRERA</v>
      </c>
    </row>
    <row r="2091" spans="1:16">
      <c r="A2091" s="129" t="str">
        <f>_xlfn.XLOOKUP(B2091,$S$9:$S$14,$T$9:$T$14)&amp;"-"&amp;
IF(E2091="Residential/Group Housing","RES",
IF(E2091="Commercial","COM",
IF(E2091="Mixed Development","MIX",
IF(E2091="Plotted Development","PLT","OTH"))))
&amp;"-"&amp;TEXT(COUNTIFS($B$9:B2091,B2091,$E$9:E2091,E2091),"0000")</f>
        <v>SUR-RES-0683</v>
      </c>
      <c r="B2091" s="322" t="s">
        <v>34</v>
      </c>
      <c r="C2091" s="322" t="s">
        <v>34</v>
      </c>
      <c r="D2091" s="323" t="s">
        <v>2281</v>
      </c>
      <c r="E2091" s="132" t="s">
        <v>24</v>
      </c>
      <c r="F2091" s="97" t="str">
        <f ca="1">IF(OR(Market_Data[[#This Row],[Start Date]]="",Market_Data[[#This Row],[Completion Date]]=""),"Needs Validation",IF(Market_Data[[#This Row],[Start Date]]&gt;TODAY(),"Planned",IF(Market_Data[[#This Row],[Completion Date]]&lt;TODAY(),"Completed","Ongoing")))</f>
        <v>Completed</v>
      </c>
      <c r="G2091" s="324">
        <v>42230</v>
      </c>
      <c r="H2091" s="324">
        <v>43647</v>
      </c>
      <c r="I2091" s="325">
        <v>52900</v>
      </c>
      <c r="J209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91" s="133">
        <f>_xlfn.XLOOKUP(Market_Data[[#This Row],[Project Type]],tbl_assumptions_market[Project Category (RERA)],tbl_assumptions_market[Concrete Intensity
(m³ / sq m BUA)],"",0)</f>
        <v>0.45</v>
      </c>
      <c r="L2091" s="134">
        <f>ROUND(Market_Data[[#This Row],[Estimated Built Up Area (sq m)]]*Market_Data[[#This Row],[Concrete Intensity
(m³ / sq m)]],0)</f>
        <v>23805</v>
      </c>
      <c r="M2091" s="135">
        <f>_xlfn.XLOOKUP(Market_Data[[#This Row],[District]],tbl_district_price[District],tbl_district_price[Standard Price
(INR/m³)],"",0)</f>
        <v>6200</v>
      </c>
      <c r="N2091" s="364">
        <f>IF(OR(Market_Data[[#This Row],[Estimated Concrete Demand (m³)]]="",Market_Data[[#This Row],[Avg Price per (₹ / m³)]]=""),"",Market_Data[[#This Row],[Estimated Concrete Demand (m³)]]*Market_Data[[#This Row],[Avg Price per (₹ / m³)]]/10000000)</f>
        <v>14.7591</v>
      </c>
      <c r="O2091" s="97" t="str">
        <f>IF(Market_Data[[#This Row],[Estimated Concrete Demand (m³)]]="","",
IF(Market_Data[[#This Row],[Estimated Concrete Demand (m³)]]&lt;10000,"Small",
IF(Market_Data[[#This Row],[Estimated Concrete Demand (m³)]]&lt;25000,"Medium",
IF(Market_Data[[#This Row],[Estimated Concrete Demand (m³)]]&lt;100000,"Large","Mega"))))</f>
        <v>Medium</v>
      </c>
      <c r="P2091" s="287" t="str">
        <f t="shared" si="34"/>
        <v>GujRERA</v>
      </c>
    </row>
    <row r="2092" spans="1:16">
      <c r="A2092" s="129" t="str">
        <f>_xlfn.XLOOKUP(B2092,$S$9:$S$14,$T$9:$T$14)&amp;"-"&amp;
IF(E2092="Residential/Group Housing","RES",
IF(E2092="Commercial","COM",
IF(E2092="Mixed Development","MIX",
IF(E2092="Plotted Development","PLT","OTH"))))
&amp;"-"&amp;TEXT(COUNTIFS($B$9:B2092,B2092,$E$9:E2092,E2092),"0000")</f>
        <v>SUR-COM-0329</v>
      </c>
      <c r="B2092" s="322" t="s">
        <v>34</v>
      </c>
      <c r="C2092" s="322" t="s">
        <v>34</v>
      </c>
      <c r="D2092" s="323" t="s">
        <v>2282</v>
      </c>
      <c r="E2092" s="132" t="s">
        <v>23</v>
      </c>
      <c r="F2092" s="97" t="str">
        <f ca="1">IF(OR(Market_Data[[#This Row],[Start Date]]="",Market_Data[[#This Row],[Completion Date]]=""),"Needs Validation",IF(Market_Data[[#This Row],[Start Date]]&gt;TODAY(),"Planned",IF(Market_Data[[#This Row],[Completion Date]]&lt;TODAY(),"Completed","Ongoing")))</f>
        <v>Completed</v>
      </c>
      <c r="G2092" s="324">
        <v>43191</v>
      </c>
      <c r="H2092" s="324">
        <v>45107</v>
      </c>
      <c r="I2092" s="325">
        <v>53600</v>
      </c>
      <c r="J209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092" s="133">
        <f>_xlfn.XLOOKUP(Market_Data[[#This Row],[Project Type]],tbl_assumptions_market[Project Category (RERA)],tbl_assumptions_market[Concrete Intensity
(m³ / sq m BUA)],"",0)</f>
        <v>0.5</v>
      </c>
      <c r="L2092" s="134">
        <f>ROUND(Market_Data[[#This Row],[Estimated Built Up Area (sq m)]]*Market_Data[[#This Row],[Concrete Intensity
(m³ / sq m)]],0)</f>
        <v>26800</v>
      </c>
      <c r="M2092" s="135">
        <f>_xlfn.XLOOKUP(Market_Data[[#This Row],[District]],tbl_district_price[District],tbl_district_price[Standard Price
(INR/m³)],"",0)</f>
        <v>6200</v>
      </c>
      <c r="N2092" s="364">
        <f>IF(OR(Market_Data[[#This Row],[Estimated Concrete Demand (m³)]]="",Market_Data[[#This Row],[Avg Price per (₹ / m³)]]=""),"",Market_Data[[#This Row],[Estimated Concrete Demand (m³)]]*Market_Data[[#This Row],[Avg Price per (₹ / m³)]]/10000000)</f>
        <v>16.616</v>
      </c>
      <c r="O2092" s="97" t="str">
        <f>IF(Market_Data[[#This Row],[Estimated Concrete Demand (m³)]]="","",
IF(Market_Data[[#This Row],[Estimated Concrete Demand (m³)]]&lt;10000,"Small",
IF(Market_Data[[#This Row],[Estimated Concrete Demand (m³)]]&lt;25000,"Medium",
IF(Market_Data[[#This Row],[Estimated Concrete Demand (m³)]]&lt;100000,"Large","Mega"))))</f>
        <v>Large</v>
      </c>
      <c r="P2092" s="287" t="str">
        <f t="shared" si="34"/>
        <v>GujRERA</v>
      </c>
    </row>
    <row r="2093" spans="1:16">
      <c r="A2093" s="129" t="str">
        <f>_xlfn.XLOOKUP(B2093,$S$9:$S$14,$T$9:$T$14)&amp;"-"&amp;
IF(E2093="Residential/Group Housing","RES",
IF(E2093="Commercial","COM",
IF(E2093="Mixed Development","MIX",
IF(E2093="Plotted Development","PLT","OTH"))))
&amp;"-"&amp;TEXT(COUNTIFS($B$9:B2093,B2093,$E$9:E2093,E2093),"0000")</f>
        <v>SUR-MIX-0357</v>
      </c>
      <c r="B2093" s="322" t="s">
        <v>34</v>
      </c>
      <c r="C2093" s="322" t="s">
        <v>34</v>
      </c>
      <c r="D2093" s="323" t="s">
        <v>2283</v>
      </c>
      <c r="E2093" s="132" t="s">
        <v>25</v>
      </c>
      <c r="F2093" s="97" t="str">
        <f ca="1">IF(OR(Market_Data[[#This Row],[Start Date]]="",Market_Data[[#This Row],[Completion Date]]=""),"Needs Validation",IF(Market_Data[[#This Row],[Start Date]]&gt;TODAY(),"Planned",IF(Market_Data[[#This Row],[Completion Date]]&lt;TODAY(),"Completed","Ongoing")))</f>
        <v>Completed</v>
      </c>
      <c r="G2093" s="324">
        <v>42021</v>
      </c>
      <c r="H2093" s="324">
        <v>43465</v>
      </c>
      <c r="I2093" s="325">
        <v>7400</v>
      </c>
      <c r="J209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093" s="133">
        <f>_xlfn.XLOOKUP(Market_Data[[#This Row],[Project Type]],tbl_assumptions_market[Project Category (RERA)],tbl_assumptions_market[Concrete Intensity
(m³ / sq m BUA)],"",0)</f>
        <v>0.42</v>
      </c>
      <c r="L2093" s="134">
        <f>ROUND(Market_Data[[#This Row],[Estimated Built Up Area (sq m)]]*Market_Data[[#This Row],[Concrete Intensity
(m³ / sq m)]],0)</f>
        <v>3108</v>
      </c>
      <c r="M2093" s="135">
        <f>_xlfn.XLOOKUP(Market_Data[[#This Row],[District]],tbl_district_price[District],tbl_district_price[Standard Price
(INR/m³)],"",0)</f>
        <v>6200</v>
      </c>
      <c r="N2093" s="364">
        <f>IF(OR(Market_Data[[#This Row],[Estimated Concrete Demand (m³)]]="",Market_Data[[#This Row],[Avg Price per (₹ / m³)]]=""),"",Market_Data[[#This Row],[Estimated Concrete Demand (m³)]]*Market_Data[[#This Row],[Avg Price per (₹ / m³)]]/10000000)</f>
        <v>1.92696</v>
      </c>
      <c r="O2093" s="97" t="str">
        <f>IF(Market_Data[[#This Row],[Estimated Concrete Demand (m³)]]="","",
IF(Market_Data[[#This Row],[Estimated Concrete Demand (m³)]]&lt;10000,"Small",
IF(Market_Data[[#This Row],[Estimated Concrete Demand (m³)]]&lt;25000,"Medium",
IF(Market_Data[[#This Row],[Estimated Concrete Demand (m³)]]&lt;100000,"Large","Mega"))))</f>
        <v>Small</v>
      </c>
      <c r="P2093" s="287" t="str">
        <f t="shared" si="34"/>
        <v>GujRERA</v>
      </c>
    </row>
    <row r="2094" spans="1:16">
      <c r="A2094" s="129" t="str">
        <f>_xlfn.XLOOKUP(B2094,$S$9:$S$14,$T$9:$T$14)&amp;"-"&amp;
IF(E2094="Residential/Group Housing","RES",
IF(E2094="Commercial","COM",
IF(E2094="Mixed Development","MIX",
IF(E2094="Plotted Development","PLT","OTH"))))
&amp;"-"&amp;TEXT(COUNTIFS($B$9:B2094,B2094,$E$9:E2094,E2094),"0000")</f>
        <v>SUR-RES-0684</v>
      </c>
      <c r="B2094" s="322" t="s">
        <v>34</v>
      </c>
      <c r="C2094" s="322" t="s">
        <v>34</v>
      </c>
      <c r="D2094" s="323" t="s">
        <v>2284</v>
      </c>
      <c r="E2094" s="132" t="s">
        <v>24</v>
      </c>
      <c r="F2094" s="97" t="str">
        <f ca="1">IF(OR(Market_Data[[#This Row],[Start Date]]="",Market_Data[[#This Row],[Completion Date]]=""),"Needs Validation",IF(Market_Data[[#This Row],[Start Date]]&gt;TODAY(),"Planned",IF(Market_Data[[#This Row],[Completion Date]]&lt;TODAY(),"Completed","Ongoing")))</f>
        <v>Ongoing</v>
      </c>
      <c r="G2094" s="324">
        <v>44676</v>
      </c>
      <c r="H2094" s="324">
        <v>46387</v>
      </c>
      <c r="I2094" s="325">
        <v>40200</v>
      </c>
      <c r="J209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94" s="133">
        <f>_xlfn.XLOOKUP(Market_Data[[#This Row],[Project Type]],tbl_assumptions_market[Project Category (RERA)],tbl_assumptions_market[Concrete Intensity
(m³ / sq m BUA)],"",0)</f>
        <v>0.45</v>
      </c>
      <c r="L2094" s="134">
        <f>ROUND(Market_Data[[#This Row],[Estimated Built Up Area (sq m)]]*Market_Data[[#This Row],[Concrete Intensity
(m³ / sq m)]],0)</f>
        <v>18090</v>
      </c>
      <c r="M2094" s="135">
        <f>_xlfn.XLOOKUP(Market_Data[[#This Row],[District]],tbl_district_price[District],tbl_district_price[Standard Price
(INR/m³)],"",0)</f>
        <v>6200</v>
      </c>
      <c r="N2094" s="364">
        <f>IF(OR(Market_Data[[#This Row],[Estimated Concrete Demand (m³)]]="",Market_Data[[#This Row],[Avg Price per (₹ / m³)]]=""),"",Market_Data[[#This Row],[Estimated Concrete Demand (m³)]]*Market_Data[[#This Row],[Avg Price per (₹ / m³)]]/10000000)</f>
        <v>11.2158</v>
      </c>
      <c r="O2094" s="97" t="str">
        <f>IF(Market_Data[[#This Row],[Estimated Concrete Demand (m³)]]="","",
IF(Market_Data[[#This Row],[Estimated Concrete Demand (m³)]]&lt;10000,"Small",
IF(Market_Data[[#This Row],[Estimated Concrete Demand (m³)]]&lt;25000,"Medium",
IF(Market_Data[[#This Row],[Estimated Concrete Demand (m³)]]&lt;100000,"Large","Mega"))))</f>
        <v>Medium</v>
      </c>
      <c r="P2094" s="287" t="str">
        <f t="shared" si="34"/>
        <v>GujRERA</v>
      </c>
    </row>
    <row r="2095" spans="1:16">
      <c r="A2095" s="129" t="str">
        <f>_xlfn.XLOOKUP(B2095,$S$9:$S$14,$T$9:$T$14)&amp;"-"&amp;
IF(E2095="Residential/Group Housing","RES",
IF(E2095="Commercial","COM",
IF(E2095="Mixed Development","MIX",
IF(E2095="Plotted Development","PLT","OTH"))))
&amp;"-"&amp;TEXT(COUNTIFS($B$9:B2095,B2095,$E$9:E2095,E2095),"0000")</f>
        <v>SUR-RES-0685</v>
      </c>
      <c r="B2095" s="322" t="s">
        <v>34</v>
      </c>
      <c r="C2095" s="322" t="s">
        <v>34</v>
      </c>
      <c r="D2095" s="323" t="s">
        <v>2285</v>
      </c>
      <c r="E2095" s="132" t="s">
        <v>24</v>
      </c>
      <c r="F2095" s="97" t="str">
        <f ca="1">IF(OR(Market_Data[[#This Row],[Start Date]]="",Market_Data[[#This Row],[Completion Date]]=""),"Needs Validation",IF(Market_Data[[#This Row],[Start Date]]&gt;TODAY(),"Planned",IF(Market_Data[[#This Row],[Completion Date]]&lt;TODAY(),"Completed","Ongoing")))</f>
        <v>Completed</v>
      </c>
      <c r="G2095" s="324">
        <v>42009</v>
      </c>
      <c r="H2095" s="324">
        <v>43281</v>
      </c>
      <c r="I2095" s="325">
        <v>20200</v>
      </c>
      <c r="J209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95" s="133">
        <f>_xlfn.XLOOKUP(Market_Data[[#This Row],[Project Type]],tbl_assumptions_market[Project Category (RERA)],tbl_assumptions_market[Concrete Intensity
(m³ / sq m BUA)],"",0)</f>
        <v>0.45</v>
      </c>
      <c r="L2095" s="134">
        <f>ROUND(Market_Data[[#This Row],[Estimated Built Up Area (sq m)]]*Market_Data[[#This Row],[Concrete Intensity
(m³ / sq m)]],0)</f>
        <v>9090</v>
      </c>
      <c r="M2095" s="135">
        <f>_xlfn.XLOOKUP(Market_Data[[#This Row],[District]],tbl_district_price[District],tbl_district_price[Standard Price
(INR/m³)],"",0)</f>
        <v>6200</v>
      </c>
      <c r="N2095" s="364">
        <f>IF(OR(Market_Data[[#This Row],[Estimated Concrete Demand (m³)]]="",Market_Data[[#This Row],[Avg Price per (₹ / m³)]]=""),"",Market_Data[[#This Row],[Estimated Concrete Demand (m³)]]*Market_Data[[#This Row],[Avg Price per (₹ / m³)]]/10000000)</f>
        <v>5.6357999999999997</v>
      </c>
      <c r="O2095" s="97" t="str">
        <f>IF(Market_Data[[#This Row],[Estimated Concrete Demand (m³)]]="","",
IF(Market_Data[[#This Row],[Estimated Concrete Demand (m³)]]&lt;10000,"Small",
IF(Market_Data[[#This Row],[Estimated Concrete Demand (m³)]]&lt;25000,"Medium",
IF(Market_Data[[#This Row],[Estimated Concrete Demand (m³)]]&lt;100000,"Large","Mega"))))</f>
        <v>Small</v>
      </c>
      <c r="P2095" s="287" t="str">
        <f t="shared" si="34"/>
        <v>GujRERA</v>
      </c>
    </row>
    <row r="2096" spans="1:16">
      <c r="A2096" s="129" t="str">
        <f>_xlfn.XLOOKUP(B2096,$S$9:$S$14,$T$9:$T$14)&amp;"-"&amp;
IF(E2096="Residential/Group Housing","RES",
IF(E2096="Commercial","COM",
IF(E2096="Mixed Development","MIX",
IF(E2096="Plotted Development","PLT","OTH"))))
&amp;"-"&amp;TEXT(COUNTIFS($B$9:B2096,B2096,$E$9:E2096,E2096),"0000")</f>
        <v>SUR-RES-0686</v>
      </c>
      <c r="B2096" s="322" t="s">
        <v>34</v>
      </c>
      <c r="C2096" s="322" t="s">
        <v>34</v>
      </c>
      <c r="D2096" s="323" t="s">
        <v>2286</v>
      </c>
      <c r="E2096" s="132" t="s">
        <v>24</v>
      </c>
      <c r="F2096" s="97" t="str">
        <f ca="1">IF(OR(Market_Data[[#This Row],[Start Date]]="",Market_Data[[#This Row],[Completion Date]]=""),"Needs Validation",IF(Market_Data[[#This Row],[Start Date]]&gt;TODAY(),"Planned",IF(Market_Data[[#This Row],[Completion Date]]&lt;TODAY(),"Completed","Ongoing")))</f>
        <v>Completed</v>
      </c>
      <c r="G2096" s="324">
        <v>43070</v>
      </c>
      <c r="H2096" s="324">
        <v>44530</v>
      </c>
      <c r="I2096" s="325">
        <v>10900</v>
      </c>
      <c r="J209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96" s="133">
        <f>_xlfn.XLOOKUP(Market_Data[[#This Row],[Project Type]],tbl_assumptions_market[Project Category (RERA)],tbl_assumptions_market[Concrete Intensity
(m³ / sq m BUA)],"",0)</f>
        <v>0.45</v>
      </c>
      <c r="L2096" s="134">
        <f>ROUND(Market_Data[[#This Row],[Estimated Built Up Area (sq m)]]*Market_Data[[#This Row],[Concrete Intensity
(m³ / sq m)]],0)</f>
        <v>4905</v>
      </c>
      <c r="M2096" s="135">
        <f>_xlfn.XLOOKUP(Market_Data[[#This Row],[District]],tbl_district_price[District],tbl_district_price[Standard Price
(INR/m³)],"",0)</f>
        <v>6200</v>
      </c>
      <c r="N2096" s="364">
        <f>IF(OR(Market_Data[[#This Row],[Estimated Concrete Demand (m³)]]="",Market_Data[[#This Row],[Avg Price per (₹ / m³)]]=""),"",Market_Data[[#This Row],[Estimated Concrete Demand (m³)]]*Market_Data[[#This Row],[Avg Price per (₹ / m³)]]/10000000)</f>
        <v>3.0411000000000001</v>
      </c>
      <c r="O2096" s="97" t="str">
        <f>IF(Market_Data[[#This Row],[Estimated Concrete Demand (m³)]]="","",
IF(Market_Data[[#This Row],[Estimated Concrete Demand (m³)]]&lt;10000,"Small",
IF(Market_Data[[#This Row],[Estimated Concrete Demand (m³)]]&lt;25000,"Medium",
IF(Market_Data[[#This Row],[Estimated Concrete Demand (m³)]]&lt;100000,"Large","Mega"))))</f>
        <v>Small</v>
      </c>
      <c r="P2096" s="287" t="str">
        <f t="shared" si="34"/>
        <v>GujRERA</v>
      </c>
    </row>
    <row r="2097" spans="1:16">
      <c r="A2097" s="129" t="str">
        <f>_xlfn.XLOOKUP(B2097,$S$9:$S$14,$T$9:$T$14)&amp;"-"&amp;
IF(E2097="Residential/Group Housing","RES",
IF(E2097="Commercial","COM",
IF(E2097="Mixed Development","MIX",
IF(E2097="Plotted Development","PLT","OTH"))))
&amp;"-"&amp;TEXT(COUNTIFS($B$9:B2097,B2097,$E$9:E2097,E2097),"0000")</f>
        <v>SUR-COM-0330</v>
      </c>
      <c r="B2097" s="322" t="s">
        <v>34</v>
      </c>
      <c r="C2097" s="322" t="s">
        <v>34</v>
      </c>
      <c r="D2097" s="323" t="s">
        <v>2287</v>
      </c>
      <c r="E2097" s="132" t="s">
        <v>23</v>
      </c>
      <c r="F2097" s="97" t="str">
        <f ca="1">IF(OR(Market_Data[[#This Row],[Start Date]]="",Market_Data[[#This Row],[Completion Date]]=""),"Needs Validation",IF(Market_Data[[#This Row],[Start Date]]&gt;TODAY(),"Planned",IF(Market_Data[[#This Row],[Completion Date]]&lt;TODAY(),"Completed","Ongoing")))</f>
        <v>Ongoing</v>
      </c>
      <c r="G2097" s="324">
        <v>45044</v>
      </c>
      <c r="H2097" s="324">
        <v>46752</v>
      </c>
      <c r="I2097" s="325">
        <v>8100</v>
      </c>
      <c r="J209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97" s="133">
        <f>_xlfn.XLOOKUP(Market_Data[[#This Row],[Project Type]],tbl_assumptions_market[Project Category (RERA)],tbl_assumptions_market[Concrete Intensity
(m³ / sq m BUA)],"",0)</f>
        <v>0.5</v>
      </c>
      <c r="L2097" s="134">
        <f>ROUND(Market_Data[[#This Row],[Estimated Built Up Area (sq m)]]*Market_Data[[#This Row],[Concrete Intensity
(m³ / sq m)]],0)</f>
        <v>4050</v>
      </c>
      <c r="M2097" s="135">
        <f>_xlfn.XLOOKUP(Market_Data[[#This Row],[District]],tbl_district_price[District],tbl_district_price[Standard Price
(INR/m³)],"",0)</f>
        <v>6200</v>
      </c>
      <c r="N2097" s="364">
        <f>IF(OR(Market_Data[[#This Row],[Estimated Concrete Demand (m³)]]="",Market_Data[[#This Row],[Avg Price per (₹ / m³)]]=""),"",Market_Data[[#This Row],[Estimated Concrete Demand (m³)]]*Market_Data[[#This Row],[Avg Price per (₹ / m³)]]/10000000)</f>
        <v>2.5110000000000001</v>
      </c>
      <c r="O2097" s="97" t="str">
        <f>IF(Market_Data[[#This Row],[Estimated Concrete Demand (m³)]]="","",
IF(Market_Data[[#This Row],[Estimated Concrete Demand (m³)]]&lt;10000,"Small",
IF(Market_Data[[#This Row],[Estimated Concrete Demand (m³)]]&lt;25000,"Medium",
IF(Market_Data[[#This Row],[Estimated Concrete Demand (m³)]]&lt;100000,"Large","Mega"))))</f>
        <v>Small</v>
      </c>
      <c r="P2097" s="287" t="str">
        <f t="shared" si="34"/>
        <v>GujRERA</v>
      </c>
    </row>
    <row r="2098" spans="1:16">
      <c r="A2098" s="129" t="str">
        <f>_xlfn.XLOOKUP(B2098,$S$9:$S$14,$T$9:$T$14)&amp;"-"&amp;
IF(E2098="Residential/Group Housing","RES",
IF(E2098="Commercial","COM",
IF(E2098="Mixed Development","MIX",
IF(E2098="Plotted Development","PLT","OTH"))))
&amp;"-"&amp;TEXT(COUNTIFS($B$9:B2098,B2098,$E$9:E2098,E2098),"0000")</f>
        <v>SUR-RES-0687</v>
      </c>
      <c r="B2098" s="322" t="s">
        <v>34</v>
      </c>
      <c r="C2098" s="322" t="s">
        <v>34</v>
      </c>
      <c r="D2098" s="323" t="s">
        <v>2288</v>
      </c>
      <c r="E2098" s="132" t="s">
        <v>24</v>
      </c>
      <c r="F2098" s="97" t="str">
        <f ca="1">IF(OR(Market_Data[[#This Row],[Start Date]]="",Market_Data[[#This Row],[Completion Date]]=""),"Needs Validation",IF(Market_Data[[#This Row],[Start Date]]&gt;TODAY(),"Planned",IF(Market_Data[[#This Row],[Completion Date]]&lt;TODAY(),"Completed","Ongoing")))</f>
        <v>Ongoing</v>
      </c>
      <c r="G2098" s="324">
        <v>44760</v>
      </c>
      <c r="H2098" s="324">
        <v>46387</v>
      </c>
      <c r="I2098" s="325">
        <v>42300</v>
      </c>
      <c r="J209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98" s="133">
        <f>_xlfn.XLOOKUP(Market_Data[[#This Row],[Project Type]],tbl_assumptions_market[Project Category (RERA)],tbl_assumptions_market[Concrete Intensity
(m³ / sq m BUA)],"",0)</f>
        <v>0.45</v>
      </c>
      <c r="L2098" s="134">
        <f>ROUND(Market_Data[[#This Row],[Estimated Built Up Area (sq m)]]*Market_Data[[#This Row],[Concrete Intensity
(m³ / sq m)]],0)</f>
        <v>19035</v>
      </c>
      <c r="M2098" s="135">
        <f>_xlfn.XLOOKUP(Market_Data[[#This Row],[District]],tbl_district_price[District],tbl_district_price[Standard Price
(INR/m³)],"",0)</f>
        <v>6200</v>
      </c>
      <c r="N2098" s="364">
        <f>IF(OR(Market_Data[[#This Row],[Estimated Concrete Demand (m³)]]="",Market_Data[[#This Row],[Avg Price per (₹ / m³)]]=""),"",Market_Data[[#This Row],[Estimated Concrete Demand (m³)]]*Market_Data[[#This Row],[Avg Price per (₹ / m³)]]/10000000)</f>
        <v>11.8017</v>
      </c>
      <c r="O2098" s="97" t="str">
        <f>IF(Market_Data[[#This Row],[Estimated Concrete Demand (m³)]]="","",
IF(Market_Data[[#This Row],[Estimated Concrete Demand (m³)]]&lt;10000,"Small",
IF(Market_Data[[#This Row],[Estimated Concrete Demand (m³)]]&lt;25000,"Medium",
IF(Market_Data[[#This Row],[Estimated Concrete Demand (m³)]]&lt;100000,"Large","Mega"))))</f>
        <v>Medium</v>
      </c>
      <c r="P2098" s="287" t="str">
        <f t="shared" si="34"/>
        <v>GujRERA</v>
      </c>
    </row>
    <row r="2099" spans="1:16">
      <c r="A2099" s="129" t="str">
        <f>_xlfn.XLOOKUP(B2099,$S$9:$S$14,$T$9:$T$14)&amp;"-"&amp;
IF(E2099="Residential/Group Housing","RES",
IF(E2099="Commercial","COM",
IF(E2099="Mixed Development","MIX",
IF(E2099="Plotted Development","PLT","OTH"))))
&amp;"-"&amp;TEXT(COUNTIFS($B$9:B2099,B2099,$E$9:E2099,E2099),"0000")</f>
        <v>SUR-RES-0688</v>
      </c>
      <c r="B2099" s="322" t="s">
        <v>34</v>
      </c>
      <c r="C2099" s="322" t="s">
        <v>34</v>
      </c>
      <c r="D2099" s="323" t="s">
        <v>2289</v>
      </c>
      <c r="E2099" s="132" t="s">
        <v>24</v>
      </c>
      <c r="F2099" s="97" t="str">
        <f ca="1">IF(OR(Market_Data[[#This Row],[Start Date]]="",Market_Data[[#This Row],[Completion Date]]=""),"Needs Validation",IF(Market_Data[[#This Row],[Start Date]]&gt;TODAY(),"Planned",IF(Market_Data[[#This Row],[Completion Date]]&lt;TODAY(),"Completed","Ongoing")))</f>
        <v>Completed</v>
      </c>
      <c r="G2099" s="324">
        <v>42340</v>
      </c>
      <c r="H2099" s="324">
        <v>43616</v>
      </c>
      <c r="I2099" s="325">
        <v>6000</v>
      </c>
      <c r="J209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099" s="133">
        <f>_xlfn.XLOOKUP(Market_Data[[#This Row],[Project Type]],tbl_assumptions_market[Project Category (RERA)],tbl_assumptions_market[Concrete Intensity
(m³ / sq m BUA)],"",0)</f>
        <v>0.45</v>
      </c>
      <c r="L2099" s="134">
        <f>ROUND(Market_Data[[#This Row],[Estimated Built Up Area (sq m)]]*Market_Data[[#This Row],[Concrete Intensity
(m³ / sq m)]],0)</f>
        <v>2700</v>
      </c>
      <c r="M2099" s="135">
        <f>_xlfn.XLOOKUP(Market_Data[[#This Row],[District]],tbl_district_price[District],tbl_district_price[Standard Price
(INR/m³)],"",0)</f>
        <v>6200</v>
      </c>
      <c r="N2099" s="364">
        <f>IF(OR(Market_Data[[#This Row],[Estimated Concrete Demand (m³)]]="",Market_Data[[#This Row],[Avg Price per (₹ / m³)]]=""),"",Market_Data[[#This Row],[Estimated Concrete Demand (m³)]]*Market_Data[[#This Row],[Avg Price per (₹ / m³)]]/10000000)</f>
        <v>1.6739999999999999</v>
      </c>
      <c r="O2099" s="97" t="str">
        <f>IF(Market_Data[[#This Row],[Estimated Concrete Demand (m³)]]="","",
IF(Market_Data[[#This Row],[Estimated Concrete Demand (m³)]]&lt;10000,"Small",
IF(Market_Data[[#This Row],[Estimated Concrete Demand (m³)]]&lt;25000,"Medium",
IF(Market_Data[[#This Row],[Estimated Concrete Demand (m³)]]&lt;100000,"Large","Mega"))))</f>
        <v>Small</v>
      </c>
      <c r="P2099" s="287" t="str">
        <f t="shared" si="34"/>
        <v>GujRERA</v>
      </c>
    </row>
    <row r="2100" spans="1:16">
      <c r="A2100" s="129" t="str">
        <f>_xlfn.XLOOKUP(B2100,$S$9:$S$14,$T$9:$T$14)&amp;"-"&amp;
IF(E2100="Residential/Group Housing","RES",
IF(E2100="Commercial","COM",
IF(E2100="Mixed Development","MIX",
IF(E2100="Plotted Development","PLT","OTH"))))
&amp;"-"&amp;TEXT(COUNTIFS($B$9:B2100,B2100,$E$9:E2100,E2100),"0000")</f>
        <v>SUR-RES-0689</v>
      </c>
      <c r="B2100" s="322" t="s">
        <v>34</v>
      </c>
      <c r="C2100" s="322" t="s">
        <v>34</v>
      </c>
      <c r="D2100" s="323" t="s">
        <v>2290</v>
      </c>
      <c r="E2100" s="132" t="s">
        <v>24</v>
      </c>
      <c r="F2100" s="97" t="str">
        <f ca="1">IF(OR(Market_Data[[#This Row],[Start Date]]="",Market_Data[[#This Row],[Completion Date]]=""),"Needs Validation",IF(Market_Data[[#This Row],[Start Date]]&gt;TODAY(),"Planned",IF(Market_Data[[#This Row],[Completion Date]]&lt;TODAY(),"Completed","Ongoing")))</f>
        <v>Completed</v>
      </c>
      <c r="G2100" s="324">
        <v>43388</v>
      </c>
      <c r="H2100" s="324">
        <v>45473</v>
      </c>
      <c r="I2100" s="325">
        <v>31800</v>
      </c>
      <c r="J210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00" s="133">
        <f>_xlfn.XLOOKUP(Market_Data[[#This Row],[Project Type]],tbl_assumptions_market[Project Category (RERA)],tbl_assumptions_market[Concrete Intensity
(m³ / sq m BUA)],"",0)</f>
        <v>0.45</v>
      </c>
      <c r="L2100" s="134">
        <f>ROUND(Market_Data[[#This Row],[Estimated Built Up Area (sq m)]]*Market_Data[[#This Row],[Concrete Intensity
(m³ / sq m)]],0)</f>
        <v>14310</v>
      </c>
      <c r="M2100" s="135">
        <f>_xlfn.XLOOKUP(Market_Data[[#This Row],[District]],tbl_district_price[District],tbl_district_price[Standard Price
(INR/m³)],"",0)</f>
        <v>6200</v>
      </c>
      <c r="N2100" s="364">
        <f>IF(OR(Market_Data[[#This Row],[Estimated Concrete Demand (m³)]]="",Market_Data[[#This Row],[Avg Price per (₹ / m³)]]=""),"",Market_Data[[#This Row],[Estimated Concrete Demand (m³)]]*Market_Data[[#This Row],[Avg Price per (₹ / m³)]]/10000000)</f>
        <v>8.8721999999999994</v>
      </c>
      <c r="O2100" s="97" t="str">
        <f>IF(Market_Data[[#This Row],[Estimated Concrete Demand (m³)]]="","",
IF(Market_Data[[#This Row],[Estimated Concrete Demand (m³)]]&lt;10000,"Small",
IF(Market_Data[[#This Row],[Estimated Concrete Demand (m³)]]&lt;25000,"Medium",
IF(Market_Data[[#This Row],[Estimated Concrete Demand (m³)]]&lt;100000,"Large","Mega"))))</f>
        <v>Medium</v>
      </c>
      <c r="P2100" s="287" t="str">
        <f t="shared" si="34"/>
        <v>GujRERA</v>
      </c>
    </row>
    <row r="2101" spans="1:16">
      <c r="A2101" s="129" t="str">
        <f>_xlfn.XLOOKUP(B2101,$S$9:$S$14,$T$9:$T$14)&amp;"-"&amp;
IF(E2101="Residential/Group Housing","RES",
IF(E2101="Commercial","COM",
IF(E2101="Mixed Development","MIX",
IF(E2101="Plotted Development","PLT","OTH"))))
&amp;"-"&amp;TEXT(COUNTIFS($B$9:B2101,B2101,$E$9:E2101,E2101),"0000")</f>
        <v>SUR-RES-0690</v>
      </c>
      <c r="B2101" s="322" t="s">
        <v>34</v>
      </c>
      <c r="C2101" s="322" t="s">
        <v>34</v>
      </c>
      <c r="D2101" s="323" t="s">
        <v>2291</v>
      </c>
      <c r="E2101" s="132" t="s">
        <v>24</v>
      </c>
      <c r="F2101" s="97" t="str">
        <f ca="1">IF(OR(Market_Data[[#This Row],[Start Date]]="",Market_Data[[#This Row],[Completion Date]]=""),"Needs Validation",IF(Market_Data[[#This Row],[Start Date]]&gt;TODAY(),"Planned",IF(Market_Data[[#This Row],[Completion Date]]&lt;TODAY(),"Completed","Ongoing")))</f>
        <v>Completed</v>
      </c>
      <c r="G2101" s="324">
        <v>42741</v>
      </c>
      <c r="H2101" s="324">
        <v>43616</v>
      </c>
      <c r="I2101" s="325">
        <v>42700</v>
      </c>
      <c r="J210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01" s="133">
        <f>_xlfn.XLOOKUP(Market_Data[[#This Row],[Project Type]],tbl_assumptions_market[Project Category (RERA)],tbl_assumptions_market[Concrete Intensity
(m³ / sq m BUA)],"",0)</f>
        <v>0.45</v>
      </c>
      <c r="L2101" s="134">
        <f>ROUND(Market_Data[[#This Row],[Estimated Built Up Area (sq m)]]*Market_Data[[#This Row],[Concrete Intensity
(m³ / sq m)]],0)</f>
        <v>19215</v>
      </c>
      <c r="M2101" s="135">
        <f>_xlfn.XLOOKUP(Market_Data[[#This Row],[District]],tbl_district_price[District],tbl_district_price[Standard Price
(INR/m³)],"",0)</f>
        <v>6200</v>
      </c>
      <c r="N2101" s="364">
        <f>IF(OR(Market_Data[[#This Row],[Estimated Concrete Demand (m³)]]="",Market_Data[[#This Row],[Avg Price per (₹ / m³)]]=""),"",Market_Data[[#This Row],[Estimated Concrete Demand (m³)]]*Market_Data[[#This Row],[Avg Price per (₹ / m³)]]/10000000)</f>
        <v>11.9133</v>
      </c>
      <c r="O2101" s="97" t="str">
        <f>IF(Market_Data[[#This Row],[Estimated Concrete Demand (m³)]]="","",
IF(Market_Data[[#This Row],[Estimated Concrete Demand (m³)]]&lt;10000,"Small",
IF(Market_Data[[#This Row],[Estimated Concrete Demand (m³)]]&lt;25000,"Medium",
IF(Market_Data[[#This Row],[Estimated Concrete Demand (m³)]]&lt;100000,"Large","Mega"))))</f>
        <v>Medium</v>
      </c>
      <c r="P2101" s="287" t="str">
        <f t="shared" si="34"/>
        <v>GujRERA</v>
      </c>
    </row>
    <row r="2102" spans="1:16">
      <c r="A2102" s="129" t="str">
        <f>_xlfn.XLOOKUP(B2102,$S$9:$S$14,$T$9:$T$14)&amp;"-"&amp;
IF(E2102="Residential/Group Housing","RES",
IF(E2102="Commercial","COM",
IF(E2102="Mixed Development","MIX",
IF(E2102="Plotted Development","PLT","OTH"))))
&amp;"-"&amp;TEXT(COUNTIFS($B$9:B2102,B2102,$E$9:E2102,E2102),"0000")</f>
        <v>SUR-RES-0691</v>
      </c>
      <c r="B2102" s="322" t="s">
        <v>34</v>
      </c>
      <c r="C2102" s="322" t="s">
        <v>34</v>
      </c>
      <c r="D2102" s="323" t="s">
        <v>2292</v>
      </c>
      <c r="E2102" s="132" t="s">
        <v>24</v>
      </c>
      <c r="F2102" s="97" t="str">
        <f ca="1">IF(OR(Market_Data[[#This Row],[Start Date]]="",Market_Data[[#This Row],[Completion Date]]=""),"Needs Validation",IF(Market_Data[[#This Row],[Start Date]]&gt;TODAY(),"Planned",IF(Market_Data[[#This Row],[Completion Date]]&lt;TODAY(),"Completed","Ongoing")))</f>
        <v>Completed</v>
      </c>
      <c r="G2102" s="324">
        <v>39645</v>
      </c>
      <c r="H2102" s="324">
        <v>43738</v>
      </c>
      <c r="I2102" s="325">
        <v>5400</v>
      </c>
      <c r="J210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02" s="133">
        <f>_xlfn.XLOOKUP(Market_Data[[#This Row],[Project Type]],tbl_assumptions_market[Project Category (RERA)],tbl_assumptions_market[Concrete Intensity
(m³ / sq m BUA)],"",0)</f>
        <v>0.45</v>
      </c>
      <c r="L2102" s="134">
        <f>ROUND(Market_Data[[#This Row],[Estimated Built Up Area (sq m)]]*Market_Data[[#This Row],[Concrete Intensity
(m³ / sq m)]],0)</f>
        <v>2430</v>
      </c>
      <c r="M2102" s="135">
        <f>_xlfn.XLOOKUP(Market_Data[[#This Row],[District]],tbl_district_price[District],tbl_district_price[Standard Price
(INR/m³)],"",0)</f>
        <v>6200</v>
      </c>
      <c r="N2102" s="364">
        <f>IF(OR(Market_Data[[#This Row],[Estimated Concrete Demand (m³)]]="",Market_Data[[#This Row],[Avg Price per (₹ / m³)]]=""),"",Market_Data[[#This Row],[Estimated Concrete Demand (m³)]]*Market_Data[[#This Row],[Avg Price per (₹ / m³)]]/10000000)</f>
        <v>1.5065999999999999</v>
      </c>
      <c r="O2102" s="97" t="str">
        <f>IF(Market_Data[[#This Row],[Estimated Concrete Demand (m³)]]="","",
IF(Market_Data[[#This Row],[Estimated Concrete Demand (m³)]]&lt;10000,"Small",
IF(Market_Data[[#This Row],[Estimated Concrete Demand (m³)]]&lt;25000,"Medium",
IF(Market_Data[[#This Row],[Estimated Concrete Demand (m³)]]&lt;100000,"Large","Mega"))))</f>
        <v>Small</v>
      </c>
      <c r="P2102" s="287" t="str">
        <f t="shared" si="34"/>
        <v>GujRERA</v>
      </c>
    </row>
    <row r="2103" spans="1:16">
      <c r="A2103" s="129" t="str">
        <f>_xlfn.XLOOKUP(B2103,$S$9:$S$14,$T$9:$T$14)&amp;"-"&amp;
IF(E2103="Residential/Group Housing","RES",
IF(E2103="Commercial","COM",
IF(E2103="Mixed Development","MIX",
IF(E2103="Plotted Development","PLT","OTH"))))
&amp;"-"&amp;TEXT(COUNTIFS($B$9:B2103,B2103,$E$9:E2103,E2103),"0000")</f>
        <v>SUR-PLT-0407</v>
      </c>
      <c r="B2103" s="322" t="s">
        <v>34</v>
      </c>
      <c r="C2103" s="322" t="s">
        <v>34</v>
      </c>
      <c r="D2103" s="323" t="s">
        <v>2293</v>
      </c>
      <c r="E2103" s="132" t="s">
        <v>26</v>
      </c>
      <c r="F2103" s="97" t="str">
        <f ca="1">IF(OR(Market_Data[[#This Row],[Start Date]]="",Market_Data[[#This Row],[Completion Date]]=""),"Needs Validation",IF(Market_Data[[#This Row],[Start Date]]&gt;TODAY(),"Planned",IF(Market_Data[[#This Row],[Completion Date]]&lt;TODAY(),"Completed","Ongoing")))</f>
        <v>Ongoing</v>
      </c>
      <c r="G2103" s="324">
        <v>44763</v>
      </c>
      <c r="H2103" s="324">
        <v>46600</v>
      </c>
      <c r="I2103" s="325">
        <v>17000</v>
      </c>
      <c r="J210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03" s="133">
        <f>_xlfn.XLOOKUP(Market_Data[[#This Row],[Project Type]],tbl_assumptions_market[Project Category (RERA)],tbl_assumptions_market[Concrete Intensity
(m³ / sq m BUA)],"",0)</f>
        <v>0.18</v>
      </c>
      <c r="L2103" s="134">
        <f>ROUND(Market_Data[[#This Row],[Estimated Built Up Area (sq m)]]*Market_Data[[#This Row],[Concrete Intensity
(m³ / sq m)]],0)</f>
        <v>3060</v>
      </c>
      <c r="M2103" s="135">
        <f>_xlfn.XLOOKUP(Market_Data[[#This Row],[District]],tbl_district_price[District],tbl_district_price[Standard Price
(INR/m³)],"",0)</f>
        <v>6200</v>
      </c>
      <c r="N2103" s="364">
        <f>IF(OR(Market_Data[[#This Row],[Estimated Concrete Demand (m³)]]="",Market_Data[[#This Row],[Avg Price per (₹ / m³)]]=""),"",Market_Data[[#This Row],[Estimated Concrete Demand (m³)]]*Market_Data[[#This Row],[Avg Price per (₹ / m³)]]/10000000)</f>
        <v>1.8972</v>
      </c>
      <c r="O2103" s="97" t="str">
        <f>IF(Market_Data[[#This Row],[Estimated Concrete Demand (m³)]]="","",
IF(Market_Data[[#This Row],[Estimated Concrete Demand (m³)]]&lt;10000,"Small",
IF(Market_Data[[#This Row],[Estimated Concrete Demand (m³)]]&lt;25000,"Medium",
IF(Market_Data[[#This Row],[Estimated Concrete Demand (m³)]]&lt;100000,"Large","Mega"))))</f>
        <v>Small</v>
      </c>
      <c r="P2103" s="287" t="str">
        <f t="shared" si="34"/>
        <v>GujRERA</v>
      </c>
    </row>
    <row r="2104" spans="1:16">
      <c r="A2104" s="129" t="str">
        <f>_xlfn.XLOOKUP(B2104,$S$9:$S$14,$T$9:$T$14)&amp;"-"&amp;
IF(E2104="Residential/Group Housing","RES",
IF(E2104="Commercial","COM",
IF(E2104="Mixed Development","MIX",
IF(E2104="Plotted Development","PLT","OTH"))))
&amp;"-"&amp;TEXT(COUNTIFS($B$9:B2104,B2104,$E$9:E2104,E2104),"0000")</f>
        <v>SUR-PLT-0408</v>
      </c>
      <c r="B2104" s="322" t="s">
        <v>34</v>
      </c>
      <c r="C2104" s="322" t="s">
        <v>34</v>
      </c>
      <c r="D2104" s="323" t="s">
        <v>2294</v>
      </c>
      <c r="E2104" s="132" t="s">
        <v>26</v>
      </c>
      <c r="F2104" s="97" t="str">
        <f ca="1">IF(OR(Market_Data[[#This Row],[Start Date]]="",Market_Data[[#This Row],[Completion Date]]=""),"Needs Validation",IF(Market_Data[[#This Row],[Start Date]]&gt;TODAY(),"Planned",IF(Market_Data[[#This Row],[Completion Date]]&lt;TODAY(),"Completed","Ongoing")))</f>
        <v>Ongoing</v>
      </c>
      <c r="G2104" s="324">
        <v>44984</v>
      </c>
      <c r="H2104" s="324">
        <v>47118</v>
      </c>
      <c r="I2104" s="325">
        <v>2000</v>
      </c>
      <c r="J210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04" s="133">
        <f>_xlfn.XLOOKUP(Market_Data[[#This Row],[Project Type]],tbl_assumptions_market[Project Category (RERA)],tbl_assumptions_market[Concrete Intensity
(m³ / sq m BUA)],"",0)</f>
        <v>0.18</v>
      </c>
      <c r="L2104" s="134">
        <f>ROUND(Market_Data[[#This Row],[Estimated Built Up Area (sq m)]]*Market_Data[[#This Row],[Concrete Intensity
(m³ / sq m)]],0)</f>
        <v>360</v>
      </c>
      <c r="M2104" s="135">
        <f>_xlfn.XLOOKUP(Market_Data[[#This Row],[District]],tbl_district_price[District],tbl_district_price[Standard Price
(INR/m³)],"",0)</f>
        <v>6200</v>
      </c>
      <c r="N2104" s="364">
        <f>IF(OR(Market_Data[[#This Row],[Estimated Concrete Demand (m³)]]="",Market_Data[[#This Row],[Avg Price per (₹ / m³)]]=""),"",Market_Data[[#This Row],[Estimated Concrete Demand (m³)]]*Market_Data[[#This Row],[Avg Price per (₹ / m³)]]/10000000)</f>
        <v>0.22320000000000001</v>
      </c>
      <c r="O2104" s="97" t="str">
        <f>IF(Market_Data[[#This Row],[Estimated Concrete Demand (m³)]]="","",
IF(Market_Data[[#This Row],[Estimated Concrete Demand (m³)]]&lt;10000,"Small",
IF(Market_Data[[#This Row],[Estimated Concrete Demand (m³)]]&lt;25000,"Medium",
IF(Market_Data[[#This Row],[Estimated Concrete Demand (m³)]]&lt;100000,"Large","Mega"))))</f>
        <v>Small</v>
      </c>
      <c r="P2104" s="287" t="str">
        <f t="shared" si="34"/>
        <v>GujRERA</v>
      </c>
    </row>
    <row r="2105" spans="1:16">
      <c r="A2105" s="129" t="str">
        <f>_xlfn.XLOOKUP(B2105,$S$9:$S$14,$T$9:$T$14)&amp;"-"&amp;
IF(E2105="Residential/Group Housing","RES",
IF(E2105="Commercial","COM",
IF(E2105="Mixed Development","MIX",
IF(E2105="Plotted Development","PLT","OTH"))))
&amp;"-"&amp;TEXT(COUNTIFS($B$9:B2105,B2105,$E$9:E2105,E2105),"0000")</f>
        <v>SUR-RES-0692</v>
      </c>
      <c r="B2105" s="322" t="s">
        <v>34</v>
      </c>
      <c r="C2105" s="322" t="s">
        <v>34</v>
      </c>
      <c r="D2105" s="323" t="s">
        <v>2295</v>
      </c>
      <c r="E2105" s="132" t="s">
        <v>24</v>
      </c>
      <c r="F2105" s="97" t="str">
        <f ca="1">IF(OR(Market_Data[[#This Row],[Start Date]]="",Market_Data[[#This Row],[Completion Date]]=""),"Needs Validation",IF(Market_Data[[#This Row],[Start Date]]&gt;TODAY(),"Planned",IF(Market_Data[[#This Row],[Completion Date]]&lt;TODAY(),"Completed","Ongoing")))</f>
        <v>Completed</v>
      </c>
      <c r="G2105" s="324">
        <v>41779</v>
      </c>
      <c r="H2105" s="324">
        <v>44377</v>
      </c>
      <c r="I2105" s="325">
        <v>26500</v>
      </c>
      <c r="J210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05" s="133">
        <f>_xlfn.XLOOKUP(Market_Data[[#This Row],[Project Type]],tbl_assumptions_market[Project Category (RERA)],tbl_assumptions_market[Concrete Intensity
(m³ / sq m BUA)],"",0)</f>
        <v>0.45</v>
      </c>
      <c r="L2105" s="134">
        <f>ROUND(Market_Data[[#This Row],[Estimated Built Up Area (sq m)]]*Market_Data[[#This Row],[Concrete Intensity
(m³ / sq m)]],0)</f>
        <v>11925</v>
      </c>
      <c r="M2105" s="135">
        <f>_xlfn.XLOOKUP(Market_Data[[#This Row],[District]],tbl_district_price[District],tbl_district_price[Standard Price
(INR/m³)],"",0)</f>
        <v>6200</v>
      </c>
      <c r="N2105" s="364">
        <f>IF(OR(Market_Data[[#This Row],[Estimated Concrete Demand (m³)]]="",Market_Data[[#This Row],[Avg Price per (₹ / m³)]]=""),"",Market_Data[[#This Row],[Estimated Concrete Demand (m³)]]*Market_Data[[#This Row],[Avg Price per (₹ / m³)]]/10000000)</f>
        <v>7.3935000000000004</v>
      </c>
      <c r="O2105" s="97" t="str">
        <f>IF(Market_Data[[#This Row],[Estimated Concrete Demand (m³)]]="","",
IF(Market_Data[[#This Row],[Estimated Concrete Demand (m³)]]&lt;10000,"Small",
IF(Market_Data[[#This Row],[Estimated Concrete Demand (m³)]]&lt;25000,"Medium",
IF(Market_Data[[#This Row],[Estimated Concrete Demand (m³)]]&lt;100000,"Large","Mega"))))</f>
        <v>Medium</v>
      </c>
      <c r="P2105" s="287" t="str">
        <f t="shared" si="34"/>
        <v>GujRERA</v>
      </c>
    </row>
    <row r="2106" spans="1:16">
      <c r="A2106" s="129" t="str">
        <f>_xlfn.XLOOKUP(B2106,$S$9:$S$14,$T$9:$T$14)&amp;"-"&amp;
IF(E2106="Residential/Group Housing","RES",
IF(E2106="Commercial","COM",
IF(E2106="Mixed Development","MIX",
IF(E2106="Plotted Development","PLT","OTH"))))
&amp;"-"&amp;TEXT(COUNTIFS($B$9:B2106,B2106,$E$9:E2106,E2106),"0000")</f>
        <v>SUR-MIX-0358</v>
      </c>
      <c r="B2106" s="322" t="s">
        <v>34</v>
      </c>
      <c r="C2106" s="322" t="s">
        <v>34</v>
      </c>
      <c r="D2106" s="323" t="s">
        <v>2296</v>
      </c>
      <c r="E2106" s="132" t="s">
        <v>25</v>
      </c>
      <c r="F2106" s="97" t="str">
        <f ca="1">IF(OR(Market_Data[[#This Row],[Start Date]]="",Market_Data[[#This Row],[Completion Date]]=""),"Needs Validation",IF(Market_Data[[#This Row],[Start Date]]&gt;TODAY(),"Planned",IF(Market_Data[[#This Row],[Completion Date]]&lt;TODAY(),"Completed","Ongoing")))</f>
        <v>Completed</v>
      </c>
      <c r="G2106" s="324">
        <v>43497</v>
      </c>
      <c r="H2106" s="324">
        <v>45777</v>
      </c>
      <c r="I2106" s="325">
        <v>26500</v>
      </c>
      <c r="J210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06" s="133">
        <f>_xlfn.XLOOKUP(Market_Data[[#This Row],[Project Type]],tbl_assumptions_market[Project Category (RERA)],tbl_assumptions_market[Concrete Intensity
(m³ / sq m BUA)],"",0)</f>
        <v>0.42</v>
      </c>
      <c r="L2106" s="134">
        <f>ROUND(Market_Data[[#This Row],[Estimated Built Up Area (sq m)]]*Market_Data[[#This Row],[Concrete Intensity
(m³ / sq m)]],0)</f>
        <v>11130</v>
      </c>
      <c r="M2106" s="135">
        <f>_xlfn.XLOOKUP(Market_Data[[#This Row],[District]],tbl_district_price[District],tbl_district_price[Standard Price
(INR/m³)],"",0)</f>
        <v>6200</v>
      </c>
      <c r="N2106" s="364">
        <f>IF(OR(Market_Data[[#This Row],[Estimated Concrete Demand (m³)]]="",Market_Data[[#This Row],[Avg Price per (₹ / m³)]]=""),"",Market_Data[[#This Row],[Estimated Concrete Demand (m³)]]*Market_Data[[#This Row],[Avg Price per (₹ / m³)]]/10000000)</f>
        <v>6.9005999999999998</v>
      </c>
      <c r="O2106" s="97" t="str">
        <f>IF(Market_Data[[#This Row],[Estimated Concrete Demand (m³)]]="","",
IF(Market_Data[[#This Row],[Estimated Concrete Demand (m³)]]&lt;10000,"Small",
IF(Market_Data[[#This Row],[Estimated Concrete Demand (m³)]]&lt;25000,"Medium",
IF(Market_Data[[#This Row],[Estimated Concrete Demand (m³)]]&lt;100000,"Large","Mega"))))</f>
        <v>Medium</v>
      </c>
      <c r="P2106" s="287" t="str">
        <f t="shared" si="34"/>
        <v>GujRERA</v>
      </c>
    </row>
    <row r="2107" spans="1:16">
      <c r="A2107" s="129" t="str">
        <f>_xlfn.XLOOKUP(B2107,$S$9:$S$14,$T$9:$T$14)&amp;"-"&amp;
IF(E2107="Residential/Group Housing","RES",
IF(E2107="Commercial","COM",
IF(E2107="Mixed Development","MIX",
IF(E2107="Plotted Development","PLT","OTH"))))
&amp;"-"&amp;TEXT(COUNTIFS($B$9:B2107,B2107,$E$9:E2107,E2107),"0000")</f>
        <v>SUR-PLT-0409</v>
      </c>
      <c r="B2107" s="322" t="s">
        <v>34</v>
      </c>
      <c r="C2107" s="322" t="s">
        <v>34</v>
      </c>
      <c r="D2107" s="323" t="s">
        <v>2297</v>
      </c>
      <c r="E2107" s="132" t="s">
        <v>26</v>
      </c>
      <c r="F2107" s="97" t="str">
        <f ca="1">IF(OR(Market_Data[[#This Row],[Start Date]]="",Market_Data[[#This Row],[Completion Date]]=""),"Needs Validation",IF(Market_Data[[#This Row],[Start Date]]&gt;TODAY(),"Planned",IF(Market_Data[[#This Row],[Completion Date]]&lt;TODAY(),"Completed","Ongoing")))</f>
        <v>Ongoing</v>
      </c>
      <c r="G2107" s="324">
        <v>44742</v>
      </c>
      <c r="H2107" s="324">
        <v>46387</v>
      </c>
      <c r="I2107" s="325">
        <v>33000</v>
      </c>
      <c r="J210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107" s="133">
        <f>_xlfn.XLOOKUP(Market_Data[[#This Row],[Project Type]],tbl_assumptions_market[Project Category (RERA)],tbl_assumptions_market[Concrete Intensity
(m³ / sq m BUA)],"",0)</f>
        <v>0.18</v>
      </c>
      <c r="L2107" s="134">
        <f>ROUND(Market_Data[[#This Row],[Estimated Built Up Area (sq m)]]*Market_Data[[#This Row],[Concrete Intensity
(m³ / sq m)]],0)</f>
        <v>5940</v>
      </c>
      <c r="M2107" s="135">
        <f>_xlfn.XLOOKUP(Market_Data[[#This Row],[District]],tbl_district_price[District],tbl_district_price[Standard Price
(INR/m³)],"",0)</f>
        <v>6200</v>
      </c>
      <c r="N2107" s="364">
        <f>IF(OR(Market_Data[[#This Row],[Estimated Concrete Demand (m³)]]="",Market_Data[[#This Row],[Avg Price per (₹ / m³)]]=""),"",Market_Data[[#This Row],[Estimated Concrete Demand (m³)]]*Market_Data[[#This Row],[Avg Price per (₹ / m³)]]/10000000)</f>
        <v>3.6827999999999999</v>
      </c>
      <c r="O2107" s="97" t="str">
        <f>IF(Market_Data[[#This Row],[Estimated Concrete Demand (m³)]]="","",
IF(Market_Data[[#This Row],[Estimated Concrete Demand (m³)]]&lt;10000,"Small",
IF(Market_Data[[#This Row],[Estimated Concrete Demand (m³)]]&lt;25000,"Medium",
IF(Market_Data[[#This Row],[Estimated Concrete Demand (m³)]]&lt;100000,"Large","Mega"))))</f>
        <v>Small</v>
      </c>
      <c r="P2107" s="287" t="str">
        <f t="shared" si="34"/>
        <v>GujRERA</v>
      </c>
    </row>
    <row r="2108" spans="1:16">
      <c r="A2108" s="129" t="str">
        <f>_xlfn.XLOOKUP(B2108,$S$9:$S$14,$T$9:$T$14)&amp;"-"&amp;
IF(E2108="Residential/Group Housing","RES",
IF(E2108="Commercial","COM",
IF(E2108="Mixed Development","MIX",
IF(E2108="Plotted Development","PLT","OTH"))))
&amp;"-"&amp;TEXT(COUNTIFS($B$9:B2108,B2108,$E$9:E2108,E2108),"0000")</f>
        <v>SUR-RES-0693</v>
      </c>
      <c r="B2108" s="322" t="s">
        <v>34</v>
      </c>
      <c r="C2108" s="322" t="s">
        <v>34</v>
      </c>
      <c r="D2108" s="323" t="s">
        <v>2298</v>
      </c>
      <c r="E2108" s="132" t="s">
        <v>24</v>
      </c>
      <c r="F2108" s="97" t="str">
        <f ca="1">IF(OR(Market_Data[[#This Row],[Start Date]]="",Market_Data[[#This Row],[Completion Date]]=""),"Needs Validation",IF(Market_Data[[#This Row],[Start Date]]&gt;TODAY(),"Planned",IF(Market_Data[[#This Row],[Completion Date]]&lt;TODAY(),"Completed","Ongoing")))</f>
        <v>Ongoing</v>
      </c>
      <c r="G2108" s="324">
        <v>45695</v>
      </c>
      <c r="H2108" s="324">
        <v>46630</v>
      </c>
      <c r="I2108" s="325">
        <v>37900</v>
      </c>
      <c r="J210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08" s="133">
        <f>_xlfn.XLOOKUP(Market_Data[[#This Row],[Project Type]],tbl_assumptions_market[Project Category (RERA)],tbl_assumptions_market[Concrete Intensity
(m³ / sq m BUA)],"",0)</f>
        <v>0.45</v>
      </c>
      <c r="L2108" s="134">
        <f>ROUND(Market_Data[[#This Row],[Estimated Built Up Area (sq m)]]*Market_Data[[#This Row],[Concrete Intensity
(m³ / sq m)]],0)</f>
        <v>17055</v>
      </c>
      <c r="M2108" s="135">
        <f>_xlfn.XLOOKUP(Market_Data[[#This Row],[District]],tbl_district_price[District],tbl_district_price[Standard Price
(INR/m³)],"",0)</f>
        <v>6200</v>
      </c>
      <c r="N2108" s="364">
        <f>IF(OR(Market_Data[[#This Row],[Estimated Concrete Demand (m³)]]="",Market_Data[[#This Row],[Avg Price per (₹ / m³)]]=""),"",Market_Data[[#This Row],[Estimated Concrete Demand (m³)]]*Market_Data[[#This Row],[Avg Price per (₹ / m³)]]/10000000)</f>
        <v>10.5741</v>
      </c>
      <c r="O2108" s="97" t="str">
        <f>IF(Market_Data[[#This Row],[Estimated Concrete Demand (m³)]]="","",
IF(Market_Data[[#This Row],[Estimated Concrete Demand (m³)]]&lt;10000,"Small",
IF(Market_Data[[#This Row],[Estimated Concrete Demand (m³)]]&lt;25000,"Medium",
IF(Market_Data[[#This Row],[Estimated Concrete Demand (m³)]]&lt;100000,"Large","Mega"))))</f>
        <v>Medium</v>
      </c>
      <c r="P2108" s="287" t="str">
        <f t="shared" si="34"/>
        <v>GujRERA</v>
      </c>
    </row>
    <row r="2109" spans="1:16">
      <c r="A2109" s="129" t="str">
        <f>_xlfn.XLOOKUP(B2109,$S$9:$S$14,$T$9:$T$14)&amp;"-"&amp;
IF(E2109="Residential/Group Housing","RES",
IF(E2109="Commercial","COM",
IF(E2109="Mixed Development","MIX",
IF(E2109="Plotted Development","PLT","OTH"))))
&amp;"-"&amp;TEXT(COUNTIFS($B$9:B2109,B2109,$E$9:E2109,E2109),"0000")</f>
        <v>SUR-RES-0694</v>
      </c>
      <c r="B2109" s="322" t="s">
        <v>34</v>
      </c>
      <c r="C2109" s="322" t="s">
        <v>34</v>
      </c>
      <c r="D2109" s="323" t="s">
        <v>2299</v>
      </c>
      <c r="E2109" s="132" t="s">
        <v>24</v>
      </c>
      <c r="F2109" s="97" t="str">
        <f ca="1">IF(OR(Market_Data[[#This Row],[Start Date]]="",Market_Data[[#This Row],[Completion Date]]=""),"Needs Validation",IF(Market_Data[[#This Row],[Start Date]]&gt;TODAY(),"Planned",IF(Market_Data[[#This Row],[Completion Date]]&lt;TODAY(),"Completed","Ongoing")))</f>
        <v>Ongoing</v>
      </c>
      <c r="G2109" s="324">
        <v>45362</v>
      </c>
      <c r="H2109" s="324">
        <v>46477</v>
      </c>
      <c r="I2109" s="325">
        <v>11600</v>
      </c>
      <c r="J210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09" s="133">
        <f>_xlfn.XLOOKUP(Market_Data[[#This Row],[Project Type]],tbl_assumptions_market[Project Category (RERA)],tbl_assumptions_market[Concrete Intensity
(m³ / sq m BUA)],"",0)</f>
        <v>0.45</v>
      </c>
      <c r="L2109" s="134">
        <f>ROUND(Market_Data[[#This Row],[Estimated Built Up Area (sq m)]]*Market_Data[[#This Row],[Concrete Intensity
(m³ / sq m)]],0)</f>
        <v>5220</v>
      </c>
      <c r="M2109" s="135">
        <f>_xlfn.XLOOKUP(Market_Data[[#This Row],[District]],tbl_district_price[District],tbl_district_price[Standard Price
(INR/m³)],"",0)</f>
        <v>6200</v>
      </c>
      <c r="N2109" s="364">
        <f>IF(OR(Market_Data[[#This Row],[Estimated Concrete Demand (m³)]]="",Market_Data[[#This Row],[Avg Price per (₹ / m³)]]=""),"",Market_Data[[#This Row],[Estimated Concrete Demand (m³)]]*Market_Data[[#This Row],[Avg Price per (₹ / m³)]]/10000000)</f>
        <v>3.2364000000000002</v>
      </c>
      <c r="O2109" s="97" t="str">
        <f>IF(Market_Data[[#This Row],[Estimated Concrete Demand (m³)]]="","",
IF(Market_Data[[#This Row],[Estimated Concrete Demand (m³)]]&lt;10000,"Small",
IF(Market_Data[[#This Row],[Estimated Concrete Demand (m³)]]&lt;25000,"Medium",
IF(Market_Data[[#This Row],[Estimated Concrete Demand (m³)]]&lt;100000,"Large","Mega"))))</f>
        <v>Small</v>
      </c>
      <c r="P2109" s="287" t="str">
        <f t="shared" si="34"/>
        <v>GujRERA</v>
      </c>
    </row>
    <row r="2110" spans="1:16">
      <c r="A2110" s="129" t="str">
        <f>_xlfn.XLOOKUP(B2110,$S$9:$S$14,$T$9:$T$14)&amp;"-"&amp;
IF(E2110="Residential/Group Housing","RES",
IF(E2110="Commercial","COM",
IF(E2110="Mixed Development","MIX",
IF(E2110="Plotted Development","PLT","OTH"))))
&amp;"-"&amp;TEXT(COUNTIFS($B$9:B2110,B2110,$E$9:E2110,E2110),"0000")</f>
        <v>SUR-MIX-0359</v>
      </c>
      <c r="B2110" s="322" t="s">
        <v>34</v>
      </c>
      <c r="C2110" s="322" t="s">
        <v>34</v>
      </c>
      <c r="D2110" s="323" t="s">
        <v>2300</v>
      </c>
      <c r="E2110" s="132" t="s">
        <v>25</v>
      </c>
      <c r="F2110" s="97" t="str">
        <f ca="1">IF(OR(Market_Data[[#This Row],[Start Date]]="",Market_Data[[#This Row],[Completion Date]]=""),"Needs Validation",IF(Market_Data[[#This Row],[Start Date]]&gt;TODAY(),"Planned",IF(Market_Data[[#This Row],[Completion Date]]&lt;TODAY(),"Completed","Ongoing")))</f>
        <v>Ongoing</v>
      </c>
      <c r="G2110" s="324">
        <v>44727</v>
      </c>
      <c r="H2110" s="324">
        <v>47208</v>
      </c>
      <c r="I2110" s="325">
        <v>52300</v>
      </c>
      <c r="J211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10" s="133">
        <f>_xlfn.XLOOKUP(Market_Data[[#This Row],[Project Type]],tbl_assumptions_market[Project Category (RERA)],tbl_assumptions_market[Concrete Intensity
(m³ / sq m BUA)],"",0)</f>
        <v>0.42</v>
      </c>
      <c r="L2110" s="134">
        <f>ROUND(Market_Data[[#This Row],[Estimated Built Up Area (sq m)]]*Market_Data[[#This Row],[Concrete Intensity
(m³ / sq m)]],0)</f>
        <v>21966</v>
      </c>
      <c r="M2110" s="135">
        <f>_xlfn.XLOOKUP(Market_Data[[#This Row],[District]],tbl_district_price[District],tbl_district_price[Standard Price
(INR/m³)],"",0)</f>
        <v>6200</v>
      </c>
      <c r="N2110" s="364">
        <f>IF(OR(Market_Data[[#This Row],[Estimated Concrete Demand (m³)]]="",Market_Data[[#This Row],[Avg Price per (₹ / m³)]]=""),"",Market_Data[[#This Row],[Estimated Concrete Demand (m³)]]*Market_Data[[#This Row],[Avg Price per (₹ / m³)]]/10000000)</f>
        <v>13.618919999999999</v>
      </c>
      <c r="O2110" s="97" t="str">
        <f>IF(Market_Data[[#This Row],[Estimated Concrete Demand (m³)]]="","",
IF(Market_Data[[#This Row],[Estimated Concrete Demand (m³)]]&lt;10000,"Small",
IF(Market_Data[[#This Row],[Estimated Concrete Demand (m³)]]&lt;25000,"Medium",
IF(Market_Data[[#This Row],[Estimated Concrete Demand (m³)]]&lt;100000,"Large","Mega"))))</f>
        <v>Medium</v>
      </c>
      <c r="P2110" s="287" t="str">
        <f t="shared" si="34"/>
        <v>GujRERA</v>
      </c>
    </row>
    <row r="2111" spans="1:16">
      <c r="A2111" s="129" t="str">
        <f>_xlfn.XLOOKUP(B2111,$S$9:$S$14,$T$9:$T$14)&amp;"-"&amp;
IF(E2111="Residential/Group Housing","RES",
IF(E2111="Commercial","COM",
IF(E2111="Mixed Development","MIX",
IF(E2111="Plotted Development","PLT","OTH"))))
&amp;"-"&amp;TEXT(COUNTIFS($B$9:B2111,B2111,$E$9:E2111,E2111),"0000")</f>
        <v>SUR-MIX-0360</v>
      </c>
      <c r="B2111" s="322" t="s">
        <v>34</v>
      </c>
      <c r="C2111" s="322" t="s">
        <v>34</v>
      </c>
      <c r="D2111" s="323" t="s">
        <v>2301</v>
      </c>
      <c r="E2111" s="132" t="s">
        <v>25</v>
      </c>
      <c r="F2111" s="97" t="str">
        <f ca="1">IF(OR(Market_Data[[#This Row],[Start Date]]="",Market_Data[[#This Row],[Completion Date]]=""),"Needs Validation",IF(Market_Data[[#This Row],[Start Date]]&gt;TODAY(),"Planned",IF(Market_Data[[#This Row],[Completion Date]]&lt;TODAY(),"Completed","Ongoing")))</f>
        <v>Completed</v>
      </c>
      <c r="G2111" s="324">
        <v>43405</v>
      </c>
      <c r="H2111" s="324">
        <v>45046</v>
      </c>
      <c r="I2111" s="325">
        <v>51900</v>
      </c>
      <c r="J211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11" s="133">
        <f>_xlfn.XLOOKUP(Market_Data[[#This Row],[Project Type]],tbl_assumptions_market[Project Category (RERA)],tbl_assumptions_market[Concrete Intensity
(m³ / sq m BUA)],"",0)</f>
        <v>0.42</v>
      </c>
      <c r="L2111" s="134">
        <f>ROUND(Market_Data[[#This Row],[Estimated Built Up Area (sq m)]]*Market_Data[[#This Row],[Concrete Intensity
(m³ / sq m)]],0)</f>
        <v>21798</v>
      </c>
      <c r="M2111" s="135">
        <f>_xlfn.XLOOKUP(Market_Data[[#This Row],[District]],tbl_district_price[District],tbl_district_price[Standard Price
(INR/m³)],"",0)</f>
        <v>6200</v>
      </c>
      <c r="N2111" s="364">
        <f>IF(OR(Market_Data[[#This Row],[Estimated Concrete Demand (m³)]]="",Market_Data[[#This Row],[Avg Price per (₹ / m³)]]=""),"",Market_Data[[#This Row],[Estimated Concrete Demand (m³)]]*Market_Data[[#This Row],[Avg Price per (₹ / m³)]]/10000000)</f>
        <v>13.514760000000001</v>
      </c>
      <c r="O2111" s="97" t="str">
        <f>IF(Market_Data[[#This Row],[Estimated Concrete Demand (m³)]]="","",
IF(Market_Data[[#This Row],[Estimated Concrete Demand (m³)]]&lt;10000,"Small",
IF(Market_Data[[#This Row],[Estimated Concrete Demand (m³)]]&lt;25000,"Medium",
IF(Market_Data[[#This Row],[Estimated Concrete Demand (m³)]]&lt;100000,"Large","Mega"))))</f>
        <v>Medium</v>
      </c>
      <c r="P2111" s="287" t="str">
        <f t="shared" si="34"/>
        <v>GujRERA</v>
      </c>
    </row>
    <row r="2112" spans="1:16">
      <c r="A2112" s="129" t="str">
        <f>_xlfn.XLOOKUP(B2112,$S$9:$S$14,$T$9:$T$14)&amp;"-"&amp;
IF(E2112="Residential/Group Housing","RES",
IF(E2112="Commercial","COM",
IF(E2112="Mixed Development","MIX",
IF(E2112="Plotted Development","PLT","OTH"))))
&amp;"-"&amp;TEXT(COUNTIFS($B$9:B2112,B2112,$E$9:E2112,E2112),"0000")</f>
        <v>SUR-PLT-0410</v>
      </c>
      <c r="B2112" s="322" t="s">
        <v>34</v>
      </c>
      <c r="C2112" s="322" t="s">
        <v>34</v>
      </c>
      <c r="D2112" s="323" t="s">
        <v>2302</v>
      </c>
      <c r="E2112" s="132" t="s">
        <v>26</v>
      </c>
      <c r="F2112" s="97" t="str">
        <f ca="1">IF(OR(Market_Data[[#This Row],[Start Date]]="",Market_Data[[#This Row],[Completion Date]]=""),"Needs Validation",IF(Market_Data[[#This Row],[Start Date]]&gt;TODAY(),"Planned",IF(Market_Data[[#This Row],[Completion Date]]&lt;TODAY(),"Completed","Ongoing")))</f>
        <v>Ongoing</v>
      </c>
      <c r="G2112" s="324">
        <v>46008</v>
      </c>
      <c r="H2112" s="324">
        <v>46752</v>
      </c>
      <c r="I2112" s="325">
        <v>9400</v>
      </c>
      <c r="J211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12" s="133">
        <f>_xlfn.XLOOKUP(Market_Data[[#This Row],[Project Type]],tbl_assumptions_market[Project Category (RERA)],tbl_assumptions_market[Concrete Intensity
(m³ / sq m BUA)],"",0)</f>
        <v>0.18</v>
      </c>
      <c r="L2112" s="134">
        <f>ROUND(Market_Data[[#This Row],[Estimated Built Up Area (sq m)]]*Market_Data[[#This Row],[Concrete Intensity
(m³ / sq m)]],0)</f>
        <v>1692</v>
      </c>
      <c r="M2112" s="135">
        <f>_xlfn.XLOOKUP(Market_Data[[#This Row],[District]],tbl_district_price[District],tbl_district_price[Standard Price
(INR/m³)],"",0)</f>
        <v>6200</v>
      </c>
      <c r="N2112" s="364">
        <f>IF(OR(Market_Data[[#This Row],[Estimated Concrete Demand (m³)]]="",Market_Data[[#This Row],[Avg Price per (₹ / m³)]]=""),"",Market_Data[[#This Row],[Estimated Concrete Demand (m³)]]*Market_Data[[#This Row],[Avg Price per (₹ / m³)]]/10000000)</f>
        <v>1.04904</v>
      </c>
      <c r="O2112" s="97" t="str">
        <f>IF(Market_Data[[#This Row],[Estimated Concrete Demand (m³)]]="","",
IF(Market_Data[[#This Row],[Estimated Concrete Demand (m³)]]&lt;10000,"Small",
IF(Market_Data[[#This Row],[Estimated Concrete Demand (m³)]]&lt;25000,"Medium",
IF(Market_Data[[#This Row],[Estimated Concrete Demand (m³)]]&lt;100000,"Large","Mega"))))</f>
        <v>Small</v>
      </c>
      <c r="P2112" s="287" t="str">
        <f t="shared" si="34"/>
        <v>GujRERA</v>
      </c>
    </row>
    <row r="2113" spans="1:16">
      <c r="A2113" s="129" t="str">
        <f>_xlfn.XLOOKUP(B2113,$S$9:$S$14,$T$9:$T$14)&amp;"-"&amp;
IF(E2113="Residential/Group Housing","RES",
IF(E2113="Commercial","COM",
IF(E2113="Mixed Development","MIX",
IF(E2113="Plotted Development","PLT","OTH"))))
&amp;"-"&amp;TEXT(COUNTIFS($B$9:B2113,B2113,$E$9:E2113,E2113),"0000")</f>
        <v>SUR-PLT-0411</v>
      </c>
      <c r="B2113" s="322" t="s">
        <v>34</v>
      </c>
      <c r="C2113" s="322" t="s">
        <v>34</v>
      </c>
      <c r="D2113" s="323" t="s">
        <v>2303</v>
      </c>
      <c r="E2113" s="132" t="s">
        <v>26</v>
      </c>
      <c r="F2113" s="97" t="str">
        <f ca="1">IF(OR(Market_Data[[#This Row],[Start Date]]="",Market_Data[[#This Row],[Completion Date]]=""),"Needs Validation",IF(Market_Data[[#This Row],[Start Date]]&gt;TODAY(),"Planned",IF(Market_Data[[#This Row],[Completion Date]]&lt;TODAY(),"Completed","Ongoing")))</f>
        <v>Ongoing</v>
      </c>
      <c r="G2113" s="324">
        <v>45701</v>
      </c>
      <c r="H2113" s="324">
        <v>46752</v>
      </c>
      <c r="I2113" s="325">
        <v>27800</v>
      </c>
      <c r="J211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13" s="133">
        <f>_xlfn.XLOOKUP(Market_Data[[#This Row],[Project Type]],tbl_assumptions_market[Project Category (RERA)],tbl_assumptions_market[Concrete Intensity
(m³ / sq m BUA)],"",0)</f>
        <v>0.18</v>
      </c>
      <c r="L2113" s="134">
        <f>ROUND(Market_Data[[#This Row],[Estimated Built Up Area (sq m)]]*Market_Data[[#This Row],[Concrete Intensity
(m³ / sq m)]],0)</f>
        <v>5004</v>
      </c>
      <c r="M2113" s="135">
        <f>_xlfn.XLOOKUP(Market_Data[[#This Row],[District]],tbl_district_price[District],tbl_district_price[Standard Price
(INR/m³)],"",0)</f>
        <v>6200</v>
      </c>
      <c r="N2113" s="364">
        <f>IF(OR(Market_Data[[#This Row],[Estimated Concrete Demand (m³)]]="",Market_Data[[#This Row],[Avg Price per (₹ / m³)]]=""),"",Market_Data[[#This Row],[Estimated Concrete Demand (m³)]]*Market_Data[[#This Row],[Avg Price per (₹ / m³)]]/10000000)</f>
        <v>3.1024799999999999</v>
      </c>
      <c r="O2113" s="97" t="str">
        <f>IF(Market_Data[[#This Row],[Estimated Concrete Demand (m³)]]="","",
IF(Market_Data[[#This Row],[Estimated Concrete Demand (m³)]]&lt;10000,"Small",
IF(Market_Data[[#This Row],[Estimated Concrete Demand (m³)]]&lt;25000,"Medium",
IF(Market_Data[[#This Row],[Estimated Concrete Demand (m³)]]&lt;100000,"Large","Mega"))))</f>
        <v>Small</v>
      </c>
      <c r="P2113" s="287" t="str">
        <f t="shared" si="34"/>
        <v>GujRERA</v>
      </c>
    </row>
    <row r="2114" spans="1:16">
      <c r="A2114" s="129" t="str">
        <f>_xlfn.XLOOKUP(B2114,$S$9:$S$14,$T$9:$T$14)&amp;"-"&amp;
IF(E2114="Residential/Group Housing","RES",
IF(E2114="Commercial","COM",
IF(E2114="Mixed Development","MIX",
IF(E2114="Plotted Development","PLT","OTH"))))
&amp;"-"&amp;TEXT(COUNTIFS($B$9:B2114,B2114,$E$9:E2114,E2114),"0000")</f>
        <v>SUR-PLT-0412</v>
      </c>
      <c r="B2114" s="322" t="s">
        <v>34</v>
      </c>
      <c r="C2114" s="322" t="s">
        <v>34</v>
      </c>
      <c r="D2114" s="323" t="s">
        <v>2304</v>
      </c>
      <c r="E2114" s="132" t="s">
        <v>26</v>
      </c>
      <c r="F2114" s="97" t="str">
        <f ca="1">IF(OR(Market_Data[[#This Row],[Start Date]]="",Market_Data[[#This Row],[Completion Date]]=""),"Needs Validation",IF(Market_Data[[#This Row],[Start Date]]&gt;TODAY(),"Planned",IF(Market_Data[[#This Row],[Completion Date]]&lt;TODAY(),"Completed","Ongoing")))</f>
        <v>Completed</v>
      </c>
      <c r="G2114" s="324">
        <v>44621</v>
      </c>
      <c r="H2114" s="324">
        <v>45657</v>
      </c>
      <c r="I2114" s="325">
        <v>49900</v>
      </c>
      <c r="J211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114" s="133">
        <f>_xlfn.XLOOKUP(Market_Data[[#This Row],[Project Type]],tbl_assumptions_market[Project Category (RERA)],tbl_assumptions_market[Concrete Intensity
(m³ / sq m BUA)],"",0)</f>
        <v>0.18</v>
      </c>
      <c r="L2114" s="134">
        <f>ROUND(Market_Data[[#This Row],[Estimated Built Up Area (sq m)]]*Market_Data[[#This Row],[Concrete Intensity
(m³ / sq m)]],0)</f>
        <v>8982</v>
      </c>
      <c r="M2114" s="135">
        <f>_xlfn.XLOOKUP(Market_Data[[#This Row],[District]],tbl_district_price[District],tbl_district_price[Standard Price
(INR/m³)],"",0)</f>
        <v>6200</v>
      </c>
      <c r="N2114" s="364">
        <f>IF(OR(Market_Data[[#This Row],[Estimated Concrete Demand (m³)]]="",Market_Data[[#This Row],[Avg Price per (₹ / m³)]]=""),"",Market_Data[[#This Row],[Estimated Concrete Demand (m³)]]*Market_Data[[#This Row],[Avg Price per (₹ / m³)]]/10000000)</f>
        <v>5.5688399999999998</v>
      </c>
      <c r="O2114" s="97" t="str">
        <f>IF(Market_Data[[#This Row],[Estimated Concrete Demand (m³)]]="","",
IF(Market_Data[[#This Row],[Estimated Concrete Demand (m³)]]&lt;10000,"Small",
IF(Market_Data[[#This Row],[Estimated Concrete Demand (m³)]]&lt;25000,"Medium",
IF(Market_Data[[#This Row],[Estimated Concrete Demand (m³)]]&lt;100000,"Large","Mega"))))</f>
        <v>Small</v>
      </c>
      <c r="P2114" s="287" t="str">
        <f t="shared" si="34"/>
        <v>GujRERA</v>
      </c>
    </row>
    <row r="2115" spans="1:16">
      <c r="A2115" s="129" t="str">
        <f>_xlfn.XLOOKUP(B2115,$S$9:$S$14,$T$9:$T$14)&amp;"-"&amp;
IF(E2115="Residential/Group Housing","RES",
IF(E2115="Commercial","COM",
IF(E2115="Mixed Development","MIX",
IF(E2115="Plotted Development","PLT","OTH"))))
&amp;"-"&amp;TEXT(COUNTIFS($B$9:B2115,B2115,$E$9:E2115,E2115),"0000")</f>
        <v>SUR-RES-0695</v>
      </c>
      <c r="B2115" s="322" t="s">
        <v>34</v>
      </c>
      <c r="C2115" s="322" t="s">
        <v>34</v>
      </c>
      <c r="D2115" s="323" t="s">
        <v>2305</v>
      </c>
      <c r="E2115" s="132" t="s">
        <v>24</v>
      </c>
      <c r="F2115" s="97" t="str">
        <f ca="1">IF(OR(Market_Data[[#This Row],[Start Date]]="",Market_Data[[#This Row],[Completion Date]]=""),"Needs Validation",IF(Market_Data[[#This Row],[Start Date]]&gt;TODAY(),"Planned",IF(Market_Data[[#This Row],[Completion Date]]&lt;TODAY(),"Completed","Ongoing")))</f>
        <v>Completed</v>
      </c>
      <c r="G2115" s="324">
        <v>42559</v>
      </c>
      <c r="H2115" s="324">
        <v>43734</v>
      </c>
      <c r="I2115" s="325">
        <v>46000</v>
      </c>
      <c r="J211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15" s="133">
        <f>_xlfn.XLOOKUP(Market_Data[[#This Row],[Project Type]],tbl_assumptions_market[Project Category (RERA)],tbl_assumptions_market[Concrete Intensity
(m³ / sq m BUA)],"",0)</f>
        <v>0.45</v>
      </c>
      <c r="L2115" s="134">
        <f>ROUND(Market_Data[[#This Row],[Estimated Built Up Area (sq m)]]*Market_Data[[#This Row],[Concrete Intensity
(m³ / sq m)]],0)</f>
        <v>20700</v>
      </c>
      <c r="M2115" s="135">
        <f>_xlfn.XLOOKUP(Market_Data[[#This Row],[District]],tbl_district_price[District],tbl_district_price[Standard Price
(INR/m³)],"",0)</f>
        <v>6200</v>
      </c>
      <c r="N2115" s="364">
        <f>IF(OR(Market_Data[[#This Row],[Estimated Concrete Demand (m³)]]="",Market_Data[[#This Row],[Avg Price per (₹ / m³)]]=""),"",Market_Data[[#This Row],[Estimated Concrete Demand (m³)]]*Market_Data[[#This Row],[Avg Price per (₹ / m³)]]/10000000)</f>
        <v>12.834</v>
      </c>
      <c r="O2115" s="97" t="str">
        <f>IF(Market_Data[[#This Row],[Estimated Concrete Demand (m³)]]="","",
IF(Market_Data[[#This Row],[Estimated Concrete Demand (m³)]]&lt;10000,"Small",
IF(Market_Data[[#This Row],[Estimated Concrete Demand (m³)]]&lt;25000,"Medium",
IF(Market_Data[[#This Row],[Estimated Concrete Demand (m³)]]&lt;100000,"Large","Mega"))))</f>
        <v>Medium</v>
      </c>
      <c r="P2115" s="287" t="str">
        <f t="shared" si="34"/>
        <v>GujRERA</v>
      </c>
    </row>
    <row r="2116" spans="1:16">
      <c r="A2116" s="129" t="str">
        <f>_xlfn.XLOOKUP(B2116,$S$9:$S$14,$T$9:$T$14)&amp;"-"&amp;
IF(E2116="Residential/Group Housing","RES",
IF(E2116="Commercial","COM",
IF(E2116="Mixed Development","MIX",
IF(E2116="Plotted Development","PLT","OTH"))))
&amp;"-"&amp;TEXT(COUNTIFS($B$9:B2116,B2116,$E$9:E2116,E2116),"0000")</f>
        <v>SUR-PLT-0413</v>
      </c>
      <c r="B2116" s="322" t="s">
        <v>34</v>
      </c>
      <c r="C2116" s="322" t="s">
        <v>34</v>
      </c>
      <c r="D2116" s="323" t="s">
        <v>2306</v>
      </c>
      <c r="E2116" s="132" t="s">
        <v>26</v>
      </c>
      <c r="F2116" s="97" t="str">
        <f ca="1">IF(OR(Market_Data[[#This Row],[Start Date]]="",Market_Data[[#This Row],[Completion Date]]=""),"Needs Validation",IF(Market_Data[[#This Row],[Start Date]]&gt;TODAY(),"Planned",IF(Market_Data[[#This Row],[Completion Date]]&lt;TODAY(),"Completed","Ongoing")))</f>
        <v>Ongoing</v>
      </c>
      <c r="G2116" s="324">
        <v>45692</v>
      </c>
      <c r="H2116" s="324">
        <v>46387</v>
      </c>
      <c r="I2116" s="325">
        <v>13700</v>
      </c>
      <c r="J211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16" s="133">
        <f>_xlfn.XLOOKUP(Market_Data[[#This Row],[Project Type]],tbl_assumptions_market[Project Category (RERA)],tbl_assumptions_market[Concrete Intensity
(m³ / sq m BUA)],"",0)</f>
        <v>0.18</v>
      </c>
      <c r="L2116" s="134">
        <f>ROUND(Market_Data[[#This Row],[Estimated Built Up Area (sq m)]]*Market_Data[[#This Row],[Concrete Intensity
(m³ / sq m)]],0)</f>
        <v>2466</v>
      </c>
      <c r="M2116" s="135">
        <f>_xlfn.XLOOKUP(Market_Data[[#This Row],[District]],tbl_district_price[District],tbl_district_price[Standard Price
(INR/m³)],"",0)</f>
        <v>6200</v>
      </c>
      <c r="N2116" s="364">
        <f>IF(OR(Market_Data[[#This Row],[Estimated Concrete Demand (m³)]]="",Market_Data[[#This Row],[Avg Price per (₹ / m³)]]=""),"",Market_Data[[#This Row],[Estimated Concrete Demand (m³)]]*Market_Data[[#This Row],[Avg Price per (₹ / m³)]]/10000000)</f>
        <v>1.5289200000000001</v>
      </c>
      <c r="O2116" s="97" t="str">
        <f>IF(Market_Data[[#This Row],[Estimated Concrete Demand (m³)]]="","",
IF(Market_Data[[#This Row],[Estimated Concrete Demand (m³)]]&lt;10000,"Small",
IF(Market_Data[[#This Row],[Estimated Concrete Demand (m³)]]&lt;25000,"Medium",
IF(Market_Data[[#This Row],[Estimated Concrete Demand (m³)]]&lt;100000,"Large","Mega"))))</f>
        <v>Small</v>
      </c>
      <c r="P2116" s="287" t="str">
        <f t="shared" si="34"/>
        <v>GujRERA</v>
      </c>
    </row>
    <row r="2117" spans="1:16">
      <c r="A2117" s="129" t="str">
        <f>_xlfn.XLOOKUP(B2117,$S$9:$S$14,$T$9:$T$14)&amp;"-"&amp;
IF(E2117="Residential/Group Housing","RES",
IF(E2117="Commercial","COM",
IF(E2117="Mixed Development","MIX",
IF(E2117="Plotted Development","PLT","OTH"))))
&amp;"-"&amp;TEXT(COUNTIFS($B$9:B2117,B2117,$E$9:E2117,E2117),"0000")</f>
        <v>SUR-RES-0696</v>
      </c>
      <c r="B2117" s="322" t="s">
        <v>34</v>
      </c>
      <c r="C2117" s="322" t="s">
        <v>34</v>
      </c>
      <c r="D2117" s="323" t="s">
        <v>2307</v>
      </c>
      <c r="E2117" s="132" t="s">
        <v>24</v>
      </c>
      <c r="F2117" s="97" t="str">
        <f ca="1">IF(OR(Market_Data[[#This Row],[Start Date]]="",Market_Data[[#This Row],[Completion Date]]=""),"Needs Validation",IF(Market_Data[[#This Row],[Start Date]]&gt;TODAY(),"Planned",IF(Market_Data[[#This Row],[Completion Date]]&lt;TODAY(),"Completed","Ongoing")))</f>
        <v>Completed</v>
      </c>
      <c r="G2117" s="324">
        <v>44257</v>
      </c>
      <c r="H2117" s="324">
        <v>46112</v>
      </c>
      <c r="I2117" s="325">
        <v>20500</v>
      </c>
      <c r="J211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17" s="133">
        <f>_xlfn.XLOOKUP(Market_Data[[#This Row],[Project Type]],tbl_assumptions_market[Project Category (RERA)],tbl_assumptions_market[Concrete Intensity
(m³ / sq m BUA)],"",0)</f>
        <v>0.45</v>
      </c>
      <c r="L2117" s="134">
        <f>ROUND(Market_Data[[#This Row],[Estimated Built Up Area (sq m)]]*Market_Data[[#This Row],[Concrete Intensity
(m³ / sq m)]],0)</f>
        <v>9225</v>
      </c>
      <c r="M2117" s="135">
        <f>_xlfn.XLOOKUP(Market_Data[[#This Row],[District]],tbl_district_price[District],tbl_district_price[Standard Price
(INR/m³)],"",0)</f>
        <v>6200</v>
      </c>
      <c r="N2117" s="364">
        <f>IF(OR(Market_Data[[#This Row],[Estimated Concrete Demand (m³)]]="",Market_Data[[#This Row],[Avg Price per (₹ / m³)]]=""),"",Market_Data[[#This Row],[Estimated Concrete Demand (m³)]]*Market_Data[[#This Row],[Avg Price per (₹ / m³)]]/10000000)</f>
        <v>5.7195</v>
      </c>
      <c r="O2117" s="97" t="str">
        <f>IF(Market_Data[[#This Row],[Estimated Concrete Demand (m³)]]="","",
IF(Market_Data[[#This Row],[Estimated Concrete Demand (m³)]]&lt;10000,"Small",
IF(Market_Data[[#This Row],[Estimated Concrete Demand (m³)]]&lt;25000,"Medium",
IF(Market_Data[[#This Row],[Estimated Concrete Demand (m³)]]&lt;100000,"Large","Mega"))))</f>
        <v>Small</v>
      </c>
      <c r="P2117" s="287" t="str">
        <f t="shared" si="34"/>
        <v>GujRERA</v>
      </c>
    </row>
    <row r="2118" spans="1:16">
      <c r="A2118" s="129" t="str">
        <f>_xlfn.XLOOKUP(B2118,$S$9:$S$14,$T$9:$T$14)&amp;"-"&amp;
IF(E2118="Residential/Group Housing","RES",
IF(E2118="Commercial","COM",
IF(E2118="Mixed Development","MIX",
IF(E2118="Plotted Development","PLT","OTH"))))
&amp;"-"&amp;TEXT(COUNTIFS($B$9:B2118,B2118,$E$9:E2118,E2118),"0000")</f>
        <v>SUR-RES-0697</v>
      </c>
      <c r="B2118" s="322" t="s">
        <v>34</v>
      </c>
      <c r="C2118" s="322" t="s">
        <v>34</v>
      </c>
      <c r="D2118" s="323" t="s">
        <v>2308</v>
      </c>
      <c r="E2118" s="132" t="s">
        <v>24</v>
      </c>
      <c r="F2118" s="97" t="str">
        <f ca="1">IF(OR(Market_Data[[#This Row],[Start Date]]="",Market_Data[[#This Row],[Completion Date]]=""),"Needs Validation",IF(Market_Data[[#This Row],[Start Date]]&gt;TODAY(),"Planned",IF(Market_Data[[#This Row],[Completion Date]]&lt;TODAY(),"Completed","Ongoing")))</f>
        <v>Completed</v>
      </c>
      <c r="G2118" s="324">
        <v>42751</v>
      </c>
      <c r="H2118" s="324">
        <v>43862</v>
      </c>
      <c r="I2118" s="325">
        <v>21800</v>
      </c>
      <c r="J211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18" s="133">
        <f>_xlfn.XLOOKUP(Market_Data[[#This Row],[Project Type]],tbl_assumptions_market[Project Category (RERA)],tbl_assumptions_market[Concrete Intensity
(m³ / sq m BUA)],"",0)</f>
        <v>0.45</v>
      </c>
      <c r="L2118" s="134">
        <f>ROUND(Market_Data[[#This Row],[Estimated Built Up Area (sq m)]]*Market_Data[[#This Row],[Concrete Intensity
(m³ / sq m)]],0)</f>
        <v>9810</v>
      </c>
      <c r="M2118" s="135">
        <f>_xlfn.XLOOKUP(Market_Data[[#This Row],[District]],tbl_district_price[District],tbl_district_price[Standard Price
(INR/m³)],"",0)</f>
        <v>6200</v>
      </c>
      <c r="N2118" s="364">
        <f>IF(OR(Market_Data[[#This Row],[Estimated Concrete Demand (m³)]]="",Market_Data[[#This Row],[Avg Price per (₹ / m³)]]=""),"",Market_Data[[#This Row],[Estimated Concrete Demand (m³)]]*Market_Data[[#This Row],[Avg Price per (₹ / m³)]]/10000000)</f>
        <v>6.0822000000000003</v>
      </c>
      <c r="O2118" s="97" t="str">
        <f>IF(Market_Data[[#This Row],[Estimated Concrete Demand (m³)]]="","",
IF(Market_Data[[#This Row],[Estimated Concrete Demand (m³)]]&lt;10000,"Small",
IF(Market_Data[[#This Row],[Estimated Concrete Demand (m³)]]&lt;25000,"Medium",
IF(Market_Data[[#This Row],[Estimated Concrete Demand (m³)]]&lt;100000,"Large","Mega"))))</f>
        <v>Small</v>
      </c>
      <c r="P2118" s="287" t="str">
        <f t="shared" si="34"/>
        <v>GujRERA</v>
      </c>
    </row>
    <row r="2119" spans="1:16">
      <c r="A2119" s="129" t="str">
        <f>_xlfn.XLOOKUP(B2119,$S$9:$S$14,$T$9:$T$14)&amp;"-"&amp;
IF(E2119="Residential/Group Housing","RES",
IF(E2119="Commercial","COM",
IF(E2119="Mixed Development","MIX",
IF(E2119="Plotted Development","PLT","OTH"))))
&amp;"-"&amp;TEXT(COUNTIFS($B$9:B2119,B2119,$E$9:E2119,E2119),"0000")</f>
        <v>SUR-PLT-0414</v>
      </c>
      <c r="B2119" s="322" t="s">
        <v>34</v>
      </c>
      <c r="C2119" s="322" t="s">
        <v>34</v>
      </c>
      <c r="D2119" s="323" t="s">
        <v>2309</v>
      </c>
      <c r="E2119" s="132" t="s">
        <v>26</v>
      </c>
      <c r="F2119" s="97" t="str">
        <f ca="1">IF(OR(Market_Data[[#This Row],[Start Date]]="",Market_Data[[#This Row],[Completion Date]]=""),"Needs Validation",IF(Market_Data[[#This Row],[Start Date]]&gt;TODAY(),"Planned",IF(Market_Data[[#This Row],[Completion Date]]&lt;TODAY(),"Completed","Ongoing")))</f>
        <v>Ongoing</v>
      </c>
      <c r="G2119" s="324">
        <v>45347</v>
      </c>
      <c r="H2119" s="324">
        <v>46387</v>
      </c>
      <c r="I2119" s="325">
        <v>20000</v>
      </c>
      <c r="J211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19" s="133">
        <f>_xlfn.XLOOKUP(Market_Data[[#This Row],[Project Type]],tbl_assumptions_market[Project Category (RERA)],tbl_assumptions_market[Concrete Intensity
(m³ / sq m BUA)],"",0)</f>
        <v>0.18</v>
      </c>
      <c r="L2119" s="134">
        <f>ROUND(Market_Data[[#This Row],[Estimated Built Up Area (sq m)]]*Market_Data[[#This Row],[Concrete Intensity
(m³ / sq m)]],0)</f>
        <v>3600</v>
      </c>
      <c r="M2119" s="135">
        <f>_xlfn.XLOOKUP(Market_Data[[#This Row],[District]],tbl_district_price[District],tbl_district_price[Standard Price
(INR/m³)],"",0)</f>
        <v>6200</v>
      </c>
      <c r="N2119" s="364">
        <f>IF(OR(Market_Data[[#This Row],[Estimated Concrete Demand (m³)]]="",Market_Data[[#This Row],[Avg Price per (₹ / m³)]]=""),"",Market_Data[[#This Row],[Estimated Concrete Demand (m³)]]*Market_Data[[#This Row],[Avg Price per (₹ / m³)]]/10000000)</f>
        <v>2.2320000000000002</v>
      </c>
      <c r="O2119" s="97" t="str">
        <f>IF(Market_Data[[#This Row],[Estimated Concrete Demand (m³)]]="","",
IF(Market_Data[[#This Row],[Estimated Concrete Demand (m³)]]&lt;10000,"Small",
IF(Market_Data[[#This Row],[Estimated Concrete Demand (m³)]]&lt;25000,"Medium",
IF(Market_Data[[#This Row],[Estimated Concrete Demand (m³)]]&lt;100000,"Large","Mega"))))</f>
        <v>Small</v>
      </c>
      <c r="P2119" s="287" t="str">
        <f t="shared" si="34"/>
        <v>GujRERA</v>
      </c>
    </row>
    <row r="2120" spans="1:16">
      <c r="A2120" s="129" t="str">
        <f>_xlfn.XLOOKUP(B2120,$S$9:$S$14,$T$9:$T$14)&amp;"-"&amp;
IF(E2120="Residential/Group Housing","RES",
IF(E2120="Commercial","COM",
IF(E2120="Mixed Development","MIX",
IF(E2120="Plotted Development","PLT","OTH"))))
&amp;"-"&amp;TEXT(COUNTIFS($B$9:B2120,B2120,$E$9:E2120,E2120),"0000")</f>
        <v>SUR-MIX-0361</v>
      </c>
      <c r="B2120" s="322" t="s">
        <v>34</v>
      </c>
      <c r="C2120" s="322" t="s">
        <v>34</v>
      </c>
      <c r="D2120" s="323" t="s">
        <v>2310</v>
      </c>
      <c r="E2120" s="132" t="s">
        <v>25</v>
      </c>
      <c r="F2120" s="97" t="str">
        <f ca="1">IF(OR(Market_Data[[#This Row],[Start Date]]="",Market_Data[[#This Row],[Completion Date]]=""),"Needs Validation",IF(Market_Data[[#This Row],[Start Date]]&gt;TODAY(),"Planned",IF(Market_Data[[#This Row],[Completion Date]]&lt;TODAY(),"Completed","Ongoing")))</f>
        <v>Completed</v>
      </c>
      <c r="G2120" s="324">
        <v>42643</v>
      </c>
      <c r="H2120" s="324">
        <v>44742</v>
      </c>
      <c r="I2120" s="325">
        <v>7900</v>
      </c>
      <c r="J212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120" s="133">
        <f>_xlfn.XLOOKUP(Market_Data[[#This Row],[Project Type]],tbl_assumptions_market[Project Category (RERA)],tbl_assumptions_market[Concrete Intensity
(m³ / sq m BUA)],"",0)</f>
        <v>0.42</v>
      </c>
      <c r="L2120" s="134">
        <f>ROUND(Market_Data[[#This Row],[Estimated Built Up Area (sq m)]]*Market_Data[[#This Row],[Concrete Intensity
(m³ / sq m)]],0)</f>
        <v>3318</v>
      </c>
      <c r="M2120" s="135">
        <f>_xlfn.XLOOKUP(Market_Data[[#This Row],[District]],tbl_district_price[District],tbl_district_price[Standard Price
(INR/m³)],"",0)</f>
        <v>6200</v>
      </c>
      <c r="N2120" s="364">
        <f>IF(OR(Market_Data[[#This Row],[Estimated Concrete Demand (m³)]]="",Market_Data[[#This Row],[Avg Price per (₹ / m³)]]=""),"",Market_Data[[#This Row],[Estimated Concrete Demand (m³)]]*Market_Data[[#This Row],[Avg Price per (₹ / m³)]]/10000000)</f>
        <v>2.0571600000000001</v>
      </c>
      <c r="O2120" s="97" t="str">
        <f>IF(Market_Data[[#This Row],[Estimated Concrete Demand (m³)]]="","",
IF(Market_Data[[#This Row],[Estimated Concrete Demand (m³)]]&lt;10000,"Small",
IF(Market_Data[[#This Row],[Estimated Concrete Demand (m³)]]&lt;25000,"Medium",
IF(Market_Data[[#This Row],[Estimated Concrete Demand (m³)]]&lt;100000,"Large","Mega"))))</f>
        <v>Small</v>
      </c>
      <c r="P2120" s="287" t="str">
        <f t="shared" si="34"/>
        <v>GujRERA</v>
      </c>
    </row>
    <row r="2121" spans="1:16">
      <c r="A2121" s="129" t="str">
        <f>_xlfn.XLOOKUP(B2121,$S$9:$S$14,$T$9:$T$14)&amp;"-"&amp;
IF(E2121="Residential/Group Housing","RES",
IF(E2121="Commercial","COM",
IF(E2121="Mixed Development","MIX",
IF(E2121="Plotted Development","PLT","OTH"))))
&amp;"-"&amp;TEXT(COUNTIFS($B$9:B2121,B2121,$E$9:E2121,E2121),"0000")</f>
        <v>SUR-PLT-0415</v>
      </c>
      <c r="B2121" s="322" t="s">
        <v>34</v>
      </c>
      <c r="C2121" s="322" t="s">
        <v>34</v>
      </c>
      <c r="D2121" s="323" t="s">
        <v>2311</v>
      </c>
      <c r="E2121" s="132" t="s">
        <v>26</v>
      </c>
      <c r="F2121" s="97" t="str">
        <f ca="1">IF(OR(Market_Data[[#This Row],[Start Date]]="",Market_Data[[#This Row],[Completion Date]]=""),"Needs Validation",IF(Market_Data[[#This Row],[Start Date]]&gt;TODAY(),"Planned",IF(Market_Data[[#This Row],[Completion Date]]&lt;TODAY(),"Completed","Ongoing")))</f>
        <v>Ongoing</v>
      </c>
      <c r="G2121" s="324">
        <v>45353</v>
      </c>
      <c r="H2121" s="324">
        <v>46387</v>
      </c>
      <c r="I2121" s="325">
        <v>31000</v>
      </c>
      <c r="J212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121" s="133">
        <f>_xlfn.XLOOKUP(Market_Data[[#This Row],[Project Type]],tbl_assumptions_market[Project Category (RERA)],tbl_assumptions_market[Concrete Intensity
(m³ / sq m BUA)],"",0)</f>
        <v>0.18</v>
      </c>
      <c r="L2121" s="134">
        <f>ROUND(Market_Data[[#This Row],[Estimated Built Up Area (sq m)]]*Market_Data[[#This Row],[Concrete Intensity
(m³ / sq m)]],0)</f>
        <v>5580</v>
      </c>
      <c r="M2121" s="135">
        <f>_xlfn.XLOOKUP(Market_Data[[#This Row],[District]],tbl_district_price[District],tbl_district_price[Standard Price
(INR/m³)],"",0)</f>
        <v>6200</v>
      </c>
      <c r="N2121" s="364">
        <f>IF(OR(Market_Data[[#This Row],[Estimated Concrete Demand (m³)]]="",Market_Data[[#This Row],[Avg Price per (₹ / m³)]]=""),"",Market_Data[[#This Row],[Estimated Concrete Demand (m³)]]*Market_Data[[#This Row],[Avg Price per (₹ / m³)]]/10000000)</f>
        <v>3.4596</v>
      </c>
      <c r="O2121" s="97" t="str">
        <f>IF(Market_Data[[#This Row],[Estimated Concrete Demand (m³)]]="","",
IF(Market_Data[[#This Row],[Estimated Concrete Demand (m³)]]&lt;10000,"Small",
IF(Market_Data[[#This Row],[Estimated Concrete Demand (m³)]]&lt;25000,"Medium",
IF(Market_Data[[#This Row],[Estimated Concrete Demand (m³)]]&lt;100000,"Large","Mega"))))</f>
        <v>Small</v>
      </c>
      <c r="P2121" s="287" t="str">
        <f t="shared" si="34"/>
        <v>GujRERA</v>
      </c>
    </row>
    <row r="2122" spans="1:16">
      <c r="A2122" s="129" t="str">
        <f>_xlfn.XLOOKUP(B2122,$S$9:$S$14,$T$9:$T$14)&amp;"-"&amp;
IF(E2122="Residential/Group Housing","RES",
IF(E2122="Commercial","COM",
IF(E2122="Mixed Development","MIX",
IF(E2122="Plotted Development","PLT","OTH"))))
&amp;"-"&amp;TEXT(COUNTIFS($B$9:B2122,B2122,$E$9:E2122,E2122),"0000")</f>
        <v>SUR-COM-0331</v>
      </c>
      <c r="B2122" s="322" t="s">
        <v>34</v>
      </c>
      <c r="C2122" s="322" t="s">
        <v>34</v>
      </c>
      <c r="D2122" s="323" t="s">
        <v>2312</v>
      </c>
      <c r="E2122" s="132" t="s">
        <v>23</v>
      </c>
      <c r="F2122" s="97" t="str">
        <f ca="1">IF(OR(Market_Data[[#This Row],[Start Date]]="",Market_Data[[#This Row],[Completion Date]]=""),"Needs Validation",IF(Market_Data[[#This Row],[Start Date]]&gt;TODAY(),"Planned",IF(Market_Data[[#This Row],[Completion Date]]&lt;TODAY(),"Completed","Ongoing")))</f>
        <v>Completed</v>
      </c>
      <c r="G2122" s="324">
        <v>43101</v>
      </c>
      <c r="H2122" s="324">
        <v>44408</v>
      </c>
      <c r="I2122" s="325">
        <v>26000</v>
      </c>
      <c r="J212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122" s="133">
        <f>_xlfn.XLOOKUP(Market_Data[[#This Row],[Project Type]],tbl_assumptions_market[Project Category (RERA)],tbl_assumptions_market[Concrete Intensity
(m³ / sq m BUA)],"",0)</f>
        <v>0.5</v>
      </c>
      <c r="L2122" s="134">
        <f>ROUND(Market_Data[[#This Row],[Estimated Built Up Area (sq m)]]*Market_Data[[#This Row],[Concrete Intensity
(m³ / sq m)]],0)</f>
        <v>13000</v>
      </c>
      <c r="M2122" s="135">
        <f>_xlfn.XLOOKUP(Market_Data[[#This Row],[District]],tbl_district_price[District],tbl_district_price[Standard Price
(INR/m³)],"",0)</f>
        <v>6200</v>
      </c>
      <c r="N2122" s="364">
        <f>IF(OR(Market_Data[[#This Row],[Estimated Concrete Demand (m³)]]="",Market_Data[[#This Row],[Avg Price per (₹ / m³)]]=""),"",Market_Data[[#This Row],[Estimated Concrete Demand (m³)]]*Market_Data[[#This Row],[Avg Price per (₹ / m³)]]/10000000)</f>
        <v>8.06</v>
      </c>
      <c r="O2122" s="97" t="str">
        <f>IF(Market_Data[[#This Row],[Estimated Concrete Demand (m³)]]="","",
IF(Market_Data[[#This Row],[Estimated Concrete Demand (m³)]]&lt;10000,"Small",
IF(Market_Data[[#This Row],[Estimated Concrete Demand (m³)]]&lt;25000,"Medium",
IF(Market_Data[[#This Row],[Estimated Concrete Demand (m³)]]&lt;100000,"Large","Mega"))))</f>
        <v>Medium</v>
      </c>
      <c r="P2122" s="287" t="str">
        <f t="shared" ref="P2122:P2185" si="35">HYPERLINK(
"https://gujrera.gujarat.gov.in",
"GujRERA")</f>
        <v>GujRERA</v>
      </c>
    </row>
    <row r="2123" spans="1:16">
      <c r="A2123" s="129" t="str">
        <f>_xlfn.XLOOKUP(B2123,$S$9:$S$14,$T$9:$T$14)&amp;"-"&amp;
IF(E2123="Residential/Group Housing","RES",
IF(E2123="Commercial","COM",
IF(E2123="Mixed Development","MIX",
IF(E2123="Plotted Development","PLT","OTH"))))
&amp;"-"&amp;TEXT(COUNTIFS($B$9:B2123,B2123,$E$9:E2123,E2123),"0000")</f>
        <v>SUR-MIX-0362</v>
      </c>
      <c r="B2123" s="322" t="s">
        <v>34</v>
      </c>
      <c r="C2123" s="322" t="s">
        <v>34</v>
      </c>
      <c r="D2123" s="323" t="s">
        <v>2313</v>
      </c>
      <c r="E2123" s="132" t="s">
        <v>25</v>
      </c>
      <c r="F2123" s="97" t="str">
        <f ca="1">IF(OR(Market_Data[[#This Row],[Start Date]]="",Market_Data[[#This Row],[Completion Date]]=""),"Needs Validation",IF(Market_Data[[#This Row],[Start Date]]&gt;TODAY(),"Planned",IF(Market_Data[[#This Row],[Completion Date]]&lt;TODAY(),"Completed","Ongoing")))</f>
        <v>Ongoing</v>
      </c>
      <c r="G2123" s="324">
        <v>43879</v>
      </c>
      <c r="H2123" s="324">
        <v>46387</v>
      </c>
      <c r="I2123" s="325">
        <v>10500</v>
      </c>
      <c r="J212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23" s="133">
        <f>_xlfn.XLOOKUP(Market_Data[[#This Row],[Project Type]],tbl_assumptions_market[Project Category (RERA)],tbl_assumptions_market[Concrete Intensity
(m³ / sq m BUA)],"",0)</f>
        <v>0.42</v>
      </c>
      <c r="L2123" s="134">
        <f>ROUND(Market_Data[[#This Row],[Estimated Built Up Area (sq m)]]*Market_Data[[#This Row],[Concrete Intensity
(m³ / sq m)]],0)</f>
        <v>4410</v>
      </c>
      <c r="M2123" s="135">
        <f>_xlfn.XLOOKUP(Market_Data[[#This Row],[District]],tbl_district_price[District],tbl_district_price[Standard Price
(INR/m³)],"",0)</f>
        <v>6200</v>
      </c>
      <c r="N2123" s="364">
        <f>IF(OR(Market_Data[[#This Row],[Estimated Concrete Demand (m³)]]="",Market_Data[[#This Row],[Avg Price per (₹ / m³)]]=""),"",Market_Data[[#This Row],[Estimated Concrete Demand (m³)]]*Market_Data[[#This Row],[Avg Price per (₹ / m³)]]/10000000)</f>
        <v>2.7342</v>
      </c>
      <c r="O2123" s="97" t="str">
        <f>IF(Market_Data[[#This Row],[Estimated Concrete Demand (m³)]]="","",
IF(Market_Data[[#This Row],[Estimated Concrete Demand (m³)]]&lt;10000,"Small",
IF(Market_Data[[#This Row],[Estimated Concrete Demand (m³)]]&lt;25000,"Medium",
IF(Market_Data[[#This Row],[Estimated Concrete Demand (m³)]]&lt;100000,"Large","Mega"))))</f>
        <v>Small</v>
      </c>
      <c r="P2123" s="287" t="str">
        <f t="shared" si="35"/>
        <v>GujRERA</v>
      </c>
    </row>
    <row r="2124" spans="1:16">
      <c r="A2124" s="129" t="str">
        <f>_xlfn.XLOOKUP(B2124,$S$9:$S$14,$T$9:$T$14)&amp;"-"&amp;
IF(E2124="Residential/Group Housing","RES",
IF(E2124="Commercial","COM",
IF(E2124="Mixed Development","MIX",
IF(E2124="Plotted Development","PLT","OTH"))))
&amp;"-"&amp;TEXT(COUNTIFS($B$9:B2124,B2124,$E$9:E2124,E2124),"0000")</f>
        <v>SUR-RES-0698</v>
      </c>
      <c r="B2124" s="322" t="s">
        <v>34</v>
      </c>
      <c r="C2124" s="322" t="s">
        <v>34</v>
      </c>
      <c r="D2124" s="323" t="s">
        <v>2314</v>
      </c>
      <c r="E2124" s="132" t="s">
        <v>24</v>
      </c>
      <c r="F2124" s="97" t="str">
        <f ca="1">IF(OR(Market_Data[[#This Row],[Start Date]]="",Market_Data[[#This Row],[Completion Date]]=""),"Needs Validation",IF(Market_Data[[#This Row],[Start Date]]&gt;TODAY(),"Planned",IF(Market_Data[[#This Row],[Completion Date]]&lt;TODAY(),"Completed","Ongoing")))</f>
        <v>Ongoing</v>
      </c>
      <c r="G2124" s="324">
        <v>44627</v>
      </c>
      <c r="H2124" s="324">
        <v>47848</v>
      </c>
      <c r="I2124" s="325">
        <v>13300</v>
      </c>
      <c r="J212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24" s="133">
        <f>_xlfn.XLOOKUP(Market_Data[[#This Row],[Project Type]],tbl_assumptions_market[Project Category (RERA)],tbl_assumptions_market[Concrete Intensity
(m³ / sq m BUA)],"",0)</f>
        <v>0.45</v>
      </c>
      <c r="L2124" s="134">
        <f>ROUND(Market_Data[[#This Row],[Estimated Built Up Area (sq m)]]*Market_Data[[#This Row],[Concrete Intensity
(m³ / sq m)]],0)</f>
        <v>5985</v>
      </c>
      <c r="M2124" s="135">
        <f>_xlfn.XLOOKUP(Market_Data[[#This Row],[District]],tbl_district_price[District],tbl_district_price[Standard Price
(INR/m³)],"",0)</f>
        <v>6200</v>
      </c>
      <c r="N2124" s="364">
        <f>IF(OR(Market_Data[[#This Row],[Estimated Concrete Demand (m³)]]="",Market_Data[[#This Row],[Avg Price per (₹ / m³)]]=""),"",Market_Data[[#This Row],[Estimated Concrete Demand (m³)]]*Market_Data[[#This Row],[Avg Price per (₹ / m³)]]/10000000)</f>
        <v>3.7107000000000001</v>
      </c>
      <c r="O2124" s="97" t="str">
        <f>IF(Market_Data[[#This Row],[Estimated Concrete Demand (m³)]]="","",
IF(Market_Data[[#This Row],[Estimated Concrete Demand (m³)]]&lt;10000,"Small",
IF(Market_Data[[#This Row],[Estimated Concrete Demand (m³)]]&lt;25000,"Medium",
IF(Market_Data[[#This Row],[Estimated Concrete Demand (m³)]]&lt;100000,"Large","Mega"))))</f>
        <v>Small</v>
      </c>
      <c r="P2124" s="287" t="str">
        <f t="shared" si="35"/>
        <v>GujRERA</v>
      </c>
    </row>
    <row r="2125" spans="1:16">
      <c r="A2125" s="129" t="str">
        <f>_xlfn.XLOOKUP(B2125,$S$9:$S$14,$T$9:$T$14)&amp;"-"&amp;
IF(E2125="Residential/Group Housing","RES",
IF(E2125="Commercial","COM",
IF(E2125="Mixed Development","MIX",
IF(E2125="Plotted Development","PLT","OTH"))))
&amp;"-"&amp;TEXT(COUNTIFS($B$9:B2125,B2125,$E$9:E2125,E2125),"0000")</f>
        <v>SUR-MIX-0363</v>
      </c>
      <c r="B2125" s="322" t="s">
        <v>34</v>
      </c>
      <c r="C2125" s="322" t="s">
        <v>34</v>
      </c>
      <c r="D2125" s="323" t="s">
        <v>2315</v>
      </c>
      <c r="E2125" s="132" t="s">
        <v>25</v>
      </c>
      <c r="F2125" s="97" t="str">
        <f ca="1">IF(OR(Market_Data[[#This Row],[Start Date]]="",Market_Data[[#This Row],[Completion Date]]=""),"Needs Validation",IF(Market_Data[[#This Row],[Start Date]]&gt;TODAY(),"Planned",IF(Market_Data[[#This Row],[Completion Date]]&lt;TODAY(),"Completed","Ongoing")))</f>
        <v>Completed</v>
      </c>
      <c r="G2125" s="324">
        <v>41757</v>
      </c>
      <c r="H2125" s="324">
        <v>44286</v>
      </c>
      <c r="I2125" s="325">
        <v>16700</v>
      </c>
      <c r="J212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25" s="133">
        <f>_xlfn.XLOOKUP(Market_Data[[#This Row],[Project Type]],tbl_assumptions_market[Project Category (RERA)],tbl_assumptions_market[Concrete Intensity
(m³ / sq m BUA)],"",0)</f>
        <v>0.42</v>
      </c>
      <c r="L2125" s="134">
        <f>ROUND(Market_Data[[#This Row],[Estimated Built Up Area (sq m)]]*Market_Data[[#This Row],[Concrete Intensity
(m³ / sq m)]],0)</f>
        <v>7014</v>
      </c>
      <c r="M2125" s="135">
        <f>_xlfn.XLOOKUP(Market_Data[[#This Row],[District]],tbl_district_price[District],tbl_district_price[Standard Price
(INR/m³)],"",0)</f>
        <v>6200</v>
      </c>
      <c r="N2125" s="364">
        <f>IF(OR(Market_Data[[#This Row],[Estimated Concrete Demand (m³)]]="",Market_Data[[#This Row],[Avg Price per (₹ / m³)]]=""),"",Market_Data[[#This Row],[Estimated Concrete Demand (m³)]]*Market_Data[[#This Row],[Avg Price per (₹ / m³)]]/10000000)</f>
        <v>4.3486799999999999</v>
      </c>
      <c r="O2125" s="97" t="str">
        <f>IF(Market_Data[[#This Row],[Estimated Concrete Demand (m³)]]="","",
IF(Market_Data[[#This Row],[Estimated Concrete Demand (m³)]]&lt;10000,"Small",
IF(Market_Data[[#This Row],[Estimated Concrete Demand (m³)]]&lt;25000,"Medium",
IF(Market_Data[[#This Row],[Estimated Concrete Demand (m³)]]&lt;100000,"Large","Mega"))))</f>
        <v>Small</v>
      </c>
      <c r="P2125" s="287" t="str">
        <f t="shared" si="35"/>
        <v>GujRERA</v>
      </c>
    </row>
    <row r="2126" spans="1:16">
      <c r="A2126" s="129" t="str">
        <f>_xlfn.XLOOKUP(B2126,$S$9:$S$14,$T$9:$T$14)&amp;"-"&amp;
IF(E2126="Residential/Group Housing","RES",
IF(E2126="Commercial","COM",
IF(E2126="Mixed Development","MIX",
IF(E2126="Plotted Development","PLT","OTH"))))
&amp;"-"&amp;TEXT(COUNTIFS($B$9:B2126,B2126,$E$9:E2126,E2126),"0000")</f>
        <v>SUR-RES-0699</v>
      </c>
      <c r="B2126" s="322" t="s">
        <v>34</v>
      </c>
      <c r="C2126" s="322" t="s">
        <v>34</v>
      </c>
      <c r="D2126" s="323" t="s">
        <v>2316</v>
      </c>
      <c r="E2126" s="132" t="s">
        <v>24</v>
      </c>
      <c r="F2126" s="97" t="str">
        <f ca="1">IF(OR(Market_Data[[#This Row],[Start Date]]="",Market_Data[[#This Row],[Completion Date]]=""),"Needs Validation",IF(Market_Data[[#This Row],[Start Date]]&gt;TODAY(),"Planned",IF(Market_Data[[#This Row],[Completion Date]]&lt;TODAY(),"Completed","Ongoing")))</f>
        <v>Ongoing</v>
      </c>
      <c r="G2126" s="324">
        <v>45034</v>
      </c>
      <c r="H2126" s="324">
        <v>47118</v>
      </c>
      <c r="I2126" s="325">
        <v>44200</v>
      </c>
      <c r="J212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26" s="133">
        <f>_xlfn.XLOOKUP(Market_Data[[#This Row],[Project Type]],tbl_assumptions_market[Project Category (RERA)],tbl_assumptions_market[Concrete Intensity
(m³ / sq m BUA)],"",0)</f>
        <v>0.45</v>
      </c>
      <c r="L2126" s="134">
        <f>ROUND(Market_Data[[#This Row],[Estimated Built Up Area (sq m)]]*Market_Data[[#This Row],[Concrete Intensity
(m³ / sq m)]],0)</f>
        <v>19890</v>
      </c>
      <c r="M2126" s="135">
        <f>_xlfn.XLOOKUP(Market_Data[[#This Row],[District]],tbl_district_price[District],tbl_district_price[Standard Price
(INR/m³)],"",0)</f>
        <v>6200</v>
      </c>
      <c r="N2126" s="364">
        <f>IF(OR(Market_Data[[#This Row],[Estimated Concrete Demand (m³)]]="",Market_Data[[#This Row],[Avg Price per (₹ / m³)]]=""),"",Market_Data[[#This Row],[Estimated Concrete Demand (m³)]]*Market_Data[[#This Row],[Avg Price per (₹ / m³)]]/10000000)</f>
        <v>12.331799999999999</v>
      </c>
      <c r="O2126" s="97" t="str">
        <f>IF(Market_Data[[#This Row],[Estimated Concrete Demand (m³)]]="","",
IF(Market_Data[[#This Row],[Estimated Concrete Demand (m³)]]&lt;10000,"Small",
IF(Market_Data[[#This Row],[Estimated Concrete Demand (m³)]]&lt;25000,"Medium",
IF(Market_Data[[#This Row],[Estimated Concrete Demand (m³)]]&lt;100000,"Large","Mega"))))</f>
        <v>Medium</v>
      </c>
      <c r="P2126" s="287" t="str">
        <f t="shared" si="35"/>
        <v>GujRERA</v>
      </c>
    </row>
    <row r="2127" spans="1:16">
      <c r="A2127" s="129" t="str">
        <f>_xlfn.XLOOKUP(B2127,$S$9:$S$14,$T$9:$T$14)&amp;"-"&amp;
IF(E2127="Residential/Group Housing","RES",
IF(E2127="Commercial","COM",
IF(E2127="Mixed Development","MIX",
IF(E2127="Plotted Development","PLT","OTH"))))
&amp;"-"&amp;TEXT(COUNTIFS($B$9:B2127,B2127,$E$9:E2127,E2127),"0000")</f>
        <v>SUR-MIX-0364</v>
      </c>
      <c r="B2127" s="322" t="s">
        <v>34</v>
      </c>
      <c r="C2127" s="322" t="s">
        <v>34</v>
      </c>
      <c r="D2127" s="323" t="s">
        <v>2317</v>
      </c>
      <c r="E2127" s="132" t="s">
        <v>25</v>
      </c>
      <c r="F2127" s="97" t="str">
        <f ca="1">IF(OR(Market_Data[[#This Row],[Start Date]]="",Market_Data[[#This Row],[Completion Date]]=""),"Needs Validation",IF(Market_Data[[#This Row],[Start Date]]&gt;TODAY(),"Planned",IF(Market_Data[[#This Row],[Completion Date]]&lt;TODAY(),"Completed","Ongoing")))</f>
        <v>Completed</v>
      </c>
      <c r="G2127" s="324">
        <v>42437</v>
      </c>
      <c r="H2127" s="324">
        <v>43646</v>
      </c>
      <c r="I2127" s="325">
        <v>21100</v>
      </c>
      <c r="J212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27" s="133">
        <f>_xlfn.XLOOKUP(Market_Data[[#This Row],[Project Type]],tbl_assumptions_market[Project Category (RERA)],tbl_assumptions_market[Concrete Intensity
(m³ / sq m BUA)],"",0)</f>
        <v>0.42</v>
      </c>
      <c r="L2127" s="134">
        <f>ROUND(Market_Data[[#This Row],[Estimated Built Up Area (sq m)]]*Market_Data[[#This Row],[Concrete Intensity
(m³ / sq m)]],0)</f>
        <v>8862</v>
      </c>
      <c r="M2127" s="135">
        <f>_xlfn.XLOOKUP(Market_Data[[#This Row],[District]],tbl_district_price[District],tbl_district_price[Standard Price
(INR/m³)],"",0)</f>
        <v>6200</v>
      </c>
      <c r="N2127" s="364">
        <f>IF(OR(Market_Data[[#This Row],[Estimated Concrete Demand (m³)]]="",Market_Data[[#This Row],[Avg Price per (₹ / m³)]]=""),"",Market_Data[[#This Row],[Estimated Concrete Demand (m³)]]*Market_Data[[#This Row],[Avg Price per (₹ / m³)]]/10000000)</f>
        <v>5.49444</v>
      </c>
      <c r="O2127" s="97" t="str">
        <f>IF(Market_Data[[#This Row],[Estimated Concrete Demand (m³)]]="","",
IF(Market_Data[[#This Row],[Estimated Concrete Demand (m³)]]&lt;10000,"Small",
IF(Market_Data[[#This Row],[Estimated Concrete Demand (m³)]]&lt;25000,"Medium",
IF(Market_Data[[#This Row],[Estimated Concrete Demand (m³)]]&lt;100000,"Large","Mega"))))</f>
        <v>Small</v>
      </c>
      <c r="P2127" s="287" t="str">
        <f t="shared" si="35"/>
        <v>GujRERA</v>
      </c>
    </row>
    <row r="2128" spans="1:16">
      <c r="A2128" s="129" t="str">
        <f>_xlfn.XLOOKUP(B2128,$S$9:$S$14,$T$9:$T$14)&amp;"-"&amp;
IF(E2128="Residential/Group Housing","RES",
IF(E2128="Commercial","COM",
IF(E2128="Mixed Development","MIX",
IF(E2128="Plotted Development","PLT","OTH"))))
&amp;"-"&amp;TEXT(COUNTIFS($B$9:B2128,B2128,$E$9:E2128,E2128),"0000")</f>
        <v>SUR-PLT-0416</v>
      </c>
      <c r="B2128" s="322" t="s">
        <v>34</v>
      </c>
      <c r="C2128" s="322" t="s">
        <v>34</v>
      </c>
      <c r="D2128" s="323" t="s">
        <v>2318</v>
      </c>
      <c r="E2128" s="132" t="s">
        <v>26</v>
      </c>
      <c r="F2128" s="97" t="str">
        <f ca="1">IF(OR(Market_Data[[#This Row],[Start Date]]="",Market_Data[[#This Row],[Completion Date]]=""),"Needs Validation",IF(Market_Data[[#This Row],[Start Date]]&gt;TODAY(),"Planned",IF(Market_Data[[#This Row],[Completion Date]]&lt;TODAY(),"Completed","Ongoing")))</f>
        <v>Completed</v>
      </c>
      <c r="G2128" s="324">
        <v>45093</v>
      </c>
      <c r="H2128" s="324">
        <v>45838</v>
      </c>
      <c r="I2128" s="325">
        <v>47200</v>
      </c>
      <c r="J212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128" s="133">
        <f>_xlfn.XLOOKUP(Market_Data[[#This Row],[Project Type]],tbl_assumptions_market[Project Category (RERA)],tbl_assumptions_market[Concrete Intensity
(m³ / sq m BUA)],"",0)</f>
        <v>0.18</v>
      </c>
      <c r="L2128" s="134">
        <f>ROUND(Market_Data[[#This Row],[Estimated Built Up Area (sq m)]]*Market_Data[[#This Row],[Concrete Intensity
(m³ / sq m)]],0)</f>
        <v>8496</v>
      </c>
      <c r="M2128" s="135">
        <f>_xlfn.XLOOKUP(Market_Data[[#This Row],[District]],tbl_district_price[District],tbl_district_price[Standard Price
(INR/m³)],"",0)</f>
        <v>6200</v>
      </c>
      <c r="N2128" s="364">
        <f>IF(OR(Market_Data[[#This Row],[Estimated Concrete Demand (m³)]]="",Market_Data[[#This Row],[Avg Price per (₹ / m³)]]=""),"",Market_Data[[#This Row],[Estimated Concrete Demand (m³)]]*Market_Data[[#This Row],[Avg Price per (₹ / m³)]]/10000000)</f>
        <v>5.2675200000000002</v>
      </c>
      <c r="O2128" s="97" t="str">
        <f>IF(Market_Data[[#This Row],[Estimated Concrete Demand (m³)]]="","",
IF(Market_Data[[#This Row],[Estimated Concrete Demand (m³)]]&lt;10000,"Small",
IF(Market_Data[[#This Row],[Estimated Concrete Demand (m³)]]&lt;25000,"Medium",
IF(Market_Data[[#This Row],[Estimated Concrete Demand (m³)]]&lt;100000,"Large","Mega"))))</f>
        <v>Small</v>
      </c>
      <c r="P2128" s="287" t="str">
        <f t="shared" si="35"/>
        <v>GujRERA</v>
      </c>
    </row>
    <row r="2129" spans="1:16">
      <c r="A2129" s="129" t="str">
        <f>_xlfn.XLOOKUP(B2129,$S$9:$S$14,$T$9:$T$14)&amp;"-"&amp;
IF(E2129="Residential/Group Housing","RES",
IF(E2129="Commercial","COM",
IF(E2129="Mixed Development","MIX",
IF(E2129="Plotted Development","PLT","OTH"))))
&amp;"-"&amp;TEXT(COUNTIFS($B$9:B2129,B2129,$E$9:E2129,E2129),"0000")</f>
        <v>SUR-RES-0700</v>
      </c>
      <c r="B2129" s="322" t="s">
        <v>34</v>
      </c>
      <c r="C2129" s="322" t="s">
        <v>34</v>
      </c>
      <c r="D2129" s="323" t="s">
        <v>2319</v>
      </c>
      <c r="E2129" s="132" t="s">
        <v>24</v>
      </c>
      <c r="F2129" s="97" t="str">
        <f ca="1">IF(OR(Market_Data[[#This Row],[Start Date]]="",Market_Data[[#This Row],[Completion Date]]=""),"Needs Validation",IF(Market_Data[[#This Row],[Start Date]]&gt;TODAY(),"Planned",IF(Market_Data[[#This Row],[Completion Date]]&lt;TODAY(),"Completed","Ongoing")))</f>
        <v>Completed</v>
      </c>
      <c r="G2129" s="324">
        <v>43762</v>
      </c>
      <c r="H2129" s="324">
        <v>45838</v>
      </c>
      <c r="I2129" s="325">
        <v>53200</v>
      </c>
      <c r="J212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29" s="133">
        <f>_xlfn.XLOOKUP(Market_Data[[#This Row],[Project Type]],tbl_assumptions_market[Project Category (RERA)],tbl_assumptions_market[Concrete Intensity
(m³ / sq m BUA)],"",0)</f>
        <v>0.45</v>
      </c>
      <c r="L2129" s="134">
        <f>ROUND(Market_Data[[#This Row],[Estimated Built Up Area (sq m)]]*Market_Data[[#This Row],[Concrete Intensity
(m³ / sq m)]],0)</f>
        <v>23940</v>
      </c>
      <c r="M2129" s="135">
        <f>_xlfn.XLOOKUP(Market_Data[[#This Row],[District]],tbl_district_price[District],tbl_district_price[Standard Price
(INR/m³)],"",0)</f>
        <v>6200</v>
      </c>
      <c r="N2129" s="364">
        <f>IF(OR(Market_Data[[#This Row],[Estimated Concrete Demand (m³)]]="",Market_Data[[#This Row],[Avg Price per (₹ / m³)]]=""),"",Market_Data[[#This Row],[Estimated Concrete Demand (m³)]]*Market_Data[[#This Row],[Avg Price per (₹ / m³)]]/10000000)</f>
        <v>14.8428</v>
      </c>
      <c r="O2129" s="97" t="str">
        <f>IF(Market_Data[[#This Row],[Estimated Concrete Demand (m³)]]="","",
IF(Market_Data[[#This Row],[Estimated Concrete Demand (m³)]]&lt;10000,"Small",
IF(Market_Data[[#This Row],[Estimated Concrete Demand (m³)]]&lt;25000,"Medium",
IF(Market_Data[[#This Row],[Estimated Concrete Demand (m³)]]&lt;100000,"Large","Mega"))))</f>
        <v>Medium</v>
      </c>
      <c r="P2129" s="287" t="str">
        <f t="shared" si="35"/>
        <v>GujRERA</v>
      </c>
    </row>
    <row r="2130" spans="1:16">
      <c r="A2130" s="129" t="str">
        <f>_xlfn.XLOOKUP(B2130,$S$9:$S$14,$T$9:$T$14)&amp;"-"&amp;
IF(E2130="Residential/Group Housing","RES",
IF(E2130="Commercial","COM",
IF(E2130="Mixed Development","MIX",
IF(E2130="Plotted Development","PLT","OTH"))))
&amp;"-"&amp;TEXT(COUNTIFS($B$9:B2130,B2130,$E$9:E2130,E2130),"0000")</f>
        <v>SUR-RES-0701</v>
      </c>
      <c r="B2130" s="322" t="s">
        <v>34</v>
      </c>
      <c r="C2130" s="322" t="s">
        <v>34</v>
      </c>
      <c r="D2130" s="323" t="s">
        <v>2320</v>
      </c>
      <c r="E2130" s="132" t="s">
        <v>24</v>
      </c>
      <c r="F2130" s="97" t="str">
        <f ca="1">IF(OR(Market_Data[[#This Row],[Start Date]]="",Market_Data[[#This Row],[Completion Date]]=""),"Needs Validation",IF(Market_Data[[#This Row],[Start Date]]&gt;TODAY(),"Planned",IF(Market_Data[[#This Row],[Completion Date]]&lt;TODAY(),"Completed","Ongoing")))</f>
        <v>Ongoing</v>
      </c>
      <c r="G2130" s="324">
        <v>45072</v>
      </c>
      <c r="H2130" s="324">
        <v>47483</v>
      </c>
      <c r="I2130" s="325">
        <v>36400</v>
      </c>
      <c r="J213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30" s="133">
        <f>_xlfn.XLOOKUP(Market_Data[[#This Row],[Project Type]],tbl_assumptions_market[Project Category (RERA)],tbl_assumptions_market[Concrete Intensity
(m³ / sq m BUA)],"",0)</f>
        <v>0.45</v>
      </c>
      <c r="L2130" s="134">
        <f>ROUND(Market_Data[[#This Row],[Estimated Built Up Area (sq m)]]*Market_Data[[#This Row],[Concrete Intensity
(m³ / sq m)]],0)</f>
        <v>16380</v>
      </c>
      <c r="M2130" s="135">
        <f>_xlfn.XLOOKUP(Market_Data[[#This Row],[District]],tbl_district_price[District],tbl_district_price[Standard Price
(INR/m³)],"",0)</f>
        <v>6200</v>
      </c>
      <c r="N2130" s="364">
        <f>IF(OR(Market_Data[[#This Row],[Estimated Concrete Demand (m³)]]="",Market_Data[[#This Row],[Avg Price per (₹ / m³)]]=""),"",Market_Data[[#This Row],[Estimated Concrete Demand (m³)]]*Market_Data[[#This Row],[Avg Price per (₹ / m³)]]/10000000)</f>
        <v>10.1556</v>
      </c>
      <c r="O2130" s="97" t="str">
        <f>IF(Market_Data[[#This Row],[Estimated Concrete Demand (m³)]]="","",
IF(Market_Data[[#This Row],[Estimated Concrete Demand (m³)]]&lt;10000,"Small",
IF(Market_Data[[#This Row],[Estimated Concrete Demand (m³)]]&lt;25000,"Medium",
IF(Market_Data[[#This Row],[Estimated Concrete Demand (m³)]]&lt;100000,"Large","Mega"))))</f>
        <v>Medium</v>
      </c>
      <c r="P2130" s="287" t="str">
        <f t="shared" si="35"/>
        <v>GujRERA</v>
      </c>
    </row>
    <row r="2131" spans="1:16">
      <c r="A2131" s="129" t="str">
        <f>_xlfn.XLOOKUP(B2131,$S$9:$S$14,$T$9:$T$14)&amp;"-"&amp;
IF(E2131="Residential/Group Housing","RES",
IF(E2131="Commercial","COM",
IF(E2131="Mixed Development","MIX",
IF(E2131="Plotted Development","PLT","OTH"))))
&amp;"-"&amp;TEXT(COUNTIFS($B$9:B2131,B2131,$E$9:E2131,E2131),"0000")</f>
        <v>SUR-RES-0702</v>
      </c>
      <c r="B2131" s="322" t="s">
        <v>34</v>
      </c>
      <c r="C2131" s="322" t="s">
        <v>34</v>
      </c>
      <c r="D2131" s="323" t="s">
        <v>2321</v>
      </c>
      <c r="E2131" s="132" t="s">
        <v>24</v>
      </c>
      <c r="F2131" s="97" t="str">
        <f ca="1">IF(OR(Market_Data[[#This Row],[Start Date]]="",Market_Data[[#This Row],[Completion Date]]=""),"Needs Validation",IF(Market_Data[[#This Row],[Start Date]]&gt;TODAY(),"Planned",IF(Market_Data[[#This Row],[Completion Date]]&lt;TODAY(),"Completed","Ongoing")))</f>
        <v>Completed</v>
      </c>
      <c r="G2131" s="324">
        <v>42297</v>
      </c>
      <c r="H2131" s="324">
        <v>44104</v>
      </c>
      <c r="I2131" s="325">
        <v>2400</v>
      </c>
      <c r="J213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31" s="133">
        <f>_xlfn.XLOOKUP(Market_Data[[#This Row],[Project Type]],tbl_assumptions_market[Project Category (RERA)],tbl_assumptions_market[Concrete Intensity
(m³ / sq m BUA)],"",0)</f>
        <v>0.45</v>
      </c>
      <c r="L2131" s="134">
        <f>ROUND(Market_Data[[#This Row],[Estimated Built Up Area (sq m)]]*Market_Data[[#This Row],[Concrete Intensity
(m³ / sq m)]],0)</f>
        <v>1080</v>
      </c>
      <c r="M2131" s="135">
        <f>_xlfn.XLOOKUP(Market_Data[[#This Row],[District]],tbl_district_price[District],tbl_district_price[Standard Price
(INR/m³)],"",0)</f>
        <v>6200</v>
      </c>
      <c r="N2131" s="364">
        <f>IF(OR(Market_Data[[#This Row],[Estimated Concrete Demand (m³)]]="",Market_Data[[#This Row],[Avg Price per (₹ / m³)]]=""),"",Market_Data[[#This Row],[Estimated Concrete Demand (m³)]]*Market_Data[[#This Row],[Avg Price per (₹ / m³)]]/10000000)</f>
        <v>0.66959999999999997</v>
      </c>
      <c r="O2131" s="97" t="str">
        <f>IF(Market_Data[[#This Row],[Estimated Concrete Demand (m³)]]="","",
IF(Market_Data[[#This Row],[Estimated Concrete Demand (m³)]]&lt;10000,"Small",
IF(Market_Data[[#This Row],[Estimated Concrete Demand (m³)]]&lt;25000,"Medium",
IF(Market_Data[[#This Row],[Estimated Concrete Demand (m³)]]&lt;100000,"Large","Mega"))))</f>
        <v>Small</v>
      </c>
      <c r="P2131" s="287" t="str">
        <f t="shared" si="35"/>
        <v>GujRERA</v>
      </c>
    </row>
    <row r="2132" spans="1:16">
      <c r="A2132" s="129" t="str">
        <f>_xlfn.XLOOKUP(B2132,$S$9:$S$14,$T$9:$T$14)&amp;"-"&amp;
IF(E2132="Residential/Group Housing","RES",
IF(E2132="Commercial","COM",
IF(E2132="Mixed Development","MIX",
IF(E2132="Plotted Development","PLT","OTH"))))
&amp;"-"&amp;TEXT(COUNTIFS($B$9:B2132,B2132,$E$9:E2132,E2132),"0000")</f>
        <v>SUR-RES-0703</v>
      </c>
      <c r="B2132" s="322" t="s">
        <v>34</v>
      </c>
      <c r="C2132" s="322" t="s">
        <v>34</v>
      </c>
      <c r="D2132" s="323" t="s">
        <v>2322</v>
      </c>
      <c r="E2132" s="132" t="s">
        <v>24</v>
      </c>
      <c r="F2132" s="97" t="str">
        <f ca="1">IF(OR(Market_Data[[#This Row],[Start Date]]="",Market_Data[[#This Row],[Completion Date]]=""),"Needs Validation",IF(Market_Data[[#This Row],[Start Date]]&gt;TODAY(),"Planned",IF(Market_Data[[#This Row],[Completion Date]]&lt;TODAY(),"Completed","Ongoing")))</f>
        <v>Completed</v>
      </c>
      <c r="G2132" s="324">
        <v>41851</v>
      </c>
      <c r="H2132" s="324">
        <v>44104</v>
      </c>
      <c r="I2132" s="325">
        <v>34500</v>
      </c>
      <c r="J213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32" s="133">
        <f>_xlfn.XLOOKUP(Market_Data[[#This Row],[Project Type]],tbl_assumptions_market[Project Category (RERA)],tbl_assumptions_market[Concrete Intensity
(m³ / sq m BUA)],"",0)</f>
        <v>0.45</v>
      </c>
      <c r="L2132" s="134">
        <f>ROUND(Market_Data[[#This Row],[Estimated Built Up Area (sq m)]]*Market_Data[[#This Row],[Concrete Intensity
(m³ / sq m)]],0)</f>
        <v>15525</v>
      </c>
      <c r="M2132" s="135">
        <f>_xlfn.XLOOKUP(Market_Data[[#This Row],[District]],tbl_district_price[District],tbl_district_price[Standard Price
(INR/m³)],"",0)</f>
        <v>6200</v>
      </c>
      <c r="N2132" s="364">
        <f>IF(OR(Market_Data[[#This Row],[Estimated Concrete Demand (m³)]]="",Market_Data[[#This Row],[Avg Price per (₹ / m³)]]=""),"",Market_Data[[#This Row],[Estimated Concrete Demand (m³)]]*Market_Data[[#This Row],[Avg Price per (₹ / m³)]]/10000000)</f>
        <v>9.6255000000000006</v>
      </c>
      <c r="O2132" s="97" t="str">
        <f>IF(Market_Data[[#This Row],[Estimated Concrete Demand (m³)]]="","",
IF(Market_Data[[#This Row],[Estimated Concrete Demand (m³)]]&lt;10000,"Small",
IF(Market_Data[[#This Row],[Estimated Concrete Demand (m³)]]&lt;25000,"Medium",
IF(Market_Data[[#This Row],[Estimated Concrete Demand (m³)]]&lt;100000,"Large","Mega"))))</f>
        <v>Medium</v>
      </c>
      <c r="P2132" s="287" t="str">
        <f t="shared" si="35"/>
        <v>GujRERA</v>
      </c>
    </row>
    <row r="2133" spans="1:16">
      <c r="A2133" s="129" t="str">
        <f>_xlfn.XLOOKUP(B2133,$S$9:$S$14,$T$9:$T$14)&amp;"-"&amp;
IF(E2133="Residential/Group Housing","RES",
IF(E2133="Commercial","COM",
IF(E2133="Mixed Development","MIX",
IF(E2133="Plotted Development","PLT","OTH"))))
&amp;"-"&amp;TEXT(COUNTIFS($B$9:B2133,B2133,$E$9:E2133,E2133),"0000")</f>
        <v>SUR-RES-0704</v>
      </c>
      <c r="B2133" s="322" t="s">
        <v>34</v>
      </c>
      <c r="C2133" s="322" t="s">
        <v>34</v>
      </c>
      <c r="D2133" s="323" t="s">
        <v>2323</v>
      </c>
      <c r="E2133" s="132" t="s">
        <v>24</v>
      </c>
      <c r="F2133" s="97" t="str">
        <f ca="1">IF(OR(Market_Data[[#This Row],[Start Date]]="",Market_Data[[#This Row],[Completion Date]]=""),"Needs Validation",IF(Market_Data[[#This Row],[Start Date]]&gt;TODAY(),"Planned",IF(Market_Data[[#This Row],[Completion Date]]&lt;TODAY(),"Completed","Ongoing")))</f>
        <v>Completed</v>
      </c>
      <c r="G2133" s="324">
        <v>43404</v>
      </c>
      <c r="H2133" s="324">
        <v>45290</v>
      </c>
      <c r="I2133" s="325">
        <v>63500</v>
      </c>
      <c r="J213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133" s="133">
        <f>_xlfn.XLOOKUP(Market_Data[[#This Row],[Project Type]],tbl_assumptions_market[Project Category (RERA)],tbl_assumptions_market[Concrete Intensity
(m³ / sq m BUA)],"",0)</f>
        <v>0.45</v>
      </c>
      <c r="L2133" s="134">
        <f>ROUND(Market_Data[[#This Row],[Estimated Built Up Area (sq m)]]*Market_Data[[#This Row],[Concrete Intensity
(m³ / sq m)]],0)</f>
        <v>28575</v>
      </c>
      <c r="M2133" s="135">
        <f>_xlfn.XLOOKUP(Market_Data[[#This Row],[District]],tbl_district_price[District],tbl_district_price[Standard Price
(INR/m³)],"",0)</f>
        <v>6200</v>
      </c>
      <c r="N2133" s="364">
        <f>IF(OR(Market_Data[[#This Row],[Estimated Concrete Demand (m³)]]="",Market_Data[[#This Row],[Avg Price per (₹ / m³)]]=""),"",Market_Data[[#This Row],[Estimated Concrete Demand (m³)]]*Market_Data[[#This Row],[Avg Price per (₹ / m³)]]/10000000)</f>
        <v>17.7165</v>
      </c>
      <c r="O2133" s="97" t="str">
        <f>IF(Market_Data[[#This Row],[Estimated Concrete Demand (m³)]]="","",
IF(Market_Data[[#This Row],[Estimated Concrete Demand (m³)]]&lt;10000,"Small",
IF(Market_Data[[#This Row],[Estimated Concrete Demand (m³)]]&lt;25000,"Medium",
IF(Market_Data[[#This Row],[Estimated Concrete Demand (m³)]]&lt;100000,"Large","Mega"))))</f>
        <v>Large</v>
      </c>
      <c r="P2133" s="287" t="str">
        <f t="shared" si="35"/>
        <v>GujRERA</v>
      </c>
    </row>
    <row r="2134" spans="1:16">
      <c r="A2134" s="129" t="str">
        <f>_xlfn.XLOOKUP(B2134,$S$9:$S$14,$T$9:$T$14)&amp;"-"&amp;
IF(E2134="Residential/Group Housing","RES",
IF(E2134="Commercial","COM",
IF(E2134="Mixed Development","MIX",
IF(E2134="Plotted Development","PLT","OTH"))))
&amp;"-"&amp;TEXT(COUNTIFS($B$9:B2134,B2134,$E$9:E2134,E2134),"0000")</f>
        <v>SUR-RES-0705</v>
      </c>
      <c r="B2134" s="322" t="s">
        <v>34</v>
      </c>
      <c r="C2134" s="322" t="s">
        <v>34</v>
      </c>
      <c r="D2134" s="323" t="s">
        <v>2324</v>
      </c>
      <c r="E2134" s="132" t="s">
        <v>24</v>
      </c>
      <c r="F2134" s="97" t="str">
        <f ca="1">IF(OR(Market_Data[[#This Row],[Start Date]]="",Market_Data[[#This Row],[Completion Date]]=""),"Needs Validation",IF(Market_Data[[#This Row],[Start Date]]&gt;TODAY(),"Planned",IF(Market_Data[[#This Row],[Completion Date]]&lt;TODAY(),"Completed","Ongoing")))</f>
        <v>Completed</v>
      </c>
      <c r="G2134" s="324">
        <v>43252</v>
      </c>
      <c r="H2134" s="324">
        <v>44560</v>
      </c>
      <c r="I2134" s="325">
        <v>11200</v>
      </c>
      <c r="J213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34" s="133">
        <f>_xlfn.XLOOKUP(Market_Data[[#This Row],[Project Type]],tbl_assumptions_market[Project Category (RERA)],tbl_assumptions_market[Concrete Intensity
(m³ / sq m BUA)],"",0)</f>
        <v>0.45</v>
      </c>
      <c r="L2134" s="134">
        <f>ROUND(Market_Data[[#This Row],[Estimated Built Up Area (sq m)]]*Market_Data[[#This Row],[Concrete Intensity
(m³ / sq m)]],0)</f>
        <v>5040</v>
      </c>
      <c r="M2134" s="135">
        <f>_xlfn.XLOOKUP(Market_Data[[#This Row],[District]],tbl_district_price[District],tbl_district_price[Standard Price
(INR/m³)],"",0)</f>
        <v>6200</v>
      </c>
      <c r="N2134" s="364">
        <f>IF(OR(Market_Data[[#This Row],[Estimated Concrete Demand (m³)]]="",Market_Data[[#This Row],[Avg Price per (₹ / m³)]]=""),"",Market_Data[[#This Row],[Estimated Concrete Demand (m³)]]*Market_Data[[#This Row],[Avg Price per (₹ / m³)]]/10000000)</f>
        <v>3.1248</v>
      </c>
      <c r="O2134" s="97" t="str">
        <f>IF(Market_Data[[#This Row],[Estimated Concrete Demand (m³)]]="","",
IF(Market_Data[[#This Row],[Estimated Concrete Demand (m³)]]&lt;10000,"Small",
IF(Market_Data[[#This Row],[Estimated Concrete Demand (m³)]]&lt;25000,"Medium",
IF(Market_Data[[#This Row],[Estimated Concrete Demand (m³)]]&lt;100000,"Large","Mega"))))</f>
        <v>Small</v>
      </c>
      <c r="P2134" s="287" t="str">
        <f t="shared" si="35"/>
        <v>GujRERA</v>
      </c>
    </row>
    <row r="2135" spans="1:16">
      <c r="A2135" s="129" t="str">
        <f>_xlfn.XLOOKUP(B2135,$S$9:$S$14,$T$9:$T$14)&amp;"-"&amp;
IF(E2135="Residential/Group Housing","RES",
IF(E2135="Commercial","COM",
IF(E2135="Mixed Development","MIX",
IF(E2135="Plotted Development","PLT","OTH"))))
&amp;"-"&amp;TEXT(COUNTIFS($B$9:B2135,B2135,$E$9:E2135,E2135),"0000")</f>
        <v>SUR-PLT-0417</v>
      </c>
      <c r="B2135" s="322" t="s">
        <v>34</v>
      </c>
      <c r="C2135" s="322" t="s">
        <v>34</v>
      </c>
      <c r="D2135" s="323" t="s">
        <v>2325</v>
      </c>
      <c r="E2135" s="132" t="s">
        <v>26</v>
      </c>
      <c r="F2135" s="97" t="str">
        <f ca="1">IF(OR(Market_Data[[#This Row],[Start Date]]="",Market_Data[[#This Row],[Completion Date]]=""),"Needs Validation",IF(Market_Data[[#This Row],[Start Date]]&gt;TODAY(),"Planned",IF(Market_Data[[#This Row],[Completion Date]]&lt;TODAY(),"Completed","Ongoing")))</f>
        <v>Ongoing</v>
      </c>
      <c r="G2135" s="324">
        <v>45978</v>
      </c>
      <c r="H2135" s="324">
        <v>47208</v>
      </c>
      <c r="I2135" s="325">
        <v>5800</v>
      </c>
      <c r="J213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35" s="133">
        <f>_xlfn.XLOOKUP(Market_Data[[#This Row],[Project Type]],tbl_assumptions_market[Project Category (RERA)],tbl_assumptions_market[Concrete Intensity
(m³ / sq m BUA)],"",0)</f>
        <v>0.18</v>
      </c>
      <c r="L2135" s="134">
        <f>ROUND(Market_Data[[#This Row],[Estimated Built Up Area (sq m)]]*Market_Data[[#This Row],[Concrete Intensity
(m³ / sq m)]],0)</f>
        <v>1044</v>
      </c>
      <c r="M2135" s="135">
        <f>_xlfn.XLOOKUP(Market_Data[[#This Row],[District]],tbl_district_price[District],tbl_district_price[Standard Price
(INR/m³)],"",0)</f>
        <v>6200</v>
      </c>
      <c r="N2135" s="364">
        <f>IF(OR(Market_Data[[#This Row],[Estimated Concrete Demand (m³)]]="",Market_Data[[#This Row],[Avg Price per (₹ / m³)]]=""),"",Market_Data[[#This Row],[Estimated Concrete Demand (m³)]]*Market_Data[[#This Row],[Avg Price per (₹ / m³)]]/10000000)</f>
        <v>0.64727999999999997</v>
      </c>
      <c r="O2135" s="97" t="str">
        <f>IF(Market_Data[[#This Row],[Estimated Concrete Demand (m³)]]="","",
IF(Market_Data[[#This Row],[Estimated Concrete Demand (m³)]]&lt;10000,"Small",
IF(Market_Data[[#This Row],[Estimated Concrete Demand (m³)]]&lt;25000,"Medium",
IF(Market_Data[[#This Row],[Estimated Concrete Demand (m³)]]&lt;100000,"Large","Mega"))))</f>
        <v>Small</v>
      </c>
      <c r="P2135" s="287" t="str">
        <f t="shared" si="35"/>
        <v>GujRERA</v>
      </c>
    </row>
    <row r="2136" spans="1:16">
      <c r="A2136" s="129" t="str">
        <f>_xlfn.XLOOKUP(B2136,$S$9:$S$14,$T$9:$T$14)&amp;"-"&amp;
IF(E2136="Residential/Group Housing","RES",
IF(E2136="Commercial","COM",
IF(E2136="Mixed Development","MIX",
IF(E2136="Plotted Development","PLT","OTH"))))
&amp;"-"&amp;TEXT(COUNTIFS($B$9:B2136,B2136,$E$9:E2136,E2136),"0000")</f>
        <v>SUR-PLT-0418</v>
      </c>
      <c r="B2136" s="322" t="s">
        <v>34</v>
      </c>
      <c r="C2136" s="322" t="s">
        <v>34</v>
      </c>
      <c r="D2136" s="323" t="s">
        <v>2326</v>
      </c>
      <c r="E2136" s="132" t="s">
        <v>26</v>
      </c>
      <c r="F2136" s="97" t="str">
        <f ca="1">IF(OR(Market_Data[[#This Row],[Start Date]]="",Market_Data[[#This Row],[Completion Date]]=""),"Needs Validation",IF(Market_Data[[#This Row],[Start Date]]&gt;TODAY(),"Planned",IF(Market_Data[[#This Row],[Completion Date]]&lt;TODAY(),"Completed","Ongoing")))</f>
        <v>Ongoing</v>
      </c>
      <c r="G2136" s="324">
        <v>45978</v>
      </c>
      <c r="H2136" s="324">
        <v>47208</v>
      </c>
      <c r="I2136" s="325">
        <v>27900</v>
      </c>
      <c r="J213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36" s="133">
        <f>_xlfn.XLOOKUP(Market_Data[[#This Row],[Project Type]],tbl_assumptions_market[Project Category (RERA)],tbl_assumptions_market[Concrete Intensity
(m³ / sq m BUA)],"",0)</f>
        <v>0.18</v>
      </c>
      <c r="L2136" s="134">
        <f>ROUND(Market_Data[[#This Row],[Estimated Built Up Area (sq m)]]*Market_Data[[#This Row],[Concrete Intensity
(m³ / sq m)]],0)</f>
        <v>5022</v>
      </c>
      <c r="M2136" s="135">
        <f>_xlfn.XLOOKUP(Market_Data[[#This Row],[District]],tbl_district_price[District],tbl_district_price[Standard Price
(INR/m³)],"",0)</f>
        <v>6200</v>
      </c>
      <c r="N2136" s="364">
        <f>IF(OR(Market_Data[[#This Row],[Estimated Concrete Demand (m³)]]="",Market_Data[[#This Row],[Avg Price per (₹ / m³)]]=""),"",Market_Data[[#This Row],[Estimated Concrete Demand (m³)]]*Market_Data[[#This Row],[Avg Price per (₹ / m³)]]/10000000)</f>
        <v>3.1136400000000002</v>
      </c>
      <c r="O2136" s="97" t="str">
        <f>IF(Market_Data[[#This Row],[Estimated Concrete Demand (m³)]]="","",
IF(Market_Data[[#This Row],[Estimated Concrete Demand (m³)]]&lt;10000,"Small",
IF(Market_Data[[#This Row],[Estimated Concrete Demand (m³)]]&lt;25000,"Medium",
IF(Market_Data[[#This Row],[Estimated Concrete Demand (m³)]]&lt;100000,"Large","Mega"))))</f>
        <v>Small</v>
      </c>
      <c r="P2136" s="287" t="str">
        <f t="shared" si="35"/>
        <v>GujRERA</v>
      </c>
    </row>
    <row r="2137" spans="1:16">
      <c r="A2137" s="129" t="str">
        <f>_xlfn.XLOOKUP(B2137,$S$9:$S$14,$T$9:$T$14)&amp;"-"&amp;
IF(E2137="Residential/Group Housing","RES",
IF(E2137="Commercial","COM",
IF(E2137="Mixed Development","MIX",
IF(E2137="Plotted Development","PLT","OTH"))))
&amp;"-"&amp;TEXT(COUNTIFS($B$9:B2137,B2137,$E$9:E2137,E2137),"0000")</f>
        <v>SUR-PLT-0419</v>
      </c>
      <c r="B2137" s="322" t="s">
        <v>34</v>
      </c>
      <c r="C2137" s="322" t="s">
        <v>34</v>
      </c>
      <c r="D2137" s="323" t="s">
        <v>2327</v>
      </c>
      <c r="E2137" s="132" t="s">
        <v>26</v>
      </c>
      <c r="F2137" s="97" t="str">
        <f ca="1">IF(OR(Market_Data[[#This Row],[Start Date]]="",Market_Data[[#This Row],[Completion Date]]=""),"Needs Validation",IF(Market_Data[[#This Row],[Start Date]]&gt;TODAY(),"Planned",IF(Market_Data[[#This Row],[Completion Date]]&lt;TODAY(),"Completed","Ongoing")))</f>
        <v>Completed</v>
      </c>
      <c r="G2137" s="324">
        <v>44121</v>
      </c>
      <c r="H2137" s="324">
        <v>45382</v>
      </c>
      <c r="I2137" s="325">
        <v>34300</v>
      </c>
      <c r="J213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137" s="133">
        <f>_xlfn.XLOOKUP(Market_Data[[#This Row],[Project Type]],tbl_assumptions_market[Project Category (RERA)],tbl_assumptions_market[Concrete Intensity
(m³ / sq m BUA)],"",0)</f>
        <v>0.18</v>
      </c>
      <c r="L2137" s="134">
        <f>ROUND(Market_Data[[#This Row],[Estimated Built Up Area (sq m)]]*Market_Data[[#This Row],[Concrete Intensity
(m³ / sq m)]],0)</f>
        <v>6174</v>
      </c>
      <c r="M2137" s="135">
        <f>_xlfn.XLOOKUP(Market_Data[[#This Row],[District]],tbl_district_price[District],tbl_district_price[Standard Price
(INR/m³)],"",0)</f>
        <v>6200</v>
      </c>
      <c r="N2137" s="364">
        <f>IF(OR(Market_Data[[#This Row],[Estimated Concrete Demand (m³)]]="",Market_Data[[#This Row],[Avg Price per (₹ / m³)]]=""),"",Market_Data[[#This Row],[Estimated Concrete Demand (m³)]]*Market_Data[[#This Row],[Avg Price per (₹ / m³)]]/10000000)</f>
        <v>3.8278799999999999</v>
      </c>
      <c r="O2137" s="97" t="str">
        <f>IF(Market_Data[[#This Row],[Estimated Concrete Demand (m³)]]="","",
IF(Market_Data[[#This Row],[Estimated Concrete Demand (m³)]]&lt;10000,"Small",
IF(Market_Data[[#This Row],[Estimated Concrete Demand (m³)]]&lt;25000,"Medium",
IF(Market_Data[[#This Row],[Estimated Concrete Demand (m³)]]&lt;100000,"Large","Mega"))))</f>
        <v>Small</v>
      </c>
      <c r="P2137" s="287" t="str">
        <f t="shared" si="35"/>
        <v>GujRERA</v>
      </c>
    </row>
    <row r="2138" spans="1:16">
      <c r="A2138" s="129" t="str">
        <f>_xlfn.XLOOKUP(B2138,$S$9:$S$14,$T$9:$T$14)&amp;"-"&amp;
IF(E2138="Residential/Group Housing","RES",
IF(E2138="Commercial","COM",
IF(E2138="Mixed Development","MIX",
IF(E2138="Plotted Development","PLT","OTH"))))
&amp;"-"&amp;TEXT(COUNTIFS($B$9:B2138,B2138,$E$9:E2138,E2138),"0000")</f>
        <v>SUR-MIX-0365</v>
      </c>
      <c r="B2138" s="322" t="s">
        <v>34</v>
      </c>
      <c r="C2138" s="322" t="s">
        <v>34</v>
      </c>
      <c r="D2138" s="323" t="s">
        <v>2328</v>
      </c>
      <c r="E2138" s="132" t="s">
        <v>25</v>
      </c>
      <c r="F2138" s="97" t="str">
        <f ca="1">IF(OR(Market_Data[[#This Row],[Start Date]]="",Market_Data[[#This Row],[Completion Date]]=""),"Needs Validation",IF(Market_Data[[#This Row],[Start Date]]&gt;TODAY(),"Planned",IF(Market_Data[[#This Row],[Completion Date]]&lt;TODAY(),"Completed","Ongoing")))</f>
        <v>Ongoing</v>
      </c>
      <c r="G2138" s="324">
        <v>45608</v>
      </c>
      <c r="H2138" s="324">
        <v>47118</v>
      </c>
      <c r="I2138" s="325">
        <v>59600</v>
      </c>
      <c r="J213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38" s="133">
        <f>_xlfn.XLOOKUP(Market_Data[[#This Row],[Project Type]],tbl_assumptions_market[Project Category (RERA)],tbl_assumptions_market[Concrete Intensity
(m³ / sq m BUA)],"",0)</f>
        <v>0.42</v>
      </c>
      <c r="L2138" s="134">
        <f>ROUND(Market_Data[[#This Row],[Estimated Built Up Area (sq m)]]*Market_Data[[#This Row],[Concrete Intensity
(m³ / sq m)]],0)</f>
        <v>25032</v>
      </c>
      <c r="M2138" s="135">
        <f>_xlfn.XLOOKUP(Market_Data[[#This Row],[District]],tbl_district_price[District],tbl_district_price[Standard Price
(INR/m³)],"",0)</f>
        <v>6200</v>
      </c>
      <c r="N2138" s="364">
        <f>IF(OR(Market_Data[[#This Row],[Estimated Concrete Demand (m³)]]="",Market_Data[[#This Row],[Avg Price per (₹ / m³)]]=""),"",Market_Data[[#This Row],[Estimated Concrete Demand (m³)]]*Market_Data[[#This Row],[Avg Price per (₹ / m³)]]/10000000)</f>
        <v>15.51984</v>
      </c>
      <c r="O2138" s="97" t="str">
        <f>IF(Market_Data[[#This Row],[Estimated Concrete Demand (m³)]]="","",
IF(Market_Data[[#This Row],[Estimated Concrete Demand (m³)]]&lt;10000,"Small",
IF(Market_Data[[#This Row],[Estimated Concrete Demand (m³)]]&lt;25000,"Medium",
IF(Market_Data[[#This Row],[Estimated Concrete Demand (m³)]]&lt;100000,"Large","Mega"))))</f>
        <v>Large</v>
      </c>
      <c r="P2138" s="287" t="str">
        <f t="shared" si="35"/>
        <v>GujRERA</v>
      </c>
    </row>
    <row r="2139" spans="1:16">
      <c r="A2139" s="129" t="str">
        <f>_xlfn.XLOOKUP(B2139,$S$9:$S$14,$T$9:$T$14)&amp;"-"&amp;
IF(E2139="Residential/Group Housing","RES",
IF(E2139="Commercial","COM",
IF(E2139="Mixed Development","MIX",
IF(E2139="Plotted Development","PLT","OTH"))))
&amp;"-"&amp;TEXT(COUNTIFS($B$9:B2139,B2139,$E$9:E2139,E2139),"0000")</f>
        <v>SUR-MIX-0366</v>
      </c>
      <c r="B2139" s="322" t="s">
        <v>34</v>
      </c>
      <c r="C2139" s="322" t="s">
        <v>34</v>
      </c>
      <c r="D2139" s="323" t="s">
        <v>2329</v>
      </c>
      <c r="E2139" s="132" t="s">
        <v>25</v>
      </c>
      <c r="F2139" s="97" t="str">
        <f ca="1">IF(OR(Market_Data[[#This Row],[Start Date]]="",Market_Data[[#This Row],[Completion Date]]=""),"Needs Validation",IF(Market_Data[[#This Row],[Start Date]]&gt;TODAY(),"Planned",IF(Market_Data[[#This Row],[Completion Date]]&lt;TODAY(),"Completed","Ongoing")))</f>
        <v>Completed</v>
      </c>
      <c r="G2139" s="324">
        <v>43858</v>
      </c>
      <c r="H2139" s="324">
        <v>46022</v>
      </c>
      <c r="I2139" s="325">
        <v>32500</v>
      </c>
      <c r="J213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39" s="133">
        <f>_xlfn.XLOOKUP(Market_Data[[#This Row],[Project Type]],tbl_assumptions_market[Project Category (RERA)],tbl_assumptions_market[Concrete Intensity
(m³ / sq m BUA)],"",0)</f>
        <v>0.42</v>
      </c>
      <c r="L2139" s="134">
        <f>ROUND(Market_Data[[#This Row],[Estimated Built Up Area (sq m)]]*Market_Data[[#This Row],[Concrete Intensity
(m³ / sq m)]],0)</f>
        <v>13650</v>
      </c>
      <c r="M2139" s="135">
        <f>_xlfn.XLOOKUP(Market_Data[[#This Row],[District]],tbl_district_price[District],tbl_district_price[Standard Price
(INR/m³)],"",0)</f>
        <v>6200</v>
      </c>
      <c r="N2139" s="364">
        <f>IF(OR(Market_Data[[#This Row],[Estimated Concrete Demand (m³)]]="",Market_Data[[#This Row],[Avg Price per (₹ / m³)]]=""),"",Market_Data[[#This Row],[Estimated Concrete Demand (m³)]]*Market_Data[[#This Row],[Avg Price per (₹ / m³)]]/10000000)</f>
        <v>8.4629999999999992</v>
      </c>
      <c r="O2139" s="97" t="str">
        <f>IF(Market_Data[[#This Row],[Estimated Concrete Demand (m³)]]="","",
IF(Market_Data[[#This Row],[Estimated Concrete Demand (m³)]]&lt;10000,"Small",
IF(Market_Data[[#This Row],[Estimated Concrete Demand (m³)]]&lt;25000,"Medium",
IF(Market_Data[[#This Row],[Estimated Concrete Demand (m³)]]&lt;100000,"Large","Mega"))))</f>
        <v>Medium</v>
      </c>
      <c r="P2139" s="287" t="str">
        <f t="shared" si="35"/>
        <v>GujRERA</v>
      </c>
    </row>
    <row r="2140" spans="1:16">
      <c r="A2140" s="129" t="str">
        <f>_xlfn.XLOOKUP(B2140,$S$9:$S$14,$T$9:$T$14)&amp;"-"&amp;
IF(E2140="Residential/Group Housing","RES",
IF(E2140="Commercial","COM",
IF(E2140="Mixed Development","MIX",
IF(E2140="Plotted Development","PLT","OTH"))))
&amp;"-"&amp;TEXT(COUNTIFS($B$9:B2140,B2140,$E$9:E2140,E2140),"0000")</f>
        <v>SUR-RES-0706</v>
      </c>
      <c r="B2140" s="322" t="s">
        <v>34</v>
      </c>
      <c r="C2140" s="322" t="s">
        <v>34</v>
      </c>
      <c r="D2140" s="323" t="s">
        <v>2330</v>
      </c>
      <c r="E2140" s="132" t="s">
        <v>24</v>
      </c>
      <c r="F2140" s="97" t="str">
        <f ca="1">IF(OR(Market_Data[[#This Row],[Start Date]]="",Market_Data[[#This Row],[Completion Date]]=""),"Needs Validation",IF(Market_Data[[#This Row],[Start Date]]&gt;TODAY(),"Planned",IF(Market_Data[[#This Row],[Completion Date]]&lt;TODAY(),"Completed","Ongoing")))</f>
        <v>Ongoing</v>
      </c>
      <c r="G2140" s="324">
        <v>45852</v>
      </c>
      <c r="H2140" s="324">
        <v>47573</v>
      </c>
      <c r="I2140" s="325">
        <v>30000</v>
      </c>
      <c r="J214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40" s="133">
        <f>_xlfn.XLOOKUP(Market_Data[[#This Row],[Project Type]],tbl_assumptions_market[Project Category (RERA)],tbl_assumptions_market[Concrete Intensity
(m³ / sq m BUA)],"",0)</f>
        <v>0.45</v>
      </c>
      <c r="L2140" s="134">
        <f>ROUND(Market_Data[[#This Row],[Estimated Built Up Area (sq m)]]*Market_Data[[#This Row],[Concrete Intensity
(m³ / sq m)]],0)</f>
        <v>13500</v>
      </c>
      <c r="M2140" s="135">
        <f>_xlfn.XLOOKUP(Market_Data[[#This Row],[District]],tbl_district_price[District],tbl_district_price[Standard Price
(INR/m³)],"",0)</f>
        <v>6200</v>
      </c>
      <c r="N2140" s="364">
        <f>IF(OR(Market_Data[[#This Row],[Estimated Concrete Demand (m³)]]="",Market_Data[[#This Row],[Avg Price per (₹ / m³)]]=""),"",Market_Data[[#This Row],[Estimated Concrete Demand (m³)]]*Market_Data[[#This Row],[Avg Price per (₹ / m³)]]/10000000)</f>
        <v>8.3699999999999992</v>
      </c>
      <c r="O2140" s="97" t="str">
        <f>IF(Market_Data[[#This Row],[Estimated Concrete Demand (m³)]]="","",
IF(Market_Data[[#This Row],[Estimated Concrete Demand (m³)]]&lt;10000,"Small",
IF(Market_Data[[#This Row],[Estimated Concrete Demand (m³)]]&lt;25000,"Medium",
IF(Market_Data[[#This Row],[Estimated Concrete Demand (m³)]]&lt;100000,"Large","Mega"))))</f>
        <v>Medium</v>
      </c>
      <c r="P2140" s="287" t="str">
        <f t="shared" si="35"/>
        <v>GujRERA</v>
      </c>
    </row>
    <row r="2141" spans="1:16">
      <c r="A2141" s="129" t="str">
        <f>_xlfn.XLOOKUP(B2141,$S$9:$S$14,$T$9:$T$14)&amp;"-"&amp;
IF(E2141="Residential/Group Housing","RES",
IF(E2141="Commercial","COM",
IF(E2141="Mixed Development","MIX",
IF(E2141="Plotted Development","PLT","OTH"))))
&amp;"-"&amp;TEXT(COUNTIFS($B$9:B2141,B2141,$E$9:E2141,E2141),"0000")</f>
        <v>SUR-RES-0707</v>
      </c>
      <c r="B2141" s="322" t="s">
        <v>34</v>
      </c>
      <c r="C2141" s="322" t="s">
        <v>34</v>
      </c>
      <c r="D2141" s="323" t="s">
        <v>2331</v>
      </c>
      <c r="E2141" s="132" t="s">
        <v>24</v>
      </c>
      <c r="F2141" s="97" t="str">
        <f ca="1">IF(OR(Market_Data[[#This Row],[Start Date]]="",Market_Data[[#This Row],[Completion Date]]=""),"Needs Validation",IF(Market_Data[[#This Row],[Start Date]]&gt;TODAY(),"Planned",IF(Market_Data[[#This Row],[Completion Date]]&lt;TODAY(),"Completed","Ongoing")))</f>
        <v>Ongoing</v>
      </c>
      <c r="G2141" s="324">
        <v>45775</v>
      </c>
      <c r="H2141" s="324">
        <v>47483</v>
      </c>
      <c r="I2141" s="325">
        <v>18700</v>
      </c>
      <c r="J214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41" s="133">
        <f>_xlfn.XLOOKUP(Market_Data[[#This Row],[Project Type]],tbl_assumptions_market[Project Category (RERA)],tbl_assumptions_market[Concrete Intensity
(m³ / sq m BUA)],"",0)</f>
        <v>0.45</v>
      </c>
      <c r="L2141" s="134">
        <f>ROUND(Market_Data[[#This Row],[Estimated Built Up Area (sq m)]]*Market_Data[[#This Row],[Concrete Intensity
(m³ / sq m)]],0)</f>
        <v>8415</v>
      </c>
      <c r="M2141" s="135">
        <f>_xlfn.XLOOKUP(Market_Data[[#This Row],[District]],tbl_district_price[District],tbl_district_price[Standard Price
(INR/m³)],"",0)</f>
        <v>6200</v>
      </c>
      <c r="N2141" s="364">
        <f>IF(OR(Market_Data[[#This Row],[Estimated Concrete Demand (m³)]]="",Market_Data[[#This Row],[Avg Price per (₹ / m³)]]=""),"",Market_Data[[#This Row],[Estimated Concrete Demand (m³)]]*Market_Data[[#This Row],[Avg Price per (₹ / m³)]]/10000000)</f>
        <v>5.2172999999999998</v>
      </c>
      <c r="O2141" s="97" t="str">
        <f>IF(Market_Data[[#This Row],[Estimated Concrete Demand (m³)]]="","",
IF(Market_Data[[#This Row],[Estimated Concrete Demand (m³)]]&lt;10000,"Small",
IF(Market_Data[[#This Row],[Estimated Concrete Demand (m³)]]&lt;25000,"Medium",
IF(Market_Data[[#This Row],[Estimated Concrete Demand (m³)]]&lt;100000,"Large","Mega"))))</f>
        <v>Small</v>
      </c>
      <c r="P2141" s="287" t="str">
        <f t="shared" si="35"/>
        <v>GujRERA</v>
      </c>
    </row>
    <row r="2142" spans="1:16">
      <c r="A2142" s="129" t="str">
        <f>_xlfn.XLOOKUP(B2142,$S$9:$S$14,$T$9:$T$14)&amp;"-"&amp;
IF(E2142="Residential/Group Housing","RES",
IF(E2142="Commercial","COM",
IF(E2142="Mixed Development","MIX",
IF(E2142="Plotted Development","PLT","OTH"))))
&amp;"-"&amp;TEXT(COUNTIFS($B$9:B2142,B2142,$E$9:E2142,E2142),"0000")</f>
        <v>SUR-RES-0708</v>
      </c>
      <c r="B2142" s="322" t="s">
        <v>34</v>
      </c>
      <c r="C2142" s="322" t="s">
        <v>34</v>
      </c>
      <c r="D2142" s="323" t="s">
        <v>2332</v>
      </c>
      <c r="E2142" s="132" t="s">
        <v>24</v>
      </c>
      <c r="F2142" s="97" t="str">
        <f ca="1">IF(OR(Market_Data[[#This Row],[Start Date]]="",Market_Data[[#This Row],[Completion Date]]=""),"Needs Validation",IF(Market_Data[[#This Row],[Start Date]]&gt;TODAY(),"Planned",IF(Market_Data[[#This Row],[Completion Date]]&lt;TODAY(),"Completed","Ongoing")))</f>
        <v>Ongoing</v>
      </c>
      <c r="G2142" s="324">
        <v>45775</v>
      </c>
      <c r="H2142" s="324">
        <v>47483</v>
      </c>
      <c r="I2142" s="325">
        <v>57900</v>
      </c>
      <c r="J214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42" s="133">
        <f>_xlfn.XLOOKUP(Market_Data[[#This Row],[Project Type]],tbl_assumptions_market[Project Category (RERA)],tbl_assumptions_market[Concrete Intensity
(m³ / sq m BUA)],"",0)</f>
        <v>0.45</v>
      </c>
      <c r="L2142" s="134">
        <f>ROUND(Market_Data[[#This Row],[Estimated Built Up Area (sq m)]]*Market_Data[[#This Row],[Concrete Intensity
(m³ / sq m)]],0)</f>
        <v>26055</v>
      </c>
      <c r="M2142" s="135">
        <f>_xlfn.XLOOKUP(Market_Data[[#This Row],[District]],tbl_district_price[District],tbl_district_price[Standard Price
(INR/m³)],"",0)</f>
        <v>6200</v>
      </c>
      <c r="N2142" s="364">
        <f>IF(OR(Market_Data[[#This Row],[Estimated Concrete Demand (m³)]]="",Market_Data[[#This Row],[Avg Price per (₹ / m³)]]=""),"",Market_Data[[#This Row],[Estimated Concrete Demand (m³)]]*Market_Data[[#This Row],[Avg Price per (₹ / m³)]]/10000000)</f>
        <v>16.1541</v>
      </c>
      <c r="O2142" s="97" t="str">
        <f>IF(Market_Data[[#This Row],[Estimated Concrete Demand (m³)]]="","",
IF(Market_Data[[#This Row],[Estimated Concrete Demand (m³)]]&lt;10000,"Small",
IF(Market_Data[[#This Row],[Estimated Concrete Demand (m³)]]&lt;25000,"Medium",
IF(Market_Data[[#This Row],[Estimated Concrete Demand (m³)]]&lt;100000,"Large","Mega"))))</f>
        <v>Large</v>
      </c>
      <c r="P2142" s="287" t="str">
        <f t="shared" si="35"/>
        <v>GujRERA</v>
      </c>
    </row>
    <row r="2143" spans="1:16">
      <c r="A2143" s="129" t="str">
        <f>_xlfn.XLOOKUP(B2143,$S$9:$S$14,$T$9:$T$14)&amp;"-"&amp;
IF(E2143="Residential/Group Housing","RES",
IF(E2143="Commercial","COM",
IF(E2143="Mixed Development","MIX",
IF(E2143="Plotted Development","PLT","OTH"))))
&amp;"-"&amp;TEXT(COUNTIFS($B$9:B2143,B2143,$E$9:E2143,E2143),"0000")</f>
        <v>SUR-COM-0332</v>
      </c>
      <c r="B2143" s="322" t="s">
        <v>34</v>
      </c>
      <c r="C2143" s="322" t="s">
        <v>34</v>
      </c>
      <c r="D2143" s="323" t="s">
        <v>2333</v>
      </c>
      <c r="E2143" s="132" t="s">
        <v>23</v>
      </c>
      <c r="F2143" s="97" t="str">
        <f ca="1">IF(OR(Market_Data[[#This Row],[Start Date]]="",Market_Data[[#This Row],[Completion Date]]=""),"Needs Validation",IF(Market_Data[[#This Row],[Start Date]]&gt;TODAY(),"Planned",IF(Market_Data[[#This Row],[Completion Date]]&lt;TODAY(),"Completed","Ongoing")))</f>
        <v>Completed</v>
      </c>
      <c r="G2143" s="324">
        <v>43151</v>
      </c>
      <c r="H2143" s="324">
        <v>45432</v>
      </c>
      <c r="I2143" s="325">
        <v>17900</v>
      </c>
      <c r="J214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43" s="133">
        <f>_xlfn.XLOOKUP(Market_Data[[#This Row],[Project Type]],tbl_assumptions_market[Project Category (RERA)],tbl_assumptions_market[Concrete Intensity
(m³ / sq m BUA)],"",0)</f>
        <v>0.5</v>
      </c>
      <c r="L2143" s="134">
        <f>ROUND(Market_Data[[#This Row],[Estimated Built Up Area (sq m)]]*Market_Data[[#This Row],[Concrete Intensity
(m³ / sq m)]],0)</f>
        <v>8950</v>
      </c>
      <c r="M2143" s="135">
        <f>_xlfn.XLOOKUP(Market_Data[[#This Row],[District]],tbl_district_price[District],tbl_district_price[Standard Price
(INR/m³)],"",0)</f>
        <v>6200</v>
      </c>
      <c r="N2143" s="364">
        <f>IF(OR(Market_Data[[#This Row],[Estimated Concrete Demand (m³)]]="",Market_Data[[#This Row],[Avg Price per (₹ / m³)]]=""),"",Market_Data[[#This Row],[Estimated Concrete Demand (m³)]]*Market_Data[[#This Row],[Avg Price per (₹ / m³)]]/10000000)</f>
        <v>5.5490000000000004</v>
      </c>
      <c r="O2143" s="97" t="str">
        <f>IF(Market_Data[[#This Row],[Estimated Concrete Demand (m³)]]="","",
IF(Market_Data[[#This Row],[Estimated Concrete Demand (m³)]]&lt;10000,"Small",
IF(Market_Data[[#This Row],[Estimated Concrete Demand (m³)]]&lt;25000,"Medium",
IF(Market_Data[[#This Row],[Estimated Concrete Demand (m³)]]&lt;100000,"Large","Mega"))))</f>
        <v>Small</v>
      </c>
      <c r="P2143" s="287" t="str">
        <f t="shared" si="35"/>
        <v>GujRERA</v>
      </c>
    </row>
    <row r="2144" spans="1:16">
      <c r="A2144" s="129" t="str">
        <f>_xlfn.XLOOKUP(B2144,$S$9:$S$14,$T$9:$T$14)&amp;"-"&amp;
IF(E2144="Residential/Group Housing","RES",
IF(E2144="Commercial","COM",
IF(E2144="Mixed Development","MIX",
IF(E2144="Plotted Development","PLT","OTH"))))
&amp;"-"&amp;TEXT(COUNTIFS($B$9:B2144,B2144,$E$9:E2144,E2144),"0000")</f>
        <v>SUR-RES-0709</v>
      </c>
      <c r="B2144" s="322" t="s">
        <v>34</v>
      </c>
      <c r="C2144" s="322" t="s">
        <v>34</v>
      </c>
      <c r="D2144" s="323" t="s">
        <v>2334</v>
      </c>
      <c r="E2144" s="132" t="s">
        <v>24</v>
      </c>
      <c r="F2144" s="97" t="str">
        <f ca="1">IF(OR(Market_Data[[#This Row],[Start Date]]="",Market_Data[[#This Row],[Completion Date]]=""),"Needs Validation",IF(Market_Data[[#This Row],[Start Date]]&gt;TODAY(),"Planned",IF(Market_Data[[#This Row],[Completion Date]]&lt;TODAY(),"Completed","Ongoing")))</f>
        <v>Completed</v>
      </c>
      <c r="G2144" s="324">
        <v>43313</v>
      </c>
      <c r="H2144" s="324">
        <v>46203</v>
      </c>
      <c r="I2144" s="325">
        <v>15200</v>
      </c>
      <c r="J214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44" s="133">
        <f>_xlfn.XLOOKUP(Market_Data[[#This Row],[Project Type]],tbl_assumptions_market[Project Category (RERA)],tbl_assumptions_market[Concrete Intensity
(m³ / sq m BUA)],"",0)</f>
        <v>0.45</v>
      </c>
      <c r="L2144" s="134">
        <f>ROUND(Market_Data[[#This Row],[Estimated Built Up Area (sq m)]]*Market_Data[[#This Row],[Concrete Intensity
(m³ / sq m)]],0)</f>
        <v>6840</v>
      </c>
      <c r="M2144" s="135">
        <f>_xlfn.XLOOKUP(Market_Data[[#This Row],[District]],tbl_district_price[District],tbl_district_price[Standard Price
(INR/m³)],"",0)</f>
        <v>6200</v>
      </c>
      <c r="N2144" s="364">
        <f>IF(OR(Market_Data[[#This Row],[Estimated Concrete Demand (m³)]]="",Market_Data[[#This Row],[Avg Price per (₹ / m³)]]=""),"",Market_Data[[#This Row],[Estimated Concrete Demand (m³)]]*Market_Data[[#This Row],[Avg Price per (₹ / m³)]]/10000000)</f>
        <v>4.2408000000000001</v>
      </c>
      <c r="O2144" s="97" t="str">
        <f>IF(Market_Data[[#This Row],[Estimated Concrete Demand (m³)]]="","",
IF(Market_Data[[#This Row],[Estimated Concrete Demand (m³)]]&lt;10000,"Small",
IF(Market_Data[[#This Row],[Estimated Concrete Demand (m³)]]&lt;25000,"Medium",
IF(Market_Data[[#This Row],[Estimated Concrete Demand (m³)]]&lt;100000,"Large","Mega"))))</f>
        <v>Small</v>
      </c>
      <c r="P2144" s="287" t="str">
        <f t="shared" si="35"/>
        <v>GujRERA</v>
      </c>
    </row>
    <row r="2145" spans="1:16">
      <c r="A2145" s="129" t="str">
        <f>_xlfn.XLOOKUP(B2145,$S$9:$S$14,$T$9:$T$14)&amp;"-"&amp;
IF(E2145="Residential/Group Housing","RES",
IF(E2145="Commercial","COM",
IF(E2145="Mixed Development","MIX",
IF(E2145="Plotted Development","PLT","OTH"))))
&amp;"-"&amp;TEXT(COUNTIFS($B$9:B2145,B2145,$E$9:E2145,E2145),"0000")</f>
        <v>SUR-MIX-0367</v>
      </c>
      <c r="B2145" s="322" t="s">
        <v>34</v>
      </c>
      <c r="C2145" s="322" t="s">
        <v>34</v>
      </c>
      <c r="D2145" s="323" t="s">
        <v>2335</v>
      </c>
      <c r="E2145" s="132" t="s">
        <v>25</v>
      </c>
      <c r="F2145" s="97" t="str">
        <f ca="1">IF(OR(Market_Data[[#This Row],[Start Date]]="",Market_Data[[#This Row],[Completion Date]]=""),"Needs Validation",IF(Market_Data[[#This Row],[Start Date]]&gt;TODAY(),"Planned",IF(Market_Data[[#This Row],[Completion Date]]&lt;TODAY(),"Completed","Ongoing")))</f>
        <v>Ongoing</v>
      </c>
      <c r="G2145" s="324">
        <v>45667</v>
      </c>
      <c r="H2145" s="324">
        <v>47848</v>
      </c>
      <c r="I2145" s="325">
        <v>19800</v>
      </c>
      <c r="J214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45" s="133">
        <f>_xlfn.XLOOKUP(Market_Data[[#This Row],[Project Type]],tbl_assumptions_market[Project Category (RERA)],tbl_assumptions_market[Concrete Intensity
(m³ / sq m BUA)],"",0)</f>
        <v>0.42</v>
      </c>
      <c r="L2145" s="134">
        <f>ROUND(Market_Data[[#This Row],[Estimated Built Up Area (sq m)]]*Market_Data[[#This Row],[Concrete Intensity
(m³ / sq m)]],0)</f>
        <v>8316</v>
      </c>
      <c r="M2145" s="135">
        <f>_xlfn.XLOOKUP(Market_Data[[#This Row],[District]],tbl_district_price[District],tbl_district_price[Standard Price
(INR/m³)],"",0)</f>
        <v>6200</v>
      </c>
      <c r="N2145" s="364">
        <f>IF(OR(Market_Data[[#This Row],[Estimated Concrete Demand (m³)]]="",Market_Data[[#This Row],[Avg Price per (₹ / m³)]]=""),"",Market_Data[[#This Row],[Estimated Concrete Demand (m³)]]*Market_Data[[#This Row],[Avg Price per (₹ / m³)]]/10000000)</f>
        <v>5.1559200000000001</v>
      </c>
      <c r="O2145" s="97" t="str">
        <f>IF(Market_Data[[#This Row],[Estimated Concrete Demand (m³)]]="","",
IF(Market_Data[[#This Row],[Estimated Concrete Demand (m³)]]&lt;10000,"Small",
IF(Market_Data[[#This Row],[Estimated Concrete Demand (m³)]]&lt;25000,"Medium",
IF(Market_Data[[#This Row],[Estimated Concrete Demand (m³)]]&lt;100000,"Large","Mega"))))</f>
        <v>Small</v>
      </c>
      <c r="P2145" s="287" t="str">
        <f t="shared" si="35"/>
        <v>GujRERA</v>
      </c>
    </row>
    <row r="2146" spans="1:16">
      <c r="A2146" s="129" t="str">
        <f>_xlfn.XLOOKUP(B2146,$S$9:$S$14,$T$9:$T$14)&amp;"-"&amp;
IF(E2146="Residential/Group Housing","RES",
IF(E2146="Commercial","COM",
IF(E2146="Mixed Development","MIX",
IF(E2146="Plotted Development","PLT","OTH"))))
&amp;"-"&amp;TEXT(COUNTIFS($B$9:B2146,B2146,$E$9:E2146,E2146),"0000")</f>
        <v>SUR-MIX-0368</v>
      </c>
      <c r="B2146" s="322" t="s">
        <v>34</v>
      </c>
      <c r="C2146" s="322" t="s">
        <v>34</v>
      </c>
      <c r="D2146" s="323" t="s">
        <v>2336</v>
      </c>
      <c r="E2146" s="132" t="s">
        <v>25</v>
      </c>
      <c r="F2146" s="97" t="str">
        <f ca="1">IF(OR(Market_Data[[#This Row],[Start Date]]="",Market_Data[[#This Row],[Completion Date]]=""),"Needs Validation",IF(Market_Data[[#This Row],[Start Date]]&gt;TODAY(),"Planned",IF(Market_Data[[#This Row],[Completion Date]]&lt;TODAY(),"Completed","Ongoing")))</f>
        <v>Completed</v>
      </c>
      <c r="G2146" s="324">
        <v>43069</v>
      </c>
      <c r="H2146" s="324">
        <v>43921</v>
      </c>
      <c r="I2146" s="325">
        <v>3800</v>
      </c>
      <c r="J214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146" s="133">
        <f>_xlfn.XLOOKUP(Market_Data[[#This Row],[Project Type]],tbl_assumptions_market[Project Category (RERA)],tbl_assumptions_market[Concrete Intensity
(m³ / sq m BUA)],"",0)</f>
        <v>0.42</v>
      </c>
      <c r="L2146" s="134">
        <f>ROUND(Market_Data[[#This Row],[Estimated Built Up Area (sq m)]]*Market_Data[[#This Row],[Concrete Intensity
(m³ / sq m)]],0)</f>
        <v>1596</v>
      </c>
      <c r="M2146" s="135">
        <f>_xlfn.XLOOKUP(Market_Data[[#This Row],[District]],tbl_district_price[District],tbl_district_price[Standard Price
(INR/m³)],"",0)</f>
        <v>6200</v>
      </c>
      <c r="N2146" s="364">
        <f>IF(OR(Market_Data[[#This Row],[Estimated Concrete Demand (m³)]]="",Market_Data[[#This Row],[Avg Price per (₹ / m³)]]=""),"",Market_Data[[#This Row],[Estimated Concrete Demand (m³)]]*Market_Data[[#This Row],[Avg Price per (₹ / m³)]]/10000000)</f>
        <v>0.98951999999999996</v>
      </c>
      <c r="O2146" s="97" t="str">
        <f>IF(Market_Data[[#This Row],[Estimated Concrete Demand (m³)]]="","",
IF(Market_Data[[#This Row],[Estimated Concrete Demand (m³)]]&lt;10000,"Small",
IF(Market_Data[[#This Row],[Estimated Concrete Demand (m³)]]&lt;25000,"Medium",
IF(Market_Data[[#This Row],[Estimated Concrete Demand (m³)]]&lt;100000,"Large","Mega"))))</f>
        <v>Small</v>
      </c>
      <c r="P2146" s="287" t="str">
        <f t="shared" si="35"/>
        <v>GujRERA</v>
      </c>
    </row>
    <row r="2147" spans="1:16">
      <c r="A2147" s="129" t="str">
        <f>_xlfn.XLOOKUP(B2147,$S$9:$S$14,$T$9:$T$14)&amp;"-"&amp;
IF(E2147="Residential/Group Housing","RES",
IF(E2147="Commercial","COM",
IF(E2147="Mixed Development","MIX",
IF(E2147="Plotted Development","PLT","OTH"))))
&amp;"-"&amp;TEXT(COUNTIFS($B$9:B2147,B2147,$E$9:E2147,E2147),"0000")</f>
        <v>SUR-COM-0333</v>
      </c>
      <c r="B2147" s="322" t="s">
        <v>34</v>
      </c>
      <c r="C2147" s="322" t="s">
        <v>34</v>
      </c>
      <c r="D2147" s="323" t="s">
        <v>2337</v>
      </c>
      <c r="E2147" s="132" t="s">
        <v>23</v>
      </c>
      <c r="F2147" s="97" t="str">
        <f ca="1">IF(OR(Market_Data[[#This Row],[Start Date]]="",Market_Data[[#This Row],[Completion Date]]=""),"Needs Validation",IF(Market_Data[[#This Row],[Start Date]]&gt;TODAY(),"Planned",IF(Market_Data[[#This Row],[Completion Date]]&lt;TODAY(),"Completed","Ongoing")))</f>
        <v>Ongoing</v>
      </c>
      <c r="G2147" s="324">
        <v>45170</v>
      </c>
      <c r="H2147" s="324">
        <v>46387</v>
      </c>
      <c r="I2147" s="325">
        <v>9300</v>
      </c>
      <c r="J214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47" s="133">
        <f>_xlfn.XLOOKUP(Market_Data[[#This Row],[Project Type]],tbl_assumptions_market[Project Category (RERA)],tbl_assumptions_market[Concrete Intensity
(m³ / sq m BUA)],"",0)</f>
        <v>0.5</v>
      </c>
      <c r="L2147" s="134">
        <f>ROUND(Market_Data[[#This Row],[Estimated Built Up Area (sq m)]]*Market_Data[[#This Row],[Concrete Intensity
(m³ / sq m)]],0)</f>
        <v>4650</v>
      </c>
      <c r="M2147" s="135">
        <f>_xlfn.XLOOKUP(Market_Data[[#This Row],[District]],tbl_district_price[District],tbl_district_price[Standard Price
(INR/m³)],"",0)</f>
        <v>6200</v>
      </c>
      <c r="N2147" s="364">
        <f>IF(OR(Market_Data[[#This Row],[Estimated Concrete Demand (m³)]]="",Market_Data[[#This Row],[Avg Price per (₹ / m³)]]=""),"",Market_Data[[#This Row],[Estimated Concrete Demand (m³)]]*Market_Data[[#This Row],[Avg Price per (₹ / m³)]]/10000000)</f>
        <v>2.883</v>
      </c>
      <c r="O2147" s="97" t="str">
        <f>IF(Market_Data[[#This Row],[Estimated Concrete Demand (m³)]]="","",
IF(Market_Data[[#This Row],[Estimated Concrete Demand (m³)]]&lt;10000,"Small",
IF(Market_Data[[#This Row],[Estimated Concrete Demand (m³)]]&lt;25000,"Medium",
IF(Market_Data[[#This Row],[Estimated Concrete Demand (m³)]]&lt;100000,"Large","Mega"))))</f>
        <v>Small</v>
      </c>
      <c r="P2147" s="287" t="str">
        <f t="shared" si="35"/>
        <v>GujRERA</v>
      </c>
    </row>
    <row r="2148" spans="1:16">
      <c r="A2148" s="129" t="str">
        <f>_xlfn.XLOOKUP(B2148,$S$9:$S$14,$T$9:$T$14)&amp;"-"&amp;
IF(E2148="Residential/Group Housing","RES",
IF(E2148="Commercial","COM",
IF(E2148="Mixed Development","MIX",
IF(E2148="Plotted Development","PLT","OTH"))))
&amp;"-"&amp;TEXT(COUNTIFS($B$9:B2148,B2148,$E$9:E2148,E2148),"0000")</f>
        <v>SUR-COM-0334</v>
      </c>
      <c r="B2148" s="322" t="s">
        <v>34</v>
      </c>
      <c r="C2148" s="322" t="s">
        <v>34</v>
      </c>
      <c r="D2148" s="323" t="s">
        <v>2338</v>
      </c>
      <c r="E2148" s="132" t="s">
        <v>23</v>
      </c>
      <c r="F2148" s="97" t="str">
        <f ca="1">IF(OR(Market_Data[[#This Row],[Start Date]]="",Market_Data[[#This Row],[Completion Date]]=""),"Needs Validation",IF(Market_Data[[#This Row],[Start Date]]&gt;TODAY(),"Planned",IF(Market_Data[[#This Row],[Completion Date]]&lt;TODAY(),"Completed","Ongoing")))</f>
        <v>Ongoing</v>
      </c>
      <c r="G2148" s="324">
        <v>46013</v>
      </c>
      <c r="H2148" s="324">
        <v>47848</v>
      </c>
      <c r="I2148" s="325">
        <v>18700</v>
      </c>
      <c r="J214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48" s="133">
        <f>_xlfn.XLOOKUP(Market_Data[[#This Row],[Project Type]],tbl_assumptions_market[Project Category (RERA)],tbl_assumptions_market[Concrete Intensity
(m³ / sq m BUA)],"",0)</f>
        <v>0.5</v>
      </c>
      <c r="L2148" s="134">
        <f>ROUND(Market_Data[[#This Row],[Estimated Built Up Area (sq m)]]*Market_Data[[#This Row],[Concrete Intensity
(m³ / sq m)]],0)</f>
        <v>9350</v>
      </c>
      <c r="M2148" s="135">
        <f>_xlfn.XLOOKUP(Market_Data[[#This Row],[District]],tbl_district_price[District],tbl_district_price[Standard Price
(INR/m³)],"",0)</f>
        <v>6200</v>
      </c>
      <c r="N2148" s="364">
        <f>IF(OR(Market_Data[[#This Row],[Estimated Concrete Demand (m³)]]="",Market_Data[[#This Row],[Avg Price per (₹ / m³)]]=""),"",Market_Data[[#This Row],[Estimated Concrete Demand (m³)]]*Market_Data[[#This Row],[Avg Price per (₹ / m³)]]/10000000)</f>
        <v>5.7969999999999997</v>
      </c>
      <c r="O2148" s="97" t="str">
        <f>IF(Market_Data[[#This Row],[Estimated Concrete Demand (m³)]]="","",
IF(Market_Data[[#This Row],[Estimated Concrete Demand (m³)]]&lt;10000,"Small",
IF(Market_Data[[#This Row],[Estimated Concrete Demand (m³)]]&lt;25000,"Medium",
IF(Market_Data[[#This Row],[Estimated Concrete Demand (m³)]]&lt;100000,"Large","Mega"))))</f>
        <v>Small</v>
      </c>
      <c r="P2148" s="287" t="str">
        <f t="shared" si="35"/>
        <v>GujRERA</v>
      </c>
    </row>
    <row r="2149" spans="1:16">
      <c r="A2149" s="129" t="str">
        <f>_xlfn.XLOOKUP(B2149,$S$9:$S$14,$T$9:$T$14)&amp;"-"&amp;
IF(E2149="Residential/Group Housing","RES",
IF(E2149="Commercial","COM",
IF(E2149="Mixed Development","MIX",
IF(E2149="Plotted Development","PLT","OTH"))))
&amp;"-"&amp;TEXT(COUNTIFS($B$9:B2149,B2149,$E$9:E2149,E2149),"0000")</f>
        <v>SUR-RES-0710</v>
      </c>
      <c r="B2149" s="322" t="s">
        <v>34</v>
      </c>
      <c r="C2149" s="322" t="s">
        <v>34</v>
      </c>
      <c r="D2149" s="323" t="s">
        <v>2339</v>
      </c>
      <c r="E2149" s="132" t="s">
        <v>24</v>
      </c>
      <c r="F2149" s="97" t="str">
        <f ca="1">IF(OR(Market_Data[[#This Row],[Start Date]]="",Market_Data[[#This Row],[Completion Date]]=""),"Needs Validation",IF(Market_Data[[#This Row],[Start Date]]&gt;TODAY(),"Planned",IF(Market_Data[[#This Row],[Completion Date]]&lt;TODAY(),"Completed","Ongoing")))</f>
        <v>Completed</v>
      </c>
      <c r="G2149" s="324">
        <v>40974</v>
      </c>
      <c r="H2149" s="324">
        <v>44377</v>
      </c>
      <c r="I2149" s="325">
        <v>54800</v>
      </c>
      <c r="J214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49" s="133">
        <f>_xlfn.XLOOKUP(Market_Data[[#This Row],[Project Type]],tbl_assumptions_market[Project Category (RERA)],tbl_assumptions_market[Concrete Intensity
(m³ / sq m BUA)],"",0)</f>
        <v>0.45</v>
      </c>
      <c r="L2149" s="134">
        <f>ROUND(Market_Data[[#This Row],[Estimated Built Up Area (sq m)]]*Market_Data[[#This Row],[Concrete Intensity
(m³ / sq m)]],0)</f>
        <v>24660</v>
      </c>
      <c r="M2149" s="135">
        <f>_xlfn.XLOOKUP(Market_Data[[#This Row],[District]],tbl_district_price[District],tbl_district_price[Standard Price
(INR/m³)],"",0)</f>
        <v>6200</v>
      </c>
      <c r="N2149" s="364">
        <f>IF(OR(Market_Data[[#This Row],[Estimated Concrete Demand (m³)]]="",Market_Data[[#This Row],[Avg Price per (₹ / m³)]]=""),"",Market_Data[[#This Row],[Estimated Concrete Demand (m³)]]*Market_Data[[#This Row],[Avg Price per (₹ / m³)]]/10000000)</f>
        <v>15.289199999999999</v>
      </c>
      <c r="O2149" s="97" t="str">
        <f>IF(Market_Data[[#This Row],[Estimated Concrete Demand (m³)]]="","",
IF(Market_Data[[#This Row],[Estimated Concrete Demand (m³)]]&lt;10000,"Small",
IF(Market_Data[[#This Row],[Estimated Concrete Demand (m³)]]&lt;25000,"Medium",
IF(Market_Data[[#This Row],[Estimated Concrete Demand (m³)]]&lt;100000,"Large","Mega"))))</f>
        <v>Medium</v>
      </c>
      <c r="P2149" s="287" t="str">
        <f t="shared" si="35"/>
        <v>GujRERA</v>
      </c>
    </row>
    <row r="2150" spans="1:16">
      <c r="A2150" s="129" t="str">
        <f>_xlfn.XLOOKUP(B2150,$S$9:$S$14,$T$9:$T$14)&amp;"-"&amp;
IF(E2150="Residential/Group Housing","RES",
IF(E2150="Commercial","COM",
IF(E2150="Mixed Development","MIX",
IF(E2150="Plotted Development","PLT","OTH"))))
&amp;"-"&amp;TEXT(COUNTIFS($B$9:B2150,B2150,$E$9:E2150,E2150),"0000")</f>
        <v>SUR-MIX-0369</v>
      </c>
      <c r="B2150" s="322" t="s">
        <v>34</v>
      </c>
      <c r="C2150" s="322" t="s">
        <v>34</v>
      </c>
      <c r="D2150" s="323" t="s">
        <v>2340</v>
      </c>
      <c r="E2150" s="132" t="s">
        <v>25</v>
      </c>
      <c r="F2150" s="97" t="str">
        <f ca="1">IF(OR(Market_Data[[#This Row],[Start Date]]="",Market_Data[[#This Row],[Completion Date]]=""),"Needs Validation",IF(Market_Data[[#This Row],[Start Date]]&gt;TODAY(),"Planned",IF(Market_Data[[#This Row],[Completion Date]]&lt;TODAY(),"Completed","Ongoing")))</f>
        <v>Completed</v>
      </c>
      <c r="G2150" s="324">
        <v>43406</v>
      </c>
      <c r="H2150" s="324">
        <v>46203</v>
      </c>
      <c r="I2150" s="325">
        <v>5100</v>
      </c>
      <c r="J215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150" s="133">
        <f>_xlfn.XLOOKUP(Market_Data[[#This Row],[Project Type]],tbl_assumptions_market[Project Category (RERA)],tbl_assumptions_market[Concrete Intensity
(m³ / sq m BUA)],"",0)</f>
        <v>0.42</v>
      </c>
      <c r="L2150" s="134">
        <f>ROUND(Market_Data[[#This Row],[Estimated Built Up Area (sq m)]]*Market_Data[[#This Row],[Concrete Intensity
(m³ / sq m)]],0)</f>
        <v>2142</v>
      </c>
      <c r="M2150" s="135">
        <f>_xlfn.XLOOKUP(Market_Data[[#This Row],[District]],tbl_district_price[District],tbl_district_price[Standard Price
(INR/m³)],"",0)</f>
        <v>6200</v>
      </c>
      <c r="N2150" s="364">
        <f>IF(OR(Market_Data[[#This Row],[Estimated Concrete Demand (m³)]]="",Market_Data[[#This Row],[Avg Price per (₹ / m³)]]=""),"",Market_Data[[#This Row],[Estimated Concrete Demand (m³)]]*Market_Data[[#This Row],[Avg Price per (₹ / m³)]]/10000000)</f>
        <v>1.3280400000000001</v>
      </c>
      <c r="O2150" s="97" t="str">
        <f>IF(Market_Data[[#This Row],[Estimated Concrete Demand (m³)]]="","",
IF(Market_Data[[#This Row],[Estimated Concrete Demand (m³)]]&lt;10000,"Small",
IF(Market_Data[[#This Row],[Estimated Concrete Demand (m³)]]&lt;25000,"Medium",
IF(Market_Data[[#This Row],[Estimated Concrete Demand (m³)]]&lt;100000,"Large","Mega"))))</f>
        <v>Small</v>
      </c>
      <c r="P2150" s="287" t="str">
        <f t="shared" si="35"/>
        <v>GujRERA</v>
      </c>
    </row>
    <row r="2151" spans="1:16">
      <c r="A2151" s="129" t="str">
        <f>_xlfn.XLOOKUP(B2151,$S$9:$S$14,$T$9:$T$14)&amp;"-"&amp;
IF(E2151="Residential/Group Housing","RES",
IF(E2151="Commercial","COM",
IF(E2151="Mixed Development","MIX",
IF(E2151="Plotted Development","PLT","OTH"))))
&amp;"-"&amp;TEXT(COUNTIFS($B$9:B2151,B2151,$E$9:E2151,E2151),"0000")</f>
        <v>SUR-PLT-0420</v>
      </c>
      <c r="B2151" s="322" t="s">
        <v>34</v>
      </c>
      <c r="C2151" s="322" t="s">
        <v>34</v>
      </c>
      <c r="D2151" s="323" t="s">
        <v>2341</v>
      </c>
      <c r="E2151" s="132" t="s">
        <v>26</v>
      </c>
      <c r="F2151" s="97" t="str">
        <f ca="1">IF(OR(Market_Data[[#This Row],[Start Date]]="",Market_Data[[#This Row],[Completion Date]]=""),"Needs Validation",IF(Market_Data[[#This Row],[Start Date]]&gt;TODAY(),"Planned",IF(Market_Data[[#This Row],[Completion Date]]&lt;TODAY(),"Completed","Ongoing")))</f>
        <v>Completed</v>
      </c>
      <c r="G2151" s="324">
        <v>44950</v>
      </c>
      <c r="H2151" s="324">
        <v>46112</v>
      </c>
      <c r="I2151" s="325">
        <v>46800</v>
      </c>
      <c r="J215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151" s="133">
        <f>_xlfn.XLOOKUP(Market_Data[[#This Row],[Project Type]],tbl_assumptions_market[Project Category (RERA)],tbl_assumptions_market[Concrete Intensity
(m³ / sq m BUA)],"",0)</f>
        <v>0.18</v>
      </c>
      <c r="L2151" s="134">
        <f>ROUND(Market_Data[[#This Row],[Estimated Built Up Area (sq m)]]*Market_Data[[#This Row],[Concrete Intensity
(m³ / sq m)]],0)</f>
        <v>8424</v>
      </c>
      <c r="M2151" s="135">
        <f>_xlfn.XLOOKUP(Market_Data[[#This Row],[District]],tbl_district_price[District],tbl_district_price[Standard Price
(INR/m³)],"",0)</f>
        <v>6200</v>
      </c>
      <c r="N2151" s="364">
        <f>IF(OR(Market_Data[[#This Row],[Estimated Concrete Demand (m³)]]="",Market_Data[[#This Row],[Avg Price per (₹ / m³)]]=""),"",Market_Data[[#This Row],[Estimated Concrete Demand (m³)]]*Market_Data[[#This Row],[Avg Price per (₹ / m³)]]/10000000)</f>
        <v>5.22288</v>
      </c>
      <c r="O2151" s="97" t="str">
        <f>IF(Market_Data[[#This Row],[Estimated Concrete Demand (m³)]]="","",
IF(Market_Data[[#This Row],[Estimated Concrete Demand (m³)]]&lt;10000,"Small",
IF(Market_Data[[#This Row],[Estimated Concrete Demand (m³)]]&lt;25000,"Medium",
IF(Market_Data[[#This Row],[Estimated Concrete Demand (m³)]]&lt;100000,"Large","Mega"))))</f>
        <v>Small</v>
      </c>
      <c r="P2151" s="287" t="str">
        <f t="shared" si="35"/>
        <v>GujRERA</v>
      </c>
    </row>
    <row r="2152" spans="1:16">
      <c r="A2152" s="129" t="str">
        <f>_xlfn.XLOOKUP(B2152,$S$9:$S$14,$T$9:$T$14)&amp;"-"&amp;
IF(E2152="Residential/Group Housing","RES",
IF(E2152="Commercial","COM",
IF(E2152="Mixed Development","MIX",
IF(E2152="Plotted Development","PLT","OTH"))))
&amp;"-"&amp;TEXT(COUNTIFS($B$9:B2152,B2152,$E$9:E2152,E2152),"0000")</f>
        <v>SUR-PLT-0421</v>
      </c>
      <c r="B2152" s="322" t="s">
        <v>34</v>
      </c>
      <c r="C2152" s="322" t="s">
        <v>34</v>
      </c>
      <c r="D2152" s="323" t="s">
        <v>2342</v>
      </c>
      <c r="E2152" s="132" t="s">
        <v>26</v>
      </c>
      <c r="F2152" s="97" t="str">
        <f ca="1">IF(OR(Market_Data[[#This Row],[Start Date]]="",Market_Data[[#This Row],[Completion Date]]=""),"Needs Validation",IF(Market_Data[[#This Row],[Start Date]]&gt;TODAY(),"Planned",IF(Market_Data[[#This Row],[Completion Date]]&lt;TODAY(),"Completed","Ongoing")))</f>
        <v>Ongoing</v>
      </c>
      <c r="G2152" s="324">
        <v>45589</v>
      </c>
      <c r="H2152" s="324">
        <v>47483</v>
      </c>
      <c r="I2152" s="325">
        <v>11700</v>
      </c>
      <c r="J215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52" s="133">
        <f>_xlfn.XLOOKUP(Market_Data[[#This Row],[Project Type]],tbl_assumptions_market[Project Category (RERA)],tbl_assumptions_market[Concrete Intensity
(m³ / sq m BUA)],"",0)</f>
        <v>0.18</v>
      </c>
      <c r="L2152" s="134">
        <f>ROUND(Market_Data[[#This Row],[Estimated Built Up Area (sq m)]]*Market_Data[[#This Row],[Concrete Intensity
(m³ / sq m)]],0)</f>
        <v>2106</v>
      </c>
      <c r="M2152" s="135">
        <f>_xlfn.XLOOKUP(Market_Data[[#This Row],[District]],tbl_district_price[District],tbl_district_price[Standard Price
(INR/m³)],"",0)</f>
        <v>6200</v>
      </c>
      <c r="N2152" s="364">
        <f>IF(OR(Market_Data[[#This Row],[Estimated Concrete Demand (m³)]]="",Market_Data[[#This Row],[Avg Price per (₹ / m³)]]=""),"",Market_Data[[#This Row],[Estimated Concrete Demand (m³)]]*Market_Data[[#This Row],[Avg Price per (₹ / m³)]]/10000000)</f>
        <v>1.30572</v>
      </c>
      <c r="O2152" s="97" t="str">
        <f>IF(Market_Data[[#This Row],[Estimated Concrete Demand (m³)]]="","",
IF(Market_Data[[#This Row],[Estimated Concrete Demand (m³)]]&lt;10000,"Small",
IF(Market_Data[[#This Row],[Estimated Concrete Demand (m³)]]&lt;25000,"Medium",
IF(Market_Data[[#This Row],[Estimated Concrete Demand (m³)]]&lt;100000,"Large","Mega"))))</f>
        <v>Small</v>
      </c>
      <c r="P2152" s="287" t="str">
        <f t="shared" si="35"/>
        <v>GujRERA</v>
      </c>
    </row>
    <row r="2153" spans="1:16">
      <c r="A2153" s="129" t="str">
        <f>_xlfn.XLOOKUP(B2153,$S$9:$S$14,$T$9:$T$14)&amp;"-"&amp;
IF(E2153="Residential/Group Housing","RES",
IF(E2153="Commercial","COM",
IF(E2153="Mixed Development","MIX",
IF(E2153="Plotted Development","PLT","OTH"))))
&amp;"-"&amp;TEXT(COUNTIFS($B$9:B2153,B2153,$E$9:E2153,E2153),"0000")</f>
        <v>SUR-RES-0711</v>
      </c>
      <c r="B2153" s="322" t="s">
        <v>34</v>
      </c>
      <c r="C2153" s="322" t="s">
        <v>34</v>
      </c>
      <c r="D2153" s="323" t="s">
        <v>2343</v>
      </c>
      <c r="E2153" s="132" t="s">
        <v>24</v>
      </c>
      <c r="F2153" s="97" t="str">
        <f ca="1">IF(OR(Market_Data[[#This Row],[Start Date]]="",Market_Data[[#This Row],[Completion Date]]=""),"Needs Validation",IF(Market_Data[[#This Row],[Start Date]]&gt;TODAY(),"Planned",IF(Market_Data[[#This Row],[Completion Date]]&lt;TODAY(),"Completed","Ongoing")))</f>
        <v>Ongoing</v>
      </c>
      <c r="G2153" s="324">
        <v>44931</v>
      </c>
      <c r="H2153" s="324">
        <v>47118</v>
      </c>
      <c r="I2153" s="325">
        <v>54600</v>
      </c>
      <c r="J215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53" s="133">
        <f>_xlfn.XLOOKUP(Market_Data[[#This Row],[Project Type]],tbl_assumptions_market[Project Category (RERA)],tbl_assumptions_market[Concrete Intensity
(m³ / sq m BUA)],"",0)</f>
        <v>0.45</v>
      </c>
      <c r="L2153" s="134">
        <f>ROUND(Market_Data[[#This Row],[Estimated Built Up Area (sq m)]]*Market_Data[[#This Row],[Concrete Intensity
(m³ / sq m)]],0)</f>
        <v>24570</v>
      </c>
      <c r="M2153" s="135">
        <f>_xlfn.XLOOKUP(Market_Data[[#This Row],[District]],tbl_district_price[District],tbl_district_price[Standard Price
(INR/m³)],"",0)</f>
        <v>6200</v>
      </c>
      <c r="N2153" s="364">
        <f>IF(OR(Market_Data[[#This Row],[Estimated Concrete Demand (m³)]]="",Market_Data[[#This Row],[Avg Price per (₹ / m³)]]=""),"",Market_Data[[#This Row],[Estimated Concrete Demand (m³)]]*Market_Data[[#This Row],[Avg Price per (₹ / m³)]]/10000000)</f>
        <v>15.2334</v>
      </c>
      <c r="O2153" s="97" t="str">
        <f>IF(Market_Data[[#This Row],[Estimated Concrete Demand (m³)]]="","",
IF(Market_Data[[#This Row],[Estimated Concrete Demand (m³)]]&lt;10000,"Small",
IF(Market_Data[[#This Row],[Estimated Concrete Demand (m³)]]&lt;25000,"Medium",
IF(Market_Data[[#This Row],[Estimated Concrete Demand (m³)]]&lt;100000,"Large","Mega"))))</f>
        <v>Medium</v>
      </c>
      <c r="P2153" s="287" t="str">
        <f t="shared" si="35"/>
        <v>GujRERA</v>
      </c>
    </row>
    <row r="2154" spans="1:16">
      <c r="A2154" s="129" t="str">
        <f>_xlfn.XLOOKUP(B2154,$S$9:$S$14,$T$9:$T$14)&amp;"-"&amp;
IF(E2154="Residential/Group Housing","RES",
IF(E2154="Commercial","COM",
IF(E2154="Mixed Development","MIX",
IF(E2154="Plotted Development","PLT","OTH"))))
&amp;"-"&amp;TEXT(COUNTIFS($B$9:B2154,B2154,$E$9:E2154,E2154),"0000")</f>
        <v>SUR-RES-0712</v>
      </c>
      <c r="B2154" s="322" t="s">
        <v>34</v>
      </c>
      <c r="C2154" s="322" t="s">
        <v>34</v>
      </c>
      <c r="D2154" s="323" t="s">
        <v>2344</v>
      </c>
      <c r="E2154" s="132" t="s">
        <v>24</v>
      </c>
      <c r="F2154" s="97" t="str">
        <f ca="1">IF(OR(Market_Data[[#This Row],[Start Date]]="",Market_Data[[#This Row],[Completion Date]]=""),"Needs Validation",IF(Market_Data[[#This Row],[Start Date]]&gt;TODAY(),"Planned",IF(Market_Data[[#This Row],[Completion Date]]&lt;TODAY(),"Completed","Ongoing")))</f>
        <v>Ongoing</v>
      </c>
      <c r="G2154" s="324">
        <v>45684</v>
      </c>
      <c r="H2154" s="324">
        <v>47848</v>
      </c>
      <c r="I2154" s="325">
        <v>2800</v>
      </c>
      <c r="J215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54" s="133">
        <f>_xlfn.XLOOKUP(Market_Data[[#This Row],[Project Type]],tbl_assumptions_market[Project Category (RERA)],tbl_assumptions_market[Concrete Intensity
(m³ / sq m BUA)],"",0)</f>
        <v>0.45</v>
      </c>
      <c r="L2154" s="134">
        <f>ROUND(Market_Data[[#This Row],[Estimated Built Up Area (sq m)]]*Market_Data[[#This Row],[Concrete Intensity
(m³ / sq m)]],0)</f>
        <v>1260</v>
      </c>
      <c r="M2154" s="135">
        <f>_xlfn.XLOOKUP(Market_Data[[#This Row],[District]],tbl_district_price[District],tbl_district_price[Standard Price
(INR/m³)],"",0)</f>
        <v>6200</v>
      </c>
      <c r="N2154" s="364">
        <f>IF(OR(Market_Data[[#This Row],[Estimated Concrete Demand (m³)]]="",Market_Data[[#This Row],[Avg Price per (₹ / m³)]]=""),"",Market_Data[[#This Row],[Estimated Concrete Demand (m³)]]*Market_Data[[#This Row],[Avg Price per (₹ / m³)]]/10000000)</f>
        <v>0.78120000000000001</v>
      </c>
      <c r="O2154" s="97" t="str">
        <f>IF(Market_Data[[#This Row],[Estimated Concrete Demand (m³)]]="","",
IF(Market_Data[[#This Row],[Estimated Concrete Demand (m³)]]&lt;10000,"Small",
IF(Market_Data[[#This Row],[Estimated Concrete Demand (m³)]]&lt;25000,"Medium",
IF(Market_Data[[#This Row],[Estimated Concrete Demand (m³)]]&lt;100000,"Large","Mega"))))</f>
        <v>Small</v>
      </c>
      <c r="P2154" s="287" t="str">
        <f t="shared" si="35"/>
        <v>GujRERA</v>
      </c>
    </row>
    <row r="2155" spans="1:16">
      <c r="A2155" s="129" t="str">
        <f>_xlfn.XLOOKUP(B2155,$S$9:$S$14,$T$9:$T$14)&amp;"-"&amp;
IF(E2155="Residential/Group Housing","RES",
IF(E2155="Commercial","COM",
IF(E2155="Mixed Development","MIX",
IF(E2155="Plotted Development","PLT","OTH"))))
&amp;"-"&amp;TEXT(COUNTIFS($B$9:B2155,B2155,$E$9:E2155,E2155),"0000")</f>
        <v>SUR-PLT-0422</v>
      </c>
      <c r="B2155" s="322" t="s">
        <v>34</v>
      </c>
      <c r="C2155" s="322" t="s">
        <v>34</v>
      </c>
      <c r="D2155" s="323" t="s">
        <v>2345</v>
      </c>
      <c r="E2155" s="132" t="s">
        <v>26</v>
      </c>
      <c r="F2155" s="97" t="str">
        <f ca="1">IF(OR(Market_Data[[#This Row],[Start Date]]="",Market_Data[[#This Row],[Completion Date]]=""),"Needs Validation",IF(Market_Data[[#This Row],[Start Date]]&gt;TODAY(),"Planned",IF(Market_Data[[#This Row],[Completion Date]]&lt;TODAY(),"Completed","Ongoing")))</f>
        <v>Ongoing</v>
      </c>
      <c r="G2155" s="324">
        <v>45161</v>
      </c>
      <c r="H2155" s="324">
        <v>47118</v>
      </c>
      <c r="I2155" s="325">
        <v>64100</v>
      </c>
      <c r="J215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155" s="133">
        <f>_xlfn.XLOOKUP(Market_Data[[#This Row],[Project Type]],tbl_assumptions_market[Project Category (RERA)],tbl_assumptions_market[Concrete Intensity
(m³ / sq m BUA)],"",0)</f>
        <v>0.18</v>
      </c>
      <c r="L2155" s="134">
        <f>ROUND(Market_Data[[#This Row],[Estimated Built Up Area (sq m)]]*Market_Data[[#This Row],[Concrete Intensity
(m³ / sq m)]],0)</f>
        <v>11538</v>
      </c>
      <c r="M2155" s="135">
        <f>_xlfn.XLOOKUP(Market_Data[[#This Row],[District]],tbl_district_price[District],tbl_district_price[Standard Price
(INR/m³)],"",0)</f>
        <v>6200</v>
      </c>
      <c r="N2155" s="364">
        <f>IF(OR(Market_Data[[#This Row],[Estimated Concrete Demand (m³)]]="",Market_Data[[#This Row],[Avg Price per (₹ / m³)]]=""),"",Market_Data[[#This Row],[Estimated Concrete Demand (m³)]]*Market_Data[[#This Row],[Avg Price per (₹ / m³)]]/10000000)</f>
        <v>7.1535599999999997</v>
      </c>
      <c r="O2155" s="97" t="str">
        <f>IF(Market_Data[[#This Row],[Estimated Concrete Demand (m³)]]="","",
IF(Market_Data[[#This Row],[Estimated Concrete Demand (m³)]]&lt;10000,"Small",
IF(Market_Data[[#This Row],[Estimated Concrete Demand (m³)]]&lt;25000,"Medium",
IF(Market_Data[[#This Row],[Estimated Concrete Demand (m³)]]&lt;100000,"Large","Mega"))))</f>
        <v>Medium</v>
      </c>
      <c r="P2155" s="287" t="str">
        <f t="shared" si="35"/>
        <v>GujRERA</v>
      </c>
    </row>
    <row r="2156" spans="1:16">
      <c r="A2156" s="129" t="str">
        <f>_xlfn.XLOOKUP(B2156,$S$9:$S$14,$T$9:$T$14)&amp;"-"&amp;
IF(E2156="Residential/Group Housing","RES",
IF(E2156="Commercial","COM",
IF(E2156="Mixed Development","MIX",
IF(E2156="Plotted Development","PLT","OTH"))))
&amp;"-"&amp;TEXT(COUNTIFS($B$9:B2156,B2156,$E$9:E2156,E2156),"0000")</f>
        <v>SUR-PLT-0423</v>
      </c>
      <c r="B2156" s="322" t="s">
        <v>34</v>
      </c>
      <c r="C2156" s="322" t="s">
        <v>34</v>
      </c>
      <c r="D2156" s="323" t="s">
        <v>2346</v>
      </c>
      <c r="E2156" s="132" t="s">
        <v>26</v>
      </c>
      <c r="F2156" s="97" t="str">
        <f ca="1">IF(OR(Market_Data[[#This Row],[Start Date]]="",Market_Data[[#This Row],[Completion Date]]=""),"Needs Validation",IF(Market_Data[[#This Row],[Start Date]]&gt;TODAY(),"Planned",IF(Market_Data[[#This Row],[Completion Date]]&lt;TODAY(),"Completed","Ongoing")))</f>
        <v>Completed</v>
      </c>
      <c r="G2156" s="324">
        <v>44408</v>
      </c>
      <c r="H2156" s="324">
        <v>45016</v>
      </c>
      <c r="I2156" s="325">
        <v>45800</v>
      </c>
      <c r="J215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156" s="133">
        <f>_xlfn.XLOOKUP(Market_Data[[#This Row],[Project Type]],tbl_assumptions_market[Project Category (RERA)],tbl_assumptions_market[Concrete Intensity
(m³ / sq m BUA)],"",0)</f>
        <v>0.18</v>
      </c>
      <c r="L2156" s="134">
        <f>ROUND(Market_Data[[#This Row],[Estimated Built Up Area (sq m)]]*Market_Data[[#This Row],[Concrete Intensity
(m³ / sq m)]],0)</f>
        <v>8244</v>
      </c>
      <c r="M2156" s="135">
        <f>_xlfn.XLOOKUP(Market_Data[[#This Row],[District]],tbl_district_price[District],tbl_district_price[Standard Price
(INR/m³)],"",0)</f>
        <v>6200</v>
      </c>
      <c r="N2156" s="364">
        <f>IF(OR(Market_Data[[#This Row],[Estimated Concrete Demand (m³)]]="",Market_Data[[#This Row],[Avg Price per (₹ / m³)]]=""),"",Market_Data[[#This Row],[Estimated Concrete Demand (m³)]]*Market_Data[[#This Row],[Avg Price per (₹ / m³)]]/10000000)</f>
        <v>5.1112799999999998</v>
      </c>
      <c r="O2156" s="97" t="str">
        <f>IF(Market_Data[[#This Row],[Estimated Concrete Demand (m³)]]="","",
IF(Market_Data[[#This Row],[Estimated Concrete Demand (m³)]]&lt;10000,"Small",
IF(Market_Data[[#This Row],[Estimated Concrete Demand (m³)]]&lt;25000,"Medium",
IF(Market_Data[[#This Row],[Estimated Concrete Demand (m³)]]&lt;100000,"Large","Mega"))))</f>
        <v>Small</v>
      </c>
      <c r="P2156" s="287" t="str">
        <f t="shared" si="35"/>
        <v>GujRERA</v>
      </c>
    </row>
    <row r="2157" spans="1:16">
      <c r="A2157" s="129" t="str">
        <f>_xlfn.XLOOKUP(B2157,$S$9:$S$14,$T$9:$T$14)&amp;"-"&amp;
IF(E2157="Residential/Group Housing","RES",
IF(E2157="Commercial","COM",
IF(E2157="Mixed Development","MIX",
IF(E2157="Plotted Development","PLT","OTH"))))
&amp;"-"&amp;TEXT(COUNTIFS($B$9:B2157,B2157,$E$9:E2157,E2157),"0000")</f>
        <v>SUR-COM-0335</v>
      </c>
      <c r="B2157" s="322" t="s">
        <v>34</v>
      </c>
      <c r="C2157" s="322" t="s">
        <v>34</v>
      </c>
      <c r="D2157" s="323" t="s">
        <v>2347</v>
      </c>
      <c r="E2157" s="132" t="s">
        <v>23</v>
      </c>
      <c r="F2157" s="97" t="str">
        <f ca="1">IF(OR(Market_Data[[#This Row],[Start Date]]="",Market_Data[[#This Row],[Completion Date]]=""),"Needs Validation",IF(Market_Data[[#This Row],[Start Date]]&gt;TODAY(),"Planned",IF(Market_Data[[#This Row],[Completion Date]]&lt;TODAY(),"Completed","Ongoing")))</f>
        <v>Ongoing</v>
      </c>
      <c r="G2157" s="324">
        <v>45163</v>
      </c>
      <c r="H2157" s="324">
        <v>47118</v>
      </c>
      <c r="I2157" s="325">
        <v>14600</v>
      </c>
      <c r="J215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57" s="133">
        <f>_xlfn.XLOOKUP(Market_Data[[#This Row],[Project Type]],tbl_assumptions_market[Project Category (RERA)],tbl_assumptions_market[Concrete Intensity
(m³ / sq m BUA)],"",0)</f>
        <v>0.5</v>
      </c>
      <c r="L2157" s="134">
        <f>ROUND(Market_Data[[#This Row],[Estimated Built Up Area (sq m)]]*Market_Data[[#This Row],[Concrete Intensity
(m³ / sq m)]],0)</f>
        <v>7300</v>
      </c>
      <c r="M2157" s="135">
        <f>_xlfn.XLOOKUP(Market_Data[[#This Row],[District]],tbl_district_price[District],tbl_district_price[Standard Price
(INR/m³)],"",0)</f>
        <v>6200</v>
      </c>
      <c r="N2157" s="364">
        <f>IF(OR(Market_Data[[#This Row],[Estimated Concrete Demand (m³)]]="",Market_Data[[#This Row],[Avg Price per (₹ / m³)]]=""),"",Market_Data[[#This Row],[Estimated Concrete Demand (m³)]]*Market_Data[[#This Row],[Avg Price per (₹ / m³)]]/10000000)</f>
        <v>4.5259999999999998</v>
      </c>
      <c r="O2157" s="97" t="str">
        <f>IF(Market_Data[[#This Row],[Estimated Concrete Demand (m³)]]="","",
IF(Market_Data[[#This Row],[Estimated Concrete Demand (m³)]]&lt;10000,"Small",
IF(Market_Data[[#This Row],[Estimated Concrete Demand (m³)]]&lt;25000,"Medium",
IF(Market_Data[[#This Row],[Estimated Concrete Demand (m³)]]&lt;100000,"Large","Mega"))))</f>
        <v>Small</v>
      </c>
      <c r="P2157" s="287" t="str">
        <f t="shared" si="35"/>
        <v>GujRERA</v>
      </c>
    </row>
    <row r="2158" spans="1:16">
      <c r="A2158" s="129" t="str">
        <f>_xlfn.XLOOKUP(B2158,$S$9:$S$14,$T$9:$T$14)&amp;"-"&amp;
IF(E2158="Residential/Group Housing","RES",
IF(E2158="Commercial","COM",
IF(E2158="Mixed Development","MIX",
IF(E2158="Plotted Development","PLT","OTH"))))
&amp;"-"&amp;TEXT(COUNTIFS($B$9:B2158,B2158,$E$9:E2158,E2158),"0000")</f>
        <v>SUR-RES-0713</v>
      </c>
      <c r="B2158" s="322" t="s">
        <v>34</v>
      </c>
      <c r="C2158" s="322" t="s">
        <v>34</v>
      </c>
      <c r="D2158" s="323" t="s">
        <v>2348</v>
      </c>
      <c r="E2158" s="132" t="s">
        <v>24</v>
      </c>
      <c r="F2158" s="97" t="str">
        <f ca="1">IF(OR(Market_Data[[#This Row],[Start Date]]="",Market_Data[[#This Row],[Completion Date]]=""),"Needs Validation",IF(Market_Data[[#This Row],[Start Date]]&gt;TODAY(),"Planned",IF(Market_Data[[#This Row],[Completion Date]]&lt;TODAY(),"Completed","Ongoing")))</f>
        <v>Ongoing</v>
      </c>
      <c r="G2158" s="324">
        <v>44270</v>
      </c>
      <c r="H2158" s="324">
        <v>46752</v>
      </c>
      <c r="I2158" s="325">
        <v>15600</v>
      </c>
      <c r="J215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58" s="133">
        <f>_xlfn.XLOOKUP(Market_Data[[#This Row],[Project Type]],tbl_assumptions_market[Project Category (RERA)],tbl_assumptions_market[Concrete Intensity
(m³ / sq m BUA)],"",0)</f>
        <v>0.45</v>
      </c>
      <c r="L2158" s="134">
        <f>ROUND(Market_Data[[#This Row],[Estimated Built Up Area (sq m)]]*Market_Data[[#This Row],[Concrete Intensity
(m³ / sq m)]],0)</f>
        <v>7020</v>
      </c>
      <c r="M2158" s="135">
        <f>_xlfn.XLOOKUP(Market_Data[[#This Row],[District]],tbl_district_price[District],tbl_district_price[Standard Price
(INR/m³)],"",0)</f>
        <v>6200</v>
      </c>
      <c r="N2158" s="364">
        <f>IF(OR(Market_Data[[#This Row],[Estimated Concrete Demand (m³)]]="",Market_Data[[#This Row],[Avg Price per (₹ / m³)]]=""),"",Market_Data[[#This Row],[Estimated Concrete Demand (m³)]]*Market_Data[[#This Row],[Avg Price per (₹ / m³)]]/10000000)</f>
        <v>4.3524000000000003</v>
      </c>
      <c r="O2158" s="97" t="str">
        <f>IF(Market_Data[[#This Row],[Estimated Concrete Demand (m³)]]="","",
IF(Market_Data[[#This Row],[Estimated Concrete Demand (m³)]]&lt;10000,"Small",
IF(Market_Data[[#This Row],[Estimated Concrete Demand (m³)]]&lt;25000,"Medium",
IF(Market_Data[[#This Row],[Estimated Concrete Demand (m³)]]&lt;100000,"Large","Mega"))))</f>
        <v>Small</v>
      </c>
      <c r="P2158" s="287" t="str">
        <f t="shared" si="35"/>
        <v>GujRERA</v>
      </c>
    </row>
    <row r="2159" spans="1:16">
      <c r="A2159" s="129" t="str">
        <f>_xlfn.XLOOKUP(B2159,$S$9:$S$14,$T$9:$T$14)&amp;"-"&amp;
IF(E2159="Residential/Group Housing","RES",
IF(E2159="Commercial","COM",
IF(E2159="Mixed Development","MIX",
IF(E2159="Plotted Development","PLT","OTH"))))
&amp;"-"&amp;TEXT(COUNTIFS($B$9:B2159,B2159,$E$9:E2159,E2159),"0000")</f>
        <v>SUR-RES-0714</v>
      </c>
      <c r="B2159" s="322" t="s">
        <v>34</v>
      </c>
      <c r="C2159" s="322" t="s">
        <v>34</v>
      </c>
      <c r="D2159" s="323" t="s">
        <v>2349</v>
      </c>
      <c r="E2159" s="132" t="s">
        <v>24</v>
      </c>
      <c r="F2159" s="97" t="str">
        <f ca="1">IF(OR(Market_Data[[#This Row],[Start Date]]="",Market_Data[[#This Row],[Completion Date]]=""),"Needs Validation",IF(Market_Data[[#This Row],[Start Date]]&gt;TODAY(),"Planned",IF(Market_Data[[#This Row],[Completion Date]]&lt;TODAY(),"Completed","Ongoing")))</f>
        <v>Ongoing</v>
      </c>
      <c r="G2159" s="324">
        <v>45792</v>
      </c>
      <c r="H2159" s="324">
        <v>47998</v>
      </c>
      <c r="I2159" s="325">
        <v>43900</v>
      </c>
      <c r="J215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59" s="133">
        <f>_xlfn.XLOOKUP(Market_Data[[#This Row],[Project Type]],tbl_assumptions_market[Project Category (RERA)],tbl_assumptions_market[Concrete Intensity
(m³ / sq m BUA)],"",0)</f>
        <v>0.45</v>
      </c>
      <c r="L2159" s="134">
        <f>ROUND(Market_Data[[#This Row],[Estimated Built Up Area (sq m)]]*Market_Data[[#This Row],[Concrete Intensity
(m³ / sq m)]],0)</f>
        <v>19755</v>
      </c>
      <c r="M2159" s="135">
        <f>_xlfn.XLOOKUP(Market_Data[[#This Row],[District]],tbl_district_price[District],tbl_district_price[Standard Price
(INR/m³)],"",0)</f>
        <v>6200</v>
      </c>
      <c r="N2159" s="364">
        <f>IF(OR(Market_Data[[#This Row],[Estimated Concrete Demand (m³)]]="",Market_Data[[#This Row],[Avg Price per (₹ / m³)]]=""),"",Market_Data[[#This Row],[Estimated Concrete Demand (m³)]]*Market_Data[[#This Row],[Avg Price per (₹ / m³)]]/10000000)</f>
        <v>12.248100000000001</v>
      </c>
      <c r="O2159" s="97" t="str">
        <f>IF(Market_Data[[#This Row],[Estimated Concrete Demand (m³)]]="","",
IF(Market_Data[[#This Row],[Estimated Concrete Demand (m³)]]&lt;10000,"Small",
IF(Market_Data[[#This Row],[Estimated Concrete Demand (m³)]]&lt;25000,"Medium",
IF(Market_Data[[#This Row],[Estimated Concrete Demand (m³)]]&lt;100000,"Large","Mega"))))</f>
        <v>Medium</v>
      </c>
      <c r="P2159" s="287" t="str">
        <f t="shared" si="35"/>
        <v>GujRERA</v>
      </c>
    </row>
    <row r="2160" spans="1:16">
      <c r="A2160" s="129" t="str">
        <f>_xlfn.XLOOKUP(B2160,$S$9:$S$14,$T$9:$T$14)&amp;"-"&amp;
IF(E2160="Residential/Group Housing","RES",
IF(E2160="Commercial","COM",
IF(E2160="Mixed Development","MIX",
IF(E2160="Plotted Development","PLT","OTH"))))
&amp;"-"&amp;TEXT(COUNTIFS($B$9:B2160,B2160,$E$9:E2160,E2160),"0000")</f>
        <v>SUR-MIX-0370</v>
      </c>
      <c r="B2160" s="322" t="s">
        <v>34</v>
      </c>
      <c r="C2160" s="322" t="s">
        <v>34</v>
      </c>
      <c r="D2160" s="323" t="s">
        <v>2350</v>
      </c>
      <c r="E2160" s="132" t="s">
        <v>25</v>
      </c>
      <c r="F2160" s="97" t="str">
        <f ca="1">IF(OR(Market_Data[[#This Row],[Start Date]]="",Market_Data[[#This Row],[Completion Date]]=""),"Needs Validation",IF(Market_Data[[#This Row],[Start Date]]&gt;TODAY(),"Planned",IF(Market_Data[[#This Row],[Completion Date]]&lt;TODAY(),"Completed","Ongoing")))</f>
        <v>Completed</v>
      </c>
      <c r="G2160" s="324">
        <v>42836</v>
      </c>
      <c r="H2160" s="324">
        <v>44377</v>
      </c>
      <c r="I2160" s="325">
        <v>16500</v>
      </c>
      <c r="J216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60" s="133">
        <f>_xlfn.XLOOKUP(Market_Data[[#This Row],[Project Type]],tbl_assumptions_market[Project Category (RERA)],tbl_assumptions_market[Concrete Intensity
(m³ / sq m BUA)],"",0)</f>
        <v>0.42</v>
      </c>
      <c r="L2160" s="134">
        <f>ROUND(Market_Data[[#This Row],[Estimated Built Up Area (sq m)]]*Market_Data[[#This Row],[Concrete Intensity
(m³ / sq m)]],0)</f>
        <v>6930</v>
      </c>
      <c r="M2160" s="135">
        <f>_xlfn.XLOOKUP(Market_Data[[#This Row],[District]],tbl_district_price[District],tbl_district_price[Standard Price
(INR/m³)],"",0)</f>
        <v>6200</v>
      </c>
      <c r="N2160" s="364">
        <f>IF(OR(Market_Data[[#This Row],[Estimated Concrete Demand (m³)]]="",Market_Data[[#This Row],[Avg Price per (₹ / m³)]]=""),"",Market_Data[[#This Row],[Estimated Concrete Demand (m³)]]*Market_Data[[#This Row],[Avg Price per (₹ / m³)]]/10000000)</f>
        <v>4.2965999999999998</v>
      </c>
      <c r="O2160" s="97" t="str">
        <f>IF(Market_Data[[#This Row],[Estimated Concrete Demand (m³)]]="","",
IF(Market_Data[[#This Row],[Estimated Concrete Demand (m³)]]&lt;10000,"Small",
IF(Market_Data[[#This Row],[Estimated Concrete Demand (m³)]]&lt;25000,"Medium",
IF(Market_Data[[#This Row],[Estimated Concrete Demand (m³)]]&lt;100000,"Large","Mega"))))</f>
        <v>Small</v>
      </c>
      <c r="P2160" s="287" t="str">
        <f t="shared" si="35"/>
        <v>GujRERA</v>
      </c>
    </row>
    <row r="2161" spans="1:16">
      <c r="A2161" s="129" t="str">
        <f>_xlfn.XLOOKUP(B2161,$S$9:$S$14,$T$9:$T$14)&amp;"-"&amp;
IF(E2161="Residential/Group Housing","RES",
IF(E2161="Commercial","COM",
IF(E2161="Mixed Development","MIX",
IF(E2161="Plotted Development","PLT","OTH"))))
&amp;"-"&amp;TEXT(COUNTIFS($B$9:B2161,B2161,$E$9:E2161,E2161),"0000")</f>
        <v>SUR-RES-0715</v>
      </c>
      <c r="B2161" s="322" t="s">
        <v>34</v>
      </c>
      <c r="C2161" s="322" t="s">
        <v>34</v>
      </c>
      <c r="D2161" s="323" t="s">
        <v>2351</v>
      </c>
      <c r="E2161" s="132" t="s">
        <v>24</v>
      </c>
      <c r="F2161" s="97" t="str">
        <f ca="1">IF(OR(Market_Data[[#This Row],[Start Date]]="",Market_Data[[#This Row],[Completion Date]]=""),"Needs Validation",IF(Market_Data[[#This Row],[Start Date]]&gt;TODAY(),"Planned",IF(Market_Data[[#This Row],[Completion Date]]&lt;TODAY(),"Completed","Ongoing")))</f>
        <v>Ongoing</v>
      </c>
      <c r="G2161" s="324">
        <v>45149</v>
      </c>
      <c r="H2161" s="324">
        <v>47483</v>
      </c>
      <c r="I2161" s="325">
        <v>30100</v>
      </c>
      <c r="J216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61" s="133">
        <f>_xlfn.XLOOKUP(Market_Data[[#This Row],[Project Type]],tbl_assumptions_market[Project Category (RERA)],tbl_assumptions_market[Concrete Intensity
(m³ / sq m BUA)],"",0)</f>
        <v>0.45</v>
      </c>
      <c r="L2161" s="134">
        <f>ROUND(Market_Data[[#This Row],[Estimated Built Up Area (sq m)]]*Market_Data[[#This Row],[Concrete Intensity
(m³ / sq m)]],0)</f>
        <v>13545</v>
      </c>
      <c r="M2161" s="135">
        <f>_xlfn.XLOOKUP(Market_Data[[#This Row],[District]],tbl_district_price[District],tbl_district_price[Standard Price
(INR/m³)],"",0)</f>
        <v>6200</v>
      </c>
      <c r="N2161" s="364">
        <f>IF(OR(Market_Data[[#This Row],[Estimated Concrete Demand (m³)]]="",Market_Data[[#This Row],[Avg Price per (₹ / m³)]]=""),"",Market_Data[[#This Row],[Estimated Concrete Demand (m³)]]*Market_Data[[#This Row],[Avg Price per (₹ / m³)]]/10000000)</f>
        <v>8.3978999999999999</v>
      </c>
      <c r="O2161" s="97" t="str">
        <f>IF(Market_Data[[#This Row],[Estimated Concrete Demand (m³)]]="","",
IF(Market_Data[[#This Row],[Estimated Concrete Demand (m³)]]&lt;10000,"Small",
IF(Market_Data[[#This Row],[Estimated Concrete Demand (m³)]]&lt;25000,"Medium",
IF(Market_Data[[#This Row],[Estimated Concrete Demand (m³)]]&lt;100000,"Large","Mega"))))</f>
        <v>Medium</v>
      </c>
      <c r="P2161" s="287" t="str">
        <f t="shared" si="35"/>
        <v>GujRERA</v>
      </c>
    </row>
    <row r="2162" spans="1:16">
      <c r="A2162" s="129" t="str">
        <f>_xlfn.XLOOKUP(B2162,$S$9:$S$14,$T$9:$T$14)&amp;"-"&amp;
IF(E2162="Residential/Group Housing","RES",
IF(E2162="Commercial","COM",
IF(E2162="Mixed Development","MIX",
IF(E2162="Plotted Development","PLT","OTH"))))
&amp;"-"&amp;TEXT(COUNTIFS($B$9:B2162,B2162,$E$9:E2162,E2162),"0000")</f>
        <v>SUR-RES-0716</v>
      </c>
      <c r="B2162" s="322" t="s">
        <v>34</v>
      </c>
      <c r="C2162" s="322" t="s">
        <v>34</v>
      </c>
      <c r="D2162" s="323" t="s">
        <v>2352</v>
      </c>
      <c r="E2162" s="132" t="s">
        <v>24</v>
      </c>
      <c r="F2162" s="97" t="str">
        <f ca="1">IF(OR(Market_Data[[#This Row],[Start Date]]="",Market_Data[[#This Row],[Completion Date]]=""),"Needs Validation",IF(Market_Data[[#This Row],[Start Date]]&gt;TODAY(),"Planned",IF(Market_Data[[#This Row],[Completion Date]]&lt;TODAY(),"Completed","Ongoing")))</f>
        <v>Completed</v>
      </c>
      <c r="G2162" s="324">
        <v>41738</v>
      </c>
      <c r="H2162" s="324">
        <v>45138</v>
      </c>
      <c r="I2162" s="325">
        <v>12500</v>
      </c>
      <c r="J216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62" s="133">
        <f>_xlfn.XLOOKUP(Market_Data[[#This Row],[Project Type]],tbl_assumptions_market[Project Category (RERA)],tbl_assumptions_market[Concrete Intensity
(m³ / sq m BUA)],"",0)</f>
        <v>0.45</v>
      </c>
      <c r="L2162" s="134">
        <f>ROUND(Market_Data[[#This Row],[Estimated Built Up Area (sq m)]]*Market_Data[[#This Row],[Concrete Intensity
(m³ / sq m)]],0)</f>
        <v>5625</v>
      </c>
      <c r="M2162" s="135">
        <f>_xlfn.XLOOKUP(Market_Data[[#This Row],[District]],tbl_district_price[District],tbl_district_price[Standard Price
(INR/m³)],"",0)</f>
        <v>6200</v>
      </c>
      <c r="N2162" s="364">
        <f>IF(OR(Market_Data[[#This Row],[Estimated Concrete Demand (m³)]]="",Market_Data[[#This Row],[Avg Price per (₹ / m³)]]=""),"",Market_Data[[#This Row],[Estimated Concrete Demand (m³)]]*Market_Data[[#This Row],[Avg Price per (₹ / m³)]]/10000000)</f>
        <v>3.4874999999999998</v>
      </c>
      <c r="O2162" s="97" t="str">
        <f>IF(Market_Data[[#This Row],[Estimated Concrete Demand (m³)]]="","",
IF(Market_Data[[#This Row],[Estimated Concrete Demand (m³)]]&lt;10000,"Small",
IF(Market_Data[[#This Row],[Estimated Concrete Demand (m³)]]&lt;25000,"Medium",
IF(Market_Data[[#This Row],[Estimated Concrete Demand (m³)]]&lt;100000,"Large","Mega"))))</f>
        <v>Small</v>
      </c>
      <c r="P2162" s="287" t="str">
        <f t="shared" si="35"/>
        <v>GujRERA</v>
      </c>
    </row>
    <row r="2163" spans="1:16">
      <c r="A2163" s="129" t="str">
        <f>_xlfn.XLOOKUP(B2163,$S$9:$S$14,$T$9:$T$14)&amp;"-"&amp;
IF(E2163="Residential/Group Housing","RES",
IF(E2163="Commercial","COM",
IF(E2163="Mixed Development","MIX",
IF(E2163="Plotted Development","PLT","OTH"))))
&amp;"-"&amp;TEXT(COUNTIFS($B$9:B2163,B2163,$E$9:E2163,E2163),"0000")</f>
        <v>SUR-RES-0717</v>
      </c>
      <c r="B2163" s="322" t="s">
        <v>34</v>
      </c>
      <c r="C2163" s="322" t="s">
        <v>34</v>
      </c>
      <c r="D2163" s="323" t="s">
        <v>2353</v>
      </c>
      <c r="E2163" s="132" t="s">
        <v>24</v>
      </c>
      <c r="F2163" s="97" t="str">
        <f ca="1">IF(OR(Market_Data[[#This Row],[Start Date]]="",Market_Data[[#This Row],[Completion Date]]=""),"Needs Validation",IF(Market_Data[[#This Row],[Start Date]]&gt;TODAY(),"Planned",IF(Market_Data[[#This Row],[Completion Date]]&lt;TODAY(),"Completed","Ongoing")))</f>
        <v>Ongoing</v>
      </c>
      <c r="G2163" s="324">
        <v>45184</v>
      </c>
      <c r="H2163" s="324">
        <v>47483</v>
      </c>
      <c r="I2163" s="325">
        <v>27400</v>
      </c>
      <c r="J216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63" s="133">
        <f>_xlfn.XLOOKUP(Market_Data[[#This Row],[Project Type]],tbl_assumptions_market[Project Category (RERA)],tbl_assumptions_market[Concrete Intensity
(m³ / sq m BUA)],"",0)</f>
        <v>0.45</v>
      </c>
      <c r="L2163" s="134">
        <f>ROUND(Market_Data[[#This Row],[Estimated Built Up Area (sq m)]]*Market_Data[[#This Row],[Concrete Intensity
(m³ / sq m)]],0)</f>
        <v>12330</v>
      </c>
      <c r="M2163" s="135">
        <f>_xlfn.XLOOKUP(Market_Data[[#This Row],[District]],tbl_district_price[District],tbl_district_price[Standard Price
(INR/m³)],"",0)</f>
        <v>6200</v>
      </c>
      <c r="N2163" s="364">
        <f>IF(OR(Market_Data[[#This Row],[Estimated Concrete Demand (m³)]]="",Market_Data[[#This Row],[Avg Price per (₹ / m³)]]=""),"",Market_Data[[#This Row],[Estimated Concrete Demand (m³)]]*Market_Data[[#This Row],[Avg Price per (₹ / m³)]]/10000000)</f>
        <v>7.6445999999999996</v>
      </c>
      <c r="O2163" s="97" t="str">
        <f>IF(Market_Data[[#This Row],[Estimated Concrete Demand (m³)]]="","",
IF(Market_Data[[#This Row],[Estimated Concrete Demand (m³)]]&lt;10000,"Small",
IF(Market_Data[[#This Row],[Estimated Concrete Demand (m³)]]&lt;25000,"Medium",
IF(Market_Data[[#This Row],[Estimated Concrete Demand (m³)]]&lt;100000,"Large","Mega"))))</f>
        <v>Medium</v>
      </c>
      <c r="P2163" s="287" t="str">
        <f t="shared" si="35"/>
        <v>GujRERA</v>
      </c>
    </row>
    <row r="2164" spans="1:16">
      <c r="A2164" s="129" t="str">
        <f>_xlfn.XLOOKUP(B2164,$S$9:$S$14,$T$9:$T$14)&amp;"-"&amp;
IF(E2164="Residential/Group Housing","RES",
IF(E2164="Commercial","COM",
IF(E2164="Mixed Development","MIX",
IF(E2164="Plotted Development","PLT","OTH"))))
&amp;"-"&amp;TEXT(COUNTIFS($B$9:B2164,B2164,$E$9:E2164,E2164),"0000")</f>
        <v>SUR-MIX-0371</v>
      </c>
      <c r="B2164" s="322" t="s">
        <v>34</v>
      </c>
      <c r="C2164" s="322" t="s">
        <v>34</v>
      </c>
      <c r="D2164" s="323" t="s">
        <v>2354</v>
      </c>
      <c r="E2164" s="132" t="s">
        <v>25</v>
      </c>
      <c r="F2164" s="97" t="str">
        <f ca="1">IF(OR(Market_Data[[#This Row],[Start Date]]="",Market_Data[[#This Row],[Completion Date]]=""),"Needs Validation",IF(Market_Data[[#This Row],[Start Date]]&gt;TODAY(),"Planned",IF(Market_Data[[#This Row],[Completion Date]]&lt;TODAY(),"Completed","Ongoing")))</f>
        <v>Ongoing</v>
      </c>
      <c r="G2164" s="324">
        <v>44941</v>
      </c>
      <c r="H2164" s="324">
        <v>47483</v>
      </c>
      <c r="I2164" s="325">
        <v>4500</v>
      </c>
      <c r="J216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164" s="133">
        <f>_xlfn.XLOOKUP(Market_Data[[#This Row],[Project Type]],tbl_assumptions_market[Project Category (RERA)],tbl_assumptions_market[Concrete Intensity
(m³ / sq m BUA)],"",0)</f>
        <v>0.42</v>
      </c>
      <c r="L2164" s="134">
        <f>ROUND(Market_Data[[#This Row],[Estimated Built Up Area (sq m)]]*Market_Data[[#This Row],[Concrete Intensity
(m³ / sq m)]],0)</f>
        <v>1890</v>
      </c>
      <c r="M2164" s="135">
        <f>_xlfn.XLOOKUP(Market_Data[[#This Row],[District]],tbl_district_price[District],tbl_district_price[Standard Price
(INR/m³)],"",0)</f>
        <v>6200</v>
      </c>
      <c r="N2164" s="364">
        <f>IF(OR(Market_Data[[#This Row],[Estimated Concrete Demand (m³)]]="",Market_Data[[#This Row],[Avg Price per (₹ / m³)]]=""),"",Market_Data[[#This Row],[Estimated Concrete Demand (m³)]]*Market_Data[[#This Row],[Avg Price per (₹ / m³)]]/10000000)</f>
        <v>1.1718</v>
      </c>
      <c r="O2164" s="97" t="str">
        <f>IF(Market_Data[[#This Row],[Estimated Concrete Demand (m³)]]="","",
IF(Market_Data[[#This Row],[Estimated Concrete Demand (m³)]]&lt;10000,"Small",
IF(Market_Data[[#This Row],[Estimated Concrete Demand (m³)]]&lt;25000,"Medium",
IF(Market_Data[[#This Row],[Estimated Concrete Demand (m³)]]&lt;100000,"Large","Mega"))))</f>
        <v>Small</v>
      </c>
      <c r="P2164" s="287" t="str">
        <f t="shared" si="35"/>
        <v>GujRERA</v>
      </c>
    </row>
    <row r="2165" spans="1:16">
      <c r="A2165" s="129" t="str">
        <f>_xlfn.XLOOKUP(B2165,$S$9:$S$14,$T$9:$T$14)&amp;"-"&amp;
IF(E2165="Residential/Group Housing","RES",
IF(E2165="Commercial","COM",
IF(E2165="Mixed Development","MIX",
IF(E2165="Plotted Development","PLT","OTH"))))
&amp;"-"&amp;TEXT(COUNTIFS($B$9:B2165,B2165,$E$9:E2165,E2165),"0000")</f>
        <v>SUR-MIX-0372</v>
      </c>
      <c r="B2165" s="322" t="s">
        <v>34</v>
      </c>
      <c r="C2165" s="322" t="s">
        <v>34</v>
      </c>
      <c r="D2165" s="323" t="s">
        <v>2355</v>
      </c>
      <c r="E2165" s="132" t="s">
        <v>25</v>
      </c>
      <c r="F2165" s="97" t="str">
        <f ca="1">IF(OR(Market_Data[[#This Row],[Start Date]]="",Market_Data[[#This Row],[Completion Date]]=""),"Needs Validation",IF(Market_Data[[#This Row],[Start Date]]&gt;TODAY(),"Planned",IF(Market_Data[[#This Row],[Completion Date]]&lt;TODAY(),"Completed","Ongoing")))</f>
        <v>Completed</v>
      </c>
      <c r="G2165" s="324">
        <v>42736</v>
      </c>
      <c r="H2165" s="324">
        <v>44984</v>
      </c>
      <c r="I2165" s="325">
        <v>4100</v>
      </c>
      <c r="J216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165" s="133">
        <f>_xlfn.XLOOKUP(Market_Data[[#This Row],[Project Type]],tbl_assumptions_market[Project Category (RERA)],tbl_assumptions_market[Concrete Intensity
(m³ / sq m BUA)],"",0)</f>
        <v>0.42</v>
      </c>
      <c r="L2165" s="134">
        <f>ROUND(Market_Data[[#This Row],[Estimated Built Up Area (sq m)]]*Market_Data[[#This Row],[Concrete Intensity
(m³ / sq m)]],0)</f>
        <v>1722</v>
      </c>
      <c r="M2165" s="135">
        <f>_xlfn.XLOOKUP(Market_Data[[#This Row],[District]],tbl_district_price[District],tbl_district_price[Standard Price
(INR/m³)],"",0)</f>
        <v>6200</v>
      </c>
      <c r="N2165" s="364">
        <f>IF(OR(Market_Data[[#This Row],[Estimated Concrete Demand (m³)]]="",Market_Data[[#This Row],[Avg Price per (₹ / m³)]]=""),"",Market_Data[[#This Row],[Estimated Concrete Demand (m³)]]*Market_Data[[#This Row],[Avg Price per (₹ / m³)]]/10000000)</f>
        <v>1.0676399999999999</v>
      </c>
      <c r="O2165" s="97" t="str">
        <f>IF(Market_Data[[#This Row],[Estimated Concrete Demand (m³)]]="","",
IF(Market_Data[[#This Row],[Estimated Concrete Demand (m³)]]&lt;10000,"Small",
IF(Market_Data[[#This Row],[Estimated Concrete Demand (m³)]]&lt;25000,"Medium",
IF(Market_Data[[#This Row],[Estimated Concrete Demand (m³)]]&lt;100000,"Large","Mega"))))</f>
        <v>Small</v>
      </c>
      <c r="P2165" s="287" t="str">
        <f t="shared" si="35"/>
        <v>GujRERA</v>
      </c>
    </row>
    <row r="2166" spans="1:16">
      <c r="A2166" s="129" t="str">
        <f>_xlfn.XLOOKUP(B2166,$S$9:$S$14,$T$9:$T$14)&amp;"-"&amp;
IF(E2166="Residential/Group Housing","RES",
IF(E2166="Commercial","COM",
IF(E2166="Mixed Development","MIX",
IF(E2166="Plotted Development","PLT","OTH"))))
&amp;"-"&amp;TEXT(COUNTIFS($B$9:B2166,B2166,$E$9:E2166,E2166),"0000")</f>
        <v>SUR-RES-0718</v>
      </c>
      <c r="B2166" s="322" t="s">
        <v>34</v>
      </c>
      <c r="C2166" s="322" t="s">
        <v>34</v>
      </c>
      <c r="D2166" s="323" t="s">
        <v>2356</v>
      </c>
      <c r="E2166" s="132" t="s">
        <v>24</v>
      </c>
      <c r="F2166" s="97" t="str">
        <f ca="1">IF(OR(Market_Data[[#This Row],[Start Date]]="",Market_Data[[#This Row],[Completion Date]]=""),"Needs Validation",IF(Market_Data[[#This Row],[Start Date]]&gt;TODAY(),"Planned",IF(Market_Data[[#This Row],[Completion Date]]&lt;TODAY(),"Completed","Ongoing")))</f>
        <v>Completed</v>
      </c>
      <c r="G2166" s="324">
        <v>43115</v>
      </c>
      <c r="H2166" s="324">
        <v>45107</v>
      </c>
      <c r="I2166" s="325">
        <v>53400</v>
      </c>
      <c r="J216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66" s="133">
        <f>_xlfn.XLOOKUP(Market_Data[[#This Row],[Project Type]],tbl_assumptions_market[Project Category (RERA)],tbl_assumptions_market[Concrete Intensity
(m³ / sq m BUA)],"",0)</f>
        <v>0.45</v>
      </c>
      <c r="L2166" s="134">
        <f>ROUND(Market_Data[[#This Row],[Estimated Built Up Area (sq m)]]*Market_Data[[#This Row],[Concrete Intensity
(m³ / sq m)]],0)</f>
        <v>24030</v>
      </c>
      <c r="M2166" s="135">
        <f>_xlfn.XLOOKUP(Market_Data[[#This Row],[District]],tbl_district_price[District],tbl_district_price[Standard Price
(INR/m³)],"",0)</f>
        <v>6200</v>
      </c>
      <c r="N2166" s="364">
        <f>IF(OR(Market_Data[[#This Row],[Estimated Concrete Demand (m³)]]="",Market_Data[[#This Row],[Avg Price per (₹ / m³)]]=""),"",Market_Data[[#This Row],[Estimated Concrete Demand (m³)]]*Market_Data[[#This Row],[Avg Price per (₹ / m³)]]/10000000)</f>
        <v>14.8986</v>
      </c>
      <c r="O2166" s="97" t="str">
        <f>IF(Market_Data[[#This Row],[Estimated Concrete Demand (m³)]]="","",
IF(Market_Data[[#This Row],[Estimated Concrete Demand (m³)]]&lt;10000,"Small",
IF(Market_Data[[#This Row],[Estimated Concrete Demand (m³)]]&lt;25000,"Medium",
IF(Market_Data[[#This Row],[Estimated Concrete Demand (m³)]]&lt;100000,"Large","Mega"))))</f>
        <v>Medium</v>
      </c>
      <c r="P2166" s="287" t="str">
        <f t="shared" si="35"/>
        <v>GujRERA</v>
      </c>
    </row>
    <row r="2167" spans="1:16">
      <c r="A2167" s="129" t="str">
        <f>_xlfn.XLOOKUP(B2167,$S$9:$S$14,$T$9:$T$14)&amp;"-"&amp;
IF(E2167="Residential/Group Housing","RES",
IF(E2167="Commercial","COM",
IF(E2167="Mixed Development","MIX",
IF(E2167="Plotted Development","PLT","OTH"))))
&amp;"-"&amp;TEXT(COUNTIFS($B$9:B2167,B2167,$E$9:E2167,E2167),"0000")</f>
        <v>SUR-PLT-0424</v>
      </c>
      <c r="B2167" s="322" t="s">
        <v>34</v>
      </c>
      <c r="C2167" s="322" t="s">
        <v>34</v>
      </c>
      <c r="D2167" s="323" t="s">
        <v>2357</v>
      </c>
      <c r="E2167" s="132" t="s">
        <v>26</v>
      </c>
      <c r="F2167" s="97" t="str">
        <f ca="1">IF(OR(Market_Data[[#This Row],[Start Date]]="",Market_Data[[#This Row],[Completion Date]]=""),"Needs Validation",IF(Market_Data[[#This Row],[Start Date]]&gt;TODAY(),"Planned",IF(Market_Data[[#This Row],[Completion Date]]&lt;TODAY(),"Completed","Ongoing")))</f>
        <v>Ongoing</v>
      </c>
      <c r="G2167" s="324">
        <v>45412</v>
      </c>
      <c r="H2167" s="324">
        <v>47483</v>
      </c>
      <c r="I2167" s="325">
        <v>41400</v>
      </c>
      <c r="J216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167" s="133">
        <f>_xlfn.XLOOKUP(Market_Data[[#This Row],[Project Type]],tbl_assumptions_market[Project Category (RERA)],tbl_assumptions_market[Concrete Intensity
(m³ / sq m BUA)],"",0)</f>
        <v>0.18</v>
      </c>
      <c r="L2167" s="134">
        <f>ROUND(Market_Data[[#This Row],[Estimated Built Up Area (sq m)]]*Market_Data[[#This Row],[Concrete Intensity
(m³ / sq m)]],0)</f>
        <v>7452</v>
      </c>
      <c r="M2167" s="135">
        <f>_xlfn.XLOOKUP(Market_Data[[#This Row],[District]],tbl_district_price[District],tbl_district_price[Standard Price
(INR/m³)],"",0)</f>
        <v>6200</v>
      </c>
      <c r="N2167" s="364">
        <f>IF(OR(Market_Data[[#This Row],[Estimated Concrete Demand (m³)]]="",Market_Data[[#This Row],[Avg Price per (₹ / m³)]]=""),"",Market_Data[[#This Row],[Estimated Concrete Demand (m³)]]*Market_Data[[#This Row],[Avg Price per (₹ / m³)]]/10000000)</f>
        <v>4.6202399999999999</v>
      </c>
      <c r="O2167" s="97" t="str">
        <f>IF(Market_Data[[#This Row],[Estimated Concrete Demand (m³)]]="","",
IF(Market_Data[[#This Row],[Estimated Concrete Demand (m³)]]&lt;10000,"Small",
IF(Market_Data[[#This Row],[Estimated Concrete Demand (m³)]]&lt;25000,"Medium",
IF(Market_Data[[#This Row],[Estimated Concrete Demand (m³)]]&lt;100000,"Large","Mega"))))</f>
        <v>Small</v>
      </c>
      <c r="P2167" s="287" t="str">
        <f t="shared" si="35"/>
        <v>GujRERA</v>
      </c>
    </row>
    <row r="2168" spans="1:16">
      <c r="A2168" s="129" t="str">
        <f>_xlfn.XLOOKUP(B2168,$S$9:$S$14,$T$9:$T$14)&amp;"-"&amp;
IF(E2168="Residential/Group Housing","RES",
IF(E2168="Commercial","COM",
IF(E2168="Mixed Development","MIX",
IF(E2168="Plotted Development","PLT","OTH"))))
&amp;"-"&amp;TEXT(COUNTIFS($B$9:B2168,B2168,$E$9:E2168,E2168),"0000")</f>
        <v>SUR-PLT-0425</v>
      </c>
      <c r="B2168" s="322" t="s">
        <v>34</v>
      </c>
      <c r="C2168" s="322" t="s">
        <v>34</v>
      </c>
      <c r="D2168" s="323" t="s">
        <v>2358</v>
      </c>
      <c r="E2168" s="132" t="s">
        <v>26</v>
      </c>
      <c r="F2168" s="97" t="str">
        <f ca="1">IF(OR(Market_Data[[#This Row],[Start Date]]="",Market_Data[[#This Row],[Completion Date]]=""),"Needs Validation",IF(Market_Data[[#This Row],[Start Date]]&gt;TODAY(),"Planned",IF(Market_Data[[#This Row],[Completion Date]]&lt;TODAY(),"Completed","Ongoing")))</f>
        <v>Completed</v>
      </c>
      <c r="G2168" s="324">
        <v>44223</v>
      </c>
      <c r="H2168" s="324">
        <v>46022</v>
      </c>
      <c r="I2168" s="325">
        <v>35800</v>
      </c>
      <c r="J216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168" s="133">
        <f>_xlfn.XLOOKUP(Market_Data[[#This Row],[Project Type]],tbl_assumptions_market[Project Category (RERA)],tbl_assumptions_market[Concrete Intensity
(m³ / sq m BUA)],"",0)</f>
        <v>0.18</v>
      </c>
      <c r="L2168" s="134">
        <f>ROUND(Market_Data[[#This Row],[Estimated Built Up Area (sq m)]]*Market_Data[[#This Row],[Concrete Intensity
(m³ / sq m)]],0)</f>
        <v>6444</v>
      </c>
      <c r="M2168" s="135">
        <f>_xlfn.XLOOKUP(Market_Data[[#This Row],[District]],tbl_district_price[District],tbl_district_price[Standard Price
(INR/m³)],"",0)</f>
        <v>6200</v>
      </c>
      <c r="N2168" s="364">
        <f>IF(OR(Market_Data[[#This Row],[Estimated Concrete Demand (m³)]]="",Market_Data[[#This Row],[Avg Price per (₹ / m³)]]=""),"",Market_Data[[#This Row],[Estimated Concrete Demand (m³)]]*Market_Data[[#This Row],[Avg Price per (₹ / m³)]]/10000000)</f>
        <v>3.9952800000000002</v>
      </c>
      <c r="O2168" s="97" t="str">
        <f>IF(Market_Data[[#This Row],[Estimated Concrete Demand (m³)]]="","",
IF(Market_Data[[#This Row],[Estimated Concrete Demand (m³)]]&lt;10000,"Small",
IF(Market_Data[[#This Row],[Estimated Concrete Demand (m³)]]&lt;25000,"Medium",
IF(Market_Data[[#This Row],[Estimated Concrete Demand (m³)]]&lt;100000,"Large","Mega"))))</f>
        <v>Small</v>
      </c>
      <c r="P2168" s="287" t="str">
        <f t="shared" si="35"/>
        <v>GujRERA</v>
      </c>
    </row>
    <row r="2169" spans="1:16">
      <c r="A2169" s="129" t="str">
        <f>_xlfn.XLOOKUP(B2169,$S$9:$S$14,$T$9:$T$14)&amp;"-"&amp;
IF(E2169="Residential/Group Housing","RES",
IF(E2169="Commercial","COM",
IF(E2169="Mixed Development","MIX",
IF(E2169="Plotted Development","PLT","OTH"))))
&amp;"-"&amp;TEXT(COUNTIFS($B$9:B2169,B2169,$E$9:E2169,E2169),"0000")</f>
        <v>SUR-PLT-0426</v>
      </c>
      <c r="B2169" s="322" t="s">
        <v>34</v>
      </c>
      <c r="C2169" s="322" t="s">
        <v>34</v>
      </c>
      <c r="D2169" s="323" t="s">
        <v>2359</v>
      </c>
      <c r="E2169" s="132" t="s">
        <v>26</v>
      </c>
      <c r="F2169" s="97" t="str">
        <f ca="1">IF(OR(Market_Data[[#This Row],[Start Date]]="",Market_Data[[#This Row],[Completion Date]]=""),"Needs Validation",IF(Market_Data[[#This Row],[Start Date]]&gt;TODAY(),"Planned",IF(Market_Data[[#This Row],[Completion Date]]&lt;TODAY(),"Completed","Ongoing")))</f>
        <v>Completed</v>
      </c>
      <c r="G2169" s="324">
        <v>45366</v>
      </c>
      <c r="H2169" s="324">
        <v>45747</v>
      </c>
      <c r="I2169" s="325">
        <v>18500</v>
      </c>
      <c r="J216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69" s="133">
        <f>_xlfn.XLOOKUP(Market_Data[[#This Row],[Project Type]],tbl_assumptions_market[Project Category (RERA)],tbl_assumptions_market[Concrete Intensity
(m³ / sq m BUA)],"",0)</f>
        <v>0.18</v>
      </c>
      <c r="L2169" s="134">
        <f>ROUND(Market_Data[[#This Row],[Estimated Built Up Area (sq m)]]*Market_Data[[#This Row],[Concrete Intensity
(m³ / sq m)]],0)</f>
        <v>3330</v>
      </c>
      <c r="M2169" s="135">
        <f>_xlfn.XLOOKUP(Market_Data[[#This Row],[District]],tbl_district_price[District],tbl_district_price[Standard Price
(INR/m³)],"",0)</f>
        <v>6200</v>
      </c>
      <c r="N2169" s="364">
        <f>IF(OR(Market_Data[[#This Row],[Estimated Concrete Demand (m³)]]="",Market_Data[[#This Row],[Avg Price per (₹ / m³)]]=""),"",Market_Data[[#This Row],[Estimated Concrete Demand (m³)]]*Market_Data[[#This Row],[Avg Price per (₹ / m³)]]/10000000)</f>
        <v>2.0646</v>
      </c>
      <c r="O2169" s="97" t="str">
        <f>IF(Market_Data[[#This Row],[Estimated Concrete Demand (m³)]]="","",
IF(Market_Data[[#This Row],[Estimated Concrete Demand (m³)]]&lt;10000,"Small",
IF(Market_Data[[#This Row],[Estimated Concrete Demand (m³)]]&lt;25000,"Medium",
IF(Market_Data[[#This Row],[Estimated Concrete Demand (m³)]]&lt;100000,"Large","Mega"))))</f>
        <v>Small</v>
      </c>
      <c r="P2169" s="287" t="str">
        <f t="shared" si="35"/>
        <v>GujRERA</v>
      </c>
    </row>
    <row r="2170" spans="1:16">
      <c r="A2170" s="129" t="str">
        <f>_xlfn.XLOOKUP(B2170,$S$9:$S$14,$T$9:$T$14)&amp;"-"&amp;
IF(E2170="Residential/Group Housing","RES",
IF(E2170="Commercial","COM",
IF(E2170="Mixed Development","MIX",
IF(E2170="Plotted Development","PLT","OTH"))))
&amp;"-"&amp;TEXT(COUNTIFS($B$9:B2170,B2170,$E$9:E2170,E2170),"0000")</f>
        <v>SUR-PLT-0427</v>
      </c>
      <c r="B2170" s="322" t="s">
        <v>34</v>
      </c>
      <c r="C2170" s="322" t="s">
        <v>34</v>
      </c>
      <c r="D2170" s="323" t="s">
        <v>2360</v>
      </c>
      <c r="E2170" s="132" t="s">
        <v>26</v>
      </c>
      <c r="F2170" s="97" t="str">
        <f ca="1">IF(OR(Market_Data[[#This Row],[Start Date]]="",Market_Data[[#This Row],[Completion Date]]=""),"Needs Validation",IF(Market_Data[[#This Row],[Start Date]]&gt;TODAY(),"Planned",IF(Market_Data[[#This Row],[Completion Date]]&lt;TODAY(),"Completed","Ongoing")))</f>
        <v>Ongoing</v>
      </c>
      <c r="G2170" s="324">
        <v>45819</v>
      </c>
      <c r="H2170" s="324">
        <v>46568</v>
      </c>
      <c r="I2170" s="325">
        <v>32400</v>
      </c>
      <c r="J217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170" s="133">
        <f>_xlfn.XLOOKUP(Market_Data[[#This Row],[Project Type]],tbl_assumptions_market[Project Category (RERA)],tbl_assumptions_market[Concrete Intensity
(m³ / sq m BUA)],"",0)</f>
        <v>0.18</v>
      </c>
      <c r="L2170" s="134">
        <f>ROUND(Market_Data[[#This Row],[Estimated Built Up Area (sq m)]]*Market_Data[[#This Row],[Concrete Intensity
(m³ / sq m)]],0)</f>
        <v>5832</v>
      </c>
      <c r="M2170" s="135">
        <f>_xlfn.XLOOKUP(Market_Data[[#This Row],[District]],tbl_district_price[District],tbl_district_price[Standard Price
(INR/m³)],"",0)</f>
        <v>6200</v>
      </c>
      <c r="N2170" s="364">
        <f>IF(OR(Market_Data[[#This Row],[Estimated Concrete Demand (m³)]]="",Market_Data[[#This Row],[Avg Price per (₹ / m³)]]=""),"",Market_Data[[#This Row],[Estimated Concrete Demand (m³)]]*Market_Data[[#This Row],[Avg Price per (₹ / m³)]]/10000000)</f>
        <v>3.6158399999999999</v>
      </c>
      <c r="O2170" s="97" t="str">
        <f>IF(Market_Data[[#This Row],[Estimated Concrete Demand (m³)]]="","",
IF(Market_Data[[#This Row],[Estimated Concrete Demand (m³)]]&lt;10000,"Small",
IF(Market_Data[[#This Row],[Estimated Concrete Demand (m³)]]&lt;25000,"Medium",
IF(Market_Data[[#This Row],[Estimated Concrete Demand (m³)]]&lt;100000,"Large","Mega"))))</f>
        <v>Small</v>
      </c>
      <c r="P2170" s="287" t="str">
        <f t="shared" si="35"/>
        <v>GujRERA</v>
      </c>
    </row>
    <row r="2171" spans="1:16">
      <c r="A2171" s="129" t="str">
        <f>_xlfn.XLOOKUP(B2171,$S$9:$S$14,$T$9:$T$14)&amp;"-"&amp;
IF(E2171="Residential/Group Housing","RES",
IF(E2171="Commercial","COM",
IF(E2171="Mixed Development","MIX",
IF(E2171="Plotted Development","PLT","OTH"))))
&amp;"-"&amp;TEXT(COUNTIFS($B$9:B2171,B2171,$E$9:E2171,E2171),"0000")</f>
        <v>SUR-RES-0719</v>
      </c>
      <c r="B2171" s="322" t="s">
        <v>34</v>
      </c>
      <c r="C2171" s="322" t="s">
        <v>34</v>
      </c>
      <c r="D2171" s="323" t="s">
        <v>2361</v>
      </c>
      <c r="E2171" s="132" t="s">
        <v>24</v>
      </c>
      <c r="F2171" s="97" t="str">
        <f ca="1">IF(OR(Market_Data[[#This Row],[Start Date]]="",Market_Data[[#This Row],[Completion Date]]=""),"Needs Validation",IF(Market_Data[[#This Row],[Start Date]]&gt;TODAY(),"Planned",IF(Market_Data[[#This Row],[Completion Date]]&lt;TODAY(),"Completed","Ongoing")))</f>
        <v>Completed</v>
      </c>
      <c r="G2171" s="324">
        <v>41866</v>
      </c>
      <c r="H2171" s="324">
        <v>43327</v>
      </c>
      <c r="I2171" s="325">
        <v>36900</v>
      </c>
      <c r="J217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71" s="133">
        <f>_xlfn.XLOOKUP(Market_Data[[#This Row],[Project Type]],tbl_assumptions_market[Project Category (RERA)],tbl_assumptions_market[Concrete Intensity
(m³ / sq m BUA)],"",0)</f>
        <v>0.45</v>
      </c>
      <c r="L2171" s="134">
        <f>ROUND(Market_Data[[#This Row],[Estimated Built Up Area (sq m)]]*Market_Data[[#This Row],[Concrete Intensity
(m³ / sq m)]],0)</f>
        <v>16605</v>
      </c>
      <c r="M2171" s="135">
        <f>_xlfn.XLOOKUP(Market_Data[[#This Row],[District]],tbl_district_price[District],tbl_district_price[Standard Price
(INR/m³)],"",0)</f>
        <v>6200</v>
      </c>
      <c r="N2171" s="364">
        <f>IF(OR(Market_Data[[#This Row],[Estimated Concrete Demand (m³)]]="",Market_Data[[#This Row],[Avg Price per (₹ / m³)]]=""),"",Market_Data[[#This Row],[Estimated Concrete Demand (m³)]]*Market_Data[[#This Row],[Avg Price per (₹ / m³)]]/10000000)</f>
        <v>10.2951</v>
      </c>
      <c r="O2171" s="97" t="str">
        <f>IF(Market_Data[[#This Row],[Estimated Concrete Demand (m³)]]="","",
IF(Market_Data[[#This Row],[Estimated Concrete Demand (m³)]]&lt;10000,"Small",
IF(Market_Data[[#This Row],[Estimated Concrete Demand (m³)]]&lt;25000,"Medium",
IF(Market_Data[[#This Row],[Estimated Concrete Demand (m³)]]&lt;100000,"Large","Mega"))))</f>
        <v>Medium</v>
      </c>
      <c r="P2171" s="287" t="str">
        <f t="shared" si="35"/>
        <v>GujRERA</v>
      </c>
    </row>
    <row r="2172" spans="1:16">
      <c r="A2172" s="129" t="str">
        <f>_xlfn.XLOOKUP(B2172,$S$9:$S$14,$T$9:$T$14)&amp;"-"&amp;
IF(E2172="Residential/Group Housing","RES",
IF(E2172="Commercial","COM",
IF(E2172="Mixed Development","MIX",
IF(E2172="Plotted Development","PLT","OTH"))))
&amp;"-"&amp;TEXT(COUNTIFS($B$9:B2172,B2172,$E$9:E2172,E2172),"0000")</f>
        <v>SUR-COM-0336</v>
      </c>
      <c r="B2172" s="322" t="s">
        <v>34</v>
      </c>
      <c r="C2172" s="322" t="s">
        <v>34</v>
      </c>
      <c r="D2172" s="323" t="s">
        <v>2362</v>
      </c>
      <c r="E2172" s="132" t="s">
        <v>23</v>
      </c>
      <c r="F2172" s="97" t="str">
        <f ca="1">IF(OR(Market_Data[[#This Row],[Start Date]]="",Market_Data[[#This Row],[Completion Date]]=""),"Needs Validation",IF(Market_Data[[#This Row],[Start Date]]&gt;TODAY(),"Planned",IF(Market_Data[[#This Row],[Completion Date]]&lt;TODAY(),"Completed","Ongoing")))</f>
        <v>Completed</v>
      </c>
      <c r="G2172" s="324">
        <v>42220</v>
      </c>
      <c r="H2172" s="324">
        <v>45352</v>
      </c>
      <c r="I2172" s="325">
        <v>9600</v>
      </c>
      <c r="J217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72" s="133">
        <f>_xlfn.XLOOKUP(Market_Data[[#This Row],[Project Type]],tbl_assumptions_market[Project Category (RERA)],tbl_assumptions_market[Concrete Intensity
(m³ / sq m BUA)],"",0)</f>
        <v>0.5</v>
      </c>
      <c r="L2172" s="134">
        <f>ROUND(Market_Data[[#This Row],[Estimated Built Up Area (sq m)]]*Market_Data[[#This Row],[Concrete Intensity
(m³ / sq m)]],0)</f>
        <v>4800</v>
      </c>
      <c r="M2172" s="135">
        <f>_xlfn.XLOOKUP(Market_Data[[#This Row],[District]],tbl_district_price[District],tbl_district_price[Standard Price
(INR/m³)],"",0)</f>
        <v>6200</v>
      </c>
      <c r="N2172" s="364">
        <f>IF(OR(Market_Data[[#This Row],[Estimated Concrete Demand (m³)]]="",Market_Data[[#This Row],[Avg Price per (₹ / m³)]]=""),"",Market_Data[[#This Row],[Estimated Concrete Demand (m³)]]*Market_Data[[#This Row],[Avg Price per (₹ / m³)]]/10000000)</f>
        <v>2.976</v>
      </c>
      <c r="O2172" s="97" t="str">
        <f>IF(Market_Data[[#This Row],[Estimated Concrete Demand (m³)]]="","",
IF(Market_Data[[#This Row],[Estimated Concrete Demand (m³)]]&lt;10000,"Small",
IF(Market_Data[[#This Row],[Estimated Concrete Demand (m³)]]&lt;25000,"Medium",
IF(Market_Data[[#This Row],[Estimated Concrete Demand (m³)]]&lt;100000,"Large","Mega"))))</f>
        <v>Small</v>
      </c>
      <c r="P2172" s="287" t="str">
        <f t="shared" si="35"/>
        <v>GujRERA</v>
      </c>
    </row>
    <row r="2173" spans="1:16">
      <c r="A2173" s="129" t="str">
        <f>_xlfn.XLOOKUP(B2173,$S$9:$S$14,$T$9:$T$14)&amp;"-"&amp;
IF(E2173="Residential/Group Housing","RES",
IF(E2173="Commercial","COM",
IF(E2173="Mixed Development","MIX",
IF(E2173="Plotted Development","PLT","OTH"))))
&amp;"-"&amp;TEXT(COUNTIFS($B$9:B2173,B2173,$E$9:E2173,E2173),"0000")</f>
        <v>SUR-COM-0337</v>
      </c>
      <c r="B2173" s="322" t="s">
        <v>34</v>
      </c>
      <c r="C2173" s="322" t="s">
        <v>34</v>
      </c>
      <c r="D2173" s="323" t="s">
        <v>2363</v>
      </c>
      <c r="E2173" s="132" t="s">
        <v>23</v>
      </c>
      <c r="F2173" s="97" t="str">
        <f ca="1">IF(OR(Market_Data[[#This Row],[Start Date]]="",Market_Data[[#This Row],[Completion Date]]=""),"Needs Validation",IF(Market_Data[[#This Row],[Start Date]]&gt;TODAY(),"Planned",IF(Market_Data[[#This Row],[Completion Date]]&lt;TODAY(),"Completed","Ongoing")))</f>
        <v>Completed</v>
      </c>
      <c r="G2173" s="324">
        <v>42430</v>
      </c>
      <c r="H2173" s="324">
        <v>43464</v>
      </c>
      <c r="I2173" s="325">
        <v>5500</v>
      </c>
      <c r="J217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73" s="133">
        <f>_xlfn.XLOOKUP(Market_Data[[#This Row],[Project Type]],tbl_assumptions_market[Project Category (RERA)],tbl_assumptions_market[Concrete Intensity
(m³ / sq m BUA)],"",0)</f>
        <v>0.5</v>
      </c>
      <c r="L2173" s="134">
        <f>ROUND(Market_Data[[#This Row],[Estimated Built Up Area (sq m)]]*Market_Data[[#This Row],[Concrete Intensity
(m³ / sq m)]],0)</f>
        <v>2750</v>
      </c>
      <c r="M2173" s="135">
        <f>_xlfn.XLOOKUP(Market_Data[[#This Row],[District]],tbl_district_price[District],tbl_district_price[Standard Price
(INR/m³)],"",0)</f>
        <v>6200</v>
      </c>
      <c r="N2173" s="364">
        <f>IF(OR(Market_Data[[#This Row],[Estimated Concrete Demand (m³)]]="",Market_Data[[#This Row],[Avg Price per (₹ / m³)]]=""),"",Market_Data[[#This Row],[Estimated Concrete Demand (m³)]]*Market_Data[[#This Row],[Avg Price per (₹ / m³)]]/10000000)</f>
        <v>1.7050000000000001</v>
      </c>
      <c r="O2173" s="97" t="str">
        <f>IF(Market_Data[[#This Row],[Estimated Concrete Demand (m³)]]="","",
IF(Market_Data[[#This Row],[Estimated Concrete Demand (m³)]]&lt;10000,"Small",
IF(Market_Data[[#This Row],[Estimated Concrete Demand (m³)]]&lt;25000,"Medium",
IF(Market_Data[[#This Row],[Estimated Concrete Demand (m³)]]&lt;100000,"Large","Mega"))))</f>
        <v>Small</v>
      </c>
      <c r="P2173" s="287" t="str">
        <f t="shared" si="35"/>
        <v>GujRERA</v>
      </c>
    </row>
    <row r="2174" spans="1:16">
      <c r="A2174" s="129" t="str">
        <f>_xlfn.XLOOKUP(B2174,$S$9:$S$14,$T$9:$T$14)&amp;"-"&amp;
IF(E2174="Residential/Group Housing","RES",
IF(E2174="Commercial","COM",
IF(E2174="Mixed Development","MIX",
IF(E2174="Plotted Development","PLT","OTH"))))
&amp;"-"&amp;TEXT(COUNTIFS($B$9:B2174,B2174,$E$9:E2174,E2174),"0000")</f>
        <v>SUR-PLT-0428</v>
      </c>
      <c r="B2174" s="322" t="s">
        <v>34</v>
      </c>
      <c r="C2174" s="322" t="s">
        <v>34</v>
      </c>
      <c r="D2174" s="323" t="s">
        <v>2364</v>
      </c>
      <c r="E2174" s="132" t="s">
        <v>26</v>
      </c>
      <c r="F2174" s="97" t="str">
        <f ca="1">IF(OR(Market_Data[[#This Row],[Start Date]]="",Market_Data[[#This Row],[Completion Date]]=""),"Needs Validation",IF(Market_Data[[#This Row],[Start Date]]&gt;TODAY(),"Planned",IF(Market_Data[[#This Row],[Completion Date]]&lt;TODAY(),"Completed","Ongoing")))</f>
        <v>Ongoing</v>
      </c>
      <c r="G2174" s="324">
        <v>45917</v>
      </c>
      <c r="H2174" s="324">
        <v>47848</v>
      </c>
      <c r="I2174" s="325">
        <v>29300</v>
      </c>
      <c r="J217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74" s="133">
        <f>_xlfn.XLOOKUP(Market_Data[[#This Row],[Project Type]],tbl_assumptions_market[Project Category (RERA)],tbl_assumptions_market[Concrete Intensity
(m³ / sq m BUA)],"",0)</f>
        <v>0.18</v>
      </c>
      <c r="L2174" s="134">
        <f>ROUND(Market_Data[[#This Row],[Estimated Built Up Area (sq m)]]*Market_Data[[#This Row],[Concrete Intensity
(m³ / sq m)]],0)</f>
        <v>5274</v>
      </c>
      <c r="M2174" s="135">
        <f>_xlfn.XLOOKUP(Market_Data[[#This Row],[District]],tbl_district_price[District],tbl_district_price[Standard Price
(INR/m³)],"",0)</f>
        <v>6200</v>
      </c>
      <c r="N2174" s="364">
        <f>IF(OR(Market_Data[[#This Row],[Estimated Concrete Demand (m³)]]="",Market_Data[[#This Row],[Avg Price per (₹ / m³)]]=""),"",Market_Data[[#This Row],[Estimated Concrete Demand (m³)]]*Market_Data[[#This Row],[Avg Price per (₹ / m³)]]/10000000)</f>
        <v>3.2698800000000001</v>
      </c>
      <c r="O2174" s="97" t="str">
        <f>IF(Market_Data[[#This Row],[Estimated Concrete Demand (m³)]]="","",
IF(Market_Data[[#This Row],[Estimated Concrete Demand (m³)]]&lt;10000,"Small",
IF(Market_Data[[#This Row],[Estimated Concrete Demand (m³)]]&lt;25000,"Medium",
IF(Market_Data[[#This Row],[Estimated Concrete Demand (m³)]]&lt;100000,"Large","Mega"))))</f>
        <v>Small</v>
      </c>
      <c r="P2174" s="287" t="str">
        <f t="shared" si="35"/>
        <v>GujRERA</v>
      </c>
    </row>
    <row r="2175" spans="1:16">
      <c r="A2175" s="129" t="str">
        <f>_xlfn.XLOOKUP(B2175,$S$9:$S$14,$T$9:$T$14)&amp;"-"&amp;
IF(E2175="Residential/Group Housing","RES",
IF(E2175="Commercial","COM",
IF(E2175="Mixed Development","MIX",
IF(E2175="Plotted Development","PLT","OTH"))))
&amp;"-"&amp;TEXT(COUNTIFS($B$9:B2175,B2175,$E$9:E2175,E2175),"0000")</f>
        <v>SUR-PLT-0429</v>
      </c>
      <c r="B2175" s="322" t="s">
        <v>34</v>
      </c>
      <c r="C2175" s="322" t="s">
        <v>34</v>
      </c>
      <c r="D2175" s="323" t="s">
        <v>2365</v>
      </c>
      <c r="E2175" s="132" t="s">
        <v>26</v>
      </c>
      <c r="F2175" s="97" t="str">
        <f ca="1">IF(OR(Market_Data[[#This Row],[Start Date]]="",Market_Data[[#This Row],[Completion Date]]=""),"Needs Validation",IF(Market_Data[[#This Row],[Start Date]]&gt;TODAY(),"Planned",IF(Market_Data[[#This Row],[Completion Date]]&lt;TODAY(),"Completed","Ongoing")))</f>
        <v>Ongoing</v>
      </c>
      <c r="G2175" s="324">
        <v>45845</v>
      </c>
      <c r="H2175" s="324">
        <v>47118</v>
      </c>
      <c r="I2175" s="325">
        <v>55100</v>
      </c>
      <c r="J217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175" s="133">
        <f>_xlfn.XLOOKUP(Market_Data[[#This Row],[Project Type]],tbl_assumptions_market[Project Category (RERA)],tbl_assumptions_market[Concrete Intensity
(m³ / sq m BUA)],"",0)</f>
        <v>0.18</v>
      </c>
      <c r="L2175" s="134">
        <f>ROUND(Market_Data[[#This Row],[Estimated Built Up Area (sq m)]]*Market_Data[[#This Row],[Concrete Intensity
(m³ / sq m)]],0)</f>
        <v>9918</v>
      </c>
      <c r="M2175" s="135">
        <f>_xlfn.XLOOKUP(Market_Data[[#This Row],[District]],tbl_district_price[District],tbl_district_price[Standard Price
(INR/m³)],"",0)</f>
        <v>6200</v>
      </c>
      <c r="N2175" s="364">
        <f>IF(OR(Market_Data[[#This Row],[Estimated Concrete Demand (m³)]]="",Market_Data[[#This Row],[Avg Price per (₹ / m³)]]=""),"",Market_Data[[#This Row],[Estimated Concrete Demand (m³)]]*Market_Data[[#This Row],[Avg Price per (₹ / m³)]]/10000000)</f>
        <v>6.1491600000000002</v>
      </c>
      <c r="O2175" s="97" t="str">
        <f>IF(Market_Data[[#This Row],[Estimated Concrete Demand (m³)]]="","",
IF(Market_Data[[#This Row],[Estimated Concrete Demand (m³)]]&lt;10000,"Small",
IF(Market_Data[[#This Row],[Estimated Concrete Demand (m³)]]&lt;25000,"Medium",
IF(Market_Data[[#This Row],[Estimated Concrete Demand (m³)]]&lt;100000,"Large","Mega"))))</f>
        <v>Small</v>
      </c>
      <c r="P2175" s="287" t="str">
        <f t="shared" si="35"/>
        <v>GujRERA</v>
      </c>
    </row>
    <row r="2176" spans="1:16">
      <c r="A2176" s="129" t="str">
        <f>_xlfn.XLOOKUP(B2176,$S$9:$S$14,$T$9:$T$14)&amp;"-"&amp;
IF(E2176="Residential/Group Housing","RES",
IF(E2176="Commercial","COM",
IF(E2176="Mixed Development","MIX",
IF(E2176="Plotted Development","PLT","OTH"))))
&amp;"-"&amp;TEXT(COUNTIFS($B$9:B2176,B2176,$E$9:E2176,E2176),"0000")</f>
        <v>SUR-PLT-0430</v>
      </c>
      <c r="B2176" s="322" t="s">
        <v>34</v>
      </c>
      <c r="C2176" s="322" t="s">
        <v>34</v>
      </c>
      <c r="D2176" s="323" t="s">
        <v>2366</v>
      </c>
      <c r="E2176" s="132" t="s">
        <v>26</v>
      </c>
      <c r="F2176" s="97" t="str">
        <f ca="1">IF(OR(Market_Data[[#This Row],[Start Date]]="",Market_Data[[#This Row],[Completion Date]]=""),"Needs Validation",IF(Market_Data[[#This Row],[Start Date]]&gt;TODAY(),"Planned",IF(Market_Data[[#This Row],[Completion Date]]&lt;TODAY(),"Completed","Ongoing")))</f>
        <v>Ongoing</v>
      </c>
      <c r="G2176" s="324">
        <v>46113</v>
      </c>
      <c r="H2176" s="324">
        <v>47483</v>
      </c>
      <c r="I2176" s="325">
        <v>13000</v>
      </c>
      <c r="J217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76" s="133">
        <f>_xlfn.XLOOKUP(Market_Data[[#This Row],[Project Type]],tbl_assumptions_market[Project Category (RERA)],tbl_assumptions_market[Concrete Intensity
(m³ / sq m BUA)],"",0)</f>
        <v>0.18</v>
      </c>
      <c r="L2176" s="134">
        <f>ROUND(Market_Data[[#This Row],[Estimated Built Up Area (sq m)]]*Market_Data[[#This Row],[Concrete Intensity
(m³ / sq m)]],0)</f>
        <v>2340</v>
      </c>
      <c r="M2176" s="135">
        <f>_xlfn.XLOOKUP(Market_Data[[#This Row],[District]],tbl_district_price[District],tbl_district_price[Standard Price
(INR/m³)],"",0)</f>
        <v>6200</v>
      </c>
      <c r="N2176" s="364">
        <f>IF(OR(Market_Data[[#This Row],[Estimated Concrete Demand (m³)]]="",Market_Data[[#This Row],[Avg Price per (₹ / m³)]]=""),"",Market_Data[[#This Row],[Estimated Concrete Demand (m³)]]*Market_Data[[#This Row],[Avg Price per (₹ / m³)]]/10000000)</f>
        <v>1.4508000000000001</v>
      </c>
      <c r="O2176" s="97" t="str">
        <f>IF(Market_Data[[#This Row],[Estimated Concrete Demand (m³)]]="","",
IF(Market_Data[[#This Row],[Estimated Concrete Demand (m³)]]&lt;10000,"Small",
IF(Market_Data[[#This Row],[Estimated Concrete Demand (m³)]]&lt;25000,"Medium",
IF(Market_Data[[#This Row],[Estimated Concrete Demand (m³)]]&lt;100000,"Large","Mega"))))</f>
        <v>Small</v>
      </c>
      <c r="P2176" s="287" t="str">
        <f t="shared" si="35"/>
        <v>GujRERA</v>
      </c>
    </row>
    <row r="2177" spans="1:16">
      <c r="A2177" s="129" t="str">
        <f>_xlfn.XLOOKUP(B2177,$S$9:$S$14,$T$9:$T$14)&amp;"-"&amp;
IF(E2177="Residential/Group Housing","RES",
IF(E2177="Commercial","COM",
IF(E2177="Mixed Development","MIX",
IF(E2177="Plotted Development","PLT","OTH"))))
&amp;"-"&amp;TEXT(COUNTIFS($B$9:B2177,B2177,$E$9:E2177,E2177),"0000")</f>
        <v>SUR-RES-0720</v>
      </c>
      <c r="B2177" s="322" t="s">
        <v>34</v>
      </c>
      <c r="C2177" s="322" t="s">
        <v>34</v>
      </c>
      <c r="D2177" s="323" t="s">
        <v>2367</v>
      </c>
      <c r="E2177" s="132" t="s">
        <v>24</v>
      </c>
      <c r="F2177" s="97" t="str">
        <f ca="1">IF(OR(Market_Data[[#This Row],[Start Date]]="",Market_Data[[#This Row],[Completion Date]]=""),"Needs Validation",IF(Market_Data[[#This Row],[Start Date]]&gt;TODAY(),"Planned",IF(Market_Data[[#This Row],[Completion Date]]&lt;TODAY(),"Completed","Ongoing")))</f>
        <v>Ongoing</v>
      </c>
      <c r="G2177" s="324">
        <v>45341</v>
      </c>
      <c r="H2177" s="324">
        <v>47483</v>
      </c>
      <c r="I2177" s="325">
        <v>14900</v>
      </c>
      <c r="J217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77" s="133">
        <f>_xlfn.XLOOKUP(Market_Data[[#This Row],[Project Type]],tbl_assumptions_market[Project Category (RERA)],tbl_assumptions_market[Concrete Intensity
(m³ / sq m BUA)],"",0)</f>
        <v>0.45</v>
      </c>
      <c r="L2177" s="134">
        <f>ROUND(Market_Data[[#This Row],[Estimated Built Up Area (sq m)]]*Market_Data[[#This Row],[Concrete Intensity
(m³ / sq m)]],0)</f>
        <v>6705</v>
      </c>
      <c r="M2177" s="135">
        <f>_xlfn.XLOOKUP(Market_Data[[#This Row],[District]],tbl_district_price[District],tbl_district_price[Standard Price
(INR/m³)],"",0)</f>
        <v>6200</v>
      </c>
      <c r="N2177" s="364">
        <f>IF(OR(Market_Data[[#This Row],[Estimated Concrete Demand (m³)]]="",Market_Data[[#This Row],[Avg Price per (₹ / m³)]]=""),"",Market_Data[[#This Row],[Estimated Concrete Demand (m³)]]*Market_Data[[#This Row],[Avg Price per (₹ / m³)]]/10000000)</f>
        <v>4.1570999999999998</v>
      </c>
      <c r="O2177" s="97" t="str">
        <f>IF(Market_Data[[#This Row],[Estimated Concrete Demand (m³)]]="","",
IF(Market_Data[[#This Row],[Estimated Concrete Demand (m³)]]&lt;10000,"Small",
IF(Market_Data[[#This Row],[Estimated Concrete Demand (m³)]]&lt;25000,"Medium",
IF(Market_Data[[#This Row],[Estimated Concrete Demand (m³)]]&lt;100000,"Large","Mega"))))</f>
        <v>Small</v>
      </c>
      <c r="P2177" s="287" t="str">
        <f t="shared" si="35"/>
        <v>GujRERA</v>
      </c>
    </row>
    <row r="2178" spans="1:16">
      <c r="A2178" s="129" t="str">
        <f>_xlfn.XLOOKUP(B2178,$S$9:$S$14,$T$9:$T$14)&amp;"-"&amp;
IF(E2178="Residential/Group Housing","RES",
IF(E2178="Commercial","COM",
IF(E2178="Mixed Development","MIX",
IF(E2178="Plotted Development","PLT","OTH"))))
&amp;"-"&amp;TEXT(COUNTIFS($B$9:B2178,B2178,$E$9:E2178,E2178),"0000")</f>
        <v>SUR-RES-0721</v>
      </c>
      <c r="B2178" s="322" t="s">
        <v>34</v>
      </c>
      <c r="C2178" s="322" t="s">
        <v>34</v>
      </c>
      <c r="D2178" s="323" t="s">
        <v>2368</v>
      </c>
      <c r="E2178" s="132" t="s">
        <v>24</v>
      </c>
      <c r="F2178" s="97" t="str">
        <f ca="1">IF(OR(Market_Data[[#This Row],[Start Date]]="",Market_Data[[#This Row],[Completion Date]]=""),"Needs Validation",IF(Market_Data[[#This Row],[Start Date]]&gt;TODAY(),"Planned",IF(Market_Data[[#This Row],[Completion Date]]&lt;TODAY(),"Completed","Ongoing")))</f>
        <v>Ongoing</v>
      </c>
      <c r="G2178" s="324">
        <v>45912</v>
      </c>
      <c r="H2178" s="324">
        <v>48213</v>
      </c>
      <c r="I2178" s="325">
        <v>9700</v>
      </c>
      <c r="J217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78" s="133">
        <f>_xlfn.XLOOKUP(Market_Data[[#This Row],[Project Type]],tbl_assumptions_market[Project Category (RERA)],tbl_assumptions_market[Concrete Intensity
(m³ / sq m BUA)],"",0)</f>
        <v>0.45</v>
      </c>
      <c r="L2178" s="134">
        <f>ROUND(Market_Data[[#This Row],[Estimated Built Up Area (sq m)]]*Market_Data[[#This Row],[Concrete Intensity
(m³ / sq m)]],0)</f>
        <v>4365</v>
      </c>
      <c r="M2178" s="135">
        <f>_xlfn.XLOOKUP(Market_Data[[#This Row],[District]],tbl_district_price[District],tbl_district_price[Standard Price
(INR/m³)],"",0)</f>
        <v>6200</v>
      </c>
      <c r="N2178" s="364">
        <f>IF(OR(Market_Data[[#This Row],[Estimated Concrete Demand (m³)]]="",Market_Data[[#This Row],[Avg Price per (₹ / m³)]]=""),"",Market_Data[[#This Row],[Estimated Concrete Demand (m³)]]*Market_Data[[#This Row],[Avg Price per (₹ / m³)]]/10000000)</f>
        <v>2.7063000000000001</v>
      </c>
      <c r="O2178" s="97" t="str">
        <f>IF(Market_Data[[#This Row],[Estimated Concrete Demand (m³)]]="","",
IF(Market_Data[[#This Row],[Estimated Concrete Demand (m³)]]&lt;10000,"Small",
IF(Market_Data[[#This Row],[Estimated Concrete Demand (m³)]]&lt;25000,"Medium",
IF(Market_Data[[#This Row],[Estimated Concrete Demand (m³)]]&lt;100000,"Large","Mega"))))</f>
        <v>Small</v>
      </c>
      <c r="P2178" s="287" t="str">
        <f t="shared" si="35"/>
        <v>GujRERA</v>
      </c>
    </row>
    <row r="2179" spans="1:16">
      <c r="A2179" s="129" t="str">
        <f>_xlfn.XLOOKUP(B2179,$S$9:$S$14,$T$9:$T$14)&amp;"-"&amp;
IF(E2179="Residential/Group Housing","RES",
IF(E2179="Commercial","COM",
IF(E2179="Mixed Development","MIX",
IF(E2179="Plotted Development","PLT","OTH"))))
&amp;"-"&amp;TEXT(COUNTIFS($B$9:B2179,B2179,$E$9:E2179,E2179),"0000")</f>
        <v>SUR-RES-0722</v>
      </c>
      <c r="B2179" s="322" t="s">
        <v>34</v>
      </c>
      <c r="C2179" s="322" t="s">
        <v>34</v>
      </c>
      <c r="D2179" s="323" t="s">
        <v>2369</v>
      </c>
      <c r="E2179" s="132" t="s">
        <v>24</v>
      </c>
      <c r="F2179" s="97" t="str">
        <f ca="1">IF(OR(Market_Data[[#This Row],[Start Date]]="",Market_Data[[#This Row],[Completion Date]]=""),"Needs Validation",IF(Market_Data[[#This Row],[Start Date]]&gt;TODAY(),"Planned",IF(Market_Data[[#This Row],[Completion Date]]&lt;TODAY(),"Completed","Ongoing")))</f>
        <v>Ongoing</v>
      </c>
      <c r="G2179" s="324">
        <v>46034</v>
      </c>
      <c r="H2179" s="324">
        <v>48213</v>
      </c>
      <c r="I2179" s="325">
        <v>47300</v>
      </c>
      <c r="J217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79" s="133">
        <f>_xlfn.XLOOKUP(Market_Data[[#This Row],[Project Type]],tbl_assumptions_market[Project Category (RERA)],tbl_assumptions_market[Concrete Intensity
(m³ / sq m BUA)],"",0)</f>
        <v>0.45</v>
      </c>
      <c r="L2179" s="134">
        <f>ROUND(Market_Data[[#This Row],[Estimated Built Up Area (sq m)]]*Market_Data[[#This Row],[Concrete Intensity
(m³ / sq m)]],0)</f>
        <v>21285</v>
      </c>
      <c r="M2179" s="135">
        <f>_xlfn.XLOOKUP(Market_Data[[#This Row],[District]],tbl_district_price[District],tbl_district_price[Standard Price
(INR/m³)],"",0)</f>
        <v>6200</v>
      </c>
      <c r="N2179" s="364">
        <f>IF(OR(Market_Data[[#This Row],[Estimated Concrete Demand (m³)]]="",Market_Data[[#This Row],[Avg Price per (₹ / m³)]]=""),"",Market_Data[[#This Row],[Estimated Concrete Demand (m³)]]*Market_Data[[#This Row],[Avg Price per (₹ / m³)]]/10000000)</f>
        <v>13.1967</v>
      </c>
      <c r="O2179" s="97" t="str">
        <f>IF(Market_Data[[#This Row],[Estimated Concrete Demand (m³)]]="","",
IF(Market_Data[[#This Row],[Estimated Concrete Demand (m³)]]&lt;10000,"Small",
IF(Market_Data[[#This Row],[Estimated Concrete Demand (m³)]]&lt;25000,"Medium",
IF(Market_Data[[#This Row],[Estimated Concrete Demand (m³)]]&lt;100000,"Large","Mega"))))</f>
        <v>Medium</v>
      </c>
      <c r="P2179" s="287" t="str">
        <f t="shared" si="35"/>
        <v>GujRERA</v>
      </c>
    </row>
    <row r="2180" spans="1:16">
      <c r="A2180" s="129" t="str">
        <f>_xlfn.XLOOKUP(B2180,$S$9:$S$14,$T$9:$T$14)&amp;"-"&amp;
IF(E2180="Residential/Group Housing","RES",
IF(E2180="Commercial","COM",
IF(E2180="Mixed Development","MIX",
IF(E2180="Plotted Development","PLT","OTH"))))
&amp;"-"&amp;TEXT(COUNTIFS($B$9:B2180,B2180,$E$9:E2180,E2180),"0000")</f>
        <v>SUR-RES-0723</v>
      </c>
      <c r="B2180" s="322" t="s">
        <v>34</v>
      </c>
      <c r="C2180" s="322" t="s">
        <v>34</v>
      </c>
      <c r="D2180" s="323" t="s">
        <v>2370</v>
      </c>
      <c r="E2180" s="132" t="s">
        <v>24</v>
      </c>
      <c r="F2180" s="97" t="str">
        <f ca="1">IF(OR(Market_Data[[#This Row],[Start Date]]="",Market_Data[[#This Row],[Completion Date]]=""),"Needs Validation",IF(Market_Data[[#This Row],[Start Date]]&gt;TODAY(),"Planned",IF(Market_Data[[#This Row],[Completion Date]]&lt;TODAY(),"Completed","Ongoing")))</f>
        <v>Ongoing</v>
      </c>
      <c r="G2180" s="324">
        <v>45341</v>
      </c>
      <c r="H2180" s="324">
        <v>47483</v>
      </c>
      <c r="I2180" s="325">
        <v>40200</v>
      </c>
      <c r="J218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80" s="133">
        <f>_xlfn.XLOOKUP(Market_Data[[#This Row],[Project Type]],tbl_assumptions_market[Project Category (RERA)],tbl_assumptions_market[Concrete Intensity
(m³ / sq m BUA)],"",0)</f>
        <v>0.45</v>
      </c>
      <c r="L2180" s="134">
        <f>ROUND(Market_Data[[#This Row],[Estimated Built Up Area (sq m)]]*Market_Data[[#This Row],[Concrete Intensity
(m³ / sq m)]],0)</f>
        <v>18090</v>
      </c>
      <c r="M2180" s="135">
        <f>_xlfn.XLOOKUP(Market_Data[[#This Row],[District]],tbl_district_price[District],tbl_district_price[Standard Price
(INR/m³)],"",0)</f>
        <v>6200</v>
      </c>
      <c r="N2180" s="364">
        <f>IF(OR(Market_Data[[#This Row],[Estimated Concrete Demand (m³)]]="",Market_Data[[#This Row],[Avg Price per (₹ / m³)]]=""),"",Market_Data[[#This Row],[Estimated Concrete Demand (m³)]]*Market_Data[[#This Row],[Avg Price per (₹ / m³)]]/10000000)</f>
        <v>11.2158</v>
      </c>
      <c r="O2180" s="97" t="str">
        <f>IF(Market_Data[[#This Row],[Estimated Concrete Demand (m³)]]="","",
IF(Market_Data[[#This Row],[Estimated Concrete Demand (m³)]]&lt;10000,"Small",
IF(Market_Data[[#This Row],[Estimated Concrete Demand (m³)]]&lt;25000,"Medium",
IF(Market_Data[[#This Row],[Estimated Concrete Demand (m³)]]&lt;100000,"Large","Mega"))))</f>
        <v>Medium</v>
      </c>
      <c r="P2180" s="287" t="str">
        <f t="shared" si="35"/>
        <v>GujRERA</v>
      </c>
    </row>
    <row r="2181" spans="1:16">
      <c r="A2181" s="129" t="str">
        <f>_xlfn.XLOOKUP(B2181,$S$9:$S$14,$T$9:$T$14)&amp;"-"&amp;
IF(E2181="Residential/Group Housing","RES",
IF(E2181="Commercial","COM",
IF(E2181="Mixed Development","MIX",
IF(E2181="Plotted Development","PLT","OTH"))))
&amp;"-"&amp;TEXT(COUNTIFS($B$9:B2181,B2181,$E$9:E2181,E2181),"0000")</f>
        <v>SUR-RES-0724</v>
      </c>
      <c r="B2181" s="322" t="s">
        <v>34</v>
      </c>
      <c r="C2181" s="322" t="s">
        <v>34</v>
      </c>
      <c r="D2181" s="323" t="s">
        <v>2371</v>
      </c>
      <c r="E2181" s="132" t="s">
        <v>24</v>
      </c>
      <c r="F2181" s="97" t="str">
        <f ca="1">IF(OR(Market_Data[[#This Row],[Start Date]]="",Market_Data[[#This Row],[Completion Date]]=""),"Needs Validation",IF(Market_Data[[#This Row],[Start Date]]&gt;TODAY(),"Planned",IF(Market_Data[[#This Row],[Completion Date]]&lt;TODAY(),"Completed","Ongoing")))</f>
        <v>Ongoing</v>
      </c>
      <c r="G2181" s="324">
        <v>45748</v>
      </c>
      <c r="H2181" s="324">
        <v>47573</v>
      </c>
      <c r="I2181" s="325">
        <v>33300</v>
      </c>
      <c r="J218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81" s="133">
        <f>_xlfn.XLOOKUP(Market_Data[[#This Row],[Project Type]],tbl_assumptions_market[Project Category (RERA)],tbl_assumptions_market[Concrete Intensity
(m³ / sq m BUA)],"",0)</f>
        <v>0.45</v>
      </c>
      <c r="L2181" s="134">
        <f>ROUND(Market_Data[[#This Row],[Estimated Built Up Area (sq m)]]*Market_Data[[#This Row],[Concrete Intensity
(m³ / sq m)]],0)</f>
        <v>14985</v>
      </c>
      <c r="M2181" s="135">
        <f>_xlfn.XLOOKUP(Market_Data[[#This Row],[District]],tbl_district_price[District],tbl_district_price[Standard Price
(INR/m³)],"",0)</f>
        <v>6200</v>
      </c>
      <c r="N2181" s="364">
        <f>IF(OR(Market_Data[[#This Row],[Estimated Concrete Demand (m³)]]="",Market_Data[[#This Row],[Avg Price per (₹ / m³)]]=""),"",Market_Data[[#This Row],[Estimated Concrete Demand (m³)]]*Market_Data[[#This Row],[Avg Price per (₹ / m³)]]/10000000)</f>
        <v>9.2906999999999993</v>
      </c>
      <c r="O2181" s="97" t="str">
        <f>IF(Market_Data[[#This Row],[Estimated Concrete Demand (m³)]]="","",
IF(Market_Data[[#This Row],[Estimated Concrete Demand (m³)]]&lt;10000,"Small",
IF(Market_Data[[#This Row],[Estimated Concrete Demand (m³)]]&lt;25000,"Medium",
IF(Market_Data[[#This Row],[Estimated Concrete Demand (m³)]]&lt;100000,"Large","Mega"))))</f>
        <v>Medium</v>
      </c>
      <c r="P2181" s="287" t="str">
        <f t="shared" si="35"/>
        <v>GujRERA</v>
      </c>
    </row>
    <row r="2182" spans="1:16">
      <c r="A2182" s="129" t="str">
        <f>_xlfn.XLOOKUP(B2182,$S$9:$S$14,$T$9:$T$14)&amp;"-"&amp;
IF(E2182="Residential/Group Housing","RES",
IF(E2182="Commercial","COM",
IF(E2182="Mixed Development","MIX",
IF(E2182="Plotted Development","PLT","OTH"))))
&amp;"-"&amp;TEXT(COUNTIFS($B$9:B2182,B2182,$E$9:E2182,E2182),"0000")</f>
        <v>SUR-PLT-0431</v>
      </c>
      <c r="B2182" s="322" t="s">
        <v>34</v>
      </c>
      <c r="C2182" s="322" t="s">
        <v>34</v>
      </c>
      <c r="D2182" s="323" t="s">
        <v>2372</v>
      </c>
      <c r="E2182" s="132" t="s">
        <v>26</v>
      </c>
      <c r="F2182" s="97" t="str">
        <f ca="1">IF(OR(Market_Data[[#This Row],[Start Date]]="",Market_Data[[#This Row],[Completion Date]]=""),"Needs Validation",IF(Market_Data[[#This Row],[Start Date]]&gt;TODAY(),"Planned",IF(Market_Data[[#This Row],[Completion Date]]&lt;TODAY(),"Completed","Ongoing")))</f>
        <v>Ongoing</v>
      </c>
      <c r="G2182" s="324">
        <v>45917</v>
      </c>
      <c r="H2182" s="324">
        <v>47483</v>
      </c>
      <c r="I2182" s="325">
        <v>9800</v>
      </c>
      <c r="J218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82" s="133">
        <f>_xlfn.XLOOKUP(Market_Data[[#This Row],[Project Type]],tbl_assumptions_market[Project Category (RERA)],tbl_assumptions_market[Concrete Intensity
(m³ / sq m BUA)],"",0)</f>
        <v>0.18</v>
      </c>
      <c r="L2182" s="134">
        <f>ROUND(Market_Data[[#This Row],[Estimated Built Up Area (sq m)]]*Market_Data[[#This Row],[Concrete Intensity
(m³ / sq m)]],0)</f>
        <v>1764</v>
      </c>
      <c r="M2182" s="135">
        <f>_xlfn.XLOOKUP(Market_Data[[#This Row],[District]],tbl_district_price[District],tbl_district_price[Standard Price
(INR/m³)],"",0)</f>
        <v>6200</v>
      </c>
      <c r="N2182" s="364">
        <f>IF(OR(Market_Data[[#This Row],[Estimated Concrete Demand (m³)]]="",Market_Data[[#This Row],[Avg Price per (₹ / m³)]]=""),"",Market_Data[[#This Row],[Estimated Concrete Demand (m³)]]*Market_Data[[#This Row],[Avg Price per (₹ / m³)]]/10000000)</f>
        <v>1.09368</v>
      </c>
      <c r="O2182" s="97" t="str">
        <f>IF(Market_Data[[#This Row],[Estimated Concrete Demand (m³)]]="","",
IF(Market_Data[[#This Row],[Estimated Concrete Demand (m³)]]&lt;10000,"Small",
IF(Market_Data[[#This Row],[Estimated Concrete Demand (m³)]]&lt;25000,"Medium",
IF(Market_Data[[#This Row],[Estimated Concrete Demand (m³)]]&lt;100000,"Large","Mega"))))</f>
        <v>Small</v>
      </c>
      <c r="P2182" s="287" t="str">
        <f t="shared" si="35"/>
        <v>GujRERA</v>
      </c>
    </row>
    <row r="2183" spans="1:16">
      <c r="A2183" s="129" t="str">
        <f>_xlfn.XLOOKUP(B2183,$S$9:$S$14,$T$9:$T$14)&amp;"-"&amp;
IF(E2183="Residential/Group Housing","RES",
IF(E2183="Commercial","COM",
IF(E2183="Mixed Development","MIX",
IF(E2183="Plotted Development","PLT","OTH"))))
&amp;"-"&amp;TEXT(COUNTIFS($B$9:B2183,B2183,$E$9:E2183,E2183),"0000")</f>
        <v>SUR-RES-0725</v>
      </c>
      <c r="B2183" s="322" t="s">
        <v>34</v>
      </c>
      <c r="C2183" s="322" t="s">
        <v>34</v>
      </c>
      <c r="D2183" s="323" t="s">
        <v>2373</v>
      </c>
      <c r="E2183" s="132" t="s">
        <v>24</v>
      </c>
      <c r="F2183" s="97" t="str">
        <f ca="1">IF(OR(Market_Data[[#This Row],[Start Date]]="",Market_Data[[#This Row],[Completion Date]]=""),"Needs Validation",IF(Market_Data[[#This Row],[Start Date]]&gt;TODAY(),"Planned",IF(Market_Data[[#This Row],[Completion Date]]&lt;TODAY(),"Completed","Ongoing")))</f>
        <v>Ongoing</v>
      </c>
      <c r="G2183" s="324">
        <v>46041</v>
      </c>
      <c r="H2183" s="324">
        <v>48213</v>
      </c>
      <c r="I2183" s="325">
        <v>58500</v>
      </c>
      <c r="J218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83" s="133">
        <f>_xlfn.XLOOKUP(Market_Data[[#This Row],[Project Type]],tbl_assumptions_market[Project Category (RERA)],tbl_assumptions_market[Concrete Intensity
(m³ / sq m BUA)],"",0)</f>
        <v>0.45</v>
      </c>
      <c r="L2183" s="134">
        <f>ROUND(Market_Data[[#This Row],[Estimated Built Up Area (sq m)]]*Market_Data[[#This Row],[Concrete Intensity
(m³ / sq m)]],0)</f>
        <v>26325</v>
      </c>
      <c r="M2183" s="135">
        <f>_xlfn.XLOOKUP(Market_Data[[#This Row],[District]],tbl_district_price[District],tbl_district_price[Standard Price
(INR/m³)],"",0)</f>
        <v>6200</v>
      </c>
      <c r="N2183" s="364">
        <f>IF(OR(Market_Data[[#This Row],[Estimated Concrete Demand (m³)]]="",Market_Data[[#This Row],[Avg Price per (₹ / m³)]]=""),"",Market_Data[[#This Row],[Estimated Concrete Demand (m³)]]*Market_Data[[#This Row],[Avg Price per (₹ / m³)]]/10000000)</f>
        <v>16.3215</v>
      </c>
      <c r="O2183" s="97" t="str">
        <f>IF(Market_Data[[#This Row],[Estimated Concrete Demand (m³)]]="","",
IF(Market_Data[[#This Row],[Estimated Concrete Demand (m³)]]&lt;10000,"Small",
IF(Market_Data[[#This Row],[Estimated Concrete Demand (m³)]]&lt;25000,"Medium",
IF(Market_Data[[#This Row],[Estimated Concrete Demand (m³)]]&lt;100000,"Large","Mega"))))</f>
        <v>Large</v>
      </c>
      <c r="P2183" s="287" t="str">
        <f t="shared" si="35"/>
        <v>GujRERA</v>
      </c>
    </row>
    <row r="2184" spans="1:16">
      <c r="A2184" s="129" t="str">
        <f>_xlfn.XLOOKUP(B2184,$S$9:$S$14,$T$9:$T$14)&amp;"-"&amp;
IF(E2184="Residential/Group Housing","RES",
IF(E2184="Commercial","COM",
IF(E2184="Mixed Development","MIX",
IF(E2184="Plotted Development","PLT","OTH"))))
&amp;"-"&amp;TEXT(COUNTIFS($B$9:B2184,B2184,$E$9:E2184,E2184),"0000")</f>
        <v>SUR-MIX-0373</v>
      </c>
      <c r="B2184" s="322" t="s">
        <v>34</v>
      </c>
      <c r="C2184" s="322" t="s">
        <v>34</v>
      </c>
      <c r="D2184" s="323" t="s">
        <v>2374</v>
      </c>
      <c r="E2184" s="132" t="s">
        <v>25</v>
      </c>
      <c r="F2184" s="97" t="str">
        <f ca="1">IF(OR(Market_Data[[#This Row],[Start Date]]="",Market_Data[[#This Row],[Completion Date]]=""),"Needs Validation",IF(Market_Data[[#This Row],[Start Date]]&gt;TODAY(),"Planned",IF(Market_Data[[#This Row],[Completion Date]]&lt;TODAY(),"Completed","Ongoing")))</f>
        <v>Completed</v>
      </c>
      <c r="G2184" s="324">
        <v>42614</v>
      </c>
      <c r="H2184" s="324">
        <v>43738</v>
      </c>
      <c r="I2184" s="325">
        <v>16200</v>
      </c>
      <c r="J218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84" s="133">
        <f>_xlfn.XLOOKUP(Market_Data[[#This Row],[Project Type]],tbl_assumptions_market[Project Category (RERA)],tbl_assumptions_market[Concrete Intensity
(m³ / sq m BUA)],"",0)</f>
        <v>0.42</v>
      </c>
      <c r="L2184" s="134">
        <f>ROUND(Market_Data[[#This Row],[Estimated Built Up Area (sq m)]]*Market_Data[[#This Row],[Concrete Intensity
(m³ / sq m)]],0)</f>
        <v>6804</v>
      </c>
      <c r="M2184" s="135">
        <f>_xlfn.XLOOKUP(Market_Data[[#This Row],[District]],tbl_district_price[District],tbl_district_price[Standard Price
(INR/m³)],"",0)</f>
        <v>6200</v>
      </c>
      <c r="N2184" s="364">
        <f>IF(OR(Market_Data[[#This Row],[Estimated Concrete Demand (m³)]]="",Market_Data[[#This Row],[Avg Price per (₹ / m³)]]=""),"",Market_Data[[#This Row],[Estimated Concrete Demand (m³)]]*Market_Data[[#This Row],[Avg Price per (₹ / m³)]]/10000000)</f>
        <v>4.2184799999999996</v>
      </c>
      <c r="O2184" s="97" t="str">
        <f>IF(Market_Data[[#This Row],[Estimated Concrete Demand (m³)]]="","",
IF(Market_Data[[#This Row],[Estimated Concrete Demand (m³)]]&lt;10000,"Small",
IF(Market_Data[[#This Row],[Estimated Concrete Demand (m³)]]&lt;25000,"Medium",
IF(Market_Data[[#This Row],[Estimated Concrete Demand (m³)]]&lt;100000,"Large","Mega"))))</f>
        <v>Small</v>
      </c>
      <c r="P2184" s="287" t="str">
        <f t="shared" si="35"/>
        <v>GujRERA</v>
      </c>
    </row>
    <row r="2185" spans="1:16">
      <c r="A2185" s="129" t="str">
        <f>_xlfn.XLOOKUP(B2185,$S$9:$S$14,$T$9:$T$14)&amp;"-"&amp;
IF(E2185="Residential/Group Housing","RES",
IF(E2185="Commercial","COM",
IF(E2185="Mixed Development","MIX",
IF(E2185="Plotted Development","PLT","OTH"))))
&amp;"-"&amp;TEXT(COUNTIFS($B$9:B2185,B2185,$E$9:E2185,E2185),"0000")</f>
        <v>SUR-RES-0726</v>
      </c>
      <c r="B2185" s="322" t="s">
        <v>34</v>
      </c>
      <c r="C2185" s="322" t="s">
        <v>34</v>
      </c>
      <c r="D2185" s="323" t="s">
        <v>2375</v>
      </c>
      <c r="E2185" s="132" t="s">
        <v>24</v>
      </c>
      <c r="F2185" s="97" t="str">
        <f ca="1">IF(OR(Market_Data[[#This Row],[Start Date]]="",Market_Data[[#This Row],[Completion Date]]=""),"Needs Validation",IF(Market_Data[[#This Row],[Start Date]]&gt;TODAY(),"Planned",IF(Market_Data[[#This Row],[Completion Date]]&lt;TODAY(),"Completed","Ongoing")))</f>
        <v>Completed</v>
      </c>
      <c r="G2185" s="324">
        <v>40633</v>
      </c>
      <c r="H2185" s="324">
        <v>43555</v>
      </c>
      <c r="I2185" s="325">
        <v>46500</v>
      </c>
      <c r="J218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85" s="133">
        <f>_xlfn.XLOOKUP(Market_Data[[#This Row],[Project Type]],tbl_assumptions_market[Project Category (RERA)],tbl_assumptions_market[Concrete Intensity
(m³ / sq m BUA)],"",0)</f>
        <v>0.45</v>
      </c>
      <c r="L2185" s="134">
        <f>ROUND(Market_Data[[#This Row],[Estimated Built Up Area (sq m)]]*Market_Data[[#This Row],[Concrete Intensity
(m³ / sq m)]],0)</f>
        <v>20925</v>
      </c>
      <c r="M2185" s="135">
        <f>_xlfn.XLOOKUP(Market_Data[[#This Row],[District]],tbl_district_price[District],tbl_district_price[Standard Price
(INR/m³)],"",0)</f>
        <v>6200</v>
      </c>
      <c r="N2185" s="364">
        <f>IF(OR(Market_Data[[#This Row],[Estimated Concrete Demand (m³)]]="",Market_Data[[#This Row],[Avg Price per (₹ / m³)]]=""),"",Market_Data[[#This Row],[Estimated Concrete Demand (m³)]]*Market_Data[[#This Row],[Avg Price per (₹ / m³)]]/10000000)</f>
        <v>12.9735</v>
      </c>
      <c r="O2185" s="97" t="str">
        <f>IF(Market_Data[[#This Row],[Estimated Concrete Demand (m³)]]="","",
IF(Market_Data[[#This Row],[Estimated Concrete Demand (m³)]]&lt;10000,"Small",
IF(Market_Data[[#This Row],[Estimated Concrete Demand (m³)]]&lt;25000,"Medium",
IF(Market_Data[[#This Row],[Estimated Concrete Demand (m³)]]&lt;100000,"Large","Mega"))))</f>
        <v>Medium</v>
      </c>
      <c r="P2185" s="287" t="str">
        <f t="shared" si="35"/>
        <v>GujRERA</v>
      </c>
    </row>
    <row r="2186" spans="1:16">
      <c r="A2186" s="129" t="str">
        <f>_xlfn.XLOOKUP(B2186,$S$9:$S$14,$T$9:$T$14)&amp;"-"&amp;
IF(E2186="Residential/Group Housing","RES",
IF(E2186="Commercial","COM",
IF(E2186="Mixed Development","MIX",
IF(E2186="Plotted Development","PLT","OTH"))))
&amp;"-"&amp;TEXT(COUNTIFS($B$9:B2186,B2186,$E$9:E2186,E2186),"0000")</f>
        <v>SUR-RES-0727</v>
      </c>
      <c r="B2186" s="322" t="s">
        <v>34</v>
      </c>
      <c r="C2186" s="322" t="s">
        <v>34</v>
      </c>
      <c r="D2186" s="323" t="s">
        <v>2376</v>
      </c>
      <c r="E2186" s="132" t="s">
        <v>24</v>
      </c>
      <c r="F2186" s="97" t="str">
        <f ca="1">IF(OR(Market_Data[[#This Row],[Start Date]]="",Market_Data[[#This Row],[Completion Date]]=""),"Needs Validation",IF(Market_Data[[#This Row],[Start Date]]&gt;TODAY(),"Planned",IF(Market_Data[[#This Row],[Completion Date]]&lt;TODAY(),"Completed","Ongoing")))</f>
        <v>Completed</v>
      </c>
      <c r="G2186" s="324">
        <v>43406</v>
      </c>
      <c r="H2186" s="324">
        <v>45838</v>
      </c>
      <c r="I2186" s="325">
        <v>32900</v>
      </c>
      <c r="J218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86" s="133">
        <f>_xlfn.XLOOKUP(Market_Data[[#This Row],[Project Type]],tbl_assumptions_market[Project Category (RERA)],tbl_assumptions_market[Concrete Intensity
(m³ / sq m BUA)],"",0)</f>
        <v>0.45</v>
      </c>
      <c r="L2186" s="134">
        <f>ROUND(Market_Data[[#This Row],[Estimated Built Up Area (sq m)]]*Market_Data[[#This Row],[Concrete Intensity
(m³ / sq m)]],0)</f>
        <v>14805</v>
      </c>
      <c r="M2186" s="135">
        <f>_xlfn.XLOOKUP(Market_Data[[#This Row],[District]],tbl_district_price[District],tbl_district_price[Standard Price
(INR/m³)],"",0)</f>
        <v>6200</v>
      </c>
      <c r="N2186" s="364">
        <f>IF(OR(Market_Data[[#This Row],[Estimated Concrete Demand (m³)]]="",Market_Data[[#This Row],[Avg Price per (₹ / m³)]]=""),"",Market_Data[[#This Row],[Estimated Concrete Demand (m³)]]*Market_Data[[#This Row],[Avg Price per (₹ / m³)]]/10000000)</f>
        <v>9.1791</v>
      </c>
      <c r="O2186" s="97" t="str">
        <f>IF(Market_Data[[#This Row],[Estimated Concrete Demand (m³)]]="","",
IF(Market_Data[[#This Row],[Estimated Concrete Demand (m³)]]&lt;10000,"Small",
IF(Market_Data[[#This Row],[Estimated Concrete Demand (m³)]]&lt;25000,"Medium",
IF(Market_Data[[#This Row],[Estimated Concrete Demand (m³)]]&lt;100000,"Large","Mega"))))</f>
        <v>Medium</v>
      </c>
      <c r="P2186" s="287" t="str">
        <f t="shared" ref="P2186:P2249" si="36">HYPERLINK(
"https://gujrera.gujarat.gov.in",
"GujRERA")</f>
        <v>GujRERA</v>
      </c>
    </row>
    <row r="2187" spans="1:16">
      <c r="A2187" s="129" t="str">
        <f>_xlfn.XLOOKUP(B2187,$S$9:$S$14,$T$9:$T$14)&amp;"-"&amp;
IF(E2187="Residential/Group Housing","RES",
IF(E2187="Commercial","COM",
IF(E2187="Mixed Development","MIX",
IF(E2187="Plotted Development","PLT","OTH"))))
&amp;"-"&amp;TEXT(COUNTIFS($B$9:B2187,B2187,$E$9:E2187,E2187),"0000")</f>
        <v>SUR-COM-0338</v>
      </c>
      <c r="B2187" s="322" t="s">
        <v>34</v>
      </c>
      <c r="C2187" s="322" t="s">
        <v>34</v>
      </c>
      <c r="D2187" s="323" t="s">
        <v>2377</v>
      </c>
      <c r="E2187" s="132" t="s">
        <v>23</v>
      </c>
      <c r="F2187" s="97" t="str">
        <f ca="1">IF(OR(Market_Data[[#This Row],[Start Date]]="",Market_Data[[#This Row],[Completion Date]]=""),"Needs Validation",IF(Market_Data[[#This Row],[Start Date]]&gt;TODAY(),"Planned",IF(Market_Data[[#This Row],[Completion Date]]&lt;TODAY(),"Completed","Ongoing")))</f>
        <v>Completed</v>
      </c>
      <c r="G2187" s="324">
        <v>44918</v>
      </c>
      <c r="H2187" s="324">
        <v>46203</v>
      </c>
      <c r="I2187" s="325">
        <v>2700</v>
      </c>
      <c r="J218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87" s="133">
        <f>_xlfn.XLOOKUP(Market_Data[[#This Row],[Project Type]],tbl_assumptions_market[Project Category (RERA)],tbl_assumptions_market[Concrete Intensity
(m³ / sq m BUA)],"",0)</f>
        <v>0.5</v>
      </c>
      <c r="L2187" s="134">
        <f>ROUND(Market_Data[[#This Row],[Estimated Built Up Area (sq m)]]*Market_Data[[#This Row],[Concrete Intensity
(m³ / sq m)]],0)</f>
        <v>1350</v>
      </c>
      <c r="M2187" s="135">
        <f>_xlfn.XLOOKUP(Market_Data[[#This Row],[District]],tbl_district_price[District],tbl_district_price[Standard Price
(INR/m³)],"",0)</f>
        <v>6200</v>
      </c>
      <c r="N2187" s="364">
        <f>IF(OR(Market_Data[[#This Row],[Estimated Concrete Demand (m³)]]="",Market_Data[[#This Row],[Avg Price per (₹ / m³)]]=""),"",Market_Data[[#This Row],[Estimated Concrete Demand (m³)]]*Market_Data[[#This Row],[Avg Price per (₹ / m³)]]/10000000)</f>
        <v>0.83699999999999997</v>
      </c>
      <c r="O2187" s="97" t="str">
        <f>IF(Market_Data[[#This Row],[Estimated Concrete Demand (m³)]]="","",
IF(Market_Data[[#This Row],[Estimated Concrete Demand (m³)]]&lt;10000,"Small",
IF(Market_Data[[#This Row],[Estimated Concrete Demand (m³)]]&lt;25000,"Medium",
IF(Market_Data[[#This Row],[Estimated Concrete Demand (m³)]]&lt;100000,"Large","Mega"))))</f>
        <v>Small</v>
      </c>
      <c r="P2187" s="287" t="str">
        <f t="shared" si="36"/>
        <v>GujRERA</v>
      </c>
    </row>
    <row r="2188" spans="1:16">
      <c r="A2188" s="129" t="str">
        <f>_xlfn.XLOOKUP(B2188,$S$9:$S$14,$T$9:$T$14)&amp;"-"&amp;
IF(E2188="Residential/Group Housing","RES",
IF(E2188="Commercial","COM",
IF(E2188="Mixed Development","MIX",
IF(E2188="Plotted Development","PLT","OTH"))))
&amp;"-"&amp;TEXT(COUNTIFS($B$9:B2188,B2188,$E$9:E2188,E2188),"0000")</f>
        <v>SUR-PLT-0432</v>
      </c>
      <c r="B2188" s="322" t="s">
        <v>34</v>
      </c>
      <c r="C2188" s="322" t="s">
        <v>34</v>
      </c>
      <c r="D2188" s="323" t="s">
        <v>2378</v>
      </c>
      <c r="E2188" s="132" t="s">
        <v>26</v>
      </c>
      <c r="F2188" s="97" t="str">
        <f ca="1">IF(OR(Market_Data[[#This Row],[Start Date]]="",Market_Data[[#This Row],[Completion Date]]=""),"Needs Validation",IF(Market_Data[[#This Row],[Start Date]]&gt;TODAY(),"Planned",IF(Market_Data[[#This Row],[Completion Date]]&lt;TODAY(),"Completed","Ongoing")))</f>
        <v>Completed</v>
      </c>
      <c r="G2188" s="324">
        <v>42031</v>
      </c>
      <c r="H2188" s="324">
        <v>44651</v>
      </c>
      <c r="I2188" s="325">
        <v>24900</v>
      </c>
      <c r="J218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88" s="133">
        <f>_xlfn.XLOOKUP(Market_Data[[#This Row],[Project Type]],tbl_assumptions_market[Project Category (RERA)],tbl_assumptions_market[Concrete Intensity
(m³ / sq m BUA)],"",0)</f>
        <v>0.18</v>
      </c>
      <c r="L2188" s="134">
        <f>ROUND(Market_Data[[#This Row],[Estimated Built Up Area (sq m)]]*Market_Data[[#This Row],[Concrete Intensity
(m³ / sq m)]],0)</f>
        <v>4482</v>
      </c>
      <c r="M2188" s="135">
        <f>_xlfn.XLOOKUP(Market_Data[[#This Row],[District]],tbl_district_price[District],tbl_district_price[Standard Price
(INR/m³)],"",0)</f>
        <v>6200</v>
      </c>
      <c r="N2188" s="364">
        <f>IF(OR(Market_Data[[#This Row],[Estimated Concrete Demand (m³)]]="",Market_Data[[#This Row],[Avg Price per (₹ / m³)]]=""),"",Market_Data[[#This Row],[Estimated Concrete Demand (m³)]]*Market_Data[[#This Row],[Avg Price per (₹ / m³)]]/10000000)</f>
        <v>2.7788400000000002</v>
      </c>
      <c r="O2188" s="97" t="str">
        <f>IF(Market_Data[[#This Row],[Estimated Concrete Demand (m³)]]="","",
IF(Market_Data[[#This Row],[Estimated Concrete Demand (m³)]]&lt;10000,"Small",
IF(Market_Data[[#This Row],[Estimated Concrete Demand (m³)]]&lt;25000,"Medium",
IF(Market_Data[[#This Row],[Estimated Concrete Demand (m³)]]&lt;100000,"Large","Mega"))))</f>
        <v>Small</v>
      </c>
      <c r="P2188" s="287" t="str">
        <f t="shared" si="36"/>
        <v>GujRERA</v>
      </c>
    </row>
    <row r="2189" spans="1:16">
      <c r="A2189" s="129" t="str">
        <f>_xlfn.XLOOKUP(B2189,$S$9:$S$14,$T$9:$T$14)&amp;"-"&amp;
IF(E2189="Residential/Group Housing","RES",
IF(E2189="Commercial","COM",
IF(E2189="Mixed Development","MIX",
IF(E2189="Plotted Development","PLT","OTH"))))
&amp;"-"&amp;TEXT(COUNTIFS($B$9:B2189,B2189,$E$9:E2189,E2189),"0000")</f>
        <v>SUR-PLT-0433</v>
      </c>
      <c r="B2189" s="322" t="s">
        <v>34</v>
      </c>
      <c r="C2189" s="322" t="s">
        <v>34</v>
      </c>
      <c r="D2189" s="323" t="s">
        <v>2379</v>
      </c>
      <c r="E2189" s="132" t="s">
        <v>26</v>
      </c>
      <c r="F2189" s="97" t="str">
        <f ca="1">IF(OR(Market_Data[[#This Row],[Start Date]]="",Market_Data[[#This Row],[Completion Date]]=""),"Needs Validation",IF(Market_Data[[#This Row],[Start Date]]&gt;TODAY(),"Planned",IF(Market_Data[[#This Row],[Completion Date]]&lt;TODAY(),"Completed","Ongoing")))</f>
        <v>Completed</v>
      </c>
      <c r="G2189" s="324">
        <v>42332</v>
      </c>
      <c r="H2189" s="324">
        <v>44255</v>
      </c>
      <c r="I2189" s="325">
        <v>6800</v>
      </c>
      <c r="J218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89" s="133">
        <f>_xlfn.XLOOKUP(Market_Data[[#This Row],[Project Type]],tbl_assumptions_market[Project Category (RERA)],tbl_assumptions_market[Concrete Intensity
(m³ / sq m BUA)],"",0)</f>
        <v>0.18</v>
      </c>
      <c r="L2189" s="134">
        <f>ROUND(Market_Data[[#This Row],[Estimated Built Up Area (sq m)]]*Market_Data[[#This Row],[Concrete Intensity
(m³ / sq m)]],0)</f>
        <v>1224</v>
      </c>
      <c r="M2189" s="135">
        <f>_xlfn.XLOOKUP(Market_Data[[#This Row],[District]],tbl_district_price[District],tbl_district_price[Standard Price
(INR/m³)],"",0)</f>
        <v>6200</v>
      </c>
      <c r="N2189" s="364">
        <f>IF(OR(Market_Data[[#This Row],[Estimated Concrete Demand (m³)]]="",Market_Data[[#This Row],[Avg Price per (₹ / m³)]]=""),"",Market_Data[[#This Row],[Estimated Concrete Demand (m³)]]*Market_Data[[#This Row],[Avg Price per (₹ / m³)]]/10000000)</f>
        <v>0.75888</v>
      </c>
      <c r="O2189" s="97" t="str">
        <f>IF(Market_Data[[#This Row],[Estimated Concrete Demand (m³)]]="","",
IF(Market_Data[[#This Row],[Estimated Concrete Demand (m³)]]&lt;10000,"Small",
IF(Market_Data[[#This Row],[Estimated Concrete Demand (m³)]]&lt;25000,"Medium",
IF(Market_Data[[#This Row],[Estimated Concrete Demand (m³)]]&lt;100000,"Large","Mega"))))</f>
        <v>Small</v>
      </c>
      <c r="P2189" s="287" t="str">
        <f t="shared" si="36"/>
        <v>GujRERA</v>
      </c>
    </row>
    <row r="2190" spans="1:16">
      <c r="A2190" s="129" t="str">
        <f>_xlfn.XLOOKUP(B2190,$S$9:$S$14,$T$9:$T$14)&amp;"-"&amp;
IF(E2190="Residential/Group Housing","RES",
IF(E2190="Commercial","COM",
IF(E2190="Mixed Development","MIX",
IF(E2190="Plotted Development","PLT","OTH"))))
&amp;"-"&amp;TEXT(COUNTIFS($B$9:B2190,B2190,$E$9:E2190,E2190),"0000")</f>
        <v>SUR-PLT-0434</v>
      </c>
      <c r="B2190" s="322" t="s">
        <v>34</v>
      </c>
      <c r="C2190" s="322" t="s">
        <v>34</v>
      </c>
      <c r="D2190" s="323" t="s">
        <v>2380</v>
      </c>
      <c r="E2190" s="132" t="s">
        <v>26</v>
      </c>
      <c r="F2190" s="97" t="str">
        <f ca="1">IF(OR(Market_Data[[#This Row],[Start Date]]="",Market_Data[[#This Row],[Completion Date]]=""),"Needs Validation",IF(Market_Data[[#This Row],[Start Date]]&gt;TODAY(),"Planned",IF(Market_Data[[#This Row],[Completion Date]]&lt;TODAY(),"Completed","Ongoing")))</f>
        <v>Ongoing</v>
      </c>
      <c r="G2190" s="324">
        <v>45161</v>
      </c>
      <c r="H2190" s="324">
        <v>46752</v>
      </c>
      <c r="I2190" s="325">
        <v>34500</v>
      </c>
      <c r="J219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190" s="133">
        <f>_xlfn.XLOOKUP(Market_Data[[#This Row],[Project Type]],tbl_assumptions_market[Project Category (RERA)],tbl_assumptions_market[Concrete Intensity
(m³ / sq m BUA)],"",0)</f>
        <v>0.18</v>
      </c>
      <c r="L2190" s="134">
        <f>ROUND(Market_Data[[#This Row],[Estimated Built Up Area (sq m)]]*Market_Data[[#This Row],[Concrete Intensity
(m³ / sq m)]],0)</f>
        <v>6210</v>
      </c>
      <c r="M2190" s="135">
        <f>_xlfn.XLOOKUP(Market_Data[[#This Row],[District]],tbl_district_price[District],tbl_district_price[Standard Price
(INR/m³)],"",0)</f>
        <v>6200</v>
      </c>
      <c r="N2190" s="364">
        <f>IF(OR(Market_Data[[#This Row],[Estimated Concrete Demand (m³)]]="",Market_Data[[#This Row],[Avg Price per (₹ / m³)]]=""),"",Market_Data[[#This Row],[Estimated Concrete Demand (m³)]]*Market_Data[[#This Row],[Avg Price per (₹ / m³)]]/10000000)</f>
        <v>3.8502000000000001</v>
      </c>
      <c r="O2190" s="97" t="str">
        <f>IF(Market_Data[[#This Row],[Estimated Concrete Demand (m³)]]="","",
IF(Market_Data[[#This Row],[Estimated Concrete Demand (m³)]]&lt;10000,"Small",
IF(Market_Data[[#This Row],[Estimated Concrete Demand (m³)]]&lt;25000,"Medium",
IF(Market_Data[[#This Row],[Estimated Concrete Demand (m³)]]&lt;100000,"Large","Mega"))))</f>
        <v>Small</v>
      </c>
      <c r="P2190" s="287" t="str">
        <f t="shared" si="36"/>
        <v>GujRERA</v>
      </c>
    </row>
    <row r="2191" spans="1:16">
      <c r="A2191" s="129" t="str">
        <f>_xlfn.XLOOKUP(B2191,$S$9:$S$14,$T$9:$T$14)&amp;"-"&amp;
IF(E2191="Residential/Group Housing","RES",
IF(E2191="Commercial","COM",
IF(E2191="Mixed Development","MIX",
IF(E2191="Plotted Development","PLT","OTH"))))
&amp;"-"&amp;TEXT(COUNTIFS($B$9:B2191,B2191,$E$9:E2191,E2191),"0000")</f>
        <v>SUR-RES-0728</v>
      </c>
      <c r="B2191" s="322" t="s">
        <v>34</v>
      </c>
      <c r="C2191" s="322" t="s">
        <v>34</v>
      </c>
      <c r="D2191" s="323" t="s">
        <v>2381</v>
      </c>
      <c r="E2191" s="132" t="s">
        <v>24</v>
      </c>
      <c r="F2191" s="97" t="str">
        <f ca="1">IF(OR(Market_Data[[#This Row],[Start Date]]="",Market_Data[[#This Row],[Completion Date]]=""),"Needs Validation",IF(Market_Data[[#This Row],[Start Date]]&gt;TODAY(),"Planned",IF(Market_Data[[#This Row],[Completion Date]]&lt;TODAY(),"Completed","Ongoing")))</f>
        <v>Ongoing</v>
      </c>
      <c r="G2191" s="324">
        <v>45292</v>
      </c>
      <c r="H2191" s="324">
        <v>47208</v>
      </c>
      <c r="I2191" s="325">
        <v>59100</v>
      </c>
      <c r="J219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91" s="133">
        <f>_xlfn.XLOOKUP(Market_Data[[#This Row],[Project Type]],tbl_assumptions_market[Project Category (RERA)],tbl_assumptions_market[Concrete Intensity
(m³ / sq m BUA)],"",0)</f>
        <v>0.45</v>
      </c>
      <c r="L2191" s="134">
        <f>ROUND(Market_Data[[#This Row],[Estimated Built Up Area (sq m)]]*Market_Data[[#This Row],[Concrete Intensity
(m³ / sq m)]],0)</f>
        <v>26595</v>
      </c>
      <c r="M2191" s="135">
        <f>_xlfn.XLOOKUP(Market_Data[[#This Row],[District]],tbl_district_price[District],tbl_district_price[Standard Price
(INR/m³)],"",0)</f>
        <v>6200</v>
      </c>
      <c r="N2191" s="364">
        <f>IF(OR(Market_Data[[#This Row],[Estimated Concrete Demand (m³)]]="",Market_Data[[#This Row],[Avg Price per (₹ / m³)]]=""),"",Market_Data[[#This Row],[Estimated Concrete Demand (m³)]]*Market_Data[[#This Row],[Avg Price per (₹ / m³)]]/10000000)</f>
        <v>16.488900000000001</v>
      </c>
      <c r="O2191" s="97" t="str">
        <f>IF(Market_Data[[#This Row],[Estimated Concrete Demand (m³)]]="","",
IF(Market_Data[[#This Row],[Estimated Concrete Demand (m³)]]&lt;10000,"Small",
IF(Market_Data[[#This Row],[Estimated Concrete Demand (m³)]]&lt;25000,"Medium",
IF(Market_Data[[#This Row],[Estimated Concrete Demand (m³)]]&lt;100000,"Large","Mega"))))</f>
        <v>Large</v>
      </c>
      <c r="P2191" s="287" t="str">
        <f t="shared" si="36"/>
        <v>GujRERA</v>
      </c>
    </row>
    <row r="2192" spans="1:16">
      <c r="A2192" s="129" t="str">
        <f>_xlfn.XLOOKUP(B2192,$S$9:$S$14,$T$9:$T$14)&amp;"-"&amp;
IF(E2192="Residential/Group Housing","RES",
IF(E2192="Commercial","COM",
IF(E2192="Mixed Development","MIX",
IF(E2192="Plotted Development","PLT","OTH"))))
&amp;"-"&amp;TEXT(COUNTIFS($B$9:B2192,B2192,$E$9:E2192,E2192),"0000")</f>
        <v>SUR-RES-0729</v>
      </c>
      <c r="B2192" s="322" t="s">
        <v>34</v>
      </c>
      <c r="C2192" s="322" t="s">
        <v>34</v>
      </c>
      <c r="D2192" s="323" t="s">
        <v>2382</v>
      </c>
      <c r="E2192" s="132" t="s">
        <v>24</v>
      </c>
      <c r="F2192" s="97" t="str">
        <f ca="1">IF(OR(Market_Data[[#This Row],[Start Date]]="",Market_Data[[#This Row],[Completion Date]]=""),"Needs Validation",IF(Market_Data[[#This Row],[Start Date]]&gt;TODAY(),"Planned",IF(Market_Data[[#This Row],[Completion Date]]&lt;TODAY(),"Completed","Ongoing")))</f>
        <v>Completed</v>
      </c>
      <c r="G2192" s="324">
        <v>43160</v>
      </c>
      <c r="H2192" s="324">
        <v>44165</v>
      </c>
      <c r="I2192" s="325">
        <v>23400</v>
      </c>
      <c r="J219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92" s="133">
        <f>_xlfn.XLOOKUP(Market_Data[[#This Row],[Project Type]],tbl_assumptions_market[Project Category (RERA)],tbl_assumptions_market[Concrete Intensity
(m³ / sq m BUA)],"",0)</f>
        <v>0.45</v>
      </c>
      <c r="L2192" s="134">
        <f>ROUND(Market_Data[[#This Row],[Estimated Built Up Area (sq m)]]*Market_Data[[#This Row],[Concrete Intensity
(m³ / sq m)]],0)</f>
        <v>10530</v>
      </c>
      <c r="M2192" s="135">
        <f>_xlfn.XLOOKUP(Market_Data[[#This Row],[District]],tbl_district_price[District],tbl_district_price[Standard Price
(INR/m³)],"",0)</f>
        <v>6200</v>
      </c>
      <c r="N2192" s="364">
        <f>IF(OR(Market_Data[[#This Row],[Estimated Concrete Demand (m³)]]="",Market_Data[[#This Row],[Avg Price per (₹ / m³)]]=""),"",Market_Data[[#This Row],[Estimated Concrete Demand (m³)]]*Market_Data[[#This Row],[Avg Price per (₹ / m³)]]/10000000)</f>
        <v>6.5286</v>
      </c>
      <c r="O2192" s="97" t="str">
        <f>IF(Market_Data[[#This Row],[Estimated Concrete Demand (m³)]]="","",
IF(Market_Data[[#This Row],[Estimated Concrete Demand (m³)]]&lt;10000,"Small",
IF(Market_Data[[#This Row],[Estimated Concrete Demand (m³)]]&lt;25000,"Medium",
IF(Market_Data[[#This Row],[Estimated Concrete Demand (m³)]]&lt;100000,"Large","Mega"))))</f>
        <v>Medium</v>
      </c>
      <c r="P2192" s="287" t="str">
        <f t="shared" si="36"/>
        <v>GujRERA</v>
      </c>
    </row>
    <row r="2193" spans="1:16">
      <c r="A2193" s="129" t="str">
        <f>_xlfn.XLOOKUP(B2193,$S$9:$S$14,$T$9:$T$14)&amp;"-"&amp;
IF(E2193="Residential/Group Housing","RES",
IF(E2193="Commercial","COM",
IF(E2193="Mixed Development","MIX",
IF(E2193="Plotted Development","PLT","OTH"))))
&amp;"-"&amp;TEXT(COUNTIFS($B$9:B2193,B2193,$E$9:E2193,E2193),"0000")</f>
        <v>SUR-RES-0730</v>
      </c>
      <c r="B2193" s="322" t="s">
        <v>34</v>
      </c>
      <c r="C2193" s="322" t="s">
        <v>34</v>
      </c>
      <c r="D2193" s="323" t="s">
        <v>2383</v>
      </c>
      <c r="E2193" s="132" t="s">
        <v>24</v>
      </c>
      <c r="F2193" s="97" t="str">
        <f ca="1">IF(OR(Market_Data[[#This Row],[Start Date]]="",Market_Data[[#This Row],[Completion Date]]=""),"Needs Validation",IF(Market_Data[[#This Row],[Start Date]]&gt;TODAY(),"Planned",IF(Market_Data[[#This Row],[Completion Date]]&lt;TODAY(),"Completed","Ongoing")))</f>
        <v>Ongoing</v>
      </c>
      <c r="G2193" s="324">
        <v>45895</v>
      </c>
      <c r="H2193" s="324">
        <v>47483</v>
      </c>
      <c r="I2193" s="325">
        <v>53100</v>
      </c>
      <c r="J219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93" s="133">
        <f>_xlfn.XLOOKUP(Market_Data[[#This Row],[Project Type]],tbl_assumptions_market[Project Category (RERA)],tbl_assumptions_market[Concrete Intensity
(m³ / sq m BUA)],"",0)</f>
        <v>0.45</v>
      </c>
      <c r="L2193" s="134">
        <f>ROUND(Market_Data[[#This Row],[Estimated Built Up Area (sq m)]]*Market_Data[[#This Row],[Concrete Intensity
(m³ / sq m)]],0)</f>
        <v>23895</v>
      </c>
      <c r="M2193" s="135">
        <f>_xlfn.XLOOKUP(Market_Data[[#This Row],[District]],tbl_district_price[District],tbl_district_price[Standard Price
(INR/m³)],"",0)</f>
        <v>6200</v>
      </c>
      <c r="N2193" s="364">
        <f>IF(OR(Market_Data[[#This Row],[Estimated Concrete Demand (m³)]]="",Market_Data[[#This Row],[Avg Price per (₹ / m³)]]=""),"",Market_Data[[#This Row],[Estimated Concrete Demand (m³)]]*Market_Data[[#This Row],[Avg Price per (₹ / m³)]]/10000000)</f>
        <v>14.8149</v>
      </c>
      <c r="O2193" s="97" t="str">
        <f>IF(Market_Data[[#This Row],[Estimated Concrete Demand (m³)]]="","",
IF(Market_Data[[#This Row],[Estimated Concrete Demand (m³)]]&lt;10000,"Small",
IF(Market_Data[[#This Row],[Estimated Concrete Demand (m³)]]&lt;25000,"Medium",
IF(Market_Data[[#This Row],[Estimated Concrete Demand (m³)]]&lt;100000,"Large","Mega"))))</f>
        <v>Medium</v>
      </c>
      <c r="P2193" s="287" t="str">
        <f t="shared" si="36"/>
        <v>GujRERA</v>
      </c>
    </row>
    <row r="2194" spans="1:16">
      <c r="A2194" s="129" t="str">
        <f>_xlfn.XLOOKUP(B2194,$S$9:$S$14,$T$9:$T$14)&amp;"-"&amp;
IF(E2194="Residential/Group Housing","RES",
IF(E2194="Commercial","COM",
IF(E2194="Mixed Development","MIX",
IF(E2194="Plotted Development","PLT","OTH"))))
&amp;"-"&amp;TEXT(COUNTIFS($B$9:B2194,B2194,$E$9:E2194,E2194),"0000")</f>
        <v>SUR-RES-0731</v>
      </c>
      <c r="B2194" s="322" t="s">
        <v>34</v>
      </c>
      <c r="C2194" s="322" t="s">
        <v>34</v>
      </c>
      <c r="D2194" s="323" t="s">
        <v>2384</v>
      </c>
      <c r="E2194" s="132" t="s">
        <v>24</v>
      </c>
      <c r="F2194" s="97" t="str">
        <f ca="1">IF(OR(Market_Data[[#This Row],[Start Date]]="",Market_Data[[#This Row],[Completion Date]]=""),"Needs Validation",IF(Market_Data[[#This Row],[Start Date]]&gt;TODAY(),"Planned",IF(Market_Data[[#This Row],[Completion Date]]&lt;TODAY(),"Completed","Ongoing")))</f>
        <v>Completed</v>
      </c>
      <c r="G2194" s="324">
        <v>43914</v>
      </c>
      <c r="H2194" s="324">
        <v>46112</v>
      </c>
      <c r="I2194" s="325">
        <v>27300</v>
      </c>
      <c r="J219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94" s="133">
        <f>_xlfn.XLOOKUP(Market_Data[[#This Row],[Project Type]],tbl_assumptions_market[Project Category (RERA)],tbl_assumptions_market[Concrete Intensity
(m³ / sq m BUA)],"",0)</f>
        <v>0.45</v>
      </c>
      <c r="L2194" s="134">
        <f>ROUND(Market_Data[[#This Row],[Estimated Built Up Area (sq m)]]*Market_Data[[#This Row],[Concrete Intensity
(m³ / sq m)]],0)</f>
        <v>12285</v>
      </c>
      <c r="M2194" s="135">
        <f>_xlfn.XLOOKUP(Market_Data[[#This Row],[District]],tbl_district_price[District],tbl_district_price[Standard Price
(INR/m³)],"",0)</f>
        <v>6200</v>
      </c>
      <c r="N2194" s="364">
        <f>IF(OR(Market_Data[[#This Row],[Estimated Concrete Demand (m³)]]="",Market_Data[[#This Row],[Avg Price per (₹ / m³)]]=""),"",Market_Data[[#This Row],[Estimated Concrete Demand (m³)]]*Market_Data[[#This Row],[Avg Price per (₹ / m³)]]/10000000)</f>
        <v>7.6166999999999998</v>
      </c>
      <c r="O2194" s="97" t="str">
        <f>IF(Market_Data[[#This Row],[Estimated Concrete Demand (m³)]]="","",
IF(Market_Data[[#This Row],[Estimated Concrete Demand (m³)]]&lt;10000,"Small",
IF(Market_Data[[#This Row],[Estimated Concrete Demand (m³)]]&lt;25000,"Medium",
IF(Market_Data[[#This Row],[Estimated Concrete Demand (m³)]]&lt;100000,"Large","Mega"))))</f>
        <v>Medium</v>
      </c>
      <c r="P2194" s="287" t="str">
        <f t="shared" si="36"/>
        <v>GujRERA</v>
      </c>
    </row>
    <row r="2195" spans="1:16">
      <c r="A2195" s="129" t="str">
        <f>_xlfn.XLOOKUP(B2195,$S$9:$S$14,$T$9:$T$14)&amp;"-"&amp;
IF(E2195="Residential/Group Housing","RES",
IF(E2195="Commercial","COM",
IF(E2195="Mixed Development","MIX",
IF(E2195="Plotted Development","PLT","OTH"))))
&amp;"-"&amp;TEXT(COUNTIFS($B$9:B2195,B2195,$E$9:E2195,E2195),"0000")</f>
        <v>SUR-RES-0732</v>
      </c>
      <c r="B2195" s="322" t="s">
        <v>34</v>
      </c>
      <c r="C2195" s="322" t="s">
        <v>34</v>
      </c>
      <c r="D2195" s="323" t="s">
        <v>2385</v>
      </c>
      <c r="E2195" s="132" t="s">
        <v>24</v>
      </c>
      <c r="F2195" s="97" t="str">
        <f ca="1">IF(OR(Market_Data[[#This Row],[Start Date]]="",Market_Data[[#This Row],[Completion Date]]=""),"Needs Validation",IF(Market_Data[[#This Row],[Start Date]]&gt;TODAY(),"Planned",IF(Market_Data[[#This Row],[Completion Date]]&lt;TODAY(),"Completed","Ongoing")))</f>
        <v>Ongoing</v>
      </c>
      <c r="G2195" s="324">
        <v>44690</v>
      </c>
      <c r="H2195" s="324">
        <v>46843</v>
      </c>
      <c r="I2195" s="325">
        <v>18400</v>
      </c>
      <c r="J219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95" s="133">
        <f>_xlfn.XLOOKUP(Market_Data[[#This Row],[Project Type]],tbl_assumptions_market[Project Category (RERA)],tbl_assumptions_market[Concrete Intensity
(m³ / sq m BUA)],"",0)</f>
        <v>0.45</v>
      </c>
      <c r="L2195" s="134">
        <f>ROUND(Market_Data[[#This Row],[Estimated Built Up Area (sq m)]]*Market_Data[[#This Row],[Concrete Intensity
(m³ / sq m)]],0)</f>
        <v>8280</v>
      </c>
      <c r="M2195" s="135">
        <f>_xlfn.XLOOKUP(Market_Data[[#This Row],[District]],tbl_district_price[District],tbl_district_price[Standard Price
(INR/m³)],"",0)</f>
        <v>6200</v>
      </c>
      <c r="N2195" s="364">
        <f>IF(OR(Market_Data[[#This Row],[Estimated Concrete Demand (m³)]]="",Market_Data[[#This Row],[Avg Price per (₹ / m³)]]=""),"",Market_Data[[#This Row],[Estimated Concrete Demand (m³)]]*Market_Data[[#This Row],[Avg Price per (₹ / m³)]]/10000000)</f>
        <v>5.1336000000000004</v>
      </c>
      <c r="O2195" s="97" t="str">
        <f>IF(Market_Data[[#This Row],[Estimated Concrete Demand (m³)]]="","",
IF(Market_Data[[#This Row],[Estimated Concrete Demand (m³)]]&lt;10000,"Small",
IF(Market_Data[[#This Row],[Estimated Concrete Demand (m³)]]&lt;25000,"Medium",
IF(Market_Data[[#This Row],[Estimated Concrete Demand (m³)]]&lt;100000,"Large","Mega"))))</f>
        <v>Small</v>
      </c>
      <c r="P2195" s="287" t="str">
        <f t="shared" si="36"/>
        <v>GujRERA</v>
      </c>
    </row>
    <row r="2196" spans="1:16">
      <c r="A2196" s="129" t="str">
        <f>_xlfn.XLOOKUP(B2196,$S$9:$S$14,$T$9:$T$14)&amp;"-"&amp;
IF(E2196="Residential/Group Housing","RES",
IF(E2196="Commercial","COM",
IF(E2196="Mixed Development","MIX",
IF(E2196="Plotted Development","PLT","OTH"))))
&amp;"-"&amp;TEXT(COUNTIFS($B$9:B2196,B2196,$E$9:E2196,E2196),"0000")</f>
        <v>SUR-RES-0733</v>
      </c>
      <c r="B2196" s="322" t="s">
        <v>34</v>
      </c>
      <c r="C2196" s="322" t="s">
        <v>34</v>
      </c>
      <c r="D2196" s="323" t="s">
        <v>2386</v>
      </c>
      <c r="E2196" s="132" t="s">
        <v>24</v>
      </c>
      <c r="F2196" s="97" t="str">
        <f ca="1">IF(OR(Market_Data[[#This Row],[Start Date]]="",Market_Data[[#This Row],[Completion Date]]=""),"Needs Validation",IF(Market_Data[[#This Row],[Start Date]]&gt;TODAY(),"Planned",IF(Market_Data[[#This Row],[Completion Date]]&lt;TODAY(),"Completed","Ongoing")))</f>
        <v>Ongoing</v>
      </c>
      <c r="G2196" s="324">
        <v>45731</v>
      </c>
      <c r="H2196" s="324">
        <v>47483</v>
      </c>
      <c r="I2196" s="325">
        <v>32500</v>
      </c>
      <c r="J219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96" s="133">
        <f>_xlfn.XLOOKUP(Market_Data[[#This Row],[Project Type]],tbl_assumptions_market[Project Category (RERA)],tbl_assumptions_market[Concrete Intensity
(m³ / sq m BUA)],"",0)</f>
        <v>0.45</v>
      </c>
      <c r="L2196" s="134">
        <f>ROUND(Market_Data[[#This Row],[Estimated Built Up Area (sq m)]]*Market_Data[[#This Row],[Concrete Intensity
(m³ / sq m)]],0)</f>
        <v>14625</v>
      </c>
      <c r="M2196" s="135">
        <f>_xlfn.XLOOKUP(Market_Data[[#This Row],[District]],tbl_district_price[District],tbl_district_price[Standard Price
(INR/m³)],"",0)</f>
        <v>6200</v>
      </c>
      <c r="N2196" s="364">
        <f>IF(OR(Market_Data[[#This Row],[Estimated Concrete Demand (m³)]]="",Market_Data[[#This Row],[Avg Price per (₹ / m³)]]=""),"",Market_Data[[#This Row],[Estimated Concrete Demand (m³)]]*Market_Data[[#This Row],[Avg Price per (₹ / m³)]]/10000000)</f>
        <v>9.0675000000000008</v>
      </c>
      <c r="O2196" s="97" t="str">
        <f>IF(Market_Data[[#This Row],[Estimated Concrete Demand (m³)]]="","",
IF(Market_Data[[#This Row],[Estimated Concrete Demand (m³)]]&lt;10000,"Small",
IF(Market_Data[[#This Row],[Estimated Concrete Demand (m³)]]&lt;25000,"Medium",
IF(Market_Data[[#This Row],[Estimated Concrete Demand (m³)]]&lt;100000,"Large","Mega"))))</f>
        <v>Medium</v>
      </c>
      <c r="P2196" s="287" t="str">
        <f t="shared" si="36"/>
        <v>GujRERA</v>
      </c>
    </row>
    <row r="2197" spans="1:16">
      <c r="A2197" s="129" t="str">
        <f>_xlfn.XLOOKUP(B2197,$S$9:$S$14,$T$9:$T$14)&amp;"-"&amp;
IF(E2197="Residential/Group Housing","RES",
IF(E2197="Commercial","COM",
IF(E2197="Mixed Development","MIX",
IF(E2197="Plotted Development","PLT","OTH"))))
&amp;"-"&amp;TEXT(COUNTIFS($B$9:B2197,B2197,$E$9:E2197,E2197),"0000")</f>
        <v>SUR-MIX-0374</v>
      </c>
      <c r="B2197" s="322" t="s">
        <v>34</v>
      </c>
      <c r="C2197" s="322" t="s">
        <v>34</v>
      </c>
      <c r="D2197" s="323" t="s">
        <v>2387</v>
      </c>
      <c r="E2197" s="132" t="s">
        <v>25</v>
      </c>
      <c r="F2197" s="97" t="str">
        <f ca="1">IF(OR(Market_Data[[#This Row],[Start Date]]="",Market_Data[[#This Row],[Completion Date]]=""),"Needs Validation",IF(Market_Data[[#This Row],[Start Date]]&gt;TODAY(),"Planned",IF(Market_Data[[#This Row],[Completion Date]]&lt;TODAY(),"Completed","Ongoing")))</f>
        <v>Completed</v>
      </c>
      <c r="G2197" s="324">
        <v>43879</v>
      </c>
      <c r="H2197" s="324">
        <v>45930</v>
      </c>
      <c r="I2197" s="325">
        <v>20100</v>
      </c>
      <c r="J219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97" s="133">
        <f>_xlfn.XLOOKUP(Market_Data[[#This Row],[Project Type]],tbl_assumptions_market[Project Category (RERA)],tbl_assumptions_market[Concrete Intensity
(m³ / sq m BUA)],"",0)</f>
        <v>0.42</v>
      </c>
      <c r="L2197" s="134">
        <f>ROUND(Market_Data[[#This Row],[Estimated Built Up Area (sq m)]]*Market_Data[[#This Row],[Concrete Intensity
(m³ / sq m)]],0)</f>
        <v>8442</v>
      </c>
      <c r="M2197" s="135">
        <f>_xlfn.XLOOKUP(Market_Data[[#This Row],[District]],tbl_district_price[District],tbl_district_price[Standard Price
(INR/m³)],"",0)</f>
        <v>6200</v>
      </c>
      <c r="N2197" s="364">
        <f>IF(OR(Market_Data[[#This Row],[Estimated Concrete Demand (m³)]]="",Market_Data[[#This Row],[Avg Price per (₹ / m³)]]=""),"",Market_Data[[#This Row],[Estimated Concrete Demand (m³)]]*Market_Data[[#This Row],[Avg Price per (₹ / m³)]]/10000000)</f>
        <v>5.2340400000000002</v>
      </c>
      <c r="O2197" s="97" t="str">
        <f>IF(Market_Data[[#This Row],[Estimated Concrete Demand (m³)]]="","",
IF(Market_Data[[#This Row],[Estimated Concrete Demand (m³)]]&lt;10000,"Small",
IF(Market_Data[[#This Row],[Estimated Concrete Demand (m³)]]&lt;25000,"Medium",
IF(Market_Data[[#This Row],[Estimated Concrete Demand (m³)]]&lt;100000,"Large","Mega"))))</f>
        <v>Small</v>
      </c>
      <c r="P2197" s="287" t="str">
        <f t="shared" si="36"/>
        <v>GujRERA</v>
      </c>
    </row>
    <row r="2198" spans="1:16">
      <c r="A2198" s="129" t="str">
        <f>_xlfn.XLOOKUP(B2198,$S$9:$S$14,$T$9:$T$14)&amp;"-"&amp;
IF(E2198="Residential/Group Housing","RES",
IF(E2198="Commercial","COM",
IF(E2198="Mixed Development","MIX",
IF(E2198="Plotted Development","PLT","OTH"))))
&amp;"-"&amp;TEXT(COUNTIFS($B$9:B2198,B2198,$E$9:E2198,E2198),"0000")</f>
        <v>SUR-PLT-0435</v>
      </c>
      <c r="B2198" s="322" t="s">
        <v>34</v>
      </c>
      <c r="C2198" s="322" t="s">
        <v>34</v>
      </c>
      <c r="D2198" s="323" t="s">
        <v>2388</v>
      </c>
      <c r="E2198" s="132" t="s">
        <v>26</v>
      </c>
      <c r="F2198" s="97" t="str">
        <f ca="1">IF(OR(Market_Data[[#This Row],[Start Date]]="",Market_Data[[#This Row],[Completion Date]]=""),"Needs Validation",IF(Market_Data[[#This Row],[Start Date]]&gt;TODAY(),"Planned",IF(Market_Data[[#This Row],[Completion Date]]&lt;TODAY(),"Completed","Ongoing")))</f>
        <v>Completed</v>
      </c>
      <c r="G2198" s="324">
        <v>45118</v>
      </c>
      <c r="H2198" s="324">
        <v>46022</v>
      </c>
      <c r="I2198" s="325">
        <v>27600</v>
      </c>
      <c r="J219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98" s="133">
        <f>_xlfn.XLOOKUP(Market_Data[[#This Row],[Project Type]],tbl_assumptions_market[Project Category (RERA)],tbl_assumptions_market[Concrete Intensity
(m³ / sq m BUA)],"",0)</f>
        <v>0.18</v>
      </c>
      <c r="L2198" s="134">
        <f>ROUND(Market_Data[[#This Row],[Estimated Built Up Area (sq m)]]*Market_Data[[#This Row],[Concrete Intensity
(m³ / sq m)]],0)</f>
        <v>4968</v>
      </c>
      <c r="M2198" s="135">
        <f>_xlfn.XLOOKUP(Market_Data[[#This Row],[District]],tbl_district_price[District],tbl_district_price[Standard Price
(INR/m³)],"",0)</f>
        <v>6200</v>
      </c>
      <c r="N2198" s="364">
        <f>IF(OR(Market_Data[[#This Row],[Estimated Concrete Demand (m³)]]="",Market_Data[[#This Row],[Avg Price per (₹ / m³)]]=""),"",Market_Data[[#This Row],[Estimated Concrete Demand (m³)]]*Market_Data[[#This Row],[Avg Price per (₹ / m³)]]/10000000)</f>
        <v>3.0801599999999998</v>
      </c>
      <c r="O2198" s="97" t="str">
        <f>IF(Market_Data[[#This Row],[Estimated Concrete Demand (m³)]]="","",
IF(Market_Data[[#This Row],[Estimated Concrete Demand (m³)]]&lt;10000,"Small",
IF(Market_Data[[#This Row],[Estimated Concrete Demand (m³)]]&lt;25000,"Medium",
IF(Market_Data[[#This Row],[Estimated Concrete Demand (m³)]]&lt;100000,"Large","Mega"))))</f>
        <v>Small</v>
      </c>
      <c r="P2198" s="287" t="str">
        <f t="shared" si="36"/>
        <v>GujRERA</v>
      </c>
    </row>
    <row r="2199" spans="1:16">
      <c r="A2199" s="129" t="str">
        <f>_xlfn.XLOOKUP(B2199,$S$9:$S$14,$T$9:$T$14)&amp;"-"&amp;
IF(E2199="Residential/Group Housing","RES",
IF(E2199="Commercial","COM",
IF(E2199="Mixed Development","MIX",
IF(E2199="Plotted Development","PLT","OTH"))))
&amp;"-"&amp;TEXT(COUNTIFS($B$9:B2199,B2199,$E$9:E2199,E2199),"0000")</f>
        <v>SUR-MIX-0375</v>
      </c>
      <c r="B2199" s="322" t="s">
        <v>34</v>
      </c>
      <c r="C2199" s="322" t="s">
        <v>34</v>
      </c>
      <c r="D2199" s="323" t="s">
        <v>2389</v>
      </c>
      <c r="E2199" s="132" t="s">
        <v>25</v>
      </c>
      <c r="F2199" s="97" t="str">
        <f ca="1">IF(OR(Market_Data[[#This Row],[Start Date]]="",Market_Data[[#This Row],[Completion Date]]=""),"Needs Validation",IF(Market_Data[[#This Row],[Start Date]]&gt;TODAY(),"Planned",IF(Market_Data[[#This Row],[Completion Date]]&lt;TODAY(),"Completed","Ongoing")))</f>
        <v>Ongoing</v>
      </c>
      <c r="G2199" s="324">
        <v>45658</v>
      </c>
      <c r="H2199" s="324">
        <v>47208</v>
      </c>
      <c r="I2199" s="325">
        <v>19300</v>
      </c>
      <c r="J219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199" s="133">
        <f>_xlfn.XLOOKUP(Market_Data[[#This Row],[Project Type]],tbl_assumptions_market[Project Category (RERA)],tbl_assumptions_market[Concrete Intensity
(m³ / sq m BUA)],"",0)</f>
        <v>0.42</v>
      </c>
      <c r="L2199" s="134">
        <f>ROUND(Market_Data[[#This Row],[Estimated Built Up Area (sq m)]]*Market_Data[[#This Row],[Concrete Intensity
(m³ / sq m)]],0)</f>
        <v>8106</v>
      </c>
      <c r="M2199" s="135">
        <f>_xlfn.XLOOKUP(Market_Data[[#This Row],[District]],tbl_district_price[District],tbl_district_price[Standard Price
(INR/m³)],"",0)</f>
        <v>6200</v>
      </c>
      <c r="N2199" s="364">
        <f>IF(OR(Market_Data[[#This Row],[Estimated Concrete Demand (m³)]]="",Market_Data[[#This Row],[Avg Price per (₹ / m³)]]=""),"",Market_Data[[#This Row],[Estimated Concrete Demand (m³)]]*Market_Data[[#This Row],[Avg Price per (₹ / m³)]]/10000000)</f>
        <v>5.0257199999999997</v>
      </c>
      <c r="O2199" s="97" t="str">
        <f>IF(Market_Data[[#This Row],[Estimated Concrete Demand (m³)]]="","",
IF(Market_Data[[#This Row],[Estimated Concrete Demand (m³)]]&lt;10000,"Small",
IF(Market_Data[[#This Row],[Estimated Concrete Demand (m³)]]&lt;25000,"Medium",
IF(Market_Data[[#This Row],[Estimated Concrete Demand (m³)]]&lt;100000,"Large","Mega"))))</f>
        <v>Small</v>
      </c>
      <c r="P2199" s="287" t="str">
        <f t="shared" si="36"/>
        <v>GujRERA</v>
      </c>
    </row>
    <row r="2200" spans="1:16">
      <c r="A2200" s="129" t="str">
        <f>_xlfn.XLOOKUP(B2200,$S$9:$S$14,$T$9:$T$14)&amp;"-"&amp;
IF(E2200="Residential/Group Housing","RES",
IF(E2200="Commercial","COM",
IF(E2200="Mixed Development","MIX",
IF(E2200="Plotted Development","PLT","OTH"))))
&amp;"-"&amp;TEXT(COUNTIFS($B$9:B2200,B2200,$E$9:E2200,E2200),"0000")</f>
        <v>SUR-COM-0339</v>
      </c>
      <c r="B2200" s="322" t="s">
        <v>34</v>
      </c>
      <c r="C2200" s="322" t="s">
        <v>34</v>
      </c>
      <c r="D2200" s="323" t="s">
        <v>2390</v>
      </c>
      <c r="E2200" s="132" t="s">
        <v>23</v>
      </c>
      <c r="F2200" s="97" t="str">
        <f ca="1">IF(OR(Market_Data[[#This Row],[Start Date]]="",Market_Data[[#This Row],[Completion Date]]=""),"Needs Validation",IF(Market_Data[[#This Row],[Start Date]]&gt;TODAY(),"Planned",IF(Market_Data[[#This Row],[Completion Date]]&lt;TODAY(),"Completed","Ongoing")))</f>
        <v>Completed</v>
      </c>
      <c r="G2200" s="324">
        <v>42156</v>
      </c>
      <c r="H2200" s="324">
        <v>44104</v>
      </c>
      <c r="I2200" s="325">
        <v>10400</v>
      </c>
      <c r="J220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00" s="133">
        <f>_xlfn.XLOOKUP(Market_Data[[#This Row],[Project Type]],tbl_assumptions_market[Project Category (RERA)],tbl_assumptions_market[Concrete Intensity
(m³ / sq m BUA)],"",0)</f>
        <v>0.5</v>
      </c>
      <c r="L2200" s="134">
        <f>ROUND(Market_Data[[#This Row],[Estimated Built Up Area (sq m)]]*Market_Data[[#This Row],[Concrete Intensity
(m³ / sq m)]],0)</f>
        <v>5200</v>
      </c>
      <c r="M2200" s="135">
        <f>_xlfn.XLOOKUP(Market_Data[[#This Row],[District]],tbl_district_price[District],tbl_district_price[Standard Price
(INR/m³)],"",0)</f>
        <v>6200</v>
      </c>
      <c r="N2200" s="364">
        <f>IF(OR(Market_Data[[#This Row],[Estimated Concrete Demand (m³)]]="",Market_Data[[#This Row],[Avg Price per (₹ / m³)]]=""),"",Market_Data[[#This Row],[Estimated Concrete Demand (m³)]]*Market_Data[[#This Row],[Avg Price per (₹ / m³)]]/10000000)</f>
        <v>3.2240000000000002</v>
      </c>
      <c r="O2200" s="97" t="str">
        <f>IF(Market_Data[[#This Row],[Estimated Concrete Demand (m³)]]="","",
IF(Market_Data[[#This Row],[Estimated Concrete Demand (m³)]]&lt;10000,"Small",
IF(Market_Data[[#This Row],[Estimated Concrete Demand (m³)]]&lt;25000,"Medium",
IF(Market_Data[[#This Row],[Estimated Concrete Demand (m³)]]&lt;100000,"Large","Mega"))))</f>
        <v>Small</v>
      </c>
      <c r="P2200" s="287" t="str">
        <f t="shared" si="36"/>
        <v>GujRERA</v>
      </c>
    </row>
    <row r="2201" spans="1:16">
      <c r="A2201" s="129" t="str">
        <f>_xlfn.XLOOKUP(B2201,$S$9:$S$14,$T$9:$T$14)&amp;"-"&amp;
IF(E2201="Residential/Group Housing","RES",
IF(E2201="Commercial","COM",
IF(E2201="Mixed Development","MIX",
IF(E2201="Plotted Development","PLT","OTH"))))
&amp;"-"&amp;TEXT(COUNTIFS($B$9:B2201,B2201,$E$9:E2201,E2201),"0000")</f>
        <v>SUR-COM-0340</v>
      </c>
      <c r="B2201" s="322" t="s">
        <v>34</v>
      </c>
      <c r="C2201" s="322" t="s">
        <v>34</v>
      </c>
      <c r="D2201" s="323" t="s">
        <v>2391</v>
      </c>
      <c r="E2201" s="132" t="s">
        <v>23</v>
      </c>
      <c r="F2201" s="97" t="str">
        <f ca="1">IF(OR(Market_Data[[#This Row],[Start Date]]="",Market_Data[[#This Row],[Completion Date]]=""),"Needs Validation",IF(Market_Data[[#This Row],[Start Date]]&gt;TODAY(),"Planned",IF(Market_Data[[#This Row],[Completion Date]]&lt;TODAY(),"Completed","Ongoing")))</f>
        <v>Completed</v>
      </c>
      <c r="G2201" s="324">
        <v>42796</v>
      </c>
      <c r="H2201" s="324">
        <v>43555</v>
      </c>
      <c r="I2201" s="325">
        <v>5700</v>
      </c>
      <c r="J220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01" s="133">
        <f>_xlfn.XLOOKUP(Market_Data[[#This Row],[Project Type]],tbl_assumptions_market[Project Category (RERA)],tbl_assumptions_market[Concrete Intensity
(m³ / sq m BUA)],"",0)</f>
        <v>0.5</v>
      </c>
      <c r="L2201" s="134">
        <f>ROUND(Market_Data[[#This Row],[Estimated Built Up Area (sq m)]]*Market_Data[[#This Row],[Concrete Intensity
(m³ / sq m)]],0)</f>
        <v>2850</v>
      </c>
      <c r="M2201" s="135">
        <f>_xlfn.XLOOKUP(Market_Data[[#This Row],[District]],tbl_district_price[District],tbl_district_price[Standard Price
(INR/m³)],"",0)</f>
        <v>6200</v>
      </c>
      <c r="N2201" s="364">
        <f>IF(OR(Market_Data[[#This Row],[Estimated Concrete Demand (m³)]]="",Market_Data[[#This Row],[Avg Price per (₹ / m³)]]=""),"",Market_Data[[#This Row],[Estimated Concrete Demand (m³)]]*Market_Data[[#This Row],[Avg Price per (₹ / m³)]]/10000000)</f>
        <v>1.7669999999999999</v>
      </c>
      <c r="O2201" s="97" t="str">
        <f>IF(Market_Data[[#This Row],[Estimated Concrete Demand (m³)]]="","",
IF(Market_Data[[#This Row],[Estimated Concrete Demand (m³)]]&lt;10000,"Small",
IF(Market_Data[[#This Row],[Estimated Concrete Demand (m³)]]&lt;25000,"Medium",
IF(Market_Data[[#This Row],[Estimated Concrete Demand (m³)]]&lt;100000,"Large","Mega"))))</f>
        <v>Small</v>
      </c>
      <c r="P2201" s="287" t="str">
        <f t="shared" si="36"/>
        <v>GujRERA</v>
      </c>
    </row>
    <row r="2202" spans="1:16">
      <c r="A2202" s="129" t="str">
        <f>_xlfn.XLOOKUP(B2202,$S$9:$S$14,$T$9:$T$14)&amp;"-"&amp;
IF(E2202="Residential/Group Housing","RES",
IF(E2202="Commercial","COM",
IF(E2202="Mixed Development","MIX",
IF(E2202="Plotted Development","PLT","OTH"))))
&amp;"-"&amp;TEXT(COUNTIFS($B$9:B2202,B2202,$E$9:E2202,E2202),"0000")</f>
        <v>SUR-MIX-0376</v>
      </c>
      <c r="B2202" s="322" t="s">
        <v>34</v>
      </c>
      <c r="C2202" s="322" t="s">
        <v>34</v>
      </c>
      <c r="D2202" s="323" t="s">
        <v>2392</v>
      </c>
      <c r="E2202" s="132" t="s">
        <v>25</v>
      </c>
      <c r="F2202" s="97" t="str">
        <f ca="1">IF(OR(Market_Data[[#This Row],[Start Date]]="",Market_Data[[#This Row],[Completion Date]]=""),"Needs Validation",IF(Market_Data[[#This Row],[Start Date]]&gt;TODAY(),"Planned",IF(Market_Data[[#This Row],[Completion Date]]&lt;TODAY(),"Completed","Ongoing")))</f>
        <v>Ongoing</v>
      </c>
      <c r="G2202" s="324">
        <v>45909</v>
      </c>
      <c r="H2202" s="324">
        <v>48669</v>
      </c>
      <c r="I2202" s="325">
        <v>21100</v>
      </c>
      <c r="J220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02" s="133">
        <f>_xlfn.XLOOKUP(Market_Data[[#This Row],[Project Type]],tbl_assumptions_market[Project Category (RERA)],tbl_assumptions_market[Concrete Intensity
(m³ / sq m BUA)],"",0)</f>
        <v>0.42</v>
      </c>
      <c r="L2202" s="134">
        <f>ROUND(Market_Data[[#This Row],[Estimated Built Up Area (sq m)]]*Market_Data[[#This Row],[Concrete Intensity
(m³ / sq m)]],0)</f>
        <v>8862</v>
      </c>
      <c r="M2202" s="135">
        <f>_xlfn.XLOOKUP(Market_Data[[#This Row],[District]],tbl_district_price[District],tbl_district_price[Standard Price
(INR/m³)],"",0)</f>
        <v>6200</v>
      </c>
      <c r="N2202" s="364">
        <f>IF(OR(Market_Data[[#This Row],[Estimated Concrete Demand (m³)]]="",Market_Data[[#This Row],[Avg Price per (₹ / m³)]]=""),"",Market_Data[[#This Row],[Estimated Concrete Demand (m³)]]*Market_Data[[#This Row],[Avg Price per (₹ / m³)]]/10000000)</f>
        <v>5.49444</v>
      </c>
      <c r="O2202" s="97" t="str">
        <f>IF(Market_Data[[#This Row],[Estimated Concrete Demand (m³)]]="","",
IF(Market_Data[[#This Row],[Estimated Concrete Demand (m³)]]&lt;10000,"Small",
IF(Market_Data[[#This Row],[Estimated Concrete Demand (m³)]]&lt;25000,"Medium",
IF(Market_Data[[#This Row],[Estimated Concrete Demand (m³)]]&lt;100000,"Large","Mega"))))</f>
        <v>Small</v>
      </c>
      <c r="P2202" s="287" t="str">
        <f t="shared" si="36"/>
        <v>GujRERA</v>
      </c>
    </row>
    <row r="2203" spans="1:16">
      <c r="A2203" s="129" t="str">
        <f>_xlfn.XLOOKUP(B2203,$S$9:$S$14,$T$9:$T$14)&amp;"-"&amp;
IF(E2203="Residential/Group Housing","RES",
IF(E2203="Commercial","COM",
IF(E2203="Mixed Development","MIX",
IF(E2203="Plotted Development","PLT","OTH"))))
&amp;"-"&amp;TEXT(COUNTIFS($B$9:B2203,B2203,$E$9:E2203,E2203),"0000")</f>
        <v>SUR-RES-0734</v>
      </c>
      <c r="B2203" s="322" t="s">
        <v>34</v>
      </c>
      <c r="C2203" s="322" t="s">
        <v>34</v>
      </c>
      <c r="D2203" s="323" t="s">
        <v>2393</v>
      </c>
      <c r="E2203" s="132" t="s">
        <v>24</v>
      </c>
      <c r="F2203" s="97" t="str">
        <f ca="1">IF(OR(Market_Data[[#This Row],[Start Date]]="",Market_Data[[#This Row],[Completion Date]]=""),"Needs Validation",IF(Market_Data[[#This Row],[Start Date]]&gt;TODAY(),"Planned",IF(Market_Data[[#This Row],[Completion Date]]&lt;TODAY(),"Completed","Ongoing")))</f>
        <v>Ongoing</v>
      </c>
      <c r="G2203" s="324">
        <v>45373</v>
      </c>
      <c r="H2203" s="324">
        <v>47208</v>
      </c>
      <c r="I2203" s="325">
        <v>21800</v>
      </c>
      <c r="J220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03" s="133">
        <f>_xlfn.XLOOKUP(Market_Data[[#This Row],[Project Type]],tbl_assumptions_market[Project Category (RERA)],tbl_assumptions_market[Concrete Intensity
(m³ / sq m BUA)],"",0)</f>
        <v>0.45</v>
      </c>
      <c r="L2203" s="134">
        <f>ROUND(Market_Data[[#This Row],[Estimated Built Up Area (sq m)]]*Market_Data[[#This Row],[Concrete Intensity
(m³ / sq m)]],0)</f>
        <v>9810</v>
      </c>
      <c r="M2203" s="135">
        <f>_xlfn.XLOOKUP(Market_Data[[#This Row],[District]],tbl_district_price[District],tbl_district_price[Standard Price
(INR/m³)],"",0)</f>
        <v>6200</v>
      </c>
      <c r="N2203" s="364">
        <f>IF(OR(Market_Data[[#This Row],[Estimated Concrete Demand (m³)]]="",Market_Data[[#This Row],[Avg Price per (₹ / m³)]]=""),"",Market_Data[[#This Row],[Estimated Concrete Demand (m³)]]*Market_Data[[#This Row],[Avg Price per (₹ / m³)]]/10000000)</f>
        <v>6.0822000000000003</v>
      </c>
      <c r="O2203" s="97" t="str">
        <f>IF(Market_Data[[#This Row],[Estimated Concrete Demand (m³)]]="","",
IF(Market_Data[[#This Row],[Estimated Concrete Demand (m³)]]&lt;10000,"Small",
IF(Market_Data[[#This Row],[Estimated Concrete Demand (m³)]]&lt;25000,"Medium",
IF(Market_Data[[#This Row],[Estimated Concrete Demand (m³)]]&lt;100000,"Large","Mega"))))</f>
        <v>Small</v>
      </c>
      <c r="P2203" s="287" t="str">
        <f t="shared" si="36"/>
        <v>GujRERA</v>
      </c>
    </row>
    <row r="2204" spans="1:16">
      <c r="A2204" s="129" t="str">
        <f>_xlfn.XLOOKUP(B2204,$S$9:$S$14,$T$9:$T$14)&amp;"-"&amp;
IF(E2204="Residential/Group Housing","RES",
IF(E2204="Commercial","COM",
IF(E2204="Mixed Development","MIX",
IF(E2204="Plotted Development","PLT","OTH"))))
&amp;"-"&amp;TEXT(COUNTIFS($B$9:B2204,B2204,$E$9:E2204,E2204),"0000")</f>
        <v>SUR-COM-0341</v>
      </c>
      <c r="B2204" s="322" t="s">
        <v>34</v>
      </c>
      <c r="C2204" s="322" t="s">
        <v>34</v>
      </c>
      <c r="D2204" s="323" t="s">
        <v>2394</v>
      </c>
      <c r="E2204" s="132" t="s">
        <v>23</v>
      </c>
      <c r="F2204" s="97" t="str">
        <f ca="1">IF(OR(Market_Data[[#This Row],[Start Date]]="",Market_Data[[#This Row],[Completion Date]]=""),"Needs Validation",IF(Market_Data[[#This Row],[Start Date]]&gt;TODAY(),"Planned",IF(Market_Data[[#This Row],[Completion Date]]&lt;TODAY(),"Completed","Ongoing")))</f>
        <v>Completed</v>
      </c>
      <c r="G2204" s="324">
        <v>42447</v>
      </c>
      <c r="H2204" s="324">
        <v>43220</v>
      </c>
      <c r="I2204" s="325">
        <v>16600</v>
      </c>
      <c r="J220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04" s="133">
        <f>_xlfn.XLOOKUP(Market_Data[[#This Row],[Project Type]],tbl_assumptions_market[Project Category (RERA)],tbl_assumptions_market[Concrete Intensity
(m³ / sq m BUA)],"",0)</f>
        <v>0.5</v>
      </c>
      <c r="L2204" s="134">
        <f>ROUND(Market_Data[[#This Row],[Estimated Built Up Area (sq m)]]*Market_Data[[#This Row],[Concrete Intensity
(m³ / sq m)]],0)</f>
        <v>8300</v>
      </c>
      <c r="M2204" s="135">
        <f>_xlfn.XLOOKUP(Market_Data[[#This Row],[District]],tbl_district_price[District],tbl_district_price[Standard Price
(INR/m³)],"",0)</f>
        <v>6200</v>
      </c>
      <c r="N2204" s="364">
        <f>IF(OR(Market_Data[[#This Row],[Estimated Concrete Demand (m³)]]="",Market_Data[[#This Row],[Avg Price per (₹ / m³)]]=""),"",Market_Data[[#This Row],[Estimated Concrete Demand (m³)]]*Market_Data[[#This Row],[Avg Price per (₹ / m³)]]/10000000)</f>
        <v>5.1459999999999999</v>
      </c>
      <c r="O2204" s="97" t="str">
        <f>IF(Market_Data[[#This Row],[Estimated Concrete Demand (m³)]]="","",
IF(Market_Data[[#This Row],[Estimated Concrete Demand (m³)]]&lt;10000,"Small",
IF(Market_Data[[#This Row],[Estimated Concrete Demand (m³)]]&lt;25000,"Medium",
IF(Market_Data[[#This Row],[Estimated Concrete Demand (m³)]]&lt;100000,"Large","Mega"))))</f>
        <v>Small</v>
      </c>
      <c r="P2204" s="287" t="str">
        <f t="shared" si="36"/>
        <v>GujRERA</v>
      </c>
    </row>
    <row r="2205" spans="1:16">
      <c r="A2205" s="129" t="str">
        <f>_xlfn.XLOOKUP(B2205,$S$9:$S$14,$T$9:$T$14)&amp;"-"&amp;
IF(E2205="Residential/Group Housing","RES",
IF(E2205="Commercial","COM",
IF(E2205="Mixed Development","MIX",
IF(E2205="Plotted Development","PLT","OTH"))))
&amp;"-"&amp;TEXT(COUNTIFS($B$9:B2205,B2205,$E$9:E2205,E2205),"0000")</f>
        <v>SUR-COM-0342</v>
      </c>
      <c r="B2205" s="322" t="s">
        <v>34</v>
      </c>
      <c r="C2205" s="322" t="s">
        <v>34</v>
      </c>
      <c r="D2205" s="323" t="s">
        <v>2395</v>
      </c>
      <c r="E2205" s="132" t="s">
        <v>23</v>
      </c>
      <c r="F2205" s="97" t="str">
        <f ca="1">IF(OR(Market_Data[[#This Row],[Start Date]]="",Market_Data[[#This Row],[Completion Date]]=""),"Needs Validation",IF(Market_Data[[#This Row],[Start Date]]&gt;TODAY(),"Planned",IF(Market_Data[[#This Row],[Completion Date]]&lt;TODAY(),"Completed","Ongoing")))</f>
        <v>Ongoing</v>
      </c>
      <c r="G2205" s="324">
        <v>45590</v>
      </c>
      <c r="H2205" s="324">
        <v>47848</v>
      </c>
      <c r="I2205" s="325">
        <v>45500</v>
      </c>
      <c r="J220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205" s="133">
        <f>_xlfn.XLOOKUP(Market_Data[[#This Row],[Project Type]],tbl_assumptions_market[Project Category (RERA)],tbl_assumptions_market[Concrete Intensity
(m³ / sq m BUA)],"",0)</f>
        <v>0.5</v>
      </c>
      <c r="L2205" s="134">
        <f>ROUND(Market_Data[[#This Row],[Estimated Built Up Area (sq m)]]*Market_Data[[#This Row],[Concrete Intensity
(m³ / sq m)]],0)</f>
        <v>22750</v>
      </c>
      <c r="M2205" s="135">
        <f>_xlfn.XLOOKUP(Market_Data[[#This Row],[District]],tbl_district_price[District],tbl_district_price[Standard Price
(INR/m³)],"",0)</f>
        <v>6200</v>
      </c>
      <c r="N2205" s="364">
        <f>IF(OR(Market_Data[[#This Row],[Estimated Concrete Demand (m³)]]="",Market_Data[[#This Row],[Avg Price per (₹ / m³)]]=""),"",Market_Data[[#This Row],[Estimated Concrete Demand (m³)]]*Market_Data[[#This Row],[Avg Price per (₹ / m³)]]/10000000)</f>
        <v>14.105</v>
      </c>
      <c r="O2205" s="97" t="str">
        <f>IF(Market_Data[[#This Row],[Estimated Concrete Demand (m³)]]="","",
IF(Market_Data[[#This Row],[Estimated Concrete Demand (m³)]]&lt;10000,"Small",
IF(Market_Data[[#This Row],[Estimated Concrete Demand (m³)]]&lt;25000,"Medium",
IF(Market_Data[[#This Row],[Estimated Concrete Demand (m³)]]&lt;100000,"Large","Mega"))))</f>
        <v>Medium</v>
      </c>
      <c r="P2205" s="287" t="str">
        <f t="shared" si="36"/>
        <v>GujRERA</v>
      </c>
    </row>
    <row r="2206" spans="1:16">
      <c r="A2206" s="129" t="str">
        <f>_xlfn.XLOOKUP(B2206,$S$9:$S$14,$T$9:$T$14)&amp;"-"&amp;
IF(E2206="Residential/Group Housing","RES",
IF(E2206="Commercial","COM",
IF(E2206="Mixed Development","MIX",
IF(E2206="Plotted Development","PLT","OTH"))))
&amp;"-"&amp;TEXT(COUNTIFS($B$9:B2206,B2206,$E$9:E2206,E2206),"0000")</f>
        <v>SUR-RES-0735</v>
      </c>
      <c r="B2206" s="322" t="s">
        <v>34</v>
      </c>
      <c r="C2206" s="322" t="s">
        <v>34</v>
      </c>
      <c r="D2206" s="323" t="s">
        <v>2396</v>
      </c>
      <c r="E2206" s="132" t="s">
        <v>24</v>
      </c>
      <c r="F2206" s="97" t="str">
        <f ca="1">IF(OR(Market_Data[[#This Row],[Start Date]]="",Market_Data[[#This Row],[Completion Date]]=""),"Needs Validation",IF(Market_Data[[#This Row],[Start Date]]&gt;TODAY(),"Planned",IF(Market_Data[[#This Row],[Completion Date]]&lt;TODAY(),"Completed","Ongoing")))</f>
        <v>Completed</v>
      </c>
      <c r="G2206" s="324">
        <v>42920</v>
      </c>
      <c r="H2206" s="324">
        <v>44377</v>
      </c>
      <c r="I2206" s="325">
        <v>33400</v>
      </c>
      <c r="J220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06" s="133">
        <f>_xlfn.XLOOKUP(Market_Data[[#This Row],[Project Type]],tbl_assumptions_market[Project Category (RERA)],tbl_assumptions_market[Concrete Intensity
(m³ / sq m BUA)],"",0)</f>
        <v>0.45</v>
      </c>
      <c r="L2206" s="134">
        <f>ROUND(Market_Data[[#This Row],[Estimated Built Up Area (sq m)]]*Market_Data[[#This Row],[Concrete Intensity
(m³ / sq m)]],0)</f>
        <v>15030</v>
      </c>
      <c r="M2206" s="135">
        <f>_xlfn.XLOOKUP(Market_Data[[#This Row],[District]],tbl_district_price[District],tbl_district_price[Standard Price
(INR/m³)],"",0)</f>
        <v>6200</v>
      </c>
      <c r="N2206" s="364">
        <f>IF(OR(Market_Data[[#This Row],[Estimated Concrete Demand (m³)]]="",Market_Data[[#This Row],[Avg Price per (₹ / m³)]]=""),"",Market_Data[[#This Row],[Estimated Concrete Demand (m³)]]*Market_Data[[#This Row],[Avg Price per (₹ / m³)]]/10000000)</f>
        <v>9.3186</v>
      </c>
      <c r="O2206" s="97" t="str">
        <f>IF(Market_Data[[#This Row],[Estimated Concrete Demand (m³)]]="","",
IF(Market_Data[[#This Row],[Estimated Concrete Demand (m³)]]&lt;10000,"Small",
IF(Market_Data[[#This Row],[Estimated Concrete Demand (m³)]]&lt;25000,"Medium",
IF(Market_Data[[#This Row],[Estimated Concrete Demand (m³)]]&lt;100000,"Large","Mega"))))</f>
        <v>Medium</v>
      </c>
      <c r="P2206" s="287" t="str">
        <f t="shared" si="36"/>
        <v>GujRERA</v>
      </c>
    </row>
    <row r="2207" spans="1:16">
      <c r="A2207" s="129" t="str">
        <f>_xlfn.XLOOKUP(B2207,$S$9:$S$14,$T$9:$T$14)&amp;"-"&amp;
IF(E2207="Residential/Group Housing","RES",
IF(E2207="Commercial","COM",
IF(E2207="Mixed Development","MIX",
IF(E2207="Plotted Development","PLT","OTH"))))
&amp;"-"&amp;TEXT(COUNTIFS($B$9:B2207,B2207,$E$9:E2207,E2207),"0000")</f>
        <v>SUR-MIX-0377</v>
      </c>
      <c r="B2207" s="322" t="s">
        <v>34</v>
      </c>
      <c r="C2207" s="322" t="s">
        <v>34</v>
      </c>
      <c r="D2207" s="323" t="s">
        <v>2397</v>
      </c>
      <c r="E2207" s="132" t="s">
        <v>25</v>
      </c>
      <c r="F2207" s="97" t="str">
        <f ca="1">IF(OR(Market_Data[[#This Row],[Start Date]]="",Market_Data[[#This Row],[Completion Date]]=""),"Needs Validation",IF(Market_Data[[#This Row],[Start Date]]&gt;TODAY(),"Planned",IF(Market_Data[[#This Row],[Completion Date]]&lt;TODAY(),"Completed","Ongoing")))</f>
        <v>Completed</v>
      </c>
      <c r="G2207" s="324">
        <v>42156</v>
      </c>
      <c r="H2207" s="324">
        <v>44104</v>
      </c>
      <c r="I2207" s="325">
        <v>49800</v>
      </c>
      <c r="J220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07" s="133">
        <f>_xlfn.XLOOKUP(Market_Data[[#This Row],[Project Type]],tbl_assumptions_market[Project Category (RERA)],tbl_assumptions_market[Concrete Intensity
(m³ / sq m BUA)],"",0)</f>
        <v>0.42</v>
      </c>
      <c r="L2207" s="134">
        <f>ROUND(Market_Data[[#This Row],[Estimated Built Up Area (sq m)]]*Market_Data[[#This Row],[Concrete Intensity
(m³ / sq m)]],0)</f>
        <v>20916</v>
      </c>
      <c r="M2207" s="135">
        <f>_xlfn.XLOOKUP(Market_Data[[#This Row],[District]],tbl_district_price[District],tbl_district_price[Standard Price
(INR/m³)],"",0)</f>
        <v>6200</v>
      </c>
      <c r="N2207" s="364">
        <f>IF(OR(Market_Data[[#This Row],[Estimated Concrete Demand (m³)]]="",Market_Data[[#This Row],[Avg Price per (₹ / m³)]]=""),"",Market_Data[[#This Row],[Estimated Concrete Demand (m³)]]*Market_Data[[#This Row],[Avg Price per (₹ / m³)]]/10000000)</f>
        <v>12.967919999999999</v>
      </c>
      <c r="O2207" s="97" t="str">
        <f>IF(Market_Data[[#This Row],[Estimated Concrete Demand (m³)]]="","",
IF(Market_Data[[#This Row],[Estimated Concrete Demand (m³)]]&lt;10000,"Small",
IF(Market_Data[[#This Row],[Estimated Concrete Demand (m³)]]&lt;25000,"Medium",
IF(Market_Data[[#This Row],[Estimated Concrete Demand (m³)]]&lt;100000,"Large","Mega"))))</f>
        <v>Medium</v>
      </c>
      <c r="P2207" s="287" t="str">
        <f t="shared" si="36"/>
        <v>GujRERA</v>
      </c>
    </row>
    <row r="2208" spans="1:16">
      <c r="A2208" s="129" t="str">
        <f>_xlfn.XLOOKUP(B2208,$S$9:$S$14,$T$9:$T$14)&amp;"-"&amp;
IF(E2208="Residential/Group Housing","RES",
IF(E2208="Commercial","COM",
IF(E2208="Mixed Development","MIX",
IF(E2208="Plotted Development","PLT","OTH"))))
&amp;"-"&amp;TEXT(COUNTIFS($B$9:B2208,B2208,$E$9:E2208,E2208),"0000")</f>
        <v>SUR-PLT-0436</v>
      </c>
      <c r="B2208" s="322" t="s">
        <v>34</v>
      </c>
      <c r="C2208" s="322" t="s">
        <v>34</v>
      </c>
      <c r="D2208" s="323" t="s">
        <v>2398</v>
      </c>
      <c r="E2208" s="132" t="s">
        <v>26</v>
      </c>
      <c r="F2208" s="97" t="str">
        <f ca="1">IF(OR(Market_Data[[#This Row],[Start Date]]="",Market_Data[[#This Row],[Completion Date]]=""),"Needs Validation",IF(Market_Data[[#This Row],[Start Date]]&gt;TODAY(),"Planned",IF(Market_Data[[#This Row],[Completion Date]]&lt;TODAY(),"Completed","Ongoing")))</f>
        <v>Completed</v>
      </c>
      <c r="G2208" s="324">
        <v>44463</v>
      </c>
      <c r="H2208" s="324">
        <v>44926</v>
      </c>
      <c r="I2208" s="325">
        <v>2900</v>
      </c>
      <c r="J220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08" s="133">
        <f>_xlfn.XLOOKUP(Market_Data[[#This Row],[Project Type]],tbl_assumptions_market[Project Category (RERA)],tbl_assumptions_market[Concrete Intensity
(m³ / sq m BUA)],"",0)</f>
        <v>0.18</v>
      </c>
      <c r="L2208" s="134">
        <f>ROUND(Market_Data[[#This Row],[Estimated Built Up Area (sq m)]]*Market_Data[[#This Row],[Concrete Intensity
(m³ / sq m)]],0)</f>
        <v>522</v>
      </c>
      <c r="M2208" s="135">
        <f>_xlfn.XLOOKUP(Market_Data[[#This Row],[District]],tbl_district_price[District],tbl_district_price[Standard Price
(INR/m³)],"",0)</f>
        <v>6200</v>
      </c>
      <c r="N2208" s="364">
        <f>IF(OR(Market_Data[[#This Row],[Estimated Concrete Demand (m³)]]="",Market_Data[[#This Row],[Avg Price per (₹ / m³)]]=""),"",Market_Data[[#This Row],[Estimated Concrete Demand (m³)]]*Market_Data[[#This Row],[Avg Price per (₹ / m³)]]/10000000)</f>
        <v>0.32363999999999998</v>
      </c>
      <c r="O2208" s="97" t="str">
        <f>IF(Market_Data[[#This Row],[Estimated Concrete Demand (m³)]]="","",
IF(Market_Data[[#This Row],[Estimated Concrete Demand (m³)]]&lt;10000,"Small",
IF(Market_Data[[#This Row],[Estimated Concrete Demand (m³)]]&lt;25000,"Medium",
IF(Market_Data[[#This Row],[Estimated Concrete Demand (m³)]]&lt;100000,"Large","Mega"))))</f>
        <v>Small</v>
      </c>
      <c r="P2208" s="287" t="str">
        <f t="shared" si="36"/>
        <v>GujRERA</v>
      </c>
    </row>
    <row r="2209" spans="1:16">
      <c r="A2209" s="129" t="str">
        <f>_xlfn.XLOOKUP(B2209,$S$9:$S$14,$T$9:$T$14)&amp;"-"&amp;
IF(E2209="Residential/Group Housing","RES",
IF(E2209="Commercial","COM",
IF(E2209="Mixed Development","MIX",
IF(E2209="Plotted Development","PLT","OTH"))))
&amp;"-"&amp;TEXT(COUNTIFS($B$9:B2209,B2209,$E$9:E2209,E2209),"0000")</f>
        <v>SUR-RES-0736</v>
      </c>
      <c r="B2209" s="322" t="s">
        <v>34</v>
      </c>
      <c r="C2209" s="322" t="s">
        <v>34</v>
      </c>
      <c r="D2209" s="323" t="s">
        <v>2399</v>
      </c>
      <c r="E2209" s="132" t="s">
        <v>24</v>
      </c>
      <c r="F2209" s="97" t="str">
        <f ca="1">IF(OR(Market_Data[[#This Row],[Start Date]]="",Market_Data[[#This Row],[Completion Date]]=""),"Needs Validation",IF(Market_Data[[#This Row],[Start Date]]&gt;TODAY(),"Planned",IF(Market_Data[[#This Row],[Completion Date]]&lt;TODAY(),"Completed","Ongoing")))</f>
        <v>Ongoing</v>
      </c>
      <c r="G2209" s="324">
        <v>45315</v>
      </c>
      <c r="H2209" s="324">
        <v>47118</v>
      </c>
      <c r="I2209" s="325">
        <v>51300</v>
      </c>
      <c r="J220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09" s="133">
        <f>_xlfn.XLOOKUP(Market_Data[[#This Row],[Project Type]],tbl_assumptions_market[Project Category (RERA)],tbl_assumptions_market[Concrete Intensity
(m³ / sq m BUA)],"",0)</f>
        <v>0.45</v>
      </c>
      <c r="L2209" s="134">
        <f>ROUND(Market_Data[[#This Row],[Estimated Built Up Area (sq m)]]*Market_Data[[#This Row],[Concrete Intensity
(m³ / sq m)]],0)</f>
        <v>23085</v>
      </c>
      <c r="M2209" s="135">
        <f>_xlfn.XLOOKUP(Market_Data[[#This Row],[District]],tbl_district_price[District],tbl_district_price[Standard Price
(INR/m³)],"",0)</f>
        <v>6200</v>
      </c>
      <c r="N2209" s="364">
        <f>IF(OR(Market_Data[[#This Row],[Estimated Concrete Demand (m³)]]="",Market_Data[[#This Row],[Avg Price per (₹ / m³)]]=""),"",Market_Data[[#This Row],[Estimated Concrete Demand (m³)]]*Market_Data[[#This Row],[Avg Price per (₹ / m³)]]/10000000)</f>
        <v>14.3127</v>
      </c>
      <c r="O2209" s="97" t="str">
        <f>IF(Market_Data[[#This Row],[Estimated Concrete Demand (m³)]]="","",
IF(Market_Data[[#This Row],[Estimated Concrete Demand (m³)]]&lt;10000,"Small",
IF(Market_Data[[#This Row],[Estimated Concrete Demand (m³)]]&lt;25000,"Medium",
IF(Market_Data[[#This Row],[Estimated Concrete Demand (m³)]]&lt;100000,"Large","Mega"))))</f>
        <v>Medium</v>
      </c>
      <c r="P2209" s="287" t="str">
        <f t="shared" si="36"/>
        <v>GujRERA</v>
      </c>
    </row>
    <row r="2210" spans="1:16">
      <c r="A2210" s="129" t="str">
        <f>_xlfn.XLOOKUP(B2210,$S$9:$S$14,$T$9:$T$14)&amp;"-"&amp;
IF(E2210="Residential/Group Housing","RES",
IF(E2210="Commercial","COM",
IF(E2210="Mixed Development","MIX",
IF(E2210="Plotted Development","PLT","OTH"))))
&amp;"-"&amp;TEXT(COUNTIFS($B$9:B2210,B2210,$E$9:E2210,E2210),"0000")</f>
        <v>SUR-RES-0737</v>
      </c>
      <c r="B2210" s="322" t="s">
        <v>34</v>
      </c>
      <c r="C2210" s="322" t="s">
        <v>34</v>
      </c>
      <c r="D2210" s="323" t="s">
        <v>2400</v>
      </c>
      <c r="E2210" s="132" t="s">
        <v>24</v>
      </c>
      <c r="F2210" s="97" t="str">
        <f ca="1">IF(OR(Market_Data[[#This Row],[Start Date]]="",Market_Data[[#This Row],[Completion Date]]=""),"Needs Validation",IF(Market_Data[[#This Row],[Start Date]]&gt;TODAY(),"Planned",IF(Market_Data[[#This Row],[Completion Date]]&lt;TODAY(),"Completed","Ongoing")))</f>
        <v>Ongoing</v>
      </c>
      <c r="G2210" s="324">
        <v>45315</v>
      </c>
      <c r="H2210" s="324">
        <v>47483</v>
      </c>
      <c r="I2210" s="325">
        <v>10500</v>
      </c>
      <c r="J221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10" s="133">
        <f>_xlfn.XLOOKUP(Market_Data[[#This Row],[Project Type]],tbl_assumptions_market[Project Category (RERA)],tbl_assumptions_market[Concrete Intensity
(m³ / sq m BUA)],"",0)</f>
        <v>0.45</v>
      </c>
      <c r="L2210" s="134">
        <f>ROUND(Market_Data[[#This Row],[Estimated Built Up Area (sq m)]]*Market_Data[[#This Row],[Concrete Intensity
(m³ / sq m)]],0)</f>
        <v>4725</v>
      </c>
      <c r="M2210" s="135">
        <f>_xlfn.XLOOKUP(Market_Data[[#This Row],[District]],tbl_district_price[District],tbl_district_price[Standard Price
(INR/m³)],"",0)</f>
        <v>6200</v>
      </c>
      <c r="N2210" s="364">
        <f>IF(OR(Market_Data[[#This Row],[Estimated Concrete Demand (m³)]]="",Market_Data[[#This Row],[Avg Price per (₹ / m³)]]=""),"",Market_Data[[#This Row],[Estimated Concrete Demand (m³)]]*Market_Data[[#This Row],[Avg Price per (₹ / m³)]]/10000000)</f>
        <v>2.9295</v>
      </c>
      <c r="O2210" s="97" t="str">
        <f>IF(Market_Data[[#This Row],[Estimated Concrete Demand (m³)]]="","",
IF(Market_Data[[#This Row],[Estimated Concrete Demand (m³)]]&lt;10000,"Small",
IF(Market_Data[[#This Row],[Estimated Concrete Demand (m³)]]&lt;25000,"Medium",
IF(Market_Data[[#This Row],[Estimated Concrete Demand (m³)]]&lt;100000,"Large","Mega"))))</f>
        <v>Small</v>
      </c>
      <c r="P2210" s="287" t="str">
        <f t="shared" si="36"/>
        <v>GujRERA</v>
      </c>
    </row>
    <row r="2211" spans="1:16">
      <c r="A2211" s="129" t="str">
        <f>_xlfn.XLOOKUP(B2211,$S$9:$S$14,$T$9:$T$14)&amp;"-"&amp;
IF(E2211="Residential/Group Housing","RES",
IF(E2211="Commercial","COM",
IF(E2211="Mixed Development","MIX",
IF(E2211="Plotted Development","PLT","OTH"))))
&amp;"-"&amp;TEXT(COUNTIFS($B$9:B2211,B2211,$E$9:E2211,E2211),"0000")</f>
        <v>SUR-RES-0738</v>
      </c>
      <c r="B2211" s="322" t="s">
        <v>34</v>
      </c>
      <c r="C2211" s="322" t="s">
        <v>34</v>
      </c>
      <c r="D2211" s="323" t="s">
        <v>2401</v>
      </c>
      <c r="E2211" s="132" t="s">
        <v>24</v>
      </c>
      <c r="F2211" s="97" t="str">
        <f ca="1">IF(OR(Market_Data[[#This Row],[Start Date]]="",Market_Data[[#This Row],[Completion Date]]=""),"Needs Validation",IF(Market_Data[[#This Row],[Start Date]]&gt;TODAY(),"Planned",IF(Market_Data[[#This Row],[Completion Date]]&lt;TODAY(),"Completed","Ongoing")))</f>
        <v>Completed</v>
      </c>
      <c r="G2211" s="324">
        <v>43056</v>
      </c>
      <c r="H2211" s="324">
        <v>44713</v>
      </c>
      <c r="I2211" s="325">
        <v>43400</v>
      </c>
      <c r="J221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11" s="133">
        <f>_xlfn.XLOOKUP(Market_Data[[#This Row],[Project Type]],tbl_assumptions_market[Project Category (RERA)],tbl_assumptions_market[Concrete Intensity
(m³ / sq m BUA)],"",0)</f>
        <v>0.45</v>
      </c>
      <c r="L2211" s="134">
        <f>ROUND(Market_Data[[#This Row],[Estimated Built Up Area (sq m)]]*Market_Data[[#This Row],[Concrete Intensity
(m³ / sq m)]],0)</f>
        <v>19530</v>
      </c>
      <c r="M2211" s="135">
        <f>_xlfn.XLOOKUP(Market_Data[[#This Row],[District]],tbl_district_price[District],tbl_district_price[Standard Price
(INR/m³)],"",0)</f>
        <v>6200</v>
      </c>
      <c r="N2211" s="364">
        <f>IF(OR(Market_Data[[#This Row],[Estimated Concrete Demand (m³)]]="",Market_Data[[#This Row],[Avg Price per (₹ / m³)]]=""),"",Market_Data[[#This Row],[Estimated Concrete Demand (m³)]]*Market_Data[[#This Row],[Avg Price per (₹ / m³)]]/10000000)</f>
        <v>12.108599999999999</v>
      </c>
      <c r="O2211" s="97" t="str">
        <f>IF(Market_Data[[#This Row],[Estimated Concrete Demand (m³)]]="","",
IF(Market_Data[[#This Row],[Estimated Concrete Demand (m³)]]&lt;10000,"Small",
IF(Market_Data[[#This Row],[Estimated Concrete Demand (m³)]]&lt;25000,"Medium",
IF(Market_Data[[#This Row],[Estimated Concrete Demand (m³)]]&lt;100000,"Large","Mega"))))</f>
        <v>Medium</v>
      </c>
      <c r="P2211" s="287" t="str">
        <f t="shared" si="36"/>
        <v>GujRERA</v>
      </c>
    </row>
    <row r="2212" spans="1:16">
      <c r="A2212" s="129" t="str">
        <f>_xlfn.XLOOKUP(B2212,$S$9:$S$14,$T$9:$T$14)&amp;"-"&amp;
IF(E2212="Residential/Group Housing","RES",
IF(E2212="Commercial","COM",
IF(E2212="Mixed Development","MIX",
IF(E2212="Plotted Development","PLT","OTH"))))
&amp;"-"&amp;TEXT(COUNTIFS($B$9:B2212,B2212,$E$9:E2212,E2212),"0000")</f>
        <v>SUR-MIX-0378</v>
      </c>
      <c r="B2212" s="322" t="s">
        <v>34</v>
      </c>
      <c r="C2212" s="322" t="s">
        <v>34</v>
      </c>
      <c r="D2212" s="323" t="s">
        <v>2402</v>
      </c>
      <c r="E2212" s="132" t="s">
        <v>25</v>
      </c>
      <c r="F2212" s="97" t="str">
        <f ca="1">IF(OR(Market_Data[[#This Row],[Start Date]]="",Market_Data[[#This Row],[Completion Date]]=""),"Needs Validation",IF(Market_Data[[#This Row],[Start Date]]&gt;TODAY(),"Planned",IF(Market_Data[[#This Row],[Completion Date]]&lt;TODAY(),"Completed","Ongoing")))</f>
        <v>Completed</v>
      </c>
      <c r="G2212" s="324">
        <v>43257</v>
      </c>
      <c r="H2212" s="324">
        <v>44713</v>
      </c>
      <c r="I2212" s="325">
        <v>42000</v>
      </c>
      <c r="J221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12" s="133">
        <f>_xlfn.XLOOKUP(Market_Data[[#This Row],[Project Type]],tbl_assumptions_market[Project Category (RERA)],tbl_assumptions_market[Concrete Intensity
(m³ / sq m BUA)],"",0)</f>
        <v>0.42</v>
      </c>
      <c r="L2212" s="134">
        <f>ROUND(Market_Data[[#This Row],[Estimated Built Up Area (sq m)]]*Market_Data[[#This Row],[Concrete Intensity
(m³ / sq m)]],0)</f>
        <v>17640</v>
      </c>
      <c r="M2212" s="135">
        <f>_xlfn.XLOOKUP(Market_Data[[#This Row],[District]],tbl_district_price[District],tbl_district_price[Standard Price
(INR/m³)],"",0)</f>
        <v>6200</v>
      </c>
      <c r="N2212" s="364">
        <f>IF(OR(Market_Data[[#This Row],[Estimated Concrete Demand (m³)]]="",Market_Data[[#This Row],[Avg Price per (₹ / m³)]]=""),"",Market_Data[[#This Row],[Estimated Concrete Demand (m³)]]*Market_Data[[#This Row],[Avg Price per (₹ / m³)]]/10000000)</f>
        <v>10.9368</v>
      </c>
      <c r="O2212" s="97" t="str">
        <f>IF(Market_Data[[#This Row],[Estimated Concrete Demand (m³)]]="","",
IF(Market_Data[[#This Row],[Estimated Concrete Demand (m³)]]&lt;10000,"Small",
IF(Market_Data[[#This Row],[Estimated Concrete Demand (m³)]]&lt;25000,"Medium",
IF(Market_Data[[#This Row],[Estimated Concrete Demand (m³)]]&lt;100000,"Large","Mega"))))</f>
        <v>Medium</v>
      </c>
      <c r="P2212" s="287" t="str">
        <f t="shared" si="36"/>
        <v>GujRERA</v>
      </c>
    </row>
    <row r="2213" spans="1:16">
      <c r="A2213" s="129" t="str">
        <f>_xlfn.XLOOKUP(B2213,$S$9:$S$14,$T$9:$T$14)&amp;"-"&amp;
IF(E2213="Residential/Group Housing","RES",
IF(E2213="Commercial","COM",
IF(E2213="Mixed Development","MIX",
IF(E2213="Plotted Development","PLT","OTH"))))
&amp;"-"&amp;TEXT(COUNTIFS($B$9:B2213,B2213,$E$9:E2213,E2213),"0000")</f>
        <v>SUR-COM-0343</v>
      </c>
      <c r="B2213" s="322" t="s">
        <v>34</v>
      </c>
      <c r="C2213" s="322" t="s">
        <v>34</v>
      </c>
      <c r="D2213" s="323" t="s">
        <v>2403</v>
      </c>
      <c r="E2213" s="132" t="s">
        <v>23</v>
      </c>
      <c r="F2213" s="97" t="str">
        <f ca="1">IF(OR(Market_Data[[#This Row],[Start Date]]="",Market_Data[[#This Row],[Completion Date]]=""),"Needs Validation",IF(Market_Data[[#This Row],[Start Date]]&gt;TODAY(),"Planned",IF(Market_Data[[#This Row],[Completion Date]]&lt;TODAY(),"Completed","Ongoing")))</f>
        <v>Ongoing</v>
      </c>
      <c r="G2213" s="324">
        <v>44475</v>
      </c>
      <c r="H2213" s="324">
        <v>46387</v>
      </c>
      <c r="I2213" s="325">
        <v>8100</v>
      </c>
      <c r="J221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13" s="133">
        <f>_xlfn.XLOOKUP(Market_Data[[#This Row],[Project Type]],tbl_assumptions_market[Project Category (RERA)],tbl_assumptions_market[Concrete Intensity
(m³ / sq m BUA)],"",0)</f>
        <v>0.5</v>
      </c>
      <c r="L2213" s="134">
        <f>ROUND(Market_Data[[#This Row],[Estimated Built Up Area (sq m)]]*Market_Data[[#This Row],[Concrete Intensity
(m³ / sq m)]],0)</f>
        <v>4050</v>
      </c>
      <c r="M2213" s="135">
        <f>_xlfn.XLOOKUP(Market_Data[[#This Row],[District]],tbl_district_price[District],tbl_district_price[Standard Price
(INR/m³)],"",0)</f>
        <v>6200</v>
      </c>
      <c r="N2213" s="364">
        <f>IF(OR(Market_Data[[#This Row],[Estimated Concrete Demand (m³)]]="",Market_Data[[#This Row],[Avg Price per (₹ / m³)]]=""),"",Market_Data[[#This Row],[Estimated Concrete Demand (m³)]]*Market_Data[[#This Row],[Avg Price per (₹ / m³)]]/10000000)</f>
        <v>2.5110000000000001</v>
      </c>
      <c r="O2213" s="97" t="str">
        <f>IF(Market_Data[[#This Row],[Estimated Concrete Demand (m³)]]="","",
IF(Market_Data[[#This Row],[Estimated Concrete Demand (m³)]]&lt;10000,"Small",
IF(Market_Data[[#This Row],[Estimated Concrete Demand (m³)]]&lt;25000,"Medium",
IF(Market_Data[[#This Row],[Estimated Concrete Demand (m³)]]&lt;100000,"Large","Mega"))))</f>
        <v>Small</v>
      </c>
      <c r="P2213" s="287" t="str">
        <f t="shared" si="36"/>
        <v>GujRERA</v>
      </c>
    </row>
    <row r="2214" spans="1:16">
      <c r="A2214" s="129" t="str">
        <f>_xlfn.XLOOKUP(B2214,$S$9:$S$14,$T$9:$T$14)&amp;"-"&amp;
IF(E2214="Residential/Group Housing","RES",
IF(E2214="Commercial","COM",
IF(E2214="Mixed Development","MIX",
IF(E2214="Plotted Development","PLT","OTH"))))
&amp;"-"&amp;TEXT(COUNTIFS($B$9:B2214,B2214,$E$9:E2214,E2214),"0000")</f>
        <v>SUR-PLT-0437</v>
      </c>
      <c r="B2214" s="322" t="s">
        <v>34</v>
      </c>
      <c r="C2214" s="322" t="s">
        <v>34</v>
      </c>
      <c r="D2214" s="323" t="s">
        <v>2404</v>
      </c>
      <c r="E2214" s="132" t="s">
        <v>26</v>
      </c>
      <c r="F2214" s="97" t="str">
        <f ca="1">IF(OR(Market_Data[[#This Row],[Start Date]]="",Market_Data[[#This Row],[Completion Date]]=""),"Needs Validation",IF(Market_Data[[#This Row],[Start Date]]&gt;TODAY(),"Planned",IF(Market_Data[[#This Row],[Completion Date]]&lt;TODAY(),"Completed","Ongoing")))</f>
        <v>Completed</v>
      </c>
      <c r="G2214" s="324">
        <v>44540</v>
      </c>
      <c r="H2214" s="324">
        <v>46022</v>
      </c>
      <c r="I2214" s="325">
        <v>5100</v>
      </c>
      <c r="J221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14" s="133">
        <f>_xlfn.XLOOKUP(Market_Data[[#This Row],[Project Type]],tbl_assumptions_market[Project Category (RERA)],tbl_assumptions_market[Concrete Intensity
(m³ / sq m BUA)],"",0)</f>
        <v>0.18</v>
      </c>
      <c r="L2214" s="134">
        <f>ROUND(Market_Data[[#This Row],[Estimated Built Up Area (sq m)]]*Market_Data[[#This Row],[Concrete Intensity
(m³ / sq m)]],0)</f>
        <v>918</v>
      </c>
      <c r="M2214" s="135">
        <f>_xlfn.XLOOKUP(Market_Data[[#This Row],[District]],tbl_district_price[District],tbl_district_price[Standard Price
(INR/m³)],"",0)</f>
        <v>6200</v>
      </c>
      <c r="N2214" s="364">
        <f>IF(OR(Market_Data[[#This Row],[Estimated Concrete Demand (m³)]]="",Market_Data[[#This Row],[Avg Price per (₹ / m³)]]=""),"",Market_Data[[#This Row],[Estimated Concrete Demand (m³)]]*Market_Data[[#This Row],[Avg Price per (₹ / m³)]]/10000000)</f>
        <v>0.56916</v>
      </c>
      <c r="O2214" s="97" t="str">
        <f>IF(Market_Data[[#This Row],[Estimated Concrete Demand (m³)]]="","",
IF(Market_Data[[#This Row],[Estimated Concrete Demand (m³)]]&lt;10000,"Small",
IF(Market_Data[[#This Row],[Estimated Concrete Demand (m³)]]&lt;25000,"Medium",
IF(Market_Data[[#This Row],[Estimated Concrete Demand (m³)]]&lt;100000,"Large","Mega"))))</f>
        <v>Small</v>
      </c>
      <c r="P2214" s="287" t="str">
        <f t="shared" si="36"/>
        <v>GujRERA</v>
      </c>
    </row>
    <row r="2215" spans="1:16">
      <c r="A2215" s="129" t="str">
        <f>_xlfn.XLOOKUP(B2215,$S$9:$S$14,$T$9:$T$14)&amp;"-"&amp;
IF(E2215="Residential/Group Housing","RES",
IF(E2215="Commercial","COM",
IF(E2215="Mixed Development","MIX",
IF(E2215="Plotted Development","PLT","OTH"))))
&amp;"-"&amp;TEXT(COUNTIFS($B$9:B2215,B2215,$E$9:E2215,E2215),"0000")</f>
        <v>SUR-RES-0739</v>
      </c>
      <c r="B2215" s="322" t="s">
        <v>34</v>
      </c>
      <c r="C2215" s="322" t="s">
        <v>34</v>
      </c>
      <c r="D2215" s="323" t="s">
        <v>2405</v>
      </c>
      <c r="E2215" s="132" t="s">
        <v>24</v>
      </c>
      <c r="F2215" s="97" t="str">
        <f ca="1">IF(OR(Market_Data[[#This Row],[Start Date]]="",Market_Data[[#This Row],[Completion Date]]=""),"Needs Validation",IF(Market_Data[[#This Row],[Start Date]]&gt;TODAY(),"Planned",IF(Market_Data[[#This Row],[Completion Date]]&lt;TODAY(),"Completed","Ongoing")))</f>
        <v>Ongoing</v>
      </c>
      <c r="G2215" s="324">
        <v>44896</v>
      </c>
      <c r="H2215" s="324">
        <v>46387</v>
      </c>
      <c r="I2215" s="325">
        <v>4900</v>
      </c>
      <c r="J221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15" s="133">
        <f>_xlfn.XLOOKUP(Market_Data[[#This Row],[Project Type]],tbl_assumptions_market[Project Category (RERA)],tbl_assumptions_market[Concrete Intensity
(m³ / sq m BUA)],"",0)</f>
        <v>0.45</v>
      </c>
      <c r="L2215" s="134">
        <f>ROUND(Market_Data[[#This Row],[Estimated Built Up Area (sq m)]]*Market_Data[[#This Row],[Concrete Intensity
(m³ / sq m)]],0)</f>
        <v>2205</v>
      </c>
      <c r="M2215" s="135">
        <f>_xlfn.XLOOKUP(Market_Data[[#This Row],[District]],tbl_district_price[District],tbl_district_price[Standard Price
(INR/m³)],"",0)</f>
        <v>6200</v>
      </c>
      <c r="N2215" s="364">
        <f>IF(OR(Market_Data[[#This Row],[Estimated Concrete Demand (m³)]]="",Market_Data[[#This Row],[Avg Price per (₹ / m³)]]=""),"",Market_Data[[#This Row],[Estimated Concrete Demand (m³)]]*Market_Data[[#This Row],[Avg Price per (₹ / m³)]]/10000000)</f>
        <v>1.3671</v>
      </c>
      <c r="O2215" s="97" t="str">
        <f>IF(Market_Data[[#This Row],[Estimated Concrete Demand (m³)]]="","",
IF(Market_Data[[#This Row],[Estimated Concrete Demand (m³)]]&lt;10000,"Small",
IF(Market_Data[[#This Row],[Estimated Concrete Demand (m³)]]&lt;25000,"Medium",
IF(Market_Data[[#This Row],[Estimated Concrete Demand (m³)]]&lt;100000,"Large","Mega"))))</f>
        <v>Small</v>
      </c>
      <c r="P2215" s="287" t="str">
        <f t="shared" si="36"/>
        <v>GujRERA</v>
      </c>
    </row>
    <row r="2216" spans="1:16">
      <c r="A2216" s="129" t="str">
        <f>_xlfn.XLOOKUP(B2216,$S$9:$S$14,$T$9:$T$14)&amp;"-"&amp;
IF(E2216="Residential/Group Housing","RES",
IF(E2216="Commercial","COM",
IF(E2216="Mixed Development","MIX",
IF(E2216="Plotted Development","PLT","OTH"))))
&amp;"-"&amp;TEXT(COUNTIFS($B$9:B2216,B2216,$E$9:E2216,E2216),"0000")</f>
        <v>SUR-RES-0740</v>
      </c>
      <c r="B2216" s="322" t="s">
        <v>34</v>
      </c>
      <c r="C2216" s="322" t="s">
        <v>34</v>
      </c>
      <c r="D2216" s="323" t="s">
        <v>2406</v>
      </c>
      <c r="E2216" s="132" t="s">
        <v>24</v>
      </c>
      <c r="F2216" s="97" t="str">
        <f ca="1">IF(OR(Market_Data[[#This Row],[Start Date]]="",Market_Data[[#This Row],[Completion Date]]=""),"Needs Validation",IF(Market_Data[[#This Row],[Start Date]]&gt;TODAY(),"Planned",IF(Market_Data[[#This Row],[Completion Date]]&lt;TODAY(),"Completed","Ongoing")))</f>
        <v>Completed</v>
      </c>
      <c r="G2216" s="324">
        <v>43313</v>
      </c>
      <c r="H2216" s="324">
        <v>45565</v>
      </c>
      <c r="I2216" s="325">
        <v>40900</v>
      </c>
      <c r="J221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16" s="133">
        <f>_xlfn.XLOOKUP(Market_Data[[#This Row],[Project Type]],tbl_assumptions_market[Project Category (RERA)],tbl_assumptions_market[Concrete Intensity
(m³ / sq m BUA)],"",0)</f>
        <v>0.45</v>
      </c>
      <c r="L2216" s="134">
        <f>ROUND(Market_Data[[#This Row],[Estimated Built Up Area (sq m)]]*Market_Data[[#This Row],[Concrete Intensity
(m³ / sq m)]],0)</f>
        <v>18405</v>
      </c>
      <c r="M2216" s="135">
        <f>_xlfn.XLOOKUP(Market_Data[[#This Row],[District]],tbl_district_price[District],tbl_district_price[Standard Price
(INR/m³)],"",0)</f>
        <v>6200</v>
      </c>
      <c r="N2216" s="364">
        <f>IF(OR(Market_Data[[#This Row],[Estimated Concrete Demand (m³)]]="",Market_Data[[#This Row],[Avg Price per (₹ / m³)]]=""),"",Market_Data[[#This Row],[Estimated Concrete Demand (m³)]]*Market_Data[[#This Row],[Avg Price per (₹ / m³)]]/10000000)</f>
        <v>11.411099999999999</v>
      </c>
      <c r="O2216" s="97" t="str">
        <f>IF(Market_Data[[#This Row],[Estimated Concrete Demand (m³)]]="","",
IF(Market_Data[[#This Row],[Estimated Concrete Demand (m³)]]&lt;10000,"Small",
IF(Market_Data[[#This Row],[Estimated Concrete Demand (m³)]]&lt;25000,"Medium",
IF(Market_Data[[#This Row],[Estimated Concrete Demand (m³)]]&lt;100000,"Large","Mega"))))</f>
        <v>Medium</v>
      </c>
      <c r="P2216" s="287" t="str">
        <f t="shared" si="36"/>
        <v>GujRERA</v>
      </c>
    </row>
    <row r="2217" spans="1:16">
      <c r="A2217" s="129" t="str">
        <f>_xlfn.XLOOKUP(B2217,$S$9:$S$14,$T$9:$T$14)&amp;"-"&amp;
IF(E2217="Residential/Group Housing","RES",
IF(E2217="Commercial","COM",
IF(E2217="Mixed Development","MIX",
IF(E2217="Plotted Development","PLT","OTH"))))
&amp;"-"&amp;TEXT(COUNTIFS($B$9:B2217,B2217,$E$9:E2217,E2217),"0000")</f>
        <v>SUR-RES-0741</v>
      </c>
      <c r="B2217" s="322" t="s">
        <v>34</v>
      </c>
      <c r="C2217" s="322" t="s">
        <v>34</v>
      </c>
      <c r="D2217" s="323" t="s">
        <v>2407</v>
      </c>
      <c r="E2217" s="132" t="s">
        <v>24</v>
      </c>
      <c r="F2217" s="97" t="str">
        <f ca="1">IF(OR(Market_Data[[#This Row],[Start Date]]="",Market_Data[[#This Row],[Completion Date]]=""),"Needs Validation",IF(Market_Data[[#This Row],[Start Date]]&gt;TODAY(),"Planned",IF(Market_Data[[#This Row],[Completion Date]]&lt;TODAY(),"Completed","Ongoing")))</f>
        <v>Ongoing</v>
      </c>
      <c r="G2217" s="324">
        <v>45215</v>
      </c>
      <c r="H2217" s="324">
        <v>46752</v>
      </c>
      <c r="I2217" s="325">
        <v>28700</v>
      </c>
      <c r="J221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17" s="133">
        <f>_xlfn.XLOOKUP(Market_Data[[#This Row],[Project Type]],tbl_assumptions_market[Project Category (RERA)],tbl_assumptions_market[Concrete Intensity
(m³ / sq m BUA)],"",0)</f>
        <v>0.45</v>
      </c>
      <c r="L2217" s="134">
        <f>ROUND(Market_Data[[#This Row],[Estimated Built Up Area (sq m)]]*Market_Data[[#This Row],[Concrete Intensity
(m³ / sq m)]],0)</f>
        <v>12915</v>
      </c>
      <c r="M2217" s="135">
        <f>_xlfn.XLOOKUP(Market_Data[[#This Row],[District]],tbl_district_price[District],tbl_district_price[Standard Price
(INR/m³)],"",0)</f>
        <v>6200</v>
      </c>
      <c r="N2217" s="364">
        <f>IF(OR(Market_Data[[#This Row],[Estimated Concrete Demand (m³)]]="",Market_Data[[#This Row],[Avg Price per (₹ / m³)]]=""),"",Market_Data[[#This Row],[Estimated Concrete Demand (m³)]]*Market_Data[[#This Row],[Avg Price per (₹ / m³)]]/10000000)</f>
        <v>8.0073000000000008</v>
      </c>
      <c r="O2217" s="97" t="str">
        <f>IF(Market_Data[[#This Row],[Estimated Concrete Demand (m³)]]="","",
IF(Market_Data[[#This Row],[Estimated Concrete Demand (m³)]]&lt;10000,"Small",
IF(Market_Data[[#This Row],[Estimated Concrete Demand (m³)]]&lt;25000,"Medium",
IF(Market_Data[[#This Row],[Estimated Concrete Demand (m³)]]&lt;100000,"Large","Mega"))))</f>
        <v>Medium</v>
      </c>
      <c r="P2217" s="287" t="str">
        <f t="shared" si="36"/>
        <v>GujRERA</v>
      </c>
    </row>
    <row r="2218" spans="1:16">
      <c r="A2218" s="129" t="str">
        <f>_xlfn.XLOOKUP(B2218,$S$9:$S$14,$T$9:$T$14)&amp;"-"&amp;
IF(E2218="Residential/Group Housing","RES",
IF(E2218="Commercial","COM",
IF(E2218="Mixed Development","MIX",
IF(E2218="Plotted Development","PLT","OTH"))))
&amp;"-"&amp;TEXT(COUNTIFS($B$9:B2218,B2218,$E$9:E2218,E2218),"0000")</f>
        <v>SUR-MIX-0379</v>
      </c>
      <c r="B2218" s="322" t="s">
        <v>34</v>
      </c>
      <c r="C2218" s="322" t="s">
        <v>34</v>
      </c>
      <c r="D2218" s="323" t="s">
        <v>2408</v>
      </c>
      <c r="E2218" s="132" t="s">
        <v>25</v>
      </c>
      <c r="F2218" s="97" t="str">
        <f ca="1">IF(OR(Market_Data[[#This Row],[Start Date]]="",Market_Data[[#This Row],[Completion Date]]=""),"Needs Validation",IF(Market_Data[[#This Row],[Start Date]]&gt;TODAY(),"Planned",IF(Market_Data[[#This Row],[Completion Date]]&lt;TODAY(),"Completed","Ongoing")))</f>
        <v>Ongoing</v>
      </c>
      <c r="G2218" s="324">
        <v>45873</v>
      </c>
      <c r="H2218" s="324">
        <v>48213</v>
      </c>
      <c r="I2218" s="325">
        <v>57400</v>
      </c>
      <c r="J221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18" s="133">
        <f>_xlfn.XLOOKUP(Market_Data[[#This Row],[Project Type]],tbl_assumptions_market[Project Category (RERA)],tbl_assumptions_market[Concrete Intensity
(m³ / sq m BUA)],"",0)</f>
        <v>0.42</v>
      </c>
      <c r="L2218" s="134">
        <f>ROUND(Market_Data[[#This Row],[Estimated Built Up Area (sq m)]]*Market_Data[[#This Row],[Concrete Intensity
(m³ / sq m)]],0)</f>
        <v>24108</v>
      </c>
      <c r="M2218" s="135">
        <f>_xlfn.XLOOKUP(Market_Data[[#This Row],[District]],tbl_district_price[District],tbl_district_price[Standard Price
(INR/m³)],"",0)</f>
        <v>6200</v>
      </c>
      <c r="N2218" s="364">
        <f>IF(OR(Market_Data[[#This Row],[Estimated Concrete Demand (m³)]]="",Market_Data[[#This Row],[Avg Price per (₹ / m³)]]=""),"",Market_Data[[#This Row],[Estimated Concrete Demand (m³)]]*Market_Data[[#This Row],[Avg Price per (₹ / m³)]]/10000000)</f>
        <v>14.946960000000001</v>
      </c>
      <c r="O2218" s="97" t="str">
        <f>IF(Market_Data[[#This Row],[Estimated Concrete Demand (m³)]]="","",
IF(Market_Data[[#This Row],[Estimated Concrete Demand (m³)]]&lt;10000,"Small",
IF(Market_Data[[#This Row],[Estimated Concrete Demand (m³)]]&lt;25000,"Medium",
IF(Market_Data[[#This Row],[Estimated Concrete Demand (m³)]]&lt;100000,"Large","Mega"))))</f>
        <v>Medium</v>
      </c>
      <c r="P2218" s="287" t="str">
        <f t="shared" si="36"/>
        <v>GujRERA</v>
      </c>
    </row>
    <row r="2219" spans="1:16">
      <c r="A2219" s="129" t="str">
        <f>_xlfn.XLOOKUP(B2219,$S$9:$S$14,$T$9:$T$14)&amp;"-"&amp;
IF(E2219="Residential/Group Housing","RES",
IF(E2219="Commercial","COM",
IF(E2219="Mixed Development","MIX",
IF(E2219="Plotted Development","PLT","OTH"))))
&amp;"-"&amp;TEXT(COUNTIFS($B$9:B2219,B2219,$E$9:E2219,E2219),"0000")</f>
        <v>SUR-MIX-0380</v>
      </c>
      <c r="B2219" s="322" t="s">
        <v>34</v>
      </c>
      <c r="C2219" s="322" t="s">
        <v>34</v>
      </c>
      <c r="D2219" s="323" t="s">
        <v>2409</v>
      </c>
      <c r="E2219" s="132" t="s">
        <v>25</v>
      </c>
      <c r="F2219" s="97" t="str">
        <f ca="1">IF(OR(Market_Data[[#This Row],[Start Date]]="",Market_Data[[#This Row],[Completion Date]]=""),"Needs Validation",IF(Market_Data[[#This Row],[Start Date]]&gt;TODAY(),"Planned",IF(Market_Data[[#This Row],[Completion Date]]&lt;TODAY(),"Completed","Ongoing")))</f>
        <v>Ongoing</v>
      </c>
      <c r="G2219" s="324">
        <v>45658</v>
      </c>
      <c r="H2219" s="324">
        <v>48213</v>
      </c>
      <c r="I2219" s="325">
        <v>37400</v>
      </c>
      <c r="J221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19" s="133">
        <f>_xlfn.XLOOKUP(Market_Data[[#This Row],[Project Type]],tbl_assumptions_market[Project Category (RERA)],tbl_assumptions_market[Concrete Intensity
(m³ / sq m BUA)],"",0)</f>
        <v>0.42</v>
      </c>
      <c r="L2219" s="134">
        <f>ROUND(Market_Data[[#This Row],[Estimated Built Up Area (sq m)]]*Market_Data[[#This Row],[Concrete Intensity
(m³ / sq m)]],0)</f>
        <v>15708</v>
      </c>
      <c r="M2219" s="135">
        <f>_xlfn.XLOOKUP(Market_Data[[#This Row],[District]],tbl_district_price[District],tbl_district_price[Standard Price
(INR/m³)],"",0)</f>
        <v>6200</v>
      </c>
      <c r="N2219" s="364">
        <f>IF(OR(Market_Data[[#This Row],[Estimated Concrete Demand (m³)]]="",Market_Data[[#This Row],[Avg Price per (₹ / m³)]]=""),"",Market_Data[[#This Row],[Estimated Concrete Demand (m³)]]*Market_Data[[#This Row],[Avg Price per (₹ / m³)]]/10000000)</f>
        <v>9.7389600000000005</v>
      </c>
      <c r="O2219" s="97" t="str">
        <f>IF(Market_Data[[#This Row],[Estimated Concrete Demand (m³)]]="","",
IF(Market_Data[[#This Row],[Estimated Concrete Demand (m³)]]&lt;10000,"Small",
IF(Market_Data[[#This Row],[Estimated Concrete Demand (m³)]]&lt;25000,"Medium",
IF(Market_Data[[#This Row],[Estimated Concrete Demand (m³)]]&lt;100000,"Large","Mega"))))</f>
        <v>Medium</v>
      </c>
      <c r="P2219" s="287" t="str">
        <f t="shared" si="36"/>
        <v>GujRERA</v>
      </c>
    </row>
    <row r="2220" spans="1:16">
      <c r="A2220" s="129" t="str">
        <f>_xlfn.XLOOKUP(B2220,$S$9:$S$14,$T$9:$T$14)&amp;"-"&amp;
IF(E2220="Residential/Group Housing","RES",
IF(E2220="Commercial","COM",
IF(E2220="Mixed Development","MIX",
IF(E2220="Plotted Development","PLT","OTH"))))
&amp;"-"&amp;TEXT(COUNTIFS($B$9:B2220,B2220,$E$9:E2220,E2220),"0000")</f>
        <v>SUR-RES-0742</v>
      </c>
      <c r="B2220" s="322" t="s">
        <v>34</v>
      </c>
      <c r="C2220" s="322" t="s">
        <v>34</v>
      </c>
      <c r="D2220" s="323" t="s">
        <v>2410</v>
      </c>
      <c r="E2220" s="132" t="s">
        <v>24</v>
      </c>
      <c r="F2220" s="97" t="str">
        <f ca="1">IF(OR(Market_Data[[#This Row],[Start Date]]="",Market_Data[[#This Row],[Completion Date]]=""),"Needs Validation",IF(Market_Data[[#This Row],[Start Date]]&gt;TODAY(),"Planned",IF(Market_Data[[#This Row],[Completion Date]]&lt;TODAY(),"Completed","Ongoing")))</f>
        <v>Ongoing</v>
      </c>
      <c r="G2220" s="324">
        <v>45075</v>
      </c>
      <c r="H2220" s="324">
        <v>47118</v>
      </c>
      <c r="I2220" s="325">
        <v>14000</v>
      </c>
      <c r="J222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20" s="133">
        <f>_xlfn.XLOOKUP(Market_Data[[#This Row],[Project Type]],tbl_assumptions_market[Project Category (RERA)],tbl_assumptions_market[Concrete Intensity
(m³ / sq m BUA)],"",0)</f>
        <v>0.45</v>
      </c>
      <c r="L2220" s="134">
        <f>ROUND(Market_Data[[#This Row],[Estimated Built Up Area (sq m)]]*Market_Data[[#This Row],[Concrete Intensity
(m³ / sq m)]],0)</f>
        <v>6300</v>
      </c>
      <c r="M2220" s="135">
        <f>_xlfn.XLOOKUP(Market_Data[[#This Row],[District]],tbl_district_price[District],tbl_district_price[Standard Price
(INR/m³)],"",0)</f>
        <v>6200</v>
      </c>
      <c r="N2220" s="364">
        <f>IF(OR(Market_Data[[#This Row],[Estimated Concrete Demand (m³)]]="",Market_Data[[#This Row],[Avg Price per (₹ / m³)]]=""),"",Market_Data[[#This Row],[Estimated Concrete Demand (m³)]]*Market_Data[[#This Row],[Avg Price per (₹ / m³)]]/10000000)</f>
        <v>3.9060000000000001</v>
      </c>
      <c r="O2220" s="97" t="str">
        <f>IF(Market_Data[[#This Row],[Estimated Concrete Demand (m³)]]="","",
IF(Market_Data[[#This Row],[Estimated Concrete Demand (m³)]]&lt;10000,"Small",
IF(Market_Data[[#This Row],[Estimated Concrete Demand (m³)]]&lt;25000,"Medium",
IF(Market_Data[[#This Row],[Estimated Concrete Demand (m³)]]&lt;100000,"Large","Mega"))))</f>
        <v>Small</v>
      </c>
      <c r="P2220" s="287" t="str">
        <f t="shared" si="36"/>
        <v>GujRERA</v>
      </c>
    </row>
    <row r="2221" spans="1:16">
      <c r="A2221" s="129" t="str">
        <f>_xlfn.XLOOKUP(B2221,$S$9:$S$14,$T$9:$T$14)&amp;"-"&amp;
IF(E2221="Residential/Group Housing","RES",
IF(E2221="Commercial","COM",
IF(E2221="Mixed Development","MIX",
IF(E2221="Plotted Development","PLT","OTH"))))
&amp;"-"&amp;TEXT(COUNTIFS($B$9:B2221,B2221,$E$9:E2221,E2221),"0000")</f>
        <v>SUR-RES-0743</v>
      </c>
      <c r="B2221" s="322" t="s">
        <v>34</v>
      </c>
      <c r="C2221" s="322" t="s">
        <v>34</v>
      </c>
      <c r="D2221" s="323" t="s">
        <v>2411</v>
      </c>
      <c r="E2221" s="132" t="s">
        <v>24</v>
      </c>
      <c r="F2221" s="97" t="str">
        <f ca="1">IF(OR(Market_Data[[#This Row],[Start Date]]="",Market_Data[[#This Row],[Completion Date]]=""),"Needs Validation",IF(Market_Data[[#This Row],[Start Date]]&gt;TODAY(),"Planned",IF(Market_Data[[#This Row],[Completion Date]]&lt;TODAY(),"Completed","Ongoing")))</f>
        <v>Ongoing</v>
      </c>
      <c r="G2221" s="324">
        <v>44767</v>
      </c>
      <c r="H2221" s="324">
        <v>46752</v>
      </c>
      <c r="I2221" s="325">
        <v>51700</v>
      </c>
      <c r="J222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21" s="133">
        <f>_xlfn.XLOOKUP(Market_Data[[#This Row],[Project Type]],tbl_assumptions_market[Project Category (RERA)],tbl_assumptions_market[Concrete Intensity
(m³ / sq m BUA)],"",0)</f>
        <v>0.45</v>
      </c>
      <c r="L2221" s="134">
        <f>ROUND(Market_Data[[#This Row],[Estimated Built Up Area (sq m)]]*Market_Data[[#This Row],[Concrete Intensity
(m³ / sq m)]],0)</f>
        <v>23265</v>
      </c>
      <c r="M2221" s="135">
        <f>_xlfn.XLOOKUP(Market_Data[[#This Row],[District]],tbl_district_price[District],tbl_district_price[Standard Price
(INR/m³)],"",0)</f>
        <v>6200</v>
      </c>
      <c r="N2221" s="364">
        <f>IF(OR(Market_Data[[#This Row],[Estimated Concrete Demand (m³)]]="",Market_Data[[#This Row],[Avg Price per (₹ / m³)]]=""),"",Market_Data[[#This Row],[Estimated Concrete Demand (m³)]]*Market_Data[[#This Row],[Avg Price per (₹ / m³)]]/10000000)</f>
        <v>14.424300000000001</v>
      </c>
      <c r="O2221" s="97" t="str">
        <f>IF(Market_Data[[#This Row],[Estimated Concrete Demand (m³)]]="","",
IF(Market_Data[[#This Row],[Estimated Concrete Demand (m³)]]&lt;10000,"Small",
IF(Market_Data[[#This Row],[Estimated Concrete Demand (m³)]]&lt;25000,"Medium",
IF(Market_Data[[#This Row],[Estimated Concrete Demand (m³)]]&lt;100000,"Large","Mega"))))</f>
        <v>Medium</v>
      </c>
      <c r="P2221" s="287" t="str">
        <f t="shared" si="36"/>
        <v>GujRERA</v>
      </c>
    </row>
    <row r="2222" spans="1:16">
      <c r="A2222" s="129" t="str">
        <f>_xlfn.XLOOKUP(B2222,$S$9:$S$14,$T$9:$T$14)&amp;"-"&amp;
IF(E2222="Residential/Group Housing","RES",
IF(E2222="Commercial","COM",
IF(E2222="Mixed Development","MIX",
IF(E2222="Plotted Development","PLT","OTH"))))
&amp;"-"&amp;TEXT(COUNTIFS($B$9:B2222,B2222,$E$9:E2222,E2222),"0000")</f>
        <v>SUR-MIX-0381</v>
      </c>
      <c r="B2222" s="322" t="s">
        <v>34</v>
      </c>
      <c r="C2222" s="322" t="s">
        <v>34</v>
      </c>
      <c r="D2222" s="323" t="s">
        <v>2412</v>
      </c>
      <c r="E2222" s="132" t="s">
        <v>25</v>
      </c>
      <c r="F2222" s="97" t="str">
        <f ca="1">IF(OR(Market_Data[[#This Row],[Start Date]]="",Market_Data[[#This Row],[Completion Date]]=""),"Needs Validation",IF(Market_Data[[#This Row],[Start Date]]&gt;TODAY(),"Planned",IF(Market_Data[[#This Row],[Completion Date]]&lt;TODAY(),"Completed","Ongoing")))</f>
        <v>Ongoing</v>
      </c>
      <c r="G2222" s="324">
        <v>44927</v>
      </c>
      <c r="H2222" s="324">
        <v>46630</v>
      </c>
      <c r="I2222" s="325">
        <v>22400</v>
      </c>
      <c r="J222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22" s="133">
        <f>_xlfn.XLOOKUP(Market_Data[[#This Row],[Project Type]],tbl_assumptions_market[Project Category (RERA)],tbl_assumptions_market[Concrete Intensity
(m³ / sq m BUA)],"",0)</f>
        <v>0.42</v>
      </c>
      <c r="L2222" s="134">
        <f>ROUND(Market_Data[[#This Row],[Estimated Built Up Area (sq m)]]*Market_Data[[#This Row],[Concrete Intensity
(m³ / sq m)]],0)</f>
        <v>9408</v>
      </c>
      <c r="M2222" s="135">
        <f>_xlfn.XLOOKUP(Market_Data[[#This Row],[District]],tbl_district_price[District],tbl_district_price[Standard Price
(INR/m³)],"",0)</f>
        <v>6200</v>
      </c>
      <c r="N2222" s="364">
        <f>IF(OR(Market_Data[[#This Row],[Estimated Concrete Demand (m³)]]="",Market_Data[[#This Row],[Avg Price per (₹ / m³)]]=""),"",Market_Data[[#This Row],[Estimated Concrete Demand (m³)]]*Market_Data[[#This Row],[Avg Price per (₹ / m³)]]/10000000)</f>
        <v>5.8329599999999999</v>
      </c>
      <c r="O2222" s="97" t="str">
        <f>IF(Market_Data[[#This Row],[Estimated Concrete Demand (m³)]]="","",
IF(Market_Data[[#This Row],[Estimated Concrete Demand (m³)]]&lt;10000,"Small",
IF(Market_Data[[#This Row],[Estimated Concrete Demand (m³)]]&lt;25000,"Medium",
IF(Market_Data[[#This Row],[Estimated Concrete Demand (m³)]]&lt;100000,"Large","Mega"))))</f>
        <v>Small</v>
      </c>
      <c r="P2222" s="287" t="str">
        <f t="shared" si="36"/>
        <v>GujRERA</v>
      </c>
    </row>
    <row r="2223" spans="1:16">
      <c r="A2223" s="129" t="str">
        <f>_xlfn.XLOOKUP(B2223,$S$9:$S$14,$T$9:$T$14)&amp;"-"&amp;
IF(E2223="Residential/Group Housing","RES",
IF(E2223="Commercial","COM",
IF(E2223="Mixed Development","MIX",
IF(E2223="Plotted Development","PLT","OTH"))))
&amp;"-"&amp;TEXT(COUNTIFS($B$9:B2223,B2223,$E$9:E2223,E2223),"0000")</f>
        <v>SUR-MIX-0382</v>
      </c>
      <c r="B2223" s="322" t="s">
        <v>34</v>
      </c>
      <c r="C2223" s="322" t="s">
        <v>34</v>
      </c>
      <c r="D2223" s="323" t="s">
        <v>2413</v>
      </c>
      <c r="E2223" s="132" t="s">
        <v>25</v>
      </c>
      <c r="F2223" s="97" t="str">
        <f ca="1">IF(OR(Market_Data[[#This Row],[Start Date]]="",Market_Data[[#This Row],[Completion Date]]=""),"Needs Validation",IF(Market_Data[[#This Row],[Start Date]]&gt;TODAY(),"Planned",IF(Market_Data[[#This Row],[Completion Date]]&lt;TODAY(),"Completed","Ongoing")))</f>
        <v>Ongoing</v>
      </c>
      <c r="G2223" s="324">
        <v>45142</v>
      </c>
      <c r="H2223" s="324">
        <v>47542</v>
      </c>
      <c r="I2223" s="325">
        <v>54200</v>
      </c>
      <c r="J222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23" s="133">
        <f>_xlfn.XLOOKUP(Market_Data[[#This Row],[Project Type]],tbl_assumptions_market[Project Category (RERA)],tbl_assumptions_market[Concrete Intensity
(m³ / sq m BUA)],"",0)</f>
        <v>0.42</v>
      </c>
      <c r="L2223" s="134">
        <f>ROUND(Market_Data[[#This Row],[Estimated Built Up Area (sq m)]]*Market_Data[[#This Row],[Concrete Intensity
(m³ / sq m)]],0)</f>
        <v>22764</v>
      </c>
      <c r="M2223" s="135">
        <f>_xlfn.XLOOKUP(Market_Data[[#This Row],[District]],tbl_district_price[District],tbl_district_price[Standard Price
(INR/m³)],"",0)</f>
        <v>6200</v>
      </c>
      <c r="N2223" s="364">
        <f>IF(OR(Market_Data[[#This Row],[Estimated Concrete Demand (m³)]]="",Market_Data[[#This Row],[Avg Price per (₹ / m³)]]=""),"",Market_Data[[#This Row],[Estimated Concrete Demand (m³)]]*Market_Data[[#This Row],[Avg Price per (₹ / m³)]]/10000000)</f>
        <v>14.11368</v>
      </c>
      <c r="O2223" s="97" t="str">
        <f>IF(Market_Data[[#This Row],[Estimated Concrete Demand (m³)]]="","",
IF(Market_Data[[#This Row],[Estimated Concrete Demand (m³)]]&lt;10000,"Small",
IF(Market_Data[[#This Row],[Estimated Concrete Demand (m³)]]&lt;25000,"Medium",
IF(Market_Data[[#This Row],[Estimated Concrete Demand (m³)]]&lt;100000,"Large","Mega"))))</f>
        <v>Medium</v>
      </c>
      <c r="P2223" s="287" t="str">
        <f t="shared" si="36"/>
        <v>GujRERA</v>
      </c>
    </row>
    <row r="2224" spans="1:16">
      <c r="A2224" s="129" t="str">
        <f>_xlfn.XLOOKUP(B2224,$S$9:$S$14,$T$9:$T$14)&amp;"-"&amp;
IF(E2224="Residential/Group Housing","RES",
IF(E2224="Commercial","COM",
IF(E2224="Mixed Development","MIX",
IF(E2224="Plotted Development","PLT","OTH"))))
&amp;"-"&amp;TEXT(COUNTIFS($B$9:B2224,B2224,$E$9:E2224,E2224),"0000")</f>
        <v>SUR-RES-0744</v>
      </c>
      <c r="B2224" s="322" t="s">
        <v>34</v>
      </c>
      <c r="C2224" s="322" t="s">
        <v>34</v>
      </c>
      <c r="D2224" s="323" t="s">
        <v>2414</v>
      </c>
      <c r="E2224" s="132" t="s">
        <v>24</v>
      </c>
      <c r="F2224" s="97" t="str">
        <f ca="1">IF(OR(Market_Data[[#This Row],[Start Date]]="",Market_Data[[#This Row],[Completion Date]]=""),"Needs Validation",IF(Market_Data[[#This Row],[Start Date]]&gt;TODAY(),"Planned",IF(Market_Data[[#This Row],[Completion Date]]&lt;TODAY(),"Completed","Ongoing")))</f>
        <v>Ongoing</v>
      </c>
      <c r="G2224" s="324">
        <v>44887</v>
      </c>
      <c r="H2224" s="324">
        <v>47483</v>
      </c>
      <c r="I2224" s="325">
        <v>39200</v>
      </c>
      <c r="J222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24" s="133">
        <f>_xlfn.XLOOKUP(Market_Data[[#This Row],[Project Type]],tbl_assumptions_market[Project Category (RERA)],tbl_assumptions_market[Concrete Intensity
(m³ / sq m BUA)],"",0)</f>
        <v>0.45</v>
      </c>
      <c r="L2224" s="134">
        <f>ROUND(Market_Data[[#This Row],[Estimated Built Up Area (sq m)]]*Market_Data[[#This Row],[Concrete Intensity
(m³ / sq m)]],0)</f>
        <v>17640</v>
      </c>
      <c r="M2224" s="135">
        <f>_xlfn.XLOOKUP(Market_Data[[#This Row],[District]],tbl_district_price[District],tbl_district_price[Standard Price
(INR/m³)],"",0)</f>
        <v>6200</v>
      </c>
      <c r="N2224" s="364">
        <f>IF(OR(Market_Data[[#This Row],[Estimated Concrete Demand (m³)]]="",Market_Data[[#This Row],[Avg Price per (₹ / m³)]]=""),"",Market_Data[[#This Row],[Estimated Concrete Demand (m³)]]*Market_Data[[#This Row],[Avg Price per (₹ / m³)]]/10000000)</f>
        <v>10.9368</v>
      </c>
      <c r="O2224" s="97" t="str">
        <f>IF(Market_Data[[#This Row],[Estimated Concrete Demand (m³)]]="","",
IF(Market_Data[[#This Row],[Estimated Concrete Demand (m³)]]&lt;10000,"Small",
IF(Market_Data[[#This Row],[Estimated Concrete Demand (m³)]]&lt;25000,"Medium",
IF(Market_Data[[#This Row],[Estimated Concrete Demand (m³)]]&lt;100000,"Large","Mega"))))</f>
        <v>Medium</v>
      </c>
      <c r="P2224" s="287" t="str">
        <f t="shared" si="36"/>
        <v>GujRERA</v>
      </c>
    </row>
    <row r="2225" spans="1:16">
      <c r="A2225" s="129" t="str">
        <f>_xlfn.XLOOKUP(B2225,$S$9:$S$14,$T$9:$T$14)&amp;"-"&amp;
IF(E2225="Residential/Group Housing","RES",
IF(E2225="Commercial","COM",
IF(E2225="Mixed Development","MIX",
IF(E2225="Plotted Development","PLT","OTH"))))
&amp;"-"&amp;TEXT(COUNTIFS($B$9:B2225,B2225,$E$9:E2225,E2225),"0000")</f>
        <v>SUR-RES-0745</v>
      </c>
      <c r="B2225" s="322" t="s">
        <v>34</v>
      </c>
      <c r="C2225" s="322" t="s">
        <v>34</v>
      </c>
      <c r="D2225" s="323" t="s">
        <v>2415</v>
      </c>
      <c r="E2225" s="132" t="s">
        <v>24</v>
      </c>
      <c r="F2225" s="97" t="str">
        <f ca="1">IF(OR(Market_Data[[#This Row],[Start Date]]="",Market_Data[[#This Row],[Completion Date]]=""),"Needs Validation",IF(Market_Data[[#This Row],[Start Date]]&gt;TODAY(),"Planned",IF(Market_Data[[#This Row],[Completion Date]]&lt;TODAY(),"Completed","Ongoing")))</f>
        <v>Completed</v>
      </c>
      <c r="G2225" s="324">
        <v>42837</v>
      </c>
      <c r="H2225" s="324">
        <v>44286</v>
      </c>
      <c r="I2225" s="325">
        <v>10400</v>
      </c>
      <c r="J222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25" s="133">
        <f>_xlfn.XLOOKUP(Market_Data[[#This Row],[Project Type]],tbl_assumptions_market[Project Category (RERA)],tbl_assumptions_market[Concrete Intensity
(m³ / sq m BUA)],"",0)</f>
        <v>0.45</v>
      </c>
      <c r="L2225" s="134">
        <f>ROUND(Market_Data[[#This Row],[Estimated Built Up Area (sq m)]]*Market_Data[[#This Row],[Concrete Intensity
(m³ / sq m)]],0)</f>
        <v>4680</v>
      </c>
      <c r="M2225" s="135">
        <f>_xlfn.XLOOKUP(Market_Data[[#This Row],[District]],tbl_district_price[District],tbl_district_price[Standard Price
(INR/m³)],"",0)</f>
        <v>6200</v>
      </c>
      <c r="N2225" s="364">
        <f>IF(OR(Market_Data[[#This Row],[Estimated Concrete Demand (m³)]]="",Market_Data[[#This Row],[Avg Price per (₹ / m³)]]=""),"",Market_Data[[#This Row],[Estimated Concrete Demand (m³)]]*Market_Data[[#This Row],[Avg Price per (₹ / m³)]]/10000000)</f>
        <v>2.9016000000000002</v>
      </c>
      <c r="O2225" s="97" t="str">
        <f>IF(Market_Data[[#This Row],[Estimated Concrete Demand (m³)]]="","",
IF(Market_Data[[#This Row],[Estimated Concrete Demand (m³)]]&lt;10000,"Small",
IF(Market_Data[[#This Row],[Estimated Concrete Demand (m³)]]&lt;25000,"Medium",
IF(Market_Data[[#This Row],[Estimated Concrete Demand (m³)]]&lt;100000,"Large","Mega"))))</f>
        <v>Small</v>
      </c>
      <c r="P2225" s="287" t="str">
        <f t="shared" si="36"/>
        <v>GujRERA</v>
      </c>
    </row>
    <row r="2226" spans="1:16">
      <c r="A2226" s="129" t="str">
        <f>_xlfn.XLOOKUP(B2226,$S$9:$S$14,$T$9:$T$14)&amp;"-"&amp;
IF(E2226="Residential/Group Housing","RES",
IF(E2226="Commercial","COM",
IF(E2226="Mixed Development","MIX",
IF(E2226="Plotted Development","PLT","OTH"))))
&amp;"-"&amp;TEXT(COUNTIFS($B$9:B2226,B2226,$E$9:E2226,E2226),"0000")</f>
        <v>SUR-RES-0746</v>
      </c>
      <c r="B2226" s="322" t="s">
        <v>34</v>
      </c>
      <c r="C2226" s="322" t="s">
        <v>34</v>
      </c>
      <c r="D2226" s="323" t="s">
        <v>2416</v>
      </c>
      <c r="E2226" s="132" t="s">
        <v>24</v>
      </c>
      <c r="F2226" s="97" t="str">
        <f ca="1">IF(OR(Market_Data[[#This Row],[Start Date]]="",Market_Data[[#This Row],[Completion Date]]=""),"Needs Validation",IF(Market_Data[[#This Row],[Start Date]]&gt;TODAY(),"Planned",IF(Market_Data[[#This Row],[Completion Date]]&lt;TODAY(),"Completed","Ongoing")))</f>
        <v>Completed</v>
      </c>
      <c r="G2226" s="324">
        <v>42803</v>
      </c>
      <c r="H2226" s="324">
        <v>45376</v>
      </c>
      <c r="I2226" s="325">
        <v>36400</v>
      </c>
      <c r="J222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26" s="133">
        <f>_xlfn.XLOOKUP(Market_Data[[#This Row],[Project Type]],tbl_assumptions_market[Project Category (RERA)],tbl_assumptions_market[Concrete Intensity
(m³ / sq m BUA)],"",0)</f>
        <v>0.45</v>
      </c>
      <c r="L2226" s="134">
        <f>ROUND(Market_Data[[#This Row],[Estimated Built Up Area (sq m)]]*Market_Data[[#This Row],[Concrete Intensity
(m³ / sq m)]],0)</f>
        <v>16380</v>
      </c>
      <c r="M2226" s="135">
        <f>_xlfn.XLOOKUP(Market_Data[[#This Row],[District]],tbl_district_price[District],tbl_district_price[Standard Price
(INR/m³)],"",0)</f>
        <v>6200</v>
      </c>
      <c r="N2226" s="364">
        <f>IF(OR(Market_Data[[#This Row],[Estimated Concrete Demand (m³)]]="",Market_Data[[#This Row],[Avg Price per (₹ / m³)]]=""),"",Market_Data[[#This Row],[Estimated Concrete Demand (m³)]]*Market_Data[[#This Row],[Avg Price per (₹ / m³)]]/10000000)</f>
        <v>10.1556</v>
      </c>
      <c r="O2226" s="97" t="str">
        <f>IF(Market_Data[[#This Row],[Estimated Concrete Demand (m³)]]="","",
IF(Market_Data[[#This Row],[Estimated Concrete Demand (m³)]]&lt;10000,"Small",
IF(Market_Data[[#This Row],[Estimated Concrete Demand (m³)]]&lt;25000,"Medium",
IF(Market_Data[[#This Row],[Estimated Concrete Demand (m³)]]&lt;100000,"Large","Mega"))))</f>
        <v>Medium</v>
      </c>
      <c r="P2226" s="287" t="str">
        <f t="shared" si="36"/>
        <v>GujRERA</v>
      </c>
    </row>
    <row r="2227" spans="1:16">
      <c r="A2227" s="129" t="str">
        <f>_xlfn.XLOOKUP(B2227,$S$9:$S$14,$T$9:$T$14)&amp;"-"&amp;
IF(E2227="Residential/Group Housing","RES",
IF(E2227="Commercial","COM",
IF(E2227="Mixed Development","MIX",
IF(E2227="Plotted Development","PLT","OTH"))))
&amp;"-"&amp;TEXT(COUNTIFS($B$9:B2227,B2227,$E$9:E2227,E2227),"0000")</f>
        <v>SUR-RES-0747</v>
      </c>
      <c r="B2227" s="322" t="s">
        <v>34</v>
      </c>
      <c r="C2227" s="322" t="s">
        <v>34</v>
      </c>
      <c r="D2227" s="323" t="s">
        <v>2417</v>
      </c>
      <c r="E2227" s="132" t="s">
        <v>24</v>
      </c>
      <c r="F2227" s="97" t="str">
        <f ca="1">IF(OR(Market_Data[[#This Row],[Start Date]]="",Market_Data[[#This Row],[Completion Date]]=""),"Needs Validation",IF(Market_Data[[#This Row],[Start Date]]&gt;TODAY(),"Planned",IF(Market_Data[[#This Row],[Completion Date]]&lt;TODAY(),"Completed","Ongoing")))</f>
        <v>Completed</v>
      </c>
      <c r="G2227" s="324">
        <v>44774</v>
      </c>
      <c r="H2227" s="324">
        <v>46203</v>
      </c>
      <c r="I2227" s="325">
        <v>10600</v>
      </c>
      <c r="J222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27" s="133">
        <f>_xlfn.XLOOKUP(Market_Data[[#This Row],[Project Type]],tbl_assumptions_market[Project Category (RERA)],tbl_assumptions_market[Concrete Intensity
(m³ / sq m BUA)],"",0)</f>
        <v>0.45</v>
      </c>
      <c r="L2227" s="134">
        <f>ROUND(Market_Data[[#This Row],[Estimated Built Up Area (sq m)]]*Market_Data[[#This Row],[Concrete Intensity
(m³ / sq m)]],0)</f>
        <v>4770</v>
      </c>
      <c r="M2227" s="135">
        <f>_xlfn.XLOOKUP(Market_Data[[#This Row],[District]],tbl_district_price[District],tbl_district_price[Standard Price
(INR/m³)],"",0)</f>
        <v>6200</v>
      </c>
      <c r="N2227" s="364">
        <f>IF(OR(Market_Data[[#This Row],[Estimated Concrete Demand (m³)]]="",Market_Data[[#This Row],[Avg Price per (₹ / m³)]]=""),"",Market_Data[[#This Row],[Estimated Concrete Demand (m³)]]*Market_Data[[#This Row],[Avg Price per (₹ / m³)]]/10000000)</f>
        <v>2.9573999999999998</v>
      </c>
      <c r="O2227" s="97" t="str">
        <f>IF(Market_Data[[#This Row],[Estimated Concrete Demand (m³)]]="","",
IF(Market_Data[[#This Row],[Estimated Concrete Demand (m³)]]&lt;10000,"Small",
IF(Market_Data[[#This Row],[Estimated Concrete Demand (m³)]]&lt;25000,"Medium",
IF(Market_Data[[#This Row],[Estimated Concrete Demand (m³)]]&lt;100000,"Large","Mega"))))</f>
        <v>Small</v>
      </c>
      <c r="P2227" s="287" t="str">
        <f t="shared" si="36"/>
        <v>GujRERA</v>
      </c>
    </row>
    <row r="2228" spans="1:16">
      <c r="A2228" s="129" t="str">
        <f>_xlfn.XLOOKUP(B2228,$S$9:$S$14,$T$9:$T$14)&amp;"-"&amp;
IF(E2228="Residential/Group Housing","RES",
IF(E2228="Commercial","COM",
IF(E2228="Mixed Development","MIX",
IF(E2228="Plotted Development","PLT","OTH"))))
&amp;"-"&amp;TEXT(COUNTIFS($B$9:B2228,B2228,$E$9:E2228,E2228),"0000")</f>
        <v>SUR-MIX-0383</v>
      </c>
      <c r="B2228" s="322" t="s">
        <v>34</v>
      </c>
      <c r="C2228" s="322" t="s">
        <v>34</v>
      </c>
      <c r="D2228" s="323" t="s">
        <v>2418</v>
      </c>
      <c r="E2228" s="132" t="s">
        <v>25</v>
      </c>
      <c r="F2228" s="97" t="str">
        <f ca="1">IF(OR(Market_Data[[#This Row],[Start Date]]="",Market_Data[[#This Row],[Completion Date]]=""),"Needs Validation",IF(Market_Data[[#This Row],[Start Date]]&gt;TODAY(),"Planned",IF(Market_Data[[#This Row],[Completion Date]]&lt;TODAY(),"Completed","Ongoing")))</f>
        <v>Completed</v>
      </c>
      <c r="G2228" s="324">
        <v>43252</v>
      </c>
      <c r="H2228" s="324">
        <v>45655</v>
      </c>
      <c r="I2228" s="325">
        <v>13600</v>
      </c>
      <c r="J222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28" s="133">
        <f>_xlfn.XLOOKUP(Market_Data[[#This Row],[Project Type]],tbl_assumptions_market[Project Category (RERA)],tbl_assumptions_market[Concrete Intensity
(m³ / sq m BUA)],"",0)</f>
        <v>0.42</v>
      </c>
      <c r="L2228" s="134">
        <f>ROUND(Market_Data[[#This Row],[Estimated Built Up Area (sq m)]]*Market_Data[[#This Row],[Concrete Intensity
(m³ / sq m)]],0)</f>
        <v>5712</v>
      </c>
      <c r="M2228" s="135">
        <f>_xlfn.XLOOKUP(Market_Data[[#This Row],[District]],tbl_district_price[District],tbl_district_price[Standard Price
(INR/m³)],"",0)</f>
        <v>6200</v>
      </c>
      <c r="N2228" s="364">
        <f>IF(OR(Market_Data[[#This Row],[Estimated Concrete Demand (m³)]]="",Market_Data[[#This Row],[Avg Price per (₹ / m³)]]=""),"",Market_Data[[#This Row],[Estimated Concrete Demand (m³)]]*Market_Data[[#This Row],[Avg Price per (₹ / m³)]]/10000000)</f>
        <v>3.5414400000000001</v>
      </c>
      <c r="O2228" s="97" t="str">
        <f>IF(Market_Data[[#This Row],[Estimated Concrete Demand (m³)]]="","",
IF(Market_Data[[#This Row],[Estimated Concrete Demand (m³)]]&lt;10000,"Small",
IF(Market_Data[[#This Row],[Estimated Concrete Demand (m³)]]&lt;25000,"Medium",
IF(Market_Data[[#This Row],[Estimated Concrete Demand (m³)]]&lt;100000,"Large","Mega"))))</f>
        <v>Small</v>
      </c>
      <c r="P2228" s="287" t="str">
        <f t="shared" si="36"/>
        <v>GujRERA</v>
      </c>
    </row>
    <row r="2229" spans="1:16">
      <c r="A2229" s="129" t="str">
        <f>_xlfn.XLOOKUP(B2229,$S$9:$S$14,$T$9:$T$14)&amp;"-"&amp;
IF(E2229="Residential/Group Housing","RES",
IF(E2229="Commercial","COM",
IF(E2229="Mixed Development","MIX",
IF(E2229="Plotted Development","PLT","OTH"))))
&amp;"-"&amp;TEXT(COUNTIFS($B$9:B2229,B2229,$E$9:E2229,E2229),"0000")</f>
        <v>SUR-RES-0748</v>
      </c>
      <c r="B2229" s="322" t="s">
        <v>34</v>
      </c>
      <c r="C2229" s="322" t="s">
        <v>34</v>
      </c>
      <c r="D2229" s="323" t="s">
        <v>2419</v>
      </c>
      <c r="E2229" s="132" t="s">
        <v>24</v>
      </c>
      <c r="F2229" s="97" t="str">
        <f ca="1">IF(OR(Market_Data[[#This Row],[Start Date]]="",Market_Data[[#This Row],[Completion Date]]=""),"Needs Validation",IF(Market_Data[[#This Row],[Start Date]]&gt;TODAY(),"Planned",IF(Market_Data[[#This Row],[Completion Date]]&lt;TODAY(),"Completed","Ongoing")))</f>
        <v>Completed</v>
      </c>
      <c r="G2229" s="324">
        <v>43259</v>
      </c>
      <c r="H2229" s="324">
        <v>45473</v>
      </c>
      <c r="I2229" s="325">
        <v>57400</v>
      </c>
      <c r="J222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29" s="133">
        <f>_xlfn.XLOOKUP(Market_Data[[#This Row],[Project Type]],tbl_assumptions_market[Project Category (RERA)],tbl_assumptions_market[Concrete Intensity
(m³ / sq m BUA)],"",0)</f>
        <v>0.45</v>
      </c>
      <c r="L2229" s="134">
        <f>ROUND(Market_Data[[#This Row],[Estimated Built Up Area (sq m)]]*Market_Data[[#This Row],[Concrete Intensity
(m³ / sq m)]],0)</f>
        <v>25830</v>
      </c>
      <c r="M2229" s="135">
        <f>_xlfn.XLOOKUP(Market_Data[[#This Row],[District]],tbl_district_price[District],tbl_district_price[Standard Price
(INR/m³)],"",0)</f>
        <v>6200</v>
      </c>
      <c r="N2229" s="364">
        <f>IF(OR(Market_Data[[#This Row],[Estimated Concrete Demand (m³)]]="",Market_Data[[#This Row],[Avg Price per (₹ / m³)]]=""),"",Market_Data[[#This Row],[Estimated Concrete Demand (m³)]]*Market_Data[[#This Row],[Avg Price per (₹ / m³)]]/10000000)</f>
        <v>16.014600000000002</v>
      </c>
      <c r="O2229" s="97" t="str">
        <f>IF(Market_Data[[#This Row],[Estimated Concrete Demand (m³)]]="","",
IF(Market_Data[[#This Row],[Estimated Concrete Demand (m³)]]&lt;10000,"Small",
IF(Market_Data[[#This Row],[Estimated Concrete Demand (m³)]]&lt;25000,"Medium",
IF(Market_Data[[#This Row],[Estimated Concrete Demand (m³)]]&lt;100000,"Large","Mega"))))</f>
        <v>Large</v>
      </c>
      <c r="P2229" s="287" t="str">
        <f t="shared" si="36"/>
        <v>GujRERA</v>
      </c>
    </row>
    <row r="2230" spans="1:16">
      <c r="A2230" s="129" t="str">
        <f>_xlfn.XLOOKUP(B2230,$S$9:$S$14,$T$9:$T$14)&amp;"-"&amp;
IF(E2230="Residential/Group Housing","RES",
IF(E2230="Commercial","COM",
IF(E2230="Mixed Development","MIX",
IF(E2230="Plotted Development","PLT","OTH"))))
&amp;"-"&amp;TEXT(COUNTIFS($B$9:B2230,B2230,$E$9:E2230,E2230),"0000")</f>
        <v>SUR-RES-0749</v>
      </c>
      <c r="B2230" s="322" t="s">
        <v>34</v>
      </c>
      <c r="C2230" s="322" t="s">
        <v>34</v>
      </c>
      <c r="D2230" s="323" t="s">
        <v>2420</v>
      </c>
      <c r="E2230" s="132" t="s">
        <v>24</v>
      </c>
      <c r="F2230" s="97" t="str">
        <f ca="1">IF(OR(Market_Data[[#This Row],[Start Date]]="",Market_Data[[#This Row],[Completion Date]]=""),"Needs Validation",IF(Market_Data[[#This Row],[Start Date]]&gt;TODAY(),"Planned",IF(Market_Data[[#This Row],[Completion Date]]&lt;TODAY(),"Completed","Ongoing")))</f>
        <v>Completed</v>
      </c>
      <c r="G2230" s="324">
        <v>43678</v>
      </c>
      <c r="H2230" s="324">
        <v>46203</v>
      </c>
      <c r="I2230" s="325">
        <v>35000</v>
      </c>
      <c r="J223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30" s="133">
        <f>_xlfn.XLOOKUP(Market_Data[[#This Row],[Project Type]],tbl_assumptions_market[Project Category (RERA)],tbl_assumptions_market[Concrete Intensity
(m³ / sq m BUA)],"",0)</f>
        <v>0.45</v>
      </c>
      <c r="L2230" s="134">
        <f>ROUND(Market_Data[[#This Row],[Estimated Built Up Area (sq m)]]*Market_Data[[#This Row],[Concrete Intensity
(m³ / sq m)]],0)</f>
        <v>15750</v>
      </c>
      <c r="M2230" s="135">
        <f>_xlfn.XLOOKUP(Market_Data[[#This Row],[District]],tbl_district_price[District],tbl_district_price[Standard Price
(INR/m³)],"",0)</f>
        <v>6200</v>
      </c>
      <c r="N2230" s="364">
        <f>IF(OR(Market_Data[[#This Row],[Estimated Concrete Demand (m³)]]="",Market_Data[[#This Row],[Avg Price per (₹ / m³)]]=""),"",Market_Data[[#This Row],[Estimated Concrete Demand (m³)]]*Market_Data[[#This Row],[Avg Price per (₹ / m³)]]/10000000)</f>
        <v>9.7650000000000006</v>
      </c>
      <c r="O2230" s="97" t="str">
        <f>IF(Market_Data[[#This Row],[Estimated Concrete Demand (m³)]]="","",
IF(Market_Data[[#This Row],[Estimated Concrete Demand (m³)]]&lt;10000,"Small",
IF(Market_Data[[#This Row],[Estimated Concrete Demand (m³)]]&lt;25000,"Medium",
IF(Market_Data[[#This Row],[Estimated Concrete Demand (m³)]]&lt;100000,"Large","Mega"))))</f>
        <v>Medium</v>
      </c>
      <c r="P2230" s="287" t="str">
        <f t="shared" si="36"/>
        <v>GujRERA</v>
      </c>
    </row>
    <row r="2231" spans="1:16">
      <c r="A2231" s="129" t="str">
        <f>_xlfn.XLOOKUP(B2231,$S$9:$S$14,$T$9:$T$14)&amp;"-"&amp;
IF(E2231="Residential/Group Housing","RES",
IF(E2231="Commercial","COM",
IF(E2231="Mixed Development","MIX",
IF(E2231="Plotted Development","PLT","OTH"))))
&amp;"-"&amp;TEXT(COUNTIFS($B$9:B2231,B2231,$E$9:E2231,E2231),"0000")</f>
        <v>SUR-COM-0344</v>
      </c>
      <c r="B2231" s="322" t="s">
        <v>34</v>
      </c>
      <c r="C2231" s="322" t="s">
        <v>34</v>
      </c>
      <c r="D2231" s="323" t="s">
        <v>2421</v>
      </c>
      <c r="E2231" s="132" t="s">
        <v>23</v>
      </c>
      <c r="F2231" s="97" t="str">
        <f ca="1">IF(OR(Market_Data[[#This Row],[Start Date]]="",Market_Data[[#This Row],[Completion Date]]=""),"Needs Validation",IF(Market_Data[[#This Row],[Start Date]]&gt;TODAY(),"Planned",IF(Market_Data[[#This Row],[Completion Date]]&lt;TODAY(),"Completed","Ongoing")))</f>
        <v>Completed</v>
      </c>
      <c r="G2231" s="324">
        <v>41993</v>
      </c>
      <c r="H2231" s="324">
        <v>43585</v>
      </c>
      <c r="I2231" s="325">
        <v>43700</v>
      </c>
      <c r="J223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231" s="133">
        <f>_xlfn.XLOOKUP(Market_Data[[#This Row],[Project Type]],tbl_assumptions_market[Project Category (RERA)],tbl_assumptions_market[Concrete Intensity
(m³ / sq m BUA)],"",0)</f>
        <v>0.5</v>
      </c>
      <c r="L2231" s="134">
        <f>ROUND(Market_Data[[#This Row],[Estimated Built Up Area (sq m)]]*Market_Data[[#This Row],[Concrete Intensity
(m³ / sq m)]],0)</f>
        <v>21850</v>
      </c>
      <c r="M2231" s="135">
        <f>_xlfn.XLOOKUP(Market_Data[[#This Row],[District]],tbl_district_price[District],tbl_district_price[Standard Price
(INR/m³)],"",0)</f>
        <v>6200</v>
      </c>
      <c r="N2231" s="364">
        <f>IF(OR(Market_Data[[#This Row],[Estimated Concrete Demand (m³)]]="",Market_Data[[#This Row],[Avg Price per (₹ / m³)]]=""),"",Market_Data[[#This Row],[Estimated Concrete Demand (m³)]]*Market_Data[[#This Row],[Avg Price per (₹ / m³)]]/10000000)</f>
        <v>13.547000000000001</v>
      </c>
      <c r="O2231" s="97" t="str">
        <f>IF(Market_Data[[#This Row],[Estimated Concrete Demand (m³)]]="","",
IF(Market_Data[[#This Row],[Estimated Concrete Demand (m³)]]&lt;10000,"Small",
IF(Market_Data[[#This Row],[Estimated Concrete Demand (m³)]]&lt;25000,"Medium",
IF(Market_Data[[#This Row],[Estimated Concrete Demand (m³)]]&lt;100000,"Large","Mega"))))</f>
        <v>Medium</v>
      </c>
      <c r="P2231" s="287" t="str">
        <f t="shared" si="36"/>
        <v>GujRERA</v>
      </c>
    </row>
    <row r="2232" spans="1:16">
      <c r="A2232" s="129" t="str">
        <f>_xlfn.XLOOKUP(B2232,$S$9:$S$14,$T$9:$T$14)&amp;"-"&amp;
IF(E2232="Residential/Group Housing","RES",
IF(E2232="Commercial","COM",
IF(E2232="Mixed Development","MIX",
IF(E2232="Plotted Development","PLT","OTH"))))
&amp;"-"&amp;TEXT(COUNTIFS($B$9:B2232,B2232,$E$9:E2232,E2232),"0000")</f>
        <v>SUR-MIX-0384</v>
      </c>
      <c r="B2232" s="322" t="s">
        <v>34</v>
      </c>
      <c r="C2232" s="322" t="s">
        <v>34</v>
      </c>
      <c r="D2232" s="323" t="s">
        <v>2422</v>
      </c>
      <c r="E2232" s="132" t="s">
        <v>25</v>
      </c>
      <c r="F2232" s="97" t="str">
        <f ca="1">IF(OR(Market_Data[[#This Row],[Start Date]]="",Market_Data[[#This Row],[Completion Date]]=""),"Needs Validation",IF(Market_Data[[#This Row],[Start Date]]&gt;TODAY(),"Planned",IF(Market_Data[[#This Row],[Completion Date]]&lt;TODAY(),"Completed","Ongoing")))</f>
        <v>Completed</v>
      </c>
      <c r="G2232" s="324">
        <v>41823</v>
      </c>
      <c r="H2232" s="324">
        <v>43283</v>
      </c>
      <c r="I2232" s="325">
        <v>20500</v>
      </c>
      <c r="J223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32" s="133">
        <f>_xlfn.XLOOKUP(Market_Data[[#This Row],[Project Type]],tbl_assumptions_market[Project Category (RERA)],tbl_assumptions_market[Concrete Intensity
(m³ / sq m BUA)],"",0)</f>
        <v>0.42</v>
      </c>
      <c r="L2232" s="134">
        <f>ROUND(Market_Data[[#This Row],[Estimated Built Up Area (sq m)]]*Market_Data[[#This Row],[Concrete Intensity
(m³ / sq m)]],0)</f>
        <v>8610</v>
      </c>
      <c r="M2232" s="135">
        <f>_xlfn.XLOOKUP(Market_Data[[#This Row],[District]],tbl_district_price[District],tbl_district_price[Standard Price
(INR/m³)],"",0)</f>
        <v>6200</v>
      </c>
      <c r="N2232" s="364">
        <f>IF(OR(Market_Data[[#This Row],[Estimated Concrete Demand (m³)]]="",Market_Data[[#This Row],[Avg Price per (₹ / m³)]]=""),"",Market_Data[[#This Row],[Estimated Concrete Demand (m³)]]*Market_Data[[#This Row],[Avg Price per (₹ / m³)]]/10000000)</f>
        <v>5.3381999999999996</v>
      </c>
      <c r="O2232" s="97" t="str">
        <f>IF(Market_Data[[#This Row],[Estimated Concrete Demand (m³)]]="","",
IF(Market_Data[[#This Row],[Estimated Concrete Demand (m³)]]&lt;10000,"Small",
IF(Market_Data[[#This Row],[Estimated Concrete Demand (m³)]]&lt;25000,"Medium",
IF(Market_Data[[#This Row],[Estimated Concrete Demand (m³)]]&lt;100000,"Large","Mega"))))</f>
        <v>Small</v>
      </c>
      <c r="P2232" s="287" t="str">
        <f t="shared" si="36"/>
        <v>GujRERA</v>
      </c>
    </row>
    <row r="2233" spans="1:16">
      <c r="A2233" s="129" t="str">
        <f>_xlfn.XLOOKUP(B2233,$S$9:$S$14,$T$9:$T$14)&amp;"-"&amp;
IF(E2233="Residential/Group Housing","RES",
IF(E2233="Commercial","COM",
IF(E2233="Mixed Development","MIX",
IF(E2233="Plotted Development","PLT","OTH"))))
&amp;"-"&amp;TEXT(COUNTIFS($B$9:B2233,B2233,$E$9:E2233,E2233),"0000")</f>
        <v>SUR-RES-0750</v>
      </c>
      <c r="B2233" s="322" t="s">
        <v>34</v>
      </c>
      <c r="C2233" s="322" t="s">
        <v>34</v>
      </c>
      <c r="D2233" s="323" t="s">
        <v>2423</v>
      </c>
      <c r="E2233" s="132" t="s">
        <v>24</v>
      </c>
      <c r="F2233" s="97" t="str">
        <f ca="1">IF(OR(Market_Data[[#This Row],[Start Date]]="",Market_Data[[#This Row],[Completion Date]]=""),"Needs Validation",IF(Market_Data[[#This Row],[Start Date]]&gt;TODAY(),"Planned",IF(Market_Data[[#This Row],[Completion Date]]&lt;TODAY(),"Completed","Ongoing")))</f>
        <v>Completed</v>
      </c>
      <c r="G2233" s="324">
        <v>42902</v>
      </c>
      <c r="H2233" s="324">
        <v>44316</v>
      </c>
      <c r="I2233" s="325">
        <v>12800</v>
      </c>
      <c r="J223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33" s="133">
        <f>_xlfn.XLOOKUP(Market_Data[[#This Row],[Project Type]],tbl_assumptions_market[Project Category (RERA)],tbl_assumptions_market[Concrete Intensity
(m³ / sq m BUA)],"",0)</f>
        <v>0.45</v>
      </c>
      <c r="L2233" s="134">
        <f>ROUND(Market_Data[[#This Row],[Estimated Built Up Area (sq m)]]*Market_Data[[#This Row],[Concrete Intensity
(m³ / sq m)]],0)</f>
        <v>5760</v>
      </c>
      <c r="M2233" s="135">
        <f>_xlfn.XLOOKUP(Market_Data[[#This Row],[District]],tbl_district_price[District],tbl_district_price[Standard Price
(INR/m³)],"",0)</f>
        <v>6200</v>
      </c>
      <c r="N2233" s="364">
        <f>IF(OR(Market_Data[[#This Row],[Estimated Concrete Demand (m³)]]="",Market_Data[[#This Row],[Avg Price per (₹ / m³)]]=""),"",Market_Data[[#This Row],[Estimated Concrete Demand (m³)]]*Market_Data[[#This Row],[Avg Price per (₹ / m³)]]/10000000)</f>
        <v>3.5712000000000002</v>
      </c>
      <c r="O2233" s="97" t="str">
        <f>IF(Market_Data[[#This Row],[Estimated Concrete Demand (m³)]]="","",
IF(Market_Data[[#This Row],[Estimated Concrete Demand (m³)]]&lt;10000,"Small",
IF(Market_Data[[#This Row],[Estimated Concrete Demand (m³)]]&lt;25000,"Medium",
IF(Market_Data[[#This Row],[Estimated Concrete Demand (m³)]]&lt;100000,"Large","Mega"))))</f>
        <v>Small</v>
      </c>
      <c r="P2233" s="287" t="str">
        <f t="shared" si="36"/>
        <v>GujRERA</v>
      </c>
    </row>
    <row r="2234" spans="1:16">
      <c r="A2234" s="129" t="str">
        <f>_xlfn.XLOOKUP(B2234,$S$9:$S$14,$T$9:$T$14)&amp;"-"&amp;
IF(E2234="Residential/Group Housing","RES",
IF(E2234="Commercial","COM",
IF(E2234="Mixed Development","MIX",
IF(E2234="Plotted Development","PLT","OTH"))))
&amp;"-"&amp;TEXT(COUNTIFS($B$9:B2234,B2234,$E$9:E2234,E2234),"0000")</f>
        <v>SUR-RES-0751</v>
      </c>
      <c r="B2234" s="322" t="s">
        <v>34</v>
      </c>
      <c r="C2234" s="322" t="s">
        <v>34</v>
      </c>
      <c r="D2234" s="323" t="s">
        <v>2424</v>
      </c>
      <c r="E2234" s="132" t="s">
        <v>24</v>
      </c>
      <c r="F2234" s="97" t="str">
        <f ca="1">IF(OR(Market_Data[[#This Row],[Start Date]]="",Market_Data[[#This Row],[Completion Date]]=""),"Needs Validation",IF(Market_Data[[#This Row],[Start Date]]&gt;TODAY(),"Planned",IF(Market_Data[[#This Row],[Completion Date]]&lt;TODAY(),"Completed","Ongoing")))</f>
        <v>Ongoing</v>
      </c>
      <c r="G2234" s="324">
        <v>44650</v>
      </c>
      <c r="H2234" s="324">
        <v>46446</v>
      </c>
      <c r="I2234" s="325">
        <v>25400</v>
      </c>
      <c r="J223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34" s="133">
        <f>_xlfn.XLOOKUP(Market_Data[[#This Row],[Project Type]],tbl_assumptions_market[Project Category (RERA)],tbl_assumptions_market[Concrete Intensity
(m³ / sq m BUA)],"",0)</f>
        <v>0.45</v>
      </c>
      <c r="L2234" s="134">
        <f>ROUND(Market_Data[[#This Row],[Estimated Built Up Area (sq m)]]*Market_Data[[#This Row],[Concrete Intensity
(m³ / sq m)]],0)</f>
        <v>11430</v>
      </c>
      <c r="M2234" s="135">
        <f>_xlfn.XLOOKUP(Market_Data[[#This Row],[District]],tbl_district_price[District],tbl_district_price[Standard Price
(INR/m³)],"",0)</f>
        <v>6200</v>
      </c>
      <c r="N2234" s="364">
        <f>IF(OR(Market_Data[[#This Row],[Estimated Concrete Demand (m³)]]="",Market_Data[[#This Row],[Avg Price per (₹ / m³)]]=""),"",Market_Data[[#This Row],[Estimated Concrete Demand (m³)]]*Market_Data[[#This Row],[Avg Price per (₹ / m³)]]/10000000)</f>
        <v>7.0865999999999998</v>
      </c>
      <c r="O2234" s="97" t="str">
        <f>IF(Market_Data[[#This Row],[Estimated Concrete Demand (m³)]]="","",
IF(Market_Data[[#This Row],[Estimated Concrete Demand (m³)]]&lt;10000,"Small",
IF(Market_Data[[#This Row],[Estimated Concrete Demand (m³)]]&lt;25000,"Medium",
IF(Market_Data[[#This Row],[Estimated Concrete Demand (m³)]]&lt;100000,"Large","Mega"))))</f>
        <v>Medium</v>
      </c>
      <c r="P2234" s="287" t="str">
        <f t="shared" si="36"/>
        <v>GujRERA</v>
      </c>
    </row>
    <row r="2235" spans="1:16">
      <c r="A2235" s="129" t="str">
        <f>_xlfn.XLOOKUP(B2235,$S$9:$S$14,$T$9:$T$14)&amp;"-"&amp;
IF(E2235="Residential/Group Housing","RES",
IF(E2235="Commercial","COM",
IF(E2235="Mixed Development","MIX",
IF(E2235="Plotted Development","PLT","OTH"))))
&amp;"-"&amp;TEXT(COUNTIFS($B$9:B2235,B2235,$E$9:E2235,E2235),"0000")</f>
        <v>SUR-RES-0752</v>
      </c>
      <c r="B2235" s="322" t="s">
        <v>34</v>
      </c>
      <c r="C2235" s="322" t="s">
        <v>34</v>
      </c>
      <c r="D2235" s="323" t="s">
        <v>2425</v>
      </c>
      <c r="E2235" s="132" t="s">
        <v>24</v>
      </c>
      <c r="F2235" s="97" t="str">
        <f ca="1">IF(OR(Market_Data[[#This Row],[Start Date]]="",Market_Data[[#This Row],[Completion Date]]=""),"Needs Validation",IF(Market_Data[[#This Row],[Start Date]]&gt;TODAY(),"Planned",IF(Market_Data[[#This Row],[Completion Date]]&lt;TODAY(),"Completed","Ongoing")))</f>
        <v>Ongoing</v>
      </c>
      <c r="G2235" s="324">
        <v>46101</v>
      </c>
      <c r="H2235" s="324">
        <v>48213</v>
      </c>
      <c r="I2235" s="325">
        <v>58600</v>
      </c>
      <c r="J223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35" s="133">
        <f>_xlfn.XLOOKUP(Market_Data[[#This Row],[Project Type]],tbl_assumptions_market[Project Category (RERA)],tbl_assumptions_market[Concrete Intensity
(m³ / sq m BUA)],"",0)</f>
        <v>0.45</v>
      </c>
      <c r="L2235" s="134">
        <f>ROUND(Market_Data[[#This Row],[Estimated Built Up Area (sq m)]]*Market_Data[[#This Row],[Concrete Intensity
(m³ / sq m)]],0)</f>
        <v>26370</v>
      </c>
      <c r="M2235" s="135">
        <f>_xlfn.XLOOKUP(Market_Data[[#This Row],[District]],tbl_district_price[District],tbl_district_price[Standard Price
(INR/m³)],"",0)</f>
        <v>6200</v>
      </c>
      <c r="N2235" s="364">
        <f>IF(OR(Market_Data[[#This Row],[Estimated Concrete Demand (m³)]]="",Market_Data[[#This Row],[Avg Price per (₹ / m³)]]=""),"",Market_Data[[#This Row],[Estimated Concrete Demand (m³)]]*Market_Data[[#This Row],[Avg Price per (₹ / m³)]]/10000000)</f>
        <v>16.349399999999999</v>
      </c>
      <c r="O2235" s="97" t="str">
        <f>IF(Market_Data[[#This Row],[Estimated Concrete Demand (m³)]]="","",
IF(Market_Data[[#This Row],[Estimated Concrete Demand (m³)]]&lt;10000,"Small",
IF(Market_Data[[#This Row],[Estimated Concrete Demand (m³)]]&lt;25000,"Medium",
IF(Market_Data[[#This Row],[Estimated Concrete Demand (m³)]]&lt;100000,"Large","Mega"))))</f>
        <v>Large</v>
      </c>
      <c r="P2235" s="287" t="str">
        <f t="shared" si="36"/>
        <v>GujRERA</v>
      </c>
    </row>
    <row r="2236" spans="1:16">
      <c r="A2236" s="129" t="str">
        <f>_xlfn.XLOOKUP(B2236,$S$9:$S$14,$T$9:$T$14)&amp;"-"&amp;
IF(E2236="Residential/Group Housing","RES",
IF(E2236="Commercial","COM",
IF(E2236="Mixed Development","MIX",
IF(E2236="Plotted Development","PLT","OTH"))))
&amp;"-"&amp;TEXT(COUNTIFS($B$9:B2236,B2236,$E$9:E2236,E2236),"0000")</f>
        <v>SUR-MIX-0385</v>
      </c>
      <c r="B2236" s="322" t="s">
        <v>34</v>
      </c>
      <c r="C2236" s="322" t="s">
        <v>34</v>
      </c>
      <c r="D2236" s="323" t="s">
        <v>2426</v>
      </c>
      <c r="E2236" s="132" t="s">
        <v>25</v>
      </c>
      <c r="F2236" s="97" t="str">
        <f ca="1">IF(OR(Market_Data[[#This Row],[Start Date]]="",Market_Data[[#This Row],[Completion Date]]=""),"Needs Validation",IF(Market_Data[[#This Row],[Start Date]]&gt;TODAY(),"Planned",IF(Market_Data[[#This Row],[Completion Date]]&lt;TODAY(),"Completed","Ongoing")))</f>
        <v>Ongoing</v>
      </c>
      <c r="G2236" s="324">
        <v>45428</v>
      </c>
      <c r="H2236" s="324">
        <v>47483</v>
      </c>
      <c r="I2236" s="325">
        <v>39100</v>
      </c>
      <c r="J223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36" s="133">
        <f>_xlfn.XLOOKUP(Market_Data[[#This Row],[Project Type]],tbl_assumptions_market[Project Category (RERA)],tbl_assumptions_market[Concrete Intensity
(m³ / sq m BUA)],"",0)</f>
        <v>0.42</v>
      </c>
      <c r="L2236" s="134">
        <f>ROUND(Market_Data[[#This Row],[Estimated Built Up Area (sq m)]]*Market_Data[[#This Row],[Concrete Intensity
(m³ / sq m)]],0)</f>
        <v>16422</v>
      </c>
      <c r="M2236" s="135">
        <f>_xlfn.XLOOKUP(Market_Data[[#This Row],[District]],tbl_district_price[District],tbl_district_price[Standard Price
(INR/m³)],"",0)</f>
        <v>6200</v>
      </c>
      <c r="N2236" s="364">
        <f>IF(OR(Market_Data[[#This Row],[Estimated Concrete Demand (m³)]]="",Market_Data[[#This Row],[Avg Price per (₹ / m³)]]=""),"",Market_Data[[#This Row],[Estimated Concrete Demand (m³)]]*Market_Data[[#This Row],[Avg Price per (₹ / m³)]]/10000000)</f>
        <v>10.18164</v>
      </c>
      <c r="O2236" s="97" t="str">
        <f>IF(Market_Data[[#This Row],[Estimated Concrete Demand (m³)]]="","",
IF(Market_Data[[#This Row],[Estimated Concrete Demand (m³)]]&lt;10000,"Small",
IF(Market_Data[[#This Row],[Estimated Concrete Demand (m³)]]&lt;25000,"Medium",
IF(Market_Data[[#This Row],[Estimated Concrete Demand (m³)]]&lt;100000,"Large","Mega"))))</f>
        <v>Medium</v>
      </c>
      <c r="P2236" s="287" t="str">
        <f t="shared" si="36"/>
        <v>GujRERA</v>
      </c>
    </row>
    <row r="2237" spans="1:16">
      <c r="A2237" s="129" t="str">
        <f>_xlfn.XLOOKUP(B2237,$S$9:$S$14,$T$9:$T$14)&amp;"-"&amp;
IF(E2237="Residential/Group Housing","RES",
IF(E2237="Commercial","COM",
IF(E2237="Mixed Development","MIX",
IF(E2237="Plotted Development","PLT","OTH"))))
&amp;"-"&amp;TEXT(COUNTIFS($B$9:B2237,B2237,$E$9:E2237,E2237),"0000")</f>
        <v>SUR-MIX-0386</v>
      </c>
      <c r="B2237" s="322" t="s">
        <v>34</v>
      </c>
      <c r="C2237" s="322" t="s">
        <v>34</v>
      </c>
      <c r="D2237" s="323" t="s">
        <v>2427</v>
      </c>
      <c r="E2237" s="132" t="s">
        <v>25</v>
      </c>
      <c r="F2237" s="97" t="str">
        <f ca="1">IF(OR(Market_Data[[#This Row],[Start Date]]="",Market_Data[[#This Row],[Completion Date]]=""),"Needs Validation",IF(Market_Data[[#This Row],[Start Date]]&gt;TODAY(),"Planned",IF(Market_Data[[#This Row],[Completion Date]]&lt;TODAY(),"Completed","Ongoing")))</f>
        <v>Ongoing</v>
      </c>
      <c r="G2237" s="324">
        <v>45590</v>
      </c>
      <c r="H2237" s="324">
        <v>46752</v>
      </c>
      <c r="I2237" s="325">
        <v>23600</v>
      </c>
      <c r="J223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37" s="133">
        <f>_xlfn.XLOOKUP(Market_Data[[#This Row],[Project Type]],tbl_assumptions_market[Project Category (RERA)],tbl_assumptions_market[Concrete Intensity
(m³ / sq m BUA)],"",0)</f>
        <v>0.42</v>
      </c>
      <c r="L2237" s="134">
        <f>ROUND(Market_Data[[#This Row],[Estimated Built Up Area (sq m)]]*Market_Data[[#This Row],[Concrete Intensity
(m³ / sq m)]],0)</f>
        <v>9912</v>
      </c>
      <c r="M2237" s="135">
        <f>_xlfn.XLOOKUP(Market_Data[[#This Row],[District]],tbl_district_price[District],tbl_district_price[Standard Price
(INR/m³)],"",0)</f>
        <v>6200</v>
      </c>
      <c r="N2237" s="364">
        <f>IF(OR(Market_Data[[#This Row],[Estimated Concrete Demand (m³)]]="",Market_Data[[#This Row],[Avg Price per (₹ / m³)]]=""),"",Market_Data[[#This Row],[Estimated Concrete Demand (m³)]]*Market_Data[[#This Row],[Avg Price per (₹ / m³)]]/10000000)</f>
        <v>6.1454399999999998</v>
      </c>
      <c r="O2237" s="97" t="str">
        <f>IF(Market_Data[[#This Row],[Estimated Concrete Demand (m³)]]="","",
IF(Market_Data[[#This Row],[Estimated Concrete Demand (m³)]]&lt;10000,"Small",
IF(Market_Data[[#This Row],[Estimated Concrete Demand (m³)]]&lt;25000,"Medium",
IF(Market_Data[[#This Row],[Estimated Concrete Demand (m³)]]&lt;100000,"Large","Mega"))))</f>
        <v>Small</v>
      </c>
      <c r="P2237" s="287" t="str">
        <f t="shared" si="36"/>
        <v>GujRERA</v>
      </c>
    </row>
    <row r="2238" spans="1:16">
      <c r="A2238" s="129" t="str">
        <f>_xlfn.XLOOKUP(B2238,$S$9:$S$14,$T$9:$T$14)&amp;"-"&amp;
IF(E2238="Residential/Group Housing","RES",
IF(E2238="Commercial","COM",
IF(E2238="Mixed Development","MIX",
IF(E2238="Plotted Development","PLT","OTH"))))
&amp;"-"&amp;TEXT(COUNTIFS($B$9:B2238,B2238,$E$9:E2238,E2238),"0000")</f>
        <v>SUR-MIX-0387</v>
      </c>
      <c r="B2238" s="322" t="s">
        <v>34</v>
      </c>
      <c r="C2238" s="322" t="s">
        <v>34</v>
      </c>
      <c r="D2238" s="323" t="s">
        <v>2428</v>
      </c>
      <c r="E2238" s="132" t="s">
        <v>25</v>
      </c>
      <c r="F2238" s="97" t="str">
        <f ca="1">IF(OR(Market_Data[[#This Row],[Start Date]]="",Market_Data[[#This Row],[Completion Date]]=""),"Needs Validation",IF(Market_Data[[#This Row],[Start Date]]&gt;TODAY(),"Planned",IF(Market_Data[[#This Row],[Completion Date]]&lt;TODAY(),"Completed","Ongoing")))</f>
        <v>Ongoing</v>
      </c>
      <c r="G2238" s="324">
        <v>46127</v>
      </c>
      <c r="H2238" s="324">
        <v>47848</v>
      </c>
      <c r="I2238" s="325">
        <v>4800</v>
      </c>
      <c r="J223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238" s="133">
        <f>_xlfn.XLOOKUP(Market_Data[[#This Row],[Project Type]],tbl_assumptions_market[Project Category (RERA)],tbl_assumptions_market[Concrete Intensity
(m³ / sq m BUA)],"",0)</f>
        <v>0.42</v>
      </c>
      <c r="L2238" s="134">
        <f>ROUND(Market_Data[[#This Row],[Estimated Built Up Area (sq m)]]*Market_Data[[#This Row],[Concrete Intensity
(m³ / sq m)]],0)</f>
        <v>2016</v>
      </c>
      <c r="M2238" s="135">
        <f>_xlfn.XLOOKUP(Market_Data[[#This Row],[District]],tbl_district_price[District],tbl_district_price[Standard Price
(INR/m³)],"",0)</f>
        <v>6200</v>
      </c>
      <c r="N2238" s="364">
        <f>IF(OR(Market_Data[[#This Row],[Estimated Concrete Demand (m³)]]="",Market_Data[[#This Row],[Avg Price per (₹ / m³)]]=""),"",Market_Data[[#This Row],[Estimated Concrete Demand (m³)]]*Market_Data[[#This Row],[Avg Price per (₹ / m³)]]/10000000)</f>
        <v>1.2499199999999999</v>
      </c>
      <c r="O2238" s="97" t="str">
        <f>IF(Market_Data[[#This Row],[Estimated Concrete Demand (m³)]]="","",
IF(Market_Data[[#This Row],[Estimated Concrete Demand (m³)]]&lt;10000,"Small",
IF(Market_Data[[#This Row],[Estimated Concrete Demand (m³)]]&lt;25000,"Medium",
IF(Market_Data[[#This Row],[Estimated Concrete Demand (m³)]]&lt;100000,"Large","Mega"))))</f>
        <v>Small</v>
      </c>
      <c r="P2238" s="287" t="str">
        <f t="shared" si="36"/>
        <v>GujRERA</v>
      </c>
    </row>
    <row r="2239" spans="1:16">
      <c r="A2239" s="129" t="str">
        <f>_xlfn.XLOOKUP(B2239,$S$9:$S$14,$T$9:$T$14)&amp;"-"&amp;
IF(E2239="Residential/Group Housing","RES",
IF(E2239="Commercial","COM",
IF(E2239="Mixed Development","MIX",
IF(E2239="Plotted Development","PLT","OTH"))))
&amp;"-"&amp;TEXT(COUNTIFS($B$9:B2239,B2239,$E$9:E2239,E2239),"0000")</f>
        <v>SUR-RES-0753</v>
      </c>
      <c r="B2239" s="322" t="s">
        <v>34</v>
      </c>
      <c r="C2239" s="322" t="s">
        <v>34</v>
      </c>
      <c r="D2239" s="323" t="s">
        <v>2429</v>
      </c>
      <c r="E2239" s="132" t="s">
        <v>24</v>
      </c>
      <c r="F2239" s="97" t="str">
        <f ca="1">IF(OR(Market_Data[[#This Row],[Start Date]]="",Market_Data[[#This Row],[Completion Date]]=""),"Needs Validation",IF(Market_Data[[#This Row],[Start Date]]&gt;TODAY(),"Planned",IF(Market_Data[[#This Row],[Completion Date]]&lt;TODAY(),"Completed","Ongoing")))</f>
        <v>Completed</v>
      </c>
      <c r="G2239" s="324">
        <v>43024</v>
      </c>
      <c r="H2239" s="324">
        <v>44531</v>
      </c>
      <c r="I2239" s="325">
        <v>31900</v>
      </c>
      <c r="J223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39" s="133">
        <f>_xlfn.XLOOKUP(Market_Data[[#This Row],[Project Type]],tbl_assumptions_market[Project Category (RERA)],tbl_assumptions_market[Concrete Intensity
(m³ / sq m BUA)],"",0)</f>
        <v>0.45</v>
      </c>
      <c r="L2239" s="134">
        <f>ROUND(Market_Data[[#This Row],[Estimated Built Up Area (sq m)]]*Market_Data[[#This Row],[Concrete Intensity
(m³ / sq m)]],0)</f>
        <v>14355</v>
      </c>
      <c r="M2239" s="135">
        <f>_xlfn.XLOOKUP(Market_Data[[#This Row],[District]],tbl_district_price[District],tbl_district_price[Standard Price
(INR/m³)],"",0)</f>
        <v>6200</v>
      </c>
      <c r="N2239" s="364">
        <f>IF(OR(Market_Data[[#This Row],[Estimated Concrete Demand (m³)]]="",Market_Data[[#This Row],[Avg Price per (₹ / m³)]]=""),"",Market_Data[[#This Row],[Estimated Concrete Demand (m³)]]*Market_Data[[#This Row],[Avg Price per (₹ / m³)]]/10000000)</f>
        <v>8.9001000000000001</v>
      </c>
      <c r="O2239" s="97" t="str">
        <f>IF(Market_Data[[#This Row],[Estimated Concrete Demand (m³)]]="","",
IF(Market_Data[[#This Row],[Estimated Concrete Demand (m³)]]&lt;10000,"Small",
IF(Market_Data[[#This Row],[Estimated Concrete Demand (m³)]]&lt;25000,"Medium",
IF(Market_Data[[#This Row],[Estimated Concrete Demand (m³)]]&lt;100000,"Large","Mega"))))</f>
        <v>Medium</v>
      </c>
      <c r="P2239" s="287" t="str">
        <f t="shared" si="36"/>
        <v>GujRERA</v>
      </c>
    </row>
    <row r="2240" spans="1:16">
      <c r="A2240" s="129" t="str">
        <f>_xlfn.XLOOKUP(B2240,$S$9:$S$14,$T$9:$T$14)&amp;"-"&amp;
IF(E2240="Residential/Group Housing","RES",
IF(E2240="Commercial","COM",
IF(E2240="Mixed Development","MIX",
IF(E2240="Plotted Development","PLT","OTH"))))
&amp;"-"&amp;TEXT(COUNTIFS($B$9:B2240,B2240,$E$9:E2240,E2240),"0000")</f>
        <v>SUR-RES-0754</v>
      </c>
      <c r="B2240" s="322" t="s">
        <v>34</v>
      </c>
      <c r="C2240" s="322" t="s">
        <v>34</v>
      </c>
      <c r="D2240" s="323" t="s">
        <v>2430</v>
      </c>
      <c r="E2240" s="132" t="s">
        <v>24</v>
      </c>
      <c r="F2240" s="97" t="str">
        <f ca="1">IF(OR(Market_Data[[#This Row],[Start Date]]="",Market_Data[[#This Row],[Completion Date]]=""),"Needs Validation",IF(Market_Data[[#This Row],[Start Date]]&gt;TODAY(),"Planned",IF(Market_Data[[#This Row],[Completion Date]]&lt;TODAY(),"Completed","Ongoing")))</f>
        <v>Ongoing</v>
      </c>
      <c r="G2240" s="324">
        <v>44986</v>
      </c>
      <c r="H2240" s="324">
        <v>47118</v>
      </c>
      <c r="I2240" s="325">
        <v>38800</v>
      </c>
      <c r="J224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40" s="133">
        <f>_xlfn.XLOOKUP(Market_Data[[#This Row],[Project Type]],tbl_assumptions_market[Project Category (RERA)],tbl_assumptions_market[Concrete Intensity
(m³ / sq m BUA)],"",0)</f>
        <v>0.45</v>
      </c>
      <c r="L2240" s="134">
        <f>ROUND(Market_Data[[#This Row],[Estimated Built Up Area (sq m)]]*Market_Data[[#This Row],[Concrete Intensity
(m³ / sq m)]],0)</f>
        <v>17460</v>
      </c>
      <c r="M2240" s="135">
        <f>_xlfn.XLOOKUP(Market_Data[[#This Row],[District]],tbl_district_price[District],tbl_district_price[Standard Price
(INR/m³)],"",0)</f>
        <v>6200</v>
      </c>
      <c r="N2240" s="364">
        <f>IF(OR(Market_Data[[#This Row],[Estimated Concrete Demand (m³)]]="",Market_Data[[#This Row],[Avg Price per (₹ / m³)]]=""),"",Market_Data[[#This Row],[Estimated Concrete Demand (m³)]]*Market_Data[[#This Row],[Avg Price per (₹ / m³)]]/10000000)</f>
        <v>10.825200000000001</v>
      </c>
      <c r="O2240" s="97" t="str">
        <f>IF(Market_Data[[#This Row],[Estimated Concrete Demand (m³)]]="","",
IF(Market_Data[[#This Row],[Estimated Concrete Demand (m³)]]&lt;10000,"Small",
IF(Market_Data[[#This Row],[Estimated Concrete Demand (m³)]]&lt;25000,"Medium",
IF(Market_Data[[#This Row],[Estimated Concrete Demand (m³)]]&lt;100000,"Large","Mega"))))</f>
        <v>Medium</v>
      </c>
      <c r="P2240" s="287" t="str">
        <f t="shared" si="36"/>
        <v>GujRERA</v>
      </c>
    </row>
    <row r="2241" spans="1:16">
      <c r="A2241" s="129" t="str">
        <f>_xlfn.XLOOKUP(B2241,$S$9:$S$14,$T$9:$T$14)&amp;"-"&amp;
IF(E2241="Residential/Group Housing","RES",
IF(E2241="Commercial","COM",
IF(E2241="Mixed Development","MIX",
IF(E2241="Plotted Development","PLT","OTH"))))
&amp;"-"&amp;TEXT(COUNTIFS($B$9:B2241,B2241,$E$9:E2241,E2241),"0000")</f>
        <v>SUR-MIX-0388</v>
      </c>
      <c r="B2241" s="322" t="s">
        <v>34</v>
      </c>
      <c r="C2241" s="322" t="s">
        <v>34</v>
      </c>
      <c r="D2241" s="323" t="s">
        <v>2431</v>
      </c>
      <c r="E2241" s="132" t="s">
        <v>25</v>
      </c>
      <c r="F2241" s="97" t="str">
        <f ca="1">IF(OR(Market_Data[[#This Row],[Start Date]]="",Market_Data[[#This Row],[Completion Date]]=""),"Needs Validation",IF(Market_Data[[#This Row],[Start Date]]&gt;TODAY(),"Planned",IF(Market_Data[[#This Row],[Completion Date]]&lt;TODAY(),"Completed","Ongoing")))</f>
        <v>Ongoing</v>
      </c>
      <c r="G2241" s="324">
        <v>44649</v>
      </c>
      <c r="H2241" s="324">
        <v>46843</v>
      </c>
      <c r="I2241" s="325">
        <v>31000</v>
      </c>
      <c r="J224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41" s="133">
        <f>_xlfn.XLOOKUP(Market_Data[[#This Row],[Project Type]],tbl_assumptions_market[Project Category (RERA)],tbl_assumptions_market[Concrete Intensity
(m³ / sq m BUA)],"",0)</f>
        <v>0.42</v>
      </c>
      <c r="L2241" s="134">
        <f>ROUND(Market_Data[[#This Row],[Estimated Built Up Area (sq m)]]*Market_Data[[#This Row],[Concrete Intensity
(m³ / sq m)]],0)</f>
        <v>13020</v>
      </c>
      <c r="M2241" s="135">
        <f>_xlfn.XLOOKUP(Market_Data[[#This Row],[District]],tbl_district_price[District],tbl_district_price[Standard Price
(INR/m³)],"",0)</f>
        <v>6200</v>
      </c>
      <c r="N2241" s="364">
        <f>IF(OR(Market_Data[[#This Row],[Estimated Concrete Demand (m³)]]="",Market_Data[[#This Row],[Avg Price per (₹ / m³)]]=""),"",Market_Data[[#This Row],[Estimated Concrete Demand (m³)]]*Market_Data[[#This Row],[Avg Price per (₹ / m³)]]/10000000)</f>
        <v>8.0724</v>
      </c>
      <c r="O2241" s="97" t="str">
        <f>IF(Market_Data[[#This Row],[Estimated Concrete Demand (m³)]]="","",
IF(Market_Data[[#This Row],[Estimated Concrete Demand (m³)]]&lt;10000,"Small",
IF(Market_Data[[#This Row],[Estimated Concrete Demand (m³)]]&lt;25000,"Medium",
IF(Market_Data[[#This Row],[Estimated Concrete Demand (m³)]]&lt;100000,"Large","Mega"))))</f>
        <v>Medium</v>
      </c>
      <c r="P2241" s="287" t="str">
        <f t="shared" si="36"/>
        <v>GujRERA</v>
      </c>
    </row>
    <row r="2242" spans="1:16">
      <c r="A2242" s="129" t="str">
        <f>_xlfn.XLOOKUP(B2242,$S$9:$S$14,$T$9:$T$14)&amp;"-"&amp;
IF(E2242="Residential/Group Housing","RES",
IF(E2242="Commercial","COM",
IF(E2242="Mixed Development","MIX",
IF(E2242="Plotted Development","PLT","OTH"))))
&amp;"-"&amp;TEXT(COUNTIFS($B$9:B2242,B2242,$E$9:E2242,E2242),"0000")</f>
        <v>SUR-COM-0345</v>
      </c>
      <c r="B2242" s="322" t="s">
        <v>34</v>
      </c>
      <c r="C2242" s="322" t="s">
        <v>34</v>
      </c>
      <c r="D2242" s="323" t="s">
        <v>2432</v>
      </c>
      <c r="E2242" s="132" t="s">
        <v>23</v>
      </c>
      <c r="F2242" s="97" t="str">
        <f ca="1">IF(OR(Market_Data[[#This Row],[Start Date]]="",Market_Data[[#This Row],[Completion Date]]=""),"Needs Validation",IF(Market_Data[[#This Row],[Start Date]]&gt;TODAY(),"Planned",IF(Market_Data[[#This Row],[Completion Date]]&lt;TODAY(),"Completed","Ongoing")))</f>
        <v>Completed</v>
      </c>
      <c r="G2242" s="324">
        <v>42415</v>
      </c>
      <c r="H2242" s="324">
        <v>43876</v>
      </c>
      <c r="I2242" s="325">
        <v>58100</v>
      </c>
      <c r="J224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242" s="133">
        <f>_xlfn.XLOOKUP(Market_Data[[#This Row],[Project Type]],tbl_assumptions_market[Project Category (RERA)],tbl_assumptions_market[Concrete Intensity
(m³ / sq m BUA)],"",0)</f>
        <v>0.5</v>
      </c>
      <c r="L2242" s="134">
        <f>ROUND(Market_Data[[#This Row],[Estimated Built Up Area (sq m)]]*Market_Data[[#This Row],[Concrete Intensity
(m³ / sq m)]],0)</f>
        <v>29050</v>
      </c>
      <c r="M2242" s="135">
        <f>_xlfn.XLOOKUP(Market_Data[[#This Row],[District]],tbl_district_price[District],tbl_district_price[Standard Price
(INR/m³)],"",0)</f>
        <v>6200</v>
      </c>
      <c r="N2242" s="364">
        <f>IF(OR(Market_Data[[#This Row],[Estimated Concrete Demand (m³)]]="",Market_Data[[#This Row],[Avg Price per (₹ / m³)]]=""),"",Market_Data[[#This Row],[Estimated Concrete Demand (m³)]]*Market_Data[[#This Row],[Avg Price per (₹ / m³)]]/10000000)</f>
        <v>18.010999999999999</v>
      </c>
      <c r="O2242" s="97" t="str">
        <f>IF(Market_Data[[#This Row],[Estimated Concrete Demand (m³)]]="","",
IF(Market_Data[[#This Row],[Estimated Concrete Demand (m³)]]&lt;10000,"Small",
IF(Market_Data[[#This Row],[Estimated Concrete Demand (m³)]]&lt;25000,"Medium",
IF(Market_Data[[#This Row],[Estimated Concrete Demand (m³)]]&lt;100000,"Large","Mega"))))</f>
        <v>Large</v>
      </c>
      <c r="P2242" s="287" t="str">
        <f t="shared" si="36"/>
        <v>GujRERA</v>
      </c>
    </row>
    <row r="2243" spans="1:16">
      <c r="A2243" s="129" t="str">
        <f>_xlfn.XLOOKUP(B2243,$S$9:$S$14,$T$9:$T$14)&amp;"-"&amp;
IF(E2243="Residential/Group Housing","RES",
IF(E2243="Commercial","COM",
IF(E2243="Mixed Development","MIX",
IF(E2243="Plotted Development","PLT","OTH"))))
&amp;"-"&amp;TEXT(COUNTIFS($B$9:B2243,B2243,$E$9:E2243,E2243),"0000")</f>
        <v>SUR-COM-0346</v>
      </c>
      <c r="B2243" s="322" t="s">
        <v>34</v>
      </c>
      <c r="C2243" s="322" t="s">
        <v>34</v>
      </c>
      <c r="D2243" s="323" t="s">
        <v>2433</v>
      </c>
      <c r="E2243" s="132" t="s">
        <v>23</v>
      </c>
      <c r="F2243" s="97" t="str">
        <f ca="1">IF(OR(Market_Data[[#This Row],[Start Date]]="",Market_Data[[#This Row],[Completion Date]]=""),"Needs Validation",IF(Market_Data[[#This Row],[Start Date]]&gt;TODAY(),"Planned",IF(Market_Data[[#This Row],[Completion Date]]&lt;TODAY(),"Completed","Ongoing")))</f>
        <v>Ongoing</v>
      </c>
      <c r="G2243" s="324">
        <v>45383</v>
      </c>
      <c r="H2243" s="324">
        <v>47483</v>
      </c>
      <c r="I2243" s="325">
        <v>18400</v>
      </c>
      <c r="J224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43" s="133">
        <f>_xlfn.XLOOKUP(Market_Data[[#This Row],[Project Type]],tbl_assumptions_market[Project Category (RERA)],tbl_assumptions_market[Concrete Intensity
(m³ / sq m BUA)],"",0)</f>
        <v>0.5</v>
      </c>
      <c r="L2243" s="134">
        <f>ROUND(Market_Data[[#This Row],[Estimated Built Up Area (sq m)]]*Market_Data[[#This Row],[Concrete Intensity
(m³ / sq m)]],0)</f>
        <v>9200</v>
      </c>
      <c r="M2243" s="135">
        <f>_xlfn.XLOOKUP(Market_Data[[#This Row],[District]],tbl_district_price[District],tbl_district_price[Standard Price
(INR/m³)],"",0)</f>
        <v>6200</v>
      </c>
      <c r="N2243" s="364">
        <f>IF(OR(Market_Data[[#This Row],[Estimated Concrete Demand (m³)]]="",Market_Data[[#This Row],[Avg Price per (₹ / m³)]]=""),"",Market_Data[[#This Row],[Estimated Concrete Demand (m³)]]*Market_Data[[#This Row],[Avg Price per (₹ / m³)]]/10000000)</f>
        <v>5.7039999999999997</v>
      </c>
      <c r="O2243" s="97" t="str">
        <f>IF(Market_Data[[#This Row],[Estimated Concrete Demand (m³)]]="","",
IF(Market_Data[[#This Row],[Estimated Concrete Demand (m³)]]&lt;10000,"Small",
IF(Market_Data[[#This Row],[Estimated Concrete Demand (m³)]]&lt;25000,"Medium",
IF(Market_Data[[#This Row],[Estimated Concrete Demand (m³)]]&lt;100000,"Large","Mega"))))</f>
        <v>Small</v>
      </c>
      <c r="P2243" s="287" t="str">
        <f t="shared" si="36"/>
        <v>GujRERA</v>
      </c>
    </row>
    <row r="2244" spans="1:16">
      <c r="A2244" s="129" t="str">
        <f>_xlfn.XLOOKUP(B2244,$S$9:$S$14,$T$9:$T$14)&amp;"-"&amp;
IF(E2244="Residential/Group Housing","RES",
IF(E2244="Commercial","COM",
IF(E2244="Mixed Development","MIX",
IF(E2244="Plotted Development","PLT","OTH"))))
&amp;"-"&amp;TEXT(COUNTIFS($B$9:B2244,B2244,$E$9:E2244,E2244),"0000")</f>
        <v>SUR-COM-0347</v>
      </c>
      <c r="B2244" s="322" t="s">
        <v>34</v>
      </c>
      <c r="C2244" s="322" t="s">
        <v>34</v>
      </c>
      <c r="D2244" s="323" t="s">
        <v>2434</v>
      </c>
      <c r="E2244" s="132" t="s">
        <v>23</v>
      </c>
      <c r="F2244" s="97" t="str">
        <f ca="1">IF(OR(Market_Data[[#This Row],[Start Date]]="",Market_Data[[#This Row],[Completion Date]]=""),"Needs Validation",IF(Market_Data[[#This Row],[Start Date]]&gt;TODAY(),"Planned",IF(Market_Data[[#This Row],[Completion Date]]&lt;TODAY(),"Completed","Ongoing")))</f>
        <v>Completed</v>
      </c>
      <c r="G2244" s="324">
        <v>42434</v>
      </c>
      <c r="H2244" s="324">
        <v>44834</v>
      </c>
      <c r="I2244" s="325">
        <v>1300</v>
      </c>
      <c r="J224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44" s="133">
        <f>_xlfn.XLOOKUP(Market_Data[[#This Row],[Project Type]],tbl_assumptions_market[Project Category (RERA)],tbl_assumptions_market[Concrete Intensity
(m³ / sq m BUA)],"",0)</f>
        <v>0.5</v>
      </c>
      <c r="L2244" s="134">
        <f>ROUND(Market_Data[[#This Row],[Estimated Built Up Area (sq m)]]*Market_Data[[#This Row],[Concrete Intensity
(m³ / sq m)]],0)</f>
        <v>650</v>
      </c>
      <c r="M2244" s="135">
        <f>_xlfn.XLOOKUP(Market_Data[[#This Row],[District]],tbl_district_price[District],tbl_district_price[Standard Price
(INR/m³)],"",0)</f>
        <v>6200</v>
      </c>
      <c r="N2244" s="364">
        <f>IF(OR(Market_Data[[#This Row],[Estimated Concrete Demand (m³)]]="",Market_Data[[#This Row],[Avg Price per (₹ / m³)]]=""),"",Market_Data[[#This Row],[Estimated Concrete Demand (m³)]]*Market_Data[[#This Row],[Avg Price per (₹ / m³)]]/10000000)</f>
        <v>0.40300000000000002</v>
      </c>
      <c r="O2244" s="97" t="str">
        <f>IF(Market_Data[[#This Row],[Estimated Concrete Demand (m³)]]="","",
IF(Market_Data[[#This Row],[Estimated Concrete Demand (m³)]]&lt;10000,"Small",
IF(Market_Data[[#This Row],[Estimated Concrete Demand (m³)]]&lt;25000,"Medium",
IF(Market_Data[[#This Row],[Estimated Concrete Demand (m³)]]&lt;100000,"Large","Mega"))))</f>
        <v>Small</v>
      </c>
      <c r="P2244" s="287" t="str">
        <f t="shared" si="36"/>
        <v>GujRERA</v>
      </c>
    </row>
    <row r="2245" spans="1:16">
      <c r="A2245" s="129" t="str">
        <f>_xlfn.XLOOKUP(B2245,$S$9:$S$14,$T$9:$T$14)&amp;"-"&amp;
IF(E2245="Residential/Group Housing","RES",
IF(E2245="Commercial","COM",
IF(E2245="Mixed Development","MIX",
IF(E2245="Plotted Development","PLT","OTH"))))
&amp;"-"&amp;TEXT(COUNTIFS($B$9:B2245,B2245,$E$9:E2245,E2245),"0000")</f>
        <v>SUR-MIX-0389</v>
      </c>
      <c r="B2245" s="322" t="s">
        <v>34</v>
      </c>
      <c r="C2245" s="322" t="s">
        <v>34</v>
      </c>
      <c r="D2245" s="323" t="s">
        <v>2435</v>
      </c>
      <c r="E2245" s="132" t="s">
        <v>25</v>
      </c>
      <c r="F2245" s="97" t="str">
        <f ca="1">IF(OR(Market_Data[[#This Row],[Start Date]]="",Market_Data[[#This Row],[Completion Date]]=""),"Needs Validation",IF(Market_Data[[#This Row],[Start Date]]&gt;TODAY(),"Planned",IF(Market_Data[[#This Row],[Completion Date]]&lt;TODAY(),"Completed","Ongoing")))</f>
        <v>Ongoing</v>
      </c>
      <c r="G2245" s="324">
        <v>44986</v>
      </c>
      <c r="H2245" s="324">
        <v>46477</v>
      </c>
      <c r="I2245" s="325">
        <v>10700</v>
      </c>
      <c r="J224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45" s="133">
        <f>_xlfn.XLOOKUP(Market_Data[[#This Row],[Project Type]],tbl_assumptions_market[Project Category (RERA)],tbl_assumptions_market[Concrete Intensity
(m³ / sq m BUA)],"",0)</f>
        <v>0.42</v>
      </c>
      <c r="L2245" s="134">
        <f>ROUND(Market_Data[[#This Row],[Estimated Built Up Area (sq m)]]*Market_Data[[#This Row],[Concrete Intensity
(m³ / sq m)]],0)</f>
        <v>4494</v>
      </c>
      <c r="M2245" s="135">
        <f>_xlfn.XLOOKUP(Market_Data[[#This Row],[District]],tbl_district_price[District],tbl_district_price[Standard Price
(INR/m³)],"",0)</f>
        <v>6200</v>
      </c>
      <c r="N2245" s="364">
        <f>IF(OR(Market_Data[[#This Row],[Estimated Concrete Demand (m³)]]="",Market_Data[[#This Row],[Avg Price per (₹ / m³)]]=""),"",Market_Data[[#This Row],[Estimated Concrete Demand (m³)]]*Market_Data[[#This Row],[Avg Price per (₹ / m³)]]/10000000)</f>
        <v>2.7862800000000001</v>
      </c>
      <c r="O2245" s="97" t="str">
        <f>IF(Market_Data[[#This Row],[Estimated Concrete Demand (m³)]]="","",
IF(Market_Data[[#This Row],[Estimated Concrete Demand (m³)]]&lt;10000,"Small",
IF(Market_Data[[#This Row],[Estimated Concrete Demand (m³)]]&lt;25000,"Medium",
IF(Market_Data[[#This Row],[Estimated Concrete Demand (m³)]]&lt;100000,"Large","Mega"))))</f>
        <v>Small</v>
      </c>
      <c r="P2245" s="287" t="str">
        <f t="shared" si="36"/>
        <v>GujRERA</v>
      </c>
    </row>
    <row r="2246" spans="1:16">
      <c r="A2246" s="129" t="str">
        <f>_xlfn.XLOOKUP(B2246,$S$9:$S$14,$T$9:$T$14)&amp;"-"&amp;
IF(E2246="Residential/Group Housing","RES",
IF(E2246="Commercial","COM",
IF(E2246="Mixed Development","MIX",
IF(E2246="Plotted Development","PLT","OTH"))))
&amp;"-"&amp;TEXT(COUNTIFS($B$9:B2246,B2246,$E$9:E2246,E2246),"0000")</f>
        <v>SUR-RES-0755</v>
      </c>
      <c r="B2246" s="322" t="s">
        <v>34</v>
      </c>
      <c r="C2246" s="322" t="s">
        <v>34</v>
      </c>
      <c r="D2246" s="323" t="s">
        <v>2436</v>
      </c>
      <c r="E2246" s="132" t="s">
        <v>24</v>
      </c>
      <c r="F2246" s="97" t="str">
        <f ca="1">IF(OR(Market_Data[[#This Row],[Start Date]]="",Market_Data[[#This Row],[Completion Date]]=""),"Needs Validation",IF(Market_Data[[#This Row],[Start Date]]&gt;TODAY(),"Planned",IF(Market_Data[[#This Row],[Completion Date]]&lt;TODAY(),"Completed","Ongoing")))</f>
        <v>Completed</v>
      </c>
      <c r="G2246" s="324">
        <v>43608</v>
      </c>
      <c r="H2246" s="324">
        <v>45930</v>
      </c>
      <c r="I2246" s="325">
        <v>11900</v>
      </c>
      <c r="J224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46" s="133">
        <f>_xlfn.XLOOKUP(Market_Data[[#This Row],[Project Type]],tbl_assumptions_market[Project Category (RERA)],tbl_assumptions_market[Concrete Intensity
(m³ / sq m BUA)],"",0)</f>
        <v>0.45</v>
      </c>
      <c r="L2246" s="134">
        <f>ROUND(Market_Data[[#This Row],[Estimated Built Up Area (sq m)]]*Market_Data[[#This Row],[Concrete Intensity
(m³ / sq m)]],0)</f>
        <v>5355</v>
      </c>
      <c r="M2246" s="135">
        <f>_xlfn.XLOOKUP(Market_Data[[#This Row],[District]],tbl_district_price[District],tbl_district_price[Standard Price
(INR/m³)],"",0)</f>
        <v>6200</v>
      </c>
      <c r="N2246" s="364">
        <f>IF(OR(Market_Data[[#This Row],[Estimated Concrete Demand (m³)]]="",Market_Data[[#This Row],[Avg Price per (₹ / m³)]]=""),"",Market_Data[[#This Row],[Estimated Concrete Demand (m³)]]*Market_Data[[#This Row],[Avg Price per (₹ / m³)]]/10000000)</f>
        <v>3.3201000000000001</v>
      </c>
      <c r="O2246" s="97" t="str">
        <f>IF(Market_Data[[#This Row],[Estimated Concrete Demand (m³)]]="","",
IF(Market_Data[[#This Row],[Estimated Concrete Demand (m³)]]&lt;10000,"Small",
IF(Market_Data[[#This Row],[Estimated Concrete Demand (m³)]]&lt;25000,"Medium",
IF(Market_Data[[#This Row],[Estimated Concrete Demand (m³)]]&lt;100000,"Large","Mega"))))</f>
        <v>Small</v>
      </c>
      <c r="P2246" s="287" t="str">
        <f t="shared" si="36"/>
        <v>GujRERA</v>
      </c>
    </row>
    <row r="2247" spans="1:16">
      <c r="A2247" s="129" t="str">
        <f>_xlfn.XLOOKUP(B2247,$S$9:$S$14,$T$9:$T$14)&amp;"-"&amp;
IF(E2247="Residential/Group Housing","RES",
IF(E2247="Commercial","COM",
IF(E2247="Mixed Development","MIX",
IF(E2247="Plotted Development","PLT","OTH"))))
&amp;"-"&amp;TEXT(COUNTIFS($B$9:B2247,B2247,$E$9:E2247,E2247),"0000")</f>
        <v>SUR-PLT-0438</v>
      </c>
      <c r="B2247" s="322" t="s">
        <v>34</v>
      </c>
      <c r="C2247" s="322" t="s">
        <v>34</v>
      </c>
      <c r="D2247" s="323" t="s">
        <v>2437</v>
      </c>
      <c r="E2247" s="132" t="s">
        <v>26</v>
      </c>
      <c r="F2247" s="97" t="str">
        <f ca="1">IF(OR(Market_Data[[#This Row],[Start Date]]="",Market_Data[[#This Row],[Completion Date]]=""),"Needs Validation",IF(Market_Data[[#This Row],[Start Date]]&gt;TODAY(),"Planned",IF(Market_Data[[#This Row],[Completion Date]]&lt;TODAY(),"Completed","Ongoing")))</f>
        <v>Ongoing</v>
      </c>
      <c r="G2247" s="324">
        <v>45616</v>
      </c>
      <c r="H2247" s="324">
        <v>46387</v>
      </c>
      <c r="I2247" s="325">
        <v>45600</v>
      </c>
      <c r="J224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247" s="133">
        <f>_xlfn.XLOOKUP(Market_Data[[#This Row],[Project Type]],tbl_assumptions_market[Project Category (RERA)],tbl_assumptions_market[Concrete Intensity
(m³ / sq m BUA)],"",0)</f>
        <v>0.18</v>
      </c>
      <c r="L2247" s="134">
        <f>ROUND(Market_Data[[#This Row],[Estimated Built Up Area (sq m)]]*Market_Data[[#This Row],[Concrete Intensity
(m³ / sq m)]],0)</f>
        <v>8208</v>
      </c>
      <c r="M2247" s="135">
        <f>_xlfn.XLOOKUP(Market_Data[[#This Row],[District]],tbl_district_price[District],tbl_district_price[Standard Price
(INR/m³)],"",0)</f>
        <v>6200</v>
      </c>
      <c r="N2247" s="364">
        <f>IF(OR(Market_Data[[#This Row],[Estimated Concrete Demand (m³)]]="",Market_Data[[#This Row],[Avg Price per (₹ / m³)]]=""),"",Market_Data[[#This Row],[Estimated Concrete Demand (m³)]]*Market_Data[[#This Row],[Avg Price per (₹ / m³)]]/10000000)</f>
        <v>5.0889600000000002</v>
      </c>
      <c r="O2247" s="97" t="str">
        <f>IF(Market_Data[[#This Row],[Estimated Concrete Demand (m³)]]="","",
IF(Market_Data[[#This Row],[Estimated Concrete Demand (m³)]]&lt;10000,"Small",
IF(Market_Data[[#This Row],[Estimated Concrete Demand (m³)]]&lt;25000,"Medium",
IF(Market_Data[[#This Row],[Estimated Concrete Demand (m³)]]&lt;100000,"Large","Mega"))))</f>
        <v>Small</v>
      </c>
      <c r="P2247" s="287" t="str">
        <f t="shared" si="36"/>
        <v>GujRERA</v>
      </c>
    </row>
    <row r="2248" spans="1:16">
      <c r="A2248" s="129" t="str">
        <f>_xlfn.XLOOKUP(B2248,$S$9:$S$14,$T$9:$T$14)&amp;"-"&amp;
IF(E2248="Residential/Group Housing","RES",
IF(E2248="Commercial","COM",
IF(E2248="Mixed Development","MIX",
IF(E2248="Plotted Development","PLT","OTH"))))
&amp;"-"&amp;TEXT(COUNTIFS($B$9:B2248,B2248,$E$9:E2248,E2248),"0000")</f>
        <v>SUR-MIX-0390</v>
      </c>
      <c r="B2248" s="322" t="s">
        <v>34</v>
      </c>
      <c r="C2248" s="322" t="s">
        <v>34</v>
      </c>
      <c r="D2248" s="323" t="s">
        <v>2438</v>
      </c>
      <c r="E2248" s="132" t="s">
        <v>25</v>
      </c>
      <c r="F2248" s="97" t="str">
        <f ca="1">IF(OR(Market_Data[[#This Row],[Start Date]]="",Market_Data[[#This Row],[Completion Date]]=""),"Needs Validation",IF(Market_Data[[#This Row],[Start Date]]&gt;TODAY(),"Planned",IF(Market_Data[[#This Row],[Completion Date]]&lt;TODAY(),"Completed","Ongoing")))</f>
        <v>Completed</v>
      </c>
      <c r="G2248" s="324">
        <v>43101</v>
      </c>
      <c r="H2248" s="324">
        <v>45108</v>
      </c>
      <c r="I2248" s="325">
        <v>42000</v>
      </c>
      <c r="J224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48" s="133">
        <f>_xlfn.XLOOKUP(Market_Data[[#This Row],[Project Type]],tbl_assumptions_market[Project Category (RERA)],tbl_assumptions_market[Concrete Intensity
(m³ / sq m BUA)],"",0)</f>
        <v>0.42</v>
      </c>
      <c r="L2248" s="134">
        <f>ROUND(Market_Data[[#This Row],[Estimated Built Up Area (sq m)]]*Market_Data[[#This Row],[Concrete Intensity
(m³ / sq m)]],0)</f>
        <v>17640</v>
      </c>
      <c r="M2248" s="135">
        <f>_xlfn.XLOOKUP(Market_Data[[#This Row],[District]],tbl_district_price[District],tbl_district_price[Standard Price
(INR/m³)],"",0)</f>
        <v>6200</v>
      </c>
      <c r="N2248" s="364">
        <f>IF(OR(Market_Data[[#This Row],[Estimated Concrete Demand (m³)]]="",Market_Data[[#This Row],[Avg Price per (₹ / m³)]]=""),"",Market_Data[[#This Row],[Estimated Concrete Demand (m³)]]*Market_Data[[#This Row],[Avg Price per (₹ / m³)]]/10000000)</f>
        <v>10.9368</v>
      </c>
      <c r="O2248" s="97" t="str">
        <f>IF(Market_Data[[#This Row],[Estimated Concrete Demand (m³)]]="","",
IF(Market_Data[[#This Row],[Estimated Concrete Demand (m³)]]&lt;10000,"Small",
IF(Market_Data[[#This Row],[Estimated Concrete Demand (m³)]]&lt;25000,"Medium",
IF(Market_Data[[#This Row],[Estimated Concrete Demand (m³)]]&lt;100000,"Large","Mega"))))</f>
        <v>Medium</v>
      </c>
      <c r="P2248" s="287" t="str">
        <f t="shared" si="36"/>
        <v>GujRERA</v>
      </c>
    </row>
    <row r="2249" spans="1:16">
      <c r="A2249" s="129" t="str">
        <f>_xlfn.XLOOKUP(B2249,$S$9:$S$14,$T$9:$T$14)&amp;"-"&amp;
IF(E2249="Residential/Group Housing","RES",
IF(E2249="Commercial","COM",
IF(E2249="Mixed Development","MIX",
IF(E2249="Plotted Development","PLT","OTH"))))
&amp;"-"&amp;TEXT(COUNTIFS($B$9:B2249,B2249,$E$9:E2249,E2249),"0000")</f>
        <v>SUR-RES-0756</v>
      </c>
      <c r="B2249" s="322" t="s">
        <v>34</v>
      </c>
      <c r="C2249" s="322" t="s">
        <v>34</v>
      </c>
      <c r="D2249" s="323" t="s">
        <v>2439</v>
      </c>
      <c r="E2249" s="132" t="s">
        <v>24</v>
      </c>
      <c r="F2249" s="97" t="str">
        <f ca="1">IF(OR(Market_Data[[#This Row],[Start Date]]="",Market_Data[[#This Row],[Completion Date]]=""),"Needs Validation",IF(Market_Data[[#This Row],[Start Date]]&gt;TODAY(),"Planned",IF(Market_Data[[#This Row],[Completion Date]]&lt;TODAY(),"Completed","Ongoing")))</f>
        <v>Completed</v>
      </c>
      <c r="G2249" s="324">
        <v>43647</v>
      </c>
      <c r="H2249" s="324">
        <v>45838</v>
      </c>
      <c r="I2249" s="325">
        <v>21500</v>
      </c>
      <c r="J224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49" s="133">
        <f>_xlfn.XLOOKUP(Market_Data[[#This Row],[Project Type]],tbl_assumptions_market[Project Category (RERA)],tbl_assumptions_market[Concrete Intensity
(m³ / sq m BUA)],"",0)</f>
        <v>0.45</v>
      </c>
      <c r="L2249" s="134">
        <f>ROUND(Market_Data[[#This Row],[Estimated Built Up Area (sq m)]]*Market_Data[[#This Row],[Concrete Intensity
(m³ / sq m)]],0)</f>
        <v>9675</v>
      </c>
      <c r="M2249" s="135">
        <f>_xlfn.XLOOKUP(Market_Data[[#This Row],[District]],tbl_district_price[District],tbl_district_price[Standard Price
(INR/m³)],"",0)</f>
        <v>6200</v>
      </c>
      <c r="N2249" s="364">
        <f>IF(OR(Market_Data[[#This Row],[Estimated Concrete Demand (m³)]]="",Market_Data[[#This Row],[Avg Price per (₹ / m³)]]=""),"",Market_Data[[#This Row],[Estimated Concrete Demand (m³)]]*Market_Data[[#This Row],[Avg Price per (₹ / m³)]]/10000000)</f>
        <v>5.9984999999999999</v>
      </c>
      <c r="O2249" s="97" t="str">
        <f>IF(Market_Data[[#This Row],[Estimated Concrete Demand (m³)]]="","",
IF(Market_Data[[#This Row],[Estimated Concrete Demand (m³)]]&lt;10000,"Small",
IF(Market_Data[[#This Row],[Estimated Concrete Demand (m³)]]&lt;25000,"Medium",
IF(Market_Data[[#This Row],[Estimated Concrete Demand (m³)]]&lt;100000,"Large","Mega"))))</f>
        <v>Small</v>
      </c>
      <c r="P2249" s="287" t="str">
        <f t="shared" si="36"/>
        <v>GujRERA</v>
      </c>
    </row>
    <row r="2250" spans="1:16">
      <c r="A2250" s="129" t="str">
        <f>_xlfn.XLOOKUP(B2250,$S$9:$S$14,$T$9:$T$14)&amp;"-"&amp;
IF(E2250="Residential/Group Housing","RES",
IF(E2250="Commercial","COM",
IF(E2250="Mixed Development","MIX",
IF(E2250="Plotted Development","PLT","OTH"))))
&amp;"-"&amp;TEXT(COUNTIFS($B$9:B2250,B2250,$E$9:E2250,E2250),"0000")</f>
        <v>SUR-RES-0757</v>
      </c>
      <c r="B2250" s="322" t="s">
        <v>34</v>
      </c>
      <c r="C2250" s="322" t="s">
        <v>34</v>
      </c>
      <c r="D2250" s="323" t="s">
        <v>2440</v>
      </c>
      <c r="E2250" s="132" t="s">
        <v>24</v>
      </c>
      <c r="F2250" s="97" t="str">
        <f ca="1">IF(OR(Market_Data[[#This Row],[Start Date]]="",Market_Data[[#This Row],[Completion Date]]=""),"Needs Validation",IF(Market_Data[[#This Row],[Start Date]]&gt;TODAY(),"Planned",IF(Market_Data[[#This Row],[Completion Date]]&lt;TODAY(),"Completed","Ongoing")))</f>
        <v>Ongoing</v>
      </c>
      <c r="G2250" s="324">
        <v>45786</v>
      </c>
      <c r="H2250" s="324">
        <v>47269</v>
      </c>
      <c r="I2250" s="325">
        <v>7600</v>
      </c>
      <c r="J225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50" s="133">
        <f>_xlfn.XLOOKUP(Market_Data[[#This Row],[Project Type]],tbl_assumptions_market[Project Category (RERA)],tbl_assumptions_market[Concrete Intensity
(m³ / sq m BUA)],"",0)</f>
        <v>0.45</v>
      </c>
      <c r="L2250" s="134">
        <f>ROUND(Market_Data[[#This Row],[Estimated Built Up Area (sq m)]]*Market_Data[[#This Row],[Concrete Intensity
(m³ / sq m)]],0)</f>
        <v>3420</v>
      </c>
      <c r="M2250" s="135">
        <f>_xlfn.XLOOKUP(Market_Data[[#This Row],[District]],tbl_district_price[District],tbl_district_price[Standard Price
(INR/m³)],"",0)</f>
        <v>6200</v>
      </c>
      <c r="N2250" s="364">
        <f>IF(OR(Market_Data[[#This Row],[Estimated Concrete Demand (m³)]]="",Market_Data[[#This Row],[Avg Price per (₹ / m³)]]=""),"",Market_Data[[#This Row],[Estimated Concrete Demand (m³)]]*Market_Data[[#This Row],[Avg Price per (₹ / m³)]]/10000000)</f>
        <v>2.1204000000000001</v>
      </c>
      <c r="O2250" s="97" t="str">
        <f>IF(Market_Data[[#This Row],[Estimated Concrete Demand (m³)]]="","",
IF(Market_Data[[#This Row],[Estimated Concrete Demand (m³)]]&lt;10000,"Small",
IF(Market_Data[[#This Row],[Estimated Concrete Demand (m³)]]&lt;25000,"Medium",
IF(Market_Data[[#This Row],[Estimated Concrete Demand (m³)]]&lt;100000,"Large","Mega"))))</f>
        <v>Small</v>
      </c>
      <c r="P2250" s="287" t="str">
        <f t="shared" ref="P2250:P2313" si="37">HYPERLINK(
"https://gujrera.gujarat.gov.in",
"GujRERA")</f>
        <v>GujRERA</v>
      </c>
    </row>
    <row r="2251" spans="1:16">
      <c r="A2251" s="129" t="str">
        <f>_xlfn.XLOOKUP(B2251,$S$9:$S$14,$T$9:$T$14)&amp;"-"&amp;
IF(E2251="Residential/Group Housing","RES",
IF(E2251="Commercial","COM",
IF(E2251="Mixed Development","MIX",
IF(E2251="Plotted Development","PLT","OTH"))))
&amp;"-"&amp;TEXT(COUNTIFS($B$9:B2251,B2251,$E$9:E2251,E2251),"0000")</f>
        <v>SUR-COM-0348</v>
      </c>
      <c r="B2251" s="322" t="s">
        <v>34</v>
      </c>
      <c r="C2251" s="322" t="s">
        <v>34</v>
      </c>
      <c r="D2251" s="323" t="s">
        <v>2441</v>
      </c>
      <c r="E2251" s="132" t="s">
        <v>23</v>
      </c>
      <c r="F2251" s="97" t="str">
        <f ca="1">IF(OR(Market_Data[[#This Row],[Start Date]]="",Market_Data[[#This Row],[Completion Date]]=""),"Needs Validation",IF(Market_Data[[#This Row],[Start Date]]&gt;TODAY(),"Planned",IF(Market_Data[[#This Row],[Completion Date]]&lt;TODAY(),"Completed","Ongoing")))</f>
        <v>Completed</v>
      </c>
      <c r="G2251" s="324">
        <v>44779</v>
      </c>
      <c r="H2251" s="324">
        <v>45747</v>
      </c>
      <c r="I2251" s="325">
        <v>4800</v>
      </c>
      <c r="J225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51" s="133">
        <f>_xlfn.XLOOKUP(Market_Data[[#This Row],[Project Type]],tbl_assumptions_market[Project Category (RERA)],tbl_assumptions_market[Concrete Intensity
(m³ / sq m BUA)],"",0)</f>
        <v>0.5</v>
      </c>
      <c r="L2251" s="134">
        <f>ROUND(Market_Data[[#This Row],[Estimated Built Up Area (sq m)]]*Market_Data[[#This Row],[Concrete Intensity
(m³ / sq m)]],0)</f>
        <v>2400</v>
      </c>
      <c r="M2251" s="135">
        <f>_xlfn.XLOOKUP(Market_Data[[#This Row],[District]],tbl_district_price[District],tbl_district_price[Standard Price
(INR/m³)],"",0)</f>
        <v>6200</v>
      </c>
      <c r="N2251" s="364">
        <f>IF(OR(Market_Data[[#This Row],[Estimated Concrete Demand (m³)]]="",Market_Data[[#This Row],[Avg Price per (₹ / m³)]]=""),"",Market_Data[[#This Row],[Estimated Concrete Demand (m³)]]*Market_Data[[#This Row],[Avg Price per (₹ / m³)]]/10000000)</f>
        <v>1.488</v>
      </c>
      <c r="O2251" s="97" t="str">
        <f>IF(Market_Data[[#This Row],[Estimated Concrete Demand (m³)]]="","",
IF(Market_Data[[#This Row],[Estimated Concrete Demand (m³)]]&lt;10000,"Small",
IF(Market_Data[[#This Row],[Estimated Concrete Demand (m³)]]&lt;25000,"Medium",
IF(Market_Data[[#This Row],[Estimated Concrete Demand (m³)]]&lt;100000,"Large","Mega"))))</f>
        <v>Small</v>
      </c>
      <c r="P2251" s="287" t="str">
        <f t="shared" si="37"/>
        <v>GujRERA</v>
      </c>
    </row>
    <row r="2252" spans="1:16">
      <c r="A2252" s="129" t="str">
        <f>_xlfn.XLOOKUP(B2252,$S$9:$S$14,$T$9:$T$14)&amp;"-"&amp;
IF(E2252="Residential/Group Housing","RES",
IF(E2252="Commercial","COM",
IF(E2252="Mixed Development","MIX",
IF(E2252="Plotted Development","PLT","OTH"))))
&amp;"-"&amp;TEXT(COUNTIFS($B$9:B2252,B2252,$E$9:E2252,E2252),"0000")</f>
        <v>SUR-COM-0349</v>
      </c>
      <c r="B2252" s="322" t="s">
        <v>34</v>
      </c>
      <c r="C2252" s="322" t="s">
        <v>34</v>
      </c>
      <c r="D2252" s="323" t="s">
        <v>2442</v>
      </c>
      <c r="E2252" s="132" t="s">
        <v>23</v>
      </c>
      <c r="F2252" s="97" t="str">
        <f ca="1">IF(OR(Market_Data[[#This Row],[Start Date]]="",Market_Data[[#This Row],[Completion Date]]=""),"Needs Validation",IF(Market_Data[[#This Row],[Start Date]]&gt;TODAY(),"Planned",IF(Market_Data[[#This Row],[Completion Date]]&lt;TODAY(),"Completed","Ongoing")))</f>
        <v>Ongoing</v>
      </c>
      <c r="G2252" s="324">
        <v>44683</v>
      </c>
      <c r="H2252" s="324">
        <v>47208</v>
      </c>
      <c r="I2252" s="325">
        <v>33000</v>
      </c>
      <c r="J225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252" s="133">
        <f>_xlfn.XLOOKUP(Market_Data[[#This Row],[Project Type]],tbl_assumptions_market[Project Category (RERA)],tbl_assumptions_market[Concrete Intensity
(m³ / sq m BUA)],"",0)</f>
        <v>0.5</v>
      </c>
      <c r="L2252" s="134">
        <f>ROUND(Market_Data[[#This Row],[Estimated Built Up Area (sq m)]]*Market_Data[[#This Row],[Concrete Intensity
(m³ / sq m)]],0)</f>
        <v>16500</v>
      </c>
      <c r="M2252" s="135">
        <f>_xlfn.XLOOKUP(Market_Data[[#This Row],[District]],tbl_district_price[District],tbl_district_price[Standard Price
(INR/m³)],"",0)</f>
        <v>6200</v>
      </c>
      <c r="N2252" s="364">
        <f>IF(OR(Market_Data[[#This Row],[Estimated Concrete Demand (m³)]]="",Market_Data[[#This Row],[Avg Price per (₹ / m³)]]=""),"",Market_Data[[#This Row],[Estimated Concrete Demand (m³)]]*Market_Data[[#This Row],[Avg Price per (₹ / m³)]]/10000000)</f>
        <v>10.23</v>
      </c>
      <c r="O2252" s="97" t="str">
        <f>IF(Market_Data[[#This Row],[Estimated Concrete Demand (m³)]]="","",
IF(Market_Data[[#This Row],[Estimated Concrete Demand (m³)]]&lt;10000,"Small",
IF(Market_Data[[#This Row],[Estimated Concrete Demand (m³)]]&lt;25000,"Medium",
IF(Market_Data[[#This Row],[Estimated Concrete Demand (m³)]]&lt;100000,"Large","Mega"))))</f>
        <v>Medium</v>
      </c>
      <c r="P2252" s="287" t="str">
        <f t="shared" si="37"/>
        <v>GujRERA</v>
      </c>
    </row>
    <row r="2253" spans="1:16">
      <c r="A2253" s="129" t="str">
        <f>_xlfn.XLOOKUP(B2253,$S$9:$S$14,$T$9:$T$14)&amp;"-"&amp;
IF(E2253="Residential/Group Housing","RES",
IF(E2253="Commercial","COM",
IF(E2253="Mixed Development","MIX",
IF(E2253="Plotted Development","PLT","OTH"))))
&amp;"-"&amp;TEXT(COUNTIFS($B$9:B2253,B2253,$E$9:E2253,E2253),"0000")</f>
        <v>SUR-COM-0350</v>
      </c>
      <c r="B2253" s="322" t="s">
        <v>34</v>
      </c>
      <c r="C2253" s="322" t="s">
        <v>34</v>
      </c>
      <c r="D2253" s="323" t="s">
        <v>2443</v>
      </c>
      <c r="E2253" s="132" t="s">
        <v>23</v>
      </c>
      <c r="F2253" s="97" t="str">
        <f ca="1">IF(OR(Market_Data[[#This Row],[Start Date]]="",Market_Data[[#This Row],[Completion Date]]=""),"Needs Validation",IF(Market_Data[[#This Row],[Start Date]]&gt;TODAY(),"Planned",IF(Market_Data[[#This Row],[Completion Date]]&lt;TODAY(),"Completed","Ongoing")))</f>
        <v>Completed</v>
      </c>
      <c r="G2253" s="324">
        <v>44405</v>
      </c>
      <c r="H2253" s="324">
        <v>45931</v>
      </c>
      <c r="I2253" s="325">
        <v>49100</v>
      </c>
      <c r="J225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253" s="133">
        <f>_xlfn.XLOOKUP(Market_Data[[#This Row],[Project Type]],tbl_assumptions_market[Project Category (RERA)],tbl_assumptions_market[Concrete Intensity
(m³ / sq m BUA)],"",0)</f>
        <v>0.5</v>
      </c>
      <c r="L2253" s="134">
        <f>ROUND(Market_Data[[#This Row],[Estimated Built Up Area (sq m)]]*Market_Data[[#This Row],[Concrete Intensity
(m³ / sq m)]],0)</f>
        <v>24550</v>
      </c>
      <c r="M2253" s="135">
        <f>_xlfn.XLOOKUP(Market_Data[[#This Row],[District]],tbl_district_price[District],tbl_district_price[Standard Price
(INR/m³)],"",0)</f>
        <v>6200</v>
      </c>
      <c r="N2253" s="364">
        <f>IF(OR(Market_Data[[#This Row],[Estimated Concrete Demand (m³)]]="",Market_Data[[#This Row],[Avg Price per (₹ / m³)]]=""),"",Market_Data[[#This Row],[Estimated Concrete Demand (m³)]]*Market_Data[[#This Row],[Avg Price per (₹ / m³)]]/10000000)</f>
        <v>15.221</v>
      </c>
      <c r="O2253" s="97" t="str">
        <f>IF(Market_Data[[#This Row],[Estimated Concrete Demand (m³)]]="","",
IF(Market_Data[[#This Row],[Estimated Concrete Demand (m³)]]&lt;10000,"Small",
IF(Market_Data[[#This Row],[Estimated Concrete Demand (m³)]]&lt;25000,"Medium",
IF(Market_Data[[#This Row],[Estimated Concrete Demand (m³)]]&lt;100000,"Large","Mega"))))</f>
        <v>Medium</v>
      </c>
      <c r="P2253" s="287" t="str">
        <f t="shared" si="37"/>
        <v>GujRERA</v>
      </c>
    </row>
    <row r="2254" spans="1:16">
      <c r="A2254" s="129" t="str">
        <f>_xlfn.XLOOKUP(B2254,$S$9:$S$14,$T$9:$T$14)&amp;"-"&amp;
IF(E2254="Residential/Group Housing","RES",
IF(E2254="Commercial","COM",
IF(E2254="Mixed Development","MIX",
IF(E2254="Plotted Development","PLT","OTH"))))
&amp;"-"&amp;TEXT(COUNTIFS($B$9:B2254,B2254,$E$9:E2254,E2254),"0000")</f>
        <v>SUR-COM-0351</v>
      </c>
      <c r="B2254" s="322" t="s">
        <v>34</v>
      </c>
      <c r="C2254" s="322" t="s">
        <v>34</v>
      </c>
      <c r="D2254" s="323" t="s">
        <v>2444</v>
      </c>
      <c r="E2254" s="132" t="s">
        <v>23</v>
      </c>
      <c r="F2254" s="97" t="str">
        <f ca="1">IF(OR(Market_Data[[#This Row],[Start Date]]="",Market_Data[[#This Row],[Completion Date]]=""),"Needs Validation",IF(Market_Data[[#This Row],[Start Date]]&gt;TODAY(),"Planned",IF(Market_Data[[#This Row],[Completion Date]]&lt;TODAY(),"Completed","Ongoing")))</f>
        <v>Ongoing</v>
      </c>
      <c r="G2254" s="324">
        <v>45636</v>
      </c>
      <c r="H2254" s="324">
        <v>47118</v>
      </c>
      <c r="I2254" s="325">
        <v>30000</v>
      </c>
      <c r="J225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254" s="133">
        <f>_xlfn.XLOOKUP(Market_Data[[#This Row],[Project Type]],tbl_assumptions_market[Project Category (RERA)],tbl_assumptions_market[Concrete Intensity
(m³ / sq m BUA)],"",0)</f>
        <v>0.5</v>
      </c>
      <c r="L2254" s="134">
        <f>ROUND(Market_Data[[#This Row],[Estimated Built Up Area (sq m)]]*Market_Data[[#This Row],[Concrete Intensity
(m³ / sq m)]],0)</f>
        <v>15000</v>
      </c>
      <c r="M2254" s="135">
        <f>_xlfn.XLOOKUP(Market_Data[[#This Row],[District]],tbl_district_price[District],tbl_district_price[Standard Price
(INR/m³)],"",0)</f>
        <v>6200</v>
      </c>
      <c r="N2254" s="364">
        <f>IF(OR(Market_Data[[#This Row],[Estimated Concrete Demand (m³)]]="",Market_Data[[#This Row],[Avg Price per (₹ / m³)]]=""),"",Market_Data[[#This Row],[Estimated Concrete Demand (m³)]]*Market_Data[[#This Row],[Avg Price per (₹ / m³)]]/10000000)</f>
        <v>9.3000000000000007</v>
      </c>
      <c r="O2254" s="97" t="str">
        <f>IF(Market_Data[[#This Row],[Estimated Concrete Demand (m³)]]="","",
IF(Market_Data[[#This Row],[Estimated Concrete Demand (m³)]]&lt;10000,"Small",
IF(Market_Data[[#This Row],[Estimated Concrete Demand (m³)]]&lt;25000,"Medium",
IF(Market_Data[[#This Row],[Estimated Concrete Demand (m³)]]&lt;100000,"Large","Mega"))))</f>
        <v>Medium</v>
      </c>
      <c r="P2254" s="287" t="str">
        <f t="shared" si="37"/>
        <v>GujRERA</v>
      </c>
    </row>
    <row r="2255" spans="1:16">
      <c r="A2255" s="129" t="str">
        <f>_xlfn.XLOOKUP(B2255,$S$9:$S$14,$T$9:$T$14)&amp;"-"&amp;
IF(E2255="Residential/Group Housing","RES",
IF(E2255="Commercial","COM",
IF(E2255="Mixed Development","MIX",
IF(E2255="Plotted Development","PLT","OTH"))))
&amp;"-"&amp;TEXT(COUNTIFS($B$9:B2255,B2255,$E$9:E2255,E2255),"0000")</f>
        <v>SUR-COM-0352</v>
      </c>
      <c r="B2255" s="322" t="s">
        <v>34</v>
      </c>
      <c r="C2255" s="322" t="s">
        <v>34</v>
      </c>
      <c r="D2255" s="323" t="s">
        <v>2445</v>
      </c>
      <c r="E2255" s="132" t="s">
        <v>23</v>
      </c>
      <c r="F2255" s="97" t="str">
        <f ca="1">IF(OR(Market_Data[[#This Row],[Start Date]]="",Market_Data[[#This Row],[Completion Date]]=""),"Needs Validation",IF(Market_Data[[#This Row],[Start Date]]&gt;TODAY(),"Planned",IF(Market_Data[[#This Row],[Completion Date]]&lt;TODAY(),"Completed","Ongoing")))</f>
        <v>Ongoing</v>
      </c>
      <c r="G2255" s="324">
        <v>45666</v>
      </c>
      <c r="H2255" s="324">
        <v>47118</v>
      </c>
      <c r="I2255" s="325">
        <v>16800</v>
      </c>
      <c r="J225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55" s="133">
        <f>_xlfn.XLOOKUP(Market_Data[[#This Row],[Project Type]],tbl_assumptions_market[Project Category (RERA)],tbl_assumptions_market[Concrete Intensity
(m³ / sq m BUA)],"",0)</f>
        <v>0.5</v>
      </c>
      <c r="L2255" s="134">
        <f>ROUND(Market_Data[[#This Row],[Estimated Built Up Area (sq m)]]*Market_Data[[#This Row],[Concrete Intensity
(m³ / sq m)]],0)</f>
        <v>8400</v>
      </c>
      <c r="M2255" s="135">
        <f>_xlfn.XLOOKUP(Market_Data[[#This Row],[District]],tbl_district_price[District],tbl_district_price[Standard Price
(INR/m³)],"",0)</f>
        <v>6200</v>
      </c>
      <c r="N2255" s="364">
        <f>IF(OR(Market_Data[[#This Row],[Estimated Concrete Demand (m³)]]="",Market_Data[[#This Row],[Avg Price per (₹ / m³)]]=""),"",Market_Data[[#This Row],[Estimated Concrete Demand (m³)]]*Market_Data[[#This Row],[Avg Price per (₹ / m³)]]/10000000)</f>
        <v>5.2080000000000002</v>
      </c>
      <c r="O2255" s="97" t="str">
        <f>IF(Market_Data[[#This Row],[Estimated Concrete Demand (m³)]]="","",
IF(Market_Data[[#This Row],[Estimated Concrete Demand (m³)]]&lt;10000,"Small",
IF(Market_Data[[#This Row],[Estimated Concrete Demand (m³)]]&lt;25000,"Medium",
IF(Market_Data[[#This Row],[Estimated Concrete Demand (m³)]]&lt;100000,"Large","Mega"))))</f>
        <v>Small</v>
      </c>
      <c r="P2255" s="287" t="str">
        <f t="shared" si="37"/>
        <v>GujRERA</v>
      </c>
    </row>
    <row r="2256" spans="1:16">
      <c r="A2256" s="129" t="str">
        <f>_xlfn.XLOOKUP(B2256,$S$9:$S$14,$T$9:$T$14)&amp;"-"&amp;
IF(E2256="Residential/Group Housing","RES",
IF(E2256="Commercial","COM",
IF(E2256="Mixed Development","MIX",
IF(E2256="Plotted Development","PLT","OTH"))))
&amp;"-"&amp;TEXT(COUNTIFS($B$9:B2256,B2256,$E$9:E2256,E2256),"0000")</f>
        <v>SUR-COM-0353</v>
      </c>
      <c r="B2256" s="322" t="s">
        <v>34</v>
      </c>
      <c r="C2256" s="322" t="s">
        <v>34</v>
      </c>
      <c r="D2256" s="323" t="s">
        <v>2446</v>
      </c>
      <c r="E2256" s="132" t="s">
        <v>23</v>
      </c>
      <c r="F2256" s="97" t="str">
        <f ca="1">IF(OR(Market_Data[[#This Row],[Start Date]]="",Market_Data[[#This Row],[Completion Date]]=""),"Needs Validation",IF(Market_Data[[#This Row],[Start Date]]&gt;TODAY(),"Planned",IF(Market_Data[[#This Row],[Completion Date]]&lt;TODAY(),"Completed","Ongoing")))</f>
        <v>Ongoing</v>
      </c>
      <c r="G2256" s="324">
        <v>44866</v>
      </c>
      <c r="H2256" s="324">
        <v>46477</v>
      </c>
      <c r="I2256" s="325">
        <v>32900</v>
      </c>
      <c r="J225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256" s="133">
        <f>_xlfn.XLOOKUP(Market_Data[[#This Row],[Project Type]],tbl_assumptions_market[Project Category (RERA)],tbl_assumptions_market[Concrete Intensity
(m³ / sq m BUA)],"",0)</f>
        <v>0.5</v>
      </c>
      <c r="L2256" s="134">
        <f>ROUND(Market_Data[[#This Row],[Estimated Built Up Area (sq m)]]*Market_Data[[#This Row],[Concrete Intensity
(m³ / sq m)]],0)</f>
        <v>16450</v>
      </c>
      <c r="M2256" s="135">
        <f>_xlfn.XLOOKUP(Market_Data[[#This Row],[District]],tbl_district_price[District],tbl_district_price[Standard Price
(INR/m³)],"",0)</f>
        <v>6200</v>
      </c>
      <c r="N2256" s="364">
        <f>IF(OR(Market_Data[[#This Row],[Estimated Concrete Demand (m³)]]="",Market_Data[[#This Row],[Avg Price per (₹ / m³)]]=""),"",Market_Data[[#This Row],[Estimated Concrete Demand (m³)]]*Market_Data[[#This Row],[Avg Price per (₹ / m³)]]/10000000)</f>
        <v>10.199</v>
      </c>
      <c r="O2256" s="97" t="str">
        <f>IF(Market_Data[[#This Row],[Estimated Concrete Demand (m³)]]="","",
IF(Market_Data[[#This Row],[Estimated Concrete Demand (m³)]]&lt;10000,"Small",
IF(Market_Data[[#This Row],[Estimated Concrete Demand (m³)]]&lt;25000,"Medium",
IF(Market_Data[[#This Row],[Estimated Concrete Demand (m³)]]&lt;100000,"Large","Mega"))))</f>
        <v>Medium</v>
      </c>
      <c r="P2256" s="287" t="str">
        <f t="shared" si="37"/>
        <v>GujRERA</v>
      </c>
    </row>
    <row r="2257" spans="1:16">
      <c r="A2257" s="129" t="str">
        <f>_xlfn.XLOOKUP(B2257,$S$9:$S$14,$T$9:$T$14)&amp;"-"&amp;
IF(E2257="Residential/Group Housing","RES",
IF(E2257="Commercial","COM",
IF(E2257="Mixed Development","MIX",
IF(E2257="Plotted Development","PLT","OTH"))))
&amp;"-"&amp;TEXT(COUNTIFS($B$9:B2257,B2257,$E$9:E2257,E2257),"0000")</f>
        <v>SUR-COM-0354</v>
      </c>
      <c r="B2257" s="322" t="s">
        <v>34</v>
      </c>
      <c r="C2257" s="322" t="s">
        <v>34</v>
      </c>
      <c r="D2257" s="323" t="s">
        <v>2447</v>
      </c>
      <c r="E2257" s="132" t="s">
        <v>23</v>
      </c>
      <c r="F2257" s="97" t="str">
        <f ca="1">IF(OR(Market_Data[[#This Row],[Start Date]]="",Market_Data[[#This Row],[Completion Date]]=""),"Needs Validation",IF(Market_Data[[#This Row],[Start Date]]&gt;TODAY(),"Planned",IF(Market_Data[[#This Row],[Completion Date]]&lt;TODAY(),"Completed","Ongoing")))</f>
        <v>Completed</v>
      </c>
      <c r="G2257" s="324">
        <v>44147</v>
      </c>
      <c r="H2257" s="324">
        <v>45747</v>
      </c>
      <c r="I2257" s="325">
        <v>45200</v>
      </c>
      <c r="J225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257" s="133">
        <f>_xlfn.XLOOKUP(Market_Data[[#This Row],[Project Type]],tbl_assumptions_market[Project Category (RERA)],tbl_assumptions_market[Concrete Intensity
(m³ / sq m BUA)],"",0)</f>
        <v>0.5</v>
      </c>
      <c r="L2257" s="134">
        <f>ROUND(Market_Data[[#This Row],[Estimated Built Up Area (sq m)]]*Market_Data[[#This Row],[Concrete Intensity
(m³ / sq m)]],0)</f>
        <v>22600</v>
      </c>
      <c r="M2257" s="135">
        <f>_xlfn.XLOOKUP(Market_Data[[#This Row],[District]],tbl_district_price[District],tbl_district_price[Standard Price
(INR/m³)],"",0)</f>
        <v>6200</v>
      </c>
      <c r="N2257" s="364">
        <f>IF(OR(Market_Data[[#This Row],[Estimated Concrete Demand (m³)]]="",Market_Data[[#This Row],[Avg Price per (₹ / m³)]]=""),"",Market_Data[[#This Row],[Estimated Concrete Demand (m³)]]*Market_Data[[#This Row],[Avg Price per (₹ / m³)]]/10000000)</f>
        <v>14.012</v>
      </c>
      <c r="O2257" s="97" t="str">
        <f>IF(Market_Data[[#This Row],[Estimated Concrete Demand (m³)]]="","",
IF(Market_Data[[#This Row],[Estimated Concrete Demand (m³)]]&lt;10000,"Small",
IF(Market_Data[[#This Row],[Estimated Concrete Demand (m³)]]&lt;25000,"Medium",
IF(Market_Data[[#This Row],[Estimated Concrete Demand (m³)]]&lt;100000,"Large","Mega"))))</f>
        <v>Medium</v>
      </c>
      <c r="P2257" s="287" t="str">
        <f t="shared" si="37"/>
        <v>GujRERA</v>
      </c>
    </row>
    <row r="2258" spans="1:16">
      <c r="A2258" s="129" t="str">
        <f>_xlfn.XLOOKUP(B2258,$S$9:$S$14,$T$9:$T$14)&amp;"-"&amp;
IF(E2258="Residential/Group Housing","RES",
IF(E2258="Commercial","COM",
IF(E2258="Mixed Development","MIX",
IF(E2258="Plotted Development","PLT","OTH"))))
&amp;"-"&amp;TEXT(COUNTIFS($B$9:B2258,B2258,$E$9:E2258,E2258),"0000")</f>
        <v>SUR-COM-0355</v>
      </c>
      <c r="B2258" s="322" t="s">
        <v>34</v>
      </c>
      <c r="C2258" s="322" t="s">
        <v>34</v>
      </c>
      <c r="D2258" s="323" t="s">
        <v>2448</v>
      </c>
      <c r="E2258" s="132" t="s">
        <v>23</v>
      </c>
      <c r="F2258" s="97" t="str">
        <f ca="1">IF(OR(Market_Data[[#This Row],[Start Date]]="",Market_Data[[#This Row],[Completion Date]]=""),"Needs Validation",IF(Market_Data[[#This Row],[Start Date]]&gt;TODAY(),"Planned",IF(Market_Data[[#This Row],[Completion Date]]&lt;TODAY(),"Completed","Ongoing")))</f>
        <v>Ongoing</v>
      </c>
      <c r="G2258" s="324">
        <v>45381</v>
      </c>
      <c r="H2258" s="324">
        <v>47208</v>
      </c>
      <c r="I2258" s="325">
        <v>57300</v>
      </c>
      <c r="J225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258" s="133">
        <f>_xlfn.XLOOKUP(Market_Data[[#This Row],[Project Type]],tbl_assumptions_market[Project Category (RERA)],tbl_assumptions_market[Concrete Intensity
(m³ / sq m BUA)],"",0)</f>
        <v>0.5</v>
      </c>
      <c r="L2258" s="134">
        <f>ROUND(Market_Data[[#This Row],[Estimated Built Up Area (sq m)]]*Market_Data[[#This Row],[Concrete Intensity
(m³ / sq m)]],0)</f>
        <v>28650</v>
      </c>
      <c r="M2258" s="135">
        <f>_xlfn.XLOOKUP(Market_Data[[#This Row],[District]],tbl_district_price[District],tbl_district_price[Standard Price
(INR/m³)],"",0)</f>
        <v>6200</v>
      </c>
      <c r="N2258" s="364">
        <f>IF(OR(Market_Data[[#This Row],[Estimated Concrete Demand (m³)]]="",Market_Data[[#This Row],[Avg Price per (₹ / m³)]]=""),"",Market_Data[[#This Row],[Estimated Concrete Demand (m³)]]*Market_Data[[#This Row],[Avg Price per (₹ / m³)]]/10000000)</f>
        <v>17.763000000000002</v>
      </c>
      <c r="O2258" s="97" t="str">
        <f>IF(Market_Data[[#This Row],[Estimated Concrete Demand (m³)]]="","",
IF(Market_Data[[#This Row],[Estimated Concrete Demand (m³)]]&lt;10000,"Small",
IF(Market_Data[[#This Row],[Estimated Concrete Demand (m³)]]&lt;25000,"Medium",
IF(Market_Data[[#This Row],[Estimated Concrete Demand (m³)]]&lt;100000,"Large","Mega"))))</f>
        <v>Large</v>
      </c>
      <c r="P2258" s="287" t="str">
        <f t="shared" si="37"/>
        <v>GujRERA</v>
      </c>
    </row>
    <row r="2259" spans="1:16">
      <c r="A2259" s="129" t="str">
        <f>_xlfn.XLOOKUP(B2259,$S$9:$S$14,$T$9:$T$14)&amp;"-"&amp;
IF(E2259="Residential/Group Housing","RES",
IF(E2259="Commercial","COM",
IF(E2259="Mixed Development","MIX",
IF(E2259="Plotted Development","PLT","OTH"))))
&amp;"-"&amp;TEXT(COUNTIFS($B$9:B2259,B2259,$E$9:E2259,E2259),"0000")</f>
        <v>SUR-COM-0356</v>
      </c>
      <c r="B2259" s="322" t="s">
        <v>34</v>
      </c>
      <c r="C2259" s="322" t="s">
        <v>34</v>
      </c>
      <c r="D2259" s="323" t="s">
        <v>2449</v>
      </c>
      <c r="E2259" s="132" t="s">
        <v>23</v>
      </c>
      <c r="F2259" s="97" t="str">
        <f ca="1">IF(OR(Market_Data[[#This Row],[Start Date]]="",Market_Data[[#This Row],[Completion Date]]=""),"Needs Validation",IF(Market_Data[[#This Row],[Start Date]]&gt;TODAY(),"Planned",IF(Market_Data[[#This Row],[Completion Date]]&lt;TODAY(),"Completed","Ongoing")))</f>
        <v>Completed</v>
      </c>
      <c r="G2259" s="324">
        <v>43449</v>
      </c>
      <c r="H2259" s="324">
        <v>45107</v>
      </c>
      <c r="I2259" s="325">
        <v>49000</v>
      </c>
      <c r="J225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259" s="133">
        <f>_xlfn.XLOOKUP(Market_Data[[#This Row],[Project Type]],tbl_assumptions_market[Project Category (RERA)],tbl_assumptions_market[Concrete Intensity
(m³ / sq m BUA)],"",0)</f>
        <v>0.5</v>
      </c>
      <c r="L2259" s="134">
        <f>ROUND(Market_Data[[#This Row],[Estimated Built Up Area (sq m)]]*Market_Data[[#This Row],[Concrete Intensity
(m³ / sq m)]],0)</f>
        <v>24500</v>
      </c>
      <c r="M2259" s="135">
        <f>_xlfn.XLOOKUP(Market_Data[[#This Row],[District]],tbl_district_price[District],tbl_district_price[Standard Price
(INR/m³)],"",0)</f>
        <v>6200</v>
      </c>
      <c r="N2259" s="364">
        <f>IF(OR(Market_Data[[#This Row],[Estimated Concrete Demand (m³)]]="",Market_Data[[#This Row],[Avg Price per (₹ / m³)]]=""),"",Market_Data[[#This Row],[Estimated Concrete Demand (m³)]]*Market_Data[[#This Row],[Avg Price per (₹ / m³)]]/10000000)</f>
        <v>15.19</v>
      </c>
      <c r="O2259" s="97" t="str">
        <f>IF(Market_Data[[#This Row],[Estimated Concrete Demand (m³)]]="","",
IF(Market_Data[[#This Row],[Estimated Concrete Demand (m³)]]&lt;10000,"Small",
IF(Market_Data[[#This Row],[Estimated Concrete Demand (m³)]]&lt;25000,"Medium",
IF(Market_Data[[#This Row],[Estimated Concrete Demand (m³)]]&lt;100000,"Large","Mega"))))</f>
        <v>Medium</v>
      </c>
      <c r="P2259" s="287" t="str">
        <f t="shared" si="37"/>
        <v>GujRERA</v>
      </c>
    </row>
    <row r="2260" spans="1:16">
      <c r="A2260" s="129" t="str">
        <f>_xlfn.XLOOKUP(B2260,$S$9:$S$14,$T$9:$T$14)&amp;"-"&amp;
IF(E2260="Residential/Group Housing","RES",
IF(E2260="Commercial","COM",
IF(E2260="Mixed Development","MIX",
IF(E2260="Plotted Development","PLT","OTH"))))
&amp;"-"&amp;TEXT(COUNTIFS($B$9:B2260,B2260,$E$9:E2260,E2260),"0000")</f>
        <v>SUR-COM-0357</v>
      </c>
      <c r="B2260" s="322" t="s">
        <v>34</v>
      </c>
      <c r="C2260" s="322" t="s">
        <v>34</v>
      </c>
      <c r="D2260" s="323" t="s">
        <v>2450</v>
      </c>
      <c r="E2260" s="132" t="s">
        <v>23</v>
      </c>
      <c r="F2260" s="97" t="str">
        <f ca="1">IF(OR(Market_Data[[#This Row],[Start Date]]="",Market_Data[[#This Row],[Completion Date]]=""),"Needs Validation",IF(Market_Data[[#This Row],[Start Date]]&gt;TODAY(),"Planned",IF(Market_Data[[#This Row],[Completion Date]]&lt;TODAY(),"Completed","Ongoing")))</f>
        <v>Ongoing</v>
      </c>
      <c r="G2260" s="324">
        <v>45902</v>
      </c>
      <c r="H2260" s="324">
        <v>47848</v>
      </c>
      <c r="I2260" s="325">
        <v>36500</v>
      </c>
      <c r="J226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260" s="133">
        <f>_xlfn.XLOOKUP(Market_Data[[#This Row],[Project Type]],tbl_assumptions_market[Project Category (RERA)],tbl_assumptions_market[Concrete Intensity
(m³ / sq m BUA)],"",0)</f>
        <v>0.5</v>
      </c>
      <c r="L2260" s="134">
        <f>ROUND(Market_Data[[#This Row],[Estimated Built Up Area (sq m)]]*Market_Data[[#This Row],[Concrete Intensity
(m³ / sq m)]],0)</f>
        <v>18250</v>
      </c>
      <c r="M2260" s="135">
        <f>_xlfn.XLOOKUP(Market_Data[[#This Row],[District]],tbl_district_price[District],tbl_district_price[Standard Price
(INR/m³)],"",0)</f>
        <v>6200</v>
      </c>
      <c r="N2260" s="364">
        <f>IF(OR(Market_Data[[#This Row],[Estimated Concrete Demand (m³)]]="",Market_Data[[#This Row],[Avg Price per (₹ / m³)]]=""),"",Market_Data[[#This Row],[Estimated Concrete Demand (m³)]]*Market_Data[[#This Row],[Avg Price per (₹ / m³)]]/10000000)</f>
        <v>11.315</v>
      </c>
      <c r="O2260" s="97" t="str">
        <f>IF(Market_Data[[#This Row],[Estimated Concrete Demand (m³)]]="","",
IF(Market_Data[[#This Row],[Estimated Concrete Demand (m³)]]&lt;10000,"Small",
IF(Market_Data[[#This Row],[Estimated Concrete Demand (m³)]]&lt;25000,"Medium",
IF(Market_Data[[#This Row],[Estimated Concrete Demand (m³)]]&lt;100000,"Large","Mega"))))</f>
        <v>Medium</v>
      </c>
      <c r="P2260" s="287" t="str">
        <f t="shared" si="37"/>
        <v>GujRERA</v>
      </c>
    </row>
    <row r="2261" spans="1:16">
      <c r="A2261" s="129" t="str">
        <f>_xlfn.XLOOKUP(B2261,$S$9:$S$14,$T$9:$T$14)&amp;"-"&amp;
IF(E2261="Residential/Group Housing","RES",
IF(E2261="Commercial","COM",
IF(E2261="Mixed Development","MIX",
IF(E2261="Plotted Development","PLT","OTH"))))
&amp;"-"&amp;TEXT(COUNTIFS($B$9:B2261,B2261,$E$9:E2261,E2261),"0000")</f>
        <v>SUR-COM-0358</v>
      </c>
      <c r="B2261" s="322" t="s">
        <v>34</v>
      </c>
      <c r="C2261" s="322" t="s">
        <v>34</v>
      </c>
      <c r="D2261" s="323" t="s">
        <v>2451</v>
      </c>
      <c r="E2261" s="132" t="s">
        <v>23</v>
      </c>
      <c r="F2261" s="97" t="str">
        <f ca="1">IF(OR(Market_Data[[#This Row],[Start Date]]="",Market_Data[[#This Row],[Completion Date]]=""),"Needs Validation",IF(Market_Data[[#This Row],[Start Date]]&gt;TODAY(),"Planned",IF(Market_Data[[#This Row],[Completion Date]]&lt;TODAY(),"Completed","Ongoing")))</f>
        <v>Ongoing</v>
      </c>
      <c r="G2261" s="324">
        <v>45638</v>
      </c>
      <c r="H2261" s="324">
        <v>47483</v>
      </c>
      <c r="I2261" s="325">
        <v>45800</v>
      </c>
      <c r="J226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261" s="133">
        <f>_xlfn.XLOOKUP(Market_Data[[#This Row],[Project Type]],tbl_assumptions_market[Project Category (RERA)],tbl_assumptions_market[Concrete Intensity
(m³ / sq m BUA)],"",0)</f>
        <v>0.5</v>
      </c>
      <c r="L2261" s="134">
        <f>ROUND(Market_Data[[#This Row],[Estimated Built Up Area (sq m)]]*Market_Data[[#This Row],[Concrete Intensity
(m³ / sq m)]],0)</f>
        <v>22900</v>
      </c>
      <c r="M2261" s="135">
        <f>_xlfn.XLOOKUP(Market_Data[[#This Row],[District]],tbl_district_price[District],tbl_district_price[Standard Price
(INR/m³)],"",0)</f>
        <v>6200</v>
      </c>
      <c r="N2261" s="364">
        <f>IF(OR(Market_Data[[#This Row],[Estimated Concrete Demand (m³)]]="",Market_Data[[#This Row],[Avg Price per (₹ / m³)]]=""),"",Market_Data[[#This Row],[Estimated Concrete Demand (m³)]]*Market_Data[[#This Row],[Avg Price per (₹ / m³)]]/10000000)</f>
        <v>14.198</v>
      </c>
      <c r="O2261" s="97" t="str">
        <f>IF(Market_Data[[#This Row],[Estimated Concrete Demand (m³)]]="","",
IF(Market_Data[[#This Row],[Estimated Concrete Demand (m³)]]&lt;10000,"Small",
IF(Market_Data[[#This Row],[Estimated Concrete Demand (m³)]]&lt;25000,"Medium",
IF(Market_Data[[#This Row],[Estimated Concrete Demand (m³)]]&lt;100000,"Large","Mega"))))</f>
        <v>Medium</v>
      </c>
      <c r="P2261" s="287" t="str">
        <f t="shared" si="37"/>
        <v>GujRERA</v>
      </c>
    </row>
    <row r="2262" spans="1:16">
      <c r="A2262" s="129" t="str">
        <f>_xlfn.XLOOKUP(B2262,$S$9:$S$14,$T$9:$T$14)&amp;"-"&amp;
IF(E2262="Residential/Group Housing","RES",
IF(E2262="Commercial","COM",
IF(E2262="Mixed Development","MIX",
IF(E2262="Plotted Development","PLT","OTH"))))
&amp;"-"&amp;TEXT(COUNTIFS($B$9:B2262,B2262,$E$9:E2262,E2262),"0000")</f>
        <v>SUR-COM-0359</v>
      </c>
      <c r="B2262" s="322" t="s">
        <v>34</v>
      </c>
      <c r="C2262" s="322" t="s">
        <v>34</v>
      </c>
      <c r="D2262" s="323" t="s">
        <v>2452</v>
      </c>
      <c r="E2262" s="132" t="s">
        <v>23</v>
      </c>
      <c r="F2262" s="97" t="str">
        <f ca="1">IF(OR(Market_Data[[#This Row],[Start Date]]="",Market_Data[[#This Row],[Completion Date]]=""),"Needs Validation",IF(Market_Data[[#This Row],[Start Date]]&gt;TODAY(),"Planned",IF(Market_Data[[#This Row],[Completion Date]]&lt;TODAY(),"Completed","Ongoing")))</f>
        <v>Completed</v>
      </c>
      <c r="G2262" s="324">
        <v>44247</v>
      </c>
      <c r="H2262" s="324">
        <v>45291</v>
      </c>
      <c r="I2262" s="325">
        <v>5600</v>
      </c>
      <c r="J226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62" s="133">
        <f>_xlfn.XLOOKUP(Market_Data[[#This Row],[Project Type]],tbl_assumptions_market[Project Category (RERA)],tbl_assumptions_market[Concrete Intensity
(m³ / sq m BUA)],"",0)</f>
        <v>0.5</v>
      </c>
      <c r="L2262" s="134">
        <f>ROUND(Market_Data[[#This Row],[Estimated Built Up Area (sq m)]]*Market_Data[[#This Row],[Concrete Intensity
(m³ / sq m)]],0)</f>
        <v>2800</v>
      </c>
      <c r="M2262" s="135">
        <f>_xlfn.XLOOKUP(Market_Data[[#This Row],[District]],tbl_district_price[District],tbl_district_price[Standard Price
(INR/m³)],"",0)</f>
        <v>6200</v>
      </c>
      <c r="N2262" s="364">
        <f>IF(OR(Market_Data[[#This Row],[Estimated Concrete Demand (m³)]]="",Market_Data[[#This Row],[Avg Price per (₹ / m³)]]=""),"",Market_Data[[#This Row],[Estimated Concrete Demand (m³)]]*Market_Data[[#This Row],[Avg Price per (₹ / m³)]]/10000000)</f>
        <v>1.736</v>
      </c>
      <c r="O2262" s="97" t="str">
        <f>IF(Market_Data[[#This Row],[Estimated Concrete Demand (m³)]]="","",
IF(Market_Data[[#This Row],[Estimated Concrete Demand (m³)]]&lt;10000,"Small",
IF(Market_Data[[#This Row],[Estimated Concrete Demand (m³)]]&lt;25000,"Medium",
IF(Market_Data[[#This Row],[Estimated Concrete Demand (m³)]]&lt;100000,"Large","Mega"))))</f>
        <v>Small</v>
      </c>
      <c r="P2262" s="287" t="str">
        <f t="shared" si="37"/>
        <v>GujRERA</v>
      </c>
    </row>
    <row r="2263" spans="1:16">
      <c r="A2263" s="129" t="str">
        <f>_xlfn.XLOOKUP(B2263,$S$9:$S$14,$T$9:$T$14)&amp;"-"&amp;
IF(E2263="Residential/Group Housing","RES",
IF(E2263="Commercial","COM",
IF(E2263="Mixed Development","MIX",
IF(E2263="Plotted Development","PLT","OTH"))))
&amp;"-"&amp;TEXT(COUNTIFS($B$9:B2263,B2263,$E$9:E2263,E2263),"0000")</f>
        <v>SUR-RES-0758</v>
      </c>
      <c r="B2263" s="322" t="s">
        <v>34</v>
      </c>
      <c r="C2263" s="322" t="s">
        <v>34</v>
      </c>
      <c r="D2263" s="323" t="s">
        <v>2453</v>
      </c>
      <c r="E2263" s="132" t="s">
        <v>24</v>
      </c>
      <c r="F2263" s="97" t="str">
        <f ca="1">IF(OR(Market_Data[[#This Row],[Start Date]]="",Market_Data[[#This Row],[Completion Date]]=""),"Needs Validation",IF(Market_Data[[#This Row],[Start Date]]&gt;TODAY(),"Planned",IF(Market_Data[[#This Row],[Completion Date]]&lt;TODAY(),"Completed","Ongoing")))</f>
        <v>Ongoing</v>
      </c>
      <c r="G2263" s="324">
        <v>45016</v>
      </c>
      <c r="H2263" s="324">
        <v>47118</v>
      </c>
      <c r="I2263" s="325">
        <v>42900</v>
      </c>
      <c r="J226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63" s="133">
        <f>_xlfn.XLOOKUP(Market_Data[[#This Row],[Project Type]],tbl_assumptions_market[Project Category (RERA)],tbl_assumptions_market[Concrete Intensity
(m³ / sq m BUA)],"",0)</f>
        <v>0.45</v>
      </c>
      <c r="L2263" s="134">
        <f>ROUND(Market_Data[[#This Row],[Estimated Built Up Area (sq m)]]*Market_Data[[#This Row],[Concrete Intensity
(m³ / sq m)]],0)</f>
        <v>19305</v>
      </c>
      <c r="M2263" s="135">
        <f>_xlfn.XLOOKUP(Market_Data[[#This Row],[District]],tbl_district_price[District],tbl_district_price[Standard Price
(INR/m³)],"",0)</f>
        <v>6200</v>
      </c>
      <c r="N2263" s="364">
        <f>IF(OR(Market_Data[[#This Row],[Estimated Concrete Demand (m³)]]="",Market_Data[[#This Row],[Avg Price per (₹ / m³)]]=""),"",Market_Data[[#This Row],[Estimated Concrete Demand (m³)]]*Market_Data[[#This Row],[Avg Price per (₹ / m³)]]/10000000)</f>
        <v>11.969099999999999</v>
      </c>
      <c r="O2263" s="97" t="str">
        <f>IF(Market_Data[[#This Row],[Estimated Concrete Demand (m³)]]="","",
IF(Market_Data[[#This Row],[Estimated Concrete Demand (m³)]]&lt;10000,"Small",
IF(Market_Data[[#This Row],[Estimated Concrete Demand (m³)]]&lt;25000,"Medium",
IF(Market_Data[[#This Row],[Estimated Concrete Demand (m³)]]&lt;100000,"Large","Mega"))))</f>
        <v>Medium</v>
      </c>
      <c r="P2263" s="287" t="str">
        <f t="shared" si="37"/>
        <v>GujRERA</v>
      </c>
    </row>
    <row r="2264" spans="1:16">
      <c r="A2264" s="129" t="str">
        <f>_xlfn.XLOOKUP(B2264,$S$9:$S$14,$T$9:$T$14)&amp;"-"&amp;
IF(E2264="Residential/Group Housing","RES",
IF(E2264="Commercial","COM",
IF(E2264="Mixed Development","MIX",
IF(E2264="Plotted Development","PLT","OTH"))))
&amp;"-"&amp;TEXT(COUNTIFS($B$9:B2264,B2264,$E$9:E2264,E2264),"0000")</f>
        <v>SUR-RES-0759</v>
      </c>
      <c r="B2264" s="322" t="s">
        <v>34</v>
      </c>
      <c r="C2264" s="322" t="s">
        <v>34</v>
      </c>
      <c r="D2264" s="323" t="s">
        <v>2454</v>
      </c>
      <c r="E2264" s="132" t="s">
        <v>24</v>
      </c>
      <c r="F2264" s="97" t="str">
        <f ca="1">IF(OR(Market_Data[[#This Row],[Start Date]]="",Market_Data[[#This Row],[Completion Date]]=""),"Needs Validation",IF(Market_Data[[#This Row],[Start Date]]&gt;TODAY(),"Planned",IF(Market_Data[[#This Row],[Completion Date]]&lt;TODAY(),"Completed","Ongoing")))</f>
        <v>Completed</v>
      </c>
      <c r="G2264" s="324">
        <v>43615</v>
      </c>
      <c r="H2264" s="324">
        <v>45473</v>
      </c>
      <c r="I2264" s="325">
        <v>4200</v>
      </c>
      <c r="J226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64" s="133">
        <f>_xlfn.XLOOKUP(Market_Data[[#This Row],[Project Type]],tbl_assumptions_market[Project Category (RERA)],tbl_assumptions_market[Concrete Intensity
(m³ / sq m BUA)],"",0)</f>
        <v>0.45</v>
      </c>
      <c r="L2264" s="134">
        <f>ROUND(Market_Data[[#This Row],[Estimated Built Up Area (sq m)]]*Market_Data[[#This Row],[Concrete Intensity
(m³ / sq m)]],0)</f>
        <v>1890</v>
      </c>
      <c r="M2264" s="135">
        <f>_xlfn.XLOOKUP(Market_Data[[#This Row],[District]],tbl_district_price[District],tbl_district_price[Standard Price
(INR/m³)],"",0)</f>
        <v>6200</v>
      </c>
      <c r="N2264" s="364">
        <f>IF(OR(Market_Data[[#This Row],[Estimated Concrete Demand (m³)]]="",Market_Data[[#This Row],[Avg Price per (₹ / m³)]]=""),"",Market_Data[[#This Row],[Estimated Concrete Demand (m³)]]*Market_Data[[#This Row],[Avg Price per (₹ / m³)]]/10000000)</f>
        <v>1.1718</v>
      </c>
      <c r="O2264" s="97" t="str">
        <f>IF(Market_Data[[#This Row],[Estimated Concrete Demand (m³)]]="","",
IF(Market_Data[[#This Row],[Estimated Concrete Demand (m³)]]&lt;10000,"Small",
IF(Market_Data[[#This Row],[Estimated Concrete Demand (m³)]]&lt;25000,"Medium",
IF(Market_Data[[#This Row],[Estimated Concrete Demand (m³)]]&lt;100000,"Large","Mega"))))</f>
        <v>Small</v>
      </c>
      <c r="P2264" s="287" t="str">
        <f t="shared" si="37"/>
        <v>GujRERA</v>
      </c>
    </row>
    <row r="2265" spans="1:16">
      <c r="A2265" s="129" t="str">
        <f>_xlfn.XLOOKUP(B2265,$S$9:$S$14,$T$9:$T$14)&amp;"-"&amp;
IF(E2265="Residential/Group Housing","RES",
IF(E2265="Commercial","COM",
IF(E2265="Mixed Development","MIX",
IF(E2265="Plotted Development","PLT","OTH"))))
&amp;"-"&amp;TEXT(COUNTIFS($B$9:B2265,B2265,$E$9:E2265,E2265),"0000")</f>
        <v>SUR-RES-0760</v>
      </c>
      <c r="B2265" s="322" t="s">
        <v>34</v>
      </c>
      <c r="C2265" s="322" t="s">
        <v>34</v>
      </c>
      <c r="D2265" s="323" t="s">
        <v>2455</v>
      </c>
      <c r="E2265" s="132" t="s">
        <v>24</v>
      </c>
      <c r="F2265" s="97" t="str">
        <f ca="1">IF(OR(Market_Data[[#This Row],[Start Date]]="",Market_Data[[#This Row],[Completion Date]]=""),"Needs Validation",IF(Market_Data[[#This Row],[Start Date]]&gt;TODAY(),"Planned",IF(Market_Data[[#This Row],[Completion Date]]&lt;TODAY(),"Completed","Ongoing")))</f>
        <v>Ongoing</v>
      </c>
      <c r="G2265" s="324">
        <v>45214</v>
      </c>
      <c r="H2265" s="324">
        <v>47483</v>
      </c>
      <c r="I2265" s="325">
        <v>39000</v>
      </c>
      <c r="J226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65" s="133">
        <f>_xlfn.XLOOKUP(Market_Data[[#This Row],[Project Type]],tbl_assumptions_market[Project Category (RERA)],tbl_assumptions_market[Concrete Intensity
(m³ / sq m BUA)],"",0)</f>
        <v>0.45</v>
      </c>
      <c r="L2265" s="134">
        <f>ROUND(Market_Data[[#This Row],[Estimated Built Up Area (sq m)]]*Market_Data[[#This Row],[Concrete Intensity
(m³ / sq m)]],0)</f>
        <v>17550</v>
      </c>
      <c r="M2265" s="135">
        <f>_xlfn.XLOOKUP(Market_Data[[#This Row],[District]],tbl_district_price[District],tbl_district_price[Standard Price
(INR/m³)],"",0)</f>
        <v>6200</v>
      </c>
      <c r="N2265" s="364">
        <f>IF(OR(Market_Data[[#This Row],[Estimated Concrete Demand (m³)]]="",Market_Data[[#This Row],[Avg Price per (₹ / m³)]]=""),"",Market_Data[[#This Row],[Estimated Concrete Demand (m³)]]*Market_Data[[#This Row],[Avg Price per (₹ / m³)]]/10000000)</f>
        <v>10.881</v>
      </c>
      <c r="O2265" s="97" t="str">
        <f>IF(Market_Data[[#This Row],[Estimated Concrete Demand (m³)]]="","",
IF(Market_Data[[#This Row],[Estimated Concrete Demand (m³)]]&lt;10000,"Small",
IF(Market_Data[[#This Row],[Estimated Concrete Demand (m³)]]&lt;25000,"Medium",
IF(Market_Data[[#This Row],[Estimated Concrete Demand (m³)]]&lt;100000,"Large","Mega"))))</f>
        <v>Medium</v>
      </c>
      <c r="P2265" s="287" t="str">
        <f t="shared" si="37"/>
        <v>GujRERA</v>
      </c>
    </row>
    <row r="2266" spans="1:16">
      <c r="A2266" s="129" t="str">
        <f>_xlfn.XLOOKUP(B2266,$S$9:$S$14,$T$9:$T$14)&amp;"-"&amp;
IF(E2266="Residential/Group Housing","RES",
IF(E2266="Commercial","COM",
IF(E2266="Mixed Development","MIX",
IF(E2266="Plotted Development","PLT","OTH"))))
&amp;"-"&amp;TEXT(COUNTIFS($B$9:B2266,B2266,$E$9:E2266,E2266),"0000")</f>
        <v>SUR-COM-0360</v>
      </c>
      <c r="B2266" s="322" t="s">
        <v>34</v>
      </c>
      <c r="C2266" s="322" t="s">
        <v>34</v>
      </c>
      <c r="D2266" s="323" t="s">
        <v>2456</v>
      </c>
      <c r="E2266" s="132" t="s">
        <v>23</v>
      </c>
      <c r="F2266" s="97" t="str">
        <f ca="1">IF(OR(Market_Data[[#This Row],[Start Date]]="",Market_Data[[#This Row],[Completion Date]]=""),"Needs Validation",IF(Market_Data[[#This Row],[Start Date]]&gt;TODAY(),"Planned",IF(Market_Data[[#This Row],[Completion Date]]&lt;TODAY(),"Completed","Ongoing")))</f>
        <v>Completed</v>
      </c>
      <c r="G2266" s="324">
        <v>42616</v>
      </c>
      <c r="H2266" s="324">
        <v>44377</v>
      </c>
      <c r="I2266" s="325">
        <v>10300</v>
      </c>
      <c r="J226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66" s="133">
        <f>_xlfn.XLOOKUP(Market_Data[[#This Row],[Project Type]],tbl_assumptions_market[Project Category (RERA)],tbl_assumptions_market[Concrete Intensity
(m³ / sq m BUA)],"",0)</f>
        <v>0.5</v>
      </c>
      <c r="L2266" s="134">
        <f>ROUND(Market_Data[[#This Row],[Estimated Built Up Area (sq m)]]*Market_Data[[#This Row],[Concrete Intensity
(m³ / sq m)]],0)</f>
        <v>5150</v>
      </c>
      <c r="M2266" s="135">
        <f>_xlfn.XLOOKUP(Market_Data[[#This Row],[District]],tbl_district_price[District],tbl_district_price[Standard Price
(INR/m³)],"",0)</f>
        <v>6200</v>
      </c>
      <c r="N2266" s="364">
        <f>IF(OR(Market_Data[[#This Row],[Estimated Concrete Demand (m³)]]="",Market_Data[[#This Row],[Avg Price per (₹ / m³)]]=""),"",Market_Data[[#This Row],[Estimated Concrete Demand (m³)]]*Market_Data[[#This Row],[Avg Price per (₹ / m³)]]/10000000)</f>
        <v>3.1930000000000001</v>
      </c>
      <c r="O2266" s="97" t="str">
        <f>IF(Market_Data[[#This Row],[Estimated Concrete Demand (m³)]]="","",
IF(Market_Data[[#This Row],[Estimated Concrete Demand (m³)]]&lt;10000,"Small",
IF(Market_Data[[#This Row],[Estimated Concrete Demand (m³)]]&lt;25000,"Medium",
IF(Market_Data[[#This Row],[Estimated Concrete Demand (m³)]]&lt;100000,"Large","Mega"))))</f>
        <v>Small</v>
      </c>
      <c r="P2266" s="287" t="str">
        <f t="shared" si="37"/>
        <v>GujRERA</v>
      </c>
    </row>
    <row r="2267" spans="1:16">
      <c r="A2267" s="129" t="str">
        <f>_xlfn.XLOOKUP(B2267,$S$9:$S$14,$T$9:$T$14)&amp;"-"&amp;
IF(E2267="Residential/Group Housing","RES",
IF(E2267="Commercial","COM",
IF(E2267="Mixed Development","MIX",
IF(E2267="Plotted Development","PLT","OTH"))))
&amp;"-"&amp;TEXT(COUNTIFS($B$9:B2267,B2267,$E$9:E2267,E2267),"0000")</f>
        <v>SUR-RES-0761</v>
      </c>
      <c r="B2267" s="322" t="s">
        <v>34</v>
      </c>
      <c r="C2267" s="322" t="s">
        <v>34</v>
      </c>
      <c r="D2267" s="323" t="s">
        <v>2457</v>
      </c>
      <c r="E2267" s="132" t="s">
        <v>24</v>
      </c>
      <c r="F2267" s="97" t="str">
        <f ca="1">IF(OR(Market_Data[[#This Row],[Start Date]]="",Market_Data[[#This Row],[Completion Date]]=""),"Needs Validation",IF(Market_Data[[#This Row],[Start Date]]&gt;TODAY(),"Planned",IF(Market_Data[[#This Row],[Completion Date]]&lt;TODAY(),"Completed","Ongoing")))</f>
        <v>Ongoing</v>
      </c>
      <c r="G2267" s="324">
        <v>44852</v>
      </c>
      <c r="H2267" s="324">
        <v>47118</v>
      </c>
      <c r="I2267" s="325">
        <v>21900</v>
      </c>
      <c r="J226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67" s="133">
        <f>_xlfn.XLOOKUP(Market_Data[[#This Row],[Project Type]],tbl_assumptions_market[Project Category (RERA)],tbl_assumptions_market[Concrete Intensity
(m³ / sq m BUA)],"",0)</f>
        <v>0.45</v>
      </c>
      <c r="L2267" s="134">
        <f>ROUND(Market_Data[[#This Row],[Estimated Built Up Area (sq m)]]*Market_Data[[#This Row],[Concrete Intensity
(m³ / sq m)]],0)</f>
        <v>9855</v>
      </c>
      <c r="M2267" s="135">
        <f>_xlfn.XLOOKUP(Market_Data[[#This Row],[District]],tbl_district_price[District],tbl_district_price[Standard Price
(INR/m³)],"",0)</f>
        <v>6200</v>
      </c>
      <c r="N2267" s="364">
        <f>IF(OR(Market_Data[[#This Row],[Estimated Concrete Demand (m³)]]="",Market_Data[[#This Row],[Avg Price per (₹ / m³)]]=""),"",Market_Data[[#This Row],[Estimated Concrete Demand (m³)]]*Market_Data[[#This Row],[Avg Price per (₹ / m³)]]/10000000)</f>
        <v>6.1101000000000001</v>
      </c>
      <c r="O2267" s="97" t="str">
        <f>IF(Market_Data[[#This Row],[Estimated Concrete Demand (m³)]]="","",
IF(Market_Data[[#This Row],[Estimated Concrete Demand (m³)]]&lt;10000,"Small",
IF(Market_Data[[#This Row],[Estimated Concrete Demand (m³)]]&lt;25000,"Medium",
IF(Market_Data[[#This Row],[Estimated Concrete Demand (m³)]]&lt;100000,"Large","Mega"))))</f>
        <v>Small</v>
      </c>
      <c r="P2267" s="287" t="str">
        <f t="shared" si="37"/>
        <v>GujRERA</v>
      </c>
    </row>
    <row r="2268" spans="1:16">
      <c r="A2268" s="129" t="str">
        <f>_xlfn.XLOOKUP(B2268,$S$9:$S$14,$T$9:$T$14)&amp;"-"&amp;
IF(E2268="Residential/Group Housing","RES",
IF(E2268="Commercial","COM",
IF(E2268="Mixed Development","MIX",
IF(E2268="Plotted Development","PLT","OTH"))))
&amp;"-"&amp;TEXT(COUNTIFS($B$9:B2268,B2268,$E$9:E2268,E2268),"0000")</f>
        <v>SUR-RES-0762</v>
      </c>
      <c r="B2268" s="322" t="s">
        <v>34</v>
      </c>
      <c r="C2268" s="322" t="s">
        <v>34</v>
      </c>
      <c r="D2268" s="323" t="s">
        <v>2458</v>
      </c>
      <c r="E2268" s="132" t="s">
        <v>24</v>
      </c>
      <c r="F2268" s="97" t="str">
        <f ca="1">IF(OR(Market_Data[[#This Row],[Start Date]]="",Market_Data[[#This Row],[Completion Date]]=""),"Needs Validation",IF(Market_Data[[#This Row],[Start Date]]&gt;TODAY(),"Planned",IF(Market_Data[[#This Row],[Completion Date]]&lt;TODAY(),"Completed","Ongoing")))</f>
        <v>Completed</v>
      </c>
      <c r="G2268" s="324">
        <v>42868</v>
      </c>
      <c r="H2268" s="324">
        <v>44104</v>
      </c>
      <c r="I2268" s="325">
        <v>40400</v>
      </c>
      <c r="J226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68" s="133">
        <f>_xlfn.XLOOKUP(Market_Data[[#This Row],[Project Type]],tbl_assumptions_market[Project Category (RERA)],tbl_assumptions_market[Concrete Intensity
(m³ / sq m BUA)],"",0)</f>
        <v>0.45</v>
      </c>
      <c r="L2268" s="134">
        <f>ROUND(Market_Data[[#This Row],[Estimated Built Up Area (sq m)]]*Market_Data[[#This Row],[Concrete Intensity
(m³ / sq m)]],0)</f>
        <v>18180</v>
      </c>
      <c r="M2268" s="135">
        <f>_xlfn.XLOOKUP(Market_Data[[#This Row],[District]],tbl_district_price[District],tbl_district_price[Standard Price
(INR/m³)],"",0)</f>
        <v>6200</v>
      </c>
      <c r="N2268" s="364">
        <f>IF(OR(Market_Data[[#This Row],[Estimated Concrete Demand (m³)]]="",Market_Data[[#This Row],[Avg Price per (₹ / m³)]]=""),"",Market_Data[[#This Row],[Estimated Concrete Demand (m³)]]*Market_Data[[#This Row],[Avg Price per (₹ / m³)]]/10000000)</f>
        <v>11.271599999999999</v>
      </c>
      <c r="O2268" s="97" t="str">
        <f>IF(Market_Data[[#This Row],[Estimated Concrete Demand (m³)]]="","",
IF(Market_Data[[#This Row],[Estimated Concrete Demand (m³)]]&lt;10000,"Small",
IF(Market_Data[[#This Row],[Estimated Concrete Demand (m³)]]&lt;25000,"Medium",
IF(Market_Data[[#This Row],[Estimated Concrete Demand (m³)]]&lt;100000,"Large","Mega"))))</f>
        <v>Medium</v>
      </c>
      <c r="P2268" s="287" t="str">
        <f t="shared" si="37"/>
        <v>GujRERA</v>
      </c>
    </row>
    <row r="2269" spans="1:16">
      <c r="A2269" s="129" t="str">
        <f>_xlfn.XLOOKUP(B2269,$S$9:$S$14,$T$9:$T$14)&amp;"-"&amp;
IF(E2269="Residential/Group Housing","RES",
IF(E2269="Commercial","COM",
IF(E2269="Mixed Development","MIX",
IF(E2269="Plotted Development","PLT","OTH"))))
&amp;"-"&amp;TEXT(COUNTIFS($B$9:B2269,B2269,$E$9:E2269,E2269),"0000")</f>
        <v>SUR-COM-0361</v>
      </c>
      <c r="B2269" s="322" t="s">
        <v>34</v>
      </c>
      <c r="C2269" s="322" t="s">
        <v>34</v>
      </c>
      <c r="D2269" s="323" t="s">
        <v>2459</v>
      </c>
      <c r="E2269" s="132" t="s">
        <v>23</v>
      </c>
      <c r="F2269" s="97" t="str">
        <f ca="1">IF(OR(Market_Data[[#This Row],[Start Date]]="",Market_Data[[#This Row],[Completion Date]]=""),"Needs Validation",IF(Market_Data[[#This Row],[Start Date]]&gt;TODAY(),"Planned",IF(Market_Data[[#This Row],[Completion Date]]&lt;TODAY(),"Completed","Ongoing")))</f>
        <v>Completed</v>
      </c>
      <c r="G2269" s="324">
        <v>42812</v>
      </c>
      <c r="H2269" s="324">
        <v>44742</v>
      </c>
      <c r="I2269" s="325">
        <v>22800</v>
      </c>
      <c r="J226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269" s="133">
        <f>_xlfn.XLOOKUP(Market_Data[[#This Row],[Project Type]],tbl_assumptions_market[Project Category (RERA)],tbl_assumptions_market[Concrete Intensity
(m³ / sq m BUA)],"",0)</f>
        <v>0.5</v>
      </c>
      <c r="L2269" s="134">
        <f>ROUND(Market_Data[[#This Row],[Estimated Built Up Area (sq m)]]*Market_Data[[#This Row],[Concrete Intensity
(m³ / sq m)]],0)</f>
        <v>11400</v>
      </c>
      <c r="M2269" s="135">
        <f>_xlfn.XLOOKUP(Market_Data[[#This Row],[District]],tbl_district_price[District],tbl_district_price[Standard Price
(INR/m³)],"",0)</f>
        <v>6200</v>
      </c>
      <c r="N2269" s="364">
        <f>IF(OR(Market_Data[[#This Row],[Estimated Concrete Demand (m³)]]="",Market_Data[[#This Row],[Avg Price per (₹ / m³)]]=""),"",Market_Data[[#This Row],[Estimated Concrete Demand (m³)]]*Market_Data[[#This Row],[Avg Price per (₹ / m³)]]/10000000)</f>
        <v>7.0679999999999996</v>
      </c>
      <c r="O2269" s="97" t="str">
        <f>IF(Market_Data[[#This Row],[Estimated Concrete Demand (m³)]]="","",
IF(Market_Data[[#This Row],[Estimated Concrete Demand (m³)]]&lt;10000,"Small",
IF(Market_Data[[#This Row],[Estimated Concrete Demand (m³)]]&lt;25000,"Medium",
IF(Market_Data[[#This Row],[Estimated Concrete Demand (m³)]]&lt;100000,"Large","Mega"))))</f>
        <v>Medium</v>
      </c>
      <c r="P2269" s="287" t="str">
        <f t="shared" si="37"/>
        <v>GujRERA</v>
      </c>
    </row>
    <row r="2270" spans="1:16">
      <c r="A2270" s="129" t="str">
        <f>_xlfn.XLOOKUP(B2270,$S$9:$S$14,$T$9:$T$14)&amp;"-"&amp;
IF(E2270="Residential/Group Housing","RES",
IF(E2270="Commercial","COM",
IF(E2270="Mixed Development","MIX",
IF(E2270="Plotted Development","PLT","OTH"))))
&amp;"-"&amp;TEXT(COUNTIFS($B$9:B2270,B2270,$E$9:E2270,E2270),"0000")</f>
        <v>SUR-COM-0362</v>
      </c>
      <c r="B2270" s="322" t="s">
        <v>34</v>
      </c>
      <c r="C2270" s="322" t="s">
        <v>34</v>
      </c>
      <c r="D2270" s="323" t="s">
        <v>2460</v>
      </c>
      <c r="E2270" s="132" t="s">
        <v>23</v>
      </c>
      <c r="F2270" s="97" t="str">
        <f ca="1">IF(OR(Market_Data[[#This Row],[Start Date]]="",Market_Data[[#This Row],[Completion Date]]=""),"Needs Validation",IF(Market_Data[[#This Row],[Start Date]]&gt;TODAY(),"Planned",IF(Market_Data[[#This Row],[Completion Date]]&lt;TODAY(),"Completed","Ongoing")))</f>
        <v>Ongoing</v>
      </c>
      <c r="G2270" s="324">
        <v>45083</v>
      </c>
      <c r="H2270" s="324">
        <v>47118</v>
      </c>
      <c r="I2270" s="325">
        <v>8900</v>
      </c>
      <c r="J227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70" s="133">
        <f>_xlfn.XLOOKUP(Market_Data[[#This Row],[Project Type]],tbl_assumptions_market[Project Category (RERA)],tbl_assumptions_market[Concrete Intensity
(m³ / sq m BUA)],"",0)</f>
        <v>0.5</v>
      </c>
      <c r="L2270" s="134">
        <f>ROUND(Market_Data[[#This Row],[Estimated Built Up Area (sq m)]]*Market_Data[[#This Row],[Concrete Intensity
(m³ / sq m)]],0)</f>
        <v>4450</v>
      </c>
      <c r="M2270" s="135">
        <f>_xlfn.XLOOKUP(Market_Data[[#This Row],[District]],tbl_district_price[District],tbl_district_price[Standard Price
(INR/m³)],"",0)</f>
        <v>6200</v>
      </c>
      <c r="N2270" s="364">
        <f>IF(OR(Market_Data[[#This Row],[Estimated Concrete Demand (m³)]]="",Market_Data[[#This Row],[Avg Price per (₹ / m³)]]=""),"",Market_Data[[#This Row],[Estimated Concrete Demand (m³)]]*Market_Data[[#This Row],[Avg Price per (₹ / m³)]]/10000000)</f>
        <v>2.7589999999999999</v>
      </c>
      <c r="O2270" s="97" t="str">
        <f>IF(Market_Data[[#This Row],[Estimated Concrete Demand (m³)]]="","",
IF(Market_Data[[#This Row],[Estimated Concrete Demand (m³)]]&lt;10000,"Small",
IF(Market_Data[[#This Row],[Estimated Concrete Demand (m³)]]&lt;25000,"Medium",
IF(Market_Data[[#This Row],[Estimated Concrete Demand (m³)]]&lt;100000,"Large","Mega"))))</f>
        <v>Small</v>
      </c>
      <c r="P2270" s="287" t="str">
        <f t="shared" si="37"/>
        <v>GujRERA</v>
      </c>
    </row>
    <row r="2271" spans="1:16">
      <c r="A2271" s="129" t="str">
        <f>_xlfn.XLOOKUP(B2271,$S$9:$S$14,$T$9:$T$14)&amp;"-"&amp;
IF(E2271="Residential/Group Housing","RES",
IF(E2271="Commercial","COM",
IF(E2271="Mixed Development","MIX",
IF(E2271="Plotted Development","PLT","OTH"))))
&amp;"-"&amp;TEXT(COUNTIFS($B$9:B2271,B2271,$E$9:E2271,E2271),"0000")</f>
        <v>SUR-PLT-0439</v>
      </c>
      <c r="B2271" s="322" t="s">
        <v>34</v>
      </c>
      <c r="C2271" s="322" t="s">
        <v>34</v>
      </c>
      <c r="D2271" s="323" t="s">
        <v>2461</v>
      </c>
      <c r="E2271" s="132" t="s">
        <v>26</v>
      </c>
      <c r="F2271" s="97" t="str">
        <f ca="1">IF(OR(Market_Data[[#This Row],[Start Date]]="",Market_Data[[#This Row],[Completion Date]]=""),"Needs Validation",IF(Market_Data[[#This Row],[Start Date]]&gt;TODAY(),"Planned",IF(Market_Data[[#This Row],[Completion Date]]&lt;TODAY(),"Completed","Ongoing")))</f>
        <v>Completed</v>
      </c>
      <c r="G2271" s="324">
        <v>44353</v>
      </c>
      <c r="H2271" s="324">
        <v>45747</v>
      </c>
      <c r="I2271" s="325">
        <v>4000</v>
      </c>
      <c r="J227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71" s="133">
        <f>_xlfn.XLOOKUP(Market_Data[[#This Row],[Project Type]],tbl_assumptions_market[Project Category (RERA)],tbl_assumptions_market[Concrete Intensity
(m³ / sq m BUA)],"",0)</f>
        <v>0.18</v>
      </c>
      <c r="L2271" s="134">
        <f>ROUND(Market_Data[[#This Row],[Estimated Built Up Area (sq m)]]*Market_Data[[#This Row],[Concrete Intensity
(m³ / sq m)]],0)</f>
        <v>720</v>
      </c>
      <c r="M2271" s="135">
        <f>_xlfn.XLOOKUP(Market_Data[[#This Row],[District]],tbl_district_price[District],tbl_district_price[Standard Price
(INR/m³)],"",0)</f>
        <v>6200</v>
      </c>
      <c r="N2271" s="364">
        <f>IF(OR(Market_Data[[#This Row],[Estimated Concrete Demand (m³)]]="",Market_Data[[#This Row],[Avg Price per (₹ / m³)]]=""),"",Market_Data[[#This Row],[Estimated Concrete Demand (m³)]]*Market_Data[[#This Row],[Avg Price per (₹ / m³)]]/10000000)</f>
        <v>0.44640000000000002</v>
      </c>
      <c r="O2271" s="97" t="str">
        <f>IF(Market_Data[[#This Row],[Estimated Concrete Demand (m³)]]="","",
IF(Market_Data[[#This Row],[Estimated Concrete Demand (m³)]]&lt;10000,"Small",
IF(Market_Data[[#This Row],[Estimated Concrete Demand (m³)]]&lt;25000,"Medium",
IF(Market_Data[[#This Row],[Estimated Concrete Demand (m³)]]&lt;100000,"Large","Mega"))))</f>
        <v>Small</v>
      </c>
      <c r="P2271" s="287" t="str">
        <f t="shared" si="37"/>
        <v>GujRERA</v>
      </c>
    </row>
    <row r="2272" spans="1:16">
      <c r="A2272" s="129" t="str">
        <f>_xlfn.XLOOKUP(B2272,$S$9:$S$14,$T$9:$T$14)&amp;"-"&amp;
IF(E2272="Residential/Group Housing","RES",
IF(E2272="Commercial","COM",
IF(E2272="Mixed Development","MIX",
IF(E2272="Plotted Development","PLT","OTH"))))
&amp;"-"&amp;TEXT(COUNTIFS($B$9:B2272,B2272,$E$9:E2272,E2272),"0000")</f>
        <v>SUR-PLT-0440</v>
      </c>
      <c r="B2272" s="322" t="s">
        <v>34</v>
      </c>
      <c r="C2272" s="322" t="s">
        <v>34</v>
      </c>
      <c r="D2272" s="323" t="s">
        <v>2462</v>
      </c>
      <c r="E2272" s="132" t="s">
        <v>26</v>
      </c>
      <c r="F2272" s="97" t="str">
        <f ca="1">IF(OR(Market_Data[[#This Row],[Start Date]]="",Market_Data[[#This Row],[Completion Date]]=""),"Needs Validation",IF(Market_Data[[#This Row],[Start Date]]&gt;TODAY(),"Planned",IF(Market_Data[[#This Row],[Completion Date]]&lt;TODAY(),"Completed","Ongoing")))</f>
        <v>Ongoing</v>
      </c>
      <c r="G2272" s="324">
        <v>45225</v>
      </c>
      <c r="H2272" s="324">
        <v>46752</v>
      </c>
      <c r="I2272" s="325">
        <v>39900</v>
      </c>
      <c r="J227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272" s="133">
        <f>_xlfn.XLOOKUP(Market_Data[[#This Row],[Project Type]],tbl_assumptions_market[Project Category (RERA)],tbl_assumptions_market[Concrete Intensity
(m³ / sq m BUA)],"",0)</f>
        <v>0.18</v>
      </c>
      <c r="L2272" s="134">
        <f>ROUND(Market_Data[[#This Row],[Estimated Built Up Area (sq m)]]*Market_Data[[#This Row],[Concrete Intensity
(m³ / sq m)]],0)</f>
        <v>7182</v>
      </c>
      <c r="M2272" s="135">
        <f>_xlfn.XLOOKUP(Market_Data[[#This Row],[District]],tbl_district_price[District],tbl_district_price[Standard Price
(INR/m³)],"",0)</f>
        <v>6200</v>
      </c>
      <c r="N2272" s="364">
        <f>IF(OR(Market_Data[[#This Row],[Estimated Concrete Demand (m³)]]="",Market_Data[[#This Row],[Avg Price per (₹ / m³)]]=""),"",Market_Data[[#This Row],[Estimated Concrete Demand (m³)]]*Market_Data[[#This Row],[Avg Price per (₹ / m³)]]/10000000)</f>
        <v>4.4528400000000001</v>
      </c>
      <c r="O2272" s="97" t="str">
        <f>IF(Market_Data[[#This Row],[Estimated Concrete Demand (m³)]]="","",
IF(Market_Data[[#This Row],[Estimated Concrete Demand (m³)]]&lt;10000,"Small",
IF(Market_Data[[#This Row],[Estimated Concrete Demand (m³)]]&lt;25000,"Medium",
IF(Market_Data[[#This Row],[Estimated Concrete Demand (m³)]]&lt;100000,"Large","Mega"))))</f>
        <v>Small</v>
      </c>
      <c r="P2272" s="287" t="str">
        <f t="shared" si="37"/>
        <v>GujRERA</v>
      </c>
    </row>
    <row r="2273" spans="1:16">
      <c r="A2273" s="129" t="str">
        <f>_xlfn.XLOOKUP(B2273,$S$9:$S$14,$T$9:$T$14)&amp;"-"&amp;
IF(E2273="Residential/Group Housing","RES",
IF(E2273="Commercial","COM",
IF(E2273="Mixed Development","MIX",
IF(E2273="Plotted Development","PLT","OTH"))))
&amp;"-"&amp;TEXT(COUNTIFS($B$9:B2273,B2273,$E$9:E2273,E2273),"0000")</f>
        <v>SUR-RES-0763</v>
      </c>
      <c r="B2273" s="322" t="s">
        <v>34</v>
      </c>
      <c r="C2273" s="322" t="s">
        <v>34</v>
      </c>
      <c r="D2273" s="323" t="s">
        <v>2463</v>
      </c>
      <c r="E2273" s="132" t="s">
        <v>24</v>
      </c>
      <c r="F2273" s="97" t="str">
        <f ca="1">IF(OR(Market_Data[[#This Row],[Start Date]]="",Market_Data[[#This Row],[Completion Date]]=""),"Needs Validation",IF(Market_Data[[#This Row],[Start Date]]&gt;TODAY(),"Planned",IF(Market_Data[[#This Row],[Completion Date]]&lt;TODAY(),"Completed","Ongoing")))</f>
        <v>Completed</v>
      </c>
      <c r="G2273" s="324">
        <v>41730</v>
      </c>
      <c r="H2273" s="324">
        <v>45046</v>
      </c>
      <c r="I2273" s="325">
        <v>56000</v>
      </c>
      <c r="J227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73" s="133">
        <f>_xlfn.XLOOKUP(Market_Data[[#This Row],[Project Type]],tbl_assumptions_market[Project Category (RERA)],tbl_assumptions_market[Concrete Intensity
(m³ / sq m BUA)],"",0)</f>
        <v>0.45</v>
      </c>
      <c r="L2273" s="134">
        <f>ROUND(Market_Data[[#This Row],[Estimated Built Up Area (sq m)]]*Market_Data[[#This Row],[Concrete Intensity
(m³ / sq m)]],0)</f>
        <v>25200</v>
      </c>
      <c r="M2273" s="135">
        <f>_xlfn.XLOOKUP(Market_Data[[#This Row],[District]],tbl_district_price[District],tbl_district_price[Standard Price
(INR/m³)],"",0)</f>
        <v>6200</v>
      </c>
      <c r="N2273" s="364">
        <f>IF(OR(Market_Data[[#This Row],[Estimated Concrete Demand (m³)]]="",Market_Data[[#This Row],[Avg Price per (₹ / m³)]]=""),"",Market_Data[[#This Row],[Estimated Concrete Demand (m³)]]*Market_Data[[#This Row],[Avg Price per (₹ / m³)]]/10000000)</f>
        <v>15.624000000000001</v>
      </c>
      <c r="O2273" s="97" t="str">
        <f>IF(Market_Data[[#This Row],[Estimated Concrete Demand (m³)]]="","",
IF(Market_Data[[#This Row],[Estimated Concrete Demand (m³)]]&lt;10000,"Small",
IF(Market_Data[[#This Row],[Estimated Concrete Demand (m³)]]&lt;25000,"Medium",
IF(Market_Data[[#This Row],[Estimated Concrete Demand (m³)]]&lt;100000,"Large","Mega"))))</f>
        <v>Large</v>
      </c>
      <c r="P2273" s="287" t="str">
        <f t="shared" si="37"/>
        <v>GujRERA</v>
      </c>
    </row>
    <row r="2274" spans="1:16">
      <c r="A2274" s="129" t="str">
        <f>_xlfn.XLOOKUP(B2274,$S$9:$S$14,$T$9:$T$14)&amp;"-"&amp;
IF(E2274="Residential/Group Housing","RES",
IF(E2274="Commercial","COM",
IF(E2274="Mixed Development","MIX",
IF(E2274="Plotted Development","PLT","OTH"))))
&amp;"-"&amp;TEXT(COUNTIFS($B$9:B2274,B2274,$E$9:E2274,E2274),"0000")</f>
        <v>SUR-COM-0363</v>
      </c>
      <c r="B2274" s="322" t="s">
        <v>34</v>
      </c>
      <c r="C2274" s="322" t="s">
        <v>34</v>
      </c>
      <c r="D2274" s="323" t="s">
        <v>2464</v>
      </c>
      <c r="E2274" s="132" t="s">
        <v>23</v>
      </c>
      <c r="F2274" s="97" t="str">
        <f ca="1">IF(OR(Market_Data[[#This Row],[Start Date]]="",Market_Data[[#This Row],[Completion Date]]=""),"Needs Validation",IF(Market_Data[[#This Row],[Start Date]]&gt;TODAY(),"Planned",IF(Market_Data[[#This Row],[Completion Date]]&lt;TODAY(),"Completed","Ongoing")))</f>
        <v>Completed</v>
      </c>
      <c r="G2274" s="324">
        <v>42856</v>
      </c>
      <c r="H2274" s="324">
        <v>44195</v>
      </c>
      <c r="I2274" s="325">
        <v>14700</v>
      </c>
      <c r="J227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74" s="133">
        <f>_xlfn.XLOOKUP(Market_Data[[#This Row],[Project Type]],tbl_assumptions_market[Project Category (RERA)],tbl_assumptions_market[Concrete Intensity
(m³ / sq m BUA)],"",0)</f>
        <v>0.5</v>
      </c>
      <c r="L2274" s="134">
        <f>ROUND(Market_Data[[#This Row],[Estimated Built Up Area (sq m)]]*Market_Data[[#This Row],[Concrete Intensity
(m³ / sq m)]],0)</f>
        <v>7350</v>
      </c>
      <c r="M2274" s="135">
        <f>_xlfn.XLOOKUP(Market_Data[[#This Row],[District]],tbl_district_price[District],tbl_district_price[Standard Price
(INR/m³)],"",0)</f>
        <v>6200</v>
      </c>
      <c r="N2274" s="364">
        <f>IF(OR(Market_Data[[#This Row],[Estimated Concrete Demand (m³)]]="",Market_Data[[#This Row],[Avg Price per (₹ / m³)]]=""),"",Market_Data[[#This Row],[Estimated Concrete Demand (m³)]]*Market_Data[[#This Row],[Avg Price per (₹ / m³)]]/10000000)</f>
        <v>4.5570000000000004</v>
      </c>
      <c r="O2274" s="97" t="str">
        <f>IF(Market_Data[[#This Row],[Estimated Concrete Demand (m³)]]="","",
IF(Market_Data[[#This Row],[Estimated Concrete Demand (m³)]]&lt;10000,"Small",
IF(Market_Data[[#This Row],[Estimated Concrete Demand (m³)]]&lt;25000,"Medium",
IF(Market_Data[[#This Row],[Estimated Concrete Demand (m³)]]&lt;100000,"Large","Mega"))))</f>
        <v>Small</v>
      </c>
      <c r="P2274" s="287" t="str">
        <f t="shared" si="37"/>
        <v>GujRERA</v>
      </c>
    </row>
    <row r="2275" spans="1:16">
      <c r="A2275" s="129" t="str">
        <f>_xlfn.XLOOKUP(B2275,$S$9:$S$14,$T$9:$T$14)&amp;"-"&amp;
IF(E2275="Residential/Group Housing","RES",
IF(E2275="Commercial","COM",
IF(E2275="Mixed Development","MIX",
IF(E2275="Plotted Development","PLT","OTH"))))
&amp;"-"&amp;TEXT(COUNTIFS($B$9:B2275,B2275,$E$9:E2275,E2275),"0000")</f>
        <v>SUR-COM-0364</v>
      </c>
      <c r="B2275" s="322" t="s">
        <v>34</v>
      </c>
      <c r="C2275" s="322" t="s">
        <v>34</v>
      </c>
      <c r="D2275" s="323" t="s">
        <v>2465</v>
      </c>
      <c r="E2275" s="132" t="s">
        <v>23</v>
      </c>
      <c r="F2275" s="97" t="str">
        <f ca="1">IF(OR(Market_Data[[#This Row],[Start Date]]="",Market_Data[[#This Row],[Completion Date]]=""),"Needs Validation",IF(Market_Data[[#This Row],[Start Date]]&gt;TODAY(),"Planned",IF(Market_Data[[#This Row],[Completion Date]]&lt;TODAY(),"Completed","Ongoing")))</f>
        <v>Completed</v>
      </c>
      <c r="G2275" s="324">
        <v>43115</v>
      </c>
      <c r="H2275" s="324">
        <v>43876</v>
      </c>
      <c r="I2275" s="325">
        <v>16600</v>
      </c>
      <c r="J227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75" s="133">
        <f>_xlfn.XLOOKUP(Market_Data[[#This Row],[Project Type]],tbl_assumptions_market[Project Category (RERA)],tbl_assumptions_market[Concrete Intensity
(m³ / sq m BUA)],"",0)</f>
        <v>0.5</v>
      </c>
      <c r="L2275" s="134">
        <f>ROUND(Market_Data[[#This Row],[Estimated Built Up Area (sq m)]]*Market_Data[[#This Row],[Concrete Intensity
(m³ / sq m)]],0)</f>
        <v>8300</v>
      </c>
      <c r="M2275" s="135">
        <f>_xlfn.XLOOKUP(Market_Data[[#This Row],[District]],tbl_district_price[District],tbl_district_price[Standard Price
(INR/m³)],"",0)</f>
        <v>6200</v>
      </c>
      <c r="N2275" s="364">
        <f>IF(OR(Market_Data[[#This Row],[Estimated Concrete Demand (m³)]]="",Market_Data[[#This Row],[Avg Price per (₹ / m³)]]=""),"",Market_Data[[#This Row],[Estimated Concrete Demand (m³)]]*Market_Data[[#This Row],[Avg Price per (₹ / m³)]]/10000000)</f>
        <v>5.1459999999999999</v>
      </c>
      <c r="O2275" s="97" t="str">
        <f>IF(Market_Data[[#This Row],[Estimated Concrete Demand (m³)]]="","",
IF(Market_Data[[#This Row],[Estimated Concrete Demand (m³)]]&lt;10000,"Small",
IF(Market_Data[[#This Row],[Estimated Concrete Demand (m³)]]&lt;25000,"Medium",
IF(Market_Data[[#This Row],[Estimated Concrete Demand (m³)]]&lt;100000,"Large","Mega"))))</f>
        <v>Small</v>
      </c>
      <c r="P2275" s="287" t="str">
        <f t="shared" si="37"/>
        <v>GujRERA</v>
      </c>
    </row>
    <row r="2276" spans="1:16">
      <c r="A2276" s="129" t="str">
        <f>_xlfn.XLOOKUP(B2276,$S$9:$S$14,$T$9:$T$14)&amp;"-"&amp;
IF(E2276="Residential/Group Housing","RES",
IF(E2276="Commercial","COM",
IF(E2276="Mixed Development","MIX",
IF(E2276="Plotted Development","PLT","OTH"))))
&amp;"-"&amp;TEXT(COUNTIFS($B$9:B2276,B2276,$E$9:E2276,E2276),"0000")</f>
        <v>SUR-RES-0764</v>
      </c>
      <c r="B2276" s="322" t="s">
        <v>34</v>
      </c>
      <c r="C2276" s="322" t="s">
        <v>34</v>
      </c>
      <c r="D2276" s="323" t="s">
        <v>2466</v>
      </c>
      <c r="E2276" s="132" t="s">
        <v>24</v>
      </c>
      <c r="F2276" s="97" t="str">
        <f ca="1">IF(OR(Market_Data[[#This Row],[Start Date]]="",Market_Data[[#This Row],[Completion Date]]=""),"Needs Validation",IF(Market_Data[[#This Row],[Start Date]]&gt;TODAY(),"Planned",IF(Market_Data[[#This Row],[Completion Date]]&lt;TODAY(),"Completed","Ongoing")))</f>
        <v>Ongoing</v>
      </c>
      <c r="G2276" s="324">
        <v>44699</v>
      </c>
      <c r="H2276" s="324">
        <v>46890</v>
      </c>
      <c r="I2276" s="325">
        <v>54200</v>
      </c>
      <c r="J227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76" s="133">
        <f>_xlfn.XLOOKUP(Market_Data[[#This Row],[Project Type]],tbl_assumptions_market[Project Category (RERA)],tbl_assumptions_market[Concrete Intensity
(m³ / sq m BUA)],"",0)</f>
        <v>0.45</v>
      </c>
      <c r="L2276" s="134">
        <f>ROUND(Market_Data[[#This Row],[Estimated Built Up Area (sq m)]]*Market_Data[[#This Row],[Concrete Intensity
(m³ / sq m)]],0)</f>
        <v>24390</v>
      </c>
      <c r="M2276" s="135">
        <f>_xlfn.XLOOKUP(Market_Data[[#This Row],[District]],tbl_district_price[District],tbl_district_price[Standard Price
(INR/m³)],"",0)</f>
        <v>6200</v>
      </c>
      <c r="N2276" s="364">
        <f>IF(OR(Market_Data[[#This Row],[Estimated Concrete Demand (m³)]]="",Market_Data[[#This Row],[Avg Price per (₹ / m³)]]=""),"",Market_Data[[#This Row],[Estimated Concrete Demand (m³)]]*Market_Data[[#This Row],[Avg Price per (₹ / m³)]]/10000000)</f>
        <v>15.1218</v>
      </c>
      <c r="O2276" s="97" t="str">
        <f>IF(Market_Data[[#This Row],[Estimated Concrete Demand (m³)]]="","",
IF(Market_Data[[#This Row],[Estimated Concrete Demand (m³)]]&lt;10000,"Small",
IF(Market_Data[[#This Row],[Estimated Concrete Demand (m³)]]&lt;25000,"Medium",
IF(Market_Data[[#This Row],[Estimated Concrete Demand (m³)]]&lt;100000,"Large","Mega"))))</f>
        <v>Medium</v>
      </c>
      <c r="P2276" s="287" t="str">
        <f t="shared" si="37"/>
        <v>GujRERA</v>
      </c>
    </row>
    <row r="2277" spans="1:16">
      <c r="A2277" s="129" t="str">
        <f>_xlfn.XLOOKUP(B2277,$S$9:$S$14,$T$9:$T$14)&amp;"-"&amp;
IF(E2277="Residential/Group Housing","RES",
IF(E2277="Commercial","COM",
IF(E2277="Mixed Development","MIX",
IF(E2277="Plotted Development","PLT","OTH"))))
&amp;"-"&amp;TEXT(COUNTIFS($B$9:B2277,B2277,$E$9:E2277,E2277),"0000")</f>
        <v>SUR-PLT-0441</v>
      </c>
      <c r="B2277" s="322" t="s">
        <v>34</v>
      </c>
      <c r="C2277" s="322" t="s">
        <v>34</v>
      </c>
      <c r="D2277" s="323" t="s">
        <v>2467</v>
      </c>
      <c r="E2277" s="132" t="s">
        <v>26</v>
      </c>
      <c r="F2277" s="97" t="str">
        <f ca="1">IF(OR(Market_Data[[#This Row],[Start Date]]="",Market_Data[[#This Row],[Completion Date]]=""),"Needs Validation",IF(Market_Data[[#This Row],[Start Date]]&gt;TODAY(),"Planned",IF(Market_Data[[#This Row],[Completion Date]]&lt;TODAY(),"Completed","Ongoing")))</f>
        <v>Ongoing</v>
      </c>
      <c r="G2277" s="324">
        <v>45217</v>
      </c>
      <c r="H2277" s="324">
        <v>46752</v>
      </c>
      <c r="I2277" s="325">
        <v>13300</v>
      </c>
      <c r="J227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77" s="133">
        <f>_xlfn.XLOOKUP(Market_Data[[#This Row],[Project Type]],tbl_assumptions_market[Project Category (RERA)],tbl_assumptions_market[Concrete Intensity
(m³ / sq m BUA)],"",0)</f>
        <v>0.18</v>
      </c>
      <c r="L2277" s="134">
        <f>ROUND(Market_Data[[#This Row],[Estimated Built Up Area (sq m)]]*Market_Data[[#This Row],[Concrete Intensity
(m³ / sq m)]],0)</f>
        <v>2394</v>
      </c>
      <c r="M2277" s="135">
        <f>_xlfn.XLOOKUP(Market_Data[[#This Row],[District]],tbl_district_price[District],tbl_district_price[Standard Price
(INR/m³)],"",0)</f>
        <v>6200</v>
      </c>
      <c r="N2277" s="364">
        <f>IF(OR(Market_Data[[#This Row],[Estimated Concrete Demand (m³)]]="",Market_Data[[#This Row],[Avg Price per (₹ / m³)]]=""),"",Market_Data[[#This Row],[Estimated Concrete Demand (m³)]]*Market_Data[[#This Row],[Avg Price per (₹ / m³)]]/10000000)</f>
        <v>1.48428</v>
      </c>
      <c r="O2277" s="97" t="str">
        <f>IF(Market_Data[[#This Row],[Estimated Concrete Demand (m³)]]="","",
IF(Market_Data[[#This Row],[Estimated Concrete Demand (m³)]]&lt;10000,"Small",
IF(Market_Data[[#This Row],[Estimated Concrete Demand (m³)]]&lt;25000,"Medium",
IF(Market_Data[[#This Row],[Estimated Concrete Demand (m³)]]&lt;100000,"Large","Mega"))))</f>
        <v>Small</v>
      </c>
      <c r="P2277" s="287" t="str">
        <f t="shared" si="37"/>
        <v>GujRERA</v>
      </c>
    </row>
    <row r="2278" spans="1:16">
      <c r="A2278" s="129" t="str">
        <f>_xlfn.XLOOKUP(B2278,$S$9:$S$14,$T$9:$T$14)&amp;"-"&amp;
IF(E2278="Residential/Group Housing","RES",
IF(E2278="Commercial","COM",
IF(E2278="Mixed Development","MIX",
IF(E2278="Plotted Development","PLT","OTH"))))
&amp;"-"&amp;TEXT(COUNTIFS($B$9:B2278,B2278,$E$9:E2278,E2278),"0000")</f>
        <v>SUR-COM-0365</v>
      </c>
      <c r="B2278" s="322" t="s">
        <v>34</v>
      </c>
      <c r="C2278" s="322" t="s">
        <v>34</v>
      </c>
      <c r="D2278" s="323" t="s">
        <v>2468</v>
      </c>
      <c r="E2278" s="132" t="s">
        <v>23</v>
      </c>
      <c r="F2278" s="97" t="str">
        <f ca="1">IF(OR(Market_Data[[#This Row],[Start Date]]="",Market_Data[[#This Row],[Completion Date]]=""),"Needs Validation",IF(Market_Data[[#This Row],[Start Date]]&gt;TODAY(),"Planned",IF(Market_Data[[#This Row],[Completion Date]]&lt;TODAY(),"Completed","Ongoing")))</f>
        <v>Completed</v>
      </c>
      <c r="G2278" s="324">
        <v>42501</v>
      </c>
      <c r="H2278" s="324">
        <v>43299</v>
      </c>
      <c r="I2278" s="325">
        <v>13600</v>
      </c>
      <c r="J227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78" s="133">
        <f>_xlfn.XLOOKUP(Market_Data[[#This Row],[Project Type]],tbl_assumptions_market[Project Category (RERA)],tbl_assumptions_market[Concrete Intensity
(m³ / sq m BUA)],"",0)</f>
        <v>0.5</v>
      </c>
      <c r="L2278" s="134">
        <f>ROUND(Market_Data[[#This Row],[Estimated Built Up Area (sq m)]]*Market_Data[[#This Row],[Concrete Intensity
(m³ / sq m)]],0)</f>
        <v>6800</v>
      </c>
      <c r="M2278" s="135">
        <f>_xlfn.XLOOKUP(Market_Data[[#This Row],[District]],tbl_district_price[District],tbl_district_price[Standard Price
(INR/m³)],"",0)</f>
        <v>6200</v>
      </c>
      <c r="N2278" s="364">
        <f>IF(OR(Market_Data[[#This Row],[Estimated Concrete Demand (m³)]]="",Market_Data[[#This Row],[Avg Price per (₹ / m³)]]=""),"",Market_Data[[#This Row],[Estimated Concrete Demand (m³)]]*Market_Data[[#This Row],[Avg Price per (₹ / m³)]]/10000000)</f>
        <v>4.2160000000000002</v>
      </c>
      <c r="O2278" s="97" t="str">
        <f>IF(Market_Data[[#This Row],[Estimated Concrete Demand (m³)]]="","",
IF(Market_Data[[#This Row],[Estimated Concrete Demand (m³)]]&lt;10000,"Small",
IF(Market_Data[[#This Row],[Estimated Concrete Demand (m³)]]&lt;25000,"Medium",
IF(Market_Data[[#This Row],[Estimated Concrete Demand (m³)]]&lt;100000,"Large","Mega"))))</f>
        <v>Small</v>
      </c>
      <c r="P2278" s="287" t="str">
        <f t="shared" si="37"/>
        <v>GujRERA</v>
      </c>
    </row>
    <row r="2279" spans="1:16">
      <c r="A2279" s="129" t="str">
        <f>_xlfn.XLOOKUP(B2279,$S$9:$S$14,$T$9:$T$14)&amp;"-"&amp;
IF(E2279="Residential/Group Housing","RES",
IF(E2279="Commercial","COM",
IF(E2279="Mixed Development","MIX",
IF(E2279="Plotted Development","PLT","OTH"))))
&amp;"-"&amp;TEXT(COUNTIFS($B$9:B2279,B2279,$E$9:E2279,E2279),"0000")</f>
        <v>SUR-MIX-0391</v>
      </c>
      <c r="B2279" s="322" t="s">
        <v>34</v>
      </c>
      <c r="C2279" s="322" t="s">
        <v>34</v>
      </c>
      <c r="D2279" s="323" t="s">
        <v>2469</v>
      </c>
      <c r="E2279" s="132" t="s">
        <v>25</v>
      </c>
      <c r="F2279" s="97" t="str">
        <f ca="1">IF(OR(Market_Data[[#This Row],[Start Date]]="",Market_Data[[#This Row],[Completion Date]]=""),"Needs Validation",IF(Market_Data[[#This Row],[Start Date]]&gt;TODAY(),"Planned",IF(Market_Data[[#This Row],[Completion Date]]&lt;TODAY(),"Completed","Ongoing")))</f>
        <v>Ongoing</v>
      </c>
      <c r="G2279" s="324">
        <v>45845</v>
      </c>
      <c r="H2279" s="324">
        <v>47848</v>
      </c>
      <c r="I2279" s="325">
        <v>54700</v>
      </c>
      <c r="J227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79" s="133">
        <f>_xlfn.XLOOKUP(Market_Data[[#This Row],[Project Type]],tbl_assumptions_market[Project Category (RERA)],tbl_assumptions_market[Concrete Intensity
(m³ / sq m BUA)],"",0)</f>
        <v>0.42</v>
      </c>
      <c r="L2279" s="134">
        <f>ROUND(Market_Data[[#This Row],[Estimated Built Up Area (sq m)]]*Market_Data[[#This Row],[Concrete Intensity
(m³ / sq m)]],0)</f>
        <v>22974</v>
      </c>
      <c r="M2279" s="135">
        <f>_xlfn.XLOOKUP(Market_Data[[#This Row],[District]],tbl_district_price[District],tbl_district_price[Standard Price
(INR/m³)],"",0)</f>
        <v>6200</v>
      </c>
      <c r="N2279" s="364">
        <f>IF(OR(Market_Data[[#This Row],[Estimated Concrete Demand (m³)]]="",Market_Data[[#This Row],[Avg Price per (₹ / m³)]]=""),"",Market_Data[[#This Row],[Estimated Concrete Demand (m³)]]*Market_Data[[#This Row],[Avg Price per (₹ / m³)]]/10000000)</f>
        <v>14.243880000000001</v>
      </c>
      <c r="O2279" s="97" t="str">
        <f>IF(Market_Data[[#This Row],[Estimated Concrete Demand (m³)]]="","",
IF(Market_Data[[#This Row],[Estimated Concrete Demand (m³)]]&lt;10000,"Small",
IF(Market_Data[[#This Row],[Estimated Concrete Demand (m³)]]&lt;25000,"Medium",
IF(Market_Data[[#This Row],[Estimated Concrete Demand (m³)]]&lt;100000,"Large","Mega"))))</f>
        <v>Medium</v>
      </c>
      <c r="P2279" s="287" t="str">
        <f t="shared" si="37"/>
        <v>GujRERA</v>
      </c>
    </row>
    <row r="2280" spans="1:16">
      <c r="A2280" s="129" t="str">
        <f>_xlfn.XLOOKUP(B2280,$S$9:$S$14,$T$9:$T$14)&amp;"-"&amp;
IF(E2280="Residential/Group Housing","RES",
IF(E2280="Commercial","COM",
IF(E2280="Mixed Development","MIX",
IF(E2280="Plotted Development","PLT","OTH"))))
&amp;"-"&amp;TEXT(COUNTIFS($B$9:B2280,B2280,$E$9:E2280,E2280),"0000")</f>
        <v>SUR-COM-0366</v>
      </c>
      <c r="B2280" s="322" t="s">
        <v>34</v>
      </c>
      <c r="C2280" s="322" t="s">
        <v>34</v>
      </c>
      <c r="D2280" s="323" t="s">
        <v>2470</v>
      </c>
      <c r="E2280" s="132" t="s">
        <v>23</v>
      </c>
      <c r="F2280" s="97" t="str">
        <f ca="1">IF(OR(Market_Data[[#This Row],[Start Date]]="",Market_Data[[#This Row],[Completion Date]]=""),"Needs Validation",IF(Market_Data[[#This Row],[Start Date]]&gt;TODAY(),"Planned",IF(Market_Data[[#This Row],[Completion Date]]&lt;TODAY(),"Completed","Ongoing")))</f>
        <v>Ongoing</v>
      </c>
      <c r="G2280" s="324">
        <v>44686</v>
      </c>
      <c r="H2280" s="324">
        <v>46478</v>
      </c>
      <c r="I2280" s="325">
        <v>22700</v>
      </c>
      <c r="J228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280" s="133">
        <f>_xlfn.XLOOKUP(Market_Data[[#This Row],[Project Type]],tbl_assumptions_market[Project Category (RERA)],tbl_assumptions_market[Concrete Intensity
(m³ / sq m BUA)],"",0)</f>
        <v>0.5</v>
      </c>
      <c r="L2280" s="134">
        <f>ROUND(Market_Data[[#This Row],[Estimated Built Up Area (sq m)]]*Market_Data[[#This Row],[Concrete Intensity
(m³ / sq m)]],0)</f>
        <v>11350</v>
      </c>
      <c r="M2280" s="135">
        <f>_xlfn.XLOOKUP(Market_Data[[#This Row],[District]],tbl_district_price[District],tbl_district_price[Standard Price
(INR/m³)],"",0)</f>
        <v>6200</v>
      </c>
      <c r="N2280" s="364">
        <f>IF(OR(Market_Data[[#This Row],[Estimated Concrete Demand (m³)]]="",Market_Data[[#This Row],[Avg Price per (₹ / m³)]]=""),"",Market_Data[[#This Row],[Estimated Concrete Demand (m³)]]*Market_Data[[#This Row],[Avg Price per (₹ / m³)]]/10000000)</f>
        <v>7.0369999999999999</v>
      </c>
      <c r="O2280" s="97" t="str">
        <f>IF(Market_Data[[#This Row],[Estimated Concrete Demand (m³)]]="","",
IF(Market_Data[[#This Row],[Estimated Concrete Demand (m³)]]&lt;10000,"Small",
IF(Market_Data[[#This Row],[Estimated Concrete Demand (m³)]]&lt;25000,"Medium",
IF(Market_Data[[#This Row],[Estimated Concrete Demand (m³)]]&lt;100000,"Large","Mega"))))</f>
        <v>Medium</v>
      </c>
      <c r="P2280" s="287" t="str">
        <f t="shared" si="37"/>
        <v>GujRERA</v>
      </c>
    </row>
    <row r="2281" spans="1:16">
      <c r="A2281" s="129" t="str">
        <f>_xlfn.XLOOKUP(B2281,$S$9:$S$14,$T$9:$T$14)&amp;"-"&amp;
IF(E2281="Residential/Group Housing","RES",
IF(E2281="Commercial","COM",
IF(E2281="Mixed Development","MIX",
IF(E2281="Plotted Development","PLT","OTH"))))
&amp;"-"&amp;TEXT(COUNTIFS($B$9:B2281,B2281,$E$9:E2281,E2281),"0000")</f>
        <v>SUR-COM-0367</v>
      </c>
      <c r="B2281" s="322" t="s">
        <v>34</v>
      </c>
      <c r="C2281" s="322" t="s">
        <v>34</v>
      </c>
      <c r="D2281" s="323" t="s">
        <v>2471</v>
      </c>
      <c r="E2281" s="132" t="s">
        <v>23</v>
      </c>
      <c r="F2281" s="97" t="str">
        <f ca="1">IF(OR(Market_Data[[#This Row],[Start Date]]="",Market_Data[[#This Row],[Completion Date]]=""),"Needs Validation",IF(Market_Data[[#This Row],[Start Date]]&gt;TODAY(),"Planned",IF(Market_Data[[#This Row],[Completion Date]]&lt;TODAY(),"Completed","Ongoing")))</f>
        <v>Ongoing</v>
      </c>
      <c r="G2281" s="324">
        <v>43390</v>
      </c>
      <c r="H2281" s="324">
        <v>49856</v>
      </c>
      <c r="I2281" s="325">
        <v>19000</v>
      </c>
      <c r="J228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81" s="133">
        <f>_xlfn.XLOOKUP(Market_Data[[#This Row],[Project Type]],tbl_assumptions_market[Project Category (RERA)],tbl_assumptions_market[Concrete Intensity
(m³ / sq m BUA)],"",0)</f>
        <v>0.5</v>
      </c>
      <c r="L2281" s="134">
        <f>ROUND(Market_Data[[#This Row],[Estimated Built Up Area (sq m)]]*Market_Data[[#This Row],[Concrete Intensity
(m³ / sq m)]],0)</f>
        <v>9500</v>
      </c>
      <c r="M2281" s="135">
        <f>_xlfn.XLOOKUP(Market_Data[[#This Row],[District]],tbl_district_price[District],tbl_district_price[Standard Price
(INR/m³)],"",0)</f>
        <v>6200</v>
      </c>
      <c r="N2281" s="364">
        <f>IF(OR(Market_Data[[#This Row],[Estimated Concrete Demand (m³)]]="",Market_Data[[#This Row],[Avg Price per (₹ / m³)]]=""),"",Market_Data[[#This Row],[Estimated Concrete Demand (m³)]]*Market_Data[[#This Row],[Avg Price per (₹ / m³)]]/10000000)</f>
        <v>5.89</v>
      </c>
      <c r="O2281" s="97" t="str">
        <f>IF(Market_Data[[#This Row],[Estimated Concrete Demand (m³)]]="","",
IF(Market_Data[[#This Row],[Estimated Concrete Demand (m³)]]&lt;10000,"Small",
IF(Market_Data[[#This Row],[Estimated Concrete Demand (m³)]]&lt;25000,"Medium",
IF(Market_Data[[#This Row],[Estimated Concrete Demand (m³)]]&lt;100000,"Large","Mega"))))</f>
        <v>Small</v>
      </c>
      <c r="P2281" s="287" t="str">
        <f t="shared" si="37"/>
        <v>GujRERA</v>
      </c>
    </row>
    <row r="2282" spans="1:16">
      <c r="A2282" s="129" t="str">
        <f>_xlfn.XLOOKUP(B2282,$S$9:$S$14,$T$9:$T$14)&amp;"-"&amp;
IF(E2282="Residential/Group Housing","RES",
IF(E2282="Commercial","COM",
IF(E2282="Mixed Development","MIX",
IF(E2282="Plotted Development","PLT","OTH"))))
&amp;"-"&amp;TEXT(COUNTIFS($B$9:B2282,B2282,$E$9:E2282,E2282),"0000")</f>
        <v>SUR-COM-0368</v>
      </c>
      <c r="B2282" s="322" t="s">
        <v>34</v>
      </c>
      <c r="C2282" s="322" t="s">
        <v>34</v>
      </c>
      <c r="D2282" s="323" t="s">
        <v>2472</v>
      </c>
      <c r="E2282" s="132" t="s">
        <v>23</v>
      </c>
      <c r="F2282" s="97" t="str">
        <f ca="1">IF(OR(Market_Data[[#This Row],[Start Date]]="",Market_Data[[#This Row],[Completion Date]]=""),"Needs Validation",IF(Market_Data[[#This Row],[Start Date]]&gt;TODAY(),"Planned",IF(Market_Data[[#This Row],[Completion Date]]&lt;TODAY(),"Completed","Ongoing")))</f>
        <v>Completed</v>
      </c>
      <c r="G2282" s="324">
        <v>42948</v>
      </c>
      <c r="H2282" s="324">
        <v>45107</v>
      </c>
      <c r="I2282" s="325">
        <v>9400</v>
      </c>
      <c r="J228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82" s="133">
        <f>_xlfn.XLOOKUP(Market_Data[[#This Row],[Project Type]],tbl_assumptions_market[Project Category (RERA)],tbl_assumptions_market[Concrete Intensity
(m³ / sq m BUA)],"",0)</f>
        <v>0.5</v>
      </c>
      <c r="L2282" s="134">
        <f>ROUND(Market_Data[[#This Row],[Estimated Built Up Area (sq m)]]*Market_Data[[#This Row],[Concrete Intensity
(m³ / sq m)]],0)</f>
        <v>4700</v>
      </c>
      <c r="M2282" s="135">
        <f>_xlfn.XLOOKUP(Market_Data[[#This Row],[District]],tbl_district_price[District],tbl_district_price[Standard Price
(INR/m³)],"",0)</f>
        <v>6200</v>
      </c>
      <c r="N2282" s="364">
        <f>IF(OR(Market_Data[[#This Row],[Estimated Concrete Demand (m³)]]="",Market_Data[[#This Row],[Avg Price per (₹ / m³)]]=""),"",Market_Data[[#This Row],[Estimated Concrete Demand (m³)]]*Market_Data[[#This Row],[Avg Price per (₹ / m³)]]/10000000)</f>
        <v>2.9140000000000001</v>
      </c>
      <c r="O2282" s="97" t="str">
        <f>IF(Market_Data[[#This Row],[Estimated Concrete Demand (m³)]]="","",
IF(Market_Data[[#This Row],[Estimated Concrete Demand (m³)]]&lt;10000,"Small",
IF(Market_Data[[#This Row],[Estimated Concrete Demand (m³)]]&lt;25000,"Medium",
IF(Market_Data[[#This Row],[Estimated Concrete Demand (m³)]]&lt;100000,"Large","Mega"))))</f>
        <v>Small</v>
      </c>
      <c r="P2282" s="287" t="str">
        <f t="shared" si="37"/>
        <v>GujRERA</v>
      </c>
    </row>
    <row r="2283" spans="1:16">
      <c r="A2283" s="129" t="str">
        <f>_xlfn.XLOOKUP(B2283,$S$9:$S$14,$T$9:$T$14)&amp;"-"&amp;
IF(E2283="Residential/Group Housing","RES",
IF(E2283="Commercial","COM",
IF(E2283="Mixed Development","MIX",
IF(E2283="Plotted Development","PLT","OTH"))))
&amp;"-"&amp;TEXT(COUNTIFS($B$9:B2283,B2283,$E$9:E2283,E2283),"0000")</f>
        <v>SUR-MIX-0392</v>
      </c>
      <c r="B2283" s="322" t="s">
        <v>34</v>
      </c>
      <c r="C2283" s="322" t="s">
        <v>34</v>
      </c>
      <c r="D2283" s="323" t="s">
        <v>2473</v>
      </c>
      <c r="E2283" s="132" t="s">
        <v>25</v>
      </c>
      <c r="F2283" s="97" t="str">
        <f ca="1">IF(OR(Market_Data[[#This Row],[Start Date]]="",Market_Data[[#This Row],[Completion Date]]=""),"Needs Validation",IF(Market_Data[[#This Row],[Start Date]]&gt;TODAY(),"Planned",IF(Market_Data[[#This Row],[Completion Date]]&lt;TODAY(),"Completed","Ongoing")))</f>
        <v>Completed</v>
      </c>
      <c r="G2283" s="324">
        <v>43214</v>
      </c>
      <c r="H2283" s="324">
        <v>45107</v>
      </c>
      <c r="I2283" s="325">
        <v>28000</v>
      </c>
      <c r="J228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83" s="133">
        <f>_xlfn.XLOOKUP(Market_Data[[#This Row],[Project Type]],tbl_assumptions_market[Project Category (RERA)],tbl_assumptions_market[Concrete Intensity
(m³ / sq m BUA)],"",0)</f>
        <v>0.42</v>
      </c>
      <c r="L2283" s="134">
        <f>ROUND(Market_Data[[#This Row],[Estimated Built Up Area (sq m)]]*Market_Data[[#This Row],[Concrete Intensity
(m³ / sq m)]],0)</f>
        <v>11760</v>
      </c>
      <c r="M2283" s="135">
        <f>_xlfn.XLOOKUP(Market_Data[[#This Row],[District]],tbl_district_price[District],tbl_district_price[Standard Price
(INR/m³)],"",0)</f>
        <v>6200</v>
      </c>
      <c r="N2283" s="364">
        <f>IF(OR(Market_Data[[#This Row],[Estimated Concrete Demand (m³)]]="",Market_Data[[#This Row],[Avg Price per (₹ / m³)]]=""),"",Market_Data[[#This Row],[Estimated Concrete Demand (m³)]]*Market_Data[[#This Row],[Avg Price per (₹ / m³)]]/10000000)</f>
        <v>7.2911999999999999</v>
      </c>
      <c r="O2283" s="97" t="str">
        <f>IF(Market_Data[[#This Row],[Estimated Concrete Demand (m³)]]="","",
IF(Market_Data[[#This Row],[Estimated Concrete Demand (m³)]]&lt;10000,"Small",
IF(Market_Data[[#This Row],[Estimated Concrete Demand (m³)]]&lt;25000,"Medium",
IF(Market_Data[[#This Row],[Estimated Concrete Demand (m³)]]&lt;100000,"Large","Mega"))))</f>
        <v>Medium</v>
      </c>
      <c r="P2283" s="287" t="str">
        <f t="shared" si="37"/>
        <v>GujRERA</v>
      </c>
    </row>
    <row r="2284" spans="1:16">
      <c r="A2284" s="129" t="str">
        <f>_xlfn.XLOOKUP(B2284,$S$9:$S$14,$T$9:$T$14)&amp;"-"&amp;
IF(E2284="Residential/Group Housing","RES",
IF(E2284="Commercial","COM",
IF(E2284="Mixed Development","MIX",
IF(E2284="Plotted Development","PLT","OTH"))))
&amp;"-"&amp;TEXT(COUNTIFS($B$9:B2284,B2284,$E$9:E2284,E2284),"0000")</f>
        <v>SUR-RES-0765</v>
      </c>
      <c r="B2284" s="322" t="s">
        <v>34</v>
      </c>
      <c r="C2284" s="322" t="s">
        <v>34</v>
      </c>
      <c r="D2284" s="323" t="s">
        <v>10</v>
      </c>
      <c r="E2284" s="132" t="s">
        <v>24</v>
      </c>
      <c r="F2284" s="97" t="str">
        <f ca="1">IF(OR(Market_Data[[#This Row],[Start Date]]="",Market_Data[[#This Row],[Completion Date]]=""),"Needs Validation",IF(Market_Data[[#This Row],[Start Date]]&gt;TODAY(),"Planned",IF(Market_Data[[#This Row],[Completion Date]]&lt;TODAY(),"Completed","Ongoing")))</f>
        <v>Completed</v>
      </c>
      <c r="G2284" s="324">
        <v>43040</v>
      </c>
      <c r="H2284" s="324">
        <v>45412</v>
      </c>
      <c r="I2284" s="325">
        <v>44500</v>
      </c>
      <c r="J228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84" s="133">
        <f>_xlfn.XLOOKUP(Market_Data[[#This Row],[Project Type]],tbl_assumptions_market[Project Category (RERA)],tbl_assumptions_market[Concrete Intensity
(m³ / sq m BUA)],"",0)</f>
        <v>0.45</v>
      </c>
      <c r="L2284" s="134">
        <f>ROUND(Market_Data[[#This Row],[Estimated Built Up Area (sq m)]]*Market_Data[[#This Row],[Concrete Intensity
(m³ / sq m)]],0)</f>
        <v>20025</v>
      </c>
      <c r="M2284" s="135">
        <f>_xlfn.XLOOKUP(Market_Data[[#This Row],[District]],tbl_district_price[District],tbl_district_price[Standard Price
(INR/m³)],"",0)</f>
        <v>6200</v>
      </c>
      <c r="N2284" s="364">
        <f>IF(OR(Market_Data[[#This Row],[Estimated Concrete Demand (m³)]]="",Market_Data[[#This Row],[Avg Price per (₹ / m³)]]=""),"",Market_Data[[#This Row],[Estimated Concrete Demand (m³)]]*Market_Data[[#This Row],[Avg Price per (₹ / m³)]]/10000000)</f>
        <v>12.4155</v>
      </c>
      <c r="O2284" s="97" t="str">
        <f>IF(Market_Data[[#This Row],[Estimated Concrete Demand (m³)]]="","",
IF(Market_Data[[#This Row],[Estimated Concrete Demand (m³)]]&lt;10000,"Small",
IF(Market_Data[[#This Row],[Estimated Concrete Demand (m³)]]&lt;25000,"Medium",
IF(Market_Data[[#This Row],[Estimated Concrete Demand (m³)]]&lt;100000,"Large","Mega"))))</f>
        <v>Medium</v>
      </c>
      <c r="P2284" s="287" t="str">
        <f t="shared" si="37"/>
        <v>GujRERA</v>
      </c>
    </row>
    <row r="2285" spans="1:16">
      <c r="A2285" s="129" t="str">
        <f>_xlfn.XLOOKUP(B2285,$S$9:$S$14,$T$9:$T$14)&amp;"-"&amp;
IF(E2285="Residential/Group Housing","RES",
IF(E2285="Commercial","COM",
IF(E2285="Mixed Development","MIX",
IF(E2285="Plotted Development","PLT","OTH"))))
&amp;"-"&amp;TEXT(COUNTIFS($B$9:B2285,B2285,$E$9:E2285,E2285),"0000")</f>
        <v>SUR-RES-0766</v>
      </c>
      <c r="B2285" s="322" t="s">
        <v>34</v>
      </c>
      <c r="C2285" s="322" t="s">
        <v>34</v>
      </c>
      <c r="D2285" s="323" t="s">
        <v>2474</v>
      </c>
      <c r="E2285" s="132" t="s">
        <v>24</v>
      </c>
      <c r="F2285" s="97" t="str">
        <f ca="1">IF(OR(Market_Data[[#This Row],[Start Date]]="",Market_Data[[#This Row],[Completion Date]]=""),"Needs Validation",IF(Market_Data[[#This Row],[Start Date]]&gt;TODAY(),"Planned",IF(Market_Data[[#This Row],[Completion Date]]&lt;TODAY(),"Completed","Ongoing")))</f>
        <v>Completed</v>
      </c>
      <c r="G2285" s="324">
        <v>43631</v>
      </c>
      <c r="H2285" s="324">
        <v>45473</v>
      </c>
      <c r="I2285" s="325">
        <v>56200</v>
      </c>
      <c r="J228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85" s="133">
        <f>_xlfn.XLOOKUP(Market_Data[[#This Row],[Project Type]],tbl_assumptions_market[Project Category (RERA)],tbl_assumptions_market[Concrete Intensity
(m³ / sq m BUA)],"",0)</f>
        <v>0.45</v>
      </c>
      <c r="L2285" s="134">
        <f>ROUND(Market_Data[[#This Row],[Estimated Built Up Area (sq m)]]*Market_Data[[#This Row],[Concrete Intensity
(m³ / sq m)]],0)</f>
        <v>25290</v>
      </c>
      <c r="M2285" s="135">
        <f>_xlfn.XLOOKUP(Market_Data[[#This Row],[District]],tbl_district_price[District],tbl_district_price[Standard Price
(INR/m³)],"",0)</f>
        <v>6200</v>
      </c>
      <c r="N2285" s="364">
        <f>IF(OR(Market_Data[[#This Row],[Estimated Concrete Demand (m³)]]="",Market_Data[[#This Row],[Avg Price per (₹ / m³)]]=""),"",Market_Data[[#This Row],[Estimated Concrete Demand (m³)]]*Market_Data[[#This Row],[Avg Price per (₹ / m³)]]/10000000)</f>
        <v>15.6798</v>
      </c>
      <c r="O2285" s="97" t="str">
        <f>IF(Market_Data[[#This Row],[Estimated Concrete Demand (m³)]]="","",
IF(Market_Data[[#This Row],[Estimated Concrete Demand (m³)]]&lt;10000,"Small",
IF(Market_Data[[#This Row],[Estimated Concrete Demand (m³)]]&lt;25000,"Medium",
IF(Market_Data[[#This Row],[Estimated Concrete Demand (m³)]]&lt;100000,"Large","Mega"))))</f>
        <v>Large</v>
      </c>
      <c r="P2285" s="287" t="str">
        <f t="shared" si="37"/>
        <v>GujRERA</v>
      </c>
    </row>
    <row r="2286" spans="1:16">
      <c r="A2286" s="129" t="str">
        <f>_xlfn.XLOOKUP(B2286,$S$9:$S$14,$T$9:$T$14)&amp;"-"&amp;
IF(E2286="Residential/Group Housing","RES",
IF(E2286="Commercial","COM",
IF(E2286="Mixed Development","MIX",
IF(E2286="Plotted Development","PLT","OTH"))))
&amp;"-"&amp;TEXT(COUNTIFS($B$9:B2286,B2286,$E$9:E2286,E2286),"0000")</f>
        <v>SUR-RES-0767</v>
      </c>
      <c r="B2286" s="322" t="s">
        <v>34</v>
      </c>
      <c r="C2286" s="322" t="s">
        <v>34</v>
      </c>
      <c r="D2286" s="323" t="s">
        <v>2475</v>
      </c>
      <c r="E2286" s="132" t="s">
        <v>24</v>
      </c>
      <c r="F2286" s="97" t="str">
        <f ca="1">IF(OR(Market_Data[[#This Row],[Start Date]]="",Market_Data[[#This Row],[Completion Date]]=""),"Needs Validation",IF(Market_Data[[#This Row],[Start Date]]&gt;TODAY(),"Planned",IF(Market_Data[[#This Row],[Completion Date]]&lt;TODAY(),"Completed","Ongoing")))</f>
        <v>Completed</v>
      </c>
      <c r="G2286" s="324">
        <v>43052</v>
      </c>
      <c r="H2286" s="324">
        <v>45688</v>
      </c>
      <c r="I2286" s="325">
        <v>5900</v>
      </c>
      <c r="J228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86" s="133">
        <f>_xlfn.XLOOKUP(Market_Data[[#This Row],[Project Type]],tbl_assumptions_market[Project Category (RERA)],tbl_assumptions_market[Concrete Intensity
(m³ / sq m BUA)],"",0)</f>
        <v>0.45</v>
      </c>
      <c r="L2286" s="134">
        <f>ROUND(Market_Data[[#This Row],[Estimated Built Up Area (sq m)]]*Market_Data[[#This Row],[Concrete Intensity
(m³ / sq m)]],0)</f>
        <v>2655</v>
      </c>
      <c r="M2286" s="135">
        <f>_xlfn.XLOOKUP(Market_Data[[#This Row],[District]],tbl_district_price[District],tbl_district_price[Standard Price
(INR/m³)],"",0)</f>
        <v>6200</v>
      </c>
      <c r="N2286" s="364">
        <f>IF(OR(Market_Data[[#This Row],[Estimated Concrete Demand (m³)]]="",Market_Data[[#This Row],[Avg Price per (₹ / m³)]]=""),"",Market_Data[[#This Row],[Estimated Concrete Demand (m³)]]*Market_Data[[#This Row],[Avg Price per (₹ / m³)]]/10000000)</f>
        <v>1.6460999999999999</v>
      </c>
      <c r="O2286" s="97" t="str">
        <f>IF(Market_Data[[#This Row],[Estimated Concrete Demand (m³)]]="","",
IF(Market_Data[[#This Row],[Estimated Concrete Demand (m³)]]&lt;10000,"Small",
IF(Market_Data[[#This Row],[Estimated Concrete Demand (m³)]]&lt;25000,"Medium",
IF(Market_Data[[#This Row],[Estimated Concrete Demand (m³)]]&lt;100000,"Large","Mega"))))</f>
        <v>Small</v>
      </c>
      <c r="P2286" s="287" t="str">
        <f t="shared" si="37"/>
        <v>GujRERA</v>
      </c>
    </row>
    <row r="2287" spans="1:16">
      <c r="A2287" s="129" t="str">
        <f>_xlfn.XLOOKUP(B2287,$S$9:$S$14,$T$9:$T$14)&amp;"-"&amp;
IF(E2287="Residential/Group Housing","RES",
IF(E2287="Commercial","COM",
IF(E2287="Mixed Development","MIX",
IF(E2287="Plotted Development","PLT","OTH"))))
&amp;"-"&amp;TEXT(COUNTIFS($B$9:B2287,B2287,$E$9:E2287,E2287),"0000")</f>
        <v>SUR-MIX-0393</v>
      </c>
      <c r="B2287" s="322" t="s">
        <v>34</v>
      </c>
      <c r="C2287" s="322" t="s">
        <v>34</v>
      </c>
      <c r="D2287" s="323" t="s">
        <v>2476</v>
      </c>
      <c r="E2287" s="132" t="s">
        <v>25</v>
      </c>
      <c r="F2287" s="97" t="str">
        <f ca="1">IF(OR(Market_Data[[#This Row],[Start Date]]="",Market_Data[[#This Row],[Completion Date]]=""),"Needs Validation",IF(Market_Data[[#This Row],[Start Date]]&gt;TODAY(),"Planned",IF(Market_Data[[#This Row],[Completion Date]]&lt;TODAY(),"Completed","Ongoing")))</f>
        <v>Completed</v>
      </c>
      <c r="G2287" s="324">
        <v>41453</v>
      </c>
      <c r="H2287" s="324">
        <v>43830</v>
      </c>
      <c r="I2287" s="325">
        <v>6300</v>
      </c>
      <c r="J228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287" s="133">
        <f>_xlfn.XLOOKUP(Market_Data[[#This Row],[Project Type]],tbl_assumptions_market[Project Category (RERA)],tbl_assumptions_market[Concrete Intensity
(m³ / sq m BUA)],"",0)</f>
        <v>0.42</v>
      </c>
      <c r="L2287" s="134">
        <f>ROUND(Market_Data[[#This Row],[Estimated Built Up Area (sq m)]]*Market_Data[[#This Row],[Concrete Intensity
(m³ / sq m)]],0)</f>
        <v>2646</v>
      </c>
      <c r="M2287" s="135">
        <f>_xlfn.XLOOKUP(Market_Data[[#This Row],[District]],tbl_district_price[District],tbl_district_price[Standard Price
(INR/m³)],"",0)</f>
        <v>6200</v>
      </c>
      <c r="N2287" s="364">
        <f>IF(OR(Market_Data[[#This Row],[Estimated Concrete Demand (m³)]]="",Market_Data[[#This Row],[Avg Price per (₹ / m³)]]=""),"",Market_Data[[#This Row],[Estimated Concrete Demand (m³)]]*Market_Data[[#This Row],[Avg Price per (₹ / m³)]]/10000000)</f>
        <v>1.64052</v>
      </c>
      <c r="O2287" s="97" t="str">
        <f>IF(Market_Data[[#This Row],[Estimated Concrete Demand (m³)]]="","",
IF(Market_Data[[#This Row],[Estimated Concrete Demand (m³)]]&lt;10000,"Small",
IF(Market_Data[[#This Row],[Estimated Concrete Demand (m³)]]&lt;25000,"Medium",
IF(Market_Data[[#This Row],[Estimated Concrete Demand (m³)]]&lt;100000,"Large","Mega"))))</f>
        <v>Small</v>
      </c>
      <c r="P2287" s="287" t="str">
        <f t="shared" si="37"/>
        <v>GujRERA</v>
      </c>
    </row>
    <row r="2288" spans="1:16">
      <c r="A2288" s="129" t="str">
        <f>_xlfn.XLOOKUP(B2288,$S$9:$S$14,$T$9:$T$14)&amp;"-"&amp;
IF(E2288="Residential/Group Housing","RES",
IF(E2288="Commercial","COM",
IF(E2288="Mixed Development","MIX",
IF(E2288="Plotted Development","PLT","OTH"))))
&amp;"-"&amp;TEXT(COUNTIFS($B$9:B2288,B2288,$E$9:E2288,E2288),"0000")</f>
        <v>SUR-RES-0768</v>
      </c>
      <c r="B2288" s="322" t="s">
        <v>34</v>
      </c>
      <c r="C2288" s="322" t="s">
        <v>34</v>
      </c>
      <c r="D2288" s="323" t="s">
        <v>2477</v>
      </c>
      <c r="E2288" s="132" t="s">
        <v>24</v>
      </c>
      <c r="F2288" s="97" t="str">
        <f ca="1">IF(OR(Market_Data[[#This Row],[Start Date]]="",Market_Data[[#This Row],[Completion Date]]=""),"Needs Validation",IF(Market_Data[[#This Row],[Start Date]]&gt;TODAY(),"Planned",IF(Market_Data[[#This Row],[Completion Date]]&lt;TODAY(),"Completed","Ongoing")))</f>
        <v>Completed</v>
      </c>
      <c r="G2288" s="324">
        <v>43626</v>
      </c>
      <c r="H2288" s="324">
        <v>44134</v>
      </c>
      <c r="I2288" s="325">
        <v>51200</v>
      </c>
      <c r="J228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88" s="133">
        <f>_xlfn.XLOOKUP(Market_Data[[#This Row],[Project Type]],tbl_assumptions_market[Project Category (RERA)],tbl_assumptions_market[Concrete Intensity
(m³ / sq m BUA)],"",0)</f>
        <v>0.45</v>
      </c>
      <c r="L2288" s="134">
        <f>ROUND(Market_Data[[#This Row],[Estimated Built Up Area (sq m)]]*Market_Data[[#This Row],[Concrete Intensity
(m³ / sq m)]],0)</f>
        <v>23040</v>
      </c>
      <c r="M2288" s="135">
        <f>_xlfn.XLOOKUP(Market_Data[[#This Row],[District]],tbl_district_price[District],tbl_district_price[Standard Price
(INR/m³)],"",0)</f>
        <v>6200</v>
      </c>
      <c r="N2288" s="364">
        <f>IF(OR(Market_Data[[#This Row],[Estimated Concrete Demand (m³)]]="",Market_Data[[#This Row],[Avg Price per (₹ / m³)]]=""),"",Market_Data[[#This Row],[Estimated Concrete Demand (m³)]]*Market_Data[[#This Row],[Avg Price per (₹ / m³)]]/10000000)</f>
        <v>14.284800000000001</v>
      </c>
      <c r="O2288" s="97" t="str">
        <f>IF(Market_Data[[#This Row],[Estimated Concrete Demand (m³)]]="","",
IF(Market_Data[[#This Row],[Estimated Concrete Demand (m³)]]&lt;10000,"Small",
IF(Market_Data[[#This Row],[Estimated Concrete Demand (m³)]]&lt;25000,"Medium",
IF(Market_Data[[#This Row],[Estimated Concrete Demand (m³)]]&lt;100000,"Large","Mega"))))</f>
        <v>Medium</v>
      </c>
      <c r="P2288" s="287" t="str">
        <f t="shared" si="37"/>
        <v>GujRERA</v>
      </c>
    </row>
    <row r="2289" spans="1:16">
      <c r="A2289" s="129" t="str">
        <f>_xlfn.XLOOKUP(B2289,$S$9:$S$14,$T$9:$T$14)&amp;"-"&amp;
IF(E2289="Residential/Group Housing","RES",
IF(E2289="Commercial","COM",
IF(E2289="Mixed Development","MIX",
IF(E2289="Plotted Development","PLT","OTH"))))
&amp;"-"&amp;TEXT(COUNTIFS($B$9:B2289,B2289,$E$9:E2289,E2289),"0000")</f>
        <v>SUR-RES-0769</v>
      </c>
      <c r="B2289" s="322" t="s">
        <v>34</v>
      </c>
      <c r="C2289" s="322" t="s">
        <v>34</v>
      </c>
      <c r="D2289" s="323" t="s">
        <v>2478</v>
      </c>
      <c r="E2289" s="132" t="s">
        <v>24</v>
      </c>
      <c r="F2289" s="97" t="str">
        <f ca="1">IF(OR(Market_Data[[#This Row],[Start Date]]="",Market_Data[[#This Row],[Completion Date]]=""),"Needs Validation",IF(Market_Data[[#This Row],[Start Date]]&gt;TODAY(),"Planned",IF(Market_Data[[#This Row],[Completion Date]]&lt;TODAY(),"Completed","Ongoing")))</f>
        <v>Completed</v>
      </c>
      <c r="G2289" s="324">
        <v>43626</v>
      </c>
      <c r="H2289" s="324">
        <v>44255</v>
      </c>
      <c r="I2289" s="325">
        <v>27500</v>
      </c>
      <c r="J228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89" s="133">
        <f>_xlfn.XLOOKUP(Market_Data[[#This Row],[Project Type]],tbl_assumptions_market[Project Category (RERA)],tbl_assumptions_market[Concrete Intensity
(m³ / sq m BUA)],"",0)</f>
        <v>0.45</v>
      </c>
      <c r="L2289" s="134">
        <f>ROUND(Market_Data[[#This Row],[Estimated Built Up Area (sq m)]]*Market_Data[[#This Row],[Concrete Intensity
(m³ / sq m)]],0)</f>
        <v>12375</v>
      </c>
      <c r="M2289" s="135">
        <f>_xlfn.XLOOKUP(Market_Data[[#This Row],[District]],tbl_district_price[District],tbl_district_price[Standard Price
(INR/m³)],"",0)</f>
        <v>6200</v>
      </c>
      <c r="N2289" s="364">
        <f>IF(OR(Market_Data[[#This Row],[Estimated Concrete Demand (m³)]]="",Market_Data[[#This Row],[Avg Price per (₹ / m³)]]=""),"",Market_Data[[#This Row],[Estimated Concrete Demand (m³)]]*Market_Data[[#This Row],[Avg Price per (₹ / m³)]]/10000000)</f>
        <v>7.6725000000000003</v>
      </c>
      <c r="O2289" s="97" t="str">
        <f>IF(Market_Data[[#This Row],[Estimated Concrete Demand (m³)]]="","",
IF(Market_Data[[#This Row],[Estimated Concrete Demand (m³)]]&lt;10000,"Small",
IF(Market_Data[[#This Row],[Estimated Concrete Demand (m³)]]&lt;25000,"Medium",
IF(Market_Data[[#This Row],[Estimated Concrete Demand (m³)]]&lt;100000,"Large","Mega"))))</f>
        <v>Medium</v>
      </c>
      <c r="P2289" s="287" t="str">
        <f t="shared" si="37"/>
        <v>GujRERA</v>
      </c>
    </row>
    <row r="2290" spans="1:16">
      <c r="A2290" s="129" t="str">
        <f>_xlfn.XLOOKUP(B2290,$S$9:$S$14,$T$9:$T$14)&amp;"-"&amp;
IF(E2290="Residential/Group Housing","RES",
IF(E2290="Commercial","COM",
IF(E2290="Mixed Development","MIX",
IF(E2290="Plotted Development","PLT","OTH"))))
&amp;"-"&amp;TEXT(COUNTIFS($B$9:B2290,B2290,$E$9:E2290,E2290),"0000")</f>
        <v>SUR-RES-0770</v>
      </c>
      <c r="B2290" s="322" t="s">
        <v>34</v>
      </c>
      <c r="C2290" s="322" t="s">
        <v>34</v>
      </c>
      <c r="D2290" s="323" t="s">
        <v>2479</v>
      </c>
      <c r="E2290" s="132" t="s">
        <v>24</v>
      </c>
      <c r="F2290" s="97" t="str">
        <f ca="1">IF(OR(Market_Data[[#This Row],[Start Date]]="",Market_Data[[#This Row],[Completion Date]]=""),"Needs Validation",IF(Market_Data[[#This Row],[Start Date]]&gt;TODAY(),"Planned",IF(Market_Data[[#This Row],[Completion Date]]&lt;TODAY(),"Completed","Ongoing")))</f>
        <v>Completed</v>
      </c>
      <c r="G2290" s="324">
        <v>42585</v>
      </c>
      <c r="H2290" s="324">
        <v>43830</v>
      </c>
      <c r="I2290" s="325">
        <v>25800</v>
      </c>
      <c r="J229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90" s="133">
        <f>_xlfn.XLOOKUP(Market_Data[[#This Row],[Project Type]],tbl_assumptions_market[Project Category (RERA)],tbl_assumptions_market[Concrete Intensity
(m³ / sq m BUA)],"",0)</f>
        <v>0.45</v>
      </c>
      <c r="L2290" s="134">
        <f>ROUND(Market_Data[[#This Row],[Estimated Built Up Area (sq m)]]*Market_Data[[#This Row],[Concrete Intensity
(m³ / sq m)]],0)</f>
        <v>11610</v>
      </c>
      <c r="M2290" s="135">
        <f>_xlfn.XLOOKUP(Market_Data[[#This Row],[District]],tbl_district_price[District],tbl_district_price[Standard Price
(INR/m³)],"",0)</f>
        <v>6200</v>
      </c>
      <c r="N2290" s="364">
        <f>IF(OR(Market_Data[[#This Row],[Estimated Concrete Demand (m³)]]="",Market_Data[[#This Row],[Avg Price per (₹ / m³)]]=""),"",Market_Data[[#This Row],[Estimated Concrete Demand (m³)]]*Market_Data[[#This Row],[Avg Price per (₹ / m³)]]/10000000)</f>
        <v>7.1981999999999999</v>
      </c>
      <c r="O2290" s="97" t="str">
        <f>IF(Market_Data[[#This Row],[Estimated Concrete Demand (m³)]]="","",
IF(Market_Data[[#This Row],[Estimated Concrete Demand (m³)]]&lt;10000,"Small",
IF(Market_Data[[#This Row],[Estimated Concrete Demand (m³)]]&lt;25000,"Medium",
IF(Market_Data[[#This Row],[Estimated Concrete Demand (m³)]]&lt;100000,"Large","Mega"))))</f>
        <v>Medium</v>
      </c>
      <c r="P2290" s="287" t="str">
        <f t="shared" si="37"/>
        <v>GujRERA</v>
      </c>
    </row>
    <row r="2291" spans="1:16">
      <c r="A2291" s="129" t="str">
        <f>_xlfn.XLOOKUP(B2291,$S$9:$S$14,$T$9:$T$14)&amp;"-"&amp;
IF(E2291="Residential/Group Housing","RES",
IF(E2291="Commercial","COM",
IF(E2291="Mixed Development","MIX",
IF(E2291="Plotted Development","PLT","OTH"))))
&amp;"-"&amp;TEXT(COUNTIFS($B$9:B2291,B2291,$E$9:E2291,E2291),"0000")</f>
        <v>SUR-MIX-0394</v>
      </c>
      <c r="B2291" s="322" t="s">
        <v>34</v>
      </c>
      <c r="C2291" s="322" t="s">
        <v>34</v>
      </c>
      <c r="D2291" s="323" t="s">
        <v>2480</v>
      </c>
      <c r="E2291" s="132" t="s">
        <v>25</v>
      </c>
      <c r="F2291" s="97" t="str">
        <f ca="1">IF(OR(Market_Data[[#This Row],[Start Date]]="",Market_Data[[#This Row],[Completion Date]]=""),"Needs Validation",IF(Market_Data[[#This Row],[Start Date]]&gt;TODAY(),"Planned",IF(Market_Data[[#This Row],[Completion Date]]&lt;TODAY(),"Completed","Ongoing")))</f>
        <v>Completed</v>
      </c>
      <c r="G2291" s="324">
        <v>42576</v>
      </c>
      <c r="H2291" s="324">
        <v>44104</v>
      </c>
      <c r="I2291" s="325">
        <v>49900</v>
      </c>
      <c r="J229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91" s="133">
        <f>_xlfn.XLOOKUP(Market_Data[[#This Row],[Project Type]],tbl_assumptions_market[Project Category (RERA)],tbl_assumptions_market[Concrete Intensity
(m³ / sq m BUA)],"",0)</f>
        <v>0.42</v>
      </c>
      <c r="L2291" s="134">
        <f>ROUND(Market_Data[[#This Row],[Estimated Built Up Area (sq m)]]*Market_Data[[#This Row],[Concrete Intensity
(m³ / sq m)]],0)</f>
        <v>20958</v>
      </c>
      <c r="M2291" s="135">
        <f>_xlfn.XLOOKUP(Market_Data[[#This Row],[District]],tbl_district_price[District],tbl_district_price[Standard Price
(INR/m³)],"",0)</f>
        <v>6200</v>
      </c>
      <c r="N2291" s="364">
        <f>IF(OR(Market_Data[[#This Row],[Estimated Concrete Demand (m³)]]="",Market_Data[[#This Row],[Avg Price per (₹ / m³)]]=""),"",Market_Data[[#This Row],[Estimated Concrete Demand (m³)]]*Market_Data[[#This Row],[Avg Price per (₹ / m³)]]/10000000)</f>
        <v>12.99396</v>
      </c>
      <c r="O2291" s="97" t="str">
        <f>IF(Market_Data[[#This Row],[Estimated Concrete Demand (m³)]]="","",
IF(Market_Data[[#This Row],[Estimated Concrete Demand (m³)]]&lt;10000,"Small",
IF(Market_Data[[#This Row],[Estimated Concrete Demand (m³)]]&lt;25000,"Medium",
IF(Market_Data[[#This Row],[Estimated Concrete Demand (m³)]]&lt;100000,"Large","Mega"))))</f>
        <v>Medium</v>
      </c>
      <c r="P2291" s="287" t="str">
        <f t="shared" si="37"/>
        <v>GujRERA</v>
      </c>
    </row>
    <row r="2292" spans="1:16">
      <c r="A2292" s="129" t="str">
        <f>_xlfn.XLOOKUP(B2292,$S$9:$S$14,$T$9:$T$14)&amp;"-"&amp;
IF(E2292="Residential/Group Housing","RES",
IF(E2292="Commercial","COM",
IF(E2292="Mixed Development","MIX",
IF(E2292="Plotted Development","PLT","OTH"))))
&amp;"-"&amp;TEXT(COUNTIFS($B$9:B2292,B2292,$E$9:E2292,E2292),"0000")</f>
        <v>SUR-MIX-0395</v>
      </c>
      <c r="B2292" s="322" t="s">
        <v>34</v>
      </c>
      <c r="C2292" s="322" t="s">
        <v>34</v>
      </c>
      <c r="D2292" s="323" t="s">
        <v>2481</v>
      </c>
      <c r="E2292" s="132" t="s">
        <v>25</v>
      </c>
      <c r="F2292" s="97" t="str">
        <f ca="1">IF(OR(Market_Data[[#This Row],[Start Date]]="",Market_Data[[#This Row],[Completion Date]]=""),"Needs Validation",IF(Market_Data[[#This Row],[Start Date]]&gt;TODAY(),"Planned",IF(Market_Data[[#This Row],[Completion Date]]&lt;TODAY(),"Completed","Ongoing")))</f>
        <v>Completed</v>
      </c>
      <c r="G2292" s="324">
        <v>42286</v>
      </c>
      <c r="H2292" s="324">
        <v>44377</v>
      </c>
      <c r="I2292" s="325">
        <v>38700</v>
      </c>
      <c r="J229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92" s="133">
        <f>_xlfn.XLOOKUP(Market_Data[[#This Row],[Project Type]],tbl_assumptions_market[Project Category (RERA)],tbl_assumptions_market[Concrete Intensity
(m³ / sq m BUA)],"",0)</f>
        <v>0.42</v>
      </c>
      <c r="L2292" s="134">
        <f>ROUND(Market_Data[[#This Row],[Estimated Built Up Area (sq m)]]*Market_Data[[#This Row],[Concrete Intensity
(m³ / sq m)]],0)</f>
        <v>16254</v>
      </c>
      <c r="M2292" s="135">
        <f>_xlfn.XLOOKUP(Market_Data[[#This Row],[District]],tbl_district_price[District],tbl_district_price[Standard Price
(INR/m³)],"",0)</f>
        <v>6200</v>
      </c>
      <c r="N2292" s="364">
        <f>IF(OR(Market_Data[[#This Row],[Estimated Concrete Demand (m³)]]="",Market_Data[[#This Row],[Avg Price per (₹ / m³)]]=""),"",Market_Data[[#This Row],[Estimated Concrete Demand (m³)]]*Market_Data[[#This Row],[Avg Price per (₹ / m³)]]/10000000)</f>
        <v>10.07748</v>
      </c>
      <c r="O2292" s="97" t="str">
        <f>IF(Market_Data[[#This Row],[Estimated Concrete Demand (m³)]]="","",
IF(Market_Data[[#This Row],[Estimated Concrete Demand (m³)]]&lt;10000,"Small",
IF(Market_Data[[#This Row],[Estimated Concrete Demand (m³)]]&lt;25000,"Medium",
IF(Market_Data[[#This Row],[Estimated Concrete Demand (m³)]]&lt;100000,"Large","Mega"))))</f>
        <v>Medium</v>
      </c>
      <c r="P2292" s="287" t="str">
        <f t="shared" si="37"/>
        <v>GujRERA</v>
      </c>
    </row>
    <row r="2293" spans="1:16" ht="24">
      <c r="A2293" s="129" t="str">
        <f>_xlfn.XLOOKUP(B2293,$S$9:$S$14,$T$9:$T$14)&amp;"-"&amp;
IF(E2293="Residential/Group Housing","RES",
IF(E2293="Commercial","COM",
IF(E2293="Mixed Development","MIX",
IF(E2293="Plotted Development","PLT","OTH"))))
&amp;"-"&amp;TEXT(COUNTIFS($B$9:B2293,B2293,$E$9:E2293,E2293),"0000")</f>
        <v>SUR-MIX-0396</v>
      </c>
      <c r="B2293" s="322" t="s">
        <v>34</v>
      </c>
      <c r="C2293" s="322" t="s">
        <v>34</v>
      </c>
      <c r="D2293" s="323" t="s">
        <v>2482</v>
      </c>
      <c r="E2293" s="132" t="s">
        <v>25</v>
      </c>
      <c r="F2293" s="97" t="str">
        <f ca="1">IF(OR(Market_Data[[#This Row],[Start Date]]="",Market_Data[[#This Row],[Completion Date]]=""),"Needs Validation",IF(Market_Data[[#This Row],[Start Date]]&gt;TODAY(),"Planned",IF(Market_Data[[#This Row],[Completion Date]]&lt;TODAY(),"Completed","Ongoing")))</f>
        <v>Ongoing</v>
      </c>
      <c r="G2293" s="324">
        <v>44713</v>
      </c>
      <c r="H2293" s="324">
        <v>46387</v>
      </c>
      <c r="I2293" s="325">
        <v>58400</v>
      </c>
      <c r="J229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93" s="133">
        <f>_xlfn.XLOOKUP(Market_Data[[#This Row],[Project Type]],tbl_assumptions_market[Project Category (RERA)],tbl_assumptions_market[Concrete Intensity
(m³ / sq m BUA)],"",0)</f>
        <v>0.42</v>
      </c>
      <c r="L2293" s="134">
        <f>ROUND(Market_Data[[#This Row],[Estimated Built Up Area (sq m)]]*Market_Data[[#This Row],[Concrete Intensity
(m³ / sq m)]],0)</f>
        <v>24528</v>
      </c>
      <c r="M2293" s="135">
        <f>_xlfn.XLOOKUP(Market_Data[[#This Row],[District]],tbl_district_price[District],tbl_district_price[Standard Price
(INR/m³)],"",0)</f>
        <v>6200</v>
      </c>
      <c r="N2293" s="364">
        <f>IF(OR(Market_Data[[#This Row],[Estimated Concrete Demand (m³)]]="",Market_Data[[#This Row],[Avg Price per (₹ / m³)]]=""),"",Market_Data[[#This Row],[Estimated Concrete Demand (m³)]]*Market_Data[[#This Row],[Avg Price per (₹ / m³)]]/10000000)</f>
        <v>15.20736</v>
      </c>
      <c r="O2293" s="97" t="str">
        <f>IF(Market_Data[[#This Row],[Estimated Concrete Demand (m³)]]="","",
IF(Market_Data[[#This Row],[Estimated Concrete Demand (m³)]]&lt;10000,"Small",
IF(Market_Data[[#This Row],[Estimated Concrete Demand (m³)]]&lt;25000,"Medium",
IF(Market_Data[[#This Row],[Estimated Concrete Demand (m³)]]&lt;100000,"Large","Mega"))))</f>
        <v>Medium</v>
      </c>
      <c r="P2293" s="287" t="str">
        <f t="shared" si="37"/>
        <v>GujRERA</v>
      </c>
    </row>
    <row r="2294" spans="1:16">
      <c r="A2294" s="129" t="str">
        <f>_xlfn.XLOOKUP(B2294,$S$9:$S$14,$T$9:$T$14)&amp;"-"&amp;
IF(E2294="Residential/Group Housing","RES",
IF(E2294="Commercial","COM",
IF(E2294="Mixed Development","MIX",
IF(E2294="Plotted Development","PLT","OTH"))))
&amp;"-"&amp;TEXT(COUNTIFS($B$9:B2294,B2294,$E$9:E2294,E2294),"0000")</f>
        <v>SUR-MIX-0397</v>
      </c>
      <c r="B2294" s="322" t="s">
        <v>34</v>
      </c>
      <c r="C2294" s="322" t="s">
        <v>34</v>
      </c>
      <c r="D2294" s="323" t="s">
        <v>2483</v>
      </c>
      <c r="E2294" s="132" t="s">
        <v>25</v>
      </c>
      <c r="F2294" s="97" t="str">
        <f ca="1">IF(OR(Market_Data[[#This Row],[Start Date]]="",Market_Data[[#This Row],[Completion Date]]=""),"Needs Validation",IF(Market_Data[[#This Row],[Start Date]]&gt;TODAY(),"Planned",IF(Market_Data[[#This Row],[Completion Date]]&lt;TODAY(),"Completed","Ongoing")))</f>
        <v>Completed</v>
      </c>
      <c r="G2294" s="324">
        <v>42286</v>
      </c>
      <c r="H2294" s="324">
        <v>44377</v>
      </c>
      <c r="I2294" s="325">
        <v>29800</v>
      </c>
      <c r="J229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94" s="133">
        <f>_xlfn.XLOOKUP(Market_Data[[#This Row],[Project Type]],tbl_assumptions_market[Project Category (RERA)],tbl_assumptions_market[Concrete Intensity
(m³ / sq m BUA)],"",0)</f>
        <v>0.42</v>
      </c>
      <c r="L2294" s="134">
        <f>ROUND(Market_Data[[#This Row],[Estimated Built Up Area (sq m)]]*Market_Data[[#This Row],[Concrete Intensity
(m³ / sq m)]],0)</f>
        <v>12516</v>
      </c>
      <c r="M2294" s="135">
        <f>_xlfn.XLOOKUP(Market_Data[[#This Row],[District]],tbl_district_price[District],tbl_district_price[Standard Price
(INR/m³)],"",0)</f>
        <v>6200</v>
      </c>
      <c r="N2294" s="364">
        <f>IF(OR(Market_Data[[#This Row],[Estimated Concrete Demand (m³)]]="",Market_Data[[#This Row],[Avg Price per (₹ / m³)]]=""),"",Market_Data[[#This Row],[Estimated Concrete Demand (m³)]]*Market_Data[[#This Row],[Avg Price per (₹ / m³)]]/10000000)</f>
        <v>7.7599200000000002</v>
      </c>
      <c r="O2294" s="97" t="str">
        <f>IF(Market_Data[[#This Row],[Estimated Concrete Demand (m³)]]="","",
IF(Market_Data[[#This Row],[Estimated Concrete Demand (m³)]]&lt;10000,"Small",
IF(Market_Data[[#This Row],[Estimated Concrete Demand (m³)]]&lt;25000,"Medium",
IF(Market_Data[[#This Row],[Estimated Concrete Demand (m³)]]&lt;100000,"Large","Mega"))))</f>
        <v>Medium</v>
      </c>
      <c r="P2294" s="287" t="str">
        <f t="shared" si="37"/>
        <v>GujRERA</v>
      </c>
    </row>
    <row r="2295" spans="1:16">
      <c r="A2295" s="129" t="str">
        <f>_xlfn.XLOOKUP(B2295,$S$9:$S$14,$T$9:$T$14)&amp;"-"&amp;
IF(E2295="Residential/Group Housing","RES",
IF(E2295="Commercial","COM",
IF(E2295="Mixed Development","MIX",
IF(E2295="Plotted Development","PLT","OTH"))))
&amp;"-"&amp;TEXT(COUNTIFS($B$9:B2295,B2295,$E$9:E2295,E2295),"0000")</f>
        <v>SUR-MIX-0398</v>
      </c>
      <c r="B2295" s="322" t="s">
        <v>34</v>
      </c>
      <c r="C2295" s="322" t="s">
        <v>34</v>
      </c>
      <c r="D2295" s="323" t="s">
        <v>2484</v>
      </c>
      <c r="E2295" s="132" t="s">
        <v>25</v>
      </c>
      <c r="F2295" s="97" t="str">
        <f ca="1">IF(OR(Market_Data[[#This Row],[Start Date]]="",Market_Data[[#This Row],[Completion Date]]=""),"Needs Validation",IF(Market_Data[[#This Row],[Start Date]]&gt;TODAY(),"Planned",IF(Market_Data[[#This Row],[Completion Date]]&lt;TODAY(),"Completed","Ongoing")))</f>
        <v>Completed</v>
      </c>
      <c r="G2295" s="324">
        <v>42592</v>
      </c>
      <c r="H2295" s="324">
        <v>43830</v>
      </c>
      <c r="I2295" s="325">
        <v>23500</v>
      </c>
      <c r="J229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95" s="133">
        <f>_xlfn.XLOOKUP(Market_Data[[#This Row],[Project Type]],tbl_assumptions_market[Project Category (RERA)],tbl_assumptions_market[Concrete Intensity
(m³ / sq m BUA)],"",0)</f>
        <v>0.42</v>
      </c>
      <c r="L2295" s="134">
        <f>ROUND(Market_Data[[#This Row],[Estimated Built Up Area (sq m)]]*Market_Data[[#This Row],[Concrete Intensity
(m³ / sq m)]],0)</f>
        <v>9870</v>
      </c>
      <c r="M2295" s="135">
        <f>_xlfn.XLOOKUP(Market_Data[[#This Row],[District]],tbl_district_price[District],tbl_district_price[Standard Price
(INR/m³)],"",0)</f>
        <v>6200</v>
      </c>
      <c r="N2295" s="364">
        <f>IF(OR(Market_Data[[#This Row],[Estimated Concrete Demand (m³)]]="",Market_Data[[#This Row],[Avg Price per (₹ / m³)]]=""),"",Market_Data[[#This Row],[Estimated Concrete Demand (m³)]]*Market_Data[[#This Row],[Avg Price per (₹ / m³)]]/10000000)</f>
        <v>6.1193999999999997</v>
      </c>
      <c r="O2295" s="97" t="str">
        <f>IF(Market_Data[[#This Row],[Estimated Concrete Demand (m³)]]="","",
IF(Market_Data[[#This Row],[Estimated Concrete Demand (m³)]]&lt;10000,"Small",
IF(Market_Data[[#This Row],[Estimated Concrete Demand (m³)]]&lt;25000,"Medium",
IF(Market_Data[[#This Row],[Estimated Concrete Demand (m³)]]&lt;100000,"Large","Mega"))))</f>
        <v>Small</v>
      </c>
      <c r="P2295" s="287" t="str">
        <f t="shared" si="37"/>
        <v>GujRERA</v>
      </c>
    </row>
    <row r="2296" spans="1:16">
      <c r="A2296" s="129" t="str">
        <f>_xlfn.XLOOKUP(B2296,$S$9:$S$14,$T$9:$T$14)&amp;"-"&amp;
IF(E2296="Residential/Group Housing","RES",
IF(E2296="Commercial","COM",
IF(E2296="Mixed Development","MIX",
IF(E2296="Plotted Development","PLT","OTH"))))
&amp;"-"&amp;TEXT(COUNTIFS($B$9:B2296,B2296,$E$9:E2296,E2296),"0000")</f>
        <v>SUR-RES-0771</v>
      </c>
      <c r="B2296" s="322" t="s">
        <v>34</v>
      </c>
      <c r="C2296" s="322" t="s">
        <v>34</v>
      </c>
      <c r="D2296" s="323" t="s">
        <v>2485</v>
      </c>
      <c r="E2296" s="132" t="s">
        <v>24</v>
      </c>
      <c r="F2296" s="97" t="str">
        <f ca="1">IF(OR(Market_Data[[#This Row],[Start Date]]="",Market_Data[[#This Row],[Completion Date]]=""),"Needs Validation",IF(Market_Data[[#This Row],[Start Date]]&gt;TODAY(),"Planned",IF(Market_Data[[#This Row],[Completion Date]]&lt;TODAY(),"Completed","Ongoing")))</f>
        <v>Completed</v>
      </c>
      <c r="G2296" s="324">
        <v>43735</v>
      </c>
      <c r="H2296" s="324">
        <v>45838</v>
      </c>
      <c r="I2296" s="325">
        <v>39600</v>
      </c>
      <c r="J229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96" s="133">
        <f>_xlfn.XLOOKUP(Market_Data[[#This Row],[Project Type]],tbl_assumptions_market[Project Category (RERA)],tbl_assumptions_market[Concrete Intensity
(m³ / sq m BUA)],"",0)</f>
        <v>0.45</v>
      </c>
      <c r="L2296" s="134">
        <f>ROUND(Market_Data[[#This Row],[Estimated Built Up Area (sq m)]]*Market_Data[[#This Row],[Concrete Intensity
(m³ / sq m)]],0)</f>
        <v>17820</v>
      </c>
      <c r="M2296" s="135">
        <f>_xlfn.XLOOKUP(Market_Data[[#This Row],[District]],tbl_district_price[District],tbl_district_price[Standard Price
(INR/m³)],"",0)</f>
        <v>6200</v>
      </c>
      <c r="N2296" s="364">
        <f>IF(OR(Market_Data[[#This Row],[Estimated Concrete Demand (m³)]]="",Market_Data[[#This Row],[Avg Price per (₹ / m³)]]=""),"",Market_Data[[#This Row],[Estimated Concrete Demand (m³)]]*Market_Data[[#This Row],[Avg Price per (₹ / m³)]]/10000000)</f>
        <v>11.048400000000001</v>
      </c>
      <c r="O2296" s="97" t="str">
        <f>IF(Market_Data[[#This Row],[Estimated Concrete Demand (m³)]]="","",
IF(Market_Data[[#This Row],[Estimated Concrete Demand (m³)]]&lt;10000,"Small",
IF(Market_Data[[#This Row],[Estimated Concrete Demand (m³)]]&lt;25000,"Medium",
IF(Market_Data[[#This Row],[Estimated Concrete Demand (m³)]]&lt;100000,"Large","Mega"))))</f>
        <v>Medium</v>
      </c>
      <c r="P2296" s="287" t="str">
        <f t="shared" si="37"/>
        <v>GujRERA</v>
      </c>
    </row>
    <row r="2297" spans="1:16">
      <c r="A2297" s="129" t="str">
        <f>_xlfn.XLOOKUP(B2297,$S$9:$S$14,$T$9:$T$14)&amp;"-"&amp;
IF(E2297="Residential/Group Housing","RES",
IF(E2297="Commercial","COM",
IF(E2297="Mixed Development","MIX",
IF(E2297="Plotted Development","PLT","OTH"))))
&amp;"-"&amp;TEXT(COUNTIFS($B$9:B2297,B2297,$E$9:E2297,E2297),"0000")</f>
        <v>SUR-PLT-0442</v>
      </c>
      <c r="B2297" s="322" t="s">
        <v>34</v>
      </c>
      <c r="C2297" s="322" t="s">
        <v>34</v>
      </c>
      <c r="D2297" s="323" t="s">
        <v>2486</v>
      </c>
      <c r="E2297" s="132" t="s">
        <v>26</v>
      </c>
      <c r="F2297" s="97" t="str">
        <f ca="1">IF(OR(Market_Data[[#This Row],[Start Date]]="",Market_Data[[#This Row],[Completion Date]]=""),"Needs Validation",IF(Market_Data[[#This Row],[Start Date]]&gt;TODAY(),"Planned",IF(Market_Data[[#This Row],[Completion Date]]&lt;TODAY(),"Completed","Ongoing")))</f>
        <v>Ongoing</v>
      </c>
      <c r="G2297" s="324">
        <v>45685</v>
      </c>
      <c r="H2297" s="324">
        <v>46752</v>
      </c>
      <c r="I2297" s="325">
        <v>39500</v>
      </c>
      <c r="J229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297" s="133">
        <f>_xlfn.XLOOKUP(Market_Data[[#This Row],[Project Type]],tbl_assumptions_market[Project Category (RERA)],tbl_assumptions_market[Concrete Intensity
(m³ / sq m BUA)],"",0)</f>
        <v>0.18</v>
      </c>
      <c r="L2297" s="134">
        <f>ROUND(Market_Data[[#This Row],[Estimated Built Up Area (sq m)]]*Market_Data[[#This Row],[Concrete Intensity
(m³ / sq m)]],0)</f>
        <v>7110</v>
      </c>
      <c r="M2297" s="135">
        <f>_xlfn.XLOOKUP(Market_Data[[#This Row],[District]],tbl_district_price[District],tbl_district_price[Standard Price
(INR/m³)],"",0)</f>
        <v>6200</v>
      </c>
      <c r="N2297" s="364">
        <f>IF(OR(Market_Data[[#This Row],[Estimated Concrete Demand (m³)]]="",Market_Data[[#This Row],[Avg Price per (₹ / m³)]]=""),"",Market_Data[[#This Row],[Estimated Concrete Demand (m³)]]*Market_Data[[#This Row],[Avg Price per (₹ / m³)]]/10000000)</f>
        <v>4.4081999999999999</v>
      </c>
      <c r="O2297" s="97" t="str">
        <f>IF(Market_Data[[#This Row],[Estimated Concrete Demand (m³)]]="","",
IF(Market_Data[[#This Row],[Estimated Concrete Demand (m³)]]&lt;10000,"Small",
IF(Market_Data[[#This Row],[Estimated Concrete Demand (m³)]]&lt;25000,"Medium",
IF(Market_Data[[#This Row],[Estimated Concrete Demand (m³)]]&lt;100000,"Large","Mega"))))</f>
        <v>Small</v>
      </c>
      <c r="P2297" s="287" t="str">
        <f t="shared" si="37"/>
        <v>GujRERA</v>
      </c>
    </row>
    <row r="2298" spans="1:16" ht="24">
      <c r="A2298" s="129" t="str">
        <f>_xlfn.XLOOKUP(B2298,$S$9:$S$14,$T$9:$T$14)&amp;"-"&amp;
IF(E2298="Residential/Group Housing","RES",
IF(E2298="Commercial","COM",
IF(E2298="Mixed Development","MIX",
IF(E2298="Plotted Development","PLT","OTH"))))
&amp;"-"&amp;TEXT(COUNTIFS($B$9:B2298,B2298,$E$9:E2298,E2298),"0000")</f>
        <v>SUR-MIX-0399</v>
      </c>
      <c r="B2298" s="322" t="s">
        <v>34</v>
      </c>
      <c r="C2298" s="322" t="s">
        <v>34</v>
      </c>
      <c r="D2298" s="323" t="s">
        <v>2487</v>
      </c>
      <c r="E2298" s="132" t="s">
        <v>25</v>
      </c>
      <c r="F2298" s="97" t="str">
        <f ca="1">IF(OR(Market_Data[[#This Row],[Start Date]]="",Market_Data[[#This Row],[Completion Date]]=""),"Needs Validation",IF(Market_Data[[#This Row],[Start Date]]&gt;TODAY(),"Planned",IF(Market_Data[[#This Row],[Completion Date]]&lt;TODAY(),"Completed","Ongoing")))</f>
        <v>Completed</v>
      </c>
      <c r="G2298" s="324">
        <v>43410</v>
      </c>
      <c r="H2298" s="324">
        <v>44375</v>
      </c>
      <c r="I2298" s="325">
        <v>3500</v>
      </c>
      <c r="J229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298" s="133">
        <f>_xlfn.XLOOKUP(Market_Data[[#This Row],[Project Type]],tbl_assumptions_market[Project Category (RERA)],tbl_assumptions_market[Concrete Intensity
(m³ / sq m BUA)],"",0)</f>
        <v>0.42</v>
      </c>
      <c r="L2298" s="134">
        <f>ROUND(Market_Data[[#This Row],[Estimated Built Up Area (sq m)]]*Market_Data[[#This Row],[Concrete Intensity
(m³ / sq m)]],0)</f>
        <v>1470</v>
      </c>
      <c r="M2298" s="135">
        <f>_xlfn.XLOOKUP(Market_Data[[#This Row],[District]],tbl_district_price[District],tbl_district_price[Standard Price
(INR/m³)],"",0)</f>
        <v>6200</v>
      </c>
      <c r="N2298" s="364">
        <f>IF(OR(Market_Data[[#This Row],[Estimated Concrete Demand (m³)]]="",Market_Data[[#This Row],[Avg Price per (₹ / m³)]]=""),"",Market_Data[[#This Row],[Estimated Concrete Demand (m³)]]*Market_Data[[#This Row],[Avg Price per (₹ / m³)]]/10000000)</f>
        <v>0.91139999999999999</v>
      </c>
      <c r="O2298" s="97" t="str">
        <f>IF(Market_Data[[#This Row],[Estimated Concrete Demand (m³)]]="","",
IF(Market_Data[[#This Row],[Estimated Concrete Demand (m³)]]&lt;10000,"Small",
IF(Market_Data[[#This Row],[Estimated Concrete Demand (m³)]]&lt;25000,"Medium",
IF(Market_Data[[#This Row],[Estimated Concrete Demand (m³)]]&lt;100000,"Large","Mega"))))</f>
        <v>Small</v>
      </c>
      <c r="P2298" s="287" t="str">
        <f t="shared" si="37"/>
        <v>GujRERA</v>
      </c>
    </row>
    <row r="2299" spans="1:16" ht="24">
      <c r="A2299" s="129" t="str">
        <f>_xlfn.XLOOKUP(B2299,$S$9:$S$14,$T$9:$T$14)&amp;"-"&amp;
IF(E2299="Residential/Group Housing","RES",
IF(E2299="Commercial","COM",
IF(E2299="Mixed Development","MIX",
IF(E2299="Plotted Development","PLT","OTH"))))
&amp;"-"&amp;TEXT(COUNTIFS($B$9:B2299,B2299,$E$9:E2299,E2299),"0000")</f>
        <v>SUR-RES-0772</v>
      </c>
      <c r="B2299" s="322" t="s">
        <v>34</v>
      </c>
      <c r="C2299" s="322" t="s">
        <v>34</v>
      </c>
      <c r="D2299" s="323" t="s">
        <v>2488</v>
      </c>
      <c r="E2299" s="132" t="s">
        <v>24</v>
      </c>
      <c r="F2299" s="97" t="str">
        <f ca="1">IF(OR(Market_Data[[#This Row],[Start Date]]="",Market_Data[[#This Row],[Completion Date]]=""),"Needs Validation",IF(Market_Data[[#This Row],[Start Date]]&gt;TODAY(),"Planned",IF(Market_Data[[#This Row],[Completion Date]]&lt;TODAY(),"Completed","Ongoing")))</f>
        <v>Ongoing</v>
      </c>
      <c r="G2299" s="324">
        <v>44412</v>
      </c>
      <c r="H2299" s="324">
        <v>46387</v>
      </c>
      <c r="I2299" s="325">
        <v>17600</v>
      </c>
      <c r="J229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299" s="133">
        <f>_xlfn.XLOOKUP(Market_Data[[#This Row],[Project Type]],tbl_assumptions_market[Project Category (RERA)],tbl_assumptions_market[Concrete Intensity
(m³ / sq m BUA)],"",0)</f>
        <v>0.45</v>
      </c>
      <c r="L2299" s="134">
        <f>ROUND(Market_Data[[#This Row],[Estimated Built Up Area (sq m)]]*Market_Data[[#This Row],[Concrete Intensity
(m³ / sq m)]],0)</f>
        <v>7920</v>
      </c>
      <c r="M2299" s="135">
        <f>_xlfn.XLOOKUP(Market_Data[[#This Row],[District]],tbl_district_price[District],tbl_district_price[Standard Price
(INR/m³)],"",0)</f>
        <v>6200</v>
      </c>
      <c r="N2299" s="364">
        <f>IF(OR(Market_Data[[#This Row],[Estimated Concrete Demand (m³)]]="",Market_Data[[#This Row],[Avg Price per (₹ / m³)]]=""),"",Market_Data[[#This Row],[Estimated Concrete Demand (m³)]]*Market_Data[[#This Row],[Avg Price per (₹ / m³)]]/10000000)</f>
        <v>4.9104000000000001</v>
      </c>
      <c r="O2299" s="97" t="str">
        <f>IF(Market_Data[[#This Row],[Estimated Concrete Demand (m³)]]="","",
IF(Market_Data[[#This Row],[Estimated Concrete Demand (m³)]]&lt;10000,"Small",
IF(Market_Data[[#This Row],[Estimated Concrete Demand (m³)]]&lt;25000,"Medium",
IF(Market_Data[[#This Row],[Estimated Concrete Demand (m³)]]&lt;100000,"Large","Mega"))))</f>
        <v>Small</v>
      </c>
      <c r="P2299" s="287" t="str">
        <f t="shared" si="37"/>
        <v>GujRERA</v>
      </c>
    </row>
    <row r="2300" spans="1:16" ht="24">
      <c r="A2300" s="129" t="str">
        <f>_xlfn.XLOOKUP(B2300,$S$9:$S$14,$T$9:$T$14)&amp;"-"&amp;
IF(E2300="Residential/Group Housing","RES",
IF(E2300="Commercial","COM",
IF(E2300="Mixed Development","MIX",
IF(E2300="Plotted Development","PLT","OTH"))))
&amp;"-"&amp;TEXT(COUNTIFS($B$9:B2300,B2300,$E$9:E2300,E2300),"0000")</f>
        <v>SUR-MIX-0400</v>
      </c>
      <c r="B2300" s="322" t="s">
        <v>34</v>
      </c>
      <c r="C2300" s="322" t="s">
        <v>34</v>
      </c>
      <c r="D2300" s="323" t="s">
        <v>2489</v>
      </c>
      <c r="E2300" s="132" t="s">
        <v>25</v>
      </c>
      <c r="F2300" s="97" t="str">
        <f ca="1">IF(OR(Market_Data[[#This Row],[Start Date]]="",Market_Data[[#This Row],[Completion Date]]=""),"Needs Validation",IF(Market_Data[[#This Row],[Start Date]]&gt;TODAY(),"Planned",IF(Market_Data[[#This Row],[Completion Date]]&lt;TODAY(),"Completed","Ongoing")))</f>
        <v>Completed</v>
      </c>
      <c r="G2300" s="324">
        <v>43808</v>
      </c>
      <c r="H2300" s="324">
        <v>45030</v>
      </c>
      <c r="I2300" s="325">
        <v>30000</v>
      </c>
      <c r="J230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00" s="133">
        <f>_xlfn.XLOOKUP(Market_Data[[#This Row],[Project Type]],tbl_assumptions_market[Project Category (RERA)],tbl_assumptions_market[Concrete Intensity
(m³ / sq m BUA)],"",0)</f>
        <v>0.42</v>
      </c>
      <c r="L2300" s="134">
        <f>ROUND(Market_Data[[#This Row],[Estimated Built Up Area (sq m)]]*Market_Data[[#This Row],[Concrete Intensity
(m³ / sq m)]],0)</f>
        <v>12600</v>
      </c>
      <c r="M2300" s="135">
        <f>_xlfn.XLOOKUP(Market_Data[[#This Row],[District]],tbl_district_price[District],tbl_district_price[Standard Price
(INR/m³)],"",0)</f>
        <v>6200</v>
      </c>
      <c r="N2300" s="364">
        <f>IF(OR(Market_Data[[#This Row],[Estimated Concrete Demand (m³)]]="",Market_Data[[#This Row],[Avg Price per (₹ / m³)]]=""),"",Market_Data[[#This Row],[Estimated Concrete Demand (m³)]]*Market_Data[[#This Row],[Avg Price per (₹ / m³)]]/10000000)</f>
        <v>7.8120000000000003</v>
      </c>
      <c r="O2300" s="97" t="str">
        <f>IF(Market_Data[[#This Row],[Estimated Concrete Demand (m³)]]="","",
IF(Market_Data[[#This Row],[Estimated Concrete Demand (m³)]]&lt;10000,"Small",
IF(Market_Data[[#This Row],[Estimated Concrete Demand (m³)]]&lt;25000,"Medium",
IF(Market_Data[[#This Row],[Estimated Concrete Demand (m³)]]&lt;100000,"Large","Mega"))))</f>
        <v>Medium</v>
      </c>
      <c r="P2300" s="287" t="str">
        <f t="shared" si="37"/>
        <v>GujRERA</v>
      </c>
    </row>
    <row r="2301" spans="1:16" ht="24">
      <c r="A2301" s="129" t="str">
        <f>_xlfn.XLOOKUP(B2301,$S$9:$S$14,$T$9:$T$14)&amp;"-"&amp;
IF(E2301="Residential/Group Housing","RES",
IF(E2301="Commercial","COM",
IF(E2301="Mixed Development","MIX",
IF(E2301="Plotted Development","PLT","OTH"))))
&amp;"-"&amp;TEXT(COUNTIFS($B$9:B2301,B2301,$E$9:E2301,E2301),"0000")</f>
        <v>SUR-MIX-0401</v>
      </c>
      <c r="B2301" s="322" t="s">
        <v>34</v>
      </c>
      <c r="C2301" s="322" t="s">
        <v>34</v>
      </c>
      <c r="D2301" s="323" t="s">
        <v>2490</v>
      </c>
      <c r="E2301" s="132" t="s">
        <v>25</v>
      </c>
      <c r="F2301" s="97" t="str">
        <f ca="1">IF(OR(Market_Data[[#This Row],[Start Date]]="",Market_Data[[#This Row],[Completion Date]]=""),"Needs Validation",IF(Market_Data[[#This Row],[Start Date]]&gt;TODAY(),"Planned",IF(Market_Data[[#This Row],[Completion Date]]&lt;TODAY(),"Completed","Ongoing")))</f>
        <v>Completed</v>
      </c>
      <c r="G2301" s="324">
        <v>44305</v>
      </c>
      <c r="H2301" s="324">
        <v>46022</v>
      </c>
      <c r="I2301" s="325">
        <v>39300</v>
      </c>
      <c r="J230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01" s="133">
        <f>_xlfn.XLOOKUP(Market_Data[[#This Row],[Project Type]],tbl_assumptions_market[Project Category (RERA)],tbl_assumptions_market[Concrete Intensity
(m³ / sq m BUA)],"",0)</f>
        <v>0.42</v>
      </c>
      <c r="L2301" s="134">
        <f>ROUND(Market_Data[[#This Row],[Estimated Built Up Area (sq m)]]*Market_Data[[#This Row],[Concrete Intensity
(m³ / sq m)]],0)</f>
        <v>16506</v>
      </c>
      <c r="M2301" s="135">
        <f>_xlfn.XLOOKUP(Market_Data[[#This Row],[District]],tbl_district_price[District],tbl_district_price[Standard Price
(INR/m³)],"",0)</f>
        <v>6200</v>
      </c>
      <c r="N2301" s="364">
        <f>IF(OR(Market_Data[[#This Row],[Estimated Concrete Demand (m³)]]="",Market_Data[[#This Row],[Avg Price per (₹ / m³)]]=""),"",Market_Data[[#This Row],[Estimated Concrete Demand (m³)]]*Market_Data[[#This Row],[Avg Price per (₹ / m³)]]/10000000)</f>
        <v>10.23372</v>
      </c>
      <c r="O2301" s="97" t="str">
        <f>IF(Market_Data[[#This Row],[Estimated Concrete Demand (m³)]]="","",
IF(Market_Data[[#This Row],[Estimated Concrete Demand (m³)]]&lt;10000,"Small",
IF(Market_Data[[#This Row],[Estimated Concrete Demand (m³)]]&lt;25000,"Medium",
IF(Market_Data[[#This Row],[Estimated Concrete Demand (m³)]]&lt;100000,"Large","Mega"))))</f>
        <v>Medium</v>
      </c>
      <c r="P2301" s="287" t="str">
        <f t="shared" si="37"/>
        <v>GujRERA</v>
      </c>
    </row>
    <row r="2302" spans="1:16" ht="24">
      <c r="A2302" s="129" t="str">
        <f>_xlfn.XLOOKUP(B2302,$S$9:$S$14,$T$9:$T$14)&amp;"-"&amp;
IF(E2302="Residential/Group Housing","RES",
IF(E2302="Commercial","COM",
IF(E2302="Mixed Development","MIX",
IF(E2302="Plotted Development","PLT","OTH"))))
&amp;"-"&amp;TEXT(COUNTIFS($B$9:B2302,B2302,$E$9:E2302,E2302),"0000")</f>
        <v>SUR-RES-0773</v>
      </c>
      <c r="B2302" s="322" t="s">
        <v>34</v>
      </c>
      <c r="C2302" s="322" t="s">
        <v>34</v>
      </c>
      <c r="D2302" s="323" t="s">
        <v>2491</v>
      </c>
      <c r="E2302" s="132" t="s">
        <v>24</v>
      </c>
      <c r="F2302" s="97" t="str">
        <f ca="1">IF(OR(Market_Data[[#This Row],[Start Date]]="",Market_Data[[#This Row],[Completion Date]]=""),"Needs Validation",IF(Market_Data[[#This Row],[Start Date]]&gt;TODAY(),"Planned",IF(Market_Data[[#This Row],[Completion Date]]&lt;TODAY(),"Completed","Ongoing")))</f>
        <v>Completed</v>
      </c>
      <c r="G2302" s="324">
        <v>43410</v>
      </c>
      <c r="H2302" s="324">
        <v>44469</v>
      </c>
      <c r="I2302" s="325">
        <v>58100</v>
      </c>
      <c r="J230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02" s="133">
        <f>_xlfn.XLOOKUP(Market_Data[[#This Row],[Project Type]],tbl_assumptions_market[Project Category (RERA)],tbl_assumptions_market[Concrete Intensity
(m³ / sq m BUA)],"",0)</f>
        <v>0.45</v>
      </c>
      <c r="L2302" s="134">
        <f>ROUND(Market_Data[[#This Row],[Estimated Built Up Area (sq m)]]*Market_Data[[#This Row],[Concrete Intensity
(m³ / sq m)]],0)</f>
        <v>26145</v>
      </c>
      <c r="M2302" s="135">
        <f>_xlfn.XLOOKUP(Market_Data[[#This Row],[District]],tbl_district_price[District],tbl_district_price[Standard Price
(INR/m³)],"",0)</f>
        <v>6200</v>
      </c>
      <c r="N2302" s="364">
        <f>IF(OR(Market_Data[[#This Row],[Estimated Concrete Demand (m³)]]="",Market_Data[[#This Row],[Avg Price per (₹ / m³)]]=""),"",Market_Data[[#This Row],[Estimated Concrete Demand (m³)]]*Market_Data[[#This Row],[Avg Price per (₹ / m³)]]/10000000)</f>
        <v>16.209900000000001</v>
      </c>
      <c r="O2302" s="97" t="str">
        <f>IF(Market_Data[[#This Row],[Estimated Concrete Demand (m³)]]="","",
IF(Market_Data[[#This Row],[Estimated Concrete Demand (m³)]]&lt;10000,"Small",
IF(Market_Data[[#This Row],[Estimated Concrete Demand (m³)]]&lt;25000,"Medium",
IF(Market_Data[[#This Row],[Estimated Concrete Demand (m³)]]&lt;100000,"Large","Mega"))))</f>
        <v>Large</v>
      </c>
      <c r="P2302" s="287" t="str">
        <f t="shared" si="37"/>
        <v>GujRERA</v>
      </c>
    </row>
    <row r="2303" spans="1:16" ht="24">
      <c r="A2303" s="129" t="str">
        <f>_xlfn.XLOOKUP(B2303,$S$9:$S$14,$T$9:$T$14)&amp;"-"&amp;
IF(E2303="Residential/Group Housing","RES",
IF(E2303="Commercial","COM",
IF(E2303="Mixed Development","MIX",
IF(E2303="Plotted Development","PLT","OTH"))))
&amp;"-"&amp;TEXT(COUNTIFS($B$9:B2303,B2303,$E$9:E2303,E2303),"0000")</f>
        <v>SUR-RES-0774</v>
      </c>
      <c r="B2303" s="322" t="s">
        <v>34</v>
      </c>
      <c r="C2303" s="322" t="s">
        <v>34</v>
      </c>
      <c r="D2303" s="323" t="s">
        <v>2492</v>
      </c>
      <c r="E2303" s="132" t="s">
        <v>24</v>
      </c>
      <c r="F2303" s="97" t="str">
        <f ca="1">IF(OR(Market_Data[[#This Row],[Start Date]]="",Market_Data[[#This Row],[Completion Date]]=""),"Needs Validation",IF(Market_Data[[#This Row],[Start Date]]&gt;TODAY(),"Planned",IF(Market_Data[[#This Row],[Completion Date]]&lt;TODAY(),"Completed","Ongoing")))</f>
        <v>Completed</v>
      </c>
      <c r="G2303" s="324">
        <v>44016</v>
      </c>
      <c r="H2303" s="324">
        <v>45215</v>
      </c>
      <c r="I2303" s="325">
        <v>44600</v>
      </c>
      <c r="J230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03" s="133">
        <f>_xlfn.XLOOKUP(Market_Data[[#This Row],[Project Type]],tbl_assumptions_market[Project Category (RERA)],tbl_assumptions_market[Concrete Intensity
(m³ / sq m BUA)],"",0)</f>
        <v>0.45</v>
      </c>
      <c r="L2303" s="134">
        <f>ROUND(Market_Data[[#This Row],[Estimated Built Up Area (sq m)]]*Market_Data[[#This Row],[Concrete Intensity
(m³ / sq m)]],0)</f>
        <v>20070</v>
      </c>
      <c r="M2303" s="135">
        <f>_xlfn.XLOOKUP(Market_Data[[#This Row],[District]],tbl_district_price[District],tbl_district_price[Standard Price
(INR/m³)],"",0)</f>
        <v>6200</v>
      </c>
      <c r="N2303" s="364">
        <f>IF(OR(Market_Data[[#This Row],[Estimated Concrete Demand (m³)]]="",Market_Data[[#This Row],[Avg Price per (₹ / m³)]]=""),"",Market_Data[[#This Row],[Estimated Concrete Demand (m³)]]*Market_Data[[#This Row],[Avg Price per (₹ / m³)]]/10000000)</f>
        <v>12.4434</v>
      </c>
      <c r="O2303" s="97" t="str">
        <f>IF(Market_Data[[#This Row],[Estimated Concrete Demand (m³)]]="","",
IF(Market_Data[[#This Row],[Estimated Concrete Demand (m³)]]&lt;10000,"Small",
IF(Market_Data[[#This Row],[Estimated Concrete Demand (m³)]]&lt;25000,"Medium",
IF(Market_Data[[#This Row],[Estimated Concrete Demand (m³)]]&lt;100000,"Large","Mega"))))</f>
        <v>Medium</v>
      </c>
      <c r="P2303" s="287" t="str">
        <f t="shared" si="37"/>
        <v>GujRERA</v>
      </c>
    </row>
    <row r="2304" spans="1:16" ht="24">
      <c r="A2304" s="129" t="str">
        <f>_xlfn.XLOOKUP(B2304,$S$9:$S$14,$T$9:$T$14)&amp;"-"&amp;
IF(E2304="Residential/Group Housing","RES",
IF(E2304="Commercial","COM",
IF(E2304="Mixed Development","MIX",
IF(E2304="Plotted Development","PLT","OTH"))))
&amp;"-"&amp;TEXT(COUNTIFS($B$9:B2304,B2304,$E$9:E2304,E2304),"0000")</f>
        <v>SUR-MIX-0402</v>
      </c>
      <c r="B2304" s="322" t="s">
        <v>34</v>
      </c>
      <c r="C2304" s="322" t="s">
        <v>34</v>
      </c>
      <c r="D2304" s="323" t="s">
        <v>2493</v>
      </c>
      <c r="E2304" s="132" t="s">
        <v>25</v>
      </c>
      <c r="F2304" s="97" t="str">
        <f ca="1">IF(OR(Market_Data[[#This Row],[Start Date]]="",Market_Data[[#This Row],[Completion Date]]=""),"Needs Validation",IF(Market_Data[[#This Row],[Start Date]]&gt;TODAY(),"Planned",IF(Market_Data[[#This Row],[Completion Date]]&lt;TODAY(),"Completed","Ongoing")))</f>
        <v>Completed</v>
      </c>
      <c r="G2304" s="324">
        <v>43372</v>
      </c>
      <c r="H2304" s="324">
        <v>44376</v>
      </c>
      <c r="I2304" s="325">
        <v>7100</v>
      </c>
      <c r="J230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304" s="133">
        <f>_xlfn.XLOOKUP(Market_Data[[#This Row],[Project Type]],tbl_assumptions_market[Project Category (RERA)],tbl_assumptions_market[Concrete Intensity
(m³ / sq m BUA)],"",0)</f>
        <v>0.42</v>
      </c>
      <c r="L2304" s="134">
        <f>ROUND(Market_Data[[#This Row],[Estimated Built Up Area (sq m)]]*Market_Data[[#This Row],[Concrete Intensity
(m³ / sq m)]],0)</f>
        <v>2982</v>
      </c>
      <c r="M2304" s="135">
        <f>_xlfn.XLOOKUP(Market_Data[[#This Row],[District]],tbl_district_price[District],tbl_district_price[Standard Price
(INR/m³)],"",0)</f>
        <v>6200</v>
      </c>
      <c r="N2304" s="364">
        <f>IF(OR(Market_Data[[#This Row],[Estimated Concrete Demand (m³)]]="",Market_Data[[#This Row],[Avg Price per (₹ / m³)]]=""),"",Market_Data[[#This Row],[Estimated Concrete Demand (m³)]]*Market_Data[[#This Row],[Avg Price per (₹ / m³)]]/10000000)</f>
        <v>1.84884</v>
      </c>
      <c r="O2304" s="97" t="str">
        <f>IF(Market_Data[[#This Row],[Estimated Concrete Demand (m³)]]="","",
IF(Market_Data[[#This Row],[Estimated Concrete Demand (m³)]]&lt;10000,"Small",
IF(Market_Data[[#This Row],[Estimated Concrete Demand (m³)]]&lt;25000,"Medium",
IF(Market_Data[[#This Row],[Estimated Concrete Demand (m³)]]&lt;100000,"Large","Mega"))))</f>
        <v>Small</v>
      </c>
      <c r="P2304" s="287" t="str">
        <f t="shared" si="37"/>
        <v>GujRERA</v>
      </c>
    </row>
    <row r="2305" spans="1:16" ht="24">
      <c r="A2305" s="129" t="str">
        <f>_xlfn.XLOOKUP(B2305,$S$9:$S$14,$T$9:$T$14)&amp;"-"&amp;
IF(E2305="Residential/Group Housing","RES",
IF(E2305="Commercial","COM",
IF(E2305="Mixed Development","MIX",
IF(E2305="Plotted Development","PLT","OTH"))))
&amp;"-"&amp;TEXT(COUNTIFS($B$9:B2305,B2305,$E$9:E2305,E2305),"0000")</f>
        <v>SUR-RES-0775</v>
      </c>
      <c r="B2305" s="322" t="s">
        <v>34</v>
      </c>
      <c r="C2305" s="322" t="s">
        <v>34</v>
      </c>
      <c r="D2305" s="323" t="s">
        <v>2494</v>
      </c>
      <c r="E2305" s="132" t="s">
        <v>24</v>
      </c>
      <c r="F2305" s="97" t="str">
        <f ca="1">IF(OR(Market_Data[[#This Row],[Start Date]]="",Market_Data[[#This Row],[Completion Date]]=""),"Needs Validation",IF(Market_Data[[#This Row],[Start Date]]&gt;TODAY(),"Planned",IF(Market_Data[[#This Row],[Completion Date]]&lt;TODAY(),"Completed","Ongoing")))</f>
        <v>Completed</v>
      </c>
      <c r="G2305" s="324">
        <v>43808</v>
      </c>
      <c r="H2305" s="324">
        <v>45430</v>
      </c>
      <c r="I2305" s="325">
        <v>23300</v>
      </c>
      <c r="J230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05" s="133">
        <f>_xlfn.XLOOKUP(Market_Data[[#This Row],[Project Type]],tbl_assumptions_market[Project Category (RERA)],tbl_assumptions_market[Concrete Intensity
(m³ / sq m BUA)],"",0)</f>
        <v>0.45</v>
      </c>
      <c r="L2305" s="134">
        <f>ROUND(Market_Data[[#This Row],[Estimated Built Up Area (sq m)]]*Market_Data[[#This Row],[Concrete Intensity
(m³ / sq m)]],0)</f>
        <v>10485</v>
      </c>
      <c r="M2305" s="135">
        <f>_xlfn.XLOOKUP(Market_Data[[#This Row],[District]],tbl_district_price[District],tbl_district_price[Standard Price
(INR/m³)],"",0)</f>
        <v>6200</v>
      </c>
      <c r="N2305" s="364">
        <f>IF(OR(Market_Data[[#This Row],[Estimated Concrete Demand (m³)]]="",Market_Data[[#This Row],[Avg Price per (₹ / m³)]]=""),"",Market_Data[[#This Row],[Estimated Concrete Demand (m³)]]*Market_Data[[#This Row],[Avg Price per (₹ / m³)]]/10000000)</f>
        <v>6.5007000000000001</v>
      </c>
      <c r="O2305" s="97" t="str">
        <f>IF(Market_Data[[#This Row],[Estimated Concrete Demand (m³)]]="","",
IF(Market_Data[[#This Row],[Estimated Concrete Demand (m³)]]&lt;10000,"Small",
IF(Market_Data[[#This Row],[Estimated Concrete Demand (m³)]]&lt;25000,"Medium",
IF(Market_Data[[#This Row],[Estimated Concrete Demand (m³)]]&lt;100000,"Large","Mega"))))</f>
        <v>Medium</v>
      </c>
      <c r="P2305" s="287" t="str">
        <f t="shared" si="37"/>
        <v>GujRERA</v>
      </c>
    </row>
    <row r="2306" spans="1:16" ht="24">
      <c r="A2306" s="129" t="str">
        <f>_xlfn.XLOOKUP(B2306,$S$9:$S$14,$T$9:$T$14)&amp;"-"&amp;
IF(E2306="Residential/Group Housing","RES",
IF(E2306="Commercial","COM",
IF(E2306="Mixed Development","MIX",
IF(E2306="Plotted Development","PLT","OTH"))))
&amp;"-"&amp;TEXT(COUNTIFS($B$9:B2306,B2306,$E$9:E2306,E2306),"0000")</f>
        <v>SUR-MIX-0403</v>
      </c>
      <c r="B2306" s="322" t="s">
        <v>34</v>
      </c>
      <c r="C2306" s="322" t="s">
        <v>34</v>
      </c>
      <c r="D2306" s="323" t="s">
        <v>2495</v>
      </c>
      <c r="E2306" s="132" t="s">
        <v>25</v>
      </c>
      <c r="F2306" s="97" t="str">
        <f ca="1">IF(OR(Market_Data[[#This Row],[Start Date]]="",Market_Data[[#This Row],[Completion Date]]=""),"Needs Validation",IF(Market_Data[[#This Row],[Start Date]]&gt;TODAY(),"Planned",IF(Market_Data[[#This Row],[Completion Date]]&lt;TODAY(),"Completed","Ongoing")))</f>
        <v>Completed</v>
      </c>
      <c r="G2306" s="324">
        <v>43372</v>
      </c>
      <c r="H2306" s="324">
        <v>44469</v>
      </c>
      <c r="I2306" s="325">
        <v>54100</v>
      </c>
      <c r="J230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06" s="133">
        <f>_xlfn.XLOOKUP(Market_Data[[#This Row],[Project Type]],tbl_assumptions_market[Project Category (RERA)],tbl_assumptions_market[Concrete Intensity
(m³ / sq m BUA)],"",0)</f>
        <v>0.42</v>
      </c>
      <c r="L2306" s="134">
        <f>ROUND(Market_Data[[#This Row],[Estimated Built Up Area (sq m)]]*Market_Data[[#This Row],[Concrete Intensity
(m³ / sq m)]],0)</f>
        <v>22722</v>
      </c>
      <c r="M2306" s="135">
        <f>_xlfn.XLOOKUP(Market_Data[[#This Row],[District]],tbl_district_price[District],tbl_district_price[Standard Price
(INR/m³)],"",0)</f>
        <v>6200</v>
      </c>
      <c r="N2306" s="364">
        <f>IF(OR(Market_Data[[#This Row],[Estimated Concrete Demand (m³)]]="",Market_Data[[#This Row],[Avg Price per (₹ / m³)]]=""),"",Market_Data[[#This Row],[Estimated Concrete Demand (m³)]]*Market_Data[[#This Row],[Avg Price per (₹ / m³)]]/10000000)</f>
        <v>14.08764</v>
      </c>
      <c r="O2306" s="97" t="str">
        <f>IF(Market_Data[[#This Row],[Estimated Concrete Demand (m³)]]="","",
IF(Market_Data[[#This Row],[Estimated Concrete Demand (m³)]]&lt;10000,"Small",
IF(Market_Data[[#This Row],[Estimated Concrete Demand (m³)]]&lt;25000,"Medium",
IF(Market_Data[[#This Row],[Estimated Concrete Demand (m³)]]&lt;100000,"Large","Mega"))))</f>
        <v>Medium</v>
      </c>
      <c r="P2306" s="287" t="str">
        <f t="shared" si="37"/>
        <v>GujRERA</v>
      </c>
    </row>
    <row r="2307" spans="1:16" ht="24">
      <c r="A2307" s="129" t="str">
        <f>_xlfn.XLOOKUP(B2307,$S$9:$S$14,$T$9:$T$14)&amp;"-"&amp;
IF(E2307="Residential/Group Housing","RES",
IF(E2307="Commercial","COM",
IF(E2307="Mixed Development","MIX",
IF(E2307="Plotted Development","PLT","OTH"))))
&amp;"-"&amp;TEXT(COUNTIFS($B$9:B2307,B2307,$E$9:E2307,E2307),"0000")</f>
        <v>SUR-RES-0776</v>
      </c>
      <c r="B2307" s="322" t="s">
        <v>34</v>
      </c>
      <c r="C2307" s="322" t="s">
        <v>34</v>
      </c>
      <c r="D2307" s="323" t="s">
        <v>2496</v>
      </c>
      <c r="E2307" s="132" t="s">
        <v>24</v>
      </c>
      <c r="F2307" s="97" t="str">
        <f ca="1">IF(OR(Market_Data[[#This Row],[Start Date]]="",Market_Data[[#This Row],[Completion Date]]=""),"Needs Validation",IF(Market_Data[[#This Row],[Start Date]]&gt;TODAY(),"Planned",IF(Market_Data[[#This Row],[Completion Date]]&lt;TODAY(),"Completed","Ongoing")))</f>
        <v>Completed</v>
      </c>
      <c r="G2307" s="324">
        <v>44405</v>
      </c>
      <c r="H2307" s="324">
        <v>46022</v>
      </c>
      <c r="I2307" s="325">
        <v>13200</v>
      </c>
      <c r="J230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07" s="133">
        <f>_xlfn.XLOOKUP(Market_Data[[#This Row],[Project Type]],tbl_assumptions_market[Project Category (RERA)],tbl_assumptions_market[Concrete Intensity
(m³ / sq m BUA)],"",0)</f>
        <v>0.45</v>
      </c>
      <c r="L2307" s="134">
        <f>ROUND(Market_Data[[#This Row],[Estimated Built Up Area (sq m)]]*Market_Data[[#This Row],[Concrete Intensity
(m³ / sq m)]],0)</f>
        <v>5940</v>
      </c>
      <c r="M2307" s="135">
        <f>_xlfn.XLOOKUP(Market_Data[[#This Row],[District]],tbl_district_price[District],tbl_district_price[Standard Price
(INR/m³)],"",0)</f>
        <v>6200</v>
      </c>
      <c r="N2307" s="364">
        <f>IF(OR(Market_Data[[#This Row],[Estimated Concrete Demand (m³)]]="",Market_Data[[#This Row],[Avg Price per (₹ / m³)]]=""),"",Market_Data[[#This Row],[Estimated Concrete Demand (m³)]]*Market_Data[[#This Row],[Avg Price per (₹ / m³)]]/10000000)</f>
        <v>3.6827999999999999</v>
      </c>
      <c r="O2307" s="97" t="str">
        <f>IF(Market_Data[[#This Row],[Estimated Concrete Demand (m³)]]="","",
IF(Market_Data[[#This Row],[Estimated Concrete Demand (m³)]]&lt;10000,"Small",
IF(Market_Data[[#This Row],[Estimated Concrete Demand (m³)]]&lt;25000,"Medium",
IF(Market_Data[[#This Row],[Estimated Concrete Demand (m³)]]&lt;100000,"Large","Mega"))))</f>
        <v>Small</v>
      </c>
      <c r="P2307" s="287" t="str">
        <f t="shared" si="37"/>
        <v>GujRERA</v>
      </c>
    </row>
    <row r="2308" spans="1:16" ht="24">
      <c r="A2308" s="129" t="str">
        <f>_xlfn.XLOOKUP(B2308,$S$9:$S$14,$T$9:$T$14)&amp;"-"&amp;
IF(E2308="Residential/Group Housing","RES",
IF(E2308="Commercial","COM",
IF(E2308="Mixed Development","MIX",
IF(E2308="Plotted Development","PLT","OTH"))))
&amp;"-"&amp;TEXT(COUNTIFS($B$9:B2308,B2308,$E$9:E2308,E2308),"0000")</f>
        <v>SUR-RES-0777</v>
      </c>
      <c r="B2308" s="322" t="s">
        <v>34</v>
      </c>
      <c r="C2308" s="322" t="s">
        <v>34</v>
      </c>
      <c r="D2308" s="323" t="s">
        <v>2497</v>
      </c>
      <c r="E2308" s="132" t="s">
        <v>24</v>
      </c>
      <c r="F2308" s="97" t="str">
        <f ca="1">IF(OR(Market_Data[[#This Row],[Start Date]]="",Market_Data[[#This Row],[Completion Date]]=""),"Needs Validation",IF(Market_Data[[#This Row],[Start Date]]&gt;TODAY(),"Planned",IF(Market_Data[[#This Row],[Completion Date]]&lt;TODAY(),"Completed","Ongoing")))</f>
        <v>Ongoing</v>
      </c>
      <c r="G2308" s="324">
        <v>44697</v>
      </c>
      <c r="H2308" s="324">
        <v>46752</v>
      </c>
      <c r="I2308" s="325">
        <v>48500</v>
      </c>
      <c r="J230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08" s="133">
        <f>_xlfn.XLOOKUP(Market_Data[[#This Row],[Project Type]],tbl_assumptions_market[Project Category (RERA)],tbl_assumptions_market[Concrete Intensity
(m³ / sq m BUA)],"",0)</f>
        <v>0.45</v>
      </c>
      <c r="L2308" s="134">
        <f>ROUND(Market_Data[[#This Row],[Estimated Built Up Area (sq m)]]*Market_Data[[#This Row],[Concrete Intensity
(m³ / sq m)]],0)</f>
        <v>21825</v>
      </c>
      <c r="M2308" s="135">
        <f>_xlfn.XLOOKUP(Market_Data[[#This Row],[District]],tbl_district_price[District],tbl_district_price[Standard Price
(INR/m³)],"",0)</f>
        <v>6200</v>
      </c>
      <c r="N2308" s="364">
        <f>IF(OR(Market_Data[[#This Row],[Estimated Concrete Demand (m³)]]="",Market_Data[[#This Row],[Avg Price per (₹ / m³)]]=""),"",Market_Data[[#This Row],[Estimated Concrete Demand (m³)]]*Market_Data[[#This Row],[Avg Price per (₹ / m³)]]/10000000)</f>
        <v>13.531499999999999</v>
      </c>
      <c r="O2308" s="97" t="str">
        <f>IF(Market_Data[[#This Row],[Estimated Concrete Demand (m³)]]="","",
IF(Market_Data[[#This Row],[Estimated Concrete Demand (m³)]]&lt;10000,"Small",
IF(Market_Data[[#This Row],[Estimated Concrete Demand (m³)]]&lt;25000,"Medium",
IF(Market_Data[[#This Row],[Estimated Concrete Demand (m³)]]&lt;100000,"Large","Mega"))))</f>
        <v>Medium</v>
      </c>
      <c r="P2308" s="287" t="str">
        <f t="shared" si="37"/>
        <v>GujRERA</v>
      </c>
    </row>
    <row r="2309" spans="1:16" ht="24">
      <c r="A2309" s="129" t="str">
        <f>_xlfn.XLOOKUP(B2309,$S$9:$S$14,$T$9:$T$14)&amp;"-"&amp;
IF(E2309="Residential/Group Housing","RES",
IF(E2309="Commercial","COM",
IF(E2309="Mixed Development","MIX",
IF(E2309="Plotted Development","PLT","OTH"))))
&amp;"-"&amp;TEXT(COUNTIFS($B$9:B2309,B2309,$E$9:E2309,E2309),"0000")</f>
        <v>SUR-MIX-0404</v>
      </c>
      <c r="B2309" s="322" t="s">
        <v>34</v>
      </c>
      <c r="C2309" s="322" t="s">
        <v>34</v>
      </c>
      <c r="D2309" s="323" t="s">
        <v>2498</v>
      </c>
      <c r="E2309" s="132" t="s">
        <v>25</v>
      </c>
      <c r="F2309" s="97" t="str">
        <f ca="1">IF(OR(Market_Data[[#This Row],[Start Date]]="",Market_Data[[#This Row],[Completion Date]]=""),"Needs Validation",IF(Market_Data[[#This Row],[Start Date]]&gt;TODAY(),"Planned",IF(Market_Data[[#This Row],[Completion Date]]&lt;TODAY(),"Completed","Ongoing")))</f>
        <v>Completed</v>
      </c>
      <c r="G2309" s="324">
        <v>43808</v>
      </c>
      <c r="H2309" s="324">
        <v>45581</v>
      </c>
      <c r="I2309" s="325">
        <v>28000</v>
      </c>
      <c r="J230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09" s="133">
        <f>_xlfn.XLOOKUP(Market_Data[[#This Row],[Project Type]],tbl_assumptions_market[Project Category (RERA)],tbl_assumptions_market[Concrete Intensity
(m³ / sq m BUA)],"",0)</f>
        <v>0.42</v>
      </c>
      <c r="L2309" s="134">
        <f>ROUND(Market_Data[[#This Row],[Estimated Built Up Area (sq m)]]*Market_Data[[#This Row],[Concrete Intensity
(m³ / sq m)]],0)</f>
        <v>11760</v>
      </c>
      <c r="M2309" s="135">
        <f>_xlfn.XLOOKUP(Market_Data[[#This Row],[District]],tbl_district_price[District],tbl_district_price[Standard Price
(INR/m³)],"",0)</f>
        <v>6200</v>
      </c>
      <c r="N2309" s="364">
        <f>IF(OR(Market_Data[[#This Row],[Estimated Concrete Demand (m³)]]="",Market_Data[[#This Row],[Avg Price per (₹ / m³)]]=""),"",Market_Data[[#This Row],[Estimated Concrete Demand (m³)]]*Market_Data[[#This Row],[Avg Price per (₹ / m³)]]/10000000)</f>
        <v>7.2911999999999999</v>
      </c>
      <c r="O2309" s="97" t="str">
        <f>IF(Market_Data[[#This Row],[Estimated Concrete Demand (m³)]]="","",
IF(Market_Data[[#This Row],[Estimated Concrete Demand (m³)]]&lt;10000,"Small",
IF(Market_Data[[#This Row],[Estimated Concrete Demand (m³)]]&lt;25000,"Medium",
IF(Market_Data[[#This Row],[Estimated Concrete Demand (m³)]]&lt;100000,"Large","Mega"))))</f>
        <v>Medium</v>
      </c>
      <c r="P2309" s="287" t="str">
        <f t="shared" si="37"/>
        <v>GujRERA</v>
      </c>
    </row>
    <row r="2310" spans="1:16" ht="24">
      <c r="A2310" s="129" t="str">
        <f>_xlfn.XLOOKUP(B2310,$S$9:$S$14,$T$9:$T$14)&amp;"-"&amp;
IF(E2310="Residential/Group Housing","RES",
IF(E2310="Commercial","COM",
IF(E2310="Mixed Development","MIX",
IF(E2310="Plotted Development","PLT","OTH"))))
&amp;"-"&amp;TEXT(COUNTIFS($B$9:B2310,B2310,$E$9:E2310,E2310),"0000")</f>
        <v>SUR-RES-0778</v>
      </c>
      <c r="B2310" s="322" t="s">
        <v>34</v>
      </c>
      <c r="C2310" s="322" t="s">
        <v>34</v>
      </c>
      <c r="D2310" s="323" t="s">
        <v>2499</v>
      </c>
      <c r="E2310" s="132" t="s">
        <v>24</v>
      </c>
      <c r="F2310" s="97" t="str">
        <f ca="1">IF(OR(Market_Data[[#This Row],[Start Date]]="",Market_Data[[#This Row],[Completion Date]]=""),"Needs Validation",IF(Market_Data[[#This Row],[Start Date]]&gt;TODAY(),"Planned",IF(Market_Data[[#This Row],[Completion Date]]&lt;TODAY(),"Completed","Ongoing")))</f>
        <v>Ongoing</v>
      </c>
      <c r="G2310" s="324">
        <v>44580</v>
      </c>
      <c r="H2310" s="324">
        <v>46387</v>
      </c>
      <c r="I2310" s="325">
        <v>3600</v>
      </c>
      <c r="J231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10" s="133">
        <f>_xlfn.XLOOKUP(Market_Data[[#This Row],[Project Type]],tbl_assumptions_market[Project Category (RERA)],tbl_assumptions_market[Concrete Intensity
(m³ / sq m BUA)],"",0)</f>
        <v>0.45</v>
      </c>
      <c r="L2310" s="134">
        <f>ROUND(Market_Data[[#This Row],[Estimated Built Up Area (sq m)]]*Market_Data[[#This Row],[Concrete Intensity
(m³ / sq m)]],0)</f>
        <v>1620</v>
      </c>
      <c r="M2310" s="135">
        <f>_xlfn.XLOOKUP(Market_Data[[#This Row],[District]],tbl_district_price[District],tbl_district_price[Standard Price
(INR/m³)],"",0)</f>
        <v>6200</v>
      </c>
      <c r="N2310" s="364">
        <f>IF(OR(Market_Data[[#This Row],[Estimated Concrete Demand (m³)]]="",Market_Data[[#This Row],[Avg Price per (₹ / m³)]]=""),"",Market_Data[[#This Row],[Estimated Concrete Demand (m³)]]*Market_Data[[#This Row],[Avg Price per (₹ / m³)]]/10000000)</f>
        <v>1.0044</v>
      </c>
      <c r="O2310" s="97" t="str">
        <f>IF(Market_Data[[#This Row],[Estimated Concrete Demand (m³)]]="","",
IF(Market_Data[[#This Row],[Estimated Concrete Demand (m³)]]&lt;10000,"Small",
IF(Market_Data[[#This Row],[Estimated Concrete Demand (m³)]]&lt;25000,"Medium",
IF(Market_Data[[#This Row],[Estimated Concrete Demand (m³)]]&lt;100000,"Large","Mega"))))</f>
        <v>Small</v>
      </c>
      <c r="P2310" s="287" t="str">
        <f t="shared" si="37"/>
        <v>GujRERA</v>
      </c>
    </row>
    <row r="2311" spans="1:16" ht="24">
      <c r="A2311" s="129" t="str">
        <f>_xlfn.XLOOKUP(B2311,$S$9:$S$14,$T$9:$T$14)&amp;"-"&amp;
IF(E2311="Residential/Group Housing","RES",
IF(E2311="Commercial","COM",
IF(E2311="Mixed Development","MIX",
IF(E2311="Plotted Development","PLT","OTH"))))
&amp;"-"&amp;TEXT(COUNTIFS($B$9:B2311,B2311,$E$9:E2311,E2311),"0000")</f>
        <v>SUR-RES-0779</v>
      </c>
      <c r="B2311" s="322" t="s">
        <v>34</v>
      </c>
      <c r="C2311" s="322" t="s">
        <v>34</v>
      </c>
      <c r="D2311" s="323" t="s">
        <v>2500</v>
      </c>
      <c r="E2311" s="132" t="s">
        <v>24</v>
      </c>
      <c r="F2311" s="97" t="str">
        <f ca="1">IF(OR(Market_Data[[#This Row],[Start Date]]="",Market_Data[[#This Row],[Completion Date]]=""),"Needs Validation",IF(Market_Data[[#This Row],[Start Date]]&gt;TODAY(),"Planned",IF(Market_Data[[#This Row],[Completion Date]]&lt;TODAY(),"Completed","Ongoing")))</f>
        <v>Completed</v>
      </c>
      <c r="G2311" s="324">
        <v>43575</v>
      </c>
      <c r="H2311" s="324">
        <v>45166</v>
      </c>
      <c r="I2311" s="325">
        <v>34000</v>
      </c>
      <c r="J231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11" s="133">
        <f>_xlfn.XLOOKUP(Market_Data[[#This Row],[Project Type]],tbl_assumptions_market[Project Category (RERA)],tbl_assumptions_market[Concrete Intensity
(m³ / sq m BUA)],"",0)</f>
        <v>0.45</v>
      </c>
      <c r="L2311" s="134">
        <f>ROUND(Market_Data[[#This Row],[Estimated Built Up Area (sq m)]]*Market_Data[[#This Row],[Concrete Intensity
(m³ / sq m)]],0)</f>
        <v>15300</v>
      </c>
      <c r="M2311" s="135">
        <f>_xlfn.XLOOKUP(Market_Data[[#This Row],[District]],tbl_district_price[District],tbl_district_price[Standard Price
(INR/m³)],"",0)</f>
        <v>6200</v>
      </c>
      <c r="N2311" s="364">
        <f>IF(OR(Market_Data[[#This Row],[Estimated Concrete Demand (m³)]]="",Market_Data[[#This Row],[Avg Price per (₹ / m³)]]=""),"",Market_Data[[#This Row],[Estimated Concrete Demand (m³)]]*Market_Data[[#This Row],[Avg Price per (₹ / m³)]]/10000000)</f>
        <v>9.4860000000000007</v>
      </c>
      <c r="O2311" s="97" t="str">
        <f>IF(Market_Data[[#This Row],[Estimated Concrete Demand (m³)]]="","",
IF(Market_Data[[#This Row],[Estimated Concrete Demand (m³)]]&lt;10000,"Small",
IF(Market_Data[[#This Row],[Estimated Concrete Demand (m³)]]&lt;25000,"Medium",
IF(Market_Data[[#This Row],[Estimated Concrete Demand (m³)]]&lt;100000,"Large","Mega"))))</f>
        <v>Medium</v>
      </c>
      <c r="P2311" s="287" t="str">
        <f t="shared" si="37"/>
        <v>GujRERA</v>
      </c>
    </row>
    <row r="2312" spans="1:16" ht="24">
      <c r="A2312" s="129" t="str">
        <f>_xlfn.XLOOKUP(B2312,$S$9:$S$14,$T$9:$T$14)&amp;"-"&amp;
IF(E2312="Residential/Group Housing","RES",
IF(E2312="Commercial","COM",
IF(E2312="Mixed Development","MIX",
IF(E2312="Plotted Development","PLT","OTH"))))
&amp;"-"&amp;TEXT(COUNTIFS($B$9:B2312,B2312,$E$9:E2312,E2312),"0000")</f>
        <v>SUR-MIX-0405</v>
      </c>
      <c r="B2312" s="322" t="s">
        <v>34</v>
      </c>
      <c r="C2312" s="322" t="s">
        <v>34</v>
      </c>
      <c r="D2312" s="323" t="s">
        <v>2501</v>
      </c>
      <c r="E2312" s="132" t="s">
        <v>25</v>
      </c>
      <c r="F2312" s="97" t="str">
        <f ca="1">IF(OR(Market_Data[[#This Row],[Start Date]]="",Market_Data[[#This Row],[Completion Date]]=""),"Needs Validation",IF(Market_Data[[#This Row],[Start Date]]&gt;TODAY(),"Planned",IF(Market_Data[[#This Row],[Completion Date]]&lt;TODAY(),"Completed","Ongoing")))</f>
        <v>Ongoing</v>
      </c>
      <c r="G2312" s="324">
        <v>45041</v>
      </c>
      <c r="H2312" s="324">
        <v>46387</v>
      </c>
      <c r="I2312" s="325">
        <v>40200</v>
      </c>
      <c r="J231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12" s="133">
        <f>_xlfn.XLOOKUP(Market_Data[[#This Row],[Project Type]],tbl_assumptions_market[Project Category (RERA)],tbl_assumptions_market[Concrete Intensity
(m³ / sq m BUA)],"",0)</f>
        <v>0.42</v>
      </c>
      <c r="L2312" s="134">
        <f>ROUND(Market_Data[[#This Row],[Estimated Built Up Area (sq m)]]*Market_Data[[#This Row],[Concrete Intensity
(m³ / sq m)]],0)</f>
        <v>16884</v>
      </c>
      <c r="M2312" s="135">
        <f>_xlfn.XLOOKUP(Market_Data[[#This Row],[District]],tbl_district_price[District],tbl_district_price[Standard Price
(INR/m³)],"",0)</f>
        <v>6200</v>
      </c>
      <c r="N2312" s="364">
        <f>IF(OR(Market_Data[[#This Row],[Estimated Concrete Demand (m³)]]="",Market_Data[[#This Row],[Avg Price per (₹ / m³)]]=""),"",Market_Data[[#This Row],[Estimated Concrete Demand (m³)]]*Market_Data[[#This Row],[Avg Price per (₹ / m³)]]/10000000)</f>
        <v>10.46808</v>
      </c>
      <c r="O2312" s="97" t="str">
        <f>IF(Market_Data[[#This Row],[Estimated Concrete Demand (m³)]]="","",
IF(Market_Data[[#This Row],[Estimated Concrete Demand (m³)]]&lt;10000,"Small",
IF(Market_Data[[#This Row],[Estimated Concrete Demand (m³)]]&lt;25000,"Medium",
IF(Market_Data[[#This Row],[Estimated Concrete Demand (m³)]]&lt;100000,"Large","Mega"))))</f>
        <v>Medium</v>
      </c>
      <c r="P2312" s="287" t="str">
        <f t="shared" si="37"/>
        <v>GujRERA</v>
      </c>
    </row>
    <row r="2313" spans="1:16">
      <c r="A2313" s="129" t="str">
        <f>_xlfn.XLOOKUP(B2313,$S$9:$S$14,$T$9:$T$14)&amp;"-"&amp;
IF(E2313="Residential/Group Housing","RES",
IF(E2313="Commercial","COM",
IF(E2313="Mixed Development","MIX",
IF(E2313="Plotted Development","PLT","OTH"))))
&amp;"-"&amp;TEXT(COUNTIFS($B$9:B2313,B2313,$E$9:E2313,E2313),"0000")</f>
        <v>SUR-MIX-0406</v>
      </c>
      <c r="B2313" s="322" t="s">
        <v>34</v>
      </c>
      <c r="C2313" s="322" t="s">
        <v>34</v>
      </c>
      <c r="D2313" s="323" t="s">
        <v>2502</v>
      </c>
      <c r="E2313" s="132" t="s">
        <v>25</v>
      </c>
      <c r="F2313" s="97" t="str">
        <f ca="1">IF(OR(Market_Data[[#This Row],[Start Date]]="",Market_Data[[#This Row],[Completion Date]]=""),"Needs Validation",IF(Market_Data[[#This Row],[Start Date]]&gt;TODAY(),"Planned",IF(Market_Data[[#This Row],[Completion Date]]&lt;TODAY(),"Completed","Ongoing")))</f>
        <v>Completed</v>
      </c>
      <c r="G2313" s="324">
        <v>44197</v>
      </c>
      <c r="H2313" s="324">
        <v>45473</v>
      </c>
      <c r="I2313" s="325">
        <v>4800</v>
      </c>
      <c r="J231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313" s="133">
        <f>_xlfn.XLOOKUP(Market_Data[[#This Row],[Project Type]],tbl_assumptions_market[Project Category (RERA)],tbl_assumptions_market[Concrete Intensity
(m³ / sq m BUA)],"",0)</f>
        <v>0.42</v>
      </c>
      <c r="L2313" s="134">
        <f>ROUND(Market_Data[[#This Row],[Estimated Built Up Area (sq m)]]*Market_Data[[#This Row],[Concrete Intensity
(m³ / sq m)]],0)</f>
        <v>2016</v>
      </c>
      <c r="M2313" s="135">
        <f>_xlfn.XLOOKUP(Market_Data[[#This Row],[District]],tbl_district_price[District],tbl_district_price[Standard Price
(INR/m³)],"",0)</f>
        <v>6200</v>
      </c>
      <c r="N2313" s="364">
        <f>IF(OR(Market_Data[[#This Row],[Estimated Concrete Demand (m³)]]="",Market_Data[[#This Row],[Avg Price per (₹ / m³)]]=""),"",Market_Data[[#This Row],[Estimated Concrete Demand (m³)]]*Market_Data[[#This Row],[Avg Price per (₹ / m³)]]/10000000)</f>
        <v>1.2499199999999999</v>
      </c>
      <c r="O2313" s="97" t="str">
        <f>IF(Market_Data[[#This Row],[Estimated Concrete Demand (m³)]]="","",
IF(Market_Data[[#This Row],[Estimated Concrete Demand (m³)]]&lt;10000,"Small",
IF(Market_Data[[#This Row],[Estimated Concrete Demand (m³)]]&lt;25000,"Medium",
IF(Market_Data[[#This Row],[Estimated Concrete Demand (m³)]]&lt;100000,"Large","Mega"))))</f>
        <v>Small</v>
      </c>
      <c r="P2313" s="287" t="str">
        <f t="shared" si="37"/>
        <v>GujRERA</v>
      </c>
    </row>
    <row r="2314" spans="1:16" ht="24">
      <c r="A2314" s="129" t="str">
        <f>_xlfn.XLOOKUP(B2314,$S$9:$S$14,$T$9:$T$14)&amp;"-"&amp;
IF(E2314="Residential/Group Housing","RES",
IF(E2314="Commercial","COM",
IF(E2314="Mixed Development","MIX",
IF(E2314="Plotted Development","PLT","OTH"))))
&amp;"-"&amp;TEXT(COUNTIFS($B$9:B2314,B2314,$E$9:E2314,E2314),"0000")</f>
        <v>SUR-RES-0780</v>
      </c>
      <c r="B2314" s="322" t="s">
        <v>34</v>
      </c>
      <c r="C2314" s="322" t="s">
        <v>34</v>
      </c>
      <c r="D2314" s="323" t="s">
        <v>2503</v>
      </c>
      <c r="E2314" s="132" t="s">
        <v>24</v>
      </c>
      <c r="F2314" s="97" t="str">
        <f ca="1">IF(OR(Market_Data[[#This Row],[Start Date]]="",Market_Data[[#This Row],[Completion Date]]=""),"Needs Validation",IF(Market_Data[[#This Row],[Start Date]]&gt;TODAY(),"Planned",IF(Market_Data[[#This Row],[Completion Date]]&lt;TODAY(),"Completed","Ongoing")))</f>
        <v>Ongoing</v>
      </c>
      <c r="G2314" s="324">
        <v>45041</v>
      </c>
      <c r="H2314" s="324">
        <v>46387</v>
      </c>
      <c r="I2314" s="325">
        <v>34300</v>
      </c>
      <c r="J231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14" s="133">
        <f>_xlfn.XLOOKUP(Market_Data[[#This Row],[Project Type]],tbl_assumptions_market[Project Category (RERA)],tbl_assumptions_market[Concrete Intensity
(m³ / sq m BUA)],"",0)</f>
        <v>0.45</v>
      </c>
      <c r="L2314" s="134">
        <f>ROUND(Market_Data[[#This Row],[Estimated Built Up Area (sq m)]]*Market_Data[[#This Row],[Concrete Intensity
(m³ / sq m)]],0)</f>
        <v>15435</v>
      </c>
      <c r="M2314" s="135">
        <f>_xlfn.XLOOKUP(Market_Data[[#This Row],[District]],tbl_district_price[District],tbl_district_price[Standard Price
(INR/m³)],"",0)</f>
        <v>6200</v>
      </c>
      <c r="N2314" s="364">
        <f>IF(OR(Market_Data[[#This Row],[Estimated Concrete Demand (m³)]]="",Market_Data[[#This Row],[Avg Price per (₹ / m³)]]=""),"",Market_Data[[#This Row],[Estimated Concrete Demand (m³)]]*Market_Data[[#This Row],[Avg Price per (₹ / m³)]]/10000000)</f>
        <v>9.5696999999999992</v>
      </c>
      <c r="O2314" s="97" t="str">
        <f>IF(Market_Data[[#This Row],[Estimated Concrete Demand (m³)]]="","",
IF(Market_Data[[#This Row],[Estimated Concrete Demand (m³)]]&lt;10000,"Small",
IF(Market_Data[[#This Row],[Estimated Concrete Demand (m³)]]&lt;25000,"Medium",
IF(Market_Data[[#This Row],[Estimated Concrete Demand (m³)]]&lt;100000,"Large","Mega"))))</f>
        <v>Medium</v>
      </c>
      <c r="P2314" s="287" t="str">
        <f t="shared" ref="P2314:P2377" si="38">HYPERLINK(
"https://gujrera.gujarat.gov.in",
"GujRERA")</f>
        <v>GujRERA</v>
      </c>
    </row>
    <row r="2315" spans="1:16" ht="24">
      <c r="A2315" s="129" t="str">
        <f>_xlfn.XLOOKUP(B2315,$S$9:$S$14,$T$9:$T$14)&amp;"-"&amp;
IF(E2315="Residential/Group Housing","RES",
IF(E2315="Commercial","COM",
IF(E2315="Mixed Development","MIX",
IF(E2315="Plotted Development","PLT","OTH"))))
&amp;"-"&amp;TEXT(COUNTIFS($B$9:B2315,B2315,$E$9:E2315,E2315),"0000")</f>
        <v>SUR-MIX-0407</v>
      </c>
      <c r="B2315" s="322" t="s">
        <v>34</v>
      </c>
      <c r="C2315" s="322" t="s">
        <v>34</v>
      </c>
      <c r="D2315" s="323" t="s">
        <v>2504</v>
      </c>
      <c r="E2315" s="132" t="s">
        <v>25</v>
      </c>
      <c r="F2315" s="97" t="str">
        <f ca="1">IF(OR(Market_Data[[#This Row],[Start Date]]="",Market_Data[[#This Row],[Completion Date]]=""),"Needs Validation",IF(Market_Data[[#This Row],[Start Date]]&gt;TODAY(),"Planned",IF(Market_Data[[#This Row],[Completion Date]]&lt;TODAY(),"Completed","Ongoing")))</f>
        <v>Completed</v>
      </c>
      <c r="G2315" s="324">
        <v>43423</v>
      </c>
      <c r="H2315" s="324">
        <v>44469</v>
      </c>
      <c r="I2315" s="325">
        <v>28400</v>
      </c>
      <c r="J231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15" s="133">
        <f>_xlfn.XLOOKUP(Market_Data[[#This Row],[Project Type]],tbl_assumptions_market[Project Category (RERA)],tbl_assumptions_market[Concrete Intensity
(m³ / sq m BUA)],"",0)</f>
        <v>0.42</v>
      </c>
      <c r="L2315" s="134">
        <f>ROUND(Market_Data[[#This Row],[Estimated Built Up Area (sq m)]]*Market_Data[[#This Row],[Concrete Intensity
(m³ / sq m)]],0)</f>
        <v>11928</v>
      </c>
      <c r="M2315" s="135">
        <f>_xlfn.XLOOKUP(Market_Data[[#This Row],[District]],tbl_district_price[District],tbl_district_price[Standard Price
(INR/m³)],"",0)</f>
        <v>6200</v>
      </c>
      <c r="N2315" s="364">
        <f>IF(OR(Market_Data[[#This Row],[Estimated Concrete Demand (m³)]]="",Market_Data[[#This Row],[Avg Price per (₹ / m³)]]=""),"",Market_Data[[#This Row],[Estimated Concrete Demand (m³)]]*Market_Data[[#This Row],[Avg Price per (₹ / m³)]]/10000000)</f>
        <v>7.3953600000000002</v>
      </c>
      <c r="O2315" s="97" t="str">
        <f>IF(Market_Data[[#This Row],[Estimated Concrete Demand (m³)]]="","",
IF(Market_Data[[#This Row],[Estimated Concrete Demand (m³)]]&lt;10000,"Small",
IF(Market_Data[[#This Row],[Estimated Concrete Demand (m³)]]&lt;25000,"Medium",
IF(Market_Data[[#This Row],[Estimated Concrete Demand (m³)]]&lt;100000,"Large","Mega"))))</f>
        <v>Medium</v>
      </c>
      <c r="P2315" s="287" t="str">
        <f t="shared" si="38"/>
        <v>GujRERA</v>
      </c>
    </row>
    <row r="2316" spans="1:16" ht="24">
      <c r="A2316" s="129" t="str">
        <f>_xlfn.XLOOKUP(B2316,$S$9:$S$14,$T$9:$T$14)&amp;"-"&amp;
IF(E2316="Residential/Group Housing","RES",
IF(E2316="Commercial","COM",
IF(E2316="Mixed Development","MIX",
IF(E2316="Plotted Development","PLT","OTH"))))
&amp;"-"&amp;TEXT(COUNTIFS($B$9:B2316,B2316,$E$9:E2316,E2316),"0000")</f>
        <v>SUR-RES-0781</v>
      </c>
      <c r="B2316" s="322" t="s">
        <v>34</v>
      </c>
      <c r="C2316" s="322" t="s">
        <v>34</v>
      </c>
      <c r="D2316" s="323" t="s">
        <v>2505</v>
      </c>
      <c r="E2316" s="132" t="s">
        <v>24</v>
      </c>
      <c r="F2316" s="97" t="str">
        <f ca="1">IF(OR(Market_Data[[#This Row],[Start Date]]="",Market_Data[[#This Row],[Completion Date]]=""),"Needs Validation",IF(Market_Data[[#This Row],[Start Date]]&gt;TODAY(),"Planned",IF(Market_Data[[#This Row],[Completion Date]]&lt;TODAY(),"Completed","Ongoing")))</f>
        <v>Completed</v>
      </c>
      <c r="G2316" s="324">
        <v>43467</v>
      </c>
      <c r="H2316" s="324">
        <v>44470</v>
      </c>
      <c r="I2316" s="325">
        <v>47700</v>
      </c>
      <c r="J231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16" s="133">
        <f>_xlfn.XLOOKUP(Market_Data[[#This Row],[Project Type]],tbl_assumptions_market[Project Category (RERA)],tbl_assumptions_market[Concrete Intensity
(m³ / sq m BUA)],"",0)</f>
        <v>0.45</v>
      </c>
      <c r="L2316" s="134">
        <f>ROUND(Market_Data[[#This Row],[Estimated Built Up Area (sq m)]]*Market_Data[[#This Row],[Concrete Intensity
(m³ / sq m)]],0)</f>
        <v>21465</v>
      </c>
      <c r="M2316" s="135">
        <f>_xlfn.XLOOKUP(Market_Data[[#This Row],[District]],tbl_district_price[District],tbl_district_price[Standard Price
(INR/m³)],"",0)</f>
        <v>6200</v>
      </c>
      <c r="N2316" s="364">
        <f>IF(OR(Market_Data[[#This Row],[Estimated Concrete Demand (m³)]]="",Market_Data[[#This Row],[Avg Price per (₹ / m³)]]=""),"",Market_Data[[#This Row],[Estimated Concrete Demand (m³)]]*Market_Data[[#This Row],[Avg Price per (₹ / m³)]]/10000000)</f>
        <v>13.308299999999999</v>
      </c>
      <c r="O2316" s="97" t="str">
        <f>IF(Market_Data[[#This Row],[Estimated Concrete Demand (m³)]]="","",
IF(Market_Data[[#This Row],[Estimated Concrete Demand (m³)]]&lt;10000,"Small",
IF(Market_Data[[#This Row],[Estimated Concrete Demand (m³)]]&lt;25000,"Medium",
IF(Market_Data[[#This Row],[Estimated Concrete Demand (m³)]]&lt;100000,"Large","Mega"))))</f>
        <v>Medium</v>
      </c>
      <c r="P2316" s="287" t="str">
        <f t="shared" si="38"/>
        <v>GujRERA</v>
      </c>
    </row>
    <row r="2317" spans="1:16" ht="24">
      <c r="A2317" s="129" t="str">
        <f>_xlfn.XLOOKUP(B2317,$S$9:$S$14,$T$9:$T$14)&amp;"-"&amp;
IF(E2317="Residential/Group Housing","RES",
IF(E2317="Commercial","COM",
IF(E2317="Mixed Development","MIX",
IF(E2317="Plotted Development","PLT","OTH"))))
&amp;"-"&amp;TEXT(COUNTIFS($B$9:B2317,B2317,$E$9:E2317,E2317),"0000")</f>
        <v>SUR-MIX-0408</v>
      </c>
      <c r="B2317" s="322" t="s">
        <v>34</v>
      </c>
      <c r="C2317" s="322" t="s">
        <v>34</v>
      </c>
      <c r="D2317" s="323" t="s">
        <v>2506</v>
      </c>
      <c r="E2317" s="132" t="s">
        <v>25</v>
      </c>
      <c r="F2317" s="97" t="str">
        <f ca="1">IF(OR(Market_Data[[#This Row],[Start Date]]="",Market_Data[[#This Row],[Completion Date]]=""),"Needs Validation",IF(Market_Data[[#This Row],[Start Date]]&gt;TODAY(),"Planned",IF(Market_Data[[#This Row],[Completion Date]]&lt;TODAY(),"Completed","Ongoing")))</f>
        <v>Completed</v>
      </c>
      <c r="G2317" s="324">
        <v>43410</v>
      </c>
      <c r="H2317" s="324">
        <v>44649</v>
      </c>
      <c r="I2317" s="325">
        <v>12500</v>
      </c>
      <c r="J231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17" s="133">
        <f>_xlfn.XLOOKUP(Market_Data[[#This Row],[Project Type]],tbl_assumptions_market[Project Category (RERA)],tbl_assumptions_market[Concrete Intensity
(m³ / sq m BUA)],"",0)</f>
        <v>0.42</v>
      </c>
      <c r="L2317" s="134">
        <f>ROUND(Market_Data[[#This Row],[Estimated Built Up Area (sq m)]]*Market_Data[[#This Row],[Concrete Intensity
(m³ / sq m)]],0)</f>
        <v>5250</v>
      </c>
      <c r="M2317" s="135">
        <f>_xlfn.XLOOKUP(Market_Data[[#This Row],[District]],tbl_district_price[District],tbl_district_price[Standard Price
(INR/m³)],"",0)</f>
        <v>6200</v>
      </c>
      <c r="N2317" s="364">
        <f>IF(OR(Market_Data[[#This Row],[Estimated Concrete Demand (m³)]]="",Market_Data[[#This Row],[Avg Price per (₹ / m³)]]=""),"",Market_Data[[#This Row],[Estimated Concrete Demand (m³)]]*Market_Data[[#This Row],[Avg Price per (₹ / m³)]]/10000000)</f>
        <v>3.2549999999999999</v>
      </c>
      <c r="O2317" s="97" t="str">
        <f>IF(Market_Data[[#This Row],[Estimated Concrete Demand (m³)]]="","",
IF(Market_Data[[#This Row],[Estimated Concrete Demand (m³)]]&lt;10000,"Small",
IF(Market_Data[[#This Row],[Estimated Concrete Demand (m³)]]&lt;25000,"Medium",
IF(Market_Data[[#This Row],[Estimated Concrete Demand (m³)]]&lt;100000,"Large","Mega"))))</f>
        <v>Small</v>
      </c>
      <c r="P2317" s="287" t="str">
        <f t="shared" si="38"/>
        <v>GujRERA</v>
      </c>
    </row>
    <row r="2318" spans="1:16" ht="24">
      <c r="A2318" s="129" t="str">
        <f>_xlfn.XLOOKUP(B2318,$S$9:$S$14,$T$9:$T$14)&amp;"-"&amp;
IF(E2318="Residential/Group Housing","RES",
IF(E2318="Commercial","COM",
IF(E2318="Mixed Development","MIX",
IF(E2318="Plotted Development","PLT","OTH"))))
&amp;"-"&amp;TEXT(COUNTIFS($B$9:B2318,B2318,$E$9:E2318,E2318),"0000")</f>
        <v>SUR-MIX-0409</v>
      </c>
      <c r="B2318" s="322" t="s">
        <v>34</v>
      </c>
      <c r="C2318" s="322" t="s">
        <v>34</v>
      </c>
      <c r="D2318" s="323" t="s">
        <v>2507</v>
      </c>
      <c r="E2318" s="132" t="s">
        <v>25</v>
      </c>
      <c r="F2318" s="97" t="str">
        <f ca="1">IF(OR(Market_Data[[#This Row],[Start Date]]="",Market_Data[[#This Row],[Completion Date]]=""),"Needs Validation",IF(Market_Data[[#This Row],[Start Date]]&gt;TODAY(),"Planned",IF(Market_Data[[#This Row],[Completion Date]]&lt;TODAY(),"Completed","Ongoing")))</f>
        <v>Completed</v>
      </c>
      <c r="G2318" s="324">
        <v>43810</v>
      </c>
      <c r="H2318" s="324">
        <v>45078</v>
      </c>
      <c r="I2318" s="325">
        <v>30800</v>
      </c>
      <c r="J231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18" s="133">
        <f>_xlfn.XLOOKUP(Market_Data[[#This Row],[Project Type]],tbl_assumptions_market[Project Category (RERA)],tbl_assumptions_market[Concrete Intensity
(m³ / sq m BUA)],"",0)</f>
        <v>0.42</v>
      </c>
      <c r="L2318" s="134">
        <f>ROUND(Market_Data[[#This Row],[Estimated Built Up Area (sq m)]]*Market_Data[[#This Row],[Concrete Intensity
(m³ / sq m)]],0)</f>
        <v>12936</v>
      </c>
      <c r="M2318" s="135">
        <f>_xlfn.XLOOKUP(Market_Data[[#This Row],[District]],tbl_district_price[District],tbl_district_price[Standard Price
(INR/m³)],"",0)</f>
        <v>6200</v>
      </c>
      <c r="N2318" s="364">
        <f>IF(OR(Market_Data[[#This Row],[Estimated Concrete Demand (m³)]]="",Market_Data[[#This Row],[Avg Price per (₹ / m³)]]=""),"",Market_Data[[#This Row],[Estimated Concrete Demand (m³)]]*Market_Data[[#This Row],[Avg Price per (₹ / m³)]]/10000000)</f>
        <v>8.0203199999999999</v>
      </c>
      <c r="O2318" s="97" t="str">
        <f>IF(Market_Data[[#This Row],[Estimated Concrete Demand (m³)]]="","",
IF(Market_Data[[#This Row],[Estimated Concrete Demand (m³)]]&lt;10000,"Small",
IF(Market_Data[[#This Row],[Estimated Concrete Demand (m³)]]&lt;25000,"Medium",
IF(Market_Data[[#This Row],[Estimated Concrete Demand (m³)]]&lt;100000,"Large","Mega"))))</f>
        <v>Medium</v>
      </c>
      <c r="P2318" s="287" t="str">
        <f t="shared" si="38"/>
        <v>GujRERA</v>
      </c>
    </row>
    <row r="2319" spans="1:16" ht="24">
      <c r="A2319" s="129" t="str">
        <f>_xlfn.XLOOKUP(B2319,$S$9:$S$14,$T$9:$T$14)&amp;"-"&amp;
IF(E2319="Residential/Group Housing","RES",
IF(E2319="Commercial","COM",
IF(E2319="Mixed Development","MIX",
IF(E2319="Plotted Development","PLT","OTH"))))
&amp;"-"&amp;TEXT(COUNTIFS($B$9:B2319,B2319,$E$9:E2319,E2319),"0000")</f>
        <v>SUR-MIX-0410</v>
      </c>
      <c r="B2319" s="322" t="s">
        <v>34</v>
      </c>
      <c r="C2319" s="322" t="s">
        <v>34</v>
      </c>
      <c r="D2319" s="323" t="s">
        <v>2508</v>
      </c>
      <c r="E2319" s="132" t="s">
        <v>25</v>
      </c>
      <c r="F2319" s="97" t="str">
        <f ca="1">IF(OR(Market_Data[[#This Row],[Start Date]]="",Market_Data[[#This Row],[Completion Date]]=""),"Needs Validation",IF(Market_Data[[#This Row],[Start Date]]&gt;TODAY(),"Planned",IF(Market_Data[[#This Row],[Completion Date]]&lt;TODAY(),"Completed","Ongoing")))</f>
        <v>Ongoing</v>
      </c>
      <c r="G2319" s="324">
        <v>44729</v>
      </c>
      <c r="H2319" s="324">
        <v>46752</v>
      </c>
      <c r="I2319" s="325">
        <v>3300</v>
      </c>
      <c r="J231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319" s="133">
        <f>_xlfn.XLOOKUP(Market_Data[[#This Row],[Project Type]],tbl_assumptions_market[Project Category (RERA)],tbl_assumptions_market[Concrete Intensity
(m³ / sq m BUA)],"",0)</f>
        <v>0.42</v>
      </c>
      <c r="L2319" s="134">
        <f>ROUND(Market_Data[[#This Row],[Estimated Built Up Area (sq m)]]*Market_Data[[#This Row],[Concrete Intensity
(m³ / sq m)]],0)</f>
        <v>1386</v>
      </c>
      <c r="M2319" s="135">
        <f>_xlfn.XLOOKUP(Market_Data[[#This Row],[District]],tbl_district_price[District],tbl_district_price[Standard Price
(INR/m³)],"",0)</f>
        <v>6200</v>
      </c>
      <c r="N2319" s="364">
        <f>IF(OR(Market_Data[[#This Row],[Estimated Concrete Demand (m³)]]="",Market_Data[[#This Row],[Avg Price per (₹ / m³)]]=""),"",Market_Data[[#This Row],[Estimated Concrete Demand (m³)]]*Market_Data[[#This Row],[Avg Price per (₹ / m³)]]/10000000)</f>
        <v>0.85931999999999997</v>
      </c>
      <c r="O2319" s="97" t="str">
        <f>IF(Market_Data[[#This Row],[Estimated Concrete Demand (m³)]]="","",
IF(Market_Data[[#This Row],[Estimated Concrete Demand (m³)]]&lt;10000,"Small",
IF(Market_Data[[#This Row],[Estimated Concrete Demand (m³)]]&lt;25000,"Medium",
IF(Market_Data[[#This Row],[Estimated Concrete Demand (m³)]]&lt;100000,"Large","Mega"))))</f>
        <v>Small</v>
      </c>
      <c r="P2319" s="287" t="str">
        <f t="shared" si="38"/>
        <v>GujRERA</v>
      </c>
    </row>
    <row r="2320" spans="1:16" ht="24">
      <c r="A2320" s="129" t="str">
        <f>_xlfn.XLOOKUP(B2320,$S$9:$S$14,$T$9:$T$14)&amp;"-"&amp;
IF(E2320="Residential/Group Housing","RES",
IF(E2320="Commercial","COM",
IF(E2320="Mixed Development","MIX",
IF(E2320="Plotted Development","PLT","OTH"))))
&amp;"-"&amp;TEXT(COUNTIFS($B$9:B2320,B2320,$E$9:E2320,E2320),"0000")</f>
        <v>SUR-MIX-0411</v>
      </c>
      <c r="B2320" s="322" t="s">
        <v>34</v>
      </c>
      <c r="C2320" s="322" t="s">
        <v>34</v>
      </c>
      <c r="D2320" s="323" t="s">
        <v>2509</v>
      </c>
      <c r="E2320" s="132" t="s">
        <v>25</v>
      </c>
      <c r="F2320" s="97" t="str">
        <f ca="1">IF(OR(Market_Data[[#This Row],[Start Date]]="",Market_Data[[#This Row],[Completion Date]]=""),"Needs Validation",IF(Market_Data[[#This Row],[Start Date]]&gt;TODAY(),"Planned",IF(Market_Data[[#This Row],[Completion Date]]&lt;TODAY(),"Completed","Ongoing")))</f>
        <v>Completed</v>
      </c>
      <c r="G2320" s="324">
        <v>44453</v>
      </c>
      <c r="H2320" s="324">
        <v>46022</v>
      </c>
      <c r="I2320" s="325">
        <v>6900</v>
      </c>
      <c r="J232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320" s="133">
        <f>_xlfn.XLOOKUP(Market_Data[[#This Row],[Project Type]],tbl_assumptions_market[Project Category (RERA)],tbl_assumptions_market[Concrete Intensity
(m³ / sq m BUA)],"",0)</f>
        <v>0.42</v>
      </c>
      <c r="L2320" s="134">
        <f>ROUND(Market_Data[[#This Row],[Estimated Built Up Area (sq m)]]*Market_Data[[#This Row],[Concrete Intensity
(m³ / sq m)]],0)</f>
        <v>2898</v>
      </c>
      <c r="M2320" s="135">
        <f>_xlfn.XLOOKUP(Market_Data[[#This Row],[District]],tbl_district_price[District],tbl_district_price[Standard Price
(INR/m³)],"",0)</f>
        <v>6200</v>
      </c>
      <c r="N2320" s="364">
        <f>IF(OR(Market_Data[[#This Row],[Estimated Concrete Demand (m³)]]="",Market_Data[[#This Row],[Avg Price per (₹ / m³)]]=""),"",Market_Data[[#This Row],[Estimated Concrete Demand (m³)]]*Market_Data[[#This Row],[Avg Price per (₹ / m³)]]/10000000)</f>
        <v>1.7967599999999999</v>
      </c>
      <c r="O2320" s="97" t="str">
        <f>IF(Market_Data[[#This Row],[Estimated Concrete Demand (m³)]]="","",
IF(Market_Data[[#This Row],[Estimated Concrete Demand (m³)]]&lt;10000,"Small",
IF(Market_Data[[#This Row],[Estimated Concrete Demand (m³)]]&lt;25000,"Medium",
IF(Market_Data[[#This Row],[Estimated Concrete Demand (m³)]]&lt;100000,"Large","Mega"))))</f>
        <v>Small</v>
      </c>
      <c r="P2320" s="287" t="str">
        <f t="shared" si="38"/>
        <v>GujRERA</v>
      </c>
    </row>
    <row r="2321" spans="1:16" ht="24">
      <c r="A2321" s="129" t="str">
        <f>_xlfn.XLOOKUP(B2321,$S$9:$S$14,$T$9:$T$14)&amp;"-"&amp;
IF(E2321="Residential/Group Housing","RES",
IF(E2321="Commercial","COM",
IF(E2321="Mixed Development","MIX",
IF(E2321="Plotted Development","PLT","OTH"))))
&amp;"-"&amp;TEXT(COUNTIFS($B$9:B2321,B2321,$E$9:E2321,E2321),"0000")</f>
        <v>SUR-MIX-0412</v>
      </c>
      <c r="B2321" s="322" t="s">
        <v>34</v>
      </c>
      <c r="C2321" s="322" t="s">
        <v>34</v>
      </c>
      <c r="D2321" s="323" t="s">
        <v>2510</v>
      </c>
      <c r="E2321" s="132" t="s">
        <v>25</v>
      </c>
      <c r="F2321" s="97" t="str">
        <f ca="1">IF(OR(Market_Data[[#This Row],[Start Date]]="",Market_Data[[#This Row],[Completion Date]]=""),"Needs Validation",IF(Market_Data[[#This Row],[Start Date]]&gt;TODAY(),"Planned",IF(Market_Data[[#This Row],[Completion Date]]&lt;TODAY(),"Completed","Ongoing")))</f>
        <v>Completed</v>
      </c>
      <c r="G2321" s="324">
        <v>43808</v>
      </c>
      <c r="H2321" s="324">
        <v>45581</v>
      </c>
      <c r="I2321" s="325">
        <v>57000</v>
      </c>
      <c r="J232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21" s="133">
        <f>_xlfn.XLOOKUP(Market_Data[[#This Row],[Project Type]],tbl_assumptions_market[Project Category (RERA)],tbl_assumptions_market[Concrete Intensity
(m³ / sq m BUA)],"",0)</f>
        <v>0.42</v>
      </c>
      <c r="L2321" s="134">
        <f>ROUND(Market_Data[[#This Row],[Estimated Built Up Area (sq m)]]*Market_Data[[#This Row],[Concrete Intensity
(m³ / sq m)]],0)</f>
        <v>23940</v>
      </c>
      <c r="M2321" s="135">
        <f>_xlfn.XLOOKUP(Market_Data[[#This Row],[District]],tbl_district_price[District],tbl_district_price[Standard Price
(INR/m³)],"",0)</f>
        <v>6200</v>
      </c>
      <c r="N2321" s="364">
        <f>IF(OR(Market_Data[[#This Row],[Estimated Concrete Demand (m³)]]="",Market_Data[[#This Row],[Avg Price per (₹ / m³)]]=""),"",Market_Data[[#This Row],[Estimated Concrete Demand (m³)]]*Market_Data[[#This Row],[Avg Price per (₹ / m³)]]/10000000)</f>
        <v>14.8428</v>
      </c>
      <c r="O2321" s="97" t="str">
        <f>IF(Market_Data[[#This Row],[Estimated Concrete Demand (m³)]]="","",
IF(Market_Data[[#This Row],[Estimated Concrete Demand (m³)]]&lt;10000,"Small",
IF(Market_Data[[#This Row],[Estimated Concrete Demand (m³)]]&lt;25000,"Medium",
IF(Market_Data[[#This Row],[Estimated Concrete Demand (m³)]]&lt;100000,"Large","Mega"))))</f>
        <v>Medium</v>
      </c>
      <c r="P2321" s="287" t="str">
        <f t="shared" si="38"/>
        <v>GujRERA</v>
      </c>
    </row>
    <row r="2322" spans="1:16" ht="24">
      <c r="A2322" s="129" t="str">
        <f>_xlfn.XLOOKUP(B2322,$S$9:$S$14,$T$9:$T$14)&amp;"-"&amp;
IF(E2322="Residential/Group Housing","RES",
IF(E2322="Commercial","COM",
IF(E2322="Mixed Development","MIX",
IF(E2322="Plotted Development","PLT","OTH"))))
&amp;"-"&amp;TEXT(COUNTIFS($B$9:B2322,B2322,$E$9:E2322,E2322),"0000")</f>
        <v>SUR-MIX-0413</v>
      </c>
      <c r="B2322" s="322" t="s">
        <v>34</v>
      </c>
      <c r="C2322" s="322" t="s">
        <v>34</v>
      </c>
      <c r="D2322" s="323" t="s">
        <v>2511</v>
      </c>
      <c r="E2322" s="132" t="s">
        <v>25</v>
      </c>
      <c r="F2322" s="97" t="str">
        <f ca="1">IF(OR(Market_Data[[#This Row],[Start Date]]="",Market_Data[[#This Row],[Completion Date]]=""),"Needs Validation",IF(Market_Data[[#This Row],[Start Date]]&gt;TODAY(),"Planned",IF(Market_Data[[#This Row],[Completion Date]]&lt;TODAY(),"Completed","Ongoing")))</f>
        <v>Completed</v>
      </c>
      <c r="G2322" s="324">
        <v>43372</v>
      </c>
      <c r="H2322" s="324">
        <v>44469</v>
      </c>
      <c r="I2322" s="325">
        <v>8200</v>
      </c>
      <c r="J232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322" s="133">
        <f>_xlfn.XLOOKUP(Market_Data[[#This Row],[Project Type]],tbl_assumptions_market[Project Category (RERA)],tbl_assumptions_market[Concrete Intensity
(m³ / sq m BUA)],"",0)</f>
        <v>0.42</v>
      </c>
      <c r="L2322" s="134">
        <f>ROUND(Market_Data[[#This Row],[Estimated Built Up Area (sq m)]]*Market_Data[[#This Row],[Concrete Intensity
(m³ / sq m)]],0)</f>
        <v>3444</v>
      </c>
      <c r="M2322" s="135">
        <f>_xlfn.XLOOKUP(Market_Data[[#This Row],[District]],tbl_district_price[District],tbl_district_price[Standard Price
(INR/m³)],"",0)</f>
        <v>6200</v>
      </c>
      <c r="N2322" s="364">
        <f>IF(OR(Market_Data[[#This Row],[Estimated Concrete Demand (m³)]]="",Market_Data[[#This Row],[Avg Price per (₹ / m³)]]=""),"",Market_Data[[#This Row],[Estimated Concrete Demand (m³)]]*Market_Data[[#This Row],[Avg Price per (₹ / m³)]]/10000000)</f>
        <v>2.1352799999999998</v>
      </c>
      <c r="O2322" s="97" t="str">
        <f>IF(Market_Data[[#This Row],[Estimated Concrete Demand (m³)]]="","",
IF(Market_Data[[#This Row],[Estimated Concrete Demand (m³)]]&lt;10000,"Small",
IF(Market_Data[[#This Row],[Estimated Concrete Demand (m³)]]&lt;25000,"Medium",
IF(Market_Data[[#This Row],[Estimated Concrete Demand (m³)]]&lt;100000,"Large","Mega"))))</f>
        <v>Small</v>
      </c>
      <c r="P2322" s="287" t="str">
        <f t="shared" si="38"/>
        <v>GujRERA</v>
      </c>
    </row>
    <row r="2323" spans="1:16" ht="24">
      <c r="A2323" s="129" t="str">
        <f>_xlfn.XLOOKUP(B2323,$S$9:$S$14,$T$9:$T$14)&amp;"-"&amp;
IF(E2323="Residential/Group Housing","RES",
IF(E2323="Commercial","COM",
IF(E2323="Mixed Development","MIX",
IF(E2323="Plotted Development","PLT","OTH"))))
&amp;"-"&amp;TEXT(COUNTIFS($B$9:B2323,B2323,$E$9:E2323,E2323),"0000")</f>
        <v>SUR-MIX-0414</v>
      </c>
      <c r="B2323" s="322" t="s">
        <v>34</v>
      </c>
      <c r="C2323" s="322" t="s">
        <v>34</v>
      </c>
      <c r="D2323" s="323" t="s">
        <v>2512</v>
      </c>
      <c r="E2323" s="132" t="s">
        <v>25</v>
      </c>
      <c r="F2323" s="97" t="str">
        <f ca="1">IF(OR(Market_Data[[#This Row],[Start Date]]="",Market_Data[[#This Row],[Completion Date]]=""),"Needs Validation",IF(Market_Data[[#This Row],[Start Date]]&gt;TODAY(),"Planned",IF(Market_Data[[#This Row],[Completion Date]]&lt;TODAY(),"Completed","Ongoing")))</f>
        <v>Completed</v>
      </c>
      <c r="G2323" s="324">
        <v>44016</v>
      </c>
      <c r="H2323" s="324">
        <v>45209</v>
      </c>
      <c r="I2323" s="325">
        <v>4500</v>
      </c>
      <c r="J232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323" s="133">
        <f>_xlfn.XLOOKUP(Market_Data[[#This Row],[Project Type]],tbl_assumptions_market[Project Category (RERA)],tbl_assumptions_market[Concrete Intensity
(m³ / sq m BUA)],"",0)</f>
        <v>0.42</v>
      </c>
      <c r="L2323" s="134">
        <f>ROUND(Market_Data[[#This Row],[Estimated Built Up Area (sq m)]]*Market_Data[[#This Row],[Concrete Intensity
(m³ / sq m)]],0)</f>
        <v>1890</v>
      </c>
      <c r="M2323" s="135">
        <f>_xlfn.XLOOKUP(Market_Data[[#This Row],[District]],tbl_district_price[District],tbl_district_price[Standard Price
(INR/m³)],"",0)</f>
        <v>6200</v>
      </c>
      <c r="N2323" s="364">
        <f>IF(OR(Market_Data[[#This Row],[Estimated Concrete Demand (m³)]]="",Market_Data[[#This Row],[Avg Price per (₹ / m³)]]=""),"",Market_Data[[#This Row],[Estimated Concrete Demand (m³)]]*Market_Data[[#This Row],[Avg Price per (₹ / m³)]]/10000000)</f>
        <v>1.1718</v>
      </c>
      <c r="O2323" s="97" t="str">
        <f>IF(Market_Data[[#This Row],[Estimated Concrete Demand (m³)]]="","",
IF(Market_Data[[#This Row],[Estimated Concrete Demand (m³)]]&lt;10000,"Small",
IF(Market_Data[[#This Row],[Estimated Concrete Demand (m³)]]&lt;25000,"Medium",
IF(Market_Data[[#This Row],[Estimated Concrete Demand (m³)]]&lt;100000,"Large","Mega"))))</f>
        <v>Small</v>
      </c>
      <c r="P2323" s="287" t="str">
        <f t="shared" si="38"/>
        <v>GujRERA</v>
      </c>
    </row>
    <row r="2324" spans="1:16" ht="24">
      <c r="A2324" s="129" t="str">
        <f>_xlfn.XLOOKUP(B2324,$S$9:$S$14,$T$9:$T$14)&amp;"-"&amp;
IF(E2324="Residential/Group Housing","RES",
IF(E2324="Commercial","COM",
IF(E2324="Mixed Development","MIX",
IF(E2324="Plotted Development","PLT","OTH"))))
&amp;"-"&amp;TEXT(COUNTIFS($B$9:B2324,B2324,$E$9:E2324,E2324),"0000")</f>
        <v>SUR-RES-0782</v>
      </c>
      <c r="B2324" s="322" t="s">
        <v>34</v>
      </c>
      <c r="C2324" s="322" t="s">
        <v>34</v>
      </c>
      <c r="D2324" s="323" t="s">
        <v>2513</v>
      </c>
      <c r="E2324" s="132" t="s">
        <v>24</v>
      </c>
      <c r="F2324" s="97" t="str">
        <f ca="1">IF(OR(Market_Data[[#This Row],[Start Date]]="",Market_Data[[#This Row],[Completion Date]]=""),"Needs Validation",IF(Market_Data[[#This Row],[Start Date]]&gt;TODAY(),"Planned",IF(Market_Data[[#This Row],[Completion Date]]&lt;TODAY(),"Completed","Ongoing")))</f>
        <v>Completed</v>
      </c>
      <c r="G2324" s="324">
        <v>44148</v>
      </c>
      <c r="H2324" s="324">
        <v>45291</v>
      </c>
      <c r="I2324" s="325">
        <v>27500</v>
      </c>
      <c r="J232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24" s="133">
        <f>_xlfn.XLOOKUP(Market_Data[[#This Row],[Project Type]],tbl_assumptions_market[Project Category (RERA)],tbl_assumptions_market[Concrete Intensity
(m³ / sq m BUA)],"",0)</f>
        <v>0.45</v>
      </c>
      <c r="L2324" s="134">
        <f>ROUND(Market_Data[[#This Row],[Estimated Built Up Area (sq m)]]*Market_Data[[#This Row],[Concrete Intensity
(m³ / sq m)]],0)</f>
        <v>12375</v>
      </c>
      <c r="M2324" s="135">
        <f>_xlfn.XLOOKUP(Market_Data[[#This Row],[District]],tbl_district_price[District],tbl_district_price[Standard Price
(INR/m³)],"",0)</f>
        <v>6200</v>
      </c>
      <c r="N2324" s="364">
        <f>IF(OR(Market_Data[[#This Row],[Estimated Concrete Demand (m³)]]="",Market_Data[[#This Row],[Avg Price per (₹ / m³)]]=""),"",Market_Data[[#This Row],[Estimated Concrete Demand (m³)]]*Market_Data[[#This Row],[Avg Price per (₹ / m³)]]/10000000)</f>
        <v>7.6725000000000003</v>
      </c>
      <c r="O2324" s="97" t="str">
        <f>IF(Market_Data[[#This Row],[Estimated Concrete Demand (m³)]]="","",
IF(Market_Data[[#This Row],[Estimated Concrete Demand (m³)]]&lt;10000,"Small",
IF(Market_Data[[#This Row],[Estimated Concrete Demand (m³)]]&lt;25000,"Medium",
IF(Market_Data[[#This Row],[Estimated Concrete Demand (m³)]]&lt;100000,"Large","Mega"))))</f>
        <v>Medium</v>
      </c>
      <c r="P2324" s="287" t="str">
        <f t="shared" si="38"/>
        <v>GujRERA</v>
      </c>
    </row>
    <row r="2325" spans="1:16" ht="24">
      <c r="A2325" s="129" t="str">
        <f>_xlfn.XLOOKUP(B2325,$S$9:$S$14,$T$9:$T$14)&amp;"-"&amp;
IF(E2325="Residential/Group Housing","RES",
IF(E2325="Commercial","COM",
IF(E2325="Mixed Development","MIX",
IF(E2325="Plotted Development","PLT","OTH"))))
&amp;"-"&amp;TEXT(COUNTIFS($B$9:B2325,B2325,$E$9:E2325,E2325),"0000")</f>
        <v>SUR-RES-0783</v>
      </c>
      <c r="B2325" s="322" t="s">
        <v>34</v>
      </c>
      <c r="C2325" s="322" t="s">
        <v>34</v>
      </c>
      <c r="D2325" s="323" t="s">
        <v>2514</v>
      </c>
      <c r="E2325" s="132" t="s">
        <v>24</v>
      </c>
      <c r="F2325" s="97" t="str">
        <f ca="1">IF(OR(Market_Data[[#This Row],[Start Date]]="",Market_Data[[#This Row],[Completion Date]]=""),"Needs Validation",IF(Market_Data[[#This Row],[Start Date]]&gt;TODAY(),"Planned",IF(Market_Data[[#This Row],[Completion Date]]&lt;TODAY(),"Completed","Ongoing")))</f>
        <v>Completed</v>
      </c>
      <c r="G2325" s="324">
        <v>44434</v>
      </c>
      <c r="H2325" s="324">
        <v>46022</v>
      </c>
      <c r="I2325" s="325">
        <v>10100</v>
      </c>
      <c r="J232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25" s="133">
        <f>_xlfn.XLOOKUP(Market_Data[[#This Row],[Project Type]],tbl_assumptions_market[Project Category (RERA)],tbl_assumptions_market[Concrete Intensity
(m³ / sq m BUA)],"",0)</f>
        <v>0.45</v>
      </c>
      <c r="L2325" s="134">
        <f>ROUND(Market_Data[[#This Row],[Estimated Built Up Area (sq m)]]*Market_Data[[#This Row],[Concrete Intensity
(m³ / sq m)]],0)</f>
        <v>4545</v>
      </c>
      <c r="M2325" s="135">
        <f>_xlfn.XLOOKUP(Market_Data[[#This Row],[District]],tbl_district_price[District],tbl_district_price[Standard Price
(INR/m³)],"",0)</f>
        <v>6200</v>
      </c>
      <c r="N2325" s="364">
        <f>IF(OR(Market_Data[[#This Row],[Estimated Concrete Demand (m³)]]="",Market_Data[[#This Row],[Avg Price per (₹ / m³)]]=""),"",Market_Data[[#This Row],[Estimated Concrete Demand (m³)]]*Market_Data[[#This Row],[Avg Price per (₹ / m³)]]/10000000)</f>
        <v>2.8178999999999998</v>
      </c>
      <c r="O2325" s="97" t="str">
        <f>IF(Market_Data[[#This Row],[Estimated Concrete Demand (m³)]]="","",
IF(Market_Data[[#This Row],[Estimated Concrete Demand (m³)]]&lt;10000,"Small",
IF(Market_Data[[#This Row],[Estimated Concrete Demand (m³)]]&lt;25000,"Medium",
IF(Market_Data[[#This Row],[Estimated Concrete Demand (m³)]]&lt;100000,"Large","Mega"))))</f>
        <v>Small</v>
      </c>
      <c r="P2325" s="287" t="str">
        <f t="shared" si="38"/>
        <v>GujRERA</v>
      </c>
    </row>
    <row r="2326" spans="1:16" ht="24">
      <c r="A2326" s="129" t="str">
        <f>_xlfn.XLOOKUP(B2326,$S$9:$S$14,$T$9:$T$14)&amp;"-"&amp;
IF(E2326="Residential/Group Housing","RES",
IF(E2326="Commercial","COM",
IF(E2326="Mixed Development","MIX",
IF(E2326="Plotted Development","PLT","OTH"))))
&amp;"-"&amp;TEXT(COUNTIFS($B$9:B2326,B2326,$E$9:E2326,E2326),"0000")</f>
        <v>SUR-MIX-0415</v>
      </c>
      <c r="B2326" s="322" t="s">
        <v>34</v>
      </c>
      <c r="C2326" s="322" t="s">
        <v>34</v>
      </c>
      <c r="D2326" s="323" t="s">
        <v>2515</v>
      </c>
      <c r="E2326" s="132" t="s">
        <v>25</v>
      </c>
      <c r="F2326" s="97" t="str">
        <f ca="1">IF(OR(Market_Data[[#This Row],[Start Date]]="",Market_Data[[#This Row],[Completion Date]]=""),"Needs Validation",IF(Market_Data[[#This Row],[Start Date]]&gt;TODAY(),"Planned",IF(Market_Data[[#This Row],[Completion Date]]&lt;TODAY(),"Completed","Ongoing")))</f>
        <v>Completed</v>
      </c>
      <c r="G2326" s="324">
        <v>43570</v>
      </c>
      <c r="H2326" s="324">
        <v>45118</v>
      </c>
      <c r="I2326" s="325">
        <v>21300</v>
      </c>
      <c r="J232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26" s="133">
        <f>_xlfn.XLOOKUP(Market_Data[[#This Row],[Project Type]],tbl_assumptions_market[Project Category (RERA)],tbl_assumptions_market[Concrete Intensity
(m³ / sq m BUA)],"",0)</f>
        <v>0.42</v>
      </c>
      <c r="L2326" s="134">
        <f>ROUND(Market_Data[[#This Row],[Estimated Built Up Area (sq m)]]*Market_Data[[#This Row],[Concrete Intensity
(m³ / sq m)]],0)</f>
        <v>8946</v>
      </c>
      <c r="M2326" s="135">
        <f>_xlfn.XLOOKUP(Market_Data[[#This Row],[District]],tbl_district_price[District],tbl_district_price[Standard Price
(INR/m³)],"",0)</f>
        <v>6200</v>
      </c>
      <c r="N2326" s="364">
        <f>IF(OR(Market_Data[[#This Row],[Estimated Concrete Demand (m³)]]="",Market_Data[[#This Row],[Avg Price per (₹ / m³)]]=""),"",Market_Data[[#This Row],[Estimated Concrete Demand (m³)]]*Market_Data[[#This Row],[Avg Price per (₹ / m³)]]/10000000)</f>
        <v>5.5465200000000001</v>
      </c>
      <c r="O2326" s="97" t="str">
        <f>IF(Market_Data[[#This Row],[Estimated Concrete Demand (m³)]]="","",
IF(Market_Data[[#This Row],[Estimated Concrete Demand (m³)]]&lt;10000,"Small",
IF(Market_Data[[#This Row],[Estimated Concrete Demand (m³)]]&lt;25000,"Medium",
IF(Market_Data[[#This Row],[Estimated Concrete Demand (m³)]]&lt;100000,"Large","Mega"))))</f>
        <v>Small</v>
      </c>
      <c r="P2326" s="287" t="str">
        <f t="shared" si="38"/>
        <v>GujRERA</v>
      </c>
    </row>
    <row r="2327" spans="1:16" ht="24">
      <c r="A2327" s="129" t="str">
        <f>_xlfn.XLOOKUP(B2327,$S$9:$S$14,$T$9:$T$14)&amp;"-"&amp;
IF(E2327="Residential/Group Housing","RES",
IF(E2327="Commercial","COM",
IF(E2327="Mixed Development","MIX",
IF(E2327="Plotted Development","PLT","OTH"))))
&amp;"-"&amp;TEXT(COUNTIFS($B$9:B2327,B2327,$E$9:E2327,E2327),"0000")</f>
        <v>SUR-MIX-0416</v>
      </c>
      <c r="B2327" s="322" t="s">
        <v>34</v>
      </c>
      <c r="C2327" s="322" t="s">
        <v>34</v>
      </c>
      <c r="D2327" s="323" t="s">
        <v>2516</v>
      </c>
      <c r="E2327" s="132" t="s">
        <v>25</v>
      </c>
      <c r="F2327" s="97" t="str">
        <f ca="1">IF(OR(Market_Data[[#This Row],[Start Date]]="",Market_Data[[#This Row],[Completion Date]]=""),"Needs Validation",IF(Market_Data[[#This Row],[Start Date]]&gt;TODAY(),"Planned",IF(Market_Data[[#This Row],[Completion Date]]&lt;TODAY(),"Completed","Ongoing")))</f>
        <v>Completed</v>
      </c>
      <c r="G2327" s="324">
        <v>43808</v>
      </c>
      <c r="H2327" s="324">
        <v>45215</v>
      </c>
      <c r="I2327" s="325">
        <v>20300</v>
      </c>
      <c r="J232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27" s="133">
        <f>_xlfn.XLOOKUP(Market_Data[[#This Row],[Project Type]],tbl_assumptions_market[Project Category (RERA)],tbl_assumptions_market[Concrete Intensity
(m³ / sq m BUA)],"",0)</f>
        <v>0.42</v>
      </c>
      <c r="L2327" s="134">
        <f>ROUND(Market_Data[[#This Row],[Estimated Built Up Area (sq m)]]*Market_Data[[#This Row],[Concrete Intensity
(m³ / sq m)]],0)</f>
        <v>8526</v>
      </c>
      <c r="M2327" s="135">
        <f>_xlfn.XLOOKUP(Market_Data[[#This Row],[District]],tbl_district_price[District],tbl_district_price[Standard Price
(INR/m³)],"",0)</f>
        <v>6200</v>
      </c>
      <c r="N2327" s="364">
        <f>IF(OR(Market_Data[[#This Row],[Estimated Concrete Demand (m³)]]="",Market_Data[[#This Row],[Avg Price per (₹ / m³)]]=""),"",Market_Data[[#This Row],[Estimated Concrete Demand (m³)]]*Market_Data[[#This Row],[Avg Price per (₹ / m³)]]/10000000)</f>
        <v>5.2861200000000004</v>
      </c>
      <c r="O2327" s="97" t="str">
        <f>IF(Market_Data[[#This Row],[Estimated Concrete Demand (m³)]]="","",
IF(Market_Data[[#This Row],[Estimated Concrete Demand (m³)]]&lt;10000,"Small",
IF(Market_Data[[#This Row],[Estimated Concrete Demand (m³)]]&lt;25000,"Medium",
IF(Market_Data[[#This Row],[Estimated Concrete Demand (m³)]]&lt;100000,"Large","Mega"))))</f>
        <v>Small</v>
      </c>
      <c r="P2327" s="287" t="str">
        <f t="shared" si="38"/>
        <v>GujRERA</v>
      </c>
    </row>
    <row r="2328" spans="1:16" ht="24">
      <c r="A2328" s="129" t="str">
        <f>_xlfn.XLOOKUP(B2328,$S$9:$S$14,$T$9:$T$14)&amp;"-"&amp;
IF(E2328="Residential/Group Housing","RES",
IF(E2328="Commercial","COM",
IF(E2328="Mixed Development","MIX",
IF(E2328="Plotted Development","PLT","OTH"))))
&amp;"-"&amp;TEXT(COUNTIFS($B$9:B2328,B2328,$E$9:E2328,E2328),"0000")</f>
        <v>SUR-RES-0784</v>
      </c>
      <c r="B2328" s="322" t="s">
        <v>34</v>
      </c>
      <c r="C2328" s="322" t="s">
        <v>34</v>
      </c>
      <c r="D2328" s="323" t="s">
        <v>2517</v>
      </c>
      <c r="E2328" s="132" t="s">
        <v>24</v>
      </c>
      <c r="F2328" s="97" t="str">
        <f ca="1">IF(OR(Market_Data[[#This Row],[Start Date]]="",Market_Data[[#This Row],[Completion Date]]=""),"Needs Validation",IF(Market_Data[[#This Row],[Start Date]]&gt;TODAY(),"Planned",IF(Market_Data[[#This Row],[Completion Date]]&lt;TODAY(),"Completed","Ongoing")))</f>
        <v>Completed</v>
      </c>
      <c r="G2328" s="324">
        <v>43808</v>
      </c>
      <c r="H2328" s="324">
        <v>45398</v>
      </c>
      <c r="I2328" s="325">
        <v>50800</v>
      </c>
      <c r="J232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28" s="133">
        <f>_xlfn.XLOOKUP(Market_Data[[#This Row],[Project Type]],tbl_assumptions_market[Project Category (RERA)],tbl_assumptions_market[Concrete Intensity
(m³ / sq m BUA)],"",0)</f>
        <v>0.45</v>
      </c>
      <c r="L2328" s="134">
        <f>ROUND(Market_Data[[#This Row],[Estimated Built Up Area (sq m)]]*Market_Data[[#This Row],[Concrete Intensity
(m³ / sq m)]],0)</f>
        <v>22860</v>
      </c>
      <c r="M2328" s="135">
        <f>_xlfn.XLOOKUP(Market_Data[[#This Row],[District]],tbl_district_price[District],tbl_district_price[Standard Price
(INR/m³)],"",0)</f>
        <v>6200</v>
      </c>
      <c r="N2328" s="364">
        <f>IF(OR(Market_Data[[#This Row],[Estimated Concrete Demand (m³)]]="",Market_Data[[#This Row],[Avg Price per (₹ / m³)]]=""),"",Market_Data[[#This Row],[Estimated Concrete Demand (m³)]]*Market_Data[[#This Row],[Avg Price per (₹ / m³)]]/10000000)</f>
        <v>14.1732</v>
      </c>
      <c r="O2328" s="97" t="str">
        <f>IF(Market_Data[[#This Row],[Estimated Concrete Demand (m³)]]="","",
IF(Market_Data[[#This Row],[Estimated Concrete Demand (m³)]]&lt;10000,"Small",
IF(Market_Data[[#This Row],[Estimated Concrete Demand (m³)]]&lt;25000,"Medium",
IF(Market_Data[[#This Row],[Estimated Concrete Demand (m³)]]&lt;100000,"Large","Mega"))))</f>
        <v>Medium</v>
      </c>
      <c r="P2328" s="287" t="str">
        <f t="shared" si="38"/>
        <v>GujRERA</v>
      </c>
    </row>
    <row r="2329" spans="1:16" ht="24">
      <c r="A2329" s="129" t="str">
        <f>_xlfn.XLOOKUP(B2329,$S$9:$S$14,$T$9:$T$14)&amp;"-"&amp;
IF(E2329="Residential/Group Housing","RES",
IF(E2329="Commercial","COM",
IF(E2329="Mixed Development","MIX",
IF(E2329="Plotted Development","PLT","OTH"))))
&amp;"-"&amp;TEXT(COUNTIFS($B$9:B2329,B2329,$E$9:E2329,E2329),"0000")</f>
        <v>SUR-RES-0785</v>
      </c>
      <c r="B2329" s="322" t="s">
        <v>34</v>
      </c>
      <c r="C2329" s="322" t="s">
        <v>34</v>
      </c>
      <c r="D2329" s="323" t="s">
        <v>2518</v>
      </c>
      <c r="E2329" s="132" t="s">
        <v>24</v>
      </c>
      <c r="F2329" s="97" t="str">
        <f ca="1">IF(OR(Market_Data[[#This Row],[Start Date]]="",Market_Data[[#This Row],[Completion Date]]=""),"Needs Validation",IF(Market_Data[[#This Row],[Start Date]]&gt;TODAY(),"Planned",IF(Market_Data[[#This Row],[Completion Date]]&lt;TODAY(),"Completed","Ongoing")))</f>
        <v>Completed</v>
      </c>
      <c r="G2329" s="324">
        <v>43808</v>
      </c>
      <c r="H2329" s="324">
        <v>45302</v>
      </c>
      <c r="I2329" s="325">
        <v>35800</v>
      </c>
      <c r="J232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29" s="133">
        <f>_xlfn.XLOOKUP(Market_Data[[#This Row],[Project Type]],tbl_assumptions_market[Project Category (RERA)],tbl_assumptions_market[Concrete Intensity
(m³ / sq m BUA)],"",0)</f>
        <v>0.45</v>
      </c>
      <c r="L2329" s="134">
        <f>ROUND(Market_Data[[#This Row],[Estimated Built Up Area (sq m)]]*Market_Data[[#This Row],[Concrete Intensity
(m³ / sq m)]],0)</f>
        <v>16110</v>
      </c>
      <c r="M2329" s="135">
        <f>_xlfn.XLOOKUP(Market_Data[[#This Row],[District]],tbl_district_price[District],tbl_district_price[Standard Price
(INR/m³)],"",0)</f>
        <v>6200</v>
      </c>
      <c r="N2329" s="364">
        <f>IF(OR(Market_Data[[#This Row],[Estimated Concrete Demand (m³)]]="",Market_Data[[#This Row],[Avg Price per (₹ / m³)]]=""),"",Market_Data[[#This Row],[Estimated Concrete Demand (m³)]]*Market_Data[[#This Row],[Avg Price per (₹ / m³)]]/10000000)</f>
        <v>9.9882000000000009</v>
      </c>
      <c r="O2329" s="97" t="str">
        <f>IF(Market_Data[[#This Row],[Estimated Concrete Demand (m³)]]="","",
IF(Market_Data[[#This Row],[Estimated Concrete Demand (m³)]]&lt;10000,"Small",
IF(Market_Data[[#This Row],[Estimated Concrete Demand (m³)]]&lt;25000,"Medium",
IF(Market_Data[[#This Row],[Estimated Concrete Demand (m³)]]&lt;100000,"Large","Mega"))))</f>
        <v>Medium</v>
      </c>
      <c r="P2329" s="287" t="str">
        <f t="shared" si="38"/>
        <v>GujRERA</v>
      </c>
    </row>
    <row r="2330" spans="1:16">
      <c r="A2330" s="129" t="str">
        <f>_xlfn.XLOOKUP(B2330,$S$9:$S$14,$T$9:$T$14)&amp;"-"&amp;
IF(E2330="Residential/Group Housing","RES",
IF(E2330="Commercial","COM",
IF(E2330="Mixed Development","MIX",
IF(E2330="Plotted Development","PLT","OTH"))))
&amp;"-"&amp;TEXT(COUNTIFS($B$9:B2330,B2330,$E$9:E2330,E2330),"0000")</f>
        <v>SUR-COM-0369</v>
      </c>
      <c r="B2330" s="322" t="s">
        <v>34</v>
      </c>
      <c r="C2330" s="322" t="s">
        <v>34</v>
      </c>
      <c r="D2330" s="323" t="s">
        <v>2519</v>
      </c>
      <c r="E2330" s="132" t="s">
        <v>23</v>
      </c>
      <c r="F2330" s="97" t="str">
        <f ca="1">IF(OR(Market_Data[[#This Row],[Start Date]]="",Market_Data[[#This Row],[Completion Date]]=""),"Needs Validation",IF(Market_Data[[#This Row],[Start Date]]&gt;TODAY(),"Planned",IF(Market_Data[[#This Row],[Completion Date]]&lt;TODAY(),"Completed","Ongoing")))</f>
        <v>Completed</v>
      </c>
      <c r="G2330" s="324">
        <v>43138</v>
      </c>
      <c r="H2330" s="324">
        <v>45199</v>
      </c>
      <c r="I2330" s="325">
        <v>11200</v>
      </c>
      <c r="J233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30" s="133">
        <f>_xlfn.XLOOKUP(Market_Data[[#This Row],[Project Type]],tbl_assumptions_market[Project Category (RERA)],tbl_assumptions_market[Concrete Intensity
(m³ / sq m BUA)],"",0)</f>
        <v>0.5</v>
      </c>
      <c r="L2330" s="134">
        <f>ROUND(Market_Data[[#This Row],[Estimated Built Up Area (sq m)]]*Market_Data[[#This Row],[Concrete Intensity
(m³ / sq m)]],0)</f>
        <v>5600</v>
      </c>
      <c r="M2330" s="135">
        <f>_xlfn.XLOOKUP(Market_Data[[#This Row],[District]],tbl_district_price[District],tbl_district_price[Standard Price
(INR/m³)],"",0)</f>
        <v>6200</v>
      </c>
      <c r="N2330" s="364">
        <f>IF(OR(Market_Data[[#This Row],[Estimated Concrete Demand (m³)]]="",Market_Data[[#This Row],[Avg Price per (₹ / m³)]]=""),"",Market_Data[[#This Row],[Estimated Concrete Demand (m³)]]*Market_Data[[#This Row],[Avg Price per (₹ / m³)]]/10000000)</f>
        <v>3.472</v>
      </c>
      <c r="O2330" s="97" t="str">
        <f>IF(Market_Data[[#This Row],[Estimated Concrete Demand (m³)]]="","",
IF(Market_Data[[#This Row],[Estimated Concrete Demand (m³)]]&lt;10000,"Small",
IF(Market_Data[[#This Row],[Estimated Concrete Demand (m³)]]&lt;25000,"Medium",
IF(Market_Data[[#This Row],[Estimated Concrete Demand (m³)]]&lt;100000,"Large","Mega"))))</f>
        <v>Small</v>
      </c>
      <c r="P2330" s="287" t="str">
        <f t="shared" si="38"/>
        <v>GujRERA</v>
      </c>
    </row>
    <row r="2331" spans="1:16">
      <c r="A2331" s="129" t="str">
        <f>_xlfn.XLOOKUP(B2331,$S$9:$S$14,$T$9:$T$14)&amp;"-"&amp;
IF(E2331="Residential/Group Housing","RES",
IF(E2331="Commercial","COM",
IF(E2331="Mixed Development","MIX",
IF(E2331="Plotted Development","PLT","OTH"))))
&amp;"-"&amp;TEXT(COUNTIFS($B$9:B2331,B2331,$E$9:E2331,E2331),"0000")</f>
        <v>SUR-MIX-0417</v>
      </c>
      <c r="B2331" s="322" t="s">
        <v>34</v>
      </c>
      <c r="C2331" s="322" t="s">
        <v>34</v>
      </c>
      <c r="D2331" s="323" t="s">
        <v>2520</v>
      </c>
      <c r="E2331" s="132" t="s">
        <v>25</v>
      </c>
      <c r="F2331" s="97" t="str">
        <f ca="1">IF(OR(Market_Data[[#This Row],[Start Date]]="",Market_Data[[#This Row],[Completion Date]]=""),"Needs Validation",IF(Market_Data[[#This Row],[Start Date]]&gt;TODAY(),"Planned",IF(Market_Data[[#This Row],[Completion Date]]&lt;TODAY(),"Completed","Ongoing")))</f>
        <v>Ongoing</v>
      </c>
      <c r="G2331" s="324">
        <v>44841</v>
      </c>
      <c r="H2331" s="324">
        <v>46843</v>
      </c>
      <c r="I2331" s="325">
        <v>40300</v>
      </c>
      <c r="J233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31" s="133">
        <f>_xlfn.XLOOKUP(Market_Data[[#This Row],[Project Type]],tbl_assumptions_market[Project Category (RERA)],tbl_assumptions_market[Concrete Intensity
(m³ / sq m BUA)],"",0)</f>
        <v>0.42</v>
      </c>
      <c r="L2331" s="134">
        <f>ROUND(Market_Data[[#This Row],[Estimated Built Up Area (sq m)]]*Market_Data[[#This Row],[Concrete Intensity
(m³ / sq m)]],0)</f>
        <v>16926</v>
      </c>
      <c r="M2331" s="135">
        <f>_xlfn.XLOOKUP(Market_Data[[#This Row],[District]],tbl_district_price[District],tbl_district_price[Standard Price
(INR/m³)],"",0)</f>
        <v>6200</v>
      </c>
      <c r="N2331" s="364">
        <f>IF(OR(Market_Data[[#This Row],[Estimated Concrete Demand (m³)]]="",Market_Data[[#This Row],[Avg Price per (₹ / m³)]]=""),"",Market_Data[[#This Row],[Estimated Concrete Demand (m³)]]*Market_Data[[#This Row],[Avg Price per (₹ / m³)]]/10000000)</f>
        <v>10.494120000000001</v>
      </c>
      <c r="O2331" s="97" t="str">
        <f>IF(Market_Data[[#This Row],[Estimated Concrete Demand (m³)]]="","",
IF(Market_Data[[#This Row],[Estimated Concrete Demand (m³)]]&lt;10000,"Small",
IF(Market_Data[[#This Row],[Estimated Concrete Demand (m³)]]&lt;25000,"Medium",
IF(Market_Data[[#This Row],[Estimated Concrete Demand (m³)]]&lt;100000,"Large","Mega"))))</f>
        <v>Medium</v>
      </c>
      <c r="P2331" s="287" t="str">
        <f t="shared" si="38"/>
        <v>GujRERA</v>
      </c>
    </row>
    <row r="2332" spans="1:16">
      <c r="A2332" s="129" t="str">
        <f>_xlfn.XLOOKUP(B2332,$S$9:$S$14,$T$9:$T$14)&amp;"-"&amp;
IF(E2332="Residential/Group Housing","RES",
IF(E2332="Commercial","COM",
IF(E2332="Mixed Development","MIX",
IF(E2332="Plotted Development","PLT","OTH"))))
&amp;"-"&amp;TEXT(COUNTIFS($B$9:B2332,B2332,$E$9:E2332,E2332),"0000")</f>
        <v>SUR-COM-0370</v>
      </c>
      <c r="B2332" s="322" t="s">
        <v>34</v>
      </c>
      <c r="C2332" s="322" t="s">
        <v>34</v>
      </c>
      <c r="D2332" s="323" t="s">
        <v>2521</v>
      </c>
      <c r="E2332" s="132" t="s">
        <v>23</v>
      </c>
      <c r="F2332" s="97" t="str">
        <f ca="1">IF(OR(Market_Data[[#This Row],[Start Date]]="",Market_Data[[#This Row],[Completion Date]]=""),"Needs Validation",IF(Market_Data[[#This Row],[Start Date]]&gt;TODAY(),"Planned",IF(Market_Data[[#This Row],[Completion Date]]&lt;TODAY(),"Completed","Ongoing")))</f>
        <v>Completed</v>
      </c>
      <c r="G2332" s="324">
        <v>43015</v>
      </c>
      <c r="H2332" s="324">
        <v>44469</v>
      </c>
      <c r="I2332" s="325">
        <v>107900</v>
      </c>
      <c r="J233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332" s="133">
        <f>_xlfn.XLOOKUP(Market_Data[[#This Row],[Project Type]],tbl_assumptions_market[Project Category (RERA)],tbl_assumptions_market[Concrete Intensity
(m³ / sq m BUA)],"",0)</f>
        <v>0.5</v>
      </c>
      <c r="L2332" s="134">
        <f>ROUND(Market_Data[[#This Row],[Estimated Built Up Area (sq m)]]*Market_Data[[#This Row],[Concrete Intensity
(m³ / sq m)]],0)</f>
        <v>53950</v>
      </c>
      <c r="M2332" s="135">
        <f>_xlfn.XLOOKUP(Market_Data[[#This Row],[District]],tbl_district_price[District],tbl_district_price[Standard Price
(INR/m³)],"",0)</f>
        <v>6200</v>
      </c>
      <c r="N2332" s="364">
        <f>IF(OR(Market_Data[[#This Row],[Estimated Concrete Demand (m³)]]="",Market_Data[[#This Row],[Avg Price per (₹ / m³)]]=""),"",Market_Data[[#This Row],[Estimated Concrete Demand (m³)]]*Market_Data[[#This Row],[Avg Price per (₹ / m³)]]/10000000)</f>
        <v>33.448999999999998</v>
      </c>
      <c r="O2332" s="97" t="str">
        <f>IF(Market_Data[[#This Row],[Estimated Concrete Demand (m³)]]="","",
IF(Market_Data[[#This Row],[Estimated Concrete Demand (m³)]]&lt;10000,"Small",
IF(Market_Data[[#This Row],[Estimated Concrete Demand (m³)]]&lt;25000,"Medium",
IF(Market_Data[[#This Row],[Estimated Concrete Demand (m³)]]&lt;100000,"Large","Mega"))))</f>
        <v>Large</v>
      </c>
      <c r="P2332" s="287" t="str">
        <f t="shared" si="38"/>
        <v>GujRERA</v>
      </c>
    </row>
    <row r="2333" spans="1:16">
      <c r="A2333" s="129" t="str">
        <f>_xlfn.XLOOKUP(B2333,$S$9:$S$14,$T$9:$T$14)&amp;"-"&amp;
IF(E2333="Residential/Group Housing","RES",
IF(E2333="Commercial","COM",
IF(E2333="Mixed Development","MIX",
IF(E2333="Plotted Development","PLT","OTH"))))
&amp;"-"&amp;TEXT(COUNTIFS($B$9:B2333,B2333,$E$9:E2333,E2333),"0000")</f>
        <v>SUR-MIX-0418</v>
      </c>
      <c r="B2333" s="322" t="s">
        <v>34</v>
      </c>
      <c r="C2333" s="322" t="s">
        <v>34</v>
      </c>
      <c r="D2333" s="323" t="s">
        <v>2522</v>
      </c>
      <c r="E2333" s="132" t="s">
        <v>25</v>
      </c>
      <c r="F2333" s="97" t="str">
        <f ca="1">IF(OR(Market_Data[[#This Row],[Start Date]]="",Market_Data[[#This Row],[Completion Date]]=""),"Needs Validation",IF(Market_Data[[#This Row],[Start Date]]&gt;TODAY(),"Planned",IF(Market_Data[[#This Row],[Completion Date]]&lt;TODAY(),"Completed","Ongoing")))</f>
        <v>Ongoing</v>
      </c>
      <c r="G2333" s="324">
        <v>45555</v>
      </c>
      <c r="H2333" s="324">
        <v>47118</v>
      </c>
      <c r="I2333" s="325">
        <v>55900</v>
      </c>
      <c r="J233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33" s="133">
        <f>_xlfn.XLOOKUP(Market_Data[[#This Row],[Project Type]],tbl_assumptions_market[Project Category (RERA)],tbl_assumptions_market[Concrete Intensity
(m³ / sq m BUA)],"",0)</f>
        <v>0.42</v>
      </c>
      <c r="L2333" s="134">
        <f>ROUND(Market_Data[[#This Row],[Estimated Built Up Area (sq m)]]*Market_Data[[#This Row],[Concrete Intensity
(m³ / sq m)]],0)</f>
        <v>23478</v>
      </c>
      <c r="M2333" s="135">
        <f>_xlfn.XLOOKUP(Market_Data[[#This Row],[District]],tbl_district_price[District],tbl_district_price[Standard Price
(INR/m³)],"",0)</f>
        <v>6200</v>
      </c>
      <c r="N2333" s="364">
        <f>IF(OR(Market_Data[[#This Row],[Estimated Concrete Demand (m³)]]="",Market_Data[[#This Row],[Avg Price per (₹ / m³)]]=""),"",Market_Data[[#This Row],[Estimated Concrete Demand (m³)]]*Market_Data[[#This Row],[Avg Price per (₹ / m³)]]/10000000)</f>
        <v>14.55636</v>
      </c>
      <c r="O2333" s="97" t="str">
        <f>IF(Market_Data[[#This Row],[Estimated Concrete Demand (m³)]]="","",
IF(Market_Data[[#This Row],[Estimated Concrete Demand (m³)]]&lt;10000,"Small",
IF(Market_Data[[#This Row],[Estimated Concrete Demand (m³)]]&lt;25000,"Medium",
IF(Market_Data[[#This Row],[Estimated Concrete Demand (m³)]]&lt;100000,"Large","Mega"))))</f>
        <v>Medium</v>
      </c>
      <c r="P2333" s="287" t="str">
        <f t="shared" si="38"/>
        <v>GujRERA</v>
      </c>
    </row>
    <row r="2334" spans="1:16">
      <c r="A2334" s="129" t="str">
        <f>_xlfn.XLOOKUP(B2334,$S$9:$S$14,$T$9:$T$14)&amp;"-"&amp;
IF(E2334="Residential/Group Housing","RES",
IF(E2334="Commercial","COM",
IF(E2334="Mixed Development","MIX",
IF(E2334="Plotted Development","PLT","OTH"))))
&amp;"-"&amp;TEXT(COUNTIFS($B$9:B2334,B2334,$E$9:E2334,E2334),"0000")</f>
        <v>SUR-RES-0786</v>
      </c>
      <c r="B2334" s="322" t="s">
        <v>34</v>
      </c>
      <c r="C2334" s="322" t="s">
        <v>34</v>
      </c>
      <c r="D2334" s="323" t="s">
        <v>2523</v>
      </c>
      <c r="E2334" s="132" t="s">
        <v>24</v>
      </c>
      <c r="F2334" s="97" t="str">
        <f ca="1">IF(OR(Market_Data[[#This Row],[Start Date]]="",Market_Data[[#This Row],[Completion Date]]=""),"Needs Validation",IF(Market_Data[[#This Row],[Start Date]]&gt;TODAY(),"Planned",IF(Market_Data[[#This Row],[Completion Date]]&lt;TODAY(),"Completed","Ongoing")))</f>
        <v>Completed</v>
      </c>
      <c r="G2334" s="324">
        <v>42491</v>
      </c>
      <c r="H2334" s="324">
        <v>44285</v>
      </c>
      <c r="I2334" s="325">
        <v>7900</v>
      </c>
      <c r="J233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34" s="133">
        <f>_xlfn.XLOOKUP(Market_Data[[#This Row],[Project Type]],tbl_assumptions_market[Project Category (RERA)],tbl_assumptions_market[Concrete Intensity
(m³ / sq m BUA)],"",0)</f>
        <v>0.45</v>
      </c>
      <c r="L2334" s="134">
        <f>ROUND(Market_Data[[#This Row],[Estimated Built Up Area (sq m)]]*Market_Data[[#This Row],[Concrete Intensity
(m³ / sq m)]],0)</f>
        <v>3555</v>
      </c>
      <c r="M2334" s="135">
        <f>_xlfn.XLOOKUP(Market_Data[[#This Row],[District]],tbl_district_price[District],tbl_district_price[Standard Price
(INR/m³)],"",0)</f>
        <v>6200</v>
      </c>
      <c r="N2334" s="364">
        <f>IF(OR(Market_Data[[#This Row],[Estimated Concrete Demand (m³)]]="",Market_Data[[#This Row],[Avg Price per (₹ / m³)]]=""),"",Market_Data[[#This Row],[Estimated Concrete Demand (m³)]]*Market_Data[[#This Row],[Avg Price per (₹ / m³)]]/10000000)</f>
        <v>2.2040999999999999</v>
      </c>
      <c r="O2334" s="97" t="str">
        <f>IF(Market_Data[[#This Row],[Estimated Concrete Demand (m³)]]="","",
IF(Market_Data[[#This Row],[Estimated Concrete Demand (m³)]]&lt;10000,"Small",
IF(Market_Data[[#This Row],[Estimated Concrete Demand (m³)]]&lt;25000,"Medium",
IF(Market_Data[[#This Row],[Estimated Concrete Demand (m³)]]&lt;100000,"Large","Mega"))))</f>
        <v>Small</v>
      </c>
      <c r="P2334" s="287" t="str">
        <f t="shared" si="38"/>
        <v>GujRERA</v>
      </c>
    </row>
    <row r="2335" spans="1:16">
      <c r="A2335" s="129" t="str">
        <f>_xlfn.XLOOKUP(B2335,$S$9:$S$14,$T$9:$T$14)&amp;"-"&amp;
IF(E2335="Residential/Group Housing","RES",
IF(E2335="Commercial","COM",
IF(E2335="Mixed Development","MIX",
IF(E2335="Plotted Development","PLT","OTH"))))
&amp;"-"&amp;TEXT(COUNTIFS($B$9:B2335,B2335,$E$9:E2335,E2335),"0000")</f>
        <v>SUR-RES-0787</v>
      </c>
      <c r="B2335" s="322" t="s">
        <v>34</v>
      </c>
      <c r="C2335" s="322" t="s">
        <v>34</v>
      </c>
      <c r="D2335" s="323" t="s">
        <v>2524</v>
      </c>
      <c r="E2335" s="132" t="s">
        <v>24</v>
      </c>
      <c r="F2335" s="97" t="str">
        <f ca="1">IF(OR(Market_Data[[#This Row],[Start Date]]="",Market_Data[[#This Row],[Completion Date]]=""),"Needs Validation",IF(Market_Data[[#This Row],[Start Date]]&gt;TODAY(),"Planned",IF(Market_Data[[#This Row],[Completion Date]]&lt;TODAY(),"Completed","Ongoing")))</f>
        <v>Completed</v>
      </c>
      <c r="G2335" s="324">
        <v>42584</v>
      </c>
      <c r="H2335" s="324">
        <v>43830</v>
      </c>
      <c r="I2335" s="325">
        <v>3800</v>
      </c>
      <c r="J233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35" s="133">
        <f>_xlfn.XLOOKUP(Market_Data[[#This Row],[Project Type]],tbl_assumptions_market[Project Category (RERA)],tbl_assumptions_market[Concrete Intensity
(m³ / sq m BUA)],"",0)</f>
        <v>0.45</v>
      </c>
      <c r="L2335" s="134">
        <f>ROUND(Market_Data[[#This Row],[Estimated Built Up Area (sq m)]]*Market_Data[[#This Row],[Concrete Intensity
(m³ / sq m)]],0)</f>
        <v>1710</v>
      </c>
      <c r="M2335" s="135">
        <f>_xlfn.XLOOKUP(Market_Data[[#This Row],[District]],tbl_district_price[District],tbl_district_price[Standard Price
(INR/m³)],"",0)</f>
        <v>6200</v>
      </c>
      <c r="N2335" s="364">
        <f>IF(OR(Market_Data[[#This Row],[Estimated Concrete Demand (m³)]]="",Market_Data[[#This Row],[Avg Price per (₹ / m³)]]=""),"",Market_Data[[#This Row],[Estimated Concrete Demand (m³)]]*Market_Data[[#This Row],[Avg Price per (₹ / m³)]]/10000000)</f>
        <v>1.0602</v>
      </c>
      <c r="O2335" s="97" t="str">
        <f>IF(Market_Data[[#This Row],[Estimated Concrete Demand (m³)]]="","",
IF(Market_Data[[#This Row],[Estimated Concrete Demand (m³)]]&lt;10000,"Small",
IF(Market_Data[[#This Row],[Estimated Concrete Demand (m³)]]&lt;25000,"Medium",
IF(Market_Data[[#This Row],[Estimated Concrete Demand (m³)]]&lt;100000,"Large","Mega"))))</f>
        <v>Small</v>
      </c>
      <c r="P2335" s="287" t="str">
        <f t="shared" si="38"/>
        <v>GujRERA</v>
      </c>
    </row>
    <row r="2336" spans="1:16">
      <c r="A2336" s="129" t="str">
        <f>_xlfn.XLOOKUP(B2336,$S$9:$S$14,$T$9:$T$14)&amp;"-"&amp;
IF(E2336="Residential/Group Housing","RES",
IF(E2336="Commercial","COM",
IF(E2336="Mixed Development","MIX",
IF(E2336="Plotted Development","PLT","OTH"))))
&amp;"-"&amp;TEXT(COUNTIFS($B$9:B2336,B2336,$E$9:E2336,E2336),"0000")</f>
        <v>SUR-RES-0788</v>
      </c>
      <c r="B2336" s="322" t="s">
        <v>34</v>
      </c>
      <c r="C2336" s="322" t="s">
        <v>34</v>
      </c>
      <c r="D2336" s="323" t="s">
        <v>2525</v>
      </c>
      <c r="E2336" s="132" t="s">
        <v>24</v>
      </c>
      <c r="F2336" s="97" t="str">
        <f ca="1">IF(OR(Market_Data[[#This Row],[Start Date]]="",Market_Data[[#This Row],[Completion Date]]=""),"Needs Validation",IF(Market_Data[[#This Row],[Start Date]]&gt;TODAY(),"Planned",IF(Market_Data[[#This Row],[Completion Date]]&lt;TODAY(),"Completed","Ongoing")))</f>
        <v>Ongoing</v>
      </c>
      <c r="G2336" s="324">
        <v>45688</v>
      </c>
      <c r="H2336" s="324">
        <v>46752</v>
      </c>
      <c r="I2336" s="325">
        <v>31800</v>
      </c>
      <c r="J233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36" s="133">
        <f>_xlfn.XLOOKUP(Market_Data[[#This Row],[Project Type]],tbl_assumptions_market[Project Category (RERA)],tbl_assumptions_market[Concrete Intensity
(m³ / sq m BUA)],"",0)</f>
        <v>0.45</v>
      </c>
      <c r="L2336" s="134">
        <f>ROUND(Market_Data[[#This Row],[Estimated Built Up Area (sq m)]]*Market_Data[[#This Row],[Concrete Intensity
(m³ / sq m)]],0)</f>
        <v>14310</v>
      </c>
      <c r="M2336" s="135">
        <f>_xlfn.XLOOKUP(Market_Data[[#This Row],[District]],tbl_district_price[District],tbl_district_price[Standard Price
(INR/m³)],"",0)</f>
        <v>6200</v>
      </c>
      <c r="N2336" s="364">
        <f>IF(OR(Market_Data[[#This Row],[Estimated Concrete Demand (m³)]]="",Market_Data[[#This Row],[Avg Price per (₹ / m³)]]=""),"",Market_Data[[#This Row],[Estimated Concrete Demand (m³)]]*Market_Data[[#This Row],[Avg Price per (₹ / m³)]]/10000000)</f>
        <v>8.8721999999999994</v>
      </c>
      <c r="O2336" s="97" t="str">
        <f>IF(Market_Data[[#This Row],[Estimated Concrete Demand (m³)]]="","",
IF(Market_Data[[#This Row],[Estimated Concrete Demand (m³)]]&lt;10000,"Small",
IF(Market_Data[[#This Row],[Estimated Concrete Demand (m³)]]&lt;25000,"Medium",
IF(Market_Data[[#This Row],[Estimated Concrete Demand (m³)]]&lt;100000,"Large","Mega"))))</f>
        <v>Medium</v>
      </c>
      <c r="P2336" s="287" t="str">
        <f t="shared" si="38"/>
        <v>GujRERA</v>
      </c>
    </row>
    <row r="2337" spans="1:16">
      <c r="A2337" s="129" t="str">
        <f>_xlfn.XLOOKUP(B2337,$S$9:$S$14,$T$9:$T$14)&amp;"-"&amp;
IF(E2337="Residential/Group Housing","RES",
IF(E2337="Commercial","COM",
IF(E2337="Mixed Development","MIX",
IF(E2337="Plotted Development","PLT","OTH"))))
&amp;"-"&amp;TEXT(COUNTIFS($B$9:B2337,B2337,$E$9:E2337,E2337),"0000")</f>
        <v>SUR-MIX-0419</v>
      </c>
      <c r="B2337" s="322" t="s">
        <v>34</v>
      </c>
      <c r="C2337" s="322" t="s">
        <v>34</v>
      </c>
      <c r="D2337" s="323" t="s">
        <v>2526</v>
      </c>
      <c r="E2337" s="132" t="s">
        <v>25</v>
      </c>
      <c r="F2337" s="97" t="str">
        <f ca="1">IF(OR(Market_Data[[#This Row],[Start Date]]="",Market_Data[[#This Row],[Completion Date]]=""),"Needs Validation",IF(Market_Data[[#This Row],[Start Date]]&gt;TODAY(),"Planned",IF(Market_Data[[#This Row],[Completion Date]]&lt;TODAY(),"Completed","Ongoing")))</f>
        <v>Completed</v>
      </c>
      <c r="G2337" s="324">
        <v>43438</v>
      </c>
      <c r="H2337" s="324">
        <v>46203</v>
      </c>
      <c r="I2337" s="325">
        <v>43100</v>
      </c>
      <c r="J233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37" s="133">
        <f>_xlfn.XLOOKUP(Market_Data[[#This Row],[Project Type]],tbl_assumptions_market[Project Category (RERA)],tbl_assumptions_market[Concrete Intensity
(m³ / sq m BUA)],"",0)</f>
        <v>0.42</v>
      </c>
      <c r="L2337" s="134">
        <f>ROUND(Market_Data[[#This Row],[Estimated Built Up Area (sq m)]]*Market_Data[[#This Row],[Concrete Intensity
(m³ / sq m)]],0)</f>
        <v>18102</v>
      </c>
      <c r="M2337" s="135">
        <f>_xlfn.XLOOKUP(Market_Data[[#This Row],[District]],tbl_district_price[District],tbl_district_price[Standard Price
(INR/m³)],"",0)</f>
        <v>6200</v>
      </c>
      <c r="N2337" s="364">
        <f>IF(OR(Market_Data[[#This Row],[Estimated Concrete Demand (m³)]]="",Market_Data[[#This Row],[Avg Price per (₹ / m³)]]=""),"",Market_Data[[#This Row],[Estimated Concrete Demand (m³)]]*Market_Data[[#This Row],[Avg Price per (₹ / m³)]]/10000000)</f>
        <v>11.223240000000001</v>
      </c>
      <c r="O2337" s="97" t="str">
        <f>IF(Market_Data[[#This Row],[Estimated Concrete Demand (m³)]]="","",
IF(Market_Data[[#This Row],[Estimated Concrete Demand (m³)]]&lt;10000,"Small",
IF(Market_Data[[#This Row],[Estimated Concrete Demand (m³)]]&lt;25000,"Medium",
IF(Market_Data[[#This Row],[Estimated Concrete Demand (m³)]]&lt;100000,"Large","Mega"))))</f>
        <v>Medium</v>
      </c>
      <c r="P2337" s="287" t="str">
        <f t="shared" si="38"/>
        <v>GujRERA</v>
      </c>
    </row>
    <row r="2338" spans="1:16">
      <c r="A2338" s="129" t="str">
        <f>_xlfn.XLOOKUP(B2338,$S$9:$S$14,$T$9:$T$14)&amp;"-"&amp;
IF(E2338="Residential/Group Housing","RES",
IF(E2338="Commercial","COM",
IF(E2338="Mixed Development","MIX",
IF(E2338="Plotted Development","PLT","OTH"))))
&amp;"-"&amp;TEXT(COUNTIFS($B$9:B2338,B2338,$E$9:E2338,E2338),"0000")</f>
        <v>SUR-MIX-0420</v>
      </c>
      <c r="B2338" s="322" t="s">
        <v>34</v>
      </c>
      <c r="C2338" s="322" t="s">
        <v>34</v>
      </c>
      <c r="D2338" s="323" t="s">
        <v>2527</v>
      </c>
      <c r="E2338" s="132" t="s">
        <v>25</v>
      </c>
      <c r="F2338" s="97" t="str">
        <f ca="1">IF(OR(Market_Data[[#This Row],[Start Date]]="",Market_Data[[#This Row],[Completion Date]]=""),"Needs Validation",IF(Market_Data[[#This Row],[Start Date]]&gt;TODAY(),"Planned",IF(Market_Data[[#This Row],[Completion Date]]&lt;TODAY(),"Completed","Ongoing")))</f>
        <v>Completed</v>
      </c>
      <c r="G2338" s="324">
        <v>42594</v>
      </c>
      <c r="H2338" s="324">
        <v>44043</v>
      </c>
      <c r="I2338" s="325">
        <v>35500</v>
      </c>
      <c r="J233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38" s="133">
        <f>_xlfn.XLOOKUP(Market_Data[[#This Row],[Project Type]],tbl_assumptions_market[Project Category (RERA)],tbl_assumptions_market[Concrete Intensity
(m³ / sq m BUA)],"",0)</f>
        <v>0.42</v>
      </c>
      <c r="L2338" s="134">
        <f>ROUND(Market_Data[[#This Row],[Estimated Built Up Area (sq m)]]*Market_Data[[#This Row],[Concrete Intensity
(m³ / sq m)]],0)</f>
        <v>14910</v>
      </c>
      <c r="M2338" s="135">
        <f>_xlfn.XLOOKUP(Market_Data[[#This Row],[District]],tbl_district_price[District],tbl_district_price[Standard Price
(INR/m³)],"",0)</f>
        <v>6200</v>
      </c>
      <c r="N2338" s="364">
        <f>IF(OR(Market_Data[[#This Row],[Estimated Concrete Demand (m³)]]="",Market_Data[[#This Row],[Avg Price per (₹ / m³)]]=""),"",Market_Data[[#This Row],[Estimated Concrete Demand (m³)]]*Market_Data[[#This Row],[Avg Price per (₹ / m³)]]/10000000)</f>
        <v>9.2441999999999993</v>
      </c>
      <c r="O2338" s="97" t="str">
        <f>IF(Market_Data[[#This Row],[Estimated Concrete Demand (m³)]]="","",
IF(Market_Data[[#This Row],[Estimated Concrete Demand (m³)]]&lt;10000,"Small",
IF(Market_Data[[#This Row],[Estimated Concrete Demand (m³)]]&lt;25000,"Medium",
IF(Market_Data[[#This Row],[Estimated Concrete Demand (m³)]]&lt;100000,"Large","Mega"))))</f>
        <v>Medium</v>
      </c>
      <c r="P2338" s="287" t="str">
        <f t="shared" si="38"/>
        <v>GujRERA</v>
      </c>
    </row>
    <row r="2339" spans="1:16">
      <c r="A2339" s="129" t="str">
        <f>_xlfn.XLOOKUP(B2339,$S$9:$S$14,$T$9:$T$14)&amp;"-"&amp;
IF(E2339="Residential/Group Housing","RES",
IF(E2339="Commercial","COM",
IF(E2339="Mixed Development","MIX",
IF(E2339="Plotted Development","PLT","OTH"))))
&amp;"-"&amp;TEXT(COUNTIFS($B$9:B2339,B2339,$E$9:E2339,E2339),"0000")</f>
        <v>SUR-PLT-0443</v>
      </c>
      <c r="B2339" s="322" t="s">
        <v>34</v>
      </c>
      <c r="C2339" s="322" t="s">
        <v>34</v>
      </c>
      <c r="D2339" s="323" t="s">
        <v>2528</v>
      </c>
      <c r="E2339" s="132" t="s">
        <v>26</v>
      </c>
      <c r="F2339" s="97" t="str">
        <f ca="1">IF(OR(Market_Data[[#This Row],[Start Date]]="",Market_Data[[#This Row],[Completion Date]]=""),"Needs Validation",IF(Market_Data[[#This Row],[Start Date]]&gt;TODAY(),"Planned",IF(Market_Data[[#This Row],[Completion Date]]&lt;TODAY(),"Completed","Ongoing")))</f>
        <v>Completed</v>
      </c>
      <c r="G2339" s="324">
        <v>42294</v>
      </c>
      <c r="H2339" s="324">
        <v>45930</v>
      </c>
      <c r="I2339" s="325">
        <v>34700</v>
      </c>
      <c r="J233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339" s="133">
        <f>_xlfn.XLOOKUP(Market_Data[[#This Row],[Project Type]],tbl_assumptions_market[Project Category (RERA)],tbl_assumptions_market[Concrete Intensity
(m³ / sq m BUA)],"",0)</f>
        <v>0.18</v>
      </c>
      <c r="L2339" s="134">
        <f>ROUND(Market_Data[[#This Row],[Estimated Built Up Area (sq m)]]*Market_Data[[#This Row],[Concrete Intensity
(m³ / sq m)]],0)</f>
        <v>6246</v>
      </c>
      <c r="M2339" s="135">
        <f>_xlfn.XLOOKUP(Market_Data[[#This Row],[District]],tbl_district_price[District],tbl_district_price[Standard Price
(INR/m³)],"",0)</f>
        <v>6200</v>
      </c>
      <c r="N2339" s="364">
        <f>IF(OR(Market_Data[[#This Row],[Estimated Concrete Demand (m³)]]="",Market_Data[[#This Row],[Avg Price per (₹ / m³)]]=""),"",Market_Data[[#This Row],[Estimated Concrete Demand (m³)]]*Market_Data[[#This Row],[Avg Price per (₹ / m³)]]/10000000)</f>
        <v>3.8725200000000002</v>
      </c>
      <c r="O2339" s="97" t="str">
        <f>IF(Market_Data[[#This Row],[Estimated Concrete Demand (m³)]]="","",
IF(Market_Data[[#This Row],[Estimated Concrete Demand (m³)]]&lt;10000,"Small",
IF(Market_Data[[#This Row],[Estimated Concrete Demand (m³)]]&lt;25000,"Medium",
IF(Market_Data[[#This Row],[Estimated Concrete Demand (m³)]]&lt;100000,"Large","Mega"))))</f>
        <v>Small</v>
      </c>
      <c r="P2339" s="287" t="str">
        <f t="shared" si="38"/>
        <v>GujRERA</v>
      </c>
    </row>
    <row r="2340" spans="1:16">
      <c r="A2340" s="129" t="str">
        <f>_xlfn.XLOOKUP(B2340,$S$9:$S$14,$T$9:$T$14)&amp;"-"&amp;
IF(E2340="Residential/Group Housing","RES",
IF(E2340="Commercial","COM",
IF(E2340="Mixed Development","MIX",
IF(E2340="Plotted Development","PLT","OTH"))))
&amp;"-"&amp;TEXT(COUNTIFS($B$9:B2340,B2340,$E$9:E2340,E2340),"0000")</f>
        <v>SUR-MIX-0421</v>
      </c>
      <c r="B2340" s="322" t="s">
        <v>34</v>
      </c>
      <c r="C2340" s="322" t="s">
        <v>34</v>
      </c>
      <c r="D2340" s="323" t="s">
        <v>2529</v>
      </c>
      <c r="E2340" s="132" t="s">
        <v>25</v>
      </c>
      <c r="F2340" s="97" t="str">
        <f ca="1">IF(OR(Market_Data[[#This Row],[Start Date]]="",Market_Data[[#This Row],[Completion Date]]=""),"Needs Validation",IF(Market_Data[[#This Row],[Start Date]]&gt;TODAY(),"Planned",IF(Market_Data[[#This Row],[Completion Date]]&lt;TODAY(),"Completed","Ongoing")))</f>
        <v>Completed</v>
      </c>
      <c r="G2340" s="324">
        <v>42594</v>
      </c>
      <c r="H2340" s="324">
        <v>44957</v>
      </c>
      <c r="I2340" s="325">
        <v>39600</v>
      </c>
      <c r="J234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40" s="133">
        <f>_xlfn.XLOOKUP(Market_Data[[#This Row],[Project Type]],tbl_assumptions_market[Project Category (RERA)],tbl_assumptions_market[Concrete Intensity
(m³ / sq m BUA)],"",0)</f>
        <v>0.42</v>
      </c>
      <c r="L2340" s="134">
        <f>ROUND(Market_Data[[#This Row],[Estimated Built Up Area (sq m)]]*Market_Data[[#This Row],[Concrete Intensity
(m³ / sq m)]],0)</f>
        <v>16632</v>
      </c>
      <c r="M2340" s="135">
        <f>_xlfn.XLOOKUP(Market_Data[[#This Row],[District]],tbl_district_price[District],tbl_district_price[Standard Price
(INR/m³)],"",0)</f>
        <v>6200</v>
      </c>
      <c r="N2340" s="364">
        <f>IF(OR(Market_Data[[#This Row],[Estimated Concrete Demand (m³)]]="",Market_Data[[#This Row],[Avg Price per (₹ / m³)]]=""),"",Market_Data[[#This Row],[Estimated Concrete Demand (m³)]]*Market_Data[[#This Row],[Avg Price per (₹ / m³)]]/10000000)</f>
        <v>10.31184</v>
      </c>
      <c r="O2340" s="97" t="str">
        <f>IF(Market_Data[[#This Row],[Estimated Concrete Demand (m³)]]="","",
IF(Market_Data[[#This Row],[Estimated Concrete Demand (m³)]]&lt;10000,"Small",
IF(Market_Data[[#This Row],[Estimated Concrete Demand (m³)]]&lt;25000,"Medium",
IF(Market_Data[[#This Row],[Estimated Concrete Demand (m³)]]&lt;100000,"Large","Mega"))))</f>
        <v>Medium</v>
      </c>
      <c r="P2340" s="287" t="str">
        <f t="shared" si="38"/>
        <v>GujRERA</v>
      </c>
    </row>
    <row r="2341" spans="1:16">
      <c r="A2341" s="129" t="str">
        <f>_xlfn.XLOOKUP(B2341,$S$9:$S$14,$T$9:$T$14)&amp;"-"&amp;
IF(E2341="Residential/Group Housing","RES",
IF(E2341="Commercial","COM",
IF(E2341="Mixed Development","MIX",
IF(E2341="Plotted Development","PLT","OTH"))))
&amp;"-"&amp;TEXT(COUNTIFS($B$9:B2341,B2341,$E$9:E2341,E2341),"0000")</f>
        <v>SUR-MIX-0422</v>
      </c>
      <c r="B2341" s="322" t="s">
        <v>34</v>
      </c>
      <c r="C2341" s="322" t="s">
        <v>34</v>
      </c>
      <c r="D2341" s="323" t="s">
        <v>2530</v>
      </c>
      <c r="E2341" s="132" t="s">
        <v>25</v>
      </c>
      <c r="F2341" s="97" t="str">
        <f ca="1">IF(OR(Market_Data[[#This Row],[Start Date]]="",Market_Data[[#This Row],[Completion Date]]=""),"Needs Validation",IF(Market_Data[[#This Row],[Start Date]]&gt;TODAY(),"Planned",IF(Market_Data[[#This Row],[Completion Date]]&lt;TODAY(),"Completed","Ongoing")))</f>
        <v>Completed</v>
      </c>
      <c r="G2341" s="324">
        <v>43451</v>
      </c>
      <c r="H2341" s="324">
        <v>45838</v>
      </c>
      <c r="I2341" s="325">
        <v>12300</v>
      </c>
      <c r="J234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41" s="133">
        <f>_xlfn.XLOOKUP(Market_Data[[#This Row],[Project Type]],tbl_assumptions_market[Project Category (RERA)],tbl_assumptions_market[Concrete Intensity
(m³ / sq m BUA)],"",0)</f>
        <v>0.42</v>
      </c>
      <c r="L2341" s="134">
        <f>ROUND(Market_Data[[#This Row],[Estimated Built Up Area (sq m)]]*Market_Data[[#This Row],[Concrete Intensity
(m³ / sq m)]],0)</f>
        <v>5166</v>
      </c>
      <c r="M2341" s="135">
        <f>_xlfn.XLOOKUP(Market_Data[[#This Row],[District]],tbl_district_price[District],tbl_district_price[Standard Price
(INR/m³)],"",0)</f>
        <v>6200</v>
      </c>
      <c r="N2341" s="364">
        <f>IF(OR(Market_Data[[#This Row],[Estimated Concrete Demand (m³)]]="",Market_Data[[#This Row],[Avg Price per (₹ / m³)]]=""),"",Market_Data[[#This Row],[Estimated Concrete Demand (m³)]]*Market_Data[[#This Row],[Avg Price per (₹ / m³)]]/10000000)</f>
        <v>3.2029200000000002</v>
      </c>
      <c r="O2341" s="97" t="str">
        <f>IF(Market_Data[[#This Row],[Estimated Concrete Demand (m³)]]="","",
IF(Market_Data[[#This Row],[Estimated Concrete Demand (m³)]]&lt;10000,"Small",
IF(Market_Data[[#This Row],[Estimated Concrete Demand (m³)]]&lt;25000,"Medium",
IF(Market_Data[[#This Row],[Estimated Concrete Demand (m³)]]&lt;100000,"Large","Mega"))))</f>
        <v>Small</v>
      </c>
      <c r="P2341" s="287" t="str">
        <f t="shared" si="38"/>
        <v>GujRERA</v>
      </c>
    </row>
    <row r="2342" spans="1:16">
      <c r="A2342" s="129" t="str">
        <f>_xlfn.XLOOKUP(B2342,$S$9:$S$14,$T$9:$T$14)&amp;"-"&amp;
IF(E2342="Residential/Group Housing","RES",
IF(E2342="Commercial","COM",
IF(E2342="Mixed Development","MIX",
IF(E2342="Plotted Development","PLT","OTH"))))
&amp;"-"&amp;TEXT(COUNTIFS($B$9:B2342,B2342,$E$9:E2342,E2342),"0000")</f>
        <v>SUR-RES-0789</v>
      </c>
      <c r="B2342" s="322" t="s">
        <v>34</v>
      </c>
      <c r="C2342" s="322" t="s">
        <v>34</v>
      </c>
      <c r="D2342" s="323" t="s">
        <v>2531</v>
      </c>
      <c r="E2342" s="132" t="s">
        <v>24</v>
      </c>
      <c r="F2342" s="97" t="str">
        <f ca="1">IF(OR(Market_Data[[#This Row],[Start Date]]="",Market_Data[[#This Row],[Completion Date]]=""),"Needs Validation",IF(Market_Data[[#This Row],[Start Date]]&gt;TODAY(),"Planned",IF(Market_Data[[#This Row],[Completion Date]]&lt;TODAY(),"Completed","Ongoing")))</f>
        <v>Ongoing</v>
      </c>
      <c r="G2342" s="324">
        <v>45644</v>
      </c>
      <c r="H2342" s="324">
        <v>47848</v>
      </c>
      <c r="I2342" s="325">
        <v>2900</v>
      </c>
      <c r="J234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42" s="133">
        <f>_xlfn.XLOOKUP(Market_Data[[#This Row],[Project Type]],tbl_assumptions_market[Project Category (RERA)],tbl_assumptions_market[Concrete Intensity
(m³ / sq m BUA)],"",0)</f>
        <v>0.45</v>
      </c>
      <c r="L2342" s="134">
        <f>ROUND(Market_Data[[#This Row],[Estimated Built Up Area (sq m)]]*Market_Data[[#This Row],[Concrete Intensity
(m³ / sq m)]],0)</f>
        <v>1305</v>
      </c>
      <c r="M2342" s="135">
        <f>_xlfn.XLOOKUP(Market_Data[[#This Row],[District]],tbl_district_price[District],tbl_district_price[Standard Price
(INR/m³)],"",0)</f>
        <v>6200</v>
      </c>
      <c r="N2342" s="364">
        <f>IF(OR(Market_Data[[#This Row],[Estimated Concrete Demand (m³)]]="",Market_Data[[#This Row],[Avg Price per (₹ / m³)]]=""),"",Market_Data[[#This Row],[Estimated Concrete Demand (m³)]]*Market_Data[[#This Row],[Avg Price per (₹ / m³)]]/10000000)</f>
        <v>0.80910000000000004</v>
      </c>
      <c r="O2342" s="97" t="str">
        <f>IF(Market_Data[[#This Row],[Estimated Concrete Demand (m³)]]="","",
IF(Market_Data[[#This Row],[Estimated Concrete Demand (m³)]]&lt;10000,"Small",
IF(Market_Data[[#This Row],[Estimated Concrete Demand (m³)]]&lt;25000,"Medium",
IF(Market_Data[[#This Row],[Estimated Concrete Demand (m³)]]&lt;100000,"Large","Mega"))))</f>
        <v>Small</v>
      </c>
      <c r="P2342" s="287" t="str">
        <f t="shared" si="38"/>
        <v>GujRERA</v>
      </c>
    </row>
    <row r="2343" spans="1:16">
      <c r="A2343" s="129" t="str">
        <f>_xlfn.XLOOKUP(B2343,$S$9:$S$14,$T$9:$T$14)&amp;"-"&amp;
IF(E2343="Residential/Group Housing","RES",
IF(E2343="Commercial","COM",
IF(E2343="Mixed Development","MIX",
IF(E2343="Plotted Development","PLT","OTH"))))
&amp;"-"&amp;TEXT(COUNTIFS($B$9:B2343,B2343,$E$9:E2343,E2343),"0000")</f>
        <v>SUR-RES-0790</v>
      </c>
      <c r="B2343" s="322" t="s">
        <v>34</v>
      </c>
      <c r="C2343" s="322" t="s">
        <v>34</v>
      </c>
      <c r="D2343" s="323" t="s">
        <v>2532</v>
      </c>
      <c r="E2343" s="132" t="s">
        <v>24</v>
      </c>
      <c r="F2343" s="97" t="str">
        <f ca="1">IF(OR(Market_Data[[#This Row],[Start Date]]="",Market_Data[[#This Row],[Completion Date]]=""),"Needs Validation",IF(Market_Data[[#This Row],[Start Date]]&gt;TODAY(),"Planned",IF(Market_Data[[#This Row],[Completion Date]]&lt;TODAY(),"Completed","Ongoing")))</f>
        <v>Ongoing</v>
      </c>
      <c r="G2343" s="324">
        <v>44639</v>
      </c>
      <c r="H2343" s="324">
        <v>48304</v>
      </c>
      <c r="I2343" s="325">
        <v>50500</v>
      </c>
      <c r="J234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43" s="133">
        <f>_xlfn.XLOOKUP(Market_Data[[#This Row],[Project Type]],tbl_assumptions_market[Project Category (RERA)],tbl_assumptions_market[Concrete Intensity
(m³ / sq m BUA)],"",0)</f>
        <v>0.45</v>
      </c>
      <c r="L2343" s="134">
        <f>ROUND(Market_Data[[#This Row],[Estimated Built Up Area (sq m)]]*Market_Data[[#This Row],[Concrete Intensity
(m³ / sq m)]],0)</f>
        <v>22725</v>
      </c>
      <c r="M2343" s="135">
        <f>_xlfn.XLOOKUP(Market_Data[[#This Row],[District]],tbl_district_price[District],tbl_district_price[Standard Price
(INR/m³)],"",0)</f>
        <v>6200</v>
      </c>
      <c r="N2343" s="364">
        <f>IF(OR(Market_Data[[#This Row],[Estimated Concrete Demand (m³)]]="",Market_Data[[#This Row],[Avg Price per (₹ / m³)]]=""),"",Market_Data[[#This Row],[Estimated Concrete Demand (m³)]]*Market_Data[[#This Row],[Avg Price per (₹ / m³)]]/10000000)</f>
        <v>14.089499999999999</v>
      </c>
      <c r="O2343" s="97" t="str">
        <f>IF(Market_Data[[#This Row],[Estimated Concrete Demand (m³)]]="","",
IF(Market_Data[[#This Row],[Estimated Concrete Demand (m³)]]&lt;10000,"Small",
IF(Market_Data[[#This Row],[Estimated Concrete Demand (m³)]]&lt;25000,"Medium",
IF(Market_Data[[#This Row],[Estimated Concrete Demand (m³)]]&lt;100000,"Large","Mega"))))</f>
        <v>Medium</v>
      </c>
      <c r="P2343" s="287" t="str">
        <f t="shared" si="38"/>
        <v>GujRERA</v>
      </c>
    </row>
    <row r="2344" spans="1:16">
      <c r="A2344" s="129" t="str">
        <f>_xlfn.XLOOKUP(B2344,$S$9:$S$14,$T$9:$T$14)&amp;"-"&amp;
IF(E2344="Residential/Group Housing","RES",
IF(E2344="Commercial","COM",
IF(E2344="Mixed Development","MIX",
IF(E2344="Plotted Development","PLT","OTH"))))
&amp;"-"&amp;TEXT(COUNTIFS($B$9:B2344,B2344,$E$9:E2344,E2344),"0000")</f>
        <v>SUR-RES-0791</v>
      </c>
      <c r="B2344" s="322" t="s">
        <v>34</v>
      </c>
      <c r="C2344" s="322" t="s">
        <v>34</v>
      </c>
      <c r="D2344" s="323" t="s">
        <v>2533</v>
      </c>
      <c r="E2344" s="132" t="s">
        <v>24</v>
      </c>
      <c r="F2344" s="97" t="str">
        <f ca="1">IF(OR(Market_Data[[#This Row],[Start Date]]="",Market_Data[[#This Row],[Completion Date]]=""),"Needs Validation",IF(Market_Data[[#This Row],[Start Date]]&gt;TODAY(),"Planned",IF(Market_Data[[#This Row],[Completion Date]]&lt;TODAY(),"Completed","Ongoing")))</f>
        <v>Ongoing</v>
      </c>
      <c r="G2344" s="324">
        <v>45471</v>
      </c>
      <c r="H2344" s="324">
        <v>47483</v>
      </c>
      <c r="I2344" s="325">
        <v>5300</v>
      </c>
      <c r="J234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44" s="133">
        <f>_xlfn.XLOOKUP(Market_Data[[#This Row],[Project Type]],tbl_assumptions_market[Project Category (RERA)],tbl_assumptions_market[Concrete Intensity
(m³ / sq m BUA)],"",0)</f>
        <v>0.45</v>
      </c>
      <c r="L2344" s="134">
        <f>ROUND(Market_Data[[#This Row],[Estimated Built Up Area (sq m)]]*Market_Data[[#This Row],[Concrete Intensity
(m³ / sq m)]],0)</f>
        <v>2385</v>
      </c>
      <c r="M2344" s="135">
        <f>_xlfn.XLOOKUP(Market_Data[[#This Row],[District]],tbl_district_price[District],tbl_district_price[Standard Price
(INR/m³)],"",0)</f>
        <v>6200</v>
      </c>
      <c r="N2344" s="364">
        <f>IF(OR(Market_Data[[#This Row],[Estimated Concrete Demand (m³)]]="",Market_Data[[#This Row],[Avg Price per (₹ / m³)]]=""),"",Market_Data[[#This Row],[Estimated Concrete Demand (m³)]]*Market_Data[[#This Row],[Avg Price per (₹ / m³)]]/10000000)</f>
        <v>1.4786999999999999</v>
      </c>
      <c r="O2344" s="97" t="str">
        <f>IF(Market_Data[[#This Row],[Estimated Concrete Demand (m³)]]="","",
IF(Market_Data[[#This Row],[Estimated Concrete Demand (m³)]]&lt;10000,"Small",
IF(Market_Data[[#This Row],[Estimated Concrete Demand (m³)]]&lt;25000,"Medium",
IF(Market_Data[[#This Row],[Estimated Concrete Demand (m³)]]&lt;100000,"Large","Mega"))))</f>
        <v>Small</v>
      </c>
      <c r="P2344" s="287" t="str">
        <f t="shared" si="38"/>
        <v>GujRERA</v>
      </c>
    </row>
    <row r="2345" spans="1:16">
      <c r="A2345" s="129" t="str">
        <f>_xlfn.XLOOKUP(B2345,$S$9:$S$14,$T$9:$T$14)&amp;"-"&amp;
IF(E2345="Residential/Group Housing","RES",
IF(E2345="Commercial","COM",
IF(E2345="Mixed Development","MIX",
IF(E2345="Plotted Development","PLT","OTH"))))
&amp;"-"&amp;TEXT(COUNTIFS($B$9:B2345,B2345,$E$9:E2345,E2345),"0000")</f>
        <v>SUR-MIX-0423</v>
      </c>
      <c r="B2345" s="322" t="s">
        <v>34</v>
      </c>
      <c r="C2345" s="322" t="s">
        <v>34</v>
      </c>
      <c r="D2345" s="323" t="s">
        <v>2534</v>
      </c>
      <c r="E2345" s="132" t="s">
        <v>25</v>
      </c>
      <c r="F2345" s="97" t="str">
        <f ca="1">IF(OR(Market_Data[[#This Row],[Start Date]]="",Market_Data[[#This Row],[Completion Date]]=""),"Needs Validation",IF(Market_Data[[#This Row],[Start Date]]&gt;TODAY(),"Planned",IF(Market_Data[[#This Row],[Completion Date]]&lt;TODAY(),"Completed","Ongoing")))</f>
        <v>Ongoing</v>
      </c>
      <c r="G2345" s="324">
        <v>44984</v>
      </c>
      <c r="H2345" s="324">
        <v>47299</v>
      </c>
      <c r="I2345" s="325">
        <v>7000</v>
      </c>
      <c r="J234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345" s="133">
        <f>_xlfn.XLOOKUP(Market_Data[[#This Row],[Project Type]],tbl_assumptions_market[Project Category (RERA)],tbl_assumptions_market[Concrete Intensity
(m³ / sq m BUA)],"",0)</f>
        <v>0.42</v>
      </c>
      <c r="L2345" s="134">
        <f>ROUND(Market_Data[[#This Row],[Estimated Built Up Area (sq m)]]*Market_Data[[#This Row],[Concrete Intensity
(m³ / sq m)]],0)</f>
        <v>2940</v>
      </c>
      <c r="M2345" s="135">
        <f>_xlfn.XLOOKUP(Market_Data[[#This Row],[District]],tbl_district_price[District],tbl_district_price[Standard Price
(INR/m³)],"",0)</f>
        <v>6200</v>
      </c>
      <c r="N2345" s="364">
        <f>IF(OR(Market_Data[[#This Row],[Estimated Concrete Demand (m³)]]="",Market_Data[[#This Row],[Avg Price per (₹ / m³)]]=""),"",Market_Data[[#This Row],[Estimated Concrete Demand (m³)]]*Market_Data[[#This Row],[Avg Price per (₹ / m³)]]/10000000)</f>
        <v>1.8228</v>
      </c>
      <c r="O2345" s="97" t="str">
        <f>IF(Market_Data[[#This Row],[Estimated Concrete Demand (m³)]]="","",
IF(Market_Data[[#This Row],[Estimated Concrete Demand (m³)]]&lt;10000,"Small",
IF(Market_Data[[#This Row],[Estimated Concrete Demand (m³)]]&lt;25000,"Medium",
IF(Market_Data[[#This Row],[Estimated Concrete Demand (m³)]]&lt;100000,"Large","Mega"))))</f>
        <v>Small</v>
      </c>
      <c r="P2345" s="287" t="str">
        <f t="shared" si="38"/>
        <v>GujRERA</v>
      </c>
    </row>
    <row r="2346" spans="1:16">
      <c r="A2346" s="129" t="str">
        <f>_xlfn.XLOOKUP(B2346,$S$9:$S$14,$T$9:$T$14)&amp;"-"&amp;
IF(E2346="Residential/Group Housing","RES",
IF(E2346="Commercial","COM",
IF(E2346="Mixed Development","MIX",
IF(E2346="Plotted Development","PLT","OTH"))))
&amp;"-"&amp;TEXT(COUNTIFS($B$9:B2346,B2346,$E$9:E2346,E2346),"0000")</f>
        <v>SUR-COM-0371</v>
      </c>
      <c r="B2346" s="322" t="s">
        <v>34</v>
      </c>
      <c r="C2346" s="322" t="s">
        <v>34</v>
      </c>
      <c r="D2346" s="323" t="s">
        <v>2535</v>
      </c>
      <c r="E2346" s="132" t="s">
        <v>23</v>
      </c>
      <c r="F2346" s="97" t="str">
        <f ca="1">IF(OR(Market_Data[[#This Row],[Start Date]]="",Market_Data[[#This Row],[Completion Date]]=""),"Needs Validation",IF(Market_Data[[#This Row],[Start Date]]&gt;TODAY(),"Planned",IF(Market_Data[[#This Row],[Completion Date]]&lt;TODAY(),"Completed","Ongoing")))</f>
        <v>Completed</v>
      </c>
      <c r="G2346" s="324">
        <v>44409</v>
      </c>
      <c r="H2346" s="324">
        <v>46022</v>
      </c>
      <c r="I2346" s="325">
        <v>15500</v>
      </c>
      <c r="J234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46" s="133">
        <f>_xlfn.XLOOKUP(Market_Data[[#This Row],[Project Type]],tbl_assumptions_market[Project Category (RERA)],tbl_assumptions_market[Concrete Intensity
(m³ / sq m BUA)],"",0)</f>
        <v>0.5</v>
      </c>
      <c r="L2346" s="134">
        <f>ROUND(Market_Data[[#This Row],[Estimated Built Up Area (sq m)]]*Market_Data[[#This Row],[Concrete Intensity
(m³ / sq m)]],0)</f>
        <v>7750</v>
      </c>
      <c r="M2346" s="135">
        <f>_xlfn.XLOOKUP(Market_Data[[#This Row],[District]],tbl_district_price[District],tbl_district_price[Standard Price
(INR/m³)],"",0)</f>
        <v>6200</v>
      </c>
      <c r="N2346" s="364">
        <f>IF(OR(Market_Data[[#This Row],[Estimated Concrete Demand (m³)]]="",Market_Data[[#This Row],[Avg Price per (₹ / m³)]]=""),"",Market_Data[[#This Row],[Estimated Concrete Demand (m³)]]*Market_Data[[#This Row],[Avg Price per (₹ / m³)]]/10000000)</f>
        <v>4.8049999999999997</v>
      </c>
      <c r="O2346" s="97" t="str">
        <f>IF(Market_Data[[#This Row],[Estimated Concrete Demand (m³)]]="","",
IF(Market_Data[[#This Row],[Estimated Concrete Demand (m³)]]&lt;10000,"Small",
IF(Market_Data[[#This Row],[Estimated Concrete Demand (m³)]]&lt;25000,"Medium",
IF(Market_Data[[#This Row],[Estimated Concrete Demand (m³)]]&lt;100000,"Large","Mega"))))</f>
        <v>Small</v>
      </c>
      <c r="P2346" s="287" t="str">
        <f t="shared" si="38"/>
        <v>GujRERA</v>
      </c>
    </row>
    <row r="2347" spans="1:16">
      <c r="A2347" s="129" t="str">
        <f>_xlfn.XLOOKUP(B2347,$S$9:$S$14,$T$9:$T$14)&amp;"-"&amp;
IF(E2347="Residential/Group Housing","RES",
IF(E2347="Commercial","COM",
IF(E2347="Mixed Development","MIX",
IF(E2347="Plotted Development","PLT","OTH"))))
&amp;"-"&amp;TEXT(COUNTIFS($B$9:B2347,B2347,$E$9:E2347,E2347),"0000")</f>
        <v>SUR-MIX-0424</v>
      </c>
      <c r="B2347" s="322" t="s">
        <v>34</v>
      </c>
      <c r="C2347" s="322" t="s">
        <v>34</v>
      </c>
      <c r="D2347" s="323" t="s">
        <v>2536</v>
      </c>
      <c r="E2347" s="132" t="s">
        <v>25</v>
      </c>
      <c r="F2347" s="97" t="str">
        <f ca="1">IF(OR(Market_Data[[#This Row],[Start Date]]="",Market_Data[[#This Row],[Completion Date]]=""),"Needs Validation",IF(Market_Data[[#This Row],[Start Date]]&gt;TODAY(),"Planned",IF(Market_Data[[#This Row],[Completion Date]]&lt;TODAY(),"Completed","Ongoing")))</f>
        <v>Completed</v>
      </c>
      <c r="G2347" s="324">
        <v>43871</v>
      </c>
      <c r="H2347" s="324">
        <v>45473</v>
      </c>
      <c r="I2347" s="325">
        <v>37300</v>
      </c>
      <c r="J234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47" s="133">
        <f>_xlfn.XLOOKUP(Market_Data[[#This Row],[Project Type]],tbl_assumptions_market[Project Category (RERA)],tbl_assumptions_market[Concrete Intensity
(m³ / sq m BUA)],"",0)</f>
        <v>0.42</v>
      </c>
      <c r="L2347" s="134">
        <f>ROUND(Market_Data[[#This Row],[Estimated Built Up Area (sq m)]]*Market_Data[[#This Row],[Concrete Intensity
(m³ / sq m)]],0)</f>
        <v>15666</v>
      </c>
      <c r="M2347" s="135">
        <f>_xlfn.XLOOKUP(Market_Data[[#This Row],[District]],tbl_district_price[District],tbl_district_price[Standard Price
(INR/m³)],"",0)</f>
        <v>6200</v>
      </c>
      <c r="N2347" s="364">
        <f>IF(OR(Market_Data[[#This Row],[Estimated Concrete Demand (m³)]]="",Market_Data[[#This Row],[Avg Price per (₹ / m³)]]=""),"",Market_Data[[#This Row],[Estimated Concrete Demand (m³)]]*Market_Data[[#This Row],[Avg Price per (₹ / m³)]]/10000000)</f>
        <v>9.7129200000000004</v>
      </c>
      <c r="O2347" s="97" t="str">
        <f>IF(Market_Data[[#This Row],[Estimated Concrete Demand (m³)]]="","",
IF(Market_Data[[#This Row],[Estimated Concrete Demand (m³)]]&lt;10000,"Small",
IF(Market_Data[[#This Row],[Estimated Concrete Demand (m³)]]&lt;25000,"Medium",
IF(Market_Data[[#This Row],[Estimated Concrete Demand (m³)]]&lt;100000,"Large","Mega"))))</f>
        <v>Medium</v>
      </c>
      <c r="P2347" s="287" t="str">
        <f t="shared" si="38"/>
        <v>GujRERA</v>
      </c>
    </row>
    <row r="2348" spans="1:16">
      <c r="A2348" s="129" t="str">
        <f>_xlfn.XLOOKUP(B2348,$S$9:$S$14,$T$9:$T$14)&amp;"-"&amp;
IF(E2348="Residential/Group Housing","RES",
IF(E2348="Commercial","COM",
IF(E2348="Mixed Development","MIX",
IF(E2348="Plotted Development","PLT","OTH"))))
&amp;"-"&amp;TEXT(COUNTIFS($B$9:B2348,B2348,$E$9:E2348,E2348),"0000")</f>
        <v>SUR-RES-0792</v>
      </c>
      <c r="B2348" s="322" t="s">
        <v>34</v>
      </c>
      <c r="C2348" s="322" t="s">
        <v>34</v>
      </c>
      <c r="D2348" s="323" t="s">
        <v>2537</v>
      </c>
      <c r="E2348" s="132" t="s">
        <v>24</v>
      </c>
      <c r="F2348" s="97" t="str">
        <f ca="1">IF(OR(Market_Data[[#This Row],[Start Date]]="",Market_Data[[#This Row],[Completion Date]]=""),"Needs Validation",IF(Market_Data[[#This Row],[Start Date]]&gt;TODAY(),"Planned",IF(Market_Data[[#This Row],[Completion Date]]&lt;TODAY(),"Completed","Ongoing")))</f>
        <v>Completed</v>
      </c>
      <c r="G2348" s="324">
        <v>42398</v>
      </c>
      <c r="H2348" s="324">
        <v>43677</v>
      </c>
      <c r="I2348" s="325">
        <v>7800</v>
      </c>
      <c r="J234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48" s="133">
        <f>_xlfn.XLOOKUP(Market_Data[[#This Row],[Project Type]],tbl_assumptions_market[Project Category (RERA)],tbl_assumptions_market[Concrete Intensity
(m³ / sq m BUA)],"",0)</f>
        <v>0.45</v>
      </c>
      <c r="L2348" s="134">
        <f>ROUND(Market_Data[[#This Row],[Estimated Built Up Area (sq m)]]*Market_Data[[#This Row],[Concrete Intensity
(m³ / sq m)]],0)</f>
        <v>3510</v>
      </c>
      <c r="M2348" s="135">
        <f>_xlfn.XLOOKUP(Market_Data[[#This Row],[District]],tbl_district_price[District],tbl_district_price[Standard Price
(INR/m³)],"",0)</f>
        <v>6200</v>
      </c>
      <c r="N2348" s="364">
        <f>IF(OR(Market_Data[[#This Row],[Estimated Concrete Demand (m³)]]="",Market_Data[[#This Row],[Avg Price per (₹ / m³)]]=""),"",Market_Data[[#This Row],[Estimated Concrete Demand (m³)]]*Market_Data[[#This Row],[Avg Price per (₹ / m³)]]/10000000)</f>
        <v>2.1762000000000001</v>
      </c>
      <c r="O2348" s="97" t="str">
        <f>IF(Market_Data[[#This Row],[Estimated Concrete Demand (m³)]]="","",
IF(Market_Data[[#This Row],[Estimated Concrete Demand (m³)]]&lt;10000,"Small",
IF(Market_Data[[#This Row],[Estimated Concrete Demand (m³)]]&lt;25000,"Medium",
IF(Market_Data[[#This Row],[Estimated Concrete Demand (m³)]]&lt;100000,"Large","Mega"))))</f>
        <v>Small</v>
      </c>
      <c r="P2348" s="287" t="str">
        <f t="shared" si="38"/>
        <v>GujRERA</v>
      </c>
    </row>
    <row r="2349" spans="1:16">
      <c r="A2349" s="129" t="str">
        <f>_xlfn.XLOOKUP(B2349,$S$9:$S$14,$T$9:$T$14)&amp;"-"&amp;
IF(E2349="Residential/Group Housing","RES",
IF(E2349="Commercial","COM",
IF(E2349="Mixed Development","MIX",
IF(E2349="Plotted Development","PLT","OTH"))))
&amp;"-"&amp;TEXT(COUNTIFS($B$9:B2349,B2349,$E$9:E2349,E2349),"0000")</f>
        <v>SUR-PLT-0444</v>
      </c>
      <c r="B2349" s="322" t="s">
        <v>34</v>
      </c>
      <c r="C2349" s="322" t="s">
        <v>34</v>
      </c>
      <c r="D2349" s="323" t="s">
        <v>2538</v>
      </c>
      <c r="E2349" s="132" t="s">
        <v>26</v>
      </c>
      <c r="F2349" s="97" t="str">
        <f ca="1">IF(OR(Market_Data[[#This Row],[Start Date]]="",Market_Data[[#This Row],[Completion Date]]=""),"Needs Validation",IF(Market_Data[[#This Row],[Start Date]]&gt;TODAY(),"Planned",IF(Market_Data[[#This Row],[Completion Date]]&lt;TODAY(),"Completed","Ongoing")))</f>
        <v>Completed</v>
      </c>
      <c r="G2349" s="324">
        <v>45576</v>
      </c>
      <c r="H2349" s="324">
        <v>45930</v>
      </c>
      <c r="I2349" s="325">
        <v>2200</v>
      </c>
      <c r="J234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49" s="133">
        <f>_xlfn.XLOOKUP(Market_Data[[#This Row],[Project Type]],tbl_assumptions_market[Project Category (RERA)],tbl_assumptions_market[Concrete Intensity
(m³ / sq m BUA)],"",0)</f>
        <v>0.18</v>
      </c>
      <c r="L2349" s="134">
        <f>ROUND(Market_Data[[#This Row],[Estimated Built Up Area (sq m)]]*Market_Data[[#This Row],[Concrete Intensity
(m³ / sq m)]],0)</f>
        <v>396</v>
      </c>
      <c r="M2349" s="135">
        <f>_xlfn.XLOOKUP(Market_Data[[#This Row],[District]],tbl_district_price[District],tbl_district_price[Standard Price
(INR/m³)],"",0)</f>
        <v>6200</v>
      </c>
      <c r="N2349" s="364">
        <f>IF(OR(Market_Data[[#This Row],[Estimated Concrete Demand (m³)]]="",Market_Data[[#This Row],[Avg Price per (₹ / m³)]]=""),"",Market_Data[[#This Row],[Estimated Concrete Demand (m³)]]*Market_Data[[#This Row],[Avg Price per (₹ / m³)]]/10000000)</f>
        <v>0.24551999999999999</v>
      </c>
      <c r="O2349" s="97" t="str">
        <f>IF(Market_Data[[#This Row],[Estimated Concrete Demand (m³)]]="","",
IF(Market_Data[[#This Row],[Estimated Concrete Demand (m³)]]&lt;10000,"Small",
IF(Market_Data[[#This Row],[Estimated Concrete Demand (m³)]]&lt;25000,"Medium",
IF(Market_Data[[#This Row],[Estimated Concrete Demand (m³)]]&lt;100000,"Large","Mega"))))</f>
        <v>Small</v>
      </c>
      <c r="P2349" s="287" t="str">
        <f t="shared" si="38"/>
        <v>GujRERA</v>
      </c>
    </row>
    <row r="2350" spans="1:16">
      <c r="A2350" s="129" t="str">
        <f>_xlfn.XLOOKUP(B2350,$S$9:$S$14,$T$9:$T$14)&amp;"-"&amp;
IF(E2350="Residential/Group Housing","RES",
IF(E2350="Commercial","COM",
IF(E2350="Mixed Development","MIX",
IF(E2350="Plotted Development","PLT","OTH"))))
&amp;"-"&amp;TEXT(COUNTIFS($B$9:B2350,B2350,$E$9:E2350,E2350),"0000")</f>
        <v>SUR-PLT-0445</v>
      </c>
      <c r="B2350" s="322" t="s">
        <v>34</v>
      </c>
      <c r="C2350" s="322" t="s">
        <v>34</v>
      </c>
      <c r="D2350" s="323" t="s">
        <v>2539</v>
      </c>
      <c r="E2350" s="132" t="s">
        <v>26</v>
      </c>
      <c r="F2350" s="97" t="str">
        <f ca="1">IF(OR(Market_Data[[#This Row],[Start Date]]="",Market_Data[[#This Row],[Completion Date]]=""),"Needs Validation",IF(Market_Data[[#This Row],[Start Date]]&gt;TODAY(),"Planned",IF(Market_Data[[#This Row],[Completion Date]]&lt;TODAY(),"Completed","Ongoing")))</f>
        <v>Ongoing</v>
      </c>
      <c r="G2350" s="324">
        <v>46050</v>
      </c>
      <c r="H2350" s="324">
        <v>46752</v>
      </c>
      <c r="I2350" s="325">
        <v>37300</v>
      </c>
      <c r="J235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350" s="133">
        <f>_xlfn.XLOOKUP(Market_Data[[#This Row],[Project Type]],tbl_assumptions_market[Project Category (RERA)],tbl_assumptions_market[Concrete Intensity
(m³ / sq m BUA)],"",0)</f>
        <v>0.18</v>
      </c>
      <c r="L2350" s="134">
        <f>ROUND(Market_Data[[#This Row],[Estimated Built Up Area (sq m)]]*Market_Data[[#This Row],[Concrete Intensity
(m³ / sq m)]],0)</f>
        <v>6714</v>
      </c>
      <c r="M2350" s="135">
        <f>_xlfn.XLOOKUP(Market_Data[[#This Row],[District]],tbl_district_price[District],tbl_district_price[Standard Price
(INR/m³)],"",0)</f>
        <v>6200</v>
      </c>
      <c r="N2350" s="364">
        <f>IF(OR(Market_Data[[#This Row],[Estimated Concrete Demand (m³)]]="",Market_Data[[#This Row],[Avg Price per (₹ / m³)]]=""),"",Market_Data[[#This Row],[Estimated Concrete Demand (m³)]]*Market_Data[[#This Row],[Avg Price per (₹ / m³)]]/10000000)</f>
        <v>4.1626799999999999</v>
      </c>
      <c r="O2350" s="97" t="str">
        <f>IF(Market_Data[[#This Row],[Estimated Concrete Demand (m³)]]="","",
IF(Market_Data[[#This Row],[Estimated Concrete Demand (m³)]]&lt;10000,"Small",
IF(Market_Data[[#This Row],[Estimated Concrete Demand (m³)]]&lt;25000,"Medium",
IF(Market_Data[[#This Row],[Estimated Concrete Demand (m³)]]&lt;100000,"Large","Mega"))))</f>
        <v>Small</v>
      </c>
      <c r="P2350" s="287" t="str">
        <f t="shared" si="38"/>
        <v>GujRERA</v>
      </c>
    </row>
    <row r="2351" spans="1:16">
      <c r="A2351" s="129" t="str">
        <f>_xlfn.XLOOKUP(B2351,$S$9:$S$14,$T$9:$T$14)&amp;"-"&amp;
IF(E2351="Residential/Group Housing","RES",
IF(E2351="Commercial","COM",
IF(E2351="Mixed Development","MIX",
IF(E2351="Plotted Development","PLT","OTH"))))
&amp;"-"&amp;TEXT(COUNTIFS($B$9:B2351,B2351,$E$9:E2351,E2351),"0000")</f>
        <v>SUR-PLT-0446</v>
      </c>
      <c r="B2351" s="322" t="s">
        <v>34</v>
      </c>
      <c r="C2351" s="322" t="s">
        <v>34</v>
      </c>
      <c r="D2351" s="323" t="s">
        <v>2540</v>
      </c>
      <c r="E2351" s="132" t="s">
        <v>26</v>
      </c>
      <c r="F2351" s="97" t="str">
        <f ca="1">IF(OR(Market_Data[[#This Row],[Start Date]]="",Market_Data[[#This Row],[Completion Date]]=""),"Needs Validation",IF(Market_Data[[#This Row],[Start Date]]&gt;TODAY(),"Planned",IF(Market_Data[[#This Row],[Completion Date]]&lt;TODAY(),"Completed","Ongoing")))</f>
        <v>Completed</v>
      </c>
      <c r="G2351" s="324">
        <v>44771</v>
      </c>
      <c r="H2351" s="324">
        <v>45657</v>
      </c>
      <c r="I2351" s="325">
        <v>13500</v>
      </c>
      <c r="J235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51" s="133">
        <f>_xlfn.XLOOKUP(Market_Data[[#This Row],[Project Type]],tbl_assumptions_market[Project Category (RERA)],tbl_assumptions_market[Concrete Intensity
(m³ / sq m BUA)],"",0)</f>
        <v>0.18</v>
      </c>
      <c r="L2351" s="134">
        <f>ROUND(Market_Data[[#This Row],[Estimated Built Up Area (sq m)]]*Market_Data[[#This Row],[Concrete Intensity
(m³ / sq m)]],0)</f>
        <v>2430</v>
      </c>
      <c r="M2351" s="135">
        <f>_xlfn.XLOOKUP(Market_Data[[#This Row],[District]],tbl_district_price[District],tbl_district_price[Standard Price
(INR/m³)],"",0)</f>
        <v>6200</v>
      </c>
      <c r="N2351" s="364">
        <f>IF(OR(Market_Data[[#This Row],[Estimated Concrete Demand (m³)]]="",Market_Data[[#This Row],[Avg Price per (₹ / m³)]]=""),"",Market_Data[[#This Row],[Estimated Concrete Demand (m³)]]*Market_Data[[#This Row],[Avg Price per (₹ / m³)]]/10000000)</f>
        <v>1.5065999999999999</v>
      </c>
      <c r="O2351" s="97" t="str">
        <f>IF(Market_Data[[#This Row],[Estimated Concrete Demand (m³)]]="","",
IF(Market_Data[[#This Row],[Estimated Concrete Demand (m³)]]&lt;10000,"Small",
IF(Market_Data[[#This Row],[Estimated Concrete Demand (m³)]]&lt;25000,"Medium",
IF(Market_Data[[#This Row],[Estimated Concrete Demand (m³)]]&lt;100000,"Large","Mega"))))</f>
        <v>Small</v>
      </c>
      <c r="P2351" s="287" t="str">
        <f t="shared" si="38"/>
        <v>GujRERA</v>
      </c>
    </row>
    <row r="2352" spans="1:16">
      <c r="A2352" s="129" t="str">
        <f>_xlfn.XLOOKUP(B2352,$S$9:$S$14,$T$9:$T$14)&amp;"-"&amp;
IF(E2352="Residential/Group Housing","RES",
IF(E2352="Commercial","COM",
IF(E2352="Mixed Development","MIX",
IF(E2352="Plotted Development","PLT","OTH"))))
&amp;"-"&amp;TEXT(COUNTIFS($B$9:B2352,B2352,$E$9:E2352,E2352),"0000")</f>
        <v>SUR-PLT-0447</v>
      </c>
      <c r="B2352" s="322" t="s">
        <v>34</v>
      </c>
      <c r="C2352" s="322" t="s">
        <v>34</v>
      </c>
      <c r="D2352" s="323" t="s">
        <v>2541</v>
      </c>
      <c r="E2352" s="132" t="s">
        <v>26</v>
      </c>
      <c r="F2352" s="97" t="str">
        <f ca="1">IF(OR(Market_Data[[#This Row],[Start Date]]="",Market_Data[[#This Row],[Completion Date]]=""),"Needs Validation",IF(Market_Data[[#This Row],[Start Date]]&gt;TODAY(),"Planned",IF(Market_Data[[#This Row],[Completion Date]]&lt;TODAY(),"Completed","Ongoing")))</f>
        <v>Completed</v>
      </c>
      <c r="G2352" s="324">
        <v>45440</v>
      </c>
      <c r="H2352" s="324">
        <v>45869</v>
      </c>
      <c r="I2352" s="325">
        <v>52200</v>
      </c>
      <c r="J235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352" s="133">
        <f>_xlfn.XLOOKUP(Market_Data[[#This Row],[Project Type]],tbl_assumptions_market[Project Category (RERA)],tbl_assumptions_market[Concrete Intensity
(m³ / sq m BUA)],"",0)</f>
        <v>0.18</v>
      </c>
      <c r="L2352" s="134">
        <f>ROUND(Market_Data[[#This Row],[Estimated Built Up Area (sq m)]]*Market_Data[[#This Row],[Concrete Intensity
(m³ / sq m)]],0)</f>
        <v>9396</v>
      </c>
      <c r="M2352" s="135">
        <f>_xlfn.XLOOKUP(Market_Data[[#This Row],[District]],tbl_district_price[District],tbl_district_price[Standard Price
(INR/m³)],"",0)</f>
        <v>6200</v>
      </c>
      <c r="N2352" s="364">
        <f>IF(OR(Market_Data[[#This Row],[Estimated Concrete Demand (m³)]]="",Market_Data[[#This Row],[Avg Price per (₹ / m³)]]=""),"",Market_Data[[#This Row],[Estimated Concrete Demand (m³)]]*Market_Data[[#This Row],[Avg Price per (₹ / m³)]]/10000000)</f>
        <v>5.82552</v>
      </c>
      <c r="O2352" s="97" t="str">
        <f>IF(Market_Data[[#This Row],[Estimated Concrete Demand (m³)]]="","",
IF(Market_Data[[#This Row],[Estimated Concrete Demand (m³)]]&lt;10000,"Small",
IF(Market_Data[[#This Row],[Estimated Concrete Demand (m³)]]&lt;25000,"Medium",
IF(Market_Data[[#This Row],[Estimated Concrete Demand (m³)]]&lt;100000,"Large","Mega"))))</f>
        <v>Small</v>
      </c>
      <c r="P2352" s="287" t="str">
        <f t="shared" si="38"/>
        <v>GujRERA</v>
      </c>
    </row>
    <row r="2353" spans="1:16">
      <c r="A2353" s="129" t="str">
        <f>_xlfn.XLOOKUP(B2353,$S$9:$S$14,$T$9:$T$14)&amp;"-"&amp;
IF(E2353="Residential/Group Housing","RES",
IF(E2353="Commercial","COM",
IF(E2353="Mixed Development","MIX",
IF(E2353="Plotted Development","PLT","OTH"))))
&amp;"-"&amp;TEXT(COUNTIFS($B$9:B2353,B2353,$E$9:E2353,E2353),"0000")</f>
        <v>SUR-COM-0372</v>
      </c>
      <c r="B2353" s="322" t="s">
        <v>34</v>
      </c>
      <c r="C2353" s="322" t="s">
        <v>34</v>
      </c>
      <c r="D2353" s="323" t="s">
        <v>2542</v>
      </c>
      <c r="E2353" s="132" t="s">
        <v>23</v>
      </c>
      <c r="F2353" s="97" t="str">
        <f ca="1">IF(OR(Market_Data[[#This Row],[Start Date]]="",Market_Data[[#This Row],[Completion Date]]=""),"Needs Validation",IF(Market_Data[[#This Row],[Start Date]]&gt;TODAY(),"Planned",IF(Market_Data[[#This Row],[Completion Date]]&lt;TODAY(),"Completed","Ongoing")))</f>
        <v>Completed</v>
      </c>
      <c r="G2353" s="324">
        <v>42865</v>
      </c>
      <c r="H2353" s="324">
        <v>43830</v>
      </c>
      <c r="I2353" s="325">
        <v>10600</v>
      </c>
      <c r="J235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53" s="133">
        <f>_xlfn.XLOOKUP(Market_Data[[#This Row],[Project Type]],tbl_assumptions_market[Project Category (RERA)],tbl_assumptions_market[Concrete Intensity
(m³ / sq m BUA)],"",0)</f>
        <v>0.5</v>
      </c>
      <c r="L2353" s="134">
        <f>ROUND(Market_Data[[#This Row],[Estimated Built Up Area (sq m)]]*Market_Data[[#This Row],[Concrete Intensity
(m³ / sq m)]],0)</f>
        <v>5300</v>
      </c>
      <c r="M2353" s="135">
        <f>_xlfn.XLOOKUP(Market_Data[[#This Row],[District]],tbl_district_price[District],tbl_district_price[Standard Price
(INR/m³)],"",0)</f>
        <v>6200</v>
      </c>
      <c r="N2353" s="364">
        <f>IF(OR(Market_Data[[#This Row],[Estimated Concrete Demand (m³)]]="",Market_Data[[#This Row],[Avg Price per (₹ / m³)]]=""),"",Market_Data[[#This Row],[Estimated Concrete Demand (m³)]]*Market_Data[[#This Row],[Avg Price per (₹ / m³)]]/10000000)</f>
        <v>3.286</v>
      </c>
      <c r="O2353" s="97" t="str">
        <f>IF(Market_Data[[#This Row],[Estimated Concrete Demand (m³)]]="","",
IF(Market_Data[[#This Row],[Estimated Concrete Demand (m³)]]&lt;10000,"Small",
IF(Market_Data[[#This Row],[Estimated Concrete Demand (m³)]]&lt;25000,"Medium",
IF(Market_Data[[#This Row],[Estimated Concrete Demand (m³)]]&lt;100000,"Large","Mega"))))</f>
        <v>Small</v>
      </c>
      <c r="P2353" s="287" t="str">
        <f t="shared" si="38"/>
        <v>GujRERA</v>
      </c>
    </row>
    <row r="2354" spans="1:16">
      <c r="A2354" s="129" t="str">
        <f>_xlfn.XLOOKUP(B2354,$S$9:$S$14,$T$9:$T$14)&amp;"-"&amp;
IF(E2354="Residential/Group Housing","RES",
IF(E2354="Commercial","COM",
IF(E2354="Mixed Development","MIX",
IF(E2354="Plotted Development","PLT","OTH"))))
&amp;"-"&amp;TEXT(COUNTIFS($B$9:B2354,B2354,$E$9:E2354,E2354),"0000")</f>
        <v>SUR-RES-0793</v>
      </c>
      <c r="B2354" s="322" t="s">
        <v>34</v>
      </c>
      <c r="C2354" s="322" t="s">
        <v>34</v>
      </c>
      <c r="D2354" s="323" t="s">
        <v>2543</v>
      </c>
      <c r="E2354" s="132" t="s">
        <v>24</v>
      </c>
      <c r="F2354" s="97" t="str">
        <f ca="1">IF(OR(Market_Data[[#This Row],[Start Date]]="",Market_Data[[#This Row],[Completion Date]]=""),"Needs Validation",IF(Market_Data[[#This Row],[Start Date]]&gt;TODAY(),"Planned",IF(Market_Data[[#This Row],[Completion Date]]&lt;TODAY(),"Completed","Ongoing")))</f>
        <v>Completed</v>
      </c>
      <c r="G2354" s="324">
        <v>41769</v>
      </c>
      <c r="H2354" s="324">
        <v>43373</v>
      </c>
      <c r="I2354" s="325">
        <v>59500</v>
      </c>
      <c r="J235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54" s="133">
        <f>_xlfn.XLOOKUP(Market_Data[[#This Row],[Project Type]],tbl_assumptions_market[Project Category (RERA)],tbl_assumptions_market[Concrete Intensity
(m³ / sq m BUA)],"",0)</f>
        <v>0.45</v>
      </c>
      <c r="L2354" s="134">
        <f>ROUND(Market_Data[[#This Row],[Estimated Built Up Area (sq m)]]*Market_Data[[#This Row],[Concrete Intensity
(m³ / sq m)]],0)</f>
        <v>26775</v>
      </c>
      <c r="M2354" s="135">
        <f>_xlfn.XLOOKUP(Market_Data[[#This Row],[District]],tbl_district_price[District],tbl_district_price[Standard Price
(INR/m³)],"",0)</f>
        <v>6200</v>
      </c>
      <c r="N2354" s="364">
        <f>IF(OR(Market_Data[[#This Row],[Estimated Concrete Demand (m³)]]="",Market_Data[[#This Row],[Avg Price per (₹ / m³)]]=""),"",Market_Data[[#This Row],[Estimated Concrete Demand (m³)]]*Market_Data[[#This Row],[Avg Price per (₹ / m³)]]/10000000)</f>
        <v>16.6005</v>
      </c>
      <c r="O2354" s="97" t="str">
        <f>IF(Market_Data[[#This Row],[Estimated Concrete Demand (m³)]]="","",
IF(Market_Data[[#This Row],[Estimated Concrete Demand (m³)]]&lt;10000,"Small",
IF(Market_Data[[#This Row],[Estimated Concrete Demand (m³)]]&lt;25000,"Medium",
IF(Market_Data[[#This Row],[Estimated Concrete Demand (m³)]]&lt;100000,"Large","Mega"))))</f>
        <v>Large</v>
      </c>
      <c r="P2354" s="287" t="str">
        <f t="shared" si="38"/>
        <v>GujRERA</v>
      </c>
    </row>
    <row r="2355" spans="1:16">
      <c r="A2355" s="129" t="str">
        <f>_xlfn.XLOOKUP(B2355,$S$9:$S$14,$T$9:$T$14)&amp;"-"&amp;
IF(E2355="Residential/Group Housing","RES",
IF(E2355="Commercial","COM",
IF(E2355="Mixed Development","MIX",
IF(E2355="Plotted Development","PLT","OTH"))))
&amp;"-"&amp;TEXT(COUNTIFS($B$9:B2355,B2355,$E$9:E2355,E2355),"0000")</f>
        <v>SUR-RES-0794</v>
      </c>
      <c r="B2355" s="322" t="s">
        <v>34</v>
      </c>
      <c r="C2355" s="322" t="s">
        <v>34</v>
      </c>
      <c r="D2355" s="323" t="s">
        <v>2544</v>
      </c>
      <c r="E2355" s="132" t="s">
        <v>24</v>
      </c>
      <c r="F2355" s="97" t="str">
        <f ca="1">IF(OR(Market_Data[[#This Row],[Start Date]]="",Market_Data[[#This Row],[Completion Date]]=""),"Needs Validation",IF(Market_Data[[#This Row],[Start Date]]&gt;TODAY(),"Planned",IF(Market_Data[[#This Row],[Completion Date]]&lt;TODAY(),"Completed","Ongoing")))</f>
        <v>Completed</v>
      </c>
      <c r="G2355" s="324">
        <v>44562</v>
      </c>
      <c r="H2355" s="324">
        <v>45930</v>
      </c>
      <c r="I2355" s="325">
        <v>8900</v>
      </c>
      <c r="J235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55" s="133">
        <f>_xlfn.XLOOKUP(Market_Data[[#This Row],[Project Type]],tbl_assumptions_market[Project Category (RERA)],tbl_assumptions_market[Concrete Intensity
(m³ / sq m BUA)],"",0)</f>
        <v>0.45</v>
      </c>
      <c r="L2355" s="134">
        <f>ROUND(Market_Data[[#This Row],[Estimated Built Up Area (sq m)]]*Market_Data[[#This Row],[Concrete Intensity
(m³ / sq m)]],0)</f>
        <v>4005</v>
      </c>
      <c r="M2355" s="135">
        <f>_xlfn.XLOOKUP(Market_Data[[#This Row],[District]],tbl_district_price[District],tbl_district_price[Standard Price
(INR/m³)],"",0)</f>
        <v>6200</v>
      </c>
      <c r="N2355" s="364">
        <f>IF(OR(Market_Data[[#This Row],[Estimated Concrete Demand (m³)]]="",Market_Data[[#This Row],[Avg Price per (₹ / m³)]]=""),"",Market_Data[[#This Row],[Estimated Concrete Demand (m³)]]*Market_Data[[#This Row],[Avg Price per (₹ / m³)]]/10000000)</f>
        <v>2.4830999999999999</v>
      </c>
      <c r="O2355" s="97" t="str">
        <f>IF(Market_Data[[#This Row],[Estimated Concrete Demand (m³)]]="","",
IF(Market_Data[[#This Row],[Estimated Concrete Demand (m³)]]&lt;10000,"Small",
IF(Market_Data[[#This Row],[Estimated Concrete Demand (m³)]]&lt;25000,"Medium",
IF(Market_Data[[#This Row],[Estimated Concrete Demand (m³)]]&lt;100000,"Large","Mega"))))</f>
        <v>Small</v>
      </c>
      <c r="P2355" s="287" t="str">
        <f t="shared" si="38"/>
        <v>GujRERA</v>
      </c>
    </row>
    <row r="2356" spans="1:16">
      <c r="A2356" s="129" t="str">
        <f>_xlfn.XLOOKUP(B2356,$S$9:$S$14,$T$9:$T$14)&amp;"-"&amp;
IF(E2356="Residential/Group Housing","RES",
IF(E2356="Commercial","COM",
IF(E2356="Mixed Development","MIX",
IF(E2356="Plotted Development","PLT","OTH"))))
&amp;"-"&amp;TEXT(COUNTIFS($B$9:B2356,B2356,$E$9:E2356,E2356),"0000")</f>
        <v>SUR-PLT-0448</v>
      </c>
      <c r="B2356" s="322" t="s">
        <v>34</v>
      </c>
      <c r="C2356" s="322" t="s">
        <v>34</v>
      </c>
      <c r="D2356" s="323" t="s">
        <v>2545</v>
      </c>
      <c r="E2356" s="132" t="s">
        <v>26</v>
      </c>
      <c r="F2356" s="97" t="str">
        <f ca="1">IF(OR(Market_Data[[#This Row],[Start Date]]="",Market_Data[[#This Row],[Completion Date]]=""),"Needs Validation",IF(Market_Data[[#This Row],[Start Date]]&gt;TODAY(),"Planned",IF(Market_Data[[#This Row],[Completion Date]]&lt;TODAY(),"Completed","Ongoing")))</f>
        <v>Completed</v>
      </c>
      <c r="G2356" s="324">
        <v>45516</v>
      </c>
      <c r="H2356" s="324">
        <v>45900</v>
      </c>
      <c r="I2356" s="325">
        <v>44600</v>
      </c>
      <c r="J235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356" s="133">
        <f>_xlfn.XLOOKUP(Market_Data[[#This Row],[Project Type]],tbl_assumptions_market[Project Category (RERA)],tbl_assumptions_market[Concrete Intensity
(m³ / sq m BUA)],"",0)</f>
        <v>0.18</v>
      </c>
      <c r="L2356" s="134">
        <f>ROUND(Market_Data[[#This Row],[Estimated Built Up Area (sq m)]]*Market_Data[[#This Row],[Concrete Intensity
(m³ / sq m)]],0)</f>
        <v>8028</v>
      </c>
      <c r="M2356" s="135">
        <f>_xlfn.XLOOKUP(Market_Data[[#This Row],[District]],tbl_district_price[District],tbl_district_price[Standard Price
(INR/m³)],"",0)</f>
        <v>6200</v>
      </c>
      <c r="N2356" s="364">
        <f>IF(OR(Market_Data[[#This Row],[Estimated Concrete Demand (m³)]]="",Market_Data[[#This Row],[Avg Price per (₹ / m³)]]=""),"",Market_Data[[#This Row],[Estimated Concrete Demand (m³)]]*Market_Data[[#This Row],[Avg Price per (₹ / m³)]]/10000000)</f>
        <v>4.97736</v>
      </c>
      <c r="O2356" s="97" t="str">
        <f>IF(Market_Data[[#This Row],[Estimated Concrete Demand (m³)]]="","",
IF(Market_Data[[#This Row],[Estimated Concrete Demand (m³)]]&lt;10000,"Small",
IF(Market_Data[[#This Row],[Estimated Concrete Demand (m³)]]&lt;25000,"Medium",
IF(Market_Data[[#This Row],[Estimated Concrete Demand (m³)]]&lt;100000,"Large","Mega"))))</f>
        <v>Small</v>
      </c>
      <c r="P2356" s="287" t="str">
        <f t="shared" si="38"/>
        <v>GujRERA</v>
      </c>
    </row>
    <row r="2357" spans="1:16">
      <c r="A2357" s="129" t="str">
        <f>_xlfn.XLOOKUP(B2357,$S$9:$S$14,$T$9:$T$14)&amp;"-"&amp;
IF(E2357="Residential/Group Housing","RES",
IF(E2357="Commercial","COM",
IF(E2357="Mixed Development","MIX",
IF(E2357="Plotted Development","PLT","OTH"))))
&amp;"-"&amp;TEXT(COUNTIFS($B$9:B2357,B2357,$E$9:E2357,E2357),"0000")</f>
        <v>SUR-PLT-0449</v>
      </c>
      <c r="B2357" s="322" t="s">
        <v>34</v>
      </c>
      <c r="C2357" s="322" t="s">
        <v>34</v>
      </c>
      <c r="D2357" s="323" t="s">
        <v>2546</v>
      </c>
      <c r="E2357" s="132" t="s">
        <v>26</v>
      </c>
      <c r="F2357" s="97" t="str">
        <f ca="1">IF(OR(Market_Data[[#This Row],[Start Date]]="",Market_Data[[#This Row],[Completion Date]]=""),"Needs Validation",IF(Market_Data[[#This Row],[Start Date]]&gt;TODAY(),"Planned",IF(Market_Data[[#This Row],[Completion Date]]&lt;TODAY(),"Completed","Ongoing")))</f>
        <v>Completed</v>
      </c>
      <c r="G2357" s="324">
        <v>44590</v>
      </c>
      <c r="H2357" s="324">
        <v>44770</v>
      </c>
      <c r="I2357" s="325">
        <v>15100</v>
      </c>
      <c r="J235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57" s="133">
        <f>_xlfn.XLOOKUP(Market_Data[[#This Row],[Project Type]],tbl_assumptions_market[Project Category (RERA)],tbl_assumptions_market[Concrete Intensity
(m³ / sq m BUA)],"",0)</f>
        <v>0.18</v>
      </c>
      <c r="L2357" s="134">
        <f>ROUND(Market_Data[[#This Row],[Estimated Built Up Area (sq m)]]*Market_Data[[#This Row],[Concrete Intensity
(m³ / sq m)]],0)</f>
        <v>2718</v>
      </c>
      <c r="M2357" s="135">
        <f>_xlfn.XLOOKUP(Market_Data[[#This Row],[District]],tbl_district_price[District],tbl_district_price[Standard Price
(INR/m³)],"",0)</f>
        <v>6200</v>
      </c>
      <c r="N2357" s="364">
        <f>IF(OR(Market_Data[[#This Row],[Estimated Concrete Demand (m³)]]="",Market_Data[[#This Row],[Avg Price per (₹ / m³)]]=""),"",Market_Data[[#This Row],[Estimated Concrete Demand (m³)]]*Market_Data[[#This Row],[Avg Price per (₹ / m³)]]/10000000)</f>
        <v>1.68516</v>
      </c>
      <c r="O2357" s="97" t="str">
        <f>IF(Market_Data[[#This Row],[Estimated Concrete Demand (m³)]]="","",
IF(Market_Data[[#This Row],[Estimated Concrete Demand (m³)]]&lt;10000,"Small",
IF(Market_Data[[#This Row],[Estimated Concrete Demand (m³)]]&lt;25000,"Medium",
IF(Market_Data[[#This Row],[Estimated Concrete Demand (m³)]]&lt;100000,"Large","Mega"))))</f>
        <v>Small</v>
      </c>
      <c r="P2357" s="287" t="str">
        <f t="shared" si="38"/>
        <v>GujRERA</v>
      </c>
    </row>
    <row r="2358" spans="1:16">
      <c r="A2358" s="129" t="str">
        <f>_xlfn.XLOOKUP(B2358,$S$9:$S$14,$T$9:$T$14)&amp;"-"&amp;
IF(E2358="Residential/Group Housing","RES",
IF(E2358="Commercial","COM",
IF(E2358="Mixed Development","MIX",
IF(E2358="Plotted Development","PLT","OTH"))))
&amp;"-"&amp;TEXT(COUNTIFS($B$9:B2358,B2358,$E$9:E2358,E2358),"0000")</f>
        <v>SUR-RES-0795</v>
      </c>
      <c r="B2358" s="322" t="s">
        <v>34</v>
      </c>
      <c r="C2358" s="322" t="s">
        <v>34</v>
      </c>
      <c r="D2358" s="323" t="s">
        <v>2547</v>
      </c>
      <c r="E2358" s="132" t="s">
        <v>24</v>
      </c>
      <c r="F2358" s="97" t="str">
        <f ca="1">IF(OR(Market_Data[[#This Row],[Start Date]]="",Market_Data[[#This Row],[Completion Date]]=""),"Needs Validation",IF(Market_Data[[#This Row],[Start Date]]&gt;TODAY(),"Planned",IF(Market_Data[[#This Row],[Completion Date]]&lt;TODAY(),"Completed","Ongoing")))</f>
        <v>Completed</v>
      </c>
      <c r="G2358" s="324">
        <v>43831</v>
      </c>
      <c r="H2358" s="324">
        <v>45291</v>
      </c>
      <c r="I2358" s="325">
        <v>27200</v>
      </c>
      <c r="J235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58" s="133">
        <f>_xlfn.XLOOKUP(Market_Data[[#This Row],[Project Type]],tbl_assumptions_market[Project Category (RERA)],tbl_assumptions_market[Concrete Intensity
(m³ / sq m BUA)],"",0)</f>
        <v>0.45</v>
      </c>
      <c r="L2358" s="134">
        <f>ROUND(Market_Data[[#This Row],[Estimated Built Up Area (sq m)]]*Market_Data[[#This Row],[Concrete Intensity
(m³ / sq m)]],0)</f>
        <v>12240</v>
      </c>
      <c r="M2358" s="135">
        <f>_xlfn.XLOOKUP(Market_Data[[#This Row],[District]],tbl_district_price[District],tbl_district_price[Standard Price
(INR/m³)],"",0)</f>
        <v>6200</v>
      </c>
      <c r="N2358" s="364">
        <f>IF(OR(Market_Data[[#This Row],[Estimated Concrete Demand (m³)]]="",Market_Data[[#This Row],[Avg Price per (₹ / m³)]]=""),"",Market_Data[[#This Row],[Estimated Concrete Demand (m³)]]*Market_Data[[#This Row],[Avg Price per (₹ / m³)]]/10000000)</f>
        <v>7.5888</v>
      </c>
      <c r="O2358" s="97" t="str">
        <f>IF(Market_Data[[#This Row],[Estimated Concrete Demand (m³)]]="","",
IF(Market_Data[[#This Row],[Estimated Concrete Demand (m³)]]&lt;10000,"Small",
IF(Market_Data[[#This Row],[Estimated Concrete Demand (m³)]]&lt;25000,"Medium",
IF(Market_Data[[#This Row],[Estimated Concrete Demand (m³)]]&lt;100000,"Large","Mega"))))</f>
        <v>Medium</v>
      </c>
      <c r="P2358" s="287" t="str">
        <f t="shared" si="38"/>
        <v>GujRERA</v>
      </c>
    </row>
    <row r="2359" spans="1:16">
      <c r="A2359" s="129" t="str">
        <f>_xlfn.XLOOKUP(B2359,$S$9:$S$14,$T$9:$T$14)&amp;"-"&amp;
IF(E2359="Residential/Group Housing","RES",
IF(E2359="Commercial","COM",
IF(E2359="Mixed Development","MIX",
IF(E2359="Plotted Development","PLT","OTH"))))
&amp;"-"&amp;TEXT(COUNTIFS($B$9:B2359,B2359,$E$9:E2359,E2359),"0000")</f>
        <v>SUR-MIX-0425</v>
      </c>
      <c r="B2359" s="322" t="s">
        <v>34</v>
      </c>
      <c r="C2359" s="322" t="s">
        <v>34</v>
      </c>
      <c r="D2359" s="323" t="s">
        <v>2548</v>
      </c>
      <c r="E2359" s="132" t="s">
        <v>25</v>
      </c>
      <c r="F2359" s="97" t="str">
        <f ca="1">IF(OR(Market_Data[[#This Row],[Start Date]]="",Market_Data[[#This Row],[Completion Date]]=""),"Needs Validation",IF(Market_Data[[#This Row],[Start Date]]&gt;TODAY(),"Planned",IF(Market_Data[[#This Row],[Completion Date]]&lt;TODAY(),"Completed","Ongoing")))</f>
        <v>Completed</v>
      </c>
      <c r="G2359" s="324">
        <v>42005</v>
      </c>
      <c r="H2359" s="324">
        <v>43070</v>
      </c>
      <c r="I2359" s="325">
        <v>51000</v>
      </c>
      <c r="J235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59" s="133">
        <f>_xlfn.XLOOKUP(Market_Data[[#This Row],[Project Type]],tbl_assumptions_market[Project Category (RERA)],tbl_assumptions_market[Concrete Intensity
(m³ / sq m BUA)],"",0)</f>
        <v>0.42</v>
      </c>
      <c r="L2359" s="134">
        <f>ROUND(Market_Data[[#This Row],[Estimated Built Up Area (sq m)]]*Market_Data[[#This Row],[Concrete Intensity
(m³ / sq m)]],0)</f>
        <v>21420</v>
      </c>
      <c r="M2359" s="135">
        <f>_xlfn.XLOOKUP(Market_Data[[#This Row],[District]],tbl_district_price[District],tbl_district_price[Standard Price
(INR/m³)],"",0)</f>
        <v>6200</v>
      </c>
      <c r="N2359" s="364">
        <f>IF(OR(Market_Data[[#This Row],[Estimated Concrete Demand (m³)]]="",Market_Data[[#This Row],[Avg Price per (₹ / m³)]]=""),"",Market_Data[[#This Row],[Estimated Concrete Demand (m³)]]*Market_Data[[#This Row],[Avg Price per (₹ / m³)]]/10000000)</f>
        <v>13.2804</v>
      </c>
      <c r="O2359" s="97" t="str">
        <f>IF(Market_Data[[#This Row],[Estimated Concrete Demand (m³)]]="","",
IF(Market_Data[[#This Row],[Estimated Concrete Demand (m³)]]&lt;10000,"Small",
IF(Market_Data[[#This Row],[Estimated Concrete Demand (m³)]]&lt;25000,"Medium",
IF(Market_Data[[#This Row],[Estimated Concrete Demand (m³)]]&lt;100000,"Large","Mega"))))</f>
        <v>Medium</v>
      </c>
      <c r="P2359" s="287" t="str">
        <f t="shared" si="38"/>
        <v>GujRERA</v>
      </c>
    </row>
    <row r="2360" spans="1:16">
      <c r="A2360" s="129" t="str">
        <f>_xlfn.XLOOKUP(B2360,$S$9:$S$14,$T$9:$T$14)&amp;"-"&amp;
IF(E2360="Residential/Group Housing","RES",
IF(E2360="Commercial","COM",
IF(E2360="Mixed Development","MIX",
IF(E2360="Plotted Development","PLT","OTH"))))
&amp;"-"&amp;TEXT(COUNTIFS($B$9:B2360,B2360,$E$9:E2360,E2360),"0000")</f>
        <v>SUR-MIX-0426</v>
      </c>
      <c r="B2360" s="322" t="s">
        <v>34</v>
      </c>
      <c r="C2360" s="322" t="s">
        <v>34</v>
      </c>
      <c r="D2360" s="323" t="s">
        <v>2549</v>
      </c>
      <c r="E2360" s="132" t="s">
        <v>25</v>
      </c>
      <c r="F2360" s="97" t="str">
        <f ca="1">IF(OR(Market_Data[[#This Row],[Start Date]]="",Market_Data[[#This Row],[Completion Date]]=""),"Needs Validation",IF(Market_Data[[#This Row],[Start Date]]&gt;TODAY(),"Planned",IF(Market_Data[[#This Row],[Completion Date]]&lt;TODAY(),"Completed","Ongoing")))</f>
        <v>Completed</v>
      </c>
      <c r="G2360" s="324">
        <v>42736</v>
      </c>
      <c r="H2360" s="324">
        <v>43465</v>
      </c>
      <c r="I2360" s="325">
        <v>21400</v>
      </c>
      <c r="J236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60" s="133">
        <f>_xlfn.XLOOKUP(Market_Data[[#This Row],[Project Type]],tbl_assumptions_market[Project Category (RERA)],tbl_assumptions_market[Concrete Intensity
(m³ / sq m BUA)],"",0)</f>
        <v>0.42</v>
      </c>
      <c r="L2360" s="134">
        <f>ROUND(Market_Data[[#This Row],[Estimated Built Up Area (sq m)]]*Market_Data[[#This Row],[Concrete Intensity
(m³ / sq m)]],0)</f>
        <v>8988</v>
      </c>
      <c r="M2360" s="135">
        <f>_xlfn.XLOOKUP(Market_Data[[#This Row],[District]],tbl_district_price[District],tbl_district_price[Standard Price
(INR/m³)],"",0)</f>
        <v>6200</v>
      </c>
      <c r="N2360" s="364">
        <f>IF(OR(Market_Data[[#This Row],[Estimated Concrete Demand (m³)]]="",Market_Data[[#This Row],[Avg Price per (₹ / m³)]]=""),"",Market_Data[[#This Row],[Estimated Concrete Demand (m³)]]*Market_Data[[#This Row],[Avg Price per (₹ / m³)]]/10000000)</f>
        <v>5.5725600000000002</v>
      </c>
      <c r="O2360" s="97" t="str">
        <f>IF(Market_Data[[#This Row],[Estimated Concrete Demand (m³)]]="","",
IF(Market_Data[[#This Row],[Estimated Concrete Demand (m³)]]&lt;10000,"Small",
IF(Market_Data[[#This Row],[Estimated Concrete Demand (m³)]]&lt;25000,"Medium",
IF(Market_Data[[#This Row],[Estimated Concrete Demand (m³)]]&lt;100000,"Large","Mega"))))</f>
        <v>Small</v>
      </c>
      <c r="P2360" s="287" t="str">
        <f t="shared" si="38"/>
        <v>GujRERA</v>
      </c>
    </row>
    <row r="2361" spans="1:16">
      <c r="A2361" s="129" t="str">
        <f>_xlfn.XLOOKUP(B2361,$S$9:$S$14,$T$9:$T$14)&amp;"-"&amp;
IF(E2361="Residential/Group Housing","RES",
IF(E2361="Commercial","COM",
IF(E2361="Mixed Development","MIX",
IF(E2361="Plotted Development","PLT","OTH"))))
&amp;"-"&amp;TEXT(COUNTIFS($B$9:B2361,B2361,$E$9:E2361,E2361),"0000")</f>
        <v>SUR-MIX-0427</v>
      </c>
      <c r="B2361" s="322" t="s">
        <v>34</v>
      </c>
      <c r="C2361" s="322" t="s">
        <v>34</v>
      </c>
      <c r="D2361" s="323" t="s">
        <v>2550</v>
      </c>
      <c r="E2361" s="132" t="s">
        <v>25</v>
      </c>
      <c r="F2361" s="97" t="str">
        <f ca="1">IF(OR(Market_Data[[#This Row],[Start Date]]="",Market_Data[[#This Row],[Completion Date]]=""),"Needs Validation",IF(Market_Data[[#This Row],[Start Date]]&gt;TODAY(),"Planned",IF(Market_Data[[#This Row],[Completion Date]]&lt;TODAY(),"Completed","Ongoing")))</f>
        <v>Completed</v>
      </c>
      <c r="G2361" s="324">
        <v>42005</v>
      </c>
      <c r="H2361" s="324">
        <v>43070</v>
      </c>
      <c r="I2361" s="325">
        <v>43900</v>
      </c>
      <c r="J236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61" s="133">
        <f>_xlfn.XLOOKUP(Market_Data[[#This Row],[Project Type]],tbl_assumptions_market[Project Category (RERA)],tbl_assumptions_market[Concrete Intensity
(m³ / sq m BUA)],"",0)</f>
        <v>0.42</v>
      </c>
      <c r="L2361" s="134">
        <f>ROUND(Market_Data[[#This Row],[Estimated Built Up Area (sq m)]]*Market_Data[[#This Row],[Concrete Intensity
(m³ / sq m)]],0)</f>
        <v>18438</v>
      </c>
      <c r="M2361" s="135">
        <f>_xlfn.XLOOKUP(Market_Data[[#This Row],[District]],tbl_district_price[District],tbl_district_price[Standard Price
(INR/m³)],"",0)</f>
        <v>6200</v>
      </c>
      <c r="N2361" s="364">
        <f>IF(OR(Market_Data[[#This Row],[Estimated Concrete Demand (m³)]]="",Market_Data[[#This Row],[Avg Price per (₹ / m³)]]=""),"",Market_Data[[#This Row],[Estimated Concrete Demand (m³)]]*Market_Data[[#This Row],[Avg Price per (₹ / m³)]]/10000000)</f>
        <v>11.431559999999999</v>
      </c>
      <c r="O2361" s="97" t="str">
        <f>IF(Market_Data[[#This Row],[Estimated Concrete Demand (m³)]]="","",
IF(Market_Data[[#This Row],[Estimated Concrete Demand (m³)]]&lt;10000,"Small",
IF(Market_Data[[#This Row],[Estimated Concrete Demand (m³)]]&lt;25000,"Medium",
IF(Market_Data[[#This Row],[Estimated Concrete Demand (m³)]]&lt;100000,"Large","Mega"))))</f>
        <v>Medium</v>
      </c>
      <c r="P2361" s="287" t="str">
        <f t="shared" si="38"/>
        <v>GujRERA</v>
      </c>
    </row>
    <row r="2362" spans="1:16">
      <c r="A2362" s="129" t="str">
        <f>_xlfn.XLOOKUP(B2362,$S$9:$S$14,$T$9:$T$14)&amp;"-"&amp;
IF(E2362="Residential/Group Housing","RES",
IF(E2362="Commercial","COM",
IF(E2362="Mixed Development","MIX",
IF(E2362="Plotted Development","PLT","OTH"))))
&amp;"-"&amp;TEXT(COUNTIFS($B$9:B2362,B2362,$E$9:E2362,E2362),"0000")</f>
        <v>SUR-RES-0796</v>
      </c>
      <c r="B2362" s="322" t="s">
        <v>34</v>
      </c>
      <c r="C2362" s="322" t="s">
        <v>34</v>
      </c>
      <c r="D2362" s="323" t="s">
        <v>2551</v>
      </c>
      <c r="E2362" s="132" t="s">
        <v>24</v>
      </c>
      <c r="F2362" s="97" t="str">
        <f ca="1">IF(OR(Market_Data[[#This Row],[Start Date]]="",Market_Data[[#This Row],[Completion Date]]=""),"Needs Validation",IF(Market_Data[[#This Row],[Start Date]]&gt;TODAY(),"Planned",IF(Market_Data[[#This Row],[Completion Date]]&lt;TODAY(),"Completed","Ongoing")))</f>
        <v>Ongoing</v>
      </c>
      <c r="G2362" s="324">
        <v>45352</v>
      </c>
      <c r="H2362" s="324">
        <v>46477</v>
      </c>
      <c r="I2362" s="325">
        <v>30900</v>
      </c>
      <c r="J236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62" s="133">
        <f>_xlfn.XLOOKUP(Market_Data[[#This Row],[Project Type]],tbl_assumptions_market[Project Category (RERA)],tbl_assumptions_market[Concrete Intensity
(m³ / sq m BUA)],"",0)</f>
        <v>0.45</v>
      </c>
      <c r="L2362" s="134">
        <f>ROUND(Market_Data[[#This Row],[Estimated Built Up Area (sq m)]]*Market_Data[[#This Row],[Concrete Intensity
(m³ / sq m)]],0)</f>
        <v>13905</v>
      </c>
      <c r="M2362" s="135">
        <f>_xlfn.XLOOKUP(Market_Data[[#This Row],[District]],tbl_district_price[District],tbl_district_price[Standard Price
(INR/m³)],"",0)</f>
        <v>6200</v>
      </c>
      <c r="N2362" s="364">
        <f>IF(OR(Market_Data[[#This Row],[Estimated Concrete Demand (m³)]]="",Market_Data[[#This Row],[Avg Price per (₹ / m³)]]=""),"",Market_Data[[#This Row],[Estimated Concrete Demand (m³)]]*Market_Data[[#This Row],[Avg Price per (₹ / m³)]]/10000000)</f>
        <v>8.6211000000000002</v>
      </c>
      <c r="O2362" s="97" t="str">
        <f>IF(Market_Data[[#This Row],[Estimated Concrete Demand (m³)]]="","",
IF(Market_Data[[#This Row],[Estimated Concrete Demand (m³)]]&lt;10000,"Small",
IF(Market_Data[[#This Row],[Estimated Concrete Demand (m³)]]&lt;25000,"Medium",
IF(Market_Data[[#This Row],[Estimated Concrete Demand (m³)]]&lt;100000,"Large","Mega"))))</f>
        <v>Medium</v>
      </c>
      <c r="P2362" s="287" t="str">
        <f t="shared" si="38"/>
        <v>GujRERA</v>
      </c>
    </row>
    <row r="2363" spans="1:16">
      <c r="A2363" s="129" t="str">
        <f>_xlfn.XLOOKUP(B2363,$S$9:$S$14,$T$9:$T$14)&amp;"-"&amp;
IF(E2363="Residential/Group Housing","RES",
IF(E2363="Commercial","COM",
IF(E2363="Mixed Development","MIX",
IF(E2363="Plotted Development","PLT","OTH"))))
&amp;"-"&amp;TEXT(COUNTIFS($B$9:B2363,B2363,$E$9:E2363,E2363),"0000")</f>
        <v>SUR-MIX-0428</v>
      </c>
      <c r="B2363" s="322" t="s">
        <v>34</v>
      </c>
      <c r="C2363" s="322" t="s">
        <v>34</v>
      </c>
      <c r="D2363" s="323" t="s">
        <v>2552</v>
      </c>
      <c r="E2363" s="132" t="s">
        <v>25</v>
      </c>
      <c r="F2363" s="97" t="str">
        <f ca="1">IF(OR(Market_Data[[#This Row],[Start Date]]="",Market_Data[[#This Row],[Completion Date]]=""),"Needs Validation",IF(Market_Data[[#This Row],[Start Date]]&gt;TODAY(),"Planned",IF(Market_Data[[#This Row],[Completion Date]]&lt;TODAY(),"Completed","Ongoing")))</f>
        <v>Ongoing</v>
      </c>
      <c r="G2363" s="324">
        <v>45748</v>
      </c>
      <c r="H2363" s="324">
        <v>47483</v>
      </c>
      <c r="I2363" s="325">
        <v>18000</v>
      </c>
      <c r="J236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63" s="133">
        <f>_xlfn.XLOOKUP(Market_Data[[#This Row],[Project Type]],tbl_assumptions_market[Project Category (RERA)],tbl_assumptions_market[Concrete Intensity
(m³ / sq m BUA)],"",0)</f>
        <v>0.42</v>
      </c>
      <c r="L2363" s="134">
        <f>ROUND(Market_Data[[#This Row],[Estimated Built Up Area (sq m)]]*Market_Data[[#This Row],[Concrete Intensity
(m³ / sq m)]],0)</f>
        <v>7560</v>
      </c>
      <c r="M2363" s="135">
        <f>_xlfn.XLOOKUP(Market_Data[[#This Row],[District]],tbl_district_price[District],tbl_district_price[Standard Price
(INR/m³)],"",0)</f>
        <v>6200</v>
      </c>
      <c r="N2363" s="364">
        <f>IF(OR(Market_Data[[#This Row],[Estimated Concrete Demand (m³)]]="",Market_Data[[#This Row],[Avg Price per (₹ / m³)]]=""),"",Market_Data[[#This Row],[Estimated Concrete Demand (m³)]]*Market_Data[[#This Row],[Avg Price per (₹ / m³)]]/10000000)</f>
        <v>4.6871999999999998</v>
      </c>
      <c r="O2363" s="97" t="str">
        <f>IF(Market_Data[[#This Row],[Estimated Concrete Demand (m³)]]="","",
IF(Market_Data[[#This Row],[Estimated Concrete Demand (m³)]]&lt;10000,"Small",
IF(Market_Data[[#This Row],[Estimated Concrete Demand (m³)]]&lt;25000,"Medium",
IF(Market_Data[[#This Row],[Estimated Concrete Demand (m³)]]&lt;100000,"Large","Mega"))))</f>
        <v>Small</v>
      </c>
      <c r="P2363" s="287" t="str">
        <f t="shared" si="38"/>
        <v>GujRERA</v>
      </c>
    </row>
    <row r="2364" spans="1:16">
      <c r="A2364" s="129" t="str">
        <f>_xlfn.XLOOKUP(B2364,$S$9:$S$14,$T$9:$T$14)&amp;"-"&amp;
IF(E2364="Residential/Group Housing","RES",
IF(E2364="Commercial","COM",
IF(E2364="Mixed Development","MIX",
IF(E2364="Plotted Development","PLT","OTH"))))
&amp;"-"&amp;TEXT(COUNTIFS($B$9:B2364,B2364,$E$9:E2364,E2364),"0000")</f>
        <v>SUR-MIX-0429</v>
      </c>
      <c r="B2364" s="322" t="s">
        <v>34</v>
      </c>
      <c r="C2364" s="322" t="s">
        <v>34</v>
      </c>
      <c r="D2364" s="323" t="s">
        <v>2553</v>
      </c>
      <c r="E2364" s="132" t="s">
        <v>25</v>
      </c>
      <c r="F2364" s="97" t="str">
        <f ca="1">IF(OR(Market_Data[[#This Row],[Start Date]]="",Market_Data[[#This Row],[Completion Date]]=""),"Needs Validation",IF(Market_Data[[#This Row],[Start Date]]&gt;TODAY(),"Planned",IF(Market_Data[[#This Row],[Completion Date]]&lt;TODAY(),"Completed","Ongoing")))</f>
        <v>Completed</v>
      </c>
      <c r="G2364" s="324">
        <v>43856</v>
      </c>
      <c r="H2364" s="324">
        <v>45499</v>
      </c>
      <c r="I2364" s="325">
        <v>7600</v>
      </c>
      <c r="J236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364" s="133">
        <f>_xlfn.XLOOKUP(Market_Data[[#This Row],[Project Type]],tbl_assumptions_market[Project Category (RERA)],tbl_assumptions_market[Concrete Intensity
(m³ / sq m BUA)],"",0)</f>
        <v>0.42</v>
      </c>
      <c r="L2364" s="134">
        <f>ROUND(Market_Data[[#This Row],[Estimated Built Up Area (sq m)]]*Market_Data[[#This Row],[Concrete Intensity
(m³ / sq m)]],0)</f>
        <v>3192</v>
      </c>
      <c r="M2364" s="135">
        <f>_xlfn.XLOOKUP(Market_Data[[#This Row],[District]],tbl_district_price[District],tbl_district_price[Standard Price
(INR/m³)],"",0)</f>
        <v>6200</v>
      </c>
      <c r="N2364" s="364">
        <f>IF(OR(Market_Data[[#This Row],[Estimated Concrete Demand (m³)]]="",Market_Data[[#This Row],[Avg Price per (₹ / m³)]]=""),"",Market_Data[[#This Row],[Estimated Concrete Demand (m³)]]*Market_Data[[#This Row],[Avg Price per (₹ / m³)]]/10000000)</f>
        <v>1.9790399999999999</v>
      </c>
      <c r="O2364" s="97" t="str">
        <f>IF(Market_Data[[#This Row],[Estimated Concrete Demand (m³)]]="","",
IF(Market_Data[[#This Row],[Estimated Concrete Demand (m³)]]&lt;10000,"Small",
IF(Market_Data[[#This Row],[Estimated Concrete Demand (m³)]]&lt;25000,"Medium",
IF(Market_Data[[#This Row],[Estimated Concrete Demand (m³)]]&lt;100000,"Large","Mega"))))</f>
        <v>Small</v>
      </c>
      <c r="P2364" s="287" t="str">
        <f t="shared" si="38"/>
        <v>GujRERA</v>
      </c>
    </row>
    <row r="2365" spans="1:16">
      <c r="A2365" s="129" t="str">
        <f>_xlfn.XLOOKUP(B2365,$S$9:$S$14,$T$9:$T$14)&amp;"-"&amp;
IF(E2365="Residential/Group Housing","RES",
IF(E2365="Commercial","COM",
IF(E2365="Mixed Development","MIX",
IF(E2365="Plotted Development","PLT","OTH"))))
&amp;"-"&amp;TEXT(COUNTIFS($B$9:B2365,B2365,$E$9:E2365,E2365),"0000")</f>
        <v>SUR-MIX-0430</v>
      </c>
      <c r="B2365" s="322" t="s">
        <v>34</v>
      </c>
      <c r="C2365" s="322" t="s">
        <v>34</v>
      </c>
      <c r="D2365" s="323" t="s">
        <v>2554</v>
      </c>
      <c r="E2365" s="132" t="s">
        <v>25</v>
      </c>
      <c r="F2365" s="97" t="str">
        <f ca="1">IF(OR(Market_Data[[#This Row],[Start Date]]="",Market_Data[[#This Row],[Completion Date]]=""),"Needs Validation",IF(Market_Data[[#This Row],[Start Date]]&gt;TODAY(),"Planned",IF(Market_Data[[#This Row],[Completion Date]]&lt;TODAY(),"Completed","Ongoing")))</f>
        <v>Completed</v>
      </c>
      <c r="G2365" s="324">
        <v>43656</v>
      </c>
      <c r="H2365" s="324">
        <v>46203</v>
      </c>
      <c r="I2365" s="325">
        <v>44500</v>
      </c>
      <c r="J236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65" s="133">
        <f>_xlfn.XLOOKUP(Market_Data[[#This Row],[Project Type]],tbl_assumptions_market[Project Category (RERA)],tbl_assumptions_market[Concrete Intensity
(m³ / sq m BUA)],"",0)</f>
        <v>0.42</v>
      </c>
      <c r="L2365" s="134">
        <f>ROUND(Market_Data[[#This Row],[Estimated Built Up Area (sq m)]]*Market_Data[[#This Row],[Concrete Intensity
(m³ / sq m)]],0)</f>
        <v>18690</v>
      </c>
      <c r="M2365" s="135">
        <f>_xlfn.XLOOKUP(Market_Data[[#This Row],[District]],tbl_district_price[District],tbl_district_price[Standard Price
(INR/m³)],"",0)</f>
        <v>6200</v>
      </c>
      <c r="N2365" s="364">
        <f>IF(OR(Market_Data[[#This Row],[Estimated Concrete Demand (m³)]]="",Market_Data[[#This Row],[Avg Price per (₹ / m³)]]=""),"",Market_Data[[#This Row],[Estimated Concrete Demand (m³)]]*Market_Data[[#This Row],[Avg Price per (₹ / m³)]]/10000000)</f>
        <v>11.5878</v>
      </c>
      <c r="O2365" s="97" t="str">
        <f>IF(Market_Data[[#This Row],[Estimated Concrete Demand (m³)]]="","",
IF(Market_Data[[#This Row],[Estimated Concrete Demand (m³)]]&lt;10000,"Small",
IF(Market_Data[[#This Row],[Estimated Concrete Demand (m³)]]&lt;25000,"Medium",
IF(Market_Data[[#This Row],[Estimated Concrete Demand (m³)]]&lt;100000,"Large","Mega"))))</f>
        <v>Medium</v>
      </c>
      <c r="P2365" s="287" t="str">
        <f t="shared" si="38"/>
        <v>GujRERA</v>
      </c>
    </row>
    <row r="2366" spans="1:16">
      <c r="A2366" s="129" t="str">
        <f>_xlfn.XLOOKUP(B2366,$S$9:$S$14,$T$9:$T$14)&amp;"-"&amp;
IF(E2366="Residential/Group Housing","RES",
IF(E2366="Commercial","COM",
IF(E2366="Mixed Development","MIX",
IF(E2366="Plotted Development","PLT","OTH"))))
&amp;"-"&amp;TEXT(COUNTIFS($B$9:B2366,B2366,$E$9:E2366,E2366),"0000")</f>
        <v>SUR-COM-0373</v>
      </c>
      <c r="B2366" s="322" t="s">
        <v>34</v>
      </c>
      <c r="C2366" s="322" t="s">
        <v>34</v>
      </c>
      <c r="D2366" s="323" t="s">
        <v>2555</v>
      </c>
      <c r="E2366" s="132" t="s">
        <v>23</v>
      </c>
      <c r="F2366" s="97" t="str">
        <f ca="1">IF(OR(Market_Data[[#This Row],[Start Date]]="",Market_Data[[#This Row],[Completion Date]]=""),"Needs Validation",IF(Market_Data[[#This Row],[Start Date]]&gt;TODAY(),"Planned",IF(Market_Data[[#This Row],[Completion Date]]&lt;TODAY(),"Completed","Ongoing")))</f>
        <v>Ongoing</v>
      </c>
      <c r="G2366" s="324">
        <v>44927</v>
      </c>
      <c r="H2366" s="324">
        <v>46783</v>
      </c>
      <c r="I2366" s="325">
        <v>51500</v>
      </c>
      <c r="J236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366" s="133">
        <f>_xlfn.XLOOKUP(Market_Data[[#This Row],[Project Type]],tbl_assumptions_market[Project Category (RERA)],tbl_assumptions_market[Concrete Intensity
(m³ / sq m BUA)],"",0)</f>
        <v>0.5</v>
      </c>
      <c r="L2366" s="134">
        <f>ROUND(Market_Data[[#This Row],[Estimated Built Up Area (sq m)]]*Market_Data[[#This Row],[Concrete Intensity
(m³ / sq m)]],0)</f>
        <v>25750</v>
      </c>
      <c r="M2366" s="135">
        <f>_xlfn.XLOOKUP(Market_Data[[#This Row],[District]],tbl_district_price[District],tbl_district_price[Standard Price
(INR/m³)],"",0)</f>
        <v>6200</v>
      </c>
      <c r="N2366" s="364">
        <f>IF(OR(Market_Data[[#This Row],[Estimated Concrete Demand (m³)]]="",Market_Data[[#This Row],[Avg Price per (₹ / m³)]]=""),"",Market_Data[[#This Row],[Estimated Concrete Demand (m³)]]*Market_Data[[#This Row],[Avg Price per (₹ / m³)]]/10000000)</f>
        <v>15.965</v>
      </c>
      <c r="O2366" s="97" t="str">
        <f>IF(Market_Data[[#This Row],[Estimated Concrete Demand (m³)]]="","",
IF(Market_Data[[#This Row],[Estimated Concrete Demand (m³)]]&lt;10000,"Small",
IF(Market_Data[[#This Row],[Estimated Concrete Demand (m³)]]&lt;25000,"Medium",
IF(Market_Data[[#This Row],[Estimated Concrete Demand (m³)]]&lt;100000,"Large","Mega"))))</f>
        <v>Large</v>
      </c>
      <c r="P2366" s="287" t="str">
        <f t="shared" si="38"/>
        <v>GujRERA</v>
      </c>
    </row>
    <row r="2367" spans="1:16">
      <c r="A2367" s="129" t="str">
        <f>_xlfn.XLOOKUP(B2367,$S$9:$S$14,$T$9:$T$14)&amp;"-"&amp;
IF(E2367="Residential/Group Housing","RES",
IF(E2367="Commercial","COM",
IF(E2367="Mixed Development","MIX",
IF(E2367="Plotted Development","PLT","OTH"))))
&amp;"-"&amp;TEXT(COUNTIFS($B$9:B2367,B2367,$E$9:E2367,E2367),"0000")</f>
        <v>SUR-COM-0374</v>
      </c>
      <c r="B2367" s="322" t="s">
        <v>34</v>
      </c>
      <c r="C2367" s="322" t="s">
        <v>34</v>
      </c>
      <c r="D2367" s="323" t="s">
        <v>2556</v>
      </c>
      <c r="E2367" s="132" t="s">
        <v>23</v>
      </c>
      <c r="F2367" s="97" t="str">
        <f ca="1">IF(OR(Market_Data[[#This Row],[Start Date]]="",Market_Data[[#This Row],[Completion Date]]=""),"Needs Validation",IF(Market_Data[[#This Row],[Start Date]]&gt;TODAY(),"Planned",IF(Market_Data[[#This Row],[Completion Date]]&lt;TODAY(),"Completed","Ongoing")))</f>
        <v>Completed</v>
      </c>
      <c r="G2367" s="324">
        <v>43191</v>
      </c>
      <c r="H2367" s="324">
        <v>45199</v>
      </c>
      <c r="I2367" s="325">
        <v>2500</v>
      </c>
      <c r="J236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67" s="133">
        <f>_xlfn.XLOOKUP(Market_Data[[#This Row],[Project Type]],tbl_assumptions_market[Project Category (RERA)],tbl_assumptions_market[Concrete Intensity
(m³ / sq m BUA)],"",0)</f>
        <v>0.5</v>
      </c>
      <c r="L2367" s="134">
        <f>ROUND(Market_Data[[#This Row],[Estimated Built Up Area (sq m)]]*Market_Data[[#This Row],[Concrete Intensity
(m³ / sq m)]],0)</f>
        <v>1250</v>
      </c>
      <c r="M2367" s="135">
        <f>_xlfn.XLOOKUP(Market_Data[[#This Row],[District]],tbl_district_price[District],tbl_district_price[Standard Price
(INR/m³)],"",0)</f>
        <v>6200</v>
      </c>
      <c r="N2367" s="364">
        <f>IF(OR(Market_Data[[#This Row],[Estimated Concrete Demand (m³)]]="",Market_Data[[#This Row],[Avg Price per (₹ / m³)]]=""),"",Market_Data[[#This Row],[Estimated Concrete Demand (m³)]]*Market_Data[[#This Row],[Avg Price per (₹ / m³)]]/10000000)</f>
        <v>0.77500000000000002</v>
      </c>
      <c r="O2367" s="97" t="str">
        <f>IF(Market_Data[[#This Row],[Estimated Concrete Demand (m³)]]="","",
IF(Market_Data[[#This Row],[Estimated Concrete Demand (m³)]]&lt;10000,"Small",
IF(Market_Data[[#This Row],[Estimated Concrete Demand (m³)]]&lt;25000,"Medium",
IF(Market_Data[[#This Row],[Estimated Concrete Demand (m³)]]&lt;100000,"Large","Mega"))))</f>
        <v>Small</v>
      </c>
      <c r="P2367" s="287" t="str">
        <f t="shared" si="38"/>
        <v>GujRERA</v>
      </c>
    </row>
    <row r="2368" spans="1:16">
      <c r="A2368" s="129" t="str">
        <f>_xlfn.XLOOKUP(B2368,$S$9:$S$14,$T$9:$T$14)&amp;"-"&amp;
IF(E2368="Residential/Group Housing","RES",
IF(E2368="Commercial","COM",
IF(E2368="Mixed Development","MIX",
IF(E2368="Plotted Development","PLT","OTH"))))
&amp;"-"&amp;TEXT(COUNTIFS($B$9:B2368,B2368,$E$9:E2368,E2368),"0000")</f>
        <v>SUR-COM-0375</v>
      </c>
      <c r="B2368" s="322" t="s">
        <v>34</v>
      </c>
      <c r="C2368" s="322" t="s">
        <v>34</v>
      </c>
      <c r="D2368" s="323" t="s">
        <v>2557</v>
      </c>
      <c r="E2368" s="132" t="s">
        <v>23</v>
      </c>
      <c r="F2368" s="97" t="str">
        <f ca="1">IF(OR(Market_Data[[#This Row],[Start Date]]="",Market_Data[[#This Row],[Completion Date]]=""),"Needs Validation",IF(Market_Data[[#This Row],[Start Date]]&gt;TODAY(),"Planned",IF(Market_Data[[#This Row],[Completion Date]]&lt;TODAY(),"Completed","Ongoing")))</f>
        <v>Completed</v>
      </c>
      <c r="G2368" s="324">
        <v>43459</v>
      </c>
      <c r="H2368" s="324">
        <v>45838</v>
      </c>
      <c r="I2368" s="325">
        <v>57100</v>
      </c>
      <c r="J236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368" s="133">
        <f>_xlfn.XLOOKUP(Market_Data[[#This Row],[Project Type]],tbl_assumptions_market[Project Category (RERA)],tbl_assumptions_market[Concrete Intensity
(m³ / sq m BUA)],"",0)</f>
        <v>0.5</v>
      </c>
      <c r="L2368" s="134">
        <f>ROUND(Market_Data[[#This Row],[Estimated Built Up Area (sq m)]]*Market_Data[[#This Row],[Concrete Intensity
(m³ / sq m)]],0)</f>
        <v>28550</v>
      </c>
      <c r="M2368" s="135">
        <f>_xlfn.XLOOKUP(Market_Data[[#This Row],[District]],tbl_district_price[District],tbl_district_price[Standard Price
(INR/m³)],"",0)</f>
        <v>6200</v>
      </c>
      <c r="N2368" s="364">
        <f>IF(OR(Market_Data[[#This Row],[Estimated Concrete Demand (m³)]]="",Market_Data[[#This Row],[Avg Price per (₹ / m³)]]=""),"",Market_Data[[#This Row],[Estimated Concrete Demand (m³)]]*Market_Data[[#This Row],[Avg Price per (₹ / m³)]]/10000000)</f>
        <v>17.701000000000001</v>
      </c>
      <c r="O2368" s="97" t="str">
        <f>IF(Market_Data[[#This Row],[Estimated Concrete Demand (m³)]]="","",
IF(Market_Data[[#This Row],[Estimated Concrete Demand (m³)]]&lt;10000,"Small",
IF(Market_Data[[#This Row],[Estimated Concrete Demand (m³)]]&lt;25000,"Medium",
IF(Market_Data[[#This Row],[Estimated Concrete Demand (m³)]]&lt;100000,"Large","Mega"))))</f>
        <v>Large</v>
      </c>
      <c r="P2368" s="287" t="str">
        <f t="shared" si="38"/>
        <v>GujRERA</v>
      </c>
    </row>
    <row r="2369" spans="1:16">
      <c r="A2369" s="129" t="str">
        <f>_xlfn.XLOOKUP(B2369,$S$9:$S$14,$T$9:$T$14)&amp;"-"&amp;
IF(E2369="Residential/Group Housing","RES",
IF(E2369="Commercial","COM",
IF(E2369="Mixed Development","MIX",
IF(E2369="Plotted Development","PLT","OTH"))))
&amp;"-"&amp;TEXT(COUNTIFS($B$9:B2369,B2369,$E$9:E2369,E2369),"0000")</f>
        <v>SUR-COM-0376</v>
      </c>
      <c r="B2369" s="322" t="s">
        <v>34</v>
      </c>
      <c r="C2369" s="322" t="s">
        <v>34</v>
      </c>
      <c r="D2369" s="323" t="s">
        <v>2558</v>
      </c>
      <c r="E2369" s="132" t="s">
        <v>23</v>
      </c>
      <c r="F2369" s="97" t="str">
        <f ca="1">IF(OR(Market_Data[[#This Row],[Start Date]]="",Market_Data[[#This Row],[Completion Date]]=""),"Needs Validation",IF(Market_Data[[#This Row],[Start Date]]&gt;TODAY(),"Planned",IF(Market_Data[[#This Row],[Completion Date]]&lt;TODAY(),"Completed","Ongoing")))</f>
        <v>Completed</v>
      </c>
      <c r="G2369" s="324">
        <v>43074</v>
      </c>
      <c r="H2369" s="324">
        <v>45107</v>
      </c>
      <c r="I2369" s="325">
        <v>5400</v>
      </c>
      <c r="J236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69" s="133">
        <f>_xlfn.XLOOKUP(Market_Data[[#This Row],[Project Type]],tbl_assumptions_market[Project Category (RERA)],tbl_assumptions_market[Concrete Intensity
(m³ / sq m BUA)],"",0)</f>
        <v>0.5</v>
      </c>
      <c r="L2369" s="134">
        <f>ROUND(Market_Data[[#This Row],[Estimated Built Up Area (sq m)]]*Market_Data[[#This Row],[Concrete Intensity
(m³ / sq m)]],0)</f>
        <v>2700</v>
      </c>
      <c r="M2369" s="135">
        <f>_xlfn.XLOOKUP(Market_Data[[#This Row],[District]],tbl_district_price[District],tbl_district_price[Standard Price
(INR/m³)],"",0)</f>
        <v>6200</v>
      </c>
      <c r="N2369" s="364">
        <f>IF(OR(Market_Data[[#This Row],[Estimated Concrete Demand (m³)]]="",Market_Data[[#This Row],[Avg Price per (₹ / m³)]]=""),"",Market_Data[[#This Row],[Estimated Concrete Demand (m³)]]*Market_Data[[#This Row],[Avg Price per (₹ / m³)]]/10000000)</f>
        <v>1.6739999999999999</v>
      </c>
      <c r="O2369" s="97" t="str">
        <f>IF(Market_Data[[#This Row],[Estimated Concrete Demand (m³)]]="","",
IF(Market_Data[[#This Row],[Estimated Concrete Demand (m³)]]&lt;10000,"Small",
IF(Market_Data[[#This Row],[Estimated Concrete Demand (m³)]]&lt;25000,"Medium",
IF(Market_Data[[#This Row],[Estimated Concrete Demand (m³)]]&lt;100000,"Large","Mega"))))</f>
        <v>Small</v>
      </c>
      <c r="P2369" s="287" t="str">
        <f t="shared" si="38"/>
        <v>GujRERA</v>
      </c>
    </row>
    <row r="2370" spans="1:16">
      <c r="A2370" s="129" t="str">
        <f>_xlfn.XLOOKUP(B2370,$S$9:$S$14,$T$9:$T$14)&amp;"-"&amp;
IF(E2370="Residential/Group Housing","RES",
IF(E2370="Commercial","COM",
IF(E2370="Mixed Development","MIX",
IF(E2370="Plotted Development","PLT","OTH"))))
&amp;"-"&amp;TEXT(COUNTIFS($B$9:B2370,B2370,$E$9:E2370,E2370),"0000")</f>
        <v>SUR-COM-0377</v>
      </c>
      <c r="B2370" s="322" t="s">
        <v>34</v>
      </c>
      <c r="C2370" s="322" t="s">
        <v>34</v>
      </c>
      <c r="D2370" s="323" t="s">
        <v>2559</v>
      </c>
      <c r="E2370" s="132" t="s">
        <v>23</v>
      </c>
      <c r="F2370" s="97" t="str">
        <f ca="1">IF(OR(Market_Data[[#This Row],[Start Date]]="",Market_Data[[#This Row],[Completion Date]]=""),"Needs Validation",IF(Market_Data[[#This Row],[Start Date]]&gt;TODAY(),"Planned",IF(Market_Data[[#This Row],[Completion Date]]&lt;TODAY(),"Completed","Ongoing")))</f>
        <v>Ongoing</v>
      </c>
      <c r="G2370" s="324">
        <v>45274</v>
      </c>
      <c r="H2370" s="324">
        <v>47483</v>
      </c>
      <c r="I2370" s="325">
        <v>76000</v>
      </c>
      <c r="J237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370" s="133">
        <f>_xlfn.XLOOKUP(Market_Data[[#This Row],[Project Type]],tbl_assumptions_market[Project Category (RERA)],tbl_assumptions_market[Concrete Intensity
(m³ / sq m BUA)],"",0)</f>
        <v>0.5</v>
      </c>
      <c r="L2370" s="134">
        <f>ROUND(Market_Data[[#This Row],[Estimated Built Up Area (sq m)]]*Market_Data[[#This Row],[Concrete Intensity
(m³ / sq m)]],0)</f>
        <v>38000</v>
      </c>
      <c r="M2370" s="135">
        <f>_xlfn.XLOOKUP(Market_Data[[#This Row],[District]],tbl_district_price[District],tbl_district_price[Standard Price
(INR/m³)],"",0)</f>
        <v>6200</v>
      </c>
      <c r="N2370" s="364">
        <f>IF(OR(Market_Data[[#This Row],[Estimated Concrete Demand (m³)]]="",Market_Data[[#This Row],[Avg Price per (₹ / m³)]]=""),"",Market_Data[[#This Row],[Estimated Concrete Demand (m³)]]*Market_Data[[#This Row],[Avg Price per (₹ / m³)]]/10000000)</f>
        <v>23.56</v>
      </c>
      <c r="O2370" s="97" t="str">
        <f>IF(Market_Data[[#This Row],[Estimated Concrete Demand (m³)]]="","",
IF(Market_Data[[#This Row],[Estimated Concrete Demand (m³)]]&lt;10000,"Small",
IF(Market_Data[[#This Row],[Estimated Concrete Demand (m³)]]&lt;25000,"Medium",
IF(Market_Data[[#This Row],[Estimated Concrete Demand (m³)]]&lt;100000,"Large","Mega"))))</f>
        <v>Large</v>
      </c>
      <c r="P2370" s="287" t="str">
        <f t="shared" si="38"/>
        <v>GujRERA</v>
      </c>
    </row>
    <row r="2371" spans="1:16">
      <c r="A2371" s="129" t="str">
        <f>_xlfn.XLOOKUP(B2371,$S$9:$S$14,$T$9:$T$14)&amp;"-"&amp;
IF(E2371="Residential/Group Housing","RES",
IF(E2371="Commercial","COM",
IF(E2371="Mixed Development","MIX",
IF(E2371="Plotted Development","PLT","OTH"))))
&amp;"-"&amp;TEXT(COUNTIFS($B$9:B2371,B2371,$E$9:E2371,E2371),"0000")</f>
        <v>SUR-COM-0378</v>
      </c>
      <c r="B2371" s="322" t="s">
        <v>34</v>
      </c>
      <c r="C2371" s="322" t="s">
        <v>34</v>
      </c>
      <c r="D2371" s="323" t="s">
        <v>2560</v>
      </c>
      <c r="E2371" s="132" t="s">
        <v>23</v>
      </c>
      <c r="F2371" s="97" t="str">
        <f ca="1">IF(OR(Market_Data[[#This Row],[Start Date]]="",Market_Data[[#This Row],[Completion Date]]=""),"Needs Validation",IF(Market_Data[[#This Row],[Start Date]]&gt;TODAY(),"Planned",IF(Market_Data[[#This Row],[Completion Date]]&lt;TODAY(),"Completed","Ongoing")))</f>
        <v>Ongoing</v>
      </c>
      <c r="G2371" s="324">
        <v>44852</v>
      </c>
      <c r="H2371" s="324">
        <v>47057</v>
      </c>
      <c r="I2371" s="325">
        <v>52900</v>
      </c>
      <c r="J237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371" s="133">
        <f>_xlfn.XLOOKUP(Market_Data[[#This Row],[Project Type]],tbl_assumptions_market[Project Category (RERA)],tbl_assumptions_market[Concrete Intensity
(m³ / sq m BUA)],"",0)</f>
        <v>0.5</v>
      </c>
      <c r="L2371" s="134">
        <f>ROUND(Market_Data[[#This Row],[Estimated Built Up Area (sq m)]]*Market_Data[[#This Row],[Concrete Intensity
(m³ / sq m)]],0)</f>
        <v>26450</v>
      </c>
      <c r="M2371" s="135">
        <f>_xlfn.XLOOKUP(Market_Data[[#This Row],[District]],tbl_district_price[District],tbl_district_price[Standard Price
(INR/m³)],"",0)</f>
        <v>6200</v>
      </c>
      <c r="N2371" s="364">
        <f>IF(OR(Market_Data[[#This Row],[Estimated Concrete Demand (m³)]]="",Market_Data[[#This Row],[Avg Price per (₹ / m³)]]=""),"",Market_Data[[#This Row],[Estimated Concrete Demand (m³)]]*Market_Data[[#This Row],[Avg Price per (₹ / m³)]]/10000000)</f>
        <v>16.399000000000001</v>
      </c>
      <c r="O2371" s="97" t="str">
        <f>IF(Market_Data[[#This Row],[Estimated Concrete Demand (m³)]]="","",
IF(Market_Data[[#This Row],[Estimated Concrete Demand (m³)]]&lt;10000,"Small",
IF(Market_Data[[#This Row],[Estimated Concrete Demand (m³)]]&lt;25000,"Medium",
IF(Market_Data[[#This Row],[Estimated Concrete Demand (m³)]]&lt;100000,"Large","Mega"))))</f>
        <v>Large</v>
      </c>
      <c r="P2371" s="287" t="str">
        <f t="shared" si="38"/>
        <v>GujRERA</v>
      </c>
    </row>
    <row r="2372" spans="1:16">
      <c r="A2372" s="129" t="str">
        <f>_xlfn.XLOOKUP(B2372,$S$9:$S$14,$T$9:$T$14)&amp;"-"&amp;
IF(E2372="Residential/Group Housing","RES",
IF(E2372="Commercial","COM",
IF(E2372="Mixed Development","MIX",
IF(E2372="Plotted Development","PLT","OTH"))))
&amp;"-"&amp;TEXT(COUNTIFS($B$9:B2372,B2372,$E$9:E2372,E2372),"0000")</f>
        <v>SUR-COM-0379</v>
      </c>
      <c r="B2372" s="322" t="s">
        <v>34</v>
      </c>
      <c r="C2372" s="322" t="s">
        <v>34</v>
      </c>
      <c r="D2372" s="323" t="s">
        <v>2561</v>
      </c>
      <c r="E2372" s="132" t="s">
        <v>23</v>
      </c>
      <c r="F2372" s="97" t="str">
        <f ca="1">IF(OR(Market_Data[[#This Row],[Start Date]]="",Market_Data[[#This Row],[Completion Date]]=""),"Needs Validation",IF(Market_Data[[#This Row],[Start Date]]&gt;TODAY(),"Planned",IF(Market_Data[[#This Row],[Completion Date]]&lt;TODAY(),"Completed","Ongoing")))</f>
        <v>Ongoing</v>
      </c>
      <c r="G2372" s="324">
        <v>44924</v>
      </c>
      <c r="H2372" s="324">
        <v>47848</v>
      </c>
      <c r="I2372" s="325">
        <v>39700</v>
      </c>
      <c r="J237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372" s="133">
        <f>_xlfn.XLOOKUP(Market_Data[[#This Row],[Project Type]],tbl_assumptions_market[Project Category (RERA)],tbl_assumptions_market[Concrete Intensity
(m³ / sq m BUA)],"",0)</f>
        <v>0.5</v>
      </c>
      <c r="L2372" s="134">
        <f>ROUND(Market_Data[[#This Row],[Estimated Built Up Area (sq m)]]*Market_Data[[#This Row],[Concrete Intensity
(m³ / sq m)]],0)</f>
        <v>19850</v>
      </c>
      <c r="M2372" s="135">
        <f>_xlfn.XLOOKUP(Market_Data[[#This Row],[District]],tbl_district_price[District],tbl_district_price[Standard Price
(INR/m³)],"",0)</f>
        <v>6200</v>
      </c>
      <c r="N2372" s="364">
        <f>IF(OR(Market_Data[[#This Row],[Estimated Concrete Demand (m³)]]="",Market_Data[[#This Row],[Avg Price per (₹ / m³)]]=""),"",Market_Data[[#This Row],[Estimated Concrete Demand (m³)]]*Market_Data[[#This Row],[Avg Price per (₹ / m³)]]/10000000)</f>
        <v>12.307</v>
      </c>
      <c r="O2372" s="97" t="str">
        <f>IF(Market_Data[[#This Row],[Estimated Concrete Demand (m³)]]="","",
IF(Market_Data[[#This Row],[Estimated Concrete Demand (m³)]]&lt;10000,"Small",
IF(Market_Data[[#This Row],[Estimated Concrete Demand (m³)]]&lt;25000,"Medium",
IF(Market_Data[[#This Row],[Estimated Concrete Demand (m³)]]&lt;100000,"Large","Mega"))))</f>
        <v>Medium</v>
      </c>
      <c r="P2372" s="287" t="str">
        <f t="shared" si="38"/>
        <v>GujRERA</v>
      </c>
    </row>
    <row r="2373" spans="1:16">
      <c r="A2373" s="129" t="str">
        <f>_xlfn.XLOOKUP(B2373,$S$9:$S$14,$T$9:$T$14)&amp;"-"&amp;
IF(E2373="Residential/Group Housing","RES",
IF(E2373="Commercial","COM",
IF(E2373="Mixed Development","MIX",
IF(E2373="Plotted Development","PLT","OTH"))))
&amp;"-"&amp;TEXT(COUNTIFS($B$9:B2373,B2373,$E$9:E2373,E2373),"0000")</f>
        <v>SUR-PLT-0450</v>
      </c>
      <c r="B2373" s="322" t="s">
        <v>34</v>
      </c>
      <c r="C2373" s="322" t="s">
        <v>34</v>
      </c>
      <c r="D2373" s="323" t="s">
        <v>2562</v>
      </c>
      <c r="E2373" s="132" t="s">
        <v>26</v>
      </c>
      <c r="F2373" s="97" t="str">
        <f ca="1">IF(OR(Market_Data[[#This Row],[Start Date]]="",Market_Data[[#This Row],[Completion Date]]=""),"Needs Validation",IF(Market_Data[[#This Row],[Start Date]]&gt;TODAY(),"Planned",IF(Market_Data[[#This Row],[Completion Date]]&lt;TODAY(),"Completed","Ongoing")))</f>
        <v>Ongoing</v>
      </c>
      <c r="G2373" s="324">
        <v>45775</v>
      </c>
      <c r="H2373" s="324">
        <v>46752</v>
      </c>
      <c r="I2373" s="325">
        <v>5100</v>
      </c>
      <c r="J237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73" s="133">
        <f>_xlfn.XLOOKUP(Market_Data[[#This Row],[Project Type]],tbl_assumptions_market[Project Category (RERA)],tbl_assumptions_market[Concrete Intensity
(m³ / sq m BUA)],"",0)</f>
        <v>0.18</v>
      </c>
      <c r="L2373" s="134">
        <f>ROUND(Market_Data[[#This Row],[Estimated Built Up Area (sq m)]]*Market_Data[[#This Row],[Concrete Intensity
(m³ / sq m)]],0)</f>
        <v>918</v>
      </c>
      <c r="M2373" s="135">
        <f>_xlfn.XLOOKUP(Market_Data[[#This Row],[District]],tbl_district_price[District],tbl_district_price[Standard Price
(INR/m³)],"",0)</f>
        <v>6200</v>
      </c>
      <c r="N2373" s="364">
        <f>IF(OR(Market_Data[[#This Row],[Estimated Concrete Demand (m³)]]="",Market_Data[[#This Row],[Avg Price per (₹ / m³)]]=""),"",Market_Data[[#This Row],[Estimated Concrete Demand (m³)]]*Market_Data[[#This Row],[Avg Price per (₹ / m³)]]/10000000)</f>
        <v>0.56916</v>
      </c>
      <c r="O2373" s="97" t="str">
        <f>IF(Market_Data[[#This Row],[Estimated Concrete Demand (m³)]]="","",
IF(Market_Data[[#This Row],[Estimated Concrete Demand (m³)]]&lt;10000,"Small",
IF(Market_Data[[#This Row],[Estimated Concrete Demand (m³)]]&lt;25000,"Medium",
IF(Market_Data[[#This Row],[Estimated Concrete Demand (m³)]]&lt;100000,"Large","Mega"))))</f>
        <v>Small</v>
      </c>
      <c r="P2373" s="287" t="str">
        <f t="shared" si="38"/>
        <v>GujRERA</v>
      </c>
    </row>
    <row r="2374" spans="1:16">
      <c r="A2374" s="129" t="str">
        <f>_xlfn.XLOOKUP(B2374,$S$9:$S$14,$T$9:$T$14)&amp;"-"&amp;
IF(E2374="Residential/Group Housing","RES",
IF(E2374="Commercial","COM",
IF(E2374="Mixed Development","MIX",
IF(E2374="Plotted Development","PLT","OTH"))))
&amp;"-"&amp;TEXT(COUNTIFS($B$9:B2374,B2374,$E$9:E2374,E2374),"0000")</f>
        <v>SUR-RES-0797</v>
      </c>
      <c r="B2374" s="322" t="s">
        <v>34</v>
      </c>
      <c r="C2374" s="322" t="s">
        <v>34</v>
      </c>
      <c r="D2374" s="323" t="s">
        <v>2563</v>
      </c>
      <c r="E2374" s="132" t="s">
        <v>24</v>
      </c>
      <c r="F2374" s="97" t="str">
        <f ca="1">IF(OR(Market_Data[[#This Row],[Start Date]]="",Market_Data[[#This Row],[Completion Date]]=""),"Needs Validation",IF(Market_Data[[#This Row],[Start Date]]&gt;TODAY(),"Planned",IF(Market_Data[[#This Row],[Completion Date]]&lt;TODAY(),"Completed","Ongoing")))</f>
        <v>Completed</v>
      </c>
      <c r="G2374" s="324">
        <v>44682</v>
      </c>
      <c r="H2374" s="324">
        <v>46112</v>
      </c>
      <c r="I2374" s="325">
        <v>26600</v>
      </c>
      <c r="J237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74" s="133">
        <f>_xlfn.XLOOKUP(Market_Data[[#This Row],[Project Type]],tbl_assumptions_market[Project Category (RERA)],tbl_assumptions_market[Concrete Intensity
(m³ / sq m BUA)],"",0)</f>
        <v>0.45</v>
      </c>
      <c r="L2374" s="134">
        <f>ROUND(Market_Data[[#This Row],[Estimated Built Up Area (sq m)]]*Market_Data[[#This Row],[Concrete Intensity
(m³ / sq m)]],0)</f>
        <v>11970</v>
      </c>
      <c r="M2374" s="135">
        <f>_xlfn.XLOOKUP(Market_Data[[#This Row],[District]],tbl_district_price[District],tbl_district_price[Standard Price
(INR/m³)],"",0)</f>
        <v>6200</v>
      </c>
      <c r="N2374" s="364">
        <f>IF(OR(Market_Data[[#This Row],[Estimated Concrete Demand (m³)]]="",Market_Data[[#This Row],[Avg Price per (₹ / m³)]]=""),"",Market_Data[[#This Row],[Estimated Concrete Demand (m³)]]*Market_Data[[#This Row],[Avg Price per (₹ / m³)]]/10000000)</f>
        <v>7.4214000000000002</v>
      </c>
      <c r="O2374" s="97" t="str">
        <f>IF(Market_Data[[#This Row],[Estimated Concrete Demand (m³)]]="","",
IF(Market_Data[[#This Row],[Estimated Concrete Demand (m³)]]&lt;10000,"Small",
IF(Market_Data[[#This Row],[Estimated Concrete Demand (m³)]]&lt;25000,"Medium",
IF(Market_Data[[#This Row],[Estimated Concrete Demand (m³)]]&lt;100000,"Large","Mega"))))</f>
        <v>Medium</v>
      </c>
      <c r="P2374" s="287" t="str">
        <f t="shared" si="38"/>
        <v>GujRERA</v>
      </c>
    </row>
    <row r="2375" spans="1:16">
      <c r="A2375" s="129" t="str">
        <f>_xlfn.XLOOKUP(B2375,$S$9:$S$14,$T$9:$T$14)&amp;"-"&amp;
IF(E2375="Residential/Group Housing","RES",
IF(E2375="Commercial","COM",
IF(E2375="Mixed Development","MIX",
IF(E2375="Plotted Development","PLT","OTH"))))
&amp;"-"&amp;TEXT(COUNTIFS($B$9:B2375,B2375,$E$9:E2375,E2375),"0000")</f>
        <v>SUR-RES-0798</v>
      </c>
      <c r="B2375" s="322" t="s">
        <v>34</v>
      </c>
      <c r="C2375" s="322" t="s">
        <v>34</v>
      </c>
      <c r="D2375" s="323" t="s">
        <v>2564</v>
      </c>
      <c r="E2375" s="132" t="s">
        <v>24</v>
      </c>
      <c r="F2375" s="97" t="str">
        <f ca="1">IF(OR(Market_Data[[#This Row],[Start Date]]="",Market_Data[[#This Row],[Completion Date]]=""),"Needs Validation",IF(Market_Data[[#This Row],[Start Date]]&gt;TODAY(),"Planned",IF(Market_Data[[#This Row],[Completion Date]]&lt;TODAY(),"Completed","Ongoing")))</f>
        <v>Completed</v>
      </c>
      <c r="G2375" s="324">
        <v>43153</v>
      </c>
      <c r="H2375" s="324">
        <v>44978</v>
      </c>
      <c r="I2375" s="325">
        <v>44700</v>
      </c>
      <c r="J237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75" s="133">
        <f>_xlfn.XLOOKUP(Market_Data[[#This Row],[Project Type]],tbl_assumptions_market[Project Category (RERA)],tbl_assumptions_market[Concrete Intensity
(m³ / sq m BUA)],"",0)</f>
        <v>0.45</v>
      </c>
      <c r="L2375" s="134">
        <f>ROUND(Market_Data[[#This Row],[Estimated Built Up Area (sq m)]]*Market_Data[[#This Row],[Concrete Intensity
(m³ / sq m)]],0)</f>
        <v>20115</v>
      </c>
      <c r="M2375" s="135">
        <f>_xlfn.XLOOKUP(Market_Data[[#This Row],[District]],tbl_district_price[District],tbl_district_price[Standard Price
(INR/m³)],"",0)</f>
        <v>6200</v>
      </c>
      <c r="N2375" s="364">
        <f>IF(OR(Market_Data[[#This Row],[Estimated Concrete Demand (m³)]]="",Market_Data[[#This Row],[Avg Price per (₹ / m³)]]=""),"",Market_Data[[#This Row],[Estimated Concrete Demand (m³)]]*Market_Data[[#This Row],[Avg Price per (₹ / m³)]]/10000000)</f>
        <v>12.471299999999999</v>
      </c>
      <c r="O2375" s="97" t="str">
        <f>IF(Market_Data[[#This Row],[Estimated Concrete Demand (m³)]]="","",
IF(Market_Data[[#This Row],[Estimated Concrete Demand (m³)]]&lt;10000,"Small",
IF(Market_Data[[#This Row],[Estimated Concrete Demand (m³)]]&lt;25000,"Medium",
IF(Market_Data[[#This Row],[Estimated Concrete Demand (m³)]]&lt;100000,"Large","Mega"))))</f>
        <v>Medium</v>
      </c>
      <c r="P2375" s="287" t="str">
        <f t="shared" si="38"/>
        <v>GujRERA</v>
      </c>
    </row>
    <row r="2376" spans="1:16">
      <c r="A2376" s="129" t="str">
        <f>_xlfn.XLOOKUP(B2376,$S$9:$S$14,$T$9:$T$14)&amp;"-"&amp;
IF(E2376="Residential/Group Housing","RES",
IF(E2376="Commercial","COM",
IF(E2376="Mixed Development","MIX",
IF(E2376="Plotted Development","PLT","OTH"))))
&amp;"-"&amp;TEXT(COUNTIFS($B$9:B2376,B2376,$E$9:E2376,E2376),"0000")</f>
        <v>SUR-RES-0799</v>
      </c>
      <c r="B2376" s="322" t="s">
        <v>34</v>
      </c>
      <c r="C2376" s="322" t="s">
        <v>34</v>
      </c>
      <c r="D2376" s="323" t="s">
        <v>2565</v>
      </c>
      <c r="E2376" s="132" t="s">
        <v>24</v>
      </c>
      <c r="F2376" s="97" t="str">
        <f ca="1">IF(OR(Market_Data[[#This Row],[Start Date]]="",Market_Data[[#This Row],[Completion Date]]=""),"Needs Validation",IF(Market_Data[[#This Row],[Start Date]]&gt;TODAY(),"Planned",IF(Market_Data[[#This Row],[Completion Date]]&lt;TODAY(),"Completed","Ongoing")))</f>
        <v>Completed</v>
      </c>
      <c r="G2376" s="324">
        <v>43895</v>
      </c>
      <c r="H2376" s="324">
        <v>46203</v>
      </c>
      <c r="I2376" s="325">
        <v>9600</v>
      </c>
      <c r="J237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76" s="133">
        <f>_xlfn.XLOOKUP(Market_Data[[#This Row],[Project Type]],tbl_assumptions_market[Project Category (RERA)],tbl_assumptions_market[Concrete Intensity
(m³ / sq m BUA)],"",0)</f>
        <v>0.45</v>
      </c>
      <c r="L2376" s="134">
        <f>ROUND(Market_Data[[#This Row],[Estimated Built Up Area (sq m)]]*Market_Data[[#This Row],[Concrete Intensity
(m³ / sq m)]],0)</f>
        <v>4320</v>
      </c>
      <c r="M2376" s="135">
        <f>_xlfn.XLOOKUP(Market_Data[[#This Row],[District]],tbl_district_price[District],tbl_district_price[Standard Price
(INR/m³)],"",0)</f>
        <v>6200</v>
      </c>
      <c r="N2376" s="364">
        <f>IF(OR(Market_Data[[#This Row],[Estimated Concrete Demand (m³)]]="",Market_Data[[#This Row],[Avg Price per (₹ / m³)]]=""),"",Market_Data[[#This Row],[Estimated Concrete Demand (m³)]]*Market_Data[[#This Row],[Avg Price per (₹ / m³)]]/10000000)</f>
        <v>2.6783999999999999</v>
      </c>
      <c r="O2376" s="97" t="str">
        <f>IF(Market_Data[[#This Row],[Estimated Concrete Demand (m³)]]="","",
IF(Market_Data[[#This Row],[Estimated Concrete Demand (m³)]]&lt;10000,"Small",
IF(Market_Data[[#This Row],[Estimated Concrete Demand (m³)]]&lt;25000,"Medium",
IF(Market_Data[[#This Row],[Estimated Concrete Demand (m³)]]&lt;100000,"Large","Mega"))))</f>
        <v>Small</v>
      </c>
      <c r="P2376" s="287" t="str">
        <f t="shared" si="38"/>
        <v>GujRERA</v>
      </c>
    </row>
    <row r="2377" spans="1:16">
      <c r="A2377" s="129" t="str">
        <f>_xlfn.XLOOKUP(B2377,$S$9:$S$14,$T$9:$T$14)&amp;"-"&amp;
IF(E2377="Residential/Group Housing","RES",
IF(E2377="Commercial","COM",
IF(E2377="Mixed Development","MIX",
IF(E2377="Plotted Development","PLT","OTH"))))
&amp;"-"&amp;TEXT(COUNTIFS($B$9:B2377,B2377,$E$9:E2377,E2377),"0000")</f>
        <v>SUR-RES-0800</v>
      </c>
      <c r="B2377" s="322" t="s">
        <v>34</v>
      </c>
      <c r="C2377" s="322" t="s">
        <v>34</v>
      </c>
      <c r="D2377" s="323" t="s">
        <v>2566</v>
      </c>
      <c r="E2377" s="132" t="s">
        <v>24</v>
      </c>
      <c r="F2377" s="97" t="str">
        <f ca="1">IF(OR(Market_Data[[#This Row],[Start Date]]="",Market_Data[[#This Row],[Completion Date]]=""),"Needs Validation",IF(Market_Data[[#This Row],[Start Date]]&gt;TODAY(),"Planned",IF(Market_Data[[#This Row],[Completion Date]]&lt;TODAY(),"Completed","Ongoing")))</f>
        <v>Completed</v>
      </c>
      <c r="G2377" s="324">
        <v>41791</v>
      </c>
      <c r="H2377" s="324">
        <v>45413</v>
      </c>
      <c r="I2377" s="325">
        <v>10500</v>
      </c>
      <c r="J237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77" s="133">
        <f>_xlfn.XLOOKUP(Market_Data[[#This Row],[Project Type]],tbl_assumptions_market[Project Category (RERA)],tbl_assumptions_market[Concrete Intensity
(m³ / sq m BUA)],"",0)</f>
        <v>0.45</v>
      </c>
      <c r="L2377" s="134">
        <f>ROUND(Market_Data[[#This Row],[Estimated Built Up Area (sq m)]]*Market_Data[[#This Row],[Concrete Intensity
(m³ / sq m)]],0)</f>
        <v>4725</v>
      </c>
      <c r="M2377" s="135">
        <f>_xlfn.XLOOKUP(Market_Data[[#This Row],[District]],tbl_district_price[District],tbl_district_price[Standard Price
(INR/m³)],"",0)</f>
        <v>6200</v>
      </c>
      <c r="N2377" s="364">
        <f>IF(OR(Market_Data[[#This Row],[Estimated Concrete Demand (m³)]]="",Market_Data[[#This Row],[Avg Price per (₹ / m³)]]=""),"",Market_Data[[#This Row],[Estimated Concrete Demand (m³)]]*Market_Data[[#This Row],[Avg Price per (₹ / m³)]]/10000000)</f>
        <v>2.9295</v>
      </c>
      <c r="O2377" s="97" t="str">
        <f>IF(Market_Data[[#This Row],[Estimated Concrete Demand (m³)]]="","",
IF(Market_Data[[#This Row],[Estimated Concrete Demand (m³)]]&lt;10000,"Small",
IF(Market_Data[[#This Row],[Estimated Concrete Demand (m³)]]&lt;25000,"Medium",
IF(Market_Data[[#This Row],[Estimated Concrete Demand (m³)]]&lt;100000,"Large","Mega"))))</f>
        <v>Small</v>
      </c>
      <c r="P2377" s="287" t="str">
        <f t="shared" si="38"/>
        <v>GujRERA</v>
      </c>
    </row>
    <row r="2378" spans="1:16">
      <c r="A2378" s="129" t="str">
        <f>_xlfn.XLOOKUP(B2378,$S$9:$S$14,$T$9:$T$14)&amp;"-"&amp;
IF(E2378="Residential/Group Housing","RES",
IF(E2378="Commercial","COM",
IF(E2378="Mixed Development","MIX",
IF(E2378="Plotted Development","PLT","OTH"))))
&amp;"-"&amp;TEXT(COUNTIFS($B$9:B2378,B2378,$E$9:E2378,E2378),"0000")</f>
        <v>SUR-PLT-0451</v>
      </c>
      <c r="B2378" s="322" t="s">
        <v>34</v>
      </c>
      <c r="C2378" s="322" t="s">
        <v>34</v>
      </c>
      <c r="D2378" s="323" t="s">
        <v>2567</v>
      </c>
      <c r="E2378" s="132" t="s">
        <v>26</v>
      </c>
      <c r="F2378" s="97" t="str">
        <f ca="1">IF(OR(Market_Data[[#This Row],[Start Date]]="",Market_Data[[#This Row],[Completion Date]]=""),"Needs Validation",IF(Market_Data[[#This Row],[Start Date]]&gt;TODAY(),"Planned",IF(Market_Data[[#This Row],[Completion Date]]&lt;TODAY(),"Completed","Ongoing")))</f>
        <v>Ongoing</v>
      </c>
      <c r="G2378" s="324">
        <v>45129</v>
      </c>
      <c r="H2378" s="324">
        <v>46387</v>
      </c>
      <c r="I2378" s="325">
        <v>21000</v>
      </c>
      <c r="J237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78" s="133">
        <f>_xlfn.XLOOKUP(Market_Data[[#This Row],[Project Type]],tbl_assumptions_market[Project Category (RERA)],tbl_assumptions_market[Concrete Intensity
(m³ / sq m BUA)],"",0)</f>
        <v>0.18</v>
      </c>
      <c r="L2378" s="134">
        <f>ROUND(Market_Data[[#This Row],[Estimated Built Up Area (sq m)]]*Market_Data[[#This Row],[Concrete Intensity
(m³ / sq m)]],0)</f>
        <v>3780</v>
      </c>
      <c r="M2378" s="135">
        <f>_xlfn.XLOOKUP(Market_Data[[#This Row],[District]],tbl_district_price[District],tbl_district_price[Standard Price
(INR/m³)],"",0)</f>
        <v>6200</v>
      </c>
      <c r="N2378" s="364">
        <f>IF(OR(Market_Data[[#This Row],[Estimated Concrete Demand (m³)]]="",Market_Data[[#This Row],[Avg Price per (₹ / m³)]]=""),"",Market_Data[[#This Row],[Estimated Concrete Demand (m³)]]*Market_Data[[#This Row],[Avg Price per (₹ / m³)]]/10000000)</f>
        <v>2.3435999999999999</v>
      </c>
      <c r="O2378" s="97" t="str">
        <f>IF(Market_Data[[#This Row],[Estimated Concrete Demand (m³)]]="","",
IF(Market_Data[[#This Row],[Estimated Concrete Demand (m³)]]&lt;10000,"Small",
IF(Market_Data[[#This Row],[Estimated Concrete Demand (m³)]]&lt;25000,"Medium",
IF(Market_Data[[#This Row],[Estimated Concrete Demand (m³)]]&lt;100000,"Large","Mega"))))</f>
        <v>Small</v>
      </c>
      <c r="P2378" s="287" t="str">
        <f t="shared" ref="P2378:P2441" si="39">HYPERLINK(
"https://gujrera.gujarat.gov.in",
"GujRERA")</f>
        <v>GujRERA</v>
      </c>
    </row>
    <row r="2379" spans="1:16">
      <c r="A2379" s="129" t="str">
        <f>_xlfn.XLOOKUP(B2379,$S$9:$S$14,$T$9:$T$14)&amp;"-"&amp;
IF(E2379="Residential/Group Housing","RES",
IF(E2379="Commercial","COM",
IF(E2379="Mixed Development","MIX",
IF(E2379="Plotted Development","PLT","OTH"))))
&amp;"-"&amp;TEXT(COUNTIFS($B$9:B2379,B2379,$E$9:E2379,E2379),"0000")</f>
        <v>SUR-RES-0801</v>
      </c>
      <c r="B2379" s="322" t="s">
        <v>34</v>
      </c>
      <c r="C2379" s="322" t="s">
        <v>34</v>
      </c>
      <c r="D2379" s="323" t="s">
        <v>2568</v>
      </c>
      <c r="E2379" s="132" t="s">
        <v>24</v>
      </c>
      <c r="F2379" s="97" t="str">
        <f ca="1">IF(OR(Market_Data[[#This Row],[Start Date]]="",Market_Data[[#This Row],[Completion Date]]=""),"Needs Validation",IF(Market_Data[[#This Row],[Start Date]]&gt;TODAY(),"Planned",IF(Market_Data[[#This Row],[Completion Date]]&lt;TODAY(),"Completed","Ongoing")))</f>
        <v>Completed</v>
      </c>
      <c r="G2379" s="324">
        <v>43230</v>
      </c>
      <c r="H2379" s="324">
        <v>44469</v>
      </c>
      <c r="I2379" s="325">
        <v>19400</v>
      </c>
      <c r="J237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79" s="133">
        <f>_xlfn.XLOOKUP(Market_Data[[#This Row],[Project Type]],tbl_assumptions_market[Project Category (RERA)],tbl_assumptions_market[Concrete Intensity
(m³ / sq m BUA)],"",0)</f>
        <v>0.45</v>
      </c>
      <c r="L2379" s="134">
        <f>ROUND(Market_Data[[#This Row],[Estimated Built Up Area (sq m)]]*Market_Data[[#This Row],[Concrete Intensity
(m³ / sq m)]],0)</f>
        <v>8730</v>
      </c>
      <c r="M2379" s="135">
        <f>_xlfn.XLOOKUP(Market_Data[[#This Row],[District]],tbl_district_price[District],tbl_district_price[Standard Price
(INR/m³)],"",0)</f>
        <v>6200</v>
      </c>
      <c r="N2379" s="364">
        <f>IF(OR(Market_Data[[#This Row],[Estimated Concrete Demand (m³)]]="",Market_Data[[#This Row],[Avg Price per (₹ / m³)]]=""),"",Market_Data[[#This Row],[Estimated Concrete Demand (m³)]]*Market_Data[[#This Row],[Avg Price per (₹ / m³)]]/10000000)</f>
        <v>5.4126000000000003</v>
      </c>
      <c r="O2379" s="97" t="str">
        <f>IF(Market_Data[[#This Row],[Estimated Concrete Demand (m³)]]="","",
IF(Market_Data[[#This Row],[Estimated Concrete Demand (m³)]]&lt;10000,"Small",
IF(Market_Data[[#This Row],[Estimated Concrete Demand (m³)]]&lt;25000,"Medium",
IF(Market_Data[[#This Row],[Estimated Concrete Demand (m³)]]&lt;100000,"Large","Mega"))))</f>
        <v>Small</v>
      </c>
      <c r="P2379" s="287" t="str">
        <f t="shared" si="39"/>
        <v>GujRERA</v>
      </c>
    </row>
    <row r="2380" spans="1:16">
      <c r="A2380" s="129" t="str">
        <f>_xlfn.XLOOKUP(B2380,$S$9:$S$14,$T$9:$T$14)&amp;"-"&amp;
IF(E2380="Residential/Group Housing","RES",
IF(E2380="Commercial","COM",
IF(E2380="Mixed Development","MIX",
IF(E2380="Plotted Development","PLT","OTH"))))
&amp;"-"&amp;TEXT(COUNTIFS($B$9:B2380,B2380,$E$9:E2380,E2380),"0000")</f>
        <v>SUR-RES-0802</v>
      </c>
      <c r="B2380" s="322" t="s">
        <v>34</v>
      </c>
      <c r="C2380" s="322" t="s">
        <v>34</v>
      </c>
      <c r="D2380" s="323" t="s">
        <v>2569</v>
      </c>
      <c r="E2380" s="132" t="s">
        <v>24</v>
      </c>
      <c r="F2380" s="97" t="str">
        <f ca="1">IF(OR(Market_Data[[#This Row],[Start Date]]="",Market_Data[[#This Row],[Completion Date]]=""),"Needs Validation",IF(Market_Data[[#This Row],[Start Date]]&gt;TODAY(),"Planned",IF(Market_Data[[#This Row],[Completion Date]]&lt;TODAY(),"Completed","Ongoing")))</f>
        <v>Ongoing</v>
      </c>
      <c r="G2380" s="324">
        <v>44870</v>
      </c>
      <c r="H2380" s="324">
        <v>46752</v>
      </c>
      <c r="I2380" s="325">
        <v>59500</v>
      </c>
      <c r="J238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80" s="133">
        <f>_xlfn.XLOOKUP(Market_Data[[#This Row],[Project Type]],tbl_assumptions_market[Project Category (RERA)],tbl_assumptions_market[Concrete Intensity
(m³ / sq m BUA)],"",0)</f>
        <v>0.45</v>
      </c>
      <c r="L2380" s="134">
        <f>ROUND(Market_Data[[#This Row],[Estimated Built Up Area (sq m)]]*Market_Data[[#This Row],[Concrete Intensity
(m³ / sq m)]],0)</f>
        <v>26775</v>
      </c>
      <c r="M2380" s="135">
        <f>_xlfn.XLOOKUP(Market_Data[[#This Row],[District]],tbl_district_price[District],tbl_district_price[Standard Price
(INR/m³)],"",0)</f>
        <v>6200</v>
      </c>
      <c r="N2380" s="364">
        <f>IF(OR(Market_Data[[#This Row],[Estimated Concrete Demand (m³)]]="",Market_Data[[#This Row],[Avg Price per (₹ / m³)]]=""),"",Market_Data[[#This Row],[Estimated Concrete Demand (m³)]]*Market_Data[[#This Row],[Avg Price per (₹ / m³)]]/10000000)</f>
        <v>16.6005</v>
      </c>
      <c r="O2380" s="97" t="str">
        <f>IF(Market_Data[[#This Row],[Estimated Concrete Demand (m³)]]="","",
IF(Market_Data[[#This Row],[Estimated Concrete Demand (m³)]]&lt;10000,"Small",
IF(Market_Data[[#This Row],[Estimated Concrete Demand (m³)]]&lt;25000,"Medium",
IF(Market_Data[[#This Row],[Estimated Concrete Demand (m³)]]&lt;100000,"Large","Mega"))))</f>
        <v>Large</v>
      </c>
      <c r="P2380" s="287" t="str">
        <f t="shared" si="39"/>
        <v>GujRERA</v>
      </c>
    </row>
    <row r="2381" spans="1:16">
      <c r="A2381" s="129" t="str">
        <f>_xlfn.XLOOKUP(B2381,$S$9:$S$14,$T$9:$T$14)&amp;"-"&amp;
IF(E2381="Residential/Group Housing","RES",
IF(E2381="Commercial","COM",
IF(E2381="Mixed Development","MIX",
IF(E2381="Plotted Development","PLT","OTH"))))
&amp;"-"&amp;TEXT(COUNTIFS($B$9:B2381,B2381,$E$9:E2381,E2381),"0000")</f>
        <v>SUR-MIX-0431</v>
      </c>
      <c r="B2381" s="322" t="s">
        <v>34</v>
      </c>
      <c r="C2381" s="322" t="s">
        <v>34</v>
      </c>
      <c r="D2381" s="323" t="s">
        <v>2570</v>
      </c>
      <c r="E2381" s="132" t="s">
        <v>25</v>
      </c>
      <c r="F2381" s="97" t="str">
        <f ca="1">IF(OR(Market_Data[[#This Row],[Start Date]]="",Market_Data[[#This Row],[Completion Date]]=""),"Needs Validation",IF(Market_Data[[#This Row],[Start Date]]&gt;TODAY(),"Planned",IF(Market_Data[[#This Row],[Completion Date]]&lt;TODAY(),"Completed","Ongoing")))</f>
        <v>Ongoing</v>
      </c>
      <c r="G2381" s="324">
        <v>46043</v>
      </c>
      <c r="H2381" s="324">
        <v>49309</v>
      </c>
      <c r="I2381" s="325">
        <v>33300</v>
      </c>
      <c r="J238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81" s="133">
        <f>_xlfn.XLOOKUP(Market_Data[[#This Row],[Project Type]],tbl_assumptions_market[Project Category (RERA)],tbl_assumptions_market[Concrete Intensity
(m³ / sq m BUA)],"",0)</f>
        <v>0.42</v>
      </c>
      <c r="L2381" s="134">
        <f>ROUND(Market_Data[[#This Row],[Estimated Built Up Area (sq m)]]*Market_Data[[#This Row],[Concrete Intensity
(m³ / sq m)]],0)</f>
        <v>13986</v>
      </c>
      <c r="M2381" s="135">
        <f>_xlfn.XLOOKUP(Market_Data[[#This Row],[District]],tbl_district_price[District],tbl_district_price[Standard Price
(INR/m³)],"",0)</f>
        <v>6200</v>
      </c>
      <c r="N2381" s="364">
        <f>IF(OR(Market_Data[[#This Row],[Estimated Concrete Demand (m³)]]="",Market_Data[[#This Row],[Avg Price per (₹ / m³)]]=""),"",Market_Data[[#This Row],[Estimated Concrete Demand (m³)]]*Market_Data[[#This Row],[Avg Price per (₹ / m³)]]/10000000)</f>
        <v>8.6713199999999997</v>
      </c>
      <c r="O2381" s="97" t="str">
        <f>IF(Market_Data[[#This Row],[Estimated Concrete Demand (m³)]]="","",
IF(Market_Data[[#This Row],[Estimated Concrete Demand (m³)]]&lt;10000,"Small",
IF(Market_Data[[#This Row],[Estimated Concrete Demand (m³)]]&lt;25000,"Medium",
IF(Market_Data[[#This Row],[Estimated Concrete Demand (m³)]]&lt;100000,"Large","Mega"))))</f>
        <v>Medium</v>
      </c>
      <c r="P2381" s="287" t="str">
        <f t="shared" si="39"/>
        <v>GujRERA</v>
      </c>
    </row>
    <row r="2382" spans="1:16">
      <c r="A2382" s="129" t="str">
        <f>_xlfn.XLOOKUP(B2382,$S$9:$S$14,$T$9:$T$14)&amp;"-"&amp;
IF(E2382="Residential/Group Housing","RES",
IF(E2382="Commercial","COM",
IF(E2382="Mixed Development","MIX",
IF(E2382="Plotted Development","PLT","OTH"))))
&amp;"-"&amp;TEXT(COUNTIFS($B$9:B2382,B2382,$E$9:E2382,E2382),"0000")</f>
        <v>SUR-RES-0803</v>
      </c>
      <c r="B2382" s="322" t="s">
        <v>34</v>
      </c>
      <c r="C2382" s="322" t="s">
        <v>34</v>
      </c>
      <c r="D2382" s="323" t="s">
        <v>2571</v>
      </c>
      <c r="E2382" s="132" t="s">
        <v>24</v>
      </c>
      <c r="F2382" s="97" t="str">
        <f ca="1">IF(OR(Market_Data[[#This Row],[Start Date]]="",Market_Data[[#This Row],[Completion Date]]=""),"Needs Validation",IF(Market_Data[[#This Row],[Start Date]]&gt;TODAY(),"Planned",IF(Market_Data[[#This Row],[Completion Date]]&lt;TODAY(),"Completed","Ongoing")))</f>
        <v>Completed</v>
      </c>
      <c r="G2382" s="324">
        <v>43020</v>
      </c>
      <c r="H2382" s="324">
        <v>44651</v>
      </c>
      <c r="I2382" s="325">
        <v>4000</v>
      </c>
      <c r="J238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82" s="133">
        <f>_xlfn.XLOOKUP(Market_Data[[#This Row],[Project Type]],tbl_assumptions_market[Project Category (RERA)],tbl_assumptions_market[Concrete Intensity
(m³ / sq m BUA)],"",0)</f>
        <v>0.45</v>
      </c>
      <c r="L2382" s="134">
        <f>ROUND(Market_Data[[#This Row],[Estimated Built Up Area (sq m)]]*Market_Data[[#This Row],[Concrete Intensity
(m³ / sq m)]],0)</f>
        <v>1800</v>
      </c>
      <c r="M2382" s="135">
        <f>_xlfn.XLOOKUP(Market_Data[[#This Row],[District]],tbl_district_price[District],tbl_district_price[Standard Price
(INR/m³)],"",0)</f>
        <v>6200</v>
      </c>
      <c r="N2382" s="364">
        <f>IF(OR(Market_Data[[#This Row],[Estimated Concrete Demand (m³)]]="",Market_Data[[#This Row],[Avg Price per (₹ / m³)]]=""),"",Market_Data[[#This Row],[Estimated Concrete Demand (m³)]]*Market_Data[[#This Row],[Avg Price per (₹ / m³)]]/10000000)</f>
        <v>1.1160000000000001</v>
      </c>
      <c r="O2382" s="97" t="str">
        <f>IF(Market_Data[[#This Row],[Estimated Concrete Demand (m³)]]="","",
IF(Market_Data[[#This Row],[Estimated Concrete Demand (m³)]]&lt;10000,"Small",
IF(Market_Data[[#This Row],[Estimated Concrete Demand (m³)]]&lt;25000,"Medium",
IF(Market_Data[[#This Row],[Estimated Concrete Demand (m³)]]&lt;100000,"Large","Mega"))))</f>
        <v>Small</v>
      </c>
      <c r="P2382" s="287" t="str">
        <f t="shared" si="39"/>
        <v>GujRERA</v>
      </c>
    </row>
    <row r="2383" spans="1:16">
      <c r="A2383" s="129" t="str">
        <f>_xlfn.XLOOKUP(B2383,$S$9:$S$14,$T$9:$T$14)&amp;"-"&amp;
IF(E2383="Residential/Group Housing","RES",
IF(E2383="Commercial","COM",
IF(E2383="Mixed Development","MIX",
IF(E2383="Plotted Development","PLT","OTH"))))
&amp;"-"&amp;TEXT(COUNTIFS($B$9:B2383,B2383,$E$9:E2383,E2383),"0000")</f>
        <v>SUR-RES-0804</v>
      </c>
      <c r="B2383" s="322" t="s">
        <v>34</v>
      </c>
      <c r="C2383" s="322" t="s">
        <v>34</v>
      </c>
      <c r="D2383" s="323" t="s">
        <v>2572</v>
      </c>
      <c r="E2383" s="132" t="s">
        <v>24</v>
      </c>
      <c r="F2383" s="97" t="str">
        <f ca="1">IF(OR(Market_Data[[#This Row],[Start Date]]="",Market_Data[[#This Row],[Completion Date]]=""),"Needs Validation",IF(Market_Data[[#This Row],[Start Date]]&gt;TODAY(),"Planned",IF(Market_Data[[#This Row],[Completion Date]]&lt;TODAY(),"Completed","Ongoing")))</f>
        <v>Ongoing</v>
      </c>
      <c r="G2383" s="324">
        <v>45726</v>
      </c>
      <c r="H2383" s="324">
        <v>47483</v>
      </c>
      <c r="I2383" s="325">
        <v>26500</v>
      </c>
      <c r="J238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83" s="133">
        <f>_xlfn.XLOOKUP(Market_Data[[#This Row],[Project Type]],tbl_assumptions_market[Project Category (RERA)],tbl_assumptions_market[Concrete Intensity
(m³ / sq m BUA)],"",0)</f>
        <v>0.45</v>
      </c>
      <c r="L2383" s="134">
        <f>ROUND(Market_Data[[#This Row],[Estimated Built Up Area (sq m)]]*Market_Data[[#This Row],[Concrete Intensity
(m³ / sq m)]],0)</f>
        <v>11925</v>
      </c>
      <c r="M2383" s="135">
        <f>_xlfn.XLOOKUP(Market_Data[[#This Row],[District]],tbl_district_price[District],tbl_district_price[Standard Price
(INR/m³)],"",0)</f>
        <v>6200</v>
      </c>
      <c r="N2383" s="364">
        <f>IF(OR(Market_Data[[#This Row],[Estimated Concrete Demand (m³)]]="",Market_Data[[#This Row],[Avg Price per (₹ / m³)]]=""),"",Market_Data[[#This Row],[Estimated Concrete Demand (m³)]]*Market_Data[[#This Row],[Avg Price per (₹ / m³)]]/10000000)</f>
        <v>7.3935000000000004</v>
      </c>
      <c r="O2383" s="97" t="str">
        <f>IF(Market_Data[[#This Row],[Estimated Concrete Demand (m³)]]="","",
IF(Market_Data[[#This Row],[Estimated Concrete Demand (m³)]]&lt;10000,"Small",
IF(Market_Data[[#This Row],[Estimated Concrete Demand (m³)]]&lt;25000,"Medium",
IF(Market_Data[[#This Row],[Estimated Concrete Demand (m³)]]&lt;100000,"Large","Mega"))))</f>
        <v>Medium</v>
      </c>
      <c r="P2383" s="287" t="str">
        <f t="shared" si="39"/>
        <v>GujRERA</v>
      </c>
    </row>
    <row r="2384" spans="1:16">
      <c r="A2384" s="129" t="str">
        <f>_xlfn.XLOOKUP(B2384,$S$9:$S$14,$T$9:$T$14)&amp;"-"&amp;
IF(E2384="Residential/Group Housing","RES",
IF(E2384="Commercial","COM",
IF(E2384="Mixed Development","MIX",
IF(E2384="Plotted Development","PLT","OTH"))))
&amp;"-"&amp;TEXT(COUNTIFS($B$9:B2384,B2384,$E$9:E2384,E2384),"0000")</f>
        <v>SUR-RES-0805</v>
      </c>
      <c r="B2384" s="322" t="s">
        <v>34</v>
      </c>
      <c r="C2384" s="322" t="s">
        <v>34</v>
      </c>
      <c r="D2384" s="323" t="s">
        <v>2573</v>
      </c>
      <c r="E2384" s="132" t="s">
        <v>24</v>
      </c>
      <c r="F2384" s="97" t="str">
        <f ca="1">IF(OR(Market_Data[[#This Row],[Start Date]]="",Market_Data[[#This Row],[Completion Date]]=""),"Needs Validation",IF(Market_Data[[#This Row],[Start Date]]&gt;TODAY(),"Planned",IF(Market_Data[[#This Row],[Completion Date]]&lt;TODAY(),"Completed","Ongoing")))</f>
        <v>Completed</v>
      </c>
      <c r="G2384" s="324">
        <v>43709</v>
      </c>
      <c r="H2384" s="324">
        <v>45351</v>
      </c>
      <c r="I2384" s="325">
        <v>46100</v>
      </c>
      <c r="J238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84" s="133">
        <f>_xlfn.XLOOKUP(Market_Data[[#This Row],[Project Type]],tbl_assumptions_market[Project Category (RERA)],tbl_assumptions_market[Concrete Intensity
(m³ / sq m BUA)],"",0)</f>
        <v>0.45</v>
      </c>
      <c r="L2384" s="134">
        <f>ROUND(Market_Data[[#This Row],[Estimated Built Up Area (sq m)]]*Market_Data[[#This Row],[Concrete Intensity
(m³ / sq m)]],0)</f>
        <v>20745</v>
      </c>
      <c r="M2384" s="135">
        <f>_xlfn.XLOOKUP(Market_Data[[#This Row],[District]],tbl_district_price[District],tbl_district_price[Standard Price
(INR/m³)],"",0)</f>
        <v>6200</v>
      </c>
      <c r="N2384" s="364">
        <f>IF(OR(Market_Data[[#This Row],[Estimated Concrete Demand (m³)]]="",Market_Data[[#This Row],[Avg Price per (₹ / m³)]]=""),"",Market_Data[[#This Row],[Estimated Concrete Demand (m³)]]*Market_Data[[#This Row],[Avg Price per (₹ / m³)]]/10000000)</f>
        <v>12.8619</v>
      </c>
      <c r="O2384" s="97" t="str">
        <f>IF(Market_Data[[#This Row],[Estimated Concrete Demand (m³)]]="","",
IF(Market_Data[[#This Row],[Estimated Concrete Demand (m³)]]&lt;10000,"Small",
IF(Market_Data[[#This Row],[Estimated Concrete Demand (m³)]]&lt;25000,"Medium",
IF(Market_Data[[#This Row],[Estimated Concrete Demand (m³)]]&lt;100000,"Large","Mega"))))</f>
        <v>Medium</v>
      </c>
      <c r="P2384" s="287" t="str">
        <f t="shared" si="39"/>
        <v>GujRERA</v>
      </c>
    </row>
    <row r="2385" spans="1:16">
      <c r="A2385" s="129" t="str">
        <f>_xlfn.XLOOKUP(B2385,$S$9:$S$14,$T$9:$T$14)&amp;"-"&amp;
IF(E2385="Residential/Group Housing","RES",
IF(E2385="Commercial","COM",
IF(E2385="Mixed Development","MIX",
IF(E2385="Plotted Development","PLT","OTH"))))
&amp;"-"&amp;TEXT(COUNTIFS($B$9:B2385,B2385,$E$9:E2385,E2385),"0000")</f>
        <v>SUR-RES-0806</v>
      </c>
      <c r="B2385" s="322" t="s">
        <v>34</v>
      </c>
      <c r="C2385" s="322" t="s">
        <v>34</v>
      </c>
      <c r="D2385" s="323" t="s">
        <v>2574</v>
      </c>
      <c r="E2385" s="132" t="s">
        <v>24</v>
      </c>
      <c r="F2385" s="97" t="str">
        <f ca="1">IF(OR(Market_Data[[#This Row],[Start Date]]="",Market_Data[[#This Row],[Completion Date]]=""),"Needs Validation",IF(Market_Data[[#This Row],[Start Date]]&gt;TODAY(),"Planned",IF(Market_Data[[#This Row],[Completion Date]]&lt;TODAY(),"Completed","Ongoing")))</f>
        <v>Ongoing</v>
      </c>
      <c r="G2385" s="324">
        <v>45882</v>
      </c>
      <c r="H2385" s="324">
        <v>47483</v>
      </c>
      <c r="I2385" s="325">
        <v>43400</v>
      </c>
      <c r="J238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85" s="133">
        <f>_xlfn.XLOOKUP(Market_Data[[#This Row],[Project Type]],tbl_assumptions_market[Project Category (RERA)],tbl_assumptions_market[Concrete Intensity
(m³ / sq m BUA)],"",0)</f>
        <v>0.45</v>
      </c>
      <c r="L2385" s="134">
        <f>ROUND(Market_Data[[#This Row],[Estimated Built Up Area (sq m)]]*Market_Data[[#This Row],[Concrete Intensity
(m³ / sq m)]],0)</f>
        <v>19530</v>
      </c>
      <c r="M2385" s="135">
        <f>_xlfn.XLOOKUP(Market_Data[[#This Row],[District]],tbl_district_price[District],tbl_district_price[Standard Price
(INR/m³)],"",0)</f>
        <v>6200</v>
      </c>
      <c r="N2385" s="364">
        <f>IF(OR(Market_Data[[#This Row],[Estimated Concrete Demand (m³)]]="",Market_Data[[#This Row],[Avg Price per (₹ / m³)]]=""),"",Market_Data[[#This Row],[Estimated Concrete Demand (m³)]]*Market_Data[[#This Row],[Avg Price per (₹ / m³)]]/10000000)</f>
        <v>12.108599999999999</v>
      </c>
      <c r="O2385" s="97" t="str">
        <f>IF(Market_Data[[#This Row],[Estimated Concrete Demand (m³)]]="","",
IF(Market_Data[[#This Row],[Estimated Concrete Demand (m³)]]&lt;10000,"Small",
IF(Market_Data[[#This Row],[Estimated Concrete Demand (m³)]]&lt;25000,"Medium",
IF(Market_Data[[#This Row],[Estimated Concrete Demand (m³)]]&lt;100000,"Large","Mega"))))</f>
        <v>Medium</v>
      </c>
      <c r="P2385" s="287" t="str">
        <f t="shared" si="39"/>
        <v>GujRERA</v>
      </c>
    </row>
    <row r="2386" spans="1:16">
      <c r="A2386" s="129" t="str">
        <f>_xlfn.XLOOKUP(B2386,$S$9:$S$14,$T$9:$T$14)&amp;"-"&amp;
IF(E2386="Residential/Group Housing","RES",
IF(E2386="Commercial","COM",
IF(E2386="Mixed Development","MIX",
IF(E2386="Plotted Development","PLT","OTH"))))
&amp;"-"&amp;TEXT(COUNTIFS($B$9:B2386,B2386,$E$9:E2386,E2386),"0000")</f>
        <v>SUR-RES-0807</v>
      </c>
      <c r="B2386" s="322" t="s">
        <v>34</v>
      </c>
      <c r="C2386" s="322" t="s">
        <v>34</v>
      </c>
      <c r="D2386" s="323" t="s">
        <v>2575</v>
      </c>
      <c r="E2386" s="132" t="s">
        <v>24</v>
      </c>
      <c r="F2386" s="97" t="str">
        <f ca="1">IF(OR(Market_Data[[#This Row],[Start Date]]="",Market_Data[[#This Row],[Completion Date]]=""),"Needs Validation",IF(Market_Data[[#This Row],[Start Date]]&gt;TODAY(),"Planned",IF(Market_Data[[#This Row],[Completion Date]]&lt;TODAY(),"Completed","Ongoing")))</f>
        <v>Ongoing</v>
      </c>
      <c r="G2386" s="324">
        <v>45184</v>
      </c>
      <c r="H2386" s="324">
        <v>47483</v>
      </c>
      <c r="I2386" s="325">
        <v>24600</v>
      </c>
      <c r="J238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86" s="133">
        <f>_xlfn.XLOOKUP(Market_Data[[#This Row],[Project Type]],tbl_assumptions_market[Project Category (RERA)],tbl_assumptions_market[Concrete Intensity
(m³ / sq m BUA)],"",0)</f>
        <v>0.45</v>
      </c>
      <c r="L2386" s="134">
        <f>ROUND(Market_Data[[#This Row],[Estimated Built Up Area (sq m)]]*Market_Data[[#This Row],[Concrete Intensity
(m³ / sq m)]],0)</f>
        <v>11070</v>
      </c>
      <c r="M2386" s="135">
        <f>_xlfn.XLOOKUP(Market_Data[[#This Row],[District]],tbl_district_price[District],tbl_district_price[Standard Price
(INR/m³)],"",0)</f>
        <v>6200</v>
      </c>
      <c r="N2386" s="364">
        <f>IF(OR(Market_Data[[#This Row],[Estimated Concrete Demand (m³)]]="",Market_Data[[#This Row],[Avg Price per (₹ / m³)]]=""),"",Market_Data[[#This Row],[Estimated Concrete Demand (m³)]]*Market_Data[[#This Row],[Avg Price per (₹ / m³)]]/10000000)</f>
        <v>6.8634000000000004</v>
      </c>
      <c r="O2386" s="97" t="str">
        <f>IF(Market_Data[[#This Row],[Estimated Concrete Demand (m³)]]="","",
IF(Market_Data[[#This Row],[Estimated Concrete Demand (m³)]]&lt;10000,"Small",
IF(Market_Data[[#This Row],[Estimated Concrete Demand (m³)]]&lt;25000,"Medium",
IF(Market_Data[[#This Row],[Estimated Concrete Demand (m³)]]&lt;100000,"Large","Mega"))))</f>
        <v>Medium</v>
      </c>
      <c r="P2386" s="287" t="str">
        <f t="shared" si="39"/>
        <v>GujRERA</v>
      </c>
    </row>
    <row r="2387" spans="1:16">
      <c r="A2387" s="129" t="str">
        <f>_xlfn.XLOOKUP(B2387,$S$9:$S$14,$T$9:$T$14)&amp;"-"&amp;
IF(E2387="Residential/Group Housing","RES",
IF(E2387="Commercial","COM",
IF(E2387="Mixed Development","MIX",
IF(E2387="Plotted Development","PLT","OTH"))))
&amp;"-"&amp;TEXT(COUNTIFS($B$9:B2387,B2387,$E$9:E2387,E2387),"0000")</f>
        <v>SUR-RES-0808</v>
      </c>
      <c r="B2387" s="322" t="s">
        <v>34</v>
      </c>
      <c r="C2387" s="322" t="s">
        <v>34</v>
      </c>
      <c r="D2387" s="323" t="s">
        <v>2576</v>
      </c>
      <c r="E2387" s="132" t="s">
        <v>24</v>
      </c>
      <c r="F2387" s="97" t="str">
        <f ca="1">IF(OR(Market_Data[[#This Row],[Start Date]]="",Market_Data[[#This Row],[Completion Date]]=""),"Needs Validation",IF(Market_Data[[#This Row],[Start Date]]&gt;TODAY(),"Planned",IF(Market_Data[[#This Row],[Completion Date]]&lt;TODAY(),"Completed","Ongoing")))</f>
        <v>Ongoing</v>
      </c>
      <c r="G2387" s="324">
        <v>45782</v>
      </c>
      <c r="H2387" s="324">
        <v>47848</v>
      </c>
      <c r="I2387" s="325">
        <v>4400</v>
      </c>
      <c r="J238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87" s="133">
        <f>_xlfn.XLOOKUP(Market_Data[[#This Row],[Project Type]],tbl_assumptions_market[Project Category (RERA)],tbl_assumptions_market[Concrete Intensity
(m³ / sq m BUA)],"",0)</f>
        <v>0.45</v>
      </c>
      <c r="L2387" s="134">
        <f>ROUND(Market_Data[[#This Row],[Estimated Built Up Area (sq m)]]*Market_Data[[#This Row],[Concrete Intensity
(m³ / sq m)]],0)</f>
        <v>1980</v>
      </c>
      <c r="M2387" s="135">
        <f>_xlfn.XLOOKUP(Market_Data[[#This Row],[District]],tbl_district_price[District],tbl_district_price[Standard Price
(INR/m³)],"",0)</f>
        <v>6200</v>
      </c>
      <c r="N2387" s="364">
        <f>IF(OR(Market_Data[[#This Row],[Estimated Concrete Demand (m³)]]="",Market_Data[[#This Row],[Avg Price per (₹ / m³)]]=""),"",Market_Data[[#This Row],[Estimated Concrete Demand (m³)]]*Market_Data[[#This Row],[Avg Price per (₹ / m³)]]/10000000)</f>
        <v>1.2276</v>
      </c>
      <c r="O2387" s="97" t="str">
        <f>IF(Market_Data[[#This Row],[Estimated Concrete Demand (m³)]]="","",
IF(Market_Data[[#This Row],[Estimated Concrete Demand (m³)]]&lt;10000,"Small",
IF(Market_Data[[#This Row],[Estimated Concrete Demand (m³)]]&lt;25000,"Medium",
IF(Market_Data[[#This Row],[Estimated Concrete Demand (m³)]]&lt;100000,"Large","Mega"))))</f>
        <v>Small</v>
      </c>
      <c r="P2387" s="287" t="str">
        <f t="shared" si="39"/>
        <v>GujRERA</v>
      </c>
    </row>
    <row r="2388" spans="1:16">
      <c r="A2388" s="129" t="str">
        <f>_xlfn.XLOOKUP(B2388,$S$9:$S$14,$T$9:$T$14)&amp;"-"&amp;
IF(E2388="Residential/Group Housing","RES",
IF(E2388="Commercial","COM",
IF(E2388="Mixed Development","MIX",
IF(E2388="Plotted Development","PLT","OTH"))))
&amp;"-"&amp;TEXT(COUNTIFS($B$9:B2388,B2388,$E$9:E2388,E2388),"0000")</f>
        <v>SUR-RES-0809</v>
      </c>
      <c r="B2388" s="322" t="s">
        <v>34</v>
      </c>
      <c r="C2388" s="322" t="s">
        <v>34</v>
      </c>
      <c r="D2388" s="323" t="s">
        <v>2577</v>
      </c>
      <c r="E2388" s="132" t="s">
        <v>24</v>
      </c>
      <c r="F2388" s="97" t="str">
        <f ca="1">IF(OR(Market_Data[[#This Row],[Start Date]]="",Market_Data[[#This Row],[Completion Date]]=""),"Needs Validation",IF(Market_Data[[#This Row],[Start Date]]&gt;TODAY(),"Planned",IF(Market_Data[[#This Row],[Completion Date]]&lt;TODAY(),"Completed","Ongoing")))</f>
        <v>Completed</v>
      </c>
      <c r="G2388" s="324">
        <v>43221</v>
      </c>
      <c r="H2388" s="324">
        <v>45412</v>
      </c>
      <c r="I2388" s="325">
        <v>16300</v>
      </c>
      <c r="J238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88" s="133">
        <f>_xlfn.XLOOKUP(Market_Data[[#This Row],[Project Type]],tbl_assumptions_market[Project Category (RERA)],tbl_assumptions_market[Concrete Intensity
(m³ / sq m BUA)],"",0)</f>
        <v>0.45</v>
      </c>
      <c r="L2388" s="134">
        <f>ROUND(Market_Data[[#This Row],[Estimated Built Up Area (sq m)]]*Market_Data[[#This Row],[Concrete Intensity
(m³ / sq m)]],0)</f>
        <v>7335</v>
      </c>
      <c r="M2388" s="135">
        <f>_xlfn.XLOOKUP(Market_Data[[#This Row],[District]],tbl_district_price[District],tbl_district_price[Standard Price
(INR/m³)],"",0)</f>
        <v>6200</v>
      </c>
      <c r="N2388" s="364">
        <f>IF(OR(Market_Data[[#This Row],[Estimated Concrete Demand (m³)]]="",Market_Data[[#This Row],[Avg Price per (₹ / m³)]]=""),"",Market_Data[[#This Row],[Estimated Concrete Demand (m³)]]*Market_Data[[#This Row],[Avg Price per (₹ / m³)]]/10000000)</f>
        <v>4.5476999999999999</v>
      </c>
      <c r="O2388" s="97" t="str">
        <f>IF(Market_Data[[#This Row],[Estimated Concrete Demand (m³)]]="","",
IF(Market_Data[[#This Row],[Estimated Concrete Demand (m³)]]&lt;10000,"Small",
IF(Market_Data[[#This Row],[Estimated Concrete Demand (m³)]]&lt;25000,"Medium",
IF(Market_Data[[#This Row],[Estimated Concrete Demand (m³)]]&lt;100000,"Large","Mega"))))</f>
        <v>Small</v>
      </c>
      <c r="P2388" s="287" t="str">
        <f t="shared" si="39"/>
        <v>GujRERA</v>
      </c>
    </row>
    <row r="2389" spans="1:16">
      <c r="A2389" s="129" t="str">
        <f>_xlfn.XLOOKUP(B2389,$S$9:$S$14,$T$9:$T$14)&amp;"-"&amp;
IF(E2389="Residential/Group Housing","RES",
IF(E2389="Commercial","COM",
IF(E2389="Mixed Development","MIX",
IF(E2389="Plotted Development","PLT","OTH"))))
&amp;"-"&amp;TEXT(COUNTIFS($B$9:B2389,B2389,$E$9:E2389,E2389),"0000")</f>
        <v>SUR-MIX-0432</v>
      </c>
      <c r="B2389" s="322" t="s">
        <v>34</v>
      </c>
      <c r="C2389" s="322" t="s">
        <v>34</v>
      </c>
      <c r="D2389" s="323" t="s">
        <v>2578</v>
      </c>
      <c r="E2389" s="132" t="s">
        <v>25</v>
      </c>
      <c r="F2389" s="97" t="str">
        <f ca="1">IF(OR(Market_Data[[#This Row],[Start Date]]="",Market_Data[[#This Row],[Completion Date]]=""),"Needs Validation",IF(Market_Data[[#This Row],[Start Date]]&gt;TODAY(),"Planned",IF(Market_Data[[#This Row],[Completion Date]]&lt;TODAY(),"Completed","Ongoing")))</f>
        <v>Ongoing</v>
      </c>
      <c r="G2389" s="324">
        <v>44682</v>
      </c>
      <c r="H2389" s="324">
        <v>46752</v>
      </c>
      <c r="I2389" s="325">
        <v>11700</v>
      </c>
      <c r="J238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89" s="133">
        <f>_xlfn.XLOOKUP(Market_Data[[#This Row],[Project Type]],tbl_assumptions_market[Project Category (RERA)],tbl_assumptions_market[Concrete Intensity
(m³ / sq m BUA)],"",0)</f>
        <v>0.42</v>
      </c>
      <c r="L2389" s="134">
        <f>ROUND(Market_Data[[#This Row],[Estimated Built Up Area (sq m)]]*Market_Data[[#This Row],[Concrete Intensity
(m³ / sq m)]],0)</f>
        <v>4914</v>
      </c>
      <c r="M2389" s="135">
        <f>_xlfn.XLOOKUP(Market_Data[[#This Row],[District]],tbl_district_price[District],tbl_district_price[Standard Price
(INR/m³)],"",0)</f>
        <v>6200</v>
      </c>
      <c r="N2389" s="364">
        <f>IF(OR(Market_Data[[#This Row],[Estimated Concrete Demand (m³)]]="",Market_Data[[#This Row],[Avg Price per (₹ / m³)]]=""),"",Market_Data[[#This Row],[Estimated Concrete Demand (m³)]]*Market_Data[[#This Row],[Avg Price per (₹ / m³)]]/10000000)</f>
        <v>3.0466799999999998</v>
      </c>
      <c r="O2389" s="97" t="str">
        <f>IF(Market_Data[[#This Row],[Estimated Concrete Demand (m³)]]="","",
IF(Market_Data[[#This Row],[Estimated Concrete Demand (m³)]]&lt;10000,"Small",
IF(Market_Data[[#This Row],[Estimated Concrete Demand (m³)]]&lt;25000,"Medium",
IF(Market_Data[[#This Row],[Estimated Concrete Demand (m³)]]&lt;100000,"Large","Mega"))))</f>
        <v>Small</v>
      </c>
      <c r="P2389" s="287" t="str">
        <f t="shared" si="39"/>
        <v>GujRERA</v>
      </c>
    </row>
    <row r="2390" spans="1:16">
      <c r="A2390" s="129" t="str">
        <f>_xlfn.XLOOKUP(B2390,$S$9:$S$14,$T$9:$T$14)&amp;"-"&amp;
IF(E2390="Residential/Group Housing","RES",
IF(E2390="Commercial","COM",
IF(E2390="Mixed Development","MIX",
IF(E2390="Plotted Development","PLT","OTH"))))
&amp;"-"&amp;TEXT(COUNTIFS($B$9:B2390,B2390,$E$9:E2390,E2390),"0000")</f>
        <v>SUR-COM-0380</v>
      </c>
      <c r="B2390" s="322" t="s">
        <v>34</v>
      </c>
      <c r="C2390" s="322" t="s">
        <v>34</v>
      </c>
      <c r="D2390" s="323" t="s">
        <v>2579</v>
      </c>
      <c r="E2390" s="132" t="s">
        <v>23</v>
      </c>
      <c r="F2390" s="97" t="str">
        <f ca="1">IF(OR(Market_Data[[#This Row],[Start Date]]="",Market_Data[[#This Row],[Completion Date]]=""),"Needs Validation",IF(Market_Data[[#This Row],[Start Date]]&gt;TODAY(),"Planned",IF(Market_Data[[#This Row],[Completion Date]]&lt;TODAY(),"Completed","Ongoing")))</f>
        <v>Completed</v>
      </c>
      <c r="G2390" s="324">
        <v>43040</v>
      </c>
      <c r="H2390" s="324">
        <v>46202</v>
      </c>
      <c r="I2390" s="325">
        <v>14700</v>
      </c>
      <c r="J239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90" s="133">
        <f>_xlfn.XLOOKUP(Market_Data[[#This Row],[Project Type]],tbl_assumptions_market[Project Category (RERA)],tbl_assumptions_market[Concrete Intensity
(m³ / sq m BUA)],"",0)</f>
        <v>0.5</v>
      </c>
      <c r="L2390" s="134">
        <f>ROUND(Market_Data[[#This Row],[Estimated Built Up Area (sq m)]]*Market_Data[[#This Row],[Concrete Intensity
(m³ / sq m)]],0)</f>
        <v>7350</v>
      </c>
      <c r="M2390" s="135">
        <f>_xlfn.XLOOKUP(Market_Data[[#This Row],[District]],tbl_district_price[District],tbl_district_price[Standard Price
(INR/m³)],"",0)</f>
        <v>6200</v>
      </c>
      <c r="N2390" s="364">
        <f>IF(OR(Market_Data[[#This Row],[Estimated Concrete Demand (m³)]]="",Market_Data[[#This Row],[Avg Price per (₹ / m³)]]=""),"",Market_Data[[#This Row],[Estimated Concrete Demand (m³)]]*Market_Data[[#This Row],[Avg Price per (₹ / m³)]]/10000000)</f>
        <v>4.5570000000000004</v>
      </c>
      <c r="O2390" s="97" t="str">
        <f>IF(Market_Data[[#This Row],[Estimated Concrete Demand (m³)]]="","",
IF(Market_Data[[#This Row],[Estimated Concrete Demand (m³)]]&lt;10000,"Small",
IF(Market_Data[[#This Row],[Estimated Concrete Demand (m³)]]&lt;25000,"Medium",
IF(Market_Data[[#This Row],[Estimated Concrete Demand (m³)]]&lt;100000,"Large","Mega"))))</f>
        <v>Small</v>
      </c>
      <c r="P2390" s="287" t="str">
        <f t="shared" si="39"/>
        <v>GujRERA</v>
      </c>
    </row>
    <row r="2391" spans="1:16">
      <c r="A2391" s="129" t="str">
        <f>_xlfn.XLOOKUP(B2391,$S$9:$S$14,$T$9:$T$14)&amp;"-"&amp;
IF(E2391="Residential/Group Housing","RES",
IF(E2391="Commercial","COM",
IF(E2391="Mixed Development","MIX",
IF(E2391="Plotted Development","PLT","OTH"))))
&amp;"-"&amp;TEXT(COUNTIFS($B$9:B2391,B2391,$E$9:E2391,E2391),"0000")</f>
        <v>SUR-MIX-0433</v>
      </c>
      <c r="B2391" s="322" t="s">
        <v>34</v>
      </c>
      <c r="C2391" s="322" t="s">
        <v>34</v>
      </c>
      <c r="D2391" s="323" t="s">
        <v>2580</v>
      </c>
      <c r="E2391" s="132" t="s">
        <v>25</v>
      </c>
      <c r="F2391" s="97" t="str">
        <f ca="1">IF(OR(Market_Data[[#This Row],[Start Date]]="",Market_Data[[#This Row],[Completion Date]]=""),"Needs Validation",IF(Market_Data[[#This Row],[Start Date]]&gt;TODAY(),"Planned",IF(Market_Data[[#This Row],[Completion Date]]&lt;TODAY(),"Completed","Ongoing")))</f>
        <v>Completed</v>
      </c>
      <c r="G2391" s="324">
        <v>43116</v>
      </c>
      <c r="H2391" s="324">
        <v>46203</v>
      </c>
      <c r="I2391" s="325">
        <v>16000</v>
      </c>
      <c r="J239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91" s="133">
        <f>_xlfn.XLOOKUP(Market_Data[[#This Row],[Project Type]],tbl_assumptions_market[Project Category (RERA)],tbl_assumptions_market[Concrete Intensity
(m³ / sq m BUA)],"",0)</f>
        <v>0.42</v>
      </c>
      <c r="L2391" s="134">
        <f>ROUND(Market_Data[[#This Row],[Estimated Built Up Area (sq m)]]*Market_Data[[#This Row],[Concrete Intensity
(m³ / sq m)]],0)</f>
        <v>6720</v>
      </c>
      <c r="M2391" s="135">
        <f>_xlfn.XLOOKUP(Market_Data[[#This Row],[District]],tbl_district_price[District],tbl_district_price[Standard Price
(INR/m³)],"",0)</f>
        <v>6200</v>
      </c>
      <c r="N2391" s="364">
        <f>IF(OR(Market_Data[[#This Row],[Estimated Concrete Demand (m³)]]="",Market_Data[[#This Row],[Avg Price per (₹ / m³)]]=""),"",Market_Data[[#This Row],[Estimated Concrete Demand (m³)]]*Market_Data[[#This Row],[Avg Price per (₹ / m³)]]/10000000)</f>
        <v>4.1664000000000003</v>
      </c>
      <c r="O2391" s="97" t="str">
        <f>IF(Market_Data[[#This Row],[Estimated Concrete Demand (m³)]]="","",
IF(Market_Data[[#This Row],[Estimated Concrete Demand (m³)]]&lt;10000,"Small",
IF(Market_Data[[#This Row],[Estimated Concrete Demand (m³)]]&lt;25000,"Medium",
IF(Market_Data[[#This Row],[Estimated Concrete Demand (m³)]]&lt;100000,"Large","Mega"))))</f>
        <v>Small</v>
      </c>
      <c r="P2391" s="287" t="str">
        <f t="shared" si="39"/>
        <v>GujRERA</v>
      </c>
    </row>
    <row r="2392" spans="1:16">
      <c r="A2392" s="129" t="str">
        <f>_xlfn.XLOOKUP(B2392,$S$9:$S$14,$T$9:$T$14)&amp;"-"&amp;
IF(E2392="Residential/Group Housing","RES",
IF(E2392="Commercial","COM",
IF(E2392="Mixed Development","MIX",
IF(E2392="Plotted Development","PLT","OTH"))))
&amp;"-"&amp;TEXT(COUNTIFS($B$9:B2392,B2392,$E$9:E2392,E2392),"0000")</f>
        <v>SUR-RES-0810</v>
      </c>
      <c r="B2392" s="322" t="s">
        <v>34</v>
      </c>
      <c r="C2392" s="322" t="s">
        <v>34</v>
      </c>
      <c r="D2392" s="323" t="s">
        <v>2581</v>
      </c>
      <c r="E2392" s="132" t="s">
        <v>24</v>
      </c>
      <c r="F2392" s="97" t="str">
        <f ca="1">IF(OR(Market_Data[[#This Row],[Start Date]]="",Market_Data[[#This Row],[Completion Date]]=""),"Needs Validation",IF(Market_Data[[#This Row],[Start Date]]&gt;TODAY(),"Planned",IF(Market_Data[[#This Row],[Completion Date]]&lt;TODAY(),"Completed","Ongoing")))</f>
        <v>Ongoing</v>
      </c>
      <c r="G2392" s="324">
        <v>44574</v>
      </c>
      <c r="H2392" s="324">
        <v>46387</v>
      </c>
      <c r="I2392" s="325">
        <v>28500</v>
      </c>
      <c r="J239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92" s="133">
        <f>_xlfn.XLOOKUP(Market_Data[[#This Row],[Project Type]],tbl_assumptions_market[Project Category (RERA)],tbl_assumptions_market[Concrete Intensity
(m³ / sq m BUA)],"",0)</f>
        <v>0.45</v>
      </c>
      <c r="L2392" s="134">
        <f>ROUND(Market_Data[[#This Row],[Estimated Built Up Area (sq m)]]*Market_Data[[#This Row],[Concrete Intensity
(m³ / sq m)]],0)</f>
        <v>12825</v>
      </c>
      <c r="M2392" s="135">
        <f>_xlfn.XLOOKUP(Market_Data[[#This Row],[District]],tbl_district_price[District],tbl_district_price[Standard Price
(INR/m³)],"",0)</f>
        <v>6200</v>
      </c>
      <c r="N2392" s="364">
        <f>IF(OR(Market_Data[[#This Row],[Estimated Concrete Demand (m³)]]="",Market_Data[[#This Row],[Avg Price per (₹ / m³)]]=""),"",Market_Data[[#This Row],[Estimated Concrete Demand (m³)]]*Market_Data[[#This Row],[Avg Price per (₹ / m³)]]/10000000)</f>
        <v>7.9515000000000002</v>
      </c>
      <c r="O2392" s="97" t="str">
        <f>IF(Market_Data[[#This Row],[Estimated Concrete Demand (m³)]]="","",
IF(Market_Data[[#This Row],[Estimated Concrete Demand (m³)]]&lt;10000,"Small",
IF(Market_Data[[#This Row],[Estimated Concrete Demand (m³)]]&lt;25000,"Medium",
IF(Market_Data[[#This Row],[Estimated Concrete Demand (m³)]]&lt;100000,"Large","Mega"))))</f>
        <v>Medium</v>
      </c>
      <c r="P2392" s="287" t="str">
        <f t="shared" si="39"/>
        <v>GujRERA</v>
      </c>
    </row>
    <row r="2393" spans="1:16">
      <c r="A2393" s="129" t="str">
        <f>_xlfn.XLOOKUP(B2393,$S$9:$S$14,$T$9:$T$14)&amp;"-"&amp;
IF(E2393="Residential/Group Housing","RES",
IF(E2393="Commercial","COM",
IF(E2393="Mixed Development","MIX",
IF(E2393="Plotted Development","PLT","OTH"))))
&amp;"-"&amp;TEXT(COUNTIFS($B$9:B2393,B2393,$E$9:E2393,E2393),"0000")</f>
        <v>SUR-PLT-0452</v>
      </c>
      <c r="B2393" s="322" t="s">
        <v>34</v>
      </c>
      <c r="C2393" s="322" t="s">
        <v>34</v>
      </c>
      <c r="D2393" s="323" t="s">
        <v>2582</v>
      </c>
      <c r="E2393" s="132" t="s">
        <v>26</v>
      </c>
      <c r="F2393" s="97" t="str">
        <f ca="1">IF(OR(Market_Data[[#This Row],[Start Date]]="",Market_Data[[#This Row],[Completion Date]]=""),"Needs Validation",IF(Market_Data[[#This Row],[Start Date]]&gt;TODAY(),"Planned",IF(Market_Data[[#This Row],[Completion Date]]&lt;TODAY(),"Completed","Ongoing")))</f>
        <v>Completed</v>
      </c>
      <c r="G2393" s="324">
        <v>43448</v>
      </c>
      <c r="H2393" s="324">
        <v>45107</v>
      </c>
      <c r="I2393" s="325">
        <v>43200</v>
      </c>
      <c r="J239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393" s="133">
        <f>_xlfn.XLOOKUP(Market_Data[[#This Row],[Project Type]],tbl_assumptions_market[Project Category (RERA)],tbl_assumptions_market[Concrete Intensity
(m³ / sq m BUA)],"",0)</f>
        <v>0.18</v>
      </c>
      <c r="L2393" s="134">
        <f>ROUND(Market_Data[[#This Row],[Estimated Built Up Area (sq m)]]*Market_Data[[#This Row],[Concrete Intensity
(m³ / sq m)]],0)</f>
        <v>7776</v>
      </c>
      <c r="M2393" s="135">
        <f>_xlfn.XLOOKUP(Market_Data[[#This Row],[District]],tbl_district_price[District],tbl_district_price[Standard Price
(INR/m³)],"",0)</f>
        <v>6200</v>
      </c>
      <c r="N2393" s="364">
        <f>IF(OR(Market_Data[[#This Row],[Estimated Concrete Demand (m³)]]="",Market_Data[[#This Row],[Avg Price per (₹ / m³)]]=""),"",Market_Data[[#This Row],[Estimated Concrete Demand (m³)]]*Market_Data[[#This Row],[Avg Price per (₹ / m³)]]/10000000)</f>
        <v>4.8211199999999996</v>
      </c>
      <c r="O2393" s="97" t="str">
        <f>IF(Market_Data[[#This Row],[Estimated Concrete Demand (m³)]]="","",
IF(Market_Data[[#This Row],[Estimated Concrete Demand (m³)]]&lt;10000,"Small",
IF(Market_Data[[#This Row],[Estimated Concrete Demand (m³)]]&lt;25000,"Medium",
IF(Market_Data[[#This Row],[Estimated Concrete Demand (m³)]]&lt;100000,"Large","Mega"))))</f>
        <v>Small</v>
      </c>
      <c r="P2393" s="287" t="str">
        <f t="shared" si="39"/>
        <v>GujRERA</v>
      </c>
    </row>
    <row r="2394" spans="1:16">
      <c r="A2394" s="129" t="str">
        <f>_xlfn.XLOOKUP(B2394,$S$9:$S$14,$T$9:$T$14)&amp;"-"&amp;
IF(E2394="Residential/Group Housing","RES",
IF(E2394="Commercial","COM",
IF(E2394="Mixed Development","MIX",
IF(E2394="Plotted Development","PLT","OTH"))))
&amp;"-"&amp;TEXT(COUNTIFS($B$9:B2394,B2394,$E$9:E2394,E2394),"0000")</f>
        <v>SUR-RES-0811</v>
      </c>
      <c r="B2394" s="322" t="s">
        <v>34</v>
      </c>
      <c r="C2394" s="322" t="s">
        <v>34</v>
      </c>
      <c r="D2394" s="323" t="s">
        <v>2583</v>
      </c>
      <c r="E2394" s="132" t="s">
        <v>24</v>
      </c>
      <c r="F2394" s="97" t="str">
        <f ca="1">IF(OR(Market_Data[[#This Row],[Start Date]]="",Market_Data[[#This Row],[Completion Date]]=""),"Needs Validation",IF(Market_Data[[#This Row],[Start Date]]&gt;TODAY(),"Planned",IF(Market_Data[[#This Row],[Completion Date]]&lt;TODAY(),"Completed","Ongoing")))</f>
        <v>Completed</v>
      </c>
      <c r="G2394" s="324">
        <v>41470</v>
      </c>
      <c r="H2394" s="324">
        <v>45261</v>
      </c>
      <c r="I2394" s="325">
        <v>39000</v>
      </c>
      <c r="J239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94" s="133">
        <f>_xlfn.XLOOKUP(Market_Data[[#This Row],[Project Type]],tbl_assumptions_market[Project Category (RERA)],tbl_assumptions_market[Concrete Intensity
(m³ / sq m BUA)],"",0)</f>
        <v>0.45</v>
      </c>
      <c r="L2394" s="134">
        <f>ROUND(Market_Data[[#This Row],[Estimated Built Up Area (sq m)]]*Market_Data[[#This Row],[Concrete Intensity
(m³ / sq m)]],0)</f>
        <v>17550</v>
      </c>
      <c r="M2394" s="135">
        <f>_xlfn.XLOOKUP(Market_Data[[#This Row],[District]],tbl_district_price[District],tbl_district_price[Standard Price
(INR/m³)],"",0)</f>
        <v>6200</v>
      </c>
      <c r="N2394" s="364">
        <f>IF(OR(Market_Data[[#This Row],[Estimated Concrete Demand (m³)]]="",Market_Data[[#This Row],[Avg Price per (₹ / m³)]]=""),"",Market_Data[[#This Row],[Estimated Concrete Demand (m³)]]*Market_Data[[#This Row],[Avg Price per (₹ / m³)]]/10000000)</f>
        <v>10.881</v>
      </c>
      <c r="O2394" s="97" t="str">
        <f>IF(Market_Data[[#This Row],[Estimated Concrete Demand (m³)]]="","",
IF(Market_Data[[#This Row],[Estimated Concrete Demand (m³)]]&lt;10000,"Small",
IF(Market_Data[[#This Row],[Estimated Concrete Demand (m³)]]&lt;25000,"Medium",
IF(Market_Data[[#This Row],[Estimated Concrete Demand (m³)]]&lt;100000,"Large","Mega"))))</f>
        <v>Medium</v>
      </c>
      <c r="P2394" s="287" t="str">
        <f t="shared" si="39"/>
        <v>GujRERA</v>
      </c>
    </row>
    <row r="2395" spans="1:16">
      <c r="A2395" s="129" t="str">
        <f>_xlfn.XLOOKUP(B2395,$S$9:$S$14,$T$9:$T$14)&amp;"-"&amp;
IF(E2395="Residential/Group Housing","RES",
IF(E2395="Commercial","COM",
IF(E2395="Mixed Development","MIX",
IF(E2395="Plotted Development","PLT","OTH"))))
&amp;"-"&amp;TEXT(COUNTIFS($B$9:B2395,B2395,$E$9:E2395,E2395),"0000")</f>
        <v>SUR-PLT-0453</v>
      </c>
      <c r="B2395" s="322" t="s">
        <v>34</v>
      </c>
      <c r="C2395" s="322" t="s">
        <v>34</v>
      </c>
      <c r="D2395" s="323" t="s">
        <v>2584</v>
      </c>
      <c r="E2395" s="132" t="s">
        <v>26</v>
      </c>
      <c r="F2395" s="97" t="str">
        <f ca="1">IF(OR(Market_Data[[#This Row],[Start Date]]="",Market_Data[[#This Row],[Completion Date]]=""),"Needs Validation",IF(Market_Data[[#This Row],[Start Date]]&gt;TODAY(),"Planned",IF(Market_Data[[#This Row],[Completion Date]]&lt;TODAY(),"Completed","Ongoing")))</f>
        <v>Completed</v>
      </c>
      <c r="G2395" s="324">
        <v>41834</v>
      </c>
      <c r="H2395" s="324">
        <v>45261</v>
      </c>
      <c r="I2395" s="325">
        <v>15200</v>
      </c>
      <c r="J239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95" s="133">
        <f>_xlfn.XLOOKUP(Market_Data[[#This Row],[Project Type]],tbl_assumptions_market[Project Category (RERA)],tbl_assumptions_market[Concrete Intensity
(m³ / sq m BUA)],"",0)</f>
        <v>0.18</v>
      </c>
      <c r="L2395" s="134">
        <f>ROUND(Market_Data[[#This Row],[Estimated Built Up Area (sq m)]]*Market_Data[[#This Row],[Concrete Intensity
(m³ / sq m)]],0)</f>
        <v>2736</v>
      </c>
      <c r="M2395" s="135">
        <f>_xlfn.XLOOKUP(Market_Data[[#This Row],[District]],tbl_district_price[District],tbl_district_price[Standard Price
(INR/m³)],"",0)</f>
        <v>6200</v>
      </c>
      <c r="N2395" s="364">
        <f>IF(OR(Market_Data[[#This Row],[Estimated Concrete Demand (m³)]]="",Market_Data[[#This Row],[Avg Price per (₹ / m³)]]=""),"",Market_Data[[#This Row],[Estimated Concrete Demand (m³)]]*Market_Data[[#This Row],[Avg Price per (₹ / m³)]]/10000000)</f>
        <v>1.6963200000000001</v>
      </c>
      <c r="O2395" s="97" t="str">
        <f>IF(Market_Data[[#This Row],[Estimated Concrete Demand (m³)]]="","",
IF(Market_Data[[#This Row],[Estimated Concrete Demand (m³)]]&lt;10000,"Small",
IF(Market_Data[[#This Row],[Estimated Concrete Demand (m³)]]&lt;25000,"Medium",
IF(Market_Data[[#This Row],[Estimated Concrete Demand (m³)]]&lt;100000,"Large","Mega"))))</f>
        <v>Small</v>
      </c>
      <c r="P2395" s="287" t="str">
        <f t="shared" si="39"/>
        <v>GujRERA</v>
      </c>
    </row>
    <row r="2396" spans="1:16">
      <c r="A2396" s="129" t="str">
        <f>_xlfn.XLOOKUP(B2396,$S$9:$S$14,$T$9:$T$14)&amp;"-"&amp;
IF(E2396="Residential/Group Housing","RES",
IF(E2396="Commercial","COM",
IF(E2396="Mixed Development","MIX",
IF(E2396="Plotted Development","PLT","OTH"))))
&amp;"-"&amp;TEXT(COUNTIFS($B$9:B2396,B2396,$E$9:E2396,E2396),"0000")</f>
        <v>SUR-RES-0812</v>
      </c>
      <c r="B2396" s="322" t="s">
        <v>34</v>
      </c>
      <c r="C2396" s="322" t="s">
        <v>34</v>
      </c>
      <c r="D2396" s="323" t="s">
        <v>2585</v>
      </c>
      <c r="E2396" s="132" t="s">
        <v>24</v>
      </c>
      <c r="F2396" s="97" t="str">
        <f ca="1">IF(OR(Market_Data[[#This Row],[Start Date]]="",Market_Data[[#This Row],[Completion Date]]=""),"Needs Validation",IF(Market_Data[[#This Row],[Start Date]]&gt;TODAY(),"Planned",IF(Market_Data[[#This Row],[Completion Date]]&lt;TODAY(),"Completed","Ongoing")))</f>
        <v>Completed</v>
      </c>
      <c r="G2396" s="324">
        <v>43609</v>
      </c>
      <c r="H2396" s="324">
        <v>45626</v>
      </c>
      <c r="I2396" s="325">
        <v>55700</v>
      </c>
      <c r="J239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96" s="133">
        <f>_xlfn.XLOOKUP(Market_Data[[#This Row],[Project Type]],tbl_assumptions_market[Project Category (RERA)],tbl_assumptions_market[Concrete Intensity
(m³ / sq m BUA)],"",0)</f>
        <v>0.45</v>
      </c>
      <c r="L2396" s="134">
        <f>ROUND(Market_Data[[#This Row],[Estimated Built Up Area (sq m)]]*Market_Data[[#This Row],[Concrete Intensity
(m³ / sq m)]],0)</f>
        <v>25065</v>
      </c>
      <c r="M2396" s="135">
        <f>_xlfn.XLOOKUP(Market_Data[[#This Row],[District]],tbl_district_price[District],tbl_district_price[Standard Price
(INR/m³)],"",0)</f>
        <v>6200</v>
      </c>
      <c r="N2396" s="364">
        <f>IF(OR(Market_Data[[#This Row],[Estimated Concrete Demand (m³)]]="",Market_Data[[#This Row],[Avg Price per (₹ / m³)]]=""),"",Market_Data[[#This Row],[Estimated Concrete Demand (m³)]]*Market_Data[[#This Row],[Avg Price per (₹ / m³)]]/10000000)</f>
        <v>15.5403</v>
      </c>
      <c r="O2396" s="97" t="str">
        <f>IF(Market_Data[[#This Row],[Estimated Concrete Demand (m³)]]="","",
IF(Market_Data[[#This Row],[Estimated Concrete Demand (m³)]]&lt;10000,"Small",
IF(Market_Data[[#This Row],[Estimated Concrete Demand (m³)]]&lt;25000,"Medium",
IF(Market_Data[[#This Row],[Estimated Concrete Demand (m³)]]&lt;100000,"Large","Mega"))))</f>
        <v>Large</v>
      </c>
      <c r="P2396" s="287" t="str">
        <f t="shared" si="39"/>
        <v>GujRERA</v>
      </c>
    </row>
    <row r="2397" spans="1:16">
      <c r="A2397" s="129" t="str">
        <f>_xlfn.XLOOKUP(B2397,$S$9:$S$14,$T$9:$T$14)&amp;"-"&amp;
IF(E2397="Residential/Group Housing","RES",
IF(E2397="Commercial","COM",
IF(E2397="Mixed Development","MIX",
IF(E2397="Plotted Development","PLT","OTH"))))
&amp;"-"&amp;TEXT(COUNTIFS($B$9:B2397,B2397,$E$9:E2397,E2397),"0000")</f>
        <v>SUR-RES-0813</v>
      </c>
      <c r="B2397" s="322" t="s">
        <v>34</v>
      </c>
      <c r="C2397" s="322" t="s">
        <v>34</v>
      </c>
      <c r="D2397" s="323" t="s">
        <v>2586</v>
      </c>
      <c r="E2397" s="132" t="s">
        <v>24</v>
      </c>
      <c r="F2397" s="97" t="str">
        <f ca="1">IF(OR(Market_Data[[#This Row],[Start Date]]="",Market_Data[[#This Row],[Completion Date]]=""),"Needs Validation",IF(Market_Data[[#This Row],[Start Date]]&gt;TODAY(),"Planned",IF(Market_Data[[#This Row],[Completion Date]]&lt;TODAY(),"Completed","Ongoing")))</f>
        <v>Completed</v>
      </c>
      <c r="G2397" s="324">
        <v>41825</v>
      </c>
      <c r="H2397" s="324">
        <v>45261</v>
      </c>
      <c r="I2397" s="325">
        <v>37400</v>
      </c>
      <c r="J239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97" s="133">
        <f>_xlfn.XLOOKUP(Market_Data[[#This Row],[Project Type]],tbl_assumptions_market[Project Category (RERA)],tbl_assumptions_market[Concrete Intensity
(m³ / sq m BUA)],"",0)</f>
        <v>0.45</v>
      </c>
      <c r="L2397" s="134">
        <f>ROUND(Market_Data[[#This Row],[Estimated Built Up Area (sq m)]]*Market_Data[[#This Row],[Concrete Intensity
(m³ / sq m)]],0)</f>
        <v>16830</v>
      </c>
      <c r="M2397" s="135">
        <f>_xlfn.XLOOKUP(Market_Data[[#This Row],[District]],tbl_district_price[District],tbl_district_price[Standard Price
(INR/m³)],"",0)</f>
        <v>6200</v>
      </c>
      <c r="N2397" s="364">
        <f>IF(OR(Market_Data[[#This Row],[Estimated Concrete Demand (m³)]]="",Market_Data[[#This Row],[Avg Price per (₹ / m³)]]=""),"",Market_Data[[#This Row],[Estimated Concrete Demand (m³)]]*Market_Data[[#This Row],[Avg Price per (₹ / m³)]]/10000000)</f>
        <v>10.4346</v>
      </c>
      <c r="O2397" s="97" t="str">
        <f>IF(Market_Data[[#This Row],[Estimated Concrete Demand (m³)]]="","",
IF(Market_Data[[#This Row],[Estimated Concrete Demand (m³)]]&lt;10000,"Small",
IF(Market_Data[[#This Row],[Estimated Concrete Demand (m³)]]&lt;25000,"Medium",
IF(Market_Data[[#This Row],[Estimated Concrete Demand (m³)]]&lt;100000,"Large","Mega"))))</f>
        <v>Medium</v>
      </c>
      <c r="P2397" s="287" t="str">
        <f t="shared" si="39"/>
        <v>GujRERA</v>
      </c>
    </row>
    <row r="2398" spans="1:16">
      <c r="A2398" s="129" t="str">
        <f>_xlfn.XLOOKUP(B2398,$S$9:$S$14,$T$9:$T$14)&amp;"-"&amp;
IF(E2398="Residential/Group Housing","RES",
IF(E2398="Commercial","COM",
IF(E2398="Mixed Development","MIX",
IF(E2398="Plotted Development","PLT","OTH"))))
&amp;"-"&amp;TEXT(COUNTIFS($B$9:B2398,B2398,$E$9:E2398,E2398),"0000")</f>
        <v>SUR-PLT-0454</v>
      </c>
      <c r="B2398" s="322" t="s">
        <v>34</v>
      </c>
      <c r="C2398" s="322" t="s">
        <v>34</v>
      </c>
      <c r="D2398" s="323" t="s">
        <v>2587</v>
      </c>
      <c r="E2398" s="132" t="s">
        <v>26</v>
      </c>
      <c r="F2398" s="97" t="str">
        <f ca="1">IF(OR(Market_Data[[#This Row],[Start Date]]="",Market_Data[[#This Row],[Completion Date]]=""),"Needs Validation",IF(Market_Data[[#This Row],[Start Date]]&gt;TODAY(),"Planned",IF(Market_Data[[#This Row],[Completion Date]]&lt;TODAY(),"Completed","Ongoing")))</f>
        <v>Completed</v>
      </c>
      <c r="G2398" s="324">
        <v>44682</v>
      </c>
      <c r="H2398" s="324">
        <v>46022</v>
      </c>
      <c r="I2398" s="325">
        <v>27100</v>
      </c>
      <c r="J239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98" s="133">
        <f>_xlfn.XLOOKUP(Market_Data[[#This Row],[Project Type]],tbl_assumptions_market[Project Category (RERA)],tbl_assumptions_market[Concrete Intensity
(m³ / sq m BUA)],"",0)</f>
        <v>0.18</v>
      </c>
      <c r="L2398" s="134">
        <f>ROUND(Market_Data[[#This Row],[Estimated Built Up Area (sq m)]]*Market_Data[[#This Row],[Concrete Intensity
(m³ / sq m)]],0)</f>
        <v>4878</v>
      </c>
      <c r="M2398" s="135">
        <f>_xlfn.XLOOKUP(Market_Data[[#This Row],[District]],tbl_district_price[District],tbl_district_price[Standard Price
(INR/m³)],"",0)</f>
        <v>6200</v>
      </c>
      <c r="N2398" s="364">
        <f>IF(OR(Market_Data[[#This Row],[Estimated Concrete Demand (m³)]]="",Market_Data[[#This Row],[Avg Price per (₹ / m³)]]=""),"",Market_Data[[#This Row],[Estimated Concrete Demand (m³)]]*Market_Data[[#This Row],[Avg Price per (₹ / m³)]]/10000000)</f>
        <v>3.0243600000000002</v>
      </c>
      <c r="O2398" s="97" t="str">
        <f>IF(Market_Data[[#This Row],[Estimated Concrete Demand (m³)]]="","",
IF(Market_Data[[#This Row],[Estimated Concrete Demand (m³)]]&lt;10000,"Small",
IF(Market_Data[[#This Row],[Estimated Concrete Demand (m³)]]&lt;25000,"Medium",
IF(Market_Data[[#This Row],[Estimated Concrete Demand (m³)]]&lt;100000,"Large","Mega"))))</f>
        <v>Small</v>
      </c>
      <c r="P2398" s="287" t="str">
        <f t="shared" si="39"/>
        <v>GujRERA</v>
      </c>
    </row>
    <row r="2399" spans="1:16">
      <c r="A2399" s="129" t="str">
        <f>_xlfn.XLOOKUP(B2399,$S$9:$S$14,$T$9:$T$14)&amp;"-"&amp;
IF(E2399="Residential/Group Housing","RES",
IF(E2399="Commercial","COM",
IF(E2399="Mixed Development","MIX",
IF(E2399="Plotted Development","PLT","OTH"))))
&amp;"-"&amp;TEXT(COUNTIFS($B$9:B2399,B2399,$E$9:E2399,E2399),"0000")</f>
        <v>SUR-RES-0814</v>
      </c>
      <c r="B2399" s="322" t="s">
        <v>34</v>
      </c>
      <c r="C2399" s="322" t="s">
        <v>34</v>
      </c>
      <c r="D2399" s="323" t="s">
        <v>2588</v>
      </c>
      <c r="E2399" s="132" t="s">
        <v>24</v>
      </c>
      <c r="F2399" s="97" t="str">
        <f ca="1">IF(OR(Market_Data[[#This Row],[Start Date]]="",Market_Data[[#This Row],[Completion Date]]=""),"Needs Validation",IF(Market_Data[[#This Row],[Start Date]]&gt;TODAY(),"Planned",IF(Market_Data[[#This Row],[Completion Date]]&lt;TODAY(),"Completed","Ongoing")))</f>
        <v>Completed</v>
      </c>
      <c r="G2399" s="324">
        <v>42112</v>
      </c>
      <c r="H2399" s="324">
        <v>43921</v>
      </c>
      <c r="I2399" s="325">
        <v>25200</v>
      </c>
      <c r="J239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399" s="133">
        <f>_xlfn.XLOOKUP(Market_Data[[#This Row],[Project Type]],tbl_assumptions_market[Project Category (RERA)],tbl_assumptions_market[Concrete Intensity
(m³ / sq m BUA)],"",0)</f>
        <v>0.45</v>
      </c>
      <c r="L2399" s="134">
        <f>ROUND(Market_Data[[#This Row],[Estimated Built Up Area (sq m)]]*Market_Data[[#This Row],[Concrete Intensity
(m³ / sq m)]],0)</f>
        <v>11340</v>
      </c>
      <c r="M2399" s="135">
        <f>_xlfn.XLOOKUP(Market_Data[[#This Row],[District]],tbl_district_price[District],tbl_district_price[Standard Price
(INR/m³)],"",0)</f>
        <v>6200</v>
      </c>
      <c r="N2399" s="364">
        <f>IF(OR(Market_Data[[#This Row],[Estimated Concrete Demand (m³)]]="",Market_Data[[#This Row],[Avg Price per (₹ / m³)]]=""),"",Market_Data[[#This Row],[Estimated Concrete Demand (m³)]]*Market_Data[[#This Row],[Avg Price per (₹ / m³)]]/10000000)</f>
        <v>7.0308000000000002</v>
      </c>
      <c r="O2399" s="97" t="str">
        <f>IF(Market_Data[[#This Row],[Estimated Concrete Demand (m³)]]="","",
IF(Market_Data[[#This Row],[Estimated Concrete Demand (m³)]]&lt;10000,"Small",
IF(Market_Data[[#This Row],[Estimated Concrete Demand (m³)]]&lt;25000,"Medium",
IF(Market_Data[[#This Row],[Estimated Concrete Demand (m³)]]&lt;100000,"Large","Mega"))))</f>
        <v>Medium</v>
      </c>
      <c r="P2399" s="287" t="str">
        <f t="shared" si="39"/>
        <v>GujRERA</v>
      </c>
    </row>
    <row r="2400" spans="1:16">
      <c r="A2400" s="129" t="str">
        <f>_xlfn.XLOOKUP(B2400,$S$9:$S$14,$T$9:$T$14)&amp;"-"&amp;
IF(E2400="Residential/Group Housing","RES",
IF(E2400="Commercial","COM",
IF(E2400="Mixed Development","MIX",
IF(E2400="Plotted Development","PLT","OTH"))))
&amp;"-"&amp;TEXT(COUNTIFS($B$9:B2400,B2400,$E$9:E2400,E2400),"0000")</f>
        <v>SUR-RES-0815</v>
      </c>
      <c r="B2400" s="322" t="s">
        <v>34</v>
      </c>
      <c r="C2400" s="322" t="s">
        <v>34</v>
      </c>
      <c r="D2400" s="323" t="s">
        <v>2589</v>
      </c>
      <c r="E2400" s="132" t="s">
        <v>24</v>
      </c>
      <c r="F2400" s="97" t="str">
        <f ca="1">IF(OR(Market_Data[[#This Row],[Start Date]]="",Market_Data[[#This Row],[Completion Date]]=""),"Needs Validation",IF(Market_Data[[#This Row],[Start Date]]&gt;TODAY(),"Planned",IF(Market_Data[[#This Row],[Completion Date]]&lt;TODAY(),"Completed","Ongoing")))</f>
        <v>Ongoing</v>
      </c>
      <c r="G2400" s="324">
        <v>45288</v>
      </c>
      <c r="H2400" s="324">
        <v>47118</v>
      </c>
      <c r="I2400" s="325">
        <v>43000</v>
      </c>
      <c r="J240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00" s="133">
        <f>_xlfn.XLOOKUP(Market_Data[[#This Row],[Project Type]],tbl_assumptions_market[Project Category (RERA)],tbl_assumptions_market[Concrete Intensity
(m³ / sq m BUA)],"",0)</f>
        <v>0.45</v>
      </c>
      <c r="L2400" s="134">
        <f>ROUND(Market_Data[[#This Row],[Estimated Built Up Area (sq m)]]*Market_Data[[#This Row],[Concrete Intensity
(m³ / sq m)]],0)</f>
        <v>19350</v>
      </c>
      <c r="M2400" s="135">
        <f>_xlfn.XLOOKUP(Market_Data[[#This Row],[District]],tbl_district_price[District],tbl_district_price[Standard Price
(INR/m³)],"",0)</f>
        <v>6200</v>
      </c>
      <c r="N2400" s="364">
        <f>IF(OR(Market_Data[[#This Row],[Estimated Concrete Demand (m³)]]="",Market_Data[[#This Row],[Avg Price per (₹ / m³)]]=""),"",Market_Data[[#This Row],[Estimated Concrete Demand (m³)]]*Market_Data[[#This Row],[Avg Price per (₹ / m³)]]/10000000)</f>
        <v>11.997</v>
      </c>
      <c r="O2400" s="97" t="str">
        <f>IF(Market_Data[[#This Row],[Estimated Concrete Demand (m³)]]="","",
IF(Market_Data[[#This Row],[Estimated Concrete Demand (m³)]]&lt;10000,"Small",
IF(Market_Data[[#This Row],[Estimated Concrete Demand (m³)]]&lt;25000,"Medium",
IF(Market_Data[[#This Row],[Estimated Concrete Demand (m³)]]&lt;100000,"Large","Mega"))))</f>
        <v>Medium</v>
      </c>
      <c r="P2400" s="287" t="str">
        <f t="shared" si="39"/>
        <v>GujRERA</v>
      </c>
    </row>
    <row r="2401" spans="1:16">
      <c r="A2401" s="129" t="str">
        <f>_xlfn.XLOOKUP(B2401,$S$9:$S$14,$T$9:$T$14)&amp;"-"&amp;
IF(E2401="Residential/Group Housing","RES",
IF(E2401="Commercial","COM",
IF(E2401="Mixed Development","MIX",
IF(E2401="Plotted Development","PLT","OTH"))))
&amp;"-"&amp;TEXT(COUNTIFS($B$9:B2401,B2401,$E$9:E2401,E2401),"0000")</f>
        <v>SUR-COM-0381</v>
      </c>
      <c r="B2401" s="322" t="s">
        <v>34</v>
      </c>
      <c r="C2401" s="322" t="s">
        <v>34</v>
      </c>
      <c r="D2401" s="323" t="s">
        <v>2590</v>
      </c>
      <c r="E2401" s="132" t="s">
        <v>23</v>
      </c>
      <c r="F2401" s="97" t="str">
        <f ca="1">IF(OR(Market_Data[[#This Row],[Start Date]]="",Market_Data[[#This Row],[Completion Date]]=""),"Needs Validation",IF(Market_Data[[#This Row],[Start Date]]&gt;TODAY(),"Planned",IF(Market_Data[[#This Row],[Completion Date]]&lt;TODAY(),"Completed","Ongoing")))</f>
        <v>Ongoing</v>
      </c>
      <c r="G2401" s="324">
        <v>45845</v>
      </c>
      <c r="H2401" s="324">
        <v>47483</v>
      </c>
      <c r="I2401" s="325">
        <v>9900</v>
      </c>
      <c r="J240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01" s="133">
        <f>_xlfn.XLOOKUP(Market_Data[[#This Row],[Project Type]],tbl_assumptions_market[Project Category (RERA)],tbl_assumptions_market[Concrete Intensity
(m³ / sq m BUA)],"",0)</f>
        <v>0.5</v>
      </c>
      <c r="L2401" s="134">
        <f>ROUND(Market_Data[[#This Row],[Estimated Built Up Area (sq m)]]*Market_Data[[#This Row],[Concrete Intensity
(m³ / sq m)]],0)</f>
        <v>4950</v>
      </c>
      <c r="M2401" s="135">
        <f>_xlfn.XLOOKUP(Market_Data[[#This Row],[District]],tbl_district_price[District],tbl_district_price[Standard Price
(INR/m³)],"",0)</f>
        <v>6200</v>
      </c>
      <c r="N2401" s="364">
        <f>IF(OR(Market_Data[[#This Row],[Estimated Concrete Demand (m³)]]="",Market_Data[[#This Row],[Avg Price per (₹ / m³)]]=""),"",Market_Data[[#This Row],[Estimated Concrete Demand (m³)]]*Market_Data[[#This Row],[Avg Price per (₹ / m³)]]/10000000)</f>
        <v>3.069</v>
      </c>
      <c r="O2401" s="97" t="str">
        <f>IF(Market_Data[[#This Row],[Estimated Concrete Demand (m³)]]="","",
IF(Market_Data[[#This Row],[Estimated Concrete Demand (m³)]]&lt;10000,"Small",
IF(Market_Data[[#This Row],[Estimated Concrete Demand (m³)]]&lt;25000,"Medium",
IF(Market_Data[[#This Row],[Estimated Concrete Demand (m³)]]&lt;100000,"Large","Mega"))))</f>
        <v>Small</v>
      </c>
      <c r="P2401" s="287" t="str">
        <f t="shared" si="39"/>
        <v>GujRERA</v>
      </c>
    </row>
    <row r="2402" spans="1:16">
      <c r="A2402" s="129" t="str">
        <f>_xlfn.XLOOKUP(B2402,$S$9:$S$14,$T$9:$T$14)&amp;"-"&amp;
IF(E2402="Residential/Group Housing","RES",
IF(E2402="Commercial","COM",
IF(E2402="Mixed Development","MIX",
IF(E2402="Plotted Development","PLT","OTH"))))
&amp;"-"&amp;TEXT(COUNTIFS($B$9:B2402,B2402,$E$9:E2402,E2402),"0000")</f>
        <v>SUR-MIX-0434</v>
      </c>
      <c r="B2402" s="322" t="s">
        <v>34</v>
      </c>
      <c r="C2402" s="322" t="s">
        <v>34</v>
      </c>
      <c r="D2402" s="323" t="s">
        <v>2591</v>
      </c>
      <c r="E2402" s="132" t="s">
        <v>25</v>
      </c>
      <c r="F2402" s="97" t="str">
        <f ca="1">IF(OR(Market_Data[[#This Row],[Start Date]]="",Market_Data[[#This Row],[Completion Date]]=""),"Needs Validation",IF(Market_Data[[#This Row],[Start Date]]&gt;TODAY(),"Planned",IF(Market_Data[[#This Row],[Completion Date]]&lt;TODAY(),"Completed","Ongoing")))</f>
        <v>Ongoing</v>
      </c>
      <c r="G2402" s="324">
        <v>46038</v>
      </c>
      <c r="H2402" s="324">
        <v>48213</v>
      </c>
      <c r="I2402" s="325">
        <v>19500</v>
      </c>
      <c r="J240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02" s="133">
        <f>_xlfn.XLOOKUP(Market_Data[[#This Row],[Project Type]],tbl_assumptions_market[Project Category (RERA)],tbl_assumptions_market[Concrete Intensity
(m³ / sq m BUA)],"",0)</f>
        <v>0.42</v>
      </c>
      <c r="L2402" s="134">
        <f>ROUND(Market_Data[[#This Row],[Estimated Built Up Area (sq m)]]*Market_Data[[#This Row],[Concrete Intensity
(m³ / sq m)]],0)</f>
        <v>8190</v>
      </c>
      <c r="M2402" s="135">
        <f>_xlfn.XLOOKUP(Market_Data[[#This Row],[District]],tbl_district_price[District],tbl_district_price[Standard Price
(INR/m³)],"",0)</f>
        <v>6200</v>
      </c>
      <c r="N2402" s="364">
        <f>IF(OR(Market_Data[[#This Row],[Estimated Concrete Demand (m³)]]="",Market_Data[[#This Row],[Avg Price per (₹ / m³)]]=""),"",Market_Data[[#This Row],[Estimated Concrete Demand (m³)]]*Market_Data[[#This Row],[Avg Price per (₹ / m³)]]/10000000)</f>
        <v>5.0777999999999999</v>
      </c>
      <c r="O2402" s="97" t="str">
        <f>IF(Market_Data[[#This Row],[Estimated Concrete Demand (m³)]]="","",
IF(Market_Data[[#This Row],[Estimated Concrete Demand (m³)]]&lt;10000,"Small",
IF(Market_Data[[#This Row],[Estimated Concrete Demand (m³)]]&lt;25000,"Medium",
IF(Market_Data[[#This Row],[Estimated Concrete Demand (m³)]]&lt;100000,"Large","Mega"))))</f>
        <v>Small</v>
      </c>
      <c r="P2402" s="287" t="str">
        <f t="shared" si="39"/>
        <v>GujRERA</v>
      </c>
    </row>
    <row r="2403" spans="1:16">
      <c r="A2403" s="129" t="str">
        <f>_xlfn.XLOOKUP(B2403,$S$9:$S$14,$T$9:$T$14)&amp;"-"&amp;
IF(E2403="Residential/Group Housing","RES",
IF(E2403="Commercial","COM",
IF(E2403="Mixed Development","MIX",
IF(E2403="Plotted Development","PLT","OTH"))))
&amp;"-"&amp;TEXT(COUNTIFS($B$9:B2403,B2403,$E$9:E2403,E2403),"0000")</f>
        <v>SUR-MIX-0435</v>
      </c>
      <c r="B2403" s="322" t="s">
        <v>34</v>
      </c>
      <c r="C2403" s="322" t="s">
        <v>34</v>
      </c>
      <c r="D2403" s="323" t="s">
        <v>2592</v>
      </c>
      <c r="E2403" s="132" t="s">
        <v>25</v>
      </c>
      <c r="F2403" s="97" t="str">
        <f ca="1">IF(OR(Market_Data[[#This Row],[Start Date]]="",Market_Data[[#This Row],[Completion Date]]=""),"Needs Validation",IF(Market_Data[[#This Row],[Start Date]]&gt;TODAY(),"Planned",IF(Market_Data[[#This Row],[Completion Date]]&lt;TODAY(),"Completed","Ongoing")))</f>
        <v>Ongoing</v>
      </c>
      <c r="G2403" s="324">
        <v>45326</v>
      </c>
      <c r="H2403" s="324">
        <v>47118</v>
      </c>
      <c r="I2403" s="325">
        <v>50000</v>
      </c>
      <c r="J240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03" s="133">
        <f>_xlfn.XLOOKUP(Market_Data[[#This Row],[Project Type]],tbl_assumptions_market[Project Category (RERA)],tbl_assumptions_market[Concrete Intensity
(m³ / sq m BUA)],"",0)</f>
        <v>0.42</v>
      </c>
      <c r="L2403" s="134">
        <f>ROUND(Market_Data[[#This Row],[Estimated Built Up Area (sq m)]]*Market_Data[[#This Row],[Concrete Intensity
(m³ / sq m)]],0)</f>
        <v>21000</v>
      </c>
      <c r="M2403" s="135">
        <f>_xlfn.XLOOKUP(Market_Data[[#This Row],[District]],tbl_district_price[District],tbl_district_price[Standard Price
(INR/m³)],"",0)</f>
        <v>6200</v>
      </c>
      <c r="N2403" s="364">
        <f>IF(OR(Market_Data[[#This Row],[Estimated Concrete Demand (m³)]]="",Market_Data[[#This Row],[Avg Price per (₹ / m³)]]=""),"",Market_Data[[#This Row],[Estimated Concrete Demand (m³)]]*Market_Data[[#This Row],[Avg Price per (₹ / m³)]]/10000000)</f>
        <v>13.02</v>
      </c>
      <c r="O2403" s="97" t="str">
        <f>IF(Market_Data[[#This Row],[Estimated Concrete Demand (m³)]]="","",
IF(Market_Data[[#This Row],[Estimated Concrete Demand (m³)]]&lt;10000,"Small",
IF(Market_Data[[#This Row],[Estimated Concrete Demand (m³)]]&lt;25000,"Medium",
IF(Market_Data[[#This Row],[Estimated Concrete Demand (m³)]]&lt;100000,"Large","Mega"))))</f>
        <v>Medium</v>
      </c>
      <c r="P2403" s="287" t="str">
        <f t="shared" si="39"/>
        <v>GujRERA</v>
      </c>
    </row>
    <row r="2404" spans="1:16">
      <c r="A2404" s="129" t="str">
        <f>_xlfn.XLOOKUP(B2404,$S$9:$S$14,$T$9:$T$14)&amp;"-"&amp;
IF(E2404="Residential/Group Housing","RES",
IF(E2404="Commercial","COM",
IF(E2404="Mixed Development","MIX",
IF(E2404="Plotted Development","PLT","OTH"))))
&amp;"-"&amp;TEXT(COUNTIFS($B$9:B2404,B2404,$E$9:E2404,E2404),"0000")</f>
        <v>SUR-MIX-0436</v>
      </c>
      <c r="B2404" s="322" t="s">
        <v>34</v>
      </c>
      <c r="C2404" s="322" t="s">
        <v>34</v>
      </c>
      <c r="D2404" s="323" t="s">
        <v>2593</v>
      </c>
      <c r="E2404" s="132" t="s">
        <v>25</v>
      </c>
      <c r="F2404" s="97" t="str">
        <f ca="1">IF(OR(Market_Data[[#This Row],[Start Date]]="",Market_Data[[#This Row],[Completion Date]]=""),"Needs Validation",IF(Market_Data[[#This Row],[Start Date]]&gt;TODAY(),"Planned",IF(Market_Data[[#This Row],[Completion Date]]&lt;TODAY(),"Completed","Ongoing")))</f>
        <v>Completed</v>
      </c>
      <c r="G2404" s="324">
        <v>43878</v>
      </c>
      <c r="H2404" s="324">
        <v>45838</v>
      </c>
      <c r="I2404" s="325">
        <v>7000</v>
      </c>
      <c r="J240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404" s="133">
        <f>_xlfn.XLOOKUP(Market_Data[[#This Row],[Project Type]],tbl_assumptions_market[Project Category (RERA)],tbl_assumptions_market[Concrete Intensity
(m³ / sq m BUA)],"",0)</f>
        <v>0.42</v>
      </c>
      <c r="L2404" s="134">
        <f>ROUND(Market_Data[[#This Row],[Estimated Built Up Area (sq m)]]*Market_Data[[#This Row],[Concrete Intensity
(m³ / sq m)]],0)</f>
        <v>2940</v>
      </c>
      <c r="M2404" s="135">
        <f>_xlfn.XLOOKUP(Market_Data[[#This Row],[District]],tbl_district_price[District],tbl_district_price[Standard Price
(INR/m³)],"",0)</f>
        <v>6200</v>
      </c>
      <c r="N2404" s="364">
        <f>IF(OR(Market_Data[[#This Row],[Estimated Concrete Demand (m³)]]="",Market_Data[[#This Row],[Avg Price per (₹ / m³)]]=""),"",Market_Data[[#This Row],[Estimated Concrete Demand (m³)]]*Market_Data[[#This Row],[Avg Price per (₹ / m³)]]/10000000)</f>
        <v>1.8228</v>
      </c>
      <c r="O2404" s="97" t="str">
        <f>IF(Market_Data[[#This Row],[Estimated Concrete Demand (m³)]]="","",
IF(Market_Data[[#This Row],[Estimated Concrete Demand (m³)]]&lt;10000,"Small",
IF(Market_Data[[#This Row],[Estimated Concrete Demand (m³)]]&lt;25000,"Medium",
IF(Market_Data[[#This Row],[Estimated Concrete Demand (m³)]]&lt;100000,"Large","Mega"))))</f>
        <v>Small</v>
      </c>
      <c r="P2404" s="287" t="str">
        <f t="shared" si="39"/>
        <v>GujRERA</v>
      </c>
    </row>
    <row r="2405" spans="1:16">
      <c r="A2405" s="129" t="str">
        <f>_xlfn.XLOOKUP(B2405,$S$9:$S$14,$T$9:$T$14)&amp;"-"&amp;
IF(E2405="Residential/Group Housing","RES",
IF(E2405="Commercial","COM",
IF(E2405="Mixed Development","MIX",
IF(E2405="Plotted Development","PLT","OTH"))))
&amp;"-"&amp;TEXT(COUNTIFS($B$9:B2405,B2405,$E$9:E2405,E2405),"0000")</f>
        <v>SUR-MIX-0437</v>
      </c>
      <c r="B2405" s="322" t="s">
        <v>34</v>
      </c>
      <c r="C2405" s="322" t="s">
        <v>34</v>
      </c>
      <c r="D2405" s="323" t="s">
        <v>2594</v>
      </c>
      <c r="E2405" s="132" t="s">
        <v>25</v>
      </c>
      <c r="F2405" s="97" t="str">
        <f ca="1">IF(OR(Market_Data[[#This Row],[Start Date]]="",Market_Data[[#This Row],[Completion Date]]=""),"Needs Validation",IF(Market_Data[[#This Row],[Start Date]]&gt;TODAY(),"Planned",IF(Market_Data[[#This Row],[Completion Date]]&lt;TODAY(),"Completed","Ongoing")))</f>
        <v>Ongoing</v>
      </c>
      <c r="G2405" s="324">
        <v>45497</v>
      </c>
      <c r="H2405" s="324">
        <v>46965</v>
      </c>
      <c r="I2405" s="325">
        <v>7300</v>
      </c>
      <c r="J240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405" s="133">
        <f>_xlfn.XLOOKUP(Market_Data[[#This Row],[Project Type]],tbl_assumptions_market[Project Category (RERA)],tbl_assumptions_market[Concrete Intensity
(m³ / sq m BUA)],"",0)</f>
        <v>0.42</v>
      </c>
      <c r="L2405" s="134">
        <f>ROUND(Market_Data[[#This Row],[Estimated Built Up Area (sq m)]]*Market_Data[[#This Row],[Concrete Intensity
(m³ / sq m)]],0)</f>
        <v>3066</v>
      </c>
      <c r="M2405" s="135">
        <f>_xlfn.XLOOKUP(Market_Data[[#This Row],[District]],tbl_district_price[District],tbl_district_price[Standard Price
(INR/m³)],"",0)</f>
        <v>6200</v>
      </c>
      <c r="N2405" s="364">
        <f>IF(OR(Market_Data[[#This Row],[Estimated Concrete Demand (m³)]]="",Market_Data[[#This Row],[Avg Price per (₹ / m³)]]=""),"",Market_Data[[#This Row],[Estimated Concrete Demand (m³)]]*Market_Data[[#This Row],[Avg Price per (₹ / m³)]]/10000000)</f>
        <v>1.9009199999999999</v>
      </c>
      <c r="O2405" s="97" t="str">
        <f>IF(Market_Data[[#This Row],[Estimated Concrete Demand (m³)]]="","",
IF(Market_Data[[#This Row],[Estimated Concrete Demand (m³)]]&lt;10000,"Small",
IF(Market_Data[[#This Row],[Estimated Concrete Demand (m³)]]&lt;25000,"Medium",
IF(Market_Data[[#This Row],[Estimated Concrete Demand (m³)]]&lt;100000,"Large","Mega"))))</f>
        <v>Small</v>
      </c>
      <c r="P2405" s="287" t="str">
        <f t="shared" si="39"/>
        <v>GujRERA</v>
      </c>
    </row>
    <row r="2406" spans="1:16">
      <c r="A2406" s="129" t="str">
        <f>_xlfn.XLOOKUP(B2406,$S$9:$S$14,$T$9:$T$14)&amp;"-"&amp;
IF(E2406="Residential/Group Housing","RES",
IF(E2406="Commercial","COM",
IF(E2406="Mixed Development","MIX",
IF(E2406="Plotted Development","PLT","OTH"))))
&amp;"-"&amp;TEXT(COUNTIFS($B$9:B2406,B2406,$E$9:E2406,E2406),"0000")</f>
        <v>SUR-MIX-0438</v>
      </c>
      <c r="B2406" s="322" t="s">
        <v>34</v>
      </c>
      <c r="C2406" s="322" t="s">
        <v>34</v>
      </c>
      <c r="D2406" s="323" t="s">
        <v>2595</v>
      </c>
      <c r="E2406" s="132" t="s">
        <v>25</v>
      </c>
      <c r="F2406" s="97" t="str">
        <f ca="1">IF(OR(Market_Data[[#This Row],[Start Date]]="",Market_Data[[#This Row],[Completion Date]]=""),"Needs Validation",IF(Market_Data[[#This Row],[Start Date]]&gt;TODAY(),"Planned",IF(Market_Data[[#This Row],[Completion Date]]&lt;TODAY(),"Completed","Ongoing")))</f>
        <v>Ongoing</v>
      </c>
      <c r="G2406" s="324">
        <v>45394</v>
      </c>
      <c r="H2406" s="324">
        <v>46752</v>
      </c>
      <c r="I2406" s="325">
        <v>52100</v>
      </c>
      <c r="J240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06" s="133">
        <f>_xlfn.XLOOKUP(Market_Data[[#This Row],[Project Type]],tbl_assumptions_market[Project Category (RERA)],tbl_assumptions_market[Concrete Intensity
(m³ / sq m BUA)],"",0)</f>
        <v>0.42</v>
      </c>
      <c r="L2406" s="134">
        <f>ROUND(Market_Data[[#This Row],[Estimated Built Up Area (sq m)]]*Market_Data[[#This Row],[Concrete Intensity
(m³ / sq m)]],0)</f>
        <v>21882</v>
      </c>
      <c r="M2406" s="135">
        <f>_xlfn.XLOOKUP(Market_Data[[#This Row],[District]],tbl_district_price[District],tbl_district_price[Standard Price
(INR/m³)],"",0)</f>
        <v>6200</v>
      </c>
      <c r="N2406" s="364">
        <f>IF(OR(Market_Data[[#This Row],[Estimated Concrete Demand (m³)]]="",Market_Data[[#This Row],[Avg Price per (₹ / m³)]]=""),"",Market_Data[[#This Row],[Estimated Concrete Demand (m³)]]*Market_Data[[#This Row],[Avg Price per (₹ / m³)]]/10000000)</f>
        <v>13.566839999999999</v>
      </c>
      <c r="O2406" s="97" t="str">
        <f>IF(Market_Data[[#This Row],[Estimated Concrete Demand (m³)]]="","",
IF(Market_Data[[#This Row],[Estimated Concrete Demand (m³)]]&lt;10000,"Small",
IF(Market_Data[[#This Row],[Estimated Concrete Demand (m³)]]&lt;25000,"Medium",
IF(Market_Data[[#This Row],[Estimated Concrete Demand (m³)]]&lt;100000,"Large","Mega"))))</f>
        <v>Medium</v>
      </c>
      <c r="P2406" s="287" t="str">
        <f t="shared" si="39"/>
        <v>GujRERA</v>
      </c>
    </row>
    <row r="2407" spans="1:16">
      <c r="A2407" s="129" t="str">
        <f>_xlfn.XLOOKUP(B2407,$S$9:$S$14,$T$9:$T$14)&amp;"-"&amp;
IF(E2407="Residential/Group Housing","RES",
IF(E2407="Commercial","COM",
IF(E2407="Mixed Development","MIX",
IF(E2407="Plotted Development","PLT","OTH"))))
&amp;"-"&amp;TEXT(COUNTIFS($B$9:B2407,B2407,$E$9:E2407,E2407),"0000")</f>
        <v>SUR-COM-0382</v>
      </c>
      <c r="B2407" s="322" t="s">
        <v>34</v>
      </c>
      <c r="C2407" s="322" t="s">
        <v>34</v>
      </c>
      <c r="D2407" s="323" t="s">
        <v>2596</v>
      </c>
      <c r="E2407" s="132" t="s">
        <v>23</v>
      </c>
      <c r="F2407" s="97" t="str">
        <f ca="1">IF(OR(Market_Data[[#This Row],[Start Date]]="",Market_Data[[#This Row],[Completion Date]]=""),"Needs Validation",IF(Market_Data[[#This Row],[Start Date]]&gt;TODAY(),"Planned",IF(Market_Data[[#This Row],[Completion Date]]&lt;TODAY(),"Completed","Ongoing")))</f>
        <v>Ongoing</v>
      </c>
      <c r="G2407" s="324">
        <v>45575</v>
      </c>
      <c r="H2407" s="324">
        <v>47118</v>
      </c>
      <c r="I2407" s="325">
        <v>7500</v>
      </c>
      <c r="J240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07" s="133">
        <f>_xlfn.XLOOKUP(Market_Data[[#This Row],[Project Type]],tbl_assumptions_market[Project Category (RERA)],tbl_assumptions_market[Concrete Intensity
(m³ / sq m BUA)],"",0)</f>
        <v>0.5</v>
      </c>
      <c r="L2407" s="134">
        <f>ROUND(Market_Data[[#This Row],[Estimated Built Up Area (sq m)]]*Market_Data[[#This Row],[Concrete Intensity
(m³ / sq m)]],0)</f>
        <v>3750</v>
      </c>
      <c r="M2407" s="135">
        <f>_xlfn.XLOOKUP(Market_Data[[#This Row],[District]],tbl_district_price[District],tbl_district_price[Standard Price
(INR/m³)],"",0)</f>
        <v>6200</v>
      </c>
      <c r="N2407" s="364">
        <f>IF(OR(Market_Data[[#This Row],[Estimated Concrete Demand (m³)]]="",Market_Data[[#This Row],[Avg Price per (₹ / m³)]]=""),"",Market_Data[[#This Row],[Estimated Concrete Demand (m³)]]*Market_Data[[#This Row],[Avg Price per (₹ / m³)]]/10000000)</f>
        <v>2.3250000000000002</v>
      </c>
      <c r="O2407" s="97" t="str">
        <f>IF(Market_Data[[#This Row],[Estimated Concrete Demand (m³)]]="","",
IF(Market_Data[[#This Row],[Estimated Concrete Demand (m³)]]&lt;10000,"Small",
IF(Market_Data[[#This Row],[Estimated Concrete Demand (m³)]]&lt;25000,"Medium",
IF(Market_Data[[#This Row],[Estimated Concrete Demand (m³)]]&lt;100000,"Large","Mega"))))</f>
        <v>Small</v>
      </c>
      <c r="P2407" s="287" t="str">
        <f t="shared" si="39"/>
        <v>GujRERA</v>
      </c>
    </row>
    <row r="2408" spans="1:16">
      <c r="A2408" s="129" t="str">
        <f>_xlfn.XLOOKUP(B2408,$S$9:$S$14,$T$9:$T$14)&amp;"-"&amp;
IF(E2408="Residential/Group Housing","RES",
IF(E2408="Commercial","COM",
IF(E2408="Mixed Development","MIX",
IF(E2408="Plotted Development","PLT","OTH"))))
&amp;"-"&amp;TEXT(COUNTIFS($B$9:B2408,B2408,$E$9:E2408,E2408),"0000")</f>
        <v>SUR-RES-0816</v>
      </c>
      <c r="B2408" s="322" t="s">
        <v>34</v>
      </c>
      <c r="C2408" s="322" t="s">
        <v>34</v>
      </c>
      <c r="D2408" s="323" t="s">
        <v>2597</v>
      </c>
      <c r="E2408" s="132" t="s">
        <v>24</v>
      </c>
      <c r="F2408" s="97" t="str">
        <f ca="1">IF(OR(Market_Data[[#This Row],[Start Date]]="",Market_Data[[#This Row],[Completion Date]]=""),"Needs Validation",IF(Market_Data[[#This Row],[Start Date]]&gt;TODAY(),"Planned",IF(Market_Data[[#This Row],[Completion Date]]&lt;TODAY(),"Completed","Ongoing")))</f>
        <v>Ongoing</v>
      </c>
      <c r="G2408" s="324">
        <v>45294</v>
      </c>
      <c r="H2408" s="324">
        <v>47118</v>
      </c>
      <c r="I2408" s="325">
        <v>4100</v>
      </c>
      <c r="J240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08" s="133">
        <f>_xlfn.XLOOKUP(Market_Data[[#This Row],[Project Type]],tbl_assumptions_market[Project Category (RERA)],tbl_assumptions_market[Concrete Intensity
(m³ / sq m BUA)],"",0)</f>
        <v>0.45</v>
      </c>
      <c r="L2408" s="134">
        <f>ROUND(Market_Data[[#This Row],[Estimated Built Up Area (sq m)]]*Market_Data[[#This Row],[Concrete Intensity
(m³ / sq m)]],0)</f>
        <v>1845</v>
      </c>
      <c r="M2408" s="135">
        <f>_xlfn.XLOOKUP(Market_Data[[#This Row],[District]],tbl_district_price[District],tbl_district_price[Standard Price
(INR/m³)],"",0)</f>
        <v>6200</v>
      </c>
      <c r="N2408" s="364">
        <f>IF(OR(Market_Data[[#This Row],[Estimated Concrete Demand (m³)]]="",Market_Data[[#This Row],[Avg Price per (₹ / m³)]]=""),"",Market_Data[[#This Row],[Estimated Concrete Demand (m³)]]*Market_Data[[#This Row],[Avg Price per (₹ / m³)]]/10000000)</f>
        <v>1.1438999999999999</v>
      </c>
      <c r="O2408" s="97" t="str">
        <f>IF(Market_Data[[#This Row],[Estimated Concrete Demand (m³)]]="","",
IF(Market_Data[[#This Row],[Estimated Concrete Demand (m³)]]&lt;10000,"Small",
IF(Market_Data[[#This Row],[Estimated Concrete Demand (m³)]]&lt;25000,"Medium",
IF(Market_Data[[#This Row],[Estimated Concrete Demand (m³)]]&lt;100000,"Large","Mega"))))</f>
        <v>Small</v>
      </c>
      <c r="P2408" s="287" t="str">
        <f t="shared" si="39"/>
        <v>GujRERA</v>
      </c>
    </row>
    <row r="2409" spans="1:16">
      <c r="A2409" s="129" t="str">
        <f>_xlfn.XLOOKUP(B2409,$S$9:$S$14,$T$9:$T$14)&amp;"-"&amp;
IF(E2409="Residential/Group Housing","RES",
IF(E2409="Commercial","COM",
IF(E2409="Mixed Development","MIX",
IF(E2409="Plotted Development","PLT","OTH"))))
&amp;"-"&amp;TEXT(COUNTIFS($B$9:B2409,B2409,$E$9:E2409,E2409),"0000")</f>
        <v>SUR-MIX-0439</v>
      </c>
      <c r="B2409" s="322" t="s">
        <v>34</v>
      </c>
      <c r="C2409" s="322" t="s">
        <v>34</v>
      </c>
      <c r="D2409" s="323" t="s">
        <v>2598</v>
      </c>
      <c r="E2409" s="132" t="s">
        <v>25</v>
      </c>
      <c r="F2409" s="97" t="str">
        <f ca="1">IF(OR(Market_Data[[#This Row],[Start Date]]="",Market_Data[[#This Row],[Completion Date]]=""),"Needs Validation",IF(Market_Data[[#This Row],[Start Date]]&gt;TODAY(),"Planned",IF(Market_Data[[#This Row],[Completion Date]]&lt;TODAY(),"Completed","Ongoing")))</f>
        <v>Completed</v>
      </c>
      <c r="G2409" s="324">
        <v>41438</v>
      </c>
      <c r="H2409" s="324">
        <v>43921</v>
      </c>
      <c r="I2409" s="325">
        <v>21700</v>
      </c>
      <c r="J240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09" s="133">
        <f>_xlfn.XLOOKUP(Market_Data[[#This Row],[Project Type]],tbl_assumptions_market[Project Category (RERA)],tbl_assumptions_market[Concrete Intensity
(m³ / sq m BUA)],"",0)</f>
        <v>0.42</v>
      </c>
      <c r="L2409" s="134">
        <f>ROUND(Market_Data[[#This Row],[Estimated Built Up Area (sq m)]]*Market_Data[[#This Row],[Concrete Intensity
(m³ / sq m)]],0)</f>
        <v>9114</v>
      </c>
      <c r="M2409" s="135">
        <f>_xlfn.XLOOKUP(Market_Data[[#This Row],[District]],tbl_district_price[District],tbl_district_price[Standard Price
(INR/m³)],"",0)</f>
        <v>6200</v>
      </c>
      <c r="N2409" s="364">
        <f>IF(OR(Market_Data[[#This Row],[Estimated Concrete Demand (m³)]]="",Market_Data[[#This Row],[Avg Price per (₹ / m³)]]=""),"",Market_Data[[#This Row],[Estimated Concrete Demand (m³)]]*Market_Data[[#This Row],[Avg Price per (₹ / m³)]]/10000000)</f>
        <v>5.6506800000000004</v>
      </c>
      <c r="O2409" s="97" t="str">
        <f>IF(Market_Data[[#This Row],[Estimated Concrete Demand (m³)]]="","",
IF(Market_Data[[#This Row],[Estimated Concrete Demand (m³)]]&lt;10000,"Small",
IF(Market_Data[[#This Row],[Estimated Concrete Demand (m³)]]&lt;25000,"Medium",
IF(Market_Data[[#This Row],[Estimated Concrete Demand (m³)]]&lt;100000,"Large","Mega"))))</f>
        <v>Small</v>
      </c>
      <c r="P2409" s="287" t="str">
        <f t="shared" si="39"/>
        <v>GujRERA</v>
      </c>
    </row>
    <row r="2410" spans="1:16">
      <c r="A2410" s="129" t="str">
        <f>_xlfn.XLOOKUP(B2410,$S$9:$S$14,$T$9:$T$14)&amp;"-"&amp;
IF(E2410="Residential/Group Housing","RES",
IF(E2410="Commercial","COM",
IF(E2410="Mixed Development","MIX",
IF(E2410="Plotted Development","PLT","OTH"))))
&amp;"-"&amp;TEXT(COUNTIFS($B$9:B2410,B2410,$E$9:E2410,E2410),"0000")</f>
        <v>SUR-MIX-0440</v>
      </c>
      <c r="B2410" s="322" t="s">
        <v>34</v>
      </c>
      <c r="C2410" s="322" t="s">
        <v>34</v>
      </c>
      <c r="D2410" s="323" t="s">
        <v>2599</v>
      </c>
      <c r="E2410" s="132" t="s">
        <v>25</v>
      </c>
      <c r="F2410" s="97" t="str">
        <f ca="1">IF(OR(Market_Data[[#This Row],[Start Date]]="",Market_Data[[#This Row],[Completion Date]]=""),"Needs Validation",IF(Market_Data[[#This Row],[Start Date]]&gt;TODAY(),"Planned",IF(Market_Data[[#This Row],[Completion Date]]&lt;TODAY(),"Completed","Ongoing")))</f>
        <v>Completed</v>
      </c>
      <c r="G2410" s="324">
        <v>41613</v>
      </c>
      <c r="H2410" s="324">
        <v>43555</v>
      </c>
      <c r="I2410" s="325">
        <v>15100</v>
      </c>
      <c r="J241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10" s="133">
        <f>_xlfn.XLOOKUP(Market_Data[[#This Row],[Project Type]],tbl_assumptions_market[Project Category (RERA)],tbl_assumptions_market[Concrete Intensity
(m³ / sq m BUA)],"",0)</f>
        <v>0.42</v>
      </c>
      <c r="L2410" s="134">
        <f>ROUND(Market_Data[[#This Row],[Estimated Built Up Area (sq m)]]*Market_Data[[#This Row],[Concrete Intensity
(m³ / sq m)]],0)</f>
        <v>6342</v>
      </c>
      <c r="M2410" s="135">
        <f>_xlfn.XLOOKUP(Market_Data[[#This Row],[District]],tbl_district_price[District],tbl_district_price[Standard Price
(INR/m³)],"",0)</f>
        <v>6200</v>
      </c>
      <c r="N2410" s="364">
        <f>IF(OR(Market_Data[[#This Row],[Estimated Concrete Demand (m³)]]="",Market_Data[[#This Row],[Avg Price per (₹ / m³)]]=""),"",Market_Data[[#This Row],[Estimated Concrete Demand (m³)]]*Market_Data[[#This Row],[Avg Price per (₹ / m³)]]/10000000)</f>
        <v>3.9320400000000002</v>
      </c>
      <c r="O2410" s="97" t="str">
        <f>IF(Market_Data[[#This Row],[Estimated Concrete Demand (m³)]]="","",
IF(Market_Data[[#This Row],[Estimated Concrete Demand (m³)]]&lt;10000,"Small",
IF(Market_Data[[#This Row],[Estimated Concrete Demand (m³)]]&lt;25000,"Medium",
IF(Market_Data[[#This Row],[Estimated Concrete Demand (m³)]]&lt;100000,"Large","Mega"))))</f>
        <v>Small</v>
      </c>
      <c r="P2410" s="287" t="str">
        <f t="shared" si="39"/>
        <v>GujRERA</v>
      </c>
    </row>
    <row r="2411" spans="1:16">
      <c r="A2411" s="129" t="str">
        <f>_xlfn.XLOOKUP(B2411,$S$9:$S$14,$T$9:$T$14)&amp;"-"&amp;
IF(E2411="Residential/Group Housing","RES",
IF(E2411="Commercial","COM",
IF(E2411="Mixed Development","MIX",
IF(E2411="Plotted Development","PLT","OTH"))))
&amp;"-"&amp;TEXT(COUNTIFS($B$9:B2411,B2411,$E$9:E2411,E2411),"0000")</f>
        <v>SUR-MIX-0441</v>
      </c>
      <c r="B2411" s="322" t="s">
        <v>34</v>
      </c>
      <c r="C2411" s="322" t="s">
        <v>34</v>
      </c>
      <c r="D2411" s="323" t="s">
        <v>2600</v>
      </c>
      <c r="E2411" s="132" t="s">
        <v>25</v>
      </c>
      <c r="F2411" s="97" t="str">
        <f ca="1">IF(OR(Market_Data[[#This Row],[Start Date]]="",Market_Data[[#This Row],[Completion Date]]=""),"Needs Validation",IF(Market_Data[[#This Row],[Start Date]]&gt;TODAY(),"Planned",IF(Market_Data[[#This Row],[Completion Date]]&lt;TODAY(),"Completed","Ongoing")))</f>
        <v>Completed</v>
      </c>
      <c r="G2411" s="324">
        <v>43580</v>
      </c>
      <c r="H2411" s="324">
        <v>46203</v>
      </c>
      <c r="I2411" s="325">
        <v>18800</v>
      </c>
      <c r="J241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11" s="133">
        <f>_xlfn.XLOOKUP(Market_Data[[#This Row],[Project Type]],tbl_assumptions_market[Project Category (RERA)],tbl_assumptions_market[Concrete Intensity
(m³ / sq m BUA)],"",0)</f>
        <v>0.42</v>
      </c>
      <c r="L2411" s="134">
        <f>ROUND(Market_Data[[#This Row],[Estimated Built Up Area (sq m)]]*Market_Data[[#This Row],[Concrete Intensity
(m³ / sq m)]],0)</f>
        <v>7896</v>
      </c>
      <c r="M2411" s="135">
        <f>_xlfn.XLOOKUP(Market_Data[[#This Row],[District]],tbl_district_price[District],tbl_district_price[Standard Price
(INR/m³)],"",0)</f>
        <v>6200</v>
      </c>
      <c r="N2411" s="364">
        <f>IF(OR(Market_Data[[#This Row],[Estimated Concrete Demand (m³)]]="",Market_Data[[#This Row],[Avg Price per (₹ / m³)]]=""),"",Market_Data[[#This Row],[Estimated Concrete Demand (m³)]]*Market_Data[[#This Row],[Avg Price per (₹ / m³)]]/10000000)</f>
        <v>4.8955200000000003</v>
      </c>
      <c r="O2411" s="97" t="str">
        <f>IF(Market_Data[[#This Row],[Estimated Concrete Demand (m³)]]="","",
IF(Market_Data[[#This Row],[Estimated Concrete Demand (m³)]]&lt;10000,"Small",
IF(Market_Data[[#This Row],[Estimated Concrete Demand (m³)]]&lt;25000,"Medium",
IF(Market_Data[[#This Row],[Estimated Concrete Demand (m³)]]&lt;100000,"Large","Mega"))))</f>
        <v>Small</v>
      </c>
      <c r="P2411" s="287" t="str">
        <f t="shared" si="39"/>
        <v>GujRERA</v>
      </c>
    </row>
    <row r="2412" spans="1:16">
      <c r="A2412" s="129" t="str">
        <f>_xlfn.XLOOKUP(B2412,$S$9:$S$14,$T$9:$T$14)&amp;"-"&amp;
IF(E2412="Residential/Group Housing","RES",
IF(E2412="Commercial","COM",
IF(E2412="Mixed Development","MIX",
IF(E2412="Plotted Development","PLT","OTH"))))
&amp;"-"&amp;TEXT(COUNTIFS($B$9:B2412,B2412,$E$9:E2412,E2412),"0000")</f>
        <v>SUR-MIX-0442</v>
      </c>
      <c r="B2412" s="322" t="s">
        <v>34</v>
      </c>
      <c r="C2412" s="322" t="s">
        <v>34</v>
      </c>
      <c r="D2412" s="323" t="s">
        <v>2601</v>
      </c>
      <c r="E2412" s="132" t="s">
        <v>25</v>
      </c>
      <c r="F2412" s="97" t="str">
        <f ca="1">IF(OR(Market_Data[[#This Row],[Start Date]]="",Market_Data[[#This Row],[Completion Date]]=""),"Needs Validation",IF(Market_Data[[#This Row],[Start Date]]&gt;TODAY(),"Planned",IF(Market_Data[[#This Row],[Completion Date]]&lt;TODAY(),"Completed","Ongoing")))</f>
        <v>Completed</v>
      </c>
      <c r="G2412" s="324">
        <v>42452</v>
      </c>
      <c r="H2412" s="324">
        <v>43921</v>
      </c>
      <c r="I2412" s="325">
        <v>40100</v>
      </c>
      <c r="J241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12" s="133">
        <f>_xlfn.XLOOKUP(Market_Data[[#This Row],[Project Type]],tbl_assumptions_market[Project Category (RERA)],tbl_assumptions_market[Concrete Intensity
(m³ / sq m BUA)],"",0)</f>
        <v>0.42</v>
      </c>
      <c r="L2412" s="134">
        <f>ROUND(Market_Data[[#This Row],[Estimated Built Up Area (sq m)]]*Market_Data[[#This Row],[Concrete Intensity
(m³ / sq m)]],0)</f>
        <v>16842</v>
      </c>
      <c r="M2412" s="135">
        <f>_xlfn.XLOOKUP(Market_Data[[#This Row],[District]],tbl_district_price[District],tbl_district_price[Standard Price
(INR/m³)],"",0)</f>
        <v>6200</v>
      </c>
      <c r="N2412" s="364">
        <f>IF(OR(Market_Data[[#This Row],[Estimated Concrete Demand (m³)]]="",Market_Data[[#This Row],[Avg Price per (₹ / m³)]]=""),"",Market_Data[[#This Row],[Estimated Concrete Demand (m³)]]*Market_Data[[#This Row],[Avg Price per (₹ / m³)]]/10000000)</f>
        <v>10.44204</v>
      </c>
      <c r="O2412" s="97" t="str">
        <f>IF(Market_Data[[#This Row],[Estimated Concrete Demand (m³)]]="","",
IF(Market_Data[[#This Row],[Estimated Concrete Demand (m³)]]&lt;10000,"Small",
IF(Market_Data[[#This Row],[Estimated Concrete Demand (m³)]]&lt;25000,"Medium",
IF(Market_Data[[#This Row],[Estimated Concrete Demand (m³)]]&lt;100000,"Large","Mega"))))</f>
        <v>Medium</v>
      </c>
      <c r="P2412" s="287" t="str">
        <f t="shared" si="39"/>
        <v>GujRERA</v>
      </c>
    </row>
    <row r="2413" spans="1:16">
      <c r="A2413" s="129" t="str">
        <f>_xlfn.XLOOKUP(B2413,$S$9:$S$14,$T$9:$T$14)&amp;"-"&amp;
IF(E2413="Residential/Group Housing","RES",
IF(E2413="Commercial","COM",
IF(E2413="Mixed Development","MIX",
IF(E2413="Plotted Development","PLT","OTH"))))
&amp;"-"&amp;TEXT(COUNTIFS($B$9:B2413,B2413,$E$9:E2413,E2413),"0000")</f>
        <v>SUR-COM-0383</v>
      </c>
      <c r="B2413" s="322" t="s">
        <v>34</v>
      </c>
      <c r="C2413" s="322" t="s">
        <v>34</v>
      </c>
      <c r="D2413" s="323" t="s">
        <v>2602</v>
      </c>
      <c r="E2413" s="132" t="s">
        <v>23</v>
      </c>
      <c r="F2413" s="97" t="str">
        <f ca="1">IF(OR(Market_Data[[#This Row],[Start Date]]="",Market_Data[[#This Row],[Completion Date]]=""),"Needs Validation",IF(Market_Data[[#This Row],[Start Date]]&gt;TODAY(),"Planned",IF(Market_Data[[#This Row],[Completion Date]]&lt;TODAY(),"Completed","Ongoing")))</f>
        <v>Completed</v>
      </c>
      <c r="G2413" s="324">
        <v>42719</v>
      </c>
      <c r="H2413" s="324">
        <v>44834</v>
      </c>
      <c r="I2413" s="325">
        <v>82200</v>
      </c>
      <c r="J241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413" s="133">
        <f>_xlfn.XLOOKUP(Market_Data[[#This Row],[Project Type]],tbl_assumptions_market[Project Category (RERA)],tbl_assumptions_market[Concrete Intensity
(m³ / sq m BUA)],"",0)</f>
        <v>0.5</v>
      </c>
      <c r="L2413" s="134">
        <f>ROUND(Market_Data[[#This Row],[Estimated Built Up Area (sq m)]]*Market_Data[[#This Row],[Concrete Intensity
(m³ / sq m)]],0)</f>
        <v>41100</v>
      </c>
      <c r="M2413" s="135">
        <f>_xlfn.XLOOKUP(Market_Data[[#This Row],[District]],tbl_district_price[District],tbl_district_price[Standard Price
(INR/m³)],"",0)</f>
        <v>6200</v>
      </c>
      <c r="N2413" s="364">
        <f>IF(OR(Market_Data[[#This Row],[Estimated Concrete Demand (m³)]]="",Market_Data[[#This Row],[Avg Price per (₹ / m³)]]=""),"",Market_Data[[#This Row],[Estimated Concrete Demand (m³)]]*Market_Data[[#This Row],[Avg Price per (₹ / m³)]]/10000000)</f>
        <v>25.481999999999999</v>
      </c>
      <c r="O2413" s="97" t="str">
        <f>IF(Market_Data[[#This Row],[Estimated Concrete Demand (m³)]]="","",
IF(Market_Data[[#This Row],[Estimated Concrete Demand (m³)]]&lt;10000,"Small",
IF(Market_Data[[#This Row],[Estimated Concrete Demand (m³)]]&lt;25000,"Medium",
IF(Market_Data[[#This Row],[Estimated Concrete Demand (m³)]]&lt;100000,"Large","Mega"))))</f>
        <v>Large</v>
      </c>
      <c r="P2413" s="287" t="str">
        <f t="shared" si="39"/>
        <v>GujRERA</v>
      </c>
    </row>
    <row r="2414" spans="1:16">
      <c r="A2414" s="129" t="str">
        <f>_xlfn.XLOOKUP(B2414,$S$9:$S$14,$T$9:$T$14)&amp;"-"&amp;
IF(E2414="Residential/Group Housing","RES",
IF(E2414="Commercial","COM",
IF(E2414="Mixed Development","MIX",
IF(E2414="Plotted Development","PLT","OTH"))))
&amp;"-"&amp;TEXT(COUNTIFS($B$9:B2414,B2414,$E$9:E2414,E2414),"0000")</f>
        <v>SUR-COM-0384</v>
      </c>
      <c r="B2414" s="322" t="s">
        <v>34</v>
      </c>
      <c r="C2414" s="322" t="s">
        <v>34</v>
      </c>
      <c r="D2414" s="323" t="s">
        <v>2603</v>
      </c>
      <c r="E2414" s="132" t="s">
        <v>23</v>
      </c>
      <c r="F2414" s="97" t="str">
        <f ca="1">IF(OR(Market_Data[[#This Row],[Start Date]]="",Market_Data[[#This Row],[Completion Date]]=""),"Needs Validation",IF(Market_Data[[#This Row],[Start Date]]&gt;TODAY(),"Planned",IF(Market_Data[[#This Row],[Completion Date]]&lt;TODAY(),"Completed","Ongoing")))</f>
        <v>Completed</v>
      </c>
      <c r="G2414" s="324">
        <v>40289</v>
      </c>
      <c r="H2414" s="324">
        <v>44377</v>
      </c>
      <c r="I2414" s="325">
        <v>14600</v>
      </c>
      <c r="J241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14" s="133">
        <f>_xlfn.XLOOKUP(Market_Data[[#This Row],[Project Type]],tbl_assumptions_market[Project Category (RERA)],tbl_assumptions_market[Concrete Intensity
(m³ / sq m BUA)],"",0)</f>
        <v>0.5</v>
      </c>
      <c r="L2414" s="134">
        <f>ROUND(Market_Data[[#This Row],[Estimated Built Up Area (sq m)]]*Market_Data[[#This Row],[Concrete Intensity
(m³ / sq m)]],0)</f>
        <v>7300</v>
      </c>
      <c r="M2414" s="135">
        <f>_xlfn.XLOOKUP(Market_Data[[#This Row],[District]],tbl_district_price[District],tbl_district_price[Standard Price
(INR/m³)],"",0)</f>
        <v>6200</v>
      </c>
      <c r="N2414" s="364">
        <f>IF(OR(Market_Data[[#This Row],[Estimated Concrete Demand (m³)]]="",Market_Data[[#This Row],[Avg Price per (₹ / m³)]]=""),"",Market_Data[[#This Row],[Estimated Concrete Demand (m³)]]*Market_Data[[#This Row],[Avg Price per (₹ / m³)]]/10000000)</f>
        <v>4.5259999999999998</v>
      </c>
      <c r="O2414" s="97" t="str">
        <f>IF(Market_Data[[#This Row],[Estimated Concrete Demand (m³)]]="","",
IF(Market_Data[[#This Row],[Estimated Concrete Demand (m³)]]&lt;10000,"Small",
IF(Market_Data[[#This Row],[Estimated Concrete Demand (m³)]]&lt;25000,"Medium",
IF(Market_Data[[#This Row],[Estimated Concrete Demand (m³)]]&lt;100000,"Large","Mega"))))</f>
        <v>Small</v>
      </c>
      <c r="P2414" s="287" t="str">
        <f t="shared" si="39"/>
        <v>GujRERA</v>
      </c>
    </row>
    <row r="2415" spans="1:16">
      <c r="A2415" s="129" t="str">
        <f>_xlfn.XLOOKUP(B2415,$S$9:$S$14,$T$9:$T$14)&amp;"-"&amp;
IF(E2415="Residential/Group Housing","RES",
IF(E2415="Commercial","COM",
IF(E2415="Mixed Development","MIX",
IF(E2415="Plotted Development","PLT","OTH"))))
&amp;"-"&amp;TEXT(COUNTIFS($B$9:B2415,B2415,$E$9:E2415,E2415),"0000")</f>
        <v>SUR-PLT-0455</v>
      </c>
      <c r="B2415" s="322" t="s">
        <v>34</v>
      </c>
      <c r="C2415" s="322" t="s">
        <v>34</v>
      </c>
      <c r="D2415" s="323" t="s">
        <v>2604</v>
      </c>
      <c r="E2415" s="132" t="s">
        <v>26</v>
      </c>
      <c r="F2415" s="97" t="str">
        <f ca="1">IF(OR(Market_Data[[#This Row],[Start Date]]="",Market_Data[[#This Row],[Completion Date]]=""),"Needs Validation",IF(Market_Data[[#This Row],[Start Date]]&gt;TODAY(),"Planned",IF(Market_Data[[#This Row],[Completion Date]]&lt;TODAY(),"Completed","Ongoing")))</f>
        <v>Completed</v>
      </c>
      <c r="G2415" s="324">
        <v>42856</v>
      </c>
      <c r="H2415" s="324">
        <v>44280</v>
      </c>
      <c r="I2415" s="325">
        <v>23700</v>
      </c>
      <c r="J241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15" s="133">
        <f>_xlfn.XLOOKUP(Market_Data[[#This Row],[Project Type]],tbl_assumptions_market[Project Category (RERA)],tbl_assumptions_market[Concrete Intensity
(m³ / sq m BUA)],"",0)</f>
        <v>0.18</v>
      </c>
      <c r="L2415" s="134">
        <f>ROUND(Market_Data[[#This Row],[Estimated Built Up Area (sq m)]]*Market_Data[[#This Row],[Concrete Intensity
(m³ / sq m)]],0)</f>
        <v>4266</v>
      </c>
      <c r="M2415" s="135">
        <f>_xlfn.XLOOKUP(Market_Data[[#This Row],[District]],tbl_district_price[District],tbl_district_price[Standard Price
(INR/m³)],"",0)</f>
        <v>6200</v>
      </c>
      <c r="N2415" s="364">
        <f>IF(OR(Market_Data[[#This Row],[Estimated Concrete Demand (m³)]]="",Market_Data[[#This Row],[Avg Price per (₹ / m³)]]=""),"",Market_Data[[#This Row],[Estimated Concrete Demand (m³)]]*Market_Data[[#This Row],[Avg Price per (₹ / m³)]]/10000000)</f>
        <v>2.6449199999999999</v>
      </c>
      <c r="O2415" s="97" t="str">
        <f>IF(Market_Data[[#This Row],[Estimated Concrete Demand (m³)]]="","",
IF(Market_Data[[#This Row],[Estimated Concrete Demand (m³)]]&lt;10000,"Small",
IF(Market_Data[[#This Row],[Estimated Concrete Demand (m³)]]&lt;25000,"Medium",
IF(Market_Data[[#This Row],[Estimated Concrete Demand (m³)]]&lt;100000,"Large","Mega"))))</f>
        <v>Small</v>
      </c>
      <c r="P2415" s="287" t="str">
        <f t="shared" si="39"/>
        <v>GujRERA</v>
      </c>
    </row>
    <row r="2416" spans="1:16">
      <c r="A2416" s="129" t="str">
        <f>_xlfn.XLOOKUP(B2416,$S$9:$S$14,$T$9:$T$14)&amp;"-"&amp;
IF(E2416="Residential/Group Housing","RES",
IF(E2416="Commercial","COM",
IF(E2416="Mixed Development","MIX",
IF(E2416="Plotted Development","PLT","OTH"))))
&amp;"-"&amp;TEXT(COUNTIFS($B$9:B2416,B2416,$E$9:E2416,E2416),"0000")</f>
        <v>SUR-PLT-0456</v>
      </c>
      <c r="B2416" s="322" t="s">
        <v>34</v>
      </c>
      <c r="C2416" s="322" t="s">
        <v>34</v>
      </c>
      <c r="D2416" s="323" t="s">
        <v>2605</v>
      </c>
      <c r="E2416" s="132" t="s">
        <v>26</v>
      </c>
      <c r="F2416" s="97" t="str">
        <f ca="1">IF(OR(Market_Data[[#This Row],[Start Date]]="",Market_Data[[#This Row],[Completion Date]]=""),"Needs Validation",IF(Market_Data[[#This Row],[Start Date]]&gt;TODAY(),"Planned",IF(Market_Data[[#This Row],[Completion Date]]&lt;TODAY(),"Completed","Ongoing")))</f>
        <v>Ongoing</v>
      </c>
      <c r="G2416" s="324">
        <v>45667</v>
      </c>
      <c r="H2416" s="324">
        <v>46387</v>
      </c>
      <c r="I2416" s="325">
        <v>56900</v>
      </c>
      <c r="J241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416" s="133">
        <f>_xlfn.XLOOKUP(Market_Data[[#This Row],[Project Type]],tbl_assumptions_market[Project Category (RERA)],tbl_assumptions_market[Concrete Intensity
(m³ / sq m BUA)],"",0)</f>
        <v>0.18</v>
      </c>
      <c r="L2416" s="134">
        <f>ROUND(Market_Data[[#This Row],[Estimated Built Up Area (sq m)]]*Market_Data[[#This Row],[Concrete Intensity
(m³ / sq m)]],0)</f>
        <v>10242</v>
      </c>
      <c r="M2416" s="135">
        <f>_xlfn.XLOOKUP(Market_Data[[#This Row],[District]],tbl_district_price[District],tbl_district_price[Standard Price
(INR/m³)],"",0)</f>
        <v>6200</v>
      </c>
      <c r="N2416" s="364">
        <f>IF(OR(Market_Data[[#This Row],[Estimated Concrete Demand (m³)]]="",Market_Data[[#This Row],[Avg Price per (₹ / m³)]]=""),"",Market_Data[[#This Row],[Estimated Concrete Demand (m³)]]*Market_Data[[#This Row],[Avg Price per (₹ / m³)]]/10000000)</f>
        <v>6.3500399999999999</v>
      </c>
      <c r="O2416" s="97" t="str">
        <f>IF(Market_Data[[#This Row],[Estimated Concrete Demand (m³)]]="","",
IF(Market_Data[[#This Row],[Estimated Concrete Demand (m³)]]&lt;10000,"Small",
IF(Market_Data[[#This Row],[Estimated Concrete Demand (m³)]]&lt;25000,"Medium",
IF(Market_Data[[#This Row],[Estimated Concrete Demand (m³)]]&lt;100000,"Large","Mega"))))</f>
        <v>Medium</v>
      </c>
      <c r="P2416" s="287" t="str">
        <f t="shared" si="39"/>
        <v>GujRERA</v>
      </c>
    </row>
    <row r="2417" spans="1:16">
      <c r="A2417" s="129" t="str">
        <f>_xlfn.XLOOKUP(B2417,$S$9:$S$14,$T$9:$T$14)&amp;"-"&amp;
IF(E2417="Residential/Group Housing","RES",
IF(E2417="Commercial","COM",
IF(E2417="Mixed Development","MIX",
IF(E2417="Plotted Development","PLT","OTH"))))
&amp;"-"&amp;TEXT(COUNTIFS($B$9:B2417,B2417,$E$9:E2417,E2417),"0000")</f>
        <v>SUR-COM-0385</v>
      </c>
      <c r="B2417" s="322" t="s">
        <v>34</v>
      </c>
      <c r="C2417" s="322" t="s">
        <v>34</v>
      </c>
      <c r="D2417" s="323" t="s">
        <v>2606</v>
      </c>
      <c r="E2417" s="132" t="s">
        <v>23</v>
      </c>
      <c r="F2417" s="97" t="str">
        <f ca="1">IF(OR(Market_Data[[#This Row],[Start Date]]="",Market_Data[[#This Row],[Completion Date]]=""),"Needs Validation",IF(Market_Data[[#This Row],[Start Date]]&gt;TODAY(),"Planned",IF(Market_Data[[#This Row],[Completion Date]]&lt;TODAY(),"Completed","Ongoing")))</f>
        <v>Ongoing</v>
      </c>
      <c r="G2417" s="324">
        <v>45261</v>
      </c>
      <c r="H2417" s="324">
        <v>46477</v>
      </c>
      <c r="I2417" s="325">
        <v>11000</v>
      </c>
      <c r="J241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17" s="133">
        <f>_xlfn.XLOOKUP(Market_Data[[#This Row],[Project Type]],tbl_assumptions_market[Project Category (RERA)],tbl_assumptions_market[Concrete Intensity
(m³ / sq m BUA)],"",0)</f>
        <v>0.5</v>
      </c>
      <c r="L2417" s="134">
        <f>ROUND(Market_Data[[#This Row],[Estimated Built Up Area (sq m)]]*Market_Data[[#This Row],[Concrete Intensity
(m³ / sq m)]],0)</f>
        <v>5500</v>
      </c>
      <c r="M2417" s="135">
        <f>_xlfn.XLOOKUP(Market_Data[[#This Row],[District]],tbl_district_price[District],tbl_district_price[Standard Price
(INR/m³)],"",0)</f>
        <v>6200</v>
      </c>
      <c r="N2417" s="364">
        <f>IF(OR(Market_Data[[#This Row],[Estimated Concrete Demand (m³)]]="",Market_Data[[#This Row],[Avg Price per (₹ / m³)]]=""),"",Market_Data[[#This Row],[Estimated Concrete Demand (m³)]]*Market_Data[[#This Row],[Avg Price per (₹ / m³)]]/10000000)</f>
        <v>3.41</v>
      </c>
      <c r="O2417" s="97" t="str">
        <f>IF(Market_Data[[#This Row],[Estimated Concrete Demand (m³)]]="","",
IF(Market_Data[[#This Row],[Estimated Concrete Demand (m³)]]&lt;10000,"Small",
IF(Market_Data[[#This Row],[Estimated Concrete Demand (m³)]]&lt;25000,"Medium",
IF(Market_Data[[#This Row],[Estimated Concrete Demand (m³)]]&lt;100000,"Large","Mega"))))</f>
        <v>Small</v>
      </c>
      <c r="P2417" s="287" t="str">
        <f t="shared" si="39"/>
        <v>GujRERA</v>
      </c>
    </row>
    <row r="2418" spans="1:16">
      <c r="A2418" s="129" t="str">
        <f>_xlfn.XLOOKUP(B2418,$S$9:$S$14,$T$9:$T$14)&amp;"-"&amp;
IF(E2418="Residential/Group Housing","RES",
IF(E2418="Commercial","COM",
IF(E2418="Mixed Development","MIX",
IF(E2418="Plotted Development","PLT","OTH"))))
&amp;"-"&amp;TEXT(COUNTIFS($B$9:B2418,B2418,$E$9:E2418,E2418),"0000")</f>
        <v>SUR-RES-0817</v>
      </c>
      <c r="B2418" s="322" t="s">
        <v>34</v>
      </c>
      <c r="C2418" s="322" t="s">
        <v>34</v>
      </c>
      <c r="D2418" s="323" t="s">
        <v>2607</v>
      </c>
      <c r="E2418" s="132" t="s">
        <v>24</v>
      </c>
      <c r="F2418" s="97" t="str">
        <f ca="1">IF(OR(Market_Data[[#This Row],[Start Date]]="",Market_Data[[#This Row],[Completion Date]]=""),"Needs Validation",IF(Market_Data[[#This Row],[Start Date]]&gt;TODAY(),"Planned",IF(Market_Data[[#This Row],[Completion Date]]&lt;TODAY(),"Completed","Ongoing")))</f>
        <v>Completed</v>
      </c>
      <c r="G2418" s="324">
        <v>44459</v>
      </c>
      <c r="H2418" s="324">
        <v>46022</v>
      </c>
      <c r="I2418" s="325">
        <v>26300</v>
      </c>
      <c r="J241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18" s="133">
        <f>_xlfn.XLOOKUP(Market_Data[[#This Row],[Project Type]],tbl_assumptions_market[Project Category (RERA)],tbl_assumptions_market[Concrete Intensity
(m³ / sq m BUA)],"",0)</f>
        <v>0.45</v>
      </c>
      <c r="L2418" s="134">
        <f>ROUND(Market_Data[[#This Row],[Estimated Built Up Area (sq m)]]*Market_Data[[#This Row],[Concrete Intensity
(m³ / sq m)]],0)</f>
        <v>11835</v>
      </c>
      <c r="M2418" s="135">
        <f>_xlfn.XLOOKUP(Market_Data[[#This Row],[District]],tbl_district_price[District],tbl_district_price[Standard Price
(INR/m³)],"",0)</f>
        <v>6200</v>
      </c>
      <c r="N2418" s="364">
        <f>IF(OR(Market_Data[[#This Row],[Estimated Concrete Demand (m³)]]="",Market_Data[[#This Row],[Avg Price per (₹ / m³)]]=""),"",Market_Data[[#This Row],[Estimated Concrete Demand (m³)]]*Market_Data[[#This Row],[Avg Price per (₹ / m³)]]/10000000)</f>
        <v>7.3376999999999999</v>
      </c>
      <c r="O2418" s="97" t="str">
        <f>IF(Market_Data[[#This Row],[Estimated Concrete Demand (m³)]]="","",
IF(Market_Data[[#This Row],[Estimated Concrete Demand (m³)]]&lt;10000,"Small",
IF(Market_Data[[#This Row],[Estimated Concrete Demand (m³)]]&lt;25000,"Medium",
IF(Market_Data[[#This Row],[Estimated Concrete Demand (m³)]]&lt;100000,"Large","Mega"))))</f>
        <v>Medium</v>
      </c>
      <c r="P2418" s="287" t="str">
        <f t="shared" si="39"/>
        <v>GujRERA</v>
      </c>
    </row>
    <row r="2419" spans="1:16">
      <c r="A2419" s="129" t="str">
        <f>_xlfn.XLOOKUP(B2419,$S$9:$S$14,$T$9:$T$14)&amp;"-"&amp;
IF(E2419="Residential/Group Housing","RES",
IF(E2419="Commercial","COM",
IF(E2419="Mixed Development","MIX",
IF(E2419="Plotted Development","PLT","OTH"))))
&amp;"-"&amp;TEXT(COUNTIFS($B$9:B2419,B2419,$E$9:E2419,E2419),"0000")</f>
        <v>SUR-PLT-0457</v>
      </c>
      <c r="B2419" s="322" t="s">
        <v>34</v>
      </c>
      <c r="C2419" s="322" t="s">
        <v>34</v>
      </c>
      <c r="D2419" s="323" t="s">
        <v>2608</v>
      </c>
      <c r="E2419" s="132" t="s">
        <v>26</v>
      </c>
      <c r="F2419" s="97" t="str">
        <f ca="1">IF(OR(Market_Data[[#This Row],[Start Date]]="",Market_Data[[#This Row],[Completion Date]]=""),"Needs Validation",IF(Market_Data[[#This Row],[Start Date]]&gt;TODAY(),"Planned",IF(Market_Data[[#This Row],[Completion Date]]&lt;TODAY(),"Completed","Ongoing")))</f>
        <v>Ongoing</v>
      </c>
      <c r="G2419" s="324">
        <v>45842</v>
      </c>
      <c r="H2419" s="324">
        <v>48213</v>
      </c>
      <c r="I2419" s="325">
        <v>17800</v>
      </c>
      <c r="J241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19" s="133">
        <f>_xlfn.XLOOKUP(Market_Data[[#This Row],[Project Type]],tbl_assumptions_market[Project Category (RERA)],tbl_assumptions_market[Concrete Intensity
(m³ / sq m BUA)],"",0)</f>
        <v>0.18</v>
      </c>
      <c r="L2419" s="134">
        <f>ROUND(Market_Data[[#This Row],[Estimated Built Up Area (sq m)]]*Market_Data[[#This Row],[Concrete Intensity
(m³ / sq m)]],0)</f>
        <v>3204</v>
      </c>
      <c r="M2419" s="135">
        <f>_xlfn.XLOOKUP(Market_Data[[#This Row],[District]],tbl_district_price[District],tbl_district_price[Standard Price
(INR/m³)],"",0)</f>
        <v>6200</v>
      </c>
      <c r="N2419" s="364">
        <f>IF(OR(Market_Data[[#This Row],[Estimated Concrete Demand (m³)]]="",Market_Data[[#This Row],[Avg Price per (₹ / m³)]]=""),"",Market_Data[[#This Row],[Estimated Concrete Demand (m³)]]*Market_Data[[#This Row],[Avg Price per (₹ / m³)]]/10000000)</f>
        <v>1.98648</v>
      </c>
      <c r="O2419" s="97" t="str">
        <f>IF(Market_Data[[#This Row],[Estimated Concrete Demand (m³)]]="","",
IF(Market_Data[[#This Row],[Estimated Concrete Demand (m³)]]&lt;10000,"Small",
IF(Market_Data[[#This Row],[Estimated Concrete Demand (m³)]]&lt;25000,"Medium",
IF(Market_Data[[#This Row],[Estimated Concrete Demand (m³)]]&lt;100000,"Large","Mega"))))</f>
        <v>Small</v>
      </c>
      <c r="P2419" s="287" t="str">
        <f t="shared" si="39"/>
        <v>GujRERA</v>
      </c>
    </row>
    <row r="2420" spans="1:16">
      <c r="A2420" s="129" t="str">
        <f>_xlfn.XLOOKUP(B2420,$S$9:$S$14,$T$9:$T$14)&amp;"-"&amp;
IF(E2420="Residential/Group Housing","RES",
IF(E2420="Commercial","COM",
IF(E2420="Mixed Development","MIX",
IF(E2420="Plotted Development","PLT","OTH"))))
&amp;"-"&amp;TEXT(COUNTIFS($B$9:B2420,B2420,$E$9:E2420,E2420),"0000")</f>
        <v>SUR-RES-0818</v>
      </c>
      <c r="B2420" s="322" t="s">
        <v>34</v>
      </c>
      <c r="C2420" s="322" t="s">
        <v>34</v>
      </c>
      <c r="D2420" s="323" t="s">
        <v>2609</v>
      </c>
      <c r="E2420" s="132" t="s">
        <v>24</v>
      </c>
      <c r="F2420" s="97" t="str">
        <f ca="1">IF(OR(Market_Data[[#This Row],[Start Date]]="",Market_Data[[#This Row],[Completion Date]]=""),"Needs Validation",IF(Market_Data[[#This Row],[Start Date]]&gt;TODAY(),"Planned",IF(Market_Data[[#This Row],[Completion Date]]&lt;TODAY(),"Completed","Ongoing")))</f>
        <v>Ongoing</v>
      </c>
      <c r="G2420" s="324">
        <v>44232</v>
      </c>
      <c r="H2420" s="324">
        <v>46752</v>
      </c>
      <c r="I2420" s="325">
        <v>36800</v>
      </c>
      <c r="J242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20" s="133">
        <f>_xlfn.XLOOKUP(Market_Data[[#This Row],[Project Type]],tbl_assumptions_market[Project Category (RERA)],tbl_assumptions_market[Concrete Intensity
(m³ / sq m BUA)],"",0)</f>
        <v>0.45</v>
      </c>
      <c r="L2420" s="134">
        <f>ROUND(Market_Data[[#This Row],[Estimated Built Up Area (sq m)]]*Market_Data[[#This Row],[Concrete Intensity
(m³ / sq m)]],0)</f>
        <v>16560</v>
      </c>
      <c r="M2420" s="135">
        <f>_xlfn.XLOOKUP(Market_Data[[#This Row],[District]],tbl_district_price[District],tbl_district_price[Standard Price
(INR/m³)],"",0)</f>
        <v>6200</v>
      </c>
      <c r="N2420" s="364">
        <f>IF(OR(Market_Data[[#This Row],[Estimated Concrete Demand (m³)]]="",Market_Data[[#This Row],[Avg Price per (₹ / m³)]]=""),"",Market_Data[[#This Row],[Estimated Concrete Demand (m³)]]*Market_Data[[#This Row],[Avg Price per (₹ / m³)]]/10000000)</f>
        <v>10.267200000000001</v>
      </c>
      <c r="O2420" s="97" t="str">
        <f>IF(Market_Data[[#This Row],[Estimated Concrete Demand (m³)]]="","",
IF(Market_Data[[#This Row],[Estimated Concrete Demand (m³)]]&lt;10000,"Small",
IF(Market_Data[[#This Row],[Estimated Concrete Demand (m³)]]&lt;25000,"Medium",
IF(Market_Data[[#This Row],[Estimated Concrete Demand (m³)]]&lt;100000,"Large","Mega"))))</f>
        <v>Medium</v>
      </c>
      <c r="P2420" s="287" t="str">
        <f t="shared" si="39"/>
        <v>GujRERA</v>
      </c>
    </row>
    <row r="2421" spans="1:16">
      <c r="A2421" s="129" t="str">
        <f>_xlfn.XLOOKUP(B2421,$S$9:$S$14,$T$9:$T$14)&amp;"-"&amp;
IF(E2421="Residential/Group Housing","RES",
IF(E2421="Commercial","COM",
IF(E2421="Mixed Development","MIX",
IF(E2421="Plotted Development","PLT","OTH"))))
&amp;"-"&amp;TEXT(COUNTIFS($B$9:B2421,B2421,$E$9:E2421,E2421),"0000")</f>
        <v>SUR-RES-0819</v>
      </c>
      <c r="B2421" s="322" t="s">
        <v>34</v>
      </c>
      <c r="C2421" s="322" t="s">
        <v>34</v>
      </c>
      <c r="D2421" s="323" t="s">
        <v>2610</v>
      </c>
      <c r="E2421" s="132" t="s">
        <v>24</v>
      </c>
      <c r="F2421" s="97" t="str">
        <f ca="1">IF(OR(Market_Data[[#This Row],[Start Date]]="",Market_Data[[#This Row],[Completion Date]]=""),"Needs Validation",IF(Market_Data[[#This Row],[Start Date]]&gt;TODAY(),"Planned",IF(Market_Data[[#This Row],[Completion Date]]&lt;TODAY(),"Completed","Ongoing")))</f>
        <v>Completed</v>
      </c>
      <c r="G2421" s="324">
        <v>43848</v>
      </c>
      <c r="H2421" s="324">
        <v>45930</v>
      </c>
      <c r="I2421" s="325">
        <v>39800</v>
      </c>
      <c r="J242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21" s="133">
        <f>_xlfn.XLOOKUP(Market_Data[[#This Row],[Project Type]],tbl_assumptions_market[Project Category (RERA)],tbl_assumptions_market[Concrete Intensity
(m³ / sq m BUA)],"",0)</f>
        <v>0.45</v>
      </c>
      <c r="L2421" s="134">
        <f>ROUND(Market_Data[[#This Row],[Estimated Built Up Area (sq m)]]*Market_Data[[#This Row],[Concrete Intensity
(m³ / sq m)]],0)</f>
        <v>17910</v>
      </c>
      <c r="M2421" s="135">
        <f>_xlfn.XLOOKUP(Market_Data[[#This Row],[District]],tbl_district_price[District],tbl_district_price[Standard Price
(INR/m³)],"",0)</f>
        <v>6200</v>
      </c>
      <c r="N2421" s="364">
        <f>IF(OR(Market_Data[[#This Row],[Estimated Concrete Demand (m³)]]="",Market_Data[[#This Row],[Avg Price per (₹ / m³)]]=""),"",Market_Data[[#This Row],[Estimated Concrete Demand (m³)]]*Market_Data[[#This Row],[Avg Price per (₹ / m³)]]/10000000)</f>
        <v>11.104200000000001</v>
      </c>
      <c r="O2421" s="97" t="str">
        <f>IF(Market_Data[[#This Row],[Estimated Concrete Demand (m³)]]="","",
IF(Market_Data[[#This Row],[Estimated Concrete Demand (m³)]]&lt;10000,"Small",
IF(Market_Data[[#This Row],[Estimated Concrete Demand (m³)]]&lt;25000,"Medium",
IF(Market_Data[[#This Row],[Estimated Concrete Demand (m³)]]&lt;100000,"Large","Mega"))))</f>
        <v>Medium</v>
      </c>
      <c r="P2421" s="287" t="str">
        <f t="shared" si="39"/>
        <v>GujRERA</v>
      </c>
    </row>
    <row r="2422" spans="1:16">
      <c r="A2422" s="129" t="str">
        <f>_xlfn.XLOOKUP(B2422,$S$9:$S$14,$T$9:$T$14)&amp;"-"&amp;
IF(E2422="Residential/Group Housing","RES",
IF(E2422="Commercial","COM",
IF(E2422="Mixed Development","MIX",
IF(E2422="Plotted Development","PLT","OTH"))))
&amp;"-"&amp;TEXT(COUNTIFS($B$9:B2422,B2422,$E$9:E2422,E2422),"0000")</f>
        <v>SUR-COM-0386</v>
      </c>
      <c r="B2422" s="322" t="s">
        <v>34</v>
      </c>
      <c r="C2422" s="322" t="s">
        <v>34</v>
      </c>
      <c r="D2422" s="323" t="s">
        <v>2611</v>
      </c>
      <c r="E2422" s="132" t="s">
        <v>23</v>
      </c>
      <c r="F2422" s="97" t="str">
        <f ca="1">IF(OR(Market_Data[[#This Row],[Start Date]]="",Market_Data[[#This Row],[Completion Date]]=""),"Needs Validation",IF(Market_Data[[#This Row],[Start Date]]&gt;TODAY(),"Planned",IF(Market_Data[[#This Row],[Completion Date]]&lt;TODAY(),"Completed","Ongoing")))</f>
        <v>Completed</v>
      </c>
      <c r="G2422" s="324">
        <v>43554</v>
      </c>
      <c r="H2422" s="324">
        <v>45199</v>
      </c>
      <c r="I2422" s="325">
        <v>4200</v>
      </c>
      <c r="J242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22" s="133">
        <f>_xlfn.XLOOKUP(Market_Data[[#This Row],[Project Type]],tbl_assumptions_market[Project Category (RERA)],tbl_assumptions_market[Concrete Intensity
(m³ / sq m BUA)],"",0)</f>
        <v>0.5</v>
      </c>
      <c r="L2422" s="134">
        <f>ROUND(Market_Data[[#This Row],[Estimated Built Up Area (sq m)]]*Market_Data[[#This Row],[Concrete Intensity
(m³ / sq m)]],0)</f>
        <v>2100</v>
      </c>
      <c r="M2422" s="135">
        <f>_xlfn.XLOOKUP(Market_Data[[#This Row],[District]],tbl_district_price[District],tbl_district_price[Standard Price
(INR/m³)],"",0)</f>
        <v>6200</v>
      </c>
      <c r="N2422" s="364">
        <f>IF(OR(Market_Data[[#This Row],[Estimated Concrete Demand (m³)]]="",Market_Data[[#This Row],[Avg Price per (₹ / m³)]]=""),"",Market_Data[[#This Row],[Estimated Concrete Demand (m³)]]*Market_Data[[#This Row],[Avg Price per (₹ / m³)]]/10000000)</f>
        <v>1.302</v>
      </c>
      <c r="O2422" s="97" t="str">
        <f>IF(Market_Data[[#This Row],[Estimated Concrete Demand (m³)]]="","",
IF(Market_Data[[#This Row],[Estimated Concrete Demand (m³)]]&lt;10000,"Small",
IF(Market_Data[[#This Row],[Estimated Concrete Demand (m³)]]&lt;25000,"Medium",
IF(Market_Data[[#This Row],[Estimated Concrete Demand (m³)]]&lt;100000,"Large","Mega"))))</f>
        <v>Small</v>
      </c>
      <c r="P2422" s="287" t="str">
        <f t="shared" si="39"/>
        <v>GujRERA</v>
      </c>
    </row>
    <row r="2423" spans="1:16" ht="24">
      <c r="A2423" s="129" t="str">
        <f>_xlfn.XLOOKUP(B2423,$S$9:$S$14,$T$9:$T$14)&amp;"-"&amp;
IF(E2423="Residential/Group Housing","RES",
IF(E2423="Commercial","COM",
IF(E2423="Mixed Development","MIX",
IF(E2423="Plotted Development","PLT","OTH"))))
&amp;"-"&amp;TEXT(COUNTIFS($B$9:B2423,B2423,$E$9:E2423,E2423),"0000")</f>
        <v>SUR-RES-0820</v>
      </c>
      <c r="B2423" s="322" t="s">
        <v>34</v>
      </c>
      <c r="C2423" s="322" t="s">
        <v>34</v>
      </c>
      <c r="D2423" s="323" t="s">
        <v>2612</v>
      </c>
      <c r="E2423" s="132" t="s">
        <v>24</v>
      </c>
      <c r="F2423" s="97" t="str">
        <f ca="1">IF(OR(Market_Data[[#This Row],[Start Date]]="",Market_Data[[#This Row],[Completion Date]]=""),"Needs Validation",IF(Market_Data[[#This Row],[Start Date]]&gt;TODAY(),"Planned",IF(Market_Data[[#This Row],[Completion Date]]&lt;TODAY(),"Completed","Ongoing")))</f>
        <v>Completed</v>
      </c>
      <c r="G2423" s="324">
        <v>43830</v>
      </c>
      <c r="H2423" s="324">
        <v>45016</v>
      </c>
      <c r="I2423" s="325">
        <v>55500</v>
      </c>
      <c r="J242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23" s="133">
        <f>_xlfn.XLOOKUP(Market_Data[[#This Row],[Project Type]],tbl_assumptions_market[Project Category (RERA)],tbl_assumptions_market[Concrete Intensity
(m³ / sq m BUA)],"",0)</f>
        <v>0.45</v>
      </c>
      <c r="L2423" s="134">
        <f>ROUND(Market_Data[[#This Row],[Estimated Built Up Area (sq m)]]*Market_Data[[#This Row],[Concrete Intensity
(m³ / sq m)]],0)</f>
        <v>24975</v>
      </c>
      <c r="M2423" s="135">
        <f>_xlfn.XLOOKUP(Market_Data[[#This Row],[District]],tbl_district_price[District],tbl_district_price[Standard Price
(INR/m³)],"",0)</f>
        <v>6200</v>
      </c>
      <c r="N2423" s="364">
        <f>IF(OR(Market_Data[[#This Row],[Estimated Concrete Demand (m³)]]="",Market_Data[[#This Row],[Avg Price per (₹ / m³)]]=""),"",Market_Data[[#This Row],[Estimated Concrete Demand (m³)]]*Market_Data[[#This Row],[Avg Price per (₹ / m³)]]/10000000)</f>
        <v>15.484500000000001</v>
      </c>
      <c r="O2423" s="97" t="str">
        <f>IF(Market_Data[[#This Row],[Estimated Concrete Demand (m³)]]="","",
IF(Market_Data[[#This Row],[Estimated Concrete Demand (m³)]]&lt;10000,"Small",
IF(Market_Data[[#This Row],[Estimated Concrete Demand (m³)]]&lt;25000,"Medium",
IF(Market_Data[[#This Row],[Estimated Concrete Demand (m³)]]&lt;100000,"Large","Mega"))))</f>
        <v>Medium</v>
      </c>
      <c r="P2423" s="287" t="str">
        <f t="shared" si="39"/>
        <v>GujRERA</v>
      </c>
    </row>
    <row r="2424" spans="1:16">
      <c r="A2424" s="129" t="str">
        <f>_xlfn.XLOOKUP(B2424,$S$9:$S$14,$T$9:$T$14)&amp;"-"&amp;
IF(E2424="Residential/Group Housing","RES",
IF(E2424="Commercial","COM",
IF(E2424="Mixed Development","MIX",
IF(E2424="Plotted Development","PLT","OTH"))))
&amp;"-"&amp;TEXT(COUNTIFS($B$9:B2424,B2424,$E$9:E2424,E2424),"0000")</f>
        <v>SUR-RES-0821</v>
      </c>
      <c r="B2424" s="322" t="s">
        <v>34</v>
      </c>
      <c r="C2424" s="322" t="s">
        <v>34</v>
      </c>
      <c r="D2424" s="323" t="s">
        <v>2613</v>
      </c>
      <c r="E2424" s="132" t="s">
        <v>24</v>
      </c>
      <c r="F2424" s="97" t="str">
        <f ca="1">IF(OR(Market_Data[[#This Row],[Start Date]]="",Market_Data[[#This Row],[Completion Date]]=""),"Needs Validation",IF(Market_Data[[#This Row],[Start Date]]&gt;TODAY(),"Planned",IF(Market_Data[[#This Row],[Completion Date]]&lt;TODAY(),"Completed","Ongoing")))</f>
        <v>Ongoing</v>
      </c>
      <c r="G2424" s="324">
        <v>45876</v>
      </c>
      <c r="H2424" s="324">
        <v>48213</v>
      </c>
      <c r="I2424" s="325">
        <v>49600</v>
      </c>
      <c r="J242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24" s="133">
        <f>_xlfn.XLOOKUP(Market_Data[[#This Row],[Project Type]],tbl_assumptions_market[Project Category (RERA)],tbl_assumptions_market[Concrete Intensity
(m³ / sq m BUA)],"",0)</f>
        <v>0.45</v>
      </c>
      <c r="L2424" s="134">
        <f>ROUND(Market_Data[[#This Row],[Estimated Built Up Area (sq m)]]*Market_Data[[#This Row],[Concrete Intensity
(m³ / sq m)]],0)</f>
        <v>22320</v>
      </c>
      <c r="M2424" s="135">
        <f>_xlfn.XLOOKUP(Market_Data[[#This Row],[District]],tbl_district_price[District],tbl_district_price[Standard Price
(INR/m³)],"",0)</f>
        <v>6200</v>
      </c>
      <c r="N2424" s="364">
        <f>IF(OR(Market_Data[[#This Row],[Estimated Concrete Demand (m³)]]="",Market_Data[[#This Row],[Avg Price per (₹ / m³)]]=""),"",Market_Data[[#This Row],[Estimated Concrete Demand (m³)]]*Market_Data[[#This Row],[Avg Price per (₹ / m³)]]/10000000)</f>
        <v>13.8384</v>
      </c>
      <c r="O2424" s="97" t="str">
        <f>IF(Market_Data[[#This Row],[Estimated Concrete Demand (m³)]]="","",
IF(Market_Data[[#This Row],[Estimated Concrete Demand (m³)]]&lt;10000,"Small",
IF(Market_Data[[#This Row],[Estimated Concrete Demand (m³)]]&lt;25000,"Medium",
IF(Market_Data[[#This Row],[Estimated Concrete Demand (m³)]]&lt;100000,"Large","Mega"))))</f>
        <v>Medium</v>
      </c>
      <c r="P2424" s="287" t="str">
        <f t="shared" si="39"/>
        <v>GujRERA</v>
      </c>
    </row>
    <row r="2425" spans="1:16">
      <c r="A2425" s="129" t="str">
        <f>_xlfn.XLOOKUP(B2425,$S$9:$S$14,$T$9:$T$14)&amp;"-"&amp;
IF(E2425="Residential/Group Housing","RES",
IF(E2425="Commercial","COM",
IF(E2425="Mixed Development","MIX",
IF(E2425="Plotted Development","PLT","OTH"))))
&amp;"-"&amp;TEXT(COUNTIFS($B$9:B2425,B2425,$E$9:E2425,E2425),"0000")</f>
        <v>SUR-COM-0387</v>
      </c>
      <c r="B2425" s="322" t="s">
        <v>34</v>
      </c>
      <c r="C2425" s="322" t="s">
        <v>34</v>
      </c>
      <c r="D2425" s="323" t="s">
        <v>2614</v>
      </c>
      <c r="E2425" s="132" t="s">
        <v>23</v>
      </c>
      <c r="F2425" s="97" t="str">
        <f ca="1">IF(OR(Market_Data[[#This Row],[Start Date]]="",Market_Data[[#This Row],[Completion Date]]=""),"Needs Validation",IF(Market_Data[[#This Row],[Start Date]]&gt;TODAY(),"Planned",IF(Market_Data[[#This Row],[Completion Date]]&lt;TODAY(),"Completed","Ongoing")))</f>
        <v>Completed</v>
      </c>
      <c r="G2425" s="324">
        <v>41835</v>
      </c>
      <c r="H2425" s="324">
        <v>43921</v>
      </c>
      <c r="I2425" s="325">
        <v>2100</v>
      </c>
      <c r="J242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25" s="133">
        <f>_xlfn.XLOOKUP(Market_Data[[#This Row],[Project Type]],tbl_assumptions_market[Project Category (RERA)],tbl_assumptions_market[Concrete Intensity
(m³ / sq m BUA)],"",0)</f>
        <v>0.5</v>
      </c>
      <c r="L2425" s="134">
        <f>ROUND(Market_Data[[#This Row],[Estimated Built Up Area (sq m)]]*Market_Data[[#This Row],[Concrete Intensity
(m³ / sq m)]],0)</f>
        <v>1050</v>
      </c>
      <c r="M2425" s="135">
        <f>_xlfn.XLOOKUP(Market_Data[[#This Row],[District]],tbl_district_price[District],tbl_district_price[Standard Price
(INR/m³)],"",0)</f>
        <v>6200</v>
      </c>
      <c r="N2425" s="364">
        <f>IF(OR(Market_Data[[#This Row],[Estimated Concrete Demand (m³)]]="",Market_Data[[#This Row],[Avg Price per (₹ / m³)]]=""),"",Market_Data[[#This Row],[Estimated Concrete Demand (m³)]]*Market_Data[[#This Row],[Avg Price per (₹ / m³)]]/10000000)</f>
        <v>0.65100000000000002</v>
      </c>
      <c r="O2425" s="97" t="str">
        <f>IF(Market_Data[[#This Row],[Estimated Concrete Demand (m³)]]="","",
IF(Market_Data[[#This Row],[Estimated Concrete Demand (m³)]]&lt;10000,"Small",
IF(Market_Data[[#This Row],[Estimated Concrete Demand (m³)]]&lt;25000,"Medium",
IF(Market_Data[[#This Row],[Estimated Concrete Demand (m³)]]&lt;100000,"Large","Mega"))))</f>
        <v>Small</v>
      </c>
      <c r="P2425" s="287" t="str">
        <f t="shared" si="39"/>
        <v>GujRERA</v>
      </c>
    </row>
    <row r="2426" spans="1:16">
      <c r="A2426" s="129" t="str">
        <f>_xlfn.XLOOKUP(B2426,$S$9:$S$14,$T$9:$T$14)&amp;"-"&amp;
IF(E2426="Residential/Group Housing","RES",
IF(E2426="Commercial","COM",
IF(E2426="Mixed Development","MIX",
IF(E2426="Plotted Development","PLT","OTH"))))
&amp;"-"&amp;TEXT(COUNTIFS($B$9:B2426,B2426,$E$9:E2426,E2426),"0000")</f>
        <v>SUR-COM-0388</v>
      </c>
      <c r="B2426" s="322" t="s">
        <v>34</v>
      </c>
      <c r="C2426" s="322" t="s">
        <v>34</v>
      </c>
      <c r="D2426" s="323" t="s">
        <v>2615</v>
      </c>
      <c r="E2426" s="132" t="s">
        <v>23</v>
      </c>
      <c r="F2426" s="97" t="str">
        <f ca="1">IF(OR(Market_Data[[#This Row],[Start Date]]="",Market_Data[[#This Row],[Completion Date]]=""),"Needs Validation",IF(Market_Data[[#This Row],[Start Date]]&gt;TODAY(),"Planned",IF(Market_Data[[#This Row],[Completion Date]]&lt;TODAY(),"Completed","Ongoing")))</f>
        <v>Ongoing</v>
      </c>
      <c r="G2426" s="324">
        <v>45996</v>
      </c>
      <c r="H2426" s="324">
        <v>47848</v>
      </c>
      <c r="I2426" s="325">
        <v>16100</v>
      </c>
      <c r="J242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26" s="133">
        <f>_xlfn.XLOOKUP(Market_Data[[#This Row],[Project Type]],tbl_assumptions_market[Project Category (RERA)],tbl_assumptions_market[Concrete Intensity
(m³ / sq m BUA)],"",0)</f>
        <v>0.5</v>
      </c>
      <c r="L2426" s="134">
        <f>ROUND(Market_Data[[#This Row],[Estimated Built Up Area (sq m)]]*Market_Data[[#This Row],[Concrete Intensity
(m³ / sq m)]],0)</f>
        <v>8050</v>
      </c>
      <c r="M2426" s="135">
        <f>_xlfn.XLOOKUP(Market_Data[[#This Row],[District]],tbl_district_price[District],tbl_district_price[Standard Price
(INR/m³)],"",0)</f>
        <v>6200</v>
      </c>
      <c r="N2426" s="364">
        <f>IF(OR(Market_Data[[#This Row],[Estimated Concrete Demand (m³)]]="",Market_Data[[#This Row],[Avg Price per (₹ / m³)]]=""),"",Market_Data[[#This Row],[Estimated Concrete Demand (m³)]]*Market_Data[[#This Row],[Avg Price per (₹ / m³)]]/10000000)</f>
        <v>4.9909999999999997</v>
      </c>
      <c r="O2426" s="97" t="str">
        <f>IF(Market_Data[[#This Row],[Estimated Concrete Demand (m³)]]="","",
IF(Market_Data[[#This Row],[Estimated Concrete Demand (m³)]]&lt;10000,"Small",
IF(Market_Data[[#This Row],[Estimated Concrete Demand (m³)]]&lt;25000,"Medium",
IF(Market_Data[[#This Row],[Estimated Concrete Demand (m³)]]&lt;100000,"Large","Mega"))))</f>
        <v>Small</v>
      </c>
      <c r="P2426" s="287" t="str">
        <f t="shared" si="39"/>
        <v>GujRERA</v>
      </c>
    </row>
    <row r="2427" spans="1:16">
      <c r="A2427" s="129" t="str">
        <f>_xlfn.XLOOKUP(B2427,$S$9:$S$14,$T$9:$T$14)&amp;"-"&amp;
IF(E2427="Residential/Group Housing","RES",
IF(E2427="Commercial","COM",
IF(E2427="Mixed Development","MIX",
IF(E2427="Plotted Development","PLT","OTH"))))
&amp;"-"&amp;TEXT(COUNTIFS($B$9:B2427,B2427,$E$9:E2427,E2427),"0000")</f>
        <v>SUR-COM-0389</v>
      </c>
      <c r="B2427" s="322" t="s">
        <v>34</v>
      </c>
      <c r="C2427" s="322" t="s">
        <v>34</v>
      </c>
      <c r="D2427" s="323" t="s">
        <v>2616</v>
      </c>
      <c r="E2427" s="132" t="s">
        <v>23</v>
      </c>
      <c r="F2427" s="97" t="str">
        <f ca="1">IF(OR(Market_Data[[#This Row],[Start Date]]="",Market_Data[[#This Row],[Completion Date]]=""),"Needs Validation",IF(Market_Data[[#This Row],[Start Date]]&gt;TODAY(),"Planned",IF(Market_Data[[#This Row],[Completion Date]]&lt;TODAY(),"Completed","Ongoing")))</f>
        <v>Ongoing</v>
      </c>
      <c r="G2427" s="324">
        <v>46069</v>
      </c>
      <c r="H2427" s="324">
        <v>47848</v>
      </c>
      <c r="I2427" s="325">
        <v>47700</v>
      </c>
      <c r="J242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427" s="133">
        <f>_xlfn.XLOOKUP(Market_Data[[#This Row],[Project Type]],tbl_assumptions_market[Project Category (RERA)],tbl_assumptions_market[Concrete Intensity
(m³ / sq m BUA)],"",0)</f>
        <v>0.5</v>
      </c>
      <c r="L2427" s="134">
        <f>ROUND(Market_Data[[#This Row],[Estimated Built Up Area (sq m)]]*Market_Data[[#This Row],[Concrete Intensity
(m³ / sq m)]],0)</f>
        <v>23850</v>
      </c>
      <c r="M2427" s="135">
        <f>_xlfn.XLOOKUP(Market_Data[[#This Row],[District]],tbl_district_price[District],tbl_district_price[Standard Price
(INR/m³)],"",0)</f>
        <v>6200</v>
      </c>
      <c r="N2427" s="364">
        <f>IF(OR(Market_Data[[#This Row],[Estimated Concrete Demand (m³)]]="",Market_Data[[#This Row],[Avg Price per (₹ / m³)]]=""),"",Market_Data[[#This Row],[Estimated Concrete Demand (m³)]]*Market_Data[[#This Row],[Avg Price per (₹ / m³)]]/10000000)</f>
        <v>14.787000000000001</v>
      </c>
      <c r="O2427" s="97" t="str">
        <f>IF(Market_Data[[#This Row],[Estimated Concrete Demand (m³)]]="","",
IF(Market_Data[[#This Row],[Estimated Concrete Demand (m³)]]&lt;10000,"Small",
IF(Market_Data[[#This Row],[Estimated Concrete Demand (m³)]]&lt;25000,"Medium",
IF(Market_Data[[#This Row],[Estimated Concrete Demand (m³)]]&lt;100000,"Large","Mega"))))</f>
        <v>Medium</v>
      </c>
      <c r="P2427" s="287" t="str">
        <f t="shared" si="39"/>
        <v>GujRERA</v>
      </c>
    </row>
    <row r="2428" spans="1:16">
      <c r="A2428" s="129" t="str">
        <f>_xlfn.XLOOKUP(B2428,$S$9:$S$14,$T$9:$T$14)&amp;"-"&amp;
IF(E2428="Residential/Group Housing","RES",
IF(E2428="Commercial","COM",
IF(E2428="Mixed Development","MIX",
IF(E2428="Plotted Development","PLT","OTH"))))
&amp;"-"&amp;TEXT(COUNTIFS($B$9:B2428,B2428,$E$9:E2428,E2428),"0000")</f>
        <v>SUR-RES-0822</v>
      </c>
      <c r="B2428" s="322" t="s">
        <v>34</v>
      </c>
      <c r="C2428" s="322" t="s">
        <v>34</v>
      </c>
      <c r="D2428" s="323" t="s">
        <v>2617</v>
      </c>
      <c r="E2428" s="132" t="s">
        <v>24</v>
      </c>
      <c r="F2428" s="97" t="str">
        <f ca="1">IF(OR(Market_Data[[#This Row],[Start Date]]="",Market_Data[[#This Row],[Completion Date]]=""),"Needs Validation",IF(Market_Data[[#This Row],[Start Date]]&gt;TODAY(),"Planned",IF(Market_Data[[#This Row],[Completion Date]]&lt;TODAY(),"Completed","Ongoing")))</f>
        <v>Completed</v>
      </c>
      <c r="G2428" s="324">
        <v>42406</v>
      </c>
      <c r="H2428" s="324">
        <v>45107</v>
      </c>
      <c r="I2428" s="325">
        <v>41000</v>
      </c>
      <c r="J242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28" s="133">
        <f>_xlfn.XLOOKUP(Market_Data[[#This Row],[Project Type]],tbl_assumptions_market[Project Category (RERA)],tbl_assumptions_market[Concrete Intensity
(m³ / sq m BUA)],"",0)</f>
        <v>0.45</v>
      </c>
      <c r="L2428" s="134">
        <f>ROUND(Market_Data[[#This Row],[Estimated Built Up Area (sq m)]]*Market_Data[[#This Row],[Concrete Intensity
(m³ / sq m)]],0)</f>
        <v>18450</v>
      </c>
      <c r="M2428" s="135">
        <f>_xlfn.XLOOKUP(Market_Data[[#This Row],[District]],tbl_district_price[District],tbl_district_price[Standard Price
(INR/m³)],"",0)</f>
        <v>6200</v>
      </c>
      <c r="N2428" s="364">
        <f>IF(OR(Market_Data[[#This Row],[Estimated Concrete Demand (m³)]]="",Market_Data[[#This Row],[Avg Price per (₹ / m³)]]=""),"",Market_Data[[#This Row],[Estimated Concrete Demand (m³)]]*Market_Data[[#This Row],[Avg Price per (₹ / m³)]]/10000000)</f>
        <v>11.439</v>
      </c>
      <c r="O2428" s="97" t="str">
        <f>IF(Market_Data[[#This Row],[Estimated Concrete Demand (m³)]]="","",
IF(Market_Data[[#This Row],[Estimated Concrete Demand (m³)]]&lt;10000,"Small",
IF(Market_Data[[#This Row],[Estimated Concrete Demand (m³)]]&lt;25000,"Medium",
IF(Market_Data[[#This Row],[Estimated Concrete Demand (m³)]]&lt;100000,"Large","Mega"))))</f>
        <v>Medium</v>
      </c>
      <c r="P2428" s="287" t="str">
        <f t="shared" si="39"/>
        <v>GujRERA</v>
      </c>
    </row>
    <row r="2429" spans="1:16">
      <c r="A2429" s="129" t="str">
        <f>_xlfn.XLOOKUP(B2429,$S$9:$S$14,$T$9:$T$14)&amp;"-"&amp;
IF(E2429="Residential/Group Housing","RES",
IF(E2429="Commercial","COM",
IF(E2429="Mixed Development","MIX",
IF(E2429="Plotted Development","PLT","OTH"))))
&amp;"-"&amp;TEXT(COUNTIFS($B$9:B2429,B2429,$E$9:E2429,E2429),"0000")</f>
        <v>SUR-RES-0823</v>
      </c>
      <c r="B2429" s="322" t="s">
        <v>34</v>
      </c>
      <c r="C2429" s="322" t="s">
        <v>34</v>
      </c>
      <c r="D2429" s="323" t="s">
        <v>2618</v>
      </c>
      <c r="E2429" s="132" t="s">
        <v>24</v>
      </c>
      <c r="F2429" s="97" t="str">
        <f ca="1">IF(OR(Market_Data[[#This Row],[Start Date]]="",Market_Data[[#This Row],[Completion Date]]=""),"Needs Validation",IF(Market_Data[[#This Row],[Start Date]]&gt;TODAY(),"Planned",IF(Market_Data[[#This Row],[Completion Date]]&lt;TODAY(),"Completed","Ongoing")))</f>
        <v>Completed</v>
      </c>
      <c r="G2429" s="324">
        <v>42901</v>
      </c>
      <c r="H2429" s="324">
        <v>45076</v>
      </c>
      <c r="I2429" s="325">
        <v>41600</v>
      </c>
      <c r="J242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29" s="133">
        <f>_xlfn.XLOOKUP(Market_Data[[#This Row],[Project Type]],tbl_assumptions_market[Project Category (RERA)],tbl_assumptions_market[Concrete Intensity
(m³ / sq m BUA)],"",0)</f>
        <v>0.45</v>
      </c>
      <c r="L2429" s="134">
        <f>ROUND(Market_Data[[#This Row],[Estimated Built Up Area (sq m)]]*Market_Data[[#This Row],[Concrete Intensity
(m³ / sq m)]],0)</f>
        <v>18720</v>
      </c>
      <c r="M2429" s="135">
        <f>_xlfn.XLOOKUP(Market_Data[[#This Row],[District]],tbl_district_price[District],tbl_district_price[Standard Price
(INR/m³)],"",0)</f>
        <v>6200</v>
      </c>
      <c r="N2429" s="364">
        <f>IF(OR(Market_Data[[#This Row],[Estimated Concrete Demand (m³)]]="",Market_Data[[#This Row],[Avg Price per (₹ / m³)]]=""),"",Market_Data[[#This Row],[Estimated Concrete Demand (m³)]]*Market_Data[[#This Row],[Avg Price per (₹ / m³)]]/10000000)</f>
        <v>11.606400000000001</v>
      </c>
      <c r="O2429" s="97" t="str">
        <f>IF(Market_Data[[#This Row],[Estimated Concrete Demand (m³)]]="","",
IF(Market_Data[[#This Row],[Estimated Concrete Demand (m³)]]&lt;10000,"Small",
IF(Market_Data[[#This Row],[Estimated Concrete Demand (m³)]]&lt;25000,"Medium",
IF(Market_Data[[#This Row],[Estimated Concrete Demand (m³)]]&lt;100000,"Large","Mega"))))</f>
        <v>Medium</v>
      </c>
      <c r="P2429" s="287" t="str">
        <f t="shared" si="39"/>
        <v>GujRERA</v>
      </c>
    </row>
    <row r="2430" spans="1:16">
      <c r="A2430" s="129" t="str">
        <f>_xlfn.XLOOKUP(B2430,$S$9:$S$14,$T$9:$T$14)&amp;"-"&amp;
IF(E2430="Residential/Group Housing","RES",
IF(E2430="Commercial","COM",
IF(E2430="Mixed Development","MIX",
IF(E2430="Plotted Development","PLT","OTH"))))
&amp;"-"&amp;TEXT(COUNTIFS($B$9:B2430,B2430,$E$9:E2430,E2430),"0000")</f>
        <v>SUR-RES-0824</v>
      </c>
      <c r="B2430" s="322" t="s">
        <v>34</v>
      </c>
      <c r="C2430" s="322" t="s">
        <v>34</v>
      </c>
      <c r="D2430" s="323" t="s">
        <v>2619</v>
      </c>
      <c r="E2430" s="132" t="s">
        <v>24</v>
      </c>
      <c r="F2430" s="97" t="str">
        <f ca="1">IF(OR(Market_Data[[#This Row],[Start Date]]="",Market_Data[[#This Row],[Completion Date]]=""),"Needs Validation",IF(Market_Data[[#This Row],[Start Date]]&gt;TODAY(),"Planned",IF(Market_Data[[#This Row],[Completion Date]]&lt;TODAY(),"Completed","Ongoing")))</f>
        <v>Ongoing</v>
      </c>
      <c r="G2430" s="324">
        <v>45036</v>
      </c>
      <c r="H2430" s="324">
        <v>47026</v>
      </c>
      <c r="I2430" s="325">
        <v>90000</v>
      </c>
      <c r="J243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430" s="133">
        <f>_xlfn.XLOOKUP(Market_Data[[#This Row],[Project Type]],tbl_assumptions_market[Project Category (RERA)],tbl_assumptions_market[Concrete Intensity
(m³ / sq m BUA)],"",0)</f>
        <v>0.45</v>
      </c>
      <c r="L2430" s="134">
        <f>ROUND(Market_Data[[#This Row],[Estimated Built Up Area (sq m)]]*Market_Data[[#This Row],[Concrete Intensity
(m³ / sq m)]],0)</f>
        <v>40500</v>
      </c>
      <c r="M2430" s="135">
        <f>_xlfn.XLOOKUP(Market_Data[[#This Row],[District]],tbl_district_price[District],tbl_district_price[Standard Price
(INR/m³)],"",0)</f>
        <v>6200</v>
      </c>
      <c r="N2430" s="364">
        <f>IF(OR(Market_Data[[#This Row],[Estimated Concrete Demand (m³)]]="",Market_Data[[#This Row],[Avg Price per (₹ / m³)]]=""),"",Market_Data[[#This Row],[Estimated Concrete Demand (m³)]]*Market_Data[[#This Row],[Avg Price per (₹ / m³)]]/10000000)</f>
        <v>25.11</v>
      </c>
      <c r="O2430" s="97" t="str">
        <f>IF(Market_Data[[#This Row],[Estimated Concrete Demand (m³)]]="","",
IF(Market_Data[[#This Row],[Estimated Concrete Demand (m³)]]&lt;10000,"Small",
IF(Market_Data[[#This Row],[Estimated Concrete Demand (m³)]]&lt;25000,"Medium",
IF(Market_Data[[#This Row],[Estimated Concrete Demand (m³)]]&lt;100000,"Large","Mega"))))</f>
        <v>Large</v>
      </c>
      <c r="P2430" s="287" t="str">
        <f t="shared" si="39"/>
        <v>GujRERA</v>
      </c>
    </row>
    <row r="2431" spans="1:16">
      <c r="A2431" s="129" t="str">
        <f>_xlfn.XLOOKUP(B2431,$S$9:$S$14,$T$9:$T$14)&amp;"-"&amp;
IF(E2431="Residential/Group Housing","RES",
IF(E2431="Commercial","COM",
IF(E2431="Mixed Development","MIX",
IF(E2431="Plotted Development","PLT","OTH"))))
&amp;"-"&amp;TEXT(COUNTIFS($B$9:B2431,B2431,$E$9:E2431,E2431),"0000")</f>
        <v>SUR-PLT-0458</v>
      </c>
      <c r="B2431" s="322" t="s">
        <v>34</v>
      </c>
      <c r="C2431" s="322" t="s">
        <v>34</v>
      </c>
      <c r="D2431" s="323" t="s">
        <v>2620</v>
      </c>
      <c r="E2431" s="132" t="s">
        <v>26</v>
      </c>
      <c r="F2431" s="97" t="str">
        <f ca="1">IF(OR(Market_Data[[#This Row],[Start Date]]="",Market_Data[[#This Row],[Completion Date]]=""),"Needs Validation",IF(Market_Data[[#This Row],[Start Date]]&gt;TODAY(),"Planned",IF(Market_Data[[#This Row],[Completion Date]]&lt;TODAY(),"Completed","Ongoing")))</f>
        <v>Ongoing</v>
      </c>
      <c r="G2431" s="324">
        <v>45637</v>
      </c>
      <c r="H2431" s="324">
        <v>46752</v>
      </c>
      <c r="I2431" s="325">
        <v>58300</v>
      </c>
      <c r="J243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431" s="133">
        <f>_xlfn.XLOOKUP(Market_Data[[#This Row],[Project Type]],tbl_assumptions_market[Project Category (RERA)],tbl_assumptions_market[Concrete Intensity
(m³ / sq m BUA)],"",0)</f>
        <v>0.18</v>
      </c>
      <c r="L2431" s="134">
        <f>ROUND(Market_Data[[#This Row],[Estimated Built Up Area (sq m)]]*Market_Data[[#This Row],[Concrete Intensity
(m³ / sq m)]],0)</f>
        <v>10494</v>
      </c>
      <c r="M2431" s="135">
        <f>_xlfn.XLOOKUP(Market_Data[[#This Row],[District]],tbl_district_price[District],tbl_district_price[Standard Price
(INR/m³)],"",0)</f>
        <v>6200</v>
      </c>
      <c r="N2431" s="364">
        <f>IF(OR(Market_Data[[#This Row],[Estimated Concrete Demand (m³)]]="",Market_Data[[#This Row],[Avg Price per (₹ / m³)]]=""),"",Market_Data[[#This Row],[Estimated Concrete Demand (m³)]]*Market_Data[[#This Row],[Avg Price per (₹ / m³)]]/10000000)</f>
        <v>6.5062800000000003</v>
      </c>
      <c r="O2431" s="97" t="str">
        <f>IF(Market_Data[[#This Row],[Estimated Concrete Demand (m³)]]="","",
IF(Market_Data[[#This Row],[Estimated Concrete Demand (m³)]]&lt;10000,"Small",
IF(Market_Data[[#This Row],[Estimated Concrete Demand (m³)]]&lt;25000,"Medium",
IF(Market_Data[[#This Row],[Estimated Concrete Demand (m³)]]&lt;100000,"Large","Mega"))))</f>
        <v>Medium</v>
      </c>
      <c r="P2431" s="287" t="str">
        <f t="shared" si="39"/>
        <v>GujRERA</v>
      </c>
    </row>
    <row r="2432" spans="1:16">
      <c r="A2432" s="129" t="str">
        <f>_xlfn.XLOOKUP(B2432,$S$9:$S$14,$T$9:$T$14)&amp;"-"&amp;
IF(E2432="Residential/Group Housing","RES",
IF(E2432="Commercial","COM",
IF(E2432="Mixed Development","MIX",
IF(E2432="Plotted Development","PLT","OTH"))))
&amp;"-"&amp;TEXT(COUNTIFS($B$9:B2432,B2432,$E$9:E2432,E2432),"0000")</f>
        <v>SUR-MIX-0443</v>
      </c>
      <c r="B2432" s="322" t="s">
        <v>34</v>
      </c>
      <c r="C2432" s="322" t="s">
        <v>34</v>
      </c>
      <c r="D2432" s="323" t="s">
        <v>2621</v>
      </c>
      <c r="E2432" s="132" t="s">
        <v>25</v>
      </c>
      <c r="F2432" s="97" t="str">
        <f ca="1">IF(OR(Market_Data[[#This Row],[Start Date]]="",Market_Data[[#This Row],[Completion Date]]=""),"Needs Validation",IF(Market_Data[[#This Row],[Start Date]]&gt;TODAY(),"Planned",IF(Market_Data[[#This Row],[Completion Date]]&lt;TODAY(),"Completed","Ongoing")))</f>
        <v>Completed</v>
      </c>
      <c r="G2432" s="324">
        <v>43617</v>
      </c>
      <c r="H2432" s="324">
        <v>44834</v>
      </c>
      <c r="I2432" s="325">
        <v>10800</v>
      </c>
      <c r="J243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32" s="133">
        <f>_xlfn.XLOOKUP(Market_Data[[#This Row],[Project Type]],tbl_assumptions_market[Project Category (RERA)],tbl_assumptions_market[Concrete Intensity
(m³ / sq m BUA)],"",0)</f>
        <v>0.42</v>
      </c>
      <c r="L2432" s="134">
        <f>ROUND(Market_Data[[#This Row],[Estimated Built Up Area (sq m)]]*Market_Data[[#This Row],[Concrete Intensity
(m³ / sq m)]],0)</f>
        <v>4536</v>
      </c>
      <c r="M2432" s="135">
        <f>_xlfn.XLOOKUP(Market_Data[[#This Row],[District]],tbl_district_price[District],tbl_district_price[Standard Price
(INR/m³)],"",0)</f>
        <v>6200</v>
      </c>
      <c r="N2432" s="364">
        <f>IF(OR(Market_Data[[#This Row],[Estimated Concrete Demand (m³)]]="",Market_Data[[#This Row],[Avg Price per (₹ / m³)]]=""),"",Market_Data[[#This Row],[Estimated Concrete Demand (m³)]]*Market_Data[[#This Row],[Avg Price per (₹ / m³)]]/10000000)</f>
        <v>2.8123200000000002</v>
      </c>
      <c r="O2432" s="97" t="str">
        <f>IF(Market_Data[[#This Row],[Estimated Concrete Demand (m³)]]="","",
IF(Market_Data[[#This Row],[Estimated Concrete Demand (m³)]]&lt;10000,"Small",
IF(Market_Data[[#This Row],[Estimated Concrete Demand (m³)]]&lt;25000,"Medium",
IF(Market_Data[[#This Row],[Estimated Concrete Demand (m³)]]&lt;100000,"Large","Mega"))))</f>
        <v>Small</v>
      </c>
      <c r="P2432" s="287" t="str">
        <f t="shared" si="39"/>
        <v>GujRERA</v>
      </c>
    </row>
    <row r="2433" spans="1:16">
      <c r="A2433" s="129" t="str">
        <f>_xlfn.XLOOKUP(B2433,$S$9:$S$14,$T$9:$T$14)&amp;"-"&amp;
IF(E2433="Residential/Group Housing","RES",
IF(E2433="Commercial","COM",
IF(E2433="Mixed Development","MIX",
IF(E2433="Plotted Development","PLT","OTH"))))
&amp;"-"&amp;TEXT(COUNTIFS($B$9:B2433,B2433,$E$9:E2433,E2433),"0000")</f>
        <v>SUR-COM-0390</v>
      </c>
      <c r="B2433" s="322" t="s">
        <v>34</v>
      </c>
      <c r="C2433" s="322" t="s">
        <v>34</v>
      </c>
      <c r="D2433" s="323" t="s">
        <v>2622</v>
      </c>
      <c r="E2433" s="132" t="s">
        <v>23</v>
      </c>
      <c r="F2433" s="97" t="str">
        <f ca="1">IF(OR(Market_Data[[#This Row],[Start Date]]="",Market_Data[[#This Row],[Completion Date]]=""),"Needs Validation",IF(Market_Data[[#This Row],[Start Date]]&gt;TODAY(),"Planned",IF(Market_Data[[#This Row],[Completion Date]]&lt;TODAY(),"Completed","Ongoing")))</f>
        <v>Completed</v>
      </c>
      <c r="G2433" s="324">
        <v>42393</v>
      </c>
      <c r="H2433" s="324">
        <v>44742</v>
      </c>
      <c r="I2433" s="325">
        <v>19500</v>
      </c>
      <c r="J243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33" s="133">
        <f>_xlfn.XLOOKUP(Market_Data[[#This Row],[Project Type]],tbl_assumptions_market[Project Category (RERA)],tbl_assumptions_market[Concrete Intensity
(m³ / sq m BUA)],"",0)</f>
        <v>0.5</v>
      </c>
      <c r="L2433" s="134">
        <f>ROUND(Market_Data[[#This Row],[Estimated Built Up Area (sq m)]]*Market_Data[[#This Row],[Concrete Intensity
(m³ / sq m)]],0)</f>
        <v>9750</v>
      </c>
      <c r="M2433" s="135">
        <f>_xlfn.XLOOKUP(Market_Data[[#This Row],[District]],tbl_district_price[District],tbl_district_price[Standard Price
(INR/m³)],"",0)</f>
        <v>6200</v>
      </c>
      <c r="N2433" s="364">
        <f>IF(OR(Market_Data[[#This Row],[Estimated Concrete Demand (m³)]]="",Market_Data[[#This Row],[Avg Price per (₹ / m³)]]=""),"",Market_Data[[#This Row],[Estimated Concrete Demand (m³)]]*Market_Data[[#This Row],[Avg Price per (₹ / m³)]]/10000000)</f>
        <v>6.0449999999999999</v>
      </c>
      <c r="O2433" s="97" t="str">
        <f>IF(Market_Data[[#This Row],[Estimated Concrete Demand (m³)]]="","",
IF(Market_Data[[#This Row],[Estimated Concrete Demand (m³)]]&lt;10000,"Small",
IF(Market_Data[[#This Row],[Estimated Concrete Demand (m³)]]&lt;25000,"Medium",
IF(Market_Data[[#This Row],[Estimated Concrete Demand (m³)]]&lt;100000,"Large","Mega"))))</f>
        <v>Small</v>
      </c>
      <c r="P2433" s="287" t="str">
        <f t="shared" si="39"/>
        <v>GujRERA</v>
      </c>
    </row>
    <row r="2434" spans="1:16">
      <c r="A2434" s="129" t="str">
        <f>_xlfn.XLOOKUP(B2434,$S$9:$S$14,$T$9:$T$14)&amp;"-"&amp;
IF(E2434="Residential/Group Housing","RES",
IF(E2434="Commercial","COM",
IF(E2434="Mixed Development","MIX",
IF(E2434="Plotted Development","PLT","OTH"))))
&amp;"-"&amp;TEXT(COUNTIFS($B$9:B2434,B2434,$E$9:E2434,E2434),"0000")</f>
        <v>SUR-COM-0391</v>
      </c>
      <c r="B2434" s="322" t="s">
        <v>34</v>
      </c>
      <c r="C2434" s="322" t="s">
        <v>34</v>
      </c>
      <c r="D2434" s="323" t="s">
        <v>2623</v>
      </c>
      <c r="E2434" s="132" t="s">
        <v>23</v>
      </c>
      <c r="F2434" s="97" t="str">
        <f ca="1">IF(OR(Market_Data[[#This Row],[Start Date]]="",Market_Data[[#This Row],[Completion Date]]=""),"Needs Validation",IF(Market_Data[[#This Row],[Start Date]]&gt;TODAY(),"Planned",IF(Market_Data[[#This Row],[Completion Date]]&lt;TODAY(),"Completed","Ongoing")))</f>
        <v>Ongoing</v>
      </c>
      <c r="G2434" s="324">
        <v>45786</v>
      </c>
      <c r="H2434" s="324">
        <v>47848</v>
      </c>
      <c r="I2434" s="325">
        <v>43800</v>
      </c>
      <c r="J243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434" s="133">
        <f>_xlfn.XLOOKUP(Market_Data[[#This Row],[Project Type]],tbl_assumptions_market[Project Category (RERA)],tbl_assumptions_market[Concrete Intensity
(m³ / sq m BUA)],"",0)</f>
        <v>0.5</v>
      </c>
      <c r="L2434" s="134">
        <f>ROUND(Market_Data[[#This Row],[Estimated Built Up Area (sq m)]]*Market_Data[[#This Row],[Concrete Intensity
(m³ / sq m)]],0)</f>
        <v>21900</v>
      </c>
      <c r="M2434" s="135">
        <f>_xlfn.XLOOKUP(Market_Data[[#This Row],[District]],tbl_district_price[District],tbl_district_price[Standard Price
(INR/m³)],"",0)</f>
        <v>6200</v>
      </c>
      <c r="N2434" s="364">
        <f>IF(OR(Market_Data[[#This Row],[Estimated Concrete Demand (m³)]]="",Market_Data[[#This Row],[Avg Price per (₹ / m³)]]=""),"",Market_Data[[#This Row],[Estimated Concrete Demand (m³)]]*Market_Data[[#This Row],[Avg Price per (₹ / m³)]]/10000000)</f>
        <v>13.577999999999999</v>
      </c>
      <c r="O2434" s="97" t="str">
        <f>IF(Market_Data[[#This Row],[Estimated Concrete Demand (m³)]]="","",
IF(Market_Data[[#This Row],[Estimated Concrete Demand (m³)]]&lt;10000,"Small",
IF(Market_Data[[#This Row],[Estimated Concrete Demand (m³)]]&lt;25000,"Medium",
IF(Market_Data[[#This Row],[Estimated Concrete Demand (m³)]]&lt;100000,"Large","Mega"))))</f>
        <v>Medium</v>
      </c>
      <c r="P2434" s="287" t="str">
        <f t="shared" si="39"/>
        <v>GujRERA</v>
      </c>
    </row>
    <row r="2435" spans="1:16">
      <c r="A2435" s="129" t="str">
        <f>_xlfn.XLOOKUP(B2435,$S$9:$S$14,$T$9:$T$14)&amp;"-"&amp;
IF(E2435="Residential/Group Housing","RES",
IF(E2435="Commercial","COM",
IF(E2435="Mixed Development","MIX",
IF(E2435="Plotted Development","PLT","OTH"))))
&amp;"-"&amp;TEXT(COUNTIFS($B$9:B2435,B2435,$E$9:E2435,E2435),"0000")</f>
        <v>SUR-RES-0825</v>
      </c>
      <c r="B2435" s="322" t="s">
        <v>34</v>
      </c>
      <c r="C2435" s="322" t="s">
        <v>34</v>
      </c>
      <c r="D2435" s="323" t="s">
        <v>2624</v>
      </c>
      <c r="E2435" s="132" t="s">
        <v>24</v>
      </c>
      <c r="F2435" s="97" t="str">
        <f ca="1">IF(OR(Market_Data[[#This Row],[Start Date]]="",Market_Data[[#This Row],[Completion Date]]=""),"Needs Validation",IF(Market_Data[[#This Row],[Start Date]]&gt;TODAY(),"Planned",IF(Market_Data[[#This Row],[Completion Date]]&lt;TODAY(),"Completed","Ongoing")))</f>
        <v>Ongoing</v>
      </c>
      <c r="G2435" s="324">
        <v>44650</v>
      </c>
      <c r="H2435" s="324">
        <v>46386</v>
      </c>
      <c r="I2435" s="325">
        <v>16000</v>
      </c>
      <c r="J243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35" s="133">
        <f>_xlfn.XLOOKUP(Market_Data[[#This Row],[Project Type]],tbl_assumptions_market[Project Category (RERA)],tbl_assumptions_market[Concrete Intensity
(m³ / sq m BUA)],"",0)</f>
        <v>0.45</v>
      </c>
      <c r="L2435" s="134">
        <f>ROUND(Market_Data[[#This Row],[Estimated Built Up Area (sq m)]]*Market_Data[[#This Row],[Concrete Intensity
(m³ / sq m)]],0)</f>
        <v>7200</v>
      </c>
      <c r="M2435" s="135">
        <f>_xlfn.XLOOKUP(Market_Data[[#This Row],[District]],tbl_district_price[District],tbl_district_price[Standard Price
(INR/m³)],"",0)</f>
        <v>6200</v>
      </c>
      <c r="N2435" s="364">
        <f>IF(OR(Market_Data[[#This Row],[Estimated Concrete Demand (m³)]]="",Market_Data[[#This Row],[Avg Price per (₹ / m³)]]=""),"",Market_Data[[#This Row],[Estimated Concrete Demand (m³)]]*Market_Data[[#This Row],[Avg Price per (₹ / m³)]]/10000000)</f>
        <v>4.4640000000000004</v>
      </c>
      <c r="O2435" s="97" t="str">
        <f>IF(Market_Data[[#This Row],[Estimated Concrete Demand (m³)]]="","",
IF(Market_Data[[#This Row],[Estimated Concrete Demand (m³)]]&lt;10000,"Small",
IF(Market_Data[[#This Row],[Estimated Concrete Demand (m³)]]&lt;25000,"Medium",
IF(Market_Data[[#This Row],[Estimated Concrete Demand (m³)]]&lt;100000,"Large","Mega"))))</f>
        <v>Small</v>
      </c>
      <c r="P2435" s="287" t="str">
        <f t="shared" si="39"/>
        <v>GujRERA</v>
      </c>
    </row>
    <row r="2436" spans="1:16">
      <c r="A2436" s="129" t="str">
        <f>_xlfn.XLOOKUP(B2436,$S$9:$S$14,$T$9:$T$14)&amp;"-"&amp;
IF(E2436="Residential/Group Housing","RES",
IF(E2436="Commercial","COM",
IF(E2436="Mixed Development","MIX",
IF(E2436="Plotted Development","PLT","OTH"))))
&amp;"-"&amp;TEXT(COUNTIFS($B$9:B2436,B2436,$E$9:E2436,E2436),"0000")</f>
        <v>SUR-RES-0826</v>
      </c>
      <c r="B2436" s="322" t="s">
        <v>34</v>
      </c>
      <c r="C2436" s="322" t="s">
        <v>34</v>
      </c>
      <c r="D2436" s="323" t="s">
        <v>2625</v>
      </c>
      <c r="E2436" s="132" t="s">
        <v>24</v>
      </c>
      <c r="F2436" s="97" t="str">
        <f ca="1">IF(OR(Market_Data[[#This Row],[Start Date]]="",Market_Data[[#This Row],[Completion Date]]=""),"Needs Validation",IF(Market_Data[[#This Row],[Start Date]]&gt;TODAY(),"Planned",IF(Market_Data[[#This Row],[Completion Date]]&lt;TODAY(),"Completed","Ongoing")))</f>
        <v>Ongoing</v>
      </c>
      <c r="G2436" s="324">
        <v>45729</v>
      </c>
      <c r="H2436" s="324">
        <v>47118</v>
      </c>
      <c r="I2436" s="325">
        <v>49600</v>
      </c>
      <c r="J243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36" s="133">
        <f>_xlfn.XLOOKUP(Market_Data[[#This Row],[Project Type]],tbl_assumptions_market[Project Category (RERA)],tbl_assumptions_market[Concrete Intensity
(m³ / sq m BUA)],"",0)</f>
        <v>0.45</v>
      </c>
      <c r="L2436" s="134">
        <f>ROUND(Market_Data[[#This Row],[Estimated Built Up Area (sq m)]]*Market_Data[[#This Row],[Concrete Intensity
(m³ / sq m)]],0)</f>
        <v>22320</v>
      </c>
      <c r="M2436" s="135">
        <f>_xlfn.XLOOKUP(Market_Data[[#This Row],[District]],tbl_district_price[District],tbl_district_price[Standard Price
(INR/m³)],"",0)</f>
        <v>6200</v>
      </c>
      <c r="N2436" s="364">
        <f>IF(OR(Market_Data[[#This Row],[Estimated Concrete Demand (m³)]]="",Market_Data[[#This Row],[Avg Price per (₹ / m³)]]=""),"",Market_Data[[#This Row],[Estimated Concrete Demand (m³)]]*Market_Data[[#This Row],[Avg Price per (₹ / m³)]]/10000000)</f>
        <v>13.8384</v>
      </c>
      <c r="O2436" s="97" t="str">
        <f>IF(Market_Data[[#This Row],[Estimated Concrete Demand (m³)]]="","",
IF(Market_Data[[#This Row],[Estimated Concrete Demand (m³)]]&lt;10000,"Small",
IF(Market_Data[[#This Row],[Estimated Concrete Demand (m³)]]&lt;25000,"Medium",
IF(Market_Data[[#This Row],[Estimated Concrete Demand (m³)]]&lt;100000,"Large","Mega"))))</f>
        <v>Medium</v>
      </c>
      <c r="P2436" s="287" t="str">
        <f t="shared" si="39"/>
        <v>GujRERA</v>
      </c>
    </row>
    <row r="2437" spans="1:16">
      <c r="A2437" s="129" t="str">
        <f>_xlfn.XLOOKUP(B2437,$S$9:$S$14,$T$9:$T$14)&amp;"-"&amp;
IF(E2437="Residential/Group Housing","RES",
IF(E2437="Commercial","COM",
IF(E2437="Mixed Development","MIX",
IF(E2437="Plotted Development","PLT","OTH"))))
&amp;"-"&amp;TEXT(COUNTIFS($B$9:B2437,B2437,$E$9:E2437,E2437),"0000")</f>
        <v>SUR-RES-0827</v>
      </c>
      <c r="B2437" s="322" t="s">
        <v>34</v>
      </c>
      <c r="C2437" s="322" t="s">
        <v>34</v>
      </c>
      <c r="D2437" s="323" t="s">
        <v>2626</v>
      </c>
      <c r="E2437" s="132" t="s">
        <v>24</v>
      </c>
      <c r="F2437" s="97" t="str">
        <f ca="1">IF(OR(Market_Data[[#This Row],[Start Date]]="",Market_Data[[#This Row],[Completion Date]]=""),"Needs Validation",IF(Market_Data[[#This Row],[Start Date]]&gt;TODAY(),"Planned",IF(Market_Data[[#This Row],[Completion Date]]&lt;TODAY(),"Completed","Ongoing")))</f>
        <v>Completed</v>
      </c>
      <c r="G2437" s="324">
        <v>42826</v>
      </c>
      <c r="H2437" s="324">
        <v>46203</v>
      </c>
      <c r="I2437" s="325">
        <v>23900</v>
      </c>
      <c r="J243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37" s="133">
        <f>_xlfn.XLOOKUP(Market_Data[[#This Row],[Project Type]],tbl_assumptions_market[Project Category (RERA)],tbl_assumptions_market[Concrete Intensity
(m³ / sq m BUA)],"",0)</f>
        <v>0.45</v>
      </c>
      <c r="L2437" s="134">
        <f>ROUND(Market_Data[[#This Row],[Estimated Built Up Area (sq m)]]*Market_Data[[#This Row],[Concrete Intensity
(m³ / sq m)]],0)</f>
        <v>10755</v>
      </c>
      <c r="M2437" s="135">
        <f>_xlfn.XLOOKUP(Market_Data[[#This Row],[District]],tbl_district_price[District],tbl_district_price[Standard Price
(INR/m³)],"",0)</f>
        <v>6200</v>
      </c>
      <c r="N2437" s="364">
        <f>IF(OR(Market_Data[[#This Row],[Estimated Concrete Demand (m³)]]="",Market_Data[[#This Row],[Avg Price per (₹ / m³)]]=""),"",Market_Data[[#This Row],[Estimated Concrete Demand (m³)]]*Market_Data[[#This Row],[Avg Price per (₹ / m³)]]/10000000)</f>
        <v>6.6680999999999999</v>
      </c>
      <c r="O2437" s="97" t="str">
        <f>IF(Market_Data[[#This Row],[Estimated Concrete Demand (m³)]]="","",
IF(Market_Data[[#This Row],[Estimated Concrete Demand (m³)]]&lt;10000,"Small",
IF(Market_Data[[#This Row],[Estimated Concrete Demand (m³)]]&lt;25000,"Medium",
IF(Market_Data[[#This Row],[Estimated Concrete Demand (m³)]]&lt;100000,"Large","Mega"))))</f>
        <v>Medium</v>
      </c>
      <c r="P2437" s="287" t="str">
        <f t="shared" si="39"/>
        <v>GujRERA</v>
      </c>
    </row>
    <row r="2438" spans="1:16">
      <c r="A2438" s="129" t="str">
        <f>_xlfn.XLOOKUP(B2438,$S$9:$S$14,$T$9:$T$14)&amp;"-"&amp;
IF(E2438="Residential/Group Housing","RES",
IF(E2438="Commercial","COM",
IF(E2438="Mixed Development","MIX",
IF(E2438="Plotted Development","PLT","OTH"))))
&amp;"-"&amp;TEXT(COUNTIFS($B$9:B2438,B2438,$E$9:E2438,E2438),"0000")</f>
        <v>SUR-RES-0828</v>
      </c>
      <c r="B2438" s="322" t="s">
        <v>34</v>
      </c>
      <c r="C2438" s="322" t="s">
        <v>34</v>
      </c>
      <c r="D2438" s="323" t="s">
        <v>2627</v>
      </c>
      <c r="E2438" s="132" t="s">
        <v>24</v>
      </c>
      <c r="F2438" s="97" t="str">
        <f ca="1">IF(OR(Market_Data[[#This Row],[Start Date]]="",Market_Data[[#This Row],[Completion Date]]=""),"Needs Validation",IF(Market_Data[[#This Row],[Start Date]]&gt;TODAY(),"Planned",IF(Market_Data[[#This Row],[Completion Date]]&lt;TODAY(),"Completed","Ongoing")))</f>
        <v>Ongoing</v>
      </c>
      <c r="G2438" s="324">
        <v>44806</v>
      </c>
      <c r="H2438" s="324">
        <v>46752</v>
      </c>
      <c r="I2438" s="325">
        <v>18000</v>
      </c>
      <c r="J243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38" s="133">
        <f>_xlfn.XLOOKUP(Market_Data[[#This Row],[Project Type]],tbl_assumptions_market[Project Category (RERA)],tbl_assumptions_market[Concrete Intensity
(m³ / sq m BUA)],"",0)</f>
        <v>0.45</v>
      </c>
      <c r="L2438" s="134">
        <f>ROUND(Market_Data[[#This Row],[Estimated Built Up Area (sq m)]]*Market_Data[[#This Row],[Concrete Intensity
(m³ / sq m)]],0)</f>
        <v>8100</v>
      </c>
      <c r="M2438" s="135">
        <f>_xlfn.XLOOKUP(Market_Data[[#This Row],[District]],tbl_district_price[District],tbl_district_price[Standard Price
(INR/m³)],"",0)</f>
        <v>6200</v>
      </c>
      <c r="N2438" s="364">
        <f>IF(OR(Market_Data[[#This Row],[Estimated Concrete Demand (m³)]]="",Market_Data[[#This Row],[Avg Price per (₹ / m³)]]=""),"",Market_Data[[#This Row],[Estimated Concrete Demand (m³)]]*Market_Data[[#This Row],[Avg Price per (₹ / m³)]]/10000000)</f>
        <v>5.0220000000000002</v>
      </c>
      <c r="O2438" s="97" t="str">
        <f>IF(Market_Data[[#This Row],[Estimated Concrete Demand (m³)]]="","",
IF(Market_Data[[#This Row],[Estimated Concrete Demand (m³)]]&lt;10000,"Small",
IF(Market_Data[[#This Row],[Estimated Concrete Demand (m³)]]&lt;25000,"Medium",
IF(Market_Data[[#This Row],[Estimated Concrete Demand (m³)]]&lt;100000,"Large","Mega"))))</f>
        <v>Small</v>
      </c>
      <c r="P2438" s="287" t="str">
        <f t="shared" si="39"/>
        <v>GujRERA</v>
      </c>
    </row>
    <row r="2439" spans="1:16">
      <c r="A2439" s="129" t="str">
        <f>_xlfn.XLOOKUP(B2439,$S$9:$S$14,$T$9:$T$14)&amp;"-"&amp;
IF(E2439="Residential/Group Housing","RES",
IF(E2439="Commercial","COM",
IF(E2439="Mixed Development","MIX",
IF(E2439="Plotted Development","PLT","OTH"))))
&amp;"-"&amp;TEXT(COUNTIFS($B$9:B2439,B2439,$E$9:E2439,E2439),"0000")</f>
        <v>SUR-RES-0829</v>
      </c>
      <c r="B2439" s="322" t="s">
        <v>34</v>
      </c>
      <c r="C2439" s="322" t="s">
        <v>34</v>
      </c>
      <c r="D2439" s="323" t="s">
        <v>2628</v>
      </c>
      <c r="E2439" s="132" t="s">
        <v>24</v>
      </c>
      <c r="F2439" s="97" t="str">
        <f ca="1">IF(OR(Market_Data[[#This Row],[Start Date]]="",Market_Data[[#This Row],[Completion Date]]=""),"Needs Validation",IF(Market_Data[[#This Row],[Start Date]]&gt;TODAY(),"Planned",IF(Market_Data[[#This Row],[Completion Date]]&lt;TODAY(),"Completed","Ongoing")))</f>
        <v>Completed</v>
      </c>
      <c r="G2439" s="324">
        <v>42851</v>
      </c>
      <c r="H2439" s="324">
        <v>44286</v>
      </c>
      <c r="I2439" s="325">
        <v>9500</v>
      </c>
      <c r="J243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39" s="133">
        <f>_xlfn.XLOOKUP(Market_Data[[#This Row],[Project Type]],tbl_assumptions_market[Project Category (RERA)],tbl_assumptions_market[Concrete Intensity
(m³ / sq m BUA)],"",0)</f>
        <v>0.45</v>
      </c>
      <c r="L2439" s="134">
        <f>ROUND(Market_Data[[#This Row],[Estimated Built Up Area (sq m)]]*Market_Data[[#This Row],[Concrete Intensity
(m³ / sq m)]],0)</f>
        <v>4275</v>
      </c>
      <c r="M2439" s="135">
        <f>_xlfn.XLOOKUP(Market_Data[[#This Row],[District]],tbl_district_price[District],tbl_district_price[Standard Price
(INR/m³)],"",0)</f>
        <v>6200</v>
      </c>
      <c r="N2439" s="364">
        <f>IF(OR(Market_Data[[#This Row],[Estimated Concrete Demand (m³)]]="",Market_Data[[#This Row],[Avg Price per (₹ / m³)]]=""),"",Market_Data[[#This Row],[Estimated Concrete Demand (m³)]]*Market_Data[[#This Row],[Avg Price per (₹ / m³)]]/10000000)</f>
        <v>2.6505000000000001</v>
      </c>
      <c r="O2439" s="97" t="str">
        <f>IF(Market_Data[[#This Row],[Estimated Concrete Demand (m³)]]="","",
IF(Market_Data[[#This Row],[Estimated Concrete Demand (m³)]]&lt;10000,"Small",
IF(Market_Data[[#This Row],[Estimated Concrete Demand (m³)]]&lt;25000,"Medium",
IF(Market_Data[[#This Row],[Estimated Concrete Demand (m³)]]&lt;100000,"Large","Mega"))))</f>
        <v>Small</v>
      </c>
      <c r="P2439" s="287" t="str">
        <f t="shared" si="39"/>
        <v>GujRERA</v>
      </c>
    </row>
    <row r="2440" spans="1:16">
      <c r="A2440" s="129" t="str">
        <f>_xlfn.XLOOKUP(B2440,$S$9:$S$14,$T$9:$T$14)&amp;"-"&amp;
IF(E2440="Residential/Group Housing","RES",
IF(E2440="Commercial","COM",
IF(E2440="Mixed Development","MIX",
IF(E2440="Plotted Development","PLT","OTH"))))
&amp;"-"&amp;TEXT(COUNTIFS($B$9:B2440,B2440,$E$9:E2440,E2440),"0000")</f>
        <v>SUR-COM-0392</v>
      </c>
      <c r="B2440" s="322" t="s">
        <v>34</v>
      </c>
      <c r="C2440" s="322" t="s">
        <v>34</v>
      </c>
      <c r="D2440" s="323" t="s">
        <v>2629</v>
      </c>
      <c r="E2440" s="132" t="s">
        <v>23</v>
      </c>
      <c r="F2440" s="97" t="str">
        <f ca="1">IF(OR(Market_Data[[#This Row],[Start Date]]="",Market_Data[[#This Row],[Completion Date]]=""),"Needs Validation",IF(Market_Data[[#This Row],[Start Date]]&gt;TODAY(),"Planned",IF(Market_Data[[#This Row],[Completion Date]]&lt;TODAY(),"Completed","Ongoing")))</f>
        <v>Completed</v>
      </c>
      <c r="G2440" s="324">
        <v>42723</v>
      </c>
      <c r="H2440" s="324">
        <v>44712</v>
      </c>
      <c r="I2440" s="325">
        <v>38200</v>
      </c>
      <c r="J244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440" s="133">
        <f>_xlfn.XLOOKUP(Market_Data[[#This Row],[Project Type]],tbl_assumptions_market[Project Category (RERA)],tbl_assumptions_market[Concrete Intensity
(m³ / sq m BUA)],"",0)</f>
        <v>0.5</v>
      </c>
      <c r="L2440" s="134">
        <f>ROUND(Market_Data[[#This Row],[Estimated Built Up Area (sq m)]]*Market_Data[[#This Row],[Concrete Intensity
(m³ / sq m)]],0)</f>
        <v>19100</v>
      </c>
      <c r="M2440" s="135">
        <f>_xlfn.XLOOKUP(Market_Data[[#This Row],[District]],tbl_district_price[District],tbl_district_price[Standard Price
(INR/m³)],"",0)</f>
        <v>6200</v>
      </c>
      <c r="N2440" s="364">
        <f>IF(OR(Market_Data[[#This Row],[Estimated Concrete Demand (m³)]]="",Market_Data[[#This Row],[Avg Price per (₹ / m³)]]=""),"",Market_Data[[#This Row],[Estimated Concrete Demand (m³)]]*Market_Data[[#This Row],[Avg Price per (₹ / m³)]]/10000000)</f>
        <v>11.842000000000001</v>
      </c>
      <c r="O2440" s="97" t="str">
        <f>IF(Market_Data[[#This Row],[Estimated Concrete Demand (m³)]]="","",
IF(Market_Data[[#This Row],[Estimated Concrete Demand (m³)]]&lt;10000,"Small",
IF(Market_Data[[#This Row],[Estimated Concrete Demand (m³)]]&lt;25000,"Medium",
IF(Market_Data[[#This Row],[Estimated Concrete Demand (m³)]]&lt;100000,"Large","Mega"))))</f>
        <v>Medium</v>
      </c>
      <c r="P2440" s="287" t="str">
        <f t="shared" si="39"/>
        <v>GujRERA</v>
      </c>
    </row>
    <row r="2441" spans="1:16">
      <c r="A2441" s="129" t="str">
        <f>_xlfn.XLOOKUP(B2441,$S$9:$S$14,$T$9:$T$14)&amp;"-"&amp;
IF(E2441="Residential/Group Housing","RES",
IF(E2441="Commercial","COM",
IF(E2441="Mixed Development","MIX",
IF(E2441="Plotted Development","PLT","OTH"))))
&amp;"-"&amp;TEXT(COUNTIFS($B$9:B2441,B2441,$E$9:E2441,E2441),"0000")</f>
        <v>SUR-RES-0830</v>
      </c>
      <c r="B2441" s="322" t="s">
        <v>34</v>
      </c>
      <c r="C2441" s="322" t="s">
        <v>34</v>
      </c>
      <c r="D2441" s="323" t="s">
        <v>2630</v>
      </c>
      <c r="E2441" s="132" t="s">
        <v>24</v>
      </c>
      <c r="F2441" s="97" t="str">
        <f ca="1">IF(OR(Market_Data[[#This Row],[Start Date]]="",Market_Data[[#This Row],[Completion Date]]=""),"Needs Validation",IF(Market_Data[[#This Row],[Start Date]]&gt;TODAY(),"Planned",IF(Market_Data[[#This Row],[Completion Date]]&lt;TODAY(),"Completed","Ongoing")))</f>
        <v>Ongoing</v>
      </c>
      <c r="G2441" s="324">
        <v>45034</v>
      </c>
      <c r="H2441" s="324">
        <v>46752</v>
      </c>
      <c r="I2441" s="325">
        <v>13300</v>
      </c>
      <c r="J244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41" s="133">
        <f>_xlfn.XLOOKUP(Market_Data[[#This Row],[Project Type]],tbl_assumptions_market[Project Category (RERA)],tbl_assumptions_market[Concrete Intensity
(m³ / sq m BUA)],"",0)</f>
        <v>0.45</v>
      </c>
      <c r="L2441" s="134">
        <f>ROUND(Market_Data[[#This Row],[Estimated Built Up Area (sq m)]]*Market_Data[[#This Row],[Concrete Intensity
(m³ / sq m)]],0)</f>
        <v>5985</v>
      </c>
      <c r="M2441" s="135">
        <f>_xlfn.XLOOKUP(Market_Data[[#This Row],[District]],tbl_district_price[District],tbl_district_price[Standard Price
(INR/m³)],"",0)</f>
        <v>6200</v>
      </c>
      <c r="N2441" s="364">
        <f>IF(OR(Market_Data[[#This Row],[Estimated Concrete Demand (m³)]]="",Market_Data[[#This Row],[Avg Price per (₹ / m³)]]=""),"",Market_Data[[#This Row],[Estimated Concrete Demand (m³)]]*Market_Data[[#This Row],[Avg Price per (₹ / m³)]]/10000000)</f>
        <v>3.7107000000000001</v>
      </c>
      <c r="O2441" s="97" t="str">
        <f>IF(Market_Data[[#This Row],[Estimated Concrete Demand (m³)]]="","",
IF(Market_Data[[#This Row],[Estimated Concrete Demand (m³)]]&lt;10000,"Small",
IF(Market_Data[[#This Row],[Estimated Concrete Demand (m³)]]&lt;25000,"Medium",
IF(Market_Data[[#This Row],[Estimated Concrete Demand (m³)]]&lt;100000,"Large","Mega"))))</f>
        <v>Small</v>
      </c>
      <c r="P2441" s="287" t="str">
        <f t="shared" si="39"/>
        <v>GujRERA</v>
      </c>
    </row>
    <row r="2442" spans="1:16">
      <c r="A2442" s="129" t="str">
        <f>_xlfn.XLOOKUP(B2442,$S$9:$S$14,$T$9:$T$14)&amp;"-"&amp;
IF(E2442="Residential/Group Housing","RES",
IF(E2442="Commercial","COM",
IF(E2442="Mixed Development","MIX",
IF(E2442="Plotted Development","PLT","OTH"))))
&amp;"-"&amp;TEXT(COUNTIFS($B$9:B2442,B2442,$E$9:E2442,E2442),"0000")</f>
        <v>SUR-RES-0831</v>
      </c>
      <c r="B2442" s="322" t="s">
        <v>34</v>
      </c>
      <c r="C2442" s="322" t="s">
        <v>34</v>
      </c>
      <c r="D2442" s="323" t="s">
        <v>2631</v>
      </c>
      <c r="E2442" s="132" t="s">
        <v>24</v>
      </c>
      <c r="F2442" s="97" t="str">
        <f ca="1">IF(OR(Market_Data[[#This Row],[Start Date]]="",Market_Data[[#This Row],[Completion Date]]=""),"Needs Validation",IF(Market_Data[[#This Row],[Start Date]]&gt;TODAY(),"Planned",IF(Market_Data[[#This Row],[Completion Date]]&lt;TODAY(),"Completed","Ongoing")))</f>
        <v>Completed</v>
      </c>
      <c r="G2442" s="324">
        <v>44260</v>
      </c>
      <c r="H2442" s="324">
        <v>45565</v>
      </c>
      <c r="I2442" s="325">
        <v>12300</v>
      </c>
      <c r="J244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42" s="133">
        <f>_xlfn.XLOOKUP(Market_Data[[#This Row],[Project Type]],tbl_assumptions_market[Project Category (RERA)],tbl_assumptions_market[Concrete Intensity
(m³ / sq m BUA)],"",0)</f>
        <v>0.45</v>
      </c>
      <c r="L2442" s="134">
        <f>ROUND(Market_Data[[#This Row],[Estimated Built Up Area (sq m)]]*Market_Data[[#This Row],[Concrete Intensity
(m³ / sq m)]],0)</f>
        <v>5535</v>
      </c>
      <c r="M2442" s="135">
        <f>_xlfn.XLOOKUP(Market_Data[[#This Row],[District]],tbl_district_price[District],tbl_district_price[Standard Price
(INR/m³)],"",0)</f>
        <v>6200</v>
      </c>
      <c r="N2442" s="364">
        <f>IF(OR(Market_Data[[#This Row],[Estimated Concrete Demand (m³)]]="",Market_Data[[#This Row],[Avg Price per (₹ / m³)]]=""),"",Market_Data[[#This Row],[Estimated Concrete Demand (m³)]]*Market_Data[[#This Row],[Avg Price per (₹ / m³)]]/10000000)</f>
        <v>3.4317000000000002</v>
      </c>
      <c r="O2442" s="97" t="str">
        <f>IF(Market_Data[[#This Row],[Estimated Concrete Demand (m³)]]="","",
IF(Market_Data[[#This Row],[Estimated Concrete Demand (m³)]]&lt;10000,"Small",
IF(Market_Data[[#This Row],[Estimated Concrete Demand (m³)]]&lt;25000,"Medium",
IF(Market_Data[[#This Row],[Estimated Concrete Demand (m³)]]&lt;100000,"Large","Mega"))))</f>
        <v>Small</v>
      </c>
      <c r="P2442" s="287" t="str">
        <f t="shared" ref="P2442:P2505" si="40">HYPERLINK(
"https://gujrera.gujarat.gov.in",
"GujRERA")</f>
        <v>GujRERA</v>
      </c>
    </row>
    <row r="2443" spans="1:16">
      <c r="A2443" s="129" t="str">
        <f>_xlfn.XLOOKUP(B2443,$S$9:$S$14,$T$9:$T$14)&amp;"-"&amp;
IF(E2443="Residential/Group Housing","RES",
IF(E2443="Commercial","COM",
IF(E2443="Mixed Development","MIX",
IF(E2443="Plotted Development","PLT","OTH"))))
&amp;"-"&amp;TEXT(COUNTIFS($B$9:B2443,B2443,$E$9:E2443,E2443),"0000")</f>
        <v>SUR-MIX-0444</v>
      </c>
      <c r="B2443" s="322" t="s">
        <v>34</v>
      </c>
      <c r="C2443" s="322" t="s">
        <v>34</v>
      </c>
      <c r="D2443" s="323" t="s">
        <v>2632</v>
      </c>
      <c r="E2443" s="132" t="s">
        <v>25</v>
      </c>
      <c r="F2443" s="97" t="str">
        <f ca="1">IF(OR(Market_Data[[#This Row],[Start Date]]="",Market_Data[[#This Row],[Completion Date]]=""),"Needs Validation",IF(Market_Data[[#This Row],[Start Date]]&gt;TODAY(),"Planned",IF(Market_Data[[#This Row],[Completion Date]]&lt;TODAY(),"Completed","Ongoing")))</f>
        <v>Ongoing</v>
      </c>
      <c r="G2443" s="324">
        <v>44539</v>
      </c>
      <c r="H2443" s="324">
        <v>46386</v>
      </c>
      <c r="I2443" s="325">
        <v>2700</v>
      </c>
      <c r="J244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443" s="133">
        <f>_xlfn.XLOOKUP(Market_Data[[#This Row],[Project Type]],tbl_assumptions_market[Project Category (RERA)],tbl_assumptions_market[Concrete Intensity
(m³ / sq m BUA)],"",0)</f>
        <v>0.42</v>
      </c>
      <c r="L2443" s="134">
        <f>ROUND(Market_Data[[#This Row],[Estimated Built Up Area (sq m)]]*Market_Data[[#This Row],[Concrete Intensity
(m³ / sq m)]],0)</f>
        <v>1134</v>
      </c>
      <c r="M2443" s="135">
        <f>_xlfn.XLOOKUP(Market_Data[[#This Row],[District]],tbl_district_price[District],tbl_district_price[Standard Price
(INR/m³)],"",0)</f>
        <v>6200</v>
      </c>
      <c r="N2443" s="364">
        <f>IF(OR(Market_Data[[#This Row],[Estimated Concrete Demand (m³)]]="",Market_Data[[#This Row],[Avg Price per (₹ / m³)]]=""),"",Market_Data[[#This Row],[Estimated Concrete Demand (m³)]]*Market_Data[[#This Row],[Avg Price per (₹ / m³)]]/10000000)</f>
        <v>0.70308000000000004</v>
      </c>
      <c r="O2443" s="97" t="str">
        <f>IF(Market_Data[[#This Row],[Estimated Concrete Demand (m³)]]="","",
IF(Market_Data[[#This Row],[Estimated Concrete Demand (m³)]]&lt;10000,"Small",
IF(Market_Data[[#This Row],[Estimated Concrete Demand (m³)]]&lt;25000,"Medium",
IF(Market_Data[[#This Row],[Estimated Concrete Demand (m³)]]&lt;100000,"Large","Mega"))))</f>
        <v>Small</v>
      </c>
      <c r="P2443" s="287" t="str">
        <f t="shared" si="40"/>
        <v>GujRERA</v>
      </c>
    </row>
    <row r="2444" spans="1:16">
      <c r="A2444" s="129" t="str">
        <f>_xlfn.XLOOKUP(B2444,$S$9:$S$14,$T$9:$T$14)&amp;"-"&amp;
IF(E2444="Residential/Group Housing","RES",
IF(E2444="Commercial","COM",
IF(E2444="Mixed Development","MIX",
IF(E2444="Plotted Development","PLT","OTH"))))
&amp;"-"&amp;TEXT(COUNTIFS($B$9:B2444,B2444,$E$9:E2444,E2444),"0000")</f>
        <v>SUR-COM-0393</v>
      </c>
      <c r="B2444" s="322" t="s">
        <v>34</v>
      </c>
      <c r="C2444" s="322" t="s">
        <v>34</v>
      </c>
      <c r="D2444" s="323" t="s">
        <v>2633</v>
      </c>
      <c r="E2444" s="132" t="s">
        <v>23</v>
      </c>
      <c r="F2444" s="97" t="str">
        <f ca="1">IF(OR(Market_Data[[#This Row],[Start Date]]="",Market_Data[[#This Row],[Completion Date]]=""),"Needs Validation",IF(Market_Data[[#This Row],[Start Date]]&gt;TODAY(),"Planned",IF(Market_Data[[#This Row],[Completion Date]]&lt;TODAY(),"Completed","Ongoing")))</f>
        <v>Completed</v>
      </c>
      <c r="G2444" s="324">
        <v>43472</v>
      </c>
      <c r="H2444" s="324">
        <v>45169</v>
      </c>
      <c r="I2444" s="325">
        <v>3400</v>
      </c>
      <c r="J244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44" s="133">
        <f>_xlfn.XLOOKUP(Market_Data[[#This Row],[Project Type]],tbl_assumptions_market[Project Category (RERA)],tbl_assumptions_market[Concrete Intensity
(m³ / sq m BUA)],"",0)</f>
        <v>0.5</v>
      </c>
      <c r="L2444" s="134">
        <f>ROUND(Market_Data[[#This Row],[Estimated Built Up Area (sq m)]]*Market_Data[[#This Row],[Concrete Intensity
(m³ / sq m)]],0)</f>
        <v>1700</v>
      </c>
      <c r="M2444" s="135">
        <f>_xlfn.XLOOKUP(Market_Data[[#This Row],[District]],tbl_district_price[District],tbl_district_price[Standard Price
(INR/m³)],"",0)</f>
        <v>6200</v>
      </c>
      <c r="N2444" s="364">
        <f>IF(OR(Market_Data[[#This Row],[Estimated Concrete Demand (m³)]]="",Market_Data[[#This Row],[Avg Price per (₹ / m³)]]=""),"",Market_Data[[#This Row],[Estimated Concrete Demand (m³)]]*Market_Data[[#This Row],[Avg Price per (₹ / m³)]]/10000000)</f>
        <v>1.054</v>
      </c>
      <c r="O2444" s="97" t="str">
        <f>IF(Market_Data[[#This Row],[Estimated Concrete Demand (m³)]]="","",
IF(Market_Data[[#This Row],[Estimated Concrete Demand (m³)]]&lt;10000,"Small",
IF(Market_Data[[#This Row],[Estimated Concrete Demand (m³)]]&lt;25000,"Medium",
IF(Market_Data[[#This Row],[Estimated Concrete Demand (m³)]]&lt;100000,"Large","Mega"))))</f>
        <v>Small</v>
      </c>
      <c r="P2444" s="287" t="str">
        <f t="shared" si="40"/>
        <v>GujRERA</v>
      </c>
    </row>
    <row r="2445" spans="1:16">
      <c r="A2445" s="129" t="str">
        <f>_xlfn.XLOOKUP(B2445,$S$9:$S$14,$T$9:$T$14)&amp;"-"&amp;
IF(E2445="Residential/Group Housing","RES",
IF(E2445="Commercial","COM",
IF(E2445="Mixed Development","MIX",
IF(E2445="Plotted Development","PLT","OTH"))))
&amp;"-"&amp;TEXT(COUNTIFS($B$9:B2445,B2445,$E$9:E2445,E2445),"0000")</f>
        <v>SUR-RES-0832</v>
      </c>
      <c r="B2445" s="322" t="s">
        <v>34</v>
      </c>
      <c r="C2445" s="322" t="s">
        <v>34</v>
      </c>
      <c r="D2445" s="323" t="s">
        <v>2634</v>
      </c>
      <c r="E2445" s="132" t="s">
        <v>24</v>
      </c>
      <c r="F2445" s="97" t="str">
        <f ca="1">IF(OR(Market_Data[[#This Row],[Start Date]]="",Market_Data[[#This Row],[Completion Date]]=""),"Needs Validation",IF(Market_Data[[#This Row],[Start Date]]&gt;TODAY(),"Planned",IF(Market_Data[[#This Row],[Completion Date]]&lt;TODAY(),"Completed","Ongoing")))</f>
        <v>Completed</v>
      </c>
      <c r="G2445" s="324">
        <v>42877</v>
      </c>
      <c r="H2445" s="324">
        <v>43791</v>
      </c>
      <c r="I2445" s="325">
        <v>39400</v>
      </c>
      <c r="J244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45" s="133">
        <f>_xlfn.XLOOKUP(Market_Data[[#This Row],[Project Type]],tbl_assumptions_market[Project Category (RERA)],tbl_assumptions_market[Concrete Intensity
(m³ / sq m BUA)],"",0)</f>
        <v>0.45</v>
      </c>
      <c r="L2445" s="134">
        <f>ROUND(Market_Data[[#This Row],[Estimated Built Up Area (sq m)]]*Market_Data[[#This Row],[Concrete Intensity
(m³ / sq m)]],0)</f>
        <v>17730</v>
      </c>
      <c r="M2445" s="135">
        <f>_xlfn.XLOOKUP(Market_Data[[#This Row],[District]],tbl_district_price[District],tbl_district_price[Standard Price
(INR/m³)],"",0)</f>
        <v>6200</v>
      </c>
      <c r="N2445" s="364">
        <f>IF(OR(Market_Data[[#This Row],[Estimated Concrete Demand (m³)]]="",Market_Data[[#This Row],[Avg Price per (₹ / m³)]]=""),"",Market_Data[[#This Row],[Estimated Concrete Demand (m³)]]*Market_Data[[#This Row],[Avg Price per (₹ / m³)]]/10000000)</f>
        <v>10.992599999999999</v>
      </c>
      <c r="O2445" s="97" t="str">
        <f>IF(Market_Data[[#This Row],[Estimated Concrete Demand (m³)]]="","",
IF(Market_Data[[#This Row],[Estimated Concrete Demand (m³)]]&lt;10000,"Small",
IF(Market_Data[[#This Row],[Estimated Concrete Demand (m³)]]&lt;25000,"Medium",
IF(Market_Data[[#This Row],[Estimated Concrete Demand (m³)]]&lt;100000,"Large","Mega"))))</f>
        <v>Medium</v>
      </c>
      <c r="P2445" s="287" t="str">
        <f t="shared" si="40"/>
        <v>GujRERA</v>
      </c>
    </row>
    <row r="2446" spans="1:16">
      <c r="A2446" s="129" t="str">
        <f>_xlfn.XLOOKUP(B2446,$S$9:$S$14,$T$9:$T$14)&amp;"-"&amp;
IF(E2446="Residential/Group Housing","RES",
IF(E2446="Commercial","COM",
IF(E2446="Mixed Development","MIX",
IF(E2446="Plotted Development","PLT","OTH"))))
&amp;"-"&amp;TEXT(COUNTIFS($B$9:B2446,B2446,$E$9:E2446,E2446),"0000")</f>
        <v>SUR-RES-0833</v>
      </c>
      <c r="B2446" s="322" t="s">
        <v>34</v>
      </c>
      <c r="C2446" s="322" t="s">
        <v>34</v>
      </c>
      <c r="D2446" s="323" t="s">
        <v>2635</v>
      </c>
      <c r="E2446" s="132" t="s">
        <v>24</v>
      </c>
      <c r="F2446" s="97" t="str">
        <f ca="1">IF(OR(Market_Data[[#This Row],[Start Date]]="",Market_Data[[#This Row],[Completion Date]]=""),"Needs Validation",IF(Market_Data[[#This Row],[Start Date]]&gt;TODAY(),"Planned",IF(Market_Data[[#This Row],[Completion Date]]&lt;TODAY(),"Completed","Ongoing")))</f>
        <v>Ongoing</v>
      </c>
      <c r="G2446" s="324">
        <v>44378</v>
      </c>
      <c r="H2446" s="324">
        <v>46387</v>
      </c>
      <c r="I2446" s="325">
        <v>29000</v>
      </c>
      <c r="J244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46" s="133">
        <f>_xlfn.XLOOKUP(Market_Data[[#This Row],[Project Type]],tbl_assumptions_market[Project Category (RERA)],tbl_assumptions_market[Concrete Intensity
(m³ / sq m BUA)],"",0)</f>
        <v>0.45</v>
      </c>
      <c r="L2446" s="134">
        <f>ROUND(Market_Data[[#This Row],[Estimated Built Up Area (sq m)]]*Market_Data[[#This Row],[Concrete Intensity
(m³ / sq m)]],0)</f>
        <v>13050</v>
      </c>
      <c r="M2446" s="135">
        <f>_xlfn.XLOOKUP(Market_Data[[#This Row],[District]],tbl_district_price[District],tbl_district_price[Standard Price
(INR/m³)],"",0)</f>
        <v>6200</v>
      </c>
      <c r="N2446" s="364">
        <f>IF(OR(Market_Data[[#This Row],[Estimated Concrete Demand (m³)]]="",Market_Data[[#This Row],[Avg Price per (₹ / m³)]]=""),"",Market_Data[[#This Row],[Estimated Concrete Demand (m³)]]*Market_Data[[#This Row],[Avg Price per (₹ / m³)]]/10000000)</f>
        <v>8.0909999999999993</v>
      </c>
      <c r="O2446" s="97" t="str">
        <f>IF(Market_Data[[#This Row],[Estimated Concrete Demand (m³)]]="","",
IF(Market_Data[[#This Row],[Estimated Concrete Demand (m³)]]&lt;10000,"Small",
IF(Market_Data[[#This Row],[Estimated Concrete Demand (m³)]]&lt;25000,"Medium",
IF(Market_Data[[#This Row],[Estimated Concrete Demand (m³)]]&lt;100000,"Large","Mega"))))</f>
        <v>Medium</v>
      </c>
      <c r="P2446" s="287" t="str">
        <f t="shared" si="40"/>
        <v>GujRERA</v>
      </c>
    </row>
    <row r="2447" spans="1:16">
      <c r="A2447" s="129" t="str">
        <f>_xlfn.XLOOKUP(B2447,$S$9:$S$14,$T$9:$T$14)&amp;"-"&amp;
IF(E2447="Residential/Group Housing","RES",
IF(E2447="Commercial","COM",
IF(E2447="Mixed Development","MIX",
IF(E2447="Plotted Development","PLT","OTH"))))
&amp;"-"&amp;TEXT(COUNTIFS($B$9:B2447,B2447,$E$9:E2447,E2447),"0000")</f>
        <v>SUR-RES-0834</v>
      </c>
      <c r="B2447" s="322" t="s">
        <v>34</v>
      </c>
      <c r="C2447" s="322" t="s">
        <v>34</v>
      </c>
      <c r="D2447" s="323" t="s">
        <v>2636</v>
      </c>
      <c r="E2447" s="132" t="s">
        <v>24</v>
      </c>
      <c r="F2447" s="97" t="str">
        <f ca="1">IF(OR(Market_Data[[#This Row],[Start Date]]="",Market_Data[[#This Row],[Completion Date]]=""),"Needs Validation",IF(Market_Data[[#This Row],[Start Date]]&gt;TODAY(),"Planned",IF(Market_Data[[#This Row],[Completion Date]]&lt;TODAY(),"Completed","Ongoing")))</f>
        <v>Completed</v>
      </c>
      <c r="G2447" s="324">
        <v>42005</v>
      </c>
      <c r="H2447" s="324">
        <v>46053</v>
      </c>
      <c r="I2447" s="325">
        <v>45900</v>
      </c>
      <c r="J244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47" s="133">
        <f>_xlfn.XLOOKUP(Market_Data[[#This Row],[Project Type]],tbl_assumptions_market[Project Category (RERA)],tbl_assumptions_market[Concrete Intensity
(m³ / sq m BUA)],"",0)</f>
        <v>0.45</v>
      </c>
      <c r="L2447" s="134">
        <f>ROUND(Market_Data[[#This Row],[Estimated Built Up Area (sq m)]]*Market_Data[[#This Row],[Concrete Intensity
(m³ / sq m)]],0)</f>
        <v>20655</v>
      </c>
      <c r="M2447" s="135">
        <f>_xlfn.XLOOKUP(Market_Data[[#This Row],[District]],tbl_district_price[District],tbl_district_price[Standard Price
(INR/m³)],"",0)</f>
        <v>6200</v>
      </c>
      <c r="N2447" s="364">
        <f>IF(OR(Market_Data[[#This Row],[Estimated Concrete Demand (m³)]]="",Market_Data[[#This Row],[Avg Price per (₹ / m³)]]=""),"",Market_Data[[#This Row],[Estimated Concrete Demand (m³)]]*Market_Data[[#This Row],[Avg Price per (₹ / m³)]]/10000000)</f>
        <v>12.806100000000001</v>
      </c>
      <c r="O2447" s="97" t="str">
        <f>IF(Market_Data[[#This Row],[Estimated Concrete Demand (m³)]]="","",
IF(Market_Data[[#This Row],[Estimated Concrete Demand (m³)]]&lt;10000,"Small",
IF(Market_Data[[#This Row],[Estimated Concrete Demand (m³)]]&lt;25000,"Medium",
IF(Market_Data[[#This Row],[Estimated Concrete Demand (m³)]]&lt;100000,"Large","Mega"))))</f>
        <v>Medium</v>
      </c>
      <c r="P2447" s="287" t="str">
        <f t="shared" si="40"/>
        <v>GujRERA</v>
      </c>
    </row>
    <row r="2448" spans="1:16">
      <c r="A2448" s="129" t="str">
        <f>_xlfn.XLOOKUP(B2448,$S$9:$S$14,$T$9:$T$14)&amp;"-"&amp;
IF(E2448="Residential/Group Housing","RES",
IF(E2448="Commercial","COM",
IF(E2448="Mixed Development","MIX",
IF(E2448="Plotted Development","PLT","OTH"))))
&amp;"-"&amp;TEXT(COUNTIFS($B$9:B2448,B2448,$E$9:E2448,E2448),"0000")</f>
        <v>SUR-COM-0394</v>
      </c>
      <c r="B2448" s="322" t="s">
        <v>34</v>
      </c>
      <c r="C2448" s="322" t="s">
        <v>34</v>
      </c>
      <c r="D2448" s="323" t="s">
        <v>2637</v>
      </c>
      <c r="E2448" s="132" t="s">
        <v>23</v>
      </c>
      <c r="F2448" s="97" t="str">
        <f ca="1">IF(OR(Market_Data[[#This Row],[Start Date]]="",Market_Data[[#This Row],[Completion Date]]=""),"Needs Validation",IF(Market_Data[[#This Row],[Start Date]]&gt;TODAY(),"Planned",IF(Market_Data[[#This Row],[Completion Date]]&lt;TODAY(),"Completed","Ongoing")))</f>
        <v>Ongoing</v>
      </c>
      <c r="G2448" s="324">
        <v>45673</v>
      </c>
      <c r="H2448" s="324">
        <v>47483</v>
      </c>
      <c r="I2448" s="325">
        <v>51500</v>
      </c>
      <c r="J244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448" s="133">
        <f>_xlfn.XLOOKUP(Market_Data[[#This Row],[Project Type]],tbl_assumptions_market[Project Category (RERA)],tbl_assumptions_market[Concrete Intensity
(m³ / sq m BUA)],"",0)</f>
        <v>0.5</v>
      </c>
      <c r="L2448" s="134">
        <f>ROUND(Market_Data[[#This Row],[Estimated Built Up Area (sq m)]]*Market_Data[[#This Row],[Concrete Intensity
(m³ / sq m)]],0)</f>
        <v>25750</v>
      </c>
      <c r="M2448" s="135">
        <f>_xlfn.XLOOKUP(Market_Data[[#This Row],[District]],tbl_district_price[District],tbl_district_price[Standard Price
(INR/m³)],"",0)</f>
        <v>6200</v>
      </c>
      <c r="N2448" s="364">
        <f>IF(OR(Market_Data[[#This Row],[Estimated Concrete Demand (m³)]]="",Market_Data[[#This Row],[Avg Price per (₹ / m³)]]=""),"",Market_Data[[#This Row],[Estimated Concrete Demand (m³)]]*Market_Data[[#This Row],[Avg Price per (₹ / m³)]]/10000000)</f>
        <v>15.965</v>
      </c>
      <c r="O2448" s="97" t="str">
        <f>IF(Market_Data[[#This Row],[Estimated Concrete Demand (m³)]]="","",
IF(Market_Data[[#This Row],[Estimated Concrete Demand (m³)]]&lt;10000,"Small",
IF(Market_Data[[#This Row],[Estimated Concrete Demand (m³)]]&lt;25000,"Medium",
IF(Market_Data[[#This Row],[Estimated Concrete Demand (m³)]]&lt;100000,"Large","Mega"))))</f>
        <v>Large</v>
      </c>
      <c r="P2448" s="287" t="str">
        <f t="shared" si="40"/>
        <v>GujRERA</v>
      </c>
    </row>
    <row r="2449" spans="1:16">
      <c r="A2449" s="129" t="str">
        <f>_xlfn.XLOOKUP(B2449,$S$9:$S$14,$T$9:$T$14)&amp;"-"&amp;
IF(E2449="Residential/Group Housing","RES",
IF(E2449="Commercial","COM",
IF(E2449="Mixed Development","MIX",
IF(E2449="Plotted Development","PLT","OTH"))))
&amp;"-"&amp;TEXT(COUNTIFS($B$9:B2449,B2449,$E$9:E2449,E2449),"0000")</f>
        <v>SUR-RES-0835</v>
      </c>
      <c r="B2449" s="322" t="s">
        <v>34</v>
      </c>
      <c r="C2449" s="322" t="s">
        <v>34</v>
      </c>
      <c r="D2449" s="323" t="s">
        <v>2638</v>
      </c>
      <c r="E2449" s="132" t="s">
        <v>24</v>
      </c>
      <c r="F2449" s="97" t="str">
        <f ca="1">IF(OR(Market_Data[[#This Row],[Start Date]]="",Market_Data[[#This Row],[Completion Date]]=""),"Needs Validation",IF(Market_Data[[#This Row],[Start Date]]&gt;TODAY(),"Planned",IF(Market_Data[[#This Row],[Completion Date]]&lt;TODAY(),"Completed","Ongoing")))</f>
        <v>Ongoing</v>
      </c>
      <c r="G2449" s="324">
        <v>44937</v>
      </c>
      <c r="H2449" s="324">
        <v>46752</v>
      </c>
      <c r="I2449" s="325">
        <v>36500</v>
      </c>
      <c r="J244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49" s="133">
        <f>_xlfn.XLOOKUP(Market_Data[[#This Row],[Project Type]],tbl_assumptions_market[Project Category (RERA)],tbl_assumptions_market[Concrete Intensity
(m³ / sq m BUA)],"",0)</f>
        <v>0.45</v>
      </c>
      <c r="L2449" s="134">
        <f>ROUND(Market_Data[[#This Row],[Estimated Built Up Area (sq m)]]*Market_Data[[#This Row],[Concrete Intensity
(m³ / sq m)]],0)</f>
        <v>16425</v>
      </c>
      <c r="M2449" s="135">
        <f>_xlfn.XLOOKUP(Market_Data[[#This Row],[District]],tbl_district_price[District],tbl_district_price[Standard Price
(INR/m³)],"",0)</f>
        <v>6200</v>
      </c>
      <c r="N2449" s="364">
        <f>IF(OR(Market_Data[[#This Row],[Estimated Concrete Demand (m³)]]="",Market_Data[[#This Row],[Avg Price per (₹ / m³)]]=""),"",Market_Data[[#This Row],[Estimated Concrete Demand (m³)]]*Market_Data[[#This Row],[Avg Price per (₹ / m³)]]/10000000)</f>
        <v>10.1835</v>
      </c>
      <c r="O2449" s="97" t="str">
        <f>IF(Market_Data[[#This Row],[Estimated Concrete Demand (m³)]]="","",
IF(Market_Data[[#This Row],[Estimated Concrete Demand (m³)]]&lt;10000,"Small",
IF(Market_Data[[#This Row],[Estimated Concrete Demand (m³)]]&lt;25000,"Medium",
IF(Market_Data[[#This Row],[Estimated Concrete Demand (m³)]]&lt;100000,"Large","Mega"))))</f>
        <v>Medium</v>
      </c>
      <c r="P2449" s="287" t="str">
        <f t="shared" si="40"/>
        <v>GujRERA</v>
      </c>
    </row>
    <row r="2450" spans="1:16">
      <c r="A2450" s="129" t="str">
        <f>_xlfn.XLOOKUP(B2450,$S$9:$S$14,$T$9:$T$14)&amp;"-"&amp;
IF(E2450="Residential/Group Housing","RES",
IF(E2450="Commercial","COM",
IF(E2450="Mixed Development","MIX",
IF(E2450="Plotted Development","PLT","OTH"))))
&amp;"-"&amp;TEXT(COUNTIFS($B$9:B2450,B2450,$E$9:E2450,E2450),"0000")</f>
        <v>SUR-COM-0395</v>
      </c>
      <c r="B2450" s="322" t="s">
        <v>34</v>
      </c>
      <c r="C2450" s="322" t="s">
        <v>34</v>
      </c>
      <c r="D2450" s="323" t="s">
        <v>2639</v>
      </c>
      <c r="E2450" s="132" t="s">
        <v>23</v>
      </c>
      <c r="F2450" s="97" t="str">
        <f ca="1">IF(OR(Market_Data[[#This Row],[Start Date]]="",Market_Data[[#This Row],[Completion Date]]=""),"Needs Validation",IF(Market_Data[[#This Row],[Start Date]]&gt;TODAY(),"Planned",IF(Market_Data[[#This Row],[Completion Date]]&lt;TODAY(),"Completed","Ongoing")))</f>
        <v>Ongoing</v>
      </c>
      <c r="G2450" s="324">
        <v>45383</v>
      </c>
      <c r="H2450" s="324">
        <v>47087</v>
      </c>
      <c r="I2450" s="325">
        <v>5000</v>
      </c>
      <c r="J245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50" s="133">
        <f>_xlfn.XLOOKUP(Market_Data[[#This Row],[Project Type]],tbl_assumptions_market[Project Category (RERA)],tbl_assumptions_market[Concrete Intensity
(m³ / sq m BUA)],"",0)</f>
        <v>0.5</v>
      </c>
      <c r="L2450" s="134">
        <f>ROUND(Market_Data[[#This Row],[Estimated Built Up Area (sq m)]]*Market_Data[[#This Row],[Concrete Intensity
(m³ / sq m)]],0)</f>
        <v>2500</v>
      </c>
      <c r="M2450" s="135">
        <f>_xlfn.XLOOKUP(Market_Data[[#This Row],[District]],tbl_district_price[District],tbl_district_price[Standard Price
(INR/m³)],"",0)</f>
        <v>6200</v>
      </c>
      <c r="N2450" s="364">
        <f>IF(OR(Market_Data[[#This Row],[Estimated Concrete Demand (m³)]]="",Market_Data[[#This Row],[Avg Price per (₹ / m³)]]=""),"",Market_Data[[#This Row],[Estimated Concrete Demand (m³)]]*Market_Data[[#This Row],[Avg Price per (₹ / m³)]]/10000000)</f>
        <v>1.55</v>
      </c>
      <c r="O2450" s="97" t="str">
        <f>IF(Market_Data[[#This Row],[Estimated Concrete Demand (m³)]]="","",
IF(Market_Data[[#This Row],[Estimated Concrete Demand (m³)]]&lt;10000,"Small",
IF(Market_Data[[#This Row],[Estimated Concrete Demand (m³)]]&lt;25000,"Medium",
IF(Market_Data[[#This Row],[Estimated Concrete Demand (m³)]]&lt;100000,"Large","Mega"))))</f>
        <v>Small</v>
      </c>
      <c r="P2450" s="287" t="str">
        <f t="shared" si="40"/>
        <v>GujRERA</v>
      </c>
    </row>
    <row r="2451" spans="1:16">
      <c r="A2451" s="129" t="str">
        <f>_xlfn.XLOOKUP(B2451,$S$9:$S$14,$T$9:$T$14)&amp;"-"&amp;
IF(E2451="Residential/Group Housing","RES",
IF(E2451="Commercial","COM",
IF(E2451="Mixed Development","MIX",
IF(E2451="Plotted Development","PLT","OTH"))))
&amp;"-"&amp;TEXT(COUNTIFS($B$9:B2451,B2451,$E$9:E2451,E2451),"0000")</f>
        <v>SUR-COM-0396</v>
      </c>
      <c r="B2451" s="322" t="s">
        <v>34</v>
      </c>
      <c r="C2451" s="322" t="s">
        <v>34</v>
      </c>
      <c r="D2451" s="323" t="s">
        <v>2640</v>
      </c>
      <c r="E2451" s="132" t="s">
        <v>23</v>
      </c>
      <c r="F2451" s="97" t="str">
        <f ca="1">IF(OR(Market_Data[[#This Row],[Start Date]]="",Market_Data[[#This Row],[Completion Date]]=""),"Needs Validation",IF(Market_Data[[#This Row],[Start Date]]&gt;TODAY(),"Planned",IF(Market_Data[[#This Row],[Completion Date]]&lt;TODAY(),"Completed","Ongoing")))</f>
        <v>Completed</v>
      </c>
      <c r="G2451" s="324">
        <v>43552</v>
      </c>
      <c r="H2451" s="324">
        <v>45838</v>
      </c>
      <c r="I2451" s="325">
        <v>51900</v>
      </c>
      <c r="J245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451" s="133">
        <f>_xlfn.XLOOKUP(Market_Data[[#This Row],[Project Type]],tbl_assumptions_market[Project Category (RERA)],tbl_assumptions_market[Concrete Intensity
(m³ / sq m BUA)],"",0)</f>
        <v>0.5</v>
      </c>
      <c r="L2451" s="134">
        <f>ROUND(Market_Data[[#This Row],[Estimated Built Up Area (sq m)]]*Market_Data[[#This Row],[Concrete Intensity
(m³ / sq m)]],0)</f>
        <v>25950</v>
      </c>
      <c r="M2451" s="135">
        <f>_xlfn.XLOOKUP(Market_Data[[#This Row],[District]],tbl_district_price[District],tbl_district_price[Standard Price
(INR/m³)],"",0)</f>
        <v>6200</v>
      </c>
      <c r="N2451" s="364">
        <f>IF(OR(Market_Data[[#This Row],[Estimated Concrete Demand (m³)]]="",Market_Data[[#This Row],[Avg Price per (₹ / m³)]]=""),"",Market_Data[[#This Row],[Estimated Concrete Demand (m³)]]*Market_Data[[#This Row],[Avg Price per (₹ / m³)]]/10000000)</f>
        <v>16.088999999999999</v>
      </c>
      <c r="O2451" s="97" t="str">
        <f>IF(Market_Data[[#This Row],[Estimated Concrete Demand (m³)]]="","",
IF(Market_Data[[#This Row],[Estimated Concrete Demand (m³)]]&lt;10000,"Small",
IF(Market_Data[[#This Row],[Estimated Concrete Demand (m³)]]&lt;25000,"Medium",
IF(Market_Data[[#This Row],[Estimated Concrete Demand (m³)]]&lt;100000,"Large","Mega"))))</f>
        <v>Large</v>
      </c>
      <c r="P2451" s="287" t="str">
        <f t="shared" si="40"/>
        <v>GujRERA</v>
      </c>
    </row>
    <row r="2452" spans="1:16">
      <c r="A2452" s="129" t="str">
        <f>_xlfn.XLOOKUP(B2452,$S$9:$S$14,$T$9:$T$14)&amp;"-"&amp;
IF(E2452="Residential/Group Housing","RES",
IF(E2452="Commercial","COM",
IF(E2452="Mixed Development","MIX",
IF(E2452="Plotted Development","PLT","OTH"))))
&amp;"-"&amp;TEXT(COUNTIFS($B$9:B2452,B2452,$E$9:E2452,E2452),"0000")</f>
        <v>SUR-COM-0397</v>
      </c>
      <c r="B2452" s="322" t="s">
        <v>34</v>
      </c>
      <c r="C2452" s="322" t="s">
        <v>34</v>
      </c>
      <c r="D2452" s="323" t="s">
        <v>2641</v>
      </c>
      <c r="E2452" s="132" t="s">
        <v>23</v>
      </c>
      <c r="F2452" s="97" t="str">
        <f ca="1">IF(OR(Market_Data[[#This Row],[Start Date]]="",Market_Data[[#This Row],[Completion Date]]=""),"Needs Validation",IF(Market_Data[[#This Row],[Start Date]]&gt;TODAY(),"Planned",IF(Market_Data[[#This Row],[Completion Date]]&lt;TODAY(),"Completed","Ongoing")))</f>
        <v>Ongoing</v>
      </c>
      <c r="G2452" s="324">
        <v>44854</v>
      </c>
      <c r="H2452" s="324">
        <v>46699</v>
      </c>
      <c r="I2452" s="325">
        <v>17900</v>
      </c>
      <c r="J245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52" s="133">
        <f>_xlfn.XLOOKUP(Market_Data[[#This Row],[Project Type]],tbl_assumptions_market[Project Category (RERA)],tbl_assumptions_market[Concrete Intensity
(m³ / sq m BUA)],"",0)</f>
        <v>0.5</v>
      </c>
      <c r="L2452" s="134">
        <f>ROUND(Market_Data[[#This Row],[Estimated Built Up Area (sq m)]]*Market_Data[[#This Row],[Concrete Intensity
(m³ / sq m)]],0)</f>
        <v>8950</v>
      </c>
      <c r="M2452" s="135">
        <f>_xlfn.XLOOKUP(Market_Data[[#This Row],[District]],tbl_district_price[District],tbl_district_price[Standard Price
(INR/m³)],"",0)</f>
        <v>6200</v>
      </c>
      <c r="N2452" s="364">
        <f>IF(OR(Market_Data[[#This Row],[Estimated Concrete Demand (m³)]]="",Market_Data[[#This Row],[Avg Price per (₹ / m³)]]=""),"",Market_Data[[#This Row],[Estimated Concrete Demand (m³)]]*Market_Data[[#This Row],[Avg Price per (₹ / m³)]]/10000000)</f>
        <v>5.5490000000000004</v>
      </c>
      <c r="O2452" s="97" t="str">
        <f>IF(Market_Data[[#This Row],[Estimated Concrete Demand (m³)]]="","",
IF(Market_Data[[#This Row],[Estimated Concrete Demand (m³)]]&lt;10000,"Small",
IF(Market_Data[[#This Row],[Estimated Concrete Demand (m³)]]&lt;25000,"Medium",
IF(Market_Data[[#This Row],[Estimated Concrete Demand (m³)]]&lt;100000,"Large","Mega"))))</f>
        <v>Small</v>
      </c>
      <c r="P2452" s="287" t="str">
        <f t="shared" si="40"/>
        <v>GujRERA</v>
      </c>
    </row>
    <row r="2453" spans="1:16">
      <c r="A2453" s="129" t="str">
        <f>_xlfn.XLOOKUP(B2453,$S$9:$S$14,$T$9:$T$14)&amp;"-"&amp;
IF(E2453="Residential/Group Housing","RES",
IF(E2453="Commercial","COM",
IF(E2453="Mixed Development","MIX",
IF(E2453="Plotted Development","PLT","OTH"))))
&amp;"-"&amp;TEXT(COUNTIFS($B$9:B2453,B2453,$E$9:E2453,E2453),"0000")</f>
        <v>SUR-COM-0398</v>
      </c>
      <c r="B2453" s="322" t="s">
        <v>34</v>
      </c>
      <c r="C2453" s="322" t="s">
        <v>34</v>
      </c>
      <c r="D2453" s="323" t="s">
        <v>2642</v>
      </c>
      <c r="E2453" s="132" t="s">
        <v>23</v>
      </c>
      <c r="F2453" s="97" t="str">
        <f ca="1">IF(OR(Market_Data[[#This Row],[Start Date]]="",Market_Data[[#This Row],[Completion Date]]=""),"Needs Validation",IF(Market_Data[[#This Row],[Start Date]]&gt;TODAY(),"Planned",IF(Market_Data[[#This Row],[Completion Date]]&lt;TODAY(),"Completed","Ongoing")))</f>
        <v>Completed</v>
      </c>
      <c r="G2453" s="324">
        <v>42856</v>
      </c>
      <c r="H2453" s="324">
        <v>45107</v>
      </c>
      <c r="I2453" s="325">
        <v>2400</v>
      </c>
      <c r="J245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53" s="133">
        <f>_xlfn.XLOOKUP(Market_Data[[#This Row],[Project Type]],tbl_assumptions_market[Project Category (RERA)],tbl_assumptions_market[Concrete Intensity
(m³ / sq m BUA)],"",0)</f>
        <v>0.5</v>
      </c>
      <c r="L2453" s="134">
        <f>ROUND(Market_Data[[#This Row],[Estimated Built Up Area (sq m)]]*Market_Data[[#This Row],[Concrete Intensity
(m³ / sq m)]],0)</f>
        <v>1200</v>
      </c>
      <c r="M2453" s="135">
        <f>_xlfn.XLOOKUP(Market_Data[[#This Row],[District]],tbl_district_price[District],tbl_district_price[Standard Price
(INR/m³)],"",0)</f>
        <v>6200</v>
      </c>
      <c r="N2453" s="364">
        <f>IF(OR(Market_Data[[#This Row],[Estimated Concrete Demand (m³)]]="",Market_Data[[#This Row],[Avg Price per (₹ / m³)]]=""),"",Market_Data[[#This Row],[Estimated Concrete Demand (m³)]]*Market_Data[[#This Row],[Avg Price per (₹ / m³)]]/10000000)</f>
        <v>0.74399999999999999</v>
      </c>
      <c r="O2453" s="97" t="str">
        <f>IF(Market_Data[[#This Row],[Estimated Concrete Demand (m³)]]="","",
IF(Market_Data[[#This Row],[Estimated Concrete Demand (m³)]]&lt;10000,"Small",
IF(Market_Data[[#This Row],[Estimated Concrete Demand (m³)]]&lt;25000,"Medium",
IF(Market_Data[[#This Row],[Estimated Concrete Demand (m³)]]&lt;100000,"Large","Mega"))))</f>
        <v>Small</v>
      </c>
      <c r="P2453" s="287" t="str">
        <f t="shared" si="40"/>
        <v>GujRERA</v>
      </c>
    </row>
    <row r="2454" spans="1:16">
      <c r="A2454" s="129" t="str">
        <f>_xlfn.XLOOKUP(B2454,$S$9:$S$14,$T$9:$T$14)&amp;"-"&amp;
IF(E2454="Residential/Group Housing","RES",
IF(E2454="Commercial","COM",
IF(E2454="Mixed Development","MIX",
IF(E2454="Plotted Development","PLT","OTH"))))
&amp;"-"&amp;TEXT(COUNTIFS($B$9:B2454,B2454,$E$9:E2454,E2454),"0000")</f>
        <v>SUR-RES-0836</v>
      </c>
      <c r="B2454" s="322" t="s">
        <v>34</v>
      </c>
      <c r="C2454" s="322" t="s">
        <v>34</v>
      </c>
      <c r="D2454" s="323" t="s">
        <v>2643</v>
      </c>
      <c r="E2454" s="132" t="s">
        <v>24</v>
      </c>
      <c r="F2454" s="97" t="str">
        <f ca="1">IF(OR(Market_Data[[#This Row],[Start Date]]="",Market_Data[[#This Row],[Completion Date]]=""),"Needs Validation",IF(Market_Data[[#This Row],[Start Date]]&gt;TODAY(),"Planned",IF(Market_Data[[#This Row],[Completion Date]]&lt;TODAY(),"Completed","Ongoing")))</f>
        <v>Ongoing</v>
      </c>
      <c r="G2454" s="324">
        <v>44896</v>
      </c>
      <c r="H2454" s="324">
        <v>47848</v>
      </c>
      <c r="I2454" s="325">
        <v>12300</v>
      </c>
      <c r="J245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54" s="133">
        <f>_xlfn.XLOOKUP(Market_Data[[#This Row],[Project Type]],tbl_assumptions_market[Project Category (RERA)],tbl_assumptions_market[Concrete Intensity
(m³ / sq m BUA)],"",0)</f>
        <v>0.45</v>
      </c>
      <c r="L2454" s="134">
        <f>ROUND(Market_Data[[#This Row],[Estimated Built Up Area (sq m)]]*Market_Data[[#This Row],[Concrete Intensity
(m³ / sq m)]],0)</f>
        <v>5535</v>
      </c>
      <c r="M2454" s="135">
        <f>_xlfn.XLOOKUP(Market_Data[[#This Row],[District]],tbl_district_price[District],tbl_district_price[Standard Price
(INR/m³)],"",0)</f>
        <v>6200</v>
      </c>
      <c r="N2454" s="364">
        <f>IF(OR(Market_Data[[#This Row],[Estimated Concrete Demand (m³)]]="",Market_Data[[#This Row],[Avg Price per (₹ / m³)]]=""),"",Market_Data[[#This Row],[Estimated Concrete Demand (m³)]]*Market_Data[[#This Row],[Avg Price per (₹ / m³)]]/10000000)</f>
        <v>3.4317000000000002</v>
      </c>
      <c r="O2454" s="97" t="str">
        <f>IF(Market_Data[[#This Row],[Estimated Concrete Demand (m³)]]="","",
IF(Market_Data[[#This Row],[Estimated Concrete Demand (m³)]]&lt;10000,"Small",
IF(Market_Data[[#This Row],[Estimated Concrete Demand (m³)]]&lt;25000,"Medium",
IF(Market_Data[[#This Row],[Estimated Concrete Demand (m³)]]&lt;100000,"Large","Mega"))))</f>
        <v>Small</v>
      </c>
      <c r="P2454" s="287" t="str">
        <f t="shared" si="40"/>
        <v>GujRERA</v>
      </c>
    </row>
    <row r="2455" spans="1:16">
      <c r="A2455" s="129" t="str">
        <f>_xlfn.XLOOKUP(B2455,$S$9:$S$14,$T$9:$T$14)&amp;"-"&amp;
IF(E2455="Residential/Group Housing","RES",
IF(E2455="Commercial","COM",
IF(E2455="Mixed Development","MIX",
IF(E2455="Plotted Development","PLT","OTH"))))
&amp;"-"&amp;TEXT(COUNTIFS($B$9:B2455,B2455,$E$9:E2455,E2455),"0000")</f>
        <v>SUR-COM-0399</v>
      </c>
      <c r="B2455" s="322" t="s">
        <v>34</v>
      </c>
      <c r="C2455" s="322" t="s">
        <v>34</v>
      </c>
      <c r="D2455" s="323" t="s">
        <v>2644</v>
      </c>
      <c r="E2455" s="132" t="s">
        <v>23</v>
      </c>
      <c r="F2455" s="97" t="str">
        <f ca="1">IF(OR(Market_Data[[#This Row],[Start Date]]="",Market_Data[[#This Row],[Completion Date]]=""),"Needs Validation",IF(Market_Data[[#This Row],[Start Date]]&gt;TODAY(),"Planned",IF(Market_Data[[#This Row],[Completion Date]]&lt;TODAY(),"Completed","Ongoing")))</f>
        <v>Completed</v>
      </c>
      <c r="G2455" s="324">
        <v>42722</v>
      </c>
      <c r="H2455" s="324">
        <v>44377</v>
      </c>
      <c r="I2455" s="325">
        <v>10500</v>
      </c>
      <c r="J245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55" s="133">
        <f>_xlfn.XLOOKUP(Market_Data[[#This Row],[Project Type]],tbl_assumptions_market[Project Category (RERA)],tbl_assumptions_market[Concrete Intensity
(m³ / sq m BUA)],"",0)</f>
        <v>0.5</v>
      </c>
      <c r="L2455" s="134">
        <f>ROUND(Market_Data[[#This Row],[Estimated Built Up Area (sq m)]]*Market_Data[[#This Row],[Concrete Intensity
(m³ / sq m)]],0)</f>
        <v>5250</v>
      </c>
      <c r="M2455" s="135">
        <f>_xlfn.XLOOKUP(Market_Data[[#This Row],[District]],tbl_district_price[District],tbl_district_price[Standard Price
(INR/m³)],"",0)</f>
        <v>6200</v>
      </c>
      <c r="N2455" s="364">
        <f>IF(OR(Market_Data[[#This Row],[Estimated Concrete Demand (m³)]]="",Market_Data[[#This Row],[Avg Price per (₹ / m³)]]=""),"",Market_Data[[#This Row],[Estimated Concrete Demand (m³)]]*Market_Data[[#This Row],[Avg Price per (₹ / m³)]]/10000000)</f>
        <v>3.2549999999999999</v>
      </c>
      <c r="O2455" s="97" t="str">
        <f>IF(Market_Data[[#This Row],[Estimated Concrete Demand (m³)]]="","",
IF(Market_Data[[#This Row],[Estimated Concrete Demand (m³)]]&lt;10000,"Small",
IF(Market_Data[[#This Row],[Estimated Concrete Demand (m³)]]&lt;25000,"Medium",
IF(Market_Data[[#This Row],[Estimated Concrete Demand (m³)]]&lt;100000,"Large","Mega"))))</f>
        <v>Small</v>
      </c>
      <c r="P2455" s="287" t="str">
        <f t="shared" si="40"/>
        <v>GujRERA</v>
      </c>
    </row>
    <row r="2456" spans="1:16">
      <c r="A2456" s="129" t="str">
        <f>_xlfn.XLOOKUP(B2456,$S$9:$S$14,$T$9:$T$14)&amp;"-"&amp;
IF(E2456="Residential/Group Housing","RES",
IF(E2456="Commercial","COM",
IF(E2456="Mixed Development","MIX",
IF(E2456="Plotted Development","PLT","OTH"))))
&amp;"-"&amp;TEXT(COUNTIFS($B$9:B2456,B2456,$E$9:E2456,E2456),"0000")</f>
        <v>SUR-RES-0837</v>
      </c>
      <c r="B2456" s="322" t="s">
        <v>34</v>
      </c>
      <c r="C2456" s="322" t="s">
        <v>34</v>
      </c>
      <c r="D2456" s="323" t="s">
        <v>2645</v>
      </c>
      <c r="E2456" s="132" t="s">
        <v>24</v>
      </c>
      <c r="F2456" s="97" t="str">
        <f ca="1">IF(OR(Market_Data[[#This Row],[Start Date]]="",Market_Data[[#This Row],[Completion Date]]=""),"Needs Validation",IF(Market_Data[[#This Row],[Start Date]]&gt;TODAY(),"Planned",IF(Market_Data[[#This Row],[Completion Date]]&lt;TODAY(),"Completed","Ongoing")))</f>
        <v>Completed</v>
      </c>
      <c r="G2456" s="324">
        <v>44673</v>
      </c>
      <c r="H2456" s="324">
        <v>46112</v>
      </c>
      <c r="I2456" s="325">
        <v>58000</v>
      </c>
      <c r="J245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56" s="133">
        <f>_xlfn.XLOOKUP(Market_Data[[#This Row],[Project Type]],tbl_assumptions_market[Project Category (RERA)],tbl_assumptions_market[Concrete Intensity
(m³ / sq m BUA)],"",0)</f>
        <v>0.45</v>
      </c>
      <c r="L2456" s="134">
        <f>ROUND(Market_Data[[#This Row],[Estimated Built Up Area (sq m)]]*Market_Data[[#This Row],[Concrete Intensity
(m³ / sq m)]],0)</f>
        <v>26100</v>
      </c>
      <c r="M2456" s="135">
        <f>_xlfn.XLOOKUP(Market_Data[[#This Row],[District]],tbl_district_price[District],tbl_district_price[Standard Price
(INR/m³)],"",0)</f>
        <v>6200</v>
      </c>
      <c r="N2456" s="364">
        <f>IF(OR(Market_Data[[#This Row],[Estimated Concrete Demand (m³)]]="",Market_Data[[#This Row],[Avg Price per (₹ / m³)]]=""),"",Market_Data[[#This Row],[Estimated Concrete Demand (m³)]]*Market_Data[[#This Row],[Avg Price per (₹ / m³)]]/10000000)</f>
        <v>16.181999999999999</v>
      </c>
      <c r="O2456" s="97" t="str">
        <f>IF(Market_Data[[#This Row],[Estimated Concrete Demand (m³)]]="","",
IF(Market_Data[[#This Row],[Estimated Concrete Demand (m³)]]&lt;10000,"Small",
IF(Market_Data[[#This Row],[Estimated Concrete Demand (m³)]]&lt;25000,"Medium",
IF(Market_Data[[#This Row],[Estimated Concrete Demand (m³)]]&lt;100000,"Large","Mega"))))</f>
        <v>Large</v>
      </c>
      <c r="P2456" s="287" t="str">
        <f t="shared" si="40"/>
        <v>GujRERA</v>
      </c>
    </row>
    <row r="2457" spans="1:16">
      <c r="A2457" s="129" t="str">
        <f>_xlfn.XLOOKUP(B2457,$S$9:$S$14,$T$9:$T$14)&amp;"-"&amp;
IF(E2457="Residential/Group Housing","RES",
IF(E2457="Commercial","COM",
IF(E2457="Mixed Development","MIX",
IF(E2457="Plotted Development","PLT","OTH"))))
&amp;"-"&amp;TEXT(COUNTIFS($B$9:B2457,B2457,$E$9:E2457,E2457),"0000")</f>
        <v>SUR-MIX-0445</v>
      </c>
      <c r="B2457" s="322" t="s">
        <v>34</v>
      </c>
      <c r="C2457" s="322" t="s">
        <v>34</v>
      </c>
      <c r="D2457" s="323" t="s">
        <v>2646</v>
      </c>
      <c r="E2457" s="132" t="s">
        <v>25</v>
      </c>
      <c r="F2457" s="97" t="str">
        <f ca="1">IF(OR(Market_Data[[#This Row],[Start Date]]="",Market_Data[[#This Row],[Completion Date]]=""),"Needs Validation",IF(Market_Data[[#This Row],[Start Date]]&gt;TODAY(),"Planned",IF(Market_Data[[#This Row],[Completion Date]]&lt;TODAY(),"Completed","Ongoing")))</f>
        <v>Ongoing</v>
      </c>
      <c r="G2457" s="324">
        <v>45108</v>
      </c>
      <c r="H2457" s="324">
        <v>46843</v>
      </c>
      <c r="I2457" s="325">
        <v>55100</v>
      </c>
      <c r="J245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57" s="133">
        <f>_xlfn.XLOOKUP(Market_Data[[#This Row],[Project Type]],tbl_assumptions_market[Project Category (RERA)],tbl_assumptions_market[Concrete Intensity
(m³ / sq m BUA)],"",0)</f>
        <v>0.42</v>
      </c>
      <c r="L2457" s="134">
        <f>ROUND(Market_Data[[#This Row],[Estimated Built Up Area (sq m)]]*Market_Data[[#This Row],[Concrete Intensity
(m³ / sq m)]],0)</f>
        <v>23142</v>
      </c>
      <c r="M2457" s="135">
        <f>_xlfn.XLOOKUP(Market_Data[[#This Row],[District]],tbl_district_price[District],tbl_district_price[Standard Price
(INR/m³)],"",0)</f>
        <v>6200</v>
      </c>
      <c r="N2457" s="364">
        <f>IF(OR(Market_Data[[#This Row],[Estimated Concrete Demand (m³)]]="",Market_Data[[#This Row],[Avg Price per (₹ / m³)]]=""),"",Market_Data[[#This Row],[Estimated Concrete Demand (m³)]]*Market_Data[[#This Row],[Avg Price per (₹ / m³)]]/10000000)</f>
        <v>14.348039999999999</v>
      </c>
      <c r="O2457" s="97" t="str">
        <f>IF(Market_Data[[#This Row],[Estimated Concrete Demand (m³)]]="","",
IF(Market_Data[[#This Row],[Estimated Concrete Demand (m³)]]&lt;10000,"Small",
IF(Market_Data[[#This Row],[Estimated Concrete Demand (m³)]]&lt;25000,"Medium",
IF(Market_Data[[#This Row],[Estimated Concrete Demand (m³)]]&lt;100000,"Large","Mega"))))</f>
        <v>Medium</v>
      </c>
      <c r="P2457" s="287" t="str">
        <f t="shared" si="40"/>
        <v>GujRERA</v>
      </c>
    </row>
    <row r="2458" spans="1:16">
      <c r="A2458" s="129" t="str">
        <f>_xlfn.XLOOKUP(B2458,$S$9:$S$14,$T$9:$T$14)&amp;"-"&amp;
IF(E2458="Residential/Group Housing","RES",
IF(E2458="Commercial","COM",
IF(E2458="Mixed Development","MIX",
IF(E2458="Plotted Development","PLT","OTH"))))
&amp;"-"&amp;TEXT(COUNTIFS($B$9:B2458,B2458,$E$9:E2458,E2458),"0000")</f>
        <v>SUR-RES-0838</v>
      </c>
      <c r="B2458" s="322" t="s">
        <v>34</v>
      </c>
      <c r="C2458" s="322" t="s">
        <v>34</v>
      </c>
      <c r="D2458" s="323" t="s">
        <v>2647</v>
      </c>
      <c r="E2458" s="132" t="s">
        <v>24</v>
      </c>
      <c r="F2458" s="97" t="str">
        <f ca="1">IF(OR(Market_Data[[#This Row],[Start Date]]="",Market_Data[[#This Row],[Completion Date]]=""),"Needs Validation",IF(Market_Data[[#This Row],[Start Date]]&gt;TODAY(),"Planned",IF(Market_Data[[#This Row],[Completion Date]]&lt;TODAY(),"Completed","Ongoing")))</f>
        <v>Ongoing</v>
      </c>
      <c r="G2458" s="324">
        <v>44818</v>
      </c>
      <c r="H2458" s="324">
        <v>47483</v>
      </c>
      <c r="I2458" s="325">
        <v>15100</v>
      </c>
      <c r="J245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58" s="133">
        <f>_xlfn.XLOOKUP(Market_Data[[#This Row],[Project Type]],tbl_assumptions_market[Project Category (RERA)],tbl_assumptions_market[Concrete Intensity
(m³ / sq m BUA)],"",0)</f>
        <v>0.45</v>
      </c>
      <c r="L2458" s="134">
        <f>ROUND(Market_Data[[#This Row],[Estimated Built Up Area (sq m)]]*Market_Data[[#This Row],[Concrete Intensity
(m³ / sq m)]],0)</f>
        <v>6795</v>
      </c>
      <c r="M2458" s="135">
        <f>_xlfn.XLOOKUP(Market_Data[[#This Row],[District]],tbl_district_price[District],tbl_district_price[Standard Price
(INR/m³)],"",0)</f>
        <v>6200</v>
      </c>
      <c r="N2458" s="364">
        <f>IF(OR(Market_Data[[#This Row],[Estimated Concrete Demand (m³)]]="",Market_Data[[#This Row],[Avg Price per (₹ / m³)]]=""),"",Market_Data[[#This Row],[Estimated Concrete Demand (m³)]]*Market_Data[[#This Row],[Avg Price per (₹ / m³)]]/10000000)</f>
        <v>4.2129000000000003</v>
      </c>
      <c r="O2458" s="97" t="str">
        <f>IF(Market_Data[[#This Row],[Estimated Concrete Demand (m³)]]="","",
IF(Market_Data[[#This Row],[Estimated Concrete Demand (m³)]]&lt;10000,"Small",
IF(Market_Data[[#This Row],[Estimated Concrete Demand (m³)]]&lt;25000,"Medium",
IF(Market_Data[[#This Row],[Estimated Concrete Demand (m³)]]&lt;100000,"Large","Mega"))))</f>
        <v>Small</v>
      </c>
      <c r="P2458" s="287" t="str">
        <f t="shared" si="40"/>
        <v>GujRERA</v>
      </c>
    </row>
    <row r="2459" spans="1:16">
      <c r="A2459" s="129" t="str">
        <f>_xlfn.XLOOKUP(B2459,$S$9:$S$14,$T$9:$T$14)&amp;"-"&amp;
IF(E2459="Residential/Group Housing","RES",
IF(E2459="Commercial","COM",
IF(E2459="Mixed Development","MIX",
IF(E2459="Plotted Development","PLT","OTH"))))
&amp;"-"&amp;TEXT(COUNTIFS($B$9:B2459,B2459,$E$9:E2459,E2459),"0000")</f>
        <v>SUR-RES-0839</v>
      </c>
      <c r="B2459" s="322" t="s">
        <v>34</v>
      </c>
      <c r="C2459" s="322" t="s">
        <v>34</v>
      </c>
      <c r="D2459" s="323" t="s">
        <v>2648</v>
      </c>
      <c r="E2459" s="132" t="s">
        <v>24</v>
      </c>
      <c r="F2459" s="97" t="str">
        <f ca="1">IF(OR(Market_Data[[#This Row],[Start Date]]="",Market_Data[[#This Row],[Completion Date]]=""),"Needs Validation",IF(Market_Data[[#This Row],[Start Date]]&gt;TODAY(),"Planned",IF(Market_Data[[#This Row],[Completion Date]]&lt;TODAY(),"Completed","Ongoing")))</f>
        <v>Ongoing</v>
      </c>
      <c r="G2459" s="324">
        <v>44986</v>
      </c>
      <c r="H2459" s="324">
        <v>47345</v>
      </c>
      <c r="I2459" s="325">
        <v>26600</v>
      </c>
      <c r="J245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59" s="133">
        <f>_xlfn.XLOOKUP(Market_Data[[#This Row],[Project Type]],tbl_assumptions_market[Project Category (RERA)],tbl_assumptions_market[Concrete Intensity
(m³ / sq m BUA)],"",0)</f>
        <v>0.45</v>
      </c>
      <c r="L2459" s="134">
        <f>ROUND(Market_Data[[#This Row],[Estimated Built Up Area (sq m)]]*Market_Data[[#This Row],[Concrete Intensity
(m³ / sq m)]],0)</f>
        <v>11970</v>
      </c>
      <c r="M2459" s="135">
        <f>_xlfn.XLOOKUP(Market_Data[[#This Row],[District]],tbl_district_price[District],tbl_district_price[Standard Price
(INR/m³)],"",0)</f>
        <v>6200</v>
      </c>
      <c r="N2459" s="364">
        <f>IF(OR(Market_Data[[#This Row],[Estimated Concrete Demand (m³)]]="",Market_Data[[#This Row],[Avg Price per (₹ / m³)]]=""),"",Market_Data[[#This Row],[Estimated Concrete Demand (m³)]]*Market_Data[[#This Row],[Avg Price per (₹ / m³)]]/10000000)</f>
        <v>7.4214000000000002</v>
      </c>
      <c r="O2459" s="97" t="str">
        <f>IF(Market_Data[[#This Row],[Estimated Concrete Demand (m³)]]="","",
IF(Market_Data[[#This Row],[Estimated Concrete Demand (m³)]]&lt;10000,"Small",
IF(Market_Data[[#This Row],[Estimated Concrete Demand (m³)]]&lt;25000,"Medium",
IF(Market_Data[[#This Row],[Estimated Concrete Demand (m³)]]&lt;100000,"Large","Mega"))))</f>
        <v>Medium</v>
      </c>
      <c r="P2459" s="287" t="str">
        <f t="shared" si="40"/>
        <v>GujRERA</v>
      </c>
    </row>
    <row r="2460" spans="1:16">
      <c r="A2460" s="129" t="str">
        <f>_xlfn.XLOOKUP(B2460,$S$9:$S$14,$T$9:$T$14)&amp;"-"&amp;
IF(E2460="Residential/Group Housing","RES",
IF(E2460="Commercial","COM",
IF(E2460="Mixed Development","MIX",
IF(E2460="Plotted Development","PLT","OTH"))))
&amp;"-"&amp;TEXT(COUNTIFS($B$9:B2460,B2460,$E$9:E2460,E2460),"0000")</f>
        <v>SUR-RES-0840</v>
      </c>
      <c r="B2460" s="322" t="s">
        <v>34</v>
      </c>
      <c r="C2460" s="322" t="s">
        <v>34</v>
      </c>
      <c r="D2460" s="323" t="s">
        <v>2649</v>
      </c>
      <c r="E2460" s="132" t="s">
        <v>24</v>
      </c>
      <c r="F2460" s="97" t="str">
        <f ca="1">IF(OR(Market_Data[[#This Row],[Start Date]]="",Market_Data[[#This Row],[Completion Date]]=""),"Needs Validation",IF(Market_Data[[#This Row],[Start Date]]&gt;TODAY(),"Planned",IF(Market_Data[[#This Row],[Completion Date]]&lt;TODAY(),"Completed","Ongoing")))</f>
        <v>Completed</v>
      </c>
      <c r="G2460" s="324">
        <v>44233</v>
      </c>
      <c r="H2460" s="324">
        <v>45657</v>
      </c>
      <c r="I2460" s="325">
        <v>23300</v>
      </c>
      <c r="J246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60" s="133">
        <f>_xlfn.XLOOKUP(Market_Data[[#This Row],[Project Type]],tbl_assumptions_market[Project Category (RERA)],tbl_assumptions_market[Concrete Intensity
(m³ / sq m BUA)],"",0)</f>
        <v>0.45</v>
      </c>
      <c r="L2460" s="134">
        <f>ROUND(Market_Data[[#This Row],[Estimated Built Up Area (sq m)]]*Market_Data[[#This Row],[Concrete Intensity
(m³ / sq m)]],0)</f>
        <v>10485</v>
      </c>
      <c r="M2460" s="135">
        <f>_xlfn.XLOOKUP(Market_Data[[#This Row],[District]],tbl_district_price[District],tbl_district_price[Standard Price
(INR/m³)],"",0)</f>
        <v>6200</v>
      </c>
      <c r="N2460" s="364">
        <f>IF(OR(Market_Data[[#This Row],[Estimated Concrete Demand (m³)]]="",Market_Data[[#This Row],[Avg Price per (₹ / m³)]]=""),"",Market_Data[[#This Row],[Estimated Concrete Demand (m³)]]*Market_Data[[#This Row],[Avg Price per (₹ / m³)]]/10000000)</f>
        <v>6.5007000000000001</v>
      </c>
      <c r="O2460" s="97" t="str">
        <f>IF(Market_Data[[#This Row],[Estimated Concrete Demand (m³)]]="","",
IF(Market_Data[[#This Row],[Estimated Concrete Demand (m³)]]&lt;10000,"Small",
IF(Market_Data[[#This Row],[Estimated Concrete Demand (m³)]]&lt;25000,"Medium",
IF(Market_Data[[#This Row],[Estimated Concrete Demand (m³)]]&lt;100000,"Large","Mega"))))</f>
        <v>Medium</v>
      </c>
      <c r="P2460" s="287" t="str">
        <f t="shared" si="40"/>
        <v>GujRERA</v>
      </c>
    </row>
    <row r="2461" spans="1:16">
      <c r="A2461" s="129" t="str">
        <f>_xlfn.XLOOKUP(B2461,$S$9:$S$14,$T$9:$T$14)&amp;"-"&amp;
IF(E2461="Residential/Group Housing","RES",
IF(E2461="Commercial","COM",
IF(E2461="Mixed Development","MIX",
IF(E2461="Plotted Development","PLT","OTH"))))
&amp;"-"&amp;TEXT(COUNTIFS($B$9:B2461,B2461,$E$9:E2461,E2461),"0000")</f>
        <v>SUR-RES-0841</v>
      </c>
      <c r="B2461" s="322" t="s">
        <v>34</v>
      </c>
      <c r="C2461" s="322" t="s">
        <v>34</v>
      </c>
      <c r="D2461" s="323" t="s">
        <v>2650</v>
      </c>
      <c r="E2461" s="132" t="s">
        <v>24</v>
      </c>
      <c r="F2461" s="97" t="str">
        <f ca="1">IF(OR(Market_Data[[#This Row],[Start Date]]="",Market_Data[[#This Row],[Completion Date]]=""),"Needs Validation",IF(Market_Data[[#This Row],[Start Date]]&gt;TODAY(),"Planned",IF(Market_Data[[#This Row],[Completion Date]]&lt;TODAY(),"Completed","Ongoing")))</f>
        <v>Ongoing</v>
      </c>
      <c r="G2461" s="324">
        <v>44825</v>
      </c>
      <c r="H2461" s="324">
        <v>46752</v>
      </c>
      <c r="I2461" s="325">
        <v>41300</v>
      </c>
      <c r="J246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61" s="133">
        <f>_xlfn.XLOOKUP(Market_Data[[#This Row],[Project Type]],tbl_assumptions_market[Project Category (RERA)],tbl_assumptions_market[Concrete Intensity
(m³ / sq m BUA)],"",0)</f>
        <v>0.45</v>
      </c>
      <c r="L2461" s="134">
        <f>ROUND(Market_Data[[#This Row],[Estimated Built Up Area (sq m)]]*Market_Data[[#This Row],[Concrete Intensity
(m³ / sq m)]],0)</f>
        <v>18585</v>
      </c>
      <c r="M2461" s="135">
        <f>_xlfn.XLOOKUP(Market_Data[[#This Row],[District]],tbl_district_price[District],tbl_district_price[Standard Price
(INR/m³)],"",0)</f>
        <v>6200</v>
      </c>
      <c r="N2461" s="364">
        <f>IF(OR(Market_Data[[#This Row],[Estimated Concrete Demand (m³)]]="",Market_Data[[#This Row],[Avg Price per (₹ / m³)]]=""),"",Market_Data[[#This Row],[Estimated Concrete Demand (m³)]]*Market_Data[[#This Row],[Avg Price per (₹ / m³)]]/10000000)</f>
        <v>11.5227</v>
      </c>
      <c r="O2461" s="97" t="str">
        <f>IF(Market_Data[[#This Row],[Estimated Concrete Demand (m³)]]="","",
IF(Market_Data[[#This Row],[Estimated Concrete Demand (m³)]]&lt;10000,"Small",
IF(Market_Data[[#This Row],[Estimated Concrete Demand (m³)]]&lt;25000,"Medium",
IF(Market_Data[[#This Row],[Estimated Concrete Demand (m³)]]&lt;100000,"Large","Mega"))))</f>
        <v>Medium</v>
      </c>
      <c r="P2461" s="287" t="str">
        <f t="shared" si="40"/>
        <v>GujRERA</v>
      </c>
    </row>
    <row r="2462" spans="1:16">
      <c r="A2462" s="129" t="str">
        <f>_xlfn.XLOOKUP(B2462,$S$9:$S$14,$T$9:$T$14)&amp;"-"&amp;
IF(E2462="Residential/Group Housing","RES",
IF(E2462="Commercial","COM",
IF(E2462="Mixed Development","MIX",
IF(E2462="Plotted Development","PLT","OTH"))))
&amp;"-"&amp;TEXT(COUNTIFS($B$9:B2462,B2462,$E$9:E2462,E2462),"0000")</f>
        <v>SUR-RES-0842</v>
      </c>
      <c r="B2462" s="322" t="s">
        <v>34</v>
      </c>
      <c r="C2462" s="322" t="s">
        <v>34</v>
      </c>
      <c r="D2462" s="323" t="s">
        <v>2651</v>
      </c>
      <c r="E2462" s="132" t="s">
        <v>24</v>
      </c>
      <c r="F2462" s="97" t="str">
        <f ca="1">IF(OR(Market_Data[[#This Row],[Start Date]]="",Market_Data[[#This Row],[Completion Date]]=""),"Needs Validation",IF(Market_Data[[#This Row],[Start Date]]&gt;TODAY(),"Planned",IF(Market_Data[[#This Row],[Completion Date]]&lt;TODAY(),"Completed","Ongoing")))</f>
        <v>Completed</v>
      </c>
      <c r="G2462" s="324">
        <v>42019</v>
      </c>
      <c r="H2462" s="324">
        <v>43647</v>
      </c>
      <c r="I2462" s="325">
        <v>15600</v>
      </c>
      <c r="J246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62" s="133">
        <f>_xlfn.XLOOKUP(Market_Data[[#This Row],[Project Type]],tbl_assumptions_market[Project Category (RERA)],tbl_assumptions_market[Concrete Intensity
(m³ / sq m BUA)],"",0)</f>
        <v>0.45</v>
      </c>
      <c r="L2462" s="134">
        <f>ROUND(Market_Data[[#This Row],[Estimated Built Up Area (sq m)]]*Market_Data[[#This Row],[Concrete Intensity
(m³ / sq m)]],0)</f>
        <v>7020</v>
      </c>
      <c r="M2462" s="135">
        <f>_xlfn.XLOOKUP(Market_Data[[#This Row],[District]],tbl_district_price[District],tbl_district_price[Standard Price
(INR/m³)],"",0)</f>
        <v>6200</v>
      </c>
      <c r="N2462" s="364">
        <f>IF(OR(Market_Data[[#This Row],[Estimated Concrete Demand (m³)]]="",Market_Data[[#This Row],[Avg Price per (₹ / m³)]]=""),"",Market_Data[[#This Row],[Estimated Concrete Demand (m³)]]*Market_Data[[#This Row],[Avg Price per (₹ / m³)]]/10000000)</f>
        <v>4.3524000000000003</v>
      </c>
      <c r="O2462" s="97" t="str">
        <f>IF(Market_Data[[#This Row],[Estimated Concrete Demand (m³)]]="","",
IF(Market_Data[[#This Row],[Estimated Concrete Demand (m³)]]&lt;10000,"Small",
IF(Market_Data[[#This Row],[Estimated Concrete Demand (m³)]]&lt;25000,"Medium",
IF(Market_Data[[#This Row],[Estimated Concrete Demand (m³)]]&lt;100000,"Large","Mega"))))</f>
        <v>Small</v>
      </c>
      <c r="P2462" s="287" t="str">
        <f t="shared" si="40"/>
        <v>GujRERA</v>
      </c>
    </row>
    <row r="2463" spans="1:16">
      <c r="A2463" s="129" t="str">
        <f>_xlfn.XLOOKUP(B2463,$S$9:$S$14,$T$9:$T$14)&amp;"-"&amp;
IF(E2463="Residential/Group Housing","RES",
IF(E2463="Commercial","COM",
IF(E2463="Mixed Development","MIX",
IF(E2463="Plotted Development","PLT","OTH"))))
&amp;"-"&amp;TEXT(COUNTIFS($B$9:B2463,B2463,$E$9:E2463,E2463),"0000")</f>
        <v>SUR-COM-0400</v>
      </c>
      <c r="B2463" s="322" t="s">
        <v>34</v>
      </c>
      <c r="C2463" s="322" t="s">
        <v>34</v>
      </c>
      <c r="D2463" s="323" t="s">
        <v>2652</v>
      </c>
      <c r="E2463" s="132" t="s">
        <v>23</v>
      </c>
      <c r="F2463" s="97" t="str">
        <f ca="1">IF(OR(Market_Data[[#This Row],[Start Date]]="",Market_Data[[#This Row],[Completion Date]]=""),"Needs Validation",IF(Market_Data[[#This Row],[Start Date]]&gt;TODAY(),"Planned",IF(Market_Data[[#This Row],[Completion Date]]&lt;TODAY(),"Completed","Ongoing")))</f>
        <v>Completed</v>
      </c>
      <c r="G2463" s="324">
        <v>43595</v>
      </c>
      <c r="H2463" s="324">
        <v>45107</v>
      </c>
      <c r="I2463" s="325">
        <v>17000</v>
      </c>
      <c r="J246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63" s="133">
        <f>_xlfn.XLOOKUP(Market_Data[[#This Row],[Project Type]],tbl_assumptions_market[Project Category (RERA)],tbl_assumptions_market[Concrete Intensity
(m³ / sq m BUA)],"",0)</f>
        <v>0.5</v>
      </c>
      <c r="L2463" s="134">
        <f>ROUND(Market_Data[[#This Row],[Estimated Built Up Area (sq m)]]*Market_Data[[#This Row],[Concrete Intensity
(m³ / sq m)]],0)</f>
        <v>8500</v>
      </c>
      <c r="M2463" s="135">
        <f>_xlfn.XLOOKUP(Market_Data[[#This Row],[District]],tbl_district_price[District],tbl_district_price[Standard Price
(INR/m³)],"",0)</f>
        <v>6200</v>
      </c>
      <c r="N2463" s="364">
        <f>IF(OR(Market_Data[[#This Row],[Estimated Concrete Demand (m³)]]="",Market_Data[[#This Row],[Avg Price per (₹ / m³)]]=""),"",Market_Data[[#This Row],[Estimated Concrete Demand (m³)]]*Market_Data[[#This Row],[Avg Price per (₹ / m³)]]/10000000)</f>
        <v>5.27</v>
      </c>
      <c r="O2463" s="97" t="str">
        <f>IF(Market_Data[[#This Row],[Estimated Concrete Demand (m³)]]="","",
IF(Market_Data[[#This Row],[Estimated Concrete Demand (m³)]]&lt;10000,"Small",
IF(Market_Data[[#This Row],[Estimated Concrete Demand (m³)]]&lt;25000,"Medium",
IF(Market_Data[[#This Row],[Estimated Concrete Demand (m³)]]&lt;100000,"Large","Mega"))))</f>
        <v>Small</v>
      </c>
      <c r="P2463" s="287" t="str">
        <f t="shared" si="40"/>
        <v>GujRERA</v>
      </c>
    </row>
    <row r="2464" spans="1:16">
      <c r="A2464" s="129" t="str">
        <f>_xlfn.XLOOKUP(B2464,$S$9:$S$14,$T$9:$T$14)&amp;"-"&amp;
IF(E2464="Residential/Group Housing","RES",
IF(E2464="Commercial","COM",
IF(E2464="Mixed Development","MIX",
IF(E2464="Plotted Development","PLT","OTH"))))
&amp;"-"&amp;TEXT(COUNTIFS($B$9:B2464,B2464,$E$9:E2464,E2464),"0000")</f>
        <v>SUR-RES-0843</v>
      </c>
      <c r="B2464" s="322" t="s">
        <v>34</v>
      </c>
      <c r="C2464" s="322" t="s">
        <v>34</v>
      </c>
      <c r="D2464" s="323" t="s">
        <v>2653</v>
      </c>
      <c r="E2464" s="132" t="s">
        <v>24</v>
      </c>
      <c r="F2464" s="97" t="str">
        <f ca="1">IF(OR(Market_Data[[#This Row],[Start Date]]="",Market_Data[[#This Row],[Completion Date]]=""),"Needs Validation",IF(Market_Data[[#This Row],[Start Date]]&gt;TODAY(),"Planned",IF(Market_Data[[#This Row],[Completion Date]]&lt;TODAY(),"Completed","Ongoing")))</f>
        <v>Completed</v>
      </c>
      <c r="G2464" s="324">
        <v>43344</v>
      </c>
      <c r="H2464" s="324">
        <v>45535</v>
      </c>
      <c r="I2464" s="325">
        <v>44600</v>
      </c>
      <c r="J246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64" s="133">
        <f>_xlfn.XLOOKUP(Market_Data[[#This Row],[Project Type]],tbl_assumptions_market[Project Category (RERA)],tbl_assumptions_market[Concrete Intensity
(m³ / sq m BUA)],"",0)</f>
        <v>0.45</v>
      </c>
      <c r="L2464" s="134">
        <f>ROUND(Market_Data[[#This Row],[Estimated Built Up Area (sq m)]]*Market_Data[[#This Row],[Concrete Intensity
(m³ / sq m)]],0)</f>
        <v>20070</v>
      </c>
      <c r="M2464" s="135">
        <f>_xlfn.XLOOKUP(Market_Data[[#This Row],[District]],tbl_district_price[District],tbl_district_price[Standard Price
(INR/m³)],"",0)</f>
        <v>6200</v>
      </c>
      <c r="N2464" s="364">
        <f>IF(OR(Market_Data[[#This Row],[Estimated Concrete Demand (m³)]]="",Market_Data[[#This Row],[Avg Price per (₹ / m³)]]=""),"",Market_Data[[#This Row],[Estimated Concrete Demand (m³)]]*Market_Data[[#This Row],[Avg Price per (₹ / m³)]]/10000000)</f>
        <v>12.4434</v>
      </c>
      <c r="O2464" s="97" t="str">
        <f>IF(Market_Data[[#This Row],[Estimated Concrete Demand (m³)]]="","",
IF(Market_Data[[#This Row],[Estimated Concrete Demand (m³)]]&lt;10000,"Small",
IF(Market_Data[[#This Row],[Estimated Concrete Demand (m³)]]&lt;25000,"Medium",
IF(Market_Data[[#This Row],[Estimated Concrete Demand (m³)]]&lt;100000,"Large","Mega"))))</f>
        <v>Medium</v>
      </c>
      <c r="P2464" s="287" t="str">
        <f t="shared" si="40"/>
        <v>GujRERA</v>
      </c>
    </row>
    <row r="2465" spans="1:16">
      <c r="A2465" s="129" t="str">
        <f>_xlfn.XLOOKUP(B2465,$S$9:$S$14,$T$9:$T$14)&amp;"-"&amp;
IF(E2465="Residential/Group Housing","RES",
IF(E2465="Commercial","COM",
IF(E2465="Mixed Development","MIX",
IF(E2465="Plotted Development","PLT","OTH"))))
&amp;"-"&amp;TEXT(COUNTIFS($B$9:B2465,B2465,$E$9:E2465,E2465),"0000")</f>
        <v>SUR-RES-0844</v>
      </c>
      <c r="B2465" s="322" t="s">
        <v>34</v>
      </c>
      <c r="C2465" s="322" t="s">
        <v>34</v>
      </c>
      <c r="D2465" s="323" t="s">
        <v>2654</v>
      </c>
      <c r="E2465" s="132" t="s">
        <v>24</v>
      </c>
      <c r="F2465" s="97" t="str">
        <f ca="1">IF(OR(Market_Data[[#This Row],[Start Date]]="",Market_Data[[#This Row],[Completion Date]]=""),"Needs Validation",IF(Market_Data[[#This Row],[Start Date]]&gt;TODAY(),"Planned",IF(Market_Data[[#This Row],[Completion Date]]&lt;TODAY(),"Completed","Ongoing")))</f>
        <v>Completed</v>
      </c>
      <c r="G2465" s="324">
        <v>44658</v>
      </c>
      <c r="H2465" s="324">
        <v>46119</v>
      </c>
      <c r="I2465" s="325">
        <v>41600</v>
      </c>
      <c r="J246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65" s="133">
        <f>_xlfn.XLOOKUP(Market_Data[[#This Row],[Project Type]],tbl_assumptions_market[Project Category (RERA)],tbl_assumptions_market[Concrete Intensity
(m³ / sq m BUA)],"",0)</f>
        <v>0.45</v>
      </c>
      <c r="L2465" s="134">
        <f>ROUND(Market_Data[[#This Row],[Estimated Built Up Area (sq m)]]*Market_Data[[#This Row],[Concrete Intensity
(m³ / sq m)]],0)</f>
        <v>18720</v>
      </c>
      <c r="M2465" s="135">
        <f>_xlfn.XLOOKUP(Market_Data[[#This Row],[District]],tbl_district_price[District],tbl_district_price[Standard Price
(INR/m³)],"",0)</f>
        <v>6200</v>
      </c>
      <c r="N2465" s="364">
        <f>IF(OR(Market_Data[[#This Row],[Estimated Concrete Demand (m³)]]="",Market_Data[[#This Row],[Avg Price per (₹ / m³)]]=""),"",Market_Data[[#This Row],[Estimated Concrete Demand (m³)]]*Market_Data[[#This Row],[Avg Price per (₹ / m³)]]/10000000)</f>
        <v>11.606400000000001</v>
      </c>
      <c r="O2465" s="97" t="str">
        <f>IF(Market_Data[[#This Row],[Estimated Concrete Demand (m³)]]="","",
IF(Market_Data[[#This Row],[Estimated Concrete Demand (m³)]]&lt;10000,"Small",
IF(Market_Data[[#This Row],[Estimated Concrete Demand (m³)]]&lt;25000,"Medium",
IF(Market_Data[[#This Row],[Estimated Concrete Demand (m³)]]&lt;100000,"Large","Mega"))))</f>
        <v>Medium</v>
      </c>
      <c r="P2465" s="287" t="str">
        <f t="shared" si="40"/>
        <v>GujRERA</v>
      </c>
    </row>
    <row r="2466" spans="1:16">
      <c r="A2466" s="129" t="str">
        <f>_xlfn.XLOOKUP(B2466,$S$9:$S$14,$T$9:$T$14)&amp;"-"&amp;
IF(E2466="Residential/Group Housing","RES",
IF(E2466="Commercial","COM",
IF(E2466="Mixed Development","MIX",
IF(E2466="Plotted Development","PLT","OTH"))))
&amp;"-"&amp;TEXT(COUNTIFS($B$9:B2466,B2466,$E$9:E2466,E2466),"0000")</f>
        <v>SUR-MIX-0446</v>
      </c>
      <c r="B2466" s="322" t="s">
        <v>34</v>
      </c>
      <c r="C2466" s="322" t="s">
        <v>34</v>
      </c>
      <c r="D2466" s="323" t="s">
        <v>2655</v>
      </c>
      <c r="E2466" s="132" t="s">
        <v>25</v>
      </c>
      <c r="F2466" s="97" t="str">
        <f ca="1">IF(OR(Market_Data[[#This Row],[Start Date]]="",Market_Data[[#This Row],[Completion Date]]=""),"Needs Validation",IF(Market_Data[[#This Row],[Start Date]]&gt;TODAY(),"Planned",IF(Market_Data[[#This Row],[Completion Date]]&lt;TODAY(),"Completed","Ongoing")))</f>
        <v>Ongoing</v>
      </c>
      <c r="G2466" s="324">
        <v>45379</v>
      </c>
      <c r="H2466" s="324">
        <v>47118</v>
      </c>
      <c r="I2466" s="325">
        <v>11400</v>
      </c>
      <c r="J246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66" s="133">
        <f>_xlfn.XLOOKUP(Market_Data[[#This Row],[Project Type]],tbl_assumptions_market[Project Category (RERA)],tbl_assumptions_market[Concrete Intensity
(m³ / sq m BUA)],"",0)</f>
        <v>0.42</v>
      </c>
      <c r="L2466" s="134">
        <f>ROUND(Market_Data[[#This Row],[Estimated Built Up Area (sq m)]]*Market_Data[[#This Row],[Concrete Intensity
(m³ / sq m)]],0)</f>
        <v>4788</v>
      </c>
      <c r="M2466" s="135">
        <f>_xlfn.XLOOKUP(Market_Data[[#This Row],[District]],tbl_district_price[District],tbl_district_price[Standard Price
(INR/m³)],"",0)</f>
        <v>6200</v>
      </c>
      <c r="N2466" s="364">
        <f>IF(OR(Market_Data[[#This Row],[Estimated Concrete Demand (m³)]]="",Market_Data[[#This Row],[Avg Price per (₹ / m³)]]=""),"",Market_Data[[#This Row],[Estimated Concrete Demand (m³)]]*Market_Data[[#This Row],[Avg Price per (₹ / m³)]]/10000000)</f>
        <v>2.9685600000000001</v>
      </c>
      <c r="O2466" s="97" t="str">
        <f>IF(Market_Data[[#This Row],[Estimated Concrete Demand (m³)]]="","",
IF(Market_Data[[#This Row],[Estimated Concrete Demand (m³)]]&lt;10000,"Small",
IF(Market_Data[[#This Row],[Estimated Concrete Demand (m³)]]&lt;25000,"Medium",
IF(Market_Data[[#This Row],[Estimated Concrete Demand (m³)]]&lt;100000,"Large","Mega"))))</f>
        <v>Small</v>
      </c>
      <c r="P2466" s="287" t="str">
        <f t="shared" si="40"/>
        <v>GujRERA</v>
      </c>
    </row>
    <row r="2467" spans="1:16">
      <c r="A2467" s="129" t="str">
        <f>_xlfn.XLOOKUP(B2467,$S$9:$S$14,$T$9:$T$14)&amp;"-"&amp;
IF(E2467="Residential/Group Housing","RES",
IF(E2467="Commercial","COM",
IF(E2467="Mixed Development","MIX",
IF(E2467="Plotted Development","PLT","OTH"))))
&amp;"-"&amp;TEXT(COUNTIFS($B$9:B2467,B2467,$E$9:E2467,E2467),"0000")</f>
        <v>SUR-RES-0845</v>
      </c>
      <c r="B2467" s="322" t="s">
        <v>34</v>
      </c>
      <c r="C2467" s="322" t="s">
        <v>34</v>
      </c>
      <c r="D2467" s="323" t="s">
        <v>2656</v>
      </c>
      <c r="E2467" s="132" t="s">
        <v>24</v>
      </c>
      <c r="F2467" s="97" t="str">
        <f ca="1">IF(OR(Market_Data[[#This Row],[Start Date]]="",Market_Data[[#This Row],[Completion Date]]=""),"Needs Validation",IF(Market_Data[[#This Row],[Start Date]]&gt;TODAY(),"Planned",IF(Market_Data[[#This Row],[Completion Date]]&lt;TODAY(),"Completed","Ongoing")))</f>
        <v>Completed</v>
      </c>
      <c r="G2467" s="324">
        <v>43296</v>
      </c>
      <c r="H2467" s="324">
        <v>45473</v>
      </c>
      <c r="I2467" s="325">
        <v>28900</v>
      </c>
      <c r="J246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67" s="133">
        <f>_xlfn.XLOOKUP(Market_Data[[#This Row],[Project Type]],tbl_assumptions_market[Project Category (RERA)],tbl_assumptions_market[Concrete Intensity
(m³ / sq m BUA)],"",0)</f>
        <v>0.45</v>
      </c>
      <c r="L2467" s="134">
        <f>ROUND(Market_Data[[#This Row],[Estimated Built Up Area (sq m)]]*Market_Data[[#This Row],[Concrete Intensity
(m³ / sq m)]],0)</f>
        <v>13005</v>
      </c>
      <c r="M2467" s="135">
        <f>_xlfn.XLOOKUP(Market_Data[[#This Row],[District]],tbl_district_price[District],tbl_district_price[Standard Price
(INR/m³)],"",0)</f>
        <v>6200</v>
      </c>
      <c r="N2467" s="364">
        <f>IF(OR(Market_Data[[#This Row],[Estimated Concrete Demand (m³)]]="",Market_Data[[#This Row],[Avg Price per (₹ / m³)]]=""),"",Market_Data[[#This Row],[Estimated Concrete Demand (m³)]]*Market_Data[[#This Row],[Avg Price per (₹ / m³)]]/10000000)</f>
        <v>8.0631000000000004</v>
      </c>
      <c r="O2467" s="97" t="str">
        <f>IF(Market_Data[[#This Row],[Estimated Concrete Demand (m³)]]="","",
IF(Market_Data[[#This Row],[Estimated Concrete Demand (m³)]]&lt;10000,"Small",
IF(Market_Data[[#This Row],[Estimated Concrete Demand (m³)]]&lt;25000,"Medium",
IF(Market_Data[[#This Row],[Estimated Concrete Demand (m³)]]&lt;100000,"Large","Mega"))))</f>
        <v>Medium</v>
      </c>
      <c r="P2467" s="287" t="str">
        <f t="shared" si="40"/>
        <v>GujRERA</v>
      </c>
    </row>
    <row r="2468" spans="1:16">
      <c r="A2468" s="129" t="str">
        <f>_xlfn.XLOOKUP(B2468,$S$9:$S$14,$T$9:$T$14)&amp;"-"&amp;
IF(E2468="Residential/Group Housing","RES",
IF(E2468="Commercial","COM",
IF(E2468="Mixed Development","MIX",
IF(E2468="Plotted Development","PLT","OTH"))))
&amp;"-"&amp;TEXT(COUNTIFS($B$9:B2468,B2468,$E$9:E2468,E2468),"0000")</f>
        <v>SUR-RES-0846</v>
      </c>
      <c r="B2468" s="322" t="s">
        <v>34</v>
      </c>
      <c r="C2468" s="322" t="s">
        <v>34</v>
      </c>
      <c r="D2468" s="323" t="s">
        <v>2657</v>
      </c>
      <c r="E2468" s="132" t="s">
        <v>24</v>
      </c>
      <c r="F2468" s="97" t="str">
        <f ca="1">IF(OR(Market_Data[[#This Row],[Start Date]]="",Market_Data[[#This Row],[Completion Date]]=""),"Needs Validation",IF(Market_Data[[#This Row],[Start Date]]&gt;TODAY(),"Planned",IF(Market_Data[[#This Row],[Completion Date]]&lt;TODAY(),"Completed","Ongoing")))</f>
        <v>Completed</v>
      </c>
      <c r="G2468" s="324">
        <v>44555</v>
      </c>
      <c r="H2468" s="324">
        <v>46112</v>
      </c>
      <c r="I2468" s="325">
        <v>55800</v>
      </c>
      <c r="J246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68" s="133">
        <f>_xlfn.XLOOKUP(Market_Data[[#This Row],[Project Type]],tbl_assumptions_market[Project Category (RERA)],tbl_assumptions_market[Concrete Intensity
(m³ / sq m BUA)],"",0)</f>
        <v>0.45</v>
      </c>
      <c r="L2468" s="134">
        <f>ROUND(Market_Data[[#This Row],[Estimated Built Up Area (sq m)]]*Market_Data[[#This Row],[Concrete Intensity
(m³ / sq m)]],0)</f>
        <v>25110</v>
      </c>
      <c r="M2468" s="135">
        <f>_xlfn.XLOOKUP(Market_Data[[#This Row],[District]],tbl_district_price[District],tbl_district_price[Standard Price
(INR/m³)],"",0)</f>
        <v>6200</v>
      </c>
      <c r="N2468" s="364">
        <f>IF(OR(Market_Data[[#This Row],[Estimated Concrete Demand (m³)]]="",Market_Data[[#This Row],[Avg Price per (₹ / m³)]]=""),"",Market_Data[[#This Row],[Estimated Concrete Demand (m³)]]*Market_Data[[#This Row],[Avg Price per (₹ / m³)]]/10000000)</f>
        <v>15.568199999999999</v>
      </c>
      <c r="O2468" s="97" t="str">
        <f>IF(Market_Data[[#This Row],[Estimated Concrete Demand (m³)]]="","",
IF(Market_Data[[#This Row],[Estimated Concrete Demand (m³)]]&lt;10000,"Small",
IF(Market_Data[[#This Row],[Estimated Concrete Demand (m³)]]&lt;25000,"Medium",
IF(Market_Data[[#This Row],[Estimated Concrete Demand (m³)]]&lt;100000,"Large","Mega"))))</f>
        <v>Large</v>
      </c>
      <c r="P2468" s="287" t="str">
        <f t="shared" si="40"/>
        <v>GujRERA</v>
      </c>
    </row>
    <row r="2469" spans="1:16">
      <c r="A2469" s="129" t="str">
        <f>_xlfn.XLOOKUP(B2469,$S$9:$S$14,$T$9:$T$14)&amp;"-"&amp;
IF(E2469="Residential/Group Housing","RES",
IF(E2469="Commercial","COM",
IF(E2469="Mixed Development","MIX",
IF(E2469="Plotted Development","PLT","OTH"))))
&amp;"-"&amp;TEXT(COUNTIFS($B$9:B2469,B2469,$E$9:E2469,E2469),"0000")</f>
        <v>SUR-COM-0401</v>
      </c>
      <c r="B2469" s="322" t="s">
        <v>34</v>
      </c>
      <c r="C2469" s="322" t="s">
        <v>34</v>
      </c>
      <c r="D2469" s="323" t="s">
        <v>2658</v>
      </c>
      <c r="E2469" s="132" t="s">
        <v>23</v>
      </c>
      <c r="F2469" s="97" t="str">
        <f ca="1">IF(OR(Market_Data[[#This Row],[Start Date]]="",Market_Data[[#This Row],[Completion Date]]=""),"Needs Validation",IF(Market_Data[[#This Row],[Start Date]]&gt;TODAY(),"Planned",IF(Market_Data[[#This Row],[Completion Date]]&lt;TODAY(),"Completed","Ongoing")))</f>
        <v>Completed</v>
      </c>
      <c r="G2469" s="324">
        <v>42738</v>
      </c>
      <c r="H2469" s="324">
        <v>44285</v>
      </c>
      <c r="I2469" s="325">
        <v>29800</v>
      </c>
      <c r="J246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469" s="133">
        <f>_xlfn.XLOOKUP(Market_Data[[#This Row],[Project Type]],tbl_assumptions_market[Project Category (RERA)],tbl_assumptions_market[Concrete Intensity
(m³ / sq m BUA)],"",0)</f>
        <v>0.5</v>
      </c>
      <c r="L2469" s="134">
        <f>ROUND(Market_Data[[#This Row],[Estimated Built Up Area (sq m)]]*Market_Data[[#This Row],[Concrete Intensity
(m³ / sq m)]],0)</f>
        <v>14900</v>
      </c>
      <c r="M2469" s="135">
        <f>_xlfn.XLOOKUP(Market_Data[[#This Row],[District]],tbl_district_price[District],tbl_district_price[Standard Price
(INR/m³)],"",0)</f>
        <v>6200</v>
      </c>
      <c r="N2469" s="364">
        <f>IF(OR(Market_Data[[#This Row],[Estimated Concrete Demand (m³)]]="",Market_Data[[#This Row],[Avg Price per (₹ / m³)]]=""),"",Market_Data[[#This Row],[Estimated Concrete Demand (m³)]]*Market_Data[[#This Row],[Avg Price per (₹ / m³)]]/10000000)</f>
        <v>9.2379999999999995</v>
      </c>
      <c r="O2469" s="97" t="str">
        <f>IF(Market_Data[[#This Row],[Estimated Concrete Demand (m³)]]="","",
IF(Market_Data[[#This Row],[Estimated Concrete Demand (m³)]]&lt;10000,"Small",
IF(Market_Data[[#This Row],[Estimated Concrete Demand (m³)]]&lt;25000,"Medium",
IF(Market_Data[[#This Row],[Estimated Concrete Demand (m³)]]&lt;100000,"Large","Mega"))))</f>
        <v>Medium</v>
      </c>
      <c r="P2469" s="287" t="str">
        <f t="shared" si="40"/>
        <v>GujRERA</v>
      </c>
    </row>
    <row r="2470" spans="1:16">
      <c r="A2470" s="129" t="str">
        <f>_xlfn.XLOOKUP(B2470,$S$9:$S$14,$T$9:$T$14)&amp;"-"&amp;
IF(E2470="Residential/Group Housing","RES",
IF(E2470="Commercial","COM",
IF(E2470="Mixed Development","MIX",
IF(E2470="Plotted Development","PLT","OTH"))))
&amp;"-"&amp;TEXT(COUNTIFS($B$9:B2470,B2470,$E$9:E2470,E2470),"0000")</f>
        <v>SUR-RES-0847</v>
      </c>
      <c r="B2470" s="322" t="s">
        <v>34</v>
      </c>
      <c r="C2470" s="322" t="s">
        <v>34</v>
      </c>
      <c r="D2470" s="323" t="s">
        <v>2659</v>
      </c>
      <c r="E2470" s="132" t="s">
        <v>24</v>
      </c>
      <c r="F2470" s="97" t="str">
        <f ca="1">IF(OR(Market_Data[[#This Row],[Start Date]]="",Market_Data[[#This Row],[Completion Date]]=""),"Needs Validation",IF(Market_Data[[#This Row],[Start Date]]&gt;TODAY(),"Planned",IF(Market_Data[[#This Row],[Completion Date]]&lt;TODAY(),"Completed","Ongoing")))</f>
        <v>Ongoing</v>
      </c>
      <c r="G2470" s="324">
        <v>44621</v>
      </c>
      <c r="H2470" s="324">
        <v>46477</v>
      </c>
      <c r="I2470" s="325">
        <v>11800</v>
      </c>
      <c r="J247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70" s="133">
        <f>_xlfn.XLOOKUP(Market_Data[[#This Row],[Project Type]],tbl_assumptions_market[Project Category (RERA)],tbl_assumptions_market[Concrete Intensity
(m³ / sq m BUA)],"",0)</f>
        <v>0.45</v>
      </c>
      <c r="L2470" s="134">
        <f>ROUND(Market_Data[[#This Row],[Estimated Built Up Area (sq m)]]*Market_Data[[#This Row],[Concrete Intensity
(m³ / sq m)]],0)</f>
        <v>5310</v>
      </c>
      <c r="M2470" s="135">
        <f>_xlfn.XLOOKUP(Market_Data[[#This Row],[District]],tbl_district_price[District],tbl_district_price[Standard Price
(INR/m³)],"",0)</f>
        <v>6200</v>
      </c>
      <c r="N2470" s="364">
        <f>IF(OR(Market_Data[[#This Row],[Estimated Concrete Demand (m³)]]="",Market_Data[[#This Row],[Avg Price per (₹ / m³)]]=""),"",Market_Data[[#This Row],[Estimated Concrete Demand (m³)]]*Market_Data[[#This Row],[Avg Price per (₹ / m³)]]/10000000)</f>
        <v>3.2921999999999998</v>
      </c>
      <c r="O2470" s="97" t="str">
        <f>IF(Market_Data[[#This Row],[Estimated Concrete Demand (m³)]]="","",
IF(Market_Data[[#This Row],[Estimated Concrete Demand (m³)]]&lt;10000,"Small",
IF(Market_Data[[#This Row],[Estimated Concrete Demand (m³)]]&lt;25000,"Medium",
IF(Market_Data[[#This Row],[Estimated Concrete Demand (m³)]]&lt;100000,"Large","Mega"))))</f>
        <v>Small</v>
      </c>
      <c r="P2470" s="287" t="str">
        <f t="shared" si="40"/>
        <v>GujRERA</v>
      </c>
    </row>
    <row r="2471" spans="1:16">
      <c r="A2471" s="129" t="str">
        <f>_xlfn.XLOOKUP(B2471,$S$9:$S$14,$T$9:$T$14)&amp;"-"&amp;
IF(E2471="Residential/Group Housing","RES",
IF(E2471="Commercial","COM",
IF(E2471="Mixed Development","MIX",
IF(E2471="Plotted Development","PLT","OTH"))))
&amp;"-"&amp;TEXT(COUNTIFS($B$9:B2471,B2471,$E$9:E2471,E2471),"0000")</f>
        <v>SUR-RES-0848</v>
      </c>
      <c r="B2471" s="322" t="s">
        <v>34</v>
      </c>
      <c r="C2471" s="322" t="s">
        <v>34</v>
      </c>
      <c r="D2471" s="323" t="s">
        <v>2660</v>
      </c>
      <c r="E2471" s="132" t="s">
        <v>24</v>
      </c>
      <c r="F2471" s="97" t="str">
        <f ca="1">IF(OR(Market_Data[[#This Row],[Start Date]]="",Market_Data[[#This Row],[Completion Date]]=""),"Needs Validation",IF(Market_Data[[#This Row],[Start Date]]&gt;TODAY(),"Planned",IF(Market_Data[[#This Row],[Completion Date]]&lt;TODAY(),"Completed","Ongoing")))</f>
        <v>Completed</v>
      </c>
      <c r="G2471" s="324">
        <v>44429</v>
      </c>
      <c r="H2471" s="324">
        <v>46022</v>
      </c>
      <c r="I2471" s="325">
        <v>44100</v>
      </c>
      <c r="J247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71" s="133">
        <f>_xlfn.XLOOKUP(Market_Data[[#This Row],[Project Type]],tbl_assumptions_market[Project Category (RERA)],tbl_assumptions_market[Concrete Intensity
(m³ / sq m BUA)],"",0)</f>
        <v>0.45</v>
      </c>
      <c r="L2471" s="134">
        <f>ROUND(Market_Data[[#This Row],[Estimated Built Up Area (sq m)]]*Market_Data[[#This Row],[Concrete Intensity
(m³ / sq m)]],0)</f>
        <v>19845</v>
      </c>
      <c r="M2471" s="135">
        <f>_xlfn.XLOOKUP(Market_Data[[#This Row],[District]],tbl_district_price[District],tbl_district_price[Standard Price
(INR/m³)],"",0)</f>
        <v>6200</v>
      </c>
      <c r="N2471" s="364">
        <f>IF(OR(Market_Data[[#This Row],[Estimated Concrete Demand (m³)]]="",Market_Data[[#This Row],[Avg Price per (₹ / m³)]]=""),"",Market_Data[[#This Row],[Estimated Concrete Demand (m³)]]*Market_Data[[#This Row],[Avg Price per (₹ / m³)]]/10000000)</f>
        <v>12.303900000000001</v>
      </c>
      <c r="O2471" s="97" t="str">
        <f>IF(Market_Data[[#This Row],[Estimated Concrete Demand (m³)]]="","",
IF(Market_Data[[#This Row],[Estimated Concrete Demand (m³)]]&lt;10000,"Small",
IF(Market_Data[[#This Row],[Estimated Concrete Demand (m³)]]&lt;25000,"Medium",
IF(Market_Data[[#This Row],[Estimated Concrete Demand (m³)]]&lt;100000,"Large","Mega"))))</f>
        <v>Medium</v>
      </c>
      <c r="P2471" s="287" t="str">
        <f t="shared" si="40"/>
        <v>GujRERA</v>
      </c>
    </row>
    <row r="2472" spans="1:16">
      <c r="A2472" s="129" t="str">
        <f>_xlfn.XLOOKUP(B2472,$S$9:$S$14,$T$9:$T$14)&amp;"-"&amp;
IF(E2472="Residential/Group Housing","RES",
IF(E2472="Commercial","COM",
IF(E2472="Mixed Development","MIX",
IF(E2472="Plotted Development","PLT","OTH"))))
&amp;"-"&amp;TEXT(COUNTIFS($B$9:B2472,B2472,$E$9:E2472,E2472),"0000")</f>
        <v>SUR-RES-0849</v>
      </c>
      <c r="B2472" s="322" t="s">
        <v>34</v>
      </c>
      <c r="C2472" s="322" t="s">
        <v>34</v>
      </c>
      <c r="D2472" s="323" t="s">
        <v>2661</v>
      </c>
      <c r="E2472" s="132" t="s">
        <v>24</v>
      </c>
      <c r="F2472" s="97" t="str">
        <f ca="1">IF(OR(Market_Data[[#This Row],[Start Date]]="",Market_Data[[#This Row],[Completion Date]]=""),"Needs Validation",IF(Market_Data[[#This Row],[Start Date]]&gt;TODAY(),"Planned",IF(Market_Data[[#This Row],[Completion Date]]&lt;TODAY(),"Completed","Ongoing")))</f>
        <v>Ongoing</v>
      </c>
      <c r="G2472" s="324">
        <v>43507</v>
      </c>
      <c r="H2472" s="324">
        <v>46295</v>
      </c>
      <c r="I2472" s="325">
        <v>2900</v>
      </c>
      <c r="J247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72" s="133">
        <f>_xlfn.XLOOKUP(Market_Data[[#This Row],[Project Type]],tbl_assumptions_market[Project Category (RERA)],tbl_assumptions_market[Concrete Intensity
(m³ / sq m BUA)],"",0)</f>
        <v>0.45</v>
      </c>
      <c r="L2472" s="134">
        <f>ROUND(Market_Data[[#This Row],[Estimated Built Up Area (sq m)]]*Market_Data[[#This Row],[Concrete Intensity
(m³ / sq m)]],0)</f>
        <v>1305</v>
      </c>
      <c r="M2472" s="135">
        <f>_xlfn.XLOOKUP(Market_Data[[#This Row],[District]],tbl_district_price[District],tbl_district_price[Standard Price
(INR/m³)],"",0)</f>
        <v>6200</v>
      </c>
      <c r="N2472" s="364">
        <f>IF(OR(Market_Data[[#This Row],[Estimated Concrete Demand (m³)]]="",Market_Data[[#This Row],[Avg Price per (₹ / m³)]]=""),"",Market_Data[[#This Row],[Estimated Concrete Demand (m³)]]*Market_Data[[#This Row],[Avg Price per (₹ / m³)]]/10000000)</f>
        <v>0.80910000000000004</v>
      </c>
      <c r="O2472" s="97" t="str">
        <f>IF(Market_Data[[#This Row],[Estimated Concrete Demand (m³)]]="","",
IF(Market_Data[[#This Row],[Estimated Concrete Demand (m³)]]&lt;10000,"Small",
IF(Market_Data[[#This Row],[Estimated Concrete Demand (m³)]]&lt;25000,"Medium",
IF(Market_Data[[#This Row],[Estimated Concrete Demand (m³)]]&lt;100000,"Large","Mega"))))</f>
        <v>Small</v>
      </c>
      <c r="P2472" s="287" t="str">
        <f t="shared" si="40"/>
        <v>GujRERA</v>
      </c>
    </row>
    <row r="2473" spans="1:16">
      <c r="A2473" s="129" t="str">
        <f>_xlfn.XLOOKUP(B2473,$S$9:$S$14,$T$9:$T$14)&amp;"-"&amp;
IF(E2473="Residential/Group Housing","RES",
IF(E2473="Commercial","COM",
IF(E2473="Mixed Development","MIX",
IF(E2473="Plotted Development","PLT","OTH"))))
&amp;"-"&amp;TEXT(COUNTIFS($B$9:B2473,B2473,$E$9:E2473,E2473),"0000")</f>
        <v>SUR-COM-0402</v>
      </c>
      <c r="B2473" s="322" t="s">
        <v>34</v>
      </c>
      <c r="C2473" s="322" t="s">
        <v>34</v>
      </c>
      <c r="D2473" s="323" t="s">
        <v>2662</v>
      </c>
      <c r="E2473" s="132" t="s">
        <v>23</v>
      </c>
      <c r="F2473" s="97" t="str">
        <f ca="1">IF(OR(Market_Data[[#This Row],[Start Date]]="",Market_Data[[#This Row],[Completion Date]]=""),"Needs Validation",IF(Market_Data[[#This Row],[Start Date]]&gt;TODAY(),"Planned",IF(Market_Data[[#This Row],[Completion Date]]&lt;TODAY(),"Completed","Ongoing")))</f>
        <v>Completed</v>
      </c>
      <c r="G2473" s="324">
        <v>42675</v>
      </c>
      <c r="H2473" s="324">
        <v>45930</v>
      </c>
      <c r="I2473" s="325">
        <v>95400</v>
      </c>
      <c r="J247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473" s="133">
        <f>_xlfn.XLOOKUP(Market_Data[[#This Row],[Project Type]],tbl_assumptions_market[Project Category (RERA)],tbl_assumptions_market[Concrete Intensity
(m³ / sq m BUA)],"",0)</f>
        <v>0.5</v>
      </c>
      <c r="L2473" s="134">
        <f>ROUND(Market_Data[[#This Row],[Estimated Built Up Area (sq m)]]*Market_Data[[#This Row],[Concrete Intensity
(m³ / sq m)]],0)</f>
        <v>47700</v>
      </c>
      <c r="M2473" s="135">
        <f>_xlfn.XLOOKUP(Market_Data[[#This Row],[District]],tbl_district_price[District],tbl_district_price[Standard Price
(INR/m³)],"",0)</f>
        <v>6200</v>
      </c>
      <c r="N2473" s="364">
        <f>IF(OR(Market_Data[[#This Row],[Estimated Concrete Demand (m³)]]="",Market_Data[[#This Row],[Avg Price per (₹ / m³)]]=""),"",Market_Data[[#This Row],[Estimated Concrete Demand (m³)]]*Market_Data[[#This Row],[Avg Price per (₹ / m³)]]/10000000)</f>
        <v>29.574000000000002</v>
      </c>
      <c r="O2473" s="97" t="str">
        <f>IF(Market_Data[[#This Row],[Estimated Concrete Demand (m³)]]="","",
IF(Market_Data[[#This Row],[Estimated Concrete Demand (m³)]]&lt;10000,"Small",
IF(Market_Data[[#This Row],[Estimated Concrete Demand (m³)]]&lt;25000,"Medium",
IF(Market_Data[[#This Row],[Estimated Concrete Demand (m³)]]&lt;100000,"Large","Mega"))))</f>
        <v>Large</v>
      </c>
      <c r="P2473" s="287" t="str">
        <f t="shared" si="40"/>
        <v>GujRERA</v>
      </c>
    </row>
    <row r="2474" spans="1:16">
      <c r="A2474" s="129" t="str">
        <f>_xlfn.XLOOKUP(B2474,$S$9:$S$14,$T$9:$T$14)&amp;"-"&amp;
IF(E2474="Residential/Group Housing","RES",
IF(E2474="Commercial","COM",
IF(E2474="Mixed Development","MIX",
IF(E2474="Plotted Development","PLT","OTH"))))
&amp;"-"&amp;TEXT(COUNTIFS($B$9:B2474,B2474,$E$9:E2474,E2474),"0000")</f>
        <v>SUR-COM-0403</v>
      </c>
      <c r="B2474" s="322" t="s">
        <v>34</v>
      </c>
      <c r="C2474" s="322" t="s">
        <v>34</v>
      </c>
      <c r="D2474" s="323" t="s">
        <v>2663</v>
      </c>
      <c r="E2474" s="132" t="s">
        <v>23</v>
      </c>
      <c r="F2474" s="97" t="str">
        <f ca="1">IF(OR(Market_Data[[#This Row],[Start Date]]="",Market_Data[[#This Row],[Completion Date]]=""),"Needs Validation",IF(Market_Data[[#This Row],[Start Date]]&gt;TODAY(),"Planned",IF(Market_Data[[#This Row],[Completion Date]]&lt;TODAY(),"Completed","Ongoing")))</f>
        <v>Completed</v>
      </c>
      <c r="G2474" s="324">
        <v>42583</v>
      </c>
      <c r="H2474" s="324">
        <v>45930</v>
      </c>
      <c r="I2474" s="325">
        <v>18800</v>
      </c>
      <c r="J247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74" s="133">
        <f>_xlfn.XLOOKUP(Market_Data[[#This Row],[Project Type]],tbl_assumptions_market[Project Category (RERA)],tbl_assumptions_market[Concrete Intensity
(m³ / sq m BUA)],"",0)</f>
        <v>0.5</v>
      </c>
      <c r="L2474" s="134">
        <f>ROUND(Market_Data[[#This Row],[Estimated Built Up Area (sq m)]]*Market_Data[[#This Row],[Concrete Intensity
(m³ / sq m)]],0)</f>
        <v>9400</v>
      </c>
      <c r="M2474" s="135">
        <f>_xlfn.XLOOKUP(Market_Data[[#This Row],[District]],tbl_district_price[District],tbl_district_price[Standard Price
(INR/m³)],"",0)</f>
        <v>6200</v>
      </c>
      <c r="N2474" s="364">
        <f>IF(OR(Market_Data[[#This Row],[Estimated Concrete Demand (m³)]]="",Market_Data[[#This Row],[Avg Price per (₹ / m³)]]=""),"",Market_Data[[#This Row],[Estimated Concrete Demand (m³)]]*Market_Data[[#This Row],[Avg Price per (₹ / m³)]]/10000000)</f>
        <v>5.8280000000000003</v>
      </c>
      <c r="O2474" s="97" t="str">
        <f>IF(Market_Data[[#This Row],[Estimated Concrete Demand (m³)]]="","",
IF(Market_Data[[#This Row],[Estimated Concrete Demand (m³)]]&lt;10000,"Small",
IF(Market_Data[[#This Row],[Estimated Concrete Demand (m³)]]&lt;25000,"Medium",
IF(Market_Data[[#This Row],[Estimated Concrete Demand (m³)]]&lt;100000,"Large","Mega"))))</f>
        <v>Small</v>
      </c>
      <c r="P2474" s="287" t="str">
        <f t="shared" si="40"/>
        <v>GujRERA</v>
      </c>
    </row>
    <row r="2475" spans="1:16">
      <c r="A2475" s="129" t="str">
        <f>_xlfn.XLOOKUP(B2475,$S$9:$S$14,$T$9:$T$14)&amp;"-"&amp;
IF(E2475="Residential/Group Housing","RES",
IF(E2475="Commercial","COM",
IF(E2475="Mixed Development","MIX",
IF(E2475="Plotted Development","PLT","OTH"))))
&amp;"-"&amp;TEXT(COUNTIFS($B$9:B2475,B2475,$E$9:E2475,E2475),"0000")</f>
        <v>SUR-COM-0404</v>
      </c>
      <c r="B2475" s="322" t="s">
        <v>34</v>
      </c>
      <c r="C2475" s="322" t="s">
        <v>34</v>
      </c>
      <c r="D2475" s="323" t="s">
        <v>2664</v>
      </c>
      <c r="E2475" s="132" t="s">
        <v>23</v>
      </c>
      <c r="F2475" s="97" t="str">
        <f ca="1">IF(OR(Market_Data[[#This Row],[Start Date]]="",Market_Data[[#This Row],[Completion Date]]=""),"Needs Validation",IF(Market_Data[[#This Row],[Start Date]]&gt;TODAY(),"Planned",IF(Market_Data[[#This Row],[Completion Date]]&lt;TODAY(),"Completed","Ongoing")))</f>
        <v>Ongoing</v>
      </c>
      <c r="G2475" s="324">
        <v>45041</v>
      </c>
      <c r="H2475" s="324">
        <v>47483</v>
      </c>
      <c r="I2475" s="325">
        <v>19000</v>
      </c>
      <c r="J247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75" s="133">
        <f>_xlfn.XLOOKUP(Market_Data[[#This Row],[Project Type]],tbl_assumptions_market[Project Category (RERA)],tbl_assumptions_market[Concrete Intensity
(m³ / sq m BUA)],"",0)</f>
        <v>0.5</v>
      </c>
      <c r="L2475" s="134">
        <f>ROUND(Market_Data[[#This Row],[Estimated Built Up Area (sq m)]]*Market_Data[[#This Row],[Concrete Intensity
(m³ / sq m)]],0)</f>
        <v>9500</v>
      </c>
      <c r="M2475" s="135">
        <f>_xlfn.XLOOKUP(Market_Data[[#This Row],[District]],tbl_district_price[District],tbl_district_price[Standard Price
(INR/m³)],"",0)</f>
        <v>6200</v>
      </c>
      <c r="N2475" s="364">
        <f>IF(OR(Market_Data[[#This Row],[Estimated Concrete Demand (m³)]]="",Market_Data[[#This Row],[Avg Price per (₹ / m³)]]=""),"",Market_Data[[#This Row],[Estimated Concrete Demand (m³)]]*Market_Data[[#This Row],[Avg Price per (₹ / m³)]]/10000000)</f>
        <v>5.89</v>
      </c>
      <c r="O2475" s="97" t="str">
        <f>IF(Market_Data[[#This Row],[Estimated Concrete Demand (m³)]]="","",
IF(Market_Data[[#This Row],[Estimated Concrete Demand (m³)]]&lt;10000,"Small",
IF(Market_Data[[#This Row],[Estimated Concrete Demand (m³)]]&lt;25000,"Medium",
IF(Market_Data[[#This Row],[Estimated Concrete Demand (m³)]]&lt;100000,"Large","Mega"))))</f>
        <v>Small</v>
      </c>
      <c r="P2475" s="287" t="str">
        <f t="shared" si="40"/>
        <v>GujRERA</v>
      </c>
    </row>
    <row r="2476" spans="1:16">
      <c r="A2476" s="129" t="str">
        <f>_xlfn.XLOOKUP(B2476,$S$9:$S$14,$T$9:$T$14)&amp;"-"&amp;
IF(E2476="Residential/Group Housing","RES",
IF(E2476="Commercial","COM",
IF(E2476="Mixed Development","MIX",
IF(E2476="Plotted Development","PLT","OTH"))))
&amp;"-"&amp;TEXT(COUNTIFS($B$9:B2476,B2476,$E$9:E2476,E2476),"0000")</f>
        <v>SUR-RES-0850</v>
      </c>
      <c r="B2476" s="322" t="s">
        <v>34</v>
      </c>
      <c r="C2476" s="322" t="s">
        <v>34</v>
      </c>
      <c r="D2476" s="323" t="s">
        <v>2665</v>
      </c>
      <c r="E2476" s="132" t="s">
        <v>24</v>
      </c>
      <c r="F2476" s="97" t="str">
        <f ca="1">IF(OR(Market_Data[[#This Row],[Start Date]]="",Market_Data[[#This Row],[Completion Date]]=""),"Needs Validation",IF(Market_Data[[#This Row],[Start Date]]&gt;TODAY(),"Planned",IF(Market_Data[[#This Row],[Completion Date]]&lt;TODAY(),"Completed","Ongoing")))</f>
        <v>Ongoing</v>
      </c>
      <c r="G2476" s="324">
        <v>45205</v>
      </c>
      <c r="H2476" s="324">
        <v>47483</v>
      </c>
      <c r="I2476" s="325">
        <v>44400</v>
      </c>
      <c r="J247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76" s="133">
        <f>_xlfn.XLOOKUP(Market_Data[[#This Row],[Project Type]],tbl_assumptions_market[Project Category (RERA)],tbl_assumptions_market[Concrete Intensity
(m³ / sq m BUA)],"",0)</f>
        <v>0.45</v>
      </c>
      <c r="L2476" s="134">
        <f>ROUND(Market_Data[[#This Row],[Estimated Built Up Area (sq m)]]*Market_Data[[#This Row],[Concrete Intensity
(m³ / sq m)]],0)</f>
        <v>19980</v>
      </c>
      <c r="M2476" s="135">
        <f>_xlfn.XLOOKUP(Market_Data[[#This Row],[District]],tbl_district_price[District],tbl_district_price[Standard Price
(INR/m³)],"",0)</f>
        <v>6200</v>
      </c>
      <c r="N2476" s="364">
        <f>IF(OR(Market_Data[[#This Row],[Estimated Concrete Demand (m³)]]="",Market_Data[[#This Row],[Avg Price per (₹ / m³)]]=""),"",Market_Data[[#This Row],[Estimated Concrete Demand (m³)]]*Market_Data[[#This Row],[Avg Price per (₹ / m³)]]/10000000)</f>
        <v>12.387600000000001</v>
      </c>
      <c r="O2476" s="97" t="str">
        <f>IF(Market_Data[[#This Row],[Estimated Concrete Demand (m³)]]="","",
IF(Market_Data[[#This Row],[Estimated Concrete Demand (m³)]]&lt;10000,"Small",
IF(Market_Data[[#This Row],[Estimated Concrete Demand (m³)]]&lt;25000,"Medium",
IF(Market_Data[[#This Row],[Estimated Concrete Demand (m³)]]&lt;100000,"Large","Mega"))))</f>
        <v>Medium</v>
      </c>
      <c r="P2476" s="287" t="str">
        <f t="shared" si="40"/>
        <v>GujRERA</v>
      </c>
    </row>
    <row r="2477" spans="1:16">
      <c r="A2477" s="129" t="str">
        <f>_xlfn.XLOOKUP(B2477,$S$9:$S$14,$T$9:$T$14)&amp;"-"&amp;
IF(E2477="Residential/Group Housing","RES",
IF(E2477="Commercial","COM",
IF(E2477="Mixed Development","MIX",
IF(E2477="Plotted Development","PLT","OTH"))))
&amp;"-"&amp;TEXT(COUNTIFS($B$9:B2477,B2477,$E$9:E2477,E2477),"0000")</f>
        <v>SUR-COM-0405</v>
      </c>
      <c r="B2477" s="322" t="s">
        <v>34</v>
      </c>
      <c r="C2477" s="322" t="s">
        <v>34</v>
      </c>
      <c r="D2477" s="323" t="s">
        <v>2666</v>
      </c>
      <c r="E2477" s="132" t="s">
        <v>23</v>
      </c>
      <c r="F2477" s="97" t="str">
        <f ca="1">IF(OR(Market_Data[[#This Row],[Start Date]]="",Market_Data[[#This Row],[Completion Date]]=""),"Needs Validation",IF(Market_Data[[#This Row],[Start Date]]&gt;TODAY(),"Planned",IF(Market_Data[[#This Row],[Completion Date]]&lt;TODAY(),"Completed","Ongoing")))</f>
        <v>Completed</v>
      </c>
      <c r="G2477" s="324">
        <v>44788</v>
      </c>
      <c r="H2477" s="324">
        <v>46022</v>
      </c>
      <c r="I2477" s="325">
        <v>47900</v>
      </c>
      <c r="J247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477" s="133">
        <f>_xlfn.XLOOKUP(Market_Data[[#This Row],[Project Type]],tbl_assumptions_market[Project Category (RERA)],tbl_assumptions_market[Concrete Intensity
(m³ / sq m BUA)],"",0)</f>
        <v>0.5</v>
      </c>
      <c r="L2477" s="134">
        <f>ROUND(Market_Data[[#This Row],[Estimated Built Up Area (sq m)]]*Market_Data[[#This Row],[Concrete Intensity
(m³ / sq m)]],0)</f>
        <v>23950</v>
      </c>
      <c r="M2477" s="135">
        <f>_xlfn.XLOOKUP(Market_Data[[#This Row],[District]],tbl_district_price[District],tbl_district_price[Standard Price
(INR/m³)],"",0)</f>
        <v>6200</v>
      </c>
      <c r="N2477" s="364">
        <f>IF(OR(Market_Data[[#This Row],[Estimated Concrete Demand (m³)]]="",Market_Data[[#This Row],[Avg Price per (₹ / m³)]]=""),"",Market_Data[[#This Row],[Estimated Concrete Demand (m³)]]*Market_Data[[#This Row],[Avg Price per (₹ / m³)]]/10000000)</f>
        <v>14.849</v>
      </c>
      <c r="O2477" s="97" t="str">
        <f>IF(Market_Data[[#This Row],[Estimated Concrete Demand (m³)]]="","",
IF(Market_Data[[#This Row],[Estimated Concrete Demand (m³)]]&lt;10000,"Small",
IF(Market_Data[[#This Row],[Estimated Concrete Demand (m³)]]&lt;25000,"Medium",
IF(Market_Data[[#This Row],[Estimated Concrete Demand (m³)]]&lt;100000,"Large","Mega"))))</f>
        <v>Medium</v>
      </c>
      <c r="P2477" s="287" t="str">
        <f t="shared" si="40"/>
        <v>GujRERA</v>
      </c>
    </row>
    <row r="2478" spans="1:16">
      <c r="A2478" s="129" t="str">
        <f>_xlfn.XLOOKUP(B2478,$S$9:$S$14,$T$9:$T$14)&amp;"-"&amp;
IF(E2478="Residential/Group Housing","RES",
IF(E2478="Commercial","COM",
IF(E2478="Mixed Development","MIX",
IF(E2478="Plotted Development","PLT","OTH"))))
&amp;"-"&amp;TEXT(COUNTIFS($B$9:B2478,B2478,$E$9:E2478,E2478),"0000")</f>
        <v>SUR-MIX-0447</v>
      </c>
      <c r="B2478" s="322" t="s">
        <v>34</v>
      </c>
      <c r="C2478" s="322" t="s">
        <v>34</v>
      </c>
      <c r="D2478" s="323" t="s">
        <v>2667</v>
      </c>
      <c r="E2478" s="132" t="s">
        <v>25</v>
      </c>
      <c r="F2478" s="97" t="str">
        <f ca="1">IF(OR(Market_Data[[#This Row],[Start Date]]="",Market_Data[[#This Row],[Completion Date]]=""),"Needs Validation",IF(Market_Data[[#This Row],[Start Date]]&gt;TODAY(),"Planned",IF(Market_Data[[#This Row],[Completion Date]]&lt;TODAY(),"Completed","Ongoing")))</f>
        <v>Completed</v>
      </c>
      <c r="G2478" s="324">
        <v>43424</v>
      </c>
      <c r="H2478" s="324">
        <v>45166</v>
      </c>
      <c r="I2478" s="325">
        <v>19800</v>
      </c>
      <c r="J247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78" s="133">
        <f>_xlfn.XLOOKUP(Market_Data[[#This Row],[Project Type]],tbl_assumptions_market[Project Category (RERA)],tbl_assumptions_market[Concrete Intensity
(m³ / sq m BUA)],"",0)</f>
        <v>0.42</v>
      </c>
      <c r="L2478" s="134">
        <f>ROUND(Market_Data[[#This Row],[Estimated Built Up Area (sq m)]]*Market_Data[[#This Row],[Concrete Intensity
(m³ / sq m)]],0)</f>
        <v>8316</v>
      </c>
      <c r="M2478" s="135">
        <f>_xlfn.XLOOKUP(Market_Data[[#This Row],[District]],tbl_district_price[District],tbl_district_price[Standard Price
(INR/m³)],"",0)</f>
        <v>6200</v>
      </c>
      <c r="N2478" s="364">
        <f>IF(OR(Market_Data[[#This Row],[Estimated Concrete Demand (m³)]]="",Market_Data[[#This Row],[Avg Price per (₹ / m³)]]=""),"",Market_Data[[#This Row],[Estimated Concrete Demand (m³)]]*Market_Data[[#This Row],[Avg Price per (₹ / m³)]]/10000000)</f>
        <v>5.1559200000000001</v>
      </c>
      <c r="O2478" s="97" t="str">
        <f>IF(Market_Data[[#This Row],[Estimated Concrete Demand (m³)]]="","",
IF(Market_Data[[#This Row],[Estimated Concrete Demand (m³)]]&lt;10000,"Small",
IF(Market_Data[[#This Row],[Estimated Concrete Demand (m³)]]&lt;25000,"Medium",
IF(Market_Data[[#This Row],[Estimated Concrete Demand (m³)]]&lt;100000,"Large","Mega"))))</f>
        <v>Small</v>
      </c>
      <c r="P2478" s="287" t="str">
        <f t="shared" si="40"/>
        <v>GujRERA</v>
      </c>
    </row>
    <row r="2479" spans="1:16">
      <c r="A2479" s="129" t="str">
        <f>_xlfn.XLOOKUP(B2479,$S$9:$S$14,$T$9:$T$14)&amp;"-"&amp;
IF(E2479="Residential/Group Housing","RES",
IF(E2479="Commercial","COM",
IF(E2479="Mixed Development","MIX",
IF(E2479="Plotted Development","PLT","OTH"))))
&amp;"-"&amp;TEXT(COUNTIFS($B$9:B2479,B2479,$E$9:E2479,E2479),"0000")</f>
        <v>SUR-RES-0851</v>
      </c>
      <c r="B2479" s="322" t="s">
        <v>34</v>
      </c>
      <c r="C2479" s="322" t="s">
        <v>34</v>
      </c>
      <c r="D2479" s="323" t="s">
        <v>2668</v>
      </c>
      <c r="E2479" s="132" t="s">
        <v>24</v>
      </c>
      <c r="F2479" s="97" t="str">
        <f ca="1">IF(OR(Market_Data[[#This Row],[Start Date]]="",Market_Data[[#This Row],[Completion Date]]=""),"Needs Validation",IF(Market_Data[[#This Row],[Start Date]]&gt;TODAY(),"Planned",IF(Market_Data[[#This Row],[Completion Date]]&lt;TODAY(),"Completed","Ongoing")))</f>
        <v>Ongoing</v>
      </c>
      <c r="G2479" s="324">
        <v>44986</v>
      </c>
      <c r="H2479" s="324">
        <v>47483</v>
      </c>
      <c r="I2479" s="325">
        <v>56400</v>
      </c>
      <c r="J247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79" s="133">
        <f>_xlfn.XLOOKUP(Market_Data[[#This Row],[Project Type]],tbl_assumptions_market[Project Category (RERA)],tbl_assumptions_market[Concrete Intensity
(m³ / sq m BUA)],"",0)</f>
        <v>0.45</v>
      </c>
      <c r="L2479" s="134">
        <f>ROUND(Market_Data[[#This Row],[Estimated Built Up Area (sq m)]]*Market_Data[[#This Row],[Concrete Intensity
(m³ / sq m)]],0)</f>
        <v>25380</v>
      </c>
      <c r="M2479" s="135">
        <f>_xlfn.XLOOKUP(Market_Data[[#This Row],[District]],tbl_district_price[District],tbl_district_price[Standard Price
(INR/m³)],"",0)</f>
        <v>6200</v>
      </c>
      <c r="N2479" s="364">
        <f>IF(OR(Market_Data[[#This Row],[Estimated Concrete Demand (m³)]]="",Market_Data[[#This Row],[Avg Price per (₹ / m³)]]=""),"",Market_Data[[#This Row],[Estimated Concrete Demand (m³)]]*Market_Data[[#This Row],[Avg Price per (₹ / m³)]]/10000000)</f>
        <v>15.7356</v>
      </c>
      <c r="O2479" s="97" t="str">
        <f>IF(Market_Data[[#This Row],[Estimated Concrete Demand (m³)]]="","",
IF(Market_Data[[#This Row],[Estimated Concrete Demand (m³)]]&lt;10000,"Small",
IF(Market_Data[[#This Row],[Estimated Concrete Demand (m³)]]&lt;25000,"Medium",
IF(Market_Data[[#This Row],[Estimated Concrete Demand (m³)]]&lt;100000,"Large","Mega"))))</f>
        <v>Large</v>
      </c>
      <c r="P2479" s="287" t="str">
        <f t="shared" si="40"/>
        <v>GujRERA</v>
      </c>
    </row>
    <row r="2480" spans="1:16">
      <c r="A2480" s="129" t="str">
        <f>_xlfn.XLOOKUP(B2480,$S$9:$S$14,$T$9:$T$14)&amp;"-"&amp;
IF(E2480="Residential/Group Housing","RES",
IF(E2480="Commercial","COM",
IF(E2480="Mixed Development","MIX",
IF(E2480="Plotted Development","PLT","OTH"))))
&amp;"-"&amp;TEXT(COUNTIFS($B$9:B2480,B2480,$E$9:E2480,E2480),"0000")</f>
        <v>SUR-RES-0852</v>
      </c>
      <c r="B2480" s="322" t="s">
        <v>34</v>
      </c>
      <c r="C2480" s="322" t="s">
        <v>34</v>
      </c>
      <c r="D2480" s="323" t="s">
        <v>2669</v>
      </c>
      <c r="E2480" s="132" t="s">
        <v>24</v>
      </c>
      <c r="F2480" s="97" t="str">
        <f ca="1">IF(OR(Market_Data[[#This Row],[Start Date]]="",Market_Data[[#This Row],[Completion Date]]=""),"Needs Validation",IF(Market_Data[[#This Row],[Start Date]]&gt;TODAY(),"Planned",IF(Market_Data[[#This Row],[Completion Date]]&lt;TODAY(),"Completed","Ongoing")))</f>
        <v>Ongoing</v>
      </c>
      <c r="G2480" s="324">
        <v>45141</v>
      </c>
      <c r="H2480" s="324">
        <v>46904</v>
      </c>
      <c r="I2480" s="325">
        <v>28500</v>
      </c>
      <c r="J248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80" s="133">
        <f>_xlfn.XLOOKUP(Market_Data[[#This Row],[Project Type]],tbl_assumptions_market[Project Category (RERA)],tbl_assumptions_market[Concrete Intensity
(m³ / sq m BUA)],"",0)</f>
        <v>0.45</v>
      </c>
      <c r="L2480" s="134">
        <f>ROUND(Market_Data[[#This Row],[Estimated Built Up Area (sq m)]]*Market_Data[[#This Row],[Concrete Intensity
(m³ / sq m)]],0)</f>
        <v>12825</v>
      </c>
      <c r="M2480" s="135">
        <f>_xlfn.XLOOKUP(Market_Data[[#This Row],[District]],tbl_district_price[District],tbl_district_price[Standard Price
(INR/m³)],"",0)</f>
        <v>6200</v>
      </c>
      <c r="N2480" s="364">
        <f>IF(OR(Market_Data[[#This Row],[Estimated Concrete Demand (m³)]]="",Market_Data[[#This Row],[Avg Price per (₹ / m³)]]=""),"",Market_Data[[#This Row],[Estimated Concrete Demand (m³)]]*Market_Data[[#This Row],[Avg Price per (₹ / m³)]]/10000000)</f>
        <v>7.9515000000000002</v>
      </c>
      <c r="O2480" s="97" t="str">
        <f>IF(Market_Data[[#This Row],[Estimated Concrete Demand (m³)]]="","",
IF(Market_Data[[#This Row],[Estimated Concrete Demand (m³)]]&lt;10000,"Small",
IF(Market_Data[[#This Row],[Estimated Concrete Demand (m³)]]&lt;25000,"Medium",
IF(Market_Data[[#This Row],[Estimated Concrete Demand (m³)]]&lt;100000,"Large","Mega"))))</f>
        <v>Medium</v>
      </c>
      <c r="P2480" s="287" t="str">
        <f t="shared" si="40"/>
        <v>GujRERA</v>
      </c>
    </row>
    <row r="2481" spans="1:16">
      <c r="A2481" s="129" t="str">
        <f>_xlfn.XLOOKUP(B2481,$S$9:$S$14,$T$9:$T$14)&amp;"-"&amp;
IF(E2481="Residential/Group Housing","RES",
IF(E2481="Commercial","COM",
IF(E2481="Mixed Development","MIX",
IF(E2481="Plotted Development","PLT","OTH"))))
&amp;"-"&amp;TEXT(COUNTIFS($B$9:B2481,B2481,$E$9:E2481,E2481),"0000")</f>
        <v>SUR-RES-0853</v>
      </c>
      <c r="B2481" s="322" t="s">
        <v>34</v>
      </c>
      <c r="C2481" s="322" t="s">
        <v>34</v>
      </c>
      <c r="D2481" s="323" t="s">
        <v>2670</v>
      </c>
      <c r="E2481" s="132" t="s">
        <v>24</v>
      </c>
      <c r="F2481" s="97" t="str">
        <f ca="1">IF(OR(Market_Data[[#This Row],[Start Date]]="",Market_Data[[#This Row],[Completion Date]]=""),"Needs Validation",IF(Market_Data[[#This Row],[Start Date]]&gt;TODAY(),"Planned",IF(Market_Data[[#This Row],[Completion Date]]&lt;TODAY(),"Completed","Ongoing")))</f>
        <v>Ongoing</v>
      </c>
      <c r="G2481" s="324">
        <v>44958</v>
      </c>
      <c r="H2481" s="324">
        <v>47118</v>
      </c>
      <c r="I2481" s="325">
        <v>10000</v>
      </c>
      <c r="J248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81" s="133">
        <f>_xlfn.XLOOKUP(Market_Data[[#This Row],[Project Type]],tbl_assumptions_market[Project Category (RERA)],tbl_assumptions_market[Concrete Intensity
(m³ / sq m BUA)],"",0)</f>
        <v>0.45</v>
      </c>
      <c r="L2481" s="134">
        <f>ROUND(Market_Data[[#This Row],[Estimated Built Up Area (sq m)]]*Market_Data[[#This Row],[Concrete Intensity
(m³ / sq m)]],0)</f>
        <v>4500</v>
      </c>
      <c r="M2481" s="135">
        <f>_xlfn.XLOOKUP(Market_Data[[#This Row],[District]],tbl_district_price[District],tbl_district_price[Standard Price
(INR/m³)],"",0)</f>
        <v>6200</v>
      </c>
      <c r="N2481" s="364">
        <f>IF(OR(Market_Data[[#This Row],[Estimated Concrete Demand (m³)]]="",Market_Data[[#This Row],[Avg Price per (₹ / m³)]]=""),"",Market_Data[[#This Row],[Estimated Concrete Demand (m³)]]*Market_Data[[#This Row],[Avg Price per (₹ / m³)]]/10000000)</f>
        <v>2.79</v>
      </c>
      <c r="O2481" s="97" t="str">
        <f>IF(Market_Data[[#This Row],[Estimated Concrete Demand (m³)]]="","",
IF(Market_Data[[#This Row],[Estimated Concrete Demand (m³)]]&lt;10000,"Small",
IF(Market_Data[[#This Row],[Estimated Concrete Demand (m³)]]&lt;25000,"Medium",
IF(Market_Data[[#This Row],[Estimated Concrete Demand (m³)]]&lt;100000,"Large","Mega"))))</f>
        <v>Small</v>
      </c>
      <c r="P2481" s="287" t="str">
        <f t="shared" si="40"/>
        <v>GujRERA</v>
      </c>
    </row>
    <row r="2482" spans="1:16">
      <c r="A2482" s="129" t="str">
        <f>_xlfn.XLOOKUP(B2482,$S$9:$S$14,$T$9:$T$14)&amp;"-"&amp;
IF(E2482="Residential/Group Housing","RES",
IF(E2482="Commercial","COM",
IF(E2482="Mixed Development","MIX",
IF(E2482="Plotted Development","PLT","OTH"))))
&amp;"-"&amp;TEXT(COUNTIFS($B$9:B2482,B2482,$E$9:E2482,E2482),"0000")</f>
        <v>SUR-RES-0854</v>
      </c>
      <c r="B2482" s="322" t="s">
        <v>34</v>
      </c>
      <c r="C2482" s="322" t="s">
        <v>34</v>
      </c>
      <c r="D2482" s="323" t="s">
        <v>2671</v>
      </c>
      <c r="E2482" s="132" t="s">
        <v>24</v>
      </c>
      <c r="F2482" s="97" t="str">
        <f ca="1">IF(OR(Market_Data[[#This Row],[Start Date]]="",Market_Data[[#This Row],[Completion Date]]=""),"Needs Validation",IF(Market_Data[[#This Row],[Start Date]]&gt;TODAY(),"Planned",IF(Market_Data[[#This Row],[Completion Date]]&lt;TODAY(),"Completed","Ongoing")))</f>
        <v>Ongoing</v>
      </c>
      <c r="G2482" s="324">
        <v>45565</v>
      </c>
      <c r="H2482" s="324">
        <v>46752</v>
      </c>
      <c r="I2482" s="325">
        <v>28800</v>
      </c>
      <c r="J248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82" s="133">
        <f>_xlfn.XLOOKUP(Market_Data[[#This Row],[Project Type]],tbl_assumptions_market[Project Category (RERA)],tbl_assumptions_market[Concrete Intensity
(m³ / sq m BUA)],"",0)</f>
        <v>0.45</v>
      </c>
      <c r="L2482" s="134">
        <f>ROUND(Market_Data[[#This Row],[Estimated Built Up Area (sq m)]]*Market_Data[[#This Row],[Concrete Intensity
(m³ / sq m)]],0)</f>
        <v>12960</v>
      </c>
      <c r="M2482" s="135">
        <f>_xlfn.XLOOKUP(Market_Data[[#This Row],[District]],tbl_district_price[District],tbl_district_price[Standard Price
(INR/m³)],"",0)</f>
        <v>6200</v>
      </c>
      <c r="N2482" s="364">
        <f>IF(OR(Market_Data[[#This Row],[Estimated Concrete Demand (m³)]]="",Market_Data[[#This Row],[Avg Price per (₹ / m³)]]=""),"",Market_Data[[#This Row],[Estimated Concrete Demand (m³)]]*Market_Data[[#This Row],[Avg Price per (₹ / m³)]]/10000000)</f>
        <v>8.0351999999999997</v>
      </c>
      <c r="O2482" s="97" t="str">
        <f>IF(Market_Data[[#This Row],[Estimated Concrete Demand (m³)]]="","",
IF(Market_Data[[#This Row],[Estimated Concrete Demand (m³)]]&lt;10000,"Small",
IF(Market_Data[[#This Row],[Estimated Concrete Demand (m³)]]&lt;25000,"Medium",
IF(Market_Data[[#This Row],[Estimated Concrete Demand (m³)]]&lt;100000,"Large","Mega"))))</f>
        <v>Medium</v>
      </c>
      <c r="P2482" s="287" t="str">
        <f t="shared" si="40"/>
        <v>GujRERA</v>
      </c>
    </row>
    <row r="2483" spans="1:16">
      <c r="A2483" s="129" t="str">
        <f>_xlfn.XLOOKUP(B2483,$S$9:$S$14,$T$9:$T$14)&amp;"-"&amp;
IF(E2483="Residential/Group Housing","RES",
IF(E2483="Commercial","COM",
IF(E2483="Mixed Development","MIX",
IF(E2483="Plotted Development","PLT","OTH"))))
&amp;"-"&amp;TEXT(COUNTIFS($B$9:B2483,B2483,$E$9:E2483,E2483),"0000")</f>
        <v>SUR-RES-0855</v>
      </c>
      <c r="B2483" s="322" t="s">
        <v>34</v>
      </c>
      <c r="C2483" s="322" t="s">
        <v>34</v>
      </c>
      <c r="D2483" s="323" t="s">
        <v>2672</v>
      </c>
      <c r="E2483" s="132" t="s">
        <v>24</v>
      </c>
      <c r="F2483" s="97" t="str">
        <f ca="1">IF(OR(Market_Data[[#This Row],[Start Date]]="",Market_Data[[#This Row],[Completion Date]]=""),"Needs Validation",IF(Market_Data[[#This Row],[Start Date]]&gt;TODAY(),"Planned",IF(Market_Data[[#This Row],[Completion Date]]&lt;TODAY(),"Completed","Ongoing")))</f>
        <v>Ongoing</v>
      </c>
      <c r="G2483" s="324">
        <v>45909</v>
      </c>
      <c r="H2483" s="324">
        <v>47483</v>
      </c>
      <c r="I2483" s="325">
        <v>28900</v>
      </c>
      <c r="J248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83" s="133">
        <f>_xlfn.XLOOKUP(Market_Data[[#This Row],[Project Type]],tbl_assumptions_market[Project Category (RERA)],tbl_assumptions_market[Concrete Intensity
(m³ / sq m BUA)],"",0)</f>
        <v>0.45</v>
      </c>
      <c r="L2483" s="134">
        <f>ROUND(Market_Data[[#This Row],[Estimated Built Up Area (sq m)]]*Market_Data[[#This Row],[Concrete Intensity
(m³ / sq m)]],0)</f>
        <v>13005</v>
      </c>
      <c r="M2483" s="135">
        <f>_xlfn.XLOOKUP(Market_Data[[#This Row],[District]],tbl_district_price[District],tbl_district_price[Standard Price
(INR/m³)],"",0)</f>
        <v>6200</v>
      </c>
      <c r="N2483" s="364">
        <f>IF(OR(Market_Data[[#This Row],[Estimated Concrete Demand (m³)]]="",Market_Data[[#This Row],[Avg Price per (₹ / m³)]]=""),"",Market_Data[[#This Row],[Estimated Concrete Demand (m³)]]*Market_Data[[#This Row],[Avg Price per (₹ / m³)]]/10000000)</f>
        <v>8.0631000000000004</v>
      </c>
      <c r="O2483" s="97" t="str">
        <f>IF(Market_Data[[#This Row],[Estimated Concrete Demand (m³)]]="","",
IF(Market_Data[[#This Row],[Estimated Concrete Demand (m³)]]&lt;10000,"Small",
IF(Market_Data[[#This Row],[Estimated Concrete Demand (m³)]]&lt;25000,"Medium",
IF(Market_Data[[#This Row],[Estimated Concrete Demand (m³)]]&lt;100000,"Large","Mega"))))</f>
        <v>Medium</v>
      </c>
      <c r="P2483" s="287" t="str">
        <f t="shared" si="40"/>
        <v>GujRERA</v>
      </c>
    </row>
    <row r="2484" spans="1:16">
      <c r="A2484" s="129" t="str">
        <f>_xlfn.XLOOKUP(B2484,$S$9:$S$14,$T$9:$T$14)&amp;"-"&amp;
IF(E2484="Residential/Group Housing","RES",
IF(E2484="Commercial","COM",
IF(E2484="Mixed Development","MIX",
IF(E2484="Plotted Development","PLT","OTH"))))
&amp;"-"&amp;TEXT(COUNTIFS($B$9:B2484,B2484,$E$9:E2484,E2484),"0000")</f>
        <v>SUR-RES-0856</v>
      </c>
      <c r="B2484" s="322" t="s">
        <v>34</v>
      </c>
      <c r="C2484" s="322" t="s">
        <v>34</v>
      </c>
      <c r="D2484" s="323" t="s">
        <v>2673</v>
      </c>
      <c r="E2484" s="132" t="s">
        <v>24</v>
      </c>
      <c r="F2484" s="97" t="str">
        <f ca="1">IF(OR(Market_Data[[#This Row],[Start Date]]="",Market_Data[[#This Row],[Completion Date]]=""),"Needs Validation",IF(Market_Data[[#This Row],[Start Date]]&gt;TODAY(),"Planned",IF(Market_Data[[#This Row],[Completion Date]]&lt;TODAY(),"Completed","Ongoing")))</f>
        <v>Completed</v>
      </c>
      <c r="G2484" s="324">
        <v>43405</v>
      </c>
      <c r="H2484" s="324">
        <v>45412</v>
      </c>
      <c r="I2484" s="325">
        <v>54200</v>
      </c>
      <c r="J248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84" s="133">
        <f>_xlfn.XLOOKUP(Market_Data[[#This Row],[Project Type]],tbl_assumptions_market[Project Category (RERA)],tbl_assumptions_market[Concrete Intensity
(m³ / sq m BUA)],"",0)</f>
        <v>0.45</v>
      </c>
      <c r="L2484" s="134">
        <f>ROUND(Market_Data[[#This Row],[Estimated Built Up Area (sq m)]]*Market_Data[[#This Row],[Concrete Intensity
(m³ / sq m)]],0)</f>
        <v>24390</v>
      </c>
      <c r="M2484" s="135">
        <f>_xlfn.XLOOKUP(Market_Data[[#This Row],[District]],tbl_district_price[District],tbl_district_price[Standard Price
(INR/m³)],"",0)</f>
        <v>6200</v>
      </c>
      <c r="N2484" s="364">
        <f>IF(OR(Market_Data[[#This Row],[Estimated Concrete Demand (m³)]]="",Market_Data[[#This Row],[Avg Price per (₹ / m³)]]=""),"",Market_Data[[#This Row],[Estimated Concrete Demand (m³)]]*Market_Data[[#This Row],[Avg Price per (₹ / m³)]]/10000000)</f>
        <v>15.1218</v>
      </c>
      <c r="O2484" s="97" t="str">
        <f>IF(Market_Data[[#This Row],[Estimated Concrete Demand (m³)]]="","",
IF(Market_Data[[#This Row],[Estimated Concrete Demand (m³)]]&lt;10000,"Small",
IF(Market_Data[[#This Row],[Estimated Concrete Demand (m³)]]&lt;25000,"Medium",
IF(Market_Data[[#This Row],[Estimated Concrete Demand (m³)]]&lt;100000,"Large","Mega"))))</f>
        <v>Medium</v>
      </c>
      <c r="P2484" s="287" t="str">
        <f t="shared" si="40"/>
        <v>GujRERA</v>
      </c>
    </row>
    <row r="2485" spans="1:16">
      <c r="A2485" s="129" t="str">
        <f>_xlfn.XLOOKUP(B2485,$S$9:$S$14,$T$9:$T$14)&amp;"-"&amp;
IF(E2485="Residential/Group Housing","RES",
IF(E2485="Commercial","COM",
IF(E2485="Mixed Development","MIX",
IF(E2485="Plotted Development","PLT","OTH"))))
&amp;"-"&amp;TEXT(COUNTIFS($B$9:B2485,B2485,$E$9:E2485,E2485),"0000")</f>
        <v>SUR-RES-0857</v>
      </c>
      <c r="B2485" s="322" t="s">
        <v>34</v>
      </c>
      <c r="C2485" s="322" t="s">
        <v>34</v>
      </c>
      <c r="D2485" s="323" t="s">
        <v>2674</v>
      </c>
      <c r="E2485" s="132" t="s">
        <v>24</v>
      </c>
      <c r="F2485" s="97" t="str">
        <f ca="1">IF(OR(Market_Data[[#This Row],[Start Date]]="",Market_Data[[#This Row],[Completion Date]]=""),"Needs Validation",IF(Market_Data[[#This Row],[Start Date]]&gt;TODAY(),"Planned",IF(Market_Data[[#This Row],[Completion Date]]&lt;TODAY(),"Completed","Ongoing")))</f>
        <v>Ongoing</v>
      </c>
      <c r="G2485" s="324">
        <v>45659</v>
      </c>
      <c r="H2485" s="324">
        <v>47483</v>
      </c>
      <c r="I2485" s="325">
        <v>56500</v>
      </c>
      <c r="J248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85" s="133">
        <f>_xlfn.XLOOKUP(Market_Data[[#This Row],[Project Type]],tbl_assumptions_market[Project Category (RERA)],tbl_assumptions_market[Concrete Intensity
(m³ / sq m BUA)],"",0)</f>
        <v>0.45</v>
      </c>
      <c r="L2485" s="134">
        <f>ROUND(Market_Data[[#This Row],[Estimated Built Up Area (sq m)]]*Market_Data[[#This Row],[Concrete Intensity
(m³ / sq m)]],0)</f>
        <v>25425</v>
      </c>
      <c r="M2485" s="135">
        <f>_xlfn.XLOOKUP(Market_Data[[#This Row],[District]],tbl_district_price[District],tbl_district_price[Standard Price
(INR/m³)],"",0)</f>
        <v>6200</v>
      </c>
      <c r="N2485" s="364">
        <f>IF(OR(Market_Data[[#This Row],[Estimated Concrete Demand (m³)]]="",Market_Data[[#This Row],[Avg Price per (₹ / m³)]]=""),"",Market_Data[[#This Row],[Estimated Concrete Demand (m³)]]*Market_Data[[#This Row],[Avg Price per (₹ / m³)]]/10000000)</f>
        <v>15.763500000000001</v>
      </c>
      <c r="O2485" s="97" t="str">
        <f>IF(Market_Data[[#This Row],[Estimated Concrete Demand (m³)]]="","",
IF(Market_Data[[#This Row],[Estimated Concrete Demand (m³)]]&lt;10000,"Small",
IF(Market_Data[[#This Row],[Estimated Concrete Demand (m³)]]&lt;25000,"Medium",
IF(Market_Data[[#This Row],[Estimated Concrete Demand (m³)]]&lt;100000,"Large","Mega"))))</f>
        <v>Large</v>
      </c>
      <c r="P2485" s="287" t="str">
        <f t="shared" si="40"/>
        <v>GujRERA</v>
      </c>
    </row>
    <row r="2486" spans="1:16">
      <c r="A2486" s="129" t="str">
        <f>_xlfn.XLOOKUP(B2486,$S$9:$S$14,$T$9:$T$14)&amp;"-"&amp;
IF(E2486="Residential/Group Housing","RES",
IF(E2486="Commercial","COM",
IF(E2486="Mixed Development","MIX",
IF(E2486="Plotted Development","PLT","OTH"))))
&amp;"-"&amp;TEXT(COUNTIFS($B$9:B2486,B2486,$E$9:E2486,E2486),"0000")</f>
        <v>SUR-MIX-0448</v>
      </c>
      <c r="B2486" s="322" t="s">
        <v>34</v>
      </c>
      <c r="C2486" s="322" t="s">
        <v>34</v>
      </c>
      <c r="D2486" s="323" t="s">
        <v>2675</v>
      </c>
      <c r="E2486" s="132" t="s">
        <v>25</v>
      </c>
      <c r="F2486" s="97" t="str">
        <f ca="1">IF(OR(Market_Data[[#This Row],[Start Date]]="",Market_Data[[#This Row],[Completion Date]]=""),"Needs Validation",IF(Market_Data[[#This Row],[Start Date]]&gt;TODAY(),"Planned",IF(Market_Data[[#This Row],[Completion Date]]&lt;TODAY(),"Completed","Ongoing")))</f>
        <v>Ongoing</v>
      </c>
      <c r="G2486" s="324">
        <v>44562</v>
      </c>
      <c r="H2486" s="324">
        <v>46477</v>
      </c>
      <c r="I2486" s="325">
        <v>34500</v>
      </c>
      <c r="J248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86" s="133">
        <f>_xlfn.XLOOKUP(Market_Data[[#This Row],[Project Type]],tbl_assumptions_market[Project Category (RERA)],tbl_assumptions_market[Concrete Intensity
(m³ / sq m BUA)],"",0)</f>
        <v>0.42</v>
      </c>
      <c r="L2486" s="134">
        <f>ROUND(Market_Data[[#This Row],[Estimated Built Up Area (sq m)]]*Market_Data[[#This Row],[Concrete Intensity
(m³ / sq m)]],0)</f>
        <v>14490</v>
      </c>
      <c r="M2486" s="135">
        <f>_xlfn.XLOOKUP(Market_Data[[#This Row],[District]],tbl_district_price[District],tbl_district_price[Standard Price
(INR/m³)],"",0)</f>
        <v>6200</v>
      </c>
      <c r="N2486" s="364">
        <f>IF(OR(Market_Data[[#This Row],[Estimated Concrete Demand (m³)]]="",Market_Data[[#This Row],[Avg Price per (₹ / m³)]]=""),"",Market_Data[[#This Row],[Estimated Concrete Demand (m³)]]*Market_Data[[#This Row],[Avg Price per (₹ / m³)]]/10000000)</f>
        <v>8.9838000000000005</v>
      </c>
      <c r="O2486" s="97" t="str">
        <f>IF(Market_Data[[#This Row],[Estimated Concrete Demand (m³)]]="","",
IF(Market_Data[[#This Row],[Estimated Concrete Demand (m³)]]&lt;10000,"Small",
IF(Market_Data[[#This Row],[Estimated Concrete Demand (m³)]]&lt;25000,"Medium",
IF(Market_Data[[#This Row],[Estimated Concrete Demand (m³)]]&lt;100000,"Large","Mega"))))</f>
        <v>Medium</v>
      </c>
      <c r="P2486" s="287" t="str">
        <f t="shared" si="40"/>
        <v>GujRERA</v>
      </c>
    </row>
    <row r="2487" spans="1:16">
      <c r="A2487" s="129" t="str">
        <f>_xlfn.XLOOKUP(B2487,$S$9:$S$14,$T$9:$T$14)&amp;"-"&amp;
IF(E2487="Residential/Group Housing","RES",
IF(E2487="Commercial","COM",
IF(E2487="Mixed Development","MIX",
IF(E2487="Plotted Development","PLT","OTH"))))
&amp;"-"&amp;TEXT(COUNTIFS($B$9:B2487,B2487,$E$9:E2487,E2487),"0000")</f>
        <v>SUR-MIX-0449</v>
      </c>
      <c r="B2487" s="322" t="s">
        <v>34</v>
      </c>
      <c r="C2487" s="322" t="s">
        <v>34</v>
      </c>
      <c r="D2487" s="323" t="s">
        <v>2676</v>
      </c>
      <c r="E2487" s="132" t="s">
        <v>25</v>
      </c>
      <c r="F2487" s="97" t="str">
        <f ca="1">IF(OR(Market_Data[[#This Row],[Start Date]]="",Market_Data[[#This Row],[Completion Date]]=""),"Needs Validation",IF(Market_Data[[#This Row],[Start Date]]&gt;TODAY(),"Planned",IF(Market_Data[[#This Row],[Completion Date]]&lt;TODAY(),"Completed","Ongoing")))</f>
        <v>Completed</v>
      </c>
      <c r="G2487" s="324">
        <v>44258</v>
      </c>
      <c r="H2487" s="324">
        <v>46143</v>
      </c>
      <c r="I2487" s="325">
        <v>33900</v>
      </c>
      <c r="J248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87" s="133">
        <f>_xlfn.XLOOKUP(Market_Data[[#This Row],[Project Type]],tbl_assumptions_market[Project Category (RERA)],tbl_assumptions_market[Concrete Intensity
(m³ / sq m BUA)],"",0)</f>
        <v>0.42</v>
      </c>
      <c r="L2487" s="134">
        <f>ROUND(Market_Data[[#This Row],[Estimated Built Up Area (sq m)]]*Market_Data[[#This Row],[Concrete Intensity
(m³ / sq m)]],0)</f>
        <v>14238</v>
      </c>
      <c r="M2487" s="135">
        <f>_xlfn.XLOOKUP(Market_Data[[#This Row],[District]],tbl_district_price[District],tbl_district_price[Standard Price
(INR/m³)],"",0)</f>
        <v>6200</v>
      </c>
      <c r="N2487" s="364">
        <f>IF(OR(Market_Data[[#This Row],[Estimated Concrete Demand (m³)]]="",Market_Data[[#This Row],[Avg Price per (₹ / m³)]]=""),"",Market_Data[[#This Row],[Estimated Concrete Demand (m³)]]*Market_Data[[#This Row],[Avg Price per (₹ / m³)]]/10000000)</f>
        <v>8.8275600000000001</v>
      </c>
      <c r="O2487" s="97" t="str">
        <f>IF(Market_Data[[#This Row],[Estimated Concrete Demand (m³)]]="","",
IF(Market_Data[[#This Row],[Estimated Concrete Demand (m³)]]&lt;10000,"Small",
IF(Market_Data[[#This Row],[Estimated Concrete Demand (m³)]]&lt;25000,"Medium",
IF(Market_Data[[#This Row],[Estimated Concrete Demand (m³)]]&lt;100000,"Large","Mega"))))</f>
        <v>Medium</v>
      </c>
      <c r="P2487" s="287" t="str">
        <f t="shared" si="40"/>
        <v>GujRERA</v>
      </c>
    </row>
    <row r="2488" spans="1:16">
      <c r="A2488" s="129" t="str">
        <f>_xlfn.XLOOKUP(B2488,$S$9:$S$14,$T$9:$T$14)&amp;"-"&amp;
IF(E2488="Residential/Group Housing","RES",
IF(E2488="Commercial","COM",
IF(E2488="Mixed Development","MIX",
IF(E2488="Plotted Development","PLT","OTH"))))
&amp;"-"&amp;TEXT(COUNTIFS($B$9:B2488,B2488,$E$9:E2488,E2488),"0000")</f>
        <v>SUR-COM-0406</v>
      </c>
      <c r="B2488" s="322" t="s">
        <v>34</v>
      </c>
      <c r="C2488" s="322" t="s">
        <v>34</v>
      </c>
      <c r="D2488" s="323" t="s">
        <v>2677</v>
      </c>
      <c r="E2488" s="132" t="s">
        <v>23</v>
      </c>
      <c r="F2488" s="97" t="str">
        <f ca="1">IF(OR(Market_Data[[#This Row],[Start Date]]="",Market_Data[[#This Row],[Completion Date]]=""),"Needs Validation",IF(Market_Data[[#This Row],[Start Date]]&gt;TODAY(),"Planned",IF(Market_Data[[#This Row],[Completion Date]]&lt;TODAY(),"Completed","Ongoing")))</f>
        <v>Ongoing</v>
      </c>
      <c r="G2488" s="324">
        <v>45091</v>
      </c>
      <c r="H2488" s="324">
        <v>47483</v>
      </c>
      <c r="I2488" s="325">
        <v>9600</v>
      </c>
      <c r="J248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88" s="133">
        <f>_xlfn.XLOOKUP(Market_Data[[#This Row],[Project Type]],tbl_assumptions_market[Project Category (RERA)],tbl_assumptions_market[Concrete Intensity
(m³ / sq m BUA)],"",0)</f>
        <v>0.5</v>
      </c>
      <c r="L2488" s="134">
        <f>ROUND(Market_Data[[#This Row],[Estimated Built Up Area (sq m)]]*Market_Data[[#This Row],[Concrete Intensity
(m³ / sq m)]],0)</f>
        <v>4800</v>
      </c>
      <c r="M2488" s="135">
        <f>_xlfn.XLOOKUP(Market_Data[[#This Row],[District]],tbl_district_price[District],tbl_district_price[Standard Price
(INR/m³)],"",0)</f>
        <v>6200</v>
      </c>
      <c r="N2488" s="364">
        <f>IF(OR(Market_Data[[#This Row],[Estimated Concrete Demand (m³)]]="",Market_Data[[#This Row],[Avg Price per (₹ / m³)]]=""),"",Market_Data[[#This Row],[Estimated Concrete Demand (m³)]]*Market_Data[[#This Row],[Avg Price per (₹ / m³)]]/10000000)</f>
        <v>2.976</v>
      </c>
      <c r="O2488" s="97" t="str">
        <f>IF(Market_Data[[#This Row],[Estimated Concrete Demand (m³)]]="","",
IF(Market_Data[[#This Row],[Estimated Concrete Demand (m³)]]&lt;10000,"Small",
IF(Market_Data[[#This Row],[Estimated Concrete Demand (m³)]]&lt;25000,"Medium",
IF(Market_Data[[#This Row],[Estimated Concrete Demand (m³)]]&lt;100000,"Large","Mega"))))</f>
        <v>Small</v>
      </c>
      <c r="P2488" s="287" t="str">
        <f t="shared" si="40"/>
        <v>GujRERA</v>
      </c>
    </row>
    <row r="2489" spans="1:16">
      <c r="A2489" s="129" t="str">
        <f>_xlfn.XLOOKUP(B2489,$S$9:$S$14,$T$9:$T$14)&amp;"-"&amp;
IF(E2489="Residential/Group Housing","RES",
IF(E2489="Commercial","COM",
IF(E2489="Mixed Development","MIX",
IF(E2489="Plotted Development","PLT","OTH"))))
&amp;"-"&amp;TEXT(COUNTIFS($B$9:B2489,B2489,$E$9:E2489,E2489),"0000")</f>
        <v>SUR-COM-0407</v>
      </c>
      <c r="B2489" s="322" t="s">
        <v>34</v>
      </c>
      <c r="C2489" s="322" t="s">
        <v>34</v>
      </c>
      <c r="D2489" s="323" t="s">
        <v>2678</v>
      </c>
      <c r="E2489" s="132" t="s">
        <v>23</v>
      </c>
      <c r="F2489" s="97" t="str">
        <f ca="1">IF(OR(Market_Data[[#This Row],[Start Date]]="",Market_Data[[#This Row],[Completion Date]]=""),"Needs Validation",IF(Market_Data[[#This Row],[Start Date]]&gt;TODAY(),"Planned",IF(Market_Data[[#This Row],[Completion Date]]&lt;TODAY(),"Completed","Ongoing")))</f>
        <v>Completed</v>
      </c>
      <c r="G2489" s="324">
        <v>43678</v>
      </c>
      <c r="H2489" s="324">
        <v>46111</v>
      </c>
      <c r="I2489" s="325">
        <v>17100</v>
      </c>
      <c r="J248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89" s="133">
        <f>_xlfn.XLOOKUP(Market_Data[[#This Row],[Project Type]],tbl_assumptions_market[Project Category (RERA)],tbl_assumptions_market[Concrete Intensity
(m³ / sq m BUA)],"",0)</f>
        <v>0.5</v>
      </c>
      <c r="L2489" s="134">
        <f>ROUND(Market_Data[[#This Row],[Estimated Built Up Area (sq m)]]*Market_Data[[#This Row],[Concrete Intensity
(m³ / sq m)]],0)</f>
        <v>8550</v>
      </c>
      <c r="M2489" s="135">
        <f>_xlfn.XLOOKUP(Market_Data[[#This Row],[District]],tbl_district_price[District],tbl_district_price[Standard Price
(INR/m³)],"",0)</f>
        <v>6200</v>
      </c>
      <c r="N2489" s="364">
        <f>IF(OR(Market_Data[[#This Row],[Estimated Concrete Demand (m³)]]="",Market_Data[[#This Row],[Avg Price per (₹ / m³)]]=""),"",Market_Data[[#This Row],[Estimated Concrete Demand (m³)]]*Market_Data[[#This Row],[Avg Price per (₹ / m³)]]/10000000)</f>
        <v>5.3010000000000002</v>
      </c>
      <c r="O2489" s="97" t="str">
        <f>IF(Market_Data[[#This Row],[Estimated Concrete Demand (m³)]]="","",
IF(Market_Data[[#This Row],[Estimated Concrete Demand (m³)]]&lt;10000,"Small",
IF(Market_Data[[#This Row],[Estimated Concrete Demand (m³)]]&lt;25000,"Medium",
IF(Market_Data[[#This Row],[Estimated Concrete Demand (m³)]]&lt;100000,"Large","Mega"))))</f>
        <v>Small</v>
      </c>
      <c r="P2489" s="287" t="str">
        <f t="shared" si="40"/>
        <v>GujRERA</v>
      </c>
    </row>
    <row r="2490" spans="1:16">
      <c r="A2490" s="129" t="str">
        <f>_xlfn.XLOOKUP(B2490,$S$9:$S$14,$T$9:$T$14)&amp;"-"&amp;
IF(E2490="Residential/Group Housing","RES",
IF(E2490="Commercial","COM",
IF(E2490="Mixed Development","MIX",
IF(E2490="Plotted Development","PLT","OTH"))))
&amp;"-"&amp;TEXT(COUNTIFS($B$9:B2490,B2490,$E$9:E2490,E2490),"0000")</f>
        <v>SUR-RES-0858</v>
      </c>
      <c r="B2490" s="322" t="s">
        <v>34</v>
      </c>
      <c r="C2490" s="322" t="s">
        <v>34</v>
      </c>
      <c r="D2490" s="323" t="s">
        <v>2679</v>
      </c>
      <c r="E2490" s="132" t="s">
        <v>24</v>
      </c>
      <c r="F2490" s="97" t="str">
        <f ca="1">IF(OR(Market_Data[[#This Row],[Start Date]]="",Market_Data[[#This Row],[Completion Date]]=""),"Needs Validation",IF(Market_Data[[#This Row],[Start Date]]&gt;TODAY(),"Planned",IF(Market_Data[[#This Row],[Completion Date]]&lt;TODAY(),"Completed","Ongoing")))</f>
        <v>Ongoing</v>
      </c>
      <c r="G2490" s="324">
        <v>45295</v>
      </c>
      <c r="H2490" s="324">
        <v>47483</v>
      </c>
      <c r="I2490" s="325">
        <v>41400</v>
      </c>
      <c r="J249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90" s="133">
        <f>_xlfn.XLOOKUP(Market_Data[[#This Row],[Project Type]],tbl_assumptions_market[Project Category (RERA)],tbl_assumptions_market[Concrete Intensity
(m³ / sq m BUA)],"",0)</f>
        <v>0.45</v>
      </c>
      <c r="L2490" s="134">
        <f>ROUND(Market_Data[[#This Row],[Estimated Built Up Area (sq m)]]*Market_Data[[#This Row],[Concrete Intensity
(m³ / sq m)]],0)</f>
        <v>18630</v>
      </c>
      <c r="M2490" s="135">
        <f>_xlfn.XLOOKUP(Market_Data[[#This Row],[District]],tbl_district_price[District],tbl_district_price[Standard Price
(INR/m³)],"",0)</f>
        <v>6200</v>
      </c>
      <c r="N2490" s="364">
        <f>IF(OR(Market_Data[[#This Row],[Estimated Concrete Demand (m³)]]="",Market_Data[[#This Row],[Avg Price per (₹ / m³)]]=""),"",Market_Data[[#This Row],[Estimated Concrete Demand (m³)]]*Market_Data[[#This Row],[Avg Price per (₹ / m³)]]/10000000)</f>
        <v>11.550599999999999</v>
      </c>
      <c r="O2490" s="97" t="str">
        <f>IF(Market_Data[[#This Row],[Estimated Concrete Demand (m³)]]="","",
IF(Market_Data[[#This Row],[Estimated Concrete Demand (m³)]]&lt;10000,"Small",
IF(Market_Data[[#This Row],[Estimated Concrete Demand (m³)]]&lt;25000,"Medium",
IF(Market_Data[[#This Row],[Estimated Concrete Demand (m³)]]&lt;100000,"Large","Mega"))))</f>
        <v>Medium</v>
      </c>
      <c r="P2490" s="287" t="str">
        <f t="shared" si="40"/>
        <v>GujRERA</v>
      </c>
    </row>
    <row r="2491" spans="1:16">
      <c r="A2491" s="129" t="str">
        <f>_xlfn.XLOOKUP(B2491,$S$9:$S$14,$T$9:$T$14)&amp;"-"&amp;
IF(E2491="Residential/Group Housing","RES",
IF(E2491="Commercial","COM",
IF(E2491="Mixed Development","MIX",
IF(E2491="Plotted Development","PLT","OTH"))))
&amp;"-"&amp;TEXT(COUNTIFS($B$9:B2491,B2491,$E$9:E2491,E2491),"0000")</f>
        <v>SUR-COM-0408</v>
      </c>
      <c r="B2491" s="322" t="s">
        <v>34</v>
      </c>
      <c r="C2491" s="322" t="s">
        <v>34</v>
      </c>
      <c r="D2491" s="323" t="s">
        <v>2680</v>
      </c>
      <c r="E2491" s="132" t="s">
        <v>23</v>
      </c>
      <c r="F2491" s="97" t="str">
        <f ca="1">IF(OR(Market_Data[[#This Row],[Start Date]]="",Market_Data[[#This Row],[Completion Date]]=""),"Needs Validation",IF(Market_Data[[#This Row],[Start Date]]&gt;TODAY(),"Planned",IF(Market_Data[[#This Row],[Completion Date]]&lt;TODAY(),"Completed","Ongoing")))</f>
        <v>Completed</v>
      </c>
      <c r="G2491" s="324">
        <v>42856</v>
      </c>
      <c r="H2491" s="324">
        <v>45107</v>
      </c>
      <c r="I2491" s="325">
        <v>10800</v>
      </c>
      <c r="J249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91" s="133">
        <f>_xlfn.XLOOKUP(Market_Data[[#This Row],[Project Type]],tbl_assumptions_market[Project Category (RERA)],tbl_assumptions_market[Concrete Intensity
(m³ / sq m BUA)],"",0)</f>
        <v>0.5</v>
      </c>
      <c r="L2491" s="134">
        <f>ROUND(Market_Data[[#This Row],[Estimated Built Up Area (sq m)]]*Market_Data[[#This Row],[Concrete Intensity
(m³ / sq m)]],0)</f>
        <v>5400</v>
      </c>
      <c r="M2491" s="135">
        <f>_xlfn.XLOOKUP(Market_Data[[#This Row],[District]],tbl_district_price[District],tbl_district_price[Standard Price
(INR/m³)],"",0)</f>
        <v>6200</v>
      </c>
      <c r="N2491" s="364">
        <f>IF(OR(Market_Data[[#This Row],[Estimated Concrete Demand (m³)]]="",Market_Data[[#This Row],[Avg Price per (₹ / m³)]]=""),"",Market_Data[[#This Row],[Estimated Concrete Demand (m³)]]*Market_Data[[#This Row],[Avg Price per (₹ / m³)]]/10000000)</f>
        <v>3.3479999999999999</v>
      </c>
      <c r="O2491" s="97" t="str">
        <f>IF(Market_Data[[#This Row],[Estimated Concrete Demand (m³)]]="","",
IF(Market_Data[[#This Row],[Estimated Concrete Demand (m³)]]&lt;10000,"Small",
IF(Market_Data[[#This Row],[Estimated Concrete Demand (m³)]]&lt;25000,"Medium",
IF(Market_Data[[#This Row],[Estimated Concrete Demand (m³)]]&lt;100000,"Large","Mega"))))</f>
        <v>Small</v>
      </c>
      <c r="P2491" s="287" t="str">
        <f t="shared" si="40"/>
        <v>GujRERA</v>
      </c>
    </row>
    <row r="2492" spans="1:16">
      <c r="A2492" s="129" t="str">
        <f>_xlfn.XLOOKUP(B2492,$S$9:$S$14,$T$9:$T$14)&amp;"-"&amp;
IF(E2492="Residential/Group Housing","RES",
IF(E2492="Commercial","COM",
IF(E2492="Mixed Development","MIX",
IF(E2492="Plotted Development","PLT","OTH"))))
&amp;"-"&amp;TEXT(COUNTIFS($B$9:B2492,B2492,$E$9:E2492,E2492),"0000")</f>
        <v>SUR-COM-0409</v>
      </c>
      <c r="B2492" s="322" t="s">
        <v>34</v>
      </c>
      <c r="C2492" s="322" t="s">
        <v>34</v>
      </c>
      <c r="D2492" s="323" t="s">
        <v>2681</v>
      </c>
      <c r="E2492" s="132" t="s">
        <v>23</v>
      </c>
      <c r="F2492" s="97" t="str">
        <f ca="1">IF(OR(Market_Data[[#This Row],[Start Date]]="",Market_Data[[#This Row],[Completion Date]]=""),"Needs Validation",IF(Market_Data[[#This Row],[Start Date]]&gt;TODAY(),"Planned",IF(Market_Data[[#This Row],[Completion Date]]&lt;TODAY(),"Completed","Ongoing")))</f>
        <v>Completed</v>
      </c>
      <c r="G2492" s="324">
        <v>42948</v>
      </c>
      <c r="H2492" s="324">
        <v>44408</v>
      </c>
      <c r="I2492" s="325">
        <v>21600</v>
      </c>
      <c r="J249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492" s="133">
        <f>_xlfn.XLOOKUP(Market_Data[[#This Row],[Project Type]],tbl_assumptions_market[Project Category (RERA)],tbl_assumptions_market[Concrete Intensity
(m³ / sq m BUA)],"",0)</f>
        <v>0.5</v>
      </c>
      <c r="L2492" s="134">
        <f>ROUND(Market_Data[[#This Row],[Estimated Built Up Area (sq m)]]*Market_Data[[#This Row],[Concrete Intensity
(m³ / sq m)]],0)</f>
        <v>10800</v>
      </c>
      <c r="M2492" s="135">
        <f>_xlfn.XLOOKUP(Market_Data[[#This Row],[District]],tbl_district_price[District],tbl_district_price[Standard Price
(INR/m³)],"",0)</f>
        <v>6200</v>
      </c>
      <c r="N2492" s="364">
        <f>IF(OR(Market_Data[[#This Row],[Estimated Concrete Demand (m³)]]="",Market_Data[[#This Row],[Avg Price per (₹ / m³)]]=""),"",Market_Data[[#This Row],[Estimated Concrete Demand (m³)]]*Market_Data[[#This Row],[Avg Price per (₹ / m³)]]/10000000)</f>
        <v>6.6959999999999997</v>
      </c>
      <c r="O2492" s="97" t="str">
        <f>IF(Market_Data[[#This Row],[Estimated Concrete Demand (m³)]]="","",
IF(Market_Data[[#This Row],[Estimated Concrete Demand (m³)]]&lt;10000,"Small",
IF(Market_Data[[#This Row],[Estimated Concrete Demand (m³)]]&lt;25000,"Medium",
IF(Market_Data[[#This Row],[Estimated Concrete Demand (m³)]]&lt;100000,"Large","Mega"))))</f>
        <v>Medium</v>
      </c>
      <c r="P2492" s="287" t="str">
        <f t="shared" si="40"/>
        <v>GujRERA</v>
      </c>
    </row>
    <row r="2493" spans="1:16">
      <c r="A2493" s="129" t="str">
        <f>_xlfn.XLOOKUP(B2493,$S$9:$S$14,$T$9:$T$14)&amp;"-"&amp;
IF(E2493="Residential/Group Housing","RES",
IF(E2493="Commercial","COM",
IF(E2493="Mixed Development","MIX",
IF(E2493="Plotted Development","PLT","OTH"))))
&amp;"-"&amp;TEXT(COUNTIFS($B$9:B2493,B2493,$E$9:E2493,E2493),"0000")</f>
        <v>SUR-RES-0859</v>
      </c>
      <c r="B2493" s="322" t="s">
        <v>34</v>
      </c>
      <c r="C2493" s="322" t="s">
        <v>34</v>
      </c>
      <c r="D2493" s="323" t="s">
        <v>2682</v>
      </c>
      <c r="E2493" s="132" t="s">
        <v>24</v>
      </c>
      <c r="F2493" s="97" t="str">
        <f ca="1">IF(OR(Market_Data[[#This Row],[Start Date]]="",Market_Data[[#This Row],[Completion Date]]=""),"Needs Validation",IF(Market_Data[[#This Row],[Start Date]]&gt;TODAY(),"Planned",IF(Market_Data[[#This Row],[Completion Date]]&lt;TODAY(),"Completed","Ongoing")))</f>
        <v>Completed</v>
      </c>
      <c r="G2493" s="324">
        <v>43430</v>
      </c>
      <c r="H2493" s="324">
        <v>45107</v>
      </c>
      <c r="I2493" s="325">
        <v>47800</v>
      </c>
      <c r="J249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93" s="133">
        <f>_xlfn.XLOOKUP(Market_Data[[#This Row],[Project Type]],tbl_assumptions_market[Project Category (RERA)],tbl_assumptions_market[Concrete Intensity
(m³ / sq m BUA)],"",0)</f>
        <v>0.45</v>
      </c>
      <c r="L2493" s="134">
        <f>ROUND(Market_Data[[#This Row],[Estimated Built Up Area (sq m)]]*Market_Data[[#This Row],[Concrete Intensity
(m³ / sq m)]],0)</f>
        <v>21510</v>
      </c>
      <c r="M2493" s="135">
        <f>_xlfn.XLOOKUP(Market_Data[[#This Row],[District]],tbl_district_price[District],tbl_district_price[Standard Price
(INR/m³)],"",0)</f>
        <v>6200</v>
      </c>
      <c r="N2493" s="364">
        <f>IF(OR(Market_Data[[#This Row],[Estimated Concrete Demand (m³)]]="",Market_Data[[#This Row],[Avg Price per (₹ / m³)]]=""),"",Market_Data[[#This Row],[Estimated Concrete Demand (m³)]]*Market_Data[[#This Row],[Avg Price per (₹ / m³)]]/10000000)</f>
        <v>13.3362</v>
      </c>
      <c r="O2493" s="97" t="str">
        <f>IF(Market_Data[[#This Row],[Estimated Concrete Demand (m³)]]="","",
IF(Market_Data[[#This Row],[Estimated Concrete Demand (m³)]]&lt;10000,"Small",
IF(Market_Data[[#This Row],[Estimated Concrete Demand (m³)]]&lt;25000,"Medium",
IF(Market_Data[[#This Row],[Estimated Concrete Demand (m³)]]&lt;100000,"Large","Mega"))))</f>
        <v>Medium</v>
      </c>
      <c r="P2493" s="287" t="str">
        <f t="shared" si="40"/>
        <v>GujRERA</v>
      </c>
    </row>
    <row r="2494" spans="1:16">
      <c r="A2494" s="129" t="str">
        <f>_xlfn.XLOOKUP(B2494,$S$9:$S$14,$T$9:$T$14)&amp;"-"&amp;
IF(E2494="Residential/Group Housing","RES",
IF(E2494="Commercial","COM",
IF(E2494="Mixed Development","MIX",
IF(E2494="Plotted Development","PLT","OTH"))))
&amp;"-"&amp;TEXT(COUNTIFS($B$9:B2494,B2494,$E$9:E2494,E2494),"0000")</f>
        <v>SUR-COM-0410</v>
      </c>
      <c r="B2494" s="322" t="s">
        <v>34</v>
      </c>
      <c r="C2494" s="322" t="s">
        <v>34</v>
      </c>
      <c r="D2494" s="323" t="s">
        <v>2683</v>
      </c>
      <c r="E2494" s="132" t="s">
        <v>23</v>
      </c>
      <c r="F2494" s="97" t="str">
        <f ca="1">IF(OR(Market_Data[[#This Row],[Start Date]]="",Market_Data[[#This Row],[Completion Date]]=""),"Needs Validation",IF(Market_Data[[#This Row],[Start Date]]&gt;TODAY(),"Planned",IF(Market_Data[[#This Row],[Completion Date]]&lt;TODAY(),"Completed","Ongoing")))</f>
        <v>Completed</v>
      </c>
      <c r="G2494" s="324">
        <v>42245</v>
      </c>
      <c r="H2494" s="324">
        <v>44104</v>
      </c>
      <c r="I2494" s="325">
        <v>42000</v>
      </c>
      <c r="J249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494" s="133">
        <f>_xlfn.XLOOKUP(Market_Data[[#This Row],[Project Type]],tbl_assumptions_market[Project Category (RERA)],tbl_assumptions_market[Concrete Intensity
(m³ / sq m BUA)],"",0)</f>
        <v>0.5</v>
      </c>
      <c r="L2494" s="134">
        <f>ROUND(Market_Data[[#This Row],[Estimated Built Up Area (sq m)]]*Market_Data[[#This Row],[Concrete Intensity
(m³ / sq m)]],0)</f>
        <v>21000</v>
      </c>
      <c r="M2494" s="135">
        <f>_xlfn.XLOOKUP(Market_Data[[#This Row],[District]],tbl_district_price[District],tbl_district_price[Standard Price
(INR/m³)],"",0)</f>
        <v>6200</v>
      </c>
      <c r="N2494" s="364">
        <f>IF(OR(Market_Data[[#This Row],[Estimated Concrete Demand (m³)]]="",Market_Data[[#This Row],[Avg Price per (₹ / m³)]]=""),"",Market_Data[[#This Row],[Estimated Concrete Demand (m³)]]*Market_Data[[#This Row],[Avg Price per (₹ / m³)]]/10000000)</f>
        <v>13.02</v>
      </c>
      <c r="O2494" s="97" t="str">
        <f>IF(Market_Data[[#This Row],[Estimated Concrete Demand (m³)]]="","",
IF(Market_Data[[#This Row],[Estimated Concrete Demand (m³)]]&lt;10000,"Small",
IF(Market_Data[[#This Row],[Estimated Concrete Demand (m³)]]&lt;25000,"Medium",
IF(Market_Data[[#This Row],[Estimated Concrete Demand (m³)]]&lt;100000,"Large","Mega"))))</f>
        <v>Medium</v>
      </c>
      <c r="P2494" s="287" t="str">
        <f t="shared" si="40"/>
        <v>GujRERA</v>
      </c>
    </row>
    <row r="2495" spans="1:16">
      <c r="A2495" s="129" t="str">
        <f>_xlfn.XLOOKUP(B2495,$S$9:$S$14,$T$9:$T$14)&amp;"-"&amp;
IF(E2495="Residential/Group Housing","RES",
IF(E2495="Commercial","COM",
IF(E2495="Mixed Development","MIX",
IF(E2495="Plotted Development","PLT","OTH"))))
&amp;"-"&amp;TEXT(COUNTIFS($B$9:B2495,B2495,$E$9:E2495,E2495),"0000")</f>
        <v>SUR-RES-0860</v>
      </c>
      <c r="B2495" s="322" t="s">
        <v>34</v>
      </c>
      <c r="C2495" s="322" t="s">
        <v>34</v>
      </c>
      <c r="D2495" s="323" t="s">
        <v>2684</v>
      </c>
      <c r="E2495" s="132" t="s">
        <v>24</v>
      </c>
      <c r="F2495" s="97" t="str">
        <f ca="1">IF(OR(Market_Data[[#This Row],[Start Date]]="",Market_Data[[#This Row],[Completion Date]]=""),"Needs Validation",IF(Market_Data[[#This Row],[Start Date]]&gt;TODAY(),"Planned",IF(Market_Data[[#This Row],[Completion Date]]&lt;TODAY(),"Completed","Ongoing")))</f>
        <v>Completed</v>
      </c>
      <c r="G2495" s="324">
        <v>42996</v>
      </c>
      <c r="H2495" s="324">
        <v>44650</v>
      </c>
      <c r="I2495" s="325">
        <v>17800</v>
      </c>
      <c r="J249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95" s="133">
        <f>_xlfn.XLOOKUP(Market_Data[[#This Row],[Project Type]],tbl_assumptions_market[Project Category (RERA)],tbl_assumptions_market[Concrete Intensity
(m³ / sq m BUA)],"",0)</f>
        <v>0.45</v>
      </c>
      <c r="L2495" s="134">
        <f>ROUND(Market_Data[[#This Row],[Estimated Built Up Area (sq m)]]*Market_Data[[#This Row],[Concrete Intensity
(m³ / sq m)]],0)</f>
        <v>8010</v>
      </c>
      <c r="M2495" s="135">
        <f>_xlfn.XLOOKUP(Market_Data[[#This Row],[District]],tbl_district_price[District],tbl_district_price[Standard Price
(INR/m³)],"",0)</f>
        <v>6200</v>
      </c>
      <c r="N2495" s="364">
        <f>IF(OR(Market_Data[[#This Row],[Estimated Concrete Demand (m³)]]="",Market_Data[[#This Row],[Avg Price per (₹ / m³)]]=""),"",Market_Data[[#This Row],[Estimated Concrete Demand (m³)]]*Market_Data[[#This Row],[Avg Price per (₹ / m³)]]/10000000)</f>
        <v>4.9661999999999997</v>
      </c>
      <c r="O2495" s="97" t="str">
        <f>IF(Market_Data[[#This Row],[Estimated Concrete Demand (m³)]]="","",
IF(Market_Data[[#This Row],[Estimated Concrete Demand (m³)]]&lt;10000,"Small",
IF(Market_Data[[#This Row],[Estimated Concrete Demand (m³)]]&lt;25000,"Medium",
IF(Market_Data[[#This Row],[Estimated Concrete Demand (m³)]]&lt;100000,"Large","Mega"))))</f>
        <v>Small</v>
      </c>
      <c r="P2495" s="287" t="str">
        <f t="shared" si="40"/>
        <v>GujRERA</v>
      </c>
    </row>
    <row r="2496" spans="1:16">
      <c r="A2496" s="129" t="str">
        <f>_xlfn.XLOOKUP(B2496,$S$9:$S$14,$T$9:$T$14)&amp;"-"&amp;
IF(E2496="Residential/Group Housing","RES",
IF(E2496="Commercial","COM",
IF(E2496="Mixed Development","MIX",
IF(E2496="Plotted Development","PLT","OTH"))))
&amp;"-"&amp;TEXT(COUNTIFS($B$9:B2496,B2496,$E$9:E2496,E2496),"0000")</f>
        <v>SUR-COM-0411</v>
      </c>
      <c r="B2496" s="322" t="s">
        <v>34</v>
      </c>
      <c r="C2496" s="322" t="s">
        <v>34</v>
      </c>
      <c r="D2496" s="323" t="s">
        <v>2685</v>
      </c>
      <c r="E2496" s="132" t="s">
        <v>23</v>
      </c>
      <c r="F2496" s="97" t="str">
        <f ca="1">IF(OR(Market_Data[[#This Row],[Start Date]]="",Market_Data[[#This Row],[Completion Date]]=""),"Needs Validation",IF(Market_Data[[#This Row],[Start Date]]&gt;TODAY(),"Planned",IF(Market_Data[[#This Row],[Completion Date]]&lt;TODAY(),"Completed","Ongoing")))</f>
        <v>Completed</v>
      </c>
      <c r="G2496" s="324">
        <v>43009</v>
      </c>
      <c r="H2496" s="324">
        <v>44469</v>
      </c>
      <c r="I2496" s="325">
        <v>7400</v>
      </c>
      <c r="J249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96" s="133">
        <f>_xlfn.XLOOKUP(Market_Data[[#This Row],[Project Type]],tbl_assumptions_market[Project Category (RERA)],tbl_assumptions_market[Concrete Intensity
(m³ / sq m BUA)],"",0)</f>
        <v>0.5</v>
      </c>
      <c r="L2496" s="134">
        <f>ROUND(Market_Data[[#This Row],[Estimated Built Up Area (sq m)]]*Market_Data[[#This Row],[Concrete Intensity
(m³ / sq m)]],0)</f>
        <v>3700</v>
      </c>
      <c r="M2496" s="135">
        <f>_xlfn.XLOOKUP(Market_Data[[#This Row],[District]],tbl_district_price[District],tbl_district_price[Standard Price
(INR/m³)],"",0)</f>
        <v>6200</v>
      </c>
      <c r="N2496" s="364">
        <f>IF(OR(Market_Data[[#This Row],[Estimated Concrete Demand (m³)]]="",Market_Data[[#This Row],[Avg Price per (₹ / m³)]]=""),"",Market_Data[[#This Row],[Estimated Concrete Demand (m³)]]*Market_Data[[#This Row],[Avg Price per (₹ / m³)]]/10000000)</f>
        <v>2.294</v>
      </c>
      <c r="O2496" s="97" t="str">
        <f>IF(Market_Data[[#This Row],[Estimated Concrete Demand (m³)]]="","",
IF(Market_Data[[#This Row],[Estimated Concrete Demand (m³)]]&lt;10000,"Small",
IF(Market_Data[[#This Row],[Estimated Concrete Demand (m³)]]&lt;25000,"Medium",
IF(Market_Data[[#This Row],[Estimated Concrete Demand (m³)]]&lt;100000,"Large","Mega"))))</f>
        <v>Small</v>
      </c>
      <c r="P2496" s="287" t="str">
        <f t="shared" si="40"/>
        <v>GujRERA</v>
      </c>
    </row>
    <row r="2497" spans="1:16">
      <c r="A2497" s="129" t="str">
        <f>_xlfn.XLOOKUP(B2497,$S$9:$S$14,$T$9:$T$14)&amp;"-"&amp;
IF(E2497="Residential/Group Housing","RES",
IF(E2497="Commercial","COM",
IF(E2497="Mixed Development","MIX",
IF(E2497="Plotted Development","PLT","OTH"))))
&amp;"-"&amp;TEXT(COUNTIFS($B$9:B2497,B2497,$E$9:E2497,E2497),"0000")</f>
        <v>SUR-COM-0412</v>
      </c>
      <c r="B2497" s="322" t="s">
        <v>34</v>
      </c>
      <c r="C2497" s="322" t="s">
        <v>34</v>
      </c>
      <c r="D2497" s="323" t="s">
        <v>2686</v>
      </c>
      <c r="E2497" s="132" t="s">
        <v>23</v>
      </c>
      <c r="F2497" s="97" t="str">
        <f ca="1">IF(OR(Market_Data[[#This Row],[Start Date]]="",Market_Data[[#This Row],[Completion Date]]=""),"Needs Validation",IF(Market_Data[[#This Row],[Start Date]]&gt;TODAY(),"Planned",IF(Market_Data[[#This Row],[Completion Date]]&lt;TODAY(),"Completed","Ongoing")))</f>
        <v>Completed</v>
      </c>
      <c r="G2497" s="324">
        <v>42923</v>
      </c>
      <c r="H2497" s="324">
        <v>43646</v>
      </c>
      <c r="I2497" s="325">
        <v>13700</v>
      </c>
      <c r="J249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97" s="133">
        <f>_xlfn.XLOOKUP(Market_Data[[#This Row],[Project Type]],tbl_assumptions_market[Project Category (RERA)],tbl_assumptions_market[Concrete Intensity
(m³ / sq m BUA)],"",0)</f>
        <v>0.5</v>
      </c>
      <c r="L2497" s="134">
        <f>ROUND(Market_Data[[#This Row],[Estimated Built Up Area (sq m)]]*Market_Data[[#This Row],[Concrete Intensity
(m³ / sq m)]],0)</f>
        <v>6850</v>
      </c>
      <c r="M2497" s="135">
        <f>_xlfn.XLOOKUP(Market_Data[[#This Row],[District]],tbl_district_price[District],tbl_district_price[Standard Price
(INR/m³)],"",0)</f>
        <v>6200</v>
      </c>
      <c r="N2497" s="364">
        <f>IF(OR(Market_Data[[#This Row],[Estimated Concrete Demand (m³)]]="",Market_Data[[#This Row],[Avg Price per (₹ / m³)]]=""),"",Market_Data[[#This Row],[Estimated Concrete Demand (m³)]]*Market_Data[[#This Row],[Avg Price per (₹ / m³)]]/10000000)</f>
        <v>4.2469999999999999</v>
      </c>
      <c r="O2497" s="97" t="str">
        <f>IF(Market_Data[[#This Row],[Estimated Concrete Demand (m³)]]="","",
IF(Market_Data[[#This Row],[Estimated Concrete Demand (m³)]]&lt;10000,"Small",
IF(Market_Data[[#This Row],[Estimated Concrete Demand (m³)]]&lt;25000,"Medium",
IF(Market_Data[[#This Row],[Estimated Concrete Demand (m³)]]&lt;100000,"Large","Mega"))))</f>
        <v>Small</v>
      </c>
      <c r="P2497" s="287" t="str">
        <f t="shared" si="40"/>
        <v>GujRERA</v>
      </c>
    </row>
    <row r="2498" spans="1:16">
      <c r="A2498" s="129" t="str">
        <f>_xlfn.XLOOKUP(B2498,$S$9:$S$14,$T$9:$T$14)&amp;"-"&amp;
IF(E2498="Residential/Group Housing","RES",
IF(E2498="Commercial","COM",
IF(E2498="Mixed Development","MIX",
IF(E2498="Plotted Development","PLT","OTH"))))
&amp;"-"&amp;TEXT(COUNTIFS($B$9:B2498,B2498,$E$9:E2498,E2498),"0000")</f>
        <v>SUR-COM-0413</v>
      </c>
      <c r="B2498" s="322" t="s">
        <v>34</v>
      </c>
      <c r="C2498" s="322" t="s">
        <v>34</v>
      </c>
      <c r="D2498" s="323" t="s">
        <v>2687</v>
      </c>
      <c r="E2498" s="132" t="s">
        <v>23</v>
      </c>
      <c r="F2498" s="97" t="str">
        <f ca="1">IF(OR(Market_Data[[#This Row],[Start Date]]="",Market_Data[[#This Row],[Completion Date]]=""),"Needs Validation",IF(Market_Data[[#This Row],[Start Date]]&gt;TODAY(),"Planned",IF(Market_Data[[#This Row],[Completion Date]]&lt;TODAY(),"Completed","Ongoing")))</f>
        <v>Completed</v>
      </c>
      <c r="G2498" s="324">
        <v>42611</v>
      </c>
      <c r="H2498" s="324">
        <v>44104</v>
      </c>
      <c r="I2498" s="325">
        <v>9900</v>
      </c>
      <c r="J249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98" s="133">
        <f>_xlfn.XLOOKUP(Market_Data[[#This Row],[Project Type]],tbl_assumptions_market[Project Category (RERA)],tbl_assumptions_market[Concrete Intensity
(m³ / sq m BUA)],"",0)</f>
        <v>0.5</v>
      </c>
      <c r="L2498" s="134">
        <f>ROUND(Market_Data[[#This Row],[Estimated Built Up Area (sq m)]]*Market_Data[[#This Row],[Concrete Intensity
(m³ / sq m)]],0)</f>
        <v>4950</v>
      </c>
      <c r="M2498" s="135">
        <f>_xlfn.XLOOKUP(Market_Data[[#This Row],[District]],tbl_district_price[District],tbl_district_price[Standard Price
(INR/m³)],"",0)</f>
        <v>6200</v>
      </c>
      <c r="N2498" s="364">
        <f>IF(OR(Market_Data[[#This Row],[Estimated Concrete Demand (m³)]]="",Market_Data[[#This Row],[Avg Price per (₹ / m³)]]=""),"",Market_Data[[#This Row],[Estimated Concrete Demand (m³)]]*Market_Data[[#This Row],[Avg Price per (₹ / m³)]]/10000000)</f>
        <v>3.069</v>
      </c>
      <c r="O2498" s="97" t="str">
        <f>IF(Market_Data[[#This Row],[Estimated Concrete Demand (m³)]]="","",
IF(Market_Data[[#This Row],[Estimated Concrete Demand (m³)]]&lt;10000,"Small",
IF(Market_Data[[#This Row],[Estimated Concrete Demand (m³)]]&lt;25000,"Medium",
IF(Market_Data[[#This Row],[Estimated Concrete Demand (m³)]]&lt;100000,"Large","Mega"))))</f>
        <v>Small</v>
      </c>
      <c r="P2498" s="287" t="str">
        <f t="shared" si="40"/>
        <v>GujRERA</v>
      </c>
    </row>
    <row r="2499" spans="1:16">
      <c r="A2499" s="129" t="str">
        <f>_xlfn.XLOOKUP(B2499,$S$9:$S$14,$T$9:$T$14)&amp;"-"&amp;
IF(E2499="Residential/Group Housing","RES",
IF(E2499="Commercial","COM",
IF(E2499="Mixed Development","MIX",
IF(E2499="Plotted Development","PLT","OTH"))))
&amp;"-"&amp;TEXT(COUNTIFS($B$9:B2499,B2499,$E$9:E2499,E2499),"0000")</f>
        <v>SUR-COM-0414</v>
      </c>
      <c r="B2499" s="322" t="s">
        <v>34</v>
      </c>
      <c r="C2499" s="322" t="s">
        <v>34</v>
      </c>
      <c r="D2499" s="323" t="s">
        <v>2688</v>
      </c>
      <c r="E2499" s="132" t="s">
        <v>23</v>
      </c>
      <c r="F2499" s="97" t="str">
        <f ca="1">IF(OR(Market_Data[[#This Row],[Start Date]]="",Market_Data[[#This Row],[Completion Date]]=""),"Needs Validation",IF(Market_Data[[#This Row],[Start Date]]&gt;TODAY(),"Planned",IF(Market_Data[[#This Row],[Completion Date]]&lt;TODAY(),"Completed","Ongoing")))</f>
        <v>Completed</v>
      </c>
      <c r="G2499" s="324">
        <v>42644</v>
      </c>
      <c r="H2499" s="324">
        <v>44316</v>
      </c>
      <c r="I2499" s="325">
        <v>12400</v>
      </c>
      <c r="J249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499" s="133">
        <f>_xlfn.XLOOKUP(Market_Data[[#This Row],[Project Type]],tbl_assumptions_market[Project Category (RERA)],tbl_assumptions_market[Concrete Intensity
(m³ / sq m BUA)],"",0)</f>
        <v>0.5</v>
      </c>
      <c r="L2499" s="134">
        <f>ROUND(Market_Data[[#This Row],[Estimated Built Up Area (sq m)]]*Market_Data[[#This Row],[Concrete Intensity
(m³ / sq m)]],0)</f>
        <v>6200</v>
      </c>
      <c r="M2499" s="135">
        <f>_xlfn.XLOOKUP(Market_Data[[#This Row],[District]],tbl_district_price[District],tbl_district_price[Standard Price
(INR/m³)],"",0)</f>
        <v>6200</v>
      </c>
      <c r="N2499" s="364">
        <f>IF(OR(Market_Data[[#This Row],[Estimated Concrete Demand (m³)]]="",Market_Data[[#This Row],[Avg Price per (₹ / m³)]]=""),"",Market_Data[[#This Row],[Estimated Concrete Demand (m³)]]*Market_Data[[#This Row],[Avg Price per (₹ / m³)]]/10000000)</f>
        <v>3.8439999999999999</v>
      </c>
      <c r="O2499" s="97" t="str">
        <f>IF(Market_Data[[#This Row],[Estimated Concrete Demand (m³)]]="","",
IF(Market_Data[[#This Row],[Estimated Concrete Demand (m³)]]&lt;10000,"Small",
IF(Market_Data[[#This Row],[Estimated Concrete Demand (m³)]]&lt;25000,"Medium",
IF(Market_Data[[#This Row],[Estimated Concrete Demand (m³)]]&lt;100000,"Large","Mega"))))</f>
        <v>Small</v>
      </c>
      <c r="P2499" s="287" t="str">
        <f t="shared" si="40"/>
        <v>GujRERA</v>
      </c>
    </row>
    <row r="2500" spans="1:16">
      <c r="A2500" s="129" t="str">
        <f>_xlfn.XLOOKUP(B2500,$S$9:$S$14,$T$9:$T$14)&amp;"-"&amp;
IF(E2500="Residential/Group Housing","RES",
IF(E2500="Commercial","COM",
IF(E2500="Mixed Development","MIX",
IF(E2500="Plotted Development","PLT","OTH"))))
&amp;"-"&amp;TEXT(COUNTIFS($B$9:B2500,B2500,$E$9:E2500,E2500),"0000")</f>
        <v>SUR-RES-0861</v>
      </c>
      <c r="B2500" s="322" t="s">
        <v>34</v>
      </c>
      <c r="C2500" s="322" t="s">
        <v>34</v>
      </c>
      <c r="D2500" s="323" t="s">
        <v>2689</v>
      </c>
      <c r="E2500" s="132" t="s">
        <v>24</v>
      </c>
      <c r="F2500" s="97" t="str">
        <f ca="1">IF(OR(Market_Data[[#This Row],[Start Date]]="",Market_Data[[#This Row],[Completion Date]]=""),"Needs Validation",IF(Market_Data[[#This Row],[Start Date]]&gt;TODAY(),"Planned",IF(Market_Data[[#This Row],[Completion Date]]&lt;TODAY(),"Completed","Ongoing")))</f>
        <v>Completed</v>
      </c>
      <c r="G2500" s="324">
        <v>44119</v>
      </c>
      <c r="H2500" s="324">
        <v>46022</v>
      </c>
      <c r="I2500" s="325">
        <v>13400</v>
      </c>
      <c r="J250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00" s="133">
        <f>_xlfn.XLOOKUP(Market_Data[[#This Row],[Project Type]],tbl_assumptions_market[Project Category (RERA)],tbl_assumptions_market[Concrete Intensity
(m³ / sq m BUA)],"",0)</f>
        <v>0.45</v>
      </c>
      <c r="L2500" s="134">
        <f>ROUND(Market_Data[[#This Row],[Estimated Built Up Area (sq m)]]*Market_Data[[#This Row],[Concrete Intensity
(m³ / sq m)]],0)</f>
        <v>6030</v>
      </c>
      <c r="M2500" s="135">
        <f>_xlfn.XLOOKUP(Market_Data[[#This Row],[District]],tbl_district_price[District],tbl_district_price[Standard Price
(INR/m³)],"",0)</f>
        <v>6200</v>
      </c>
      <c r="N2500" s="364">
        <f>IF(OR(Market_Data[[#This Row],[Estimated Concrete Demand (m³)]]="",Market_Data[[#This Row],[Avg Price per (₹ / m³)]]=""),"",Market_Data[[#This Row],[Estimated Concrete Demand (m³)]]*Market_Data[[#This Row],[Avg Price per (₹ / m³)]]/10000000)</f>
        <v>3.7385999999999999</v>
      </c>
      <c r="O2500" s="97" t="str">
        <f>IF(Market_Data[[#This Row],[Estimated Concrete Demand (m³)]]="","",
IF(Market_Data[[#This Row],[Estimated Concrete Demand (m³)]]&lt;10000,"Small",
IF(Market_Data[[#This Row],[Estimated Concrete Demand (m³)]]&lt;25000,"Medium",
IF(Market_Data[[#This Row],[Estimated Concrete Demand (m³)]]&lt;100000,"Large","Mega"))))</f>
        <v>Small</v>
      </c>
      <c r="P2500" s="287" t="str">
        <f t="shared" si="40"/>
        <v>GujRERA</v>
      </c>
    </row>
    <row r="2501" spans="1:16">
      <c r="A2501" s="129" t="str">
        <f>_xlfn.XLOOKUP(B2501,$S$9:$S$14,$T$9:$T$14)&amp;"-"&amp;
IF(E2501="Residential/Group Housing","RES",
IF(E2501="Commercial","COM",
IF(E2501="Mixed Development","MIX",
IF(E2501="Plotted Development","PLT","OTH"))))
&amp;"-"&amp;TEXT(COUNTIFS($B$9:B2501,B2501,$E$9:E2501,E2501),"0000")</f>
        <v>SUR-COM-0415</v>
      </c>
      <c r="B2501" s="322" t="s">
        <v>34</v>
      </c>
      <c r="C2501" s="322" t="s">
        <v>34</v>
      </c>
      <c r="D2501" s="323" t="s">
        <v>2690</v>
      </c>
      <c r="E2501" s="132" t="s">
        <v>23</v>
      </c>
      <c r="F2501" s="97" t="str">
        <f ca="1">IF(OR(Market_Data[[#This Row],[Start Date]]="",Market_Data[[#This Row],[Completion Date]]=""),"Needs Validation",IF(Market_Data[[#This Row],[Start Date]]&gt;TODAY(),"Planned",IF(Market_Data[[#This Row],[Completion Date]]&lt;TODAY(),"Completed","Ongoing")))</f>
        <v>Completed</v>
      </c>
      <c r="G2501" s="324">
        <v>42653</v>
      </c>
      <c r="H2501" s="324">
        <v>44742</v>
      </c>
      <c r="I2501" s="325">
        <v>9800</v>
      </c>
      <c r="J250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01" s="133">
        <f>_xlfn.XLOOKUP(Market_Data[[#This Row],[Project Type]],tbl_assumptions_market[Project Category (RERA)],tbl_assumptions_market[Concrete Intensity
(m³ / sq m BUA)],"",0)</f>
        <v>0.5</v>
      </c>
      <c r="L2501" s="134">
        <f>ROUND(Market_Data[[#This Row],[Estimated Built Up Area (sq m)]]*Market_Data[[#This Row],[Concrete Intensity
(m³ / sq m)]],0)</f>
        <v>4900</v>
      </c>
      <c r="M2501" s="135">
        <f>_xlfn.XLOOKUP(Market_Data[[#This Row],[District]],tbl_district_price[District],tbl_district_price[Standard Price
(INR/m³)],"",0)</f>
        <v>6200</v>
      </c>
      <c r="N2501" s="364">
        <f>IF(OR(Market_Data[[#This Row],[Estimated Concrete Demand (m³)]]="",Market_Data[[#This Row],[Avg Price per (₹ / m³)]]=""),"",Market_Data[[#This Row],[Estimated Concrete Demand (m³)]]*Market_Data[[#This Row],[Avg Price per (₹ / m³)]]/10000000)</f>
        <v>3.0379999999999998</v>
      </c>
      <c r="O2501" s="97" t="str">
        <f>IF(Market_Data[[#This Row],[Estimated Concrete Demand (m³)]]="","",
IF(Market_Data[[#This Row],[Estimated Concrete Demand (m³)]]&lt;10000,"Small",
IF(Market_Data[[#This Row],[Estimated Concrete Demand (m³)]]&lt;25000,"Medium",
IF(Market_Data[[#This Row],[Estimated Concrete Demand (m³)]]&lt;100000,"Large","Mega"))))</f>
        <v>Small</v>
      </c>
      <c r="P2501" s="287" t="str">
        <f t="shared" si="40"/>
        <v>GujRERA</v>
      </c>
    </row>
    <row r="2502" spans="1:16">
      <c r="A2502" s="129" t="str">
        <f>_xlfn.XLOOKUP(B2502,$S$9:$S$14,$T$9:$T$14)&amp;"-"&amp;
IF(E2502="Residential/Group Housing","RES",
IF(E2502="Commercial","COM",
IF(E2502="Mixed Development","MIX",
IF(E2502="Plotted Development","PLT","OTH"))))
&amp;"-"&amp;TEXT(COUNTIFS($B$9:B2502,B2502,$E$9:E2502,E2502),"0000")</f>
        <v>SUR-COM-0416</v>
      </c>
      <c r="B2502" s="322" t="s">
        <v>34</v>
      </c>
      <c r="C2502" s="322" t="s">
        <v>34</v>
      </c>
      <c r="D2502" s="323" t="s">
        <v>2691</v>
      </c>
      <c r="E2502" s="132" t="s">
        <v>23</v>
      </c>
      <c r="F2502" s="97" t="str">
        <f ca="1">IF(OR(Market_Data[[#This Row],[Start Date]]="",Market_Data[[#This Row],[Completion Date]]=""),"Needs Validation",IF(Market_Data[[#This Row],[Start Date]]&gt;TODAY(),"Planned",IF(Market_Data[[#This Row],[Completion Date]]&lt;TODAY(),"Completed","Ongoing")))</f>
        <v>Completed</v>
      </c>
      <c r="G2502" s="324">
        <v>41325</v>
      </c>
      <c r="H2502" s="324">
        <v>43344</v>
      </c>
      <c r="I2502" s="325">
        <v>8100</v>
      </c>
      <c r="J250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02" s="133">
        <f>_xlfn.XLOOKUP(Market_Data[[#This Row],[Project Type]],tbl_assumptions_market[Project Category (RERA)],tbl_assumptions_market[Concrete Intensity
(m³ / sq m BUA)],"",0)</f>
        <v>0.5</v>
      </c>
      <c r="L2502" s="134">
        <f>ROUND(Market_Data[[#This Row],[Estimated Built Up Area (sq m)]]*Market_Data[[#This Row],[Concrete Intensity
(m³ / sq m)]],0)</f>
        <v>4050</v>
      </c>
      <c r="M2502" s="135">
        <f>_xlfn.XLOOKUP(Market_Data[[#This Row],[District]],tbl_district_price[District],tbl_district_price[Standard Price
(INR/m³)],"",0)</f>
        <v>6200</v>
      </c>
      <c r="N2502" s="364">
        <f>IF(OR(Market_Data[[#This Row],[Estimated Concrete Demand (m³)]]="",Market_Data[[#This Row],[Avg Price per (₹ / m³)]]=""),"",Market_Data[[#This Row],[Estimated Concrete Demand (m³)]]*Market_Data[[#This Row],[Avg Price per (₹ / m³)]]/10000000)</f>
        <v>2.5110000000000001</v>
      </c>
      <c r="O2502" s="97" t="str">
        <f>IF(Market_Data[[#This Row],[Estimated Concrete Demand (m³)]]="","",
IF(Market_Data[[#This Row],[Estimated Concrete Demand (m³)]]&lt;10000,"Small",
IF(Market_Data[[#This Row],[Estimated Concrete Demand (m³)]]&lt;25000,"Medium",
IF(Market_Data[[#This Row],[Estimated Concrete Demand (m³)]]&lt;100000,"Large","Mega"))))</f>
        <v>Small</v>
      </c>
      <c r="P2502" s="287" t="str">
        <f t="shared" si="40"/>
        <v>GujRERA</v>
      </c>
    </row>
    <row r="2503" spans="1:16">
      <c r="A2503" s="129" t="str">
        <f>_xlfn.XLOOKUP(B2503,$S$9:$S$14,$T$9:$T$14)&amp;"-"&amp;
IF(E2503="Residential/Group Housing","RES",
IF(E2503="Commercial","COM",
IF(E2503="Mixed Development","MIX",
IF(E2503="Plotted Development","PLT","OTH"))))
&amp;"-"&amp;TEXT(COUNTIFS($B$9:B2503,B2503,$E$9:E2503,E2503),"0000")</f>
        <v>SUR-MIX-0450</v>
      </c>
      <c r="B2503" s="322" t="s">
        <v>34</v>
      </c>
      <c r="C2503" s="322" t="s">
        <v>34</v>
      </c>
      <c r="D2503" s="323" t="s">
        <v>2692</v>
      </c>
      <c r="E2503" s="132" t="s">
        <v>25</v>
      </c>
      <c r="F2503" s="97" t="str">
        <f ca="1">IF(OR(Market_Data[[#This Row],[Start Date]]="",Market_Data[[#This Row],[Completion Date]]=""),"Needs Validation",IF(Market_Data[[#This Row],[Start Date]]&gt;TODAY(),"Planned",IF(Market_Data[[#This Row],[Completion Date]]&lt;TODAY(),"Completed","Ongoing")))</f>
        <v>Completed</v>
      </c>
      <c r="G2503" s="324">
        <v>42826</v>
      </c>
      <c r="H2503" s="324">
        <v>43921</v>
      </c>
      <c r="I2503" s="325">
        <v>46600</v>
      </c>
      <c r="J250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03" s="133">
        <f>_xlfn.XLOOKUP(Market_Data[[#This Row],[Project Type]],tbl_assumptions_market[Project Category (RERA)],tbl_assumptions_market[Concrete Intensity
(m³ / sq m BUA)],"",0)</f>
        <v>0.42</v>
      </c>
      <c r="L2503" s="134">
        <f>ROUND(Market_Data[[#This Row],[Estimated Built Up Area (sq m)]]*Market_Data[[#This Row],[Concrete Intensity
(m³ / sq m)]],0)</f>
        <v>19572</v>
      </c>
      <c r="M2503" s="135">
        <f>_xlfn.XLOOKUP(Market_Data[[#This Row],[District]],tbl_district_price[District],tbl_district_price[Standard Price
(INR/m³)],"",0)</f>
        <v>6200</v>
      </c>
      <c r="N2503" s="364">
        <f>IF(OR(Market_Data[[#This Row],[Estimated Concrete Demand (m³)]]="",Market_Data[[#This Row],[Avg Price per (₹ / m³)]]=""),"",Market_Data[[#This Row],[Estimated Concrete Demand (m³)]]*Market_Data[[#This Row],[Avg Price per (₹ / m³)]]/10000000)</f>
        <v>12.134639999999999</v>
      </c>
      <c r="O2503" s="97" t="str">
        <f>IF(Market_Data[[#This Row],[Estimated Concrete Demand (m³)]]="","",
IF(Market_Data[[#This Row],[Estimated Concrete Demand (m³)]]&lt;10000,"Small",
IF(Market_Data[[#This Row],[Estimated Concrete Demand (m³)]]&lt;25000,"Medium",
IF(Market_Data[[#This Row],[Estimated Concrete Demand (m³)]]&lt;100000,"Large","Mega"))))</f>
        <v>Medium</v>
      </c>
      <c r="P2503" s="287" t="str">
        <f t="shared" si="40"/>
        <v>GujRERA</v>
      </c>
    </row>
    <row r="2504" spans="1:16">
      <c r="A2504" s="129" t="str">
        <f>_xlfn.XLOOKUP(B2504,$S$9:$S$14,$T$9:$T$14)&amp;"-"&amp;
IF(E2504="Residential/Group Housing","RES",
IF(E2504="Commercial","COM",
IF(E2504="Mixed Development","MIX",
IF(E2504="Plotted Development","PLT","OTH"))))
&amp;"-"&amp;TEXT(COUNTIFS($B$9:B2504,B2504,$E$9:E2504,E2504),"0000")</f>
        <v>SUR-RES-0862</v>
      </c>
      <c r="B2504" s="322" t="s">
        <v>34</v>
      </c>
      <c r="C2504" s="322" t="s">
        <v>34</v>
      </c>
      <c r="D2504" s="323" t="s">
        <v>2693</v>
      </c>
      <c r="E2504" s="132" t="s">
        <v>24</v>
      </c>
      <c r="F2504" s="97" t="str">
        <f ca="1">IF(OR(Market_Data[[#This Row],[Start Date]]="",Market_Data[[#This Row],[Completion Date]]=""),"Needs Validation",IF(Market_Data[[#This Row],[Start Date]]&gt;TODAY(),"Planned",IF(Market_Data[[#This Row],[Completion Date]]&lt;TODAY(),"Completed","Ongoing")))</f>
        <v>Completed</v>
      </c>
      <c r="G2504" s="324">
        <v>43570</v>
      </c>
      <c r="H2504" s="324">
        <v>45575</v>
      </c>
      <c r="I2504" s="325">
        <v>22200</v>
      </c>
      <c r="J250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04" s="133">
        <f>_xlfn.XLOOKUP(Market_Data[[#This Row],[Project Type]],tbl_assumptions_market[Project Category (RERA)],tbl_assumptions_market[Concrete Intensity
(m³ / sq m BUA)],"",0)</f>
        <v>0.45</v>
      </c>
      <c r="L2504" s="134">
        <f>ROUND(Market_Data[[#This Row],[Estimated Built Up Area (sq m)]]*Market_Data[[#This Row],[Concrete Intensity
(m³ / sq m)]],0)</f>
        <v>9990</v>
      </c>
      <c r="M2504" s="135">
        <f>_xlfn.XLOOKUP(Market_Data[[#This Row],[District]],tbl_district_price[District],tbl_district_price[Standard Price
(INR/m³)],"",0)</f>
        <v>6200</v>
      </c>
      <c r="N2504" s="364">
        <f>IF(OR(Market_Data[[#This Row],[Estimated Concrete Demand (m³)]]="",Market_Data[[#This Row],[Avg Price per (₹ / m³)]]=""),"",Market_Data[[#This Row],[Estimated Concrete Demand (m³)]]*Market_Data[[#This Row],[Avg Price per (₹ / m³)]]/10000000)</f>
        <v>6.1938000000000004</v>
      </c>
      <c r="O2504" s="97" t="str">
        <f>IF(Market_Data[[#This Row],[Estimated Concrete Demand (m³)]]="","",
IF(Market_Data[[#This Row],[Estimated Concrete Demand (m³)]]&lt;10000,"Small",
IF(Market_Data[[#This Row],[Estimated Concrete Demand (m³)]]&lt;25000,"Medium",
IF(Market_Data[[#This Row],[Estimated Concrete Demand (m³)]]&lt;100000,"Large","Mega"))))</f>
        <v>Small</v>
      </c>
      <c r="P2504" s="287" t="str">
        <f t="shared" si="40"/>
        <v>GujRERA</v>
      </c>
    </row>
    <row r="2505" spans="1:16">
      <c r="A2505" s="129" t="str">
        <f>_xlfn.XLOOKUP(B2505,$S$9:$S$14,$T$9:$T$14)&amp;"-"&amp;
IF(E2505="Residential/Group Housing","RES",
IF(E2505="Commercial","COM",
IF(E2505="Mixed Development","MIX",
IF(E2505="Plotted Development","PLT","OTH"))))
&amp;"-"&amp;TEXT(COUNTIFS($B$9:B2505,B2505,$E$9:E2505,E2505),"0000")</f>
        <v>SUR-RES-0863</v>
      </c>
      <c r="B2505" s="322" t="s">
        <v>34</v>
      </c>
      <c r="C2505" s="322" t="s">
        <v>34</v>
      </c>
      <c r="D2505" s="323" t="s">
        <v>2694</v>
      </c>
      <c r="E2505" s="132" t="s">
        <v>24</v>
      </c>
      <c r="F2505" s="97" t="str">
        <f ca="1">IF(OR(Market_Data[[#This Row],[Start Date]]="",Market_Data[[#This Row],[Completion Date]]=""),"Needs Validation",IF(Market_Data[[#This Row],[Start Date]]&gt;TODAY(),"Planned",IF(Market_Data[[#This Row],[Completion Date]]&lt;TODAY(),"Completed","Ongoing")))</f>
        <v>Completed</v>
      </c>
      <c r="G2505" s="324">
        <v>42916</v>
      </c>
      <c r="H2505" s="324">
        <v>44256</v>
      </c>
      <c r="I2505" s="325">
        <v>36700</v>
      </c>
      <c r="J250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05" s="133">
        <f>_xlfn.XLOOKUP(Market_Data[[#This Row],[Project Type]],tbl_assumptions_market[Project Category (RERA)],tbl_assumptions_market[Concrete Intensity
(m³ / sq m BUA)],"",0)</f>
        <v>0.45</v>
      </c>
      <c r="L2505" s="134">
        <f>ROUND(Market_Data[[#This Row],[Estimated Built Up Area (sq m)]]*Market_Data[[#This Row],[Concrete Intensity
(m³ / sq m)]],0)</f>
        <v>16515</v>
      </c>
      <c r="M2505" s="135">
        <f>_xlfn.XLOOKUP(Market_Data[[#This Row],[District]],tbl_district_price[District],tbl_district_price[Standard Price
(INR/m³)],"",0)</f>
        <v>6200</v>
      </c>
      <c r="N2505" s="364">
        <f>IF(OR(Market_Data[[#This Row],[Estimated Concrete Demand (m³)]]="",Market_Data[[#This Row],[Avg Price per (₹ / m³)]]=""),"",Market_Data[[#This Row],[Estimated Concrete Demand (m³)]]*Market_Data[[#This Row],[Avg Price per (₹ / m³)]]/10000000)</f>
        <v>10.2393</v>
      </c>
      <c r="O2505" s="97" t="str">
        <f>IF(Market_Data[[#This Row],[Estimated Concrete Demand (m³)]]="","",
IF(Market_Data[[#This Row],[Estimated Concrete Demand (m³)]]&lt;10000,"Small",
IF(Market_Data[[#This Row],[Estimated Concrete Demand (m³)]]&lt;25000,"Medium",
IF(Market_Data[[#This Row],[Estimated Concrete Demand (m³)]]&lt;100000,"Large","Mega"))))</f>
        <v>Medium</v>
      </c>
      <c r="P2505" s="287" t="str">
        <f t="shared" si="40"/>
        <v>GujRERA</v>
      </c>
    </row>
    <row r="2506" spans="1:16">
      <c r="A2506" s="129" t="str">
        <f>_xlfn.XLOOKUP(B2506,$S$9:$S$14,$T$9:$T$14)&amp;"-"&amp;
IF(E2506="Residential/Group Housing","RES",
IF(E2506="Commercial","COM",
IF(E2506="Mixed Development","MIX",
IF(E2506="Plotted Development","PLT","OTH"))))
&amp;"-"&amp;TEXT(COUNTIFS($B$9:B2506,B2506,$E$9:E2506,E2506),"0000")</f>
        <v>SUR-PLT-0459</v>
      </c>
      <c r="B2506" s="322" t="s">
        <v>34</v>
      </c>
      <c r="C2506" s="322" t="s">
        <v>34</v>
      </c>
      <c r="D2506" s="323" t="s">
        <v>2695</v>
      </c>
      <c r="E2506" s="132" t="s">
        <v>26</v>
      </c>
      <c r="F2506" s="97" t="str">
        <f ca="1">IF(OR(Market_Data[[#This Row],[Start Date]]="",Market_Data[[#This Row],[Completion Date]]=""),"Needs Validation",IF(Market_Data[[#This Row],[Start Date]]&gt;TODAY(),"Planned",IF(Market_Data[[#This Row],[Completion Date]]&lt;TODAY(),"Completed","Ongoing")))</f>
        <v>Completed</v>
      </c>
      <c r="G2506" s="324">
        <v>44749</v>
      </c>
      <c r="H2506" s="324">
        <v>45382</v>
      </c>
      <c r="I2506" s="325">
        <v>38000</v>
      </c>
      <c r="J250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506" s="133">
        <f>_xlfn.XLOOKUP(Market_Data[[#This Row],[Project Type]],tbl_assumptions_market[Project Category (RERA)],tbl_assumptions_market[Concrete Intensity
(m³ / sq m BUA)],"",0)</f>
        <v>0.18</v>
      </c>
      <c r="L2506" s="134">
        <f>ROUND(Market_Data[[#This Row],[Estimated Built Up Area (sq m)]]*Market_Data[[#This Row],[Concrete Intensity
(m³ / sq m)]],0)</f>
        <v>6840</v>
      </c>
      <c r="M2506" s="135">
        <f>_xlfn.XLOOKUP(Market_Data[[#This Row],[District]],tbl_district_price[District],tbl_district_price[Standard Price
(INR/m³)],"",0)</f>
        <v>6200</v>
      </c>
      <c r="N2506" s="364">
        <f>IF(OR(Market_Data[[#This Row],[Estimated Concrete Demand (m³)]]="",Market_Data[[#This Row],[Avg Price per (₹ / m³)]]=""),"",Market_Data[[#This Row],[Estimated Concrete Demand (m³)]]*Market_Data[[#This Row],[Avg Price per (₹ / m³)]]/10000000)</f>
        <v>4.2408000000000001</v>
      </c>
      <c r="O2506" s="97" t="str">
        <f>IF(Market_Data[[#This Row],[Estimated Concrete Demand (m³)]]="","",
IF(Market_Data[[#This Row],[Estimated Concrete Demand (m³)]]&lt;10000,"Small",
IF(Market_Data[[#This Row],[Estimated Concrete Demand (m³)]]&lt;25000,"Medium",
IF(Market_Data[[#This Row],[Estimated Concrete Demand (m³)]]&lt;100000,"Large","Mega"))))</f>
        <v>Small</v>
      </c>
      <c r="P2506" s="287" t="str">
        <f t="shared" ref="P2506:P2569" si="41">HYPERLINK(
"https://gujrera.gujarat.gov.in",
"GujRERA")</f>
        <v>GujRERA</v>
      </c>
    </row>
    <row r="2507" spans="1:16">
      <c r="A2507" s="129" t="str">
        <f>_xlfn.XLOOKUP(B2507,$S$9:$S$14,$T$9:$T$14)&amp;"-"&amp;
IF(E2507="Residential/Group Housing","RES",
IF(E2507="Commercial","COM",
IF(E2507="Mixed Development","MIX",
IF(E2507="Plotted Development","PLT","OTH"))))
&amp;"-"&amp;TEXT(COUNTIFS($B$9:B2507,B2507,$E$9:E2507,E2507),"0000")</f>
        <v>SUR-RES-0864</v>
      </c>
      <c r="B2507" s="322" t="s">
        <v>34</v>
      </c>
      <c r="C2507" s="322" t="s">
        <v>34</v>
      </c>
      <c r="D2507" s="323" t="s">
        <v>2696</v>
      </c>
      <c r="E2507" s="132" t="s">
        <v>24</v>
      </c>
      <c r="F2507" s="97" t="str">
        <f ca="1">IF(OR(Market_Data[[#This Row],[Start Date]]="",Market_Data[[#This Row],[Completion Date]]=""),"Needs Validation",IF(Market_Data[[#This Row],[Start Date]]&gt;TODAY(),"Planned",IF(Market_Data[[#This Row],[Completion Date]]&lt;TODAY(),"Completed","Ongoing")))</f>
        <v>Ongoing</v>
      </c>
      <c r="G2507" s="324">
        <v>45041</v>
      </c>
      <c r="H2507" s="324">
        <v>46752</v>
      </c>
      <c r="I2507" s="325">
        <v>28700</v>
      </c>
      <c r="J250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07" s="133">
        <f>_xlfn.XLOOKUP(Market_Data[[#This Row],[Project Type]],tbl_assumptions_market[Project Category (RERA)],tbl_assumptions_market[Concrete Intensity
(m³ / sq m BUA)],"",0)</f>
        <v>0.45</v>
      </c>
      <c r="L2507" s="134">
        <f>ROUND(Market_Data[[#This Row],[Estimated Built Up Area (sq m)]]*Market_Data[[#This Row],[Concrete Intensity
(m³ / sq m)]],0)</f>
        <v>12915</v>
      </c>
      <c r="M2507" s="135">
        <f>_xlfn.XLOOKUP(Market_Data[[#This Row],[District]],tbl_district_price[District],tbl_district_price[Standard Price
(INR/m³)],"",0)</f>
        <v>6200</v>
      </c>
      <c r="N2507" s="364">
        <f>IF(OR(Market_Data[[#This Row],[Estimated Concrete Demand (m³)]]="",Market_Data[[#This Row],[Avg Price per (₹ / m³)]]=""),"",Market_Data[[#This Row],[Estimated Concrete Demand (m³)]]*Market_Data[[#This Row],[Avg Price per (₹ / m³)]]/10000000)</f>
        <v>8.0073000000000008</v>
      </c>
      <c r="O2507" s="97" t="str">
        <f>IF(Market_Data[[#This Row],[Estimated Concrete Demand (m³)]]="","",
IF(Market_Data[[#This Row],[Estimated Concrete Demand (m³)]]&lt;10000,"Small",
IF(Market_Data[[#This Row],[Estimated Concrete Demand (m³)]]&lt;25000,"Medium",
IF(Market_Data[[#This Row],[Estimated Concrete Demand (m³)]]&lt;100000,"Large","Mega"))))</f>
        <v>Medium</v>
      </c>
      <c r="P2507" s="287" t="str">
        <f t="shared" si="41"/>
        <v>GujRERA</v>
      </c>
    </row>
    <row r="2508" spans="1:16">
      <c r="A2508" s="129" t="str">
        <f>_xlfn.XLOOKUP(B2508,$S$9:$S$14,$T$9:$T$14)&amp;"-"&amp;
IF(E2508="Residential/Group Housing","RES",
IF(E2508="Commercial","COM",
IF(E2508="Mixed Development","MIX",
IF(E2508="Plotted Development","PLT","OTH"))))
&amp;"-"&amp;TEXT(COUNTIFS($B$9:B2508,B2508,$E$9:E2508,E2508),"0000")</f>
        <v>SUR-RES-0865</v>
      </c>
      <c r="B2508" s="322" t="s">
        <v>34</v>
      </c>
      <c r="C2508" s="322" t="s">
        <v>34</v>
      </c>
      <c r="D2508" s="323" t="s">
        <v>2697</v>
      </c>
      <c r="E2508" s="132" t="s">
        <v>24</v>
      </c>
      <c r="F2508" s="97" t="str">
        <f ca="1">IF(OR(Market_Data[[#This Row],[Start Date]]="",Market_Data[[#This Row],[Completion Date]]=""),"Needs Validation",IF(Market_Data[[#This Row],[Start Date]]&gt;TODAY(),"Planned",IF(Market_Data[[#This Row],[Completion Date]]&lt;TODAY(),"Completed","Ongoing")))</f>
        <v>Ongoing</v>
      </c>
      <c r="G2508" s="324">
        <v>45397</v>
      </c>
      <c r="H2508" s="324">
        <v>47483</v>
      </c>
      <c r="I2508" s="325">
        <v>20400</v>
      </c>
      <c r="J250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08" s="133">
        <f>_xlfn.XLOOKUP(Market_Data[[#This Row],[Project Type]],tbl_assumptions_market[Project Category (RERA)],tbl_assumptions_market[Concrete Intensity
(m³ / sq m BUA)],"",0)</f>
        <v>0.45</v>
      </c>
      <c r="L2508" s="134">
        <f>ROUND(Market_Data[[#This Row],[Estimated Built Up Area (sq m)]]*Market_Data[[#This Row],[Concrete Intensity
(m³ / sq m)]],0)</f>
        <v>9180</v>
      </c>
      <c r="M2508" s="135">
        <f>_xlfn.XLOOKUP(Market_Data[[#This Row],[District]],tbl_district_price[District],tbl_district_price[Standard Price
(INR/m³)],"",0)</f>
        <v>6200</v>
      </c>
      <c r="N2508" s="364">
        <f>IF(OR(Market_Data[[#This Row],[Estimated Concrete Demand (m³)]]="",Market_Data[[#This Row],[Avg Price per (₹ / m³)]]=""),"",Market_Data[[#This Row],[Estimated Concrete Demand (m³)]]*Market_Data[[#This Row],[Avg Price per (₹ / m³)]]/10000000)</f>
        <v>5.6916000000000002</v>
      </c>
      <c r="O2508" s="97" t="str">
        <f>IF(Market_Data[[#This Row],[Estimated Concrete Demand (m³)]]="","",
IF(Market_Data[[#This Row],[Estimated Concrete Demand (m³)]]&lt;10000,"Small",
IF(Market_Data[[#This Row],[Estimated Concrete Demand (m³)]]&lt;25000,"Medium",
IF(Market_Data[[#This Row],[Estimated Concrete Demand (m³)]]&lt;100000,"Large","Mega"))))</f>
        <v>Small</v>
      </c>
      <c r="P2508" s="287" t="str">
        <f t="shared" si="41"/>
        <v>GujRERA</v>
      </c>
    </row>
    <row r="2509" spans="1:16">
      <c r="A2509" s="129" t="str">
        <f>_xlfn.XLOOKUP(B2509,$S$9:$S$14,$T$9:$T$14)&amp;"-"&amp;
IF(E2509="Residential/Group Housing","RES",
IF(E2509="Commercial","COM",
IF(E2509="Mixed Development","MIX",
IF(E2509="Plotted Development","PLT","OTH"))))
&amp;"-"&amp;TEXT(COUNTIFS($B$9:B2509,B2509,$E$9:E2509,E2509),"0000")</f>
        <v>SUR-RES-0866</v>
      </c>
      <c r="B2509" s="322" t="s">
        <v>34</v>
      </c>
      <c r="C2509" s="322" t="s">
        <v>34</v>
      </c>
      <c r="D2509" s="323" t="s">
        <v>2698</v>
      </c>
      <c r="E2509" s="132" t="s">
        <v>24</v>
      </c>
      <c r="F2509" s="97" t="str">
        <f ca="1">IF(OR(Market_Data[[#This Row],[Start Date]]="",Market_Data[[#This Row],[Completion Date]]=""),"Needs Validation",IF(Market_Data[[#This Row],[Start Date]]&gt;TODAY(),"Planned",IF(Market_Data[[#This Row],[Completion Date]]&lt;TODAY(),"Completed","Ongoing")))</f>
        <v>Ongoing</v>
      </c>
      <c r="G2509" s="324">
        <v>44855</v>
      </c>
      <c r="H2509" s="324">
        <v>46752</v>
      </c>
      <c r="I2509" s="325">
        <v>16400</v>
      </c>
      <c r="J250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09" s="133">
        <f>_xlfn.XLOOKUP(Market_Data[[#This Row],[Project Type]],tbl_assumptions_market[Project Category (RERA)],tbl_assumptions_market[Concrete Intensity
(m³ / sq m BUA)],"",0)</f>
        <v>0.45</v>
      </c>
      <c r="L2509" s="134">
        <f>ROUND(Market_Data[[#This Row],[Estimated Built Up Area (sq m)]]*Market_Data[[#This Row],[Concrete Intensity
(m³ / sq m)]],0)</f>
        <v>7380</v>
      </c>
      <c r="M2509" s="135">
        <f>_xlfn.XLOOKUP(Market_Data[[#This Row],[District]],tbl_district_price[District],tbl_district_price[Standard Price
(INR/m³)],"",0)</f>
        <v>6200</v>
      </c>
      <c r="N2509" s="364">
        <f>IF(OR(Market_Data[[#This Row],[Estimated Concrete Demand (m³)]]="",Market_Data[[#This Row],[Avg Price per (₹ / m³)]]=""),"",Market_Data[[#This Row],[Estimated Concrete Demand (m³)]]*Market_Data[[#This Row],[Avg Price per (₹ / m³)]]/10000000)</f>
        <v>4.5755999999999997</v>
      </c>
      <c r="O2509" s="97" t="str">
        <f>IF(Market_Data[[#This Row],[Estimated Concrete Demand (m³)]]="","",
IF(Market_Data[[#This Row],[Estimated Concrete Demand (m³)]]&lt;10000,"Small",
IF(Market_Data[[#This Row],[Estimated Concrete Demand (m³)]]&lt;25000,"Medium",
IF(Market_Data[[#This Row],[Estimated Concrete Demand (m³)]]&lt;100000,"Large","Mega"))))</f>
        <v>Small</v>
      </c>
      <c r="P2509" s="287" t="str">
        <f t="shared" si="41"/>
        <v>GujRERA</v>
      </c>
    </row>
    <row r="2510" spans="1:16">
      <c r="A2510" s="129" t="str">
        <f>_xlfn.XLOOKUP(B2510,$S$9:$S$14,$T$9:$T$14)&amp;"-"&amp;
IF(E2510="Residential/Group Housing","RES",
IF(E2510="Commercial","COM",
IF(E2510="Mixed Development","MIX",
IF(E2510="Plotted Development","PLT","OTH"))))
&amp;"-"&amp;TEXT(COUNTIFS($B$9:B2510,B2510,$E$9:E2510,E2510),"0000")</f>
        <v>SUR-RES-0867</v>
      </c>
      <c r="B2510" s="322" t="s">
        <v>34</v>
      </c>
      <c r="C2510" s="322" t="s">
        <v>34</v>
      </c>
      <c r="D2510" s="323" t="s">
        <v>2699</v>
      </c>
      <c r="E2510" s="132" t="s">
        <v>24</v>
      </c>
      <c r="F2510" s="97" t="str">
        <f ca="1">IF(OR(Market_Data[[#This Row],[Start Date]]="",Market_Data[[#This Row],[Completion Date]]=""),"Needs Validation",IF(Market_Data[[#This Row],[Start Date]]&gt;TODAY(),"Planned",IF(Market_Data[[#This Row],[Completion Date]]&lt;TODAY(),"Completed","Ongoing")))</f>
        <v>Completed</v>
      </c>
      <c r="G2510" s="324">
        <v>44562</v>
      </c>
      <c r="H2510" s="324">
        <v>45657</v>
      </c>
      <c r="I2510" s="325">
        <v>16300</v>
      </c>
      <c r="J251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10" s="133">
        <f>_xlfn.XLOOKUP(Market_Data[[#This Row],[Project Type]],tbl_assumptions_market[Project Category (RERA)],tbl_assumptions_market[Concrete Intensity
(m³ / sq m BUA)],"",0)</f>
        <v>0.45</v>
      </c>
      <c r="L2510" s="134">
        <f>ROUND(Market_Data[[#This Row],[Estimated Built Up Area (sq m)]]*Market_Data[[#This Row],[Concrete Intensity
(m³ / sq m)]],0)</f>
        <v>7335</v>
      </c>
      <c r="M2510" s="135">
        <f>_xlfn.XLOOKUP(Market_Data[[#This Row],[District]],tbl_district_price[District],tbl_district_price[Standard Price
(INR/m³)],"",0)</f>
        <v>6200</v>
      </c>
      <c r="N2510" s="364">
        <f>IF(OR(Market_Data[[#This Row],[Estimated Concrete Demand (m³)]]="",Market_Data[[#This Row],[Avg Price per (₹ / m³)]]=""),"",Market_Data[[#This Row],[Estimated Concrete Demand (m³)]]*Market_Data[[#This Row],[Avg Price per (₹ / m³)]]/10000000)</f>
        <v>4.5476999999999999</v>
      </c>
      <c r="O2510" s="97" t="str">
        <f>IF(Market_Data[[#This Row],[Estimated Concrete Demand (m³)]]="","",
IF(Market_Data[[#This Row],[Estimated Concrete Demand (m³)]]&lt;10000,"Small",
IF(Market_Data[[#This Row],[Estimated Concrete Demand (m³)]]&lt;25000,"Medium",
IF(Market_Data[[#This Row],[Estimated Concrete Demand (m³)]]&lt;100000,"Large","Mega"))))</f>
        <v>Small</v>
      </c>
      <c r="P2510" s="287" t="str">
        <f t="shared" si="41"/>
        <v>GujRERA</v>
      </c>
    </row>
    <row r="2511" spans="1:16">
      <c r="A2511" s="129" t="str">
        <f>_xlfn.XLOOKUP(B2511,$S$9:$S$14,$T$9:$T$14)&amp;"-"&amp;
IF(E2511="Residential/Group Housing","RES",
IF(E2511="Commercial","COM",
IF(E2511="Mixed Development","MIX",
IF(E2511="Plotted Development","PLT","OTH"))))
&amp;"-"&amp;TEXT(COUNTIFS($B$9:B2511,B2511,$E$9:E2511,E2511),"0000")</f>
        <v>SUR-COM-0417</v>
      </c>
      <c r="B2511" s="322" t="s">
        <v>34</v>
      </c>
      <c r="C2511" s="322" t="s">
        <v>34</v>
      </c>
      <c r="D2511" s="323" t="s">
        <v>2700</v>
      </c>
      <c r="E2511" s="132" t="s">
        <v>23</v>
      </c>
      <c r="F2511" s="97" t="str">
        <f ca="1">IF(OR(Market_Data[[#This Row],[Start Date]]="",Market_Data[[#This Row],[Completion Date]]=""),"Needs Validation",IF(Market_Data[[#This Row],[Start Date]]&gt;TODAY(),"Planned",IF(Market_Data[[#This Row],[Completion Date]]&lt;TODAY(),"Completed","Ongoing")))</f>
        <v>Completed</v>
      </c>
      <c r="G2511" s="324">
        <v>41993</v>
      </c>
      <c r="H2511" s="324">
        <v>44285</v>
      </c>
      <c r="I2511" s="325">
        <v>4400</v>
      </c>
      <c r="J251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11" s="133">
        <f>_xlfn.XLOOKUP(Market_Data[[#This Row],[Project Type]],tbl_assumptions_market[Project Category (RERA)],tbl_assumptions_market[Concrete Intensity
(m³ / sq m BUA)],"",0)</f>
        <v>0.5</v>
      </c>
      <c r="L2511" s="134">
        <f>ROUND(Market_Data[[#This Row],[Estimated Built Up Area (sq m)]]*Market_Data[[#This Row],[Concrete Intensity
(m³ / sq m)]],0)</f>
        <v>2200</v>
      </c>
      <c r="M2511" s="135">
        <f>_xlfn.XLOOKUP(Market_Data[[#This Row],[District]],tbl_district_price[District],tbl_district_price[Standard Price
(INR/m³)],"",0)</f>
        <v>6200</v>
      </c>
      <c r="N2511" s="364">
        <f>IF(OR(Market_Data[[#This Row],[Estimated Concrete Demand (m³)]]="",Market_Data[[#This Row],[Avg Price per (₹ / m³)]]=""),"",Market_Data[[#This Row],[Estimated Concrete Demand (m³)]]*Market_Data[[#This Row],[Avg Price per (₹ / m³)]]/10000000)</f>
        <v>1.3640000000000001</v>
      </c>
      <c r="O2511" s="97" t="str">
        <f>IF(Market_Data[[#This Row],[Estimated Concrete Demand (m³)]]="","",
IF(Market_Data[[#This Row],[Estimated Concrete Demand (m³)]]&lt;10000,"Small",
IF(Market_Data[[#This Row],[Estimated Concrete Demand (m³)]]&lt;25000,"Medium",
IF(Market_Data[[#This Row],[Estimated Concrete Demand (m³)]]&lt;100000,"Large","Mega"))))</f>
        <v>Small</v>
      </c>
      <c r="P2511" s="287" t="str">
        <f t="shared" si="41"/>
        <v>GujRERA</v>
      </c>
    </row>
    <row r="2512" spans="1:16">
      <c r="A2512" s="129" t="str">
        <f>_xlfn.XLOOKUP(B2512,$S$9:$S$14,$T$9:$T$14)&amp;"-"&amp;
IF(E2512="Residential/Group Housing","RES",
IF(E2512="Commercial","COM",
IF(E2512="Mixed Development","MIX",
IF(E2512="Plotted Development","PLT","OTH"))))
&amp;"-"&amp;TEXT(COUNTIFS($B$9:B2512,B2512,$E$9:E2512,E2512),"0000")</f>
        <v>SUR-RES-0868</v>
      </c>
      <c r="B2512" s="322" t="s">
        <v>34</v>
      </c>
      <c r="C2512" s="322" t="s">
        <v>34</v>
      </c>
      <c r="D2512" s="323" t="s">
        <v>2701</v>
      </c>
      <c r="E2512" s="132" t="s">
        <v>24</v>
      </c>
      <c r="F2512" s="97" t="str">
        <f ca="1">IF(OR(Market_Data[[#This Row],[Start Date]]="",Market_Data[[#This Row],[Completion Date]]=""),"Needs Validation",IF(Market_Data[[#This Row],[Start Date]]&gt;TODAY(),"Planned",IF(Market_Data[[#This Row],[Completion Date]]&lt;TODAY(),"Completed","Ongoing")))</f>
        <v>Ongoing</v>
      </c>
      <c r="G2512" s="324">
        <v>45391</v>
      </c>
      <c r="H2512" s="324">
        <v>46843</v>
      </c>
      <c r="I2512" s="325">
        <v>48200</v>
      </c>
      <c r="J251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12" s="133">
        <f>_xlfn.XLOOKUP(Market_Data[[#This Row],[Project Type]],tbl_assumptions_market[Project Category (RERA)],tbl_assumptions_market[Concrete Intensity
(m³ / sq m BUA)],"",0)</f>
        <v>0.45</v>
      </c>
      <c r="L2512" s="134">
        <f>ROUND(Market_Data[[#This Row],[Estimated Built Up Area (sq m)]]*Market_Data[[#This Row],[Concrete Intensity
(m³ / sq m)]],0)</f>
        <v>21690</v>
      </c>
      <c r="M2512" s="135">
        <f>_xlfn.XLOOKUP(Market_Data[[#This Row],[District]],tbl_district_price[District],tbl_district_price[Standard Price
(INR/m³)],"",0)</f>
        <v>6200</v>
      </c>
      <c r="N2512" s="364">
        <f>IF(OR(Market_Data[[#This Row],[Estimated Concrete Demand (m³)]]="",Market_Data[[#This Row],[Avg Price per (₹ / m³)]]=""),"",Market_Data[[#This Row],[Estimated Concrete Demand (m³)]]*Market_Data[[#This Row],[Avg Price per (₹ / m³)]]/10000000)</f>
        <v>13.447800000000001</v>
      </c>
      <c r="O2512" s="97" t="str">
        <f>IF(Market_Data[[#This Row],[Estimated Concrete Demand (m³)]]="","",
IF(Market_Data[[#This Row],[Estimated Concrete Demand (m³)]]&lt;10000,"Small",
IF(Market_Data[[#This Row],[Estimated Concrete Demand (m³)]]&lt;25000,"Medium",
IF(Market_Data[[#This Row],[Estimated Concrete Demand (m³)]]&lt;100000,"Large","Mega"))))</f>
        <v>Medium</v>
      </c>
      <c r="P2512" s="287" t="str">
        <f t="shared" si="41"/>
        <v>GujRERA</v>
      </c>
    </row>
    <row r="2513" spans="1:16">
      <c r="A2513" s="129" t="str">
        <f>_xlfn.XLOOKUP(B2513,$S$9:$S$14,$T$9:$T$14)&amp;"-"&amp;
IF(E2513="Residential/Group Housing","RES",
IF(E2513="Commercial","COM",
IF(E2513="Mixed Development","MIX",
IF(E2513="Plotted Development","PLT","OTH"))))
&amp;"-"&amp;TEXT(COUNTIFS($B$9:B2513,B2513,$E$9:E2513,E2513),"0000")</f>
        <v>SUR-MIX-0451</v>
      </c>
      <c r="B2513" s="322" t="s">
        <v>34</v>
      </c>
      <c r="C2513" s="322" t="s">
        <v>34</v>
      </c>
      <c r="D2513" s="323" t="s">
        <v>2702</v>
      </c>
      <c r="E2513" s="132" t="s">
        <v>25</v>
      </c>
      <c r="F2513" s="97" t="str">
        <f ca="1">IF(OR(Market_Data[[#This Row],[Start Date]]="",Market_Data[[#This Row],[Completion Date]]=""),"Needs Validation",IF(Market_Data[[#This Row],[Start Date]]&gt;TODAY(),"Planned",IF(Market_Data[[#This Row],[Completion Date]]&lt;TODAY(),"Completed","Ongoing")))</f>
        <v>Completed</v>
      </c>
      <c r="G2513" s="324">
        <v>42885</v>
      </c>
      <c r="H2513" s="324">
        <v>45826</v>
      </c>
      <c r="I2513" s="325">
        <v>17800</v>
      </c>
      <c r="J251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13" s="133">
        <f>_xlfn.XLOOKUP(Market_Data[[#This Row],[Project Type]],tbl_assumptions_market[Project Category (RERA)],tbl_assumptions_market[Concrete Intensity
(m³ / sq m BUA)],"",0)</f>
        <v>0.42</v>
      </c>
      <c r="L2513" s="134">
        <f>ROUND(Market_Data[[#This Row],[Estimated Built Up Area (sq m)]]*Market_Data[[#This Row],[Concrete Intensity
(m³ / sq m)]],0)</f>
        <v>7476</v>
      </c>
      <c r="M2513" s="135">
        <f>_xlfn.XLOOKUP(Market_Data[[#This Row],[District]],tbl_district_price[District],tbl_district_price[Standard Price
(INR/m³)],"",0)</f>
        <v>6200</v>
      </c>
      <c r="N2513" s="364">
        <f>IF(OR(Market_Data[[#This Row],[Estimated Concrete Demand (m³)]]="",Market_Data[[#This Row],[Avg Price per (₹ / m³)]]=""),"",Market_Data[[#This Row],[Estimated Concrete Demand (m³)]]*Market_Data[[#This Row],[Avg Price per (₹ / m³)]]/10000000)</f>
        <v>4.6351199999999997</v>
      </c>
      <c r="O2513" s="97" t="str">
        <f>IF(Market_Data[[#This Row],[Estimated Concrete Demand (m³)]]="","",
IF(Market_Data[[#This Row],[Estimated Concrete Demand (m³)]]&lt;10000,"Small",
IF(Market_Data[[#This Row],[Estimated Concrete Demand (m³)]]&lt;25000,"Medium",
IF(Market_Data[[#This Row],[Estimated Concrete Demand (m³)]]&lt;100000,"Large","Mega"))))</f>
        <v>Small</v>
      </c>
      <c r="P2513" s="287" t="str">
        <f t="shared" si="41"/>
        <v>GujRERA</v>
      </c>
    </row>
    <row r="2514" spans="1:16">
      <c r="A2514" s="129" t="str">
        <f>_xlfn.XLOOKUP(B2514,$S$9:$S$14,$T$9:$T$14)&amp;"-"&amp;
IF(E2514="Residential/Group Housing","RES",
IF(E2514="Commercial","COM",
IF(E2514="Mixed Development","MIX",
IF(E2514="Plotted Development","PLT","OTH"))))
&amp;"-"&amp;TEXT(COUNTIFS($B$9:B2514,B2514,$E$9:E2514,E2514),"0000")</f>
        <v>SUR-MIX-0452</v>
      </c>
      <c r="B2514" s="322" t="s">
        <v>34</v>
      </c>
      <c r="C2514" s="322" t="s">
        <v>34</v>
      </c>
      <c r="D2514" s="323" t="s">
        <v>2703</v>
      </c>
      <c r="E2514" s="132" t="s">
        <v>25</v>
      </c>
      <c r="F2514" s="97" t="str">
        <f ca="1">IF(OR(Market_Data[[#This Row],[Start Date]]="",Market_Data[[#This Row],[Completion Date]]=""),"Needs Validation",IF(Market_Data[[#This Row],[Start Date]]&gt;TODAY(),"Planned",IF(Market_Data[[#This Row],[Completion Date]]&lt;TODAY(),"Completed","Ongoing")))</f>
        <v>Completed</v>
      </c>
      <c r="G2514" s="324">
        <v>41993</v>
      </c>
      <c r="H2514" s="324">
        <v>44285</v>
      </c>
      <c r="I2514" s="325">
        <v>16500</v>
      </c>
      <c r="J251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14" s="133">
        <f>_xlfn.XLOOKUP(Market_Data[[#This Row],[Project Type]],tbl_assumptions_market[Project Category (RERA)],tbl_assumptions_market[Concrete Intensity
(m³ / sq m BUA)],"",0)</f>
        <v>0.42</v>
      </c>
      <c r="L2514" s="134">
        <f>ROUND(Market_Data[[#This Row],[Estimated Built Up Area (sq m)]]*Market_Data[[#This Row],[Concrete Intensity
(m³ / sq m)]],0)</f>
        <v>6930</v>
      </c>
      <c r="M2514" s="135">
        <f>_xlfn.XLOOKUP(Market_Data[[#This Row],[District]],tbl_district_price[District],tbl_district_price[Standard Price
(INR/m³)],"",0)</f>
        <v>6200</v>
      </c>
      <c r="N2514" s="364">
        <f>IF(OR(Market_Data[[#This Row],[Estimated Concrete Demand (m³)]]="",Market_Data[[#This Row],[Avg Price per (₹ / m³)]]=""),"",Market_Data[[#This Row],[Estimated Concrete Demand (m³)]]*Market_Data[[#This Row],[Avg Price per (₹ / m³)]]/10000000)</f>
        <v>4.2965999999999998</v>
      </c>
      <c r="O2514" s="97" t="str">
        <f>IF(Market_Data[[#This Row],[Estimated Concrete Demand (m³)]]="","",
IF(Market_Data[[#This Row],[Estimated Concrete Demand (m³)]]&lt;10000,"Small",
IF(Market_Data[[#This Row],[Estimated Concrete Demand (m³)]]&lt;25000,"Medium",
IF(Market_Data[[#This Row],[Estimated Concrete Demand (m³)]]&lt;100000,"Large","Mega"))))</f>
        <v>Small</v>
      </c>
      <c r="P2514" s="287" t="str">
        <f t="shared" si="41"/>
        <v>GujRERA</v>
      </c>
    </row>
    <row r="2515" spans="1:16">
      <c r="A2515" s="129" t="str">
        <f>_xlfn.XLOOKUP(B2515,$S$9:$S$14,$T$9:$T$14)&amp;"-"&amp;
IF(E2515="Residential/Group Housing","RES",
IF(E2515="Commercial","COM",
IF(E2515="Mixed Development","MIX",
IF(E2515="Plotted Development","PLT","OTH"))))
&amp;"-"&amp;TEXT(COUNTIFS($B$9:B2515,B2515,$E$9:E2515,E2515),"0000")</f>
        <v>SUR-RES-0869</v>
      </c>
      <c r="B2515" s="322" t="s">
        <v>34</v>
      </c>
      <c r="C2515" s="322" t="s">
        <v>34</v>
      </c>
      <c r="D2515" s="323" t="s">
        <v>2704</v>
      </c>
      <c r="E2515" s="132" t="s">
        <v>24</v>
      </c>
      <c r="F2515" s="97" t="str">
        <f ca="1">IF(OR(Market_Data[[#This Row],[Start Date]]="",Market_Data[[#This Row],[Completion Date]]=""),"Needs Validation",IF(Market_Data[[#This Row],[Start Date]]&gt;TODAY(),"Planned",IF(Market_Data[[#This Row],[Completion Date]]&lt;TODAY(),"Completed","Ongoing")))</f>
        <v>Completed</v>
      </c>
      <c r="G2515" s="324">
        <v>42482</v>
      </c>
      <c r="H2515" s="324">
        <v>43830</v>
      </c>
      <c r="I2515" s="325">
        <v>48800</v>
      </c>
      <c r="J251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15" s="133">
        <f>_xlfn.XLOOKUP(Market_Data[[#This Row],[Project Type]],tbl_assumptions_market[Project Category (RERA)],tbl_assumptions_market[Concrete Intensity
(m³ / sq m BUA)],"",0)</f>
        <v>0.45</v>
      </c>
      <c r="L2515" s="134">
        <f>ROUND(Market_Data[[#This Row],[Estimated Built Up Area (sq m)]]*Market_Data[[#This Row],[Concrete Intensity
(m³ / sq m)]],0)</f>
        <v>21960</v>
      </c>
      <c r="M2515" s="135">
        <f>_xlfn.XLOOKUP(Market_Data[[#This Row],[District]],tbl_district_price[District],tbl_district_price[Standard Price
(INR/m³)],"",0)</f>
        <v>6200</v>
      </c>
      <c r="N2515" s="364">
        <f>IF(OR(Market_Data[[#This Row],[Estimated Concrete Demand (m³)]]="",Market_Data[[#This Row],[Avg Price per (₹ / m³)]]=""),"",Market_Data[[#This Row],[Estimated Concrete Demand (m³)]]*Market_Data[[#This Row],[Avg Price per (₹ / m³)]]/10000000)</f>
        <v>13.6152</v>
      </c>
      <c r="O2515" s="97" t="str">
        <f>IF(Market_Data[[#This Row],[Estimated Concrete Demand (m³)]]="","",
IF(Market_Data[[#This Row],[Estimated Concrete Demand (m³)]]&lt;10000,"Small",
IF(Market_Data[[#This Row],[Estimated Concrete Demand (m³)]]&lt;25000,"Medium",
IF(Market_Data[[#This Row],[Estimated Concrete Demand (m³)]]&lt;100000,"Large","Mega"))))</f>
        <v>Medium</v>
      </c>
      <c r="P2515" s="287" t="str">
        <f t="shared" si="41"/>
        <v>GujRERA</v>
      </c>
    </row>
    <row r="2516" spans="1:16">
      <c r="A2516" s="129" t="str">
        <f>_xlfn.XLOOKUP(B2516,$S$9:$S$14,$T$9:$T$14)&amp;"-"&amp;
IF(E2516="Residential/Group Housing","RES",
IF(E2516="Commercial","COM",
IF(E2516="Mixed Development","MIX",
IF(E2516="Plotted Development","PLT","OTH"))))
&amp;"-"&amp;TEXT(COUNTIFS($B$9:B2516,B2516,$E$9:E2516,E2516),"0000")</f>
        <v>SUR-RES-0870</v>
      </c>
      <c r="B2516" s="322" t="s">
        <v>34</v>
      </c>
      <c r="C2516" s="322" t="s">
        <v>34</v>
      </c>
      <c r="D2516" s="323" t="s">
        <v>2705</v>
      </c>
      <c r="E2516" s="132" t="s">
        <v>24</v>
      </c>
      <c r="F2516" s="97" t="str">
        <f ca="1">IF(OR(Market_Data[[#This Row],[Start Date]]="",Market_Data[[#This Row],[Completion Date]]=""),"Needs Validation",IF(Market_Data[[#This Row],[Start Date]]&gt;TODAY(),"Planned",IF(Market_Data[[#This Row],[Completion Date]]&lt;TODAY(),"Completed","Ongoing")))</f>
        <v>Completed</v>
      </c>
      <c r="G2516" s="324">
        <v>43125</v>
      </c>
      <c r="H2516" s="324">
        <v>45473</v>
      </c>
      <c r="I2516" s="325">
        <v>58100</v>
      </c>
      <c r="J251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16" s="133">
        <f>_xlfn.XLOOKUP(Market_Data[[#This Row],[Project Type]],tbl_assumptions_market[Project Category (RERA)],tbl_assumptions_market[Concrete Intensity
(m³ / sq m BUA)],"",0)</f>
        <v>0.45</v>
      </c>
      <c r="L2516" s="134">
        <f>ROUND(Market_Data[[#This Row],[Estimated Built Up Area (sq m)]]*Market_Data[[#This Row],[Concrete Intensity
(m³ / sq m)]],0)</f>
        <v>26145</v>
      </c>
      <c r="M2516" s="135">
        <f>_xlfn.XLOOKUP(Market_Data[[#This Row],[District]],tbl_district_price[District],tbl_district_price[Standard Price
(INR/m³)],"",0)</f>
        <v>6200</v>
      </c>
      <c r="N2516" s="364">
        <f>IF(OR(Market_Data[[#This Row],[Estimated Concrete Demand (m³)]]="",Market_Data[[#This Row],[Avg Price per (₹ / m³)]]=""),"",Market_Data[[#This Row],[Estimated Concrete Demand (m³)]]*Market_Data[[#This Row],[Avg Price per (₹ / m³)]]/10000000)</f>
        <v>16.209900000000001</v>
      </c>
      <c r="O2516" s="97" t="str">
        <f>IF(Market_Data[[#This Row],[Estimated Concrete Demand (m³)]]="","",
IF(Market_Data[[#This Row],[Estimated Concrete Demand (m³)]]&lt;10000,"Small",
IF(Market_Data[[#This Row],[Estimated Concrete Demand (m³)]]&lt;25000,"Medium",
IF(Market_Data[[#This Row],[Estimated Concrete Demand (m³)]]&lt;100000,"Large","Mega"))))</f>
        <v>Large</v>
      </c>
      <c r="P2516" s="287" t="str">
        <f t="shared" si="41"/>
        <v>GujRERA</v>
      </c>
    </row>
    <row r="2517" spans="1:16">
      <c r="A2517" s="129" t="str">
        <f>_xlfn.XLOOKUP(B2517,$S$9:$S$14,$T$9:$T$14)&amp;"-"&amp;
IF(E2517="Residential/Group Housing","RES",
IF(E2517="Commercial","COM",
IF(E2517="Mixed Development","MIX",
IF(E2517="Plotted Development","PLT","OTH"))))
&amp;"-"&amp;TEXT(COUNTIFS($B$9:B2517,B2517,$E$9:E2517,E2517),"0000")</f>
        <v>SUR-MIX-0453</v>
      </c>
      <c r="B2517" s="322" t="s">
        <v>34</v>
      </c>
      <c r="C2517" s="322" t="s">
        <v>34</v>
      </c>
      <c r="D2517" s="323" t="s">
        <v>2706</v>
      </c>
      <c r="E2517" s="132" t="s">
        <v>25</v>
      </c>
      <c r="F2517" s="97" t="str">
        <f ca="1">IF(OR(Market_Data[[#This Row],[Start Date]]="",Market_Data[[#This Row],[Completion Date]]=""),"Needs Validation",IF(Market_Data[[#This Row],[Start Date]]&gt;TODAY(),"Planned",IF(Market_Data[[#This Row],[Completion Date]]&lt;TODAY(),"Completed","Ongoing")))</f>
        <v>Completed</v>
      </c>
      <c r="G2517" s="324">
        <v>43196</v>
      </c>
      <c r="H2517" s="324">
        <v>44834</v>
      </c>
      <c r="I2517" s="325">
        <v>83600</v>
      </c>
      <c r="J251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17" s="133">
        <f>_xlfn.XLOOKUP(Market_Data[[#This Row],[Project Type]],tbl_assumptions_market[Project Category (RERA)],tbl_assumptions_market[Concrete Intensity
(m³ / sq m BUA)],"",0)</f>
        <v>0.42</v>
      </c>
      <c r="L2517" s="134">
        <f>ROUND(Market_Data[[#This Row],[Estimated Built Up Area (sq m)]]*Market_Data[[#This Row],[Concrete Intensity
(m³ / sq m)]],0)</f>
        <v>35112</v>
      </c>
      <c r="M2517" s="135">
        <f>_xlfn.XLOOKUP(Market_Data[[#This Row],[District]],tbl_district_price[District],tbl_district_price[Standard Price
(INR/m³)],"",0)</f>
        <v>6200</v>
      </c>
      <c r="N2517" s="364">
        <f>IF(OR(Market_Data[[#This Row],[Estimated Concrete Demand (m³)]]="",Market_Data[[#This Row],[Avg Price per (₹ / m³)]]=""),"",Market_Data[[#This Row],[Estimated Concrete Demand (m³)]]*Market_Data[[#This Row],[Avg Price per (₹ / m³)]]/10000000)</f>
        <v>21.769439999999999</v>
      </c>
      <c r="O2517" s="97" t="str">
        <f>IF(Market_Data[[#This Row],[Estimated Concrete Demand (m³)]]="","",
IF(Market_Data[[#This Row],[Estimated Concrete Demand (m³)]]&lt;10000,"Small",
IF(Market_Data[[#This Row],[Estimated Concrete Demand (m³)]]&lt;25000,"Medium",
IF(Market_Data[[#This Row],[Estimated Concrete Demand (m³)]]&lt;100000,"Large","Mega"))))</f>
        <v>Large</v>
      </c>
      <c r="P2517" s="287" t="str">
        <f t="shared" si="41"/>
        <v>GujRERA</v>
      </c>
    </row>
    <row r="2518" spans="1:16">
      <c r="A2518" s="129" t="str">
        <f>_xlfn.XLOOKUP(B2518,$S$9:$S$14,$T$9:$T$14)&amp;"-"&amp;
IF(E2518="Residential/Group Housing","RES",
IF(E2518="Commercial","COM",
IF(E2518="Mixed Development","MIX",
IF(E2518="Plotted Development","PLT","OTH"))))
&amp;"-"&amp;TEXT(COUNTIFS($B$9:B2518,B2518,$E$9:E2518,E2518),"0000")</f>
        <v>SUR-COM-0418</v>
      </c>
      <c r="B2518" s="322" t="s">
        <v>34</v>
      </c>
      <c r="C2518" s="322" t="s">
        <v>34</v>
      </c>
      <c r="D2518" s="323" t="s">
        <v>2707</v>
      </c>
      <c r="E2518" s="132" t="s">
        <v>23</v>
      </c>
      <c r="F2518" s="97" t="str">
        <f ca="1">IF(OR(Market_Data[[#This Row],[Start Date]]="",Market_Data[[#This Row],[Completion Date]]=""),"Needs Validation",IF(Market_Data[[#This Row],[Start Date]]&gt;TODAY(),"Planned",IF(Market_Data[[#This Row],[Completion Date]]&lt;TODAY(),"Completed","Ongoing")))</f>
        <v>Ongoing</v>
      </c>
      <c r="G2518" s="324">
        <v>45748</v>
      </c>
      <c r="H2518" s="324">
        <v>46387</v>
      </c>
      <c r="I2518" s="325">
        <v>35100</v>
      </c>
      <c r="J251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518" s="133">
        <f>_xlfn.XLOOKUP(Market_Data[[#This Row],[Project Type]],tbl_assumptions_market[Project Category (RERA)],tbl_assumptions_market[Concrete Intensity
(m³ / sq m BUA)],"",0)</f>
        <v>0.5</v>
      </c>
      <c r="L2518" s="134">
        <f>ROUND(Market_Data[[#This Row],[Estimated Built Up Area (sq m)]]*Market_Data[[#This Row],[Concrete Intensity
(m³ / sq m)]],0)</f>
        <v>17550</v>
      </c>
      <c r="M2518" s="135">
        <f>_xlfn.XLOOKUP(Market_Data[[#This Row],[District]],tbl_district_price[District],tbl_district_price[Standard Price
(INR/m³)],"",0)</f>
        <v>6200</v>
      </c>
      <c r="N2518" s="364">
        <f>IF(OR(Market_Data[[#This Row],[Estimated Concrete Demand (m³)]]="",Market_Data[[#This Row],[Avg Price per (₹ / m³)]]=""),"",Market_Data[[#This Row],[Estimated Concrete Demand (m³)]]*Market_Data[[#This Row],[Avg Price per (₹ / m³)]]/10000000)</f>
        <v>10.881</v>
      </c>
      <c r="O2518" s="97" t="str">
        <f>IF(Market_Data[[#This Row],[Estimated Concrete Demand (m³)]]="","",
IF(Market_Data[[#This Row],[Estimated Concrete Demand (m³)]]&lt;10000,"Small",
IF(Market_Data[[#This Row],[Estimated Concrete Demand (m³)]]&lt;25000,"Medium",
IF(Market_Data[[#This Row],[Estimated Concrete Demand (m³)]]&lt;100000,"Large","Mega"))))</f>
        <v>Medium</v>
      </c>
      <c r="P2518" s="287" t="str">
        <f t="shared" si="41"/>
        <v>GujRERA</v>
      </c>
    </row>
    <row r="2519" spans="1:16">
      <c r="A2519" s="129" t="str">
        <f>_xlfn.XLOOKUP(B2519,$S$9:$S$14,$T$9:$T$14)&amp;"-"&amp;
IF(E2519="Residential/Group Housing","RES",
IF(E2519="Commercial","COM",
IF(E2519="Mixed Development","MIX",
IF(E2519="Plotted Development","PLT","OTH"))))
&amp;"-"&amp;TEXT(COUNTIFS($B$9:B2519,B2519,$E$9:E2519,E2519),"0000")</f>
        <v>SUR-RES-0871</v>
      </c>
      <c r="B2519" s="322" t="s">
        <v>34</v>
      </c>
      <c r="C2519" s="322" t="s">
        <v>34</v>
      </c>
      <c r="D2519" s="323" t="s">
        <v>2708</v>
      </c>
      <c r="E2519" s="132" t="s">
        <v>24</v>
      </c>
      <c r="F2519" s="97" t="str">
        <f ca="1">IF(OR(Market_Data[[#This Row],[Start Date]]="",Market_Data[[#This Row],[Completion Date]]=""),"Needs Validation",IF(Market_Data[[#This Row],[Start Date]]&gt;TODAY(),"Planned",IF(Market_Data[[#This Row],[Completion Date]]&lt;TODAY(),"Completed","Ongoing")))</f>
        <v>Completed</v>
      </c>
      <c r="G2519" s="324">
        <v>43573</v>
      </c>
      <c r="H2519" s="324">
        <v>45657</v>
      </c>
      <c r="I2519" s="325">
        <v>38700</v>
      </c>
      <c r="J251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19" s="133">
        <f>_xlfn.XLOOKUP(Market_Data[[#This Row],[Project Type]],tbl_assumptions_market[Project Category (RERA)],tbl_assumptions_market[Concrete Intensity
(m³ / sq m BUA)],"",0)</f>
        <v>0.45</v>
      </c>
      <c r="L2519" s="134">
        <f>ROUND(Market_Data[[#This Row],[Estimated Built Up Area (sq m)]]*Market_Data[[#This Row],[Concrete Intensity
(m³ / sq m)]],0)</f>
        <v>17415</v>
      </c>
      <c r="M2519" s="135">
        <f>_xlfn.XLOOKUP(Market_Data[[#This Row],[District]],tbl_district_price[District],tbl_district_price[Standard Price
(INR/m³)],"",0)</f>
        <v>6200</v>
      </c>
      <c r="N2519" s="364">
        <f>IF(OR(Market_Data[[#This Row],[Estimated Concrete Demand (m³)]]="",Market_Data[[#This Row],[Avg Price per (₹ / m³)]]=""),"",Market_Data[[#This Row],[Estimated Concrete Demand (m³)]]*Market_Data[[#This Row],[Avg Price per (₹ / m³)]]/10000000)</f>
        <v>10.7973</v>
      </c>
      <c r="O2519" s="97" t="str">
        <f>IF(Market_Data[[#This Row],[Estimated Concrete Demand (m³)]]="","",
IF(Market_Data[[#This Row],[Estimated Concrete Demand (m³)]]&lt;10000,"Small",
IF(Market_Data[[#This Row],[Estimated Concrete Demand (m³)]]&lt;25000,"Medium",
IF(Market_Data[[#This Row],[Estimated Concrete Demand (m³)]]&lt;100000,"Large","Mega"))))</f>
        <v>Medium</v>
      </c>
      <c r="P2519" s="287" t="str">
        <f t="shared" si="41"/>
        <v>GujRERA</v>
      </c>
    </row>
    <row r="2520" spans="1:16">
      <c r="A2520" s="129" t="str">
        <f>_xlfn.XLOOKUP(B2520,$S$9:$S$14,$T$9:$T$14)&amp;"-"&amp;
IF(E2520="Residential/Group Housing","RES",
IF(E2520="Commercial","COM",
IF(E2520="Mixed Development","MIX",
IF(E2520="Plotted Development","PLT","OTH"))))
&amp;"-"&amp;TEXT(COUNTIFS($B$9:B2520,B2520,$E$9:E2520,E2520),"0000")</f>
        <v>SUR-MIX-0454</v>
      </c>
      <c r="B2520" s="322" t="s">
        <v>34</v>
      </c>
      <c r="C2520" s="322" t="s">
        <v>34</v>
      </c>
      <c r="D2520" s="323" t="s">
        <v>2709</v>
      </c>
      <c r="E2520" s="132" t="s">
        <v>25</v>
      </c>
      <c r="F2520" s="97" t="str">
        <f ca="1">IF(OR(Market_Data[[#This Row],[Start Date]]="",Market_Data[[#This Row],[Completion Date]]=""),"Needs Validation",IF(Market_Data[[#This Row],[Start Date]]&gt;TODAY(),"Planned",IF(Market_Data[[#This Row],[Completion Date]]&lt;TODAY(),"Completed","Ongoing")))</f>
        <v>Completed</v>
      </c>
      <c r="G2520" s="324">
        <v>42248</v>
      </c>
      <c r="H2520" s="324">
        <v>43465</v>
      </c>
      <c r="I2520" s="325">
        <v>43200</v>
      </c>
      <c r="J252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20" s="133">
        <f>_xlfn.XLOOKUP(Market_Data[[#This Row],[Project Type]],tbl_assumptions_market[Project Category (RERA)],tbl_assumptions_market[Concrete Intensity
(m³ / sq m BUA)],"",0)</f>
        <v>0.42</v>
      </c>
      <c r="L2520" s="134">
        <f>ROUND(Market_Data[[#This Row],[Estimated Built Up Area (sq m)]]*Market_Data[[#This Row],[Concrete Intensity
(m³ / sq m)]],0)</f>
        <v>18144</v>
      </c>
      <c r="M2520" s="135">
        <f>_xlfn.XLOOKUP(Market_Data[[#This Row],[District]],tbl_district_price[District],tbl_district_price[Standard Price
(INR/m³)],"",0)</f>
        <v>6200</v>
      </c>
      <c r="N2520" s="364">
        <f>IF(OR(Market_Data[[#This Row],[Estimated Concrete Demand (m³)]]="",Market_Data[[#This Row],[Avg Price per (₹ / m³)]]=""),"",Market_Data[[#This Row],[Estimated Concrete Demand (m³)]]*Market_Data[[#This Row],[Avg Price per (₹ / m³)]]/10000000)</f>
        <v>11.249280000000001</v>
      </c>
      <c r="O2520" s="97" t="str">
        <f>IF(Market_Data[[#This Row],[Estimated Concrete Demand (m³)]]="","",
IF(Market_Data[[#This Row],[Estimated Concrete Demand (m³)]]&lt;10000,"Small",
IF(Market_Data[[#This Row],[Estimated Concrete Demand (m³)]]&lt;25000,"Medium",
IF(Market_Data[[#This Row],[Estimated Concrete Demand (m³)]]&lt;100000,"Large","Mega"))))</f>
        <v>Medium</v>
      </c>
      <c r="P2520" s="287" t="str">
        <f t="shared" si="41"/>
        <v>GujRERA</v>
      </c>
    </row>
    <row r="2521" spans="1:16">
      <c r="A2521" s="129" t="str">
        <f>_xlfn.XLOOKUP(B2521,$S$9:$S$14,$T$9:$T$14)&amp;"-"&amp;
IF(E2521="Residential/Group Housing","RES",
IF(E2521="Commercial","COM",
IF(E2521="Mixed Development","MIX",
IF(E2521="Plotted Development","PLT","OTH"))))
&amp;"-"&amp;TEXT(COUNTIFS($B$9:B2521,B2521,$E$9:E2521,E2521),"0000")</f>
        <v>SUR-PLT-0460</v>
      </c>
      <c r="B2521" s="322" t="s">
        <v>34</v>
      </c>
      <c r="C2521" s="322" t="s">
        <v>34</v>
      </c>
      <c r="D2521" s="323" t="s">
        <v>2710</v>
      </c>
      <c r="E2521" s="132" t="s">
        <v>26</v>
      </c>
      <c r="F2521" s="97" t="str">
        <f ca="1">IF(OR(Market_Data[[#This Row],[Start Date]]="",Market_Data[[#This Row],[Completion Date]]=""),"Needs Validation",IF(Market_Data[[#This Row],[Start Date]]&gt;TODAY(),"Planned",IF(Market_Data[[#This Row],[Completion Date]]&lt;TODAY(),"Completed","Ongoing")))</f>
        <v>Completed</v>
      </c>
      <c r="G2521" s="324">
        <v>44409</v>
      </c>
      <c r="H2521" s="324">
        <v>45291</v>
      </c>
      <c r="I2521" s="325">
        <v>40400</v>
      </c>
      <c r="J252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521" s="133">
        <f>_xlfn.XLOOKUP(Market_Data[[#This Row],[Project Type]],tbl_assumptions_market[Project Category (RERA)],tbl_assumptions_market[Concrete Intensity
(m³ / sq m BUA)],"",0)</f>
        <v>0.18</v>
      </c>
      <c r="L2521" s="134">
        <f>ROUND(Market_Data[[#This Row],[Estimated Built Up Area (sq m)]]*Market_Data[[#This Row],[Concrete Intensity
(m³ / sq m)]],0)</f>
        <v>7272</v>
      </c>
      <c r="M2521" s="135">
        <f>_xlfn.XLOOKUP(Market_Data[[#This Row],[District]],tbl_district_price[District],tbl_district_price[Standard Price
(INR/m³)],"",0)</f>
        <v>6200</v>
      </c>
      <c r="N2521" s="364">
        <f>IF(OR(Market_Data[[#This Row],[Estimated Concrete Demand (m³)]]="",Market_Data[[#This Row],[Avg Price per (₹ / m³)]]=""),"",Market_Data[[#This Row],[Estimated Concrete Demand (m³)]]*Market_Data[[#This Row],[Avg Price per (₹ / m³)]]/10000000)</f>
        <v>4.5086399999999998</v>
      </c>
      <c r="O2521" s="97" t="str">
        <f>IF(Market_Data[[#This Row],[Estimated Concrete Demand (m³)]]="","",
IF(Market_Data[[#This Row],[Estimated Concrete Demand (m³)]]&lt;10000,"Small",
IF(Market_Data[[#This Row],[Estimated Concrete Demand (m³)]]&lt;25000,"Medium",
IF(Market_Data[[#This Row],[Estimated Concrete Demand (m³)]]&lt;100000,"Large","Mega"))))</f>
        <v>Small</v>
      </c>
      <c r="P2521" s="287" t="str">
        <f t="shared" si="41"/>
        <v>GujRERA</v>
      </c>
    </row>
    <row r="2522" spans="1:16">
      <c r="A2522" s="129" t="str">
        <f>_xlfn.XLOOKUP(B2522,$S$9:$S$14,$T$9:$T$14)&amp;"-"&amp;
IF(E2522="Residential/Group Housing","RES",
IF(E2522="Commercial","COM",
IF(E2522="Mixed Development","MIX",
IF(E2522="Plotted Development","PLT","OTH"))))
&amp;"-"&amp;TEXT(COUNTIFS($B$9:B2522,B2522,$E$9:E2522,E2522),"0000")</f>
        <v>SUR-RES-0872</v>
      </c>
      <c r="B2522" s="322" t="s">
        <v>34</v>
      </c>
      <c r="C2522" s="322" t="s">
        <v>34</v>
      </c>
      <c r="D2522" s="323" t="s">
        <v>2711</v>
      </c>
      <c r="E2522" s="132" t="s">
        <v>24</v>
      </c>
      <c r="F2522" s="97" t="str">
        <f ca="1">IF(OR(Market_Data[[#This Row],[Start Date]]="",Market_Data[[#This Row],[Completion Date]]=""),"Needs Validation",IF(Market_Data[[#This Row],[Start Date]]&gt;TODAY(),"Planned",IF(Market_Data[[#This Row],[Completion Date]]&lt;TODAY(),"Completed","Ongoing")))</f>
        <v>Completed</v>
      </c>
      <c r="G2522" s="324">
        <v>41851</v>
      </c>
      <c r="H2522" s="324">
        <v>43281</v>
      </c>
      <c r="I2522" s="325">
        <v>25300</v>
      </c>
      <c r="J252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22" s="133">
        <f>_xlfn.XLOOKUP(Market_Data[[#This Row],[Project Type]],tbl_assumptions_market[Project Category (RERA)],tbl_assumptions_market[Concrete Intensity
(m³ / sq m BUA)],"",0)</f>
        <v>0.45</v>
      </c>
      <c r="L2522" s="134">
        <f>ROUND(Market_Data[[#This Row],[Estimated Built Up Area (sq m)]]*Market_Data[[#This Row],[Concrete Intensity
(m³ / sq m)]],0)</f>
        <v>11385</v>
      </c>
      <c r="M2522" s="135">
        <f>_xlfn.XLOOKUP(Market_Data[[#This Row],[District]],tbl_district_price[District],tbl_district_price[Standard Price
(INR/m³)],"",0)</f>
        <v>6200</v>
      </c>
      <c r="N2522" s="364">
        <f>IF(OR(Market_Data[[#This Row],[Estimated Concrete Demand (m³)]]="",Market_Data[[#This Row],[Avg Price per (₹ / m³)]]=""),"",Market_Data[[#This Row],[Estimated Concrete Demand (m³)]]*Market_Data[[#This Row],[Avg Price per (₹ / m³)]]/10000000)</f>
        <v>7.0587</v>
      </c>
      <c r="O2522" s="97" t="str">
        <f>IF(Market_Data[[#This Row],[Estimated Concrete Demand (m³)]]="","",
IF(Market_Data[[#This Row],[Estimated Concrete Demand (m³)]]&lt;10000,"Small",
IF(Market_Data[[#This Row],[Estimated Concrete Demand (m³)]]&lt;25000,"Medium",
IF(Market_Data[[#This Row],[Estimated Concrete Demand (m³)]]&lt;100000,"Large","Mega"))))</f>
        <v>Medium</v>
      </c>
      <c r="P2522" s="287" t="str">
        <f t="shared" si="41"/>
        <v>GujRERA</v>
      </c>
    </row>
    <row r="2523" spans="1:16">
      <c r="A2523" s="129" t="str">
        <f>_xlfn.XLOOKUP(B2523,$S$9:$S$14,$T$9:$T$14)&amp;"-"&amp;
IF(E2523="Residential/Group Housing","RES",
IF(E2523="Commercial","COM",
IF(E2523="Mixed Development","MIX",
IF(E2523="Plotted Development","PLT","OTH"))))
&amp;"-"&amp;TEXT(COUNTIFS($B$9:B2523,B2523,$E$9:E2523,E2523),"0000")</f>
        <v>SUR-PLT-0461</v>
      </c>
      <c r="B2523" s="322" t="s">
        <v>34</v>
      </c>
      <c r="C2523" s="322" t="s">
        <v>34</v>
      </c>
      <c r="D2523" s="323" t="s">
        <v>2712</v>
      </c>
      <c r="E2523" s="132" t="s">
        <v>26</v>
      </c>
      <c r="F2523" s="97" t="str">
        <f ca="1">IF(OR(Market_Data[[#This Row],[Start Date]]="",Market_Data[[#This Row],[Completion Date]]=""),"Needs Validation",IF(Market_Data[[#This Row],[Start Date]]&gt;TODAY(),"Planned",IF(Market_Data[[#This Row],[Completion Date]]&lt;TODAY(),"Completed","Ongoing")))</f>
        <v>Ongoing</v>
      </c>
      <c r="G2523" s="324">
        <v>45293</v>
      </c>
      <c r="H2523" s="324">
        <v>46752</v>
      </c>
      <c r="I2523" s="325">
        <v>48000</v>
      </c>
      <c r="J252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523" s="133">
        <f>_xlfn.XLOOKUP(Market_Data[[#This Row],[Project Type]],tbl_assumptions_market[Project Category (RERA)],tbl_assumptions_market[Concrete Intensity
(m³ / sq m BUA)],"",0)</f>
        <v>0.18</v>
      </c>
      <c r="L2523" s="134">
        <f>ROUND(Market_Data[[#This Row],[Estimated Built Up Area (sq m)]]*Market_Data[[#This Row],[Concrete Intensity
(m³ / sq m)]],0)</f>
        <v>8640</v>
      </c>
      <c r="M2523" s="135">
        <f>_xlfn.XLOOKUP(Market_Data[[#This Row],[District]],tbl_district_price[District],tbl_district_price[Standard Price
(INR/m³)],"",0)</f>
        <v>6200</v>
      </c>
      <c r="N2523" s="364">
        <f>IF(OR(Market_Data[[#This Row],[Estimated Concrete Demand (m³)]]="",Market_Data[[#This Row],[Avg Price per (₹ / m³)]]=""),"",Market_Data[[#This Row],[Estimated Concrete Demand (m³)]]*Market_Data[[#This Row],[Avg Price per (₹ / m³)]]/10000000)</f>
        <v>5.3567999999999998</v>
      </c>
      <c r="O2523" s="97" t="str">
        <f>IF(Market_Data[[#This Row],[Estimated Concrete Demand (m³)]]="","",
IF(Market_Data[[#This Row],[Estimated Concrete Demand (m³)]]&lt;10000,"Small",
IF(Market_Data[[#This Row],[Estimated Concrete Demand (m³)]]&lt;25000,"Medium",
IF(Market_Data[[#This Row],[Estimated Concrete Demand (m³)]]&lt;100000,"Large","Mega"))))</f>
        <v>Small</v>
      </c>
      <c r="P2523" s="287" t="str">
        <f t="shared" si="41"/>
        <v>GujRERA</v>
      </c>
    </row>
    <row r="2524" spans="1:16">
      <c r="A2524" s="129" t="str">
        <f>_xlfn.XLOOKUP(B2524,$S$9:$S$14,$T$9:$T$14)&amp;"-"&amp;
IF(E2524="Residential/Group Housing","RES",
IF(E2524="Commercial","COM",
IF(E2524="Mixed Development","MIX",
IF(E2524="Plotted Development","PLT","OTH"))))
&amp;"-"&amp;TEXT(COUNTIFS($B$9:B2524,B2524,$E$9:E2524,E2524),"0000")</f>
        <v>SUR-RES-0873</v>
      </c>
      <c r="B2524" s="322" t="s">
        <v>34</v>
      </c>
      <c r="C2524" s="322" t="s">
        <v>34</v>
      </c>
      <c r="D2524" s="323" t="s">
        <v>2713</v>
      </c>
      <c r="E2524" s="132" t="s">
        <v>24</v>
      </c>
      <c r="F2524" s="97" t="str">
        <f ca="1">IF(OR(Market_Data[[#This Row],[Start Date]]="",Market_Data[[#This Row],[Completion Date]]=""),"Needs Validation",IF(Market_Data[[#This Row],[Start Date]]&gt;TODAY(),"Planned",IF(Market_Data[[#This Row],[Completion Date]]&lt;TODAY(),"Completed","Ongoing")))</f>
        <v>Completed</v>
      </c>
      <c r="G2524" s="324">
        <v>42461</v>
      </c>
      <c r="H2524" s="324">
        <v>44407</v>
      </c>
      <c r="I2524" s="325">
        <v>27600</v>
      </c>
      <c r="J252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24" s="133">
        <f>_xlfn.XLOOKUP(Market_Data[[#This Row],[Project Type]],tbl_assumptions_market[Project Category (RERA)],tbl_assumptions_market[Concrete Intensity
(m³ / sq m BUA)],"",0)</f>
        <v>0.45</v>
      </c>
      <c r="L2524" s="134">
        <f>ROUND(Market_Data[[#This Row],[Estimated Built Up Area (sq m)]]*Market_Data[[#This Row],[Concrete Intensity
(m³ / sq m)]],0)</f>
        <v>12420</v>
      </c>
      <c r="M2524" s="135">
        <f>_xlfn.XLOOKUP(Market_Data[[#This Row],[District]],tbl_district_price[District],tbl_district_price[Standard Price
(INR/m³)],"",0)</f>
        <v>6200</v>
      </c>
      <c r="N2524" s="364">
        <f>IF(OR(Market_Data[[#This Row],[Estimated Concrete Demand (m³)]]="",Market_Data[[#This Row],[Avg Price per (₹ / m³)]]=""),"",Market_Data[[#This Row],[Estimated Concrete Demand (m³)]]*Market_Data[[#This Row],[Avg Price per (₹ / m³)]]/10000000)</f>
        <v>7.7004000000000001</v>
      </c>
      <c r="O2524" s="97" t="str">
        <f>IF(Market_Data[[#This Row],[Estimated Concrete Demand (m³)]]="","",
IF(Market_Data[[#This Row],[Estimated Concrete Demand (m³)]]&lt;10000,"Small",
IF(Market_Data[[#This Row],[Estimated Concrete Demand (m³)]]&lt;25000,"Medium",
IF(Market_Data[[#This Row],[Estimated Concrete Demand (m³)]]&lt;100000,"Large","Mega"))))</f>
        <v>Medium</v>
      </c>
      <c r="P2524" s="287" t="str">
        <f t="shared" si="41"/>
        <v>GujRERA</v>
      </c>
    </row>
    <row r="2525" spans="1:16">
      <c r="A2525" s="129" t="str">
        <f>_xlfn.XLOOKUP(B2525,$S$9:$S$14,$T$9:$T$14)&amp;"-"&amp;
IF(E2525="Residential/Group Housing","RES",
IF(E2525="Commercial","COM",
IF(E2525="Mixed Development","MIX",
IF(E2525="Plotted Development","PLT","OTH"))))
&amp;"-"&amp;TEXT(COUNTIFS($B$9:B2525,B2525,$E$9:E2525,E2525),"0000")</f>
        <v>SUR-COM-0419</v>
      </c>
      <c r="B2525" s="322" t="s">
        <v>34</v>
      </c>
      <c r="C2525" s="322" t="s">
        <v>34</v>
      </c>
      <c r="D2525" s="323" t="s">
        <v>2714</v>
      </c>
      <c r="E2525" s="132" t="s">
        <v>23</v>
      </c>
      <c r="F2525" s="97" t="str">
        <f ca="1">IF(OR(Market_Data[[#This Row],[Start Date]]="",Market_Data[[#This Row],[Completion Date]]=""),"Needs Validation",IF(Market_Data[[#This Row],[Start Date]]&gt;TODAY(),"Planned",IF(Market_Data[[#This Row],[Completion Date]]&lt;TODAY(),"Completed","Ongoing")))</f>
        <v>Completed</v>
      </c>
      <c r="G2525" s="324">
        <v>42303</v>
      </c>
      <c r="H2525" s="324">
        <v>43190</v>
      </c>
      <c r="I2525" s="325">
        <v>46300</v>
      </c>
      <c r="J252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525" s="133">
        <f>_xlfn.XLOOKUP(Market_Data[[#This Row],[Project Type]],tbl_assumptions_market[Project Category (RERA)],tbl_assumptions_market[Concrete Intensity
(m³ / sq m BUA)],"",0)</f>
        <v>0.5</v>
      </c>
      <c r="L2525" s="134">
        <f>ROUND(Market_Data[[#This Row],[Estimated Built Up Area (sq m)]]*Market_Data[[#This Row],[Concrete Intensity
(m³ / sq m)]],0)</f>
        <v>23150</v>
      </c>
      <c r="M2525" s="135">
        <f>_xlfn.XLOOKUP(Market_Data[[#This Row],[District]],tbl_district_price[District],tbl_district_price[Standard Price
(INR/m³)],"",0)</f>
        <v>6200</v>
      </c>
      <c r="N2525" s="364">
        <f>IF(OR(Market_Data[[#This Row],[Estimated Concrete Demand (m³)]]="",Market_Data[[#This Row],[Avg Price per (₹ / m³)]]=""),"",Market_Data[[#This Row],[Estimated Concrete Demand (m³)]]*Market_Data[[#This Row],[Avg Price per (₹ / m³)]]/10000000)</f>
        <v>14.353</v>
      </c>
      <c r="O2525" s="97" t="str">
        <f>IF(Market_Data[[#This Row],[Estimated Concrete Demand (m³)]]="","",
IF(Market_Data[[#This Row],[Estimated Concrete Demand (m³)]]&lt;10000,"Small",
IF(Market_Data[[#This Row],[Estimated Concrete Demand (m³)]]&lt;25000,"Medium",
IF(Market_Data[[#This Row],[Estimated Concrete Demand (m³)]]&lt;100000,"Large","Mega"))))</f>
        <v>Medium</v>
      </c>
      <c r="P2525" s="287" t="str">
        <f t="shared" si="41"/>
        <v>GujRERA</v>
      </c>
    </row>
    <row r="2526" spans="1:16">
      <c r="A2526" s="129" t="str">
        <f>_xlfn.XLOOKUP(B2526,$S$9:$S$14,$T$9:$T$14)&amp;"-"&amp;
IF(E2526="Residential/Group Housing","RES",
IF(E2526="Commercial","COM",
IF(E2526="Mixed Development","MIX",
IF(E2526="Plotted Development","PLT","OTH"))))
&amp;"-"&amp;TEXT(COUNTIFS($B$9:B2526,B2526,$E$9:E2526,E2526),"0000")</f>
        <v>SUR-RES-0874</v>
      </c>
      <c r="B2526" s="322" t="s">
        <v>34</v>
      </c>
      <c r="C2526" s="322" t="s">
        <v>34</v>
      </c>
      <c r="D2526" s="323" t="s">
        <v>2715</v>
      </c>
      <c r="E2526" s="132" t="s">
        <v>24</v>
      </c>
      <c r="F2526" s="97" t="str">
        <f ca="1">IF(OR(Market_Data[[#This Row],[Start Date]]="",Market_Data[[#This Row],[Completion Date]]=""),"Needs Validation",IF(Market_Data[[#This Row],[Start Date]]&gt;TODAY(),"Planned",IF(Market_Data[[#This Row],[Completion Date]]&lt;TODAY(),"Completed","Ongoing")))</f>
        <v>Completed</v>
      </c>
      <c r="G2526" s="324">
        <v>40581</v>
      </c>
      <c r="H2526" s="324">
        <v>44377</v>
      </c>
      <c r="I2526" s="325">
        <v>45900</v>
      </c>
      <c r="J252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26" s="133">
        <f>_xlfn.XLOOKUP(Market_Data[[#This Row],[Project Type]],tbl_assumptions_market[Project Category (RERA)],tbl_assumptions_market[Concrete Intensity
(m³ / sq m BUA)],"",0)</f>
        <v>0.45</v>
      </c>
      <c r="L2526" s="134">
        <f>ROUND(Market_Data[[#This Row],[Estimated Built Up Area (sq m)]]*Market_Data[[#This Row],[Concrete Intensity
(m³ / sq m)]],0)</f>
        <v>20655</v>
      </c>
      <c r="M2526" s="135">
        <f>_xlfn.XLOOKUP(Market_Data[[#This Row],[District]],tbl_district_price[District],tbl_district_price[Standard Price
(INR/m³)],"",0)</f>
        <v>6200</v>
      </c>
      <c r="N2526" s="364">
        <f>IF(OR(Market_Data[[#This Row],[Estimated Concrete Demand (m³)]]="",Market_Data[[#This Row],[Avg Price per (₹ / m³)]]=""),"",Market_Data[[#This Row],[Estimated Concrete Demand (m³)]]*Market_Data[[#This Row],[Avg Price per (₹ / m³)]]/10000000)</f>
        <v>12.806100000000001</v>
      </c>
      <c r="O2526" s="97" t="str">
        <f>IF(Market_Data[[#This Row],[Estimated Concrete Demand (m³)]]="","",
IF(Market_Data[[#This Row],[Estimated Concrete Demand (m³)]]&lt;10000,"Small",
IF(Market_Data[[#This Row],[Estimated Concrete Demand (m³)]]&lt;25000,"Medium",
IF(Market_Data[[#This Row],[Estimated Concrete Demand (m³)]]&lt;100000,"Large","Mega"))))</f>
        <v>Medium</v>
      </c>
      <c r="P2526" s="287" t="str">
        <f t="shared" si="41"/>
        <v>GujRERA</v>
      </c>
    </row>
    <row r="2527" spans="1:16">
      <c r="A2527" s="129" t="str">
        <f>_xlfn.XLOOKUP(B2527,$S$9:$S$14,$T$9:$T$14)&amp;"-"&amp;
IF(E2527="Residential/Group Housing","RES",
IF(E2527="Commercial","COM",
IF(E2527="Mixed Development","MIX",
IF(E2527="Plotted Development","PLT","OTH"))))
&amp;"-"&amp;TEXT(COUNTIFS($B$9:B2527,B2527,$E$9:E2527,E2527),"0000")</f>
        <v>SUR-COM-0420</v>
      </c>
      <c r="B2527" s="322" t="s">
        <v>34</v>
      </c>
      <c r="C2527" s="322" t="s">
        <v>34</v>
      </c>
      <c r="D2527" s="323" t="s">
        <v>2716</v>
      </c>
      <c r="E2527" s="132" t="s">
        <v>23</v>
      </c>
      <c r="F2527" s="97" t="str">
        <f ca="1">IF(OR(Market_Data[[#This Row],[Start Date]]="",Market_Data[[#This Row],[Completion Date]]=""),"Needs Validation",IF(Market_Data[[#This Row],[Start Date]]&gt;TODAY(),"Planned",IF(Market_Data[[#This Row],[Completion Date]]&lt;TODAY(),"Completed","Ongoing")))</f>
        <v>Completed</v>
      </c>
      <c r="G2527" s="324">
        <v>43559</v>
      </c>
      <c r="H2527" s="324">
        <v>45565</v>
      </c>
      <c r="I2527" s="325">
        <v>2400</v>
      </c>
      <c r="J252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27" s="133">
        <f>_xlfn.XLOOKUP(Market_Data[[#This Row],[Project Type]],tbl_assumptions_market[Project Category (RERA)],tbl_assumptions_market[Concrete Intensity
(m³ / sq m BUA)],"",0)</f>
        <v>0.5</v>
      </c>
      <c r="L2527" s="134">
        <f>ROUND(Market_Data[[#This Row],[Estimated Built Up Area (sq m)]]*Market_Data[[#This Row],[Concrete Intensity
(m³ / sq m)]],0)</f>
        <v>1200</v>
      </c>
      <c r="M2527" s="135">
        <f>_xlfn.XLOOKUP(Market_Data[[#This Row],[District]],tbl_district_price[District],tbl_district_price[Standard Price
(INR/m³)],"",0)</f>
        <v>6200</v>
      </c>
      <c r="N2527" s="364">
        <f>IF(OR(Market_Data[[#This Row],[Estimated Concrete Demand (m³)]]="",Market_Data[[#This Row],[Avg Price per (₹ / m³)]]=""),"",Market_Data[[#This Row],[Estimated Concrete Demand (m³)]]*Market_Data[[#This Row],[Avg Price per (₹ / m³)]]/10000000)</f>
        <v>0.74399999999999999</v>
      </c>
      <c r="O2527" s="97" t="str">
        <f>IF(Market_Data[[#This Row],[Estimated Concrete Demand (m³)]]="","",
IF(Market_Data[[#This Row],[Estimated Concrete Demand (m³)]]&lt;10000,"Small",
IF(Market_Data[[#This Row],[Estimated Concrete Demand (m³)]]&lt;25000,"Medium",
IF(Market_Data[[#This Row],[Estimated Concrete Demand (m³)]]&lt;100000,"Large","Mega"))))</f>
        <v>Small</v>
      </c>
      <c r="P2527" s="287" t="str">
        <f t="shared" si="41"/>
        <v>GujRERA</v>
      </c>
    </row>
    <row r="2528" spans="1:16">
      <c r="A2528" s="129" t="str">
        <f>_xlfn.XLOOKUP(B2528,$S$9:$S$14,$T$9:$T$14)&amp;"-"&amp;
IF(E2528="Residential/Group Housing","RES",
IF(E2528="Commercial","COM",
IF(E2528="Mixed Development","MIX",
IF(E2528="Plotted Development","PLT","OTH"))))
&amp;"-"&amp;TEXT(COUNTIFS($B$9:B2528,B2528,$E$9:E2528,E2528),"0000")</f>
        <v>SUR-RES-0875</v>
      </c>
      <c r="B2528" s="322" t="s">
        <v>34</v>
      </c>
      <c r="C2528" s="322" t="s">
        <v>34</v>
      </c>
      <c r="D2528" s="323" t="s">
        <v>2717</v>
      </c>
      <c r="E2528" s="132" t="s">
        <v>24</v>
      </c>
      <c r="F2528" s="97" t="str">
        <f ca="1">IF(OR(Market_Data[[#This Row],[Start Date]]="",Market_Data[[#This Row],[Completion Date]]=""),"Needs Validation",IF(Market_Data[[#This Row],[Start Date]]&gt;TODAY(),"Planned",IF(Market_Data[[#This Row],[Completion Date]]&lt;TODAY(),"Completed","Ongoing")))</f>
        <v>Ongoing</v>
      </c>
      <c r="G2528" s="324">
        <v>45027</v>
      </c>
      <c r="H2528" s="324">
        <v>46843</v>
      </c>
      <c r="I2528" s="325">
        <v>24400</v>
      </c>
      <c r="J252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28" s="133">
        <f>_xlfn.XLOOKUP(Market_Data[[#This Row],[Project Type]],tbl_assumptions_market[Project Category (RERA)],tbl_assumptions_market[Concrete Intensity
(m³ / sq m BUA)],"",0)</f>
        <v>0.45</v>
      </c>
      <c r="L2528" s="134">
        <f>ROUND(Market_Data[[#This Row],[Estimated Built Up Area (sq m)]]*Market_Data[[#This Row],[Concrete Intensity
(m³ / sq m)]],0)</f>
        <v>10980</v>
      </c>
      <c r="M2528" s="135">
        <f>_xlfn.XLOOKUP(Market_Data[[#This Row],[District]],tbl_district_price[District],tbl_district_price[Standard Price
(INR/m³)],"",0)</f>
        <v>6200</v>
      </c>
      <c r="N2528" s="364">
        <f>IF(OR(Market_Data[[#This Row],[Estimated Concrete Demand (m³)]]="",Market_Data[[#This Row],[Avg Price per (₹ / m³)]]=""),"",Market_Data[[#This Row],[Estimated Concrete Demand (m³)]]*Market_Data[[#This Row],[Avg Price per (₹ / m³)]]/10000000)</f>
        <v>6.8075999999999999</v>
      </c>
      <c r="O2528" s="97" t="str">
        <f>IF(Market_Data[[#This Row],[Estimated Concrete Demand (m³)]]="","",
IF(Market_Data[[#This Row],[Estimated Concrete Demand (m³)]]&lt;10000,"Small",
IF(Market_Data[[#This Row],[Estimated Concrete Demand (m³)]]&lt;25000,"Medium",
IF(Market_Data[[#This Row],[Estimated Concrete Demand (m³)]]&lt;100000,"Large","Mega"))))</f>
        <v>Medium</v>
      </c>
      <c r="P2528" s="287" t="str">
        <f t="shared" si="41"/>
        <v>GujRERA</v>
      </c>
    </row>
    <row r="2529" spans="1:16">
      <c r="A2529" s="129" t="str">
        <f>_xlfn.XLOOKUP(B2529,$S$9:$S$14,$T$9:$T$14)&amp;"-"&amp;
IF(E2529="Residential/Group Housing","RES",
IF(E2529="Commercial","COM",
IF(E2529="Mixed Development","MIX",
IF(E2529="Plotted Development","PLT","OTH"))))
&amp;"-"&amp;TEXT(COUNTIFS($B$9:B2529,B2529,$E$9:E2529,E2529),"0000")</f>
        <v>SUR-COM-0421</v>
      </c>
      <c r="B2529" s="322" t="s">
        <v>34</v>
      </c>
      <c r="C2529" s="322" t="s">
        <v>34</v>
      </c>
      <c r="D2529" s="323" t="s">
        <v>2718</v>
      </c>
      <c r="E2529" s="132" t="s">
        <v>23</v>
      </c>
      <c r="F2529" s="97" t="str">
        <f ca="1">IF(OR(Market_Data[[#This Row],[Start Date]]="",Market_Data[[#This Row],[Completion Date]]=""),"Needs Validation",IF(Market_Data[[#This Row],[Start Date]]&gt;TODAY(),"Planned",IF(Market_Data[[#This Row],[Completion Date]]&lt;TODAY(),"Completed","Ongoing")))</f>
        <v>Completed</v>
      </c>
      <c r="G2529" s="324">
        <v>42500</v>
      </c>
      <c r="H2529" s="324">
        <v>43555</v>
      </c>
      <c r="I2529" s="325">
        <v>9300</v>
      </c>
      <c r="J252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29" s="133">
        <f>_xlfn.XLOOKUP(Market_Data[[#This Row],[Project Type]],tbl_assumptions_market[Project Category (RERA)],tbl_assumptions_market[Concrete Intensity
(m³ / sq m BUA)],"",0)</f>
        <v>0.5</v>
      </c>
      <c r="L2529" s="134">
        <f>ROUND(Market_Data[[#This Row],[Estimated Built Up Area (sq m)]]*Market_Data[[#This Row],[Concrete Intensity
(m³ / sq m)]],0)</f>
        <v>4650</v>
      </c>
      <c r="M2529" s="135">
        <f>_xlfn.XLOOKUP(Market_Data[[#This Row],[District]],tbl_district_price[District],tbl_district_price[Standard Price
(INR/m³)],"",0)</f>
        <v>6200</v>
      </c>
      <c r="N2529" s="364">
        <f>IF(OR(Market_Data[[#This Row],[Estimated Concrete Demand (m³)]]="",Market_Data[[#This Row],[Avg Price per (₹ / m³)]]=""),"",Market_Data[[#This Row],[Estimated Concrete Demand (m³)]]*Market_Data[[#This Row],[Avg Price per (₹ / m³)]]/10000000)</f>
        <v>2.883</v>
      </c>
      <c r="O2529" s="97" t="str">
        <f>IF(Market_Data[[#This Row],[Estimated Concrete Demand (m³)]]="","",
IF(Market_Data[[#This Row],[Estimated Concrete Demand (m³)]]&lt;10000,"Small",
IF(Market_Data[[#This Row],[Estimated Concrete Demand (m³)]]&lt;25000,"Medium",
IF(Market_Data[[#This Row],[Estimated Concrete Demand (m³)]]&lt;100000,"Large","Mega"))))</f>
        <v>Small</v>
      </c>
      <c r="P2529" s="287" t="str">
        <f t="shared" si="41"/>
        <v>GujRERA</v>
      </c>
    </row>
    <row r="2530" spans="1:16">
      <c r="A2530" s="129" t="str">
        <f>_xlfn.XLOOKUP(B2530,$S$9:$S$14,$T$9:$T$14)&amp;"-"&amp;
IF(E2530="Residential/Group Housing","RES",
IF(E2530="Commercial","COM",
IF(E2530="Mixed Development","MIX",
IF(E2530="Plotted Development","PLT","OTH"))))
&amp;"-"&amp;TEXT(COUNTIFS($B$9:B2530,B2530,$E$9:E2530,E2530),"0000")</f>
        <v>SUR-RES-0876</v>
      </c>
      <c r="B2530" s="322" t="s">
        <v>34</v>
      </c>
      <c r="C2530" s="322" t="s">
        <v>34</v>
      </c>
      <c r="D2530" s="323" t="s">
        <v>2719</v>
      </c>
      <c r="E2530" s="132" t="s">
        <v>24</v>
      </c>
      <c r="F2530" s="97" t="str">
        <f ca="1">IF(OR(Market_Data[[#This Row],[Start Date]]="",Market_Data[[#This Row],[Completion Date]]=""),"Needs Validation",IF(Market_Data[[#This Row],[Start Date]]&gt;TODAY(),"Planned",IF(Market_Data[[#This Row],[Completion Date]]&lt;TODAY(),"Completed","Ongoing")))</f>
        <v>Ongoing</v>
      </c>
      <c r="G2530" s="324">
        <v>45497</v>
      </c>
      <c r="H2530" s="324">
        <v>47483</v>
      </c>
      <c r="I2530" s="325">
        <v>53800</v>
      </c>
      <c r="J253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30" s="133">
        <f>_xlfn.XLOOKUP(Market_Data[[#This Row],[Project Type]],tbl_assumptions_market[Project Category (RERA)],tbl_assumptions_market[Concrete Intensity
(m³ / sq m BUA)],"",0)</f>
        <v>0.45</v>
      </c>
      <c r="L2530" s="134">
        <f>ROUND(Market_Data[[#This Row],[Estimated Built Up Area (sq m)]]*Market_Data[[#This Row],[Concrete Intensity
(m³ / sq m)]],0)</f>
        <v>24210</v>
      </c>
      <c r="M2530" s="135">
        <f>_xlfn.XLOOKUP(Market_Data[[#This Row],[District]],tbl_district_price[District],tbl_district_price[Standard Price
(INR/m³)],"",0)</f>
        <v>6200</v>
      </c>
      <c r="N2530" s="364">
        <f>IF(OR(Market_Data[[#This Row],[Estimated Concrete Demand (m³)]]="",Market_Data[[#This Row],[Avg Price per (₹ / m³)]]=""),"",Market_Data[[#This Row],[Estimated Concrete Demand (m³)]]*Market_Data[[#This Row],[Avg Price per (₹ / m³)]]/10000000)</f>
        <v>15.010199999999999</v>
      </c>
      <c r="O2530" s="97" t="str">
        <f>IF(Market_Data[[#This Row],[Estimated Concrete Demand (m³)]]="","",
IF(Market_Data[[#This Row],[Estimated Concrete Demand (m³)]]&lt;10000,"Small",
IF(Market_Data[[#This Row],[Estimated Concrete Demand (m³)]]&lt;25000,"Medium",
IF(Market_Data[[#This Row],[Estimated Concrete Demand (m³)]]&lt;100000,"Large","Mega"))))</f>
        <v>Medium</v>
      </c>
      <c r="P2530" s="287" t="str">
        <f t="shared" si="41"/>
        <v>GujRERA</v>
      </c>
    </row>
    <row r="2531" spans="1:16">
      <c r="A2531" s="129" t="str">
        <f>_xlfn.XLOOKUP(B2531,$S$9:$S$14,$T$9:$T$14)&amp;"-"&amp;
IF(E2531="Residential/Group Housing","RES",
IF(E2531="Commercial","COM",
IF(E2531="Mixed Development","MIX",
IF(E2531="Plotted Development","PLT","OTH"))))
&amp;"-"&amp;TEXT(COUNTIFS($B$9:B2531,B2531,$E$9:E2531,E2531),"0000")</f>
        <v>SUR-COM-0422</v>
      </c>
      <c r="B2531" s="322" t="s">
        <v>34</v>
      </c>
      <c r="C2531" s="322" t="s">
        <v>34</v>
      </c>
      <c r="D2531" s="323" t="s">
        <v>2720</v>
      </c>
      <c r="E2531" s="132" t="s">
        <v>23</v>
      </c>
      <c r="F2531" s="97" t="str">
        <f ca="1">IF(OR(Market_Data[[#This Row],[Start Date]]="",Market_Data[[#This Row],[Completion Date]]=""),"Needs Validation",IF(Market_Data[[#This Row],[Start Date]]&gt;TODAY(),"Planned",IF(Market_Data[[#This Row],[Completion Date]]&lt;TODAY(),"Completed","Ongoing")))</f>
        <v>Ongoing</v>
      </c>
      <c r="G2531" s="324">
        <v>45909</v>
      </c>
      <c r="H2531" s="324">
        <v>47483</v>
      </c>
      <c r="I2531" s="325">
        <v>28300</v>
      </c>
      <c r="J253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531" s="133">
        <f>_xlfn.XLOOKUP(Market_Data[[#This Row],[Project Type]],tbl_assumptions_market[Project Category (RERA)],tbl_assumptions_market[Concrete Intensity
(m³ / sq m BUA)],"",0)</f>
        <v>0.5</v>
      </c>
      <c r="L2531" s="134">
        <f>ROUND(Market_Data[[#This Row],[Estimated Built Up Area (sq m)]]*Market_Data[[#This Row],[Concrete Intensity
(m³ / sq m)]],0)</f>
        <v>14150</v>
      </c>
      <c r="M2531" s="135">
        <f>_xlfn.XLOOKUP(Market_Data[[#This Row],[District]],tbl_district_price[District],tbl_district_price[Standard Price
(INR/m³)],"",0)</f>
        <v>6200</v>
      </c>
      <c r="N2531" s="364">
        <f>IF(OR(Market_Data[[#This Row],[Estimated Concrete Demand (m³)]]="",Market_Data[[#This Row],[Avg Price per (₹ / m³)]]=""),"",Market_Data[[#This Row],[Estimated Concrete Demand (m³)]]*Market_Data[[#This Row],[Avg Price per (₹ / m³)]]/10000000)</f>
        <v>8.7729999999999997</v>
      </c>
      <c r="O2531" s="97" t="str">
        <f>IF(Market_Data[[#This Row],[Estimated Concrete Demand (m³)]]="","",
IF(Market_Data[[#This Row],[Estimated Concrete Demand (m³)]]&lt;10000,"Small",
IF(Market_Data[[#This Row],[Estimated Concrete Demand (m³)]]&lt;25000,"Medium",
IF(Market_Data[[#This Row],[Estimated Concrete Demand (m³)]]&lt;100000,"Large","Mega"))))</f>
        <v>Medium</v>
      </c>
      <c r="P2531" s="287" t="str">
        <f t="shared" si="41"/>
        <v>GujRERA</v>
      </c>
    </row>
    <row r="2532" spans="1:16">
      <c r="A2532" s="129" t="str">
        <f>_xlfn.XLOOKUP(B2532,$S$9:$S$14,$T$9:$T$14)&amp;"-"&amp;
IF(E2532="Residential/Group Housing","RES",
IF(E2532="Commercial","COM",
IF(E2532="Mixed Development","MIX",
IF(E2532="Plotted Development","PLT","OTH"))))
&amp;"-"&amp;TEXT(COUNTIFS($B$9:B2532,B2532,$E$9:E2532,E2532),"0000")</f>
        <v>SUR-COM-0423</v>
      </c>
      <c r="B2532" s="322" t="s">
        <v>34</v>
      </c>
      <c r="C2532" s="322" t="s">
        <v>34</v>
      </c>
      <c r="D2532" s="323" t="s">
        <v>2721</v>
      </c>
      <c r="E2532" s="132" t="s">
        <v>23</v>
      </c>
      <c r="F2532" s="97" t="str">
        <f ca="1">IF(OR(Market_Data[[#This Row],[Start Date]]="",Market_Data[[#This Row],[Completion Date]]=""),"Needs Validation",IF(Market_Data[[#This Row],[Start Date]]&gt;TODAY(),"Planned",IF(Market_Data[[#This Row],[Completion Date]]&lt;TODAY(),"Completed","Ongoing")))</f>
        <v>Ongoing</v>
      </c>
      <c r="G2532" s="324">
        <v>43952</v>
      </c>
      <c r="H2532" s="324">
        <v>46477</v>
      </c>
      <c r="I2532" s="325">
        <v>19800</v>
      </c>
      <c r="J253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32" s="133">
        <f>_xlfn.XLOOKUP(Market_Data[[#This Row],[Project Type]],tbl_assumptions_market[Project Category (RERA)],tbl_assumptions_market[Concrete Intensity
(m³ / sq m BUA)],"",0)</f>
        <v>0.5</v>
      </c>
      <c r="L2532" s="134">
        <f>ROUND(Market_Data[[#This Row],[Estimated Built Up Area (sq m)]]*Market_Data[[#This Row],[Concrete Intensity
(m³ / sq m)]],0)</f>
        <v>9900</v>
      </c>
      <c r="M2532" s="135">
        <f>_xlfn.XLOOKUP(Market_Data[[#This Row],[District]],tbl_district_price[District],tbl_district_price[Standard Price
(INR/m³)],"",0)</f>
        <v>6200</v>
      </c>
      <c r="N2532" s="364">
        <f>IF(OR(Market_Data[[#This Row],[Estimated Concrete Demand (m³)]]="",Market_Data[[#This Row],[Avg Price per (₹ / m³)]]=""),"",Market_Data[[#This Row],[Estimated Concrete Demand (m³)]]*Market_Data[[#This Row],[Avg Price per (₹ / m³)]]/10000000)</f>
        <v>6.1379999999999999</v>
      </c>
      <c r="O2532" s="97" t="str">
        <f>IF(Market_Data[[#This Row],[Estimated Concrete Demand (m³)]]="","",
IF(Market_Data[[#This Row],[Estimated Concrete Demand (m³)]]&lt;10000,"Small",
IF(Market_Data[[#This Row],[Estimated Concrete Demand (m³)]]&lt;25000,"Medium",
IF(Market_Data[[#This Row],[Estimated Concrete Demand (m³)]]&lt;100000,"Large","Mega"))))</f>
        <v>Small</v>
      </c>
      <c r="P2532" s="287" t="str">
        <f t="shared" si="41"/>
        <v>GujRERA</v>
      </c>
    </row>
    <row r="2533" spans="1:16">
      <c r="A2533" s="129" t="str">
        <f>_xlfn.XLOOKUP(B2533,$S$9:$S$14,$T$9:$T$14)&amp;"-"&amp;
IF(E2533="Residential/Group Housing","RES",
IF(E2533="Commercial","COM",
IF(E2533="Mixed Development","MIX",
IF(E2533="Plotted Development","PLT","OTH"))))
&amp;"-"&amp;TEXT(COUNTIFS($B$9:B2533,B2533,$E$9:E2533,E2533),"0000")</f>
        <v>SUR-COM-0424</v>
      </c>
      <c r="B2533" s="322" t="s">
        <v>34</v>
      </c>
      <c r="C2533" s="322" t="s">
        <v>34</v>
      </c>
      <c r="D2533" s="323" t="s">
        <v>2722</v>
      </c>
      <c r="E2533" s="132" t="s">
        <v>23</v>
      </c>
      <c r="F2533" s="97" t="str">
        <f ca="1">IF(OR(Market_Data[[#This Row],[Start Date]]="",Market_Data[[#This Row],[Completion Date]]=""),"Needs Validation",IF(Market_Data[[#This Row],[Start Date]]&gt;TODAY(),"Planned",IF(Market_Data[[#This Row],[Completion Date]]&lt;TODAY(),"Completed","Ongoing")))</f>
        <v>Ongoing</v>
      </c>
      <c r="G2533" s="324">
        <v>44531</v>
      </c>
      <c r="H2533" s="324">
        <v>47483</v>
      </c>
      <c r="I2533" s="325">
        <v>55500</v>
      </c>
      <c r="J253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533" s="133">
        <f>_xlfn.XLOOKUP(Market_Data[[#This Row],[Project Type]],tbl_assumptions_market[Project Category (RERA)],tbl_assumptions_market[Concrete Intensity
(m³ / sq m BUA)],"",0)</f>
        <v>0.5</v>
      </c>
      <c r="L2533" s="134">
        <f>ROUND(Market_Data[[#This Row],[Estimated Built Up Area (sq m)]]*Market_Data[[#This Row],[Concrete Intensity
(m³ / sq m)]],0)</f>
        <v>27750</v>
      </c>
      <c r="M2533" s="135">
        <f>_xlfn.XLOOKUP(Market_Data[[#This Row],[District]],tbl_district_price[District],tbl_district_price[Standard Price
(INR/m³)],"",0)</f>
        <v>6200</v>
      </c>
      <c r="N2533" s="364">
        <f>IF(OR(Market_Data[[#This Row],[Estimated Concrete Demand (m³)]]="",Market_Data[[#This Row],[Avg Price per (₹ / m³)]]=""),"",Market_Data[[#This Row],[Estimated Concrete Demand (m³)]]*Market_Data[[#This Row],[Avg Price per (₹ / m³)]]/10000000)</f>
        <v>17.204999999999998</v>
      </c>
      <c r="O2533" s="97" t="str">
        <f>IF(Market_Data[[#This Row],[Estimated Concrete Demand (m³)]]="","",
IF(Market_Data[[#This Row],[Estimated Concrete Demand (m³)]]&lt;10000,"Small",
IF(Market_Data[[#This Row],[Estimated Concrete Demand (m³)]]&lt;25000,"Medium",
IF(Market_Data[[#This Row],[Estimated Concrete Demand (m³)]]&lt;100000,"Large","Mega"))))</f>
        <v>Large</v>
      </c>
      <c r="P2533" s="287" t="str">
        <f t="shared" si="41"/>
        <v>GujRERA</v>
      </c>
    </row>
    <row r="2534" spans="1:16">
      <c r="A2534" s="129" t="str">
        <f>_xlfn.XLOOKUP(B2534,$S$9:$S$14,$T$9:$T$14)&amp;"-"&amp;
IF(E2534="Residential/Group Housing","RES",
IF(E2534="Commercial","COM",
IF(E2534="Mixed Development","MIX",
IF(E2534="Plotted Development","PLT","OTH"))))
&amp;"-"&amp;TEXT(COUNTIFS($B$9:B2534,B2534,$E$9:E2534,E2534),"0000")</f>
        <v>SUR-COM-0425</v>
      </c>
      <c r="B2534" s="322" t="s">
        <v>34</v>
      </c>
      <c r="C2534" s="322" t="s">
        <v>34</v>
      </c>
      <c r="D2534" s="323" t="s">
        <v>2723</v>
      </c>
      <c r="E2534" s="132" t="s">
        <v>23</v>
      </c>
      <c r="F2534" s="97" t="str">
        <f ca="1">IF(OR(Market_Data[[#This Row],[Start Date]]="",Market_Data[[#This Row],[Completion Date]]=""),"Needs Validation",IF(Market_Data[[#This Row],[Start Date]]&gt;TODAY(),"Planned",IF(Market_Data[[#This Row],[Completion Date]]&lt;TODAY(),"Completed","Ongoing")))</f>
        <v>Completed</v>
      </c>
      <c r="G2534" s="324">
        <v>42422</v>
      </c>
      <c r="H2534" s="324">
        <v>43708</v>
      </c>
      <c r="I2534" s="325">
        <v>12000</v>
      </c>
      <c r="J253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34" s="133">
        <f>_xlfn.XLOOKUP(Market_Data[[#This Row],[Project Type]],tbl_assumptions_market[Project Category (RERA)],tbl_assumptions_market[Concrete Intensity
(m³ / sq m BUA)],"",0)</f>
        <v>0.5</v>
      </c>
      <c r="L2534" s="134">
        <f>ROUND(Market_Data[[#This Row],[Estimated Built Up Area (sq m)]]*Market_Data[[#This Row],[Concrete Intensity
(m³ / sq m)]],0)</f>
        <v>6000</v>
      </c>
      <c r="M2534" s="135">
        <f>_xlfn.XLOOKUP(Market_Data[[#This Row],[District]],tbl_district_price[District],tbl_district_price[Standard Price
(INR/m³)],"",0)</f>
        <v>6200</v>
      </c>
      <c r="N2534" s="364">
        <f>IF(OR(Market_Data[[#This Row],[Estimated Concrete Demand (m³)]]="",Market_Data[[#This Row],[Avg Price per (₹ / m³)]]=""),"",Market_Data[[#This Row],[Estimated Concrete Demand (m³)]]*Market_Data[[#This Row],[Avg Price per (₹ / m³)]]/10000000)</f>
        <v>3.72</v>
      </c>
      <c r="O2534" s="97" t="str">
        <f>IF(Market_Data[[#This Row],[Estimated Concrete Demand (m³)]]="","",
IF(Market_Data[[#This Row],[Estimated Concrete Demand (m³)]]&lt;10000,"Small",
IF(Market_Data[[#This Row],[Estimated Concrete Demand (m³)]]&lt;25000,"Medium",
IF(Market_Data[[#This Row],[Estimated Concrete Demand (m³)]]&lt;100000,"Large","Mega"))))</f>
        <v>Small</v>
      </c>
      <c r="P2534" s="287" t="str">
        <f t="shared" si="41"/>
        <v>GujRERA</v>
      </c>
    </row>
    <row r="2535" spans="1:16">
      <c r="A2535" s="129" t="str">
        <f>_xlfn.XLOOKUP(B2535,$S$9:$S$14,$T$9:$T$14)&amp;"-"&amp;
IF(E2535="Residential/Group Housing","RES",
IF(E2535="Commercial","COM",
IF(E2535="Mixed Development","MIX",
IF(E2535="Plotted Development","PLT","OTH"))))
&amp;"-"&amp;TEXT(COUNTIFS($B$9:B2535,B2535,$E$9:E2535,E2535),"0000")</f>
        <v>SUR-COM-0426</v>
      </c>
      <c r="B2535" s="322" t="s">
        <v>34</v>
      </c>
      <c r="C2535" s="322" t="s">
        <v>34</v>
      </c>
      <c r="D2535" s="323" t="s">
        <v>2724</v>
      </c>
      <c r="E2535" s="132" t="s">
        <v>23</v>
      </c>
      <c r="F2535" s="97" t="str">
        <f ca="1">IF(OR(Market_Data[[#This Row],[Start Date]]="",Market_Data[[#This Row],[Completion Date]]=""),"Needs Validation",IF(Market_Data[[#This Row],[Start Date]]&gt;TODAY(),"Planned",IF(Market_Data[[#This Row],[Completion Date]]&lt;TODAY(),"Completed","Ongoing")))</f>
        <v>Ongoing</v>
      </c>
      <c r="G2535" s="324">
        <v>45493</v>
      </c>
      <c r="H2535" s="324">
        <v>47483</v>
      </c>
      <c r="I2535" s="325">
        <v>4200</v>
      </c>
      <c r="J253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35" s="133">
        <f>_xlfn.XLOOKUP(Market_Data[[#This Row],[Project Type]],tbl_assumptions_market[Project Category (RERA)],tbl_assumptions_market[Concrete Intensity
(m³ / sq m BUA)],"",0)</f>
        <v>0.5</v>
      </c>
      <c r="L2535" s="134">
        <f>ROUND(Market_Data[[#This Row],[Estimated Built Up Area (sq m)]]*Market_Data[[#This Row],[Concrete Intensity
(m³ / sq m)]],0)</f>
        <v>2100</v>
      </c>
      <c r="M2535" s="135">
        <f>_xlfn.XLOOKUP(Market_Data[[#This Row],[District]],tbl_district_price[District],tbl_district_price[Standard Price
(INR/m³)],"",0)</f>
        <v>6200</v>
      </c>
      <c r="N2535" s="364">
        <f>IF(OR(Market_Data[[#This Row],[Estimated Concrete Demand (m³)]]="",Market_Data[[#This Row],[Avg Price per (₹ / m³)]]=""),"",Market_Data[[#This Row],[Estimated Concrete Demand (m³)]]*Market_Data[[#This Row],[Avg Price per (₹ / m³)]]/10000000)</f>
        <v>1.302</v>
      </c>
      <c r="O2535" s="97" t="str">
        <f>IF(Market_Data[[#This Row],[Estimated Concrete Demand (m³)]]="","",
IF(Market_Data[[#This Row],[Estimated Concrete Demand (m³)]]&lt;10000,"Small",
IF(Market_Data[[#This Row],[Estimated Concrete Demand (m³)]]&lt;25000,"Medium",
IF(Market_Data[[#This Row],[Estimated Concrete Demand (m³)]]&lt;100000,"Large","Mega"))))</f>
        <v>Small</v>
      </c>
      <c r="P2535" s="287" t="str">
        <f t="shared" si="41"/>
        <v>GujRERA</v>
      </c>
    </row>
    <row r="2536" spans="1:16" ht="24">
      <c r="A2536" s="129" t="str">
        <f>_xlfn.XLOOKUP(B2536,$S$9:$S$14,$T$9:$T$14)&amp;"-"&amp;
IF(E2536="Residential/Group Housing","RES",
IF(E2536="Commercial","COM",
IF(E2536="Mixed Development","MIX",
IF(E2536="Plotted Development","PLT","OTH"))))
&amp;"-"&amp;TEXT(COUNTIFS($B$9:B2536,B2536,$E$9:E2536,E2536),"0000")</f>
        <v>SUR-MIX-0455</v>
      </c>
      <c r="B2536" s="322" t="s">
        <v>34</v>
      </c>
      <c r="C2536" s="322" t="s">
        <v>34</v>
      </c>
      <c r="D2536" s="323" t="s">
        <v>2725</v>
      </c>
      <c r="E2536" s="132" t="s">
        <v>25</v>
      </c>
      <c r="F2536" s="97" t="str">
        <f ca="1">IF(OR(Market_Data[[#This Row],[Start Date]]="",Market_Data[[#This Row],[Completion Date]]=""),"Needs Validation",IF(Market_Data[[#This Row],[Start Date]]&gt;TODAY(),"Planned",IF(Market_Data[[#This Row],[Completion Date]]&lt;TODAY(),"Completed","Ongoing")))</f>
        <v>Ongoing</v>
      </c>
      <c r="G2536" s="324">
        <v>44180</v>
      </c>
      <c r="H2536" s="324">
        <v>46371</v>
      </c>
      <c r="I2536" s="325">
        <v>26000</v>
      </c>
      <c r="J253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36" s="133">
        <f>_xlfn.XLOOKUP(Market_Data[[#This Row],[Project Type]],tbl_assumptions_market[Project Category (RERA)],tbl_assumptions_market[Concrete Intensity
(m³ / sq m BUA)],"",0)</f>
        <v>0.42</v>
      </c>
      <c r="L2536" s="134">
        <f>ROUND(Market_Data[[#This Row],[Estimated Built Up Area (sq m)]]*Market_Data[[#This Row],[Concrete Intensity
(m³ / sq m)]],0)</f>
        <v>10920</v>
      </c>
      <c r="M2536" s="135">
        <f>_xlfn.XLOOKUP(Market_Data[[#This Row],[District]],tbl_district_price[District],tbl_district_price[Standard Price
(INR/m³)],"",0)</f>
        <v>6200</v>
      </c>
      <c r="N2536" s="364">
        <f>IF(OR(Market_Data[[#This Row],[Estimated Concrete Demand (m³)]]="",Market_Data[[#This Row],[Avg Price per (₹ / m³)]]=""),"",Market_Data[[#This Row],[Estimated Concrete Demand (m³)]]*Market_Data[[#This Row],[Avg Price per (₹ / m³)]]/10000000)</f>
        <v>6.7704000000000004</v>
      </c>
      <c r="O2536" s="97" t="str">
        <f>IF(Market_Data[[#This Row],[Estimated Concrete Demand (m³)]]="","",
IF(Market_Data[[#This Row],[Estimated Concrete Demand (m³)]]&lt;10000,"Small",
IF(Market_Data[[#This Row],[Estimated Concrete Demand (m³)]]&lt;25000,"Medium",
IF(Market_Data[[#This Row],[Estimated Concrete Demand (m³)]]&lt;100000,"Large","Mega"))))</f>
        <v>Medium</v>
      </c>
      <c r="P2536" s="287" t="str">
        <f t="shared" si="41"/>
        <v>GujRERA</v>
      </c>
    </row>
    <row r="2537" spans="1:16">
      <c r="A2537" s="129" t="str">
        <f>_xlfn.XLOOKUP(B2537,$S$9:$S$14,$T$9:$T$14)&amp;"-"&amp;
IF(E2537="Residential/Group Housing","RES",
IF(E2537="Commercial","COM",
IF(E2537="Mixed Development","MIX",
IF(E2537="Plotted Development","PLT","OTH"))))
&amp;"-"&amp;TEXT(COUNTIFS($B$9:B2537,B2537,$E$9:E2537,E2537),"0000")</f>
        <v>SUR-PLT-0462</v>
      </c>
      <c r="B2537" s="322" t="s">
        <v>34</v>
      </c>
      <c r="C2537" s="322" t="s">
        <v>34</v>
      </c>
      <c r="D2537" s="323" t="s">
        <v>2726</v>
      </c>
      <c r="E2537" s="132" t="s">
        <v>26</v>
      </c>
      <c r="F2537" s="97" t="str">
        <f ca="1">IF(OR(Market_Data[[#This Row],[Start Date]]="",Market_Data[[#This Row],[Completion Date]]=""),"Needs Validation",IF(Market_Data[[#This Row],[Start Date]]&gt;TODAY(),"Planned",IF(Market_Data[[#This Row],[Completion Date]]&lt;TODAY(),"Completed","Ongoing")))</f>
        <v>Completed</v>
      </c>
      <c r="G2537" s="324">
        <v>44761</v>
      </c>
      <c r="H2537" s="324">
        <v>46022</v>
      </c>
      <c r="I2537" s="325">
        <v>17600</v>
      </c>
      <c r="J253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37" s="133">
        <f>_xlfn.XLOOKUP(Market_Data[[#This Row],[Project Type]],tbl_assumptions_market[Project Category (RERA)],tbl_assumptions_market[Concrete Intensity
(m³ / sq m BUA)],"",0)</f>
        <v>0.18</v>
      </c>
      <c r="L2537" s="134">
        <f>ROUND(Market_Data[[#This Row],[Estimated Built Up Area (sq m)]]*Market_Data[[#This Row],[Concrete Intensity
(m³ / sq m)]],0)</f>
        <v>3168</v>
      </c>
      <c r="M2537" s="135">
        <f>_xlfn.XLOOKUP(Market_Data[[#This Row],[District]],tbl_district_price[District],tbl_district_price[Standard Price
(INR/m³)],"",0)</f>
        <v>6200</v>
      </c>
      <c r="N2537" s="364">
        <f>IF(OR(Market_Data[[#This Row],[Estimated Concrete Demand (m³)]]="",Market_Data[[#This Row],[Avg Price per (₹ / m³)]]=""),"",Market_Data[[#This Row],[Estimated Concrete Demand (m³)]]*Market_Data[[#This Row],[Avg Price per (₹ / m³)]]/10000000)</f>
        <v>1.9641599999999999</v>
      </c>
      <c r="O2537" s="97" t="str">
        <f>IF(Market_Data[[#This Row],[Estimated Concrete Demand (m³)]]="","",
IF(Market_Data[[#This Row],[Estimated Concrete Demand (m³)]]&lt;10000,"Small",
IF(Market_Data[[#This Row],[Estimated Concrete Demand (m³)]]&lt;25000,"Medium",
IF(Market_Data[[#This Row],[Estimated Concrete Demand (m³)]]&lt;100000,"Large","Mega"))))</f>
        <v>Small</v>
      </c>
      <c r="P2537" s="287" t="str">
        <f t="shared" si="41"/>
        <v>GujRERA</v>
      </c>
    </row>
    <row r="2538" spans="1:16">
      <c r="A2538" s="129" t="str">
        <f>_xlfn.XLOOKUP(B2538,$S$9:$S$14,$T$9:$T$14)&amp;"-"&amp;
IF(E2538="Residential/Group Housing","RES",
IF(E2538="Commercial","COM",
IF(E2538="Mixed Development","MIX",
IF(E2538="Plotted Development","PLT","OTH"))))
&amp;"-"&amp;TEXT(COUNTIFS($B$9:B2538,B2538,$E$9:E2538,E2538),"0000")</f>
        <v>SUR-RES-0877</v>
      </c>
      <c r="B2538" s="322" t="s">
        <v>34</v>
      </c>
      <c r="C2538" s="322" t="s">
        <v>34</v>
      </c>
      <c r="D2538" s="323" t="s">
        <v>2727</v>
      </c>
      <c r="E2538" s="132" t="s">
        <v>24</v>
      </c>
      <c r="F2538" s="97" t="str">
        <f ca="1">IF(OR(Market_Data[[#This Row],[Start Date]]="",Market_Data[[#This Row],[Completion Date]]=""),"Needs Validation",IF(Market_Data[[#This Row],[Start Date]]&gt;TODAY(),"Planned",IF(Market_Data[[#This Row],[Completion Date]]&lt;TODAY(),"Completed","Ongoing")))</f>
        <v>Completed</v>
      </c>
      <c r="G2538" s="324">
        <v>43525</v>
      </c>
      <c r="H2538" s="324">
        <v>45838</v>
      </c>
      <c r="I2538" s="325">
        <v>46300</v>
      </c>
      <c r="J253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38" s="133">
        <f>_xlfn.XLOOKUP(Market_Data[[#This Row],[Project Type]],tbl_assumptions_market[Project Category (RERA)],tbl_assumptions_market[Concrete Intensity
(m³ / sq m BUA)],"",0)</f>
        <v>0.45</v>
      </c>
      <c r="L2538" s="134">
        <f>ROUND(Market_Data[[#This Row],[Estimated Built Up Area (sq m)]]*Market_Data[[#This Row],[Concrete Intensity
(m³ / sq m)]],0)</f>
        <v>20835</v>
      </c>
      <c r="M2538" s="135">
        <f>_xlfn.XLOOKUP(Market_Data[[#This Row],[District]],tbl_district_price[District],tbl_district_price[Standard Price
(INR/m³)],"",0)</f>
        <v>6200</v>
      </c>
      <c r="N2538" s="364">
        <f>IF(OR(Market_Data[[#This Row],[Estimated Concrete Demand (m³)]]="",Market_Data[[#This Row],[Avg Price per (₹ / m³)]]=""),"",Market_Data[[#This Row],[Estimated Concrete Demand (m³)]]*Market_Data[[#This Row],[Avg Price per (₹ / m³)]]/10000000)</f>
        <v>12.9177</v>
      </c>
      <c r="O2538" s="97" t="str">
        <f>IF(Market_Data[[#This Row],[Estimated Concrete Demand (m³)]]="","",
IF(Market_Data[[#This Row],[Estimated Concrete Demand (m³)]]&lt;10000,"Small",
IF(Market_Data[[#This Row],[Estimated Concrete Demand (m³)]]&lt;25000,"Medium",
IF(Market_Data[[#This Row],[Estimated Concrete Demand (m³)]]&lt;100000,"Large","Mega"))))</f>
        <v>Medium</v>
      </c>
      <c r="P2538" s="287" t="str">
        <f t="shared" si="41"/>
        <v>GujRERA</v>
      </c>
    </row>
    <row r="2539" spans="1:16">
      <c r="A2539" s="129" t="str">
        <f>_xlfn.XLOOKUP(B2539,$S$9:$S$14,$T$9:$T$14)&amp;"-"&amp;
IF(E2539="Residential/Group Housing","RES",
IF(E2539="Commercial","COM",
IF(E2539="Mixed Development","MIX",
IF(E2539="Plotted Development","PLT","OTH"))))
&amp;"-"&amp;TEXT(COUNTIFS($B$9:B2539,B2539,$E$9:E2539,E2539),"0000")</f>
        <v>SUR-RES-0878</v>
      </c>
      <c r="B2539" s="322" t="s">
        <v>34</v>
      </c>
      <c r="C2539" s="322" t="s">
        <v>34</v>
      </c>
      <c r="D2539" s="323" t="s">
        <v>2728</v>
      </c>
      <c r="E2539" s="132" t="s">
        <v>24</v>
      </c>
      <c r="F2539" s="97" t="str">
        <f ca="1">IF(OR(Market_Data[[#This Row],[Start Date]]="",Market_Data[[#This Row],[Completion Date]]=""),"Needs Validation",IF(Market_Data[[#This Row],[Start Date]]&gt;TODAY(),"Planned",IF(Market_Data[[#This Row],[Completion Date]]&lt;TODAY(),"Completed","Ongoing")))</f>
        <v>Completed</v>
      </c>
      <c r="G2539" s="324">
        <v>42383</v>
      </c>
      <c r="H2539" s="324">
        <v>45107</v>
      </c>
      <c r="I2539" s="325">
        <v>15900</v>
      </c>
      <c r="J253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39" s="133">
        <f>_xlfn.XLOOKUP(Market_Data[[#This Row],[Project Type]],tbl_assumptions_market[Project Category (RERA)],tbl_assumptions_market[Concrete Intensity
(m³ / sq m BUA)],"",0)</f>
        <v>0.45</v>
      </c>
      <c r="L2539" s="134">
        <f>ROUND(Market_Data[[#This Row],[Estimated Built Up Area (sq m)]]*Market_Data[[#This Row],[Concrete Intensity
(m³ / sq m)]],0)</f>
        <v>7155</v>
      </c>
      <c r="M2539" s="135">
        <f>_xlfn.XLOOKUP(Market_Data[[#This Row],[District]],tbl_district_price[District],tbl_district_price[Standard Price
(INR/m³)],"",0)</f>
        <v>6200</v>
      </c>
      <c r="N2539" s="364">
        <f>IF(OR(Market_Data[[#This Row],[Estimated Concrete Demand (m³)]]="",Market_Data[[#This Row],[Avg Price per (₹ / m³)]]=""),"",Market_Data[[#This Row],[Estimated Concrete Demand (m³)]]*Market_Data[[#This Row],[Avg Price per (₹ / m³)]]/10000000)</f>
        <v>4.4360999999999997</v>
      </c>
      <c r="O2539" s="97" t="str">
        <f>IF(Market_Data[[#This Row],[Estimated Concrete Demand (m³)]]="","",
IF(Market_Data[[#This Row],[Estimated Concrete Demand (m³)]]&lt;10000,"Small",
IF(Market_Data[[#This Row],[Estimated Concrete Demand (m³)]]&lt;25000,"Medium",
IF(Market_Data[[#This Row],[Estimated Concrete Demand (m³)]]&lt;100000,"Large","Mega"))))</f>
        <v>Small</v>
      </c>
      <c r="P2539" s="287" t="str">
        <f t="shared" si="41"/>
        <v>GujRERA</v>
      </c>
    </row>
    <row r="2540" spans="1:16">
      <c r="A2540" s="129" t="str">
        <f>_xlfn.XLOOKUP(B2540,$S$9:$S$14,$T$9:$T$14)&amp;"-"&amp;
IF(E2540="Residential/Group Housing","RES",
IF(E2540="Commercial","COM",
IF(E2540="Mixed Development","MIX",
IF(E2540="Plotted Development","PLT","OTH"))))
&amp;"-"&amp;TEXT(COUNTIFS($B$9:B2540,B2540,$E$9:E2540,E2540),"0000")</f>
        <v>SUR-COM-0427</v>
      </c>
      <c r="B2540" s="322" t="s">
        <v>34</v>
      </c>
      <c r="C2540" s="322" t="s">
        <v>34</v>
      </c>
      <c r="D2540" s="323" t="s">
        <v>2729</v>
      </c>
      <c r="E2540" s="132" t="s">
        <v>23</v>
      </c>
      <c r="F2540" s="97" t="str">
        <f ca="1">IF(OR(Market_Data[[#This Row],[Start Date]]="",Market_Data[[#This Row],[Completion Date]]=""),"Needs Validation",IF(Market_Data[[#This Row],[Start Date]]&gt;TODAY(),"Planned",IF(Market_Data[[#This Row],[Completion Date]]&lt;TODAY(),"Completed","Ongoing")))</f>
        <v>Completed</v>
      </c>
      <c r="G2540" s="324">
        <v>42594</v>
      </c>
      <c r="H2540" s="324">
        <v>44104</v>
      </c>
      <c r="I2540" s="325">
        <v>14700</v>
      </c>
      <c r="J254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40" s="133">
        <f>_xlfn.XLOOKUP(Market_Data[[#This Row],[Project Type]],tbl_assumptions_market[Project Category (RERA)],tbl_assumptions_market[Concrete Intensity
(m³ / sq m BUA)],"",0)</f>
        <v>0.5</v>
      </c>
      <c r="L2540" s="134">
        <f>ROUND(Market_Data[[#This Row],[Estimated Built Up Area (sq m)]]*Market_Data[[#This Row],[Concrete Intensity
(m³ / sq m)]],0)</f>
        <v>7350</v>
      </c>
      <c r="M2540" s="135">
        <f>_xlfn.XLOOKUP(Market_Data[[#This Row],[District]],tbl_district_price[District],tbl_district_price[Standard Price
(INR/m³)],"",0)</f>
        <v>6200</v>
      </c>
      <c r="N2540" s="364">
        <f>IF(OR(Market_Data[[#This Row],[Estimated Concrete Demand (m³)]]="",Market_Data[[#This Row],[Avg Price per (₹ / m³)]]=""),"",Market_Data[[#This Row],[Estimated Concrete Demand (m³)]]*Market_Data[[#This Row],[Avg Price per (₹ / m³)]]/10000000)</f>
        <v>4.5570000000000004</v>
      </c>
      <c r="O2540" s="97" t="str">
        <f>IF(Market_Data[[#This Row],[Estimated Concrete Demand (m³)]]="","",
IF(Market_Data[[#This Row],[Estimated Concrete Demand (m³)]]&lt;10000,"Small",
IF(Market_Data[[#This Row],[Estimated Concrete Demand (m³)]]&lt;25000,"Medium",
IF(Market_Data[[#This Row],[Estimated Concrete Demand (m³)]]&lt;100000,"Large","Mega"))))</f>
        <v>Small</v>
      </c>
      <c r="P2540" s="287" t="str">
        <f t="shared" si="41"/>
        <v>GujRERA</v>
      </c>
    </row>
    <row r="2541" spans="1:16">
      <c r="A2541" s="129" t="str">
        <f>_xlfn.XLOOKUP(B2541,$S$9:$S$14,$T$9:$T$14)&amp;"-"&amp;
IF(E2541="Residential/Group Housing","RES",
IF(E2541="Commercial","COM",
IF(E2541="Mixed Development","MIX",
IF(E2541="Plotted Development","PLT","OTH"))))
&amp;"-"&amp;TEXT(COUNTIFS($B$9:B2541,B2541,$E$9:E2541,E2541),"0000")</f>
        <v>SUR-COM-0428</v>
      </c>
      <c r="B2541" s="322" t="s">
        <v>34</v>
      </c>
      <c r="C2541" s="322" t="s">
        <v>34</v>
      </c>
      <c r="D2541" s="323" t="s">
        <v>2730</v>
      </c>
      <c r="E2541" s="132" t="s">
        <v>23</v>
      </c>
      <c r="F2541" s="97" t="str">
        <f ca="1">IF(OR(Market_Data[[#This Row],[Start Date]]="",Market_Data[[#This Row],[Completion Date]]=""),"Needs Validation",IF(Market_Data[[#This Row],[Start Date]]&gt;TODAY(),"Planned",IF(Market_Data[[#This Row],[Completion Date]]&lt;TODAY(),"Completed","Ongoing")))</f>
        <v>Completed</v>
      </c>
      <c r="G2541" s="324">
        <v>42789</v>
      </c>
      <c r="H2541" s="324">
        <v>44104</v>
      </c>
      <c r="I2541" s="325">
        <v>40600</v>
      </c>
      <c r="J254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541" s="133">
        <f>_xlfn.XLOOKUP(Market_Data[[#This Row],[Project Type]],tbl_assumptions_market[Project Category (RERA)],tbl_assumptions_market[Concrete Intensity
(m³ / sq m BUA)],"",0)</f>
        <v>0.5</v>
      </c>
      <c r="L2541" s="134">
        <f>ROUND(Market_Data[[#This Row],[Estimated Built Up Area (sq m)]]*Market_Data[[#This Row],[Concrete Intensity
(m³ / sq m)]],0)</f>
        <v>20300</v>
      </c>
      <c r="M2541" s="135">
        <f>_xlfn.XLOOKUP(Market_Data[[#This Row],[District]],tbl_district_price[District],tbl_district_price[Standard Price
(INR/m³)],"",0)</f>
        <v>6200</v>
      </c>
      <c r="N2541" s="364">
        <f>IF(OR(Market_Data[[#This Row],[Estimated Concrete Demand (m³)]]="",Market_Data[[#This Row],[Avg Price per (₹ / m³)]]=""),"",Market_Data[[#This Row],[Estimated Concrete Demand (m³)]]*Market_Data[[#This Row],[Avg Price per (₹ / m³)]]/10000000)</f>
        <v>12.586</v>
      </c>
      <c r="O2541" s="97" t="str">
        <f>IF(Market_Data[[#This Row],[Estimated Concrete Demand (m³)]]="","",
IF(Market_Data[[#This Row],[Estimated Concrete Demand (m³)]]&lt;10000,"Small",
IF(Market_Data[[#This Row],[Estimated Concrete Demand (m³)]]&lt;25000,"Medium",
IF(Market_Data[[#This Row],[Estimated Concrete Demand (m³)]]&lt;100000,"Large","Mega"))))</f>
        <v>Medium</v>
      </c>
      <c r="P2541" s="287" t="str">
        <f t="shared" si="41"/>
        <v>GujRERA</v>
      </c>
    </row>
    <row r="2542" spans="1:16">
      <c r="A2542" s="129" t="str">
        <f>_xlfn.XLOOKUP(B2542,$S$9:$S$14,$T$9:$T$14)&amp;"-"&amp;
IF(E2542="Residential/Group Housing","RES",
IF(E2542="Commercial","COM",
IF(E2542="Mixed Development","MIX",
IF(E2542="Plotted Development","PLT","OTH"))))
&amp;"-"&amp;TEXT(COUNTIFS($B$9:B2542,B2542,$E$9:E2542,E2542),"0000")</f>
        <v>SUR-COM-0429</v>
      </c>
      <c r="B2542" s="322" t="s">
        <v>34</v>
      </c>
      <c r="C2542" s="322" t="s">
        <v>34</v>
      </c>
      <c r="D2542" s="323" t="s">
        <v>2731</v>
      </c>
      <c r="E2542" s="132" t="s">
        <v>23</v>
      </c>
      <c r="F2542" s="97" t="str">
        <f ca="1">IF(OR(Market_Data[[#This Row],[Start Date]]="",Market_Data[[#This Row],[Completion Date]]=""),"Needs Validation",IF(Market_Data[[#This Row],[Start Date]]&gt;TODAY(),"Planned",IF(Market_Data[[#This Row],[Completion Date]]&lt;TODAY(),"Completed","Ongoing")))</f>
        <v>Ongoing</v>
      </c>
      <c r="G2542" s="324">
        <v>45321</v>
      </c>
      <c r="H2542" s="324">
        <v>47118</v>
      </c>
      <c r="I2542" s="325">
        <v>20200</v>
      </c>
      <c r="J254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542" s="133">
        <f>_xlfn.XLOOKUP(Market_Data[[#This Row],[Project Type]],tbl_assumptions_market[Project Category (RERA)],tbl_assumptions_market[Concrete Intensity
(m³ / sq m BUA)],"",0)</f>
        <v>0.5</v>
      </c>
      <c r="L2542" s="134">
        <f>ROUND(Market_Data[[#This Row],[Estimated Built Up Area (sq m)]]*Market_Data[[#This Row],[Concrete Intensity
(m³ / sq m)]],0)</f>
        <v>10100</v>
      </c>
      <c r="M2542" s="135">
        <f>_xlfn.XLOOKUP(Market_Data[[#This Row],[District]],tbl_district_price[District],tbl_district_price[Standard Price
(INR/m³)],"",0)</f>
        <v>6200</v>
      </c>
      <c r="N2542" s="364">
        <f>IF(OR(Market_Data[[#This Row],[Estimated Concrete Demand (m³)]]="",Market_Data[[#This Row],[Avg Price per (₹ / m³)]]=""),"",Market_Data[[#This Row],[Estimated Concrete Demand (m³)]]*Market_Data[[#This Row],[Avg Price per (₹ / m³)]]/10000000)</f>
        <v>6.2619999999999996</v>
      </c>
      <c r="O2542" s="97" t="str">
        <f>IF(Market_Data[[#This Row],[Estimated Concrete Demand (m³)]]="","",
IF(Market_Data[[#This Row],[Estimated Concrete Demand (m³)]]&lt;10000,"Small",
IF(Market_Data[[#This Row],[Estimated Concrete Demand (m³)]]&lt;25000,"Medium",
IF(Market_Data[[#This Row],[Estimated Concrete Demand (m³)]]&lt;100000,"Large","Mega"))))</f>
        <v>Medium</v>
      </c>
      <c r="P2542" s="287" t="str">
        <f t="shared" si="41"/>
        <v>GujRERA</v>
      </c>
    </row>
    <row r="2543" spans="1:16">
      <c r="A2543" s="129" t="str">
        <f>_xlfn.XLOOKUP(B2543,$S$9:$S$14,$T$9:$T$14)&amp;"-"&amp;
IF(E2543="Residential/Group Housing","RES",
IF(E2543="Commercial","COM",
IF(E2543="Mixed Development","MIX",
IF(E2543="Plotted Development","PLT","OTH"))))
&amp;"-"&amp;TEXT(COUNTIFS($B$9:B2543,B2543,$E$9:E2543,E2543),"0000")</f>
        <v>SUR-PLT-0463</v>
      </c>
      <c r="B2543" s="322" t="s">
        <v>34</v>
      </c>
      <c r="C2543" s="322" t="s">
        <v>34</v>
      </c>
      <c r="D2543" s="323" t="s">
        <v>2732</v>
      </c>
      <c r="E2543" s="132" t="s">
        <v>26</v>
      </c>
      <c r="F2543" s="97" t="str">
        <f ca="1">IF(OR(Market_Data[[#This Row],[Start Date]]="",Market_Data[[#This Row],[Completion Date]]=""),"Needs Validation",IF(Market_Data[[#This Row],[Start Date]]&gt;TODAY(),"Planned",IF(Market_Data[[#This Row],[Completion Date]]&lt;TODAY(),"Completed","Ongoing")))</f>
        <v>Completed</v>
      </c>
      <c r="G2543" s="324">
        <v>43496</v>
      </c>
      <c r="H2543" s="324">
        <v>46203</v>
      </c>
      <c r="I2543" s="325">
        <v>14200</v>
      </c>
      <c r="J254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43" s="133">
        <f>_xlfn.XLOOKUP(Market_Data[[#This Row],[Project Type]],tbl_assumptions_market[Project Category (RERA)],tbl_assumptions_market[Concrete Intensity
(m³ / sq m BUA)],"",0)</f>
        <v>0.18</v>
      </c>
      <c r="L2543" s="134">
        <f>ROUND(Market_Data[[#This Row],[Estimated Built Up Area (sq m)]]*Market_Data[[#This Row],[Concrete Intensity
(m³ / sq m)]],0)</f>
        <v>2556</v>
      </c>
      <c r="M2543" s="135">
        <f>_xlfn.XLOOKUP(Market_Data[[#This Row],[District]],tbl_district_price[District],tbl_district_price[Standard Price
(INR/m³)],"",0)</f>
        <v>6200</v>
      </c>
      <c r="N2543" s="364">
        <f>IF(OR(Market_Data[[#This Row],[Estimated Concrete Demand (m³)]]="",Market_Data[[#This Row],[Avg Price per (₹ / m³)]]=""),"",Market_Data[[#This Row],[Estimated Concrete Demand (m³)]]*Market_Data[[#This Row],[Avg Price per (₹ / m³)]]/10000000)</f>
        <v>1.5847199999999999</v>
      </c>
      <c r="O2543" s="97" t="str">
        <f>IF(Market_Data[[#This Row],[Estimated Concrete Demand (m³)]]="","",
IF(Market_Data[[#This Row],[Estimated Concrete Demand (m³)]]&lt;10000,"Small",
IF(Market_Data[[#This Row],[Estimated Concrete Demand (m³)]]&lt;25000,"Medium",
IF(Market_Data[[#This Row],[Estimated Concrete Demand (m³)]]&lt;100000,"Large","Mega"))))</f>
        <v>Small</v>
      </c>
      <c r="P2543" s="287" t="str">
        <f t="shared" si="41"/>
        <v>GujRERA</v>
      </c>
    </row>
    <row r="2544" spans="1:16">
      <c r="A2544" s="129" t="str">
        <f>_xlfn.XLOOKUP(B2544,$S$9:$S$14,$T$9:$T$14)&amp;"-"&amp;
IF(E2544="Residential/Group Housing","RES",
IF(E2544="Commercial","COM",
IF(E2544="Mixed Development","MIX",
IF(E2544="Plotted Development","PLT","OTH"))))
&amp;"-"&amp;TEXT(COUNTIFS($B$9:B2544,B2544,$E$9:E2544,E2544),"0000")</f>
        <v>SUR-MIX-0456</v>
      </c>
      <c r="B2544" s="322" t="s">
        <v>34</v>
      </c>
      <c r="C2544" s="322" t="s">
        <v>34</v>
      </c>
      <c r="D2544" s="323" t="s">
        <v>2733</v>
      </c>
      <c r="E2544" s="132" t="s">
        <v>25</v>
      </c>
      <c r="F2544" s="97" t="str">
        <f ca="1">IF(OR(Market_Data[[#This Row],[Start Date]]="",Market_Data[[#This Row],[Completion Date]]=""),"Needs Validation",IF(Market_Data[[#This Row],[Start Date]]&gt;TODAY(),"Planned",IF(Market_Data[[#This Row],[Completion Date]]&lt;TODAY(),"Completed","Ongoing")))</f>
        <v>Ongoing</v>
      </c>
      <c r="G2544" s="324">
        <v>44721</v>
      </c>
      <c r="H2544" s="324">
        <v>48579</v>
      </c>
      <c r="I2544" s="325">
        <v>50200</v>
      </c>
      <c r="J254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44" s="133">
        <f>_xlfn.XLOOKUP(Market_Data[[#This Row],[Project Type]],tbl_assumptions_market[Project Category (RERA)],tbl_assumptions_market[Concrete Intensity
(m³ / sq m BUA)],"",0)</f>
        <v>0.42</v>
      </c>
      <c r="L2544" s="134">
        <f>ROUND(Market_Data[[#This Row],[Estimated Built Up Area (sq m)]]*Market_Data[[#This Row],[Concrete Intensity
(m³ / sq m)]],0)</f>
        <v>21084</v>
      </c>
      <c r="M2544" s="135">
        <f>_xlfn.XLOOKUP(Market_Data[[#This Row],[District]],tbl_district_price[District],tbl_district_price[Standard Price
(INR/m³)],"",0)</f>
        <v>6200</v>
      </c>
      <c r="N2544" s="364">
        <f>IF(OR(Market_Data[[#This Row],[Estimated Concrete Demand (m³)]]="",Market_Data[[#This Row],[Avg Price per (₹ / m³)]]=""),"",Market_Data[[#This Row],[Estimated Concrete Demand (m³)]]*Market_Data[[#This Row],[Avg Price per (₹ / m³)]]/10000000)</f>
        <v>13.07208</v>
      </c>
      <c r="O2544" s="97" t="str">
        <f>IF(Market_Data[[#This Row],[Estimated Concrete Demand (m³)]]="","",
IF(Market_Data[[#This Row],[Estimated Concrete Demand (m³)]]&lt;10000,"Small",
IF(Market_Data[[#This Row],[Estimated Concrete Demand (m³)]]&lt;25000,"Medium",
IF(Market_Data[[#This Row],[Estimated Concrete Demand (m³)]]&lt;100000,"Large","Mega"))))</f>
        <v>Medium</v>
      </c>
      <c r="P2544" s="287" t="str">
        <f t="shared" si="41"/>
        <v>GujRERA</v>
      </c>
    </row>
    <row r="2545" spans="1:16">
      <c r="A2545" s="129" t="str">
        <f>_xlfn.XLOOKUP(B2545,$S$9:$S$14,$T$9:$T$14)&amp;"-"&amp;
IF(E2545="Residential/Group Housing","RES",
IF(E2545="Commercial","COM",
IF(E2545="Mixed Development","MIX",
IF(E2545="Plotted Development","PLT","OTH"))))
&amp;"-"&amp;TEXT(COUNTIFS($B$9:B2545,B2545,$E$9:E2545,E2545),"0000")</f>
        <v>SUR-COM-0430</v>
      </c>
      <c r="B2545" s="322" t="s">
        <v>34</v>
      </c>
      <c r="C2545" s="322" t="s">
        <v>34</v>
      </c>
      <c r="D2545" s="323" t="s">
        <v>2734</v>
      </c>
      <c r="E2545" s="132" t="s">
        <v>23</v>
      </c>
      <c r="F2545" s="97" t="str">
        <f ca="1">IF(OR(Market_Data[[#This Row],[Start Date]]="",Market_Data[[#This Row],[Completion Date]]=""),"Needs Validation",IF(Market_Data[[#This Row],[Start Date]]&gt;TODAY(),"Planned",IF(Market_Data[[#This Row],[Completion Date]]&lt;TODAY(),"Completed","Ongoing")))</f>
        <v>Ongoing</v>
      </c>
      <c r="G2545" s="324">
        <v>44835</v>
      </c>
      <c r="H2545" s="324">
        <v>46295</v>
      </c>
      <c r="I2545" s="325">
        <v>48400</v>
      </c>
      <c r="J254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545" s="133">
        <f>_xlfn.XLOOKUP(Market_Data[[#This Row],[Project Type]],tbl_assumptions_market[Project Category (RERA)],tbl_assumptions_market[Concrete Intensity
(m³ / sq m BUA)],"",0)</f>
        <v>0.5</v>
      </c>
      <c r="L2545" s="134">
        <f>ROUND(Market_Data[[#This Row],[Estimated Built Up Area (sq m)]]*Market_Data[[#This Row],[Concrete Intensity
(m³ / sq m)]],0)</f>
        <v>24200</v>
      </c>
      <c r="M2545" s="135">
        <f>_xlfn.XLOOKUP(Market_Data[[#This Row],[District]],tbl_district_price[District],tbl_district_price[Standard Price
(INR/m³)],"",0)</f>
        <v>6200</v>
      </c>
      <c r="N2545" s="364">
        <f>IF(OR(Market_Data[[#This Row],[Estimated Concrete Demand (m³)]]="",Market_Data[[#This Row],[Avg Price per (₹ / m³)]]=""),"",Market_Data[[#This Row],[Estimated Concrete Demand (m³)]]*Market_Data[[#This Row],[Avg Price per (₹ / m³)]]/10000000)</f>
        <v>15.004</v>
      </c>
      <c r="O2545" s="97" t="str">
        <f>IF(Market_Data[[#This Row],[Estimated Concrete Demand (m³)]]="","",
IF(Market_Data[[#This Row],[Estimated Concrete Demand (m³)]]&lt;10000,"Small",
IF(Market_Data[[#This Row],[Estimated Concrete Demand (m³)]]&lt;25000,"Medium",
IF(Market_Data[[#This Row],[Estimated Concrete Demand (m³)]]&lt;100000,"Large","Mega"))))</f>
        <v>Medium</v>
      </c>
      <c r="P2545" s="287" t="str">
        <f t="shared" si="41"/>
        <v>GujRERA</v>
      </c>
    </row>
    <row r="2546" spans="1:16">
      <c r="A2546" s="129" t="str">
        <f>_xlfn.XLOOKUP(B2546,$S$9:$S$14,$T$9:$T$14)&amp;"-"&amp;
IF(E2546="Residential/Group Housing","RES",
IF(E2546="Commercial","COM",
IF(E2546="Mixed Development","MIX",
IF(E2546="Plotted Development","PLT","OTH"))))
&amp;"-"&amp;TEXT(COUNTIFS($B$9:B2546,B2546,$E$9:E2546,E2546),"0000")</f>
        <v>SUR-RES-0879</v>
      </c>
      <c r="B2546" s="322" t="s">
        <v>34</v>
      </c>
      <c r="C2546" s="322" t="s">
        <v>34</v>
      </c>
      <c r="D2546" s="323" t="s">
        <v>2735</v>
      </c>
      <c r="E2546" s="132" t="s">
        <v>24</v>
      </c>
      <c r="F2546" s="97" t="str">
        <f ca="1">IF(OR(Market_Data[[#This Row],[Start Date]]="",Market_Data[[#This Row],[Completion Date]]=""),"Needs Validation",IF(Market_Data[[#This Row],[Start Date]]&gt;TODAY(),"Planned",IF(Market_Data[[#This Row],[Completion Date]]&lt;TODAY(),"Completed","Ongoing")))</f>
        <v>Completed</v>
      </c>
      <c r="G2546" s="324">
        <v>43524</v>
      </c>
      <c r="H2546" s="324">
        <v>46203</v>
      </c>
      <c r="I2546" s="325">
        <v>52900</v>
      </c>
      <c r="J254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46" s="133">
        <f>_xlfn.XLOOKUP(Market_Data[[#This Row],[Project Type]],tbl_assumptions_market[Project Category (RERA)],tbl_assumptions_market[Concrete Intensity
(m³ / sq m BUA)],"",0)</f>
        <v>0.45</v>
      </c>
      <c r="L2546" s="134">
        <f>ROUND(Market_Data[[#This Row],[Estimated Built Up Area (sq m)]]*Market_Data[[#This Row],[Concrete Intensity
(m³ / sq m)]],0)</f>
        <v>23805</v>
      </c>
      <c r="M2546" s="135">
        <f>_xlfn.XLOOKUP(Market_Data[[#This Row],[District]],tbl_district_price[District],tbl_district_price[Standard Price
(INR/m³)],"",0)</f>
        <v>6200</v>
      </c>
      <c r="N2546" s="364">
        <f>IF(OR(Market_Data[[#This Row],[Estimated Concrete Demand (m³)]]="",Market_Data[[#This Row],[Avg Price per (₹ / m³)]]=""),"",Market_Data[[#This Row],[Estimated Concrete Demand (m³)]]*Market_Data[[#This Row],[Avg Price per (₹ / m³)]]/10000000)</f>
        <v>14.7591</v>
      </c>
      <c r="O2546" s="97" t="str">
        <f>IF(Market_Data[[#This Row],[Estimated Concrete Demand (m³)]]="","",
IF(Market_Data[[#This Row],[Estimated Concrete Demand (m³)]]&lt;10000,"Small",
IF(Market_Data[[#This Row],[Estimated Concrete Demand (m³)]]&lt;25000,"Medium",
IF(Market_Data[[#This Row],[Estimated Concrete Demand (m³)]]&lt;100000,"Large","Mega"))))</f>
        <v>Medium</v>
      </c>
      <c r="P2546" s="287" t="str">
        <f t="shared" si="41"/>
        <v>GujRERA</v>
      </c>
    </row>
    <row r="2547" spans="1:16">
      <c r="A2547" s="129" t="str">
        <f>_xlfn.XLOOKUP(B2547,$S$9:$S$14,$T$9:$T$14)&amp;"-"&amp;
IF(E2547="Residential/Group Housing","RES",
IF(E2547="Commercial","COM",
IF(E2547="Mixed Development","MIX",
IF(E2547="Plotted Development","PLT","OTH"))))
&amp;"-"&amp;TEXT(COUNTIFS($B$9:B2547,B2547,$E$9:E2547,E2547),"0000")</f>
        <v>SUR-COM-0431</v>
      </c>
      <c r="B2547" s="322" t="s">
        <v>34</v>
      </c>
      <c r="C2547" s="322" t="s">
        <v>34</v>
      </c>
      <c r="D2547" s="323" t="s">
        <v>2736</v>
      </c>
      <c r="E2547" s="132" t="s">
        <v>23</v>
      </c>
      <c r="F2547" s="97" t="str">
        <f ca="1">IF(OR(Market_Data[[#This Row],[Start Date]]="",Market_Data[[#This Row],[Completion Date]]=""),"Needs Validation",IF(Market_Data[[#This Row],[Start Date]]&gt;TODAY(),"Planned",IF(Market_Data[[#This Row],[Completion Date]]&lt;TODAY(),"Completed","Ongoing")))</f>
        <v>Completed</v>
      </c>
      <c r="G2547" s="324">
        <v>44280</v>
      </c>
      <c r="H2547" s="324">
        <v>46022</v>
      </c>
      <c r="I2547" s="325">
        <v>5200</v>
      </c>
      <c r="J254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47" s="133">
        <f>_xlfn.XLOOKUP(Market_Data[[#This Row],[Project Type]],tbl_assumptions_market[Project Category (RERA)],tbl_assumptions_market[Concrete Intensity
(m³ / sq m BUA)],"",0)</f>
        <v>0.5</v>
      </c>
      <c r="L2547" s="134">
        <f>ROUND(Market_Data[[#This Row],[Estimated Built Up Area (sq m)]]*Market_Data[[#This Row],[Concrete Intensity
(m³ / sq m)]],0)</f>
        <v>2600</v>
      </c>
      <c r="M2547" s="135">
        <f>_xlfn.XLOOKUP(Market_Data[[#This Row],[District]],tbl_district_price[District],tbl_district_price[Standard Price
(INR/m³)],"",0)</f>
        <v>6200</v>
      </c>
      <c r="N2547" s="364">
        <f>IF(OR(Market_Data[[#This Row],[Estimated Concrete Demand (m³)]]="",Market_Data[[#This Row],[Avg Price per (₹ / m³)]]=""),"",Market_Data[[#This Row],[Estimated Concrete Demand (m³)]]*Market_Data[[#This Row],[Avg Price per (₹ / m³)]]/10000000)</f>
        <v>1.6120000000000001</v>
      </c>
      <c r="O2547" s="97" t="str">
        <f>IF(Market_Data[[#This Row],[Estimated Concrete Demand (m³)]]="","",
IF(Market_Data[[#This Row],[Estimated Concrete Demand (m³)]]&lt;10000,"Small",
IF(Market_Data[[#This Row],[Estimated Concrete Demand (m³)]]&lt;25000,"Medium",
IF(Market_Data[[#This Row],[Estimated Concrete Demand (m³)]]&lt;100000,"Large","Mega"))))</f>
        <v>Small</v>
      </c>
      <c r="P2547" s="287" t="str">
        <f t="shared" si="41"/>
        <v>GujRERA</v>
      </c>
    </row>
    <row r="2548" spans="1:16">
      <c r="A2548" s="129" t="str">
        <f>_xlfn.XLOOKUP(B2548,$S$9:$S$14,$T$9:$T$14)&amp;"-"&amp;
IF(E2548="Residential/Group Housing","RES",
IF(E2548="Commercial","COM",
IF(E2548="Mixed Development","MIX",
IF(E2548="Plotted Development","PLT","OTH"))))
&amp;"-"&amp;TEXT(COUNTIFS($B$9:B2548,B2548,$E$9:E2548,E2548),"0000")</f>
        <v>SUR-COM-0432</v>
      </c>
      <c r="B2548" s="322" t="s">
        <v>34</v>
      </c>
      <c r="C2548" s="322" t="s">
        <v>34</v>
      </c>
      <c r="D2548" s="323" t="s">
        <v>2737</v>
      </c>
      <c r="E2548" s="132" t="s">
        <v>23</v>
      </c>
      <c r="F2548" s="97" t="str">
        <f ca="1">IF(OR(Market_Data[[#This Row],[Start Date]]="",Market_Data[[#This Row],[Completion Date]]=""),"Needs Validation",IF(Market_Data[[#This Row],[Start Date]]&gt;TODAY(),"Planned",IF(Market_Data[[#This Row],[Completion Date]]&lt;TODAY(),"Completed","Ongoing")))</f>
        <v>Completed</v>
      </c>
      <c r="G2548" s="324">
        <v>43580</v>
      </c>
      <c r="H2548" s="324">
        <v>45930</v>
      </c>
      <c r="I2548" s="325">
        <v>3500</v>
      </c>
      <c r="J254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48" s="133">
        <f>_xlfn.XLOOKUP(Market_Data[[#This Row],[Project Type]],tbl_assumptions_market[Project Category (RERA)],tbl_assumptions_market[Concrete Intensity
(m³ / sq m BUA)],"",0)</f>
        <v>0.5</v>
      </c>
      <c r="L2548" s="134">
        <f>ROUND(Market_Data[[#This Row],[Estimated Built Up Area (sq m)]]*Market_Data[[#This Row],[Concrete Intensity
(m³ / sq m)]],0)</f>
        <v>1750</v>
      </c>
      <c r="M2548" s="135">
        <f>_xlfn.XLOOKUP(Market_Data[[#This Row],[District]],tbl_district_price[District],tbl_district_price[Standard Price
(INR/m³)],"",0)</f>
        <v>6200</v>
      </c>
      <c r="N2548" s="364">
        <f>IF(OR(Market_Data[[#This Row],[Estimated Concrete Demand (m³)]]="",Market_Data[[#This Row],[Avg Price per (₹ / m³)]]=""),"",Market_Data[[#This Row],[Estimated Concrete Demand (m³)]]*Market_Data[[#This Row],[Avg Price per (₹ / m³)]]/10000000)</f>
        <v>1.085</v>
      </c>
      <c r="O2548" s="97" t="str">
        <f>IF(Market_Data[[#This Row],[Estimated Concrete Demand (m³)]]="","",
IF(Market_Data[[#This Row],[Estimated Concrete Demand (m³)]]&lt;10000,"Small",
IF(Market_Data[[#This Row],[Estimated Concrete Demand (m³)]]&lt;25000,"Medium",
IF(Market_Data[[#This Row],[Estimated Concrete Demand (m³)]]&lt;100000,"Large","Mega"))))</f>
        <v>Small</v>
      </c>
      <c r="P2548" s="287" t="str">
        <f t="shared" si="41"/>
        <v>GujRERA</v>
      </c>
    </row>
    <row r="2549" spans="1:16">
      <c r="A2549" s="129" t="str">
        <f>_xlfn.XLOOKUP(B2549,$S$9:$S$14,$T$9:$T$14)&amp;"-"&amp;
IF(E2549="Residential/Group Housing","RES",
IF(E2549="Commercial","COM",
IF(E2549="Mixed Development","MIX",
IF(E2549="Plotted Development","PLT","OTH"))))
&amp;"-"&amp;TEXT(COUNTIFS($B$9:B2549,B2549,$E$9:E2549,E2549),"0000")</f>
        <v>SUR-MIX-0457</v>
      </c>
      <c r="B2549" s="322" t="s">
        <v>34</v>
      </c>
      <c r="C2549" s="322" t="s">
        <v>34</v>
      </c>
      <c r="D2549" s="323" t="s">
        <v>2738</v>
      </c>
      <c r="E2549" s="132" t="s">
        <v>25</v>
      </c>
      <c r="F2549" s="97" t="str">
        <f ca="1">IF(OR(Market_Data[[#This Row],[Start Date]]="",Market_Data[[#This Row],[Completion Date]]=""),"Needs Validation",IF(Market_Data[[#This Row],[Start Date]]&gt;TODAY(),"Planned",IF(Market_Data[[#This Row],[Completion Date]]&lt;TODAY(),"Completed","Ongoing")))</f>
        <v>Completed</v>
      </c>
      <c r="G2549" s="324">
        <v>43342</v>
      </c>
      <c r="H2549" s="324">
        <v>45838</v>
      </c>
      <c r="I2549" s="325">
        <v>12500</v>
      </c>
      <c r="J254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49" s="133">
        <f>_xlfn.XLOOKUP(Market_Data[[#This Row],[Project Type]],tbl_assumptions_market[Project Category (RERA)],tbl_assumptions_market[Concrete Intensity
(m³ / sq m BUA)],"",0)</f>
        <v>0.42</v>
      </c>
      <c r="L2549" s="134">
        <f>ROUND(Market_Data[[#This Row],[Estimated Built Up Area (sq m)]]*Market_Data[[#This Row],[Concrete Intensity
(m³ / sq m)]],0)</f>
        <v>5250</v>
      </c>
      <c r="M2549" s="135">
        <f>_xlfn.XLOOKUP(Market_Data[[#This Row],[District]],tbl_district_price[District],tbl_district_price[Standard Price
(INR/m³)],"",0)</f>
        <v>6200</v>
      </c>
      <c r="N2549" s="364">
        <f>IF(OR(Market_Data[[#This Row],[Estimated Concrete Demand (m³)]]="",Market_Data[[#This Row],[Avg Price per (₹ / m³)]]=""),"",Market_Data[[#This Row],[Estimated Concrete Demand (m³)]]*Market_Data[[#This Row],[Avg Price per (₹ / m³)]]/10000000)</f>
        <v>3.2549999999999999</v>
      </c>
      <c r="O2549" s="97" t="str">
        <f>IF(Market_Data[[#This Row],[Estimated Concrete Demand (m³)]]="","",
IF(Market_Data[[#This Row],[Estimated Concrete Demand (m³)]]&lt;10000,"Small",
IF(Market_Data[[#This Row],[Estimated Concrete Demand (m³)]]&lt;25000,"Medium",
IF(Market_Data[[#This Row],[Estimated Concrete Demand (m³)]]&lt;100000,"Large","Mega"))))</f>
        <v>Small</v>
      </c>
      <c r="P2549" s="287" t="str">
        <f t="shared" si="41"/>
        <v>GujRERA</v>
      </c>
    </row>
    <row r="2550" spans="1:16">
      <c r="A2550" s="129" t="str">
        <f>_xlfn.XLOOKUP(B2550,$S$9:$S$14,$T$9:$T$14)&amp;"-"&amp;
IF(E2550="Residential/Group Housing","RES",
IF(E2550="Commercial","COM",
IF(E2550="Mixed Development","MIX",
IF(E2550="Plotted Development","PLT","OTH"))))
&amp;"-"&amp;TEXT(COUNTIFS($B$9:B2550,B2550,$E$9:E2550,E2550),"0000")</f>
        <v>SUR-RES-0880</v>
      </c>
      <c r="B2550" s="322" t="s">
        <v>34</v>
      </c>
      <c r="C2550" s="322" t="s">
        <v>34</v>
      </c>
      <c r="D2550" s="323" t="s">
        <v>2739</v>
      </c>
      <c r="E2550" s="132" t="s">
        <v>24</v>
      </c>
      <c r="F2550" s="97" t="str">
        <f ca="1">IF(OR(Market_Data[[#This Row],[Start Date]]="",Market_Data[[#This Row],[Completion Date]]=""),"Needs Validation",IF(Market_Data[[#This Row],[Start Date]]&gt;TODAY(),"Planned",IF(Market_Data[[#This Row],[Completion Date]]&lt;TODAY(),"Completed","Ongoing")))</f>
        <v>Ongoing</v>
      </c>
      <c r="G2550" s="324">
        <v>44929</v>
      </c>
      <c r="H2550" s="324">
        <v>46752</v>
      </c>
      <c r="I2550" s="325">
        <v>58000</v>
      </c>
      <c r="J255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50" s="133">
        <f>_xlfn.XLOOKUP(Market_Data[[#This Row],[Project Type]],tbl_assumptions_market[Project Category (RERA)],tbl_assumptions_market[Concrete Intensity
(m³ / sq m BUA)],"",0)</f>
        <v>0.45</v>
      </c>
      <c r="L2550" s="134">
        <f>ROUND(Market_Data[[#This Row],[Estimated Built Up Area (sq m)]]*Market_Data[[#This Row],[Concrete Intensity
(m³ / sq m)]],0)</f>
        <v>26100</v>
      </c>
      <c r="M2550" s="135">
        <f>_xlfn.XLOOKUP(Market_Data[[#This Row],[District]],tbl_district_price[District],tbl_district_price[Standard Price
(INR/m³)],"",0)</f>
        <v>6200</v>
      </c>
      <c r="N2550" s="364">
        <f>IF(OR(Market_Data[[#This Row],[Estimated Concrete Demand (m³)]]="",Market_Data[[#This Row],[Avg Price per (₹ / m³)]]=""),"",Market_Data[[#This Row],[Estimated Concrete Demand (m³)]]*Market_Data[[#This Row],[Avg Price per (₹ / m³)]]/10000000)</f>
        <v>16.181999999999999</v>
      </c>
      <c r="O2550" s="97" t="str">
        <f>IF(Market_Data[[#This Row],[Estimated Concrete Demand (m³)]]="","",
IF(Market_Data[[#This Row],[Estimated Concrete Demand (m³)]]&lt;10000,"Small",
IF(Market_Data[[#This Row],[Estimated Concrete Demand (m³)]]&lt;25000,"Medium",
IF(Market_Data[[#This Row],[Estimated Concrete Demand (m³)]]&lt;100000,"Large","Mega"))))</f>
        <v>Large</v>
      </c>
      <c r="P2550" s="287" t="str">
        <f t="shared" si="41"/>
        <v>GujRERA</v>
      </c>
    </row>
    <row r="2551" spans="1:16">
      <c r="A2551" s="129" t="str">
        <f>_xlfn.XLOOKUP(B2551,$S$9:$S$14,$T$9:$T$14)&amp;"-"&amp;
IF(E2551="Residential/Group Housing","RES",
IF(E2551="Commercial","COM",
IF(E2551="Mixed Development","MIX",
IF(E2551="Plotted Development","PLT","OTH"))))
&amp;"-"&amp;TEXT(COUNTIFS($B$9:B2551,B2551,$E$9:E2551,E2551),"0000")</f>
        <v>SUR-PLT-0464</v>
      </c>
      <c r="B2551" s="322" t="s">
        <v>34</v>
      </c>
      <c r="C2551" s="322" t="s">
        <v>34</v>
      </c>
      <c r="D2551" s="323" t="s">
        <v>2740</v>
      </c>
      <c r="E2551" s="132" t="s">
        <v>26</v>
      </c>
      <c r="F2551" s="97" t="str">
        <f ca="1">IF(OR(Market_Data[[#This Row],[Start Date]]="",Market_Data[[#This Row],[Completion Date]]=""),"Needs Validation",IF(Market_Data[[#This Row],[Start Date]]&gt;TODAY(),"Planned",IF(Market_Data[[#This Row],[Completion Date]]&lt;TODAY(),"Completed","Ongoing")))</f>
        <v>Ongoing</v>
      </c>
      <c r="G2551" s="324">
        <v>45302</v>
      </c>
      <c r="H2551" s="324">
        <v>47483</v>
      </c>
      <c r="I2551" s="325">
        <v>15700</v>
      </c>
      <c r="J255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51" s="133">
        <f>_xlfn.XLOOKUP(Market_Data[[#This Row],[Project Type]],tbl_assumptions_market[Project Category (RERA)],tbl_assumptions_market[Concrete Intensity
(m³ / sq m BUA)],"",0)</f>
        <v>0.18</v>
      </c>
      <c r="L2551" s="134">
        <f>ROUND(Market_Data[[#This Row],[Estimated Built Up Area (sq m)]]*Market_Data[[#This Row],[Concrete Intensity
(m³ / sq m)]],0)</f>
        <v>2826</v>
      </c>
      <c r="M2551" s="135">
        <f>_xlfn.XLOOKUP(Market_Data[[#This Row],[District]],tbl_district_price[District],tbl_district_price[Standard Price
(INR/m³)],"",0)</f>
        <v>6200</v>
      </c>
      <c r="N2551" s="364">
        <f>IF(OR(Market_Data[[#This Row],[Estimated Concrete Demand (m³)]]="",Market_Data[[#This Row],[Avg Price per (₹ / m³)]]=""),"",Market_Data[[#This Row],[Estimated Concrete Demand (m³)]]*Market_Data[[#This Row],[Avg Price per (₹ / m³)]]/10000000)</f>
        <v>1.7521199999999999</v>
      </c>
      <c r="O2551" s="97" t="str">
        <f>IF(Market_Data[[#This Row],[Estimated Concrete Demand (m³)]]="","",
IF(Market_Data[[#This Row],[Estimated Concrete Demand (m³)]]&lt;10000,"Small",
IF(Market_Data[[#This Row],[Estimated Concrete Demand (m³)]]&lt;25000,"Medium",
IF(Market_Data[[#This Row],[Estimated Concrete Demand (m³)]]&lt;100000,"Large","Mega"))))</f>
        <v>Small</v>
      </c>
      <c r="P2551" s="287" t="str">
        <f t="shared" si="41"/>
        <v>GujRERA</v>
      </c>
    </row>
    <row r="2552" spans="1:16">
      <c r="A2552" s="129" t="str">
        <f>_xlfn.XLOOKUP(B2552,$S$9:$S$14,$T$9:$T$14)&amp;"-"&amp;
IF(E2552="Residential/Group Housing","RES",
IF(E2552="Commercial","COM",
IF(E2552="Mixed Development","MIX",
IF(E2552="Plotted Development","PLT","OTH"))))
&amp;"-"&amp;TEXT(COUNTIFS($B$9:B2552,B2552,$E$9:E2552,E2552),"0000")</f>
        <v>SUR-MIX-0458</v>
      </c>
      <c r="B2552" s="322" t="s">
        <v>34</v>
      </c>
      <c r="C2552" s="322" t="s">
        <v>34</v>
      </c>
      <c r="D2552" s="323" t="s">
        <v>2741</v>
      </c>
      <c r="E2552" s="132" t="s">
        <v>25</v>
      </c>
      <c r="F2552" s="97" t="str">
        <f ca="1">IF(OR(Market_Data[[#This Row],[Start Date]]="",Market_Data[[#This Row],[Completion Date]]=""),"Needs Validation",IF(Market_Data[[#This Row],[Start Date]]&gt;TODAY(),"Planned",IF(Market_Data[[#This Row],[Completion Date]]&lt;TODAY(),"Completed","Ongoing")))</f>
        <v>Completed</v>
      </c>
      <c r="G2552" s="324">
        <v>44460</v>
      </c>
      <c r="H2552" s="324">
        <v>46022</v>
      </c>
      <c r="I2552" s="325">
        <v>55400</v>
      </c>
      <c r="J255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52" s="133">
        <f>_xlfn.XLOOKUP(Market_Data[[#This Row],[Project Type]],tbl_assumptions_market[Project Category (RERA)],tbl_assumptions_market[Concrete Intensity
(m³ / sq m BUA)],"",0)</f>
        <v>0.42</v>
      </c>
      <c r="L2552" s="134">
        <f>ROUND(Market_Data[[#This Row],[Estimated Built Up Area (sq m)]]*Market_Data[[#This Row],[Concrete Intensity
(m³ / sq m)]],0)</f>
        <v>23268</v>
      </c>
      <c r="M2552" s="135">
        <f>_xlfn.XLOOKUP(Market_Data[[#This Row],[District]],tbl_district_price[District],tbl_district_price[Standard Price
(INR/m³)],"",0)</f>
        <v>6200</v>
      </c>
      <c r="N2552" s="364">
        <f>IF(OR(Market_Data[[#This Row],[Estimated Concrete Demand (m³)]]="",Market_Data[[#This Row],[Avg Price per (₹ / m³)]]=""),"",Market_Data[[#This Row],[Estimated Concrete Demand (m³)]]*Market_Data[[#This Row],[Avg Price per (₹ / m³)]]/10000000)</f>
        <v>14.426159999999999</v>
      </c>
      <c r="O2552" s="97" t="str">
        <f>IF(Market_Data[[#This Row],[Estimated Concrete Demand (m³)]]="","",
IF(Market_Data[[#This Row],[Estimated Concrete Demand (m³)]]&lt;10000,"Small",
IF(Market_Data[[#This Row],[Estimated Concrete Demand (m³)]]&lt;25000,"Medium",
IF(Market_Data[[#This Row],[Estimated Concrete Demand (m³)]]&lt;100000,"Large","Mega"))))</f>
        <v>Medium</v>
      </c>
      <c r="P2552" s="287" t="str">
        <f t="shared" si="41"/>
        <v>GujRERA</v>
      </c>
    </row>
    <row r="2553" spans="1:16">
      <c r="A2553" s="129" t="str">
        <f>_xlfn.XLOOKUP(B2553,$S$9:$S$14,$T$9:$T$14)&amp;"-"&amp;
IF(E2553="Residential/Group Housing","RES",
IF(E2553="Commercial","COM",
IF(E2553="Mixed Development","MIX",
IF(E2553="Plotted Development","PLT","OTH"))))
&amp;"-"&amp;TEXT(COUNTIFS($B$9:B2553,B2553,$E$9:E2553,E2553),"0000")</f>
        <v>SUR-PLT-0465</v>
      </c>
      <c r="B2553" s="322" t="s">
        <v>34</v>
      </c>
      <c r="C2553" s="322" t="s">
        <v>34</v>
      </c>
      <c r="D2553" s="323" t="s">
        <v>2742</v>
      </c>
      <c r="E2553" s="132" t="s">
        <v>26</v>
      </c>
      <c r="F2553" s="97" t="str">
        <f ca="1">IF(OR(Market_Data[[#This Row],[Start Date]]="",Market_Data[[#This Row],[Completion Date]]=""),"Needs Validation",IF(Market_Data[[#This Row],[Start Date]]&gt;TODAY(),"Planned",IF(Market_Data[[#This Row],[Completion Date]]&lt;TODAY(),"Completed","Ongoing")))</f>
        <v>Completed</v>
      </c>
      <c r="G2553" s="324">
        <v>44726</v>
      </c>
      <c r="H2553" s="324">
        <v>45535</v>
      </c>
      <c r="I2553" s="325">
        <v>3500</v>
      </c>
      <c r="J255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53" s="133">
        <f>_xlfn.XLOOKUP(Market_Data[[#This Row],[Project Type]],tbl_assumptions_market[Project Category (RERA)],tbl_assumptions_market[Concrete Intensity
(m³ / sq m BUA)],"",0)</f>
        <v>0.18</v>
      </c>
      <c r="L2553" s="134">
        <f>ROUND(Market_Data[[#This Row],[Estimated Built Up Area (sq m)]]*Market_Data[[#This Row],[Concrete Intensity
(m³ / sq m)]],0)</f>
        <v>630</v>
      </c>
      <c r="M2553" s="135">
        <f>_xlfn.XLOOKUP(Market_Data[[#This Row],[District]],tbl_district_price[District],tbl_district_price[Standard Price
(INR/m³)],"",0)</f>
        <v>6200</v>
      </c>
      <c r="N2553" s="364">
        <f>IF(OR(Market_Data[[#This Row],[Estimated Concrete Demand (m³)]]="",Market_Data[[#This Row],[Avg Price per (₹ / m³)]]=""),"",Market_Data[[#This Row],[Estimated Concrete Demand (m³)]]*Market_Data[[#This Row],[Avg Price per (₹ / m³)]]/10000000)</f>
        <v>0.3906</v>
      </c>
      <c r="O2553" s="97" t="str">
        <f>IF(Market_Data[[#This Row],[Estimated Concrete Demand (m³)]]="","",
IF(Market_Data[[#This Row],[Estimated Concrete Demand (m³)]]&lt;10000,"Small",
IF(Market_Data[[#This Row],[Estimated Concrete Demand (m³)]]&lt;25000,"Medium",
IF(Market_Data[[#This Row],[Estimated Concrete Demand (m³)]]&lt;100000,"Large","Mega"))))</f>
        <v>Small</v>
      </c>
      <c r="P2553" s="287" t="str">
        <f t="shared" si="41"/>
        <v>GujRERA</v>
      </c>
    </row>
    <row r="2554" spans="1:16">
      <c r="A2554" s="129" t="str">
        <f>_xlfn.XLOOKUP(B2554,$S$9:$S$14,$T$9:$T$14)&amp;"-"&amp;
IF(E2554="Residential/Group Housing","RES",
IF(E2554="Commercial","COM",
IF(E2554="Mixed Development","MIX",
IF(E2554="Plotted Development","PLT","OTH"))))
&amp;"-"&amp;TEXT(COUNTIFS($B$9:B2554,B2554,$E$9:E2554,E2554),"0000")</f>
        <v>SUR-RES-0881</v>
      </c>
      <c r="B2554" s="322" t="s">
        <v>34</v>
      </c>
      <c r="C2554" s="322" t="s">
        <v>34</v>
      </c>
      <c r="D2554" s="323" t="s">
        <v>2743</v>
      </c>
      <c r="E2554" s="132" t="s">
        <v>24</v>
      </c>
      <c r="F2554" s="97" t="str">
        <f ca="1">IF(OR(Market_Data[[#This Row],[Start Date]]="",Market_Data[[#This Row],[Completion Date]]=""),"Needs Validation",IF(Market_Data[[#This Row],[Start Date]]&gt;TODAY(),"Planned",IF(Market_Data[[#This Row],[Completion Date]]&lt;TODAY(),"Completed","Ongoing")))</f>
        <v>Ongoing</v>
      </c>
      <c r="G2554" s="324">
        <v>43024</v>
      </c>
      <c r="H2554" s="324">
        <v>46568</v>
      </c>
      <c r="I2554" s="325">
        <v>34000</v>
      </c>
      <c r="J255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54" s="133">
        <f>_xlfn.XLOOKUP(Market_Data[[#This Row],[Project Type]],tbl_assumptions_market[Project Category (RERA)],tbl_assumptions_market[Concrete Intensity
(m³ / sq m BUA)],"",0)</f>
        <v>0.45</v>
      </c>
      <c r="L2554" s="134">
        <f>ROUND(Market_Data[[#This Row],[Estimated Built Up Area (sq m)]]*Market_Data[[#This Row],[Concrete Intensity
(m³ / sq m)]],0)</f>
        <v>15300</v>
      </c>
      <c r="M2554" s="135">
        <f>_xlfn.XLOOKUP(Market_Data[[#This Row],[District]],tbl_district_price[District],tbl_district_price[Standard Price
(INR/m³)],"",0)</f>
        <v>6200</v>
      </c>
      <c r="N2554" s="364">
        <f>IF(OR(Market_Data[[#This Row],[Estimated Concrete Demand (m³)]]="",Market_Data[[#This Row],[Avg Price per (₹ / m³)]]=""),"",Market_Data[[#This Row],[Estimated Concrete Demand (m³)]]*Market_Data[[#This Row],[Avg Price per (₹ / m³)]]/10000000)</f>
        <v>9.4860000000000007</v>
      </c>
      <c r="O2554" s="97" t="str">
        <f>IF(Market_Data[[#This Row],[Estimated Concrete Demand (m³)]]="","",
IF(Market_Data[[#This Row],[Estimated Concrete Demand (m³)]]&lt;10000,"Small",
IF(Market_Data[[#This Row],[Estimated Concrete Demand (m³)]]&lt;25000,"Medium",
IF(Market_Data[[#This Row],[Estimated Concrete Demand (m³)]]&lt;100000,"Large","Mega"))))</f>
        <v>Medium</v>
      </c>
      <c r="P2554" s="287" t="str">
        <f t="shared" si="41"/>
        <v>GujRERA</v>
      </c>
    </row>
    <row r="2555" spans="1:16">
      <c r="A2555" s="129" t="str">
        <f>_xlfn.XLOOKUP(B2555,$S$9:$S$14,$T$9:$T$14)&amp;"-"&amp;
IF(E2555="Residential/Group Housing","RES",
IF(E2555="Commercial","COM",
IF(E2555="Mixed Development","MIX",
IF(E2555="Plotted Development","PLT","OTH"))))
&amp;"-"&amp;TEXT(COUNTIFS($B$9:B2555,B2555,$E$9:E2555,E2555),"0000")</f>
        <v>SUR-PLT-0466</v>
      </c>
      <c r="B2555" s="322" t="s">
        <v>34</v>
      </c>
      <c r="C2555" s="322" t="s">
        <v>34</v>
      </c>
      <c r="D2555" s="323" t="s">
        <v>2744</v>
      </c>
      <c r="E2555" s="132" t="s">
        <v>26</v>
      </c>
      <c r="F2555" s="97" t="str">
        <f ca="1">IF(OR(Market_Data[[#This Row],[Start Date]]="",Market_Data[[#This Row],[Completion Date]]=""),"Needs Validation",IF(Market_Data[[#This Row],[Start Date]]&gt;TODAY(),"Planned",IF(Market_Data[[#This Row],[Completion Date]]&lt;TODAY(),"Completed","Ongoing")))</f>
        <v>Ongoing</v>
      </c>
      <c r="G2555" s="324">
        <v>45352</v>
      </c>
      <c r="H2555" s="324">
        <v>46477</v>
      </c>
      <c r="I2555" s="325">
        <v>33700</v>
      </c>
      <c r="J255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555" s="133">
        <f>_xlfn.XLOOKUP(Market_Data[[#This Row],[Project Type]],tbl_assumptions_market[Project Category (RERA)],tbl_assumptions_market[Concrete Intensity
(m³ / sq m BUA)],"",0)</f>
        <v>0.18</v>
      </c>
      <c r="L2555" s="134">
        <f>ROUND(Market_Data[[#This Row],[Estimated Built Up Area (sq m)]]*Market_Data[[#This Row],[Concrete Intensity
(m³ / sq m)]],0)</f>
        <v>6066</v>
      </c>
      <c r="M2555" s="135">
        <f>_xlfn.XLOOKUP(Market_Data[[#This Row],[District]],tbl_district_price[District],tbl_district_price[Standard Price
(INR/m³)],"",0)</f>
        <v>6200</v>
      </c>
      <c r="N2555" s="364">
        <f>IF(OR(Market_Data[[#This Row],[Estimated Concrete Demand (m³)]]="",Market_Data[[#This Row],[Avg Price per (₹ / m³)]]=""),"",Market_Data[[#This Row],[Estimated Concrete Demand (m³)]]*Market_Data[[#This Row],[Avg Price per (₹ / m³)]]/10000000)</f>
        <v>3.76092</v>
      </c>
      <c r="O2555" s="97" t="str">
        <f>IF(Market_Data[[#This Row],[Estimated Concrete Demand (m³)]]="","",
IF(Market_Data[[#This Row],[Estimated Concrete Demand (m³)]]&lt;10000,"Small",
IF(Market_Data[[#This Row],[Estimated Concrete Demand (m³)]]&lt;25000,"Medium",
IF(Market_Data[[#This Row],[Estimated Concrete Demand (m³)]]&lt;100000,"Large","Mega"))))</f>
        <v>Small</v>
      </c>
      <c r="P2555" s="287" t="str">
        <f t="shared" si="41"/>
        <v>GujRERA</v>
      </c>
    </row>
    <row r="2556" spans="1:16">
      <c r="A2556" s="129" t="str">
        <f>_xlfn.XLOOKUP(B2556,$S$9:$S$14,$T$9:$T$14)&amp;"-"&amp;
IF(E2556="Residential/Group Housing","RES",
IF(E2556="Commercial","COM",
IF(E2556="Mixed Development","MIX",
IF(E2556="Plotted Development","PLT","OTH"))))
&amp;"-"&amp;TEXT(COUNTIFS($B$9:B2556,B2556,$E$9:E2556,E2556),"0000")</f>
        <v>SUR-MIX-0459</v>
      </c>
      <c r="B2556" s="322" t="s">
        <v>34</v>
      </c>
      <c r="C2556" s="322" t="s">
        <v>34</v>
      </c>
      <c r="D2556" s="323" t="s">
        <v>2745</v>
      </c>
      <c r="E2556" s="132" t="s">
        <v>25</v>
      </c>
      <c r="F2556" s="97" t="str">
        <f ca="1">IF(OR(Market_Data[[#This Row],[Start Date]]="",Market_Data[[#This Row],[Completion Date]]=""),"Needs Validation",IF(Market_Data[[#This Row],[Start Date]]&gt;TODAY(),"Planned",IF(Market_Data[[#This Row],[Completion Date]]&lt;TODAY(),"Completed","Ongoing")))</f>
        <v>Ongoing</v>
      </c>
      <c r="G2556" s="324">
        <v>45139</v>
      </c>
      <c r="H2556" s="324">
        <v>46387</v>
      </c>
      <c r="I2556" s="325">
        <v>4400</v>
      </c>
      <c r="J255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556" s="133">
        <f>_xlfn.XLOOKUP(Market_Data[[#This Row],[Project Type]],tbl_assumptions_market[Project Category (RERA)],tbl_assumptions_market[Concrete Intensity
(m³ / sq m BUA)],"",0)</f>
        <v>0.42</v>
      </c>
      <c r="L2556" s="134">
        <f>ROUND(Market_Data[[#This Row],[Estimated Built Up Area (sq m)]]*Market_Data[[#This Row],[Concrete Intensity
(m³ / sq m)]],0)</f>
        <v>1848</v>
      </c>
      <c r="M2556" s="135">
        <f>_xlfn.XLOOKUP(Market_Data[[#This Row],[District]],tbl_district_price[District],tbl_district_price[Standard Price
(INR/m³)],"",0)</f>
        <v>6200</v>
      </c>
      <c r="N2556" s="364">
        <f>IF(OR(Market_Data[[#This Row],[Estimated Concrete Demand (m³)]]="",Market_Data[[#This Row],[Avg Price per (₹ / m³)]]=""),"",Market_Data[[#This Row],[Estimated Concrete Demand (m³)]]*Market_Data[[#This Row],[Avg Price per (₹ / m³)]]/10000000)</f>
        <v>1.1457599999999999</v>
      </c>
      <c r="O2556" s="97" t="str">
        <f>IF(Market_Data[[#This Row],[Estimated Concrete Demand (m³)]]="","",
IF(Market_Data[[#This Row],[Estimated Concrete Demand (m³)]]&lt;10000,"Small",
IF(Market_Data[[#This Row],[Estimated Concrete Demand (m³)]]&lt;25000,"Medium",
IF(Market_Data[[#This Row],[Estimated Concrete Demand (m³)]]&lt;100000,"Large","Mega"))))</f>
        <v>Small</v>
      </c>
      <c r="P2556" s="287" t="str">
        <f t="shared" si="41"/>
        <v>GujRERA</v>
      </c>
    </row>
    <row r="2557" spans="1:16">
      <c r="A2557" s="129" t="str">
        <f>_xlfn.XLOOKUP(B2557,$S$9:$S$14,$T$9:$T$14)&amp;"-"&amp;
IF(E2557="Residential/Group Housing","RES",
IF(E2557="Commercial","COM",
IF(E2557="Mixed Development","MIX",
IF(E2557="Plotted Development","PLT","OTH"))))
&amp;"-"&amp;TEXT(COUNTIFS($B$9:B2557,B2557,$E$9:E2557,E2557),"0000")</f>
        <v>SUR-MIX-0460</v>
      </c>
      <c r="B2557" s="322" t="s">
        <v>34</v>
      </c>
      <c r="C2557" s="322" t="s">
        <v>34</v>
      </c>
      <c r="D2557" s="323" t="s">
        <v>2746</v>
      </c>
      <c r="E2557" s="132" t="s">
        <v>25</v>
      </c>
      <c r="F2557" s="97" t="str">
        <f ca="1">IF(OR(Market_Data[[#This Row],[Start Date]]="",Market_Data[[#This Row],[Completion Date]]=""),"Needs Validation",IF(Market_Data[[#This Row],[Start Date]]&gt;TODAY(),"Planned",IF(Market_Data[[#This Row],[Completion Date]]&lt;TODAY(),"Completed","Ongoing")))</f>
        <v>Completed</v>
      </c>
      <c r="G2557" s="324">
        <v>44137</v>
      </c>
      <c r="H2557" s="324">
        <v>45291</v>
      </c>
      <c r="I2557" s="325">
        <v>23400</v>
      </c>
      <c r="J255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57" s="133">
        <f>_xlfn.XLOOKUP(Market_Data[[#This Row],[Project Type]],tbl_assumptions_market[Project Category (RERA)],tbl_assumptions_market[Concrete Intensity
(m³ / sq m BUA)],"",0)</f>
        <v>0.42</v>
      </c>
      <c r="L2557" s="134">
        <f>ROUND(Market_Data[[#This Row],[Estimated Built Up Area (sq m)]]*Market_Data[[#This Row],[Concrete Intensity
(m³ / sq m)]],0)</f>
        <v>9828</v>
      </c>
      <c r="M2557" s="135">
        <f>_xlfn.XLOOKUP(Market_Data[[#This Row],[District]],tbl_district_price[District],tbl_district_price[Standard Price
(INR/m³)],"",0)</f>
        <v>6200</v>
      </c>
      <c r="N2557" s="364">
        <f>IF(OR(Market_Data[[#This Row],[Estimated Concrete Demand (m³)]]="",Market_Data[[#This Row],[Avg Price per (₹ / m³)]]=""),"",Market_Data[[#This Row],[Estimated Concrete Demand (m³)]]*Market_Data[[#This Row],[Avg Price per (₹ / m³)]]/10000000)</f>
        <v>6.0933599999999997</v>
      </c>
      <c r="O2557" s="97" t="str">
        <f>IF(Market_Data[[#This Row],[Estimated Concrete Demand (m³)]]="","",
IF(Market_Data[[#This Row],[Estimated Concrete Demand (m³)]]&lt;10000,"Small",
IF(Market_Data[[#This Row],[Estimated Concrete Demand (m³)]]&lt;25000,"Medium",
IF(Market_Data[[#This Row],[Estimated Concrete Demand (m³)]]&lt;100000,"Large","Mega"))))</f>
        <v>Small</v>
      </c>
      <c r="P2557" s="287" t="str">
        <f t="shared" si="41"/>
        <v>GujRERA</v>
      </c>
    </row>
    <row r="2558" spans="1:16">
      <c r="A2558" s="129" t="str">
        <f>_xlfn.XLOOKUP(B2558,$S$9:$S$14,$T$9:$T$14)&amp;"-"&amp;
IF(E2558="Residential/Group Housing","RES",
IF(E2558="Commercial","COM",
IF(E2558="Mixed Development","MIX",
IF(E2558="Plotted Development","PLT","OTH"))))
&amp;"-"&amp;TEXT(COUNTIFS($B$9:B2558,B2558,$E$9:E2558,E2558),"0000")</f>
        <v>SUR-RES-0882</v>
      </c>
      <c r="B2558" s="322" t="s">
        <v>34</v>
      </c>
      <c r="C2558" s="322" t="s">
        <v>34</v>
      </c>
      <c r="D2558" s="323" t="s">
        <v>2747</v>
      </c>
      <c r="E2558" s="132" t="s">
        <v>24</v>
      </c>
      <c r="F2558" s="97" t="str">
        <f ca="1">IF(OR(Market_Data[[#This Row],[Start Date]]="",Market_Data[[#This Row],[Completion Date]]=""),"Needs Validation",IF(Market_Data[[#This Row],[Start Date]]&gt;TODAY(),"Planned",IF(Market_Data[[#This Row],[Completion Date]]&lt;TODAY(),"Completed","Ongoing")))</f>
        <v>Ongoing</v>
      </c>
      <c r="G2558" s="324">
        <v>45699</v>
      </c>
      <c r="H2558" s="324">
        <v>47848</v>
      </c>
      <c r="I2558" s="325">
        <v>4000</v>
      </c>
      <c r="J255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58" s="133">
        <f>_xlfn.XLOOKUP(Market_Data[[#This Row],[Project Type]],tbl_assumptions_market[Project Category (RERA)],tbl_assumptions_market[Concrete Intensity
(m³ / sq m BUA)],"",0)</f>
        <v>0.45</v>
      </c>
      <c r="L2558" s="134">
        <f>ROUND(Market_Data[[#This Row],[Estimated Built Up Area (sq m)]]*Market_Data[[#This Row],[Concrete Intensity
(m³ / sq m)]],0)</f>
        <v>1800</v>
      </c>
      <c r="M2558" s="135">
        <f>_xlfn.XLOOKUP(Market_Data[[#This Row],[District]],tbl_district_price[District],tbl_district_price[Standard Price
(INR/m³)],"",0)</f>
        <v>6200</v>
      </c>
      <c r="N2558" s="364">
        <f>IF(OR(Market_Data[[#This Row],[Estimated Concrete Demand (m³)]]="",Market_Data[[#This Row],[Avg Price per (₹ / m³)]]=""),"",Market_Data[[#This Row],[Estimated Concrete Demand (m³)]]*Market_Data[[#This Row],[Avg Price per (₹ / m³)]]/10000000)</f>
        <v>1.1160000000000001</v>
      </c>
      <c r="O2558" s="97" t="str">
        <f>IF(Market_Data[[#This Row],[Estimated Concrete Demand (m³)]]="","",
IF(Market_Data[[#This Row],[Estimated Concrete Demand (m³)]]&lt;10000,"Small",
IF(Market_Data[[#This Row],[Estimated Concrete Demand (m³)]]&lt;25000,"Medium",
IF(Market_Data[[#This Row],[Estimated Concrete Demand (m³)]]&lt;100000,"Large","Mega"))))</f>
        <v>Small</v>
      </c>
      <c r="P2558" s="287" t="str">
        <f t="shared" si="41"/>
        <v>GujRERA</v>
      </c>
    </row>
    <row r="2559" spans="1:16">
      <c r="A2559" s="129" t="str">
        <f>_xlfn.XLOOKUP(B2559,$S$9:$S$14,$T$9:$T$14)&amp;"-"&amp;
IF(E2559="Residential/Group Housing","RES",
IF(E2559="Commercial","COM",
IF(E2559="Mixed Development","MIX",
IF(E2559="Plotted Development","PLT","OTH"))))
&amp;"-"&amp;TEXT(COUNTIFS($B$9:B2559,B2559,$E$9:E2559,E2559),"0000")</f>
        <v>SUR-PLT-0467</v>
      </c>
      <c r="B2559" s="322" t="s">
        <v>34</v>
      </c>
      <c r="C2559" s="322" t="s">
        <v>34</v>
      </c>
      <c r="D2559" s="323" t="s">
        <v>2748</v>
      </c>
      <c r="E2559" s="132" t="s">
        <v>26</v>
      </c>
      <c r="F2559" s="97" t="str">
        <f ca="1">IF(OR(Market_Data[[#This Row],[Start Date]]="",Market_Data[[#This Row],[Completion Date]]=""),"Needs Validation",IF(Market_Data[[#This Row],[Start Date]]&gt;TODAY(),"Planned",IF(Market_Data[[#This Row],[Completion Date]]&lt;TODAY(),"Completed","Ongoing")))</f>
        <v>Completed</v>
      </c>
      <c r="G2559" s="324">
        <v>44726</v>
      </c>
      <c r="H2559" s="324">
        <v>46022</v>
      </c>
      <c r="I2559" s="325">
        <v>35100</v>
      </c>
      <c r="J255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559" s="133">
        <f>_xlfn.XLOOKUP(Market_Data[[#This Row],[Project Type]],tbl_assumptions_market[Project Category (RERA)],tbl_assumptions_market[Concrete Intensity
(m³ / sq m BUA)],"",0)</f>
        <v>0.18</v>
      </c>
      <c r="L2559" s="134">
        <f>ROUND(Market_Data[[#This Row],[Estimated Built Up Area (sq m)]]*Market_Data[[#This Row],[Concrete Intensity
(m³ / sq m)]],0)</f>
        <v>6318</v>
      </c>
      <c r="M2559" s="135">
        <f>_xlfn.XLOOKUP(Market_Data[[#This Row],[District]],tbl_district_price[District],tbl_district_price[Standard Price
(INR/m³)],"",0)</f>
        <v>6200</v>
      </c>
      <c r="N2559" s="364">
        <f>IF(OR(Market_Data[[#This Row],[Estimated Concrete Demand (m³)]]="",Market_Data[[#This Row],[Avg Price per (₹ / m³)]]=""),"",Market_Data[[#This Row],[Estimated Concrete Demand (m³)]]*Market_Data[[#This Row],[Avg Price per (₹ / m³)]]/10000000)</f>
        <v>3.91716</v>
      </c>
      <c r="O2559" s="97" t="str">
        <f>IF(Market_Data[[#This Row],[Estimated Concrete Demand (m³)]]="","",
IF(Market_Data[[#This Row],[Estimated Concrete Demand (m³)]]&lt;10000,"Small",
IF(Market_Data[[#This Row],[Estimated Concrete Demand (m³)]]&lt;25000,"Medium",
IF(Market_Data[[#This Row],[Estimated Concrete Demand (m³)]]&lt;100000,"Large","Mega"))))</f>
        <v>Small</v>
      </c>
      <c r="P2559" s="287" t="str">
        <f t="shared" si="41"/>
        <v>GujRERA</v>
      </c>
    </row>
    <row r="2560" spans="1:16">
      <c r="A2560" s="129" t="str">
        <f>_xlfn.XLOOKUP(B2560,$S$9:$S$14,$T$9:$T$14)&amp;"-"&amp;
IF(E2560="Residential/Group Housing","RES",
IF(E2560="Commercial","COM",
IF(E2560="Mixed Development","MIX",
IF(E2560="Plotted Development","PLT","OTH"))))
&amp;"-"&amp;TEXT(COUNTIFS($B$9:B2560,B2560,$E$9:E2560,E2560),"0000")</f>
        <v>SUR-RES-0883</v>
      </c>
      <c r="B2560" s="322" t="s">
        <v>34</v>
      </c>
      <c r="C2560" s="322" t="s">
        <v>34</v>
      </c>
      <c r="D2560" s="323" t="s">
        <v>2749</v>
      </c>
      <c r="E2560" s="132" t="s">
        <v>24</v>
      </c>
      <c r="F2560" s="97" t="str">
        <f ca="1">IF(OR(Market_Data[[#This Row],[Start Date]]="",Market_Data[[#This Row],[Completion Date]]=""),"Needs Validation",IF(Market_Data[[#This Row],[Start Date]]&gt;TODAY(),"Planned",IF(Market_Data[[#This Row],[Completion Date]]&lt;TODAY(),"Completed","Ongoing")))</f>
        <v>Ongoing</v>
      </c>
      <c r="G2560" s="324">
        <v>45692</v>
      </c>
      <c r="H2560" s="324">
        <v>47483</v>
      </c>
      <c r="I2560" s="325">
        <v>17800</v>
      </c>
      <c r="J256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60" s="133">
        <f>_xlfn.XLOOKUP(Market_Data[[#This Row],[Project Type]],tbl_assumptions_market[Project Category (RERA)],tbl_assumptions_market[Concrete Intensity
(m³ / sq m BUA)],"",0)</f>
        <v>0.45</v>
      </c>
      <c r="L2560" s="134">
        <f>ROUND(Market_Data[[#This Row],[Estimated Built Up Area (sq m)]]*Market_Data[[#This Row],[Concrete Intensity
(m³ / sq m)]],0)</f>
        <v>8010</v>
      </c>
      <c r="M2560" s="135">
        <f>_xlfn.XLOOKUP(Market_Data[[#This Row],[District]],tbl_district_price[District],tbl_district_price[Standard Price
(INR/m³)],"",0)</f>
        <v>6200</v>
      </c>
      <c r="N2560" s="364">
        <f>IF(OR(Market_Data[[#This Row],[Estimated Concrete Demand (m³)]]="",Market_Data[[#This Row],[Avg Price per (₹ / m³)]]=""),"",Market_Data[[#This Row],[Estimated Concrete Demand (m³)]]*Market_Data[[#This Row],[Avg Price per (₹ / m³)]]/10000000)</f>
        <v>4.9661999999999997</v>
      </c>
      <c r="O2560" s="97" t="str">
        <f>IF(Market_Data[[#This Row],[Estimated Concrete Demand (m³)]]="","",
IF(Market_Data[[#This Row],[Estimated Concrete Demand (m³)]]&lt;10000,"Small",
IF(Market_Data[[#This Row],[Estimated Concrete Demand (m³)]]&lt;25000,"Medium",
IF(Market_Data[[#This Row],[Estimated Concrete Demand (m³)]]&lt;100000,"Large","Mega"))))</f>
        <v>Small</v>
      </c>
      <c r="P2560" s="287" t="str">
        <f t="shared" si="41"/>
        <v>GujRERA</v>
      </c>
    </row>
    <row r="2561" spans="1:16">
      <c r="A2561" s="129" t="str">
        <f>_xlfn.XLOOKUP(B2561,$S$9:$S$14,$T$9:$T$14)&amp;"-"&amp;
IF(E2561="Residential/Group Housing","RES",
IF(E2561="Commercial","COM",
IF(E2561="Mixed Development","MIX",
IF(E2561="Plotted Development","PLT","OTH"))))
&amp;"-"&amp;TEXT(COUNTIFS($B$9:B2561,B2561,$E$9:E2561,E2561),"0000")</f>
        <v>SUR-RES-0884</v>
      </c>
      <c r="B2561" s="322" t="s">
        <v>34</v>
      </c>
      <c r="C2561" s="322" t="s">
        <v>34</v>
      </c>
      <c r="D2561" s="323" t="s">
        <v>2750</v>
      </c>
      <c r="E2561" s="132" t="s">
        <v>24</v>
      </c>
      <c r="F2561" s="97" t="str">
        <f ca="1">IF(OR(Market_Data[[#This Row],[Start Date]]="",Market_Data[[#This Row],[Completion Date]]=""),"Needs Validation",IF(Market_Data[[#This Row],[Start Date]]&gt;TODAY(),"Planned",IF(Market_Data[[#This Row],[Completion Date]]&lt;TODAY(),"Completed","Ongoing")))</f>
        <v>Ongoing</v>
      </c>
      <c r="G2561" s="324">
        <v>44855</v>
      </c>
      <c r="H2561" s="324">
        <v>46752</v>
      </c>
      <c r="I2561" s="325">
        <v>6000</v>
      </c>
      <c r="J256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61" s="133">
        <f>_xlfn.XLOOKUP(Market_Data[[#This Row],[Project Type]],tbl_assumptions_market[Project Category (RERA)],tbl_assumptions_market[Concrete Intensity
(m³ / sq m BUA)],"",0)</f>
        <v>0.45</v>
      </c>
      <c r="L2561" s="134">
        <f>ROUND(Market_Data[[#This Row],[Estimated Built Up Area (sq m)]]*Market_Data[[#This Row],[Concrete Intensity
(m³ / sq m)]],0)</f>
        <v>2700</v>
      </c>
      <c r="M2561" s="135">
        <f>_xlfn.XLOOKUP(Market_Data[[#This Row],[District]],tbl_district_price[District],tbl_district_price[Standard Price
(INR/m³)],"",0)</f>
        <v>6200</v>
      </c>
      <c r="N2561" s="364">
        <f>IF(OR(Market_Data[[#This Row],[Estimated Concrete Demand (m³)]]="",Market_Data[[#This Row],[Avg Price per (₹ / m³)]]=""),"",Market_Data[[#This Row],[Estimated Concrete Demand (m³)]]*Market_Data[[#This Row],[Avg Price per (₹ / m³)]]/10000000)</f>
        <v>1.6739999999999999</v>
      </c>
      <c r="O2561" s="97" t="str">
        <f>IF(Market_Data[[#This Row],[Estimated Concrete Demand (m³)]]="","",
IF(Market_Data[[#This Row],[Estimated Concrete Demand (m³)]]&lt;10000,"Small",
IF(Market_Data[[#This Row],[Estimated Concrete Demand (m³)]]&lt;25000,"Medium",
IF(Market_Data[[#This Row],[Estimated Concrete Demand (m³)]]&lt;100000,"Large","Mega"))))</f>
        <v>Small</v>
      </c>
      <c r="P2561" s="287" t="str">
        <f t="shared" si="41"/>
        <v>GujRERA</v>
      </c>
    </row>
    <row r="2562" spans="1:16">
      <c r="A2562" s="129" t="str">
        <f>_xlfn.XLOOKUP(B2562,$S$9:$S$14,$T$9:$T$14)&amp;"-"&amp;
IF(E2562="Residential/Group Housing","RES",
IF(E2562="Commercial","COM",
IF(E2562="Mixed Development","MIX",
IF(E2562="Plotted Development","PLT","OTH"))))
&amp;"-"&amp;TEXT(COUNTIFS($B$9:B2562,B2562,$E$9:E2562,E2562),"0000")</f>
        <v>SUR-COM-0433</v>
      </c>
      <c r="B2562" s="322" t="s">
        <v>34</v>
      </c>
      <c r="C2562" s="322" t="s">
        <v>34</v>
      </c>
      <c r="D2562" s="323" t="s">
        <v>2751</v>
      </c>
      <c r="E2562" s="132" t="s">
        <v>23</v>
      </c>
      <c r="F2562" s="97" t="str">
        <f ca="1">IF(OR(Market_Data[[#This Row],[Start Date]]="",Market_Data[[#This Row],[Completion Date]]=""),"Needs Validation",IF(Market_Data[[#This Row],[Start Date]]&gt;TODAY(),"Planned",IF(Market_Data[[#This Row],[Completion Date]]&lt;TODAY(),"Completed","Ongoing")))</f>
        <v>Completed</v>
      </c>
      <c r="G2562" s="324">
        <v>42240</v>
      </c>
      <c r="H2562" s="324">
        <v>43555</v>
      </c>
      <c r="I2562" s="325">
        <v>7100</v>
      </c>
      <c r="J256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62" s="133">
        <f>_xlfn.XLOOKUP(Market_Data[[#This Row],[Project Type]],tbl_assumptions_market[Project Category (RERA)],tbl_assumptions_market[Concrete Intensity
(m³ / sq m BUA)],"",0)</f>
        <v>0.5</v>
      </c>
      <c r="L2562" s="134">
        <f>ROUND(Market_Data[[#This Row],[Estimated Built Up Area (sq m)]]*Market_Data[[#This Row],[Concrete Intensity
(m³ / sq m)]],0)</f>
        <v>3550</v>
      </c>
      <c r="M2562" s="135">
        <f>_xlfn.XLOOKUP(Market_Data[[#This Row],[District]],tbl_district_price[District],tbl_district_price[Standard Price
(INR/m³)],"",0)</f>
        <v>6200</v>
      </c>
      <c r="N2562" s="364">
        <f>IF(OR(Market_Data[[#This Row],[Estimated Concrete Demand (m³)]]="",Market_Data[[#This Row],[Avg Price per (₹ / m³)]]=""),"",Market_Data[[#This Row],[Estimated Concrete Demand (m³)]]*Market_Data[[#This Row],[Avg Price per (₹ / m³)]]/10000000)</f>
        <v>2.2010000000000001</v>
      </c>
      <c r="O2562" s="97" t="str">
        <f>IF(Market_Data[[#This Row],[Estimated Concrete Demand (m³)]]="","",
IF(Market_Data[[#This Row],[Estimated Concrete Demand (m³)]]&lt;10000,"Small",
IF(Market_Data[[#This Row],[Estimated Concrete Demand (m³)]]&lt;25000,"Medium",
IF(Market_Data[[#This Row],[Estimated Concrete Demand (m³)]]&lt;100000,"Large","Mega"))))</f>
        <v>Small</v>
      </c>
      <c r="P2562" s="287" t="str">
        <f t="shared" si="41"/>
        <v>GujRERA</v>
      </c>
    </row>
    <row r="2563" spans="1:16">
      <c r="A2563" s="129" t="str">
        <f>_xlfn.XLOOKUP(B2563,$S$9:$S$14,$T$9:$T$14)&amp;"-"&amp;
IF(E2563="Residential/Group Housing","RES",
IF(E2563="Commercial","COM",
IF(E2563="Mixed Development","MIX",
IF(E2563="Plotted Development","PLT","OTH"))))
&amp;"-"&amp;TEXT(COUNTIFS($B$9:B2563,B2563,$E$9:E2563,E2563),"0000")</f>
        <v>SUR-PLT-0468</v>
      </c>
      <c r="B2563" s="322" t="s">
        <v>34</v>
      </c>
      <c r="C2563" s="322" t="s">
        <v>34</v>
      </c>
      <c r="D2563" s="323" t="s">
        <v>2752</v>
      </c>
      <c r="E2563" s="132" t="s">
        <v>26</v>
      </c>
      <c r="F2563" s="97" t="str">
        <f ca="1">IF(OR(Market_Data[[#This Row],[Start Date]]="",Market_Data[[#This Row],[Completion Date]]=""),"Needs Validation",IF(Market_Data[[#This Row],[Start Date]]&gt;TODAY(),"Planned",IF(Market_Data[[#This Row],[Completion Date]]&lt;TODAY(),"Completed","Ongoing")))</f>
        <v>Completed</v>
      </c>
      <c r="G2563" s="324">
        <v>44846</v>
      </c>
      <c r="H2563" s="324">
        <v>45950</v>
      </c>
      <c r="I2563" s="325">
        <v>4000</v>
      </c>
      <c r="J256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63" s="133">
        <f>_xlfn.XLOOKUP(Market_Data[[#This Row],[Project Type]],tbl_assumptions_market[Project Category (RERA)],tbl_assumptions_market[Concrete Intensity
(m³ / sq m BUA)],"",0)</f>
        <v>0.18</v>
      </c>
      <c r="L2563" s="134">
        <f>ROUND(Market_Data[[#This Row],[Estimated Built Up Area (sq m)]]*Market_Data[[#This Row],[Concrete Intensity
(m³ / sq m)]],0)</f>
        <v>720</v>
      </c>
      <c r="M2563" s="135">
        <f>_xlfn.XLOOKUP(Market_Data[[#This Row],[District]],tbl_district_price[District],tbl_district_price[Standard Price
(INR/m³)],"",0)</f>
        <v>6200</v>
      </c>
      <c r="N2563" s="364">
        <f>IF(OR(Market_Data[[#This Row],[Estimated Concrete Demand (m³)]]="",Market_Data[[#This Row],[Avg Price per (₹ / m³)]]=""),"",Market_Data[[#This Row],[Estimated Concrete Demand (m³)]]*Market_Data[[#This Row],[Avg Price per (₹ / m³)]]/10000000)</f>
        <v>0.44640000000000002</v>
      </c>
      <c r="O2563" s="97" t="str">
        <f>IF(Market_Data[[#This Row],[Estimated Concrete Demand (m³)]]="","",
IF(Market_Data[[#This Row],[Estimated Concrete Demand (m³)]]&lt;10000,"Small",
IF(Market_Data[[#This Row],[Estimated Concrete Demand (m³)]]&lt;25000,"Medium",
IF(Market_Data[[#This Row],[Estimated Concrete Demand (m³)]]&lt;100000,"Large","Mega"))))</f>
        <v>Small</v>
      </c>
      <c r="P2563" s="287" t="str">
        <f t="shared" si="41"/>
        <v>GujRERA</v>
      </c>
    </row>
    <row r="2564" spans="1:16">
      <c r="A2564" s="129" t="str">
        <f>_xlfn.XLOOKUP(B2564,$S$9:$S$14,$T$9:$T$14)&amp;"-"&amp;
IF(E2564="Residential/Group Housing","RES",
IF(E2564="Commercial","COM",
IF(E2564="Mixed Development","MIX",
IF(E2564="Plotted Development","PLT","OTH"))))
&amp;"-"&amp;TEXT(COUNTIFS($B$9:B2564,B2564,$E$9:E2564,E2564),"0000")</f>
        <v>SUR-PLT-0469</v>
      </c>
      <c r="B2564" s="322" t="s">
        <v>34</v>
      </c>
      <c r="C2564" s="322" t="s">
        <v>34</v>
      </c>
      <c r="D2564" s="323" t="s">
        <v>2753</v>
      </c>
      <c r="E2564" s="132" t="s">
        <v>26</v>
      </c>
      <c r="F2564" s="97" t="str">
        <f ca="1">IF(OR(Market_Data[[#This Row],[Start Date]]="",Market_Data[[#This Row],[Completion Date]]=""),"Needs Validation",IF(Market_Data[[#This Row],[Start Date]]&gt;TODAY(),"Planned",IF(Market_Data[[#This Row],[Completion Date]]&lt;TODAY(),"Completed","Ongoing")))</f>
        <v>Ongoing</v>
      </c>
      <c r="G2564" s="324">
        <v>45852</v>
      </c>
      <c r="H2564" s="324">
        <v>46752</v>
      </c>
      <c r="I2564" s="325">
        <v>46500</v>
      </c>
      <c r="J256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564" s="133">
        <f>_xlfn.XLOOKUP(Market_Data[[#This Row],[Project Type]],tbl_assumptions_market[Project Category (RERA)],tbl_assumptions_market[Concrete Intensity
(m³ / sq m BUA)],"",0)</f>
        <v>0.18</v>
      </c>
      <c r="L2564" s="134">
        <f>ROUND(Market_Data[[#This Row],[Estimated Built Up Area (sq m)]]*Market_Data[[#This Row],[Concrete Intensity
(m³ / sq m)]],0)</f>
        <v>8370</v>
      </c>
      <c r="M2564" s="135">
        <f>_xlfn.XLOOKUP(Market_Data[[#This Row],[District]],tbl_district_price[District],tbl_district_price[Standard Price
(INR/m³)],"",0)</f>
        <v>6200</v>
      </c>
      <c r="N2564" s="364">
        <f>IF(OR(Market_Data[[#This Row],[Estimated Concrete Demand (m³)]]="",Market_Data[[#This Row],[Avg Price per (₹ / m³)]]=""),"",Market_Data[[#This Row],[Estimated Concrete Demand (m³)]]*Market_Data[[#This Row],[Avg Price per (₹ / m³)]]/10000000)</f>
        <v>5.1894</v>
      </c>
      <c r="O2564" s="97" t="str">
        <f>IF(Market_Data[[#This Row],[Estimated Concrete Demand (m³)]]="","",
IF(Market_Data[[#This Row],[Estimated Concrete Demand (m³)]]&lt;10000,"Small",
IF(Market_Data[[#This Row],[Estimated Concrete Demand (m³)]]&lt;25000,"Medium",
IF(Market_Data[[#This Row],[Estimated Concrete Demand (m³)]]&lt;100000,"Large","Mega"))))</f>
        <v>Small</v>
      </c>
      <c r="P2564" s="287" t="str">
        <f t="shared" si="41"/>
        <v>GujRERA</v>
      </c>
    </row>
    <row r="2565" spans="1:16">
      <c r="A2565" s="129" t="str">
        <f>_xlfn.XLOOKUP(B2565,$S$9:$S$14,$T$9:$T$14)&amp;"-"&amp;
IF(E2565="Residential/Group Housing","RES",
IF(E2565="Commercial","COM",
IF(E2565="Mixed Development","MIX",
IF(E2565="Plotted Development","PLT","OTH"))))
&amp;"-"&amp;TEXT(COUNTIFS($B$9:B2565,B2565,$E$9:E2565,E2565),"0000")</f>
        <v>SUR-PLT-0470</v>
      </c>
      <c r="B2565" s="322" t="s">
        <v>34</v>
      </c>
      <c r="C2565" s="322" t="s">
        <v>34</v>
      </c>
      <c r="D2565" s="323" t="s">
        <v>2754</v>
      </c>
      <c r="E2565" s="132" t="s">
        <v>26</v>
      </c>
      <c r="F2565" s="97" t="str">
        <f ca="1">IF(OR(Market_Data[[#This Row],[Start Date]]="",Market_Data[[#This Row],[Completion Date]]=""),"Needs Validation",IF(Market_Data[[#This Row],[Start Date]]&gt;TODAY(),"Planned",IF(Market_Data[[#This Row],[Completion Date]]&lt;TODAY(),"Completed","Ongoing")))</f>
        <v>Ongoing</v>
      </c>
      <c r="G2565" s="324">
        <v>45583</v>
      </c>
      <c r="H2565" s="324">
        <v>47483</v>
      </c>
      <c r="I2565" s="325">
        <v>43500</v>
      </c>
      <c r="J256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565" s="133">
        <f>_xlfn.XLOOKUP(Market_Data[[#This Row],[Project Type]],tbl_assumptions_market[Project Category (RERA)],tbl_assumptions_market[Concrete Intensity
(m³ / sq m BUA)],"",0)</f>
        <v>0.18</v>
      </c>
      <c r="L2565" s="134">
        <f>ROUND(Market_Data[[#This Row],[Estimated Built Up Area (sq m)]]*Market_Data[[#This Row],[Concrete Intensity
(m³ / sq m)]],0)</f>
        <v>7830</v>
      </c>
      <c r="M2565" s="135">
        <f>_xlfn.XLOOKUP(Market_Data[[#This Row],[District]],tbl_district_price[District],tbl_district_price[Standard Price
(INR/m³)],"",0)</f>
        <v>6200</v>
      </c>
      <c r="N2565" s="364">
        <f>IF(OR(Market_Data[[#This Row],[Estimated Concrete Demand (m³)]]="",Market_Data[[#This Row],[Avg Price per (₹ / m³)]]=""),"",Market_Data[[#This Row],[Estimated Concrete Demand (m³)]]*Market_Data[[#This Row],[Avg Price per (₹ / m³)]]/10000000)</f>
        <v>4.8545999999999996</v>
      </c>
      <c r="O2565" s="97" t="str">
        <f>IF(Market_Data[[#This Row],[Estimated Concrete Demand (m³)]]="","",
IF(Market_Data[[#This Row],[Estimated Concrete Demand (m³)]]&lt;10000,"Small",
IF(Market_Data[[#This Row],[Estimated Concrete Demand (m³)]]&lt;25000,"Medium",
IF(Market_Data[[#This Row],[Estimated Concrete Demand (m³)]]&lt;100000,"Large","Mega"))))</f>
        <v>Small</v>
      </c>
      <c r="P2565" s="287" t="str">
        <f t="shared" si="41"/>
        <v>GujRERA</v>
      </c>
    </row>
    <row r="2566" spans="1:16">
      <c r="A2566" s="129" t="str">
        <f>_xlfn.XLOOKUP(B2566,$S$9:$S$14,$T$9:$T$14)&amp;"-"&amp;
IF(E2566="Residential/Group Housing","RES",
IF(E2566="Commercial","COM",
IF(E2566="Mixed Development","MIX",
IF(E2566="Plotted Development","PLT","OTH"))))
&amp;"-"&amp;TEXT(COUNTIFS($B$9:B2566,B2566,$E$9:E2566,E2566),"0000")</f>
        <v>SUR-PLT-0471</v>
      </c>
      <c r="B2566" s="322" t="s">
        <v>34</v>
      </c>
      <c r="C2566" s="322" t="s">
        <v>34</v>
      </c>
      <c r="D2566" s="323" t="s">
        <v>2755</v>
      </c>
      <c r="E2566" s="132" t="s">
        <v>26</v>
      </c>
      <c r="F2566" s="97" t="str">
        <f ca="1">IF(OR(Market_Data[[#This Row],[Start Date]]="",Market_Data[[#This Row],[Completion Date]]=""),"Needs Validation",IF(Market_Data[[#This Row],[Start Date]]&gt;TODAY(),"Planned",IF(Market_Data[[#This Row],[Completion Date]]&lt;TODAY(),"Completed","Ongoing")))</f>
        <v>Ongoing</v>
      </c>
      <c r="G2566" s="324">
        <v>45200</v>
      </c>
      <c r="H2566" s="324">
        <v>46752</v>
      </c>
      <c r="I2566" s="325">
        <v>58200</v>
      </c>
      <c r="J256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566" s="133">
        <f>_xlfn.XLOOKUP(Market_Data[[#This Row],[Project Type]],tbl_assumptions_market[Project Category (RERA)],tbl_assumptions_market[Concrete Intensity
(m³ / sq m BUA)],"",0)</f>
        <v>0.18</v>
      </c>
      <c r="L2566" s="134">
        <f>ROUND(Market_Data[[#This Row],[Estimated Built Up Area (sq m)]]*Market_Data[[#This Row],[Concrete Intensity
(m³ / sq m)]],0)</f>
        <v>10476</v>
      </c>
      <c r="M2566" s="135">
        <f>_xlfn.XLOOKUP(Market_Data[[#This Row],[District]],tbl_district_price[District],tbl_district_price[Standard Price
(INR/m³)],"",0)</f>
        <v>6200</v>
      </c>
      <c r="N2566" s="364">
        <f>IF(OR(Market_Data[[#This Row],[Estimated Concrete Demand (m³)]]="",Market_Data[[#This Row],[Avg Price per (₹ / m³)]]=""),"",Market_Data[[#This Row],[Estimated Concrete Demand (m³)]]*Market_Data[[#This Row],[Avg Price per (₹ / m³)]]/10000000)</f>
        <v>6.49512</v>
      </c>
      <c r="O2566" s="97" t="str">
        <f>IF(Market_Data[[#This Row],[Estimated Concrete Demand (m³)]]="","",
IF(Market_Data[[#This Row],[Estimated Concrete Demand (m³)]]&lt;10000,"Small",
IF(Market_Data[[#This Row],[Estimated Concrete Demand (m³)]]&lt;25000,"Medium",
IF(Market_Data[[#This Row],[Estimated Concrete Demand (m³)]]&lt;100000,"Large","Mega"))))</f>
        <v>Medium</v>
      </c>
      <c r="P2566" s="287" t="str">
        <f t="shared" si="41"/>
        <v>GujRERA</v>
      </c>
    </row>
    <row r="2567" spans="1:16">
      <c r="A2567" s="129" t="str">
        <f>_xlfn.XLOOKUP(B2567,$S$9:$S$14,$T$9:$T$14)&amp;"-"&amp;
IF(E2567="Residential/Group Housing","RES",
IF(E2567="Commercial","COM",
IF(E2567="Mixed Development","MIX",
IF(E2567="Plotted Development","PLT","OTH"))))
&amp;"-"&amp;TEXT(COUNTIFS($B$9:B2567,B2567,$E$9:E2567,E2567),"0000")</f>
        <v>SUR-RES-0885</v>
      </c>
      <c r="B2567" s="322" t="s">
        <v>34</v>
      </c>
      <c r="C2567" s="322" t="s">
        <v>34</v>
      </c>
      <c r="D2567" s="323" t="s">
        <v>2756</v>
      </c>
      <c r="E2567" s="132" t="s">
        <v>24</v>
      </c>
      <c r="F2567" s="97" t="str">
        <f ca="1">IF(OR(Market_Data[[#This Row],[Start Date]]="",Market_Data[[#This Row],[Completion Date]]=""),"Needs Validation",IF(Market_Data[[#This Row],[Start Date]]&gt;TODAY(),"Planned",IF(Market_Data[[#This Row],[Completion Date]]&lt;TODAY(),"Completed","Ongoing")))</f>
        <v>Ongoing</v>
      </c>
      <c r="G2567" s="324">
        <v>45981</v>
      </c>
      <c r="H2567" s="324">
        <v>47483</v>
      </c>
      <c r="I2567" s="325">
        <v>5800</v>
      </c>
      <c r="J256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67" s="133">
        <f>_xlfn.XLOOKUP(Market_Data[[#This Row],[Project Type]],tbl_assumptions_market[Project Category (RERA)],tbl_assumptions_market[Concrete Intensity
(m³ / sq m BUA)],"",0)</f>
        <v>0.45</v>
      </c>
      <c r="L2567" s="134">
        <f>ROUND(Market_Data[[#This Row],[Estimated Built Up Area (sq m)]]*Market_Data[[#This Row],[Concrete Intensity
(m³ / sq m)]],0)</f>
        <v>2610</v>
      </c>
      <c r="M2567" s="135">
        <f>_xlfn.XLOOKUP(Market_Data[[#This Row],[District]],tbl_district_price[District],tbl_district_price[Standard Price
(INR/m³)],"",0)</f>
        <v>6200</v>
      </c>
      <c r="N2567" s="364">
        <f>IF(OR(Market_Data[[#This Row],[Estimated Concrete Demand (m³)]]="",Market_Data[[#This Row],[Avg Price per (₹ / m³)]]=""),"",Market_Data[[#This Row],[Estimated Concrete Demand (m³)]]*Market_Data[[#This Row],[Avg Price per (₹ / m³)]]/10000000)</f>
        <v>1.6182000000000001</v>
      </c>
      <c r="O2567" s="97" t="str">
        <f>IF(Market_Data[[#This Row],[Estimated Concrete Demand (m³)]]="","",
IF(Market_Data[[#This Row],[Estimated Concrete Demand (m³)]]&lt;10000,"Small",
IF(Market_Data[[#This Row],[Estimated Concrete Demand (m³)]]&lt;25000,"Medium",
IF(Market_Data[[#This Row],[Estimated Concrete Demand (m³)]]&lt;100000,"Large","Mega"))))</f>
        <v>Small</v>
      </c>
      <c r="P2567" s="287" t="str">
        <f t="shared" si="41"/>
        <v>GujRERA</v>
      </c>
    </row>
    <row r="2568" spans="1:16">
      <c r="A2568" s="129" t="str">
        <f>_xlfn.XLOOKUP(B2568,$S$9:$S$14,$T$9:$T$14)&amp;"-"&amp;
IF(E2568="Residential/Group Housing","RES",
IF(E2568="Commercial","COM",
IF(E2568="Mixed Development","MIX",
IF(E2568="Plotted Development","PLT","OTH"))))
&amp;"-"&amp;TEXT(COUNTIFS($B$9:B2568,B2568,$E$9:E2568,E2568),"0000")</f>
        <v>SUR-RES-0886</v>
      </c>
      <c r="B2568" s="322" t="s">
        <v>34</v>
      </c>
      <c r="C2568" s="322" t="s">
        <v>34</v>
      </c>
      <c r="D2568" s="323" t="s">
        <v>2757</v>
      </c>
      <c r="E2568" s="132" t="s">
        <v>24</v>
      </c>
      <c r="F2568" s="97" t="str">
        <f ca="1">IF(OR(Market_Data[[#This Row],[Start Date]]="",Market_Data[[#This Row],[Completion Date]]=""),"Needs Validation",IF(Market_Data[[#This Row],[Start Date]]&gt;TODAY(),"Planned",IF(Market_Data[[#This Row],[Completion Date]]&lt;TODAY(),"Completed","Ongoing")))</f>
        <v>Completed</v>
      </c>
      <c r="G2568" s="324">
        <v>43435</v>
      </c>
      <c r="H2568" s="324">
        <v>44377</v>
      </c>
      <c r="I2568" s="325">
        <v>38500</v>
      </c>
      <c r="J256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68" s="133">
        <f>_xlfn.XLOOKUP(Market_Data[[#This Row],[Project Type]],tbl_assumptions_market[Project Category (RERA)],tbl_assumptions_market[Concrete Intensity
(m³ / sq m BUA)],"",0)</f>
        <v>0.45</v>
      </c>
      <c r="L2568" s="134">
        <f>ROUND(Market_Data[[#This Row],[Estimated Built Up Area (sq m)]]*Market_Data[[#This Row],[Concrete Intensity
(m³ / sq m)]],0)</f>
        <v>17325</v>
      </c>
      <c r="M2568" s="135">
        <f>_xlfn.XLOOKUP(Market_Data[[#This Row],[District]],tbl_district_price[District],tbl_district_price[Standard Price
(INR/m³)],"",0)</f>
        <v>6200</v>
      </c>
      <c r="N2568" s="364">
        <f>IF(OR(Market_Data[[#This Row],[Estimated Concrete Demand (m³)]]="",Market_Data[[#This Row],[Avg Price per (₹ / m³)]]=""),"",Market_Data[[#This Row],[Estimated Concrete Demand (m³)]]*Market_Data[[#This Row],[Avg Price per (₹ / m³)]]/10000000)</f>
        <v>10.7415</v>
      </c>
      <c r="O2568" s="97" t="str">
        <f>IF(Market_Data[[#This Row],[Estimated Concrete Demand (m³)]]="","",
IF(Market_Data[[#This Row],[Estimated Concrete Demand (m³)]]&lt;10000,"Small",
IF(Market_Data[[#This Row],[Estimated Concrete Demand (m³)]]&lt;25000,"Medium",
IF(Market_Data[[#This Row],[Estimated Concrete Demand (m³)]]&lt;100000,"Large","Mega"))))</f>
        <v>Medium</v>
      </c>
      <c r="P2568" s="287" t="str">
        <f t="shared" si="41"/>
        <v>GujRERA</v>
      </c>
    </row>
    <row r="2569" spans="1:16">
      <c r="A2569" s="129" t="str">
        <f>_xlfn.XLOOKUP(B2569,$S$9:$S$14,$T$9:$T$14)&amp;"-"&amp;
IF(E2569="Residential/Group Housing","RES",
IF(E2569="Commercial","COM",
IF(E2569="Mixed Development","MIX",
IF(E2569="Plotted Development","PLT","OTH"))))
&amp;"-"&amp;TEXT(COUNTIFS($B$9:B2569,B2569,$E$9:E2569,E2569),"0000")</f>
        <v>SUR-RES-0887</v>
      </c>
      <c r="B2569" s="322" t="s">
        <v>34</v>
      </c>
      <c r="C2569" s="322" t="s">
        <v>34</v>
      </c>
      <c r="D2569" s="323" t="s">
        <v>2758</v>
      </c>
      <c r="E2569" s="132" t="s">
        <v>24</v>
      </c>
      <c r="F2569" s="97" t="str">
        <f ca="1">IF(OR(Market_Data[[#This Row],[Start Date]]="",Market_Data[[#This Row],[Completion Date]]=""),"Needs Validation",IF(Market_Data[[#This Row],[Start Date]]&gt;TODAY(),"Planned",IF(Market_Data[[#This Row],[Completion Date]]&lt;TODAY(),"Completed","Ongoing")))</f>
        <v>Completed</v>
      </c>
      <c r="G2569" s="324">
        <v>43510</v>
      </c>
      <c r="H2569" s="324">
        <v>45930</v>
      </c>
      <c r="I2569" s="325">
        <v>22100</v>
      </c>
      <c r="J256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69" s="133">
        <f>_xlfn.XLOOKUP(Market_Data[[#This Row],[Project Type]],tbl_assumptions_market[Project Category (RERA)],tbl_assumptions_market[Concrete Intensity
(m³ / sq m BUA)],"",0)</f>
        <v>0.45</v>
      </c>
      <c r="L2569" s="134">
        <f>ROUND(Market_Data[[#This Row],[Estimated Built Up Area (sq m)]]*Market_Data[[#This Row],[Concrete Intensity
(m³ / sq m)]],0)</f>
        <v>9945</v>
      </c>
      <c r="M2569" s="135">
        <f>_xlfn.XLOOKUP(Market_Data[[#This Row],[District]],tbl_district_price[District],tbl_district_price[Standard Price
(INR/m³)],"",0)</f>
        <v>6200</v>
      </c>
      <c r="N2569" s="364">
        <f>IF(OR(Market_Data[[#This Row],[Estimated Concrete Demand (m³)]]="",Market_Data[[#This Row],[Avg Price per (₹ / m³)]]=""),"",Market_Data[[#This Row],[Estimated Concrete Demand (m³)]]*Market_Data[[#This Row],[Avg Price per (₹ / m³)]]/10000000)</f>
        <v>6.1658999999999997</v>
      </c>
      <c r="O2569" s="97" t="str">
        <f>IF(Market_Data[[#This Row],[Estimated Concrete Demand (m³)]]="","",
IF(Market_Data[[#This Row],[Estimated Concrete Demand (m³)]]&lt;10000,"Small",
IF(Market_Data[[#This Row],[Estimated Concrete Demand (m³)]]&lt;25000,"Medium",
IF(Market_Data[[#This Row],[Estimated Concrete Demand (m³)]]&lt;100000,"Large","Mega"))))</f>
        <v>Small</v>
      </c>
      <c r="P2569" s="287" t="str">
        <f t="shared" si="41"/>
        <v>GujRERA</v>
      </c>
    </row>
    <row r="2570" spans="1:16">
      <c r="A2570" s="129" t="str">
        <f>_xlfn.XLOOKUP(B2570,$S$9:$S$14,$T$9:$T$14)&amp;"-"&amp;
IF(E2570="Residential/Group Housing","RES",
IF(E2570="Commercial","COM",
IF(E2570="Mixed Development","MIX",
IF(E2570="Plotted Development","PLT","OTH"))))
&amp;"-"&amp;TEXT(COUNTIFS($B$9:B2570,B2570,$E$9:E2570,E2570),"0000")</f>
        <v>SUR-PLT-0472</v>
      </c>
      <c r="B2570" s="322" t="s">
        <v>34</v>
      </c>
      <c r="C2570" s="322" t="s">
        <v>34</v>
      </c>
      <c r="D2570" s="323" t="s">
        <v>2759</v>
      </c>
      <c r="E2570" s="132" t="s">
        <v>26</v>
      </c>
      <c r="F2570" s="97" t="str">
        <f ca="1">IF(OR(Market_Data[[#This Row],[Start Date]]="",Market_Data[[#This Row],[Completion Date]]=""),"Needs Validation",IF(Market_Data[[#This Row],[Start Date]]&gt;TODAY(),"Planned",IF(Market_Data[[#This Row],[Completion Date]]&lt;TODAY(),"Completed","Ongoing")))</f>
        <v>Completed</v>
      </c>
      <c r="G2570" s="324">
        <v>43109</v>
      </c>
      <c r="H2570" s="324">
        <v>43555</v>
      </c>
      <c r="I2570" s="325">
        <v>43800</v>
      </c>
      <c r="J257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570" s="133">
        <f>_xlfn.XLOOKUP(Market_Data[[#This Row],[Project Type]],tbl_assumptions_market[Project Category (RERA)],tbl_assumptions_market[Concrete Intensity
(m³ / sq m BUA)],"",0)</f>
        <v>0.18</v>
      </c>
      <c r="L2570" s="134">
        <f>ROUND(Market_Data[[#This Row],[Estimated Built Up Area (sq m)]]*Market_Data[[#This Row],[Concrete Intensity
(m³ / sq m)]],0)</f>
        <v>7884</v>
      </c>
      <c r="M2570" s="135">
        <f>_xlfn.XLOOKUP(Market_Data[[#This Row],[District]],tbl_district_price[District],tbl_district_price[Standard Price
(INR/m³)],"",0)</f>
        <v>6200</v>
      </c>
      <c r="N2570" s="364">
        <f>IF(OR(Market_Data[[#This Row],[Estimated Concrete Demand (m³)]]="",Market_Data[[#This Row],[Avg Price per (₹ / m³)]]=""),"",Market_Data[[#This Row],[Estimated Concrete Demand (m³)]]*Market_Data[[#This Row],[Avg Price per (₹ / m³)]]/10000000)</f>
        <v>4.8880800000000004</v>
      </c>
      <c r="O2570" s="97" t="str">
        <f>IF(Market_Data[[#This Row],[Estimated Concrete Demand (m³)]]="","",
IF(Market_Data[[#This Row],[Estimated Concrete Demand (m³)]]&lt;10000,"Small",
IF(Market_Data[[#This Row],[Estimated Concrete Demand (m³)]]&lt;25000,"Medium",
IF(Market_Data[[#This Row],[Estimated Concrete Demand (m³)]]&lt;100000,"Large","Mega"))))</f>
        <v>Small</v>
      </c>
      <c r="P2570" s="287" t="str">
        <f t="shared" ref="P2570:P2633" si="42">HYPERLINK(
"https://gujrera.gujarat.gov.in",
"GujRERA")</f>
        <v>GujRERA</v>
      </c>
    </row>
    <row r="2571" spans="1:16">
      <c r="A2571" s="129" t="str">
        <f>_xlfn.XLOOKUP(B2571,$S$9:$S$14,$T$9:$T$14)&amp;"-"&amp;
IF(E2571="Residential/Group Housing","RES",
IF(E2571="Commercial","COM",
IF(E2571="Mixed Development","MIX",
IF(E2571="Plotted Development","PLT","OTH"))))
&amp;"-"&amp;TEXT(COUNTIFS($B$9:B2571,B2571,$E$9:E2571,E2571),"0000")</f>
        <v>SUR-MIX-0461</v>
      </c>
      <c r="B2571" s="322" t="s">
        <v>34</v>
      </c>
      <c r="C2571" s="322" t="s">
        <v>34</v>
      </c>
      <c r="D2571" s="323" t="s">
        <v>2760</v>
      </c>
      <c r="E2571" s="132" t="s">
        <v>25</v>
      </c>
      <c r="F2571" s="97" t="str">
        <f ca="1">IF(OR(Market_Data[[#This Row],[Start Date]]="",Market_Data[[#This Row],[Completion Date]]=""),"Needs Validation",IF(Market_Data[[#This Row],[Start Date]]&gt;TODAY(),"Planned",IF(Market_Data[[#This Row],[Completion Date]]&lt;TODAY(),"Completed","Ongoing")))</f>
        <v>Ongoing</v>
      </c>
      <c r="G2571" s="324">
        <v>41711</v>
      </c>
      <c r="H2571" s="324">
        <v>46840</v>
      </c>
      <c r="I2571" s="325">
        <v>47800</v>
      </c>
      <c r="J257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71" s="133">
        <f>_xlfn.XLOOKUP(Market_Data[[#This Row],[Project Type]],tbl_assumptions_market[Project Category (RERA)],tbl_assumptions_market[Concrete Intensity
(m³ / sq m BUA)],"",0)</f>
        <v>0.42</v>
      </c>
      <c r="L2571" s="134">
        <f>ROUND(Market_Data[[#This Row],[Estimated Built Up Area (sq m)]]*Market_Data[[#This Row],[Concrete Intensity
(m³ / sq m)]],0)</f>
        <v>20076</v>
      </c>
      <c r="M2571" s="135">
        <f>_xlfn.XLOOKUP(Market_Data[[#This Row],[District]],tbl_district_price[District],tbl_district_price[Standard Price
(INR/m³)],"",0)</f>
        <v>6200</v>
      </c>
      <c r="N2571" s="364">
        <f>IF(OR(Market_Data[[#This Row],[Estimated Concrete Demand (m³)]]="",Market_Data[[#This Row],[Avg Price per (₹ / m³)]]=""),"",Market_Data[[#This Row],[Estimated Concrete Demand (m³)]]*Market_Data[[#This Row],[Avg Price per (₹ / m³)]]/10000000)</f>
        <v>12.44712</v>
      </c>
      <c r="O2571" s="97" t="str">
        <f>IF(Market_Data[[#This Row],[Estimated Concrete Demand (m³)]]="","",
IF(Market_Data[[#This Row],[Estimated Concrete Demand (m³)]]&lt;10000,"Small",
IF(Market_Data[[#This Row],[Estimated Concrete Demand (m³)]]&lt;25000,"Medium",
IF(Market_Data[[#This Row],[Estimated Concrete Demand (m³)]]&lt;100000,"Large","Mega"))))</f>
        <v>Medium</v>
      </c>
      <c r="P2571" s="287" t="str">
        <f t="shared" si="42"/>
        <v>GujRERA</v>
      </c>
    </row>
    <row r="2572" spans="1:16">
      <c r="A2572" s="129" t="str">
        <f>_xlfn.XLOOKUP(B2572,$S$9:$S$14,$T$9:$T$14)&amp;"-"&amp;
IF(E2572="Residential/Group Housing","RES",
IF(E2572="Commercial","COM",
IF(E2572="Mixed Development","MIX",
IF(E2572="Plotted Development","PLT","OTH"))))
&amp;"-"&amp;TEXT(COUNTIFS($B$9:B2572,B2572,$E$9:E2572,E2572),"0000")</f>
        <v>SUR-RES-0888</v>
      </c>
      <c r="B2572" s="322" t="s">
        <v>34</v>
      </c>
      <c r="C2572" s="322" t="s">
        <v>34</v>
      </c>
      <c r="D2572" s="323" t="s">
        <v>2761</v>
      </c>
      <c r="E2572" s="132" t="s">
        <v>24</v>
      </c>
      <c r="F2572" s="97" t="str">
        <f ca="1">IF(OR(Market_Data[[#This Row],[Start Date]]="",Market_Data[[#This Row],[Completion Date]]=""),"Needs Validation",IF(Market_Data[[#This Row],[Start Date]]&gt;TODAY(),"Planned",IF(Market_Data[[#This Row],[Completion Date]]&lt;TODAY(),"Completed","Ongoing")))</f>
        <v>Ongoing</v>
      </c>
      <c r="G2572" s="324">
        <v>44838</v>
      </c>
      <c r="H2572" s="324">
        <v>46752</v>
      </c>
      <c r="I2572" s="325">
        <v>56100</v>
      </c>
      <c r="J257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72" s="133">
        <f>_xlfn.XLOOKUP(Market_Data[[#This Row],[Project Type]],tbl_assumptions_market[Project Category (RERA)],tbl_assumptions_market[Concrete Intensity
(m³ / sq m BUA)],"",0)</f>
        <v>0.45</v>
      </c>
      <c r="L2572" s="134">
        <f>ROUND(Market_Data[[#This Row],[Estimated Built Up Area (sq m)]]*Market_Data[[#This Row],[Concrete Intensity
(m³ / sq m)]],0)</f>
        <v>25245</v>
      </c>
      <c r="M2572" s="135">
        <f>_xlfn.XLOOKUP(Market_Data[[#This Row],[District]],tbl_district_price[District],tbl_district_price[Standard Price
(INR/m³)],"",0)</f>
        <v>6200</v>
      </c>
      <c r="N2572" s="364">
        <f>IF(OR(Market_Data[[#This Row],[Estimated Concrete Demand (m³)]]="",Market_Data[[#This Row],[Avg Price per (₹ / m³)]]=""),"",Market_Data[[#This Row],[Estimated Concrete Demand (m³)]]*Market_Data[[#This Row],[Avg Price per (₹ / m³)]]/10000000)</f>
        <v>15.651899999999999</v>
      </c>
      <c r="O2572" s="97" t="str">
        <f>IF(Market_Data[[#This Row],[Estimated Concrete Demand (m³)]]="","",
IF(Market_Data[[#This Row],[Estimated Concrete Demand (m³)]]&lt;10000,"Small",
IF(Market_Data[[#This Row],[Estimated Concrete Demand (m³)]]&lt;25000,"Medium",
IF(Market_Data[[#This Row],[Estimated Concrete Demand (m³)]]&lt;100000,"Large","Mega"))))</f>
        <v>Large</v>
      </c>
      <c r="P2572" s="287" t="str">
        <f t="shared" si="42"/>
        <v>GujRERA</v>
      </c>
    </row>
    <row r="2573" spans="1:16">
      <c r="A2573" s="129" t="str">
        <f>_xlfn.XLOOKUP(B2573,$S$9:$S$14,$T$9:$T$14)&amp;"-"&amp;
IF(E2573="Residential/Group Housing","RES",
IF(E2573="Commercial","COM",
IF(E2573="Mixed Development","MIX",
IF(E2573="Plotted Development","PLT","OTH"))))
&amp;"-"&amp;TEXT(COUNTIFS($B$9:B2573,B2573,$E$9:E2573,E2573),"0000")</f>
        <v>SUR-COM-0434</v>
      </c>
      <c r="B2573" s="322" t="s">
        <v>34</v>
      </c>
      <c r="C2573" s="322" t="s">
        <v>34</v>
      </c>
      <c r="D2573" s="323" t="s">
        <v>2762</v>
      </c>
      <c r="E2573" s="132" t="s">
        <v>23</v>
      </c>
      <c r="F2573" s="97" t="str">
        <f ca="1">IF(OR(Market_Data[[#This Row],[Start Date]]="",Market_Data[[#This Row],[Completion Date]]=""),"Needs Validation",IF(Market_Data[[#This Row],[Start Date]]&gt;TODAY(),"Planned",IF(Market_Data[[#This Row],[Completion Date]]&lt;TODAY(),"Completed","Ongoing")))</f>
        <v>Completed</v>
      </c>
      <c r="G2573" s="324">
        <v>43040</v>
      </c>
      <c r="H2573" s="324">
        <v>44681</v>
      </c>
      <c r="I2573" s="325">
        <v>8200</v>
      </c>
      <c r="J257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73" s="133">
        <f>_xlfn.XLOOKUP(Market_Data[[#This Row],[Project Type]],tbl_assumptions_market[Project Category (RERA)],tbl_assumptions_market[Concrete Intensity
(m³ / sq m BUA)],"",0)</f>
        <v>0.5</v>
      </c>
      <c r="L2573" s="134">
        <f>ROUND(Market_Data[[#This Row],[Estimated Built Up Area (sq m)]]*Market_Data[[#This Row],[Concrete Intensity
(m³ / sq m)]],0)</f>
        <v>4100</v>
      </c>
      <c r="M2573" s="135">
        <f>_xlfn.XLOOKUP(Market_Data[[#This Row],[District]],tbl_district_price[District],tbl_district_price[Standard Price
(INR/m³)],"",0)</f>
        <v>6200</v>
      </c>
      <c r="N2573" s="364">
        <f>IF(OR(Market_Data[[#This Row],[Estimated Concrete Demand (m³)]]="",Market_Data[[#This Row],[Avg Price per (₹ / m³)]]=""),"",Market_Data[[#This Row],[Estimated Concrete Demand (m³)]]*Market_Data[[#This Row],[Avg Price per (₹ / m³)]]/10000000)</f>
        <v>2.5419999999999998</v>
      </c>
      <c r="O2573" s="97" t="str">
        <f>IF(Market_Data[[#This Row],[Estimated Concrete Demand (m³)]]="","",
IF(Market_Data[[#This Row],[Estimated Concrete Demand (m³)]]&lt;10000,"Small",
IF(Market_Data[[#This Row],[Estimated Concrete Demand (m³)]]&lt;25000,"Medium",
IF(Market_Data[[#This Row],[Estimated Concrete Demand (m³)]]&lt;100000,"Large","Mega"))))</f>
        <v>Small</v>
      </c>
      <c r="P2573" s="287" t="str">
        <f t="shared" si="42"/>
        <v>GujRERA</v>
      </c>
    </row>
    <row r="2574" spans="1:16" ht="24">
      <c r="A2574" s="129" t="str">
        <f>_xlfn.XLOOKUP(B2574,$S$9:$S$14,$T$9:$T$14)&amp;"-"&amp;
IF(E2574="Residential/Group Housing","RES",
IF(E2574="Commercial","COM",
IF(E2574="Mixed Development","MIX",
IF(E2574="Plotted Development","PLT","OTH"))))
&amp;"-"&amp;TEXT(COUNTIFS($B$9:B2574,B2574,$E$9:E2574,E2574),"0000")</f>
        <v>SUR-MIX-0462</v>
      </c>
      <c r="B2574" s="322" t="s">
        <v>34</v>
      </c>
      <c r="C2574" s="322" t="s">
        <v>34</v>
      </c>
      <c r="D2574" s="323" t="s">
        <v>2763</v>
      </c>
      <c r="E2574" s="132" t="s">
        <v>25</v>
      </c>
      <c r="F2574" s="97" t="str">
        <f ca="1">IF(OR(Market_Data[[#This Row],[Start Date]]="",Market_Data[[#This Row],[Completion Date]]=""),"Needs Validation",IF(Market_Data[[#This Row],[Start Date]]&gt;TODAY(),"Planned",IF(Market_Data[[#This Row],[Completion Date]]&lt;TODAY(),"Completed","Ongoing")))</f>
        <v>Ongoing</v>
      </c>
      <c r="G2574" s="324">
        <v>44651</v>
      </c>
      <c r="H2574" s="324">
        <v>46387</v>
      </c>
      <c r="I2574" s="325">
        <v>29600</v>
      </c>
      <c r="J257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74" s="133">
        <f>_xlfn.XLOOKUP(Market_Data[[#This Row],[Project Type]],tbl_assumptions_market[Project Category (RERA)],tbl_assumptions_market[Concrete Intensity
(m³ / sq m BUA)],"",0)</f>
        <v>0.42</v>
      </c>
      <c r="L2574" s="134">
        <f>ROUND(Market_Data[[#This Row],[Estimated Built Up Area (sq m)]]*Market_Data[[#This Row],[Concrete Intensity
(m³ / sq m)]],0)</f>
        <v>12432</v>
      </c>
      <c r="M2574" s="135">
        <f>_xlfn.XLOOKUP(Market_Data[[#This Row],[District]],tbl_district_price[District],tbl_district_price[Standard Price
(INR/m³)],"",0)</f>
        <v>6200</v>
      </c>
      <c r="N2574" s="364">
        <f>IF(OR(Market_Data[[#This Row],[Estimated Concrete Demand (m³)]]="",Market_Data[[#This Row],[Avg Price per (₹ / m³)]]=""),"",Market_Data[[#This Row],[Estimated Concrete Demand (m³)]]*Market_Data[[#This Row],[Avg Price per (₹ / m³)]]/10000000)</f>
        <v>7.70784</v>
      </c>
      <c r="O2574" s="97" t="str">
        <f>IF(Market_Data[[#This Row],[Estimated Concrete Demand (m³)]]="","",
IF(Market_Data[[#This Row],[Estimated Concrete Demand (m³)]]&lt;10000,"Small",
IF(Market_Data[[#This Row],[Estimated Concrete Demand (m³)]]&lt;25000,"Medium",
IF(Market_Data[[#This Row],[Estimated Concrete Demand (m³)]]&lt;100000,"Large","Mega"))))</f>
        <v>Medium</v>
      </c>
      <c r="P2574" s="287" t="str">
        <f t="shared" si="42"/>
        <v>GujRERA</v>
      </c>
    </row>
    <row r="2575" spans="1:16">
      <c r="A2575" s="129" t="str">
        <f>_xlfn.XLOOKUP(B2575,$S$9:$S$14,$T$9:$T$14)&amp;"-"&amp;
IF(E2575="Residential/Group Housing","RES",
IF(E2575="Commercial","COM",
IF(E2575="Mixed Development","MIX",
IF(E2575="Plotted Development","PLT","OTH"))))
&amp;"-"&amp;TEXT(COUNTIFS($B$9:B2575,B2575,$E$9:E2575,E2575),"0000")</f>
        <v>SUR-RES-0889</v>
      </c>
      <c r="B2575" s="322" t="s">
        <v>34</v>
      </c>
      <c r="C2575" s="322" t="s">
        <v>34</v>
      </c>
      <c r="D2575" s="323" t="s">
        <v>2764</v>
      </c>
      <c r="E2575" s="132" t="s">
        <v>24</v>
      </c>
      <c r="F2575" s="97" t="str">
        <f ca="1">IF(OR(Market_Data[[#This Row],[Start Date]]="",Market_Data[[#This Row],[Completion Date]]=""),"Needs Validation",IF(Market_Data[[#This Row],[Start Date]]&gt;TODAY(),"Planned",IF(Market_Data[[#This Row],[Completion Date]]&lt;TODAY(),"Completed","Ongoing")))</f>
        <v>Ongoing</v>
      </c>
      <c r="G2575" s="324">
        <v>44650</v>
      </c>
      <c r="H2575" s="324">
        <v>46752</v>
      </c>
      <c r="I2575" s="325">
        <v>5700</v>
      </c>
      <c r="J257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75" s="133">
        <f>_xlfn.XLOOKUP(Market_Data[[#This Row],[Project Type]],tbl_assumptions_market[Project Category (RERA)],tbl_assumptions_market[Concrete Intensity
(m³ / sq m BUA)],"",0)</f>
        <v>0.45</v>
      </c>
      <c r="L2575" s="134">
        <f>ROUND(Market_Data[[#This Row],[Estimated Built Up Area (sq m)]]*Market_Data[[#This Row],[Concrete Intensity
(m³ / sq m)]],0)</f>
        <v>2565</v>
      </c>
      <c r="M2575" s="135">
        <f>_xlfn.XLOOKUP(Market_Data[[#This Row],[District]],tbl_district_price[District],tbl_district_price[Standard Price
(INR/m³)],"",0)</f>
        <v>6200</v>
      </c>
      <c r="N2575" s="364">
        <f>IF(OR(Market_Data[[#This Row],[Estimated Concrete Demand (m³)]]="",Market_Data[[#This Row],[Avg Price per (₹ / m³)]]=""),"",Market_Data[[#This Row],[Estimated Concrete Demand (m³)]]*Market_Data[[#This Row],[Avg Price per (₹ / m³)]]/10000000)</f>
        <v>1.5903</v>
      </c>
      <c r="O2575" s="97" t="str">
        <f>IF(Market_Data[[#This Row],[Estimated Concrete Demand (m³)]]="","",
IF(Market_Data[[#This Row],[Estimated Concrete Demand (m³)]]&lt;10000,"Small",
IF(Market_Data[[#This Row],[Estimated Concrete Demand (m³)]]&lt;25000,"Medium",
IF(Market_Data[[#This Row],[Estimated Concrete Demand (m³)]]&lt;100000,"Large","Mega"))))</f>
        <v>Small</v>
      </c>
      <c r="P2575" s="287" t="str">
        <f t="shared" si="42"/>
        <v>GujRERA</v>
      </c>
    </row>
    <row r="2576" spans="1:16">
      <c r="A2576" s="129" t="str">
        <f>_xlfn.XLOOKUP(B2576,$S$9:$S$14,$T$9:$T$14)&amp;"-"&amp;
IF(E2576="Residential/Group Housing","RES",
IF(E2576="Commercial","COM",
IF(E2576="Mixed Development","MIX",
IF(E2576="Plotted Development","PLT","OTH"))))
&amp;"-"&amp;TEXT(COUNTIFS($B$9:B2576,B2576,$E$9:E2576,E2576),"0000")</f>
        <v>SUR-COM-0435</v>
      </c>
      <c r="B2576" s="322" t="s">
        <v>34</v>
      </c>
      <c r="C2576" s="322" t="s">
        <v>34</v>
      </c>
      <c r="D2576" s="323" t="s">
        <v>2765</v>
      </c>
      <c r="E2576" s="132" t="s">
        <v>23</v>
      </c>
      <c r="F2576" s="97" t="str">
        <f ca="1">IF(OR(Market_Data[[#This Row],[Start Date]]="",Market_Data[[#This Row],[Completion Date]]=""),"Needs Validation",IF(Market_Data[[#This Row],[Start Date]]&gt;TODAY(),"Planned",IF(Market_Data[[#This Row],[Completion Date]]&lt;TODAY(),"Completed","Ongoing")))</f>
        <v>Completed</v>
      </c>
      <c r="G2576" s="324">
        <v>43424</v>
      </c>
      <c r="H2576" s="324">
        <v>44742</v>
      </c>
      <c r="I2576" s="325">
        <v>15400</v>
      </c>
      <c r="J257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76" s="133">
        <f>_xlfn.XLOOKUP(Market_Data[[#This Row],[Project Type]],tbl_assumptions_market[Project Category (RERA)],tbl_assumptions_market[Concrete Intensity
(m³ / sq m BUA)],"",0)</f>
        <v>0.5</v>
      </c>
      <c r="L2576" s="134">
        <f>ROUND(Market_Data[[#This Row],[Estimated Built Up Area (sq m)]]*Market_Data[[#This Row],[Concrete Intensity
(m³ / sq m)]],0)</f>
        <v>7700</v>
      </c>
      <c r="M2576" s="135">
        <f>_xlfn.XLOOKUP(Market_Data[[#This Row],[District]],tbl_district_price[District],tbl_district_price[Standard Price
(INR/m³)],"",0)</f>
        <v>6200</v>
      </c>
      <c r="N2576" s="364">
        <f>IF(OR(Market_Data[[#This Row],[Estimated Concrete Demand (m³)]]="",Market_Data[[#This Row],[Avg Price per (₹ / m³)]]=""),"",Market_Data[[#This Row],[Estimated Concrete Demand (m³)]]*Market_Data[[#This Row],[Avg Price per (₹ / m³)]]/10000000)</f>
        <v>4.774</v>
      </c>
      <c r="O2576" s="97" t="str">
        <f>IF(Market_Data[[#This Row],[Estimated Concrete Demand (m³)]]="","",
IF(Market_Data[[#This Row],[Estimated Concrete Demand (m³)]]&lt;10000,"Small",
IF(Market_Data[[#This Row],[Estimated Concrete Demand (m³)]]&lt;25000,"Medium",
IF(Market_Data[[#This Row],[Estimated Concrete Demand (m³)]]&lt;100000,"Large","Mega"))))</f>
        <v>Small</v>
      </c>
      <c r="P2576" s="287" t="str">
        <f t="shared" si="42"/>
        <v>GujRERA</v>
      </c>
    </row>
    <row r="2577" spans="1:16">
      <c r="A2577" s="129" t="str">
        <f>_xlfn.XLOOKUP(B2577,$S$9:$S$14,$T$9:$T$14)&amp;"-"&amp;
IF(E2577="Residential/Group Housing","RES",
IF(E2577="Commercial","COM",
IF(E2577="Mixed Development","MIX",
IF(E2577="Plotted Development","PLT","OTH"))))
&amp;"-"&amp;TEXT(COUNTIFS($B$9:B2577,B2577,$E$9:E2577,E2577),"0000")</f>
        <v>SUR-MIX-0463</v>
      </c>
      <c r="B2577" s="322" t="s">
        <v>34</v>
      </c>
      <c r="C2577" s="322" t="s">
        <v>34</v>
      </c>
      <c r="D2577" s="323" t="s">
        <v>2766</v>
      </c>
      <c r="E2577" s="132" t="s">
        <v>25</v>
      </c>
      <c r="F2577" s="97" t="str">
        <f ca="1">IF(OR(Market_Data[[#This Row],[Start Date]]="",Market_Data[[#This Row],[Completion Date]]=""),"Needs Validation",IF(Market_Data[[#This Row],[Start Date]]&gt;TODAY(),"Planned",IF(Market_Data[[#This Row],[Completion Date]]&lt;TODAY(),"Completed","Ongoing")))</f>
        <v>Ongoing</v>
      </c>
      <c r="G2577" s="324">
        <v>44547</v>
      </c>
      <c r="H2577" s="324">
        <v>46386</v>
      </c>
      <c r="I2577" s="325">
        <v>13800</v>
      </c>
      <c r="J257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77" s="133">
        <f>_xlfn.XLOOKUP(Market_Data[[#This Row],[Project Type]],tbl_assumptions_market[Project Category (RERA)],tbl_assumptions_market[Concrete Intensity
(m³ / sq m BUA)],"",0)</f>
        <v>0.42</v>
      </c>
      <c r="L2577" s="134">
        <f>ROUND(Market_Data[[#This Row],[Estimated Built Up Area (sq m)]]*Market_Data[[#This Row],[Concrete Intensity
(m³ / sq m)]],0)</f>
        <v>5796</v>
      </c>
      <c r="M2577" s="135">
        <f>_xlfn.XLOOKUP(Market_Data[[#This Row],[District]],tbl_district_price[District],tbl_district_price[Standard Price
(INR/m³)],"",0)</f>
        <v>6200</v>
      </c>
      <c r="N2577" s="364">
        <f>IF(OR(Market_Data[[#This Row],[Estimated Concrete Demand (m³)]]="",Market_Data[[#This Row],[Avg Price per (₹ / m³)]]=""),"",Market_Data[[#This Row],[Estimated Concrete Demand (m³)]]*Market_Data[[#This Row],[Avg Price per (₹ / m³)]]/10000000)</f>
        <v>3.5935199999999998</v>
      </c>
      <c r="O2577" s="97" t="str">
        <f>IF(Market_Data[[#This Row],[Estimated Concrete Demand (m³)]]="","",
IF(Market_Data[[#This Row],[Estimated Concrete Demand (m³)]]&lt;10000,"Small",
IF(Market_Data[[#This Row],[Estimated Concrete Demand (m³)]]&lt;25000,"Medium",
IF(Market_Data[[#This Row],[Estimated Concrete Demand (m³)]]&lt;100000,"Large","Mega"))))</f>
        <v>Small</v>
      </c>
      <c r="P2577" s="287" t="str">
        <f t="shared" si="42"/>
        <v>GujRERA</v>
      </c>
    </row>
    <row r="2578" spans="1:16">
      <c r="A2578" s="129" t="str">
        <f>_xlfn.XLOOKUP(B2578,$S$9:$S$14,$T$9:$T$14)&amp;"-"&amp;
IF(E2578="Residential/Group Housing","RES",
IF(E2578="Commercial","COM",
IF(E2578="Mixed Development","MIX",
IF(E2578="Plotted Development","PLT","OTH"))))
&amp;"-"&amp;TEXT(COUNTIFS($B$9:B2578,B2578,$E$9:E2578,E2578),"0000")</f>
        <v>SUR-MIX-0464</v>
      </c>
      <c r="B2578" s="322" t="s">
        <v>34</v>
      </c>
      <c r="C2578" s="322" t="s">
        <v>34</v>
      </c>
      <c r="D2578" s="323" t="s">
        <v>2767</v>
      </c>
      <c r="E2578" s="132" t="s">
        <v>25</v>
      </c>
      <c r="F2578" s="97" t="str">
        <f ca="1">IF(OR(Market_Data[[#This Row],[Start Date]]="",Market_Data[[#This Row],[Completion Date]]=""),"Needs Validation",IF(Market_Data[[#This Row],[Start Date]]&gt;TODAY(),"Planned",IF(Market_Data[[#This Row],[Completion Date]]&lt;TODAY(),"Completed","Ongoing")))</f>
        <v>Completed</v>
      </c>
      <c r="G2578" s="324">
        <v>43867</v>
      </c>
      <c r="H2578" s="324">
        <v>45874</v>
      </c>
      <c r="I2578" s="325">
        <v>16600</v>
      </c>
      <c r="J257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78" s="133">
        <f>_xlfn.XLOOKUP(Market_Data[[#This Row],[Project Type]],tbl_assumptions_market[Project Category (RERA)],tbl_assumptions_market[Concrete Intensity
(m³ / sq m BUA)],"",0)</f>
        <v>0.42</v>
      </c>
      <c r="L2578" s="134">
        <f>ROUND(Market_Data[[#This Row],[Estimated Built Up Area (sq m)]]*Market_Data[[#This Row],[Concrete Intensity
(m³ / sq m)]],0)</f>
        <v>6972</v>
      </c>
      <c r="M2578" s="135">
        <f>_xlfn.XLOOKUP(Market_Data[[#This Row],[District]],tbl_district_price[District],tbl_district_price[Standard Price
(INR/m³)],"",0)</f>
        <v>6200</v>
      </c>
      <c r="N2578" s="364">
        <f>IF(OR(Market_Data[[#This Row],[Estimated Concrete Demand (m³)]]="",Market_Data[[#This Row],[Avg Price per (₹ / m³)]]=""),"",Market_Data[[#This Row],[Estimated Concrete Demand (m³)]]*Market_Data[[#This Row],[Avg Price per (₹ / m³)]]/10000000)</f>
        <v>4.3226399999999998</v>
      </c>
      <c r="O2578" s="97" t="str">
        <f>IF(Market_Data[[#This Row],[Estimated Concrete Demand (m³)]]="","",
IF(Market_Data[[#This Row],[Estimated Concrete Demand (m³)]]&lt;10000,"Small",
IF(Market_Data[[#This Row],[Estimated Concrete Demand (m³)]]&lt;25000,"Medium",
IF(Market_Data[[#This Row],[Estimated Concrete Demand (m³)]]&lt;100000,"Large","Mega"))))</f>
        <v>Small</v>
      </c>
      <c r="P2578" s="287" t="str">
        <f t="shared" si="42"/>
        <v>GujRERA</v>
      </c>
    </row>
    <row r="2579" spans="1:16">
      <c r="A2579" s="129" t="str">
        <f>_xlfn.XLOOKUP(B2579,$S$9:$S$14,$T$9:$T$14)&amp;"-"&amp;
IF(E2579="Residential/Group Housing","RES",
IF(E2579="Commercial","COM",
IF(E2579="Mixed Development","MIX",
IF(E2579="Plotted Development","PLT","OTH"))))
&amp;"-"&amp;TEXT(COUNTIFS($B$9:B2579,B2579,$E$9:E2579,E2579),"0000")</f>
        <v>SUR-MIX-0465</v>
      </c>
      <c r="B2579" s="322" t="s">
        <v>34</v>
      </c>
      <c r="C2579" s="322" t="s">
        <v>34</v>
      </c>
      <c r="D2579" s="323" t="s">
        <v>2768</v>
      </c>
      <c r="E2579" s="132" t="s">
        <v>25</v>
      </c>
      <c r="F2579" s="97" t="str">
        <f ca="1">IF(OR(Market_Data[[#This Row],[Start Date]]="",Market_Data[[#This Row],[Completion Date]]=""),"Needs Validation",IF(Market_Data[[#This Row],[Start Date]]&gt;TODAY(),"Planned",IF(Market_Data[[#This Row],[Completion Date]]&lt;TODAY(),"Completed","Ongoing")))</f>
        <v>Completed</v>
      </c>
      <c r="G2579" s="324">
        <v>43914</v>
      </c>
      <c r="H2579" s="324">
        <v>45657</v>
      </c>
      <c r="I2579" s="325">
        <v>14600</v>
      </c>
      <c r="J257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79" s="133">
        <f>_xlfn.XLOOKUP(Market_Data[[#This Row],[Project Type]],tbl_assumptions_market[Project Category (RERA)],tbl_assumptions_market[Concrete Intensity
(m³ / sq m BUA)],"",0)</f>
        <v>0.42</v>
      </c>
      <c r="L2579" s="134">
        <f>ROUND(Market_Data[[#This Row],[Estimated Built Up Area (sq m)]]*Market_Data[[#This Row],[Concrete Intensity
(m³ / sq m)]],0)</f>
        <v>6132</v>
      </c>
      <c r="M2579" s="135">
        <f>_xlfn.XLOOKUP(Market_Data[[#This Row],[District]],tbl_district_price[District],tbl_district_price[Standard Price
(INR/m³)],"",0)</f>
        <v>6200</v>
      </c>
      <c r="N2579" s="364">
        <f>IF(OR(Market_Data[[#This Row],[Estimated Concrete Demand (m³)]]="",Market_Data[[#This Row],[Avg Price per (₹ / m³)]]=""),"",Market_Data[[#This Row],[Estimated Concrete Demand (m³)]]*Market_Data[[#This Row],[Avg Price per (₹ / m³)]]/10000000)</f>
        <v>3.8018399999999999</v>
      </c>
      <c r="O2579" s="97" t="str">
        <f>IF(Market_Data[[#This Row],[Estimated Concrete Demand (m³)]]="","",
IF(Market_Data[[#This Row],[Estimated Concrete Demand (m³)]]&lt;10000,"Small",
IF(Market_Data[[#This Row],[Estimated Concrete Demand (m³)]]&lt;25000,"Medium",
IF(Market_Data[[#This Row],[Estimated Concrete Demand (m³)]]&lt;100000,"Large","Mega"))))</f>
        <v>Small</v>
      </c>
      <c r="P2579" s="287" t="str">
        <f t="shared" si="42"/>
        <v>GujRERA</v>
      </c>
    </row>
    <row r="2580" spans="1:16">
      <c r="A2580" s="129" t="str">
        <f>_xlfn.XLOOKUP(B2580,$S$9:$S$14,$T$9:$T$14)&amp;"-"&amp;
IF(E2580="Residential/Group Housing","RES",
IF(E2580="Commercial","COM",
IF(E2580="Mixed Development","MIX",
IF(E2580="Plotted Development","PLT","OTH"))))
&amp;"-"&amp;TEXT(COUNTIFS($B$9:B2580,B2580,$E$9:E2580,E2580),"0000")</f>
        <v>SUR-PLT-0473</v>
      </c>
      <c r="B2580" s="322" t="s">
        <v>34</v>
      </c>
      <c r="C2580" s="322" t="s">
        <v>34</v>
      </c>
      <c r="D2580" s="323" t="s">
        <v>2769</v>
      </c>
      <c r="E2580" s="132" t="s">
        <v>26</v>
      </c>
      <c r="F2580" s="97" t="str">
        <f ca="1">IF(OR(Market_Data[[#This Row],[Start Date]]="",Market_Data[[#This Row],[Completion Date]]=""),"Needs Validation",IF(Market_Data[[#This Row],[Start Date]]&gt;TODAY(),"Planned",IF(Market_Data[[#This Row],[Completion Date]]&lt;TODAY(),"Completed","Ongoing")))</f>
        <v>Ongoing</v>
      </c>
      <c r="G2580" s="324">
        <v>45536</v>
      </c>
      <c r="H2580" s="324">
        <v>46752</v>
      </c>
      <c r="I2580" s="325">
        <v>13400</v>
      </c>
      <c r="J258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80" s="133">
        <f>_xlfn.XLOOKUP(Market_Data[[#This Row],[Project Type]],tbl_assumptions_market[Project Category (RERA)],tbl_assumptions_market[Concrete Intensity
(m³ / sq m BUA)],"",0)</f>
        <v>0.18</v>
      </c>
      <c r="L2580" s="134">
        <f>ROUND(Market_Data[[#This Row],[Estimated Built Up Area (sq m)]]*Market_Data[[#This Row],[Concrete Intensity
(m³ / sq m)]],0)</f>
        <v>2412</v>
      </c>
      <c r="M2580" s="135">
        <f>_xlfn.XLOOKUP(Market_Data[[#This Row],[District]],tbl_district_price[District],tbl_district_price[Standard Price
(INR/m³)],"",0)</f>
        <v>6200</v>
      </c>
      <c r="N2580" s="364">
        <f>IF(OR(Market_Data[[#This Row],[Estimated Concrete Demand (m³)]]="",Market_Data[[#This Row],[Avg Price per (₹ / m³)]]=""),"",Market_Data[[#This Row],[Estimated Concrete Demand (m³)]]*Market_Data[[#This Row],[Avg Price per (₹ / m³)]]/10000000)</f>
        <v>1.4954400000000001</v>
      </c>
      <c r="O2580" s="97" t="str">
        <f>IF(Market_Data[[#This Row],[Estimated Concrete Demand (m³)]]="","",
IF(Market_Data[[#This Row],[Estimated Concrete Demand (m³)]]&lt;10000,"Small",
IF(Market_Data[[#This Row],[Estimated Concrete Demand (m³)]]&lt;25000,"Medium",
IF(Market_Data[[#This Row],[Estimated Concrete Demand (m³)]]&lt;100000,"Large","Mega"))))</f>
        <v>Small</v>
      </c>
      <c r="P2580" s="287" t="str">
        <f t="shared" si="42"/>
        <v>GujRERA</v>
      </c>
    </row>
    <row r="2581" spans="1:16">
      <c r="A2581" s="129" t="str">
        <f>_xlfn.XLOOKUP(B2581,$S$9:$S$14,$T$9:$T$14)&amp;"-"&amp;
IF(E2581="Residential/Group Housing","RES",
IF(E2581="Commercial","COM",
IF(E2581="Mixed Development","MIX",
IF(E2581="Plotted Development","PLT","OTH"))))
&amp;"-"&amp;TEXT(COUNTIFS($B$9:B2581,B2581,$E$9:E2581,E2581),"0000")</f>
        <v>SUR-MIX-0466</v>
      </c>
      <c r="B2581" s="322" t="s">
        <v>34</v>
      </c>
      <c r="C2581" s="322" t="s">
        <v>34</v>
      </c>
      <c r="D2581" s="323" t="s">
        <v>2770</v>
      </c>
      <c r="E2581" s="132" t="s">
        <v>25</v>
      </c>
      <c r="F2581" s="97" t="str">
        <f ca="1">IF(OR(Market_Data[[#This Row],[Start Date]]="",Market_Data[[#This Row],[Completion Date]]=""),"Needs Validation",IF(Market_Data[[#This Row],[Start Date]]&gt;TODAY(),"Planned",IF(Market_Data[[#This Row],[Completion Date]]&lt;TODAY(),"Completed","Ongoing")))</f>
        <v>Ongoing</v>
      </c>
      <c r="G2581" s="324">
        <v>45566</v>
      </c>
      <c r="H2581" s="324">
        <v>47391</v>
      </c>
      <c r="I2581" s="325">
        <v>13900</v>
      </c>
      <c r="J258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81" s="133">
        <f>_xlfn.XLOOKUP(Market_Data[[#This Row],[Project Type]],tbl_assumptions_market[Project Category (RERA)],tbl_assumptions_market[Concrete Intensity
(m³ / sq m BUA)],"",0)</f>
        <v>0.42</v>
      </c>
      <c r="L2581" s="134">
        <f>ROUND(Market_Data[[#This Row],[Estimated Built Up Area (sq m)]]*Market_Data[[#This Row],[Concrete Intensity
(m³ / sq m)]],0)</f>
        <v>5838</v>
      </c>
      <c r="M2581" s="135">
        <f>_xlfn.XLOOKUP(Market_Data[[#This Row],[District]],tbl_district_price[District],tbl_district_price[Standard Price
(INR/m³)],"",0)</f>
        <v>6200</v>
      </c>
      <c r="N2581" s="364">
        <f>IF(OR(Market_Data[[#This Row],[Estimated Concrete Demand (m³)]]="",Market_Data[[#This Row],[Avg Price per (₹ / m³)]]=""),"",Market_Data[[#This Row],[Estimated Concrete Demand (m³)]]*Market_Data[[#This Row],[Avg Price per (₹ / m³)]]/10000000)</f>
        <v>3.6195599999999999</v>
      </c>
      <c r="O2581" s="97" t="str">
        <f>IF(Market_Data[[#This Row],[Estimated Concrete Demand (m³)]]="","",
IF(Market_Data[[#This Row],[Estimated Concrete Demand (m³)]]&lt;10000,"Small",
IF(Market_Data[[#This Row],[Estimated Concrete Demand (m³)]]&lt;25000,"Medium",
IF(Market_Data[[#This Row],[Estimated Concrete Demand (m³)]]&lt;100000,"Large","Mega"))))</f>
        <v>Small</v>
      </c>
      <c r="P2581" s="287" t="str">
        <f t="shared" si="42"/>
        <v>GujRERA</v>
      </c>
    </row>
    <row r="2582" spans="1:16">
      <c r="A2582" s="129" t="str">
        <f>_xlfn.XLOOKUP(B2582,$S$9:$S$14,$T$9:$T$14)&amp;"-"&amp;
IF(E2582="Residential/Group Housing","RES",
IF(E2582="Commercial","COM",
IF(E2582="Mixed Development","MIX",
IF(E2582="Plotted Development","PLT","OTH"))))
&amp;"-"&amp;TEXT(COUNTIFS($B$9:B2582,B2582,$E$9:E2582,E2582),"0000")</f>
        <v>SUR-RES-0890</v>
      </c>
      <c r="B2582" s="322" t="s">
        <v>34</v>
      </c>
      <c r="C2582" s="322" t="s">
        <v>34</v>
      </c>
      <c r="D2582" s="323" t="s">
        <v>2771</v>
      </c>
      <c r="E2582" s="132" t="s">
        <v>24</v>
      </c>
      <c r="F2582" s="97" t="str">
        <f ca="1">IF(OR(Market_Data[[#This Row],[Start Date]]="",Market_Data[[#This Row],[Completion Date]]=""),"Needs Validation",IF(Market_Data[[#This Row],[Start Date]]&gt;TODAY(),"Planned",IF(Market_Data[[#This Row],[Completion Date]]&lt;TODAY(),"Completed","Ongoing")))</f>
        <v>Ongoing</v>
      </c>
      <c r="G2582" s="324">
        <v>46055</v>
      </c>
      <c r="H2582" s="324">
        <v>48213</v>
      </c>
      <c r="I2582" s="325">
        <v>33500</v>
      </c>
      <c r="J258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82" s="133">
        <f>_xlfn.XLOOKUP(Market_Data[[#This Row],[Project Type]],tbl_assumptions_market[Project Category (RERA)],tbl_assumptions_market[Concrete Intensity
(m³ / sq m BUA)],"",0)</f>
        <v>0.45</v>
      </c>
      <c r="L2582" s="134">
        <f>ROUND(Market_Data[[#This Row],[Estimated Built Up Area (sq m)]]*Market_Data[[#This Row],[Concrete Intensity
(m³ / sq m)]],0)</f>
        <v>15075</v>
      </c>
      <c r="M2582" s="135">
        <f>_xlfn.XLOOKUP(Market_Data[[#This Row],[District]],tbl_district_price[District],tbl_district_price[Standard Price
(INR/m³)],"",0)</f>
        <v>6200</v>
      </c>
      <c r="N2582" s="364">
        <f>IF(OR(Market_Data[[#This Row],[Estimated Concrete Demand (m³)]]="",Market_Data[[#This Row],[Avg Price per (₹ / m³)]]=""),"",Market_Data[[#This Row],[Estimated Concrete Demand (m³)]]*Market_Data[[#This Row],[Avg Price per (₹ / m³)]]/10000000)</f>
        <v>9.3465000000000007</v>
      </c>
      <c r="O2582" s="97" t="str">
        <f>IF(Market_Data[[#This Row],[Estimated Concrete Demand (m³)]]="","",
IF(Market_Data[[#This Row],[Estimated Concrete Demand (m³)]]&lt;10000,"Small",
IF(Market_Data[[#This Row],[Estimated Concrete Demand (m³)]]&lt;25000,"Medium",
IF(Market_Data[[#This Row],[Estimated Concrete Demand (m³)]]&lt;100000,"Large","Mega"))))</f>
        <v>Medium</v>
      </c>
      <c r="P2582" s="287" t="str">
        <f t="shared" si="42"/>
        <v>GujRERA</v>
      </c>
    </row>
    <row r="2583" spans="1:16">
      <c r="A2583" s="129" t="str">
        <f>_xlfn.XLOOKUP(B2583,$S$9:$S$14,$T$9:$T$14)&amp;"-"&amp;
IF(E2583="Residential/Group Housing","RES",
IF(E2583="Commercial","COM",
IF(E2583="Mixed Development","MIX",
IF(E2583="Plotted Development","PLT","OTH"))))
&amp;"-"&amp;TEXT(COUNTIFS($B$9:B2583,B2583,$E$9:E2583,E2583),"0000")</f>
        <v>SUR-RES-0891</v>
      </c>
      <c r="B2583" s="322" t="s">
        <v>34</v>
      </c>
      <c r="C2583" s="322" t="s">
        <v>34</v>
      </c>
      <c r="D2583" s="323" t="s">
        <v>2772</v>
      </c>
      <c r="E2583" s="132" t="s">
        <v>24</v>
      </c>
      <c r="F2583" s="97" t="str">
        <f ca="1">IF(OR(Market_Data[[#This Row],[Start Date]]="",Market_Data[[#This Row],[Completion Date]]=""),"Needs Validation",IF(Market_Data[[#This Row],[Start Date]]&gt;TODAY(),"Planned",IF(Market_Data[[#This Row],[Completion Date]]&lt;TODAY(),"Completed","Ongoing")))</f>
        <v>Completed</v>
      </c>
      <c r="G2583" s="324">
        <v>42902</v>
      </c>
      <c r="H2583" s="324">
        <v>43646</v>
      </c>
      <c r="I2583" s="325">
        <v>55700</v>
      </c>
      <c r="J258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83" s="133">
        <f>_xlfn.XLOOKUP(Market_Data[[#This Row],[Project Type]],tbl_assumptions_market[Project Category (RERA)],tbl_assumptions_market[Concrete Intensity
(m³ / sq m BUA)],"",0)</f>
        <v>0.45</v>
      </c>
      <c r="L2583" s="134">
        <f>ROUND(Market_Data[[#This Row],[Estimated Built Up Area (sq m)]]*Market_Data[[#This Row],[Concrete Intensity
(m³ / sq m)]],0)</f>
        <v>25065</v>
      </c>
      <c r="M2583" s="135">
        <f>_xlfn.XLOOKUP(Market_Data[[#This Row],[District]],tbl_district_price[District],tbl_district_price[Standard Price
(INR/m³)],"",0)</f>
        <v>6200</v>
      </c>
      <c r="N2583" s="364">
        <f>IF(OR(Market_Data[[#This Row],[Estimated Concrete Demand (m³)]]="",Market_Data[[#This Row],[Avg Price per (₹ / m³)]]=""),"",Market_Data[[#This Row],[Estimated Concrete Demand (m³)]]*Market_Data[[#This Row],[Avg Price per (₹ / m³)]]/10000000)</f>
        <v>15.5403</v>
      </c>
      <c r="O2583" s="97" t="str">
        <f>IF(Market_Data[[#This Row],[Estimated Concrete Demand (m³)]]="","",
IF(Market_Data[[#This Row],[Estimated Concrete Demand (m³)]]&lt;10000,"Small",
IF(Market_Data[[#This Row],[Estimated Concrete Demand (m³)]]&lt;25000,"Medium",
IF(Market_Data[[#This Row],[Estimated Concrete Demand (m³)]]&lt;100000,"Large","Mega"))))</f>
        <v>Large</v>
      </c>
      <c r="P2583" s="287" t="str">
        <f t="shared" si="42"/>
        <v>GujRERA</v>
      </c>
    </row>
    <row r="2584" spans="1:16">
      <c r="A2584" s="129" t="str">
        <f>_xlfn.XLOOKUP(B2584,$S$9:$S$14,$T$9:$T$14)&amp;"-"&amp;
IF(E2584="Residential/Group Housing","RES",
IF(E2584="Commercial","COM",
IF(E2584="Mixed Development","MIX",
IF(E2584="Plotted Development","PLT","OTH"))))
&amp;"-"&amp;TEXT(COUNTIFS($B$9:B2584,B2584,$E$9:E2584,E2584),"0000")</f>
        <v>SUR-MIX-0467</v>
      </c>
      <c r="B2584" s="322" t="s">
        <v>34</v>
      </c>
      <c r="C2584" s="322" t="s">
        <v>34</v>
      </c>
      <c r="D2584" s="323" t="s">
        <v>2773</v>
      </c>
      <c r="E2584" s="132" t="s">
        <v>25</v>
      </c>
      <c r="F2584" s="97" t="str">
        <f ca="1">IF(OR(Market_Data[[#This Row],[Start Date]]="",Market_Data[[#This Row],[Completion Date]]=""),"Needs Validation",IF(Market_Data[[#This Row],[Start Date]]&gt;TODAY(),"Planned",IF(Market_Data[[#This Row],[Completion Date]]&lt;TODAY(),"Completed","Ongoing")))</f>
        <v>Ongoing</v>
      </c>
      <c r="G2584" s="324">
        <v>44927</v>
      </c>
      <c r="H2584" s="324">
        <v>46752</v>
      </c>
      <c r="I2584" s="325">
        <v>42700</v>
      </c>
      <c r="J258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84" s="133">
        <f>_xlfn.XLOOKUP(Market_Data[[#This Row],[Project Type]],tbl_assumptions_market[Project Category (RERA)],tbl_assumptions_market[Concrete Intensity
(m³ / sq m BUA)],"",0)</f>
        <v>0.42</v>
      </c>
      <c r="L2584" s="134">
        <f>ROUND(Market_Data[[#This Row],[Estimated Built Up Area (sq m)]]*Market_Data[[#This Row],[Concrete Intensity
(m³ / sq m)]],0)</f>
        <v>17934</v>
      </c>
      <c r="M2584" s="135">
        <f>_xlfn.XLOOKUP(Market_Data[[#This Row],[District]],tbl_district_price[District],tbl_district_price[Standard Price
(INR/m³)],"",0)</f>
        <v>6200</v>
      </c>
      <c r="N2584" s="364">
        <f>IF(OR(Market_Data[[#This Row],[Estimated Concrete Demand (m³)]]="",Market_Data[[#This Row],[Avg Price per (₹ / m³)]]=""),"",Market_Data[[#This Row],[Estimated Concrete Demand (m³)]]*Market_Data[[#This Row],[Avg Price per (₹ / m³)]]/10000000)</f>
        <v>11.11908</v>
      </c>
      <c r="O2584" s="97" t="str">
        <f>IF(Market_Data[[#This Row],[Estimated Concrete Demand (m³)]]="","",
IF(Market_Data[[#This Row],[Estimated Concrete Demand (m³)]]&lt;10000,"Small",
IF(Market_Data[[#This Row],[Estimated Concrete Demand (m³)]]&lt;25000,"Medium",
IF(Market_Data[[#This Row],[Estimated Concrete Demand (m³)]]&lt;100000,"Large","Mega"))))</f>
        <v>Medium</v>
      </c>
      <c r="P2584" s="287" t="str">
        <f t="shared" si="42"/>
        <v>GujRERA</v>
      </c>
    </row>
    <row r="2585" spans="1:16">
      <c r="A2585" s="129" t="str">
        <f>_xlfn.XLOOKUP(B2585,$S$9:$S$14,$T$9:$T$14)&amp;"-"&amp;
IF(E2585="Residential/Group Housing","RES",
IF(E2585="Commercial","COM",
IF(E2585="Mixed Development","MIX",
IF(E2585="Plotted Development","PLT","OTH"))))
&amp;"-"&amp;TEXT(COUNTIFS($B$9:B2585,B2585,$E$9:E2585,E2585),"0000")</f>
        <v>SUR-MIX-0468</v>
      </c>
      <c r="B2585" s="322" t="s">
        <v>34</v>
      </c>
      <c r="C2585" s="322" t="s">
        <v>34</v>
      </c>
      <c r="D2585" s="323" t="s">
        <v>2774</v>
      </c>
      <c r="E2585" s="132" t="s">
        <v>25</v>
      </c>
      <c r="F2585" s="97" t="str">
        <f ca="1">IF(OR(Market_Data[[#This Row],[Start Date]]="",Market_Data[[#This Row],[Completion Date]]=""),"Needs Validation",IF(Market_Data[[#This Row],[Start Date]]&gt;TODAY(),"Planned",IF(Market_Data[[#This Row],[Completion Date]]&lt;TODAY(),"Completed","Ongoing")))</f>
        <v>Completed</v>
      </c>
      <c r="G2585" s="324">
        <v>43595</v>
      </c>
      <c r="H2585" s="324">
        <v>46053</v>
      </c>
      <c r="I2585" s="325">
        <v>59600</v>
      </c>
      <c r="J258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85" s="133">
        <f>_xlfn.XLOOKUP(Market_Data[[#This Row],[Project Type]],tbl_assumptions_market[Project Category (RERA)],tbl_assumptions_market[Concrete Intensity
(m³ / sq m BUA)],"",0)</f>
        <v>0.42</v>
      </c>
      <c r="L2585" s="134">
        <f>ROUND(Market_Data[[#This Row],[Estimated Built Up Area (sq m)]]*Market_Data[[#This Row],[Concrete Intensity
(m³ / sq m)]],0)</f>
        <v>25032</v>
      </c>
      <c r="M2585" s="135">
        <f>_xlfn.XLOOKUP(Market_Data[[#This Row],[District]],tbl_district_price[District],tbl_district_price[Standard Price
(INR/m³)],"",0)</f>
        <v>6200</v>
      </c>
      <c r="N2585" s="364">
        <f>IF(OR(Market_Data[[#This Row],[Estimated Concrete Demand (m³)]]="",Market_Data[[#This Row],[Avg Price per (₹ / m³)]]=""),"",Market_Data[[#This Row],[Estimated Concrete Demand (m³)]]*Market_Data[[#This Row],[Avg Price per (₹ / m³)]]/10000000)</f>
        <v>15.51984</v>
      </c>
      <c r="O2585" s="97" t="str">
        <f>IF(Market_Data[[#This Row],[Estimated Concrete Demand (m³)]]="","",
IF(Market_Data[[#This Row],[Estimated Concrete Demand (m³)]]&lt;10000,"Small",
IF(Market_Data[[#This Row],[Estimated Concrete Demand (m³)]]&lt;25000,"Medium",
IF(Market_Data[[#This Row],[Estimated Concrete Demand (m³)]]&lt;100000,"Large","Mega"))))</f>
        <v>Large</v>
      </c>
      <c r="P2585" s="287" t="str">
        <f t="shared" si="42"/>
        <v>GujRERA</v>
      </c>
    </row>
    <row r="2586" spans="1:16">
      <c r="A2586" s="129" t="str">
        <f>_xlfn.XLOOKUP(B2586,$S$9:$S$14,$T$9:$T$14)&amp;"-"&amp;
IF(E2586="Residential/Group Housing","RES",
IF(E2586="Commercial","COM",
IF(E2586="Mixed Development","MIX",
IF(E2586="Plotted Development","PLT","OTH"))))
&amp;"-"&amp;TEXT(COUNTIFS($B$9:B2586,B2586,$E$9:E2586,E2586),"0000")</f>
        <v>SUR-PLT-0474</v>
      </c>
      <c r="B2586" s="322" t="s">
        <v>34</v>
      </c>
      <c r="C2586" s="322" t="s">
        <v>34</v>
      </c>
      <c r="D2586" s="323" t="s">
        <v>2775</v>
      </c>
      <c r="E2586" s="132" t="s">
        <v>26</v>
      </c>
      <c r="F2586" s="97" t="str">
        <f ca="1">IF(OR(Market_Data[[#This Row],[Start Date]]="",Market_Data[[#This Row],[Completion Date]]=""),"Needs Validation",IF(Market_Data[[#This Row],[Start Date]]&gt;TODAY(),"Planned",IF(Market_Data[[#This Row],[Completion Date]]&lt;TODAY(),"Completed","Ongoing")))</f>
        <v>Completed</v>
      </c>
      <c r="G2586" s="324">
        <v>44612</v>
      </c>
      <c r="H2586" s="324">
        <v>45657</v>
      </c>
      <c r="I2586" s="325">
        <v>52900</v>
      </c>
      <c r="J258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586" s="133">
        <f>_xlfn.XLOOKUP(Market_Data[[#This Row],[Project Type]],tbl_assumptions_market[Project Category (RERA)],tbl_assumptions_market[Concrete Intensity
(m³ / sq m BUA)],"",0)</f>
        <v>0.18</v>
      </c>
      <c r="L2586" s="134">
        <f>ROUND(Market_Data[[#This Row],[Estimated Built Up Area (sq m)]]*Market_Data[[#This Row],[Concrete Intensity
(m³ / sq m)]],0)</f>
        <v>9522</v>
      </c>
      <c r="M2586" s="135">
        <f>_xlfn.XLOOKUP(Market_Data[[#This Row],[District]],tbl_district_price[District],tbl_district_price[Standard Price
(INR/m³)],"",0)</f>
        <v>6200</v>
      </c>
      <c r="N2586" s="364">
        <f>IF(OR(Market_Data[[#This Row],[Estimated Concrete Demand (m³)]]="",Market_Data[[#This Row],[Avg Price per (₹ / m³)]]=""),"",Market_Data[[#This Row],[Estimated Concrete Demand (m³)]]*Market_Data[[#This Row],[Avg Price per (₹ / m³)]]/10000000)</f>
        <v>5.9036400000000002</v>
      </c>
      <c r="O2586" s="97" t="str">
        <f>IF(Market_Data[[#This Row],[Estimated Concrete Demand (m³)]]="","",
IF(Market_Data[[#This Row],[Estimated Concrete Demand (m³)]]&lt;10000,"Small",
IF(Market_Data[[#This Row],[Estimated Concrete Demand (m³)]]&lt;25000,"Medium",
IF(Market_Data[[#This Row],[Estimated Concrete Demand (m³)]]&lt;100000,"Large","Mega"))))</f>
        <v>Small</v>
      </c>
      <c r="P2586" s="287" t="str">
        <f t="shared" si="42"/>
        <v>GujRERA</v>
      </c>
    </row>
    <row r="2587" spans="1:16">
      <c r="A2587" s="129" t="str">
        <f>_xlfn.XLOOKUP(B2587,$S$9:$S$14,$T$9:$T$14)&amp;"-"&amp;
IF(E2587="Residential/Group Housing","RES",
IF(E2587="Commercial","COM",
IF(E2587="Mixed Development","MIX",
IF(E2587="Plotted Development","PLT","OTH"))))
&amp;"-"&amp;TEXT(COUNTIFS($B$9:B2587,B2587,$E$9:E2587,E2587),"0000")</f>
        <v>SUR-PLT-0475</v>
      </c>
      <c r="B2587" s="322" t="s">
        <v>34</v>
      </c>
      <c r="C2587" s="322" t="s">
        <v>34</v>
      </c>
      <c r="D2587" s="323" t="s">
        <v>2776</v>
      </c>
      <c r="E2587" s="132" t="s">
        <v>26</v>
      </c>
      <c r="F2587" s="97" t="str">
        <f ca="1">IF(OR(Market_Data[[#This Row],[Start Date]]="",Market_Data[[#This Row],[Completion Date]]=""),"Needs Validation",IF(Market_Data[[#This Row],[Start Date]]&gt;TODAY(),"Planned",IF(Market_Data[[#This Row],[Completion Date]]&lt;TODAY(),"Completed","Ongoing")))</f>
        <v>Ongoing</v>
      </c>
      <c r="G2587" s="324">
        <v>45708</v>
      </c>
      <c r="H2587" s="324">
        <v>46752</v>
      </c>
      <c r="I2587" s="325">
        <v>53200</v>
      </c>
      <c r="J258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587" s="133">
        <f>_xlfn.XLOOKUP(Market_Data[[#This Row],[Project Type]],tbl_assumptions_market[Project Category (RERA)],tbl_assumptions_market[Concrete Intensity
(m³ / sq m BUA)],"",0)</f>
        <v>0.18</v>
      </c>
      <c r="L2587" s="134">
        <f>ROUND(Market_Data[[#This Row],[Estimated Built Up Area (sq m)]]*Market_Data[[#This Row],[Concrete Intensity
(m³ / sq m)]],0)</f>
        <v>9576</v>
      </c>
      <c r="M2587" s="135">
        <f>_xlfn.XLOOKUP(Market_Data[[#This Row],[District]],tbl_district_price[District],tbl_district_price[Standard Price
(INR/m³)],"",0)</f>
        <v>6200</v>
      </c>
      <c r="N2587" s="364">
        <f>IF(OR(Market_Data[[#This Row],[Estimated Concrete Demand (m³)]]="",Market_Data[[#This Row],[Avg Price per (₹ / m³)]]=""),"",Market_Data[[#This Row],[Estimated Concrete Demand (m³)]]*Market_Data[[#This Row],[Avg Price per (₹ / m³)]]/10000000)</f>
        <v>5.9371200000000002</v>
      </c>
      <c r="O2587" s="97" t="str">
        <f>IF(Market_Data[[#This Row],[Estimated Concrete Demand (m³)]]="","",
IF(Market_Data[[#This Row],[Estimated Concrete Demand (m³)]]&lt;10000,"Small",
IF(Market_Data[[#This Row],[Estimated Concrete Demand (m³)]]&lt;25000,"Medium",
IF(Market_Data[[#This Row],[Estimated Concrete Demand (m³)]]&lt;100000,"Large","Mega"))))</f>
        <v>Small</v>
      </c>
      <c r="P2587" s="287" t="str">
        <f t="shared" si="42"/>
        <v>GujRERA</v>
      </c>
    </row>
    <row r="2588" spans="1:16">
      <c r="A2588" s="129" t="str">
        <f>_xlfn.XLOOKUP(B2588,$S$9:$S$14,$T$9:$T$14)&amp;"-"&amp;
IF(E2588="Residential/Group Housing","RES",
IF(E2588="Commercial","COM",
IF(E2588="Mixed Development","MIX",
IF(E2588="Plotted Development","PLT","OTH"))))
&amp;"-"&amp;TEXT(COUNTIFS($B$9:B2588,B2588,$E$9:E2588,E2588),"0000")</f>
        <v>SUR-MIX-0469</v>
      </c>
      <c r="B2588" s="322" t="s">
        <v>34</v>
      </c>
      <c r="C2588" s="322" t="s">
        <v>34</v>
      </c>
      <c r="D2588" s="323" t="s">
        <v>2777</v>
      </c>
      <c r="E2588" s="132" t="s">
        <v>25</v>
      </c>
      <c r="F2588" s="97" t="str">
        <f ca="1">IF(OR(Market_Data[[#This Row],[Start Date]]="",Market_Data[[#This Row],[Completion Date]]=""),"Needs Validation",IF(Market_Data[[#This Row],[Start Date]]&gt;TODAY(),"Planned",IF(Market_Data[[#This Row],[Completion Date]]&lt;TODAY(),"Completed","Ongoing")))</f>
        <v>Completed</v>
      </c>
      <c r="G2588" s="324">
        <v>41852</v>
      </c>
      <c r="H2588" s="324">
        <v>43555</v>
      </c>
      <c r="I2588" s="325">
        <v>45000</v>
      </c>
      <c r="J258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88" s="133">
        <f>_xlfn.XLOOKUP(Market_Data[[#This Row],[Project Type]],tbl_assumptions_market[Project Category (RERA)],tbl_assumptions_market[Concrete Intensity
(m³ / sq m BUA)],"",0)</f>
        <v>0.42</v>
      </c>
      <c r="L2588" s="134">
        <f>ROUND(Market_Data[[#This Row],[Estimated Built Up Area (sq m)]]*Market_Data[[#This Row],[Concrete Intensity
(m³ / sq m)]],0)</f>
        <v>18900</v>
      </c>
      <c r="M2588" s="135">
        <f>_xlfn.XLOOKUP(Market_Data[[#This Row],[District]],tbl_district_price[District],tbl_district_price[Standard Price
(INR/m³)],"",0)</f>
        <v>6200</v>
      </c>
      <c r="N2588" s="364">
        <f>IF(OR(Market_Data[[#This Row],[Estimated Concrete Demand (m³)]]="",Market_Data[[#This Row],[Avg Price per (₹ / m³)]]=""),"",Market_Data[[#This Row],[Estimated Concrete Demand (m³)]]*Market_Data[[#This Row],[Avg Price per (₹ / m³)]]/10000000)</f>
        <v>11.718</v>
      </c>
      <c r="O2588" s="97" t="str">
        <f>IF(Market_Data[[#This Row],[Estimated Concrete Demand (m³)]]="","",
IF(Market_Data[[#This Row],[Estimated Concrete Demand (m³)]]&lt;10000,"Small",
IF(Market_Data[[#This Row],[Estimated Concrete Demand (m³)]]&lt;25000,"Medium",
IF(Market_Data[[#This Row],[Estimated Concrete Demand (m³)]]&lt;100000,"Large","Mega"))))</f>
        <v>Medium</v>
      </c>
      <c r="P2588" s="287" t="str">
        <f t="shared" si="42"/>
        <v>GujRERA</v>
      </c>
    </row>
    <row r="2589" spans="1:16">
      <c r="A2589" s="129" t="str">
        <f>_xlfn.XLOOKUP(B2589,$S$9:$S$14,$T$9:$T$14)&amp;"-"&amp;
IF(E2589="Residential/Group Housing","RES",
IF(E2589="Commercial","COM",
IF(E2589="Mixed Development","MIX",
IF(E2589="Plotted Development","PLT","OTH"))))
&amp;"-"&amp;TEXT(COUNTIFS($B$9:B2589,B2589,$E$9:E2589,E2589),"0000")</f>
        <v>SUR-PLT-0476</v>
      </c>
      <c r="B2589" s="322" t="s">
        <v>34</v>
      </c>
      <c r="C2589" s="322" t="s">
        <v>34</v>
      </c>
      <c r="D2589" s="323" t="s">
        <v>2778</v>
      </c>
      <c r="E2589" s="132" t="s">
        <v>26</v>
      </c>
      <c r="F2589" s="97" t="str">
        <f ca="1">IF(OR(Market_Data[[#This Row],[Start Date]]="",Market_Data[[#This Row],[Completion Date]]=""),"Needs Validation",IF(Market_Data[[#This Row],[Start Date]]&gt;TODAY(),"Planned",IF(Market_Data[[#This Row],[Completion Date]]&lt;TODAY(),"Completed","Ongoing")))</f>
        <v>Completed</v>
      </c>
      <c r="G2589" s="324">
        <v>44343</v>
      </c>
      <c r="H2589" s="324">
        <v>45473</v>
      </c>
      <c r="I2589" s="325">
        <v>34700</v>
      </c>
      <c r="J258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589" s="133">
        <f>_xlfn.XLOOKUP(Market_Data[[#This Row],[Project Type]],tbl_assumptions_market[Project Category (RERA)],tbl_assumptions_market[Concrete Intensity
(m³ / sq m BUA)],"",0)</f>
        <v>0.18</v>
      </c>
      <c r="L2589" s="134">
        <f>ROUND(Market_Data[[#This Row],[Estimated Built Up Area (sq m)]]*Market_Data[[#This Row],[Concrete Intensity
(m³ / sq m)]],0)</f>
        <v>6246</v>
      </c>
      <c r="M2589" s="135">
        <f>_xlfn.XLOOKUP(Market_Data[[#This Row],[District]],tbl_district_price[District],tbl_district_price[Standard Price
(INR/m³)],"",0)</f>
        <v>6200</v>
      </c>
      <c r="N2589" s="364">
        <f>IF(OR(Market_Data[[#This Row],[Estimated Concrete Demand (m³)]]="",Market_Data[[#This Row],[Avg Price per (₹ / m³)]]=""),"",Market_Data[[#This Row],[Estimated Concrete Demand (m³)]]*Market_Data[[#This Row],[Avg Price per (₹ / m³)]]/10000000)</f>
        <v>3.8725200000000002</v>
      </c>
      <c r="O2589" s="97" t="str">
        <f>IF(Market_Data[[#This Row],[Estimated Concrete Demand (m³)]]="","",
IF(Market_Data[[#This Row],[Estimated Concrete Demand (m³)]]&lt;10000,"Small",
IF(Market_Data[[#This Row],[Estimated Concrete Demand (m³)]]&lt;25000,"Medium",
IF(Market_Data[[#This Row],[Estimated Concrete Demand (m³)]]&lt;100000,"Large","Mega"))))</f>
        <v>Small</v>
      </c>
      <c r="P2589" s="287" t="str">
        <f t="shared" si="42"/>
        <v>GujRERA</v>
      </c>
    </row>
    <row r="2590" spans="1:16">
      <c r="A2590" s="129" t="str">
        <f>_xlfn.XLOOKUP(B2590,$S$9:$S$14,$T$9:$T$14)&amp;"-"&amp;
IF(E2590="Residential/Group Housing","RES",
IF(E2590="Commercial","COM",
IF(E2590="Mixed Development","MIX",
IF(E2590="Plotted Development","PLT","OTH"))))
&amp;"-"&amp;TEXT(COUNTIFS($B$9:B2590,B2590,$E$9:E2590,E2590),"0000")</f>
        <v>SUR-COM-0436</v>
      </c>
      <c r="B2590" s="322" t="s">
        <v>34</v>
      </c>
      <c r="C2590" s="322" t="s">
        <v>34</v>
      </c>
      <c r="D2590" s="323" t="s">
        <v>2779</v>
      </c>
      <c r="E2590" s="132" t="s">
        <v>23</v>
      </c>
      <c r="F2590" s="97" t="str">
        <f ca="1">IF(OR(Market_Data[[#This Row],[Start Date]]="",Market_Data[[#This Row],[Completion Date]]=""),"Needs Validation",IF(Market_Data[[#This Row],[Start Date]]&gt;TODAY(),"Planned",IF(Market_Data[[#This Row],[Completion Date]]&lt;TODAY(),"Completed","Ongoing")))</f>
        <v>Ongoing</v>
      </c>
      <c r="G2590" s="324">
        <v>45046</v>
      </c>
      <c r="H2590" s="324">
        <v>47118</v>
      </c>
      <c r="I2590" s="325">
        <v>41100</v>
      </c>
      <c r="J259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590" s="133">
        <f>_xlfn.XLOOKUP(Market_Data[[#This Row],[Project Type]],tbl_assumptions_market[Project Category (RERA)],tbl_assumptions_market[Concrete Intensity
(m³ / sq m BUA)],"",0)</f>
        <v>0.5</v>
      </c>
      <c r="L2590" s="134">
        <f>ROUND(Market_Data[[#This Row],[Estimated Built Up Area (sq m)]]*Market_Data[[#This Row],[Concrete Intensity
(m³ / sq m)]],0)</f>
        <v>20550</v>
      </c>
      <c r="M2590" s="135">
        <f>_xlfn.XLOOKUP(Market_Data[[#This Row],[District]],tbl_district_price[District],tbl_district_price[Standard Price
(INR/m³)],"",0)</f>
        <v>6200</v>
      </c>
      <c r="N2590" s="364">
        <f>IF(OR(Market_Data[[#This Row],[Estimated Concrete Demand (m³)]]="",Market_Data[[#This Row],[Avg Price per (₹ / m³)]]=""),"",Market_Data[[#This Row],[Estimated Concrete Demand (m³)]]*Market_Data[[#This Row],[Avg Price per (₹ / m³)]]/10000000)</f>
        <v>12.741</v>
      </c>
      <c r="O2590" s="97" t="str">
        <f>IF(Market_Data[[#This Row],[Estimated Concrete Demand (m³)]]="","",
IF(Market_Data[[#This Row],[Estimated Concrete Demand (m³)]]&lt;10000,"Small",
IF(Market_Data[[#This Row],[Estimated Concrete Demand (m³)]]&lt;25000,"Medium",
IF(Market_Data[[#This Row],[Estimated Concrete Demand (m³)]]&lt;100000,"Large","Mega"))))</f>
        <v>Medium</v>
      </c>
      <c r="P2590" s="287" t="str">
        <f t="shared" si="42"/>
        <v>GujRERA</v>
      </c>
    </row>
    <row r="2591" spans="1:16">
      <c r="A2591" s="129" t="str">
        <f>_xlfn.XLOOKUP(B2591,$S$9:$S$14,$T$9:$T$14)&amp;"-"&amp;
IF(E2591="Residential/Group Housing","RES",
IF(E2591="Commercial","COM",
IF(E2591="Mixed Development","MIX",
IF(E2591="Plotted Development","PLT","OTH"))))
&amp;"-"&amp;TEXT(COUNTIFS($B$9:B2591,B2591,$E$9:E2591,E2591),"0000")</f>
        <v>SUR-COM-0437</v>
      </c>
      <c r="B2591" s="322" t="s">
        <v>34</v>
      </c>
      <c r="C2591" s="322" t="s">
        <v>34</v>
      </c>
      <c r="D2591" s="323" t="s">
        <v>2780</v>
      </c>
      <c r="E2591" s="132" t="s">
        <v>23</v>
      </c>
      <c r="F2591" s="97" t="str">
        <f ca="1">IF(OR(Market_Data[[#This Row],[Start Date]]="",Market_Data[[#This Row],[Completion Date]]=""),"Needs Validation",IF(Market_Data[[#This Row],[Start Date]]&gt;TODAY(),"Planned",IF(Market_Data[[#This Row],[Completion Date]]&lt;TODAY(),"Completed","Ongoing")))</f>
        <v>Completed</v>
      </c>
      <c r="G2591" s="324">
        <v>43608</v>
      </c>
      <c r="H2591" s="324">
        <v>46203</v>
      </c>
      <c r="I2591" s="325">
        <v>5500</v>
      </c>
      <c r="J259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91" s="133">
        <f>_xlfn.XLOOKUP(Market_Data[[#This Row],[Project Type]],tbl_assumptions_market[Project Category (RERA)],tbl_assumptions_market[Concrete Intensity
(m³ / sq m BUA)],"",0)</f>
        <v>0.5</v>
      </c>
      <c r="L2591" s="134">
        <f>ROUND(Market_Data[[#This Row],[Estimated Built Up Area (sq m)]]*Market_Data[[#This Row],[Concrete Intensity
(m³ / sq m)]],0)</f>
        <v>2750</v>
      </c>
      <c r="M2591" s="135">
        <f>_xlfn.XLOOKUP(Market_Data[[#This Row],[District]],tbl_district_price[District],tbl_district_price[Standard Price
(INR/m³)],"",0)</f>
        <v>6200</v>
      </c>
      <c r="N2591" s="364">
        <f>IF(OR(Market_Data[[#This Row],[Estimated Concrete Demand (m³)]]="",Market_Data[[#This Row],[Avg Price per (₹ / m³)]]=""),"",Market_Data[[#This Row],[Estimated Concrete Demand (m³)]]*Market_Data[[#This Row],[Avg Price per (₹ / m³)]]/10000000)</f>
        <v>1.7050000000000001</v>
      </c>
      <c r="O2591" s="97" t="str">
        <f>IF(Market_Data[[#This Row],[Estimated Concrete Demand (m³)]]="","",
IF(Market_Data[[#This Row],[Estimated Concrete Demand (m³)]]&lt;10000,"Small",
IF(Market_Data[[#This Row],[Estimated Concrete Demand (m³)]]&lt;25000,"Medium",
IF(Market_Data[[#This Row],[Estimated Concrete Demand (m³)]]&lt;100000,"Large","Mega"))))</f>
        <v>Small</v>
      </c>
      <c r="P2591" s="287" t="str">
        <f t="shared" si="42"/>
        <v>GujRERA</v>
      </c>
    </row>
    <row r="2592" spans="1:16">
      <c r="A2592" s="129" t="str">
        <f>_xlfn.XLOOKUP(B2592,$S$9:$S$14,$T$9:$T$14)&amp;"-"&amp;
IF(E2592="Residential/Group Housing","RES",
IF(E2592="Commercial","COM",
IF(E2592="Mixed Development","MIX",
IF(E2592="Plotted Development","PLT","OTH"))))
&amp;"-"&amp;TEXT(COUNTIFS($B$9:B2592,B2592,$E$9:E2592,E2592),"0000")</f>
        <v>SUR-RES-0892</v>
      </c>
      <c r="B2592" s="322" t="s">
        <v>34</v>
      </c>
      <c r="C2592" s="322" t="s">
        <v>34</v>
      </c>
      <c r="D2592" s="323" t="s">
        <v>2781</v>
      </c>
      <c r="E2592" s="132" t="s">
        <v>24</v>
      </c>
      <c r="F2592" s="97" t="str">
        <f ca="1">IF(OR(Market_Data[[#This Row],[Start Date]]="",Market_Data[[#This Row],[Completion Date]]=""),"Needs Validation",IF(Market_Data[[#This Row],[Start Date]]&gt;TODAY(),"Planned",IF(Market_Data[[#This Row],[Completion Date]]&lt;TODAY(),"Completed","Ongoing")))</f>
        <v>Completed</v>
      </c>
      <c r="G2592" s="324">
        <v>43306</v>
      </c>
      <c r="H2592" s="324">
        <v>45409</v>
      </c>
      <c r="I2592" s="325">
        <v>11600</v>
      </c>
      <c r="J259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92" s="133">
        <f>_xlfn.XLOOKUP(Market_Data[[#This Row],[Project Type]],tbl_assumptions_market[Project Category (RERA)],tbl_assumptions_market[Concrete Intensity
(m³ / sq m BUA)],"",0)</f>
        <v>0.45</v>
      </c>
      <c r="L2592" s="134">
        <f>ROUND(Market_Data[[#This Row],[Estimated Built Up Area (sq m)]]*Market_Data[[#This Row],[Concrete Intensity
(m³ / sq m)]],0)</f>
        <v>5220</v>
      </c>
      <c r="M2592" s="135">
        <f>_xlfn.XLOOKUP(Market_Data[[#This Row],[District]],tbl_district_price[District],tbl_district_price[Standard Price
(INR/m³)],"",0)</f>
        <v>6200</v>
      </c>
      <c r="N2592" s="364">
        <f>IF(OR(Market_Data[[#This Row],[Estimated Concrete Demand (m³)]]="",Market_Data[[#This Row],[Avg Price per (₹ / m³)]]=""),"",Market_Data[[#This Row],[Estimated Concrete Demand (m³)]]*Market_Data[[#This Row],[Avg Price per (₹ / m³)]]/10000000)</f>
        <v>3.2364000000000002</v>
      </c>
      <c r="O2592" s="97" t="str">
        <f>IF(Market_Data[[#This Row],[Estimated Concrete Demand (m³)]]="","",
IF(Market_Data[[#This Row],[Estimated Concrete Demand (m³)]]&lt;10000,"Small",
IF(Market_Data[[#This Row],[Estimated Concrete Demand (m³)]]&lt;25000,"Medium",
IF(Market_Data[[#This Row],[Estimated Concrete Demand (m³)]]&lt;100000,"Large","Mega"))))</f>
        <v>Small</v>
      </c>
      <c r="P2592" s="287" t="str">
        <f t="shared" si="42"/>
        <v>GujRERA</v>
      </c>
    </row>
    <row r="2593" spans="1:16">
      <c r="A2593" s="129" t="str">
        <f>_xlfn.XLOOKUP(B2593,$S$9:$S$14,$T$9:$T$14)&amp;"-"&amp;
IF(E2593="Residential/Group Housing","RES",
IF(E2593="Commercial","COM",
IF(E2593="Mixed Development","MIX",
IF(E2593="Plotted Development","PLT","OTH"))))
&amp;"-"&amp;TEXT(COUNTIFS($B$9:B2593,B2593,$E$9:E2593,E2593),"0000")</f>
        <v>SUR-MIX-0470</v>
      </c>
      <c r="B2593" s="322" t="s">
        <v>34</v>
      </c>
      <c r="C2593" s="322" t="s">
        <v>34</v>
      </c>
      <c r="D2593" s="323" t="s">
        <v>2782</v>
      </c>
      <c r="E2593" s="132" t="s">
        <v>25</v>
      </c>
      <c r="F2593" s="97" t="str">
        <f ca="1">IF(OR(Market_Data[[#This Row],[Start Date]]="",Market_Data[[#This Row],[Completion Date]]=""),"Needs Validation",IF(Market_Data[[#This Row],[Start Date]]&gt;TODAY(),"Planned",IF(Market_Data[[#This Row],[Completion Date]]&lt;TODAY(),"Completed","Ongoing")))</f>
        <v>Completed</v>
      </c>
      <c r="G2593" s="324">
        <v>41404</v>
      </c>
      <c r="H2593" s="324">
        <v>43697</v>
      </c>
      <c r="I2593" s="325">
        <v>4200</v>
      </c>
      <c r="J259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593" s="133">
        <f>_xlfn.XLOOKUP(Market_Data[[#This Row],[Project Type]],tbl_assumptions_market[Project Category (RERA)],tbl_assumptions_market[Concrete Intensity
(m³ / sq m BUA)],"",0)</f>
        <v>0.42</v>
      </c>
      <c r="L2593" s="134">
        <f>ROUND(Market_Data[[#This Row],[Estimated Built Up Area (sq m)]]*Market_Data[[#This Row],[Concrete Intensity
(m³ / sq m)]],0)</f>
        <v>1764</v>
      </c>
      <c r="M2593" s="135">
        <f>_xlfn.XLOOKUP(Market_Data[[#This Row],[District]],tbl_district_price[District],tbl_district_price[Standard Price
(INR/m³)],"",0)</f>
        <v>6200</v>
      </c>
      <c r="N2593" s="364">
        <f>IF(OR(Market_Data[[#This Row],[Estimated Concrete Demand (m³)]]="",Market_Data[[#This Row],[Avg Price per (₹ / m³)]]=""),"",Market_Data[[#This Row],[Estimated Concrete Demand (m³)]]*Market_Data[[#This Row],[Avg Price per (₹ / m³)]]/10000000)</f>
        <v>1.09368</v>
      </c>
      <c r="O2593" s="97" t="str">
        <f>IF(Market_Data[[#This Row],[Estimated Concrete Demand (m³)]]="","",
IF(Market_Data[[#This Row],[Estimated Concrete Demand (m³)]]&lt;10000,"Small",
IF(Market_Data[[#This Row],[Estimated Concrete Demand (m³)]]&lt;25000,"Medium",
IF(Market_Data[[#This Row],[Estimated Concrete Demand (m³)]]&lt;100000,"Large","Mega"))))</f>
        <v>Small</v>
      </c>
      <c r="P2593" s="287" t="str">
        <f t="shared" si="42"/>
        <v>GujRERA</v>
      </c>
    </row>
    <row r="2594" spans="1:16">
      <c r="A2594" s="129" t="str">
        <f>_xlfn.XLOOKUP(B2594,$S$9:$S$14,$T$9:$T$14)&amp;"-"&amp;
IF(E2594="Residential/Group Housing","RES",
IF(E2594="Commercial","COM",
IF(E2594="Mixed Development","MIX",
IF(E2594="Plotted Development","PLT","OTH"))))
&amp;"-"&amp;TEXT(COUNTIFS($B$9:B2594,B2594,$E$9:E2594,E2594),"0000")</f>
        <v>SUR-PLT-0477</v>
      </c>
      <c r="B2594" s="322" t="s">
        <v>34</v>
      </c>
      <c r="C2594" s="322" t="s">
        <v>34</v>
      </c>
      <c r="D2594" s="323" t="s">
        <v>2783</v>
      </c>
      <c r="E2594" s="132" t="s">
        <v>26</v>
      </c>
      <c r="F2594" s="97" t="str">
        <f ca="1">IF(OR(Market_Data[[#This Row],[Start Date]]="",Market_Data[[#This Row],[Completion Date]]=""),"Needs Validation",IF(Market_Data[[#This Row],[Start Date]]&gt;TODAY(),"Planned",IF(Market_Data[[#This Row],[Completion Date]]&lt;TODAY(),"Completed","Ongoing")))</f>
        <v>Ongoing</v>
      </c>
      <c r="G2594" s="324">
        <v>45818</v>
      </c>
      <c r="H2594" s="324">
        <v>47118</v>
      </c>
      <c r="I2594" s="325">
        <v>7700</v>
      </c>
      <c r="J259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94" s="133">
        <f>_xlfn.XLOOKUP(Market_Data[[#This Row],[Project Type]],tbl_assumptions_market[Project Category (RERA)],tbl_assumptions_market[Concrete Intensity
(m³ / sq m BUA)],"",0)</f>
        <v>0.18</v>
      </c>
      <c r="L2594" s="134">
        <f>ROUND(Market_Data[[#This Row],[Estimated Built Up Area (sq m)]]*Market_Data[[#This Row],[Concrete Intensity
(m³ / sq m)]],0)</f>
        <v>1386</v>
      </c>
      <c r="M2594" s="135">
        <f>_xlfn.XLOOKUP(Market_Data[[#This Row],[District]],tbl_district_price[District],tbl_district_price[Standard Price
(INR/m³)],"",0)</f>
        <v>6200</v>
      </c>
      <c r="N2594" s="364">
        <f>IF(OR(Market_Data[[#This Row],[Estimated Concrete Demand (m³)]]="",Market_Data[[#This Row],[Avg Price per (₹ / m³)]]=""),"",Market_Data[[#This Row],[Estimated Concrete Demand (m³)]]*Market_Data[[#This Row],[Avg Price per (₹ / m³)]]/10000000)</f>
        <v>0.85931999999999997</v>
      </c>
      <c r="O2594" s="97" t="str">
        <f>IF(Market_Data[[#This Row],[Estimated Concrete Demand (m³)]]="","",
IF(Market_Data[[#This Row],[Estimated Concrete Demand (m³)]]&lt;10000,"Small",
IF(Market_Data[[#This Row],[Estimated Concrete Demand (m³)]]&lt;25000,"Medium",
IF(Market_Data[[#This Row],[Estimated Concrete Demand (m³)]]&lt;100000,"Large","Mega"))))</f>
        <v>Small</v>
      </c>
      <c r="P2594" s="287" t="str">
        <f t="shared" si="42"/>
        <v>GujRERA</v>
      </c>
    </row>
    <row r="2595" spans="1:16">
      <c r="A2595" s="129" t="str">
        <f>_xlfn.XLOOKUP(B2595,$S$9:$S$14,$T$9:$T$14)&amp;"-"&amp;
IF(E2595="Residential/Group Housing","RES",
IF(E2595="Commercial","COM",
IF(E2595="Mixed Development","MIX",
IF(E2595="Plotted Development","PLT","OTH"))))
&amp;"-"&amp;TEXT(COUNTIFS($B$9:B2595,B2595,$E$9:E2595,E2595),"0000")</f>
        <v>SUR-PLT-0478</v>
      </c>
      <c r="B2595" s="322" t="s">
        <v>34</v>
      </c>
      <c r="C2595" s="322" t="s">
        <v>34</v>
      </c>
      <c r="D2595" s="323" t="s">
        <v>2784</v>
      </c>
      <c r="E2595" s="132" t="s">
        <v>26</v>
      </c>
      <c r="F2595" s="97" t="str">
        <f ca="1">IF(OR(Market_Data[[#This Row],[Start Date]]="",Market_Data[[#This Row],[Completion Date]]=""),"Needs Validation",IF(Market_Data[[#This Row],[Start Date]]&gt;TODAY(),"Planned",IF(Market_Data[[#This Row],[Completion Date]]&lt;TODAY(),"Completed","Ongoing")))</f>
        <v>Ongoing</v>
      </c>
      <c r="G2595" s="324">
        <v>45586</v>
      </c>
      <c r="H2595" s="324">
        <v>46752</v>
      </c>
      <c r="I2595" s="325">
        <v>48600</v>
      </c>
      <c r="J259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595" s="133">
        <f>_xlfn.XLOOKUP(Market_Data[[#This Row],[Project Type]],tbl_assumptions_market[Project Category (RERA)],tbl_assumptions_market[Concrete Intensity
(m³ / sq m BUA)],"",0)</f>
        <v>0.18</v>
      </c>
      <c r="L2595" s="134">
        <f>ROUND(Market_Data[[#This Row],[Estimated Built Up Area (sq m)]]*Market_Data[[#This Row],[Concrete Intensity
(m³ / sq m)]],0)</f>
        <v>8748</v>
      </c>
      <c r="M2595" s="135">
        <f>_xlfn.XLOOKUP(Market_Data[[#This Row],[District]],tbl_district_price[District],tbl_district_price[Standard Price
(INR/m³)],"",0)</f>
        <v>6200</v>
      </c>
      <c r="N2595" s="364">
        <f>IF(OR(Market_Data[[#This Row],[Estimated Concrete Demand (m³)]]="",Market_Data[[#This Row],[Avg Price per (₹ / m³)]]=""),"",Market_Data[[#This Row],[Estimated Concrete Demand (m³)]]*Market_Data[[#This Row],[Avg Price per (₹ / m³)]]/10000000)</f>
        <v>5.4237599999999997</v>
      </c>
      <c r="O2595" s="97" t="str">
        <f>IF(Market_Data[[#This Row],[Estimated Concrete Demand (m³)]]="","",
IF(Market_Data[[#This Row],[Estimated Concrete Demand (m³)]]&lt;10000,"Small",
IF(Market_Data[[#This Row],[Estimated Concrete Demand (m³)]]&lt;25000,"Medium",
IF(Market_Data[[#This Row],[Estimated Concrete Demand (m³)]]&lt;100000,"Large","Mega"))))</f>
        <v>Small</v>
      </c>
      <c r="P2595" s="287" t="str">
        <f t="shared" si="42"/>
        <v>GujRERA</v>
      </c>
    </row>
    <row r="2596" spans="1:16">
      <c r="A2596" s="129" t="str">
        <f>_xlfn.XLOOKUP(B2596,$S$9:$S$14,$T$9:$T$14)&amp;"-"&amp;
IF(E2596="Residential/Group Housing","RES",
IF(E2596="Commercial","COM",
IF(E2596="Mixed Development","MIX",
IF(E2596="Plotted Development","PLT","OTH"))))
&amp;"-"&amp;TEXT(COUNTIFS($B$9:B2596,B2596,$E$9:E2596,E2596),"0000")</f>
        <v>SUR-MIX-0471</v>
      </c>
      <c r="B2596" s="322" t="s">
        <v>34</v>
      </c>
      <c r="C2596" s="322" t="s">
        <v>34</v>
      </c>
      <c r="D2596" s="323" t="s">
        <v>2785</v>
      </c>
      <c r="E2596" s="132" t="s">
        <v>25</v>
      </c>
      <c r="F2596" s="97" t="str">
        <f ca="1">IF(OR(Market_Data[[#This Row],[Start Date]]="",Market_Data[[#This Row],[Completion Date]]=""),"Needs Validation",IF(Market_Data[[#This Row],[Start Date]]&gt;TODAY(),"Planned",IF(Market_Data[[#This Row],[Completion Date]]&lt;TODAY(),"Completed","Ongoing")))</f>
        <v>Ongoing</v>
      </c>
      <c r="G2596" s="324">
        <v>44233</v>
      </c>
      <c r="H2596" s="324">
        <v>46387</v>
      </c>
      <c r="I2596" s="325">
        <v>7700</v>
      </c>
      <c r="J259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596" s="133">
        <f>_xlfn.XLOOKUP(Market_Data[[#This Row],[Project Type]],tbl_assumptions_market[Project Category (RERA)],tbl_assumptions_market[Concrete Intensity
(m³ / sq m BUA)],"",0)</f>
        <v>0.42</v>
      </c>
      <c r="L2596" s="134">
        <f>ROUND(Market_Data[[#This Row],[Estimated Built Up Area (sq m)]]*Market_Data[[#This Row],[Concrete Intensity
(m³ / sq m)]],0)</f>
        <v>3234</v>
      </c>
      <c r="M2596" s="135">
        <f>_xlfn.XLOOKUP(Market_Data[[#This Row],[District]],tbl_district_price[District],tbl_district_price[Standard Price
(INR/m³)],"",0)</f>
        <v>6200</v>
      </c>
      <c r="N2596" s="364">
        <f>IF(OR(Market_Data[[#This Row],[Estimated Concrete Demand (m³)]]="",Market_Data[[#This Row],[Avg Price per (₹ / m³)]]=""),"",Market_Data[[#This Row],[Estimated Concrete Demand (m³)]]*Market_Data[[#This Row],[Avg Price per (₹ / m³)]]/10000000)</f>
        <v>2.00508</v>
      </c>
      <c r="O2596" s="97" t="str">
        <f>IF(Market_Data[[#This Row],[Estimated Concrete Demand (m³)]]="","",
IF(Market_Data[[#This Row],[Estimated Concrete Demand (m³)]]&lt;10000,"Small",
IF(Market_Data[[#This Row],[Estimated Concrete Demand (m³)]]&lt;25000,"Medium",
IF(Market_Data[[#This Row],[Estimated Concrete Demand (m³)]]&lt;100000,"Large","Mega"))))</f>
        <v>Small</v>
      </c>
      <c r="P2596" s="287" t="str">
        <f t="shared" si="42"/>
        <v>GujRERA</v>
      </c>
    </row>
    <row r="2597" spans="1:16">
      <c r="A2597" s="129" t="str">
        <f>_xlfn.XLOOKUP(B2597,$S$9:$S$14,$T$9:$T$14)&amp;"-"&amp;
IF(E2597="Residential/Group Housing","RES",
IF(E2597="Commercial","COM",
IF(E2597="Mixed Development","MIX",
IF(E2597="Plotted Development","PLT","OTH"))))
&amp;"-"&amp;TEXT(COUNTIFS($B$9:B2597,B2597,$E$9:E2597,E2597),"0000")</f>
        <v>SUR-RES-0893</v>
      </c>
      <c r="B2597" s="322" t="s">
        <v>34</v>
      </c>
      <c r="C2597" s="322" t="s">
        <v>34</v>
      </c>
      <c r="D2597" s="323" t="s">
        <v>2786</v>
      </c>
      <c r="E2597" s="132" t="s">
        <v>24</v>
      </c>
      <c r="F2597" s="97" t="str">
        <f ca="1">IF(OR(Market_Data[[#This Row],[Start Date]]="",Market_Data[[#This Row],[Completion Date]]=""),"Needs Validation",IF(Market_Data[[#This Row],[Start Date]]&gt;TODAY(),"Planned",IF(Market_Data[[#This Row],[Completion Date]]&lt;TODAY(),"Completed","Ongoing")))</f>
        <v>Ongoing</v>
      </c>
      <c r="G2597" s="324">
        <v>45381</v>
      </c>
      <c r="H2597" s="324">
        <v>47208</v>
      </c>
      <c r="I2597" s="325">
        <v>11600</v>
      </c>
      <c r="J259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97" s="133">
        <f>_xlfn.XLOOKUP(Market_Data[[#This Row],[Project Type]],tbl_assumptions_market[Project Category (RERA)],tbl_assumptions_market[Concrete Intensity
(m³ / sq m BUA)],"",0)</f>
        <v>0.45</v>
      </c>
      <c r="L2597" s="134">
        <f>ROUND(Market_Data[[#This Row],[Estimated Built Up Area (sq m)]]*Market_Data[[#This Row],[Concrete Intensity
(m³ / sq m)]],0)</f>
        <v>5220</v>
      </c>
      <c r="M2597" s="135">
        <f>_xlfn.XLOOKUP(Market_Data[[#This Row],[District]],tbl_district_price[District],tbl_district_price[Standard Price
(INR/m³)],"",0)</f>
        <v>6200</v>
      </c>
      <c r="N2597" s="364">
        <f>IF(OR(Market_Data[[#This Row],[Estimated Concrete Demand (m³)]]="",Market_Data[[#This Row],[Avg Price per (₹ / m³)]]=""),"",Market_Data[[#This Row],[Estimated Concrete Demand (m³)]]*Market_Data[[#This Row],[Avg Price per (₹ / m³)]]/10000000)</f>
        <v>3.2364000000000002</v>
      </c>
      <c r="O2597" s="97" t="str">
        <f>IF(Market_Data[[#This Row],[Estimated Concrete Demand (m³)]]="","",
IF(Market_Data[[#This Row],[Estimated Concrete Demand (m³)]]&lt;10000,"Small",
IF(Market_Data[[#This Row],[Estimated Concrete Demand (m³)]]&lt;25000,"Medium",
IF(Market_Data[[#This Row],[Estimated Concrete Demand (m³)]]&lt;100000,"Large","Mega"))))</f>
        <v>Small</v>
      </c>
      <c r="P2597" s="287" t="str">
        <f t="shared" si="42"/>
        <v>GujRERA</v>
      </c>
    </row>
    <row r="2598" spans="1:16">
      <c r="A2598" s="129" t="str">
        <f>_xlfn.XLOOKUP(B2598,$S$9:$S$14,$T$9:$T$14)&amp;"-"&amp;
IF(E2598="Residential/Group Housing","RES",
IF(E2598="Commercial","COM",
IF(E2598="Mixed Development","MIX",
IF(E2598="Plotted Development","PLT","OTH"))))
&amp;"-"&amp;TEXT(COUNTIFS($B$9:B2598,B2598,$E$9:E2598,E2598),"0000")</f>
        <v>SUR-PLT-0479</v>
      </c>
      <c r="B2598" s="322" t="s">
        <v>34</v>
      </c>
      <c r="C2598" s="322" t="s">
        <v>34</v>
      </c>
      <c r="D2598" s="323" t="s">
        <v>2787</v>
      </c>
      <c r="E2598" s="132" t="s">
        <v>26</v>
      </c>
      <c r="F2598" s="97" t="str">
        <f ca="1">IF(OR(Market_Data[[#This Row],[Start Date]]="",Market_Data[[#This Row],[Completion Date]]=""),"Needs Validation",IF(Market_Data[[#This Row],[Start Date]]&gt;TODAY(),"Planned",IF(Market_Data[[#This Row],[Completion Date]]&lt;TODAY(),"Completed","Ongoing")))</f>
        <v>Completed</v>
      </c>
      <c r="G2598" s="324">
        <v>44498</v>
      </c>
      <c r="H2598" s="324">
        <v>46022</v>
      </c>
      <c r="I2598" s="325">
        <v>44800</v>
      </c>
      <c r="J259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598" s="133">
        <f>_xlfn.XLOOKUP(Market_Data[[#This Row],[Project Type]],tbl_assumptions_market[Project Category (RERA)],tbl_assumptions_market[Concrete Intensity
(m³ / sq m BUA)],"",0)</f>
        <v>0.18</v>
      </c>
      <c r="L2598" s="134">
        <f>ROUND(Market_Data[[#This Row],[Estimated Built Up Area (sq m)]]*Market_Data[[#This Row],[Concrete Intensity
(m³ / sq m)]],0)</f>
        <v>8064</v>
      </c>
      <c r="M2598" s="135">
        <f>_xlfn.XLOOKUP(Market_Data[[#This Row],[District]],tbl_district_price[District],tbl_district_price[Standard Price
(INR/m³)],"",0)</f>
        <v>6200</v>
      </c>
      <c r="N2598" s="364">
        <f>IF(OR(Market_Data[[#This Row],[Estimated Concrete Demand (m³)]]="",Market_Data[[#This Row],[Avg Price per (₹ / m³)]]=""),"",Market_Data[[#This Row],[Estimated Concrete Demand (m³)]]*Market_Data[[#This Row],[Avg Price per (₹ / m³)]]/10000000)</f>
        <v>4.9996799999999997</v>
      </c>
      <c r="O2598" s="97" t="str">
        <f>IF(Market_Data[[#This Row],[Estimated Concrete Demand (m³)]]="","",
IF(Market_Data[[#This Row],[Estimated Concrete Demand (m³)]]&lt;10000,"Small",
IF(Market_Data[[#This Row],[Estimated Concrete Demand (m³)]]&lt;25000,"Medium",
IF(Market_Data[[#This Row],[Estimated Concrete Demand (m³)]]&lt;100000,"Large","Mega"))))</f>
        <v>Small</v>
      </c>
      <c r="P2598" s="287" t="str">
        <f t="shared" si="42"/>
        <v>GujRERA</v>
      </c>
    </row>
    <row r="2599" spans="1:16">
      <c r="A2599" s="129" t="str">
        <f>_xlfn.XLOOKUP(B2599,$S$9:$S$14,$T$9:$T$14)&amp;"-"&amp;
IF(E2599="Residential/Group Housing","RES",
IF(E2599="Commercial","COM",
IF(E2599="Mixed Development","MIX",
IF(E2599="Plotted Development","PLT","OTH"))))
&amp;"-"&amp;TEXT(COUNTIFS($B$9:B2599,B2599,$E$9:E2599,E2599),"0000")</f>
        <v>SUR-PLT-0480</v>
      </c>
      <c r="B2599" s="322" t="s">
        <v>34</v>
      </c>
      <c r="C2599" s="322" t="s">
        <v>34</v>
      </c>
      <c r="D2599" s="323" t="s">
        <v>2788</v>
      </c>
      <c r="E2599" s="132" t="s">
        <v>26</v>
      </c>
      <c r="F2599" s="97" t="str">
        <f ca="1">IF(OR(Market_Data[[#This Row],[Start Date]]="",Market_Data[[#This Row],[Completion Date]]=""),"Needs Validation",IF(Market_Data[[#This Row],[Start Date]]&gt;TODAY(),"Planned",IF(Market_Data[[#This Row],[Completion Date]]&lt;TODAY(),"Completed","Ongoing")))</f>
        <v>Ongoing</v>
      </c>
      <c r="G2599" s="324">
        <v>46061</v>
      </c>
      <c r="H2599" s="324">
        <v>47118</v>
      </c>
      <c r="I2599" s="325">
        <v>6600</v>
      </c>
      <c r="J259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599" s="133">
        <f>_xlfn.XLOOKUP(Market_Data[[#This Row],[Project Type]],tbl_assumptions_market[Project Category (RERA)],tbl_assumptions_market[Concrete Intensity
(m³ / sq m BUA)],"",0)</f>
        <v>0.18</v>
      </c>
      <c r="L2599" s="134">
        <f>ROUND(Market_Data[[#This Row],[Estimated Built Up Area (sq m)]]*Market_Data[[#This Row],[Concrete Intensity
(m³ / sq m)]],0)</f>
        <v>1188</v>
      </c>
      <c r="M2599" s="135">
        <f>_xlfn.XLOOKUP(Market_Data[[#This Row],[District]],tbl_district_price[District],tbl_district_price[Standard Price
(INR/m³)],"",0)</f>
        <v>6200</v>
      </c>
      <c r="N2599" s="364">
        <f>IF(OR(Market_Data[[#This Row],[Estimated Concrete Demand (m³)]]="",Market_Data[[#This Row],[Avg Price per (₹ / m³)]]=""),"",Market_Data[[#This Row],[Estimated Concrete Demand (m³)]]*Market_Data[[#This Row],[Avg Price per (₹ / m³)]]/10000000)</f>
        <v>0.73655999999999999</v>
      </c>
      <c r="O2599" s="97" t="str">
        <f>IF(Market_Data[[#This Row],[Estimated Concrete Demand (m³)]]="","",
IF(Market_Data[[#This Row],[Estimated Concrete Demand (m³)]]&lt;10000,"Small",
IF(Market_Data[[#This Row],[Estimated Concrete Demand (m³)]]&lt;25000,"Medium",
IF(Market_Data[[#This Row],[Estimated Concrete Demand (m³)]]&lt;100000,"Large","Mega"))))</f>
        <v>Small</v>
      </c>
      <c r="P2599" s="287" t="str">
        <f t="shared" si="42"/>
        <v>GujRERA</v>
      </c>
    </row>
    <row r="2600" spans="1:16">
      <c r="A2600" s="129" t="str">
        <f>_xlfn.XLOOKUP(B2600,$S$9:$S$14,$T$9:$T$14)&amp;"-"&amp;
IF(E2600="Residential/Group Housing","RES",
IF(E2600="Commercial","COM",
IF(E2600="Mixed Development","MIX",
IF(E2600="Plotted Development","PLT","OTH"))))
&amp;"-"&amp;TEXT(COUNTIFS($B$9:B2600,B2600,$E$9:E2600,E2600),"0000")</f>
        <v>SUR-PLT-0481</v>
      </c>
      <c r="B2600" s="322" t="s">
        <v>34</v>
      </c>
      <c r="C2600" s="322" t="s">
        <v>34</v>
      </c>
      <c r="D2600" s="323" t="s">
        <v>2789</v>
      </c>
      <c r="E2600" s="132" t="s">
        <v>26</v>
      </c>
      <c r="F2600" s="97" t="str">
        <f ca="1">IF(OR(Market_Data[[#This Row],[Start Date]]="",Market_Data[[#This Row],[Completion Date]]=""),"Needs Validation",IF(Market_Data[[#This Row],[Start Date]]&gt;TODAY(),"Planned",IF(Market_Data[[#This Row],[Completion Date]]&lt;TODAY(),"Completed","Ongoing")))</f>
        <v>Ongoing</v>
      </c>
      <c r="G2600" s="324">
        <v>45806</v>
      </c>
      <c r="H2600" s="324">
        <v>47118</v>
      </c>
      <c r="I2600" s="325">
        <v>32100</v>
      </c>
      <c r="J260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600" s="133">
        <f>_xlfn.XLOOKUP(Market_Data[[#This Row],[Project Type]],tbl_assumptions_market[Project Category (RERA)],tbl_assumptions_market[Concrete Intensity
(m³ / sq m BUA)],"",0)</f>
        <v>0.18</v>
      </c>
      <c r="L2600" s="134">
        <f>ROUND(Market_Data[[#This Row],[Estimated Built Up Area (sq m)]]*Market_Data[[#This Row],[Concrete Intensity
(m³ / sq m)]],0)</f>
        <v>5778</v>
      </c>
      <c r="M2600" s="135">
        <f>_xlfn.XLOOKUP(Market_Data[[#This Row],[District]],tbl_district_price[District],tbl_district_price[Standard Price
(INR/m³)],"",0)</f>
        <v>6200</v>
      </c>
      <c r="N2600" s="364">
        <f>IF(OR(Market_Data[[#This Row],[Estimated Concrete Demand (m³)]]="",Market_Data[[#This Row],[Avg Price per (₹ / m³)]]=""),"",Market_Data[[#This Row],[Estimated Concrete Demand (m³)]]*Market_Data[[#This Row],[Avg Price per (₹ / m³)]]/10000000)</f>
        <v>3.58236</v>
      </c>
      <c r="O2600" s="97" t="str">
        <f>IF(Market_Data[[#This Row],[Estimated Concrete Demand (m³)]]="","",
IF(Market_Data[[#This Row],[Estimated Concrete Demand (m³)]]&lt;10000,"Small",
IF(Market_Data[[#This Row],[Estimated Concrete Demand (m³)]]&lt;25000,"Medium",
IF(Market_Data[[#This Row],[Estimated Concrete Demand (m³)]]&lt;100000,"Large","Mega"))))</f>
        <v>Small</v>
      </c>
      <c r="P2600" s="287" t="str">
        <f t="shared" si="42"/>
        <v>GujRERA</v>
      </c>
    </row>
    <row r="2601" spans="1:16">
      <c r="A2601" s="129" t="str">
        <f>_xlfn.XLOOKUP(B2601,$S$9:$S$14,$T$9:$T$14)&amp;"-"&amp;
IF(E2601="Residential/Group Housing","RES",
IF(E2601="Commercial","COM",
IF(E2601="Mixed Development","MIX",
IF(E2601="Plotted Development","PLT","OTH"))))
&amp;"-"&amp;TEXT(COUNTIFS($B$9:B2601,B2601,$E$9:E2601,E2601),"0000")</f>
        <v>SUR-RES-0894</v>
      </c>
      <c r="B2601" s="322" t="s">
        <v>34</v>
      </c>
      <c r="C2601" s="322" t="s">
        <v>34</v>
      </c>
      <c r="D2601" s="323" t="s">
        <v>2790</v>
      </c>
      <c r="E2601" s="132" t="s">
        <v>24</v>
      </c>
      <c r="F2601" s="97" t="str">
        <f ca="1">IF(OR(Market_Data[[#This Row],[Start Date]]="",Market_Data[[#This Row],[Completion Date]]=""),"Needs Validation",IF(Market_Data[[#This Row],[Start Date]]&gt;TODAY(),"Planned",IF(Market_Data[[#This Row],[Completion Date]]&lt;TODAY(),"Completed","Ongoing")))</f>
        <v>Completed</v>
      </c>
      <c r="G2601" s="324">
        <v>43207</v>
      </c>
      <c r="H2601" s="324">
        <v>44834</v>
      </c>
      <c r="I2601" s="325">
        <v>29100</v>
      </c>
      <c r="J260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01" s="133">
        <f>_xlfn.XLOOKUP(Market_Data[[#This Row],[Project Type]],tbl_assumptions_market[Project Category (RERA)],tbl_assumptions_market[Concrete Intensity
(m³ / sq m BUA)],"",0)</f>
        <v>0.45</v>
      </c>
      <c r="L2601" s="134">
        <f>ROUND(Market_Data[[#This Row],[Estimated Built Up Area (sq m)]]*Market_Data[[#This Row],[Concrete Intensity
(m³ / sq m)]],0)</f>
        <v>13095</v>
      </c>
      <c r="M2601" s="135">
        <f>_xlfn.XLOOKUP(Market_Data[[#This Row],[District]],tbl_district_price[District],tbl_district_price[Standard Price
(INR/m³)],"",0)</f>
        <v>6200</v>
      </c>
      <c r="N2601" s="364">
        <f>IF(OR(Market_Data[[#This Row],[Estimated Concrete Demand (m³)]]="",Market_Data[[#This Row],[Avg Price per (₹ / m³)]]=""),"",Market_Data[[#This Row],[Estimated Concrete Demand (m³)]]*Market_Data[[#This Row],[Avg Price per (₹ / m³)]]/10000000)</f>
        <v>8.1189</v>
      </c>
      <c r="O2601" s="97" t="str">
        <f>IF(Market_Data[[#This Row],[Estimated Concrete Demand (m³)]]="","",
IF(Market_Data[[#This Row],[Estimated Concrete Demand (m³)]]&lt;10000,"Small",
IF(Market_Data[[#This Row],[Estimated Concrete Demand (m³)]]&lt;25000,"Medium",
IF(Market_Data[[#This Row],[Estimated Concrete Demand (m³)]]&lt;100000,"Large","Mega"))))</f>
        <v>Medium</v>
      </c>
      <c r="P2601" s="287" t="str">
        <f t="shared" si="42"/>
        <v>GujRERA</v>
      </c>
    </row>
    <row r="2602" spans="1:16">
      <c r="A2602" s="129" t="str">
        <f>_xlfn.XLOOKUP(B2602,$S$9:$S$14,$T$9:$T$14)&amp;"-"&amp;
IF(E2602="Residential/Group Housing","RES",
IF(E2602="Commercial","COM",
IF(E2602="Mixed Development","MIX",
IF(E2602="Plotted Development","PLT","OTH"))))
&amp;"-"&amp;TEXT(COUNTIFS($B$9:B2602,B2602,$E$9:E2602,E2602),"0000")</f>
        <v>SUR-PLT-0482</v>
      </c>
      <c r="B2602" s="322" t="s">
        <v>34</v>
      </c>
      <c r="C2602" s="322" t="s">
        <v>34</v>
      </c>
      <c r="D2602" s="323" t="s">
        <v>2791</v>
      </c>
      <c r="E2602" s="132" t="s">
        <v>26</v>
      </c>
      <c r="F2602" s="97" t="str">
        <f ca="1">IF(OR(Market_Data[[#This Row],[Start Date]]="",Market_Data[[#This Row],[Completion Date]]=""),"Needs Validation",IF(Market_Data[[#This Row],[Start Date]]&gt;TODAY(),"Planned",IF(Market_Data[[#This Row],[Completion Date]]&lt;TODAY(),"Completed","Ongoing")))</f>
        <v>Completed</v>
      </c>
      <c r="G2602" s="324">
        <v>43195</v>
      </c>
      <c r="H2602" s="324">
        <v>44286</v>
      </c>
      <c r="I2602" s="325">
        <v>34900</v>
      </c>
      <c r="J260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602" s="133">
        <f>_xlfn.XLOOKUP(Market_Data[[#This Row],[Project Type]],tbl_assumptions_market[Project Category (RERA)],tbl_assumptions_market[Concrete Intensity
(m³ / sq m BUA)],"",0)</f>
        <v>0.18</v>
      </c>
      <c r="L2602" s="134">
        <f>ROUND(Market_Data[[#This Row],[Estimated Built Up Area (sq m)]]*Market_Data[[#This Row],[Concrete Intensity
(m³ / sq m)]],0)</f>
        <v>6282</v>
      </c>
      <c r="M2602" s="135">
        <f>_xlfn.XLOOKUP(Market_Data[[#This Row],[District]],tbl_district_price[District],tbl_district_price[Standard Price
(INR/m³)],"",0)</f>
        <v>6200</v>
      </c>
      <c r="N2602" s="364">
        <f>IF(OR(Market_Data[[#This Row],[Estimated Concrete Demand (m³)]]="",Market_Data[[#This Row],[Avg Price per (₹ / m³)]]=""),"",Market_Data[[#This Row],[Estimated Concrete Demand (m³)]]*Market_Data[[#This Row],[Avg Price per (₹ / m³)]]/10000000)</f>
        <v>3.8948399999999999</v>
      </c>
      <c r="O2602" s="97" t="str">
        <f>IF(Market_Data[[#This Row],[Estimated Concrete Demand (m³)]]="","",
IF(Market_Data[[#This Row],[Estimated Concrete Demand (m³)]]&lt;10000,"Small",
IF(Market_Data[[#This Row],[Estimated Concrete Demand (m³)]]&lt;25000,"Medium",
IF(Market_Data[[#This Row],[Estimated Concrete Demand (m³)]]&lt;100000,"Large","Mega"))))</f>
        <v>Small</v>
      </c>
      <c r="P2602" s="287" t="str">
        <f t="shared" si="42"/>
        <v>GujRERA</v>
      </c>
    </row>
    <row r="2603" spans="1:16">
      <c r="A2603" s="129" t="str">
        <f>_xlfn.XLOOKUP(B2603,$S$9:$S$14,$T$9:$T$14)&amp;"-"&amp;
IF(E2603="Residential/Group Housing","RES",
IF(E2603="Commercial","COM",
IF(E2603="Mixed Development","MIX",
IF(E2603="Plotted Development","PLT","OTH"))))
&amp;"-"&amp;TEXT(COUNTIFS($B$9:B2603,B2603,$E$9:E2603,E2603),"0000")</f>
        <v>SUR-PLT-0483</v>
      </c>
      <c r="B2603" s="322" t="s">
        <v>34</v>
      </c>
      <c r="C2603" s="322" t="s">
        <v>34</v>
      </c>
      <c r="D2603" s="323" t="s">
        <v>2792</v>
      </c>
      <c r="E2603" s="132" t="s">
        <v>26</v>
      </c>
      <c r="F2603" s="97" t="str">
        <f ca="1">IF(OR(Market_Data[[#This Row],[Start Date]]="",Market_Data[[#This Row],[Completion Date]]=""),"Needs Validation",IF(Market_Data[[#This Row],[Start Date]]&gt;TODAY(),"Planned",IF(Market_Data[[#This Row],[Completion Date]]&lt;TODAY(),"Completed","Ongoing")))</f>
        <v>Completed</v>
      </c>
      <c r="G2603" s="324">
        <v>43020</v>
      </c>
      <c r="H2603" s="324">
        <v>44196</v>
      </c>
      <c r="I2603" s="325">
        <v>44900</v>
      </c>
      <c r="J260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603" s="133">
        <f>_xlfn.XLOOKUP(Market_Data[[#This Row],[Project Type]],tbl_assumptions_market[Project Category (RERA)],tbl_assumptions_market[Concrete Intensity
(m³ / sq m BUA)],"",0)</f>
        <v>0.18</v>
      </c>
      <c r="L2603" s="134">
        <f>ROUND(Market_Data[[#This Row],[Estimated Built Up Area (sq m)]]*Market_Data[[#This Row],[Concrete Intensity
(m³ / sq m)]],0)</f>
        <v>8082</v>
      </c>
      <c r="M2603" s="135">
        <f>_xlfn.XLOOKUP(Market_Data[[#This Row],[District]],tbl_district_price[District],tbl_district_price[Standard Price
(INR/m³)],"",0)</f>
        <v>6200</v>
      </c>
      <c r="N2603" s="364">
        <f>IF(OR(Market_Data[[#This Row],[Estimated Concrete Demand (m³)]]="",Market_Data[[#This Row],[Avg Price per (₹ / m³)]]=""),"",Market_Data[[#This Row],[Estimated Concrete Demand (m³)]]*Market_Data[[#This Row],[Avg Price per (₹ / m³)]]/10000000)</f>
        <v>5.01084</v>
      </c>
      <c r="O2603" s="97" t="str">
        <f>IF(Market_Data[[#This Row],[Estimated Concrete Demand (m³)]]="","",
IF(Market_Data[[#This Row],[Estimated Concrete Demand (m³)]]&lt;10000,"Small",
IF(Market_Data[[#This Row],[Estimated Concrete Demand (m³)]]&lt;25000,"Medium",
IF(Market_Data[[#This Row],[Estimated Concrete Demand (m³)]]&lt;100000,"Large","Mega"))))</f>
        <v>Small</v>
      </c>
      <c r="P2603" s="287" t="str">
        <f t="shared" si="42"/>
        <v>GujRERA</v>
      </c>
    </row>
    <row r="2604" spans="1:16">
      <c r="A2604" s="129" t="str">
        <f>_xlfn.XLOOKUP(B2604,$S$9:$S$14,$T$9:$T$14)&amp;"-"&amp;
IF(E2604="Residential/Group Housing","RES",
IF(E2604="Commercial","COM",
IF(E2604="Mixed Development","MIX",
IF(E2604="Plotted Development","PLT","OTH"))))
&amp;"-"&amp;TEXT(COUNTIFS($B$9:B2604,B2604,$E$9:E2604,E2604),"0000")</f>
        <v>SUR-PLT-0484</v>
      </c>
      <c r="B2604" s="322" t="s">
        <v>34</v>
      </c>
      <c r="C2604" s="322" t="s">
        <v>738</v>
      </c>
      <c r="D2604" s="323" t="s">
        <v>2793</v>
      </c>
      <c r="E2604" s="132" t="s">
        <v>26</v>
      </c>
      <c r="F2604" s="97" t="str">
        <f ca="1">IF(OR(Market_Data[[#This Row],[Start Date]]="",Market_Data[[#This Row],[Completion Date]]=""),"Needs Validation",IF(Market_Data[[#This Row],[Start Date]]&gt;TODAY(),"Planned",IF(Market_Data[[#This Row],[Completion Date]]&lt;TODAY(),"Completed","Ongoing")))</f>
        <v>Ongoing</v>
      </c>
      <c r="G2604" s="324">
        <v>45593</v>
      </c>
      <c r="H2604" s="324">
        <v>46752</v>
      </c>
      <c r="I2604" s="325">
        <v>57600</v>
      </c>
      <c r="J260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604" s="133">
        <f>_xlfn.XLOOKUP(Market_Data[[#This Row],[Project Type]],tbl_assumptions_market[Project Category (RERA)],tbl_assumptions_market[Concrete Intensity
(m³ / sq m BUA)],"",0)</f>
        <v>0.18</v>
      </c>
      <c r="L2604" s="134">
        <f>ROUND(Market_Data[[#This Row],[Estimated Built Up Area (sq m)]]*Market_Data[[#This Row],[Concrete Intensity
(m³ / sq m)]],0)</f>
        <v>10368</v>
      </c>
      <c r="M2604" s="135">
        <f>_xlfn.XLOOKUP(Market_Data[[#This Row],[District]],tbl_district_price[District],tbl_district_price[Standard Price
(INR/m³)],"",0)</f>
        <v>6200</v>
      </c>
      <c r="N2604" s="364">
        <f>IF(OR(Market_Data[[#This Row],[Estimated Concrete Demand (m³)]]="",Market_Data[[#This Row],[Avg Price per (₹ / m³)]]=""),"",Market_Data[[#This Row],[Estimated Concrete Demand (m³)]]*Market_Data[[#This Row],[Avg Price per (₹ / m³)]]/10000000)</f>
        <v>6.4281600000000001</v>
      </c>
      <c r="O2604" s="97" t="str">
        <f>IF(Market_Data[[#This Row],[Estimated Concrete Demand (m³)]]="","",
IF(Market_Data[[#This Row],[Estimated Concrete Demand (m³)]]&lt;10000,"Small",
IF(Market_Data[[#This Row],[Estimated Concrete Demand (m³)]]&lt;25000,"Medium",
IF(Market_Data[[#This Row],[Estimated Concrete Demand (m³)]]&lt;100000,"Large","Mega"))))</f>
        <v>Medium</v>
      </c>
      <c r="P2604" s="287" t="str">
        <f t="shared" si="42"/>
        <v>GujRERA</v>
      </c>
    </row>
    <row r="2605" spans="1:16">
      <c r="A2605" s="129" t="str">
        <f>_xlfn.XLOOKUP(B2605,$S$9:$S$14,$T$9:$T$14)&amp;"-"&amp;
IF(E2605="Residential/Group Housing","RES",
IF(E2605="Commercial","COM",
IF(E2605="Mixed Development","MIX",
IF(E2605="Plotted Development","PLT","OTH"))))
&amp;"-"&amp;TEXT(COUNTIFS($B$9:B2605,B2605,$E$9:E2605,E2605),"0000")</f>
        <v>SUR-RES-0895</v>
      </c>
      <c r="B2605" s="322" t="s">
        <v>34</v>
      </c>
      <c r="C2605" s="322" t="s">
        <v>34</v>
      </c>
      <c r="D2605" s="323" t="s">
        <v>2794</v>
      </c>
      <c r="E2605" s="132" t="s">
        <v>24</v>
      </c>
      <c r="F2605" s="97" t="str">
        <f ca="1">IF(OR(Market_Data[[#This Row],[Start Date]]="",Market_Data[[#This Row],[Completion Date]]=""),"Needs Validation",IF(Market_Data[[#This Row],[Start Date]]&gt;TODAY(),"Planned",IF(Market_Data[[#This Row],[Completion Date]]&lt;TODAY(),"Completed","Ongoing")))</f>
        <v>Ongoing</v>
      </c>
      <c r="G2605" s="324">
        <v>45862</v>
      </c>
      <c r="H2605" s="324">
        <v>47848</v>
      </c>
      <c r="I2605" s="325">
        <v>17300</v>
      </c>
      <c r="J260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05" s="133">
        <f>_xlfn.XLOOKUP(Market_Data[[#This Row],[Project Type]],tbl_assumptions_market[Project Category (RERA)],tbl_assumptions_market[Concrete Intensity
(m³ / sq m BUA)],"",0)</f>
        <v>0.45</v>
      </c>
      <c r="L2605" s="134">
        <f>ROUND(Market_Data[[#This Row],[Estimated Built Up Area (sq m)]]*Market_Data[[#This Row],[Concrete Intensity
(m³ / sq m)]],0)</f>
        <v>7785</v>
      </c>
      <c r="M2605" s="135">
        <f>_xlfn.XLOOKUP(Market_Data[[#This Row],[District]],tbl_district_price[District],tbl_district_price[Standard Price
(INR/m³)],"",0)</f>
        <v>6200</v>
      </c>
      <c r="N2605" s="364">
        <f>IF(OR(Market_Data[[#This Row],[Estimated Concrete Demand (m³)]]="",Market_Data[[#This Row],[Avg Price per (₹ / m³)]]=""),"",Market_Data[[#This Row],[Estimated Concrete Demand (m³)]]*Market_Data[[#This Row],[Avg Price per (₹ / m³)]]/10000000)</f>
        <v>4.8266999999999998</v>
      </c>
      <c r="O2605" s="97" t="str">
        <f>IF(Market_Data[[#This Row],[Estimated Concrete Demand (m³)]]="","",
IF(Market_Data[[#This Row],[Estimated Concrete Demand (m³)]]&lt;10000,"Small",
IF(Market_Data[[#This Row],[Estimated Concrete Demand (m³)]]&lt;25000,"Medium",
IF(Market_Data[[#This Row],[Estimated Concrete Demand (m³)]]&lt;100000,"Large","Mega"))))</f>
        <v>Small</v>
      </c>
      <c r="P2605" s="287" t="str">
        <f t="shared" si="42"/>
        <v>GujRERA</v>
      </c>
    </row>
    <row r="2606" spans="1:16">
      <c r="A2606" s="129" t="str">
        <f>_xlfn.XLOOKUP(B2606,$S$9:$S$14,$T$9:$T$14)&amp;"-"&amp;
IF(E2606="Residential/Group Housing","RES",
IF(E2606="Commercial","COM",
IF(E2606="Mixed Development","MIX",
IF(E2606="Plotted Development","PLT","OTH"))))
&amp;"-"&amp;TEXT(COUNTIFS($B$9:B2606,B2606,$E$9:E2606,E2606),"0000")</f>
        <v>SUR-PLT-0485</v>
      </c>
      <c r="B2606" s="322" t="s">
        <v>34</v>
      </c>
      <c r="C2606" s="322" t="s">
        <v>34</v>
      </c>
      <c r="D2606" s="323" t="s">
        <v>2795</v>
      </c>
      <c r="E2606" s="132" t="s">
        <v>26</v>
      </c>
      <c r="F2606" s="97" t="str">
        <f ca="1">IF(OR(Market_Data[[#This Row],[Start Date]]="",Market_Data[[#This Row],[Completion Date]]=""),"Needs Validation",IF(Market_Data[[#This Row],[Start Date]]&gt;TODAY(),"Planned",IF(Market_Data[[#This Row],[Completion Date]]&lt;TODAY(),"Completed","Ongoing")))</f>
        <v>Ongoing</v>
      </c>
      <c r="G2606" s="324">
        <v>45261</v>
      </c>
      <c r="H2606" s="324">
        <v>46752</v>
      </c>
      <c r="I2606" s="325">
        <v>8900</v>
      </c>
      <c r="J260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06" s="133">
        <f>_xlfn.XLOOKUP(Market_Data[[#This Row],[Project Type]],tbl_assumptions_market[Project Category (RERA)],tbl_assumptions_market[Concrete Intensity
(m³ / sq m BUA)],"",0)</f>
        <v>0.18</v>
      </c>
      <c r="L2606" s="134">
        <f>ROUND(Market_Data[[#This Row],[Estimated Built Up Area (sq m)]]*Market_Data[[#This Row],[Concrete Intensity
(m³ / sq m)]],0)</f>
        <v>1602</v>
      </c>
      <c r="M2606" s="135">
        <f>_xlfn.XLOOKUP(Market_Data[[#This Row],[District]],tbl_district_price[District],tbl_district_price[Standard Price
(INR/m³)],"",0)</f>
        <v>6200</v>
      </c>
      <c r="N2606" s="364">
        <f>IF(OR(Market_Data[[#This Row],[Estimated Concrete Demand (m³)]]="",Market_Data[[#This Row],[Avg Price per (₹ / m³)]]=""),"",Market_Data[[#This Row],[Estimated Concrete Demand (m³)]]*Market_Data[[#This Row],[Avg Price per (₹ / m³)]]/10000000)</f>
        <v>0.99324000000000001</v>
      </c>
      <c r="O2606" s="97" t="str">
        <f>IF(Market_Data[[#This Row],[Estimated Concrete Demand (m³)]]="","",
IF(Market_Data[[#This Row],[Estimated Concrete Demand (m³)]]&lt;10000,"Small",
IF(Market_Data[[#This Row],[Estimated Concrete Demand (m³)]]&lt;25000,"Medium",
IF(Market_Data[[#This Row],[Estimated Concrete Demand (m³)]]&lt;100000,"Large","Mega"))))</f>
        <v>Small</v>
      </c>
      <c r="P2606" s="287" t="str">
        <f t="shared" si="42"/>
        <v>GujRERA</v>
      </c>
    </row>
    <row r="2607" spans="1:16">
      <c r="A2607" s="129" t="str">
        <f>_xlfn.XLOOKUP(B2607,$S$9:$S$14,$T$9:$T$14)&amp;"-"&amp;
IF(E2607="Residential/Group Housing","RES",
IF(E2607="Commercial","COM",
IF(E2607="Mixed Development","MIX",
IF(E2607="Plotted Development","PLT","OTH"))))
&amp;"-"&amp;TEXT(COUNTIFS($B$9:B2607,B2607,$E$9:E2607,E2607),"0000")</f>
        <v>SUR-PLT-0486</v>
      </c>
      <c r="B2607" s="322" t="s">
        <v>34</v>
      </c>
      <c r="C2607" s="322" t="s">
        <v>34</v>
      </c>
      <c r="D2607" s="323" t="s">
        <v>2796</v>
      </c>
      <c r="E2607" s="132" t="s">
        <v>26</v>
      </c>
      <c r="F2607" s="97" t="str">
        <f ca="1">IF(OR(Market_Data[[#This Row],[Start Date]]="",Market_Data[[#This Row],[Completion Date]]=""),"Needs Validation",IF(Market_Data[[#This Row],[Start Date]]&gt;TODAY(),"Planned",IF(Market_Data[[#This Row],[Completion Date]]&lt;TODAY(),"Completed","Ongoing")))</f>
        <v>Ongoing</v>
      </c>
      <c r="G2607" s="324">
        <v>45876</v>
      </c>
      <c r="H2607" s="324">
        <v>47118</v>
      </c>
      <c r="I2607" s="325">
        <v>48500</v>
      </c>
      <c r="J260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607" s="133">
        <f>_xlfn.XLOOKUP(Market_Data[[#This Row],[Project Type]],tbl_assumptions_market[Project Category (RERA)],tbl_assumptions_market[Concrete Intensity
(m³ / sq m BUA)],"",0)</f>
        <v>0.18</v>
      </c>
      <c r="L2607" s="134">
        <f>ROUND(Market_Data[[#This Row],[Estimated Built Up Area (sq m)]]*Market_Data[[#This Row],[Concrete Intensity
(m³ / sq m)]],0)</f>
        <v>8730</v>
      </c>
      <c r="M2607" s="135">
        <f>_xlfn.XLOOKUP(Market_Data[[#This Row],[District]],tbl_district_price[District],tbl_district_price[Standard Price
(INR/m³)],"",0)</f>
        <v>6200</v>
      </c>
      <c r="N2607" s="364">
        <f>IF(OR(Market_Data[[#This Row],[Estimated Concrete Demand (m³)]]="",Market_Data[[#This Row],[Avg Price per (₹ / m³)]]=""),"",Market_Data[[#This Row],[Estimated Concrete Demand (m³)]]*Market_Data[[#This Row],[Avg Price per (₹ / m³)]]/10000000)</f>
        <v>5.4126000000000003</v>
      </c>
      <c r="O2607" s="97" t="str">
        <f>IF(Market_Data[[#This Row],[Estimated Concrete Demand (m³)]]="","",
IF(Market_Data[[#This Row],[Estimated Concrete Demand (m³)]]&lt;10000,"Small",
IF(Market_Data[[#This Row],[Estimated Concrete Demand (m³)]]&lt;25000,"Medium",
IF(Market_Data[[#This Row],[Estimated Concrete Demand (m³)]]&lt;100000,"Large","Mega"))))</f>
        <v>Small</v>
      </c>
      <c r="P2607" s="287" t="str">
        <f t="shared" si="42"/>
        <v>GujRERA</v>
      </c>
    </row>
    <row r="2608" spans="1:16">
      <c r="A2608" s="129" t="str">
        <f>_xlfn.XLOOKUP(B2608,$S$9:$S$14,$T$9:$T$14)&amp;"-"&amp;
IF(E2608="Residential/Group Housing","RES",
IF(E2608="Commercial","COM",
IF(E2608="Mixed Development","MIX",
IF(E2608="Plotted Development","PLT","OTH"))))
&amp;"-"&amp;TEXT(COUNTIFS($B$9:B2608,B2608,$E$9:E2608,E2608),"0000")</f>
        <v>SUR-RES-0896</v>
      </c>
      <c r="B2608" s="322" t="s">
        <v>34</v>
      </c>
      <c r="C2608" s="322" t="s">
        <v>34</v>
      </c>
      <c r="D2608" s="323" t="s">
        <v>2797</v>
      </c>
      <c r="E2608" s="132" t="s">
        <v>24</v>
      </c>
      <c r="F2608" s="97" t="str">
        <f ca="1">IF(OR(Market_Data[[#This Row],[Start Date]]="",Market_Data[[#This Row],[Completion Date]]=""),"Needs Validation",IF(Market_Data[[#This Row],[Start Date]]&gt;TODAY(),"Planned",IF(Market_Data[[#This Row],[Completion Date]]&lt;TODAY(),"Completed","Ongoing")))</f>
        <v>Ongoing</v>
      </c>
      <c r="G2608" s="324">
        <v>45749</v>
      </c>
      <c r="H2608" s="324">
        <v>47483</v>
      </c>
      <c r="I2608" s="325">
        <v>4100</v>
      </c>
      <c r="J260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08" s="133">
        <f>_xlfn.XLOOKUP(Market_Data[[#This Row],[Project Type]],tbl_assumptions_market[Project Category (RERA)],tbl_assumptions_market[Concrete Intensity
(m³ / sq m BUA)],"",0)</f>
        <v>0.45</v>
      </c>
      <c r="L2608" s="134">
        <f>ROUND(Market_Data[[#This Row],[Estimated Built Up Area (sq m)]]*Market_Data[[#This Row],[Concrete Intensity
(m³ / sq m)]],0)</f>
        <v>1845</v>
      </c>
      <c r="M2608" s="135">
        <f>_xlfn.XLOOKUP(Market_Data[[#This Row],[District]],tbl_district_price[District],tbl_district_price[Standard Price
(INR/m³)],"",0)</f>
        <v>6200</v>
      </c>
      <c r="N2608" s="364">
        <f>IF(OR(Market_Data[[#This Row],[Estimated Concrete Demand (m³)]]="",Market_Data[[#This Row],[Avg Price per (₹ / m³)]]=""),"",Market_Data[[#This Row],[Estimated Concrete Demand (m³)]]*Market_Data[[#This Row],[Avg Price per (₹ / m³)]]/10000000)</f>
        <v>1.1438999999999999</v>
      </c>
      <c r="O2608" s="97" t="str">
        <f>IF(Market_Data[[#This Row],[Estimated Concrete Demand (m³)]]="","",
IF(Market_Data[[#This Row],[Estimated Concrete Demand (m³)]]&lt;10000,"Small",
IF(Market_Data[[#This Row],[Estimated Concrete Demand (m³)]]&lt;25000,"Medium",
IF(Market_Data[[#This Row],[Estimated Concrete Demand (m³)]]&lt;100000,"Large","Mega"))))</f>
        <v>Small</v>
      </c>
      <c r="P2608" s="287" t="str">
        <f t="shared" si="42"/>
        <v>GujRERA</v>
      </c>
    </row>
    <row r="2609" spans="1:16">
      <c r="A2609" s="129" t="str">
        <f>_xlfn.XLOOKUP(B2609,$S$9:$S$14,$T$9:$T$14)&amp;"-"&amp;
IF(E2609="Residential/Group Housing","RES",
IF(E2609="Commercial","COM",
IF(E2609="Mixed Development","MIX",
IF(E2609="Plotted Development","PLT","OTH"))))
&amp;"-"&amp;TEXT(COUNTIFS($B$9:B2609,B2609,$E$9:E2609,E2609),"0000")</f>
        <v>SUR-COM-0438</v>
      </c>
      <c r="B2609" s="322" t="s">
        <v>34</v>
      </c>
      <c r="C2609" s="322" t="s">
        <v>34</v>
      </c>
      <c r="D2609" s="323" t="s">
        <v>2798</v>
      </c>
      <c r="E2609" s="132" t="s">
        <v>23</v>
      </c>
      <c r="F2609" s="97" t="str">
        <f ca="1">IF(OR(Market_Data[[#This Row],[Start Date]]="",Market_Data[[#This Row],[Completion Date]]=""),"Needs Validation",IF(Market_Data[[#This Row],[Start Date]]&gt;TODAY(),"Planned",IF(Market_Data[[#This Row],[Completion Date]]&lt;TODAY(),"Completed","Ongoing")))</f>
        <v>Ongoing</v>
      </c>
      <c r="G2609" s="324">
        <v>45754</v>
      </c>
      <c r="H2609" s="324">
        <v>47483</v>
      </c>
      <c r="I2609" s="325">
        <v>14300</v>
      </c>
      <c r="J260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09" s="133">
        <f>_xlfn.XLOOKUP(Market_Data[[#This Row],[Project Type]],tbl_assumptions_market[Project Category (RERA)],tbl_assumptions_market[Concrete Intensity
(m³ / sq m BUA)],"",0)</f>
        <v>0.5</v>
      </c>
      <c r="L2609" s="134">
        <f>ROUND(Market_Data[[#This Row],[Estimated Built Up Area (sq m)]]*Market_Data[[#This Row],[Concrete Intensity
(m³ / sq m)]],0)</f>
        <v>7150</v>
      </c>
      <c r="M2609" s="135">
        <f>_xlfn.XLOOKUP(Market_Data[[#This Row],[District]],tbl_district_price[District],tbl_district_price[Standard Price
(INR/m³)],"",0)</f>
        <v>6200</v>
      </c>
      <c r="N2609" s="364">
        <f>IF(OR(Market_Data[[#This Row],[Estimated Concrete Demand (m³)]]="",Market_Data[[#This Row],[Avg Price per (₹ / m³)]]=""),"",Market_Data[[#This Row],[Estimated Concrete Demand (m³)]]*Market_Data[[#This Row],[Avg Price per (₹ / m³)]]/10000000)</f>
        <v>4.4329999999999998</v>
      </c>
      <c r="O2609" s="97" t="str">
        <f>IF(Market_Data[[#This Row],[Estimated Concrete Demand (m³)]]="","",
IF(Market_Data[[#This Row],[Estimated Concrete Demand (m³)]]&lt;10000,"Small",
IF(Market_Data[[#This Row],[Estimated Concrete Demand (m³)]]&lt;25000,"Medium",
IF(Market_Data[[#This Row],[Estimated Concrete Demand (m³)]]&lt;100000,"Large","Mega"))))</f>
        <v>Small</v>
      </c>
      <c r="P2609" s="287" t="str">
        <f t="shared" si="42"/>
        <v>GujRERA</v>
      </c>
    </row>
    <row r="2610" spans="1:16">
      <c r="A2610" s="129" t="str">
        <f>_xlfn.XLOOKUP(B2610,$S$9:$S$14,$T$9:$T$14)&amp;"-"&amp;
IF(E2610="Residential/Group Housing","RES",
IF(E2610="Commercial","COM",
IF(E2610="Mixed Development","MIX",
IF(E2610="Plotted Development","PLT","OTH"))))
&amp;"-"&amp;TEXT(COUNTIFS($B$9:B2610,B2610,$E$9:E2610,E2610),"0000")</f>
        <v>SUR-PLT-0487</v>
      </c>
      <c r="B2610" s="322" t="s">
        <v>34</v>
      </c>
      <c r="C2610" s="322" t="s">
        <v>34</v>
      </c>
      <c r="D2610" s="323" t="s">
        <v>2799</v>
      </c>
      <c r="E2610" s="132" t="s">
        <v>26</v>
      </c>
      <c r="F2610" s="97" t="str">
        <f ca="1">IF(OR(Market_Data[[#This Row],[Start Date]]="",Market_Data[[#This Row],[Completion Date]]=""),"Needs Validation",IF(Market_Data[[#This Row],[Start Date]]&gt;TODAY(),"Planned",IF(Market_Data[[#This Row],[Completion Date]]&lt;TODAY(),"Completed","Ongoing")))</f>
        <v>Completed</v>
      </c>
      <c r="G2610" s="324">
        <v>44399</v>
      </c>
      <c r="H2610" s="324">
        <v>46022</v>
      </c>
      <c r="I2610" s="325">
        <v>41100</v>
      </c>
      <c r="J261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610" s="133">
        <f>_xlfn.XLOOKUP(Market_Data[[#This Row],[Project Type]],tbl_assumptions_market[Project Category (RERA)],tbl_assumptions_market[Concrete Intensity
(m³ / sq m BUA)],"",0)</f>
        <v>0.18</v>
      </c>
      <c r="L2610" s="134">
        <f>ROUND(Market_Data[[#This Row],[Estimated Built Up Area (sq m)]]*Market_Data[[#This Row],[Concrete Intensity
(m³ / sq m)]],0)</f>
        <v>7398</v>
      </c>
      <c r="M2610" s="135">
        <f>_xlfn.XLOOKUP(Market_Data[[#This Row],[District]],tbl_district_price[District],tbl_district_price[Standard Price
(INR/m³)],"",0)</f>
        <v>6200</v>
      </c>
      <c r="N2610" s="364">
        <f>IF(OR(Market_Data[[#This Row],[Estimated Concrete Demand (m³)]]="",Market_Data[[#This Row],[Avg Price per (₹ / m³)]]=""),"",Market_Data[[#This Row],[Estimated Concrete Demand (m³)]]*Market_Data[[#This Row],[Avg Price per (₹ / m³)]]/10000000)</f>
        <v>4.5867599999999999</v>
      </c>
      <c r="O2610" s="97" t="str">
        <f>IF(Market_Data[[#This Row],[Estimated Concrete Demand (m³)]]="","",
IF(Market_Data[[#This Row],[Estimated Concrete Demand (m³)]]&lt;10000,"Small",
IF(Market_Data[[#This Row],[Estimated Concrete Demand (m³)]]&lt;25000,"Medium",
IF(Market_Data[[#This Row],[Estimated Concrete Demand (m³)]]&lt;100000,"Large","Mega"))))</f>
        <v>Small</v>
      </c>
      <c r="P2610" s="287" t="str">
        <f t="shared" si="42"/>
        <v>GujRERA</v>
      </c>
    </row>
    <row r="2611" spans="1:16">
      <c r="A2611" s="129" t="str">
        <f>_xlfn.XLOOKUP(B2611,$S$9:$S$14,$T$9:$T$14)&amp;"-"&amp;
IF(E2611="Residential/Group Housing","RES",
IF(E2611="Commercial","COM",
IF(E2611="Mixed Development","MIX",
IF(E2611="Plotted Development","PLT","OTH"))))
&amp;"-"&amp;TEXT(COUNTIFS($B$9:B2611,B2611,$E$9:E2611,E2611),"0000")</f>
        <v>SUR-PLT-0488</v>
      </c>
      <c r="B2611" s="322" t="s">
        <v>34</v>
      </c>
      <c r="C2611" s="322" t="s">
        <v>34</v>
      </c>
      <c r="D2611" s="323" t="s">
        <v>2800</v>
      </c>
      <c r="E2611" s="132" t="s">
        <v>26</v>
      </c>
      <c r="F2611" s="97" t="str">
        <f ca="1">IF(OR(Market_Data[[#This Row],[Start Date]]="",Market_Data[[#This Row],[Completion Date]]=""),"Needs Validation",IF(Market_Data[[#This Row],[Start Date]]&gt;TODAY(),"Planned",IF(Market_Data[[#This Row],[Completion Date]]&lt;TODAY(),"Completed","Ongoing")))</f>
        <v>Completed</v>
      </c>
      <c r="G2611" s="324">
        <v>44462</v>
      </c>
      <c r="H2611" s="324">
        <v>46022</v>
      </c>
      <c r="I2611" s="325">
        <v>38100</v>
      </c>
      <c r="J261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611" s="133">
        <f>_xlfn.XLOOKUP(Market_Data[[#This Row],[Project Type]],tbl_assumptions_market[Project Category (RERA)],tbl_assumptions_market[Concrete Intensity
(m³ / sq m BUA)],"",0)</f>
        <v>0.18</v>
      </c>
      <c r="L2611" s="134">
        <f>ROUND(Market_Data[[#This Row],[Estimated Built Up Area (sq m)]]*Market_Data[[#This Row],[Concrete Intensity
(m³ / sq m)]],0)</f>
        <v>6858</v>
      </c>
      <c r="M2611" s="135">
        <f>_xlfn.XLOOKUP(Market_Data[[#This Row],[District]],tbl_district_price[District],tbl_district_price[Standard Price
(INR/m³)],"",0)</f>
        <v>6200</v>
      </c>
      <c r="N2611" s="364">
        <f>IF(OR(Market_Data[[#This Row],[Estimated Concrete Demand (m³)]]="",Market_Data[[#This Row],[Avg Price per (₹ / m³)]]=""),"",Market_Data[[#This Row],[Estimated Concrete Demand (m³)]]*Market_Data[[#This Row],[Avg Price per (₹ / m³)]]/10000000)</f>
        <v>4.2519600000000004</v>
      </c>
      <c r="O2611" s="97" t="str">
        <f>IF(Market_Data[[#This Row],[Estimated Concrete Demand (m³)]]="","",
IF(Market_Data[[#This Row],[Estimated Concrete Demand (m³)]]&lt;10000,"Small",
IF(Market_Data[[#This Row],[Estimated Concrete Demand (m³)]]&lt;25000,"Medium",
IF(Market_Data[[#This Row],[Estimated Concrete Demand (m³)]]&lt;100000,"Large","Mega"))))</f>
        <v>Small</v>
      </c>
      <c r="P2611" s="287" t="str">
        <f t="shared" si="42"/>
        <v>GujRERA</v>
      </c>
    </row>
    <row r="2612" spans="1:16">
      <c r="A2612" s="129" t="str">
        <f>_xlfn.XLOOKUP(B2612,$S$9:$S$14,$T$9:$T$14)&amp;"-"&amp;
IF(E2612="Residential/Group Housing","RES",
IF(E2612="Commercial","COM",
IF(E2612="Mixed Development","MIX",
IF(E2612="Plotted Development","PLT","OTH"))))
&amp;"-"&amp;TEXT(COUNTIFS($B$9:B2612,B2612,$E$9:E2612,E2612),"0000")</f>
        <v>SUR-PLT-0489</v>
      </c>
      <c r="B2612" s="322" t="s">
        <v>34</v>
      </c>
      <c r="C2612" s="322" t="s">
        <v>34</v>
      </c>
      <c r="D2612" s="323" t="s">
        <v>2801</v>
      </c>
      <c r="E2612" s="132" t="s">
        <v>26</v>
      </c>
      <c r="F2612" s="97" t="str">
        <f ca="1">IF(OR(Market_Data[[#This Row],[Start Date]]="",Market_Data[[#This Row],[Completion Date]]=""),"Needs Validation",IF(Market_Data[[#This Row],[Start Date]]&gt;TODAY(),"Planned",IF(Market_Data[[#This Row],[Completion Date]]&lt;TODAY(),"Completed","Ongoing")))</f>
        <v>Completed</v>
      </c>
      <c r="G2612" s="324">
        <v>44835</v>
      </c>
      <c r="H2612" s="324">
        <v>46016</v>
      </c>
      <c r="I2612" s="325">
        <v>57200</v>
      </c>
      <c r="J261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612" s="133">
        <f>_xlfn.XLOOKUP(Market_Data[[#This Row],[Project Type]],tbl_assumptions_market[Project Category (RERA)],tbl_assumptions_market[Concrete Intensity
(m³ / sq m BUA)],"",0)</f>
        <v>0.18</v>
      </c>
      <c r="L2612" s="134">
        <f>ROUND(Market_Data[[#This Row],[Estimated Built Up Area (sq m)]]*Market_Data[[#This Row],[Concrete Intensity
(m³ / sq m)]],0)</f>
        <v>10296</v>
      </c>
      <c r="M2612" s="135">
        <f>_xlfn.XLOOKUP(Market_Data[[#This Row],[District]],tbl_district_price[District],tbl_district_price[Standard Price
(INR/m³)],"",0)</f>
        <v>6200</v>
      </c>
      <c r="N2612" s="364">
        <f>IF(OR(Market_Data[[#This Row],[Estimated Concrete Demand (m³)]]="",Market_Data[[#This Row],[Avg Price per (₹ / m³)]]=""),"",Market_Data[[#This Row],[Estimated Concrete Demand (m³)]]*Market_Data[[#This Row],[Avg Price per (₹ / m³)]]/10000000)</f>
        <v>6.3835199999999999</v>
      </c>
      <c r="O2612" s="97" t="str">
        <f>IF(Market_Data[[#This Row],[Estimated Concrete Demand (m³)]]="","",
IF(Market_Data[[#This Row],[Estimated Concrete Demand (m³)]]&lt;10000,"Small",
IF(Market_Data[[#This Row],[Estimated Concrete Demand (m³)]]&lt;25000,"Medium",
IF(Market_Data[[#This Row],[Estimated Concrete Demand (m³)]]&lt;100000,"Large","Mega"))))</f>
        <v>Medium</v>
      </c>
      <c r="P2612" s="287" t="str">
        <f t="shared" si="42"/>
        <v>GujRERA</v>
      </c>
    </row>
    <row r="2613" spans="1:16">
      <c r="A2613" s="129" t="str">
        <f>_xlfn.XLOOKUP(B2613,$S$9:$S$14,$T$9:$T$14)&amp;"-"&amp;
IF(E2613="Residential/Group Housing","RES",
IF(E2613="Commercial","COM",
IF(E2613="Mixed Development","MIX",
IF(E2613="Plotted Development","PLT","OTH"))))
&amp;"-"&amp;TEXT(COUNTIFS($B$9:B2613,B2613,$E$9:E2613,E2613),"0000")</f>
        <v>SUR-PLT-0490</v>
      </c>
      <c r="B2613" s="322" t="s">
        <v>34</v>
      </c>
      <c r="C2613" s="322" t="s">
        <v>34</v>
      </c>
      <c r="D2613" s="323" t="s">
        <v>2802</v>
      </c>
      <c r="E2613" s="132" t="s">
        <v>26</v>
      </c>
      <c r="F2613" s="97" t="str">
        <f ca="1">IF(OR(Market_Data[[#This Row],[Start Date]]="",Market_Data[[#This Row],[Completion Date]]=""),"Needs Validation",IF(Market_Data[[#This Row],[Start Date]]&gt;TODAY(),"Planned",IF(Market_Data[[#This Row],[Completion Date]]&lt;TODAY(),"Completed","Ongoing")))</f>
        <v>Completed</v>
      </c>
      <c r="G2613" s="324">
        <v>45566</v>
      </c>
      <c r="H2613" s="324">
        <v>46112</v>
      </c>
      <c r="I2613" s="325">
        <v>35800</v>
      </c>
      <c r="J261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613" s="133">
        <f>_xlfn.XLOOKUP(Market_Data[[#This Row],[Project Type]],tbl_assumptions_market[Project Category (RERA)],tbl_assumptions_market[Concrete Intensity
(m³ / sq m BUA)],"",0)</f>
        <v>0.18</v>
      </c>
      <c r="L2613" s="134">
        <f>ROUND(Market_Data[[#This Row],[Estimated Built Up Area (sq m)]]*Market_Data[[#This Row],[Concrete Intensity
(m³ / sq m)]],0)</f>
        <v>6444</v>
      </c>
      <c r="M2613" s="135">
        <f>_xlfn.XLOOKUP(Market_Data[[#This Row],[District]],tbl_district_price[District],tbl_district_price[Standard Price
(INR/m³)],"",0)</f>
        <v>6200</v>
      </c>
      <c r="N2613" s="364">
        <f>IF(OR(Market_Data[[#This Row],[Estimated Concrete Demand (m³)]]="",Market_Data[[#This Row],[Avg Price per (₹ / m³)]]=""),"",Market_Data[[#This Row],[Estimated Concrete Demand (m³)]]*Market_Data[[#This Row],[Avg Price per (₹ / m³)]]/10000000)</f>
        <v>3.9952800000000002</v>
      </c>
      <c r="O2613" s="97" t="str">
        <f>IF(Market_Data[[#This Row],[Estimated Concrete Demand (m³)]]="","",
IF(Market_Data[[#This Row],[Estimated Concrete Demand (m³)]]&lt;10000,"Small",
IF(Market_Data[[#This Row],[Estimated Concrete Demand (m³)]]&lt;25000,"Medium",
IF(Market_Data[[#This Row],[Estimated Concrete Demand (m³)]]&lt;100000,"Large","Mega"))))</f>
        <v>Small</v>
      </c>
      <c r="P2613" s="287" t="str">
        <f t="shared" si="42"/>
        <v>GujRERA</v>
      </c>
    </row>
    <row r="2614" spans="1:16">
      <c r="A2614" s="129" t="str">
        <f>_xlfn.XLOOKUP(B2614,$S$9:$S$14,$T$9:$T$14)&amp;"-"&amp;
IF(E2614="Residential/Group Housing","RES",
IF(E2614="Commercial","COM",
IF(E2614="Mixed Development","MIX",
IF(E2614="Plotted Development","PLT","OTH"))))
&amp;"-"&amp;TEXT(COUNTIFS($B$9:B2614,B2614,$E$9:E2614,E2614),"0000")</f>
        <v>SUR-PLT-0491</v>
      </c>
      <c r="B2614" s="322" t="s">
        <v>34</v>
      </c>
      <c r="C2614" s="322" t="s">
        <v>34</v>
      </c>
      <c r="D2614" s="323" t="s">
        <v>2803</v>
      </c>
      <c r="E2614" s="132" t="s">
        <v>26</v>
      </c>
      <c r="F2614" s="97" t="str">
        <f ca="1">IF(OR(Market_Data[[#This Row],[Start Date]]="",Market_Data[[#This Row],[Completion Date]]=""),"Needs Validation",IF(Market_Data[[#This Row],[Start Date]]&gt;TODAY(),"Planned",IF(Market_Data[[#This Row],[Completion Date]]&lt;TODAY(),"Completed","Ongoing")))</f>
        <v>Ongoing</v>
      </c>
      <c r="G2614" s="324">
        <v>45511</v>
      </c>
      <c r="H2614" s="324">
        <v>46387</v>
      </c>
      <c r="I2614" s="325">
        <v>24100</v>
      </c>
      <c r="J261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14" s="133">
        <f>_xlfn.XLOOKUP(Market_Data[[#This Row],[Project Type]],tbl_assumptions_market[Project Category (RERA)],tbl_assumptions_market[Concrete Intensity
(m³ / sq m BUA)],"",0)</f>
        <v>0.18</v>
      </c>
      <c r="L2614" s="134">
        <f>ROUND(Market_Data[[#This Row],[Estimated Built Up Area (sq m)]]*Market_Data[[#This Row],[Concrete Intensity
(m³ / sq m)]],0)</f>
        <v>4338</v>
      </c>
      <c r="M2614" s="135">
        <f>_xlfn.XLOOKUP(Market_Data[[#This Row],[District]],tbl_district_price[District],tbl_district_price[Standard Price
(INR/m³)],"",0)</f>
        <v>6200</v>
      </c>
      <c r="N2614" s="364">
        <f>IF(OR(Market_Data[[#This Row],[Estimated Concrete Demand (m³)]]="",Market_Data[[#This Row],[Avg Price per (₹ / m³)]]=""),"",Market_Data[[#This Row],[Estimated Concrete Demand (m³)]]*Market_Data[[#This Row],[Avg Price per (₹ / m³)]]/10000000)</f>
        <v>2.6895600000000002</v>
      </c>
      <c r="O2614" s="97" t="str">
        <f>IF(Market_Data[[#This Row],[Estimated Concrete Demand (m³)]]="","",
IF(Market_Data[[#This Row],[Estimated Concrete Demand (m³)]]&lt;10000,"Small",
IF(Market_Data[[#This Row],[Estimated Concrete Demand (m³)]]&lt;25000,"Medium",
IF(Market_Data[[#This Row],[Estimated Concrete Demand (m³)]]&lt;100000,"Large","Mega"))))</f>
        <v>Small</v>
      </c>
      <c r="P2614" s="287" t="str">
        <f t="shared" si="42"/>
        <v>GujRERA</v>
      </c>
    </row>
    <row r="2615" spans="1:16">
      <c r="A2615" s="129" t="str">
        <f>_xlfn.XLOOKUP(B2615,$S$9:$S$14,$T$9:$T$14)&amp;"-"&amp;
IF(E2615="Residential/Group Housing","RES",
IF(E2615="Commercial","COM",
IF(E2615="Mixed Development","MIX",
IF(E2615="Plotted Development","PLT","OTH"))))
&amp;"-"&amp;TEXT(COUNTIFS($B$9:B2615,B2615,$E$9:E2615,E2615),"0000")</f>
        <v>SUR-RES-0897</v>
      </c>
      <c r="B2615" s="322" t="s">
        <v>34</v>
      </c>
      <c r="C2615" s="322" t="s">
        <v>34</v>
      </c>
      <c r="D2615" s="323" t="s">
        <v>2804</v>
      </c>
      <c r="E2615" s="132" t="s">
        <v>24</v>
      </c>
      <c r="F2615" s="97" t="str">
        <f ca="1">IF(OR(Market_Data[[#This Row],[Start Date]]="",Market_Data[[#This Row],[Completion Date]]=""),"Needs Validation",IF(Market_Data[[#This Row],[Start Date]]&gt;TODAY(),"Planned",IF(Market_Data[[#This Row],[Completion Date]]&lt;TODAY(),"Completed","Ongoing")))</f>
        <v>Ongoing</v>
      </c>
      <c r="G2615" s="324">
        <v>45667</v>
      </c>
      <c r="H2615" s="324">
        <v>47483</v>
      </c>
      <c r="I2615" s="325">
        <v>16400</v>
      </c>
      <c r="J261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15" s="133">
        <f>_xlfn.XLOOKUP(Market_Data[[#This Row],[Project Type]],tbl_assumptions_market[Project Category (RERA)],tbl_assumptions_market[Concrete Intensity
(m³ / sq m BUA)],"",0)</f>
        <v>0.45</v>
      </c>
      <c r="L2615" s="134">
        <f>ROUND(Market_Data[[#This Row],[Estimated Built Up Area (sq m)]]*Market_Data[[#This Row],[Concrete Intensity
(m³ / sq m)]],0)</f>
        <v>7380</v>
      </c>
      <c r="M2615" s="135">
        <f>_xlfn.XLOOKUP(Market_Data[[#This Row],[District]],tbl_district_price[District],tbl_district_price[Standard Price
(INR/m³)],"",0)</f>
        <v>6200</v>
      </c>
      <c r="N2615" s="364">
        <f>IF(OR(Market_Data[[#This Row],[Estimated Concrete Demand (m³)]]="",Market_Data[[#This Row],[Avg Price per (₹ / m³)]]=""),"",Market_Data[[#This Row],[Estimated Concrete Demand (m³)]]*Market_Data[[#This Row],[Avg Price per (₹ / m³)]]/10000000)</f>
        <v>4.5755999999999997</v>
      </c>
      <c r="O2615" s="97" t="str">
        <f>IF(Market_Data[[#This Row],[Estimated Concrete Demand (m³)]]="","",
IF(Market_Data[[#This Row],[Estimated Concrete Demand (m³)]]&lt;10000,"Small",
IF(Market_Data[[#This Row],[Estimated Concrete Demand (m³)]]&lt;25000,"Medium",
IF(Market_Data[[#This Row],[Estimated Concrete Demand (m³)]]&lt;100000,"Large","Mega"))))</f>
        <v>Small</v>
      </c>
      <c r="P2615" s="287" t="str">
        <f t="shared" si="42"/>
        <v>GujRERA</v>
      </c>
    </row>
    <row r="2616" spans="1:16">
      <c r="A2616" s="129" t="str">
        <f>_xlfn.XLOOKUP(B2616,$S$9:$S$14,$T$9:$T$14)&amp;"-"&amp;
IF(E2616="Residential/Group Housing","RES",
IF(E2616="Commercial","COM",
IF(E2616="Mixed Development","MIX",
IF(E2616="Plotted Development","PLT","OTH"))))
&amp;"-"&amp;TEXT(COUNTIFS($B$9:B2616,B2616,$E$9:E2616,E2616),"0000")</f>
        <v>SUR-RES-0898</v>
      </c>
      <c r="B2616" s="322" t="s">
        <v>34</v>
      </c>
      <c r="C2616" s="322" t="s">
        <v>34</v>
      </c>
      <c r="D2616" s="323" t="s">
        <v>2805</v>
      </c>
      <c r="E2616" s="132" t="s">
        <v>24</v>
      </c>
      <c r="F2616" s="97" t="str">
        <f ca="1">IF(OR(Market_Data[[#This Row],[Start Date]]="",Market_Data[[#This Row],[Completion Date]]=""),"Needs Validation",IF(Market_Data[[#This Row],[Start Date]]&gt;TODAY(),"Planned",IF(Market_Data[[#This Row],[Completion Date]]&lt;TODAY(),"Completed","Ongoing")))</f>
        <v>Completed</v>
      </c>
      <c r="G2616" s="324">
        <v>44470</v>
      </c>
      <c r="H2616" s="324">
        <v>45566</v>
      </c>
      <c r="I2616" s="325">
        <v>46000</v>
      </c>
      <c r="J261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16" s="133">
        <f>_xlfn.XLOOKUP(Market_Data[[#This Row],[Project Type]],tbl_assumptions_market[Project Category (RERA)],tbl_assumptions_market[Concrete Intensity
(m³ / sq m BUA)],"",0)</f>
        <v>0.45</v>
      </c>
      <c r="L2616" s="134">
        <f>ROUND(Market_Data[[#This Row],[Estimated Built Up Area (sq m)]]*Market_Data[[#This Row],[Concrete Intensity
(m³ / sq m)]],0)</f>
        <v>20700</v>
      </c>
      <c r="M2616" s="135">
        <f>_xlfn.XLOOKUP(Market_Data[[#This Row],[District]],tbl_district_price[District],tbl_district_price[Standard Price
(INR/m³)],"",0)</f>
        <v>6200</v>
      </c>
      <c r="N2616" s="364">
        <f>IF(OR(Market_Data[[#This Row],[Estimated Concrete Demand (m³)]]="",Market_Data[[#This Row],[Avg Price per (₹ / m³)]]=""),"",Market_Data[[#This Row],[Estimated Concrete Demand (m³)]]*Market_Data[[#This Row],[Avg Price per (₹ / m³)]]/10000000)</f>
        <v>12.834</v>
      </c>
      <c r="O2616" s="97" t="str">
        <f>IF(Market_Data[[#This Row],[Estimated Concrete Demand (m³)]]="","",
IF(Market_Data[[#This Row],[Estimated Concrete Demand (m³)]]&lt;10000,"Small",
IF(Market_Data[[#This Row],[Estimated Concrete Demand (m³)]]&lt;25000,"Medium",
IF(Market_Data[[#This Row],[Estimated Concrete Demand (m³)]]&lt;100000,"Large","Mega"))))</f>
        <v>Medium</v>
      </c>
      <c r="P2616" s="287" t="str">
        <f t="shared" si="42"/>
        <v>GujRERA</v>
      </c>
    </row>
    <row r="2617" spans="1:16">
      <c r="A2617" s="129" t="str">
        <f>_xlfn.XLOOKUP(B2617,$S$9:$S$14,$T$9:$T$14)&amp;"-"&amp;
IF(E2617="Residential/Group Housing","RES",
IF(E2617="Commercial","COM",
IF(E2617="Mixed Development","MIX",
IF(E2617="Plotted Development","PLT","OTH"))))
&amp;"-"&amp;TEXT(COUNTIFS($B$9:B2617,B2617,$E$9:E2617,E2617),"0000")</f>
        <v>SUR-MIX-0472</v>
      </c>
      <c r="B2617" s="322" t="s">
        <v>34</v>
      </c>
      <c r="C2617" s="322" t="s">
        <v>34</v>
      </c>
      <c r="D2617" s="323" t="s">
        <v>2806</v>
      </c>
      <c r="E2617" s="132" t="s">
        <v>25</v>
      </c>
      <c r="F2617" s="97" t="str">
        <f ca="1">IF(OR(Market_Data[[#This Row],[Start Date]]="",Market_Data[[#This Row],[Completion Date]]=""),"Needs Validation",IF(Market_Data[[#This Row],[Start Date]]&gt;TODAY(),"Planned",IF(Market_Data[[#This Row],[Completion Date]]&lt;TODAY(),"Completed","Ongoing")))</f>
        <v>Ongoing</v>
      </c>
      <c r="G2617" s="324">
        <v>44183</v>
      </c>
      <c r="H2617" s="324">
        <v>46387</v>
      </c>
      <c r="I2617" s="325">
        <v>51600</v>
      </c>
      <c r="J261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17" s="133">
        <f>_xlfn.XLOOKUP(Market_Data[[#This Row],[Project Type]],tbl_assumptions_market[Project Category (RERA)],tbl_assumptions_market[Concrete Intensity
(m³ / sq m BUA)],"",0)</f>
        <v>0.42</v>
      </c>
      <c r="L2617" s="134">
        <f>ROUND(Market_Data[[#This Row],[Estimated Built Up Area (sq m)]]*Market_Data[[#This Row],[Concrete Intensity
(m³ / sq m)]],0)</f>
        <v>21672</v>
      </c>
      <c r="M2617" s="135">
        <f>_xlfn.XLOOKUP(Market_Data[[#This Row],[District]],tbl_district_price[District],tbl_district_price[Standard Price
(INR/m³)],"",0)</f>
        <v>6200</v>
      </c>
      <c r="N2617" s="364">
        <f>IF(OR(Market_Data[[#This Row],[Estimated Concrete Demand (m³)]]="",Market_Data[[#This Row],[Avg Price per (₹ / m³)]]=""),"",Market_Data[[#This Row],[Estimated Concrete Demand (m³)]]*Market_Data[[#This Row],[Avg Price per (₹ / m³)]]/10000000)</f>
        <v>13.436640000000001</v>
      </c>
      <c r="O2617" s="97" t="str">
        <f>IF(Market_Data[[#This Row],[Estimated Concrete Demand (m³)]]="","",
IF(Market_Data[[#This Row],[Estimated Concrete Demand (m³)]]&lt;10000,"Small",
IF(Market_Data[[#This Row],[Estimated Concrete Demand (m³)]]&lt;25000,"Medium",
IF(Market_Data[[#This Row],[Estimated Concrete Demand (m³)]]&lt;100000,"Large","Mega"))))</f>
        <v>Medium</v>
      </c>
      <c r="P2617" s="287" t="str">
        <f t="shared" si="42"/>
        <v>GujRERA</v>
      </c>
    </row>
    <row r="2618" spans="1:16">
      <c r="A2618" s="129" t="str">
        <f>_xlfn.XLOOKUP(B2618,$S$9:$S$14,$T$9:$T$14)&amp;"-"&amp;
IF(E2618="Residential/Group Housing","RES",
IF(E2618="Commercial","COM",
IF(E2618="Mixed Development","MIX",
IF(E2618="Plotted Development","PLT","OTH"))))
&amp;"-"&amp;TEXT(COUNTIFS($B$9:B2618,B2618,$E$9:E2618,E2618),"0000")</f>
        <v>SUR-MIX-0473</v>
      </c>
      <c r="B2618" s="322" t="s">
        <v>34</v>
      </c>
      <c r="C2618" s="322" t="s">
        <v>34</v>
      </c>
      <c r="D2618" s="323" t="s">
        <v>2807</v>
      </c>
      <c r="E2618" s="132" t="s">
        <v>25</v>
      </c>
      <c r="F2618" s="97" t="str">
        <f ca="1">IF(OR(Market_Data[[#This Row],[Start Date]]="",Market_Data[[#This Row],[Completion Date]]=""),"Needs Validation",IF(Market_Data[[#This Row],[Start Date]]&gt;TODAY(),"Planned",IF(Market_Data[[#This Row],[Completion Date]]&lt;TODAY(),"Completed","Ongoing")))</f>
        <v>Ongoing</v>
      </c>
      <c r="G2618" s="324">
        <v>45677</v>
      </c>
      <c r="H2618" s="324">
        <v>46752</v>
      </c>
      <c r="I2618" s="325">
        <v>54200</v>
      </c>
      <c r="J261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18" s="133">
        <f>_xlfn.XLOOKUP(Market_Data[[#This Row],[Project Type]],tbl_assumptions_market[Project Category (RERA)],tbl_assumptions_market[Concrete Intensity
(m³ / sq m BUA)],"",0)</f>
        <v>0.42</v>
      </c>
      <c r="L2618" s="134">
        <f>ROUND(Market_Data[[#This Row],[Estimated Built Up Area (sq m)]]*Market_Data[[#This Row],[Concrete Intensity
(m³ / sq m)]],0)</f>
        <v>22764</v>
      </c>
      <c r="M2618" s="135">
        <f>_xlfn.XLOOKUP(Market_Data[[#This Row],[District]],tbl_district_price[District],tbl_district_price[Standard Price
(INR/m³)],"",0)</f>
        <v>6200</v>
      </c>
      <c r="N2618" s="364">
        <f>IF(OR(Market_Data[[#This Row],[Estimated Concrete Demand (m³)]]="",Market_Data[[#This Row],[Avg Price per (₹ / m³)]]=""),"",Market_Data[[#This Row],[Estimated Concrete Demand (m³)]]*Market_Data[[#This Row],[Avg Price per (₹ / m³)]]/10000000)</f>
        <v>14.11368</v>
      </c>
      <c r="O2618" s="97" t="str">
        <f>IF(Market_Data[[#This Row],[Estimated Concrete Demand (m³)]]="","",
IF(Market_Data[[#This Row],[Estimated Concrete Demand (m³)]]&lt;10000,"Small",
IF(Market_Data[[#This Row],[Estimated Concrete Demand (m³)]]&lt;25000,"Medium",
IF(Market_Data[[#This Row],[Estimated Concrete Demand (m³)]]&lt;100000,"Large","Mega"))))</f>
        <v>Medium</v>
      </c>
      <c r="P2618" s="287" t="str">
        <f t="shared" si="42"/>
        <v>GujRERA</v>
      </c>
    </row>
    <row r="2619" spans="1:16">
      <c r="A2619" s="129" t="str">
        <f>_xlfn.XLOOKUP(B2619,$S$9:$S$14,$T$9:$T$14)&amp;"-"&amp;
IF(E2619="Residential/Group Housing","RES",
IF(E2619="Commercial","COM",
IF(E2619="Mixed Development","MIX",
IF(E2619="Plotted Development","PLT","OTH"))))
&amp;"-"&amp;TEXT(COUNTIFS($B$9:B2619,B2619,$E$9:E2619,E2619),"0000")</f>
        <v>SUR-RES-0899</v>
      </c>
      <c r="B2619" s="322" t="s">
        <v>34</v>
      </c>
      <c r="C2619" s="322" t="s">
        <v>34</v>
      </c>
      <c r="D2619" s="323" t="s">
        <v>2808</v>
      </c>
      <c r="E2619" s="132" t="s">
        <v>24</v>
      </c>
      <c r="F2619" s="97" t="str">
        <f ca="1">IF(OR(Market_Data[[#This Row],[Start Date]]="",Market_Data[[#This Row],[Completion Date]]=""),"Needs Validation",IF(Market_Data[[#This Row],[Start Date]]&gt;TODAY(),"Planned",IF(Market_Data[[#This Row],[Completion Date]]&lt;TODAY(),"Completed","Ongoing")))</f>
        <v>Completed</v>
      </c>
      <c r="G2619" s="324">
        <v>45042</v>
      </c>
      <c r="H2619" s="324">
        <v>46203</v>
      </c>
      <c r="I2619" s="325">
        <v>16800</v>
      </c>
      <c r="J261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19" s="133">
        <f>_xlfn.XLOOKUP(Market_Data[[#This Row],[Project Type]],tbl_assumptions_market[Project Category (RERA)],tbl_assumptions_market[Concrete Intensity
(m³ / sq m BUA)],"",0)</f>
        <v>0.45</v>
      </c>
      <c r="L2619" s="134">
        <f>ROUND(Market_Data[[#This Row],[Estimated Built Up Area (sq m)]]*Market_Data[[#This Row],[Concrete Intensity
(m³ / sq m)]],0)</f>
        <v>7560</v>
      </c>
      <c r="M2619" s="135">
        <f>_xlfn.XLOOKUP(Market_Data[[#This Row],[District]],tbl_district_price[District],tbl_district_price[Standard Price
(INR/m³)],"",0)</f>
        <v>6200</v>
      </c>
      <c r="N2619" s="364">
        <f>IF(OR(Market_Data[[#This Row],[Estimated Concrete Demand (m³)]]="",Market_Data[[#This Row],[Avg Price per (₹ / m³)]]=""),"",Market_Data[[#This Row],[Estimated Concrete Demand (m³)]]*Market_Data[[#This Row],[Avg Price per (₹ / m³)]]/10000000)</f>
        <v>4.6871999999999998</v>
      </c>
      <c r="O2619" s="97" t="str">
        <f>IF(Market_Data[[#This Row],[Estimated Concrete Demand (m³)]]="","",
IF(Market_Data[[#This Row],[Estimated Concrete Demand (m³)]]&lt;10000,"Small",
IF(Market_Data[[#This Row],[Estimated Concrete Demand (m³)]]&lt;25000,"Medium",
IF(Market_Data[[#This Row],[Estimated Concrete Demand (m³)]]&lt;100000,"Large","Mega"))))</f>
        <v>Small</v>
      </c>
      <c r="P2619" s="287" t="str">
        <f t="shared" si="42"/>
        <v>GujRERA</v>
      </c>
    </row>
    <row r="2620" spans="1:16">
      <c r="A2620" s="129" t="str">
        <f>_xlfn.XLOOKUP(B2620,$S$9:$S$14,$T$9:$T$14)&amp;"-"&amp;
IF(E2620="Residential/Group Housing","RES",
IF(E2620="Commercial","COM",
IF(E2620="Mixed Development","MIX",
IF(E2620="Plotted Development","PLT","OTH"))))
&amp;"-"&amp;TEXT(COUNTIFS($B$9:B2620,B2620,$E$9:E2620,E2620),"0000")</f>
        <v>SUR-RES-0900</v>
      </c>
      <c r="B2620" s="322" t="s">
        <v>34</v>
      </c>
      <c r="C2620" s="322" t="s">
        <v>34</v>
      </c>
      <c r="D2620" s="323" t="s">
        <v>2809</v>
      </c>
      <c r="E2620" s="132" t="s">
        <v>24</v>
      </c>
      <c r="F2620" s="97" t="str">
        <f ca="1">IF(OR(Market_Data[[#This Row],[Start Date]]="",Market_Data[[#This Row],[Completion Date]]=""),"Needs Validation",IF(Market_Data[[#This Row],[Start Date]]&gt;TODAY(),"Planned",IF(Market_Data[[#This Row],[Completion Date]]&lt;TODAY(),"Completed","Ongoing")))</f>
        <v>Completed</v>
      </c>
      <c r="G2620" s="324">
        <v>44617</v>
      </c>
      <c r="H2620" s="324">
        <v>46078</v>
      </c>
      <c r="I2620" s="325">
        <v>23600</v>
      </c>
      <c r="J262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20" s="133">
        <f>_xlfn.XLOOKUP(Market_Data[[#This Row],[Project Type]],tbl_assumptions_market[Project Category (RERA)],tbl_assumptions_market[Concrete Intensity
(m³ / sq m BUA)],"",0)</f>
        <v>0.45</v>
      </c>
      <c r="L2620" s="134">
        <f>ROUND(Market_Data[[#This Row],[Estimated Built Up Area (sq m)]]*Market_Data[[#This Row],[Concrete Intensity
(m³ / sq m)]],0)</f>
        <v>10620</v>
      </c>
      <c r="M2620" s="135">
        <f>_xlfn.XLOOKUP(Market_Data[[#This Row],[District]],tbl_district_price[District],tbl_district_price[Standard Price
(INR/m³)],"",0)</f>
        <v>6200</v>
      </c>
      <c r="N2620" s="364">
        <f>IF(OR(Market_Data[[#This Row],[Estimated Concrete Demand (m³)]]="",Market_Data[[#This Row],[Avg Price per (₹ / m³)]]=""),"",Market_Data[[#This Row],[Estimated Concrete Demand (m³)]]*Market_Data[[#This Row],[Avg Price per (₹ / m³)]]/10000000)</f>
        <v>6.5843999999999996</v>
      </c>
      <c r="O2620" s="97" t="str">
        <f>IF(Market_Data[[#This Row],[Estimated Concrete Demand (m³)]]="","",
IF(Market_Data[[#This Row],[Estimated Concrete Demand (m³)]]&lt;10000,"Small",
IF(Market_Data[[#This Row],[Estimated Concrete Demand (m³)]]&lt;25000,"Medium",
IF(Market_Data[[#This Row],[Estimated Concrete Demand (m³)]]&lt;100000,"Large","Mega"))))</f>
        <v>Medium</v>
      </c>
      <c r="P2620" s="287" t="str">
        <f t="shared" si="42"/>
        <v>GujRERA</v>
      </c>
    </row>
    <row r="2621" spans="1:16">
      <c r="A2621" s="129" t="str">
        <f>_xlfn.XLOOKUP(B2621,$S$9:$S$14,$T$9:$T$14)&amp;"-"&amp;
IF(E2621="Residential/Group Housing","RES",
IF(E2621="Commercial","COM",
IF(E2621="Mixed Development","MIX",
IF(E2621="Plotted Development","PLT","OTH"))))
&amp;"-"&amp;TEXT(COUNTIFS($B$9:B2621,B2621,$E$9:E2621,E2621),"0000")</f>
        <v>SUR-RES-0901</v>
      </c>
      <c r="B2621" s="322" t="s">
        <v>34</v>
      </c>
      <c r="C2621" s="322" t="s">
        <v>34</v>
      </c>
      <c r="D2621" s="323" t="s">
        <v>2810</v>
      </c>
      <c r="E2621" s="132" t="s">
        <v>24</v>
      </c>
      <c r="F2621" s="97" t="str">
        <f ca="1">IF(OR(Market_Data[[#This Row],[Start Date]]="",Market_Data[[#This Row],[Completion Date]]=""),"Needs Validation",IF(Market_Data[[#This Row],[Start Date]]&gt;TODAY(),"Planned",IF(Market_Data[[#This Row],[Completion Date]]&lt;TODAY(),"Completed","Ongoing")))</f>
        <v>Completed</v>
      </c>
      <c r="G2621" s="324">
        <v>43976</v>
      </c>
      <c r="H2621" s="324">
        <v>45443</v>
      </c>
      <c r="I2621" s="325">
        <v>27700</v>
      </c>
      <c r="J262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21" s="133">
        <f>_xlfn.XLOOKUP(Market_Data[[#This Row],[Project Type]],tbl_assumptions_market[Project Category (RERA)],tbl_assumptions_market[Concrete Intensity
(m³ / sq m BUA)],"",0)</f>
        <v>0.45</v>
      </c>
      <c r="L2621" s="134">
        <f>ROUND(Market_Data[[#This Row],[Estimated Built Up Area (sq m)]]*Market_Data[[#This Row],[Concrete Intensity
(m³ / sq m)]],0)</f>
        <v>12465</v>
      </c>
      <c r="M2621" s="135">
        <f>_xlfn.XLOOKUP(Market_Data[[#This Row],[District]],tbl_district_price[District],tbl_district_price[Standard Price
(INR/m³)],"",0)</f>
        <v>6200</v>
      </c>
      <c r="N2621" s="364">
        <f>IF(OR(Market_Data[[#This Row],[Estimated Concrete Demand (m³)]]="",Market_Data[[#This Row],[Avg Price per (₹ / m³)]]=""),"",Market_Data[[#This Row],[Estimated Concrete Demand (m³)]]*Market_Data[[#This Row],[Avg Price per (₹ / m³)]]/10000000)</f>
        <v>7.7282999999999999</v>
      </c>
      <c r="O2621" s="97" t="str">
        <f>IF(Market_Data[[#This Row],[Estimated Concrete Demand (m³)]]="","",
IF(Market_Data[[#This Row],[Estimated Concrete Demand (m³)]]&lt;10000,"Small",
IF(Market_Data[[#This Row],[Estimated Concrete Demand (m³)]]&lt;25000,"Medium",
IF(Market_Data[[#This Row],[Estimated Concrete Demand (m³)]]&lt;100000,"Large","Mega"))))</f>
        <v>Medium</v>
      </c>
      <c r="P2621" s="287" t="str">
        <f t="shared" si="42"/>
        <v>GujRERA</v>
      </c>
    </row>
    <row r="2622" spans="1:16">
      <c r="A2622" s="129" t="str">
        <f>_xlfn.XLOOKUP(B2622,$S$9:$S$14,$T$9:$T$14)&amp;"-"&amp;
IF(E2622="Residential/Group Housing","RES",
IF(E2622="Commercial","COM",
IF(E2622="Mixed Development","MIX",
IF(E2622="Plotted Development","PLT","OTH"))))
&amp;"-"&amp;TEXT(COUNTIFS($B$9:B2622,B2622,$E$9:E2622,E2622),"0000")</f>
        <v>SUR-RES-0902</v>
      </c>
      <c r="B2622" s="322" t="s">
        <v>34</v>
      </c>
      <c r="C2622" s="322" t="s">
        <v>34</v>
      </c>
      <c r="D2622" s="323" t="s">
        <v>2811</v>
      </c>
      <c r="E2622" s="132" t="s">
        <v>24</v>
      </c>
      <c r="F2622" s="97" t="str">
        <f ca="1">IF(OR(Market_Data[[#This Row],[Start Date]]="",Market_Data[[#This Row],[Completion Date]]=""),"Needs Validation",IF(Market_Data[[#This Row],[Start Date]]&gt;TODAY(),"Planned",IF(Market_Data[[#This Row],[Completion Date]]&lt;TODAY(),"Completed","Ongoing")))</f>
        <v>Ongoing</v>
      </c>
      <c r="G2622" s="324">
        <v>45064</v>
      </c>
      <c r="H2622" s="324">
        <v>46387</v>
      </c>
      <c r="I2622" s="325">
        <v>2900</v>
      </c>
      <c r="J262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22" s="133">
        <f>_xlfn.XLOOKUP(Market_Data[[#This Row],[Project Type]],tbl_assumptions_market[Project Category (RERA)],tbl_assumptions_market[Concrete Intensity
(m³ / sq m BUA)],"",0)</f>
        <v>0.45</v>
      </c>
      <c r="L2622" s="134">
        <f>ROUND(Market_Data[[#This Row],[Estimated Built Up Area (sq m)]]*Market_Data[[#This Row],[Concrete Intensity
(m³ / sq m)]],0)</f>
        <v>1305</v>
      </c>
      <c r="M2622" s="135">
        <f>_xlfn.XLOOKUP(Market_Data[[#This Row],[District]],tbl_district_price[District],tbl_district_price[Standard Price
(INR/m³)],"",0)</f>
        <v>6200</v>
      </c>
      <c r="N2622" s="364">
        <f>IF(OR(Market_Data[[#This Row],[Estimated Concrete Demand (m³)]]="",Market_Data[[#This Row],[Avg Price per (₹ / m³)]]=""),"",Market_Data[[#This Row],[Estimated Concrete Demand (m³)]]*Market_Data[[#This Row],[Avg Price per (₹ / m³)]]/10000000)</f>
        <v>0.80910000000000004</v>
      </c>
      <c r="O2622" s="97" t="str">
        <f>IF(Market_Data[[#This Row],[Estimated Concrete Demand (m³)]]="","",
IF(Market_Data[[#This Row],[Estimated Concrete Demand (m³)]]&lt;10000,"Small",
IF(Market_Data[[#This Row],[Estimated Concrete Demand (m³)]]&lt;25000,"Medium",
IF(Market_Data[[#This Row],[Estimated Concrete Demand (m³)]]&lt;100000,"Large","Mega"))))</f>
        <v>Small</v>
      </c>
      <c r="P2622" s="287" t="str">
        <f t="shared" si="42"/>
        <v>GujRERA</v>
      </c>
    </row>
    <row r="2623" spans="1:16">
      <c r="A2623" s="129" t="str">
        <f>_xlfn.XLOOKUP(B2623,$S$9:$S$14,$T$9:$T$14)&amp;"-"&amp;
IF(E2623="Residential/Group Housing","RES",
IF(E2623="Commercial","COM",
IF(E2623="Mixed Development","MIX",
IF(E2623="Plotted Development","PLT","OTH"))))
&amp;"-"&amp;TEXT(COUNTIFS($B$9:B2623,B2623,$E$9:E2623,E2623),"0000")</f>
        <v>SUR-RES-0903</v>
      </c>
      <c r="B2623" s="322" t="s">
        <v>34</v>
      </c>
      <c r="C2623" s="322" t="s">
        <v>34</v>
      </c>
      <c r="D2623" s="323" t="s">
        <v>2812</v>
      </c>
      <c r="E2623" s="132" t="s">
        <v>24</v>
      </c>
      <c r="F2623" s="97" t="str">
        <f ca="1">IF(OR(Market_Data[[#This Row],[Start Date]]="",Market_Data[[#This Row],[Completion Date]]=""),"Needs Validation",IF(Market_Data[[#This Row],[Start Date]]&gt;TODAY(),"Planned",IF(Market_Data[[#This Row],[Completion Date]]&lt;TODAY(),"Completed","Ongoing")))</f>
        <v>Completed</v>
      </c>
      <c r="G2623" s="324">
        <v>44767</v>
      </c>
      <c r="H2623" s="324">
        <v>45657</v>
      </c>
      <c r="I2623" s="325">
        <v>25000</v>
      </c>
      <c r="J262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23" s="133">
        <f>_xlfn.XLOOKUP(Market_Data[[#This Row],[Project Type]],tbl_assumptions_market[Project Category (RERA)],tbl_assumptions_market[Concrete Intensity
(m³ / sq m BUA)],"",0)</f>
        <v>0.45</v>
      </c>
      <c r="L2623" s="134">
        <f>ROUND(Market_Data[[#This Row],[Estimated Built Up Area (sq m)]]*Market_Data[[#This Row],[Concrete Intensity
(m³ / sq m)]],0)</f>
        <v>11250</v>
      </c>
      <c r="M2623" s="135">
        <f>_xlfn.XLOOKUP(Market_Data[[#This Row],[District]],tbl_district_price[District],tbl_district_price[Standard Price
(INR/m³)],"",0)</f>
        <v>6200</v>
      </c>
      <c r="N2623" s="364">
        <f>IF(OR(Market_Data[[#This Row],[Estimated Concrete Demand (m³)]]="",Market_Data[[#This Row],[Avg Price per (₹ / m³)]]=""),"",Market_Data[[#This Row],[Estimated Concrete Demand (m³)]]*Market_Data[[#This Row],[Avg Price per (₹ / m³)]]/10000000)</f>
        <v>6.9749999999999996</v>
      </c>
      <c r="O2623" s="97" t="str">
        <f>IF(Market_Data[[#This Row],[Estimated Concrete Demand (m³)]]="","",
IF(Market_Data[[#This Row],[Estimated Concrete Demand (m³)]]&lt;10000,"Small",
IF(Market_Data[[#This Row],[Estimated Concrete Demand (m³)]]&lt;25000,"Medium",
IF(Market_Data[[#This Row],[Estimated Concrete Demand (m³)]]&lt;100000,"Large","Mega"))))</f>
        <v>Medium</v>
      </c>
      <c r="P2623" s="287" t="str">
        <f t="shared" si="42"/>
        <v>GujRERA</v>
      </c>
    </row>
    <row r="2624" spans="1:16">
      <c r="A2624" s="129" t="str">
        <f>_xlfn.XLOOKUP(B2624,$S$9:$S$14,$T$9:$T$14)&amp;"-"&amp;
IF(E2624="Residential/Group Housing","RES",
IF(E2624="Commercial","COM",
IF(E2624="Mixed Development","MIX",
IF(E2624="Plotted Development","PLT","OTH"))))
&amp;"-"&amp;TEXT(COUNTIFS($B$9:B2624,B2624,$E$9:E2624,E2624),"0000")</f>
        <v>SUR-RES-0904</v>
      </c>
      <c r="B2624" s="322" t="s">
        <v>34</v>
      </c>
      <c r="C2624" s="322" t="s">
        <v>34</v>
      </c>
      <c r="D2624" s="323" t="s">
        <v>2813</v>
      </c>
      <c r="E2624" s="132" t="s">
        <v>24</v>
      </c>
      <c r="F2624" s="97" t="str">
        <f ca="1">IF(OR(Market_Data[[#This Row],[Start Date]]="",Market_Data[[#This Row],[Completion Date]]=""),"Needs Validation",IF(Market_Data[[#This Row],[Start Date]]&gt;TODAY(),"Planned",IF(Market_Data[[#This Row],[Completion Date]]&lt;TODAY(),"Completed","Ongoing")))</f>
        <v>Completed</v>
      </c>
      <c r="G2624" s="324">
        <v>45042</v>
      </c>
      <c r="H2624" s="324">
        <v>46142</v>
      </c>
      <c r="I2624" s="325">
        <v>28200</v>
      </c>
      <c r="J262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24" s="133">
        <f>_xlfn.XLOOKUP(Market_Data[[#This Row],[Project Type]],tbl_assumptions_market[Project Category (RERA)],tbl_assumptions_market[Concrete Intensity
(m³ / sq m BUA)],"",0)</f>
        <v>0.45</v>
      </c>
      <c r="L2624" s="134">
        <f>ROUND(Market_Data[[#This Row],[Estimated Built Up Area (sq m)]]*Market_Data[[#This Row],[Concrete Intensity
(m³ / sq m)]],0)</f>
        <v>12690</v>
      </c>
      <c r="M2624" s="135">
        <f>_xlfn.XLOOKUP(Market_Data[[#This Row],[District]],tbl_district_price[District],tbl_district_price[Standard Price
(INR/m³)],"",0)</f>
        <v>6200</v>
      </c>
      <c r="N2624" s="364">
        <f>IF(OR(Market_Data[[#This Row],[Estimated Concrete Demand (m³)]]="",Market_Data[[#This Row],[Avg Price per (₹ / m³)]]=""),"",Market_Data[[#This Row],[Estimated Concrete Demand (m³)]]*Market_Data[[#This Row],[Avg Price per (₹ / m³)]]/10000000)</f>
        <v>7.8677999999999999</v>
      </c>
      <c r="O2624" s="97" t="str">
        <f>IF(Market_Data[[#This Row],[Estimated Concrete Demand (m³)]]="","",
IF(Market_Data[[#This Row],[Estimated Concrete Demand (m³)]]&lt;10000,"Small",
IF(Market_Data[[#This Row],[Estimated Concrete Demand (m³)]]&lt;25000,"Medium",
IF(Market_Data[[#This Row],[Estimated Concrete Demand (m³)]]&lt;100000,"Large","Mega"))))</f>
        <v>Medium</v>
      </c>
      <c r="P2624" s="287" t="str">
        <f t="shared" si="42"/>
        <v>GujRERA</v>
      </c>
    </row>
    <row r="2625" spans="1:16">
      <c r="A2625" s="129" t="str">
        <f>_xlfn.XLOOKUP(B2625,$S$9:$S$14,$T$9:$T$14)&amp;"-"&amp;
IF(E2625="Residential/Group Housing","RES",
IF(E2625="Commercial","COM",
IF(E2625="Mixed Development","MIX",
IF(E2625="Plotted Development","PLT","OTH"))))
&amp;"-"&amp;TEXT(COUNTIFS($B$9:B2625,B2625,$E$9:E2625,E2625),"0000")</f>
        <v>SUR-PLT-0492</v>
      </c>
      <c r="B2625" s="322" t="s">
        <v>34</v>
      </c>
      <c r="C2625" s="322" t="s">
        <v>34</v>
      </c>
      <c r="D2625" s="323" t="s">
        <v>2814</v>
      </c>
      <c r="E2625" s="132" t="s">
        <v>26</v>
      </c>
      <c r="F2625" s="97" t="str">
        <f ca="1">IF(OR(Market_Data[[#This Row],[Start Date]]="",Market_Data[[#This Row],[Completion Date]]=""),"Needs Validation",IF(Market_Data[[#This Row],[Start Date]]&gt;TODAY(),"Planned",IF(Market_Data[[#This Row],[Completion Date]]&lt;TODAY(),"Completed","Ongoing")))</f>
        <v>Completed</v>
      </c>
      <c r="G2625" s="324">
        <v>42789</v>
      </c>
      <c r="H2625" s="324">
        <v>43830</v>
      </c>
      <c r="I2625" s="325">
        <v>32900</v>
      </c>
      <c r="J262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625" s="133">
        <f>_xlfn.XLOOKUP(Market_Data[[#This Row],[Project Type]],tbl_assumptions_market[Project Category (RERA)],tbl_assumptions_market[Concrete Intensity
(m³ / sq m BUA)],"",0)</f>
        <v>0.18</v>
      </c>
      <c r="L2625" s="134">
        <f>ROUND(Market_Data[[#This Row],[Estimated Built Up Area (sq m)]]*Market_Data[[#This Row],[Concrete Intensity
(m³ / sq m)]],0)</f>
        <v>5922</v>
      </c>
      <c r="M2625" s="135">
        <f>_xlfn.XLOOKUP(Market_Data[[#This Row],[District]],tbl_district_price[District],tbl_district_price[Standard Price
(INR/m³)],"",0)</f>
        <v>6200</v>
      </c>
      <c r="N2625" s="364">
        <f>IF(OR(Market_Data[[#This Row],[Estimated Concrete Demand (m³)]]="",Market_Data[[#This Row],[Avg Price per (₹ / m³)]]=""),"",Market_Data[[#This Row],[Estimated Concrete Demand (m³)]]*Market_Data[[#This Row],[Avg Price per (₹ / m³)]]/10000000)</f>
        <v>3.67164</v>
      </c>
      <c r="O2625" s="97" t="str">
        <f>IF(Market_Data[[#This Row],[Estimated Concrete Demand (m³)]]="","",
IF(Market_Data[[#This Row],[Estimated Concrete Demand (m³)]]&lt;10000,"Small",
IF(Market_Data[[#This Row],[Estimated Concrete Demand (m³)]]&lt;25000,"Medium",
IF(Market_Data[[#This Row],[Estimated Concrete Demand (m³)]]&lt;100000,"Large","Mega"))))</f>
        <v>Small</v>
      </c>
      <c r="P2625" s="287" t="str">
        <f t="shared" si="42"/>
        <v>GujRERA</v>
      </c>
    </row>
    <row r="2626" spans="1:16">
      <c r="A2626" s="129" t="str">
        <f>_xlfn.XLOOKUP(B2626,$S$9:$S$14,$T$9:$T$14)&amp;"-"&amp;
IF(E2626="Residential/Group Housing","RES",
IF(E2626="Commercial","COM",
IF(E2626="Mixed Development","MIX",
IF(E2626="Plotted Development","PLT","OTH"))))
&amp;"-"&amp;TEXT(COUNTIFS($B$9:B2626,B2626,$E$9:E2626,E2626),"0000")</f>
        <v>SUR-RES-0905</v>
      </c>
      <c r="B2626" s="322" t="s">
        <v>34</v>
      </c>
      <c r="C2626" s="322" t="s">
        <v>34</v>
      </c>
      <c r="D2626" s="323" t="s">
        <v>2815</v>
      </c>
      <c r="E2626" s="132" t="s">
        <v>24</v>
      </c>
      <c r="F2626" s="97" t="str">
        <f ca="1">IF(OR(Market_Data[[#This Row],[Start Date]]="",Market_Data[[#This Row],[Completion Date]]=""),"Needs Validation",IF(Market_Data[[#This Row],[Start Date]]&gt;TODAY(),"Planned",IF(Market_Data[[#This Row],[Completion Date]]&lt;TODAY(),"Completed","Ongoing")))</f>
        <v>Completed</v>
      </c>
      <c r="G2626" s="324">
        <v>42495</v>
      </c>
      <c r="H2626" s="324">
        <v>45076</v>
      </c>
      <c r="I2626" s="325">
        <v>12900</v>
      </c>
      <c r="J262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26" s="133">
        <f>_xlfn.XLOOKUP(Market_Data[[#This Row],[Project Type]],tbl_assumptions_market[Project Category (RERA)],tbl_assumptions_market[Concrete Intensity
(m³ / sq m BUA)],"",0)</f>
        <v>0.45</v>
      </c>
      <c r="L2626" s="134">
        <f>ROUND(Market_Data[[#This Row],[Estimated Built Up Area (sq m)]]*Market_Data[[#This Row],[Concrete Intensity
(m³ / sq m)]],0)</f>
        <v>5805</v>
      </c>
      <c r="M2626" s="135">
        <f>_xlfn.XLOOKUP(Market_Data[[#This Row],[District]],tbl_district_price[District],tbl_district_price[Standard Price
(INR/m³)],"",0)</f>
        <v>6200</v>
      </c>
      <c r="N2626" s="364">
        <f>IF(OR(Market_Data[[#This Row],[Estimated Concrete Demand (m³)]]="",Market_Data[[#This Row],[Avg Price per (₹ / m³)]]=""),"",Market_Data[[#This Row],[Estimated Concrete Demand (m³)]]*Market_Data[[#This Row],[Avg Price per (₹ / m³)]]/10000000)</f>
        <v>3.5991</v>
      </c>
      <c r="O2626" s="97" t="str">
        <f>IF(Market_Data[[#This Row],[Estimated Concrete Demand (m³)]]="","",
IF(Market_Data[[#This Row],[Estimated Concrete Demand (m³)]]&lt;10000,"Small",
IF(Market_Data[[#This Row],[Estimated Concrete Demand (m³)]]&lt;25000,"Medium",
IF(Market_Data[[#This Row],[Estimated Concrete Demand (m³)]]&lt;100000,"Large","Mega"))))</f>
        <v>Small</v>
      </c>
      <c r="P2626" s="287" t="str">
        <f t="shared" si="42"/>
        <v>GujRERA</v>
      </c>
    </row>
    <row r="2627" spans="1:16">
      <c r="A2627" s="129" t="str">
        <f>_xlfn.XLOOKUP(B2627,$S$9:$S$14,$T$9:$T$14)&amp;"-"&amp;
IF(E2627="Residential/Group Housing","RES",
IF(E2627="Commercial","COM",
IF(E2627="Mixed Development","MIX",
IF(E2627="Plotted Development","PLT","OTH"))))
&amp;"-"&amp;TEXT(COUNTIFS($B$9:B2627,B2627,$E$9:E2627,E2627),"0000")</f>
        <v>SUR-PLT-0493</v>
      </c>
      <c r="B2627" s="322" t="s">
        <v>34</v>
      </c>
      <c r="C2627" s="322" t="s">
        <v>34</v>
      </c>
      <c r="D2627" s="323" t="s">
        <v>2816</v>
      </c>
      <c r="E2627" s="132" t="s">
        <v>26</v>
      </c>
      <c r="F2627" s="97" t="str">
        <f ca="1">IF(OR(Market_Data[[#This Row],[Start Date]]="",Market_Data[[#This Row],[Completion Date]]=""),"Needs Validation",IF(Market_Data[[#This Row],[Start Date]]&gt;TODAY(),"Planned",IF(Market_Data[[#This Row],[Completion Date]]&lt;TODAY(),"Completed","Ongoing")))</f>
        <v>Ongoing</v>
      </c>
      <c r="G2627" s="324">
        <v>45910</v>
      </c>
      <c r="H2627" s="324">
        <v>46752</v>
      </c>
      <c r="I2627" s="325">
        <v>22700</v>
      </c>
      <c r="J262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27" s="133">
        <f>_xlfn.XLOOKUP(Market_Data[[#This Row],[Project Type]],tbl_assumptions_market[Project Category (RERA)],tbl_assumptions_market[Concrete Intensity
(m³ / sq m BUA)],"",0)</f>
        <v>0.18</v>
      </c>
      <c r="L2627" s="134">
        <f>ROUND(Market_Data[[#This Row],[Estimated Built Up Area (sq m)]]*Market_Data[[#This Row],[Concrete Intensity
(m³ / sq m)]],0)</f>
        <v>4086</v>
      </c>
      <c r="M2627" s="135">
        <f>_xlfn.XLOOKUP(Market_Data[[#This Row],[District]],tbl_district_price[District],tbl_district_price[Standard Price
(INR/m³)],"",0)</f>
        <v>6200</v>
      </c>
      <c r="N2627" s="364">
        <f>IF(OR(Market_Data[[#This Row],[Estimated Concrete Demand (m³)]]="",Market_Data[[#This Row],[Avg Price per (₹ / m³)]]=""),"",Market_Data[[#This Row],[Estimated Concrete Demand (m³)]]*Market_Data[[#This Row],[Avg Price per (₹ / m³)]]/10000000)</f>
        <v>2.5333199999999998</v>
      </c>
      <c r="O2627" s="97" t="str">
        <f>IF(Market_Data[[#This Row],[Estimated Concrete Demand (m³)]]="","",
IF(Market_Data[[#This Row],[Estimated Concrete Demand (m³)]]&lt;10000,"Small",
IF(Market_Data[[#This Row],[Estimated Concrete Demand (m³)]]&lt;25000,"Medium",
IF(Market_Data[[#This Row],[Estimated Concrete Demand (m³)]]&lt;100000,"Large","Mega"))))</f>
        <v>Small</v>
      </c>
      <c r="P2627" s="287" t="str">
        <f t="shared" si="42"/>
        <v>GujRERA</v>
      </c>
    </row>
    <row r="2628" spans="1:16">
      <c r="A2628" s="129" t="str">
        <f>_xlfn.XLOOKUP(B2628,$S$9:$S$14,$T$9:$T$14)&amp;"-"&amp;
IF(E2628="Residential/Group Housing","RES",
IF(E2628="Commercial","COM",
IF(E2628="Mixed Development","MIX",
IF(E2628="Plotted Development","PLT","OTH"))))
&amp;"-"&amp;TEXT(COUNTIFS($B$9:B2628,B2628,$E$9:E2628,E2628),"0000")</f>
        <v>SUR-COM-0439</v>
      </c>
      <c r="B2628" s="322" t="s">
        <v>34</v>
      </c>
      <c r="C2628" s="322" t="s">
        <v>34</v>
      </c>
      <c r="D2628" s="323" t="s">
        <v>2817</v>
      </c>
      <c r="E2628" s="132" t="s">
        <v>23</v>
      </c>
      <c r="F2628" s="97" t="str">
        <f ca="1">IF(OR(Market_Data[[#This Row],[Start Date]]="",Market_Data[[#This Row],[Completion Date]]=""),"Needs Validation",IF(Market_Data[[#This Row],[Start Date]]&gt;TODAY(),"Planned",IF(Market_Data[[#This Row],[Completion Date]]&lt;TODAY(),"Completed","Ongoing")))</f>
        <v>Completed</v>
      </c>
      <c r="G2628" s="324">
        <v>43056</v>
      </c>
      <c r="H2628" s="324">
        <v>44197</v>
      </c>
      <c r="I2628" s="325">
        <v>19100</v>
      </c>
      <c r="J262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28" s="133">
        <f>_xlfn.XLOOKUP(Market_Data[[#This Row],[Project Type]],tbl_assumptions_market[Project Category (RERA)],tbl_assumptions_market[Concrete Intensity
(m³ / sq m BUA)],"",0)</f>
        <v>0.5</v>
      </c>
      <c r="L2628" s="134">
        <f>ROUND(Market_Data[[#This Row],[Estimated Built Up Area (sq m)]]*Market_Data[[#This Row],[Concrete Intensity
(m³ / sq m)]],0)</f>
        <v>9550</v>
      </c>
      <c r="M2628" s="135">
        <f>_xlfn.XLOOKUP(Market_Data[[#This Row],[District]],tbl_district_price[District],tbl_district_price[Standard Price
(INR/m³)],"",0)</f>
        <v>6200</v>
      </c>
      <c r="N2628" s="364">
        <f>IF(OR(Market_Data[[#This Row],[Estimated Concrete Demand (m³)]]="",Market_Data[[#This Row],[Avg Price per (₹ / m³)]]=""),"",Market_Data[[#This Row],[Estimated Concrete Demand (m³)]]*Market_Data[[#This Row],[Avg Price per (₹ / m³)]]/10000000)</f>
        <v>5.9210000000000003</v>
      </c>
      <c r="O2628" s="97" t="str">
        <f>IF(Market_Data[[#This Row],[Estimated Concrete Demand (m³)]]="","",
IF(Market_Data[[#This Row],[Estimated Concrete Demand (m³)]]&lt;10000,"Small",
IF(Market_Data[[#This Row],[Estimated Concrete Demand (m³)]]&lt;25000,"Medium",
IF(Market_Data[[#This Row],[Estimated Concrete Demand (m³)]]&lt;100000,"Large","Mega"))))</f>
        <v>Small</v>
      </c>
      <c r="P2628" s="287" t="str">
        <f t="shared" si="42"/>
        <v>GujRERA</v>
      </c>
    </row>
    <row r="2629" spans="1:16">
      <c r="A2629" s="129" t="str">
        <f>_xlfn.XLOOKUP(B2629,$S$9:$S$14,$T$9:$T$14)&amp;"-"&amp;
IF(E2629="Residential/Group Housing","RES",
IF(E2629="Commercial","COM",
IF(E2629="Mixed Development","MIX",
IF(E2629="Plotted Development","PLT","OTH"))))
&amp;"-"&amp;TEXT(COUNTIFS($B$9:B2629,B2629,$E$9:E2629,E2629),"0000")</f>
        <v>SUR-PLT-0494</v>
      </c>
      <c r="B2629" s="322" t="s">
        <v>34</v>
      </c>
      <c r="C2629" s="322" t="s">
        <v>34</v>
      </c>
      <c r="D2629" s="323" t="s">
        <v>2818</v>
      </c>
      <c r="E2629" s="132" t="s">
        <v>26</v>
      </c>
      <c r="F2629" s="97" t="str">
        <f ca="1">IF(OR(Market_Data[[#This Row],[Start Date]]="",Market_Data[[#This Row],[Completion Date]]=""),"Needs Validation",IF(Market_Data[[#This Row],[Start Date]]&gt;TODAY(),"Planned",IF(Market_Data[[#This Row],[Completion Date]]&lt;TODAY(),"Completed","Ongoing")))</f>
        <v>Ongoing</v>
      </c>
      <c r="G2629" s="324">
        <v>45835</v>
      </c>
      <c r="H2629" s="324">
        <v>47848</v>
      </c>
      <c r="I2629" s="325">
        <v>50400</v>
      </c>
      <c r="J262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629" s="133">
        <f>_xlfn.XLOOKUP(Market_Data[[#This Row],[Project Type]],tbl_assumptions_market[Project Category (RERA)],tbl_assumptions_market[Concrete Intensity
(m³ / sq m BUA)],"",0)</f>
        <v>0.18</v>
      </c>
      <c r="L2629" s="134">
        <f>ROUND(Market_Data[[#This Row],[Estimated Built Up Area (sq m)]]*Market_Data[[#This Row],[Concrete Intensity
(m³ / sq m)]],0)</f>
        <v>9072</v>
      </c>
      <c r="M2629" s="135">
        <f>_xlfn.XLOOKUP(Market_Data[[#This Row],[District]],tbl_district_price[District],tbl_district_price[Standard Price
(INR/m³)],"",0)</f>
        <v>6200</v>
      </c>
      <c r="N2629" s="364">
        <f>IF(OR(Market_Data[[#This Row],[Estimated Concrete Demand (m³)]]="",Market_Data[[#This Row],[Avg Price per (₹ / m³)]]=""),"",Market_Data[[#This Row],[Estimated Concrete Demand (m³)]]*Market_Data[[#This Row],[Avg Price per (₹ / m³)]]/10000000)</f>
        <v>5.6246400000000003</v>
      </c>
      <c r="O2629" s="97" t="str">
        <f>IF(Market_Data[[#This Row],[Estimated Concrete Demand (m³)]]="","",
IF(Market_Data[[#This Row],[Estimated Concrete Demand (m³)]]&lt;10000,"Small",
IF(Market_Data[[#This Row],[Estimated Concrete Demand (m³)]]&lt;25000,"Medium",
IF(Market_Data[[#This Row],[Estimated Concrete Demand (m³)]]&lt;100000,"Large","Mega"))))</f>
        <v>Small</v>
      </c>
      <c r="P2629" s="287" t="str">
        <f t="shared" si="42"/>
        <v>GujRERA</v>
      </c>
    </row>
    <row r="2630" spans="1:16">
      <c r="A2630" s="129" t="str">
        <f>_xlfn.XLOOKUP(B2630,$S$9:$S$14,$T$9:$T$14)&amp;"-"&amp;
IF(E2630="Residential/Group Housing","RES",
IF(E2630="Commercial","COM",
IF(E2630="Mixed Development","MIX",
IF(E2630="Plotted Development","PLT","OTH"))))
&amp;"-"&amp;TEXT(COUNTIFS($B$9:B2630,B2630,$E$9:E2630,E2630),"0000")</f>
        <v>SUR-RES-0906</v>
      </c>
      <c r="B2630" s="322" t="s">
        <v>34</v>
      </c>
      <c r="C2630" s="322" t="s">
        <v>34</v>
      </c>
      <c r="D2630" s="323" t="s">
        <v>2819</v>
      </c>
      <c r="E2630" s="132" t="s">
        <v>24</v>
      </c>
      <c r="F2630" s="97" t="str">
        <f ca="1">IF(OR(Market_Data[[#This Row],[Start Date]]="",Market_Data[[#This Row],[Completion Date]]=""),"Needs Validation",IF(Market_Data[[#This Row],[Start Date]]&gt;TODAY(),"Planned",IF(Market_Data[[#This Row],[Completion Date]]&lt;TODAY(),"Completed","Ongoing")))</f>
        <v>Completed</v>
      </c>
      <c r="G2630" s="324">
        <v>43494</v>
      </c>
      <c r="H2630" s="324">
        <v>46231</v>
      </c>
      <c r="I2630" s="325">
        <v>53100</v>
      </c>
      <c r="J263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30" s="133">
        <f>_xlfn.XLOOKUP(Market_Data[[#This Row],[Project Type]],tbl_assumptions_market[Project Category (RERA)],tbl_assumptions_market[Concrete Intensity
(m³ / sq m BUA)],"",0)</f>
        <v>0.45</v>
      </c>
      <c r="L2630" s="134">
        <f>ROUND(Market_Data[[#This Row],[Estimated Built Up Area (sq m)]]*Market_Data[[#This Row],[Concrete Intensity
(m³ / sq m)]],0)</f>
        <v>23895</v>
      </c>
      <c r="M2630" s="135">
        <f>_xlfn.XLOOKUP(Market_Data[[#This Row],[District]],tbl_district_price[District],tbl_district_price[Standard Price
(INR/m³)],"",0)</f>
        <v>6200</v>
      </c>
      <c r="N2630" s="364">
        <f>IF(OR(Market_Data[[#This Row],[Estimated Concrete Demand (m³)]]="",Market_Data[[#This Row],[Avg Price per (₹ / m³)]]=""),"",Market_Data[[#This Row],[Estimated Concrete Demand (m³)]]*Market_Data[[#This Row],[Avg Price per (₹ / m³)]]/10000000)</f>
        <v>14.8149</v>
      </c>
      <c r="O2630" s="97" t="str">
        <f>IF(Market_Data[[#This Row],[Estimated Concrete Demand (m³)]]="","",
IF(Market_Data[[#This Row],[Estimated Concrete Demand (m³)]]&lt;10000,"Small",
IF(Market_Data[[#This Row],[Estimated Concrete Demand (m³)]]&lt;25000,"Medium",
IF(Market_Data[[#This Row],[Estimated Concrete Demand (m³)]]&lt;100000,"Large","Mega"))))</f>
        <v>Medium</v>
      </c>
      <c r="P2630" s="287" t="str">
        <f t="shared" si="42"/>
        <v>GujRERA</v>
      </c>
    </row>
    <row r="2631" spans="1:16">
      <c r="A2631" s="129" t="str">
        <f>_xlfn.XLOOKUP(B2631,$S$9:$S$14,$T$9:$T$14)&amp;"-"&amp;
IF(E2631="Residential/Group Housing","RES",
IF(E2631="Commercial","COM",
IF(E2631="Mixed Development","MIX",
IF(E2631="Plotted Development","PLT","OTH"))))
&amp;"-"&amp;TEXT(COUNTIFS($B$9:B2631,B2631,$E$9:E2631,E2631),"0000")</f>
        <v>SUR-PLT-0495</v>
      </c>
      <c r="B2631" s="322" t="s">
        <v>34</v>
      </c>
      <c r="C2631" s="322" t="s">
        <v>34</v>
      </c>
      <c r="D2631" s="323" t="s">
        <v>2820</v>
      </c>
      <c r="E2631" s="132" t="s">
        <v>26</v>
      </c>
      <c r="F2631" s="97" t="str">
        <f ca="1">IF(OR(Market_Data[[#This Row],[Start Date]]="",Market_Data[[#This Row],[Completion Date]]=""),"Needs Validation",IF(Market_Data[[#This Row],[Start Date]]&gt;TODAY(),"Planned",IF(Market_Data[[#This Row],[Completion Date]]&lt;TODAY(),"Completed","Ongoing")))</f>
        <v>Ongoing</v>
      </c>
      <c r="G2631" s="324">
        <v>45818</v>
      </c>
      <c r="H2631" s="324">
        <v>46387</v>
      </c>
      <c r="I2631" s="325">
        <v>41800</v>
      </c>
      <c r="J263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631" s="133">
        <f>_xlfn.XLOOKUP(Market_Data[[#This Row],[Project Type]],tbl_assumptions_market[Project Category (RERA)],tbl_assumptions_market[Concrete Intensity
(m³ / sq m BUA)],"",0)</f>
        <v>0.18</v>
      </c>
      <c r="L2631" s="134">
        <f>ROUND(Market_Data[[#This Row],[Estimated Built Up Area (sq m)]]*Market_Data[[#This Row],[Concrete Intensity
(m³ / sq m)]],0)</f>
        <v>7524</v>
      </c>
      <c r="M2631" s="135">
        <f>_xlfn.XLOOKUP(Market_Data[[#This Row],[District]],tbl_district_price[District],tbl_district_price[Standard Price
(INR/m³)],"",0)</f>
        <v>6200</v>
      </c>
      <c r="N2631" s="364">
        <f>IF(OR(Market_Data[[#This Row],[Estimated Concrete Demand (m³)]]="",Market_Data[[#This Row],[Avg Price per (₹ / m³)]]=""),"",Market_Data[[#This Row],[Estimated Concrete Demand (m³)]]*Market_Data[[#This Row],[Avg Price per (₹ / m³)]]/10000000)</f>
        <v>4.6648800000000001</v>
      </c>
      <c r="O2631" s="97" t="str">
        <f>IF(Market_Data[[#This Row],[Estimated Concrete Demand (m³)]]="","",
IF(Market_Data[[#This Row],[Estimated Concrete Demand (m³)]]&lt;10000,"Small",
IF(Market_Data[[#This Row],[Estimated Concrete Demand (m³)]]&lt;25000,"Medium",
IF(Market_Data[[#This Row],[Estimated Concrete Demand (m³)]]&lt;100000,"Large","Mega"))))</f>
        <v>Small</v>
      </c>
      <c r="P2631" s="287" t="str">
        <f t="shared" si="42"/>
        <v>GujRERA</v>
      </c>
    </row>
    <row r="2632" spans="1:16">
      <c r="A2632" s="129" t="str">
        <f>_xlfn.XLOOKUP(B2632,$S$9:$S$14,$T$9:$T$14)&amp;"-"&amp;
IF(E2632="Residential/Group Housing","RES",
IF(E2632="Commercial","COM",
IF(E2632="Mixed Development","MIX",
IF(E2632="Plotted Development","PLT","OTH"))))
&amp;"-"&amp;TEXT(COUNTIFS($B$9:B2632,B2632,$E$9:E2632,E2632),"0000")</f>
        <v>SUR-PLT-0496</v>
      </c>
      <c r="B2632" s="322" t="s">
        <v>34</v>
      </c>
      <c r="C2632" s="322" t="s">
        <v>34</v>
      </c>
      <c r="D2632" s="323" t="s">
        <v>2821</v>
      </c>
      <c r="E2632" s="132" t="s">
        <v>26</v>
      </c>
      <c r="F2632" s="97" t="str">
        <f ca="1">IF(OR(Market_Data[[#This Row],[Start Date]]="",Market_Data[[#This Row],[Completion Date]]=""),"Needs Validation",IF(Market_Data[[#This Row],[Start Date]]&gt;TODAY(),"Planned",IF(Market_Data[[#This Row],[Completion Date]]&lt;TODAY(),"Completed","Ongoing")))</f>
        <v>Ongoing</v>
      </c>
      <c r="G2632" s="324">
        <v>45595</v>
      </c>
      <c r="H2632" s="324">
        <v>47118</v>
      </c>
      <c r="I2632" s="325">
        <v>42400</v>
      </c>
      <c r="J263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632" s="133">
        <f>_xlfn.XLOOKUP(Market_Data[[#This Row],[Project Type]],tbl_assumptions_market[Project Category (RERA)],tbl_assumptions_market[Concrete Intensity
(m³ / sq m BUA)],"",0)</f>
        <v>0.18</v>
      </c>
      <c r="L2632" s="134">
        <f>ROUND(Market_Data[[#This Row],[Estimated Built Up Area (sq m)]]*Market_Data[[#This Row],[Concrete Intensity
(m³ / sq m)]],0)</f>
        <v>7632</v>
      </c>
      <c r="M2632" s="135">
        <f>_xlfn.XLOOKUP(Market_Data[[#This Row],[District]],tbl_district_price[District],tbl_district_price[Standard Price
(INR/m³)],"",0)</f>
        <v>6200</v>
      </c>
      <c r="N2632" s="364">
        <f>IF(OR(Market_Data[[#This Row],[Estimated Concrete Demand (m³)]]="",Market_Data[[#This Row],[Avg Price per (₹ / m³)]]=""),"",Market_Data[[#This Row],[Estimated Concrete Demand (m³)]]*Market_Data[[#This Row],[Avg Price per (₹ / m³)]]/10000000)</f>
        <v>4.73184</v>
      </c>
      <c r="O2632" s="97" t="str">
        <f>IF(Market_Data[[#This Row],[Estimated Concrete Demand (m³)]]="","",
IF(Market_Data[[#This Row],[Estimated Concrete Demand (m³)]]&lt;10000,"Small",
IF(Market_Data[[#This Row],[Estimated Concrete Demand (m³)]]&lt;25000,"Medium",
IF(Market_Data[[#This Row],[Estimated Concrete Demand (m³)]]&lt;100000,"Large","Mega"))))</f>
        <v>Small</v>
      </c>
      <c r="P2632" s="287" t="str">
        <f t="shared" si="42"/>
        <v>GujRERA</v>
      </c>
    </row>
    <row r="2633" spans="1:16">
      <c r="A2633" s="129" t="str">
        <f>_xlfn.XLOOKUP(B2633,$S$9:$S$14,$T$9:$T$14)&amp;"-"&amp;
IF(E2633="Residential/Group Housing","RES",
IF(E2633="Commercial","COM",
IF(E2633="Mixed Development","MIX",
IF(E2633="Plotted Development","PLT","OTH"))))
&amp;"-"&amp;TEXT(COUNTIFS($B$9:B2633,B2633,$E$9:E2633,E2633),"0000")</f>
        <v>SUR-RES-0907</v>
      </c>
      <c r="B2633" s="322" t="s">
        <v>34</v>
      </c>
      <c r="C2633" s="322" t="s">
        <v>34</v>
      </c>
      <c r="D2633" s="323" t="s">
        <v>2822</v>
      </c>
      <c r="E2633" s="132" t="s">
        <v>24</v>
      </c>
      <c r="F2633" s="97" t="str">
        <f ca="1">IF(OR(Market_Data[[#This Row],[Start Date]]="",Market_Data[[#This Row],[Completion Date]]=""),"Needs Validation",IF(Market_Data[[#This Row],[Start Date]]&gt;TODAY(),"Planned",IF(Market_Data[[#This Row],[Completion Date]]&lt;TODAY(),"Completed","Ongoing")))</f>
        <v>Ongoing</v>
      </c>
      <c r="G2633" s="324">
        <v>45036</v>
      </c>
      <c r="H2633" s="324">
        <v>46752</v>
      </c>
      <c r="I2633" s="325">
        <v>54900</v>
      </c>
      <c r="J263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33" s="133">
        <f>_xlfn.XLOOKUP(Market_Data[[#This Row],[Project Type]],tbl_assumptions_market[Project Category (RERA)],tbl_assumptions_market[Concrete Intensity
(m³ / sq m BUA)],"",0)</f>
        <v>0.45</v>
      </c>
      <c r="L2633" s="134">
        <f>ROUND(Market_Data[[#This Row],[Estimated Built Up Area (sq m)]]*Market_Data[[#This Row],[Concrete Intensity
(m³ / sq m)]],0)</f>
        <v>24705</v>
      </c>
      <c r="M2633" s="135">
        <f>_xlfn.XLOOKUP(Market_Data[[#This Row],[District]],tbl_district_price[District],tbl_district_price[Standard Price
(INR/m³)],"",0)</f>
        <v>6200</v>
      </c>
      <c r="N2633" s="364">
        <f>IF(OR(Market_Data[[#This Row],[Estimated Concrete Demand (m³)]]="",Market_Data[[#This Row],[Avg Price per (₹ / m³)]]=""),"",Market_Data[[#This Row],[Estimated Concrete Demand (m³)]]*Market_Data[[#This Row],[Avg Price per (₹ / m³)]]/10000000)</f>
        <v>15.3171</v>
      </c>
      <c r="O2633" s="97" t="str">
        <f>IF(Market_Data[[#This Row],[Estimated Concrete Demand (m³)]]="","",
IF(Market_Data[[#This Row],[Estimated Concrete Demand (m³)]]&lt;10000,"Small",
IF(Market_Data[[#This Row],[Estimated Concrete Demand (m³)]]&lt;25000,"Medium",
IF(Market_Data[[#This Row],[Estimated Concrete Demand (m³)]]&lt;100000,"Large","Mega"))))</f>
        <v>Medium</v>
      </c>
      <c r="P2633" s="287" t="str">
        <f t="shared" si="42"/>
        <v>GujRERA</v>
      </c>
    </row>
    <row r="2634" spans="1:16">
      <c r="A2634" s="129" t="str">
        <f>_xlfn.XLOOKUP(B2634,$S$9:$S$14,$T$9:$T$14)&amp;"-"&amp;
IF(E2634="Residential/Group Housing","RES",
IF(E2634="Commercial","COM",
IF(E2634="Mixed Development","MIX",
IF(E2634="Plotted Development","PLT","OTH"))))
&amp;"-"&amp;TEXT(COUNTIFS($B$9:B2634,B2634,$E$9:E2634,E2634),"0000")</f>
        <v>SUR-RES-0908</v>
      </c>
      <c r="B2634" s="322" t="s">
        <v>34</v>
      </c>
      <c r="C2634" s="322" t="s">
        <v>34</v>
      </c>
      <c r="D2634" s="323" t="s">
        <v>2823</v>
      </c>
      <c r="E2634" s="132" t="s">
        <v>24</v>
      </c>
      <c r="F2634" s="97" t="str">
        <f ca="1">IF(OR(Market_Data[[#This Row],[Start Date]]="",Market_Data[[#This Row],[Completion Date]]=""),"Needs Validation",IF(Market_Data[[#This Row],[Start Date]]&gt;TODAY(),"Planned",IF(Market_Data[[#This Row],[Completion Date]]&lt;TODAY(),"Completed","Ongoing")))</f>
        <v>Completed</v>
      </c>
      <c r="G2634" s="324">
        <v>44068</v>
      </c>
      <c r="H2634" s="324">
        <v>45747</v>
      </c>
      <c r="I2634" s="325">
        <v>5600</v>
      </c>
      <c r="J263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34" s="133">
        <f>_xlfn.XLOOKUP(Market_Data[[#This Row],[Project Type]],tbl_assumptions_market[Project Category (RERA)],tbl_assumptions_market[Concrete Intensity
(m³ / sq m BUA)],"",0)</f>
        <v>0.45</v>
      </c>
      <c r="L2634" s="134">
        <f>ROUND(Market_Data[[#This Row],[Estimated Built Up Area (sq m)]]*Market_Data[[#This Row],[Concrete Intensity
(m³ / sq m)]],0)</f>
        <v>2520</v>
      </c>
      <c r="M2634" s="135">
        <f>_xlfn.XLOOKUP(Market_Data[[#This Row],[District]],tbl_district_price[District],tbl_district_price[Standard Price
(INR/m³)],"",0)</f>
        <v>6200</v>
      </c>
      <c r="N2634" s="364">
        <f>IF(OR(Market_Data[[#This Row],[Estimated Concrete Demand (m³)]]="",Market_Data[[#This Row],[Avg Price per (₹ / m³)]]=""),"",Market_Data[[#This Row],[Estimated Concrete Demand (m³)]]*Market_Data[[#This Row],[Avg Price per (₹ / m³)]]/10000000)</f>
        <v>1.5624</v>
      </c>
      <c r="O2634" s="97" t="str">
        <f>IF(Market_Data[[#This Row],[Estimated Concrete Demand (m³)]]="","",
IF(Market_Data[[#This Row],[Estimated Concrete Demand (m³)]]&lt;10000,"Small",
IF(Market_Data[[#This Row],[Estimated Concrete Demand (m³)]]&lt;25000,"Medium",
IF(Market_Data[[#This Row],[Estimated Concrete Demand (m³)]]&lt;100000,"Large","Mega"))))</f>
        <v>Small</v>
      </c>
      <c r="P2634" s="287" t="str">
        <f t="shared" ref="P2634:P2697" si="43">HYPERLINK(
"https://gujrera.gujarat.gov.in",
"GujRERA")</f>
        <v>GujRERA</v>
      </c>
    </row>
    <row r="2635" spans="1:16">
      <c r="A2635" s="129" t="str">
        <f>_xlfn.XLOOKUP(B2635,$S$9:$S$14,$T$9:$T$14)&amp;"-"&amp;
IF(E2635="Residential/Group Housing","RES",
IF(E2635="Commercial","COM",
IF(E2635="Mixed Development","MIX",
IF(E2635="Plotted Development","PLT","OTH"))))
&amp;"-"&amp;TEXT(COUNTIFS($B$9:B2635,B2635,$E$9:E2635,E2635),"0000")</f>
        <v>SUR-COM-0440</v>
      </c>
      <c r="B2635" s="322" t="s">
        <v>34</v>
      </c>
      <c r="C2635" s="322" t="s">
        <v>34</v>
      </c>
      <c r="D2635" s="323" t="s">
        <v>2824</v>
      </c>
      <c r="E2635" s="132" t="s">
        <v>23</v>
      </c>
      <c r="F2635" s="97" t="str">
        <f ca="1">IF(OR(Market_Data[[#This Row],[Start Date]]="",Market_Data[[#This Row],[Completion Date]]=""),"Needs Validation",IF(Market_Data[[#This Row],[Start Date]]&gt;TODAY(),"Planned",IF(Market_Data[[#This Row],[Completion Date]]&lt;TODAY(),"Completed","Ongoing")))</f>
        <v>Completed</v>
      </c>
      <c r="G2635" s="324">
        <v>42539</v>
      </c>
      <c r="H2635" s="324">
        <v>44548</v>
      </c>
      <c r="I2635" s="325">
        <v>5700</v>
      </c>
      <c r="J263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35" s="133">
        <f>_xlfn.XLOOKUP(Market_Data[[#This Row],[Project Type]],tbl_assumptions_market[Project Category (RERA)],tbl_assumptions_market[Concrete Intensity
(m³ / sq m BUA)],"",0)</f>
        <v>0.5</v>
      </c>
      <c r="L2635" s="134">
        <f>ROUND(Market_Data[[#This Row],[Estimated Built Up Area (sq m)]]*Market_Data[[#This Row],[Concrete Intensity
(m³ / sq m)]],0)</f>
        <v>2850</v>
      </c>
      <c r="M2635" s="135">
        <f>_xlfn.XLOOKUP(Market_Data[[#This Row],[District]],tbl_district_price[District],tbl_district_price[Standard Price
(INR/m³)],"",0)</f>
        <v>6200</v>
      </c>
      <c r="N2635" s="364">
        <f>IF(OR(Market_Data[[#This Row],[Estimated Concrete Demand (m³)]]="",Market_Data[[#This Row],[Avg Price per (₹ / m³)]]=""),"",Market_Data[[#This Row],[Estimated Concrete Demand (m³)]]*Market_Data[[#This Row],[Avg Price per (₹ / m³)]]/10000000)</f>
        <v>1.7669999999999999</v>
      </c>
      <c r="O2635" s="97" t="str">
        <f>IF(Market_Data[[#This Row],[Estimated Concrete Demand (m³)]]="","",
IF(Market_Data[[#This Row],[Estimated Concrete Demand (m³)]]&lt;10000,"Small",
IF(Market_Data[[#This Row],[Estimated Concrete Demand (m³)]]&lt;25000,"Medium",
IF(Market_Data[[#This Row],[Estimated Concrete Demand (m³)]]&lt;100000,"Large","Mega"))))</f>
        <v>Small</v>
      </c>
      <c r="P2635" s="287" t="str">
        <f t="shared" si="43"/>
        <v>GujRERA</v>
      </c>
    </row>
    <row r="2636" spans="1:16">
      <c r="A2636" s="129" t="str">
        <f>_xlfn.XLOOKUP(B2636,$S$9:$S$14,$T$9:$T$14)&amp;"-"&amp;
IF(E2636="Residential/Group Housing","RES",
IF(E2636="Commercial","COM",
IF(E2636="Mixed Development","MIX",
IF(E2636="Plotted Development","PLT","OTH"))))
&amp;"-"&amp;TEXT(COUNTIFS($B$9:B2636,B2636,$E$9:E2636,E2636),"0000")</f>
        <v>SUR-COM-0441</v>
      </c>
      <c r="B2636" s="322" t="s">
        <v>34</v>
      </c>
      <c r="C2636" s="322" t="s">
        <v>34</v>
      </c>
      <c r="D2636" s="323" t="s">
        <v>2825</v>
      </c>
      <c r="E2636" s="132" t="s">
        <v>23</v>
      </c>
      <c r="F2636" s="97" t="str">
        <f ca="1">IF(OR(Market_Data[[#This Row],[Start Date]]="",Market_Data[[#This Row],[Completion Date]]=""),"Needs Validation",IF(Market_Data[[#This Row],[Start Date]]&gt;TODAY(),"Planned",IF(Market_Data[[#This Row],[Completion Date]]&lt;TODAY(),"Completed","Ongoing")))</f>
        <v>Completed</v>
      </c>
      <c r="G2636" s="324">
        <v>42999</v>
      </c>
      <c r="H2636" s="324">
        <v>43910</v>
      </c>
      <c r="I2636" s="325">
        <v>6500</v>
      </c>
      <c r="J263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36" s="133">
        <f>_xlfn.XLOOKUP(Market_Data[[#This Row],[Project Type]],tbl_assumptions_market[Project Category (RERA)],tbl_assumptions_market[Concrete Intensity
(m³ / sq m BUA)],"",0)</f>
        <v>0.5</v>
      </c>
      <c r="L2636" s="134">
        <f>ROUND(Market_Data[[#This Row],[Estimated Built Up Area (sq m)]]*Market_Data[[#This Row],[Concrete Intensity
(m³ / sq m)]],0)</f>
        <v>3250</v>
      </c>
      <c r="M2636" s="135">
        <f>_xlfn.XLOOKUP(Market_Data[[#This Row],[District]],tbl_district_price[District],tbl_district_price[Standard Price
(INR/m³)],"",0)</f>
        <v>6200</v>
      </c>
      <c r="N2636" s="364">
        <f>IF(OR(Market_Data[[#This Row],[Estimated Concrete Demand (m³)]]="",Market_Data[[#This Row],[Avg Price per (₹ / m³)]]=""),"",Market_Data[[#This Row],[Estimated Concrete Demand (m³)]]*Market_Data[[#This Row],[Avg Price per (₹ / m³)]]/10000000)</f>
        <v>2.0150000000000001</v>
      </c>
      <c r="O2636" s="97" t="str">
        <f>IF(Market_Data[[#This Row],[Estimated Concrete Demand (m³)]]="","",
IF(Market_Data[[#This Row],[Estimated Concrete Demand (m³)]]&lt;10000,"Small",
IF(Market_Data[[#This Row],[Estimated Concrete Demand (m³)]]&lt;25000,"Medium",
IF(Market_Data[[#This Row],[Estimated Concrete Demand (m³)]]&lt;100000,"Large","Mega"))))</f>
        <v>Small</v>
      </c>
      <c r="P2636" s="287" t="str">
        <f t="shared" si="43"/>
        <v>GujRERA</v>
      </c>
    </row>
    <row r="2637" spans="1:16">
      <c r="A2637" s="129" t="str">
        <f>_xlfn.XLOOKUP(B2637,$S$9:$S$14,$T$9:$T$14)&amp;"-"&amp;
IF(E2637="Residential/Group Housing","RES",
IF(E2637="Commercial","COM",
IF(E2637="Mixed Development","MIX",
IF(E2637="Plotted Development","PLT","OTH"))))
&amp;"-"&amp;TEXT(COUNTIFS($B$9:B2637,B2637,$E$9:E2637,E2637),"0000")</f>
        <v>SUR-PLT-0497</v>
      </c>
      <c r="B2637" s="322" t="s">
        <v>34</v>
      </c>
      <c r="C2637" s="322" t="s">
        <v>34</v>
      </c>
      <c r="D2637" s="323" t="s">
        <v>2826</v>
      </c>
      <c r="E2637" s="132" t="s">
        <v>26</v>
      </c>
      <c r="F2637" s="97" t="str">
        <f ca="1">IF(OR(Market_Data[[#This Row],[Start Date]]="",Market_Data[[#This Row],[Completion Date]]=""),"Needs Validation",IF(Market_Data[[#This Row],[Start Date]]&gt;TODAY(),"Planned",IF(Market_Data[[#This Row],[Completion Date]]&lt;TODAY(),"Completed","Ongoing")))</f>
        <v>Ongoing</v>
      </c>
      <c r="G2637" s="324">
        <v>44823</v>
      </c>
      <c r="H2637" s="324">
        <v>46752</v>
      </c>
      <c r="I2637" s="325">
        <v>40500</v>
      </c>
      <c r="J263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637" s="133">
        <f>_xlfn.XLOOKUP(Market_Data[[#This Row],[Project Type]],tbl_assumptions_market[Project Category (RERA)],tbl_assumptions_market[Concrete Intensity
(m³ / sq m BUA)],"",0)</f>
        <v>0.18</v>
      </c>
      <c r="L2637" s="134">
        <f>ROUND(Market_Data[[#This Row],[Estimated Built Up Area (sq m)]]*Market_Data[[#This Row],[Concrete Intensity
(m³ / sq m)]],0)</f>
        <v>7290</v>
      </c>
      <c r="M2637" s="135">
        <f>_xlfn.XLOOKUP(Market_Data[[#This Row],[District]],tbl_district_price[District],tbl_district_price[Standard Price
(INR/m³)],"",0)</f>
        <v>6200</v>
      </c>
      <c r="N2637" s="364">
        <f>IF(OR(Market_Data[[#This Row],[Estimated Concrete Demand (m³)]]="",Market_Data[[#This Row],[Avg Price per (₹ / m³)]]=""),"",Market_Data[[#This Row],[Estimated Concrete Demand (m³)]]*Market_Data[[#This Row],[Avg Price per (₹ / m³)]]/10000000)</f>
        <v>4.5198</v>
      </c>
      <c r="O2637" s="97" t="str">
        <f>IF(Market_Data[[#This Row],[Estimated Concrete Demand (m³)]]="","",
IF(Market_Data[[#This Row],[Estimated Concrete Demand (m³)]]&lt;10000,"Small",
IF(Market_Data[[#This Row],[Estimated Concrete Demand (m³)]]&lt;25000,"Medium",
IF(Market_Data[[#This Row],[Estimated Concrete Demand (m³)]]&lt;100000,"Large","Mega"))))</f>
        <v>Small</v>
      </c>
      <c r="P2637" s="287" t="str">
        <f t="shared" si="43"/>
        <v>GujRERA</v>
      </c>
    </row>
    <row r="2638" spans="1:16">
      <c r="A2638" s="129" t="str">
        <f>_xlfn.XLOOKUP(B2638,$S$9:$S$14,$T$9:$T$14)&amp;"-"&amp;
IF(E2638="Residential/Group Housing","RES",
IF(E2638="Commercial","COM",
IF(E2638="Mixed Development","MIX",
IF(E2638="Plotted Development","PLT","OTH"))))
&amp;"-"&amp;TEXT(COUNTIFS($B$9:B2638,B2638,$E$9:E2638,E2638),"0000")</f>
        <v>SUR-COM-0442</v>
      </c>
      <c r="B2638" s="322" t="s">
        <v>34</v>
      </c>
      <c r="C2638" s="322" t="s">
        <v>34</v>
      </c>
      <c r="D2638" s="323" t="s">
        <v>2827</v>
      </c>
      <c r="E2638" s="132" t="s">
        <v>23</v>
      </c>
      <c r="F2638" s="97" t="str">
        <f ca="1">IF(OR(Market_Data[[#This Row],[Start Date]]="",Market_Data[[#This Row],[Completion Date]]=""),"Needs Validation",IF(Market_Data[[#This Row],[Start Date]]&gt;TODAY(),"Planned",IF(Market_Data[[#This Row],[Completion Date]]&lt;TODAY(),"Completed","Ongoing")))</f>
        <v>Ongoing</v>
      </c>
      <c r="G2638" s="324">
        <v>45903</v>
      </c>
      <c r="H2638" s="324">
        <v>47483</v>
      </c>
      <c r="I2638" s="325">
        <v>4200</v>
      </c>
      <c r="J263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38" s="133">
        <f>_xlfn.XLOOKUP(Market_Data[[#This Row],[Project Type]],tbl_assumptions_market[Project Category (RERA)],tbl_assumptions_market[Concrete Intensity
(m³ / sq m BUA)],"",0)</f>
        <v>0.5</v>
      </c>
      <c r="L2638" s="134">
        <f>ROUND(Market_Data[[#This Row],[Estimated Built Up Area (sq m)]]*Market_Data[[#This Row],[Concrete Intensity
(m³ / sq m)]],0)</f>
        <v>2100</v>
      </c>
      <c r="M2638" s="135">
        <f>_xlfn.XLOOKUP(Market_Data[[#This Row],[District]],tbl_district_price[District],tbl_district_price[Standard Price
(INR/m³)],"",0)</f>
        <v>6200</v>
      </c>
      <c r="N2638" s="364">
        <f>IF(OR(Market_Data[[#This Row],[Estimated Concrete Demand (m³)]]="",Market_Data[[#This Row],[Avg Price per (₹ / m³)]]=""),"",Market_Data[[#This Row],[Estimated Concrete Demand (m³)]]*Market_Data[[#This Row],[Avg Price per (₹ / m³)]]/10000000)</f>
        <v>1.302</v>
      </c>
      <c r="O2638" s="97" t="str">
        <f>IF(Market_Data[[#This Row],[Estimated Concrete Demand (m³)]]="","",
IF(Market_Data[[#This Row],[Estimated Concrete Demand (m³)]]&lt;10000,"Small",
IF(Market_Data[[#This Row],[Estimated Concrete Demand (m³)]]&lt;25000,"Medium",
IF(Market_Data[[#This Row],[Estimated Concrete Demand (m³)]]&lt;100000,"Large","Mega"))))</f>
        <v>Small</v>
      </c>
      <c r="P2638" s="287" t="str">
        <f t="shared" si="43"/>
        <v>GujRERA</v>
      </c>
    </row>
    <row r="2639" spans="1:16">
      <c r="A2639" s="129" t="str">
        <f>_xlfn.XLOOKUP(B2639,$S$9:$S$14,$T$9:$T$14)&amp;"-"&amp;
IF(E2639="Residential/Group Housing","RES",
IF(E2639="Commercial","COM",
IF(E2639="Mixed Development","MIX",
IF(E2639="Plotted Development","PLT","OTH"))))
&amp;"-"&amp;TEXT(COUNTIFS($B$9:B2639,B2639,$E$9:E2639,E2639),"0000")</f>
        <v>SUR-RES-0909</v>
      </c>
      <c r="B2639" s="322" t="s">
        <v>34</v>
      </c>
      <c r="C2639" s="322" t="s">
        <v>34</v>
      </c>
      <c r="D2639" s="323" t="s">
        <v>2828</v>
      </c>
      <c r="E2639" s="132" t="s">
        <v>24</v>
      </c>
      <c r="F2639" s="97" t="str">
        <f ca="1">IF(OR(Market_Data[[#This Row],[Start Date]]="",Market_Data[[#This Row],[Completion Date]]=""),"Needs Validation",IF(Market_Data[[#This Row],[Start Date]]&gt;TODAY(),"Planned",IF(Market_Data[[#This Row],[Completion Date]]&lt;TODAY(),"Completed","Ongoing")))</f>
        <v>Ongoing</v>
      </c>
      <c r="G2639" s="324">
        <v>45033</v>
      </c>
      <c r="H2639" s="324">
        <v>47118</v>
      </c>
      <c r="I2639" s="325">
        <v>44800</v>
      </c>
      <c r="J263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39" s="133">
        <f>_xlfn.XLOOKUP(Market_Data[[#This Row],[Project Type]],tbl_assumptions_market[Project Category (RERA)],tbl_assumptions_market[Concrete Intensity
(m³ / sq m BUA)],"",0)</f>
        <v>0.45</v>
      </c>
      <c r="L2639" s="134">
        <f>ROUND(Market_Data[[#This Row],[Estimated Built Up Area (sq m)]]*Market_Data[[#This Row],[Concrete Intensity
(m³ / sq m)]],0)</f>
        <v>20160</v>
      </c>
      <c r="M2639" s="135">
        <f>_xlfn.XLOOKUP(Market_Data[[#This Row],[District]],tbl_district_price[District],tbl_district_price[Standard Price
(INR/m³)],"",0)</f>
        <v>6200</v>
      </c>
      <c r="N2639" s="364">
        <f>IF(OR(Market_Data[[#This Row],[Estimated Concrete Demand (m³)]]="",Market_Data[[#This Row],[Avg Price per (₹ / m³)]]=""),"",Market_Data[[#This Row],[Estimated Concrete Demand (m³)]]*Market_Data[[#This Row],[Avg Price per (₹ / m³)]]/10000000)</f>
        <v>12.4992</v>
      </c>
      <c r="O2639" s="97" t="str">
        <f>IF(Market_Data[[#This Row],[Estimated Concrete Demand (m³)]]="","",
IF(Market_Data[[#This Row],[Estimated Concrete Demand (m³)]]&lt;10000,"Small",
IF(Market_Data[[#This Row],[Estimated Concrete Demand (m³)]]&lt;25000,"Medium",
IF(Market_Data[[#This Row],[Estimated Concrete Demand (m³)]]&lt;100000,"Large","Mega"))))</f>
        <v>Medium</v>
      </c>
      <c r="P2639" s="287" t="str">
        <f t="shared" si="43"/>
        <v>GujRERA</v>
      </c>
    </row>
    <row r="2640" spans="1:16">
      <c r="A2640" s="129" t="str">
        <f>_xlfn.XLOOKUP(B2640,$S$9:$S$14,$T$9:$T$14)&amp;"-"&amp;
IF(E2640="Residential/Group Housing","RES",
IF(E2640="Commercial","COM",
IF(E2640="Mixed Development","MIX",
IF(E2640="Plotted Development","PLT","OTH"))))
&amp;"-"&amp;TEXT(COUNTIFS($B$9:B2640,B2640,$E$9:E2640,E2640),"0000")</f>
        <v>SUR-MIX-0474</v>
      </c>
      <c r="B2640" s="322" t="s">
        <v>34</v>
      </c>
      <c r="C2640" s="322" t="s">
        <v>34</v>
      </c>
      <c r="D2640" s="323" t="s">
        <v>2829</v>
      </c>
      <c r="E2640" s="132" t="s">
        <v>25</v>
      </c>
      <c r="F2640" s="97" t="str">
        <f ca="1">IF(OR(Market_Data[[#This Row],[Start Date]]="",Market_Data[[#This Row],[Completion Date]]=""),"Needs Validation",IF(Market_Data[[#This Row],[Start Date]]&gt;TODAY(),"Planned",IF(Market_Data[[#This Row],[Completion Date]]&lt;TODAY(),"Completed","Ongoing")))</f>
        <v>Completed</v>
      </c>
      <c r="G2640" s="324">
        <v>44200</v>
      </c>
      <c r="H2640" s="324">
        <v>46022</v>
      </c>
      <c r="I2640" s="325">
        <v>41100</v>
      </c>
      <c r="J264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40" s="133">
        <f>_xlfn.XLOOKUP(Market_Data[[#This Row],[Project Type]],tbl_assumptions_market[Project Category (RERA)],tbl_assumptions_market[Concrete Intensity
(m³ / sq m BUA)],"",0)</f>
        <v>0.42</v>
      </c>
      <c r="L2640" s="134">
        <f>ROUND(Market_Data[[#This Row],[Estimated Built Up Area (sq m)]]*Market_Data[[#This Row],[Concrete Intensity
(m³ / sq m)]],0)</f>
        <v>17262</v>
      </c>
      <c r="M2640" s="135">
        <f>_xlfn.XLOOKUP(Market_Data[[#This Row],[District]],tbl_district_price[District],tbl_district_price[Standard Price
(INR/m³)],"",0)</f>
        <v>6200</v>
      </c>
      <c r="N2640" s="364">
        <f>IF(OR(Market_Data[[#This Row],[Estimated Concrete Demand (m³)]]="",Market_Data[[#This Row],[Avg Price per (₹ / m³)]]=""),"",Market_Data[[#This Row],[Estimated Concrete Demand (m³)]]*Market_Data[[#This Row],[Avg Price per (₹ / m³)]]/10000000)</f>
        <v>10.702439999999999</v>
      </c>
      <c r="O2640" s="97" t="str">
        <f>IF(Market_Data[[#This Row],[Estimated Concrete Demand (m³)]]="","",
IF(Market_Data[[#This Row],[Estimated Concrete Demand (m³)]]&lt;10000,"Small",
IF(Market_Data[[#This Row],[Estimated Concrete Demand (m³)]]&lt;25000,"Medium",
IF(Market_Data[[#This Row],[Estimated Concrete Demand (m³)]]&lt;100000,"Large","Mega"))))</f>
        <v>Medium</v>
      </c>
      <c r="P2640" s="287" t="str">
        <f t="shared" si="43"/>
        <v>GujRERA</v>
      </c>
    </row>
    <row r="2641" spans="1:16">
      <c r="A2641" s="129" t="str">
        <f>_xlfn.XLOOKUP(B2641,$S$9:$S$14,$T$9:$T$14)&amp;"-"&amp;
IF(E2641="Residential/Group Housing","RES",
IF(E2641="Commercial","COM",
IF(E2641="Mixed Development","MIX",
IF(E2641="Plotted Development","PLT","OTH"))))
&amp;"-"&amp;TEXT(COUNTIFS($B$9:B2641,B2641,$E$9:E2641,E2641),"0000")</f>
        <v>SUR-RES-0910</v>
      </c>
      <c r="B2641" s="322" t="s">
        <v>34</v>
      </c>
      <c r="C2641" s="322" t="s">
        <v>34</v>
      </c>
      <c r="D2641" s="323" t="s">
        <v>2830</v>
      </c>
      <c r="E2641" s="132" t="s">
        <v>24</v>
      </c>
      <c r="F2641" s="97" t="str">
        <f ca="1">IF(OR(Market_Data[[#This Row],[Start Date]]="",Market_Data[[#This Row],[Completion Date]]=""),"Needs Validation",IF(Market_Data[[#This Row],[Start Date]]&gt;TODAY(),"Planned",IF(Market_Data[[#This Row],[Completion Date]]&lt;TODAY(),"Completed","Ongoing")))</f>
        <v>Ongoing</v>
      </c>
      <c r="G2641" s="324">
        <v>45845</v>
      </c>
      <c r="H2641" s="324">
        <v>48213</v>
      </c>
      <c r="I2641" s="325">
        <v>41000</v>
      </c>
      <c r="J264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41" s="133">
        <f>_xlfn.XLOOKUP(Market_Data[[#This Row],[Project Type]],tbl_assumptions_market[Project Category (RERA)],tbl_assumptions_market[Concrete Intensity
(m³ / sq m BUA)],"",0)</f>
        <v>0.45</v>
      </c>
      <c r="L2641" s="134">
        <f>ROUND(Market_Data[[#This Row],[Estimated Built Up Area (sq m)]]*Market_Data[[#This Row],[Concrete Intensity
(m³ / sq m)]],0)</f>
        <v>18450</v>
      </c>
      <c r="M2641" s="135">
        <f>_xlfn.XLOOKUP(Market_Data[[#This Row],[District]],tbl_district_price[District],tbl_district_price[Standard Price
(INR/m³)],"",0)</f>
        <v>6200</v>
      </c>
      <c r="N2641" s="364">
        <f>IF(OR(Market_Data[[#This Row],[Estimated Concrete Demand (m³)]]="",Market_Data[[#This Row],[Avg Price per (₹ / m³)]]=""),"",Market_Data[[#This Row],[Estimated Concrete Demand (m³)]]*Market_Data[[#This Row],[Avg Price per (₹ / m³)]]/10000000)</f>
        <v>11.439</v>
      </c>
      <c r="O2641" s="97" t="str">
        <f>IF(Market_Data[[#This Row],[Estimated Concrete Demand (m³)]]="","",
IF(Market_Data[[#This Row],[Estimated Concrete Demand (m³)]]&lt;10000,"Small",
IF(Market_Data[[#This Row],[Estimated Concrete Demand (m³)]]&lt;25000,"Medium",
IF(Market_Data[[#This Row],[Estimated Concrete Demand (m³)]]&lt;100000,"Large","Mega"))))</f>
        <v>Medium</v>
      </c>
      <c r="P2641" s="287" t="str">
        <f t="shared" si="43"/>
        <v>GujRERA</v>
      </c>
    </row>
    <row r="2642" spans="1:16">
      <c r="A2642" s="129" t="str">
        <f>_xlfn.XLOOKUP(B2642,$S$9:$S$14,$T$9:$T$14)&amp;"-"&amp;
IF(E2642="Residential/Group Housing","RES",
IF(E2642="Commercial","COM",
IF(E2642="Mixed Development","MIX",
IF(E2642="Plotted Development","PLT","OTH"))))
&amp;"-"&amp;TEXT(COUNTIFS($B$9:B2642,B2642,$E$9:E2642,E2642),"0000")</f>
        <v>SUR-PLT-0498</v>
      </c>
      <c r="B2642" s="322" t="s">
        <v>34</v>
      </c>
      <c r="C2642" s="322" t="s">
        <v>34</v>
      </c>
      <c r="D2642" s="323" t="s">
        <v>2831</v>
      </c>
      <c r="E2642" s="132" t="s">
        <v>26</v>
      </c>
      <c r="F2642" s="97" t="str">
        <f ca="1">IF(OR(Market_Data[[#This Row],[Start Date]]="",Market_Data[[#This Row],[Completion Date]]=""),"Needs Validation",IF(Market_Data[[#This Row],[Start Date]]&gt;TODAY(),"Planned",IF(Market_Data[[#This Row],[Completion Date]]&lt;TODAY(),"Completed","Ongoing")))</f>
        <v>Ongoing</v>
      </c>
      <c r="G2642" s="324">
        <v>45260</v>
      </c>
      <c r="H2642" s="324">
        <v>46752</v>
      </c>
      <c r="I2642" s="325">
        <v>30500</v>
      </c>
      <c r="J264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642" s="133">
        <f>_xlfn.XLOOKUP(Market_Data[[#This Row],[Project Type]],tbl_assumptions_market[Project Category (RERA)],tbl_assumptions_market[Concrete Intensity
(m³ / sq m BUA)],"",0)</f>
        <v>0.18</v>
      </c>
      <c r="L2642" s="134">
        <f>ROUND(Market_Data[[#This Row],[Estimated Built Up Area (sq m)]]*Market_Data[[#This Row],[Concrete Intensity
(m³ / sq m)]],0)</f>
        <v>5490</v>
      </c>
      <c r="M2642" s="135">
        <f>_xlfn.XLOOKUP(Market_Data[[#This Row],[District]],tbl_district_price[District],tbl_district_price[Standard Price
(INR/m³)],"",0)</f>
        <v>6200</v>
      </c>
      <c r="N2642" s="364">
        <f>IF(OR(Market_Data[[#This Row],[Estimated Concrete Demand (m³)]]="",Market_Data[[#This Row],[Avg Price per (₹ / m³)]]=""),"",Market_Data[[#This Row],[Estimated Concrete Demand (m³)]]*Market_Data[[#This Row],[Avg Price per (₹ / m³)]]/10000000)</f>
        <v>3.4037999999999999</v>
      </c>
      <c r="O2642" s="97" t="str">
        <f>IF(Market_Data[[#This Row],[Estimated Concrete Demand (m³)]]="","",
IF(Market_Data[[#This Row],[Estimated Concrete Demand (m³)]]&lt;10000,"Small",
IF(Market_Data[[#This Row],[Estimated Concrete Demand (m³)]]&lt;25000,"Medium",
IF(Market_Data[[#This Row],[Estimated Concrete Demand (m³)]]&lt;100000,"Large","Mega"))))</f>
        <v>Small</v>
      </c>
      <c r="P2642" s="287" t="str">
        <f t="shared" si="43"/>
        <v>GujRERA</v>
      </c>
    </row>
    <row r="2643" spans="1:16">
      <c r="A2643" s="129" t="str">
        <f>_xlfn.XLOOKUP(B2643,$S$9:$S$14,$T$9:$T$14)&amp;"-"&amp;
IF(E2643="Residential/Group Housing","RES",
IF(E2643="Commercial","COM",
IF(E2643="Mixed Development","MIX",
IF(E2643="Plotted Development","PLT","OTH"))))
&amp;"-"&amp;TEXT(COUNTIFS($B$9:B2643,B2643,$E$9:E2643,E2643),"0000")</f>
        <v>SUR-MIX-0475</v>
      </c>
      <c r="B2643" s="322" t="s">
        <v>34</v>
      </c>
      <c r="C2643" s="322" t="s">
        <v>34</v>
      </c>
      <c r="D2643" s="323" t="s">
        <v>2832</v>
      </c>
      <c r="E2643" s="132" t="s">
        <v>25</v>
      </c>
      <c r="F2643" s="97" t="str">
        <f ca="1">IF(OR(Market_Data[[#This Row],[Start Date]]="",Market_Data[[#This Row],[Completion Date]]=""),"Needs Validation",IF(Market_Data[[#This Row],[Start Date]]&gt;TODAY(),"Planned",IF(Market_Data[[#This Row],[Completion Date]]&lt;TODAY(),"Completed","Ongoing")))</f>
        <v>Completed</v>
      </c>
      <c r="G2643" s="324">
        <v>42968</v>
      </c>
      <c r="H2643" s="324">
        <v>43830</v>
      </c>
      <c r="I2643" s="325">
        <v>85100</v>
      </c>
      <c r="J264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43" s="133">
        <f>_xlfn.XLOOKUP(Market_Data[[#This Row],[Project Type]],tbl_assumptions_market[Project Category (RERA)],tbl_assumptions_market[Concrete Intensity
(m³ / sq m BUA)],"",0)</f>
        <v>0.42</v>
      </c>
      <c r="L2643" s="134">
        <f>ROUND(Market_Data[[#This Row],[Estimated Built Up Area (sq m)]]*Market_Data[[#This Row],[Concrete Intensity
(m³ / sq m)]],0)</f>
        <v>35742</v>
      </c>
      <c r="M2643" s="135">
        <f>_xlfn.XLOOKUP(Market_Data[[#This Row],[District]],tbl_district_price[District],tbl_district_price[Standard Price
(INR/m³)],"",0)</f>
        <v>6200</v>
      </c>
      <c r="N2643" s="364">
        <f>IF(OR(Market_Data[[#This Row],[Estimated Concrete Demand (m³)]]="",Market_Data[[#This Row],[Avg Price per (₹ / m³)]]=""),"",Market_Data[[#This Row],[Estimated Concrete Demand (m³)]]*Market_Data[[#This Row],[Avg Price per (₹ / m³)]]/10000000)</f>
        <v>22.160039999999999</v>
      </c>
      <c r="O2643" s="97" t="str">
        <f>IF(Market_Data[[#This Row],[Estimated Concrete Demand (m³)]]="","",
IF(Market_Data[[#This Row],[Estimated Concrete Demand (m³)]]&lt;10000,"Small",
IF(Market_Data[[#This Row],[Estimated Concrete Demand (m³)]]&lt;25000,"Medium",
IF(Market_Data[[#This Row],[Estimated Concrete Demand (m³)]]&lt;100000,"Large","Mega"))))</f>
        <v>Large</v>
      </c>
      <c r="P2643" s="287" t="str">
        <f t="shared" si="43"/>
        <v>GujRERA</v>
      </c>
    </row>
    <row r="2644" spans="1:16">
      <c r="A2644" s="129" t="str">
        <f>_xlfn.XLOOKUP(B2644,$S$9:$S$14,$T$9:$T$14)&amp;"-"&amp;
IF(E2644="Residential/Group Housing","RES",
IF(E2644="Commercial","COM",
IF(E2644="Mixed Development","MIX",
IF(E2644="Plotted Development","PLT","OTH"))))
&amp;"-"&amp;TEXT(COUNTIFS($B$9:B2644,B2644,$E$9:E2644,E2644),"0000")</f>
        <v>SUR-COM-0443</v>
      </c>
      <c r="B2644" s="322" t="s">
        <v>34</v>
      </c>
      <c r="C2644" s="322" t="s">
        <v>34</v>
      </c>
      <c r="D2644" s="323" t="s">
        <v>2833</v>
      </c>
      <c r="E2644" s="132" t="s">
        <v>23</v>
      </c>
      <c r="F2644" s="97" t="str">
        <f ca="1">IF(OR(Market_Data[[#This Row],[Start Date]]="",Market_Data[[#This Row],[Completion Date]]=""),"Needs Validation",IF(Market_Data[[#This Row],[Start Date]]&gt;TODAY(),"Planned",IF(Market_Data[[#This Row],[Completion Date]]&lt;TODAY(),"Completed","Ongoing")))</f>
        <v>Completed</v>
      </c>
      <c r="G2644" s="324">
        <v>42866</v>
      </c>
      <c r="H2644" s="324">
        <v>44742</v>
      </c>
      <c r="I2644" s="325">
        <v>11300</v>
      </c>
      <c r="J264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44" s="133">
        <f>_xlfn.XLOOKUP(Market_Data[[#This Row],[Project Type]],tbl_assumptions_market[Project Category (RERA)],tbl_assumptions_market[Concrete Intensity
(m³ / sq m BUA)],"",0)</f>
        <v>0.5</v>
      </c>
      <c r="L2644" s="134">
        <f>ROUND(Market_Data[[#This Row],[Estimated Built Up Area (sq m)]]*Market_Data[[#This Row],[Concrete Intensity
(m³ / sq m)]],0)</f>
        <v>5650</v>
      </c>
      <c r="M2644" s="135">
        <f>_xlfn.XLOOKUP(Market_Data[[#This Row],[District]],tbl_district_price[District],tbl_district_price[Standard Price
(INR/m³)],"",0)</f>
        <v>6200</v>
      </c>
      <c r="N2644" s="364">
        <f>IF(OR(Market_Data[[#This Row],[Estimated Concrete Demand (m³)]]="",Market_Data[[#This Row],[Avg Price per (₹ / m³)]]=""),"",Market_Data[[#This Row],[Estimated Concrete Demand (m³)]]*Market_Data[[#This Row],[Avg Price per (₹ / m³)]]/10000000)</f>
        <v>3.5030000000000001</v>
      </c>
      <c r="O2644" s="97" t="str">
        <f>IF(Market_Data[[#This Row],[Estimated Concrete Demand (m³)]]="","",
IF(Market_Data[[#This Row],[Estimated Concrete Demand (m³)]]&lt;10000,"Small",
IF(Market_Data[[#This Row],[Estimated Concrete Demand (m³)]]&lt;25000,"Medium",
IF(Market_Data[[#This Row],[Estimated Concrete Demand (m³)]]&lt;100000,"Large","Mega"))))</f>
        <v>Small</v>
      </c>
      <c r="P2644" s="287" t="str">
        <f t="shared" si="43"/>
        <v>GujRERA</v>
      </c>
    </row>
    <row r="2645" spans="1:16">
      <c r="A2645" s="129" t="str">
        <f>_xlfn.XLOOKUP(B2645,$S$9:$S$14,$T$9:$T$14)&amp;"-"&amp;
IF(E2645="Residential/Group Housing","RES",
IF(E2645="Commercial","COM",
IF(E2645="Mixed Development","MIX",
IF(E2645="Plotted Development","PLT","OTH"))))
&amp;"-"&amp;TEXT(COUNTIFS($B$9:B2645,B2645,$E$9:E2645,E2645),"0000")</f>
        <v>SUR-COM-0444</v>
      </c>
      <c r="B2645" s="322" t="s">
        <v>34</v>
      </c>
      <c r="C2645" s="322" t="s">
        <v>34</v>
      </c>
      <c r="D2645" s="323" t="s">
        <v>2834</v>
      </c>
      <c r="E2645" s="132" t="s">
        <v>23</v>
      </c>
      <c r="F2645" s="97" t="str">
        <f ca="1">IF(OR(Market_Data[[#This Row],[Start Date]]="",Market_Data[[#This Row],[Completion Date]]=""),"Needs Validation",IF(Market_Data[[#This Row],[Start Date]]&gt;TODAY(),"Planned",IF(Market_Data[[#This Row],[Completion Date]]&lt;TODAY(),"Completed","Ongoing")))</f>
        <v>Completed</v>
      </c>
      <c r="G2645" s="324">
        <v>42420</v>
      </c>
      <c r="H2645" s="324">
        <v>44195</v>
      </c>
      <c r="I2645" s="325">
        <v>12900</v>
      </c>
      <c r="J264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45" s="133">
        <f>_xlfn.XLOOKUP(Market_Data[[#This Row],[Project Type]],tbl_assumptions_market[Project Category (RERA)],tbl_assumptions_market[Concrete Intensity
(m³ / sq m BUA)],"",0)</f>
        <v>0.5</v>
      </c>
      <c r="L2645" s="134">
        <f>ROUND(Market_Data[[#This Row],[Estimated Built Up Area (sq m)]]*Market_Data[[#This Row],[Concrete Intensity
(m³ / sq m)]],0)</f>
        <v>6450</v>
      </c>
      <c r="M2645" s="135">
        <f>_xlfn.XLOOKUP(Market_Data[[#This Row],[District]],tbl_district_price[District],tbl_district_price[Standard Price
(INR/m³)],"",0)</f>
        <v>6200</v>
      </c>
      <c r="N2645" s="364">
        <f>IF(OR(Market_Data[[#This Row],[Estimated Concrete Demand (m³)]]="",Market_Data[[#This Row],[Avg Price per (₹ / m³)]]=""),"",Market_Data[[#This Row],[Estimated Concrete Demand (m³)]]*Market_Data[[#This Row],[Avg Price per (₹ / m³)]]/10000000)</f>
        <v>3.9990000000000001</v>
      </c>
      <c r="O2645" s="97" t="str">
        <f>IF(Market_Data[[#This Row],[Estimated Concrete Demand (m³)]]="","",
IF(Market_Data[[#This Row],[Estimated Concrete Demand (m³)]]&lt;10000,"Small",
IF(Market_Data[[#This Row],[Estimated Concrete Demand (m³)]]&lt;25000,"Medium",
IF(Market_Data[[#This Row],[Estimated Concrete Demand (m³)]]&lt;100000,"Large","Mega"))))</f>
        <v>Small</v>
      </c>
      <c r="P2645" s="287" t="str">
        <f t="shared" si="43"/>
        <v>GujRERA</v>
      </c>
    </row>
    <row r="2646" spans="1:16">
      <c r="A2646" s="129" t="str">
        <f>_xlfn.XLOOKUP(B2646,$S$9:$S$14,$T$9:$T$14)&amp;"-"&amp;
IF(E2646="Residential/Group Housing","RES",
IF(E2646="Commercial","COM",
IF(E2646="Mixed Development","MIX",
IF(E2646="Plotted Development","PLT","OTH"))))
&amp;"-"&amp;TEXT(COUNTIFS($B$9:B2646,B2646,$E$9:E2646,E2646),"0000")</f>
        <v>SUR-RES-0911</v>
      </c>
      <c r="B2646" s="322" t="s">
        <v>34</v>
      </c>
      <c r="C2646" s="322" t="s">
        <v>34</v>
      </c>
      <c r="D2646" s="323" t="s">
        <v>2835</v>
      </c>
      <c r="E2646" s="132" t="s">
        <v>24</v>
      </c>
      <c r="F2646" s="97" t="str">
        <f ca="1">IF(OR(Market_Data[[#This Row],[Start Date]]="",Market_Data[[#This Row],[Completion Date]]=""),"Needs Validation",IF(Market_Data[[#This Row],[Start Date]]&gt;TODAY(),"Planned",IF(Market_Data[[#This Row],[Completion Date]]&lt;TODAY(),"Completed","Ongoing")))</f>
        <v>Ongoing</v>
      </c>
      <c r="G2646" s="324">
        <v>45036</v>
      </c>
      <c r="H2646" s="324">
        <v>46496</v>
      </c>
      <c r="I2646" s="325">
        <v>16000</v>
      </c>
      <c r="J264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46" s="133">
        <f>_xlfn.XLOOKUP(Market_Data[[#This Row],[Project Type]],tbl_assumptions_market[Project Category (RERA)],tbl_assumptions_market[Concrete Intensity
(m³ / sq m BUA)],"",0)</f>
        <v>0.45</v>
      </c>
      <c r="L2646" s="134">
        <f>ROUND(Market_Data[[#This Row],[Estimated Built Up Area (sq m)]]*Market_Data[[#This Row],[Concrete Intensity
(m³ / sq m)]],0)</f>
        <v>7200</v>
      </c>
      <c r="M2646" s="135">
        <f>_xlfn.XLOOKUP(Market_Data[[#This Row],[District]],tbl_district_price[District],tbl_district_price[Standard Price
(INR/m³)],"",0)</f>
        <v>6200</v>
      </c>
      <c r="N2646" s="364">
        <f>IF(OR(Market_Data[[#This Row],[Estimated Concrete Demand (m³)]]="",Market_Data[[#This Row],[Avg Price per (₹ / m³)]]=""),"",Market_Data[[#This Row],[Estimated Concrete Demand (m³)]]*Market_Data[[#This Row],[Avg Price per (₹ / m³)]]/10000000)</f>
        <v>4.4640000000000004</v>
      </c>
      <c r="O2646" s="97" t="str">
        <f>IF(Market_Data[[#This Row],[Estimated Concrete Demand (m³)]]="","",
IF(Market_Data[[#This Row],[Estimated Concrete Demand (m³)]]&lt;10000,"Small",
IF(Market_Data[[#This Row],[Estimated Concrete Demand (m³)]]&lt;25000,"Medium",
IF(Market_Data[[#This Row],[Estimated Concrete Demand (m³)]]&lt;100000,"Large","Mega"))))</f>
        <v>Small</v>
      </c>
      <c r="P2646" s="287" t="str">
        <f t="shared" si="43"/>
        <v>GujRERA</v>
      </c>
    </row>
    <row r="2647" spans="1:16">
      <c r="A2647" s="129" t="str">
        <f>_xlfn.XLOOKUP(B2647,$S$9:$S$14,$T$9:$T$14)&amp;"-"&amp;
IF(E2647="Residential/Group Housing","RES",
IF(E2647="Commercial","COM",
IF(E2647="Mixed Development","MIX",
IF(E2647="Plotted Development","PLT","OTH"))))
&amp;"-"&amp;TEXT(COUNTIFS($B$9:B2647,B2647,$E$9:E2647,E2647),"0000")</f>
        <v>SUR-PLT-0499</v>
      </c>
      <c r="B2647" s="322" t="s">
        <v>34</v>
      </c>
      <c r="C2647" s="322" t="s">
        <v>34</v>
      </c>
      <c r="D2647" s="323" t="s">
        <v>2836</v>
      </c>
      <c r="E2647" s="132" t="s">
        <v>26</v>
      </c>
      <c r="F2647" s="97" t="str">
        <f ca="1">IF(OR(Market_Data[[#This Row],[Start Date]]="",Market_Data[[#This Row],[Completion Date]]=""),"Needs Validation",IF(Market_Data[[#This Row],[Start Date]]&gt;TODAY(),"Planned",IF(Market_Data[[#This Row],[Completion Date]]&lt;TODAY(),"Completed","Ongoing")))</f>
        <v>Completed</v>
      </c>
      <c r="G2647" s="324">
        <v>44228</v>
      </c>
      <c r="H2647" s="324">
        <v>45107</v>
      </c>
      <c r="I2647" s="325">
        <v>26300</v>
      </c>
      <c r="J264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47" s="133">
        <f>_xlfn.XLOOKUP(Market_Data[[#This Row],[Project Type]],tbl_assumptions_market[Project Category (RERA)],tbl_assumptions_market[Concrete Intensity
(m³ / sq m BUA)],"",0)</f>
        <v>0.18</v>
      </c>
      <c r="L2647" s="134">
        <f>ROUND(Market_Data[[#This Row],[Estimated Built Up Area (sq m)]]*Market_Data[[#This Row],[Concrete Intensity
(m³ / sq m)]],0)</f>
        <v>4734</v>
      </c>
      <c r="M2647" s="135">
        <f>_xlfn.XLOOKUP(Market_Data[[#This Row],[District]],tbl_district_price[District],tbl_district_price[Standard Price
(INR/m³)],"",0)</f>
        <v>6200</v>
      </c>
      <c r="N2647" s="364">
        <f>IF(OR(Market_Data[[#This Row],[Estimated Concrete Demand (m³)]]="",Market_Data[[#This Row],[Avg Price per (₹ / m³)]]=""),"",Market_Data[[#This Row],[Estimated Concrete Demand (m³)]]*Market_Data[[#This Row],[Avg Price per (₹ / m³)]]/10000000)</f>
        <v>2.9350800000000001</v>
      </c>
      <c r="O2647" s="97" t="str">
        <f>IF(Market_Data[[#This Row],[Estimated Concrete Demand (m³)]]="","",
IF(Market_Data[[#This Row],[Estimated Concrete Demand (m³)]]&lt;10000,"Small",
IF(Market_Data[[#This Row],[Estimated Concrete Demand (m³)]]&lt;25000,"Medium",
IF(Market_Data[[#This Row],[Estimated Concrete Demand (m³)]]&lt;100000,"Large","Mega"))))</f>
        <v>Small</v>
      </c>
      <c r="P2647" s="287" t="str">
        <f t="shared" si="43"/>
        <v>GujRERA</v>
      </c>
    </row>
    <row r="2648" spans="1:16">
      <c r="A2648" s="129" t="str">
        <f>_xlfn.XLOOKUP(B2648,$S$9:$S$14,$T$9:$T$14)&amp;"-"&amp;
IF(E2648="Residential/Group Housing","RES",
IF(E2648="Commercial","COM",
IF(E2648="Mixed Development","MIX",
IF(E2648="Plotted Development","PLT","OTH"))))
&amp;"-"&amp;TEXT(COUNTIFS($B$9:B2648,B2648,$E$9:E2648,E2648),"0000")</f>
        <v>SUR-RES-0912</v>
      </c>
      <c r="B2648" s="322" t="s">
        <v>34</v>
      </c>
      <c r="C2648" s="322" t="s">
        <v>34</v>
      </c>
      <c r="D2648" s="323" t="s">
        <v>2837</v>
      </c>
      <c r="E2648" s="132" t="s">
        <v>24</v>
      </c>
      <c r="F2648" s="97" t="str">
        <f ca="1">IF(OR(Market_Data[[#This Row],[Start Date]]="",Market_Data[[#This Row],[Completion Date]]=""),"Needs Validation",IF(Market_Data[[#This Row],[Start Date]]&gt;TODAY(),"Planned",IF(Market_Data[[#This Row],[Completion Date]]&lt;TODAY(),"Completed","Ongoing")))</f>
        <v>Ongoing</v>
      </c>
      <c r="G2648" s="324">
        <v>45379</v>
      </c>
      <c r="H2648" s="324">
        <v>47118</v>
      </c>
      <c r="I2648" s="325">
        <v>23000</v>
      </c>
      <c r="J264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48" s="133">
        <f>_xlfn.XLOOKUP(Market_Data[[#This Row],[Project Type]],tbl_assumptions_market[Project Category (RERA)],tbl_assumptions_market[Concrete Intensity
(m³ / sq m BUA)],"",0)</f>
        <v>0.45</v>
      </c>
      <c r="L2648" s="134">
        <f>ROUND(Market_Data[[#This Row],[Estimated Built Up Area (sq m)]]*Market_Data[[#This Row],[Concrete Intensity
(m³ / sq m)]],0)</f>
        <v>10350</v>
      </c>
      <c r="M2648" s="135">
        <f>_xlfn.XLOOKUP(Market_Data[[#This Row],[District]],tbl_district_price[District],tbl_district_price[Standard Price
(INR/m³)],"",0)</f>
        <v>6200</v>
      </c>
      <c r="N2648" s="364">
        <f>IF(OR(Market_Data[[#This Row],[Estimated Concrete Demand (m³)]]="",Market_Data[[#This Row],[Avg Price per (₹ / m³)]]=""),"",Market_Data[[#This Row],[Estimated Concrete Demand (m³)]]*Market_Data[[#This Row],[Avg Price per (₹ / m³)]]/10000000)</f>
        <v>6.4169999999999998</v>
      </c>
      <c r="O2648" s="97" t="str">
        <f>IF(Market_Data[[#This Row],[Estimated Concrete Demand (m³)]]="","",
IF(Market_Data[[#This Row],[Estimated Concrete Demand (m³)]]&lt;10000,"Small",
IF(Market_Data[[#This Row],[Estimated Concrete Demand (m³)]]&lt;25000,"Medium",
IF(Market_Data[[#This Row],[Estimated Concrete Demand (m³)]]&lt;100000,"Large","Mega"))))</f>
        <v>Medium</v>
      </c>
      <c r="P2648" s="287" t="str">
        <f t="shared" si="43"/>
        <v>GujRERA</v>
      </c>
    </row>
    <row r="2649" spans="1:16">
      <c r="A2649" s="129" t="str">
        <f>_xlfn.XLOOKUP(B2649,$S$9:$S$14,$T$9:$T$14)&amp;"-"&amp;
IF(E2649="Residential/Group Housing","RES",
IF(E2649="Commercial","COM",
IF(E2649="Mixed Development","MIX",
IF(E2649="Plotted Development","PLT","OTH"))))
&amp;"-"&amp;TEXT(COUNTIFS($B$9:B2649,B2649,$E$9:E2649,E2649),"0000")</f>
        <v>SUR-PLT-0500</v>
      </c>
      <c r="B2649" s="322" t="s">
        <v>34</v>
      </c>
      <c r="C2649" s="322" t="s">
        <v>34</v>
      </c>
      <c r="D2649" s="323" t="s">
        <v>2838</v>
      </c>
      <c r="E2649" s="132" t="s">
        <v>26</v>
      </c>
      <c r="F2649" s="97" t="str">
        <f ca="1">IF(OR(Market_Data[[#This Row],[Start Date]]="",Market_Data[[#This Row],[Completion Date]]=""),"Needs Validation",IF(Market_Data[[#This Row],[Start Date]]&gt;TODAY(),"Planned",IF(Market_Data[[#This Row],[Completion Date]]&lt;TODAY(),"Completed","Ongoing")))</f>
        <v>Ongoing</v>
      </c>
      <c r="G2649" s="324">
        <v>45594</v>
      </c>
      <c r="H2649" s="324">
        <v>46752</v>
      </c>
      <c r="I2649" s="325">
        <v>16600</v>
      </c>
      <c r="J264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49" s="133">
        <f>_xlfn.XLOOKUP(Market_Data[[#This Row],[Project Type]],tbl_assumptions_market[Project Category (RERA)],tbl_assumptions_market[Concrete Intensity
(m³ / sq m BUA)],"",0)</f>
        <v>0.18</v>
      </c>
      <c r="L2649" s="134">
        <f>ROUND(Market_Data[[#This Row],[Estimated Built Up Area (sq m)]]*Market_Data[[#This Row],[Concrete Intensity
(m³ / sq m)]],0)</f>
        <v>2988</v>
      </c>
      <c r="M2649" s="135">
        <f>_xlfn.XLOOKUP(Market_Data[[#This Row],[District]],tbl_district_price[District],tbl_district_price[Standard Price
(INR/m³)],"",0)</f>
        <v>6200</v>
      </c>
      <c r="N2649" s="364">
        <f>IF(OR(Market_Data[[#This Row],[Estimated Concrete Demand (m³)]]="",Market_Data[[#This Row],[Avg Price per (₹ / m³)]]=""),"",Market_Data[[#This Row],[Estimated Concrete Demand (m³)]]*Market_Data[[#This Row],[Avg Price per (₹ / m³)]]/10000000)</f>
        <v>1.85256</v>
      </c>
      <c r="O2649" s="97" t="str">
        <f>IF(Market_Data[[#This Row],[Estimated Concrete Demand (m³)]]="","",
IF(Market_Data[[#This Row],[Estimated Concrete Demand (m³)]]&lt;10000,"Small",
IF(Market_Data[[#This Row],[Estimated Concrete Demand (m³)]]&lt;25000,"Medium",
IF(Market_Data[[#This Row],[Estimated Concrete Demand (m³)]]&lt;100000,"Large","Mega"))))</f>
        <v>Small</v>
      </c>
      <c r="P2649" s="287" t="str">
        <f t="shared" si="43"/>
        <v>GujRERA</v>
      </c>
    </row>
    <row r="2650" spans="1:16">
      <c r="A2650" s="129" t="str">
        <f>_xlfn.XLOOKUP(B2650,$S$9:$S$14,$T$9:$T$14)&amp;"-"&amp;
IF(E2650="Residential/Group Housing","RES",
IF(E2650="Commercial","COM",
IF(E2650="Mixed Development","MIX",
IF(E2650="Plotted Development","PLT","OTH"))))
&amp;"-"&amp;TEXT(COUNTIFS($B$9:B2650,B2650,$E$9:E2650,E2650),"0000")</f>
        <v>SUR-RES-0913</v>
      </c>
      <c r="B2650" s="322" t="s">
        <v>34</v>
      </c>
      <c r="C2650" s="322" t="s">
        <v>34</v>
      </c>
      <c r="D2650" s="323" t="s">
        <v>2839</v>
      </c>
      <c r="E2650" s="132" t="s">
        <v>24</v>
      </c>
      <c r="F2650" s="97" t="str">
        <f ca="1">IF(OR(Market_Data[[#This Row],[Start Date]]="",Market_Data[[#This Row],[Completion Date]]=""),"Needs Validation",IF(Market_Data[[#This Row],[Start Date]]&gt;TODAY(),"Planned",IF(Market_Data[[#This Row],[Completion Date]]&lt;TODAY(),"Completed","Ongoing")))</f>
        <v>Completed</v>
      </c>
      <c r="G2650" s="324">
        <v>42778</v>
      </c>
      <c r="H2650" s="324">
        <v>44469</v>
      </c>
      <c r="I2650" s="325">
        <v>9000</v>
      </c>
      <c r="J265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50" s="133">
        <f>_xlfn.XLOOKUP(Market_Data[[#This Row],[Project Type]],tbl_assumptions_market[Project Category (RERA)],tbl_assumptions_market[Concrete Intensity
(m³ / sq m BUA)],"",0)</f>
        <v>0.45</v>
      </c>
      <c r="L2650" s="134">
        <f>ROUND(Market_Data[[#This Row],[Estimated Built Up Area (sq m)]]*Market_Data[[#This Row],[Concrete Intensity
(m³ / sq m)]],0)</f>
        <v>4050</v>
      </c>
      <c r="M2650" s="135">
        <f>_xlfn.XLOOKUP(Market_Data[[#This Row],[District]],tbl_district_price[District],tbl_district_price[Standard Price
(INR/m³)],"",0)</f>
        <v>6200</v>
      </c>
      <c r="N2650" s="364">
        <f>IF(OR(Market_Data[[#This Row],[Estimated Concrete Demand (m³)]]="",Market_Data[[#This Row],[Avg Price per (₹ / m³)]]=""),"",Market_Data[[#This Row],[Estimated Concrete Demand (m³)]]*Market_Data[[#This Row],[Avg Price per (₹ / m³)]]/10000000)</f>
        <v>2.5110000000000001</v>
      </c>
      <c r="O2650" s="97" t="str">
        <f>IF(Market_Data[[#This Row],[Estimated Concrete Demand (m³)]]="","",
IF(Market_Data[[#This Row],[Estimated Concrete Demand (m³)]]&lt;10000,"Small",
IF(Market_Data[[#This Row],[Estimated Concrete Demand (m³)]]&lt;25000,"Medium",
IF(Market_Data[[#This Row],[Estimated Concrete Demand (m³)]]&lt;100000,"Large","Mega"))))</f>
        <v>Small</v>
      </c>
      <c r="P2650" s="287" t="str">
        <f t="shared" si="43"/>
        <v>GujRERA</v>
      </c>
    </row>
    <row r="2651" spans="1:16">
      <c r="A2651" s="129" t="str">
        <f>_xlfn.XLOOKUP(B2651,$S$9:$S$14,$T$9:$T$14)&amp;"-"&amp;
IF(E2651="Residential/Group Housing","RES",
IF(E2651="Commercial","COM",
IF(E2651="Mixed Development","MIX",
IF(E2651="Plotted Development","PLT","OTH"))))
&amp;"-"&amp;TEXT(COUNTIFS($B$9:B2651,B2651,$E$9:E2651,E2651),"0000")</f>
        <v>SUR-RES-0914</v>
      </c>
      <c r="B2651" s="322" t="s">
        <v>34</v>
      </c>
      <c r="C2651" s="322" t="s">
        <v>34</v>
      </c>
      <c r="D2651" s="323" t="s">
        <v>2840</v>
      </c>
      <c r="E2651" s="132" t="s">
        <v>24</v>
      </c>
      <c r="F2651" s="97" t="str">
        <f ca="1">IF(OR(Market_Data[[#This Row],[Start Date]]="",Market_Data[[#This Row],[Completion Date]]=""),"Needs Validation",IF(Market_Data[[#This Row],[Start Date]]&gt;TODAY(),"Planned",IF(Market_Data[[#This Row],[Completion Date]]&lt;TODAY(),"Completed","Ongoing")))</f>
        <v>Completed</v>
      </c>
      <c r="G2651" s="324">
        <v>42586</v>
      </c>
      <c r="H2651" s="324">
        <v>43769</v>
      </c>
      <c r="I2651" s="325">
        <v>19900</v>
      </c>
      <c r="J265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51" s="133">
        <f>_xlfn.XLOOKUP(Market_Data[[#This Row],[Project Type]],tbl_assumptions_market[Project Category (RERA)],tbl_assumptions_market[Concrete Intensity
(m³ / sq m BUA)],"",0)</f>
        <v>0.45</v>
      </c>
      <c r="L2651" s="134">
        <f>ROUND(Market_Data[[#This Row],[Estimated Built Up Area (sq m)]]*Market_Data[[#This Row],[Concrete Intensity
(m³ / sq m)]],0)</f>
        <v>8955</v>
      </c>
      <c r="M2651" s="135">
        <f>_xlfn.XLOOKUP(Market_Data[[#This Row],[District]],tbl_district_price[District],tbl_district_price[Standard Price
(INR/m³)],"",0)</f>
        <v>6200</v>
      </c>
      <c r="N2651" s="364">
        <f>IF(OR(Market_Data[[#This Row],[Estimated Concrete Demand (m³)]]="",Market_Data[[#This Row],[Avg Price per (₹ / m³)]]=""),"",Market_Data[[#This Row],[Estimated Concrete Demand (m³)]]*Market_Data[[#This Row],[Avg Price per (₹ / m³)]]/10000000)</f>
        <v>5.5521000000000003</v>
      </c>
      <c r="O2651" s="97" t="str">
        <f>IF(Market_Data[[#This Row],[Estimated Concrete Demand (m³)]]="","",
IF(Market_Data[[#This Row],[Estimated Concrete Demand (m³)]]&lt;10000,"Small",
IF(Market_Data[[#This Row],[Estimated Concrete Demand (m³)]]&lt;25000,"Medium",
IF(Market_Data[[#This Row],[Estimated Concrete Demand (m³)]]&lt;100000,"Large","Mega"))))</f>
        <v>Small</v>
      </c>
      <c r="P2651" s="287" t="str">
        <f t="shared" si="43"/>
        <v>GujRERA</v>
      </c>
    </row>
    <row r="2652" spans="1:16">
      <c r="A2652" s="129" t="str">
        <f>_xlfn.XLOOKUP(B2652,$S$9:$S$14,$T$9:$T$14)&amp;"-"&amp;
IF(E2652="Residential/Group Housing","RES",
IF(E2652="Commercial","COM",
IF(E2652="Mixed Development","MIX",
IF(E2652="Plotted Development","PLT","OTH"))))
&amp;"-"&amp;TEXT(COUNTIFS($B$9:B2652,B2652,$E$9:E2652,E2652),"0000")</f>
        <v>SUR-RES-0915</v>
      </c>
      <c r="B2652" s="322" t="s">
        <v>34</v>
      </c>
      <c r="C2652" s="322" t="s">
        <v>34</v>
      </c>
      <c r="D2652" s="323" t="s">
        <v>2841</v>
      </c>
      <c r="E2652" s="132" t="s">
        <v>24</v>
      </c>
      <c r="F2652" s="97" t="str">
        <f ca="1">IF(OR(Market_Data[[#This Row],[Start Date]]="",Market_Data[[#This Row],[Completion Date]]=""),"Needs Validation",IF(Market_Data[[#This Row],[Start Date]]&gt;TODAY(),"Planned",IF(Market_Data[[#This Row],[Completion Date]]&lt;TODAY(),"Completed","Ongoing")))</f>
        <v>Completed</v>
      </c>
      <c r="G2652" s="324">
        <v>42723</v>
      </c>
      <c r="H2652" s="324">
        <v>43738</v>
      </c>
      <c r="I2652" s="325">
        <v>17100</v>
      </c>
      <c r="J265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52" s="133">
        <f>_xlfn.XLOOKUP(Market_Data[[#This Row],[Project Type]],tbl_assumptions_market[Project Category (RERA)],tbl_assumptions_market[Concrete Intensity
(m³ / sq m BUA)],"",0)</f>
        <v>0.45</v>
      </c>
      <c r="L2652" s="134">
        <f>ROUND(Market_Data[[#This Row],[Estimated Built Up Area (sq m)]]*Market_Data[[#This Row],[Concrete Intensity
(m³ / sq m)]],0)</f>
        <v>7695</v>
      </c>
      <c r="M2652" s="135">
        <f>_xlfn.XLOOKUP(Market_Data[[#This Row],[District]],tbl_district_price[District],tbl_district_price[Standard Price
(INR/m³)],"",0)</f>
        <v>6200</v>
      </c>
      <c r="N2652" s="364">
        <f>IF(OR(Market_Data[[#This Row],[Estimated Concrete Demand (m³)]]="",Market_Data[[#This Row],[Avg Price per (₹ / m³)]]=""),"",Market_Data[[#This Row],[Estimated Concrete Demand (m³)]]*Market_Data[[#This Row],[Avg Price per (₹ / m³)]]/10000000)</f>
        <v>4.7709000000000001</v>
      </c>
      <c r="O2652" s="97" t="str">
        <f>IF(Market_Data[[#This Row],[Estimated Concrete Demand (m³)]]="","",
IF(Market_Data[[#This Row],[Estimated Concrete Demand (m³)]]&lt;10000,"Small",
IF(Market_Data[[#This Row],[Estimated Concrete Demand (m³)]]&lt;25000,"Medium",
IF(Market_Data[[#This Row],[Estimated Concrete Demand (m³)]]&lt;100000,"Large","Mega"))))</f>
        <v>Small</v>
      </c>
      <c r="P2652" s="287" t="str">
        <f t="shared" si="43"/>
        <v>GujRERA</v>
      </c>
    </row>
    <row r="2653" spans="1:16">
      <c r="A2653" s="129" t="str">
        <f>_xlfn.XLOOKUP(B2653,$S$9:$S$14,$T$9:$T$14)&amp;"-"&amp;
IF(E2653="Residential/Group Housing","RES",
IF(E2653="Commercial","COM",
IF(E2653="Mixed Development","MIX",
IF(E2653="Plotted Development","PLT","OTH"))))
&amp;"-"&amp;TEXT(COUNTIFS($B$9:B2653,B2653,$E$9:E2653,E2653),"0000")</f>
        <v>SUR-COM-0445</v>
      </c>
      <c r="B2653" s="322" t="s">
        <v>34</v>
      </c>
      <c r="C2653" s="322" t="s">
        <v>34</v>
      </c>
      <c r="D2653" s="323" t="s">
        <v>2842</v>
      </c>
      <c r="E2653" s="132" t="s">
        <v>23</v>
      </c>
      <c r="F2653" s="97" t="str">
        <f ca="1">IF(OR(Market_Data[[#This Row],[Start Date]]="",Market_Data[[#This Row],[Completion Date]]=""),"Needs Validation",IF(Market_Data[[#This Row],[Start Date]]&gt;TODAY(),"Planned",IF(Market_Data[[#This Row],[Completion Date]]&lt;TODAY(),"Completed","Ongoing")))</f>
        <v>Completed</v>
      </c>
      <c r="G2653" s="324">
        <v>43117</v>
      </c>
      <c r="H2653" s="324">
        <v>44758</v>
      </c>
      <c r="I2653" s="325">
        <v>33400</v>
      </c>
      <c r="J265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653" s="133">
        <f>_xlfn.XLOOKUP(Market_Data[[#This Row],[Project Type]],tbl_assumptions_market[Project Category (RERA)],tbl_assumptions_market[Concrete Intensity
(m³ / sq m BUA)],"",0)</f>
        <v>0.5</v>
      </c>
      <c r="L2653" s="134">
        <f>ROUND(Market_Data[[#This Row],[Estimated Built Up Area (sq m)]]*Market_Data[[#This Row],[Concrete Intensity
(m³ / sq m)]],0)</f>
        <v>16700</v>
      </c>
      <c r="M2653" s="135">
        <f>_xlfn.XLOOKUP(Market_Data[[#This Row],[District]],tbl_district_price[District],tbl_district_price[Standard Price
(INR/m³)],"",0)</f>
        <v>6200</v>
      </c>
      <c r="N2653" s="364">
        <f>IF(OR(Market_Data[[#This Row],[Estimated Concrete Demand (m³)]]="",Market_Data[[#This Row],[Avg Price per (₹ / m³)]]=""),"",Market_Data[[#This Row],[Estimated Concrete Demand (m³)]]*Market_Data[[#This Row],[Avg Price per (₹ / m³)]]/10000000)</f>
        <v>10.353999999999999</v>
      </c>
      <c r="O2653" s="97" t="str">
        <f>IF(Market_Data[[#This Row],[Estimated Concrete Demand (m³)]]="","",
IF(Market_Data[[#This Row],[Estimated Concrete Demand (m³)]]&lt;10000,"Small",
IF(Market_Data[[#This Row],[Estimated Concrete Demand (m³)]]&lt;25000,"Medium",
IF(Market_Data[[#This Row],[Estimated Concrete Demand (m³)]]&lt;100000,"Large","Mega"))))</f>
        <v>Medium</v>
      </c>
      <c r="P2653" s="287" t="str">
        <f t="shared" si="43"/>
        <v>GujRERA</v>
      </c>
    </row>
    <row r="2654" spans="1:16">
      <c r="A2654" s="129" t="str">
        <f>_xlfn.XLOOKUP(B2654,$S$9:$S$14,$T$9:$T$14)&amp;"-"&amp;
IF(E2654="Residential/Group Housing","RES",
IF(E2654="Commercial","COM",
IF(E2654="Mixed Development","MIX",
IF(E2654="Plotted Development","PLT","OTH"))))
&amp;"-"&amp;TEXT(COUNTIFS($B$9:B2654,B2654,$E$9:E2654,E2654),"0000")</f>
        <v>SUR-COM-0446</v>
      </c>
      <c r="B2654" s="322" t="s">
        <v>34</v>
      </c>
      <c r="C2654" s="322" t="s">
        <v>34</v>
      </c>
      <c r="D2654" s="323" t="s">
        <v>2843</v>
      </c>
      <c r="E2654" s="132" t="s">
        <v>23</v>
      </c>
      <c r="F2654" s="97" t="str">
        <f ca="1">IF(OR(Market_Data[[#This Row],[Start Date]]="",Market_Data[[#This Row],[Completion Date]]=""),"Needs Validation",IF(Market_Data[[#This Row],[Start Date]]&gt;TODAY(),"Planned",IF(Market_Data[[#This Row],[Completion Date]]&lt;TODAY(),"Completed","Ongoing")))</f>
        <v>Completed</v>
      </c>
      <c r="G2654" s="324">
        <v>42622</v>
      </c>
      <c r="H2654" s="324">
        <v>43830</v>
      </c>
      <c r="I2654" s="325">
        <v>7900</v>
      </c>
      <c r="J265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54" s="133">
        <f>_xlfn.XLOOKUP(Market_Data[[#This Row],[Project Type]],tbl_assumptions_market[Project Category (RERA)],tbl_assumptions_market[Concrete Intensity
(m³ / sq m BUA)],"",0)</f>
        <v>0.5</v>
      </c>
      <c r="L2654" s="134">
        <f>ROUND(Market_Data[[#This Row],[Estimated Built Up Area (sq m)]]*Market_Data[[#This Row],[Concrete Intensity
(m³ / sq m)]],0)</f>
        <v>3950</v>
      </c>
      <c r="M2654" s="135">
        <f>_xlfn.XLOOKUP(Market_Data[[#This Row],[District]],tbl_district_price[District],tbl_district_price[Standard Price
(INR/m³)],"",0)</f>
        <v>6200</v>
      </c>
      <c r="N2654" s="364">
        <f>IF(OR(Market_Data[[#This Row],[Estimated Concrete Demand (m³)]]="",Market_Data[[#This Row],[Avg Price per (₹ / m³)]]=""),"",Market_Data[[#This Row],[Estimated Concrete Demand (m³)]]*Market_Data[[#This Row],[Avg Price per (₹ / m³)]]/10000000)</f>
        <v>2.4489999999999998</v>
      </c>
      <c r="O2654" s="97" t="str">
        <f>IF(Market_Data[[#This Row],[Estimated Concrete Demand (m³)]]="","",
IF(Market_Data[[#This Row],[Estimated Concrete Demand (m³)]]&lt;10000,"Small",
IF(Market_Data[[#This Row],[Estimated Concrete Demand (m³)]]&lt;25000,"Medium",
IF(Market_Data[[#This Row],[Estimated Concrete Demand (m³)]]&lt;100000,"Large","Mega"))))</f>
        <v>Small</v>
      </c>
      <c r="P2654" s="287" t="str">
        <f t="shared" si="43"/>
        <v>GujRERA</v>
      </c>
    </row>
    <row r="2655" spans="1:16">
      <c r="A2655" s="129" t="str">
        <f>_xlfn.XLOOKUP(B2655,$S$9:$S$14,$T$9:$T$14)&amp;"-"&amp;
IF(E2655="Residential/Group Housing","RES",
IF(E2655="Commercial","COM",
IF(E2655="Mixed Development","MIX",
IF(E2655="Plotted Development","PLT","OTH"))))
&amp;"-"&amp;TEXT(COUNTIFS($B$9:B2655,B2655,$E$9:E2655,E2655),"0000")</f>
        <v>SUR-PLT-0501</v>
      </c>
      <c r="B2655" s="322" t="s">
        <v>34</v>
      </c>
      <c r="C2655" s="322" t="s">
        <v>34</v>
      </c>
      <c r="D2655" s="323" t="s">
        <v>2844</v>
      </c>
      <c r="E2655" s="132" t="s">
        <v>26</v>
      </c>
      <c r="F2655" s="97" t="str">
        <f ca="1">IF(OR(Market_Data[[#This Row],[Start Date]]="",Market_Data[[#This Row],[Completion Date]]=""),"Needs Validation",IF(Market_Data[[#This Row],[Start Date]]&gt;TODAY(),"Planned",IF(Market_Data[[#This Row],[Completion Date]]&lt;TODAY(),"Completed","Ongoing")))</f>
        <v>Ongoing</v>
      </c>
      <c r="G2655" s="324">
        <v>45383</v>
      </c>
      <c r="H2655" s="324">
        <v>46387</v>
      </c>
      <c r="I2655" s="325">
        <v>35400</v>
      </c>
      <c r="J265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655" s="133">
        <f>_xlfn.XLOOKUP(Market_Data[[#This Row],[Project Type]],tbl_assumptions_market[Project Category (RERA)],tbl_assumptions_market[Concrete Intensity
(m³ / sq m BUA)],"",0)</f>
        <v>0.18</v>
      </c>
      <c r="L2655" s="134">
        <f>ROUND(Market_Data[[#This Row],[Estimated Built Up Area (sq m)]]*Market_Data[[#This Row],[Concrete Intensity
(m³ / sq m)]],0)</f>
        <v>6372</v>
      </c>
      <c r="M2655" s="135">
        <f>_xlfn.XLOOKUP(Market_Data[[#This Row],[District]],tbl_district_price[District],tbl_district_price[Standard Price
(INR/m³)],"",0)</f>
        <v>6200</v>
      </c>
      <c r="N2655" s="364">
        <f>IF(OR(Market_Data[[#This Row],[Estimated Concrete Demand (m³)]]="",Market_Data[[#This Row],[Avg Price per (₹ / m³)]]=""),"",Market_Data[[#This Row],[Estimated Concrete Demand (m³)]]*Market_Data[[#This Row],[Avg Price per (₹ / m³)]]/10000000)</f>
        <v>3.9506399999999999</v>
      </c>
      <c r="O2655" s="97" t="str">
        <f>IF(Market_Data[[#This Row],[Estimated Concrete Demand (m³)]]="","",
IF(Market_Data[[#This Row],[Estimated Concrete Demand (m³)]]&lt;10000,"Small",
IF(Market_Data[[#This Row],[Estimated Concrete Demand (m³)]]&lt;25000,"Medium",
IF(Market_Data[[#This Row],[Estimated Concrete Demand (m³)]]&lt;100000,"Large","Mega"))))</f>
        <v>Small</v>
      </c>
      <c r="P2655" s="287" t="str">
        <f t="shared" si="43"/>
        <v>GujRERA</v>
      </c>
    </row>
    <row r="2656" spans="1:16">
      <c r="A2656" s="129" t="str">
        <f>_xlfn.XLOOKUP(B2656,$S$9:$S$14,$T$9:$T$14)&amp;"-"&amp;
IF(E2656="Residential/Group Housing","RES",
IF(E2656="Commercial","COM",
IF(E2656="Mixed Development","MIX",
IF(E2656="Plotted Development","PLT","OTH"))))
&amp;"-"&amp;TEXT(COUNTIFS($B$9:B2656,B2656,$E$9:E2656,E2656),"0000")</f>
        <v>SUR-PLT-0502</v>
      </c>
      <c r="B2656" s="322" t="s">
        <v>34</v>
      </c>
      <c r="C2656" s="322" t="s">
        <v>34</v>
      </c>
      <c r="D2656" s="323" t="s">
        <v>2845</v>
      </c>
      <c r="E2656" s="132" t="s">
        <v>26</v>
      </c>
      <c r="F2656" s="97" t="str">
        <f ca="1">IF(OR(Market_Data[[#This Row],[Start Date]]="",Market_Data[[#This Row],[Completion Date]]=""),"Needs Validation",IF(Market_Data[[#This Row],[Start Date]]&gt;TODAY(),"Planned",IF(Market_Data[[#This Row],[Completion Date]]&lt;TODAY(),"Completed","Ongoing")))</f>
        <v>Ongoing</v>
      </c>
      <c r="G2656" s="324">
        <v>45440</v>
      </c>
      <c r="H2656" s="324">
        <v>46752</v>
      </c>
      <c r="I2656" s="325">
        <v>7000</v>
      </c>
      <c r="J265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56" s="133">
        <f>_xlfn.XLOOKUP(Market_Data[[#This Row],[Project Type]],tbl_assumptions_market[Project Category (RERA)],tbl_assumptions_market[Concrete Intensity
(m³ / sq m BUA)],"",0)</f>
        <v>0.18</v>
      </c>
      <c r="L2656" s="134">
        <f>ROUND(Market_Data[[#This Row],[Estimated Built Up Area (sq m)]]*Market_Data[[#This Row],[Concrete Intensity
(m³ / sq m)]],0)</f>
        <v>1260</v>
      </c>
      <c r="M2656" s="135">
        <f>_xlfn.XLOOKUP(Market_Data[[#This Row],[District]],tbl_district_price[District],tbl_district_price[Standard Price
(INR/m³)],"",0)</f>
        <v>6200</v>
      </c>
      <c r="N2656" s="364">
        <f>IF(OR(Market_Data[[#This Row],[Estimated Concrete Demand (m³)]]="",Market_Data[[#This Row],[Avg Price per (₹ / m³)]]=""),"",Market_Data[[#This Row],[Estimated Concrete Demand (m³)]]*Market_Data[[#This Row],[Avg Price per (₹ / m³)]]/10000000)</f>
        <v>0.78120000000000001</v>
      </c>
      <c r="O2656" s="97" t="str">
        <f>IF(Market_Data[[#This Row],[Estimated Concrete Demand (m³)]]="","",
IF(Market_Data[[#This Row],[Estimated Concrete Demand (m³)]]&lt;10000,"Small",
IF(Market_Data[[#This Row],[Estimated Concrete Demand (m³)]]&lt;25000,"Medium",
IF(Market_Data[[#This Row],[Estimated Concrete Demand (m³)]]&lt;100000,"Large","Mega"))))</f>
        <v>Small</v>
      </c>
      <c r="P2656" s="287" t="str">
        <f t="shared" si="43"/>
        <v>GujRERA</v>
      </c>
    </row>
    <row r="2657" spans="1:16">
      <c r="A2657" s="129" t="str">
        <f>_xlfn.XLOOKUP(B2657,$S$9:$S$14,$T$9:$T$14)&amp;"-"&amp;
IF(E2657="Residential/Group Housing","RES",
IF(E2657="Commercial","COM",
IF(E2657="Mixed Development","MIX",
IF(E2657="Plotted Development","PLT","OTH"))))
&amp;"-"&amp;TEXT(COUNTIFS($B$9:B2657,B2657,$E$9:E2657,E2657),"0000")</f>
        <v>SUR-RES-0916</v>
      </c>
      <c r="B2657" s="322" t="s">
        <v>34</v>
      </c>
      <c r="C2657" s="322" t="s">
        <v>34</v>
      </c>
      <c r="D2657" s="323" t="s">
        <v>2846</v>
      </c>
      <c r="E2657" s="132" t="s">
        <v>24</v>
      </c>
      <c r="F2657" s="97" t="str">
        <f ca="1">IF(OR(Market_Data[[#This Row],[Start Date]]="",Market_Data[[#This Row],[Completion Date]]=""),"Needs Validation",IF(Market_Data[[#This Row],[Start Date]]&gt;TODAY(),"Planned",IF(Market_Data[[#This Row],[Completion Date]]&lt;TODAY(),"Completed","Ongoing")))</f>
        <v>Ongoing</v>
      </c>
      <c r="G2657" s="324">
        <v>45778</v>
      </c>
      <c r="H2657" s="324">
        <v>47299</v>
      </c>
      <c r="I2657" s="325">
        <v>4500</v>
      </c>
      <c r="J265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57" s="133">
        <f>_xlfn.XLOOKUP(Market_Data[[#This Row],[Project Type]],tbl_assumptions_market[Project Category (RERA)],tbl_assumptions_market[Concrete Intensity
(m³ / sq m BUA)],"",0)</f>
        <v>0.45</v>
      </c>
      <c r="L2657" s="134">
        <f>ROUND(Market_Data[[#This Row],[Estimated Built Up Area (sq m)]]*Market_Data[[#This Row],[Concrete Intensity
(m³ / sq m)]],0)</f>
        <v>2025</v>
      </c>
      <c r="M2657" s="135">
        <f>_xlfn.XLOOKUP(Market_Data[[#This Row],[District]],tbl_district_price[District],tbl_district_price[Standard Price
(INR/m³)],"",0)</f>
        <v>6200</v>
      </c>
      <c r="N2657" s="364">
        <f>IF(OR(Market_Data[[#This Row],[Estimated Concrete Demand (m³)]]="",Market_Data[[#This Row],[Avg Price per (₹ / m³)]]=""),"",Market_Data[[#This Row],[Estimated Concrete Demand (m³)]]*Market_Data[[#This Row],[Avg Price per (₹ / m³)]]/10000000)</f>
        <v>1.2555000000000001</v>
      </c>
      <c r="O2657" s="97" t="str">
        <f>IF(Market_Data[[#This Row],[Estimated Concrete Demand (m³)]]="","",
IF(Market_Data[[#This Row],[Estimated Concrete Demand (m³)]]&lt;10000,"Small",
IF(Market_Data[[#This Row],[Estimated Concrete Demand (m³)]]&lt;25000,"Medium",
IF(Market_Data[[#This Row],[Estimated Concrete Demand (m³)]]&lt;100000,"Large","Mega"))))</f>
        <v>Small</v>
      </c>
      <c r="P2657" s="287" t="str">
        <f t="shared" si="43"/>
        <v>GujRERA</v>
      </c>
    </row>
    <row r="2658" spans="1:16">
      <c r="A2658" s="129" t="str">
        <f>_xlfn.XLOOKUP(B2658,$S$9:$S$14,$T$9:$T$14)&amp;"-"&amp;
IF(E2658="Residential/Group Housing","RES",
IF(E2658="Commercial","COM",
IF(E2658="Mixed Development","MIX",
IF(E2658="Plotted Development","PLT","OTH"))))
&amp;"-"&amp;TEXT(COUNTIFS($B$9:B2658,B2658,$E$9:E2658,E2658),"0000")</f>
        <v>SUR-PLT-0503</v>
      </c>
      <c r="B2658" s="322" t="s">
        <v>34</v>
      </c>
      <c r="C2658" s="322" t="s">
        <v>34</v>
      </c>
      <c r="D2658" s="323" t="s">
        <v>2847</v>
      </c>
      <c r="E2658" s="132" t="s">
        <v>26</v>
      </c>
      <c r="F2658" s="97" t="str">
        <f ca="1">IF(OR(Market_Data[[#This Row],[Start Date]]="",Market_Data[[#This Row],[Completion Date]]=""),"Needs Validation",IF(Market_Data[[#This Row],[Start Date]]&gt;TODAY(),"Planned",IF(Market_Data[[#This Row],[Completion Date]]&lt;TODAY(),"Completed","Ongoing")))</f>
        <v>Ongoing</v>
      </c>
      <c r="G2658" s="324">
        <v>44823</v>
      </c>
      <c r="H2658" s="324">
        <v>46752</v>
      </c>
      <c r="I2658" s="325">
        <v>46400</v>
      </c>
      <c r="J265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658" s="133">
        <f>_xlfn.XLOOKUP(Market_Data[[#This Row],[Project Type]],tbl_assumptions_market[Project Category (RERA)],tbl_assumptions_market[Concrete Intensity
(m³ / sq m BUA)],"",0)</f>
        <v>0.18</v>
      </c>
      <c r="L2658" s="134">
        <f>ROUND(Market_Data[[#This Row],[Estimated Built Up Area (sq m)]]*Market_Data[[#This Row],[Concrete Intensity
(m³ / sq m)]],0)</f>
        <v>8352</v>
      </c>
      <c r="M2658" s="135">
        <f>_xlfn.XLOOKUP(Market_Data[[#This Row],[District]],tbl_district_price[District],tbl_district_price[Standard Price
(INR/m³)],"",0)</f>
        <v>6200</v>
      </c>
      <c r="N2658" s="364">
        <f>IF(OR(Market_Data[[#This Row],[Estimated Concrete Demand (m³)]]="",Market_Data[[#This Row],[Avg Price per (₹ / m³)]]=""),"",Market_Data[[#This Row],[Estimated Concrete Demand (m³)]]*Market_Data[[#This Row],[Avg Price per (₹ / m³)]]/10000000)</f>
        <v>5.1782399999999997</v>
      </c>
      <c r="O2658" s="97" t="str">
        <f>IF(Market_Data[[#This Row],[Estimated Concrete Demand (m³)]]="","",
IF(Market_Data[[#This Row],[Estimated Concrete Demand (m³)]]&lt;10000,"Small",
IF(Market_Data[[#This Row],[Estimated Concrete Demand (m³)]]&lt;25000,"Medium",
IF(Market_Data[[#This Row],[Estimated Concrete Demand (m³)]]&lt;100000,"Large","Mega"))))</f>
        <v>Small</v>
      </c>
      <c r="P2658" s="287" t="str">
        <f t="shared" si="43"/>
        <v>GujRERA</v>
      </c>
    </row>
    <row r="2659" spans="1:16">
      <c r="A2659" s="129" t="str">
        <f>_xlfn.XLOOKUP(B2659,$S$9:$S$14,$T$9:$T$14)&amp;"-"&amp;
IF(E2659="Residential/Group Housing","RES",
IF(E2659="Commercial","COM",
IF(E2659="Mixed Development","MIX",
IF(E2659="Plotted Development","PLT","OTH"))))
&amp;"-"&amp;TEXT(COUNTIFS($B$9:B2659,B2659,$E$9:E2659,E2659),"0000")</f>
        <v>SUR-COM-0447</v>
      </c>
      <c r="B2659" s="322" t="s">
        <v>34</v>
      </c>
      <c r="C2659" s="322" t="s">
        <v>34</v>
      </c>
      <c r="D2659" s="323" t="s">
        <v>2848</v>
      </c>
      <c r="E2659" s="132" t="s">
        <v>23</v>
      </c>
      <c r="F2659" s="97" t="str">
        <f ca="1">IF(OR(Market_Data[[#This Row],[Start Date]]="",Market_Data[[#This Row],[Completion Date]]=""),"Needs Validation",IF(Market_Data[[#This Row],[Start Date]]&gt;TODAY(),"Planned",IF(Market_Data[[#This Row],[Completion Date]]&lt;TODAY(),"Completed","Ongoing")))</f>
        <v>Completed</v>
      </c>
      <c r="G2659" s="324">
        <v>42003</v>
      </c>
      <c r="H2659" s="324">
        <v>45107</v>
      </c>
      <c r="I2659" s="325">
        <v>13400</v>
      </c>
      <c r="J265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59" s="133">
        <f>_xlfn.XLOOKUP(Market_Data[[#This Row],[Project Type]],tbl_assumptions_market[Project Category (RERA)],tbl_assumptions_market[Concrete Intensity
(m³ / sq m BUA)],"",0)</f>
        <v>0.5</v>
      </c>
      <c r="L2659" s="134">
        <f>ROUND(Market_Data[[#This Row],[Estimated Built Up Area (sq m)]]*Market_Data[[#This Row],[Concrete Intensity
(m³ / sq m)]],0)</f>
        <v>6700</v>
      </c>
      <c r="M2659" s="135">
        <f>_xlfn.XLOOKUP(Market_Data[[#This Row],[District]],tbl_district_price[District],tbl_district_price[Standard Price
(INR/m³)],"",0)</f>
        <v>6200</v>
      </c>
      <c r="N2659" s="364">
        <f>IF(OR(Market_Data[[#This Row],[Estimated Concrete Demand (m³)]]="",Market_Data[[#This Row],[Avg Price per (₹ / m³)]]=""),"",Market_Data[[#This Row],[Estimated Concrete Demand (m³)]]*Market_Data[[#This Row],[Avg Price per (₹ / m³)]]/10000000)</f>
        <v>4.1539999999999999</v>
      </c>
      <c r="O2659" s="97" t="str">
        <f>IF(Market_Data[[#This Row],[Estimated Concrete Demand (m³)]]="","",
IF(Market_Data[[#This Row],[Estimated Concrete Demand (m³)]]&lt;10000,"Small",
IF(Market_Data[[#This Row],[Estimated Concrete Demand (m³)]]&lt;25000,"Medium",
IF(Market_Data[[#This Row],[Estimated Concrete Demand (m³)]]&lt;100000,"Large","Mega"))))</f>
        <v>Small</v>
      </c>
      <c r="P2659" s="287" t="str">
        <f t="shared" si="43"/>
        <v>GujRERA</v>
      </c>
    </row>
    <row r="2660" spans="1:16">
      <c r="A2660" s="129" t="str">
        <f>_xlfn.XLOOKUP(B2660,$S$9:$S$14,$T$9:$T$14)&amp;"-"&amp;
IF(E2660="Residential/Group Housing","RES",
IF(E2660="Commercial","COM",
IF(E2660="Mixed Development","MIX",
IF(E2660="Plotted Development","PLT","OTH"))))
&amp;"-"&amp;TEXT(COUNTIFS($B$9:B2660,B2660,$E$9:E2660,E2660),"0000")</f>
        <v>SUR-PLT-0504</v>
      </c>
      <c r="B2660" s="322" t="s">
        <v>34</v>
      </c>
      <c r="C2660" s="322" t="s">
        <v>34</v>
      </c>
      <c r="D2660" s="323" t="s">
        <v>2849</v>
      </c>
      <c r="E2660" s="132" t="s">
        <v>26</v>
      </c>
      <c r="F2660" s="97" t="str">
        <f ca="1">IF(OR(Market_Data[[#This Row],[Start Date]]="",Market_Data[[#This Row],[Completion Date]]=""),"Needs Validation",IF(Market_Data[[#This Row],[Start Date]]&gt;TODAY(),"Planned",IF(Market_Data[[#This Row],[Completion Date]]&lt;TODAY(),"Completed","Ongoing")))</f>
        <v>Completed</v>
      </c>
      <c r="G2660" s="324">
        <v>43909</v>
      </c>
      <c r="H2660" s="324">
        <v>45657</v>
      </c>
      <c r="I2660" s="325">
        <v>45600</v>
      </c>
      <c r="J266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660" s="133">
        <f>_xlfn.XLOOKUP(Market_Data[[#This Row],[Project Type]],tbl_assumptions_market[Project Category (RERA)],tbl_assumptions_market[Concrete Intensity
(m³ / sq m BUA)],"",0)</f>
        <v>0.18</v>
      </c>
      <c r="L2660" s="134">
        <f>ROUND(Market_Data[[#This Row],[Estimated Built Up Area (sq m)]]*Market_Data[[#This Row],[Concrete Intensity
(m³ / sq m)]],0)</f>
        <v>8208</v>
      </c>
      <c r="M2660" s="135">
        <f>_xlfn.XLOOKUP(Market_Data[[#This Row],[District]],tbl_district_price[District],tbl_district_price[Standard Price
(INR/m³)],"",0)</f>
        <v>6200</v>
      </c>
      <c r="N2660" s="364">
        <f>IF(OR(Market_Data[[#This Row],[Estimated Concrete Demand (m³)]]="",Market_Data[[#This Row],[Avg Price per (₹ / m³)]]=""),"",Market_Data[[#This Row],[Estimated Concrete Demand (m³)]]*Market_Data[[#This Row],[Avg Price per (₹ / m³)]]/10000000)</f>
        <v>5.0889600000000002</v>
      </c>
      <c r="O2660" s="97" t="str">
        <f>IF(Market_Data[[#This Row],[Estimated Concrete Demand (m³)]]="","",
IF(Market_Data[[#This Row],[Estimated Concrete Demand (m³)]]&lt;10000,"Small",
IF(Market_Data[[#This Row],[Estimated Concrete Demand (m³)]]&lt;25000,"Medium",
IF(Market_Data[[#This Row],[Estimated Concrete Demand (m³)]]&lt;100000,"Large","Mega"))))</f>
        <v>Small</v>
      </c>
      <c r="P2660" s="287" t="str">
        <f t="shared" si="43"/>
        <v>GujRERA</v>
      </c>
    </row>
    <row r="2661" spans="1:16">
      <c r="A2661" s="129" t="str">
        <f>_xlfn.XLOOKUP(B2661,$S$9:$S$14,$T$9:$T$14)&amp;"-"&amp;
IF(E2661="Residential/Group Housing","RES",
IF(E2661="Commercial","COM",
IF(E2661="Mixed Development","MIX",
IF(E2661="Plotted Development","PLT","OTH"))))
&amp;"-"&amp;TEXT(COUNTIFS($B$9:B2661,B2661,$E$9:E2661,E2661),"0000")</f>
        <v>SUR-COM-0448</v>
      </c>
      <c r="B2661" s="322" t="s">
        <v>34</v>
      </c>
      <c r="C2661" s="322" t="s">
        <v>34</v>
      </c>
      <c r="D2661" s="323" t="s">
        <v>2850</v>
      </c>
      <c r="E2661" s="132" t="s">
        <v>23</v>
      </c>
      <c r="F2661" s="97" t="str">
        <f ca="1">IF(OR(Market_Data[[#This Row],[Start Date]]="",Market_Data[[#This Row],[Completion Date]]=""),"Needs Validation",IF(Market_Data[[#This Row],[Start Date]]&gt;TODAY(),"Planned",IF(Market_Data[[#This Row],[Completion Date]]&lt;TODAY(),"Completed","Ongoing")))</f>
        <v>Completed</v>
      </c>
      <c r="G2661" s="324">
        <v>44615</v>
      </c>
      <c r="H2661" s="324">
        <v>45322</v>
      </c>
      <c r="I2661" s="325">
        <v>6100</v>
      </c>
      <c r="J266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61" s="133">
        <f>_xlfn.XLOOKUP(Market_Data[[#This Row],[Project Type]],tbl_assumptions_market[Project Category (RERA)],tbl_assumptions_market[Concrete Intensity
(m³ / sq m BUA)],"",0)</f>
        <v>0.5</v>
      </c>
      <c r="L2661" s="134">
        <f>ROUND(Market_Data[[#This Row],[Estimated Built Up Area (sq m)]]*Market_Data[[#This Row],[Concrete Intensity
(m³ / sq m)]],0)</f>
        <v>3050</v>
      </c>
      <c r="M2661" s="135">
        <f>_xlfn.XLOOKUP(Market_Data[[#This Row],[District]],tbl_district_price[District],tbl_district_price[Standard Price
(INR/m³)],"",0)</f>
        <v>6200</v>
      </c>
      <c r="N2661" s="364">
        <f>IF(OR(Market_Data[[#This Row],[Estimated Concrete Demand (m³)]]="",Market_Data[[#This Row],[Avg Price per (₹ / m³)]]=""),"",Market_Data[[#This Row],[Estimated Concrete Demand (m³)]]*Market_Data[[#This Row],[Avg Price per (₹ / m³)]]/10000000)</f>
        <v>1.891</v>
      </c>
      <c r="O2661" s="97" t="str">
        <f>IF(Market_Data[[#This Row],[Estimated Concrete Demand (m³)]]="","",
IF(Market_Data[[#This Row],[Estimated Concrete Demand (m³)]]&lt;10000,"Small",
IF(Market_Data[[#This Row],[Estimated Concrete Demand (m³)]]&lt;25000,"Medium",
IF(Market_Data[[#This Row],[Estimated Concrete Demand (m³)]]&lt;100000,"Large","Mega"))))</f>
        <v>Small</v>
      </c>
      <c r="P2661" s="287" t="str">
        <f t="shared" si="43"/>
        <v>GujRERA</v>
      </c>
    </row>
    <row r="2662" spans="1:16">
      <c r="A2662" s="129" t="str">
        <f>_xlfn.XLOOKUP(B2662,$S$9:$S$14,$T$9:$T$14)&amp;"-"&amp;
IF(E2662="Residential/Group Housing","RES",
IF(E2662="Commercial","COM",
IF(E2662="Mixed Development","MIX",
IF(E2662="Plotted Development","PLT","OTH"))))
&amp;"-"&amp;TEXT(COUNTIFS($B$9:B2662,B2662,$E$9:E2662,E2662),"0000")</f>
        <v>SUR-MIX-0476</v>
      </c>
      <c r="B2662" s="322" t="s">
        <v>34</v>
      </c>
      <c r="C2662" s="322" t="s">
        <v>34</v>
      </c>
      <c r="D2662" s="323" t="s">
        <v>2851</v>
      </c>
      <c r="E2662" s="132" t="s">
        <v>25</v>
      </c>
      <c r="F2662" s="97" t="str">
        <f ca="1">IF(OR(Market_Data[[#This Row],[Start Date]]="",Market_Data[[#This Row],[Completion Date]]=""),"Needs Validation",IF(Market_Data[[#This Row],[Start Date]]&gt;TODAY(),"Planned",IF(Market_Data[[#This Row],[Completion Date]]&lt;TODAY(),"Completed","Ongoing")))</f>
        <v>Ongoing</v>
      </c>
      <c r="G2662" s="324">
        <v>45659</v>
      </c>
      <c r="H2662" s="324">
        <v>47483</v>
      </c>
      <c r="I2662" s="325">
        <v>28600</v>
      </c>
      <c r="J266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62" s="133">
        <f>_xlfn.XLOOKUP(Market_Data[[#This Row],[Project Type]],tbl_assumptions_market[Project Category (RERA)],tbl_assumptions_market[Concrete Intensity
(m³ / sq m BUA)],"",0)</f>
        <v>0.42</v>
      </c>
      <c r="L2662" s="134">
        <f>ROUND(Market_Data[[#This Row],[Estimated Built Up Area (sq m)]]*Market_Data[[#This Row],[Concrete Intensity
(m³ / sq m)]],0)</f>
        <v>12012</v>
      </c>
      <c r="M2662" s="135">
        <f>_xlfn.XLOOKUP(Market_Data[[#This Row],[District]],tbl_district_price[District],tbl_district_price[Standard Price
(INR/m³)],"",0)</f>
        <v>6200</v>
      </c>
      <c r="N2662" s="364">
        <f>IF(OR(Market_Data[[#This Row],[Estimated Concrete Demand (m³)]]="",Market_Data[[#This Row],[Avg Price per (₹ / m³)]]=""),"",Market_Data[[#This Row],[Estimated Concrete Demand (m³)]]*Market_Data[[#This Row],[Avg Price per (₹ / m³)]]/10000000)</f>
        <v>7.4474400000000003</v>
      </c>
      <c r="O2662" s="97" t="str">
        <f>IF(Market_Data[[#This Row],[Estimated Concrete Demand (m³)]]="","",
IF(Market_Data[[#This Row],[Estimated Concrete Demand (m³)]]&lt;10000,"Small",
IF(Market_Data[[#This Row],[Estimated Concrete Demand (m³)]]&lt;25000,"Medium",
IF(Market_Data[[#This Row],[Estimated Concrete Demand (m³)]]&lt;100000,"Large","Mega"))))</f>
        <v>Medium</v>
      </c>
      <c r="P2662" s="287" t="str">
        <f t="shared" si="43"/>
        <v>GujRERA</v>
      </c>
    </row>
    <row r="2663" spans="1:16">
      <c r="A2663" s="129" t="str">
        <f>_xlfn.XLOOKUP(B2663,$S$9:$S$14,$T$9:$T$14)&amp;"-"&amp;
IF(E2663="Residential/Group Housing","RES",
IF(E2663="Commercial","COM",
IF(E2663="Mixed Development","MIX",
IF(E2663="Plotted Development","PLT","OTH"))))
&amp;"-"&amp;TEXT(COUNTIFS($B$9:B2663,B2663,$E$9:E2663,E2663),"0000")</f>
        <v>SUR-RES-0917</v>
      </c>
      <c r="B2663" s="322" t="s">
        <v>34</v>
      </c>
      <c r="C2663" s="322" t="s">
        <v>34</v>
      </c>
      <c r="D2663" s="323" t="s">
        <v>2852</v>
      </c>
      <c r="E2663" s="132" t="s">
        <v>24</v>
      </c>
      <c r="F2663" s="97" t="str">
        <f ca="1">IF(OR(Market_Data[[#This Row],[Start Date]]="",Market_Data[[#This Row],[Completion Date]]=""),"Needs Validation",IF(Market_Data[[#This Row],[Start Date]]&gt;TODAY(),"Planned",IF(Market_Data[[#This Row],[Completion Date]]&lt;TODAY(),"Completed","Ongoing")))</f>
        <v>Ongoing</v>
      </c>
      <c r="G2663" s="324">
        <v>45821</v>
      </c>
      <c r="H2663" s="324">
        <v>47483</v>
      </c>
      <c r="I2663" s="325">
        <v>20900</v>
      </c>
      <c r="J266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63" s="133">
        <f>_xlfn.XLOOKUP(Market_Data[[#This Row],[Project Type]],tbl_assumptions_market[Project Category (RERA)],tbl_assumptions_market[Concrete Intensity
(m³ / sq m BUA)],"",0)</f>
        <v>0.45</v>
      </c>
      <c r="L2663" s="134">
        <f>ROUND(Market_Data[[#This Row],[Estimated Built Up Area (sq m)]]*Market_Data[[#This Row],[Concrete Intensity
(m³ / sq m)]],0)</f>
        <v>9405</v>
      </c>
      <c r="M2663" s="135">
        <f>_xlfn.XLOOKUP(Market_Data[[#This Row],[District]],tbl_district_price[District],tbl_district_price[Standard Price
(INR/m³)],"",0)</f>
        <v>6200</v>
      </c>
      <c r="N2663" s="364">
        <f>IF(OR(Market_Data[[#This Row],[Estimated Concrete Demand (m³)]]="",Market_Data[[#This Row],[Avg Price per (₹ / m³)]]=""),"",Market_Data[[#This Row],[Estimated Concrete Demand (m³)]]*Market_Data[[#This Row],[Avg Price per (₹ / m³)]]/10000000)</f>
        <v>5.8311000000000002</v>
      </c>
      <c r="O2663" s="97" t="str">
        <f>IF(Market_Data[[#This Row],[Estimated Concrete Demand (m³)]]="","",
IF(Market_Data[[#This Row],[Estimated Concrete Demand (m³)]]&lt;10000,"Small",
IF(Market_Data[[#This Row],[Estimated Concrete Demand (m³)]]&lt;25000,"Medium",
IF(Market_Data[[#This Row],[Estimated Concrete Demand (m³)]]&lt;100000,"Large","Mega"))))</f>
        <v>Small</v>
      </c>
      <c r="P2663" s="287" t="str">
        <f t="shared" si="43"/>
        <v>GujRERA</v>
      </c>
    </row>
    <row r="2664" spans="1:16">
      <c r="A2664" s="129" t="str">
        <f>_xlfn.XLOOKUP(B2664,$S$9:$S$14,$T$9:$T$14)&amp;"-"&amp;
IF(E2664="Residential/Group Housing","RES",
IF(E2664="Commercial","COM",
IF(E2664="Mixed Development","MIX",
IF(E2664="Plotted Development","PLT","OTH"))))
&amp;"-"&amp;TEXT(COUNTIFS($B$9:B2664,B2664,$E$9:E2664,E2664),"0000")</f>
        <v>SUR-MIX-0477</v>
      </c>
      <c r="B2664" s="322" t="s">
        <v>34</v>
      </c>
      <c r="C2664" s="322" t="s">
        <v>34</v>
      </c>
      <c r="D2664" s="323" t="s">
        <v>2853</v>
      </c>
      <c r="E2664" s="132" t="s">
        <v>25</v>
      </c>
      <c r="F2664" s="97" t="str">
        <f ca="1">IF(OR(Market_Data[[#This Row],[Start Date]]="",Market_Data[[#This Row],[Completion Date]]=""),"Needs Validation",IF(Market_Data[[#This Row],[Start Date]]&gt;TODAY(),"Planned",IF(Market_Data[[#This Row],[Completion Date]]&lt;TODAY(),"Completed","Ongoing")))</f>
        <v>Ongoing</v>
      </c>
      <c r="G2664" s="324">
        <v>45031</v>
      </c>
      <c r="H2664" s="324">
        <v>47573</v>
      </c>
      <c r="I2664" s="325">
        <v>54000</v>
      </c>
      <c r="J266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64" s="133">
        <f>_xlfn.XLOOKUP(Market_Data[[#This Row],[Project Type]],tbl_assumptions_market[Project Category (RERA)],tbl_assumptions_market[Concrete Intensity
(m³ / sq m BUA)],"",0)</f>
        <v>0.42</v>
      </c>
      <c r="L2664" s="134">
        <f>ROUND(Market_Data[[#This Row],[Estimated Built Up Area (sq m)]]*Market_Data[[#This Row],[Concrete Intensity
(m³ / sq m)]],0)</f>
        <v>22680</v>
      </c>
      <c r="M2664" s="135">
        <f>_xlfn.XLOOKUP(Market_Data[[#This Row],[District]],tbl_district_price[District],tbl_district_price[Standard Price
(INR/m³)],"",0)</f>
        <v>6200</v>
      </c>
      <c r="N2664" s="364">
        <f>IF(OR(Market_Data[[#This Row],[Estimated Concrete Demand (m³)]]="",Market_Data[[#This Row],[Avg Price per (₹ / m³)]]=""),"",Market_Data[[#This Row],[Estimated Concrete Demand (m³)]]*Market_Data[[#This Row],[Avg Price per (₹ / m³)]]/10000000)</f>
        <v>14.0616</v>
      </c>
      <c r="O2664" s="97" t="str">
        <f>IF(Market_Data[[#This Row],[Estimated Concrete Demand (m³)]]="","",
IF(Market_Data[[#This Row],[Estimated Concrete Demand (m³)]]&lt;10000,"Small",
IF(Market_Data[[#This Row],[Estimated Concrete Demand (m³)]]&lt;25000,"Medium",
IF(Market_Data[[#This Row],[Estimated Concrete Demand (m³)]]&lt;100000,"Large","Mega"))))</f>
        <v>Medium</v>
      </c>
      <c r="P2664" s="287" t="str">
        <f t="shared" si="43"/>
        <v>GujRERA</v>
      </c>
    </row>
    <row r="2665" spans="1:16">
      <c r="A2665" s="129" t="str">
        <f>_xlfn.XLOOKUP(B2665,$S$9:$S$14,$T$9:$T$14)&amp;"-"&amp;
IF(E2665="Residential/Group Housing","RES",
IF(E2665="Commercial","COM",
IF(E2665="Mixed Development","MIX",
IF(E2665="Plotted Development","PLT","OTH"))))
&amp;"-"&amp;TEXT(COUNTIFS($B$9:B2665,B2665,$E$9:E2665,E2665),"0000")</f>
        <v>SUR-COM-0449</v>
      </c>
      <c r="B2665" s="322" t="s">
        <v>34</v>
      </c>
      <c r="C2665" s="322" t="s">
        <v>34</v>
      </c>
      <c r="D2665" s="323" t="s">
        <v>2854</v>
      </c>
      <c r="E2665" s="132" t="s">
        <v>23</v>
      </c>
      <c r="F2665" s="97" t="str">
        <f ca="1">IF(OR(Market_Data[[#This Row],[Start Date]]="",Market_Data[[#This Row],[Completion Date]]=""),"Needs Validation",IF(Market_Data[[#This Row],[Start Date]]&gt;TODAY(),"Planned",IF(Market_Data[[#This Row],[Completion Date]]&lt;TODAY(),"Completed","Ongoing")))</f>
        <v>Completed</v>
      </c>
      <c r="G2665" s="324">
        <v>44907</v>
      </c>
      <c r="H2665" s="324">
        <v>45838</v>
      </c>
      <c r="I2665" s="325">
        <v>53900</v>
      </c>
      <c r="J266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665" s="133">
        <f>_xlfn.XLOOKUP(Market_Data[[#This Row],[Project Type]],tbl_assumptions_market[Project Category (RERA)],tbl_assumptions_market[Concrete Intensity
(m³ / sq m BUA)],"",0)</f>
        <v>0.5</v>
      </c>
      <c r="L2665" s="134">
        <f>ROUND(Market_Data[[#This Row],[Estimated Built Up Area (sq m)]]*Market_Data[[#This Row],[Concrete Intensity
(m³ / sq m)]],0)</f>
        <v>26950</v>
      </c>
      <c r="M2665" s="135">
        <f>_xlfn.XLOOKUP(Market_Data[[#This Row],[District]],tbl_district_price[District],tbl_district_price[Standard Price
(INR/m³)],"",0)</f>
        <v>6200</v>
      </c>
      <c r="N2665" s="364">
        <f>IF(OR(Market_Data[[#This Row],[Estimated Concrete Demand (m³)]]="",Market_Data[[#This Row],[Avg Price per (₹ / m³)]]=""),"",Market_Data[[#This Row],[Estimated Concrete Demand (m³)]]*Market_Data[[#This Row],[Avg Price per (₹ / m³)]]/10000000)</f>
        <v>16.709</v>
      </c>
      <c r="O2665" s="97" t="str">
        <f>IF(Market_Data[[#This Row],[Estimated Concrete Demand (m³)]]="","",
IF(Market_Data[[#This Row],[Estimated Concrete Demand (m³)]]&lt;10000,"Small",
IF(Market_Data[[#This Row],[Estimated Concrete Demand (m³)]]&lt;25000,"Medium",
IF(Market_Data[[#This Row],[Estimated Concrete Demand (m³)]]&lt;100000,"Large","Mega"))))</f>
        <v>Large</v>
      </c>
      <c r="P2665" s="287" t="str">
        <f t="shared" si="43"/>
        <v>GujRERA</v>
      </c>
    </row>
    <row r="2666" spans="1:16">
      <c r="A2666" s="129" t="str">
        <f>_xlfn.XLOOKUP(B2666,$S$9:$S$14,$T$9:$T$14)&amp;"-"&amp;
IF(E2666="Residential/Group Housing","RES",
IF(E2666="Commercial","COM",
IF(E2666="Mixed Development","MIX",
IF(E2666="Plotted Development","PLT","OTH"))))
&amp;"-"&amp;TEXT(COUNTIFS($B$9:B2666,B2666,$E$9:E2666,E2666),"0000")</f>
        <v>SUR-PLT-0505</v>
      </c>
      <c r="B2666" s="322" t="s">
        <v>34</v>
      </c>
      <c r="C2666" s="322" t="s">
        <v>34</v>
      </c>
      <c r="D2666" s="323" t="s">
        <v>2855</v>
      </c>
      <c r="E2666" s="132" t="s">
        <v>26</v>
      </c>
      <c r="F2666" s="97" t="str">
        <f ca="1">IF(OR(Market_Data[[#This Row],[Start Date]]="",Market_Data[[#This Row],[Completion Date]]=""),"Needs Validation",IF(Market_Data[[#This Row],[Start Date]]&gt;TODAY(),"Planned",IF(Market_Data[[#This Row],[Completion Date]]&lt;TODAY(),"Completed","Ongoing")))</f>
        <v>Ongoing</v>
      </c>
      <c r="G2666" s="324">
        <v>45990</v>
      </c>
      <c r="H2666" s="324">
        <v>47848</v>
      </c>
      <c r="I2666" s="325">
        <v>55300</v>
      </c>
      <c r="J266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666" s="133">
        <f>_xlfn.XLOOKUP(Market_Data[[#This Row],[Project Type]],tbl_assumptions_market[Project Category (RERA)],tbl_assumptions_market[Concrete Intensity
(m³ / sq m BUA)],"",0)</f>
        <v>0.18</v>
      </c>
      <c r="L2666" s="134">
        <f>ROUND(Market_Data[[#This Row],[Estimated Built Up Area (sq m)]]*Market_Data[[#This Row],[Concrete Intensity
(m³ / sq m)]],0)</f>
        <v>9954</v>
      </c>
      <c r="M2666" s="135">
        <f>_xlfn.XLOOKUP(Market_Data[[#This Row],[District]],tbl_district_price[District],tbl_district_price[Standard Price
(INR/m³)],"",0)</f>
        <v>6200</v>
      </c>
      <c r="N2666" s="364">
        <f>IF(OR(Market_Data[[#This Row],[Estimated Concrete Demand (m³)]]="",Market_Data[[#This Row],[Avg Price per (₹ / m³)]]=""),"",Market_Data[[#This Row],[Estimated Concrete Demand (m³)]]*Market_Data[[#This Row],[Avg Price per (₹ / m³)]]/10000000)</f>
        <v>6.1714799999999999</v>
      </c>
      <c r="O2666" s="97" t="str">
        <f>IF(Market_Data[[#This Row],[Estimated Concrete Demand (m³)]]="","",
IF(Market_Data[[#This Row],[Estimated Concrete Demand (m³)]]&lt;10000,"Small",
IF(Market_Data[[#This Row],[Estimated Concrete Demand (m³)]]&lt;25000,"Medium",
IF(Market_Data[[#This Row],[Estimated Concrete Demand (m³)]]&lt;100000,"Large","Mega"))))</f>
        <v>Small</v>
      </c>
      <c r="P2666" s="287" t="str">
        <f t="shared" si="43"/>
        <v>GujRERA</v>
      </c>
    </row>
    <row r="2667" spans="1:16">
      <c r="A2667" s="129" t="str">
        <f>_xlfn.XLOOKUP(B2667,$S$9:$S$14,$T$9:$T$14)&amp;"-"&amp;
IF(E2667="Residential/Group Housing","RES",
IF(E2667="Commercial","COM",
IF(E2667="Mixed Development","MIX",
IF(E2667="Plotted Development","PLT","OTH"))))
&amp;"-"&amp;TEXT(COUNTIFS($B$9:B2667,B2667,$E$9:E2667,E2667),"0000")</f>
        <v>SUR-MIX-0478</v>
      </c>
      <c r="B2667" s="322" t="s">
        <v>34</v>
      </c>
      <c r="C2667" s="322" t="s">
        <v>34</v>
      </c>
      <c r="D2667" s="323" t="s">
        <v>2856</v>
      </c>
      <c r="E2667" s="132" t="s">
        <v>25</v>
      </c>
      <c r="F2667" s="97" t="str">
        <f ca="1">IF(OR(Market_Data[[#This Row],[Start Date]]="",Market_Data[[#This Row],[Completion Date]]=""),"Needs Validation",IF(Market_Data[[#This Row],[Start Date]]&gt;TODAY(),"Planned",IF(Market_Data[[#This Row],[Completion Date]]&lt;TODAY(),"Completed","Ongoing")))</f>
        <v>Completed</v>
      </c>
      <c r="G2667" s="324">
        <v>44105</v>
      </c>
      <c r="H2667" s="324">
        <v>46022</v>
      </c>
      <c r="I2667" s="325">
        <v>6800</v>
      </c>
      <c r="J266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667" s="133">
        <f>_xlfn.XLOOKUP(Market_Data[[#This Row],[Project Type]],tbl_assumptions_market[Project Category (RERA)],tbl_assumptions_market[Concrete Intensity
(m³ / sq m BUA)],"",0)</f>
        <v>0.42</v>
      </c>
      <c r="L2667" s="134">
        <f>ROUND(Market_Data[[#This Row],[Estimated Built Up Area (sq m)]]*Market_Data[[#This Row],[Concrete Intensity
(m³ / sq m)]],0)</f>
        <v>2856</v>
      </c>
      <c r="M2667" s="135">
        <f>_xlfn.XLOOKUP(Market_Data[[#This Row],[District]],tbl_district_price[District],tbl_district_price[Standard Price
(INR/m³)],"",0)</f>
        <v>6200</v>
      </c>
      <c r="N2667" s="364">
        <f>IF(OR(Market_Data[[#This Row],[Estimated Concrete Demand (m³)]]="",Market_Data[[#This Row],[Avg Price per (₹ / m³)]]=""),"",Market_Data[[#This Row],[Estimated Concrete Demand (m³)]]*Market_Data[[#This Row],[Avg Price per (₹ / m³)]]/10000000)</f>
        <v>1.7707200000000001</v>
      </c>
      <c r="O2667" s="97" t="str">
        <f>IF(Market_Data[[#This Row],[Estimated Concrete Demand (m³)]]="","",
IF(Market_Data[[#This Row],[Estimated Concrete Demand (m³)]]&lt;10000,"Small",
IF(Market_Data[[#This Row],[Estimated Concrete Demand (m³)]]&lt;25000,"Medium",
IF(Market_Data[[#This Row],[Estimated Concrete Demand (m³)]]&lt;100000,"Large","Mega"))))</f>
        <v>Small</v>
      </c>
      <c r="P2667" s="287" t="str">
        <f t="shared" si="43"/>
        <v>GujRERA</v>
      </c>
    </row>
    <row r="2668" spans="1:16">
      <c r="A2668" s="129" t="str">
        <f>_xlfn.XLOOKUP(B2668,$S$9:$S$14,$T$9:$T$14)&amp;"-"&amp;
IF(E2668="Residential/Group Housing","RES",
IF(E2668="Commercial","COM",
IF(E2668="Mixed Development","MIX",
IF(E2668="Plotted Development","PLT","OTH"))))
&amp;"-"&amp;TEXT(COUNTIFS($B$9:B2668,B2668,$E$9:E2668,E2668),"0000")</f>
        <v>SUR-RES-0918</v>
      </c>
      <c r="B2668" s="322" t="s">
        <v>34</v>
      </c>
      <c r="C2668" s="322" t="s">
        <v>34</v>
      </c>
      <c r="D2668" s="323" t="s">
        <v>2857</v>
      </c>
      <c r="E2668" s="132" t="s">
        <v>24</v>
      </c>
      <c r="F2668" s="97" t="str">
        <f ca="1">IF(OR(Market_Data[[#This Row],[Start Date]]="",Market_Data[[#This Row],[Completion Date]]=""),"Needs Validation",IF(Market_Data[[#This Row],[Start Date]]&gt;TODAY(),"Planned",IF(Market_Data[[#This Row],[Completion Date]]&lt;TODAY(),"Completed","Ongoing")))</f>
        <v>Ongoing</v>
      </c>
      <c r="G2668" s="324">
        <v>45031</v>
      </c>
      <c r="H2668" s="324">
        <v>47483</v>
      </c>
      <c r="I2668" s="325">
        <v>31600</v>
      </c>
      <c r="J266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68" s="133">
        <f>_xlfn.XLOOKUP(Market_Data[[#This Row],[Project Type]],tbl_assumptions_market[Project Category (RERA)],tbl_assumptions_market[Concrete Intensity
(m³ / sq m BUA)],"",0)</f>
        <v>0.45</v>
      </c>
      <c r="L2668" s="134">
        <f>ROUND(Market_Data[[#This Row],[Estimated Built Up Area (sq m)]]*Market_Data[[#This Row],[Concrete Intensity
(m³ / sq m)]],0)</f>
        <v>14220</v>
      </c>
      <c r="M2668" s="135">
        <f>_xlfn.XLOOKUP(Market_Data[[#This Row],[District]],tbl_district_price[District],tbl_district_price[Standard Price
(INR/m³)],"",0)</f>
        <v>6200</v>
      </c>
      <c r="N2668" s="364">
        <f>IF(OR(Market_Data[[#This Row],[Estimated Concrete Demand (m³)]]="",Market_Data[[#This Row],[Avg Price per (₹ / m³)]]=""),"",Market_Data[[#This Row],[Estimated Concrete Demand (m³)]]*Market_Data[[#This Row],[Avg Price per (₹ / m³)]]/10000000)</f>
        <v>8.8163999999999998</v>
      </c>
      <c r="O2668" s="97" t="str">
        <f>IF(Market_Data[[#This Row],[Estimated Concrete Demand (m³)]]="","",
IF(Market_Data[[#This Row],[Estimated Concrete Demand (m³)]]&lt;10000,"Small",
IF(Market_Data[[#This Row],[Estimated Concrete Demand (m³)]]&lt;25000,"Medium",
IF(Market_Data[[#This Row],[Estimated Concrete Demand (m³)]]&lt;100000,"Large","Mega"))))</f>
        <v>Medium</v>
      </c>
      <c r="P2668" s="287" t="str">
        <f t="shared" si="43"/>
        <v>GujRERA</v>
      </c>
    </row>
    <row r="2669" spans="1:16">
      <c r="A2669" s="129" t="str">
        <f>_xlfn.XLOOKUP(B2669,$S$9:$S$14,$T$9:$T$14)&amp;"-"&amp;
IF(E2669="Residential/Group Housing","RES",
IF(E2669="Commercial","COM",
IF(E2669="Mixed Development","MIX",
IF(E2669="Plotted Development","PLT","OTH"))))
&amp;"-"&amp;TEXT(COUNTIFS($B$9:B2669,B2669,$E$9:E2669,E2669),"0000")</f>
        <v>SUR-RES-0919</v>
      </c>
      <c r="B2669" s="322" t="s">
        <v>34</v>
      </c>
      <c r="C2669" s="322" t="s">
        <v>34</v>
      </c>
      <c r="D2669" s="323" t="s">
        <v>2858</v>
      </c>
      <c r="E2669" s="132" t="s">
        <v>24</v>
      </c>
      <c r="F2669" s="97" t="str">
        <f ca="1">IF(OR(Market_Data[[#This Row],[Start Date]]="",Market_Data[[#This Row],[Completion Date]]=""),"Needs Validation",IF(Market_Data[[#This Row],[Start Date]]&gt;TODAY(),"Planned",IF(Market_Data[[#This Row],[Completion Date]]&lt;TODAY(),"Completed","Ongoing")))</f>
        <v>Ongoing</v>
      </c>
      <c r="G2669" s="324">
        <v>45191</v>
      </c>
      <c r="H2669" s="324">
        <v>47483</v>
      </c>
      <c r="I2669" s="325">
        <v>24900</v>
      </c>
      <c r="J266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69" s="133">
        <f>_xlfn.XLOOKUP(Market_Data[[#This Row],[Project Type]],tbl_assumptions_market[Project Category (RERA)],tbl_assumptions_market[Concrete Intensity
(m³ / sq m BUA)],"",0)</f>
        <v>0.45</v>
      </c>
      <c r="L2669" s="134">
        <f>ROUND(Market_Data[[#This Row],[Estimated Built Up Area (sq m)]]*Market_Data[[#This Row],[Concrete Intensity
(m³ / sq m)]],0)</f>
        <v>11205</v>
      </c>
      <c r="M2669" s="135">
        <f>_xlfn.XLOOKUP(Market_Data[[#This Row],[District]],tbl_district_price[District],tbl_district_price[Standard Price
(INR/m³)],"",0)</f>
        <v>6200</v>
      </c>
      <c r="N2669" s="364">
        <f>IF(OR(Market_Data[[#This Row],[Estimated Concrete Demand (m³)]]="",Market_Data[[#This Row],[Avg Price per (₹ / m³)]]=""),"",Market_Data[[#This Row],[Estimated Concrete Demand (m³)]]*Market_Data[[#This Row],[Avg Price per (₹ / m³)]]/10000000)</f>
        <v>6.9470999999999998</v>
      </c>
      <c r="O2669" s="97" t="str">
        <f>IF(Market_Data[[#This Row],[Estimated Concrete Demand (m³)]]="","",
IF(Market_Data[[#This Row],[Estimated Concrete Demand (m³)]]&lt;10000,"Small",
IF(Market_Data[[#This Row],[Estimated Concrete Demand (m³)]]&lt;25000,"Medium",
IF(Market_Data[[#This Row],[Estimated Concrete Demand (m³)]]&lt;100000,"Large","Mega"))))</f>
        <v>Medium</v>
      </c>
      <c r="P2669" s="287" t="str">
        <f t="shared" si="43"/>
        <v>GujRERA</v>
      </c>
    </row>
    <row r="2670" spans="1:16">
      <c r="A2670" s="129" t="str">
        <f>_xlfn.XLOOKUP(B2670,$S$9:$S$14,$T$9:$T$14)&amp;"-"&amp;
IF(E2670="Residential/Group Housing","RES",
IF(E2670="Commercial","COM",
IF(E2670="Mixed Development","MIX",
IF(E2670="Plotted Development","PLT","OTH"))))
&amp;"-"&amp;TEXT(COUNTIFS($B$9:B2670,B2670,$E$9:E2670,E2670),"0000")</f>
        <v>SUR-PLT-0506</v>
      </c>
      <c r="B2670" s="322" t="s">
        <v>34</v>
      </c>
      <c r="C2670" s="322" t="s">
        <v>34</v>
      </c>
      <c r="D2670" s="323" t="s">
        <v>2859</v>
      </c>
      <c r="E2670" s="132" t="s">
        <v>26</v>
      </c>
      <c r="F2670" s="97" t="str">
        <f ca="1">IF(OR(Market_Data[[#This Row],[Start Date]]="",Market_Data[[#This Row],[Completion Date]]=""),"Needs Validation",IF(Market_Data[[#This Row],[Start Date]]&gt;TODAY(),"Planned",IF(Market_Data[[#This Row],[Completion Date]]&lt;TODAY(),"Completed","Ongoing")))</f>
        <v>Ongoing</v>
      </c>
      <c r="G2670" s="324">
        <v>45545</v>
      </c>
      <c r="H2670" s="324">
        <v>47118</v>
      </c>
      <c r="I2670" s="325">
        <v>3300</v>
      </c>
      <c r="J267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70" s="133">
        <f>_xlfn.XLOOKUP(Market_Data[[#This Row],[Project Type]],tbl_assumptions_market[Project Category (RERA)],tbl_assumptions_market[Concrete Intensity
(m³ / sq m BUA)],"",0)</f>
        <v>0.18</v>
      </c>
      <c r="L2670" s="134">
        <f>ROUND(Market_Data[[#This Row],[Estimated Built Up Area (sq m)]]*Market_Data[[#This Row],[Concrete Intensity
(m³ / sq m)]],0)</f>
        <v>594</v>
      </c>
      <c r="M2670" s="135">
        <f>_xlfn.XLOOKUP(Market_Data[[#This Row],[District]],tbl_district_price[District],tbl_district_price[Standard Price
(INR/m³)],"",0)</f>
        <v>6200</v>
      </c>
      <c r="N2670" s="364">
        <f>IF(OR(Market_Data[[#This Row],[Estimated Concrete Demand (m³)]]="",Market_Data[[#This Row],[Avg Price per (₹ / m³)]]=""),"",Market_Data[[#This Row],[Estimated Concrete Demand (m³)]]*Market_Data[[#This Row],[Avg Price per (₹ / m³)]]/10000000)</f>
        <v>0.36828</v>
      </c>
      <c r="O2670" s="97" t="str">
        <f>IF(Market_Data[[#This Row],[Estimated Concrete Demand (m³)]]="","",
IF(Market_Data[[#This Row],[Estimated Concrete Demand (m³)]]&lt;10000,"Small",
IF(Market_Data[[#This Row],[Estimated Concrete Demand (m³)]]&lt;25000,"Medium",
IF(Market_Data[[#This Row],[Estimated Concrete Demand (m³)]]&lt;100000,"Large","Mega"))))</f>
        <v>Small</v>
      </c>
      <c r="P2670" s="287" t="str">
        <f t="shared" si="43"/>
        <v>GujRERA</v>
      </c>
    </row>
    <row r="2671" spans="1:16">
      <c r="A2671" s="129" t="str">
        <f>_xlfn.XLOOKUP(B2671,$S$9:$S$14,$T$9:$T$14)&amp;"-"&amp;
IF(E2671="Residential/Group Housing","RES",
IF(E2671="Commercial","COM",
IF(E2671="Mixed Development","MIX",
IF(E2671="Plotted Development","PLT","OTH"))))
&amp;"-"&amp;TEXT(COUNTIFS($B$9:B2671,B2671,$E$9:E2671,E2671),"0000")</f>
        <v>SUR-PLT-0507</v>
      </c>
      <c r="B2671" s="322" t="s">
        <v>34</v>
      </c>
      <c r="C2671" s="322" t="s">
        <v>34</v>
      </c>
      <c r="D2671" s="323" t="s">
        <v>2860</v>
      </c>
      <c r="E2671" s="132" t="s">
        <v>26</v>
      </c>
      <c r="F2671" s="97" t="str">
        <f ca="1">IF(OR(Market_Data[[#This Row],[Start Date]]="",Market_Data[[#This Row],[Completion Date]]=""),"Needs Validation",IF(Market_Data[[#This Row],[Start Date]]&gt;TODAY(),"Planned",IF(Market_Data[[#This Row],[Completion Date]]&lt;TODAY(),"Completed","Ongoing")))</f>
        <v>Completed</v>
      </c>
      <c r="G2671" s="324">
        <v>44502</v>
      </c>
      <c r="H2671" s="324">
        <v>44898</v>
      </c>
      <c r="I2671" s="325">
        <v>16200</v>
      </c>
      <c r="J267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71" s="133">
        <f>_xlfn.XLOOKUP(Market_Data[[#This Row],[Project Type]],tbl_assumptions_market[Project Category (RERA)],tbl_assumptions_market[Concrete Intensity
(m³ / sq m BUA)],"",0)</f>
        <v>0.18</v>
      </c>
      <c r="L2671" s="134">
        <f>ROUND(Market_Data[[#This Row],[Estimated Built Up Area (sq m)]]*Market_Data[[#This Row],[Concrete Intensity
(m³ / sq m)]],0)</f>
        <v>2916</v>
      </c>
      <c r="M2671" s="135">
        <f>_xlfn.XLOOKUP(Market_Data[[#This Row],[District]],tbl_district_price[District],tbl_district_price[Standard Price
(INR/m³)],"",0)</f>
        <v>6200</v>
      </c>
      <c r="N2671" s="364">
        <f>IF(OR(Market_Data[[#This Row],[Estimated Concrete Demand (m³)]]="",Market_Data[[#This Row],[Avg Price per (₹ / m³)]]=""),"",Market_Data[[#This Row],[Estimated Concrete Demand (m³)]]*Market_Data[[#This Row],[Avg Price per (₹ / m³)]]/10000000)</f>
        <v>1.80792</v>
      </c>
      <c r="O2671" s="97" t="str">
        <f>IF(Market_Data[[#This Row],[Estimated Concrete Demand (m³)]]="","",
IF(Market_Data[[#This Row],[Estimated Concrete Demand (m³)]]&lt;10000,"Small",
IF(Market_Data[[#This Row],[Estimated Concrete Demand (m³)]]&lt;25000,"Medium",
IF(Market_Data[[#This Row],[Estimated Concrete Demand (m³)]]&lt;100000,"Large","Mega"))))</f>
        <v>Small</v>
      </c>
      <c r="P2671" s="287" t="str">
        <f t="shared" si="43"/>
        <v>GujRERA</v>
      </c>
    </row>
    <row r="2672" spans="1:16">
      <c r="A2672" s="129" t="str">
        <f>_xlfn.XLOOKUP(B2672,$S$9:$S$14,$T$9:$T$14)&amp;"-"&amp;
IF(E2672="Residential/Group Housing","RES",
IF(E2672="Commercial","COM",
IF(E2672="Mixed Development","MIX",
IF(E2672="Plotted Development","PLT","OTH"))))
&amp;"-"&amp;TEXT(COUNTIFS($B$9:B2672,B2672,$E$9:E2672,E2672),"0000")</f>
        <v>SUR-MIX-0479</v>
      </c>
      <c r="B2672" s="322" t="s">
        <v>34</v>
      </c>
      <c r="C2672" s="322" t="s">
        <v>34</v>
      </c>
      <c r="D2672" s="323" t="s">
        <v>2861</v>
      </c>
      <c r="E2672" s="132" t="s">
        <v>25</v>
      </c>
      <c r="F2672" s="97" t="str">
        <f ca="1">IF(OR(Market_Data[[#This Row],[Start Date]]="",Market_Data[[#This Row],[Completion Date]]=""),"Needs Validation",IF(Market_Data[[#This Row],[Start Date]]&gt;TODAY(),"Planned",IF(Market_Data[[#This Row],[Completion Date]]&lt;TODAY(),"Completed","Ongoing")))</f>
        <v>Ongoing</v>
      </c>
      <c r="G2672" s="324">
        <v>45798</v>
      </c>
      <c r="H2672" s="324">
        <v>47573</v>
      </c>
      <c r="I2672" s="325">
        <v>51100</v>
      </c>
      <c r="J267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72" s="133">
        <f>_xlfn.XLOOKUP(Market_Data[[#This Row],[Project Type]],tbl_assumptions_market[Project Category (RERA)],tbl_assumptions_market[Concrete Intensity
(m³ / sq m BUA)],"",0)</f>
        <v>0.42</v>
      </c>
      <c r="L2672" s="134">
        <f>ROUND(Market_Data[[#This Row],[Estimated Built Up Area (sq m)]]*Market_Data[[#This Row],[Concrete Intensity
(m³ / sq m)]],0)</f>
        <v>21462</v>
      </c>
      <c r="M2672" s="135">
        <f>_xlfn.XLOOKUP(Market_Data[[#This Row],[District]],tbl_district_price[District],tbl_district_price[Standard Price
(INR/m³)],"",0)</f>
        <v>6200</v>
      </c>
      <c r="N2672" s="364">
        <f>IF(OR(Market_Data[[#This Row],[Estimated Concrete Demand (m³)]]="",Market_Data[[#This Row],[Avg Price per (₹ / m³)]]=""),"",Market_Data[[#This Row],[Estimated Concrete Demand (m³)]]*Market_Data[[#This Row],[Avg Price per (₹ / m³)]]/10000000)</f>
        <v>13.30644</v>
      </c>
      <c r="O2672" s="97" t="str">
        <f>IF(Market_Data[[#This Row],[Estimated Concrete Demand (m³)]]="","",
IF(Market_Data[[#This Row],[Estimated Concrete Demand (m³)]]&lt;10000,"Small",
IF(Market_Data[[#This Row],[Estimated Concrete Demand (m³)]]&lt;25000,"Medium",
IF(Market_Data[[#This Row],[Estimated Concrete Demand (m³)]]&lt;100000,"Large","Mega"))))</f>
        <v>Medium</v>
      </c>
      <c r="P2672" s="287" t="str">
        <f t="shared" si="43"/>
        <v>GujRERA</v>
      </c>
    </row>
    <row r="2673" spans="1:16">
      <c r="A2673" s="129" t="str">
        <f>_xlfn.XLOOKUP(B2673,$S$9:$S$14,$T$9:$T$14)&amp;"-"&amp;
IF(E2673="Residential/Group Housing","RES",
IF(E2673="Commercial","COM",
IF(E2673="Mixed Development","MIX",
IF(E2673="Plotted Development","PLT","OTH"))))
&amp;"-"&amp;TEXT(COUNTIFS($B$9:B2673,B2673,$E$9:E2673,E2673),"0000")</f>
        <v>SUR-RES-0920</v>
      </c>
      <c r="B2673" s="322" t="s">
        <v>34</v>
      </c>
      <c r="C2673" s="322" t="s">
        <v>34</v>
      </c>
      <c r="D2673" s="323" t="s">
        <v>2862</v>
      </c>
      <c r="E2673" s="132" t="s">
        <v>24</v>
      </c>
      <c r="F2673" s="97" t="str">
        <f ca="1">IF(OR(Market_Data[[#This Row],[Start Date]]="",Market_Data[[#This Row],[Completion Date]]=""),"Needs Validation",IF(Market_Data[[#This Row],[Start Date]]&gt;TODAY(),"Planned",IF(Market_Data[[#This Row],[Completion Date]]&lt;TODAY(),"Completed","Ongoing")))</f>
        <v>Completed</v>
      </c>
      <c r="G2673" s="324">
        <v>43708</v>
      </c>
      <c r="H2673" s="324">
        <v>45838</v>
      </c>
      <c r="I2673" s="325">
        <v>6600</v>
      </c>
      <c r="J267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73" s="133">
        <f>_xlfn.XLOOKUP(Market_Data[[#This Row],[Project Type]],tbl_assumptions_market[Project Category (RERA)],tbl_assumptions_market[Concrete Intensity
(m³ / sq m BUA)],"",0)</f>
        <v>0.45</v>
      </c>
      <c r="L2673" s="134">
        <f>ROUND(Market_Data[[#This Row],[Estimated Built Up Area (sq m)]]*Market_Data[[#This Row],[Concrete Intensity
(m³ / sq m)]],0)</f>
        <v>2970</v>
      </c>
      <c r="M2673" s="135">
        <f>_xlfn.XLOOKUP(Market_Data[[#This Row],[District]],tbl_district_price[District],tbl_district_price[Standard Price
(INR/m³)],"",0)</f>
        <v>6200</v>
      </c>
      <c r="N2673" s="364">
        <f>IF(OR(Market_Data[[#This Row],[Estimated Concrete Demand (m³)]]="",Market_Data[[#This Row],[Avg Price per (₹ / m³)]]=""),"",Market_Data[[#This Row],[Estimated Concrete Demand (m³)]]*Market_Data[[#This Row],[Avg Price per (₹ / m³)]]/10000000)</f>
        <v>1.8413999999999999</v>
      </c>
      <c r="O2673" s="97" t="str">
        <f>IF(Market_Data[[#This Row],[Estimated Concrete Demand (m³)]]="","",
IF(Market_Data[[#This Row],[Estimated Concrete Demand (m³)]]&lt;10000,"Small",
IF(Market_Data[[#This Row],[Estimated Concrete Demand (m³)]]&lt;25000,"Medium",
IF(Market_Data[[#This Row],[Estimated Concrete Demand (m³)]]&lt;100000,"Large","Mega"))))</f>
        <v>Small</v>
      </c>
      <c r="P2673" s="287" t="str">
        <f t="shared" si="43"/>
        <v>GujRERA</v>
      </c>
    </row>
    <row r="2674" spans="1:16">
      <c r="A2674" s="129" t="str">
        <f>_xlfn.XLOOKUP(B2674,$S$9:$S$14,$T$9:$T$14)&amp;"-"&amp;
IF(E2674="Residential/Group Housing","RES",
IF(E2674="Commercial","COM",
IF(E2674="Mixed Development","MIX",
IF(E2674="Plotted Development","PLT","OTH"))))
&amp;"-"&amp;TEXT(COUNTIFS($B$9:B2674,B2674,$E$9:E2674,E2674),"0000")</f>
        <v>SUR-COM-0450</v>
      </c>
      <c r="B2674" s="322" t="s">
        <v>34</v>
      </c>
      <c r="C2674" s="322" t="s">
        <v>34</v>
      </c>
      <c r="D2674" s="323" t="s">
        <v>2863</v>
      </c>
      <c r="E2674" s="132" t="s">
        <v>23</v>
      </c>
      <c r="F2674" s="97" t="str">
        <f ca="1">IF(OR(Market_Data[[#This Row],[Start Date]]="",Market_Data[[#This Row],[Completion Date]]=""),"Needs Validation",IF(Market_Data[[#This Row],[Start Date]]&gt;TODAY(),"Planned",IF(Market_Data[[#This Row],[Completion Date]]&lt;TODAY(),"Completed","Ongoing")))</f>
        <v>Completed</v>
      </c>
      <c r="G2674" s="324">
        <v>42527</v>
      </c>
      <c r="H2674" s="324">
        <v>44196</v>
      </c>
      <c r="I2674" s="325">
        <v>32800</v>
      </c>
      <c r="J267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674" s="133">
        <f>_xlfn.XLOOKUP(Market_Data[[#This Row],[Project Type]],tbl_assumptions_market[Project Category (RERA)],tbl_assumptions_market[Concrete Intensity
(m³ / sq m BUA)],"",0)</f>
        <v>0.5</v>
      </c>
      <c r="L2674" s="134">
        <f>ROUND(Market_Data[[#This Row],[Estimated Built Up Area (sq m)]]*Market_Data[[#This Row],[Concrete Intensity
(m³ / sq m)]],0)</f>
        <v>16400</v>
      </c>
      <c r="M2674" s="135">
        <f>_xlfn.XLOOKUP(Market_Data[[#This Row],[District]],tbl_district_price[District],tbl_district_price[Standard Price
(INR/m³)],"",0)</f>
        <v>6200</v>
      </c>
      <c r="N2674" s="364">
        <f>IF(OR(Market_Data[[#This Row],[Estimated Concrete Demand (m³)]]="",Market_Data[[#This Row],[Avg Price per (₹ / m³)]]=""),"",Market_Data[[#This Row],[Estimated Concrete Demand (m³)]]*Market_Data[[#This Row],[Avg Price per (₹ / m³)]]/10000000)</f>
        <v>10.167999999999999</v>
      </c>
      <c r="O2674" s="97" t="str">
        <f>IF(Market_Data[[#This Row],[Estimated Concrete Demand (m³)]]="","",
IF(Market_Data[[#This Row],[Estimated Concrete Demand (m³)]]&lt;10000,"Small",
IF(Market_Data[[#This Row],[Estimated Concrete Demand (m³)]]&lt;25000,"Medium",
IF(Market_Data[[#This Row],[Estimated Concrete Demand (m³)]]&lt;100000,"Large","Mega"))))</f>
        <v>Medium</v>
      </c>
      <c r="P2674" s="287" t="str">
        <f t="shared" si="43"/>
        <v>GujRERA</v>
      </c>
    </row>
    <row r="2675" spans="1:16">
      <c r="A2675" s="129" t="str">
        <f>_xlfn.XLOOKUP(B2675,$S$9:$S$14,$T$9:$T$14)&amp;"-"&amp;
IF(E2675="Residential/Group Housing","RES",
IF(E2675="Commercial","COM",
IF(E2675="Mixed Development","MIX",
IF(E2675="Plotted Development","PLT","OTH"))))
&amp;"-"&amp;TEXT(COUNTIFS($B$9:B2675,B2675,$E$9:E2675,E2675),"0000")</f>
        <v>SUR-RES-0921</v>
      </c>
      <c r="B2675" s="322" t="s">
        <v>34</v>
      </c>
      <c r="C2675" s="322" t="s">
        <v>34</v>
      </c>
      <c r="D2675" s="323" t="s">
        <v>2864</v>
      </c>
      <c r="E2675" s="132" t="s">
        <v>24</v>
      </c>
      <c r="F2675" s="97" t="str">
        <f ca="1">IF(OR(Market_Data[[#This Row],[Start Date]]="",Market_Data[[#This Row],[Completion Date]]=""),"Needs Validation",IF(Market_Data[[#This Row],[Start Date]]&gt;TODAY(),"Planned",IF(Market_Data[[#This Row],[Completion Date]]&lt;TODAY(),"Completed","Ongoing")))</f>
        <v>Completed</v>
      </c>
      <c r="G2675" s="324">
        <v>42457</v>
      </c>
      <c r="H2675" s="324">
        <v>44377</v>
      </c>
      <c r="I2675" s="325">
        <v>2200</v>
      </c>
      <c r="J267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75" s="133">
        <f>_xlfn.XLOOKUP(Market_Data[[#This Row],[Project Type]],tbl_assumptions_market[Project Category (RERA)],tbl_assumptions_market[Concrete Intensity
(m³ / sq m BUA)],"",0)</f>
        <v>0.45</v>
      </c>
      <c r="L2675" s="134">
        <f>ROUND(Market_Data[[#This Row],[Estimated Built Up Area (sq m)]]*Market_Data[[#This Row],[Concrete Intensity
(m³ / sq m)]],0)</f>
        <v>990</v>
      </c>
      <c r="M2675" s="135">
        <f>_xlfn.XLOOKUP(Market_Data[[#This Row],[District]],tbl_district_price[District],tbl_district_price[Standard Price
(INR/m³)],"",0)</f>
        <v>6200</v>
      </c>
      <c r="N2675" s="364">
        <f>IF(OR(Market_Data[[#This Row],[Estimated Concrete Demand (m³)]]="",Market_Data[[#This Row],[Avg Price per (₹ / m³)]]=""),"",Market_Data[[#This Row],[Estimated Concrete Demand (m³)]]*Market_Data[[#This Row],[Avg Price per (₹ / m³)]]/10000000)</f>
        <v>0.61380000000000001</v>
      </c>
      <c r="O2675" s="97" t="str">
        <f>IF(Market_Data[[#This Row],[Estimated Concrete Demand (m³)]]="","",
IF(Market_Data[[#This Row],[Estimated Concrete Demand (m³)]]&lt;10000,"Small",
IF(Market_Data[[#This Row],[Estimated Concrete Demand (m³)]]&lt;25000,"Medium",
IF(Market_Data[[#This Row],[Estimated Concrete Demand (m³)]]&lt;100000,"Large","Mega"))))</f>
        <v>Small</v>
      </c>
      <c r="P2675" s="287" t="str">
        <f t="shared" si="43"/>
        <v>GujRERA</v>
      </c>
    </row>
    <row r="2676" spans="1:16">
      <c r="A2676" s="129" t="str">
        <f>_xlfn.XLOOKUP(B2676,$S$9:$S$14,$T$9:$T$14)&amp;"-"&amp;
IF(E2676="Residential/Group Housing","RES",
IF(E2676="Commercial","COM",
IF(E2676="Mixed Development","MIX",
IF(E2676="Plotted Development","PLT","OTH"))))
&amp;"-"&amp;TEXT(COUNTIFS($B$9:B2676,B2676,$E$9:E2676,E2676),"0000")</f>
        <v>SUR-RES-0922</v>
      </c>
      <c r="B2676" s="322" t="s">
        <v>34</v>
      </c>
      <c r="C2676" s="322" t="s">
        <v>34</v>
      </c>
      <c r="D2676" s="323" t="s">
        <v>2865</v>
      </c>
      <c r="E2676" s="132" t="s">
        <v>24</v>
      </c>
      <c r="F2676" s="97" t="str">
        <f ca="1">IF(OR(Market_Data[[#This Row],[Start Date]]="",Market_Data[[#This Row],[Completion Date]]=""),"Needs Validation",IF(Market_Data[[#This Row],[Start Date]]&gt;TODAY(),"Planned",IF(Market_Data[[#This Row],[Completion Date]]&lt;TODAY(),"Completed","Ongoing")))</f>
        <v>Completed</v>
      </c>
      <c r="G2676" s="324">
        <v>43287</v>
      </c>
      <c r="H2676" s="324">
        <v>45930</v>
      </c>
      <c r="I2676" s="325">
        <v>23600</v>
      </c>
      <c r="J267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76" s="133">
        <f>_xlfn.XLOOKUP(Market_Data[[#This Row],[Project Type]],tbl_assumptions_market[Project Category (RERA)],tbl_assumptions_market[Concrete Intensity
(m³ / sq m BUA)],"",0)</f>
        <v>0.45</v>
      </c>
      <c r="L2676" s="134">
        <f>ROUND(Market_Data[[#This Row],[Estimated Built Up Area (sq m)]]*Market_Data[[#This Row],[Concrete Intensity
(m³ / sq m)]],0)</f>
        <v>10620</v>
      </c>
      <c r="M2676" s="135">
        <f>_xlfn.XLOOKUP(Market_Data[[#This Row],[District]],tbl_district_price[District],tbl_district_price[Standard Price
(INR/m³)],"",0)</f>
        <v>6200</v>
      </c>
      <c r="N2676" s="364">
        <f>IF(OR(Market_Data[[#This Row],[Estimated Concrete Demand (m³)]]="",Market_Data[[#This Row],[Avg Price per (₹ / m³)]]=""),"",Market_Data[[#This Row],[Estimated Concrete Demand (m³)]]*Market_Data[[#This Row],[Avg Price per (₹ / m³)]]/10000000)</f>
        <v>6.5843999999999996</v>
      </c>
      <c r="O2676" s="97" t="str">
        <f>IF(Market_Data[[#This Row],[Estimated Concrete Demand (m³)]]="","",
IF(Market_Data[[#This Row],[Estimated Concrete Demand (m³)]]&lt;10000,"Small",
IF(Market_Data[[#This Row],[Estimated Concrete Demand (m³)]]&lt;25000,"Medium",
IF(Market_Data[[#This Row],[Estimated Concrete Demand (m³)]]&lt;100000,"Large","Mega"))))</f>
        <v>Medium</v>
      </c>
      <c r="P2676" s="287" t="str">
        <f t="shared" si="43"/>
        <v>GujRERA</v>
      </c>
    </row>
    <row r="2677" spans="1:16">
      <c r="A2677" s="129" t="str">
        <f>_xlfn.XLOOKUP(B2677,$S$9:$S$14,$T$9:$T$14)&amp;"-"&amp;
IF(E2677="Residential/Group Housing","RES",
IF(E2677="Commercial","COM",
IF(E2677="Mixed Development","MIX",
IF(E2677="Plotted Development","PLT","OTH"))))
&amp;"-"&amp;TEXT(COUNTIFS($B$9:B2677,B2677,$E$9:E2677,E2677),"0000")</f>
        <v>SUR-RES-0923</v>
      </c>
      <c r="B2677" s="322" t="s">
        <v>34</v>
      </c>
      <c r="C2677" s="322" t="s">
        <v>34</v>
      </c>
      <c r="D2677" s="323" t="s">
        <v>2866</v>
      </c>
      <c r="E2677" s="132" t="s">
        <v>24</v>
      </c>
      <c r="F2677" s="97" t="str">
        <f ca="1">IF(OR(Market_Data[[#This Row],[Start Date]]="",Market_Data[[#This Row],[Completion Date]]=""),"Needs Validation",IF(Market_Data[[#This Row],[Start Date]]&gt;TODAY(),"Planned",IF(Market_Data[[#This Row],[Completion Date]]&lt;TODAY(),"Completed","Ongoing")))</f>
        <v>Completed</v>
      </c>
      <c r="G2677" s="324">
        <v>41754</v>
      </c>
      <c r="H2677" s="324">
        <v>44926</v>
      </c>
      <c r="I2677" s="325">
        <v>2700</v>
      </c>
      <c r="J267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77" s="133">
        <f>_xlfn.XLOOKUP(Market_Data[[#This Row],[Project Type]],tbl_assumptions_market[Project Category (RERA)],tbl_assumptions_market[Concrete Intensity
(m³ / sq m BUA)],"",0)</f>
        <v>0.45</v>
      </c>
      <c r="L2677" s="134">
        <f>ROUND(Market_Data[[#This Row],[Estimated Built Up Area (sq m)]]*Market_Data[[#This Row],[Concrete Intensity
(m³ / sq m)]],0)</f>
        <v>1215</v>
      </c>
      <c r="M2677" s="135">
        <f>_xlfn.XLOOKUP(Market_Data[[#This Row],[District]],tbl_district_price[District],tbl_district_price[Standard Price
(INR/m³)],"",0)</f>
        <v>6200</v>
      </c>
      <c r="N2677" s="364">
        <f>IF(OR(Market_Data[[#This Row],[Estimated Concrete Demand (m³)]]="",Market_Data[[#This Row],[Avg Price per (₹ / m³)]]=""),"",Market_Data[[#This Row],[Estimated Concrete Demand (m³)]]*Market_Data[[#This Row],[Avg Price per (₹ / m³)]]/10000000)</f>
        <v>0.75329999999999997</v>
      </c>
      <c r="O2677" s="97" t="str">
        <f>IF(Market_Data[[#This Row],[Estimated Concrete Demand (m³)]]="","",
IF(Market_Data[[#This Row],[Estimated Concrete Demand (m³)]]&lt;10000,"Small",
IF(Market_Data[[#This Row],[Estimated Concrete Demand (m³)]]&lt;25000,"Medium",
IF(Market_Data[[#This Row],[Estimated Concrete Demand (m³)]]&lt;100000,"Large","Mega"))))</f>
        <v>Small</v>
      </c>
      <c r="P2677" s="287" t="str">
        <f t="shared" si="43"/>
        <v>GujRERA</v>
      </c>
    </row>
    <row r="2678" spans="1:16">
      <c r="A2678" s="129" t="str">
        <f>_xlfn.XLOOKUP(B2678,$S$9:$S$14,$T$9:$T$14)&amp;"-"&amp;
IF(E2678="Residential/Group Housing","RES",
IF(E2678="Commercial","COM",
IF(E2678="Mixed Development","MIX",
IF(E2678="Plotted Development","PLT","OTH"))))
&amp;"-"&amp;TEXT(COUNTIFS($B$9:B2678,B2678,$E$9:E2678,E2678),"0000")</f>
        <v>SUR-COM-0451</v>
      </c>
      <c r="B2678" s="322" t="s">
        <v>34</v>
      </c>
      <c r="C2678" s="322" t="s">
        <v>34</v>
      </c>
      <c r="D2678" s="323" t="s">
        <v>2867</v>
      </c>
      <c r="E2678" s="132" t="s">
        <v>23</v>
      </c>
      <c r="F2678" s="97" t="str">
        <f ca="1">IF(OR(Market_Data[[#This Row],[Start Date]]="",Market_Data[[#This Row],[Completion Date]]=""),"Needs Validation",IF(Market_Data[[#This Row],[Start Date]]&gt;TODAY(),"Planned",IF(Market_Data[[#This Row],[Completion Date]]&lt;TODAY(),"Completed","Ongoing")))</f>
        <v>Ongoing</v>
      </c>
      <c r="G2678" s="324">
        <v>45580</v>
      </c>
      <c r="H2678" s="324">
        <v>47118</v>
      </c>
      <c r="I2678" s="325">
        <v>5200</v>
      </c>
      <c r="J267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78" s="133">
        <f>_xlfn.XLOOKUP(Market_Data[[#This Row],[Project Type]],tbl_assumptions_market[Project Category (RERA)],tbl_assumptions_market[Concrete Intensity
(m³ / sq m BUA)],"",0)</f>
        <v>0.5</v>
      </c>
      <c r="L2678" s="134">
        <f>ROUND(Market_Data[[#This Row],[Estimated Built Up Area (sq m)]]*Market_Data[[#This Row],[Concrete Intensity
(m³ / sq m)]],0)</f>
        <v>2600</v>
      </c>
      <c r="M2678" s="135">
        <f>_xlfn.XLOOKUP(Market_Data[[#This Row],[District]],tbl_district_price[District],tbl_district_price[Standard Price
(INR/m³)],"",0)</f>
        <v>6200</v>
      </c>
      <c r="N2678" s="364">
        <f>IF(OR(Market_Data[[#This Row],[Estimated Concrete Demand (m³)]]="",Market_Data[[#This Row],[Avg Price per (₹ / m³)]]=""),"",Market_Data[[#This Row],[Estimated Concrete Demand (m³)]]*Market_Data[[#This Row],[Avg Price per (₹ / m³)]]/10000000)</f>
        <v>1.6120000000000001</v>
      </c>
      <c r="O2678" s="97" t="str">
        <f>IF(Market_Data[[#This Row],[Estimated Concrete Demand (m³)]]="","",
IF(Market_Data[[#This Row],[Estimated Concrete Demand (m³)]]&lt;10000,"Small",
IF(Market_Data[[#This Row],[Estimated Concrete Demand (m³)]]&lt;25000,"Medium",
IF(Market_Data[[#This Row],[Estimated Concrete Demand (m³)]]&lt;100000,"Large","Mega"))))</f>
        <v>Small</v>
      </c>
      <c r="P2678" s="287" t="str">
        <f t="shared" si="43"/>
        <v>GujRERA</v>
      </c>
    </row>
    <row r="2679" spans="1:16">
      <c r="A2679" s="129" t="str">
        <f>_xlfn.XLOOKUP(B2679,$S$9:$S$14,$T$9:$T$14)&amp;"-"&amp;
IF(E2679="Residential/Group Housing","RES",
IF(E2679="Commercial","COM",
IF(E2679="Mixed Development","MIX",
IF(E2679="Plotted Development","PLT","OTH"))))
&amp;"-"&amp;TEXT(COUNTIFS($B$9:B2679,B2679,$E$9:E2679,E2679),"0000")</f>
        <v>SUR-PLT-0508</v>
      </c>
      <c r="B2679" s="322" t="s">
        <v>34</v>
      </c>
      <c r="C2679" s="322" t="s">
        <v>34</v>
      </c>
      <c r="D2679" s="323" t="s">
        <v>2868</v>
      </c>
      <c r="E2679" s="132" t="s">
        <v>26</v>
      </c>
      <c r="F2679" s="97" t="str">
        <f ca="1">IF(OR(Market_Data[[#This Row],[Start Date]]="",Market_Data[[#This Row],[Completion Date]]=""),"Needs Validation",IF(Market_Data[[#This Row],[Start Date]]&gt;TODAY(),"Planned",IF(Market_Data[[#This Row],[Completion Date]]&lt;TODAY(),"Completed","Ongoing")))</f>
        <v>Ongoing</v>
      </c>
      <c r="G2679" s="324">
        <v>45584</v>
      </c>
      <c r="H2679" s="324">
        <v>46387</v>
      </c>
      <c r="I2679" s="325">
        <v>17000</v>
      </c>
      <c r="J267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79" s="133">
        <f>_xlfn.XLOOKUP(Market_Data[[#This Row],[Project Type]],tbl_assumptions_market[Project Category (RERA)],tbl_assumptions_market[Concrete Intensity
(m³ / sq m BUA)],"",0)</f>
        <v>0.18</v>
      </c>
      <c r="L2679" s="134">
        <f>ROUND(Market_Data[[#This Row],[Estimated Built Up Area (sq m)]]*Market_Data[[#This Row],[Concrete Intensity
(m³ / sq m)]],0)</f>
        <v>3060</v>
      </c>
      <c r="M2679" s="135">
        <f>_xlfn.XLOOKUP(Market_Data[[#This Row],[District]],tbl_district_price[District],tbl_district_price[Standard Price
(INR/m³)],"",0)</f>
        <v>6200</v>
      </c>
      <c r="N2679" s="364">
        <f>IF(OR(Market_Data[[#This Row],[Estimated Concrete Demand (m³)]]="",Market_Data[[#This Row],[Avg Price per (₹ / m³)]]=""),"",Market_Data[[#This Row],[Estimated Concrete Demand (m³)]]*Market_Data[[#This Row],[Avg Price per (₹ / m³)]]/10000000)</f>
        <v>1.8972</v>
      </c>
      <c r="O2679" s="97" t="str">
        <f>IF(Market_Data[[#This Row],[Estimated Concrete Demand (m³)]]="","",
IF(Market_Data[[#This Row],[Estimated Concrete Demand (m³)]]&lt;10000,"Small",
IF(Market_Data[[#This Row],[Estimated Concrete Demand (m³)]]&lt;25000,"Medium",
IF(Market_Data[[#This Row],[Estimated Concrete Demand (m³)]]&lt;100000,"Large","Mega"))))</f>
        <v>Small</v>
      </c>
      <c r="P2679" s="287" t="str">
        <f t="shared" si="43"/>
        <v>GujRERA</v>
      </c>
    </row>
    <row r="2680" spans="1:16">
      <c r="A2680" s="129" t="str">
        <f>_xlfn.XLOOKUP(B2680,$S$9:$S$14,$T$9:$T$14)&amp;"-"&amp;
IF(E2680="Residential/Group Housing","RES",
IF(E2680="Commercial","COM",
IF(E2680="Mixed Development","MIX",
IF(E2680="Plotted Development","PLT","OTH"))))
&amp;"-"&amp;TEXT(COUNTIFS($B$9:B2680,B2680,$E$9:E2680,E2680),"0000")</f>
        <v>SUR-MIX-0480</v>
      </c>
      <c r="B2680" s="322" t="s">
        <v>34</v>
      </c>
      <c r="C2680" s="322" t="s">
        <v>34</v>
      </c>
      <c r="D2680" s="323" t="s">
        <v>2869</v>
      </c>
      <c r="E2680" s="132" t="s">
        <v>25</v>
      </c>
      <c r="F2680" s="97" t="str">
        <f ca="1">IF(OR(Market_Data[[#This Row],[Start Date]]="",Market_Data[[#This Row],[Completion Date]]=""),"Needs Validation",IF(Market_Data[[#This Row],[Start Date]]&gt;TODAY(),"Planned",IF(Market_Data[[#This Row],[Completion Date]]&lt;TODAY(),"Completed","Ongoing")))</f>
        <v>Ongoing</v>
      </c>
      <c r="G2680" s="324">
        <v>45474</v>
      </c>
      <c r="H2680" s="324">
        <v>47208</v>
      </c>
      <c r="I2680" s="325">
        <v>48200</v>
      </c>
      <c r="J268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80" s="133">
        <f>_xlfn.XLOOKUP(Market_Data[[#This Row],[Project Type]],tbl_assumptions_market[Project Category (RERA)],tbl_assumptions_market[Concrete Intensity
(m³ / sq m BUA)],"",0)</f>
        <v>0.42</v>
      </c>
      <c r="L2680" s="134">
        <f>ROUND(Market_Data[[#This Row],[Estimated Built Up Area (sq m)]]*Market_Data[[#This Row],[Concrete Intensity
(m³ / sq m)]],0)</f>
        <v>20244</v>
      </c>
      <c r="M2680" s="135">
        <f>_xlfn.XLOOKUP(Market_Data[[#This Row],[District]],tbl_district_price[District],tbl_district_price[Standard Price
(INR/m³)],"",0)</f>
        <v>6200</v>
      </c>
      <c r="N2680" s="364">
        <f>IF(OR(Market_Data[[#This Row],[Estimated Concrete Demand (m³)]]="",Market_Data[[#This Row],[Avg Price per (₹ / m³)]]=""),"",Market_Data[[#This Row],[Estimated Concrete Demand (m³)]]*Market_Data[[#This Row],[Avg Price per (₹ / m³)]]/10000000)</f>
        <v>12.55128</v>
      </c>
      <c r="O2680" s="97" t="str">
        <f>IF(Market_Data[[#This Row],[Estimated Concrete Demand (m³)]]="","",
IF(Market_Data[[#This Row],[Estimated Concrete Demand (m³)]]&lt;10000,"Small",
IF(Market_Data[[#This Row],[Estimated Concrete Demand (m³)]]&lt;25000,"Medium",
IF(Market_Data[[#This Row],[Estimated Concrete Demand (m³)]]&lt;100000,"Large","Mega"))))</f>
        <v>Medium</v>
      </c>
      <c r="P2680" s="287" t="str">
        <f t="shared" si="43"/>
        <v>GujRERA</v>
      </c>
    </row>
    <row r="2681" spans="1:16">
      <c r="A2681" s="129" t="str">
        <f>_xlfn.XLOOKUP(B2681,$S$9:$S$14,$T$9:$T$14)&amp;"-"&amp;
IF(E2681="Residential/Group Housing","RES",
IF(E2681="Commercial","COM",
IF(E2681="Mixed Development","MIX",
IF(E2681="Plotted Development","PLT","OTH"))))
&amp;"-"&amp;TEXT(COUNTIFS($B$9:B2681,B2681,$E$9:E2681,E2681),"0000")</f>
        <v>SUR-RES-0924</v>
      </c>
      <c r="B2681" s="322" t="s">
        <v>34</v>
      </c>
      <c r="C2681" s="322" t="s">
        <v>34</v>
      </c>
      <c r="D2681" s="323" t="s">
        <v>2870</v>
      </c>
      <c r="E2681" s="132" t="s">
        <v>24</v>
      </c>
      <c r="F2681" s="97" t="str">
        <f ca="1">IF(OR(Market_Data[[#This Row],[Start Date]]="",Market_Data[[#This Row],[Completion Date]]=""),"Needs Validation",IF(Market_Data[[#This Row],[Start Date]]&gt;TODAY(),"Planned",IF(Market_Data[[#This Row],[Completion Date]]&lt;TODAY(),"Completed","Ongoing")))</f>
        <v>Ongoing</v>
      </c>
      <c r="G2681" s="324">
        <v>45275</v>
      </c>
      <c r="H2681" s="324">
        <v>47483</v>
      </c>
      <c r="I2681" s="325">
        <v>46400</v>
      </c>
      <c r="J268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81" s="133">
        <f>_xlfn.XLOOKUP(Market_Data[[#This Row],[Project Type]],tbl_assumptions_market[Project Category (RERA)],tbl_assumptions_market[Concrete Intensity
(m³ / sq m BUA)],"",0)</f>
        <v>0.45</v>
      </c>
      <c r="L2681" s="134">
        <f>ROUND(Market_Data[[#This Row],[Estimated Built Up Area (sq m)]]*Market_Data[[#This Row],[Concrete Intensity
(m³ / sq m)]],0)</f>
        <v>20880</v>
      </c>
      <c r="M2681" s="135">
        <f>_xlfn.XLOOKUP(Market_Data[[#This Row],[District]],tbl_district_price[District],tbl_district_price[Standard Price
(INR/m³)],"",0)</f>
        <v>6200</v>
      </c>
      <c r="N2681" s="364">
        <f>IF(OR(Market_Data[[#This Row],[Estimated Concrete Demand (m³)]]="",Market_Data[[#This Row],[Avg Price per (₹ / m³)]]=""),"",Market_Data[[#This Row],[Estimated Concrete Demand (m³)]]*Market_Data[[#This Row],[Avg Price per (₹ / m³)]]/10000000)</f>
        <v>12.945600000000001</v>
      </c>
      <c r="O2681" s="97" t="str">
        <f>IF(Market_Data[[#This Row],[Estimated Concrete Demand (m³)]]="","",
IF(Market_Data[[#This Row],[Estimated Concrete Demand (m³)]]&lt;10000,"Small",
IF(Market_Data[[#This Row],[Estimated Concrete Demand (m³)]]&lt;25000,"Medium",
IF(Market_Data[[#This Row],[Estimated Concrete Demand (m³)]]&lt;100000,"Large","Mega"))))</f>
        <v>Medium</v>
      </c>
      <c r="P2681" s="287" t="str">
        <f t="shared" si="43"/>
        <v>GujRERA</v>
      </c>
    </row>
    <row r="2682" spans="1:16">
      <c r="A2682" s="129" t="str">
        <f>_xlfn.XLOOKUP(B2682,$S$9:$S$14,$T$9:$T$14)&amp;"-"&amp;
IF(E2682="Residential/Group Housing","RES",
IF(E2682="Commercial","COM",
IF(E2682="Mixed Development","MIX",
IF(E2682="Plotted Development","PLT","OTH"))))
&amp;"-"&amp;TEXT(COUNTIFS($B$9:B2682,B2682,$E$9:E2682,E2682),"0000")</f>
        <v>SUR-PLT-0509</v>
      </c>
      <c r="B2682" s="322" t="s">
        <v>34</v>
      </c>
      <c r="C2682" s="322" t="s">
        <v>34</v>
      </c>
      <c r="D2682" s="323" t="s">
        <v>2871</v>
      </c>
      <c r="E2682" s="132" t="s">
        <v>26</v>
      </c>
      <c r="F2682" s="97" t="str">
        <f ca="1">IF(OR(Market_Data[[#This Row],[Start Date]]="",Market_Data[[#This Row],[Completion Date]]=""),"Needs Validation",IF(Market_Data[[#This Row],[Start Date]]&gt;TODAY(),"Planned",IF(Market_Data[[#This Row],[Completion Date]]&lt;TODAY(),"Completed","Ongoing")))</f>
        <v>Ongoing</v>
      </c>
      <c r="G2682" s="324">
        <v>45544</v>
      </c>
      <c r="H2682" s="324">
        <v>47118</v>
      </c>
      <c r="I2682" s="325">
        <v>32800</v>
      </c>
      <c r="J268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682" s="133">
        <f>_xlfn.XLOOKUP(Market_Data[[#This Row],[Project Type]],tbl_assumptions_market[Project Category (RERA)],tbl_assumptions_market[Concrete Intensity
(m³ / sq m BUA)],"",0)</f>
        <v>0.18</v>
      </c>
      <c r="L2682" s="134">
        <f>ROUND(Market_Data[[#This Row],[Estimated Built Up Area (sq m)]]*Market_Data[[#This Row],[Concrete Intensity
(m³ / sq m)]],0)</f>
        <v>5904</v>
      </c>
      <c r="M2682" s="135">
        <f>_xlfn.XLOOKUP(Market_Data[[#This Row],[District]],tbl_district_price[District],tbl_district_price[Standard Price
(INR/m³)],"",0)</f>
        <v>6200</v>
      </c>
      <c r="N2682" s="364">
        <f>IF(OR(Market_Data[[#This Row],[Estimated Concrete Demand (m³)]]="",Market_Data[[#This Row],[Avg Price per (₹ / m³)]]=""),"",Market_Data[[#This Row],[Estimated Concrete Demand (m³)]]*Market_Data[[#This Row],[Avg Price per (₹ / m³)]]/10000000)</f>
        <v>3.6604800000000002</v>
      </c>
      <c r="O2682" s="97" t="str">
        <f>IF(Market_Data[[#This Row],[Estimated Concrete Demand (m³)]]="","",
IF(Market_Data[[#This Row],[Estimated Concrete Demand (m³)]]&lt;10000,"Small",
IF(Market_Data[[#This Row],[Estimated Concrete Demand (m³)]]&lt;25000,"Medium",
IF(Market_Data[[#This Row],[Estimated Concrete Demand (m³)]]&lt;100000,"Large","Mega"))))</f>
        <v>Small</v>
      </c>
      <c r="P2682" s="287" t="str">
        <f t="shared" si="43"/>
        <v>GujRERA</v>
      </c>
    </row>
    <row r="2683" spans="1:16">
      <c r="A2683" s="129" t="str">
        <f>_xlfn.XLOOKUP(B2683,$S$9:$S$14,$T$9:$T$14)&amp;"-"&amp;
IF(E2683="Residential/Group Housing","RES",
IF(E2683="Commercial","COM",
IF(E2683="Mixed Development","MIX",
IF(E2683="Plotted Development","PLT","OTH"))))
&amp;"-"&amp;TEXT(COUNTIFS($B$9:B2683,B2683,$E$9:E2683,E2683),"0000")</f>
        <v>SUR-PLT-0510</v>
      </c>
      <c r="B2683" s="322" t="s">
        <v>34</v>
      </c>
      <c r="C2683" s="322" t="s">
        <v>34</v>
      </c>
      <c r="D2683" s="323" t="s">
        <v>2872</v>
      </c>
      <c r="E2683" s="132" t="s">
        <v>26</v>
      </c>
      <c r="F2683" s="97" t="str">
        <f ca="1">IF(OR(Market_Data[[#This Row],[Start Date]]="",Market_Data[[#This Row],[Completion Date]]=""),"Needs Validation",IF(Market_Data[[#This Row],[Start Date]]&gt;TODAY(),"Planned",IF(Market_Data[[#This Row],[Completion Date]]&lt;TODAY(),"Completed","Ongoing")))</f>
        <v>Ongoing</v>
      </c>
      <c r="G2683" s="324">
        <v>45544</v>
      </c>
      <c r="H2683" s="324">
        <v>47118</v>
      </c>
      <c r="I2683" s="325">
        <v>7800</v>
      </c>
      <c r="J268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83" s="133">
        <f>_xlfn.XLOOKUP(Market_Data[[#This Row],[Project Type]],tbl_assumptions_market[Project Category (RERA)],tbl_assumptions_market[Concrete Intensity
(m³ / sq m BUA)],"",0)</f>
        <v>0.18</v>
      </c>
      <c r="L2683" s="134">
        <f>ROUND(Market_Data[[#This Row],[Estimated Built Up Area (sq m)]]*Market_Data[[#This Row],[Concrete Intensity
(m³ / sq m)]],0)</f>
        <v>1404</v>
      </c>
      <c r="M2683" s="135">
        <f>_xlfn.XLOOKUP(Market_Data[[#This Row],[District]],tbl_district_price[District],tbl_district_price[Standard Price
(INR/m³)],"",0)</f>
        <v>6200</v>
      </c>
      <c r="N2683" s="364">
        <f>IF(OR(Market_Data[[#This Row],[Estimated Concrete Demand (m³)]]="",Market_Data[[#This Row],[Avg Price per (₹ / m³)]]=""),"",Market_Data[[#This Row],[Estimated Concrete Demand (m³)]]*Market_Data[[#This Row],[Avg Price per (₹ / m³)]]/10000000)</f>
        <v>0.87048000000000003</v>
      </c>
      <c r="O2683" s="97" t="str">
        <f>IF(Market_Data[[#This Row],[Estimated Concrete Demand (m³)]]="","",
IF(Market_Data[[#This Row],[Estimated Concrete Demand (m³)]]&lt;10000,"Small",
IF(Market_Data[[#This Row],[Estimated Concrete Demand (m³)]]&lt;25000,"Medium",
IF(Market_Data[[#This Row],[Estimated Concrete Demand (m³)]]&lt;100000,"Large","Mega"))))</f>
        <v>Small</v>
      </c>
      <c r="P2683" s="287" t="str">
        <f t="shared" si="43"/>
        <v>GujRERA</v>
      </c>
    </row>
    <row r="2684" spans="1:16">
      <c r="A2684" s="129" t="str">
        <f>_xlfn.XLOOKUP(B2684,$S$9:$S$14,$T$9:$T$14)&amp;"-"&amp;
IF(E2684="Residential/Group Housing","RES",
IF(E2684="Commercial","COM",
IF(E2684="Mixed Development","MIX",
IF(E2684="Plotted Development","PLT","OTH"))))
&amp;"-"&amp;TEXT(COUNTIFS($B$9:B2684,B2684,$E$9:E2684,E2684),"0000")</f>
        <v>SUR-RES-0925</v>
      </c>
      <c r="B2684" s="322" t="s">
        <v>34</v>
      </c>
      <c r="C2684" s="322" t="s">
        <v>34</v>
      </c>
      <c r="D2684" s="323" t="s">
        <v>2873</v>
      </c>
      <c r="E2684" s="132" t="s">
        <v>24</v>
      </c>
      <c r="F2684" s="97" t="str">
        <f ca="1">IF(OR(Market_Data[[#This Row],[Start Date]]="",Market_Data[[#This Row],[Completion Date]]=""),"Needs Validation",IF(Market_Data[[#This Row],[Start Date]]&gt;TODAY(),"Planned",IF(Market_Data[[#This Row],[Completion Date]]&lt;TODAY(),"Completed","Ongoing")))</f>
        <v>Ongoing</v>
      </c>
      <c r="G2684" s="324">
        <v>44894</v>
      </c>
      <c r="H2684" s="324">
        <v>47208</v>
      </c>
      <c r="I2684" s="325">
        <v>55900</v>
      </c>
      <c r="J268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84" s="133">
        <f>_xlfn.XLOOKUP(Market_Data[[#This Row],[Project Type]],tbl_assumptions_market[Project Category (RERA)],tbl_assumptions_market[Concrete Intensity
(m³ / sq m BUA)],"",0)</f>
        <v>0.45</v>
      </c>
      <c r="L2684" s="134">
        <f>ROUND(Market_Data[[#This Row],[Estimated Built Up Area (sq m)]]*Market_Data[[#This Row],[Concrete Intensity
(m³ / sq m)]],0)</f>
        <v>25155</v>
      </c>
      <c r="M2684" s="135">
        <f>_xlfn.XLOOKUP(Market_Data[[#This Row],[District]],tbl_district_price[District],tbl_district_price[Standard Price
(INR/m³)],"",0)</f>
        <v>6200</v>
      </c>
      <c r="N2684" s="364">
        <f>IF(OR(Market_Data[[#This Row],[Estimated Concrete Demand (m³)]]="",Market_Data[[#This Row],[Avg Price per (₹ / m³)]]=""),"",Market_Data[[#This Row],[Estimated Concrete Demand (m³)]]*Market_Data[[#This Row],[Avg Price per (₹ / m³)]]/10000000)</f>
        <v>15.5961</v>
      </c>
      <c r="O2684" s="97" t="str">
        <f>IF(Market_Data[[#This Row],[Estimated Concrete Demand (m³)]]="","",
IF(Market_Data[[#This Row],[Estimated Concrete Demand (m³)]]&lt;10000,"Small",
IF(Market_Data[[#This Row],[Estimated Concrete Demand (m³)]]&lt;25000,"Medium",
IF(Market_Data[[#This Row],[Estimated Concrete Demand (m³)]]&lt;100000,"Large","Mega"))))</f>
        <v>Large</v>
      </c>
      <c r="P2684" s="287" t="str">
        <f t="shared" si="43"/>
        <v>GujRERA</v>
      </c>
    </row>
    <row r="2685" spans="1:16">
      <c r="A2685" s="129" t="str">
        <f>_xlfn.XLOOKUP(B2685,$S$9:$S$14,$T$9:$T$14)&amp;"-"&amp;
IF(E2685="Residential/Group Housing","RES",
IF(E2685="Commercial","COM",
IF(E2685="Mixed Development","MIX",
IF(E2685="Plotted Development","PLT","OTH"))))
&amp;"-"&amp;TEXT(COUNTIFS($B$9:B2685,B2685,$E$9:E2685,E2685),"0000")</f>
        <v>SUR-MIX-0481</v>
      </c>
      <c r="B2685" s="322" t="s">
        <v>34</v>
      </c>
      <c r="C2685" s="322" t="s">
        <v>34</v>
      </c>
      <c r="D2685" s="323" t="s">
        <v>2874</v>
      </c>
      <c r="E2685" s="132" t="s">
        <v>25</v>
      </c>
      <c r="F2685" s="97" t="str">
        <f ca="1">IF(OR(Market_Data[[#This Row],[Start Date]]="",Market_Data[[#This Row],[Completion Date]]=""),"Needs Validation",IF(Market_Data[[#This Row],[Start Date]]&gt;TODAY(),"Planned",IF(Market_Data[[#This Row],[Completion Date]]&lt;TODAY(),"Completed","Ongoing")))</f>
        <v>Ongoing</v>
      </c>
      <c r="G2685" s="324">
        <v>45033</v>
      </c>
      <c r="H2685" s="324">
        <v>46752</v>
      </c>
      <c r="I2685" s="325">
        <v>55800</v>
      </c>
      <c r="J268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85" s="133">
        <f>_xlfn.XLOOKUP(Market_Data[[#This Row],[Project Type]],tbl_assumptions_market[Project Category (RERA)],tbl_assumptions_market[Concrete Intensity
(m³ / sq m BUA)],"",0)</f>
        <v>0.42</v>
      </c>
      <c r="L2685" s="134">
        <f>ROUND(Market_Data[[#This Row],[Estimated Built Up Area (sq m)]]*Market_Data[[#This Row],[Concrete Intensity
(m³ / sq m)]],0)</f>
        <v>23436</v>
      </c>
      <c r="M2685" s="135">
        <f>_xlfn.XLOOKUP(Market_Data[[#This Row],[District]],tbl_district_price[District],tbl_district_price[Standard Price
(INR/m³)],"",0)</f>
        <v>6200</v>
      </c>
      <c r="N2685" s="364">
        <f>IF(OR(Market_Data[[#This Row],[Estimated Concrete Demand (m³)]]="",Market_Data[[#This Row],[Avg Price per (₹ / m³)]]=""),"",Market_Data[[#This Row],[Estimated Concrete Demand (m³)]]*Market_Data[[#This Row],[Avg Price per (₹ / m³)]]/10000000)</f>
        <v>14.53032</v>
      </c>
      <c r="O2685" s="97" t="str">
        <f>IF(Market_Data[[#This Row],[Estimated Concrete Demand (m³)]]="","",
IF(Market_Data[[#This Row],[Estimated Concrete Demand (m³)]]&lt;10000,"Small",
IF(Market_Data[[#This Row],[Estimated Concrete Demand (m³)]]&lt;25000,"Medium",
IF(Market_Data[[#This Row],[Estimated Concrete Demand (m³)]]&lt;100000,"Large","Mega"))))</f>
        <v>Medium</v>
      </c>
      <c r="P2685" s="287" t="str">
        <f t="shared" si="43"/>
        <v>GujRERA</v>
      </c>
    </row>
    <row r="2686" spans="1:16">
      <c r="A2686" s="129" t="str">
        <f>_xlfn.XLOOKUP(B2686,$S$9:$S$14,$T$9:$T$14)&amp;"-"&amp;
IF(E2686="Residential/Group Housing","RES",
IF(E2686="Commercial","COM",
IF(E2686="Mixed Development","MIX",
IF(E2686="Plotted Development","PLT","OTH"))))
&amp;"-"&amp;TEXT(COUNTIFS($B$9:B2686,B2686,$E$9:E2686,E2686),"0000")</f>
        <v>SUR-PLT-0511</v>
      </c>
      <c r="B2686" s="322" t="s">
        <v>34</v>
      </c>
      <c r="C2686" s="322" t="s">
        <v>34</v>
      </c>
      <c r="D2686" s="323" t="s">
        <v>2875</v>
      </c>
      <c r="E2686" s="132" t="s">
        <v>26</v>
      </c>
      <c r="F2686" s="97" t="str">
        <f ca="1">IF(OR(Market_Data[[#This Row],[Start Date]]="",Market_Data[[#This Row],[Completion Date]]=""),"Needs Validation",IF(Market_Data[[#This Row],[Start Date]]&gt;TODAY(),"Planned",IF(Market_Data[[#This Row],[Completion Date]]&lt;TODAY(),"Completed","Ongoing")))</f>
        <v>Completed</v>
      </c>
      <c r="G2686" s="324">
        <v>43472</v>
      </c>
      <c r="H2686" s="324">
        <v>45107</v>
      </c>
      <c r="I2686" s="325">
        <v>19700</v>
      </c>
      <c r="J268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86" s="133">
        <f>_xlfn.XLOOKUP(Market_Data[[#This Row],[Project Type]],tbl_assumptions_market[Project Category (RERA)],tbl_assumptions_market[Concrete Intensity
(m³ / sq m BUA)],"",0)</f>
        <v>0.18</v>
      </c>
      <c r="L2686" s="134">
        <f>ROUND(Market_Data[[#This Row],[Estimated Built Up Area (sq m)]]*Market_Data[[#This Row],[Concrete Intensity
(m³ / sq m)]],0)</f>
        <v>3546</v>
      </c>
      <c r="M2686" s="135">
        <f>_xlfn.XLOOKUP(Market_Data[[#This Row],[District]],tbl_district_price[District],tbl_district_price[Standard Price
(INR/m³)],"",0)</f>
        <v>6200</v>
      </c>
      <c r="N2686" s="364">
        <f>IF(OR(Market_Data[[#This Row],[Estimated Concrete Demand (m³)]]="",Market_Data[[#This Row],[Avg Price per (₹ / m³)]]=""),"",Market_Data[[#This Row],[Estimated Concrete Demand (m³)]]*Market_Data[[#This Row],[Avg Price per (₹ / m³)]]/10000000)</f>
        <v>2.1985199999999998</v>
      </c>
      <c r="O2686" s="97" t="str">
        <f>IF(Market_Data[[#This Row],[Estimated Concrete Demand (m³)]]="","",
IF(Market_Data[[#This Row],[Estimated Concrete Demand (m³)]]&lt;10000,"Small",
IF(Market_Data[[#This Row],[Estimated Concrete Demand (m³)]]&lt;25000,"Medium",
IF(Market_Data[[#This Row],[Estimated Concrete Demand (m³)]]&lt;100000,"Large","Mega"))))</f>
        <v>Small</v>
      </c>
      <c r="P2686" s="287" t="str">
        <f t="shared" si="43"/>
        <v>GujRERA</v>
      </c>
    </row>
    <row r="2687" spans="1:16">
      <c r="A2687" s="129" t="str">
        <f>_xlfn.XLOOKUP(B2687,$S$9:$S$14,$T$9:$T$14)&amp;"-"&amp;
IF(E2687="Residential/Group Housing","RES",
IF(E2687="Commercial","COM",
IF(E2687="Mixed Development","MIX",
IF(E2687="Plotted Development","PLT","OTH"))))
&amp;"-"&amp;TEXT(COUNTIFS($B$9:B2687,B2687,$E$9:E2687,E2687),"0000")</f>
        <v>SUR-PLT-0512</v>
      </c>
      <c r="B2687" s="322" t="s">
        <v>34</v>
      </c>
      <c r="C2687" s="322" t="s">
        <v>34</v>
      </c>
      <c r="D2687" s="323" t="s">
        <v>2876</v>
      </c>
      <c r="E2687" s="132" t="s">
        <v>26</v>
      </c>
      <c r="F2687" s="97" t="str">
        <f ca="1">IF(OR(Market_Data[[#This Row],[Start Date]]="",Market_Data[[#This Row],[Completion Date]]=""),"Needs Validation",IF(Market_Data[[#This Row],[Start Date]]&gt;TODAY(),"Planned",IF(Market_Data[[#This Row],[Completion Date]]&lt;TODAY(),"Completed","Ongoing")))</f>
        <v>Ongoing</v>
      </c>
      <c r="G2687" s="324">
        <v>45239</v>
      </c>
      <c r="H2687" s="324">
        <v>47118</v>
      </c>
      <c r="I2687" s="325">
        <v>15400</v>
      </c>
      <c r="J268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87" s="133">
        <f>_xlfn.XLOOKUP(Market_Data[[#This Row],[Project Type]],tbl_assumptions_market[Project Category (RERA)],tbl_assumptions_market[Concrete Intensity
(m³ / sq m BUA)],"",0)</f>
        <v>0.18</v>
      </c>
      <c r="L2687" s="134">
        <f>ROUND(Market_Data[[#This Row],[Estimated Built Up Area (sq m)]]*Market_Data[[#This Row],[Concrete Intensity
(m³ / sq m)]],0)</f>
        <v>2772</v>
      </c>
      <c r="M2687" s="135">
        <f>_xlfn.XLOOKUP(Market_Data[[#This Row],[District]],tbl_district_price[District],tbl_district_price[Standard Price
(INR/m³)],"",0)</f>
        <v>6200</v>
      </c>
      <c r="N2687" s="364">
        <f>IF(OR(Market_Data[[#This Row],[Estimated Concrete Demand (m³)]]="",Market_Data[[#This Row],[Avg Price per (₹ / m³)]]=""),"",Market_Data[[#This Row],[Estimated Concrete Demand (m³)]]*Market_Data[[#This Row],[Avg Price per (₹ / m³)]]/10000000)</f>
        <v>1.7186399999999999</v>
      </c>
      <c r="O2687" s="97" t="str">
        <f>IF(Market_Data[[#This Row],[Estimated Concrete Demand (m³)]]="","",
IF(Market_Data[[#This Row],[Estimated Concrete Demand (m³)]]&lt;10000,"Small",
IF(Market_Data[[#This Row],[Estimated Concrete Demand (m³)]]&lt;25000,"Medium",
IF(Market_Data[[#This Row],[Estimated Concrete Demand (m³)]]&lt;100000,"Large","Mega"))))</f>
        <v>Small</v>
      </c>
      <c r="P2687" s="287" t="str">
        <f t="shared" si="43"/>
        <v>GujRERA</v>
      </c>
    </row>
    <row r="2688" spans="1:16">
      <c r="A2688" s="129" t="str">
        <f>_xlfn.XLOOKUP(B2688,$S$9:$S$14,$T$9:$T$14)&amp;"-"&amp;
IF(E2688="Residential/Group Housing","RES",
IF(E2688="Commercial","COM",
IF(E2688="Mixed Development","MIX",
IF(E2688="Plotted Development","PLT","OTH"))))
&amp;"-"&amp;TEXT(COUNTIFS($B$9:B2688,B2688,$E$9:E2688,E2688),"0000")</f>
        <v>SUR-RES-0926</v>
      </c>
      <c r="B2688" s="322" t="s">
        <v>34</v>
      </c>
      <c r="C2688" s="322" t="s">
        <v>34</v>
      </c>
      <c r="D2688" s="323" t="s">
        <v>2877</v>
      </c>
      <c r="E2688" s="132" t="s">
        <v>24</v>
      </c>
      <c r="F2688" s="97" t="str">
        <f ca="1">IF(OR(Market_Data[[#This Row],[Start Date]]="",Market_Data[[#This Row],[Completion Date]]=""),"Needs Validation",IF(Market_Data[[#This Row],[Start Date]]&gt;TODAY(),"Planned",IF(Market_Data[[#This Row],[Completion Date]]&lt;TODAY(),"Completed","Ongoing")))</f>
        <v>Completed</v>
      </c>
      <c r="G2688" s="324">
        <v>42937</v>
      </c>
      <c r="H2688" s="324">
        <v>44264</v>
      </c>
      <c r="I2688" s="325">
        <v>23600</v>
      </c>
      <c r="J268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88" s="133">
        <f>_xlfn.XLOOKUP(Market_Data[[#This Row],[Project Type]],tbl_assumptions_market[Project Category (RERA)],tbl_assumptions_market[Concrete Intensity
(m³ / sq m BUA)],"",0)</f>
        <v>0.45</v>
      </c>
      <c r="L2688" s="134">
        <f>ROUND(Market_Data[[#This Row],[Estimated Built Up Area (sq m)]]*Market_Data[[#This Row],[Concrete Intensity
(m³ / sq m)]],0)</f>
        <v>10620</v>
      </c>
      <c r="M2688" s="135">
        <f>_xlfn.XLOOKUP(Market_Data[[#This Row],[District]],tbl_district_price[District],tbl_district_price[Standard Price
(INR/m³)],"",0)</f>
        <v>6200</v>
      </c>
      <c r="N2688" s="364">
        <f>IF(OR(Market_Data[[#This Row],[Estimated Concrete Demand (m³)]]="",Market_Data[[#This Row],[Avg Price per (₹ / m³)]]=""),"",Market_Data[[#This Row],[Estimated Concrete Demand (m³)]]*Market_Data[[#This Row],[Avg Price per (₹ / m³)]]/10000000)</f>
        <v>6.5843999999999996</v>
      </c>
      <c r="O2688" s="97" t="str">
        <f>IF(Market_Data[[#This Row],[Estimated Concrete Demand (m³)]]="","",
IF(Market_Data[[#This Row],[Estimated Concrete Demand (m³)]]&lt;10000,"Small",
IF(Market_Data[[#This Row],[Estimated Concrete Demand (m³)]]&lt;25000,"Medium",
IF(Market_Data[[#This Row],[Estimated Concrete Demand (m³)]]&lt;100000,"Large","Mega"))))</f>
        <v>Medium</v>
      </c>
      <c r="P2688" s="287" t="str">
        <f t="shared" si="43"/>
        <v>GujRERA</v>
      </c>
    </row>
    <row r="2689" spans="1:16">
      <c r="A2689" s="129" t="str">
        <f>_xlfn.XLOOKUP(B2689,$S$9:$S$14,$T$9:$T$14)&amp;"-"&amp;
IF(E2689="Residential/Group Housing","RES",
IF(E2689="Commercial","COM",
IF(E2689="Mixed Development","MIX",
IF(E2689="Plotted Development","PLT","OTH"))))
&amp;"-"&amp;TEXT(COUNTIFS($B$9:B2689,B2689,$E$9:E2689,E2689),"0000")</f>
        <v>SUR-PLT-0513</v>
      </c>
      <c r="B2689" s="322" t="s">
        <v>34</v>
      </c>
      <c r="C2689" s="322" t="s">
        <v>34</v>
      </c>
      <c r="D2689" s="323" t="s">
        <v>2878</v>
      </c>
      <c r="E2689" s="132" t="s">
        <v>26</v>
      </c>
      <c r="F2689" s="97" t="str">
        <f ca="1">IF(OR(Market_Data[[#This Row],[Start Date]]="",Market_Data[[#This Row],[Completion Date]]=""),"Needs Validation",IF(Market_Data[[#This Row],[Start Date]]&gt;TODAY(),"Planned",IF(Market_Data[[#This Row],[Completion Date]]&lt;TODAY(),"Completed","Ongoing")))</f>
        <v>Ongoing</v>
      </c>
      <c r="G2689" s="324">
        <v>45017</v>
      </c>
      <c r="H2689" s="324">
        <v>46752</v>
      </c>
      <c r="I2689" s="325">
        <v>16400</v>
      </c>
      <c r="J268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89" s="133">
        <f>_xlfn.XLOOKUP(Market_Data[[#This Row],[Project Type]],tbl_assumptions_market[Project Category (RERA)],tbl_assumptions_market[Concrete Intensity
(m³ / sq m BUA)],"",0)</f>
        <v>0.18</v>
      </c>
      <c r="L2689" s="134">
        <f>ROUND(Market_Data[[#This Row],[Estimated Built Up Area (sq m)]]*Market_Data[[#This Row],[Concrete Intensity
(m³ / sq m)]],0)</f>
        <v>2952</v>
      </c>
      <c r="M2689" s="135">
        <f>_xlfn.XLOOKUP(Market_Data[[#This Row],[District]],tbl_district_price[District],tbl_district_price[Standard Price
(INR/m³)],"",0)</f>
        <v>6200</v>
      </c>
      <c r="N2689" s="364">
        <f>IF(OR(Market_Data[[#This Row],[Estimated Concrete Demand (m³)]]="",Market_Data[[#This Row],[Avg Price per (₹ / m³)]]=""),"",Market_Data[[#This Row],[Estimated Concrete Demand (m³)]]*Market_Data[[#This Row],[Avg Price per (₹ / m³)]]/10000000)</f>
        <v>1.8302400000000001</v>
      </c>
      <c r="O2689" s="97" t="str">
        <f>IF(Market_Data[[#This Row],[Estimated Concrete Demand (m³)]]="","",
IF(Market_Data[[#This Row],[Estimated Concrete Demand (m³)]]&lt;10000,"Small",
IF(Market_Data[[#This Row],[Estimated Concrete Demand (m³)]]&lt;25000,"Medium",
IF(Market_Data[[#This Row],[Estimated Concrete Demand (m³)]]&lt;100000,"Large","Mega"))))</f>
        <v>Small</v>
      </c>
      <c r="P2689" s="287" t="str">
        <f t="shared" si="43"/>
        <v>GujRERA</v>
      </c>
    </row>
    <row r="2690" spans="1:16">
      <c r="A2690" s="129" t="str">
        <f>_xlfn.XLOOKUP(B2690,$S$9:$S$14,$T$9:$T$14)&amp;"-"&amp;
IF(E2690="Residential/Group Housing","RES",
IF(E2690="Commercial","COM",
IF(E2690="Mixed Development","MIX",
IF(E2690="Plotted Development","PLT","OTH"))))
&amp;"-"&amp;TEXT(COUNTIFS($B$9:B2690,B2690,$E$9:E2690,E2690),"0000")</f>
        <v>SUR-RES-0927</v>
      </c>
      <c r="B2690" s="322" t="s">
        <v>34</v>
      </c>
      <c r="C2690" s="322" t="s">
        <v>34</v>
      </c>
      <c r="D2690" s="323" t="s">
        <v>2879</v>
      </c>
      <c r="E2690" s="132" t="s">
        <v>24</v>
      </c>
      <c r="F2690" s="97" t="str">
        <f ca="1">IF(OR(Market_Data[[#This Row],[Start Date]]="",Market_Data[[#This Row],[Completion Date]]=""),"Needs Validation",IF(Market_Data[[#This Row],[Start Date]]&gt;TODAY(),"Planned",IF(Market_Data[[#This Row],[Completion Date]]&lt;TODAY(),"Completed","Ongoing")))</f>
        <v>Ongoing</v>
      </c>
      <c r="G2690" s="324">
        <v>45017</v>
      </c>
      <c r="H2690" s="324">
        <v>46752</v>
      </c>
      <c r="I2690" s="325">
        <v>36400</v>
      </c>
      <c r="J269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90" s="133">
        <f>_xlfn.XLOOKUP(Market_Data[[#This Row],[Project Type]],tbl_assumptions_market[Project Category (RERA)],tbl_assumptions_market[Concrete Intensity
(m³ / sq m BUA)],"",0)</f>
        <v>0.45</v>
      </c>
      <c r="L2690" s="134">
        <f>ROUND(Market_Data[[#This Row],[Estimated Built Up Area (sq m)]]*Market_Data[[#This Row],[Concrete Intensity
(m³ / sq m)]],0)</f>
        <v>16380</v>
      </c>
      <c r="M2690" s="135">
        <f>_xlfn.XLOOKUP(Market_Data[[#This Row],[District]],tbl_district_price[District],tbl_district_price[Standard Price
(INR/m³)],"",0)</f>
        <v>6200</v>
      </c>
      <c r="N2690" s="364">
        <f>IF(OR(Market_Data[[#This Row],[Estimated Concrete Demand (m³)]]="",Market_Data[[#This Row],[Avg Price per (₹ / m³)]]=""),"",Market_Data[[#This Row],[Estimated Concrete Demand (m³)]]*Market_Data[[#This Row],[Avg Price per (₹ / m³)]]/10000000)</f>
        <v>10.1556</v>
      </c>
      <c r="O2690" s="97" t="str">
        <f>IF(Market_Data[[#This Row],[Estimated Concrete Demand (m³)]]="","",
IF(Market_Data[[#This Row],[Estimated Concrete Demand (m³)]]&lt;10000,"Small",
IF(Market_Data[[#This Row],[Estimated Concrete Demand (m³)]]&lt;25000,"Medium",
IF(Market_Data[[#This Row],[Estimated Concrete Demand (m³)]]&lt;100000,"Large","Mega"))))</f>
        <v>Medium</v>
      </c>
      <c r="P2690" s="287" t="str">
        <f t="shared" si="43"/>
        <v>GujRERA</v>
      </c>
    </row>
    <row r="2691" spans="1:16">
      <c r="A2691" s="129" t="str">
        <f>_xlfn.XLOOKUP(B2691,$S$9:$S$14,$T$9:$T$14)&amp;"-"&amp;
IF(E2691="Residential/Group Housing","RES",
IF(E2691="Commercial","COM",
IF(E2691="Mixed Development","MIX",
IF(E2691="Plotted Development","PLT","OTH"))))
&amp;"-"&amp;TEXT(COUNTIFS($B$9:B2691,B2691,$E$9:E2691,E2691),"0000")</f>
        <v>SUR-PLT-0514</v>
      </c>
      <c r="B2691" s="322" t="s">
        <v>34</v>
      </c>
      <c r="C2691" s="322" t="s">
        <v>34</v>
      </c>
      <c r="D2691" s="323" t="s">
        <v>2880</v>
      </c>
      <c r="E2691" s="132" t="s">
        <v>26</v>
      </c>
      <c r="F2691" s="97" t="str">
        <f ca="1">IF(OR(Market_Data[[#This Row],[Start Date]]="",Market_Data[[#This Row],[Completion Date]]=""),"Needs Validation",IF(Market_Data[[#This Row],[Start Date]]&gt;TODAY(),"Planned",IF(Market_Data[[#This Row],[Completion Date]]&lt;TODAY(),"Completed","Ongoing")))</f>
        <v>Completed</v>
      </c>
      <c r="G2691" s="324">
        <v>44148</v>
      </c>
      <c r="H2691" s="324">
        <v>45016</v>
      </c>
      <c r="I2691" s="325">
        <v>10900</v>
      </c>
      <c r="J269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91" s="133">
        <f>_xlfn.XLOOKUP(Market_Data[[#This Row],[Project Type]],tbl_assumptions_market[Project Category (RERA)],tbl_assumptions_market[Concrete Intensity
(m³ / sq m BUA)],"",0)</f>
        <v>0.18</v>
      </c>
      <c r="L2691" s="134">
        <f>ROUND(Market_Data[[#This Row],[Estimated Built Up Area (sq m)]]*Market_Data[[#This Row],[Concrete Intensity
(m³ / sq m)]],0)</f>
        <v>1962</v>
      </c>
      <c r="M2691" s="135">
        <f>_xlfn.XLOOKUP(Market_Data[[#This Row],[District]],tbl_district_price[District],tbl_district_price[Standard Price
(INR/m³)],"",0)</f>
        <v>6200</v>
      </c>
      <c r="N2691" s="364">
        <f>IF(OR(Market_Data[[#This Row],[Estimated Concrete Demand (m³)]]="",Market_Data[[#This Row],[Avg Price per (₹ / m³)]]=""),"",Market_Data[[#This Row],[Estimated Concrete Demand (m³)]]*Market_Data[[#This Row],[Avg Price per (₹ / m³)]]/10000000)</f>
        <v>1.21644</v>
      </c>
      <c r="O2691" s="97" t="str">
        <f>IF(Market_Data[[#This Row],[Estimated Concrete Demand (m³)]]="","",
IF(Market_Data[[#This Row],[Estimated Concrete Demand (m³)]]&lt;10000,"Small",
IF(Market_Data[[#This Row],[Estimated Concrete Demand (m³)]]&lt;25000,"Medium",
IF(Market_Data[[#This Row],[Estimated Concrete Demand (m³)]]&lt;100000,"Large","Mega"))))</f>
        <v>Small</v>
      </c>
      <c r="P2691" s="287" t="str">
        <f t="shared" si="43"/>
        <v>GujRERA</v>
      </c>
    </row>
    <row r="2692" spans="1:16">
      <c r="A2692" s="129" t="str">
        <f>_xlfn.XLOOKUP(B2692,$S$9:$S$14,$T$9:$T$14)&amp;"-"&amp;
IF(E2692="Residential/Group Housing","RES",
IF(E2692="Commercial","COM",
IF(E2692="Mixed Development","MIX",
IF(E2692="Plotted Development","PLT","OTH"))))
&amp;"-"&amp;TEXT(COUNTIFS($B$9:B2692,B2692,$E$9:E2692,E2692),"0000")</f>
        <v>SUR-PLT-0515</v>
      </c>
      <c r="B2692" s="322" t="s">
        <v>34</v>
      </c>
      <c r="C2692" s="322" t="s">
        <v>34</v>
      </c>
      <c r="D2692" s="323" t="s">
        <v>2881</v>
      </c>
      <c r="E2692" s="132" t="s">
        <v>26</v>
      </c>
      <c r="F2692" s="97" t="str">
        <f ca="1">IF(OR(Market_Data[[#This Row],[Start Date]]="",Market_Data[[#This Row],[Completion Date]]=""),"Needs Validation",IF(Market_Data[[#This Row],[Start Date]]&gt;TODAY(),"Planned",IF(Market_Data[[#This Row],[Completion Date]]&lt;TODAY(),"Completed","Ongoing")))</f>
        <v>Ongoing</v>
      </c>
      <c r="G2692" s="324">
        <v>45428</v>
      </c>
      <c r="H2692" s="324">
        <v>46387</v>
      </c>
      <c r="I2692" s="325">
        <v>9200</v>
      </c>
      <c r="J269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92" s="133">
        <f>_xlfn.XLOOKUP(Market_Data[[#This Row],[Project Type]],tbl_assumptions_market[Project Category (RERA)],tbl_assumptions_market[Concrete Intensity
(m³ / sq m BUA)],"",0)</f>
        <v>0.18</v>
      </c>
      <c r="L2692" s="134">
        <f>ROUND(Market_Data[[#This Row],[Estimated Built Up Area (sq m)]]*Market_Data[[#This Row],[Concrete Intensity
(m³ / sq m)]],0)</f>
        <v>1656</v>
      </c>
      <c r="M2692" s="135">
        <f>_xlfn.XLOOKUP(Market_Data[[#This Row],[District]],tbl_district_price[District],tbl_district_price[Standard Price
(INR/m³)],"",0)</f>
        <v>6200</v>
      </c>
      <c r="N2692" s="364">
        <f>IF(OR(Market_Data[[#This Row],[Estimated Concrete Demand (m³)]]="",Market_Data[[#This Row],[Avg Price per (₹ / m³)]]=""),"",Market_Data[[#This Row],[Estimated Concrete Demand (m³)]]*Market_Data[[#This Row],[Avg Price per (₹ / m³)]]/10000000)</f>
        <v>1.0267200000000001</v>
      </c>
      <c r="O2692" s="97" t="str">
        <f>IF(Market_Data[[#This Row],[Estimated Concrete Demand (m³)]]="","",
IF(Market_Data[[#This Row],[Estimated Concrete Demand (m³)]]&lt;10000,"Small",
IF(Market_Data[[#This Row],[Estimated Concrete Demand (m³)]]&lt;25000,"Medium",
IF(Market_Data[[#This Row],[Estimated Concrete Demand (m³)]]&lt;100000,"Large","Mega"))))</f>
        <v>Small</v>
      </c>
      <c r="P2692" s="287" t="str">
        <f t="shared" si="43"/>
        <v>GujRERA</v>
      </c>
    </row>
    <row r="2693" spans="1:16">
      <c r="A2693" s="129" t="str">
        <f>_xlfn.XLOOKUP(B2693,$S$9:$S$14,$T$9:$T$14)&amp;"-"&amp;
IF(E2693="Residential/Group Housing","RES",
IF(E2693="Commercial","COM",
IF(E2693="Mixed Development","MIX",
IF(E2693="Plotted Development","PLT","OTH"))))
&amp;"-"&amp;TEXT(COUNTIFS($B$9:B2693,B2693,$E$9:E2693,E2693),"0000")</f>
        <v>SUR-PLT-0516</v>
      </c>
      <c r="B2693" s="322" t="s">
        <v>34</v>
      </c>
      <c r="C2693" s="322" t="s">
        <v>34</v>
      </c>
      <c r="D2693" s="323" t="s">
        <v>2882</v>
      </c>
      <c r="E2693" s="132" t="s">
        <v>26</v>
      </c>
      <c r="F2693" s="97" t="str">
        <f ca="1">IF(OR(Market_Data[[#This Row],[Start Date]]="",Market_Data[[#This Row],[Completion Date]]=""),"Needs Validation",IF(Market_Data[[#This Row],[Start Date]]&gt;TODAY(),"Planned",IF(Market_Data[[#This Row],[Completion Date]]&lt;TODAY(),"Completed","Ongoing")))</f>
        <v>Ongoing</v>
      </c>
      <c r="G2693" s="324">
        <v>45770</v>
      </c>
      <c r="H2693" s="324">
        <v>46477</v>
      </c>
      <c r="I2693" s="325">
        <v>37700</v>
      </c>
      <c r="J269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693" s="133">
        <f>_xlfn.XLOOKUP(Market_Data[[#This Row],[Project Type]],tbl_assumptions_market[Project Category (RERA)],tbl_assumptions_market[Concrete Intensity
(m³ / sq m BUA)],"",0)</f>
        <v>0.18</v>
      </c>
      <c r="L2693" s="134">
        <f>ROUND(Market_Data[[#This Row],[Estimated Built Up Area (sq m)]]*Market_Data[[#This Row],[Concrete Intensity
(m³ / sq m)]],0)</f>
        <v>6786</v>
      </c>
      <c r="M2693" s="135">
        <f>_xlfn.XLOOKUP(Market_Data[[#This Row],[District]],tbl_district_price[District],tbl_district_price[Standard Price
(INR/m³)],"",0)</f>
        <v>6200</v>
      </c>
      <c r="N2693" s="364">
        <f>IF(OR(Market_Data[[#This Row],[Estimated Concrete Demand (m³)]]="",Market_Data[[#This Row],[Avg Price per (₹ / m³)]]=""),"",Market_Data[[#This Row],[Estimated Concrete Demand (m³)]]*Market_Data[[#This Row],[Avg Price per (₹ / m³)]]/10000000)</f>
        <v>4.2073200000000002</v>
      </c>
      <c r="O2693" s="97" t="str">
        <f>IF(Market_Data[[#This Row],[Estimated Concrete Demand (m³)]]="","",
IF(Market_Data[[#This Row],[Estimated Concrete Demand (m³)]]&lt;10000,"Small",
IF(Market_Data[[#This Row],[Estimated Concrete Demand (m³)]]&lt;25000,"Medium",
IF(Market_Data[[#This Row],[Estimated Concrete Demand (m³)]]&lt;100000,"Large","Mega"))))</f>
        <v>Small</v>
      </c>
      <c r="P2693" s="287" t="str">
        <f t="shared" si="43"/>
        <v>GujRERA</v>
      </c>
    </row>
    <row r="2694" spans="1:16">
      <c r="A2694" s="129" t="str">
        <f>_xlfn.XLOOKUP(B2694,$S$9:$S$14,$T$9:$T$14)&amp;"-"&amp;
IF(E2694="Residential/Group Housing","RES",
IF(E2694="Commercial","COM",
IF(E2694="Mixed Development","MIX",
IF(E2694="Plotted Development","PLT","OTH"))))
&amp;"-"&amp;TEXT(COUNTIFS($B$9:B2694,B2694,$E$9:E2694,E2694),"0000")</f>
        <v>SUR-MIX-0482</v>
      </c>
      <c r="B2694" s="322" t="s">
        <v>34</v>
      </c>
      <c r="C2694" s="322" t="s">
        <v>34</v>
      </c>
      <c r="D2694" s="323" t="s">
        <v>2883</v>
      </c>
      <c r="E2694" s="132" t="s">
        <v>25</v>
      </c>
      <c r="F2694" s="97" t="str">
        <f ca="1">IF(OR(Market_Data[[#This Row],[Start Date]]="",Market_Data[[#This Row],[Completion Date]]=""),"Needs Validation",IF(Market_Data[[#This Row],[Start Date]]&gt;TODAY(),"Planned",IF(Market_Data[[#This Row],[Completion Date]]&lt;TODAY(),"Completed","Ongoing")))</f>
        <v>Ongoing</v>
      </c>
      <c r="G2694" s="324">
        <v>45047</v>
      </c>
      <c r="H2694" s="324">
        <v>46387</v>
      </c>
      <c r="I2694" s="325">
        <v>9700</v>
      </c>
      <c r="J269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694" s="133">
        <f>_xlfn.XLOOKUP(Market_Data[[#This Row],[Project Type]],tbl_assumptions_market[Project Category (RERA)],tbl_assumptions_market[Concrete Intensity
(m³ / sq m BUA)],"",0)</f>
        <v>0.42</v>
      </c>
      <c r="L2694" s="134">
        <f>ROUND(Market_Data[[#This Row],[Estimated Built Up Area (sq m)]]*Market_Data[[#This Row],[Concrete Intensity
(m³ / sq m)]],0)</f>
        <v>4074</v>
      </c>
      <c r="M2694" s="135">
        <f>_xlfn.XLOOKUP(Market_Data[[#This Row],[District]],tbl_district_price[District],tbl_district_price[Standard Price
(INR/m³)],"",0)</f>
        <v>6200</v>
      </c>
      <c r="N2694" s="364">
        <f>IF(OR(Market_Data[[#This Row],[Estimated Concrete Demand (m³)]]="",Market_Data[[#This Row],[Avg Price per (₹ / m³)]]=""),"",Market_Data[[#This Row],[Estimated Concrete Demand (m³)]]*Market_Data[[#This Row],[Avg Price per (₹ / m³)]]/10000000)</f>
        <v>2.5258799999999999</v>
      </c>
      <c r="O2694" s="97" t="str">
        <f>IF(Market_Data[[#This Row],[Estimated Concrete Demand (m³)]]="","",
IF(Market_Data[[#This Row],[Estimated Concrete Demand (m³)]]&lt;10000,"Small",
IF(Market_Data[[#This Row],[Estimated Concrete Demand (m³)]]&lt;25000,"Medium",
IF(Market_Data[[#This Row],[Estimated Concrete Demand (m³)]]&lt;100000,"Large","Mega"))))</f>
        <v>Small</v>
      </c>
      <c r="P2694" s="287" t="str">
        <f t="shared" si="43"/>
        <v>GujRERA</v>
      </c>
    </row>
    <row r="2695" spans="1:16">
      <c r="A2695" s="129" t="str">
        <f>_xlfn.XLOOKUP(B2695,$S$9:$S$14,$T$9:$T$14)&amp;"-"&amp;
IF(E2695="Residential/Group Housing","RES",
IF(E2695="Commercial","COM",
IF(E2695="Mixed Development","MIX",
IF(E2695="Plotted Development","PLT","OTH"))))
&amp;"-"&amp;TEXT(COUNTIFS($B$9:B2695,B2695,$E$9:E2695,E2695),"0000")</f>
        <v>SUR-PLT-0517</v>
      </c>
      <c r="B2695" s="322" t="s">
        <v>34</v>
      </c>
      <c r="C2695" s="322" t="s">
        <v>34</v>
      </c>
      <c r="D2695" s="323" t="s">
        <v>2884</v>
      </c>
      <c r="E2695" s="132" t="s">
        <v>26</v>
      </c>
      <c r="F2695" s="97" t="str">
        <f ca="1">IF(OR(Market_Data[[#This Row],[Start Date]]="",Market_Data[[#This Row],[Completion Date]]=""),"Needs Validation",IF(Market_Data[[#This Row],[Start Date]]&gt;TODAY(),"Planned",IF(Market_Data[[#This Row],[Completion Date]]&lt;TODAY(),"Completed","Ongoing")))</f>
        <v>Ongoing</v>
      </c>
      <c r="G2695" s="324">
        <v>45128</v>
      </c>
      <c r="H2695" s="324">
        <v>46752</v>
      </c>
      <c r="I2695" s="325">
        <v>34100</v>
      </c>
      <c r="J269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695" s="133">
        <f>_xlfn.XLOOKUP(Market_Data[[#This Row],[Project Type]],tbl_assumptions_market[Project Category (RERA)],tbl_assumptions_market[Concrete Intensity
(m³ / sq m BUA)],"",0)</f>
        <v>0.18</v>
      </c>
      <c r="L2695" s="134">
        <f>ROUND(Market_Data[[#This Row],[Estimated Built Up Area (sq m)]]*Market_Data[[#This Row],[Concrete Intensity
(m³ / sq m)]],0)</f>
        <v>6138</v>
      </c>
      <c r="M2695" s="135">
        <f>_xlfn.XLOOKUP(Market_Data[[#This Row],[District]],tbl_district_price[District],tbl_district_price[Standard Price
(INR/m³)],"",0)</f>
        <v>6200</v>
      </c>
      <c r="N2695" s="364">
        <f>IF(OR(Market_Data[[#This Row],[Estimated Concrete Demand (m³)]]="",Market_Data[[#This Row],[Avg Price per (₹ / m³)]]=""),"",Market_Data[[#This Row],[Estimated Concrete Demand (m³)]]*Market_Data[[#This Row],[Avg Price per (₹ / m³)]]/10000000)</f>
        <v>3.8055599999999998</v>
      </c>
      <c r="O2695" s="97" t="str">
        <f>IF(Market_Data[[#This Row],[Estimated Concrete Demand (m³)]]="","",
IF(Market_Data[[#This Row],[Estimated Concrete Demand (m³)]]&lt;10000,"Small",
IF(Market_Data[[#This Row],[Estimated Concrete Demand (m³)]]&lt;25000,"Medium",
IF(Market_Data[[#This Row],[Estimated Concrete Demand (m³)]]&lt;100000,"Large","Mega"))))</f>
        <v>Small</v>
      </c>
      <c r="P2695" s="287" t="str">
        <f t="shared" si="43"/>
        <v>GujRERA</v>
      </c>
    </row>
    <row r="2696" spans="1:16">
      <c r="A2696" s="129" t="str">
        <f>_xlfn.XLOOKUP(B2696,$S$9:$S$14,$T$9:$T$14)&amp;"-"&amp;
IF(E2696="Residential/Group Housing","RES",
IF(E2696="Commercial","COM",
IF(E2696="Mixed Development","MIX",
IF(E2696="Plotted Development","PLT","OTH"))))
&amp;"-"&amp;TEXT(COUNTIFS($B$9:B2696,B2696,$E$9:E2696,E2696),"0000")</f>
        <v>SUR-PLT-0518</v>
      </c>
      <c r="B2696" s="322" t="s">
        <v>34</v>
      </c>
      <c r="C2696" s="322" t="s">
        <v>34</v>
      </c>
      <c r="D2696" s="323" t="s">
        <v>2885</v>
      </c>
      <c r="E2696" s="132" t="s">
        <v>26</v>
      </c>
      <c r="F2696" s="97" t="str">
        <f ca="1">IF(OR(Market_Data[[#This Row],[Start Date]]="",Market_Data[[#This Row],[Completion Date]]=""),"Needs Validation",IF(Market_Data[[#This Row],[Start Date]]&gt;TODAY(),"Planned",IF(Market_Data[[#This Row],[Completion Date]]&lt;TODAY(),"Completed","Ongoing")))</f>
        <v>Ongoing</v>
      </c>
      <c r="G2696" s="324">
        <v>46022</v>
      </c>
      <c r="H2696" s="324">
        <v>46752</v>
      </c>
      <c r="I2696" s="325">
        <v>47900</v>
      </c>
      <c r="J269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696" s="133">
        <f>_xlfn.XLOOKUP(Market_Data[[#This Row],[Project Type]],tbl_assumptions_market[Project Category (RERA)],tbl_assumptions_market[Concrete Intensity
(m³ / sq m BUA)],"",0)</f>
        <v>0.18</v>
      </c>
      <c r="L2696" s="134">
        <f>ROUND(Market_Data[[#This Row],[Estimated Built Up Area (sq m)]]*Market_Data[[#This Row],[Concrete Intensity
(m³ / sq m)]],0)</f>
        <v>8622</v>
      </c>
      <c r="M2696" s="135">
        <f>_xlfn.XLOOKUP(Market_Data[[#This Row],[District]],tbl_district_price[District],tbl_district_price[Standard Price
(INR/m³)],"",0)</f>
        <v>6200</v>
      </c>
      <c r="N2696" s="364">
        <f>IF(OR(Market_Data[[#This Row],[Estimated Concrete Demand (m³)]]="",Market_Data[[#This Row],[Avg Price per (₹ / m³)]]=""),"",Market_Data[[#This Row],[Estimated Concrete Demand (m³)]]*Market_Data[[#This Row],[Avg Price per (₹ / m³)]]/10000000)</f>
        <v>5.3456400000000004</v>
      </c>
      <c r="O2696" s="97" t="str">
        <f>IF(Market_Data[[#This Row],[Estimated Concrete Demand (m³)]]="","",
IF(Market_Data[[#This Row],[Estimated Concrete Demand (m³)]]&lt;10000,"Small",
IF(Market_Data[[#This Row],[Estimated Concrete Demand (m³)]]&lt;25000,"Medium",
IF(Market_Data[[#This Row],[Estimated Concrete Demand (m³)]]&lt;100000,"Large","Mega"))))</f>
        <v>Small</v>
      </c>
      <c r="P2696" s="287" t="str">
        <f t="shared" si="43"/>
        <v>GujRERA</v>
      </c>
    </row>
    <row r="2697" spans="1:16">
      <c r="A2697" s="129" t="str">
        <f>_xlfn.XLOOKUP(B2697,$S$9:$S$14,$T$9:$T$14)&amp;"-"&amp;
IF(E2697="Residential/Group Housing","RES",
IF(E2697="Commercial","COM",
IF(E2697="Mixed Development","MIX",
IF(E2697="Plotted Development","PLT","OTH"))))
&amp;"-"&amp;TEXT(COUNTIFS($B$9:B2697,B2697,$E$9:E2697,E2697),"0000")</f>
        <v>SUR-COM-0452</v>
      </c>
      <c r="B2697" s="322" t="s">
        <v>34</v>
      </c>
      <c r="C2697" s="322" t="s">
        <v>34</v>
      </c>
      <c r="D2697" s="323" t="s">
        <v>2886</v>
      </c>
      <c r="E2697" s="132" t="s">
        <v>23</v>
      </c>
      <c r="F2697" s="97" t="str">
        <f ca="1">IF(OR(Market_Data[[#This Row],[Start Date]]="",Market_Data[[#This Row],[Completion Date]]=""),"Needs Validation",IF(Market_Data[[#This Row],[Start Date]]&gt;TODAY(),"Planned",IF(Market_Data[[#This Row],[Completion Date]]&lt;TODAY(),"Completed","Ongoing")))</f>
        <v>Ongoing</v>
      </c>
      <c r="G2697" s="324">
        <v>45622</v>
      </c>
      <c r="H2697" s="324">
        <v>47117</v>
      </c>
      <c r="I2697" s="325">
        <v>3500</v>
      </c>
      <c r="J269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97" s="133">
        <f>_xlfn.XLOOKUP(Market_Data[[#This Row],[Project Type]],tbl_assumptions_market[Project Category (RERA)],tbl_assumptions_market[Concrete Intensity
(m³ / sq m BUA)],"",0)</f>
        <v>0.5</v>
      </c>
      <c r="L2697" s="134">
        <f>ROUND(Market_Data[[#This Row],[Estimated Built Up Area (sq m)]]*Market_Data[[#This Row],[Concrete Intensity
(m³ / sq m)]],0)</f>
        <v>1750</v>
      </c>
      <c r="M2697" s="135">
        <f>_xlfn.XLOOKUP(Market_Data[[#This Row],[District]],tbl_district_price[District],tbl_district_price[Standard Price
(INR/m³)],"",0)</f>
        <v>6200</v>
      </c>
      <c r="N2697" s="364">
        <f>IF(OR(Market_Data[[#This Row],[Estimated Concrete Demand (m³)]]="",Market_Data[[#This Row],[Avg Price per (₹ / m³)]]=""),"",Market_Data[[#This Row],[Estimated Concrete Demand (m³)]]*Market_Data[[#This Row],[Avg Price per (₹ / m³)]]/10000000)</f>
        <v>1.085</v>
      </c>
      <c r="O2697" s="97" t="str">
        <f>IF(Market_Data[[#This Row],[Estimated Concrete Demand (m³)]]="","",
IF(Market_Data[[#This Row],[Estimated Concrete Demand (m³)]]&lt;10000,"Small",
IF(Market_Data[[#This Row],[Estimated Concrete Demand (m³)]]&lt;25000,"Medium",
IF(Market_Data[[#This Row],[Estimated Concrete Demand (m³)]]&lt;100000,"Large","Mega"))))</f>
        <v>Small</v>
      </c>
      <c r="P2697" s="287" t="str">
        <f t="shared" si="43"/>
        <v>GujRERA</v>
      </c>
    </row>
    <row r="2698" spans="1:16">
      <c r="A2698" s="129" t="str">
        <f>_xlfn.XLOOKUP(B2698,$S$9:$S$14,$T$9:$T$14)&amp;"-"&amp;
IF(E2698="Residential/Group Housing","RES",
IF(E2698="Commercial","COM",
IF(E2698="Mixed Development","MIX",
IF(E2698="Plotted Development","PLT","OTH"))))
&amp;"-"&amp;TEXT(COUNTIFS($B$9:B2698,B2698,$E$9:E2698,E2698),"0000")</f>
        <v>SUR-COM-0453</v>
      </c>
      <c r="B2698" s="322" t="s">
        <v>34</v>
      </c>
      <c r="C2698" s="322" t="s">
        <v>34</v>
      </c>
      <c r="D2698" s="323" t="s">
        <v>2887</v>
      </c>
      <c r="E2698" s="132" t="s">
        <v>23</v>
      </c>
      <c r="F2698" s="97" t="str">
        <f ca="1">IF(OR(Market_Data[[#This Row],[Start Date]]="",Market_Data[[#This Row],[Completion Date]]=""),"Needs Validation",IF(Market_Data[[#This Row],[Start Date]]&gt;TODAY(),"Planned",IF(Market_Data[[#This Row],[Completion Date]]&lt;TODAY(),"Completed","Ongoing")))</f>
        <v>Completed</v>
      </c>
      <c r="G2698" s="324">
        <v>42919</v>
      </c>
      <c r="H2698" s="324">
        <v>44742</v>
      </c>
      <c r="I2698" s="325">
        <v>12500</v>
      </c>
      <c r="J269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98" s="133">
        <f>_xlfn.XLOOKUP(Market_Data[[#This Row],[Project Type]],tbl_assumptions_market[Project Category (RERA)],tbl_assumptions_market[Concrete Intensity
(m³ / sq m BUA)],"",0)</f>
        <v>0.5</v>
      </c>
      <c r="L2698" s="134">
        <f>ROUND(Market_Data[[#This Row],[Estimated Built Up Area (sq m)]]*Market_Data[[#This Row],[Concrete Intensity
(m³ / sq m)]],0)</f>
        <v>6250</v>
      </c>
      <c r="M2698" s="135">
        <f>_xlfn.XLOOKUP(Market_Data[[#This Row],[District]],tbl_district_price[District],tbl_district_price[Standard Price
(INR/m³)],"",0)</f>
        <v>6200</v>
      </c>
      <c r="N2698" s="364">
        <f>IF(OR(Market_Data[[#This Row],[Estimated Concrete Demand (m³)]]="",Market_Data[[#This Row],[Avg Price per (₹ / m³)]]=""),"",Market_Data[[#This Row],[Estimated Concrete Demand (m³)]]*Market_Data[[#This Row],[Avg Price per (₹ / m³)]]/10000000)</f>
        <v>3.875</v>
      </c>
      <c r="O2698" s="97" t="str">
        <f>IF(Market_Data[[#This Row],[Estimated Concrete Demand (m³)]]="","",
IF(Market_Data[[#This Row],[Estimated Concrete Demand (m³)]]&lt;10000,"Small",
IF(Market_Data[[#This Row],[Estimated Concrete Demand (m³)]]&lt;25000,"Medium",
IF(Market_Data[[#This Row],[Estimated Concrete Demand (m³)]]&lt;100000,"Large","Mega"))))</f>
        <v>Small</v>
      </c>
      <c r="P2698" s="287" t="str">
        <f t="shared" ref="P2698:P2761" si="44">HYPERLINK(
"https://gujrera.gujarat.gov.in",
"GujRERA")</f>
        <v>GujRERA</v>
      </c>
    </row>
    <row r="2699" spans="1:16">
      <c r="A2699" s="129" t="str">
        <f>_xlfn.XLOOKUP(B2699,$S$9:$S$14,$T$9:$T$14)&amp;"-"&amp;
IF(E2699="Residential/Group Housing","RES",
IF(E2699="Commercial","COM",
IF(E2699="Mixed Development","MIX",
IF(E2699="Plotted Development","PLT","OTH"))))
&amp;"-"&amp;TEXT(COUNTIFS($B$9:B2699,B2699,$E$9:E2699,E2699),"0000")</f>
        <v>SUR-RES-0928</v>
      </c>
      <c r="B2699" s="322" t="s">
        <v>34</v>
      </c>
      <c r="C2699" s="322" t="s">
        <v>34</v>
      </c>
      <c r="D2699" s="323" t="s">
        <v>2888</v>
      </c>
      <c r="E2699" s="132" t="s">
        <v>24</v>
      </c>
      <c r="F2699" s="97" t="str">
        <f ca="1">IF(OR(Market_Data[[#This Row],[Start Date]]="",Market_Data[[#This Row],[Completion Date]]=""),"Needs Validation",IF(Market_Data[[#This Row],[Start Date]]&gt;TODAY(),"Planned",IF(Market_Data[[#This Row],[Completion Date]]&lt;TODAY(),"Completed","Ongoing")))</f>
        <v>Completed</v>
      </c>
      <c r="G2699" s="324">
        <v>43893</v>
      </c>
      <c r="H2699" s="324">
        <v>45353</v>
      </c>
      <c r="I2699" s="325">
        <v>52000</v>
      </c>
      <c r="J269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699" s="133">
        <f>_xlfn.XLOOKUP(Market_Data[[#This Row],[Project Type]],tbl_assumptions_market[Project Category (RERA)],tbl_assumptions_market[Concrete Intensity
(m³ / sq m BUA)],"",0)</f>
        <v>0.45</v>
      </c>
      <c r="L2699" s="134">
        <f>ROUND(Market_Data[[#This Row],[Estimated Built Up Area (sq m)]]*Market_Data[[#This Row],[Concrete Intensity
(m³ / sq m)]],0)</f>
        <v>23400</v>
      </c>
      <c r="M2699" s="135">
        <f>_xlfn.XLOOKUP(Market_Data[[#This Row],[District]],tbl_district_price[District],tbl_district_price[Standard Price
(INR/m³)],"",0)</f>
        <v>6200</v>
      </c>
      <c r="N2699" s="364">
        <f>IF(OR(Market_Data[[#This Row],[Estimated Concrete Demand (m³)]]="",Market_Data[[#This Row],[Avg Price per (₹ / m³)]]=""),"",Market_Data[[#This Row],[Estimated Concrete Demand (m³)]]*Market_Data[[#This Row],[Avg Price per (₹ / m³)]]/10000000)</f>
        <v>14.507999999999999</v>
      </c>
      <c r="O2699" s="97" t="str">
        <f>IF(Market_Data[[#This Row],[Estimated Concrete Demand (m³)]]="","",
IF(Market_Data[[#This Row],[Estimated Concrete Demand (m³)]]&lt;10000,"Small",
IF(Market_Data[[#This Row],[Estimated Concrete Demand (m³)]]&lt;25000,"Medium",
IF(Market_Data[[#This Row],[Estimated Concrete Demand (m³)]]&lt;100000,"Large","Mega"))))</f>
        <v>Medium</v>
      </c>
      <c r="P2699" s="287" t="str">
        <f t="shared" si="44"/>
        <v>GujRERA</v>
      </c>
    </row>
    <row r="2700" spans="1:16">
      <c r="A2700" s="129" t="str">
        <f>_xlfn.XLOOKUP(B2700,$S$9:$S$14,$T$9:$T$14)&amp;"-"&amp;
IF(E2700="Residential/Group Housing","RES",
IF(E2700="Commercial","COM",
IF(E2700="Mixed Development","MIX",
IF(E2700="Plotted Development","PLT","OTH"))))
&amp;"-"&amp;TEXT(COUNTIFS($B$9:B2700,B2700,$E$9:E2700,E2700),"0000")</f>
        <v>SUR-RES-0929</v>
      </c>
      <c r="B2700" s="322" t="s">
        <v>34</v>
      </c>
      <c r="C2700" s="322" t="s">
        <v>34</v>
      </c>
      <c r="D2700" s="323" t="s">
        <v>2889</v>
      </c>
      <c r="E2700" s="132" t="s">
        <v>24</v>
      </c>
      <c r="F2700" s="97" t="str">
        <f ca="1">IF(OR(Market_Data[[#This Row],[Start Date]]="",Market_Data[[#This Row],[Completion Date]]=""),"Needs Validation",IF(Market_Data[[#This Row],[Start Date]]&gt;TODAY(),"Planned",IF(Market_Data[[#This Row],[Completion Date]]&lt;TODAY(),"Completed","Ongoing")))</f>
        <v>Ongoing</v>
      </c>
      <c r="G2700" s="324">
        <v>45344</v>
      </c>
      <c r="H2700" s="324">
        <v>46477</v>
      </c>
      <c r="I2700" s="325">
        <v>30600</v>
      </c>
      <c r="J270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00" s="133">
        <f>_xlfn.XLOOKUP(Market_Data[[#This Row],[Project Type]],tbl_assumptions_market[Project Category (RERA)],tbl_assumptions_market[Concrete Intensity
(m³ / sq m BUA)],"",0)</f>
        <v>0.45</v>
      </c>
      <c r="L2700" s="134">
        <f>ROUND(Market_Data[[#This Row],[Estimated Built Up Area (sq m)]]*Market_Data[[#This Row],[Concrete Intensity
(m³ / sq m)]],0)</f>
        <v>13770</v>
      </c>
      <c r="M2700" s="135">
        <f>_xlfn.XLOOKUP(Market_Data[[#This Row],[District]],tbl_district_price[District],tbl_district_price[Standard Price
(INR/m³)],"",0)</f>
        <v>6200</v>
      </c>
      <c r="N2700" s="364">
        <f>IF(OR(Market_Data[[#This Row],[Estimated Concrete Demand (m³)]]="",Market_Data[[#This Row],[Avg Price per (₹ / m³)]]=""),"",Market_Data[[#This Row],[Estimated Concrete Demand (m³)]]*Market_Data[[#This Row],[Avg Price per (₹ / m³)]]/10000000)</f>
        <v>8.5373999999999999</v>
      </c>
      <c r="O2700" s="97" t="str">
        <f>IF(Market_Data[[#This Row],[Estimated Concrete Demand (m³)]]="","",
IF(Market_Data[[#This Row],[Estimated Concrete Demand (m³)]]&lt;10000,"Small",
IF(Market_Data[[#This Row],[Estimated Concrete Demand (m³)]]&lt;25000,"Medium",
IF(Market_Data[[#This Row],[Estimated Concrete Demand (m³)]]&lt;100000,"Large","Mega"))))</f>
        <v>Medium</v>
      </c>
      <c r="P2700" s="287" t="str">
        <f t="shared" si="44"/>
        <v>GujRERA</v>
      </c>
    </row>
    <row r="2701" spans="1:16">
      <c r="A2701" s="129" t="str">
        <f>_xlfn.XLOOKUP(B2701,$S$9:$S$14,$T$9:$T$14)&amp;"-"&amp;
IF(E2701="Residential/Group Housing","RES",
IF(E2701="Commercial","COM",
IF(E2701="Mixed Development","MIX",
IF(E2701="Plotted Development","PLT","OTH"))))
&amp;"-"&amp;TEXT(COUNTIFS($B$9:B2701,B2701,$E$9:E2701,E2701),"0000")</f>
        <v>SUR-COM-0454</v>
      </c>
      <c r="B2701" s="322" t="s">
        <v>34</v>
      </c>
      <c r="C2701" s="322" t="s">
        <v>34</v>
      </c>
      <c r="D2701" s="323" t="s">
        <v>2890</v>
      </c>
      <c r="E2701" s="132" t="s">
        <v>23</v>
      </c>
      <c r="F2701" s="97" t="str">
        <f ca="1">IF(OR(Market_Data[[#This Row],[Start Date]]="",Market_Data[[#This Row],[Completion Date]]=""),"Needs Validation",IF(Market_Data[[#This Row],[Start Date]]&gt;TODAY(),"Planned",IF(Market_Data[[#This Row],[Completion Date]]&lt;TODAY(),"Completed","Ongoing")))</f>
        <v>Ongoing</v>
      </c>
      <c r="G2701" s="324">
        <v>45556</v>
      </c>
      <c r="H2701" s="324">
        <v>47416</v>
      </c>
      <c r="I2701" s="325">
        <v>128800</v>
      </c>
      <c r="J270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701" s="133">
        <f>_xlfn.XLOOKUP(Market_Data[[#This Row],[Project Type]],tbl_assumptions_market[Project Category (RERA)],tbl_assumptions_market[Concrete Intensity
(m³ / sq m BUA)],"",0)</f>
        <v>0.5</v>
      </c>
      <c r="L2701" s="134">
        <f>ROUND(Market_Data[[#This Row],[Estimated Built Up Area (sq m)]]*Market_Data[[#This Row],[Concrete Intensity
(m³ / sq m)]],0)</f>
        <v>64400</v>
      </c>
      <c r="M2701" s="135">
        <f>_xlfn.XLOOKUP(Market_Data[[#This Row],[District]],tbl_district_price[District],tbl_district_price[Standard Price
(INR/m³)],"",0)</f>
        <v>6200</v>
      </c>
      <c r="N2701" s="364">
        <f>IF(OR(Market_Data[[#This Row],[Estimated Concrete Demand (m³)]]="",Market_Data[[#This Row],[Avg Price per (₹ / m³)]]=""),"",Market_Data[[#This Row],[Estimated Concrete Demand (m³)]]*Market_Data[[#This Row],[Avg Price per (₹ / m³)]]/10000000)</f>
        <v>39.927999999999997</v>
      </c>
      <c r="O2701" s="97" t="str">
        <f>IF(Market_Data[[#This Row],[Estimated Concrete Demand (m³)]]="","",
IF(Market_Data[[#This Row],[Estimated Concrete Demand (m³)]]&lt;10000,"Small",
IF(Market_Data[[#This Row],[Estimated Concrete Demand (m³)]]&lt;25000,"Medium",
IF(Market_Data[[#This Row],[Estimated Concrete Demand (m³)]]&lt;100000,"Large","Mega"))))</f>
        <v>Large</v>
      </c>
      <c r="P2701" s="287" t="str">
        <f t="shared" si="44"/>
        <v>GujRERA</v>
      </c>
    </row>
    <row r="2702" spans="1:16">
      <c r="A2702" s="129" t="str">
        <f>_xlfn.XLOOKUP(B2702,$S$9:$S$14,$T$9:$T$14)&amp;"-"&amp;
IF(E2702="Residential/Group Housing","RES",
IF(E2702="Commercial","COM",
IF(E2702="Mixed Development","MIX",
IF(E2702="Plotted Development","PLT","OTH"))))
&amp;"-"&amp;TEXT(COUNTIFS($B$9:B2702,B2702,$E$9:E2702,E2702),"0000")</f>
        <v>SUR-MIX-0483</v>
      </c>
      <c r="B2702" s="322" t="s">
        <v>34</v>
      </c>
      <c r="C2702" s="322" t="s">
        <v>34</v>
      </c>
      <c r="D2702" s="323" t="s">
        <v>2891</v>
      </c>
      <c r="E2702" s="132" t="s">
        <v>25</v>
      </c>
      <c r="F2702" s="97" t="str">
        <f ca="1">IF(OR(Market_Data[[#This Row],[Start Date]]="",Market_Data[[#This Row],[Completion Date]]=""),"Needs Validation",IF(Market_Data[[#This Row],[Start Date]]&gt;TODAY(),"Planned",IF(Market_Data[[#This Row],[Completion Date]]&lt;TODAY(),"Completed","Ongoing")))</f>
        <v>Completed</v>
      </c>
      <c r="G2702" s="324">
        <v>42019</v>
      </c>
      <c r="H2702" s="324">
        <v>43190</v>
      </c>
      <c r="I2702" s="325">
        <v>4600</v>
      </c>
      <c r="J270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702" s="133">
        <f>_xlfn.XLOOKUP(Market_Data[[#This Row],[Project Type]],tbl_assumptions_market[Project Category (RERA)],tbl_assumptions_market[Concrete Intensity
(m³ / sq m BUA)],"",0)</f>
        <v>0.42</v>
      </c>
      <c r="L2702" s="134">
        <f>ROUND(Market_Data[[#This Row],[Estimated Built Up Area (sq m)]]*Market_Data[[#This Row],[Concrete Intensity
(m³ / sq m)]],0)</f>
        <v>1932</v>
      </c>
      <c r="M2702" s="135">
        <f>_xlfn.XLOOKUP(Market_Data[[#This Row],[District]],tbl_district_price[District],tbl_district_price[Standard Price
(INR/m³)],"",0)</f>
        <v>6200</v>
      </c>
      <c r="N2702" s="364">
        <f>IF(OR(Market_Data[[#This Row],[Estimated Concrete Demand (m³)]]="",Market_Data[[#This Row],[Avg Price per (₹ / m³)]]=""),"",Market_Data[[#This Row],[Estimated Concrete Demand (m³)]]*Market_Data[[#This Row],[Avg Price per (₹ / m³)]]/10000000)</f>
        <v>1.19784</v>
      </c>
      <c r="O2702" s="97" t="str">
        <f>IF(Market_Data[[#This Row],[Estimated Concrete Demand (m³)]]="","",
IF(Market_Data[[#This Row],[Estimated Concrete Demand (m³)]]&lt;10000,"Small",
IF(Market_Data[[#This Row],[Estimated Concrete Demand (m³)]]&lt;25000,"Medium",
IF(Market_Data[[#This Row],[Estimated Concrete Demand (m³)]]&lt;100000,"Large","Mega"))))</f>
        <v>Small</v>
      </c>
      <c r="P2702" s="287" t="str">
        <f t="shared" si="44"/>
        <v>GujRERA</v>
      </c>
    </row>
    <row r="2703" spans="1:16">
      <c r="A2703" s="129" t="str">
        <f>_xlfn.XLOOKUP(B2703,$S$9:$S$14,$T$9:$T$14)&amp;"-"&amp;
IF(E2703="Residential/Group Housing","RES",
IF(E2703="Commercial","COM",
IF(E2703="Mixed Development","MIX",
IF(E2703="Plotted Development","PLT","OTH"))))
&amp;"-"&amp;TEXT(COUNTIFS($B$9:B2703,B2703,$E$9:E2703,E2703),"0000")</f>
        <v>SUR-PLT-0519</v>
      </c>
      <c r="B2703" s="322" t="s">
        <v>34</v>
      </c>
      <c r="C2703" s="322" t="s">
        <v>34</v>
      </c>
      <c r="D2703" s="323" t="s">
        <v>2892</v>
      </c>
      <c r="E2703" s="132" t="s">
        <v>26</v>
      </c>
      <c r="F2703" s="97" t="str">
        <f ca="1">IF(OR(Market_Data[[#This Row],[Start Date]]="",Market_Data[[#This Row],[Completion Date]]=""),"Needs Validation",IF(Market_Data[[#This Row],[Start Date]]&gt;TODAY(),"Planned",IF(Market_Data[[#This Row],[Completion Date]]&lt;TODAY(),"Completed","Ongoing")))</f>
        <v>Completed</v>
      </c>
      <c r="G2703" s="324">
        <v>44988</v>
      </c>
      <c r="H2703" s="324">
        <v>46142</v>
      </c>
      <c r="I2703" s="325">
        <v>53200</v>
      </c>
      <c r="J270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703" s="133">
        <f>_xlfn.XLOOKUP(Market_Data[[#This Row],[Project Type]],tbl_assumptions_market[Project Category (RERA)],tbl_assumptions_market[Concrete Intensity
(m³ / sq m BUA)],"",0)</f>
        <v>0.18</v>
      </c>
      <c r="L2703" s="134">
        <f>ROUND(Market_Data[[#This Row],[Estimated Built Up Area (sq m)]]*Market_Data[[#This Row],[Concrete Intensity
(m³ / sq m)]],0)</f>
        <v>9576</v>
      </c>
      <c r="M2703" s="135">
        <f>_xlfn.XLOOKUP(Market_Data[[#This Row],[District]],tbl_district_price[District],tbl_district_price[Standard Price
(INR/m³)],"",0)</f>
        <v>6200</v>
      </c>
      <c r="N2703" s="364">
        <f>IF(OR(Market_Data[[#This Row],[Estimated Concrete Demand (m³)]]="",Market_Data[[#This Row],[Avg Price per (₹ / m³)]]=""),"",Market_Data[[#This Row],[Estimated Concrete Demand (m³)]]*Market_Data[[#This Row],[Avg Price per (₹ / m³)]]/10000000)</f>
        <v>5.9371200000000002</v>
      </c>
      <c r="O2703" s="97" t="str">
        <f>IF(Market_Data[[#This Row],[Estimated Concrete Demand (m³)]]="","",
IF(Market_Data[[#This Row],[Estimated Concrete Demand (m³)]]&lt;10000,"Small",
IF(Market_Data[[#This Row],[Estimated Concrete Demand (m³)]]&lt;25000,"Medium",
IF(Market_Data[[#This Row],[Estimated Concrete Demand (m³)]]&lt;100000,"Large","Mega"))))</f>
        <v>Small</v>
      </c>
      <c r="P2703" s="287" t="str">
        <f t="shared" si="44"/>
        <v>GujRERA</v>
      </c>
    </row>
    <row r="2704" spans="1:16">
      <c r="A2704" s="129" t="str">
        <f>_xlfn.XLOOKUP(B2704,$S$9:$S$14,$T$9:$T$14)&amp;"-"&amp;
IF(E2704="Residential/Group Housing","RES",
IF(E2704="Commercial","COM",
IF(E2704="Mixed Development","MIX",
IF(E2704="Plotted Development","PLT","OTH"))))
&amp;"-"&amp;TEXT(COUNTIFS($B$9:B2704,B2704,$E$9:E2704,E2704),"0000")</f>
        <v>SUR-MIX-0484</v>
      </c>
      <c r="B2704" s="322" t="s">
        <v>34</v>
      </c>
      <c r="C2704" s="322" t="s">
        <v>34</v>
      </c>
      <c r="D2704" s="323" t="s">
        <v>2893</v>
      </c>
      <c r="E2704" s="132" t="s">
        <v>25</v>
      </c>
      <c r="F2704" s="97" t="str">
        <f ca="1">IF(OR(Market_Data[[#This Row],[Start Date]]="",Market_Data[[#This Row],[Completion Date]]=""),"Needs Validation",IF(Market_Data[[#This Row],[Start Date]]&gt;TODAY(),"Planned",IF(Market_Data[[#This Row],[Completion Date]]&lt;TODAY(),"Completed","Ongoing")))</f>
        <v>Ongoing</v>
      </c>
      <c r="G2704" s="324">
        <v>45912</v>
      </c>
      <c r="H2704" s="324">
        <v>47573</v>
      </c>
      <c r="I2704" s="325">
        <v>23900</v>
      </c>
      <c r="J270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04" s="133">
        <f>_xlfn.XLOOKUP(Market_Data[[#This Row],[Project Type]],tbl_assumptions_market[Project Category (RERA)],tbl_assumptions_market[Concrete Intensity
(m³ / sq m BUA)],"",0)</f>
        <v>0.42</v>
      </c>
      <c r="L2704" s="134">
        <f>ROUND(Market_Data[[#This Row],[Estimated Built Up Area (sq m)]]*Market_Data[[#This Row],[Concrete Intensity
(m³ / sq m)]],0)</f>
        <v>10038</v>
      </c>
      <c r="M2704" s="135">
        <f>_xlfn.XLOOKUP(Market_Data[[#This Row],[District]],tbl_district_price[District],tbl_district_price[Standard Price
(INR/m³)],"",0)</f>
        <v>6200</v>
      </c>
      <c r="N2704" s="364">
        <f>IF(OR(Market_Data[[#This Row],[Estimated Concrete Demand (m³)]]="",Market_Data[[#This Row],[Avg Price per (₹ / m³)]]=""),"",Market_Data[[#This Row],[Estimated Concrete Demand (m³)]]*Market_Data[[#This Row],[Avg Price per (₹ / m³)]]/10000000)</f>
        <v>6.22356</v>
      </c>
      <c r="O2704" s="97" t="str">
        <f>IF(Market_Data[[#This Row],[Estimated Concrete Demand (m³)]]="","",
IF(Market_Data[[#This Row],[Estimated Concrete Demand (m³)]]&lt;10000,"Small",
IF(Market_Data[[#This Row],[Estimated Concrete Demand (m³)]]&lt;25000,"Medium",
IF(Market_Data[[#This Row],[Estimated Concrete Demand (m³)]]&lt;100000,"Large","Mega"))))</f>
        <v>Medium</v>
      </c>
      <c r="P2704" s="287" t="str">
        <f t="shared" si="44"/>
        <v>GujRERA</v>
      </c>
    </row>
    <row r="2705" spans="1:16">
      <c r="A2705" s="129" t="str">
        <f>_xlfn.XLOOKUP(B2705,$S$9:$S$14,$T$9:$T$14)&amp;"-"&amp;
IF(E2705="Residential/Group Housing","RES",
IF(E2705="Commercial","COM",
IF(E2705="Mixed Development","MIX",
IF(E2705="Plotted Development","PLT","OTH"))))
&amp;"-"&amp;TEXT(COUNTIFS($B$9:B2705,B2705,$E$9:E2705,E2705),"0000")</f>
        <v>SUR-RES-0930</v>
      </c>
      <c r="B2705" s="322" t="s">
        <v>34</v>
      </c>
      <c r="C2705" s="322" t="s">
        <v>34</v>
      </c>
      <c r="D2705" s="323" t="s">
        <v>2894</v>
      </c>
      <c r="E2705" s="132" t="s">
        <v>24</v>
      </c>
      <c r="F2705" s="97" t="str">
        <f ca="1">IF(OR(Market_Data[[#This Row],[Start Date]]="",Market_Data[[#This Row],[Completion Date]]=""),"Needs Validation",IF(Market_Data[[#This Row],[Start Date]]&gt;TODAY(),"Planned",IF(Market_Data[[#This Row],[Completion Date]]&lt;TODAY(),"Completed","Ongoing")))</f>
        <v>Completed</v>
      </c>
      <c r="G2705" s="324">
        <v>43252</v>
      </c>
      <c r="H2705" s="324">
        <v>44742</v>
      </c>
      <c r="I2705" s="325">
        <v>14500</v>
      </c>
      <c r="J270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05" s="133">
        <f>_xlfn.XLOOKUP(Market_Data[[#This Row],[Project Type]],tbl_assumptions_market[Project Category (RERA)],tbl_assumptions_market[Concrete Intensity
(m³ / sq m BUA)],"",0)</f>
        <v>0.45</v>
      </c>
      <c r="L2705" s="134">
        <f>ROUND(Market_Data[[#This Row],[Estimated Built Up Area (sq m)]]*Market_Data[[#This Row],[Concrete Intensity
(m³ / sq m)]],0)</f>
        <v>6525</v>
      </c>
      <c r="M2705" s="135">
        <f>_xlfn.XLOOKUP(Market_Data[[#This Row],[District]],tbl_district_price[District],tbl_district_price[Standard Price
(INR/m³)],"",0)</f>
        <v>6200</v>
      </c>
      <c r="N2705" s="364">
        <f>IF(OR(Market_Data[[#This Row],[Estimated Concrete Demand (m³)]]="",Market_Data[[#This Row],[Avg Price per (₹ / m³)]]=""),"",Market_Data[[#This Row],[Estimated Concrete Demand (m³)]]*Market_Data[[#This Row],[Avg Price per (₹ / m³)]]/10000000)</f>
        <v>4.0454999999999997</v>
      </c>
      <c r="O2705" s="97" t="str">
        <f>IF(Market_Data[[#This Row],[Estimated Concrete Demand (m³)]]="","",
IF(Market_Data[[#This Row],[Estimated Concrete Demand (m³)]]&lt;10000,"Small",
IF(Market_Data[[#This Row],[Estimated Concrete Demand (m³)]]&lt;25000,"Medium",
IF(Market_Data[[#This Row],[Estimated Concrete Demand (m³)]]&lt;100000,"Large","Mega"))))</f>
        <v>Small</v>
      </c>
      <c r="P2705" s="287" t="str">
        <f t="shared" si="44"/>
        <v>GujRERA</v>
      </c>
    </row>
    <row r="2706" spans="1:16">
      <c r="A2706" s="129" t="str">
        <f>_xlfn.XLOOKUP(B2706,$S$9:$S$14,$T$9:$T$14)&amp;"-"&amp;
IF(E2706="Residential/Group Housing","RES",
IF(E2706="Commercial","COM",
IF(E2706="Mixed Development","MIX",
IF(E2706="Plotted Development","PLT","OTH"))))
&amp;"-"&amp;TEXT(COUNTIFS($B$9:B2706,B2706,$E$9:E2706,E2706),"0000")</f>
        <v>SUR-RES-0931</v>
      </c>
      <c r="B2706" s="322" t="s">
        <v>34</v>
      </c>
      <c r="C2706" s="322" t="s">
        <v>34</v>
      </c>
      <c r="D2706" s="323" t="s">
        <v>2895</v>
      </c>
      <c r="E2706" s="132" t="s">
        <v>24</v>
      </c>
      <c r="F2706" s="97" t="str">
        <f ca="1">IF(OR(Market_Data[[#This Row],[Start Date]]="",Market_Data[[#This Row],[Completion Date]]=""),"Needs Validation",IF(Market_Data[[#This Row],[Start Date]]&gt;TODAY(),"Planned",IF(Market_Data[[#This Row],[Completion Date]]&lt;TODAY(),"Completed","Ongoing")))</f>
        <v>Completed</v>
      </c>
      <c r="G2706" s="324">
        <v>43101</v>
      </c>
      <c r="H2706" s="324">
        <v>44835</v>
      </c>
      <c r="I2706" s="325">
        <v>55600</v>
      </c>
      <c r="J270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06" s="133">
        <f>_xlfn.XLOOKUP(Market_Data[[#This Row],[Project Type]],tbl_assumptions_market[Project Category (RERA)],tbl_assumptions_market[Concrete Intensity
(m³ / sq m BUA)],"",0)</f>
        <v>0.45</v>
      </c>
      <c r="L2706" s="134">
        <f>ROUND(Market_Data[[#This Row],[Estimated Built Up Area (sq m)]]*Market_Data[[#This Row],[Concrete Intensity
(m³ / sq m)]],0)</f>
        <v>25020</v>
      </c>
      <c r="M2706" s="135">
        <f>_xlfn.XLOOKUP(Market_Data[[#This Row],[District]],tbl_district_price[District],tbl_district_price[Standard Price
(INR/m³)],"",0)</f>
        <v>6200</v>
      </c>
      <c r="N2706" s="364">
        <f>IF(OR(Market_Data[[#This Row],[Estimated Concrete Demand (m³)]]="",Market_Data[[#This Row],[Avg Price per (₹ / m³)]]=""),"",Market_Data[[#This Row],[Estimated Concrete Demand (m³)]]*Market_Data[[#This Row],[Avg Price per (₹ / m³)]]/10000000)</f>
        <v>15.5124</v>
      </c>
      <c r="O2706" s="97" t="str">
        <f>IF(Market_Data[[#This Row],[Estimated Concrete Demand (m³)]]="","",
IF(Market_Data[[#This Row],[Estimated Concrete Demand (m³)]]&lt;10000,"Small",
IF(Market_Data[[#This Row],[Estimated Concrete Demand (m³)]]&lt;25000,"Medium",
IF(Market_Data[[#This Row],[Estimated Concrete Demand (m³)]]&lt;100000,"Large","Mega"))))</f>
        <v>Large</v>
      </c>
      <c r="P2706" s="287" t="str">
        <f t="shared" si="44"/>
        <v>GujRERA</v>
      </c>
    </row>
    <row r="2707" spans="1:16">
      <c r="A2707" s="129" t="str">
        <f>_xlfn.XLOOKUP(B2707,$S$9:$S$14,$T$9:$T$14)&amp;"-"&amp;
IF(E2707="Residential/Group Housing","RES",
IF(E2707="Commercial","COM",
IF(E2707="Mixed Development","MIX",
IF(E2707="Plotted Development","PLT","OTH"))))
&amp;"-"&amp;TEXT(COUNTIFS($B$9:B2707,B2707,$E$9:E2707,E2707),"0000")</f>
        <v>SUR-RES-0932</v>
      </c>
      <c r="B2707" s="322" t="s">
        <v>34</v>
      </c>
      <c r="C2707" s="322" t="s">
        <v>34</v>
      </c>
      <c r="D2707" s="323" t="s">
        <v>2896</v>
      </c>
      <c r="E2707" s="132" t="s">
        <v>24</v>
      </c>
      <c r="F2707" s="97" t="str">
        <f ca="1">IF(OR(Market_Data[[#This Row],[Start Date]]="",Market_Data[[#This Row],[Completion Date]]=""),"Needs Validation",IF(Market_Data[[#This Row],[Start Date]]&gt;TODAY(),"Planned",IF(Market_Data[[#This Row],[Completion Date]]&lt;TODAY(),"Completed","Ongoing")))</f>
        <v>Completed</v>
      </c>
      <c r="G2707" s="324">
        <v>42826</v>
      </c>
      <c r="H2707" s="324">
        <v>44742</v>
      </c>
      <c r="I2707" s="325">
        <v>32000</v>
      </c>
      <c r="J270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07" s="133">
        <f>_xlfn.XLOOKUP(Market_Data[[#This Row],[Project Type]],tbl_assumptions_market[Project Category (RERA)],tbl_assumptions_market[Concrete Intensity
(m³ / sq m BUA)],"",0)</f>
        <v>0.45</v>
      </c>
      <c r="L2707" s="134">
        <f>ROUND(Market_Data[[#This Row],[Estimated Built Up Area (sq m)]]*Market_Data[[#This Row],[Concrete Intensity
(m³ / sq m)]],0)</f>
        <v>14400</v>
      </c>
      <c r="M2707" s="135">
        <f>_xlfn.XLOOKUP(Market_Data[[#This Row],[District]],tbl_district_price[District],tbl_district_price[Standard Price
(INR/m³)],"",0)</f>
        <v>6200</v>
      </c>
      <c r="N2707" s="364">
        <f>IF(OR(Market_Data[[#This Row],[Estimated Concrete Demand (m³)]]="",Market_Data[[#This Row],[Avg Price per (₹ / m³)]]=""),"",Market_Data[[#This Row],[Estimated Concrete Demand (m³)]]*Market_Data[[#This Row],[Avg Price per (₹ / m³)]]/10000000)</f>
        <v>8.9280000000000008</v>
      </c>
      <c r="O2707" s="97" t="str">
        <f>IF(Market_Data[[#This Row],[Estimated Concrete Demand (m³)]]="","",
IF(Market_Data[[#This Row],[Estimated Concrete Demand (m³)]]&lt;10000,"Small",
IF(Market_Data[[#This Row],[Estimated Concrete Demand (m³)]]&lt;25000,"Medium",
IF(Market_Data[[#This Row],[Estimated Concrete Demand (m³)]]&lt;100000,"Large","Mega"))))</f>
        <v>Medium</v>
      </c>
      <c r="P2707" s="287" t="str">
        <f t="shared" si="44"/>
        <v>GujRERA</v>
      </c>
    </row>
    <row r="2708" spans="1:16">
      <c r="A2708" s="129" t="str">
        <f>_xlfn.XLOOKUP(B2708,$S$9:$S$14,$T$9:$T$14)&amp;"-"&amp;
IF(E2708="Residential/Group Housing","RES",
IF(E2708="Commercial","COM",
IF(E2708="Mixed Development","MIX",
IF(E2708="Plotted Development","PLT","OTH"))))
&amp;"-"&amp;TEXT(COUNTIFS($B$9:B2708,B2708,$E$9:E2708,E2708),"0000")</f>
        <v>SUR-MIX-0485</v>
      </c>
      <c r="B2708" s="322" t="s">
        <v>34</v>
      </c>
      <c r="C2708" s="322" t="s">
        <v>34</v>
      </c>
      <c r="D2708" s="323" t="s">
        <v>2897</v>
      </c>
      <c r="E2708" s="132" t="s">
        <v>25</v>
      </c>
      <c r="F2708" s="97" t="str">
        <f ca="1">IF(OR(Market_Data[[#This Row],[Start Date]]="",Market_Data[[#This Row],[Completion Date]]=""),"Needs Validation",IF(Market_Data[[#This Row],[Start Date]]&gt;TODAY(),"Planned",IF(Market_Data[[#This Row],[Completion Date]]&lt;TODAY(),"Completed","Ongoing")))</f>
        <v>Completed</v>
      </c>
      <c r="G2708" s="324">
        <v>41716</v>
      </c>
      <c r="H2708" s="324">
        <v>43708</v>
      </c>
      <c r="I2708" s="325">
        <v>57200</v>
      </c>
      <c r="J270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08" s="133">
        <f>_xlfn.XLOOKUP(Market_Data[[#This Row],[Project Type]],tbl_assumptions_market[Project Category (RERA)],tbl_assumptions_market[Concrete Intensity
(m³ / sq m BUA)],"",0)</f>
        <v>0.42</v>
      </c>
      <c r="L2708" s="134">
        <f>ROUND(Market_Data[[#This Row],[Estimated Built Up Area (sq m)]]*Market_Data[[#This Row],[Concrete Intensity
(m³ / sq m)]],0)</f>
        <v>24024</v>
      </c>
      <c r="M2708" s="135">
        <f>_xlfn.XLOOKUP(Market_Data[[#This Row],[District]],tbl_district_price[District],tbl_district_price[Standard Price
(INR/m³)],"",0)</f>
        <v>6200</v>
      </c>
      <c r="N2708" s="364">
        <f>IF(OR(Market_Data[[#This Row],[Estimated Concrete Demand (m³)]]="",Market_Data[[#This Row],[Avg Price per (₹ / m³)]]=""),"",Market_Data[[#This Row],[Estimated Concrete Demand (m³)]]*Market_Data[[#This Row],[Avg Price per (₹ / m³)]]/10000000)</f>
        <v>14.894880000000001</v>
      </c>
      <c r="O2708" s="97" t="str">
        <f>IF(Market_Data[[#This Row],[Estimated Concrete Demand (m³)]]="","",
IF(Market_Data[[#This Row],[Estimated Concrete Demand (m³)]]&lt;10000,"Small",
IF(Market_Data[[#This Row],[Estimated Concrete Demand (m³)]]&lt;25000,"Medium",
IF(Market_Data[[#This Row],[Estimated Concrete Demand (m³)]]&lt;100000,"Large","Mega"))))</f>
        <v>Medium</v>
      </c>
      <c r="P2708" s="287" t="str">
        <f t="shared" si="44"/>
        <v>GujRERA</v>
      </c>
    </row>
    <row r="2709" spans="1:16">
      <c r="A2709" s="129" t="str">
        <f>_xlfn.XLOOKUP(B2709,$S$9:$S$14,$T$9:$T$14)&amp;"-"&amp;
IF(E2709="Residential/Group Housing","RES",
IF(E2709="Commercial","COM",
IF(E2709="Mixed Development","MIX",
IF(E2709="Plotted Development","PLT","OTH"))))
&amp;"-"&amp;TEXT(COUNTIFS($B$9:B2709,B2709,$E$9:E2709,E2709),"0000")</f>
        <v>SUR-COM-0455</v>
      </c>
      <c r="B2709" s="322" t="s">
        <v>34</v>
      </c>
      <c r="C2709" s="322" t="s">
        <v>34</v>
      </c>
      <c r="D2709" s="323" t="s">
        <v>2898</v>
      </c>
      <c r="E2709" s="132" t="s">
        <v>23</v>
      </c>
      <c r="F2709" s="97" t="str">
        <f ca="1">IF(OR(Market_Data[[#This Row],[Start Date]]="",Market_Data[[#This Row],[Completion Date]]=""),"Needs Validation",IF(Market_Data[[#This Row],[Start Date]]&gt;TODAY(),"Planned",IF(Market_Data[[#This Row],[Completion Date]]&lt;TODAY(),"Completed","Ongoing")))</f>
        <v>Ongoing</v>
      </c>
      <c r="G2709" s="324">
        <v>45838</v>
      </c>
      <c r="H2709" s="324">
        <v>47118</v>
      </c>
      <c r="I2709" s="325">
        <v>44200</v>
      </c>
      <c r="J270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709" s="133">
        <f>_xlfn.XLOOKUP(Market_Data[[#This Row],[Project Type]],tbl_assumptions_market[Project Category (RERA)],tbl_assumptions_market[Concrete Intensity
(m³ / sq m BUA)],"",0)</f>
        <v>0.5</v>
      </c>
      <c r="L2709" s="134">
        <f>ROUND(Market_Data[[#This Row],[Estimated Built Up Area (sq m)]]*Market_Data[[#This Row],[Concrete Intensity
(m³ / sq m)]],0)</f>
        <v>22100</v>
      </c>
      <c r="M2709" s="135">
        <f>_xlfn.XLOOKUP(Market_Data[[#This Row],[District]],tbl_district_price[District],tbl_district_price[Standard Price
(INR/m³)],"",0)</f>
        <v>6200</v>
      </c>
      <c r="N2709" s="364">
        <f>IF(OR(Market_Data[[#This Row],[Estimated Concrete Demand (m³)]]="",Market_Data[[#This Row],[Avg Price per (₹ / m³)]]=""),"",Market_Data[[#This Row],[Estimated Concrete Demand (m³)]]*Market_Data[[#This Row],[Avg Price per (₹ / m³)]]/10000000)</f>
        <v>13.702</v>
      </c>
      <c r="O2709" s="97" t="str">
        <f>IF(Market_Data[[#This Row],[Estimated Concrete Demand (m³)]]="","",
IF(Market_Data[[#This Row],[Estimated Concrete Demand (m³)]]&lt;10000,"Small",
IF(Market_Data[[#This Row],[Estimated Concrete Demand (m³)]]&lt;25000,"Medium",
IF(Market_Data[[#This Row],[Estimated Concrete Demand (m³)]]&lt;100000,"Large","Mega"))))</f>
        <v>Medium</v>
      </c>
      <c r="P2709" s="287" t="str">
        <f t="shared" si="44"/>
        <v>GujRERA</v>
      </c>
    </row>
    <row r="2710" spans="1:16">
      <c r="A2710" s="129" t="str">
        <f>_xlfn.XLOOKUP(B2710,$S$9:$S$14,$T$9:$T$14)&amp;"-"&amp;
IF(E2710="Residential/Group Housing","RES",
IF(E2710="Commercial","COM",
IF(E2710="Mixed Development","MIX",
IF(E2710="Plotted Development","PLT","OTH"))))
&amp;"-"&amp;TEXT(COUNTIFS($B$9:B2710,B2710,$E$9:E2710,E2710),"0000")</f>
        <v>SUR-MIX-0486</v>
      </c>
      <c r="B2710" s="322" t="s">
        <v>34</v>
      </c>
      <c r="C2710" s="322" t="s">
        <v>34</v>
      </c>
      <c r="D2710" s="323" t="s">
        <v>2899</v>
      </c>
      <c r="E2710" s="132" t="s">
        <v>25</v>
      </c>
      <c r="F2710" s="97" t="str">
        <f ca="1">IF(OR(Market_Data[[#This Row],[Start Date]]="",Market_Data[[#This Row],[Completion Date]]=""),"Needs Validation",IF(Market_Data[[#This Row],[Start Date]]&gt;TODAY(),"Planned",IF(Market_Data[[#This Row],[Completion Date]]&lt;TODAY(),"Completed","Ongoing")))</f>
        <v>Completed</v>
      </c>
      <c r="G2710" s="324">
        <v>43370</v>
      </c>
      <c r="H2710" s="324">
        <v>45107</v>
      </c>
      <c r="I2710" s="325">
        <v>11900</v>
      </c>
      <c r="J271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10" s="133">
        <f>_xlfn.XLOOKUP(Market_Data[[#This Row],[Project Type]],tbl_assumptions_market[Project Category (RERA)],tbl_assumptions_market[Concrete Intensity
(m³ / sq m BUA)],"",0)</f>
        <v>0.42</v>
      </c>
      <c r="L2710" s="134">
        <f>ROUND(Market_Data[[#This Row],[Estimated Built Up Area (sq m)]]*Market_Data[[#This Row],[Concrete Intensity
(m³ / sq m)]],0)</f>
        <v>4998</v>
      </c>
      <c r="M2710" s="135">
        <f>_xlfn.XLOOKUP(Market_Data[[#This Row],[District]],tbl_district_price[District],tbl_district_price[Standard Price
(INR/m³)],"",0)</f>
        <v>6200</v>
      </c>
      <c r="N2710" s="364">
        <f>IF(OR(Market_Data[[#This Row],[Estimated Concrete Demand (m³)]]="",Market_Data[[#This Row],[Avg Price per (₹ / m³)]]=""),"",Market_Data[[#This Row],[Estimated Concrete Demand (m³)]]*Market_Data[[#This Row],[Avg Price per (₹ / m³)]]/10000000)</f>
        <v>3.09876</v>
      </c>
      <c r="O2710" s="97" t="str">
        <f>IF(Market_Data[[#This Row],[Estimated Concrete Demand (m³)]]="","",
IF(Market_Data[[#This Row],[Estimated Concrete Demand (m³)]]&lt;10000,"Small",
IF(Market_Data[[#This Row],[Estimated Concrete Demand (m³)]]&lt;25000,"Medium",
IF(Market_Data[[#This Row],[Estimated Concrete Demand (m³)]]&lt;100000,"Large","Mega"))))</f>
        <v>Small</v>
      </c>
      <c r="P2710" s="287" t="str">
        <f t="shared" si="44"/>
        <v>GujRERA</v>
      </c>
    </row>
    <row r="2711" spans="1:16">
      <c r="A2711" s="129" t="str">
        <f>_xlfn.XLOOKUP(B2711,$S$9:$S$14,$T$9:$T$14)&amp;"-"&amp;
IF(E2711="Residential/Group Housing","RES",
IF(E2711="Commercial","COM",
IF(E2711="Mixed Development","MIX",
IF(E2711="Plotted Development","PLT","OTH"))))
&amp;"-"&amp;TEXT(COUNTIFS($B$9:B2711,B2711,$E$9:E2711,E2711),"0000")</f>
        <v>SUR-PLT-0520</v>
      </c>
      <c r="B2711" s="322" t="s">
        <v>34</v>
      </c>
      <c r="C2711" s="322" t="s">
        <v>34</v>
      </c>
      <c r="D2711" s="323" t="s">
        <v>2900</v>
      </c>
      <c r="E2711" s="132" t="s">
        <v>26</v>
      </c>
      <c r="F2711" s="97" t="str">
        <f ca="1">IF(OR(Market_Data[[#This Row],[Start Date]]="",Market_Data[[#This Row],[Completion Date]]=""),"Needs Validation",IF(Market_Data[[#This Row],[Start Date]]&gt;TODAY(),"Planned",IF(Market_Data[[#This Row],[Completion Date]]&lt;TODAY(),"Completed","Ongoing")))</f>
        <v>Ongoing</v>
      </c>
      <c r="G2711" s="324">
        <v>45078</v>
      </c>
      <c r="H2711" s="324">
        <v>47118</v>
      </c>
      <c r="I2711" s="325">
        <v>10600</v>
      </c>
      <c r="J271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11" s="133">
        <f>_xlfn.XLOOKUP(Market_Data[[#This Row],[Project Type]],tbl_assumptions_market[Project Category (RERA)],tbl_assumptions_market[Concrete Intensity
(m³ / sq m BUA)],"",0)</f>
        <v>0.18</v>
      </c>
      <c r="L2711" s="134">
        <f>ROUND(Market_Data[[#This Row],[Estimated Built Up Area (sq m)]]*Market_Data[[#This Row],[Concrete Intensity
(m³ / sq m)]],0)</f>
        <v>1908</v>
      </c>
      <c r="M2711" s="135">
        <f>_xlfn.XLOOKUP(Market_Data[[#This Row],[District]],tbl_district_price[District],tbl_district_price[Standard Price
(INR/m³)],"",0)</f>
        <v>6200</v>
      </c>
      <c r="N2711" s="364">
        <f>IF(OR(Market_Data[[#This Row],[Estimated Concrete Demand (m³)]]="",Market_Data[[#This Row],[Avg Price per (₹ / m³)]]=""),"",Market_Data[[#This Row],[Estimated Concrete Demand (m³)]]*Market_Data[[#This Row],[Avg Price per (₹ / m³)]]/10000000)</f>
        <v>1.18296</v>
      </c>
      <c r="O2711" s="97" t="str">
        <f>IF(Market_Data[[#This Row],[Estimated Concrete Demand (m³)]]="","",
IF(Market_Data[[#This Row],[Estimated Concrete Demand (m³)]]&lt;10000,"Small",
IF(Market_Data[[#This Row],[Estimated Concrete Demand (m³)]]&lt;25000,"Medium",
IF(Market_Data[[#This Row],[Estimated Concrete Demand (m³)]]&lt;100000,"Large","Mega"))))</f>
        <v>Small</v>
      </c>
      <c r="P2711" s="287" t="str">
        <f t="shared" si="44"/>
        <v>GujRERA</v>
      </c>
    </row>
    <row r="2712" spans="1:16">
      <c r="A2712" s="129" t="str">
        <f>_xlfn.XLOOKUP(B2712,$S$9:$S$14,$T$9:$T$14)&amp;"-"&amp;
IF(E2712="Residential/Group Housing","RES",
IF(E2712="Commercial","COM",
IF(E2712="Mixed Development","MIX",
IF(E2712="Plotted Development","PLT","OTH"))))
&amp;"-"&amp;TEXT(COUNTIFS($B$9:B2712,B2712,$E$9:E2712,E2712),"0000")</f>
        <v>SUR-COM-0456</v>
      </c>
      <c r="B2712" s="322" t="s">
        <v>34</v>
      </c>
      <c r="C2712" s="322" t="s">
        <v>34</v>
      </c>
      <c r="D2712" s="323" t="s">
        <v>2901</v>
      </c>
      <c r="E2712" s="132" t="s">
        <v>23</v>
      </c>
      <c r="F2712" s="97" t="str">
        <f ca="1">IF(OR(Market_Data[[#This Row],[Start Date]]="",Market_Data[[#This Row],[Completion Date]]=""),"Needs Validation",IF(Market_Data[[#This Row],[Start Date]]&gt;TODAY(),"Planned",IF(Market_Data[[#This Row],[Completion Date]]&lt;TODAY(),"Completed","Ongoing")))</f>
        <v>Completed</v>
      </c>
      <c r="G2712" s="324">
        <v>42681</v>
      </c>
      <c r="H2712" s="324">
        <v>43775</v>
      </c>
      <c r="I2712" s="325">
        <v>7200</v>
      </c>
      <c r="J271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12" s="133">
        <f>_xlfn.XLOOKUP(Market_Data[[#This Row],[Project Type]],tbl_assumptions_market[Project Category (RERA)],tbl_assumptions_market[Concrete Intensity
(m³ / sq m BUA)],"",0)</f>
        <v>0.5</v>
      </c>
      <c r="L2712" s="134">
        <f>ROUND(Market_Data[[#This Row],[Estimated Built Up Area (sq m)]]*Market_Data[[#This Row],[Concrete Intensity
(m³ / sq m)]],0)</f>
        <v>3600</v>
      </c>
      <c r="M2712" s="135">
        <f>_xlfn.XLOOKUP(Market_Data[[#This Row],[District]],tbl_district_price[District],tbl_district_price[Standard Price
(INR/m³)],"",0)</f>
        <v>6200</v>
      </c>
      <c r="N2712" s="364">
        <f>IF(OR(Market_Data[[#This Row],[Estimated Concrete Demand (m³)]]="",Market_Data[[#This Row],[Avg Price per (₹ / m³)]]=""),"",Market_Data[[#This Row],[Estimated Concrete Demand (m³)]]*Market_Data[[#This Row],[Avg Price per (₹ / m³)]]/10000000)</f>
        <v>2.2320000000000002</v>
      </c>
      <c r="O2712" s="97" t="str">
        <f>IF(Market_Data[[#This Row],[Estimated Concrete Demand (m³)]]="","",
IF(Market_Data[[#This Row],[Estimated Concrete Demand (m³)]]&lt;10000,"Small",
IF(Market_Data[[#This Row],[Estimated Concrete Demand (m³)]]&lt;25000,"Medium",
IF(Market_Data[[#This Row],[Estimated Concrete Demand (m³)]]&lt;100000,"Large","Mega"))))</f>
        <v>Small</v>
      </c>
      <c r="P2712" s="287" t="str">
        <f t="shared" si="44"/>
        <v>GujRERA</v>
      </c>
    </row>
    <row r="2713" spans="1:16">
      <c r="A2713" s="129" t="str">
        <f>_xlfn.XLOOKUP(B2713,$S$9:$S$14,$T$9:$T$14)&amp;"-"&amp;
IF(E2713="Residential/Group Housing","RES",
IF(E2713="Commercial","COM",
IF(E2713="Mixed Development","MIX",
IF(E2713="Plotted Development","PLT","OTH"))))
&amp;"-"&amp;TEXT(COUNTIFS($B$9:B2713,B2713,$E$9:E2713,E2713),"0000")</f>
        <v>SUR-RES-0933</v>
      </c>
      <c r="B2713" s="322" t="s">
        <v>34</v>
      </c>
      <c r="C2713" s="322" t="s">
        <v>34</v>
      </c>
      <c r="D2713" s="323" t="s">
        <v>2902</v>
      </c>
      <c r="E2713" s="132" t="s">
        <v>24</v>
      </c>
      <c r="F2713" s="97" t="str">
        <f ca="1">IF(OR(Market_Data[[#This Row],[Start Date]]="",Market_Data[[#This Row],[Completion Date]]=""),"Needs Validation",IF(Market_Data[[#This Row],[Start Date]]&gt;TODAY(),"Planned",IF(Market_Data[[#This Row],[Completion Date]]&lt;TODAY(),"Completed","Ongoing")))</f>
        <v>Ongoing</v>
      </c>
      <c r="G2713" s="324">
        <v>45750</v>
      </c>
      <c r="H2713" s="324">
        <v>47483</v>
      </c>
      <c r="I2713" s="325">
        <v>15400</v>
      </c>
      <c r="J271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13" s="133">
        <f>_xlfn.XLOOKUP(Market_Data[[#This Row],[Project Type]],tbl_assumptions_market[Project Category (RERA)],tbl_assumptions_market[Concrete Intensity
(m³ / sq m BUA)],"",0)</f>
        <v>0.45</v>
      </c>
      <c r="L2713" s="134">
        <f>ROUND(Market_Data[[#This Row],[Estimated Built Up Area (sq m)]]*Market_Data[[#This Row],[Concrete Intensity
(m³ / sq m)]],0)</f>
        <v>6930</v>
      </c>
      <c r="M2713" s="135">
        <f>_xlfn.XLOOKUP(Market_Data[[#This Row],[District]],tbl_district_price[District],tbl_district_price[Standard Price
(INR/m³)],"",0)</f>
        <v>6200</v>
      </c>
      <c r="N2713" s="364">
        <f>IF(OR(Market_Data[[#This Row],[Estimated Concrete Demand (m³)]]="",Market_Data[[#This Row],[Avg Price per (₹ / m³)]]=""),"",Market_Data[[#This Row],[Estimated Concrete Demand (m³)]]*Market_Data[[#This Row],[Avg Price per (₹ / m³)]]/10000000)</f>
        <v>4.2965999999999998</v>
      </c>
      <c r="O2713" s="97" t="str">
        <f>IF(Market_Data[[#This Row],[Estimated Concrete Demand (m³)]]="","",
IF(Market_Data[[#This Row],[Estimated Concrete Demand (m³)]]&lt;10000,"Small",
IF(Market_Data[[#This Row],[Estimated Concrete Demand (m³)]]&lt;25000,"Medium",
IF(Market_Data[[#This Row],[Estimated Concrete Demand (m³)]]&lt;100000,"Large","Mega"))))</f>
        <v>Small</v>
      </c>
      <c r="P2713" s="287" t="str">
        <f t="shared" si="44"/>
        <v>GujRERA</v>
      </c>
    </row>
    <row r="2714" spans="1:16">
      <c r="A2714" s="129" t="str">
        <f>_xlfn.XLOOKUP(B2714,$S$9:$S$14,$T$9:$T$14)&amp;"-"&amp;
IF(E2714="Residential/Group Housing","RES",
IF(E2714="Commercial","COM",
IF(E2714="Mixed Development","MIX",
IF(E2714="Plotted Development","PLT","OTH"))))
&amp;"-"&amp;TEXT(COUNTIFS($B$9:B2714,B2714,$E$9:E2714,E2714),"0000")</f>
        <v>SUR-COM-0457</v>
      </c>
      <c r="B2714" s="322" t="s">
        <v>34</v>
      </c>
      <c r="C2714" s="322" t="s">
        <v>34</v>
      </c>
      <c r="D2714" s="323" t="s">
        <v>2903</v>
      </c>
      <c r="E2714" s="132" t="s">
        <v>23</v>
      </c>
      <c r="F2714" s="97" t="str">
        <f ca="1">IF(OR(Market_Data[[#This Row],[Start Date]]="",Market_Data[[#This Row],[Completion Date]]=""),"Needs Validation",IF(Market_Data[[#This Row],[Start Date]]&gt;TODAY(),"Planned",IF(Market_Data[[#This Row],[Completion Date]]&lt;TODAY(),"Completed","Ongoing")))</f>
        <v>Ongoing</v>
      </c>
      <c r="G2714" s="324">
        <v>45974</v>
      </c>
      <c r="H2714" s="324">
        <v>47848</v>
      </c>
      <c r="I2714" s="325">
        <v>46300</v>
      </c>
      <c r="J271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714" s="133">
        <f>_xlfn.XLOOKUP(Market_Data[[#This Row],[Project Type]],tbl_assumptions_market[Project Category (RERA)],tbl_assumptions_market[Concrete Intensity
(m³ / sq m BUA)],"",0)</f>
        <v>0.5</v>
      </c>
      <c r="L2714" s="134">
        <f>ROUND(Market_Data[[#This Row],[Estimated Built Up Area (sq m)]]*Market_Data[[#This Row],[Concrete Intensity
(m³ / sq m)]],0)</f>
        <v>23150</v>
      </c>
      <c r="M2714" s="135">
        <f>_xlfn.XLOOKUP(Market_Data[[#This Row],[District]],tbl_district_price[District],tbl_district_price[Standard Price
(INR/m³)],"",0)</f>
        <v>6200</v>
      </c>
      <c r="N2714" s="364">
        <f>IF(OR(Market_Data[[#This Row],[Estimated Concrete Demand (m³)]]="",Market_Data[[#This Row],[Avg Price per (₹ / m³)]]=""),"",Market_Data[[#This Row],[Estimated Concrete Demand (m³)]]*Market_Data[[#This Row],[Avg Price per (₹ / m³)]]/10000000)</f>
        <v>14.353</v>
      </c>
      <c r="O2714" s="97" t="str">
        <f>IF(Market_Data[[#This Row],[Estimated Concrete Demand (m³)]]="","",
IF(Market_Data[[#This Row],[Estimated Concrete Demand (m³)]]&lt;10000,"Small",
IF(Market_Data[[#This Row],[Estimated Concrete Demand (m³)]]&lt;25000,"Medium",
IF(Market_Data[[#This Row],[Estimated Concrete Demand (m³)]]&lt;100000,"Large","Mega"))))</f>
        <v>Medium</v>
      </c>
      <c r="P2714" s="287" t="str">
        <f t="shared" si="44"/>
        <v>GujRERA</v>
      </c>
    </row>
    <row r="2715" spans="1:16">
      <c r="A2715" s="129" t="str">
        <f>_xlfn.XLOOKUP(B2715,$S$9:$S$14,$T$9:$T$14)&amp;"-"&amp;
IF(E2715="Residential/Group Housing","RES",
IF(E2715="Commercial","COM",
IF(E2715="Mixed Development","MIX",
IF(E2715="Plotted Development","PLT","OTH"))))
&amp;"-"&amp;TEXT(COUNTIFS($B$9:B2715,B2715,$E$9:E2715,E2715),"0000")</f>
        <v>SUR-COM-0458</v>
      </c>
      <c r="B2715" s="322" t="s">
        <v>34</v>
      </c>
      <c r="C2715" s="322" t="s">
        <v>34</v>
      </c>
      <c r="D2715" s="323" t="s">
        <v>2904</v>
      </c>
      <c r="E2715" s="132" t="s">
        <v>23</v>
      </c>
      <c r="F2715" s="97" t="str">
        <f ca="1">IF(OR(Market_Data[[#This Row],[Start Date]]="",Market_Data[[#This Row],[Completion Date]]=""),"Needs Validation",IF(Market_Data[[#This Row],[Start Date]]&gt;TODAY(),"Planned",IF(Market_Data[[#This Row],[Completion Date]]&lt;TODAY(),"Completed","Ongoing")))</f>
        <v>Completed</v>
      </c>
      <c r="G2715" s="324">
        <v>44410</v>
      </c>
      <c r="H2715" s="324">
        <v>45382</v>
      </c>
      <c r="I2715" s="325">
        <v>15900</v>
      </c>
      <c r="J271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15" s="133">
        <f>_xlfn.XLOOKUP(Market_Data[[#This Row],[Project Type]],tbl_assumptions_market[Project Category (RERA)],tbl_assumptions_market[Concrete Intensity
(m³ / sq m BUA)],"",0)</f>
        <v>0.5</v>
      </c>
      <c r="L2715" s="134">
        <f>ROUND(Market_Data[[#This Row],[Estimated Built Up Area (sq m)]]*Market_Data[[#This Row],[Concrete Intensity
(m³ / sq m)]],0)</f>
        <v>7950</v>
      </c>
      <c r="M2715" s="135">
        <f>_xlfn.XLOOKUP(Market_Data[[#This Row],[District]],tbl_district_price[District],tbl_district_price[Standard Price
(INR/m³)],"",0)</f>
        <v>6200</v>
      </c>
      <c r="N2715" s="364">
        <f>IF(OR(Market_Data[[#This Row],[Estimated Concrete Demand (m³)]]="",Market_Data[[#This Row],[Avg Price per (₹ / m³)]]=""),"",Market_Data[[#This Row],[Estimated Concrete Demand (m³)]]*Market_Data[[#This Row],[Avg Price per (₹ / m³)]]/10000000)</f>
        <v>4.9290000000000003</v>
      </c>
      <c r="O2715" s="97" t="str">
        <f>IF(Market_Data[[#This Row],[Estimated Concrete Demand (m³)]]="","",
IF(Market_Data[[#This Row],[Estimated Concrete Demand (m³)]]&lt;10000,"Small",
IF(Market_Data[[#This Row],[Estimated Concrete Demand (m³)]]&lt;25000,"Medium",
IF(Market_Data[[#This Row],[Estimated Concrete Demand (m³)]]&lt;100000,"Large","Mega"))))</f>
        <v>Small</v>
      </c>
      <c r="P2715" s="287" t="str">
        <f t="shared" si="44"/>
        <v>GujRERA</v>
      </c>
    </row>
    <row r="2716" spans="1:16">
      <c r="A2716" s="129" t="str">
        <f>_xlfn.XLOOKUP(B2716,$S$9:$S$14,$T$9:$T$14)&amp;"-"&amp;
IF(E2716="Residential/Group Housing","RES",
IF(E2716="Commercial","COM",
IF(E2716="Mixed Development","MIX",
IF(E2716="Plotted Development","PLT","OTH"))))
&amp;"-"&amp;TEXT(COUNTIFS($B$9:B2716,B2716,$E$9:E2716,E2716),"0000")</f>
        <v>SUR-MIX-0487</v>
      </c>
      <c r="B2716" s="322" t="s">
        <v>34</v>
      </c>
      <c r="C2716" s="322" t="s">
        <v>34</v>
      </c>
      <c r="D2716" s="323" t="s">
        <v>2905</v>
      </c>
      <c r="E2716" s="132" t="s">
        <v>25</v>
      </c>
      <c r="F2716" s="97" t="str">
        <f ca="1">IF(OR(Market_Data[[#This Row],[Start Date]]="",Market_Data[[#This Row],[Completion Date]]=""),"Needs Validation",IF(Market_Data[[#This Row],[Start Date]]&gt;TODAY(),"Planned",IF(Market_Data[[#This Row],[Completion Date]]&lt;TODAY(),"Completed","Ongoing")))</f>
        <v>Completed</v>
      </c>
      <c r="G2716" s="324">
        <v>41913</v>
      </c>
      <c r="H2716" s="324">
        <v>44362</v>
      </c>
      <c r="I2716" s="325">
        <v>52900</v>
      </c>
      <c r="J271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16" s="133">
        <f>_xlfn.XLOOKUP(Market_Data[[#This Row],[Project Type]],tbl_assumptions_market[Project Category (RERA)],tbl_assumptions_market[Concrete Intensity
(m³ / sq m BUA)],"",0)</f>
        <v>0.42</v>
      </c>
      <c r="L2716" s="134">
        <f>ROUND(Market_Data[[#This Row],[Estimated Built Up Area (sq m)]]*Market_Data[[#This Row],[Concrete Intensity
(m³ / sq m)]],0)</f>
        <v>22218</v>
      </c>
      <c r="M2716" s="135">
        <f>_xlfn.XLOOKUP(Market_Data[[#This Row],[District]],tbl_district_price[District],tbl_district_price[Standard Price
(INR/m³)],"",0)</f>
        <v>6200</v>
      </c>
      <c r="N2716" s="364">
        <f>IF(OR(Market_Data[[#This Row],[Estimated Concrete Demand (m³)]]="",Market_Data[[#This Row],[Avg Price per (₹ / m³)]]=""),"",Market_Data[[#This Row],[Estimated Concrete Demand (m³)]]*Market_Data[[#This Row],[Avg Price per (₹ / m³)]]/10000000)</f>
        <v>13.77516</v>
      </c>
      <c r="O2716" s="97" t="str">
        <f>IF(Market_Data[[#This Row],[Estimated Concrete Demand (m³)]]="","",
IF(Market_Data[[#This Row],[Estimated Concrete Demand (m³)]]&lt;10000,"Small",
IF(Market_Data[[#This Row],[Estimated Concrete Demand (m³)]]&lt;25000,"Medium",
IF(Market_Data[[#This Row],[Estimated Concrete Demand (m³)]]&lt;100000,"Large","Mega"))))</f>
        <v>Medium</v>
      </c>
      <c r="P2716" s="287" t="str">
        <f t="shared" si="44"/>
        <v>GujRERA</v>
      </c>
    </row>
    <row r="2717" spans="1:16">
      <c r="A2717" s="129" t="str">
        <f>_xlfn.XLOOKUP(B2717,$S$9:$S$14,$T$9:$T$14)&amp;"-"&amp;
IF(E2717="Residential/Group Housing","RES",
IF(E2717="Commercial","COM",
IF(E2717="Mixed Development","MIX",
IF(E2717="Plotted Development","PLT","OTH"))))
&amp;"-"&amp;TEXT(COUNTIFS($B$9:B2717,B2717,$E$9:E2717,E2717),"0000")</f>
        <v>SUR-PLT-0521</v>
      </c>
      <c r="B2717" s="322" t="s">
        <v>34</v>
      </c>
      <c r="C2717" s="322" t="s">
        <v>34</v>
      </c>
      <c r="D2717" s="323" t="s">
        <v>2906</v>
      </c>
      <c r="E2717" s="132" t="s">
        <v>26</v>
      </c>
      <c r="F2717" s="97" t="str">
        <f ca="1">IF(OR(Market_Data[[#This Row],[Start Date]]="",Market_Data[[#This Row],[Completion Date]]=""),"Needs Validation",IF(Market_Data[[#This Row],[Start Date]]&gt;TODAY(),"Planned",IF(Market_Data[[#This Row],[Completion Date]]&lt;TODAY(),"Completed","Ongoing")))</f>
        <v>Ongoing</v>
      </c>
      <c r="G2717" s="324">
        <v>45734</v>
      </c>
      <c r="H2717" s="324">
        <v>47208</v>
      </c>
      <c r="I2717" s="325">
        <v>36000</v>
      </c>
      <c r="J271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717" s="133">
        <f>_xlfn.XLOOKUP(Market_Data[[#This Row],[Project Type]],tbl_assumptions_market[Project Category (RERA)],tbl_assumptions_market[Concrete Intensity
(m³ / sq m BUA)],"",0)</f>
        <v>0.18</v>
      </c>
      <c r="L2717" s="134">
        <f>ROUND(Market_Data[[#This Row],[Estimated Built Up Area (sq m)]]*Market_Data[[#This Row],[Concrete Intensity
(m³ / sq m)]],0)</f>
        <v>6480</v>
      </c>
      <c r="M2717" s="135">
        <f>_xlfn.XLOOKUP(Market_Data[[#This Row],[District]],tbl_district_price[District],tbl_district_price[Standard Price
(INR/m³)],"",0)</f>
        <v>6200</v>
      </c>
      <c r="N2717" s="364">
        <f>IF(OR(Market_Data[[#This Row],[Estimated Concrete Demand (m³)]]="",Market_Data[[#This Row],[Avg Price per (₹ / m³)]]=""),"",Market_Data[[#This Row],[Estimated Concrete Demand (m³)]]*Market_Data[[#This Row],[Avg Price per (₹ / m³)]]/10000000)</f>
        <v>4.0175999999999998</v>
      </c>
      <c r="O2717" s="97" t="str">
        <f>IF(Market_Data[[#This Row],[Estimated Concrete Demand (m³)]]="","",
IF(Market_Data[[#This Row],[Estimated Concrete Demand (m³)]]&lt;10000,"Small",
IF(Market_Data[[#This Row],[Estimated Concrete Demand (m³)]]&lt;25000,"Medium",
IF(Market_Data[[#This Row],[Estimated Concrete Demand (m³)]]&lt;100000,"Large","Mega"))))</f>
        <v>Small</v>
      </c>
      <c r="P2717" s="287" t="str">
        <f t="shared" si="44"/>
        <v>GujRERA</v>
      </c>
    </row>
    <row r="2718" spans="1:16">
      <c r="A2718" s="129" t="str">
        <f>_xlfn.XLOOKUP(B2718,$S$9:$S$14,$T$9:$T$14)&amp;"-"&amp;
IF(E2718="Residential/Group Housing","RES",
IF(E2718="Commercial","COM",
IF(E2718="Mixed Development","MIX",
IF(E2718="Plotted Development","PLT","OTH"))))
&amp;"-"&amp;TEXT(COUNTIFS($B$9:B2718,B2718,$E$9:E2718,E2718),"0000")</f>
        <v>SUR-PLT-0522</v>
      </c>
      <c r="B2718" s="322" t="s">
        <v>34</v>
      </c>
      <c r="C2718" s="322" t="s">
        <v>34</v>
      </c>
      <c r="D2718" s="323" t="s">
        <v>2907</v>
      </c>
      <c r="E2718" s="132" t="s">
        <v>26</v>
      </c>
      <c r="F2718" s="97" t="str">
        <f ca="1">IF(OR(Market_Data[[#This Row],[Start Date]]="",Market_Data[[#This Row],[Completion Date]]=""),"Needs Validation",IF(Market_Data[[#This Row],[Start Date]]&gt;TODAY(),"Planned",IF(Market_Data[[#This Row],[Completion Date]]&lt;TODAY(),"Completed","Ongoing")))</f>
        <v>Ongoing</v>
      </c>
      <c r="G2718" s="324">
        <v>45595</v>
      </c>
      <c r="H2718" s="324">
        <v>46752</v>
      </c>
      <c r="I2718" s="325">
        <v>30000</v>
      </c>
      <c r="J271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18" s="133">
        <f>_xlfn.XLOOKUP(Market_Data[[#This Row],[Project Type]],tbl_assumptions_market[Project Category (RERA)],tbl_assumptions_market[Concrete Intensity
(m³ / sq m BUA)],"",0)</f>
        <v>0.18</v>
      </c>
      <c r="L2718" s="134">
        <f>ROUND(Market_Data[[#This Row],[Estimated Built Up Area (sq m)]]*Market_Data[[#This Row],[Concrete Intensity
(m³ / sq m)]],0)</f>
        <v>5400</v>
      </c>
      <c r="M2718" s="135">
        <f>_xlfn.XLOOKUP(Market_Data[[#This Row],[District]],tbl_district_price[District],tbl_district_price[Standard Price
(INR/m³)],"",0)</f>
        <v>6200</v>
      </c>
      <c r="N2718" s="364">
        <f>IF(OR(Market_Data[[#This Row],[Estimated Concrete Demand (m³)]]="",Market_Data[[#This Row],[Avg Price per (₹ / m³)]]=""),"",Market_Data[[#This Row],[Estimated Concrete Demand (m³)]]*Market_Data[[#This Row],[Avg Price per (₹ / m³)]]/10000000)</f>
        <v>3.3479999999999999</v>
      </c>
      <c r="O2718" s="97" t="str">
        <f>IF(Market_Data[[#This Row],[Estimated Concrete Demand (m³)]]="","",
IF(Market_Data[[#This Row],[Estimated Concrete Demand (m³)]]&lt;10000,"Small",
IF(Market_Data[[#This Row],[Estimated Concrete Demand (m³)]]&lt;25000,"Medium",
IF(Market_Data[[#This Row],[Estimated Concrete Demand (m³)]]&lt;100000,"Large","Mega"))))</f>
        <v>Small</v>
      </c>
      <c r="P2718" s="287" t="str">
        <f t="shared" si="44"/>
        <v>GujRERA</v>
      </c>
    </row>
    <row r="2719" spans="1:16">
      <c r="A2719" s="129" t="str">
        <f>_xlfn.XLOOKUP(B2719,$S$9:$S$14,$T$9:$T$14)&amp;"-"&amp;
IF(E2719="Residential/Group Housing","RES",
IF(E2719="Commercial","COM",
IF(E2719="Mixed Development","MIX",
IF(E2719="Plotted Development","PLT","OTH"))))
&amp;"-"&amp;TEXT(COUNTIFS($B$9:B2719,B2719,$E$9:E2719,E2719),"0000")</f>
        <v>SUR-PLT-0523</v>
      </c>
      <c r="B2719" s="322" t="s">
        <v>34</v>
      </c>
      <c r="C2719" s="322" t="s">
        <v>34</v>
      </c>
      <c r="D2719" s="323" t="s">
        <v>2908</v>
      </c>
      <c r="E2719" s="132" t="s">
        <v>26</v>
      </c>
      <c r="F2719" s="97" t="str">
        <f ca="1">IF(OR(Market_Data[[#This Row],[Start Date]]="",Market_Data[[#This Row],[Completion Date]]=""),"Needs Validation",IF(Market_Data[[#This Row],[Start Date]]&gt;TODAY(),"Planned",IF(Market_Data[[#This Row],[Completion Date]]&lt;TODAY(),"Completed","Ongoing")))</f>
        <v>Ongoing</v>
      </c>
      <c r="G2719" s="324">
        <v>45699</v>
      </c>
      <c r="H2719" s="324">
        <v>46752</v>
      </c>
      <c r="I2719" s="325">
        <v>35000</v>
      </c>
      <c r="J271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719" s="133">
        <f>_xlfn.XLOOKUP(Market_Data[[#This Row],[Project Type]],tbl_assumptions_market[Project Category (RERA)],tbl_assumptions_market[Concrete Intensity
(m³ / sq m BUA)],"",0)</f>
        <v>0.18</v>
      </c>
      <c r="L2719" s="134">
        <f>ROUND(Market_Data[[#This Row],[Estimated Built Up Area (sq m)]]*Market_Data[[#This Row],[Concrete Intensity
(m³ / sq m)]],0)</f>
        <v>6300</v>
      </c>
      <c r="M2719" s="135">
        <f>_xlfn.XLOOKUP(Market_Data[[#This Row],[District]],tbl_district_price[District],tbl_district_price[Standard Price
(INR/m³)],"",0)</f>
        <v>6200</v>
      </c>
      <c r="N2719" s="364">
        <f>IF(OR(Market_Data[[#This Row],[Estimated Concrete Demand (m³)]]="",Market_Data[[#This Row],[Avg Price per (₹ / m³)]]=""),"",Market_Data[[#This Row],[Estimated Concrete Demand (m³)]]*Market_Data[[#This Row],[Avg Price per (₹ / m³)]]/10000000)</f>
        <v>3.9060000000000001</v>
      </c>
      <c r="O2719" s="97" t="str">
        <f>IF(Market_Data[[#This Row],[Estimated Concrete Demand (m³)]]="","",
IF(Market_Data[[#This Row],[Estimated Concrete Demand (m³)]]&lt;10000,"Small",
IF(Market_Data[[#This Row],[Estimated Concrete Demand (m³)]]&lt;25000,"Medium",
IF(Market_Data[[#This Row],[Estimated Concrete Demand (m³)]]&lt;100000,"Large","Mega"))))</f>
        <v>Small</v>
      </c>
      <c r="P2719" s="287" t="str">
        <f t="shared" si="44"/>
        <v>GujRERA</v>
      </c>
    </row>
    <row r="2720" spans="1:16">
      <c r="A2720" s="129" t="str">
        <f>_xlfn.XLOOKUP(B2720,$S$9:$S$14,$T$9:$T$14)&amp;"-"&amp;
IF(E2720="Residential/Group Housing","RES",
IF(E2720="Commercial","COM",
IF(E2720="Mixed Development","MIX",
IF(E2720="Plotted Development","PLT","OTH"))))
&amp;"-"&amp;TEXT(COUNTIFS($B$9:B2720,B2720,$E$9:E2720,E2720),"0000")</f>
        <v>SUR-COM-0459</v>
      </c>
      <c r="B2720" s="322" t="s">
        <v>34</v>
      </c>
      <c r="C2720" s="322" t="s">
        <v>34</v>
      </c>
      <c r="D2720" s="323" t="s">
        <v>2909</v>
      </c>
      <c r="E2720" s="132" t="s">
        <v>23</v>
      </c>
      <c r="F2720" s="97" t="str">
        <f ca="1">IF(OR(Market_Data[[#This Row],[Start Date]]="",Market_Data[[#This Row],[Completion Date]]=""),"Needs Validation",IF(Market_Data[[#This Row],[Start Date]]&gt;TODAY(),"Planned",IF(Market_Data[[#This Row],[Completion Date]]&lt;TODAY(),"Completed","Ongoing")))</f>
        <v>Ongoing</v>
      </c>
      <c r="G2720" s="324">
        <v>45652</v>
      </c>
      <c r="H2720" s="324">
        <v>47483</v>
      </c>
      <c r="I2720" s="325">
        <v>18800</v>
      </c>
      <c r="J272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20" s="133">
        <f>_xlfn.XLOOKUP(Market_Data[[#This Row],[Project Type]],tbl_assumptions_market[Project Category (RERA)],tbl_assumptions_market[Concrete Intensity
(m³ / sq m BUA)],"",0)</f>
        <v>0.5</v>
      </c>
      <c r="L2720" s="134">
        <f>ROUND(Market_Data[[#This Row],[Estimated Built Up Area (sq m)]]*Market_Data[[#This Row],[Concrete Intensity
(m³ / sq m)]],0)</f>
        <v>9400</v>
      </c>
      <c r="M2720" s="135">
        <f>_xlfn.XLOOKUP(Market_Data[[#This Row],[District]],tbl_district_price[District],tbl_district_price[Standard Price
(INR/m³)],"",0)</f>
        <v>6200</v>
      </c>
      <c r="N2720" s="364">
        <f>IF(OR(Market_Data[[#This Row],[Estimated Concrete Demand (m³)]]="",Market_Data[[#This Row],[Avg Price per (₹ / m³)]]=""),"",Market_Data[[#This Row],[Estimated Concrete Demand (m³)]]*Market_Data[[#This Row],[Avg Price per (₹ / m³)]]/10000000)</f>
        <v>5.8280000000000003</v>
      </c>
      <c r="O2720" s="97" t="str">
        <f>IF(Market_Data[[#This Row],[Estimated Concrete Demand (m³)]]="","",
IF(Market_Data[[#This Row],[Estimated Concrete Demand (m³)]]&lt;10000,"Small",
IF(Market_Data[[#This Row],[Estimated Concrete Demand (m³)]]&lt;25000,"Medium",
IF(Market_Data[[#This Row],[Estimated Concrete Demand (m³)]]&lt;100000,"Large","Mega"))))</f>
        <v>Small</v>
      </c>
      <c r="P2720" s="287" t="str">
        <f t="shared" si="44"/>
        <v>GujRERA</v>
      </c>
    </row>
    <row r="2721" spans="1:16">
      <c r="A2721" s="129" t="str">
        <f>_xlfn.XLOOKUP(B2721,$S$9:$S$14,$T$9:$T$14)&amp;"-"&amp;
IF(E2721="Residential/Group Housing","RES",
IF(E2721="Commercial","COM",
IF(E2721="Mixed Development","MIX",
IF(E2721="Plotted Development","PLT","OTH"))))
&amp;"-"&amp;TEXT(COUNTIFS($B$9:B2721,B2721,$E$9:E2721,E2721),"0000")</f>
        <v>SUR-COM-0460</v>
      </c>
      <c r="B2721" s="322" t="s">
        <v>34</v>
      </c>
      <c r="C2721" s="322" t="s">
        <v>34</v>
      </c>
      <c r="D2721" s="323" t="s">
        <v>2910</v>
      </c>
      <c r="E2721" s="132" t="s">
        <v>23</v>
      </c>
      <c r="F2721" s="97" t="str">
        <f ca="1">IF(OR(Market_Data[[#This Row],[Start Date]]="",Market_Data[[#This Row],[Completion Date]]=""),"Needs Validation",IF(Market_Data[[#This Row],[Start Date]]&gt;TODAY(),"Planned",IF(Market_Data[[#This Row],[Completion Date]]&lt;TODAY(),"Completed","Ongoing")))</f>
        <v>Completed</v>
      </c>
      <c r="G2721" s="324">
        <v>41609</v>
      </c>
      <c r="H2721" s="324">
        <v>44834</v>
      </c>
      <c r="I2721" s="325">
        <v>51400</v>
      </c>
      <c r="J272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721" s="133">
        <f>_xlfn.XLOOKUP(Market_Data[[#This Row],[Project Type]],tbl_assumptions_market[Project Category (RERA)],tbl_assumptions_market[Concrete Intensity
(m³ / sq m BUA)],"",0)</f>
        <v>0.5</v>
      </c>
      <c r="L2721" s="134">
        <f>ROUND(Market_Data[[#This Row],[Estimated Built Up Area (sq m)]]*Market_Data[[#This Row],[Concrete Intensity
(m³ / sq m)]],0)</f>
        <v>25700</v>
      </c>
      <c r="M2721" s="135">
        <f>_xlfn.XLOOKUP(Market_Data[[#This Row],[District]],tbl_district_price[District],tbl_district_price[Standard Price
(INR/m³)],"",0)</f>
        <v>6200</v>
      </c>
      <c r="N2721" s="364">
        <f>IF(OR(Market_Data[[#This Row],[Estimated Concrete Demand (m³)]]="",Market_Data[[#This Row],[Avg Price per (₹ / m³)]]=""),"",Market_Data[[#This Row],[Estimated Concrete Demand (m³)]]*Market_Data[[#This Row],[Avg Price per (₹ / m³)]]/10000000)</f>
        <v>15.933999999999999</v>
      </c>
      <c r="O2721" s="97" t="str">
        <f>IF(Market_Data[[#This Row],[Estimated Concrete Demand (m³)]]="","",
IF(Market_Data[[#This Row],[Estimated Concrete Demand (m³)]]&lt;10000,"Small",
IF(Market_Data[[#This Row],[Estimated Concrete Demand (m³)]]&lt;25000,"Medium",
IF(Market_Data[[#This Row],[Estimated Concrete Demand (m³)]]&lt;100000,"Large","Mega"))))</f>
        <v>Large</v>
      </c>
      <c r="P2721" s="287" t="str">
        <f t="shared" si="44"/>
        <v>GujRERA</v>
      </c>
    </row>
    <row r="2722" spans="1:16">
      <c r="A2722" s="129" t="str">
        <f>_xlfn.XLOOKUP(B2722,$S$9:$S$14,$T$9:$T$14)&amp;"-"&amp;
IF(E2722="Residential/Group Housing","RES",
IF(E2722="Commercial","COM",
IF(E2722="Mixed Development","MIX",
IF(E2722="Plotted Development","PLT","OTH"))))
&amp;"-"&amp;TEXT(COUNTIFS($B$9:B2722,B2722,$E$9:E2722,E2722),"0000")</f>
        <v>SUR-COM-0461</v>
      </c>
      <c r="B2722" s="322" t="s">
        <v>34</v>
      </c>
      <c r="C2722" s="322" t="s">
        <v>34</v>
      </c>
      <c r="D2722" s="323" t="s">
        <v>2911</v>
      </c>
      <c r="E2722" s="132" t="s">
        <v>23</v>
      </c>
      <c r="F2722" s="97" t="str">
        <f ca="1">IF(OR(Market_Data[[#This Row],[Start Date]]="",Market_Data[[#This Row],[Completion Date]]=""),"Needs Validation",IF(Market_Data[[#This Row],[Start Date]]&gt;TODAY(),"Planned",IF(Market_Data[[#This Row],[Completion Date]]&lt;TODAY(),"Completed","Ongoing")))</f>
        <v>Completed</v>
      </c>
      <c r="G2722" s="324">
        <v>43377</v>
      </c>
      <c r="H2722" s="324">
        <v>45261</v>
      </c>
      <c r="I2722" s="325">
        <v>28700</v>
      </c>
      <c r="J272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722" s="133">
        <f>_xlfn.XLOOKUP(Market_Data[[#This Row],[Project Type]],tbl_assumptions_market[Project Category (RERA)],tbl_assumptions_market[Concrete Intensity
(m³ / sq m BUA)],"",0)</f>
        <v>0.5</v>
      </c>
      <c r="L2722" s="134">
        <f>ROUND(Market_Data[[#This Row],[Estimated Built Up Area (sq m)]]*Market_Data[[#This Row],[Concrete Intensity
(m³ / sq m)]],0)</f>
        <v>14350</v>
      </c>
      <c r="M2722" s="135">
        <f>_xlfn.XLOOKUP(Market_Data[[#This Row],[District]],tbl_district_price[District],tbl_district_price[Standard Price
(INR/m³)],"",0)</f>
        <v>6200</v>
      </c>
      <c r="N2722" s="364">
        <f>IF(OR(Market_Data[[#This Row],[Estimated Concrete Demand (m³)]]="",Market_Data[[#This Row],[Avg Price per (₹ / m³)]]=""),"",Market_Data[[#This Row],[Estimated Concrete Demand (m³)]]*Market_Data[[#This Row],[Avg Price per (₹ / m³)]]/10000000)</f>
        <v>8.8970000000000002</v>
      </c>
      <c r="O2722" s="97" t="str">
        <f>IF(Market_Data[[#This Row],[Estimated Concrete Demand (m³)]]="","",
IF(Market_Data[[#This Row],[Estimated Concrete Demand (m³)]]&lt;10000,"Small",
IF(Market_Data[[#This Row],[Estimated Concrete Demand (m³)]]&lt;25000,"Medium",
IF(Market_Data[[#This Row],[Estimated Concrete Demand (m³)]]&lt;100000,"Large","Mega"))))</f>
        <v>Medium</v>
      </c>
      <c r="P2722" s="287" t="str">
        <f t="shared" si="44"/>
        <v>GujRERA</v>
      </c>
    </row>
    <row r="2723" spans="1:16">
      <c r="A2723" s="129" t="str">
        <f>_xlfn.XLOOKUP(B2723,$S$9:$S$14,$T$9:$T$14)&amp;"-"&amp;
IF(E2723="Residential/Group Housing","RES",
IF(E2723="Commercial","COM",
IF(E2723="Mixed Development","MIX",
IF(E2723="Plotted Development","PLT","OTH"))))
&amp;"-"&amp;TEXT(COUNTIFS($B$9:B2723,B2723,$E$9:E2723,E2723),"0000")</f>
        <v>SUR-COM-0462</v>
      </c>
      <c r="B2723" s="322" t="s">
        <v>34</v>
      </c>
      <c r="C2723" s="322" t="s">
        <v>34</v>
      </c>
      <c r="D2723" s="323" t="s">
        <v>2912</v>
      </c>
      <c r="E2723" s="132" t="s">
        <v>23</v>
      </c>
      <c r="F2723" s="97" t="str">
        <f ca="1">IF(OR(Market_Data[[#This Row],[Start Date]]="",Market_Data[[#This Row],[Completion Date]]=""),"Needs Validation",IF(Market_Data[[#This Row],[Start Date]]&gt;TODAY(),"Planned",IF(Market_Data[[#This Row],[Completion Date]]&lt;TODAY(),"Completed","Ongoing")))</f>
        <v>Completed</v>
      </c>
      <c r="G2723" s="324">
        <v>42986</v>
      </c>
      <c r="H2723" s="324">
        <v>44104</v>
      </c>
      <c r="I2723" s="325">
        <v>21100</v>
      </c>
      <c r="J272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723" s="133">
        <f>_xlfn.XLOOKUP(Market_Data[[#This Row],[Project Type]],tbl_assumptions_market[Project Category (RERA)],tbl_assumptions_market[Concrete Intensity
(m³ / sq m BUA)],"",0)</f>
        <v>0.5</v>
      </c>
      <c r="L2723" s="134">
        <f>ROUND(Market_Data[[#This Row],[Estimated Built Up Area (sq m)]]*Market_Data[[#This Row],[Concrete Intensity
(m³ / sq m)]],0)</f>
        <v>10550</v>
      </c>
      <c r="M2723" s="135">
        <f>_xlfn.XLOOKUP(Market_Data[[#This Row],[District]],tbl_district_price[District],tbl_district_price[Standard Price
(INR/m³)],"",0)</f>
        <v>6200</v>
      </c>
      <c r="N2723" s="364">
        <f>IF(OR(Market_Data[[#This Row],[Estimated Concrete Demand (m³)]]="",Market_Data[[#This Row],[Avg Price per (₹ / m³)]]=""),"",Market_Data[[#This Row],[Estimated Concrete Demand (m³)]]*Market_Data[[#This Row],[Avg Price per (₹ / m³)]]/10000000)</f>
        <v>6.5410000000000004</v>
      </c>
      <c r="O2723" s="97" t="str">
        <f>IF(Market_Data[[#This Row],[Estimated Concrete Demand (m³)]]="","",
IF(Market_Data[[#This Row],[Estimated Concrete Demand (m³)]]&lt;10000,"Small",
IF(Market_Data[[#This Row],[Estimated Concrete Demand (m³)]]&lt;25000,"Medium",
IF(Market_Data[[#This Row],[Estimated Concrete Demand (m³)]]&lt;100000,"Large","Mega"))))</f>
        <v>Medium</v>
      </c>
      <c r="P2723" s="287" t="str">
        <f t="shared" si="44"/>
        <v>GujRERA</v>
      </c>
    </row>
    <row r="2724" spans="1:16">
      <c r="A2724" s="129" t="str">
        <f>_xlfn.XLOOKUP(B2724,$S$9:$S$14,$T$9:$T$14)&amp;"-"&amp;
IF(E2724="Residential/Group Housing","RES",
IF(E2724="Commercial","COM",
IF(E2724="Mixed Development","MIX",
IF(E2724="Plotted Development","PLT","OTH"))))
&amp;"-"&amp;TEXT(COUNTIFS($B$9:B2724,B2724,$E$9:E2724,E2724),"0000")</f>
        <v>SUR-PLT-0524</v>
      </c>
      <c r="B2724" s="322" t="s">
        <v>34</v>
      </c>
      <c r="C2724" s="322" t="s">
        <v>34</v>
      </c>
      <c r="D2724" s="323" t="s">
        <v>2913</v>
      </c>
      <c r="E2724" s="132" t="s">
        <v>26</v>
      </c>
      <c r="F2724" s="97" t="str">
        <f ca="1">IF(OR(Market_Data[[#This Row],[Start Date]]="",Market_Data[[#This Row],[Completion Date]]=""),"Needs Validation",IF(Market_Data[[#This Row],[Start Date]]&gt;TODAY(),"Planned",IF(Market_Data[[#This Row],[Completion Date]]&lt;TODAY(),"Completed","Ongoing")))</f>
        <v>Ongoing</v>
      </c>
      <c r="G2724" s="324">
        <v>45992</v>
      </c>
      <c r="H2724" s="324">
        <v>46752</v>
      </c>
      <c r="I2724" s="325">
        <v>7800</v>
      </c>
      <c r="J272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24" s="133">
        <f>_xlfn.XLOOKUP(Market_Data[[#This Row],[Project Type]],tbl_assumptions_market[Project Category (RERA)],tbl_assumptions_market[Concrete Intensity
(m³ / sq m BUA)],"",0)</f>
        <v>0.18</v>
      </c>
      <c r="L2724" s="134">
        <f>ROUND(Market_Data[[#This Row],[Estimated Built Up Area (sq m)]]*Market_Data[[#This Row],[Concrete Intensity
(m³ / sq m)]],0)</f>
        <v>1404</v>
      </c>
      <c r="M2724" s="135">
        <f>_xlfn.XLOOKUP(Market_Data[[#This Row],[District]],tbl_district_price[District],tbl_district_price[Standard Price
(INR/m³)],"",0)</f>
        <v>6200</v>
      </c>
      <c r="N2724" s="364">
        <f>IF(OR(Market_Data[[#This Row],[Estimated Concrete Demand (m³)]]="",Market_Data[[#This Row],[Avg Price per (₹ / m³)]]=""),"",Market_Data[[#This Row],[Estimated Concrete Demand (m³)]]*Market_Data[[#This Row],[Avg Price per (₹ / m³)]]/10000000)</f>
        <v>0.87048000000000003</v>
      </c>
      <c r="O2724" s="97" t="str">
        <f>IF(Market_Data[[#This Row],[Estimated Concrete Demand (m³)]]="","",
IF(Market_Data[[#This Row],[Estimated Concrete Demand (m³)]]&lt;10000,"Small",
IF(Market_Data[[#This Row],[Estimated Concrete Demand (m³)]]&lt;25000,"Medium",
IF(Market_Data[[#This Row],[Estimated Concrete Demand (m³)]]&lt;100000,"Large","Mega"))))</f>
        <v>Small</v>
      </c>
      <c r="P2724" s="287" t="str">
        <f t="shared" si="44"/>
        <v>GujRERA</v>
      </c>
    </row>
    <row r="2725" spans="1:16">
      <c r="A2725" s="129" t="str">
        <f>_xlfn.XLOOKUP(B2725,$S$9:$S$14,$T$9:$T$14)&amp;"-"&amp;
IF(E2725="Residential/Group Housing","RES",
IF(E2725="Commercial","COM",
IF(E2725="Mixed Development","MIX",
IF(E2725="Plotted Development","PLT","OTH"))))
&amp;"-"&amp;TEXT(COUNTIFS($B$9:B2725,B2725,$E$9:E2725,E2725),"0000")</f>
        <v>VAL-MIX-0001</v>
      </c>
      <c r="B2725" s="322" t="s">
        <v>35</v>
      </c>
      <c r="C2725" s="322" t="s">
        <v>35</v>
      </c>
      <c r="D2725" s="323" t="s">
        <v>2914</v>
      </c>
      <c r="E2725" s="132" t="s">
        <v>25</v>
      </c>
      <c r="F2725" s="97" t="str">
        <f ca="1">IF(OR(Market_Data[[#This Row],[Start Date]]="",Market_Data[[#This Row],[Completion Date]]=""),"Needs Validation",IF(Market_Data[[#This Row],[Start Date]]&gt;TODAY(),"Planned",IF(Market_Data[[#This Row],[Completion Date]]&lt;TODAY(),"Completed","Ongoing")))</f>
        <v>Completed</v>
      </c>
      <c r="G2725" s="324">
        <v>43191</v>
      </c>
      <c r="H2725" s="324">
        <v>43830</v>
      </c>
      <c r="I2725" s="325">
        <v>44900</v>
      </c>
      <c r="J272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25" s="133">
        <f>_xlfn.XLOOKUP(Market_Data[[#This Row],[Project Type]],tbl_assumptions_market[Project Category (RERA)],tbl_assumptions_market[Concrete Intensity
(m³ / sq m BUA)],"",0)</f>
        <v>0.42</v>
      </c>
      <c r="L2725" s="134">
        <f>ROUND(Market_Data[[#This Row],[Estimated Built Up Area (sq m)]]*Market_Data[[#This Row],[Concrete Intensity
(m³ / sq m)]],0)</f>
        <v>18858</v>
      </c>
      <c r="M2725" s="135">
        <f>_xlfn.XLOOKUP(Market_Data[[#This Row],[District]],tbl_district_price[District],tbl_district_price[Standard Price
(INR/m³)],"",0)</f>
        <v>5600</v>
      </c>
      <c r="N2725" s="364">
        <f>IF(OR(Market_Data[[#This Row],[Estimated Concrete Demand (m³)]]="",Market_Data[[#This Row],[Avg Price per (₹ / m³)]]=""),"",Market_Data[[#This Row],[Estimated Concrete Demand (m³)]]*Market_Data[[#This Row],[Avg Price per (₹ / m³)]]/10000000)</f>
        <v>10.56048</v>
      </c>
      <c r="O2725" s="97" t="str">
        <f>IF(Market_Data[[#This Row],[Estimated Concrete Demand (m³)]]="","",
IF(Market_Data[[#This Row],[Estimated Concrete Demand (m³)]]&lt;10000,"Small",
IF(Market_Data[[#This Row],[Estimated Concrete Demand (m³)]]&lt;25000,"Medium",
IF(Market_Data[[#This Row],[Estimated Concrete Demand (m³)]]&lt;100000,"Large","Mega"))))</f>
        <v>Medium</v>
      </c>
      <c r="P2725" s="287" t="str">
        <f t="shared" si="44"/>
        <v>GujRERA</v>
      </c>
    </row>
    <row r="2726" spans="1:16">
      <c r="A2726" s="129" t="str">
        <f>_xlfn.XLOOKUP(B2726,$S$9:$S$14,$T$9:$T$14)&amp;"-"&amp;
IF(E2726="Residential/Group Housing","RES",
IF(E2726="Commercial","COM",
IF(E2726="Mixed Development","MIX",
IF(E2726="Plotted Development","PLT","OTH"))))
&amp;"-"&amp;TEXT(COUNTIFS($B$9:B2726,B2726,$E$9:E2726,E2726),"0000")</f>
        <v>VAL-RES-0001</v>
      </c>
      <c r="B2726" s="322" t="s">
        <v>35</v>
      </c>
      <c r="C2726" s="322" t="s">
        <v>35</v>
      </c>
      <c r="D2726" s="323" t="s">
        <v>2915</v>
      </c>
      <c r="E2726" s="132" t="s">
        <v>24</v>
      </c>
      <c r="F2726" s="97" t="str">
        <f ca="1">IF(OR(Market_Data[[#This Row],[Start Date]]="",Market_Data[[#This Row],[Completion Date]]=""),"Needs Validation",IF(Market_Data[[#This Row],[Start Date]]&gt;TODAY(),"Planned",IF(Market_Data[[#This Row],[Completion Date]]&lt;TODAY(),"Completed","Ongoing")))</f>
        <v>Completed</v>
      </c>
      <c r="G2726" s="324">
        <v>43910</v>
      </c>
      <c r="H2726" s="324">
        <v>45838</v>
      </c>
      <c r="I2726" s="325">
        <v>41700</v>
      </c>
      <c r="J272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26" s="133">
        <f>_xlfn.XLOOKUP(Market_Data[[#This Row],[Project Type]],tbl_assumptions_market[Project Category (RERA)],tbl_assumptions_market[Concrete Intensity
(m³ / sq m BUA)],"",0)</f>
        <v>0.45</v>
      </c>
      <c r="L2726" s="134">
        <f>ROUND(Market_Data[[#This Row],[Estimated Built Up Area (sq m)]]*Market_Data[[#This Row],[Concrete Intensity
(m³ / sq m)]],0)</f>
        <v>18765</v>
      </c>
      <c r="M2726" s="135">
        <f>_xlfn.XLOOKUP(Market_Data[[#This Row],[District]],tbl_district_price[District],tbl_district_price[Standard Price
(INR/m³)],"",0)</f>
        <v>5600</v>
      </c>
      <c r="N2726" s="364">
        <f>IF(OR(Market_Data[[#This Row],[Estimated Concrete Demand (m³)]]="",Market_Data[[#This Row],[Avg Price per (₹ / m³)]]=""),"",Market_Data[[#This Row],[Estimated Concrete Demand (m³)]]*Market_Data[[#This Row],[Avg Price per (₹ / m³)]]/10000000)</f>
        <v>10.5084</v>
      </c>
      <c r="O2726" s="97" t="str">
        <f>IF(Market_Data[[#This Row],[Estimated Concrete Demand (m³)]]="","",
IF(Market_Data[[#This Row],[Estimated Concrete Demand (m³)]]&lt;10000,"Small",
IF(Market_Data[[#This Row],[Estimated Concrete Demand (m³)]]&lt;25000,"Medium",
IF(Market_Data[[#This Row],[Estimated Concrete Demand (m³)]]&lt;100000,"Large","Mega"))))</f>
        <v>Medium</v>
      </c>
      <c r="P2726" s="287" t="str">
        <f t="shared" si="44"/>
        <v>GujRERA</v>
      </c>
    </row>
    <row r="2727" spans="1:16">
      <c r="A2727" s="129" t="str">
        <f>_xlfn.XLOOKUP(B2727,$S$9:$S$14,$T$9:$T$14)&amp;"-"&amp;
IF(E2727="Residential/Group Housing","RES",
IF(E2727="Commercial","COM",
IF(E2727="Mixed Development","MIX",
IF(E2727="Plotted Development","PLT","OTH"))))
&amp;"-"&amp;TEXT(COUNTIFS($B$9:B2727,B2727,$E$9:E2727,E2727),"0000")</f>
        <v>VAL-COM-0001</v>
      </c>
      <c r="B2727" s="322" t="s">
        <v>35</v>
      </c>
      <c r="C2727" s="322" t="s">
        <v>35</v>
      </c>
      <c r="D2727" s="323" t="s">
        <v>2916</v>
      </c>
      <c r="E2727" s="132" t="s">
        <v>23</v>
      </c>
      <c r="F2727" s="97" t="str">
        <f ca="1">IF(OR(Market_Data[[#This Row],[Start Date]]="",Market_Data[[#This Row],[Completion Date]]=""),"Needs Validation",IF(Market_Data[[#This Row],[Start Date]]&gt;TODAY(),"Planned",IF(Market_Data[[#This Row],[Completion Date]]&lt;TODAY(),"Completed","Ongoing")))</f>
        <v>Completed</v>
      </c>
      <c r="G2727" s="324">
        <v>44470</v>
      </c>
      <c r="H2727" s="324">
        <v>45473</v>
      </c>
      <c r="I2727" s="325">
        <v>27800</v>
      </c>
      <c r="J272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727" s="133">
        <f>_xlfn.XLOOKUP(Market_Data[[#This Row],[Project Type]],tbl_assumptions_market[Project Category (RERA)],tbl_assumptions_market[Concrete Intensity
(m³ / sq m BUA)],"",0)</f>
        <v>0.5</v>
      </c>
      <c r="L2727" s="134">
        <f>ROUND(Market_Data[[#This Row],[Estimated Built Up Area (sq m)]]*Market_Data[[#This Row],[Concrete Intensity
(m³ / sq m)]],0)</f>
        <v>13900</v>
      </c>
      <c r="M2727" s="135">
        <f>_xlfn.XLOOKUP(Market_Data[[#This Row],[District]],tbl_district_price[District],tbl_district_price[Standard Price
(INR/m³)],"",0)</f>
        <v>5600</v>
      </c>
      <c r="N2727" s="364">
        <f>IF(OR(Market_Data[[#This Row],[Estimated Concrete Demand (m³)]]="",Market_Data[[#This Row],[Avg Price per (₹ / m³)]]=""),"",Market_Data[[#This Row],[Estimated Concrete Demand (m³)]]*Market_Data[[#This Row],[Avg Price per (₹ / m³)]]/10000000)</f>
        <v>7.7839999999999998</v>
      </c>
      <c r="O2727" s="97" t="str">
        <f>IF(Market_Data[[#This Row],[Estimated Concrete Demand (m³)]]="","",
IF(Market_Data[[#This Row],[Estimated Concrete Demand (m³)]]&lt;10000,"Small",
IF(Market_Data[[#This Row],[Estimated Concrete Demand (m³)]]&lt;25000,"Medium",
IF(Market_Data[[#This Row],[Estimated Concrete Demand (m³)]]&lt;100000,"Large","Mega"))))</f>
        <v>Medium</v>
      </c>
      <c r="P2727" s="287" t="str">
        <f t="shared" si="44"/>
        <v>GujRERA</v>
      </c>
    </row>
    <row r="2728" spans="1:16">
      <c r="A2728" s="129" t="str">
        <f>_xlfn.XLOOKUP(B2728,$S$9:$S$14,$T$9:$T$14)&amp;"-"&amp;
IF(E2728="Residential/Group Housing","RES",
IF(E2728="Commercial","COM",
IF(E2728="Mixed Development","MIX",
IF(E2728="Plotted Development","PLT","OTH"))))
&amp;"-"&amp;TEXT(COUNTIFS($B$9:B2728,B2728,$E$9:E2728,E2728),"0000")</f>
        <v>VAL-RES-0002</v>
      </c>
      <c r="B2728" s="322" t="s">
        <v>35</v>
      </c>
      <c r="C2728" s="322" t="s">
        <v>35</v>
      </c>
      <c r="D2728" s="323" t="s">
        <v>2917</v>
      </c>
      <c r="E2728" s="132" t="s">
        <v>24</v>
      </c>
      <c r="F2728" s="97" t="str">
        <f ca="1">IF(OR(Market_Data[[#This Row],[Start Date]]="",Market_Data[[#This Row],[Completion Date]]=""),"Needs Validation",IF(Market_Data[[#This Row],[Start Date]]&gt;TODAY(),"Planned",IF(Market_Data[[#This Row],[Completion Date]]&lt;TODAY(),"Completed","Ongoing")))</f>
        <v>Completed</v>
      </c>
      <c r="G2728" s="324">
        <v>44666</v>
      </c>
      <c r="H2728" s="324">
        <v>45657</v>
      </c>
      <c r="I2728" s="325">
        <v>2200</v>
      </c>
      <c r="J272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28" s="133">
        <f>_xlfn.XLOOKUP(Market_Data[[#This Row],[Project Type]],tbl_assumptions_market[Project Category (RERA)],tbl_assumptions_market[Concrete Intensity
(m³ / sq m BUA)],"",0)</f>
        <v>0.45</v>
      </c>
      <c r="L2728" s="134">
        <f>ROUND(Market_Data[[#This Row],[Estimated Built Up Area (sq m)]]*Market_Data[[#This Row],[Concrete Intensity
(m³ / sq m)]],0)</f>
        <v>990</v>
      </c>
      <c r="M2728" s="135">
        <f>_xlfn.XLOOKUP(Market_Data[[#This Row],[District]],tbl_district_price[District],tbl_district_price[Standard Price
(INR/m³)],"",0)</f>
        <v>5600</v>
      </c>
      <c r="N2728" s="364">
        <f>IF(OR(Market_Data[[#This Row],[Estimated Concrete Demand (m³)]]="",Market_Data[[#This Row],[Avg Price per (₹ / m³)]]=""),"",Market_Data[[#This Row],[Estimated Concrete Demand (m³)]]*Market_Data[[#This Row],[Avg Price per (₹ / m³)]]/10000000)</f>
        <v>0.5544</v>
      </c>
      <c r="O2728" s="97" t="str">
        <f>IF(Market_Data[[#This Row],[Estimated Concrete Demand (m³)]]="","",
IF(Market_Data[[#This Row],[Estimated Concrete Demand (m³)]]&lt;10000,"Small",
IF(Market_Data[[#This Row],[Estimated Concrete Demand (m³)]]&lt;25000,"Medium",
IF(Market_Data[[#This Row],[Estimated Concrete Demand (m³)]]&lt;100000,"Large","Mega"))))</f>
        <v>Small</v>
      </c>
      <c r="P2728" s="287" t="str">
        <f t="shared" si="44"/>
        <v>GujRERA</v>
      </c>
    </row>
    <row r="2729" spans="1:16">
      <c r="A2729" s="129" t="str">
        <f>_xlfn.XLOOKUP(B2729,$S$9:$S$14,$T$9:$T$14)&amp;"-"&amp;
IF(E2729="Residential/Group Housing","RES",
IF(E2729="Commercial","COM",
IF(E2729="Mixed Development","MIX",
IF(E2729="Plotted Development","PLT","OTH"))))
&amp;"-"&amp;TEXT(COUNTIFS($B$9:B2729,B2729,$E$9:E2729,E2729),"0000")</f>
        <v>VAL-RES-0003</v>
      </c>
      <c r="B2729" s="322" t="s">
        <v>35</v>
      </c>
      <c r="C2729" s="322" t="s">
        <v>35</v>
      </c>
      <c r="D2729" s="323" t="s">
        <v>2918</v>
      </c>
      <c r="E2729" s="132" t="s">
        <v>24</v>
      </c>
      <c r="F2729" s="97" t="str">
        <f ca="1">IF(OR(Market_Data[[#This Row],[Start Date]]="",Market_Data[[#This Row],[Completion Date]]=""),"Needs Validation",IF(Market_Data[[#This Row],[Start Date]]&gt;TODAY(),"Planned",IF(Market_Data[[#This Row],[Completion Date]]&lt;TODAY(),"Completed","Ongoing")))</f>
        <v>Completed</v>
      </c>
      <c r="G2729" s="324">
        <v>43556</v>
      </c>
      <c r="H2729" s="324">
        <v>45199</v>
      </c>
      <c r="I2729" s="325">
        <v>29600</v>
      </c>
      <c r="J272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29" s="133">
        <f>_xlfn.XLOOKUP(Market_Data[[#This Row],[Project Type]],tbl_assumptions_market[Project Category (RERA)],tbl_assumptions_market[Concrete Intensity
(m³ / sq m BUA)],"",0)</f>
        <v>0.45</v>
      </c>
      <c r="L2729" s="134">
        <f>ROUND(Market_Data[[#This Row],[Estimated Built Up Area (sq m)]]*Market_Data[[#This Row],[Concrete Intensity
(m³ / sq m)]],0)</f>
        <v>13320</v>
      </c>
      <c r="M2729" s="135">
        <f>_xlfn.XLOOKUP(Market_Data[[#This Row],[District]],tbl_district_price[District],tbl_district_price[Standard Price
(INR/m³)],"",0)</f>
        <v>5600</v>
      </c>
      <c r="N2729" s="364">
        <f>IF(OR(Market_Data[[#This Row],[Estimated Concrete Demand (m³)]]="",Market_Data[[#This Row],[Avg Price per (₹ / m³)]]=""),"",Market_Data[[#This Row],[Estimated Concrete Demand (m³)]]*Market_Data[[#This Row],[Avg Price per (₹ / m³)]]/10000000)</f>
        <v>7.4592000000000001</v>
      </c>
      <c r="O2729" s="97" t="str">
        <f>IF(Market_Data[[#This Row],[Estimated Concrete Demand (m³)]]="","",
IF(Market_Data[[#This Row],[Estimated Concrete Demand (m³)]]&lt;10000,"Small",
IF(Market_Data[[#This Row],[Estimated Concrete Demand (m³)]]&lt;25000,"Medium",
IF(Market_Data[[#This Row],[Estimated Concrete Demand (m³)]]&lt;100000,"Large","Mega"))))</f>
        <v>Medium</v>
      </c>
      <c r="P2729" s="287" t="str">
        <f t="shared" si="44"/>
        <v>GujRERA</v>
      </c>
    </row>
    <row r="2730" spans="1:16">
      <c r="A2730" s="129" t="str">
        <f>_xlfn.XLOOKUP(B2730,$S$9:$S$14,$T$9:$T$14)&amp;"-"&amp;
IF(E2730="Residential/Group Housing","RES",
IF(E2730="Commercial","COM",
IF(E2730="Mixed Development","MIX",
IF(E2730="Plotted Development","PLT","OTH"))))
&amp;"-"&amp;TEXT(COUNTIFS($B$9:B2730,B2730,$E$9:E2730,E2730),"0000")</f>
        <v>VAL-MIX-0002</v>
      </c>
      <c r="B2730" s="322" t="s">
        <v>35</v>
      </c>
      <c r="C2730" s="322" t="s">
        <v>35</v>
      </c>
      <c r="D2730" s="323" t="s">
        <v>2919</v>
      </c>
      <c r="E2730" s="132" t="s">
        <v>25</v>
      </c>
      <c r="F2730" s="97" t="str">
        <f ca="1">IF(OR(Market_Data[[#This Row],[Start Date]]="",Market_Data[[#This Row],[Completion Date]]=""),"Needs Validation",IF(Market_Data[[#This Row],[Start Date]]&gt;TODAY(),"Planned",IF(Market_Data[[#This Row],[Completion Date]]&lt;TODAY(),"Completed","Ongoing")))</f>
        <v>Completed</v>
      </c>
      <c r="G2730" s="324">
        <v>42102</v>
      </c>
      <c r="H2730" s="324">
        <v>44561</v>
      </c>
      <c r="I2730" s="325">
        <v>48000</v>
      </c>
      <c r="J273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30" s="133">
        <f>_xlfn.XLOOKUP(Market_Data[[#This Row],[Project Type]],tbl_assumptions_market[Project Category (RERA)],tbl_assumptions_market[Concrete Intensity
(m³ / sq m BUA)],"",0)</f>
        <v>0.42</v>
      </c>
      <c r="L2730" s="134">
        <f>ROUND(Market_Data[[#This Row],[Estimated Built Up Area (sq m)]]*Market_Data[[#This Row],[Concrete Intensity
(m³ / sq m)]],0)</f>
        <v>20160</v>
      </c>
      <c r="M2730" s="135">
        <f>_xlfn.XLOOKUP(Market_Data[[#This Row],[District]],tbl_district_price[District],tbl_district_price[Standard Price
(INR/m³)],"",0)</f>
        <v>5600</v>
      </c>
      <c r="N2730" s="364">
        <f>IF(OR(Market_Data[[#This Row],[Estimated Concrete Demand (m³)]]="",Market_Data[[#This Row],[Avg Price per (₹ / m³)]]=""),"",Market_Data[[#This Row],[Estimated Concrete Demand (m³)]]*Market_Data[[#This Row],[Avg Price per (₹ / m³)]]/10000000)</f>
        <v>11.2896</v>
      </c>
      <c r="O2730" s="97" t="str">
        <f>IF(Market_Data[[#This Row],[Estimated Concrete Demand (m³)]]="","",
IF(Market_Data[[#This Row],[Estimated Concrete Demand (m³)]]&lt;10000,"Small",
IF(Market_Data[[#This Row],[Estimated Concrete Demand (m³)]]&lt;25000,"Medium",
IF(Market_Data[[#This Row],[Estimated Concrete Demand (m³)]]&lt;100000,"Large","Mega"))))</f>
        <v>Medium</v>
      </c>
      <c r="P2730" s="287" t="str">
        <f t="shared" si="44"/>
        <v>GujRERA</v>
      </c>
    </row>
    <row r="2731" spans="1:16">
      <c r="A2731" s="129" t="str">
        <f>_xlfn.XLOOKUP(B2731,$S$9:$S$14,$T$9:$T$14)&amp;"-"&amp;
IF(E2731="Residential/Group Housing","RES",
IF(E2731="Commercial","COM",
IF(E2731="Mixed Development","MIX",
IF(E2731="Plotted Development","PLT","OTH"))))
&amp;"-"&amp;TEXT(COUNTIFS($B$9:B2731,B2731,$E$9:E2731,E2731),"0000")</f>
        <v>VAL-RES-0004</v>
      </c>
      <c r="B2731" s="322" t="s">
        <v>35</v>
      </c>
      <c r="C2731" s="322" t="s">
        <v>35</v>
      </c>
      <c r="D2731" s="323" t="s">
        <v>2920</v>
      </c>
      <c r="E2731" s="132" t="s">
        <v>24</v>
      </c>
      <c r="F2731" s="97" t="str">
        <f ca="1">IF(OR(Market_Data[[#This Row],[Start Date]]="",Market_Data[[#This Row],[Completion Date]]=""),"Needs Validation",IF(Market_Data[[#This Row],[Start Date]]&gt;TODAY(),"Planned",IF(Market_Data[[#This Row],[Completion Date]]&lt;TODAY(),"Completed","Ongoing")))</f>
        <v>Ongoing</v>
      </c>
      <c r="G2731" s="324">
        <v>45245</v>
      </c>
      <c r="H2731" s="324">
        <v>46752</v>
      </c>
      <c r="I2731" s="325">
        <v>3700</v>
      </c>
      <c r="J273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31" s="133">
        <f>_xlfn.XLOOKUP(Market_Data[[#This Row],[Project Type]],tbl_assumptions_market[Project Category (RERA)],tbl_assumptions_market[Concrete Intensity
(m³ / sq m BUA)],"",0)</f>
        <v>0.45</v>
      </c>
      <c r="L2731" s="134">
        <f>ROUND(Market_Data[[#This Row],[Estimated Built Up Area (sq m)]]*Market_Data[[#This Row],[Concrete Intensity
(m³ / sq m)]],0)</f>
        <v>1665</v>
      </c>
      <c r="M2731" s="135">
        <f>_xlfn.XLOOKUP(Market_Data[[#This Row],[District]],tbl_district_price[District],tbl_district_price[Standard Price
(INR/m³)],"",0)</f>
        <v>5600</v>
      </c>
      <c r="N2731" s="364">
        <f>IF(OR(Market_Data[[#This Row],[Estimated Concrete Demand (m³)]]="",Market_Data[[#This Row],[Avg Price per (₹ / m³)]]=""),"",Market_Data[[#This Row],[Estimated Concrete Demand (m³)]]*Market_Data[[#This Row],[Avg Price per (₹ / m³)]]/10000000)</f>
        <v>0.93240000000000001</v>
      </c>
      <c r="O2731" s="97" t="str">
        <f>IF(Market_Data[[#This Row],[Estimated Concrete Demand (m³)]]="","",
IF(Market_Data[[#This Row],[Estimated Concrete Demand (m³)]]&lt;10000,"Small",
IF(Market_Data[[#This Row],[Estimated Concrete Demand (m³)]]&lt;25000,"Medium",
IF(Market_Data[[#This Row],[Estimated Concrete Demand (m³)]]&lt;100000,"Large","Mega"))))</f>
        <v>Small</v>
      </c>
      <c r="P2731" s="287" t="str">
        <f t="shared" si="44"/>
        <v>GujRERA</v>
      </c>
    </row>
    <row r="2732" spans="1:16">
      <c r="A2732" s="129" t="str">
        <f>_xlfn.XLOOKUP(B2732,$S$9:$S$14,$T$9:$T$14)&amp;"-"&amp;
IF(E2732="Residential/Group Housing","RES",
IF(E2732="Commercial","COM",
IF(E2732="Mixed Development","MIX",
IF(E2732="Plotted Development","PLT","OTH"))))
&amp;"-"&amp;TEXT(COUNTIFS($B$9:B2732,B2732,$E$9:E2732,E2732),"0000")</f>
        <v>VAL-RES-0005</v>
      </c>
      <c r="B2732" s="322" t="s">
        <v>35</v>
      </c>
      <c r="C2732" s="322" t="s">
        <v>35</v>
      </c>
      <c r="D2732" s="323" t="s">
        <v>2921</v>
      </c>
      <c r="E2732" s="132" t="s">
        <v>24</v>
      </c>
      <c r="F2732" s="97" t="str">
        <f ca="1">IF(OR(Market_Data[[#This Row],[Start Date]]="",Market_Data[[#This Row],[Completion Date]]=""),"Needs Validation",IF(Market_Data[[#This Row],[Start Date]]&gt;TODAY(),"Planned",IF(Market_Data[[#This Row],[Completion Date]]&lt;TODAY(),"Completed","Ongoing")))</f>
        <v>Ongoing</v>
      </c>
      <c r="G2732" s="324">
        <v>44287</v>
      </c>
      <c r="H2732" s="324">
        <v>46381</v>
      </c>
      <c r="I2732" s="325">
        <v>58900</v>
      </c>
      <c r="J273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32" s="133">
        <f>_xlfn.XLOOKUP(Market_Data[[#This Row],[Project Type]],tbl_assumptions_market[Project Category (RERA)],tbl_assumptions_market[Concrete Intensity
(m³ / sq m BUA)],"",0)</f>
        <v>0.45</v>
      </c>
      <c r="L2732" s="134">
        <f>ROUND(Market_Data[[#This Row],[Estimated Built Up Area (sq m)]]*Market_Data[[#This Row],[Concrete Intensity
(m³ / sq m)]],0)</f>
        <v>26505</v>
      </c>
      <c r="M2732" s="135">
        <f>_xlfn.XLOOKUP(Market_Data[[#This Row],[District]],tbl_district_price[District],tbl_district_price[Standard Price
(INR/m³)],"",0)</f>
        <v>5600</v>
      </c>
      <c r="N2732" s="364">
        <f>IF(OR(Market_Data[[#This Row],[Estimated Concrete Demand (m³)]]="",Market_Data[[#This Row],[Avg Price per (₹ / m³)]]=""),"",Market_Data[[#This Row],[Estimated Concrete Demand (m³)]]*Market_Data[[#This Row],[Avg Price per (₹ / m³)]]/10000000)</f>
        <v>14.8428</v>
      </c>
      <c r="O2732" s="97" t="str">
        <f>IF(Market_Data[[#This Row],[Estimated Concrete Demand (m³)]]="","",
IF(Market_Data[[#This Row],[Estimated Concrete Demand (m³)]]&lt;10000,"Small",
IF(Market_Data[[#This Row],[Estimated Concrete Demand (m³)]]&lt;25000,"Medium",
IF(Market_Data[[#This Row],[Estimated Concrete Demand (m³)]]&lt;100000,"Large","Mega"))))</f>
        <v>Large</v>
      </c>
      <c r="P2732" s="287" t="str">
        <f t="shared" si="44"/>
        <v>GujRERA</v>
      </c>
    </row>
    <row r="2733" spans="1:16" ht="24">
      <c r="A2733" s="129" t="str">
        <f>_xlfn.XLOOKUP(B2733,$S$9:$S$14,$T$9:$T$14)&amp;"-"&amp;
IF(E2733="Residential/Group Housing","RES",
IF(E2733="Commercial","COM",
IF(E2733="Mixed Development","MIX",
IF(E2733="Plotted Development","PLT","OTH"))))
&amp;"-"&amp;TEXT(COUNTIFS($B$9:B2733,B2733,$E$9:E2733,E2733),"0000")</f>
        <v>VAL-MIX-0003</v>
      </c>
      <c r="B2733" s="322" t="s">
        <v>35</v>
      </c>
      <c r="C2733" s="322" t="s">
        <v>35</v>
      </c>
      <c r="D2733" s="323" t="s">
        <v>2922</v>
      </c>
      <c r="E2733" s="132" t="s">
        <v>25</v>
      </c>
      <c r="F2733" s="97" t="str">
        <f ca="1">IF(OR(Market_Data[[#This Row],[Start Date]]="",Market_Data[[#This Row],[Completion Date]]=""),"Needs Validation",IF(Market_Data[[#This Row],[Start Date]]&gt;TODAY(),"Planned",IF(Market_Data[[#This Row],[Completion Date]]&lt;TODAY(),"Completed","Ongoing")))</f>
        <v>Completed</v>
      </c>
      <c r="G2733" s="324">
        <v>43862</v>
      </c>
      <c r="H2733" s="324">
        <v>45838</v>
      </c>
      <c r="I2733" s="325">
        <v>14400</v>
      </c>
      <c r="J273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33" s="133">
        <f>_xlfn.XLOOKUP(Market_Data[[#This Row],[Project Type]],tbl_assumptions_market[Project Category (RERA)],tbl_assumptions_market[Concrete Intensity
(m³ / sq m BUA)],"",0)</f>
        <v>0.42</v>
      </c>
      <c r="L2733" s="134">
        <f>ROUND(Market_Data[[#This Row],[Estimated Built Up Area (sq m)]]*Market_Data[[#This Row],[Concrete Intensity
(m³ / sq m)]],0)</f>
        <v>6048</v>
      </c>
      <c r="M2733" s="135">
        <f>_xlfn.XLOOKUP(Market_Data[[#This Row],[District]],tbl_district_price[District],tbl_district_price[Standard Price
(INR/m³)],"",0)</f>
        <v>5600</v>
      </c>
      <c r="N2733" s="364">
        <f>IF(OR(Market_Data[[#This Row],[Estimated Concrete Demand (m³)]]="",Market_Data[[#This Row],[Avg Price per (₹ / m³)]]=""),"",Market_Data[[#This Row],[Estimated Concrete Demand (m³)]]*Market_Data[[#This Row],[Avg Price per (₹ / m³)]]/10000000)</f>
        <v>3.3868800000000001</v>
      </c>
      <c r="O2733" s="97" t="str">
        <f>IF(Market_Data[[#This Row],[Estimated Concrete Demand (m³)]]="","",
IF(Market_Data[[#This Row],[Estimated Concrete Demand (m³)]]&lt;10000,"Small",
IF(Market_Data[[#This Row],[Estimated Concrete Demand (m³)]]&lt;25000,"Medium",
IF(Market_Data[[#This Row],[Estimated Concrete Demand (m³)]]&lt;100000,"Large","Mega"))))</f>
        <v>Small</v>
      </c>
      <c r="P2733" s="287" t="str">
        <f t="shared" si="44"/>
        <v>GujRERA</v>
      </c>
    </row>
    <row r="2734" spans="1:16">
      <c r="A2734" s="129" t="str">
        <f>_xlfn.XLOOKUP(B2734,$S$9:$S$14,$T$9:$T$14)&amp;"-"&amp;
IF(E2734="Residential/Group Housing","RES",
IF(E2734="Commercial","COM",
IF(E2734="Mixed Development","MIX",
IF(E2734="Plotted Development","PLT","OTH"))))
&amp;"-"&amp;TEXT(COUNTIFS($B$9:B2734,B2734,$E$9:E2734,E2734),"0000")</f>
        <v>VAL-MIX-0004</v>
      </c>
      <c r="B2734" s="322" t="s">
        <v>35</v>
      </c>
      <c r="C2734" s="322" t="s">
        <v>35</v>
      </c>
      <c r="D2734" s="323" t="s">
        <v>2923</v>
      </c>
      <c r="E2734" s="132" t="s">
        <v>25</v>
      </c>
      <c r="F2734" s="97" t="str">
        <f ca="1">IF(OR(Market_Data[[#This Row],[Start Date]]="",Market_Data[[#This Row],[Completion Date]]=""),"Needs Validation",IF(Market_Data[[#This Row],[Start Date]]&gt;TODAY(),"Planned",IF(Market_Data[[#This Row],[Completion Date]]&lt;TODAY(),"Completed","Ongoing")))</f>
        <v>Completed</v>
      </c>
      <c r="G2734" s="324">
        <v>43556</v>
      </c>
      <c r="H2734" s="324">
        <v>44104</v>
      </c>
      <c r="I2734" s="325">
        <v>3100</v>
      </c>
      <c r="J273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734" s="133">
        <f>_xlfn.XLOOKUP(Market_Data[[#This Row],[Project Type]],tbl_assumptions_market[Project Category (RERA)],tbl_assumptions_market[Concrete Intensity
(m³ / sq m BUA)],"",0)</f>
        <v>0.42</v>
      </c>
      <c r="L2734" s="134">
        <f>ROUND(Market_Data[[#This Row],[Estimated Built Up Area (sq m)]]*Market_Data[[#This Row],[Concrete Intensity
(m³ / sq m)]],0)</f>
        <v>1302</v>
      </c>
      <c r="M2734" s="135">
        <f>_xlfn.XLOOKUP(Market_Data[[#This Row],[District]],tbl_district_price[District],tbl_district_price[Standard Price
(INR/m³)],"",0)</f>
        <v>5600</v>
      </c>
      <c r="N2734" s="364">
        <f>IF(OR(Market_Data[[#This Row],[Estimated Concrete Demand (m³)]]="",Market_Data[[#This Row],[Avg Price per (₹ / m³)]]=""),"",Market_Data[[#This Row],[Estimated Concrete Demand (m³)]]*Market_Data[[#This Row],[Avg Price per (₹ / m³)]]/10000000)</f>
        <v>0.72911999999999999</v>
      </c>
      <c r="O2734" s="97" t="str">
        <f>IF(Market_Data[[#This Row],[Estimated Concrete Demand (m³)]]="","",
IF(Market_Data[[#This Row],[Estimated Concrete Demand (m³)]]&lt;10000,"Small",
IF(Market_Data[[#This Row],[Estimated Concrete Demand (m³)]]&lt;25000,"Medium",
IF(Market_Data[[#This Row],[Estimated Concrete Demand (m³)]]&lt;100000,"Large","Mega"))))</f>
        <v>Small</v>
      </c>
      <c r="P2734" s="287" t="str">
        <f t="shared" si="44"/>
        <v>GujRERA</v>
      </c>
    </row>
    <row r="2735" spans="1:16">
      <c r="A2735" s="129" t="str">
        <f>_xlfn.XLOOKUP(B2735,$S$9:$S$14,$T$9:$T$14)&amp;"-"&amp;
IF(E2735="Residential/Group Housing","RES",
IF(E2735="Commercial","COM",
IF(E2735="Mixed Development","MIX",
IF(E2735="Plotted Development","PLT","OTH"))))
&amp;"-"&amp;TEXT(COUNTIFS($B$9:B2735,B2735,$E$9:E2735,E2735),"0000")</f>
        <v>VAL-RES-0006</v>
      </c>
      <c r="B2735" s="322" t="s">
        <v>35</v>
      </c>
      <c r="C2735" s="322" t="s">
        <v>35</v>
      </c>
      <c r="D2735" s="323" t="s">
        <v>2924</v>
      </c>
      <c r="E2735" s="132" t="s">
        <v>24</v>
      </c>
      <c r="F2735" s="97" t="str">
        <f ca="1">IF(OR(Market_Data[[#This Row],[Start Date]]="",Market_Data[[#This Row],[Completion Date]]=""),"Needs Validation",IF(Market_Data[[#This Row],[Start Date]]&gt;TODAY(),"Planned",IF(Market_Data[[#This Row],[Completion Date]]&lt;TODAY(),"Completed","Ongoing")))</f>
        <v>Completed</v>
      </c>
      <c r="G2735" s="324">
        <v>44044</v>
      </c>
      <c r="H2735" s="324">
        <v>46022</v>
      </c>
      <c r="I2735" s="325">
        <v>25400</v>
      </c>
      <c r="J273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35" s="133">
        <f>_xlfn.XLOOKUP(Market_Data[[#This Row],[Project Type]],tbl_assumptions_market[Project Category (RERA)],tbl_assumptions_market[Concrete Intensity
(m³ / sq m BUA)],"",0)</f>
        <v>0.45</v>
      </c>
      <c r="L2735" s="134">
        <f>ROUND(Market_Data[[#This Row],[Estimated Built Up Area (sq m)]]*Market_Data[[#This Row],[Concrete Intensity
(m³ / sq m)]],0)</f>
        <v>11430</v>
      </c>
      <c r="M2735" s="135">
        <f>_xlfn.XLOOKUP(Market_Data[[#This Row],[District]],tbl_district_price[District],tbl_district_price[Standard Price
(INR/m³)],"",0)</f>
        <v>5600</v>
      </c>
      <c r="N2735" s="364">
        <f>IF(OR(Market_Data[[#This Row],[Estimated Concrete Demand (m³)]]="",Market_Data[[#This Row],[Avg Price per (₹ / m³)]]=""),"",Market_Data[[#This Row],[Estimated Concrete Demand (m³)]]*Market_Data[[#This Row],[Avg Price per (₹ / m³)]]/10000000)</f>
        <v>6.4008000000000003</v>
      </c>
      <c r="O2735" s="97" t="str">
        <f>IF(Market_Data[[#This Row],[Estimated Concrete Demand (m³)]]="","",
IF(Market_Data[[#This Row],[Estimated Concrete Demand (m³)]]&lt;10000,"Small",
IF(Market_Data[[#This Row],[Estimated Concrete Demand (m³)]]&lt;25000,"Medium",
IF(Market_Data[[#This Row],[Estimated Concrete Demand (m³)]]&lt;100000,"Large","Mega"))))</f>
        <v>Medium</v>
      </c>
      <c r="P2735" s="287" t="str">
        <f t="shared" si="44"/>
        <v>GujRERA</v>
      </c>
    </row>
    <row r="2736" spans="1:16">
      <c r="A2736" s="129" t="str">
        <f>_xlfn.XLOOKUP(B2736,$S$9:$S$14,$T$9:$T$14)&amp;"-"&amp;
IF(E2736="Residential/Group Housing","RES",
IF(E2736="Commercial","COM",
IF(E2736="Mixed Development","MIX",
IF(E2736="Plotted Development","PLT","OTH"))))
&amp;"-"&amp;TEXT(COUNTIFS($B$9:B2736,B2736,$E$9:E2736,E2736),"0000")</f>
        <v>VAL-PLT-0001</v>
      </c>
      <c r="B2736" s="322" t="s">
        <v>35</v>
      </c>
      <c r="C2736" s="322" t="s">
        <v>35</v>
      </c>
      <c r="D2736" s="323" t="s">
        <v>2925</v>
      </c>
      <c r="E2736" s="132" t="s">
        <v>26</v>
      </c>
      <c r="F2736" s="97" t="str">
        <f ca="1">IF(OR(Market_Data[[#This Row],[Start Date]]="",Market_Data[[#This Row],[Completion Date]]=""),"Needs Validation",IF(Market_Data[[#This Row],[Start Date]]&gt;TODAY(),"Planned",IF(Market_Data[[#This Row],[Completion Date]]&lt;TODAY(),"Completed","Ongoing")))</f>
        <v>Completed</v>
      </c>
      <c r="G2736" s="324">
        <v>43770</v>
      </c>
      <c r="H2736" s="324">
        <v>45107</v>
      </c>
      <c r="I2736" s="325">
        <v>15000</v>
      </c>
      <c r="J273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36" s="133">
        <f>_xlfn.XLOOKUP(Market_Data[[#This Row],[Project Type]],tbl_assumptions_market[Project Category (RERA)],tbl_assumptions_market[Concrete Intensity
(m³ / sq m BUA)],"",0)</f>
        <v>0.18</v>
      </c>
      <c r="L2736" s="134">
        <f>ROUND(Market_Data[[#This Row],[Estimated Built Up Area (sq m)]]*Market_Data[[#This Row],[Concrete Intensity
(m³ / sq m)]],0)</f>
        <v>2700</v>
      </c>
      <c r="M2736" s="135">
        <f>_xlfn.XLOOKUP(Market_Data[[#This Row],[District]],tbl_district_price[District],tbl_district_price[Standard Price
(INR/m³)],"",0)</f>
        <v>5600</v>
      </c>
      <c r="N2736" s="364">
        <f>IF(OR(Market_Data[[#This Row],[Estimated Concrete Demand (m³)]]="",Market_Data[[#This Row],[Avg Price per (₹ / m³)]]=""),"",Market_Data[[#This Row],[Estimated Concrete Demand (m³)]]*Market_Data[[#This Row],[Avg Price per (₹ / m³)]]/10000000)</f>
        <v>1.512</v>
      </c>
      <c r="O2736" s="97" t="str">
        <f>IF(Market_Data[[#This Row],[Estimated Concrete Demand (m³)]]="","",
IF(Market_Data[[#This Row],[Estimated Concrete Demand (m³)]]&lt;10000,"Small",
IF(Market_Data[[#This Row],[Estimated Concrete Demand (m³)]]&lt;25000,"Medium",
IF(Market_Data[[#This Row],[Estimated Concrete Demand (m³)]]&lt;100000,"Large","Mega"))))</f>
        <v>Small</v>
      </c>
      <c r="P2736" s="287" t="str">
        <f t="shared" si="44"/>
        <v>GujRERA</v>
      </c>
    </row>
    <row r="2737" spans="1:16">
      <c r="A2737" s="129" t="str">
        <f>_xlfn.XLOOKUP(B2737,$S$9:$S$14,$T$9:$T$14)&amp;"-"&amp;
IF(E2737="Residential/Group Housing","RES",
IF(E2737="Commercial","COM",
IF(E2737="Mixed Development","MIX",
IF(E2737="Plotted Development","PLT","OTH"))))
&amp;"-"&amp;TEXT(COUNTIFS($B$9:B2737,B2737,$E$9:E2737,E2737),"0000")</f>
        <v>VAL-RES-0007</v>
      </c>
      <c r="B2737" s="322" t="s">
        <v>35</v>
      </c>
      <c r="C2737" s="322" t="s">
        <v>35</v>
      </c>
      <c r="D2737" s="323" t="s">
        <v>2926</v>
      </c>
      <c r="E2737" s="132" t="s">
        <v>24</v>
      </c>
      <c r="F2737" s="97" t="str">
        <f ca="1">IF(OR(Market_Data[[#This Row],[Start Date]]="",Market_Data[[#This Row],[Completion Date]]=""),"Needs Validation",IF(Market_Data[[#This Row],[Start Date]]&gt;TODAY(),"Planned",IF(Market_Data[[#This Row],[Completion Date]]&lt;TODAY(),"Completed","Ongoing")))</f>
        <v>Completed</v>
      </c>
      <c r="G2737" s="324">
        <v>43235</v>
      </c>
      <c r="H2737" s="324">
        <v>44561</v>
      </c>
      <c r="I2737" s="325">
        <v>32100</v>
      </c>
      <c r="J273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37" s="133">
        <f>_xlfn.XLOOKUP(Market_Data[[#This Row],[Project Type]],tbl_assumptions_market[Project Category (RERA)],tbl_assumptions_market[Concrete Intensity
(m³ / sq m BUA)],"",0)</f>
        <v>0.45</v>
      </c>
      <c r="L2737" s="134">
        <f>ROUND(Market_Data[[#This Row],[Estimated Built Up Area (sq m)]]*Market_Data[[#This Row],[Concrete Intensity
(m³ / sq m)]],0)</f>
        <v>14445</v>
      </c>
      <c r="M2737" s="135">
        <f>_xlfn.XLOOKUP(Market_Data[[#This Row],[District]],tbl_district_price[District],tbl_district_price[Standard Price
(INR/m³)],"",0)</f>
        <v>5600</v>
      </c>
      <c r="N2737" s="364">
        <f>IF(OR(Market_Data[[#This Row],[Estimated Concrete Demand (m³)]]="",Market_Data[[#This Row],[Avg Price per (₹ / m³)]]=""),"",Market_Data[[#This Row],[Estimated Concrete Demand (m³)]]*Market_Data[[#This Row],[Avg Price per (₹ / m³)]]/10000000)</f>
        <v>8.0891999999999999</v>
      </c>
      <c r="O2737" s="97" t="str">
        <f>IF(Market_Data[[#This Row],[Estimated Concrete Demand (m³)]]="","",
IF(Market_Data[[#This Row],[Estimated Concrete Demand (m³)]]&lt;10000,"Small",
IF(Market_Data[[#This Row],[Estimated Concrete Demand (m³)]]&lt;25000,"Medium",
IF(Market_Data[[#This Row],[Estimated Concrete Demand (m³)]]&lt;100000,"Large","Mega"))))</f>
        <v>Medium</v>
      </c>
      <c r="P2737" s="287" t="str">
        <f t="shared" si="44"/>
        <v>GujRERA</v>
      </c>
    </row>
    <row r="2738" spans="1:16">
      <c r="A2738" s="129" t="str">
        <f>_xlfn.XLOOKUP(B2738,$S$9:$S$14,$T$9:$T$14)&amp;"-"&amp;
IF(E2738="Residential/Group Housing","RES",
IF(E2738="Commercial","COM",
IF(E2738="Mixed Development","MIX",
IF(E2738="Plotted Development","PLT","OTH"))))
&amp;"-"&amp;TEXT(COUNTIFS($B$9:B2738,B2738,$E$9:E2738,E2738),"0000")</f>
        <v>VAL-MIX-0005</v>
      </c>
      <c r="B2738" s="322" t="s">
        <v>35</v>
      </c>
      <c r="C2738" s="322" t="s">
        <v>35</v>
      </c>
      <c r="D2738" s="323" t="s">
        <v>2927</v>
      </c>
      <c r="E2738" s="132" t="s">
        <v>25</v>
      </c>
      <c r="F2738" s="97" t="str">
        <f ca="1">IF(OR(Market_Data[[#This Row],[Start Date]]="",Market_Data[[#This Row],[Completion Date]]=""),"Needs Validation",IF(Market_Data[[#This Row],[Start Date]]&gt;TODAY(),"Planned",IF(Market_Data[[#This Row],[Completion Date]]&lt;TODAY(),"Completed","Ongoing")))</f>
        <v>Completed</v>
      </c>
      <c r="G2738" s="324">
        <v>43454</v>
      </c>
      <c r="H2738" s="324">
        <v>44834</v>
      </c>
      <c r="I2738" s="325">
        <v>6200</v>
      </c>
      <c r="J273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738" s="133">
        <f>_xlfn.XLOOKUP(Market_Data[[#This Row],[Project Type]],tbl_assumptions_market[Project Category (RERA)],tbl_assumptions_market[Concrete Intensity
(m³ / sq m BUA)],"",0)</f>
        <v>0.42</v>
      </c>
      <c r="L2738" s="134">
        <f>ROUND(Market_Data[[#This Row],[Estimated Built Up Area (sq m)]]*Market_Data[[#This Row],[Concrete Intensity
(m³ / sq m)]],0)</f>
        <v>2604</v>
      </c>
      <c r="M2738" s="135">
        <f>_xlfn.XLOOKUP(Market_Data[[#This Row],[District]],tbl_district_price[District],tbl_district_price[Standard Price
(INR/m³)],"",0)</f>
        <v>5600</v>
      </c>
      <c r="N2738" s="364">
        <f>IF(OR(Market_Data[[#This Row],[Estimated Concrete Demand (m³)]]="",Market_Data[[#This Row],[Avg Price per (₹ / m³)]]=""),"",Market_Data[[#This Row],[Estimated Concrete Demand (m³)]]*Market_Data[[#This Row],[Avg Price per (₹ / m³)]]/10000000)</f>
        <v>1.45824</v>
      </c>
      <c r="O2738" s="97" t="str">
        <f>IF(Market_Data[[#This Row],[Estimated Concrete Demand (m³)]]="","",
IF(Market_Data[[#This Row],[Estimated Concrete Demand (m³)]]&lt;10000,"Small",
IF(Market_Data[[#This Row],[Estimated Concrete Demand (m³)]]&lt;25000,"Medium",
IF(Market_Data[[#This Row],[Estimated Concrete Demand (m³)]]&lt;100000,"Large","Mega"))))</f>
        <v>Small</v>
      </c>
      <c r="P2738" s="287" t="str">
        <f t="shared" si="44"/>
        <v>GujRERA</v>
      </c>
    </row>
    <row r="2739" spans="1:16">
      <c r="A2739" s="129" t="str">
        <f>_xlfn.XLOOKUP(B2739,$S$9:$S$14,$T$9:$T$14)&amp;"-"&amp;
IF(E2739="Residential/Group Housing","RES",
IF(E2739="Commercial","COM",
IF(E2739="Mixed Development","MIX",
IF(E2739="Plotted Development","PLT","OTH"))))
&amp;"-"&amp;TEXT(COUNTIFS($B$9:B2739,B2739,$E$9:E2739,E2739),"0000")</f>
        <v>VAL-MIX-0006</v>
      </c>
      <c r="B2739" s="322" t="s">
        <v>35</v>
      </c>
      <c r="C2739" s="322" t="s">
        <v>35</v>
      </c>
      <c r="D2739" s="323" t="s">
        <v>2928</v>
      </c>
      <c r="E2739" s="132" t="s">
        <v>25</v>
      </c>
      <c r="F2739" s="97" t="str">
        <f ca="1">IF(OR(Market_Data[[#This Row],[Start Date]]="",Market_Data[[#This Row],[Completion Date]]=""),"Needs Validation",IF(Market_Data[[#This Row],[Start Date]]&gt;TODAY(),"Planned",IF(Market_Data[[#This Row],[Completion Date]]&lt;TODAY(),"Completed","Ongoing")))</f>
        <v>Ongoing</v>
      </c>
      <c r="G2739" s="324">
        <v>45214</v>
      </c>
      <c r="H2739" s="324">
        <v>47208</v>
      </c>
      <c r="I2739" s="325">
        <v>21700</v>
      </c>
      <c r="J273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39" s="133">
        <f>_xlfn.XLOOKUP(Market_Data[[#This Row],[Project Type]],tbl_assumptions_market[Project Category (RERA)],tbl_assumptions_market[Concrete Intensity
(m³ / sq m BUA)],"",0)</f>
        <v>0.42</v>
      </c>
      <c r="L2739" s="134">
        <f>ROUND(Market_Data[[#This Row],[Estimated Built Up Area (sq m)]]*Market_Data[[#This Row],[Concrete Intensity
(m³ / sq m)]],0)</f>
        <v>9114</v>
      </c>
      <c r="M2739" s="135">
        <f>_xlfn.XLOOKUP(Market_Data[[#This Row],[District]],tbl_district_price[District],tbl_district_price[Standard Price
(INR/m³)],"",0)</f>
        <v>5600</v>
      </c>
      <c r="N2739" s="364">
        <f>IF(OR(Market_Data[[#This Row],[Estimated Concrete Demand (m³)]]="",Market_Data[[#This Row],[Avg Price per (₹ / m³)]]=""),"",Market_Data[[#This Row],[Estimated Concrete Demand (m³)]]*Market_Data[[#This Row],[Avg Price per (₹ / m³)]]/10000000)</f>
        <v>5.1038399999999999</v>
      </c>
      <c r="O2739" s="97" t="str">
        <f>IF(Market_Data[[#This Row],[Estimated Concrete Demand (m³)]]="","",
IF(Market_Data[[#This Row],[Estimated Concrete Demand (m³)]]&lt;10000,"Small",
IF(Market_Data[[#This Row],[Estimated Concrete Demand (m³)]]&lt;25000,"Medium",
IF(Market_Data[[#This Row],[Estimated Concrete Demand (m³)]]&lt;100000,"Large","Mega"))))</f>
        <v>Small</v>
      </c>
      <c r="P2739" s="287" t="str">
        <f t="shared" si="44"/>
        <v>GujRERA</v>
      </c>
    </row>
    <row r="2740" spans="1:16">
      <c r="A2740" s="129" t="str">
        <f>_xlfn.XLOOKUP(B2740,$S$9:$S$14,$T$9:$T$14)&amp;"-"&amp;
IF(E2740="Residential/Group Housing","RES",
IF(E2740="Commercial","COM",
IF(E2740="Mixed Development","MIX",
IF(E2740="Plotted Development","PLT","OTH"))))
&amp;"-"&amp;TEXT(COUNTIFS($B$9:B2740,B2740,$E$9:E2740,E2740),"0000")</f>
        <v>VAL-MIX-0007</v>
      </c>
      <c r="B2740" s="322" t="s">
        <v>35</v>
      </c>
      <c r="C2740" s="322" t="s">
        <v>35</v>
      </c>
      <c r="D2740" s="323" t="s">
        <v>2929</v>
      </c>
      <c r="E2740" s="132" t="s">
        <v>25</v>
      </c>
      <c r="F2740" s="97" t="str">
        <f ca="1">IF(OR(Market_Data[[#This Row],[Start Date]]="",Market_Data[[#This Row],[Completion Date]]=""),"Needs Validation",IF(Market_Data[[#This Row],[Start Date]]&gt;TODAY(),"Planned",IF(Market_Data[[#This Row],[Completion Date]]&lt;TODAY(),"Completed","Ongoing")))</f>
        <v>Completed</v>
      </c>
      <c r="G2740" s="324">
        <v>43539</v>
      </c>
      <c r="H2740" s="324">
        <v>45199</v>
      </c>
      <c r="I2740" s="325">
        <v>18300</v>
      </c>
      <c r="J274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40" s="133">
        <f>_xlfn.XLOOKUP(Market_Data[[#This Row],[Project Type]],tbl_assumptions_market[Project Category (RERA)],tbl_assumptions_market[Concrete Intensity
(m³ / sq m BUA)],"",0)</f>
        <v>0.42</v>
      </c>
      <c r="L2740" s="134">
        <f>ROUND(Market_Data[[#This Row],[Estimated Built Up Area (sq m)]]*Market_Data[[#This Row],[Concrete Intensity
(m³ / sq m)]],0)</f>
        <v>7686</v>
      </c>
      <c r="M2740" s="135">
        <f>_xlfn.XLOOKUP(Market_Data[[#This Row],[District]],tbl_district_price[District],tbl_district_price[Standard Price
(INR/m³)],"",0)</f>
        <v>5600</v>
      </c>
      <c r="N2740" s="364">
        <f>IF(OR(Market_Data[[#This Row],[Estimated Concrete Demand (m³)]]="",Market_Data[[#This Row],[Avg Price per (₹ / m³)]]=""),"",Market_Data[[#This Row],[Estimated Concrete Demand (m³)]]*Market_Data[[#This Row],[Avg Price per (₹ / m³)]]/10000000)</f>
        <v>4.3041600000000004</v>
      </c>
      <c r="O2740" s="97" t="str">
        <f>IF(Market_Data[[#This Row],[Estimated Concrete Demand (m³)]]="","",
IF(Market_Data[[#This Row],[Estimated Concrete Demand (m³)]]&lt;10000,"Small",
IF(Market_Data[[#This Row],[Estimated Concrete Demand (m³)]]&lt;25000,"Medium",
IF(Market_Data[[#This Row],[Estimated Concrete Demand (m³)]]&lt;100000,"Large","Mega"))))</f>
        <v>Small</v>
      </c>
      <c r="P2740" s="287" t="str">
        <f t="shared" si="44"/>
        <v>GujRERA</v>
      </c>
    </row>
    <row r="2741" spans="1:16">
      <c r="A2741" s="129" t="str">
        <f>_xlfn.XLOOKUP(B2741,$S$9:$S$14,$T$9:$T$14)&amp;"-"&amp;
IF(E2741="Residential/Group Housing","RES",
IF(E2741="Commercial","COM",
IF(E2741="Mixed Development","MIX",
IF(E2741="Plotted Development","PLT","OTH"))))
&amp;"-"&amp;TEXT(COUNTIFS($B$9:B2741,B2741,$E$9:E2741,E2741),"0000")</f>
        <v>VAL-MIX-0008</v>
      </c>
      <c r="B2741" s="322" t="s">
        <v>35</v>
      </c>
      <c r="C2741" s="322" t="s">
        <v>35</v>
      </c>
      <c r="D2741" s="323" t="s">
        <v>2930</v>
      </c>
      <c r="E2741" s="132" t="s">
        <v>25</v>
      </c>
      <c r="F2741" s="97" t="str">
        <f ca="1">IF(OR(Market_Data[[#This Row],[Start Date]]="",Market_Data[[#This Row],[Completion Date]]=""),"Needs Validation",IF(Market_Data[[#This Row],[Start Date]]&gt;TODAY(),"Planned",IF(Market_Data[[#This Row],[Completion Date]]&lt;TODAY(),"Completed","Ongoing")))</f>
        <v>Completed</v>
      </c>
      <c r="G2741" s="324">
        <v>42114</v>
      </c>
      <c r="H2741" s="324">
        <v>45837</v>
      </c>
      <c r="I2741" s="325">
        <v>9100</v>
      </c>
      <c r="J274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741" s="133">
        <f>_xlfn.XLOOKUP(Market_Data[[#This Row],[Project Type]],tbl_assumptions_market[Project Category (RERA)],tbl_assumptions_market[Concrete Intensity
(m³ / sq m BUA)],"",0)</f>
        <v>0.42</v>
      </c>
      <c r="L2741" s="134">
        <f>ROUND(Market_Data[[#This Row],[Estimated Built Up Area (sq m)]]*Market_Data[[#This Row],[Concrete Intensity
(m³ / sq m)]],0)</f>
        <v>3822</v>
      </c>
      <c r="M2741" s="135">
        <f>_xlfn.XLOOKUP(Market_Data[[#This Row],[District]],tbl_district_price[District],tbl_district_price[Standard Price
(INR/m³)],"",0)</f>
        <v>5600</v>
      </c>
      <c r="N2741" s="364">
        <f>IF(OR(Market_Data[[#This Row],[Estimated Concrete Demand (m³)]]="",Market_Data[[#This Row],[Avg Price per (₹ / m³)]]=""),"",Market_Data[[#This Row],[Estimated Concrete Demand (m³)]]*Market_Data[[#This Row],[Avg Price per (₹ / m³)]]/10000000)</f>
        <v>2.14032</v>
      </c>
      <c r="O2741" s="97" t="str">
        <f>IF(Market_Data[[#This Row],[Estimated Concrete Demand (m³)]]="","",
IF(Market_Data[[#This Row],[Estimated Concrete Demand (m³)]]&lt;10000,"Small",
IF(Market_Data[[#This Row],[Estimated Concrete Demand (m³)]]&lt;25000,"Medium",
IF(Market_Data[[#This Row],[Estimated Concrete Demand (m³)]]&lt;100000,"Large","Mega"))))</f>
        <v>Small</v>
      </c>
      <c r="P2741" s="287" t="str">
        <f t="shared" si="44"/>
        <v>GujRERA</v>
      </c>
    </row>
    <row r="2742" spans="1:16">
      <c r="A2742" s="129" t="str">
        <f>_xlfn.XLOOKUP(B2742,$S$9:$S$14,$T$9:$T$14)&amp;"-"&amp;
IF(E2742="Residential/Group Housing","RES",
IF(E2742="Commercial","COM",
IF(E2742="Mixed Development","MIX",
IF(E2742="Plotted Development","PLT","OTH"))))
&amp;"-"&amp;TEXT(COUNTIFS($B$9:B2742,B2742,$E$9:E2742,E2742),"0000")</f>
        <v>VAL-COM-0002</v>
      </c>
      <c r="B2742" s="322" t="s">
        <v>35</v>
      </c>
      <c r="C2742" s="322" t="s">
        <v>35</v>
      </c>
      <c r="D2742" s="323" t="s">
        <v>2931</v>
      </c>
      <c r="E2742" s="132" t="s">
        <v>23</v>
      </c>
      <c r="F2742" s="97" t="str">
        <f ca="1">IF(OR(Market_Data[[#This Row],[Start Date]]="",Market_Data[[#This Row],[Completion Date]]=""),"Needs Validation",IF(Market_Data[[#This Row],[Start Date]]&gt;TODAY(),"Planned",IF(Market_Data[[#This Row],[Completion Date]]&lt;TODAY(),"Completed","Ongoing")))</f>
        <v>Completed</v>
      </c>
      <c r="G2742" s="324">
        <v>43446</v>
      </c>
      <c r="H2742" s="324">
        <v>46193</v>
      </c>
      <c r="I2742" s="325">
        <v>51200</v>
      </c>
      <c r="J274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742" s="133">
        <f>_xlfn.XLOOKUP(Market_Data[[#This Row],[Project Type]],tbl_assumptions_market[Project Category (RERA)],tbl_assumptions_market[Concrete Intensity
(m³ / sq m BUA)],"",0)</f>
        <v>0.5</v>
      </c>
      <c r="L2742" s="134">
        <f>ROUND(Market_Data[[#This Row],[Estimated Built Up Area (sq m)]]*Market_Data[[#This Row],[Concrete Intensity
(m³ / sq m)]],0)</f>
        <v>25600</v>
      </c>
      <c r="M2742" s="135">
        <f>_xlfn.XLOOKUP(Market_Data[[#This Row],[District]],tbl_district_price[District],tbl_district_price[Standard Price
(INR/m³)],"",0)</f>
        <v>5600</v>
      </c>
      <c r="N2742" s="364">
        <f>IF(OR(Market_Data[[#This Row],[Estimated Concrete Demand (m³)]]="",Market_Data[[#This Row],[Avg Price per (₹ / m³)]]=""),"",Market_Data[[#This Row],[Estimated Concrete Demand (m³)]]*Market_Data[[#This Row],[Avg Price per (₹ / m³)]]/10000000)</f>
        <v>14.336</v>
      </c>
      <c r="O2742" s="97" t="str">
        <f>IF(Market_Data[[#This Row],[Estimated Concrete Demand (m³)]]="","",
IF(Market_Data[[#This Row],[Estimated Concrete Demand (m³)]]&lt;10000,"Small",
IF(Market_Data[[#This Row],[Estimated Concrete Demand (m³)]]&lt;25000,"Medium",
IF(Market_Data[[#This Row],[Estimated Concrete Demand (m³)]]&lt;100000,"Large","Mega"))))</f>
        <v>Large</v>
      </c>
      <c r="P2742" s="287" t="str">
        <f t="shared" si="44"/>
        <v>GujRERA</v>
      </c>
    </row>
    <row r="2743" spans="1:16">
      <c r="A2743" s="129" t="str">
        <f>_xlfn.XLOOKUP(B2743,$S$9:$S$14,$T$9:$T$14)&amp;"-"&amp;
IF(E2743="Residential/Group Housing","RES",
IF(E2743="Commercial","COM",
IF(E2743="Mixed Development","MIX",
IF(E2743="Plotted Development","PLT","OTH"))))
&amp;"-"&amp;TEXT(COUNTIFS($B$9:B2743,B2743,$E$9:E2743,E2743),"0000")</f>
        <v>VAL-COM-0003</v>
      </c>
      <c r="B2743" s="322" t="s">
        <v>35</v>
      </c>
      <c r="C2743" s="322" t="s">
        <v>35</v>
      </c>
      <c r="D2743" s="323" t="s">
        <v>2932</v>
      </c>
      <c r="E2743" s="132" t="s">
        <v>23</v>
      </c>
      <c r="F2743" s="97" t="str">
        <f ca="1">IF(OR(Market_Data[[#This Row],[Start Date]]="",Market_Data[[#This Row],[Completion Date]]=""),"Needs Validation",IF(Market_Data[[#This Row],[Start Date]]&gt;TODAY(),"Planned",IF(Market_Data[[#This Row],[Completion Date]]&lt;TODAY(),"Completed","Ongoing")))</f>
        <v>Ongoing</v>
      </c>
      <c r="G2743" s="324">
        <v>44216</v>
      </c>
      <c r="H2743" s="324">
        <v>46387</v>
      </c>
      <c r="I2743" s="325">
        <v>36700</v>
      </c>
      <c r="J274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743" s="133">
        <f>_xlfn.XLOOKUP(Market_Data[[#This Row],[Project Type]],tbl_assumptions_market[Project Category (RERA)],tbl_assumptions_market[Concrete Intensity
(m³ / sq m BUA)],"",0)</f>
        <v>0.5</v>
      </c>
      <c r="L2743" s="134">
        <f>ROUND(Market_Data[[#This Row],[Estimated Built Up Area (sq m)]]*Market_Data[[#This Row],[Concrete Intensity
(m³ / sq m)]],0)</f>
        <v>18350</v>
      </c>
      <c r="M2743" s="135">
        <f>_xlfn.XLOOKUP(Market_Data[[#This Row],[District]],tbl_district_price[District],tbl_district_price[Standard Price
(INR/m³)],"",0)</f>
        <v>5600</v>
      </c>
      <c r="N2743" s="364">
        <f>IF(OR(Market_Data[[#This Row],[Estimated Concrete Demand (m³)]]="",Market_Data[[#This Row],[Avg Price per (₹ / m³)]]=""),"",Market_Data[[#This Row],[Estimated Concrete Demand (m³)]]*Market_Data[[#This Row],[Avg Price per (₹ / m³)]]/10000000)</f>
        <v>10.276</v>
      </c>
      <c r="O2743" s="97" t="str">
        <f>IF(Market_Data[[#This Row],[Estimated Concrete Demand (m³)]]="","",
IF(Market_Data[[#This Row],[Estimated Concrete Demand (m³)]]&lt;10000,"Small",
IF(Market_Data[[#This Row],[Estimated Concrete Demand (m³)]]&lt;25000,"Medium",
IF(Market_Data[[#This Row],[Estimated Concrete Demand (m³)]]&lt;100000,"Large","Mega"))))</f>
        <v>Medium</v>
      </c>
      <c r="P2743" s="287" t="str">
        <f t="shared" si="44"/>
        <v>GujRERA</v>
      </c>
    </row>
    <row r="2744" spans="1:16">
      <c r="A2744" s="129" t="str">
        <f>_xlfn.XLOOKUP(B2744,$S$9:$S$14,$T$9:$T$14)&amp;"-"&amp;
IF(E2744="Residential/Group Housing","RES",
IF(E2744="Commercial","COM",
IF(E2744="Mixed Development","MIX",
IF(E2744="Plotted Development","PLT","OTH"))))
&amp;"-"&amp;TEXT(COUNTIFS($B$9:B2744,B2744,$E$9:E2744,E2744),"0000")</f>
        <v>VAL-MIX-0009</v>
      </c>
      <c r="B2744" s="322" t="s">
        <v>35</v>
      </c>
      <c r="C2744" s="322" t="s">
        <v>35</v>
      </c>
      <c r="D2744" s="323" t="s">
        <v>2933</v>
      </c>
      <c r="E2744" s="132" t="s">
        <v>25</v>
      </c>
      <c r="F2744" s="97" t="str">
        <f ca="1">IF(OR(Market_Data[[#This Row],[Start Date]]="",Market_Data[[#This Row],[Completion Date]]=""),"Needs Validation",IF(Market_Data[[#This Row],[Start Date]]&gt;TODAY(),"Planned",IF(Market_Data[[#This Row],[Completion Date]]&lt;TODAY(),"Completed","Ongoing")))</f>
        <v>Completed</v>
      </c>
      <c r="G2744" s="324">
        <v>43525</v>
      </c>
      <c r="H2744" s="324">
        <v>45016</v>
      </c>
      <c r="I2744" s="325">
        <v>9100</v>
      </c>
      <c r="J274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744" s="133">
        <f>_xlfn.XLOOKUP(Market_Data[[#This Row],[Project Type]],tbl_assumptions_market[Project Category (RERA)],tbl_assumptions_market[Concrete Intensity
(m³ / sq m BUA)],"",0)</f>
        <v>0.42</v>
      </c>
      <c r="L2744" s="134">
        <f>ROUND(Market_Data[[#This Row],[Estimated Built Up Area (sq m)]]*Market_Data[[#This Row],[Concrete Intensity
(m³ / sq m)]],0)</f>
        <v>3822</v>
      </c>
      <c r="M2744" s="135">
        <f>_xlfn.XLOOKUP(Market_Data[[#This Row],[District]],tbl_district_price[District],tbl_district_price[Standard Price
(INR/m³)],"",0)</f>
        <v>5600</v>
      </c>
      <c r="N2744" s="364">
        <f>IF(OR(Market_Data[[#This Row],[Estimated Concrete Demand (m³)]]="",Market_Data[[#This Row],[Avg Price per (₹ / m³)]]=""),"",Market_Data[[#This Row],[Estimated Concrete Demand (m³)]]*Market_Data[[#This Row],[Avg Price per (₹ / m³)]]/10000000)</f>
        <v>2.14032</v>
      </c>
      <c r="O2744" s="97" t="str">
        <f>IF(Market_Data[[#This Row],[Estimated Concrete Demand (m³)]]="","",
IF(Market_Data[[#This Row],[Estimated Concrete Demand (m³)]]&lt;10000,"Small",
IF(Market_Data[[#This Row],[Estimated Concrete Demand (m³)]]&lt;25000,"Medium",
IF(Market_Data[[#This Row],[Estimated Concrete Demand (m³)]]&lt;100000,"Large","Mega"))))</f>
        <v>Small</v>
      </c>
      <c r="P2744" s="287" t="str">
        <f t="shared" si="44"/>
        <v>GujRERA</v>
      </c>
    </row>
    <row r="2745" spans="1:16">
      <c r="A2745" s="129" t="str">
        <f>_xlfn.XLOOKUP(B2745,$S$9:$S$14,$T$9:$T$14)&amp;"-"&amp;
IF(E2745="Residential/Group Housing","RES",
IF(E2745="Commercial","COM",
IF(E2745="Mixed Development","MIX",
IF(E2745="Plotted Development","PLT","OTH"))))
&amp;"-"&amp;TEXT(COUNTIFS($B$9:B2745,B2745,$E$9:E2745,E2745),"0000")</f>
        <v>VAL-MIX-0010</v>
      </c>
      <c r="B2745" s="322" t="s">
        <v>35</v>
      </c>
      <c r="C2745" s="322" t="s">
        <v>35</v>
      </c>
      <c r="D2745" s="323" t="s">
        <v>2934</v>
      </c>
      <c r="E2745" s="132" t="s">
        <v>25</v>
      </c>
      <c r="F2745" s="97" t="str">
        <f ca="1">IF(OR(Market_Data[[#This Row],[Start Date]]="",Market_Data[[#This Row],[Completion Date]]=""),"Needs Validation",IF(Market_Data[[#This Row],[Start Date]]&gt;TODAY(),"Planned",IF(Market_Data[[#This Row],[Completion Date]]&lt;TODAY(),"Completed","Ongoing")))</f>
        <v>Ongoing</v>
      </c>
      <c r="G2745" s="324">
        <v>44866</v>
      </c>
      <c r="H2745" s="324">
        <v>46387</v>
      </c>
      <c r="I2745" s="325">
        <v>27000</v>
      </c>
      <c r="J274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45" s="133">
        <f>_xlfn.XLOOKUP(Market_Data[[#This Row],[Project Type]],tbl_assumptions_market[Project Category (RERA)],tbl_assumptions_market[Concrete Intensity
(m³ / sq m BUA)],"",0)</f>
        <v>0.42</v>
      </c>
      <c r="L2745" s="134">
        <f>ROUND(Market_Data[[#This Row],[Estimated Built Up Area (sq m)]]*Market_Data[[#This Row],[Concrete Intensity
(m³ / sq m)]],0)</f>
        <v>11340</v>
      </c>
      <c r="M2745" s="135">
        <f>_xlfn.XLOOKUP(Market_Data[[#This Row],[District]],tbl_district_price[District],tbl_district_price[Standard Price
(INR/m³)],"",0)</f>
        <v>5600</v>
      </c>
      <c r="N2745" s="364">
        <f>IF(OR(Market_Data[[#This Row],[Estimated Concrete Demand (m³)]]="",Market_Data[[#This Row],[Avg Price per (₹ / m³)]]=""),"",Market_Data[[#This Row],[Estimated Concrete Demand (m³)]]*Market_Data[[#This Row],[Avg Price per (₹ / m³)]]/10000000)</f>
        <v>6.3503999999999996</v>
      </c>
      <c r="O2745" s="97" t="str">
        <f>IF(Market_Data[[#This Row],[Estimated Concrete Demand (m³)]]="","",
IF(Market_Data[[#This Row],[Estimated Concrete Demand (m³)]]&lt;10000,"Small",
IF(Market_Data[[#This Row],[Estimated Concrete Demand (m³)]]&lt;25000,"Medium",
IF(Market_Data[[#This Row],[Estimated Concrete Demand (m³)]]&lt;100000,"Large","Mega"))))</f>
        <v>Medium</v>
      </c>
      <c r="P2745" s="287" t="str">
        <f t="shared" si="44"/>
        <v>GujRERA</v>
      </c>
    </row>
    <row r="2746" spans="1:16">
      <c r="A2746" s="129" t="str">
        <f>_xlfn.XLOOKUP(B2746,$S$9:$S$14,$T$9:$T$14)&amp;"-"&amp;
IF(E2746="Residential/Group Housing","RES",
IF(E2746="Commercial","COM",
IF(E2746="Mixed Development","MIX",
IF(E2746="Plotted Development","PLT","OTH"))))
&amp;"-"&amp;TEXT(COUNTIFS($B$9:B2746,B2746,$E$9:E2746,E2746),"0000")</f>
        <v>VAL-RES-0008</v>
      </c>
      <c r="B2746" s="322" t="s">
        <v>35</v>
      </c>
      <c r="C2746" s="322" t="s">
        <v>35</v>
      </c>
      <c r="D2746" s="323" t="s">
        <v>2935</v>
      </c>
      <c r="E2746" s="132" t="s">
        <v>24</v>
      </c>
      <c r="F2746" s="97" t="str">
        <f ca="1">IF(OR(Market_Data[[#This Row],[Start Date]]="",Market_Data[[#This Row],[Completion Date]]=""),"Needs Validation",IF(Market_Data[[#This Row],[Start Date]]&gt;TODAY(),"Planned",IF(Market_Data[[#This Row],[Completion Date]]&lt;TODAY(),"Completed","Ongoing")))</f>
        <v>Completed</v>
      </c>
      <c r="G2746" s="324">
        <v>43118</v>
      </c>
      <c r="H2746" s="324">
        <v>46174</v>
      </c>
      <c r="I2746" s="325">
        <v>36600</v>
      </c>
      <c r="J274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46" s="133">
        <f>_xlfn.XLOOKUP(Market_Data[[#This Row],[Project Type]],tbl_assumptions_market[Project Category (RERA)],tbl_assumptions_market[Concrete Intensity
(m³ / sq m BUA)],"",0)</f>
        <v>0.45</v>
      </c>
      <c r="L2746" s="134">
        <f>ROUND(Market_Data[[#This Row],[Estimated Built Up Area (sq m)]]*Market_Data[[#This Row],[Concrete Intensity
(m³ / sq m)]],0)</f>
        <v>16470</v>
      </c>
      <c r="M2746" s="135">
        <f>_xlfn.XLOOKUP(Market_Data[[#This Row],[District]],tbl_district_price[District],tbl_district_price[Standard Price
(INR/m³)],"",0)</f>
        <v>5600</v>
      </c>
      <c r="N2746" s="364">
        <f>IF(OR(Market_Data[[#This Row],[Estimated Concrete Demand (m³)]]="",Market_Data[[#This Row],[Avg Price per (₹ / m³)]]=""),"",Market_Data[[#This Row],[Estimated Concrete Demand (m³)]]*Market_Data[[#This Row],[Avg Price per (₹ / m³)]]/10000000)</f>
        <v>9.2232000000000003</v>
      </c>
      <c r="O2746" s="97" t="str">
        <f>IF(Market_Data[[#This Row],[Estimated Concrete Demand (m³)]]="","",
IF(Market_Data[[#This Row],[Estimated Concrete Demand (m³)]]&lt;10000,"Small",
IF(Market_Data[[#This Row],[Estimated Concrete Demand (m³)]]&lt;25000,"Medium",
IF(Market_Data[[#This Row],[Estimated Concrete Demand (m³)]]&lt;100000,"Large","Mega"))))</f>
        <v>Medium</v>
      </c>
      <c r="P2746" s="287" t="str">
        <f t="shared" si="44"/>
        <v>GujRERA</v>
      </c>
    </row>
    <row r="2747" spans="1:16">
      <c r="A2747" s="129" t="str">
        <f>_xlfn.XLOOKUP(B2747,$S$9:$S$14,$T$9:$T$14)&amp;"-"&amp;
IF(E2747="Residential/Group Housing","RES",
IF(E2747="Commercial","COM",
IF(E2747="Mixed Development","MIX",
IF(E2747="Plotted Development","PLT","OTH"))))
&amp;"-"&amp;TEXT(COUNTIFS($B$9:B2747,B2747,$E$9:E2747,E2747),"0000")</f>
        <v>VAL-MIX-0011</v>
      </c>
      <c r="B2747" s="322" t="s">
        <v>35</v>
      </c>
      <c r="C2747" s="322" t="s">
        <v>35</v>
      </c>
      <c r="D2747" s="323" t="s">
        <v>2936</v>
      </c>
      <c r="E2747" s="132" t="s">
        <v>25</v>
      </c>
      <c r="F2747" s="97" t="str">
        <f ca="1">IF(OR(Market_Data[[#This Row],[Start Date]]="",Market_Data[[#This Row],[Completion Date]]=""),"Needs Validation",IF(Market_Data[[#This Row],[Start Date]]&gt;TODAY(),"Planned",IF(Market_Data[[#This Row],[Completion Date]]&lt;TODAY(),"Completed","Ongoing")))</f>
        <v>Completed</v>
      </c>
      <c r="G2747" s="324">
        <v>44175</v>
      </c>
      <c r="H2747" s="324">
        <v>45657</v>
      </c>
      <c r="I2747" s="325">
        <v>5700</v>
      </c>
      <c r="J274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747" s="133">
        <f>_xlfn.XLOOKUP(Market_Data[[#This Row],[Project Type]],tbl_assumptions_market[Project Category (RERA)],tbl_assumptions_market[Concrete Intensity
(m³ / sq m BUA)],"",0)</f>
        <v>0.42</v>
      </c>
      <c r="L2747" s="134">
        <f>ROUND(Market_Data[[#This Row],[Estimated Built Up Area (sq m)]]*Market_Data[[#This Row],[Concrete Intensity
(m³ / sq m)]],0)</f>
        <v>2394</v>
      </c>
      <c r="M2747" s="135">
        <f>_xlfn.XLOOKUP(Market_Data[[#This Row],[District]],tbl_district_price[District],tbl_district_price[Standard Price
(INR/m³)],"",0)</f>
        <v>5600</v>
      </c>
      <c r="N2747" s="364">
        <f>IF(OR(Market_Data[[#This Row],[Estimated Concrete Demand (m³)]]="",Market_Data[[#This Row],[Avg Price per (₹ / m³)]]=""),"",Market_Data[[#This Row],[Estimated Concrete Demand (m³)]]*Market_Data[[#This Row],[Avg Price per (₹ / m³)]]/10000000)</f>
        <v>1.3406400000000001</v>
      </c>
      <c r="O2747" s="97" t="str">
        <f>IF(Market_Data[[#This Row],[Estimated Concrete Demand (m³)]]="","",
IF(Market_Data[[#This Row],[Estimated Concrete Demand (m³)]]&lt;10000,"Small",
IF(Market_Data[[#This Row],[Estimated Concrete Demand (m³)]]&lt;25000,"Medium",
IF(Market_Data[[#This Row],[Estimated Concrete Demand (m³)]]&lt;100000,"Large","Mega"))))</f>
        <v>Small</v>
      </c>
      <c r="P2747" s="287" t="str">
        <f t="shared" si="44"/>
        <v>GujRERA</v>
      </c>
    </row>
    <row r="2748" spans="1:16">
      <c r="A2748" s="129" t="str">
        <f>_xlfn.XLOOKUP(B2748,$S$9:$S$14,$T$9:$T$14)&amp;"-"&amp;
IF(E2748="Residential/Group Housing","RES",
IF(E2748="Commercial","COM",
IF(E2748="Mixed Development","MIX",
IF(E2748="Plotted Development","PLT","OTH"))))
&amp;"-"&amp;TEXT(COUNTIFS($B$9:B2748,B2748,$E$9:E2748,E2748),"0000")</f>
        <v>VAL-MIX-0012</v>
      </c>
      <c r="B2748" s="322" t="s">
        <v>35</v>
      </c>
      <c r="C2748" s="322" t="s">
        <v>35</v>
      </c>
      <c r="D2748" s="323" t="s">
        <v>2937</v>
      </c>
      <c r="E2748" s="132" t="s">
        <v>25</v>
      </c>
      <c r="F2748" s="97" t="str">
        <f ca="1">IF(OR(Market_Data[[#This Row],[Start Date]]="",Market_Data[[#This Row],[Completion Date]]=""),"Needs Validation",IF(Market_Data[[#This Row],[Start Date]]&gt;TODAY(),"Planned",IF(Market_Data[[#This Row],[Completion Date]]&lt;TODAY(),"Completed","Ongoing")))</f>
        <v>Ongoing</v>
      </c>
      <c r="G2748" s="324">
        <v>45047</v>
      </c>
      <c r="H2748" s="324">
        <v>46387</v>
      </c>
      <c r="I2748" s="325">
        <v>48300</v>
      </c>
      <c r="J274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48" s="133">
        <f>_xlfn.XLOOKUP(Market_Data[[#This Row],[Project Type]],tbl_assumptions_market[Project Category (RERA)],tbl_assumptions_market[Concrete Intensity
(m³ / sq m BUA)],"",0)</f>
        <v>0.42</v>
      </c>
      <c r="L2748" s="134">
        <f>ROUND(Market_Data[[#This Row],[Estimated Built Up Area (sq m)]]*Market_Data[[#This Row],[Concrete Intensity
(m³ / sq m)]],0)</f>
        <v>20286</v>
      </c>
      <c r="M2748" s="135">
        <f>_xlfn.XLOOKUP(Market_Data[[#This Row],[District]],tbl_district_price[District],tbl_district_price[Standard Price
(INR/m³)],"",0)</f>
        <v>5600</v>
      </c>
      <c r="N2748" s="364">
        <f>IF(OR(Market_Data[[#This Row],[Estimated Concrete Demand (m³)]]="",Market_Data[[#This Row],[Avg Price per (₹ / m³)]]=""),"",Market_Data[[#This Row],[Estimated Concrete Demand (m³)]]*Market_Data[[#This Row],[Avg Price per (₹ / m³)]]/10000000)</f>
        <v>11.36016</v>
      </c>
      <c r="O2748" s="97" t="str">
        <f>IF(Market_Data[[#This Row],[Estimated Concrete Demand (m³)]]="","",
IF(Market_Data[[#This Row],[Estimated Concrete Demand (m³)]]&lt;10000,"Small",
IF(Market_Data[[#This Row],[Estimated Concrete Demand (m³)]]&lt;25000,"Medium",
IF(Market_Data[[#This Row],[Estimated Concrete Demand (m³)]]&lt;100000,"Large","Mega"))))</f>
        <v>Medium</v>
      </c>
      <c r="P2748" s="287" t="str">
        <f t="shared" si="44"/>
        <v>GujRERA</v>
      </c>
    </row>
    <row r="2749" spans="1:16">
      <c r="A2749" s="129" t="str">
        <f>_xlfn.XLOOKUP(B2749,$S$9:$S$14,$T$9:$T$14)&amp;"-"&amp;
IF(E2749="Residential/Group Housing","RES",
IF(E2749="Commercial","COM",
IF(E2749="Mixed Development","MIX",
IF(E2749="Plotted Development","PLT","OTH"))))
&amp;"-"&amp;TEXT(COUNTIFS($B$9:B2749,B2749,$E$9:E2749,E2749),"0000")</f>
        <v>VAL-RES-0009</v>
      </c>
      <c r="B2749" s="322" t="s">
        <v>35</v>
      </c>
      <c r="C2749" s="322" t="s">
        <v>35</v>
      </c>
      <c r="D2749" s="323" t="s">
        <v>2938</v>
      </c>
      <c r="E2749" s="132" t="s">
        <v>24</v>
      </c>
      <c r="F2749" s="97" t="str">
        <f ca="1">IF(OR(Market_Data[[#This Row],[Start Date]]="",Market_Data[[#This Row],[Completion Date]]=""),"Needs Validation",IF(Market_Data[[#This Row],[Start Date]]&gt;TODAY(),"Planned",IF(Market_Data[[#This Row],[Completion Date]]&lt;TODAY(),"Completed","Ongoing")))</f>
        <v>Ongoing</v>
      </c>
      <c r="G2749" s="324">
        <v>44809</v>
      </c>
      <c r="H2749" s="324">
        <v>46843</v>
      </c>
      <c r="I2749" s="325">
        <v>27000</v>
      </c>
      <c r="J274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49" s="133">
        <f>_xlfn.XLOOKUP(Market_Data[[#This Row],[Project Type]],tbl_assumptions_market[Project Category (RERA)],tbl_assumptions_market[Concrete Intensity
(m³ / sq m BUA)],"",0)</f>
        <v>0.45</v>
      </c>
      <c r="L2749" s="134">
        <f>ROUND(Market_Data[[#This Row],[Estimated Built Up Area (sq m)]]*Market_Data[[#This Row],[Concrete Intensity
(m³ / sq m)]],0)</f>
        <v>12150</v>
      </c>
      <c r="M2749" s="135">
        <f>_xlfn.XLOOKUP(Market_Data[[#This Row],[District]],tbl_district_price[District],tbl_district_price[Standard Price
(INR/m³)],"",0)</f>
        <v>5600</v>
      </c>
      <c r="N2749" s="364">
        <f>IF(OR(Market_Data[[#This Row],[Estimated Concrete Demand (m³)]]="",Market_Data[[#This Row],[Avg Price per (₹ / m³)]]=""),"",Market_Data[[#This Row],[Estimated Concrete Demand (m³)]]*Market_Data[[#This Row],[Avg Price per (₹ / m³)]]/10000000)</f>
        <v>6.8040000000000003</v>
      </c>
      <c r="O2749" s="97" t="str">
        <f>IF(Market_Data[[#This Row],[Estimated Concrete Demand (m³)]]="","",
IF(Market_Data[[#This Row],[Estimated Concrete Demand (m³)]]&lt;10000,"Small",
IF(Market_Data[[#This Row],[Estimated Concrete Demand (m³)]]&lt;25000,"Medium",
IF(Market_Data[[#This Row],[Estimated Concrete Demand (m³)]]&lt;100000,"Large","Mega"))))</f>
        <v>Medium</v>
      </c>
      <c r="P2749" s="287" t="str">
        <f t="shared" si="44"/>
        <v>GujRERA</v>
      </c>
    </row>
    <row r="2750" spans="1:16">
      <c r="A2750" s="129" t="str">
        <f>_xlfn.XLOOKUP(B2750,$S$9:$S$14,$T$9:$T$14)&amp;"-"&amp;
IF(E2750="Residential/Group Housing","RES",
IF(E2750="Commercial","COM",
IF(E2750="Mixed Development","MIX",
IF(E2750="Plotted Development","PLT","OTH"))))
&amp;"-"&amp;TEXT(COUNTIFS($B$9:B2750,B2750,$E$9:E2750,E2750),"0000")</f>
        <v>VAL-MIX-0013</v>
      </c>
      <c r="B2750" s="322" t="s">
        <v>35</v>
      </c>
      <c r="C2750" s="322" t="s">
        <v>35</v>
      </c>
      <c r="D2750" s="323" t="s">
        <v>2939</v>
      </c>
      <c r="E2750" s="132" t="s">
        <v>25</v>
      </c>
      <c r="F2750" s="97" t="str">
        <f ca="1">IF(OR(Market_Data[[#This Row],[Start Date]]="",Market_Data[[#This Row],[Completion Date]]=""),"Needs Validation",IF(Market_Data[[#This Row],[Start Date]]&gt;TODAY(),"Planned",IF(Market_Data[[#This Row],[Completion Date]]&lt;TODAY(),"Completed","Ongoing")))</f>
        <v>Completed</v>
      </c>
      <c r="G2750" s="324">
        <v>42125</v>
      </c>
      <c r="H2750" s="324">
        <v>45198</v>
      </c>
      <c r="I2750" s="325">
        <v>18300</v>
      </c>
      <c r="J275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50" s="133">
        <f>_xlfn.XLOOKUP(Market_Data[[#This Row],[Project Type]],tbl_assumptions_market[Project Category (RERA)],tbl_assumptions_market[Concrete Intensity
(m³ / sq m BUA)],"",0)</f>
        <v>0.42</v>
      </c>
      <c r="L2750" s="134">
        <f>ROUND(Market_Data[[#This Row],[Estimated Built Up Area (sq m)]]*Market_Data[[#This Row],[Concrete Intensity
(m³ / sq m)]],0)</f>
        <v>7686</v>
      </c>
      <c r="M2750" s="135">
        <f>_xlfn.XLOOKUP(Market_Data[[#This Row],[District]],tbl_district_price[District],tbl_district_price[Standard Price
(INR/m³)],"",0)</f>
        <v>5600</v>
      </c>
      <c r="N2750" s="364">
        <f>IF(OR(Market_Data[[#This Row],[Estimated Concrete Demand (m³)]]="",Market_Data[[#This Row],[Avg Price per (₹ / m³)]]=""),"",Market_Data[[#This Row],[Estimated Concrete Demand (m³)]]*Market_Data[[#This Row],[Avg Price per (₹ / m³)]]/10000000)</f>
        <v>4.3041600000000004</v>
      </c>
      <c r="O2750" s="97" t="str">
        <f>IF(Market_Data[[#This Row],[Estimated Concrete Demand (m³)]]="","",
IF(Market_Data[[#This Row],[Estimated Concrete Demand (m³)]]&lt;10000,"Small",
IF(Market_Data[[#This Row],[Estimated Concrete Demand (m³)]]&lt;25000,"Medium",
IF(Market_Data[[#This Row],[Estimated Concrete Demand (m³)]]&lt;100000,"Large","Mega"))))</f>
        <v>Small</v>
      </c>
      <c r="P2750" s="287" t="str">
        <f t="shared" si="44"/>
        <v>GujRERA</v>
      </c>
    </row>
    <row r="2751" spans="1:16">
      <c r="A2751" s="129" t="str">
        <f>_xlfn.XLOOKUP(B2751,$S$9:$S$14,$T$9:$T$14)&amp;"-"&amp;
IF(E2751="Residential/Group Housing","RES",
IF(E2751="Commercial","COM",
IF(E2751="Mixed Development","MIX",
IF(E2751="Plotted Development","PLT","OTH"))))
&amp;"-"&amp;TEXT(COUNTIFS($B$9:B2751,B2751,$E$9:E2751,E2751),"0000")</f>
        <v>VAL-RES-0010</v>
      </c>
      <c r="B2751" s="322" t="s">
        <v>35</v>
      </c>
      <c r="C2751" s="322" t="s">
        <v>35</v>
      </c>
      <c r="D2751" s="323" t="s">
        <v>2940</v>
      </c>
      <c r="E2751" s="132" t="s">
        <v>24</v>
      </c>
      <c r="F2751" s="97" t="str">
        <f ca="1">IF(OR(Market_Data[[#This Row],[Start Date]]="",Market_Data[[#This Row],[Completion Date]]=""),"Needs Validation",IF(Market_Data[[#This Row],[Start Date]]&gt;TODAY(),"Planned",IF(Market_Data[[#This Row],[Completion Date]]&lt;TODAY(),"Completed","Ongoing")))</f>
        <v>Ongoing</v>
      </c>
      <c r="G2751" s="324">
        <v>45731</v>
      </c>
      <c r="H2751" s="324">
        <v>47556</v>
      </c>
      <c r="I2751" s="325">
        <v>18600</v>
      </c>
      <c r="J275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51" s="133">
        <f>_xlfn.XLOOKUP(Market_Data[[#This Row],[Project Type]],tbl_assumptions_market[Project Category (RERA)],tbl_assumptions_market[Concrete Intensity
(m³ / sq m BUA)],"",0)</f>
        <v>0.45</v>
      </c>
      <c r="L2751" s="134">
        <f>ROUND(Market_Data[[#This Row],[Estimated Built Up Area (sq m)]]*Market_Data[[#This Row],[Concrete Intensity
(m³ / sq m)]],0)</f>
        <v>8370</v>
      </c>
      <c r="M2751" s="135">
        <f>_xlfn.XLOOKUP(Market_Data[[#This Row],[District]],tbl_district_price[District],tbl_district_price[Standard Price
(INR/m³)],"",0)</f>
        <v>5600</v>
      </c>
      <c r="N2751" s="364">
        <f>IF(OR(Market_Data[[#This Row],[Estimated Concrete Demand (m³)]]="",Market_Data[[#This Row],[Avg Price per (₹ / m³)]]=""),"",Market_Data[[#This Row],[Estimated Concrete Demand (m³)]]*Market_Data[[#This Row],[Avg Price per (₹ / m³)]]/10000000)</f>
        <v>4.6871999999999998</v>
      </c>
      <c r="O2751" s="97" t="str">
        <f>IF(Market_Data[[#This Row],[Estimated Concrete Demand (m³)]]="","",
IF(Market_Data[[#This Row],[Estimated Concrete Demand (m³)]]&lt;10000,"Small",
IF(Market_Data[[#This Row],[Estimated Concrete Demand (m³)]]&lt;25000,"Medium",
IF(Market_Data[[#This Row],[Estimated Concrete Demand (m³)]]&lt;100000,"Large","Mega"))))</f>
        <v>Small</v>
      </c>
      <c r="P2751" s="287" t="str">
        <f t="shared" si="44"/>
        <v>GujRERA</v>
      </c>
    </row>
    <row r="2752" spans="1:16">
      <c r="A2752" s="129" t="str">
        <f>_xlfn.XLOOKUP(B2752,$S$9:$S$14,$T$9:$T$14)&amp;"-"&amp;
IF(E2752="Residential/Group Housing","RES",
IF(E2752="Commercial","COM",
IF(E2752="Mixed Development","MIX",
IF(E2752="Plotted Development","PLT","OTH"))))
&amp;"-"&amp;TEXT(COUNTIFS($B$9:B2752,B2752,$E$9:E2752,E2752),"0000")</f>
        <v>VAL-COM-0004</v>
      </c>
      <c r="B2752" s="322" t="s">
        <v>35</v>
      </c>
      <c r="C2752" s="322" t="s">
        <v>35</v>
      </c>
      <c r="D2752" s="323" t="s">
        <v>2941</v>
      </c>
      <c r="E2752" s="132" t="s">
        <v>23</v>
      </c>
      <c r="F2752" s="97" t="str">
        <f ca="1">IF(OR(Market_Data[[#This Row],[Start Date]]="",Market_Data[[#This Row],[Completion Date]]=""),"Needs Validation",IF(Market_Data[[#This Row],[Start Date]]&gt;TODAY(),"Planned",IF(Market_Data[[#This Row],[Completion Date]]&lt;TODAY(),"Completed","Ongoing")))</f>
        <v>Completed</v>
      </c>
      <c r="G2752" s="324">
        <v>43480</v>
      </c>
      <c r="H2752" s="324">
        <v>45106</v>
      </c>
      <c r="I2752" s="325">
        <v>2100</v>
      </c>
      <c r="J275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52" s="133">
        <f>_xlfn.XLOOKUP(Market_Data[[#This Row],[Project Type]],tbl_assumptions_market[Project Category (RERA)],tbl_assumptions_market[Concrete Intensity
(m³ / sq m BUA)],"",0)</f>
        <v>0.5</v>
      </c>
      <c r="L2752" s="134">
        <f>ROUND(Market_Data[[#This Row],[Estimated Built Up Area (sq m)]]*Market_Data[[#This Row],[Concrete Intensity
(m³ / sq m)]],0)</f>
        <v>1050</v>
      </c>
      <c r="M2752" s="135">
        <f>_xlfn.XLOOKUP(Market_Data[[#This Row],[District]],tbl_district_price[District],tbl_district_price[Standard Price
(INR/m³)],"",0)</f>
        <v>5600</v>
      </c>
      <c r="N2752" s="364">
        <f>IF(OR(Market_Data[[#This Row],[Estimated Concrete Demand (m³)]]="",Market_Data[[#This Row],[Avg Price per (₹ / m³)]]=""),"",Market_Data[[#This Row],[Estimated Concrete Demand (m³)]]*Market_Data[[#This Row],[Avg Price per (₹ / m³)]]/10000000)</f>
        <v>0.58799999999999997</v>
      </c>
      <c r="O2752" s="97" t="str">
        <f>IF(Market_Data[[#This Row],[Estimated Concrete Demand (m³)]]="","",
IF(Market_Data[[#This Row],[Estimated Concrete Demand (m³)]]&lt;10000,"Small",
IF(Market_Data[[#This Row],[Estimated Concrete Demand (m³)]]&lt;25000,"Medium",
IF(Market_Data[[#This Row],[Estimated Concrete Demand (m³)]]&lt;100000,"Large","Mega"))))</f>
        <v>Small</v>
      </c>
      <c r="P2752" s="287" t="str">
        <f t="shared" si="44"/>
        <v>GujRERA</v>
      </c>
    </row>
    <row r="2753" spans="1:16">
      <c r="A2753" s="129" t="str">
        <f>_xlfn.XLOOKUP(B2753,$S$9:$S$14,$T$9:$T$14)&amp;"-"&amp;
IF(E2753="Residential/Group Housing","RES",
IF(E2753="Commercial","COM",
IF(E2753="Mixed Development","MIX",
IF(E2753="Plotted Development","PLT","OTH"))))
&amp;"-"&amp;TEXT(COUNTIFS($B$9:B2753,B2753,$E$9:E2753,E2753),"0000")</f>
        <v>VAL-COM-0005</v>
      </c>
      <c r="B2753" s="322" t="s">
        <v>35</v>
      </c>
      <c r="C2753" s="322" t="s">
        <v>35</v>
      </c>
      <c r="D2753" s="323" t="s">
        <v>2942</v>
      </c>
      <c r="E2753" s="132" t="s">
        <v>23</v>
      </c>
      <c r="F2753" s="97" t="str">
        <f ca="1">IF(OR(Market_Data[[#This Row],[Start Date]]="",Market_Data[[#This Row],[Completion Date]]=""),"Needs Validation",IF(Market_Data[[#This Row],[Start Date]]&gt;TODAY(),"Planned",IF(Market_Data[[#This Row],[Completion Date]]&lt;TODAY(),"Completed","Ongoing")))</f>
        <v>Ongoing</v>
      </c>
      <c r="G2753" s="324">
        <v>45689</v>
      </c>
      <c r="H2753" s="324">
        <v>47118</v>
      </c>
      <c r="I2753" s="325">
        <v>3600</v>
      </c>
      <c r="J275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53" s="133">
        <f>_xlfn.XLOOKUP(Market_Data[[#This Row],[Project Type]],tbl_assumptions_market[Project Category (RERA)],tbl_assumptions_market[Concrete Intensity
(m³ / sq m BUA)],"",0)</f>
        <v>0.5</v>
      </c>
      <c r="L2753" s="134">
        <f>ROUND(Market_Data[[#This Row],[Estimated Built Up Area (sq m)]]*Market_Data[[#This Row],[Concrete Intensity
(m³ / sq m)]],0)</f>
        <v>1800</v>
      </c>
      <c r="M2753" s="135">
        <f>_xlfn.XLOOKUP(Market_Data[[#This Row],[District]],tbl_district_price[District],tbl_district_price[Standard Price
(INR/m³)],"",0)</f>
        <v>5600</v>
      </c>
      <c r="N2753" s="364">
        <f>IF(OR(Market_Data[[#This Row],[Estimated Concrete Demand (m³)]]="",Market_Data[[#This Row],[Avg Price per (₹ / m³)]]=""),"",Market_Data[[#This Row],[Estimated Concrete Demand (m³)]]*Market_Data[[#This Row],[Avg Price per (₹ / m³)]]/10000000)</f>
        <v>1.008</v>
      </c>
      <c r="O2753" s="97" t="str">
        <f>IF(Market_Data[[#This Row],[Estimated Concrete Demand (m³)]]="","",
IF(Market_Data[[#This Row],[Estimated Concrete Demand (m³)]]&lt;10000,"Small",
IF(Market_Data[[#This Row],[Estimated Concrete Demand (m³)]]&lt;25000,"Medium",
IF(Market_Data[[#This Row],[Estimated Concrete Demand (m³)]]&lt;100000,"Large","Mega"))))</f>
        <v>Small</v>
      </c>
      <c r="P2753" s="287" t="str">
        <f t="shared" si="44"/>
        <v>GujRERA</v>
      </c>
    </row>
    <row r="2754" spans="1:16">
      <c r="A2754" s="129" t="str">
        <f>_xlfn.XLOOKUP(B2754,$S$9:$S$14,$T$9:$T$14)&amp;"-"&amp;
IF(E2754="Residential/Group Housing","RES",
IF(E2754="Commercial","COM",
IF(E2754="Mixed Development","MIX",
IF(E2754="Plotted Development","PLT","OTH"))))
&amp;"-"&amp;TEXT(COUNTIFS($B$9:B2754,B2754,$E$9:E2754,E2754),"0000")</f>
        <v>VAL-COM-0006</v>
      </c>
      <c r="B2754" s="322" t="s">
        <v>35</v>
      </c>
      <c r="C2754" s="322" t="s">
        <v>35</v>
      </c>
      <c r="D2754" s="323" t="s">
        <v>2943</v>
      </c>
      <c r="E2754" s="132" t="s">
        <v>23</v>
      </c>
      <c r="F2754" s="97" t="str">
        <f ca="1">IF(OR(Market_Data[[#This Row],[Start Date]]="",Market_Data[[#This Row],[Completion Date]]=""),"Needs Validation",IF(Market_Data[[#This Row],[Start Date]]&gt;TODAY(),"Planned",IF(Market_Data[[#This Row],[Completion Date]]&lt;TODAY(),"Completed","Ongoing")))</f>
        <v>Completed</v>
      </c>
      <c r="G2754" s="324">
        <v>42156</v>
      </c>
      <c r="H2754" s="324">
        <v>44104</v>
      </c>
      <c r="I2754" s="325">
        <v>16000</v>
      </c>
      <c r="J275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54" s="133">
        <f>_xlfn.XLOOKUP(Market_Data[[#This Row],[Project Type]],tbl_assumptions_market[Project Category (RERA)],tbl_assumptions_market[Concrete Intensity
(m³ / sq m BUA)],"",0)</f>
        <v>0.5</v>
      </c>
      <c r="L2754" s="134">
        <f>ROUND(Market_Data[[#This Row],[Estimated Built Up Area (sq m)]]*Market_Data[[#This Row],[Concrete Intensity
(m³ / sq m)]],0)</f>
        <v>8000</v>
      </c>
      <c r="M2754" s="135">
        <f>_xlfn.XLOOKUP(Market_Data[[#This Row],[District]],tbl_district_price[District],tbl_district_price[Standard Price
(INR/m³)],"",0)</f>
        <v>5600</v>
      </c>
      <c r="N2754" s="364">
        <f>IF(OR(Market_Data[[#This Row],[Estimated Concrete Demand (m³)]]="",Market_Data[[#This Row],[Avg Price per (₹ / m³)]]=""),"",Market_Data[[#This Row],[Estimated Concrete Demand (m³)]]*Market_Data[[#This Row],[Avg Price per (₹ / m³)]]/10000000)</f>
        <v>4.4800000000000004</v>
      </c>
      <c r="O2754" s="97" t="str">
        <f>IF(Market_Data[[#This Row],[Estimated Concrete Demand (m³)]]="","",
IF(Market_Data[[#This Row],[Estimated Concrete Demand (m³)]]&lt;10000,"Small",
IF(Market_Data[[#This Row],[Estimated Concrete Demand (m³)]]&lt;25000,"Medium",
IF(Market_Data[[#This Row],[Estimated Concrete Demand (m³)]]&lt;100000,"Large","Mega"))))</f>
        <v>Small</v>
      </c>
      <c r="P2754" s="287" t="str">
        <f t="shared" si="44"/>
        <v>GujRERA</v>
      </c>
    </row>
    <row r="2755" spans="1:16">
      <c r="A2755" s="129" t="str">
        <f>_xlfn.XLOOKUP(B2755,$S$9:$S$14,$T$9:$T$14)&amp;"-"&amp;
IF(E2755="Residential/Group Housing","RES",
IF(E2755="Commercial","COM",
IF(E2755="Mixed Development","MIX",
IF(E2755="Plotted Development","PLT","OTH"))))
&amp;"-"&amp;TEXT(COUNTIFS($B$9:B2755,B2755,$E$9:E2755,E2755),"0000")</f>
        <v>VAL-MIX-0014</v>
      </c>
      <c r="B2755" s="322" t="s">
        <v>35</v>
      </c>
      <c r="C2755" s="322" t="s">
        <v>35</v>
      </c>
      <c r="D2755" s="323" t="s">
        <v>2944</v>
      </c>
      <c r="E2755" s="132" t="s">
        <v>25</v>
      </c>
      <c r="F2755" s="97" t="str">
        <f ca="1">IF(OR(Market_Data[[#This Row],[Start Date]]="",Market_Data[[#This Row],[Completion Date]]=""),"Needs Validation",IF(Market_Data[[#This Row],[Start Date]]&gt;TODAY(),"Planned",IF(Market_Data[[#This Row],[Completion Date]]&lt;TODAY(),"Completed","Ongoing")))</f>
        <v>Completed</v>
      </c>
      <c r="G2755" s="324">
        <v>44161</v>
      </c>
      <c r="H2755" s="324">
        <v>45657</v>
      </c>
      <c r="I2755" s="325">
        <v>9000</v>
      </c>
      <c r="J275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755" s="133">
        <f>_xlfn.XLOOKUP(Market_Data[[#This Row],[Project Type]],tbl_assumptions_market[Project Category (RERA)],tbl_assumptions_market[Concrete Intensity
(m³ / sq m BUA)],"",0)</f>
        <v>0.42</v>
      </c>
      <c r="L2755" s="134">
        <f>ROUND(Market_Data[[#This Row],[Estimated Built Up Area (sq m)]]*Market_Data[[#This Row],[Concrete Intensity
(m³ / sq m)]],0)</f>
        <v>3780</v>
      </c>
      <c r="M2755" s="135">
        <f>_xlfn.XLOOKUP(Market_Data[[#This Row],[District]],tbl_district_price[District],tbl_district_price[Standard Price
(INR/m³)],"",0)</f>
        <v>5600</v>
      </c>
      <c r="N2755" s="364">
        <f>IF(OR(Market_Data[[#This Row],[Estimated Concrete Demand (m³)]]="",Market_Data[[#This Row],[Avg Price per (₹ / m³)]]=""),"",Market_Data[[#This Row],[Estimated Concrete Demand (m³)]]*Market_Data[[#This Row],[Avg Price per (₹ / m³)]]/10000000)</f>
        <v>2.1168</v>
      </c>
      <c r="O2755" s="97" t="str">
        <f>IF(Market_Data[[#This Row],[Estimated Concrete Demand (m³)]]="","",
IF(Market_Data[[#This Row],[Estimated Concrete Demand (m³)]]&lt;10000,"Small",
IF(Market_Data[[#This Row],[Estimated Concrete Demand (m³)]]&lt;25000,"Medium",
IF(Market_Data[[#This Row],[Estimated Concrete Demand (m³)]]&lt;100000,"Large","Mega"))))</f>
        <v>Small</v>
      </c>
      <c r="P2755" s="287" t="str">
        <f t="shared" si="44"/>
        <v>GujRERA</v>
      </c>
    </row>
    <row r="2756" spans="1:16">
      <c r="A2756" s="129" t="str">
        <f>_xlfn.XLOOKUP(B2756,$S$9:$S$14,$T$9:$T$14)&amp;"-"&amp;
IF(E2756="Residential/Group Housing","RES",
IF(E2756="Commercial","COM",
IF(E2756="Mixed Development","MIX",
IF(E2756="Plotted Development","PLT","OTH"))))
&amp;"-"&amp;TEXT(COUNTIFS($B$9:B2756,B2756,$E$9:E2756,E2756),"0000")</f>
        <v>VAL-MIX-0015</v>
      </c>
      <c r="B2756" s="322" t="s">
        <v>35</v>
      </c>
      <c r="C2756" s="322" t="s">
        <v>35</v>
      </c>
      <c r="D2756" s="323" t="s">
        <v>2945</v>
      </c>
      <c r="E2756" s="132" t="s">
        <v>25</v>
      </c>
      <c r="F2756" s="97" t="str">
        <f ca="1">IF(OR(Market_Data[[#This Row],[Start Date]]="",Market_Data[[#This Row],[Completion Date]]=""),"Needs Validation",IF(Market_Data[[#This Row],[Start Date]]&gt;TODAY(),"Planned",IF(Market_Data[[#This Row],[Completion Date]]&lt;TODAY(),"Completed","Ongoing")))</f>
        <v>Completed</v>
      </c>
      <c r="G2756" s="324">
        <v>44378</v>
      </c>
      <c r="H2756" s="324">
        <v>45291</v>
      </c>
      <c r="I2756" s="325">
        <v>38300</v>
      </c>
      <c r="J275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56" s="133">
        <f>_xlfn.XLOOKUP(Market_Data[[#This Row],[Project Type]],tbl_assumptions_market[Project Category (RERA)],tbl_assumptions_market[Concrete Intensity
(m³ / sq m BUA)],"",0)</f>
        <v>0.42</v>
      </c>
      <c r="L2756" s="134">
        <f>ROUND(Market_Data[[#This Row],[Estimated Built Up Area (sq m)]]*Market_Data[[#This Row],[Concrete Intensity
(m³ / sq m)]],0)</f>
        <v>16086</v>
      </c>
      <c r="M2756" s="135">
        <f>_xlfn.XLOOKUP(Market_Data[[#This Row],[District]],tbl_district_price[District],tbl_district_price[Standard Price
(INR/m³)],"",0)</f>
        <v>5600</v>
      </c>
      <c r="N2756" s="364">
        <f>IF(OR(Market_Data[[#This Row],[Estimated Concrete Demand (m³)]]="",Market_Data[[#This Row],[Avg Price per (₹ / m³)]]=""),"",Market_Data[[#This Row],[Estimated Concrete Demand (m³)]]*Market_Data[[#This Row],[Avg Price per (₹ / m³)]]/10000000)</f>
        <v>9.0081600000000002</v>
      </c>
      <c r="O2756" s="97" t="str">
        <f>IF(Market_Data[[#This Row],[Estimated Concrete Demand (m³)]]="","",
IF(Market_Data[[#This Row],[Estimated Concrete Demand (m³)]]&lt;10000,"Small",
IF(Market_Data[[#This Row],[Estimated Concrete Demand (m³)]]&lt;25000,"Medium",
IF(Market_Data[[#This Row],[Estimated Concrete Demand (m³)]]&lt;100000,"Large","Mega"))))</f>
        <v>Medium</v>
      </c>
      <c r="P2756" s="287" t="str">
        <f t="shared" si="44"/>
        <v>GujRERA</v>
      </c>
    </row>
    <row r="2757" spans="1:16">
      <c r="A2757" s="129" t="str">
        <f>_xlfn.XLOOKUP(B2757,$S$9:$S$14,$T$9:$T$14)&amp;"-"&amp;
IF(E2757="Residential/Group Housing","RES",
IF(E2757="Commercial","COM",
IF(E2757="Mixed Development","MIX",
IF(E2757="Plotted Development","PLT","OTH"))))
&amp;"-"&amp;TEXT(COUNTIFS($B$9:B2757,B2757,$E$9:E2757,E2757),"0000")</f>
        <v>VAL-MIX-0016</v>
      </c>
      <c r="B2757" s="322" t="s">
        <v>35</v>
      </c>
      <c r="C2757" s="322" t="s">
        <v>35</v>
      </c>
      <c r="D2757" s="323" t="s">
        <v>2946</v>
      </c>
      <c r="E2757" s="132" t="s">
        <v>25</v>
      </c>
      <c r="F2757" s="97" t="str">
        <f ca="1">IF(OR(Market_Data[[#This Row],[Start Date]]="",Market_Data[[#This Row],[Completion Date]]=""),"Needs Validation",IF(Market_Data[[#This Row],[Start Date]]&gt;TODAY(),"Planned",IF(Market_Data[[#This Row],[Completion Date]]&lt;TODAY(),"Completed","Ongoing")))</f>
        <v>Ongoing</v>
      </c>
      <c r="G2757" s="324">
        <v>45031</v>
      </c>
      <c r="H2757" s="324">
        <v>47118</v>
      </c>
      <c r="I2757" s="325">
        <v>61700</v>
      </c>
      <c r="J275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57" s="133">
        <f>_xlfn.XLOOKUP(Market_Data[[#This Row],[Project Type]],tbl_assumptions_market[Project Category (RERA)],tbl_assumptions_market[Concrete Intensity
(m³ / sq m BUA)],"",0)</f>
        <v>0.42</v>
      </c>
      <c r="L2757" s="134">
        <f>ROUND(Market_Data[[#This Row],[Estimated Built Up Area (sq m)]]*Market_Data[[#This Row],[Concrete Intensity
(m³ / sq m)]],0)</f>
        <v>25914</v>
      </c>
      <c r="M2757" s="135">
        <f>_xlfn.XLOOKUP(Market_Data[[#This Row],[District]],tbl_district_price[District],tbl_district_price[Standard Price
(INR/m³)],"",0)</f>
        <v>5600</v>
      </c>
      <c r="N2757" s="364">
        <f>IF(OR(Market_Data[[#This Row],[Estimated Concrete Demand (m³)]]="",Market_Data[[#This Row],[Avg Price per (₹ / m³)]]=""),"",Market_Data[[#This Row],[Estimated Concrete Demand (m³)]]*Market_Data[[#This Row],[Avg Price per (₹ / m³)]]/10000000)</f>
        <v>14.511839999999999</v>
      </c>
      <c r="O2757" s="97" t="str">
        <f>IF(Market_Data[[#This Row],[Estimated Concrete Demand (m³)]]="","",
IF(Market_Data[[#This Row],[Estimated Concrete Demand (m³)]]&lt;10000,"Small",
IF(Market_Data[[#This Row],[Estimated Concrete Demand (m³)]]&lt;25000,"Medium",
IF(Market_Data[[#This Row],[Estimated Concrete Demand (m³)]]&lt;100000,"Large","Mega"))))</f>
        <v>Large</v>
      </c>
      <c r="P2757" s="287" t="str">
        <f t="shared" si="44"/>
        <v>GujRERA</v>
      </c>
    </row>
    <row r="2758" spans="1:16">
      <c r="A2758" s="129" t="str">
        <f>_xlfn.XLOOKUP(B2758,$S$9:$S$14,$T$9:$T$14)&amp;"-"&amp;
IF(E2758="Residential/Group Housing","RES",
IF(E2758="Commercial","COM",
IF(E2758="Mixed Development","MIX",
IF(E2758="Plotted Development","PLT","OTH"))))
&amp;"-"&amp;TEXT(COUNTIFS($B$9:B2758,B2758,$E$9:E2758,E2758),"0000")</f>
        <v>VAL-MIX-0017</v>
      </c>
      <c r="B2758" s="322" t="s">
        <v>35</v>
      </c>
      <c r="C2758" s="322" t="s">
        <v>35</v>
      </c>
      <c r="D2758" s="323" t="s">
        <v>2947</v>
      </c>
      <c r="E2758" s="132" t="s">
        <v>25</v>
      </c>
      <c r="F2758" s="97" t="str">
        <f ca="1">IF(OR(Market_Data[[#This Row],[Start Date]]="",Market_Data[[#This Row],[Completion Date]]=""),"Needs Validation",IF(Market_Data[[#This Row],[Start Date]]&gt;TODAY(),"Planned",IF(Market_Data[[#This Row],[Completion Date]]&lt;TODAY(),"Completed","Ongoing")))</f>
        <v>Ongoing</v>
      </c>
      <c r="G2758" s="324">
        <v>45245</v>
      </c>
      <c r="H2758" s="324">
        <v>47118</v>
      </c>
      <c r="I2758" s="325">
        <v>8200</v>
      </c>
      <c r="J275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758" s="133">
        <f>_xlfn.XLOOKUP(Market_Data[[#This Row],[Project Type]],tbl_assumptions_market[Project Category (RERA)],tbl_assumptions_market[Concrete Intensity
(m³ / sq m BUA)],"",0)</f>
        <v>0.42</v>
      </c>
      <c r="L2758" s="134">
        <f>ROUND(Market_Data[[#This Row],[Estimated Built Up Area (sq m)]]*Market_Data[[#This Row],[Concrete Intensity
(m³ / sq m)]],0)</f>
        <v>3444</v>
      </c>
      <c r="M2758" s="135">
        <f>_xlfn.XLOOKUP(Market_Data[[#This Row],[District]],tbl_district_price[District],tbl_district_price[Standard Price
(INR/m³)],"",0)</f>
        <v>5600</v>
      </c>
      <c r="N2758" s="364">
        <f>IF(OR(Market_Data[[#This Row],[Estimated Concrete Demand (m³)]]="",Market_Data[[#This Row],[Avg Price per (₹ / m³)]]=""),"",Market_Data[[#This Row],[Estimated Concrete Demand (m³)]]*Market_Data[[#This Row],[Avg Price per (₹ / m³)]]/10000000)</f>
        <v>1.9286399999999999</v>
      </c>
      <c r="O2758" s="97" t="str">
        <f>IF(Market_Data[[#This Row],[Estimated Concrete Demand (m³)]]="","",
IF(Market_Data[[#This Row],[Estimated Concrete Demand (m³)]]&lt;10000,"Small",
IF(Market_Data[[#This Row],[Estimated Concrete Demand (m³)]]&lt;25000,"Medium",
IF(Market_Data[[#This Row],[Estimated Concrete Demand (m³)]]&lt;100000,"Large","Mega"))))</f>
        <v>Small</v>
      </c>
      <c r="P2758" s="287" t="str">
        <f t="shared" si="44"/>
        <v>GujRERA</v>
      </c>
    </row>
    <row r="2759" spans="1:16">
      <c r="A2759" s="129" t="str">
        <f>_xlfn.XLOOKUP(B2759,$S$9:$S$14,$T$9:$T$14)&amp;"-"&amp;
IF(E2759="Residential/Group Housing","RES",
IF(E2759="Commercial","COM",
IF(E2759="Mixed Development","MIX",
IF(E2759="Plotted Development","PLT","OTH"))))
&amp;"-"&amp;TEXT(COUNTIFS($B$9:B2759,B2759,$E$9:E2759,E2759),"0000")</f>
        <v>VAL-MIX-0018</v>
      </c>
      <c r="B2759" s="322" t="s">
        <v>35</v>
      </c>
      <c r="C2759" s="322" t="s">
        <v>35</v>
      </c>
      <c r="D2759" s="323" t="s">
        <v>2948</v>
      </c>
      <c r="E2759" s="132" t="s">
        <v>25</v>
      </c>
      <c r="F2759" s="97" t="str">
        <f ca="1">IF(OR(Market_Data[[#This Row],[Start Date]]="",Market_Data[[#This Row],[Completion Date]]=""),"Needs Validation",IF(Market_Data[[#This Row],[Start Date]]&gt;TODAY(),"Planned",IF(Market_Data[[#This Row],[Completion Date]]&lt;TODAY(),"Completed","Ongoing")))</f>
        <v>Ongoing</v>
      </c>
      <c r="G2759" s="324">
        <v>45139</v>
      </c>
      <c r="H2759" s="324">
        <v>46752</v>
      </c>
      <c r="I2759" s="325">
        <v>39000</v>
      </c>
      <c r="J275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59" s="133">
        <f>_xlfn.XLOOKUP(Market_Data[[#This Row],[Project Type]],tbl_assumptions_market[Project Category (RERA)],tbl_assumptions_market[Concrete Intensity
(m³ / sq m BUA)],"",0)</f>
        <v>0.42</v>
      </c>
      <c r="L2759" s="134">
        <f>ROUND(Market_Data[[#This Row],[Estimated Built Up Area (sq m)]]*Market_Data[[#This Row],[Concrete Intensity
(m³ / sq m)]],0)</f>
        <v>16380</v>
      </c>
      <c r="M2759" s="135">
        <f>_xlfn.XLOOKUP(Market_Data[[#This Row],[District]],tbl_district_price[District],tbl_district_price[Standard Price
(INR/m³)],"",0)</f>
        <v>5600</v>
      </c>
      <c r="N2759" s="364">
        <f>IF(OR(Market_Data[[#This Row],[Estimated Concrete Demand (m³)]]="",Market_Data[[#This Row],[Avg Price per (₹ / m³)]]=""),"",Market_Data[[#This Row],[Estimated Concrete Demand (m³)]]*Market_Data[[#This Row],[Avg Price per (₹ / m³)]]/10000000)</f>
        <v>9.1728000000000005</v>
      </c>
      <c r="O2759" s="97" t="str">
        <f>IF(Market_Data[[#This Row],[Estimated Concrete Demand (m³)]]="","",
IF(Market_Data[[#This Row],[Estimated Concrete Demand (m³)]]&lt;10000,"Small",
IF(Market_Data[[#This Row],[Estimated Concrete Demand (m³)]]&lt;25000,"Medium",
IF(Market_Data[[#This Row],[Estimated Concrete Demand (m³)]]&lt;100000,"Large","Mega"))))</f>
        <v>Medium</v>
      </c>
      <c r="P2759" s="287" t="str">
        <f t="shared" si="44"/>
        <v>GujRERA</v>
      </c>
    </row>
    <row r="2760" spans="1:16">
      <c r="A2760" s="129" t="str">
        <f>_xlfn.XLOOKUP(B2760,$S$9:$S$14,$T$9:$T$14)&amp;"-"&amp;
IF(E2760="Residential/Group Housing","RES",
IF(E2760="Commercial","COM",
IF(E2760="Mixed Development","MIX",
IF(E2760="Plotted Development","PLT","OTH"))))
&amp;"-"&amp;TEXT(COUNTIFS($B$9:B2760,B2760,$E$9:E2760,E2760),"0000")</f>
        <v>VAL-MIX-0019</v>
      </c>
      <c r="B2760" s="322" t="s">
        <v>35</v>
      </c>
      <c r="C2760" s="322" t="s">
        <v>35</v>
      </c>
      <c r="D2760" s="323" t="s">
        <v>2949</v>
      </c>
      <c r="E2760" s="132" t="s">
        <v>25</v>
      </c>
      <c r="F2760" s="97" t="str">
        <f ca="1">IF(OR(Market_Data[[#This Row],[Start Date]]="",Market_Data[[#This Row],[Completion Date]]=""),"Needs Validation",IF(Market_Data[[#This Row],[Start Date]]&gt;TODAY(),"Planned",IF(Market_Data[[#This Row],[Completion Date]]&lt;TODAY(),"Completed","Ongoing")))</f>
        <v>Ongoing</v>
      </c>
      <c r="G2760" s="324">
        <v>44655</v>
      </c>
      <c r="H2760" s="324">
        <v>46387</v>
      </c>
      <c r="I2760" s="325">
        <v>21500</v>
      </c>
      <c r="J276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60" s="133">
        <f>_xlfn.XLOOKUP(Market_Data[[#This Row],[Project Type]],tbl_assumptions_market[Project Category (RERA)],tbl_assumptions_market[Concrete Intensity
(m³ / sq m BUA)],"",0)</f>
        <v>0.42</v>
      </c>
      <c r="L2760" s="134">
        <f>ROUND(Market_Data[[#This Row],[Estimated Built Up Area (sq m)]]*Market_Data[[#This Row],[Concrete Intensity
(m³ / sq m)]],0)</f>
        <v>9030</v>
      </c>
      <c r="M2760" s="135">
        <f>_xlfn.XLOOKUP(Market_Data[[#This Row],[District]],tbl_district_price[District],tbl_district_price[Standard Price
(INR/m³)],"",0)</f>
        <v>5600</v>
      </c>
      <c r="N2760" s="364">
        <f>IF(OR(Market_Data[[#This Row],[Estimated Concrete Demand (m³)]]="",Market_Data[[#This Row],[Avg Price per (₹ / m³)]]=""),"",Market_Data[[#This Row],[Estimated Concrete Demand (m³)]]*Market_Data[[#This Row],[Avg Price per (₹ / m³)]]/10000000)</f>
        <v>5.0568</v>
      </c>
      <c r="O2760" s="97" t="str">
        <f>IF(Market_Data[[#This Row],[Estimated Concrete Demand (m³)]]="","",
IF(Market_Data[[#This Row],[Estimated Concrete Demand (m³)]]&lt;10000,"Small",
IF(Market_Data[[#This Row],[Estimated Concrete Demand (m³)]]&lt;25000,"Medium",
IF(Market_Data[[#This Row],[Estimated Concrete Demand (m³)]]&lt;100000,"Large","Mega"))))</f>
        <v>Small</v>
      </c>
      <c r="P2760" s="287" t="str">
        <f t="shared" si="44"/>
        <v>GujRERA</v>
      </c>
    </row>
    <row r="2761" spans="1:16">
      <c r="A2761" s="129" t="str">
        <f>_xlfn.XLOOKUP(B2761,$S$9:$S$14,$T$9:$T$14)&amp;"-"&amp;
IF(E2761="Residential/Group Housing","RES",
IF(E2761="Commercial","COM",
IF(E2761="Mixed Development","MIX",
IF(E2761="Plotted Development","PLT","OTH"))))
&amp;"-"&amp;TEXT(COUNTIFS($B$9:B2761,B2761,$E$9:E2761,E2761),"0000")</f>
        <v>VAL-MIX-0020</v>
      </c>
      <c r="B2761" s="322" t="s">
        <v>35</v>
      </c>
      <c r="C2761" s="322" t="s">
        <v>35</v>
      </c>
      <c r="D2761" s="323" t="s">
        <v>2950</v>
      </c>
      <c r="E2761" s="132" t="s">
        <v>25</v>
      </c>
      <c r="F2761" s="97" t="str">
        <f ca="1">IF(OR(Market_Data[[#This Row],[Start Date]]="",Market_Data[[#This Row],[Completion Date]]=""),"Needs Validation",IF(Market_Data[[#This Row],[Start Date]]&gt;TODAY(),"Planned",IF(Market_Data[[#This Row],[Completion Date]]&lt;TODAY(),"Completed","Ongoing")))</f>
        <v>Completed</v>
      </c>
      <c r="G2761" s="324">
        <v>43862</v>
      </c>
      <c r="H2761" s="324">
        <v>45473</v>
      </c>
      <c r="I2761" s="325">
        <v>16300</v>
      </c>
      <c r="J276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61" s="133">
        <f>_xlfn.XLOOKUP(Market_Data[[#This Row],[Project Type]],tbl_assumptions_market[Project Category (RERA)],tbl_assumptions_market[Concrete Intensity
(m³ / sq m BUA)],"",0)</f>
        <v>0.42</v>
      </c>
      <c r="L2761" s="134">
        <f>ROUND(Market_Data[[#This Row],[Estimated Built Up Area (sq m)]]*Market_Data[[#This Row],[Concrete Intensity
(m³ / sq m)]],0)</f>
        <v>6846</v>
      </c>
      <c r="M2761" s="135">
        <f>_xlfn.XLOOKUP(Market_Data[[#This Row],[District]],tbl_district_price[District],tbl_district_price[Standard Price
(INR/m³)],"",0)</f>
        <v>5600</v>
      </c>
      <c r="N2761" s="364">
        <f>IF(OR(Market_Data[[#This Row],[Estimated Concrete Demand (m³)]]="",Market_Data[[#This Row],[Avg Price per (₹ / m³)]]=""),"",Market_Data[[#This Row],[Estimated Concrete Demand (m³)]]*Market_Data[[#This Row],[Avg Price per (₹ / m³)]]/10000000)</f>
        <v>3.8337599999999998</v>
      </c>
      <c r="O2761" s="97" t="str">
        <f>IF(Market_Data[[#This Row],[Estimated Concrete Demand (m³)]]="","",
IF(Market_Data[[#This Row],[Estimated Concrete Demand (m³)]]&lt;10000,"Small",
IF(Market_Data[[#This Row],[Estimated Concrete Demand (m³)]]&lt;25000,"Medium",
IF(Market_Data[[#This Row],[Estimated Concrete Demand (m³)]]&lt;100000,"Large","Mega"))))</f>
        <v>Small</v>
      </c>
      <c r="P2761" s="287" t="str">
        <f t="shared" si="44"/>
        <v>GujRERA</v>
      </c>
    </row>
    <row r="2762" spans="1:16">
      <c r="A2762" s="129" t="str">
        <f>_xlfn.XLOOKUP(B2762,$S$9:$S$14,$T$9:$T$14)&amp;"-"&amp;
IF(E2762="Residential/Group Housing","RES",
IF(E2762="Commercial","COM",
IF(E2762="Mixed Development","MIX",
IF(E2762="Plotted Development","PLT","OTH"))))
&amp;"-"&amp;TEXT(COUNTIFS($B$9:B2762,B2762,$E$9:E2762,E2762),"0000")</f>
        <v>VAL-RES-0011</v>
      </c>
      <c r="B2762" s="322" t="s">
        <v>35</v>
      </c>
      <c r="C2762" s="322" t="s">
        <v>35</v>
      </c>
      <c r="D2762" s="323" t="s">
        <v>2951</v>
      </c>
      <c r="E2762" s="132" t="s">
        <v>24</v>
      </c>
      <c r="F2762" s="97" t="str">
        <f ca="1">IF(OR(Market_Data[[#This Row],[Start Date]]="",Market_Data[[#This Row],[Completion Date]]=""),"Needs Validation",IF(Market_Data[[#This Row],[Start Date]]&gt;TODAY(),"Planned",IF(Market_Data[[#This Row],[Completion Date]]&lt;TODAY(),"Completed","Ongoing")))</f>
        <v>Completed</v>
      </c>
      <c r="G2762" s="324">
        <v>42278</v>
      </c>
      <c r="H2762" s="324">
        <v>43555</v>
      </c>
      <c r="I2762" s="325">
        <v>44800</v>
      </c>
      <c r="J276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62" s="133">
        <f>_xlfn.XLOOKUP(Market_Data[[#This Row],[Project Type]],tbl_assumptions_market[Project Category (RERA)],tbl_assumptions_market[Concrete Intensity
(m³ / sq m BUA)],"",0)</f>
        <v>0.45</v>
      </c>
      <c r="L2762" s="134">
        <f>ROUND(Market_Data[[#This Row],[Estimated Built Up Area (sq m)]]*Market_Data[[#This Row],[Concrete Intensity
(m³ / sq m)]],0)</f>
        <v>20160</v>
      </c>
      <c r="M2762" s="135">
        <f>_xlfn.XLOOKUP(Market_Data[[#This Row],[District]],tbl_district_price[District],tbl_district_price[Standard Price
(INR/m³)],"",0)</f>
        <v>5600</v>
      </c>
      <c r="N2762" s="364">
        <f>IF(OR(Market_Data[[#This Row],[Estimated Concrete Demand (m³)]]="",Market_Data[[#This Row],[Avg Price per (₹ / m³)]]=""),"",Market_Data[[#This Row],[Estimated Concrete Demand (m³)]]*Market_Data[[#This Row],[Avg Price per (₹ / m³)]]/10000000)</f>
        <v>11.2896</v>
      </c>
      <c r="O2762" s="97" t="str">
        <f>IF(Market_Data[[#This Row],[Estimated Concrete Demand (m³)]]="","",
IF(Market_Data[[#This Row],[Estimated Concrete Demand (m³)]]&lt;10000,"Small",
IF(Market_Data[[#This Row],[Estimated Concrete Demand (m³)]]&lt;25000,"Medium",
IF(Market_Data[[#This Row],[Estimated Concrete Demand (m³)]]&lt;100000,"Large","Mega"))))</f>
        <v>Medium</v>
      </c>
      <c r="P2762" s="287" t="str">
        <f t="shared" ref="P2762:P2825" si="45">HYPERLINK(
"https://gujrera.gujarat.gov.in",
"GujRERA")</f>
        <v>GujRERA</v>
      </c>
    </row>
    <row r="2763" spans="1:16">
      <c r="A2763" s="129" t="str">
        <f>_xlfn.XLOOKUP(B2763,$S$9:$S$14,$T$9:$T$14)&amp;"-"&amp;
IF(E2763="Residential/Group Housing","RES",
IF(E2763="Commercial","COM",
IF(E2763="Mixed Development","MIX",
IF(E2763="Plotted Development","PLT","OTH"))))
&amp;"-"&amp;TEXT(COUNTIFS($B$9:B2763,B2763,$E$9:E2763,E2763),"0000")</f>
        <v>VAL-RES-0012</v>
      </c>
      <c r="B2763" s="322" t="s">
        <v>35</v>
      </c>
      <c r="C2763" s="322" t="s">
        <v>35</v>
      </c>
      <c r="D2763" s="323" t="s">
        <v>2952</v>
      </c>
      <c r="E2763" s="132" t="s">
        <v>24</v>
      </c>
      <c r="F2763" s="97" t="str">
        <f ca="1">IF(OR(Market_Data[[#This Row],[Start Date]]="",Market_Data[[#This Row],[Completion Date]]=""),"Needs Validation",IF(Market_Data[[#This Row],[Start Date]]&gt;TODAY(),"Planned",IF(Market_Data[[#This Row],[Completion Date]]&lt;TODAY(),"Completed","Ongoing")))</f>
        <v>Completed</v>
      </c>
      <c r="G2763" s="324">
        <v>43497</v>
      </c>
      <c r="H2763" s="324">
        <v>45833</v>
      </c>
      <c r="I2763" s="325">
        <v>45900</v>
      </c>
      <c r="J276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63" s="133">
        <f>_xlfn.XLOOKUP(Market_Data[[#This Row],[Project Type]],tbl_assumptions_market[Project Category (RERA)],tbl_assumptions_market[Concrete Intensity
(m³ / sq m BUA)],"",0)</f>
        <v>0.45</v>
      </c>
      <c r="L2763" s="134">
        <f>ROUND(Market_Data[[#This Row],[Estimated Built Up Area (sq m)]]*Market_Data[[#This Row],[Concrete Intensity
(m³ / sq m)]],0)</f>
        <v>20655</v>
      </c>
      <c r="M2763" s="135">
        <f>_xlfn.XLOOKUP(Market_Data[[#This Row],[District]],tbl_district_price[District],tbl_district_price[Standard Price
(INR/m³)],"",0)</f>
        <v>5600</v>
      </c>
      <c r="N2763" s="364">
        <f>IF(OR(Market_Data[[#This Row],[Estimated Concrete Demand (m³)]]="",Market_Data[[#This Row],[Avg Price per (₹ / m³)]]=""),"",Market_Data[[#This Row],[Estimated Concrete Demand (m³)]]*Market_Data[[#This Row],[Avg Price per (₹ / m³)]]/10000000)</f>
        <v>11.566800000000001</v>
      </c>
      <c r="O2763" s="97" t="str">
        <f>IF(Market_Data[[#This Row],[Estimated Concrete Demand (m³)]]="","",
IF(Market_Data[[#This Row],[Estimated Concrete Demand (m³)]]&lt;10000,"Small",
IF(Market_Data[[#This Row],[Estimated Concrete Demand (m³)]]&lt;25000,"Medium",
IF(Market_Data[[#This Row],[Estimated Concrete Demand (m³)]]&lt;100000,"Large","Mega"))))</f>
        <v>Medium</v>
      </c>
      <c r="P2763" s="287" t="str">
        <f t="shared" si="45"/>
        <v>GujRERA</v>
      </c>
    </row>
    <row r="2764" spans="1:16">
      <c r="A2764" s="129" t="str">
        <f>_xlfn.XLOOKUP(B2764,$S$9:$S$14,$T$9:$T$14)&amp;"-"&amp;
IF(E2764="Residential/Group Housing","RES",
IF(E2764="Commercial","COM",
IF(E2764="Mixed Development","MIX",
IF(E2764="Plotted Development","PLT","OTH"))))
&amp;"-"&amp;TEXT(COUNTIFS($B$9:B2764,B2764,$E$9:E2764,E2764),"0000")</f>
        <v>VAL-MIX-0021</v>
      </c>
      <c r="B2764" s="322" t="s">
        <v>35</v>
      </c>
      <c r="C2764" s="322" t="s">
        <v>35</v>
      </c>
      <c r="D2764" s="323" t="s">
        <v>2953</v>
      </c>
      <c r="E2764" s="132" t="s">
        <v>25</v>
      </c>
      <c r="F2764" s="97" t="str">
        <f ca="1">IF(OR(Market_Data[[#This Row],[Start Date]]="",Market_Data[[#This Row],[Completion Date]]=""),"Needs Validation",IF(Market_Data[[#This Row],[Start Date]]&gt;TODAY(),"Planned",IF(Market_Data[[#This Row],[Completion Date]]&lt;TODAY(),"Completed","Ongoing")))</f>
        <v>Completed</v>
      </c>
      <c r="G2764" s="324">
        <v>41325</v>
      </c>
      <c r="H2764" s="324">
        <v>45107</v>
      </c>
      <c r="I2764" s="325">
        <v>93300</v>
      </c>
      <c r="J276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64" s="133">
        <f>_xlfn.XLOOKUP(Market_Data[[#This Row],[Project Type]],tbl_assumptions_market[Project Category (RERA)],tbl_assumptions_market[Concrete Intensity
(m³ / sq m BUA)],"",0)</f>
        <v>0.42</v>
      </c>
      <c r="L2764" s="134">
        <f>ROUND(Market_Data[[#This Row],[Estimated Built Up Area (sq m)]]*Market_Data[[#This Row],[Concrete Intensity
(m³ / sq m)]],0)</f>
        <v>39186</v>
      </c>
      <c r="M2764" s="135">
        <f>_xlfn.XLOOKUP(Market_Data[[#This Row],[District]],tbl_district_price[District],tbl_district_price[Standard Price
(INR/m³)],"",0)</f>
        <v>5600</v>
      </c>
      <c r="N2764" s="364">
        <f>IF(OR(Market_Data[[#This Row],[Estimated Concrete Demand (m³)]]="",Market_Data[[#This Row],[Avg Price per (₹ / m³)]]=""),"",Market_Data[[#This Row],[Estimated Concrete Demand (m³)]]*Market_Data[[#This Row],[Avg Price per (₹ / m³)]]/10000000)</f>
        <v>21.94416</v>
      </c>
      <c r="O2764" s="97" t="str">
        <f>IF(Market_Data[[#This Row],[Estimated Concrete Demand (m³)]]="","",
IF(Market_Data[[#This Row],[Estimated Concrete Demand (m³)]]&lt;10000,"Small",
IF(Market_Data[[#This Row],[Estimated Concrete Demand (m³)]]&lt;25000,"Medium",
IF(Market_Data[[#This Row],[Estimated Concrete Demand (m³)]]&lt;100000,"Large","Mega"))))</f>
        <v>Large</v>
      </c>
      <c r="P2764" s="287" t="str">
        <f t="shared" si="45"/>
        <v>GujRERA</v>
      </c>
    </row>
    <row r="2765" spans="1:16">
      <c r="A2765" s="129" t="str">
        <f>_xlfn.XLOOKUP(B2765,$S$9:$S$14,$T$9:$T$14)&amp;"-"&amp;
IF(E2765="Residential/Group Housing","RES",
IF(E2765="Commercial","COM",
IF(E2765="Mixed Development","MIX",
IF(E2765="Plotted Development","PLT","OTH"))))
&amp;"-"&amp;TEXT(COUNTIFS($B$9:B2765,B2765,$E$9:E2765,E2765),"0000")</f>
        <v>VAL-MIX-0022</v>
      </c>
      <c r="B2765" s="322" t="s">
        <v>35</v>
      </c>
      <c r="C2765" s="322" t="s">
        <v>35</v>
      </c>
      <c r="D2765" s="323" t="s">
        <v>2954</v>
      </c>
      <c r="E2765" s="132" t="s">
        <v>25</v>
      </c>
      <c r="F2765" s="97" t="str">
        <f ca="1">IF(OR(Market_Data[[#This Row],[Start Date]]="",Market_Data[[#This Row],[Completion Date]]=""),"Needs Validation",IF(Market_Data[[#This Row],[Start Date]]&gt;TODAY(),"Planned",IF(Market_Data[[#This Row],[Completion Date]]&lt;TODAY(),"Completed","Ongoing")))</f>
        <v>Ongoing</v>
      </c>
      <c r="G2765" s="324">
        <v>45580</v>
      </c>
      <c r="H2765" s="324">
        <v>47118</v>
      </c>
      <c r="I2765" s="325">
        <v>14600</v>
      </c>
      <c r="J276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65" s="133">
        <f>_xlfn.XLOOKUP(Market_Data[[#This Row],[Project Type]],tbl_assumptions_market[Project Category (RERA)],tbl_assumptions_market[Concrete Intensity
(m³ / sq m BUA)],"",0)</f>
        <v>0.42</v>
      </c>
      <c r="L2765" s="134">
        <f>ROUND(Market_Data[[#This Row],[Estimated Built Up Area (sq m)]]*Market_Data[[#This Row],[Concrete Intensity
(m³ / sq m)]],0)</f>
        <v>6132</v>
      </c>
      <c r="M2765" s="135">
        <f>_xlfn.XLOOKUP(Market_Data[[#This Row],[District]],tbl_district_price[District],tbl_district_price[Standard Price
(INR/m³)],"",0)</f>
        <v>5600</v>
      </c>
      <c r="N2765" s="364">
        <f>IF(OR(Market_Data[[#This Row],[Estimated Concrete Demand (m³)]]="",Market_Data[[#This Row],[Avg Price per (₹ / m³)]]=""),"",Market_Data[[#This Row],[Estimated Concrete Demand (m³)]]*Market_Data[[#This Row],[Avg Price per (₹ / m³)]]/10000000)</f>
        <v>3.4339200000000001</v>
      </c>
      <c r="O2765" s="97" t="str">
        <f>IF(Market_Data[[#This Row],[Estimated Concrete Demand (m³)]]="","",
IF(Market_Data[[#This Row],[Estimated Concrete Demand (m³)]]&lt;10000,"Small",
IF(Market_Data[[#This Row],[Estimated Concrete Demand (m³)]]&lt;25000,"Medium",
IF(Market_Data[[#This Row],[Estimated Concrete Demand (m³)]]&lt;100000,"Large","Mega"))))</f>
        <v>Small</v>
      </c>
      <c r="P2765" s="287" t="str">
        <f t="shared" si="45"/>
        <v>GujRERA</v>
      </c>
    </row>
    <row r="2766" spans="1:16">
      <c r="A2766" s="129" t="str">
        <f>_xlfn.XLOOKUP(B2766,$S$9:$S$14,$T$9:$T$14)&amp;"-"&amp;
IF(E2766="Residential/Group Housing","RES",
IF(E2766="Commercial","COM",
IF(E2766="Mixed Development","MIX",
IF(E2766="Plotted Development","PLT","OTH"))))
&amp;"-"&amp;TEXT(COUNTIFS($B$9:B2766,B2766,$E$9:E2766,E2766),"0000")</f>
        <v>VAL-RES-0013</v>
      </c>
      <c r="B2766" s="322" t="s">
        <v>35</v>
      </c>
      <c r="C2766" s="322" t="s">
        <v>35</v>
      </c>
      <c r="D2766" s="323" t="s">
        <v>2955</v>
      </c>
      <c r="E2766" s="132" t="s">
        <v>24</v>
      </c>
      <c r="F2766" s="97" t="str">
        <f ca="1">IF(OR(Market_Data[[#This Row],[Start Date]]="",Market_Data[[#This Row],[Completion Date]]=""),"Needs Validation",IF(Market_Data[[#This Row],[Start Date]]&gt;TODAY(),"Planned",IF(Market_Data[[#This Row],[Completion Date]]&lt;TODAY(),"Completed","Ongoing")))</f>
        <v>Ongoing</v>
      </c>
      <c r="G2766" s="324">
        <v>43849</v>
      </c>
      <c r="H2766" s="324">
        <v>46387</v>
      </c>
      <c r="I2766" s="325">
        <v>56200</v>
      </c>
      <c r="J276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66" s="133">
        <f>_xlfn.XLOOKUP(Market_Data[[#This Row],[Project Type]],tbl_assumptions_market[Project Category (RERA)],tbl_assumptions_market[Concrete Intensity
(m³ / sq m BUA)],"",0)</f>
        <v>0.45</v>
      </c>
      <c r="L2766" s="134">
        <f>ROUND(Market_Data[[#This Row],[Estimated Built Up Area (sq m)]]*Market_Data[[#This Row],[Concrete Intensity
(m³ / sq m)]],0)</f>
        <v>25290</v>
      </c>
      <c r="M2766" s="135">
        <f>_xlfn.XLOOKUP(Market_Data[[#This Row],[District]],tbl_district_price[District],tbl_district_price[Standard Price
(INR/m³)],"",0)</f>
        <v>5600</v>
      </c>
      <c r="N2766" s="364">
        <f>IF(OR(Market_Data[[#This Row],[Estimated Concrete Demand (m³)]]="",Market_Data[[#This Row],[Avg Price per (₹ / m³)]]=""),"",Market_Data[[#This Row],[Estimated Concrete Demand (m³)]]*Market_Data[[#This Row],[Avg Price per (₹ / m³)]]/10000000)</f>
        <v>14.1624</v>
      </c>
      <c r="O2766" s="97" t="str">
        <f>IF(Market_Data[[#This Row],[Estimated Concrete Demand (m³)]]="","",
IF(Market_Data[[#This Row],[Estimated Concrete Demand (m³)]]&lt;10000,"Small",
IF(Market_Data[[#This Row],[Estimated Concrete Demand (m³)]]&lt;25000,"Medium",
IF(Market_Data[[#This Row],[Estimated Concrete Demand (m³)]]&lt;100000,"Large","Mega"))))</f>
        <v>Large</v>
      </c>
      <c r="P2766" s="287" t="str">
        <f t="shared" si="45"/>
        <v>GujRERA</v>
      </c>
    </row>
    <row r="2767" spans="1:16">
      <c r="A2767" s="129" t="str">
        <f>_xlfn.XLOOKUP(B2767,$S$9:$S$14,$T$9:$T$14)&amp;"-"&amp;
IF(E2767="Residential/Group Housing","RES",
IF(E2767="Commercial","COM",
IF(E2767="Mixed Development","MIX",
IF(E2767="Plotted Development","PLT","OTH"))))
&amp;"-"&amp;TEXT(COUNTIFS($B$9:B2767,B2767,$E$9:E2767,E2767),"0000")</f>
        <v>VAL-MIX-0023</v>
      </c>
      <c r="B2767" s="322" t="s">
        <v>35</v>
      </c>
      <c r="C2767" s="322" t="s">
        <v>35</v>
      </c>
      <c r="D2767" s="323" t="s">
        <v>2956</v>
      </c>
      <c r="E2767" s="132" t="s">
        <v>25</v>
      </c>
      <c r="F2767" s="97" t="str">
        <f ca="1">IF(OR(Market_Data[[#This Row],[Start Date]]="",Market_Data[[#This Row],[Completion Date]]=""),"Needs Validation",IF(Market_Data[[#This Row],[Start Date]]&gt;TODAY(),"Planned",IF(Market_Data[[#This Row],[Completion Date]]&lt;TODAY(),"Completed","Ongoing")))</f>
        <v>Ongoing</v>
      </c>
      <c r="G2767" s="324">
        <v>45092</v>
      </c>
      <c r="H2767" s="324">
        <v>47483</v>
      </c>
      <c r="I2767" s="325">
        <v>3800</v>
      </c>
      <c r="J276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767" s="133">
        <f>_xlfn.XLOOKUP(Market_Data[[#This Row],[Project Type]],tbl_assumptions_market[Project Category (RERA)],tbl_assumptions_market[Concrete Intensity
(m³ / sq m BUA)],"",0)</f>
        <v>0.42</v>
      </c>
      <c r="L2767" s="134">
        <f>ROUND(Market_Data[[#This Row],[Estimated Built Up Area (sq m)]]*Market_Data[[#This Row],[Concrete Intensity
(m³ / sq m)]],0)</f>
        <v>1596</v>
      </c>
      <c r="M2767" s="135">
        <f>_xlfn.XLOOKUP(Market_Data[[#This Row],[District]],tbl_district_price[District],tbl_district_price[Standard Price
(INR/m³)],"",0)</f>
        <v>5600</v>
      </c>
      <c r="N2767" s="364">
        <f>IF(OR(Market_Data[[#This Row],[Estimated Concrete Demand (m³)]]="",Market_Data[[#This Row],[Avg Price per (₹ / m³)]]=""),"",Market_Data[[#This Row],[Estimated Concrete Demand (m³)]]*Market_Data[[#This Row],[Avg Price per (₹ / m³)]]/10000000)</f>
        <v>0.89376</v>
      </c>
      <c r="O2767" s="97" t="str">
        <f>IF(Market_Data[[#This Row],[Estimated Concrete Demand (m³)]]="","",
IF(Market_Data[[#This Row],[Estimated Concrete Demand (m³)]]&lt;10000,"Small",
IF(Market_Data[[#This Row],[Estimated Concrete Demand (m³)]]&lt;25000,"Medium",
IF(Market_Data[[#This Row],[Estimated Concrete Demand (m³)]]&lt;100000,"Large","Mega"))))</f>
        <v>Small</v>
      </c>
      <c r="P2767" s="287" t="str">
        <f t="shared" si="45"/>
        <v>GujRERA</v>
      </c>
    </row>
    <row r="2768" spans="1:16">
      <c r="A2768" s="129" t="str">
        <f>_xlfn.XLOOKUP(B2768,$S$9:$S$14,$T$9:$T$14)&amp;"-"&amp;
IF(E2768="Residential/Group Housing","RES",
IF(E2768="Commercial","COM",
IF(E2768="Mixed Development","MIX",
IF(E2768="Plotted Development","PLT","OTH"))))
&amp;"-"&amp;TEXT(COUNTIFS($B$9:B2768,B2768,$E$9:E2768,E2768),"0000")</f>
        <v>VAL-COM-0007</v>
      </c>
      <c r="B2768" s="322" t="s">
        <v>35</v>
      </c>
      <c r="C2768" s="322" t="s">
        <v>35</v>
      </c>
      <c r="D2768" s="323" t="s">
        <v>2957</v>
      </c>
      <c r="E2768" s="132" t="s">
        <v>23</v>
      </c>
      <c r="F2768" s="97" t="str">
        <f ca="1">IF(OR(Market_Data[[#This Row],[Start Date]]="",Market_Data[[#This Row],[Completion Date]]=""),"Needs Validation",IF(Market_Data[[#This Row],[Start Date]]&gt;TODAY(),"Planned",IF(Market_Data[[#This Row],[Completion Date]]&lt;TODAY(),"Completed","Ongoing")))</f>
        <v>Completed</v>
      </c>
      <c r="G2768" s="324">
        <v>43208</v>
      </c>
      <c r="H2768" s="324">
        <v>44487</v>
      </c>
      <c r="I2768" s="325">
        <v>4600</v>
      </c>
      <c r="J276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68" s="133">
        <f>_xlfn.XLOOKUP(Market_Data[[#This Row],[Project Type]],tbl_assumptions_market[Project Category (RERA)],tbl_assumptions_market[Concrete Intensity
(m³ / sq m BUA)],"",0)</f>
        <v>0.5</v>
      </c>
      <c r="L2768" s="134">
        <f>ROUND(Market_Data[[#This Row],[Estimated Built Up Area (sq m)]]*Market_Data[[#This Row],[Concrete Intensity
(m³ / sq m)]],0)</f>
        <v>2300</v>
      </c>
      <c r="M2768" s="135">
        <f>_xlfn.XLOOKUP(Market_Data[[#This Row],[District]],tbl_district_price[District],tbl_district_price[Standard Price
(INR/m³)],"",0)</f>
        <v>5600</v>
      </c>
      <c r="N2768" s="364">
        <f>IF(OR(Market_Data[[#This Row],[Estimated Concrete Demand (m³)]]="",Market_Data[[#This Row],[Avg Price per (₹ / m³)]]=""),"",Market_Data[[#This Row],[Estimated Concrete Demand (m³)]]*Market_Data[[#This Row],[Avg Price per (₹ / m³)]]/10000000)</f>
        <v>1.288</v>
      </c>
      <c r="O2768" s="97" t="str">
        <f>IF(Market_Data[[#This Row],[Estimated Concrete Demand (m³)]]="","",
IF(Market_Data[[#This Row],[Estimated Concrete Demand (m³)]]&lt;10000,"Small",
IF(Market_Data[[#This Row],[Estimated Concrete Demand (m³)]]&lt;25000,"Medium",
IF(Market_Data[[#This Row],[Estimated Concrete Demand (m³)]]&lt;100000,"Large","Mega"))))</f>
        <v>Small</v>
      </c>
      <c r="P2768" s="287" t="str">
        <f t="shared" si="45"/>
        <v>GujRERA</v>
      </c>
    </row>
    <row r="2769" spans="1:16">
      <c r="A2769" s="129" t="str">
        <f>_xlfn.XLOOKUP(B2769,$S$9:$S$14,$T$9:$T$14)&amp;"-"&amp;
IF(E2769="Residential/Group Housing","RES",
IF(E2769="Commercial","COM",
IF(E2769="Mixed Development","MIX",
IF(E2769="Plotted Development","PLT","OTH"))))
&amp;"-"&amp;TEXT(COUNTIFS($B$9:B2769,B2769,$E$9:E2769,E2769),"0000")</f>
        <v>VAL-MIX-0024</v>
      </c>
      <c r="B2769" s="322" t="s">
        <v>35</v>
      </c>
      <c r="C2769" s="322" t="s">
        <v>35</v>
      </c>
      <c r="D2769" s="323" t="s">
        <v>2958</v>
      </c>
      <c r="E2769" s="132" t="s">
        <v>25</v>
      </c>
      <c r="F2769" s="97" t="str">
        <f ca="1">IF(OR(Market_Data[[#This Row],[Start Date]]="",Market_Data[[#This Row],[Completion Date]]=""),"Needs Validation",IF(Market_Data[[#This Row],[Start Date]]&gt;TODAY(),"Planned",IF(Market_Data[[#This Row],[Completion Date]]&lt;TODAY(),"Completed","Ongoing")))</f>
        <v>Completed</v>
      </c>
      <c r="G2769" s="324">
        <v>44462</v>
      </c>
      <c r="H2769" s="324">
        <v>46022</v>
      </c>
      <c r="I2769" s="325">
        <v>12600</v>
      </c>
      <c r="J276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69" s="133">
        <f>_xlfn.XLOOKUP(Market_Data[[#This Row],[Project Type]],tbl_assumptions_market[Project Category (RERA)],tbl_assumptions_market[Concrete Intensity
(m³ / sq m BUA)],"",0)</f>
        <v>0.42</v>
      </c>
      <c r="L2769" s="134">
        <f>ROUND(Market_Data[[#This Row],[Estimated Built Up Area (sq m)]]*Market_Data[[#This Row],[Concrete Intensity
(m³ / sq m)]],0)</f>
        <v>5292</v>
      </c>
      <c r="M2769" s="135">
        <f>_xlfn.XLOOKUP(Market_Data[[#This Row],[District]],tbl_district_price[District],tbl_district_price[Standard Price
(INR/m³)],"",0)</f>
        <v>5600</v>
      </c>
      <c r="N2769" s="364">
        <f>IF(OR(Market_Data[[#This Row],[Estimated Concrete Demand (m³)]]="",Market_Data[[#This Row],[Avg Price per (₹ / m³)]]=""),"",Market_Data[[#This Row],[Estimated Concrete Demand (m³)]]*Market_Data[[#This Row],[Avg Price per (₹ / m³)]]/10000000)</f>
        <v>2.9635199999999999</v>
      </c>
      <c r="O2769" s="97" t="str">
        <f>IF(Market_Data[[#This Row],[Estimated Concrete Demand (m³)]]="","",
IF(Market_Data[[#This Row],[Estimated Concrete Demand (m³)]]&lt;10000,"Small",
IF(Market_Data[[#This Row],[Estimated Concrete Demand (m³)]]&lt;25000,"Medium",
IF(Market_Data[[#This Row],[Estimated Concrete Demand (m³)]]&lt;100000,"Large","Mega"))))</f>
        <v>Small</v>
      </c>
      <c r="P2769" s="287" t="str">
        <f t="shared" si="45"/>
        <v>GujRERA</v>
      </c>
    </row>
    <row r="2770" spans="1:16">
      <c r="A2770" s="129" t="str">
        <f>_xlfn.XLOOKUP(B2770,$S$9:$S$14,$T$9:$T$14)&amp;"-"&amp;
IF(E2770="Residential/Group Housing","RES",
IF(E2770="Commercial","COM",
IF(E2770="Mixed Development","MIX",
IF(E2770="Plotted Development","PLT","OTH"))))
&amp;"-"&amp;TEXT(COUNTIFS($B$9:B2770,B2770,$E$9:E2770,E2770),"0000")</f>
        <v>VAL-MIX-0025</v>
      </c>
      <c r="B2770" s="322" t="s">
        <v>35</v>
      </c>
      <c r="C2770" s="322" t="s">
        <v>35</v>
      </c>
      <c r="D2770" s="323" t="s">
        <v>2959</v>
      </c>
      <c r="E2770" s="132" t="s">
        <v>25</v>
      </c>
      <c r="F2770" s="97" t="str">
        <f ca="1">IF(OR(Market_Data[[#This Row],[Start Date]]="",Market_Data[[#This Row],[Completion Date]]=""),"Needs Validation",IF(Market_Data[[#This Row],[Start Date]]&gt;TODAY(),"Planned",IF(Market_Data[[#This Row],[Completion Date]]&lt;TODAY(),"Completed","Ongoing")))</f>
        <v>Completed</v>
      </c>
      <c r="G2770" s="324">
        <v>43171</v>
      </c>
      <c r="H2770" s="324">
        <v>45290</v>
      </c>
      <c r="I2770" s="325">
        <v>14800</v>
      </c>
      <c r="J277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70" s="133">
        <f>_xlfn.XLOOKUP(Market_Data[[#This Row],[Project Type]],tbl_assumptions_market[Project Category (RERA)],tbl_assumptions_market[Concrete Intensity
(m³ / sq m BUA)],"",0)</f>
        <v>0.42</v>
      </c>
      <c r="L2770" s="134">
        <f>ROUND(Market_Data[[#This Row],[Estimated Built Up Area (sq m)]]*Market_Data[[#This Row],[Concrete Intensity
(m³ / sq m)]],0)</f>
        <v>6216</v>
      </c>
      <c r="M2770" s="135">
        <f>_xlfn.XLOOKUP(Market_Data[[#This Row],[District]],tbl_district_price[District],tbl_district_price[Standard Price
(INR/m³)],"",0)</f>
        <v>5600</v>
      </c>
      <c r="N2770" s="364">
        <f>IF(OR(Market_Data[[#This Row],[Estimated Concrete Demand (m³)]]="",Market_Data[[#This Row],[Avg Price per (₹ / m³)]]=""),"",Market_Data[[#This Row],[Estimated Concrete Demand (m³)]]*Market_Data[[#This Row],[Avg Price per (₹ / m³)]]/10000000)</f>
        <v>3.4809600000000001</v>
      </c>
      <c r="O2770" s="97" t="str">
        <f>IF(Market_Data[[#This Row],[Estimated Concrete Demand (m³)]]="","",
IF(Market_Data[[#This Row],[Estimated Concrete Demand (m³)]]&lt;10000,"Small",
IF(Market_Data[[#This Row],[Estimated Concrete Demand (m³)]]&lt;25000,"Medium",
IF(Market_Data[[#This Row],[Estimated Concrete Demand (m³)]]&lt;100000,"Large","Mega"))))</f>
        <v>Small</v>
      </c>
      <c r="P2770" s="287" t="str">
        <f t="shared" si="45"/>
        <v>GujRERA</v>
      </c>
    </row>
    <row r="2771" spans="1:16">
      <c r="A2771" s="129" t="str">
        <f>_xlfn.XLOOKUP(B2771,$S$9:$S$14,$T$9:$T$14)&amp;"-"&amp;
IF(E2771="Residential/Group Housing","RES",
IF(E2771="Commercial","COM",
IF(E2771="Mixed Development","MIX",
IF(E2771="Plotted Development","PLT","OTH"))))
&amp;"-"&amp;TEXT(COUNTIFS($B$9:B2771,B2771,$E$9:E2771,E2771),"0000")</f>
        <v>VAL-MIX-0026</v>
      </c>
      <c r="B2771" s="322" t="s">
        <v>35</v>
      </c>
      <c r="C2771" s="322" t="s">
        <v>35</v>
      </c>
      <c r="D2771" s="323" t="s">
        <v>2960</v>
      </c>
      <c r="E2771" s="132" t="s">
        <v>25</v>
      </c>
      <c r="F2771" s="97" t="str">
        <f ca="1">IF(OR(Market_Data[[#This Row],[Start Date]]="",Market_Data[[#This Row],[Completion Date]]=""),"Needs Validation",IF(Market_Data[[#This Row],[Start Date]]&gt;TODAY(),"Planned",IF(Market_Data[[#This Row],[Completion Date]]&lt;TODAY(),"Completed","Ongoing")))</f>
        <v>Completed</v>
      </c>
      <c r="G2771" s="324">
        <v>42826</v>
      </c>
      <c r="H2771" s="324">
        <v>44377</v>
      </c>
      <c r="I2771" s="325">
        <v>40200</v>
      </c>
      <c r="J277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71" s="133">
        <f>_xlfn.XLOOKUP(Market_Data[[#This Row],[Project Type]],tbl_assumptions_market[Project Category (RERA)],tbl_assumptions_market[Concrete Intensity
(m³ / sq m BUA)],"",0)</f>
        <v>0.42</v>
      </c>
      <c r="L2771" s="134">
        <f>ROUND(Market_Data[[#This Row],[Estimated Built Up Area (sq m)]]*Market_Data[[#This Row],[Concrete Intensity
(m³ / sq m)]],0)</f>
        <v>16884</v>
      </c>
      <c r="M2771" s="135">
        <f>_xlfn.XLOOKUP(Market_Data[[#This Row],[District]],tbl_district_price[District],tbl_district_price[Standard Price
(INR/m³)],"",0)</f>
        <v>5600</v>
      </c>
      <c r="N2771" s="364">
        <f>IF(OR(Market_Data[[#This Row],[Estimated Concrete Demand (m³)]]="",Market_Data[[#This Row],[Avg Price per (₹ / m³)]]=""),"",Market_Data[[#This Row],[Estimated Concrete Demand (m³)]]*Market_Data[[#This Row],[Avg Price per (₹ / m³)]]/10000000)</f>
        <v>9.4550400000000003</v>
      </c>
      <c r="O2771" s="97" t="str">
        <f>IF(Market_Data[[#This Row],[Estimated Concrete Demand (m³)]]="","",
IF(Market_Data[[#This Row],[Estimated Concrete Demand (m³)]]&lt;10000,"Small",
IF(Market_Data[[#This Row],[Estimated Concrete Demand (m³)]]&lt;25000,"Medium",
IF(Market_Data[[#This Row],[Estimated Concrete Demand (m³)]]&lt;100000,"Large","Mega"))))</f>
        <v>Medium</v>
      </c>
      <c r="P2771" s="287" t="str">
        <f t="shared" si="45"/>
        <v>GujRERA</v>
      </c>
    </row>
    <row r="2772" spans="1:16">
      <c r="A2772" s="129" t="str">
        <f>_xlfn.XLOOKUP(B2772,$S$9:$S$14,$T$9:$T$14)&amp;"-"&amp;
IF(E2772="Residential/Group Housing","RES",
IF(E2772="Commercial","COM",
IF(E2772="Mixed Development","MIX",
IF(E2772="Plotted Development","PLT","OTH"))))
&amp;"-"&amp;TEXT(COUNTIFS($B$9:B2772,B2772,$E$9:E2772,E2772),"0000")</f>
        <v>VAL-MIX-0027</v>
      </c>
      <c r="B2772" s="322" t="s">
        <v>35</v>
      </c>
      <c r="C2772" s="322" t="s">
        <v>35</v>
      </c>
      <c r="D2772" s="323" t="s">
        <v>2961</v>
      </c>
      <c r="E2772" s="132" t="s">
        <v>25</v>
      </c>
      <c r="F2772" s="97" t="str">
        <f ca="1">IF(OR(Market_Data[[#This Row],[Start Date]]="",Market_Data[[#This Row],[Completion Date]]=""),"Needs Validation",IF(Market_Data[[#This Row],[Start Date]]&gt;TODAY(),"Planned",IF(Market_Data[[#This Row],[Completion Date]]&lt;TODAY(),"Completed","Ongoing")))</f>
        <v>Ongoing</v>
      </c>
      <c r="G2772" s="324">
        <v>44440</v>
      </c>
      <c r="H2772" s="324">
        <v>46381</v>
      </c>
      <c r="I2772" s="325">
        <v>7300</v>
      </c>
      <c r="J277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772" s="133">
        <f>_xlfn.XLOOKUP(Market_Data[[#This Row],[Project Type]],tbl_assumptions_market[Project Category (RERA)],tbl_assumptions_market[Concrete Intensity
(m³ / sq m BUA)],"",0)</f>
        <v>0.42</v>
      </c>
      <c r="L2772" s="134">
        <f>ROUND(Market_Data[[#This Row],[Estimated Built Up Area (sq m)]]*Market_Data[[#This Row],[Concrete Intensity
(m³ / sq m)]],0)</f>
        <v>3066</v>
      </c>
      <c r="M2772" s="135">
        <f>_xlfn.XLOOKUP(Market_Data[[#This Row],[District]],tbl_district_price[District],tbl_district_price[Standard Price
(INR/m³)],"",0)</f>
        <v>5600</v>
      </c>
      <c r="N2772" s="364">
        <f>IF(OR(Market_Data[[#This Row],[Estimated Concrete Demand (m³)]]="",Market_Data[[#This Row],[Avg Price per (₹ / m³)]]=""),"",Market_Data[[#This Row],[Estimated Concrete Demand (m³)]]*Market_Data[[#This Row],[Avg Price per (₹ / m³)]]/10000000)</f>
        <v>1.71696</v>
      </c>
      <c r="O2772" s="97" t="str">
        <f>IF(Market_Data[[#This Row],[Estimated Concrete Demand (m³)]]="","",
IF(Market_Data[[#This Row],[Estimated Concrete Demand (m³)]]&lt;10000,"Small",
IF(Market_Data[[#This Row],[Estimated Concrete Demand (m³)]]&lt;25000,"Medium",
IF(Market_Data[[#This Row],[Estimated Concrete Demand (m³)]]&lt;100000,"Large","Mega"))))</f>
        <v>Small</v>
      </c>
      <c r="P2772" s="287" t="str">
        <f t="shared" si="45"/>
        <v>GujRERA</v>
      </c>
    </row>
    <row r="2773" spans="1:16">
      <c r="A2773" s="129" t="str">
        <f>_xlfn.XLOOKUP(B2773,$S$9:$S$14,$T$9:$T$14)&amp;"-"&amp;
IF(E2773="Residential/Group Housing","RES",
IF(E2773="Commercial","COM",
IF(E2773="Mixed Development","MIX",
IF(E2773="Plotted Development","PLT","OTH"))))
&amp;"-"&amp;TEXT(COUNTIFS($B$9:B2773,B2773,$E$9:E2773,E2773),"0000")</f>
        <v>VAL-COM-0008</v>
      </c>
      <c r="B2773" s="322" t="s">
        <v>35</v>
      </c>
      <c r="C2773" s="322" t="s">
        <v>35</v>
      </c>
      <c r="D2773" s="323" t="s">
        <v>2962</v>
      </c>
      <c r="E2773" s="132" t="s">
        <v>23</v>
      </c>
      <c r="F2773" s="97" t="str">
        <f ca="1">IF(OR(Market_Data[[#This Row],[Start Date]]="",Market_Data[[#This Row],[Completion Date]]=""),"Needs Validation",IF(Market_Data[[#This Row],[Start Date]]&gt;TODAY(),"Planned",IF(Market_Data[[#This Row],[Completion Date]]&lt;TODAY(),"Completed","Ongoing")))</f>
        <v>Completed</v>
      </c>
      <c r="G2773" s="324">
        <v>43252</v>
      </c>
      <c r="H2773" s="324">
        <v>45473</v>
      </c>
      <c r="I2773" s="325">
        <v>42500</v>
      </c>
      <c r="J277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773" s="133">
        <f>_xlfn.XLOOKUP(Market_Data[[#This Row],[Project Type]],tbl_assumptions_market[Project Category (RERA)],tbl_assumptions_market[Concrete Intensity
(m³ / sq m BUA)],"",0)</f>
        <v>0.5</v>
      </c>
      <c r="L2773" s="134">
        <f>ROUND(Market_Data[[#This Row],[Estimated Built Up Area (sq m)]]*Market_Data[[#This Row],[Concrete Intensity
(m³ / sq m)]],0)</f>
        <v>21250</v>
      </c>
      <c r="M2773" s="135">
        <f>_xlfn.XLOOKUP(Market_Data[[#This Row],[District]],tbl_district_price[District],tbl_district_price[Standard Price
(INR/m³)],"",0)</f>
        <v>5600</v>
      </c>
      <c r="N2773" s="364">
        <f>IF(OR(Market_Data[[#This Row],[Estimated Concrete Demand (m³)]]="",Market_Data[[#This Row],[Avg Price per (₹ / m³)]]=""),"",Market_Data[[#This Row],[Estimated Concrete Demand (m³)]]*Market_Data[[#This Row],[Avg Price per (₹ / m³)]]/10000000)</f>
        <v>11.9</v>
      </c>
      <c r="O2773" s="97" t="str">
        <f>IF(Market_Data[[#This Row],[Estimated Concrete Demand (m³)]]="","",
IF(Market_Data[[#This Row],[Estimated Concrete Demand (m³)]]&lt;10000,"Small",
IF(Market_Data[[#This Row],[Estimated Concrete Demand (m³)]]&lt;25000,"Medium",
IF(Market_Data[[#This Row],[Estimated Concrete Demand (m³)]]&lt;100000,"Large","Mega"))))</f>
        <v>Medium</v>
      </c>
      <c r="P2773" s="287" t="str">
        <f t="shared" si="45"/>
        <v>GujRERA</v>
      </c>
    </row>
    <row r="2774" spans="1:16">
      <c r="A2774" s="129" t="str">
        <f>_xlfn.XLOOKUP(B2774,$S$9:$S$14,$T$9:$T$14)&amp;"-"&amp;
IF(E2774="Residential/Group Housing","RES",
IF(E2774="Commercial","COM",
IF(E2774="Mixed Development","MIX",
IF(E2774="Plotted Development","PLT","OTH"))))
&amp;"-"&amp;TEXT(COUNTIFS($B$9:B2774,B2774,$E$9:E2774,E2774),"0000")</f>
        <v>VAL-MIX-0028</v>
      </c>
      <c r="B2774" s="322" t="s">
        <v>35</v>
      </c>
      <c r="C2774" s="322" t="s">
        <v>35</v>
      </c>
      <c r="D2774" s="323" t="s">
        <v>2963</v>
      </c>
      <c r="E2774" s="132" t="s">
        <v>25</v>
      </c>
      <c r="F2774" s="97" t="str">
        <f ca="1">IF(OR(Market_Data[[#This Row],[Start Date]]="",Market_Data[[#This Row],[Completion Date]]=""),"Needs Validation",IF(Market_Data[[#This Row],[Start Date]]&gt;TODAY(),"Planned",IF(Market_Data[[#This Row],[Completion Date]]&lt;TODAY(),"Completed","Ongoing")))</f>
        <v>Completed</v>
      </c>
      <c r="G2774" s="324">
        <v>43009</v>
      </c>
      <c r="H2774" s="324">
        <v>45084</v>
      </c>
      <c r="I2774" s="325">
        <v>39800</v>
      </c>
      <c r="J277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74" s="133">
        <f>_xlfn.XLOOKUP(Market_Data[[#This Row],[Project Type]],tbl_assumptions_market[Project Category (RERA)],tbl_assumptions_market[Concrete Intensity
(m³ / sq m BUA)],"",0)</f>
        <v>0.42</v>
      </c>
      <c r="L2774" s="134">
        <f>ROUND(Market_Data[[#This Row],[Estimated Built Up Area (sq m)]]*Market_Data[[#This Row],[Concrete Intensity
(m³ / sq m)]],0)</f>
        <v>16716</v>
      </c>
      <c r="M2774" s="135">
        <f>_xlfn.XLOOKUP(Market_Data[[#This Row],[District]],tbl_district_price[District],tbl_district_price[Standard Price
(INR/m³)],"",0)</f>
        <v>5600</v>
      </c>
      <c r="N2774" s="364">
        <f>IF(OR(Market_Data[[#This Row],[Estimated Concrete Demand (m³)]]="",Market_Data[[#This Row],[Avg Price per (₹ / m³)]]=""),"",Market_Data[[#This Row],[Estimated Concrete Demand (m³)]]*Market_Data[[#This Row],[Avg Price per (₹ / m³)]]/10000000)</f>
        <v>9.3609600000000004</v>
      </c>
      <c r="O2774" s="97" t="str">
        <f>IF(Market_Data[[#This Row],[Estimated Concrete Demand (m³)]]="","",
IF(Market_Data[[#This Row],[Estimated Concrete Demand (m³)]]&lt;10000,"Small",
IF(Market_Data[[#This Row],[Estimated Concrete Demand (m³)]]&lt;25000,"Medium",
IF(Market_Data[[#This Row],[Estimated Concrete Demand (m³)]]&lt;100000,"Large","Mega"))))</f>
        <v>Medium</v>
      </c>
      <c r="P2774" s="287" t="str">
        <f t="shared" si="45"/>
        <v>GujRERA</v>
      </c>
    </row>
    <row r="2775" spans="1:16">
      <c r="A2775" s="129" t="str">
        <f>_xlfn.XLOOKUP(B2775,$S$9:$S$14,$T$9:$T$14)&amp;"-"&amp;
IF(E2775="Residential/Group Housing","RES",
IF(E2775="Commercial","COM",
IF(E2775="Mixed Development","MIX",
IF(E2775="Plotted Development","PLT","OTH"))))
&amp;"-"&amp;TEXT(COUNTIFS($B$9:B2775,B2775,$E$9:E2775,E2775),"0000")</f>
        <v>VAL-RES-0014</v>
      </c>
      <c r="B2775" s="322" t="s">
        <v>35</v>
      </c>
      <c r="C2775" s="322" t="s">
        <v>35</v>
      </c>
      <c r="D2775" s="323" t="s">
        <v>2964</v>
      </c>
      <c r="E2775" s="132" t="s">
        <v>24</v>
      </c>
      <c r="F2775" s="97" t="str">
        <f ca="1">IF(OR(Market_Data[[#This Row],[Start Date]]="",Market_Data[[#This Row],[Completion Date]]=""),"Needs Validation",IF(Market_Data[[#This Row],[Start Date]]&gt;TODAY(),"Planned",IF(Market_Data[[#This Row],[Completion Date]]&lt;TODAY(),"Completed","Ongoing")))</f>
        <v>Completed</v>
      </c>
      <c r="G2775" s="324">
        <v>43479</v>
      </c>
      <c r="H2775" s="324">
        <v>46022</v>
      </c>
      <c r="I2775" s="325">
        <v>9400</v>
      </c>
      <c r="J277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75" s="133">
        <f>_xlfn.XLOOKUP(Market_Data[[#This Row],[Project Type]],tbl_assumptions_market[Project Category (RERA)],tbl_assumptions_market[Concrete Intensity
(m³ / sq m BUA)],"",0)</f>
        <v>0.45</v>
      </c>
      <c r="L2775" s="134">
        <f>ROUND(Market_Data[[#This Row],[Estimated Built Up Area (sq m)]]*Market_Data[[#This Row],[Concrete Intensity
(m³ / sq m)]],0)</f>
        <v>4230</v>
      </c>
      <c r="M2775" s="135">
        <f>_xlfn.XLOOKUP(Market_Data[[#This Row],[District]],tbl_district_price[District],tbl_district_price[Standard Price
(INR/m³)],"",0)</f>
        <v>5600</v>
      </c>
      <c r="N2775" s="364">
        <f>IF(OR(Market_Data[[#This Row],[Estimated Concrete Demand (m³)]]="",Market_Data[[#This Row],[Avg Price per (₹ / m³)]]=""),"",Market_Data[[#This Row],[Estimated Concrete Demand (m³)]]*Market_Data[[#This Row],[Avg Price per (₹ / m³)]]/10000000)</f>
        <v>2.3687999999999998</v>
      </c>
      <c r="O2775" s="97" t="str">
        <f>IF(Market_Data[[#This Row],[Estimated Concrete Demand (m³)]]="","",
IF(Market_Data[[#This Row],[Estimated Concrete Demand (m³)]]&lt;10000,"Small",
IF(Market_Data[[#This Row],[Estimated Concrete Demand (m³)]]&lt;25000,"Medium",
IF(Market_Data[[#This Row],[Estimated Concrete Demand (m³)]]&lt;100000,"Large","Mega"))))</f>
        <v>Small</v>
      </c>
      <c r="P2775" s="287" t="str">
        <f t="shared" si="45"/>
        <v>GujRERA</v>
      </c>
    </row>
    <row r="2776" spans="1:16">
      <c r="A2776" s="129" t="str">
        <f>_xlfn.XLOOKUP(B2776,$S$9:$S$14,$T$9:$T$14)&amp;"-"&amp;
IF(E2776="Residential/Group Housing","RES",
IF(E2776="Commercial","COM",
IF(E2776="Mixed Development","MIX",
IF(E2776="Plotted Development","PLT","OTH"))))
&amp;"-"&amp;TEXT(COUNTIFS($B$9:B2776,B2776,$E$9:E2776,E2776),"0000")</f>
        <v>VAL-COM-0009</v>
      </c>
      <c r="B2776" s="322" t="s">
        <v>35</v>
      </c>
      <c r="C2776" s="322" t="s">
        <v>35</v>
      </c>
      <c r="D2776" s="323" t="s">
        <v>2965</v>
      </c>
      <c r="E2776" s="132" t="s">
        <v>23</v>
      </c>
      <c r="F2776" s="97" t="str">
        <f ca="1">IF(OR(Market_Data[[#This Row],[Start Date]]="",Market_Data[[#This Row],[Completion Date]]=""),"Needs Validation",IF(Market_Data[[#This Row],[Start Date]]&gt;TODAY(),"Planned",IF(Market_Data[[#This Row],[Completion Date]]&lt;TODAY(),"Completed","Ongoing")))</f>
        <v>Ongoing</v>
      </c>
      <c r="G2776" s="324">
        <v>45731</v>
      </c>
      <c r="H2776" s="324">
        <v>46843</v>
      </c>
      <c r="I2776" s="325">
        <v>43100</v>
      </c>
      <c r="J277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776" s="133">
        <f>_xlfn.XLOOKUP(Market_Data[[#This Row],[Project Type]],tbl_assumptions_market[Project Category (RERA)],tbl_assumptions_market[Concrete Intensity
(m³ / sq m BUA)],"",0)</f>
        <v>0.5</v>
      </c>
      <c r="L2776" s="134">
        <f>ROUND(Market_Data[[#This Row],[Estimated Built Up Area (sq m)]]*Market_Data[[#This Row],[Concrete Intensity
(m³ / sq m)]],0)</f>
        <v>21550</v>
      </c>
      <c r="M2776" s="135">
        <f>_xlfn.XLOOKUP(Market_Data[[#This Row],[District]],tbl_district_price[District],tbl_district_price[Standard Price
(INR/m³)],"",0)</f>
        <v>5600</v>
      </c>
      <c r="N2776" s="364">
        <f>IF(OR(Market_Data[[#This Row],[Estimated Concrete Demand (m³)]]="",Market_Data[[#This Row],[Avg Price per (₹ / m³)]]=""),"",Market_Data[[#This Row],[Estimated Concrete Demand (m³)]]*Market_Data[[#This Row],[Avg Price per (₹ / m³)]]/10000000)</f>
        <v>12.068</v>
      </c>
      <c r="O2776" s="97" t="str">
        <f>IF(Market_Data[[#This Row],[Estimated Concrete Demand (m³)]]="","",
IF(Market_Data[[#This Row],[Estimated Concrete Demand (m³)]]&lt;10000,"Small",
IF(Market_Data[[#This Row],[Estimated Concrete Demand (m³)]]&lt;25000,"Medium",
IF(Market_Data[[#This Row],[Estimated Concrete Demand (m³)]]&lt;100000,"Large","Mega"))))</f>
        <v>Medium</v>
      </c>
      <c r="P2776" s="287" t="str">
        <f t="shared" si="45"/>
        <v>GujRERA</v>
      </c>
    </row>
    <row r="2777" spans="1:16">
      <c r="A2777" s="129" t="str">
        <f>_xlfn.XLOOKUP(B2777,$S$9:$S$14,$T$9:$T$14)&amp;"-"&amp;
IF(E2777="Residential/Group Housing","RES",
IF(E2777="Commercial","COM",
IF(E2777="Mixed Development","MIX",
IF(E2777="Plotted Development","PLT","OTH"))))
&amp;"-"&amp;TEXT(COUNTIFS($B$9:B2777,B2777,$E$9:E2777,E2777),"0000")</f>
        <v>VAL-MIX-0029</v>
      </c>
      <c r="B2777" s="322" t="s">
        <v>35</v>
      </c>
      <c r="C2777" s="322" t="s">
        <v>35</v>
      </c>
      <c r="D2777" s="323" t="s">
        <v>2966</v>
      </c>
      <c r="E2777" s="132" t="s">
        <v>25</v>
      </c>
      <c r="F2777" s="97" t="str">
        <f ca="1">IF(OR(Market_Data[[#This Row],[Start Date]]="",Market_Data[[#This Row],[Completion Date]]=""),"Needs Validation",IF(Market_Data[[#This Row],[Start Date]]&gt;TODAY(),"Planned",IF(Market_Data[[#This Row],[Completion Date]]&lt;TODAY(),"Completed","Ongoing")))</f>
        <v>Completed</v>
      </c>
      <c r="G2777" s="324">
        <v>41210</v>
      </c>
      <c r="H2777" s="324">
        <v>43159</v>
      </c>
      <c r="I2777" s="325">
        <v>34300</v>
      </c>
      <c r="J277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77" s="133">
        <f>_xlfn.XLOOKUP(Market_Data[[#This Row],[Project Type]],tbl_assumptions_market[Project Category (RERA)],tbl_assumptions_market[Concrete Intensity
(m³ / sq m BUA)],"",0)</f>
        <v>0.42</v>
      </c>
      <c r="L2777" s="134">
        <f>ROUND(Market_Data[[#This Row],[Estimated Built Up Area (sq m)]]*Market_Data[[#This Row],[Concrete Intensity
(m³ / sq m)]],0)</f>
        <v>14406</v>
      </c>
      <c r="M2777" s="135">
        <f>_xlfn.XLOOKUP(Market_Data[[#This Row],[District]],tbl_district_price[District],tbl_district_price[Standard Price
(INR/m³)],"",0)</f>
        <v>5600</v>
      </c>
      <c r="N2777" s="364">
        <f>IF(OR(Market_Data[[#This Row],[Estimated Concrete Demand (m³)]]="",Market_Data[[#This Row],[Avg Price per (₹ / m³)]]=""),"",Market_Data[[#This Row],[Estimated Concrete Demand (m³)]]*Market_Data[[#This Row],[Avg Price per (₹ / m³)]]/10000000)</f>
        <v>8.0673600000000008</v>
      </c>
      <c r="O2777" s="97" t="str">
        <f>IF(Market_Data[[#This Row],[Estimated Concrete Demand (m³)]]="","",
IF(Market_Data[[#This Row],[Estimated Concrete Demand (m³)]]&lt;10000,"Small",
IF(Market_Data[[#This Row],[Estimated Concrete Demand (m³)]]&lt;25000,"Medium",
IF(Market_Data[[#This Row],[Estimated Concrete Demand (m³)]]&lt;100000,"Large","Mega"))))</f>
        <v>Medium</v>
      </c>
      <c r="P2777" s="287" t="str">
        <f t="shared" si="45"/>
        <v>GujRERA</v>
      </c>
    </row>
    <row r="2778" spans="1:16">
      <c r="A2778" s="129" t="str">
        <f>_xlfn.XLOOKUP(B2778,$S$9:$S$14,$T$9:$T$14)&amp;"-"&amp;
IF(E2778="Residential/Group Housing","RES",
IF(E2778="Commercial","COM",
IF(E2778="Mixed Development","MIX",
IF(E2778="Plotted Development","PLT","OTH"))))
&amp;"-"&amp;TEXT(COUNTIFS($B$9:B2778,B2778,$E$9:E2778,E2778),"0000")</f>
        <v>VAL-RES-0015</v>
      </c>
      <c r="B2778" s="322" t="s">
        <v>35</v>
      </c>
      <c r="C2778" s="322" t="s">
        <v>35</v>
      </c>
      <c r="D2778" s="323" t="s">
        <v>2967</v>
      </c>
      <c r="E2778" s="132" t="s">
        <v>24</v>
      </c>
      <c r="F2778" s="97" t="str">
        <f ca="1">IF(OR(Market_Data[[#This Row],[Start Date]]="",Market_Data[[#This Row],[Completion Date]]=""),"Needs Validation",IF(Market_Data[[#This Row],[Start Date]]&gt;TODAY(),"Planned",IF(Market_Data[[#This Row],[Completion Date]]&lt;TODAY(),"Completed","Ongoing")))</f>
        <v>Ongoing</v>
      </c>
      <c r="G2778" s="324">
        <v>44348</v>
      </c>
      <c r="H2778" s="324">
        <v>46387</v>
      </c>
      <c r="I2778" s="325">
        <v>23900</v>
      </c>
      <c r="J277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78" s="133">
        <f>_xlfn.XLOOKUP(Market_Data[[#This Row],[Project Type]],tbl_assumptions_market[Project Category (RERA)],tbl_assumptions_market[Concrete Intensity
(m³ / sq m BUA)],"",0)</f>
        <v>0.45</v>
      </c>
      <c r="L2778" s="134">
        <f>ROUND(Market_Data[[#This Row],[Estimated Built Up Area (sq m)]]*Market_Data[[#This Row],[Concrete Intensity
(m³ / sq m)]],0)</f>
        <v>10755</v>
      </c>
      <c r="M2778" s="135">
        <f>_xlfn.XLOOKUP(Market_Data[[#This Row],[District]],tbl_district_price[District],tbl_district_price[Standard Price
(INR/m³)],"",0)</f>
        <v>5600</v>
      </c>
      <c r="N2778" s="364">
        <f>IF(OR(Market_Data[[#This Row],[Estimated Concrete Demand (m³)]]="",Market_Data[[#This Row],[Avg Price per (₹ / m³)]]=""),"",Market_Data[[#This Row],[Estimated Concrete Demand (m³)]]*Market_Data[[#This Row],[Avg Price per (₹ / m³)]]/10000000)</f>
        <v>6.0228000000000002</v>
      </c>
      <c r="O2778" s="97" t="str">
        <f>IF(Market_Data[[#This Row],[Estimated Concrete Demand (m³)]]="","",
IF(Market_Data[[#This Row],[Estimated Concrete Demand (m³)]]&lt;10000,"Small",
IF(Market_Data[[#This Row],[Estimated Concrete Demand (m³)]]&lt;25000,"Medium",
IF(Market_Data[[#This Row],[Estimated Concrete Demand (m³)]]&lt;100000,"Large","Mega"))))</f>
        <v>Medium</v>
      </c>
      <c r="P2778" s="287" t="str">
        <f t="shared" si="45"/>
        <v>GujRERA</v>
      </c>
    </row>
    <row r="2779" spans="1:16">
      <c r="A2779" s="129" t="str">
        <f>_xlfn.XLOOKUP(B2779,$S$9:$S$14,$T$9:$T$14)&amp;"-"&amp;
IF(E2779="Residential/Group Housing","RES",
IF(E2779="Commercial","COM",
IF(E2779="Mixed Development","MIX",
IF(E2779="Plotted Development","PLT","OTH"))))
&amp;"-"&amp;TEXT(COUNTIFS($B$9:B2779,B2779,$E$9:E2779,E2779),"0000")</f>
        <v>VAL-MIX-0030</v>
      </c>
      <c r="B2779" s="322" t="s">
        <v>35</v>
      </c>
      <c r="C2779" s="322" t="s">
        <v>35</v>
      </c>
      <c r="D2779" s="323" t="s">
        <v>2968</v>
      </c>
      <c r="E2779" s="132" t="s">
        <v>25</v>
      </c>
      <c r="F2779" s="97" t="str">
        <f ca="1">IF(OR(Market_Data[[#This Row],[Start Date]]="",Market_Data[[#This Row],[Completion Date]]=""),"Needs Validation",IF(Market_Data[[#This Row],[Start Date]]&gt;TODAY(),"Planned",IF(Market_Data[[#This Row],[Completion Date]]&lt;TODAY(),"Completed","Ongoing")))</f>
        <v>Ongoing</v>
      </c>
      <c r="G2779" s="324">
        <v>44951</v>
      </c>
      <c r="H2779" s="324">
        <v>46752</v>
      </c>
      <c r="I2779" s="325">
        <v>28600</v>
      </c>
      <c r="J277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79" s="133">
        <f>_xlfn.XLOOKUP(Market_Data[[#This Row],[Project Type]],tbl_assumptions_market[Project Category (RERA)],tbl_assumptions_market[Concrete Intensity
(m³ / sq m BUA)],"",0)</f>
        <v>0.42</v>
      </c>
      <c r="L2779" s="134">
        <f>ROUND(Market_Data[[#This Row],[Estimated Built Up Area (sq m)]]*Market_Data[[#This Row],[Concrete Intensity
(m³ / sq m)]],0)</f>
        <v>12012</v>
      </c>
      <c r="M2779" s="135">
        <f>_xlfn.XLOOKUP(Market_Data[[#This Row],[District]],tbl_district_price[District],tbl_district_price[Standard Price
(INR/m³)],"",0)</f>
        <v>5600</v>
      </c>
      <c r="N2779" s="364">
        <f>IF(OR(Market_Data[[#This Row],[Estimated Concrete Demand (m³)]]="",Market_Data[[#This Row],[Avg Price per (₹ / m³)]]=""),"",Market_Data[[#This Row],[Estimated Concrete Demand (m³)]]*Market_Data[[#This Row],[Avg Price per (₹ / m³)]]/10000000)</f>
        <v>6.7267200000000003</v>
      </c>
      <c r="O2779" s="97" t="str">
        <f>IF(Market_Data[[#This Row],[Estimated Concrete Demand (m³)]]="","",
IF(Market_Data[[#This Row],[Estimated Concrete Demand (m³)]]&lt;10000,"Small",
IF(Market_Data[[#This Row],[Estimated Concrete Demand (m³)]]&lt;25000,"Medium",
IF(Market_Data[[#This Row],[Estimated Concrete Demand (m³)]]&lt;100000,"Large","Mega"))))</f>
        <v>Medium</v>
      </c>
      <c r="P2779" s="287" t="str">
        <f t="shared" si="45"/>
        <v>GujRERA</v>
      </c>
    </row>
    <row r="2780" spans="1:16">
      <c r="A2780" s="129" t="str">
        <f>_xlfn.XLOOKUP(B2780,$S$9:$S$14,$T$9:$T$14)&amp;"-"&amp;
IF(E2780="Residential/Group Housing","RES",
IF(E2780="Commercial","COM",
IF(E2780="Mixed Development","MIX",
IF(E2780="Plotted Development","PLT","OTH"))))
&amp;"-"&amp;TEXT(COUNTIFS($B$9:B2780,B2780,$E$9:E2780,E2780),"0000")</f>
        <v>VAL-COM-0010</v>
      </c>
      <c r="B2780" s="322" t="s">
        <v>35</v>
      </c>
      <c r="C2780" s="322" t="s">
        <v>35</v>
      </c>
      <c r="D2780" s="323" t="s">
        <v>2969</v>
      </c>
      <c r="E2780" s="132" t="s">
        <v>23</v>
      </c>
      <c r="F2780" s="97" t="str">
        <f ca="1">IF(OR(Market_Data[[#This Row],[Start Date]]="",Market_Data[[#This Row],[Completion Date]]=""),"Needs Validation",IF(Market_Data[[#This Row],[Start Date]]&gt;TODAY(),"Planned",IF(Market_Data[[#This Row],[Completion Date]]&lt;TODAY(),"Completed","Ongoing")))</f>
        <v>Completed</v>
      </c>
      <c r="G2780" s="324">
        <v>43150</v>
      </c>
      <c r="H2780" s="324">
        <v>44561</v>
      </c>
      <c r="I2780" s="325">
        <v>17600</v>
      </c>
      <c r="J278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80" s="133">
        <f>_xlfn.XLOOKUP(Market_Data[[#This Row],[Project Type]],tbl_assumptions_market[Project Category (RERA)],tbl_assumptions_market[Concrete Intensity
(m³ / sq m BUA)],"",0)</f>
        <v>0.5</v>
      </c>
      <c r="L2780" s="134">
        <f>ROUND(Market_Data[[#This Row],[Estimated Built Up Area (sq m)]]*Market_Data[[#This Row],[Concrete Intensity
(m³ / sq m)]],0)</f>
        <v>8800</v>
      </c>
      <c r="M2780" s="135">
        <f>_xlfn.XLOOKUP(Market_Data[[#This Row],[District]],tbl_district_price[District],tbl_district_price[Standard Price
(INR/m³)],"",0)</f>
        <v>5600</v>
      </c>
      <c r="N2780" s="364">
        <f>IF(OR(Market_Data[[#This Row],[Estimated Concrete Demand (m³)]]="",Market_Data[[#This Row],[Avg Price per (₹ / m³)]]=""),"",Market_Data[[#This Row],[Estimated Concrete Demand (m³)]]*Market_Data[[#This Row],[Avg Price per (₹ / m³)]]/10000000)</f>
        <v>4.9279999999999999</v>
      </c>
      <c r="O2780" s="97" t="str">
        <f>IF(Market_Data[[#This Row],[Estimated Concrete Demand (m³)]]="","",
IF(Market_Data[[#This Row],[Estimated Concrete Demand (m³)]]&lt;10000,"Small",
IF(Market_Data[[#This Row],[Estimated Concrete Demand (m³)]]&lt;25000,"Medium",
IF(Market_Data[[#This Row],[Estimated Concrete Demand (m³)]]&lt;100000,"Large","Mega"))))</f>
        <v>Small</v>
      </c>
      <c r="P2780" s="287" t="str">
        <f t="shared" si="45"/>
        <v>GujRERA</v>
      </c>
    </row>
    <row r="2781" spans="1:16">
      <c r="A2781" s="129" t="str">
        <f>_xlfn.XLOOKUP(B2781,$S$9:$S$14,$T$9:$T$14)&amp;"-"&amp;
IF(E2781="Residential/Group Housing","RES",
IF(E2781="Commercial","COM",
IF(E2781="Mixed Development","MIX",
IF(E2781="Plotted Development","PLT","OTH"))))
&amp;"-"&amp;TEXT(COUNTIFS($B$9:B2781,B2781,$E$9:E2781,E2781),"0000")</f>
        <v>VAL-MIX-0031</v>
      </c>
      <c r="B2781" s="322" t="s">
        <v>35</v>
      </c>
      <c r="C2781" s="322" t="s">
        <v>35</v>
      </c>
      <c r="D2781" s="323" t="s">
        <v>2970</v>
      </c>
      <c r="E2781" s="132" t="s">
        <v>25</v>
      </c>
      <c r="F2781" s="97" t="str">
        <f ca="1">IF(OR(Market_Data[[#This Row],[Start Date]]="",Market_Data[[#This Row],[Completion Date]]=""),"Needs Validation",IF(Market_Data[[#This Row],[Start Date]]&gt;TODAY(),"Planned",IF(Market_Data[[#This Row],[Completion Date]]&lt;TODAY(),"Completed","Ongoing")))</f>
        <v>Ongoing</v>
      </c>
      <c r="G2781" s="324">
        <v>44809</v>
      </c>
      <c r="H2781" s="324">
        <v>46752</v>
      </c>
      <c r="I2781" s="325">
        <v>10300</v>
      </c>
      <c r="J278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81" s="133">
        <f>_xlfn.XLOOKUP(Market_Data[[#This Row],[Project Type]],tbl_assumptions_market[Project Category (RERA)],tbl_assumptions_market[Concrete Intensity
(m³ / sq m BUA)],"",0)</f>
        <v>0.42</v>
      </c>
      <c r="L2781" s="134">
        <f>ROUND(Market_Data[[#This Row],[Estimated Built Up Area (sq m)]]*Market_Data[[#This Row],[Concrete Intensity
(m³ / sq m)]],0)</f>
        <v>4326</v>
      </c>
      <c r="M2781" s="135">
        <f>_xlfn.XLOOKUP(Market_Data[[#This Row],[District]],tbl_district_price[District],tbl_district_price[Standard Price
(INR/m³)],"",0)</f>
        <v>5600</v>
      </c>
      <c r="N2781" s="364">
        <f>IF(OR(Market_Data[[#This Row],[Estimated Concrete Demand (m³)]]="",Market_Data[[#This Row],[Avg Price per (₹ / m³)]]=""),"",Market_Data[[#This Row],[Estimated Concrete Demand (m³)]]*Market_Data[[#This Row],[Avg Price per (₹ / m³)]]/10000000)</f>
        <v>2.4225599999999998</v>
      </c>
      <c r="O2781" s="97" t="str">
        <f>IF(Market_Data[[#This Row],[Estimated Concrete Demand (m³)]]="","",
IF(Market_Data[[#This Row],[Estimated Concrete Demand (m³)]]&lt;10000,"Small",
IF(Market_Data[[#This Row],[Estimated Concrete Demand (m³)]]&lt;25000,"Medium",
IF(Market_Data[[#This Row],[Estimated Concrete Demand (m³)]]&lt;100000,"Large","Mega"))))</f>
        <v>Small</v>
      </c>
      <c r="P2781" s="287" t="str">
        <f t="shared" si="45"/>
        <v>GujRERA</v>
      </c>
    </row>
    <row r="2782" spans="1:16">
      <c r="A2782" s="129" t="str">
        <f>_xlfn.XLOOKUP(B2782,$S$9:$S$14,$T$9:$T$14)&amp;"-"&amp;
IF(E2782="Residential/Group Housing","RES",
IF(E2782="Commercial","COM",
IF(E2782="Mixed Development","MIX",
IF(E2782="Plotted Development","PLT","OTH"))))
&amp;"-"&amp;TEXT(COUNTIFS($B$9:B2782,B2782,$E$9:E2782,E2782),"0000")</f>
        <v>VAL-RES-0016</v>
      </c>
      <c r="B2782" s="322" t="s">
        <v>35</v>
      </c>
      <c r="C2782" s="322" t="s">
        <v>35</v>
      </c>
      <c r="D2782" s="323" t="s">
        <v>2971</v>
      </c>
      <c r="E2782" s="132" t="s">
        <v>24</v>
      </c>
      <c r="F2782" s="97" t="str">
        <f ca="1">IF(OR(Market_Data[[#This Row],[Start Date]]="",Market_Data[[#This Row],[Completion Date]]=""),"Needs Validation",IF(Market_Data[[#This Row],[Start Date]]&gt;TODAY(),"Planned",IF(Market_Data[[#This Row],[Completion Date]]&lt;TODAY(),"Completed","Ongoing")))</f>
        <v>Completed</v>
      </c>
      <c r="G2782" s="324">
        <v>44119</v>
      </c>
      <c r="H2782" s="324">
        <v>46022</v>
      </c>
      <c r="I2782" s="325">
        <v>45900</v>
      </c>
      <c r="J278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82" s="133">
        <f>_xlfn.XLOOKUP(Market_Data[[#This Row],[Project Type]],tbl_assumptions_market[Project Category (RERA)],tbl_assumptions_market[Concrete Intensity
(m³ / sq m BUA)],"",0)</f>
        <v>0.45</v>
      </c>
      <c r="L2782" s="134">
        <f>ROUND(Market_Data[[#This Row],[Estimated Built Up Area (sq m)]]*Market_Data[[#This Row],[Concrete Intensity
(m³ / sq m)]],0)</f>
        <v>20655</v>
      </c>
      <c r="M2782" s="135">
        <f>_xlfn.XLOOKUP(Market_Data[[#This Row],[District]],tbl_district_price[District],tbl_district_price[Standard Price
(INR/m³)],"",0)</f>
        <v>5600</v>
      </c>
      <c r="N2782" s="364">
        <f>IF(OR(Market_Data[[#This Row],[Estimated Concrete Demand (m³)]]="",Market_Data[[#This Row],[Avg Price per (₹ / m³)]]=""),"",Market_Data[[#This Row],[Estimated Concrete Demand (m³)]]*Market_Data[[#This Row],[Avg Price per (₹ / m³)]]/10000000)</f>
        <v>11.566800000000001</v>
      </c>
      <c r="O2782" s="97" t="str">
        <f>IF(Market_Data[[#This Row],[Estimated Concrete Demand (m³)]]="","",
IF(Market_Data[[#This Row],[Estimated Concrete Demand (m³)]]&lt;10000,"Small",
IF(Market_Data[[#This Row],[Estimated Concrete Demand (m³)]]&lt;25000,"Medium",
IF(Market_Data[[#This Row],[Estimated Concrete Demand (m³)]]&lt;100000,"Large","Mega"))))</f>
        <v>Medium</v>
      </c>
      <c r="P2782" s="287" t="str">
        <f t="shared" si="45"/>
        <v>GujRERA</v>
      </c>
    </row>
    <row r="2783" spans="1:16">
      <c r="A2783" s="129" t="str">
        <f>_xlfn.XLOOKUP(B2783,$S$9:$S$14,$T$9:$T$14)&amp;"-"&amp;
IF(E2783="Residential/Group Housing","RES",
IF(E2783="Commercial","COM",
IF(E2783="Mixed Development","MIX",
IF(E2783="Plotted Development","PLT","OTH"))))
&amp;"-"&amp;TEXT(COUNTIFS($B$9:B2783,B2783,$E$9:E2783,E2783),"0000")</f>
        <v>VAL-MIX-0032</v>
      </c>
      <c r="B2783" s="322" t="s">
        <v>35</v>
      </c>
      <c r="C2783" s="322" t="s">
        <v>34</v>
      </c>
      <c r="D2783" s="323" t="s">
        <v>2972</v>
      </c>
      <c r="E2783" s="132" t="s">
        <v>25</v>
      </c>
      <c r="F2783" s="97" t="str">
        <f ca="1">IF(OR(Market_Data[[#This Row],[Start Date]]="",Market_Data[[#This Row],[Completion Date]]=""),"Needs Validation",IF(Market_Data[[#This Row],[Start Date]]&gt;TODAY(),"Planned",IF(Market_Data[[#This Row],[Completion Date]]&lt;TODAY(),"Completed","Ongoing")))</f>
        <v>Completed</v>
      </c>
      <c r="G2783" s="324">
        <v>42409</v>
      </c>
      <c r="H2783" s="324">
        <v>43830</v>
      </c>
      <c r="I2783" s="325">
        <v>56500</v>
      </c>
      <c r="J278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83" s="133">
        <f>_xlfn.XLOOKUP(Market_Data[[#This Row],[Project Type]],tbl_assumptions_market[Project Category (RERA)],tbl_assumptions_market[Concrete Intensity
(m³ / sq m BUA)],"",0)</f>
        <v>0.42</v>
      </c>
      <c r="L2783" s="134">
        <f>ROUND(Market_Data[[#This Row],[Estimated Built Up Area (sq m)]]*Market_Data[[#This Row],[Concrete Intensity
(m³ / sq m)]],0)</f>
        <v>23730</v>
      </c>
      <c r="M2783" s="135">
        <f>_xlfn.XLOOKUP(Market_Data[[#This Row],[District]],tbl_district_price[District],tbl_district_price[Standard Price
(INR/m³)],"",0)</f>
        <v>5600</v>
      </c>
      <c r="N2783" s="364">
        <f>IF(OR(Market_Data[[#This Row],[Estimated Concrete Demand (m³)]]="",Market_Data[[#This Row],[Avg Price per (₹ / m³)]]=""),"",Market_Data[[#This Row],[Estimated Concrete Demand (m³)]]*Market_Data[[#This Row],[Avg Price per (₹ / m³)]]/10000000)</f>
        <v>13.2888</v>
      </c>
      <c r="O2783" s="97" t="str">
        <f>IF(Market_Data[[#This Row],[Estimated Concrete Demand (m³)]]="","",
IF(Market_Data[[#This Row],[Estimated Concrete Demand (m³)]]&lt;10000,"Small",
IF(Market_Data[[#This Row],[Estimated Concrete Demand (m³)]]&lt;25000,"Medium",
IF(Market_Data[[#This Row],[Estimated Concrete Demand (m³)]]&lt;100000,"Large","Mega"))))</f>
        <v>Medium</v>
      </c>
      <c r="P2783" s="287" t="str">
        <f t="shared" si="45"/>
        <v>GujRERA</v>
      </c>
    </row>
    <row r="2784" spans="1:16">
      <c r="A2784" s="129" t="str">
        <f>_xlfn.XLOOKUP(B2784,$S$9:$S$14,$T$9:$T$14)&amp;"-"&amp;
IF(E2784="Residential/Group Housing","RES",
IF(E2784="Commercial","COM",
IF(E2784="Mixed Development","MIX",
IF(E2784="Plotted Development","PLT","OTH"))))
&amp;"-"&amp;TEXT(COUNTIFS($B$9:B2784,B2784,$E$9:E2784,E2784),"0000")</f>
        <v>VAL-RES-0017</v>
      </c>
      <c r="B2784" s="322" t="s">
        <v>35</v>
      </c>
      <c r="C2784" s="322" t="s">
        <v>35</v>
      </c>
      <c r="D2784" s="323" t="s">
        <v>2973</v>
      </c>
      <c r="E2784" s="132" t="s">
        <v>24</v>
      </c>
      <c r="F2784" s="97" t="str">
        <f ca="1">IF(OR(Market_Data[[#This Row],[Start Date]]="",Market_Data[[#This Row],[Completion Date]]=""),"Needs Validation",IF(Market_Data[[#This Row],[Start Date]]&gt;TODAY(),"Planned",IF(Market_Data[[#This Row],[Completion Date]]&lt;TODAY(),"Completed","Ongoing")))</f>
        <v>Ongoing</v>
      </c>
      <c r="G2784" s="324">
        <v>45646</v>
      </c>
      <c r="H2784" s="324">
        <v>48579</v>
      </c>
      <c r="I2784" s="325">
        <v>31400</v>
      </c>
      <c r="J278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84" s="133">
        <f>_xlfn.XLOOKUP(Market_Data[[#This Row],[Project Type]],tbl_assumptions_market[Project Category (RERA)],tbl_assumptions_market[Concrete Intensity
(m³ / sq m BUA)],"",0)</f>
        <v>0.45</v>
      </c>
      <c r="L2784" s="134">
        <f>ROUND(Market_Data[[#This Row],[Estimated Built Up Area (sq m)]]*Market_Data[[#This Row],[Concrete Intensity
(m³ / sq m)]],0)</f>
        <v>14130</v>
      </c>
      <c r="M2784" s="135">
        <f>_xlfn.XLOOKUP(Market_Data[[#This Row],[District]],tbl_district_price[District],tbl_district_price[Standard Price
(INR/m³)],"",0)</f>
        <v>5600</v>
      </c>
      <c r="N2784" s="364">
        <f>IF(OR(Market_Data[[#This Row],[Estimated Concrete Demand (m³)]]="",Market_Data[[#This Row],[Avg Price per (₹ / m³)]]=""),"",Market_Data[[#This Row],[Estimated Concrete Demand (m³)]]*Market_Data[[#This Row],[Avg Price per (₹ / m³)]]/10000000)</f>
        <v>7.9127999999999998</v>
      </c>
      <c r="O2784" s="97" t="str">
        <f>IF(Market_Data[[#This Row],[Estimated Concrete Demand (m³)]]="","",
IF(Market_Data[[#This Row],[Estimated Concrete Demand (m³)]]&lt;10000,"Small",
IF(Market_Data[[#This Row],[Estimated Concrete Demand (m³)]]&lt;25000,"Medium",
IF(Market_Data[[#This Row],[Estimated Concrete Demand (m³)]]&lt;100000,"Large","Mega"))))</f>
        <v>Medium</v>
      </c>
      <c r="P2784" s="287" t="str">
        <f t="shared" si="45"/>
        <v>GujRERA</v>
      </c>
    </row>
    <row r="2785" spans="1:16">
      <c r="A2785" s="129" t="str">
        <f>_xlfn.XLOOKUP(B2785,$S$9:$S$14,$T$9:$T$14)&amp;"-"&amp;
IF(E2785="Residential/Group Housing","RES",
IF(E2785="Commercial","COM",
IF(E2785="Mixed Development","MIX",
IF(E2785="Plotted Development","PLT","OTH"))))
&amp;"-"&amp;TEXT(COUNTIFS($B$9:B2785,B2785,$E$9:E2785,E2785),"0000")</f>
        <v>VAL-MIX-0033</v>
      </c>
      <c r="B2785" s="322" t="s">
        <v>35</v>
      </c>
      <c r="C2785" s="322" t="s">
        <v>35</v>
      </c>
      <c r="D2785" s="323" t="s">
        <v>2974</v>
      </c>
      <c r="E2785" s="132" t="s">
        <v>25</v>
      </c>
      <c r="F2785" s="97" t="str">
        <f ca="1">IF(OR(Market_Data[[#This Row],[Start Date]]="",Market_Data[[#This Row],[Completion Date]]=""),"Needs Validation",IF(Market_Data[[#This Row],[Start Date]]&gt;TODAY(),"Planned",IF(Market_Data[[#This Row],[Completion Date]]&lt;TODAY(),"Completed","Ongoing")))</f>
        <v>Ongoing</v>
      </c>
      <c r="G2785" s="324">
        <v>45945</v>
      </c>
      <c r="H2785" s="324">
        <v>48213</v>
      </c>
      <c r="I2785" s="325">
        <v>45900</v>
      </c>
      <c r="J278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85" s="133">
        <f>_xlfn.XLOOKUP(Market_Data[[#This Row],[Project Type]],tbl_assumptions_market[Project Category (RERA)],tbl_assumptions_market[Concrete Intensity
(m³ / sq m BUA)],"",0)</f>
        <v>0.42</v>
      </c>
      <c r="L2785" s="134">
        <f>ROUND(Market_Data[[#This Row],[Estimated Built Up Area (sq m)]]*Market_Data[[#This Row],[Concrete Intensity
(m³ / sq m)]],0)</f>
        <v>19278</v>
      </c>
      <c r="M2785" s="135">
        <f>_xlfn.XLOOKUP(Market_Data[[#This Row],[District]],tbl_district_price[District],tbl_district_price[Standard Price
(INR/m³)],"",0)</f>
        <v>5600</v>
      </c>
      <c r="N2785" s="364">
        <f>IF(OR(Market_Data[[#This Row],[Estimated Concrete Demand (m³)]]="",Market_Data[[#This Row],[Avg Price per (₹ / m³)]]=""),"",Market_Data[[#This Row],[Estimated Concrete Demand (m³)]]*Market_Data[[#This Row],[Avg Price per (₹ / m³)]]/10000000)</f>
        <v>10.795680000000001</v>
      </c>
      <c r="O2785" s="97" t="str">
        <f>IF(Market_Data[[#This Row],[Estimated Concrete Demand (m³)]]="","",
IF(Market_Data[[#This Row],[Estimated Concrete Demand (m³)]]&lt;10000,"Small",
IF(Market_Data[[#This Row],[Estimated Concrete Demand (m³)]]&lt;25000,"Medium",
IF(Market_Data[[#This Row],[Estimated Concrete Demand (m³)]]&lt;100000,"Large","Mega"))))</f>
        <v>Medium</v>
      </c>
      <c r="P2785" s="287" t="str">
        <f t="shared" si="45"/>
        <v>GujRERA</v>
      </c>
    </row>
    <row r="2786" spans="1:16">
      <c r="A2786" s="129" t="str">
        <f>_xlfn.XLOOKUP(B2786,$S$9:$S$14,$T$9:$T$14)&amp;"-"&amp;
IF(E2786="Residential/Group Housing","RES",
IF(E2786="Commercial","COM",
IF(E2786="Mixed Development","MIX",
IF(E2786="Plotted Development","PLT","OTH"))))
&amp;"-"&amp;TEXT(COUNTIFS($B$9:B2786,B2786,$E$9:E2786,E2786),"0000")</f>
        <v>VAL-MIX-0034</v>
      </c>
      <c r="B2786" s="322" t="s">
        <v>35</v>
      </c>
      <c r="C2786" s="322" t="s">
        <v>35</v>
      </c>
      <c r="D2786" s="323" t="s">
        <v>2975</v>
      </c>
      <c r="E2786" s="132" t="s">
        <v>25</v>
      </c>
      <c r="F2786" s="97" t="str">
        <f ca="1">IF(OR(Market_Data[[#This Row],[Start Date]]="",Market_Data[[#This Row],[Completion Date]]=""),"Needs Validation",IF(Market_Data[[#This Row],[Start Date]]&gt;TODAY(),"Planned",IF(Market_Data[[#This Row],[Completion Date]]&lt;TODAY(),"Completed","Ongoing")))</f>
        <v>Completed</v>
      </c>
      <c r="G2786" s="324">
        <v>43556</v>
      </c>
      <c r="H2786" s="324">
        <v>46022</v>
      </c>
      <c r="I2786" s="325">
        <v>40300</v>
      </c>
      <c r="J278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86" s="133">
        <f>_xlfn.XLOOKUP(Market_Data[[#This Row],[Project Type]],tbl_assumptions_market[Project Category (RERA)],tbl_assumptions_market[Concrete Intensity
(m³ / sq m BUA)],"",0)</f>
        <v>0.42</v>
      </c>
      <c r="L2786" s="134">
        <f>ROUND(Market_Data[[#This Row],[Estimated Built Up Area (sq m)]]*Market_Data[[#This Row],[Concrete Intensity
(m³ / sq m)]],0)</f>
        <v>16926</v>
      </c>
      <c r="M2786" s="135">
        <f>_xlfn.XLOOKUP(Market_Data[[#This Row],[District]],tbl_district_price[District],tbl_district_price[Standard Price
(INR/m³)],"",0)</f>
        <v>5600</v>
      </c>
      <c r="N2786" s="364">
        <f>IF(OR(Market_Data[[#This Row],[Estimated Concrete Demand (m³)]]="",Market_Data[[#This Row],[Avg Price per (₹ / m³)]]=""),"",Market_Data[[#This Row],[Estimated Concrete Demand (m³)]]*Market_Data[[#This Row],[Avg Price per (₹ / m³)]]/10000000)</f>
        <v>9.4785599999999999</v>
      </c>
      <c r="O2786" s="97" t="str">
        <f>IF(Market_Data[[#This Row],[Estimated Concrete Demand (m³)]]="","",
IF(Market_Data[[#This Row],[Estimated Concrete Demand (m³)]]&lt;10000,"Small",
IF(Market_Data[[#This Row],[Estimated Concrete Demand (m³)]]&lt;25000,"Medium",
IF(Market_Data[[#This Row],[Estimated Concrete Demand (m³)]]&lt;100000,"Large","Mega"))))</f>
        <v>Medium</v>
      </c>
      <c r="P2786" s="287" t="str">
        <f t="shared" si="45"/>
        <v>GujRERA</v>
      </c>
    </row>
    <row r="2787" spans="1:16">
      <c r="A2787" s="129" t="str">
        <f>_xlfn.XLOOKUP(B2787,$S$9:$S$14,$T$9:$T$14)&amp;"-"&amp;
IF(E2787="Residential/Group Housing","RES",
IF(E2787="Commercial","COM",
IF(E2787="Mixed Development","MIX",
IF(E2787="Plotted Development","PLT","OTH"))))
&amp;"-"&amp;TEXT(COUNTIFS($B$9:B2787,B2787,$E$9:E2787,E2787),"0000")</f>
        <v>VAL-RES-0018</v>
      </c>
      <c r="B2787" s="322" t="s">
        <v>35</v>
      </c>
      <c r="C2787" s="322" t="s">
        <v>35</v>
      </c>
      <c r="D2787" s="323" t="s">
        <v>2976</v>
      </c>
      <c r="E2787" s="132" t="s">
        <v>24</v>
      </c>
      <c r="F2787" s="97" t="str">
        <f ca="1">IF(OR(Market_Data[[#This Row],[Start Date]]="",Market_Data[[#This Row],[Completion Date]]=""),"Needs Validation",IF(Market_Data[[#This Row],[Start Date]]&gt;TODAY(),"Planned",IF(Market_Data[[#This Row],[Completion Date]]&lt;TODAY(),"Completed","Ongoing")))</f>
        <v>Ongoing</v>
      </c>
      <c r="G2787" s="324">
        <v>44550</v>
      </c>
      <c r="H2787" s="324">
        <v>46387</v>
      </c>
      <c r="I2787" s="325">
        <v>48100</v>
      </c>
      <c r="J278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87" s="133">
        <f>_xlfn.XLOOKUP(Market_Data[[#This Row],[Project Type]],tbl_assumptions_market[Project Category (RERA)],tbl_assumptions_market[Concrete Intensity
(m³ / sq m BUA)],"",0)</f>
        <v>0.45</v>
      </c>
      <c r="L2787" s="134">
        <f>ROUND(Market_Data[[#This Row],[Estimated Built Up Area (sq m)]]*Market_Data[[#This Row],[Concrete Intensity
(m³ / sq m)]],0)</f>
        <v>21645</v>
      </c>
      <c r="M2787" s="135">
        <f>_xlfn.XLOOKUP(Market_Data[[#This Row],[District]],tbl_district_price[District],tbl_district_price[Standard Price
(INR/m³)],"",0)</f>
        <v>5600</v>
      </c>
      <c r="N2787" s="364">
        <f>IF(OR(Market_Data[[#This Row],[Estimated Concrete Demand (m³)]]="",Market_Data[[#This Row],[Avg Price per (₹ / m³)]]=""),"",Market_Data[[#This Row],[Estimated Concrete Demand (m³)]]*Market_Data[[#This Row],[Avg Price per (₹ / m³)]]/10000000)</f>
        <v>12.1212</v>
      </c>
      <c r="O2787" s="97" t="str">
        <f>IF(Market_Data[[#This Row],[Estimated Concrete Demand (m³)]]="","",
IF(Market_Data[[#This Row],[Estimated Concrete Demand (m³)]]&lt;10000,"Small",
IF(Market_Data[[#This Row],[Estimated Concrete Demand (m³)]]&lt;25000,"Medium",
IF(Market_Data[[#This Row],[Estimated Concrete Demand (m³)]]&lt;100000,"Large","Mega"))))</f>
        <v>Medium</v>
      </c>
      <c r="P2787" s="287" t="str">
        <f t="shared" si="45"/>
        <v>GujRERA</v>
      </c>
    </row>
    <row r="2788" spans="1:16">
      <c r="A2788" s="129" t="str">
        <f>_xlfn.XLOOKUP(B2788,$S$9:$S$14,$T$9:$T$14)&amp;"-"&amp;
IF(E2788="Residential/Group Housing","RES",
IF(E2788="Commercial","COM",
IF(E2788="Mixed Development","MIX",
IF(E2788="Plotted Development","PLT","OTH"))))
&amp;"-"&amp;TEXT(COUNTIFS($B$9:B2788,B2788,$E$9:E2788,E2788),"0000")</f>
        <v>VAL-RES-0019</v>
      </c>
      <c r="B2788" s="322" t="s">
        <v>35</v>
      </c>
      <c r="C2788" s="322" t="s">
        <v>35</v>
      </c>
      <c r="D2788" s="323" t="s">
        <v>2977</v>
      </c>
      <c r="E2788" s="132" t="s">
        <v>24</v>
      </c>
      <c r="F2788" s="97" t="str">
        <f ca="1">IF(OR(Market_Data[[#This Row],[Start Date]]="",Market_Data[[#This Row],[Completion Date]]=""),"Needs Validation",IF(Market_Data[[#This Row],[Start Date]]&gt;TODAY(),"Planned",IF(Market_Data[[#This Row],[Completion Date]]&lt;TODAY(),"Completed","Ongoing")))</f>
        <v>Ongoing</v>
      </c>
      <c r="G2788" s="324">
        <v>45047</v>
      </c>
      <c r="H2788" s="324">
        <v>46752</v>
      </c>
      <c r="I2788" s="325">
        <v>21600</v>
      </c>
      <c r="J278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88" s="133">
        <f>_xlfn.XLOOKUP(Market_Data[[#This Row],[Project Type]],tbl_assumptions_market[Project Category (RERA)],tbl_assumptions_market[Concrete Intensity
(m³ / sq m BUA)],"",0)</f>
        <v>0.45</v>
      </c>
      <c r="L2788" s="134">
        <f>ROUND(Market_Data[[#This Row],[Estimated Built Up Area (sq m)]]*Market_Data[[#This Row],[Concrete Intensity
(m³ / sq m)]],0)</f>
        <v>9720</v>
      </c>
      <c r="M2788" s="135">
        <f>_xlfn.XLOOKUP(Market_Data[[#This Row],[District]],tbl_district_price[District],tbl_district_price[Standard Price
(INR/m³)],"",0)</f>
        <v>5600</v>
      </c>
      <c r="N2788" s="364">
        <f>IF(OR(Market_Data[[#This Row],[Estimated Concrete Demand (m³)]]="",Market_Data[[#This Row],[Avg Price per (₹ / m³)]]=""),"",Market_Data[[#This Row],[Estimated Concrete Demand (m³)]]*Market_Data[[#This Row],[Avg Price per (₹ / m³)]]/10000000)</f>
        <v>5.4432</v>
      </c>
      <c r="O2788" s="97" t="str">
        <f>IF(Market_Data[[#This Row],[Estimated Concrete Demand (m³)]]="","",
IF(Market_Data[[#This Row],[Estimated Concrete Demand (m³)]]&lt;10000,"Small",
IF(Market_Data[[#This Row],[Estimated Concrete Demand (m³)]]&lt;25000,"Medium",
IF(Market_Data[[#This Row],[Estimated Concrete Demand (m³)]]&lt;100000,"Large","Mega"))))</f>
        <v>Small</v>
      </c>
      <c r="P2788" s="287" t="str">
        <f t="shared" si="45"/>
        <v>GujRERA</v>
      </c>
    </row>
    <row r="2789" spans="1:16">
      <c r="A2789" s="129" t="str">
        <f>_xlfn.XLOOKUP(B2789,$S$9:$S$14,$T$9:$T$14)&amp;"-"&amp;
IF(E2789="Residential/Group Housing","RES",
IF(E2789="Commercial","COM",
IF(E2789="Mixed Development","MIX",
IF(E2789="Plotted Development","PLT","OTH"))))
&amp;"-"&amp;TEXT(COUNTIFS($B$9:B2789,B2789,$E$9:E2789,E2789),"0000")</f>
        <v>VAL-RES-0020</v>
      </c>
      <c r="B2789" s="322" t="s">
        <v>35</v>
      </c>
      <c r="C2789" s="322" t="s">
        <v>35</v>
      </c>
      <c r="D2789" s="323" t="s">
        <v>2978</v>
      </c>
      <c r="E2789" s="132" t="s">
        <v>24</v>
      </c>
      <c r="F2789" s="97" t="str">
        <f ca="1">IF(OR(Market_Data[[#This Row],[Start Date]]="",Market_Data[[#This Row],[Completion Date]]=""),"Needs Validation",IF(Market_Data[[#This Row],[Start Date]]&gt;TODAY(),"Planned",IF(Market_Data[[#This Row],[Completion Date]]&lt;TODAY(),"Completed","Ongoing")))</f>
        <v>Ongoing</v>
      </c>
      <c r="G2789" s="324">
        <v>45097</v>
      </c>
      <c r="H2789" s="324">
        <v>46934</v>
      </c>
      <c r="I2789" s="325">
        <v>4100</v>
      </c>
      <c r="J278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89" s="133">
        <f>_xlfn.XLOOKUP(Market_Data[[#This Row],[Project Type]],tbl_assumptions_market[Project Category (RERA)],tbl_assumptions_market[Concrete Intensity
(m³ / sq m BUA)],"",0)</f>
        <v>0.45</v>
      </c>
      <c r="L2789" s="134">
        <f>ROUND(Market_Data[[#This Row],[Estimated Built Up Area (sq m)]]*Market_Data[[#This Row],[Concrete Intensity
(m³ / sq m)]],0)</f>
        <v>1845</v>
      </c>
      <c r="M2789" s="135">
        <f>_xlfn.XLOOKUP(Market_Data[[#This Row],[District]],tbl_district_price[District],tbl_district_price[Standard Price
(INR/m³)],"",0)</f>
        <v>5600</v>
      </c>
      <c r="N2789" s="364">
        <f>IF(OR(Market_Data[[#This Row],[Estimated Concrete Demand (m³)]]="",Market_Data[[#This Row],[Avg Price per (₹ / m³)]]=""),"",Market_Data[[#This Row],[Estimated Concrete Demand (m³)]]*Market_Data[[#This Row],[Avg Price per (₹ / m³)]]/10000000)</f>
        <v>1.0331999999999999</v>
      </c>
      <c r="O2789" s="97" t="str">
        <f>IF(Market_Data[[#This Row],[Estimated Concrete Demand (m³)]]="","",
IF(Market_Data[[#This Row],[Estimated Concrete Demand (m³)]]&lt;10000,"Small",
IF(Market_Data[[#This Row],[Estimated Concrete Demand (m³)]]&lt;25000,"Medium",
IF(Market_Data[[#This Row],[Estimated Concrete Demand (m³)]]&lt;100000,"Large","Mega"))))</f>
        <v>Small</v>
      </c>
      <c r="P2789" s="287" t="str">
        <f t="shared" si="45"/>
        <v>GujRERA</v>
      </c>
    </row>
    <row r="2790" spans="1:16">
      <c r="A2790" s="129" t="str">
        <f>_xlfn.XLOOKUP(B2790,$S$9:$S$14,$T$9:$T$14)&amp;"-"&amp;
IF(E2790="Residential/Group Housing","RES",
IF(E2790="Commercial","COM",
IF(E2790="Mixed Development","MIX",
IF(E2790="Plotted Development","PLT","OTH"))))
&amp;"-"&amp;TEXT(COUNTIFS($B$9:B2790,B2790,$E$9:E2790,E2790),"0000")</f>
        <v>VAL-MIX-0035</v>
      </c>
      <c r="B2790" s="322" t="s">
        <v>35</v>
      </c>
      <c r="C2790" s="322" t="s">
        <v>35</v>
      </c>
      <c r="D2790" s="323" t="s">
        <v>2979</v>
      </c>
      <c r="E2790" s="132" t="s">
        <v>25</v>
      </c>
      <c r="F2790" s="97" t="str">
        <f ca="1">IF(OR(Market_Data[[#This Row],[Start Date]]="",Market_Data[[#This Row],[Completion Date]]=""),"Needs Validation",IF(Market_Data[[#This Row],[Start Date]]&gt;TODAY(),"Planned",IF(Market_Data[[#This Row],[Completion Date]]&lt;TODAY(),"Completed","Ongoing")))</f>
        <v>Ongoing</v>
      </c>
      <c r="G2790" s="324">
        <v>45352</v>
      </c>
      <c r="H2790" s="324">
        <v>46477</v>
      </c>
      <c r="I2790" s="325">
        <v>47700</v>
      </c>
      <c r="J279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90" s="133">
        <f>_xlfn.XLOOKUP(Market_Data[[#This Row],[Project Type]],tbl_assumptions_market[Project Category (RERA)],tbl_assumptions_market[Concrete Intensity
(m³ / sq m BUA)],"",0)</f>
        <v>0.42</v>
      </c>
      <c r="L2790" s="134">
        <f>ROUND(Market_Data[[#This Row],[Estimated Built Up Area (sq m)]]*Market_Data[[#This Row],[Concrete Intensity
(m³ / sq m)]],0)</f>
        <v>20034</v>
      </c>
      <c r="M2790" s="135">
        <f>_xlfn.XLOOKUP(Market_Data[[#This Row],[District]],tbl_district_price[District],tbl_district_price[Standard Price
(INR/m³)],"",0)</f>
        <v>5600</v>
      </c>
      <c r="N2790" s="364">
        <f>IF(OR(Market_Data[[#This Row],[Estimated Concrete Demand (m³)]]="",Market_Data[[#This Row],[Avg Price per (₹ / m³)]]=""),"",Market_Data[[#This Row],[Estimated Concrete Demand (m³)]]*Market_Data[[#This Row],[Avg Price per (₹ / m³)]]/10000000)</f>
        <v>11.21904</v>
      </c>
      <c r="O2790" s="97" t="str">
        <f>IF(Market_Data[[#This Row],[Estimated Concrete Demand (m³)]]="","",
IF(Market_Data[[#This Row],[Estimated Concrete Demand (m³)]]&lt;10000,"Small",
IF(Market_Data[[#This Row],[Estimated Concrete Demand (m³)]]&lt;25000,"Medium",
IF(Market_Data[[#This Row],[Estimated Concrete Demand (m³)]]&lt;100000,"Large","Mega"))))</f>
        <v>Medium</v>
      </c>
      <c r="P2790" s="287" t="str">
        <f t="shared" si="45"/>
        <v>GujRERA</v>
      </c>
    </row>
    <row r="2791" spans="1:16">
      <c r="A2791" s="129" t="str">
        <f>_xlfn.XLOOKUP(B2791,$S$9:$S$14,$T$9:$T$14)&amp;"-"&amp;
IF(E2791="Residential/Group Housing","RES",
IF(E2791="Commercial","COM",
IF(E2791="Mixed Development","MIX",
IF(E2791="Plotted Development","PLT","OTH"))))
&amp;"-"&amp;TEXT(COUNTIFS($B$9:B2791,B2791,$E$9:E2791,E2791),"0000")</f>
        <v>VAL-MIX-0036</v>
      </c>
      <c r="B2791" s="322" t="s">
        <v>35</v>
      </c>
      <c r="C2791" s="322" t="s">
        <v>35</v>
      </c>
      <c r="D2791" s="323" t="s">
        <v>2980</v>
      </c>
      <c r="E2791" s="132" t="s">
        <v>25</v>
      </c>
      <c r="F2791" s="97" t="str">
        <f ca="1">IF(OR(Market_Data[[#This Row],[Start Date]]="",Market_Data[[#This Row],[Completion Date]]=""),"Needs Validation",IF(Market_Data[[#This Row],[Start Date]]&gt;TODAY(),"Planned",IF(Market_Data[[#This Row],[Completion Date]]&lt;TODAY(),"Completed","Ongoing")))</f>
        <v>Completed</v>
      </c>
      <c r="G2791" s="324">
        <v>43900</v>
      </c>
      <c r="H2791" s="324">
        <v>45291</v>
      </c>
      <c r="I2791" s="325">
        <v>11900</v>
      </c>
      <c r="J279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91" s="133">
        <f>_xlfn.XLOOKUP(Market_Data[[#This Row],[Project Type]],tbl_assumptions_market[Project Category (RERA)],tbl_assumptions_market[Concrete Intensity
(m³ / sq m BUA)],"",0)</f>
        <v>0.42</v>
      </c>
      <c r="L2791" s="134">
        <f>ROUND(Market_Data[[#This Row],[Estimated Built Up Area (sq m)]]*Market_Data[[#This Row],[Concrete Intensity
(m³ / sq m)]],0)</f>
        <v>4998</v>
      </c>
      <c r="M2791" s="135">
        <f>_xlfn.XLOOKUP(Market_Data[[#This Row],[District]],tbl_district_price[District],tbl_district_price[Standard Price
(INR/m³)],"",0)</f>
        <v>5600</v>
      </c>
      <c r="N2791" s="364">
        <f>IF(OR(Market_Data[[#This Row],[Estimated Concrete Demand (m³)]]="",Market_Data[[#This Row],[Avg Price per (₹ / m³)]]=""),"",Market_Data[[#This Row],[Estimated Concrete Demand (m³)]]*Market_Data[[#This Row],[Avg Price per (₹ / m³)]]/10000000)</f>
        <v>2.79888</v>
      </c>
      <c r="O2791" s="97" t="str">
        <f>IF(Market_Data[[#This Row],[Estimated Concrete Demand (m³)]]="","",
IF(Market_Data[[#This Row],[Estimated Concrete Demand (m³)]]&lt;10000,"Small",
IF(Market_Data[[#This Row],[Estimated Concrete Demand (m³)]]&lt;25000,"Medium",
IF(Market_Data[[#This Row],[Estimated Concrete Demand (m³)]]&lt;100000,"Large","Mega"))))</f>
        <v>Small</v>
      </c>
      <c r="P2791" s="287" t="str">
        <f t="shared" si="45"/>
        <v>GujRERA</v>
      </c>
    </row>
    <row r="2792" spans="1:16">
      <c r="A2792" s="129" t="str">
        <f>_xlfn.XLOOKUP(B2792,$S$9:$S$14,$T$9:$T$14)&amp;"-"&amp;
IF(E2792="Residential/Group Housing","RES",
IF(E2792="Commercial","COM",
IF(E2792="Mixed Development","MIX",
IF(E2792="Plotted Development","PLT","OTH"))))
&amp;"-"&amp;TEXT(COUNTIFS($B$9:B2792,B2792,$E$9:E2792,E2792),"0000")</f>
        <v>VAL-MIX-0037</v>
      </c>
      <c r="B2792" s="322" t="s">
        <v>35</v>
      </c>
      <c r="C2792" s="322" t="s">
        <v>35</v>
      </c>
      <c r="D2792" s="323" t="s">
        <v>2981</v>
      </c>
      <c r="E2792" s="132" t="s">
        <v>25</v>
      </c>
      <c r="F2792" s="97" t="str">
        <f ca="1">IF(OR(Market_Data[[#This Row],[Start Date]]="",Market_Data[[#This Row],[Completion Date]]=""),"Needs Validation",IF(Market_Data[[#This Row],[Start Date]]&gt;TODAY(),"Planned",IF(Market_Data[[#This Row],[Completion Date]]&lt;TODAY(),"Completed","Ongoing")))</f>
        <v>Completed</v>
      </c>
      <c r="G2792" s="324">
        <v>43586</v>
      </c>
      <c r="H2792" s="324">
        <v>45231</v>
      </c>
      <c r="I2792" s="325">
        <v>9500</v>
      </c>
      <c r="J279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792" s="133">
        <f>_xlfn.XLOOKUP(Market_Data[[#This Row],[Project Type]],tbl_assumptions_market[Project Category (RERA)],tbl_assumptions_market[Concrete Intensity
(m³ / sq m BUA)],"",0)</f>
        <v>0.42</v>
      </c>
      <c r="L2792" s="134">
        <f>ROUND(Market_Data[[#This Row],[Estimated Built Up Area (sq m)]]*Market_Data[[#This Row],[Concrete Intensity
(m³ / sq m)]],0)</f>
        <v>3990</v>
      </c>
      <c r="M2792" s="135">
        <f>_xlfn.XLOOKUP(Market_Data[[#This Row],[District]],tbl_district_price[District],tbl_district_price[Standard Price
(INR/m³)],"",0)</f>
        <v>5600</v>
      </c>
      <c r="N2792" s="364">
        <f>IF(OR(Market_Data[[#This Row],[Estimated Concrete Demand (m³)]]="",Market_Data[[#This Row],[Avg Price per (₹ / m³)]]=""),"",Market_Data[[#This Row],[Estimated Concrete Demand (m³)]]*Market_Data[[#This Row],[Avg Price per (₹ / m³)]]/10000000)</f>
        <v>2.2343999999999999</v>
      </c>
      <c r="O2792" s="97" t="str">
        <f>IF(Market_Data[[#This Row],[Estimated Concrete Demand (m³)]]="","",
IF(Market_Data[[#This Row],[Estimated Concrete Demand (m³)]]&lt;10000,"Small",
IF(Market_Data[[#This Row],[Estimated Concrete Demand (m³)]]&lt;25000,"Medium",
IF(Market_Data[[#This Row],[Estimated Concrete Demand (m³)]]&lt;100000,"Large","Mega"))))</f>
        <v>Small</v>
      </c>
      <c r="P2792" s="287" t="str">
        <f t="shared" si="45"/>
        <v>GujRERA</v>
      </c>
    </row>
    <row r="2793" spans="1:16">
      <c r="A2793" s="129" t="str">
        <f>_xlfn.XLOOKUP(B2793,$S$9:$S$14,$T$9:$T$14)&amp;"-"&amp;
IF(E2793="Residential/Group Housing","RES",
IF(E2793="Commercial","COM",
IF(E2793="Mixed Development","MIX",
IF(E2793="Plotted Development","PLT","OTH"))))
&amp;"-"&amp;TEXT(COUNTIFS($B$9:B2793,B2793,$E$9:E2793,E2793),"0000")</f>
        <v>VAL-MIX-0038</v>
      </c>
      <c r="B2793" s="322" t="s">
        <v>35</v>
      </c>
      <c r="C2793" s="322" t="s">
        <v>35</v>
      </c>
      <c r="D2793" s="323" t="s">
        <v>2982</v>
      </c>
      <c r="E2793" s="132" t="s">
        <v>25</v>
      </c>
      <c r="F2793" s="97" t="str">
        <f ca="1">IF(OR(Market_Data[[#This Row],[Start Date]]="",Market_Data[[#This Row],[Completion Date]]=""),"Needs Validation",IF(Market_Data[[#This Row],[Start Date]]&gt;TODAY(),"Planned",IF(Market_Data[[#This Row],[Completion Date]]&lt;TODAY(),"Completed","Ongoing")))</f>
        <v>Ongoing</v>
      </c>
      <c r="G2793" s="324">
        <v>45536</v>
      </c>
      <c r="H2793" s="324">
        <v>47118</v>
      </c>
      <c r="I2793" s="325">
        <v>3000</v>
      </c>
      <c r="J279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793" s="133">
        <f>_xlfn.XLOOKUP(Market_Data[[#This Row],[Project Type]],tbl_assumptions_market[Project Category (RERA)],tbl_assumptions_market[Concrete Intensity
(m³ / sq m BUA)],"",0)</f>
        <v>0.42</v>
      </c>
      <c r="L2793" s="134">
        <f>ROUND(Market_Data[[#This Row],[Estimated Built Up Area (sq m)]]*Market_Data[[#This Row],[Concrete Intensity
(m³ / sq m)]],0)</f>
        <v>1260</v>
      </c>
      <c r="M2793" s="135">
        <f>_xlfn.XLOOKUP(Market_Data[[#This Row],[District]],tbl_district_price[District],tbl_district_price[Standard Price
(INR/m³)],"",0)</f>
        <v>5600</v>
      </c>
      <c r="N2793" s="364">
        <f>IF(OR(Market_Data[[#This Row],[Estimated Concrete Demand (m³)]]="",Market_Data[[#This Row],[Avg Price per (₹ / m³)]]=""),"",Market_Data[[#This Row],[Estimated Concrete Demand (m³)]]*Market_Data[[#This Row],[Avg Price per (₹ / m³)]]/10000000)</f>
        <v>0.7056</v>
      </c>
      <c r="O2793" s="97" t="str">
        <f>IF(Market_Data[[#This Row],[Estimated Concrete Demand (m³)]]="","",
IF(Market_Data[[#This Row],[Estimated Concrete Demand (m³)]]&lt;10000,"Small",
IF(Market_Data[[#This Row],[Estimated Concrete Demand (m³)]]&lt;25000,"Medium",
IF(Market_Data[[#This Row],[Estimated Concrete Demand (m³)]]&lt;100000,"Large","Mega"))))</f>
        <v>Small</v>
      </c>
      <c r="P2793" s="287" t="str">
        <f t="shared" si="45"/>
        <v>GujRERA</v>
      </c>
    </row>
    <row r="2794" spans="1:16">
      <c r="A2794" s="129" t="str">
        <f>_xlfn.XLOOKUP(B2794,$S$9:$S$14,$T$9:$T$14)&amp;"-"&amp;
IF(E2794="Residential/Group Housing","RES",
IF(E2794="Commercial","COM",
IF(E2794="Mixed Development","MIX",
IF(E2794="Plotted Development","PLT","OTH"))))
&amp;"-"&amp;TEXT(COUNTIFS($B$9:B2794,B2794,$E$9:E2794,E2794),"0000")</f>
        <v>VAL-RES-0021</v>
      </c>
      <c r="B2794" s="322" t="s">
        <v>35</v>
      </c>
      <c r="C2794" s="322" t="s">
        <v>35</v>
      </c>
      <c r="D2794" s="323" t="s">
        <v>2983</v>
      </c>
      <c r="E2794" s="132" t="s">
        <v>24</v>
      </c>
      <c r="F2794" s="97" t="str">
        <f ca="1">IF(OR(Market_Data[[#This Row],[Start Date]]="",Market_Data[[#This Row],[Completion Date]]=""),"Needs Validation",IF(Market_Data[[#This Row],[Start Date]]&gt;TODAY(),"Planned",IF(Market_Data[[#This Row],[Completion Date]]&lt;TODAY(),"Completed","Ongoing")))</f>
        <v>Completed</v>
      </c>
      <c r="G2794" s="324">
        <v>43800</v>
      </c>
      <c r="H2794" s="324">
        <v>44742</v>
      </c>
      <c r="I2794" s="325">
        <v>14400</v>
      </c>
      <c r="J279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94" s="133">
        <f>_xlfn.XLOOKUP(Market_Data[[#This Row],[Project Type]],tbl_assumptions_market[Project Category (RERA)],tbl_assumptions_market[Concrete Intensity
(m³ / sq m BUA)],"",0)</f>
        <v>0.45</v>
      </c>
      <c r="L2794" s="134">
        <f>ROUND(Market_Data[[#This Row],[Estimated Built Up Area (sq m)]]*Market_Data[[#This Row],[Concrete Intensity
(m³ / sq m)]],0)</f>
        <v>6480</v>
      </c>
      <c r="M2794" s="135">
        <f>_xlfn.XLOOKUP(Market_Data[[#This Row],[District]],tbl_district_price[District],tbl_district_price[Standard Price
(INR/m³)],"",0)</f>
        <v>5600</v>
      </c>
      <c r="N2794" s="364">
        <f>IF(OR(Market_Data[[#This Row],[Estimated Concrete Demand (m³)]]="",Market_Data[[#This Row],[Avg Price per (₹ / m³)]]=""),"",Market_Data[[#This Row],[Estimated Concrete Demand (m³)]]*Market_Data[[#This Row],[Avg Price per (₹ / m³)]]/10000000)</f>
        <v>3.6288</v>
      </c>
      <c r="O2794" s="97" t="str">
        <f>IF(Market_Data[[#This Row],[Estimated Concrete Demand (m³)]]="","",
IF(Market_Data[[#This Row],[Estimated Concrete Demand (m³)]]&lt;10000,"Small",
IF(Market_Data[[#This Row],[Estimated Concrete Demand (m³)]]&lt;25000,"Medium",
IF(Market_Data[[#This Row],[Estimated Concrete Demand (m³)]]&lt;100000,"Large","Mega"))))</f>
        <v>Small</v>
      </c>
      <c r="P2794" s="287" t="str">
        <f t="shared" si="45"/>
        <v>GujRERA</v>
      </c>
    </row>
    <row r="2795" spans="1:16">
      <c r="A2795" s="129" t="str">
        <f>_xlfn.XLOOKUP(B2795,$S$9:$S$14,$T$9:$T$14)&amp;"-"&amp;
IF(E2795="Residential/Group Housing","RES",
IF(E2795="Commercial","COM",
IF(E2795="Mixed Development","MIX",
IF(E2795="Plotted Development","PLT","OTH"))))
&amp;"-"&amp;TEXT(COUNTIFS($B$9:B2795,B2795,$E$9:E2795,E2795),"0000")</f>
        <v>VAL-RES-0022</v>
      </c>
      <c r="B2795" s="322" t="s">
        <v>35</v>
      </c>
      <c r="C2795" s="322" t="s">
        <v>35</v>
      </c>
      <c r="D2795" s="323" t="s">
        <v>2984</v>
      </c>
      <c r="E2795" s="132" t="s">
        <v>24</v>
      </c>
      <c r="F2795" s="97" t="str">
        <f ca="1">IF(OR(Market_Data[[#This Row],[Start Date]]="",Market_Data[[#This Row],[Completion Date]]=""),"Needs Validation",IF(Market_Data[[#This Row],[Start Date]]&gt;TODAY(),"Planned",IF(Market_Data[[#This Row],[Completion Date]]&lt;TODAY(),"Completed","Ongoing")))</f>
        <v>Ongoing</v>
      </c>
      <c r="G2795" s="324">
        <v>44977</v>
      </c>
      <c r="H2795" s="324">
        <v>46752</v>
      </c>
      <c r="I2795" s="325">
        <v>13000</v>
      </c>
      <c r="J279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95" s="133">
        <f>_xlfn.XLOOKUP(Market_Data[[#This Row],[Project Type]],tbl_assumptions_market[Project Category (RERA)],tbl_assumptions_market[Concrete Intensity
(m³ / sq m BUA)],"",0)</f>
        <v>0.45</v>
      </c>
      <c r="L2795" s="134">
        <f>ROUND(Market_Data[[#This Row],[Estimated Built Up Area (sq m)]]*Market_Data[[#This Row],[Concrete Intensity
(m³ / sq m)]],0)</f>
        <v>5850</v>
      </c>
      <c r="M2795" s="135">
        <f>_xlfn.XLOOKUP(Market_Data[[#This Row],[District]],tbl_district_price[District],tbl_district_price[Standard Price
(INR/m³)],"",0)</f>
        <v>5600</v>
      </c>
      <c r="N2795" s="364">
        <f>IF(OR(Market_Data[[#This Row],[Estimated Concrete Demand (m³)]]="",Market_Data[[#This Row],[Avg Price per (₹ / m³)]]=""),"",Market_Data[[#This Row],[Estimated Concrete Demand (m³)]]*Market_Data[[#This Row],[Avg Price per (₹ / m³)]]/10000000)</f>
        <v>3.2759999999999998</v>
      </c>
      <c r="O2795" s="97" t="str">
        <f>IF(Market_Data[[#This Row],[Estimated Concrete Demand (m³)]]="","",
IF(Market_Data[[#This Row],[Estimated Concrete Demand (m³)]]&lt;10000,"Small",
IF(Market_Data[[#This Row],[Estimated Concrete Demand (m³)]]&lt;25000,"Medium",
IF(Market_Data[[#This Row],[Estimated Concrete Demand (m³)]]&lt;100000,"Large","Mega"))))</f>
        <v>Small</v>
      </c>
      <c r="P2795" s="287" t="str">
        <f t="shared" si="45"/>
        <v>GujRERA</v>
      </c>
    </row>
    <row r="2796" spans="1:16">
      <c r="A2796" s="129" t="str">
        <f>_xlfn.XLOOKUP(B2796,$S$9:$S$14,$T$9:$T$14)&amp;"-"&amp;
IF(E2796="Residential/Group Housing","RES",
IF(E2796="Commercial","COM",
IF(E2796="Mixed Development","MIX",
IF(E2796="Plotted Development","PLT","OTH"))))
&amp;"-"&amp;TEXT(COUNTIFS($B$9:B2796,B2796,$E$9:E2796,E2796),"0000")</f>
        <v>VAL-RES-0023</v>
      </c>
      <c r="B2796" s="322" t="s">
        <v>35</v>
      </c>
      <c r="C2796" s="322" t="s">
        <v>35</v>
      </c>
      <c r="D2796" s="323" t="s">
        <v>2985</v>
      </c>
      <c r="E2796" s="132" t="s">
        <v>24</v>
      </c>
      <c r="F2796" s="97" t="str">
        <f ca="1">IF(OR(Market_Data[[#This Row],[Start Date]]="",Market_Data[[#This Row],[Completion Date]]=""),"Needs Validation",IF(Market_Data[[#This Row],[Start Date]]&gt;TODAY(),"Planned",IF(Market_Data[[#This Row],[Completion Date]]&lt;TODAY(),"Completed","Ongoing")))</f>
        <v>Completed</v>
      </c>
      <c r="G2796" s="324">
        <v>43146</v>
      </c>
      <c r="H2796" s="324">
        <v>45107</v>
      </c>
      <c r="I2796" s="325">
        <v>52500</v>
      </c>
      <c r="J279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96" s="133">
        <f>_xlfn.XLOOKUP(Market_Data[[#This Row],[Project Type]],tbl_assumptions_market[Project Category (RERA)],tbl_assumptions_market[Concrete Intensity
(m³ / sq m BUA)],"",0)</f>
        <v>0.45</v>
      </c>
      <c r="L2796" s="134">
        <f>ROUND(Market_Data[[#This Row],[Estimated Built Up Area (sq m)]]*Market_Data[[#This Row],[Concrete Intensity
(m³ / sq m)]],0)</f>
        <v>23625</v>
      </c>
      <c r="M2796" s="135">
        <f>_xlfn.XLOOKUP(Market_Data[[#This Row],[District]],tbl_district_price[District],tbl_district_price[Standard Price
(INR/m³)],"",0)</f>
        <v>5600</v>
      </c>
      <c r="N2796" s="364">
        <f>IF(OR(Market_Data[[#This Row],[Estimated Concrete Demand (m³)]]="",Market_Data[[#This Row],[Avg Price per (₹ / m³)]]=""),"",Market_Data[[#This Row],[Estimated Concrete Demand (m³)]]*Market_Data[[#This Row],[Avg Price per (₹ / m³)]]/10000000)</f>
        <v>13.23</v>
      </c>
      <c r="O2796" s="97" t="str">
        <f>IF(Market_Data[[#This Row],[Estimated Concrete Demand (m³)]]="","",
IF(Market_Data[[#This Row],[Estimated Concrete Demand (m³)]]&lt;10000,"Small",
IF(Market_Data[[#This Row],[Estimated Concrete Demand (m³)]]&lt;25000,"Medium",
IF(Market_Data[[#This Row],[Estimated Concrete Demand (m³)]]&lt;100000,"Large","Mega"))))</f>
        <v>Medium</v>
      </c>
      <c r="P2796" s="287" t="str">
        <f t="shared" si="45"/>
        <v>GujRERA</v>
      </c>
    </row>
    <row r="2797" spans="1:16">
      <c r="A2797" s="129" t="str">
        <f>_xlfn.XLOOKUP(B2797,$S$9:$S$14,$T$9:$T$14)&amp;"-"&amp;
IF(E2797="Residential/Group Housing","RES",
IF(E2797="Commercial","COM",
IF(E2797="Mixed Development","MIX",
IF(E2797="Plotted Development","PLT","OTH"))))
&amp;"-"&amp;TEXT(COUNTIFS($B$9:B2797,B2797,$E$9:E2797,E2797),"0000")</f>
        <v>VAL-COM-0011</v>
      </c>
      <c r="B2797" s="322" t="s">
        <v>35</v>
      </c>
      <c r="C2797" s="322" t="s">
        <v>35</v>
      </c>
      <c r="D2797" s="323" t="s">
        <v>2986</v>
      </c>
      <c r="E2797" s="132" t="s">
        <v>23</v>
      </c>
      <c r="F2797" s="97" t="str">
        <f ca="1">IF(OR(Market_Data[[#This Row],[Start Date]]="",Market_Data[[#This Row],[Completion Date]]=""),"Needs Validation",IF(Market_Data[[#This Row],[Start Date]]&gt;TODAY(),"Planned",IF(Market_Data[[#This Row],[Completion Date]]&lt;TODAY(),"Completed","Ongoing")))</f>
        <v>Completed</v>
      </c>
      <c r="G2797" s="324">
        <v>43521</v>
      </c>
      <c r="H2797" s="324">
        <v>45199</v>
      </c>
      <c r="I2797" s="325">
        <v>49600</v>
      </c>
      <c r="J279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797" s="133">
        <f>_xlfn.XLOOKUP(Market_Data[[#This Row],[Project Type]],tbl_assumptions_market[Project Category (RERA)],tbl_assumptions_market[Concrete Intensity
(m³ / sq m BUA)],"",0)</f>
        <v>0.5</v>
      </c>
      <c r="L2797" s="134">
        <f>ROUND(Market_Data[[#This Row],[Estimated Built Up Area (sq m)]]*Market_Data[[#This Row],[Concrete Intensity
(m³ / sq m)]],0)</f>
        <v>24800</v>
      </c>
      <c r="M2797" s="135">
        <f>_xlfn.XLOOKUP(Market_Data[[#This Row],[District]],tbl_district_price[District],tbl_district_price[Standard Price
(INR/m³)],"",0)</f>
        <v>5600</v>
      </c>
      <c r="N2797" s="364">
        <f>IF(OR(Market_Data[[#This Row],[Estimated Concrete Demand (m³)]]="",Market_Data[[#This Row],[Avg Price per (₹ / m³)]]=""),"",Market_Data[[#This Row],[Estimated Concrete Demand (m³)]]*Market_Data[[#This Row],[Avg Price per (₹ / m³)]]/10000000)</f>
        <v>13.888</v>
      </c>
      <c r="O2797" s="97" t="str">
        <f>IF(Market_Data[[#This Row],[Estimated Concrete Demand (m³)]]="","",
IF(Market_Data[[#This Row],[Estimated Concrete Demand (m³)]]&lt;10000,"Small",
IF(Market_Data[[#This Row],[Estimated Concrete Demand (m³)]]&lt;25000,"Medium",
IF(Market_Data[[#This Row],[Estimated Concrete Demand (m³)]]&lt;100000,"Large","Mega"))))</f>
        <v>Medium</v>
      </c>
      <c r="P2797" s="287" t="str">
        <f t="shared" si="45"/>
        <v>GujRERA</v>
      </c>
    </row>
    <row r="2798" spans="1:16">
      <c r="A2798" s="129" t="str">
        <f>_xlfn.XLOOKUP(B2798,$S$9:$S$14,$T$9:$T$14)&amp;"-"&amp;
IF(E2798="Residential/Group Housing","RES",
IF(E2798="Commercial","COM",
IF(E2798="Mixed Development","MIX",
IF(E2798="Plotted Development","PLT","OTH"))))
&amp;"-"&amp;TEXT(COUNTIFS($B$9:B2798,B2798,$E$9:E2798,E2798),"0000")</f>
        <v>VAL-RES-0024</v>
      </c>
      <c r="B2798" s="322" t="s">
        <v>35</v>
      </c>
      <c r="C2798" s="322" t="s">
        <v>35</v>
      </c>
      <c r="D2798" s="323" t="s">
        <v>2987</v>
      </c>
      <c r="E2798" s="132" t="s">
        <v>24</v>
      </c>
      <c r="F2798" s="97" t="str">
        <f ca="1">IF(OR(Market_Data[[#This Row],[Start Date]]="",Market_Data[[#This Row],[Completion Date]]=""),"Needs Validation",IF(Market_Data[[#This Row],[Start Date]]&gt;TODAY(),"Planned",IF(Market_Data[[#This Row],[Completion Date]]&lt;TODAY(),"Completed","Ongoing")))</f>
        <v>Completed</v>
      </c>
      <c r="G2798" s="324">
        <v>41579</v>
      </c>
      <c r="H2798" s="324">
        <v>43496</v>
      </c>
      <c r="I2798" s="325">
        <v>26000</v>
      </c>
      <c r="J279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98" s="133">
        <f>_xlfn.XLOOKUP(Market_Data[[#This Row],[Project Type]],tbl_assumptions_market[Project Category (RERA)],tbl_assumptions_market[Concrete Intensity
(m³ / sq m BUA)],"",0)</f>
        <v>0.45</v>
      </c>
      <c r="L2798" s="134">
        <f>ROUND(Market_Data[[#This Row],[Estimated Built Up Area (sq m)]]*Market_Data[[#This Row],[Concrete Intensity
(m³ / sq m)]],0)</f>
        <v>11700</v>
      </c>
      <c r="M2798" s="135">
        <f>_xlfn.XLOOKUP(Market_Data[[#This Row],[District]],tbl_district_price[District],tbl_district_price[Standard Price
(INR/m³)],"",0)</f>
        <v>5600</v>
      </c>
      <c r="N2798" s="364">
        <f>IF(OR(Market_Data[[#This Row],[Estimated Concrete Demand (m³)]]="",Market_Data[[#This Row],[Avg Price per (₹ / m³)]]=""),"",Market_Data[[#This Row],[Estimated Concrete Demand (m³)]]*Market_Data[[#This Row],[Avg Price per (₹ / m³)]]/10000000)</f>
        <v>6.5519999999999996</v>
      </c>
      <c r="O2798" s="97" t="str">
        <f>IF(Market_Data[[#This Row],[Estimated Concrete Demand (m³)]]="","",
IF(Market_Data[[#This Row],[Estimated Concrete Demand (m³)]]&lt;10000,"Small",
IF(Market_Data[[#This Row],[Estimated Concrete Demand (m³)]]&lt;25000,"Medium",
IF(Market_Data[[#This Row],[Estimated Concrete Demand (m³)]]&lt;100000,"Large","Mega"))))</f>
        <v>Medium</v>
      </c>
      <c r="P2798" s="287" t="str">
        <f t="shared" si="45"/>
        <v>GujRERA</v>
      </c>
    </row>
    <row r="2799" spans="1:16">
      <c r="A2799" s="129" t="str">
        <f>_xlfn.XLOOKUP(B2799,$S$9:$S$14,$T$9:$T$14)&amp;"-"&amp;
IF(E2799="Residential/Group Housing","RES",
IF(E2799="Commercial","COM",
IF(E2799="Mixed Development","MIX",
IF(E2799="Plotted Development","PLT","OTH"))))
&amp;"-"&amp;TEXT(COUNTIFS($B$9:B2799,B2799,$E$9:E2799,E2799),"0000")</f>
        <v>VAL-RES-0025</v>
      </c>
      <c r="B2799" s="322" t="s">
        <v>35</v>
      </c>
      <c r="C2799" s="322" t="s">
        <v>35</v>
      </c>
      <c r="D2799" s="323" t="s">
        <v>2988</v>
      </c>
      <c r="E2799" s="132" t="s">
        <v>24</v>
      </c>
      <c r="F2799" s="97" t="str">
        <f ca="1">IF(OR(Market_Data[[#This Row],[Start Date]]="",Market_Data[[#This Row],[Completion Date]]=""),"Needs Validation",IF(Market_Data[[#This Row],[Start Date]]&gt;TODAY(),"Planned",IF(Market_Data[[#This Row],[Completion Date]]&lt;TODAY(),"Completed","Ongoing")))</f>
        <v>Completed</v>
      </c>
      <c r="G2799" s="324">
        <v>43205</v>
      </c>
      <c r="H2799" s="324">
        <v>44712</v>
      </c>
      <c r="I2799" s="325">
        <v>40900</v>
      </c>
      <c r="J279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799" s="133">
        <f>_xlfn.XLOOKUP(Market_Data[[#This Row],[Project Type]],tbl_assumptions_market[Project Category (RERA)],tbl_assumptions_market[Concrete Intensity
(m³ / sq m BUA)],"",0)</f>
        <v>0.45</v>
      </c>
      <c r="L2799" s="134">
        <f>ROUND(Market_Data[[#This Row],[Estimated Built Up Area (sq m)]]*Market_Data[[#This Row],[Concrete Intensity
(m³ / sq m)]],0)</f>
        <v>18405</v>
      </c>
      <c r="M2799" s="135">
        <f>_xlfn.XLOOKUP(Market_Data[[#This Row],[District]],tbl_district_price[District],tbl_district_price[Standard Price
(INR/m³)],"",0)</f>
        <v>5600</v>
      </c>
      <c r="N2799" s="364">
        <f>IF(OR(Market_Data[[#This Row],[Estimated Concrete Demand (m³)]]="",Market_Data[[#This Row],[Avg Price per (₹ / m³)]]=""),"",Market_Data[[#This Row],[Estimated Concrete Demand (m³)]]*Market_Data[[#This Row],[Avg Price per (₹ / m³)]]/10000000)</f>
        <v>10.306800000000001</v>
      </c>
      <c r="O2799" s="97" t="str">
        <f>IF(Market_Data[[#This Row],[Estimated Concrete Demand (m³)]]="","",
IF(Market_Data[[#This Row],[Estimated Concrete Demand (m³)]]&lt;10000,"Small",
IF(Market_Data[[#This Row],[Estimated Concrete Demand (m³)]]&lt;25000,"Medium",
IF(Market_Data[[#This Row],[Estimated Concrete Demand (m³)]]&lt;100000,"Large","Mega"))))</f>
        <v>Medium</v>
      </c>
      <c r="P2799" s="287" t="str">
        <f t="shared" si="45"/>
        <v>GujRERA</v>
      </c>
    </row>
    <row r="2800" spans="1:16">
      <c r="A2800" s="129" t="str">
        <f>_xlfn.XLOOKUP(B2800,$S$9:$S$14,$T$9:$T$14)&amp;"-"&amp;
IF(E2800="Residential/Group Housing","RES",
IF(E2800="Commercial","COM",
IF(E2800="Mixed Development","MIX",
IF(E2800="Plotted Development","PLT","OTH"))))
&amp;"-"&amp;TEXT(COUNTIFS($B$9:B2800,B2800,$E$9:E2800,E2800),"0000")</f>
        <v>VAL-MIX-0039</v>
      </c>
      <c r="B2800" s="322" t="s">
        <v>35</v>
      </c>
      <c r="C2800" s="322" t="s">
        <v>35</v>
      </c>
      <c r="D2800" s="323" t="s">
        <v>2989</v>
      </c>
      <c r="E2800" s="132" t="s">
        <v>25</v>
      </c>
      <c r="F2800" s="97" t="str">
        <f ca="1">IF(OR(Market_Data[[#This Row],[Start Date]]="",Market_Data[[#This Row],[Completion Date]]=""),"Needs Validation",IF(Market_Data[[#This Row],[Start Date]]&gt;TODAY(),"Planned",IF(Market_Data[[#This Row],[Completion Date]]&lt;TODAY(),"Completed","Ongoing")))</f>
        <v>Ongoing</v>
      </c>
      <c r="G2800" s="324">
        <v>45992</v>
      </c>
      <c r="H2800" s="324">
        <v>48213</v>
      </c>
      <c r="I2800" s="325">
        <v>5200</v>
      </c>
      <c r="J280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800" s="133">
        <f>_xlfn.XLOOKUP(Market_Data[[#This Row],[Project Type]],tbl_assumptions_market[Project Category (RERA)],tbl_assumptions_market[Concrete Intensity
(m³ / sq m BUA)],"",0)</f>
        <v>0.42</v>
      </c>
      <c r="L2800" s="134">
        <f>ROUND(Market_Data[[#This Row],[Estimated Built Up Area (sq m)]]*Market_Data[[#This Row],[Concrete Intensity
(m³ / sq m)]],0)</f>
        <v>2184</v>
      </c>
      <c r="M2800" s="135">
        <f>_xlfn.XLOOKUP(Market_Data[[#This Row],[District]],tbl_district_price[District],tbl_district_price[Standard Price
(INR/m³)],"",0)</f>
        <v>5600</v>
      </c>
      <c r="N2800" s="364">
        <f>IF(OR(Market_Data[[#This Row],[Estimated Concrete Demand (m³)]]="",Market_Data[[#This Row],[Avg Price per (₹ / m³)]]=""),"",Market_Data[[#This Row],[Estimated Concrete Demand (m³)]]*Market_Data[[#This Row],[Avg Price per (₹ / m³)]]/10000000)</f>
        <v>1.2230399999999999</v>
      </c>
      <c r="O2800" s="97" t="str">
        <f>IF(Market_Data[[#This Row],[Estimated Concrete Demand (m³)]]="","",
IF(Market_Data[[#This Row],[Estimated Concrete Demand (m³)]]&lt;10000,"Small",
IF(Market_Data[[#This Row],[Estimated Concrete Demand (m³)]]&lt;25000,"Medium",
IF(Market_Data[[#This Row],[Estimated Concrete Demand (m³)]]&lt;100000,"Large","Mega"))))</f>
        <v>Small</v>
      </c>
      <c r="P2800" s="287" t="str">
        <f t="shared" si="45"/>
        <v>GujRERA</v>
      </c>
    </row>
    <row r="2801" spans="1:16">
      <c r="A2801" s="129" t="str">
        <f>_xlfn.XLOOKUP(B2801,$S$9:$S$14,$T$9:$T$14)&amp;"-"&amp;
IF(E2801="Residential/Group Housing","RES",
IF(E2801="Commercial","COM",
IF(E2801="Mixed Development","MIX",
IF(E2801="Plotted Development","PLT","OTH"))))
&amp;"-"&amp;TEXT(COUNTIFS($B$9:B2801,B2801,$E$9:E2801,E2801),"0000")</f>
        <v>VAL-COM-0012</v>
      </c>
      <c r="B2801" s="322" t="s">
        <v>35</v>
      </c>
      <c r="C2801" s="322" t="s">
        <v>35</v>
      </c>
      <c r="D2801" s="323" t="s">
        <v>2990</v>
      </c>
      <c r="E2801" s="132" t="s">
        <v>23</v>
      </c>
      <c r="F2801" s="97" t="str">
        <f ca="1">IF(OR(Market_Data[[#This Row],[Start Date]]="",Market_Data[[#This Row],[Completion Date]]=""),"Needs Validation",IF(Market_Data[[#This Row],[Start Date]]&gt;TODAY(),"Planned",IF(Market_Data[[#This Row],[Completion Date]]&lt;TODAY(),"Completed","Ongoing")))</f>
        <v>Ongoing</v>
      </c>
      <c r="G2801" s="324">
        <v>46082</v>
      </c>
      <c r="H2801" s="324">
        <v>47573</v>
      </c>
      <c r="I2801" s="325">
        <v>42600</v>
      </c>
      <c r="J280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801" s="133">
        <f>_xlfn.XLOOKUP(Market_Data[[#This Row],[Project Type]],tbl_assumptions_market[Project Category (RERA)],tbl_assumptions_market[Concrete Intensity
(m³ / sq m BUA)],"",0)</f>
        <v>0.5</v>
      </c>
      <c r="L2801" s="134">
        <f>ROUND(Market_Data[[#This Row],[Estimated Built Up Area (sq m)]]*Market_Data[[#This Row],[Concrete Intensity
(m³ / sq m)]],0)</f>
        <v>21300</v>
      </c>
      <c r="M2801" s="135">
        <f>_xlfn.XLOOKUP(Market_Data[[#This Row],[District]],tbl_district_price[District],tbl_district_price[Standard Price
(INR/m³)],"",0)</f>
        <v>5600</v>
      </c>
      <c r="N2801" s="364">
        <f>IF(OR(Market_Data[[#This Row],[Estimated Concrete Demand (m³)]]="",Market_Data[[#This Row],[Avg Price per (₹ / m³)]]=""),"",Market_Data[[#This Row],[Estimated Concrete Demand (m³)]]*Market_Data[[#This Row],[Avg Price per (₹ / m³)]]/10000000)</f>
        <v>11.928000000000001</v>
      </c>
      <c r="O2801" s="97" t="str">
        <f>IF(Market_Data[[#This Row],[Estimated Concrete Demand (m³)]]="","",
IF(Market_Data[[#This Row],[Estimated Concrete Demand (m³)]]&lt;10000,"Small",
IF(Market_Data[[#This Row],[Estimated Concrete Demand (m³)]]&lt;25000,"Medium",
IF(Market_Data[[#This Row],[Estimated Concrete Demand (m³)]]&lt;100000,"Large","Mega"))))</f>
        <v>Medium</v>
      </c>
      <c r="P2801" s="287" t="str">
        <f t="shared" si="45"/>
        <v>GujRERA</v>
      </c>
    </row>
    <row r="2802" spans="1:16">
      <c r="A2802" s="129" t="str">
        <f>_xlfn.XLOOKUP(B2802,$S$9:$S$14,$T$9:$T$14)&amp;"-"&amp;
IF(E2802="Residential/Group Housing","RES",
IF(E2802="Commercial","COM",
IF(E2802="Mixed Development","MIX",
IF(E2802="Plotted Development","PLT","OTH"))))
&amp;"-"&amp;TEXT(COUNTIFS($B$9:B2802,B2802,$E$9:E2802,E2802),"0000")</f>
        <v>VAL-MIX-0040</v>
      </c>
      <c r="B2802" s="322" t="s">
        <v>35</v>
      </c>
      <c r="C2802" s="322" t="s">
        <v>35</v>
      </c>
      <c r="D2802" s="323" t="s">
        <v>2991</v>
      </c>
      <c r="E2802" s="132" t="s">
        <v>25</v>
      </c>
      <c r="F2802" s="97" t="str">
        <f ca="1">IF(OR(Market_Data[[#This Row],[Start Date]]="",Market_Data[[#This Row],[Completion Date]]=""),"Needs Validation",IF(Market_Data[[#This Row],[Start Date]]&gt;TODAY(),"Planned",IF(Market_Data[[#This Row],[Completion Date]]&lt;TODAY(),"Completed","Ongoing")))</f>
        <v>Completed</v>
      </c>
      <c r="G2802" s="324">
        <v>44179</v>
      </c>
      <c r="H2802" s="324">
        <v>45291</v>
      </c>
      <c r="I2802" s="325">
        <v>33000</v>
      </c>
      <c r="J280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02" s="133">
        <f>_xlfn.XLOOKUP(Market_Data[[#This Row],[Project Type]],tbl_assumptions_market[Project Category (RERA)],tbl_assumptions_market[Concrete Intensity
(m³ / sq m BUA)],"",0)</f>
        <v>0.42</v>
      </c>
      <c r="L2802" s="134">
        <f>ROUND(Market_Data[[#This Row],[Estimated Built Up Area (sq m)]]*Market_Data[[#This Row],[Concrete Intensity
(m³ / sq m)]],0)</f>
        <v>13860</v>
      </c>
      <c r="M2802" s="135">
        <f>_xlfn.XLOOKUP(Market_Data[[#This Row],[District]],tbl_district_price[District],tbl_district_price[Standard Price
(INR/m³)],"",0)</f>
        <v>5600</v>
      </c>
      <c r="N2802" s="364">
        <f>IF(OR(Market_Data[[#This Row],[Estimated Concrete Demand (m³)]]="",Market_Data[[#This Row],[Avg Price per (₹ / m³)]]=""),"",Market_Data[[#This Row],[Estimated Concrete Demand (m³)]]*Market_Data[[#This Row],[Avg Price per (₹ / m³)]]/10000000)</f>
        <v>7.7615999999999996</v>
      </c>
      <c r="O2802" s="97" t="str">
        <f>IF(Market_Data[[#This Row],[Estimated Concrete Demand (m³)]]="","",
IF(Market_Data[[#This Row],[Estimated Concrete Demand (m³)]]&lt;10000,"Small",
IF(Market_Data[[#This Row],[Estimated Concrete Demand (m³)]]&lt;25000,"Medium",
IF(Market_Data[[#This Row],[Estimated Concrete Demand (m³)]]&lt;100000,"Large","Mega"))))</f>
        <v>Medium</v>
      </c>
      <c r="P2802" s="287" t="str">
        <f t="shared" si="45"/>
        <v>GujRERA</v>
      </c>
    </row>
    <row r="2803" spans="1:16">
      <c r="A2803" s="129" t="str">
        <f>_xlfn.XLOOKUP(B2803,$S$9:$S$14,$T$9:$T$14)&amp;"-"&amp;
IF(E2803="Residential/Group Housing","RES",
IF(E2803="Commercial","COM",
IF(E2803="Mixed Development","MIX",
IF(E2803="Plotted Development","PLT","OTH"))))
&amp;"-"&amp;TEXT(COUNTIFS($B$9:B2803,B2803,$E$9:E2803,E2803),"0000")</f>
        <v>VAL-PLT-0002</v>
      </c>
      <c r="B2803" s="322" t="s">
        <v>35</v>
      </c>
      <c r="C2803" s="322" t="s">
        <v>35</v>
      </c>
      <c r="D2803" s="323" t="s">
        <v>2992</v>
      </c>
      <c r="E2803" s="132" t="s">
        <v>26</v>
      </c>
      <c r="F2803" s="97" t="str">
        <f ca="1">IF(OR(Market_Data[[#This Row],[Start Date]]="",Market_Data[[#This Row],[Completion Date]]=""),"Needs Validation",IF(Market_Data[[#This Row],[Start Date]]&gt;TODAY(),"Planned",IF(Market_Data[[#This Row],[Completion Date]]&lt;TODAY(),"Completed","Ongoing")))</f>
        <v>Ongoing</v>
      </c>
      <c r="G2803" s="324">
        <v>44805</v>
      </c>
      <c r="H2803" s="324">
        <v>46387</v>
      </c>
      <c r="I2803" s="325">
        <v>52600</v>
      </c>
      <c r="J280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803" s="133">
        <f>_xlfn.XLOOKUP(Market_Data[[#This Row],[Project Type]],tbl_assumptions_market[Project Category (RERA)],tbl_assumptions_market[Concrete Intensity
(m³ / sq m BUA)],"",0)</f>
        <v>0.18</v>
      </c>
      <c r="L2803" s="134">
        <f>ROUND(Market_Data[[#This Row],[Estimated Built Up Area (sq m)]]*Market_Data[[#This Row],[Concrete Intensity
(m³ / sq m)]],0)</f>
        <v>9468</v>
      </c>
      <c r="M2803" s="135">
        <f>_xlfn.XLOOKUP(Market_Data[[#This Row],[District]],tbl_district_price[District],tbl_district_price[Standard Price
(INR/m³)],"",0)</f>
        <v>5600</v>
      </c>
      <c r="N2803" s="364">
        <f>IF(OR(Market_Data[[#This Row],[Estimated Concrete Demand (m³)]]="",Market_Data[[#This Row],[Avg Price per (₹ / m³)]]=""),"",Market_Data[[#This Row],[Estimated Concrete Demand (m³)]]*Market_Data[[#This Row],[Avg Price per (₹ / m³)]]/10000000)</f>
        <v>5.3020800000000001</v>
      </c>
      <c r="O2803" s="97" t="str">
        <f>IF(Market_Data[[#This Row],[Estimated Concrete Demand (m³)]]="","",
IF(Market_Data[[#This Row],[Estimated Concrete Demand (m³)]]&lt;10000,"Small",
IF(Market_Data[[#This Row],[Estimated Concrete Demand (m³)]]&lt;25000,"Medium",
IF(Market_Data[[#This Row],[Estimated Concrete Demand (m³)]]&lt;100000,"Large","Mega"))))</f>
        <v>Small</v>
      </c>
      <c r="P2803" s="287" t="str">
        <f t="shared" si="45"/>
        <v>GujRERA</v>
      </c>
    </row>
    <row r="2804" spans="1:16">
      <c r="A2804" s="129" t="str">
        <f>_xlfn.XLOOKUP(B2804,$S$9:$S$14,$T$9:$T$14)&amp;"-"&amp;
IF(E2804="Residential/Group Housing","RES",
IF(E2804="Commercial","COM",
IF(E2804="Mixed Development","MIX",
IF(E2804="Plotted Development","PLT","OTH"))))
&amp;"-"&amp;TEXT(COUNTIFS($B$9:B2804,B2804,$E$9:E2804,E2804),"0000")</f>
        <v>VAL-MIX-0041</v>
      </c>
      <c r="B2804" s="322" t="s">
        <v>35</v>
      </c>
      <c r="C2804" s="322" t="s">
        <v>35</v>
      </c>
      <c r="D2804" s="323" t="s">
        <v>2993</v>
      </c>
      <c r="E2804" s="132" t="s">
        <v>25</v>
      </c>
      <c r="F2804" s="97" t="str">
        <f ca="1">IF(OR(Market_Data[[#This Row],[Start Date]]="",Market_Data[[#This Row],[Completion Date]]=""),"Needs Validation",IF(Market_Data[[#This Row],[Start Date]]&gt;TODAY(),"Planned",IF(Market_Data[[#This Row],[Completion Date]]&lt;TODAY(),"Completed","Ongoing")))</f>
        <v>Completed</v>
      </c>
      <c r="G2804" s="324">
        <v>43979</v>
      </c>
      <c r="H2804" s="324">
        <v>44742</v>
      </c>
      <c r="I2804" s="325">
        <v>38500</v>
      </c>
      <c r="J280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04" s="133">
        <f>_xlfn.XLOOKUP(Market_Data[[#This Row],[Project Type]],tbl_assumptions_market[Project Category (RERA)],tbl_assumptions_market[Concrete Intensity
(m³ / sq m BUA)],"",0)</f>
        <v>0.42</v>
      </c>
      <c r="L2804" s="134">
        <f>ROUND(Market_Data[[#This Row],[Estimated Built Up Area (sq m)]]*Market_Data[[#This Row],[Concrete Intensity
(m³ / sq m)]],0)</f>
        <v>16170</v>
      </c>
      <c r="M2804" s="135">
        <f>_xlfn.XLOOKUP(Market_Data[[#This Row],[District]],tbl_district_price[District],tbl_district_price[Standard Price
(INR/m³)],"",0)</f>
        <v>5600</v>
      </c>
      <c r="N2804" s="364">
        <f>IF(OR(Market_Data[[#This Row],[Estimated Concrete Demand (m³)]]="",Market_Data[[#This Row],[Avg Price per (₹ / m³)]]=""),"",Market_Data[[#This Row],[Estimated Concrete Demand (m³)]]*Market_Data[[#This Row],[Avg Price per (₹ / m³)]]/10000000)</f>
        <v>9.0551999999999992</v>
      </c>
      <c r="O2804" s="97" t="str">
        <f>IF(Market_Data[[#This Row],[Estimated Concrete Demand (m³)]]="","",
IF(Market_Data[[#This Row],[Estimated Concrete Demand (m³)]]&lt;10000,"Small",
IF(Market_Data[[#This Row],[Estimated Concrete Demand (m³)]]&lt;25000,"Medium",
IF(Market_Data[[#This Row],[Estimated Concrete Demand (m³)]]&lt;100000,"Large","Mega"))))</f>
        <v>Medium</v>
      </c>
      <c r="P2804" s="287" t="str">
        <f t="shared" si="45"/>
        <v>GujRERA</v>
      </c>
    </row>
    <row r="2805" spans="1:16">
      <c r="A2805" s="129" t="str">
        <f>_xlfn.XLOOKUP(B2805,$S$9:$S$14,$T$9:$T$14)&amp;"-"&amp;
IF(E2805="Residential/Group Housing","RES",
IF(E2805="Commercial","COM",
IF(E2805="Mixed Development","MIX",
IF(E2805="Plotted Development","PLT","OTH"))))
&amp;"-"&amp;TEXT(COUNTIFS($B$9:B2805,B2805,$E$9:E2805,E2805),"0000")</f>
        <v>VAL-MIX-0042</v>
      </c>
      <c r="B2805" s="322" t="s">
        <v>35</v>
      </c>
      <c r="C2805" s="322" t="s">
        <v>35</v>
      </c>
      <c r="D2805" s="323" t="s">
        <v>2994</v>
      </c>
      <c r="E2805" s="132" t="s">
        <v>25</v>
      </c>
      <c r="F2805" s="97" t="str">
        <f ca="1">IF(OR(Market_Data[[#This Row],[Start Date]]="",Market_Data[[#This Row],[Completion Date]]=""),"Needs Validation",IF(Market_Data[[#This Row],[Start Date]]&gt;TODAY(),"Planned",IF(Market_Data[[#This Row],[Completion Date]]&lt;TODAY(),"Completed","Ongoing")))</f>
        <v>Completed</v>
      </c>
      <c r="G2805" s="324">
        <v>43280</v>
      </c>
      <c r="H2805" s="324">
        <v>44620</v>
      </c>
      <c r="I2805" s="325">
        <v>29500</v>
      </c>
      <c r="J280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05" s="133">
        <f>_xlfn.XLOOKUP(Market_Data[[#This Row],[Project Type]],tbl_assumptions_market[Project Category (RERA)],tbl_assumptions_market[Concrete Intensity
(m³ / sq m BUA)],"",0)</f>
        <v>0.42</v>
      </c>
      <c r="L2805" s="134">
        <f>ROUND(Market_Data[[#This Row],[Estimated Built Up Area (sq m)]]*Market_Data[[#This Row],[Concrete Intensity
(m³ / sq m)]],0)</f>
        <v>12390</v>
      </c>
      <c r="M2805" s="135">
        <f>_xlfn.XLOOKUP(Market_Data[[#This Row],[District]],tbl_district_price[District],tbl_district_price[Standard Price
(INR/m³)],"",0)</f>
        <v>5600</v>
      </c>
      <c r="N2805" s="364">
        <f>IF(OR(Market_Data[[#This Row],[Estimated Concrete Demand (m³)]]="",Market_Data[[#This Row],[Avg Price per (₹ / m³)]]=""),"",Market_Data[[#This Row],[Estimated Concrete Demand (m³)]]*Market_Data[[#This Row],[Avg Price per (₹ / m³)]]/10000000)</f>
        <v>6.9383999999999997</v>
      </c>
      <c r="O2805" s="97" t="str">
        <f>IF(Market_Data[[#This Row],[Estimated Concrete Demand (m³)]]="","",
IF(Market_Data[[#This Row],[Estimated Concrete Demand (m³)]]&lt;10000,"Small",
IF(Market_Data[[#This Row],[Estimated Concrete Demand (m³)]]&lt;25000,"Medium",
IF(Market_Data[[#This Row],[Estimated Concrete Demand (m³)]]&lt;100000,"Large","Mega"))))</f>
        <v>Medium</v>
      </c>
      <c r="P2805" s="287" t="str">
        <f t="shared" si="45"/>
        <v>GujRERA</v>
      </c>
    </row>
    <row r="2806" spans="1:16">
      <c r="A2806" s="129" t="str">
        <f>_xlfn.XLOOKUP(B2806,$S$9:$S$14,$T$9:$T$14)&amp;"-"&amp;
IF(E2806="Residential/Group Housing","RES",
IF(E2806="Commercial","COM",
IF(E2806="Mixed Development","MIX",
IF(E2806="Plotted Development","PLT","OTH"))))
&amp;"-"&amp;TEXT(COUNTIFS($B$9:B2806,B2806,$E$9:E2806,E2806),"0000")</f>
        <v>VAL-PLT-0003</v>
      </c>
      <c r="B2806" s="322" t="s">
        <v>35</v>
      </c>
      <c r="C2806" s="322" t="s">
        <v>35</v>
      </c>
      <c r="D2806" s="323" t="s">
        <v>2995</v>
      </c>
      <c r="E2806" s="132" t="s">
        <v>26</v>
      </c>
      <c r="F2806" s="97" t="str">
        <f ca="1">IF(OR(Market_Data[[#This Row],[Start Date]]="",Market_Data[[#This Row],[Completion Date]]=""),"Needs Validation",IF(Market_Data[[#This Row],[Start Date]]&gt;TODAY(),"Planned",IF(Market_Data[[#This Row],[Completion Date]]&lt;TODAY(),"Completed","Ongoing")))</f>
        <v>Completed</v>
      </c>
      <c r="G2806" s="324">
        <v>45000</v>
      </c>
      <c r="H2806" s="324">
        <v>46022</v>
      </c>
      <c r="I2806" s="325">
        <v>22400</v>
      </c>
      <c r="J280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06" s="133">
        <f>_xlfn.XLOOKUP(Market_Data[[#This Row],[Project Type]],tbl_assumptions_market[Project Category (RERA)],tbl_assumptions_market[Concrete Intensity
(m³ / sq m BUA)],"",0)</f>
        <v>0.18</v>
      </c>
      <c r="L2806" s="134">
        <f>ROUND(Market_Data[[#This Row],[Estimated Built Up Area (sq m)]]*Market_Data[[#This Row],[Concrete Intensity
(m³ / sq m)]],0)</f>
        <v>4032</v>
      </c>
      <c r="M2806" s="135">
        <f>_xlfn.XLOOKUP(Market_Data[[#This Row],[District]],tbl_district_price[District],tbl_district_price[Standard Price
(INR/m³)],"",0)</f>
        <v>5600</v>
      </c>
      <c r="N2806" s="364">
        <f>IF(OR(Market_Data[[#This Row],[Estimated Concrete Demand (m³)]]="",Market_Data[[#This Row],[Avg Price per (₹ / m³)]]=""),"",Market_Data[[#This Row],[Estimated Concrete Demand (m³)]]*Market_Data[[#This Row],[Avg Price per (₹ / m³)]]/10000000)</f>
        <v>2.2579199999999999</v>
      </c>
      <c r="O2806" s="97" t="str">
        <f>IF(Market_Data[[#This Row],[Estimated Concrete Demand (m³)]]="","",
IF(Market_Data[[#This Row],[Estimated Concrete Demand (m³)]]&lt;10000,"Small",
IF(Market_Data[[#This Row],[Estimated Concrete Demand (m³)]]&lt;25000,"Medium",
IF(Market_Data[[#This Row],[Estimated Concrete Demand (m³)]]&lt;100000,"Large","Mega"))))</f>
        <v>Small</v>
      </c>
      <c r="P2806" s="287" t="str">
        <f t="shared" si="45"/>
        <v>GujRERA</v>
      </c>
    </row>
    <row r="2807" spans="1:16">
      <c r="A2807" s="129" t="str">
        <f>_xlfn.XLOOKUP(B2807,$S$9:$S$14,$T$9:$T$14)&amp;"-"&amp;
IF(E2807="Residential/Group Housing","RES",
IF(E2807="Commercial","COM",
IF(E2807="Mixed Development","MIX",
IF(E2807="Plotted Development","PLT","OTH"))))
&amp;"-"&amp;TEXT(COUNTIFS($B$9:B2807,B2807,$E$9:E2807,E2807),"0000")</f>
        <v>VAL-MIX-0043</v>
      </c>
      <c r="B2807" s="322" t="s">
        <v>35</v>
      </c>
      <c r="C2807" s="322" t="s">
        <v>35</v>
      </c>
      <c r="D2807" s="323" t="s">
        <v>2996</v>
      </c>
      <c r="E2807" s="132" t="s">
        <v>25</v>
      </c>
      <c r="F2807" s="97" t="str">
        <f ca="1">IF(OR(Market_Data[[#This Row],[Start Date]]="",Market_Data[[#This Row],[Completion Date]]=""),"Needs Validation",IF(Market_Data[[#This Row],[Start Date]]&gt;TODAY(),"Planned",IF(Market_Data[[#This Row],[Completion Date]]&lt;TODAY(),"Completed","Ongoing")))</f>
        <v>Completed</v>
      </c>
      <c r="G2807" s="324">
        <v>43631</v>
      </c>
      <c r="H2807" s="324">
        <v>45472</v>
      </c>
      <c r="I2807" s="325">
        <v>54600</v>
      </c>
      <c r="J280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07" s="133">
        <f>_xlfn.XLOOKUP(Market_Data[[#This Row],[Project Type]],tbl_assumptions_market[Project Category (RERA)],tbl_assumptions_market[Concrete Intensity
(m³ / sq m BUA)],"",0)</f>
        <v>0.42</v>
      </c>
      <c r="L2807" s="134">
        <f>ROUND(Market_Data[[#This Row],[Estimated Built Up Area (sq m)]]*Market_Data[[#This Row],[Concrete Intensity
(m³ / sq m)]],0)</f>
        <v>22932</v>
      </c>
      <c r="M2807" s="135">
        <f>_xlfn.XLOOKUP(Market_Data[[#This Row],[District]],tbl_district_price[District],tbl_district_price[Standard Price
(INR/m³)],"",0)</f>
        <v>5600</v>
      </c>
      <c r="N2807" s="364">
        <f>IF(OR(Market_Data[[#This Row],[Estimated Concrete Demand (m³)]]="",Market_Data[[#This Row],[Avg Price per (₹ / m³)]]=""),"",Market_Data[[#This Row],[Estimated Concrete Demand (m³)]]*Market_Data[[#This Row],[Avg Price per (₹ / m³)]]/10000000)</f>
        <v>12.84192</v>
      </c>
      <c r="O2807" s="97" t="str">
        <f>IF(Market_Data[[#This Row],[Estimated Concrete Demand (m³)]]="","",
IF(Market_Data[[#This Row],[Estimated Concrete Demand (m³)]]&lt;10000,"Small",
IF(Market_Data[[#This Row],[Estimated Concrete Demand (m³)]]&lt;25000,"Medium",
IF(Market_Data[[#This Row],[Estimated Concrete Demand (m³)]]&lt;100000,"Large","Mega"))))</f>
        <v>Medium</v>
      </c>
      <c r="P2807" s="287" t="str">
        <f t="shared" si="45"/>
        <v>GujRERA</v>
      </c>
    </row>
    <row r="2808" spans="1:16">
      <c r="A2808" s="129" t="str">
        <f>_xlfn.XLOOKUP(B2808,$S$9:$S$14,$T$9:$T$14)&amp;"-"&amp;
IF(E2808="Residential/Group Housing","RES",
IF(E2808="Commercial","COM",
IF(E2808="Mixed Development","MIX",
IF(E2808="Plotted Development","PLT","OTH"))))
&amp;"-"&amp;TEXT(COUNTIFS($B$9:B2808,B2808,$E$9:E2808,E2808),"0000")</f>
        <v>VAL-RES-0026</v>
      </c>
      <c r="B2808" s="322" t="s">
        <v>35</v>
      </c>
      <c r="C2808" s="322" t="s">
        <v>35</v>
      </c>
      <c r="D2808" s="323" t="s">
        <v>2997</v>
      </c>
      <c r="E2808" s="132" t="s">
        <v>24</v>
      </c>
      <c r="F2808" s="97" t="str">
        <f ca="1">IF(OR(Market_Data[[#This Row],[Start Date]]="",Market_Data[[#This Row],[Completion Date]]=""),"Needs Validation",IF(Market_Data[[#This Row],[Start Date]]&gt;TODAY(),"Planned",IF(Market_Data[[#This Row],[Completion Date]]&lt;TODAY(),"Completed","Ongoing")))</f>
        <v>Ongoing</v>
      </c>
      <c r="G2808" s="324">
        <v>45731</v>
      </c>
      <c r="H2808" s="324">
        <v>46752</v>
      </c>
      <c r="I2808" s="325">
        <v>36700</v>
      </c>
      <c r="J280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08" s="133">
        <f>_xlfn.XLOOKUP(Market_Data[[#This Row],[Project Type]],tbl_assumptions_market[Project Category (RERA)],tbl_assumptions_market[Concrete Intensity
(m³ / sq m BUA)],"",0)</f>
        <v>0.45</v>
      </c>
      <c r="L2808" s="134">
        <f>ROUND(Market_Data[[#This Row],[Estimated Built Up Area (sq m)]]*Market_Data[[#This Row],[Concrete Intensity
(m³ / sq m)]],0)</f>
        <v>16515</v>
      </c>
      <c r="M2808" s="135">
        <f>_xlfn.XLOOKUP(Market_Data[[#This Row],[District]],tbl_district_price[District],tbl_district_price[Standard Price
(INR/m³)],"",0)</f>
        <v>5600</v>
      </c>
      <c r="N2808" s="364">
        <f>IF(OR(Market_Data[[#This Row],[Estimated Concrete Demand (m³)]]="",Market_Data[[#This Row],[Avg Price per (₹ / m³)]]=""),"",Market_Data[[#This Row],[Estimated Concrete Demand (m³)]]*Market_Data[[#This Row],[Avg Price per (₹ / m³)]]/10000000)</f>
        <v>9.2484000000000002</v>
      </c>
      <c r="O2808" s="97" t="str">
        <f>IF(Market_Data[[#This Row],[Estimated Concrete Demand (m³)]]="","",
IF(Market_Data[[#This Row],[Estimated Concrete Demand (m³)]]&lt;10000,"Small",
IF(Market_Data[[#This Row],[Estimated Concrete Demand (m³)]]&lt;25000,"Medium",
IF(Market_Data[[#This Row],[Estimated Concrete Demand (m³)]]&lt;100000,"Large","Mega"))))</f>
        <v>Medium</v>
      </c>
      <c r="P2808" s="287" t="str">
        <f t="shared" si="45"/>
        <v>GujRERA</v>
      </c>
    </row>
    <row r="2809" spans="1:16">
      <c r="A2809" s="129" t="str">
        <f>_xlfn.XLOOKUP(B2809,$S$9:$S$14,$T$9:$T$14)&amp;"-"&amp;
IF(E2809="Residential/Group Housing","RES",
IF(E2809="Commercial","COM",
IF(E2809="Mixed Development","MIX",
IF(E2809="Plotted Development","PLT","OTH"))))
&amp;"-"&amp;TEXT(COUNTIFS($B$9:B2809,B2809,$E$9:E2809,E2809),"0000")</f>
        <v>VAL-COM-0013</v>
      </c>
      <c r="B2809" s="322" t="s">
        <v>35</v>
      </c>
      <c r="C2809" s="322" t="s">
        <v>35</v>
      </c>
      <c r="D2809" s="323" t="s">
        <v>2998</v>
      </c>
      <c r="E2809" s="132" t="s">
        <v>23</v>
      </c>
      <c r="F2809" s="97" t="str">
        <f ca="1">IF(OR(Market_Data[[#This Row],[Start Date]]="",Market_Data[[#This Row],[Completion Date]]=""),"Needs Validation",IF(Market_Data[[#This Row],[Start Date]]&gt;TODAY(),"Planned",IF(Market_Data[[#This Row],[Completion Date]]&lt;TODAY(),"Completed","Ongoing")))</f>
        <v>Completed</v>
      </c>
      <c r="G2809" s="324">
        <v>43523</v>
      </c>
      <c r="H2809" s="324">
        <v>45565</v>
      </c>
      <c r="I2809" s="325">
        <v>8100</v>
      </c>
      <c r="J280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09" s="133">
        <f>_xlfn.XLOOKUP(Market_Data[[#This Row],[Project Type]],tbl_assumptions_market[Project Category (RERA)],tbl_assumptions_market[Concrete Intensity
(m³ / sq m BUA)],"",0)</f>
        <v>0.5</v>
      </c>
      <c r="L2809" s="134">
        <f>ROUND(Market_Data[[#This Row],[Estimated Built Up Area (sq m)]]*Market_Data[[#This Row],[Concrete Intensity
(m³ / sq m)]],0)</f>
        <v>4050</v>
      </c>
      <c r="M2809" s="135">
        <f>_xlfn.XLOOKUP(Market_Data[[#This Row],[District]],tbl_district_price[District],tbl_district_price[Standard Price
(INR/m³)],"",0)</f>
        <v>5600</v>
      </c>
      <c r="N2809" s="364">
        <f>IF(OR(Market_Data[[#This Row],[Estimated Concrete Demand (m³)]]="",Market_Data[[#This Row],[Avg Price per (₹ / m³)]]=""),"",Market_Data[[#This Row],[Estimated Concrete Demand (m³)]]*Market_Data[[#This Row],[Avg Price per (₹ / m³)]]/10000000)</f>
        <v>2.2679999999999998</v>
      </c>
      <c r="O2809" s="97" t="str">
        <f>IF(Market_Data[[#This Row],[Estimated Concrete Demand (m³)]]="","",
IF(Market_Data[[#This Row],[Estimated Concrete Demand (m³)]]&lt;10000,"Small",
IF(Market_Data[[#This Row],[Estimated Concrete Demand (m³)]]&lt;25000,"Medium",
IF(Market_Data[[#This Row],[Estimated Concrete Demand (m³)]]&lt;100000,"Large","Mega"))))</f>
        <v>Small</v>
      </c>
      <c r="P2809" s="287" t="str">
        <f t="shared" si="45"/>
        <v>GujRERA</v>
      </c>
    </row>
    <row r="2810" spans="1:16">
      <c r="A2810" s="129" t="str">
        <f>_xlfn.XLOOKUP(B2810,$S$9:$S$14,$T$9:$T$14)&amp;"-"&amp;
IF(E2810="Residential/Group Housing","RES",
IF(E2810="Commercial","COM",
IF(E2810="Mixed Development","MIX",
IF(E2810="Plotted Development","PLT","OTH"))))
&amp;"-"&amp;TEXT(COUNTIFS($B$9:B2810,B2810,$E$9:E2810,E2810),"0000")</f>
        <v>VAL-MIX-0044</v>
      </c>
      <c r="B2810" s="322" t="s">
        <v>35</v>
      </c>
      <c r="C2810" s="322" t="s">
        <v>35</v>
      </c>
      <c r="D2810" s="323" t="s">
        <v>2999</v>
      </c>
      <c r="E2810" s="132" t="s">
        <v>25</v>
      </c>
      <c r="F2810" s="97" t="str">
        <f ca="1">IF(OR(Market_Data[[#This Row],[Start Date]]="",Market_Data[[#This Row],[Completion Date]]=""),"Needs Validation",IF(Market_Data[[#This Row],[Start Date]]&gt;TODAY(),"Planned",IF(Market_Data[[#This Row],[Completion Date]]&lt;TODAY(),"Completed","Ongoing")))</f>
        <v>Ongoing</v>
      </c>
      <c r="G2810" s="324">
        <v>45689</v>
      </c>
      <c r="H2810" s="324">
        <v>46752</v>
      </c>
      <c r="I2810" s="325">
        <v>49800</v>
      </c>
      <c r="J281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10" s="133">
        <f>_xlfn.XLOOKUP(Market_Data[[#This Row],[Project Type]],tbl_assumptions_market[Project Category (RERA)],tbl_assumptions_market[Concrete Intensity
(m³ / sq m BUA)],"",0)</f>
        <v>0.42</v>
      </c>
      <c r="L2810" s="134">
        <f>ROUND(Market_Data[[#This Row],[Estimated Built Up Area (sq m)]]*Market_Data[[#This Row],[Concrete Intensity
(m³ / sq m)]],0)</f>
        <v>20916</v>
      </c>
      <c r="M2810" s="135">
        <f>_xlfn.XLOOKUP(Market_Data[[#This Row],[District]],tbl_district_price[District],tbl_district_price[Standard Price
(INR/m³)],"",0)</f>
        <v>5600</v>
      </c>
      <c r="N2810" s="364">
        <f>IF(OR(Market_Data[[#This Row],[Estimated Concrete Demand (m³)]]="",Market_Data[[#This Row],[Avg Price per (₹ / m³)]]=""),"",Market_Data[[#This Row],[Estimated Concrete Demand (m³)]]*Market_Data[[#This Row],[Avg Price per (₹ / m³)]]/10000000)</f>
        <v>11.712960000000001</v>
      </c>
      <c r="O2810" s="97" t="str">
        <f>IF(Market_Data[[#This Row],[Estimated Concrete Demand (m³)]]="","",
IF(Market_Data[[#This Row],[Estimated Concrete Demand (m³)]]&lt;10000,"Small",
IF(Market_Data[[#This Row],[Estimated Concrete Demand (m³)]]&lt;25000,"Medium",
IF(Market_Data[[#This Row],[Estimated Concrete Demand (m³)]]&lt;100000,"Large","Mega"))))</f>
        <v>Medium</v>
      </c>
      <c r="P2810" s="287" t="str">
        <f t="shared" si="45"/>
        <v>GujRERA</v>
      </c>
    </row>
    <row r="2811" spans="1:16">
      <c r="A2811" s="129" t="str">
        <f>_xlfn.XLOOKUP(B2811,$S$9:$S$14,$T$9:$T$14)&amp;"-"&amp;
IF(E2811="Residential/Group Housing","RES",
IF(E2811="Commercial","COM",
IF(E2811="Mixed Development","MIX",
IF(E2811="Plotted Development","PLT","OTH"))))
&amp;"-"&amp;TEXT(COUNTIFS($B$9:B2811,B2811,$E$9:E2811,E2811),"0000")</f>
        <v>VAL-RES-0027</v>
      </c>
      <c r="B2811" s="322" t="s">
        <v>35</v>
      </c>
      <c r="C2811" s="322" t="s">
        <v>35</v>
      </c>
      <c r="D2811" s="323" t="s">
        <v>3000</v>
      </c>
      <c r="E2811" s="132" t="s">
        <v>24</v>
      </c>
      <c r="F2811" s="97" t="str">
        <f ca="1">IF(OR(Market_Data[[#This Row],[Start Date]]="",Market_Data[[#This Row],[Completion Date]]=""),"Needs Validation",IF(Market_Data[[#This Row],[Start Date]]&gt;TODAY(),"Planned",IF(Market_Data[[#This Row],[Completion Date]]&lt;TODAY(),"Completed","Ongoing")))</f>
        <v>Completed</v>
      </c>
      <c r="G2811" s="324">
        <v>41948</v>
      </c>
      <c r="H2811" s="324">
        <v>43830</v>
      </c>
      <c r="I2811" s="325">
        <v>25500</v>
      </c>
      <c r="J281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11" s="133">
        <f>_xlfn.XLOOKUP(Market_Data[[#This Row],[Project Type]],tbl_assumptions_market[Project Category (RERA)],tbl_assumptions_market[Concrete Intensity
(m³ / sq m BUA)],"",0)</f>
        <v>0.45</v>
      </c>
      <c r="L2811" s="134">
        <f>ROUND(Market_Data[[#This Row],[Estimated Built Up Area (sq m)]]*Market_Data[[#This Row],[Concrete Intensity
(m³ / sq m)]],0)</f>
        <v>11475</v>
      </c>
      <c r="M2811" s="135">
        <f>_xlfn.XLOOKUP(Market_Data[[#This Row],[District]],tbl_district_price[District],tbl_district_price[Standard Price
(INR/m³)],"",0)</f>
        <v>5600</v>
      </c>
      <c r="N2811" s="364">
        <f>IF(OR(Market_Data[[#This Row],[Estimated Concrete Demand (m³)]]="",Market_Data[[#This Row],[Avg Price per (₹ / m³)]]=""),"",Market_Data[[#This Row],[Estimated Concrete Demand (m³)]]*Market_Data[[#This Row],[Avg Price per (₹ / m³)]]/10000000)</f>
        <v>6.4260000000000002</v>
      </c>
      <c r="O2811" s="97" t="str">
        <f>IF(Market_Data[[#This Row],[Estimated Concrete Demand (m³)]]="","",
IF(Market_Data[[#This Row],[Estimated Concrete Demand (m³)]]&lt;10000,"Small",
IF(Market_Data[[#This Row],[Estimated Concrete Demand (m³)]]&lt;25000,"Medium",
IF(Market_Data[[#This Row],[Estimated Concrete Demand (m³)]]&lt;100000,"Large","Mega"))))</f>
        <v>Medium</v>
      </c>
      <c r="P2811" s="287" t="str">
        <f t="shared" si="45"/>
        <v>GujRERA</v>
      </c>
    </row>
    <row r="2812" spans="1:16">
      <c r="A2812" s="129" t="str">
        <f>_xlfn.XLOOKUP(B2812,$S$9:$S$14,$T$9:$T$14)&amp;"-"&amp;
IF(E2812="Residential/Group Housing","RES",
IF(E2812="Commercial","COM",
IF(E2812="Mixed Development","MIX",
IF(E2812="Plotted Development","PLT","OTH"))))
&amp;"-"&amp;TEXT(COUNTIFS($B$9:B2812,B2812,$E$9:E2812,E2812),"0000")</f>
        <v>VAL-MIX-0045</v>
      </c>
      <c r="B2812" s="322" t="s">
        <v>35</v>
      </c>
      <c r="C2812" s="322" t="s">
        <v>35</v>
      </c>
      <c r="D2812" s="323" t="s">
        <v>3001</v>
      </c>
      <c r="E2812" s="132" t="s">
        <v>25</v>
      </c>
      <c r="F2812" s="97" t="str">
        <f ca="1">IF(OR(Market_Data[[#This Row],[Start Date]]="",Market_Data[[#This Row],[Completion Date]]=""),"Needs Validation",IF(Market_Data[[#This Row],[Start Date]]&gt;TODAY(),"Planned",IF(Market_Data[[#This Row],[Completion Date]]&lt;TODAY(),"Completed","Ongoing")))</f>
        <v>Completed</v>
      </c>
      <c r="G2812" s="324">
        <v>42729</v>
      </c>
      <c r="H2812" s="324">
        <v>43555</v>
      </c>
      <c r="I2812" s="325">
        <v>48100</v>
      </c>
      <c r="J281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12" s="133">
        <f>_xlfn.XLOOKUP(Market_Data[[#This Row],[Project Type]],tbl_assumptions_market[Project Category (RERA)],tbl_assumptions_market[Concrete Intensity
(m³ / sq m BUA)],"",0)</f>
        <v>0.42</v>
      </c>
      <c r="L2812" s="134">
        <f>ROUND(Market_Data[[#This Row],[Estimated Built Up Area (sq m)]]*Market_Data[[#This Row],[Concrete Intensity
(m³ / sq m)]],0)</f>
        <v>20202</v>
      </c>
      <c r="M2812" s="135">
        <f>_xlfn.XLOOKUP(Market_Data[[#This Row],[District]],tbl_district_price[District],tbl_district_price[Standard Price
(INR/m³)],"",0)</f>
        <v>5600</v>
      </c>
      <c r="N2812" s="364">
        <f>IF(OR(Market_Data[[#This Row],[Estimated Concrete Demand (m³)]]="",Market_Data[[#This Row],[Avg Price per (₹ / m³)]]=""),"",Market_Data[[#This Row],[Estimated Concrete Demand (m³)]]*Market_Data[[#This Row],[Avg Price per (₹ / m³)]]/10000000)</f>
        <v>11.31312</v>
      </c>
      <c r="O2812" s="97" t="str">
        <f>IF(Market_Data[[#This Row],[Estimated Concrete Demand (m³)]]="","",
IF(Market_Data[[#This Row],[Estimated Concrete Demand (m³)]]&lt;10000,"Small",
IF(Market_Data[[#This Row],[Estimated Concrete Demand (m³)]]&lt;25000,"Medium",
IF(Market_Data[[#This Row],[Estimated Concrete Demand (m³)]]&lt;100000,"Large","Mega"))))</f>
        <v>Medium</v>
      </c>
      <c r="P2812" s="287" t="str">
        <f t="shared" si="45"/>
        <v>GujRERA</v>
      </c>
    </row>
    <row r="2813" spans="1:16">
      <c r="A2813" s="129" t="str">
        <f>_xlfn.XLOOKUP(B2813,$S$9:$S$14,$T$9:$T$14)&amp;"-"&amp;
IF(E2813="Residential/Group Housing","RES",
IF(E2813="Commercial","COM",
IF(E2813="Mixed Development","MIX",
IF(E2813="Plotted Development","PLT","OTH"))))
&amp;"-"&amp;TEXT(COUNTIFS($B$9:B2813,B2813,$E$9:E2813,E2813),"0000")</f>
        <v>VAL-MIX-0046</v>
      </c>
      <c r="B2813" s="322" t="s">
        <v>35</v>
      </c>
      <c r="C2813" s="322" t="s">
        <v>35</v>
      </c>
      <c r="D2813" s="323" t="s">
        <v>3002</v>
      </c>
      <c r="E2813" s="132" t="s">
        <v>25</v>
      </c>
      <c r="F2813" s="97" t="str">
        <f ca="1">IF(OR(Market_Data[[#This Row],[Start Date]]="",Market_Data[[#This Row],[Completion Date]]=""),"Needs Validation",IF(Market_Data[[#This Row],[Start Date]]&gt;TODAY(),"Planned",IF(Market_Data[[#This Row],[Completion Date]]&lt;TODAY(),"Completed","Ongoing")))</f>
        <v>Completed</v>
      </c>
      <c r="G2813" s="324">
        <v>43862</v>
      </c>
      <c r="H2813" s="324">
        <v>46223</v>
      </c>
      <c r="I2813" s="325">
        <v>43400</v>
      </c>
      <c r="J281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13" s="133">
        <f>_xlfn.XLOOKUP(Market_Data[[#This Row],[Project Type]],tbl_assumptions_market[Project Category (RERA)],tbl_assumptions_market[Concrete Intensity
(m³ / sq m BUA)],"",0)</f>
        <v>0.42</v>
      </c>
      <c r="L2813" s="134">
        <f>ROUND(Market_Data[[#This Row],[Estimated Built Up Area (sq m)]]*Market_Data[[#This Row],[Concrete Intensity
(m³ / sq m)]],0)</f>
        <v>18228</v>
      </c>
      <c r="M2813" s="135">
        <f>_xlfn.XLOOKUP(Market_Data[[#This Row],[District]],tbl_district_price[District],tbl_district_price[Standard Price
(INR/m³)],"",0)</f>
        <v>5600</v>
      </c>
      <c r="N2813" s="364">
        <f>IF(OR(Market_Data[[#This Row],[Estimated Concrete Demand (m³)]]="",Market_Data[[#This Row],[Avg Price per (₹ / m³)]]=""),"",Market_Data[[#This Row],[Estimated Concrete Demand (m³)]]*Market_Data[[#This Row],[Avg Price per (₹ / m³)]]/10000000)</f>
        <v>10.20768</v>
      </c>
      <c r="O2813" s="97" t="str">
        <f>IF(Market_Data[[#This Row],[Estimated Concrete Demand (m³)]]="","",
IF(Market_Data[[#This Row],[Estimated Concrete Demand (m³)]]&lt;10000,"Small",
IF(Market_Data[[#This Row],[Estimated Concrete Demand (m³)]]&lt;25000,"Medium",
IF(Market_Data[[#This Row],[Estimated Concrete Demand (m³)]]&lt;100000,"Large","Mega"))))</f>
        <v>Medium</v>
      </c>
      <c r="P2813" s="287" t="str">
        <f t="shared" si="45"/>
        <v>GujRERA</v>
      </c>
    </row>
    <row r="2814" spans="1:16">
      <c r="A2814" s="129" t="str">
        <f>_xlfn.XLOOKUP(B2814,$S$9:$S$14,$T$9:$T$14)&amp;"-"&amp;
IF(E2814="Residential/Group Housing","RES",
IF(E2814="Commercial","COM",
IF(E2814="Mixed Development","MIX",
IF(E2814="Plotted Development","PLT","OTH"))))
&amp;"-"&amp;TEXT(COUNTIFS($B$9:B2814,B2814,$E$9:E2814,E2814),"0000")</f>
        <v>VAL-RES-0028</v>
      </c>
      <c r="B2814" s="322" t="s">
        <v>35</v>
      </c>
      <c r="C2814" s="322" t="s">
        <v>35</v>
      </c>
      <c r="D2814" s="323" t="s">
        <v>3003</v>
      </c>
      <c r="E2814" s="132" t="s">
        <v>24</v>
      </c>
      <c r="F2814" s="97" t="str">
        <f ca="1">IF(OR(Market_Data[[#This Row],[Start Date]]="",Market_Data[[#This Row],[Completion Date]]=""),"Needs Validation",IF(Market_Data[[#This Row],[Start Date]]&gt;TODAY(),"Planned",IF(Market_Data[[#This Row],[Completion Date]]&lt;TODAY(),"Completed","Ongoing")))</f>
        <v>Completed</v>
      </c>
      <c r="G2814" s="324">
        <v>42005</v>
      </c>
      <c r="H2814" s="324">
        <v>44925</v>
      </c>
      <c r="I2814" s="325">
        <v>106000</v>
      </c>
      <c r="J281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814" s="133">
        <f>_xlfn.XLOOKUP(Market_Data[[#This Row],[Project Type]],tbl_assumptions_market[Project Category (RERA)],tbl_assumptions_market[Concrete Intensity
(m³ / sq m BUA)],"",0)</f>
        <v>0.45</v>
      </c>
      <c r="L2814" s="134">
        <f>ROUND(Market_Data[[#This Row],[Estimated Built Up Area (sq m)]]*Market_Data[[#This Row],[Concrete Intensity
(m³ / sq m)]],0)</f>
        <v>47700</v>
      </c>
      <c r="M2814" s="135">
        <f>_xlfn.XLOOKUP(Market_Data[[#This Row],[District]],tbl_district_price[District],tbl_district_price[Standard Price
(INR/m³)],"",0)</f>
        <v>5600</v>
      </c>
      <c r="N2814" s="364">
        <f>IF(OR(Market_Data[[#This Row],[Estimated Concrete Demand (m³)]]="",Market_Data[[#This Row],[Avg Price per (₹ / m³)]]=""),"",Market_Data[[#This Row],[Estimated Concrete Demand (m³)]]*Market_Data[[#This Row],[Avg Price per (₹ / m³)]]/10000000)</f>
        <v>26.712</v>
      </c>
      <c r="O2814" s="97" t="str">
        <f>IF(Market_Data[[#This Row],[Estimated Concrete Demand (m³)]]="","",
IF(Market_Data[[#This Row],[Estimated Concrete Demand (m³)]]&lt;10000,"Small",
IF(Market_Data[[#This Row],[Estimated Concrete Demand (m³)]]&lt;25000,"Medium",
IF(Market_Data[[#This Row],[Estimated Concrete Demand (m³)]]&lt;100000,"Large","Mega"))))</f>
        <v>Large</v>
      </c>
      <c r="P2814" s="287" t="str">
        <f t="shared" si="45"/>
        <v>GujRERA</v>
      </c>
    </row>
    <row r="2815" spans="1:16">
      <c r="A2815" s="129" t="str">
        <f>_xlfn.XLOOKUP(B2815,$S$9:$S$14,$T$9:$T$14)&amp;"-"&amp;
IF(E2815="Residential/Group Housing","RES",
IF(E2815="Commercial","COM",
IF(E2815="Mixed Development","MIX",
IF(E2815="Plotted Development","PLT","OTH"))))
&amp;"-"&amp;TEXT(COUNTIFS($B$9:B2815,B2815,$E$9:E2815,E2815),"0000")</f>
        <v>VAL-RES-0029</v>
      </c>
      <c r="B2815" s="322" t="s">
        <v>35</v>
      </c>
      <c r="C2815" s="322" t="s">
        <v>35</v>
      </c>
      <c r="D2815" s="323" t="s">
        <v>3004</v>
      </c>
      <c r="E2815" s="132" t="s">
        <v>24</v>
      </c>
      <c r="F2815" s="97" t="str">
        <f ca="1">IF(OR(Market_Data[[#This Row],[Start Date]]="",Market_Data[[#This Row],[Completion Date]]=""),"Needs Validation",IF(Market_Data[[#This Row],[Start Date]]&gt;TODAY(),"Planned",IF(Market_Data[[#This Row],[Completion Date]]&lt;TODAY(),"Completed","Ongoing")))</f>
        <v>Completed</v>
      </c>
      <c r="G2815" s="324">
        <v>42826</v>
      </c>
      <c r="H2815" s="324">
        <v>45107</v>
      </c>
      <c r="I2815" s="325">
        <v>43900</v>
      </c>
      <c r="J281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15" s="133">
        <f>_xlfn.XLOOKUP(Market_Data[[#This Row],[Project Type]],tbl_assumptions_market[Project Category (RERA)],tbl_assumptions_market[Concrete Intensity
(m³ / sq m BUA)],"",0)</f>
        <v>0.45</v>
      </c>
      <c r="L2815" s="134">
        <f>ROUND(Market_Data[[#This Row],[Estimated Built Up Area (sq m)]]*Market_Data[[#This Row],[Concrete Intensity
(m³ / sq m)]],0)</f>
        <v>19755</v>
      </c>
      <c r="M2815" s="135">
        <f>_xlfn.XLOOKUP(Market_Data[[#This Row],[District]],tbl_district_price[District],tbl_district_price[Standard Price
(INR/m³)],"",0)</f>
        <v>5600</v>
      </c>
      <c r="N2815" s="364">
        <f>IF(OR(Market_Data[[#This Row],[Estimated Concrete Demand (m³)]]="",Market_Data[[#This Row],[Avg Price per (₹ / m³)]]=""),"",Market_Data[[#This Row],[Estimated Concrete Demand (m³)]]*Market_Data[[#This Row],[Avg Price per (₹ / m³)]]/10000000)</f>
        <v>11.062799999999999</v>
      </c>
      <c r="O2815" s="97" t="str">
        <f>IF(Market_Data[[#This Row],[Estimated Concrete Demand (m³)]]="","",
IF(Market_Data[[#This Row],[Estimated Concrete Demand (m³)]]&lt;10000,"Small",
IF(Market_Data[[#This Row],[Estimated Concrete Demand (m³)]]&lt;25000,"Medium",
IF(Market_Data[[#This Row],[Estimated Concrete Demand (m³)]]&lt;100000,"Large","Mega"))))</f>
        <v>Medium</v>
      </c>
      <c r="P2815" s="287" t="str">
        <f t="shared" si="45"/>
        <v>GujRERA</v>
      </c>
    </row>
    <row r="2816" spans="1:16">
      <c r="A2816" s="129" t="str">
        <f>_xlfn.XLOOKUP(B2816,$S$9:$S$14,$T$9:$T$14)&amp;"-"&amp;
IF(E2816="Residential/Group Housing","RES",
IF(E2816="Commercial","COM",
IF(E2816="Mixed Development","MIX",
IF(E2816="Plotted Development","PLT","OTH"))))
&amp;"-"&amp;TEXT(COUNTIFS($B$9:B2816,B2816,$E$9:E2816,E2816),"0000")</f>
        <v>VAL-MIX-0047</v>
      </c>
      <c r="B2816" s="322" t="s">
        <v>35</v>
      </c>
      <c r="C2816" s="322" t="s">
        <v>34</v>
      </c>
      <c r="D2816" s="323" t="s">
        <v>3005</v>
      </c>
      <c r="E2816" s="132" t="s">
        <v>25</v>
      </c>
      <c r="F2816" s="97" t="str">
        <f ca="1">IF(OR(Market_Data[[#This Row],[Start Date]]="",Market_Data[[#This Row],[Completion Date]]=""),"Needs Validation",IF(Market_Data[[#This Row],[Start Date]]&gt;TODAY(),"Planned",IF(Market_Data[[#This Row],[Completion Date]]&lt;TODAY(),"Completed","Ongoing")))</f>
        <v>Completed</v>
      </c>
      <c r="G2816" s="324">
        <v>43661</v>
      </c>
      <c r="H2816" s="324">
        <v>45930</v>
      </c>
      <c r="I2816" s="325">
        <v>57500</v>
      </c>
      <c r="J281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16" s="133">
        <f>_xlfn.XLOOKUP(Market_Data[[#This Row],[Project Type]],tbl_assumptions_market[Project Category (RERA)],tbl_assumptions_market[Concrete Intensity
(m³ / sq m BUA)],"",0)</f>
        <v>0.42</v>
      </c>
      <c r="L2816" s="134">
        <f>ROUND(Market_Data[[#This Row],[Estimated Built Up Area (sq m)]]*Market_Data[[#This Row],[Concrete Intensity
(m³ / sq m)]],0)</f>
        <v>24150</v>
      </c>
      <c r="M2816" s="135">
        <f>_xlfn.XLOOKUP(Market_Data[[#This Row],[District]],tbl_district_price[District],tbl_district_price[Standard Price
(INR/m³)],"",0)</f>
        <v>5600</v>
      </c>
      <c r="N2816" s="364">
        <f>IF(OR(Market_Data[[#This Row],[Estimated Concrete Demand (m³)]]="",Market_Data[[#This Row],[Avg Price per (₹ / m³)]]=""),"",Market_Data[[#This Row],[Estimated Concrete Demand (m³)]]*Market_Data[[#This Row],[Avg Price per (₹ / m³)]]/10000000)</f>
        <v>13.523999999999999</v>
      </c>
      <c r="O2816" s="97" t="str">
        <f>IF(Market_Data[[#This Row],[Estimated Concrete Demand (m³)]]="","",
IF(Market_Data[[#This Row],[Estimated Concrete Demand (m³)]]&lt;10000,"Small",
IF(Market_Data[[#This Row],[Estimated Concrete Demand (m³)]]&lt;25000,"Medium",
IF(Market_Data[[#This Row],[Estimated Concrete Demand (m³)]]&lt;100000,"Large","Mega"))))</f>
        <v>Medium</v>
      </c>
      <c r="P2816" s="287" t="str">
        <f t="shared" si="45"/>
        <v>GujRERA</v>
      </c>
    </row>
    <row r="2817" spans="1:16">
      <c r="A2817" s="129" t="str">
        <f>_xlfn.XLOOKUP(B2817,$S$9:$S$14,$T$9:$T$14)&amp;"-"&amp;
IF(E2817="Residential/Group Housing","RES",
IF(E2817="Commercial","COM",
IF(E2817="Mixed Development","MIX",
IF(E2817="Plotted Development","PLT","OTH"))))
&amp;"-"&amp;TEXT(COUNTIFS($B$9:B2817,B2817,$E$9:E2817,E2817),"0000")</f>
        <v>VAL-RES-0030</v>
      </c>
      <c r="B2817" s="322" t="s">
        <v>35</v>
      </c>
      <c r="C2817" s="322" t="s">
        <v>35</v>
      </c>
      <c r="D2817" s="323" t="s">
        <v>3006</v>
      </c>
      <c r="E2817" s="132" t="s">
        <v>24</v>
      </c>
      <c r="F2817" s="97" t="str">
        <f ca="1">IF(OR(Market_Data[[#This Row],[Start Date]]="",Market_Data[[#This Row],[Completion Date]]=""),"Needs Validation",IF(Market_Data[[#This Row],[Start Date]]&gt;TODAY(),"Planned",IF(Market_Data[[#This Row],[Completion Date]]&lt;TODAY(),"Completed","Ongoing")))</f>
        <v>Ongoing</v>
      </c>
      <c r="G2817" s="324">
        <v>44113</v>
      </c>
      <c r="H2817" s="324">
        <v>46752</v>
      </c>
      <c r="I2817" s="325">
        <v>20200</v>
      </c>
      <c r="J281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17" s="133">
        <f>_xlfn.XLOOKUP(Market_Data[[#This Row],[Project Type]],tbl_assumptions_market[Project Category (RERA)],tbl_assumptions_market[Concrete Intensity
(m³ / sq m BUA)],"",0)</f>
        <v>0.45</v>
      </c>
      <c r="L2817" s="134">
        <f>ROUND(Market_Data[[#This Row],[Estimated Built Up Area (sq m)]]*Market_Data[[#This Row],[Concrete Intensity
(m³ / sq m)]],0)</f>
        <v>9090</v>
      </c>
      <c r="M2817" s="135">
        <f>_xlfn.XLOOKUP(Market_Data[[#This Row],[District]],tbl_district_price[District],tbl_district_price[Standard Price
(INR/m³)],"",0)</f>
        <v>5600</v>
      </c>
      <c r="N2817" s="364">
        <f>IF(OR(Market_Data[[#This Row],[Estimated Concrete Demand (m³)]]="",Market_Data[[#This Row],[Avg Price per (₹ / m³)]]=""),"",Market_Data[[#This Row],[Estimated Concrete Demand (m³)]]*Market_Data[[#This Row],[Avg Price per (₹ / m³)]]/10000000)</f>
        <v>5.0903999999999998</v>
      </c>
      <c r="O2817" s="97" t="str">
        <f>IF(Market_Data[[#This Row],[Estimated Concrete Demand (m³)]]="","",
IF(Market_Data[[#This Row],[Estimated Concrete Demand (m³)]]&lt;10000,"Small",
IF(Market_Data[[#This Row],[Estimated Concrete Demand (m³)]]&lt;25000,"Medium",
IF(Market_Data[[#This Row],[Estimated Concrete Demand (m³)]]&lt;100000,"Large","Mega"))))</f>
        <v>Small</v>
      </c>
      <c r="P2817" s="287" t="str">
        <f t="shared" si="45"/>
        <v>GujRERA</v>
      </c>
    </row>
    <row r="2818" spans="1:16">
      <c r="A2818" s="129" t="str">
        <f>_xlfn.XLOOKUP(B2818,$S$9:$S$14,$T$9:$T$14)&amp;"-"&amp;
IF(E2818="Residential/Group Housing","RES",
IF(E2818="Commercial","COM",
IF(E2818="Mixed Development","MIX",
IF(E2818="Plotted Development","PLT","OTH"))))
&amp;"-"&amp;TEXT(COUNTIFS($B$9:B2818,B2818,$E$9:E2818,E2818),"0000")</f>
        <v>VAL-MIX-0048</v>
      </c>
      <c r="B2818" s="322" t="s">
        <v>35</v>
      </c>
      <c r="C2818" s="322" t="s">
        <v>35</v>
      </c>
      <c r="D2818" s="323" t="s">
        <v>3007</v>
      </c>
      <c r="E2818" s="132" t="s">
        <v>25</v>
      </c>
      <c r="F2818" s="97" t="str">
        <f ca="1">IF(OR(Market_Data[[#This Row],[Start Date]]="",Market_Data[[#This Row],[Completion Date]]=""),"Needs Validation",IF(Market_Data[[#This Row],[Start Date]]&gt;TODAY(),"Planned",IF(Market_Data[[#This Row],[Completion Date]]&lt;TODAY(),"Completed","Ongoing")))</f>
        <v>Completed</v>
      </c>
      <c r="G2818" s="324">
        <v>43033</v>
      </c>
      <c r="H2818" s="324">
        <v>45767</v>
      </c>
      <c r="I2818" s="325">
        <v>11100</v>
      </c>
      <c r="J281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18" s="133">
        <f>_xlfn.XLOOKUP(Market_Data[[#This Row],[Project Type]],tbl_assumptions_market[Project Category (RERA)],tbl_assumptions_market[Concrete Intensity
(m³ / sq m BUA)],"",0)</f>
        <v>0.42</v>
      </c>
      <c r="L2818" s="134">
        <f>ROUND(Market_Data[[#This Row],[Estimated Built Up Area (sq m)]]*Market_Data[[#This Row],[Concrete Intensity
(m³ / sq m)]],0)</f>
        <v>4662</v>
      </c>
      <c r="M2818" s="135">
        <f>_xlfn.XLOOKUP(Market_Data[[#This Row],[District]],tbl_district_price[District],tbl_district_price[Standard Price
(INR/m³)],"",0)</f>
        <v>5600</v>
      </c>
      <c r="N2818" s="364">
        <f>IF(OR(Market_Data[[#This Row],[Estimated Concrete Demand (m³)]]="",Market_Data[[#This Row],[Avg Price per (₹ / m³)]]=""),"",Market_Data[[#This Row],[Estimated Concrete Demand (m³)]]*Market_Data[[#This Row],[Avg Price per (₹ / m³)]]/10000000)</f>
        <v>2.6107200000000002</v>
      </c>
      <c r="O2818" s="97" t="str">
        <f>IF(Market_Data[[#This Row],[Estimated Concrete Demand (m³)]]="","",
IF(Market_Data[[#This Row],[Estimated Concrete Demand (m³)]]&lt;10000,"Small",
IF(Market_Data[[#This Row],[Estimated Concrete Demand (m³)]]&lt;25000,"Medium",
IF(Market_Data[[#This Row],[Estimated Concrete Demand (m³)]]&lt;100000,"Large","Mega"))))</f>
        <v>Small</v>
      </c>
      <c r="P2818" s="287" t="str">
        <f t="shared" si="45"/>
        <v>GujRERA</v>
      </c>
    </row>
    <row r="2819" spans="1:16">
      <c r="A2819" s="129" t="str">
        <f>_xlfn.XLOOKUP(B2819,$S$9:$S$14,$T$9:$T$14)&amp;"-"&amp;
IF(E2819="Residential/Group Housing","RES",
IF(E2819="Commercial","COM",
IF(E2819="Mixed Development","MIX",
IF(E2819="Plotted Development","PLT","OTH"))))
&amp;"-"&amp;TEXT(COUNTIFS($B$9:B2819,B2819,$E$9:E2819,E2819),"0000")</f>
        <v>VAL-RES-0031</v>
      </c>
      <c r="B2819" s="322" t="s">
        <v>35</v>
      </c>
      <c r="C2819" s="322" t="s">
        <v>35</v>
      </c>
      <c r="D2819" s="323" t="s">
        <v>3008</v>
      </c>
      <c r="E2819" s="132" t="s">
        <v>24</v>
      </c>
      <c r="F2819" s="97" t="str">
        <f ca="1">IF(OR(Market_Data[[#This Row],[Start Date]]="",Market_Data[[#This Row],[Completion Date]]=""),"Needs Validation",IF(Market_Data[[#This Row],[Start Date]]&gt;TODAY(),"Planned",IF(Market_Data[[#This Row],[Completion Date]]&lt;TODAY(),"Completed","Ongoing")))</f>
        <v>Completed</v>
      </c>
      <c r="G2819" s="324">
        <v>42948</v>
      </c>
      <c r="H2819" s="324">
        <v>44104</v>
      </c>
      <c r="I2819" s="325">
        <v>35100</v>
      </c>
      <c r="J281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19" s="133">
        <f>_xlfn.XLOOKUP(Market_Data[[#This Row],[Project Type]],tbl_assumptions_market[Project Category (RERA)],tbl_assumptions_market[Concrete Intensity
(m³ / sq m BUA)],"",0)</f>
        <v>0.45</v>
      </c>
      <c r="L2819" s="134">
        <f>ROUND(Market_Data[[#This Row],[Estimated Built Up Area (sq m)]]*Market_Data[[#This Row],[Concrete Intensity
(m³ / sq m)]],0)</f>
        <v>15795</v>
      </c>
      <c r="M2819" s="135">
        <f>_xlfn.XLOOKUP(Market_Data[[#This Row],[District]],tbl_district_price[District],tbl_district_price[Standard Price
(INR/m³)],"",0)</f>
        <v>5600</v>
      </c>
      <c r="N2819" s="364">
        <f>IF(OR(Market_Data[[#This Row],[Estimated Concrete Demand (m³)]]="",Market_Data[[#This Row],[Avg Price per (₹ / m³)]]=""),"",Market_Data[[#This Row],[Estimated Concrete Demand (m³)]]*Market_Data[[#This Row],[Avg Price per (₹ / m³)]]/10000000)</f>
        <v>8.8452000000000002</v>
      </c>
      <c r="O2819" s="97" t="str">
        <f>IF(Market_Data[[#This Row],[Estimated Concrete Demand (m³)]]="","",
IF(Market_Data[[#This Row],[Estimated Concrete Demand (m³)]]&lt;10000,"Small",
IF(Market_Data[[#This Row],[Estimated Concrete Demand (m³)]]&lt;25000,"Medium",
IF(Market_Data[[#This Row],[Estimated Concrete Demand (m³)]]&lt;100000,"Large","Mega"))))</f>
        <v>Medium</v>
      </c>
      <c r="P2819" s="287" t="str">
        <f t="shared" si="45"/>
        <v>GujRERA</v>
      </c>
    </row>
    <row r="2820" spans="1:16">
      <c r="A2820" s="129" t="str">
        <f>_xlfn.XLOOKUP(B2820,$S$9:$S$14,$T$9:$T$14)&amp;"-"&amp;
IF(E2820="Residential/Group Housing","RES",
IF(E2820="Commercial","COM",
IF(E2820="Mixed Development","MIX",
IF(E2820="Plotted Development","PLT","OTH"))))
&amp;"-"&amp;TEXT(COUNTIFS($B$9:B2820,B2820,$E$9:E2820,E2820),"0000")</f>
        <v>VAL-MIX-0049</v>
      </c>
      <c r="B2820" s="322" t="s">
        <v>35</v>
      </c>
      <c r="C2820" s="322" t="s">
        <v>35</v>
      </c>
      <c r="D2820" s="323" t="s">
        <v>3009</v>
      </c>
      <c r="E2820" s="132" t="s">
        <v>25</v>
      </c>
      <c r="F2820" s="97" t="str">
        <f ca="1">IF(OR(Market_Data[[#This Row],[Start Date]]="",Market_Data[[#This Row],[Completion Date]]=""),"Needs Validation",IF(Market_Data[[#This Row],[Start Date]]&gt;TODAY(),"Planned",IF(Market_Data[[#This Row],[Completion Date]]&lt;TODAY(),"Completed","Ongoing")))</f>
        <v>Completed</v>
      </c>
      <c r="G2820" s="324">
        <v>43009</v>
      </c>
      <c r="H2820" s="324">
        <v>45564</v>
      </c>
      <c r="I2820" s="325">
        <v>41300</v>
      </c>
      <c r="J282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20" s="133">
        <f>_xlfn.XLOOKUP(Market_Data[[#This Row],[Project Type]],tbl_assumptions_market[Project Category (RERA)],tbl_assumptions_market[Concrete Intensity
(m³ / sq m BUA)],"",0)</f>
        <v>0.42</v>
      </c>
      <c r="L2820" s="134">
        <f>ROUND(Market_Data[[#This Row],[Estimated Built Up Area (sq m)]]*Market_Data[[#This Row],[Concrete Intensity
(m³ / sq m)]],0)</f>
        <v>17346</v>
      </c>
      <c r="M2820" s="135">
        <f>_xlfn.XLOOKUP(Market_Data[[#This Row],[District]],tbl_district_price[District],tbl_district_price[Standard Price
(INR/m³)],"",0)</f>
        <v>5600</v>
      </c>
      <c r="N2820" s="364">
        <f>IF(OR(Market_Data[[#This Row],[Estimated Concrete Demand (m³)]]="",Market_Data[[#This Row],[Avg Price per (₹ / m³)]]=""),"",Market_Data[[#This Row],[Estimated Concrete Demand (m³)]]*Market_Data[[#This Row],[Avg Price per (₹ / m³)]]/10000000)</f>
        <v>9.7137600000000006</v>
      </c>
      <c r="O2820" s="97" t="str">
        <f>IF(Market_Data[[#This Row],[Estimated Concrete Demand (m³)]]="","",
IF(Market_Data[[#This Row],[Estimated Concrete Demand (m³)]]&lt;10000,"Small",
IF(Market_Data[[#This Row],[Estimated Concrete Demand (m³)]]&lt;25000,"Medium",
IF(Market_Data[[#This Row],[Estimated Concrete Demand (m³)]]&lt;100000,"Large","Mega"))))</f>
        <v>Medium</v>
      </c>
      <c r="P2820" s="287" t="str">
        <f t="shared" si="45"/>
        <v>GujRERA</v>
      </c>
    </row>
    <row r="2821" spans="1:16">
      <c r="A2821" s="129" t="str">
        <f>_xlfn.XLOOKUP(B2821,$S$9:$S$14,$T$9:$T$14)&amp;"-"&amp;
IF(E2821="Residential/Group Housing","RES",
IF(E2821="Commercial","COM",
IF(E2821="Mixed Development","MIX",
IF(E2821="Plotted Development","PLT","OTH"))))
&amp;"-"&amp;TEXT(COUNTIFS($B$9:B2821,B2821,$E$9:E2821,E2821),"0000")</f>
        <v>VAL-RES-0032</v>
      </c>
      <c r="B2821" s="322" t="s">
        <v>35</v>
      </c>
      <c r="C2821" s="322" t="s">
        <v>35</v>
      </c>
      <c r="D2821" s="323" t="s">
        <v>3010</v>
      </c>
      <c r="E2821" s="132" t="s">
        <v>24</v>
      </c>
      <c r="F2821" s="97" t="str">
        <f ca="1">IF(OR(Market_Data[[#This Row],[Start Date]]="",Market_Data[[#This Row],[Completion Date]]=""),"Needs Validation",IF(Market_Data[[#This Row],[Start Date]]&gt;TODAY(),"Planned",IF(Market_Data[[#This Row],[Completion Date]]&lt;TODAY(),"Completed","Ongoing")))</f>
        <v>Completed</v>
      </c>
      <c r="G2821" s="324">
        <v>43252</v>
      </c>
      <c r="H2821" s="324">
        <v>44407</v>
      </c>
      <c r="I2821" s="325">
        <v>49600</v>
      </c>
      <c r="J282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21" s="133">
        <f>_xlfn.XLOOKUP(Market_Data[[#This Row],[Project Type]],tbl_assumptions_market[Project Category (RERA)],tbl_assumptions_market[Concrete Intensity
(m³ / sq m BUA)],"",0)</f>
        <v>0.45</v>
      </c>
      <c r="L2821" s="134">
        <f>ROUND(Market_Data[[#This Row],[Estimated Built Up Area (sq m)]]*Market_Data[[#This Row],[Concrete Intensity
(m³ / sq m)]],0)</f>
        <v>22320</v>
      </c>
      <c r="M2821" s="135">
        <f>_xlfn.XLOOKUP(Market_Data[[#This Row],[District]],tbl_district_price[District],tbl_district_price[Standard Price
(INR/m³)],"",0)</f>
        <v>5600</v>
      </c>
      <c r="N2821" s="364">
        <f>IF(OR(Market_Data[[#This Row],[Estimated Concrete Demand (m³)]]="",Market_Data[[#This Row],[Avg Price per (₹ / m³)]]=""),"",Market_Data[[#This Row],[Estimated Concrete Demand (m³)]]*Market_Data[[#This Row],[Avg Price per (₹ / m³)]]/10000000)</f>
        <v>12.4992</v>
      </c>
      <c r="O2821" s="97" t="str">
        <f>IF(Market_Data[[#This Row],[Estimated Concrete Demand (m³)]]="","",
IF(Market_Data[[#This Row],[Estimated Concrete Demand (m³)]]&lt;10000,"Small",
IF(Market_Data[[#This Row],[Estimated Concrete Demand (m³)]]&lt;25000,"Medium",
IF(Market_Data[[#This Row],[Estimated Concrete Demand (m³)]]&lt;100000,"Large","Mega"))))</f>
        <v>Medium</v>
      </c>
      <c r="P2821" s="287" t="str">
        <f t="shared" si="45"/>
        <v>GujRERA</v>
      </c>
    </row>
    <row r="2822" spans="1:16">
      <c r="A2822" s="129" t="str">
        <f>_xlfn.XLOOKUP(B2822,$S$9:$S$14,$T$9:$T$14)&amp;"-"&amp;
IF(E2822="Residential/Group Housing","RES",
IF(E2822="Commercial","COM",
IF(E2822="Mixed Development","MIX",
IF(E2822="Plotted Development","PLT","OTH"))))
&amp;"-"&amp;TEXT(COUNTIFS($B$9:B2822,B2822,$E$9:E2822,E2822),"0000")</f>
        <v>VAL-MIX-0050</v>
      </c>
      <c r="B2822" s="322" t="s">
        <v>35</v>
      </c>
      <c r="C2822" s="322" t="s">
        <v>35</v>
      </c>
      <c r="D2822" s="323" t="s">
        <v>3011</v>
      </c>
      <c r="E2822" s="132" t="s">
        <v>25</v>
      </c>
      <c r="F2822" s="97" t="str">
        <f ca="1">IF(OR(Market_Data[[#This Row],[Start Date]]="",Market_Data[[#This Row],[Completion Date]]=""),"Needs Validation",IF(Market_Data[[#This Row],[Start Date]]&gt;TODAY(),"Planned",IF(Market_Data[[#This Row],[Completion Date]]&lt;TODAY(),"Completed","Ongoing")))</f>
        <v>Completed</v>
      </c>
      <c r="G2822" s="324">
        <v>42736</v>
      </c>
      <c r="H2822" s="324">
        <v>44651</v>
      </c>
      <c r="I2822" s="325">
        <v>8000</v>
      </c>
      <c r="J282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822" s="133">
        <f>_xlfn.XLOOKUP(Market_Data[[#This Row],[Project Type]],tbl_assumptions_market[Project Category (RERA)],tbl_assumptions_market[Concrete Intensity
(m³ / sq m BUA)],"",0)</f>
        <v>0.42</v>
      </c>
      <c r="L2822" s="134">
        <f>ROUND(Market_Data[[#This Row],[Estimated Built Up Area (sq m)]]*Market_Data[[#This Row],[Concrete Intensity
(m³ / sq m)]],0)</f>
        <v>3360</v>
      </c>
      <c r="M2822" s="135">
        <f>_xlfn.XLOOKUP(Market_Data[[#This Row],[District]],tbl_district_price[District],tbl_district_price[Standard Price
(INR/m³)],"",0)</f>
        <v>5600</v>
      </c>
      <c r="N2822" s="364">
        <f>IF(OR(Market_Data[[#This Row],[Estimated Concrete Demand (m³)]]="",Market_Data[[#This Row],[Avg Price per (₹ / m³)]]=""),"",Market_Data[[#This Row],[Estimated Concrete Demand (m³)]]*Market_Data[[#This Row],[Avg Price per (₹ / m³)]]/10000000)</f>
        <v>1.8815999999999999</v>
      </c>
      <c r="O2822" s="97" t="str">
        <f>IF(Market_Data[[#This Row],[Estimated Concrete Demand (m³)]]="","",
IF(Market_Data[[#This Row],[Estimated Concrete Demand (m³)]]&lt;10000,"Small",
IF(Market_Data[[#This Row],[Estimated Concrete Demand (m³)]]&lt;25000,"Medium",
IF(Market_Data[[#This Row],[Estimated Concrete Demand (m³)]]&lt;100000,"Large","Mega"))))</f>
        <v>Small</v>
      </c>
      <c r="P2822" s="287" t="str">
        <f t="shared" si="45"/>
        <v>GujRERA</v>
      </c>
    </row>
    <row r="2823" spans="1:16">
      <c r="A2823" s="129" t="str">
        <f>_xlfn.XLOOKUP(B2823,$S$9:$S$14,$T$9:$T$14)&amp;"-"&amp;
IF(E2823="Residential/Group Housing","RES",
IF(E2823="Commercial","COM",
IF(E2823="Mixed Development","MIX",
IF(E2823="Plotted Development","PLT","OTH"))))
&amp;"-"&amp;TEXT(COUNTIFS($B$9:B2823,B2823,$E$9:E2823,E2823),"0000")</f>
        <v>VAL-MIX-0051</v>
      </c>
      <c r="B2823" s="322" t="s">
        <v>35</v>
      </c>
      <c r="C2823" s="322" t="s">
        <v>35</v>
      </c>
      <c r="D2823" s="323" t="s">
        <v>3012</v>
      </c>
      <c r="E2823" s="132" t="s">
        <v>25</v>
      </c>
      <c r="F2823" s="97" t="str">
        <f ca="1">IF(OR(Market_Data[[#This Row],[Start Date]]="",Market_Data[[#This Row],[Completion Date]]=""),"Needs Validation",IF(Market_Data[[#This Row],[Start Date]]&gt;TODAY(),"Planned",IF(Market_Data[[#This Row],[Completion Date]]&lt;TODAY(),"Completed","Ongoing")))</f>
        <v>Ongoing</v>
      </c>
      <c r="G2823" s="324">
        <v>44871</v>
      </c>
      <c r="H2823" s="324">
        <v>47118</v>
      </c>
      <c r="I2823" s="325">
        <v>107900</v>
      </c>
      <c r="J282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23" s="133">
        <f>_xlfn.XLOOKUP(Market_Data[[#This Row],[Project Type]],tbl_assumptions_market[Project Category (RERA)],tbl_assumptions_market[Concrete Intensity
(m³ / sq m BUA)],"",0)</f>
        <v>0.42</v>
      </c>
      <c r="L2823" s="134">
        <f>ROUND(Market_Data[[#This Row],[Estimated Built Up Area (sq m)]]*Market_Data[[#This Row],[Concrete Intensity
(m³ / sq m)]],0)</f>
        <v>45318</v>
      </c>
      <c r="M2823" s="135">
        <f>_xlfn.XLOOKUP(Market_Data[[#This Row],[District]],tbl_district_price[District],tbl_district_price[Standard Price
(INR/m³)],"",0)</f>
        <v>5600</v>
      </c>
      <c r="N2823" s="364">
        <f>IF(OR(Market_Data[[#This Row],[Estimated Concrete Demand (m³)]]="",Market_Data[[#This Row],[Avg Price per (₹ / m³)]]=""),"",Market_Data[[#This Row],[Estimated Concrete Demand (m³)]]*Market_Data[[#This Row],[Avg Price per (₹ / m³)]]/10000000)</f>
        <v>25.378080000000001</v>
      </c>
      <c r="O2823" s="97" t="str">
        <f>IF(Market_Data[[#This Row],[Estimated Concrete Demand (m³)]]="","",
IF(Market_Data[[#This Row],[Estimated Concrete Demand (m³)]]&lt;10000,"Small",
IF(Market_Data[[#This Row],[Estimated Concrete Demand (m³)]]&lt;25000,"Medium",
IF(Market_Data[[#This Row],[Estimated Concrete Demand (m³)]]&lt;100000,"Large","Mega"))))</f>
        <v>Large</v>
      </c>
      <c r="P2823" s="287" t="str">
        <f t="shared" si="45"/>
        <v>GujRERA</v>
      </c>
    </row>
    <row r="2824" spans="1:16">
      <c r="A2824" s="129" t="str">
        <f>_xlfn.XLOOKUP(B2824,$S$9:$S$14,$T$9:$T$14)&amp;"-"&amp;
IF(E2824="Residential/Group Housing","RES",
IF(E2824="Commercial","COM",
IF(E2824="Mixed Development","MIX",
IF(E2824="Plotted Development","PLT","OTH"))))
&amp;"-"&amp;TEXT(COUNTIFS($B$9:B2824,B2824,$E$9:E2824,E2824),"0000")</f>
        <v>VAL-RES-0033</v>
      </c>
      <c r="B2824" s="322" t="s">
        <v>35</v>
      </c>
      <c r="C2824" s="322" t="s">
        <v>35</v>
      </c>
      <c r="D2824" s="323" t="s">
        <v>3013</v>
      </c>
      <c r="E2824" s="132" t="s">
        <v>24</v>
      </c>
      <c r="F2824" s="97" t="str">
        <f ca="1">IF(OR(Market_Data[[#This Row],[Start Date]]="",Market_Data[[#This Row],[Completion Date]]=""),"Needs Validation",IF(Market_Data[[#This Row],[Start Date]]&gt;TODAY(),"Planned",IF(Market_Data[[#This Row],[Completion Date]]&lt;TODAY(),"Completed","Ongoing")))</f>
        <v>Ongoing</v>
      </c>
      <c r="G2824" s="324">
        <v>44880</v>
      </c>
      <c r="H2824" s="324">
        <v>47118</v>
      </c>
      <c r="I2824" s="325">
        <v>11900</v>
      </c>
      <c r="J282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24" s="133">
        <f>_xlfn.XLOOKUP(Market_Data[[#This Row],[Project Type]],tbl_assumptions_market[Project Category (RERA)],tbl_assumptions_market[Concrete Intensity
(m³ / sq m BUA)],"",0)</f>
        <v>0.45</v>
      </c>
      <c r="L2824" s="134">
        <f>ROUND(Market_Data[[#This Row],[Estimated Built Up Area (sq m)]]*Market_Data[[#This Row],[Concrete Intensity
(m³ / sq m)]],0)</f>
        <v>5355</v>
      </c>
      <c r="M2824" s="135">
        <f>_xlfn.XLOOKUP(Market_Data[[#This Row],[District]],tbl_district_price[District],tbl_district_price[Standard Price
(INR/m³)],"",0)</f>
        <v>5600</v>
      </c>
      <c r="N2824" s="364">
        <f>IF(OR(Market_Data[[#This Row],[Estimated Concrete Demand (m³)]]="",Market_Data[[#This Row],[Avg Price per (₹ / m³)]]=""),"",Market_Data[[#This Row],[Estimated Concrete Demand (m³)]]*Market_Data[[#This Row],[Avg Price per (₹ / m³)]]/10000000)</f>
        <v>2.9988000000000001</v>
      </c>
      <c r="O2824" s="97" t="str">
        <f>IF(Market_Data[[#This Row],[Estimated Concrete Demand (m³)]]="","",
IF(Market_Data[[#This Row],[Estimated Concrete Demand (m³)]]&lt;10000,"Small",
IF(Market_Data[[#This Row],[Estimated Concrete Demand (m³)]]&lt;25000,"Medium",
IF(Market_Data[[#This Row],[Estimated Concrete Demand (m³)]]&lt;100000,"Large","Mega"))))</f>
        <v>Small</v>
      </c>
      <c r="P2824" s="287" t="str">
        <f t="shared" si="45"/>
        <v>GujRERA</v>
      </c>
    </row>
    <row r="2825" spans="1:16">
      <c r="A2825" s="129" t="str">
        <f>_xlfn.XLOOKUP(B2825,$S$9:$S$14,$T$9:$T$14)&amp;"-"&amp;
IF(E2825="Residential/Group Housing","RES",
IF(E2825="Commercial","COM",
IF(E2825="Mixed Development","MIX",
IF(E2825="Plotted Development","PLT","OTH"))))
&amp;"-"&amp;TEXT(COUNTIFS($B$9:B2825,B2825,$E$9:E2825,E2825),"0000")</f>
        <v>VAL-RES-0034</v>
      </c>
      <c r="B2825" s="322" t="s">
        <v>35</v>
      </c>
      <c r="C2825" s="322" t="s">
        <v>35</v>
      </c>
      <c r="D2825" s="323" t="s">
        <v>3014</v>
      </c>
      <c r="E2825" s="132" t="s">
        <v>24</v>
      </c>
      <c r="F2825" s="97" t="str">
        <f ca="1">IF(OR(Market_Data[[#This Row],[Start Date]]="",Market_Data[[#This Row],[Completion Date]]=""),"Needs Validation",IF(Market_Data[[#This Row],[Start Date]]&gt;TODAY(),"Planned",IF(Market_Data[[#This Row],[Completion Date]]&lt;TODAY(),"Completed","Ongoing")))</f>
        <v>Ongoing</v>
      </c>
      <c r="G2825" s="324">
        <v>45117</v>
      </c>
      <c r="H2825" s="324">
        <v>46752</v>
      </c>
      <c r="I2825" s="325">
        <v>6900</v>
      </c>
      <c r="J282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25" s="133">
        <f>_xlfn.XLOOKUP(Market_Data[[#This Row],[Project Type]],tbl_assumptions_market[Project Category (RERA)],tbl_assumptions_market[Concrete Intensity
(m³ / sq m BUA)],"",0)</f>
        <v>0.45</v>
      </c>
      <c r="L2825" s="134">
        <f>ROUND(Market_Data[[#This Row],[Estimated Built Up Area (sq m)]]*Market_Data[[#This Row],[Concrete Intensity
(m³ / sq m)]],0)</f>
        <v>3105</v>
      </c>
      <c r="M2825" s="135">
        <f>_xlfn.XLOOKUP(Market_Data[[#This Row],[District]],tbl_district_price[District],tbl_district_price[Standard Price
(INR/m³)],"",0)</f>
        <v>5600</v>
      </c>
      <c r="N2825" s="364">
        <f>IF(OR(Market_Data[[#This Row],[Estimated Concrete Demand (m³)]]="",Market_Data[[#This Row],[Avg Price per (₹ / m³)]]=""),"",Market_Data[[#This Row],[Estimated Concrete Demand (m³)]]*Market_Data[[#This Row],[Avg Price per (₹ / m³)]]/10000000)</f>
        <v>1.7387999999999999</v>
      </c>
      <c r="O2825" s="97" t="str">
        <f>IF(Market_Data[[#This Row],[Estimated Concrete Demand (m³)]]="","",
IF(Market_Data[[#This Row],[Estimated Concrete Demand (m³)]]&lt;10000,"Small",
IF(Market_Data[[#This Row],[Estimated Concrete Demand (m³)]]&lt;25000,"Medium",
IF(Market_Data[[#This Row],[Estimated Concrete Demand (m³)]]&lt;100000,"Large","Mega"))))</f>
        <v>Small</v>
      </c>
      <c r="P2825" s="287" t="str">
        <f t="shared" si="45"/>
        <v>GujRERA</v>
      </c>
    </row>
    <row r="2826" spans="1:16">
      <c r="A2826" s="129" t="str">
        <f>_xlfn.XLOOKUP(B2826,$S$9:$S$14,$T$9:$T$14)&amp;"-"&amp;
IF(E2826="Residential/Group Housing","RES",
IF(E2826="Commercial","COM",
IF(E2826="Mixed Development","MIX",
IF(E2826="Plotted Development","PLT","OTH"))))
&amp;"-"&amp;TEXT(COUNTIFS($B$9:B2826,B2826,$E$9:E2826,E2826),"0000")</f>
        <v>VAL-MIX-0052</v>
      </c>
      <c r="B2826" s="322" t="s">
        <v>35</v>
      </c>
      <c r="C2826" s="322" t="s">
        <v>35</v>
      </c>
      <c r="D2826" s="323" t="s">
        <v>3015</v>
      </c>
      <c r="E2826" s="132" t="s">
        <v>25</v>
      </c>
      <c r="F2826" s="97" t="str">
        <f ca="1">IF(OR(Market_Data[[#This Row],[Start Date]]="",Market_Data[[#This Row],[Completion Date]]=""),"Needs Validation",IF(Market_Data[[#This Row],[Start Date]]&gt;TODAY(),"Planned",IF(Market_Data[[#This Row],[Completion Date]]&lt;TODAY(),"Completed","Ongoing")))</f>
        <v>Ongoing</v>
      </c>
      <c r="G2826" s="324">
        <v>45328</v>
      </c>
      <c r="H2826" s="324">
        <v>46752</v>
      </c>
      <c r="I2826" s="325">
        <v>21200</v>
      </c>
      <c r="J282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26" s="133">
        <f>_xlfn.XLOOKUP(Market_Data[[#This Row],[Project Type]],tbl_assumptions_market[Project Category (RERA)],tbl_assumptions_market[Concrete Intensity
(m³ / sq m BUA)],"",0)</f>
        <v>0.42</v>
      </c>
      <c r="L2826" s="134">
        <f>ROUND(Market_Data[[#This Row],[Estimated Built Up Area (sq m)]]*Market_Data[[#This Row],[Concrete Intensity
(m³ / sq m)]],0)</f>
        <v>8904</v>
      </c>
      <c r="M2826" s="135">
        <f>_xlfn.XLOOKUP(Market_Data[[#This Row],[District]],tbl_district_price[District],tbl_district_price[Standard Price
(INR/m³)],"",0)</f>
        <v>5600</v>
      </c>
      <c r="N2826" s="364">
        <f>IF(OR(Market_Data[[#This Row],[Estimated Concrete Demand (m³)]]="",Market_Data[[#This Row],[Avg Price per (₹ / m³)]]=""),"",Market_Data[[#This Row],[Estimated Concrete Demand (m³)]]*Market_Data[[#This Row],[Avg Price per (₹ / m³)]]/10000000)</f>
        <v>4.9862399999999996</v>
      </c>
      <c r="O2826" s="97" t="str">
        <f>IF(Market_Data[[#This Row],[Estimated Concrete Demand (m³)]]="","",
IF(Market_Data[[#This Row],[Estimated Concrete Demand (m³)]]&lt;10000,"Small",
IF(Market_Data[[#This Row],[Estimated Concrete Demand (m³)]]&lt;25000,"Medium",
IF(Market_Data[[#This Row],[Estimated Concrete Demand (m³)]]&lt;100000,"Large","Mega"))))</f>
        <v>Small</v>
      </c>
      <c r="P2826" s="287" t="str">
        <f t="shared" ref="P2826:P2889" si="46">HYPERLINK(
"https://gujrera.gujarat.gov.in",
"GujRERA")</f>
        <v>GujRERA</v>
      </c>
    </row>
    <row r="2827" spans="1:16">
      <c r="A2827" s="129" t="str">
        <f>_xlfn.XLOOKUP(B2827,$S$9:$S$14,$T$9:$T$14)&amp;"-"&amp;
IF(E2827="Residential/Group Housing","RES",
IF(E2827="Commercial","COM",
IF(E2827="Mixed Development","MIX",
IF(E2827="Plotted Development","PLT","OTH"))))
&amp;"-"&amp;TEXT(COUNTIFS($B$9:B2827,B2827,$E$9:E2827,E2827),"0000")</f>
        <v>VAL-RES-0035</v>
      </c>
      <c r="B2827" s="322" t="s">
        <v>35</v>
      </c>
      <c r="C2827" s="322" t="s">
        <v>35</v>
      </c>
      <c r="D2827" s="323" t="s">
        <v>3016</v>
      </c>
      <c r="E2827" s="132" t="s">
        <v>24</v>
      </c>
      <c r="F2827" s="97" t="str">
        <f ca="1">IF(OR(Market_Data[[#This Row],[Start Date]]="",Market_Data[[#This Row],[Completion Date]]=""),"Needs Validation",IF(Market_Data[[#This Row],[Start Date]]&gt;TODAY(),"Planned",IF(Market_Data[[#This Row],[Completion Date]]&lt;TODAY(),"Completed","Ongoing")))</f>
        <v>Completed</v>
      </c>
      <c r="G2827" s="324">
        <v>43241</v>
      </c>
      <c r="H2827" s="324">
        <v>45107</v>
      </c>
      <c r="I2827" s="325">
        <v>22300</v>
      </c>
      <c r="J282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27" s="133">
        <f>_xlfn.XLOOKUP(Market_Data[[#This Row],[Project Type]],tbl_assumptions_market[Project Category (RERA)],tbl_assumptions_market[Concrete Intensity
(m³ / sq m BUA)],"",0)</f>
        <v>0.45</v>
      </c>
      <c r="L2827" s="134">
        <f>ROUND(Market_Data[[#This Row],[Estimated Built Up Area (sq m)]]*Market_Data[[#This Row],[Concrete Intensity
(m³ / sq m)]],0)</f>
        <v>10035</v>
      </c>
      <c r="M2827" s="135">
        <f>_xlfn.XLOOKUP(Market_Data[[#This Row],[District]],tbl_district_price[District],tbl_district_price[Standard Price
(INR/m³)],"",0)</f>
        <v>5600</v>
      </c>
      <c r="N2827" s="364">
        <f>IF(OR(Market_Data[[#This Row],[Estimated Concrete Demand (m³)]]="",Market_Data[[#This Row],[Avg Price per (₹ / m³)]]=""),"",Market_Data[[#This Row],[Estimated Concrete Demand (m³)]]*Market_Data[[#This Row],[Avg Price per (₹ / m³)]]/10000000)</f>
        <v>5.6196000000000002</v>
      </c>
      <c r="O2827" s="97" t="str">
        <f>IF(Market_Data[[#This Row],[Estimated Concrete Demand (m³)]]="","",
IF(Market_Data[[#This Row],[Estimated Concrete Demand (m³)]]&lt;10000,"Small",
IF(Market_Data[[#This Row],[Estimated Concrete Demand (m³)]]&lt;25000,"Medium",
IF(Market_Data[[#This Row],[Estimated Concrete Demand (m³)]]&lt;100000,"Large","Mega"))))</f>
        <v>Medium</v>
      </c>
      <c r="P2827" s="287" t="str">
        <f t="shared" si="46"/>
        <v>GujRERA</v>
      </c>
    </row>
    <row r="2828" spans="1:16">
      <c r="A2828" s="129" t="str">
        <f>_xlfn.XLOOKUP(B2828,$S$9:$S$14,$T$9:$T$14)&amp;"-"&amp;
IF(E2828="Residential/Group Housing","RES",
IF(E2828="Commercial","COM",
IF(E2828="Mixed Development","MIX",
IF(E2828="Plotted Development","PLT","OTH"))))
&amp;"-"&amp;TEXT(COUNTIFS($B$9:B2828,B2828,$E$9:E2828,E2828),"0000")</f>
        <v>VAL-MIX-0053</v>
      </c>
      <c r="B2828" s="322" t="s">
        <v>35</v>
      </c>
      <c r="C2828" s="322" t="s">
        <v>35</v>
      </c>
      <c r="D2828" s="323" t="s">
        <v>3017</v>
      </c>
      <c r="E2828" s="132" t="s">
        <v>25</v>
      </c>
      <c r="F2828" s="97" t="str">
        <f ca="1">IF(OR(Market_Data[[#This Row],[Start Date]]="",Market_Data[[#This Row],[Completion Date]]=""),"Needs Validation",IF(Market_Data[[#This Row],[Start Date]]&gt;TODAY(),"Planned",IF(Market_Data[[#This Row],[Completion Date]]&lt;TODAY(),"Completed","Ongoing")))</f>
        <v>Completed</v>
      </c>
      <c r="G2828" s="324">
        <v>44119</v>
      </c>
      <c r="H2828" s="324">
        <v>46022</v>
      </c>
      <c r="I2828" s="325">
        <v>6000</v>
      </c>
      <c r="J282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828" s="133">
        <f>_xlfn.XLOOKUP(Market_Data[[#This Row],[Project Type]],tbl_assumptions_market[Project Category (RERA)],tbl_assumptions_market[Concrete Intensity
(m³ / sq m BUA)],"",0)</f>
        <v>0.42</v>
      </c>
      <c r="L2828" s="134">
        <f>ROUND(Market_Data[[#This Row],[Estimated Built Up Area (sq m)]]*Market_Data[[#This Row],[Concrete Intensity
(m³ / sq m)]],0)</f>
        <v>2520</v>
      </c>
      <c r="M2828" s="135">
        <f>_xlfn.XLOOKUP(Market_Data[[#This Row],[District]],tbl_district_price[District],tbl_district_price[Standard Price
(INR/m³)],"",0)</f>
        <v>5600</v>
      </c>
      <c r="N2828" s="364">
        <f>IF(OR(Market_Data[[#This Row],[Estimated Concrete Demand (m³)]]="",Market_Data[[#This Row],[Avg Price per (₹ / m³)]]=""),"",Market_Data[[#This Row],[Estimated Concrete Demand (m³)]]*Market_Data[[#This Row],[Avg Price per (₹ / m³)]]/10000000)</f>
        <v>1.4112</v>
      </c>
      <c r="O2828" s="97" t="str">
        <f>IF(Market_Data[[#This Row],[Estimated Concrete Demand (m³)]]="","",
IF(Market_Data[[#This Row],[Estimated Concrete Demand (m³)]]&lt;10000,"Small",
IF(Market_Data[[#This Row],[Estimated Concrete Demand (m³)]]&lt;25000,"Medium",
IF(Market_Data[[#This Row],[Estimated Concrete Demand (m³)]]&lt;100000,"Large","Mega"))))</f>
        <v>Small</v>
      </c>
      <c r="P2828" s="287" t="str">
        <f t="shared" si="46"/>
        <v>GujRERA</v>
      </c>
    </row>
    <row r="2829" spans="1:16">
      <c r="A2829" s="129" t="str">
        <f>_xlfn.XLOOKUP(B2829,$S$9:$S$14,$T$9:$T$14)&amp;"-"&amp;
IF(E2829="Residential/Group Housing","RES",
IF(E2829="Commercial","COM",
IF(E2829="Mixed Development","MIX",
IF(E2829="Plotted Development","PLT","OTH"))))
&amp;"-"&amp;TEXT(COUNTIFS($B$9:B2829,B2829,$E$9:E2829,E2829),"0000")</f>
        <v>VAL-MIX-0054</v>
      </c>
      <c r="B2829" s="322" t="s">
        <v>35</v>
      </c>
      <c r="C2829" s="322" t="s">
        <v>35</v>
      </c>
      <c r="D2829" s="323" t="s">
        <v>3018</v>
      </c>
      <c r="E2829" s="132" t="s">
        <v>25</v>
      </c>
      <c r="F2829" s="97" t="str">
        <f ca="1">IF(OR(Market_Data[[#This Row],[Start Date]]="",Market_Data[[#This Row],[Completion Date]]=""),"Needs Validation",IF(Market_Data[[#This Row],[Start Date]]&gt;TODAY(),"Planned",IF(Market_Data[[#This Row],[Completion Date]]&lt;TODAY(),"Completed","Ongoing")))</f>
        <v>Ongoing</v>
      </c>
      <c r="G2829" s="324">
        <v>45240</v>
      </c>
      <c r="H2829" s="324">
        <v>46752</v>
      </c>
      <c r="I2829" s="325">
        <v>10200</v>
      </c>
      <c r="J282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29" s="133">
        <f>_xlfn.XLOOKUP(Market_Data[[#This Row],[Project Type]],tbl_assumptions_market[Project Category (RERA)],tbl_assumptions_market[Concrete Intensity
(m³ / sq m BUA)],"",0)</f>
        <v>0.42</v>
      </c>
      <c r="L2829" s="134">
        <f>ROUND(Market_Data[[#This Row],[Estimated Built Up Area (sq m)]]*Market_Data[[#This Row],[Concrete Intensity
(m³ / sq m)]],0)</f>
        <v>4284</v>
      </c>
      <c r="M2829" s="135">
        <f>_xlfn.XLOOKUP(Market_Data[[#This Row],[District]],tbl_district_price[District],tbl_district_price[Standard Price
(INR/m³)],"",0)</f>
        <v>5600</v>
      </c>
      <c r="N2829" s="364">
        <f>IF(OR(Market_Data[[#This Row],[Estimated Concrete Demand (m³)]]="",Market_Data[[#This Row],[Avg Price per (₹ / m³)]]=""),"",Market_Data[[#This Row],[Estimated Concrete Demand (m³)]]*Market_Data[[#This Row],[Avg Price per (₹ / m³)]]/10000000)</f>
        <v>2.3990399999999998</v>
      </c>
      <c r="O2829" s="97" t="str">
        <f>IF(Market_Data[[#This Row],[Estimated Concrete Demand (m³)]]="","",
IF(Market_Data[[#This Row],[Estimated Concrete Demand (m³)]]&lt;10000,"Small",
IF(Market_Data[[#This Row],[Estimated Concrete Demand (m³)]]&lt;25000,"Medium",
IF(Market_Data[[#This Row],[Estimated Concrete Demand (m³)]]&lt;100000,"Large","Mega"))))</f>
        <v>Small</v>
      </c>
      <c r="P2829" s="287" t="str">
        <f t="shared" si="46"/>
        <v>GujRERA</v>
      </c>
    </row>
    <row r="2830" spans="1:16">
      <c r="A2830" s="129" t="str">
        <f>_xlfn.XLOOKUP(B2830,$S$9:$S$14,$T$9:$T$14)&amp;"-"&amp;
IF(E2830="Residential/Group Housing","RES",
IF(E2830="Commercial","COM",
IF(E2830="Mixed Development","MIX",
IF(E2830="Plotted Development","PLT","OTH"))))
&amp;"-"&amp;TEXT(COUNTIFS($B$9:B2830,B2830,$E$9:E2830,E2830),"0000")</f>
        <v>VAL-RES-0036</v>
      </c>
      <c r="B2830" s="322" t="s">
        <v>35</v>
      </c>
      <c r="C2830" s="322" t="s">
        <v>35</v>
      </c>
      <c r="D2830" s="323" t="s">
        <v>3019</v>
      </c>
      <c r="E2830" s="132" t="s">
        <v>24</v>
      </c>
      <c r="F2830" s="97" t="str">
        <f ca="1">IF(OR(Market_Data[[#This Row],[Start Date]]="",Market_Data[[#This Row],[Completion Date]]=""),"Needs Validation",IF(Market_Data[[#This Row],[Start Date]]&gt;TODAY(),"Planned",IF(Market_Data[[#This Row],[Completion Date]]&lt;TODAY(),"Completed","Ongoing")))</f>
        <v>Completed</v>
      </c>
      <c r="G2830" s="324">
        <v>43678</v>
      </c>
      <c r="H2830" s="324">
        <v>44957</v>
      </c>
      <c r="I2830" s="325">
        <v>34200</v>
      </c>
      <c r="J283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30" s="133">
        <f>_xlfn.XLOOKUP(Market_Data[[#This Row],[Project Type]],tbl_assumptions_market[Project Category (RERA)],tbl_assumptions_market[Concrete Intensity
(m³ / sq m BUA)],"",0)</f>
        <v>0.45</v>
      </c>
      <c r="L2830" s="134">
        <f>ROUND(Market_Data[[#This Row],[Estimated Built Up Area (sq m)]]*Market_Data[[#This Row],[Concrete Intensity
(m³ / sq m)]],0)</f>
        <v>15390</v>
      </c>
      <c r="M2830" s="135">
        <f>_xlfn.XLOOKUP(Market_Data[[#This Row],[District]],tbl_district_price[District],tbl_district_price[Standard Price
(INR/m³)],"",0)</f>
        <v>5600</v>
      </c>
      <c r="N2830" s="364">
        <f>IF(OR(Market_Data[[#This Row],[Estimated Concrete Demand (m³)]]="",Market_Data[[#This Row],[Avg Price per (₹ / m³)]]=""),"",Market_Data[[#This Row],[Estimated Concrete Demand (m³)]]*Market_Data[[#This Row],[Avg Price per (₹ / m³)]]/10000000)</f>
        <v>8.6183999999999994</v>
      </c>
      <c r="O2830" s="97" t="str">
        <f>IF(Market_Data[[#This Row],[Estimated Concrete Demand (m³)]]="","",
IF(Market_Data[[#This Row],[Estimated Concrete Demand (m³)]]&lt;10000,"Small",
IF(Market_Data[[#This Row],[Estimated Concrete Demand (m³)]]&lt;25000,"Medium",
IF(Market_Data[[#This Row],[Estimated Concrete Demand (m³)]]&lt;100000,"Large","Mega"))))</f>
        <v>Medium</v>
      </c>
      <c r="P2830" s="287" t="str">
        <f t="shared" si="46"/>
        <v>GujRERA</v>
      </c>
    </row>
    <row r="2831" spans="1:16">
      <c r="A2831" s="129" t="str">
        <f>_xlfn.XLOOKUP(B2831,$S$9:$S$14,$T$9:$T$14)&amp;"-"&amp;
IF(E2831="Residential/Group Housing","RES",
IF(E2831="Commercial","COM",
IF(E2831="Mixed Development","MIX",
IF(E2831="Plotted Development","PLT","OTH"))))
&amp;"-"&amp;TEXT(COUNTIFS($B$9:B2831,B2831,$E$9:E2831,E2831),"0000")</f>
        <v>VAL-MIX-0055</v>
      </c>
      <c r="B2831" s="322" t="s">
        <v>35</v>
      </c>
      <c r="C2831" s="322" t="s">
        <v>35</v>
      </c>
      <c r="D2831" s="323" t="s">
        <v>3020</v>
      </c>
      <c r="E2831" s="132" t="s">
        <v>25</v>
      </c>
      <c r="F2831" s="97" t="str">
        <f ca="1">IF(OR(Market_Data[[#This Row],[Start Date]]="",Market_Data[[#This Row],[Completion Date]]=""),"Needs Validation",IF(Market_Data[[#This Row],[Start Date]]&gt;TODAY(),"Planned",IF(Market_Data[[#This Row],[Completion Date]]&lt;TODAY(),"Completed","Ongoing")))</f>
        <v>Ongoing</v>
      </c>
      <c r="G2831" s="324">
        <v>44531</v>
      </c>
      <c r="H2831" s="324">
        <v>46381</v>
      </c>
      <c r="I2831" s="325">
        <v>23100</v>
      </c>
      <c r="J283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31" s="133">
        <f>_xlfn.XLOOKUP(Market_Data[[#This Row],[Project Type]],tbl_assumptions_market[Project Category (RERA)],tbl_assumptions_market[Concrete Intensity
(m³ / sq m BUA)],"",0)</f>
        <v>0.42</v>
      </c>
      <c r="L2831" s="134">
        <f>ROUND(Market_Data[[#This Row],[Estimated Built Up Area (sq m)]]*Market_Data[[#This Row],[Concrete Intensity
(m³ / sq m)]],0)</f>
        <v>9702</v>
      </c>
      <c r="M2831" s="135">
        <f>_xlfn.XLOOKUP(Market_Data[[#This Row],[District]],tbl_district_price[District],tbl_district_price[Standard Price
(INR/m³)],"",0)</f>
        <v>5600</v>
      </c>
      <c r="N2831" s="364">
        <f>IF(OR(Market_Data[[#This Row],[Estimated Concrete Demand (m³)]]="",Market_Data[[#This Row],[Avg Price per (₹ / m³)]]=""),"",Market_Data[[#This Row],[Estimated Concrete Demand (m³)]]*Market_Data[[#This Row],[Avg Price per (₹ / m³)]]/10000000)</f>
        <v>5.4331199999999997</v>
      </c>
      <c r="O2831" s="97" t="str">
        <f>IF(Market_Data[[#This Row],[Estimated Concrete Demand (m³)]]="","",
IF(Market_Data[[#This Row],[Estimated Concrete Demand (m³)]]&lt;10000,"Small",
IF(Market_Data[[#This Row],[Estimated Concrete Demand (m³)]]&lt;25000,"Medium",
IF(Market_Data[[#This Row],[Estimated Concrete Demand (m³)]]&lt;100000,"Large","Mega"))))</f>
        <v>Small</v>
      </c>
      <c r="P2831" s="287" t="str">
        <f t="shared" si="46"/>
        <v>GujRERA</v>
      </c>
    </row>
    <row r="2832" spans="1:16">
      <c r="A2832" s="129" t="str">
        <f>_xlfn.XLOOKUP(B2832,$S$9:$S$14,$T$9:$T$14)&amp;"-"&amp;
IF(E2832="Residential/Group Housing","RES",
IF(E2832="Commercial","COM",
IF(E2832="Mixed Development","MIX",
IF(E2832="Plotted Development","PLT","OTH"))))
&amp;"-"&amp;TEXT(COUNTIFS($B$9:B2832,B2832,$E$9:E2832,E2832),"0000")</f>
        <v>VAL-MIX-0056</v>
      </c>
      <c r="B2832" s="322" t="s">
        <v>35</v>
      </c>
      <c r="C2832" s="322" t="s">
        <v>35</v>
      </c>
      <c r="D2832" s="323" t="s">
        <v>3021</v>
      </c>
      <c r="E2832" s="132" t="s">
        <v>25</v>
      </c>
      <c r="F2832" s="97" t="str">
        <f ca="1">IF(OR(Market_Data[[#This Row],[Start Date]]="",Market_Data[[#This Row],[Completion Date]]=""),"Needs Validation",IF(Market_Data[[#This Row],[Start Date]]&gt;TODAY(),"Planned",IF(Market_Data[[#This Row],[Completion Date]]&lt;TODAY(),"Completed","Ongoing")))</f>
        <v>Ongoing</v>
      </c>
      <c r="G2832" s="324">
        <v>44896</v>
      </c>
      <c r="H2832" s="324">
        <v>46418</v>
      </c>
      <c r="I2832" s="325">
        <v>10500</v>
      </c>
      <c r="J283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32" s="133">
        <f>_xlfn.XLOOKUP(Market_Data[[#This Row],[Project Type]],tbl_assumptions_market[Project Category (RERA)],tbl_assumptions_market[Concrete Intensity
(m³ / sq m BUA)],"",0)</f>
        <v>0.42</v>
      </c>
      <c r="L2832" s="134">
        <f>ROUND(Market_Data[[#This Row],[Estimated Built Up Area (sq m)]]*Market_Data[[#This Row],[Concrete Intensity
(m³ / sq m)]],0)</f>
        <v>4410</v>
      </c>
      <c r="M2832" s="135">
        <f>_xlfn.XLOOKUP(Market_Data[[#This Row],[District]],tbl_district_price[District],tbl_district_price[Standard Price
(INR/m³)],"",0)</f>
        <v>5600</v>
      </c>
      <c r="N2832" s="364">
        <f>IF(OR(Market_Data[[#This Row],[Estimated Concrete Demand (m³)]]="",Market_Data[[#This Row],[Avg Price per (₹ / m³)]]=""),"",Market_Data[[#This Row],[Estimated Concrete Demand (m³)]]*Market_Data[[#This Row],[Avg Price per (₹ / m³)]]/10000000)</f>
        <v>2.4695999999999998</v>
      </c>
      <c r="O2832" s="97" t="str">
        <f>IF(Market_Data[[#This Row],[Estimated Concrete Demand (m³)]]="","",
IF(Market_Data[[#This Row],[Estimated Concrete Demand (m³)]]&lt;10000,"Small",
IF(Market_Data[[#This Row],[Estimated Concrete Demand (m³)]]&lt;25000,"Medium",
IF(Market_Data[[#This Row],[Estimated Concrete Demand (m³)]]&lt;100000,"Large","Mega"))))</f>
        <v>Small</v>
      </c>
      <c r="P2832" s="287" t="str">
        <f t="shared" si="46"/>
        <v>GujRERA</v>
      </c>
    </row>
    <row r="2833" spans="1:16">
      <c r="A2833" s="129" t="str">
        <f>_xlfn.XLOOKUP(B2833,$S$9:$S$14,$T$9:$T$14)&amp;"-"&amp;
IF(E2833="Residential/Group Housing","RES",
IF(E2833="Commercial","COM",
IF(E2833="Mixed Development","MIX",
IF(E2833="Plotted Development","PLT","OTH"))))
&amp;"-"&amp;TEXT(COUNTIFS($B$9:B2833,B2833,$E$9:E2833,E2833),"0000")</f>
        <v>VAL-MIX-0057</v>
      </c>
      <c r="B2833" s="322" t="s">
        <v>35</v>
      </c>
      <c r="C2833" s="322" t="s">
        <v>35</v>
      </c>
      <c r="D2833" s="323" t="s">
        <v>3022</v>
      </c>
      <c r="E2833" s="132" t="s">
        <v>25</v>
      </c>
      <c r="F2833" s="97" t="str">
        <f ca="1">IF(OR(Market_Data[[#This Row],[Start Date]]="",Market_Data[[#This Row],[Completion Date]]=""),"Needs Validation",IF(Market_Data[[#This Row],[Start Date]]&gt;TODAY(),"Planned",IF(Market_Data[[#This Row],[Completion Date]]&lt;TODAY(),"Completed","Ongoing")))</f>
        <v>Ongoing</v>
      </c>
      <c r="G2833" s="324">
        <v>45342</v>
      </c>
      <c r="H2833" s="324">
        <v>46752</v>
      </c>
      <c r="I2833" s="325">
        <v>41600</v>
      </c>
      <c r="J283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33" s="133">
        <f>_xlfn.XLOOKUP(Market_Data[[#This Row],[Project Type]],tbl_assumptions_market[Project Category (RERA)],tbl_assumptions_market[Concrete Intensity
(m³ / sq m BUA)],"",0)</f>
        <v>0.42</v>
      </c>
      <c r="L2833" s="134">
        <f>ROUND(Market_Data[[#This Row],[Estimated Built Up Area (sq m)]]*Market_Data[[#This Row],[Concrete Intensity
(m³ / sq m)]],0)</f>
        <v>17472</v>
      </c>
      <c r="M2833" s="135">
        <f>_xlfn.XLOOKUP(Market_Data[[#This Row],[District]],tbl_district_price[District],tbl_district_price[Standard Price
(INR/m³)],"",0)</f>
        <v>5600</v>
      </c>
      <c r="N2833" s="364">
        <f>IF(OR(Market_Data[[#This Row],[Estimated Concrete Demand (m³)]]="",Market_Data[[#This Row],[Avg Price per (₹ / m³)]]=""),"",Market_Data[[#This Row],[Estimated Concrete Demand (m³)]]*Market_Data[[#This Row],[Avg Price per (₹ / m³)]]/10000000)</f>
        <v>9.7843199999999992</v>
      </c>
      <c r="O2833" s="97" t="str">
        <f>IF(Market_Data[[#This Row],[Estimated Concrete Demand (m³)]]="","",
IF(Market_Data[[#This Row],[Estimated Concrete Demand (m³)]]&lt;10000,"Small",
IF(Market_Data[[#This Row],[Estimated Concrete Demand (m³)]]&lt;25000,"Medium",
IF(Market_Data[[#This Row],[Estimated Concrete Demand (m³)]]&lt;100000,"Large","Mega"))))</f>
        <v>Medium</v>
      </c>
      <c r="P2833" s="287" t="str">
        <f t="shared" si="46"/>
        <v>GujRERA</v>
      </c>
    </row>
    <row r="2834" spans="1:16">
      <c r="A2834" s="129" t="str">
        <f>_xlfn.XLOOKUP(B2834,$S$9:$S$14,$T$9:$T$14)&amp;"-"&amp;
IF(E2834="Residential/Group Housing","RES",
IF(E2834="Commercial","COM",
IF(E2834="Mixed Development","MIX",
IF(E2834="Plotted Development","PLT","OTH"))))
&amp;"-"&amp;TEXT(COUNTIFS($B$9:B2834,B2834,$E$9:E2834,E2834),"0000")</f>
        <v>VAL-RES-0037</v>
      </c>
      <c r="B2834" s="322" t="s">
        <v>35</v>
      </c>
      <c r="C2834" s="322" t="s">
        <v>35</v>
      </c>
      <c r="D2834" s="323" t="s">
        <v>3023</v>
      </c>
      <c r="E2834" s="132" t="s">
        <v>24</v>
      </c>
      <c r="F2834" s="97" t="str">
        <f ca="1">IF(OR(Market_Data[[#This Row],[Start Date]]="",Market_Data[[#This Row],[Completion Date]]=""),"Needs Validation",IF(Market_Data[[#This Row],[Start Date]]&gt;TODAY(),"Planned",IF(Market_Data[[#This Row],[Completion Date]]&lt;TODAY(),"Completed","Ongoing")))</f>
        <v>Ongoing</v>
      </c>
      <c r="G2834" s="324">
        <v>45945</v>
      </c>
      <c r="H2834" s="324">
        <v>47483</v>
      </c>
      <c r="I2834" s="325">
        <v>32900</v>
      </c>
      <c r="J283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34" s="133">
        <f>_xlfn.XLOOKUP(Market_Data[[#This Row],[Project Type]],tbl_assumptions_market[Project Category (RERA)],tbl_assumptions_market[Concrete Intensity
(m³ / sq m BUA)],"",0)</f>
        <v>0.45</v>
      </c>
      <c r="L2834" s="134">
        <f>ROUND(Market_Data[[#This Row],[Estimated Built Up Area (sq m)]]*Market_Data[[#This Row],[Concrete Intensity
(m³ / sq m)]],0)</f>
        <v>14805</v>
      </c>
      <c r="M2834" s="135">
        <f>_xlfn.XLOOKUP(Market_Data[[#This Row],[District]],tbl_district_price[District],tbl_district_price[Standard Price
(INR/m³)],"",0)</f>
        <v>5600</v>
      </c>
      <c r="N2834" s="364">
        <f>IF(OR(Market_Data[[#This Row],[Estimated Concrete Demand (m³)]]="",Market_Data[[#This Row],[Avg Price per (₹ / m³)]]=""),"",Market_Data[[#This Row],[Estimated Concrete Demand (m³)]]*Market_Data[[#This Row],[Avg Price per (₹ / m³)]]/10000000)</f>
        <v>8.2908000000000008</v>
      </c>
      <c r="O2834" s="97" t="str">
        <f>IF(Market_Data[[#This Row],[Estimated Concrete Demand (m³)]]="","",
IF(Market_Data[[#This Row],[Estimated Concrete Demand (m³)]]&lt;10000,"Small",
IF(Market_Data[[#This Row],[Estimated Concrete Demand (m³)]]&lt;25000,"Medium",
IF(Market_Data[[#This Row],[Estimated Concrete Demand (m³)]]&lt;100000,"Large","Mega"))))</f>
        <v>Medium</v>
      </c>
      <c r="P2834" s="287" t="str">
        <f t="shared" si="46"/>
        <v>GujRERA</v>
      </c>
    </row>
    <row r="2835" spans="1:16">
      <c r="A2835" s="129" t="str">
        <f>_xlfn.XLOOKUP(B2835,$S$9:$S$14,$T$9:$T$14)&amp;"-"&amp;
IF(E2835="Residential/Group Housing","RES",
IF(E2835="Commercial","COM",
IF(E2835="Mixed Development","MIX",
IF(E2835="Plotted Development","PLT","OTH"))))
&amp;"-"&amp;TEXT(COUNTIFS($B$9:B2835,B2835,$E$9:E2835,E2835),"0000")</f>
        <v>VAL-MIX-0058</v>
      </c>
      <c r="B2835" s="322" t="s">
        <v>35</v>
      </c>
      <c r="C2835" s="322" t="s">
        <v>35</v>
      </c>
      <c r="D2835" s="323" t="s">
        <v>3024</v>
      </c>
      <c r="E2835" s="132" t="s">
        <v>25</v>
      </c>
      <c r="F2835" s="97" t="str">
        <f ca="1">IF(OR(Market_Data[[#This Row],[Start Date]]="",Market_Data[[#This Row],[Completion Date]]=""),"Needs Validation",IF(Market_Data[[#This Row],[Start Date]]&gt;TODAY(),"Planned",IF(Market_Data[[#This Row],[Completion Date]]&lt;TODAY(),"Completed","Ongoing")))</f>
        <v>Completed</v>
      </c>
      <c r="G2835" s="324">
        <v>44197</v>
      </c>
      <c r="H2835" s="324">
        <v>45291</v>
      </c>
      <c r="I2835" s="325">
        <v>14100</v>
      </c>
      <c r="J283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35" s="133">
        <f>_xlfn.XLOOKUP(Market_Data[[#This Row],[Project Type]],tbl_assumptions_market[Project Category (RERA)],tbl_assumptions_market[Concrete Intensity
(m³ / sq m BUA)],"",0)</f>
        <v>0.42</v>
      </c>
      <c r="L2835" s="134">
        <f>ROUND(Market_Data[[#This Row],[Estimated Built Up Area (sq m)]]*Market_Data[[#This Row],[Concrete Intensity
(m³ / sq m)]],0)</f>
        <v>5922</v>
      </c>
      <c r="M2835" s="135">
        <f>_xlfn.XLOOKUP(Market_Data[[#This Row],[District]],tbl_district_price[District],tbl_district_price[Standard Price
(INR/m³)],"",0)</f>
        <v>5600</v>
      </c>
      <c r="N2835" s="364">
        <f>IF(OR(Market_Data[[#This Row],[Estimated Concrete Demand (m³)]]="",Market_Data[[#This Row],[Avg Price per (₹ / m³)]]=""),"",Market_Data[[#This Row],[Estimated Concrete Demand (m³)]]*Market_Data[[#This Row],[Avg Price per (₹ / m³)]]/10000000)</f>
        <v>3.3163200000000002</v>
      </c>
      <c r="O2835" s="97" t="str">
        <f>IF(Market_Data[[#This Row],[Estimated Concrete Demand (m³)]]="","",
IF(Market_Data[[#This Row],[Estimated Concrete Demand (m³)]]&lt;10000,"Small",
IF(Market_Data[[#This Row],[Estimated Concrete Demand (m³)]]&lt;25000,"Medium",
IF(Market_Data[[#This Row],[Estimated Concrete Demand (m³)]]&lt;100000,"Large","Mega"))))</f>
        <v>Small</v>
      </c>
      <c r="P2835" s="287" t="str">
        <f t="shared" si="46"/>
        <v>GujRERA</v>
      </c>
    </row>
    <row r="2836" spans="1:16">
      <c r="A2836" s="129" t="str">
        <f>_xlfn.XLOOKUP(B2836,$S$9:$S$14,$T$9:$T$14)&amp;"-"&amp;
IF(E2836="Residential/Group Housing","RES",
IF(E2836="Commercial","COM",
IF(E2836="Mixed Development","MIX",
IF(E2836="Plotted Development","PLT","OTH"))))
&amp;"-"&amp;TEXT(COUNTIFS($B$9:B2836,B2836,$E$9:E2836,E2836),"0000")</f>
        <v>VAL-COM-0014</v>
      </c>
      <c r="B2836" s="322" t="s">
        <v>35</v>
      </c>
      <c r="C2836" s="322" t="s">
        <v>35</v>
      </c>
      <c r="D2836" s="323" t="s">
        <v>3025</v>
      </c>
      <c r="E2836" s="132" t="s">
        <v>23</v>
      </c>
      <c r="F2836" s="97" t="str">
        <f ca="1">IF(OR(Market_Data[[#This Row],[Start Date]]="",Market_Data[[#This Row],[Completion Date]]=""),"Needs Validation",IF(Market_Data[[#This Row],[Start Date]]&gt;TODAY(),"Planned",IF(Market_Data[[#This Row],[Completion Date]]&lt;TODAY(),"Completed","Ongoing")))</f>
        <v>Completed</v>
      </c>
      <c r="G2836" s="324">
        <v>45421</v>
      </c>
      <c r="H2836" s="324">
        <v>46142</v>
      </c>
      <c r="I2836" s="325">
        <v>48300</v>
      </c>
      <c r="J283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836" s="133">
        <f>_xlfn.XLOOKUP(Market_Data[[#This Row],[Project Type]],tbl_assumptions_market[Project Category (RERA)],tbl_assumptions_market[Concrete Intensity
(m³ / sq m BUA)],"",0)</f>
        <v>0.5</v>
      </c>
      <c r="L2836" s="134">
        <f>ROUND(Market_Data[[#This Row],[Estimated Built Up Area (sq m)]]*Market_Data[[#This Row],[Concrete Intensity
(m³ / sq m)]],0)</f>
        <v>24150</v>
      </c>
      <c r="M2836" s="135">
        <f>_xlfn.XLOOKUP(Market_Data[[#This Row],[District]],tbl_district_price[District],tbl_district_price[Standard Price
(INR/m³)],"",0)</f>
        <v>5600</v>
      </c>
      <c r="N2836" s="364">
        <f>IF(OR(Market_Data[[#This Row],[Estimated Concrete Demand (m³)]]="",Market_Data[[#This Row],[Avg Price per (₹ / m³)]]=""),"",Market_Data[[#This Row],[Estimated Concrete Demand (m³)]]*Market_Data[[#This Row],[Avg Price per (₹ / m³)]]/10000000)</f>
        <v>13.523999999999999</v>
      </c>
      <c r="O2836" s="97" t="str">
        <f>IF(Market_Data[[#This Row],[Estimated Concrete Demand (m³)]]="","",
IF(Market_Data[[#This Row],[Estimated Concrete Demand (m³)]]&lt;10000,"Small",
IF(Market_Data[[#This Row],[Estimated Concrete Demand (m³)]]&lt;25000,"Medium",
IF(Market_Data[[#This Row],[Estimated Concrete Demand (m³)]]&lt;100000,"Large","Mega"))))</f>
        <v>Medium</v>
      </c>
      <c r="P2836" s="287" t="str">
        <f t="shared" si="46"/>
        <v>GujRERA</v>
      </c>
    </row>
    <row r="2837" spans="1:16">
      <c r="A2837" s="129" t="str">
        <f>_xlfn.XLOOKUP(B2837,$S$9:$S$14,$T$9:$T$14)&amp;"-"&amp;
IF(E2837="Residential/Group Housing","RES",
IF(E2837="Commercial","COM",
IF(E2837="Mixed Development","MIX",
IF(E2837="Plotted Development","PLT","OTH"))))
&amp;"-"&amp;TEXT(COUNTIFS($B$9:B2837,B2837,$E$9:E2837,E2837),"0000")</f>
        <v>VAL-RES-0038</v>
      </c>
      <c r="B2837" s="322" t="s">
        <v>35</v>
      </c>
      <c r="C2837" s="322" t="s">
        <v>35</v>
      </c>
      <c r="D2837" s="323" t="s">
        <v>3026</v>
      </c>
      <c r="E2837" s="132" t="s">
        <v>24</v>
      </c>
      <c r="F2837" s="97" t="str">
        <f ca="1">IF(OR(Market_Data[[#This Row],[Start Date]]="",Market_Data[[#This Row],[Completion Date]]=""),"Needs Validation",IF(Market_Data[[#This Row],[Start Date]]&gt;TODAY(),"Planned",IF(Market_Data[[#This Row],[Completion Date]]&lt;TODAY(),"Completed","Ongoing")))</f>
        <v>Ongoing</v>
      </c>
      <c r="G2837" s="324">
        <v>45061</v>
      </c>
      <c r="H2837" s="324">
        <v>46478</v>
      </c>
      <c r="I2837" s="325">
        <v>35100</v>
      </c>
      <c r="J283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37" s="133">
        <f>_xlfn.XLOOKUP(Market_Data[[#This Row],[Project Type]],tbl_assumptions_market[Project Category (RERA)],tbl_assumptions_market[Concrete Intensity
(m³ / sq m BUA)],"",0)</f>
        <v>0.45</v>
      </c>
      <c r="L2837" s="134">
        <f>ROUND(Market_Data[[#This Row],[Estimated Built Up Area (sq m)]]*Market_Data[[#This Row],[Concrete Intensity
(m³ / sq m)]],0)</f>
        <v>15795</v>
      </c>
      <c r="M2837" s="135">
        <f>_xlfn.XLOOKUP(Market_Data[[#This Row],[District]],tbl_district_price[District],tbl_district_price[Standard Price
(INR/m³)],"",0)</f>
        <v>5600</v>
      </c>
      <c r="N2837" s="364">
        <f>IF(OR(Market_Data[[#This Row],[Estimated Concrete Demand (m³)]]="",Market_Data[[#This Row],[Avg Price per (₹ / m³)]]=""),"",Market_Data[[#This Row],[Estimated Concrete Demand (m³)]]*Market_Data[[#This Row],[Avg Price per (₹ / m³)]]/10000000)</f>
        <v>8.8452000000000002</v>
      </c>
      <c r="O2837" s="97" t="str">
        <f>IF(Market_Data[[#This Row],[Estimated Concrete Demand (m³)]]="","",
IF(Market_Data[[#This Row],[Estimated Concrete Demand (m³)]]&lt;10000,"Small",
IF(Market_Data[[#This Row],[Estimated Concrete Demand (m³)]]&lt;25000,"Medium",
IF(Market_Data[[#This Row],[Estimated Concrete Demand (m³)]]&lt;100000,"Large","Mega"))))</f>
        <v>Medium</v>
      </c>
      <c r="P2837" s="287" t="str">
        <f t="shared" si="46"/>
        <v>GujRERA</v>
      </c>
    </row>
    <row r="2838" spans="1:16">
      <c r="A2838" s="129" t="str">
        <f>_xlfn.XLOOKUP(B2838,$S$9:$S$14,$T$9:$T$14)&amp;"-"&amp;
IF(E2838="Residential/Group Housing","RES",
IF(E2838="Commercial","COM",
IF(E2838="Mixed Development","MIX",
IF(E2838="Plotted Development","PLT","OTH"))))
&amp;"-"&amp;TEXT(COUNTIFS($B$9:B2838,B2838,$E$9:E2838,E2838),"0000")</f>
        <v>VAL-MIX-0059</v>
      </c>
      <c r="B2838" s="322" t="s">
        <v>35</v>
      </c>
      <c r="C2838" s="322" t="s">
        <v>35</v>
      </c>
      <c r="D2838" s="323" t="s">
        <v>3027</v>
      </c>
      <c r="E2838" s="132" t="s">
        <v>25</v>
      </c>
      <c r="F2838" s="97" t="str">
        <f ca="1">IF(OR(Market_Data[[#This Row],[Start Date]]="",Market_Data[[#This Row],[Completion Date]]=""),"Needs Validation",IF(Market_Data[[#This Row],[Start Date]]&gt;TODAY(),"Planned",IF(Market_Data[[#This Row],[Completion Date]]&lt;TODAY(),"Completed","Ongoing")))</f>
        <v>Completed</v>
      </c>
      <c r="G2838" s="324">
        <v>43224</v>
      </c>
      <c r="H2838" s="324">
        <v>44499</v>
      </c>
      <c r="I2838" s="325">
        <v>16500</v>
      </c>
      <c r="J283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38" s="133">
        <f>_xlfn.XLOOKUP(Market_Data[[#This Row],[Project Type]],tbl_assumptions_market[Project Category (RERA)],tbl_assumptions_market[Concrete Intensity
(m³ / sq m BUA)],"",0)</f>
        <v>0.42</v>
      </c>
      <c r="L2838" s="134">
        <f>ROUND(Market_Data[[#This Row],[Estimated Built Up Area (sq m)]]*Market_Data[[#This Row],[Concrete Intensity
(m³ / sq m)]],0)</f>
        <v>6930</v>
      </c>
      <c r="M2838" s="135">
        <f>_xlfn.XLOOKUP(Market_Data[[#This Row],[District]],tbl_district_price[District],tbl_district_price[Standard Price
(INR/m³)],"",0)</f>
        <v>5600</v>
      </c>
      <c r="N2838" s="364">
        <f>IF(OR(Market_Data[[#This Row],[Estimated Concrete Demand (m³)]]="",Market_Data[[#This Row],[Avg Price per (₹ / m³)]]=""),"",Market_Data[[#This Row],[Estimated Concrete Demand (m³)]]*Market_Data[[#This Row],[Avg Price per (₹ / m³)]]/10000000)</f>
        <v>3.8807999999999998</v>
      </c>
      <c r="O2838" s="97" t="str">
        <f>IF(Market_Data[[#This Row],[Estimated Concrete Demand (m³)]]="","",
IF(Market_Data[[#This Row],[Estimated Concrete Demand (m³)]]&lt;10000,"Small",
IF(Market_Data[[#This Row],[Estimated Concrete Demand (m³)]]&lt;25000,"Medium",
IF(Market_Data[[#This Row],[Estimated Concrete Demand (m³)]]&lt;100000,"Large","Mega"))))</f>
        <v>Small</v>
      </c>
      <c r="P2838" s="287" t="str">
        <f t="shared" si="46"/>
        <v>GujRERA</v>
      </c>
    </row>
    <row r="2839" spans="1:16">
      <c r="A2839" s="129" t="str">
        <f>_xlfn.XLOOKUP(B2839,$S$9:$S$14,$T$9:$T$14)&amp;"-"&amp;
IF(E2839="Residential/Group Housing","RES",
IF(E2839="Commercial","COM",
IF(E2839="Mixed Development","MIX",
IF(E2839="Plotted Development","PLT","OTH"))))
&amp;"-"&amp;TEXT(COUNTIFS($B$9:B2839,B2839,$E$9:E2839,E2839),"0000")</f>
        <v>VAL-MIX-0060</v>
      </c>
      <c r="B2839" s="322" t="s">
        <v>35</v>
      </c>
      <c r="C2839" s="322" t="s">
        <v>35</v>
      </c>
      <c r="D2839" s="323" t="s">
        <v>3028</v>
      </c>
      <c r="E2839" s="132" t="s">
        <v>25</v>
      </c>
      <c r="F2839" s="97" t="str">
        <f ca="1">IF(OR(Market_Data[[#This Row],[Start Date]]="",Market_Data[[#This Row],[Completion Date]]=""),"Needs Validation",IF(Market_Data[[#This Row],[Start Date]]&gt;TODAY(),"Planned",IF(Market_Data[[#This Row],[Completion Date]]&lt;TODAY(),"Completed","Ongoing")))</f>
        <v>Completed</v>
      </c>
      <c r="G2839" s="324">
        <v>44166</v>
      </c>
      <c r="H2839" s="324">
        <v>45657</v>
      </c>
      <c r="I2839" s="325">
        <v>48700</v>
      </c>
      <c r="J283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39" s="133">
        <f>_xlfn.XLOOKUP(Market_Data[[#This Row],[Project Type]],tbl_assumptions_market[Project Category (RERA)],tbl_assumptions_market[Concrete Intensity
(m³ / sq m BUA)],"",0)</f>
        <v>0.42</v>
      </c>
      <c r="L2839" s="134">
        <f>ROUND(Market_Data[[#This Row],[Estimated Built Up Area (sq m)]]*Market_Data[[#This Row],[Concrete Intensity
(m³ / sq m)]],0)</f>
        <v>20454</v>
      </c>
      <c r="M2839" s="135">
        <f>_xlfn.XLOOKUP(Market_Data[[#This Row],[District]],tbl_district_price[District],tbl_district_price[Standard Price
(INR/m³)],"",0)</f>
        <v>5600</v>
      </c>
      <c r="N2839" s="364">
        <f>IF(OR(Market_Data[[#This Row],[Estimated Concrete Demand (m³)]]="",Market_Data[[#This Row],[Avg Price per (₹ / m³)]]=""),"",Market_Data[[#This Row],[Estimated Concrete Demand (m³)]]*Market_Data[[#This Row],[Avg Price per (₹ / m³)]]/10000000)</f>
        <v>11.45424</v>
      </c>
      <c r="O2839" s="97" t="str">
        <f>IF(Market_Data[[#This Row],[Estimated Concrete Demand (m³)]]="","",
IF(Market_Data[[#This Row],[Estimated Concrete Demand (m³)]]&lt;10000,"Small",
IF(Market_Data[[#This Row],[Estimated Concrete Demand (m³)]]&lt;25000,"Medium",
IF(Market_Data[[#This Row],[Estimated Concrete Demand (m³)]]&lt;100000,"Large","Mega"))))</f>
        <v>Medium</v>
      </c>
      <c r="P2839" s="287" t="str">
        <f t="shared" si="46"/>
        <v>GujRERA</v>
      </c>
    </row>
    <row r="2840" spans="1:16">
      <c r="A2840" s="129" t="str">
        <f>_xlfn.XLOOKUP(B2840,$S$9:$S$14,$T$9:$T$14)&amp;"-"&amp;
IF(E2840="Residential/Group Housing","RES",
IF(E2840="Commercial","COM",
IF(E2840="Mixed Development","MIX",
IF(E2840="Plotted Development","PLT","OTH"))))
&amp;"-"&amp;TEXT(COUNTIFS($B$9:B2840,B2840,$E$9:E2840,E2840),"0000")</f>
        <v>VAL-MIX-0061</v>
      </c>
      <c r="B2840" s="322" t="s">
        <v>35</v>
      </c>
      <c r="C2840" s="322" t="s">
        <v>35</v>
      </c>
      <c r="D2840" s="323" t="s">
        <v>3029</v>
      </c>
      <c r="E2840" s="132" t="s">
        <v>25</v>
      </c>
      <c r="F2840" s="97" t="str">
        <f ca="1">IF(OR(Market_Data[[#This Row],[Start Date]]="",Market_Data[[#This Row],[Completion Date]]=""),"Needs Validation",IF(Market_Data[[#This Row],[Start Date]]&gt;TODAY(),"Planned",IF(Market_Data[[#This Row],[Completion Date]]&lt;TODAY(),"Completed","Ongoing")))</f>
        <v>Completed</v>
      </c>
      <c r="G2840" s="324">
        <v>43600</v>
      </c>
      <c r="H2840" s="324">
        <v>45223</v>
      </c>
      <c r="I2840" s="325">
        <v>23900</v>
      </c>
      <c r="J284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40" s="133">
        <f>_xlfn.XLOOKUP(Market_Data[[#This Row],[Project Type]],tbl_assumptions_market[Project Category (RERA)],tbl_assumptions_market[Concrete Intensity
(m³ / sq m BUA)],"",0)</f>
        <v>0.42</v>
      </c>
      <c r="L2840" s="134">
        <f>ROUND(Market_Data[[#This Row],[Estimated Built Up Area (sq m)]]*Market_Data[[#This Row],[Concrete Intensity
(m³ / sq m)]],0)</f>
        <v>10038</v>
      </c>
      <c r="M2840" s="135">
        <f>_xlfn.XLOOKUP(Market_Data[[#This Row],[District]],tbl_district_price[District],tbl_district_price[Standard Price
(INR/m³)],"",0)</f>
        <v>5600</v>
      </c>
      <c r="N2840" s="364">
        <f>IF(OR(Market_Data[[#This Row],[Estimated Concrete Demand (m³)]]="",Market_Data[[#This Row],[Avg Price per (₹ / m³)]]=""),"",Market_Data[[#This Row],[Estimated Concrete Demand (m³)]]*Market_Data[[#This Row],[Avg Price per (₹ / m³)]]/10000000)</f>
        <v>5.6212799999999996</v>
      </c>
      <c r="O2840" s="97" t="str">
        <f>IF(Market_Data[[#This Row],[Estimated Concrete Demand (m³)]]="","",
IF(Market_Data[[#This Row],[Estimated Concrete Demand (m³)]]&lt;10000,"Small",
IF(Market_Data[[#This Row],[Estimated Concrete Demand (m³)]]&lt;25000,"Medium",
IF(Market_Data[[#This Row],[Estimated Concrete Demand (m³)]]&lt;100000,"Large","Mega"))))</f>
        <v>Medium</v>
      </c>
      <c r="P2840" s="287" t="str">
        <f t="shared" si="46"/>
        <v>GujRERA</v>
      </c>
    </row>
    <row r="2841" spans="1:16">
      <c r="A2841" s="129" t="str">
        <f>_xlfn.XLOOKUP(B2841,$S$9:$S$14,$T$9:$T$14)&amp;"-"&amp;
IF(E2841="Residential/Group Housing","RES",
IF(E2841="Commercial","COM",
IF(E2841="Mixed Development","MIX",
IF(E2841="Plotted Development","PLT","OTH"))))
&amp;"-"&amp;TEXT(COUNTIFS($B$9:B2841,B2841,$E$9:E2841,E2841),"0000")</f>
        <v>VAL-MIX-0062</v>
      </c>
      <c r="B2841" s="322" t="s">
        <v>35</v>
      </c>
      <c r="C2841" s="322" t="s">
        <v>35</v>
      </c>
      <c r="D2841" s="323" t="s">
        <v>3030</v>
      </c>
      <c r="E2841" s="132" t="s">
        <v>25</v>
      </c>
      <c r="F2841" s="97" t="str">
        <f ca="1">IF(OR(Market_Data[[#This Row],[Start Date]]="",Market_Data[[#This Row],[Completion Date]]=""),"Needs Validation",IF(Market_Data[[#This Row],[Start Date]]&gt;TODAY(),"Planned",IF(Market_Data[[#This Row],[Completion Date]]&lt;TODAY(),"Completed","Ongoing")))</f>
        <v>Completed</v>
      </c>
      <c r="G2841" s="324">
        <v>43881</v>
      </c>
      <c r="H2841" s="324">
        <v>46203</v>
      </c>
      <c r="I2841" s="325">
        <v>20000</v>
      </c>
      <c r="J284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41" s="133">
        <f>_xlfn.XLOOKUP(Market_Data[[#This Row],[Project Type]],tbl_assumptions_market[Project Category (RERA)],tbl_assumptions_market[Concrete Intensity
(m³ / sq m BUA)],"",0)</f>
        <v>0.42</v>
      </c>
      <c r="L2841" s="134">
        <f>ROUND(Market_Data[[#This Row],[Estimated Built Up Area (sq m)]]*Market_Data[[#This Row],[Concrete Intensity
(m³ / sq m)]],0)</f>
        <v>8400</v>
      </c>
      <c r="M2841" s="135">
        <f>_xlfn.XLOOKUP(Market_Data[[#This Row],[District]],tbl_district_price[District],tbl_district_price[Standard Price
(INR/m³)],"",0)</f>
        <v>5600</v>
      </c>
      <c r="N2841" s="364">
        <f>IF(OR(Market_Data[[#This Row],[Estimated Concrete Demand (m³)]]="",Market_Data[[#This Row],[Avg Price per (₹ / m³)]]=""),"",Market_Data[[#This Row],[Estimated Concrete Demand (m³)]]*Market_Data[[#This Row],[Avg Price per (₹ / m³)]]/10000000)</f>
        <v>4.7039999999999997</v>
      </c>
      <c r="O2841" s="97" t="str">
        <f>IF(Market_Data[[#This Row],[Estimated Concrete Demand (m³)]]="","",
IF(Market_Data[[#This Row],[Estimated Concrete Demand (m³)]]&lt;10000,"Small",
IF(Market_Data[[#This Row],[Estimated Concrete Demand (m³)]]&lt;25000,"Medium",
IF(Market_Data[[#This Row],[Estimated Concrete Demand (m³)]]&lt;100000,"Large","Mega"))))</f>
        <v>Small</v>
      </c>
      <c r="P2841" s="287" t="str">
        <f t="shared" si="46"/>
        <v>GujRERA</v>
      </c>
    </row>
    <row r="2842" spans="1:16">
      <c r="A2842" s="129" t="str">
        <f>_xlfn.XLOOKUP(B2842,$S$9:$S$14,$T$9:$T$14)&amp;"-"&amp;
IF(E2842="Residential/Group Housing","RES",
IF(E2842="Commercial","COM",
IF(E2842="Mixed Development","MIX",
IF(E2842="Plotted Development","PLT","OTH"))))
&amp;"-"&amp;TEXT(COUNTIFS($B$9:B2842,B2842,$E$9:E2842,E2842),"0000")</f>
        <v>VAL-RES-0039</v>
      </c>
      <c r="B2842" s="322" t="s">
        <v>35</v>
      </c>
      <c r="C2842" s="322" t="s">
        <v>35</v>
      </c>
      <c r="D2842" s="323" t="s">
        <v>3031</v>
      </c>
      <c r="E2842" s="132" t="s">
        <v>24</v>
      </c>
      <c r="F2842" s="97" t="str">
        <f ca="1">IF(OR(Market_Data[[#This Row],[Start Date]]="",Market_Data[[#This Row],[Completion Date]]=""),"Needs Validation",IF(Market_Data[[#This Row],[Start Date]]&gt;TODAY(),"Planned",IF(Market_Data[[#This Row],[Completion Date]]&lt;TODAY(),"Completed","Ongoing")))</f>
        <v>Ongoing</v>
      </c>
      <c r="G2842" s="324">
        <v>45627</v>
      </c>
      <c r="H2842" s="324">
        <v>46752</v>
      </c>
      <c r="I2842" s="325">
        <v>38700</v>
      </c>
      <c r="J284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42" s="133">
        <f>_xlfn.XLOOKUP(Market_Data[[#This Row],[Project Type]],tbl_assumptions_market[Project Category (RERA)],tbl_assumptions_market[Concrete Intensity
(m³ / sq m BUA)],"",0)</f>
        <v>0.45</v>
      </c>
      <c r="L2842" s="134">
        <f>ROUND(Market_Data[[#This Row],[Estimated Built Up Area (sq m)]]*Market_Data[[#This Row],[Concrete Intensity
(m³ / sq m)]],0)</f>
        <v>17415</v>
      </c>
      <c r="M2842" s="135">
        <f>_xlfn.XLOOKUP(Market_Data[[#This Row],[District]],tbl_district_price[District],tbl_district_price[Standard Price
(INR/m³)],"",0)</f>
        <v>5600</v>
      </c>
      <c r="N2842" s="364">
        <f>IF(OR(Market_Data[[#This Row],[Estimated Concrete Demand (m³)]]="",Market_Data[[#This Row],[Avg Price per (₹ / m³)]]=""),"",Market_Data[[#This Row],[Estimated Concrete Demand (m³)]]*Market_Data[[#This Row],[Avg Price per (₹ / m³)]]/10000000)</f>
        <v>9.7523999999999997</v>
      </c>
      <c r="O2842" s="97" t="str">
        <f>IF(Market_Data[[#This Row],[Estimated Concrete Demand (m³)]]="","",
IF(Market_Data[[#This Row],[Estimated Concrete Demand (m³)]]&lt;10000,"Small",
IF(Market_Data[[#This Row],[Estimated Concrete Demand (m³)]]&lt;25000,"Medium",
IF(Market_Data[[#This Row],[Estimated Concrete Demand (m³)]]&lt;100000,"Large","Mega"))))</f>
        <v>Medium</v>
      </c>
      <c r="P2842" s="287" t="str">
        <f t="shared" si="46"/>
        <v>GujRERA</v>
      </c>
    </row>
    <row r="2843" spans="1:16">
      <c r="A2843" s="129" t="str">
        <f>_xlfn.XLOOKUP(B2843,$S$9:$S$14,$T$9:$T$14)&amp;"-"&amp;
IF(E2843="Residential/Group Housing","RES",
IF(E2843="Commercial","COM",
IF(E2843="Mixed Development","MIX",
IF(E2843="Plotted Development","PLT","OTH"))))
&amp;"-"&amp;TEXT(COUNTIFS($B$9:B2843,B2843,$E$9:E2843,E2843),"0000")</f>
        <v>VAL-RES-0040</v>
      </c>
      <c r="B2843" s="322" t="s">
        <v>35</v>
      </c>
      <c r="C2843" s="322" t="s">
        <v>35</v>
      </c>
      <c r="D2843" s="323" t="s">
        <v>3032</v>
      </c>
      <c r="E2843" s="132" t="s">
        <v>24</v>
      </c>
      <c r="F2843" s="97" t="str">
        <f ca="1">IF(OR(Market_Data[[#This Row],[Start Date]]="",Market_Data[[#This Row],[Completion Date]]=""),"Needs Validation",IF(Market_Data[[#This Row],[Start Date]]&gt;TODAY(),"Planned",IF(Market_Data[[#This Row],[Completion Date]]&lt;TODAY(),"Completed","Ongoing")))</f>
        <v>Completed</v>
      </c>
      <c r="G2843" s="324">
        <v>43009</v>
      </c>
      <c r="H2843" s="324">
        <v>43830</v>
      </c>
      <c r="I2843" s="325">
        <v>36500</v>
      </c>
      <c r="J284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43" s="133">
        <f>_xlfn.XLOOKUP(Market_Data[[#This Row],[Project Type]],tbl_assumptions_market[Project Category (RERA)],tbl_assumptions_market[Concrete Intensity
(m³ / sq m BUA)],"",0)</f>
        <v>0.45</v>
      </c>
      <c r="L2843" s="134">
        <f>ROUND(Market_Data[[#This Row],[Estimated Built Up Area (sq m)]]*Market_Data[[#This Row],[Concrete Intensity
(m³ / sq m)]],0)</f>
        <v>16425</v>
      </c>
      <c r="M2843" s="135">
        <f>_xlfn.XLOOKUP(Market_Data[[#This Row],[District]],tbl_district_price[District],tbl_district_price[Standard Price
(INR/m³)],"",0)</f>
        <v>5600</v>
      </c>
      <c r="N2843" s="364">
        <f>IF(OR(Market_Data[[#This Row],[Estimated Concrete Demand (m³)]]="",Market_Data[[#This Row],[Avg Price per (₹ / m³)]]=""),"",Market_Data[[#This Row],[Estimated Concrete Demand (m³)]]*Market_Data[[#This Row],[Avg Price per (₹ / m³)]]/10000000)</f>
        <v>9.1980000000000004</v>
      </c>
      <c r="O2843" s="97" t="str">
        <f>IF(Market_Data[[#This Row],[Estimated Concrete Demand (m³)]]="","",
IF(Market_Data[[#This Row],[Estimated Concrete Demand (m³)]]&lt;10000,"Small",
IF(Market_Data[[#This Row],[Estimated Concrete Demand (m³)]]&lt;25000,"Medium",
IF(Market_Data[[#This Row],[Estimated Concrete Demand (m³)]]&lt;100000,"Large","Mega"))))</f>
        <v>Medium</v>
      </c>
      <c r="P2843" s="287" t="str">
        <f t="shared" si="46"/>
        <v>GujRERA</v>
      </c>
    </row>
    <row r="2844" spans="1:16">
      <c r="A2844" s="129" t="str">
        <f>_xlfn.XLOOKUP(B2844,$S$9:$S$14,$T$9:$T$14)&amp;"-"&amp;
IF(E2844="Residential/Group Housing","RES",
IF(E2844="Commercial","COM",
IF(E2844="Mixed Development","MIX",
IF(E2844="Plotted Development","PLT","OTH"))))
&amp;"-"&amp;TEXT(COUNTIFS($B$9:B2844,B2844,$E$9:E2844,E2844),"0000")</f>
        <v>VAL-RES-0041</v>
      </c>
      <c r="B2844" s="322" t="s">
        <v>35</v>
      </c>
      <c r="C2844" s="322" t="s">
        <v>35</v>
      </c>
      <c r="D2844" s="323" t="s">
        <v>3033</v>
      </c>
      <c r="E2844" s="132" t="s">
        <v>24</v>
      </c>
      <c r="F2844" s="97" t="str">
        <f ca="1">IF(OR(Market_Data[[#This Row],[Start Date]]="",Market_Data[[#This Row],[Completion Date]]=""),"Needs Validation",IF(Market_Data[[#This Row],[Start Date]]&gt;TODAY(),"Planned",IF(Market_Data[[#This Row],[Completion Date]]&lt;TODAY(),"Completed","Ongoing")))</f>
        <v>Ongoing</v>
      </c>
      <c r="G2844" s="324">
        <v>45056</v>
      </c>
      <c r="H2844" s="324">
        <v>46752</v>
      </c>
      <c r="I2844" s="325">
        <v>32600</v>
      </c>
      <c r="J284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44" s="133">
        <f>_xlfn.XLOOKUP(Market_Data[[#This Row],[Project Type]],tbl_assumptions_market[Project Category (RERA)],tbl_assumptions_market[Concrete Intensity
(m³ / sq m BUA)],"",0)</f>
        <v>0.45</v>
      </c>
      <c r="L2844" s="134">
        <f>ROUND(Market_Data[[#This Row],[Estimated Built Up Area (sq m)]]*Market_Data[[#This Row],[Concrete Intensity
(m³ / sq m)]],0)</f>
        <v>14670</v>
      </c>
      <c r="M2844" s="135">
        <f>_xlfn.XLOOKUP(Market_Data[[#This Row],[District]],tbl_district_price[District],tbl_district_price[Standard Price
(INR/m³)],"",0)</f>
        <v>5600</v>
      </c>
      <c r="N2844" s="364">
        <f>IF(OR(Market_Data[[#This Row],[Estimated Concrete Demand (m³)]]="",Market_Data[[#This Row],[Avg Price per (₹ / m³)]]=""),"",Market_Data[[#This Row],[Estimated Concrete Demand (m³)]]*Market_Data[[#This Row],[Avg Price per (₹ / m³)]]/10000000)</f>
        <v>8.2151999999999994</v>
      </c>
      <c r="O2844" s="97" t="str">
        <f>IF(Market_Data[[#This Row],[Estimated Concrete Demand (m³)]]="","",
IF(Market_Data[[#This Row],[Estimated Concrete Demand (m³)]]&lt;10000,"Small",
IF(Market_Data[[#This Row],[Estimated Concrete Demand (m³)]]&lt;25000,"Medium",
IF(Market_Data[[#This Row],[Estimated Concrete Demand (m³)]]&lt;100000,"Large","Mega"))))</f>
        <v>Medium</v>
      </c>
      <c r="P2844" s="287" t="str">
        <f t="shared" si="46"/>
        <v>GujRERA</v>
      </c>
    </row>
    <row r="2845" spans="1:16">
      <c r="A2845" s="129" t="str">
        <f>_xlfn.XLOOKUP(B2845,$S$9:$S$14,$T$9:$T$14)&amp;"-"&amp;
IF(E2845="Residential/Group Housing","RES",
IF(E2845="Commercial","COM",
IF(E2845="Mixed Development","MIX",
IF(E2845="Plotted Development","PLT","OTH"))))
&amp;"-"&amp;TEXT(COUNTIFS($B$9:B2845,B2845,$E$9:E2845,E2845),"0000")</f>
        <v>VAL-MIX-0063</v>
      </c>
      <c r="B2845" s="322" t="s">
        <v>35</v>
      </c>
      <c r="C2845" s="322" t="s">
        <v>35</v>
      </c>
      <c r="D2845" s="323" t="s">
        <v>3034</v>
      </c>
      <c r="E2845" s="132" t="s">
        <v>25</v>
      </c>
      <c r="F2845" s="97" t="str">
        <f ca="1">IF(OR(Market_Data[[#This Row],[Start Date]]="",Market_Data[[#This Row],[Completion Date]]=""),"Needs Validation",IF(Market_Data[[#This Row],[Start Date]]&gt;TODAY(),"Planned",IF(Market_Data[[#This Row],[Completion Date]]&lt;TODAY(),"Completed","Ongoing")))</f>
        <v>Ongoing</v>
      </c>
      <c r="G2845" s="324">
        <v>45047</v>
      </c>
      <c r="H2845" s="324">
        <v>47848</v>
      </c>
      <c r="I2845" s="325">
        <v>29200</v>
      </c>
      <c r="J284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45" s="133">
        <f>_xlfn.XLOOKUP(Market_Data[[#This Row],[Project Type]],tbl_assumptions_market[Project Category (RERA)],tbl_assumptions_market[Concrete Intensity
(m³ / sq m BUA)],"",0)</f>
        <v>0.42</v>
      </c>
      <c r="L2845" s="134">
        <f>ROUND(Market_Data[[#This Row],[Estimated Built Up Area (sq m)]]*Market_Data[[#This Row],[Concrete Intensity
(m³ / sq m)]],0)</f>
        <v>12264</v>
      </c>
      <c r="M2845" s="135">
        <f>_xlfn.XLOOKUP(Market_Data[[#This Row],[District]],tbl_district_price[District],tbl_district_price[Standard Price
(INR/m³)],"",0)</f>
        <v>5600</v>
      </c>
      <c r="N2845" s="364">
        <f>IF(OR(Market_Data[[#This Row],[Estimated Concrete Demand (m³)]]="",Market_Data[[#This Row],[Avg Price per (₹ / m³)]]=""),"",Market_Data[[#This Row],[Estimated Concrete Demand (m³)]]*Market_Data[[#This Row],[Avg Price per (₹ / m³)]]/10000000)</f>
        <v>6.8678400000000002</v>
      </c>
      <c r="O2845" s="97" t="str">
        <f>IF(Market_Data[[#This Row],[Estimated Concrete Demand (m³)]]="","",
IF(Market_Data[[#This Row],[Estimated Concrete Demand (m³)]]&lt;10000,"Small",
IF(Market_Data[[#This Row],[Estimated Concrete Demand (m³)]]&lt;25000,"Medium",
IF(Market_Data[[#This Row],[Estimated Concrete Demand (m³)]]&lt;100000,"Large","Mega"))))</f>
        <v>Medium</v>
      </c>
      <c r="P2845" s="287" t="str">
        <f t="shared" si="46"/>
        <v>GujRERA</v>
      </c>
    </row>
    <row r="2846" spans="1:16">
      <c r="A2846" s="129" t="str">
        <f>_xlfn.XLOOKUP(B2846,$S$9:$S$14,$T$9:$T$14)&amp;"-"&amp;
IF(E2846="Residential/Group Housing","RES",
IF(E2846="Commercial","COM",
IF(E2846="Mixed Development","MIX",
IF(E2846="Plotted Development","PLT","OTH"))))
&amp;"-"&amp;TEXT(COUNTIFS($B$9:B2846,B2846,$E$9:E2846,E2846),"0000")</f>
        <v>VAL-MIX-0064</v>
      </c>
      <c r="B2846" s="322" t="s">
        <v>35</v>
      </c>
      <c r="C2846" s="322" t="s">
        <v>35</v>
      </c>
      <c r="D2846" s="323" t="s">
        <v>3035</v>
      </c>
      <c r="E2846" s="132" t="s">
        <v>25</v>
      </c>
      <c r="F2846" s="97" t="str">
        <f ca="1">IF(OR(Market_Data[[#This Row],[Start Date]]="",Market_Data[[#This Row],[Completion Date]]=""),"Needs Validation",IF(Market_Data[[#This Row],[Start Date]]&gt;TODAY(),"Planned",IF(Market_Data[[#This Row],[Completion Date]]&lt;TODAY(),"Completed","Ongoing")))</f>
        <v>Completed</v>
      </c>
      <c r="G2846" s="324">
        <v>41640</v>
      </c>
      <c r="H2846" s="324">
        <v>44316</v>
      </c>
      <c r="I2846" s="325">
        <v>2000</v>
      </c>
      <c r="J284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846" s="133">
        <f>_xlfn.XLOOKUP(Market_Data[[#This Row],[Project Type]],tbl_assumptions_market[Project Category (RERA)],tbl_assumptions_market[Concrete Intensity
(m³ / sq m BUA)],"",0)</f>
        <v>0.42</v>
      </c>
      <c r="L2846" s="134">
        <f>ROUND(Market_Data[[#This Row],[Estimated Built Up Area (sq m)]]*Market_Data[[#This Row],[Concrete Intensity
(m³ / sq m)]],0)</f>
        <v>840</v>
      </c>
      <c r="M2846" s="135">
        <f>_xlfn.XLOOKUP(Market_Data[[#This Row],[District]],tbl_district_price[District],tbl_district_price[Standard Price
(INR/m³)],"",0)</f>
        <v>5600</v>
      </c>
      <c r="N2846" s="364">
        <f>IF(OR(Market_Data[[#This Row],[Estimated Concrete Demand (m³)]]="",Market_Data[[#This Row],[Avg Price per (₹ / m³)]]=""),"",Market_Data[[#This Row],[Estimated Concrete Demand (m³)]]*Market_Data[[#This Row],[Avg Price per (₹ / m³)]]/10000000)</f>
        <v>0.47039999999999998</v>
      </c>
      <c r="O2846" s="97" t="str">
        <f>IF(Market_Data[[#This Row],[Estimated Concrete Demand (m³)]]="","",
IF(Market_Data[[#This Row],[Estimated Concrete Demand (m³)]]&lt;10000,"Small",
IF(Market_Data[[#This Row],[Estimated Concrete Demand (m³)]]&lt;25000,"Medium",
IF(Market_Data[[#This Row],[Estimated Concrete Demand (m³)]]&lt;100000,"Large","Mega"))))</f>
        <v>Small</v>
      </c>
      <c r="P2846" s="287" t="str">
        <f t="shared" si="46"/>
        <v>GujRERA</v>
      </c>
    </row>
    <row r="2847" spans="1:16">
      <c r="A2847" s="129" t="str">
        <f>_xlfn.XLOOKUP(B2847,$S$9:$S$14,$T$9:$T$14)&amp;"-"&amp;
IF(E2847="Residential/Group Housing","RES",
IF(E2847="Commercial","COM",
IF(E2847="Mixed Development","MIX",
IF(E2847="Plotted Development","PLT","OTH"))))
&amp;"-"&amp;TEXT(COUNTIFS($B$9:B2847,B2847,$E$9:E2847,E2847),"0000")</f>
        <v>VAL-MIX-0065</v>
      </c>
      <c r="B2847" s="322" t="s">
        <v>35</v>
      </c>
      <c r="C2847" s="322" t="s">
        <v>35</v>
      </c>
      <c r="D2847" s="323" t="s">
        <v>3036</v>
      </c>
      <c r="E2847" s="132" t="s">
        <v>25</v>
      </c>
      <c r="F2847" s="97" t="str">
        <f ca="1">IF(OR(Market_Data[[#This Row],[Start Date]]="",Market_Data[[#This Row],[Completion Date]]=""),"Needs Validation",IF(Market_Data[[#This Row],[Start Date]]&gt;TODAY(),"Planned",IF(Market_Data[[#This Row],[Completion Date]]&lt;TODAY(),"Completed","Ongoing")))</f>
        <v>Ongoing</v>
      </c>
      <c r="G2847" s="324">
        <v>45962</v>
      </c>
      <c r="H2847" s="324">
        <v>47118</v>
      </c>
      <c r="I2847" s="325">
        <v>2000</v>
      </c>
      <c r="J284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847" s="133">
        <f>_xlfn.XLOOKUP(Market_Data[[#This Row],[Project Type]],tbl_assumptions_market[Project Category (RERA)],tbl_assumptions_market[Concrete Intensity
(m³ / sq m BUA)],"",0)</f>
        <v>0.42</v>
      </c>
      <c r="L2847" s="134">
        <f>ROUND(Market_Data[[#This Row],[Estimated Built Up Area (sq m)]]*Market_Data[[#This Row],[Concrete Intensity
(m³ / sq m)]],0)</f>
        <v>840</v>
      </c>
      <c r="M2847" s="135">
        <f>_xlfn.XLOOKUP(Market_Data[[#This Row],[District]],tbl_district_price[District],tbl_district_price[Standard Price
(INR/m³)],"",0)</f>
        <v>5600</v>
      </c>
      <c r="N2847" s="364">
        <f>IF(OR(Market_Data[[#This Row],[Estimated Concrete Demand (m³)]]="",Market_Data[[#This Row],[Avg Price per (₹ / m³)]]=""),"",Market_Data[[#This Row],[Estimated Concrete Demand (m³)]]*Market_Data[[#This Row],[Avg Price per (₹ / m³)]]/10000000)</f>
        <v>0.47039999999999998</v>
      </c>
      <c r="O2847" s="97" t="str">
        <f>IF(Market_Data[[#This Row],[Estimated Concrete Demand (m³)]]="","",
IF(Market_Data[[#This Row],[Estimated Concrete Demand (m³)]]&lt;10000,"Small",
IF(Market_Data[[#This Row],[Estimated Concrete Demand (m³)]]&lt;25000,"Medium",
IF(Market_Data[[#This Row],[Estimated Concrete Demand (m³)]]&lt;100000,"Large","Mega"))))</f>
        <v>Small</v>
      </c>
      <c r="P2847" s="287" t="str">
        <f t="shared" si="46"/>
        <v>GujRERA</v>
      </c>
    </row>
    <row r="2848" spans="1:16">
      <c r="A2848" s="129" t="str">
        <f>_xlfn.XLOOKUP(B2848,$S$9:$S$14,$T$9:$T$14)&amp;"-"&amp;
IF(E2848="Residential/Group Housing","RES",
IF(E2848="Commercial","COM",
IF(E2848="Mixed Development","MIX",
IF(E2848="Plotted Development","PLT","OTH"))))
&amp;"-"&amp;TEXT(COUNTIFS($B$9:B2848,B2848,$E$9:E2848,E2848),"0000")</f>
        <v>VAL-MIX-0066</v>
      </c>
      <c r="B2848" s="322" t="s">
        <v>35</v>
      </c>
      <c r="C2848" s="322" t="s">
        <v>35</v>
      </c>
      <c r="D2848" s="323" t="s">
        <v>3037</v>
      </c>
      <c r="E2848" s="132" t="s">
        <v>25</v>
      </c>
      <c r="F2848" s="97" t="str">
        <f ca="1">IF(OR(Market_Data[[#This Row],[Start Date]]="",Market_Data[[#This Row],[Completion Date]]=""),"Needs Validation",IF(Market_Data[[#This Row],[Start Date]]&gt;TODAY(),"Planned",IF(Market_Data[[#This Row],[Completion Date]]&lt;TODAY(),"Completed","Ongoing")))</f>
        <v>Ongoing</v>
      </c>
      <c r="G2848" s="324">
        <v>44362</v>
      </c>
      <c r="H2848" s="324">
        <v>47848</v>
      </c>
      <c r="I2848" s="325">
        <v>36900</v>
      </c>
      <c r="J284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48" s="133">
        <f>_xlfn.XLOOKUP(Market_Data[[#This Row],[Project Type]],tbl_assumptions_market[Project Category (RERA)],tbl_assumptions_market[Concrete Intensity
(m³ / sq m BUA)],"",0)</f>
        <v>0.42</v>
      </c>
      <c r="L2848" s="134">
        <f>ROUND(Market_Data[[#This Row],[Estimated Built Up Area (sq m)]]*Market_Data[[#This Row],[Concrete Intensity
(m³ / sq m)]],0)</f>
        <v>15498</v>
      </c>
      <c r="M2848" s="135">
        <f>_xlfn.XLOOKUP(Market_Data[[#This Row],[District]],tbl_district_price[District],tbl_district_price[Standard Price
(INR/m³)],"",0)</f>
        <v>5600</v>
      </c>
      <c r="N2848" s="364">
        <f>IF(OR(Market_Data[[#This Row],[Estimated Concrete Demand (m³)]]="",Market_Data[[#This Row],[Avg Price per (₹ / m³)]]=""),"",Market_Data[[#This Row],[Estimated Concrete Demand (m³)]]*Market_Data[[#This Row],[Avg Price per (₹ / m³)]]/10000000)</f>
        <v>8.6788799999999995</v>
      </c>
      <c r="O2848" s="97" t="str">
        <f>IF(Market_Data[[#This Row],[Estimated Concrete Demand (m³)]]="","",
IF(Market_Data[[#This Row],[Estimated Concrete Demand (m³)]]&lt;10000,"Small",
IF(Market_Data[[#This Row],[Estimated Concrete Demand (m³)]]&lt;25000,"Medium",
IF(Market_Data[[#This Row],[Estimated Concrete Demand (m³)]]&lt;100000,"Large","Mega"))))</f>
        <v>Medium</v>
      </c>
      <c r="P2848" s="287" t="str">
        <f t="shared" si="46"/>
        <v>GujRERA</v>
      </c>
    </row>
    <row r="2849" spans="1:16">
      <c r="A2849" s="129" t="str">
        <f>_xlfn.XLOOKUP(B2849,$S$9:$S$14,$T$9:$T$14)&amp;"-"&amp;
IF(E2849="Residential/Group Housing","RES",
IF(E2849="Commercial","COM",
IF(E2849="Mixed Development","MIX",
IF(E2849="Plotted Development","PLT","OTH"))))
&amp;"-"&amp;TEXT(COUNTIFS($B$9:B2849,B2849,$E$9:E2849,E2849),"0000")</f>
        <v>VAL-MIX-0067</v>
      </c>
      <c r="B2849" s="322" t="s">
        <v>35</v>
      </c>
      <c r="C2849" s="322" t="s">
        <v>35</v>
      </c>
      <c r="D2849" s="323" t="s">
        <v>3038</v>
      </c>
      <c r="E2849" s="132" t="s">
        <v>25</v>
      </c>
      <c r="F2849" s="97" t="str">
        <f ca="1">IF(OR(Market_Data[[#This Row],[Start Date]]="",Market_Data[[#This Row],[Completion Date]]=""),"Needs Validation",IF(Market_Data[[#This Row],[Start Date]]&gt;TODAY(),"Planned",IF(Market_Data[[#This Row],[Completion Date]]&lt;TODAY(),"Completed","Ongoing")))</f>
        <v>Completed</v>
      </c>
      <c r="G2849" s="324">
        <v>42822</v>
      </c>
      <c r="H2849" s="324">
        <v>44408</v>
      </c>
      <c r="I2849" s="325">
        <v>21100</v>
      </c>
      <c r="J284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49" s="133">
        <f>_xlfn.XLOOKUP(Market_Data[[#This Row],[Project Type]],tbl_assumptions_market[Project Category (RERA)],tbl_assumptions_market[Concrete Intensity
(m³ / sq m BUA)],"",0)</f>
        <v>0.42</v>
      </c>
      <c r="L2849" s="134">
        <f>ROUND(Market_Data[[#This Row],[Estimated Built Up Area (sq m)]]*Market_Data[[#This Row],[Concrete Intensity
(m³ / sq m)]],0)</f>
        <v>8862</v>
      </c>
      <c r="M2849" s="135">
        <f>_xlfn.XLOOKUP(Market_Data[[#This Row],[District]],tbl_district_price[District],tbl_district_price[Standard Price
(INR/m³)],"",0)</f>
        <v>5600</v>
      </c>
      <c r="N2849" s="364">
        <f>IF(OR(Market_Data[[#This Row],[Estimated Concrete Demand (m³)]]="",Market_Data[[#This Row],[Avg Price per (₹ / m³)]]=""),"",Market_Data[[#This Row],[Estimated Concrete Demand (m³)]]*Market_Data[[#This Row],[Avg Price per (₹ / m³)]]/10000000)</f>
        <v>4.96272</v>
      </c>
      <c r="O2849" s="97" t="str">
        <f>IF(Market_Data[[#This Row],[Estimated Concrete Demand (m³)]]="","",
IF(Market_Data[[#This Row],[Estimated Concrete Demand (m³)]]&lt;10000,"Small",
IF(Market_Data[[#This Row],[Estimated Concrete Demand (m³)]]&lt;25000,"Medium",
IF(Market_Data[[#This Row],[Estimated Concrete Demand (m³)]]&lt;100000,"Large","Mega"))))</f>
        <v>Small</v>
      </c>
      <c r="P2849" s="287" t="str">
        <f t="shared" si="46"/>
        <v>GujRERA</v>
      </c>
    </row>
    <row r="2850" spans="1:16">
      <c r="A2850" s="129" t="str">
        <f>_xlfn.XLOOKUP(B2850,$S$9:$S$14,$T$9:$T$14)&amp;"-"&amp;
IF(E2850="Residential/Group Housing","RES",
IF(E2850="Commercial","COM",
IF(E2850="Mixed Development","MIX",
IF(E2850="Plotted Development","PLT","OTH"))))
&amp;"-"&amp;TEXT(COUNTIFS($B$9:B2850,B2850,$E$9:E2850,E2850),"0000")</f>
        <v>VAL-MIX-0068</v>
      </c>
      <c r="B2850" s="322" t="s">
        <v>35</v>
      </c>
      <c r="C2850" s="322" t="s">
        <v>34</v>
      </c>
      <c r="D2850" s="323" t="s">
        <v>3039</v>
      </c>
      <c r="E2850" s="132" t="s">
        <v>25</v>
      </c>
      <c r="F2850" s="97" t="str">
        <f ca="1">IF(OR(Market_Data[[#This Row],[Start Date]]="",Market_Data[[#This Row],[Completion Date]]=""),"Needs Validation",IF(Market_Data[[#This Row],[Start Date]]&gt;TODAY(),"Planned",IF(Market_Data[[#This Row],[Completion Date]]&lt;TODAY(),"Completed","Ongoing")))</f>
        <v>Completed</v>
      </c>
      <c r="G2850" s="324">
        <v>44027</v>
      </c>
      <c r="H2850" s="324">
        <v>46022</v>
      </c>
      <c r="I2850" s="325">
        <v>51700</v>
      </c>
      <c r="J285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50" s="133">
        <f>_xlfn.XLOOKUP(Market_Data[[#This Row],[Project Type]],tbl_assumptions_market[Project Category (RERA)],tbl_assumptions_market[Concrete Intensity
(m³ / sq m BUA)],"",0)</f>
        <v>0.42</v>
      </c>
      <c r="L2850" s="134">
        <f>ROUND(Market_Data[[#This Row],[Estimated Built Up Area (sq m)]]*Market_Data[[#This Row],[Concrete Intensity
(m³ / sq m)]],0)</f>
        <v>21714</v>
      </c>
      <c r="M2850" s="135">
        <f>_xlfn.XLOOKUP(Market_Data[[#This Row],[District]],tbl_district_price[District],tbl_district_price[Standard Price
(INR/m³)],"",0)</f>
        <v>5600</v>
      </c>
      <c r="N2850" s="364">
        <f>IF(OR(Market_Data[[#This Row],[Estimated Concrete Demand (m³)]]="",Market_Data[[#This Row],[Avg Price per (₹ / m³)]]=""),"",Market_Data[[#This Row],[Estimated Concrete Demand (m³)]]*Market_Data[[#This Row],[Avg Price per (₹ / m³)]]/10000000)</f>
        <v>12.159840000000001</v>
      </c>
      <c r="O2850" s="97" t="str">
        <f>IF(Market_Data[[#This Row],[Estimated Concrete Demand (m³)]]="","",
IF(Market_Data[[#This Row],[Estimated Concrete Demand (m³)]]&lt;10000,"Small",
IF(Market_Data[[#This Row],[Estimated Concrete Demand (m³)]]&lt;25000,"Medium",
IF(Market_Data[[#This Row],[Estimated Concrete Demand (m³)]]&lt;100000,"Large","Mega"))))</f>
        <v>Medium</v>
      </c>
      <c r="P2850" s="287" t="str">
        <f t="shared" si="46"/>
        <v>GujRERA</v>
      </c>
    </row>
    <row r="2851" spans="1:16">
      <c r="A2851" s="129" t="str">
        <f>_xlfn.XLOOKUP(B2851,$S$9:$S$14,$T$9:$T$14)&amp;"-"&amp;
IF(E2851="Residential/Group Housing","RES",
IF(E2851="Commercial","COM",
IF(E2851="Mixed Development","MIX",
IF(E2851="Plotted Development","PLT","OTH"))))
&amp;"-"&amp;TEXT(COUNTIFS($B$9:B2851,B2851,$E$9:E2851,E2851),"0000")</f>
        <v>VAL-MIX-0069</v>
      </c>
      <c r="B2851" s="322" t="s">
        <v>35</v>
      </c>
      <c r="C2851" s="322" t="s">
        <v>34</v>
      </c>
      <c r="D2851" s="323" t="s">
        <v>3040</v>
      </c>
      <c r="E2851" s="132" t="s">
        <v>25</v>
      </c>
      <c r="F2851" s="97" t="str">
        <f ca="1">IF(OR(Market_Data[[#This Row],[Start Date]]="",Market_Data[[#This Row],[Completion Date]]=""),"Needs Validation",IF(Market_Data[[#This Row],[Start Date]]&gt;TODAY(),"Planned",IF(Market_Data[[#This Row],[Completion Date]]&lt;TODAY(),"Completed","Ongoing")))</f>
        <v>Completed</v>
      </c>
      <c r="G2851" s="324">
        <v>43631</v>
      </c>
      <c r="H2851" s="324">
        <v>44742</v>
      </c>
      <c r="I2851" s="325">
        <v>53400</v>
      </c>
      <c r="J285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51" s="133">
        <f>_xlfn.XLOOKUP(Market_Data[[#This Row],[Project Type]],tbl_assumptions_market[Project Category (RERA)],tbl_assumptions_market[Concrete Intensity
(m³ / sq m BUA)],"",0)</f>
        <v>0.42</v>
      </c>
      <c r="L2851" s="134">
        <f>ROUND(Market_Data[[#This Row],[Estimated Built Up Area (sq m)]]*Market_Data[[#This Row],[Concrete Intensity
(m³ / sq m)]],0)</f>
        <v>22428</v>
      </c>
      <c r="M2851" s="135">
        <f>_xlfn.XLOOKUP(Market_Data[[#This Row],[District]],tbl_district_price[District],tbl_district_price[Standard Price
(INR/m³)],"",0)</f>
        <v>5600</v>
      </c>
      <c r="N2851" s="364">
        <f>IF(OR(Market_Data[[#This Row],[Estimated Concrete Demand (m³)]]="",Market_Data[[#This Row],[Avg Price per (₹ / m³)]]=""),"",Market_Data[[#This Row],[Estimated Concrete Demand (m³)]]*Market_Data[[#This Row],[Avg Price per (₹ / m³)]]/10000000)</f>
        <v>12.55968</v>
      </c>
      <c r="O2851" s="97" t="str">
        <f>IF(Market_Data[[#This Row],[Estimated Concrete Demand (m³)]]="","",
IF(Market_Data[[#This Row],[Estimated Concrete Demand (m³)]]&lt;10000,"Small",
IF(Market_Data[[#This Row],[Estimated Concrete Demand (m³)]]&lt;25000,"Medium",
IF(Market_Data[[#This Row],[Estimated Concrete Demand (m³)]]&lt;100000,"Large","Mega"))))</f>
        <v>Medium</v>
      </c>
      <c r="P2851" s="287" t="str">
        <f t="shared" si="46"/>
        <v>GujRERA</v>
      </c>
    </row>
    <row r="2852" spans="1:16">
      <c r="A2852" s="129" t="str">
        <f>_xlfn.XLOOKUP(B2852,$S$9:$S$14,$T$9:$T$14)&amp;"-"&amp;
IF(E2852="Residential/Group Housing","RES",
IF(E2852="Commercial","COM",
IF(E2852="Mixed Development","MIX",
IF(E2852="Plotted Development","PLT","OTH"))))
&amp;"-"&amp;TEXT(COUNTIFS($B$9:B2852,B2852,$E$9:E2852,E2852),"0000")</f>
        <v>VAL-RES-0042</v>
      </c>
      <c r="B2852" s="322" t="s">
        <v>35</v>
      </c>
      <c r="C2852" s="322" t="s">
        <v>35</v>
      </c>
      <c r="D2852" s="323" t="s">
        <v>3041</v>
      </c>
      <c r="E2852" s="132" t="s">
        <v>24</v>
      </c>
      <c r="F2852" s="97" t="str">
        <f ca="1">IF(OR(Market_Data[[#This Row],[Start Date]]="",Market_Data[[#This Row],[Completion Date]]=""),"Needs Validation",IF(Market_Data[[#This Row],[Start Date]]&gt;TODAY(),"Planned",IF(Market_Data[[#This Row],[Completion Date]]&lt;TODAY(),"Completed","Ongoing")))</f>
        <v>Completed</v>
      </c>
      <c r="G2852" s="324">
        <v>43847</v>
      </c>
      <c r="H2852" s="324">
        <v>45291</v>
      </c>
      <c r="I2852" s="325">
        <v>52000</v>
      </c>
      <c r="J285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52" s="133">
        <f>_xlfn.XLOOKUP(Market_Data[[#This Row],[Project Type]],tbl_assumptions_market[Project Category (RERA)],tbl_assumptions_market[Concrete Intensity
(m³ / sq m BUA)],"",0)</f>
        <v>0.45</v>
      </c>
      <c r="L2852" s="134">
        <f>ROUND(Market_Data[[#This Row],[Estimated Built Up Area (sq m)]]*Market_Data[[#This Row],[Concrete Intensity
(m³ / sq m)]],0)</f>
        <v>23400</v>
      </c>
      <c r="M2852" s="135">
        <f>_xlfn.XLOOKUP(Market_Data[[#This Row],[District]],tbl_district_price[District],tbl_district_price[Standard Price
(INR/m³)],"",0)</f>
        <v>5600</v>
      </c>
      <c r="N2852" s="364">
        <f>IF(OR(Market_Data[[#This Row],[Estimated Concrete Demand (m³)]]="",Market_Data[[#This Row],[Avg Price per (₹ / m³)]]=""),"",Market_Data[[#This Row],[Estimated Concrete Demand (m³)]]*Market_Data[[#This Row],[Avg Price per (₹ / m³)]]/10000000)</f>
        <v>13.103999999999999</v>
      </c>
      <c r="O2852" s="97" t="str">
        <f>IF(Market_Data[[#This Row],[Estimated Concrete Demand (m³)]]="","",
IF(Market_Data[[#This Row],[Estimated Concrete Demand (m³)]]&lt;10000,"Small",
IF(Market_Data[[#This Row],[Estimated Concrete Demand (m³)]]&lt;25000,"Medium",
IF(Market_Data[[#This Row],[Estimated Concrete Demand (m³)]]&lt;100000,"Large","Mega"))))</f>
        <v>Medium</v>
      </c>
      <c r="P2852" s="287" t="str">
        <f t="shared" si="46"/>
        <v>GujRERA</v>
      </c>
    </row>
    <row r="2853" spans="1:16">
      <c r="A2853" s="129" t="str">
        <f>_xlfn.XLOOKUP(B2853,$S$9:$S$14,$T$9:$T$14)&amp;"-"&amp;
IF(E2853="Residential/Group Housing","RES",
IF(E2853="Commercial","COM",
IF(E2853="Mixed Development","MIX",
IF(E2853="Plotted Development","PLT","OTH"))))
&amp;"-"&amp;TEXT(COUNTIFS($B$9:B2853,B2853,$E$9:E2853,E2853),"0000")</f>
        <v>VAL-COM-0015</v>
      </c>
      <c r="B2853" s="322" t="s">
        <v>35</v>
      </c>
      <c r="C2853" s="322" t="s">
        <v>35</v>
      </c>
      <c r="D2853" s="323" t="s">
        <v>3042</v>
      </c>
      <c r="E2853" s="132" t="s">
        <v>23</v>
      </c>
      <c r="F2853" s="97" t="str">
        <f ca="1">IF(OR(Market_Data[[#This Row],[Start Date]]="",Market_Data[[#This Row],[Completion Date]]=""),"Needs Validation",IF(Market_Data[[#This Row],[Start Date]]&gt;TODAY(),"Planned",IF(Market_Data[[#This Row],[Completion Date]]&lt;TODAY(),"Completed","Ongoing")))</f>
        <v>Ongoing</v>
      </c>
      <c r="G2853" s="324">
        <v>45026</v>
      </c>
      <c r="H2853" s="324">
        <v>46387</v>
      </c>
      <c r="I2853" s="325">
        <v>23900</v>
      </c>
      <c r="J285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853" s="133">
        <f>_xlfn.XLOOKUP(Market_Data[[#This Row],[Project Type]],tbl_assumptions_market[Project Category (RERA)],tbl_assumptions_market[Concrete Intensity
(m³ / sq m BUA)],"",0)</f>
        <v>0.5</v>
      </c>
      <c r="L2853" s="134">
        <f>ROUND(Market_Data[[#This Row],[Estimated Built Up Area (sq m)]]*Market_Data[[#This Row],[Concrete Intensity
(m³ / sq m)]],0)</f>
        <v>11950</v>
      </c>
      <c r="M2853" s="135">
        <f>_xlfn.XLOOKUP(Market_Data[[#This Row],[District]],tbl_district_price[District],tbl_district_price[Standard Price
(INR/m³)],"",0)</f>
        <v>5600</v>
      </c>
      <c r="N2853" s="364">
        <f>IF(OR(Market_Data[[#This Row],[Estimated Concrete Demand (m³)]]="",Market_Data[[#This Row],[Avg Price per (₹ / m³)]]=""),"",Market_Data[[#This Row],[Estimated Concrete Demand (m³)]]*Market_Data[[#This Row],[Avg Price per (₹ / m³)]]/10000000)</f>
        <v>6.6920000000000002</v>
      </c>
      <c r="O2853" s="97" t="str">
        <f>IF(Market_Data[[#This Row],[Estimated Concrete Demand (m³)]]="","",
IF(Market_Data[[#This Row],[Estimated Concrete Demand (m³)]]&lt;10000,"Small",
IF(Market_Data[[#This Row],[Estimated Concrete Demand (m³)]]&lt;25000,"Medium",
IF(Market_Data[[#This Row],[Estimated Concrete Demand (m³)]]&lt;100000,"Large","Mega"))))</f>
        <v>Medium</v>
      </c>
      <c r="P2853" s="287" t="str">
        <f t="shared" si="46"/>
        <v>GujRERA</v>
      </c>
    </row>
    <row r="2854" spans="1:16">
      <c r="A2854" s="129" t="str">
        <f>_xlfn.XLOOKUP(B2854,$S$9:$S$14,$T$9:$T$14)&amp;"-"&amp;
IF(E2854="Residential/Group Housing","RES",
IF(E2854="Commercial","COM",
IF(E2854="Mixed Development","MIX",
IF(E2854="Plotted Development","PLT","OTH"))))
&amp;"-"&amp;TEXT(COUNTIFS($B$9:B2854,B2854,$E$9:E2854,E2854),"0000")</f>
        <v>VAL-RES-0043</v>
      </c>
      <c r="B2854" s="322" t="s">
        <v>35</v>
      </c>
      <c r="C2854" s="322" t="s">
        <v>35</v>
      </c>
      <c r="D2854" s="323" t="s">
        <v>3043</v>
      </c>
      <c r="E2854" s="132" t="s">
        <v>24</v>
      </c>
      <c r="F2854" s="97" t="str">
        <f ca="1">IF(OR(Market_Data[[#This Row],[Start Date]]="",Market_Data[[#This Row],[Completion Date]]=""),"Needs Validation",IF(Market_Data[[#This Row],[Start Date]]&gt;TODAY(),"Planned",IF(Market_Data[[#This Row],[Completion Date]]&lt;TODAY(),"Completed","Ongoing")))</f>
        <v>Ongoing</v>
      </c>
      <c r="G2854" s="324">
        <v>45703</v>
      </c>
      <c r="H2854" s="324">
        <v>47483</v>
      </c>
      <c r="I2854" s="325">
        <v>56600</v>
      </c>
      <c r="J285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54" s="133">
        <f>_xlfn.XLOOKUP(Market_Data[[#This Row],[Project Type]],tbl_assumptions_market[Project Category (RERA)],tbl_assumptions_market[Concrete Intensity
(m³ / sq m BUA)],"",0)</f>
        <v>0.45</v>
      </c>
      <c r="L2854" s="134">
        <f>ROUND(Market_Data[[#This Row],[Estimated Built Up Area (sq m)]]*Market_Data[[#This Row],[Concrete Intensity
(m³ / sq m)]],0)</f>
        <v>25470</v>
      </c>
      <c r="M2854" s="135">
        <f>_xlfn.XLOOKUP(Market_Data[[#This Row],[District]],tbl_district_price[District],tbl_district_price[Standard Price
(INR/m³)],"",0)</f>
        <v>5600</v>
      </c>
      <c r="N2854" s="364">
        <f>IF(OR(Market_Data[[#This Row],[Estimated Concrete Demand (m³)]]="",Market_Data[[#This Row],[Avg Price per (₹ / m³)]]=""),"",Market_Data[[#This Row],[Estimated Concrete Demand (m³)]]*Market_Data[[#This Row],[Avg Price per (₹ / m³)]]/10000000)</f>
        <v>14.263199999999999</v>
      </c>
      <c r="O2854" s="97" t="str">
        <f>IF(Market_Data[[#This Row],[Estimated Concrete Demand (m³)]]="","",
IF(Market_Data[[#This Row],[Estimated Concrete Demand (m³)]]&lt;10000,"Small",
IF(Market_Data[[#This Row],[Estimated Concrete Demand (m³)]]&lt;25000,"Medium",
IF(Market_Data[[#This Row],[Estimated Concrete Demand (m³)]]&lt;100000,"Large","Mega"))))</f>
        <v>Large</v>
      </c>
      <c r="P2854" s="287" t="str">
        <f t="shared" si="46"/>
        <v>GujRERA</v>
      </c>
    </row>
    <row r="2855" spans="1:16">
      <c r="A2855" s="129" t="str">
        <f>_xlfn.XLOOKUP(B2855,$S$9:$S$14,$T$9:$T$14)&amp;"-"&amp;
IF(E2855="Residential/Group Housing","RES",
IF(E2855="Commercial","COM",
IF(E2855="Mixed Development","MIX",
IF(E2855="Plotted Development","PLT","OTH"))))
&amp;"-"&amp;TEXT(COUNTIFS($B$9:B2855,B2855,$E$9:E2855,E2855),"0000")</f>
        <v>VAL-MIX-0070</v>
      </c>
      <c r="B2855" s="322" t="s">
        <v>35</v>
      </c>
      <c r="C2855" s="322" t="s">
        <v>35</v>
      </c>
      <c r="D2855" s="323" t="s">
        <v>3044</v>
      </c>
      <c r="E2855" s="132" t="s">
        <v>25</v>
      </c>
      <c r="F2855" s="97" t="str">
        <f ca="1">IF(OR(Market_Data[[#This Row],[Start Date]]="",Market_Data[[#This Row],[Completion Date]]=""),"Needs Validation",IF(Market_Data[[#This Row],[Start Date]]&gt;TODAY(),"Planned",IF(Market_Data[[#This Row],[Completion Date]]&lt;TODAY(),"Completed","Ongoing")))</f>
        <v>Ongoing</v>
      </c>
      <c r="G2855" s="324">
        <v>45651</v>
      </c>
      <c r="H2855" s="324">
        <v>48213</v>
      </c>
      <c r="I2855" s="325">
        <v>38900</v>
      </c>
      <c r="J285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55" s="133">
        <f>_xlfn.XLOOKUP(Market_Data[[#This Row],[Project Type]],tbl_assumptions_market[Project Category (RERA)],tbl_assumptions_market[Concrete Intensity
(m³ / sq m BUA)],"",0)</f>
        <v>0.42</v>
      </c>
      <c r="L2855" s="134">
        <f>ROUND(Market_Data[[#This Row],[Estimated Built Up Area (sq m)]]*Market_Data[[#This Row],[Concrete Intensity
(m³ / sq m)]],0)</f>
        <v>16338</v>
      </c>
      <c r="M2855" s="135">
        <f>_xlfn.XLOOKUP(Market_Data[[#This Row],[District]],tbl_district_price[District],tbl_district_price[Standard Price
(INR/m³)],"",0)</f>
        <v>5600</v>
      </c>
      <c r="N2855" s="364">
        <f>IF(OR(Market_Data[[#This Row],[Estimated Concrete Demand (m³)]]="",Market_Data[[#This Row],[Avg Price per (₹ / m³)]]=""),"",Market_Data[[#This Row],[Estimated Concrete Demand (m³)]]*Market_Data[[#This Row],[Avg Price per (₹ / m³)]]/10000000)</f>
        <v>9.1492799999999992</v>
      </c>
      <c r="O2855" s="97" t="str">
        <f>IF(Market_Data[[#This Row],[Estimated Concrete Demand (m³)]]="","",
IF(Market_Data[[#This Row],[Estimated Concrete Demand (m³)]]&lt;10000,"Small",
IF(Market_Data[[#This Row],[Estimated Concrete Demand (m³)]]&lt;25000,"Medium",
IF(Market_Data[[#This Row],[Estimated Concrete Demand (m³)]]&lt;100000,"Large","Mega"))))</f>
        <v>Medium</v>
      </c>
      <c r="P2855" s="287" t="str">
        <f t="shared" si="46"/>
        <v>GujRERA</v>
      </c>
    </row>
    <row r="2856" spans="1:16">
      <c r="A2856" s="129" t="str">
        <f>_xlfn.XLOOKUP(B2856,$S$9:$S$14,$T$9:$T$14)&amp;"-"&amp;
IF(E2856="Residential/Group Housing","RES",
IF(E2856="Commercial","COM",
IF(E2856="Mixed Development","MIX",
IF(E2856="Plotted Development","PLT","OTH"))))
&amp;"-"&amp;TEXT(COUNTIFS($B$9:B2856,B2856,$E$9:E2856,E2856),"0000")</f>
        <v>VAL-MIX-0071</v>
      </c>
      <c r="B2856" s="322" t="s">
        <v>35</v>
      </c>
      <c r="C2856" s="322" t="s">
        <v>35</v>
      </c>
      <c r="D2856" s="323" t="s">
        <v>3045</v>
      </c>
      <c r="E2856" s="132" t="s">
        <v>25</v>
      </c>
      <c r="F2856" s="97" t="str">
        <f ca="1">IF(OR(Market_Data[[#This Row],[Start Date]]="",Market_Data[[#This Row],[Completion Date]]=""),"Needs Validation",IF(Market_Data[[#This Row],[Start Date]]&gt;TODAY(),"Planned",IF(Market_Data[[#This Row],[Completion Date]]&lt;TODAY(),"Completed","Ongoing")))</f>
        <v>Ongoing</v>
      </c>
      <c r="G2856" s="324">
        <v>43773</v>
      </c>
      <c r="H2856" s="324">
        <v>46295</v>
      </c>
      <c r="I2856" s="325">
        <v>23500</v>
      </c>
      <c r="J285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56" s="133">
        <f>_xlfn.XLOOKUP(Market_Data[[#This Row],[Project Type]],tbl_assumptions_market[Project Category (RERA)],tbl_assumptions_market[Concrete Intensity
(m³ / sq m BUA)],"",0)</f>
        <v>0.42</v>
      </c>
      <c r="L2856" s="134">
        <f>ROUND(Market_Data[[#This Row],[Estimated Built Up Area (sq m)]]*Market_Data[[#This Row],[Concrete Intensity
(m³ / sq m)]],0)</f>
        <v>9870</v>
      </c>
      <c r="M2856" s="135">
        <f>_xlfn.XLOOKUP(Market_Data[[#This Row],[District]],tbl_district_price[District],tbl_district_price[Standard Price
(INR/m³)],"",0)</f>
        <v>5600</v>
      </c>
      <c r="N2856" s="364">
        <f>IF(OR(Market_Data[[#This Row],[Estimated Concrete Demand (m³)]]="",Market_Data[[#This Row],[Avg Price per (₹ / m³)]]=""),"",Market_Data[[#This Row],[Estimated Concrete Demand (m³)]]*Market_Data[[#This Row],[Avg Price per (₹ / m³)]]/10000000)</f>
        <v>5.5271999999999997</v>
      </c>
      <c r="O2856" s="97" t="str">
        <f>IF(Market_Data[[#This Row],[Estimated Concrete Demand (m³)]]="","",
IF(Market_Data[[#This Row],[Estimated Concrete Demand (m³)]]&lt;10000,"Small",
IF(Market_Data[[#This Row],[Estimated Concrete Demand (m³)]]&lt;25000,"Medium",
IF(Market_Data[[#This Row],[Estimated Concrete Demand (m³)]]&lt;100000,"Large","Mega"))))</f>
        <v>Small</v>
      </c>
      <c r="P2856" s="287" t="str">
        <f t="shared" si="46"/>
        <v>GujRERA</v>
      </c>
    </row>
    <row r="2857" spans="1:16">
      <c r="A2857" s="129" t="str">
        <f>_xlfn.XLOOKUP(B2857,$S$9:$S$14,$T$9:$T$14)&amp;"-"&amp;
IF(E2857="Residential/Group Housing","RES",
IF(E2857="Commercial","COM",
IF(E2857="Mixed Development","MIX",
IF(E2857="Plotted Development","PLT","OTH"))))
&amp;"-"&amp;TEXT(COUNTIFS($B$9:B2857,B2857,$E$9:E2857,E2857),"0000")</f>
        <v>VAL-RES-0044</v>
      </c>
      <c r="B2857" s="322" t="s">
        <v>35</v>
      </c>
      <c r="C2857" s="322" t="s">
        <v>724</v>
      </c>
      <c r="D2857" s="323" t="s">
        <v>3046</v>
      </c>
      <c r="E2857" s="132" t="s">
        <v>24</v>
      </c>
      <c r="F2857" s="97" t="str">
        <f ca="1">IF(OR(Market_Data[[#This Row],[Start Date]]="",Market_Data[[#This Row],[Completion Date]]=""),"Needs Validation",IF(Market_Data[[#This Row],[Start Date]]&gt;TODAY(),"Planned",IF(Market_Data[[#This Row],[Completion Date]]&lt;TODAY(),"Completed","Ongoing")))</f>
        <v>Ongoing</v>
      </c>
      <c r="G2857" s="324">
        <v>44545</v>
      </c>
      <c r="H2857" s="324">
        <v>46387</v>
      </c>
      <c r="I2857" s="325">
        <v>43700</v>
      </c>
      <c r="J285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57" s="133">
        <f>_xlfn.XLOOKUP(Market_Data[[#This Row],[Project Type]],tbl_assumptions_market[Project Category (RERA)],tbl_assumptions_market[Concrete Intensity
(m³ / sq m BUA)],"",0)</f>
        <v>0.45</v>
      </c>
      <c r="L2857" s="134">
        <f>ROUND(Market_Data[[#This Row],[Estimated Built Up Area (sq m)]]*Market_Data[[#This Row],[Concrete Intensity
(m³ / sq m)]],0)</f>
        <v>19665</v>
      </c>
      <c r="M2857" s="135">
        <f>_xlfn.XLOOKUP(Market_Data[[#This Row],[District]],tbl_district_price[District],tbl_district_price[Standard Price
(INR/m³)],"",0)</f>
        <v>5600</v>
      </c>
      <c r="N2857" s="364">
        <f>IF(OR(Market_Data[[#This Row],[Estimated Concrete Demand (m³)]]="",Market_Data[[#This Row],[Avg Price per (₹ / m³)]]=""),"",Market_Data[[#This Row],[Estimated Concrete Demand (m³)]]*Market_Data[[#This Row],[Avg Price per (₹ / m³)]]/10000000)</f>
        <v>11.0124</v>
      </c>
      <c r="O2857" s="97" t="str">
        <f>IF(Market_Data[[#This Row],[Estimated Concrete Demand (m³)]]="","",
IF(Market_Data[[#This Row],[Estimated Concrete Demand (m³)]]&lt;10000,"Small",
IF(Market_Data[[#This Row],[Estimated Concrete Demand (m³)]]&lt;25000,"Medium",
IF(Market_Data[[#This Row],[Estimated Concrete Demand (m³)]]&lt;100000,"Large","Mega"))))</f>
        <v>Medium</v>
      </c>
      <c r="P2857" s="287" t="str">
        <f t="shared" si="46"/>
        <v>GujRERA</v>
      </c>
    </row>
    <row r="2858" spans="1:16">
      <c r="A2858" s="129" t="str">
        <f>_xlfn.XLOOKUP(B2858,$S$9:$S$14,$T$9:$T$14)&amp;"-"&amp;
IF(E2858="Residential/Group Housing","RES",
IF(E2858="Commercial","COM",
IF(E2858="Mixed Development","MIX",
IF(E2858="Plotted Development","PLT","OTH"))))
&amp;"-"&amp;TEXT(COUNTIFS($B$9:B2858,B2858,$E$9:E2858,E2858),"0000")</f>
        <v>VAL-RES-0045</v>
      </c>
      <c r="B2858" s="322" t="s">
        <v>35</v>
      </c>
      <c r="C2858" s="322" t="s">
        <v>35</v>
      </c>
      <c r="D2858" s="323" t="s">
        <v>3047</v>
      </c>
      <c r="E2858" s="132" t="s">
        <v>24</v>
      </c>
      <c r="F2858" s="97" t="str">
        <f ca="1">IF(OR(Market_Data[[#This Row],[Start Date]]="",Market_Data[[#This Row],[Completion Date]]=""),"Needs Validation",IF(Market_Data[[#This Row],[Start Date]]&gt;TODAY(),"Planned",IF(Market_Data[[#This Row],[Completion Date]]&lt;TODAY(),"Completed","Ongoing")))</f>
        <v>Completed</v>
      </c>
      <c r="G2858" s="324">
        <v>44044</v>
      </c>
      <c r="H2858" s="324">
        <v>46022</v>
      </c>
      <c r="I2858" s="325">
        <v>56500</v>
      </c>
      <c r="J285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58" s="133">
        <f>_xlfn.XLOOKUP(Market_Data[[#This Row],[Project Type]],tbl_assumptions_market[Project Category (RERA)],tbl_assumptions_market[Concrete Intensity
(m³ / sq m BUA)],"",0)</f>
        <v>0.45</v>
      </c>
      <c r="L2858" s="134">
        <f>ROUND(Market_Data[[#This Row],[Estimated Built Up Area (sq m)]]*Market_Data[[#This Row],[Concrete Intensity
(m³ / sq m)]],0)</f>
        <v>25425</v>
      </c>
      <c r="M2858" s="135">
        <f>_xlfn.XLOOKUP(Market_Data[[#This Row],[District]],tbl_district_price[District],tbl_district_price[Standard Price
(INR/m³)],"",0)</f>
        <v>5600</v>
      </c>
      <c r="N2858" s="364">
        <f>IF(OR(Market_Data[[#This Row],[Estimated Concrete Demand (m³)]]="",Market_Data[[#This Row],[Avg Price per (₹ / m³)]]=""),"",Market_Data[[#This Row],[Estimated Concrete Demand (m³)]]*Market_Data[[#This Row],[Avg Price per (₹ / m³)]]/10000000)</f>
        <v>14.238</v>
      </c>
      <c r="O2858" s="97" t="str">
        <f>IF(Market_Data[[#This Row],[Estimated Concrete Demand (m³)]]="","",
IF(Market_Data[[#This Row],[Estimated Concrete Demand (m³)]]&lt;10000,"Small",
IF(Market_Data[[#This Row],[Estimated Concrete Demand (m³)]]&lt;25000,"Medium",
IF(Market_Data[[#This Row],[Estimated Concrete Demand (m³)]]&lt;100000,"Large","Mega"))))</f>
        <v>Large</v>
      </c>
      <c r="P2858" s="287" t="str">
        <f t="shared" si="46"/>
        <v>GujRERA</v>
      </c>
    </row>
    <row r="2859" spans="1:16">
      <c r="A2859" s="129" t="str">
        <f>_xlfn.XLOOKUP(B2859,$S$9:$S$14,$T$9:$T$14)&amp;"-"&amp;
IF(E2859="Residential/Group Housing","RES",
IF(E2859="Commercial","COM",
IF(E2859="Mixed Development","MIX",
IF(E2859="Plotted Development","PLT","OTH"))))
&amp;"-"&amp;TEXT(COUNTIFS($B$9:B2859,B2859,$E$9:E2859,E2859),"0000")</f>
        <v>VAL-COM-0016</v>
      </c>
      <c r="B2859" s="322" t="s">
        <v>35</v>
      </c>
      <c r="C2859" s="322" t="s">
        <v>35</v>
      </c>
      <c r="D2859" s="323" t="s">
        <v>3048</v>
      </c>
      <c r="E2859" s="132" t="s">
        <v>23</v>
      </c>
      <c r="F2859" s="97" t="str">
        <f ca="1">IF(OR(Market_Data[[#This Row],[Start Date]]="",Market_Data[[#This Row],[Completion Date]]=""),"Needs Validation",IF(Market_Data[[#This Row],[Start Date]]&gt;TODAY(),"Planned",IF(Market_Data[[#This Row],[Completion Date]]&lt;TODAY(),"Completed","Ongoing")))</f>
        <v>Ongoing</v>
      </c>
      <c r="G2859" s="324">
        <v>43509</v>
      </c>
      <c r="H2859" s="324">
        <v>47679</v>
      </c>
      <c r="I2859" s="325">
        <v>10400</v>
      </c>
      <c r="J285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59" s="133">
        <f>_xlfn.XLOOKUP(Market_Data[[#This Row],[Project Type]],tbl_assumptions_market[Project Category (RERA)],tbl_assumptions_market[Concrete Intensity
(m³ / sq m BUA)],"",0)</f>
        <v>0.5</v>
      </c>
      <c r="L2859" s="134">
        <f>ROUND(Market_Data[[#This Row],[Estimated Built Up Area (sq m)]]*Market_Data[[#This Row],[Concrete Intensity
(m³ / sq m)]],0)</f>
        <v>5200</v>
      </c>
      <c r="M2859" s="135">
        <f>_xlfn.XLOOKUP(Market_Data[[#This Row],[District]],tbl_district_price[District],tbl_district_price[Standard Price
(INR/m³)],"",0)</f>
        <v>5600</v>
      </c>
      <c r="N2859" s="364">
        <f>IF(OR(Market_Data[[#This Row],[Estimated Concrete Demand (m³)]]="",Market_Data[[#This Row],[Avg Price per (₹ / m³)]]=""),"",Market_Data[[#This Row],[Estimated Concrete Demand (m³)]]*Market_Data[[#This Row],[Avg Price per (₹ / m³)]]/10000000)</f>
        <v>2.9119999999999999</v>
      </c>
      <c r="O2859" s="97" t="str">
        <f>IF(Market_Data[[#This Row],[Estimated Concrete Demand (m³)]]="","",
IF(Market_Data[[#This Row],[Estimated Concrete Demand (m³)]]&lt;10000,"Small",
IF(Market_Data[[#This Row],[Estimated Concrete Demand (m³)]]&lt;25000,"Medium",
IF(Market_Data[[#This Row],[Estimated Concrete Demand (m³)]]&lt;100000,"Large","Mega"))))</f>
        <v>Small</v>
      </c>
      <c r="P2859" s="287" t="str">
        <f t="shared" si="46"/>
        <v>GujRERA</v>
      </c>
    </row>
    <row r="2860" spans="1:16">
      <c r="A2860" s="129" t="str">
        <f>_xlfn.XLOOKUP(B2860,$S$9:$S$14,$T$9:$T$14)&amp;"-"&amp;
IF(E2860="Residential/Group Housing","RES",
IF(E2860="Commercial","COM",
IF(E2860="Mixed Development","MIX",
IF(E2860="Plotted Development","PLT","OTH"))))
&amp;"-"&amp;TEXT(COUNTIFS($B$9:B2860,B2860,$E$9:E2860,E2860),"0000")</f>
        <v>VAL-RES-0046</v>
      </c>
      <c r="B2860" s="322" t="s">
        <v>35</v>
      </c>
      <c r="C2860" s="322" t="s">
        <v>35</v>
      </c>
      <c r="D2860" s="323" t="s">
        <v>3049</v>
      </c>
      <c r="E2860" s="132" t="s">
        <v>24</v>
      </c>
      <c r="F2860" s="97" t="str">
        <f ca="1">IF(OR(Market_Data[[#This Row],[Start Date]]="",Market_Data[[#This Row],[Completion Date]]=""),"Needs Validation",IF(Market_Data[[#This Row],[Start Date]]&gt;TODAY(),"Planned",IF(Market_Data[[#This Row],[Completion Date]]&lt;TODAY(),"Completed","Ongoing")))</f>
        <v>Ongoing</v>
      </c>
      <c r="G2860" s="324">
        <v>45000</v>
      </c>
      <c r="H2860" s="324">
        <v>47118</v>
      </c>
      <c r="I2860" s="325">
        <v>26100</v>
      </c>
      <c r="J286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60" s="133">
        <f>_xlfn.XLOOKUP(Market_Data[[#This Row],[Project Type]],tbl_assumptions_market[Project Category (RERA)],tbl_assumptions_market[Concrete Intensity
(m³ / sq m BUA)],"",0)</f>
        <v>0.45</v>
      </c>
      <c r="L2860" s="134">
        <f>ROUND(Market_Data[[#This Row],[Estimated Built Up Area (sq m)]]*Market_Data[[#This Row],[Concrete Intensity
(m³ / sq m)]],0)</f>
        <v>11745</v>
      </c>
      <c r="M2860" s="135">
        <f>_xlfn.XLOOKUP(Market_Data[[#This Row],[District]],tbl_district_price[District],tbl_district_price[Standard Price
(INR/m³)],"",0)</f>
        <v>5600</v>
      </c>
      <c r="N2860" s="364">
        <f>IF(OR(Market_Data[[#This Row],[Estimated Concrete Demand (m³)]]="",Market_Data[[#This Row],[Avg Price per (₹ / m³)]]=""),"",Market_Data[[#This Row],[Estimated Concrete Demand (m³)]]*Market_Data[[#This Row],[Avg Price per (₹ / m³)]]/10000000)</f>
        <v>6.5772000000000004</v>
      </c>
      <c r="O2860" s="97" t="str">
        <f>IF(Market_Data[[#This Row],[Estimated Concrete Demand (m³)]]="","",
IF(Market_Data[[#This Row],[Estimated Concrete Demand (m³)]]&lt;10000,"Small",
IF(Market_Data[[#This Row],[Estimated Concrete Demand (m³)]]&lt;25000,"Medium",
IF(Market_Data[[#This Row],[Estimated Concrete Demand (m³)]]&lt;100000,"Large","Mega"))))</f>
        <v>Medium</v>
      </c>
      <c r="P2860" s="287" t="str">
        <f t="shared" si="46"/>
        <v>GujRERA</v>
      </c>
    </row>
    <row r="2861" spans="1:16">
      <c r="A2861" s="129" t="str">
        <f>_xlfn.XLOOKUP(B2861,$S$9:$S$14,$T$9:$T$14)&amp;"-"&amp;
IF(E2861="Residential/Group Housing","RES",
IF(E2861="Commercial","COM",
IF(E2861="Mixed Development","MIX",
IF(E2861="Plotted Development","PLT","OTH"))))
&amp;"-"&amp;TEXT(COUNTIFS($B$9:B2861,B2861,$E$9:E2861,E2861),"0000")</f>
        <v>VAL-RES-0047</v>
      </c>
      <c r="B2861" s="322" t="s">
        <v>35</v>
      </c>
      <c r="C2861" s="322" t="s">
        <v>35</v>
      </c>
      <c r="D2861" s="323" t="s">
        <v>3050</v>
      </c>
      <c r="E2861" s="132" t="s">
        <v>24</v>
      </c>
      <c r="F2861" s="97" t="str">
        <f ca="1">IF(OR(Market_Data[[#This Row],[Start Date]]="",Market_Data[[#This Row],[Completion Date]]=""),"Needs Validation",IF(Market_Data[[#This Row],[Start Date]]&gt;TODAY(),"Planned",IF(Market_Data[[#This Row],[Completion Date]]&lt;TODAY(),"Completed","Ongoing")))</f>
        <v>Completed</v>
      </c>
      <c r="G2861" s="324">
        <v>44461</v>
      </c>
      <c r="H2861" s="324">
        <v>45657</v>
      </c>
      <c r="I2861" s="325">
        <v>23900</v>
      </c>
      <c r="J286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61" s="133">
        <f>_xlfn.XLOOKUP(Market_Data[[#This Row],[Project Type]],tbl_assumptions_market[Project Category (RERA)],tbl_assumptions_market[Concrete Intensity
(m³ / sq m BUA)],"",0)</f>
        <v>0.45</v>
      </c>
      <c r="L2861" s="134">
        <f>ROUND(Market_Data[[#This Row],[Estimated Built Up Area (sq m)]]*Market_Data[[#This Row],[Concrete Intensity
(m³ / sq m)]],0)</f>
        <v>10755</v>
      </c>
      <c r="M2861" s="135">
        <f>_xlfn.XLOOKUP(Market_Data[[#This Row],[District]],tbl_district_price[District],tbl_district_price[Standard Price
(INR/m³)],"",0)</f>
        <v>5600</v>
      </c>
      <c r="N2861" s="364">
        <f>IF(OR(Market_Data[[#This Row],[Estimated Concrete Demand (m³)]]="",Market_Data[[#This Row],[Avg Price per (₹ / m³)]]=""),"",Market_Data[[#This Row],[Estimated Concrete Demand (m³)]]*Market_Data[[#This Row],[Avg Price per (₹ / m³)]]/10000000)</f>
        <v>6.0228000000000002</v>
      </c>
      <c r="O2861" s="97" t="str">
        <f>IF(Market_Data[[#This Row],[Estimated Concrete Demand (m³)]]="","",
IF(Market_Data[[#This Row],[Estimated Concrete Demand (m³)]]&lt;10000,"Small",
IF(Market_Data[[#This Row],[Estimated Concrete Demand (m³)]]&lt;25000,"Medium",
IF(Market_Data[[#This Row],[Estimated Concrete Demand (m³)]]&lt;100000,"Large","Mega"))))</f>
        <v>Medium</v>
      </c>
      <c r="P2861" s="287" t="str">
        <f t="shared" si="46"/>
        <v>GujRERA</v>
      </c>
    </row>
    <row r="2862" spans="1:16">
      <c r="A2862" s="129" t="str">
        <f>_xlfn.XLOOKUP(B2862,$S$9:$S$14,$T$9:$T$14)&amp;"-"&amp;
IF(E2862="Residential/Group Housing","RES",
IF(E2862="Commercial","COM",
IF(E2862="Mixed Development","MIX",
IF(E2862="Plotted Development","PLT","OTH"))))
&amp;"-"&amp;TEXT(COUNTIFS($B$9:B2862,B2862,$E$9:E2862,E2862),"0000")</f>
        <v>VAL-MIX-0072</v>
      </c>
      <c r="B2862" s="322" t="s">
        <v>35</v>
      </c>
      <c r="C2862" s="322" t="s">
        <v>35</v>
      </c>
      <c r="D2862" s="323" t="s">
        <v>3051</v>
      </c>
      <c r="E2862" s="132" t="s">
        <v>25</v>
      </c>
      <c r="F2862" s="97" t="str">
        <f ca="1">IF(OR(Market_Data[[#This Row],[Start Date]]="",Market_Data[[#This Row],[Completion Date]]=""),"Needs Validation",IF(Market_Data[[#This Row],[Start Date]]&gt;TODAY(),"Planned",IF(Market_Data[[#This Row],[Completion Date]]&lt;TODAY(),"Completed","Ongoing")))</f>
        <v>Completed</v>
      </c>
      <c r="G2862" s="324">
        <v>44200</v>
      </c>
      <c r="H2862" s="324">
        <v>46022</v>
      </c>
      <c r="I2862" s="325">
        <v>7700</v>
      </c>
      <c r="J286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862" s="133">
        <f>_xlfn.XLOOKUP(Market_Data[[#This Row],[Project Type]],tbl_assumptions_market[Project Category (RERA)],tbl_assumptions_market[Concrete Intensity
(m³ / sq m BUA)],"",0)</f>
        <v>0.42</v>
      </c>
      <c r="L2862" s="134">
        <f>ROUND(Market_Data[[#This Row],[Estimated Built Up Area (sq m)]]*Market_Data[[#This Row],[Concrete Intensity
(m³ / sq m)]],0)</f>
        <v>3234</v>
      </c>
      <c r="M2862" s="135">
        <f>_xlfn.XLOOKUP(Market_Data[[#This Row],[District]],tbl_district_price[District],tbl_district_price[Standard Price
(INR/m³)],"",0)</f>
        <v>5600</v>
      </c>
      <c r="N2862" s="364">
        <f>IF(OR(Market_Data[[#This Row],[Estimated Concrete Demand (m³)]]="",Market_Data[[#This Row],[Avg Price per (₹ / m³)]]=""),"",Market_Data[[#This Row],[Estimated Concrete Demand (m³)]]*Market_Data[[#This Row],[Avg Price per (₹ / m³)]]/10000000)</f>
        <v>1.81104</v>
      </c>
      <c r="O2862" s="97" t="str">
        <f>IF(Market_Data[[#This Row],[Estimated Concrete Demand (m³)]]="","",
IF(Market_Data[[#This Row],[Estimated Concrete Demand (m³)]]&lt;10000,"Small",
IF(Market_Data[[#This Row],[Estimated Concrete Demand (m³)]]&lt;25000,"Medium",
IF(Market_Data[[#This Row],[Estimated Concrete Demand (m³)]]&lt;100000,"Large","Mega"))))</f>
        <v>Small</v>
      </c>
      <c r="P2862" s="287" t="str">
        <f t="shared" si="46"/>
        <v>GujRERA</v>
      </c>
    </row>
    <row r="2863" spans="1:16">
      <c r="A2863" s="129" t="str">
        <f>_xlfn.XLOOKUP(B2863,$S$9:$S$14,$T$9:$T$14)&amp;"-"&amp;
IF(E2863="Residential/Group Housing","RES",
IF(E2863="Commercial","COM",
IF(E2863="Mixed Development","MIX",
IF(E2863="Plotted Development","PLT","OTH"))))
&amp;"-"&amp;TEXT(COUNTIFS($B$9:B2863,B2863,$E$9:E2863,E2863),"0000")</f>
        <v>VAL-MIX-0073</v>
      </c>
      <c r="B2863" s="322" t="s">
        <v>35</v>
      </c>
      <c r="C2863" s="322" t="s">
        <v>35</v>
      </c>
      <c r="D2863" s="323" t="s">
        <v>3052</v>
      </c>
      <c r="E2863" s="132" t="s">
        <v>25</v>
      </c>
      <c r="F2863" s="97" t="str">
        <f ca="1">IF(OR(Market_Data[[#This Row],[Start Date]]="",Market_Data[[#This Row],[Completion Date]]=""),"Needs Validation",IF(Market_Data[[#This Row],[Start Date]]&gt;TODAY(),"Planned",IF(Market_Data[[#This Row],[Completion Date]]&lt;TODAY(),"Completed","Ongoing")))</f>
        <v>Completed</v>
      </c>
      <c r="G2863" s="324">
        <v>43565</v>
      </c>
      <c r="H2863" s="324">
        <v>44742</v>
      </c>
      <c r="I2863" s="325">
        <v>46700</v>
      </c>
      <c r="J286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63" s="133">
        <f>_xlfn.XLOOKUP(Market_Data[[#This Row],[Project Type]],tbl_assumptions_market[Project Category (RERA)],tbl_assumptions_market[Concrete Intensity
(m³ / sq m BUA)],"",0)</f>
        <v>0.42</v>
      </c>
      <c r="L2863" s="134">
        <f>ROUND(Market_Data[[#This Row],[Estimated Built Up Area (sq m)]]*Market_Data[[#This Row],[Concrete Intensity
(m³ / sq m)]],0)</f>
        <v>19614</v>
      </c>
      <c r="M2863" s="135">
        <f>_xlfn.XLOOKUP(Market_Data[[#This Row],[District]],tbl_district_price[District],tbl_district_price[Standard Price
(INR/m³)],"",0)</f>
        <v>5600</v>
      </c>
      <c r="N2863" s="364">
        <f>IF(OR(Market_Data[[#This Row],[Estimated Concrete Demand (m³)]]="",Market_Data[[#This Row],[Avg Price per (₹ / m³)]]=""),"",Market_Data[[#This Row],[Estimated Concrete Demand (m³)]]*Market_Data[[#This Row],[Avg Price per (₹ / m³)]]/10000000)</f>
        <v>10.983840000000001</v>
      </c>
      <c r="O2863" s="97" t="str">
        <f>IF(Market_Data[[#This Row],[Estimated Concrete Demand (m³)]]="","",
IF(Market_Data[[#This Row],[Estimated Concrete Demand (m³)]]&lt;10000,"Small",
IF(Market_Data[[#This Row],[Estimated Concrete Demand (m³)]]&lt;25000,"Medium",
IF(Market_Data[[#This Row],[Estimated Concrete Demand (m³)]]&lt;100000,"Large","Mega"))))</f>
        <v>Medium</v>
      </c>
      <c r="P2863" s="287" t="str">
        <f t="shared" si="46"/>
        <v>GujRERA</v>
      </c>
    </row>
    <row r="2864" spans="1:16">
      <c r="A2864" s="129" t="str">
        <f>_xlfn.XLOOKUP(B2864,$S$9:$S$14,$T$9:$T$14)&amp;"-"&amp;
IF(E2864="Residential/Group Housing","RES",
IF(E2864="Commercial","COM",
IF(E2864="Mixed Development","MIX",
IF(E2864="Plotted Development","PLT","OTH"))))
&amp;"-"&amp;TEXT(COUNTIFS($B$9:B2864,B2864,$E$9:E2864,E2864),"0000")</f>
        <v>VAL-RES-0048</v>
      </c>
      <c r="B2864" s="322" t="s">
        <v>35</v>
      </c>
      <c r="C2864" s="322" t="s">
        <v>35</v>
      </c>
      <c r="D2864" s="323" t="s">
        <v>3053</v>
      </c>
      <c r="E2864" s="132" t="s">
        <v>24</v>
      </c>
      <c r="F2864" s="97" t="str">
        <f ca="1">IF(OR(Market_Data[[#This Row],[Start Date]]="",Market_Data[[#This Row],[Completion Date]]=""),"Needs Validation",IF(Market_Data[[#This Row],[Start Date]]&gt;TODAY(),"Planned",IF(Market_Data[[#This Row],[Completion Date]]&lt;TODAY(),"Completed","Ongoing")))</f>
        <v>Completed</v>
      </c>
      <c r="G2864" s="324">
        <v>43831</v>
      </c>
      <c r="H2864" s="324">
        <v>45107</v>
      </c>
      <c r="I2864" s="325">
        <v>47100</v>
      </c>
      <c r="J286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64" s="133">
        <f>_xlfn.XLOOKUP(Market_Data[[#This Row],[Project Type]],tbl_assumptions_market[Project Category (RERA)],tbl_assumptions_market[Concrete Intensity
(m³ / sq m BUA)],"",0)</f>
        <v>0.45</v>
      </c>
      <c r="L2864" s="134">
        <f>ROUND(Market_Data[[#This Row],[Estimated Built Up Area (sq m)]]*Market_Data[[#This Row],[Concrete Intensity
(m³ / sq m)]],0)</f>
        <v>21195</v>
      </c>
      <c r="M2864" s="135">
        <f>_xlfn.XLOOKUP(Market_Data[[#This Row],[District]],tbl_district_price[District],tbl_district_price[Standard Price
(INR/m³)],"",0)</f>
        <v>5600</v>
      </c>
      <c r="N2864" s="364">
        <f>IF(OR(Market_Data[[#This Row],[Estimated Concrete Demand (m³)]]="",Market_Data[[#This Row],[Avg Price per (₹ / m³)]]=""),"",Market_Data[[#This Row],[Estimated Concrete Demand (m³)]]*Market_Data[[#This Row],[Avg Price per (₹ / m³)]]/10000000)</f>
        <v>11.869199999999999</v>
      </c>
      <c r="O2864" s="97" t="str">
        <f>IF(Market_Data[[#This Row],[Estimated Concrete Demand (m³)]]="","",
IF(Market_Data[[#This Row],[Estimated Concrete Demand (m³)]]&lt;10000,"Small",
IF(Market_Data[[#This Row],[Estimated Concrete Demand (m³)]]&lt;25000,"Medium",
IF(Market_Data[[#This Row],[Estimated Concrete Demand (m³)]]&lt;100000,"Large","Mega"))))</f>
        <v>Medium</v>
      </c>
      <c r="P2864" s="287" t="str">
        <f t="shared" si="46"/>
        <v>GujRERA</v>
      </c>
    </row>
    <row r="2865" spans="1:16">
      <c r="A2865" s="129" t="str">
        <f>_xlfn.XLOOKUP(B2865,$S$9:$S$14,$T$9:$T$14)&amp;"-"&amp;
IF(E2865="Residential/Group Housing","RES",
IF(E2865="Commercial","COM",
IF(E2865="Mixed Development","MIX",
IF(E2865="Plotted Development","PLT","OTH"))))
&amp;"-"&amp;TEXT(COUNTIFS($B$9:B2865,B2865,$E$9:E2865,E2865),"0000")</f>
        <v>VAL-MIX-0074</v>
      </c>
      <c r="B2865" s="322" t="s">
        <v>35</v>
      </c>
      <c r="C2865" s="322" t="s">
        <v>35</v>
      </c>
      <c r="D2865" s="323" t="s">
        <v>3054</v>
      </c>
      <c r="E2865" s="132" t="s">
        <v>25</v>
      </c>
      <c r="F2865" s="97" t="str">
        <f ca="1">IF(OR(Market_Data[[#This Row],[Start Date]]="",Market_Data[[#This Row],[Completion Date]]=""),"Needs Validation",IF(Market_Data[[#This Row],[Start Date]]&gt;TODAY(),"Planned",IF(Market_Data[[#This Row],[Completion Date]]&lt;TODAY(),"Completed","Ongoing")))</f>
        <v>Completed</v>
      </c>
      <c r="G2865" s="324">
        <v>43588</v>
      </c>
      <c r="H2865" s="324">
        <v>45838</v>
      </c>
      <c r="I2865" s="325">
        <v>25600</v>
      </c>
      <c r="J286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65" s="133">
        <f>_xlfn.XLOOKUP(Market_Data[[#This Row],[Project Type]],tbl_assumptions_market[Project Category (RERA)],tbl_assumptions_market[Concrete Intensity
(m³ / sq m BUA)],"",0)</f>
        <v>0.42</v>
      </c>
      <c r="L2865" s="134">
        <f>ROUND(Market_Data[[#This Row],[Estimated Built Up Area (sq m)]]*Market_Data[[#This Row],[Concrete Intensity
(m³ / sq m)]],0)</f>
        <v>10752</v>
      </c>
      <c r="M2865" s="135">
        <f>_xlfn.XLOOKUP(Market_Data[[#This Row],[District]],tbl_district_price[District],tbl_district_price[Standard Price
(INR/m³)],"",0)</f>
        <v>5600</v>
      </c>
      <c r="N2865" s="364">
        <f>IF(OR(Market_Data[[#This Row],[Estimated Concrete Demand (m³)]]="",Market_Data[[#This Row],[Avg Price per (₹ / m³)]]=""),"",Market_Data[[#This Row],[Estimated Concrete Demand (m³)]]*Market_Data[[#This Row],[Avg Price per (₹ / m³)]]/10000000)</f>
        <v>6.0211199999999998</v>
      </c>
      <c r="O2865" s="97" t="str">
        <f>IF(Market_Data[[#This Row],[Estimated Concrete Demand (m³)]]="","",
IF(Market_Data[[#This Row],[Estimated Concrete Demand (m³)]]&lt;10000,"Small",
IF(Market_Data[[#This Row],[Estimated Concrete Demand (m³)]]&lt;25000,"Medium",
IF(Market_Data[[#This Row],[Estimated Concrete Demand (m³)]]&lt;100000,"Large","Mega"))))</f>
        <v>Medium</v>
      </c>
      <c r="P2865" s="287" t="str">
        <f t="shared" si="46"/>
        <v>GujRERA</v>
      </c>
    </row>
    <row r="2866" spans="1:16">
      <c r="A2866" s="129" t="str">
        <f>_xlfn.XLOOKUP(B2866,$S$9:$S$14,$T$9:$T$14)&amp;"-"&amp;
IF(E2866="Residential/Group Housing","RES",
IF(E2866="Commercial","COM",
IF(E2866="Mixed Development","MIX",
IF(E2866="Plotted Development","PLT","OTH"))))
&amp;"-"&amp;TEXT(COUNTIFS($B$9:B2866,B2866,$E$9:E2866,E2866),"0000")</f>
        <v>VAL-RES-0049</v>
      </c>
      <c r="B2866" s="322" t="s">
        <v>35</v>
      </c>
      <c r="C2866" s="322" t="s">
        <v>35</v>
      </c>
      <c r="D2866" s="323" t="s">
        <v>3055</v>
      </c>
      <c r="E2866" s="132" t="s">
        <v>24</v>
      </c>
      <c r="F2866" s="97" t="str">
        <f ca="1">IF(OR(Market_Data[[#This Row],[Start Date]]="",Market_Data[[#This Row],[Completion Date]]=""),"Needs Validation",IF(Market_Data[[#This Row],[Start Date]]&gt;TODAY(),"Planned",IF(Market_Data[[#This Row],[Completion Date]]&lt;TODAY(),"Completed","Ongoing")))</f>
        <v>Completed</v>
      </c>
      <c r="G2866" s="324">
        <v>43678</v>
      </c>
      <c r="H2866" s="324">
        <v>45107</v>
      </c>
      <c r="I2866" s="325">
        <v>53800</v>
      </c>
      <c r="J286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66" s="133">
        <f>_xlfn.XLOOKUP(Market_Data[[#This Row],[Project Type]],tbl_assumptions_market[Project Category (RERA)],tbl_assumptions_market[Concrete Intensity
(m³ / sq m BUA)],"",0)</f>
        <v>0.45</v>
      </c>
      <c r="L2866" s="134">
        <f>ROUND(Market_Data[[#This Row],[Estimated Built Up Area (sq m)]]*Market_Data[[#This Row],[Concrete Intensity
(m³ / sq m)]],0)</f>
        <v>24210</v>
      </c>
      <c r="M2866" s="135">
        <f>_xlfn.XLOOKUP(Market_Data[[#This Row],[District]],tbl_district_price[District],tbl_district_price[Standard Price
(INR/m³)],"",0)</f>
        <v>5600</v>
      </c>
      <c r="N2866" s="364">
        <f>IF(OR(Market_Data[[#This Row],[Estimated Concrete Demand (m³)]]="",Market_Data[[#This Row],[Avg Price per (₹ / m³)]]=""),"",Market_Data[[#This Row],[Estimated Concrete Demand (m³)]]*Market_Data[[#This Row],[Avg Price per (₹ / m³)]]/10000000)</f>
        <v>13.557600000000001</v>
      </c>
      <c r="O2866" s="97" t="str">
        <f>IF(Market_Data[[#This Row],[Estimated Concrete Demand (m³)]]="","",
IF(Market_Data[[#This Row],[Estimated Concrete Demand (m³)]]&lt;10000,"Small",
IF(Market_Data[[#This Row],[Estimated Concrete Demand (m³)]]&lt;25000,"Medium",
IF(Market_Data[[#This Row],[Estimated Concrete Demand (m³)]]&lt;100000,"Large","Mega"))))</f>
        <v>Medium</v>
      </c>
      <c r="P2866" s="287" t="str">
        <f t="shared" si="46"/>
        <v>GujRERA</v>
      </c>
    </row>
    <row r="2867" spans="1:16">
      <c r="A2867" s="129" t="str">
        <f>_xlfn.XLOOKUP(B2867,$S$9:$S$14,$T$9:$T$14)&amp;"-"&amp;
IF(E2867="Residential/Group Housing","RES",
IF(E2867="Commercial","COM",
IF(E2867="Mixed Development","MIX",
IF(E2867="Plotted Development","PLT","OTH"))))
&amp;"-"&amp;TEXT(COUNTIFS($B$9:B2867,B2867,$E$9:E2867,E2867),"0000")</f>
        <v>VAL-RES-0050</v>
      </c>
      <c r="B2867" s="322" t="s">
        <v>35</v>
      </c>
      <c r="C2867" s="322" t="s">
        <v>35</v>
      </c>
      <c r="D2867" s="323" t="s">
        <v>3056</v>
      </c>
      <c r="E2867" s="132" t="s">
        <v>24</v>
      </c>
      <c r="F2867" s="97" t="str">
        <f ca="1">IF(OR(Market_Data[[#This Row],[Start Date]]="",Market_Data[[#This Row],[Completion Date]]=""),"Needs Validation",IF(Market_Data[[#This Row],[Start Date]]&gt;TODAY(),"Planned",IF(Market_Data[[#This Row],[Completion Date]]&lt;TODAY(),"Completed","Ongoing")))</f>
        <v>Ongoing</v>
      </c>
      <c r="G2867" s="324">
        <v>44497</v>
      </c>
      <c r="H2867" s="324">
        <v>46599</v>
      </c>
      <c r="I2867" s="325">
        <v>17400</v>
      </c>
      <c r="J286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67" s="133">
        <f>_xlfn.XLOOKUP(Market_Data[[#This Row],[Project Type]],tbl_assumptions_market[Project Category (RERA)],tbl_assumptions_market[Concrete Intensity
(m³ / sq m BUA)],"",0)</f>
        <v>0.45</v>
      </c>
      <c r="L2867" s="134">
        <f>ROUND(Market_Data[[#This Row],[Estimated Built Up Area (sq m)]]*Market_Data[[#This Row],[Concrete Intensity
(m³ / sq m)]],0)</f>
        <v>7830</v>
      </c>
      <c r="M2867" s="135">
        <f>_xlfn.XLOOKUP(Market_Data[[#This Row],[District]],tbl_district_price[District],tbl_district_price[Standard Price
(INR/m³)],"",0)</f>
        <v>5600</v>
      </c>
      <c r="N2867" s="364">
        <f>IF(OR(Market_Data[[#This Row],[Estimated Concrete Demand (m³)]]="",Market_Data[[#This Row],[Avg Price per (₹ / m³)]]=""),"",Market_Data[[#This Row],[Estimated Concrete Demand (m³)]]*Market_Data[[#This Row],[Avg Price per (₹ / m³)]]/10000000)</f>
        <v>4.3848000000000003</v>
      </c>
      <c r="O2867" s="97" t="str">
        <f>IF(Market_Data[[#This Row],[Estimated Concrete Demand (m³)]]="","",
IF(Market_Data[[#This Row],[Estimated Concrete Demand (m³)]]&lt;10000,"Small",
IF(Market_Data[[#This Row],[Estimated Concrete Demand (m³)]]&lt;25000,"Medium",
IF(Market_Data[[#This Row],[Estimated Concrete Demand (m³)]]&lt;100000,"Large","Mega"))))</f>
        <v>Small</v>
      </c>
      <c r="P2867" s="287" t="str">
        <f t="shared" si="46"/>
        <v>GujRERA</v>
      </c>
    </row>
    <row r="2868" spans="1:16">
      <c r="A2868" s="129" t="str">
        <f>_xlfn.XLOOKUP(B2868,$S$9:$S$14,$T$9:$T$14)&amp;"-"&amp;
IF(E2868="Residential/Group Housing","RES",
IF(E2868="Commercial","COM",
IF(E2868="Mixed Development","MIX",
IF(E2868="Plotted Development","PLT","OTH"))))
&amp;"-"&amp;TEXT(COUNTIFS($B$9:B2868,B2868,$E$9:E2868,E2868),"0000")</f>
        <v>VAL-RES-0051</v>
      </c>
      <c r="B2868" s="322" t="s">
        <v>35</v>
      </c>
      <c r="C2868" s="322" t="s">
        <v>35</v>
      </c>
      <c r="D2868" s="323" t="s">
        <v>3057</v>
      </c>
      <c r="E2868" s="132" t="s">
        <v>24</v>
      </c>
      <c r="F2868" s="97" t="str">
        <f ca="1">IF(OR(Market_Data[[#This Row],[Start Date]]="",Market_Data[[#This Row],[Completion Date]]=""),"Needs Validation",IF(Market_Data[[#This Row],[Start Date]]&gt;TODAY(),"Planned",IF(Market_Data[[#This Row],[Completion Date]]&lt;TODAY(),"Completed","Ongoing")))</f>
        <v>Ongoing</v>
      </c>
      <c r="G2868" s="324">
        <v>44942</v>
      </c>
      <c r="H2868" s="324">
        <v>47483</v>
      </c>
      <c r="I2868" s="325">
        <v>36700</v>
      </c>
      <c r="J286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68" s="133">
        <f>_xlfn.XLOOKUP(Market_Data[[#This Row],[Project Type]],tbl_assumptions_market[Project Category (RERA)],tbl_assumptions_market[Concrete Intensity
(m³ / sq m BUA)],"",0)</f>
        <v>0.45</v>
      </c>
      <c r="L2868" s="134">
        <f>ROUND(Market_Data[[#This Row],[Estimated Built Up Area (sq m)]]*Market_Data[[#This Row],[Concrete Intensity
(m³ / sq m)]],0)</f>
        <v>16515</v>
      </c>
      <c r="M2868" s="135">
        <f>_xlfn.XLOOKUP(Market_Data[[#This Row],[District]],tbl_district_price[District],tbl_district_price[Standard Price
(INR/m³)],"",0)</f>
        <v>5600</v>
      </c>
      <c r="N2868" s="364">
        <f>IF(OR(Market_Data[[#This Row],[Estimated Concrete Demand (m³)]]="",Market_Data[[#This Row],[Avg Price per (₹ / m³)]]=""),"",Market_Data[[#This Row],[Estimated Concrete Demand (m³)]]*Market_Data[[#This Row],[Avg Price per (₹ / m³)]]/10000000)</f>
        <v>9.2484000000000002</v>
      </c>
      <c r="O2868" s="97" t="str">
        <f>IF(Market_Data[[#This Row],[Estimated Concrete Demand (m³)]]="","",
IF(Market_Data[[#This Row],[Estimated Concrete Demand (m³)]]&lt;10000,"Small",
IF(Market_Data[[#This Row],[Estimated Concrete Demand (m³)]]&lt;25000,"Medium",
IF(Market_Data[[#This Row],[Estimated Concrete Demand (m³)]]&lt;100000,"Large","Mega"))))</f>
        <v>Medium</v>
      </c>
      <c r="P2868" s="287" t="str">
        <f t="shared" si="46"/>
        <v>GujRERA</v>
      </c>
    </row>
    <row r="2869" spans="1:16">
      <c r="A2869" s="129" t="str">
        <f>_xlfn.XLOOKUP(B2869,$S$9:$S$14,$T$9:$T$14)&amp;"-"&amp;
IF(E2869="Residential/Group Housing","RES",
IF(E2869="Commercial","COM",
IF(E2869="Mixed Development","MIX",
IF(E2869="Plotted Development","PLT","OTH"))))
&amp;"-"&amp;TEXT(COUNTIFS($B$9:B2869,B2869,$E$9:E2869,E2869),"0000")</f>
        <v>VAL-RES-0052</v>
      </c>
      <c r="B2869" s="322" t="s">
        <v>35</v>
      </c>
      <c r="C2869" s="322" t="s">
        <v>35</v>
      </c>
      <c r="D2869" s="323" t="s">
        <v>3058</v>
      </c>
      <c r="E2869" s="132" t="s">
        <v>24</v>
      </c>
      <c r="F2869" s="97" t="str">
        <f ca="1">IF(OR(Market_Data[[#This Row],[Start Date]]="",Market_Data[[#This Row],[Completion Date]]=""),"Needs Validation",IF(Market_Data[[#This Row],[Start Date]]&gt;TODAY(),"Planned",IF(Market_Data[[#This Row],[Completion Date]]&lt;TODAY(),"Completed","Ongoing")))</f>
        <v>Completed</v>
      </c>
      <c r="G2869" s="324">
        <v>44095</v>
      </c>
      <c r="H2869" s="324">
        <v>45747</v>
      </c>
      <c r="I2869" s="325">
        <v>3600</v>
      </c>
      <c r="J286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69" s="133">
        <f>_xlfn.XLOOKUP(Market_Data[[#This Row],[Project Type]],tbl_assumptions_market[Project Category (RERA)],tbl_assumptions_market[Concrete Intensity
(m³ / sq m BUA)],"",0)</f>
        <v>0.45</v>
      </c>
      <c r="L2869" s="134">
        <f>ROUND(Market_Data[[#This Row],[Estimated Built Up Area (sq m)]]*Market_Data[[#This Row],[Concrete Intensity
(m³ / sq m)]],0)</f>
        <v>1620</v>
      </c>
      <c r="M2869" s="135">
        <f>_xlfn.XLOOKUP(Market_Data[[#This Row],[District]],tbl_district_price[District],tbl_district_price[Standard Price
(INR/m³)],"",0)</f>
        <v>5600</v>
      </c>
      <c r="N2869" s="364">
        <f>IF(OR(Market_Data[[#This Row],[Estimated Concrete Demand (m³)]]="",Market_Data[[#This Row],[Avg Price per (₹ / m³)]]=""),"",Market_Data[[#This Row],[Estimated Concrete Demand (m³)]]*Market_Data[[#This Row],[Avg Price per (₹ / m³)]]/10000000)</f>
        <v>0.90720000000000001</v>
      </c>
      <c r="O2869" s="97" t="str">
        <f>IF(Market_Data[[#This Row],[Estimated Concrete Demand (m³)]]="","",
IF(Market_Data[[#This Row],[Estimated Concrete Demand (m³)]]&lt;10000,"Small",
IF(Market_Data[[#This Row],[Estimated Concrete Demand (m³)]]&lt;25000,"Medium",
IF(Market_Data[[#This Row],[Estimated Concrete Demand (m³)]]&lt;100000,"Large","Mega"))))</f>
        <v>Small</v>
      </c>
      <c r="P2869" s="287" t="str">
        <f t="shared" si="46"/>
        <v>GujRERA</v>
      </c>
    </row>
    <row r="2870" spans="1:16">
      <c r="A2870" s="129" t="str">
        <f>_xlfn.XLOOKUP(B2870,$S$9:$S$14,$T$9:$T$14)&amp;"-"&amp;
IF(E2870="Residential/Group Housing","RES",
IF(E2870="Commercial","COM",
IF(E2870="Mixed Development","MIX",
IF(E2870="Plotted Development","PLT","OTH"))))
&amp;"-"&amp;TEXT(COUNTIFS($B$9:B2870,B2870,$E$9:E2870,E2870),"0000")</f>
        <v>VAL-MIX-0075</v>
      </c>
      <c r="B2870" s="322" t="s">
        <v>35</v>
      </c>
      <c r="C2870" s="322" t="s">
        <v>35</v>
      </c>
      <c r="D2870" s="323" t="s">
        <v>3059</v>
      </c>
      <c r="E2870" s="132" t="s">
        <v>25</v>
      </c>
      <c r="F2870" s="97" t="str">
        <f ca="1">IF(OR(Market_Data[[#This Row],[Start Date]]="",Market_Data[[#This Row],[Completion Date]]=""),"Needs Validation",IF(Market_Data[[#This Row],[Start Date]]&gt;TODAY(),"Planned",IF(Market_Data[[#This Row],[Completion Date]]&lt;TODAY(),"Completed","Ongoing")))</f>
        <v>Ongoing</v>
      </c>
      <c r="G2870" s="324">
        <v>45168</v>
      </c>
      <c r="H2870" s="324">
        <v>47118</v>
      </c>
      <c r="I2870" s="325">
        <v>4300</v>
      </c>
      <c r="J287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870" s="133">
        <f>_xlfn.XLOOKUP(Market_Data[[#This Row],[Project Type]],tbl_assumptions_market[Project Category (RERA)],tbl_assumptions_market[Concrete Intensity
(m³ / sq m BUA)],"",0)</f>
        <v>0.42</v>
      </c>
      <c r="L2870" s="134">
        <f>ROUND(Market_Data[[#This Row],[Estimated Built Up Area (sq m)]]*Market_Data[[#This Row],[Concrete Intensity
(m³ / sq m)]],0)</f>
        <v>1806</v>
      </c>
      <c r="M2870" s="135">
        <f>_xlfn.XLOOKUP(Market_Data[[#This Row],[District]],tbl_district_price[District],tbl_district_price[Standard Price
(INR/m³)],"",0)</f>
        <v>5600</v>
      </c>
      <c r="N2870" s="364">
        <f>IF(OR(Market_Data[[#This Row],[Estimated Concrete Demand (m³)]]="",Market_Data[[#This Row],[Avg Price per (₹ / m³)]]=""),"",Market_Data[[#This Row],[Estimated Concrete Demand (m³)]]*Market_Data[[#This Row],[Avg Price per (₹ / m³)]]/10000000)</f>
        <v>1.01136</v>
      </c>
      <c r="O2870" s="97" t="str">
        <f>IF(Market_Data[[#This Row],[Estimated Concrete Demand (m³)]]="","",
IF(Market_Data[[#This Row],[Estimated Concrete Demand (m³)]]&lt;10000,"Small",
IF(Market_Data[[#This Row],[Estimated Concrete Demand (m³)]]&lt;25000,"Medium",
IF(Market_Data[[#This Row],[Estimated Concrete Demand (m³)]]&lt;100000,"Large","Mega"))))</f>
        <v>Small</v>
      </c>
      <c r="P2870" s="287" t="str">
        <f t="shared" si="46"/>
        <v>GujRERA</v>
      </c>
    </row>
    <row r="2871" spans="1:16">
      <c r="A2871" s="129" t="str">
        <f>_xlfn.XLOOKUP(B2871,$S$9:$S$14,$T$9:$T$14)&amp;"-"&amp;
IF(E2871="Residential/Group Housing","RES",
IF(E2871="Commercial","COM",
IF(E2871="Mixed Development","MIX",
IF(E2871="Plotted Development","PLT","OTH"))))
&amp;"-"&amp;TEXT(COUNTIFS($B$9:B2871,B2871,$E$9:E2871,E2871),"0000")</f>
        <v>VAL-MIX-0076</v>
      </c>
      <c r="B2871" s="322" t="s">
        <v>35</v>
      </c>
      <c r="C2871" s="322" t="s">
        <v>35</v>
      </c>
      <c r="D2871" s="323" t="s">
        <v>3060</v>
      </c>
      <c r="E2871" s="132" t="s">
        <v>25</v>
      </c>
      <c r="F2871" s="97" t="str">
        <f ca="1">IF(OR(Market_Data[[#This Row],[Start Date]]="",Market_Data[[#This Row],[Completion Date]]=""),"Needs Validation",IF(Market_Data[[#This Row],[Start Date]]&gt;TODAY(),"Planned",IF(Market_Data[[#This Row],[Completion Date]]&lt;TODAY(),"Completed","Ongoing")))</f>
        <v>Completed</v>
      </c>
      <c r="G2871" s="324">
        <v>43248</v>
      </c>
      <c r="H2871" s="324">
        <v>45107</v>
      </c>
      <c r="I2871" s="325">
        <v>47200</v>
      </c>
      <c r="J287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71" s="133">
        <f>_xlfn.XLOOKUP(Market_Data[[#This Row],[Project Type]],tbl_assumptions_market[Project Category (RERA)],tbl_assumptions_market[Concrete Intensity
(m³ / sq m BUA)],"",0)</f>
        <v>0.42</v>
      </c>
      <c r="L2871" s="134">
        <f>ROUND(Market_Data[[#This Row],[Estimated Built Up Area (sq m)]]*Market_Data[[#This Row],[Concrete Intensity
(m³ / sq m)]],0)</f>
        <v>19824</v>
      </c>
      <c r="M2871" s="135">
        <f>_xlfn.XLOOKUP(Market_Data[[#This Row],[District]],tbl_district_price[District],tbl_district_price[Standard Price
(INR/m³)],"",0)</f>
        <v>5600</v>
      </c>
      <c r="N2871" s="364">
        <f>IF(OR(Market_Data[[#This Row],[Estimated Concrete Demand (m³)]]="",Market_Data[[#This Row],[Avg Price per (₹ / m³)]]=""),"",Market_Data[[#This Row],[Estimated Concrete Demand (m³)]]*Market_Data[[#This Row],[Avg Price per (₹ / m³)]]/10000000)</f>
        <v>11.10144</v>
      </c>
      <c r="O2871" s="97" t="str">
        <f>IF(Market_Data[[#This Row],[Estimated Concrete Demand (m³)]]="","",
IF(Market_Data[[#This Row],[Estimated Concrete Demand (m³)]]&lt;10000,"Small",
IF(Market_Data[[#This Row],[Estimated Concrete Demand (m³)]]&lt;25000,"Medium",
IF(Market_Data[[#This Row],[Estimated Concrete Demand (m³)]]&lt;100000,"Large","Mega"))))</f>
        <v>Medium</v>
      </c>
      <c r="P2871" s="287" t="str">
        <f t="shared" si="46"/>
        <v>GujRERA</v>
      </c>
    </row>
    <row r="2872" spans="1:16">
      <c r="A2872" s="129" t="str">
        <f>_xlfn.XLOOKUP(B2872,$S$9:$S$14,$T$9:$T$14)&amp;"-"&amp;
IF(E2872="Residential/Group Housing","RES",
IF(E2872="Commercial","COM",
IF(E2872="Mixed Development","MIX",
IF(E2872="Plotted Development","PLT","OTH"))))
&amp;"-"&amp;TEXT(COUNTIFS($B$9:B2872,B2872,$E$9:E2872,E2872),"0000")</f>
        <v>VAL-COM-0017</v>
      </c>
      <c r="B2872" s="322" t="s">
        <v>35</v>
      </c>
      <c r="C2872" s="322" t="s">
        <v>35</v>
      </c>
      <c r="D2872" s="323" t="s">
        <v>3061</v>
      </c>
      <c r="E2872" s="132" t="s">
        <v>23</v>
      </c>
      <c r="F2872" s="97" t="str">
        <f ca="1">IF(OR(Market_Data[[#This Row],[Start Date]]="",Market_Data[[#This Row],[Completion Date]]=""),"Needs Validation",IF(Market_Data[[#This Row],[Start Date]]&gt;TODAY(),"Planned",IF(Market_Data[[#This Row],[Completion Date]]&lt;TODAY(),"Completed","Ongoing")))</f>
        <v>Ongoing</v>
      </c>
      <c r="G2872" s="324">
        <v>44930</v>
      </c>
      <c r="H2872" s="324">
        <v>46934</v>
      </c>
      <c r="I2872" s="325">
        <v>4500</v>
      </c>
      <c r="J287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72" s="133">
        <f>_xlfn.XLOOKUP(Market_Data[[#This Row],[Project Type]],tbl_assumptions_market[Project Category (RERA)],tbl_assumptions_market[Concrete Intensity
(m³ / sq m BUA)],"",0)</f>
        <v>0.5</v>
      </c>
      <c r="L2872" s="134">
        <f>ROUND(Market_Data[[#This Row],[Estimated Built Up Area (sq m)]]*Market_Data[[#This Row],[Concrete Intensity
(m³ / sq m)]],0)</f>
        <v>2250</v>
      </c>
      <c r="M2872" s="135">
        <f>_xlfn.XLOOKUP(Market_Data[[#This Row],[District]],tbl_district_price[District],tbl_district_price[Standard Price
(INR/m³)],"",0)</f>
        <v>5600</v>
      </c>
      <c r="N2872" s="364">
        <f>IF(OR(Market_Data[[#This Row],[Estimated Concrete Demand (m³)]]="",Market_Data[[#This Row],[Avg Price per (₹ / m³)]]=""),"",Market_Data[[#This Row],[Estimated Concrete Demand (m³)]]*Market_Data[[#This Row],[Avg Price per (₹ / m³)]]/10000000)</f>
        <v>1.26</v>
      </c>
      <c r="O2872" s="97" t="str">
        <f>IF(Market_Data[[#This Row],[Estimated Concrete Demand (m³)]]="","",
IF(Market_Data[[#This Row],[Estimated Concrete Demand (m³)]]&lt;10000,"Small",
IF(Market_Data[[#This Row],[Estimated Concrete Demand (m³)]]&lt;25000,"Medium",
IF(Market_Data[[#This Row],[Estimated Concrete Demand (m³)]]&lt;100000,"Large","Mega"))))</f>
        <v>Small</v>
      </c>
      <c r="P2872" s="287" t="str">
        <f t="shared" si="46"/>
        <v>GujRERA</v>
      </c>
    </row>
    <row r="2873" spans="1:16">
      <c r="A2873" s="129" t="str">
        <f>_xlfn.XLOOKUP(B2873,$S$9:$S$14,$T$9:$T$14)&amp;"-"&amp;
IF(E2873="Residential/Group Housing","RES",
IF(E2873="Commercial","COM",
IF(E2873="Mixed Development","MIX",
IF(E2873="Plotted Development","PLT","OTH"))))
&amp;"-"&amp;TEXT(COUNTIFS($B$9:B2873,B2873,$E$9:E2873,E2873),"0000")</f>
        <v>VAL-COM-0018</v>
      </c>
      <c r="B2873" s="322" t="s">
        <v>35</v>
      </c>
      <c r="C2873" s="322" t="s">
        <v>35</v>
      </c>
      <c r="D2873" s="323" t="s">
        <v>3062</v>
      </c>
      <c r="E2873" s="132" t="s">
        <v>23</v>
      </c>
      <c r="F2873" s="97" t="str">
        <f ca="1">IF(OR(Market_Data[[#This Row],[Start Date]]="",Market_Data[[#This Row],[Completion Date]]=""),"Needs Validation",IF(Market_Data[[#This Row],[Start Date]]&gt;TODAY(),"Planned",IF(Market_Data[[#This Row],[Completion Date]]&lt;TODAY(),"Completed","Ongoing")))</f>
        <v>Completed</v>
      </c>
      <c r="G2873" s="324">
        <v>43647</v>
      </c>
      <c r="H2873" s="324">
        <v>45291</v>
      </c>
      <c r="I2873" s="325">
        <v>42600</v>
      </c>
      <c r="J287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873" s="133">
        <f>_xlfn.XLOOKUP(Market_Data[[#This Row],[Project Type]],tbl_assumptions_market[Project Category (RERA)],tbl_assumptions_market[Concrete Intensity
(m³ / sq m BUA)],"",0)</f>
        <v>0.5</v>
      </c>
      <c r="L2873" s="134">
        <f>ROUND(Market_Data[[#This Row],[Estimated Built Up Area (sq m)]]*Market_Data[[#This Row],[Concrete Intensity
(m³ / sq m)]],0)</f>
        <v>21300</v>
      </c>
      <c r="M2873" s="135">
        <f>_xlfn.XLOOKUP(Market_Data[[#This Row],[District]],tbl_district_price[District],tbl_district_price[Standard Price
(INR/m³)],"",0)</f>
        <v>5600</v>
      </c>
      <c r="N2873" s="364">
        <f>IF(OR(Market_Data[[#This Row],[Estimated Concrete Demand (m³)]]="",Market_Data[[#This Row],[Avg Price per (₹ / m³)]]=""),"",Market_Data[[#This Row],[Estimated Concrete Demand (m³)]]*Market_Data[[#This Row],[Avg Price per (₹ / m³)]]/10000000)</f>
        <v>11.928000000000001</v>
      </c>
      <c r="O2873" s="97" t="str">
        <f>IF(Market_Data[[#This Row],[Estimated Concrete Demand (m³)]]="","",
IF(Market_Data[[#This Row],[Estimated Concrete Demand (m³)]]&lt;10000,"Small",
IF(Market_Data[[#This Row],[Estimated Concrete Demand (m³)]]&lt;25000,"Medium",
IF(Market_Data[[#This Row],[Estimated Concrete Demand (m³)]]&lt;100000,"Large","Mega"))))</f>
        <v>Medium</v>
      </c>
      <c r="P2873" s="287" t="str">
        <f t="shared" si="46"/>
        <v>GujRERA</v>
      </c>
    </row>
    <row r="2874" spans="1:16" ht="24">
      <c r="A2874" s="129" t="str">
        <f>_xlfn.XLOOKUP(B2874,$S$9:$S$14,$T$9:$T$14)&amp;"-"&amp;
IF(E2874="Residential/Group Housing","RES",
IF(E2874="Commercial","COM",
IF(E2874="Mixed Development","MIX",
IF(E2874="Plotted Development","PLT","OTH"))))
&amp;"-"&amp;TEXT(COUNTIFS($B$9:B2874,B2874,$E$9:E2874,E2874),"0000")</f>
        <v>VAL-RES-0053</v>
      </c>
      <c r="B2874" s="322" t="s">
        <v>35</v>
      </c>
      <c r="C2874" s="322" t="s">
        <v>35</v>
      </c>
      <c r="D2874" s="323" t="s">
        <v>3063</v>
      </c>
      <c r="E2874" s="132" t="s">
        <v>24</v>
      </c>
      <c r="F2874" s="97" t="str">
        <f ca="1">IF(OR(Market_Data[[#This Row],[Start Date]]="",Market_Data[[#This Row],[Completion Date]]=""),"Needs Validation",IF(Market_Data[[#This Row],[Start Date]]&gt;TODAY(),"Planned",IF(Market_Data[[#This Row],[Completion Date]]&lt;TODAY(),"Completed","Ongoing")))</f>
        <v>Completed</v>
      </c>
      <c r="G2874" s="324">
        <v>43084</v>
      </c>
      <c r="H2874" s="324">
        <v>45823</v>
      </c>
      <c r="I2874" s="325">
        <v>22000</v>
      </c>
      <c r="J287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74" s="133">
        <f>_xlfn.XLOOKUP(Market_Data[[#This Row],[Project Type]],tbl_assumptions_market[Project Category (RERA)],tbl_assumptions_market[Concrete Intensity
(m³ / sq m BUA)],"",0)</f>
        <v>0.45</v>
      </c>
      <c r="L2874" s="134">
        <f>ROUND(Market_Data[[#This Row],[Estimated Built Up Area (sq m)]]*Market_Data[[#This Row],[Concrete Intensity
(m³ / sq m)]],0)</f>
        <v>9900</v>
      </c>
      <c r="M2874" s="135">
        <f>_xlfn.XLOOKUP(Market_Data[[#This Row],[District]],tbl_district_price[District],tbl_district_price[Standard Price
(INR/m³)],"",0)</f>
        <v>5600</v>
      </c>
      <c r="N2874" s="364">
        <f>IF(OR(Market_Data[[#This Row],[Estimated Concrete Demand (m³)]]="",Market_Data[[#This Row],[Avg Price per (₹ / m³)]]=""),"",Market_Data[[#This Row],[Estimated Concrete Demand (m³)]]*Market_Data[[#This Row],[Avg Price per (₹ / m³)]]/10000000)</f>
        <v>5.5439999999999996</v>
      </c>
      <c r="O2874" s="97" t="str">
        <f>IF(Market_Data[[#This Row],[Estimated Concrete Demand (m³)]]="","",
IF(Market_Data[[#This Row],[Estimated Concrete Demand (m³)]]&lt;10000,"Small",
IF(Market_Data[[#This Row],[Estimated Concrete Demand (m³)]]&lt;25000,"Medium",
IF(Market_Data[[#This Row],[Estimated Concrete Demand (m³)]]&lt;100000,"Large","Mega"))))</f>
        <v>Small</v>
      </c>
      <c r="P2874" s="287" t="str">
        <f t="shared" si="46"/>
        <v>GujRERA</v>
      </c>
    </row>
    <row r="2875" spans="1:16">
      <c r="A2875" s="129" t="str">
        <f>_xlfn.XLOOKUP(B2875,$S$9:$S$14,$T$9:$T$14)&amp;"-"&amp;
IF(E2875="Residential/Group Housing","RES",
IF(E2875="Commercial","COM",
IF(E2875="Mixed Development","MIX",
IF(E2875="Plotted Development","PLT","OTH"))))
&amp;"-"&amp;TEXT(COUNTIFS($B$9:B2875,B2875,$E$9:E2875,E2875),"0000")</f>
        <v>VAL-RES-0054</v>
      </c>
      <c r="B2875" s="322" t="s">
        <v>35</v>
      </c>
      <c r="C2875" s="322" t="s">
        <v>35</v>
      </c>
      <c r="D2875" s="323" t="s">
        <v>3064</v>
      </c>
      <c r="E2875" s="132" t="s">
        <v>24</v>
      </c>
      <c r="F2875" s="97" t="str">
        <f ca="1">IF(OR(Market_Data[[#This Row],[Start Date]]="",Market_Data[[#This Row],[Completion Date]]=""),"Needs Validation",IF(Market_Data[[#This Row],[Start Date]]&gt;TODAY(),"Planned",IF(Market_Data[[#This Row],[Completion Date]]&lt;TODAY(),"Completed","Ongoing")))</f>
        <v>Completed</v>
      </c>
      <c r="G2875" s="324">
        <v>43205</v>
      </c>
      <c r="H2875" s="324">
        <v>45657</v>
      </c>
      <c r="I2875" s="325">
        <v>16300</v>
      </c>
      <c r="J287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75" s="133">
        <f>_xlfn.XLOOKUP(Market_Data[[#This Row],[Project Type]],tbl_assumptions_market[Project Category (RERA)],tbl_assumptions_market[Concrete Intensity
(m³ / sq m BUA)],"",0)</f>
        <v>0.45</v>
      </c>
      <c r="L2875" s="134">
        <f>ROUND(Market_Data[[#This Row],[Estimated Built Up Area (sq m)]]*Market_Data[[#This Row],[Concrete Intensity
(m³ / sq m)]],0)</f>
        <v>7335</v>
      </c>
      <c r="M2875" s="135">
        <f>_xlfn.XLOOKUP(Market_Data[[#This Row],[District]],tbl_district_price[District],tbl_district_price[Standard Price
(INR/m³)],"",0)</f>
        <v>5600</v>
      </c>
      <c r="N2875" s="364">
        <f>IF(OR(Market_Data[[#This Row],[Estimated Concrete Demand (m³)]]="",Market_Data[[#This Row],[Avg Price per (₹ / m³)]]=""),"",Market_Data[[#This Row],[Estimated Concrete Demand (m³)]]*Market_Data[[#This Row],[Avg Price per (₹ / m³)]]/10000000)</f>
        <v>4.1075999999999997</v>
      </c>
      <c r="O2875" s="97" t="str">
        <f>IF(Market_Data[[#This Row],[Estimated Concrete Demand (m³)]]="","",
IF(Market_Data[[#This Row],[Estimated Concrete Demand (m³)]]&lt;10000,"Small",
IF(Market_Data[[#This Row],[Estimated Concrete Demand (m³)]]&lt;25000,"Medium",
IF(Market_Data[[#This Row],[Estimated Concrete Demand (m³)]]&lt;100000,"Large","Mega"))))</f>
        <v>Small</v>
      </c>
      <c r="P2875" s="287" t="str">
        <f t="shared" si="46"/>
        <v>GujRERA</v>
      </c>
    </row>
    <row r="2876" spans="1:16">
      <c r="A2876" s="129" t="str">
        <f>_xlfn.XLOOKUP(B2876,$S$9:$S$14,$T$9:$T$14)&amp;"-"&amp;
IF(E2876="Residential/Group Housing","RES",
IF(E2876="Commercial","COM",
IF(E2876="Mixed Development","MIX",
IF(E2876="Plotted Development","PLT","OTH"))))
&amp;"-"&amp;TEXT(COUNTIFS($B$9:B2876,B2876,$E$9:E2876,E2876),"0000")</f>
        <v>VAL-RES-0055</v>
      </c>
      <c r="B2876" s="322" t="s">
        <v>35</v>
      </c>
      <c r="C2876" s="322" t="s">
        <v>35</v>
      </c>
      <c r="D2876" s="323" t="s">
        <v>3065</v>
      </c>
      <c r="E2876" s="132" t="s">
        <v>24</v>
      </c>
      <c r="F2876" s="97" t="str">
        <f ca="1">IF(OR(Market_Data[[#This Row],[Start Date]]="",Market_Data[[#This Row],[Completion Date]]=""),"Needs Validation",IF(Market_Data[[#This Row],[Start Date]]&gt;TODAY(),"Planned",IF(Market_Data[[#This Row],[Completion Date]]&lt;TODAY(),"Completed","Ongoing")))</f>
        <v>Ongoing</v>
      </c>
      <c r="G2876" s="324">
        <v>45383</v>
      </c>
      <c r="H2876" s="324">
        <v>47117</v>
      </c>
      <c r="I2876" s="325">
        <v>31500</v>
      </c>
      <c r="J287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76" s="133">
        <f>_xlfn.XLOOKUP(Market_Data[[#This Row],[Project Type]],tbl_assumptions_market[Project Category (RERA)],tbl_assumptions_market[Concrete Intensity
(m³ / sq m BUA)],"",0)</f>
        <v>0.45</v>
      </c>
      <c r="L2876" s="134">
        <f>ROUND(Market_Data[[#This Row],[Estimated Built Up Area (sq m)]]*Market_Data[[#This Row],[Concrete Intensity
(m³ / sq m)]],0)</f>
        <v>14175</v>
      </c>
      <c r="M2876" s="135">
        <f>_xlfn.XLOOKUP(Market_Data[[#This Row],[District]],tbl_district_price[District],tbl_district_price[Standard Price
(INR/m³)],"",0)</f>
        <v>5600</v>
      </c>
      <c r="N2876" s="364">
        <f>IF(OR(Market_Data[[#This Row],[Estimated Concrete Demand (m³)]]="",Market_Data[[#This Row],[Avg Price per (₹ / m³)]]=""),"",Market_Data[[#This Row],[Estimated Concrete Demand (m³)]]*Market_Data[[#This Row],[Avg Price per (₹ / m³)]]/10000000)</f>
        <v>7.9379999999999997</v>
      </c>
      <c r="O2876" s="97" t="str">
        <f>IF(Market_Data[[#This Row],[Estimated Concrete Demand (m³)]]="","",
IF(Market_Data[[#This Row],[Estimated Concrete Demand (m³)]]&lt;10000,"Small",
IF(Market_Data[[#This Row],[Estimated Concrete Demand (m³)]]&lt;25000,"Medium",
IF(Market_Data[[#This Row],[Estimated Concrete Demand (m³)]]&lt;100000,"Large","Mega"))))</f>
        <v>Medium</v>
      </c>
      <c r="P2876" s="287" t="str">
        <f t="shared" si="46"/>
        <v>GujRERA</v>
      </c>
    </row>
    <row r="2877" spans="1:16">
      <c r="A2877" s="129" t="str">
        <f>_xlfn.XLOOKUP(B2877,$S$9:$S$14,$T$9:$T$14)&amp;"-"&amp;
IF(E2877="Residential/Group Housing","RES",
IF(E2877="Commercial","COM",
IF(E2877="Mixed Development","MIX",
IF(E2877="Plotted Development","PLT","OTH"))))
&amp;"-"&amp;TEXT(COUNTIFS($B$9:B2877,B2877,$E$9:E2877,E2877),"0000")</f>
        <v>VAL-MIX-0077</v>
      </c>
      <c r="B2877" s="322" t="s">
        <v>35</v>
      </c>
      <c r="C2877" s="322" t="s">
        <v>35</v>
      </c>
      <c r="D2877" s="323" t="s">
        <v>3066</v>
      </c>
      <c r="E2877" s="132" t="s">
        <v>25</v>
      </c>
      <c r="F2877" s="97" t="str">
        <f ca="1">IF(OR(Market_Data[[#This Row],[Start Date]]="",Market_Data[[#This Row],[Completion Date]]=""),"Needs Validation",IF(Market_Data[[#This Row],[Start Date]]&gt;TODAY(),"Planned",IF(Market_Data[[#This Row],[Completion Date]]&lt;TODAY(),"Completed","Ongoing")))</f>
        <v>Ongoing</v>
      </c>
      <c r="G2877" s="324">
        <v>45637</v>
      </c>
      <c r="H2877" s="324">
        <v>47664</v>
      </c>
      <c r="I2877" s="325">
        <v>28500</v>
      </c>
      <c r="J287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77" s="133">
        <f>_xlfn.XLOOKUP(Market_Data[[#This Row],[Project Type]],tbl_assumptions_market[Project Category (RERA)],tbl_assumptions_market[Concrete Intensity
(m³ / sq m BUA)],"",0)</f>
        <v>0.42</v>
      </c>
      <c r="L2877" s="134">
        <f>ROUND(Market_Data[[#This Row],[Estimated Built Up Area (sq m)]]*Market_Data[[#This Row],[Concrete Intensity
(m³ / sq m)]],0)</f>
        <v>11970</v>
      </c>
      <c r="M2877" s="135">
        <f>_xlfn.XLOOKUP(Market_Data[[#This Row],[District]],tbl_district_price[District],tbl_district_price[Standard Price
(INR/m³)],"",0)</f>
        <v>5600</v>
      </c>
      <c r="N2877" s="364">
        <f>IF(OR(Market_Data[[#This Row],[Estimated Concrete Demand (m³)]]="",Market_Data[[#This Row],[Avg Price per (₹ / m³)]]=""),"",Market_Data[[#This Row],[Estimated Concrete Demand (m³)]]*Market_Data[[#This Row],[Avg Price per (₹ / m³)]]/10000000)</f>
        <v>6.7031999999999998</v>
      </c>
      <c r="O2877" s="97" t="str">
        <f>IF(Market_Data[[#This Row],[Estimated Concrete Demand (m³)]]="","",
IF(Market_Data[[#This Row],[Estimated Concrete Demand (m³)]]&lt;10000,"Small",
IF(Market_Data[[#This Row],[Estimated Concrete Demand (m³)]]&lt;25000,"Medium",
IF(Market_Data[[#This Row],[Estimated Concrete Demand (m³)]]&lt;100000,"Large","Mega"))))</f>
        <v>Medium</v>
      </c>
      <c r="P2877" s="287" t="str">
        <f t="shared" si="46"/>
        <v>GujRERA</v>
      </c>
    </row>
    <row r="2878" spans="1:16">
      <c r="A2878" s="129" t="str">
        <f>_xlfn.XLOOKUP(B2878,$S$9:$S$14,$T$9:$T$14)&amp;"-"&amp;
IF(E2878="Residential/Group Housing","RES",
IF(E2878="Commercial","COM",
IF(E2878="Mixed Development","MIX",
IF(E2878="Plotted Development","PLT","OTH"))))
&amp;"-"&amp;TEXT(COUNTIFS($B$9:B2878,B2878,$E$9:E2878,E2878),"0000")</f>
        <v>VAL-RES-0056</v>
      </c>
      <c r="B2878" s="322" t="s">
        <v>35</v>
      </c>
      <c r="C2878" s="322" t="s">
        <v>35</v>
      </c>
      <c r="D2878" s="323" t="s">
        <v>3067</v>
      </c>
      <c r="E2878" s="132" t="s">
        <v>24</v>
      </c>
      <c r="F2878" s="97" t="str">
        <f ca="1">IF(OR(Market_Data[[#This Row],[Start Date]]="",Market_Data[[#This Row],[Completion Date]]=""),"Needs Validation",IF(Market_Data[[#This Row],[Start Date]]&gt;TODAY(),"Planned",IF(Market_Data[[#This Row],[Completion Date]]&lt;TODAY(),"Completed","Ongoing")))</f>
        <v>Ongoing</v>
      </c>
      <c r="G2878" s="324">
        <v>44972</v>
      </c>
      <c r="H2878" s="324">
        <v>46660</v>
      </c>
      <c r="I2878" s="325">
        <v>35600</v>
      </c>
      <c r="J287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78" s="133">
        <f>_xlfn.XLOOKUP(Market_Data[[#This Row],[Project Type]],tbl_assumptions_market[Project Category (RERA)],tbl_assumptions_market[Concrete Intensity
(m³ / sq m BUA)],"",0)</f>
        <v>0.45</v>
      </c>
      <c r="L2878" s="134">
        <f>ROUND(Market_Data[[#This Row],[Estimated Built Up Area (sq m)]]*Market_Data[[#This Row],[Concrete Intensity
(m³ / sq m)]],0)</f>
        <v>16020</v>
      </c>
      <c r="M2878" s="135">
        <f>_xlfn.XLOOKUP(Market_Data[[#This Row],[District]],tbl_district_price[District],tbl_district_price[Standard Price
(INR/m³)],"",0)</f>
        <v>5600</v>
      </c>
      <c r="N2878" s="364">
        <f>IF(OR(Market_Data[[#This Row],[Estimated Concrete Demand (m³)]]="",Market_Data[[#This Row],[Avg Price per (₹ / m³)]]=""),"",Market_Data[[#This Row],[Estimated Concrete Demand (m³)]]*Market_Data[[#This Row],[Avg Price per (₹ / m³)]]/10000000)</f>
        <v>8.9711999999999996</v>
      </c>
      <c r="O2878" s="97" t="str">
        <f>IF(Market_Data[[#This Row],[Estimated Concrete Demand (m³)]]="","",
IF(Market_Data[[#This Row],[Estimated Concrete Demand (m³)]]&lt;10000,"Small",
IF(Market_Data[[#This Row],[Estimated Concrete Demand (m³)]]&lt;25000,"Medium",
IF(Market_Data[[#This Row],[Estimated Concrete Demand (m³)]]&lt;100000,"Large","Mega"))))</f>
        <v>Medium</v>
      </c>
      <c r="P2878" s="287" t="str">
        <f t="shared" si="46"/>
        <v>GujRERA</v>
      </c>
    </row>
    <row r="2879" spans="1:16">
      <c r="A2879" s="129" t="str">
        <f>_xlfn.XLOOKUP(B2879,$S$9:$S$14,$T$9:$T$14)&amp;"-"&amp;
IF(E2879="Residential/Group Housing","RES",
IF(E2879="Commercial","COM",
IF(E2879="Mixed Development","MIX",
IF(E2879="Plotted Development","PLT","OTH"))))
&amp;"-"&amp;TEXT(COUNTIFS($B$9:B2879,B2879,$E$9:E2879,E2879),"0000")</f>
        <v>VAL-RES-0057</v>
      </c>
      <c r="B2879" s="322" t="s">
        <v>35</v>
      </c>
      <c r="C2879" s="322" t="s">
        <v>35</v>
      </c>
      <c r="D2879" s="323" t="s">
        <v>3068</v>
      </c>
      <c r="E2879" s="132" t="s">
        <v>24</v>
      </c>
      <c r="F2879" s="97" t="str">
        <f ca="1">IF(OR(Market_Data[[#This Row],[Start Date]]="",Market_Data[[#This Row],[Completion Date]]=""),"Needs Validation",IF(Market_Data[[#This Row],[Start Date]]&gt;TODAY(),"Planned",IF(Market_Data[[#This Row],[Completion Date]]&lt;TODAY(),"Completed","Ongoing")))</f>
        <v>Completed</v>
      </c>
      <c r="G2879" s="324">
        <v>44621</v>
      </c>
      <c r="H2879" s="324">
        <v>45596</v>
      </c>
      <c r="I2879" s="325">
        <v>40300</v>
      </c>
      <c r="J287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79" s="133">
        <f>_xlfn.XLOOKUP(Market_Data[[#This Row],[Project Type]],tbl_assumptions_market[Project Category (RERA)],tbl_assumptions_market[Concrete Intensity
(m³ / sq m BUA)],"",0)</f>
        <v>0.45</v>
      </c>
      <c r="L2879" s="134">
        <f>ROUND(Market_Data[[#This Row],[Estimated Built Up Area (sq m)]]*Market_Data[[#This Row],[Concrete Intensity
(m³ / sq m)]],0)</f>
        <v>18135</v>
      </c>
      <c r="M2879" s="135">
        <f>_xlfn.XLOOKUP(Market_Data[[#This Row],[District]],tbl_district_price[District],tbl_district_price[Standard Price
(INR/m³)],"",0)</f>
        <v>5600</v>
      </c>
      <c r="N2879" s="364">
        <f>IF(OR(Market_Data[[#This Row],[Estimated Concrete Demand (m³)]]="",Market_Data[[#This Row],[Avg Price per (₹ / m³)]]=""),"",Market_Data[[#This Row],[Estimated Concrete Demand (m³)]]*Market_Data[[#This Row],[Avg Price per (₹ / m³)]]/10000000)</f>
        <v>10.1556</v>
      </c>
      <c r="O2879" s="97" t="str">
        <f>IF(Market_Data[[#This Row],[Estimated Concrete Demand (m³)]]="","",
IF(Market_Data[[#This Row],[Estimated Concrete Demand (m³)]]&lt;10000,"Small",
IF(Market_Data[[#This Row],[Estimated Concrete Demand (m³)]]&lt;25000,"Medium",
IF(Market_Data[[#This Row],[Estimated Concrete Demand (m³)]]&lt;100000,"Large","Mega"))))</f>
        <v>Medium</v>
      </c>
      <c r="P2879" s="287" t="str">
        <f t="shared" si="46"/>
        <v>GujRERA</v>
      </c>
    </row>
    <row r="2880" spans="1:16">
      <c r="A2880" s="129" t="str">
        <f>_xlfn.XLOOKUP(B2880,$S$9:$S$14,$T$9:$T$14)&amp;"-"&amp;
IF(E2880="Residential/Group Housing","RES",
IF(E2880="Commercial","COM",
IF(E2880="Mixed Development","MIX",
IF(E2880="Plotted Development","PLT","OTH"))))
&amp;"-"&amp;TEXT(COUNTIFS($B$9:B2880,B2880,$E$9:E2880,E2880),"0000")</f>
        <v>VAL-RES-0058</v>
      </c>
      <c r="B2880" s="322" t="s">
        <v>35</v>
      </c>
      <c r="C2880" s="322" t="s">
        <v>35</v>
      </c>
      <c r="D2880" s="323" t="s">
        <v>3069</v>
      </c>
      <c r="E2880" s="132" t="s">
        <v>24</v>
      </c>
      <c r="F2880" s="97" t="str">
        <f ca="1">IF(OR(Market_Data[[#This Row],[Start Date]]="",Market_Data[[#This Row],[Completion Date]]=""),"Needs Validation",IF(Market_Data[[#This Row],[Start Date]]&gt;TODAY(),"Planned",IF(Market_Data[[#This Row],[Completion Date]]&lt;TODAY(),"Completed","Ongoing")))</f>
        <v>Completed</v>
      </c>
      <c r="G2880" s="324">
        <v>43600</v>
      </c>
      <c r="H2880" s="324">
        <v>45473</v>
      </c>
      <c r="I2880" s="325">
        <v>52700</v>
      </c>
      <c r="J288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80" s="133">
        <f>_xlfn.XLOOKUP(Market_Data[[#This Row],[Project Type]],tbl_assumptions_market[Project Category (RERA)],tbl_assumptions_market[Concrete Intensity
(m³ / sq m BUA)],"",0)</f>
        <v>0.45</v>
      </c>
      <c r="L2880" s="134">
        <f>ROUND(Market_Data[[#This Row],[Estimated Built Up Area (sq m)]]*Market_Data[[#This Row],[Concrete Intensity
(m³ / sq m)]],0)</f>
        <v>23715</v>
      </c>
      <c r="M2880" s="135">
        <f>_xlfn.XLOOKUP(Market_Data[[#This Row],[District]],tbl_district_price[District],tbl_district_price[Standard Price
(INR/m³)],"",0)</f>
        <v>5600</v>
      </c>
      <c r="N2880" s="364">
        <f>IF(OR(Market_Data[[#This Row],[Estimated Concrete Demand (m³)]]="",Market_Data[[#This Row],[Avg Price per (₹ / m³)]]=""),"",Market_Data[[#This Row],[Estimated Concrete Demand (m³)]]*Market_Data[[#This Row],[Avg Price per (₹ / m³)]]/10000000)</f>
        <v>13.2804</v>
      </c>
      <c r="O2880" s="97" t="str">
        <f>IF(Market_Data[[#This Row],[Estimated Concrete Demand (m³)]]="","",
IF(Market_Data[[#This Row],[Estimated Concrete Demand (m³)]]&lt;10000,"Small",
IF(Market_Data[[#This Row],[Estimated Concrete Demand (m³)]]&lt;25000,"Medium",
IF(Market_Data[[#This Row],[Estimated Concrete Demand (m³)]]&lt;100000,"Large","Mega"))))</f>
        <v>Medium</v>
      </c>
      <c r="P2880" s="287" t="str">
        <f t="shared" si="46"/>
        <v>GujRERA</v>
      </c>
    </row>
    <row r="2881" spans="1:16">
      <c r="A2881" s="129" t="str">
        <f>_xlfn.XLOOKUP(B2881,$S$9:$S$14,$T$9:$T$14)&amp;"-"&amp;
IF(E2881="Residential/Group Housing","RES",
IF(E2881="Commercial","COM",
IF(E2881="Mixed Development","MIX",
IF(E2881="Plotted Development","PLT","OTH"))))
&amp;"-"&amp;TEXT(COUNTIFS($B$9:B2881,B2881,$E$9:E2881,E2881),"0000")</f>
        <v>VAL-COM-0019</v>
      </c>
      <c r="B2881" s="322" t="s">
        <v>35</v>
      </c>
      <c r="C2881" s="322" t="s">
        <v>35</v>
      </c>
      <c r="D2881" s="323" t="s">
        <v>3070</v>
      </c>
      <c r="E2881" s="132" t="s">
        <v>23</v>
      </c>
      <c r="F2881" s="97" t="str">
        <f ca="1">IF(OR(Market_Data[[#This Row],[Start Date]]="",Market_Data[[#This Row],[Completion Date]]=""),"Needs Validation",IF(Market_Data[[#This Row],[Start Date]]&gt;TODAY(),"Planned",IF(Market_Data[[#This Row],[Completion Date]]&lt;TODAY(),"Completed","Ongoing")))</f>
        <v>Ongoing</v>
      </c>
      <c r="G2881" s="324">
        <v>45107</v>
      </c>
      <c r="H2881" s="324">
        <v>47118</v>
      </c>
      <c r="I2881" s="325">
        <v>23500</v>
      </c>
      <c r="J288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881" s="133">
        <f>_xlfn.XLOOKUP(Market_Data[[#This Row],[Project Type]],tbl_assumptions_market[Project Category (RERA)],tbl_assumptions_market[Concrete Intensity
(m³ / sq m BUA)],"",0)</f>
        <v>0.5</v>
      </c>
      <c r="L2881" s="134">
        <f>ROUND(Market_Data[[#This Row],[Estimated Built Up Area (sq m)]]*Market_Data[[#This Row],[Concrete Intensity
(m³ / sq m)]],0)</f>
        <v>11750</v>
      </c>
      <c r="M2881" s="135">
        <f>_xlfn.XLOOKUP(Market_Data[[#This Row],[District]],tbl_district_price[District],tbl_district_price[Standard Price
(INR/m³)],"",0)</f>
        <v>5600</v>
      </c>
      <c r="N2881" s="364">
        <f>IF(OR(Market_Data[[#This Row],[Estimated Concrete Demand (m³)]]="",Market_Data[[#This Row],[Avg Price per (₹ / m³)]]=""),"",Market_Data[[#This Row],[Estimated Concrete Demand (m³)]]*Market_Data[[#This Row],[Avg Price per (₹ / m³)]]/10000000)</f>
        <v>6.58</v>
      </c>
      <c r="O2881" s="97" t="str">
        <f>IF(Market_Data[[#This Row],[Estimated Concrete Demand (m³)]]="","",
IF(Market_Data[[#This Row],[Estimated Concrete Demand (m³)]]&lt;10000,"Small",
IF(Market_Data[[#This Row],[Estimated Concrete Demand (m³)]]&lt;25000,"Medium",
IF(Market_Data[[#This Row],[Estimated Concrete Demand (m³)]]&lt;100000,"Large","Mega"))))</f>
        <v>Medium</v>
      </c>
      <c r="P2881" s="287" t="str">
        <f t="shared" si="46"/>
        <v>GujRERA</v>
      </c>
    </row>
    <row r="2882" spans="1:16">
      <c r="A2882" s="129" t="str">
        <f>_xlfn.XLOOKUP(B2882,$S$9:$S$14,$T$9:$T$14)&amp;"-"&amp;
IF(E2882="Residential/Group Housing","RES",
IF(E2882="Commercial","COM",
IF(E2882="Mixed Development","MIX",
IF(E2882="Plotted Development","PLT","OTH"))))
&amp;"-"&amp;TEXT(COUNTIFS($B$9:B2882,B2882,$E$9:E2882,E2882),"0000")</f>
        <v>VAL-RES-0059</v>
      </c>
      <c r="B2882" s="322" t="s">
        <v>35</v>
      </c>
      <c r="C2882" s="322" t="s">
        <v>35</v>
      </c>
      <c r="D2882" s="323" t="s">
        <v>3071</v>
      </c>
      <c r="E2882" s="132" t="s">
        <v>24</v>
      </c>
      <c r="F2882" s="97" t="str">
        <f ca="1">IF(OR(Market_Data[[#This Row],[Start Date]]="",Market_Data[[#This Row],[Completion Date]]=""),"Needs Validation",IF(Market_Data[[#This Row],[Start Date]]&gt;TODAY(),"Planned",IF(Market_Data[[#This Row],[Completion Date]]&lt;TODAY(),"Completed","Ongoing")))</f>
        <v>Completed</v>
      </c>
      <c r="G2882" s="324">
        <v>42360</v>
      </c>
      <c r="H2882" s="324">
        <v>43739</v>
      </c>
      <c r="I2882" s="325">
        <v>5700</v>
      </c>
      <c r="J288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82" s="133">
        <f>_xlfn.XLOOKUP(Market_Data[[#This Row],[Project Type]],tbl_assumptions_market[Project Category (RERA)],tbl_assumptions_market[Concrete Intensity
(m³ / sq m BUA)],"",0)</f>
        <v>0.45</v>
      </c>
      <c r="L2882" s="134">
        <f>ROUND(Market_Data[[#This Row],[Estimated Built Up Area (sq m)]]*Market_Data[[#This Row],[Concrete Intensity
(m³ / sq m)]],0)</f>
        <v>2565</v>
      </c>
      <c r="M2882" s="135">
        <f>_xlfn.XLOOKUP(Market_Data[[#This Row],[District]],tbl_district_price[District],tbl_district_price[Standard Price
(INR/m³)],"",0)</f>
        <v>5600</v>
      </c>
      <c r="N2882" s="364">
        <f>IF(OR(Market_Data[[#This Row],[Estimated Concrete Demand (m³)]]="",Market_Data[[#This Row],[Avg Price per (₹ / m³)]]=""),"",Market_Data[[#This Row],[Estimated Concrete Demand (m³)]]*Market_Data[[#This Row],[Avg Price per (₹ / m³)]]/10000000)</f>
        <v>1.4363999999999999</v>
      </c>
      <c r="O2882" s="97" t="str">
        <f>IF(Market_Data[[#This Row],[Estimated Concrete Demand (m³)]]="","",
IF(Market_Data[[#This Row],[Estimated Concrete Demand (m³)]]&lt;10000,"Small",
IF(Market_Data[[#This Row],[Estimated Concrete Demand (m³)]]&lt;25000,"Medium",
IF(Market_Data[[#This Row],[Estimated Concrete Demand (m³)]]&lt;100000,"Large","Mega"))))</f>
        <v>Small</v>
      </c>
      <c r="P2882" s="287" t="str">
        <f t="shared" si="46"/>
        <v>GujRERA</v>
      </c>
    </row>
    <row r="2883" spans="1:16">
      <c r="A2883" s="129" t="str">
        <f>_xlfn.XLOOKUP(B2883,$S$9:$S$14,$T$9:$T$14)&amp;"-"&amp;
IF(E2883="Residential/Group Housing","RES",
IF(E2883="Commercial","COM",
IF(E2883="Mixed Development","MIX",
IF(E2883="Plotted Development","PLT","OTH"))))
&amp;"-"&amp;TEXT(COUNTIFS($B$9:B2883,B2883,$E$9:E2883,E2883),"0000")</f>
        <v>VAL-MIX-0078</v>
      </c>
      <c r="B2883" s="322" t="s">
        <v>35</v>
      </c>
      <c r="C2883" s="322" t="s">
        <v>35</v>
      </c>
      <c r="D2883" s="323" t="s">
        <v>3072</v>
      </c>
      <c r="E2883" s="132" t="s">
        <v>25</v>
      </c>
      <c r="F2883" s="97" t="str">
        <f ca="1">IF(OR(Market_Data[[#This Row],[Start Date]]="",Market_Data[[#This Row],[Completion Date]]=""),"Needs Validation",IF(Market_Data[[#This Row],[Start Date]]&gt;TODAY(),"Planned",IF(Market_Data[[#This Row],[Completion Date]]&lt;TODAY(),"Completed","Ongoing")))</f>
        <v>Completed</v>
      </c>
      <c r="G2883" s="324">
        <v>42319</v>
      </c>
      <c r="H2883" s="324">
        <v>43592</v>
      </c>
      <c r="I2883" s="325">
        <v>20700</v>
      </c>
      <c r="J288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83" s="133">
        <f>_xlfn.XLOOKUP(Market_Data[[#This Row],[Project Type]],tbl_assumptions_market[Project Category (RERA)],tbl_assumptions_market[Concrete Intensity
(m³ / sq m BUA)],"",0)</f>
        <v>0.42</v>
      </c>
      <c r="L2883" s="134">
        <f>ROUND(Market_Data[[#This Row],[Estimated Built Up Area (sq m)]]*Market_Data[[#This Row],[Concrete Intensity
(m³ / sq m)]],0)</f>
        <v>8694</v>
      </c>
      <c r="M2883" s="135">
        <f>_xlfn.XLOOKUP(Market_Data[[#This Row],[District]],tbl_district_price[District],tbl_district_price[Standard Price
(INR/m³)],"",0)</f>
        <v>5600</v>
      </c>
      <c r="N2883" s="364">
        <f>IF(OR(Market_Data[[#This Row],[Estimated Concrete Demand (m³)]]="",Market_Data[[#This Row],[Avg Price per (₹ / m³)]]=""),"",Market_Data[[#This Row],[Estimated Concrete Demand (m³)]]*Market_Data[[#This Row],[Avg Price per (₹ / m³)]]/10000000)</f>
        <v>4.8686400000000001</v>
      </c>
      <c r="O2883" s="97" t="str">
        <f>IF(Market_Data[[#This Row],[Estimated Concrete Demand (m³)]]="","",
IF(Market_Data[[#This Row],[Estimated Concrete Demand (m³)]]&lt;10000,"Small",
IF(Market_Data[[#This Row],[Estimated Concrete Demand (m³)]]&lt;25000,"Medium",
IF(Market_Data[[#This Row],[Estimated Concrete Demand (m³)]]&lt;100000,"Large","Mega"))))</f>
        <v>Small</v>
      </c>
      <c r="P2883" s="287" t="str">
        <f t="shared" si="46"/>
        <v>GujRERA</v>
      </c>
    </row>
    <row r="2884" spans="1:16">
      <c r="A2884" s="129" t="str">
        <f>_xlfn.XLOOKUP(B2884,$S$9:$S$14,$T$9:$T$14)&amp;"-"&amp;
IF(E2884="Residential/Group Housing","RES",
IF(E2884="Commercial","COM",
IF(E2884="Mixed Development","MIX",
IF(E2884="Plotted Development","PLT","OTH"))))
&amp;"-"&amp;TEXT(COUNTIFS($B$9:B2884,B2884,$E$9:E2884,E2884),"0000")</f>
        <v>VAL-MIX-0079</v>
      </c>
      <c r="B2884" s="322" t="s">
        <v>35</v>
      </c>
      <c r="C2884" s="322" t="s">
        <v>35</v>
      </c>
      <c r="D2884" s="323" t="s">
        <v>3073</v>
      </c>
      <c r="E2884" s="132" t="s">
        <v>25</v>
      </c>
      <c r="F2884" s="97" t="str">
        <f ca="1">IF(OR(Market_Data[[#This Row],[Start Date]]="",Market_Data[[#This Row],[Completion Date]]=""),"Needs Validation",IF(Market_Data[[#This Row],[Start Date]]&gt;TODAY(),"Planned",IF(Market_Data[[#This Row],[Completion Date]]&lt;TODAY(),"Completed","Ongoing")))</f>
        <v>Ongoing</v>
      </c>
      <c r="G2884" s="324">
        <v>44621</v>
      </c>
      <c r="H2884" s="324">
        <v>46387</v>
      </c>
      <c r="I2884" s="325">
        <v>45800</v>
      </c>
      <c r="J288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84" s="133">
        <f>_xlfn.XLOOKUP(Market_Data[[#This Row],[Project Type]],tbl_assumptions_market[Project Category (RERA)],tbl_assumptions_market[Concrete Intensity
(m³ / sq m BUA)],"",0)</f>
        <v>0.42</v>
      </c>
      <c r="L2884" s="134">
        <f>ROUND(Market_Data[[#This Row],[Estimated Built Up Area (sq m)]]*Market_Data[[#This Row],[Concrete Intensity
(m³ / sq m)]],0)</f>
        <v>19236</v>
      </c>
      <c r="M2884" s="135">
        <f>_xlfn.XLOOKUP(Market_Data[[#This Row],[District]],tbl_district_price[District],tbl_district_price[Standard Price
(INR/m³)],"",0)</f>
        <v>5600</v>
      </c>
      <c r="N2884" s="364">
        <f>IF(OR(Market_Data[[#This Row],[Estimated Concrete Demand (m³)]]="",Market_Data[[#This Row],[Avg Price per (₹ / m³)]]=""),"",Market_Data[[#This Row],[Estimated Concrete Demand (m³)]]*Market_Data[[#This Row],[Avg Price per (₹ / m³)]]/10000000)</f>
        <v>10.77216</v>
      </c>
      <c r="O2884" s="97" t="str">
        <f>IF(Market_Data[[#This Row],[Estimated Concrete Demand (m³)]]="","",
IF(Market_Data[[#This Row],[Estimated Concrete Demand (m³)]]&lt;10000,"Small",
IF(Market_Data[[#This Row],[Estimated Concrete Demand (m³)]]&lt;25000,"Medium",
IF(Market_Data[[#This Row],[Estimated Concrete Demand (m³)]]&lt;100000,"Large","Mega"))))</f>
        <v>Medium</v>
      </c>
      <c r="P2884" s="287" t="str">
        <f t="shared" si="46"/>
        <v>GujRERA</v>
      </c>
    </row>
    <row r="2885" spans="1:16">
      <c r="A2885" s="129" t="str">
        <f>_xlfn.XLOOKUP(B2885,$S$9:$S$14,$T$9:$T$14)&amp;"-"&amp;
IF(E2885="Residential/Group Housing","RES",
IF(E2885="Commercial","COM",
IF(E2885="Mixed Development","MIX",
IF(E2885="Plotted Development","PLT","OTH"))))
&amp;"-"&amp;TEXT(COUNTIFS($B$9:B2885,B2885,$E$9:E2885,E2885),"0000")</f>
        <v>VAL-RES-0060</v>
      </c>
      <c r="B2885" s="322" t="s">
        <v>35</v>
      </c>
      <c r="C2885" s="322" t="s">
        <v>35</v>
      </c>
      <c r="D2885" s="323" t="s">
        <v>3074</v>
      </c>
      <c r="E2885" s="132" t="s">
        <v>24</v>
      </c>
      <c r="F2885" s="97" t="str">
        <f ca="1">IF(OR(Market_Data[[#This Row],[Start Date]]="",Market_Data[[#This Row],[Completion Date]]=""),"Needs Validation",IF(Market_Data[[#This Row],[Start Date]]&gt;TODAY(),"Planned",IF(Market_Data[[#This Row],[Completion Date]]&lt;TODAY(),"Completed","Ongoing")))</f>
        <v>Completed</v>
      </c>
      <c r="G2885" s="324">
        <v>42353</v>
      </c>
      <c r="H2885" s="324">
        <v>43886</v>
      </c>
      <c r="I2885" s="325">
        <v>28100</v>
      </c>
      <c r="J288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85" s="133">
        <f>_xlfn.XLOOKUP(Market_Data[[#This Row],[Project Type]],tbl_assumptions_market[Project Category (RERA)],tbl_assumptions_market[Concrete Intensity
(m³ / sq m BUA)],"",0)</f>
        <v>0.45</v>
      </c>
      <c r="L2885" s="134">
        <f>ROUND(Market_Data[[#This Row],[Estimated Built Up Area (sq m)]]*Market_Data[[#This Row],[Concrete Intensity
(m³ / sq m)]],0)</f>
        <v>12645</v>
      </c>
      <c r="M2885" s="135">
        <f>_xlfn.XLOOKUP(Market_Data[[#This Row],[District]],tbl_district_price[District],tbl_district_price[Standard Price
(INR/m³)],"",0)</f>
        <v>5600</v>
      </c>
      <c r="N2885" s="364">
        <f>IF(OR(Market_Data[[#This Row],[Estimated Concrete Demand (m³)]]="",Market_Data[[#This Row],[Avg Price per (₹ / m³)]]=""),"",Market_Data[[#This Row],[Estimated Concrete Demand (m³)]]*Market_Data[[#This Row],[Avg Price per (₹ / m³)]]/10000000)</f>
        <v>7.0811999999999999</v>
      </c>
      <c r="O2885" s="97" t="str">
        <f>IF(Market_Data[[#This Row],[Estimated Concrete Demand (m³)]]="","",
IF(Market_Data[[#This Row],[Estimated Concrete Demand (m³)]]&lt;10000,"Small",
IF(Market_Data[[#This Row],[Estimated Concrete Demand (m³)]]&lt;25000,"Medium",
IF(Market_Data[[#This Row],[Estimated Concrete Demand (m³)]]&lt;100000,"Large","Mega"))))</f>
        <v>Medium</v>
      </c>
      <c r="P2885" s="287" t="str">
        <f t="shared" si="46"/>
        <v>GujRERA</v>
      </c>
    </row>
    <row r="2886" spans="1:16">
      <c r="A2886" s="129" t="str">
        <f>_xlfn.XLOOKUP(B2886,$S$9:$S$14,$T$9:$T$14)&amp;"-"&amp;
IF(E2886="Residential/Group Housing","RES",
IF(E2886="Commercial","COM",
IF(E2886="Mixed Development","MIX",
IF(E2886="Plotted Development","PLT","OTH"))))
&amp;"-"&amp;TEXT(COUNTIFS($B$9:B2886,B2886,$E$9:E2886,E2886),"0000")</f>
        <v>VAL-MIX-0080</v>
      </c>
      <c r="B2886" s="322" t="s">
        <v>35</v>
      </c>
      <c r="C2886" s="322" t="s">
        <v>35</v>
      </c>
      <c r="D2886" s="323" t="s">
        <v>3075</v>
      </c>
      <c r="E2886" s="132" t="s">
        <v>25</v>
      </c>
      <c r="F2886" s="97" t="str">
        <f ca="1">IF(OR(Market_Data[[#This Row],[Start Date]]="",Market_Data[[#This Row],[Completion Date]]=""),"Needs Validation",IF(Market_Data[[#This Row],[Start Date]]&gt;TODAY(),"Planned",IF(Market_Data[[#This Row],[Completion Date]]&lt;TODAY(),"Completed","Ongoing")))</f>
        <v>Completed</v>
      </c>
      <c r="G2886" s="324">
        <v>43497</v>
      </c>
      <c r="H2886" s="324">
        <v>45473</v>
      </c>
      <c r="I2886" s="325">
        <v>29200</v>
      </c>
      <c r="J288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86" s="133">
        <f>_xlfn.XLOOKUP(Market_Data[[#This Row],[Project Type]],tbl_assumptions_market[Project Category (RERA)],tbl_assumptions_market[Concrete Intensity
(m³ / sq m BUA)],"",0)</f>
        <v>0.42</v>
      </c>
      <c r="L2886" s="134">
        <f>ROUND(Market_Data[[#This Row],[Estimated Built Up Area (sq m)]]*Market_Data[[#This Row],[Concrete Intensity
(m³ / sq m)]],0)</f>
        <v>12264</v>
      </c>
      <c r="M2886" s="135">
        <f>_xlfn.XLOOKUP(Market_Data[[#This Row],[District]],tbl_district_price[District],tbl_district_price[Standard Price
(INR/m³)],"",0)</f>
        <v>5600</v>
      </c>
      <c r="N2886" s="364">
        <f>IF(OR(Market_Data[[#This Row],[Estimated Concrete Demand (m³)]]="",Market_Data[[#This Row],[Avg Price per (₹ / m³)]]=""),"",Market_Data[[#This Row],[Estimated Concrete Demand (m³)]]*Market_Data[[#This Row],[Avg Price per (₹ / m³)]]/10000000)</f>
        <v>6.8678400000000002</v>
      </c>
      <c r="O2886" s="97" t="str">
        <f>IF(Market_Data[[#This Row],[Estimated Concrete Demand (m³)]]="","",
IF(Market_Data[[#This Row],[Estimated Concrete Demand (m³)]]&lt;10000,"Small",
IF(Market_Data[[#This Row],[Estimated Concrete Demand (m³)]]&lt;25000,"Medium",
IF(Market_Data[[#This Row],[Estimated Concrete Demand (m³)]]&lt;100000,"Large","Mega"))))</f>
        <v>Medium</v>
      </c>
      <c r="P2886" s="287" t="str">
        <f t="shared" si="46"/>
        <v>GujRERA</v>
      </c>
    </row>
    <row r="2887" spans="1:16">
      <c r="A2887" s="129" t="str">
        <f>_xlfn.XLOOKUP(B2887,$S$9:$S$14,$T$9:$T$14)&amp;"-"&amp;
IF(E2887="Residential/Group Housing","RES",
IF(E2887="Commercial","COM",
IF(E2887="Mixed Development","MIX",
IF(E2887="Plotted Development","PLT","OTH"))))
&amp;"-"&amp;TEXT(COUNTIFS($B$9:B2887,B2887,$E$9:E2887,E2887),"0000")</f>
        <v>VAL-RES-0061</v>
      </c>
      <c r="B2887" s="322" t="s">
        <v>35</v>
      </c>
      <c r="C2887" s="322" t="s">
        <v>35</v>
      </c>
      <c r="D2887" s="323" t="s">
        <v>3076</v>
      </c>
      <c r="E2887" s="132" t="s">
        <v>24</v>
      </c>
      <c r="F2887" s="97" t="str">
        <f ca="1">IF(OR(Market_Data[[#This Row],[Start Date]]="",Market_Data[[#This Row],[Completion Date]]=""),"Needs Validation",IF(Market_Data[[#This Row],[Start Date]]&gt;TODAY(),"Planned",IF(Market_Data[[#This Row],[Completion Date]]&lt;TODAY(),"Completed","Ongoing")))</f>
        <v>Ongoing</v>
      </c>
      <c r="G2887" s="324">
        <v>45107</v>
      </c>
      <c r="H2887" s="324">
        <v>46752</v>
      </c>
      <c r="I2887" s="325">
        <v>35600</v>
      </c>
      <c r="J288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87" s="133">
        <f>_xlfn.XLOOKUP(Market_Data[[#This Row],[Project Type]],tbl_assumptions_market[Project Category (RERA)],tbl_assumptions_market[Concrete Intensity
(m³ / sq m BUA)],"",0)</f>
        <v>0.45</v>
      </c>
      <c r="L2887" s="134">
        <f>ROUND(Market_Data[[#This Row],[Estimated Built Up Area (sq m)]]*Market_Data[[#This Row],[Concrete Intensity
(m³ / sq m)]],0)</f>
        <v>16020</v>
      </c>
      <c r="M2887" s="135">
        <f>_xlfn.XLOOKUP(Market_Data[[#This Row],[District]],tbl_district_price[District],tbl_district_price[Standard Price
(INR/m³)],"",0)</f>
        <v>5600</v>
      </c>
      <c r="N2887" s="364">
        <f>IF(OR(Market_Data[[#This Row],[Estimated Concrete Demand (m³)]]="",Market_Data[[#This Row],[Avg Price per (₹ / m³)]]=""),"",Market_Data[[#This Row],[Estimated Concrete Demand (m³)]]*Market_Data[[#This Row],[Avg Price per (₹ / m³)]]/10000000)</f>
        <v>8.9711999999999996</v>
      </c>
      <c r="O2887" s="97" t="str">
        <f>IF(Market_Data[[#This Row],[Estimated Concrete Demand (m³)]]="","",
IF(Market_Data[[#This Row],[Estimated Concrete Demand (m³)]]&lt;10000,"Small",
IF(Market_Data[[#This Row],[Estimated Concrete Demand (m³)]]&lt;25000,"Medium",
IF(Market_Data[[#This Row],[Estimated Concrete Demand (m³)]]&lt;100000,"Large","Mega"))))</f>
        <v>Medium</v>
      </c>
      <c r="P2887" s="287" t="str">
        <f t="shared" si="46"/>
        <v>GujRERA</v>
      </c>
    </row>
    <row r="2888" spans="1:16">
      <c r="A2888" s="129" t="str">
        <f>_xlfn.XLOOKUP(B2888,$S$9:$S$14,$T$9:$T$14)&amp;"-"&amp;
IF(E2888="Residential/Group Housing","RES",
IF(E2888="Commercial","COM",
IF(E2888="Mixed Development","MIX",
IF(E2888="Plotted Development","PLT","OTH"))))
&amp;"-"&amp;TEXT(COUNTIFS($B$9:B2888,B2888,$E$9:E2888,E2888),"0000")</f>
        <v>VAL-RES-0062</v>
      </c>
      <c r="B2888" s="322" t="s">
        <v>35</v>
      </c>
      <c r="C2888" s="322" t="s">
        <v>35</v>
      </c>
      <c r="D2888" s="323" t="s">
        <v>3077</v>
      </c>
      <c r="E2888" s="132" t="s">
        <v>24</v>
      </c>
      <c r="F2888" s="97" t="str">
        <f ca="1">IF(OR(Market_Data[[#This Row],[Start Date]]="",Market_Data[[#This Row],[Completion Date]]=""),"Needs Validation",IF(Market_Data[[#This Row],[Start Date]]&gt;TODAY(),"Planned",IF(Market_Data[[#This Row],[Completion Date]]&lt;TODAY(),"Completed","Ongoing")))</f>
        <v>Ongoing</v>
      </c>
      <c r="G2888" s="324">
        <v>44515</v>
      </c>
      <c r="H2888" s="324">
        <v>46387</v>
      </c>
      <c r="I2888" s="325">
        <v>33900</v>
      </c>
      <c r="J288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88" s="133">
        <f>_xlfn.XLOOKUP(Market_Data[[#This Row],[Project Type]],tbl_assumptions_market[Project Category (RERA)],tbl_assumptions_market[Concrete Intensity
(m³ / sq m BUA)],"",0)</f>
        <v>0.45</v>
      </c>
      <c r="L2888" s="134">
        <f>ROUND(Market_Data[[#This Row],[Estimated Built Up Area (sq m)]]*Market_Data[[#This Row],[Concrete Intensity
(m³ / sq m)]],0)</f>
        <v>15255</v>
      </c>
      <c r="M2888" s="135">
        <f>_xlfn.XLOOKUP(Market_Data[[#This Row],[District]],tbl_district_price[District],tbl_district_price[Standard Price
(INR/m³)],"",0)</f>
        <v>5600</v>
      </c>
      <c r="N2888" s="364">
        <f>IF(OR(Market_Data[[#This Row],[Estimated Concrete Demand (m³)]]="",Market_Data[[#This Row],[Avg Price per (₹ / m³)]]=""),"",Market_Data[[#This Row],[Estimated Concrete Demand (m³)]]*Market_Data[[#This Row],[Avg Price per (₹ / m³)]]/10000000)</f>
        <v>8.5427999999999997</v>
      </c>
      <c r="O2888" s="97" t="str">
        <f>IF(Market_Data[[#This Row],[Estimated Concrete Demand (m³)]]="","",
IF(Market_Data[[#This Row],[Estimated Concrete Demand (m³)]]&lt;10000,"Small",
IF(Market_Data[[#This Row],[Estimated Concrete Demand (m³)]]&lt;25000,"Medium",
IF(Market_Data[[#This Row],[Estimated Concrete Demand (m³)]]&lt;100000,"Large","Mega"))))</f>
        <v>Medium</v>
      </c>
      <c r="P2888" s="287" t="str">
        <f t="shared" si="46"/>
        <v>GujRERA</v>
      </c>
    </row>
    <row r="2889" spans="1:16">
      <c r="A2889" s="129" t="str">
        <f>_xlfn.XLOOKUP(B2889,$S$9:$S$14,$T$9:$T$14)&amp;"-"&amp;
IF(E2889="Residential/Group Housing","RES",
IF(E2889="Commercial","COM",
IF(E2889="Mixed Development","MIX",
IF(E2889="Plotted Development","PLT","OTH"))))
&amp;"-"&amp;TEXT(COUNTIFS($B$9:B2889,B2889,$E$9:E2889,E2889),"0000")</f>
        <v>VAL-RES-0063</v>
      </c>
      <c r="B2889" s="322" t="s">
        <v>35</v>
      </c>
      <c r="C2889" s="322" t="s">
        <v>35</v>
      </c>
      <c r="D2889" s="323" t="s">
        <v>3078</v>
      </c>
      <c r="E2889" s="132" t="s">
        <v>24</v>
      </c>
      <c r="F2889" s="97" t="str">
        <f ca="1">IF(OR(Market_Data[[#This Row],[Start Date]]="",Market_Data[[#This Row],[Completion Date]]=""),"Needs Validation",IF(Market_Data[[#This Row],[Start Date]]&gt;TODAY(),"Planned",IF(Market_Data[[#This Row],[Completion Date]]&lt;TODAY(),"Completed","Ongoing")))</f>
        <v>Completed</v>
      </c>
      <c r="G2889" s="324">
        <v>43282</v>
      </c>
      <c r="H2889" s="324">
        <v>45473</v>
      </c>
      <c r="I2889" s="325">
        <v>18000</v>
      </c>
      <c r="J288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89" s="133">
        <f>_xlfn.XLOOKUP(Market_Data[[#This Row],[Project Type]],tbl_assumptions_market[Project Category (RERA)],tbl_assumptions_market[Concrete Intensity
(m³ / sq m BUA)],"",0)</f>
        <v>0.45</v>
      </c>
      <c r="L2889" s="134">
        <f>ROUND(Market_Data[[#This Row],[Estimated Built Up Area (sq m)]]*Market_Data[[#This Row],[Concrete Intensity
(m³ / sq m)]],0)</f>
        <v>8100</v>
      </c>
      <c r="M2889" s="135">
        <f>_xlfn.XLOOKUP(Market_Data[[#This Row],[District]],tbl_district_price[District],tbl_district_price[Standard Price
(INR/m³)],"",0)</f>
        <v>5600</v>
      </c>
      <c r="N2889" s="364">
        <f>IF(OR(Market_Data[[#This Row],[Estimated Concrete Demand (m³)]]="",Market_Data[[#This Row],[Avg Price per (₹ / m³)]]=""),"",Market_Data[[#This Row],[Estimated Concrete Demand (m³)]]*Market_Data[[#This Row],[Avg Price per (₹ / m³)]]/10000000)</f>
        <v>4.5359999999999996</v>
      </c>
      <c r="O2889" s="97" t="str">
        <f>IF(Market_Data[[#This Row],[Estimated Concrete Demand (m³)]]="","",
IF(Market_Data[[#This Row],[Estimated Concrete Demand (m³)]]&lt;10000,"Small",
IF(Market_Data[[#This Row],[Estimated Concrete Demand (m³)]]&lt;25000,"Medium",
IF(Market_Data[[#This Row],[Estimated Concrete Demand (m³)]]&lt;100000,"Large","Mega"))))</f>
        <v>Small</v>
      </c>
      <c r="P2889" s="287" t="str">
        <f t="shared" si="46"/>
        <v>GujRERA</v>
      </c>
    </row>
    <row r="2890" spans="1:16">
      <c r="A2890" s="129" t="str">
        <f>_xlfn.XLOOKUP(B2890,$S$9:$S$14,$T$9:$T$14)&amp;"-"&amp;
IF(E2890="Residential/Group Housing","RES",
IF(E2890="Commercial","COM",
IF(E2890="Mixed Development","MIX",
IF(E2890="Plotted Development","PLT","OTH"))))
&amp;"-"&amp;TEXT(COUNTIFS($B$9:B2890,B2890,$E$9:E2890,E2890),"0000")</f>
        <v>VAL-RES-0064</v>
      </c>
      <c r="B2890" s="322" t="s">
        <v>35</v>
      </c>
      <c r="C2890" s="322" t="s">
        <v>35</v>
      </c>
      <c r="D2890" s="323" t="s">
        <v>3079</v>
      </c>
      <c r="E2890" s="132" t="s">
        <v>24</v>
      </c>
      <c r="F2890" s="97" t="str">
        <f ca="1">IF(OR(Market_Data[[#This Row],[Start Date]]="",Market_Data[[#This Row],[Completion Date]]=""),"Needs Validation",IF(Market_Data[[#This Row],[Start Date]]&gt;TODAY(),"Planned",IF(Market_Data[[#This Row],[Completion Date]]&lt;TODAY(),"Completed","Ongoing")))</f>
        <v>Completed</v>
      </c>
      <c r="G2890" s="324">
        <v>43617</v>
      </c>
      <c r="H2890" s="324">
        <v>45107</v>
      </c>
      <c r="I2890" s="325">
        <v>15400</v>
      </c>
      <c r="J289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90" s="133">
        <f>_xlfn.XLOOKUP(Market_Data[[#This Row],[Project Type]],tbl_assumptions_market[Project Category (RERA)],tbl_assumptions_market[Concrete Intensity
(m³ / sq m BUA)],"",0)</f>
        <v>0.45</v>
      </c>
      <c r="L2890" s="134">
        <f>ROUND(Market_Data[[#This Row],[Estimated Built Up Area (sq m)]]*Market_Data[[#This Row],[Concrete Intensity
(m³ / sq m)]],0)</f>
        <v>6930</v>
      </c>
      <c r="M2890" s="135">
        <f>_xlfn.XLOOKUP(Market_Data[[#This Row],[District]],tbl_district_price[District],tbl_district_price[Standard Price
(INR/m³)],"",0)</f>
        <v>5600</v>
      </c>
      <c r="N2890" s="364">
        <f>IF(OR(Market_Data[[#This Row],[Estimated Concrete Demand (m³)]]="",Market_Data[[#This Row],[Avg Price per (₹ / m³)]]=""),"",Market_Data[[#This Row],[Estimated Concrete Demand (m³)]]*Market_Data[[#This Row],[Avg Price per (₹ / m³)]]/10000000)</f>
        <v>3.8807999999999998</v>
      </c>
      <c r="O2890" s="97" t="str">
        <f>IF(Market_Data[[#This Row],[Estimated Concrete Demand (m³)]]="","",
IF(Market_Data[[#This Row],[Estimated Concrete Demand (m³)]]&lt;10000,"Small",
IF(Market_Data[[#This Row],[Estimated Concrete Demand (m³)]]&lt;25000,"Medium",
IF(Market_Data[[#This Row],[Estimated Concrete Demand (m³)]]&lt;100000,"Large","Mega"))))</f>
        <v>Small</v>
      </c>
      <c r="P2890" s="287" t="str">
        <f t="shared" ref="P2890:P2953" si="47">HYPERLINK(
"https://gujrera.gujarat.gov.in",
"GujRERA")</f>
        <v>GujRERA</v>
      </c>
    </row>
    <row r="2891" spans="1:16" ht="24">
      <c r="A2891" s="129" t="str">
        <f>_xlfn.XLOOKUP(B2891,$S$9:$S$14,$T$9:$T$14)&amp;"-"&amp;
IF(E2891="Residential/Group Housing","RES",
IF(E2891="Commercial","COM",
IF(E2891="Mixed Development","MIX",
IF(E2891="Plotted Development","PLT","OTH"))))
&amp;"-"&amp;TEXT(COUNTIFS($B$9:B2891,B2891,$E$9:E2891,E2891),"0000")</f>
        <v>VAL-RES-0065</v>
      </c>
      <c r="B2891" s="322" t="s">
        <v>35</v>
      </c>
      <c r="C2891" s="322" t="s">
        <v>35</v>
      </c>
      <c r="D2891" s="323" t="s">
        <v>3080</v>
      </c>
      <c r="E2891" s="132" t="s">
        <v>24</v>
      </c>
      <c r="F2891" s="97" t="str">
        <f ca="1">IF(OR(Market_Data[[#This Row],[Start Date]]="",Market_Data[[#This Row],[Completion Date]]=""),"Needs Validation",IF(Market_Data[[#This Row],[Start Date]]&gt;TODAY(),"Planned",IF(Market_Data[[#This Row],[Completion Date]]&lt;TODAY(),"Completed","Ongoing")))</f>
        <v>Completed</v>
      </c>
      <c r="G2891" s="324">
        <v>41640</v>
      </c>
      <c r="H2891" s="324">
        <v>44196</v>
      </c>
      <c r="I2891" s="325">
        <v>16100</v>
      </c>
      <c r="J289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91" s="133">
        <f>_xlfn.XLOOKUP(Market_Data[[#This Row],[Project Type]],tbl_assumptions_market[Project Category (RERA)],tbl_assumptions_market[Concrete Intensity
(m³ / sq m BUA)],"",0)</f>
        <v>0.45</v>
      </c>
      <c r="L2891" s="134">
        <f>ROUND(Market_Data[[#This Row],[Estimated Built Up Area (sq m)]]*Market_Data[[#This Row],[Concrete Intensity
(m³ / sq m)]],0)</f>
        <v>7245</v>
      </c>
      <c r="M2891" s="135">
        <f>_xlfn.XLOOKUP(Market_Data[[#This Row],[District]],tbl_district_price[District],tbl_district_price[Standard Price
(INR/m³)],"",0)</f>
        <v>5600</v>
      </c>
      <c r="N2891" s="364">
        <f>IF(OR(Market_Data[[#This Row],[Estimated Concrete Demand (m³)]]="",Market_Data[[#This Row],[Avg Price per (₹ / m³)]]=""),"",Market_Data[[#This Row],[Estimated Concrete Demand (m³)]]*Market_Data[[#This Row],[Avg Price per (₹ / m³)]]/10000000)</f>
        <v>4.0571999999999999</v>
      </c>
      <c r="O2891" s="97" t="str">
        <f>IF(Market_Data[[#This Row],[Estimated Concrete Demand (m³)]]="","",
IF(Market_Data[[#This Row],[Estimated Concrete Demand (m³)]]&lt;10000,"Small",
IF(Market_Data[[#This Row],[Estimated Concrete Demand (m³)]]&lt;25000,"Medium",
IF(Market_Data[[#This Row],[Estimated Concrete Demand (m³)]]&lt;100000,"Large","Mega"))))</f>
        <v>Small</v>
      </c>
      <c r="P2891" s="287" t="str">
        <f t="shared" si="47"/>
        <v>GujRERA</v>
      </c>
    </row>
    <row r="2892" spans="1:16">
      <c r="A2892" s="129" t="str">
        <f>_xlfn.XLOOKUP(B2892,$S$9:$S$14,$T$9:$T$14)&amp;"-"&amp;
IF(E2892="Residential/Group Housing","RES",
IF(E2892="Commercial","COM",
IF(E2892="Mixed Development","MIX",
IF(E2892="Plotted Development","PLT","OTH"))))
&amp;"-"&amp;TEXT(COUNTIFS($B$9:B2892,B2892,$E$9:E2892,E2892),"0000")</f>
        <v>VAL-MIX-0081</v>
      </c>
      <c r="B2892" s="322" t="s">
        <v>35</v>
      </c>
      <c r="C2892" s="322" t="s">
        <v>35</v>
      </c>
      <c r="D2892" s="323" t="s">
        <v>3081</v>
      </c>
      <c r="E2892" s="132" t="s">
        <v>25</v>
      </c>
      <c r="F2892" s="97" t="str">
        <f ca="1">IF(OR(Market_Data[[#This Row],[Start Date]]="",Market_Data[[#This Row],[Completion Date]]=""),"Needs Validation",IF(Market_Data[[#This Row],[Start Date]]&gt;TODAY(),"Planned",IF(Market_Data[[#This Row],[Completion Date]]&lt;TODAY(),"Completed","Ongoing")))</f>
        <v>Completed</v>
      </c>
      <c r="G2892" s="324">
        <v>41791</v>
      </c>
      <c r="H2892" s="324">
        <v>43555</v>
      </c>
      <c r="I2892" s="325">
        <v>13700</v>
      </c>
      <c r="J289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92" s="133">
        <f>_xlfn.XLOOKUP(Market_Data[[#This Row],[Project Type]],tbl_assumptions_market[Project Category (RERA)],tbl_assumptions_market[Concrete Intensity
(m³ / sq m BUA)],"",0)</f>
        <v>0.42</v>
      </c>
      <c r="L2892" s="134">
        <f>ROUND(Market_Data[[#This Row],[Estimated Built Up Area (sq m)]]*Market_Data[[#This Row],[Concrete Intensity
(m³ / sq m)]],0)</f>
        <v>5754</v>
      </c>
      <c r="M2892" s="135">
        <f>_xlfn.XLOOKUP(Market_Data[[#This Row],[District]],tbl_district_price[District],tbl_district_price[Standard Price
(INR/m³)],"",0)</f>
        <v>5600</v>
      </c>
      <c r="N2892" s="364">
        <f>IF(OR(Market_Data[[#This Row],[Estimated Concrete Demand (m³)]]="",Market_Data[[#This Row],[Avg Price per (₹ / m³)]]=""),"",Market_Data[[#This Row],[Estimated Concrete Demand (m³)]]*Market_Data[[#This Row],[Avg Price per (₹ / m³)]]/10000000)</f>
        <v>3.2222400000000002</v>
      </c>
      <c r="O2892" s="97" t="str">
        <f>IF(Market_Data[[#This Row],[Estimated Concrete Demand (m³)]]="","",
IF(Market_Data[[#This Row],[Estimated Concrete Demand (m³)]]&lt;10000,"Small",
IF(Market_Data[[#This Row],[Estimated Concrete Demand (m³)]]&lt;25000,"Medium",
IF(Market_Data[[#This Row],[Estimated Concrete Demand (m³)]]&lt;100000,"Large","Mega"))))</f>
        <v>Small</v>
      </c>
      <c r="P2892" s="287" t="str">
        <f t="shared" si="47"/>
        <v>GujRERA</v>
      </c>
    </row>
    <row r="2893" spans="1:16">
      <c r="A2893" s="129" t="str">
        <f>_xlfn.XLOOKUP(B2893,$S$9:$S$14,$T$9:$T$14)&amp;"-"&amp;
IF(E2893="Residential/Group Housing","RES",
IF(E2893="Commercial","COM",
IF(E2893="Mixed Development","MIX",
IF(E2893="Plotted Development","PLT","OTH"))))
&amp;"-"&amp;TEXT(COUNTIFS($B$9:B2893,B2893,$E$9:E2893,E2893),"0000")</f>
        <v>VAL-MIX-0082</v>
      </c>
      <c r="B2893" s="322" t="s">
        <v>35</v>
      </c>
      <c r="C2893" s="322" t="s">
        <v>35</v>
      </c>
      <c r="D2893" s="323" t="s">
        <v>3082</v>
      </c>
      <c r="E2893" s="132" t="s">
        <v>25</v>
      </c>
      <c r="F2893" s="97" t="str">
        <f ca="1">IF(OR(Market_Data[[#This Row],[Start Date]]="",Market_Data[[#This Row],[Completion Date]]=""),"Needs Validation",IF(Market_Data[[#This Row],[Start Date]]&gt;TODAY(),"Planned",IF(Market_Data[[#This Row],[Completion Date]]&lt;TODAY(),"Completed","Ongoing")))</f>
        <v>Completed</v>
      </c>
      <c r="G2893" s="324">
        <v>42095</v>
      </c>
      <c r="H2893" s="324">
        <v>43830</v>
      </c>
      <c r="I2893" s="325">
        <v>34200</v>
      </c>
      <c r="J289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93" s="133">
        <f>_xlfn.XLOOKUP(Market_Data[[#This Row],[Project Type]],tbl_assumptions_market[Project Category (RERA)],tbl_assumptions_market[Concrete Intensity
(m³ / sq m BUA)],"",0)</f>
        <v>0.42</v>
      </c>
      <c r="L2893" s="134">
        <f>ROUND(Market_Data[[#This Row],[Estimated Built Up Area (sq m)]]*Market_Data[[#This Row],[Concrete Intensity
(m³ / sq m)]],0)</f>
        <v>14364</v>
      </c>
      <c r="M2893" s="135">
        <f>_xlfn.XLOOKUP(Market_Data[[#This Row],[District]],tbl_district_price[District],tbl_district_price[Standard Price
(INR/m³)],"",0)</f>
        <v>5600</v>
      </c>
      <c r="N2893" s="364">
        <f>IF(OR(Market_Data[[#This Row],[Estimated Concrete Demand (m³)]]="",Market_Data[[#This Row],[Avg Price per (₹ / m³)]]=""),"",Market_Data[[#This Row],[Estimated Concrete Demand (m³)]]*Market_Data[[#This Row],[Avg Price per (₹ / m³)]]/10000000)</f>
        <v>8.0438399999999994</v>
      </c>
      <c r="O2893" s="97" t="str">
        <f>IF(Market_Data[[#This Row],[Estimated Concrete Demand (m³)]]="","",
IF(Market_Data[[#This Row],[Estimated Concrete Demand (m³)]]&lt;10000,"Small",
IF(Market_Data[[#This Row],[Estimated Concrete Demand (m³)]]&lt;25000,"Medium",
IF(Market_Data[[#This Row],[Estimated Concrete Demand (m³)]]&lt;100000,"Large","Mega"))))</f>
        <v>Medium</v>
      </c>
      <c r="P2893" s="287" t="str">
        <f t="shared" si="47"/>
        <v>GujRERA</v>
      </c>
    </row>
    <row r="2894" spans="1:16">
      <c r="A2894" s="129" t="str">
        <f>_xlfn.XLOOKUP(B2894,$S$9:$S$14,$T$9:$T$14)&amp;"-"&amp;
IF(E2894="Residential/Group Housing","RES",
IF(E2894="Commercial","COM",
IF(E2894="Mixed Development","MIX",
IF(E2894="Plotted Development","PLT","OTH"))))
&amp;"-"&amp;TEXT(COUNTIFS($B$9:B2894,B2894,$E$9:E2894,E2894),"0000")</f>
        <v>VAL-RES-0066</v>
      </c>
      <c r="B2894" s="322" t="s">
        <v>35</v>
      </c>
      <c r="C2894" s="322" t="s">
        <v>35</v>
      </c>
      <c r="D2894" s="323" t="s">
        <v>3083</v>
      </c>
      <c r="E2894" s="132" t="s">
        <v>24</v>
      </c>
      <c r="F2894" s="97" t="str">
        <f ca="1">IF(OR(Market_Data[[#This Row],[Start Date]]="",Market_Data[[#This Row],[Completion Date]]=""),"Needs Validation",IF(Market_Data[[#This Row],[Start Date]]&gt;TODAY(),"Planned",IF(Market_Data[[#This Row],[Completion Date]]&lt;TODAY(),"Completed","Ongoing")))</f>
        <v>Completed</v>
      </c>
      <c r="G2894" s="324">
        <v>41640</v>
      </c>
      <c r="H2894" s="324">
        <v>45473</v>
      </c>
      <c r="I2894" s="325">
        <v>25900</v>
      </c>
      <c r="J289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94" s="133">
        <f>_xlfn.XLOOKUP(Market_Data[[#This Row],[Project Type]],tbl_assumptions_market[Project Category (RERA)],tbl_assumptions_market[Concrete Intensity
(m³ / sq m BUA)],"",0)</f>
        <v>0.45</v>
      </c>
      <c r="L2894" s="134">
        <f>ROUND(Market_Data[[#This Row],[Estimated Built Up Area (sq m)]]*Market_Data[[#This Row],[Concrete Intensity
(m³ / sq m)]],0)</f>
        <v>11655</v>
      </c>
      <c r="M2894" s="135">
        <f>_xlfn.XLOOKUP(Market_Data[[#This Row],[District]],tbl_district_price[District],tbl_district_price[Standard Price
(INR/m³)],"",0)</f>
        <v>5600</v>
      </c>
      <c r="N2894" s="364">
        <f>IF(OR(Market_Data[[#This Row],[Estimated Concrete Demand (m³)]]="",Market_Data[[#This Row],[Avg Price per (₹ / m³)]]=""),"",Market_Data[[#This Row],[Estimated Concrete Demand (m³)]]*Market_Data[[#This Row],[Avg Price per (₹ / m³)]]/10000000)</f>
        <v>6.5267999999999997</v>
      </c>
      <c r="O2894" s="97" t="str">
        <f>IF(Market_Data[[#This Row],[Estimated Concrete Demand (m³)]]="","",
IF(Market_Data[[#This Row],[Estimated Concrete Demand (m³)]]&lt;10000,"Small",
IF(Market_Data[[#This Row],[Estimated Concrete Demand (m³)]]&lt;25000,"Medium",
IF(Market_Data[[#This Row],[Estimated Concrete Demand (m³)]]&lt;100000,"Large","Mega"))))</f>
        <v>Medium</v>
      </c>
      <c r="P2894" s="287" t="str">
        <f t="shared" si="47"/>
        <v>GujRERA</v>
      </c>
    </row>
    <row r="2895" spans="1:16">
      <c r="A2895" s="129" t="str">
        <f>_xlfn.XLOOKUP(B2895,$S$9:$S$14,$T$9:$T$14)&amp;"-"&amp;
IF(E2895="Residential/Group Housing","RES",
IF(E2895="Commercial","COM",
IF(E2895="Mixed Development","MIX",
IF(E2895="Plotted Development","PLT","OTH"))))
&amp;"-"&amp;TEXT(COUNTIFS($B$9:B2895,B2895,$E$9:E2895,E2895),"0000")</f>
        <v>VAL-RES-0067</v>
      </c>
      <c r="B2895" s="322" t="s">
        <v>35</v>
      </c>
      <c r="C2895" s="322" t="s">
        <v>35</v>
      </c>
      <c r="D2895" s="323" t="s">
        <v>3084</v>
      </c>
      <c r="E2895" s="132" t="s">
        <v>24</v>
      </c>
      <c r="F2895" s="97" t="str">
        <f ca="1">IF(OR(Market_Data[[#This Row],[Start Date]]="",Market_Data[[#This Row],[Completion Date]]=""),"Needs Validation",IF(Market_Data[[#This Row],[Start Date]]&gt;TODAY(),"Planned",IF(Market_Data[[#This Row],[Completion Date]]&lt;TODAY(),"Completed","Ongoing")))</f>
        <v>Completed</v>
      </c>
      <c r="G2895" s="324">
        <v>43525</v>
      </c>
      <c r="H2895" s="324">
        <v>45838</v>
      </c>
      <c r="I2895" s="325">
        <v>48100</v>
      </c>
      <c r="J289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95" s="133">
        <f>_xlfn.XLOOKUP(Market_Data[[#This Row],[Project Type]],tbl_assumptions_market[Project Category (RERA)],tbl_assumptions_market[Concrete Intensity
(m³ / sq m BUA)],"",0)</f>
        <v>0.45</v>
      </c>
      <c r="L2895" s="134">
        <f>ROUND(Market_Data[[#This Row],[Estimated Built Up Area (sq m)]]*Market_Data[[#This Row],[Concrete Intensity
(m³ / sq m)]],0)</f>
        <v>21645</v>
      </c>
      <c r="M2895" s="135">
        <f>_xlfn.XLOOKUP(Market_Data[[#This Row],[District]],tbl_district_price[District],tbl_district_price[Standard Price
(INR/m³)],"",0)</f>
        <v>5600</v>
      </c>
      <c r="N2895" s="364">
        <f>IF(OR(Market_Data[[#This Row],[Estimated Concrete Demand (m³)]]="",Market_Data[[#This Row],[Avg Price per (₹ / m³)]]=""),"",Market_Data[[#This Row],[Estimated Concrete Demand (m³)]]*Market_Data[[#This Row],[Avg Price per (₹ / m³)]]/10000000)</f>
        <v>12.1212</v>
      </c>
      <c r="O2895" s="97" t="str">
        <f>IF(Market_Data[[#This Row],[Estimated Concrete Demand (m³)]]="","",
IF(Market_Data[[#This Row],[Estimated Concrete Demand (m³)]]&lt;10000,"Small",
IF(Market_Data[[#This Row],[Estimated Concrete Demand (m³)]]&lt;25000,"Medium",
IF(Market_Data[[#This Row],[Estimated Concrete Demand (m³)]]&lt;100000,"Large","Mega"))))</f>
        <v>Medium</v>
      </c>
      <c r="P2895" s="287" t="str">
        <f t="shared" si="47"/>
        <v>GujRERA</v>
      </c>
    </row>
    <row r="2896" spans="1:16">
      <c r="A2896" s="129" t="str">
        <f>_xlfn.XLOOKUP(B2896,$S$9:$S$14,$T$9:$T$14)&amp;"-"&amp;
IF(E2896="Residential/Group Housing","RES",
IF(E2896="Commercial","COM",
IF(E2896="Mixed Development","MIX",
IF(E2896="Plotted Development","PLT","OTH"))))
&amp;"-"&amp;TEXT(COUNTIFS($B$9:B2896,B2896,$E$9:E2896,E2896),"0000")</f>
        <v>VAL-RES-0068</v>
      </c>
      <c r="B2896" s="322" t="s">
        <v>35</v>
      </c>
      <c r="C2896" s="322" t="s">
        <v>35</v>
      </c>
      <c r="D2896" s="323" t="s">
        <v>3085</v>
      </c>
      <c r="E2896" s="132" t="s">
        <v>24</v>
      </c>
      <c r="F2896" s="97" t="str">
        <f ca="1">IF(OR(Market_Data[[#This Row],[Start Date]]="",Market_Data[[#This Row],[Completion Date]]=""),"Needs Validation",IF(Market_Data[[#This Row],[Start Date]]&gt;TODAY(),"Planned",IF(Market_Data[[#This Row],[Completion Date]]&lt;TODAY(),"Completed","Ongoing")))</f>
        <v>Ongoing</v>
      </c>
      <c r="G2896" s="324">
        <v>44013</v>
      </c>
      <c r="H2896" s="324">
        <v>46752</v>
      </c>
      <c r="I2896" s="325">
        <v>57600</v>
      </c>
      <c r="J289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96" s="133">
        <f>_xlfn.XLOOKUP(Market_Data[[#This Row],[Project Type]],tbl_assumptions_market[Project Category (RERA)],tbl_assumptions_market[Concrete Intensity
(m³ / sq m BUA)],"",0)</f>
        <v>0.45</v>
      </c>
      <c r="L2896" s="134">
        <f>ROUND(Market_Data[[#This Row],[Estimated Built Up Area (sq m)]]*Market_Data[[#This Row],[Concrete Intensity
(m³ / sq m)]],0)</f>
        <v>25920</v>
      </c>
      <c r="M2896" s="135">
        <f>_xlfn.XLOOKUP(Market_Data[[#This Row],[District]],tbl_district_price[District],tbl_district_price[Standard Price
(INR/m³)],"",0)</f>
        <v>5600</v>
      </c>
      <c r="N2896" s="364">
        <f>IF(OR(Market_Data[[#This Row],[Estimated Concrete Demand (m³)]]="",Market_Data[[#This Row],[Avg Price per (₹ / m³)]]=""),"",Market_Data[[#This Row],[Estimated Concrete Demand (m³)]]*Market_Data[[#This Row],[Avg Price per (₹ / m³)]]/10000000)</f>
        <v>14.5152</v>
      </c>
      <c r="O2896" s="97" t="str">
        <f>IF(Market_Data[[#This Row],[Estimated Concrete Demand (m³)]]="","",
IF(Market_Data[[#This Row],[Estimated Concrete Demand (m³)]]&lt;10000,"Small",
IF(Market_Data[[#This Row],[Estimated Concrete Demand (m³)]]&lt;25000,"Medium",
IF(Market_Data[[#This Row],[Estimated Concrete Demand (m³)]]&lt;100000,"Large","Mega"))))</f>
        <v>Large</v>
      </c>
      <c r="P2896" s="287" t="str">
        <f t="shared" si="47"/>
        <v>GujRERA</v>
      </c>
    </row>
    <row r="2897" spans="1:16">
      <c r="A2897" s="129" t="str">
        <f>_xlfn.XLOOKUP(B2897,$S$9:$S$14,$T$9:$T$14)&amp;"-"&amp;
IF(E2897="Residential/Group Housing","RES",
IF(E2897="Commercial","COM",
IF(E2897="Mixed Development","MIX",
IF(E2897="Plotted Development","PLT","OTH"))))
&amp;"-"&amp;TEXT(COUNTIFS($B$9:B2897,B2897,$E$9:E2897,E2897),"0000")</f>
        <v>VAL-RES-0069</v>
      </c>
      <c r="B2897" s="322" t="s">
        <v>35</v>
      </c>
      <c r="C2897" s="322" t="s">
        <v>35</v>
      </c>
      <c r="D2897" s="323" t="s">
        <v>3086</v>
      </c>
      <c r="E2897" s="132" t="s">
        <v>24</v>
      </c>
      <c r="F2897" s="97" t="str">
        <f ca="1">IF(OR(Market_Data[[#This Row],[Start Date]]="",Market_Data[[#This Row],[Completion Date]]=""),"Needs Validation",IF(Market_Data[[#This Row],[Start Date]]&gt;TODAY(),"Planned",IF(Market_Data[[#This Row],[Completion Date]]&lt;TODAY(),"Completed","Ongoing")))</f>
        <v>Completed</v>
      </c>
      <c r="G2897" s="324">
        <v>44706</v>
      </c>
      <c r="H2897" s="324">
        <v>46022</v>
      </c>
      <c r="I2897" s="325">
        <v>38200</v>
      </c>
      <c r="J289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97" s="133">
        <f>_xlfn.XLOOKUP(Market_Data[[#This Row],[Project Type]],tbl_assumptions_market[Project Category (RERA)],tbl_assumptions_market[Concrete Intensity
(m³ / sq m BUA)],"",0)</f>
        <v>0.45</v>
      </c>
      <c r="L2897" s="134">
        <f>ROUND(Market_Data[[#This Row],[Estimated Built Up Area (sq m)]]*Market_Data[[#This Row],[Concrete Intensity
(m³ / sq m)]],0)</f>
        <v>17190</v>
      </c>
      <c r="M2897" s="135">
        <f>_xlfn.XLOOKUP(Market_Data[[#This Row],[District]],tbl_district_price[District],tbl_district_price[Standard Price
(INR/m³)],"",0)</f>
        <v>5600</v>
      </c>
      <c r="N2897" s="364">
        <f>IF(OR(Market_Data[[#This Row],[Estimated Concrete Demand (m³)]]="",Market_Data[[#This Row],[Avg Price per (₹ / m³)]]=""),"",Market_Data[[#This Row],[Estimated Concrete Demand (m³)]]*Market_Data[[#This Row],[Avg Price per (₹ / m³)]]/10000000)</f>
        <v>9.6264000000000003</v>
      </c>
      <c r="O2897" s="97" t="str">
        <f>IF(Market_Data[[#This Row],[Estimated Concrete Demand (m³)]]="","",
IF(Market_Data[[#This Row],[Estimated Concrete Demand (m³)]]&lt;10000,"Small",
IF(Market_Data[[#This Row],[Estimated Concrete Demand (m³)]]&lt;25000,"Medium",
IF(Market_Data[[#This Row],[Estimated Concrete Demand (m³)]]&lt;100000,"Large","Mega"))))</f>
        <v>Medium</v>
      </c>
      <c r="P2897" s="287" t="str">
        <f t="shared" si="47"/>
        <v>GujRERA</v>
      </c>
    </row>
    <row r="2898" spans="1:16">
      <c r="A2898" s="129" t="str">
        <f>_xlfn.XLOOKUP(B2898,$S$9:$S$14,$T$9:$T$14)&amp;"-"&amp;
IF(E2898="Residential/Group Housing","RES",
IF(E2898="Commercial","COM",
IF(E2898="Mixed Development","MIX",
IF(E2898="Plotted Development","PLT","OTH"))))
&amp;"-"&amp;TEXT(COUNTIFS($B$9:B2898,B2898,$E$9:E2898,E2898),"0000")</f>
        <v>VAL-RES-0070</v>
      </c>
      <c r="B2898" s="322" t="s">
        <v>35</v>
      </c>
      <c r="C2898" s="322" t="s">
        <v>35</v>
      </c>
      <c r="D2898" s="323" t="s">
        <v>3087</v>
      </c>
      <c r="E2898" s="132" t="s">
        <v>24</v>
      </c>
      <c r="F2898" s="97" t="str">
        <f ca="1">IF(OR(Market_Data[[#This Row],[Start Date]]="",Market_Data[[#This Row],[Completion Date]]=""),"Needs Validation",IF(Market_Data[[#This Row],[Start Date]]&gt;TODAY(),"Planned",IF(Market_Data[[#This Row],[Completion Date]]&lt;TODAY(),"Completed","Ongoing")))</f>
        <v>Completed</v>
      </c>
      <c r="G2898" s="324">
        <v>43083</v>
      </c>
      <c r="H2898" s="324">
        <v>44285</v>
      </c>
      <c r="I2898" s="325">
        <v>39500</v>
      </c>
      <c r="J289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98" s="133">
        <f>_xlfn.XLOOKUP(Market_Data[[#This Row],[Project Type]],tbl_assumptions_market[Project Category (RERA)],tbl_assumptions_market[Concrete Intensity
(m³ / sq m BUA)],"",0)</f>
        <v>0.45</v>
      </c>
      <c r="L2898" s="134">
        <f>ROUND(Market_Data[[#This Row],[Estimated Built Up Area (sq m)]]*Market_Data[[#This Row],[Concrete Intensity
(m³ / sq m)]],0)</f>
        <v>17775</v>
      </c>
      <c r="M2898" s="135">
        <f>_xlfn.XLOOKUP(Market_Data[[#This Row],[District]],tbl_district_price[District],tbl_district_price[Standard Price
(INR/m³)],"",0)</f>
        <v>5600</v>
      </c>
      <c r="N2898" s="364">
        <f>IF(OR(Market_Data[[#This Row],[Estimated Concrete Demand (m³)]]="",Market_Data[[#This Row],[Avg Price per (₹ / m³)]]=""),"",Market_Data[[#This Row],[Estimated Concrete Demand (m³)]]*Market_Data[[#This Row],[Avg Price per (₹ / m³)]]/10000000)</f>
        <v>9.9540000000000006</v>
      </c>
      <c r="O2898" s="97" t="str">
        <f>IF(Market_Data[[#This Row],[Estimated Concrete Demand (m³)]]="","",
IF(Market_Data[[#This Row],[Estimated Concrete Demand (m³)]]&lt;10000,"Small",
IF(Market_Data[[#This Row],[Estimated Concrete Demand (m³)]]&lt;25000,"Medium",
IF(Market_Data[[#This Row],[Estimated Concrete Demand (m³)]]&lt;100000,"Large","Mega"))))</f>
        <v>Medium</v>
      </c>
      <c r="P2898" s="287" t="str">
        <f t="shared" si="47"/>
        <v>GujRERA</v>
      </c>
    </row>
    <row r="2899" spans="1:16">
      <c r="A2899" s="129" t="str">
        <f>_xlfn.XLOOKUP(B2899,$S$9:$S$14,$T$9:$T$14)&amp;"-"&amp;
IF(E2899="Residential/Group Housing","RES",
IF(E2899="Commercial","COM",
IF(E2899="Mixed Development","MIX",
IF(E2899="Plotted Development","PLT","OTH"))))
&amp;"-"&amp;TEXT(COUNTIFS($B$9:B2899,B2899,$E$9:E2899,E2899),"0000")</f>
        <v>VAL-RES-0071</v>
      </c>
      <c r="B2899" s="322" t="s">
        <v>35</v>
      </c>
      <c r="C2899" s="322" t="s">
        <v>35</v>
      </c>
      <c r="D2899" s="323" t="s">
        <v>3088</v>
      </c>
      <c r="E2899" s="132" t="s">
        <v>24</v>
      </c>
      <c r="F2899" s="97" t="str">
        <f ca="1">IF(OR(Market_Data[[#This Row],[Start Date]]="",Market_Data[[#This Row],[Completion Date]]=""),"Needs Validation",IF(Market_Data[[#This Row],[Start Date]]&gt;TODAY(),"Planned",IF(Market_Data[[#This Row],[Completion Date]]&lt;TODAY(),"Completed","Ongoing")))</f>
        <v>Ongoing</v>
      </c>
      <c r="G2899" s="324">
        <v>45026</v>
      </c>
      <c r="H2899" s="324">
        <v>46387</v>
      </c>
      <c r="I2899" s="325">
        <v>35900</v>
      </c>
      <c r="J289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899" s="133">
        <f>_xlfn.XLOOKUP(Market_Data[[#This Row],[Project Type]],tbl_assumptions_market[Project Category (RERA)],tbl_assumptions_market[Concrete Intensity
(m³ / sq m BUA)],"",0)</f>
        <v>0.45</v>
      </c>
      <c r="L2899" s="134">
        <f>ROUND(Market_Data[[#This Row],[Estimated Built Up Area (sq m)]]*Market_Data[[#This Row],[Concrete Intensity
(m³ / sq m)]],0)</f>
        <v>16155</v>
      </c>
      <c r="M2899" s="135">
        <f>_xlfn.XLOOKUP(Market_Data[[#This Row],[District]],tbl_district_price[District],tbl_district_price[Standard Price
(INR/m³)],"",0)</f>
        <v>5600</v>
      </c>
      <c r="N2899" s="364">
        <f>IF(OR(Market_Data[[#This Row],[Estimated Concrete Demand (m³)]]="",Market_Data[[#This Row],[Avg Price per (₹ / m³)]]=""),"",Market_Data[[#This Row],[Estimated Concrete Demand (m³)]]*Market_Data[[#This Row],[Avg Price per (₹ / m³)]]/10000000)</f>
        <v>9.0467999999999993</v>
      </c>
      <c r="O2899" s="97" t="str">
        <f>IF(Market_Data[[#This Row],[Estimated Concrete Demand (m³)]]="","",
IF(Market_Data[[#This Row],[Estimated Concrete Demand (m³)]]&lt;10000,"Small",
IF(Market_Data[[#This Row],[Estimated Concrete Demand (m³)]]&lt;25000,"Medium",
IF(Market_Data[[#This Row],[Estimated Concrete Demand (m³)]]&lt;100000,"Large","Mega"))))</f>
        <v>Medium</v>
      </c>
      <c r="P2899" s="287" t="str">
        <f t="shared" si="47"/>
        <v>GujRERA</v>
      </c>
    </row>
    <row r="2900" spans="1:16">
      <c r="A2900" s="129" t="str">
        <f>_xlfn.XLOOKUP(B2900,$S$9:$S$14,$T$9:$T$14)&amp;"-"&amp;
IF(E2900="Residential/Group Housing","RES",
IF(E2900="Commercial","COM",
IF(E2900="Mixed Development","MIX",
IF(E2900="Plotted Development","PLT","OTH"))))
&amp;"-"&amp;TEXT(COUNTIFS($B$9:B2900,B2900,$E$9:E2900,E2900),"0000")</f>
        <v>VAL-MIX-0083</v>
      </c>
      <c r="B2900" s="322" t="s">
        <v>35</v>
      </c>
      <c r="C2900" s="322" t="s">
        <v>35</v>
      </c>
      <c r="D2900" s="323" t="s">
        <v>3089</v>
      </c>
      <c r="E2900" s="132" t="s">
        <v>25</v>
      </c>
      <c r="F2900" s="97" t="str">
        <f ca="1">IF(OR(Market_Data[[#This Row],[Start Date]]="",Market_Data[[#This Row],[Completion Date]]=""),"Needs Validation",IF(Market_Data[[#This Row],[Start Date]]&gt;TODAY(),"Planned",IF(Market_Data[[#This Row],[Completion Date]]&lt;TODAY(),"Completed","Ongoing")))</f>
        <v>Completed</v>
      </c>
      <c r="G2900" s="324">
        <v>42923</v>
      </c>
      <c r="H2900" s="324">
        <v>44377</v>
      </c>
      <c r="I2900" s="325">
        <v>42700</v>
      </c>
      <c r="J290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00" s="133">
        <f>_xlfn.XLOOKUP(Market_Data[[#This Row],[Project Type]],tbl_assumptions_market[Project Category (RERA)],tbl_assumptions_market[Concrete Intensity
(m³ / sq m BUA)],"",0)</f>
        <v>0.42</v>
      </c>
      <c r="L2900" s="134">
        <f>ROUND(Market_Data[[#This Row],[Estimated Built Up Area (sq m)]]*Market_Data[[#This Row],[Concrete Intensity
(m³ / sq m)]],0)</f>
        <v>17934</v>
      </c>
      <c r="M2900" s="135">
        <f>_xlfn.XLOOKUP(Market_Data[[#This Row],[District]],tbl_district_price[District],tbl_district_price[Standard Price
(INR/m³)],"",0)</f>
        <v>5600</v>
      </c>
      <c r="N2900" s="364">
        <f>IF(OR(Market_Data[[#This Row],[Estimated Concrete Demand (m³)]]="",Market_Data[[#This Row],[Avg Price per (₹ / m³)]]=""),"",Market_Data[[#This Row],[Estimated Concrete Demand (m³)]]*Market_Data[[#This Row],[Avg Price per (₹ / m³)]]/10000000)</f>
        <v>10.04304</v>
      </c>
      <c r="O2900" s="97" t="str">
        <f>IF(Market_Data[[#This Row],[Estimated Concrete Demand (m³)]]="","",
IF(Market_Data[[#This Row],[Estimated Concrete Demand (m³)]]&lt;10000,"Small",
IF(Market_Data[[#This Row],[Estimated Concrete Demand (m³)]]&lt;25000,"Medium",
IF(Market_Data[[#This Row],[Estimated Concrete Demand (m³)]]&lt;100000,"Large","Mega"))))</f>
        <v>Medium</v>
      </c>
      <c r="P2900" s="287" t="str">
        <f t="shared" si="47"/>
        <v>GujRERA</v>
      </c>
    </row>
    <row r="2901" spans="1:16">
      <c r="A2901" s="129" t="str">
        <f>_xlfn.XLOOKUP(B2901,$S$9:$S$14,$T$9:$T$14)&amp;"-"&amp;
IF(E2901="Residential/Group Housing","RES",
IF(E2901="Commercial","COM",
IF(E2901="Mixed Development","MIX",
IF(E2901="Plotted Development","PLT","OTH"))))
&amp;"-"&amp;TEXT(COUNTIFS($B$9:B2901,B2901,$E$9:E2901,E2901),"0000")</f>
        <v>VAL-MIX-0084</v>
      </c>
      <c r="B2901" s="322" t="s">
        <v>35</v>
      </c>
      <c r="C2901" s="322" t="s">
        <v>35</v>
      </c>
      <c r="D2901" s="323" t="s">
        <v>3090</v>
      </c>
      <c r="E2901" s="132" t="s">
        <v>25</v>
      </c>
      <c r="F2901" s="97" t="str">
        <f ca="1">IF(OR(Market_Data[[#This Row],[Start Date]]="",Market_Data[[#This Row],[Completion Date]]=""),"Needs Validation",IF(Market_Data[[#This Row],[Start Date]]&gt;TODAY(),"Planned",IF(Market_Data[[#This Row],[Completion Date]]&lt;TODAY(),"Completed","Ongoing")))</f>
        <v>Completed</v>
      </c>
      <c r="G2901" s="324">
        <v>42430</v>
      </c>
      <c r="H2901" s="324">
        <v>44958</v>
      </c>
      <c r="I2901" s="325">
        <v>11600</v>
      </c>
      <c r="J290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01" s="133">
        <f>_xlfn.XLOOKUP(Market_Data[[#This Row],[Project Type]],tbl_assumptions_market[Project Category (RERA)],tbl_assumptions_market[Concrete Intensity
(m³ / sq m BUA)],"",0)</f>
        <v>0.42</v>
      </c>
      <c r="L2901" s="134">
        <f>ROUND(Market_Data[[#This Row],[Estimated Built Up Area (sq m)]]*Market_Data[[#This Row],[Concrete Intensity
(m³ / sq m)]],0)</f>
        <v>4872</v>
      </c>
      <c r="M2901" s="135">
        <f>_xlfn.XLOOKUP(Market_Data[[#This Row],[District]],tbl_district_price[District],tbl_district_price[Standard Price
(INR/m³)],"",0)</f>
        <v>5600</v>
      </c>
      <c r="N2901" s="364">
        <f>IF(OR(Market_Data[[#This Row],[Estimated Concrete Demand (m³)]]="",Market_Data[[#This Row],[Avg Price per (₹ / m³)]]=""),"",Market_Data[[#This Row],[Estimated Concrete Demand (m³)]]*Market_Data[[#This Row],[Avg Price per (₹ / m³)]]/10000000)</f>
        <v>2.7283200000000001</v>
      </c>
      <c r="O2901" s="97" t="str">
        <f>IF(Market_Data[[#This Row],[Estimated Concrete Demand (m³)]]="","",
IF(Market_Data[[#This Row],[Estimated Concrete Demand (m³)]]&lt;10000,"Small",
IF(Market_Data[[#This Row],[Estimated Concrete Demand (m³)]]&lt;25000,"Medium",
IF(Market_Data[[#This Row],[Estimated Concrete Demand (m³)]]&lt;100000,"Large","Mega"))))</f>
        <v>Small</v>
      </c>
      <c r="P2901" s="287" t="str">
        <f t="shared" si="47"/>
        <v>GujRERA</v>
      </c>
    </row>
    <row r="2902" spans="1:16">
      <c r="A2902" s="129" t="str">
        <f>_xlfn.XLOOKUP(B2902,$S$9:$S$14,$T$9:$T$14)&amp;"-"&amp;
IF(E2902="Residential/Group Housing","RES",
IF(E2902="Commercial","COM",
IF(E2902="Mixed Development","MIX",
IF(E2902="Plotted Development","PLT","OTH"))))
&amp;"-"&amp;TEXT(COUNTIFS($B$9:B2902,B2902,$E$9:E2902,E2902),"0000")</f>
        <v>VAL-MIX-0085</v>
      </c>
      <c r="B2902" s="322" t="s">
        <v>35</v>
      </c>
      <c r="C2902" s="322" t="s">
        <v>35</v>
      </c>
      <c r="D2902" s="323" t="s">
        <v>3091</v>
      </c>
      <c r="E2902" s="132" t="s">
        <v>25</v>
      </c>
      <c r="F2902" s="97" t="str">
        <f ca="1">IF(OR(Market_Data[[#This Row],[Start Date]]="",Market_Data[[#This Row],[Completion Date]]=""),"Needs Validation",IF(Market_Data[[#This Row],[Start Date]]&gt;TODAY(),"Planned",IF(Market_Data[[#This Row],[Completion Date]]&lt;TODAY(),"Completed","Ongoing")))</f>
        <v>Ongoing</v>
      </c>
      <c r="G2902" s="324">
        <v>45636</v>
      </c>
      <c r="H2902" s="324">
        <v>46752</v>
      </c>
      <c r="I2902" s="325">
        <v>35500</v>
      </c>
      <c r="J290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02" s="133">
        <f>_xlfn.XLOOKUP(Market_Data[[#This Row],[Project Type]],tbl_assumptions_market[Project Category (RERA)],tbl_assumptions_market[Concrete Intensity
(m³ / sq m BUA)],"",0)</f>
        <v>0.42</v>
      </c>
      <c r="L2902" s="134">
        <f>ROUND(Market_Data[[#This Row],[Estimated Built Up Area (sq m)]]*Market_Data[[#This Row],[Concrete Intensity
(m³ / sq m)]],0)</f>
        <v>14910</v>
      </c>
      <c r="M2902" s="135">
        <f>_xlfn.XLOOKUP(Market_Data[[#This Row],[District]],tbl_district_price[District],tbl_district_price[Standard Price
(INR/m³)],"",0)</f>
        <v>5600</v>
      </c>
      <c r="N2902" s="364">
        <f>IF(OR(Market_Data[[#This Row],[Estimated Concrete Demand (m³)]]="",Market_Data[[#This Row],[Avg Price per (₹ / m³)]]=""),"",Market_Data[[#This Row],[Estimated Concrete Demand (m³)]]*Market_Data[[#This Row],[Avg Price per (₹ / m³)]]/10000000)</f>
        <v>8.3496000000000006</v>
      </c>
      <c r="O2902" s="97" t="str">
        <f>IF(Market_Data[[#This Row],[Estimated Concrete Demand (m³)]]="","",
IF(Market_Data[[#This Row],[Estimated Concrete Demand (m³)]]&lt;10000,"Small",
IF(Market_Data[[#This Row],[Estimated Concrete Demand (m³)]]&lt;25000,"Medium",
IF(Market_Data[[#This Row],[Estimated Concrete Demand (m³)]]&lt;100000,"Large","Mega"))))</f>
        <v>Medium</v>
      </c>
      <c r="P2902" s="287" t="str">
        <f t="shared" si="47"/>
        <v>GujRERA</v>
      </c>
    </row>
    <row r="2903" spans="1:16">
      <c r="A2903" s="129" t="str">
        <f>_xlfn.XLOOKUP(B2903,$S$9:$S$14,$T$9:$T$14)&amp;"-"&amp;
IF(E2903="Residential/Group Housing","RES",
IF(E2903="Commercial","COM",
IF(E2903="Mixed Development","MIX",
IF(E2903="Plotted Development","PLT","OTH"))))
&amp;"-"&amp;TEXT(COUNTIFS($B$9:B2903,B2903,$E$9:E2903,E2903),"0000")</f>
        <v>VAL-RES-0072</v>
      </c>
      <c r="B2903" s="322" t="s">
        <v>35</v>
      </c>
      <c r="C2903" s="322" t="s">
        <v>35</v>
      </c>
      <c r="D2903" s="323" t="s">
        <v>3092</v>
      </c>
      <c r="E2903" s="132" t="s">
        <v>24</v>
      </c>
      <c r="F2903" s="97" t="str">
        <f ca="1">IF(OR(Market_Data[[#This Row],[Start Date]]="",Market_Data[[#This Row],[Completion Date]]=""),"Needs Validation",IF(Market_Data[[#This Row],[Start Date]]&gt;TODAY(),"Planned",IF(Market_Data[[#This Row],[Completion Date]]&lt;TODAY(),"Completed","Ongoing")))</f>
        <v>Completed</v>
      </c>
      <c r="G2903" s="324">
        <v>43600</v>
      </c>
      <c r="H2903" s="324">
        <v>45107</v>
      </c>
      <c r="I2903" s="325">
        <v>23200</v>
      </c>
      <c r="J290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03" s="133">
        <f>_xlfn.XLOOKUP(Market_Data[[#This Row],[Project Type]],tbl_assumptions_market[Project Category (RERA)],tbl_assumptions_market[Concrete Intensity
(m³ / sq m BUA)],"",0)</f>
        <v>0.45</v>
      </c>
      <c r="L2903" s="134">
        <f>ROUND(Market_Data[[#This Row],[Estimated Built Up Area (sq m)]]*Market_Data[[#This Row],[Concrete Intensity
(m³ / sq m)]],0)</f>
        <v>10440</v>
      </c>
      <c r="M2903" s="135">
        <f>_xlfn.XLOOKUP(Market_Data[[#This Row],[District]],tbl_district_price[District],tbl_district_price[Standard Price
(INR/m³)],"",0)</f>
        <v>5600</v>
      </c>
      <c r="N2903" s="364">
        <f>IF(OR(Market_Data[[#This Row],[Estimated Concrete Demand (m³)]]="",Market_Data[[#This Row],[Avg Price per (₹ / m³)]]=""),"",Market_Data[[#This Row],[Estimated Concrete Demand (m³)]]*Market_Data[[#This Row],[Avg Price per (₹ / m³)]]/10000000)</f>
        <v>5.8464</v>
      </c>
      <c r="O2903" s="97" t="str">
        <f>IF(Market_Data[[#This Row],[Estimated Concrete Demand (m³)]]="","",
IF(Market_Data[[#This Row],[Estimated Concrete Demand (m³)]]&lt;10000,"Small",
IF(Market_Data[[#This Row],[Estimated Concrete Demand (m³)]]&lt;25000,"Medium",
IF(Market_Data[[#This Row],[Estimated Concrete Demand (m³)]]&lt;100000,"Large","Mega"))))</f>
        <v>Medium</v>
      </c>
      <c r="P2903" s="287" t="str">
        <f t="shared" si="47"/>
        <v>GujRERA</v>
      </c>
    </row>
    <row r="2904" spans="1:16">
      <c r="A2904" s="129" t="str">
        <f>_xlfn.XLOOKUP(B2904,$S$9:$S$14,$T$9:$T$14)&amp;"-"&amp;
IF(E2904="Residential/Group Housing","RES",
IF(E2904="Commercial","COM",
IF(E2904="Mixed Development","MIX",
IF(E2904="Plotted Development","PLT","OTH"))))
&amp;"-"&amp;TEXT(COUNTIFS($B$9:B2904,B2904,$E$9:E2904,E2904),"0000")</f>
        <v>VAL-MIX-0086</v>
      </c>
      <c r="B2904" s="322" t="s">
        <v>35</v>
      </c>
      <c r="C2904" s="322" t="s">
        <v>35</v>
      </c>
      <c r="D2904" s="323" t="s">
        <v>3093</v>
      </c>
      <c r="E2904" s="132" t="s">
        <v>25</v>
      </c>
      <c r="F2904" s="97" t="str">
        <f ca="1">IF(OR(Market_Data[[#This Row],[Start Date]]="",Market_Data[[#This Row],[Completion Date]]=""),"Needs Validation",IF(Market_Data[[#This Row],[Start Date]]&gt;TODAY(),"Planned",IF(Market_Data[[#This Row],[Completion Date]]&lt;TODAY(),"Completed","Ongoing")))</f>
        <v>Ongoing</v>
      </c>
      <c r="G2904" s="324">
        <v>45041</v>
      </c>
      <c r="H2904" s="324">
        <v>47118</v>
      </c>
      <c r="I2904" s="325">
        <v>7700</v>
      </c>
      <c r="J290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904" s="133">
        <f>_xlfn.XLOOKUP(Market_Data[[#This Row],[Project Type]],tbl_assumptions_market[Project Category (RERA)],tbl_assumptions_market[Concrete Intensity
(m³ / sq m BUA)],"",0)</f>
        <v>0.42</v>
      </c>
      <c r="L2904" s="134">
        <f>ROUND(Market_Data[[#This Row],[Estimated Built Up Area (sq m)]]*Market_Data[[#This Row],[Concrete Intensity
(m³ / sq m)]],0)</f>
        <v>3234</v>
      </c>
      <c r="M2904" s="135">
        <f>_xlfn.XLOOKUP(Market_Data[[#This Row],[District]],tbl_district_price[District],tbl_district_price[Standard Price
(INR/m³)],"",0)</f>
        <v>5600</v>
      </c>
      <c r="N2904" s="364">
        <f>IF(OR(Market_Data[[#This Row],[Estimated Concrete Demand (m³)]]="",Market_Data[[#This Row],[Avg Price per (₹ / m³)]]=""),"",Market_Data[[#This Row],[Estimated Concrete Demand (m³)]]*Market_Data[[#This Row],[Avg Price per (₹ / m³)]]/10000000)</f>
        <v>1.81104</v>
      </c>
      <c r="O2904" s="97" t="str">
        <f>IF(Market_Data[[#This Row],[Estimated Concrete Demand (m³)]]="","",
IF(Market_Data[[#This Row],[Estimated Concrete Demand (m³)]]&lt;10000,"Small",
IF(Market_Data[[#This Row],[Estimated Concrete Demand (m³)]]&lt;25000,"Medium",
IF(Market_Data[[#This Row],[Estimated Concrete Demand (m³)]]&lt;100000,"Large","Mega"))))</f>
        <v>Small</v>
      </c>
      <c r="P2904" s="287" t="str">
        <f t="shared" si="47"/>
        <v>GujRERA</v>
      </c>
    </row>
    <row r="2905" spans="1:16">
      <c r="A2905" s="129" t="str">
        <f>_xlfn.XLOOKUP(B2905,$S$9:$S$14,$T$9:$T$14)&amp;"-"&amp;
IF(E2905="Residential/Group Housing","RES",
IF(E2905="Commercial","COM",
IF(E2905="Mixed Development","MIX",
IF(E2905="Plotted Development","PLT","OTH"))))
&amp;"-"&amp;TEXT(COUNTIFS($B$9:B2905,B2905,$E$9:E2905,E2905),"0000")</f>
        <v>VAL-RES-0073</v>
      </c>
      <c r="B2905" s="322" t="s">
        <v>35</v>
      </c>
      <c r="C2905" s="322" t="s">
        <v>35</v>
      </c>
      <c r="D2905" s="323" t="s">
        <v>3094</v>
      </c>
      <c r="E2905" s="132" t="s">
        <v>24</v>
      </c>
      <c r="F2905" s="97" t="str">
        <f ca="1">IF(OR(Market_Data[[#This Row],[Start Date]]="",Market_Data[[#This Row],[Completion Date]]=""),"Needs Validation",IF(Market_Data[[#This Row],[Start Date]]&gt;TODAY(),"Planned",IF(Market_Data[[#This Row],[Completion Date]]&lt;TODAY(),"Completed","Ongoing")))</f>
        <v>Completed</v>
      </c>
      <c r="G2905" s="324">
        <v>43617</v>
      </c>
      <c r="H2905" s="324">
        <v>45350</v>
      </c>
      <c r="I2905" s="325">
        <v>37400</v>
      </c>
      <c r="J290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05" s="133">
        <f>_xlfn.XLOOKUP(Market_Data[[#This Row],[Project Type]],tbl_assumptions_market[Project Category (RERA)],tbl_assumptions_market[Concrete Intensity
(m³ / sq m BUA)],"",0)</f>
        <v>0.45</v>
      </c>
      <c r="L2905" s="134">
        <f>ROUND(Market_Data[[#This Row],[Estimated Built Up Area (sq m)]]*Market_Data[[#This Row],[Concrete Intensity
(m³ / sq m)]],0)</f>
        <v>16830</v>
      </c>
      <c r="M2905" s="135">
        <f>_xlfn.XLOOKUP(Market_Data[[#This Row],[District]],tbl_district_price[District],tbl_district_price[Standard Price
(INR/m³)],"",0)</f>
        <v>5600</v>
      </c>
      <c r="N2905" s="364">
        <f>IF(OR(Market_Data[[#This Row],[Estimated Concrete Demand (m³)]]="",Market_Data[[#This Row],[Avg Price per (₹ / m³)]]=""),"",Market_Data[[#This Row],[Estimated Concrete Demand (m³)]]*Market_Data[[#This Row],[Avg Price per (₹ / m³)]]/10000000)</f>
        <v>9.4247999999999994</v>
      </c>
      <c r="O2905" s="97" t="str">
        <f>IF(Market_Data[[#This Row],[Estimated Concrete Demand (m³)]]="","",
IF(Market_Data[[#This Row],[Estimated Concrete Demand (m³)]]&lt;10000,"Small",
IF(Market_Data[[#This Row],[Estimated Concrete Demand (m³)]]&lt;25000,"Medium",
IF(Market_Data[[#This Row],[Estimated Concrete Demand (m³)]]&lt;100000,"Large","Mega"))))</f>
        <v>Medium</v>
      </c>
      <c r="P2905" s="287" t="str">
        <f t="shared" si="47"/>
        <v>GujRERA</v>
      </c>
    </row>
    <row r="2906" spans="1:16">
      <c r="A2906" s="129" t="str">
        <f>_xlfn.XLOOKUP(B2906,$S$9:$S$14,$T$9:$T$14)&amp;"-"&amp;
IF(E2906="Residential/Group Housing","RES",
IF(E2906="Commercial","COM",
IF(E2906="Mixed Development","MIX",
IF(E2906="Plotted Development","PLT","OTH"))))
&amp;"-"&amp;TEXT(COUNTIFS($B$9:B2906,B2906,$E$9:E2906,E2906),"0000")</f>
        <v>VAL-MIX-0087</v>
      </c>
      <c r="B2906" s="322" t="s">
        <v>35</v>
      </c>
      <c r="C2906" s="322" t="s">
        <v>35</v>
      </c>
      <c r="D2906" s="323" t="s">
        <v>3095</v>
      </c>
      <c r="E2906" s="132" t="s">
        <v>25</v>
      </c>
      <c r="F2906" s="97" t="str">
        <f ca="1">IF(OR(Market_Data[[#This Row],[Start Date]]="",Market_Data[[#This Row],[Completion Date]]=""),"Needs Validation",IF(Market_Data[[#This Row],[Start Date]]&gt;TODAY(),"Planned",IF(Market_Data[[#This Row],[Completion Date]]&lt;TODAY(),"Completed","Ongoing")))</f>
        <v>Ongoing</v>
      </c>
      <c r="G2906" s="324">
        <v>45757</v>
      </c>
      <c r="H2906" s="324">
        <v>47483</v>
      </c>
      <c r="I2906" s="325">
        <v>29600</v>
      </c>
      <c r="J290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06" s="133">
        <f>_xlfn.XLOOKUP(Market_Data[[#This Row],[Project Type]],tbl_assumptions_market[Project Category (RERA)],tbl_assumptions_market[Concrete Intensity
(m³ / sq m BUA)],"",0)</f>
        <v>0.42</v>
      </c>
      <c r="L2906" s="134">
        <f>ROUND(Market_Data[[#This Row],[Estimated Built Up Area (sq m)]]*Market_Data[[#This Row],[Concrete Intensity
(m³ / sq m)]],0)</f>
        <v>12432</v>
      </c>
      <c r="M2906" s="135">
        <f>_xlfn.XLOOKUP(Market_Data[[#This Row],[District]],tbl_district_price[District],tbl_district_price[Standard Price
(INR/m³)],"",0)</f>
        <v>5600</v>
      </c>
      <c r="N2906" s="364">
        <f>IF(OR(Market_Data[[#This Row],[Estimated Concrete Demand (m³)]]="",Market_Data[[#This Row],[Avg Price per (₹ / m³)]]=""),"",Market_Data[[#This Row],[Estimated Concrete Demand (m³)]]*Market_Data[[#This Row],[Avg Price per (₹ / m³)]]/10000000)</f>
        <v>6.9619200000000001</v>
      </c>
      <c r="O2906" s="97" t="str">
        <f>IF(Market_Data[[#This Row],[Estimated Concrete Demand (m³)]]="","",
IF(Market_Data[[#This Row],[Estimated Concrete Demand (m³)]]&lt;10000,"Small",
IF(Market_Data[[#This Row],[Estimated Concrete Demand (m³)]]&lt;25000,"Medium",
IF(Market_Data[[#This Row],[Estimated Concrete Demand (m³)]]&lt;100000,"Large","Mega"))))</f>
        <v>Medium</v>
      </c>
      <c r="P2906" s="287" t="str">
        <f t="shared" si="47"/>
        <v>GujRERA</v>
      </c>
    </row>
    <row r="2907" spans="1:16" ht="24">
      <c r="A2907" s="129" t="str">
        <f>_xlfn.XLOOKUP(B2907,$S$9:$S$14,$T$9:$T$14)&amp;"-"&amp;
IF(E2907="Residential/Group Housing","RES",
IF(E2907="Commercial","COM",
IF(E2907="Mixed Development","MIX",
IF(E2907="Plotted Development","PLT","OTH"))))
&amp;"-"&amp;TEXT(COUNTIFS($B$9:B2907,B2907,$E$9:E2907,E2907),"0000")</f>
        <v>VAL-MIX-0088</v>
      </c>
      <c r="B2907" s="322" t="s">
        <v>35</v>
      </c>
      <c r="C2907" s="322" t="s">
        <v>35</v>
      </c>
      <c r="D2907" s="323" t="s">
        <v>3096</v>
      </c>
      <c r="E2907" s="132" t="s">
        <v>25</v>
      </c>
      <c r="F2907" s="97" t="str">
        <f ca="1">IF(OR(Market_Data[[#This Row],[Start Date]]="",Market_Data[[#This Row],[Completion Date]]=""),"Needs Validation",IF(Market_Data[[#This Row],[Start Date]]&gt;TODAY(),"Planned",IF(Market_Data[[#This Row],[Completion Date]]&lt;TODAY(),"Completed","Ongoing")))</f>
        <v>Completed</v>
      </c>
      <c r="G2907" s="324">
        <v>42305</v>
      </c>
      <c r="H2907" s="324">
        <v>43830</v>
      </c>
      <c r="I2907" s="325">
        <v>58900</v>
      </c>
      <c r="J290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07" s="133">
        <f>_xlfn.XLOOKUP(Market_Data[[#This Row],[Project Type]],tbl_assumptions_market[Project Category (RERA)],tbl_assumptions_market[Concrete Intensity
(m³ / sq m BUA)],"",0)</f>
        <v>0.42</v>
      </c>
      <c r="L2907" s="134">
        <f>ROUND(Market_Data[[#This Row],[Estimated Built Up Area (sq m)]]*Market_Data[[#This Row],[Concrete Intensity
(m³ / sq m)]],0)</f>
        <v>24738</v>
      </c>
      <c r="M2907" s="135">
        <f>_xlfn.XLOOKUP(Market_Data[[#This Row],[District]],tbl_district_price[District],tbl_district_price[Standard Price
(INR/m³)],"",0)</f>
        <v>5600</v>
      </c>
      <c r="N2907" s="364">
        <f>IF(OR(Market_Data[[#This Row],[Estimated Concrete Demand (m³)]]="",Market_Data[[#This Row],[Avg Price per (₹ / m³)]]=""),"",Market_Data[[#This Row],[Estimated Concrete Demand (m³)]]*Market_Data[[#This Row],[Avg Price per (₹ / m³)]]/10000000)</f>
        <v>13.85328</v>
      </c>
      <c r="O2907" s="97" t="str">
        <f>IF(Market_Data[[#This Row],[Estimated Concrete Demand (m³)]]="","",
IF(Market_Data[[#This Row],[Estimated Concrete Demand (m³)]]&lt;10000,"Small",
IF(Market_Data[[#This Row],[Estimated Concrete Demand (m³)]]&lt;25000,"Medium",
IF(Market_Data[[#This Row],[Estimated Concrete Demand (m³)]]&lt;100000,"Large","Mega"))))</f>
        <v>Medium</v>
      </c>
      <c r="P2907" s="287" t="str">
        <f t="shared" si="47"/>
        <v>GujRERA</v>
      </c>
    </row>
    <row r="2908" spans="1:16">
      <c r="A2908" s="129" t="str">
        <f>_xlfn.XLOOKUP(B2908,$S$9:$S$14,$T$9:$T$14)&amp;"-"&amp;
IF(E2908="Residential/Group Housing","RES",
IF(E2908="Commercial","COM",
IF(E2908="Mixed Development","MIX",
IF(E2908="Plotted Development","PLT","OTH"))))
&amp;"-"&amp;TEXT(COUNTIFS($B$9:B2908,B2908,$E$9:E2908,E2908),"0000")</f>
        <v>VAL-COM-0020</v>
      </c>
      <c r="B2908" s="322" t="s">
        <v>35</v>
      </c>
      <c r="C2908" s="322" t="s">
        <v>35</v>
      </c>
      <c r="D2908" s="323" t="s">
        <v>3097</v>
      </c>
      <c r="E2908" s="132" t="s">
        <v>23</v>
      </c>
      <c r="F2908" s="97" t="str">
        <f ca="1">IF(OR(Market_Data[[#This Row],[Start Date]]="",Market_Data[[#This Row],[Completion Date]]=""),"Needs Validation",IF(Market_Data[[#This Row],[Start Date]]&gt;TODAY(),"Planned",IF(Market_Data[[#This Row],[Completion Date]]&lt;TODAY(),"Completed","Ongoing")))</f>
        <v>Completed</v>
      </c>
      <c r="G2908" s="324">
        <v>42616</v>
      </c>
      <c r="H2908" s="324">
        <v>43830</v>
      </c>
      <c r="I2908" s="325">
        <v>8400</v>
      </c>
      <c r="J290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08" s="133">
        <f>_xlfn.XLOOKUP(Market_Data[[#This Row],[Project Type]],tbl_assumptions_market[Project Category (RERA)],tbl_assumptions_market[Concrete Intensity
(m³ / sq m BUA)],"",0)</f>
        <v>0.5</v>
      </c>
      <c r="L2908" s="134">
        <f>ROUND(Market_Data[[#This Row],[Estimated Built Up Area (sq m)]]*Market_Data[[#This Row],[Concrete Intensity
(m³ / sq m)]],0)</f>
        <v>4200</v>
      </c>
      <c r="M2908" s="135">
        <f>_xlfn.XLOOKUP(Market_Data[[#This Row],[District]],tbl_district_price[District],tbl_district_price[Standard Price
(INR/m³)],"",0)</f>
        <v>5600</v>
      </c>
      <c r="N2908" s="364">
        <f>IF(OR(Market_Data[[#This Row],[Estimated Concrete Demand (m³)]]="",Market_Data[[#This Row],[Avg Price per (₹ / m³)]]=""),"",Market_Data[[#This Row],[Estimated Concrete Demand (m³)]]*Market_Data[[#This Row],[Avg Price per (₹ / m³)]]/10000000)</f>
        <v>2.3519999999999999</v>
      </c>
      <c r="O2908" s="97" t="str">
        <f>IF(Market_Data[[#This Row],[Estimated Concrete Demand (m³)]]="","",
IF(Market_Data[[#This Row],[Estimated Concrete Demand (m³)]]&lt;10000,"Small",
IF(Market_Data[[#This Row],[Estimated Concrete Demand (m³)]]&lt;25000,"Medium",
IF(Market_Data[[#This Row],[Estimated Concrete Demand (m³)]]&lt;100000,"Large","Mega"))))</f>
        <v>Small</v>
      </c>
      <c r="P2908" s="287" t="str">
        <f t="shared" si="47"/>
        <v>GujRERA</v>
      </c>
    </row>
    <row r="2909" spans="1:16">
      <c r="A2909" s="129" t="str">
        <f>_xlfn.XLOOKUP(B2909,$S$9:$S$14,$T$9:$T$14)&amp;"-"&amp;
IF(E2909="Residential/Group Housing","RES",
IF(E2909="Commercial","COM",
IF(E2909="Mixed Development","MIX",
IF(E2909="Plotted Development","PLT","OTH"))))
&amp;"-"&amp;TEXT(COUNTIFS($B$9:B2909,B2909,$E$9:E2909,E2909),"0000")</f>
        <v>VAL-RES-0074</v>
      </c>
      <c r="B2909" s="322" t="s">
        <v>35</v>
      </c>
      <c r="C2909" s="322" t="s">
        <v>35</v>
      </c>
      <c r="D2909" s="323" t="s">
        <v>3098</v>
      </c>
      <c r="E2909" s="132" t="s">
        <v>24</v>
      </c>
      <c r="F2909" s="97" t="str">
        <f ca="1">IF(OR(Market_Data[[#This Row],[Start Date]]="",Market_Data[[#This Row],[Completion Date]]=""),"Needs Validation",IF(Market_Data[[#This Row],[Start Date]]&gt;TODAY(),"Planned",IF(Market_Data[[#This Row],[Completion Date]]&lt;TODAY(),"Completed","Ongoing")))</f>
        <v>Completed</v>
      </c>
      <c r="G2909" s="324">
        <v>42887</v>
      </c>
      <c r="H2909" s="324">
        <v>43830</v>
      </c>
      <c r="I2909" s="325">
        <v>54700</v>
      </c>
      <c r="J290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09" s="133">
        <f>_xlfn.XLOOKUP(Market_Data[[#This Row],[Project Type]],tbl_assumptions_market[Project Category (RERA)],tbl_assumptions_market[Concrete Intensity
(m³ / sq m BUA)],"",0)</f>
        <v>0.45</v>
      </c>
      <c r="L2909" s="134">
        <f>ROUND(Market_Data[[#This Row],[Estimated Built Up Area (sq m)]]*Market_Data[[#This Row],[Concrete Intensity
(m³ / sq m)]],0)</f>
        <v>24615</v>
      </c>
      <c r="M2909" s="135">
        <f>_xlfn.XLOOKUP(Market_Data[[#This Row],[District]],tbl_district_price[District],tbl_district_price[Standard Price
(INR/m³)],"",0)</f>
        <v>5600</v>
      </c>
      <c r="N2909" s="364">
        <f>IF(OR(Market_Data[[#This Row],[Estimated Concrete Demand (m³)]]="",Market_Data[[#This Row],[Avg Price per (₹ / m³)]]=""),"",Market_Data[[#This Row],[Estimated Concrete Demand (m³)]]*Market_Data[[#This Row],[Avg Price per (₹ / m³)]]/10000000)</f>
        <v>13.7844</v>
      </c>
      <c r="O2909" s="97" t="str">
        <f>IF(Market_Data[[#This Row],[Estimated Concrete Demand (m³)]]="","",
IF(Market_Data[[#This Row],[Estimated Concrete Demand (m³)]]&lt;10000,"Small",
IF(Market_Data[[#This Row],[Estimated Concrete Demand (m³)]]&lt;25000,"Medium",
IF(Market_Data[[#This Row],[Estimated Concrete Demand (m³)]]&lt;100000,"Large","Mega"))))</f>
        <v>Medium</v>
      </c>
      <c r="P2909" s="287" t="str">
        <f t="shared" si="47"/>
        <v>GujRERA</v>
      </c>
    </row>
    <row r="2910" spans="1:16">
      <c r="A2910" s="129" t="str">
        <f>_xlfn.XLOOKUP(B2910,$S$9:$S$14,$T$9:$T$14)&amp;"-"&amp;
IF(E2910="Residential/Group Housing","RES",
IF(E2910="Commercial","COM",
IF(E2910="Mixed Development","MIX",
IF(E2910="Plotted Development","PLT","OTH"))))
&amp;"-"&amp;TEXT(COUNTIFS($B$9:B2910,B2910,$E$9:E2910,E2910),"0000")</f>
        <v>VAL-MIX-0089</v>
      </c>
      <c r="B2910" s="322" t="s">
        <v>35</v>
      </c>
      <c r="C2910" s="322" t="s">
        <v>35</v>
      </c>
      <c r="D2910" s="323" t="s">
        <v>3099</v>
      </c>
      <c r="E2910" s="132" t="s">
        <v>25</v>
      </c>
      <c r="F2910" s="97" t="str">
        <f ca="1">IF(OR(Market_Data[[#This Row],[Start Date]]="",Market_Data[[#This Row],[Completion Date]]=""),"Needs Validation",IF(Market_Data[[#This Row],[Start Date]]&gt;TODAY(),"Planned",IF(Market_Data[[#This Row],[Completion Date]]&lt;TODAY(),"Completed","Ongoing")))</f>
        <v>Completed</v>
      </c>
      <c r="G2910" s="324">
        <v>44121</v>
      </c>
      <c r="H2910" s="324">
        <v>46022</v>
      </c>
      <c r="I2910" s="325">
        <v>50900</v>
      </c>
      <c r="J291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10" s="133">
        <f>_xlfn.XLOOKUP(Market_Data[[#This Row],[Project Type]],tbl_assumptions_market[Project Category (RERA)],tbl_assumptions_market[Concrete Intensity
(m³ / sq m BUA)],"",0)</f>
        <v>0.42</v>
      </c>
      <c r="L2910" s="134">
        <f>ROUND(Market_Data[[#This Row],[Estimated Built Up Area (sq m)]]*Market_Data[[#This Row],[Concrete Intensity
(m³ / sq m)]],0)</f>
        <v>21378</v>
      </c>
      <c r="M2910" s="135">
        <f>_xlfn.XLOOKUP(Market_Data[[#This Row],[District]],tbl_district_price[District],tbl_district_price[Standard Price
(INR/m³)],"",0)</f>
        <v>5600</v>
      </c>
      <c r="N2910" s="364">
        <f>IF(OR(Market_Data[[#This Row],[Estimated Concrete Demand (m³)]]="",Market_Data[[#This Row],[Avg Price per (₹ / m³)]]=""),"",Market_Data[[#This Row],[Estimated Concrete Demand (m³)]]*Market_Data[[#This Row],[Avg Price per (₹ / m³)]]/10000000)</f>
        <v>11.971679999999999</v>
      </c>
      <c r="O2910" s="97" t="str">
        <f>IF(Market_Data[[#This Row],[Estimated Concrete Demand (m³)]]="","",
IF(Market_Data[[#This Row],[Estimated Concrete Demand (m³)]]&lt;10000,"Small",
IF(Market_Data[[#This Row],[Estimated Concrete Demand (m³)]]&lt;25000,"Medium",
IF(Market_Data[[#This Row],[Estimated Concrete Demand (m³)]]&lt;100000,"Large","Mega"))))</f>
        <v>Medium</v>
      </c>
      <c r="P2910" s="287" t="str">
        <f t="shared" si="47"/>
        <v>GujRERA</v>
      </c>
    </row>
    <row r="2911" spans="1:16">
      <c r="A2911" s="129" t="str">
        <f>_xlfn.XLOOKUP(B2911,$S$9:$S$14,$T$9:$T$14)&amp;"-"&amp;
IF(E2911="Residential/Group Housing","RES",
IF(E2911="Commercial","COM",
IF(E2911="Mixed Development","MIX",
IF(E2911="Plotted Development","PLT","OTH"))))
&amp;"-"&amp;TEXT(COUNTIFS($B$9:B2911,B2911,$E$9:E2911,E2911),"0000")</f>
        <v>VAL-MIX-0090</v>
      </c>
      <c r="B2911" s="322" t="s">
        <v>35</v>
      </c>
      <c r="C2911" s="322" t="s">
        <v>35</v>
      </c>
      <c r="D2911" s="323" t="s">
        <v>3100</v>
      </c>
      <c r="E2911" s="132" t="s">
        <v>25</v>
      </c>
      <c r="F2911" s="97" t="str">
        <f ca="1">IF(OR(Market_Data[[#This Row],[Start Date]]="",Market_Data[[#This Row],[Completion Date]]=""),"Needs Validation",IF(Market_Data[[#This Row],[Start Date]]&gt;TODAY(),"Planned",IF(Market_Data[[#This Row],[Completion Date]]&lt;TODAY(),"Completed","Ongoing")))</f>
        <v>Completed</v>
      </c>
      <c r="G2911" s="324">
        <v>42965</v>
      </c>
      <c r="H2911" s="324">
        <v>45199</v>
      </c>
      <c r="I2911" s="325">
        <v>53500</v>
      </c>
      <c r="J291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11" s="133">
        <f>_xlfn.XLOOKUP(Market_Data[[#This Row],[Project Type]],tbl_assumptions_market[Project Category (RERA)],tbl_assumptions_market[Concrete Intensity
(m³ / sq m BUA)],"",0)</f>
        <v>0.42</v>
      </c>
      <c r="L2911" s="134">
        <f>ROUND(Market_Data[[#This Row],[Estimated Built Up Area (sq m)]]*Market_Data[[#This Row],[Concrete Intensity
(m³ / sq m)]],0)</f>
        <v>22470</v>
      </c>
      <c r="M2911" s="135">
        <f>_xlfn.XLOOKUP(Market_Data[[#This Row],[District]],tbl_district_price[District],tbl_district_price[Standard Price
(INR/m³)],"",0)</f>
        <v>5600</v>
      </c>
      <c r="N2911" s="364">
        <f>IF(OR(Market_Data[[#This Row],[Estimated Concrete Demand (m³)]]="",Market_Data[[#This Row],[Avg Price per (₹ / m³)]]=""),"",Market_Data[[#This Row],[Estimated Concrete Demand (m³)]]*Market_Data[[#This Row],[Avg Price per (₹ / m³)]]/10000000)</f>
        <v>12.5832</v>
      </c>
      <c r="O2911" s="97" t="str">
        <f>IF(Market_Data[[#This Row],[Estimated Concrete Demand (m³)]]="","",
IF(Market_Data[[#This Row],[Estimated Concrete Demand (m³)]]&lt;10000,"Small",
IF(Market_Data[[#This Row],[Estimated Concrete Demand (m³)]]&lt;25000,"Medium",
IF(Market_Data[[#This Row],[Estimated Concrete Demand (m³)]]&lt;100000,"Large","Mega"))))</f>
        <v>Medium</v>
      </c>
      <c r="P2911" s="287" t="str">
        <f t="shared" si="47"/>
        <v>GujRERA</v>
      </c>
    </row>
    <row r="2912" spans="1:16">
      <c r="A2912" s="129" t="str">
        <f>_xlfn.XLOOKUP(B2912,$S$9:$S$14,$T$9:$T$14)&amp;"-"&amp;
IF(E2912="Residential/Group Housing","RES",
IF(E2912="Commercial","COM",
IF(E2912="Mixed Development","MIX",
IF(E2912="Plotted Development","PLT","OTH"))))
&amp;"-"&amp;TEXT(COUNTIFS($B$9:B2912,B2912,$E$9:E2912,E2912),"0000")</f>
        <v>VAL-MIX-0091</v>
      </c>
      <c r="B2912" s="322" t="s">
        <v>35</v>
      </c>
      <c r="C2912" s="322" t="s">
        <v>35</v>
      </c>
      <c r="D2912" s="323" t="s">
        <v>3101</v>
      </c>
      <c r="E2912" s="132" t="s">
        <v>25</v>
      </c>
      <c r="F2912" s="97" t="str">
        <f ca="1">IF(OR(Market_Data[[#This Row],[Start Date]]="",Market_Data[[#This Row],[Completion Date]]=""),"Needs Validation",IF(Market_Data[[#This Row],[Start Date]]&gt;TODAY(),"Planned",IF(Market_Data[[#This Row],[Completion Date]]&lt;TODAY(),"Completed","Ongoing")))</f>
        <v>Completed</v>
      </c>
      <c r="G2912" s="324">
        <v>43500</v>
      </c>
      <c r="H2912" s="324">
        <v>45141</v>
      </c>
      <c r="I2912" s="325">
        <v>42900</v>
      </c>
      <c r="J291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12" s="133">
        <f>_xlfn.XLOOKUP(Market_Data[[#This Row],[Project Type]],tbl_assumptions_market[Project Category (RERA)],tbl_assumptions_market[Concrete Intensity
(m³ / sq m BUA)],"",0)</f>
        <v>0.42</v>
      </c>
      <c r="L2912" s="134">
        <f>ROUND(Market_Data[[#This Row],[Estimated Built Up Area (sq m)]]*Market_Data[[#This Row],[Concrete Intensity
(m³ / sq m)]],0)</f>
        <v>18018</v>
      </c>
      <c r="M2912" s="135">
        <f>_xlfn.XLOOKUP(Market_Data[[#This Row],[District]],tbl_district_price[District],tbl_district_price[Standard Price
(INR/m³)],"",0)</f>
        <v>5600</v>
      </c>
      <c r="N2912" s="364">
        <f>IF(OR(Market_Data[[#This Row],[Estimated Concrete Demand (m³)]]="",Market_Data[[#This Row],[Avg Price per (₹ / m³)]]=""),"",Market_Data[[#This Row],[Estimated Concrete Demand (m³)]]*Market_Data[[#This Row],[Avg Price per (₹ / m³)]]/10000000)</f>
        <v>10.09008</v>
      </c>
      <c r="O2912" s="97" t="str">
        <f>IF(Market_Data[[#This Row],[Estimated Concrete Demand (m³)]]="","",
IF(Market_Data[[#This Row],[Estimated Concrete Demand (m³)]]&lt;10000,"Small",
IF(Market_Data[[#This Row],[Estimated Concrete Demand (m³)]]&lt;25000,"Medium",
IF(Market_Data[[#This Row],[Estimated Concrete Demand (m³)]]&lt;100000,"Large","Mega"))))</f>
        <v>Medium</v>
      </c>
      <c r="P2912" s="287" t="str">
        <f t="shared" si="47"/>
        <v>GujRERA</v>
      </c>
    </row>
    <row r="2913" spans="1:16">
      <c r="A2913" s="129" t="str">
        <f>_xlfn.XLOOKUP(B2913,$S$9:$S$14,$T$9:$T$14)&amp;"-"&amp;
IF(E2913="Residential/Group Housing","RES",
IF(E2913="Commercial","COM",
IF(E2913="Mixed Development","MIX",
IF(E2913="Plotted Development","PLT","OTH"))))
&amp;"-"&amp;TEXT(COUNTIFS($B$9:B2913,B2913,$E$9:E2913,E2913),"0000")</f>
        <v>VAL-MIX-0092</v>
      </c>
      <c r="B2913" s="322" t="s">
        <v>35</v>
      </c>
      <c r="C2913" s="322" t="s">
        <v>35</v>
      </c>
      <c r="D2913" s="323" t="s">
        <v>3102</v>
      </c>
      <c r="E2913" s="132" t="s">
        <v>25</v>
      </c>
      <c r="F2913" s="97" t="str">
        <f ca="1">IF(OR(Market_Data[[#This Row],[Start Date]]="",Market_Data[[#This Row],[Completion Date]]=""),"Needs Validation",IF(Market_Data[[#This Row],[Start Date]]&gt;TODAY(),"Planned",IF(Market_Data[[#This Row],[Completion Date]]&lt;TODAY(),"Completed","Ongoing")))</f>
        <v>Ongoing</v>
      </c>
      <c r="G2913" s="324">
        <v>45413</v>
      </c>
      <c r="H2913" s="324">
        <v>47118</v>
      </c>
      <c r="I2913" s="325">
        <v>41700</v>
      </c>
      <c r="J291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13" s="133">
        <f>_xlfn.XLOOKUP(Market_Data[[#This Row],[Project Type]],tbl_assumptions_market[Project Category (RERA)],tbl_assumptions_market[Concrete Intensity
(m³ / sq m BUA)],"",0)</f>
        <v>0.42</v>
      </c>
      <c r="L2913" s="134">
        <f>ROUND(Market_Data[[#This Row],[Estimated Built Up Area (sq m)]]*Market_Data[[#This Row],[Concrete Intensity
(m³ / sq m)]],0)</f>
        <v>17514</v>
      </c>
      <c r="M2913" s="135">
        <f>_xlfn.XLOOKUP(Market_Data[[#This Row],[District]],tbl_district_price[District],tbl_district_price[Standard Price
(INR/m³)],"",0)</f>
        <v>5600</v>
      </c>
      <c r="N2913" s="364">
        <f>IF(OR(Market_Data[[#This Row],[Estimated Concrete Demand (m³)]]="",Market_Data[[#This Row],[Avg Price per (₹ / m³)]]=""),"",Market_Data[[#This Row],[Estimated Concrete Demand (m³)]]*Market_Data[[#This Row],[Avg Price per (₹ / m³)]]/10000000)</f>
        <v>9.8078400000000006</v>
      </c>
      <c r="O2913" s="97" t="str">
        <f>IF(Market_Data[[#This Row],[Estimated Concrete Demand (m³)]]="","",
IF(Market_Data[[#This Row],[Estimated Concrete Demand (m³)]]&lt;10000,"Small",
IF(Market_Data[[#This Row],[Estimated Concrete Demand (m³)]]&lt;25000,"Medium",
IF(Market_Data[[#This Row],[Estimated Concrete Demand (m³)]]&lt;100000,"Large","Mega"))))</f>
        <v>Medium</v>
      </c>
      <c r="P2913" s="287" t="str">
        <f t="shared" si="47"/>
        <v>GujRERA</v>
      </c>
    </row>
    <row r="2914" spans="1:16">
      <c r="A2914" s="129" t="str">
        <f>_xlfn.XLOOKUP(B2914,$S$9:$S$14,$T$9:$T$14)&amp;"-"&amp;
IF(E2914="Residential/Group Housing","RES",
IF(E2914="Commercial","COM",
IF(E2914="Mixed Development","MIX",
IF(E2914="Plotted Development","PLT","OTH"))))
&amp;"-"&amp;TEXT(COUNTIFS($B$9:B2914,B2914,$E$9:E2914,E2914),"0000")</f>
        <v>VAL-RES-0075</v>
      </c>
      <c r="B2914" s="322" t="s">
        <v>35</v>
      </c>
      <c r="C2914" s="322" t="s">
        <v>35</v>
      </c>
      <c r="D2914" s="323" t="s">
        <v>3103</v>
      </c>
      <c r="E2914" s="132" t="s">
        <v>24</v>
      </c>
      <c r="F2914" s="97" t="str">
        <f ca="1">IF(OR(Market_Data[[#This Row],[Start Date]]="",Market_Data[[#This Row],[Completion Date]]=""),"Needs Validation",IF(Market_Data[[#This Row],[Start Date]]&gt;TODAY(),"Planned",IF(Market_Data[[#This Row],[Completion Date]]&lt;TODAY(),"Completed","Ongoing")))</f>
        <v>Ongoing</v>
      </c>
      <c r="G2914" s="324">
        <v>45245</v>
      </c>
      <c r="H2914" s="324">
        <v>46387</v>
      </c>
      <c r="I2914" s="325">
        <v>35600</v>
      </c>
      <c r="J291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14" s="133">
        <f>_xlfn.XLOOKUP(Market_Data[[#This Row],[Project Type]],tbl_assumptions_market[Project Category (RERA)],tbl_assumptions_market[Concrete Intensity
(m³ / sq m BUA)],"",0)</f>
        <v>0.45</v>
      </c>
      <c r="L2914" s="134">
        <f>ROUND(Market_Data[[#This Row],[Estimated Built Up Area (sq m)]]*Market_Data[[#This Row],[Concrete Intensity
(m³ / sq m)]],0)</f>
        <v>16020</v>
      </c>
      <c r="M2914" s="135">
        <f>_xlfn.XLOOKUP(Market_Data[[#This Row],[District]],tbl_district_price[District],tbl_district_price[Standard Price
(INR/m³)],"",0)</f>
        <v>5600</v>
      </c>
      <c r="N2914" s="364">
        <f>IF(OR(Market_Data[[#This Row],[Estimated Concrete Demand (m³)]]="",Market_Data[[#This Row],[Avg Price per (₹ / m³)]]=""),"",Market_Data[[#This Row],[Estimated Concrete Demand (m³)]]*Market_Data[[#This Row],[Avg Price per (₹ / m³)]]/10000000)</f>
        <v>8.9711999999999996</v>
      </c>
      <c r="O2914" s="97" t="str">
        <f>IF(Market_Data[[#This Row],[Estimated Concrete Demand (m³)]]="","",
IF(Market_Data[[#This Row],[Estimated Concrete Demand (m³)]]&lt;10000,"Small",
IF(Market_Data[[#This Row],[Estimated Concrete Demand (m³)]]&lt;25000,"Medium",
IF(Market_Data[[#This Row],[Estimated Concrete Demand (m³)]]&lt;100000,"Large","Mega"))))</f>
        <v>Medium</v>
      </c>
      <c r="P2914" s="287" t="str">
        <f t="shared" si="47"/>
        <v>GujRERA</v>
      </c>
    </row>
    <row r="2915" spans="1:16">
      <c r="A2915" s="129" t="str">
        <f>_xlfn.XLOOKUP(B2915,$S$9:$S$14,$T$9:$T$14)&amp;"-"&amp;
IF(E2915="Residential/Group Housing","RES",
IF(E2915="Commercial","COM",
IF(E2915="Mixed Development","MIX",
IF(E2915="Plotted Development","PLT","OTH"))))
&amp;"-"&amp;TEXT(COUNTIFS($B$9:B2915,B2915,$E$9:E2915,E2915),"0000")</f>
        <v>VAL-RES-0076</v>
      </c>
      <c r="B2915" s="322" t="s">
        <v>35</v>
      </c>
      <c r="C2915" s="322" t="s">
        <v>35</v>
      </c>
      <c r="D2915" s="323" t="s">
        <v>3104</v>
      </c>
      <c r="E2915" s="132" t="s">
        <v>24</v>
      </c>
      <c r="F2915" s="97" t="str">
        <f ca="1">IF(OR(Market_Data[[#This Row],[Start Date]]="",Market_Data[[#This Row],[Completion Date]]=""),"Needs Validation",IF(Market_Data[[#This Row],[Start Date]]&gt;TODAY(),"Planned",IF(Market_Data[[#This Row],[Completion Date]]&lt;TODAY(),"Completed","Ongoing")))</f>
        <v>Completed</v>
      </c>
      <c r="G2915" s="324">
        <v>43922</v>
      </c>
      <c r="H2915" s="324">
        <v>45747</v>
      </c>
      <c r="I2915" s="325">
        <v>31500</v>
      </c>
      <c r="J291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15" s="133">
        <f>_xlfn.XLOOKUP(Market_Data[[#This Row],[Project Type]],tbl_assumptions_market[Project Category (RERA)],tbl_assumptions_market[Concrete Intensity
(m³ / sq m BUA)],"",0)</f>
        <v>0.45</v>
      </c>
      <c r="L2915" s="134">
        <f>ROUND(Market_Data[[#This Row],[Estimated Built Up Area (sq m)]]*Market_Data[[#This Row],[Concrete Intensity
(m³ / sq m)]],0)</f>
        <v>14175</v>
      </c>
      <c r="M2915" s="135">
        <f>_xlfn.XLOOKUP(Market_Data[[#This Row],[District]],tbl_district_price[District],tbl_district_price[Standard Price
(INR/m³)],"",0)</f>
        <v>5600</v>
      </c>
      <c r="N2915" s="364">
        <f>IF(OR(Market_Data[[#This Row],[Estimated Concrete Demand (m³)]]="",Market_Data[[#This Row],[Avg Price per (₹ / m³)]]=""),"",Market_Data[[#This Row],[Estimated Concrete Demand (m³)]]*Market_Data[[#This Row],[Avg Price per (₹ / m³)]]/10000000)</f>
        <v>7.9379999999999997</v>
      </c>
      <c r="O2915" s="97" t="str">
        <f>IF(Market_Data[[#This Row],[Estimated Concrete Demand (m³)]]="","",
IF(Market_Data[[#This Row],[Estimated Concrete Demand (m³)]]&lt;10000,"Small",
IF(Market_Data[[#This Row],[Estimated Concrete Demand (m³)]]&lt;25000,"Medium",
IF(Market_Data[[#This Row],[Estimated Concrete Demand (m³)]]&lt;100000,"Large","Mega"))))</f>
        <v>Medium</v>
      </c>
      <c r="P2915" s="287" t="str">
        <f t="shared" si="47"/>
        <v>GujRERA</v>
      </c>
    </row>
    <row r="2916" spans="1:16">
      <c r="A2916" s="129" t="str">
        <f>_xlfn.XLOOKUP(B2916,$S$9:$S$14,$T$9:$T$14)&amp;"-"&amp;
IF(E2916="Residential/Group Housing","RES",
IF(E2916="Commercial","COM",
IF(E2916="Mixed Development","MIX",
IF(E2916="Plotted Development","PLT","OTH"))))
&amp;"-"&amp;TEXT(COUNTIFS($B$9:B2916,B2916,$E$9:E2916,E2916),"0000")</f>
        <v>VAL-RES-0077</v>
      </c>
      <c r="B2916" s="322" t="s">
        <v>35</v>
      </c>
      <c r="C2916" s="322" t="s">
        <v>35</v>
      </c>
      <c r="D2916" s="323" t="s">
        <v>3105</v>
      </c>
      <c r="E2916" s="132" t="s">
        <v>24</v>
      </c>
      <c r="F2916" s="97" t="str">
        <f ca="1">IF(OR(Market_Data[[#This Row],[Start Date]]="",Market_Data[[#This Row],[Completion Date]]=""),"Needs Validation",IF(Market_Data[[#This Row],[Start Date]]&gt;TODAY(),"Planned",IF(Market_Data[[#This Row],[Completion Date]]&lt;TODAY(),"Completed","Ongoing")))</f>
        <v>Completed</v>
      </c>
      <c r="G2916" s="324">
        <v>43465</v>
      </c>
      <c r="H2916" s="324">
        <v>44649</v>
      </c>
      <c r="I2916" s="325">
        <v>39400</v>
      </c>
      <c r="J291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16" s="133">
        <f>_xlfn.XLOOKUP(Market_Data[[#This Row],[Project Type]],tbl_assumptions_market[Project Category (RERA)],tbl_assumptions_market[Concrete Intensity
(m³ / sq m BUA)],"",0)</f>
        <v>0.45</v>
      </c>
      <c r="L2916" s="134">
        <f>ROUND(Market_Data[[#This Row],[Estimated Built Up Area (sq m)]]*Market_Data[[#This Row],[Concrete Intensity
(m³ / sq m)]],0)</f>
        <v>17730</v>
      </c>
      <c r="M2916" s="135">
        <f>_xlfn.XLOOKUP(Market_Data[[#This Row],[District]],tbl_district_price[District],tbl_district_price[Standard Price
(INR/m³)],"",0)</f>
        <v>5600</v>
      </c>
      <c r="N2916" s="364">
        <f>IF(OR(Market_Data[[#This Row],[Estimated Concrete Demand (m³)]]="",Market_Data[[#This Row],[Avg Price per (₹ / m³)]]=""),"",Market_Data[[#This Row],[Estimated Concrete Demand (m³)]]*Market_Data[[#This Row],[Avg Price per (₹ / m³)]]/10000000)</f>
        <v>9.9288000000000007</v>
      </c>
      <c r="O2916" s="97" t="str">
        <f>IF(Market_Data[[#This Row],[Estimated Concrete Demand (m³)]]="","",
IF(Market_Data[[#This Row],[Estimated Concrete Demand (m³)]]&lt;10000,"Small",
IF(Market_Data[[#This Row],[Estimated Concrete Demand (m³)]]&lt;25000,"Medium",
IF(Market_Data[[#This Row],[Estimated Concrete Demand (m³)]]&lt;100000,"Large","Mega"))))</f>
        <v>Medium</v>
      </c>
      <c r="P2916" s="287" t="str">
        <f t="shared" si="47"/>
        <v>GujRERA</v>
      </c>
    </row>
    <row r="2917" spans="1:16">
      <c r="A2917" s="129" t="str">
        <f>_xlfn.XLOOKUP(B2917,$S$9:$S$14,$T$9:$T$14)&amp;"-"&amp;
IF(E2917="Residential/Group Housing","RES",
IF(E2917="Commercial","COM",
IF(E2917="Mixed Development","MIX",
IF(E2917="Plotted Development","PLT","OTH"))))
&amp;"-"&amp;TEXT(COUNTIFS($B$9:B2917,B2917,$E$9:E2917,E2917),"0000")</f>
        <v>VAL-RES-0078</v>
      </c>
      <c r="B2917" s="322" t="s">
        <v>35</v>
      </c>
      <c r="C2917" s="322" t="s">
        <v>35</v>
      </c>
      <c r="D2917" s="323" t="s">
        <v>3106</v>
      </c>
      <c r="E2917" s="132" t="s">
        <v>24</v>
      </c>
      <c r="F2917" s="97" t="str">
        <f ca="1">IF(OR(Market_Data[[#This Row],[Start Date]]="",Market_Data[[#This Row],[Completion Date]]=""),"Needs Validation",IF(Market_Data[[#This Row],[Start Date]]&gt;TODAY(),"Planned",IF(Market_Data[[#This Row],[Completion Date]]&lt;TODAY(),"Completed","Ongoing")))</f>
        <v>Completed</v>
      </c>
      <c r="G2917" s="324">
        <v>43070</v>
      </c>
      <c r="H2917" s="324">
        <v>46022</v>
      </c>
      <c r="I2917" s="325">
        <v>20600</v>
      </c>
      <c r="J291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17" s="133">
        <f>_xlfn.XLOOKUP(Market_Data[[#This Row],[Project Type]],tbl_assumptions_market[Project Category (RERA)],tbl_assumptions_market[Concrete Intensity
(m³ / sq m BUA)],"",0)</f>
        <v>0.45</v>
      </c>
      <c r="L2917" s="134">
        <f>ROUND(Market_Data[[#This Row],[Estimated Built Up Area (sq m)]]*Market_Data[[#This Row],[Concrete Intensity
(m³ / sq m)]],0)</f>
        <v>9270</v>
      </c>
      <c r="M2917" s="135">
        <f>_xlfn.XLOOKUP(Market_Data[[#This Row],[District]],tbl_district_price[District],tbl_district_price[Standard Price
(INR/m³)],"",0)</f>
        <v>5600</v>
      </c>
      <c r="N2917" s="364">
        <f>IF(OR(Market_Data[[#This Row],[Estimated Concrete Demand (m³)]]="",Market_Data[[#This Row],[Avg Price per (₹ / m³)]]=""),"",Market_Data[[#This Row],[Estimated Concrete Demand (m³)]]*Market_Data[[#This Row],[Avg Price per (₹ / m³)]]/10000000)</f>
        <v>5.1912000000000003</v>
      </c>
      <c r="O2917" s="97" t="str">
        <f>IF(Market_Data[[#This Row],[Estimated Concrete Demand (m³)]]="","",
IF(Market_Data[[#This Row],[Estimated Concrete Demand (m³)]]&lt;10000,"Small",
IF(Market_Data[[#This Row],[Estimated Concrete Demand (m³)]]&lt;25000,"Medium",
IF(Market_Data[[#This Row],[Estimated Concrete Demand (m³)]]&lt;100000,"Large","Mega"))))</f>
        <v>Small</v>
      </c>
      <c r="P2917" s="287" t="str">
        <f t="shared" si="47"/>
        <v>GujRERA</v>
      </c>
    </row>
    <row r="2918" spans="1:16">
      <c r="A2918" s="129" t="str">
        <f>_xlfn.XLOOKUP(B2918,$S$9:$S$14,$T$9:$T$14)&amp;"-"&amp;
IF(E2918="Residential/Group Housing","RES",
IF(E2918="Commercial","COM",
IF(E2918="Mixed Development","MIX",
IF(E2918="Plotted Development","PLT","OTH"))))
&amp;"-"&amp;TEXT(COUNTIFS($B$9:B2918,B2918,$E$9:E2918,E2918),"0000")</f>
        <v>VAL-RES-0079</v>
      </c>
      <c r="B2918" s="322" t="s">
        <v>35</v>
      </c>
      <c r="C2918" s="322" t="s">
        <v>35</v>
      </c>
      <c r="D2918" s="323" t="s">
        <v>3107</v>
      </c>
      <c r="E2918" s="132" t="s">
        <v>24</v>
      </c>
      <c r="F2918" s="97" t="str">
        <f ca="1">IF(OR(Market_Data[[#This Row],[Start Date]]="",Market_Data[[#This Row],[Completion Date]]=""),"Needs Validation",IF(Market_Data[[#This Row],[Start Date]]&gt;TODAY(),"Planned",IF(Market_Data[[#This Row],[Completion Date]]&lt;TODAY(),"Completed","Ongoing")))</f>
        <v>Ongoing</v>
      </c>
      <c r="G2918" s="324">
        <v>45270</v>
      </c>
      <c r="H2918" s="324">
        <v>47026</v>
      </c>
      <c r="I2918" s="325">
        <v>11400</v>
      </c>
      <c r="J291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18" s="133">
        <f>_xlfn.XLOOKUP(Market_Data[[#This Row],[Project Type]],tbl_assumptions_market[Project Category (RERA)],tbl_assumptions_market[Concrete Intensity
(m³ / sq m BUA)],"",0)</f>
        <v>0.45</v>
      </c>
      <c r="L2918" s="134">
        <f>ROUND(Market_Data[[#This Row],[Estimated Built Up Area (sq m)]]*Market_Data[[#This Row],[Concrete Intensity
(m³ / sq m)]],0)</f>
        <v>5130</v>
      </c>
      <c r="M2918" s="135">
        <f>_xlfn.XLOOKUP(Market_Data[[#This Row],[District]],tbl_district_price[District],tbl_district_price[Standard Price
(INR/m³)],"",0)</f>
        <v>5600</v>
      </c>
      <c r="N2918" s="364">
        <f>IF(OR(Market_Data[[#This Row],[Estimated Concrete Demand (m³)]]="",Market_Data[[#This Row],[Avg Price per (₹ / m³)]]=""),"",Market_Data[[#This Row],[Estimated Concrete Demand (m³)]]*Market_Data[[#This Row],[Avg Price per (₹ / m³)]]/10000000)</f>
        <v>2.8727999999999998</v>
      </c>
      <c r="O2918" s="97" t="str">
        <f>IF(Market_Data[[#This Row],[Estimated Concrete Demand (m³)]]="","",
IF(Market_Data[[#This Row],[Estimated Concrete Demand (m³)]]&lt;10000,"Small",
IF(Market_Data[[#This Row],[Estimated Concrete Demand (m³)]]&lt;25000,"Medium",
IF(Market_Data[[#This Row],[Estimated Concrete Demand (m³)]]&lt;100000,"Large","Mega"))))</f>
        <v>Small</v>
      </c>
      <c r="P2918" s="287" t="str">
        <f t="shared" si="47"/>
        <v>GujRERA</v>
      </c>
    </row>
    <row r="2919" spans="1:16">
      <c r="A2919" s="129" t="str">
        <f>_xlfn.XLOOKUP(B2919,$S$9:$S$14,$T$9:$T$14)&amp;"-"&amp;
IF(E2919="Residential/Group Housing","RES",
IF(E2919="Commercial","COM",
IF(E2919="Mixed Development","MIX",
IF(E2919="Plotted Development","PLT","OTH"))))
&amp;"-"&amp;TEXT(COUNTIFS($B$9:B2919,B2919,$E$9:E2919,E2919),"0000")</f>
        <v>VAL-MIX-0093</v>
      </c>
      <c r="B2919" s="322" t="s">
        <v>35</v>
      </c>
      <c r="C2919" s="322" t="s">
        <v>35</v>
      </c>
      <c r="D2919" s="323" t="s">
        <v>3108</v>
      </c>
      <c r="E2919" s="132" t="s">
        <v>25</v>
      </c>
      <c r="F2919" s="97" t="str">
        <f ca="1">IF(OR(Market_Data[[#This Row],[Start Date]]="",Market_Data[[#This Row],[Completion Date]]=""),"Needs Validation",IF(Market_Data[[#This Row],[Start Date]]&gt;TODAY(),"Planned",IF(Market_Data[[#This Row],[Completion Date]]&lt;TODAY(),"Completed","Ongoing")))</f>
        <v>Completed</v>
      </c>
      <c r="G2919" s="324">
        <v>43398</v>
      </c>
      <c r="H2919" s="324">
        <v>45444</v>
      </c>
      <c r="I2919" s="325">
        <v>21400</v>
      </c>
      <c r="J291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19" s="133">
        <f>_xlfn.XLOOKUP(Market_Data[[#This Row],[Project Type]],tbl_assumptions_market[Project Category (RERA)],tbl_assumptions_market[Concrete Intensity
(m³ / sq m BUA)],"",0)</f>
        <v>0.42</v>
      </c>
      <c r="L2919" s="134">
        <f>ROUND(Market_Data[[#This Row],[Estimated Built Up Area (sq m)]]*Market_Data[[#This Row],[Concrete Intensity
(m³ / sq m)]],0)</f>
        <v>8988</v>
      </c>
      <c r="M2919" s="135">
        <f>_xlfn.XLOOKUP(Market_Data[[#This Row],[District]],tbl_district_price[District],tbl_district_price[Standard Price
(INR/m³)],"",0)</f>
        <v>5600</v>
      </c>
      <c r="N2919" s="364">
        <f>IF(OR(Market_Data[[#This Row],[Estimated Concrete Demand (m³)]]="",Market_Data[[#This Row],[Avg Price per (₹ / m³)]]=""),"",Market_Data[[#This Row],[Estimated Concrete Demand (m³)]]*Market_Data[[#This Row],[Avg Price per (₹ / m³)]]/10000000)</f>
        <v>5.0332800000000004</v>
      </c>
      <c r="O2919" s="97" t="str">
        <f>IF(Market_Data[[#This Row],[Estimated Concrete Demand (m³)]]="","",
IF(Market_Data[[#This Row],[Estimated Concrete Demand (m³)]]&lt;10000,"Small",
IF(Market_Data[[#This Row],[Estimated Concrete Demand (m³)]]&lt;25000,"Medium",
IF(Market_Data[[#This Row],[Estimated Concrete Demand (m³)]]&lt;100000,"Large","Mega"))))</f>
        <v>Small</v>
      </c>
      <c r="P2919" s="287" t="str">
        <f t="shared" si="47"/>
        <v>GujRERA</v>
      </c>
    </row>
    <row r="2920" spans="1:16">
      <c r="A2920" s="129" t="str">
        <f>_xlfn.XLOOKUP(B2920,$S$9:$S$14,$T$9:$T$14)&amp;"-"&amp;
IF(E2920="Residential/Group Housing","RES",
IF(E2920="Commercial","COM",
IF(E2920="Mixed Development","MIX",
IF(E2920="Plotted Development","PLT","OTH"))))
&amp;"-"&amp;TEXT(COUNTIFS($B$9:B2920,B2920,$E$9:E2920,E2920),"0000")</f>
        <v>VAL-RES-0080</v>
      </c>
      <c r="B2920" s="322" t="s">
        <v>35</v>
      </c>
      <c r="C2920" s="322" t="s">
        <v>35</v>
      </c>
      <c r="D2920" s="323" t="s">
        <v>3109</v>
      </c>
      <c r="E2920" s="132" t="s">
        <v>24</v>
      </c>
      <c r="F2920" s="97" t="str">
        <f ca="1">IF(OR(Market_Data[[#This Row],[Start Date]]="",Market_Data[[#This Row],[Completion Date]]=""),"Needs Validation",IF(Market_Data[[#This Row],[Start Date]]&gt;TODAY(),"Planned",IF(Market_Data[[#This Row],[Completion Date]]&lt;TODAY(),"Completed","Ongoing")))</f>
        <v>Completed</v>
      </c>
      <c r="G2920" s="324">
        <v>43405</v>
      </c>
      <c r="H2920" s="324">
        <v>45473</v>
      </c>
      <c r="I2920" s="325">
        <v>26700</v>
      </c>
      <c r="J292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20" s="133">
        <f>_xlfn.XLOOKUP(Market_Data[[#This Row],[Project Type]],tbl_assumptions_market[Project Category (RERA)],tbl_assumptions_market[Concrete Intensity
(m³ / sq m BUA)],"",0)</f>
        <v>0.45</v>
      </c>
      <c r="L2920" s="134">
        <f>ROUND(Market_Data[[#This Row],[Estimated Built Up Area (sq m)]]*Market_Data[[#This Row],[Concrete Intensity
(m³ / sq m)]],0)</f>
        <v>12015</v>
      </c>
      <c r="M2920" s="135">
        <f>_xlfn.XLOOKUP(Market_Data[[#This Row],[District]],tbl_district_price[District],tbl_district_price[Standard Price
(INR/m³)],"",0)</f>
        <v>5600</v>
      </c>
      <c r="N2920" s="364">
        <f>IF(OR(Market_Data[[#This Row],[Estimated Concrete Demand (m³)]]="",Market_Data[[#This Row],[Avg Price per (₹ / m³)]]=""),"",Market_Data[[#This Row],[Estimated Concrete Demand (m³)]]*Market_Data[[#This Row],[Avg Price per (₹ / m³)]]/10000000)</f>
        <v>6.7283999999999997</v>
      </c>
      <c r="O2920" s="97" t="str">
        <f>IF(Market_Data[[#This Row],[Estimated Concrete Demand (m³)]]="","",
IF(Market_Data[[#This Row],[Estimated Concrete Demand (m³)]]&lt;10000,"Small",
IF(Market_Data[[#This Row],[Estimated Concrete Demand (m³)]]&lt;25000,"Medium",
IF(Market_Data[[#This Row],[Estimated Concrete Demand (m³)]]&lt;100000,"Large","Mega"))))</f>
        <v>Medium</v>
      </c>
      <c r="P2920" s="287" t="str">
        <f t="shared" si="47"/>
        <v>GujRERA</v>
      </c>
    </row>
    <row r="2921" spans="1:16">
      <c r="A2921" s="129" t="str">
        <f>_xlfn.XLOOKUP(B2921,$S$9:$S$14,$T$9:$T$14)&amp;"-"&amp;
IF(E2921="Residential/Group Housing","RES",
IF(E2921="Commercial","COM",
IF(E2921="Mixed Development","MIX",
IF(E2921="Plotted Development","PLT","OTH"))))
&amp;"-"&amp;TEXT(COUNTIFS($B$9:B2921,B2921,$E$9:E2921,E2921),"0000")</f>
        <v>VAL-RES-0081</v>
      </c>
      <c r="B2921" s="322" t="s">
        <v>35</v>
      </c>
      <c r="C2921" s="322" t="s">
        <v>35</v>
      </c>
      <c r="D2921" s="323" t="s">
        <v>3110</v>
      </c>
      <c r="E2921" s="132" t="s">
        <v>24</v>
      </c>
      <c r="F2921" s="97" t="str">
        <f ca="1">IF(OR(Market_Data[[#This Row],[Start Date]]="",Market_Data[[#This Row],[Completion Date]]=""),"Needs Validation",IF(Market_Data[[#This Row],[Start Date]]&gt;TODAY(),"Planned",IF(Market_Data[[#This Row],[Completion Date]]&lt;TODAY(),"Completed","Ongoing")))</f>
        <v>Completed</v>
      </c>
      <c r="G2921" s="324">
        <v>43391</v>
      </c>
      <c r="H2921" s="324">
        <v>44742</v>
      </c>
      <c r="I2921" s="325">
        <v>10700</v>
      </c>
      <c r="J292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21" s="133">
        <f>_xlfn.XLOOKUP(Market_Data[[#This Row],[Project Type]],tbl_assumptions_market[Project Category (RERA)],tbl_assumptions_market[Concrete Intensity
(m³ / sq m BUA)],"",0)</f>
        <v>0.45</v>
      </c>
      <c r="L2921" s="134">
        <f>ROUND(Market_Data[[#This Row],[Estimated Built Up Area (sq m)]]*Market_Data[[#This Row],[Concrete Intensity
(m³ / sq m)]],0)</f>
        <v>4815</v>
      </c>
      <c r="M2921" s="135">
        <f>_xlfn.XLOOKUP(Market_Data[[#This Row],[District]],tbl_district_price[District],tbl_district_price[Standard Price
(INR/m³)],"",0)</f>
        <v>5600</v>
      </c>
      <c r="N2921" s="364">
        <f>IF(OR(Market_Data[[#This Row],[Estimated Concrete Demand (m³)]]="",Market_Data[[#This Row],[Avg Price per (₹ / m³)]]=""),"",Market_Data[[#This Row],[Estimated Concrete Demand (m³)]]*Market_Data[[#This Row],[Avg Price per (₹ / m³)]]/10000000)</f>
        <v>2.6964000000000001</v>
      </c>
      <c r="O2921" s="97" t="str">
        <f>IF(Market_Data[[#This Row],[Estimated Concrete Demand (m³)]]="","",
IF(Market_Data[[#This Row],[Estimated Concrete Demand (m³)]]&lt;10000,"Small",
IF(Market_Data[[#This Row],[Estimated Concrete Demand (m³)]]&lt;25000,"Medium",
IF(Market_Data[[#This Row],[Estimated Concrete Demand (m³)]]&lt;100000,"Large","Mega"))))</f>
        <v>Small</v>
      </c>
      <c r="P2921" s="287" t="str">
        <f t="shared" si="47"/>
        <v>GujRERA</v>
      </c>
    </row>
    <row r="2922" spans="1:16">
      <c r="A2922" s="129" t="str">
        <f>_xlfn.XLOOKUP(B2922,$S$9:$S$14,$T$9:$T$14)&amp;"-"&amp;
IF(E2922="Residential/Group Housing","RES",
IF(E2922="Commercial","COM",
IF(E2922="Mixed Development","MIX",
IF(E2922="Plotted Development","PLT","OTH"))))
&amp;"-"&amp;TEXT(COUNTIFS($B$9:B2922,B2922,$E$9:E2922,E2922),"0000")</f>
        <v>VAL-MIX-0094</v>
      </c>
      <c r="B2922" s="322" t="s">
        <v>35</v>
      </c>
      <c r="C2922" s="322" t="s">
        <v>35</v>
      </c>
      <c r="D2922" s="323" t="s">
        <v>3111</v>
      </c>
      <c r="E2922" s="132" t="s">
        <v>25</v>
      </c>
      <c r="F2922" s="97" t="str">
        <f ca="1">IF(OR(Market_Data[[#This Row],[Start Date]]="",Market_Data[[#This Row],[Completion Date]]=""),"Needs Validation",IF(Market_Data[[#This Row],[Start Date]]&gt;TODAY(),"Planned",IF(Market_Data[[#This Row],[Completion Date]]&lt;TODAY(),"Completed","Ongoing")))</f>
        <v>Completed</v>
      </c>
      <c r="G2922" s="324">
        <v>42374</v>
      </c>
      <c r="H2922" s="324">
        <v>44195</v>
      </c>
      <c r="I2922" s="325">
        <v>4600</v>
      </c>
      <c r="J292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922" s="133">
        <f>_xlfn.XLOOKUP(Market_Data[[#This Row],[Project Type]],tbl_assumptions_market[Project Category (RERA)],tbl_assumptions_market[Concrete Intensity
(m³ / sq m BUA)],"",0)</f>
        <v>0.42</v>
      </c>
      <c r="L2922" s="134">
        <f>ROUND(Market_Data[[#This Row],[Estimated Built Up Area (sq m)]]*Market_Data[[#This Row],[Concrete Intensity
(m³ / sq m)]],0)</f>
        <v>1932</v>
      </c>
      <c r="M2922" s="135">
        <f>_xlfn.XLOOKUP(Market_Data[[#This Row],[District]],tbl_district_price[District],tbl_district_price[Standard Price
(INR/m³)],"",0)</f>
        <v>5600</v>
      </c>
      <c r="N2922" s="364">
        <f>IF(OR(Market_Data[[#This Row],[Estimated Concrete Demand (m³)]]="",Market_Data[[#This Row],[Avg Price per (₹ / m³)]]=""),"",Market_Data[[#This Row],[Estimated Concrete Demand (m³)]]*Market_Data[[#This Row],[Avg Price per (₹ / m³)]]/10000000)</f>
        <v>1.08192</v>
      </c>
      <c r="O2922" s="97" t="str">
        <f>IF(Market_Data[[#This Row],[Estimated Concrete Demand (m³)]]="","",
IF(Market_Data[[#This Row],[Estimated Concrete Demand (m³)]]&lt;10000,"Small",
IF(Market_Data[[#This Row],[Estimated Concrete Demand (m³)]]&lt;25000,"Medium",
IF(Market_Data[[#This Row],[Estimated Concrete Demand (m³)]]&lt;100000,"Large","Mega"))))</f>
        <v>Small</v>
      </c>
      <c r="P2922" s="287" t="str">
        <f t="shared" si="47"/>
        <v>GujRERA</v>
      </c>
    </row>
    <row r="2923" spans="1:16">
      <c r="A2923" s="129" t="str">
        <f>_xlfn.XLOOKUP(B2923,$S$9:$S$14,$T$9:$T$14)&amp;"-"&amp;
IF(E2923="Residential/Group Housing","RES",
IF(E2923="Commercial","COM",
IF(E2923="Mixed Development","MIX",
IF(E2923="Plotted Development","PLT","OTH"))))
&amp;"-"&amp;TEXT(COUNTIFS($B$9:B2923,B2923,$E$9:E2923,E2923),"0000")</f>
        <v>VAL-RES-0082</v>
      </c>
      <c r="B2923" s="322" t="s">
        <v>35</v>
      </c>
      <c r="C2923" s="322" t="s">
        <v>35</v>
      </c>
      <c r="D2923" s="323" t="s">
        <v>3112</v>
      </c>
      <c r="E2923" s="132" t="s">
        <v>24</v>
      </c>
      <c r="F2923" s="97" t="str">
        <f ca="1">IF(OR(Market_Data[[#This Row],[Start Date]]="",Market_Data[[#This Row],[Completion Date]]=""),"Needs Validation",IF(Market_Data[[#This Row],[Start Date]]&gt;TODAY(),"Planned",IF(Market_Data[[#This Row],[Completion Date]]&lt;TODAY(),"Completed","Ongoing")))</f>
        <v>Ongoing</v>
      </c>
      <c r="G2923" s="324">
        <v>44846</v>
      </c>
      <c r="H2923" s="324">
        <v>46387</v>
      </c>
      <c r="I2923" s="325">
        <v>40500</v>
      </c>
      <c r="J292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23" s="133">
        <f>_xlfn.XLOOKUP(Market_Data[[#This Row],[Project Type]],tbl_assumptions_market[Project Category (RERA)],tbl_assumptions_market[Concrete Intensity
(m³ / sq m BUA)],"",0)</f>
        <v>0.45</v>
      </c>
      <c r="L2923" s="134">
        <f>ROUND(Market_Data[[#This Row],[Estimated Built Up Area (sq m)]]*Market_Data[[#This Row],[Concrete Intensity
(m³ / sq m)]],0)</f>
        <v>18225</v>
      </c>
      <c r="M2923" s="135">
        <f>_xlfn.XLOOKUP(Market_Data[[#This Row],[District]],tbl_district_price[District],tbl_district_price[Standard Price
(INR/m³)],"",0)</f>
        <v>5600</v>
      </c>
      <c r="N2923" s="364">
        <f>IF(OR(Market_Data[[#This Row],[Estimated Concrete Demand (m³)]]="",Market_Data[[#This Row],[Avg Price per (₹ / m³)]]=""),"",Market_Data[[#This Row],[Estimated Concrete Demand (m³)]]*Market_Data[[#This Row],[Avg Price per (₹ / m³)]]/10000000)</f>
        <v>10.206</v>
      </c>
      <c r="O2923" s="97" t="str">
        <f>IF(Market_Data[[#This Row],[Estimated Concrete Demand (m³)]]="","",
IF(Market_Data[[#This Row],[Estimated Concrete Demand (m³)]]&lt;10000,"Small",
IF(Market_Data[[#This Row],[Estimated Concrete Demand (m³)]]&lt;25000,"Medium",
IF(Market_Data[[#This Row],[Estimated Concrete Demand (m³)]]&lt;100000,"Large","Mega"))))</f>
        <v>Medium</v>
      </c>
      <c r="P2923" s="287" t="str">
        <f t="shared" si="47"/>
        <v>GujRERA</v>
      </c>
    </row>
    <row r="2924" spans="1:16">
      <c r="A2924" s="129" t="str">
        <f>_xlfn.XLOOKUP(B2924,$S$9:$S$14,$T$9:$T$14)&amp;"-"&amp;
IF(E2924="Residential/Group Housing","RES",
IF(E2924="Commercial","COM",
IF(E2924="Mixed Development","MIX",
IF(E2924="Plotted Development","PLT","OTH"))))
&amp;"-"&amp;TEXT(COUNTIFS($B$9:B2924,B2924,$E$9:E2924,E2924),"0000")</f>
        <v>VAL-RES-0083</v>
      </c>
      <c r="B2924" s="322" t="s">
        <v>35</v>
      </c>
      <c r="C2924" s="322" t="s">
        <v>35</v>
      </c>
      <c r="D2924" s="323" t="s">
        <v>3113</v>
      </c>
      <c r="E2924" s="132" t="s">
        <v>24</v>
      </c>
      <c r="F2924" s="97" t="str">
        <f ca="1">IF(OR(Market_Data[[#This Row],[Start Date]]="",Market_Data[[#This Row],[Completion Date]]=""),"Needs Validation",IF(Market_Data[[#This Row],[Start Date]]&gt;TODAY(),"Planned",IF(Market_Data[[#This Row],[Completion Date]]&lt;TODAY(),"Completed","Ongoing")))</f>
        <v>Ongoing</v>
      </c>
      <c r="G2924" s="324">
        <v>45336</v>
      </c>
      <c r="H2924" s="324">
        <v>46752</v>
      </c>
      <c r="I2924" s="325">
        <v>53900</v>
      </c>
      <c r="J292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24" s="133">
        <f>_xlfn.XLOOKUP(Market_Data[[#This Row],[Project Type]],tbl_assumptions_market[Project Category (RERA)],tbl_assumptions_market[Concrete Intensity
(m³ / sq m BUA)],"",0)</f>
        <v>0.45</v>
      </c>
      <c r="L2924" s="134">
        <f>ROUND(Market_Data[[#This Row],[Estimated Built Up Area (sq m)]]*Market_Data[[#This Row],[Concrete Intensity
(m³ / sq m)]],0)</f>
        <v>24255</v>
      </c>
      <c r="M2924" s="135">
        <f>_xlfn.XLOOKUP(Market_Data[[#This Row],[District]],tbl_district_price[District],tbl_district_price[Standard Price
(INR/m³)],"",0)</f>
        <v>5600</v>
      </c>
      <c r="N2924" s="364">
        <f>IF(OR(Market_Data[[#This Row],[Estimated Concrete Demand (m³)]]="",Market_Data[[#This Row],[Avg Price per (₹ / m³)]]=""),"",Market_Data[[#This Row],[Estimated Concrete Demand (m³)]]*Market_Data[[#This Row],[Avg Price per (₹ / m³)]]/10000000)</f>
        <v>13.582800000000001</v>
      </c>
      <c r="O2924" s="97" t="str">
        <f>IF(Market_Data[[#This Row],[Estimated Concrete Demand (m³)]]="","",
IF(Market_Data[[#This Row],[Estimated Concrete Demand (m³)]]&lt;10000,"Small",
IF(Market_Data[[#This Row],[Estimated Concrete Demand (m³)]]&lt;25000,"Medium",
IF(Market_Data[[#This Row],[Estimated Concrete Demand (m³)]]&lt;100000,"Large","Mega"))))</f>
        <v>Medium</v>
      </c>
      <c r="P2924" s="287" t="str">
        <f t="shared" si="47"/>
        <v>GujRERA</v>
      </c>
    </row>
    <row r="2925" spans="1:16">
      <c r="A2925" s="129" t="str">
        <f>_xlfn.XLOOKUP(B2925,$S$9:$S$14,$T$9:$T$14)&amp;"-"&amp;
IF(E2925="Residential/Group Housing","RES",
IF(E2925="Commercial","COM",
IF(E2925="Mixed Development","MIX",
IF(E2925="Plotted Development","PLT","OTH"))))
&amp;"-"&amp;TEXT(COUNTIFS($B$9:B2925,B2925,$E$9:E2925,E2925),"0000")</f>
        <v>VAL-MIX-0095</v>
      </c>
      <c r="B2925" s="322" t="s">
        <v>35</v>
      </c>
      <c r="C2925" s="322" t="s">
        <v>35</v>
      </c>
      <c r="D2925" s="323" t="s">
        <v>3114</v>
      </c>
      <c r="E2925" s="132" t="s">
        <v>25</v>
      </c>
      <c r="F2925" s="97" t="str">
        <f ca="1">IF(OR(Market_Data[[#This Row],[Start Date]]="",Market_Data[[#This Row],[Completion Date]]=""),"Needs Validation",IF(Market_Data[[#This Row],[Start Date]]&gt;TODAY(),"Planned",IF(Market_Data[[#This Row],[Completion Date]]&lt;TODAY(),"Completed","Ongoing")))</f>
        <v>Ongoing</v>
      </c>
      <c r="G2925" s="324">
        <v>45421</v>
      </c>
      <c r="H2925" s="324">
        <v>47483</v>
      </c>
      <c r="I2925" s="325">
        <v>31600</v>
      </c>
      <c r="J292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25" s="133">
        <f>_xlfn.XLOOKUP(Market_Data[[#This Row],[Project Type]],tbl_assumptions_market[Project Category (RERA)],tbl_assumptions_market[Concrete Intensity
(m³ / sq m BUA)],"",0)</f>
        <v>0.42</v>
      </c>
      <c r="L2925" s="134">
        <f>ROUND(Market_Data[[#This Row],[Estimated Built Up Area (sq m)]]*Market_Data[[#This Row],[Concrete Intensity
(m³ / sq m)]],0)</f>
        <v>13272</v>
      </c>
      <c r="M2925" s="135">
        <f>_xlfn.XLOOKUP(Market_Data[[#This Row],[District]],tbl_district_price[District],tbl_district_price[Standard Price
(INR/m³)],"",0)</f>
        <v>5600</v>
      </c>
      <c r="N2925" s="364">
        <f>IF(OR(Market_Data[[#This Row],[Estimated Concrete Demand (m³)]]="",Market_Data[[#This Row],[Avg Price per (₹ / m³)]]=""),"",Market_Data[[#This Row],[Estimated Concrete Demand (m³)]]*Market_Data[[#This Row],[Avg Price per (₹ / m³)]]/10000000)</f>
        <v>7.4323199999999998</v>
      </c>
      <c r="O2925" s="97" t="str">
        <f>IF(Market_Data[[#This Row],[Estimated Concrete Demand (m³)]]="","",
IF(Market_Data[[#This Row],[Estimated Concrete Demand (m³)]]&lt;10000,"Small",
IF(Market_Data[[#This Row],[Estimated Concrete Demand (m³)]]&lt;25000,"Medium",
IF(Market_Data[[#This Row],[Estimated Concrete Demand (m³)]]&lt;100000,"Large","Mega"))))</f>
        <v>Medium</v>
      </c>
      <c r="P2925" s="287" t="str">
        <f t="shared" si="47"/>
        <v>GujRERA</v>
      </c>
    </row>
    <row r="2926" spans="1:16">
      <c r="A2926" s="129" t="str">
        <f>_xlfn.XLOOKUP(B2926,$S$9:$S$14,$T$9:$T$14)&amp;"-"&amp;
IF(E2926="Residential/Group Housing","RES",
IF(E2926="Commercial","COM",
IF(E2926="Mixed Development","MIX",
IF(E2926="Plotted Development","PLT","OTH"))))
&amp;"-"&amp;TEXT(COUNTIFS($B$9:B2926,B2926,$E$9:E2926,E2926),"0000")</f>
        <v>VAL-RES-0084</v>
      </c>
      <c r="B2926" s="322" t="s">
        <v>35</v>
      </c>
      <c r="C2926" s="322" t="s">
        <v>35</v>
      </c>
      <c r="D2926" s="323" t="s">
        <v>3115</v>
      </c>
      <c r="E2926" s="132" t="s">
        <v>24</v>
      </c>
      <c r="F2926" s="97" t="str">
        <f ca="1">IF(OR(Market_Data[[#This Row],[Start Date]]="",Market_Data[[#This Row],[Completion Date]]=""),"Needs Validation",IF(Market_Data[[#This Row],[Start Date]]&gt;TODAY(),"Planned",IF(Market_Data[[#This Row],[Completion Date]]&lt;TODAY(),"Completed","Ongoing")))</f>
        <v>Completed</v>
      </c>
      <c r="G2926" s="324">
        <v>43220</v>
      </c>
      <c r="H2926" s="324">
        <v>44469</v>
      </c>
      <c r="I2926" s="325">
        <v>12600</v>
      </c>
      <c r="J292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26" s="133">
        <f>_xlfn.XLOOKUP(Market_Data[[#This Row],[Project Type]],tbl_assumptions_market[Project Category (RERA)],tbl_assumptions_market[Concrete Intensity
(m³ / sq m BUA)],"",0)</f>
        <v>0.45</v>
      </c>
      <c r="L2926" s="134">
        <f>ROUND(Market_Data[[#This Row],[Estimated Built Up Area (sq m)]]*Market_Data[[#This Row],[Concrete Intensity
(m³ / sq m)]],0)</f>
        <v>5670</v>
      </c>
      <c r="M2926" s="135">
        <f>_xlfn.XLOOKUP(Market_Data[[#This Row],[District]],tbl_district_price[District],tbl_district_price[Standard Price
(INR/m³)],"",0)</f>
        <v>5600</v>
      </c>
      <c r="N2926" s="364">
        <f>IF(OR(Market_Data[[#This Row],[Estimated Concrete Demand (m³)]]="",Market_Data[[#This Row],[Avg Price per (₹ / m³)]]=""),"",Market_Data[[#This Row],[Estimated Concrete Demand (m³)]]*Market_Data[[#This Row],[Avg Price per (₹ / m³)]]/10000000)</f>
        <v>3.1751999999999998</v>
      </c>
      <c r="O2926" s="97" t="str">
        <f>IF(Market_Data[[#This Row],[Estimated Concrete Demand (m³)]]="","",
IF(Market_Data[[#This Row],[Estimated Concrete Demand (m³)]]&lt;10000,"Small",
IF(Market_Data[[#This Row],[Estimated Concrete Demand (m³)]]&lt;25000,"Medium",
IF(Market_Data[[#This Row],[Estimated Concrete Demand (m³)]]&lt;100000,"Large","Mega"))))</f>
        <v>Small</v>
      </c>
      <c r="P2926" s="287" t="str">
        <f t="shared" si="47"/>
        <v>GujRERA</v>
      </c>
    </row>
    <row r="2927" spans="1:16">
      <c r="A2927" s="129" t="str">
        <f>_xlfn.XLOOKUP(B2927,$S$9:$S$14,$T$9:$T$14)&amp;"-"&amp;
IF(E2927="Residential/Group Housing","RES",
IF(E2927="Commercial","COM",
IF(E2927="Mixed Development","MIX",
IF(E2927="Plotted Development","PLT","OTH"))))
&amp;"-"&amp;TEXT(COUNTIFS($B$9:B2927,B2927,$E$9:E2927,E2927),"0000")</f>
        <v>VAL-MIX-0096</v>
      </c>
      <c r="B2927" s="322" t="s">
        <v>35</v>
      </c>
      <c r="C2927" s="322" t="s">
        <v>35</v>
      </c>
      <c r="D2927" s="323" t="s">
        <v>3116</v>
      </c>
      <c r="E2927" s="132" t="s">
        <v>25</v>
      </c>
      <c r="F2927" s="97" t="str">
        <f ca="1">IF(OR(Market_Data[[#This Row],[Start Date]]="",Market_Data[[#This Row],[Completion Date]]=""),"Needs Validation",IF(Market_Data[[#This Row],[Start Date]]&gt;TODAY(),"Planned",IF(Market_Data[[#This Row],[Completion Date]]&lt;TODAY(),"Completed","Ongoing")))</f>
        <v>Completed</v>
      </c>
      <c r="G2927" s="324">
        <v>44211</v>
      </c>
      <c r="H2927" s="324">
        <v>46022</v>
      </c>
      <c r="I2927" s="325">
        <v>5300</v>
      </c>
      <c r="J292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927" s="133">
        <f>_xlfn.XLOOKUP(Market_Data[[#This Row],[Project Type]],tbl_assumptions_market[Project Category (RERA)],tbl_assumptions_market[Concrete Intensity
(m³ / sq m BUA)],"",0)</f>
        <v>0.42</v>
      </c>
      <c r="L2927" s="134">
        <f>ROUND(Market_Data[[#This Row],[Estimated Built Up Area (sq m)]]*Market_Data[[#This Row],[Concrete Intensity
(m³ / sq m)]],0)</f>
        <v>2226</v>
      </c>
      <c r="M2927" s="135">
        <f>_xlfn.XLOOKUP(Market_Data[[#This Row],[District]],tbl_district_price[District],tbl_district_price[Standard Price
(INR/m³)],"",0)</f>
        <v>5600</v>
      </c>
      <c r="N2927" s="364">
        <f>IF(OR(Market_Data[[#This Row],[Estimated Concrete Demand (m³)]]="",Market_Data[[#This Row],[Avg Price per (₹ / m³)]]=""),"",Market_Data[[#This Row],[Estimated Concrete Demand (m³)]]*Market_Data[[#This Row],[Avg Price per (₹ / m³)]]/10000000)</f>
        <v>1.2465599999999999</v>
      </c>
      <c r="O2927" s="97" t="str">
        <f>IF(Market_Data[[#This Row],[Estimated Concrete Demand (m³)]]="","",
IF(Market_Data[[#This Row],[Estimated Concrete Demand (m³)]]&lt;10000,"Small",
IF(Market_Data[[#This Row],[Estimated Concrete Demand (m³)]]&lt;25000,"Medium",
IF(Market_Data[[#This Row],[Estimated Concrete Demand (m³)]]&lt;100000,"Large","Mega"))))</f>
        <v>Small</v>
      </c>
      <c r="P2927" s="287" t="str">
        <f t="shared" si="47"/>
        <v>GujRERA</v>
      </c>
    </row>
    <row r="2928" spans="1:16">
      <c r="A2928" s="129" t="str">
        <f>_xlfn.XLOOKUP(B2928,$S$9:$S$14,$T$9:$T$14)&amp;"-"&amp;
IF(E2928="Residential/Group Housing","RES",
IF(E2928="Commercial","COM",
IF(E2928="Mixed Development","MIX",
IF(E2928="Plotted Development","PLT","OTH"))))
&amp;"-"&amp;TEXT(COUNTIFS($B$9:B2928,B2928,$E$9:E2928,E2928),"0000")</f>
        <v>VAL-RES-0085</v>
      </c>
      <c r="B2928" s="322" t="s">
        <v>35</v>
      </c>
      <c r="C2928" s="322" t="s">
        <v>35</v>
      </c>
      <c r="D2928" s="323" t="s">
        <v>3117</v>
      </c>
      <c r="E2928" s="132" t="s">
        <v>24</v>
      </c>
      <c r="F2928" s="97" t="str">
        <f ca="1">IF(OR(Market_Data[[#This Row],[Start Date]]="",Market_Data[[#This Row],[Completion Date]]=""),"Needs Validation",IF(Market_Data[[#This Row],[Start Date]]&gt;TODAY(),"Planned",IF(Market_Data[[#This Row],[Completion Date]]&lt;TODAY(),"Completed","Ongoing")))</f>
        <v>Completed</v>
      </c>
      <c r="G2928" s="324">
        <v>41734</v>
      </c>
      <c r="H2928" s="324">
        <v>44742</v>
      </c>
      <c r="I2928" s="325">
        <v>38300</v>
      </c>
      <c r="J292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28" s="133">
        <f>_xlfn.XLOOKUP(Market_Data[[#This Row],[Project Type]],tbl_assumptions_market[Project Category (RERA)],tbl_assumptions_market[Concrete Intensity
(m³ / sq m BUA)],"",0)</f>
        <v>0.45</v>
      </c>
      <c r="L2928" s="134">
        <f>ROUND(Market_Data[[#This Row],[Estimated Built Up Area (sq m)]]*Market_Data[[#This Row],[Concrete Intensity
(m³ / sq m)]],0)</f>
        <v>17235</v>
      </c>
      <c r="M2928" s="135">
        <f>_xlfn.XLOOKUP(Market_Data[[#This Row],[District]],tbl_district_price[District],tbl_district_price[Standard Price
(INR/m³)],"",0)</f>
        <v>5600</v>
      </c>
      <c r="N2928" s="364">
        <f>IF(OR(Market_Data[[#This Row],[Estimated Concrete Demand (m³)]]="",Market_Data[[#This Row],[Avg Price per (₹ / m³)]]=""),"",Market_Data[[#This Row],[Estimated Concrete Demand (m³)]]*Market_Data[[#This Row],[Avg Price per (₹ / m³)]]/10000000)</f>
        <v>9.6516000000000002</v>
      </c>
      <c r="O2928" s="97" t="str">
        <f>IF(Market_Data[[#This Row],[Estimated Concrete Demand (m³)]]="","",
IF(Market_Data[[#This Row],[Estimated Concrete Demand (m³)]]&lt;10000,"Small",
IF(Market_Data[[#This Row],[Estimated Concrete Demand (m³)]]&lt;25000,"Medium",
IF(Market_Data[[#This Row],[Estimated Concrete Demand (m³)]]&lt;100000,"Large","Mega"))))</f>
        <v>Medium</v>
      </c>
      <c r="P2928" s="287" t="str">
        <f t="shared" si="47"/>
        <v>GujRERA</v>
      </c>
    </row>
    <row r="2929" spans="1:16">
      <c r="A2929" s="129" t="str">
        <f>_xlfn.XLOOKUP(B2929,$S$9:$S$14,$T$9:$T$14)&amp;"-"&amp;
IF(E2929="Residential/Group Housing","RES",
IF(E2929="Commercial","COM",
IF(E2929="Mixed Development","MIX",
IF(E2929="Plotted Development","PLT","OTH"))))
&amp;"-"&amp;TEXT(COUNTIFS($B$9:B2929,B2929,$E$9:E2929,E2929),"0000")</f>
        <v>VAL-RES-0086</v>
      </c>
      <c r="B2929" s="322" t="s">
        <v>35</v>
      </c>
      <c r="C2929" s="322" t="s">
        <v>35</v>
      </c>
      <c r="D2929" s="323" t="s">
        <v>3118</v>
      </c>
      <c r="E2929" s="132" t="s">
        <v>24</v>
      </c>
      <c r="F2929" s="97" t="str">
        <f ca="1">IF(OR(Market_Data[[#This Row],[Start Date]]="",Market_Data[[#This Row],[Completion Date]]=""),"Needs Validation",IF(Market_Data[[#This Row],[Start Date]]&gt;TODAY(),"Planned",IF(Market_Data[[#This Row],[Completion Date]]&lt;TODAY(),"Completed","Ongoing")))</f>
        <v>Completed</v>
      </c>
      <c r="G2929" s="324">
        <v>44652</v>
      </c>
      <c r="H2929" s="324">
        <v>45657</v>
      </c>
      <c r="I2929" s="325">
        <v>53700</v>
      </c>
      <c r="J292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29" s="133">
        <f>_xlfn.XLOOKUP(Market_Data[[#This Row],[Project Type]],tbl_assumptions_market[Project Category (RERA)],tbl_assumptions_market[Concrete Intensity
(m³ / sq m BUA)],"",0)</f>
        <v>0.45</v>
      </c>
      <c r="L2929" s="134">
        <f>ROUND(Market_Data[[#This Row],[Estimated Built Up Area (sq m)]]*Market_Data[[#This Row],[Concrete Intensity
(m³ / sq m)]],0)</f>
        <v>24165</v>
      </c>
      <c r="M2929" s="135">
        <f>_xlfn.XLOOKUP(Market_Data[[#This Row],[District]],tbl_district_price[District],tbl_district_price[Standard Price
(INR/m³)],"",0)</f>
        <v>5600</v>
      </c>
      <c r="N2929" s="364">
        <f>IF(OR(Market_Data[[#This Row],[Estimated Concrete Demand (m³)]]="",Market_Data[[#This Row],[Avg Price per (₹ / m³)]]=""),"",Market_Data[[#This Row],[Estimated Concrete Demand (m³)]]*Market_Data[[#This Row],[Avg Price per (₹ / m³)]]/10000000)</f>
        <v>13.532400000000001</v>
      </c>
      <c r="O2929" s="97" t="str">
        <f>IF(Market_Data[[#This Row],[Estimated Concrete Demand (m³)]]="","",
IF(Market_Data[[#This Row],[Estimated Concrete Demand (m³)]]&lt;10000,"Small",
IF(Market_Data[[#This Row],[Estimated Concrete Demand (m³)]]&lt;25000,"Medium",
IF(Market_Data[[#This Row],[Estimated Concrete Demand (m³)]]&lt;100000,"Large","Mega"))))</f>
        <v>Medium</v>
      </c>
      <c r="P2929" s="287" t="str">
        <f t="shared" si="47"/>
        <v>GujRERA</v>
      </c>
    </row>
    <row r="2930" spans="1:16">
      <c r="A2930" s="129" t="str">
        <f>_xlfn.XLOOKUP(B2930,$S$9:$S$14,$T$9:$T$14)&amp;"-"&amp;
IF(E2930="Residential/Group Housing","RES",
IF(E2930="Commercial","COM",
IF(E2930="Mixed Development","MIX",
IF(E2930="Plotted Development","PLT","OTH"))))
&amp;"-"&amp;TEXT(COUNTIFS($B$9:B2930,B2930,$E$9:E2930,E2930),"0000")</f>
        <v>VAL-COM-0021</v>
      </c>
      <c r="B2930" s="322" t="s">
        <v>35</v>
      </c>
      <c r="C2930" s="322" t="s">
        <v>35</v>
      </c>
      <c r="D2930" s="323" t="s">
        <v>3119</v>
      </c>
      <c r="E2930" s="132" t="s">
        <v>23</v>
      </c>
      <c r="F2930" s="97" t="str">
        <f ca="1">IF(OR(Market_Data[[#This Row],[Start Date]]="",Market_Data[[#This Row],[Completion Date]]=""),"Needs Validation",IF(Market_Data[[#This Row],[Start Date]]&gt;TODAY(),"Planned",IF(Market_Data[[#This Row],[Completion Date]]&lt;TODAY(),"Completed","Ongoing")))</f>
        <v>Completed</v>
      </c>
      <c r="G2930" s="324">
        <v>43746</v>
      </c>
      <c r="H2930" s="324">
        <v>44834</v>
      </c>
      <c r="I2930" s="325">
        <v>13500</v>
      </c>
      <c r="J293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30" s="133">
        <f>_xlfn.XLOOKUP(Market_Data[[#This Row],[Project Type]],tbl_assumptions_market[Project Category (RERA)],tbl_assumptions_market[Concrete Intensity
(m³ / sq m BUA)],"",0)</f>
        <v>0.5</v>
      </c>
      <c r="L2930" s="134">
        <f>ROUND(Market_Data[[#This Row],[Estimated Built Up Area (sq m)]]*Market_Data[[#This Row],[Concrete Intensity
(m³ / sq m)]],0)</f>
        <v>6750</v>
      </c>
      <c r="M2930" s="135">
        <f>_xlfn.XLOOKUP(Market_Data[[#This Row],[District]],tbl_district_price[District],tbl_district_price[Standard Price
(INR/m³)],"",0)</f>
        <v>5600</v>
      </c>
      <c r="N2930" s="364">
        <f>IF(OR(Market_Data[[#This Row],[Estimated Concrete Demand (m³)]]="",Market_Data[[#This Row],[Avg Price per (₹ / m³)]]=""),"",Market_Data[[#This Row],[Estimated Concrete Demand (m³)]]*Market_Data[[#This Row],[Avg Price per (₹ / m³)]]/10000000)</f>
        <v>3.78</v>
      </c>
      <c r="O2930" s="97" t="str">
        <f>IF(Market_Data[[#This Row],[Estimated Concrete Demand (m³)]]="","",
IF(Market_Data[[#This Row],[Estimated Concrete Demand (m³)]]&lt;10000,"Small",
IF(Market_Data[[#This Row],[Estimated Concrete Demand (m³)]]&lt;25000,"Medium",
IF(Market_Data[[#This Row],[Estimated Concrete Demand (m³)]]&lt;100000,"Large","Mega"))))</f>
        <v>Small</v>
      </c>
      <c r="P2930" s="287" t="str">
        <f t="shared" si="47"/>
        <v>GujRERA</v>
      </c>
    </row>
    <row r="2931" spans="1:16">
      <c r="A2931" s="129" t="str">
        <f>_xlfn.XLOOKUP(B2931,$S$9:$S$14,$T$9:$T$14)&amp;"-"&amp;
IF(E2931="Residential/Group Housing","RES",
IF(E2931="Commercial","COM",
IF(E2931="Mixed Development","MIX",
IF(E2931="Plotted Development","PLT","OTH"))))
&amp;"-"&amp;TEXT(COUNTIFS($B$9:B2931,B2931,$E$9:E2931,E2931),"0000")</f>
        <v>VAL-MIX-0097</v>
      </c>
      <c r="B2931" s="322" t="s">
        <v>35</v>
      </c>
      <c r="C2931" s="322" t="s">
        <v>35</v>
      </c>
      <c r="D2931" s="323" t="s">
        <v>3120</v>
      </c>
      <c r="E2931" s="132" t="s">
        <v>25</v>
      </c>
      <c r="F2931" s="97" t="str">
        <f ca="1">IF(OR(Market_Data[[#This Row],[Start Date]]="",Market_Data[[#This Row],[Completion Date]]=""),"Needs Validation",IF(Market_Data[[#This Row],[Start Date]]&gt;TODAY(),"Planned",IF(Market_Data[[#This Row],[Completion Date]]&lt;TODAY(),"Completed","Ongoing")))</f>
        <v>Completed</v>
      </c>
      <c r="G2931" s="324">
        <v>42848</v>
      </c>
      <c r="H2931" s="324">
        <v>45656</v>
      </c>
      <c r="I2931" s="325">
        <v>51800</v>
      </c>
      <c r="J293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31" s="133">
        <f>_xlfn.XLOOKUP(Market_Data[[#This Row],[Project Type]],tbl_assumptions_market[Project Category (RERA)],tbl_assumptions_market[Concrete Intensity
(m³ / sq m BUA)],"",0)</f>
        <v>0.42</v>
      </c>
      <c r="L2931" s="134">
        <f>ROUND(Market_Data[[#This Row],[Estimated Built Up Area (sq m)]]*Market_Data[[#This Row],[Concrete Intensity
(m³ / sq m)]],0)</f>
        <v>21756</v>
      </c>
      <c r="M2931" s="135">
        <f>_xlfn.XLOOKUP(Market_Data[[#This Row],[District]],tbl_district_price[District],tbl_district_price[Standard Price
(INR/m³)],"",0)</f>
        <v>5600</v>
      </c>
      <c r="N2931" s="364">
        <f>IF(OR(Market_Data[[#This Row],[Estimated Concrete Demand (m³)]]="",Market_Data[[#This Row],[Avg Price per (₹ / m³)]]=""),"",Market_Data[[#This Row],[Estimated Concrete Demand (m³)]]*Market_Data[[#This Row],[Avg Price per (₹ / m³)]]/10000000)</f>
        <v>12.18336</v>
      </c>
      <c r="O2931" s="97" t="str">
        <f>IF(Market_Data[[#This Row],[Estimated Concrete Demand (m³)]]="","",
IF(Market_Data[[#This Row],[Estimated Concrete Demand (m³)]]&lt;10000,"Small",
IF(Market_Data[[#This Row],[Estimated Concrete Demand (m³)]]&lt;25000,"Medium",
IF(Market_Data[[#This Row],[Estimated Concrete Demand (m³)]]&lt;100000,"Large","Mega"))))</f>
        <v>Medium</v>
      </c>
      <c r="P2931" s="287" t="str">
        <f t="shared" si="47"/>
        <v>GujRERA</v>
      </c>
    </row>
    <row r="2932" spans="1:16">
      <c r="A2932" s="129" t="str">
        <f>_xlfn.XLOOKUP(B2932,$S$9:$S$14,$T$9:$T$14)&amp;"-"&amp;
IF(E2932="Residential/Group Housing","RES",
IF(E2932="Commercial","COM",
IF(E2932="Mixed Development","MIX",
IF(E2932="Plotted Development","PLT","OTH"))))
&amp;"-"&amp;TEXT(COUNTIFS($B$9:B2932,B2932,$E$9:E2932,E2932),"0000")</f>
        <v>VAL-RES-0087</v>
      </c>
      <c r="B2932" s="322" t="s">
        <v>35</v>
      </c>
      <c r="C2932" s="322" t="s">
        <v>35</v>
      </c>
      <c r="D2932" s="323" t="s">
        <v>3121</v>
      </c>
      <c r="E2932" s="132" t="s">
        <v>24</v>
      </c>
      <c r="F2932" s="97" t="str">
        <f ca="1">IF(OR(Market_Data[[#This Row],[Start Date]]="",Market_Data[[#This Row],[Completion Date]]=""),"Needs Validation",IF(Market_Data[[#This Row],[Start Date]]&gt;TODAY(),"Planned",IF(Market_Data[[#This Row],[Completion Date]]&lt;TODAY(),"Completed","Ongoing")))</f>
        <v>Completed</v>
      </c>
      <c r="G2932" s="324">
        <v>42475</v>
      </c>
      <c r="H2932" s="324">
        <v>44099</v>
      </c>
      <c r="I2932" s="325">
        <v>12200</v>
      </c>
      <c r="J293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32" s="133">
        <f>_xlfn.XLOOKUP(Market_Data[[#This Row],[Project Type]],tbl_assumptions_market[Project Category (RERA)],tbl_assumptions_market[Concrete Intensity
(m³ / sq m BUA)],"",0)</f>
        <v>0.45</v>
      </c>
      <c r="L2932" s="134">
        <f>ROUND(Market_Data[[#This Row],[Estimated Built Up Area (sq m)]]*Market_Data[[#This Row],[Concrete Intensity
(m³ / sq m)]],0)</f>
        <v>5490</v>
      </c>
      <c r="M2932" s="135">
        <f>_xlfn.XLOOKUP(Market_Data[[#This Row],[District]],tbl_district_price[District],tbl_district_price[Standard Price
(INR/m³)],"",0)</f>
        <v>5600</v>
      </c>
      <c r="N2932" s="364">
        <f>IF(OR(Market_Data[[#This Row],[Estimated Concrete Demand (m³)]]="",Market_Data[[#This Row],[Avg Price per (₹ / m³)]]=""),"",Market_Data[[#This Row],[Estimated Concrete Demand (m³)]]*Market_Data[[#This Row],[Avg Price per (₹ / m³)]]/10000000)</f>
        <v>3.0743999999999998</v>
      </c>
      <c r="O2932" s="97" t="str">
        <f>IF(Market_Data[[#This Row],[Estimated Concrete Demand (m³)]]="","",
IF(Market_Data[[#This Row],[Estimated Concrete Demand (m³)]]&lt;10000,"Small",
IF(Market_Data[[#This Row],[Estimated Concrete Demand (m³)]]&lt;25000,"Medium",
IF(Market_Data[[#This Row],[Estimated Concrete Demand (m³)]]&lt;100000,"Large","Mega"))))</f>
        <v>Small</v>
      </c>
      <c r="P2932" s="287" t="str">
        <f t="shared" si="47"/>
        <v>GujRERA</v>
      </c>
    </row>
    <row r="2933" spans="1:16">
      <c r="A2933" s="129" t="str">
        <f>_xlfn.XLOOKUP(B2933,$S$9:$S$14,$T$9:$T$14)&amp;"-"&amp;
IF(E2933="Residential/Group Housing","RES",
IF(E2933="Commercial","COM",
IF(E2933="Mixed Development","MIX",
IF(E2933="Plotted Development","PLT","OTH"))))
&amp;"-"&amp;TEXT(COUNTIFS($B$9:B2933,B2933,$E$9:E2933,E2933),"0000")</f>
        <v>VAL-RES-0088</v>
      </c>
      <c r="B2933" s="322" t="s">
        <v>35</v>
      </c>
      <c r="C2933" s="322" t="s">
        <v>35</v>
      </c>
      <c r="D2933" s="323" t="s">
        <v>3122</v>
      </c>
      <c r="E2933" s="132" t="s">
        <v>24</v>
      </c>
      <c r="F2933" s="97" t="str">
        <f ca="1">IF(OR(Market_Data[[#This Row],[Start Date]]="",Market_Data[[#This Row],[Completion Date]]=""),"Needs Validation",IF(Market_Data[[#This Row],[Start Date]]&gt;TODAY(),"Planned",IF(Market_Data[[#This Row],[Completion Date]]&lt;TODAY(),"Completed","Ongoing")))</f>
        <v>Completed</v>
      </c>
      <c r="G2933" s="324">
        <v>42476</v>
      </c>
      <c r="H2933" s="324">
        <v>43921</v>
      </c>
      <c r="I2933" s="325">
        <v>46500</v>
      </c>
      <c r="J293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33" s="133">
        <f>_xlfn.XLOOKUP(Market_Data[[#This Row],[Project Type]],tbl_assumptions_market[Project Category (RERA)],tbl_assumptions_market[Concrete Intensity
(m³ / sq m BUA)],"",0)</f>
        <v>0.45</v>
      </c>
      <c r="L2933" s="134">
        <f>ROUND(Market_Data[[#This Row],[Estimated Built Up Area (sq m)]]*Market_Data[[#This Row],[Concrete Intensity
(m³ / sq m)]],0)</f>
        <v>20925</v>
      </c>
      <c r="M2933" s="135">
        <f>_xlfn.XLOOKUP(Market_Data[[#This Row],[District]],tbl_district_price[District],tbl_district_price[Standard Price
(INR/m³)],"",0)</f>
        <v>5600</v>
      </c>
      <c r="N2933" s="364">
        <f>IF(OR(Market_Data[[#This Row],[Estimated Concrete Demand (m³)]]="",Market_Data[[#This Row],[Avg Price per (₹ / m³)]]=""),"",Market_Data[[#This Row],[Estimated Concrete Demand (m³)]]*Market_Data[[#This Row],[Avg Price per (₹ / m³)]]/10000000)</f>
        <v>11.718</v>
      </c>
      <c r="O2933" s="97" t="str">
        <f>IF(Market_Data[[#This Row],[Estimated Concrete Demand (m³)]]="","",
IF(Market_Data[[#This Row],[Estimated Concrete Demand (m³)]]&lt;10000,"Small",
IF(Market_Data[[#This Row],[Estimated Concrete Demand (m³)]]&lt;25000,"Medium",
IF(Market_Data[[#This Row],[Estimated Concrete Demand (m³)]]&lt;100000,"Large","Mega"))))</f>
        <v>Medium</v>
      </c>
      <c r="P2933" s="287" t="str">
        <f t="shared" si="47"/>
        <v>GujRERA</v>
      </c>
    </row>
    <row r="2934" spans="1:16">
      <c r="A2934" s="129" t="str">
        <f>_xlfn.XLOOKUP(B2934,$S$9:$S$14,$T$9:$T$14)&amp;"-"&amp;
IF(E2934="Residential/Group Housing","RES",
IF(E2934="Commercial","COM",
IF(E2934="Mixed Development","MIX",
IF(E2934="Plotted Development","PLT","OTH"))))
&amp;"-"&amp;TEXT(COUNTIFS($B$9:B2934,B2934,$E$9:E2934,E2934),"0000")</f>
        <v>VAL-RES-0089</v>
      </c>
      <c r="B2934" s="322" t="s">
        <v>35</v>
      </c>
      <c r="C2934" s="322" t="s">
        <v>35</v>
      </c>
      <c r="D2934" s="323" t="s">
        <v>3123</v>
      </c>
      <c r="E2934" s="132" t="s">
        <v>24</v>
      </c>
      <c r="F2934" s="97" t="str">
        <f ca="1">IF(OR(Market_Data[[#This Row],[Start Date]]="",Market_Data[[#This Row],[Completion Date]]=""),"Needs Validation",IF(Market_Data[[#This Row],[Start Date]]&gt;TODAY(),"Planned",IF(Market_Data[[#This Row],[Completion Date]]&lt;TODAY(),"Completed","Ongoing")))</f>
        <v>Ongoing</v>
      </c>
      <c r="G2934" s="324">
        <v>43384</v>
      </c>
      <c r="H2934" s="324">
        <v>46934</v>
      </c>
      <c r="I2934" s="325">
        <v>90100</v>
      </c>
      <c r="J293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934" s="133">
        <f>_xlfn.XLOOKUP(Market_Data[[#This Row],[Project Type]],tbl_assumptions_market[Project Category (RERA)],tbl_assumptions_market[Concrete Intensity
(m³ / sq m BUA)],"",0)</f>
        <v>0.45</v>
      </c>
      <c r="L2934" s="134">
        <f>ROUND(Market_Data[[#This Row],[Estimated Built Up Area (sq m)]]*Market_Data[[#This Row],[Concrete Intensity
(m³ / sq m)]],0)</f>
        <v>40545</v>
      </c>
      <c r="M2934" s="135">
        <f>_xlfn.XLOOKUP(Market_Data[[#This Row],[District]],tbl_district_price[District],tbl_district_price[Standard Price
(INR/m³)],"",0)</f>
        <v>5600</v>
      </c>
      <c r="N2934" s="364">
        <f>IF(OR(Market_Data[[#This Row],[Estimated Concrete Demand (m³)]]="",Market_Data[[#This Row],[Avg Price per (₹ / m³)]]=""),"",Market_Data[[#This Row],[Estimated Concrete Demand (m³)]]*Market_Data[[#This Row],[Avg Price per (₹ / m³)]]/10000000)</f>
        <v>22.705200000000001</v>
      </c>
      <c r="O2934" s="97" t="str">
        <f>IF(Market_Data[[#This Row],[Estimated Concrete Demand (m³)]]="","",
IF(Market_Data[[#This Row],[Estimated Concrete Demand (m³)]]&lt;10000,"Small",
IF(Market_Data[[#This Row],[Estimated Concrete Demand (m³)]]&lt;25000,"Medium",
IF(Market_Data[[#This Row],[Estimated Concrete Demand (m³)]]&lt;100000,"Large","Mega"))))</f>
        <v>Large</v>
      </c>
      <c r="P2934" s="287" t="str">
        <f t="shared" si="47"/>
        <v>GujRERA</v>
      </c>
    </row>
    <row r="2935" spans="1:16">
      <c r="A2935" s="129" t="str">
        <f>_xlfn.XLOOKUP(B2935,$S$9:$S$14,$T$9:$T$14)&amp;"-"&amp;
IF(E2935="Residential/Group Housing","RES",
IF(E2935="Commercial","COM",
IF(E2935="Mixed Development","MIX",
IF(E2935="Plotted Development","PLT","OTH"))))
&amp;"-"&amp;TEXT(COUNTIFS($B$9:B2935,B2935,$E$9:E2935,E2935),"0000")</f>
        <v>VAL-RES-0090</v>
      </c>
      <c r="B2935" s="322" t="s">
        <v>35</v>
      </c>
      <c r="C2935" s="322" t="s">
        <v>35</v>
      </c>
      <c r="D2935" s="323" t="s">
        <v>3124</v>
      </c>
      <c r="E2935" s="132" t="s">
        <v>24</v>
      </c>
      <c r="F2935" s="97" t="str">
        <f ca="1">IF(OR(Market_Data[[#This Row],[Start Date]]="",Market_Data[[#This Row],[Completion Date]]=""),"Needs Validation",IF(Market_Data[[#This Row],[Start Date]]&gt;TODAY(),"Planned",IF(Market_Data[[#This Row],[Completion Date]]&lt;TODAY(),"Completed","Ongoing")))</f>
        <v>Completed</v>
      </c>
      <c r="G2935" s="324">
        <v>42583</v>
      </c>
      <c r="H2935" s="324">
        <v>44377</v>
      </c>
      <c r="I2935" s="325">
        <v>3800</v>
      </c>
      <c r="J293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35" s="133">
        <f>_xlfn.XLOOKUP(Market_Data[[#This Row],[Project Type]],tbl_assumptions_market[Project Category (RERA)],tbl_assumptions_market[Concrete Intensity
(m³ / sq m BUA)],"",0)</f>
        <v>0.45</v>
      </c>
      <c r="L2935" s="134">
        <f>ROUND(Market_Data[[#This Row],[Estimated Built Up Area (sq m)]]*Market_Data[[#This Row],[Concrete Intensity
(m³ / sq m)]],0)</f>
        <v>1710</v>
      </c>
      <c r="M2935" s="135">
        <f>_xlfn.XLOOKUP(Market_Data[[#This Row],[District]],tbl_district_price[District],tbl_district_price[Standard Price
(INR/m³)],"",0)</f>
        <v>5600</v>
      </c>
      <c r="N2935" s="364">
        <f>IF(OR(Market_Data[[#This Row],[Estimated Concrete Demand (m³)]]="",Market_Data[[#This Row],[Avg Price per (₹ / m³)]]=""),"",Market_Data[[#This Row],[Estimated Concrete Demand (m³)]]*Market_Data[[#This Row],[Avg Price per (₹ / m³)]]/10000000)</f>
        <v>0.95760000000000001</v>
      </c>
      <c r="O2935" s="97" t="str">
        <f>IF(Market_Data[[#This Row],[Estimated Concrete Demand (m³)]]="","",
IF(Market_Data[[#This Row],[Estimated Concrete Demand (m³)]]&lt;10000,"Small",
IF(Market_Data[[#This Row],[Estimated Concrete Demand (m³)]]&lt;25000,"Medium",
IF(Market_Data[[#This Row],[Estimated Concrete Demand (m³)]]&lt;100000,"Large","Mega"))))</f>
        <v>Small</v>
      </c>
      <c r="P2935" s="287" t="str">
        <f t="shared" si="47"/>
        <v>GujRERA</v>
      </c>
    </row>
    <row r="2936" spans="1:16">
      <c r="A2936" s="129" t="str">
        <f>_xlfn.XLOOKUP(B2936,$S$9:$S$14,$T$9:$T$14)&amp;"-"&amp;
IF(E2936="Residential/Group Housing","RES",
IF(E2936="Commercial","COM",
IF(E2936="Mixed Development","MIX",
IF(E2936="Plotted Development","PLT","OTH"))))
&amp;"-"&amp;TEXT(COUNTIFS($B$9:B2936,B2936,$E$9:E2936,E2936),"0000")</f>
        <v>VAL-RES-0091</v>
      </c>
      <c r="B2936" s="322" t="s">
        <v>35</v>
      </c>
      <c r="C2936" s="322" t="s">
        <v>35</v>
      </c>
      <c r="D2936" s="323" t="s">
        <v>3125</v>
      </c>
      <c r="E2936" s="132" t="s">
        <v>24</v>
      </c>
      <c r="F2936" s="97" t="str">
        <f ca="1">IF(OR(Market_Data[[#This Row],[Start Date]]="",Market_Data[[#This Row],[Completion Date]]=""),"Needs Validation",IF(Market_Data[[#This Row],[Start Date]]&gt;TODAY(),"Planned",IF(Market_Data[[#This Row],[Completion Date]]&lt;TODAY(),"Completed","Ongoing")))</f>
        <v>Ongoing</v>
      </c>
      <c r="G2936" s="324">
        <v>44920</v>
      </c>
      <c r="H2936" s="324">
        <v>47848</v>
      </c>
      <c r="I2936" s="325">
        <v>47700</v>
      </c>
      <c r="J293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36" s="133">
        <f>_xlfn.XLOOKUP(Market_Data[[#This Row],[Project Type]],tbl_assumptions_market[Project Category (RERA)],tbl_assumptions_market[Concrete Intensity
(m³ / sq m BUA)],"",0)</f>
        <v>0.45</v>
      </c>
      <c r="L2936" s="134">
        <f>ROUND(Market_Data[[#This Row],[Estimated Built Up Area (sq m)]]*Market_Data[[#This Row],[Concrete Intensity
(m³ / sq m)]],0)</f>
        <v>21465</v>
      </c>
      <c r="M2936" s="135">
        <f>_xlfn.XLOOKUP(Market_Data[[#This Row],[District]],tbl_district_price[District],tbl_district_price[Standard Price
(INR/m³)],"",0)</f>
        <v>5600</v>
      </c>
      <c r="N2936" s="364">
        <f>IF(OR(Market_Data[[#This Row],[Estimated Concrete Demand (m³)]]="",Market_Data[[#This Row],[Avg Price per (₹ / m³)]]=""),"",Market_Data[[#This Row],[Estimated Concrete Demand (m³)]]*Market_Data[[#This Row],[Avg Price per (₹ / m³)]]/10000000)</f>
        <v>12.0204</v>
      </c>
      <c r="O2936" s="97" t="str">
        <f>IF(Market_Data[[#This Row],[Estimated Concrete Demand (m³)]]="","",
IF(Market_Data[[#This Row],[Estimated Concrete Demand (m³)]]&lt;10000,"Small",
IF(Market_Data[[#This Row],[Estimated Concrete Demand (m³)]]&lt;25000,"Medium",
IF(Market_Data[[#This Row],[Estimated Concrete Demand (m³)]]&lt;100000,"Large","Mega"))))</f>
        <v>Medium</v>
      </c>
      <c r="P2936" s="287" t="str">
        <f t="shared" si="47"/>
        <v>GujRERA</v>
      </c>
    </row>
    <row r="2937" spans="1:16">
      <c r="A2937" s="129" t="str">
        <f>_xlfn.XLOOKUP(B2937,$S$9:$S$14,$T$9:$T$14)&amp;"-"&amp;
IF(E2937="Residential/Group Housing","RES",
IF(E2937="Commercial","COM",
IF(E2937="Mixed Development","MIX",
IF(E2937="Plotted Development","PLT","OTH"))))
&amp;"-"&amp;TEXT(COUNTIFS($B$9:B2937,B2937,$E$9:E2937,E2937),"0000")</f>
        <v>VAL-MIX-0098</v>
      </c>
      <c r="B2937" s="322" t="s">
        <v>35</v>
      </c>
      <c r="C2937" s="322" t="s">
        <v>35</v>
      </c>
      <c r="D2937" s="323" t="s">
        <v>3126</v>
      </c>
      <c r="E2937" s="132" t="s">
        <v>25</v>
      </c>
      <c r="F2937" s="97" t="str">
        <f ca="1">IF(OR(Market_Data[[#This Row],[Start Date]]="",Market_Data[[#This Row],[Completion Date]]=""),"Needs Validation",IF(Market_Data[[#This Row],[Start Date]]&gt;TODAY(),"Planned",IF(Market_Data[[#This Row],[Completion Date]]&lt;TODAY(),"Completed","Ongoing")))</f>
        <v>Ongoing</v>
      </c>
      <c r="G2937" s="324">
        <v>45223</v>
      </c>
      <c r="H2937" s="324">
        <v>47483</v>
      </c>
      <c r="I2937" s="325">
        <v>51700</v>
      </c>
      <c r="J293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37" s="133">
        <f>_xlfn.XLOOKUP(Market_Data[[#This Row],[Project Type]],tbl_assumptions_market[Project Category (RERA)],tbl_assumptions_market[Concrete Intensity
(m³ / sq m BUA)],"",0)</f>
        <v>0.42</v>
      </c>
      <c r="L2937" s="134">
        <f>ROUND(Market_Data[[#This Row],[Estimated Built Up Area (sq m)]]*Market_Data[[#This Row],[Concrete Intensity
(m³ / sq m)]],0)</f>
        <v>21714</v>
      </c>
      <c r="M2937" s="135">
        <f>_xlfn.XLOOKUP(Market_Data[[#This Row],[District]],tbl_district_price[District],tbl_district_price[Standard Price
(INR/m³)],"",0)</f>
        <v>5600</v>
      </c>
      <c r="N2937" s="364">
        <f>IF(OR(Market_Data[[#This Row],[Estimated Concrete Demand (m³)]]="",Market_Data[[#This Row],[Avg Price per (₹ / m³)]]=""),"",Market_Data[[#This Row],[Estimated Concrete Demand (m³)]]*Market_Data[[#This Row],[Avg Price per (₹ / m³)]]/10000000)</f>
        <v>12.159840000000001</v>
      </c>
      <c r="O2937" s="97" t="str">
        <f>IF(Market_Data[[#This Row],[Estimated Concrete Demand (m³)]]="","",
IF(Market_Data[[#This Row],[Estimated Concrete Demand (m³)]]&lt;10000,"Small",
IF(Market_Data[[#This Row],[Estimated Concrete Demand (m³)]]&lt;25000,"Medium",
IF(Market_Data[[#This Row],[Estimated Concrete Demand (m³)]]&lt;100000,"Large","Mega"))))</f>
        <v>Medium</v>
      </c>
      <c r="P2937" s="287" t="str">
        <f t="shared" si="47"/>
        <v>GujRERA</v>
      </c>
    </row>
    <row r="2938" spans="1:16">
      <c r="A2938" s="129" t="str">
        <f>_xlfn.XLOOKUP(B2938,$S$9:$S$14,$T$9:$T$14)&amp;"-"&amp;
IF(E2938="Residential/Group Housing","RES",
IF(E2938="Commercial","COM",
IF(E2938="Mixed Development","MIX",
IF(E2938="Plotted Development","PLT","OTH"))))
&amp;"-"&amp;TEXT(COUNTIFS($B$9:B2938,B2938,$E$9:E2938,E2938),"0000")</f>
        <v>VAL-RES-0092</v>
      </c>
      <c r="B2938" s="322" t="s">
        <v>35</v>
      </c>
      <c r="C2938" s="322" t="s">
        <v>35</v>
      </c>
      <c r="D2938" s="323" t="s">
        <v>3127</v>
      </c>
      <c r="E2938" s="132" t="s">
        <v>24</v>
      </c>
      <c r="F2938" s="97" t="str">
        <f ca="1">IF(OR(Market_Data[[#This Row],[Start Date]]="",Market_Data[[#This Row],[Completion Date]]=""),"Needs Validation",IF(Market_Data[[#This Row],[Start Date]]&gt;TODAY(),"Planned",IF(Market_Data[[#This Row],[Completion Date]]&lt;TODAY(),"Completed","Ongoing")))</f>
        <v>Completed</v>
      </c>
      <c r="G2938" s="324">
        <v>44331</v>
      </c>
      <c r="H2938" s="324">
        <v>45657</v>
      </c>
      <c r="I2938" s="325">
        <v>53700</v>
      </c>
      <c r="J293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38" s="133">
        <f>_xlfn.XLOOKUP(Market_Data[[#This Row],[Project Type]],tbl_assumptions_market[Project Category (RERA)],tbl_assumptions_market[Concrete Intensity
(m³ / sq m BUA)],"",0)</f>
        <v>0.45</v>
      </c>
      <c r="L2938" s="134">
        <f>ROUND(Market_Data[[#This Row],[Estimated Built Up Area (sq m)]]*Market_Data[[#This Row],[Concrete Intensity
(m³ / sq m)]],0)</f>
        <v>24165</v>
      </c>
      <c r="M2938" s="135">
        <f>_xlfn.XLOOKUP(Market_Data[[#This Row],[District]],tbl_district_price[District],tbl_district_price[Standard Price
(INR/m³)],"",0)</f>
        <v>5600</v>
      </c>
      <c r="N2938" s="364">
        <f>IF(OR(Market_Data[[#This Row],[Estimated Concrete Demand (m³)]]="",Market_Data[[#This Row],[Avg Price per (₹ / m³)]]=""),"",Market_Data[[#This Row],[Estimated Concrete Demand (m³)]]*Market_Data[[#This Row],[Avg Price per (₹ / m³)]]/10000000)</f>
        <v>13.532400000000001</v>
      </c>
      <c r="O2938" s="97" t="str">
        <f>IF(Market_Data[[#This Row],[Estimated Concrete Demand (m³)]]="","",
IF(Market_Data[[#This Row],[Estimated Concrete Demand (m³)]]&lt;10000,"Small",
IF(Market_Data[[#This Row],[Estimated Concrete Demand (m³)]]&lt;25000,"Medium",
IF(Market_Data[[#This Row],[Estimated Concrete Demand (m³)]]&lt;100000,"Large","Mega"))))</f>
        <v>Medium</v>
      </c>
      <c r="P2938" s="287" t="str">
        <f t="shared" si="47"/>
        <v>GujRERA</v>
      </c>
    </row>
    <row r="2939" spans="1:16">
      <c r="A2939" s="129" t="str">
        <f>_xlfn.XLOOKUP(B2939,$S$9:$S$14,$T$9:$T$14)&amp;"-"&amp;
IF(E2939="Residential/Group Housing","RES",
IF(E2939="Commercial","COM",
IF(E2939="Mixed Development","MIX",
IF(E2939="Plotted Development","PLT","OTH"))))
&amp;"-"&amp;TEXT(COUNTIFS($B$9:B2939,B2939,$E$9:E2939,E2939),"0000")</f>
        <v>VAL-RES-0093</v>
      </c>
      <c r="B2939" s="322" t="s">
        <v>35</v>
      </c>
      <c r="C2939" s="322" t="s">
        <v>35</v>
      </c>
      <c r="D2939" s="323" t="s">
        <v>3128</v>
      </c>
      <c r="E2939" s="132" t="s">
        <v>24</v>
      </c>
      <c r="F2939" s="97" t="str">
        <f ca="1">IF(OR(Market_Data[[#This Row],[Start Date]]="",Market_Data[[#This Row],[Completion Date]]=""),"Needs Validation",IF(Market_Data[[#This Row],[Start Date]]&gt;TODAY(),"Planned",IF(Market_Data[[#This Row],[Completion Date]]&lt;TODAY(),"Completed","Ongoing")))</f>
        <v>Ongoing</v>
      </c>
      <c r="G2939" s="324">
        <v>45658</v>
      </c>
      <c r="H2939" s="324">
        <v>46752</v>
      </c>
      <c r="I2939" s="325">
        <v>31800</v>
      </c>
      <c r="J293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39" s="133">
        <f>_xlfn.XLOOKUP(Market_Data[[#This Row],[Project Type]],tbl_assumptions_market[Project Category (RERA)],tbl_assumptions_market[Concrete Intensity
(m³ / sq m BUA)],"",0)</f>
        <v>0.45</v>
      </c>
      <c r="L2939" s="134">
        <f>ROUND(Market_Data[[#This Row],[Estimated Built Up Area (sq m)]]*Market_Data[[#This Row],[Concrete Intensity
(m³ / sq m)]],0)</f>
        <v>14310</v>
      </c>
      <c r="M2939" s="135">
        <f>_xlfn.XLOOKUP(Market_Data[[#This Row],[District]],tbl_district_price[District],tbl_district_price[Standard Price
(INR/m³)],"",0)</f>
        <v>5600</v>
      </c>
      <c r="N2939" s="364">
        <f>IF(OR(Market_Data[[#This Row],[Estimated Concrete Demand (m³)]]="",Market_Data[[#This Row],[Avg Price per (₹ / m³)]]=""),"",Market_Data[[#This Row],[Estimated Concrete Demand (m³)]]*Market_Data[[#This Row],[Avg Price per (₹ / m³)]]/10000000)</f>
        <v>8.0136000000000003</v>
      </c>
      <c r="O2939" s="97" t="str">
        <f>IF(Market_Data[[#This Row],[Estimated Concrete Demand (m³)]]="","",
IF(Market_Data[[#This Row],[Estimated Concrete Demand (m³)]]&lt;10000,"Small",
IF(Market_Data[[#This Row],[Estimated Concrete Demand (m³)]]&lt;25000,"Medium",
IF(Market_Data[[#This Row],[Estimated Concrete Demand (m³)]]&lt;100000,"Large","Mega"))))</f>
        <v>Medium</v>
      </c>
      <c r="P2939" s="287" t="str">
        <f t="shared" si="47"/>
        <v>GujRERA</v>
      </c>
    </row>
    <row r="2940" spans="1:16">
      <c r="A2940" s="129" t="str">
        <f>_xlfn.XLOOKUP(B2940,$S$9:$S$14,$T$9:$T$14)&amp;"-"&amp;
IF(E2940="Residential/Group Housing","RES",
IF(E2940="Commercial","COM",
IF(E2940="Mixed Development","MIX",
IF(E2940="Plotted Development","PLT","OTH"))))
&amp;"-"&amp;TEXT(COUNTIFS($B$9:B2940,B2940,$E$9:E2940,E2940),"0000")</f>
        <v>VAL-MIX-0099</v>
      </c>
      <c r="B2940" s="322" t="s">
        <v>35</v>
      </c>
      <c r="C2940" s="322" t="s">
        <v>35</v>
      </c>
      <c r="D2940" s="323" t="s">
        <v>3129</v>
      </c>
      <c r="E2940" s="132" t="s">
        <v>25</v>
      </c>
      <c r="F2940" s="97" t="str">
        <f ca="1">IF(OR(Market_Data[[#This Row],[Start Date]]="",Market_Data[[#This Row],[Completion Date]]=""),"Needs Validation",IF(Market_Data[[#This Row],[Start Date]]&gt;TODAY(),"Planned",IF(Market_Data[[#This Row],[Completion Date]]&lt;TODAY(),"Completed","Ongoing")))</f>
        <v>Ongoing</v>
      </c>
      <c r="G2940" s="324">
        <v>45624</v>
      </c>
      <c r="H2940" s="324">
        <v>46752</v>
      </c>
      <c r="I2940" s="325">
        <v>45400</v>
      </c>
      <c r="J294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40" s="133">
        <f>_xlfn.XLOOKUP(Market_Data[[#This Row],[Project Type]],tbl_assumptions_market[Project Category (RERA)],tbl_assumptions_market[Concrete Intensity
(m³ / sq m BUA)],"",0)</f>
        <v>0.42</v>
      </c>
      <c r="L2940" s="134">
        <f>ROUND(Market_Data[[#This Row],[Estimated Built Up Area (sq m)]]*Market_Data[[#This Row],[Concrete Intensity
(m³ / sq m)]],0)</f>
        <v>19068</v>
      </c>
      <c r="M2940" s="135">
        <f>_xlfn.XLOOKUP(Market_Data[[#This Row],[District]],tbl_district_price[District],tbl_district_price[Standard Price
(INR/m³)],"",0)</f>
        <v>5600</v>
      </c>
      <c r="N2940" s="364">
        <f>IF(OR(Market_Data[[#This Row],[Estimated Concrete Demand (m³)]]="",Market_Data[[#This Row],[Avg Price per (₹ / m³)]]=""),"",Market_Data[[#This Row],[Estimated Concrete Demand (m³)]]*Market_Data[[#This Row],[Avg Price per (₹ / m³)]]/10000000)</f>
        <v>10.67808</v>
      </c>
      <c r="O2940" s="97" t="str">
        <f>IF(Market_Data[[#This Row],[Estimated Concrete Demand (m³)]]="","",
IF(Market_Data[[#This Row],[Estimated Concrete Demand (m³)]]&lt;10000,"Small",
IF(Market_Data[[#This Row],[Estimated Concrete Demand (m³)]]&lt;25000,"Medium",
IF(Market_Data[[#This Row],[Estimated Concrete Demand (m³)]]&lt;100000,"Large","Mega"))))</f>
        <v>Medium</v>
      </c>
      <c r="P2940" s="287" t="str">
        <f t="shared" si="47"/>
        <v>GujRERA</v>
      </c>
    </row>
    <row r="2941" spans="1:16">
      <c r="A2941" s="129" t="str">
        <f>_xlfn.XLOOKUP(B2941,$S$9:$S$14,$T$9:$T$14)&amp;"-"&amp;
IF(E2941="Residential/Group Housing","RES",
IF(E2941="Commercial","COM",
IF(E2941="Mixed Development","MIX",
IF(E2941="Plotted Development","PLT","OTH"))))
&amp;"-"&amp;TEXT(COUNTIFS($B$9:B2941,B2941,$E$9:E2941,E2941),"0000")</f>
        <v>VAL-RES-0094</v>
      </c>
      <c r="B2941" s="322" t="s">
        <v>35</v>
      </c>
      <c r="C2941" s="322" t="s">
        <v>35</v>
      </c>
      <c r="D2941" s="323" t="s">
        <v>3130</v>
      </c>
      <c r="E2941" s="132" t="s">
        <v>24</v>
      </c>
      <c r="F2941" s="97" t="str">
        <f ca="1">IF(OR(Market_Data[[#This Row],[Start Date]]="",Market_Data[[#This Row],[Completion Date]]=""),"Needs Validation",IF(Market_Data[[#This Row],[Start Date]]&gt;TODAY(),"Planned",IF(Market_Data[[#This Row],[Completion Date]]&lt;TODAY(),"Completed","Ongoing")))</f>
        <v>Ongoing</v>
      </c>
      <c r="G2941" s="324">
        <v>45657</v>
      </c>
      <c r="H2941" s="324">
        <v>48213</v>
      </c>
      <c r="I2941" s="325">
        <v>47600</v>
      </c>
      <c r="J294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41" s="133">
        <f>_xlfn.XLOOKUP(Market_Data[[#This Row],[Project Type]],tbl_assumptions_market[Project Category (RERA)],tbl_assumptions_market[Concrete Intensity
(m³ / sq m BUA)],"",0)</f>
        <v>0.45</v>
      </c>
      <c r="L2941" s="134">
        <f>ROUND(Market_Data[[#This Row],[Estimated Built Up Area (sq m)]]*Market_Data[[#This Row],[Concrete Intensity
(m³ / sq m)]],0)</f>
        <v>21420</v>
      </c>
      <c r="M2941" s="135">
        <f>_xlfn.XLOOKUP(Market_Data[[#This Row],[District]],tbl_district_price[District],tbl_district_price[Standard Price
(INR/m³)],"",0)</f>
        <v>5600</v>
      </c>
      <c r="N2941" s="364">
        <f>IF(OR(Market_Data[[#This Row],[Estimated Concrete Demand (m³)]]="",Market_Data[[#This Row],[Avg Price per (₹ / m³)]]=""),"",Market_Data[[#This Row],[Estimated Concrete Demand (m³)]]*Market_Data[[#This Row],[Avg Price per (₹ / m³)]]/10000000)</f>
        <v>11.995200000000001</v>
      </c>
      <c r="O2941" s="97" t="str">
        <f>IF(Market_Data[[#This Row],[Estimated Concrete Demand (m³)]]="","",
IF(Market_Data[[#This Row],[Estimated Concrete Demand (m³)]]&lt;10000,"Small",
IF(Market_Data[[#This Row],[Estimated Concrete Demand (m³)]]&lt;25000,"Medium",
IF(Market_Data[[#This Row],[Estimated Concrete Demand (m³)]]&lt;100000,"Large","Mega"))))</f>
        <v>Medium</v>
      </c>
      <c r="P2941" s="287" t="str">
        <f t="shared" si="47"/>
        <v>GujRERA</v>
      </c>
    </row>
    <row r="2942" spans="1:16">
      <c r="A2942" s="129" t="str">
        <f>_xlfn.XLOOKUP(B2942,$S$9:$S$14,$T$9:$T$14)&amp;"-"&amp;
IF(E2942="Residential/Group Housing","RES",
IF(E2942="Commercial","COM",
IF(E2942="Mixed Development","MIX",
IF(E2942="Plotted Development","PLT","OTH"))))
&amp;"-"&amp;TEXT(COUNTIFS($B$9:B2942,B2942,$E$9:E2942,E2942),"0000")</f>
        <v>VAL-RES-0095</v>
      </c>
      <c r="B2942" s="322" t="s">
        <v>35</v>
      </c>
      <c r="C2942" s="322" t="s">
        <v>35</v>
      </c>
      <c r="D2942" s="323" t="s">
        <v>3131</v>
      </c>
      <c r="E2942" s="132" t="s">
        <v>24</v>
      </c>
      <c r="F2942" s="97" t="str">
        <f ca="1">IF(OR(Market_Data[[#This Row],[Start Date]]="",Market_Data[[#This Row],[Completion Date]]=""),"Needs Validation",IF(Market_Data[[#This Row],[Start Date]]&gt;TODAY(),"Planned",IF(Market_Data[[#This Row],[Completion Date]]&lt;TODAY(),"Completed","Ongoing")))</f>
        <v>Completed</v>
      </c>
      <c r="G2942" s="324">
        <v>44288</v>
      </c>
      <c r="H2942" s="324">
        <v>46112</v>
      </c>
      <c r="I2942" s="325">
        <v>52200</v>
      </c>
      <c r="J294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42" s="133">
        <f>_xlfn.XLOOKUP(Market_Data[[#This Row],[Project Type]],tbl_assumptions_market[Project Category (RERA)],tbl_assumptions_market[Concrete Intensity
(m³ / sq m BUA)],"",0)</f>
        <v>0.45</v>
      </c>
      <c r="L2942" s="134">
        <f>ROUND(Market_Data[[#This Row],[Estimated Built Up Area (sq m)]]*Market_Data[[#This Row],[Concrete Intensity
(m³ / sq m)]],0)</f>
        <v>23490</v>
      </c>
      <c r="M2942" s="135">
        <f>_xlfn.XLOOKUP(Market_Data[[#This Row],[District]],tbl_district_price[District],tbl_district_price[Standard Price
(INR/m³)],"",0)</f>
        <v>5600</v>
      </c>
      <c r="N2942" s="364">
        <f>IF(OR(Market_Data[[#This Row],[Estimated Concrete Demand (m³)]]="",Market_Data[[#This Row],[Avg Price per (₹ / m³)]]=""),"",Market_Data[[#This Row],[Estimated Concrete Demand (m³)]]*Market_Data[[#This Row],[Avg Price per (₹ / m³)]]/10000000)</f>
        <v>13.154400000000001</v>
      </c>
      <c r="O2942" s="97" t="str">
        <f>IF(Market_Data[[#This Row],[Estimated Concrete Demand (m³)]]="","",
IF(Market_Data[[#This Row],[Estimated Concrete Demand (m³)]]&lt;10000,"Small",
IF(Market_Data[[#This Row],[Estimated Concrete Demand (m³)]]&lt;25000,"Medium",
IF(Market_Data[[#This Row],[Estimated Concrete Demand (m³)]]&lt;100000,"Large","Mega"))))</f>
        <v>Medium</v>
      </c>
      <c r="P2942" s="287" t="str">
        <f t="shared" si="47"/>
        <v>GujRERA</v>
      </c>
    </row>
    <row r="2943" spans="1:16">
      <c r="A2943" s="129" t="str">
        <f>_xlfn.XLOOKUP(B2943,$S$9:$S$14,$T$9:$T$14)&amp;"-"&amp;
IF(E2943="Residential/Group Housing","RES",
IF(E2943="Commercial","COM",
IF(E2943="Mixed Development","MIX",
IF(E2943="Plotted Development","PLT","OTH"))))
&amp;"-"&amp;TEXT(COUNTIFS($B$9:B2943,B2943,$E$9:E2943,E2943),"0000")</f>
        <v>VAL-RES-0096</v>
      </c>
      <c r="B2943" s="322" t="s">
        <v>35</v>
      </c>
      <c r="C2943" s="322" t="s">
        <v>35</v>
      </c>
      <c r="D2943" s="323" t="s">
        <v>3132</v>
      </c>
      <c r="E2943" s="132" t="s">
        <v>24</v>
      </c>
      <c r="F2943" s="97" t="str">
        <f ca="1">IF(OR(Market_Data[[#This Row],[Start Date]]="",Market_Data[[#This Row],[Completion Date]]=""),"Needs Validation",IF(Market_Data[[#This Row],[Start Date]]&gt;TODAY(),"Planned",IF(Market_Data[[#This Row],[Completion Date]]&lt;TODAY(),"Completed","Ongoing")))</f>
        <v>Completed</v>
      </c>
      <c r="G2943" s="324">
        <v>44635</v>
      </c>
      <c r="H2943" s="324">
        <v>46022</v>
      </c>
      <c r="I2943" s="325">
        <v>39300</v>
      </c>
      <c r="J294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43" s="133">
        <f>_xlfn.XLOOKUP(Market_Data[[#This Row],[Project Type]],tbl_assumptions_market[Project Category (RERA)],tbl_assumptions_market[Concrete Intensity
(m³ / sq m BUA)],"",0)</f>
        <v>0.45</v>
      </c>
      <c r="L2943" s="134">
        <f>ROUND(Market_Data[[#This Row],[Estimated Built Up Area (sq m)]]*Market_Data[[#This Row],[Concrete Intensity
(m³ / sq m)]],0)</f>
        <v>17685</v>
      </c>
      <c r="M2943" s="135">
        <f>_xlfn.XLOOKUP(Market_Data[[#This Row],[District]],tbl_district_price[District],tbl_district_price[Standard Price
(INR/m³)],"",0)</f>
        <v>5600</v>
      </c>
      <c r="N2943" s="364">
        <f>IF(OR(Market_Data[[#This Row],[Estimated Concrete Demand (m³)]]="",Market_Data[[#This Row],[Avg Price per (₹ / m³)]]=""),"",Market_Data[[#This Row],[Estimated Concrete Demand (m³)]]*Market_Data[[#This Row],[Avg Price per (₹ / m³)]]/10000000)</f>
        <v>9.9036000000000008</v>
      </c>
      <c r="O2943" s="97" t="str">
        <f>IF(Market_Data[[#This Row],[Estimated Concrete Demand (m³)]]="","",
IF(Market_Data[[#This Row],[Estimated Concrete Demand (m³)]]&lt;10000,"Small",
IF(Market_Data[[#This Row],[Estimated Concrete Demand (m³)]]&lt;25000,"Medium",
IF(Market_Data[[#This Row],[Estimated Concrete Demand (m³)]]&lt;100000,"Large","Mega"))))</f>
        <v>Medium</v>
      </c>
      <c r="P2943" s="287" t="str">
        <f t="shared" si="47"/>
        <v>GujRERA</v>
      </c>
    </row>
    <row r="2944" spans="1:16">
      <c r="A2944" s="129" t="str">
        <f>_xlfn.XLOOKUP(B2944,$S$9:$S$14,$T$9:$T$14)&amp;"-"&amp;
IF(E2944="Residential/Group Housing","RES",
IF(E2944="Commercial","COM",
IF(E2944="Mixed Development","MIX",
IF(E2944="Plotted Development","PLT","OTH"))))
&amp;"-"&amp;TEXT(COUNTIFS($B$9:B2944,B2944,$E$9:E2944,E2944),"0000")</f>
        <v>VAL-MIX-0100</v>
      </c>
      <c r="B2944" s="322" t="s">
        <v>35</v>
      </c>
      <c r="C2944" s="322" t="s">
        <v>35</v>
      </c>
      <c r="D2944" s="323" t="s">
        <v>3133</v>
      </c>
      <c r="E2944" s="132" t="s">
        <v>25</v>
      </c>
      <c r="F2944" s="97" t="str">
        <f ca="1">IF(OR(Market_Data[[#This Row],[Start Date]]="",Market_Data[[#This Row],[Completion Date]]=""),"Needs Validation",IF(Market_Data[[#This Row],[Start Date]]&gt;TODAY(),"Planned",IF(Market_Data[[#This Row],[Completion Date]]&lt;TODAY(),"Completed","Ongoing")))</f>
        <v>Ongoing</v>
      </c>
      <c r="G2944" s="324">
        <v>44895</v>
      </c>
      <c r="H2944" s="324">
        <v>46387</v>
      </c>
      <c r="I2944" s="325">
        <v>52000</v>
      </c>
      <c r="J294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44" s="133">
        <f>_xlfn.XLOOKUP(Market_Data[[#This Row],[Project Type]],tbl_assumptions_market[Project Category (RERA)],tbl_assumptions_market[Concrete Intensity
(m³ / sq m BUA)],"",0)</f>
        <v>0.42</v>
      </c>
      <c r="L2944" s="134">
        <f>ROUND(Market_Data[[#This Row],[Estimated Built Up Area (sq m)]]*Market_Data[[#This Row],[Concrete Intensity
(m³ / sq m)]],0)</f>
        <v>21840</v>
      </c>
      <c r="M2944" s="135">
        <f>_xlfn.XLOOKUP(Market_Data[[#This Row],[District]],tbl_district_price[District],tbl_district_price[Standard Price
(INR/m³)],"",0)</f>
        <v>5600</v>
      </c>
      <c r="N2944" s="364">
        <f>IF(OR(Market_Data[[#This Row],[Estimated Concrete Demand (m³)]]="",Market_Data[[#This Row],[Avg Price per (₹ / m³)]]=""),"",Market_Data[[#This Row],[Estimated Concrete Demand (m³)]]*Market_Data[[#This Row],[Avg Price per (₹ / m³)]]/10000000)</f>
        <v>12.230399999999999</v>
      </c>
      <c r="O2944" s="97" t="str">
        <f>IF(Market_Data[[#This Row],[Estimated Concrete Demand (m³)]]="","",
IF(Market_Data[[#This Row],[Estimated Concrete Demand (m³)]]&lt;10000,"Small",
IF(Market_Data[[#This Row],[Estimated Concrete Demand (m³)]]&lt;25000,"Medium",
IF(Market_Data[[#This Row],[Estimated Concrete Demand (m³)]]&lt;100000,"Large","Mega"))))</f>
        <v>Medium</v>
      </c>
      <c r="P2944" s="287" t="str">
        <f t="shared" si="47"/>
        <v>GujRERA</v>
      </c>
    </row>
    <row r="2945" spans="1:16">
      <c r="A2945" s="129" t="str">
        <f>_xlfn.XLOOKUP(B2945,$S$9:$S$14,$T$9:$T$14)&amp;"-"&amp;
IF(E2945="Residential/Group Housing","RES",
IF(E2945="Commercial","COM",
IF(E2945="Mixed Development","MIX",
IF(E2945="Plotted Development","PLT","OTH"))))
&amp;"-"&amp;TEXT(COUNTIFS($B$9:B2945,B2945,$E$9:E2945,E2945),"0000")</f>
        <v>VAL-MIX-0101</v>
      </c>
      <c r="B2945" s="322" t="s">
        <v>35</v>
      </c>
      <c r="C2945" s="322" t="s">
        <v>35</v>
      </c>
      <c r="D2945" s="323" t="s">
        <v>3134</v>
      </c>
      <c r="E2945" s="132" t="s">
        <v>25</v>
      </c>
      <c r="F2945" s="97" t="str">
        <f ca="1">IF(OR(Market_Data[[#This Row],[Start Date]]="",Market_Data[[#This Row],[Completion Date]]=""),"Needs Validation",IF(Market_Data[[#This Row],[Start Date]]&gt;TODAY(),"Planned",IF(Market_Data[[#This Row],[Completion Date]]&lt;TODAY(),"Completed","Ongoing")))</f>
        <v>Ongoing</v>
      </c>
      <c r="G2945" s="324">
        <v>44362</v>
      </c>
      <c r="H2945" s="324">
        <v>46752</v>
      </c>
      <c r="I2945" s="325">
        <v>65400</v>
      </c>
      <c r="J294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45" s="133">
        <f>_xlfn.XLOOKUP(Market_Data[[#This Row],[Project Type]],tbl_assumptions_market[Project Category (RERA)],tbl_assumptions_market[Concrete Intensity
(m³ / sq m BUA)],"",0)</f>
        <v>0.42</v>
      </c>
      <c r="L2945" s="134">
        <f>ROUND(Market_Data[[#This Row],[Estimated Built Up Area (sq m)]]*Market_Data[[#This Row],[Concrete Intensity
(m³ / sq m)]],0)</f>
        <v>27468</v>
      </c>
      <c r="M2945" s="135">
        <f>_xlfn.XLOOKUP(Market_Data[[#This Row],[District]],tbl_district_price[District],tbl_district_price[Standard Price
(INR/m³)],"",0)</f>
        <v>5600</v>
      </c>
      <c r="N2945" s="364">
        <f>IF(OR(Market_Data[[#This Row],[Estimated Concrete Demand (m³)]]="",Market_Data[[#This Row],[Avg Price per (₹ / m³)]]=""),"",Market_Data[[#This Row],[Estimated Concrete Demand (m³)]]*Market_Data[[#This Row],[Avg Price per (₹ / m³)]]/10000000)</f>
        <v>15.38208</v>
      </c>
      <c r="O2945" s="97" t="str">
        <f>IF(Market_Data[[#This Row],[Estimated Concrete Demand (m³)]]="","",
IF(Market_Data[[#This Row],[Estimated Concrete Demand (m³)]]&lt;10000,"Small",
IF(Market_Data[[#This Row],[Estimated Concrete Demand (m³)]]&lt;25000,"Medium",
IF(Market_Data[[#This Row],[Estimated Concrete Demand (m³)]]&lt;100000,"Large","Mega"))))</f>
        <v>Large</v>
      </c>
      <c r="P2945" s="287" t="str">
        <f t="shared" si="47"/>
        <v>GujRERA</v>
      </c>
    </row>
    <row r="2946" spans="1:16">
      <c r="A2946" s="129" t="str">
        <f>_xlfn.XLOOKUP(B2946,$S$9:$S$14,$T$9:$T$14)&amp;"-"&amp;
IF(E2946="Residential/Group Housing","RES",
IF(E2946="Commercial","COM",
IF(E2946="Mixed Development","MIX",
IF(E2946="Plotted Development","PLT","OTH"))))
&amp;"-"&amp;TEXT(COUNTIFS($B$9:B2946,B2946,$E$9:E2946,E2946),"0000")</f>
        <v>VAL-MIX-0102</v>
      </c>
      <c r="B2946" s="322" t="s">
        <v>35</v>
      </c>
      <c r="C2946" s="322" t="s">
        <v>35</v>
      </c>
      <c r="D2946" s="323" t="s">
        <v>3135</v>
      </c>
      <c r="E2946" s="132" t="s">
        <v>25</v>
      </c>
      <c r="F2946" s="97" t="str">
        <f ca="1">IF(OR(Market_Data[[#This Row],[Start Date]]="",Market_Data[[#This Row],[Completion Date]]=""),"Needs Validation",IF(Market_Data[[#This Row],[Start Date]]&gt;TODAY(),"Planned",IF(Market_Data[[#This Row],[Completion Date]]&lt;TODAY(),"Completed","Ongoing")))</f>
        <v>Completed</v>
      </c>
      <c r="G2946" s="324">
        <v>43115</v>
      </c>
      <c r="H2946" s="324">
        <v>44346</v>
      </c>
      <c r="I2946" s="325">
        <v>31300</v>
      </c>
      <c r="J294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46" s="133">
        <f>_xlfn.XLOOKUP(Market_Data[[#This Row],[Project Type]],tbl_assumptions_market[Project Category (RERA)],tbl_assumptions_market[Concrete Intensity
(m³ / sq m BUA)],"",0)</f>
        <v>0.42</v>
      </c>
      <c r="L2946" s="134">
        <f>ROUND(Market_Data[[#This Row],[Estimated Built Up Area (sq m)]]*Market_Data[[#This Row],[Concrete Intensity
(m³ / sq m)]],0)</f>
        <v>13146</v>
      </c>
      <c r="M2946" s="135">
        <f>_xlfn.XLOOKUP(Market_Data[[#This Row],[District]],tbl_district_price[District],tbl_district_price[Standard Price
(INR/m³)],"",0)</f>
        <v>5600</v>
      </c>
      <c r="N2946" s="364">
        <f>IF(OR(Market_Data[[#This Row],[Estimated Concrete Demand (m³)]]="",Market_Data[[#This Row],[Avg Price per (₹ / m³)]]=""),"",Market_Data[[#This Row],[Estimated Concrete Demand (m³)]]*Market_Data[[#This Row],[Avg Price per (₹ / m³)]]/10000000)</f>
        <v>7.3617600000000003</v>
      </c>
      <c r="O2946" s="97" t="str">
        <f>IF(Market_Data[[#This Row],[Estimated Concrete Demand (m³)]]="","",
IF(Market_Data[[#This Row],[Estimated Concrete Demand (m³)]]&lt;10000,"Small",
IF(Market_Data[[#This Row],[Estimated Concrete Demand (m³)]]&lt;25000,"Medium",
IF(Market_Data[[#This Row],[Estimated Concrete Demand (m³)]]&lt;100000,"Large","Mega"))))</f>
        <v>Medium</v>
      </c>
      <c r="P2946" s="287" t="str">
        <f t="shared" si="47"/>
        <v>GujRERA</v>
      </c>
    </row>
    <row r="2947" spans="1:16">
      <c r="A2947" s="129" t="str">
        <f>_xlfn.XLOOKUP(B2947,$S$9:$S$14,$T$9:$T$14)&amp;"-"&amp;
IF(E2947="Residential/Group Housing","RES",
IF(E2947="Commercial","COM",
IF(E2947="Mixed Development","MIX",
IF(E2947="Plotted Development","PLT","OTH"))))
&amp;"-"&amp;TEXT(COUNTIFS($B$9:B2947,B2947,$E$9:E2947,E2947),"0000")</f>
        <v>VAL-MIX-0103</v>
      </c>
      <c r="B2947" s="322" t="s">
        <v>35</v>
      </c>
      <c r="C2947" s="322" t="s">
        <v>35</v>
      </c>
      <c r="D2947" s="323" t="s">
        <v>3136</v>
      </c>
      <c r="E2947" s="132" t="s">
        <v>25</v>
      </c>
      <c r="F2947" s="97" t="str">
        <f ca="1">IF(OR(Market_Data[[#This Row],[Start Date]]="",Market_Data[[#This Row],[Completion Date]]=""),"Needs Validation",IF(Market_Data[[#This Row],[Start Date]]&gt;TODAY(),"Planned",IF(Market_Data[[#This Row],[Completion Date]]&lt;TODAY(),"Completed","Ongoing")))</f>
        <v>Completed</v>
      </c>
      <c r="G2947" s="324">
        <v>42737</v>
      </c>
      <c r="H2947" s="324">
        <v>43738</v>
      </c>
      <c r="I2947" s="325">
        <v>59500</v>
      </c>
      <c r="J294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47" s="133">
        <f>_xlfn.XLOOKUP(Market_Data[[#This Row],[Project Type]],tbl_assumptions_market[Project Category (RERA)],tbl_assumptions_market[Concrete Intensity
(m³ / sq m BUA)],"",0)</f>
        <v>0.42</v>
      </c>
      <c r="L2947" s="134">
        <f>ROUND(Market_Data[[#This Row],[Estimated Built Up Area (sq m)]]*Market_Data[[#This Row],[Concrete Intensity
(m³ / sq m)]],0)</f>
        <v>24990</v>
      </c>
      <c r="M2947" s="135">
        <f>_xlfn.XLOOKUP(Market_Data[[#This Row],[District]],tbl_district_price[District],tbl_district_price[Standard Price
(INR/m³)],"",0)</f>
        <v>5600</v>
      </c>
      <c r="N2947" s="364">
        <f>IF(OR(Market_Data[[#This Row],[Estimated Concrete Demand (m³)]]="",Market_Data[[#This Row],[Avg Price per (₹ / m³)]]=""),"",Market_Data[[#This Row],[Estimated Concrete Demand (m³)]]*Market_Data[[#This Row],[Avg Price per (₹ / m³)]]/10000000)</f>
        <v>13.994400000000001</v>
      </c>
      <c r="O2947" s="97" t="str">
        <f>IF(Market_Data[[#This Row],[Estimated Concrete Demand (m³)]]="","",
IF(Market_Data[[#This Row],[Estimated Concrete Demand (m³)]]&lt;10000,"Small",
IF(Market_Data[[#This Row],[Estimated Concrete Demand (m³)]]&lt;25000,"Medium",
IF(Market_Data[[#This Row],[Estimated Concrete Demand (m³)]]&lt;100000,"Large","Mega"))))</f>
        <v>Medium</v>
      </c>
      <c r="P2947" s="287" t="str">
        <f t="shared" si="47"/>
        <v>GujRERA</v>
      </c>
    </row>
    <row r="2948" spans="1:16">
      <c r="A2948" s="129" t="str">
        <f>_xlfn.XLOOKUP(B2948,$S$9:$S$14,$T$9:$T$14)&amp;"-"&amp;
IF(E2948="Residential/Group Housing","RES",
IF(E2948="Commercial","COM",
IF(E2948="Mixed Development","MIX",
IF(E2948="Plotted Development","PLT","OTH"))))
&amp;"-"&amp;TEXT(COUNTIFS($B$9:B2948,B2948,$E$9:E2948,E2948),"0000")</f>
        <v>VAL-RES-0097</v>
      </c>
      <c r="B2948" s="322" t="s">
        <v>35</v>
      </c>
      <c r="C2948" s="322" t="s">
        <v>35</v>
      </c>
      <c r="D2948" s="323" t="s">
        <v>3137</v>
      </c>
      <c r="E2948" s="132" t="s">
        <v>24</v>
      </c>
      <c r="F2948" s="97" t="str">
        <f ca="1">IF(OR(Market_Data[[#This Row],[Start Date]]="",Market_Data[[#This Row],[Completion Date]]=""),"Needs Validation",IF(Market_Data[[#This Row],[Start Date]]&gt;TODAY(),"Planned",IF(Market_Data[[#This Row],[Completion Date]]&lt;TODAY(),"Completed","Ongoing")))</f>
        <v>Ongoing</v>
      </c>
      <c r="G2948" s="324">
        <v>45748</v>
      </c>
      <c r="H2948" s="324">
        <v>47848</v>
      </c>
      <c r="I2948" s="325">
        <v>21800</v>
      </c>
      <c r="J294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48" s="133">
        <f>_xlfn.XLOOKUP(Market_Data[[#This Row],[Project Type]],tbl_assumptions_market[Project Category (RERA)],tbl_assumptions_market[Concrete Intensity
(m³ / sq m BUA)],"",0)</f>
        <v>0.45</v>
      </c>
      <c r="L2948" s="134">
        <f>ROUND(Market_Data[[#This Row],[Estimated Built Up Area (sq m)]]*Market_Data[[#This Row],[Concrete Intensity
(m³ / sq m)]],0)</f>
        <v>9810</v>
      </c>
      <c r="M2948" s="135">
        <f>_xlfn.XLOOKUP(Market_Data[[#This Row],[District]],tbl_district_price[District],tbl_district_price[Standard Price
(INR/m³)],"",0)</f>
        <v>5600</v>
      </c>
      <c r="N2948" s="364">
        <f>IF(OR(Market_Data[[#This Row],[Estimated Concrete Demand (m³)]]="",Market_Data[[#This Row],[Avg Price per (₹ / m³)]]=""),"",Market_Data[[#This Row],[Estimated Concrete Demand (m³)]]*Market_Data[[#This Row],[Avg Price per (₹ / m³)]]/10000000)</f>
        <v>5.4935999999999998</v>
      </c>
      <c r="O2948" s="97" t="str">
        <f>IF(Market_Data[[#This Row],[Estimated Concrete Demand (m³)]]="","",
IF(Market_Data[[#This Row],[Estimated Concrete Demand (m³)]]&lt;10000,"Small",
IF(Market_Data[[#This Row],[Estimated Concrete Demand (m³)]]&lt;25000,"Medium",
IF(Market_Data[[#This Row],[Estimated Concrete Demand (m³)]]&lt;100000,"Large","Mega"))))</f>
        <v>Small</v>
      </c>
      <c r="P2948" s="287" t="str">
        <f t="shared" si="47"/>
        <v>GujRERA</v>
      </c>
    </row>
    <row r="2949" spans="1:16">
      <c r="A2949" s="129" t="str">
        <f>_xlfn.XLOOKUP(B2949,$S$9:$S$14,$T$9:$T$14)&amp;"-"&amp;
IF(E2949="Residential/Group Housing","RES",
IF(E2949="Commercial","COM",
IF(E2949="Mixed Development","MIX",
IF(E2949="Plotted Development","PLT","OTH"))))
&amp;"-"&amp;TEXT(COUNTIFS($B$9:B2949,B2949,$E$9:E2949,E2949),"0000")</f>
        <v>VAL-MIX-0104</v>
      </c>
      <c r="B2949" s="322" t="s">
        <v>35</v>
      </c>
      <c r="C2949" s="322" t="s">
        <v>35</v>
      </c>
      <c r="D2949" s="323" t="s">
        <v>3138</v>
      </c>
      <c r="E2949" s="132" t="s">
        <v>25</v>
      </c>
      <c r="F2949" s="97" t="str">
        <f ca="1">IF(OR(Market_Data[[#This Row],[Start Date]]="",Market_Data[[#This Row],[Completion Date]]=""),"Needs Validation",IF(Market_Data[[#This Row],[Start Date]]&gt;TODAY(),"Planned",IF(Market_Data[[#This Row],[Completion Date]]&lt;TODAY(),"Completed","Ongoing")))</f>
        <v>Completed</v>
      </c>
      <c r="G2949" s="324">
        <v>43212</v>
      </c>
      <c r="H2949" s="324">
        <v>44195</v>
      </c>
      <c r="I2949" s="325">
        <v>20100</v>
      </c>
      <c r="J294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49" s="133">
        <f>_xlfn.XLOOKUP(Market_Data[[#This Row],[Project Type]],tbl_assumptions_market[Project Category (RERA)],tbl_assumptions_market[Concrete Intensity
(m³ / sq m BUA)],"",0)</f>
        <v>0.42</v>
      </c>
      <c r="L2949" s="134">
        <f>ROUND(Market_Data[[#This Row],[Estimated Built Up Area (sq m)]]*Market_Data[[#This Row],[Concrete Intensity
(m³ / sq m)]],0)</f>
        <v>8442</v>
      </c>
      <c r="M2949" s="135">
        <f>_xlfn.XLOOKUP(Market_Data[[#This Row],[District]],tbl_district_price[District],tbl_district_price[Standard Price
(INR/m³)],"",0)</f>
        <v>5600</v>
      </c>
      <c r="N2949" s="364">
        <f>IF(OR(Market_Data[[#This Row],[Estimated Concrete Demand (m³)]]="",Market_Data[[#This Row],[Avg Price per (₹ / m³)]]=""),"",Market_Data[[#This Row],[Estimated Concrete Demand (m³)]]*Market_Data[[#This Row],[Avg Price per (₹ / m³)]]/10000000)</f>
        <v>4.7275200000000002</v>
      </c>
      <c r="O2949" s="97" t="str">
        <f>IF(Market_Data[[#This Row],[Estimated Concrete Demand (m³)]]="","",
IF(Market_Data[[#This Row],[Estimated Concrete Demand (m³)]]&lt;10000,"Small",
IF(Market_Data[[#This Row],[Estimated Concrete Demand (m³)]]&lt;25000,"Medium",
IF(Market_Data[[#This Row],[Estimated Concrete Demand (m³)]]&lt;100000,"Large","Mega"))))</f>
        <v>Small</v>
      </c>
      <c r="P2949" s="287" t="str">
        <f t="shared" si="47"/>
        <v>GujRERA</v>
      </c>
    </row>
    <row r="2950" spans="1:16">
      <c r="A2950" s="129" t="str">
        <f>_xlfn.XLOOKUP(B2950,$S$9:$S$14,$T$9:$T$14)&amp;"-"&amp;
IF(E2950="Residential/Group Housing","RES",
IF(E2950="Commercial","COM",
IF(E2950="Mixed Development","MIX",
IF(E2950="Plotted Development","PLT","OTH"))))
&amp;"-"&amp;TEXT(COUNTIFS($B$9:B2950,B2950,$E$9:E2950,E2950),"0000")</f>
        <v>VAL-RES-0098</v>
      </c>
      <c r="B2950" s="322" t="s">
        <v>35</v>
      </c>
      <c r="C2950" s="322" t="s">
        <v>35</v>
      </c>
      <c r="D2950" s="323" t="s">
        <v>3139</v>
      </c>
      <c r="E2950" s="132" t="s">
        <v>24</v>
      </c>
      <c r="F2950" s="97" t="str">
        <f ca="1">IF(OR(Market_Data[[#This Row],[Start Date]]="",Market_Data[[#This Row],[Completion Date]]=""),"Needs Validation",IF(Market_Data[[#This Row],[Start Date]]&gt;TODAY(),"Planned",IF(Market_Data[[#This Row],[Completion Date]]&lt;TODAY(),"Completed","Ongoing")))</f>
        <v>Ongoing</v>
      </c>
      <c r="G2950" s="324">
        <v>44676</v>
      </c>
      <c r="H2950" s="324">
        <v>47848</v>
      </c>
      <c r="I2950" s="325">
        <v>47000</v>
      </c>
      <c r="J295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50" s="133">
        <f>_xlfn.XLOOKUP(Market_Data[[#This Row],[Project Type]],tbl_assumptions_market[Project Category (RERA)],tbl_assumptions_market[Concrete Intensity
(m³ / sq m BUA)],"",0)</f>
        <v>0.45</v>
      </c>
      <c r="L2950" s="134">
        <f>ROUND(Market_Data[[#This Row],[Estimated Built Up Area (sq m)]]*Market_Data[[#This Row],[Concrete Intensity
(m³ / sq m)]],0)</f>
        <v>21150</v>
      </c>
      <c r="M2950" s="135">
        <f>_xlfn.XLOOKUP(Market_Data[[#This Row],[District]],tbl_district_price[District],tbl_district_price[Standard Price
(INR/m³)],"",0)</f>
        <v>5600</v>
      </c>
      <c r="N2950" s="364">
        <f>IF(OR(Market_Data[[#This Row],[Estimated Concrete Demand (m³)]]="",Market_Data[[#This Row],[Avg Price per (₹ / m³)]]=""),"",Market_Data[[#This Row],[Estimated Concrete Demand (m³)]]*Market_Data[[#This Row],[Avg Price per (₹ / m³)]]/10000000)</f>
        <v>11.843999999999999</v>
      </c>
      <c r="O2950" s="97" t="str">
        <f>IF(Market_Data[[#This Row],[Estimated Concrete Demand (m³)]]="","",
IF(Market_Data[[#This Row],[Estimated Concrete Demand (m³)]]&lt;10000,"Small",
IF(Market_Data[[#This Row],[Estimated Concrete Demand (m³)]]&lt;25000,"Medium",
IF(Market_Data[[#This Row],[Estimated Concrete Demand (m³)]]&lt;100000,"Large","Mega"))))</f>
        <v>Medium</v>
      </c>
      <c r="P2950" s="287" t="str">
        <f t="shared" si="47"/>
        <v>GujRERA</v>
      </c>
    </row>
    <row r="2951" spans="1:16">
      <c r="A2951" s="129" t="str">
        <f>_xlfn.XLOOKUP(B2951,$S$9:$S$14,$T$9:$T$14)&amp;"-"&amp;
IF(E2951="Residential/Group Housing","RES",
IF(E2951="Commercial","COM",
IF(E2951="Mixed Development","MIX",
IF(E2951="Plotted Development","PLT","OTH"))))
&amp;"-"&amp;TEXT(COUNTIFS($B$9:B2951,B2951,$E$9:E2951,E2951),"0000")</f>
        <v>VAL-RES-0099</v>
      </c>
      <c r="B2951" s="322" t="s">
        <v>35</v>
      </c>
      <c r="C2951" s="322" t="s">
        <v>35</v>
      </c>
      <c r="D2951" s="323" t="s">
        <v>3140</v>
      </c>
      <c r="E2951" s="132" t="s">
        <v>24</v>
      </c>
      <c r="F2951" s="97" t="str">
        <f ca="1">IF(OR(Market_Data[[#This Row],[Start Date]]="",Market_Data[[#This Row],[Completion Date]]=""),"Needs Validation",IF(Market_Data[[#This Row],[Start Date]]&gt;TODAY(),"Planned",IF(Market_Data[[#This Row],[Completion Date]]&lt;TODAY(),"Completed","Ongoing")))</f>
        <v>Ongoing</v>
      </c>
      <c r="G2951" s="324">
        <v>45962</v>
      </c>
      <c r="H2951" s="324">
        <v>48213</v>
      </c>
      <c r="I2951" s="325">
        <v>2400</v>
      </c>
      <c r="J295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51" s="133">
        <f>_xlfn.XLOOKUP(Market_Data[[#This Row],[Project Type]],tbl_assumptions_market[Project Category (RERA)],tbl_assumptions_market[Concrete Intensity
(m³ / sq m BUA)],"",0)</f>
        <v>0.45</v>
      </c>
      <c r="L2951" s="134">
        <f>ROUND(Market_Data[[#This Row],[Estimated Built Up Area (sq m)]]*Market_Data[[#This Row],[Concrete Intensity
(m³ / sq m)]],0)</f>
        <v>1080</v>
      </c>
      <c r="M2951" s="135">
        <f>_xlfn.XLOOKUP(Market_Data[[#This Row],[District]],tbl_district_price[District],tbl_district_price[Standard Price
(INR/m³)],"",0)</f>
        <v>5600</v>
      </c>
      <c r="N2951" s="364">
        <f>IF(OR(Market_Data[[#This Row],[Estimated Concrete Demand (m³)]]="",Market_Data[[#This Row],[Avg Price per (₹ / m³)]]=""),"",Market_Data[[#This Row],[Estimated Concrete Demand (m³)]]*Market_Data[[#This Row],[Avg Price per (₹ / m³)]]/10000000)</f>
        <v>0.6048</v>
      </c>
      <c r="O2951" s="97" t="str">
        <f>IF(Market_Data[[#This Row],[Estimated Concrete Demand (m³)]]="","",
IF(Market_Data[[#This Row],[Estimated Concrete Demand (m³)]]&lt;10000,"Small",
IF(Market_Data[[#This Row],[Estimated Concrete Demand (m³)]]&lt;25000,"Medium",
IF(Market_Data[[#This Row],[Estimated Concrete Demand (m³)]]&lt;100000,"Large","Mega"))))</f>
        <v>Small</v>
      </c>
      <c r="P2951" s="287" t="str">
        <f t="shared" si="47"/>
        <v>GujRERA</v>
      </c>
    </row>
    <row r="2952" spans="1:16">
      <c r="A2952" s="129" t="str">
        <f>_xlfn.XLOOKUP(B2952,$S$9:$S$14,$T$9:$T$14)&amp;"-"&amp;
IF(E2952="Residential/Group Housing","RES",
IF(E2952="Commercial","COM",
IF(E2952="Mixed Development","MIX",
IF(E2952="Plotted Development","PLT","OTH"))))
&amp;"-"&amp;TEXT(COUNTIFS($B$9:B2952,B2952,$E$9:E2952,E2952),"0000")</f>
        <v>VAL-RES-0100</v>
      </c>
      <c r="B2952" s="322" t="s">
        <v>35</v>
      </c>
      <c r="C2952" s="322" t="s">
        <v>35</v>
      </c>
      <c r="D2952" s="323" t="s">
        <v>3141</v>
      </c>
      <c r="E2952" s="132" t="s">
        <v>24</v>
      </c>
      <c r="F2952" s="97" t="str">
        <f ca="1">IF(OR(Market_Data[[#This Row],[Start Date]]="",Market_Data[[#This Row],[Completion Date]]=""),"Needs Validation",IF(Market_Data[[#This Row],[Start Date]]&gt;TODAY(),"Planned",IF(Market_Data[[#This Row],[Completion Date]]&lt;TODAY(),"Completed","Ongoing")))</f>
        <v>Ongoing</v>
      </c>
      <c r="G2952" s="324">
        <v>45190</v>
      </c>
      <c r="H2952" s="324">
        <v>46843</v>
      </c>
      <c r="I2952" s="325">
        <v>39500</v>
      </c>
      <c r="J295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52" s="133">
        <f>_xlfn.XLOOKUP(Market_Data[[#This Row],[Project Type]],tbl_assumptions_market[Project Category (RERA)],tbl_assumptions_market[Concrete Intensity
(m³ / sq m BUA)],"",0)</f>
        <v>0.45</v>
      </c>
      <c r="L2952" s="134">
        <f>ROUND(Market_Data[[#This Row],[Estimated Built Up Area (sq m)]]*Market_Data[[#This Row],[Concrete Intensity
(m³ / sq m)]],0)</f>
        <v>17775</v>
      </c>
      <c r="M2952" s="135">
        <f>_xlfn.XLOOKUP(Market_Data[[#This Row],[District]],tbl_district_price[District],tbl_district_price[Standard Price
(INR/m³)],"",0)</f>
        <v>5600</v>
      </c>
      <c r="N2952" s="364">
        <f>IF(OR(Market_Data[[#This Row],[Estimated Concrete Demand (m³)]]="",Market_Data[[#This Row],[Avg Price per (₹ / m³)]]=""),"",Market_Data[[#This Row],[Estimated Concrete Demand (m³)]]*Market_Data[[#This Row],[Avg Price per (₹ / m³)]]/10000000)</f>
        <v>9.9540000000000006</v>
      </c>
      <c r="O2952" s="97" t="str">
        <f>IF(Market_Data[[#This Row],[Estimated Concrete Demand (m³)]]="","",
IF(Market_Data[[#This Row],[Estimated Concrete Demand (m³)]]&lt;10000,"Small",
IF(Market_Data[[#This Row],[Estimated Concrete Demand (m³)]]&lt;25000,"Medium",
IF(Market_Data[[#This Row],[Estimated Concrete Demand (m³)]]&lt;100000,"Large","Mega"))))</f>
        <v>Medium</v>
      </c>
      <c r="P2952" s="287" t="str">
        <f t="shared" si="47"/>
        <v>GujRERA</v>
      </c>
    </row>
    <row r="2953" spans="1:16">
      <c r="A2953" s="129" t="str">
        <f>_xlfn.XLOOKUP(B2953,$S$9:$S$14,$T$9:$T$14)&amp;"-"&amp;
IF(E2953="Residential/Group Housing","RES",
IF(E2953="Commercial","COM",
IF(E2953="Mixed Development","MIX",
IF(E2953="Plotted Development","PLT","OTH"))))
&amp;"-"&amp;TEXT(COUNTIFS($B$9:B2953,B2953,$E$9:E2953,E2953),"0000")</f>
        <v>VAL-MIX-0105</v>
      </c>
      <c r="B2953" s="322" t="s">
        <v>35</v>
      </c>
      <c r="C2953" s="322" t="s">
        <v>35</v>
      </c>
      <c r="D2953" s="323" t="s">
        <v>3142</v>
      </c>
      <c r="E2953" s="132" t="s">
        <v>25</v>
      </c>
      <c r="F2953" s="97" t="str">
        <f ca="1">IF(OR(Market_Data[[#This Row],[Start Date]]="",Market_Data[[#This Row],[Completion Date]]=""),"Needs Validation",IF(Market_Data[[#This Row],[Start Date]]&gt;TODAY(),"Planned",IF(Market_Data[[#This Row],[Completion Date]]&lt;TODAY(),"Completed","Ongoing")))</f>
        <v>Ongoing</v>
      </c>
      <c r="G2953" s="324">
        <v>45392</v>
      </c>
      <c r="H2953" s="324">
        <v>46387</v>
      </c>
      <c r="I2953" s="325">
        <v>32100</v>
      </c>
      <c r="J295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53" s="133">
        <f>_xlfn.XLOOKUP(Market_Data[[#This Row],[Project Type]],tbl_assumptions_market[Project Category (RERA)],tbl_assumptions_market[Concrete Intensity
(m³ / sq m BUA)],"",0)</f>
        <v>0.42</v>
      </c>
      <c r="L2953" s="134">
        <f>ROUND(Market_Data[[#This Row],[Estimated Built Up Area (sq m)]]*Market_Data[[#This Row],[Concrete Intensity
(m³ / sq m)]],0)</f>
        <v>13482</v>
      </c>
      <c r="M2953" s="135">
        <f>_xlfn.XLOOKUP(Market_Data[[#This Row],[District]],tbl_district_price[District],tbl_district_price[Standard Price
(INR/m³)],"",0)</f>
        <v>5600</v>
      </c>
      <c r="N2953" s="364">
        <f>IF(OR(Market_Data[[#This Row],[Estimated Concrete Demand (m³)]]="",Market_Data[[#This Row],[Avg Price per (₹ / m³)]]=""),"",Market_Data[[#This Row],[Estimated Concrete Demand (m³)]]*Market_Data[[#This Row],[Avg Price per (₹ / m³)]]/10000000)</f>
        <v>7.5499200000000002</v>
      </c>
      <c r="O2953" s="97" t="str">
        <f>IF(Market_Data[[#This Row],[Estimated Concrete Demand (m³)]]="","",
IF(Market_Data[[#This Row],[Estimated Concrete Demand (m³)]]&lt;10000,"Small",
IF(Market_Data[[#This Row],[Estimated Concrete Demand (m³)]]&lt;25000,"Medium",
IF(Market_Data[[#This Row],[Estimated Concrete Demand (m³)]]&lt;100000,"Large","Mega"))))</f>
        <v>Medium</v>
      </c>
      <c r="P2953" s="287" t="str">
        <f t="shared" si="47"/>
        <v>GujRERA</v>
      </c>
    </row>
    <row r="2954" spans="1:16">
      <c r="A2954" s="129" t="str">
        <f>_xlfn.XLOOKUP(B2954,$S$9:$S$14,$T$9:$T$14)&amp;"-"&amp;
IF(E2954="Residential/Group Housing","RES",
IF(E2954="Commercial","COM",
IF(E2954="Mixed Development","MIX",
IF(E2954="Plotted Development","PLT","OTH"))))
&amp;"-"&amp;TEXT(COUNTIFS($B$9:B2954,B2954,$E$9:E2954,E2954),"0000")</f>
        <v>VAL-MIX-0106</v>
      </c>
      <c r="B2954" s="322" t="s">
        <v>35</v>
      </c>
      <c r="C2954" s="322" t="s">
        <v>35</v>
      </c>
      <c r="D2954" s="323" t="s">
        <v>3143</v>
      </c>
      <c r="E2954" s="132" t="s">
        <v>25</v>
      </c>
      <c r="F2954" s="97" t="str">
        <f ca="1">IF(OR(Market_Data[[#This Row],[Start Date]]="",Market_Data[[#This Row],[Completion Date]]=""),"Needs Validation",IF(Market_Data[[#This Row],[Start Date]]&gt;TODAY(),"Planned",IF(Market_Data[[#This Row],[Completion Date]]&lt;TODAY(),"Completed","Ongoing")))</f>
        <v>Completed</v>
      </c>
      <c r="G2954" s="324">
        <v>43374</v>
      </c>
      <c r="H2954" s="324">
        <v>45016</v>
      </c>
      <c r="I2954" s="325">
        <v>44100</v>
      </c>
      <c r="J295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54" s="133">
        <f>_xlfn.XLOOKUP(Market_Data[[#This Row],[Project Type]],tbl_assumptions_market[Project Category (RERA)],tbl_assumptions_market[Concrete Intensity
(m³ / sq m BUA)],"",0)</f>
        <v>0.42</v>
      </c>
      <c r="L2954" s="134">
        <f>ROUND(Market_Data[[#This Row],[Estimated Built Up Area (sq m)]]*Market_Data[[#This Row],[Concrete Intensity
(m³ / sq m)]],0)</f>
        <v>18522</v>
      </c>
      <c r="M2954" s="135">
        <f>_xlfn.XLOOKUP(Market_Data[[#This Row],[District]],tbl_district_price[District],tbl_district_price[Standard Price
(INR/m³)],"",0)</f>
        <v>5600</v>
      </c>
      <c r="N2954" s="364">
        <f>IF(OR(Market_Data[[#This Row],[Estimated Concrete Demand (m³)]]="",Market_Data[[#This Row],[Avg Price per (₹ / m³)]]=""),"",Market_Data[[#This Row],[Estimated Concrete Demand (m³)]]*Market_Data[[#This Row],[Avg Price per (₹ / m³)]]/10000000)</f>
        <v>10.37232</v>
      </c>
      <c r="O2954" s="97" t="str">
        <f>IF(Market_Data[[#This Row],[Estimated Concrete Demand (m³)]]="","",
IF(Market_Data[[#This Row],[Estimated Concrete Demand (m³)]]&lt;10000,"Small",
IF(Market_Data[[#This Row],[Estimated Concrete Demand (m³)]]&lt;25000,"Medium",
IF(Market_Data[[#This Row],[Estimated Concrete Demand (m³)]]&lt;100000,"Large","Mega"))))</f>
        <v>Medium</v>
      </c>
      <c r="P2954" s="287" t="str">
        <f t="shared" ref="P2954:P3017" si="48">HYPERLINK(
"https://gujrera.gujarat.gov.in",
"GujRERA")</f>
        <v>GujRERA</v>
      </c>
    </row>
    <row r="2955" spans="1:16">
      <c r="A2955" s="129" t="str">
        <f>_xlfn.XLOOKUP(B2955,$S$9:$S$14,$T$9:$T$14)&amp;"-"&amp;
IF(E2955="Residential/Group Housing","RES",
IF(E2955="Commercial","COM",
IF(E2955="Mixed Development","MIX",
IF(E2955="Plotted Development","PLT","OTH"))))
&amp;"-"&amp;TEXT(COUNTIFS($B$9:B2955,B2955,$E$9:E2955,E2955),"0000")</f>
        <v>VAL-RES-0101</v>
      </c>
      <c r="B2955" s="322" t="s">
        <v>35</v>
      </c>
      <c r="C2955" s="322" t="s">
        <v>35</v>
      </c>
      <c r="D2955" s="323" t="s">
        <v>3144</v>
      </c>
      <c r="E2955" s="132" t="s">
        <v>24</v>
      </c>
      <c r="F2955" s="97" t="str">
        <f ca="1">IF(OR(Market_Data[[#This Row],[Start Date]]="",Market_Data[[#This Row],[Completion Date]]=""),"Needs Validation",IF(Market_Data[[#This Row],[Start Date]]&gt;TODAY(),"Planned",IF(Market_Data[[#This Row],[Completion Date]]&lt;TODAY(),"Completed","Ongoing")))</f>
        <v>Completed</v>
      </c>
      <c r="G2955" s="324">
        <v>43600</v>
      </c>
      <c r="H2955" s="324">
        <v>44834</v>
      </c>
      <c r="I2955" s="325">
        <v>30000</v>
      </c>
      <c r="J295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55" s="133">
        <f>_xlfn.XLOOKUP(Market_Data[[#This Row],[Project Type]],tbl_assumptions_market[Project Category (RERA)],tbl_assumptions_market[Concrete Intensity
(m³ / sq m BUA)],"",0)</f>
        <v>0.45</v>
      </c>
      <c r="L2955" s="134">
        <f>ROUND(Market_Data[[#This Row],[Estimated Built Up Area (sq m)]]*Market_Data[[#This Row],[Concrete Intensity
(m³ / sq m)]],0)</f>
        <v>13500</v>
      </c>
      <c r="M2955" s="135">
        <f>_xlfn.XLOOKUP(Market_Data[[#This Row],[District]],tbl_district_price[District],tbl_district_price[Standard Price
(INR/m³)],"",0)</f>
        <v>5600</v>
      </c>
      <c r="N2955" s="364">
        <f>IF(OR(Market_Data[[#This Row],[Estimated Concrete Demand (m³)]]="",Market_Data[[#This Row],[Avg Price per (₹ / m³)]]=""),"",Market_Data[[#This Row],[Estimated Concrete Demand (m³)]]*Market_Data[[#This Row],[Avg Price per (₹ / m³)]]/10000000)</f>
        <v>7.56</v>
      </c>
      <c r="O2955" s="97" t="str">
        <f>IF(Market_Data[[#This Row],[Estimated Concrete Demand (m³)]]="","",
IF(Market_Data[[#This Row],[Estimated Concrete Demand (m³)]]&lt;10000,"Small",
IF(Market_Data[[#This Row],[Estimated Concrete Demand (m³)]]&lt;25000,"Medium",
IF(Market_Data[[#This Row],[Estimated Concrete Demand (m³)]]&lt;100000,"Large","Mega"))))</f>
        <v>Medium</v>
      </c>
      <c r="P2955" s="287" t="str">
        <f t="shared" si="48"/>
        <v>GujRERA</v>
      </c>
    </row>
    <row r="2956" spans="1:16">
      <c r="A2956" s="129" t="str">
        <f>_xlfn.XLOOKUP(B2956,$S$9:$S$14,$T$9:$T$14)&amp;"-"&amp;
IF(E2956="Residential/Group Housing","RES",
IF(E2956="Commercial","COM",
IF(E2956="Mixed Development","MIX",
IF(E2956="Plotted Development","PLT","OTH"))))
&amp;"-"&amp;TEXT(COUNTIFS($B$9:B2956,B2956,$E$9:E2956,E2956),"0000")</f>
        <v>VAL-MIX-0107</v>
      </c>
      <c r="B2956" s="322" t="s">
        <v>35</v>
      </c>
      <c r="C2956" s="322" t="s">
        <v>35</v>
      </c>
      <c r="D2956" s="323" t="s">
        <v>3145</v>
      </c>
      <c r="E2956" s="132" t="s">
        <v>25</v>
      </c>
      <c r="F2956" s="97" t="str">
        <f ca="1">IF(OR(Market_Data[[#This Row],[Start Date]]="",Market_Data[[#This Row],[Completion Date]]=""),"Needs Validation",IF(Market_Data[[#This Row],[Start Date]]&gt;TODAY(),"Planned",IF(Market_Data[[#This Row],[Completion Date]]&lt;TODAY(),"Completed","Ongoing")))</f>
        <v>Ongoing</v>
      </c>
      <c r="G2956" s="324">
        <v>45536</v>
      </c>
      <c r="H2956" s="324">
        <v>46752</v>
      </c>
      <c r="I2956" s="325">
        <v>43700</v>
      </c>
      <c r="J295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56" s="133">
        <f>_xlfn.XLOOKUP(Market_Data[[#This Row],[Project Type]],tbl_assumptions_market[Project Category (RERA)],tbl_assumptions_market[Concrete Intensity
(m³ / sq m BUA)],"",0)</f>
        <v>0.42</v>
      </c>
      <c r="L2956" s="134">
        <f>ROUND(Market_Data[[#This Row],[Estimated Built Up Area (sq m)]]*Market_Data[[#This Row],[Concrete Intensity
(m³ / sq m)]],0)</f>
        <v>18354</v>
      </c>
      <c r="M2956" s="135">
        <f>_xlfn.XLOOKUP(Market_Data[[#This Row],[District]],tbl_district_price[District],tbl_district_price[Standard Price
(INR/m³)],"",0)</f>
        <v>5600</v>
      </c>
      <c r="N2956" s="364">
        <f>IF(OR(Market_Data[[#This Row],[Estimated Concrete Demand (m³)]]="",Market_Data[[#This Row],[Avg Price per (₹ / m³)]]=""),"",Market_Data[[#This Row],[Estimated Concrete Demand (m³)]]*Market_Data[[#This Row],[Avg Price per (₹ / m³)]]/10000000)</f>
        <v>10.27824</v>
      </c>
      <c r="O2956" s="97" t="str">
        <f>IF(Market_Data[[#This Row],[Estimated Concrete Demand (m³)]]="","",
IF(Market_Data[[#This Row],[Estimated Concrete Demand (m³)]]&lt;10000,"Small",
IF(Market_Data[[#This Row],[Estimated Concrete Demand (m³)]]&lt;25000,"Medium",
IF(Market_Data[[#This Row],[Estimated Concrete Demand (m³)]]&lt;100000,"Large","Mega"))))</f>
        <v>Medium</v>
      </c>
      <c r="P2956" s="287" t="str">
        <f t="shared" si="48"/>
        <v>GujRERA</v>
      </c>
    </row>
    <row r="2957" spans="1:16">
      <c r="A2957" s="129" t="str">
        <f>_xlfn.XLOOKUP(B2957,$S$9:$S$14,$T$9:$T$14)&amp;"-"&amp;
IF(E2957="Residential/Group Housing","RES",
IF(E2957="Commercial","COM",
IF(E2957="Mixed Development","MIX",
IF(E2957="Plotted Development","PLT","OTH"))))
&amp;"-"&amp;TEXT(COUNTIFS($B$9:B2957,B2957,$E$9:E2957,E2957),"0000")</f>
        <v>VAL-MIX-0108</v>
      </c>
      <c r="B2957" s="322" t="s">
        <v>35</v>
      </c>
      <c r="C2957" s="322" t="s">
        <v>35</v>
      </c>
      <c r="D2957" s="323" t="s">
        <v>3146</v>
      </c>
      <c r="E2957" s="132" t="s">
        <v>25</v>
      </c>
      <c r="F2957" s="97" t="str">
        <f ca="1">IF(OR(Market_Data[[#This Row],[Start Date]]="",Market_Data[[#This Row],[Completion Date]]=""),"Needs Validation",IF(Market_Data[[#This Row],[Start Date]]&gt;TODAY(),"Planned",IF(Market_Data[[#This Row],[Completion Date]]&lt;TODAY(),"Completed","Ongoing")))</f>
        <v>Ongoing</v>
      </c>
      <c r="G2957" s="324">
        <v>45383</v>
      </c>
      <c r="H2957" s="324">
        <v>46752</v>
      </c>
      <c r="I2957" s="325">
        <v>3800</v>
      </c>
      <c r="J295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957" s="133">
        <f>_xlfn.XLOOKUP(Market_Data[[#This Row],[Project Type]],tbl_assumptions_market[Project Category (RERA)],tbl_assumptions_market[Concrete Intensity
(m³ / sq m BUA)],"",0)</f>
        <v>0.42</v>
      </c>
      <c r="L2957" s="134">
        <f>ROUND(Market_Data[[#This Row],[Estimated Built Up Area (sq m)]]*Market_Data[[#This Row],[Concrete Intensity
(m³ / sq m)]],0)</f>
        <v>1596</v>
      </c>
      <c r="M2957" s="135">
        <f>_xlfn.XLOOKUP(Market_Data[[#This Row],[District]],tbl_district_price[District],tbl_district_price[Standard Price
(INR/m³)],"",0)</f>
        <v>5600</v>
      </c>
      <c r="N2957" s="364">
        <f>IF(OR(Market_Data[[#This Row],[Estimated Concrete Demand (m³)]]="",Market_Data[[#This Row],[Avg Price per (₹ / m³)]]=""),"",Market_Data[[#This Row],[Estimated Concrete Demand (m³)]]*Market_Data[[#This Row],[Avg Price per (₹ / m³)]]/10000000)</f>
        <v>0.89376</v>
      </c>
      <c r="O2957" s="97" t="str">
        <f>IF(Market_Data[[#This Row],[Estimated Concrete Demand (m³)]]="","",
IF(Market_Data[[#This Row],[Estimated Concrete Demand (m³)]]&lt;10000,"Small",
IF(Market_Data[[#This Row],[Estimated Concrete Demand (m³)]]&lt;25000,"Medium",
IF(Market_Data[[#This Row],[Estimated Concrete Demand (m³)]]&lt;100000,"Large","Mega"))))</f>
        <v>Small</v>
      </c>
      <c r="P2957" s="287" t="str">
        <f t="shared" si="48"/>
        <v>GujRERA</v>
      </c>
    </row>
    <row r="2958" spans="1:16">
      <c r="A2958" s="129" t="str">
        <f>_xlfn.XLOOKUP(B2958,$S$9:$S$14,$T$9:$T$14)&amp;"-"&amp;
IF(E2958="Residential/Group Housing","RES",
IF(E2958="Commercial","COM",
IF(E2958="Mixed Development","MIX",
IF(E2958="Plotted Development","PLT","OTH"))))
&amp;"-"&amp;TEXT(COUNTIFS($B$9:B2958,B2958,$E$9:E2958,E2958),"0000")</f>
        <v>VAL-MIX-0109</v>
      </c>
      <c r="B2958" s="322" t="s">
        <v>35</v>
      </c>
      <c r="C2958" s="322" t="s">
        <v>35</v>
      </c>
      <c r="D2958" s="323" t="s">
        <v>3147</v>
      </c>
      <c r="E2958" s="132" t="s">
        <v>25</v>
      </c>
      <c r="F2958" s="97" t="str">
        <f ca="1">IF(OR(Market_Data[[#This Row],[Start Date]]="",Market_Data[[#This Row],[Completion Date]]=""),"Needs Validation",IF(Market_Data[[#This Row],[Start Date]]&gt;TODAY(),"Planned",IF(Market_Data[[#This Row],[Completion Date]]&lt;TODAY(),"Completed","Ongoing")))</f>
        <v>Completed</v>
      </c>
      <c r="G2958" s="324">
        <v>42718</v>
      </c>
      <c r="H2958" s="324">
        <v>44834</v>
      </c>
      <c r="I2958" s="325">
        <v>46600</v>
      </c>
      <c r="J295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58" s="133">
        <f>_xlfn.XLOOKUP(Market_Data[[#This Row],[Project Type]],tbl_assumptions_market[Project Category (RERA)],tbl_assumptions_market[Concrete Intensity
(m³ / sq m BUA)],"",0)</f>
        <v>0.42</v>
      </c>
      <c r="L2958" s="134">
        <f>ROUND(Market_Data[[#This Row],[Estimated Built Up Area (sq m)]]*Market_Data[[#This Row],[Concrete Intensity
(m³ / sq m)]],0)</f>
        <v>19572</v>
      </c>
      <c r="M2958" s="135">
        <f>_xlfn.XLOOKUP(Market_Data[[#This Row],[District]],tbl_district_price[District],tbl_district_price[Standard Price
(INR/m³)],"",0)</f>
        <v>5600</v>
      </c>
      <c r="N2958" s="364">
        <f>IF(OR(Market_Data[[#This Row],[Estimated Concrete Demand (m³)]]="",Market_Data[[#This Row],[Avg Price per (₹ / m³)]]=""),"",Market_Data[[#This Row],[Estimated Concrete Demand (m³)]]*Market_Data[[#This Row],[Avg Price per (₹ / m³)]]/10000000)</f>
        <v>10.960319999999999</v>
      </c>
      <c r="O2958" s="97" t="str">
        <f>IF(Market_Data[[#This Row],[Estimated Concrete Demand (m³)]]="","",
IF(Market_Data[[#This Row],[Estimated Concrete Demand (m³)]]&lt;10000,"Small",
IF(Market_Data[[#This Row],[Estimated Concrete Demand (m³)]]&lt;25000,"Medium",
IF(Market_Data[[#This Row],[Estimated Concrete Demand (m³)]]&lt;100000,"Large","Mega"))))</f>
        <v>Medium</v>
      </c>
      <c r="P2958" s="287" t="str">
        <f t="shared" si="48"/>
        <v>GujRERA</v>
      </c>
    </row>
    <row r="2959" spans="1:16">
      <c r="A2959" s="129" t="str">
        <f>_xlfn.XLOOKUP(B2959,$S$9:$S$14,$T$9:$T$14)&amp;"-"&amp;
IF(E2959="Residential/Group Housing","RES",
IF(E2959="Commercial","COM",
IF(E2959="Mixed Development","MIX",
IF(E2959="Plotted Development","PLT","OTH"))))
&amp;"-"&amp;TEXT(COUNTIFS($B$9:B2959,B2959,$E$9:E2959,E2959),"0000")</f>
        <v>VAL-RES-0102</v>
      </c>
      <c r="B2959" s="322" t="s">
        <v>35</v>
      </c>
      <c r="C2959" s="322" t="s">
        <v>35</v>
      </c>
      <c r="D2959" s="323" t="s">
        <v>3148</v>
      </c>
      <c r="E2959" s="132" t="s">
        <v>24</v>
      </c>
      <c r="F2959" s="97" t="str">
        <f ca="1">IF(OR(Market_Data[[#This Row],[Start Date]]="",Market_Data[[#This Row],[Completion Date]]=""),"Needs Validation",IF(Market_Data[[#This Row],[Start Date]]&gt;TODAY(),"Planned",IF(Market_Data[[#This Row],[Completion Date]]&lt;TODAY(),"Completed","Ongoing")))</f>
        <v>Completed</v>
      </c>
      <c r="G2959" s="324">
        <v>43040</v>
      </c>
      <c r="H2959" s="324">
        <v>45107</v>
      </c>
      <c r="I2959" s="325">
        <v>7300</v>
      </c>
      <c r="J295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59" s="133">
        <f>_xlfn.XLOOKUP(Market_Data[[#This Row],[Project Type]],tbl_assumptions_market[Project Category (RERA)],tbl_assumptions_market[Concrete Intensity
(m³ / sq m BUA)],"",0)</f>
        <v>0.45</v>
      </c>
      <c r="L2959" s="134">
        <f>ROUND(Market_Data[[#This Row],[Estimated Built Up Area (sq m)]]*Market_Data[[#This Row],[Concrete Intensity
(m³ / sq m)]],0)</f>
        <v>3285</v>
      </c>
      <c r="M2959" s="135">
        <f>_xlfn.XLOOKUP(Market_Data[[#This Row],[District]],tbl_district_price[District],tbl_district_price[Standard Price
(INR/m³)],"",0)</f>
        <v>5600</v>
      </c>
      <c r="N2959" s="364">
        <f>IF(OR(Market_Data[[#This Row],[Estimated Concrete Demand (m³)]]="",Market_Data[[#This Row],[Avg Price per (₹ / m³)]]=""),"",Market_Data[[#This Row],[Estimated Concrete Demand (m³)]]*Market_Data[[#This Row],[Avg Price per (₹ / m³)]]/10000000)</f>
        <v>1.8395999999999999</v>
      </c>
      <c r="O2959" s="97" t="str">
        <f>IF(Market_Data[[#This Row],[Estimated Concrete Demand (m³)]]="","",
IF(Market_Data[[#This Row],[Estimated Concrete Demand (m³)]]&lt;10000,"Small",
IF(Market_Data[[#This Row],[Estimated Concrete Demand (m³)]]&lt;25000,"Medium",
IF(Market_Data[[#This Row],[Estimated Concrete Demand (m³)]]&lt;100000,"Large","Mega"))))</f>
        <v>Small</v>
      </c>
      <c r="P2959" s="287" t="str">
        <f t="shared" si="48"/>
        <v>GujRERA</v>
      </c>
    </row>
    <row r="2960" spans="1:16" ht="24">
      <c r="A2960" s="129" t="str">
        <f>_xlfn.XLOOKUP(B2960,$S$9:$S$14,$T$9:$T$14)&amp;"-"&amp;
IF(E2960="Residential/Group Housing","RES",
IF(E2960="Commercial","COM",
IF(E2960="Mixed Development","MIX",
IF(E2960="Plotted Development","PLT","OTH"))))
&amp;"-"&amp;TEXT(COUNTIFS($B$9:B2960,B2960,$E$9:E2960,E2960),"0000")</f>
        <v>VAL-RES-0103</v>
      </c>
      <c r="B2960" s="322" t="s">
        <v>35</v>
      </c>
      <c r="C2960" s="322" t="s">
        <v>35</v>
      </c>
      <c r="D2960" s="323" t="s">
        <v>3149</v>
      </c>
      <c r="E2960" s="132" t="s">
        <v>24</v>
      </c>
      <c r="F2960" s="97" t="str">
        <f ca="1">IF(OR(Market_Data[[#This Row],[Start Date]]="",Market_Data[[#This Row],[Completion Date]]=""),"Needs Validation",IF(Market_Data[[#This Row],[Start Date]]&gt;TODAY(),"Planned",IF(Market_Data[[#This Row],[Completion Date]]&lt;TODAY(),"Completed","Ongoing")))</f>
        <v>Ongoing</v>
      </c>
      <c r="G2960" s="324">
        <v>45597</v>
      </c>
      <c r="H2960" s="324">
        <v>46752</v>
      </c>
      <c r="I2960" s="325">
        <v>44100</v>
      </c>
      <c r="J296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60" s="133">
        <f>_xlfn.XLOOKUP(Market_Data[[#This Row],[Project Type]],tbl_assumptions_market[Project Category (RERA)],tbl_assumptions_market[Concrete Intensity
(m³ / sq m BUA)],"",0)</f>
        <v>0.45</v>
      </c>
      <c r="L2960" s="134">
        <f>ROUND(Market_Data[[#This Row],[Estimated Built Up Area (sq m)]]*Market_Data[[#This Row],[Concrete Intensity
(m³ / sq m)]],0)</f>
        <v>19845</v>
      </c>
      <c r="M2960" s="135">
        <f>_xlfn.XLOOKUP(Market_Data[[#This Row],[District]],tbl_district_price[District],tbl_district_price[Standard Price
(INR/m³)],"",0)</f>
        <v>5600</v>
      </c>
      <c r="N2960" s="364">
        <f>IF(OR(Market_Data[[#This Row],[Estimated Concrete Demand (m³)]]="",Market_Data[[#This Row],[Avg Price per (₹ / m³)]]=""),"",Market_Data[[#This Row],[Estimated Concrete Demand (m³)]]*Market_Data[[#This Row],[Avg Price per (₹ / m³)]]/10000000)</f>
        <v>11.113200000000001</v>
      </c>
      <c r="O2960" s="97" t="str">
        <f>IF(Market_Data[[#This Row],[Estimated Concrete Demand (m³)]]="","",
IF(Market_Data[[#This Row],[Estimated Concrete Demand (m³)]]&lt;10000,"Small",
IF(Market_Data[[#This Row],[Estimated Concrete Demand (m³)]]&lt;25000,"Medium",
IF(Market_Data[[#This Row],[Estimated Concrete Demand (m³)]]&lt;100000,"Large","Mega"))))</f>
        <v>Medium</v>
      </c>
      <c r="P2960" s="287" t="str">
        <f t="shared" si="48"/>
        <v>GujRERA</v>
      </c>
    </row>
    <row r="2961" spans="1:16">
      <c r="A2961" s="129" t="str">
        <f>_xlfn.XLOOKUP(B2961,$S$9:$S$14,$T$9:$T$14)&amp;"-"&amp;
IF(E2961="Residential/Group Housing","RES",
IF(E2961="Commercial","COM",
IF(E2961="Mixed Development","MIX",
IF(E2961="Plotted Development","PLT","OTH"))))
&amp;"-"&amp;TEXT(COUNTIFS($B$9:B2961,B2961,$E$9:E2961,E2961),"0000")</f>
        <v>VAL-MIX-0110</v>
      </c>
      <c r="B2961" s="322" t="s">
        <v>35</v>
      </c>
      <c r="C2961" s="322" t="s">
        <v>35</v>
      </c>
      <c r="D2961" s="323" t="s">
        <v>3150</v>
      </c>
      <c r="E2961" s="132" t="s">
        <v>25</v>
      </c>
      <c r="F2961" s="97" t="str">
        <f ca="1">IF(OR(Market_Data[[#This Row],[Start Date]]="",Market_Data[[#This Row],[Completion Date]]=""),"Needs Validation",IF(Market_Data[[#This Row],[Start Date]]&gt;TODAY(),"Planned",IF(Market_Data[[#This Row],[Completion Date]]&lt;TODAY(),"Completed","Ongoing")))</f>
        <v>Ongoing</v>
      </c>
      <c r="G2961" s="324">
        <v>46054</v>
      </c>
      <c r="H2961" s="324">
        <v>47483</v>
      </c>
      <c r="I2961" s="325">
        <v>13100</v>
      </c>
      <c r="J296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61" s="133">
        <f>_xlfn.XLOOKUP(Market_Data[[#This Row],[Project Type]],tbl_assumptions_market[Project Category (RERA)],tbl_assumptions_market[Concrete Intensity
(m³ / sq m BUA)],"",0)</f>
        <v>0.42</v>
      </c>
      <c r="L2961" s="134">
        <f>ROUND(Market_Data[[#This Row],[Estimated Built Up Area (sq m)]]*Market_Data[[#This Row],[Concrete Intensity
(m³ / sq m)]],0)</f>
        <v>5502</v>
      </c>
      <c r="M2961" s="135">
        <f>_xlfn.XLOOKUP(Market_Data[[#This Row],[District]],tbl_district_price[District],tbl_district_price[Standard Price
(INR/m³)],"",0)</f>
        <v>5600</v>
      </c>
      <c r="N2961" s="364">
        <f>IF(OR(Market_Data[[#This Row],[Estimated Concrete Demand (m³)]]="",Market_Data[[#This Row],[Avg Price per (₹ / m³)]]=""),"",Market_Data[[#This Row],[Estimated Concrete Demand (m³)]]*Market_Data[[#This Row],[Avg Price per (₹ / m³)]]/10000000)</f>
        <v>3.0811199999999999</v>
      </c>
      <c r="O2961" s="97" t="str">
        <f>IF(Market_Data[[#This Row],[Estimated Concrete Demand (m³)]]="","",
IF(Market_Data[[#This Row],[Estimated Concrete Demand (m³)]]&lt;10000,"Small",
IF(Market_Data[[#This Row],[Estimated Concrete Demand (m³)]]&lt;25000,"Medium",
IF(Market_Data[[#This Row],[Estimated Concrete Demand (m³)]]&lt;100000,"Large","Mega"))))</f>
        <v>Small</v>
      </c>
      <c r="P2961" s="287" t="str">
        <f t="shared" si="48"/>
        <v>GujRERA</v>
      </c>
    </row>
    <row r="2962" spans="1:16">
      <c r="A2962" s="129" t="str">
        <f>_xlfn.XLOOKUP(B2962,$S$9:$S$14,$T$9:$T$14)&amp;"-"&amp;
IF(E2962="Residential/Group Housing","RES",
IF(E2962="Commercial","COM",
IF(E2962="Mixed Development","MIX",
IF(E2962="Plotted Development","PLT","OTH"))))
&amp;"-"&amp;TEXT(COUNTIFS($B$9:B2962,B2962,$E$9:E2962,E2962),"0000")</f>
        <v>VAL-MIX-0111</v>
      </c>
      <c r="B2962" s="322" t="s">
        <v>35</v>
      </c>
      <c r="C2962" s="322" t="s">
        <v>35</v>
      </c>
      <c r="D2962" s="323" t="s">
        <v>3151</v>
      </c>
      <c r="E2962" s="132" t="s">
        <v>25</v>
      </c>
      <c r="F2962" s="97" t="str">
        <f ca="1">IF(OR(Market_Data[[#This Row],[Start Date]]="",Market_Data[[#This Row],[Completion Date]]=""),"Needs Validation",IF(Market_Data[[#This Row],[Start Date]]&gt;TODAY(),"Planned",IF(Market_Data[[#This Row],[Completion Date]]&lt;TODAY(),"Completed","Ongoing")))</f>
        <v>Completed</v>
      </c>
      <c r="G2962" s="324">
        <v>43709</v>
      </c>
      <c r="H2962" s="324">
        <v>44927</v>
      </c>
      <c r="I2962" s="325">
        <v>26700</v>
      </c>
      <c r="J296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62" s="133">
        <f>_xlfn.XLOOKUP(Market_Data[[#This Row],[Project Type]],tbl_assumptions_market[Project Category (RERA)],tbl_assumptions_market[Concrete Intensity
(m³ / sq m BUA)],"",0)</f>
        <v>0.42</v>
      </c>
      <c r="L2962" s="134">
        <f>ROUND(Market_Data[[#This Row],[Estimated Built Up Area (sq m)]]*Market_Data[[#This Row],[Concrete Intensity
(m³ / sq m)]],0)</f>
        <v>11214</v>
      </c>
      <c r="M2962" s="135">
        <f>_xlfn.XLOOKUP(Market_Data[[#This Row],[District]],tbl_district_price[District],tbl_district_price[Standard Price
(INR/m³)],"",0)</f>
        <v>5600</v>
      </c>
      <c r="N2962" s="364">
        <f>IF(OR(Market_Data[[#This Row],[Estimated Concrete Demand (m³)]]="",Market_Data[[#This Row],[Avg Price per (₹ / m³)]]=""),"",Market_Data[[#This Row],[Estimated Concrete Demand (m³)]]*Market_Data[[#This Row],[Avg Price per (₹ / m³)]]/10000000)</f>
        <v>6.2798400000000001</v>
      </c>
      <c r="O2962" s="97" t="str">
        <f>IF(Market_Data[[#This Row],[Estimated Concrete Demand (m³)]]="","",
IF(Market_Data[[#This Row],[Estimated Concrete Demand (m³)]]&lt;10000,"Small",
IF(Market_Data[[#This Row],[Estimated Concrete Demand (m³)]]&lt;25000,"Medium",
IF(Market_Data[[#This Row],[Estimated Concrete Demand (m³)]]&lt;100000,"Large","Mega"))))</f>
        <v>Medium</v>
      </c>
      <c r="P2962" s="287" t="str">
        <f t="shared" si="48"/>
        <v>GujRERA</v>
      </c>
    </row>
    <row r="2963" spans="1:16">
      <c r="A2963" s="129" t="str">
        <f>_xlfn.XLOOKUP(B2963,$S$9:$S$14,$T$9:$T$14)&amp;"-"&amp;
IF(E2963="Residential/Group Housing","RES",
IF(E2963="Commercial","COM",
IF(E2963="Mixed Development","MIX",
IF(E2963="Plotted Development","PLT","OTH"))))
&amp;"-"&amp;TEXT(COUNTIFS($B$9:B2963,B2963,$E$9:E2963,E2963),"0000")</f>
        <v>VAL-MIX-0112</v>
      </c>
      <c r="B2963" s="322" t="s">
        <v>35</v>
      </c>
      <c r="C2963" s="322" t="s">
        <v>35</v>
      </c>
      <c r="D2963" s="323" t="s">
        <v>3152</v>
      </c>
      <c r="E2963" s="132" t="s">
        <v>25</v>
      </c>
      <c r="F2963" s="97" t="str">
        <f ca="1">IF(OR(Market_Data[[#This Row],[Start Date]]="",Market_Data[[#This Row],[Completion Date]]=""),"Needs Validation",IF(Market_Data[[#This Row],[Start Date]]&gt;TODAY(),"Planned",IF(Market_Data[[#This Row],[Completion Date]]&lt;TODAY(),"Completed","Ongoing")))</f>
        <v>Completed</v>
      </c>
      <c r="G2963" s="324">
        <v>43892</v>
      </c>
      <c r="H2963" s="324">
        <v>46022</v>
      </c>
      <c r="I2963" s="325">
        <v>19700</v>
      </c>
      <c r="J296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63" s="133">
        <f>_xlfn.XLOOKUP(Market_Data[[#This Row],[Project Type]],tbl_assumptions_market[Project Category (RERA)],tbl_assumptions_market[Concrete Intensity
(m³ / sq m BUA)],"",0)</f>
        <v>0.42</v>
      </c>
      <c r="L2963" s="134">
        <f>ROUND(Market_Data[[#This Row],[Estimated Built Up Area (sq m)]]*Market_Data[[#This Row],[Concrete Intensity
(m³ / sq m)]],0)</f>
        <v>8274</v>
      </c>
      <c r="M2963" s="135">
        <f>_xlfn.XLOOKUP(Market_Data[[#This Row],[District]],tbl_district_price[District],tbl_district_price[Standard Price
(INR/m³)],"",0)</f>
        <v>5600</v>
      </c>
      <c r="N2963" s="364">
        <f>IF(OR(Market_Data[[#This Row],[Estimated Concrete Demand (m³)]]="",Market_Data[[#This Row],[Avg Price per (₹ / m³)]]=""),"",Market_Data[[#This Row],[Estimated Concrete Demand (m³)]]*Market_Data[[#This Row],[Avg Price per (₹ / m³)]]/10000000)</f>
        <v>4.6334400000000002</v>
      </c>
      <c r="O2963" s="97" t="str">
        <f>IF(Market_Data[[#This Row],[Estimated Concrete Demand (m³)]]="","",
IF(Market_Data[[#This Row],[Estimated Concrete Demand (m³)]]&lt;10000,"Small",
IF(Market_Data[[#This Row],[Estimated Concrete Demand (m³)]]&lt;25000,"Medium",
IF(Market_Data[[#This Row],[Estimated Concrete Demand (m³)]]&lt;100000,"Large","Mega"))))</f>
        <v>Small</v>
      </c>
      <c r="P2963" s="287" t="str">
        <f t="shared" si="48"/>
        <v>GujRERA</v>
      </c>
    </row>
    <row r="2964" spans="1:16">
      <c r="A2964" s="129" t="str">
        <f>_xlfn.XLOOKUP(B2964,$S$9:$S$14,$T$9:$T$14)&amp;"-"&amp;
IF(E2964="Residential/Group Housing","RES",
IF(E2964="Commercial","COM",
IF(E2964="Mixed Development","MIX",
IF(E2964="Plotted Development","PLT","OTH"))))
&amp;"-"&amp;TEXT(COUNTIFS($B$9:B2964,B2964,$E$9:E2964,E2964),"0000")</f>
        <v>VAL-COM-0022</v>
      </c>
      <c r="B2964" s="322" t="s">
        <v>35</v>
      </c>
      <c r="C2964" s="322" t="s">
        <v>35</v>
      </c>
      <c r="D2964" s="323" t="s">
        <v>3153</v>
      </c>
      <c r="E2964" s="132" t="s">
        <v>23</v>
      </c>
      <c r="F2964" s="97" t="str">
        <f ca="1">IF(OR(Market_Data[[#This Row],[Start Date]]="",Market_Data[[#This Row],[Completion Date]]=""),"Needs Validation",IF(Market_Data[[#This Row],[Start Date]]&gt;TODAY(),"Planned",IF(Market_Data[[#This Row],[Completion Date]]&lt;TODAY(),"Completed","Ongoing")))</f>
        <v>Completed</v>
      </c>
      <c r="G2964" s="324">
        <v>43466</v>
      </c>
      <c r="H2964" s="324">
        <v>44469</v>
      </c>
      <c r="I2964" s="325">
        <v>48200</v>
      </c>
      <c r="J296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964" s="133">
        <f>_xlfn.XLOOKUP(Market_Data[[#This Row],[Project Type]],tbl_assumptions_market[Project Category (RERA)],tbl_assumptions_market[Concrete Intensity
(m³ / sq m BUA)],"",0)</f>
        <v>0.5</v>
      </c>
      <c r="L2964" s="134">
        <f>ROUND(Market_Data[[#This Row],[Estimated Built Up Area (sq m)]]*Market_Data[[#This Row],[Concrete Intensity
(m³ / sq m)]],0)</f>
        <v>24100</v>
      </c>
      <c r="M2964" s="135">
        <f>_xlfn.XLOOKUP(Market_Data[[#This Row],[District]],tbl_district_price[District],tbl_district_price[Standard Price
(INR/m³)],"",0)</f>
        <v>5600</v>
      </c>
      <c r="N2964" s="364">
        <f>IF(OR(Market_Data[[#This Row],[Estimated Concrete Demand (m³)]]="",Market_Data[[#This Row],[Avg Price per (₹ / m³)]]=""),"",Market_Data[[#This Row],[Estimated Concrete Demand (m³)]]*Market_Data[[#This Row],[Avg Price per (₹ / m³)]]/10000000)</f>
        <v>13.496</v>
      </c>
      <c r="O2964" s="97" t="str">
        <f>IF(Market_Data[[#This Row],[Estimated Concrete Demand (m³)]]="","",
IF(Market_Data[[#This Row],[Estimated Concrete Demand (m³)]]&lt;10000,"Small",
IF(Market_Data[[#This Row],[Estimated Concrete Demand (m³)]]&lt;25000,"Medium",
IF(Market_Data[[#This Row],[Estimated Concrete Demand (m³)]]&lt;100000,"Large","Mega"))))</f>
        <v>Medium</v>
      </c>
      <c r="P2964" s="287" t="str">
        <f t="shared" si="48"/>
        <v>GujRERA</v>
      </c>
    </row>
    <row r="2965" spans="1:16">
      <c r="A2965" s="129" t="str">
        <f>_xlfn.XLOOKUP(B2965,$S$9:$S$14,$T$9:$T$14)&amp;"-"&amp;
IF(E2965="Residential/Group Housing","RES",
IF(E2965="Commercial","COM",
IF(E2965="Mixed Development","MIX",
IF(E2965="Plotted Development","PLT","OTH"))))
&amp;"-"&amp;TEXT(COUNTIFS($B$9:B2965,B2965,$E$9:E2965,E2965),"0000")</f>
        <v>VAL-MIX-0113</v>
      </c>
      <c r="B2965" s="322" t="s">
        <v>35</v>
      </c>
      <c r="C2965" s="322" t="s">
        <v>35</v>
      </c>
      <c r="D2965" s="323" t="s">
        <v>3154</v>
      </c>
      <c r="E2965" s="132" t="s">
        <v>25</v>
      </c>
      <c r="F2965" s="97" t="str">
        <f ca="1">IF(OR(Market_Data[[#This Row],[Start Date]]="",Market_Data[[#This Row],[Completion Date]]=""),"Needs Validation",IF(Market_Data[[#This Row],[Start Date]]&gt;TODAY(),"Planned",IF(Market_Data[[#This Row],[Completion Date]]&lt;TODAY(),"Completed","Ongoing")))</f>
        <v>Ongoing</v>
      </c>
      <c r="G2965" s="324">
        <v>45239</v>
      </c>
      <c r="H2965" s="324">
        <v>46752</v>
      </c>
      <c r="I2965" s="325">
        <v>16900</v>
      </c>
      <c r="J296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65" s="133">
        <f>_xlfn.XLOOKUP(Market_Data[[#This Row],[Project Type]],tbl_assumptions_market[Project Category (RERA)],tbl_assumptions_market[Concrete Intensity
(m³ / sq m BUA)],"",0)</f>
        <v>0.42</v>
      </c>
      <c r="L2965" s="134">
        <f>ROUND(Market_Data[[#This Row],[Estimated Built Up Area (sq m)]]*Market_Data[[#This Row],[Concrete Intensity
(m³ / sq m)]],0)</f>
        <v>7098</v>
      </c>
      <c r="M2965" s="135">
        <f>_xlfn.XLOOKUP(Market_Data[[#This Row],[District]],tbl_district_price[District],tbl_district_price[Standard Price
(INR/m³)],"",0)</f>
        <v>5600</v>
      </c>
      <c r="N2965" s="364">
        <f>IF(OR(Market_Data[[#This Row],[Estimated Concrete Demand (m³)]]="",Market_Data[[#This Row],[Avg Price per (₹ / m³)]]=""),"",Market_Data[[#This Row],[Estimated Concrete Demand (m³)]]*Market_Data[[#This Row],[Avg Price per (₹ / m³)]]/10000000)</f>
        <v>3.9748800000000002</v>
      </c>
      <c r="O2965" s="97" t="str">
        <f>IF(Market_Data[[#This Row],[Estimated Concrete Demand (m³)]]="","",
IF(Market_Data[[#This Row],[Estimated Concrete Demand (m³)]]&lt;10000,"Small",
IF(Market_Data[[#This Row],[Estimated Concrete Demand (m³)]]&lt;25000,"Medium",
IF(Market_Data[[#This Row],[Estimated Concrete Demand (m³)]]&lt;100000,"Large","Mega"))))</f>
        <v>Small</v>
      </c>
      <c r="P2965" s="287" t="str">
        <f t="shared" si="48"/>
        <v>GujRERA</v>
      </c>
    </row>
    <row r="2966" spans="1:16">
      <c r="A2966" s="129" t="str">
        <f>_xlfn.XLOOKUP(B2966,$S$9:$S$14,$T$9:$T$14)&amp;"-"&amp;
IF(E2966="Residential/Group Housing","RES",
IF(E2966="Commercial","COM",
IF(E2966="Mixed Development","MIX",
IF(E2966="Plotted Development","PLT","OTH"))))
&amp;"-"&amp;TEXT(COUNTIFS($B$9:B2966,B2966,$E$9:E2966,E2966),"0000")</f>
        <v>VAL-MIX-0114</v>
      </c>
      <c r="B2966" s="322" t="s">
        <v>35</v>
      </c>
      <c r="C2966" s="322" t="s">
        <v>35</v>
      </c>
      <c r="D2966" s="323" t="s">
        <v>3155</v>
      </c>
      <c r="E2966" s="132" t="s">
        <v>25</v>
      </c>
      <c r="F2966" s="97" t="str">
        <f ca="1">IF(OR(Market_Data[[#This Row],[Start Date]]="",Market_Data[[#This Row],[Completion Date]]=""),"Needs Validation",IF(Market_Data[[#This Row],[Start Date]]&gt;TODAY(),"Planned",IF(Market_Data[[#This Row],[Completion Date]]&lt;TODAY(),"Completed","Ongoing")))</f>
        <v>Completed</v>
      </c>
      <c r="G2966" s="324">
        <v>43111</v>
      </c>
      <c r="H2966" s="324">
        <v>45107</v>
      </c>
      <c r="I2966" s="325">
        <v>22700</v>
      </c>
      <c r="J296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66" s="133">
        <f>_xlfn.XLOOKUP(Market_Data[[#This Row],[Project Type]],tbl_assumptions_market[Project Category (RERA)],tbl_assumptions_market[Concrete Intensity
(m³ / sq m BUA)],"",0)</f>
        <v>0.42</v>
      </c>
      <c r="L2966" s="134">
        <f>ROUND(Market_Data[[#This Row],[Estimated Built Up Area (sq m)]]*Market_Data[[#This Row],[Concrete Intensity
(m³ / sq m)]],0)</f>
        <v>9534</v>
      </c>
      <c r="M2966" s="135">
        <f>_xlfn.XLOOKUP(Market_Data[[#This Row],[District]],tbl_district_price[District],tbl_district_price[Standard Price
(INR/m³)],"",0)</f>
        <v>5600</v>
      </c>
      <c r="N2966" s="364">
        <f>IF(OR(Market_Data[[#This Row],[Estimated Concrete Demand (m³)]]="",Market_Data[[#This Row],[Avg Price per (₹ / m³)]]=""),"",Market_Data[[#This Row],[Estimated Concrete Demand (m³)]]*Market_Data[[#This Row],[Avg Price per (₹ / m³)]]/10000000)</f>
        <v>5.3390399999999998</v>
      </c>
      <c r="O2966" s="97" t="str">
        <f>IF(Market_Data[[#This Row],[Estimated Concrete Demand (m³)]]="","",
IF(Market_Data[[#This Row],[Estimated Concrete Demand (m³)]]&lt;10000,"Small",
IF(Market_Data[[#This Row],[Estimated Concrete Demand (m³)]]&lt;25000,"Medium",
IF(Market_Data[[#This Row],[Estimated Concrete Demand (m³)]]&lt;100000,"Large","Mega"))))</f>
        <v>Small</v>
      </c>
      <c r="P2966" s="287" t="str">
        <f t="shared" si="48"/>
        <v>GujRERA</v>
      </c>
    </row>
    <row r="2967" spans="1:16">
      <c r="A2967" s="129" t="str">
        <f>_xlfn.XLOOKUP(B2967,$S$9:$S$14,$T$9:$T$14)&amp;"-"&amp;
IF(E2967="Residential/Group Housing","RES",
IF(E2967="Commercial","COM",
IF(E2967="Mixed Development","MIX",
IF(E2967="Plotted Development","PLT","OTH"))))
&amp;"-"&amp;TEXT(COUNTIFS($B$9:B2967,B2967,$E$9:E2967,E2967),"0000")</f>
        <v>VAL-MIX-0115</v>
      </c>
      <c r="B2967" s="322" t="s">
        <v>35</v>
      </c>
      <c r="C2967" s="322" t="s">
        <v>35</v>
      </c>
      <c r="D2967" s="323" t="s">
        <v>3156</v>
      </c>
      <c r="E2967" s="132" t="s">
        <v>25</v>
      </c>
      <c r="F2967" s="97" t="str">
        <f ca="1">IF(OR(Market_Data[[#This Row],[Start Date]]="",Market_Data[[#This Row],[Completion Date]]=""),"Needs Validation",IF(Market_Data[[#This Row],[Start Date]]&gt;TODAY(),"Planned",IF(Market_Data[[#This Row],[Completion Date]]&lt;TODAY(),"Completed","Ongoing")))</f>
        <v>Ongoing</v>
      </c>
      <c r="G2967" s="324">
        <v>45474</v>
      </c>
      <c r="H2967" s="324">
        <v>48213</v>
      </c>
      <c r="I2967" s="325">
        <v>34100</v>
      </c>
      <c r="J296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67" s="133">
        <f>_xlfn.XLOOKUP(Market_Data[[#This Row],[Project Type]],tbl_assumptions_market[Project Category (RERA)],tbl_assumptions_market[Concrete Intensity
(m³ / sq m BUA)],"",0)</f>
        <v>0.42</v>
      </c>
      <c r="L2967" s="134">
        <f>ROUND(Market_Data[[#This Row],[Estimated Built Up Area (sq m)]]*Market_Data[[#This Row],[Concrete Intensity
(m³ / sq m)]],0)</f>
        <v>14322</v>
      </c>
      <c r="M2967" s="135">
        <f>_xlfn.XLOOKUP(Market_Data[[#This Row],[District]],tbl_district_price[District],tbl_district_price[Standard Price
(INR/m³)],"",0)</f>
        <v>5600</v>
      </c>
      <c r="N2967" s="364">
        <f>IF(OR(Market_Data[[#This Row],[Estimated Concrete Demand (m³)]]="",Market_Data[[#This Row],[Avg Price per (₹ / m³)]]=""),"",Market_Data[[#This Row],[Estimated Concrete Demand (m³)]]*Market_Data[[#This Row],[Avg Price per (₹ / m³)]]/10000000)</f>
        <v>8.0203199999999999</v>
      </c>
      <c r="O2967" s="97" t="str">
        <f>IF(Market_Data[[#This Row],[Estimated Concrete Demand (m³)]]="","",
IF(Market_Data[[#This Row],[Estimated Concrete Demand (m³)]]&lt;10000,"Small",
IF(Market_Data[[#This Row],[Estimated Concrete Demand (m³)]]&lt;25000,"Medium",
IF(Market_Data[[#This Row],[Estimated Concrete Demand (m³)]]&lt;100000,"Large","Mega"))))</f>
        <v>Medium</v>
      </c>
      <c r="P2967" s="287" t="str">
        <f t="shared" si="48"/>
        <v>GujRERA</v>
      </c>
    </row>
    <row r="2968" spans="1:16">
      <c r="A2968" s="129" t="str">
        <f>_xlfn.XLOOKUP(B2968,$S$9:$S$14,$T$9:$T$14)&amp;"-"&amp;
IF(E2968="Residential/Group Housing","RES",
IF(E2968="Commercial","COM",
IF(E2968="Mixed Development","MIX",
IF(E2968="Plotted Development","PLT","OTH"))))
&amp;"-"&amp;TEXT(COUNTIFS($B$9:B2968,B2968,$E$9:E2968,E2968),"0000")</f>
        <v>VAL-RES-0104</v>
      </c>
      <c r="B2968" s="322" t="s">
        <v>35</v>
      </c>
      <c r="C2968" s="322" t="s">
        <v>35</v>
      </c>
      <c r="D2968" s="323" t="s">
        <v>3157</v>
      </c>
      <c r="E2968" s="132" t="s">
        <v>24</v>
      </c>
      <c r="F2968" s="97" t="str">
        <f ca="1">IF(OR(Market_Data[[#This Row],[Start Date]]="",Market_Data[[#This Row],[Completion Date]]=""),"Needs Validation",IF(Market_Data[[#This Row],[Start Date]]&gt;TODAY(),"Planned",IF(Market_Data[[#This Row],[Completion Date]]&lt;TODAY(),"Completed","Ongoing")))</f>
        <v>Completed</v>
      </c>
      <c r="G2968" s="324">
        <v>43534</v>
      </c>
      <c r="H2968" s="324">
        <v>44560</v>
      </c>
      <c r="I2968" s="325">
        <v>56600</v>
      </c>
      <c r="J296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68" s="133">
        <f>_xlfn.XLOOKUP(Market_Data[[#This Row],[Project Type]],tbl_assumptions_market[Project Category (RERA)],tbl_assumptions_market[Concrete Intensity
(m³ / sq m BUA)],"",0)</f>
        <v>0.45</v>
      </c>
      <c r="L2968" s="134">
        <f>ROUND(Market_Data[[#This Row],[Estimated Built Up Area (sq m)]]*Market_Data[[#This Row],[Concrete Intensity
(m³ / sq m)]],0)</f>
        <v>25470</v>
      </c>
      <c r="M2968" s="135">
        <f>_xlfn.XLOOKUP(Market_Data[[#This Row],[District]],tbl_district_price[District],tbl_district_price[Standard Price
(INR/m³)],"",0)</f>
        <v>5600</v>
      </c>
      <c r="N2968" s="364">
        <f>IF(OR(Market_Data[[#This Row],[Estimated Concrete Demand (m³)]]="",Market_Data[[#This Row],[Avg Price per (₹ / m³)]]=""),"",Market_Data[[#This Row],[Estimated Concrete Demand (m³)]]*Market_Data[[#This Row],[Avg Price per (₹ / m³)]]/10000000)</f>
        <v>14.263199999999999</v>
      </c>
      <c r="O2968" s="97" t="str">
        <f>IF(Market_Data[[#This Row],[Estimated Concrete Demand (m³)]]="","",
IF(Market_Data[[#This Row],[Estimated Concrete Demand (m³)]]&lt;10000,"Small",
IF(Market_Data[[#This Row],[Estimated Concrete Demand (m³)]]&lt;25000,"Medium",
IF(Market_Data[[#This Row],[Estimated Concrete Demand (m³)]]&lt;100000,"Large","Mega"))))</f>
        <v>Large</v>
      </c>
      <c r="P2968" s="287" t="str">
        <f t="shared" si="48"/>
        <v>GujRERA</v>
      </c>
    </row>
    <row r="2969" spans="1:16">
      <c r="A2969" s="129" t="str">
        <f>_xlfn.XLOOKUP(B2969,$S$9:$S$14,$T$9:$T$14)&amp;"-"&amp;
IF(E2969="Residential/Group Housing","RES",
IF(E2969="Commercial","COM",
IF(E2969="Mixed Development","MIX",
IF(E2969="Plotted Development","PLT","OTH"))))
&amp;"-"&amp;TEXT(COUNTIFS($B$9:B2969,B2969,$E$9:E2969,E2969),"0000")</f>
        <v>VAL-RES-0105</v>
      </c>
      <c r="B2969" s="322" t="s">
        <v>35</v>
      </c>
      <c r="C2969" s="322" t="s">
        <v>35</v>
      </c>
      <c r="D2969" s="323" t="s">
        <v>3158</v>
      </c>
      <c r="E2969" s="132" t="s">
        <v>24</v>
      </c>
      <c r="F2969" s="97" t="str">
        <f ca="1">IF(OR(Market_Data[[#This Row],[Start Date]]="",Market_Data[[#This Row],[Completion Date]]=""),"Needs Validation",IF(Market_Data[[#This Row],[Start Date]]&gt;TODAY(),"Planned",IF(Market_Data[[#This Row],[Completion Date]]&lt;TODAY(),"Completed","Ongoing")))</f>
        <v>Completed</v>
      </c>
      <c r="G2969" s="324">
        <v>43586</v>
      </c>
      <c r="H2969" s="324">
        <v>45565</v>
      </c>
      <c r="I2969" s="325">
        <v>39800</v>
      </c>
      <c r="J296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69" s="133">
        <f>_xlfn.XLOOKUP(Market_Data[[#This Row],[Project Type]],tbl_assumptions_market[Project Category (RERA)],tbl_assumptions_market[Concrete Intensity
(m³ / sq m BUA)],"",0)</f>
        <v>0.45</v>
      </c>
      <c r="L2969" s="134">
        <f>ROUND(Market_Data[[#This Row],[Estimated Built Up Area (sq m)]]*Market_Data[[#This Row],[Concrete Intensity
(m³ / sq m)]],0)</f>
        <v>17910</v>
      </c>
      <c r="M2969" s="135">
        <f>_xlfn.XLOOKUP(Market_Data[[#This Row],[District]],tbl_district_price[District],tbl_district_price[Standard Price
(INR/m³)],"",0)</f>
        <v>5600</v>
      </c>
      <c r="N2969" s="364">
        <f>IF(OR(Market_Data[[#This Row],[Estimated Concrete Demand (m³)]]="",Market_Data[[#This Row],[Avg Price per (₹ / m³)]]=""),"",Market_Data[[#This Row],[Estimated Concrete Demand (m³)]]*Market_Data[[#This Row],[Avg Price per (₹ / m³)]]/10000000)</f>
        <v>10.0296</v>
      </c>
      <c r="O2969" s="97" t="str">
        <f>IF(Market_Data[[#This Row],[Estimated Concrete Demand (m³)]]="","",
IF(Market_Data[[#This Row],[Estimated Concrete Demand (m³)]]&lt;10000,"Small",
IF(Market_Data[[#This Row],[Estimated Concrete Demand (m³)]]&lt;25000,"Medium",
IF(Market_Data[[#This Row],[Estimated Concrete Demand (m³)]]&lt;100000,"Large","Mega"))))</f>
        <v>Medium</v>
      </c>
      <c r="P2969" s="287" t="str">
        <f t="shared" si="48"/>
        <v>GujRERA</v>
      </c>
    </row>
    <row r="2970" spans="1:16">
      <c r="A2970" s="129" t="str">
        <f>_xlfn.XLOOKUP(B2970,$S$9:$S$14,$T$9:$T$14)&amp;"-"&amp;
IF(E2970="Residential/Group Housing","RES",
IF(E2970="Commercial","COM",
IF(E2970="Mixed Development","MIX",
IF(E2970="Plotted Development","PLT","OTH"))))
&amp;"-"&amp;TEXT(COUNTIFS($B$9:B2970,B2970,$E$9:E2970,E2970),"0000")</f>
        <v>VAL-MIX-0116</v>
      </c>
      <c r="B2970" s="322" t="s">
        <v>35</v>
      </c>
      <c r="C2970" s="322" t="s">
        <v>35</v>
      </c>
      <c r="D2970" s="323" t="s">
        <v>3159</v>
      </c>
      <c r="E2970" s="132" t="s">
        <v>25</v>
      </c>
      <c r="F2970" s="97" t="str">
        <f ca="1">IF(OR(Market_Data[[#This Row],[Start Date]]="",Market_Data[[#This Row],[Completion Date]]=""),"Needs Validation",IF(Market_Data[[#This Row],[Start Date]]&gt;TODAY(),"Planned",IF(Market_Data[[#This Row],[Completion Date]]&lt;TODAY(),"Completed","Ongoing")))</f>
        <v>Completed</v>
      </c>
      <c r="G2970" s="324">
        <v>42005</v>
      </c>
      <c r="H2970" s="324">
        <v>46203</v>
      </c>
      <c r="I2970" s="325">
        <v>45000</v>
      </c>
      <c r="J297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70" s="133">
        <f>_xlfn.XLOOKUP(Market_Data[[#This Row],[Project Type]],tbl_assumptions_market[Project Category (RERA)],tbl_assumptions_market[Concrete Intensity
(m³ / sq m BUA)],"",0)</f>
        <v>0.42</v>
      </c>
      <c r="L2970" s="134">
        <f>ROUND(Market_Data[[#This Row],[Estimated Built Up Area (sq m)]]*Market_Data[[#This Row],[Concrete Intensity
(m³ / sq m)]],0)</f>
        <v>18900</v>
      </c>
      <c r="M2970" s="135">
        <f>_xlfn.XLOOKUP(Market_Data[[#This Row],[District]],tbl_district_price[District],tbl_district_price[Standard Price
(INR/m³)],"",0)</f>
        <v>5600</v>
      </c>
      <c r="N2970" s="364">
        <f>IF(OR(Market_Data[[#This Row],[Estimated Concrete Demand (m³)]]="",Market_Data[[#This Row],[Avg Price per (₹ / m³)]]=""),"",Market_Data[[#This Row],[Estimated Concrete Demand (m³)]]*Market_Data[[#This Row],[Avg Price per (₹ / m³)]]/10000000)</f>
        <v>10.584</v>
      </c>
      <c r="O2970" s="97" t="str">
        <f>IF(Market_Data[[#This Row],[Estimated Concrete Demand (m³)]]="","",
IF(Market_Data[[#This Row],[Estimated Concrete Demand (m³)]]&lt;10000,"Small",
IF(Market_Data[[#This Row],[Estimated Concrete Demand (m³)]]&lt;25000,"Medium",
IF(Market_Data[[#This Row],[Estimated Concrete Demand (m³)]]&lt;100000,"Large","Mega"))))</f>
        <v>Medium</v>
      </c>
      <c r="P2970" s="287" t="str">
        <f t="shared" si="48"/>
        <v>GujRERA</v>
      </c>
    </row>
    <row r="2971" spans="1:16">
      <c r="A2971" s="129" t="str">
        <f>_xlfn.XLOOKUP(B2971,$S$9:$S$14,$T$9:$T$14)&amp;"-"&amp;
IF(E2971="Residential/Group Housing","RES",
IF(E2971="Commercial","COM",
IF(E2971="Mixed Development","MIX",
IF(E2971="Plotted Development","PLT","OTH"))))
&amp;"-"&amp;TEXT(COUNTIFS($B$9:B2971,B2971,$E$9:E2971,E2971),"0000")</f>
        <v>VAL-RES-0106</v>
      </c>
      <c r="B2971" s="322" t="s">
        <v>35</v>
      </c>
      <c r="C2971" s="322" t="s">
        <v>35</v>
      </c>
      <c r="D2971" s="323" t="s">
        <v>3160</v>
      </c>
      <c r="E2971" s="132" t="s">
        <v>24</v>
      </c>
      <c r="F2971" s="97" t="str">
        <f ca="1">IF(OR(Market_Data[[#This Row],[Start Date]]="",Market_Data[[#This Row],[Completion Date]]=""),"Needs Validation",IF(Market_Data[[#This Row],[Start Date]]&gt;TODAY(),"Planned",IF(Market_Data[[#This Row],[Completion Date]]&lt;TODAY(),"Completed","Ongoing")))</f>
        <v>Ongoing</v>
      </c>
      <c r="G2971" s="324">
        <v>45689</v>
      </c>
      <c r="H2971" s="324">
        <v>48213</v>
      </c>
      <c r="I2971" s="325">
        <v>40900</v>
      </c>
      <c r="J297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71" s="133">
        <f>_xlfn.XLOOKUP(Market_Data[[#This Row],[Project Type]],tbl_assumptions_market[Project Category (RERA)],tbl_assumptions_market[Concrete Intensity
(m³ / sq m BUA)],"",0)</f>
        <v>0.45</v>
      </c>
      <c r="L2971" s="134">
        <f>ROUND(Market_Data[[#This Row],[Estimated Built Up Area (sq m)]]*Market_Data[[#This Row],[Concrete Intensity
(m³ / sq m)]],0)</f>
        <v>18405</v>
      </c>
      <c r="M2971" s="135">
        <f>_xlfn.XLOOKUP(Market_Data[[#This Row],[District]],tbl_district_price[District],tbl_district_price[Standard Price
(INR/m³)],"",0)</f>
        <v>5600</v>
      </c>
      <c r="N2971" s="364">
        <f>IF(OR(Market_Data[[#This Row],[Estimated Concrete Demand (m³)]]="",Market_Data[[#This Row],[Avg Price per (₹ / m³)]]=""),"",Market_Data[[#This Row],[Estimated Concrete Demand (m³)]]*Market_Data[[#This Row],[Avg Price per (₹ / m³)]]/10000000)</f>
        <v>10.306800000000001</v>
      </c>
      <c r="O2971" s="97" t="str">
        <f>IF(Market_Data[[#This Row],[Estimated Concrete Demand (m³)]]="","",
IF(Market_Data[[#This Row],[Estimated Concrete Demand (m³)]]&lt;10000,"Small",
IF(Market_Data[[#This Row],[Estimated Concrete Demand (m³)]]&lt;25000,"Medium",
IF(Market_Data[[#This Row],[Estimated Concrete Demand (m³)]]&lt;100000,"Large","Mega"))))</f>
        <v>Medium</v>
      </c>
      <c r="P2971" s="287" t="str">
        <f t="shared" si="48"/>
        <v>GujRERA</v>
      </c>
    </row>
    <row r="2972" spans="1:16">
      <c r="A2972" s="129" t="str">
        <f>_xlfn.XLOOKUP(B2972,$S$9:$S$14,$T$9:$T$14)&amp;"-"&amp;
IF(E2972="Residential/Group Housing","RES",
IF(E2972="Commercial","COM",
IF(E2972="Mixed Development","MIX",
IF(E2972="Plotted Development","PLT","OTH"))))
&amp;"-"&amp;TEXT(COUNTIFS($B$9:B2972,B2972,$E$9:E2972,E2972),"0000")</f>
        <v>VAL-PLT-0004</v>
      </c>
      <c r="B2972" s="322" t="s">
        <v>35</v>
      </c>
      <c r="C2972" s="322" t="s">
        <v>35</v>
      </c>
      <c r="D2972" s="323" t="s">
        <v>3161</v>
      </c>
      <c r="E2972" s="132" t="s">
        <v>26</v>
      </c>
      <c r="F2972" s="97" t="str">
        <f ca="1">IF(OR(Market_Data[[#This Row],[Start Date]]="",Market_Data[[#This Row],[Completion Date]]=""),"Needs Validation",IF(Market_Data[[#This Row],[Start Date]]&gt;TODAY(),"Planned",IF(Market_Data[[#This Row],[Completion Date]]&lt;TODAY(),"Completed","Ongoing")))</f>
        <v>Ongoing</v>
      </c>
      <c r="G2972" s="324">
        <v>45762</v>
      </c>
      <c r="H2972" s="324">
        <v>47848</v>
      </c>
      <c r="I2972" s="325">
        <v>26600</v>
      </c>
      <c r="J297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72" s="133">
        <f>_xlfn.XLOOKUP(Market_Data[[#This Row],[Project Type]],tbl_assumptions_market[Project Category (RERA)],tbl_assumptions_market[Concrete Intensity
(m³ / sq m BUA)],"",0)</f>
        <v>0.18</v>
      </c>
      <c r="L2972" s="134">
        <f>ROUND(Market_Data[[#This Row],[Estimated Built Up Area (sq m)]]*Market_Data[[#This Row],[Concrete Intensity
(m³ / sq m)]],0)</f>
        <v>4788</v>
      </c>
      <c r="M2972" s="135">
        <f>_xlfn.XLOOKUP(Market_Data[[#This Row],[District]],tbl_district_price[District],tbl_district_price[Standard Price
(INR/m³)],"",0)</f>
        <v>5600</v>
      </c>
      <c r="N2972" s="364">
        <f>IF(OR(Market_Data[[#This Row],[Estimated Concrete Demand (m³)]]="",Market_Data[[#This Row],[Avg Price per (₹ / m³)]]=""),"",Market_Data[[#This Row],[Estimated Concrete Demand (m³)]]*Market_Data[[#This Row],[Avg Price per (₹ / m³)]]/10000000)</f>
        <v>2.6812800000000001</v>
      </c>
      <c r="O2972" s="97" t="str">
        <f>IF(Market_Data[[#This Row],[Estimated Concrete Demand (m³)]]="","",
IF(Market_Data[[#This Row],[Estimated Concrete Demand (m³)]]&lt;10000,"Small",
IF(Market_Data[[#This Row],[Estimated Concrete Demand (m³)]]&lt;25000,"Medium",
IF(Market_Data[[#This Row],[Estimated Concrete Demand (m³)]]&lt;100000,"Large","Mega"))))</f>
        <v>Small</v>
      </c>
      <c r="P2972" s="287" t="str">
        <f t="shared" si="48"/>
        <v>GujRERA</v>
      </c>
    </row>
    <row r="2973" spans="1:16">
      <c r="A2973" s="129" t="str">
        <f>_xlfn.XLOOKUP(B2973,$S$9:$S$14,$T$9:$T$14)&amp;"-"&amp;
IF(E2973="Residential/Group Housing","RES",
IF(E2973="Commercial","COM",
IF(E2973="Mixed Development","MIX",
IF(E2973="Plotted Development","PLT","OTH"))))
&amp;"-"&amp;TEXT(COUNTIFS($B$9:B2973,B2973,$E$9:E2973,E2973),"0000")</f>
        <v>VAL-RES-0107</v>
      </c>
      <c r="B2973" s="322" t="s">
        <v>35</v>
      </c>
      <c r="C2973" s="322" t="s">
        <v>35</v>
      </c>
      <c r="D2973" s="323" t="s">
        <v>3162</v>
      </c>
      <c r="E2973" s="132" t="s">
        <v>24</v>
      </c>
      <c r="F2973" s="97" t="str">
        <f ca="1">IF(OR(Market_Data[[#This Row],[Start Date]]="",Market_Data[[#This Row],[Completion Date]]=""),"Needs Validation",IF(Market_Data[[#This Row],[Start Date]]&gt;TODAY(),"Planned",IF(Market_Data[[#This Row],[Completion Date]]&lt;TODAY(),"Completed","Ongoing")))</f>
        <v>Ongoing</v>
      </c>
      <c r="G2973" s="324">
        <v>44680</v>
      </c>
      <c r="H2973" s="324">
        <v>46387</v>
      </c>
      <c r="I2973" s="325">
        <v>9600</v>
      </c>
      <c r="J297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73" s="133">
        <f>_xlfn.XLOOKUP(Market_Data[[#This Row],[Project Type]],tbl_assumptions_market[Project Category (RERA)],tbl_assumptions_market[Concrete Intensity
(m³ / sq m BUA)],"",0)</f>
        <v>0.45</v>
      </c>
      <c r="L2973" s="134">
        <f>ROUND(Market_Data[[#This Row],[Estimated Built Up Area (sq m)]]*Market_Data[[#This Row],[Concrete Intensity
(m³ / sq m)]],0)</f>
        <v>4320</v>
      </c>
      <c r="M2973" s="135">
        <f>_xlfn.XLOOKUP(Market_Data[[#This Row],[District]],tbl_district_price[District],tbl_district_price[Standard Price
(INR/m³)],"",0)</f>
        <v>5600</v>
      </c>
      <c r="N2973" s="364">
        <f>IF(OR(Market_Data[[#This Row],[Estimated Concrete Demand (m³)]]="",Market_Data[[#This Row],[Avg Price per (₹ / m³)]]=""),"",Market_Data[[#This Row],[Estimated Concrete Demand (m³)]]*Market_Data[[#This Row],[Avg Price per (₹ / m³)]]/10000000)</f>
        <v>2.4192</v>
      </c>
      <c r="O2973" s="97" t="str">
        <f>IF(Market_Data[[#This Row],[Estimated Concrete Demand (m³)]]="","",
IF(Market_Data[[#This Row],[Estimated Concrete Demand (m³)]]&lt;10000,"Small",
IF(Market_Data[[#This Row],[Estimated Concrete Demand (m³)]]&lt;25000,"Medium",
IF(Market_Data[[#This Row],[Estimated Concrete Demand (m³)]]&lt;100000,"Large","Mega"))))</f>
        <v>Small</v>
      </c>
      <c r="P2973" s="287" t="str">
        <f t="shared" si="48"/>
        <v>GujRERA</v>
      </c>
    </row>
    <row r="2974" spans="1:16">
      <c r="A2974" s="129" t="str">
        <f>_xlfn.XLOOKUP(B2974,$S$9:$S$14,$T$9:$T$14)&amp;"-"&amp;
IF(E2974="Residential/Group Housing","RES",
IF(E2974="Commercial","COM",
IF(E2974="Mixed Development","MIX",
IF(E2974="Plotted Development","PLT","OTH"))))
&amp;"-"&amp;TEXT(COUNTIFS($B$9:B2974,B2974,$E$9:E2974,E2974),"0000")</f>
        <v>VAL-RES-0108</v>
      </c>
      <c r="B2974" s="322" t="s">
        <v>35</v>
      </c>
      <c r="C2974" s="322" t="s">
        <v>35</v>
      </c>
      <c r="D2974" s="323" t="s">
        <v>3163</v>
      </c>
      <c r="E2974" s="132" t="s">
        <v>24</v>
      </c>
      <c r="F2974" s="97" t="str">
        <f ca="1">IF(OR(Market_Data[[#This Row],[Start Date]]="",Market_Data[[#This Row],[Completion Date]]=""),"Needs Validation",IF(Market_Data[[#This Row],[Start Date]]&gt;TODAY(),"Planned",IF(Market_Data[[#This Row],[Completion Date]]&lt;TODAY(),"Completed","Ongoing")))</f>
        <v>Ongoing</v>
      </c>
      <c r="G2974" s="324">
        <v>45261</v>
      </c>
      <c r="H2974" s="324">
        <v>47208</v>
      </c>
      <c r="I2974" s="325">
        <v>33200</v>
      </c>
      <c r="J297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74" s="133">
        <f>_xlfn.XLOOKUP(Market_Data[[#This Row],[Project Type]],tbl_assumptions_market[Project Category (RERA)],tbl_assumptions_market[Concrete Intensity
(m³ / sq m BUA)],"",0)</f>
        <v>0.45</v>
      </c>
      <c r="L2974" s="134">
        <f>ROUND(Market_Data[[#This Row],[Estimated Built Up Area (sq m)]]*Market_Data[[#This Row],[Concrete Intensity
(m³ / sq m)]],0)</f>
        <v>14940</v>
      </c>
      <c r="M2974" s="135">
        <f>_xlfn.XLOOKUP(Market_Data[[#This Row],[District]],tbl_district_price[District],tbl_district_price[Standard Price
(INR/m³)],"",0)</f>
        <v>5600</v>
      </c>
      <c r="N2974" s="364">
        <f>IF(OR(Market_Data[[#This Row],[Estimated Concrete Demand (m³)]]="",Market_Data[[#This Row],[Avg Price per (₹ / m³)]]=""),"",Market_Data[[#This Row],[Estimated Concrete Demand (m³)]]*Market_Data[[#This Row],[Avg Price per (₹ / m³)]]/10000000)</f>
        <v>8.3664000000000005</v>
      </c>
      <c r="O2974" s="97" t="str">
        <f>IF(Market_Data[[#This Row],[Estimated Concrete Demand (m³)]]="","",
IF(Market_Data[[#This Row],[Estimated Concrete Demand (m³)]]&lt;10000,"Small",
IF(Market_Data[[#This Row],[Estimated Concrete Demand (m³)]]&lt;25000,"Medium",
IF(Market_Data[[#This Row],[Estimated Concrete Demand (m³)]]&lt;100000,"Large","Mega"))))</f>
        <v>Medium</v>
      </c>
      <c r="P2974" s="287" t="str">
        <f t="shared" si="48"/>
        <v>GujRERA</v>
      </c>
    </row>
    <row r="2975" spans="1:16">
      <c r="A2975" s="129" t="str">
        <f>_xlfn.XLOOKUP(B2975,$S$9:$S$14,$T$9:$T$14)&amp;"-"&amp;
IF(E2975="Residential/Group Housing","RES",
IF(E2975="Commercial","COM",
IF(E2975="Mixed Development","MIX",
IF(E2975="Plotted Development","PLT","OTH"))))
&amp;"-"&amp;TEXT(COUNTIFS($B$9:B2975,B2975,$E$9:E2975,E2975),"0000")</f>
        <v>VAL-MIX-0117</v>
      </c>
      <c r="B2975" s="322" t="s">
        <v>35</v>
      </c>
      <c r="C2975" s="322" t="s">
        <v>35</v>
      </c>
      <c r="D2975" s="323" t="s">
        <v>3164</v>
      </c>
      <c r="E2975" s="132" t="s">
        <v>25</v>
      </c>
      <c r="F2975" s="97" t="str">
        <f ca="1">IF(OR(Market_Data[[#This Row],[Start Date]]="",Market_Data[[#This Row],[Completion Date]]=""),"Needs Validation",IF(Market_Data[[#This Row],[Start Date]]&gt;TODAY(),"Planned",IF(Market_Data[[#This Row],[Completion Date]]&lt;TODAY(),"Completed","Ongoing")))</f>
        <v>Completed</v>
      </c>
      <c r="G2975" s="324">
        <v>43313</v>
      </c>
      <c r="H2975" s="324">
        <v>45323</v>
      </c>
      <c r="I2975" s="325">
        <v>16200</v>
      </c>
      <c r="J297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75" s="133">
        <f>_xlfn.XLOOKUP(Market_Data[[#This Row],[Project Type]],tbl_assumptions_market[Project Category (RERA)],tbl_assumptions_market[Concrete Intensity
(m³ / sq m BUA)],"",0)</f>
        <v>0.42</v>
      </c>
      <c r="L2975" s="134">
        <f>ROUND(Market_Data[[#This Row],[Estimated Built Up Area (sq m)]]*Market_Data[[#This Row],[Concrete Intensity
(m³ / sq m)]],0)</f>
        <v>6804</v>
      </c>
      <c r="M2975" s="135">
        <f>_xlfn.XLOOKUP(Market_Data[[#This Row],[District]],tbl_district_price[District],tbl_district_price[Standard Price
(INR/m³)],"",0)</f>
        <v>5600</v>
      </c>
      <c r="N2975" s="364">
        <f>IF(OR(Market_Data[[#This Row],[Estimated Concrete Demand (m³)]]="",Market_Data[[#This Row],[Avg Price per (₹ / m³)]]=""),"",Market_Data[[#This Row],[Estimated Concrete Demand (m³)]]*Market_Data[[#This Row],[Avg Price per (₹ / m³)]]/10000000)</f>
        <v>3.8102399999999998</v>
      </c>
      <c r="O2975" s="97" t="str">
        <f>IF(Market_Data[[#This Row],[Estimated Concrete Demand (m³)]]="","",
IF(Market_Data[[#This Row],[Estimated Concrete Demand (m³)]]&lt;10000,"Small",
IF(Market_Data[[#This Row],[Estimated Concrete Demand (m³)]]&lt;25000,"Medium",
IF(Market_Data[[#This Row],[Estimated Concrete Demand (m³)]]&lt;100000,"Large","Mega"))))</f>
        <v>Small</v>
      </c>
      <c r="P2975" s="287" t="str">
        <f t="shared" si="48"/>
        <v>GujRERA</v>
      </c>
    </row>
    <row r="2976" spans="1:16">
      <c r="A2976" s="129" t="str">
        <f>_xlfn.XLOOKUP(B2976,$S$9:$S$14,$T$9:$T$14)&amp;"-"&amp;
IF(E2976="Residential/Group Housing","RES",
IF(E2976="Commercial","COM",
IF(E2976="Mixed Development","MIX",
IF(E2976="Plotted Development","PLT","OTH"))))
&amp;"-"&amp;TEXT(COUNTIFS($B$9:B2976,B2976,$E$9:E2976,E2976),"0000")</f>
        <v>VAL-MIX-0118</v>
      </c>
      <c r="B2976" s="322" t="s">
        <v>35</v>
      </c>
      <c r="C2976" s="322" t="s">
        <v>35</v>
      </c>
      <c r="D2976" s="323" t="s">
        <v>3165</v>
      </c>
      <c r="E2976" s="132" t="s">
        <v>25</v>
      </c>
      <c r="F2976" s="97" t="str">
        <f ca="1">IF(OR(Market_Data[[#This Row],[Start Date]]="",Market_Data[[#This Row],[Completion Date]]=""),"Needs Validation",IF(Market_Data[[#This Row],[Start Date]]&gt;TODAY(),"Planned",IF(Market_Data[[#This Row],[Completion Date]]&lt;TODAY(),"Completed","Ongoing")))</f>
        <v>Completed</v>
      </c>
      <c r="G2976" s="324">
        <v>42826</v>
      </c>
      <c r="H2976" s="324">
        <v>43830</v>
      </c>
      <c r="I2976" s="325">
        <v>2800</v>
      </c>
      <c r="J297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976" s="133">
        <f>_xlfn.XLOOKUP(Market_Data[[#This Row],[Project Type]],tbl_assumptions_market[Project Category (RERA)],tbl_assumptions_market[Concrete Intensity
(m³ / sq m BUA)],"",0)</f>
        <v>0.42</v>
      </c>
      <c r="L2976" s="134">
        <f>ROUND(Market_Data[[#This Row],[Estimated Built Up Area (sq m)]]*Market_Data[[#This Row],[Concrete Intensity
(m³ / sq m)]],0)</f>
        <v>1176</v>
      </c>
      <c r="M2976" s="135">
        <f>_xlfn.XLOOKUP(Market_Data[[#This Row],[District]],tbl_district_price[District],tbl_district_price[Standard Price
(INR/m³)],"",0)</f>
        <v>5600</v>
      </c>
      <c r="N2976" s="364">
        <f>IF(OR(Market_Data[[#This Row],[Estimated Concrete Demand (m³)]]="",Market_Data[[#This Row],[Avg Price per (₹ / m³)]]=""),"",Market_Data[[#This Row],[Estimated Concrete Demand (m³)]]*Market_Data[[#This Row],[Avg Price per (₹ / m³)]]/10000000)</f>
        <v>0.65856000000000003</v>
      </c>
      <c r="O2976" s="97" t="str">
        <f>IF(Market_Data[[#This Row],[Estimated Concrete Demand (m³)]]="","",
IF(Market_Data[[#This Row],[Estimated Concrete Demand (m³)]]&lt;10000,"Small",
IF(Market_Data[[#This Row],[Estimated Concrete Demand (m³)]]&lt;25000,"Medium",
IF(Market_Data[[#This Row],[Estimated Concrete Demand (m³)]]&lt;100000,"Large","Mega"))))</f>
        <v>Small</v>
      </c>
      <c r="P2976" s="287" t="str">
        <f t="shared" si="48"/>
        <v>GujRERA</v>
      </c>
    </row>
    <row r="2977" spans="1:16">
      <c r="A2977" s="129" t="str">
        <f>_xlfn.XLOOKUP(B2977,$S$9:$S$14,$T$9:$T$14)&amp;"-"&amp;
IF(E2977="Residential/Group Housing","RES",
IF(E2977="Commercial","COM",
IF(E2977="Mixed Development","MIX",
IF(E2977="Plotted Development","PLT","OTH"))))
&amp;"-"&amp;TEXT(COUNTIFS($B$9:B2977,B2977,$E$9:E2977,E2977),"0000")</f>
        <v>VAL-MIX-0119</v>
      </c>
      <c r="B2977" s="322" t="s">
        <v>35</v>
      </c>
      <c r="C2977" s="322" t="s">
        <v>35</v>
      </c>
      <c r="D2977" s="323" t="s">
        <v>3166</v>
      </c>
      <c r="E2977" s="132" t="s">
        <v>25</v>
      </c>
      <c r="F2977" s="97" t="str">
        <f ca="1">IF(OR(Market_Data[[#This Row],[Start Date]]="",Market_Data[[#This Row],[Completion Date]]=""),"Needs Validation",IF(Market_Data[[#This Row],[Start Date]]&gt;TODAY(),"Planned",IF(Market_Data[[#This Row],[Completion Date]]&lt;TODAY(),"Completed","Ongoing")))</f>
        <v>Ongoing</v>
      </c>
      <c r="G2977" s="324">
        <v>45316</v>
      </c>
      <c r="H2977" s="324">
        <v>46752</v>
      </c>
      <c r="I2977" s="325">
        <v>49200</v>
      </c>
      <c r="J297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77" s="133">
        <f>_xlfn.XLOOKUP(Market_Data[[#This Row],[Project Type]],tbl_assumptions_market[Project Category (RERA)],tbl_assumptions_market[Concrete Intensity
(m³ / sq m BUA)],"",0)</f>
        <v>0.42</v>
      </c>
      <c r="L2977" s="134">
        <f>ROUND(Market_Data[[#This Row],[Estimated Built Up Area (sq m)]]*Market_Data[[#This Row],[Concrete Intensity
(m³ / sq m)]],0)</f>
        <v>20664</v>
      </c>
      <c r="M2977" s="135">
        <f>_xlfn.XLOOKUP(Market_Data[[#This Row],[District]],tbl_district_price[District],tbl_district_price[Standard Price
(INR/m³)],"",0)</f>
        <v>5600</v>
      </c>
      <c r="N2977" s="364">
        <f>IF(OR(Market_Data[[#This Row],[Estimated Concrete Demand (m³)]]="",Market_Data[[#This Row],[Avg Price per (₹ / m³)]]=""),"",Market_Data[[#This Row],[Estimated Concrete Demand (m³)]]*Market_Data[[#This Row],[Avg Price per (₹ / m³)]]/10000000)</f>
        <v>11.57184</v>
      </c>
      <c r="O2977" s="97" t="str">
        <f>IF(Market_Data[[#This Row],[Estimated Concrete Demand (m³)]]="","",
IF(Market_Data[[#This Row],[Estimated Concrete Demand (m³)]]&lt;10000,"Small",
IF(Market_Data[[#This Row],[Estimated Concrete Demand (m³)]]&lt;25000,"Medium",
IF(Market_Data[[#This Row],[Estimated Concrete Demand (m³)]]&lt;100000,"Large","Mega"))))</f>
        <v>Medium</v>
      </c>
      <c r="P2977" s="287" t="str">
        <f t="shared" si="48"/>
        <v>GujRERA</v>
      </c>
    </row>
    <row r="2978" spans="1:16">
      <c r="A2978" s="129" t="str">
        <f>_xlfn.XLOOKUP(B2978,$S$9:$S$14,$T$9:$T$14)&amp;"-"&amp;
IF(E2978="Residential/Group Housing","RES",
IF(E2978="Commercial","COM",
IF(E2978="Mixed Development","MIX",
IF(E2978="Plotted Development","PLT","OTH"))))
&amp;"-"&amp;TEXT(COUNTIFS($B$9:B2978,B2978,$E$9:E2978,E2978),"0000")</f>
        <v>VAL-COM-0023</v>
      </c>
      <c r="B2978" s="322" t="s">
        <v>35</v>
      </c>
      <c r="C2978" s="322" t="s">
        <v>35</v>
      </c>
      <c r="D2978" s="323" t="s">
        <v>3167</v>
      </c>
      <c r="E2978" s="132" t="s">
        <v>23</v>
      </c>
      <c r="F2978" s="97" t="str">
        <f ca="1">IF(OR(Market_Data[[#This Row],[Start Date]]="",Market_Data[[#This Row],[Completion Date]]=""),"Needs Validation",IF(Market_Data[[#This Row],[Start Date]]&gt;TODAY(),"Planned",IF(Market_Data[[#This Row],[Completion Date]]&lt;TODAY(),"Completed","Ongoing")))</f>
        <v>Completed</v>
      </c>
      <c r="G2978" s="324">
        <v>43090</v>
      </c>
      <c r="H2978" s="324">
        <v>44865</v>
      </c>
      <c r="I2978" s="325">
        <v>44500</v>
      </c>
      <c r="J297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978" s="133">
        <f>_xlfn.XLOOKUP(Market_Data[[#This Row],[Project Type]],tbl_assumptions_market[Project Category (RERA)],tbl_assumptions_market[Concrete Intensity
(m³ / sq m BUA)],"",0)</f>
        <v>0.5</v>
      </c>
      <c r="L2978" s="134">
        <f>ROUND(Market_Data[[#This Row],[Estimated Built Up Area (sq m)]]*Market_Data[[#This Row],[Concrete Intensity
(m³ / sq m)]],0)</f>
        <v>22250</v>
      </c>
      <c r="M2978" s="135">
        <f>_xlfn.XLOOKUP(Market_Data[[#This Row],[District]],tbl_district_price[District],tbl_district_price[Standard Price
(INR/m³)],"",0)</f>
        <v>5600</v>
      </c>
      <c r="N2978" s="364">
        <f>IF(OR(Market_Data[[#This Row],[Estimated Concrete Demand (m³)]]="",Market_Data[[#This Row],[Avg Price per (₹ / m³)]]=""),"",Market_Data[[#This Row],[Estimated Concrete Demand (m³)]]*Market_Data[[#This Row],[Avg Price per (₹ / m³)]]/10000000)</f>
        <v>12.46</v>
      </c>
      <c r="O2978" s="97" t="str">
        <f>IF(Market_Data[[#This Row],[Estimated Concrete Demand (m³)]]="","",
IF(Market_Data[[#This Row],[Estimated Concrete Demand (m³)]]&lt;10000,"Small",
IF(Market_Data[[#This Row],[Estimated Concrete Demand (m³)]]&lt;25000,"Medium",
IF(Market_Data[[#This Row],[Estimated Concrete Demand (m³)]]&lt;100000,"Large","Mega"))))</f>
        <v>Medium</v>
      </c>
      <c r="P2978" s="287" t="str">
        <f t="shared" si="48"/>
        <v>GujRERA</v>
      </c>
    </row>
    <row r="2979" spans="1:16">
      <c r="A2979" s="129" t="str">
        <f>_xlfn.XLOOKUP(B2979,$S$9:$S$14,$T$9:$T$14)&amp;"-"&amp;
IF(E2979="Residential/Group Housing","RES",
IF(E2979="Commercial","COM",
IF(E2979="Mixed Development","MIX",
IF(E2979="Plotted Development","PLT","OTH"))))
&amp;"-"&amp;TEXT(COUNTIFS($B$9:B2979,B2979,$E$9:E2979,E2979),"0000")</f>
        <v>VAL-MIX-0120</v>
      </c>
      <c r="B2979" s="322" t="s">
        <v>35</v>
      </c>
      <c r="C2979" s="322" t="s">
        <v>35</v>
      </c>
      <c r="D2979" s="323" t="s">
        <v>3168</v>
      </c>
      <c r="E2979" s="132" t="s">
        <v>25</v>
      </c>
      <c r="F2979" s="97" t="str">
        <f ca="1">IF(OR(Market_Data[[#This Row],[Start Date]]="",Market_Data[[#This Row],[Completion Date]]=""),"Needs Validation",IF(Market_Data[[#This Row],[Start Date]]&gt;TODAY(),"Planned",IF(Market_Data[[#This Row],[Completion Date]]&lt;TODAY(),"Completed","Ongoing")))</f>
        <v>Completed</v>
      </c>
      <c r="G2979" s="324">
        <v>44409</v>
      </c>
      <c r="H2979" s="324">
        <v>45656</v>
      </c>
      <c r="I2979" s="325">
        <v>8400</v>
      </c>
      <c r="J297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979" s="133">
        <f>_xlfn.XLOOKUP(Market_Data[[#This Row],[Project Type]],tbl_assumptions_market[Project Category (RERA)],tbl_assumptions_market[Concrete Intensity
(m³ / sq m BUA)],"",0)</f>
        <v>0.42</v>
      </c>
      <c r="L2979" s="134">
        <f>ROUND(Market_Data[[#This Row],[Estimated Built Up Area (sq m)]]*Market_Data[[#This Row],[Concrete Intensity
(m³ / sq m)]],0)</f>
        <v>3528</v>
      </c>
      <c r="M2979" s="135">
        <f>_xlfn.XLOOKUP(Market_Data[[#This Row],[District]],tbl_district_price[District],tbl_district_price[Standard Price
(INR/m³)],"",0)</f>
        <v>5600</v>
      </c>
      <c r="N2979" s="364">
        <f>IF(OR(Market_Data[[#This Row],[Estimated Concrete Demand (m³)]]="",Market_Data[[#This Row],[Avg Price per (₹ / m³)]]=""),"",Market_Data[[#This Row],[Estimated Concrete Demand (m³)]]*Market_Data[[#This Row],[Avg Price per (₹ / m³)]]/10000000)</f>
        <v>1.9756800000000001</v>
      </c>
      <c r="O2979" s="97" t="str">
        <f>IF(Market_Data[[#This Row],[Estimated Concrete Demand (m³)]]="","",
IF(Market_Data[[#This Row],[Estimated Concrete Demand (m³)]]&lt;10000,"Small",
IF(Market_Data[[#This Row],[Estimated Concrete Demand (m³)]]&lt;25000,"Medium",
IF(Market_Data[[#This Row],[Estimated Concrete Demand (m³)]]&lt;100000,"Large","Mega"))))</f>
        <v>Small</v>
      </c>
      <c r="P2979" s="287" t="str">
        <f t="shared" si="48"/>
        <v>GujRERA</v>
      </c>
    </row>
    <row r="2980" spans="1:16">
      <c r="A2980" s="129" t="str">
        <f>_xlfn.XLOOKUP(B2980,$S$9:$S$14,$T$9:$T$14)&amp;"-"&amp;
IF(E2980="Residential/Group Housing","RES",
IF(E2980="Commercial","COM",
IF(E2980="Mixed Development","MIX",
IF(E2980="Plotted Development","PLT","OTH"))))
&amp;"-"&amp;TEXT(COUNTIFS($B$9:B2980,B2980,$E$9:E2980,E2980),"0000")</f>
        <v>VAL-MIX-0121</v>
      </c>
      <c r="B2980" s="322" t="s">
        <v>35</v>
      </c>
      <c r="C2980" s="322" t="s">
        <v>35</v>
      </c>
      <c r="D2980" s="323" t="s">
        <v>3169</v>
      </c>
      <c r="E2980" s="132" t="s">
        <v>25</v>
      </c>
      <c r="F2980" s="97" t="str">
        <f ca="1">IF(OR(Market_Data[[#This Row],[Start Date]]="",Market_Data[[#This Row],[Completion Date]]=""),"Needs Validation",IF(Market_Data[[#This Row],[Start Date]]&gt;TODAY(),"Planned",IF(Market_Data[[#This Row],[Completion Date]]&lt;TODAY(),"Completed","Ongoing")))</f>
        <v>Ongoing</v>
      </c>
      <c r="G2980" s="324">
        <v>44837</v>
      </c>
      <c r="H2980" s="324">
        <v>46381</v>
      </c>
      <c r="I2980" s="325">
        <v>24300</v>
      </c>
      <c r="J298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80" s="133">
        <f>_xlfn.XLOOKUP(Market_Data[[#This Row],[Project Type]],tbl_assumptions_market[Project Category (RERA)],tbl_assumptions_market[Concrete Intensity
(m³ / sq m BUA)],"",0)</f>
        <v>0.42</v>
      </c>
      <c r="L2980" s="134">
        <f>ROUND(Market_Data[[#This Row],[Estimated Built Up Area (sq m)]]*Market_Data[[#This Row],[Concrete Intensity
(m³ / sq m)]],0)</f>
        <v>10206</v>
      </c>
      <c r="M2980" s="135">
        <f>_xlfn.XLOOKUP(Market_Data[[#This Row],[District]],tbl_district_price[District],tbl_district_price[Standard Price
(INR/m³)],"",0)</f>
        <v>5600</v>
      </c>
      <c r="N2980" s="364">
        <f>IF(OR(Market_Data[[#This Row],[Estimated Concrete Demand (m³)]]="",Market_Data[[#This Row],[Avg Price per (₹ / m³)]]=""),"",Market_Data[[#This Row],[Estimated Concrete Demand (m³)]]*Market_Data[[#This Row],[Avg Price per (₹ / m³)]]/10000000)</f>
        <v>5.7153600000000004</v>
      </c>
      <c r="O2980" s="97" t="str">
        <f>IF(Market_Data[[#This Row],[Estimated Concrete Demand (m³)]]="","",
IF(Market_Data[[#This Row],[Estimated Concrete Demand (m³)]]&lt;10000,"Small",
IF(Market_Data[[#This Row],[Estimated Concrete Demand (m³)]]&lt;25000,"Medium",
IF(Market_Data[[#This Row],[Estimated Concrete Demand (m³)]]&lt;100000,"Large","Mega"))))</f>
        <v>Medium</v>
      </c>
      <c r="P2980" s="287" t="str">
        <f t="shared" si="48"/>
        <v>GujRERA</v>
      </c>
    </row>
    <row r="2981" spans="1:16">
      <c r="A2981" s="129" t="str">
        <f>_xlfn.XLOOKUP(B2981,$S$9:$S$14,$T$9:$T$14)&amp;"-"&amp;
IF(E2981="Residential/Group Housing","RES",
IF(E2981="Commercial","COM",
IF(E2981="Mixed Development","MIX",
IF(E2981="Plotted Development","PLT","OTH"))))
&amp;"-"&amp;TEXT(COUNTIFS($B$9:B2981,B2981,$E$9:E2981,E2981),"0000")</f>
        <v>VAL-RES-0109</v>
      </c>
      <c r="B2981" s="322" t="s">
        <v>35</v>
      </c>
      <c r="C2981" s="322" t="s">
        <v>35</v>
      </c>
      <c r="D2981" s="323" t="s">
        <v>3170</v>
      </c>
      <c r="E2981" s="132" t="s">
        <v>24</v>
      </c>
      <c r="F2981" s="97" t="str">
        <f ca="1">IF(OR(Market_Data[[#This Row],[Start Date]]="",Market_Data[[#This Row],[Completion Date]]=""),"Needs Validation",IF(Market_Data[[#This Row],[Start Date]]&gt;TODAY(),"Planned",IF(Market_Data[[#This Row],[Completion Date]]&lt;TODAY(),"Completed","Ongoing")))</f>
        <v>Completed</v>
      </c>
      <c r="G2981" s="324">
        <v>42773</v>
      </c>
      <c r="H2981" s="324">
        <v>43897</v>
      </c>
      <c r="I2981" s="325">
        <v>78900</v>
      </c>
      <c r="J298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981" s="133">
        <f>_xlfn.XLOOKUP(Market_Data[[#This Row],[Project Type]],tbl_assumptions_market[Project Category (RERA)],tbl_assumptions_market[Concrete Intensity
(m³ / sq m BUA)],"",0)</f>
        <v>0.45</v>
      </c>
      <c r="L2981" s="134">
        <f>ROUND(Market_Data[[#This Row],[Estimated Built Up Area (sq m)]]*Market_Data[[#This Row],[Concrete Intensity
(m³ / sq m)]],0)</f>
        <v>35505</v>
      </c>
      <c r="M2981" s="135">
        <f>_xlfn.XLOOKUP(Market_Data[[#This Row],[District]],tbl_district_price[District],tbl_district_price[Standard Price
(INR/m³)],"",0)</f>
        <v>5600</v>
      </c>
      <c r="N2981" s="364">
        <f>IF(OR(Market_Data[[#This Row],[Estimated Concrete Demand (m³)]]="",Market_Data[[#This Row],[Avg Price per (₹ / m³)]]=""),"",Market_Data[[#This Row],[Estimated Concrete Demand (m³)]]*Market_Data[[#This Row],[Avg Price per (₹ / m³)]]/10000000)</f>
        <v>19.8828</v>
      </c>
      <c r="O2981" s="97" t="str">
        <f>IF(Market_Data[[#This Row],[Estimated Concrete Demand (m³)]]="","",
IF(Market_Data[[#This Row],[Estimated Concrete Demand (m³)]]&lt;10000,"Small",
IF(Market_Data[[#This Row],[Estimated Concrete Demand (m³)]]&lt;25000,"Medium",
IF(Market_Data[[#This Row],[Estimated Concrete Demand (m³)]]&lt;100000,"Large","Mega"))))</f>
        <v>Large</v>
      </c>
      <c r="P2981" s="287" t="str">
        <f t="shared" si="48"/>
        <v>GujRERA</v>
      </c>
    </row>
    <row r="2982" spans="1:16">
      <c r="A2982" s="129" t="str">
        <f>_xlfn.XLOOKUP(B2982,$S$9:$S$14,$T$9:$T$14)&amp;"-"&amp;
IF(E2982="Residential/Group Housing","RES",
IF(E2982="Commercial","COM",
IF(E2982="Mixed Development","MIX",
IF(E2982="Plotted Development","PLT","OTH"))))
&amp;"-"&amp;TEXT(COUNTIFS($B$9:B2982,B2982,$E$9:E2982,E2982),"0000")</f>
        <v>VAL-RES-0110</v>
      </c>
      <c r="B2982" s="322" t="s">
        <v>35</v>
      </c>
      <c r="C2982" s="322" t="s">
        <v>35</v>
      </c>
      <c r="D2982" s="323" t="s">
        <v>3171</v>
      </c>
      <c r="E2982" s="132" t="s">
        <v>24</v>
      </c>
      <c r="F2982" s="97" t="str">
        <f ca="1">IF(OR(Market_Data[[#This Row],[Start Date]]="",Market_Data[[#This Row],[Completion Date]]=""),"Needs Validation",IF(Market_Data[[#This Row],[Start Date]]&gt;TODAY(),"Planned",IF(Market_Data[[#This Row],[Completion Date]]&lt;TODAY(),"Completed","Ongoing")))</f>
        <v>Completed</v>
      </c>
      <c r="G2982" s="324">
        <v>43525</v>
      </c>
      <c r="H2982" s="324">
        <v>46203</v>
      </c>
      <c r="I2982" s="325">
        <v>136900</v>
      </c>
      <c r="J298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982" s="133">
        <f>_xlfn.XLOOKUP(Market_Data[[#This Row],[Project Type]],tbl_assumptions_market[Project Category (RERA)],tbl_assumptions_market[Concrete Intensity
(m³ / sq m BUA)],"",0)</f>
        <v>0.45</v>
      </c>
      <c r="L2982" s="134">
        <f>ROUND(Market_Data[[#This Row],[Estimated Built Up Area (sq m)]]*Market_Data[[#This Row],[Concrete Intensity
(m³ / sq m)]],0)</f>
        <v>61605</v>
      </c>
      <c r="M2982" s="135">
        <f>_xlfn.XLOOKUP(Market_Data[[#This Row],[District]],tbl_district_price[District],tbl_district_price[Standard Price
(INR/m³)],"",0)</f>
        <v>5600</v>
      </c>
      <c r="N2982" s="364">
        <f>IF(OR(Market_Data[[#This Row],[Estimated Concrete Demand (m³)]]="",Market_Data[[#This Row],[Avg Price per (₹ / m³)]]=""),"",Market_Data[[#This Row],[Estimated Concrete Demand (m³)]]*Market_Data[[#This Row],[Avg Price per (₹ / m³)]]/10000000)</f>
        <v>34.498800000000003</v>
      </c>
      <c r="O2982" s="97" t="str">
        <f>IF(Market_Data[[#This Row],[Estimated Concrete Demand (m³)]]="","",
IF(Market_Data[[#This Row],[Estimated Concrete Demand (m³)]]&lt;10000,"Small",
IF(Market_Data[[#This Row],[Estimated Concrete Demand (m³)]]&lt;25000,"Medium",
IF(Market_Data[[#This Row],[Estimated Concrete Demand (m³)]]&lt;100000,"Large","Mega"))))</f>
        <v>Large</v>
      </c>
      <c r="P2982" s="287" t="str">
        <f t="shared" si="48"/>
        <v>GujRERA</v>
      </c>
    </row>
    <row r="2983" spans="1:16">
      <c r="A2983" s="129" t="str">
        <f>_xlfn.XLOOKUP(B2983,$S$9:$S$14,$T$9:$T$14)&amp;"-"&amp;
IF(E2983="Residential/Group Housing","RES",
IF(E2983="Commercial","COM",
IF(E2983="Mixed Development","MIX",
IF(E2983="Plotted Development","PLT","OTH"))))
&amp;"-"&amp;TEXT(COUNTIFS($B$9:B2983,B2983,$E$9:E2983,E2983),"0000")</f>
        <v>VAL-RES-0111</v>
      </c>
      <c r="B2983" s="322" t="s">
        <v>35</v>
      </c>
      <c r="C2983" s="322" t="s">
        <v>35</v>
      </c>
      <c r="D2983" s="323" t="s">
        <v>3172</v>
      </c>
      <c r="E2983" s="132" t="s">
        <v>24</v>
      </c>
      <c r="F2983" s="97" t="str">
        <f ca="1">IF(OR(Market_Data[[#This Row],[Start Date]]="",Market_Data[[#This Row],[Completion Date]]=""),"Needs Validation",IF(Market_Data[[#This Row],[Start Date]]&gt;TODAY(),"Planned",IF(Market_Data[[#This Row],[Completion Date]]&lt;TODAY(),"Completed","Ongoing")))</f>
        <v>Ongoing</v>
      </c>
      <c r="G2983" s="324">
        <v>45448</v>
      </c>
      <c r="H2983" s="324">
        <v>46752</v>
      </c>
      <c r="I2983" s="325">
        <v>131500</v>
      </c>
      <c r="J298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983" s="133">
        <f>_xlfn.XLOOKUP(Market_Data[[#This Row],[Project Type]],tbl_assumptions_market[Project Category (RERA)],tbl_assumptions_market[Concrete Intensity
(m³ / sq m BUA)],"",0)</f>
        <v>0.45</v>
      </c>
      <c r="L2983" s="134">
        <f>ROUND(Market_Data[[#This Row],[Estimated Built Up Area (sq m)]]*Market_Data[[#This Row],[Concrete Intensity
(m³ / sq m)]],0)</f>
        <v>59175</v>
      </c>
      <c r="M2983" s="135">
        <f>_xlfn.XLOOKUP(Market_Data[[#This Row],[District]],tbl_district_price[District],tbl_district_price[Standard Price
(INR/m³)],"",0)</f>
        <v>5600</v>
      </c>
      <c r="N2983" s="364">
        <f>IF(OR(Market_Data[[#This Row],[Estimated Concrete Demand (m³)]]="",Market_Data[[#This Row],[Avg Price per (₹ / m³)]]=""),"",Market_Data[[#This Row],[Estimated Concrete Demand (m³)]]*Market_Data[[#This Row],[Avg Price per (₹ / m³)]]/10000000)</f>
        <v>33.137999999999998</v>
      </c>
      <c r="O2983" s="97" t="str">
        <f>IF(Market_Data[[#This Row],[Estimated Concrete Demand (m³)]]="","",
IF(Market_Data[[#This Row],[Estimated Concrete Demand (m³)]]&lt;10000,"Small",
IF(Market_Data[[#This Row],[Estimated Concrete Demand (m³)]]&lt;25000,"Medium",
IF(Market_Data[[#This Row],[Estimated Concrete Demand (m³)]]&lt;100000,"Large","Mega"))))</f>
        <v>Large</v>
      </c>
      <c r="P2983" s="287" t="str">
        <f t="shared" si="48"/>
        <v>GujRERA</v>
      </c>
    </row>
    <row r="2984" spans="1:16">
      <c r="A2984" s="129" t="str">
        <f>_xlfn.XLOOKUP(B2984,$S$9:$S$14,$T$9:$T$14)&amp;"-"&amp;
IF(E2984="Residential/Group Housing","RES",
IF(E2984="Commercial","COM",
IF(E2984="Mixed Development","MIX",
IF(E2984="Plotted Development","PLT","OTH"))))
&amp;"-"&amp;TEXT(COUNTIFS($B$9:B2984,B2984,$E$9:E2984,E2984),"0000")</f>
        <v>VAL-RES-0112</v>
      </c>
      <c r="B2984" s="322" t="s">
        <v>35</v>
      </c>
      <c r="C2984" s="322" t="s">
        <v>35</v>
      </c>
      <c r="D2984" s="323" t="s">
        <v>3173</v>
      </c>
      <c r="E2984" s="132" t="s">
        <v>24</v>
      </c>
      <c r="F2984" s="97" t="str">
        <f ca="1">IF(OR(Market_Data[[#This Row],[Start Date]]="",Market_Data[[#This Row],[Completion Date]]=""),"Needs Validation",IF(Market_Data[[#This Row],[Start Date]]&gt;TODAY(),"Planned",IF(Market_Data[[#This Row],[Completion Date]]&lt;TODAY(),"Completed","Ongoing")))</f>
        <v>Ongoing</v>
      </c>
      <c r="G2984" s="324">
        <v>45436</v>
      </c>
      <c r="H2984" s="324">
        <v>47483</v>
      </c>
      <c r="I2984" s="325">
        <v>11500</v>
      </c>
      <c r="J298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84" s="133">
        <f>_xlfn.XLOOKUP(Market_Data[[#This Row],[Project Type]],tbl_assumptions_market[Project Category (RERA)],tbl_assumptions_market[Concrete Intensity
(m³ / sq m BUA)],"",0)</f>
        <v>0.45</v>
      </c>
      <c r="L2984" s="134">
        <f>ROUND(Market_Data[[#This Row],[Estimated Built Up Area (sq m)]]*Market_Data[[#This Row],[Concrete Intensity
(m³ / sq m)]],0)</f>
        <v>5175</v>
      </c>
      <c r="M2984" s="135">
        <f>_xlfn.XLOOKUP(Market_Data[[#This Row],[District]],tbl_district_price[District],tbl_district_price[Standard Price
(INR/m³)],"",0)</f>
        <v>5600</v>
      </c>
      <c r="N2984" s="364">
        <f>IF(OR(Market_Data[[#This Row],[Estimated Concrete Demand (m³)]]="",Market_Data[[#This Row],[Avg Price per (₹ / m³)]]=""),"",Market_Data[[#This Row],[Estimated Concrete Demand (m³)]]*Market_Data[[#This Row],[Avg Price per (₹ / m³)]]/10000000)</f>
        <v>2.8980000000000001</v>
      </c>
      <c r="O2984" s="97" t="str">
        <f>IF(Market_Data[[#This Row],[Estimated Concrete Demand (m³)]]="","",
IF(Market_Data[[#This Row],[Estimated Concrete Demand (m³)]]&lt;10000,"Small",
IF(Market_Data[[#This Row],[Estimated Concrete Demand (m³)]]&lt;25000,"Medium",
IF(Market_Data[[#This Row],[Estimated Concrete Demand (m³)]]&lt;100000,"Large","Mega"))))</f>
        <v>Small</v>
      </c>
      <c r="P2984" s="287" t="str">
        <f t="shared" si="48"/>
        <v>GujRERA</v>
      </c>
    </row>
    <row r="2985" spans="1:16">
      <c r="A2985" s="129" t="str">
        <f>_xlfn.XLOOKUP(B2985,$S$9:$S$14,$T$9:$T$14)&amp;"-"&amp;
IF(E2985="Residential/Group Housing","RES",
IF(E2985="Commercial","COM",
IF(E2985="Mixed Development","MIX",
IF(E2985="Plotted Development","PLT","OTH"))))
&amp;"-"&amp;TEXT(COUNTIFS($B$9:B2985,B2985,$E$9:E2985,E2985),"0000")</f>
        <v>VAL-RES-0113</v>
      </c>
      <c r="B2985" s="322" t="s">
        <v>35</v>
      </c>
      <c r="C2985" s="322" t="s">
        <v>35</v>
      </c>
      <c r="D2985" s="323" t="s">
        <v>3174</v>
      </c>
      <c r="E2985" s="132" t="s">
        <v>24</v>
      </c>
      <c r="F2985" s="97" t="str">
        <f ca="1">IF(OR(Market_Data[[#This Row],[Start Date]]="",Market_Data[[#This Row],[Completion Date]]=""),"Needs Validation",IF(Market_Data[[#This Row],[Start Date]]&gt;TODAY(),"Planned",IF(Market_Data[[#This Row],[Completion Date]]&lt;TODAY(),"Completed","Ongoing")))</f>
        <v>Ongoing</v>
      </c>
      <c r="G2985" s="324">
        <v>45436</v>
      </c>
      <c r="H2985" s="324">
        <v>47483</v>
      </c>
      <c r="I2985" s="325">
        <v>53700</v>
      </c>
      <c r="J298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85" s="133">
        <f>_xlfn.XLOOKUP(Market_Data[[#This Row],[Project Type]],tbl_assumptions_market[Project Category (RERA)],tbl_assumptions_market[Concrete Intensity
(m³ / sq m BUA)],"",0)</f>
        <v>0.45</v>
      </c>
      <c r="L2985" s="134">
        <f>ROUND(Market_Data[[#This Row],[Estimated Built Up Area (sq m)]]*Market_Data[[#This Row],[Concrete Intensity
(m³ / sq m)]],0)</f>
        <v>24165</v>
      </c>
      <c r="M2985" s="135">
        <f>_xlfn.XLOOKUP(Market_Data[[#This Row],[District]],tbl_district_price[District],tbl_district_price[Standard Price
(INR/m³)],"",0)</f>
        <v>5600</v>
      </c>
      <c r="N2985" s="364">
        <f>IF(OR(Market_Data[[#This Row],[Estimated Concrete Demand (m³)]]="",Market_Data[[#This Row],[Avg Price per (₹ / m³)]]=""),"",Market_Data[[#This Row],[Estimated Concrete Demand (m³)]]*Market_Data[[#This Row],[Avg Price per (₹ / m³)]]/10000000)</f>
        <v>13.532400000000001</v>
      </c>
      <c r="O2985" s="97" t="str">
        <f>IF(Market_Data[[#This Row],[Estimated Concrete Demand (m³)]]="","",
IF(Market_Data[[#This Row],[Estimated Concrete Demand (m³)]]&lt;10000,"Small",
IF(Market_Data[[#This Row],[Estimated Concrete Demand (m³)]]&lt;25000,"Medium",
IF(Market_Data[[#This Row],[Estimated Concrete Demand (m³)]]&lt;100000,"Large","Mega"))))</f>
        <v>Medium</v>
      </c>
      <c r="P2985" s="287" t="str">
        <f t="shared" si="48"/>
        <v>GujRERA</v>
      </c>
    </row>
    <row r="2986" spans="1:16">
      <c r="A2986" s="129" t="str">
        <f>_xlfn.XLOOKUP(B2986,$S$9:$S$14,$T$9:$T$14)&amp;"-"&amp;
IF(E2986="Residential/Group Housing","RES",
IF(E2986="Commercial","COM",
IF(E2986="Mixed Development","MIX",
IF(E2986="Plotted Development","PLT","OTH"))))
&amp;"-"&amp;TEXT(COUNTIFS($B$9:B2986,B2986,$E$9:E2986,E2986),"0000")</f>
        <v>VAL-MIX-0122</v>
      </c>
      <c r="B2986" s="322" t="s">
        <v>35</v>
      </c>
      <c r="C2986" s="322" t="s">
        <v>35</v>
      </c>
      <c r="D2986" s="323" t="s">
        <v>3175</v>
      </c>
      <c r="E2986" s="132" t="s">
        <v>25</v>
      </c>
      <c r="F2986" s="97" t="str">
        <f ca="1">IF(OR(Market_Data[[#This Row],[Start Date]]="",Market_Data[[#This Row],[Completion Date]]=""),"Needs Validation",IF(Market_Data[[#This Row],[Start Date]]&gt;TODAY(),"Planned",IF(Market_Data[[#This Row],[Completion Date]]&lt;TODAY(),"Completed","Ongoing")))</f>
        <v>Ongoing</v>
      </c>
      <c r="G2986" s="324">
        <v>45597</v>
      </c>
      <c r="H2986" s="324">
        <v>47482</v>
      </c>
      <c r="I2986" s="325">
        <v>4400</v>
      </c>
      <c r="J298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2986" s="133">
        <f>_xlfn.XLOOKUP(Market_Data[[#This Row],[Project Type]],tbl_assumptions_market[Project Category (RERA)],tbl_assumptions_market[Concrete Intensity
(m³ / sq m BUA)],"",0)</f>
        <v>0.42</v>
      </c>
      <c r="L2986" s="134">
        <f>ROUND(Market_Data[[#This Row],[Estimated Built Up Area (sq m)]]*Market_Data[[#This Row],[Concrete Intensity
(m³ / sq m)]],0)</f>
        <v>1848</v>
      </c>
      <c r="M2986" s="135">
        <f>_xlfn.XLOOKUP(Market_Data[[#This Row],[District]],tbl_district_price[District],tbl_district_price[Standard Price
(INR/m³)],"",0)</f>
        <v>5600</v>
      </c>
      <c r="N2986" s="364">
        <f>IF(OR(Market_Data[[#This Row],[Estimated Concrete Demand (m³)]]="",Market_Data[[#This Row],[Avg Price per (₹ / m³)]]=""),"",Market_Data[[#This Row],[Estimated Concrete Demand (m³)]]*Market_Data[[#This Row],[Avg Price per (₹ / m³)]]/10000000)</f>
        <v>1.03488</v>
      </c>
      <c r="O2986" s="97" t="str">
        <f>IF(Market_Data[[#This Row],[Estimated Concrete Demand (m³)]]="","",
IF(Market_Data[[#This Row],[Estimated Concrete Demand (m³)]]&lt;10000,"Small",
IF(Market_Data[[#This Row],[Estimated Concrete Demand (m³)]]&lt;25000,"Medium",
IF(Market_Data[[#This Row],[Estimated Concrete Demand (m³)]]&lt;100000,"Large","Mega"))))</f>
        <v>Small</v>
      </c>
      <c r="P2986" s="287" t="str">
        <f t="shared" si="48"/>
        <v>GujRERA</v>
      </c>
    </row>
    <row r="2987" spans="1:16">
      <c r="A2987" s="129" t="str">
        <f>_xlfn.XLOOKUP(B2987,$S$9:$S$14,$T$9:$T$14)&amp;"-"&amp;
IF(E2987="Residential/Group Housing","RES",
IF(E2987="Commercial","COM",
IF(E2987="Mixed Development","MIX",
IF(E2987="Plotted Development","PLT","OTH"))))
&amp;"-"&amp;TEXT(COUNTIFS($B$9:B2987,B2987,$E$9:E2987,E2987),"0000")</f>
        <v>VAL-COM-0024</v>
      </c>
      <c r="B2987" s="322" t="s">
        <v>35</v>
      </c>
      <c r="C2987" s="322" t="s">
        <v>35</v>
      </c>
      <c r="D2987" s="323" t="s">
        <v>3176</v>
      </c>
      <c r="E2987" s="132" t="s">
        <v>23</v>
      </c>
      <c r="F2987" s="97" t="str">
        <f ca="1">IF(OR(Market_Data[[#This Row],[Start Date]]="",Market_Data[[#This Row],[Completion Date]]=""),"Needs Validation",IF(Market_Data[[#This Row],[Start Date]]&gt;TODAY(),"Planned",IF(Market_Data[[#This Row],[Completion Date]]&lt;TODAY(),"Completed","Ongoing")))</f>
        <v>Ongoing</v>
      </c>
      <c r="G2987" s="324">
        <v>45536</v>
      </c>
      <c r="H2987" s="324">
        <v>47483</v>
      </c>
      <c r="I2987" s="325">
        <v>14600</v>
      </c>
      <c r="J298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87" s="133">
        <f>_xlfn.XLOOKUP(Market_Data[[#This Row],[Project Type]],tbl_assumptions_market[Project Category (RERA)],tbl_assumptions_market[Concrete Intensity
(m³ / sq m BUA)],"",0)</f>
        <v>0.5</v>
      </c>
      <c r="L2987" s="134">
        <f>ROUND(Market_Data[[#This Row],[Estimated Built Up Area (sq m)]]*Market_Data[[#This Row],[Concrete Intensity
(m³ / sq m)]],0)</f>
        <v>7300</v>
      </c>
      <c r="M2987" s="135">
        <f>_xlfn.XLOOKUP(Market_Data[[#This Row],[District]],tbl_district_price[District],tbl_district_price[Standard Price
(INR/m³)],"",0)</f>
        <v>5600</v>
      </c>
      <c r="N2987" s="364">
        <f>IF(OR(Market_Data[[#This Row],[Estimated Concrete Demand (m³)]]="",Market_Data[[#This Row],[Avg Price per (₹ / m³)]]=""),"",Market_Data[[#This Row],[Estimated Concrete Demand (m³)]]*Market_Data[[#This Row],[Avg Price per (₹ / m³)]]/10000000)</f>
        <v>4.0880000000000001</v>
      </c>
      <c r="O2987" s="97" t="str">
        <f>IF(Market_Data[[#This Row],[Estimated Concrete Demand (m³)]]="","",
IF(Market_Data[[#This Row],[Estimated Concrete Demand (m³)]]&lt;10000,"Small",
IF(Market_Data[[#This Row],[Estimated Concrete Demand (m³)]]&lt;25000,"Medium",
IF(Market_Data[[#This Row],[Estimated Concrete Demand (m³)]]&lt;100000,"Large","Mega"))))</f>
        <v>Small</v>
      </c>
      <c r="P2987" s="287" t="str">
        <f t="shared" si="48"/>
        <v>GujRERA</v>
      </c>
    </row>
    <row r="2988" spans="1:16">
      <c r="A2988" s="129" t="str">
        <f>_xlfn.XLOOKUP(B2988,$S$9:$S$14,$T$9:$T$14)&amp;"-"&amp;
IF(E2988="Residential/Group Housing","RES",
IF(E2988="Commercial","COM",
IF(E2988="Mixed Development","MIX",
IF(E2988="Plotted Development","PLT","OTH"))))
&amp;"-"&amp;TEXT(COUNTIFS($B$9:B2988,B2988,$E$9:E2988,E2988),"0000")</f>
        <v>VAL-MIX-0123</v>
      </c>
      <c r="B2988" s="322" t="s">
        <v>35</v>
      </c>
      <c r="C2988" s="322" t="s">
        <v>35</v>
      </c>
      <c r="D2988" s="323" t="s">
        <v>3177</v>
      </c>
      <c r="E2988" s="132" t="s">
        <v>25</v>
      </c>
      <c r="F2988" s="97" t="str">
        <f ca="1">IF(OR(Market_Data[[#This Row],[Start Date]]="",Market_Data[[#This Row],[Completion Date]]=""),"Needs Validation",IF(Market_Data[[#This Row],[Start Date]]&gt;TODAY(),"Planned",IF(Market_Data[[#This Row],[Completion Date]]&lt;TODAY(),"Completed","Ongoing")))</f>
        <v>Ongoing</v>
      </c>
      <c r="G2988" s="324">
        <v>43774</v>
      </c>
      <c r="H2988" s="324">
        <v>46568</v>
      </c>
      <c r="I2988" s="325">
        <v>24700</v>
      </c>
      <c r="J298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88" s="133">
        <f>_xlfn.XLOOKUP(Market_Data[[#This Row],[Project Type]],tbl_assumptions_market[Project Category (RERA)],tbl_assumptions_market[Concrete Intensity
(m³ / sq m BUA)],"",0)</f>
        <v>0.42</v>
      </c>
      <c r="L2988" s="134">
        <f>ROUND(Market_Data[[#This Row],[Estimated Built Up Area (sq m)]]*Market_Data[[#This Row],[Concrete Intensity
(m³ / sq m)]],0)</f>
        <v>10374</v>
      </c>
      <c r="M2988" s="135">
        <f>_xlfn.XLOOKUP(Market_Data[[#This Row],[District]],tbl_district_price[District],tbl_district_price[Standard Price
(INR/m³)],"",0)</f>
        <v>5600</v>
      </c>
      <c r="N2988" s="364">
        <f>IF(OR(Market_Data[[#This Row],[Estimated Concrete Demand (m³)]]="",Market_Data[[#This Row],[Avg Price per (₹ / m³)]]=""),"",Market_Data[[#This Row],[Estimated Concrete Demand (m³)]]*Market_Data[[#This Row],[Avg Price per (₹ / m³)]]/10000000)</f>
        <v>5.8094400000000004</v>
      </c>
      <c r="O2988" s="97" t="str">
        <f>IF(Market_Data[[#This Row],[Estimated Concrete Demand (m³)]]="","",
IF(Market_Data[[#This Row],[Estimated Concrete Demand (m³)]]&lt;10000,"Small",
IF(Market_Data[[#This Row],[Estimated Concrete Demand (m³)]]&lt;25000,"Medium",
IF(Market_Data[[#This Row],[Estimated Concrete Demand (m³)]]&lt;100000,"Large","Mega"))))</f>
        <v>Medium</v>
      </c>
      <c r="P2988" s="287" t="str">
        <f t="shared" si="48"/>
        <v>GujRERA</v>
      </c>
    </row>
    <row r="2989" spans="1:16">
      <c r="A2989" s="129" t="str">
        <f>_xlfn.XLOOKUP(B2989,$S$9:$S$14,$T$9:$T$14)&amp;"-"&amp;
IF(E2989="Residential/Group Housing","RES",
IF(E2989="Commercial","COM",
IF(E2989="Mixed Development","MIX",
IF(E2989="Plotted Development","PLT","OTH"))))
&amp;"-"&amp;TEXT(COUNTIFS($B$9:B2989,B2989,$E$9:E2989,E2989),"0000")</f>
        <v>VAL-MIX-0124</v>
      </c>
      <c r="B2989" s="322" t="s">
        <v>35</v>
      </c>
      <c r="C2989" s="322" t="s">
        <v>35</v>
      </c>
      <c r="D2989" s="323" t="s">
        <v>3178</v>
      </c>
      <c r="E2989" s="132" t="s">
        <v>25</v>
      </c>
      <c r="F2989" s="97" t="str">
        <f ca="1">IF(OR(Market_Data[[#This Row],[Start Date]]="",Market_Data[[#This Row],[Completion Date]]=""),"Needs Validation",IF(Market_Data[[#This Row],[Start Date]]&gt;TODAY(),"Planned",IF(Market_Data[[#This Row],[Completion Date]]&lt;TODAY(),"Completed","Ongoing")))</f>
        <v>Ongoing</v>
      </c>
      <c r="G2989" s="324">
        <v>44988</v>
      </c>
      <c r="H2989" s="324">
        <v>46660</v>
      </c>
      <c r="I2989" s="325">
        <v>48400</v>
      </c>
      <c r="J298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89" s="133">
        <f>_xlfn.XLOOKUP(Market_Data[[#This Row],[Project Type]],tbl_assumptions_market[Project Category (RERA)],tbl_assumptions_market[Concrete Intensity
(m³ / sq m BUA)],"",0)</f>
        <v>0.42</v>
      </c>
      <c r="L2989" s="134">
        <f>ROUND(Market_Data[[#This Row],[Estimated Built Up Area (sq m)]]*Market_Data[[#This Row],[Concrete Intensity
(m³ / sq m)]],0)</f>
        <v>20328</v>
      </c>
      <c r="M2989" s="135">
        <f>_xlfn.XLOOKUP(Market_Data[[#This Row],[District]],tbl_district_price[District],tbl_district_price[Standard Price
(INR/m³)],"",0)</f>
        <v>5600</v>
      </c>
      <c r="N2989" s="364">
        <f>IF(OR(Market_Data[[#This Row],[Estimated Concrete Demand (m³)]]="",Market_Data[[#This Row],[Avg Price per (₹ / m³)]]=""),"",Market_Data[[#This Row],[Estimated Concrete Demand (m³)]]*Market_Data[[#This Row],[Avg Price per (₹ / m³)]]/10000000)</f>
        <v>11.38368</v>
      </c>
      <c r="O2989" s="97" t="str">
        <f>IF(Market_Data[[#This Row],[Estimated Concrete Demand (m³)]]="","",
IF(Market_Data[[#This Row],[Estimated Concrete Demand (m³)]]&lt;10000,"Small",
IF(Market_Data[[#This Row],[Estimated Concrete Demand (m³)]]&lt;25000,"Medium",
IF(Market_Data[[#This Row],[Estimated Concrete Demand (m³)]]&lt;100000,"Large","Mega"))))</f>
        <v>Medium</v>
      </c>
      <c r="P2989" s="287" t="str">
        <f t="shared" si="48"/>
        <v>GujRERA</v>
      </c>
    </row>
    <row r="2990" spans="1:16">
      <c r="A2990" s="129" t="str">
        <f>_xlfn.XLOOKUP(B2990,$S$9:$S$14,$T$9:$T$14)&amp;"-"&amp;
IF(E2990="Residential/Group Housing","RES",
IF(E2990="Commercial","COM",
IF(E2990="Mixed Development","MIX",
IF(E2990="Plotted Development","PLT","OTH"))))
&amp;"-"&amp;TEXT(COUNTIFS($B$9:B2990,B2990,$E$9:E2990,E2990),"0000")</f>
        <v>VAL-MIX-0125</v>
      </c>
      <c r="B2990" s="322" t="s">
        <v>35</v>
      </c>
      <c r="C2990" s="322" t="s">
        <v>35</v>
      </c>
      <c r="D2990" s="323" t="s">
        <v>3179</v>
      </c>
      <c r="E2990" s="132" t="s">
        <v>25</v>
      </c>
      <c r="F2990" s="97" t="str">
        <f ca="1">IF(OR(Market_Data[[#This Row],[Start Date]]="",Market_Data[[#This Row],[Completion Date]]=""),"Needs Validation",IF(Market_Data[[#This Row],[Start Date]]&gt;TODAY(),"Planned",IF(Market_Data[[#This Row],[Completion Date]]&lt;TODAY(),"Completed","Ongoing")))</f>
        <v>Ongoing</v>
      </c>
      <c r="G2990" s="324">
        <v>43678</v>
      </c>
      <c r="H2990" s="324">
        <v>46568</v>
      </c>
      <c r="I2990" s="325">
        <v>17600</v>
      </c>
      <c r="J299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90" s="133">
        <f>_xlfn.XLOOKUP(Market_Data[[#This Row],[Project Type]],tbl_assumptions_market[Project Category (RERA)],tbl_assumptions_market[Concrete Intensity
(m³ / sq m BUA)],"",0)</f>
        <v>0.42</v>
      </c>
      <c r="L2990" s="134">
        <f>ROUND(Market_Data[[#This Row],[Estimated Built Up Area (sq m)]]*Market_Data[[#This Row],[Concrete Intensity
(m³ / sq m)]],0)</f>
        <v>7392</v>
      </c>
      <c r="M2990" s="135">
        <f>_xlfn.XLOOKUP(Market_Data[[#This Row],[District]],tbl_district_price[District],tbl_district_price[Standard Price
(INR/m³)],"",0)</f>
        <v>5600</v>
      </c>
      <c r="N2990" s="364">
        <f>IF(OR(Market_Data[[#This Row],[Estimated Concrete Demand (m³)]]="",Market_Data[[#This Row],[Avg Price per (₹ / m³)]]=""),"",Market_Data[[#This Row],[Estimated Concrete Demand (m³)]]*Market_Data[[#This Row],[Avg Price per (₹ / m³)]]/10000000)</f>
        <v>4.1395200000000001</v>
      </c>
      <c r="O2990" s="97" t="str">
        <f>IF(Market_Data[[#This Row],[Estimated Concrete Demand (m³)]]="","",
IF(Market_Data[[#This Row],[Estimated Concrete Demand (m³)]]&lt;10000,"Small",
IF(Market_Data[[#This Row],[Estimated Concrete Demand (m³)]]&lt;25000,"Medium",
IF(Market_Data[[#This Row],[Estimated Concrete Demand (m³)]]&lt;100000,"Large","Mega"))))</f>
        <v>Small</v>
      </c>
      <c r="P2990" s="287" t="str">
        <f t="shared" si="48"/>
        <v>GujRERA</v>
      </c>
    </row>
    <row r="2991" spans="1:16">
      <c r="A2991" s="129" t="str">
        <f>_xlfn.XLOOKUP(B2991,$S$9:$S$14,$T$9:$T$14)&amp;"-"&amp;
IF(E2991="Residential/Group Housing","RES",
IF(E2991="Commercial","COM",
IF(E2991="Mixed Development","MIX",
IF(E2991="Plotted Development","PLT","OTH"))))
&amp;"-"&amp;TEXT(COUNTIFS($B$9:B2991,B2991,$E$9:E2991,E2991),"0000")</f>
        <v>VAL-RES-0114</v>
      </c>
      <c r="B2991" s="322" t="s">
        <v>35</v>
      </c>
      <c r="C2991" s="322" t="s">
        <v>35</v>
      </c>
      <c r="D2991" s="323" t="s">
        <v>3180</v>
      </c>
      <c r="E2991" s="132" t="s">
        <v>24</v>
      </c>
      <c r="F2991" s="97" t="str">
        <f ca="1">IF(OR(Market_Data[[#This Row],[Start Date]]="",Market_Data[[#This Row],[Completion Date]]=""),"Needs Validation",IF(Market_Data[[#This Row],[Start Date]]&gt;TODAY(),"Planned",IF(Market_Data[[#This Row],[Completion Date]]&lt;TODAY(),"Completed","Ongoing")))</f>
        <v>Ongoing</v>
      </c>
      <c r="G2991" s="324">
        <v>44531</v>
      </c>
      <c r="H2991" s="324">
        <v>46387</v>
      </c>
      <c r="I2991" s="325">
        <v>50800</v>
      </c>
      <c r="J299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91" s="133">
        <f>_xlfn.XLOOKUP(Market_Data[[#This Row],[Project Type]],tbl_assumptions_market[Project Category (RERA)],tbl_assumptions_market[Concrete Intensity
(m³ / sq m BUA)],"",0)</f>
        <v>0.45</v>
      </c>
      <c r="L2991" s="134">
        <f>ROUND(Market_Data[[#This Row],[Estimated Built Up Area (sq m)]]*Market_Data[[#This Row],[Concrete Intensity
(m³ / sq m)]],0)</f>
        <v>22860</v>
      </c>
      <c r="M2991" s="135">
        <f>_xlfn.XLOOKUP(Market_Data[[#This Row],[District]],tbl_district_price[District],tbl_district_price[Standard Price
(INR/m³)],"",0)</f>
        <v>5600</v>
      </c>
      <c r="N2991" s="364">
        <f>IF(OR(Market_Data[[#This Row],[Estimated Concrete Demand (m³)]]="",Market_Data[[#This Row],[Avg Price per (₹ / m³)]]=""),"",Market_Data[[#This Row],[Estimated Concrete Demand (m³)]]*Market_Data[[#This Row],[Avg Price per (₹ / m³)]]/10000000)</f>
        <v>12.801600000000001</v>
      </c>
      <c r="O2991" s="97" t="str">
        <f>IF(Market_Data[[#This Row],[Estimated Concrete Demand (m³)]]="","",
IF(Market_Data[[#This Row],[Estimated Concrete Demand (m³)]]&lt;10000,"Small",
IF(Market_Data[[#This Row],[Estimated Concrete Demand (m³)]]&lt;25000,"Medium",
IF(Market_Data[[#This Row],[Estimated Concrete Demand (m³)]]&lt;100000,"Large","Mega"))))</f>
        <v>Medium</v>
      </c>
      <c r="P2991" s="287" t="str">
        <f t="shared" si="48"/>
        <v>GujRERA</v>
      </c>
    </row>
    <row r="2992" spans="1:16">
      <c r="A2992" s="129" t="str">
        <f>_xlfn.XLOOKUP(B2992,$S$9:$S$14,$T$9:$T$14)&amp;"-"&amp;
IF(E2992="Residential/Group Housing","RES",
IF(E2992="Commercial","COM",
IF(E2992="Mixed Development","MIX",
IF(E2992="Plotted Development","PLT","OTH"))))
&amp;"-"&amp;TEXT(COUNTIFS($B$9:B2992,B2992,$E$9:E2992,E2992),"0000")</f>
        <v>VAL-RES-0115</v>
      </c>
      <c r="B2992" s="322" t="s">
        <v>35</v>
      </c>
      <c r="C2992" s="322" t="s">
        <v>35</v>
      </c>
      <c r="D2992" s="323" t="s">
        <v>3181</v>
      </c>
      <c r="E2992" s="132" t="s">
        <v>24</v>
      </c>
      <c r="F2992" s="97" t="str">
        <f ca="1">IF(OR(Market_Data[[#This Row],[Start Date]]="",Market_Data[[#This Row],[Completion Date]]=""),"Needs Validation",IF(Market_Data[[#This Row],[Start Date]]&gt;TODAY(),"Planned",IF(Market_Data[[#This Row],[Completion Date]]&lt;TODAY(),"Completed","Ongoing")))</f>
        <v>Ongoing</v>
      </c>
      <c r="G2992" s="324">
        <v>45646</v>
      </c>
      <c r="H2992" s="324">
        <v>47848</v>
      </c>
      <c r="I2992" s="325">
        <v>42500</v>
      </c>
      <c r="J299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92" s="133">
        <f>_xlfn.XLOOKUP(Market_Data[[#This Row],[Project Type]],tbl_assumptions_market[Project Category (RERA)],tbl_assumptions_market[Concrete Intensity
(m³ / sq m BUA)],"",0)</f>
        <v>0.45</v>
      </c>
      <c r="L2992" s="134">
        <f>ROUND(Market_Data[[#This Row],[Estimated Built Up Area (sq m)]]*Market_Data[[#This Row],[Concrete Intensity
(m³ / sq m)]],0)</f>
        <v>19125</v>
      </c>
      <c r="M2992" s="135">
        <f>_xlfn.XLOOKUP(Market_Data[[#This Row],[District]],tbl_district_price[District],tbl_district_price[Standard Price
(INR/m³)],"",0)</f>
        <v>5600</v>
      </c>
      <c r="N2992" s="364">
        <f>IF(OR(Market_Data[[#This Row],[Estimated Concrete Demand (m³)]]="",Market_Data[[#This Row],[Avg Price per (₹ / m³)]]=""),"",Market_Data[[#This Row],[Estimated Concrete Demand (m³)]]*Market_Data[[#This Row],[Avg Price per (₹ / m³)]]/10000000)</f>
        <v>10.71</v>
      </c>
      <c r="O2992" s="97" t="str">
        <f>IF(Market_Data[[#This Row],[Estimated Concrete Demand (m³)]]="","",
IF(Market_Data[[#This Row],[Estimated Concrete Demand (m³)]]&lt;10000,"Small",
IF(Market_Data[[#This Row],[Estimated Concrete Demand (m³)]]&lt;25000,"Medium",
IF(Market_Data[[#This Row],[Estimated Concrete Demand (m³)]]&lt;100000,"Large","Mega"))))</f>
        <v>Medium</v>
      </c>
      <c r="P2992" s="287" t="str">
        <f t="shared" si="48"/>
        <v>GujRERA</v>
      </c>
    </row>
    <row r="2993" spans="1:16">
      <c r="A2993" s="129" t="str">
        <f>_xlfn.XLOOKUP(B2993,$S$9:$S$14,$T$9:$T$14)&amp;"-"&amp;
IF(E2993="Residential/Group Housing","RES",
IF(E2993="Commercial","COM",
IF(E2993="Mixed Development","MIX",
IF(E2993="Plotted Development","PLT","OTH"))))
&amp;"-"&amp;TEXT(COUNTIFS($B$9:B2993,B2993,$E$9:E2993,E2993),"0000")</f>
        <v>VAL-MIX-0126</v>
      </c>
      <c r="B2993" s="322" t="s">
        <v>35</v>
      </c>
      <c r="C2993" s="322" t="s">
        <v>35</v>
      </c>
      <c r="D2993" s="323" t="s">
        <v>3182</v>
      </c>
      <c r="E2993" s="132" t="s">
        <v>25</v>
      </c>
      <c r="F2993" s="97" t="str">
        <f ca="1">IF(OR(Market_Data[[#This Row],[Start Date]]="",Market_Data[[#This Row],[Completion Date]]=""),"Needs Validation",IF(Market_Data[[#This Row],[Start Date]]&gt;TODAY(),"Planned",IF(Market_Data[[#This Row],[Completion Date]]&lt;TODAY(),"Completed","Ongoing")))</f>
        <v>Ongoing</v>
      </c>
      <c r="G2993" s="324">
        <v>45442</v>
      </c>
      <c r="H2993" s="324">
        <v>47208</v>
      </c>
      <c r="I2993" s="325">
        <v>14600</v>
      </c>
      <c r="J299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93" s="133">
        <f>_xlfn.XLOOKUP(Market_Data[[#This Row],[Project Type]],tbl_assumptions_market[Project Category (RERA)],tbl_assumptions_market[Concrete Intensity
(m³ / sq m BUA)],"",0)</f>
        <v>0.42</v>
      </c>
      <c r="L2993" s="134">
        <f>ROUND(Market_Data[[#This Row],[Estimated Built Up Area (sq m)]]*Market_Data[[#This Row],[Concrete Intensity
(m³ / sq m)]],0)</f>
        <v>6132</v>
      </c>
      <c r="M2993" s="135">
        <f>_xlfn.XLOOKUP(Market_Data[[#This Row],[District]],tbl_district_price[District],tbl_district_price[Standard Price
(INR/m³)],"",0)</f>
        <v>5600</v>
      </c>
      <c r="N2993" s="364">
        <f>IF(OR(Market_Data[[#This Row],[Estimated Concrete Demand (m³)]]="",Market_Data[[#This Row],[Avg Price per (₹ / m³)]]=""),"",Market_Data[[#This Row],[Estimated Concrete Demand (m³)]]*Market_Data[[#This Row],[Avg Price per (₹ / m³)]]/10000000)</f>
        <v>3.4339200000000001</v>
      </c>
      <c r="O2993" s="97" t="str">
        <f>IF(Market_Data[[#This Row],[Estimated Concrete Demand (m³)]]="","",
IF(Market_Data[[#This Row],[Estimated Concrete Demand (m³)]]&lt;10000,"Small",
IF(Market_Data[[#This Row],[Estimated Concrete Demand (m³)]]&lt;25000,"Medium",
IF(Market_Data[[#This Row],[Estimated Concrete Demand (m³)]]&lt;100000,"Large","Mega"))))</f>
        <v>Small</v>
      </c>
      <c r="P2993" s="287" t="str">
        <f t="shared" si="48"/>
        <v>GujRERA</v>
      </c>
    </row>
    <row r="2994" spans="1:16">
      <c r="A2994" s="129" t="str">
        <f>_xlfn.XLOOKUP(B2994,$S$9:$S$14,$T$9:$T$14)&amp;"-"&amp;
IF(E2994="Residential/Group Housing","RES",
IF(E2994="Commercial","COM",
IF(E2994="Mixed Development","MIX",
IF(E2994="Plotted Development","PLT","OTH"))))
&amp;"-"&amp;TEXT(COUNTIFS($B$9:B2994,B2994,$E$9:E2994,E2994),"0000")</f>
        <v>VAL-COM-0025</v>
      </c>
      <c r="B2994" s="322" t="s">
        <v>35</v>
      </c>
      <c r="C2994" s="322" t="s">
        <v>35</v>
      </c>
      <c r="D2994" s="323" t="s">
        <v>3183</v>
      </c>
      <c r="E2994" s="132" t="s">
        <v>23</v>
      </c>
      <c r="F2994" s="97" t="str">
        <f ca="1">IF(OR(Market_Data[[#This Row],[Start Date]]="",Market_Data[[#This Row],[Completion Date]]=""),"Needs Validation",IF(Market_Data[[#This Row],[Start Date]]&gt;TODAY(),"Planned",IF(Market_Data[[#This Row],[Completion Date]]&lt;TODAY(),"Completed","Ongoing")))</f>
        <v>Completed</v>
      </c>
      <c r="G2994" s="324">
        <v>44197</v>
      </c>
      <c r="H2994" s="324">
        <v>45291</v>
      </c>
      <c r="I2994" s="325">
        <v>19100</v>
      </c>
      <c r="J299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94" s="133">
        <f>_xlfn.XLOOKUP(Market_Data[[#This Row],[Project Type]],tbl_assumptions_market[Project Category (RERA)],tbl_assumptions_market[Concrete Intensity
(m³ / sq m BUA)],"",0)</f>
        <v>0.5</v>
      </c>
      <c r="L2994" s="134">
        <f>ROUND(Market_Data[[#This Row],[Estimated Built Up Area (sq m)]]*Market_Data[[#This Row],[Concrete Intensity
(m³ / sq m)]],0)</f>
        <v>9550</v>
      </c>
      <c r="M2994" s="135">
        <f>_xlfn.XLOOKUP(Market_Data[[#This Row],[District]],tbl_district_price[District],tbl_district_price[Standard Price
(INR/m³)],"",0)</f>
        <v>5600</v>
      </c>
      <c r="N2994" s="364">
        <f>IF(OR(Market_Data[[#This Row],[Estimated Concrete Demand (m³)]]="",Market_Data[[#This Row],[Avg Price per (₹ / m³)]]=""),"",Market_Data[[#This Row],[Estimated Concrete Demand (m³)]]*Market_Data[[#This Row],[Avg Price per (₹ / m³)]]/10000000)</f>
        <v>5.3479999999999999</v>
      </c>
      <c r="O2994" s="97" t="str">
        <f>IF(Market_Data[[#This Row],[Estimated Concrete Demand (m³)]]="","",
IF(Market_Data[[#This Row],[Estimated Concrete Demand (m³)]]&lt;10000,"Small",
IF(Market_Data[[#This Row],[Estimated Concrete Demand (m³)]]&lt;25000,"Medium",
IF(Market_Data[[#This Row],[Estimated Concrete Demand (m³)]]&lt;100000,"Large","Mega"))))</f>
        <v>Small</v>
      </c>
      <c r="P2994" s="287" t="str">
        <f t="shared" si="48"/>
        <v>GujRERA</v>
      </c>
    </row>
    <row r="2995" spans="1:16">
      <c r="A2995" s="129" t="str">
        <f>_xlfn.XLOOKUP(B2995,$S$9:$S$14,$T$9:$T$14)&amp;"-"&amp;
IF(E2995="Residential/Group Housing","RES",
IF(E2995="Commercial","COM",
IF(E2995="Mixed Development","MIX",
IF(E2995="Plotted Development","PLT","OTH"))))
&amp;"-"&amp;TEXT(COUNTIFS($B$9:B2995,B2995,$E$9:E2995,E2995),"0000")</f>
        <v>VAL-RES-0116</v>
      </c>
      <c r="B2995" s="322" t="s">
        <v>35</v>
      </c>
      <c r="C2995" s="322" t="s">
        <v>35</v>
      </c>
      <c r="D2995" s="323" t="s">
        <v>3184</v>
      </c>
      <c r="E2995" s="132" t="s">
        <v>24</v>
      </c>
      <c r="F2995" s="97" t="str">
        <f ca="1">IF(OR(Market_Data[[#This Row],[Start Date]]="",Market_Data[[#This Row],[Completion Date]]=""),"Needs Validation",IF(Market_Data[[#This Row],[Start Date]]&gt;TODAY(),"Planned",IF(Market_Data[[#This Row],[Completion Date]]&lt;TODAY(),"Completed","Ongoing")))</f>
        <v>Ongoing</v>
      </c>
      <c r="G2995" s="324">
        <v>45064</v>
      </c>
      <c r="H2995" s="324">
        <v>46752</v>
      </c>
      <c r="I2995" s="325">
        <v>19400</v>
      </c>
      <c r="J299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95" s="133">
        <f>_xlfn.XLOOKUP(Market_Data[[#This Row],[Project Type]],tbl_assumptions_market[Project Category (RERA)],tbl_assumptions_market[Concrete Intensity
(m³ / sq m BUA)],"",0)</f>
        <v>0.45</v>
      </c>
      <c r="L2995" s="134">
        <f>ROUND(Market_Data[[#This Row],[Estimated Built Up Area (sq m)]]*Market_Data[[#This Row],[Concrete Intensity
(m³ / sq m)]],0)</f>
        <v>8730</v>
      </c>
      <c r="M2995" s="135">
        <f>_xlfn.XLOOKUP(Market_Data[[#This Row],[District]],tbl_district_price[District],tbl_district_price[Standard Price
(INR/m³)],"",0)</f>
        <v>5600</v>
      </c>
      <c r="N2995" s="364">
        <f>IF(OR(Market_Data[[#This Row],[Estimated Concrete Demand (m³)]]="",Market_Data[[#This Row],[Avg Price per (₹ / m³)]]=""),"",Market_Data[[#This Row],[Estimated Concrete Demand (m³)]]*Market_Data[[#This Row],[Avg Price per (₹ / m³)]]/10000000)</f>
        <v>4.8887999999999998</v>
      </c>
      <c r="O2995" s="97" t="str">
        <f>IF(Market_Data[[#This Row],[Estimated Concrete Demand (m³)]]="","",
IF(Market_Data[[#This Row],[Estimated Concrete Demand (m³)]]&lt;10000,"Small",
IF(Market_Data[[#This Row],[Estimated Concrete Demand (m³)]]&lt;25000,"Medium",
IF(Market_Data[[#This Row],[Estimated Concrete Demand (m³)]]&lt;100000,"Large","Mega"))))</f>
        <v>Small</v>
      </c>
      <c r="P2995" s="287" t="str">
        <f t="shared" si="48"/>
        <v>GujRERA</v>
      </c>
    </row>
    <row r="2996" spans="1:16">
      <c r="A2996" s="129" t="str">
        <f>_xlfn.XLOOKUP(B2996,$S$9:$S$14,$T$9:$T$14)&amp;"-"&amp;
IF(E2996="Residential/Group Housing","RES",
IF(E2996="Commercial","COM",
IF(E2996="Mixed Development","MIX",
IF(E2996="Plotted Development","PLT","OTH"))))
&amp;"-"&amp;TEXT(COUNTIFS($B$9:B2996,B2996,$E$9:E2996,E2996),"0000")</f>
        <v>VAL-MIX-0127</v>
      </c>
      <c r="B2996" s="322" t="s">
        <v>35</v>
      </c>
      <c r="C2996" s="322" t="s">
        <v>35</v>
      </c>
      <c r="D2996" s="323" t="s">
        <v>3185</v>
      </c>
      <c r="E2996" s="132" t="s">
        <v>25</v>
      </c>
      <c r="F2996" s="97" t="str">
        <f ca="1">IF(OR(Market_Data[[#This Row],[Start Date]]="",Market_Data[[#This Row],[Completion Date]]=""),"Needs Validation",IF(Market_Data[[#This Row],[Start Date]]&gt;TODAY(),"Planned",IF(Market_Data[[#This Row],[Completion Date]]&lt;TODAY(),"Completed","Ongoing")))</f>
        <v>Completed</v>
      </c>
      <c r="G2996" s="324">
        <v>44502</v>
      </c>
      <c r="H2996" s="324">
        <v>46022</v>
      </c>
      <c r="I2996" s="325">
        <v>44500</v>
      </c>
      <c r="J299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96" s="133">
        <f>_xlfn.XLOOKUP(Market_Data[[#This Row],[Project Type]],tbl_assumptions_market[Project Category (RERA)],tbl_assumptions_market[Concrete Intensity
(m³ / sq m BUA)],"",0)</f>
        <v>0.42</v>
      </c>
      <c r="L2996" s="134">
        <f>ROUND(Market_Data[[#This Row],[Estimated Built Up Area (sq m)]]*Market_Data[[#This Row],[Concrete Intensity
(m³ / sq m)]],0)</f>
        <v>18690</v>
      </c>
      <c r="M2996" s="135">
        <f>_xlfn.XLOOKUP(Market_Data[[#This Row],[District]],tbl_district_price[District],tbl_district_price[Standard Price
(INR/m³)],"",0)</f>
        <v>5600</v>
      </c>
      <c r="N2996" s="364">
        <f>IF(OR(Market_Data[[#This Row],[Estimated Concrete Demand (m³)]]="",Market_Data[[#This Row],[Avg Price per (₹ / m³)]]=""),"",Market_Data[[#This Row],[Estimated Concrete Demand (m³)]]*Market_Data[[#This Row],[Avg Price per (₹ / m³)]]/10000000)</f>
        <v>10.4664</v>
      </c>
      <c r="O2996" s="97" t="str">
        <f>IF(Market_Data[[#This Row],[Estimated Concrete Demand (m³)]]="","",
IF(Market_Data[[#This Row],[Estimated Concrete Demand (m³)]]&lt;10000,"Small",
IF(Market_Data[[#This Row],[Estimated Concrete Demand (m³)]]&lt;25000,"Medium",
IF(Market_Data[[#This Row],[Estimated Concrete Demand (m³)]]&lt;100000,"Large","Mega"))))</f>
        <v>Medium</v>
      </c>
      <c r="P2996" s="287" t="str">
        <f t="shared" si="48"/>
        <v>GujRERA</v>
      </c>
    </row>
    <row r="2997" spans="1:16">
      <c r="A2997" s="129" t="str">
        <f>_xlfn.XLOOKUP(B2997,$S$9:$S$14,$T$9:$T$14)&amp;"-"&amp;
IF(E2997="Residential/Group Housing","RES",
IF(E2997="Commercial","COM",
IF(E2997="Mixed Development","MIX",
IF(E2997="Plotted Development","PLT","OTH"))))
&amp;"-"&amp;TEXT(COUNTIFS($B$9:B2997,B2997,$E$9:E2997,E2997),"0000")</f>
        <v>VAL-MIX-0128</v>
      </c>
      <c r="B2997" s="322" t="s">
        <v>35</v>
      </c>
      <c r="C2997" s="322" t="s">
        <v>35</v>
      </c>
      <c r="D2997" s="323" t="s">
        <v>3186</v>
      </c>
      <c r="E2997" s="132" t="s">
        <v>25</v>
      </c>
      <c r="F2997" s="97" t="str">
        <f ca="1">IF(OR(Market_Data[[#This Row],[Start Date]]="",Market_Data[[#This Row],[Completion Date]]=""),"Needs Validation",IF(Market_Data[[#This Row],[Start Date]]&gt;TODAY(),"Planned",IF(Market_Data[[#This Row],[Completion Date]]&lt;TODAY(),"Completed","Ongoing")))</f>
        <v>Ongoing</v>
      </c>
      <c r="G2997" s="324">
        <v>43068</v>
      </c>
      <c r="H2997" s="324">
        <v>47268</v>
      </c>
      <c r="I2997" s="325">
        <v>20300</v>
      </c>
      <c r="J299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97" s="133">
        <f>_xlfn.XLOOKUP(Market_Data[[#This Row],[Project Type]],tbl_assumptions_market[Project Category (RERA)],tbl_assumptions_market[Concrete Intensity
(m³ / sq m BUA)],"",0)</f>
        <v>0.42</v>
      </c>
      <c r="L2997" s="134">
        <f>ROUND(Market_Data[[#This Row],[Estimated Built Up Area (sq m)]]*Market_Data[[#This Row],[Concrete Intensity
(m³ / sq m)]],0)</f>
        <v>8526</v>
      </c>
      <c r="M2997" s="135">
        <f>_xlfn.XLOOKUP(Market_Data[[#This Row],[District]],tbl_district_price[District],tbl_district_price[Standard Price
(INR/m³)],"",0)</f>
        <v>5600</v>
      </c>
      <c r="N2997" s="364">
        <f>IF(OR(Market_Data[[#This Row],[Estimated Concrete Demand (m³)]]="",Market_Data[[#This Row],[Avg Price per (₹ / m³)]]=""),"",Market_Data[[#This Row],[Estimated Concrete Demand (m³)]]*Market_Data[[#This Row],[Avg Price per (₹ / m³)]]/10000000)</f>
        <v>4.7745600000000001</v>
      </c>
      <c r="O2997" s="97" t="str">
        <f>IF(Market_Data[[#This Row],[Estimated Concrete Demand (m³)]]="","",
IF(Market_Data[[#This Row],[Estimated Concrete Demand (m³)]]&lt;10000,"Small",
IF(Market_Data[[#This Row],[Estimated Concrete Demand (m³)]]&lt;25000,"Medium",
IF(Market_Data[[#This Row],[Estimated Concrete Demand (m³)]]&lt;100000,"Large","Mega"))))</f>
        <v>Small</v>
      </c>
      <c r="P2997" s="287" t="str">
        <f t="shared" si="48"/>
        <v>GujRERA</v>
      </c>
    </row>
    <row r="2998" spans="1:16">
      <c r="A2998" s="129" t="str">
        <f>_xlfn.XLOOKUP(B2998,$S$9:$S$14,$T$9:$T$14)&amp;"-"&amp;
IF(E2998="Residential/Group Housing","RES",
IF(E2998="Commercial","COM",
IF(E2998="Mixed Development","MIX",
IF(E2998="Plotted Development","PLT","OTH"))))
&amp;"-"&amp;TEXT(COUNTIFS($B$9:B2998,B2998,$E$9:E2998,E2998),"0000")</f>
        <v>VAL-RES-0117</v>
      </c>
      <c r="B2998" s="322" t="s">
        <v>35</v>
      </c>
      <c r="C2998" s="322" t="s">
        <v>35</v>
      </c>
      <c r="D2998" s="323" t="s">
        <v>3187</v>
      </c>
      <c r="E2998" s="132" t="s">
        <v>24</v>
      </c>
      <c r="F2998" s="97" t="str">
        <f ca="1">IF(OR(Market_Data[[#This Row],[Start Date]]="",Market_Data[[#This Row],[Completion Date]]=""),"Needs Validation",IF(Market_Data[[#This Row],[Start Date]]&gt;TODAY(),"Planned",IF(Market_Data[[#This Row],[Completion Date]]&lt;TODAY(),"Completed","Ongoing")))</f>
        <v>Ongoing</v>
      </c>
      <c r="G2998" s="324">
        <v>44501</v>
      </c>
      <c r="H2998" s="324">
        <v>46387</v>
      </c>
      <c r="I2998" s="325">
        <v>35500</v>
      </c>
      <c r="J299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98" s="133">
        <f>_xlfn.XLOOKUP(Market_Data[[#This Row],[Project Type]],tbl_assumptions_market[Project Category (RERA)],tbl_assumptions_market[Concrete Intensity
(m³ / sq m BUA)],"",0)</f>
        <v>0.45</v>
      </c>
      <c r="L2998" s="134">
        <f>ROUND(Market_Data[[#This Row],[Estimated Built Up Area (sq m)]]*Market_Data[[#This Row],[Concrete Intensity
(m³ / sq m)]],0)</f>
        <v>15975</v>
      </c>
      <c r="M2998" s="135">
        <f>_xlfn.XLOOKUP(Market_Data[[#This Row],[District]],tbl_district_price[District],tbl_district_price[Standard Price
(INR/m³)],"",0)</f>
        <v>5600</v>
      </c>
      <c r="N2998" s="364">
        <f>IF(OR(Market_Data[[#This Row],[Estimated Concrete Demand (m³)]]="",Market_Data[[#This Row],[Avg Price per (₹ / m³)]]=""),"",Market_Data[[#This Row],[Estimated Concrete Demand (m³)]]*Market_Data[[#This Row],[Avg Price per (₹ / m³)]]/10000000)</f>
        <v>8.9459999999999997</v>
      </c>
      <c r="O2998" s="97" t="str">
        <f>IF(Market_Data[[#This Row],[Estimated Concrete Demand (m³)]]="","",
IF(Market_Data[[#This Row],[Estimated Concrete Demand (m³)]]&lt;10000,"Small",
IF(Market_Data[[#This Row],[Estimated Concrete Demand (m³)]]&lt;25000,"Medium",
IF(Market_Data[[#This Row],[Estimated Concrete Demand (m³)]]&lt;100000,"Large","Mega"))))</f>
        <v>Medium</v>
      </c>
      <c r="P2998" s="287" t="str">
        <f t="shared" si="48"/>
        <v>GujRERA</v>
      </c>
    </row>
    <row r="2999" spans="1:16">
      <c r="A2999" s="129" t="str">
        <f>_xlfn.XLOOKUP(B2999,$S$9:$S$14,$T$9:$T$14)&amp;"-"&amp;
IF(E2999="Residential/Group Housing","RES",
IF(E2999="Commercial","COM",
IF(E2999="Mixed Development","MIX",
IF(E2999="Plotted Development","PLT","OTH"))))
&amp;"-"&amp;TEXT(COUNTIFS($B$9:B2999,B2999,$E$9:E2999,E2999),"0000")</f>
        <v>VAL-RES-0118</v>
      </c>
      <c r="B2999" s="322" t="s">
        <v>35</v>
      </c>
      <c r="C2999" s="322" t="s">
        <v>35</v>
      </c>
      <c r="D2999" s="323" t="s">
        <v>3188</v>
      </c>
      <c r="E2999" s="132" t="s">
        <v>24</v>
      </c>
      <c r="F2999" s="97" t="str">
        <f ca="1">IF(OR(Market_Data[[#This Row],[Start Date]]="",Market_Data[[#This Row],[Completion Date]]=""),"Needs Validation",IF(Market_Data[[#This Row],[Start Date]]&gt;TODAY(),"Planned",IF(Market_Data[[#This Row],[Completion Date]]&lt;TODAY(),"Completed","Ongoing")))</f>
        <v>Ongoing</v>
      </c>
      <c r="G2999" s="324">
        <v>45107</v>
      </c>
      <c r="H2999" s="324">
        <v>47118</v>
      </c>
      <c r="I2999" s="325">
        <v>6700</v>
      </c>
      <c r="J299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2999" s="133">
        <f>_xlfn.XLOOKUP(Market_Data[[#This Row],[Project Type]],tbl_assumptions_market[Project Category (RERA)],tbl_assumptions_market[Concrete Intensity
(m³ / sq m BUA)],"",0)</f>
        <v>0.45</v>
      </c>
      <c r="L2999" s="134">
        <f>ROUND(Market_Data[[#This Row],[Estimated Built Up Area (sq m)]]*Market_Data[[#This Row],[Concrete Intensity
(m³ / sq m)]],0)</f>
        <v>3015</v>
      </c>
      <c r="M2999" s="135">
        <f>_xlfn.XLOOKUP(Market_Data[[#This Row],[District]],tbl_district_price[District],tbl_district_price[Standard Price
(INR/m³)],"",0)</f>
        <v>5600</v>
      </c>
      <c r="N2999" s="364">
        <f>IF(OR(Market_Data[[#This Row],[Estimated Concrete Demand (m³)]]="",Market_Data[[#This Row],[Avg Price per (₹ / m³)]]=""),"",Market_Data[[#This Row],[Estimated Concrete Demand (m³)]]*Market_Data[[#This Row],[Avg Price per (₹ / m³)]]/10000000)</f>
        <v>1.6883999999999999</v>
      </c>
      <c r="O2999" s="97" t="str">
        <f>IF(Market_Data[[#This Row],[Estimated Concrete Demand (m³)]]="","",
IF(Market_Data[[#This Row],[Estimated Concrete Demand (m³)]]&lt;10000,"Small",
IF(Market_Data[[#This Row],[Estimated Concrete Demand (m³)]]&lt;25000,"Medium",
IF(Market_Data[[#This Row],[Estimated Concrete Demand (m³)]]&lt;100000,"Large","Mega"))))</f>
        <v>Small</v>
      </c>
      <c r="P2999" s="287" t="str">
        <f t="shared" si="48"/>
        <v>GujRERA</v>
      </c>
    </row>
    <row r="3000" spans="1:16">
      <c r="A3000" s="129" t="str">
        <f>_xlfn.XLOOKUP(B3000,$S$9:$S$14,$T$9:$T$14)&amp;"-"&amp;
IF(E3000="Residential/Group Housing","RES",
IF(E3000="Commercial","COM",
IF(E3000="Mixed Development","MIX",
IF(E3000="Plotted Development","PLT","OTH"))))
&amp;"-"&amp;TEXT(COUNTIFS($B$9:B3000,B3000,$E$9:E3000,E3000),"0000")</f>
        <v>VAL-COM-0026</v>
      </c>
      <c r="B3000" s="322" t="s">
        <v>35</v>
      </c>
      <c r="C3000" s="322" t="s">
        <v>35</v>
      </c>
      <c r="D3000" s="323" t="s">
        <v>3189</v>
      </c>
      <c r="E3000" s="132" t="s">
        <v>23</v>
      </c>
      <c r="F3000" s="97" t="str">
        <f ca="1">IF(OR(Market_Data[[#This Row],[Start Date]]="",Market_Data[[#This Row],[Completion Date]]=""),"Needs Validation",IF(Market_Data[[#This Row],[Start Date]]&gt;TODAY(),"Planned",IF(Market_Data[[#This Row],[Completion Date]]&lt;TODAY(),"Completed","Ongoing")))</f>
        <v>Ongoing</v>
      </c>
      <c r="G3000" s="324">
        <v>44552</v>
      </c>
      <c r="H3000" s="324">
        <v>46387</v>
      </c>
      <c r="I3000" s="325">
        <v>3400</v>
      </c>
      <c r="J300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00" s="133">
        <f>_xlfn.XLOOKUP(Market_Data[[#This Row],[Project Type]],tbl_assumptions_market[Project Category (RERA)],tbl_assumptions_market[Concrete Intensity
(m³ / sq m BUA)],"",0)</f>
        <v>0.5</v>
      </c>
      <c r="L3000" s="134">
        <f>ROUND(Market_Data[[#This Row],[Estimated Built Up Area (sq m)]]*Market_Data[[#This Row],[Concrete Intensity
(m³ / sq m)]],0)</f>
        <v>1700</v>
      </c>
      <c r="M3000" s="135">
        <f>_xlfn.XLOOKUP(Market_Data[[#This Row],[District]],tbl_district_price[District],tbl_district_price[Standard Price
(INR/m³)],"",0)</f>
        <v>5600</v>
      </c>
      <c r="N3000" s="364">
        <f>IF(OR(Market_Data[[#This Row],[Estimated Concrete Demand (m³)]]="",Market_Data[[#This Row],[Avg Price per (₹ / m³)]]=""),"",Market_Data[[#This Row],[Estimated Concrete Demand (m³)]]*Market_Data[[#This Row],[Avg Price per (₹ / m³)]]/10000000)</f>
        <v>0.95199999999999996</v>
      </c>
      <c r="O3000" s="97" t="str">
        <f>IF(Market_Data[[#This Row],[Estimated Concrete Demand (m³)]]="","",
IF(Market_Data[[#This Row],[Estimated Concrete Demand (m³)]]&lt;10000,"Small",
IF(Market_Data[[#This Row],[Estimated Concrete Demand (m³)]]&lt;25000,"Medium",
IF(Market_Data[[#This Row],[Estimated Concrete Demand (m³)]]&lt;100000,"Large","Mega"))))</f>
        <v>Small</v>
      </c>
      <c r="P3000" s="287" t="str">
        <f t="shared" si="48"/>
        <v>GujRERA</v>
      </c>
    </row>
    <row r="3001" spans="1:16">
      <c r="A3001" s="129" t="str">
        <f>_xlfn.XLOOKUP(B3001,$S$9:$S$14,$T$9:$T$14)&amp;"-"&amp;
IF(E3001="Residential/Group Housing","RES",
IF(E3001="Commercial","COM",
IF(E3001="Mixed Development","MIX",
IF(E3001="Plotted Development","PLT","OTH"))))
&amp;"-"&amp;TEXT(COUNTIFS($B$9:B3001,B3001,$E$9:E3001,E3001),"0000")</f>
        <v>VAL-MIX-0129</v>
      </c>
      <c r="B3001" s="322" t="s">
        <v>35</v>
      </c>
      <c r="C3001" s="322" t="s">
        <v>35</v>
      </c>
      <c r="D3001" s="323" t="s">
        <v>3190</v>
      </c>
      <c r="E3001" s="132" t="s">
        <v>25</v>
      </c>
      <c r="F3001" s="97" t="str">
        <f ca="1">IF(OR(Market_Data[[#This Row],[Start Date]]="",Market_Data[[#This Row],[Completion Date]]=""),"Needs Validation",IF(Market_Data[[#This Row],[Start Date]]&gt;TODAY(),"Planned",IF(Market_Data[[#This Row],[Completion Date]]&lt;TODAY(),"Completed","Ongoing")))</f>
        <v>Ongoing</v>
      </c>
      <c r="G3001" s="324">
        <v>44501</v>
      </c>
      <c r="H3001" s="324">
        <v>46387</v>
      </c>
      <c r="I3001" s="325">
        <v>15200</v>
      </c>
      <c r="J300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01" s="133">
        <f>_xlfn.XLOOKUP(Market_Data[[#This Row],[Project Type]],tbl_assumptions_market[Project Category (RERA)],tbl_assumptions_market[Concrete Intensity
(m³ / sq m BUA)],"",0)</f>
        <v>0.42</v>
      </c>
      <c r="L3001" s="134">
        <f>ROUND(Market_Data[[#This Row],[Estimated Built Up Area (sq m)]]*Market_Data[[#This Row],[Concrete Intensity
(m³ / sq m)]],0)</f>
        <v>6384</v>
      </c>
      <c r="M3001" s="135">
        <f>_xlfn.XLOOKUP(Market_Data[[#This Row],[District]],tbl_district_price[District],tbl_district_price[Standard Price
(INR/m³)],"",0)</f>
        <v>5600</v>
      </c>
      <c r="N3001" s="364">
        <f>IF(OR(Market_Data[[#This Row],[Estimated Concrete Demand (m³)]]="",Market_Data[[#This Row],[Avg Price per (₹ / m³)]]=""),"",Market_Data[[#This Row],[Estimated Concrete Demand (m³)]]*Market_Data[[#This Row],[Avg Price per (₹ / m³)]]/10000000)</f>
        <v>3.57504</v>
      </c>
      <c r="O3001" s="97" t="str">
        <f>IF(Market_Data[[#This Row],[Estimated Concrete Demand (m³)]]="","",
IF(Market_Data[[#This Row],[Estimated Concrete Demand (m³)]]&lt;10000,"Small",
IF(Market_Data[[#This Row],[Estimated Concrete Demand (m³)]]&lt;25000,"Medium",
IF(Market_Data[[#This Row],[Estimated Concrete Demand (m³)]]&lt;100000,"Large","Mega"))))</f>
        <v>Small</v>
      </c>
      <c r="P3001" s="287" t="str">
        <f t="shared" si="48"/>
        <v>GujRERA</v>
      </c>
    </row>
    <row r="3002" spans="1:16">
      <c r="A3002" s="129" t="str">
        <f>_xlfn.XLOOKUP(B3002,$S$9:$S$14,$T$9:$T$14)&amp;"-"&amp;
IF(E3002="Residential/Group Housing","RES",
IF(E3002="Commercial","COM",
IF(E3002="Mixed Development","MIX",
IF(E3002="Plotted Development","PLT","OTH"))))
&amp;"-"&amp;TEXT(COUNTIFS($B$9:B3002,B3002,$E$9:E3002,E3002),"0000")</f>
        <v>VAL-MIX-0130</v>
      </c>
      <c r="B3002" s="322" t="s">
        <v>35</v>
      </c>
      <c r="C3002" s="322" t="s">
        <v>35</v>
      </c>
      <c r="D3002" s="323" t="s">
        <v>3191</v>
      </c>
      <c r="E3002" s="132" t="s">
        <v>25</v>
      </c>
      <c r="F3002" s="97" t="str">
        <f ca="1">IF(OR(Market_Data[[#This Row],[Start Date]]="",Market_Data[[#This Row],[Completion Date]]=""),"Needs Validation",IF(Market_Data[[#This Row],[Start Date]]&gt;TODAY(),"Planned",IF(Market_Data[[#This Row],[Completion Date]]&lt;TODAY(),"Completed","Ongoing")))</f>
        <v>Completed</v>
      </c>
      <c r="G3002" s="324">
        <v>42491</v>
      </c>
      <c r="H3002" s="324">
        <v>44377</v>
      </c>
      <c r="I3002" s="325">
        <v>58500</v>
      </c>
      <c r="J300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02" s="133">
        <f>_xlfn.XLOOKUP(Market_Data[[#This Row],[Project Type]],tbl_assumptions_market[Project Category (RERA)],tbl_assumptions_market[Concrete Intensity
(m³ / sq m BUA)],"",0)</f>
        <v>0.42</v>
      </c>
      <c r="L3002" s="134">
        <f>ROUND(Market_Data[[#This Row],[Estimated Built Up Area (sq m)]]*Market_Data[[#This Row],[Concrete Intensity
(m³ / sq m)]],0)</f>
        <v>24570</v>
      </c>
      <c r="M3002" s="135">
        <f>_xlfn.XLOOKUP(Market_Data[[#This Row],[District]],tbl_district_price[District],tbl_district_price[Standard Price
(INR/m³)],"",0)</f>
        <v>5600</v>
      </c>
      <c r="N3002" s="364">
        <f>IF(OR(Market_Data[[#This Row],[Estimated Concrete Demand (m³)]]="",Market_Data[[#This Row],[Avg Price per (₹ / m³)]]=""),"",Market_Data[[#This Row],[Estimated Concrete Demand (m³)]]*Market_Data[[#This Row],[Avg Price per (₹ / m³)]]/10000000)</f>
        <v>13.7592</v>
      </c>
      <c r="O3002" s="97" t="str">
        <f>IF(Market_Data[[#This Row],[Estimated Concrete Demand (m³)]]="","",
IF(Market_Data[[#This Row],[Estimated Concrete Demand (m³)]]&lt;10000,"Small",
IF(Market_Data[[#This Row],[Estimated Concrete Demand (m³)]]&lt;25000,"Medium",
IF(Market_Data[[#This Row],[Estimated Concrete Demand (m³)]]&lt;100000,"Large","Mega"))))</f>
        <v>Medium</v>
      </c>
      <c r="P3002" s="287" t="str">
        <f t="shared" si="48"/>
        <v>GujRERA</v>
      </c>
    </row>
    <row r="3003" spans="1:16">
      <c r="A3003" s="129" t="str">
        <f>_xlfn.XLOOKUP(B3003,$S$9:$S$14,$T$9:$T$14)&amp;"-"&amp;
IF(E3003="Residential/Group Housing","RES",
IF(E3003="Commercial","COM",
IF(E3003="Mixed Development","MIX",
IF(E3003="Plotted Development","PLT","OTH"))))
&amp;"-"&amp;TEXT(COUNTIFS($B$9:B3003,B3003,$E$9:E3003,E3003),"0000")</f>
        <v>VAL-MIX-0131</v>
      </c>
      <c r="B3003" s="322" t="s">
        <v>35</v>
      </c>
      <c r="C3003" s="322" t="s">
        <v>35</v>
      </c>
      <c r="D3003" s="323" t="s">
        <v>3192</v>
      </c>
      <c r="E3003" s="132" t="s">
        <v>25</v>
      </c>
      <c r="F3003" s="97" t="str">
        <f ca="1">IF(OR(Market_Data[[#This Row],[Start Date]]="",Market_Data[[#This Row],[Completion Date]]=""),"Needs Validation",IF(Market_Data[[#This Row],[Start Date]]&gt;TODAY(),"Planned",IF(Market_Data[[#This Row],[Completion Date]]&lt;TODAY(),"Completed","Ongoing")))</f>
        <v>Completed</v>
      </c>
      <c r="G3003" s="324">
        <v>43983</v>
      </c>
      <c r="H3003" s="324">
        <v>45291</v>
      </c>
      <c r="I3003" s="325">
        <v>57500</v>
      </c>
      <c r="J300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03" s="133">
        <f>_xlfn.XLOOKUP(Market_Data[[#This Row],[Project Type]],tbl_assumptions_market[Project Category (RERA)],tbl_assumptions_market[Concrete Intensity
(m³ / sq m BUA)],"",0)</f>
        <v>0.42</v>
      </c>
      <c r="L3003" s="134">
        <f>ROUND(Market_Data[[#This Row],[Estimated Built Up Area (sq m)]]*Market_Data[[#This Row],[Concrete Intensity
(m³ / sq m)]],0)</f>
        <v>24150</v>
      </c>
      <c r="M3003" s="135">
        <f>_xlfn.XLOOKUP(Market_Data[[#This Row],[District]],tbl_district_price[District],tbl_district_price[Standard Price
(INR/m³)],"",0)</f>
        <v>5600</v>
      </c>
      <c r="N3003" s="364">
        <f>IF(OR(Market_Data[[#This Row],[Estimated Concrete Demand (m³)]]="",Market_Data[[#This Row],[Avg Price per (₹ / m³)]]=""),"",Market_Data[[#This Row],[Estimated Concrete Demand (m³)]]*Market_Data[[#This Row],[Avg Price per (₹ / m³)]]/10000000)</f>
        <v>13.523999999999999</v>
      </c>
      <c r="O3003" s="97" t="str">
        <f>IF(Market_Data[[#This Row],[Estimated Concrete Demand (m³)]]="","",
IF(Market_Data[[#This Row],[Estimated Concrete Demand (m³)]]&lt;10000,"Small",
IF(Market_Data[[#This Row],[Estimated Concrete Demand (m³)]]&lt;25000,"Medium",
IF(Market_Data[[#This Row],[Estimated Concrete Demand (m³)]]&lt;100000,"Large","Mega"))))</f>
        <v>Medium</v>
      </c>
      <c r="P3003" s="287" t="str">
        <f t="shared" si="48"/>
        <v>GujRERA</v>
      </c>
    </row>
    <row r="3004" spans="1:16">
      <c r="A3004" s="129" t="str">
        <f>_xlfn.XLOOKUP(B3004,$S$9:$S$14,$T$9:$T$14)&amp;"-"&amp;
IF(E3004="Residential/Group Housing","RES",
IF(E3004="Commercial","COM",
IF(E3004="Mixed Development","MIX",
IF(E3004="Plotted Development","PLT","OTH"))))
&amp;"-"&amp;TEXT(COUNTIFS($B$9:B3004,B3004,$E$9:E3004,E3004),"0000")</f>
        <v>VAL-MIX-0132</v>
      </c>
      <c r="B3004" s="322" t="s">
        <v>35</v>
      </c>
      <c r="C3004" s="322" t="s">
        <v>35</v>
      </c>
      <c r="D3004" s="323" t="s">
        <v>3193</v>
      </c>
      <c r="E3004" s="132" t="s">
        <v>25</v>
      </c>
      <c r="F3004" s="97" t="str">
        <f ca="1">IF(OR(Market_Data[[#This Row],[Start Date]]="",Market_Data[[#This Row],[Completion Date]]=""),"Needs Validation",IF(Market_Data[[#This Row],[Start Date]]&gt;TODAY(),"Planned",IF(Market_Data[[#This Row],[Completion Date]]&lt;TODAY(),"Completed","Ongoing")))</f>
        <v>Completed</v>
      </c>
      <c r="G3004" s="324">
        <v>44270</v>
      </c>
      <c r="H3004" s="324">
        <v>46022</v>
      </c>
      <c r="I3004" s="325">
        <v>27400</v>
      </c>
      <c r="J300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04" s="133">
        <f>_xlfn.XLOOKUP(Market_Data[[#This Row],[Project Type]],tbl_assumptions_market[Project Category (RERA)],tbl_assumptions_market[Concrete Intensity
(m³ / sq m BUA)],"",0)</f>
        <v>0.42</v>
      </c>
      <c r="L3004" s="134">
        <f>ROUND(Market_Data[[#This Row],[Estimated Built Up Area (sq m)]]*Market_Data[[#This Row],[Concrete Intensity
(m³ / sq m)]],0)</f>
        <v>11508</v>
      </c>
      <c r="M3004" s="135">
        <f>_xlfn.XLOOKUP(Market_Data[[#This Row],[District]],tbl_district_price[District],tbl_district_price[Standard Price
(INR/m³)],"",0)</f>
        <v>5600</v>
      </c>
      <c r="N3004" s="364">
        <f>IF(OR(Market_Data[[#This Row],[Estimated Concrete Demand (m³)]]="",Market_Data[[#This Row],[Avg Price per (₹ / m³)]]=""),"",Market_Data[[#This Row],[Estimated Concrete Demand (m³)]]*Market_Data[[#This Row],[Avg Price per (₹ / m³)]]/10000000)</f>
        <v>6.4444800000000004</v>
      </c>
      <c r="O3004" s="97" t="str">
        <f>IF(Market_Data[[#This Row],[Estimated Concrete Demand (m³)]]="","",
IF(Market_Data[[#This Row],[Estimated Concrete Demand (m³)]]&lt;10000,"Small",
IF(Market_Data[[#This Row],[Estimated Concrete Demand (m³)]]&lt;25000,"Medium",
IF(Market_Data[[#This Row],[Estimated Concrete Demand (m³)]]&lt;100000,"Large","Mega"))))</f>
        <v>Medium</v>
      </c>
      <c r="P3004" s="287" t="str">
        <f t="shared" si="48"/>
        <v>GujRERA</v>
      </c>
    </row>
    <row r="3005" spans="1:16">
      <c r="A3005" s="129" t="str">
        <f>_xlfn.XLOOKUP(B3005,$S$9:$S$14,$T$9:$T$14)&amp;"-"&amp;
IF(E3005="Residential/Group Housing","RES",
IF(E3005="Commercial","COM",
IF(E3005="Mixed Development","MIX",
IF(E3005="Plotted Development","PLT","OTH"))))
&amp;"-"&amp;TEXT(COUNTIFS($B$9:B3005,B3005,$E$9:E3005,E3005),"0000")</f>
        <v>VAL-MIX-0133</v>
      </c>
      <c r="B3005" s="322" t="s">
        <v>35</v>
      </c>
      <c r="C3005" s="322" t="s">
        <v>35</v>
      </c>
      <c r="D3005" s="323" t="s">
        <v>3194</v>
      </c>
      <c r="E3005" s="132" t="s">
        <v>25</v>
      </c>
      <c r="F3005" s="97" t="str">
        <f ca="1">IF(OR(Market_Data[[#This Row],[Start Date]]="",Market_Data[[#This Row],[Completion Date]]=""),"Needs Validation",IF(Market_Data[[#This Row],[Start Date]]&gt;TODAY(),"Planned",IF(Market_Data[[#This Row],[Completion Date]]&lt;TODAY(),"Completed","Ongoing")))</f>
        <v>Ongoing</v>
      </c>
      <c r="G3005" s="324">
        <v>44747</v>
      </c>
      <c r="H3005" s="324">
        <v>46752</v>
      </c>
      <c r="I3005" s="325">
        <v>6300</v>
      </c>
      <c r="J300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3005" s="133">
        <f>_xlfn.XLOOKUP(Market_Data[[#This Row],[Project Type]],tbl_assumptions_market[Project Category (RERA)],tbl_assumptions_market[Concrete Intensity
(m³ / sq m BUA)],"",0)</f>
        <v>0.42</v>
      </c>
      <c r="L3005" s="134">
        <f>ROUND(Market_Data[[#This Row],[Estimated Built Up Area (sq m)]]*Market_Data[[#This Row],[Concrete Intensity
(m³ / sq m)]],0)</f>
        <v>2646</v>
      </c>
      <c r="M3005" s="135">
        <f>_xlfn.XLOOKUP(Market_Data[[#This Row],[District]],tbl_district_price[District],tbl_district_price[Standard Price
(INR/m³)],"",0)</f>
        <v>5600</v>
      </c>
      <c r="N3005" s="364">
        <f>IF(OR(Market_Data[[#This Row],[Estimated Concrete Demand (m³)]]="",Market_Data[[#This Row],[Avg Price per (₹ / m³)]]=""),"",Market_Data[[#This Row],[Estimated Concrete Demand (m³)]]*Market_Data[[#This Row],[Avg Price per (₹ / m³)]]/10000000)</f>
        <v>1.48176</v>
      </c>
      <c r="O3005" s="97" t="str">
        <f>IF(Market_Data[[#This Row],[Estimated Concrete Demand (m³)]]="","",
IF(Market_Data[[#This Row],[Estimated Concrete Demand (m³)]]&lt;10000,"Small",
IF(Market_Data[[#This Row],[Estimated Concrete Demand (m³)]]&lt;25000,"Medium",
IF(Market_Data[[#This Row],[Estimated Concrete Demand (m³)]]&lt;100000,"Large","Mega"))))</f>
        <v>Small</v>
      </c>
      <c r="P3005" s="287" t="str">
        <f t="shared" si="48"/>
        <v>GujRERA</v>
      </c>
    </row>
    <row r="3006" spans="1:16">
      <c r="A3006" s="129" t="str">
        <f>_xlfn.XLOOKUP(B3006,$S$9:$S$14,$T$9:$T$14)&amp;"-"&amp;
IF(E3006="Residential/Group Housing","RES",
IF(E3006="Commercial","COM",
IF(E3006="Mixed Development","MIX",
IF(E3006="Plotted Development","PLT","OTH"))))
&amp;"-"&amp;TEXT(COUNTIFS($B$9:B3006,B3006,$E$9:E3006,E3006),"0000")</f>
        <v>VAL-MIX-0134</v>
      </c>
      <c r="B3006" s="322" t="s">
        <v>35</v>
      </c>
      <c r="C3006" s="322" t="s">
        <v>35</v>
      </c>
      <c r="D3006" s="323" t="s">
        <v>3195</v>
      </c>
      <c r="E3006" s="132" t="s">
        <v>25</v>
      </c>
      <c r="F3006" s="97" t="str">
        <f ca="1">IF(OR(Market_Data[[#This Row],[Start Date]]="",Market_Data[[#This Row],[Completion Date]]=""),"Needs Validation",IF(Market_Data[[#This Row],[Start Date]]&gt;TODAY(),"Planned",IF(Market_Data[[#This Row],[Completion Date]]&lt;TODAY(),"Completed","Ongoing")))</f>
        <v>Ongoing</v>
      </c>
      <c r="G3006" s="324">
        <v>44963</v>
      </c>
      <c r="H3006" s="324">
        <v>46752</v>
      </c>
      <c r="I3006" s="325">
        <v>48900</v>
      </c>
      <c r="J300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06" s="133">
        <f>_xlfn.XLOOKUP(Market_Data[[#This Row],[Project Type]],tbl_assumptions_market[Project Category (RERA)],tbl_assumptions_market[Concrete Intensity
(m³ / sq m BUA)],"",0)</f>
        <v>0.42</v>
      </c>
      <c r="L3006" s="134">
        <f>ROUND(Market_Data[[#This Row],[Estimated Built Up Area (sq m)]]*Market_Data[[#This Row],[Concrete Intensity
(m³ / sq m)]],0)</f>
        <v>20538</v>
      </c>
      <c r="M3006" s="135">
        <f>_xlfn.XLOOKUP(Market_Data[[#This Row],[District]],tbl_district_price[District],tbl_district_price[Standard Price
(INR/m³)],"",0)</f>
        <v>5600</v>
      </c>
      <c r="N3006" s="364">
        <f>IF(OR(Market_Data[[#This Row],[Estimated Concrete Demand (m³)]]="",Market_Data[[#This Row],[Avg Price per (₹ / m³)]]=""),"",Market_Data[[#This Row],[Estimated Concrete Demand (m³)]]*Market_Data[[#This Row],[Avg Price per (₹ / m³)]]/10000000)</f>
        <v>11.50128</v>
      </c>
      <c r="O3006" s="97" t="str">
        <f>IF(Market_Data[[#This Row],[Estimated Concrete Demand (m³)]]="","",
IF(Market_Data[[#This Row],[Estimated Concrete Demand (m³)]]&lt;10000,"Small",
IF(Market_Data[[#This Row],[Estimated Concrete Demand (m³)]]&lt;25000,"Medium",
IF(Market_Data[[#This Row],[Estimated Concrete Demand (m³)]]&lt;100000,"Large","Mega"))))</f>
        <v>Medium</v>
      </c>
      <c r="P3006" s="287" t="str">
        <f t="shared" si="48"/>
        <v>GujRERA</v>
      </c>
    </row>
    <row r="3007" spans="1:16">
      <c r="A3007" s="129" t="str">
        <f>_xlfn.XLOOKUP(B3007,$S$9:$S$14,$T$9:$T$14)&amp;"-"&amp;
IF(E3007="Residential/Group Housing","RES",
IF(E3007="Commercial","COM",
IF(E3007="Mixed Development","MIX",
IF(E3007="Plotted Development","PLT","OTH"))))
&amp;"-"&amp;TEXT(COUNTIFS($B$9:B3007,B3007,$E$9:E3007,E3007),"0000")</f>
        <v>VAL-RES-0119</v>
      </c>
      <c r="B3007" s="322" t="s">
        <v>35</v>
      </c>
      <c r="C3007" s="322" t="s">
        <v>35</v>
      </c>
      <c r="D3007" s="323" t="s">
        <v>3196</v>
      </c>
      <c r="E3007" s="132" t="s">
        <v>24</v>
      </c>
      <c r="F3007" s="97" t="str">
        <f ca="1">IF(OR(Market_Data[[#This Row],[Start Date]]="",Market_Data[[#This Row],[Completion Date]]=""),"Needs Validation",IF(Market_Data[[#This Row],[Start Date]]&gt;TODAY(),"Planned",IF(Market_Data[[#This Row],[Completion Date]]&lt;TODAY(),"Completed","Ongoing")))</f>
        <v>Ongoing</v>
      </c>
      <c r="G3007" s="324">
        <v>46069</v>
      </c>
      <c r="H3007" s="324">
        <v>47848</v>
      </c>
      <c r="I3007" s="325">
        <v>7900</v>
      </c>
      <c r="J300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07" s="133">
        <f>_xlfn.XLOOKUP(Market_Data[[#This Row],[Project Type]],tbl_assumptions_market[Project Category (RERA)],tbl_assumptions_market[Concrete Intensity
(m³ / sq m BUA)],"",0)</f>
        <v>0.45</v>
      </c>
      <c r="L3007" s="134">
        <f>ROUND(Market_Data[[#This Row],[Estimated Built Up Area (sq m)]]*Market_Data[[#This Row],[Concrete Intensity
(m³ / sq m)]],0)</f>
        <v>3555</v>
      </c>
      <c r="M3007" s="135">
        <f>_xlfn.XLOOKUP(Market_Data[[#This Row],[District]],tbl_district_price[District],tbl_district_price[Standard Price
(INR/m³)],"",0)</f>
        <v>5600</v>
      </c>
      <c r="N3007" s="364">
        <f>IF(OR(Market_Data[[#This Row],[Estimated Concrete Demand (m³)]]="",Market_Data[[#This Row],[Avg Price per (₹ / m³)]]=""),"",Market_Data[[#This Row],[Estimated Concrete Demand (m³)]]*Market_Data[[#This Row],[Avg Price per (₹ / m³)]]/10000000)</f>
        <v>1.9907999999999999</v>
      </c>
      <c r="O3007" s="97" t="str">
        <f>IF(Market_Data[[#This Row],[Estimated Concrete Demand (m³)]]="","",
IF(Market_Data[[#This Row],[Estimated Concrete Demand (m³)]]&lt;10000,"Small",
IF(Market_Data[[#This Row],[Estimated Concrete Demand (m³)]]&lt;25000,"Medium",
IF(Market_Data[[#This Row],[Estimated Concrete Demand (m³)]]&lt;100000,"Large","Mega"))))</f>
        <v>Small</v>
      </c>
      <c r="P3007" s="287" t="str">
        <f t="shared" si="48"/>
        <v>GujRERA</v>
      </c>
    </row>
    <row r="3008" spans="1:16">
      <c r="A3008" s="129" t="str">
        <f>_xlfn.XLOOKUP(B3008,$S$9:$S$14,$T$9:$T$14)&amp;"-"&amp;
IF(E3008="Residential/Group Housing","RES",
IF(E3008="Commercial","COM",
IF(E3008="Mixed Development","MIX",
IF(E3008="Plotted Development","PLT","OTH"))))
&amp;"-"&amp;TEXT(COUNTIFS($B$9:B3008,B3008,$E$9:E3008,E3008),"0000")</f>
        <v>VAL-MIX-0135</v>
      </c>
      <c r="B3008" s="322" t="s">
        <v>35</v>
      </c>
      <c r="C3008" s="322" t="s">
        <v>35</v>
      </c>
      <c r="D3008" s="323" t="s">
        <v>3197</v>
      </c>
      <c r="E3008" s="132" t="s">
        <v>25</v>
      </c>
      <c r="F3008" s="97" t="str">
        <f ca="1">IF(OR(Market_Data[[#This Row],[Start Date]]="",Market_Data[[#This Row],[Completion Date]]=""),"Needs Validation",IF(Market_Data[[#This Row],[Start Date]]&gt;TODAY(),"Planned",IF(Market_Data[[#This Row],[Completion Date]]&lt;TODAY(),"Completed","Ongoing")))</f>
        <v>Completed</v>
      </c>
      <c r="G3008" s="324">
        <v>43313</v>
      </c>
      <c r="H3008" s="324">
        <v>45107</v>
      </c>
      <c r="I3008" s="325">
        <v>11400</v>
      </c>
      <c r="J300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08" s="133">
        <f>_xlfn.XLOOKUP(Market_Data[[#This Row],[Project Type]],tbl_assumptions_market[Project Category (RERA)],tbl_assumptions_market[Concrete Intensity
(m³ / sq m BUA)],"",0)</f>
        <v>0.42</v>
      </c>
      <c r="L3008" s="134">
        <f>ROUND(Market_Data[[#This Row],[Estimated Built Up Area (sq m)]]*Market_Data[[#This Row],[Concrete Intensity
(m³ / sq m)]],0)</f>
        <v>4788</v>
      </c>
      <c r="M3008" s="135">
        <f>_xlfn.XLOOKUP(Market_Data[[#This Row],[District]],tbl_district_price[District],tbl_district_price[Standard Price
(INR/m³)],"",0)</f>
        <v>5600</v>
      </c>
      <c r="N3008" s="364">
        <f>IF(OR(Market_Data[[#This Row],[Estimated Concrete Demand (m³)]]="",Market_Data[[#This Row],[Avg Price per (₹ / m³)]]=""),"",Market_Data[[#This Row],[Estimated Concrete Demand (m³)]]*Market_Data[[#This Row],[Avg Price per (₹ / m³)]]/10000000)</f>
        <v>2.6812800000000001</v>
      </c>
      <c r="O3008" s="97" t="str">
        <f>IF(Market_Data[[#This Row],[Estimated Concrete Demand (m³)]]="","",
IF(Market_Data[[#This Row],[Estimated Concrete Demand (m³)]]&lt;10000,"Small",
IF(Market_Data[[#This Row],[Estimated Concrete Demand (m³)]]&lt;25000,"Medium",
IF(Market_Data[[#This Row],[Estimated Concrete Demand (m³)]]&lt;100000,"Large","Mega"))))</f>
        <v>Small</v>
      </c>
      <c r="P3008" s="287" t="str">
        <f t="shared" si="48"/>
        <v>GujRERA</v>
      </c>
    </row>
    <row r="3009" spans="1:16">
      <c r="A3009" s="129" t="str">
        <f>_xlfn.XLOOKUP(B3009,$S$9:$S$14,$T$9:$T$14)&amp;"-"&amp;
IF(E3009="Residential/Group Housing","RES",
IF(E3009="Commercial","COM",
IF(E3009="Mixed Development","MIX",
IF(E3009="Plotted Development","PLT","OTH"))))
&amp;"-"&amp;TEXT(COUNTIFS($B$9:B3009,B3009,$E$9:E3009,E3009),"0000")</f>
        <v>VAL-RES-0120</v>
      </c>
      <c r="B3009" s="322" t="s">
        <v>35</v>
      </c>
      <c r="C3009" s="322" t="s">
        <v>35</v>
      </c>
      <c r="D3009" s="323" t="s">
        <v>3198</v>
      </c>
      <c r="E3009" s="132" t="s">
        <v>24</v>
      </c>
      <c r="F3009" s="97" t="str">
        <f ca="1">IF(OR(Market_Data[[#This Row],[Start Date]]="",Market_Data[[#This Row],[Completion Date]]=""),"Needs Validation",IF(Market_Data[[#This Row],[Start Date]]&gt;TODAY(),"Planned",IF(Market_Data[[#This Row],[Completion Date]]&lt;TODAY(),"Completed","Ongoing")))</f>
        <v>Completed</v>
      </c>
      <c r="G3009" s="324">
        <v>44137</v>
      </c>
      <c r="H3009" s="324">
        <v>46022</v>
      </c>
      <c r="I3009" s="325">
        <v>42100</v>
      </c>
      <c r="J300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09" s="133">
        <f>_xlfn.XLOOKUP(Market_Data[[#This Row],[Project Type]],tbl_assumptions_market[Project Category (RERA)],tbl_assumptions_market[Concrete Intensity
(m³ / sq m BUA)],"",0)</f>
        <v>0.45</v>
      </c>
      <c r="L3009" s="134">
        <f>ROUND(Market_Data[[#This Row],[Estimated Built Up Area (sq m)]]*Market_Data[[#This Row],[Concrete Intensity
(m³ / sq m)]],0)</f>
        <v>18945</v>
      </c>
      <c r="M3009" s="135">
        <f>_xlfn.XLOOKUP(Market_Data[[#This Row],[District]],tbl_district_price[District],tbl_district_price[Standard Price
(INR/m³)],"",0)</f>
        <v>5600</v>
      </c>
      <c r="N3009" s="364">
        <f>IF(OR(Market_Data[[#This Row],[Estimated Concrete Demand (m³)]]="",Market_Data[[#This Row],[Avg Price per (₹ / m³)]]=""),"",Market_Data[[#This Row],[Estimated Concrete Demand (m³)]]*Market_Data[[#This Row],[Avg Price per (₹ / m³)]]/10000000)</f>
        <v>10.6092</v>
      </c>
      <c r="O3009" s="97" t="str">
        <f>IF(Market_Data[[#This Row],[Estimated Concrete Demand (m³)]]="","",
IF(Market_Data[[#This Row],[Estimated Concrete Demand (m³)]]&lt;10000,"Small",
IF(Market_Data[[#This Row],[Estimated Concrete Demand (m³)]]&lt;25000,"Medium",
IF(Market_Data[[#This Row],[Estimated Concrete Demand (m³)]]&lt;100000,"Large","Mega"))))</f>
        <v>Medium</v>
      </c>
      <c r="P3009" s="287" t="str">
        <f t="shared" si="48"/>
        <v>GujRERA</v>
      </c>
    </row>
    <row r="3010" spans="1:16">
      <c r="A3010" s="129" t="str">
        <f>_xlfn.XLOOKUP(B3010,$S$9:$S$14,$T$9:$T$14)&amp;"-"&amp;
IF(E3010="Residential/Group Housing","RES",
IF(E3010="Commercial","COM",
IF(E3010="Mixed Development","MIX",
IF(E3010="Plotted Development","PLT","OTH"))))
&amp;"-"&amp;TEXT(COUNTIFS($B$9:B3010,B3010,$E$9:E3010,E3010),"0000")</f>
        <v>VAL-RES-0121</v>
      </c>
      <c r="B3010" s="322" t="s">
        <v>35</v>
      </c>
      <c r="C3010" s="322" t="s">
        <v>35</v>
      </c>
      <c r="D3010" s="323" t="s">
        <v>3199</v>
      </c>
      <c r="E3010" s="132" t="s">
        <v>24</v>
      </c>
      <c r="F3010" s="97" t="str">
        <f ca="1">IF(OR(Market_Data[[#This Row],[Start Date]]="",Market_Data[[#This Row],[Completion Date]]=""),"Needs Validation",IF(Market_Data[[#This Row],[Start Date]]&gt;TODAY(),"Planned",IF(Market_Data[[#This Row],[Completion Date]]&lt;TODAY(),"Completed","Ongoing")))</f>
        <v>Completed</v>
      </c>
      <c r="G3010" s="324">
        <v>43115</v>
      </c>
      <c r="H3010" s="324">
        <v>44362</v>
      </c>
      <c r="I3010" s="325">
        <v>44300</v>
      </c>
      <c r="J301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10" s="133">
        <f>_xlfn.XLOOKUP(Market_Data[[#This Row],[Project Type]],tbl_assumptions_market[Project Category (RERA)],tbl_assumptions_market[Concrete Intensity
(m³ / sq m BUA)],"",0)</f>
        <v>0.45</v>
      </c>
      <c r="L3010" s="134">
        <f>ROUND(Market_Data[[#This Row],[Estimated Built Up Area (sq m)]]*Market_Data[[#This Row],[Concrete Intensity
(m³ / sq m)]],0)</f>
        <v>19935</v>
      </c>
      <c r="M3010" s="135">
        <f>_xlfn.XLOOKUP(Market_Data[[#This Row],[District]],tbl_district_price[District],tbl_district_price[Standard Price
(INR/m³)],"",0)</f>
        <v>5600</v>
      </c>
      <c r="N3010" s="364">
        <f>IF(OR(Market_Data[[#This Row],[Estimated Concrete Demand (m³)]]="",Market_Data[[#This Row],[Avg Price per (₹ / m³)]]=""),"",Market_Data[[#This Row],[Estimated Concrete Demand (m³)]]*Market_Data[[#This Row],[Avg Price per (₹ / m³)]]/10000000)</f>
        <v>11.163600000000001</v>
      </c>
      <c r="O3010" s="97" t="str">
        <f>IF(Market_Data[[#This Row],[Estimated Concrete Demand (m³)]]="","",
IF(Market_Data[[#This Row],[Estimated Concrete Demand (m³)]]&lt;10000,"Small",
IF(Market_Data[[#This Row],[Estimated Concrete Demand (m³)]]&lt;25000,"Medium",
IF(Market_Data[[#This Row],[Estimated Concrete Demand (m³)]]&lt;100000,"Large","Mega"))))</f>
        <v>Medium</v>
      </c>
      <c r="P3010" s="287" t="str">
        <f t="shared" si="48"/>
        <v>GujRERA</v>
      </c>
    </row>
    <row r="3011" spans="1:16">
      <c r="A3011" s="129" t="str">
        <f>_xlfn.XLOOKUP(B3011,$S$9:$S$14,$T$9:$T$14)&amp;"-"&amp;
IF(E3011="Residential/Group Housing","RES",
IF(E3011="Commercial","COM",
IF(E3011="Mixed Development","MIX",
IF(E3011="Plotted Development","PLT","OTH"))))
&amp;"-"&amp;TEXT(COUNTIFS($B$9:B3011,B3011,$E$9:E3011,E3011),"0000")</f>
        <v>VAL-MIX-0136</v>
      </c>
      <c r="B3011" s="322" t="s">
        <v>35</v>
      </c>
      <c r="C3011" s="322" t="s">
        <v>35</v>
      </c>
      <c r="D3011" s="323" t="s">
        <v>3200</v>
      </c>
      <c r="E3011" s="132" t="s">
        <v>25</v>
      </c>
      <c r="F3011" s="97" t="str">
        <f ca="1">IF(OR(Market_Data[[#This Row],[Start Date]]="",Market_Data[[#This Row],[Completion Date]]=""),"Needs Validation",IF(Market_Data[[#This Row],[Start Date]]&gt;TODAY(),"Planned",IF(Market_Data[[#This Row],[Completion Date]]&lt;TODAY(),"Completed","Ongoing")))</f>
        <v>Completed</v>
      </c>
      <c r="G3011" s="324">
        <v>43208</v>
      </c>
      <c r="H3011" s="324">
        <v>45961</v>
      </c>
      <c r="I3011" s="325">
        <v>54100</v>
      </c>
      <c r="J301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11" s="133">
        <f>_xlfn.XLOOKUP(Market_Data[[#This Row],[Project Type]],tbl_assumptions_market[Project Category (RERA)],tbl_assumptions_market[Concrete Intensity
(m³ / sq m BUA)],"",0)</f>
        <v>0.42</v>
      </c>
      <c r="L3011" s="134">
        <f>ROUND(Market_Data[[#This Row],[Estimated Built Up Area (sq m)]]*Market_Data[[#This Row],[Concrete Intensity
(m³ / sq m)]],0)</f>
        <v>22722</v>
      </c>
      <c r="M3011" s="135">
        <f>_xlfn.XLOOKUP(Market_Data[[#This Row],[District]],tbl_district_price[District],tbl_district_price[Standard Price
(INR/m³)],"",0)</f>
        <v>5600</v>
      </c>
      <c r="N3011" s="364">
        <f>IF(OR(Market_Data[[#This Row],[Estimated Concrete Demand (m³)]]="",Market_Data[[#This Row],[Avg Price per (₹ / m³)]]=""),"",Market_Data[[#This Row],[Estimated Concrete Demand (m³)]]*Market_Data[[#This Row],[Avg Price per (₹ / m³)]]/10000000)</f>
        <v>12.724320000000001</v>
      </c>
      <c r="O3011" s="97" t="str">
        <f>IF(Market_Data[[#This Row],[Estimated Concrete Demand (m³)]]="","",
IF(Market_Data[[#This Row],[Estimated Concrete Demand (m³)]]&lt;10000,"Small",
IF(Market_Data[[#This Row],[Estimated Concrete Demand (m³)]]&lt;25000,"Medium",
IF(Market_Data[[#This Row],[Estimated Concrete Demand (m³)]]&lt;100000,"Large","Mega"))))</f>
        <v>Medium</v>
      </c>
      <c r="P3011" s="287" t="str">
        <f t="shared" si="48"/>
        <v>GujRERA</v>
      </c>
    </row>
    <row r="3012" spans="1:16">
      <c r="A3012" s="129" t="str">
        <f>_xlfn.XLOOKUP(B3012,$S$9:$S$14,$T$9:$T$14)&amp;"-"&amp;
IF(E3012="Residential/Group Housing","RES",
IF(E3012="Commercial","COM",
IF(E3012="Mixed Development","MIX",
IF(E3012="Plotted Development","PLT","OTH"))))
&amp;"-"&amp;TEXT(COUNTIFS($B$9:B3012,B3012,$E$9:E3012,E3012),"0000")</f>
        <v>VAL-MIX-0137</v>
      </c>
      <c r="B3012" s="322" t="s">
        <v>35</v>
      </c>
      <c r="C3012" s="322" t="s">
        <v>35</v>
      </c>
      <c r="D3012" s="323" t="s">
        <v>3201</v>
      </c>
      <c r="E3012" s="132" t="s">
        <v>25</v>
      </c>
      <c r="F3012" s="97" t="str">
        <f ca="1">IF(OR(Market_Data[[#This Row],[Start Date]]="",Market_Data[[#This Row],[Completion Date]]=""),"Needs Validation",IF(Market_Data[[#This Row],[Start Date]]&gt;TODAY(),"Planned",IF(Market_Data[[#This Row],[Completion Date]]&lt;TODAY(),"Completed","Ongoing")))</f>
        <v>Completed</v>
      </c>
      <c r="G3012" s="324">
        <v>44805</v>
      </c>
      <c r="H3012" s="324">
        <v>46112</v>
      </c>
      <c r="I3012" s="325">
        <v>58800</v>
      </c>
      <c r="J301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12" s="133">
        <f>_xlfn.XLOOKUP(Market_Data[[#This Row],[Project Type]],tbl_assumptions_market[Project Category (RERA)],tbl_assumptions_market[Concrete Intensity
(m³ / sq m BUA)],"",0)</f>
        <v>0.42</v>
      </c>
      <c r="L3012" s="134">
        <f>ROUND(Market_Data[[#This Row],[Estimated Built Up Area (sq m)]]*Market_Data[[#This Row],[Concrete Intensity
(m³ / sq m)]],0)</f>
        <v>24696</v>
      </c>
      <c r="M3012" s="135">
        <f>_xlfn.XLOOKUP(Market_Data[[#This Row],[District]],tbl_district_price[District],tbl_district_price[Standard Price
(INR/m³)],"",0)</f>
        <v>5600</v>
      </c>
      <c r="N3012" s="364">
        <f>IF(OR(Market_Data[[#This Row],[Estimated Concrete Demand (m³)]]="",Market_Data[[#This Row],[Avg Price per (₹ / m³)]]=""),"",Market_Data[[#This Row],[Estimated Concrete Demand (m³)]]*Market_Data[[#This Row],[Avg Price per (₹ / m³)]]/10000000)</f>
        <v>13.82976</v>
      </c>
      <c r="O3012" s="97" t="str">
        <f>IF(Market_Data[[#This Row],[Estimated Concrete Demand (m³)]]="","",
IF(Market_Data[[#This Row],[Estimated Concrete Demand (m³)]]&lt;10000,"Small",
IF(Market_Data[[#This Row],[Estimated Concrete Demand (m³)]]&lt;25000,"Medium",
IF(Market_Data[[#This Row],[Estimated Concrete Demand (m³)]]&lt;100000,"Large","Mega"))))</f>
        <v>Medium</v>
      </c>
      <c r="P3012" s="287" t="str">
        <f t="shared" si="48"/>
        <v>GujRERA</v>
      </c>
    </row>
    <row r="3013" spans="1:16">
      <c r="A3013" s="129" t="str">
        <f>_xlfn.XLOOKUP(B3013,$S$9:$S$14,$T$9:$T$14)&amp;"-"&amp;
IF(E3013="Residential/Group Housing","RES",
IF(E3013="Commercial","COM",
IF(E3013="Mixed Development","MIX",
IF(E3013="Plotted Development","PLT","OTH"))))
&amp;"-"&amp;TEXT(COUNTIFS($B$9:B3013,B3013,$E$9:E3013,E3013),"0000")</f>
        <v>VAL-MIX-0138</v>
      </c>
      <c r="B3013" s="322" t="s">
        <v>35</v>
      </c>
      <c r="C3013" s="322" t="s">
        <v>35</v>
      </c>
      <c r="D3013" s="323" t="s">
        <v>3202</v>
      </c>
      <c r="E3013" s="132" t="s">
        <v>25</v>
      </c>
      <c r="F3013" s="97" t="str">
        <f ca="1">IF(OR(Market_Data[[#This Row],[Start Date]]="",Market_Data[[#This Row],[Completion Date]]=""),"Needs Validation",IF(Market_Data[[#This Row],[Start Date]]&gt;TODAY(),"Planned",IF(Market_Data[[#This Row],[Completion Date]]&lt;TODAY(),"Completed","Ongoing")))</f>
        <v>Completed</v>
      </c>
      <c r="G3013" s="324">
        <v>43617</v>
      </c>
      <c r="H3013" s="324">
        <v>45200</v>
      </c>
      <c r="I3013" s="325">
        <v>21000</v>
      </c>
      <c r="J301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13" s="133">
        <f>_xlfn.XLOOKUP(Market_Data[[#This Row],[Project Type]],tbl_assumptions_market[Project Category (RERA)],tbl_assumptions_market[Concrete Intensity
(m³ / sq m BUA)],"",0)</f>
        <v>0.42</v>
      </c>
      <c r="L3013" s="134">
        <f>ROUND(Market_Data[[#This Row],[Estimated Built Up Area (sq m)]]*Market_Data[[#This Row],[Concrete Intensity
(m³ / sq m)]],0)</f>
        <v>8820</v>
      </c>
      <c r="M3013" s="135">
        <f>_xlfn.XLOOKUP(Market_Data[[#This Row],[District]],tbl_district_price[District],tbl_district_price[Standard Price
(INR/m³)],"",0)</f>
        <v>5600</v>
      </c>
      <c r="N3013" s="364">
        <f>IF(OR(Market_Data[[#This Row],[Estimated Concrete Demand (m³)]]="",Market_Data[[#This Row],[Avg Price per (₹ / m³)]]=""),"",Market_Data[[#This Row],[Estimated Concrete Demand (m³)]]*Market_Data[[#This Row],[Avg Price per (₹ / m³)]]/10000000)</f>
        <v>4.9391999999999996</v>
      </c>
      <c r="O3013" s="97" t="str">
        <f>IF(Market_Data[[#This Row],[Estimated Concrete Demand (m³)]]="","",
IF(Market_Data[[#This Row],[Estimated Concrete Demand (m³)]]&lt;10000,"Small",
IF(Market_Data[[#This Row],[Estimated Concrete Demand (m³)]]&lt;25000,"Medium",
IF(Market_Data[[#This Row],[Estimated Concrete Demand (m³)]]&lt;100000,"Large","Mega"))))</f>
        <v>Small</v>
      </c>
      <c r="P3013" s="287" t="str">
        <f t="shared" si="48"/>
        <v>GujRERA</v>
      </c>
    </row>
    <row r="3014" spans="1:16">
      <c r="A3014" s="129" t="str">
        <f>_xlfn.XLOOKUP(B3014,$S$9:$S$14,$T$9:$T$14)&amp;"-"&amp;
IF(E3014="Residential/Group Housing","RES",
IF(E3014="Commercial","COM",
IF(E3014="Mixed Development","MIX",
IF(E3014="Plotted Development","PLT","OTH"))))
&amp;"-"&amp;TEXT(COUNTIFS($B$9:B3014,B3014,$E$9:E3014,E3014),"0000")</f>
        <v>VAL-RES-0122</v>
      </c>
      <c r="B3014" s="322" t="s">
        <v>35</v>
      </c>
      <c r="C3014" s="322" t="s">
        <v>35</v>
      </c>
      <c r="D3014" s="323" t="s">
        <v>3203</v>
      </c>
      <c r="E3014" s="132" t="s">
        <v>24</v>
      </c>
      <c r="F3014" s="97" t="str">
        <f ca="1">IF(OR(Market_Data[[#This Row],[Start Date]]="",Market_Data[[#This Row],[Completion Date]]=""),"Needs Validation",IF(Market_Data[[#This Row],[Start Date]]&gt;TODAY(),"Planned",IF(Market_Data[[#This Row],[Completion Date]]&lt;TODAY(),"Completed","Ongoing")))</f>
        <v>Completed</v>
      </c>
      <c r="G3014" s="324">
        <v>42192</v>
      </c>
      <c r="H3014" s="324">
        <v>44561</v>
      </c>
      <c r="I3014" s="325">
        <v>41900</v>
      </c>
      <c r="J301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14" s="133">
        <f>_xlfn.XLOOKUP(Market_Data[[#This Row],[Project Type]],tbl_assumptions_market[Project Category (RERA)],tbl_assumptions_market[Concrete Intensity
(m³ / sq m BUA)],"",0)</f>
        <v>0.45</v>
      </c>
      <c r="L3014" s="134">
        <f>ROUND(Market_Data[[#This Row],[Estimated Built Up Area (sq m)]]*Market_Data[[#This Row],[Concrete Intensity
(m³ / sq m)]],0)</f>
        <v>18855</v>
      </c>
      <c r="M3014" s="135">
        <f>_xlfn.XLOOKUP(Market_Data[[#This Row],[District]],tbl_district_price[District],tbl_district_price[Standard Price
(INR/m³)],"",0)</f>
        <v>5600</v>
      </c>
      <c r="N3014" s="364">
        <f>IF(OR(Market_Data[[#This Row],[Estimated Concrete Demand (m³)]]="",Market_Data[[#This Row],[Avg Price per (₹ / m³)]]=""),"",Market_Data[[#This Row],[Estimated Concrete Demand (m³)]]*Market_Data[[#This Row],[Avg Price per (₹ / m³)]]/10000000)</f>
        <v>10.5588</v>
      </c>
      <c r="O3014" s="97" t="str">
        <f>IF(Market_Data[[#This Row],[Estimated Concrete Demand (m³)]]="","",
IF(Market_Data[[#This Row],[Estimated Concrete Demand (m³)]]&lt;10000,"Small",
IF(Market_Data[[#This Row],[Estimated Concrete Demand (m³)]]&lt;25000,"Medium",
IF(Market_Data[[#This Row],[Estimated Concrete Demand (m³)]]&lt;100000,"Large","Mega"))))</f>
        <v>Medium</v>
      </c>
      <c r="P3014" s="287" t="str">
        <f t="shared" si="48"/>
        <v>GujRERA</v>
      </c>
    </row>
    <row r="3015" spans="1:16">
      <c r="A3015" s="129" t="str">
        <f>_xlfn.XLOOKUP(B3015,$S$9:$S$14,$T$9:$T$14)&amp;"-"&amp;
IF(E3015="Residential/Group Housing","RES",
IF(E3015="Commercial","COM",
IF(E3015="Mixed Development","MIX",
IF(E3015="Plotted Development","PLT","OTH"))))
&amp;"-"&amp;TEXT(COUNTIFS($B$9:B3015,B3015,$E$9:E3015,E3015),"0000")</f>
        <v>VAL-RES-0123</v>
      </c>
      <c r="B3015" s="322" t="s">
        <v>35</v>
      </c>
      <c r="C3015" s="322" t="s">
        <v>35</v>
      </c>
      <c r="D3015" s="323" t="s">
        <v>3204</v>
      </c>
      <c r="E3015" s="132" t="s">
        <v>24</v>
      </c>
      <c r="F3015" s="97" t="str">
        <f ca="1">IF(OR(Market_Data[[#This Row],[Start Date]]="",Market_Data[[#This Row],[Completion Date]]=""),"Needs Validation",IF(Market_Data[[#This Row],[Start Date]]&gt;TODAY(),"Planned",IF(Market_Data[[#This Row],[Completion Date]]&lt;TODAY(),"Completed","Ongoing")))</f>
        <v>Completed</v>
      </c>
      <c r="G3015" s="324">
        <v>44607</v>
      </c>
      <c r="H3015" s="324">
        <v>46198</v>
      </c>
      <c r="I3015" s="325">
        <v>44000</v>
      </c>
      <c r="J301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15" s="133">
        <f>_xlfn.XLOOKUP(Market_Data[[#This Row],[Project Type]],tbl_assumptions_market[Project Category (RERA)],tbl_assumptions_market[Concrete Intensity
(m³ / sq m BUA)],"",0)</f>
        <v>0.45</v>
      </c>
      <c r="L3015" s="134">
        <f>ROUND(Market_Data[[#This Row],[Estimated Built Up Area (sq m)]]*Market_Data[[#This Row],[Concrete Intensity
(m³ / sq m)]],0)</f>
        <v>19800</v>
      </c>
      <c r="M3015" s="135">
        <f>_xlfn.XLOOKUP(Market_Data[[#This Row],[District]],tbl_district_price[District],tbl_district_price[Standard Price
(INR/m³)],"",0)</f>
        <v>5600</v>
      </c>
      <c r="N3015" s="364">
        <f>IF(OR(Market_Data[[#This Row],[Estimated Concrete Demand (m³)]]="",Market_Data[[#This Row],[Avg Price per (₹ / m³)]]=""),"",Market_Data[[#This Row],[Estimated Concrete Demand (m³)]]*Market_Data[[#This Row],[Avg Price per (₹ / m³)]]/10000000)</f>
        <v>11.087999999999999</v>
      </c>
      <c r="O3015" s="97" t="str">
        <f>IF(Market_Data[[#This Row],[Estimated Concrete Demand (m³)]]="","",
IF(Market_Data[[#This Row],[Estimated Concrete Demand (m³)]]&lt;10000,"Small",
IF(Market_Data[[#This Row],[Estimated Concrete Demand (m³)]]&lt;25000,"Medium",
IF(Market_Data[[#This Row],[Estimated Concrete Demand (m³)]]&lt;100000,"Large","Mega"))))</f>
        <v>Medium</v>
      </c>
      <c r="P3015" s="287" t="str">
        <f t="shared" si="48"/>
        <v>GujRERA</v>
      </c>
    </row>
    <row r="3016" spans="1:16">
      <c r="A3016" s="129" t="str">
        <f>_xlfn.XLOOKUP(B3016,$S$9:$S$14,$T$9:$T$14)&amp;"-"&amp;
IF(E3016="Residential/Group Housing","RES",
IF(E3016="Commercial","COM",
IF(E3016="Mixed Development","MIX",
IF(E3016="Plotted Development","PLT","OTH"))))
&amp;"-"&amp;TEXT(COUNTIFS($B$9:B3016,B3016,$E$9:E3016,E3016),"0000")</f>
        <v>VAL-RES-0124</v>
      </c>
      <c r="B3016" s="322" t="s">
        <v>35</v>
      </c>
      <c r="C3016" s="322" t="s">
        <v>35</v>
      </c>
      <c r="D3016" s="323" t="s">
        <v>3205</v>
      </c>
      <c r="E3016" s="132" t="s">
        <v>24</v>
      </c>
      <c r="F3016" s="97" t="str">
        <f ca="1">IF(OR(Market_Data[[#This Row],[Start Date]]="",Market_Data[[#This Row],[Completion Date]]=""),"Needs Validation",IF(Market_Data[[#This Row],[Start Date]]&gt;TODAY(),"Planned",IF(Market_Data[[#This Row],[Completion Date]]&lt;TODAY(),"Completed","Ongoing")))</f>
        <v>Ongoing</v>
      </c>
      <c r="G3016" s="324">
        <v>45447</v>
      </c>
      <c r="H3016" s="324">
        <v>46752</v>
      </c>
      <c r="I3016" s="325">
        <v>47000</v>
      </c>
      <c r="J301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16" s="133">
        <f>_xlfn.XLOOKUP(Market_Data[[#This Row],[Project Type]],tbl_assumptions_market[Project Category (RERA)],tbl_assumptions_market[Concrete Intensity
(m³ / sq m BUA)],"",0)</f>
        <v>0.45</v>
      </c>
      <c r="L3016" s="134">
        <f>ROUND(Market_Data[[#This Row],[Estimated Built Up Area (sq m)]]*Market_Data[[#This Row],[Concrete Intensity
(m³ / sq m)]],0)</f>
        <v>21150</v>
      </c>
      <c r="M3016" s="135">
        <f>_xlfn.XLOOKUP(Market_Data[[#This Row],[District]],tbl_district_price[District],tbl_district_price[Standard Price
(INR/m³)],"",0)</f>
        <v>5600</v>
      </c>
      <c r="N3016" s="364">
        <f>IF(OR(Market_Data[[#This Row],[Estimated Concrete Demand (m³)]]="",Market_Data[[#This Row],[Avg Price per (₹ / m³)]]=""),"",Market_Data[[#This Row],[Estimated Concrete Demand (m³)]]*Market_Data[[#This Row],[Avg Price per (₹ / m³)]]/10000000)</f>
        <v>11.843999999999999</v>
      </c>
      <c r="O3016" s="97" t="str">
        <f>IF(Market_Data[[#This Row],[Estimated Concrete Demand (m³)]]="","",
IF(Market_Data[[#This Row],[Estimated Concrete Demand (m³)]]&lt;10000,"Small",
IF(Market_Data[[#This Row],[Estimated Concrete Demand (m³)]]&lt;25000,"Medium",
IF(Market_Data[[#This Row],[Estimated Concrete Demand (m³)]]&lt;100000,"Large","Mega"))))</f>
        <v>Medium</v>
      </c>
      <c r="P3016" s="287" t="str">
        <f t="shared" si="48"/>
        <v>GujRERA</v>
      </c>
    </row>
    <row r="3017" spans="1:16">
      <c r="A3017" s="129" t="str">
        <f>_xlfn.XLOOKUP(B3017,$S$9:$S$14,$T$9:$T$14)&amp;"-"&amp;
IF(E3017="Residential/Group Housing","RES",
IF(E3017="Commercial","COM",
IF(E3017="Mixed Development","MIX",
IF(E3017="Plotted Development","PLT","OTH"))))
&amp;"-"&amp;TEXT(COUNTIFS($B$9:B3017,B3017,$E$9:E3017,E3017),"0000")</f>
        <v>VAL-MIX-0139</v>
      </c>
      <c r="B3017" s="322" t="s">
        <v>35</v>
      </c>
      <c r="C3017" s="322" t="s">
        <v>35</v>
      </c>
      <c r="D3017" s="323" t="s">
        <v>3206</v>
      </c>
      <c r="E3017" s="132" t="s">
        <v>25</v>
      </c>
      <c r="F3017" s="97" t="str">
        <f ca="1">IF(OR(Market_Data[[#This Row],[Start Date]]="",Market_Data[[#This Row],[Completion Date]]=""),"Needs Validation",IF(Market_Data[[#This Row],[Start Date]]&gt;TODAY(),"Planned",IF(Market_Data[[#This Row],[Completion Date]]&lt;TODAY(),"Completed","Ongoing")))</f>
        <v>Completed</v>
      </c>
      <c r="G3017" s="324">
        <v>43089</v>
      </c>
      <c r="H3017" s="324">
        <v>44377</v>
      </c>
      <c r="I3017" s="325">
        <v>37700</v>
      </c>
      <c r="J301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17" s="133">
        <f>_xlfn.XLOOKUP(Market_Data[[#This Row],[Project Type]],tbl_assumptions_market[Project Category (RERA)],tbl_assumptions_market[Concrete Intensity
(m³ / sq m BUA)],"",0)</f>
        <v>0.42</v>
      </c>
      <c r="L3017" s="134">
        <f>ROUND(Market_Data[[#This Row],[Estimated Built Up Area (sq m)]]*Market_Data[[#This Row],[Concrete Intensity
(m³ / sq m)]],0)</f>
        <v>15834</v>
      </c>
      <c r="M3017" s="135">
        <f>_xlfn.XLOOKUP(Market_Data[[#This Row],[District]],tbl_district_price[District],tbl_district_price[Standard Price
(INR/m³)],"",0)</f>
        <v>5600</v>
      </c>
      <c r="N3017" s="364">
        <f>IF(OR(Market_Data[[#This Row],[Estimated Concrete Demand (m³)]]="",Market_Data[[#This Row],[Avg Price per (₹ / m³)]]=""),"",Market_Data[[#This Row],[Estimated Concrete Demand (m³)]]*Market_Data[[#This Row],[Avg Price per (₹ / m³)]]/10000000)</f>
        <v>8.8670399999999994</v>
      </c>
      <c r="O3017" s="97" t="str">
        <f>IF(Market_Data[[#This Row],[Estimated Concrete Demand (m³)]]="","",
IF(Market_Data[[#This Row],[Estimated Concrete Demand (m³)]]&lt;10000,"Small",
IF(Market_Data[[#This Row],[Estimated Concrete Demand (m³)]]&lt;25000,"Medium",
IF(Market_Data[[#This Row],[Estimated Concrete Demand (m³)]]&lt;100000,"Large","Mega"))))</f>
        <v>Medium</v>
      </c>
      <c r="P3017" s="287" t="str">
        <f t="shared" si="48"/>
        <v>GujRERA</v>
      </c>
    </row>
    <row r="3018" spans="1:16">
      <c r="A3018" s="129" t="str">
        <f>_xlfn.XLOOKUP(B3018,$S$9:$S$14,$T$9:$T$14)&amp;"-"&amp;
IF(E3018="Residential/Group Housing","RES",
IF(E3018="Commercial","COM",
IF(E3018="Mixed Development","MIX",
IF(E3018="Plotted Development","PLT","OTH"))))
&amp;"-"&amp;TEXT(COUNTIFS($B$9:B3018,B3018,$E$9:E3018,E3018),"0000")</f>
        <v>VAL-MIX-0140</v>
      </c>
      <c r="B3018" s="322" t="s">
        <v>35</v>
      </c>
      <c r="C3018" s="322" t="s">
        <v>35</v>
      </c>
      <c r="D3018" s="323" t="s">
        <v>3207</v>
      </c>
      <c r="E3018" s="132" t="s">
        <v>25</v>
      </c>
      <c r="F3018" s="97" t="str">
        <f ca="1">IF(OR(Market_Data[[#This Row],[Start Date]]="",Market_Data[[#This Row],[Completion Date]]=""),"Needs Validation",IF(Market_Data[[#This Row],[Start Date]]&gt;TODAY(),"Planned",IF(Market_Data[[#This Row],[Completion Date]]&lt;TODAY(),"Completed","Ongoing")))</f>
        <v>Ongoing</v>
      </c>
      <c r="G3018" s="324">
        <v>45682</v>
      </c>
      <c r="H3018" s="324">
        <v>47118</v>
      </c>
      <c r="I3018" s="325">
        <v>17800</v>
      </c>
      <c r="J301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18" s="133">
        <f>_xlfn.XLOOKUP(Market_Data[[#This Row],[Project Type]],tbl_assumptions_market[Project Category (RERA)],tbl_assumptions_market[Concrete Intensity
(m³ / sq m BUA)],"",0)</f>
        <v>0.42</v>
      </c>
      <c r="L3018" s="134">
        <f>ROUND(Market_Data[[#This Row],[Estimated Built Up Area (sq m)]]*Market_Data[[#This Row],[Concrete Intensity
(m³ / sq m)]],0)</f>
        <v>7476</v>
      </c>
      <c r="M3018" s="135">
        <f>_xlfn.XLOOKUP(Market_Data[[#This Row],[District]],tbl_district_price[District],tbl_district_price[Standard Price
(INR/m³)],"",0)</f>
        <v>5600</v>
      </c>
      <c r="N3018" s="364">
        <f>IF(OR(Market_Data[[#This Row],[Estimated Concrete Demand (m³)]]="",Market_Data[[#This Row],[Avg Price per (₹ / m³)]]=""),"",Market_Data[[#This Row],[Estimated Concrete Demand (m³)]]*Market_Data[[#This Row],[Avg Price per (₹ / m³)]]/10000000)</f>
        <v>4.1865600000000001</v>
      </c>
      <c r="O3018" s="97" t="str">
        <f>IF(Market_Data[[#This Row],[Estimated Concrete Demand (m³)]]="","",
IF(Market_Data[[#This Row],[Estimated Concrete Demand (m³)]]&lt;10000,"Small",
IF(Market_Data[[#This Row],[Estimated Concrete Demand (m³)]]&lt;25000,"Medium",
IF(Market_Data[[#This Row],[Estimated Concrete Demand (m³)]]&lt;100000,"Large","Mega"))))</f>
        <v>Small</v>
      </c>
      <c r="P3018" s="287" t="str">
        <f t="shared" ref="P3018:P3073" si="49">HYPERLINK(
"https://gujrera.gujarat.gov.in",
"GujRERA")</f>
        <v>GujRERA</v>
      </c>
    </row>
    <row r="3019" spans="1:16">
      <c r="A3019" s="129" t="str">
        <f>_xlfn.XLOOKUP(B3019,$S$9:$S$14,$T$9:$T$14)&amp;"-"&amp;
IF(E3019="Residential/Group Housing","RES",
IF(E3019="Commercial","COM",
IF(E3019="Mixed Development","MIX",
IF(E3019="Plotted Development","PLT","OTH"))))
&amp;"-"&amp;TEXT(COUNTIFS($B$9:B3019,B3019,$E$9:E3019,E3019),"0000")</f>
        <v>VAL-MIX-0141</v>
      </c>
      <c r="B3019" s="322" t="s">
        <v>35</v>
      </c>
      <c r="C3019" s="322" t="s">
        <v>35</v>
      </c>
      <c r="D3019" s="323" t="s">
        <v>3208</v>
      </c>
      <c r="E3019" s="132" t="s">
        <v>25</v>
      </c>
      <c r="F3019" s="97" t="str">
        <f ca="1">IF(OR(Market_Data[[#This Row],[Start Date]]="",Market_Data[[#This Row],[Completion Date]]=""),"Needs Validation",IF(Market_Data[[#This Row],[Start Date]]&gt;TODAY(),"Planned",IF(Market_Data[[#This Row],[Completion Date]]&lt;TODAY(),"Completed","Ongoing")))</f>
        <v>Completed</v>
      </c>
      <c r="G3019" s="324">
        <v>44075</v>
      </c>
      <c r="H3019" s="324">
        <v>45657</v>
      </c>
      <c r="I3019" s="325">
        <v>32300</v>
      </c>
      <c r="J301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19" s="133">
        <f>_xlfn.XLOOKUP(Market_Data[[#This Row],[Project Type]],tbl_assumptions_market[Project Category (RERA)],tbl_assumptions_market[Concrete Intensity
(m³ / sq m BUA)],"",0)</f>
        <v>0.42</v>
      </c>
      <c r="L3019" s="134">
        <f>ROUND(Market_Data[[#This Row],[Estimated Built Up Area (sq m)]]*Market_Data[[#This Row],[Concrete Intensity
(m³ / sq m)]],0)</f>
        <v>13566</v>
      </c>
      <c r="M3019" s="135">
        <f>_xlfn.XLOOKUP(Market_Data[[#This Row],[District]],tbl_district_price[District],tbl_district_price[Standard Price
(INR/m³)],"",0)</f>
        <v>5600</v>
      </c>
      <c r="N3019" s="364">
        <f>IF(OR(Market_Data[[#This Row],[Estimated Concrete Demand (m³)]]="",Market_Data[[#This Row],[Avg Price per (₹ / m³)]]=""),"",Market_Data[[#This Row],[Estimated Concrete Demand (m³)]]*Market_Data[[#This Row],[Avg Price per (₹ / m³)]]/10000000)</f>
        <v>7.5969600000000002</v>
      </c>
      <c r="O3019" s="97" t="str">
        <f>IF(Market_Data[[#This Row],[Estimated Concrete Demand (m³)]]="","",
IF(Market_Data[[#This Row],[Estimated Concrete Demand (m³)]]&lt;10000,"Small",
IF(Market_Data[[#This Row],[Estimated Concrete Demand (m³)]]&lt;25000,"Medium",
IF(Market_Data[[#This Row],[Estimated Concrete Demand (m³)]]&lt;100000,"Large","Mega"))))</f>
        <v>Medium</v>
      </c>
      <c r="P3019" s="287" t="str">
        <f t="shared" si="49"/>
        <v>GujRERA</v>
      </c>
    </row>
    <row r="3020" spans="1:16">
      <c r="A3020" s="129" t="str">
        <f>_xlfn.XLOOKUP(B3020,$S$9:$S$14,$T$9:$T$14)&amp;"-"&amp;
IF(E3020="Residential/Group Housing","RES",
IF(E3020="Commercial","COM",
IF(E3020="Mixed Development","MIX",
IF(E3020="Plotted Development","PLT","OTH"))))
&amp;"-"&amp;TEXT(COUNTIFS($B$9:B3020,B3020,$E$9:E3020,E3020),"0000")</f>
        <v>VAL-MIX-0142</v>
      </c>
      <c r="B3020" s="322" t="s">
        <v>35</v>
      </c>
      <c r="C3020" s="322" t="s">
        <v>35</v>
      </c>
      <c r="D3020" s="323" t="s">
        <v>3209</v>
      </c>
      <c r="E3020" s="132" t="s">
        <v>25</v>
      </c>
      <c r="F3020" s="97" t="str">
        <f ca="1">IF(OR(Market_Data[[#This Row],[Start Date]]="",Market_Data[[#This Row],[Completion Date]]=""),"Needs Validation",IF(Market_Data[[#This Row],[Start Date]]&gt;TODAY(),"Planned",IF(Market_Data[[#This Row],[Completion Date]]&lt;TODAY(),"Completed","Ongoing")))</f>
        <v>Completed</v>
      </c>
      <c r="G3020" s="324">
        <v>43525</v>
      </c>
      <c r="H3020" s="324">
        <v>46203</v>
      </c>
      <c r="I3020" s="325">
        <v>12400</v>
      </c>
      <c r="J302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20" s="133">
        <f>_xlfn.XLOOKUP(Market_Data[[#This Row],[Project Type]],tbl_assumptions_market[Project Category (RERA)],tbl_assumptions_market[Concrete Intensity
(m³ / sq m BUA)],"",0)</f>
        <v>0.42</v>
      </c>
      <c r="L3020" s="134">
        <f>ROUND(Market_Data[[#This Row],[Estimated Built Up Area (sq m)]]*Market_Data[[#This Row],[Concrete Intensity
(m³ / sq m)]],0)</f>
        <v>5208</v>
      </c>
      <c r="M3020" s="135">
        <f>_xlfn.XLOOKUP(Market_Data[[#This Row],[District]],tbl_district_price[District],tbl_district_price[Standard Price
(INR/m³)],"",0)</f>
        <v>5600</v>
      </c>
      <c r="N3020" s="364">
        <f>IF(OR(Market_Data[[#This Row],[Estimated Concrete Demand (m³)]]="",Market_Data[[#This Row],[Avg Price per (₹ / m³)]]=""),"",Market_Data[[#This Row],[Estimated Concrete Demand (m³)]]*Market_Data[[#This Row],[Avg Price per (₹ / m³)]]/10000000)</f>
        <v>2.91648</v>
      </c>
      <c r="O3020" s="97" t="str">
        <f>IF(Market_Data[[#This Row],[Estimated Concrete Demand (m³)]]="","",
IF(Market_Data[[#This Row],[Estimated Concrete Demand (m³)]]&lt;10000,"Small",
IF(Market_Data[[#This Row],[Estimated Concrete Demand (m³)]]&lt;25000,"Medium",
IF(Market_Data[[#This Row],[Estimated Concrete Demand (m³)]]&lt;100000,"Large","Mega"))))</f>
        <v>Small</v>
      </c>
      <c r="P3020" s="287" t="str">
        <f t="shared" si="49"/>
        <v>GujRERA</v>
      </c>
    </row>
    <row r="3021" spans="1:16">
      <c r="A3021" s="129" t="str">
        <f>_xlfn.XLOOKUP(B3021,$S$9:$S$14,$T$9:$T$14)&amp;"-"&amp;
IF(E3021="Residential/Group Housing","RES",
IF(E3021="Commercial","COM",
IF(E3021="Mixed Development","MIX",
IF(E3021="Plotted Development","PLT","OTH"))))
&amp;"-"&amp;TEXT(COUNTIFS($B$9:B3021,B3021,$E$9:E3021,E3021),"0000")</f>
        <v>VAL-RES-0125</v>
      </c>
      <c r="B3021" s="322" t="s">
        <v>35</v>
      </c>
      <c r="C3021" s="322" t="s">
        <v>35</v>
      </c>
      <c r="D3021" s="323" t="s">
        <v>3210</v>
      </c>
      <c r="E3021" s="132" t="s">
        <v>24</v>
      </c>
      <c r="F3021" s="97" t="str">
        <f ca="1">IF(OR(Market_Data[[#This Row],[Start Date]]="",Market_Data[[#This Row],[Completion Date]]=""),"Needs Validation",IF(Market_Data[[#This Row],[Start Date]]&gt;TODAY(),"Planned",IF(Market_Data[[#This Row],[Completion Date]]&lt;TODAY(),"Completed","Ongoing")))</f>
        <v>Ongoing</v>
      </c>
      <c r="G3021" s="324">
        <v>45354</v>
      </c>
      <c r="H3021" s="324">
        <v>46840</v>
      </c>
      <c r="I3021" s="325">
        <v>2500</v>
      </c>
      <c r="J302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21" s="133">
        <f>_xlfn.XLOOKUP(Market_Data[[#This Row],[Project Type]],tbl_assumptions_market[Project Category (RERA)],tbl_assumptions_market[Concrete Intensity
(m³ / sq m BUA)],"",0)</f>
        <v>0.45</v>
      </c>
      <c r="L3021" s="134">
        <f>ROUND(Market_Data[[#This Row],[Estimated Built Up Area (sq m)]]*Market_Data[[#This Row],[Concrete Intensity
(m³ / sq m)]],0)</f>
        <v>1125</v>
      </c>
      <c r="M3021" s="135">
        <f>_xlfn.XLOOKUP(Market_Data[[#This Row],[District]],tbl_district_price[District],tbl_district_price[Standard Price
(INR/m³)],"",0)</f>
        <v>5600</v>
      </c>
      <c r="N3021" s="364">
        <f>IF(OR(Market_Data[[#This Row],[Estimated Concrete Demand (m³)]]="",Market_Data[[#This Row],[Avg Price per (₹ / m³)]]=""),"",Market_Data[[#This Row],[Estimated Concrete Demand (m³)]]*Market_Data[[#This Row],[Avg Price per (₹ / m³)]]/10000000)</f>
        <v>0.63</v>
      </c>
      <c r="O3021" s="97" t="str">
        <f>IF(Market_Data[[#This Row],[Estimated Concrete Demand (m³)]]="","",
IF(Market_Data[[#This Row],[Estimated Concrete Demand (m³)]]&lt;10000,"Small",
IF(Market_Data[[#This Row],[Estimated Concrete Demand (m³)]]&lt;25000,"Medium",
IF(Market_Data[[#This Row],[Estimated Concrete Demand (m³)]]&lt;100000,"Large","Mega"))))</f>
        <v>Small</v>
      </c>
      <c r="P3021" s="287" t="str">
        <f t="shared" si="49"/>
        <v>GujRERA</v>
      </c>
    </row>
    <row r="3022" spans="1:16">
      <c r="A3022" s="129" t="str">
        <f>_xlfn.XLOOKUP(B3022,$S$9:$S$14,$T$9:$T$14)&amp;"-"&amp;
IF(E3022="Residential/Group Housing","RES",
IF(E3022="Commercial","COM",
IF(E3022="Mixed Development","MIX",
IF(E3022="Plotted Development","PLT","OTH"))))
&amp;"-"&amp;TEXT(COUNTIFS($B$9:B3022,B3022,$E$9:E3022,E3022),"0000")</f>
        <v>VAL-RES-0126</v>
      </c>
      <c r="B3022" s="322" t="s">
        <v>35</v>
      </c>
      <c r="C3022" s="322" t="s">
        <v>35</v>
      </c>
      <c r="D3022" s="323" t="s">
        <v>3211</v>
      </c>
      <c r="E3022" s="132" t="s">
        <v>24</v>
      </c>
      <c r="F3022" s="97" t="str">
        <f ca="1">IF(OR(Market_Data[[#This Row],[Start Date]]="",Market_Data[[#This Row],[Completion Date]]=""),"Needs Validation",IF(Market_Data[[#This Row],[Start Date]]&gt;TODAY(),"Planned",IF(Market_Data[[#This Row],[Completion Date]]&lt;TODAY(),"Completed","Ongoing")))</f>
        <v>Ongoing</v>
      </c>
      <c r="G3022" s="324">
        <v>45988</v>
      </c>
      <c r="H3022" s="324">
        <v>47848</v>
      </c>
      <c r="I3022" s="325">
        <v>42300</v>
      </c>
      <c r="J302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22" s="133">
        <f>_xlfn.XLOOKUP(Market_Data[[#This Row],[Project Type]],tbl_assumptions_market[Project Category (RERA)],tbl_assumptions_market[Concrete Intensity
(m³ / sq m BUA)],"",0)</f>
        <v>0.45</v>
      </c>
      <c r="L3022" s="134">
        <f>ROUND(Market_Data[[#This Row],[Estimated Built Up Area (sq m)]]*Market_Data[[#This Row],[Concrete Intensity
(m³ / sq m)]],0)</f>
        <v>19035</v>
      </c>
      <c r="M3022" s="135">
        <f>_xlfn.XLOOKUP(Market_Data[[#This Row],[District]],tbl_district_price[District],tbl_district_price[Standard Price
(INR/m³)],"",0)</f>
        <v>5600</v>
      </c>
      <c r="N3022" s="364">
        <f>IF(OR(Market_Data[[#This Row],[Estimated Concrete Demand (m³)]]="",Market_Data[[#This Row],[Avg Price per (₹ / m³)]]=""),"",Market_Data[[#This Row],[Estimated Concrete Demand (m³)]]*Market_Data[[#This Row],[Avg Price per (₹ / m³)]]/10000000)</f>
        <v>10.659599999999999</v>
      </c>
      <c r="O3022" s="97" t="str">
        <f>IF(Market_Data[[#This Row],[Estimated Concrete Demand (m³)]]="","",
IF(Market_Data[[#This Row],[Estimated Concrete Demand (m³)]]&lt;10000,"Small",
IF(Market_Data[[#This Row],[Estimated Concrete Demand (m³)]]&lt;25000,"Medium",
IF(Market_Data[[#This Row],[Estimated Concrete Demand (m³)]]&lt;100000,"Large","Mega"))))</f>
        <v>Medium</v>
      </c>
      <c r="P3022" s="287" t="str">
        <f t="shared" si="49"/>
        <v>GujRERA</v>
      </c>
    </row>
    <row r="3023" spans="1:16">
      <c r="A3023" s="129" t="str">
        <f>_xlfn.XLOOKUP(B3023,$S$9:$S$14,$T$9:$T$14)&amp;"-"&amp;
IF(E3023="Residential/Group Housing","RES",
IF(E3023="Commercial","COM",
IF(E3023="Mixed Development","MIX",
IF(E3023="Plotted Development","PLT","OTH"))))
&amp;"-"&amp;TEXT(COUNTIFS($B$9:B3023,B3023,$E$9:E3023,E3023),"0000")</f>
        <v>VAL-MIX-0143</v>
      </c>
      <c r="B3023" s="322" t="s">
        <v>35</v>
      </c>
      <c r="C3023" s="322" t="s">
        <v>35</v>
      </c>
      <c r="D3023" s="323" t="s">
        <v>3212</v>
      </c>
      <c r="E3023" s="132" t="s">
        <v>25</v>
      </c>
      <c r="F3023" s="97" t="str">
        <f ca="1">IF(OR(Market_Data[[#This Row],[Start Date]]="",Market_Data[[#This Row],[Completion Date]]=""),"Needs Validation",IF(Market_Data[[#This Row],[Start Date]]&gt;TODAY(),"Planned",IF(Market_Data[[#This Row],[Completion Date]]&lt;TODAY(),"Completed","Ongoing")))</f>
        <v>Ongoing</v>
      </c>
      <c r="G3023" s="324">
        <v>45734</v>
      </c>
      <c r="H3023" s="324">
        <v>47483</v>
      </c>
      <c r="I3023" s="325">
        <v>56700</v>
      </c>
      <c r="J302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23" s="133">
        <f>_xlfn.XLOOKUP(Market_Data[[#This Row],[Project Type]],tbl_assumptions_market[Project Category (RERA)],tbl_assumptions_market[Concrete Intensity
(m³ / sq m BUA)],"",0)</f>
        <v>0.42</v>
      </c>
      <c r="L3023" s="134">
        <f>ROUND(Market_Data[[#This Row],[Estimated Built Up Area (sq m)]]*Market_Data[[#This Row],[Concrete Intensity
(m³ / sq m)]],0)</f>
        <v>23814</v>
      </c>
      <c r="M3023" s="135">
        <f>_xlfn.XLOOKUP(Market_Data[[#This Row],[District]],tbl_district_price[District],tbl_district_price[Standard Price
(INR/m³)],"",0)</f>
        <v>5600</v>
      </c>
      <c r="N3023" s="364">
        <f>IF(OR(Market_Data[[#This Row],[Estimated Concrete Demand (m³)]]="",Market_Data[[#This Row],[Avg Price per (₹ / m³)]]=""),"",Market_Data[[#This Row],[Estimated Concrete Demand (m³)]]*Market_Data[[#This Row],[Avg Price per (₹ / m³)]]/10000000)</f>
        <v>13.335839999999999</v>
      </c>
      <c r="O3023" s="97" t="str">
        <f>IF(Market_Data[[#This Row],[Estimated Concrete Demand (m³)]]="","",
IF(Market_Data[[#This Row],[Estimated Concrete Demand (m³)]]&lt;10000,"Small",
IF(Market_Data[[#This Row],[Estimated Concrete Demand (m³)]]&lt;25000,"Medium",
IF(Market_Data[[#This Row],[Estimated Concrete Demand (m³)]]&lt;100000,"Large","Mega"))))</f>
        <v>Medium</v>
      </c>
      <c r="P3023" s="287" t="str">
        <f t="shared" si="49"/>
        <v>GujRERA</v>
      </c>
    </row>
    <row r="3024" spans="1:16">
      <c r="A3024" s="129" t="str">
        <f>_xlfn.XLOOKUP(B3024,$S$9:$S$14,$T$9:$T$14)&amp;"-"&amp;
IF(E3024="Residential/Group Housing","RES",
IF(E3024="Commercial","COM",
IF(E3024="Mixed Development","MIX",
IF(E3024="Plotted Development","PLT","OTH"))))
&amp;"-"&amp;TEXT(COUNTIFS($B$9:B3024,B3024,$E$9:E3024,E3024),"0000")</f>
        <v>VAL-RES-0127</v>
      </c>
      <c r="B3024" s="322" t="s">
        <v>35</v>
      </c>
      <c r="C3024" s="322" t="s">
        <v>35</v>
      </c>
      <c r="D3024" s="323" t="s">
        <v>3213</v>
      </c>
      <c r="E3024" s="132" t="s">
        <v>24</v>
      </c>
      <c r="F3024" s="97" t="str">
        <f ca="1">IF(OR(Market_Data[[#This Row],[Start Date]]="",Market_Data[[#This Row],[Completion Date]]=""),"Needs Validation",IF(Market_Data[[#This Row],[Start Date]]&gt;TODAY(),"Planned",IF(Market_Data[[#This Row],[Completion Date]]&lt;TODAY(),"Completed","Ongoing")))</f>
        <v>Completed</v>
      </c>
      <c r="G3024" s="324">
        <v>44137</v>
      </c>
      <c r="H3024" s="324">
        <v>46022</v>
      </c>
      <c r="I3024" s="325">
        <v>59500</v>
      </c>
      <c r="J302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24" s="133">
        <f>_xlfn.XLOOKUP(Market_Data[[#This Row],[Project Type]],tbl_assumptions_market[Project Category (RERA)],tbl_assumptions_market[Concrete Intensity
(m³ / sq m BUA)],"",0)</f>
        <v>0.45</v>
      </c>
      <c r="L3024" s="134">
        <f>ROUND(Market_Data[[#This Row],[Estimated Built Up Area (sq m)]]*Market_Data[[#This Row],[Concrete Intensity
(m³ / sq m)]],0)</f>
        <v>26775</v>
      </c>
      <c r="M3024" s="135">
        <f>_xlfn.XLOOKUP(Market_Data[[#This Row],[District]],tbl_district_price[District],tbl_district_price[Standard Price
(INR/m³)],"",0)</f>
        <v>5600</v>
      </c>
      <c r="N3024" s="364">
        <f>IF(OR(Market_Data[[#This Row],[Estimated Concrete Demand (m³)]]="",Market_Data[[#This Row],[Avg Price per (₹ / m³)]]=""),"",Market_Data[[#This Row],[Estimated Concrete Demand (m³)]]*Market_Data[[#This Row],[Avg Price per (₹ / m³)]]/10000000)</f>
        <v>14.994</v>
      </c>
      <c r="O3024" s="97" t="str">
        <f>IF(Market_Data[[#This Row],[Estimated Concrete Demand (m³)]]="","",
IF(Market_Data[[#This Row],[Estimated Concrete Demand (m³)]]&lt;10000,"Small",
IF(Market_Data[[#This Row],[Estimated Concrete Demand (m³)]]&lt;25000,"Medium",
IF(Market_Data[[#This Row],[Estimated Concrete Demand (m³)]]&lt;100000,"Large","Mega"))))</f>
        <v>Large</v>
      </c>
      <c r="P3024" s="287" t="str">
        <f t="shared" si="49"/>
        <v>GujRERA</v>
      </c>
    </row>
    <row r="3025" spans="1:16">
      <c r="A3025" s="129" t="str">
        <f>_xlfn.XLOOKUP(B3025,$S$9:$S$14,$T$9:$T$14)&amp;"-"&amp;
IF(E3025="Residential/Group Housing","RES",
IF(E3025="Commercial","COM",
IF(E3025="Mixed Development","MIX",
IF(E3025="Plotted Development","PLT","OTH"))))
&amp;"-"&amp;TEXT(COUNTIFS($B$9:B3025,B3025,$E$9:E3025,E3025),"0000")</f>
        <v>VAL-RES-0128</v>
      </c>
      <c r="B3025" s="322" t="s">
        <v>35</v>
      </c>
      <c r="C3025" s="322" t="s">
        <v>35</v>
      </c>
      <c r="D3025" s="323" t="s">
        <v>3214</v>
      </c>
      <c r="E3025" s="132" t="s">
        <v>24</v>
      </c>
      <c r="F3025" s="97" t="str">
        <f ca="1">IF(OR(Market_Data[[#This Row],[Start Date]]="",Market_Data[[#This Row],[Completion Date]]=""),"Needs Validation",IF(Market_Data[[#This Row],[Start Date]]&gt;TODAY(),"Planned",IF(Market_Data[[#This Row],[Completion Date]]&lt;TODAY(),"Completed","Ongoing")))</f>
        <v>Ongoing</v>
      </c>
      <c r="G3025" s="324">
        <v>44671</v>
      </c>
      <c r="H3025" s="324">
        <v>46843</v>
      </c>
      <c r="I3025" s="325">
        <v>52000</v>
      </c>
      <c r="J302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25" s="133">
        <f>_xlfn.XLOOKUP(Market_Data[[#This Row],[Project Type]],tbl_assumptions_market[Project Category (RERA)],tbl_assumptions_market[Concrete Intensity
(m³ / sq m BUA)],"",0)</f>
        <v>0.45</v>
      </c>
      <c r="L3025" s="134">
        <f>ROUND(Market_Data[[#This Row],[Estimated Built Up Area (sq m)]]*Market_Data[[#This Row],[Concrete Intensity
(m³ / sq m)]],0)</f>
        <v>23400</v>
      </c>
      <c r="M3025" s="135">
        <f>_xlfn.XLOOKUP(Market_Data[[#This Row],[District]],tbl_district_price[District],tbl_district_price[Standard Price
(INR/m³)],"",0)</f>
        <v>5600</v>
      </c>
      <c r="N3025" s="364">
        <f>IF(OR(Market_Data[[#This Row],[Estimated Concrete Demand (m³)]]="",Market_Data[[#This Row],[Avg Price per (₹ / m³)]]=""),"",Market_Data[[#This Row],[Estimated Concrete Demand (m³)]]*Market_Data[[#This Row],[Avg Price per (₹ / m³)]]/10000000)</f>
        <v>13.103999999999999</v>
      </c>
      <c r="O3025" s="97" t="str">
        <f>IF(Market_Data[[#This Row],[Estimated Concrete Demand (m³)]]="","",
IF(Market_Data[[#This Row],[Estimated Concrete Demand (m³)]]&lt;10000,"Small",
IF(Market_Data[[#This Row],[Estimated Concrete Demand (m³)]]&lt;25000,"Medium",
IF(Market_Data[[#This Row],[Estimated Concrete Demand (m³)]]&lt;100000,"Large","Mega"))))</f>
        <v>Medium</v>
      </c>
      <c r="P3025" s="287" t="str">
        <f t="shared" si="49"/>
        <v>GujRERA</v>
      </c>
    </row>
    <row r="3026" spans="1:16">
      <c r="A3026" s="129" t="str">
        <f>_xlfn.XLOOKUP(B3026,$S$9:$S$14,$T$9:$T$14)&amp;"-"&amp;
IF(E3026="Residential/Group Housing","RES",
IF(E3026="Commercial","COM",
IF(E3026="Mixed Development","MIX",
IF(E3026="Plotted Development","PLT","OTH"))))
&amp;"-"&amp;TEXT(COUNTIFS($B$9:B3026,B3026,$E$9:E3026,E3026),"0000")</f>
        <v>VAL-RES-0129</v>
      </c>
      <c r="B3026" s="322" t="s">
        <v>35</v>
      </c>
      <c r="C3026" s="322" t="s">
        <v>35</v>
      </c>
      <c r="D3026" s="323" t="s">
        <v>3215</v>
      </c>
      <c r="E3026" s="132" t="s">
        <v>24</v>
      </c>
      <c r="F3026" s="97" t="str">
        <f ca="1">IF(OR(Market_Data[[#This Row],[Start Date]]="",Market_Data[[#This Row],[Completion Date]]=""),"Needs Validation",IF(Market_Data[[#This Row],[Start Date]]&gt;TODAY(),"Planned",IF(Market_Data[[#This Row],[Completion Date]]&lt;TODAY(),"Completed","Ongoing")))</f>
        <v>Completed</v>
      </c>
      <c r="G3026" s="324">
        <v>42109</v>
      </c>
      <c r="H3026" s="324">
        <v>43073</v>
      </c>
      <c r="I3026" s="325">
        <v>41800</v>
      </c>
      <c r="J302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26" s="133">
        <f>_xlfn.XLOOKUP(Market_Data[[#This Row],[Project Type]],tbl_assumptions_market[Project Category (RERA)],tbl_assumptions_market[Concrete Intensity
(m³ / sq m BUA)],"",0)</f>
        <v>0.45</v>
      </c>
      <c r="L3026" s="134">
        <f>ROUND(Market_Data[[#This Row],[Estimated Built Up Area (sq m)]]*Market_Data[[#This Row],[Concrete Intensity
(m³ / sq m)]],0)</f>
        <v>18810</v>
      </c>
      <c r="M3026" s="135">
        <f>_xlfn.XLOOKUP(Market_Data[[#This Row],[District]],tbl_district_price[District],tbl_district_price[Standard Price
(INR/m³)],"",0)</f>
        <v>5600</v>
      </c>
      <c r="N3026" s="364">
        <f>IF(OR(Market_Data[[#This Row],[Estimated Concrete Demand (m³)]]="",Market_Data[[#This Row],[Avg Price per (₹ / m³)]]=""),"",Market_Data[[#This Row],[Estimated Concrete Demand (m³)]]*Market_Data[[#This Row],[Avg Price per (₹ / m³)]]/10000000)</f>
        <v>10.5336</v>
      </c>
      <c r="O3026" s="97" t="str">
        <f>IF(Market_Data[[#This Row],[Estimated Concrete Demand (m³)]]="","",
IF(Market_Data[[#This Row],[Estimated Concrete Demand (m³)]]&lt;10000,"Small",
IF(Market_Data[[#This Row],[Estimated Concrete Demand (m³)]]&lt;25000,"Medium",
IF(Market_Data[[#This Row],[Estimated Concrete Demand (m³)]]&lt;100000,"Large","Mega"))))</f>
        <v>Medium</v>
      </c>
      <c r="P3026" s="287" t="str">
        <f t="shared" si="49"/>
        <v>GujRERA</v>
      </c>
    </row>
    <row r="3027" spans="1:16">
      <c r="A3027" s="129" t="str">
        <f>_xlfn.XLOOKUP(B3027,$S$9:$S$14,$T$9:$T$14)&amp;"-"&amp;
IF(E3027="Residential/Group Housing","RES",
IF(E3027="Commercial","COM",
IF(E3027="Mixed Development","MIX",
IF(E3027="Plotted Development","PLT","OTH"))))
&amp;"-"&amp;TEXT(COUNTIFS($B$9:B3027,B3027,$E$9:E3027,E3027),"0000")</f>
        <v>VAL-RES-0130</v>
      </c>
      <c r="B3027" s="322" t="s">
        <v>35</v>
      </c>
      <c r="C3027" s="322" t="s">
        <v>35</v>
      </c>
      <c r="D3027" s="323" t="s">
        <v>3216</v>
      </c>
      <c r="E3027" s="132" t="s">
        <v>24</v>
      </c>
      <c r="F3027" s="97" t="str">
        <f ca="1">IF(OR(Market_Data[[#This Row],[Start Date]]="",Market_Data[[#This Row],[Completion Date]]=""),"Needs Validation",IF(Market_Data[[#This Row],[Start Date]]&gt;TODAY(),"Planned",IF(Market_Data[[#This Row],[Completion Date]]&lt;TODAY(),"Completed","Ongoing")))</f>
        <v>Ongoing</v>
      </c>
      <c r="G3027" s="324">
        <v>45748</v>
      </c>
      <c r="H3027" s="324">
        <v>47573</v>
      </c>
      <c r="I3027" s="325">
        <v>29700</v>
      </c>
      <c r="J302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27" s="133">
        <f>_xlfn.XLOOKUP(Market_Data[[#This Row],[Project Type]],tbl_assumptions_market[Project Category (RERA)],tbl_assumptions_market[Concrete Intensity
(m³ / sq m BUA)],"",0)</f>
        <v>0.45</v>
      </c>
      <c r="L3027" s="134">
        <f>ROUND(Market_Data[[#This Row],[Estimated Built Up Area (sq m)]]*Market_Data[[#This Row],[Concrete Intensity
(m³ / sq m)]],0)</f>
        <v>13365</v>
      </c>
      <c r="M3027" s="135">
        <f>_xlfn.XLOOKUP(Market_Data[[#This Row],[District]],tbl_district_price[District],tbl_district_price[Standard Price
(INR/m³)],"",0)</f>
        <v>5600</v>
      </c>
      <c r="N3027" s="364">
        <f>IF(OR(Market_Data[[#This Row],[Estimated Concrete Demand (m³)]]="",Market_Data[[#This Row],[Avg Price per (₹ / m³)]]=""),"",Market_Data[[#This Row],[Estimated Concrete Demand (m³)]]*Market_Data[[#This Row],[Avg Price per (₹ / m³)]]/10000000)</f>
        <v>7.4843999999999999</v>
      </c>
      <c r="O3027" s="97" t="str">
        <f>IF(Market_Data[[#This Row],[Estimated Concrete Demand (m³)]]="","",
IF(Market_Data[[#This Row],[Estimated Concrete Demand (m³)]]&lt;10000,"Small",
IF(Market_Data[[#This Row],[Estimated Concrete Demand (m³)]]&lt;25000,"Medium",
IF(Market_Data[[#This Row],[Estimated Concrete Demand (m³)]]&lt;100000,"Large","Mega"))))</f>
        <v>Medium</v>
      </c>
      <c r="P3027" s="287" t="str">
        <f t="shared" si="49"/>
        <v>GujRERA</v>
      </c>
    </row>
    <row r="3028" spans="1:16">
      <c r="A3028" s="129" t="str">
        <f>_xlfn.XLOOKUP(B3028,$S$9:$S$14,$T$9:$T$14)&amp;"-"&amp;
IF(E3028="Residential/Group Housing","RES",
IF(E3028="Commercial","COM",
IF(E3028="Mixed Development","MIX",
IF(E3028="Plotted Development","PLT","OTH"))))
&amp;"-"&amp;TEXT(COUNTIFS($B$9:B3028,B3028,$E$9:E3028,E3028),"0000")</f>
        <v>VAL-MIX-0144</v>
      </c>
      <c r="B3028" s="322" t="s">
        <v>35</v>
      </c>
      <c r="C3028" s="322" t="s">
        <v>35</v>
      </c>
      <c r="D3028" s="323" t="s">
        <v>3217</v>
      </c>
      <c r="E3028" s="132" t="s">
        <v>25</v>
      </c>
      <c r="F3028" s="97" t="str">
        <f ca="1">IF(OR(Market_Data[[#This Row],[Start Date]]="",Market_Data[[#This Row],[Completion Date]]=""),"Needs Validation",IF(Market_Data[[#This Row],[Start Date]]&gt;TODAY(),"Planned",IF(Market_Data[[#This Row],[Completion Date]]&lt;TODAY(),"Completed","Ongoing")))</f>
        <v>Completed</v>
      </c>
      <c r="G3028" s="324">
        <v>43556</v>
      </c>
      <c r="H3028" s="324">
        <v>45929</v>
      </c>
      <c r="I3028" s="325">
        <v>15400</v>
      </c>
      <c r="J302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28" s="133">
        <f>_xlfn.XLOOKUP(Market_Data[[#This Row],[Project Type]],tbl_assumptions_market[Project Category (RERA)],tbl_assumptions_market[Concrete Intensity
(m³ / sq m BUA)],"",0)</f>
        <v>0.42</v>
      </c>
      <c r="L3028" s="134">
        <f>ROUND(Market_Data[[#This Row],[Estimated Built Up Area (sq m)]]*Market_Data[[#This Row],[Concrete Intensity
(m³ / sq m)]],0)</f>
        <v>6468</v>
      </c>
      <c r="M3028" s="135">
        <f>_xlfn.XLOOKUP(Market_Data[[#This Row],[District]],tbl_district_price[District],tbl_district_price[Standard Price
(INR/m³)],"",0)</f>
        <v>5600</v>
      </c>
      <c r="N3028" s="364">
        <f>IF(OR(Market_Data[[#This Row],[Estimated Concrete Demand (m³)]]="",Market_Data[[#This Row],[Avg Price per (₹ / m³)]]=""),"",Market_Data[[#This Row],[Estimated Concrete Demand (m³)]]*Market_Data[[#This Row],[Avg Price per (₹ / m³)]]/10000000)</f>
        <v>3.62208</v>
      </c>
      <c r="O3028" s="97" t="str">
        <f>IF(Market_Data[[#This Row],[Estimated Concrete Demand (m³)]]="","",
IF(Market_Data[[#This Row],[Estimated Concrete Demand (m³)]]&lt;10000,"Small",
IF(Market_Data[[#This Row],[Estimated Concrete Demand (m³)]]&lt;25000,"Medium",
IF(Market_Data[[#This Row],[Estimated Concrete Demand (m³)]]&lt;100000,"Large","Mega"))))</f>
        <v>Small</v>
      </c>
      <c r="P3028" s="287" t="str">
        <f t="shared" si="49"/>
        <v>GujRERA</v>
      </c>
    </row>
    <row r="3029" spans="1:16">
      <c r="A3029" s="129" t="str">
        <f>_xlfn.XLOOKUP(B3029,$S$9:$S$14,$T$9:$T$14)&amp;"-"&amp;
IF(E3029="Residential/Group Housing","RES",
IF(E3029="Commercial","COM",
IF(E3029="Mixed Development","MIX",
IF(E3029="Plotted Development","PLT","OTH"))))
&amp;"-"&amp;TEXT(COUNTIFS($B$9:B3029,B3029,$E$9:E3029,E3029),"0000")</f>
        <v>VAL-COM-0027</v>
      </c>
      <c r="B3029" s="322" t="s">
        <v>35</v>
      </c>
      <c r="C3029" s="322" t="s">
        <v>35</v>
      </c>
      <c r="D3029" s="323" t="s">
        <v>3218</v>
      </c>
      <c r="E3029" s="132" t="s">
        <v>23</v>
      </c>
      <c r="F3029" s="97" t="str">
        <f ca="1">IF(OR(Market_Data[[#This Row],[Start Date]]="",Market_Data[[#This Row],[Completion Date]]=""),"Needs Validation",IF(Market_Data[[#This Row],[Start Date]]&gt;TODAY(),"Planned",IF(Market_Data[[#This Row],[Completion Date]]&lt;TODAY(),"Completed","Ongoing")))</f>
        <v>Ongoing</v>
      </c>
      <c r="G3029" s="324">
        <v>45627</v>
      </c>
      <c r="H3029" s="324">
        <v>47483</v>
      </c>
      <c r="I3029" s="325">
        <v>15000</v>
      </c>
      <c r="J302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29" s="133">
        <f>_xlfn.XLOOKUP(Market_Data[[#This Row],[Project Type]],tbl_assumptions_market[Project Category (RERA)],tbl_assumptions_market[Concrete Intensity
(m³ / sq m BUA)],"",0)</f>
        <v>0.5</v>
      </c>
      <c r="L3029" s="134">
        <f>ROUND(Market_Data[[#This Row],[Estimated Built Up Area (sq m)]]*Market_Data[[#This Row],[Concrete Intensity
(m³ / sq m)]],0)</f>
        <v>7500</v>
      </c>
      <c r="M3029" s="135">
        <f>_xlfn.XLOOKUP(Market_Data[[#This Row],[District]],tbl_district_price[District],tbl_district_price[Standard Price
(INR/m³)],"",0)</f>
        <v>5600</v>
      </c>
      <c r="N3029" s="364">
        <f>IF(OR(Market_Data[[#This Row],[Estimated Concrete Demand (m³)]]="",Market_Data[[#This Row],[Avg Price per (₹ / m³)]]=""),"",Market_Data[[#This Row],[Estimated Concrete Demand (m³)]]*Market_Data[[#This Row],[Avg Price per (₹ / m³)]]/10000000)</f>
        <v>4.2</v>
      </c>
      <c r="O3029" s="97" t="str">
        <f>IF(Market_Data[[#This Row],[Estimated Concrete Demand (m³)]]="","",
IF(Market_Data[[#This Row],[Estimated Concrete Demand (m³)]]&lt;10000,"Small",
IF(Market_Data[[#This Row],[Estimated Concrete Demand (m³)]]&lt;25000,"Medium",
IF(Market_Data[[#This Row],[Estimated Concrete Demand (m³)]]&lt;100000,"Large","Mega"))))</f>
        <v>Small</v>
      </c>
      <c r="P3029" s="287" t="str">
        <f t="shared" si="49"/>
        <v>GujRERA</v>
      </c>
    </row>
    <row r="3030" spans="1:16">
      <c r="A3030" s="129" t="str">
        <f>_xlfn.XLOOKUP(B3030,$S$9:$S$14,$T$9:$T$14)&amp;"-"&amp;
IF(E3030="Residential/Group Housing","RES",
IF(E3030="Commercial","COM",
IF(E3030="Mixed Development","MIX",
IF(E3030="Plotted Development","PLT","OTH"))))
&amp;"-"&amp;TEXT(COUNTIFS($B$9:B3030,B3030,$E$9:E3030,E3030),"0000")</f>
        <v>VAL-RES-0131</v>
      </c>
      <c r="B3030" s="322" t="s">
        <v>35</v>
      </c>
      <c r="C3030" s="322" t="s">
        <v>35</v>
      </c>
      <c r="D3030" s="323" t="s">
        <v>3219</v>
      </c>
      <c r="E3030" s="132" t="s">
        <v>24</v>
      </c>
      <c r="F3030" s="97" t="str">
        <f ca="1">IF(OR(Market_Data[[#This Row],[Start Date]]="",Market_Data[[#This Row],[Completion Date]]=""),"Needs Validation",IF(Market_Data[[#This Row],[Start Date]]&gt;TODAY(),"Planned",IF(Market_Data[[#This Row],[Completion Date]]&lt;TODAY(),"Completed","Ongoing")))</f>
        <v>Ongoing</v>
      </c>
      <c r="G3030" s="324">
        <v>45692</v>
      </c>
      <c r="H3030" s="324">
        <v>46387</v>
      </c>
      <c r="I3030" s="325">
        <v>17000</v>
      </c>
      <c r="J303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30" s="133">
        <f>_xlfn.XLOOKUP(Market_Data[[#This Row],[Project Type]],tbl_assumptions_market[Project Category (RERA)],tbl_assumptions_market[Concrete Intensity
(m³ / sq m BUA)],"",0)</f>
        <v>0.45</v>
      </c>
      <c r="L3030" s="134">
        <f>ROUND(Market_Data[[#This Row],[Estimated Built Up Area (sq m)]]*Market_Data[[#This Row],[Concrete Intensity
(m³ / sq m)]],0)</f>
        <v>7650</v>
      </c>
      <c r="M3030" s="135">
        <f>_xlfn.XLOOKUP(Market_Data[[#This Row],[District]],tbl_district_price[District],tbl_district_price[Standard Price
(INR/m³)],"",0)</f>
        <v>5600</v>
      </c>
      <c r="N3030" s="364">
        <f>IF(OR(Market_Data[[#This Row],[Estimated Concrete Demand (m³)]]="",Market_Data[[#This Row],[Avg Price per (₹ / m³)]]=""),"",Market_Data[[#This Row],[Estimated Concrete Demand (m³)]]*Market_Data[[#This Row],[Avg Price per (₹ / m³)]]/10000000)</f>
        <v>4.2839999999999998</v>
      </c>
      <c r="O3030" s="97" t="str">
        <f>IF(Market_Data[[#This Row],[Estimated Concrete Demand (m³)]]="","",
IF(Market_Data[[#This Row],[Estimated Concrete Demand (m³)]]&lt;10000,"Small",
IF(Market_Data[[#This Row],[Estimated Concrete Demand (m³)]]&lt;25000,"Medium",
IF(Market_Data[[#This Row],[Estimated Concrete Demand (m³)]]&lt;100000,"Large","Mega"))))</f>
        <v>Small</v>
      </c>
      <c r="P3030" s="287" t="str">
        <f t="shared" si="49"/>
        <v>GujRERA</v>
      </c>
    </row>
    <row r="3031" spans="1:16">
      <c r="A3031" s="129" t="str">
        <f>_xlfn.XLOOKUP(B3031,$S$9:$S$14,$T$9:$T$14)&amp;"-"&amp;
IF(E3031="Residential/Group Housing","RES",
IF(E3031="Commercial","COM",
IF(E3031="Mixed Development","MIX",
IF(E3031="Plotted Development","PLT","OTH"))))
&amp;"-"&amp;TEXT(COUNTIFS($B$9:B3031,B3031,$E$9:E3031,E3031),"0000")</f>
        <v>VAL-RES-0132</v>
      </c>
      <c r="B3031" s="322" t="s">
        <v>35</v>
      </c>
      <c r="C3031" s="322" t="s">
        <v>35</v>
      </c>
      <c r="D3031" s="323" t="s">
        <v>3220</v>
      </c>
      <c r="E3031" s="132" t="s">
        <v>24</v>
      </c>
      <c r="F3031" s="97" t="str">
        <f ca="1">IF(OR(Market_Data[[#This Row],[Start Date]]="",Market_Data[[#This Row],[Completion Date]]=""),"Needs Validation",IF(Market_Data[[#This Row],[Start Date]]&gt;TODAY(),"Planned",IF(Market_Data[[#This Row],[Completion Date]]&lt;TODAY(),"Completed","Ongoing")))</f>
        <v>Ongoing</v>
      </c>
      <c r="G3031" s="324">
        <v>45762</v>
      </c>
      <c r="H3031" s="324">
        <v>46599</v>
      </c>
      <c r="I3031" s="325">
        <v>6500</v>
      </c>
      <c r="J303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31" s="133">
        <f>_xlfn.XLOOKUP(Market_Data[[#This Row],[Project Type]],tbl_assumptions_market[Project Category (RERA)],tbl_assumptions_market[Concrete Intensity
(m³ / sq m BUA)],"",0)</f>
        <v>0.45</v>
      </c>
      <c r="L3031" s="134">
        <f>ROUND(Market_Data[[#This Row],[Estimated Built Up Area (sq m)]]*Market_Data[[#This Row],[Concrete Intensity
(m³ / sq m)]],0)</f>
        <v>2925</v>
      </c>
      <c r="M3031" s="135">
        <f>_xlfn.XLOOKUP(Market_Data[[#This Row],[District]],tbl_district_price[District],tbl_district_price[Standard Price
(INR/m³)],"",0)</f>
        <v>5600</v>
      </c>
      <c r="N3031" s="364">
        <f>IF(OR(Market_Data[[#This Row],[Estimated Concrete Demand (m³)]]="",Market_Data[[#This Row],[Avg Price per (₹ / m³)]]=""),"",Market_Data[[#This Row],[Estimated Concrete Demand (m³)]]*Market_Data[[#This Row],[Avg Price per (₹ / m³)]]/10000000)</f>
        <v>1.6379999999999999</v>
      </c>
      <c r="O3031" s="97" t="str">
        <f>IF(Market_Data[[#This Row],[Estimated Concrete Demand (m³)]]="","",
IF(Market_Data[[#This Row],[Estimated Concrete Demand (m³)]]&lt;10000,"Small",
IF(Market_Data[[#This Row],[Estimated Concrete Demand (m³)]]&lt;25000,"Medium",
IF(Market_Data[[#This Row],[Estimated Concrete Demand (m³)]]&lt;100000,"Large","Mega"))))</f>
        <v>Small</v>
      </c>
      <c r="P3031" s="287" t="str">
        <f t="shared" si="49"/>
        <v>GujRERA</v>
      </c>
    </row>
    <row r="3032" spans="1:16">
      <c r="A3032" s="129" t="str">
        <f>_xlfn.XLOOKUP(B3032,$S$9:$S$14,$T$9:$T$14)&amp;"-"&amp;
IF(E3032="Residential/Group Housing","RES",
IF(E3032="Commercial","COM",
IF(E3032="Mixed Development","MIX",
IF(E3032="Plotted Development","PLT","OTH"))))
&amp;"-"&amp;TEXT(COUNTIFS($B$9:B3032,B3032,$E$9:E3032,E3032),"0000")</f>
        <v>VAL-RES-0133</v>
      </c>
      <c r="B3032" s="322" t="s">
        <v>35</v>
      </c>
      <c r="C3032" s="322" t="s">
        <v>35</v>
      </c>
      <c r="D3032" s="323" t="s">
        <v>3221</v>
      </c>
      <c r="E3032" s="132" t="s">
        <v>24</v>
      </c>
      <c r="F3032" s="97" t="str">
        <f ca="1">IF(OR(Market_Data[[#This Row],[Start Date]]="",Market_Data[[#This Row],[Completion Date]]=""),"Needs Validation",IF(Market_Data[[#This Row],[Start Date]]&gt;TODAY(),"Planned",IF(Market_Data[[#This Row],[Completion Date]]&lt;TODAY(),"Completed","Ongoing")))</f>
        <v>Completed</v>
      </c>
      <c r="G3032" s="324">
        <v>43525</v>
      </c>
      <c r="H3032" s="324">
        <v>45838</v>
      </c>
      <c r="I3032" s="325">
        <v>25500</v>
      </c>
      <c r="J303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32" s="133">
        <f>_xlfn.XLOOKUP(Market_Data[[#This Row],[Project Type]],tbl_assumptions_market[Project Category (RERA)],tbl_assumptions_market[Concrete Intensity
(m³ / sq m BUA)],"",0)</f>
        <v>0.45</v>
      </c>
      <c r="L3032" s="134">
        <f>ROUND(Market_Data[[#This Row],[Estimated Built Up Area (sq m)]]*Market_Data[[#This Row],[Concrete Intensity
(m³ / sq m)]],0)</f>
        <v>11475</v>
      </c>
      <c r="M3032" s="135">
        <f>_xlfn.XLOOKUP(Market_Data[[#This Row],[District]],tbl_district_price[District],tbl_district_price[Standard Price
(INR/m³)],"",0)</f>
        <v>5600</v>
      </c>
      <c r="N3032" s="364">
        <f>IF(OR(Market_Data[[#This Row],[Estimated Concrete Demand (m³)]]="",Market_Data[[#This Row],[Avg Price per (₹ / m³)]]=""),"",Market_Data[[#This Row],[Estimated Concrete Demand (m³)]]*Market_Data[[#This Row],[Avg Price per (₹ / m³)]]/10000000)</f>
        <v>6.4260000000000002</v>
      </c>
      <c r="O3032" s="97" t="str">
        <f>IF(Market_Data[[#This Row],[Estimated Concrete Demand (m³)]]="","",
IF(Market_Data[[#This Row],[Estimated Concrete Demand (m³)]]&lt;10000,"Small",
IF(Market_Data[[#This Row],[Estimated Concrete Demand (m³)]]&lt;25000,"Medium",
IF(Market_Data[[#This Row],[Estimated Concrete Demand (m³)]]&lt;100000,"Large","Mega"))))</f>
        <v>Medium</v>
      </c>
      <c r="P3032" s="287" t="str">
        <f t="shared" si="49"/>
        <v>GujRERA</v>
      </c>
    </row>
    <row r="3033" spans="1:16">
      <c r="A3033" s="129" t="str">
        <f>_xlfn.XLOOKUP(B3033,$S$9:$S$14,$T$9:$T$14)&amp;"-"&amp;
IF(E3033="Residential/Group Housing","RES",
IF(E3033="Commercial","COM",
IF(E3033="Mixed Development","MIX",
IF(E3033="Plotted Development","PLT","OTH"))))
&amp;"-"&amp;TEXT(COUNTIFS($B$9:B3033,B3033,$E$9:E3033,E3033),"0000")</f>
        <v>VAL-COM-0028</v>
      </c>
      <c r="B3033" s="322" t="s">
        <v>35</v>
      </c>
      <c r="C3033" s="322" t="s">
        <v>35</v>
      </c>
      <c r="D3033" s="323" t="s">
        <v>3222</v>
      </c>
      <c r="E3033" s="132" t="s">
        <v>23</v>
      </c>
      <c r="F3033" s="97" t="str">
        <f ca="1">IF(OR(Market_Data[[#This Row],[Start Date]]="",Market_Data[[#This Row],[Completion Date]]=""),"Needs Validation",IF(Market_Data[[#This Row],[Start Date]]&gt;TODAY(),"Planned",IF(Market_Data[[#This Row],[Completion Date]]&lt;TODAY(),"Completed","Ongoing")))</f>
        <v>Ongoing</v>
      </c>
      <c r="G3033" s="324">
        <v>45627</v>
      </c>
      <c r="H3033" s="324">
        <v>47483</v>
      </c>
      <c r="I3033" s="325">
        <v>51200</v>
      </c>
      <c r="J303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3033" s="133">
        <f>_xlfn.XLOOKUP(Market_Data[[#This Row],[Project Type]],tbl_assumptions_market[Project Category (RERA)],tbl_assumptions_market[Concrete Intensity
(m³ / sq m BUA)],"",0)</f>
        <v>0.5</v>
      </c>
      <c r="L3033" s="134">
        <f>ROUND(Market_Data[[#This Row],[Estimated Built Up Area (sq m)]]*Market_Data[[#This Row],[Concrete Intensity
(m³ / sq m)]],0)</f>
        <v>25600</v>
      </c>
      <c r="M3033" s="135">
        <f>_xlfn.XLOOKUP(Market_Data[[#This Row],[District]],tbl_district_price[District],tbl_district_price[Standard Price
(INR/m³)],"",0)</f>
        <v>5600</v>
      </c>
      <c r="N3033" s="364">
        <f>IF(OR(Market_Data[[#This Row],[Estimated Concrete Demand (m³)]]="",Market_Data[[#This Row],[Avg Price per (₹ / m³)]]=""),"",Market_Data[[#This Row],[Estimated Concrete Demand (m³)]]*Market_Data[[#This Row],[Avg Price per (₹ / m³)]]/10000000)</f>
        <v>14.336</v>
      </c>
      <c r="O3033" s="97" t="str">
        <f>IF(Market_Data[[#This Row],[Estimated Concrete Demand (m³)]]="","",
IF(Market_Data[[#This Row],[Estimated Concrete Demand (m³)]]&lt;10000,"Small",
IF(Market_Data[[#This Row],[Estimated Concrete Demand (m³)]]&lt;25000,"Medium",
IF(Market_Data[[#This Row],[Estimated Concrete Demand (m³)]]&lt;100000,"Large","Mega"))))</f>
        <v>Large</v>
      </c>
      <c r="P3033" s="287" t="str">
        <f t="shared" si="49"/>
        <v>GujRERA</v>
      </c>
    </row>
    <row r="3034" spans="1:16">
      <c r="A3034" s="129" t="str">
        <f>_xlfn.XLOOKUP(B3034,$S$9:$S$14,$T$9:$T$14)&amp;"-"&amp;
IF(E3034="Residential/Group Housing","RES",
IF(E3034="Commercial","COM",
IF(E3034="Mixed Development","MIX",
IF(E3034="Plotted Development","PLT","OTH"))))
&amp;"-"&amp;TEXT(COUNTIFS($B$9:B3034,B3034,$E$9:E3034,E3034),"0000")</f>
        <v>VAL-COM-0029</v>
      </c>
      <c r="B3034" s="322" t="s">
        <v>35</v>
      </c>
      <c r="C3034" s="322" t="s">
        <v>35</v>
      </c>
      <c r="D3034" s="323" t="s">
        <v>3223</v>
      </c>
      <c r="E3034" s="132" t="s">
        <v>23</v>
      </c>
      <c r="F3034" s="97" t="str">
        <f ca="1">IF(OR(Market_Data[[#This Row],[Start Date]]="",Market_Data[[#This Row],[Completion Date]]=""),"Needs Validation",IF(Market_Data[[#This Row],[Start Date]]&gt;TODAY(),"Planned",IF(Market_Data[[#This Row],[Completion Date]]&lt;TODAY(),"Completed","Ongoing")))</f>
        <v>Completed</v>
      </c>
      <c r="G3034" s="324">
        <v>44898</v>
      </c>
      <c r="H3034" s="324">
        <v>46202</v>
      </c>
      <c r="I3034" s="325">
        <v>36900</v>
      </c>
      <c r="J303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3034" s="133">
        <f>_xlfn.XLOOKUP(Market_Data[[#This Row],[Project Type]],tbl_assumptions_market[Project Category (RERA)],tbl_assumptions_market[Concrete Intensity
(m³ / sq m BUA)],"",0)</f>
        <v>0.5</v>
      </c>
      <c r="L3034" s="134">
        <f>ROUND(Market_Data[[#This Row],[Estimated Built Up Area (sq m)]]*Market_Data[[#This Row],[Concrete Intensity
(m³ / sq m)]],0)</f>
        <v>18450</v>
      </c>
      <c r="M3034" s="135">
        <f>_xlfn.XLOOKUP(Market_Data[[#This Row],[District]],tbl_district_price[District],tbl_district_price[Standard Price
(INR/m³)],"",0)</f>
        <v>5600</v>
      </c>
      <c r="N3034" s="364">
        <f>IF(OR(Market_Data[[#This Row],[Estimated Concrete Demand (m³)]]="",Market_Data[[#This Row],[Avg Price per (₹ / m³)]]=""),"",Market_Data[[#This Row],[Estimated Concrete Demand (m³)]]*Market_Data[[#This Row],[Avg Price per (₹ / m³)]]/10000000)</f>
        <v>10.332000000000001</v>
      </c>
      <c r="O3034" s="97" t="str">
        <f>IF(Market_Data[[#This Row],[Estimated Concrete Demand (m³)]]="","",
IF(Market_Data[[#This Row],[Estimated Concrete Demand (m³)]]&lt;10000,"Small",
IF(Market_Data[[#This Row],[Estimated Concrete Demand (m³)]]&lt;25000,"Medium",
IF(Market_Data[[#This Row],[Estimated Concrete Demand (m³)]]&lt;100000,"Large","Mega"))))</f>
        <v>Medium</v>
      </c>
      <c r="P3034" s="287" t="str">
        <f t="shared" si="49"/>
        <v>GujRERA</v>
      </c>
    </row>
    <row r="3035" spans="1:16">
      <c r="A3035" s="129" t="str">
        <f>_xlfn.XLOOKUP(B3035,$S$9:$S$14,$T$9:$T$14)&amp;"-"&amp;
IF(E3035="Residential/Group Housing","RES",
IF(E3035="Commercial","COM",
IF(E3035="Mixed Development","MIX",
IF(E3035="Plotted Development","PLT","OTH"))))
&amp;"-"&amp;TEXT(COUNTIFS($B$9:B3035,B3035,$E$9:E3035,E3035),"0000")</f>
        <v>VAL-MIX-0145</v>
      </c>
      <c r="B3035" s="322" t="s">
        <v>35</v>
      </c>
      <c r="C3035" s="322" t="s">
        <v>35</v>
      </c>
      <c r="D3035" s="323" t="s">
        <v>3224</v>
      </c>
      <c r="E3035" s="132" t="s">
        <v>25</v>
      </c>
      <c r="F3035" s="97" t="str">
        <f ca="1">IF(OR(Market_Data[[#This Row],[Start Date]]="",Market_Data[[#This Row],[Completion Date]]=""),"Needs Validation",IF(Market_Data[[#This Row],[Start Date]]&gt;TODAY(),"Planned",IF(Market_Data[[#This Row],[Completion Date]]&lt;TODAY(),"Completed","Ongoing")))</f>
        <v>Completed</v>
      </c>
      <c r="G3035" s="324">
        <v>45003</v>
      </c>
      <c r="H3035" s="324">
        <v>46111</v>
      </c>
      <c r="I3035" s="325">
        <v>16200</v>
      </c>
      <c r="J303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35" s="133">
        <f>_xlfn.XLOOKUP(Market_Data[[#This Row],[Project Type]],tbl_assumptions_market[Project Category (RERA)],tbl_assumptions_market[Concrete Intensity
(m³ / sq m BUA)],"",0)</f>
        <v>0.42</v>
      </c>
      <c r="L3035" s="134">
        <f>ROUND(Market_Data[[#This Row],[Estimated Built Up Area (sq m)]]*Market_Data[[#This Row],[Concrete Intensity
(m³ / sq m)]],0)</f>
        <v>6804</v>
      </c>
      <c r="M3035" s="135">
        <f>_xlfn.XLOOKUP(Market_Data[[#This Row],[District]],tbl_district_price[District],tbl_district_price[Standard Price
(INR/m³)],"",0)</f>
        <v>5600</v>
      </c>
      <c r="N3035" s="364">
        <f>IF(OR(Market_Data[[#This Row],[Estimated Concrete Demand (m³)]]="",Market_Data[[#This Row],[Avg Price per (₹ / m³)]]=""),"",Market_Data[[#This Row],[Estimated Concrete Demand (m³)]]*Market_Data[[#This Row],[Avg Price per (₹ / m³)]]/10000000)</f>
        <v>3.8102399999999998</v>
      </c>
      <c r="O3035" s="97" t="str">
        <f>IF(Market_Data[[#This Row],[Estimated Concrete Demand (m³)]]="","",
IF(Market_Data[[#This Row],[Estimated Concrete Demand (m³)]]&lt;10000,"Small",
IF(Market_Data[[#This Row],[Estimated Concrete Demand (m³)]]&lt;25000,"Medium",
IF(Market_Data[[#This Row],[Estimated Concrete Demand (m³)]]&lt;100000,"Large","Mega"))))</f>
        <v>Small</v>
      </c>
      <c r="P3035" s="287" t="str">
        <f t="shared" si="49"/>
        <v>GujRERA</v>
      </c>
    </row>
    <row r="3036" spans="1:16">
      <c r="A3036" s="129" t="str">
        <f>_xlfn.XLOOKUP(B3036,$S$9:$S$14,$T$9:$T$14)&amp;"-"&amp;
IF(E3036="Residential/Group Housing","RES",
IF(E3036="Commercial","COM",
IF(E3036="Mixed Development","MIX",
IF(E3036="Plotted Development","PLT","OTH"))))
&amp;"-"&amp;TEXT(COUNTIFS($B$9:B3036,B3036,$E$9:E3036,E3036),"0000")</f>
        <v>VAL-COM-0030</v>
      </c>
      <c r="B3036" s="322" t="s">
        <v>35</v>
      </c>
      <c r="C3036" s="322" t="s">
        <v>35</v>
      </c>
      <c r="D3036" s="323" t="s">
        <v>3225</v>
      </c>
      <c r="E3036" s="132" t="s">
        <v>23</v>
      </c>
      <c r="F3036" s="97" t="str">
        <f ca="1">IF(OR(Market_Data[[#This Row],[Start Date]]="",Market_Data[[#This Row],[Completion Date]]=""),"Needs Validation",IF(Market_Data[[#This Row],[Start Date]]&gt;TODAY(),"Planned",IF(Market_Data[[#This Row],[Completion Date]]&lt;TODAY(),"Completed","Ongoing")))</f>
        <v>Completed</v>
      </c>
      <c r="G3036" s="324">
        <v>42029</v>
      </c>
      <c r="H3036" s="324">
        <v>43738</v>
      </c>
      <c r="I3036" s="325">
        <v>3600</v>
      </c>
      <c r="J303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36" s="133">
        <f>_xlfn.XLOOKUP(Market_Data[[#This Row],[Project Type]],tbl_assumptions_market[Project Category (RERA)],tbl_assumptions_market[Concrete Intensity
(m³ / sq m BUA)],"",0)</f>
        <v>0.5</v>
      </c>
      <c r="L3036" s="134">
        <f>ROUND(Market_Data[[#This Row],[Estimated Built Up Area (sq m)]]*Market_Data[[#This Row],[Concrete Intensity
(m³ / sq m)]],0)</f>
        <v>1800</v>
      </c>
      <c r="M3036" s="135">
        <f>_xlfn.XLOOKUP(Market_Data[[#This Row],[District]],tbl_district_price[District],tbl_district_price[Standard Price
(INR/m³)],"",0)</f>
        <v>5600</v>
      </c>
      <c r="N3036" s="364">
        <f>IF(OR(Market_Data[[#This Row],[Estimated Concrete Demand (m³)]]="",Market_Data[[#This Row],[Avg Price per (₹ / m³)]]=""),"",Market_Data[[#This Row],[Estimated Concrete Demand (m³)]]*Market_Data[[#This Row],[Avg Price per (₹ / m³)]]/10000000)</f>
        <v>1.008</v>
      </c>
      <c r="O3036" s="97" t="str">
        <f>IF(Market_Data[[#This Row],[Estimated Concrete Demand (m³)]]="","",
IF(Market_Data[[#This Row],[Estimated Concrete Demand (m³)]]&lt;10000,"Small",
IF(Market_Data[[#This Row],[Estimated Concrete Demand (m³)]]&lt;25000,"Medium",
IF(Market_Data[[#This Row],[Estimated Concrete Demand (m³)]]&lt;100000,"Large","Mega"))))</f>
        <v>Small</v>
      </c>
      <c r="P3036" s="287" t="str">
        <f t="shared" si="49"/>
        <v>GujRERA</v>
      </c>
    </row>
    <row r="3037" spans="1:16">
      <c r="A3037" s="129" t="str">
        <f>_xlfn.XLOOKUP(B3037,$S$9:$S$14,$T$9:$T$14)&amp;"-"&amp;
IF(E3037="Residential/Group Housing","RES",
IF(E3037="Commercial","COM",
IF(E3037="Mixed Development","MIX",
IF(E3037="Plotted Development","PLT","OTH"))))
&amp;"-"&amp;TEXT(COUNTIFS($B$9:B3037,B3037,$E$9:E3037,E3037),"0000")</f>
        <v>VAL-COM-0031</v>
      </c>
      <c r="B3037" s="322" t="s">
        <v>35</v>
      </c>
      <c r="C3037" s="322" t="s">
        <v>35</v>
      </c>
      <c r="D3037" s="323" t="s">
        <v>3226</v>
      </c>
      <c r="E3037" s="132" t="s">
        <v>23</v>
      </c>
      <c r="F3037" s="97" t="str">
        <f ca="1">IF(OR(Market_Data[[#This Row],[Start Date]]="",Market_Data[[#This Row],[Completion Date]]=""),"Needs Validation",IF(Market_Data[[#This Row],[Start Date]]&gt;TODAY(),"Planned",IF(Market_Data[[#This Row],[Completion Date]]&lt;TODAY(),"Completed","Ongoing")))</f>
        <v>Completed</v>
      </c>
      <c r="G3037" s="324">
        <v>43110</v>
      </c>
      <c r="H3037" s="324">
        <v>44773</v>
      </c>
      <c r="I3037" s="325">
        <v>59900</v>
      </c>
      <c r="J303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3037" s="133">
        <f>_xlfn.XLOOKUP(Market_Data[[#This Row],[Project Type]],tbl_assumptions_market[Project Category (RERA)],tbl_assumptions_market[Concrete Intensity
(m³ / sq m BUA)],"",0)</f>
        <v>0.5</v>
      </c>
      <c r="L3037" s="134">
        <f>ROUND(Market_Data[[#This Row],[Estimated Built Up Area (sq m)]]*Market_Data[[#This Row],[Concrete Intensity
(m³ / sq m)]],0)</f>
        <v>29950</v>
      </c>
      <c r="M3037" s="135">
        <f>_xlfn.XLOOKUP(Market_Data[[#This Row],[District]],tbl_district_price[District],tbl_district_price[Standard Price
(INR/m³)],"",0)</f>
        <v>5600</v>
      </c>
      <c r="N3037" s="364">
        <f>IF(OR(Market_Data[[#This Row],[Estimated Concrete Demand (m³)]]="",Market_Data[[#This Row],[Avg Price per (₹ / m³)]]=""),"",Market_Data[[#This Row],[Estimated Concrete Demand (m³)]]*Market_Data[[#This Row],[Avg Price per (₹ / m³)]]/10000000)</f>
        <v>16.771999999999998</v>
      </c>
      <c r="O3037" s="97" t="str">
        <f>IF(Market_Data[[#This Row],[Estimated Concrete Demand (m³)]]="","",
IF(Market_Data[[#This Row],[Estimated Concrete Demand (m³)]]&lt;10000,"Small",
IF(Market_Data[[#This Row],[Estimated Concrete Demand (m³)]]&lt;25000,"Medium",
IF(Market_Data[[#This Row],[Estimated Concrete Demand (m³)]]&lt;100000,"Large","Mega"))))</f>
        <v>Large</v>
      </c>
      <c r="P3037" s="287" t="str">
        <f t="shared" si="49"/>
        <v>GujRERA</v>
      </c>
    </row>
    <row r="3038" spans="1:16">
      <c r="A3038" s="129" t="str">
        <f>_xlfn.XLOOKUP(B3038,$S$9:$S$14,$T$9:$T$14)&amp;"-"&amp;
IF(E3038="Residential/Group Housing","RES",
IF(E3038="Commercial","COM",
IF(E3038="Mixed Development","MIX",
IF(E3038="Plotted Development","PLT","OTH"))))
&amp;"-"&amp;TEXT(COUNTIFS($B$9:B3038,B3038,$E$9:E3038,E3038),"0000")</f>
        <v>VAL-MIX-0146</v>
      </c>
      <c r="B3038" s="322" t="s">
        <v>35</v>
      </c>
      <c r="C3038" s="322" t="s">
        <v>35</v>
      </c>
      <c r="D3038" s="323" t="s">
        <v>3227</v>
      </c>
      <c r="E3038" s="132" t="s">
        <v>25</v>
      </c>
      <c r="F3038" s="97" t="str">
        <f ca="1">IF(OR(Market_Data[[#This Row],[Start Date]]="",Market_Data[[#This Row],[Completion Date]]=""),"Needs Validation",IF(Market_Data[[#This Row],[Start Date]]&gt;TODAY(),"Planned",IF(Market_Data[[#This Row],[Completion Date]]&lt;TODAY(),"Completed","Ongoing")))</f>
        <v>Completed</v>
      </c>
      <c r="G3038" s="324">
        <v>44099</v>
      </c>
      <c r="H3038" s="324">
        <v>46021</v>
      </c>
      <c r="I3038" s="325">
        <v>34700</v>
      </c>
      <c r="J303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38" s="133">
        <f>_xlfn.XLOOKUP(Market_Data[[#This Row],[Project Type]],tbl_assumptions_market[Project Category (RERA)],tbl_assumptions_market[Concrete Intensity
(m³ / sq m BUA)],"",0)</f>
        <v>0.42</v>
      </c>
      <c r="L3038" s="134">
        <f>ROUND(Market_Data[[#This Row],[Estimated Built Up Area (sq m)]]*Market_Data[[#This Row],[Concrete Intensity
(m³ / sq m)]],0)</f>
        <v>14574</v>
      </c>
      <c r="M3038" s="135">
        <f>_xlfn.XLOOKUP(Market_Data[[#This Row],[District]],tbl_district_price[District],tbl_district_price[Standard Price
(INR/m³)],"",0)</f>
        <v>5600</v>
      </c>
      <c r="N3038" s="364">
        <f>IF(OR(Market_Data[[#This Row],[Estimated Concrete Demand (m³)]]="",Market_Data[[#This Row],[Avg Price per (₹ / m³)]]=""),"",Market_Data[[#This Row],[Estimated Concrete Demand (m³)]]*Market_Data[[#This Row],[Avg Price per (₹ / m³)]]/10000000)</f>
        <v>8.1614400000000007</v>
      </c>
      <c r="O3038" s="97" t="str">
        <f>IF(Market_Data[[#This Row],[Estimated Concrete Demand (m³)]]="","",
IF(Market_Data[[#This Row],[Estimated Concrete Demand (m³)]]&lt;10000,"Small",
IF(Market_Data[[#This Row],[Estimated Concrete Demand (m³)]]&lt;25000,"Medium",
IF(Market_Data[[#This Row],[Estimated Concrete Demand (m³)]]&lt;100000,"Large","Mega"))))</f>
        <v>Medium</v>
      </c>
      <c r="P3038" s="287" t="str">
        <f t="shared" si="49"/>
        <v>GujRERA</v>
      </c>
    </row>
    <row r="3039" spans="1:16">
      <c r="A3039" s="129" t="str">
        <f>_xlfn.XLOOKUP(B3039,$S$9:$S$14,$T$9:$T$14)&amp;"-"&amp;
IF(E3039="Residential/Group Housing","RES",
IF(E3039="Commercial","COM",
IF(E3039="Mixed Development","MIX",
IF(E3039="Plotted Development","PLT","OTH"))))
&amp;"-"&amp;TEXT(COUNTIFS($B$9:B3039,B3039,$E$9:E3039,E3039),"0000")</f>
        <v>VAL-RES-0134</v>
      </c>
      <c r="B3039" s="322" t="s">
        <v>35</v>
      </c>
      <c r="C3039" s="322" t="s">
        <v>35</v>
      </c>
      <c r="D3039" s="323" t="s">
        <v>3228</v>
      </c>
      <c r="E3039" s="132" t="s">
        <v>24</v>
      </c>
      <c r="F3039" s="97" t="str">
        <f ca="1">IF(OR(Market_Data[[#This Row],[Start Date]]="",Market_Data[[#This Row],[Completion Date]]=""),"Needs Validation",IF(Market_Data[[#This Row],[Start Date]]&gt;TODAY(),"Planned",IF(Market_Data[[#This Row],[Completion Date]]&lt;TODAY(),"Completed","Ongoing")))</f>
        <v>Completed</v>
      </c>
      <c r="G3039" s="324">
        <v>43040</v>
      </c>
      <c r="H3039" s="324">
        <v>44742</v>
      </c>
      <c r="I3039" s="325">
        <v>5500</v>
      </c>
      <c r="J303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39" s="133">
        <f>_xlfn.XLOOKUP(Market_Data[[#This Row],[Project Type]],tbl_assumptions_market[Project Category (RERA)],tbl_assumptions_market[Concrete Intensity
(m³ / sq m BUA)],"",0)</f>
        <v>0.45</v>
      </c>
      <c r="L3039" s="134">
        <f>ROUND(Market_Data[[#This Row],[Estimated Built Up Area (sq m)]]*Market_Data[[#This Row],[Concrete Intensity
(m³ / sq m)]],0)</f>
        <v>2475</v>
      </c>
      <c r="M3039" s="135">
        <f>_xlfn.XLOOKUP(Market_Data[[#This Row],[District]],tbl_district_price[District],tbl_district_price[Standard Price
(INR/m³)],"",0)</f>
        <v>5600</v>
      </c>
      <c r="N3039" s="364">
        <f>IF(OR(Market_Data[[#This Row],[Estimated Concrete Demand (m³)]]="",Market_Data[[#This Row],[Avg Price per (₹ / m³)]]=""),"",Market_Data[[#This Row],[Estimated Concrete Demand (m³)]]*Market_Data[[#This Row],[Avg Price per (₹ / m³)]]/10000000)</f>
        <v>1.3859999999999999</v>
      </c>
      <c r="O3039" s="97" t="str">
        <f>IF(Market_Data[[#This Row],[Estimated Concrete Demand (m³)]]="","",
IF(Market_Data[[#This Row],[Estimated Concrete Demand (m³)]]&lt;10000,"Small",
IF(Market_Data[[#This Row],[Estimated Concrete Demand (m³)]]&lt;25000,"Medium",
IF(Market_Data[[#This Row],[Estimated Concrete Demand (m³)]]&lt;100000,"Large","Mega"))))</f>
        <v>Small</v>
      </c>
      <c r="P3039" s="287" t="str">
        <f t="shared" si="49"/>
        <v>GujRERA</v>
      </c>
    </row>
    <row r="3040" spans="1:16">
      <c r="A3040" s="129" t="str">
        <f>_xlfn.XLOOKUP(B3040,$S$9:$S$14,$T$9:$T$14)&amp;"-"&amp;
IF(E3040="Residential/Group Housing","RES",
IF(E3040="Commercial","COM",
IF(E3040="Mixed Development","MIX",
IF(E3040="Plotted Development","PLT","OTH"))))
&amp;"-"&amp;TEXT(COUNTIFS($B$9:B3040,B3040,$E$9:E3040,E3040),"0000")</f>
        <v>VAL-MIX-0147</v>
      </c>
      <c r="B3040" s="322" t="s">
        <v>35</v>
      </c>
      <c r="C3040" s="322" t="s">
        <v>35</v>
      </c>
      <c r="D3040" s="323" t="s">
        <v>3229</v>
      </c>
      <c r="E3040" s="132" t="s">
        <v>25</v>
      </c>
      <c r="F3040" s="97" t="str">
        <f ca="1">IF(OR(Market_Data[[#This Row],[Start Date]]="",Market_Data[[#This Row],[Completion Date]]=""),"Needs Validation",IF(Market_Data[[#This Row],[Start Date]]&gt;TODAY(),"Planned",IF(Market_Data[[#This Row],[Completion Date]]&lt;TODAY(),"Completed","Ongoing")))</f>
        <v>Ongoing</v>
      </c>
      <c r="G3040" s="324">
        <v>44961</v>
      </c>
      <c r="H3040" s="324">
        <v>46752</v>
      </c>
      <c r="I3040" s="325">
        <v>26500</v>
      </c>
      <c r="J304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40" s="133">
        <f>_xlfn.XLOOKUP(Market_Data[[#This Row],[Project Type]],tbl_assumptions_market[Project Category (RERA)],tbl_assumptions_market[Concrete Intensity
(m³ / sq m BUA)],"",0)</f>
        <v>0.42</v>
      </c>
      <c r="L3040" s="134">
        <f>ROUND(Market_Data[[#This Row],[Estimated Built Up Area (sq m)]]*Market_Data[[#This Row],[Concrete Intensity
(m³ / sq m)]],0)</f>
        <v>11130</v>
      </c>
      <c r="M3040" s="135">
        <f>_xlfn.XLOOKUP(Market_Data[[#This Row],[District]],tbl_district_price[District],tbl_district_price[Standard Price
(INR/m³)],"",0)</f>
        <v>5600</v>
      </c>
      <c r="N3040" s="364">
        <f>IF(OR(Market_Data[[#This Row],[Estimated Concrete Demand (m³)]]="",Market_Data[[#This Row],[Avg Price per (₹ / m³)]]=""),"",Market_Data[[#This Row],[Estimated Concrete Demand (m³)]]*Market_Data[[#This Row],[Avg Price per (₹ / m³)]]/10000000)</f>
        <v>6.2328000000000001</v>
      </c>
      <c r="O3040" s="97" t="str">
        <f>IF(Market_Data[[#This Row],[Estimated Concrete Demand (m³)]]="","",
IF(Market_Data[[#This Row],[Estimated Concrete Demand (m³)]]&lt;10000,"Small",
IF(Market_Data[[#This Row],[Estimated Concrete Demand (m³)]]&lt;25000,"Medium",
IF(Market_Data[[#This Row],[Estimated Concrete Demand (m³)]]&lt;100000,"Large","Mega"))))</f>
        <v>Medium</v>
      </c>
      <c r="P3040" s="287" t="str">
        <f t="shared" si="49"/>
        <v>GujRERA</v>
      </c>
    </row>
    <row r="3041" spans="1:16">
      <c r="A3041" s="129" t="str">
        <f>_xlfn.XLOOKUP(B3041,$S$9:$S$14,$T$9:$T$14)&amp;"-"&amp;
IF(E3041="Residential/Group Housing","RES",
IF(E3041="Commercial","COM",
IF(E3041="Mixed Development","MIX",
IF(E3041="Plotted Development","PLT","OTH"))))
&amp;"-"&amp;TEXT(COUNTIFS($B$9:B3041,B3041,$E$9:E3041,E3041),"0000")</f>
        <v>VAL-RES-0135</v>
      </c>
      <c r="B3041" s="322" t="s">
        <v>35</v>
      </c>
      <c r="C3041" s="322" t="s">
        <v>35</v>
      </c>
      <c r="D3041" s="323" t="s">
        <v>3230</v>
      </c>
      <c r="E3041" s="132" t="s">
        <v>24</v>
      </c>
      <c r="F3041" s="97" t="str">
        <f ca="1">IF(OR(Market_Data[[#This Row],[Start Date]]="",Market_Data[[#This Row],[Completion Date]]=""),"Needs Validation",IF(Market_Data[[#This Row],[Start Date]]&gt;TODAY(),"Planned",IF(Market_Data[[#This Row],[Completion Date]]&lt;TODAY(),"Completed","Ongoing")))</f>
        <v>Ongoing</v>
      </c>
      <c r="G3041" s="324">
        <v>46037</v>
      </c>
      <c r="H3041" s="324">
        <v>47299</v>
      </c>
      <c r="I3041" s="325">
        <v>29500</v>
      </c>
      <c r="J304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41" s="133">
        <f>_xlfn.XLOOKUP(Market_Data[[#This Row],[Project Type]],tbl_assumptions_market[Project Category (RERA)],tbl_assumptions_market[Concrete Intensity
(m³ / sq m BUA)],"",0)</f>
        <v>0.45</v>
      </c>
      <c r="L3041" s="134">
        <f>ROUND(Market_Data[[#This Row],[Estimated Built Up Area (sq m)]]*Market_Data[[#This Row],[Concrete Intensity
(m³ / sq m)]],0)</f>
        <v>13275</v>
      </c>
      <c r="M3041" s="135">
        <f>_xlfn.XLOOKUP(Market_Data[[#This Row],[District]],tbl_district_price[District],tbl_district_price[Standard Price
(INR/m³)],"",0)</f>
        <v>5600</v>
      </c>
      <c r="N3041" s="364">
        <f>IF(OR(Market_Data[[#This Row],[Estimated Concrete Demand (m³)]]="",Market_Data[[#This Row],[Avg Price per (₹ / m³)]]=""),"",Market_Data[[#This Row],[Estimated Concrete Demand (m³)]]*Market_Data[[#This Row],[Avg Price per (₹ / m³)]]/10000000)</f>
        <v>7.4340000000000002</v>
      </c>
      <c r="O3041" s="97" t="str">
        <f>IF(Market_Data[[#This Row],[Estimated Concrete Demand (m³)]]="","",
IF(Market_Data[[#This Row],[Estimated Concrete Demand (m³)]]&lt;10000,"Small",
IF(Market_Data[[#This Row],[Estimated Concrete Demand (m³)]]&lt;25000,"Medium",
IF(Market_Data[[#This Row],[Estimated Concrete Demand (m³)]]&lt;100000,"Large","Mega"))))</f>
        <v>Medium</v>
      </c>
      <c r="P3041" s="287" t="str">
        <f t="shared" si="49"/>
        <v>GujRERA</v>
      </c>
    </row>
    <row r="3042" spans="1:16">
      <c r="A3042" s="129" t="str">
        <f>_xlfn.XLOOKUP(B3042,$S$9:$S$14,$T$9:$T$14)&amp;"-"&amp;
IF(E3042="Residential/Group Housing","RES",
IF(E3042="Commercial","COM",
IF(E3042="Mixed Development","MIX",
IF(E3042="Plotted Development","PLT","OTH"))))
&amp;"-"&amp;TEXT(COUNTIFS($B$9:B3042,B3042,$E$9:E3042,E3042),"0000")</f>
        <v>VAL-MIX-0148</v>
      </c>
      <c r="B3042" s="322" t="s">
        <v>35</v>
      </c>
      <c r="C3042" s="322" t="s">
        <v>35</v>
      </c>
      <c r="D3042" s="323" t="s">
        <v>3231</v>
      </c>
      <c r="E3042" s="132" t="s">
        <v>25</v>
      </c>
      <c r="F3042" s="97" t="str">
        <f ca="1">IF(OR(Market_Data[[#This Row],[Start Date]]="",Market_Data[[#This Row],[Completion Date]]=""),"Needs Validation",IF(Market_Data[[#This Row],[Start Date]]&gt;TODAY(),"Planned",IF(Market_Data[[#This Row],[Completion Date]]&lt;TODAY(),"Completed","Ongoing")))</f>
        <v>Ongoing</v>
      </c>
      <c r="G3042" s="324">
        <v>45366</v>
      </c>
      <c r="H3042" s="324">
        <v>47118</v>
      </c>
      <c r="I3042" s="325">
        <v>10500</v>
      </c>
      <c r="J304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42" s="133">
        <f>_xlfn.XLOOKUP(Market_Data[[#This Row],[Project Type]],tbl_assumptions_market[Project Category (RERA)],tbl_assumptions_market[Concrete Intensity
(m³ / sq m BUA)],"",0)</f>
        <v>0.42</v>
      </c>
      <c r="L3042" s="134">
        <f>ROUND(Market_Data[[#This Row],[Estimated Built Up Area (sq m)]]*Market_Data[[#This Row],[Concrete Intensity
(m³ / sq m)]],0)</f>
        <v>4410</v>
      </c>
      <c r="M3042" s="135">
        <f>_xlfn.XLOOKUP(Market_Data[[#This Row],[District]],tbl_district_price[District],tbl_district_price[Standard Price
(INR/m³)],"",0)</f>
        <v>5600</v>
      </c>
      <c r="N3042" s="364">
        <f>IF(OR(Market_Data[[#This Row],[Estimated Concrete Demand (m³)]]="",Market_Data[[#This Row],[Avg Price per (₹ / m³)]]=""),"",Market_Data[[#This Row],[Estimated Concrete Demand (m³)]]*Market_Data[[#This Row],[Avg Price per (₹ / m³)]]/10000000)</f>
        <v>2.4695999999999998</v>
      </c>
      <c r="O3042" s="97" t="str">
        <f>IF(Market_Data[[#This Row],[Estimated Concrete Demand (m³)]]="","",
IF(Market_Data[[#This Row],[Estimated Concrete Demand (m³)]]&lt;10000,"Small",
IF(Market_Data[[#This Row],[Estimated Concrete Demand (m³)]]&lt;25000,"Medium",
IF(Market_Data[[#This Row],[Estimated Concrete Demand (m³)]]&lt;100000,"Large","Mega"))))</f>
        <v>Small</v>
      </c>
      <c r="P3042" s="287" t="str">
        <f t="shared" si="49"/>
        <v>GujRERA</v>
      </c>
    </row>
    <row r="3043" spans="1:16">
      <c r="A3043" s="129" t="str">
        <f>_xlfn.XLOOKUP(B3043,$S$9:$S$14,$T$9:$T$14)&amp;"-"&amp;
IF(E3043="Residential/Group Housing","RES",
IF(E3043="Commercial","COM",
IF(E3043="Mixed Development","MIX",
IF(E3043="Plotted Development","PLT","OTH"))))
&amp;"-"&amp;TEXT(COUNTIFS($B$9:B3043,B3043,$E$9:E3043,E3043),"0000")</f>
        <v>VAL-MIX-0149</v>
      </c>
      <c r="B3043" s="322" t="s">
        <v>35</v>
      </c>
      <c r="C3043" s="322" t="s">
        <v>35</v>
      </c>
      <c r="D3043" s="323" t="s">
        <v>3232</v>
      </c>
      <c r="E3043" s="132" t="s">
        <v>25</v>
      </c>
      <c r="F3043" s="97" t="str">
        <f ca="1">IF(OR(Market_Data[[#This Row],[Start Date]]="",Market_Data[[#This Row],[Completion Date]]=""),"Needs Validation",IF(Market_Data[[#This Row],[Start Date]]&gt;TODAY(),"Planned",IF(Market_Data[[#This Row],[Completion Date]]&lt;TODAY(),"Completed","Ongoing")))</f>
        <v>Completed</v>
      </c>
      <c r="G3043" s="324">
        <v>43709</v>
      </c>
      <c r="H3043" s="324">
        <v>45170</v>
      </c>
      <c r="I3043" s="325">
        <v>51400</v>
      </c>
      <c r="J304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43" s="133">
        <f>_xlfn.XLOOKUP(Market_Data[[#This Row],[Project Type]],tbl_assumptions_market[Project Category (RERA)],tbl_assumptions_market[Concrete Intensity
(m³ / sq m BUA)],"",0)</f>
        <v>0.42</v>
      </c>
      <c r="L3043" s="134">
        <f>ROUND(Market_Data[[#This Row],[Estimated Built Up Area (sq m)]]*Market_Data[[#This Row],[Concrete Intensity
(m³ / sq m)]],0)</f>
        <v>21588</v>
      </c>
      <c r="M3043" s="135">
        <f>_xlfn.XLOOKUP(Market_Data[[#This Row],[District]],tbl_district_price[District],tbl_district_price[Standard Price
(INR/m³)],"",0)</f>
        <v>5600</v>
      </c>
      <c r="N3043" s="364">
        <f>IF(OR(Market_Data[[#This Row],[Estimated Concrete Demand (m³)]]="",Market_Data[[#This Row],[Avg Price per (₹ / m³)]]=""),"",Market_Data[[#This Row],[Estimated Concrete Demand (m³)]]*Market_Data[[#This Row],[Avg Price per (₹ / m³)]]/10000000)</f>
        <v>12.08928</v>
      </c>
      <c r="O3043" s="97" t="str">
        <f>IF(Market_Data[[#This Row],[Estimated Concrete Demand (m³)]]="","",
IF(Market_Data[[#This Row],[Estimated Concrete Demand (m³)]]&lt;10000,"Small",
IF(Market_Data[[#This Row],[Estimated Concrete Demand (m³)]]&lt;25000,"Medium",
IF(Market_Data[[#This Row],[Estimated Concrete Demand (m³)]]&lt;100000,"Large","Mega"))))</f>
        <v>Medium</v>
      </c>
      <c r="P3043" s="287" t="str">
        <f t="shared" si="49"/>
        <v>GujRERA</v>
      </c>
    </row>
    <row r="3044" spans="1:16">
      <c r="A3044" s="129" t="str">
        <f>_xlfn.XLOOKUP(B3044,$S$9:$S$14,$T$9:$T$14)&amp;"-"&amp;
IF(E3044="Residential/Group Housing","RES",
IF(E3044="Commercial","COM",
IF(E3044="Mixed Development","MIX",
IF(E3044="Plotted Development","PLT","OTH"))))
&amp;"-"&amp;TEXT(COUNTIFS($B$9:B3044,B3044,$E$9:E3044,E3044),"0000")</f>
        <v>VAL-RES-0136</v>
      </c>
      <c r="B3044" s="322" t="s">
        <v>35</v>
      </c>
      <c r="C3044" s="322" t="s">
        <v>35</v>
      </c>
      <c r="D3044" s="323" t="s">
        <v>3233</v>
      </c>
      <c r="E3044" s="132" t="s">
        <v>24</v>
      </c>
      <c r="F3044" s="97" t="str">
        <f ca="1">IF(OR(Market_Data[[#This Row],[Start Date]]="",Market_Data[[#This Row],[Completion Date]]=""),"Needs Validation",IF(Market_Data[[#This Row],[Start Date]]&gt;TODAY(),"Planned",IF(Market_Data[[#This Row],[Completion Date]]&lt;TODAY(),"Completed","Ongoing")))</f>
        <v>Completed</v>
      </c>
      <c r="G3044" s="324">
        <v>43991</v>
      </c>
      <c r="H3044" s="324">
        <v>45450</v>
      </c>
      <c r="I3044" s="325">
        <v>55200</v>
      </c>
      <c r="J304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44" s="133">
        <f>_xlfn.XLOOKUP(Market_Data[[#This Row],[Project Type]],tbl_assumptions_market[Project Category (RERA)],tbl_assumptions_market[Concrete Intensity
(m³ / sq m BUA)],"",0)</f>
        <v>0.45</v>
      </c>
      <c r="L3044" s="134">
        <f>ROUND(Market_Data[[#This Row],[Estimated Built Up Area (sq m)]]*Market_Data[[#This Row],[Concrete Intensity
(m³ / sq m)]],0)</f>
        <v>24840</v>
      </c>
      <c r="M3044" s="135">
        <f>_xlfn.XLOOKUP(Market_Data[[#This Row],[District]],tbl_district_price[District],tbl_district_price[Standard Price
(INR/m³)],"",0)</f>
        <v>5600</v>
      </c>
      <c r="N3044" s="364">
        <f>IF(OR(Market_Data[[#This Row],[Estimated Concrete Demand (m³)]]="",Market_Data[[#This Row],[Avg Price per (₹ / m³)]]=""),"",Market_Data[[#This Row],[Estimated Concrete Demand (m³)]]*Market_Data[[#This Row],[Avg Price per (₹ / m³)]]/10000000)</f>
        <v>13.910399999999999</v>
      </c>
      <c r="O3044" s="97" t="str">
        <f>IF(Market_Data[[#This Row],[Estimated Concrete Demand (m³)]]="","",
IF(Market_Data[[#This Row],[Estimated Concrete Demand (m³)]]&lt;10000,"Small",
IF(Market_Data[[#This Row],[Estimated Concrete Demand (m³)]]&lt;25000,"Medium",
IF(Market_Data[[#This Row],[Estimated Concrete Demand (m³)]]&lt;100000,"Large","Mega"))))</f>
        <v>Medium</v>
      </c>
      <c r="P3044" s="287" t="str">
        <f t="shared" si="49"/>
        <v>GujRERA</v>
      </c>
    </row>
    <row r="3045" spans="1:16">
      <c r="A3045" s="129" t="str">
        <f>_xlfn.XLOOKUP(B3045,$S$9:$S$14,$T$9:$T$14)&amp;"-"&amp;
IF(E3045="Residential/Group Housing","RES",
IF(E3045="Commercial","COM",
IF(E3045="Mixed Development","MIX",
IF(E3045="Plotted Development","PLT","OTH"))))
&amp;"-"&amp;TEXT(COUNTIFS($B$9:B3045,B3045,$E$9:E3045,E3045),"0000")</f>
        <v>VAL-MIX-0150</v>
      </c>
      <c r="B3045" s="322" t="s">
        <v>35</v>
      </c>
      <c r="C3045" s="322" t="s">
        <v>35</v>
      </c>
      <c r="D3045" s="323" t="s">
        <v>3234</v>
      </c>
      <c r="E3045" s="132" t="s">
        <v>25</v>
      </c>
      <c r="F3045" s="97" t="str">
        <f ca="1">IF(OR(Market_Data[[#This Row],[Start Date]]="",Market_Data[[#This Row],[Completion Date]]=""),"Needs Validation",IF(Market_Data[[#This Row],[Start Date]]&gt;TODAY(),"Planned",IF(Market_Data[[#This Row],[Completion Date]]&lt;TODAY(),"Completed","Ongoing")))</f>
        <v>Ongoing</v>
      </c>
      <c r="G3045" s="324">
        <v>45240</v>
      </c>
      <c r="H3045" s="324">
        <v>46752</v>
      </c>
      <c r="I3045" s="325">
        <v>45300</v>
      </c>
      <c r="J304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45" s="133">
        <f>_xlfn.XLOOKUP(Market_Data[[#This Row],[Project Type]],tbl_assumptions_market[Project Category (RERA)],tbl_assumptions_market[Concrete Intensity
(m³ / sq m BUA)],"",0)</f>
        <v>0.42</v>
      </c>
      <c r="L3045" s="134">
        <f>ROUND(Market_Data[[#This Row],[Estimated Built Up Area (sq m)]]*Market_Data[[#This Row],[Concrete Intensity
(m³ / sq m)]],0)</f>
        <v>19026</v>
      </c>
      <c r="M3045" s="135">
        <f>_xlfn.XLOOKUP(Market_Data[[#This Row],[District]],tbl_district_price[District],tbl_district_price[Standard Price
(INR/m³)],"",0)</f>
        <v>5600</v>
      </c>
      <c r="N3045" s="364">
        <f>IF(OR(Market_Data[[#This Row],[Estimated Concrete Demand (m³)]]="",Market_Data[[#This Row],[Avg Price per (₹ / m³)]]=""),"",Market_Data[[#This Row],[Estimated Concrete Demand (m³)]]*Market_Data[[#This Row],[Avg Price per (₹ / m³)]]/10000000)</f>
        <v>10.65456</v>
      </c>
      <c r="O3045" s="97" t="str">
        <f>IF(Market_Data[[#This Row],[Estimated Concrete Demand (m³)]]="","",
IF(Market_Data[[#This Row],[Estimated Concrete Demand (m³)]]&lt;10000,"Small",
IF(Market_Data[[#This Row],[Estimated Concrete Demand (m³)]]&lt;25000,"Medium",
IF(Market_Data[[#This Row],[Estimated Concrete Demand (m³)]]&lt;100000,"Large","Mega"))))</f>
        <v>Medium</v>
      </c>
      <c r="P3045" s="287" t="str">
        <f t="shared" si="49"/>
        <v>GujRERA</v>
      </c>
    </row>
    <row r="3046" spans="1:16">
      <c r="A3046" s="129" t="str">
        <f>_xlfn.XLOOKUP(B3046,$S$9:$S$14,$T$9:$T$14)&amp;"-"&amp;
IF(E3046="Residential/Group Housing","RES",
IF(E3046="Commercial","COM",
IF(E3046="Mixed Development","MIX",
IF(E3046="Plotted Development","PLT","OTH"))))
&amp;"-"&amp;TEXT(COUNTIFS($B$9:B3046,B3046,$E$9:E3046,E3046),"0000")</f>
        <v>VAL-MIX-0151</v>
      </c>
      <c r="B3046" s="322" t="s">
        <v>35</v>
      </c>
      <c r="C3046" s="322" t="s">
        <v>35</v>
      </c>
      <c r="D3046" s="323" t="s">
        <v>3235</v>
      </c>
      <c r="E3046" s="132" t="s">
        <v>25</v>
      </c>
      <c r="F3046" s="97" t="str">
        <f ca="1">IF(OR(Market_Data[[#This Row],[Start Date]]="",Market_Data[[#This Row],[Completion Date]]=""),"Needs Validation",IF(Market_Data[[#This Row],[Start Date]]&gt;TODAY(),"Planned",IF(Market_Data[[#This Row],[Completion Date]]&lt;TODAY(),"Completed","Ongoing")))</f>
        <v>Ongoing</v>
      </c>
      <c r="G3046" s="324">
        <v>45280</v>
      </c>
      <c r="H3046" s="324">
        <v>46387</v>
      </c>
      <c r="I3046" s="325">
        <v>6300</v>
      </c>
      <c r="J304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3046" s="133">
        <f>_xlfn.XLOOKUP(Market_Data[[#This Row],[Project Type]],tbl_assumptions_market[Project Category (RERA)],tbl_assumptions_market[Concrete Intensity
(m³ / sq m BUA)],"",0)</f>
        <v>0.42</v>
      </c>
      <c r="L3046" s="134">
        <f>ROUND(Market_Data[[#This Row],[Estimated Built Up Area (sq m)]]*Market_Data[[#This Row],[Concrete Intensity
(m³ / sq m)]],0)</f>
        <v>2646</v>
      </c>
      <c r="M3046" s="135">
        <f>_xlfn.XLOOKUP(Market_Data[[#This Row],[District]],tbl_district_price[District],tbl_district_price[Standard Price
(INR/m³)],"",0)</f>
        <v>5600</v>
      </c>
      <c r="N3046" s="364">
        <f>IF(OR(Market_Data[[#This Row],[Estimated Concrete Demand (m³)]]="",Market_Data[[#This Row],[Avg Price per (₹ / m³)]]=""),"",Market_Data[[#This Row],[Estimated Concrete Demand (m³)]]*Market_Data[[#This Row],[Avg Price per (₹ / m³)]]/10000000)</f>
        <v>1.48176</v>
      </c>
      <c r="O3046" s="97" t="str">
        <f>IF(Market_Data[[#This Row],[Estimated Concrete Demand (m³)]]="","",
IF(Market_Data[[#This Row],[Estimated Concrete Demand (m³)]]&lt;10000,"Small",
IF(Market_Data[[#This Row],[Estimated Concrete Demand (m³)]]&lt;25000,"Medium",
IF(Market_Data[[#This Row],[Estimated Concrete Demand (m³)]]&lt;100000,"Large","Mega"))))</f>
        <v>Small</v>
      </c>
      <c r="P3046" s="287" t="str">
        <f t="shared" si="49"/>
        <v>GujRERA</v>
      </c>
    </row>
    <row r="3047" spans="1:16">
      <c r="A3047" s="129" t="str">
        <f>_xlfn.XLOOKUP(B3047,$S$9:$S$14,$T$9:$T$14)&amp;"-"&amp;
IF(E3047="Residential/Group Housing","RES",
IF(E3047="Commercial","COM",
IF(E3047="Mixed Development","MIX",
IF(E3047="Plotted Development","PLT","OTH"))))
&amp;"-"&amp;TEXT(COUNTIFS($B$9:B3047,B3047,$E$9:E3047,E3047),"0000")</f>
        <v>VAL-RES-0137</v>
      </c>
      <c r="B3047" s="322" t="s">
        <v>35</v>
      </c>
      <c r="C3047" s="322" t="s">
        <v>35</v>
      </c>
      <c r="D3047" s="323" t="s">
        <v>3236</v>
      </c>
      <c r="E3047" s="132" t="s">
        <v>24</v>
      </c>
      <c r="F3047" s="97" t="str">
        <f ca="1">IF(OR(Market_Data[[#This Row],[Start Date]]="",Market_Data[[#This Row],[Completion Date]]=""),"Needs Validation",IF(Market_Data[[#This Row],[Start Date]]&gt;TODAY(),"Planned",IF(Market_Data[[#This Row],[Completion Date]]&lt;TODAY(),"Completed","Ongoing")))</f>
        <v>Completed</v>
      </c>
      <c r="G3047" s="324">
        <v>43466</v>
      </c>
      <c r="H3047" s="324">
        <v>45565</v>
      </c>
      <c r="I3047" s="325">
        <v>57100</v>
      </c>
      <c r="J304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47" s="133">
        <f>_xlfn.XLOOKUP(Market_Data[[#This Row],[Project Type]],tbl_assumptions_market[Project Category (RERA)],tbl_assumptions_market[Concrete Intensity
(m³ / sq m BUA)],"",0)</f>
        <v>0.45</v>
      </c>
      <c r="L3047" s="134">
        <f>ROUND(Market_Data[[#This Row],[Estimated Built Up Area (sq m)]]*Market_Data[[#This Row],[Concrete Intensity
(m³ / sq m)]],0)</f>
        <v>25695</v>
      </c>
      <c r="M3047" s="135">
        <f>_xlfn.XLOOKUP(Market_Data[[#This Row],[District]],tbl_district_price[District],tbl_district_price[Standard Price
(INR/m³)],"",0)</f>
        <v>5600</v>
      </c>
      <c r="N3047" s="364">
        <f>IF(OR(Market_Data[[#This Row],[Estimated Concrete Demand (m³)]]="",Market_Data[[#This Row],[Avg Price per (₹ / m³)]]=""),"",Market_Data[[#This Row],[Estimated Concrete Demand (m³)]]*Market_Data[[#This Row],[Avg Price per (₹ / m³)]]/10000000)</f>
        <v>14.389200000000001</v>
      </c>
      <c r="O3047" s="97" t="str">
        <f>IF(Market_Data[[#This Row],[Estimated Concrete Demand (m³)]]="","",
IF(Market_Data[[#This Row],[Estimated Concrete Demand (m³)]]&lt;10000,"Small",
IF(Market_Data[[#This Row],[Estimated Concrete Demand (m³)]]&lt;25000,"Medium",
IF(Market_Data[[#This Row],[Estimated Concrete Demand (m³)]]&lt;100000,"Large","Mega"))))</f>
        <v>Large</v>
      </c>
      <c r="P3047" s="287" t="str">
        <f t="shared" si="49"/>
        <v>GujRERA</v>
      </c>
    </row>
    <row r="3048" spans="1:16">
      <c r="A3048" s="129" t="str">
        <f>_xlfn.XLOOKUP(B3048,$S$9:$S$14,$T$9:$T$14)&amp;"-"&amp;
IF(E3048="Residential/Group Housing","RES",
IF(E3048="Commercial","COM",
IF(E3048="Mixed Development","MIX",
IF(E3048="Plotted Development","PLT","OTH"))))
&amp;"-"&amp;TEXT(COUNTIFS($B$9:B3048,B3048,$E$9:E3048,E3048),"0000")</f>
        <v>VAL-PLT-0005</v>
      </c>
      <c r="B3048" s="322" t="s">
        <v>35</v>
      </c>
      <c r="C3048" s="322" t="s">
        <v>35</v>
      </c>
      <c r="D3048" s="323" t="s">
        <v>3237</v>
      </c>
      <c r="E3048" s="132" t="s">
        <v>26</v>
      </c>
      <c r="F3048" s="97" t="str">
        <f ca="1">IF(OR(Market_Data[[#This Row],[Start Date]]="",Market_Data[[#This Row],[Completion Date]]=""),"Needs Validation",IF(Market_Data[[#This Row],[Start Date]]&gt;TODAY(),"Planned",IF(Market_Data[[#This Row],[Completion Date]]&lt;TODAY(),"Completed","Ongoing")))</f>
        <v>Ongoing</v>
      </c>
      <c r="G3048" s="324">
        <v>45901</v>
      </c>
      <c r="H3048" s="324">
        <v>47848</v>
      </c>
      <c r="I3048" s="325">
        <v>42900</v>
      </c>
      <c r="J304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3048" s="133">
        <f>_xlfn.XLOOKUP(Market_Data[[#This Row],[Project Type]],tbl_assumptions_market[Project Category (RERA)],tbl_assumptions_market[Concrete Intensity
(m³ / sq m BUA)],"",0)</f>
        <v>0.18</v>
      </c>
      <c r="L3048" s="134">
        <f>ROUND(Market_Data[[#This Row],[Estimated Built Up Area (sq m)]]*Market_Data[[#This Row],[Concrete Intensity
(m³ / sq m)]],0)</f>
        <v>7722</v>
      </c>
      <c r="M3048" s="135">
        <f>_xlfn.XLOOKUP(Market_Data[[#This Row],[District]],tbl_district_price[District],tbl_district_price[Standard Price
(INR/m³)],"",0)</f>
        <v>5600</v>
      </c>
      <c r="N3048" s="364">
        <f>IF(OR(Market_Data[[#This Row],[Estimated Concrete Demand (m³)]]="",Market_Data[[#This Row],[Avg Price per (₹ / m³)]]=""),"",Market_Data[[#This Row],[Estimated Concrete Demand (m³)]]*Market_Data[[#This Row],[Avg Price per (₹ / m³)]]/10000000)</f>
        <v>4.3243200000000002</v>
      </c>
      <c r="O3048" s="97" t="str">
        <f>IF(Market_Data[[#This Row],[Estimated Concrete Demand (m³)]]="","",
IF(Market_Data[[#This Row],[Estimated Concrete Demand (m³)]]&lt;10000,"Small",
IF(Market_Data[[#This Row],[Estimated Concrete Demand (m³)]]&lt;25000,"Medium",
IF(Market_Data[[#This Row],[Estimated Concrete Demand (m³)]]&lt;100000,"Large","Mega"))))</f>
        <v>Small</v>
      </c>
      <c r="P3048" s="287" t="str">
        <f t="shared" si="49"/>
        <v>GujRERA</v>
      </c>
    </row>
    <row r="3049" spans="1:16">
      <c r="A3049" s="129" t="str">
        <f>_xlfn.XLOOKUP(B3049,$S$9:$S$14,$T$9:$T$14)&amp;"-"&amp;
IF(E3049="Residential/Group Housing","RES",
IF(E3049="Commercial","COM",
IF(E3049="Mixed Development","MIX",
IF(E3049="Plotted Development","PLT","OTH"))))
&amp;"-"&amp;TEXT(COUNTIFS($B$9:B3049,B3049,$E$9:E3049,E3049),"0000")</f>
        <v>VAL-RES-0138</v>
      </c>
      <c r="B3049" s="322" t="s">
        <v>35</v>
      </c>
      <c r="C3049" s="322" t="s">
        <v>35</v>
      </c>
      <c r="D3049" s="323" t="s">
        <v>3238</v>
      </c>
      <c r="E3049" s="132" t="s">
        <v>24</v>
      </c>
      <c r="F3049" s="97" t="str">
        <f ca="1">IF(OR(Market_Data[[#This Row],[Start Date]]="",Market_Data[[#This Row],[Completion Date]]=""),"Needs Validation",IF(Market_Data[[#This Row],[Start Date]]&gt;TODAY(),"Planned",IF(Market_Data[[#This Row],[Completion Date]]&lt;TODAY(),"Completed","Ongoing")))</f>
        <v>Completed</v>
      </c>
      <c r="G3049" s="324">
        <v>43262</v>
      </c>
      <c r="H3049" s="324">
        <v>45107</v>
      </c>
      <c r="I3049" s="325">
        <v>28000</v>
      </c>
      <c r="J304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49" s="133">
        <f>_xlfn.XLOOKUP(Market_Data[[#This Row],[Project Type]],tbl_assumptions_market[Project Category (RERA)],tbl_assumptions_market[Concrete Intensity
(m³ / sq m BUA)],"",0)</f>
        <v>0.45</v>
      </c>
      <c r="L3049" s="134">
        <f>ROUND(Market_Data[[#This Row],[Estimated Built Up Area (sq m)]]*Market_Data[[#This Row],[Concrete Intensity
(m³ / sq m)]],0)</f>
        <v>12600</v>
      </c>
      <c r="M3049" s="135">
        <f>_xlfn.XLOOKUP(Market_Data[[#This Row],[District]],tbl_district_price[District],tbl_district_price[Standard Price
(INR/m³)],"",0)</f>
        <v>5600</v>
      </c>
      <c r="N3049" s="364">
        <f>IF(OR(Market_Data[[#This Row],[Estimated Concrete Demand (m³)]]="",Market_Data[[#This Row],[Avg Price per (₹ / m³)]]=""),"",Market_Data[[#This Row],[Estimated Concrete Demand (m³)]]*Market_Data[[#This Row],[Avg Price per (₹ / m³)]]/10000000)</f>
        <v>7.056</v>
      </c>
      <c r="O3049" s="97" t="str">
        <f>IF(Market_Data[[#This Row],[Estimated Concrete Demand (m³)]]="","",
IF(Market_Data[[#This Row],[Estimated Concrete Demand (m³)]]&lt;10000,"Small",
IF(Market_Data[[#This Row],[Estimated Concrete Demand (m³)]]&lt;25000,"Medium",
IF(Market_Data[[#This Row],[Estimated Concrete Demand (m³)]]&lt;100000,"Large","Mega"))))</f>
        <v>Medium</v>
      </c>
      <c r="P3049" s="287" t="str">
        <f t="shared" si="49"/>
        <v>GujRERA</v>
      </c>
    </row>
    <row r="3050" spans="1:16">
      <c r="A3050" s="129" t="str">
        <f>_xlfn.XLOOKUP(B3050,$S$9:$S$14,$T$9:$T$14)&amp;"-"&amp;
IF(E3050="Residential/Group Housing","RES",
IF(E3050="Commercial","COM",
IF(E3050="Mixed Development","MIX",
IF(E3050="Plotted Development","PLT","OTH"))))
&amp;"-"&amp;TEXT(COUNTIFS($B$9:B3050,B3050,$E$9:E3050,E3050),"0000")</f>
        <v>VAL-MIX-0152</v>
      </c>
      <c r="B3050" s="322" t="s">
        <v>35</v>
      </c>
      <c r="C3050" s="322" t="s">
        <v>35</v>
      </c>
      <c r="D3050" s="323" t="s">
        <v>3239</v>
      </c>
      <c r="E3050" s="132" t="s">
        <v>25</v>
      </c>
      <c r="F3050" s="97" t="str">
        <f ca="1">IF(OR(Market_Data[[#This Row],[Start Date]]="",Market_Data[[#This Row],[Completion Date]]=""),"Needs Validation",IF(Market_Data[[#This Row],[Start Date]]&gt;TODAY(),"Planned",IF(Market_Data[[#This Row],[Completion Date]]&lt;TODAY(),"Completed","Ongoing")))</f>
        <v>Completed</v>
      </c>
      <c r="G3050" s="324">
        <v>43101</v>
      </c>
      <c r="H3050" s="324">
        <v>45107</v>
      </c>
      <c r="I3050" s="325">
        <v>28800</v>
      </c>
      <c r="J305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50" s="133">
        <f>_xlfn.XLOOKUP(Market_Data[[#This Row],[Project Type]],tbl_assumptions_market[Project Category (RERA)],tbl_assumptions_market[Concrete Intensity
(m³ / sq m BUA)],"",0)</f>
        <v>0.42</v>
      </c>
      <c r="L3050" s="134">
        <f>ROUND(Market_Data[[#This Row],[Estimated Built Up Area (sq m)]]*Market_Data[[#This Row],[Concrete Intensity
(m³ / sq m)]],0)</f>
        <v>12096</v>
      </c>
      <c r="M3050" s="135">
        <f>_xlfn.XLOOKUP(Market_Data[[#This Row],[District]],tbl_district_price[District],tbl_district_price[Standard Price
(INR/m³)],"",0)</f>
        <v>5600</v>
      </c>
      <c r="N3050" s="364">
        <f>IF(OR(Market_Data[[#This Row],[Estimated Concrete Demand (m³)]]="",Market_Data[[#This Row],[Avg Price per (₹ / m³)]]=""),"",Market_Data[[#This Row],[Estimated Concrete Demand (m³)]]*Market_Data[[#This Row],[Avg Price per (₹ / m³)]]/10000000)</f>
        <v>6.7737600000000002</v>
      </c>
      <c r="O3050" s="97" t="str">
        <f>IF(Market_Data[[#This Row],[Estimated Concrete Demand (m³)]]="","",
IF(Market_Data[[#This Row],[Estimated Concrete Demand (m³)]]&lt;10000,"Small",
IF(Market_Data[[#This Row],[Estimated Concrete Demand (m³)]]&lt;25000,"Medium",
IF(Market_Data[[#This Row],[Estimated Concrete Demand (m³)]]&lt;100000,"Large","Mega"))))</f>
        <v>Medium</v>
      </c>
      <c r="P3050" s="287" t="str">
        <f t="shared" si="49"/>
        <v>GujRERA</v>
      </c>
    </row>
    <row r="3051" spans="1:16">
      <c r="A3051" s="129" t="str">
        <f>_xlfn.XLOOKUP(B3051,$S$9:$S$14,$T$9:$T$14)&amp;"-"&amp;
IF(E3051="Residential/Group Housing","RES",
IF(E3051="Commercial","COM",
IF(E3051="Mixed Development","MIX",
IF(E3051="Plotted Development","PLT","OTH"))))
&amp;"-"&amp;TEXT(COUNTIFS($B$9:B3051,B3051,$E$9:E3051,E3051),"0000")</f>
        <v>VAL-RES-0139</v>
      </c>
      <c r="B3051" s="322" t="s">
        <v>35</v>
      </c>
      <c r="C3051" s="322" t="s">
        <v>35</v>
      </c>
      <c r="D3051" s="323" t="s">
        <v>3240</v>
      </c>
      <c r="E3051" s="132" t="s">
        <v>24</v>
      </c>
      <c r="F3051" s="97" t="str">
        <f ca="1">IF(OR(Market_Data[[#This Row],[Start Date]]="",Market_Data[[#This Row],[Completion Date]]=""),"Needs Validation",IF(Market_Data[[#This Row],[Start Date]]&gt;TODAY(),"Planned",IF(Market_Data[[#This Row],[Completion Date]]&lt;TODAY(),"Completed","Ongoing")))</f>
        <v>Ongoing</v>
      </c>
      <c r="G3051" s="324">
        <v>45505</v>
      </c>
      <c r="H3051" s="324">
        <v>47118</v>
      </c>
      <c r="I3051" s="325">
        <v>8100</v>
      </c>
      <c r="J305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51" s="133">
        <f>_xlfn.XLOOKUP(Market_Data[[#This Row],[Project Type]],tbl_assumptions_market[Project Category (RERA)],tbl_assumptions_market[Concrete Intensity
(m³ / sq m BUA)],"",0)</f>
        <v>0.45</v>
      </c>
      <c r="L3051" s="134">
        <f>ROUND(Market_Data[[#This Row],[Estimated Built Up Area (sq m)]]*Market_Data[[#This Row],[Concrete Intensity
(m³ / sq m)]],0)</f>
        <v>3645</v>
      </c>
      <c r="M3051" s="135">
        <f>_xlfn.XLOOKUP(Market_Data[[#This Row],[District]],tbl_district_price[District],tbl_district_price[Standard Price
(INR/m³)],"",0)</f>
        <v>5600</v>
      </c>
      <c r="N3051" s="364">
        <f>IF(OR(Market_Data[[#This Row],[Estimated Concrete Demand (m³)]]="",Market_Data[[#This Row],[Avg Price per (₹ / m³)]]=""),"",Market_Data[[#This Row],[Estimated Concrete Demand (m³)]]*Market_Data[[#This Row],[Avg Price per (₹ / m³)]]/10000000)</f>
        <v>2.0411999999999999</v>
      </c>
      <c r="O3051" s="97" t="str">
        <f>IF(Market_Data[[#This Row],[Estimated Concrete Demand (m³)]]="","",
IF(Market_Data[[#This Row],[Estimated Concrete Demand (m³)]]&lt;10000,"Small",
IF(Market_Data[[#This Row],[Estimated Concrete Demand (m³)]]&lt;25000,"Medium",
IF(Market_Data[[#This Row],[Estimated Concrete Demand (m³)]]&lt;100000,"Large","Mega"))))</f>
        <v>Small</v>
      </c>
      <c r="P3051" s="287" t="str">
        <f t="shared" si="49"/>
        <v>GujRERA</v>
      </c>
    </row>
    <row r="3052" spans="1:16">
      <c r="A3052" s="129" t="str">
        <f>_xlfn.XLOOKUP(B3052,$S$9:$S$14,$T$9:$T$14)&amp;"-"&amp;
IF(E3052="Residential/Group Housing","RES",
IF(E3052="Commercial","COM",
IF(E3052="Mixed Development","MIX",
IF(E3052="Plotted Development","PLT","OTH"))))
&amp;"-"&amp;TEXT(COUNTIFS($B$9:B3052,B3052,$E$9:E3052,E3052),"0000")</f>
        <v>VAL-MIX-0153</v>
      </c>
      <c r="B3052" s="322" t="s">
        <v>35</v>
      </c>
      <c r="C3052" s="322" t="s">
        <v>35</v>
      </c>
      <c r="D3052" s="323" t="s">
        <v>3241</v>
      </c>
      <c r="E3052" s="132" t="s">
        <v>25</v>
      </c>
      <c r="F3052" s="97" t="str">
        <f ca="1">IF(OR(Market_Data[[#This Row],[Start Date]]="",Market_Data[[#This Row],[Completion Date]]=""),"Needs Validation",IF(Market_Data[[#This Row],[Start Date]]&gt;TODAY(),"Planned",IF(Market_Data[[#This Row],[Completion Date]]&lt;TODAY(),"Completed","Ongoing")))</f>
        <v>Completed</v>
      </c>
      <c r="G3052" s="324">
        <v>42095</v>
      </c>
      <c r="H3052" s="324">
        <v>44377</v>
      </c>
      <c r="I3052" s="325">
        <v>31400</v>
      </c>
      <c r="J305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52" s="133">
        <f>_xlfn.XLOOKUP(Market_Data[[#This Row],[Project Type]],tbl_assumptions_market[Project Category (RERA)],tbl_assumptions_market[Concrete Intensity
(m³ / sq m BUA)],"",0)</f>
        <v>0.42</v>
      </c>
      <c r="L3052" s="134">
        <f>ROUND(Market_Data[[#This Row],[Estimated Built Up Area (sq m)]]*Market_Data[[#This Row],[Concrete Intensity
(m³ / sq m)]],0)</f>
        <v>13188</v>
      </c>
      <c r="M3052" s="135">
        <f>_xlfn.XLOOKUP(Market_Data[[#This Row],[District]],tbl_district_price[District],tbl_district_price[Standard Price
(INR/m³)],"",0)</f>
        <v>5600</v>
      </c>
      <c r="N3052" s="364">
        <f>IF(OR(Market_Data[[#This Row],[Estimated Concrete Demand (m³)]]="",Market_Data[[#This Row],[Avg Price per (₹ / m³)]]=""),"",Market_Data[[#This Row],[Estimated Concrete Demand (m³)]]*Market_Data[[#This Row],[Avg Price per (₹ / m³)]]/10000000)</f>
        <v>7.3852799999999998</v>
      </c>
      <c r="O3052" s="97" t="str">
        <f>IF(Market_Data[[#This Row],[Estimated Concrete Demand (m³)]]="","",
IF(Market_Data[[#This Row],[Estimated Concrete Demand (m³)]]&lt;10000,"Small",
IF(Market_Data[[#This Row],[Estimated Concrete Demand (m³)]]&lt;25000,"Medium",
IF(Market_Data[[#This Row],[Estimated Concrete Demand (m³)]]&lt;100000,"Large","Mega"))))</f>
        <v>Medium</v>
      </c>
      <c r="P3052" s="287" t="str">
        <f t="shared" si="49"/>
        <v>GujRERA</v>
      </c>
    </row>
    <row r="3053" spans="1:16">
      <c r="A3053" s="129" t="str">
        <f>_xlfn.XLOOKUP(B3053,$S$9:$S$14,$T$9:$T$14)&amp;"-"&amp;
IF(E3053="Residential/Group Housing","RES",
IF(E3053="Commercial","COM",
IF(E3053="Mixed Development","MIX",
IF(E3053="Plotted Development","PLT","OTH"))))
&amp;"-"&amp;TEXT(COUNTIFS($B$9:B3053,B3053,$E$9:E3053,E3053),"0000")</f>
        <v>VAL-PLT-0006</v>
      </c>
      <c r="B3053" s="322" t="s">
        <v>35</v>
      </c>
      <c r="C3053" s="322" t="s">
        <v>35</v>
      </c>
      <c r="D3053" s="323" t="s">
        <v>3242</v>
      </c>
      <c r="E3053" s="132" t="s">
        <v>26</v>
      </c>
      <c r="F3053" s="97" t="str">
        <f ca="1">IF(OR(Market_Data[[#This Row],[Start Date]]="",Market_Data[[#This Row],[Completion Date]]=""),"Needs Validation",IF(Market_Data[[#This Row],[Start Date]]&gt;TODAY(),"Planned",IF(Market_Data[[#This Row],[Completion Date]]&lt;TODAY(),"Completed","Ongoing")))</f>
        <v>Ongoing</v>
      </c>
      <c r="G3053" s="324">
        <v>45933</v>
      </c>
      <c r="H3053" s="324">
        <v>47118</v>
      </c>
      <c r="I3053" s="325">
        <v>36800</v>
      </c>
      <c r="J305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3053" s="133">
        <f>_xlfn.XLOOKUP(Market_Data[[#This Row],[Project Type]],tbl_assumptions_market[Project Category (RERA)],tbl_assumptions_market[Concrete Intensity
(m³ / sq m BUA)],"",0)</f>
        <v>0.18</v>
      </c>
      <c r="L3053" s="134">
        <f>ROUND(Market_Data[[#This Row],[Estimated Built Up Area (sq m)]]*Market_Data[[#This Row],[Concrete Intensity
(m³ / sq m)]],0)</f>
        <v>6624</v>
      </c>
      <c r="M3053" s="135">
        <f>_xlfn.XLOOKUP(Market_Data[[#This Row],[District]],tbl_district_price[District],tbl_district_price[Standard Price
(INR/m³)],"",0)</f>
        <v>5600</v>
      </c>
      <c r="N3053" s="364">
        <f>IF(OR(Market_Data[[#This Row],[Estimated Concrete Demand (m³)]]="",Market_Data[[#This Row],[Avg Price per (₹ / m³)]]=""),"",Market_Data[[#This Row],[Estimated Concrete Demand (m³)]]*Market_Data[[#This Row],[Avg Price per (₹ / m³)]]/10000000)</f>
        <v>3.7094399999999998</v>
      </c>
      <c r="O3053" s="97" t="str">
        <f>IF(Market_Data[[#This Row],[Estimated Concrete Demand (m³)]]="","",
IF(Market_Data[[#This Row],[Estimated Concrete Demand (m³)]]&lt;10000,"Small",
IF(Market_Data[[#This Row],[Estimated Concrete Demand (m³)]]&lt;25000,"Medium",
IF(Market_Data[[#This Row],[Estimated Concrete Demand (m³)]]&lt;100000,"Large","Mega"))))</f>
        <v>Small</v>
      </c>
      <c r="P3053" s="287" t="str">
        <f t="shared" si="49"/>
        <v>GujRERA</v>
      </c>
    </row>
    <row r="3054" spans="1:16">
      <c r="A3054" s="129" t="str">
        <f>_xlfn.XLOOKUP(B3054,$S$9:$S$14,$T$9:$T$14)&amp;"-"&amp;
IF(E3054="Residential/Group Housing","RES",
IF(E3054="Commercial","COM",
IF(E3054="Mixed Development","MIX",
IF(E3054="Plotted Development","PLT","OTH"))))
&amp;"-"&amp;TEXT(COUNTIFS($B$9:B3054,B3054,$E$9:E3054,E3054),"0000")</f>
        <v>VAL-MIX-0154</v>
      </c>
      <c r="B3054" s="322" t="s">
        <v>35</v>
      </c>
      <c r="C3054" s="322" t="s">
        <v>35</v>
      </c>
      <c r="D3054" s="323" t="s">
        <v>3243</v>
      </c>
      <c r="E3054" s="132" t="s">
        <v>25</v>
      </c>
      <c r="F3054" s="97" t="str">
        <f ca="1">IF(OR(Market_Data[[#This Row],[Start Date]]="",Market_Data[[#This Row],[Completion Date]]=""),"Needs Validation",IF(Market_Data[[#This Row],[Start Date]]&gt;TODAY(),"Planned",IF(Market_Data[[#This Row],[Completion Date]]&lt;TODAY(),"Completed","Ongoing")))</f>
        <v>Completed</v>
      </c>
      <c r="G3054" s="324">
        <v>42461</v>
      </c>
      <c r="H3054" s="324">
        <v>44377</v>
      </c>
      <c r="I3054" s="325">
        <v>58100</v>
      </c>
      <c r="J305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54" s="133">
        <f>_xlfn.XLOOKUP(Market_Data[[#This Row],[Project Type]],tbl_assumptions_market[Project Category (RERA)],tbl_assumptions_market[Concrete Intensity
(m³ / sq m BUA)],"",0)</f>
        <v>0.42</v>
      </c>
      <c r="L3054" s="134">
        <f>ROUND(Market_Data[[#This Row],[Estimated Built Up Area (sq m)]]*Market_Data[[#This Row],[Concrete Intensity
(m³ / sq m)]],0)</f>
        <v>24402</v>
      </c>
      <c r="M3054" s="135">
        <f>_xlfn.XLOOKUP(Market_Data[[#This Row],[District]],tbl_district_price[District],tbl_district_price[Standard Price
(INR/m³)],"",0)</f>
        <v>5600</v>
      </c>
      <c r="N3054" s="364">
        <f>IF(OR(Market_Data[[#This Row],[Estimated Concrete Demand (m³)]]="",Market_Data[[#This Row],[Avg Price per (₹ / m³)]]=""),"",Market_Data[[#This Row],[Estimated Concrete Demand (m³)]]*Market_Data[[#This Row],[Avg Price per (₹ / m³)]]/10000000)</f>
        <v>13.66512</v>
      </c>
      <c r="O3054" s="97" t="str">
        <f>IF(Market_Data[[#This Row],[Estimated Concrete Demand (m³)]]="","",
IF(Market_Data[[#This Row],[Estimated Concrete Demand (m³)]]&lt;10000,"Small",
IF(Market_Data[[#This Row],[Estimated Concrete Demand (m³)]]&lt;25000,"Medium",
IF(Market_Data[[#This Row],[Estimated Concrete Demand (m³)]]&lt;100000,"Large","Mega"))))</f>
        <v>Medium</v>
      </c>
      <c r="P3054" s="287" t="str">
        <f t="shared" si="49"/>
        <v>GujRERA</v>
      </c>
    </row>
    <row r="3055" spans="1:16">
      <c r="A3055" s="129" t="str">
        <f>_xlfn.XLOOKUP(B3055,$S$9:$S$14,$T$9:$T$14)&amp;"-"&amp;
IF(E3055="Residential/Group Housing","RES",
IF(E3055="Commercial","COM",
IF(E3055="Mixed Development","MIX",
IF(E3055="Plotted Development","PLT","OTH"))))
&amp;"-"&amp;TEXT(COUNTIFS($B$9:B3055,B3055,$E$9:E3055,E3055),"0000")</f>
        <v>VAL-RES-0140</v>
      </c>
      <c r="B3055" s="322" t="s">
        <v>35</v>
      </c>
      <c r="C3055" s="322" t="s">
        <v>35</v>
      </c>
      <c r="D3055" s="323" t="s">
        <v>3244</v>
      </c>
      <c r="E3055" s="132" t="s">
        <v>24</v>
      </c>
      <c r="F3055" s="97" t="str">
        <f ca="1">IF(OR(Market_Data[[#This Row],[Start Date]]="",Market_Data[[#This Row],[Completion Date]]=""),"Needs Validation",IF(Market_Data[[#This Row],[Start Date]]&gt;TODAY(),"Planned",IF(Market_Data[[#This Row],[Completion Date]]&lt;TODAY(),"Completed","Ongoing")))</f>
        <v>Completed</v>
      </c>
      <c r="G3055" s="324">
        <v>43561</v>
      </c>
      <c r="H3055" s="324">
        <v>44834</v>
      </c>
      <c r="I3055" s="325">
        <v>56000</v>
      </c>
      <c r="J305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55" s="133">
        <f>_xlfn.XLOOKUP(Market_Data[[#This Row],[Project Type]],tbl_assumptions_market[Project Category (RERA)],tbl_assumptions_market[Concrete Intensity
(m³ / sq m BUA)],"",0)</f>
        <v>0.45</v>
      </c>
      <c r="L3055" s="134">
        <f>ROUND(Market_Data[[#This Row],[Estimated Built Up Area (sq m)]]*Market_Data[[#This Row],[Concrete Intensity
(m³ / sq m)]],0)</f>
        <v>25200</v>
      </c>
      <c r="M3055" s="135">
        <f>_xlfn.XLOOKUP(Market_Data[[#This Row],[District]],tbl_district_price[District],tbl_district_price[Standard Price
(INR/m³)],"",0)</f>
        <v>5600</v>
      </c>
      <c r="N3055" s="364">
        <f>IF(OR(Market_Data[[#This Row],[Estimated Concrete Demand (m³)]]="",Market_Data[[#This Row],[Avg Price per (₹ / m³)]]=""),"",Market_Data[[#This Row],[Estimated Concrete Demand (m³)]]*Market_Data[[#This Row],[Avg Price per (₹ / m³)]]/10000000)</f>
        <v>14.112</v>
      </c>
      <c r="O3055" s="97" t="str">
        <f>IF(Market_Data[[#This Row],[Estimated Concrete Demand (m³)]]="","",
IF(Market_Data[[#This Row],[Estimated Concrete Demand (m³)]]&lt;10000,"Small",
IF(Market_Data[[#This Row],[Estimated Concrete Demand (m³)]]&lt;25000,"Medium",
IF(Market_Data[[#This Row],[Estimated Concrete Demand (m³)]]&lt;100000,"Large","Mega"))))</f>
        <v>Large</v>
      </c>
      <c r="P3055" s="287" t="str">
        <f t="shared" si="49"/>
        <v>GujRERA</v>
      </c>
    </row>
    <row r="3056" spans="1:16">
      <c r="A3056" s="129" t="str">
        <f>_xlfn.XLOOKUP(B3056,$S$9:$S$14,$T$9:$T$14)&amp;"-"&amp;
IF(E3056="Residential/Group Housing","RES",
IF(E3056="Commercial","COM",
IF(E3056="Mixed Development","MIX",
IF(E3056="Plotted Development","PLT","OTH"))))
&amp;"-"&amp;TEXT(COUNTIFS($B$9:B3056,B3056,$E$9:E3056,E3056),"0000")</f>
        <v>VAL-PLT-0007</v>
      </c>
      <c r="B3056" s="322" t="s">
        <v>35</v>
      </c>
      <c r="C3056" s="322" t="s">
        <v>35</v>
      </c>
      <c r="D3056" s="323" t="s">
        <v>3245</v>
      </c>
      <c r="E3056" s="132" t="s">
        <v>26</v>
      </c>
      <c r="F3056" s="97" t="str">
        <f ca="1">IF(OR(Market_Data[[#This Row],[Start Date]]="",Market_Data[[#This Row],[Completion Date]]=""),"Needs Validation",IF(Market_Data[[#This Row],[Start Date]]&gt;TODAY(),"Planned",IF(Market_Data[[#This Row],[Completion Date]]&lt;TODAY(),"Completed","Ongoing")))</f>
        <v>Completed</v>
      </c>
      <c r="G3056" s="324">
        <v>42370</v>
      </c>
      <c r="H3056" s="324">
        <v>43677</v>
      </c>
      <c r="I3056" s="325">
        <v>46700</v>
      </c>
      <c r="J305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3056" s="133">
        <f>_xlfn.XLOOKUP(Market_Data[[#This Row],[Project Type]],tbl_assumptions_market[Project Category (RERA)],tbl_assumptions_market[Concrete Intensity
(m³ / sq m BUA)],"",0)</f>
        <v>0.18</v>
      </c>
      <c r="L3056" s="134">
        <f>ROUND(Market_Data[[#This Row],[Estimated Built Up Area (sq m)]]*Market_Data[[#This Row],[Concrete Intensity
(m³ / sq m)]],0)</f>
        <v>8406</v>
      </c>
      <c r="M3056" s="135">
        <f>_xlfn.XLOOKUP(Market_Data[[#This Row],[District]],tbl_district_price[District],tbl_district_price[Standard Price
(INR/m³)],"",0)</f>
        <v>5600</v>
      </c>
      <c r="N3056" s="364">
        <f>IF(OR(Market_Data[[#This Row],[Estimated Concrete Demand (m³)]]="",Market_Data[[#This Row],[Avg Price per (₹ / m³)]]=""),"",Market_Data[[#This Row],[Estimated Concrete Demand (m³)]]*Market_Data[[#This Row],[Avg Price per (₹ / m³)]]/10000000)</f>
        <v>4.7073600000000004</v>
      </c>
      <c r="O3056" s="97" t="str">
        <f>IF(Market_Data[[#This Row],[Estimated Concrete Demand (m³)]]="","",
IF(Market_Data[[#This Row],[Estimated Concrete Demand (m³)]]&lt;10000,"Small",
IF(Market_Data[[#This Row],[Estimated Concrete Demand (m³)]]&lt;25000,"Medium",
IF(Market_Data[[#This Row],[Estimated Concrete Demand (m³)]]&lt;100000,"Large","Mega"))))</f>
        <v>Small</v>
      </c>
      <c r="P3056" s="287" t="str">
        <f t="shared" si="49"/>
        <v>GujRERA</v>
      </c>
    </row>
    <row r="3057" spans="1:16">
      <c r="A3057" s="129" t="str">
        <f>_xlfn.XLOOKUP(B3057,$S$9:$S$14,$T$9:$T$14)&amp;"-"&amp;
IF(E3057="Residential/Group Housing","RES",
IF(E3057="Commercial","COM",
IF(E3057="Mixed Development","MIX",
IF(E3057="Plotted Development","PLT","OTH"))))
&amp;"-"&amp;TEXT(COUNTIFS($B$9:B3057,B3057,$E$9:E3057,E3057),"0000")</f>
        <v>VAL-COM-0032</v>
      </c>
      <c r="B3057" s="322" t="s">
        <v>35</v>
      </c>
      <c r="C3057" s="322" t="s">
        <v>35</v>
      </c>
      <c r="D3057" s="323" t="s">
        <v>3246</v>
      </c>
      <c r="E3057" s="132" t="s">
        <v>23</v>
      </c>
      <c r="F3057" s="97" t="str">
        <f ca="1">IF(OR(Market_Data[[#This Row],[Start Date]]="",Market_Data[[#This Row],[Completion Date]]=""),"Needs Validation",IF(Market_Data[[#This Row],[Start Date]]&gt;TODAY(),"Planned",IF(Market_Data[[#This Row],[Completion Date]]&lt;TODAY(),"Completed","Ongoing")))</f>
        <v>Completed</v>
      </c>
      <c r="G3057" s="324">
        <v>44201</v>
      </c>
      <c r="H3057" s="324">
        <v>45016</v>
      </c>
      <c r="I3057" s="325">
        <v>21900</v>
      </c>
      <c r="J305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3057" s="133">
        <f>_xlfn.XLOOKUP(Market_Data[[#This Row],[Project Type]],tbl_assumptions_market[Project Category (RERA)],tbl_assumptions_market[Concrete Intensity
(m³ / sq m BUA)],"",0)</f>
        <v>0.5</v>
      </c>
      <c r="L3057" s="134">
        <f>ROUND(Market_Data[[#This Row],[Estimated Built Up Area (sq m)]]*Market_Data[[#This Row],[Concrete Intensity
(m³ / sq m)]],0)</f>
        <v>10950</v>
      </c>
      <c r="M3057" s="135">
        <f>_xlfn.XLOOKUP(Market_Data[[#This Row],[District]],tbl_district_price[District],tbl_district_price[Standard Price
(INR/m³)],"",0)</f>
        <v>5600</v>
      </c>
      <c r="N3057" s="364">
        <f>IF(OR(Market_Data[[#This Row],[Estimated Concrete Demand (m³)]]="",Market_Data[[#This Row],[Avg Price per (₹ / m³)]]=""),"",Market_Data[[#This Row],[Estimated Concrete Demand (m³)]]*Market_Data[[#This Row],[Avg Price per (₹ / m³)]]/10000000)</f>
        <v>6.1319999999999997</v>
      </c>
      <c r="O3057" s="97" t="str">
        <f>IF(Market_Data[[#This Row],[Estimated Concrete Demand (m³)]]="","",
IF(Market_Data[[#This Row],[Estimated Concrete Demand (m³)]]&lt;10000,"Small",
IF(Market_Data[[#This Row],[Estimated Concrete Demand (m³)]]&lt;25000,"Medium",
IF(Market_Data[[#This Row],[Estimated Concrete Demand (m³)]]&lt;100000,"Large","Mega"))))</f>
        <v>Medium</v>
      </c>
      <c r="P3057" s="287" t="str">
        <f t="shared" si="49"/>
        <v>GujRERA</v>
      </c>
    </row>
    <row r="3058" spans="1:16">
      <c r="A3058" s="129" t="str">
        <f>_xlfn.XLOOKUP(B3058,$S$9:$S$14,$T$9:$T$14)&amp;"-"&amp;
IF(E3058="Residential/Group Housing","RES",
IF(E3058="Commercial","COM",
IF(E3058="Mixed Development","MIX",
IF(E3058="Plotted Development","PLT","OTH"))))
&amp;"-"&amp;TEXT(COUNTIFS($B$9:B3058,B3058,$E$9:E3058,E3058),"0000")</f>
        <v>VAL-COM-0033</v>
      </c>
      <c r="B3058" s="322" t="s">
        <v>35</v>
      </c>
      <c r="C3058" s="322" t="s">
        <v>35</v>
      </c>
      <c r="D3058" s="323" t="s">
        <v>3247</v>
      </c>
      <c r="E3058" s="132" t="s">
        <v>23</v>
      </c>
      <c r="F3058" s="97" t="str">
        <f ca="1">IF(OR(Market_Data[[#This Row],[Start Date]]="",Market_Data[[#This Row],[Completion Date]]=""),"Needs Validation",IF(Market_Data[[#This Row],[Start Date]]&gt;TODAY(),"Planned",IF(Market_Data[[#This Row],[Completion Date]]&lt;TODAY(),"Completed","Ongoing")))</f>
        <v>Completed</v>
      </c>
      <c r="G3058" s="324">
        <v>43125</v>
      </c>
      <c r="H3058" s="324">
        <v>43921</v>
      </c>
      <c r="I3058" s="325">
        <v>47200</v>
      </c>
      <c r="J305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3058" s="133">
        <f>_xlfn.XLOOKUP(Market_Data[[#This Row],[Project Type]],tbl_assumptions_market[Project Category (RERA)],tbl_assumptions_market[Concrete Intensity
(m³ / sq m BUA)],"",0)</f>
        <v>0.5</v>
      </c>
      <c r="L3058" s="134">
        <f>ROUND(Market_Data[[#This Row],[Estimated Built Up Area (sq m)]]*Market_Data[[#This Row],[Concrete Intensity
(m³ / sq m)]],0)</f>
        <v>23600</v>
      </c>
      <c r="M3058" s="135">
        <f>_xlfn.XLOOKUP(Market_Data[[#This Row],[District]],tbl_district_price[District],tbl_district_price[Standard Price
(INR/m³)],"",0)</f>
        <v>5600</v>
      </c>
      <c r="N3058" s="364">
        <f>IF(OR(Market_Data[[#This Row],[Estimated Concrete Demand (m³)]]="",Market_Data[[#This Row],[Avg Price per (₹ / m³)]]=""),"",Market_Data[[#This Row],[Estimated Concrete Demand (m³)]]*Market_Data[[#This Row],[Avg Price per (₹ / m³)]]/10000000)</f>
        <v>13.215999999999999</v>
      </c>
      <c r="O3058" s="97" t="str">
        <f>IF(Market_Data[[#This Row],[Estimated Concrete Demand (m³)]]="","",
IF(Market_Data[[#This Row],[Estimated Concrete Demand (m³)]]&lt;10000,"Small",
IF(Market_Data[[#This Row],[Estimated Concrete Demand (m³)]]&lt;25000,"Medium",
IF(Market_Data[[#This Row],[Estimated Concrete Demand (m³)]]&lt;100000,"Large","Mega"))))</f>
        <v>Medium</v>
      </c>
      <c r="P3058" s="287" t="str">
        <f t="shared" si="49"/>
        <v>GujRERA</v>
      </c>
    </row>
    <row r="3059" spans="1:16">
      <c r="A3059" s="129" t="str">
        <f>_xlfn.XLOOKUP(B3059,$S$9:$S$14,$T$9:$T$14)&amp;"-"&amp;
IF(E3059="Residential/Group Housing","RES",
IF(E3059="Commercial","COM",
IF(E3059="Mixed Development","MIX",
IF(E3059="Plotted Development","PLT","OTH"))))
&amp;"-"&amp;TEXT(COUNTIFS($B$9:B3059,B3059,$E$9:E3059,E3059),"0000")</f>
        <v>VAL-MIX-0155</v>
      </c>
      <c r="B3059" s="322" t="s">
        <v>35</v>
      </c>
      <c r="C3059" s="322" t="s">
        <v>35</v>
      </c>
      <c r="D3059" s="323" t="s">
        <v>3248</v>
      </c>
      <c r="E3059" s="132" t="s">
        <v>25</v>
      </c>
      <c r="F3059" s="97" t="str">
        <f ca="1">IF(OR(Market_Data[[#This Row],[Start Date]]="",Market_Data[[#This Row],[Completion Date]]=""),"Needs Validation",IF(Market_Data[[#This Row],[Start Date]]&gt;TODAY(),"Planned",IF(Market_Data[[#This Row],[Completion Date]]&lt;TODAY(),"Completed","Ongoing")))</f>
        <v>Ongoing</v>
      </c>
      <c r="G3059" s="324">
        <v>45392</v>
      </c>
      <c r="H3059" s="324">
        <v>47848</v>
      </c>
      <c r="I3059" s="325">
        <v>48700</v>
      </c>
      <c r="J305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59" s="133">
        <f>_xlfn.XLOOKUP(Market_Data[[#This Row],[Project Type]],tbl_assumptions_market[Project Category (RERA)],tbl_assumptions_market[Concrete Intensity
(m³ / sq m BUA)],"",0)</f>
        <v>0.42</v>
      </c>
      <c r="L3059" s="134">
        <f>ROUND(Market_Data[[#This Row],[Estimated Built Up Area (sq m)]]*Market_Data[[#This Row],[Concrete Intensity
(m³ / sq m)]],0)</f>
        <v>20454</v>
      </c>
      <c r="M3059" s="135">
        <f>_xlfn.XLOOKUP(Market_Data[[#This Row],[District]],tbl_district_price[District],tbl_district_price[Standard Price
(INR/m³)],"",0)</f>
        <v>5600</v>
      </c>
      <c r="N3059" s="364">
        <f>IF(OR(Market_Data[[#This Row],[Estimated Concrete Demand (m³)]]="",Market_Data[[#This Row],[Avg Price per (₹ / m³)]]=""),"",Market_Data[[#This Row],[Estimated Concrete Demand (m³)]]*Market_Data[[#This Row],[Avg Price per (₹ / m³)]]/10000000)</f>
        <v>11.45424</v>
      </c>
      <c r="O3059" s="97" t="str">
        <f>IF(Market_Data[[#This Row],[Estimated Concrete Demand (m³)]]="","",
IF(Market_Data[[#This Row],[Estimated Concrete Demand (m³)]]&lt;10000,"Small",
IF(Market_Data[[#This Row],[Estimated Concrete Demand (m³)]]&lt;25000,"Medium",
IF(Market_Data[[#This Row],[Estimated Concrete Demand (m³)]]&lt;100000,"Large","Mega"))))</f>
        <v>Medium</v>
      </c>
      <c r="P3059" s="287" t="str">
        <f t="shared" si="49"/>
        <v>GujRERA</v>
      </c>
    </row>
    <row r="3060" spans="1:16">
      <c r="A3060" s="129" t="str">
        <f>_xlfn.XLOOKUP(B3060,$S$9:$S$14,$T$9:$T$14)&amp;"-"&amp;
IF(E3060="Residential/Group Housing","RES",
IF(E3060="Commercial","COM",
IF(E3060="Mixed Development","MIX",
IF(E3060="Plotted Development","PLT","OTH"))))
&amp;"-"&amp;TEXT(COUNTIFS($B$9:B3060,B3060,$E$9:E3060,E3060),"0000")</f>
        <v>VAL-RES-0141</v>
      </c>
      <c r="B3060" s="322" t="s">
        <v>35</v>
      </c>
      <c r="C3060" s="322" t="s">
        <v>35</v>
      </c>
      <c r="D3060" s="323" t="s">
        <v>3249</v>
      </c>
      <c r="E3060" s="132" t="s">
        <v>24</v>
      </c>
      <c r="F3060" s="97" t="str">
        <f ca="1">IF(OR(Market_Data[[#This Row],[Start Date]]="",Market_Data[[#This Row],[Completion Date]]=""),"Needs Validation",IF(Market_Data[[#This Row],[Start Date]]&gt;TODAY(),"Planned",IF(Market_Data[[#This Row],[Completion Date]]&lt;TODAY(),"Completed","Ongoing")))</f>
        <v>Ongoing</v>
      </c>
      <c r="G3060" s="324">
        <v>45870</v>
      </c>
      <c r="H3060" s="324">
        <v>47208</v>
      </c>
      <c r="I3060" s="325">
        <v>7900</v>
      </c>
      <c r="J306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60" s="133">
        <f>_xlfn.XLOOKUP(Market_Data[[#This Row],[Project Type]],tbl_assumptions_market[Project Category (RERA)],tbl_assumptions_market[Concrete Intensity
(m³ / sq m BUA)],"",0)</f>
        <v>0.45</v>
      </c>
      <c r="L3060" s="134">
        <f>ROUND(Market_Data[[#This Row],[Estimated Built Up Area (sq m)]]*Market_Data[[#This Row],[Concrete Intensity
(m³ / sq m)]],0)</f>
        <v>3555</v>
      </c>
      <c r="M3060" s="135">
        <f>_xlfn.XLOOKUP(Market_Data[[#This Row],[District]],tbl_district_price[District],tbl_district_price[Standard Price
(INR/m³)],"",0)</f>
        <v>5600</v>
      </c>
      <c r="N3060" s="364">
        <f>IF(OR(Market_Data[[#This Row],[Estimated Concrete Demand (m³)]]="",Market_Data[[#This Row],[Avg Price per (₹ / m³)]]=""),"",Market_Data[[#This Row],[Estimated Concrete Demand (m³)]]*Market_Data[[#This Row],[Avg Price per (₹ / m³)]]/10000000)</f>
        <v>1.9907999999999999</v>
      </c>
      <c r="O3060" s="97" t="str">
        <f>IF(Market_Data[[#This Row],[Estimated Concrete Demand (m³)]]="","",
IF(Market_Data[[#This Row],[Estimated Concrete Demand (m³)]]&lt;10000,"Small",
IF(Market_Data[[#This Row],[Estimated Concrete Demand (m³)]]&lt;25000,"Medium",
IF(Market_Data[[#This Row],[Estimated Concrete Demand (m³)]]&lt;100000,"Large","Mega"))))</f>
        <v>Small</v>
      </c>
      <c r="P3060" s="287" t="str">
        <f t="shared" si="49"/>
        <v>GujRERA</v>
      </c>
    </row>
    <row r="3061" spans="1:16">
      <c r="A3061" s="129" t="str">
        <f>_xlfn.XLOOKUP(B3061,$S$9:$S$14,$T$9:$T$14)&amp;"-"&amp;
IF(E3061="Residential/Group Housing","RES",
IF(E3061="Commercial","COM",
IF(E3061="Mixed Development","MIX",
IF(E3061="Plotted Development","PLT","OTH"))))
&amp;"-"&amp;TEXT(COUNTIFS($B$9:B3061,B3061,$E$9:E3061,E3061),"0000")</f>
        <v>VAL-RES-0142</v>
      </c>
      <c r="B3061" s="322" t="s">
        <v>35</v>
      </c>
      <c r="C3061" s="322" t="s">
        <v>35</v>
      </c>
      <c r="D3061" s="323" t="s">
        <v>3250</v>
      </c>
      <c r="E3061" s="132" t="s">
        <v>24</v>
      </c>
      <c r="F3061" s="97" t="str">
        <f ca="1">IF(OR(Market_Data[[#This Row],[Start Date]]="",Market_Data[[#This Row],[Completion Date]]=""),"Needs Validation",IF(Market_Data[[#This Row],[Start Date]]&gt;TODAY(),"Planned",IF(Market_Data[[#This Row],[Completion Date]]&lt;TODAY(),"Completed","Ongoing")))</f>
        <v>Completed</v>
      </c>
      <c r="G3061" s="324">
        <v>44440</v>
      </c>
      <c r="H3061" s="324">
        <v>46203</v>
      </c>
      <c r="I3061" s="325">
        <v>46800</v>
      </c>
      <c r="J306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61" s="133">
        <f>_xlfn.XLOOKUP(Market_Data[[#This Row],[Project Type]],tbl_assumptions_market[Project Category (RERA)],tbl_assumptions_market[Concrete Intensity
(m³ / sq m BUA)],"",0)</f>
        <v>0.45</v>
      </c>
      <c r="L3061" s="134">
        <f>ROUND(Market_Data[[#This Row],[Estimated Built Up Area (sq m)]]*Market_Data[[#This Row],[Concrete Intensity
(m³ / sq m)]],0)</f>
        <v>21060</v>
      </c>
      <c r="M3061" s="135">
        <f>_xlfn.XLOOKUP(Market_Data[[#This Row],[District]],tbl_district_price[District],tbl_district_price[Standard Price
(INR/m³)],"",0)</f>
        <v>5600</v>
      </c>
      <c r="N3061" s="364">
        <f>IF(OR(Market_Data[[#This Row],[Estimated Concrete Demand (m³)]]="",Market_Data[[#This Row],[Avg Price per (₹ / m³)]]=""),"",Market_Data[[#This Row],[Estimated Concrete Demand (m³)]]*Market_Data[[#This Row],[Avg Price per (₹ / m³)]]/10000000)</f>
        <v>11.7936</v>
      </c>
      <c r="O3061" s="97" t="str">
        <f>IF(Market_Data[[#This Row],[Estimated Concrete Demand (m³)]]="","",
IF(Market_Data[[#This Row],[Estimated Concrete Demand (m³)]]&lt;10000,"Small",
IF(Market_Data[[#This Row],[Estimated Concrete Demand (m³)]]&lt;25000,"Medium",
IF(Market_Data[[#This Row],[Estimated Concrete Demand (m³)]]&lt;100000,"Large","Mega"))))</f>
        <v>Medium</v>
      </c>
      <c r="P3061" s="287" t="str">
        <f t="shared" si="49"/>
        <v>GujRERA</v>
      </c>
    </row>
    <row r="3062" spans="1:16">
      <c r="A3062" s="129" t="str">
        <f>_xlfn.XLOOKUP(B3062,$S$9:$S$14,$T$9:$T$14)&amp;"-"&amp;
IF(E3062="Residential/Group Housing","RES",
IF(E3062="Commercial","COM",
IF(E3062="Mixed Development","MIX",
IF(E3062="Plotted Development","PLT","OTH"))))
&amp;"-"&amp;TEXT(COUNTIFS($B$9:B3062,B3062,$E$9:E3062,E3062),"0000")</f>
        <v>VAL-MIX-0156</v>
      </c>
      <c r="B3062" s="322" t="s">
        <v>35</v>
      </c>
      <c r="C3062" s="322" t="s">
        <v>35</v>
      </c>
      <c r="D3062" s="323" t="s">
        <v>3251</v>
      </c>
      <c r="E3062" s="132" t="s">
        <v>25</v>
      </c>
      <c r="F3062" s="97" t="str">
        <f ca="1">IF(OR(Market_Data[[#This Row],[Start Date]]="",Market_Data[[#This Row],[Completion Date]]=""),"Needs Validation",IF(Market_Data[[#This Row],[Start Date]]&gt;TODAY(),"Planned",IF(Market_Data[[#This Row],[Completion Date]]&lt;TODAY(),"Completed","Ongoing")))</f>
        <v>Completed</v>
      </c>
      <c r="G3062" s="324">
        <v>42461</v>
      </c>
      <c r="H3062" s="324">
        <v>43738</v>
      </c>
      <c r="I3062" s="325">
        <v>29300</v>
      </c>
      <c r="J306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62" s="133">
        <f>_xlfn.XLOOKUP(Market_Data[[#This Row],[Project Type]],tbl_assumptions_market[Project Category (RERA)],tbl_assumptions_market[Concrete Intensity
(m³ / sq m BUA)],"",0)</f>
        <v>0.42</v>
      </c>
      <c r="L3062" s="134">
        <f>ROUND(Market_Data[[#This Row],[Estimated Built Up Area (sq m)]]*Market_Data[[#This Row],[Concrete Intensity
(m³ / sq m)]],0)</f>
        <v>12306</v>
      </c>
      <c r="M3062" s="135">
        <f>_xlfn.XLOOKUP(Market_Data[[#This Row],[District]],tbl_district_price[District],tbl_district_price[Standard Price
(INR/m³)],"",0)</f>
        <v>5600</v>
      </c>
      <c r="N3062" s="364">
        <f>IF(OR(Market_Data[[#This Row],[Estimated Concrete Demand (m³)]]="",Market_Data[[#This Row],[Avg Price per (₹ / m³)]]=""),"",Market_Data[[#This Row],[Estimated Concrete Demand (m³)]]*Market_Data[[#This Row],[Avg Price per (₹ / m³)]]/10000000)</f>
        <v>6.8913599999999997</v>
      </c>
      <c r="O3062" s="97" t="str">
        <f>IF(Market_Data[[#This Row],[Estimated Concrete Demand (m³)]]="","",
IF(Market_Data[[#This Row],[Estimated Concrete Demand (m³)]]&lt;10000,"Small",
IF(Market_Data[[#This Row],[Estimated Concrete Demand (m³)]]&lt;25000,"Medium",
IF(Market_Data[[#This Row],[Estimated Concrete Demand (m³)]]&lt;100000,"Large","Mega"))))</f>
        <v>Medium</v>
      </c>
      <c r="P3062" s="287" t="str">
        <f t="shared" si="49"/>
        <v>GujRERA</v>
      </c>
    </row>
    <row r="3063" spans="1:16">
      <c r="A3063" s="129" t="str">
        <f>_xlfn.XLOOKUP(B3063,$S$9:$S$14,$T$9:$T$14)&amp;"-"&amp;
IF(E3063="Residential/Group Housing","RES",
IF(E3063="Commercial","COM",
IF(E3063="Mixed Development","MIX",
IF(E3063="Plotted Development","PLT","OTH"))))
&amp;"-"&amp;TEXT(COUNTIFS($B$9:B3063,B3063,$E$9:E3063,E3063),"0000")</f>
        <v>VAL-RES-0143</v>
      </c>
      <c r="B3063" s="322" t="s">
        <v>35</v>
      </c>
      <c r="C3063" s="322" t="s">
        <v>35</v>
      </c>
      <c r="D3063" s="323" t="s">
        <v>3252</v>
      </c>
      <c r="E3063" s="132" t="s">
        <v>24</v>
      </c>
      <c r="F3063" s="97" t="str">
        <f ca="1">IF(OR(Market_Data[[#This Row],[Start Date]]="",Market_Data[[#This Row],[Completion Date]]=""),"Needs Validation",IF(Market_Data[[#This Row],[Start Date]]&gt;TODAY(),"Planned",IF(Market_Data[[#This Row],[Completion Date]]&lt;TODAY(),"Completed","Ongoing")))</f>
        <v>Ongoing</v>
      </c>
      <c r="G3063" s="324">
        <v>43891</v>
      </c>
      <c r="H3063" s="324">
        <v>46381</v>
      </c>
      <c r="I3063" s="325">
        <v>27400</v>
      </c>
      <c r="J306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63" s="133">
        <f>_xlfn.XLOOKUP(Market_Data[[#This Row],[Project Type]],tbl_assumptions_market[Project Category (RERA)],tbl_assumptions_market[Concrete Intensity
(m³ / sq m BUA)],"",0)</f>
        <v>0.45</v>
      </c>
      <c r="L3063" s="134">
        <f>ROUND(Market_Data[[#This Row],[Estimated Built Up Area (sq m)]]*Market_Data[[#This Row],[Concrete Intensity
(m³ / sq m)]],0)</f>
        <v>12330</v>
      </c>
      <c r="M3063" s="135">
        <f>_xlfn.XLOOKUP(Market_Data[[#This Row],[District]],tbl_district_price[District],tbl_district_price[Standard Price
(INR/m³)],"",0)</f>
        <v>5600</v>
      </c>
      <c r="N3063" s="364">
        <f>IF(OR(Market_Data[[#This Row],[Estimated Concrete Demand (m³)]]="",Market_Data[[#This Row],[Avg Price per (₹ / m³)]]=""),"",Market_Data[[#This Row],[Estimated Concrete Demand (m³)]]*Market_Data[[#This Row],[Avg Price per (₹ / m³)]]/10000000)</f>
        <v>6.9047999999999998</v>
      </c>
      <c r="O3063" s="97" t="str">
        <f>IF(Market_Data[[#This Row],[Estimated Concrete Demand (m³)]]="","",
IF(Market_Data[[#This Row],[Estimated Concrete Demand (m³)]]&lt;10000,"Small",
IF(Market_Data[[#This Row],[Estimated Concrete Demand (m³)]]&lt;25000,"Medium",
IF(Market_Data[[#This Row],[Estimated Concrete Demand (m³)]]&lt;100000,"Large","Mega"))))</f>
        <v>Medium</v>
      </c>
      <c r="P3063" s="287" t="str">
        <f t="shared" si="49"/>
        <v>GujRERA</v>
      </c>
    </row>
    <row r="3064" spans="1:16">
      <c r="A3064" s="129" t="str">
        <f>_xlfn.XLOOKUP(B3064,$S$9:$S$14,$T$9:$T$14)&amp;"-"&amp;
IF(E3064="Residential/Group Housing","RES",
IF(E3064="Commercial","COM",
IF(E3064="Mixed Development","MIX",
IF(E3064="Plotted Development","PLT","OTH"))))
&amp;"-"&amp;TEXT(COUNTIFS($B$9:B3064,B3064,$E$9:E3064,E3064),"0000")</f>
        <v>VAL-MIX-0157</v>
      </c>
      <c r="B3064" s="322" t="s">
        <v>35</v>
      </c>
      <c r="C3064" s="322" t="s">
        <v>35</v>
      </c>
      <c r="D3064" s="323" t="s">
        <v>3253</v>
      </c>
      <c r="E3064" s="132" t="s">
        <v>25</v>
      </c>
      <c r="F3064" s="97" t="str">
        <f ca="1">IF(OR(Market_Data[[#This Row],[Start Date]]="",Market_Data[[#This Row],[Completion Date]]=""),"Needs Validation",IF(Market_Data[[#This Row],[Start Date]]&gt;TODAY(),"Planned",IF(Market_Data[[#This Row],[Completion Date]]&lt;TODAY(),"Completed","Ongoing")))</f>
        <v>Completed</v>
      </c>
      <c r="G3064" s="324">
        <v>43226</v>
      </c>
      <c r="H3064" s="324">
        <v>44469</v>
      </c>
      <c r="I3064" s="325">
        <v>27600</v>
      </c>
      <c r="J3064"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64" s="133">
        <f>_xlfn.XLOOKUP(Market_Data[[#This Row],[Project Type]],tbl_assumptions_market[Project Category (RERA)],tbl_assumptions_market[Concrete Intensity
(m³ / sq m BUA)],"",0)</f>
        <v>0.42</v>
      </c>
      <c r="L3064" s="134">
        <f>ROUND(Market_Data[[#This Row],[Estimated Built Up Area (sq m)]]*Market_Data[[#This Row],[Concrete Intensity
(m³ / sq m)]],0)</f>
        <v>11592</v>
      </c>
      <c r="M3064" s="135">
        <f>_xlfn.XLOOKUP(Market_Data[[#This Row],[District]],tbl_district_price[District],tbl_district_price[Standard Price
(INR/m³)],"",0)</f>
        <v>5600</v>
      </c>
      <c r="N3064" s="364">
        <f>IF(OR(Market_Data[[#This Row],[Estimated Concrete Demand (m³)]]="",Market_Data[[#This Row],[Avg Price per (₹ / m³)]]=""),"",Market_Data[[#This Row],[Estimated Concrete Demand (m³)]]*Market_Data[[#This Row],[Avg Price per (₹ / m³)]]/10000000)</f>
        <v>6.4915200000000004</v>
      </c>
      <c r="O3064" s="97" t="str">
        <f>IF(Market_Data[[#This Row],[Estimated Concrete Demand (m³)]]="","",
IF(Market_Data[[#This Row],[Estimated Concrete Demand (m³)]]&lt;10000,"Small",
IF(Market_Data[[#This Row],[Estimated Concrete Demand (m³)]]&lt;25000,"Medium",
IF(Market_Data[[#This Row],[Estimated Concrete Demand (m³)]]&lt;100000,"Large","Mega"))))</f>
        <v>Medium</v>
      </c>
      <c r="P3064" s="287" t="str">
        <f t="shared" si="49"/>
        <v>GujRERA</v>
      </c>
    </row>
    <row r="3065" spans="1:16">
      <c r="A3065" s="129" t="str">
        <f>_xlfn.XLOOKUP(B3065,$S$9:$S$14,$T$9:$T$14)&amp;"-"&amp;
IF(E3065="Residential/Group Housing","RES",
IF(E3065="Commercial","COM",
IF(E3065="Mixed Development","MIX",
IF(E3065="Plotted Development","PLT","OTH"))))
&amp;"-"&amp;TEXT(COUNTIFS($B$9:B3065,B3065,$E$9:E3065,E3065),"0000")</f>
        <v>VAL-MIX-0158</v>
      </c>
      <c r="B3065" s="322" t="s">
        <v>35</v>
      </c>
      <c r="C3065" s="322" t="s">
        <v>35</v>
      </c>
      <c r="D3065" s="323" t="s">
        <v>3254</v>
      </c>
      <c r="E3065" s="132" t="s">
        <v>25</v>
      </c>
      <c r="F3065" s="97" t="str">
        <f ca="1">IF(OR(Market_Data[[#This Row],[Start Date]]="",Market_Data[[#This Row],[Completion Date]]=""),"Needs Validation",IF(Market_Data[[#This Row],[Start Date]]&gt;TODAY(),"Planned",IF(Market_Data[[#This Row],[Completion Date]]&lt;TODAY(),"Completed","Ongoing")))</f>
        <v>Completed</v>
      </c>
      <c r="G3065" s="324">
        <v>42095</v>
      </c>
      <c r="H3065" s="324">
        <v>44377</v>
      </c>
      <c r="I3065" s="325">
        <v>46900</v>
      </c>
      <c r="J3065"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65" s="133">
        <f>_xlfn.XLOOKUP(Market_Data[[#This Row],[Project Type]],tbl_assumptions_market[Project Category (RERA)],tbl_assumptions_market[Concrete Intensity
(m³ / sq m BUA)],"",0)</f>
        <v>0.42</v>
      </c>
      <c r="L3065" s="134">
        <f>ROUND(Market_Data[[#This Row],[Estimated Built Up Area (sq m)]]*Market_Data[[#This Row],[Concrete Intensity
(m³ / sq m)]],0)</f>
        <v>19698</v>
      </c>
      <c r="M3065" s="135">
        <f>_xlfn.XLOOKUP(Market_Data[[#This Row],[District]],tbl_district_price[District],tbl_district_price[Standard Price
(INR/m³)],"",0)</f>
        <v>5600</v>
      </c>
      <c r="N3065" s="364">
        <f>IF(OR(Market_Data[[#This Row],[Estimated Concrete Demand (m³)]]="",Market_Data[[#This Row],[Avg Price per (₹ / m³)]]=""),"",Market_Data[[#This Row],[Estimated Concrete Demand (m³)]]*Market_Data[[#This Row],[Avg Price per (₹ / m³)]]/10000000)</f>
        <v>11.03088</v>
      </c>
      <c r="O3065" s="97" t="str">
        <f>IF(Market_Data[[#This Row],[Estimated Concrete Demand (m³)]]="","",
IF(Market_Data[[#This Row],[Estimated Concrete Demand (m³)]]&lt;10000,"Small",
IF(Market_Data[[#This Row],[Estimated Concrete Demand (m³)]]&lt;25000,"Medium",
IF(Market_Data[[#This Row],[Estimated Concrete Demand (m³)]]&lt;100000,"Large","Mega"))))</f>
        <v>Medium</v>
      </c>
      <c r="P3065" s="287" t="str">
        <f t="shared" si="49"/>
        <v>GujRERA</v>
      </c>
    </row>
    <row r="3066" spans="1:16">
      <c r="A3066" s="129" t="str">
        <f>_xlfn.XLOOKUP(B3066,$S$9:$S$14,$T$9:$T$14)&amp;"-"&amp;
IF(E3066="Residential/Group Housing","RES",
IF(E3066="Commercial","COM",
IF(E3066="Mixed Development","MIX",
IF(E3066="Plotted Development","PLT","OTH"))))
&amp;"-"&amp;TEXT(COUNTIFS($B$9:B3066,B3066,$E$9:E3066,E3066),"0000")</f>
        <v>VAL-MIX-0159</v>
      </c>
      <c r="B3066" s="322" t="s">
        <v>35</v>
      </c>
      <c r="C3066" s="322" t="s">
        <v>35</v>
      </c>
      <c r="D3066" s="323" t="s">
        <v>3255</v>
      </c>
      <c r="E3066" s="132" t="s">
        <v>25</v>
      </c>
      <c r="F3066" s="97" t="str">
        <f ca="1">IF(OR(Market_Data[[#This Row],[Start Date]]="",Market_Data[[#This Row],[Completion Date]]=""),"Needs Validation",IF(Market_Data[[#This Row],[Start Date]]&gt;TODAY(),"Planned",IF(Market_Data[[#This Row],[Completion Date]]&lt;TODAY(),"Completed","Ongoing")))</f>
        <v>Completed</v>
      </c>
      <c r="G3066" s="324">
        <v>43132</v>
      </c>
      <c r="H3066" s="324">
        <v>45473</v>
      </c>
      <c r="I3066" s="325">
        <v>4800</v>
      </c>
      <c r="J3066"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3066" s="133">
        <f>_xlfn.XLOOKUP(Market_Data[[#This Row],[Project Type]],tbl_assumptions_market[Project Category (RERA)],tbl_assumptions_market[Concrete Intensity
(m³ / sq m BUA)],"",0)</f>
        <v>0.42</v>
      </c>
      <c r="L3066" s="134">
        <f>ROUND(Market_Data[[#This Row],[Estimated Built Up Area (sq m)]]*Market_Data[[#This Row],[Concrete Intensity
(m³ / sq m)]],0)</f>
        <v>2016</v>
      </c>
      <c r="M3066" s="135">
        <f>_xlfn.XLOOKUP(Market_Data[[#This Row],[District]],tbl_district_price[District],tbl_district_price[Standard Price
(INR/m³)],"",0)</f>
        <v>5600</v>
      </c>
      <c r="N3066" s="364">
        <f>IF(OR(Market_Data[[#This Row],[Estimated Concrete Demand (m³)]]="",Market_Data[[#This Row],[Avg Price per (₹ / m³)]]=""),"",Market_Data[[#This Row],[Estimated Concrete Demand (m³)]]*Market_Data[[#This Row],[Avg Price per (₹ / m³)]]/10000000)</f>
        <v>1.12896</v>
      </c>
      <c r="O3066" s="97" t="str">
        <f>IF(Market_Data[[#This Row],[Estimated Concrete Demand (m³)]]="","",
IF(Market_Data[[#This Row],[Estimated Concrete Demand (m³)]]&lt;10000,"Small",
IF(Market_Data[[#This Row],[Estimated Concrete Demand (m³)]]&lt;25000,"Medium",
IF(Market_Data[[#This Row],[Estimated Concrete Demand (m³)]]&lt;100000,"Large","Mega"))))</f>
        <v>Small</v>
      </c>
      <c r="P3066" s="287" t="str">
        <f t="shared" si="49"/>
        <v>GujRERA</v>
      </c>
    </row>
    <row r="3067" spans="1:16">
      <c r="A3067" s="129" t="str">
        <f>_xlfn.XLOOKUP(B3067,$S$9:$S$14,$T$9:$T$14)&amp;"-"&amp;
IF(E3067="Residential/Group Housing","RES",
IF(E3067="Commercial","COM",
IF(E3067="Mixed Development","MIX",
IF(E3067="Plotted Development","PLT","OTH"))))
&amp;"-"&amp;TEXT(COUNTIFS($B$9:B3067,B3067,$E$9:E3067,E3067),"0000")</f>
        <v>VAL-RES-0144</v>
      </c>
      <c r="B3067" s="322" t="s">
        <v>35</v>
      </c>
      <c r="C3067" s="322" t="s">
        <v>35</v>
      </c>
      <c r="D3067" s="323" t="s">
        <v>3256</v>
      </c>
      <c r="E3067" s="132" t="s">
        <v>24</v>
      </c>
      <c r="F3067" s="97" t="str">
        <f ca="1">IF(OR(Market_Data[[#This Row],[Start Date]]="",Market_Data[[#This Row],[Completion Date]]=""),"Needs Validation",IF(Market_Data[[#This Row],[Start Date]]&gt;TODAY(),"Planned",IF(Market_Data[[#This Row],[Completion Date]]&lt;TODAY(),"Completed","Ongoing")))</f>
        <v>Completed</v>
      </c>
      <c r="G3067" s="324">
        <v>43101</v>
      </c>
      <c r="H3067" s="324">
        <v>44377</v>
      </c>
      <c r="I3067" s="325">
        <v>42400</v>
      </c>
      <c r="J3067"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67" s="133">
        <f>_xlfn.XLOOKUP(Market_Data[[#This Row],[Project Type]],tbl_assumptions_market[Project Category (RERA)],tbl_assumptions_market[Concrete Intensity
(m³ / sq m BUA)],"",0)</f>
        <v>0.45</v>
      </c>
      <c r="L3067" s="134">
        <f>ROUND(Market_Data[[#This Row],[Estimated Built Up Area (sq m)]]*Market_Data[[#This Row],[Concrete Intensity
(m³ / sq m)]],0)</f>
        <v>19080</v>
      </c>
      <c r="M3067" s="135">
        <f>_xlfn.XLOOKUP(Market_Data[[#This Row],[District]],tbl_district_price[District],tbl_district_price[Standard Price
(INR/m³)],"",0)</f>
        <v>5600</v>
      </c>
      <c r="N3067" s="364">
        <f>IF(OR(Market_Data[[#This Row],[Estimated Concrete Demand (m³)]]="",Market_Data[[#This Row],[Avg Price per (₹ / m³)]]=""),"",Market_Data[[#This Row],[Estimated Concrete Demand (m³)]]*Market_Data[[#This Row],[Avg Price per (₹ / m³)]]/10000000)</f>
        <v>10.684799999999999</v>
      </c>
      <c r="O3067" s="97" t="str">
        <f>IF(Market_Data[[#This Row],[Estimated Concrete Demand (m³)]]="","",
IF(Market_Data[[#This Row],[Estimated Concrete Demand (m³)]]&lt;10000,"Small",
IF(Market_Data[[#This Row],[Estimated Concrete Demand (m³)]]&lt;25000,"Medium",
IF(Market_Data[[#This Row],[Estimated Concrete Demand (m³)]]&lt;100000,"Large","Mega"))))</f>
        <v>Medium</v>
      </c>
      <c r="P3067" s="287" t="str">
        <f t="shared" si="49"/>
        <v>GujRERA</v>
      </c>
    </row>
    <row r="3068" spans="1:16">
      <c r="A3068" s="129" t="str">
        <f>_xlfn.XLOOKUP(B3068,$S$9:$S$14,$T$9:$T$14)&amp;"-"&amp;
IF(E3068="Residential/Group Housing","RES",
IF(E3068="Commercial","COM",
IF(E3068="Mixed Development","MIX",
IF(E3068="Plotted Development","PLT","OTH"))))
&amp;"-"&amp;TEXT(COUNTIFS($B$9:B3068,B3068,$E$9:E3068,E3068),"0000")</f>
        <v>VAL-RES-0145</v>
      </c>
      <c r="B3068" s="322" t="s">
        <v>35</v>
      </c>
      <c r="C3068" s="322" t="s">
        <v>35</v>
      </c>
      <c r="D3068" s="323" t="s">
        <v>3257</v>
      </c>
      <c r="E3068" s="132" t="s">
        <v>24</v>
      </c>
      <c r="F3068" s="97" t="str">
        <f ca="1">IF(OR(Market_Data[[#This Row],[Start Date]]="",Market_Data[[#This Row],[Completion Date]]=""),"Needs Validation",IF(Market_Data[[#This Row],[Start Date]]&gt;TODAY(),"Planned",IF(Market_Data[[#This Row],[Completion Date]]&lt;TODAY(),"Completed","Ongoing")))</f>
        <v>Ongoing</v>
      </c>
      <c r="G3068" s="324">
        <v>45762</v>
      </c>
      <c r="H3068" s="324">
        <v>47483</v>
      </c>
      <c r="I3068" s="325">
        <v>39100</v>
      </c>
      <c r="J3068"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68" s="133">
        <f>_xlfn.XLOOKUP(Market_Data[[#This Row],[Project Type]],tbl_assumptions_market[Project Category (RERA)],tbl_assumptions_market[Concrete Intensity
(m³ / sq m BUA)],"",0)</f>
        <v>0.45</v>
      </c>
      <c r="L3068" s="134">
        <f>ROUND(Market_Data[[#This Row],[Estimated Built Up Area (sq m)]]*Market_Data[[#This Row],[Concrete Intensity
(m³ / sq m)]],0)</f>
        <v>17595</v>
      </c>
      <c r="M3068" s="135">
        <f>_xlfn.XLOOKUP(Market_Data[[#This Row],[District]],tbl_district_price[District],tbl_district_price[Standard Price
(INR/m³)],"",0)</f>
        <v>5600</v>
      </c>
      <c r="N3068" s="364">
        <f>IF(OR(Market_Data[[#This Row],[Estimated Concrete Demand (m³)]]="",Market_Data[[#This Row],[Avg Price per (₹ / m³)]]=""),"",Market_Data[[#This Row],[Estimated Concrete Demand (m³)]]*Market_Data[[#This Row],[Avg Price per (₹ / m³)]]/10000000)</f>
        <v>9.8531999999999993</v>
      </c>
      <c r="O3068" s="97" t="str">
        <f>IF(Market_Data[[#This Row],[Estimated Concrete Demand (m³)]]="","",
IF(Market_Data[[#This Row],[Estimated Concrete Demand (m³)]]&lt;10000,"Small",
IF(Market_Data[[#This Row],[Estimated Concrete Demand (m³)]]&lt;25000,"Medium",
IF(Market_Data[[#This Row],[Estimated Concrete Demand (m³)]]&lt;100000,"Large","Mega"))))</f>
        <v>Medium</v>
      </c>
      <c r="P3068" s="287" t="str">
        <f t="shared" si="49"/>
        <v>GujRERA</v>
      </c>
    </row>
    <row r="3069" spans="1:16">
      <c r="A3069" s="129" t="str">
        <f>_xlfn.XLOOKUP(B3069,$S$9:$S$14,$T$9:$T$14)&amp;"-"&amp;
IF(E3069="Residential/Group Housing","RES",
IF(E3069="Commercial","COM",
IF(E3069="Mixed Development","MIX",
IF(E3069="Plotted Development","PLT","OTH"))))
&amp;"-"&amp;TEXT(COUNTIFS($B$9:B3069,B3069,$E$9:E3069,E3069),"0000")</f>
        <v>VAL-RES-0146</v>
      </c>
      <c r="B3069" s="322" t="s">
        <v>35</v>
      </c>
      <c r="C3069" s="322" t="s">
        <v>35</v>
      </c>
      <c r="D3069" s="323" t="s">
        <v>3258</v>
      </c>
      <c r="E3069" s="132" t="s">
        <v>24</v>
      </c>
      <c r="F3069" s="97" t="str">
        <f ca="1">IF(OR(Market_Data[[#This Row],[Start Date]]="",Market_Data[[#This Row],[Completion Date]]=""),"Needs Validation",IF(Market_Data[[#This Row],[Start Date]]&gt;TODAY(),"Planned",IF(Market_Data[[#This Row],[Completion Date]]&lt;TODAY(),"Completed","Ongoing")))</f>
        <v>Ongoing</v>
      </c>
      <c r="G3069" s="324">
        <v>45853</v>
      </c>
      <c r="H3069" s="324">
        <v>47848</v>
      </c>
      <c r="I3069" s="325">
        <v>20100</v>
      </c>
      <c r="J3069"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69" s="133">
        <f>_xlfn.XLOOKUP(Market_Data[[#This Row],[Project Type]],tbl_assumptions_market[Project Category (RERA)],tbl_assumptions_market[Concrete Intensity
(m³ / sq m BUA)],"",0)</f>
        <v>0.45</v>
      </c>
      <c r="L3069" s="134">
        <f>ROUND(Market_Data[[#This Row],[Estimated Built Up Area (sq m)]]*Market_Data[[#This Row],[Concrete Intensity
(m³ / sq m)]],0)</f>
        <v>9045</v>
      </c>
      <c r="M3069" s="135">
        <f>_xlfn.XLOOKUP(Market_Data[[#This Row],[District]],tbl_district_price[District],tbl_district_price[Standard Price
(INR/m³)],"",0)</f>
        <v>5600</v>
      </c>
      <c r="N3069" s="364">
        <f>IF(OR(Market_Data[[#This Row],[Estimated Concrete Demand (m³)]]="",Market_Data[[#This Row],[Avg Price per (₹ / m³)]]=""),"",Market_Data[[#This Row],[Estimated Concrete Demand (m³)]]*Market_Data[[#This Row],[Avg Price per (₹ / m³)]]/10000000)</f>
        <v>5.0651999999999999</v>
      </c>
      <c r="O3069" s="97" t="str">
        <f>IF(Market_Data[[#This Row],[Estimated Concrete Demand (m³)]]="","",
IF(Market_Data[[#This Row],[Estimated Concrete Demand (m³)]]&lt;10000,"Small",
IF(Market_Data[[#This Row],[Estimated Concrete Demand (m³)]]&lt;25000,"Medium",
IF(Market_Data[[#This Row],[Estimated Concrete Demand (m³)]]&lt;100000,"Large","Mega"))))</f>
        <v>Small</v>
      </c>
      <c r="P3069" s="287" t="str">
        <f t="shared" si="49"/>
        <v>GujRERA</v>
      </c>
    </row>
    <row r="3070" spans="1:16">
      <c r="A3070" s="129" t="str">
        <f>_xlfn.XLOOKUP(B3070,$S$9:$S$14,$T$9:$T$14)&amp;"-"&amp;
IF(E3070="Residential/Group Housing","RES",
IF(E3070="Commercial","COM",
IF(E3070="Mixed Development","MIX",
IF(E3070="Plotted Development","PLT","OTH"))))
&amp;"-"&amp;TEXT(COUNTIFS($B$9:B3070,B3070,$E$9:E3070,E3070),"0000")</f>
        <v>TAP-RES-0001</v>
      </c>
      <c r="B3070" s="322" t="s">
        <v>38</v>
      </c>
      <c r="C3070" s="322" t="s">
        <v>796</v>
      </c>
      <c r="D3070" s="323" t="s">
        <v>3259</v>
      </c>
      <c r="E3070" s="132" t="s">
        <v>24</v>
      </c>
      <c r="F3070" s="97" t="str">
        <f ca="1">IF(OR(Market_Data[[#This Row],[Start Date]]="",Market_Data[[#This Row],[Completion Date]]=""),"Needs Validation",IF(Market_Data[[#This Row],[Start Date]]&gt;TODAY(),"Planned",IF(Market_Data[[#This Row],[Completion Date]]&lt;TODAY(),"Completed","Ongoing")))</f>
        <v>Completed</v>
      </c>
      <c r="G3070" s="324">
        <v>41883</v>
      </c>
      <c r="H3070" s="324">
        <v>45930</v>
      </c>
      <c r="I3070" s="325">
        <v>32800</v>
      </c>
      <c r="J3070"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70" s="133">
        <f>_xlfn.XLOOKUP(Market_Data[[#This Row],[Project Type]],tbl_assumptions_market[Project Category (RERA)],tbl_assumptions_market[Concrete Intensity
(m³ / sq m BUA)],"",0)</f>
        <v>0.45</v>
      </c>
      <c r="L3070" s="134">
        <f>ROUND(Market_Data[[#This Row],[Estimated Built Up Area (sq m)]]*Market_Data[[#This Row],[Concrete Intensity
(m³ / sq m)]],0)</f>
        <v>14760</v>
      </c>
      <c r="M3070" s="135">
        <f>_xlfn.XLOOKUP(Market_Data[[#This Row],[District]],tbl_district_price[District],tbl_district_price[Standard Price
(INR/m³)],"",0)</f>
        <v>5200</v>
      </c>
      <c r="N3070" s="364">
        <f>IF(OR(Market_Data[[#This Row],[Estimated Concrete Demand (m³)]]="",Market_Data[[#This Row],[Avg Price per (₹ / m³)]]=""),"",Market_Data[[#This Row],[Estimated Concrete Demand (m³)]]*Market_Data[[#This Row],[Avg Price per (₹ / m³)]]/10000000)</f>
        <v>7.6752000000000002</v>
      </c>
      <c r="O3070" s="97" t="str">
        <f>IF(Market_Data[[#This Row],[Estimated Concrete Demand (m³)]]="","",
IF(Market_Data[[#This Row],[Estimated Concrete Demand (m³)]]&lt;10000,"Small",
IF(Market_Data[[#This Row],[Estimated Concrete Demand (m³)]]&lt;25000,"Medium",
IF(Market_Data[[#This Row],[Estimated Concrete Demand (m³)]]&lt;100000,"Large","Mega"))))</f>
        <v>Medium</v>
      </c>
      <c r="P3070" s="287" t="str">
        <f t="shared" si="49"/>
        <v>GujRERA</v>
      </c>
    </row>
    <row r="3071" spans="1:16">
      <c r="A3071" s="129" t="str">
        <f>_xlfn.XLOOKUP(B3071,$S$9:$S$14,$T$9:$T$14)&amp;"-"&amp;
IF(E3071="Residential/Group Housing","RES",
IF(E3071="Commercial","COM",
IF(E3071="Mixed Development","MIX",
IF(E3071="Plotted Development","PLT","OTH"))))
&amp;"-"&amp;TEXT(COUNTIFS($B$9:B3071,B3071,$E$9:E3071,E3071),"0000")</f>
        <v>TAP-MIX-0001</v>
      </c>
      <c r="B3071" s="322" t="s">
        <v>38</v>
      </c>
      <c r="C3071" s="322" t="s">
        <v>796</v>
      </c>
      <c r="D3071" s="323" t="s">
        <v>3260</v>
      </c>
      <c r="E3071" s="132" t="s">
        <v>25</v>
      </c>
      <c r="F3071" s="97" t="str">
        <f ca="1">IF(OR(Market_Data[[#This Row],[Start Date]]="",Market_Data[[#This Row],[Completion Date]]=""),"Needs Validation",IF(Market_Data[[#This Row],[Start Date]]&gt;TODAY(),"Planned",IF(Market_Data[[#This Row],[Completion Date]]&lt;TODAY(),"Completed","Ongoing")))</f>
        <v>Completed</v>
      </c>
      <c r="G3071" s="324">
        <v>43040</v>
      </c>
      <c r="H3071" s="324">
        <v>44650</v>
      </c>
      <c r="I3071" s="325">
        <v>31200</v>
      </c>
      <c r="J3071"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71" s="133">
        <f>_xlfn.XLOOKUP(Market_Data[[#This Row],[Project Type]],tbl_assumptions_market[Project Category (RERA)],tbl_assumptions_market[Concrete Intensity
(m³ / sq m BUA)],"",0)</f>
        <v>0.42</v>
      </c>
      <c r="L3071" s="134">
        <f>ROUND(Market_Data[[#This Row],[Estimated Built Up Area (sq m)]]*Market_Data[[#This Row],[Concrete Intensity
(m³ / sq m)]],0)</f>
        <v>13104</v>
      </c>
      <c r="M3071" s="135">
        <f>_xlfn.XLOOKUP(Market_Data[[#This Row],[District]],tbl_district_price[District],tbl_district_price[Standard Price
(INR/m³)],"",0)</f>
        <v>5200</v>
      </c>
      <c r="N3071" s="364">
        <f>IF(OR(Market_Data[[#This Row],[Estimated Concrete Demand (m³)]]="",Market_Data[[#This Row],[Avg Price per (₹ / m³)]]=""),"",Market_Data[[#This Row],[Estimated Concrete Demand (m³)]]*Market_Data[[#This Row],[Avg Price per (₹ / m³)]]/10000000)</f>
        <v>6.8140799999999997</v>
      </c>
      <c r="O3071" s="97" t="str">
        <f>IF(Market_Data[[#This Row],[Estimated Concrete Demand (m³)]]="","",
IF(Market_Data[[#This Row],[Estimated Concrete Demand (m³)]]&lt;10000,"Small",
IF(Market_Data[[#This Row],[Estimated Concrete Demand (m³)]]&lt;25000,"Medium",
IF(Market_Data[[#This Row],[Estimated Concrete Demand (m³)]]&lt;100000,"Large","Mega"))))</f>
        <v>Medium</v>
      </c>
      <c r="P3071" s="287" t="str">
        <f t="shared" si="49"/>
        <v>GujRERA</v>
      </c>
    </row>
    <row r="3072" spans="1:16">
      <c r="A3072" s="129" t="str">
        <f>_xlfn.XLOOKUP(B3072,$S$9:$S$14,$T$9:$T$14)&amp;"-"&amp;
IF(E3072="Residential/Group Housing","RES",
IF(E3072="Commercial","COM",
IF(E3072="Mixed Development","MIX",
IF(E3072="Plotted Development","PLT","OTH"))))
&amp;"-"&amp;TEXT(COUNTIFS($B$9:B3072,B3072,$E$9:E3072,E3072),"0000")</f>
        <v>TAP-COM-0001</v>
      </c>
      <c r="B3072" s="322" t="s">
        <v>38</v>
      </c>
      <c r="C3072" s="322" t="s">
        <v>796</v>
      </c>
      <c r="D3072" s="323" t="s">
        <v>3261</v>
      </c>
      <c r="E3072" s="132" t="s">
        <v>23</v>
      </c>
      <c r="F3072" s="97" t="str">
        <f ca="1">IF(OR(Market_Data[[#This Row],[Start Date]]="",Market_Data[[#This Row],[Completion Date]]=""),"Needs Validation",IF(Market_Data[[#This Row],[Start Date]]&gt;TODAY(),"Planned",IF(Market_Data[[#This Row],[Completion Date]]&lt;TODAY(),"Completed","Ongoing")))</f>
        <v>Ongoing</v>
      </c>
      <c r="G3072" s="324">
        <v>43829</v>
      </c>
      <c r="H3072" s="324">
        <v>46477</v>
      </c>
      <c r="I3072" s="325">
        <v>26500</v>
      </c>
      <c r="J3072"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Review Required</v>
      </c>
      <c r="K3072" s="133">
        <f>_xlfn.XLOOKUP(Market_Data[[#This Row],[Project Type]],tbl_assumptions_market[Project Category (RERA)],tbl_assumptions_market[Concrete Intensity
(m³ / sq m BUA)],"",0)</f>
        <v>0.5</v>
      </c>
      <c r="L3072" s="134">
        <f>ROUND(Market_Data[[#This Row],[Estimated Built Up Area (sq m)]]*Market_Data[[#This Row],[Concrete Intensity
(m³ / sq m)]],0)</f>
        <v>13250</v>
      </c>
      <c r="M3072" s="135">
        <f>_xlfn.XLOOKUP(Market_Data[[#This Row],[District]],tbl_district_price[District],tbl_district_price[Standard Price
(INR/m³)],"",0)</f>
        <v>5200</v>
      </c>
      <c r="N3072" s="364">
        <f>IF(OR(Market_Data[[#This Row],[Estimated Concrete Demand (m³)]]="",Market_Data[[#This Row],[Avg Price per (₹ / m³)]]=""),"",Market_Data[[#This Row],[Estimated Concrete Demand (m³)]]*Market_Data[[#This Row],[Avg Price per (₹ / m³)]]/10000000)</f>
        <v>6.89</v>
      </c>
      <c r="O3072" s="97" t="str">
        <f>IF(Market_Data[[#This Row],[Estimated Concrete Demand (m³)]]="","",
IF(Market_Data[[#This Row],[Estimated Concrete Demand (m³)]]&lt;10000,"Small",
IF(Market_Data[[#This Row],[Estimated Concrete Demand (m³)]]&lt;25000,"Medium",
IF(Market_Data[[#This Row],[Estimated Concrete Demand (m³)]]&lt;100000,"Large","Mega"))))</f>
        <v>Medium</v>
      </c>
      <c r="P3072" s="287" t="str">
        <f t="shared" si="49"/>
        <v>GujRERA</v>
      </c>
    </row>
    <row r="3073" spans="1:16">
      <c r="A3073" s="129" t="str">
        <f>_xlfn.XLOOKUP(B3073,$S$9:$S$14,$T$9:$T$14)&amp;"-"&amp;
IF(E3073="Residential/Group Housing","RES",
IF(E3073="Commercial","COM",
IF(E3073="Mixed Development","MIX",
IF(E3073="Plotted Development","PLT","OTH"))))
&amp;"-"&amp;TEXT(COUNTIFS($B$9:B3073,B3073,$E$9:E3073,E3073),"0000")</f>
        <v>TAP-COM-0002</v>
      </c>
      <c r="B3073" s="322" t="s">
        <v>38</v>
      </c>
      <c r="C3073" s="322" t="s">
        <v>796</v>
      </c>
      <c r="D3073" s="323" t="s">
        <v>3262</v>
      </c>
      <c r="E3073" s="132" t="s">
        <v>23</v>
      </c>
      <c r="F3073" s="97" t="str">
        <f ca="1">IF(OR(Market_Data[[#This Row],[Start Date]]="",Market_Data[[#This Row],[Completion Date]]=""),"Needs Validation",IF(Market_Data[[#This Row],[Start Date]]&gt;TODAY(),"Planned",IF(Market_Data[[#This Row],[Completion Date]]&lt;TODAY(),"Completed","Ongoing")))</f>
        <v>Completed</v>
      </c>
      <c r="G3073" s="324">
        <v>44208</v>
      </c>
      <c r="H3073" s="324">
        <v>45291</v>
      </c>
      <c r="I3073" s="325">
        <v>4200</v>
      </c>
      <c r="J3073" s="112" t="str">
        <f>IF(AND(Market_Data[[#This Row],[Estimated Built Up Area (sq m)]]&gt;=_xlfn.XLOOKUP(Market_Data[[#This Row],[Project Type]],tbl_assumptions_market[Project Category (RERA)],tbl_assumptions_market[BUA Min (sq m)]),Market_Data[[#This Row],[Estimated Built Up Area (sq m)]]&lt;=_xlfn.XLOOKUP(Market_Data[[#This Row],[Project Type]],tbl_assumptions_market[Project Category (RERA)],tbl_assumptions_market[BUA Max (sq m)])),"Within Benchmark","Review Required")</f>
        <v>Within Benchmark</v>
      </c>
      <c r="K3073" s="133">
        <f>_xlfn.XLOOKUP(Market_Data[[#This Row],[Project Type]],tbl_assumptions_market[Project Category (RERA)],tbl_assumptions_market[Concrete Intensity
(m³ / sq m BUA)],"",0)</f>
        <v>0.5</v>
      </c>
      <c r="L3073" s="134">
        <f>ROUND(Market_Data[[#This Row],[Estimated Built Up Area (sq m)]]*Market_Data[[#This Row],[Concrete Intensity
(m³ / sq m)]],0)</f>
        <v>2100</v>
      </c>
      <c r="M3073" s="135">
        <f>_xlfn.XLOOKUP(Market_Data[[#This Row],[District]],tbl_district_price[District],tbl_district_price[Standard Price
(INR/m³)],"",0)</f>
        <v>5200</v>
      </c>
      <c r="N3073" s="364">
        <f>IF(OR(Market_Data[[#This Row],[Estimated Concrete Demand (m³)]]="",Market_Data[[#This Row],[Avg Price per (₹ / m³)]]=""),"",Market_Data[[#This Row],[Estimated Concrete Demand (m³)]]*Market_Data[[#This Row],[Avg Price per (₹ / m³)]]/10000000)</f>
        <v>1.0920000000000001</v>
      </c>
      <c r="O3073" s="97" t="str">
        <f>IF(Market_Data[[#This Row],[Estimated Concrete Demand (m³)]]="","",
IF(Market_Data[[#This Row],[Estimated Concrete Demand (m³)]]&lt;10000,"Small",
IF(Market_Data[[#This Row],[Estimated Concrete Demand (m³)]]&lt;25000,"Medium",
IF(Market_Data[[#This Row],[Estimated Concrete Demand (m³)]]&lt;100000,"Large","Mega"))))</f>
        <v>Small</v>
      </c>
      <c r="P3073" s="287" t="str">
        <f t="shared" si="49"/>
        <v>GujRERA</v>
      </c>
    </row>
  </sheetData>
  <mergeCells count="10">
    <mergeCell ref="A4:A5"/>
    <mergeCell ref="I4:I5"/>
    <mergeCell ref="A1:P1"/>
    <mergeCell ref="B3:C3"/>
    <mergeCell ref="B4:C5"/>
    <mergeCell ref="E3:F3"/>
    <mergeCell ref="E4:F5"/>
    <mergeCell ref="H4:H5"/>
    <mergeCell ref="G4:G5"/>
    <mergeCell ref="D4:D5"/>
  </mergeCells>
  <conditionalFormatting sqref="E9:E3073">
    <cfRule type="expression" dxfId="297" priority="24">
      <formula>ISNUMBER(SEARCH("Plotted Development", E9))</formula>
    </cfRule>
    <cfRule type="expression" dxfId="296" priority="25">
      <formula>ISNUMBER(SEARCH("Mixed Development", E9))</formula>
    </cfRule>
    <cfRule type="expression" dxfId="295" priority="26">
      <formula>ISNUMBER(SEARCH("Commercial", E9))</formula>
    </cfRule>
    <cfRule type="expression" dxfId="294" priority="27">
      <formula>ISNUMBER(SEARCH("Residential/Group Housing", E9))</formula>
    </cfRule>
  </conditionalFormatting>
  <conditionalFormatting sqref="N9:N3073">
    <cfRule type="dataBar" priority="40">
      <dataBar>
        <cfvo type="min"/>
        <cfvo type="max"/>
        <color rgb="FF003865"/>
      </dataBar>
    </cfRule>
    <cfRule type="dataBar" priority="41">
      <dataBar>
        <cfvo type="min"/>
        <cfvo type="max"/>
        <color rgb="FF003865"/>
      </dataBar>
      <extLst>
        <ext xmlns:x14="http://schemas.microsoft.com/office/spreadsheetml/2009/9/main" uri="{B025F937-C7B1-47D3-B67F-A62EFF666E3E}">
          <x14:id>{4AF9AB4F-03A5-1871-BE25-F78C26591247}</x14:id>
        </ext>
      </extLst>
    </cfRule>
  </conditionalFormatting>
  <conditionalFormatting sqref="S17:S20">
    <cfRule type="expression" dxfId="293" priority="8">
      <formula>ISNUMBER(SEARCH("Plotted Development", S17))</formula>
    </cfRule>
    <cfRule type="expression" dxfId="292" priority="9">
      <formula>ISNUMBER(SEARCH("Mixed Development", S17))</formula>
    </cfRule>
    <cfRule type="expression" dxfId="291" priority="10">
      <formula>ISNUMBER(SEARCH("Commercial", S17))</formula>
    </cfRule>
    <cfRule type="expression" dxfId="290" priority="11">
      <formula>ISNUMBER(SEARCH("Residential/Group Housing", S17))</formula>
    </cfRule>
  </conditionalFormatting>
  <conditionalFormatting sqref="J9:J3073">
    <cfRule type="containsText" dxfId="289" priority="5" operator="containsText" text="Review Required">
      <formula>NOT(ISERROR(SEARCH("Review Required",J9)))</formula>
    </cfRule>
    <cfRule type="containsText" dxfId="288" priority="6" operator="containsText" text="Within Benchmark">
      <formula>NOT(ISERROR(SEARCH("Within Benchmark",J9)))</formula>
    </cfRule>
  </conditionalFormatting>
  <conditionalFormatting sqref="O9:O3073">
    <cfRule type="containsText" dxfId="287" priority="1" operator="containsText" text="Small">
      <formula>NOT(ISERROR(SEARCH("Small",O9)))</formula>
    </cfRule>
  </conditionalFormatting>
  <conditionalFormatting sqref="F9:F3073">
    <cfRule type="expression" dxfId="286" priority="42" stopIfTrue="1">
      <formula>ISNUMBER(SEARCH("Completed",F9))</formula>
    </cfRule>
    <cfRule type="expression" dxfId="285" priority="43" stopIfTrue="1">
      <formula>ISNUMBER(SEARCH("Ongoing",F9))</formula>
    </cfRule>
    <cfRule type="expression" dxfId="284" priority="44" stopIfTrue="1">
      <formula>ISNUMBER(SEARCH("Planned",F9))</formula>
    </cfRule>
    <cfRule type="expression" dxfId="283" priority="45" stopIfTrue="1">
      <formula>ISNUMBER(SEARCH("Needs Validation",F9))</formula>
    </cfRule>
  </conditionalFormatting>
  <dataValidations count="1">
    <dataValidation type="list" showErrorMessage="1" errorTitle="Invalid entry" error="Select a value from the dropdown list." sqref="O9:O3073" xr:uid="{EC5F68A8-3D50-4D75-B1FB-3F14794B6212}">
      <formula1>$BQ$10:$BQ$13</formula1>
    </dataValidation>
  </dataValidations>
  <hyperlinks>
    <hyperlink ref="P9" r:id="rId1" display="https://gujrera.gujarat.gov.in" xr:uid="{9AF9C11A-B1A2-44FD-84A1-C1FB7F8ED80F}"/>
    <hyperlink ref="P10:P3073" r:id="rId2" display="https://gujrera.gujarat.gov.in" xr:uid="{B429A649-6EE6-4585-A639-91B69166F0F2}"/>
  </hyperlinks>
  <pageMargins left="0.7" right="0.7" top="0.75" bottom="0.75" header="0.3" footer="0.3"/>
  <tableParts count="3">
    <tablePart r:id="rId3"/>
    <tablePart r:id="rId4"/>
    <tablePart r:id="rId5"/>
  </tableParts>
  <extLst>
    <ext xmlns:x14="http://schemas.microsoft.com/office/spreadsheetml/2009/9/main" uri="{78C0D931-6437-407d-A8EE-F0AAD7539E65}">
      <x14:conditionalFormattings>
        <x14:conditionalFormatting xmlns:xm="http://schemas.microsoft.com/office/excel/2006/main">
          <x14:cfRule type="dataBar" id="{4AF9AB4F-03A5-1871-BE25-F78C26591247}">
            <x14:dataBar>
              <x14:cfvo type="min"/>
              <x14:cfvo type="max"/>
              <x14:negativeFillColor auto="1"/>
              <x14:axisColor auto="1"/>
            </x14:dataBar>
          </x14:cfRule>
          <xm:sqref>N9:N3073</xm:sqref>
        </x14:conditionalFormatting>
      </x14:conditionalFormattings>
    </ext>
    <ext xmlns:x14="http://schemas.microsoft.com/office/spreadsheetml/2009/9/main" uri="{CCE6A557-97BC-4b89-ADB6-D9C93CAAB3DF}">
      <x14:dataValidations xmlns:xm="http://schemas.microsoft.com/office/excel/2006/main" count="2">
        <x14:dataValidation type="list" showErrorMessage="1" errorTitle="Invalid entry" error="Select a value from the dropdown list." xr:uid="{F7FD9AAD-5B46-4CCE-8649-1AB828585420}">
          <x14:formula1>
            <xm:f>Assumptions_Market!$A$5:$A$8</xm:f>
          </x14:formula1>
          <xm:sqref>E9:E3073</xm:sqref>
        </x14:dataValidation>
        <x14:dataValidation type="list" allowBlank="1" showInputMessage="1" showErrorMessage="1" xr:uid="{831F6CDC-620C-41F7-8964-7DAE3E030FA4}">
          <x14:formula1>
            <xm:f>Assumptions_Market!$A$12:$A$16</xm:f>
          </x14:formula1>
          <xm:sqref>B9:B3073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3DED45-EF99-4C6D-B04A-E34F486C82C9}">
  <sheetPr codeName="Sheet3">
    <tabColor rgb="FFFFFF93"/>
  </sheetPr>
  <dimension ref="A1:G16"/>
  <sheetViews>
    <sheetView showGridLines="0" topLeftCell="C8" workbookViewId="0">
      <selection activeCell="G16" sqref="G16"/>
    </sheetView>
  </sheetViews>
  <sheetFormatPr defaultColWidth="7.9140625" defaultRowHeight="13"/>
  <cols>
    <col min="1" max="1" width="21.5" style="111" bestFit="1" customWidth="1"/>
    <col min="2" max="2" width="13.83203125" style="111" customWidth="1"/>
    <col min="3" max="3" width="14.1640625" style="111" customWidth="1"/>
    <col min="4" max="4" width="16.5" style="111" customWidth="1"/>
    <col min="5" max="5" width="40.75" style="111" bestFit="1" customWidth="1"/>
    <col min="6" max="6" width="42.75" style="111" bestFit="1" customWidth="1"/>
    <col min="7" max="7" width="33.25" style="111" customWidth="1"/>
    <col min="8" max="16384" width="7.9140625" style="111"/>
  </cols>
  <sheetData>
    <row r="1" spans="1:7">
      <c r="A1" s="452" t="s">
        <v>3828</v>
      </c>
      <c r="B1" s="452"/>
      <c r="C1" s="452"/>
      <c r="D1" s="452"/>
      <c r="E1" s="452"/>
      <c r="F1" s="452"/>
      <c r="G1" s="452"/>
    </row>
    <row r="3" spans="1:7">
      <c r="A3" s="451" t="s">
        <v>3832</v>
      </c>
      <c r="B3" s="451"/>
      <c r="C3" s="451"/>
      <c r="D3" s="451"/>
      <c r="E3" s="451"/>
      <c r="F3" s="451"/>
      <c r="G3" s="451"/>
    </row>
    <row r="4" spans="1:7" ht="26">
      <c r="A4" s="284" t="s">
        <v>3833</v>
      </c>
      <c r="B4" s="284" t="s">
        <v>3829</v>
      </c>
      <c r="C4" s="284" t="s">
        <v>3830</v>
      </c>
      <c r="D4" s="284" t="s">
        <v>3831</v>
      </c>
      <c r="E4" s="284" t="s">
        <v>3834</v>
      </c>
      <c r="F4" s="284" t="s">
        <v>3835</v>
      </c>
      <c r="G4" s="284" t="s">
        <v>17</v>
      </c>
    </row>
    <row r="5" spans="1:7" ht="24" customHeight="1">
      <c r="A5" s="327" t="s">
        <v>24</v>
      </c>
      <c r="B5" s="343">
        <v>2000</v>
      </c>
      <c r="C5" s="343">
        <v>60000</v>
      </c>
      <c r="D5" s="343">
        <v>18000</v>
      </c>
      <c r="E5" s="344">
        <v>0.45</v>
      </c>
      <c r="F5" s="285" t="s">
        <v>3836</v>
      </c>
      <c r="G5" s="326" t="s">
        <v>4062</v>
      </c>
    </row>
    <row r="6" spans="1:7" ht="24" customHeight="1">
      <c r="A6" s="328" t="s">
        <v>23</v>
      </c>
      <c r="B6" s="345">
        <v>1000</v>
      </c>
      <c r="C6" s="345">
        <v>20000</v>
      </c>
      <c r="D6" s="345">
        <v>8000</v>
      </c>
      <c r="E6" s="346">
        <v>0.5</v>
      </c>
      <c r="F6" s="286" t="s">
        <v>3837</v>
      </c>
      <c r="G6" s="326" t="s">
        <v>4063</v>
      </c>
    </row>
    <row r="7" spans="1:7" ht="24" customHeight="1">
      <c r="A7" s="329" t="s">
        <v>25</v>
      </c>
      <c r="B7" s="343">
        <v>10000</v>
      </c>
      <c r="C7" s="343">
        <v>150000</v>
      </c>
      <c r="D7" s="343">
        <v>55000</v>
      </c>
      <c r="E7" s="344">
        <v>0.42</v>
      </c>
      <c r="F7" s="285" t="s">
        <v>3838</v>
      </c>
      <c r="G7" s="326" t="s">
        <v>4064</v>
      </c>
    </row>
    <row r="8" spans="1:7" ht="24" customHeight="1">
      <c r="A8" s="330" t="s">
        <v>26</v>
      </c>
      <c r="B8" s="345">
        <v>2000</v>
      </c>
      <c r="C8" s="345">
        <v>30000</v>
      </c>
      <c r="D8" s="345">
        <v>12000</v>
      </c>
      <c r="E8" s="346">
        <v>0.18</v>
      </c>
      <c r="F8" s="286" t="s">
        <v>3839</v>
      </c>
      <c r="G8" s="326" t="s">
        <v>4065</v>
      </c>
    </row>
    <row r="10" spans="1:7">
      <c r="A10" s="451" t="s">
        <v>3840</v>
      </c>
      <c r="B10" s="451"/>
      <c r="C10" s="451"/>
      <c r="D10" s="451"/>
      <c r="E10" s="451"/>
      <c r="F10" s="451"/>
    </row>
    <row r="11" spans="1:7" ht="26">
      <c r="A11" s="284" t="s">
        <v>6</v>
      </c>
      <c r="B11" s="284" t="s">
        <v>3841</v>
      </c>
      <c r="C11" s="284" t="s">
        <v>3842</v>
      </c>
      <c r="D11" s="284" t="s">
        <v>3843</v>
      </c>
      <c r="E11" s="284" t="s">
        <v>3844</v>
      </c>
      <c r="F11" s="284" t="s">
        <v>17</v>
      </c>
    </row>
    <row r="12" spans="1:7" ht="36">
      <c r="A12" s="286" t="s">
        <v>34</v>
      </c>
      <c r="B12" s="347">
        <v>5800</v>
      </c>
      <c r="C12" s="347">
        <v>7200</v>
      </c>
      <c r="D12" s="349">
        <v>6200</v>
      </c>
      <c r="E12" s="286" t="s">
        <v>3845</v>
      </c>
      <c r="F12" s="326" t="s">
        <v>4098</v>
      </c>
    </row>
    <row r="13" spans="1:7" ht="36">
      <c r="A13" s="285" t="s">
        <v>36</v>
      </c>
      <c r="B13" s="348">
        <v>5200</v>
      </c>
      <c r="C13" s="348">
        <v>6500</v>
      </c>
      <c r="D13" s="350">
        <v>5800</v>
      </c>
      <c r="E13" s="285" t="s">
        <v>3846</v>
      </c>
      <c r="F13" s="326" t="s">
        <v>4098</v>
      </c>
    </row>
    <row r="14" spans="1:7" ht="36">
      <c r="A14" s="286" t="s">
        <v>35</v>
      </c>
      <c r="B14" s="347">
        <v>5000</v>
      </c>
      <c r="C14" s="347">
        <v>6200</v>
      </c>
      <c r="D14" s="349">
        <v>5600</v>
      </c>
      <c r="E14" s="286" t="s">
        <v>3847</v>
      </c>
      <c r="F14" s="326" t="s">
        <v>4098</v>
      </c>
    </row>
    <row r="15" spans="1:7" ht="36">
      <c r="A15" s="285" t="s">
        <v>37</v>
      </c>
      <c r="B15" s="348">
        <v>4900</v>
      </c>
      <c r="C15" s="348">
        <v>6000</v>
      </c>
      <c r="D15" s="350">
        <v>5500</v>
      </c>
      <c r="E15" s="285" t="s">
        <v>3848</v>
      </c>
      <c r="F15" s="326" t="s">
        <v>4098</v>
      </c>
    </row>
    <row r="16" spans="1:7" ht="36">
      <c r="A16" s="286" t="s">
        <v>38</v>
      </c>
      <c r="B16" s="347">
        <v>4500</v>
      </c>
      <c r="C16" s="347">
        <v>5800</v>
      </c>
      <c r="D16" s="349">
        <v>5200</v>
      </c>
      <c r="E16" s="286" t="s">
        <v>3849</v>
      </c>
      <c r="F16" s="326" t="s">
        <v>4098</v>
      </c>
    </row>
  </sheetData>
  <mergeCells count="3">
    <mergeCell ref="A3:G3"/>
    <mergeCell ref="A1:G1"/>
    <mergeCell ref="A10:F10"/>
  </mergeCells>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00B050"/>
  </sheetPr>
  <dimension ref="A1:L56"/>
  <sheetViews>
    <sheetView showGridLines="0" zoomScale="69" zoomScaleNormal="77" workbookViewId="0">
      <selection activeCell="F29" sqref="F29"/>
    </sheetView>
  </sheetViews>
  <sheetFormatPr defaultRowHeight="14"/>
  <cols>
    <col min="1" max="1" width="22.5" customWidth="1"/>
    <col min="2" max="2" width="15" customWidth="1"/>
    <col min="3" max="3" width="27.75" customWidth="1"/>
    <col min="4" max="4" width="18.1640625" customWidth="1"/>
    <col min="5" max="5" width="15" customWidth="1"/>
    <col min="6" max="6" width="16.25" customWidth="1"/>
    <col min="7" max="7" width="4.4140625" customWidth="1"/>
    <col min="8" max="8" width="21.9140625" customWidth="1"/>
    <col min="9" max="9" width="22.25" customWidth="1"/>
    <col min="10" max="10" width="27.5" customWidth="1"/>
    <col min="11" max="11" width="20" customWidth="1"/>
    <col min="12" max="12" width="20.6640625" customWidth="1"/>
  </cols>
  <sheetData>
    <row r="1" spans="1:12" ht="20" customHeight="1">
      <c r="A1" s="473" t="s">
        <v>18</v>
      </c>
      <c r="B1" s="473" t="s">
        <v>18</v>
      </c>
      <c r="C1" s="473" t="s">
        <v>18</v>
      </c>
      <c r="D1" s="473" t="s">
        <v>18</v>
      </c>
      <c r="E1" s="473" t="s">
        <v>18</v>
      </c>
      <c r="F1" s="473" t="s">
        <v>18</v>
      </c>
      <c r="G1" s="473" t="s">
        <v>18</v>
      </c>
      <c r="H1" s="473" t="s">
        <v>18</v>
      </c>
      <c r="I1" s="473" t="s">
        <v>18</v>
      </c>
      <c r="J1" s="473" t="s">
        <v>18</v>
      </c>
      <c r="K1" s="473" t="s">
        <v>18</v>
      </c>
      <c r="L1" s="473" t="s">
        <v>18</v>
      </c>
    </row>
    <row r="2" spans="1:12" ht="16" customHeight="1">
      <c r="A2" s="474" t="s">
        <v>3679</v>
      </c>
      <c r="B2" s="475"/>
      <c r="C2" s="475"/>
      <c r="D2" s="475"/>
      <c r="E2" s="475"/>
      <c r="F2" s="475"/>
      <c r="G2" s="475"/>
      <c r="H2" s="475"/>
      <c r="I2" s="475"/>
      <c r="J2" s="475"/>
      <c r="K2" s="475"/>
      <c r="L2" s="475"/>
    </row>
    <row r="4" spans="1:12" ht="14" customHeight="1">
      <c r="A4" s="476" t="s">
        <v>3273</v>
      </c>
      <c r="B4" s="477" t="s">
        <v>19</v>
      </c>
      <c r="C4" s="477" t="s">
        <v>19</v>
      </c>
      <c r="D4" s="477" t="s">
        <v>19</v>
      </c>
      <c r="E4" s="477" t="s">
        <v>19</v>
      </c>
      <c r="F4" s="477" t="s">
        <v>19</v>
      </c>
    </row>
    <row r="5" spans="1:12" ht="18" customHeight="1">
      <c r="A5" s="4" t="s">
        <v>20</v>
      </c>
      <c r="B5" s="4" t="s">
        <v>21</v>
      </c>
      <c r="C5" s="10" t="s">
        <v>3864</v>
      </c>
      <c r="D5" s="10" t="s">
        <v>3811</v>
      </c>
      <c r="E5" s="10" t="s">
        <v>3865</v>
      </c>
      <c r="F5" s="10" t="s">
        <v>15</v>
      </c>
    </row>
    <row r="6" spans="1:12">
      <c r="A6" s="1" t="s">
        <v>23</v>
      </c>
      <c r="B6" s="310">
        <f>IFERROR(COUNTIF(Market_Data[Project Type],tbl_tam[[#This Row],[Category]]),"")</f>
        <v>528</v>
      </c>
      <c r="C6" s="397">
        <f>IFERROR(IF(tbl_tam[[#This Row],[No. of Projects]]=0,"",tbl_tam[[#This Row],[Total Demand (m³)]]/tbl_tam[[#This Row],[No. of Projects]]),"")</f>
        <v>11566.382575757576</v>
      </c>
      <c r="D6" s="397">
        <f>IFERROR(SUMIF(Market_Data[Project Type],tbl_tam[[#This Row],[Category]],Market_Data[Estimated Concrete Demand (m³)]),"")</f>
        <v>6107050</v>
      </c>
      <c r="E6" s="398">
        <f>IF(tbl_tam[[#This Row],[Total Demand (m³)]]=0,"",tbl_tam[[#This Row],[Market Value (₹ Cr)]]*10000000/tbl_tam[[#This Row],[Total Demand (m³)]])</f>
        <v>6118.0496311639763</v>
      </c>
      <c r="F6" s="398">
        <f>IFERROR(SUMIF(Market_Data[Project Type],tbl_tam[[#This Row],[Category]],Market_Data[Estimated Market Value (₹ Cr)]),"")</f>
        <v>3736.3234999999963</v>
      </c>
    </row>
    <row r="7" spans="1:12">
      <c r="A7" s="74" t="s">
        <v>4066</v>
      </c>
      <c r="B7" s="399">
        <f>IFERROR(COUNTIF(Market_Data[Project Type],tbl_tam[[#This Row],[Category]]),"NA")</f>
        <v>0</v>
      </c>
      <c r="C7" s="397" t="str">
        <f>IFERROR(IF(tbl_tam[[#This Row],[No. of Projects]]=0,"",tbl_tam[[#This Row],[Total Demand (m³)]]/tbl_tam[[#This Row],[No. of Projects]]),"0.00")</f>
        <v/>
      </c>
      <c r="D7" s="397">
        <f>IFERROR(SUMIF(Market_Data[Project Type],tbl_tam[[#This Row],[Category]],Market_Data[Estimated Concrete Demand (m³)]),"")</f>
        <v>0</v>
      </c>
      <c r="E7" s="400" t="str">
        <f>IF(tbl_tam[[#This Row],[Total Demand (m³)]]=0,"",tbl_tam[[#This Row],[Market Value (₹ Cr)]]*10000000/tbl_tam[[#This Row],[Total Demand (m³)]])</f>
        <v/>
      </c>
      <c r="F7" s="398">
        <f>IFERROR(SUMIF(Market_Data[Project Type],tbl_tam[[#This Row],[Category]],Market_Data[Estimated Market Value (₹ Cr)]),"")</f>
        <v>0</v>
      </c>
    </row>
    <row r="8" spans="1:12">
      <c r="A8" s="1" t="s">
        <v>24</v>
      </c>
      <c r="B8" s="310">
        <f>IFERROR(COUNTIF(Market_Data[Project Type],tbl_tam[[#This Row],[Category]]),"")</f>
        <v>1201</v>
      </c>
      <c r="C8" s="397">
        <f>IFERROR(IF(tbl_tam[[#This Row],[No. of Projects]]=0,"",tbl_tam[[#This Row],[Total Demand (m³)]]/tbl_tam[[#This Row],[No. of Projects]]),"")</f>
        <v>14876.865112406327</v>
      </c>
      <c r="D8" s="397">
        <f>IFERROR(SUMIF(Market_Data[Project Type],tbl_tam[[#This Row],[Category]],Market_Data[Estimated Concrete Demand (m³)]),"")</f>
        <v>17867115</v>
      </c>
      <c r="E8" s="398">
        <f>IF(tbl_tam[[#This Row],[Total Demand (m³)]]=0,"",tbl_tam[[#This Row],[Market Value (₹ Cr)]]*10000000/tbl_tam[[#This Row],[Total Demand (m³)]])</f>
        <v>6073.0490344971695</v>
      </c>
      <c r="F8" s="398">
        <f>IFERROR(SUMIF(Market_Data[Project Type],tbl_tam[[#This Row],[Category]],Market_Data[Estimated Market Value (₹ Cr)]),"")</f>
        <v>10850.78654999999</v>
      </c>
    </row>
    <row r="9" spans="1:12">
      <c r="A9" s="1" t="s">
        <v>25</v>
      </c>
      <c r="B9" s="310">
        <f>IFERROR(COUNTIF(Market_Data[Project Type],tbl_tam[[#This Row],[Category]]),"")</f>
        <v>793</v>
      </c>
      <c r="C9" s="397">
        <f>IFERROR(IF(tbl_tam[[#This Row],[No. of Projects]]=0,"",tbl_tam[[#This Row],[Total Demand (m³)]]/tbl_tam[[#This Row],[No. of Projects]]),"")</f>
        <v>13556.148802017655</v>
      </c>
      <c r="D9" s="397">
        <f>IFERROR(SUMIF(Market_Data[Project Type],tbl_tam[[#This Row],[Category]],Market_Data[Estimated Concrete Demand (m³)]),"")</f>
        <v>10750026</v>
      </c>
      <c r="E9" s="398">
        <f>IF(tbl_tam[[#This Row],[Total Demand (m³)]]=0,"",tbl_tam[[#This Row],[Market Value (₹ Cr)]]*10000000/tbl_tam[[#This Row],[Total Demand (m³)]])</f>
        <v>5986.8647759549667</v>
      </c>
      <c r="F9" s="398">
        <f>IFERROR(SUMIF(Market_Data[Project Type],tbl_tam[[#This Row],[Category]],Market_Data[Estimated Market Value (₹ Cr)]),"")</f>
        <v>6435.8952000000072</v>
      </c>
    </row>
    <row r="10" spans="1:12">
      <c r="A10" s="1" t="s">
        <v>26</v>
      </c>
      <c r="B10" s="310">
        <f>IFERROR(COUNTIF(Market_Data[Project Type],tbl_tam[[#This Row],[Category]]),"")</f>
        <v>543</v>
      </c>
      <c r="C10" s="397">
        <f>IFERROR(IF(tbl_tam[[#This Row],[No. of Projects]]=0,"",tbl_tam[[#This Row],[Total Demand (m³)]]/tbl_tam[[#This Row],[No. of Projects]]),"")</f>
        <v>5774.8176795580112</v>
      </c>
      <c r="D10" s="397">
        <f>IFERROR(SUMIF(Market_Data[Project Type],tbl_tam[[#This Row],[Category]],Market_Data[Estimated Concrete Demand (m³)]),"")</f>
        <v>3135726</v>
      </c>
      <c r="E10" s="398">
        <f>IF(tbl_tam[[#This Row],[Total Demand (m³)]]=0,"",tbl_tam[[#This Row],[Market Value (₹ Cr)]]*10000000/tbl_tam[[#This Row],[Total Demand (m³)]])</f>
        <v>6178.0198269874336</v>
      </c>
      <c r="F10" s="398">
        <f>IFERROR(SUMIF(Market_Data[Project Type],tbl_tam[[#This Row],[Category]],Market_Data[Estimated Market Value (₹ Cr)]),"")</f>
        <v>1937.2577399999996</v>
      </c>
    </row>
    <row r="11" spans="1:12">
      <c r="A11" s="1" t="s">
        <v>27</v>
      </c>
      <c r="B11" s="310">
        <f>COUNTIFS(tbl_infrastructure_projects[Include in TAM?],"Yes",tbl_infrastructure_projects[Project Name],"&lt;&gt;")</f>
        <v>22</v>
      </c>
      <c r="C11" s="397">
        <f>IF(B11=0,"",D11/B11)</f>
        <v>289931.5</v>
      </c>
      <c r="D11" s="397">
        <f>SUMIFS(tbl_infrastructure_projects[Estimated Concrete Demand (m³)],tbl_infrastructure_projects[Include in TAM?],"Yes")</f>
        <v>6378493</v>
      </c>
      <c r="E11" s="398">
        <f>IF(tbl_tam[[#This Row],[Total Demand (m³)]]=0,"",tbl_tam[[#This Row],[Market Value (₹ Cr)]]*10000000/tbl_tam[[#This Row],[Total Demand (m³)]])</f>
        <v>5957.4491184673243</v>
      </c>
      <c r="F11" s="398">
        <f>SUMIFS(tbl_infrastructure_projects[Estimated Market Value (₹ Cr)],tbl_infrastructure_projects[Include in TAM?],"Yes")</f>
        <v>3799.9547500000003</v>
      </c>
    </row>
    <row r="12" spans="1:12">
      <c r="A12" s="71" t="s">
        <v>28</v>
      </c>
      <c r="B12" s="72">
        <f>SUM(B6:B11)</f>
        <v>3087</v>
      </c>
      <c r="C12" s="295">
        <f>SUM(D6:D11)/SUM(B6:B11)</f>
        <v>14330.550696469063</v>
      </c>
      <c r="D12" s="295">
        <f>SUM(D6:D11)</f>
        <v>44238410</v>
      </c>
      <c r="E12" s="73">
        <f>SUM(F6:F11)*10000000/SUM(D6:D11)</f>
        <v>6049.0912173380548</v>
      </c>
      <c r="F12" s="73">
        <f>SUM(F6:F11)</f>
        <v>26760.217739999996</v>
      </c>
    </row>
    <row r="13" spans="1:12" ht="24.5" customHeight="1">
      <c r="A13" s="472" t="s">
        <v>4101</v>
      </c>
      <c r="B13" s="472"/>
      <c r="C13" s="472"/>
      <c r="D13" s="472"/>
      <c r="E13" s="472"/>
      <c r="F13" s="472"/>
    </row>
    <row r="16" spans="1:12" ht="14" customHeight="1">
      <c r="A16" s="478" t="s">
        <v>3268</v>
      </c>
      <c r="B16" s="479" t="s">
        <v>29</v>
      </c>
      <c r="C16" s="479" t="s">
        <v>29</v>
      </c>
      <c r="D16" s="479" t="s">
        <v>29</v>
      </c>
      <c r="E16" s="479" t="s">
        <v>29</v>
      </c>
      <c r="H16" s="13"/>
      <c r="I16" s="13"/>
      <c r="J16" s="13"/>
      <c r="K16" s="13"/>
      <c r="L16" s="13"/>
    </row>
    <row r="17" spans="1:12" ht="22" customHeight="1">
      <c r="A17" s="5" t="s">
        <v>30</v>
      </c>
      <c r="B17" s="5" t="s">
        <v>31</v>
      </c>
      <c r="C17" s="5" t="s">
        <v>32</v>
      </c>
      <c r="D17" s="296" t="s">
        <v>4078</v>
      </c>
      <c r="E17" s="5" t="s">
        <v>33</v>
      </c>
      <c r="H17" s="13"/>
      <c r="I17" s="13"/>
      <c r="J17" s="13"/>
      <c r="K17" s="13"/>
      <c r="L17" s="13"/>
    </row>
    <row r="18" spans="1:12" ht="24">
      <c r="A18" s="14" t="s">
        <v>34</v>
      </c>
      <c r="B18" s="15" t="s">
        <v>3264</v>
      </c>
      <c r="C18" s="15" t="s">
        <v>4075</v>
      </c>
      <c r="D18" s="401">
        <f>IFERROR((SUMIF(Market_Data[District],tbl_sam[[#This Row],[District/Zone]],Market_Data[Estimated Concrete Demand (m³)])+SUMIFS(tbl_infrastructure_projects[Estimated Concrete Demand (m³)],tbl_infrastructure_projects[District],tbl_sam[[#This Row],[District/Zone]],tbl_infrastructure_projects[Include in TAM?],"Yes"))*SUMIF(tbl_reachability[Included in Sam?],tbl_sam[[#This Row],[Included in SAM?]],tbl_reachability[Reachability]),"")</f>
        <v>30337154</v>
      </c>
      <c r="E18" s="402">
        <f>IFERROR((SUMIF(Market_Data[District],tbl_sam[[#This Row],[District/Zone]],Market_Data[Estimated Market Value (₹ Cr)])+SUMIFS(tbl_infrastructure_projects[Estimated Market Value (₹ Cr)],tbl_infrastructure_projects[District],tbl_sam[[#This Row],[District/Zone]],tbl_infrastructure_projects[Include in TAM?],"Yes"))*SUMIF(tbl_reachability[Included in Sam?],tbl_sam[[#This Row],[Included in SAM?]],tbl_reachability[Reachability]),"")</f>
        <v>18832.426160000028</v>
      </c>
      <c r="H18" s="13"/>
      <c r="I18" s="13"/>
      <c r="J18" s="13"/>
      <c r="K18" s="13"/>
      <c r="L18" s="13"/>
    </row>
    <row r="19" spans="1:12" ht="24">
      <c r="A19" s="14" t="s">
        <v>35</v>
      </c>
      <c r="B19" s="15" t="s">
        <v>3264</v>
      </c>
      <c r="C19" s="15" t="s">
        <v>3266</v>
      </c>
      <c r="D19" s="401">
        <f>IFERROR((SUMIF(Market_Data[District],tbl_sam[[#This Row],[District/Zone]],Market_Data[Estimated Concrete Demand (m³)])+SUMIFS(tbl_infrastructure_projects[Estimated Concrete Demand (m³)],tbl_infrastructure_projects[District],tbl_sam[[#This Row],[District/Zone]],tbl_infrastructure_projects[Include in TAM?],"Yes"))*SUMIF(tbl_reachability[Included in Sam?],tbl_sam[[#This Row],[Included in SAM?]],tbl_reachability[Reachability]),"")</f>
        <v>5596922</v>
      </c>
      <c r="E19" s="402">
        <f>IFERROR((SUMIF(Market_Data[District],tbl_sam[[#This Row],[District/Zone]],Market_Data[Estimated Market Value (₹ Cr)])+SUMIFS(tbl_infrastructure_projects[Estimated Market Value (₹ Cr)],tbl_infrastructure_projects[District],tbl_sam[[#This Row],[District/Zone]],tbl_infrastructure_projects[Include in TAM?],"Yes"))*SUMIF(tbl_reachability[Included in Sam?],tbl_sam[[#This Row],[Included in SAM?]],tbl_reachability[Reachability]),"")</f>
        <v>3136.4835200000007</v>
      </c>
      <c r="H19" s="13"/>
      <c r="I19" s="13"/>
      <c r="J19" s="13"/>
      <c r="K19" s="13"/>
      <c r="L19" s="13"/>
    </row>
    <row r="20" spans="1:12" ht="16">
      <c r="A20" s="14" t="s">
        <v>36</v>
      </c>
      <c r="B20" s="15" t="s">
        <v>3264</v>
      </c>
      <c r="C20" s="15" t="s">
        <v>3267</v>
      </c>
      <c r="D20" s="401">
        <f>IFERROR((SUMIF(Market_Data[District],tbl_sam[[#This Row],[District/Zone]],Market_Data[Estimated Concrete Demand (m³)])+SUMIFS(tbl_infrastructure_projects[Estimated Concrete Demand (m³)],tbl_infrastructure_projects[District],tbl_sam[[#This Row],[District/Zone]],tbl_infrastructure_projects[Include in TAM?],"Yes"))*SUMIF(tbl_reachability[Included in Sam?],tbl_sam[[#This Row],[Included in SAM?]],tbl_reachability[Reachability]),"")</f>
        <v>5536111</v>
      </c>
      <c r="E20" s="402">
        <f>IFERROR((SUMIF(Market_Data[District],tbl_sam[[#This Row],[District/Zone]],Market_Data[Estimated Market Value (₹ Cr)])+SUMIFS(tbl_infrastructure_projects[Estimated Market Value (₹ Cr)],tbl_infrastructure_projects[District],tbl_sam[[#This Row],[District/Zone]],tbl_infrastructure_projects[Include in TAM?],"Yes"))*SUMIF(tbl_reachability[Included in Sam?],tbl_sam[[#This Row],[Included in SAM?]],tbl_reachability[Reachability]),"")</f>
        <v>3270.7004300000003</v>
      </c>
      <c r="H20" s="13"/>
      <c r="I20" s="13"/>
      <c r="J20" s="13"/>
      <c r="K20" s="13"/>
      <c r="L20" s="13"/>
    </row>
    <row r="21" spans="1:12" ht="24">
      <c r="A21" s="14" t="s">
        <v>37</v>
      </c>
      <c r="B21" s="15" t="s">
        <v>3265</v>
      </c>
      <c r="C21" s="15" t="s">
        <v>4076</v>
      </c>
      <c r="D21" s="401">
        <f>IFERROR((SUMIF(Market_Data[District],tbl_sam[[#This Row],[District/Zone]],Market_Data[Estimated Concrete Demand (m³)])+SUMIFS(tbl_infrastructure_projects[Estimated Concrete Demand (m³)],tbl_infrastructure_projects[District],tbl_sam[[#This Row],[District/Zone]],tbl_infrastructure_projects[Include in TAM?],"Yes"))*SUMIF(tbl_reachability[Included in Sam?],tbl_sam[[#This Row],[Included in SAM?]],tbl_reachability[Reachability]),"")</f>
        <v>1273745.3999999999</v>
      </c>
      <c r="E21" s="402">
        <f>IFERROR((SUMIF(Market_Data[District],tbl_sam[[#This Row],[District/Zone]],Market_Data[Estimated Market Value (₹ Cr)])+SUMIFS(tbl_infrastructure_projects[Estimated Market Value (₹ Cr)],tbl_infrastructure_projects[District],tbl_sam[[#This Row],[District/Zone]],tbl_infrastructure_projects[Include in TAM?],"Yes"))*SUMIF(tbl_reachability[Included in Sam?],tbl_sam[[#This Row],[Included in SAM?]],tbl_reachability[Reachability]),"")</f>
        <v>703.80141000000015</v>
      </c>
      <c r="H21" s="13"/>
      <c r="I21" s="13"/>
      <c r="J21" s="13"/>
      <c r="K21" s="13"/>
      <c r="L21" s="13"/>
    </row>
    <row r="22" spans="1:12" ht="36" customHeight="1">
      <c r="A22" s="14" t="s">
        <v>38</v>
      </c>
      <c r="B22" s="15" t="s">
        <v>3866</v>
      </c>
      <c r="C22" s="15" t="s">
        <v>4077</v>
      </c>
      <c r="D22" s="401">
        <f>IFERROR((SUMIF(Market_Data[District],tbl_sam[[#This Row],[District/Zone]],Market_Data[Estimated Concrete Demand (m³)])+SUMIFS(tbl_infrastructure_projects[Estimated Concrete Demand (m³)],tbl_infrastructure_projects[District],tbl_sam[[#This Row],[District/Zone]],tbl_infrastructure_projects[Include in TAM?],"Yes"))*SUMIF(tbl_reachability[Included in Sam?],tbl_sam[[#This Row],[Included in SAM?]],tbl_reachability[Reachability]),"")</f>
        <v>0</v>
      </c>
      <c r="E22" s="402">
        <f>IFERROR((SUMIF(Market_Data[District],tbl_sam[[#This Row],[District/Zone]],Market_Data[Estimated Market Value (₹ Cr)])+SUMIFS(tbl_infrastructure_projects[Estimated Market Value (₹ Cr)],tbl_infrastructure_projects[District],tbl_sam[[#This Row],[District/Zone]],tbl_infrastructure_projects[Include in TAM?],"Yes"))*SUMIF(tbl_reachability[Included in Sam?],tbl_sam[[#This Row],[Included in SAM?]],tbl_reachability[Reachability]),"")</f>
        <v>0</v>
      </c>
      <c r="H22" s="13"/>
      <c r="I22" s="13"/>
      <c r="J22" s="13"/>
      <c r="K22" s="13"/>
      <c r="L22" s="13"/>
    </row>
    <row r="23" spans="1:12" ht="24.5" customHeight="1">
      <c r="A23" s="472" t="s">
        <v>4072</v>
      </c>
      <c r="B23" s="472"/>
      <c r="C23" s="472"/>
      <c r="D23" s="472"/>
      <c r="E23" s="472"/>
      <c r="G23" s="13"/>
      <c r="H23" s="13"/>
      <c r="I23" s="13"/>
      <c r="J23" s="13"/>
      <c r="K23" s="13"/>
    </row>
    <row r="25" spans="1:12" ht="14" customHeight="1">
      <c r="A25" s="480" t="s">
        <v>149</v>
      </c>
      <c r="B25" s="480" t="s">
        <v>39</v>
      </c>
      <c r="C25" s="480" t="s">
        <v>39</v>
      </c>
      <c r="D25" s="480" t="s">
        <v>39</v>
      </c>
      <c r="E25" s="480"/>
    </row>
    <row r="26" spans="1:12" ht="17" customHeight="1">
      <c r="A26" s="6" t="s">
        <v>40</v>
      </c>
      <c r="B26" s="6" t="s">
        <v>41</v>
      </c>
      <c r="C26" s="6" t="s">
        <v>3880</v>
      </c>
      <c r="D26" s="6" t="s">
        <v>3881</v>
      </c>
      <c r="E26" s="6" t="s">
        <v>42</v>
      </c>
      <c r="H26" t="s">
        <v>3274</v>
      </c>
    </row>
    <row r="27" spans="1:12" ht="23" customHeight="1">
      <c r="A27" s="14" t="s">
        <v>43</v>
      </c>
      <c r="B27" s="16">
        <v>0.05</v>
      </c>
      <c r="C27" s="353">
        <f>IFERROR(SUM(tbl_sam[Reachable Market Value])*tbl_som[[#This Row],[Market Capture %]],"")</f>
        <v>1297.1705760000016</v>
      </c>
      <c r="D27" s="15" t="str">
        <f>""</f>
        <v/>
      </c>
      <c r="E27" s="15" t="s">
        <v>3269</v>
      </c>
      <c r="H27" s="13"/>
      <c r="I27" s="13"/>
      <c r="J27" s="13"/>
      <c r="K27" s="13"/>
      <c r="L27" s="13"/>
    </row>
    <row r="28" spans="1:12" ht="23" customHeight="1">
      <c r="A28" s="14" t="s">
        <v>44</v>
      </c>
      <c r="B28" s="16">
        <v>0.1</v>
      </c>
      <c r="C28" s="353">
        <f>IFERROR(SUM(tbl_sam[Reachable Market Value])*tbl_som[[#This Row],[Market Capture %]],"")</f>
        <v>2594.3411520000031</v>
      </c>
      <c r="D28" s="151" t="str">
        <f>""</f>
        <v/>
      </c>
      <c r="E28" s="15" t="s">
        <v>3680</v>
      </c>
      <c r="H28" s="13"/>
      <c r="I28" s="13"/>
      <c r="J28" s="13"/>
      <c r="K28" s="13"/>
      <c r="L28" s="13"/>
    </row>
    <row r="29" spans="1:12" ht="23" customHeight="1">
      <c r="A29" s="14" t="s">
        <v>45</v>
      </c>
      <c r="B29" s="16">
        <v>0.15</v>
      </c>
      <c r="C29" s="353">
        <f>IFERROR(SUM(tbl_sam[Reachable Market Value])*tbl_som[[#This Row],[Market Capture %]],"")</f>
        <v>3891.5117280000045</v>
      </c>
      <c r="D29" s="151" t="str">
        <f>""</f>
        <v/>
      </c>
      <c r="E29" s="15" t="s">
        <v>3270</v>
      </c>
      <c r="H29" s="13"/>
      <c r="I29" s="13"/>
      <c r="J29" s="13"/>
      <c r="K29" s="13"/>
      <c r="L29" s="13"/>
    </row>
    <row r="30" spans="1:12" ht="23" customHeight="1">
      <c r="A30" s="14" t="s">
        <v>3970</v>
      </c>
      <c r="B30" s="16">
        <v>0.18</v>
      </c>
      <c r="C30" s="353">
        <f>IFERROR(SUM(tbl_sam[Reachable Market Value])*tbl_som[[#This Row],[Market Capture %]],"")</f>
        <v>4669.814073600005</v>
      </c>
      <c r="D30" s="151" t="str">
        <f>""</f>
        <v/>
      </c>
      <c r="E30" s="15" t="s">
        <v>4038</v>
      </c>
      <c r="H30" s="13"/>
      <c r="I30" s="13"/>
      <c r="J30" s="13"/>
      <c r="K30" s="13"/>
      <c r="L30" s="13"/>
    </row>
    <row r="31" spans="1:12" ht="23" customHeight="1">
      <c r="A31" s="14" t="s">
        <v>3971</v>
      </c>
      <c r="B31" s="16">
        <v>0.2</v>
      </c>
      <c r="C31" s="353">
        <f>IFERROR(SUM(tbl_sam[Reachable Market Value])*tbl_som[[#This Row],[Market Capture %]],"")</f>
        <v>5188.6823040000063</v>
      </c>
      <c r="D31" s="151" t="str">
        <f>""</f>
        <v/>
      </c>
      <c r="E31" s="15" t="s">
        <v>4039</v>
      </c>
      <c r="H31" s="13"/>
      <c r="I31" s="13"/>
      <c r="J31" s="13"/>
      <c r="K31" s="13"/>
      <c r="L31" s="13"/>
    </row>
    <row r="32" spans="1:12" ht="14" customHeight="1">
      <c r="A32" s="472" t="s">
        <v>4102</v>
      </c>
      <c r="B32" s="472"/>
      <c r="C32" s="472"/>
      <c r="D32" s="472"/>
      <c r="E32" s="472"/>
      <c r="H32" s="13"/>
      <c r="I32" s="13"/>
      <c r="J32" s="13"/>
      <c r="K32" s="13"/>
      <c r="L32" s="13"/>
    </row>
    <row r="33" spans="8:12" ht="14" customHeight="1">
      <c r="H33" s="13"/>
      <c r="I33" s="13"/>
      <c r="J33" s="13"/>
      <c r="K33" s="13"/>
      <c r="L33" s="13"/>
    </row>
    <row r="34" spans="8:12" ht="14" customHeight="1">
      <c r="H34" s="13"/>
      <c r="I34" s="13"/>
      <c r="J34" s="13"/>
      <c r="K34" s="13"/>
      <c r="L34" s="13"/>
    </row>
    <row r="37" spans="8:12" ht="14.5">
      <c r="H37" s="288" t="s">
        <v>3271</v>
      </c>
      <c r="I37" s="289" t="s">
        <v>15</v>
      </c>
      <c r="J37" s="11"/>
      <c r="K37" s="288" t="s">
        <v>20</v>
      </c>
      <c r="L37" s="289" t="s">
        <v>15</v>
      </c>
    </row>
    <row r="38" spans="8:12">
      <c r="H38" s="290" t="str">
        <f>A4</f>
        <v>TAM</v>
      </c>
      <c r="I38" s="409">
        <f>$F$12</f>
        <v>26760.217739999996</v>
      </c>
      <c r="J38" s="11"/>
      <c r="K38" s="290" t="str">
        <f>A6</f>
        <v>Commercial</v>
      </c>
      <c r="L38" s="409">
        <f t="shared" ref="L38:L43" si="0">F6</f>
        <v>3736.3234999999963</v>
      </c>
    </row>
    <row r="39" spans="8:12">
      <c r="H39" s="290" t="str">
        <f>A16</f>
        <v>SAM</v>
      </c>
      <c r="I39" s="409">
        <f>SUM(tbl_sam[Reachable Market Value])</f>
        <v>25943.411520000031</v>
      </c>
      <c r="J39" s="11"/>
      <c r="K39" s="290" t="str">
        <f>A7</f>
        <v>Industrial / Manufacturing</v>
      </c>
      <c r="L39" s="409">
        <f t="shared" si="0"/>
        <v>0</v>
      </c>
    </row>
    <row r="40" spans="8:12">
      <c r="H40" s="291" t="str">
        <f>A25 &amp; " " &amp; A29</f>
        <v>SOM Year 3</v>
      </c>
      <c r="I40" s="410">
        <f>$C$31</f>
        <v>5188.6823040000063</v>
      </c>
      <c r="J40" s="11"/>
      <c r="K40" s="290" t="str">
        <f>A8</f>
        <v>Residential/Group Housing</v>
      </c>
      <c r="L40" s="409">
        <f t="shared" si="0"/>
        <v>10850.78654999999</v>
      </c>
    </row>
    <row r="41" spans="8:12">
      <c r="H41" s="11"/>
      <c r="I41" s="11"/>
      <c r="J41" s="11"/>
      <c r="K41" s="290" t="str">
        <f>A9</f>
        <v>Mixed Development</v>
      </c>
      <c r="L41" s="409">
        <f t="shared" si="0"/>
        <v>6435.8952000000072</v>
      </c>
    </row>
    <row r="42" spans="8:12">
      <c r="H42" s="11"/>
      <c r="I42" s="11"/>
      <c r="J42" s="11"/>
      <c r="K42" s="290" t="str">
        <f>A10</f>
        <v>Plotted Development</v>
      </c>
      <c r="L42" s="409">
        <f t="shared" si="0"/>
        <v>1937.2577399999996</v>
      </c>
    </row>
    <row r="43" spans="8:12" ht="14.5">
      <c r="H43" s="288" t="s">
        <v>6</v>
      </c>
      <c r="I43" s="289" t="s">
        <v>3272</v>
      </c>
      <c r="J43" s="11"/>
      <c r="K43" s="291" t="s">
        <v>27</v>
      </c>
      <c r="L43" s="410">
        <f t="shared" si="0"/>
        <v>3799.9547500000003</v>
      </c>
    </row>
    <row r="44" spans="8:12">
      <c r="H44" s="290" t="str">
        <f>A18</f>
        <v>Surat</v>
      </c>
      <c r="I44" s="411">
        <f>D18</f>
        <v>30337154</v>
      </c>
      <c r="J44" s="11"/>
      <c r="K44" s="12"/>
      <c r="L44" s="11"/>
    </row>
    <row r="45" spans="8:12" ht="14.5">
      <c r="H45" s="290" t="str">
        <f t="shared" ref="H45:H48" si="1">A19</f>
        <v>Valsad</v>
      </c>
      <c r="I45" s="411">
        <f t="shared" ref="I45:I48" si="2">D19</f>
        <v>5596922</v>
      </c>
      <c r="J45" s="11"/>
      <c r="K45" s="292" t="s">
        <v>3868</v>
      </c>
      <c r="L45" s="289" t="s">
        <v>3867</v>
      </c>
    </row>
    <row r="46" spans="8:12">
      <c r="H46" s="290" t="str">
        <f t="shared" si="1"/>
        <v>Bharuch</v>
      </c>
      <c r="I46" s="411">
        <f t="shared" si="2"/>
        <v>5536111</v>
      </c>
      <c r="J46" s="11"/>
      <c r="K46" s="290" t="s">
        <v>3264</v>
      </c>
      <c r="L46" s="351">
        <v>1</v>
      </c>
    </row>
    <row r="47" spans="8:12">
      <c r="H47" s="290" t="str">
        <f t="shared" si="1"/>
        <v>Navsari</v>
      </c>
      <c r="I47" s="411">
        <f t="shared" si="2"/>
        <v>1273745.3999999999</v>
      </c>
      <c r="J47" s="11"/>
      <c r="K47" s="290" t="s">
        <v>3265</v>
      </c>
      <c r="L47" s="351">
        <v>0.6</v>
      </c>
    </row>
    <row r="48" spans="8:12">
      <c r="H48" s="291" t="str">
        <f t="shared" si="1"/>
        <v>Tapi</v>
      </c>
      <c r="I48" s="412">
        <f t="shared" si="2"/>
        <v>0</v>
      </c>
      <c r="J48" s="11"/>
      <c r="K48" s="291" t="s">
        <v>3866</v>
      </c>
      <c r="L48" s="352">
        <v>0</v>
      </c>
    </row>
    <row r="49" spans="8:12">
      <c r="H49" s="11"/>
      <c r="I49" s="11"/>
      <c r="J49" s="11"/>
      <c r="K49" s="11"/>
      <c r="L49" s="11"/>
    </row>
    <row r="50" spans="8:12" ht="14.5">
      <c r="H50" s="297" t="s">
        <v>6</v>
      </c>
      <c r="I50" s="297" t="s">
        <v>4067</v>
      </c>
      <c r="J50" s="297" t="s">
        <v>4068</v>
      </c>
      <c r="K50" s="297" t="s">
        <v>4069</v>
      </c>
      <c r="L50" s="297" t="s">
        <v>4071</v>
      </c>
    </row>
    <row r="51" spans="8:12">
      <c r="H51" s="293" t="s">
        <v>34</v>
      </c>
      <c r="I51" s="413">
        <f>SUMIF(Market_Data[District],H51,Market_Data[Estimated Market Value (₹ Cr)])
+SUMIFS(tbl_infrastructure_projects[Estimated Market Value (₹ Cr)],tbl_infrastructure_projects[District],H51,tbl_infrastructure_projects[Include in TAM?],"Yes")</f>
        <v>18832.426160000028</v>
      </c>
      <c r="J51" s="415">
        <f>_xlfn.XLOOKUP(
_xlfn.XLOOKUP(H51,tbl_sam[District/Zone],tbl_sam[Included in SAM?]),
tbl_reachability[Included in Sam?],
tbl_reachability[Reachability]
)</f>
        <v>1</v>
      </c>
      <c r="K51" s="413">
        <f>I51*J51</f>
        <v>18832.426160000028</v>
      </c>
      <c r="L51" s="416">
        <f>I51-K51</f>
        <v>0</v>
      </c>
    </row>
    <row r="52" spans="8:12">
      <c r="H52" s="293" t="s">
        <v>35</v>
      </c>
      <c r="I52" s="413">
        <f>SUMIF(Market_Data[District],H52,Market_Data[Estimated Market Value (₹ Cr)])
+SUMIFS(tbl_infrastructure_projects[Estimated Market Value (₹ Cr)],tbl_infrastructure_projects[District],H52,tbl_infrastructure_projects[Include in TAM?],"Yes")</f>
        <v>3136.4835200000007</v>
      </c>
      <c r="J52" s="415">
        <f>_xlfn.XLOOKUP(
_xlfn.XLOOKUP(H52,tbl_sam[District/Zone],tbl_sam[Included in SAM?]),
tbl_reachability[Included in Sam?],
tbl_reachability[Reachability]
)</f>
        <v>1</v>
      </c>
      <c r="K52" s="413">
        <f t="shared" ref="K52:K55" si="3">I52*J52</f>
        <v>3136.4835200000007</v>
      </c>
      <c r="L52" s="416">
        <f t="shared" ref="L52:L55" si="4">I52-K52</f>
        <v>0</v>
      </c>
    </row>
    <row r="53" spans="8:12">
      <c r="H53" s="293" t="s">
        <v>36</v>
      </c>
      <c r="I53" s="413">
        <f>SUMIF(Market_Data[District],H53,Market_Data[Estimated Market Value (₹ Cr)])
+SUMIFS(tbl_infrastructure_projects[Estimated Market Value (₹ Cr)],tbl_infrastructure_projects[District],H53,tbl_infrastructure_projects[Include in TAM?],"Yes")</f>
        <v>3270.7004300000003</v>
      </c>
      <c r="J53" s="415">
        <f>_xlfn.XLOOKUP(
_xlfn.XLOOKUP(H53,tbl_sam[District/Zone],tbl_sam[Included in SAM?]),
tbl_reachability[Included in Sam?],
tbl_reachability[Reachability]
)</f>
        <v>1</v>
      </c>
      <c r="K53" s="413">
        <f t="shared" si="3"/>
        <v>3270.7004300000003</v>
      </c>
      <c r="L53" s="416">
        <f t="shared" si="4"/>
        <v>0</v>
      </c>
    </row>
    <row r="54" spans="8:12">
      <c r="H54" s="293" t="s">
        <v>37</v>
      </c>
      <c r="I54" s="413">
        <f>SUMIF(Market_Data[District],H54,Market_Data[Estimated Market Value (₹ Cr)])
+SUMIFS(tbl_infrastructure_projects[Estimated Market Value (₹ Cr)],tbl_infrastructure_projects[District],H54,tbl_infrastructure_projects[Include in TAM?],"Yes")</f>
        <v>1173.0023500000002</v>
      </c>
      <c r="J54" s="415">
        <f>_xlfn.XLOOKUP(
_xlfn.XLOOKUP(H54,tbl_sam[District/Zone],tbl_sam[Included in SAM?]),
tbl_reachability[Included in Sam?],
tbl_reachability[Reachability]
)</f>
        <v>0.6</v>
      </c>
      <c r="K54" s="413">
        <f t="shared" si="3"/>
        <v>703.80141000000015</v>
      </c>
      <c r="L54" s="416">
        <f t="shared" si="4"/>
        <v>469.20094000000006</v>
      </c>
    </row>
    <row r="55" spans="8:12">
      <c r="H55" s="294" t="s">
        <v>38</v>
      </c>
      <c r="I55" s="414">
        <f>SUMIF(Market_Data[District],H55,Market_Data[Estimated Market Value (₹ Cr)])
+SUMIFS(tbl_infrastructure_projects[Estimated Market Value (₹ Cr)],tbl_infrastructure_projects[District],H55,tbl_infrastructure_projects[Include in TAM?],"Yes")</f>
        <v>347.60527999999999</v>
      </c>
      <c r="J55" s="417">
        <f>_xlfn.XLOOKUP(
_xlfn.XLOOKUP(H55,tbl_sam[District/Zone],tbl_sam[Included in SAM?]),
tbl_reachability[Included in Sam?],
tbl_reachability[Reachability]
)</f>
        <v>0</v>
      </c>
      <c r="K55" s="414">
        <f t="shared" si="3"/>
        <v>0</v>
      </c>
      <c r="L55" s="418">
        <f t="shared" si="4"/>
        <v>347.60527999999999</v>
      </c>
    </row>
    <row r="56" spans="8:12" ht="14.5">
      <c r="H56" s="419" t="s">
        <v>4070</v>
      </c>
      <c r="I56" s="420">
        <f>SUM(I51:I55)</f>
        <v>26760.217740000029</v>
      </c>
      <c r="J56" s="421"/>
      <c r="K56" s="422">
        <f>SUM(K51:K55)</f>
        <v>25943.411520000031</v>
      </c>
      <c r="L56" s="423" cm="1">
        <f t="array" ref="L56">1-(SUM(K51:K55/SUM(I51:I55)))</f>
        <v>3.0523152985376334E-2</v>
      </c>
    </row>
  </sheetData>
  <mergeCells count="8">
    <mergeCell ref="A32:E32"/>
    <mergeCell ref="A1:L1"/>
    <mergeCell ref="A2:L2"/>
    <mergeCell ref="A4:F4"/>
    <mergeCell ref="A16:E16"/>
    <mergeCell ref="A25:E25"/>
    <mergeCell ref="A13:F13"/>
    <mergeCell ref="A23:E23"/>
  </mergeCells>
  <conditionalFormatting sqref="F6:F11">
    <cfRule type="dataBar" priority="8">
      <dataBar>
        <cfvo type="min"/>
        <cfvo type="max"/>
        <color rgb="FF638EC6"/>
      </dataBar>
      <extLst>
        <ext xmlns:x14="http://schemas.microsoft.com/office/spreadsheetml/2009/9/main" uri="{B025F937-C7B1-47D3-B67F-A62EFF666E3E}">
          <x14:id>{8241F056-9CC6-4DEB-BD01-E21B4C44BBE8}</x14:id>
        </ext>
      </extLst>
    </cfRule>
  </conditionalFormatting>
  <conditionalFormatting sqref="D18:D22">
    <cfRule type="dataBar" priority="12">
      <dataBar>
        <cfvo type="min"/>
        <cfvo type="max"/>
        <color rgb="FFFFB628"/>
      </dataBar>
      <extLst>
        <ext xmlns:x14="http://schemas.microsoft.com/office/spreadsheetml/2009/9/main" uri="{B025F937-C7B1-47D3-B67F-A62EFF666E3E}">
          <x14:id>{1CF0E0CF-E709-47E9-B2C8-8D4ED0CA3A62}</x14:id>
        </ext>
      </extLst>
    </cfRule>
  </conditionalFormatting>
  <conditionalFormatting sqref="E18:E22">
    <cfRule type="dataBar" priority="2">
      <dataBar>
        <cfvo type="min"/>
        <cfvo type="max"/>
        <color rgb="FFFFB628"/>
      </dataBar>
      <extLst>
        <ext xmlns:x14="http://schemas.microsoft.com/office/spreadsheetml/2009/9/main" uri="{B025F937-C7B1-47D3-B67F-A62EFF666E3E}">
          <x14:id>{0B19FD7D-9413-4BAE-972D-F8E85FC25977}</x14:id>
        </ext>
      </extLst>
    </cfRule>
  </conditionalFormatting>
  <conditionalFormatting sqref="C27:C31">
    <cfRule type="dataBar" priority="1">
      <dataBar>
        <cfvo type="min"/>
        <cfvo type="max"/>
        <color rgb="FF63C384"/>
      </dataBar>
      <extLst>
        <ext xmlns:x14="http://schemas.microsoft.com/office/spreadsheetml/2009/9/main" uri="{B025F937-C7B1-47D3-B67F-A62EFF666E3E}">
          <x14:id>{21791BFC-E178-4991-813A-E14BC0A5D133}</x14:id>
        </ext>
      </extLst>
    </cfRule>
  </conditionalFormatting>
  <conditionalFormatting sqref="B27:B31">
    <cfRule type="iconSet" priority="9">
      <iconSet iconSet="3TrafficLights2">
        <cfvo type="percent" val="0"/>
        <cfvo type="percent" val="33"/>
        <cfvo type="percent" val="67"/>
      </iconSet>
    </cfRule>
  </conditionalFormatting>
  <conditionalFormatting sqref="D18:E22">
    <cfRule type="dataBar" priority="4">
      <dataBar>
        <cfvo type="min"/>
        <cfvo type="max"/>
        <color rgb="FFFFB628"/>
      </dataBar>
      <extLst>
        <ext xmlns:x14="http://schemas.microsoft.com/office/spreadsheetml/2009/9/main" uri="{B025F937-C7B1-47D3-B67F-A62EFF666E3E}">
          <x14:id>{B42CFA6B-BCF6-4972-BE45-BCD13F526FA5}</x14:id>
        </ext>
      </extLst>
    </cfRule>
  </conditionalFormatting>
  <conditionalFormatting sqref="B18:B22">
    <cfRule type="expression" dxfId="243" priority="13" stopIfTrue="1">
      <formula>B18="Yes"</formula>
    </cfRule>
    <cfRule type="expression" dxfId="242" priority="14" stopIfTrue="1">
      <formula>B18="Partial"</formula>
    </cfRule>
    <cfRule type="expression" dxfId="241" priority="15" stopIfTrue="1">
      <formula>B18="No"</formula>
    </cfRule>
  </conditionalFormatting>
  <dataValidations count="1">
    <dataValidation type="list" showErrorMessage="1" errorTitle="Invalid entry" error="Select a value from the dropdown list." sqref="B18:B22" xr:uid="{63E31459-E8D5-41FD-957B-6C1C5800B6C2}">
      <formula1>$K$46:$K$48</formula1>
    </dataValidation>
  </dataValidations>
  <pageMargins left="0.7" right="0.7" top="0.75" bottom="0.75" header="0.3" footer="0.3"/>
  <drawing r:id="rId1"/>
  <tableParts count="8">
    <tablePart r:id="rId2"/>
    <tablePart r:id="rId3"/>
    <tablePart r:id="rId4"/>
    <tablePart r:id="rId5"/>
    <tablePart r:id="rId6"/>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8241F056-9CC6-4DEB-BD01-E21B4C44BBE8}">
            <x14:dataBar minLength="0" maxLength="100" gradient="0">
              <x14:cfvo type="autoMin"/>
              <x14:cfvo type="autoMax"/>
              <x14:negativeFillColor rgb="FFFF0000"/>
              <x14:axisColor rgb="FF000000"/>
            </x14:dataBar>
          </x14:cfRule>
          <xm:sqref>F6:F11</xm:sqref>
        </x14:conditionalFormatting>
        <x14:conditionalFormatting xmlns:xm="http://schemas.microsoft.com/office/excel/2006/main">
          <x14:cfRule type="dataBar" id="{1CF0E0CF-E709-47E9-B2C8-8D4ED0CA3A62}">
            <x14:dataBar minLength="0" maxLength="100" border="1" negativeBarBorderColorSameAsPositive="0">
              <x14:cfvo type="autoMin"/>
              <x14:cfvo type="autoMax"/>
              <x14:borderColor rgb="FFFFB628"/>
              <x14:negativeFillColor rgb="FFFF0000"/>
              <x14:negativeBorderColor rgb="FFFF0000"/>
              <x14:axisColor rgb="FF000000"/>
            </x14:dataBar>
          </x14:cfRule>
          <xm:sqref>D18:D22</xm:sqref>
        </x14:conditionalFormatting>
        <x14:conditionalFormatting xmlns:xm="http://schemas.microsoft.com/office/excel/2006/main">
          <x14:cfRule type="dataBar" id="{0B19FD7D-9413-4BAE-972D-F8E85FC25977}">
            <x14:dataBar minLength="0" maxLength="100" gradient="0">
              <x14:cfvo type="autoMin"/>
              <x14:cfvo type="autoMax"/>
              <x14:negativeFillColor rgb="FFFF0000"/>
              <x14:axisColor rgb="FF000000"/>
            </x14:dataBar>
          </x14:cfRule>
          <xm:sqref>E18:E22</xm:sqref>
        </x14:conditionalFormatting>
        <x14:conditionalFormatting xmlns:xm="http://schemas.microsoft.com/office/excel/2006/main">
          <x14:cfRule type="dataBar" id="{21791BFC-E178-4991-813A-E14BC0A5D133}">
            <x14:dataBar minLength="0" maxLength="100" gradient="0">
              <x14:cfvo type="autoMin"/>
              <x14:cfvo type="autoMax"/>
              <x14:negativeFillColor rgb="FFFF0000"/>
              <x14:axisColor rgb="FF000000"/>
            </x14:dataBar>
          </x14:cfRule>
          <xm:sqref>C27:C31</xm:sqref>
        </x14:conditionalFormatting>
        <x14:conditionalFormatting xmlns:xm="http://schemas.microsoft.com/office/excel/2006/main">
          <x14:cfRule type="dataBar" id="{B42CFA6B-BCF6-4972-BE45-BCD13F526FA5}">
            <x14:dataBar minLength="0" maxLength="100" gradient="0">
              <x14:cfvo type="autoMin"/>
              <x14:cfvo type="autoMax"/>
              <x14:negativeFillColor rgb="FFFF0000"/>
              <x14:axisColor rgb="FF000000"/>
            </x14:dataBar>
          </x14:cfRule>
          <xm:sqref>D18:E22</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FF0000"/>
  </sheetPr>
  <dimension ref="A1:BZ105"/>
  <sheetViews>
    <sheetView showGridLines="0" topLeftCell="G1" zoomScale="87" zoomScaleNormal="95" workbookViewId="0">
      <selection activeCell="I15" sqref="I15"/>
    </sheetView>
  </sheetViews>
  <sheetFormatPr defaultRowHeight="14"/>
  <cols>
    <col min="1" max="1" width="11.4140625" bestFit="1" customWidth="1"/>
    <col min="2" max="2" width="27.25" bestFit="1" customWidth="1"/>
    <col min="3" max="3" width="23.1640625" bestFit="1" customWidth="1"/>
    <col min="4" max="4" width="21" customWidth="1"/>
    <col min="5" max="5" width="14.5" bestFit="1" customWidth="1"/>
    <col min="6" max="6" width="12.83203125" bestFit="1" customWidth="1"/>
    <col min="7" max="7" width="10" bestFit="1" customWidth="1"/>
    <col min="8" max="8" width="51.5" customWidth="1"/>
    <col min="9" max="9" width="49.08203125" customWidth="1"/>
    <col min="10" max="10" width="13.75" customWidth="1"/>
    <col min="11" max="11" width="11.1640625" customWidth="1"/>
    <col min="12" max="12" width="9.6640625" customWidth="1"/>
    <col min="13" max="13" width="8.5" customWidth="1"/>
    <col min="14" max="14" width="19.75" customWidth="1"/>
    <col min="15" max="15" width="10.08203125" customWidth="1"/>
    <col min="16" max="16" width="9.9140625" customWidth="1"/>
    <col min="17" max="17" width="8.1640625" customWidth="1"/>
    <col min="18" max="18" width="8.4140625" customWidth="1"/>
    <col min="19" max="19" width="11.9140625" customWidth="1"/>
    <col min="20" max="20" width="12.6640625" customWidth="1"/>
    <col min="21" max="21" width="12.75" customWidth="1"/>
    <col min="22" max="22" width="12.83203125" customWidth="1"/>
    <col min="23" max="23" width="10.33203125" customWidth="1"/>
    <col min="24" max="24" width="15.1640625" customWidth="1"/>
    <col min="25" max="25" width="15.25" customWidth="1"/>
    <col min="26" max="26" width="13.08203125" customWidth="1"/>
    <col min="27" max="28" width="10.6640625" customWidth="1"/>
    <col min="29" max="29" width="14.4140625" customWidth="1"/>
    <col min="30" max="30" width="16.5" customWidth="1"/>
    <col min="31" max="31" width="13.33203125" customWidth="1"/>
    <col min="32" max="32" width="17.08203125" customWidth="1"/>
    <col min="33" max="33" width="15.58203125" customWidth="1"/>
    <col min="34" max="34" width="10.9140625" customWidth="1"/>
    <col min="78" max="78" width="16.6640625" bestFit="1" customWidth="1"/>
  </cols>
  <sheetData>
    <row r="1" spans="1:78" ht="20" customHeight="1">
      <c r="A1" s="473" t="s">
        <v>46</v>
      </c>
      <c r="B1" s="473"/>
      <c r="C1" s="473"/>
      <c r="D1" s="473"/>
      <c r="E1" s="473"/>
      <c r="F1" s="473"/>
      <c r="G1" s="473"/>
      <c r="H1" s="473"/>
      <c r="I1" s="473"/>
      <c r="J1" s="473"/>
      <c r="K1" s="473"/>
      <c r="L1" s="473"/>
      <c r="M1" s="473"/>
      <c r="N1" s="473"/>
      <c r="O1" s="473"/>
      <c r="P1" s="473"/>
      <c r="Q1" s="473"/>
      <c r="R1" s="473"/>
      <c r="S1" s="473"/>
      <c r="T1" s="473"/>
      <c r="U1" s="473"/>
      <c r="V1" s="473"/>
      <c r="W1" s="473"/>
      <c r="X1" s="473"/>
      <c r="Y1" s="473"/>
      <c r="Z1" s="473"/>
      <c r="AA1" s="473"/>
      <c r="AB1" s="473"/>
      <c r="AC1" s="473"/>
      <c r="AD1" s="473"/>
      <c r="AE1" s="473"/>
      <c r="AF1" s="473"/>
      <c r="AG1" s="473"/>
      <c r="AH1" s="473"/>
      <c r="BZ1" s="304" t="s">
        <v>4081</v>
      </c>
    </row>
    <row r="2" spans="1:78" ht="16" customHeight="1">
      <c r="A2" s="481" t="s">
        <v>3681</v>
      </c>
      <c r="B2" s="481"/>
      <c r="C2" s="481"/>
      <c r="D2" s="481"/>
      <c r="E2" s="481"/>
      <c r="F2" s="481"/>
      <c r="G2" s="481"/>
      <c r="H2" s="481"/>
      <c r="I2" s="481"/>
      <c r="J2" s="481"/>
      <c r="K2" s="481"/>
      <c r="L2" s="481"/>
      <c r="M2" s="481"/>
      <c r="N2" s="481"/>
      <c r="O2" s="481"/>
      <c r="P2" s="481"/>
      <c r="Q2" s="481"/>
      <c r="R2" s="481"/>
      <c r="S2" s="481"/>
      <c r="T2" s="481"/>
      <c r="U2" s="481"/>
      <c r="V2" s="481"/>
      <c r="W2" s="481"/>
      <c r="X2" s="481"/>
      <c r="Y2" s="481"/>
      <c r="Z2" s="481"/>
      <c r="AA2" s="481"/>
      <c r="AB2" s="481"/>
      <c r="AC2" s="481"/>
      <c r="AD2" s="481"/>
      <c r="AE2" s="481"/>
      <c r="AF2" s="481"/>
      <c r="AG2" s="481"/>
      <c r="AH2" s="481"/>
      <c r="BZ2" s="305" t="s">
        <v>3423</v>
      </c>
    </row>
    <row r="3" spans="1:78">
      <c r="BZ3" s="305" t="s">
        <v>194</v>
      </c>
    </row>
    <row r="4" spans="1:78" ht="33" customHeight="1">
      <c r="A4" s="51" t="s">
        <v>3585</v>
      </c>
      <c r="B4" s="51" t="s">
        <v>47</v>
      </c>
      <c r="C4" s="51" t="s">
        <v>3586</v>
      </c>
      <c r="D4" s="51" t="s">
        <v>48</v>
      </c>
      <c r="E4" s="51" t="s">
        <v>49</v>
      </c>
      <c r="F4" s="51" t="s">
        <v>4103</v>
      </c>
      <c r="G4" s="51" t="s">
        <v>50</v>
      </c>
      <c r="H4" s="51" t="s">
        <v>51</v>
      </c>
      <c r="I4" s="52" t="s">
        <v>52</v>
      </c>
      <c r="J4" s="52" t="s">
        <v>53</v>
      </c>
      <c r="K4" s="52" t="s">
        <v>3909</v>
      </c>
      <c r="L4" s="52" t="s">
        <v>3910</v>
      </c>
      <c r="M4" s="52" t="s">
        <v>3911</v>
      </c>
      <c r="N4" s="52" t="s">
        <v>3912</v>
      </c>
      <c r="O4" s="52" t="s">
        <v>4105</v>
      </c>
      <c r="P4" s="52" t="s">
        <v>3913</v>
      </c>
      <c r="Q4" s="168" t="s">
        <v>3882</v>
      </c>
      <c r="R4" s="168" t="s">
        <v>3883</v>
      </c>
      <c r="S4" s="168" t="s">
        <v>3884</v>
      </c>
      <c r="T4" s="168" t="s">
        <v>4104</v>
      </c>
      <c r="U4" s="168" t="s">
        <v>3885</v>
      </c>
      <c r="V4" s="168" t="s">
        <v>3886</v>
      </c>
      <c r="W4" s="168" t="s">
        <v>3887</v>
      </c>
      <c r="X4" s="168" t="s">
        <v>3888</v>
      </c>
      <c r="Y4" s="168" t="s">
        <v>3896</v>
      </c>
      <c r="Z4" s="168" t="s">
        <v>3889</v>
      </c>
      <c r="AA4" s="168" t="s">
        <v>3890</v>
      </c>
      <c r="AB4" s="168" t="s">
        <v>3891</v>
      </c>
      <c r="AC4" s="168" t="s">
        <v>3892</v>
      </c>
      <c r="AD4" s="168" t="s">
        <v>3893</v>
      </c>
      <c r="AE4" s="168" t="s">
        <v>3894</v>
      </c>
      <c r="AF4" s="168" t="s">
        <v>3895</v>
      </c>
      <c r="AG4" s="168" t="s">
        <v>3908</v>
      </c>
      <c r="AH4" s="168" t="s">
        <v>3785</v>
      </c>
      <c r="BZ4" s="305" t="s">
        <v>3397</v>
      </c>
    </row>
    <row r="5" spans="1:78" ht="12" customHeight="1">
      <c r="A5" s="35" t="s">
        <v>34</v>
      </c>
      <c r="B5" s="29" t="s">
        <v>3275</v>
      </c>
      <c r="C5" s="36" t="s">
        <v>3332</v>
      </c>
      <c r="D5" s="403" t="s">
        <v>3587</v>
      </c>
      <c r="E5" s="37" t="s">
        <v>3395</v>
      </c>
      <c r="F5" s="77">
        <f>tbl_Competitors[[#This Row],[Annual Capacity]]/SUM(tbl_Competitors[Annual Capacity])</f>
        <v>5.4029716343989197E-2</v>
      </c>
      <c r="G5" s="37" t="s">
        <v>3396</v>
      </c>
      <c r="H5" s="38" t="s">
        <v>3398</v>
      </c>
      <c r="I5" s="38" t="s">
        <v>3399</v>
      </c>
      <c r="J5" s="30" t="s">
        <v>3397</v>
      </c>
      <c r="K5" s="210">
        <v>1</v>
      </c>
      <c r="L5" s="424">
        <v>21.125499999999999</v>
      </c>
      <c r="M5" s="424">
        <v>72.819000000000003</v>
      </c>
      <c r="N5" s="430">
        <v>7.9</v>
      </c>
      <c r="O5" s="211" t="str">
        <f>IF(tbl_Competitors[[#This Row],[Distance from Proposed Plant (km)]]&gt;tbl_Competitors[[#This Row],[Radius (Km)]],"Outside Radius","Within Radius")</f>
        <v>Within Radius</v>
      </c>
      <c r="P5" s="436">
        <v>20</v>
      </c>
      <c r="Q5" s="160">
        <f>IFERROR(--SUBSTITUTE(TRIM(LEFT(SUBSTITUTE(tbl_Competitors[[#This Row],[Estimated Capacity (m³/month)]],"–","-"),FIND("-",SUBSTITUTE(tbl_Competitors[[#This Row],[Estimated Capacity (m³/month)]],"–","-"))-1)),",",""),"Invalid Format")</f>
        <v>25000</v>
      </c>
      <c r="R5" s="160">
        <f>IFERROR(--SUBSTITUTE(TRIM(MID(SUBSTITUTE(tbl_Competitors[[#This Row],[Estimated Capacity (m³/month)]],"–","-"),FIND("-",SUBSTITUTE(tbl_Competitors[[#This Row],[Estimated Capacity (m³/month)]],"–","-"))+1,99)),",",""),"Invalid Format")</f>
        <v>35000</v>
      </c>
      <c r="S5" s="160">
        <f>IFERROR(AVERAGE(tbl_Competitors[[#This Row],[Capacity Min]],tbl_Competitors[[#This Row],[Capacity Max]]),"")</f>
        <v>30000</v>
      </c>
      <c r="T5" s="161">
        <f>IF(tbl_Competitors[[#This Row],[Capacity Midpoint]]=0,"",(tbl_Competitors[[#This Row],[Capacity Max]]-tbl_Competitors[[#This Row],[Capacity Min]])/tbl_Competitors[[#This Row],[Capacity Midpoint]])</f>
        <v>0.33333333333333331</v>
      </c>
      <c r="U5" s="160">
        <f>IFERROR(tbl_Competitors[[#This Row],[Capacity Midpoint]]*12,"")</f>
        <v>360000</v>
      </c>
      <c r="V5" s="160">
        <f>IFERROR(SUMIFS(tbl_Competitors[Capacity Midpoint],tbl_Competitors[Zone],tbl_Competitors[[#This Row],[Zone]]),"")</f>
        <v>186000</v>
      </c>
      <c r="W5" s="161">
        <f>IFERROR(tbl_Competitors[[#This Row],[Capacity Midpoint]]/tbl_Competitors[[#This Row],[Zone Capacity Total]],"")</f>
        <v>0.16129032258064516</v>
      </c>
      <c r="X5" s="161">
        <f>IFERROR(SUMIFS(tbl_Competitors[Estimated Market Share %],tbl_Competitors[Zone],tbl_Competitors[[#This Row],[Zone]]),"")</f>
        <v>0.33498424133273308</v>
      </c>
      <c r="Y5" s="162"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5" s="298">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1</v>
      </c>
      <c r="AA5" s="162">
        <f>IF(tbl_Competitors[[#This Row],[Strategic Threat Level]]="High",3,IF(tbl_Competitors[[#This Row],[Strategic Threat Level]]="Medium",2,IF(tbl_Competitors[[#This Row],[Strategic Threat Level]]="Low",1,"")))</f>
        <v>1</v>
      </c>
      <c r="AB5" s="162" t="str">
        <f>IF(tbl_Competitors[[#This Row],[Strategic Threat Level]]="High","Yes","No")</f>
        <v>No</v>
      </c>
      <c r="AC5" s="162" t="str">
        <f>IF(OR(tbl_Competitors[[#This Row],[Pricing Level]]="Lowest",tbl_Competitors[[#This Row],[Pricing Level]]="Low-Cost",tbl_Competitors[[#This Row],[Pricing Level]]="Cost-Effective"),"Yes","No")</f>
        <v>No</v>
      </c>
      <c r="AD5" s="162" t="str">
        <f>IF(tbl_Competitors[[#This Row],[Commercial / Captive Flag]]="Captive / Project-Based","Captive - Exclude from Open Market Share",IF(tbl_Competitors[[#This Row],[Estimated Market Share %]]="","Needs Validation",IF(tbl_Competitors[[#This Row],[Zone Market Share Coverage %]]&gt;1.05,"Zone Share Exceeds 100%","OK")))</f>
        <v>OK</v>
      </c>
      <c r="AE5" s="162" t="str">
        <f>IF(OR(tbl_Competitors[[#This Row],[Capacity Min]]="Invalid Format",tbl_Competitors[[#This Row],[Capacity Max]]="Invalid Format"),"Needs Capacity Validation",IF(tbl_Competitors[[#This Row],[Capacity Min]]&gt;tbl_Competitors[[#This Row],[Capacity Max]],"Capacity Range Error","OK"))</f>
        <v>OK</v>
      </c>
      <c r="AF5"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Monitor</v>
      </c>
      <c r="AG5" s="222" t="s">
        <v>3914</v>
      </c>
      <c r="AH5" s="209" t="s">
        <v>3787</v>
      </c>
    </row>
    <row r="6" spans="1:78" ht="12" customHeight="1">
      <c r="A6" s="35" t="s">
        <v>34</v>
      </c>
      <c r="B6" s="29" t="s">
        <v>3276</v>
      </c>
      <c r="C6" s="36" t="s">
        <v>3333</v>
      </c>
      <c r="D6" s="403" t="s">
        <v>3588</v>
      </c>
      <c r="E6" s="37" t="s">
        <v>3400</v>
      </c>
      <c r="F6" s="77">
        <f>tbl_Competitors[[#This Row],[Annual Capacity]]/SUM(tbl_Competitors[Annual Capacity])</f>
        <v>6.7537145429986498E-2</v>
      </c>
      <c r="G6" s="37" t="s">
        <v>3401</v>
      </c>
      <c r="H6" s="38" t="s">
        <v>3402</v>
      </c>
      <c r="I6" s="38" t="s">
        <v>3403</v>
      </c>
      <c r="J6" s="31" t="s">
        <v>194</v>
      </c>
      <c r="K6" s="210">
        <v>4</v>
      </c>
      <c r="L6" s="424">
        <v>21.274999999999999</v>
      </c>
      <c r="M6" s="424">
        <v>72.944999999999993</v>
      </c>
      <c r="N6" s="430">
        <v>22.1</v>
      </c>
      <c r="O6" s="211" t="str">
        <f>IF(tbl_Competitors[[#This Row],[Distance from Proposed Plant (km)]]&gt;tbl_Competitors[[#This Row],[Radius (Km)]],"Outside Radius","Within Radius")</f>
        <v>Outside Radius</v>
      </c>
      <c r="P6" s="436">
        <v>20</v>
      </c>
      <c r="Q6" s="160">
        <f>IFERROR(--SUBSTITUTE(TRIM(LEFT(SUBSTITUTE(tbl_Competitors[[#This Row],[Estimated Capacity (m³/month)]],"–","-"),FIND("-",SUBSTITUTE(tbl_Competitors[[#This Row],[Estimated Capacity (m³/month)]],"–","-"))-1)),",",""),"Invalid Format")</f>
        <v>35000</v>
      </c>
      <c r="R6" s="160">
        <f>IFERROR(--SUBSTITUTE(TRIM(MID(SUBSTITUTE(tbl_Competitors[[#This Row],[Estimated Capacity (m³/month)]],"–","-"),FIND("-",SUBSTITUTE(tbl_Competitors[[#This Row],[Estimated Capacity (m³/month)]],"–","-"))+1,99)),",",""),"Invalid Format")</f>
        <v>40000</v>
      </c>
      <c r="S6" s="160">
        <f>IFERROR(AVERAGE(tbl_Competitors[[#This Row],[Capacity Min]],tbl_Competitors[[#This Row],[Capacity Max]]),"")</f>
        <v>37500</v>
      </c>
      <c r="T6" s="161">
        <f>IF(tbl_Competitors[[#This Row],[Capacity Midpoint]]=0,"",(tbl_Competitors[[#This Row],[Capacity Max]]-tbl_Competitors[[#This Row],[Capacity Min]])/tbl_Competitors[[#This Row],[Capacity Midpoint]])</f>
        <v>0.13333333333333333</v>
      </c>
      <c r="U6" s="160">
        <f>IFERROR(tbl_Competitors[[#This Row],[Capacity Midpoint]]*12,"")</f>
        <v>450000</v>
      </c>
      <c r="V6" s="160">
        <f>IFERROR(SUMIFS(tbl_Competitors[Capacity Midpoint],tbl_Competitors[Zone],tbl_Competitors[[#This Row],[Zone]]),"")</f>
        <v>186000</v>
      </c>
      <c r="W6" s="161">
        <f>IFERROR(tbl_Competitors[[#This Row],[Capacity Midpoint]]/tbl_Competitors[[#This Row],[Zone Capacity Total]],"")</f>
        <v>0.20161290322580644</v>
      </c>
      <c r="X6" s="161">
        <f>IFERROR(SUMIFS(tbl_Competitors[Estimated Market Share %],tbl_Competitors[Zone],tbl_Competitors[[#This Row],[Zone]]),"")</f>
        <v>0.33498424133273308</v>
      </c>
      <c r="Y6" s="162"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6" s="298">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2</v>
      </c>
      <c r="AA6" s="162">
        <f>IF(tbl_Competitors[[#This Row],[Strategic Threat Level]]="High",3,IF(tbl_Competitors[[#This Row],[Strategic Threat Level]]="Medium",2,IF(tbl_Competitors[[#This Row],[Strategic Threat Level]]="Low",1,"")))</f>
        <v>2</v>
      </c>
      <c r="AB6" s="162" t="str">
        <f>IF(tbl_Competitors[[#This Row],[Strategic Threat Level]]="High","Yes","No")</f>
        <v>No</v>
      </c>
      <c r="AC6" s="162" t="str">
        <f>IF(OR(tbl_Competitors[[#This Row],[Pricing Level]]="Lowest",tbl_Competitors[[#This Row],[Pricing Level]]="Low-Cost",tbl_Competitors[[#This Row],[Pricing Level]]="Cost-Effective"),"Yes","No")</f>
        <v>No</v>
      </c>
      <c r="AD6" s="162" t="str">
        <f>IF(tbl_Competitors[[#This Row],[Commercial / Captive Flag]]="Captive / Project-Based","Captive - Exclude from Open Market Share",IF(tbl_Competitors[[#This Row],[Estimated Market Share %]]="","Needs Validation",IF(tbl_Competitors[[#This Row],[Zone Market Share Coverage %]]&gt;1.05,"Zone Share Exceeds 100%","OK")))</f>
        <v>OK</v>
      </c>
      <c r="AE6" s="162" t="str">
        <f>IF(OR(tbl_Competitors[[#This Row],[Capacity Min]]="Invalid Format",tbl_Competitors[[#This Row],[Capacity Max]]="Invalid Format"),"Needs Capacity Validation",IF(tbl_Competitors[[#This Row],[Capacity Min]]&gt;tbl_Competitors[[#This Row],[Capacity Max]],"Capacity Range Error","OK"))</f>
        <v>OK</v>
      </c>
      <c r="AF6"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Monitor</v>
      </c>
      <c r="AG6" s="163" t="s">
        <v>3915</v>
      </c>
      <c r="AH6" s="162" t="s">
        <v>3787</v>
      </c>
    </row>
    <row r="7" spans="1:78" ht="12" customHeight="1">
      <c r="A7" s="35" t="s">
        <v>34</v>
      </c>
      <c r="B7" s="29" t="s">
        <v>3277</v>
      </c>
      <c r="C7" s="36" t="s">
        <v>3334</v>
      </c>
      <c r="D7" s="403" t="s">
        <v>3589</v>
      </c>
      <c r="E7" s="37" t="s">
        <v>3404</v>
      </c>
      <c r="F7" s="77">
        <f>tbl_Competitors[[#This Row],[Annual Capacity]]/SUM(tbl_Competitors[Annual Capacity])</f>
        <v>2.7014858171994598E-2</v>
      </c>
      <c r="G7" s="37" t="s">
        <v>3401</v>
      </c>
      <c r="H7" s="38" t="s">
        <v>3405</v>
      </c>
      <c r="I7" s="38" t="s">
        <v>3406</v>
      </c>
      <c r="J7" s="30" t="s">
        <v>3397</v>
      </c>
      <c r="K7" s="210">
        <v>2</v>
      </c>
      <c r="L7" s="424">
        <v>21.085100000000001</v>
      </c>
      <c r="M7" s="424">
        <v>72.881200000000007</v>
      </c>
      <c r="N7" s="430">
        <v>0</v>
      </c>
      <c r="O7" s="211" t="str">
        <f>IF(tbl_Competitors[[#This Row],[Distance from Proposed Plant (km)]]&gt;tbl_Competitors[[#This Row],[Radius (Km)]],"Outside Radius","Within Radius")</f>
        <v>Within Radius</v>
      </c>
      <c r="P7" s="436">
        <v>18</v>
      </c>
      <c r="Q7" s="160">
        <f>IFERROR(--SUBSTITUTE(TRIM(LEFT(SUBSTITUTE(tbl_Competitors[[#This Row],[Estimated Capacity (m³/month)]],"–","-"),FIND("-",SUBSTITUTE(tbl_Competitors[[#This Row],[Estimated Capacity (m³/month)]],"–","-"))-1)),",",""),"Invalid Format")</f>
        <v>10000</v>
      </c>
      <c r="R7" s="160">
        <f>IFERROR(--SUBSTITUTE(TRIM(MID(SUBSTITUTE(tbl_Competitors[[#This Row],[Estimated Capacity (m³/month)]],"–","-"),FIND("-",SUBSTITUTE(tbl_Competitors[[#This Row],[Estimated Capacity (m³/month)]],"–","-"))+1,99)),",",""),"Invalid Format")</f>
        <v>20000</v>
      </c>
      <c r="S7" s="160">
        <f>IFERROR(AVERAGE(tbl_Competitors[[#This Row],[Capacity Min]],tbl_Competitors[[#This Row],[Capacity Max]]),"")</f>
        <v>15000</v>
      </c>
      <c r="T7" s="161">
        <f>IF(tbl_Competitors[[#This Row],[Capacity Midpoint]]=0,"",(tbl_Competitors[[#This Row],[Capacity Max]]-tbl_Competitors[[#This Row],[Capacity Min]])/tbl_Competitors[[#This Row],[Capacity Midpoint]])</f>
        <v>0.66666666666666663</v>
      </c>
      <c r="U7" s="160">
        <f>IFERROR(tbl_Competitors[[#This Row],[Capacity Midpoint]]*12,"")</f>
        <v>180000</v>
      </c>
      <c r="V7" s="160">
        <f>IFERROR(SUMIFS(tbl_Competitors[Capacity Midpoint],tbl_Competitors[Zone],tbl_Competitors[[#This Row],[Zone]]),"")</f>
        <v>186000</v>
      </c>
      <c r="W7" s="161">
        <f>IFERROR(tbl_Competitors[[#This Row],[Capacity Midpoint]]/tbl_Competitors[[#This Row],[Zone Capacity Total]],"")</f>
        <v>8.0645161290322578E-2</v>
      </c>
      <c r="X7" s="161">
        <f>IFERROR(SUMIFS(tbl_Competitors[Estimated Market Share %],tbl_Competitors[Zone],tbl_Competitors[[#This Row],[Zone]]),"")</f>
        <v>0.33498424133273308</v>
      </c>
      <c r="Y7" s="162"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7" s="298">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2</v>
      </c>
      <c r="AA7" s="162">
        <f>IF(tbl_Competitors[[#This Row],[Strategic Threat Level]]="High",3,IF(tbl_Competitors[[#This Row],[Strategic Threat Level]]="Medium",2,IF(tbl_Competitors[[#This Row],[Strategic Threat Level]]="Low",1,"")))</f>
        <v>1</v>
      </c>
      <c r="AB7" s="162" t="str">
        <f>IF(tbl_Competitors[[#This Row],[Strategic Threat Level]]="High","Yes","No")</f>
        <v>No</v>
      </c>
      <c r="AC7" s="162" t="str">
        <f>IF(OR(tbl_Competitors[[#This Row],[Pricing Level]]="Lowest",tbl_Competitors[[#This Row],[Pricing Level]]="Low-Cost",tbl_Competitors[[#This Row],[Pricing Level]]="Cost-Effective"),"Yes","No")</f>
        <v>No</v>
      </c>
      <c r="AD7" s="162" t="str">
        <f>IF(tbl_Competitors[[#This Row],[Commercial / Captive Flag]]="Captive / Project-Based","Captive - Exclude from Open Market Share",IF(tbl_Competitors[[#This Row],[Estimated Market Share %]]="","Needs Validation",IF(tbl_Competitors[[#This Row],[Zone Market Share Coverage %]]&gt;1.05,"Zone Share Exceeds 100%","OK")))</f>
        <v>OK</v>
      </c>
      <c r="AE7" s="162" t="str">
        <f>IF(OR(tbl_Competitors[[#This Row],[Capacity Min]]="Invalid Format",tbl_Competitors[[#This Row],[Capacity Max]]="Invalid Format"),"Needs Capacity Validation",IF(tbl_Competitors[[#This Row],[Capacity Min]]&gt;tbl_Competitors[[#This Row],[Capacity Max]],"Capacity Range Error","OK"))</f>
        <v>OK</v>
      </c>
      <c r="AF7"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Monitor</v>
      </c>
      <c r="AG7" s="163" t="s">
        <v>3916</v>
      </c>
      <c r="AH7" s="162" t="s">
        <v>3787</v>
      </c>
    </row>
    <row r="8" spans="1:78" ht="12" customHeight="1">
      <c r="A8" s="35" t="s">
        <v>34</v>
      </c>
      <c r="B8" s="29" t="s">
        <v>3278</v>
      </c>
      <c r="C8" s="36" t="s">
        <v>3335</v>
      </c>
      <c r="D8" s="403" t="s">
        <v>3590</v>
      </c>
      <c r="E8" s="37" t="s">
        <v>3395</v>
      </c>
      <c r="F8" s="77">
        <f>tbl_Competitors[[#This Row],[Annual Capacity]]/SUM(tbl_Competitors[Annual Capacity])</f>
        <v>3.3318325078793336E-2</v>
      </c>
      <c r="G8" s="37" t="s">
        <v>3396</v>
      </c>
      <c r="H8" s="38" t="s">
        <v>3407</v>
      </c>
      <c r="I8" s="38" t="s">
        <v>3408</v>
      </c>
      <c r="J8" s="30" t="s">
        <v>3397</v>
      </c>
      <c r="K8" s="210">
        <v>2</v>
      </c>
      <c r="L8" s="424">
        <v>21.11</v>
      </c>
      <c r="M8" s="424">
        <v>72.650000000000006</v>
      </c>
      <c r="N8" s="430">
        <v>24.1</v>
      </c>
      <c r="O8" s="211" t="str">
        <f>IF(tbl_Competitors[[#This Row],[Distance from Proposed Plant (km)]]&gt;tbl_Competitors[[#This Row],[Radius (Km)]],"Outside Radius","Within Radius")</f>
        <v>Outside Radius</v>
      </c>
      <c r="P8" s="436">
        <v>20</v>
      </c>
      <c r="Q8" s="160">
        <f>IFERROR(--SUBSTITUTE(TRIM(LEFT(SUBSTITUTE(tbl_Competitors[[#This Row],[Estimated Capacity (m³/month)]],"–","-"),FIND("-",SUBSTITUTE(tbl_Competitors[[#This Row],[Estimated Capacity (m³/month)]],"–","-"))-1)),",",""),"Invalid Format")</f>
        <v>15000</v>
      </c>
      <c r="R8" s="160">
        <f>IFERROR(--SUBSTITUTE(TRIM(MID(SUBSTITUTE(tbl_Competitors[[#This Row],[Estimated Capacity (m³/month)]],"–","-"),FIND("-",SUBSTITUTE(tbl_Competitors[[#This Row],[Estimated Capacity (m³/month)]],"–","-"))+1,99)),",",""),"Invalid Format")</f>
        <v>22000</v>
      </c>
      <c r="S8" s="160">
        <f>IFERROR(AVERAGE(tbl_Competitors[[#This Row],[Capacity Min]],tbl_Competitors[[#This Row],[Capacity Max]]),"")</f>
        <v>18500</v>
      </c>
      <c r="T8" s="161">
        <f>IF(tbl_Competitors[[#This Row],[Capacity Midpoint]]=0,"",(tbl_Competitors[[#This Row],[Capacity Max]]-tbl_Competitors[[#This Row],[Capacity Min]])/tbl_Competitors[[#This Row],[Capacity Midpoint]])</f>
        <v>0.3783783783783784</v>
      </c>
      <c r="U8" s="160">
        <f>IFERROR(tbl_Competitors[[#This Row],[Capacity Midpoint]]*12,"")</f>
        <v>222000</v>
      </c>
      <c r="V8" s="160">
        <f>IFERROR(SUMIFS(tbl_Competitors[Capacity Midpoint],tbl_Competitors[Zone],tbl_Competitors[[#This Row],[Zone]]),"")</f>
        <v>186000</v>
      </c>
      <c r="W8" s="161">
        <f>IFERROR(tbl_Competitors[[#This Row],[Capacity Midpoint]]/tbl_Competitors[[#This Row],[Zone Capacity Total]],"")</f>
        <v>9.9462365591397844E-2</v>
      </c>
      <c r="X8" s="161">
        <f>IFERROR(SUMIFS(tbl_Competitors[Estimated Market Share %],tbl_Competitors[Zone],tbl_Competitors[[#This Row],[Zone]]),"")</f>
        <v>0.33498424133273308</v>
      </c>
      <c r="Y8" s="162"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8" s="298">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1</v>
      </c>
      <c r="AA8" s="162">
        <f>IF(tbl_Competitors[[#This Row],[Strategic Threat Level]]="High",3,IF(tbl_Competitors[[#This Row],[Strategic Threat Level]]="Medium",2,IF(tbl_Competitors[[#This Row],[Strategic Threat Level]]="Low",1,"")))</f>
        <v>1</v>
      </c>
      <c r="AB8" s="162" t="str">
        <f>IF(tbl_Competitors[[#This Row],[Strategic Threat Level]]="High","Yes","No")</f>
        <v>No</v>
      </c>
      <c r="AC8" s="162" t="str">
        <f>IF(OR(tbl_Competitors[[#This Row],[Pricing Level]]="Lowest",tbl_Competitors[[#This Row],[Pricing Level]]="Low-Cost",tbl_Competitors[[#This Row],[Pricing Level]]="Cost-Effective"),"Yes","No")</f>
        <v>No</v>
      </c>
      <c r="AD8" s="162" t="str">
        <f>IF(tbl_Competitors[[#This Row],[Commercial / Captive Flag]]="Captive / Project-Based","Captive - Exclude from Open Market Share",IF(tbl_Competitors[[#This Row],[Estimated Market Share %]]="","Needs Validation",IF(tbl_Competitors[[#This Row],[Zone Market Share Coverage %]]&gt;1.05,"Zone Share Exceeds 100%","OK")))</f>
        <v>OK</v>
      </c>
      <c r="AE8" s="162" t="str">
        <f>IF(OR(tbl_Competitors[[#This Row],[Capacity Min]]="Invalid Format",tbl_Competitors[[#This Row],[Capacity Max]]="Invalid Format"),"Needs Capacity Validation",IF(tbl_Competitors[[#This Row],[Capacity Min]]&gt;tbl_Competitors[[#This Row],[Capacity Max]],"Capacity Range Error","OK"))</f>
        <v>OK</v>
      </c>
      <c r="AF8"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Monitor</v>
      </c>
      <c r="AG8" s="163" t="s">
        <v>3917</v>
      </c>
      <c r="AH8" s="162" t="s">
        <v>3787</v>
      </c>
    </row>
    <row r="9" spans="1:78" ht="12" customHeight="1">
      <c r="A9" s="35" t="s">
        <v>34</v>
      </c>
      <c r="B9" s="29" t="s">
        <v>3279</v>
      </c>
      <c r="C9" s="36" t="s">
        <v>3336</v>
      </c>
      <c r="D9" s="403" t="s">
        <v>3591</v>
      </c>
      <c r="E9" s="37" t="s">
        <v>3395</v>
      </c>
      <c r="F9" s="77">
        <f>tbl_Competitors[[#This Row],[Annual Capacity]]/SUM(tbl_Competitors[Annual Capacity])</f>
        <v>2.2512381809995499E-2</v>
      </c>
      <c r="G9" s="37" t="s">
        <v>3396</v>
      </c>
      <c r="H9" s="38" t="s">
        <v>3409</v>
      </c>
      <c r="I9" s="38" t="s">
        <v>3410</v>
      </c>
      <c r="J9" s="32" t="s">
        <v>194</v>
      </c>
      <c r="K9" s="210">
        <v>2</v>
      </c>
      <c r="L9" s="424">
        <v>21.245000000000001</v>
      </c>
      <c r="M9" s="424">
        <v>72.95</v>
      </c>
      <c r="N9" s="430">
        <v>19.2</v>
      </c>
      <c r="O9" s="211" t="str">
        <f>IF(tbl_Competitors[[#This Row],[Distance from Proposed Plant (km)]]&gt;tbl_Competitors[[#This Row],[Radius (Km)]],"Outside Radius","Within Radius")</f>
        <v>Within Radius</v>
      </c>
      <c r="P9" s="436">
        <v>20</v>
      </c>
      <c r="Q9" s="160">
        <f>IFERROR(--SUBSTITUTE(TRIM(LEFT(SUBSTITUTE(tbl_Competitors[[#This Row],[Estimated Capacity (m³/month)]],"–","-"),FIND("-",SUBSTITUTE(tbl_Competitors[[#This Row],[Estimated Capacity (m³/month)]],"–","-"))-1)),",",""),"Invalid Format")</f>
        <v>10000</v>
      </c>
      <c r="R9" s="160">
        <f>IFERROR(--SUBSTITUTE(TRIM(MID(SUBSTITUTE(tbl_Competitors[[#This Row],[Estimated Capacity (m³/month)]],"–","-"),FIND("-",SUBSTITUTE(tbl_Competitors[[#This Row],[Estimated Capacity (m³/month)]],"–","-"))+1,99)),",",""),"Invalid Format")</f>
        <v>15000</v>
      </c>
      <c r="S9" s="160">
        <f>IFERROR(AVERAGE(tbl_Competitors[[#This Row],[Capacity Min]],tbl_Competitors[[#This Row],[Capacity Max]]),"")</f>
        <v>12500</v>
      </c>
      <c r="T9" s="161">
        <f>IF(tbl_Competitors[[#This Row],[Capacity Midpoint]]=0,"",(tbl_Competitors[[#This Row],[Capacity Max]]-tbl_Competitors[[#This Row],[Capacity Min]])/tbl_Competitors[[#This Row],[Capacity Midpoint]])</f>
        <v>0.4</v>
      </c>
      <c r="U9" s="160">
        <f>IFERROR(tbl_Competitors[[#This Row],[Capacity Midpoint]]*12,"")</f>
        <v>150000</v>
      </c>
      <c r="V9" s="160">
        <f>IFERROR(SUMIFS(tbl_Competitors[Capacity Midpoint],tbl_Competitors[Zone],tbl_Competitors[[#This Row],[Zone]]),"")</f>
        <v>186000</v>
      </c>
      <c r="W9" s="161">
        <f>IFERROR(tbl_Competitors[[#This Row],[Capacity Midpoint]]/tbl_Competitors[[#This Row],[Zone Capacity Total]],"")</f>
        <v>6.7204301075268813E-2</v>
      </c>
      <c r="X9" s="161">
        <f>IFERROR(SUMIFS(tbl_Competitors[Estimated Market Share %],tbl_Competitors[Zone],tbl_Competitors[[#This Row],[Zone]]),"")</f>
        <v>0.33498424133273308</v>
      </c>
      <c r="Y9" s="162"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9" s="298">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1</v>
      </c>
      <c r="AA9" s="162">
        <f>IF(tbl_Competitors[[#This Row],[Strategic Threat Level]]="High",3,IF(tbl_Competitors[[#This Row],[Strategic Threat Level]]="Medium",2,IF(tbl_Competitors[[#This Row],[Strategic Threat Level]]="Low",1,"")))</f>
        <v>2</v>
      </c>
      <c r="AB9" s="162" t="str">
        <f>IF(tbl_Competitors[[#This Row],[Strategic Threat Level]]="High","Yes","No")</f>
        <v>No</v>
      </c>
      <c r="AC9" s="162" t="str">
        <f>IF(OR(tbl_Competitors[[#This Row],[Pricing Level]]="Lowest",tbl_Competitors[[#This Row],[Pricing Level]]="Low-Cost",tbl_Competitors[[#This Row],[Pricing Level]]="Cost-Effective"),"Yes","No")</f>
        <v>No</v>
      </c>
      <c r="AD9" s="162" t="str">
        <f>IF(tbl_Competitors[[#This Row],[Commercial / Captive Flag]]="Captive / Project-Based","Captive - Exclude from Open Market Share",IF(tbl_Competitors[[#This Row],[Estimated Market Share %]]="","Needs Validation",IF(tbl_Competitors[[#This Row],[Zone Market Share Coverage %]]&gt;1.05,"Zone Share Exceeds 100%","OK")))</f>
        <v>OK</v>
      </c>
      <c r="AE9" s="162" t="str">
        <f>IF(OR(tbl_Competitors[[#This Row],[Capacity Min]]="Invalid Format",tbl_Competitors[[#This Row],[Capacity Max]]="Invalid Format"),"Needs Capacity Validation",IF(tbl_Competitors[[#This Row],[Capacity Min]]&gt;tbl_Competitors[[#This Row],[Capacity Max]],"Capacity Range Error","OK"))</f>
        <v>OK</v>
      </c>
      <c r="AF9"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Monitor</v>
      </c>
      <c r="AG9" s="163" t="s">
        <v>3918</v>
      </c>
      <c r="AH9" s="162" t="s">
        <v>3787</v>
      </c>
    </row>
    <row r="10" spans="1:78" ht="12" customHeight="1">
      <c r="A10" s="35" t="s">
        <v>34</v>
      </c>
      <c r="B10" s="29" t="s">
        <v>3280</v>
      </c>
      <c r="C10" s="36" t="s">
        <v>3337</v>
      </c>
      <c r="D10" s="403" t="s">
        <v>3592</v>
      </c>
      <c r="E10" s="37" t="s">
        <v>3395</v>
      </c>
      <c r="F10" s="77">
        <f>tbl_Competitors[[#This Row],[Annual Capacity]]/SUM(tbl_Competitors[Annual Capacity])</f>
        <v>1.3507429085997299E-2</v>
      </c>
      <c r="G10" s="37" t="s">
        <v>3396</v>
      </c>
      <c r="H10" s="38" t="s">
        <v>3411</v>
      </c>
      <c r="I10" s="38" t="s">
        <v>3412</v>
      </c>
      <c r="J10" s="32" t="s">
        <v>194</v>
      </c>
      <c r="K10" s="210">
        <v>1</v>
      </c>
      <c r="L10" s="424">
        <v>21.125499999999999</v>
      </c>
      <c r="M10" s="424">
        <v>72.819000000000003</v>
      </c>
      <c r="N10" s="430">
        <v>7.9</v>
      </c>
      <c r="O10" s="211" t="str">
        <f>IF(tbl_Competitors[[#This Row],[Distance from Proposed Plant (km)]]&gt;tbl_Competitors[[#This Row],[Radius (Km)]],"Outside Radius","Within Radius")</f>
        <v>Within Radius</v>
      </c>
      <c r="P10" s="436">
        <v>20</v>
      </c>
      <c r="Q10" s="160">
        <f>IFERROR(--SUBSTITUTE(TRIM(LEFT(SUBSTITUTE(tbl_Competitors[[#This Row],[Estimated Capacity (m³/month)]],"–","-"),FIND("-",SUBSTITUTE(tbl_Competitors[[#This Row],[Estimated Capacity (m³/month)]],"–","-"))-1)),",",""),"Invalid Format")</f>
        <v>5000</v>
      </c>
      <c r="R10" s="160">
        <f>IFERROR(--SUBSTITUTE(TRIM(MID(SUBSTITUTE(tbl_Competitors[[#This Row],[Estimated Capacity (m³/month)]],"–","-"),FIND("-",SUBSTITUTE(tbl_Competitors[[#This Row],[Estimated Capacity (m³/month)]],"–","-"))+1,99)),",",""),"Invalid Format")</f>
        <v>10000</v>
      </c>
      <c r="S10" s="160">
        <f>IFERROR(AVERAGE(tbl_Competitors[[#This Row],[Capacity Min]],tbl_Competitors[[#This Row],[Capacity Max]]),"")</f>
        <v>7500</v>
      </c>
      <c r="T10" s="161">
        <f>IF(tbl_Competitors[[#This Row],[Capacity Midpoint]]=0,"",(tbl_Competitors[[#This Row],[Capacity Max]]-tbl_Competitors[[#This Row],[Capacity Min]])/tbl_Competitors[[#This Row],[Capacity Midpoint]])</f>
        <v>0.66666666666666663</v>
      </c>
      <c r="U10" s="160">
        <f>IFERROR(tbl_Competitors[[#This Row],[Capacity Midpoint]]*12,"")</f>
        <v>90000</v>
      </c>
      <c r="V10" s="160">
        <f>IFERROR(SUMIFS(tbl_Competitors[Capacity Midpoint],tbl_Competitors[Zone],tbl_Competitors[[#This Row],[Zone]]),"")</f>
        <v>186000</v>
      </c>
      <c r="W10" s="161">
        <f>IFERROR(tbl_Competitors[[#This Row],[Capacity Midpoint]]/tbl_Competitors[[#This Row],[Zone Capacity Total]],"")</f>
        <v>4.0322580645161289E-2</v>
      </c>
      <c r="X10" s="161">
        <f>IFERROR(SUMIFS(tbl_Competitors[Estimated Market Share %],tbl_Competitors[Zone],tbl_Competitors[[#This Row],[Zone]]),"")</f>
        <v>0.33498424133273308</v>
      </c>
      <c r="Y10" s="162"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10" s="298">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1</v>
      </c>
      <c r="AA10" s="162">
        <f>IF(tbl_Competitors[[#This Row],[Strategic Threat Level]]="High",3,IF(tbl_Competitors[[#This Row],[Strategic Threat Level]]="Medium",2,IF(tbl_Competitors[[#This Row],[Strategic Threat Level]]="Low",1,"")))</f>
        <v>2</v>
      </c>
      <c r="AB10" s="162" t="str">
        <f>IF(tbl_Competitors[[#This Row],[Strategic Threat Level]]="High","Yes","No")</f>
        <v>No</v>
      </c>
      <c r="AC10" s="162" t="str">
        <f>IF(OR(tbl_Competitors[[#This Row],[Pricing Level]]="Lowest",tbl_Competitors[[#This Row],[Pricing Level]]="Low-Cost",tbl_Competitors[[#This Row],[Pricing Level]]="Cost-Effective"),"Yes","No")</f>
        <v>No</v>
      </c>
      <c r="AD10" s="162" t="str">
        <f>IF(tbl_Competitors[[#This Row],[Commercial / Captive Flag]]="Captive / Project-Based","Captive - Exclude from Open Market Share",IF(tbl_Competitors[[#This Row],[Estimated Market Share %]]="","Needs Validation",IF(tbl_Competitors[[#This Row],[Zone Market Share Coverage %]]&gt;1.05,"Zone Share Exceeds 100%","OK")))</f>
        <v>OK</v>
      </c>
      <c r="AE10" s="162" t="str">
        <f>IF(OR(tbl_Competitors[[#This Row],[Capacity Min]]="Invalid Format",tbl_Competitors[[#This Row],[Capacity Max]]="Invalid Format"),"Needs Capacity Validation",IF(tbl_Competitors[[#This Row],[Capacity Min]]&gt;tbl_Competitors[[#This Row],[Capacity Max]],"Capacity Range Error","OK"))</f>
        <v>OK</v>
      </c>
      <c r="AF10"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Monitor</v>
      </c>
      <c r="AG10" s="163" t="s">
        <v>3919</v>
      </c>
      <c r="AH10" s="162" t="s">
        <v>3787</v>
      </c>
    </row>
    <row r="11" spans="1:78" ht="12" customHeight="1">
      <c r="A11" s="35" t="s">
        <v>34</v>
      </c>
      <c r="B11" s="29" t="s">
        <v>3281</v>
      </c>
      <c r="C11" s="36" t="s">
        <v>3338</v>
      </c>
      <c r="D11" s="403" t="s">
        <v>3593</v>
      </c>
      <c r="E11" s="37" t="s">
        <v>3413</v>
      </c>
      <c r="F11" s="77">
        <f>tbl_Competitors[[#This Row],[Annual Capacity]]/SUM(tbl_Competitors[Annual Capacity])</f>
        <v>1.6208914903196758E-2</v>
      </c>
      <c r="G11" s="37" t="s">
        <v>3414</v>
      </c>
      <c r="H11" s="38" t="s">
        <v>3415</v>
      </c>
      <c r="I11" s="38" t="s">
        <v>3416</v>
      </c>
      <c r="J11" s="30" t="s">
        <v>3397</v>
      </c>
      <c r="K11" s="210">
        <v>1</v>
      </c>
      <c r="L11" s="424">
        <v>21.245000000000001</v>
      </c>
      <c r="M11" s="424">
        <v>72.95</v>
      </c>
      <c r="N11" s="430">
        <v>19.2</v>
      </c>
      <c r="O11" s="211" t="str">
        <f>IF(tbl_Competitors[[#This Row],[Distance from Proposed Plant (km)]]&gt;tbl_Competitors[[#This Row],[Radius (Km)]],"Outside Radius","Within Radius")</f>
        <v>Within Radius</v>
      </c>
      <c r="P11" s="436" t="s">
        <v>3683</v>
      </c>
      <c r="Q11" s="160">
        <f>IFERROR(--SUBSTITUTE(TRIM(LEFT(SUBSTITUTE(tbl_Competitors[[#This Row],[Estimated Capacity (m³/month)]],"–","-"),FIND("-",SUBSTITUTE(tbl_Competitors[[#This Row],[Estimated Capacity (m³/month)]],"–","-"))-1)),",",""),"Invalid Format")</f>
        <v>6000</v>
      </c>
      <c r="R11" s="160">
        <f>IFERROR(--SUBSTITUTE(TRIM(MID(SUBSTITUTE(tbl_Competitors[[#This Row],[Estimated Capacity (m³/month)]],"–","-"),FIND("-",SUBSTITUTE(tbl_Competitors[[#This Row],[Estimated Capacity (m³/month)]],"–","-"))+1,99)),",",""),"Invalid Format")</f>
        <v>12000</v>
      </c>
      <c r="S11" s="160">
        <f>IFERROR(AVERAGE(tbl_Competitors[[#This Row],[Capacity Min]],tbl_Competitors[[#This Row],[Capacity Max]]),"")</f>
        <v>9000</v>
      </c>
      <c r="T11" s="161">
        <f>IF(tbl_Competitors[[#This Row],[Capacity Midpoint]]=0,"",(tbl_Competitors[[#This Row],[Capacity Max]]-tbl_Competitors[[#This Row],[Capacity Min]])/tbl_Competitors[[#This Row],[Capacity Midpoint]])</f>
        <v>0.66666666666666663</v>
      </c>
      <c r="U11" s="160">
        <f>IFERROR(tbl_Competitors[[#This Row],[Capacity Midpoint]]*12,"")</f>
        <v>108000</v>
      </c>
      <c r="V11" s="160">
        <f>IFERROR(SUMIFS(tbl_Competitors[Capacity Midpoint],tbl_Competitors[Zone],tbl_Competitors[[#This Row],[Zone]]),"")</f>
        <v>186000</v>
      </c>
      <c r="W11" s="161">
        <f>IFERROR(tbl_Competitors[[#This Row],[Capacity Midpoint]]/tbl_Competitors[[#This Row],[Zone Capacity Total]],"")</f>
        <v>4.8387096774193547E-2</v>
      </c>
      <c r="X11" s="161">
        <f>IFERROR(SUMIFS(tbl_Competitors[Estimated Market Share %],tbl_Competitors[Zone],tbl_Competitors[[#This Row],[Zone]]),"")</f>
        <v>0.33498424133273308</v>
      </c>
      <c r="Y11" s="162" t="str">
        <f>IF(OR(ISNUMBER(SEARCH("Captive",tbl_Competitors[[#This Row],[Market Position]])),tbl_Competitors[[#This Row],[Estimated Market Share %]]="N/A - Captive",tbl_Competitors[[#This Row],[Pricing Level]]="Internal Cost",tbl_Competitors[[#This Row],[Pricing Level]]="Captive"),"Captive / Project-Based","Commercial / Open Market")</f>
        <v>Captive / Project-Based</v>
      </c>
      <c r="Z11" s="298" t="str">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0</v>
      </c>
      <c r="AA11" s="162">
        <f>IF(tbl_Competitors[[#This Row],[Strategic Threat Level]]="High",3,IF(tbl_Competitors[[#This Row],[Strategic Threat Level]]="Medium",2,IF(tbl_Competitors[[#This Row],[Strategic Threat Level]]="Low",1,"")))</f>
        <v>1</v>
      </c>
      <c r="AB11" s="162" t="str">
        <f>IF(tbl_Competitors[[#This Row],[Strategic Threat Level]]="High","Yes","No")</f>
        <v>No</v>
      </c>
      <c r="AC11" s="162" t="str">
        <f>IF(OR(tbl_Competitors[[#This Row],[Pricing Level]]="Lowest",tbl_Competitors[[#This Row],[Pricing Level]]="Low-Cost",tbl_Competitors[[#This Row],[Pricing Level]]="Cost-Effective"),"Yes","No")</f>
        <v>No</v>
      </c>
      <c r="AD11" s="163" t="str">
        <f>IF(tbl_Competitors[[#This Row],[Commercial / Captive Flag]]="Captive / Project-Based","Captive - Exclude from Open Market Share",IF(tbl_Competitors[[#This Row],[Estimated Market Share %]]="","Needs Validation",IF(tbl_Competitors[[#This Row],[Zone Market Share Coverage %]]&gt;1.05,"Zone Share Exceeds 100%","OK")))</f>
        <v>Captive - Exclude from Open Market Share</v>
      </c>
      <c r="AE11" s="162" t="str">
        <f>IF(OR(tbl_Competitors[[#This Row],[Capacity Min]]="Invalid Format",tbl_Competitors[[#This Row],[Capacity Max]]="Invalid Format"),"Needs Capacity Validation",IF(tbl_Competitors[[#This Row],[Capacity Min]]&gt;tbl_Competitors[[#This Row],[Capacity Max]],"Capacity Range Error","OK"))</f>
        <v>OK</v>
      </c>
      <c r="AF11"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Monitor</v>
      </c>
      <c r="AG11" s="163" t="s">
        <v>3920</v>
      </c>
      <c r="AH11" s="162" t="s">
        <v>3787</v>
      </c>
    </row>
    <row r="12" spans="1:78" ht="12" customHeight="1">
      <c r="A12" s="35" t="s">
        <v>34</v>
      </c>
      <c r="B12" s="29" t="s">
        <v>3282</v>
      </c>
      <c r="C12" s="36" t="s">
        <v>3339</v>
      </c>
      <c r="D12" s="403" t="s">
        <v>3591</v>
      </c>
      <c r="E12" s="37" t="s">
        <v>3413</v>
      </c>
      <c r="F12" s="77">
        <f>tbl_Competitors[[#This Row],[Annual Capacity]]/SUM(tbl_Competitors[Annual Capacity])</f>
        <v>2.2512381809995499E-2</v>
      </c>
      <c r="G12" s="37" t="s">
        <v>3414</v>
      </c>
      <c r="H12" s="38" t="s">
        <v>3417</v>
      </c>
      <c r="I12" s="38" t="s">
        <v>3418</v>
      </c>
      <c r="J12" s="33" t="s">
        <v>3397</v>
      </c>
      <c r="K12" s="210">
        <v>1</v>
      </c>
      <c r="L12" s="424">
        <v>21.11</v>
      </c>
      <c r="M12" s="424">
        <v>72.650000000000006</v>
      </c>
      <c r="N12" s="430">
        <v>24.1</v>
      </c>
      <c r="O12" s="211" t="str">
        <f>IF(tbl_Competitors[[#This Row],[Distance from Proposed Plant (km)]]&gt;tbl_Competitors[[#This Row],[Radius (Km)]],"Outside Radius","Within Radius")</f>
        <v>Within Radius</v>
      </c>
      <c r="P12" s="436" t="s">
        <v>3683</v>
      </c>
      <c r="Q12" s="160">
        <f>IFERROR(--SUBSTITUTE(TRIM(LEFT(SUBSTITUTE(tbl_Competitors[[#This Row],[Estimated Capacity (m³/month)]],"–","-"),FIND("-",SUBSTITUTE(tbl_Competitors[[#This Row],[Estimated Capacity (m³/month)]],"–","-"))-1)),",",""),"Invalid Format")</f>
        <v>10000</v>
      </c>
      <c r="R12" s="160">
        <f>IFERROR(--SUBSTITUTE(TRIM(MID(SUBSTITUTE(tbl_Competitors[[#This Row],[Estimated Capacity (m³/month)]],"–","-"),FIND("-",SUBSTITUTE(tbl_Competitors[[#This Row],[Estimated Capacity (m³/month)]],"–","-"))+1,99)),",",""),"Invalid Format")</f>
        <v>15000</v>
      </c>
      <c r="S12" s="160">
        <f>IFERROR(AVERAGE(tbl_Competitors[[#This Row],[Capacity Min]],tbl_Competitors[[#This Row],[Capacity Max]]),"")</f>
        <v>12500</v>
      </c>
      <c r="T12" s="161">
        <f>IF(tbl_Competitors[[#This Row],[Capacity Midpoint]]=0,"",(tbl_Competitors[[#This Row],[Capacity Max]]-tbl_Competitors[[#This Row],[Capacity Min]])/tbl_Competitors[[#This Row],[Capacity Midpoint]])</f>
        <v>0.4</v>
      </c>
      <c r="U12" s="160">
        <f>IFERROR(tbl_Competitors[[#This Row],[Capacity Midpoint]]*12,"")</f>
        <v>150000</v>
      </c>
      <c r="V12" s="160">
        <f>IFERROR(SUMIFS(tbl_Competitors[Capacity Midpoint],tbl_Competitors[Zone],tbl_Competitors[[#This Row],[Zone]]),"")</f>
        <v>186000</v>
      </c>
      <c r="W12" s="161">
        <f>IFERROR(tbl_Competitors[[#This Row],[Capacity Midpoint]]/tbl_Competitors[[#This Row],[Zone Capacity Total]],"")</f>
        <v>6.7204301075268813E-2</v>
      </c>
      <c r="X12" s="161">
        <f>IFERROR(SUMIFS(tbl_Competitors[Estimated Market Share %],tbl_Competitors[Zone],tbl_Competitors[[#This Row],[Zone]]),"")</f>
        <v>0.33498424133273308</v>
      </c>
      <c r="Y12" s="162" t="str">
        <f>IF(OR(ISNUMBER(SEARCH("Captive",tbl_Competitors[[#This Row],[Market Position]])),tbl_Competitors[[#This Row],[Estimated Market Share %]]="N/A - Captive",tbl_Competitors[[#This Row],[Pricing Level]]="Internal Cost",tbl_Competitors[[#This Row],[Pricing Level]]="Captive"),"Captive / Project-Based","Commercial / Open Market")</f>
        <v>Captive / Project-Based</v>
      </c>
      <c r="Z12" s="298" t="str">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0</v>
      </c>
      <c r="AA12" s="162">
        <f>IF(tbl_Competitors[[#This Row],[Strategic Threat Level]]="High",3,IF(tbl_Competitors[[#This Row],[Strategic Threat Level]]="Medium",2,IF(tbl_Competitors[[#This Row],[Strategic Threat Level]]="Low",1,"")))</f>
        <v>1</v>
      </c>
      <c r="AB12" s="162" t="str">
        <f>IF(tbl_Competitors[[#This Row],[Strategic Threat Level]]="High","Yes","No")</f>
        <v>No</v>
      </c>
      <c r="AC12" s="162" t="str">
        <f>IF(OR(tbl_Competitors[[#This Row],[Pricing Level]]="Lowest",tbl_Competitors[[#This Row],[Pricing Level]]="Low-Cost",tbl_Competitors[[#This Row],[Pricing Level]]="Cost-Effective"),"Yes","No")</f>
        <v>No</v>
      </c>
      <c r="AD12" s="163" t="str">
        <f>IF(tbl_Competitors[[#This Row],[Commercial / Captive Flag]]="Captive / Project-Based","Captive - Exclude from Open Market Share",IF(tbl_Competitors[[#This Row],[Estimated Market Share %]]="","Needs Validation",IF(tbl_Competitors[[#This Row],[Zone Market Share Coverage %]]&gt;1.05,"Zone Share Exceeds 100%","OK")))</f>
        <v>Captive - Exclude from Open Market Share</v>
      </c>
      <c r="AE12" s="162" t="str">
        <f>IF(OR(tbl_Competitors[[#This Row],[Capacity Min]]="Invalid Format",tbl_Competitors[[#This Row],[Capacity Max]]="Invalid Format"),"Needs Capacity Validation",IF(tbl_Competitors[[#This Row],[Capacity Min]]&gt;tbl_Competitors[[#This Row],[Capacity Max]],"Capacity Range Error","OK"))</f>
        <v>OK</v>
      </c>
      <c r="AF12"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Monitor</v>
      </c>
      <c r="AG12" s="163" t="s">
        <v>3921</v>
      </c>
      <c r="AH12" s="162" t="s">
        <v>3951</v>
      </c>
    </row>
    <row r="13" spans="1:78" ht="12" customHeight="1">
      <c r="A13" s="35" t="s">
        <v>34</v>
      </c>
      <c r="B13" s="29" t="s">
        <v>3283</v>
      </c>
      <c r="C13" s="36" t="s">
        <v>3340</v>
      </c>
      <c r="D13" s="403" t="s">
        <v>3594</v>
      </c>
      <c r="E13" s="37" t="s">
        <v>3419</v>
      </c>
      <c r="F13" s="77">
        <f>tbl_Competitors[[#This Row],[Annual Capacity]]/SUM(tbl_Competitors[Annual Capacity])</f>
        <v>1.0805943268797838E-2</v>
      </c>
      <c r="G13" s="37" t="s">
        <v>3420</v>
      </c>
      <c r="H13" s="38" t="s">
        <v>3421</v>
      </c>
      <c r="I13" s="38" t="s">
        <v>3422</v>
      </c>
      <c r="J13" s="34" t="s">
        <v>3423</v>
      </c>
      <c r="K13" s="210">
        <v>2</v>
      </c>
      <c r="L13" s="424">
        <v>21.085100000000001</v>
      </c>
      <c r="M13" s="424">
        <v>72.881200000000007</v>
      </c>
      <c r="N13" s="430">
        <v>0</v>
      </c>
      <c r="O13" s="211" t="str">
        <f>IF(tbl_Competitors[[#This Row],[Distance from Proposed Plant (km)]]&gt;tbl_Competitors[[#This Row],[Radius (Km)]],"Outside Radius","Within Radius")</f>
        <v>Within Radius</v>
      </c>
      <c r="P13" s="436">
        <v>18</v>
      </c>
      <c r="Q13" s="160">
        <f>IFERROR(--SUBSTITUTE(TRIM(LEFT(SUBSTITUTE(tbl_Competitors[[#This Row],[Estimated Capacity (m³/month)]],"–","-"),FIND("-",SUBSTITUTE(tbl_Competitors[[#This Row],[Estimated Capacity (m³/month)]],"–","-"))-1)),",",""),"Invalid Format")</f>
        <v>4000</v>
      </c>
      <c r="R13" s="160">
        <f>IFERROR(--SUBSTITUTE(TRIM(MID(SUBSTITUTE(tbl_Competitors[[#This Row],[Estimated Capacity (m³/month)]],"–","-"),FIND("-",SUBSTITUTE(tbl_Competitors[[#This Row],[Estimated Capacity (m³/month)]],"–","-"))+1,99)),",",""),"Invalid Format")</f>
        <v>8000</v>
      </c>
      <c r="S13" s="160">
        <f>IFERROR(AVERAGE(tbl_Competitors[[#This Row],[Capacity Min]],tbl_Competitors[[#This Row],[Capacity Max]]),"")</f>
        <v>6000</v>
      </c>
      <c r="T13" s="161">
        <f>IF(tbl_Competitors[[#This Row],[Capacity Midpoint]]=0,"",(tbl_Competitors[[#This Row],[Capacity Max]]-tbl_Competitors[[#This Row],[Capacity Min]])/tbl_Competitors[[#This Row],[Capacity Midpoint]])</f>
        <v>0.66666666666666663</v>
      </c>
      <c r="U13" s="160">
        <f>IFERROR(tbl_Competitors[[#This Row],[Capacity Midpoint]]*12,"")</f>
        <v>72000</v>
      </c>
      <c r="V13" s="160">
        <f>IFERROR(SUMIFS(tbl_Competitors[Capacity Midpoint],tbl_Competitors[Zone],tbl_Competitors[[#This Row],[Zone]]),"")</f>
        <v>186000</v>
      </c>
      <c r="W13" s="161">
        <f>IFERROR(tbl_Competitors[[#This Row],[Capacity Midpoint]]/tbl_Competitors[[#This Row],[Zone Capacity Total]],"")</f>
        <v>3.2258064516129031E-2</v>
      </c>
      <c r="X13" s="161">
        <f>IFERROR(SUMIFS(tbl_Competitors[Estimated Market Share %],tbl_Competitors[Zone],tbl_Competitors[[#This Row],[Zone]]),"")</f>
        <v>0.33498424133273308</v>
      </c>
      <c r="Y13" s="162"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13" s="298">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4</v>
      </c>
      <c r="AA13" s="162">
        <f>IF(tbl_Competitors[[#This Row],[Strategic Threat Level]]="High",3,IF(tbl_Competitors[[#This Row],[Strategic Threat Level]]="Medium",2,IF(tbl_Competitors[[#This Row],[Strategic Threat Level]]="Low",1,"")))</f>
        <v>3</v>
      </c>
      <c r="AB13" s="162" t="str">
        <f>IF(tbl_Competitors[[#This Row],[Strategic Threat Level]]="High","Yes","No")</f>
        <v>Yes</v>
      </c>
      <c r="AC13" s="162" t="str">
        <f>IF(OR(tbl_Competitors[[#This Row],[Pricing Level]]="Lowest",tbl_Competitors[[#This Row],[Pricing Level]]="Low-Cost",tbl_Competitors[[#This Row],[Pricing Level]]="Cost-Effective"),"Yes","No")</f>
        <v>No</v>
      </c>
      <c r="AD13" s="162" t="str">
        <f>IF(tbl_Competitors[[#This Row],[Commercial / Captive Flag]]="Captive / Project-Based","Captive - Exclude from Open Market Share",IF(tbl_Competitors[[#This Row],[Estimated Market Share %]]="","Needs Validation",IF(tbl_Competitors[[#This Row],[Zone Market Share Coverage %]]&gt;1.05,"Zone Share Exceeds 100%","OK")))</f>
        <v>OK</v>
      </c>
      <c r="AE13" s="162" t="str">
        <f>IF(OR(tbl_Competitors[[#This Row],[Capacity Min]]="Invalid Format",tbl_Competitors[[#This Row],[Capacity Max]]="Invalid Format"),"Needs Capacity Validation",IF(tbl_Competitors[[#This Row],[Capacity Min]]&gt;tbl_Competitors[[#This Row],[Capacity Max]],"Capacity Range Error","OK"))</f>
        <v>OK</v>
      </c>
      <c r="AF13"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High Priority</v>
      </c>
      <c r="AG13" s="163" t="s">
        <v>3922</v>
      </c>
      <c r="AH13" s="162" t="s">
        <v>3787</v>
      </c>
    </row>
    <row r="14" spans="1:78" ht="12" customHeight="1">
      <c r="A14" s="35" t="s">
        <v>34</v>
      </c>
      <c r="B14" s="29" t="s">
        <v>3284</v>
      </c>
      <c r="C14" s="36" t="s">
        <v>3341</v>
      </c>
      <c r="D14" s="403" t="s">
        <v>3684</v>
      </c>
      <c r="E14" s="37" t="s">
        <v>3424</v>
      </c>
      <c r="F14" s="77">
        <f>tbl_Competitors[[#This Row],[Annual Capacity]]/SUM(tbl_Competitors[Annual Capacity])</f>
        <v>9.0049527239981983E-3</v>
      </c>
      <c r="G14" s="37" t="s">
        <v>3425</v>
      </c>
      <c r="H14" s="38" t="s">
        <v>3426</v>
      </c>
      <c r="I14" s="38" t="s">
        <v>3427</v>
      </c>
      <c r="J14" s="32" t="s">
        <v>194</v>
      </c>
      <c r="K14" s="210">
        <v>1</v>
      </c>
      <c r="L14" s="424">
        <v>21.3</v>
      </c>
      <c r="M14" s="424">
        <v>73.015000000000001</v>
      </c>
      <c r="N14" s="430">
        <v>27.6</v>
      </c>
      <c r="O14" s="211" t="str">
        <f>IF(tbl_Competitors[[#This Row],[Distance from Proposed Plant (km)]]&gt;tbl_Competitors[[#This Row],[Radius (Km)]],"Outside Radius","Within Radius")</f>
        <v>Outside Radius</v>
      </c>
      <c r="P14" s="436">
        <v>10</v>
      </c>
      <c r="Q14" s="160">
        <f>IFERROR(--SUBSTITUTE(TRIM(LEFT(SUBSTITUTE(tbl_Competitors[[#This Row],[Estimated Capacity (m³/month)]],"–","-"),FIND("-",SUBSTITUTE(tbl_Competitors[[#This Row],[Estimated Capacity (m³/month)]],"–","-"))-1)),",",""),"Invalid Format")</f>
        <v>3000</v>
      </c>
      <c r="R14" s="160">
        <f>IFERROR(--SUBSTITUTE(TRIM(MID(SUBSTITUTE(tbl_Competitors[[#This Row],[Estimated Capacity (m³/month)]],"–","-"),FIND("-",SUBSTITUTE(tbl_Competitors[[#This Row],[Estimated Capacity (m³/month)]],"–","-"))+1,99)),",",""),"Invalid Format")</f>
        <v>7000</v>
      </c>
      <c r="S14" s="160">
        <f>IFERROR(AVERAGE(tbl_Competitors[[#This Row],[Capacity Min]],tbl_Competitors[[#This Row],[Capacity Max]]),"")</f>
        <v>5000</v>
      </c>
      <c r="T14" s="161">
        <f>IF(tbl_Competitors[[#This Row],[Capacity Midpoint]]=0,"",(tbl_Competitors[[#This Row],[Capacity Max]]-tbl_Competitors[[#This Row],[Capacity Min]])/tbl_Competitors[[#This Row],[Capacity Midpoint]])</f>
        <v>0.8</v>
      </c>
      <c r="U14" s="160">
        <f>IFERROR(tbl_Competitors[[#This Row],[Capacity Midpoint]]*12,"")</f>
        <v>60000</v>
      </c>
      <c r="V14" s="160">
        <f>IFERROR(SUMIFS(tbl_Competitors[Capacity Midpoint],tbl_Competitors[Zone],tbl_Competitors[[#This Row],[Zone]]),"")</f>
        <v>186000</v>
      </c>
      <c r="W14" s="161">
        <f>IFERROR(tbl_Competitors[[#This Row],[Capacity Midpoint]]/tbl_Competitors[[#This Row],[Zone Capacity Total]],"")</f>
        <v>2.6881720430107527E-2</v>
      </c>
      <c r="X14" s="161">
        <f>IFERROR(SUMIFS(tbl_Competitors[Estimated Market Share %],tbl_Competitors[Zone],tbl_Competitors[[#This Row],[Zone]]),"")</f>
        <v>0.33498424133273308</v>
      </c>
      <c r="Y14" s="162"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14" s="298">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3</v>
      </c>
      <c r="AA14" s="162">
        <f>IF(tbl_Competitors[[#This Row],[Strategic Threat Level]]="High",3,IF(tbl_Competitors[[#This Row],[Strategic Threat Level]]="Medium",2,IF(tbl_Competitors[[#This Row],[Strategic Threat Level]]="Low",1,"")))</f>
        <v>2</v>
      </c>
      <c r="AB14" s="162" t="str">
        <f>IF(tbl_Competitors[[#This Row],[Strategic Threat Level]]="High","Yes","No")</f>
        <v>No</v>
      </c>
      <c r="AC14" s="162" t="str">
        <f>IF(OR(tbl_Competitors[[#This Row],[Pricing Level]]="Lowest",tbl_Competitors[[#This Row],[Pricing Level]]="Low-Cost",tbl_Competitors[[#This Row],[Pricing Level]]="Cost-Effective"),"Yes","No")</f>
        <v>No</v>
      </c>
      <c r="AD14" s="162" t="str">
        <f>IF(tbl_Competitors[[#This Row],[Commercial / Captive Flag]]="Captive / Project-Based","Captive - Exclude from Open Market Share",IF(tbl_Competitors[[#This Row],[Estimated Market Share %]]="","Needs Validation",IF(tbl_Competitors[[#This Row],[Zone Market Share Coverage %]]&gt;1.05,"Zone Share Exceeds 100%","OK")))</f>
        <v>OK</v>
      </c>
      <c r="AE14" s="162" t="str">
        <f>IF(OR(tbl_Competitors[[#This Row],[Capacity Min]]="Invalid Format",tbl_Competitors[[#This Row],[Capacity Max]]="Invalid Format"),"Needs Capacity Validation",IF(tbl_Competitors[[#This Row],[Capacity Min]]&gt;tbl_Competitors[[#This Row],[Capacity Max]],"Capacity Range Error","OK"))</f>
        <v>OK</v>
      </c>
      <c r="AF14"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Monitor</v>
      </c>
      <c r="AG14" s="163" t="s">
        <v>3923</v>
      </c>
      <c r="AH14" s="162" t="s">
        <v>3787</v>
      </c>
    </row>
    <row r="15" spans="1:78" ht="12" customHeight="1">
      <c r="A15" s="35" t="s">
        <v>34</v>
      </c>
      <c r="B15" s="29" t="s">
        <v>3285</v>
      </c>
      <c r="C15" s="36" t="s">
        <v>509</v>
      </c>
      <c r="D15" s="403" t="s">
        <v>3595</v>
      </c>
      <c r="E15" s="37" t="s">
        <v>3424</v>
      </c>
      <c r="F15" s="77">
        <f>tbl_Competitors[[#This Row],[Annual Capacity]]/SUM(tbl_Competitors[Annual Capacity])</f>
        <v>8.1044574515983792E-3</v>
      </c>
      <c r="G15" s="37" t="s">
        <v>3420</v>
      </c>
      <c r="H15" s="38" t="s">
        <v>3428</v>
      </c>
      <c r="I15" s="38" t="s">
        <v>3429</v>
      </c>
      <c r="J15" s="34" t="s">
        <v>3423</v>
      </c>
      <c r="K15" s="210">
        <v>1</v>
      </c>
      <c r="L15" s="424">
        <v>21.085100000000001</v>
      </c>
      <c r="M15" s="424">
        <v>72.881200000000007</v>
      </c>
      <c r="N15" s="430">
        <v>0</v>
      </c>
      <c r="O15" s="211" t="str">
        <f>IF(tbl_Competitors[[#This Row],[Distance from Proposed Plant (km)]]&gt;tbl_Competitors[[#This Row],[Radius (Km)]],"Outside Radius","Within Radius")</f>
        <v>Within Radius</v>
      </c>
      <c r="P15" s="436">
        <v>10</v>
      </c>
      <c r="Q15" s="160">
        <f>IFERROR(--SUBSTITUTE(TRIM(LEFT(SUBSTITUTE(tbl_Competitors[[#This Row],[Estimated Capacity (m³/month)]],"–","-"),FIND("-",SUBSTITUTE(tbl_Competitors[[#This Row],[Estimated Capacity (m³/month)]],"–","-"))-1)),",",""),"Invalid Format")</f>
        <v>3000</v>
      </c>
      <c r="R15" s="160">
        <f>IFERROR(--SUBSTITUTE(TRIM(MID(SUBSTITUTE(tbl_Competitors[[#This Row],[Estimated Capacity (m³/month)]],"–","-"),FIND("-",SUBSTITUTE(tbl_Competitors[[#This Row],[Estimated Capacity (m³/month)]],"–","-"))+1,99)),",",""),"Invalid Format")</f>
        <v>6000</v>
      </c>
      <c r="S15" s="160">
        <f>IFERROR(AVERAGE(tbl_Competitors[[#This Row],[Capacity Min]],tbl_Competitors[[#This Row],[Capacity Max]]),"")</f>
        <v>4500</v>
      </c>
      <c r="T15" s="161">
        <f>IF(tbl_Competitors[[#This Row],[Capacity Midpoint]]=0,"",(tbl_Competitors[[#This Row],[Capacity Max]]-tbl_Competitors[[#This Row],[Capacity Min]])/tbl_Competitors[[#This Row],[Capacity Midpoint]])</f>
        <v>0.66666666666666663</v>
      </c>
      <c r="U15" s="160">
        <f>IFERROR(tbl_Competitors[[#This Row],[Capacity Midpoint]]*12,"")</f>
        <v>54000</v>
      </c>
      <c r="V15" s="160">
        <f>IFERROR(SUMIFS(tbl_Competitors[Capacity Midpoint],tbl_Competitors[Zone],tbl_Competitors[[#This Row],[Zone]]),"")</f>
        <v>186000</v>
      </c>
      <c r="W15" s="161">
        <f>IFERROR(tbl_Competitors[[#This Row],[Capacity Midpoint]]/tbl_Competitors[[#This Row],[Zone Capacity Total]],"")</f>
        <v>2.4193548387096774E-2</v>
      </c>
      <c r="X15" s="161">
        <f>IFERROR(SUMIFS(tbl_Competitors[Estimated Market Share %],tbl_Competitors[Zone],tbl_Competitors[[#This Row],[Zone]]),"")</f>
        <v>0.33498424133273308</v>
      </c>
      <c r="Y15" s="162"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15" s="298">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4</v>
      </c>
      <c r="AA15" s="162">
        <f>IF(tbl_Competitors[[#This Row],[Strategic Threat Level]]="High",3,IF(tbl_Competitors[[#This Row],[Strategic Threat Level]]="Medium",2,IF(tbl_Competitors[[#This Row],[Strategic Threat Level]]="Low",1,"")))</f>
        <v>3</v>
      </c>
      <c r="AB15" s="162" t="str">
        <f>IF(tbl_Competitors[[#This Row],[Strategic Threat Level]]="High","Yes","No")</f>
        <v>Yes</v>
      </c>
      <c r="AC15" s="162" t="str">
        <f>IF(OR(tbl_Competitors[[#This Row],[Pricing Level]]="Lowest",tbl_Competitors[[#This Row],[Pricing Level]]="Low-Cost",tbl_Competitors[[#This Row],[Pricing Level]]="Cost-Effective"),"Yes","No")</f>
        <v>No</v>
      </c>
      <c r="AD15" s="162" t="str">
        <f>IF(tbl_Competitors[[#This Row],[Commercial / Captive Flag]]="Captive / Project-Based","Captive - Exclude from Open Market Share",IF(tbl_Competitors[[#This Row],[Estimated Market Share %]]="","Needs Validation",IF(tbl_Competitors[[#This Row],[Zone Market Share Coverage %]]&gt;1.05,"Zone Share Exceeds 100%","OK")))</f>
        <v>OK</v>
      </c>
      <c r="AE15" s="162" t="str">
        <f>IF(OR(tbl_Competitors[[#This Row],[Capacity Min]]="Invalid Format",tbl_Competitors[[#This Row],[Capacity Max]]="Invalid Format"),"Needs Capacity Validation",IF(tbl_Competitors[[#This Row],[Capacity Min]]&gt;tbl_Competitors[[#This Row],[Capacity Max]],"Capacity Range Error","OK"))</f>
        <v>OK</v>
      </c>
      <c r="AF15"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High Priority</v>
      </c>
      <c r="AG15" s="163" t="s">
        <v>3924</v>
      </c>
      <c r="AH15" s="162" t="s">
        <v>3787</v>
      </c>
    </row>
    <row r="16" spans="1:78" ht="12" customHeight="1">
      <c r="A16" s="35" t="s">
        <v>34</v>
      </c>
      <c r="B16" s="29" t="s">
        <v>3286</v>
      </c>
      <c r="C16" s="36" t="s">
        <v>3342</v>
      </c>
      <c r="D16" s="403" t="s">
        <v>3595</v>
      </c>
      <c r="E16" s="37" t="s">
        <v>3424</v>
      </c>
      <c r="F16" s="77">
        <f>tbl_Competitors[[#This Row],[Annual Capacity]]/SUM(tbl_Competitors[Annual Capacity])</f>
        <v>8.1044574515983792E-3</v>
      </c>
      <c r="G16" s="37" t="s">
        <v>3420</v>
      </c>
      <c r="H16" s="38" t="s">
        <v>3430</v>
      </c>
      <c r="I16" s="38" t="s">
        <v>3431</v>
      </c>
      <c r="J16" s="34" t="s">
        <v>3423</v>
      </c>
      <c r="K16" s="210">
        <v>1</v>
      </c>
      <c r="L16" s="424">
        <v>21.15</v>
      </c>
      <c r="M16" s="424">
        <v>72.849999999999994</v>
      </c>
      <c r="N16" s="430">
        <v>7.9</v>
      </c>
      <c r="O16" s="211" t="str">
        <f>IF(tbl_Competitors[[#This Row],[Distance from Proposed Plant (km)]]&gt;tbl_Competitors[[#This Row],[Radius (Km)]],"Outside Radius","Within Radius")</f>
        <v>Within Radius</v>
      </c>
      <c r="P16" s="436">
        <v>10</v>
      </c>
      <c r="Q16" s="160">
        <f>IFERROR(--SUBSTITUTE(TRIM(LEFT(SUBSTITUTE(tbl_Competitors[[#This Row],[Estimated Capacity (m³/month)]],"–","-"),FIND("-",SUBSTITUTE(tbl_Competitors[[#This Row],[Estimated Capacity (m³/month)]],"–","-"))-1)),",",""),"Invalid Format")</f>
        <v>3000</v>
      </c>
      <c r="R16" s="160">
        <f>IFERROR(--SUBSTITUTE(TRIM(MID(SUBSTITUTE(tbl_Competitors[[#This Row],[Estimated Capacity (m³/month)]],"–","-"),FIND("-",SUBSTITUTE(tbl_Competitors[[#This Row],[Estimated Capacity (m³/month)]],"–","-"))+1,99)),",",""),"Invalid Format")</f>
        <v>6000</v>
      </c>
      <c r="S16" s="160">
        <f>IFERROR(AVERAGE(tbl_Competitors[[#This Row],[Capacity Min]],tbl_Competitors[[#This Row],[Capacity Max]]),"")</f>
        <v>4500</v>
      </c>
      <c r="T16" s="161">
        <f>IF(tbl_Competitors[[#This Row],[Capacity Midpoint]]=0,"",(tbl_Competitors[[#This Row],[Capacity Max]]-tbl_Competitors[[#This Row],[Capacity Min]])/tbl_Competitors[[#This Row],[Capacity Midpoint]])</f>
        <v>0.66666666666666663</v>
      </c>
      <c r="U16" s="160">
        <f>IFERROR(tbl_Competitors[[#This Row],[Capacity Midpoint]]*12,"")</f>
        <v>54000</v>
      </c>
      <c r="V16" s="160">
        <f>IFERROR(SUMIFS(tbl_Competitors[Capacity Midpoint],tbl_Competitors[Zone],tbl_Competitors[[#This Row],[Zone]]),"")</f>
        <v>186000</v>
      </c>
      <c r="W16" s="161">
        <f>IFERROR(tbl_Competitors[[#This Row],[Capacity Midpoint]]/tbl_Competitors[[#This Row],[Zone Capacity Total]],"")</f>
        <v>2.4193548387096774E-2</v>
      </c>
      <c r="X16" s="161">
        <f>IFERROR(SUMIFS(tbl_Competitors[Estimated Market Share %],tbl_Competitors[Zone],tbl_Competitors[[#This Row],[Zone]]),"")</f>
        <v>0.33498424133273308</v>
      </c>
      <c r="Y16" s="162"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16" s="298">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4</v>
      </c>
      <c r="AA16" s="162">
        <f>IF(tbl_Competitors[[#This Row],[Strategic Threat Level]]="High",3,IF(tbl_Competitors[[#This Row],[Strategic Threat Level]]="Medium",2,IF(tbl_Competitors[[#This Row],[Strategic Threat Level]]="Low",1,"")))</f>
        <v>3</v>
      </c>
      <c r="AB16" s="162" t="str">
        <f>IF(tbl_Competitors[[#This Row],[Strategic Threat Level]]="High","Yes","No")</f>
        <v>Yes</v>
      </c>
      <c r="AC16" s="162" t="str">
        <f>IF(OR(tbl_Competitors[[#This Row],[Pricing Level]]="Lowest",tbl_Competitors[[#This Row],[Pricing Level]]="Low-Cost",tbl_Competitors[[#This Row],[Pricing Level]]="Cost-Effective"),"Yes","No")</f>
        <v>No</v>
      </c>
      <c r="AD16" s="162" t="str">
        <f>IF(tbl_Competitors[[#This Row],[Commercial / Captive Flag]]="Captive / Project-Based","Captive - Exclude from Open Market Share",IF(tbl_Competitors[[#This Row],[Estimated Market Share %]]="","Needs Validation",IF(tbl_Competitors[[#This Row],[Zone Market Share Coverage %]]&gt;1.05,"Zone Share Exceeds 100%","OK")))</f>
        <v>OK</v>
      </c>
      <c r="AE16" s="162" t="str">
        <f>IF(OR(tbl_Competitors[[#This Row],[Capacity Min]]="Invalid Format",tbl_Competitors[[#This Row],[Capacity Max]]="Invalid Format"),"Needs Capacity Validation",IF(tbl_Competitors[[#This Row],[Capacity Min]]&gt;tbl_Competitors[[#This Row],[Capacity Max]],"Capacity Range Error","OK"))</f>
        <v>OK</v>
      </c>
      <c r="AF16"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High Priority</v>
      </c>
      <c r="AG16" s="163" t="s">
        <v>3925</v>
      </c>
      <c r="AH16" s="162" t="s">
        <v>3787</v>
      </c>
    </row>
    <row r="17" spans="1:34" ht="12" customHeight="1">
      <c r="A17" s="35" t="s">
        <v>34</v>
      </c>
      <c r="B17" s="29" t="s">
        <v>3287</v>
      </c>
      <c r="C17" s="36" t="s">
        <v>3343</v>
      </c>
      <c r="D17" s="403" t="s">
        <v>3595</v>
      </c>
      <c r="E17" s="37" t="s">
        <v>3424</v>
      </c>
      <c r="F17" s="77">
        <f>tbl_Competitors[[#This Row],[Annual Capacity]]/SUM(tbl_Competitors[Annual Capacity])</f>
        <v>8.1044574515983792E-3</v>
      </c>
      <c r="G17" s="37" t="s">
        <v>3425</v>
      </c>
      <c r="H17" s="38" t="s">
        <v>3432</v>
      </c>
      <c r="I17" s="38" t="s">
        <v>3433</v>
      </c>
      <c r="J17" s="34" t="s">
        <v>3423</v>
      </c>
      <c r="K17" s="210">
        <v>2</v>
      </c>
      <c r="L17" s="424">
        <v>21.305</v>
      </c>
      <c r="M17" s="424">
        <v>72.930000000000007</v>
      </c>
      <c r="N17" s="430">
        <v>25</v>
      </c>
      <c r="O17" s="211" t="str">
        <f>IF(tbl_Competitors[[#This Row],[Distance from Proposed Plant (km)]]&gt;tbl_Competitors[[#This Row],[Radius (Km)]],"Outside Radius","Within Radius")</f>
        <v>Outside Radius</v>
      </c>
      <c r="P17" s="436">
        <v>10</v>
      </c>
      <c r="Q17" s="160">
        <f>IFERROR(--SUBSTITUTE(TRIM(LEFT(SUBSTITUTE(tbl_Competitors[[#This Row],[Estimated Capacity (m³/month)]],"–","-"),FIND("-",SUBSTITUTE(tbl_Competitors[[#This Row],[Estimated Capacity (m³/month)]],"–","-"))-1)),",",""),"Invalid Format")</f>
        <v>3000</v>
      </c>
      <c r="R17" s="160">
        <f>IFERROR(--SUBSTITUTE(TRIM(MID(SUBSTITUTE(tbl_Competitors[[#This Row],[Estimated Capacity (m³/month)]],"–","-"),FIND("-",SUBSTITUTE(tbl_Competitors[[#This Row],[Estimated Capacity (m³/month)]],"–","-"))+1,99)),",",""),"Invalid Format")</f>
        <v>6000</v>
      </c>
      <c r="S17" s="160">
        <f>IFERROR(AVERAGE(tbl_Competitors[[#This Row],[Capacity Min]],tbl_Competitors[[#This Row],[Capacity Max]]),"")</f>
        <v>4500</v>
      </c>
      <c r="T17" s="161">
        <f>IF(tbl_Competitors[[#This Row],[Capacity Midpoint]]=0,"",(tbl_Competitors[[#This Row],[Capacity Max]]-tbl_Competitors[[#This Row],[Capacity Min]])/tbl_Competitors[[#This Row],[Capacity Midpoint]])</f>
        <v>0.66666666666666663</v>
      </c>
      <c r="U17" s="160">
        <f>IFERROR(tbl_Competitors[[#This Row],[Capacity Midpoint]]*12,"")</f>
        <v>54000</v>
      </c>
      <c r="V17" s="160">
        <f>IFERROR(SUMIFS(tbl_Competitors[Capacity Midpoint],tbl_Competitors[Zone],tbl_Competitors[[#This Row],[Zone]]),"")</f>
        <v>186000</v>
      </c>
      <c r="W17" s="161">
        <f>IFERROR(tbl_Competitors[[#This Row],[Capacity Midpoint]]/tbl_Competitors[[#This Row],[Zone Capacity Total]],"")</f>
        <v>2.4193548387096774E-2</v>
      </c>
      <c r="X17" s="161">
        <f>IFERROR(SUMIFS(tbl_Competitors[Estimated Market Share %],tbl_Competitors[Zone],tbl_Competitors[[#This Row],[Zone]]),"")</f>
        <v>0.33498424133273308</v>
      </c>
      <c r="Y17" s="162"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17" s="298">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3</v>
      </c>
      <c r="AA17" s="162">
        <f>IF(tbl_Competitors[[#This Row],[Strategic Threat Level]]="High",3,IF(tbl_Competitors[[#This Row],[Strategic Threat Level]]="Medium",2,IF(tbl_Competitors[[#This Row],[Strategic Threat Level]]="Low",1,"")))</f>
        <v>3</v>
      </c>
      <c r="AB17" s="162" t="str">
        <f>IF(tbl_Competitors[[#This Row],[Strategic Threat Level]]="High","Yes","No")</f>
        <v>Yes</v>
      </c>
      <c r="AC17" s="162" t="str">
        <f>IF(OR(tbl_Competitors[[#This Row],[Pricing Level]]="Lowest",tbl_Competitors[[#This Row],[Pricing Level]]="Low-Cost",tbl_Competitors[[#This Row],[Pricing Level]]="Cost-Effective"),"Yes","No")</f>
        <v>No</v>
      </c>
      <c r="AD17" s="162" t="str">
        <f>IF(tbl_Competitors[[#This Row],[Commercial / Captive Flag]]="Captive / Project-Based","Captive - Exclude from Open Market Share",IF(tbl_Competitors[[#This Row],[Estimated Market Share %]]="","Needs Validation",IF(tbl_Competitors[[#This Row],[Zone Market Share Coverage %]]&gt;1.05,"Zone Share Exceeds 100%","OK")))</f>
        <v>OK</v>
      </c>
      <c r="AE17" s="162" t="str">
        <f>IF(OR(tbl_Competitors[[#This Row],[Capacity Min]]="Invalid Format",tbl_Competitors[[#This Row],[Capacity Max]]="Invalid Format"),"Needs Capacity Validation",IF(tbl_Competitors[[#This Row],[Capacity Min]]&gt;tbl_Competitors[[#This Row],[Capacity Max]],"Capacity Range Error","OK"))</f>
        <v>OK</v>
      </c>
      <c r="AF17"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Priority</v>
      </c>
      <c r="AG17" s="163" t="s">
        <v>3926</v>
      </c>
      <c r="AH17" s="162" t="s">
        <v>3787</v>
      </c>
    </row>
    <row r="18" spans="1:34" ht="12" customHeight="1">
      <c r="A18" s="35" t="s">
        <v>34</v>
      </c>
      <c r="B18" s="29" t="s">
        <v>3288</v>
      </c>
      <c r="C18" s="36" t="s">
        <v>3344</v>
      </c>
      <c r="D18" s="403" t="s">
        <v>3596</v>
      </c>
      <c r="E18" s="37" t="s">
        <v>3424</v>
      </c>
      <c r="F18" s="77">
        <f>tbl_Competitors[[#This Row],[Annual Capacity]]/SUM(tbl_Competitors[Annual Capacity])</f>
        <v>6.7537145429986496E-3</v>
      </c>
      <c r="G18" s="37" t="s">
        <v>3420</v>
      </c>
      <c r="H18" s="38" t="s">
        <v>3434</v>
      </c>
      <c r="I18" s="38" t="s">
        <v>3435</v>
      </c>
      <c r="J18" s="32" t="s">
        <v>194</v>
      </c>
      <c r="K18" s="210">
        <v>1</v>
      </c>
      <c r="L18" s="424">
        <v>21.31</v>
      </c>
      <c r="M18" s="424">
        <v>72.935000000000002</v>
      </c>
      <c r="N18" s="430">
        <v>25.6</v>
      </c>
      <c r="O18" s="211" t="str">
        <f>IF(tbl_Competitors[[#This Row],[Distance from Proposed Plant (km)]]&gt;tbl_Competitors[[#This Row],[Radius (Km)]],"Outside Radius","Within Radius")</f>
        <v>Outside Radius</v>
      </c>
      <c r="P18" s="436">
        <v>10</v>
      </c>
      <c r="Q18" s="160">
        <f>IFERROR(--SUBSTITUTE(TRIM(LEFT(SUBSTITUTE(tbl_Competitors[[#This Row],[Estimated Capacity (m³/month)]],"–","-"),FIND("-",SUBSTITUTE(tbl_Competitors[[#This Row],[Estimated Capacity (m³/month)]],"–","-"))-1)),",",""),"Invalid Format")</f>
        <v>2000</v>
      </c>
      <c r="R18" s="160">
        <f>IFERROR(--SUBSTITUTE(TRIM(MID(SUBSTITUTE(tbl_Competitors[[#This Row],[Estimated Capacity (m³/month)]],"–","-"),FIND("-",SUBSTITUTE(tbl_Competitors[[#This Row],[Estimated Capacity (m³/month)]],"–","-"))+1,99)),",",""),"Invalid Format")</f>
        <v>5500</v>
      </c>
      <c r="S18" s="160">
        <f>IFERROR(AVERAGE(tbl_Competitors[[#This Row],[Capacity Min]],tbl_Competitors[[#This Row],[Capacity Max]]),"")</f>
        <v>3750</v>
      </c>
      <c r="T18" s="161">
        <f>IF(tbl_Competitors[[#This Row],[Capacity Midpoint]]=0,"",(tbl_Competitors[[#This Row],[Capacity Max]]-tbl_Competitors[[#This Row],[Capacity Min]])/tbl_Competitors[[#This Row],[Capacity Midpoint]])</f>
        <v>0.93333333333333335</v>
      </c>
      <c r="U18" s="160">
        <f>IFERROR(tbl_Competitors[[#This Row],[Capacity Midpoint]]*12,"")</f>
        <v>45000</v>
      </c>
      <c r="V18" s="160">
        <f>IFERROR(SUMIFS(tbl_Competitors[Capacity Midpoint],tbl_Competitors[Zone],tbl_Competitors[[#This Row],[Zone]]),"")</f>
        <v>186000</v>
      </c>
      <c r="W18" s="161">
        <f>IFERROR(tbl_Competitors[[#This Row],[Capacity Midpoint]]/tbl_Competitors[[#This Row],[Zone Capacity Total]],"")</f>
        <v>2.0161290322580645E-2</v>
      </c>
      <c r="X18" s="161">
        <f>IFERROR(SUMIFS(tbl_Competitors[Estimated Market Share %],tbl_Competitors[Zone],tbl_Competitors[[#This Row],[Zone]]),"")</f>
        <v>0.33498424133273308</v>
      </c>
      <c r="Y18" s="162"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18" s="298">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4</v>
      </c>
      <c r="AA18" s="162">
        <f>IF(tbl_Competitors[[#This Row],[Strategic Threat Level]]="High",3,IF(tbl_Competitors[[#This Row],[Strategic Threat Level]]="Medium",2,IF(tbl_Competitors[[#This Row],[Strategic Threat Level]]="Low",1,"")))</f>
        <v>2</v>
      </c>
      <c r="AB18" s="162" t="str">
        <f>IF(tbl_Competitors[[#This Row],[Strategic Threat Level]]="High","Yes","No")</f>
        <v>No</v>
      </c>
      <c r="AC18" s="162" t="str">
        <f>IF(OR(tbl_Competitors[[#This Row],[Pricing Level]]="Lowest",tbl_Competitors[[#This Row],[Pricing Level]]="Low-Cost",tbl_Competitors[[#This Row],[Pricing Level]]="Cost-Effective"),"Yes","No")</f>
        <v>No</v>
      </c>
      <c r="AD18" s="162" t="str">
        <f>IF(tbl_Competitors[[#This Row],[Commercial / Captive Flag]]="Captive / Project-Based","Captive - Exclude from Open Market Share",IF(tbl_Competitors[[#This Row],[Estimated Market Share %]]="","Needs Validation",IF(tbl_Competitors[[#This Row],[Zone Market Share Coverage %]]&gt;1.05,"Zone Share Exceeds 100%","OK")))</f>
        <v>OK</v>
      </c>
      <c r="AE18" s="162" t="str">
        <f>IF(OR(tbl_Competitors[[#This Row],[Capacity Min]]="Invalid Format",tbl_Competitors[[#This Row],[Capacity Max]]="Invalid Format"),"Needs Capacity Validation",IF(tbl_Competitors[[#This Row],[Capacity Min]]&gt;tbl_Competitors[[#This Row],[Capacity Max]],"Capacity Range Error","OK"))</f>
        <v>OK</v>
      </c>
      <c r="AF18"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Monitor</v>
      </c>
      <c r="AG18" s="163" t="s">
        <v>3927</v>
      </c>
      <c r="AH18" s="162" t="s">
        <v>3787</v>
      </c>
    </row>
    <row r="19" spans="1:34" ht="12" customHeight="1">
      <c r="A19" s="35" t="s">
        <v>34</v>
      </c>
      <c r="B19" s="29" t="s">
        <v>3289</v>
      </c>
      <c r="C19" s="36" t="s">
        <v>3345</v>
      </c>
      <c r="D19" s="403" t="s">
        <v>3596</v>
      </c>
      <c r="E19" s="37" t="s">
        <v>3424</v>
      </c>
      <c r="F19" s="77">
        <f>tbl_Competitors[[#This Row],[Annual Capacity]]/SUM(tbl_Competitors[Annual Capacity])</f>
        <v>6.7537145429986496E-3</v>
      </c>
      <c r="G19" s="37" t="s">
        <v>3420</v>
      </c>
      <c r="H19" s="38" t="s">
        <v>3436</v>
      </c>
      <c r="I19" s="38" t="s">
        <v>3437</v>
      </c>
      <c r="J19" s="34" t="s">
        <v>3423</v>
      </c>
      <c r="K19" s="210">
        <v>1</v>
      </c>
      <c r="L19" s="424">
        <v>21.128</v>
      </c>
      <c r="M19" s="424">
        <v>72.805000000000007</v>
      </c>
      <c r="N19" s="430">
        <v>9.1999999999999993</v>
      </c>
      <c r="O19" s="211" t="str">
        <f>IF(tbl_Competitors[[#This Row],[Distance from Proposed Plant (km)]]&gt;tbl_Competitors[[#This Row],[Radius (Km)]],"Outside Radius","Within Radius")</f>
        <v>Within Radius</v>
      </c>
      <c r="P19" s="436">
        <v>10</v>
      </c>
      <c r="Q19" s="160">
        <f>IFERROR(--SUBSTITUTE(TRIM(LEFT(SUBSTITUTE(tbl_Competitors[[#This Row],[Estimated Capacity (m³/month)]],"–","-"),FIND("-",SUBSTITUTE(tbl_Competitors[[#This Row],[Estimated Capacity (m³/month)]],"–","-"))-1)),",",""),"Invalid Format")</f>
        <v>2000</v>
      </c>
      <c r="R19" s="160">
        <f>IFERROR(--SUBSTITUTE(TRIM(MID(SUBSTITUTE(tbl_Competitors[[#This Row],[Estimated Capacity (m³/month)]],"–","-"),FIND("-",SUBSTITUTE(tbl_Competitors[[#This Row],[Estimated Capacity (m³/month)]],"–","-"))+1,99)),",",""),"Invalid Format")</f>
        <v>5500</v>
      </c>
      <c r="S19" s="160">
        <f>IFERROR(AVERAGE(tbl_Competitors[[#This Row],[Capacity Min]],tbl_Competitors[[#This Row],[Capacity Max]]),"")</f>
        <v>3750</v>
      </c>
      <c r="T19" s="161">
        <f>IF(tbl_Competitors[[#This Row],[Capacity Midpoint]]=0,"",(tbl_Competitors[[#This Row],[Capacity Max]]-tbl_Competitors[[#This Row],[Capacity Min]])/tbl_Competitors[[#This Row],[Capacity Midpoint]])</f>
        <v>0.93333333333333335</v>
      </c>
      <c r="U19" s="160">
        <f>IFERROR(tbl_Competitors[[#This Row],[Capacity Midpoint]]*12,"")</f>
        <v>45000</v>
      </c>
      <c r="V19" s="160">
        <f>IFERROR(SUMIFS(tbl_Competitors[Capacity Midpoint],tbl_Competitors[Zone],tbl_Competitors[[#This Row],[Zone]]),"")</f>
        <v>186000</v>
      </c>
      <c r="W19" s="161">
        <f>IFERROR(tbl_Competitors[[#This Row],[Capacity Midpoint]]/tbl_Competitors[[#This Row],[Zone Capacity Total]],"")</f>
        <v>2.0161290322580645E-2</v>
      </c>
      <c r="X19" s="161">
        <f>IFERROR(SUMIFS(tbl_Competitors[Estimated Market Share %],tbl_Competitors[Zone],tbl_Competitors[[#This Row],[Zone]]),"")</f>
        <v>0.33498424133273308</v>
      </c>
      <c r="Y19" s="162"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19" s="298">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4</v>
      </c>
      <c r="AA19" s="162">
        <f>IF(tbl_Competitors[[#This Row],[Strategic Threat Level]]="High",3,IF(tbl_Competitors[[#This Row],[Strategic Threat Level]]="Medium",2,IF(tbl_Competitors[[#This Row],[Strategic Threat Level]]="Low",1,"")))</f>
        <v>3</v>
      </c>
      <c r="AB19" s="162" t="str">
        <f>IF(tbl_Competitors[[#This Row],[Strategic Threat Level]]="High","Yes","No")</f>
        <v>Yes</v>
      </c>
      <c r="AC19" s="162" t="str">
        <f>IF(OR(tbl_Competitors[[#This Row],[Pricing Level]]="Lowest",tbl_Competitors[[#This Row],[Pricing Level]]="Low-Cost",tbl_Competitors[[#This Row],[Pricing Level]]="Cost-Effective"),"Yes","No")</f>
        <v>No</v>
      </c>
      <c r="AD19" s="162" t="str">
        <f>IF(tbl_Competitors[[#This Row],[Commercial / Captive Flag]]="Captive / Project-Based","Captive - Exclude from Open Market Share",IF(tbl_Competitors[[#This Row],[Estimated Market Share %]]="","Needs Validation",IF(tbl_Competitors[[#This Row],[Zone Market Share Coverage %]]&gt;1.05,"Zone Share Exceeds 100%","OK")))</f>
        <v>OK</v>
      </c>
      <c r="AE19" s="162" t="str">
        <f>IF(OR(tbl_Competitors[[#This Row],[Capacity Min]]="Invalid Format",tbl_Competitors[[#This Row],[Capacity Max]]="Invalid Format"),"Needs Capacity Validation",IF(tbl_Competitors[[#This Row],[Capacity Min]]&gt;tbl_Competitors[[#This Row],[Capacity Max]],"Capacity Range Error","OK"))</f>
        <v>OK</v>
      </c>
      <c r="AF19"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High Priority</v>
      </c>
      <c r="AG19" s="163" t="s">
        <v>3928</v>
      </c>
      <c r="AH19" s="162" t="s">
        <v>3787</v>
      </c>
    </row>
    <row r="20" spans="1:34" ht="12" customHeight="1">
      <c r="A20" s="35" t="s">
        <v>34</v>
      </c>
      <c r="B20" s="29" t="s">
        <v>3290</v>
      </c>
      <c r="C20" s="36" t="s">
        <v>3346</v>
      </c>
      <c r="D20" s="403" t="s">
        <v>3597</v>
      </c>
      <c r="E20" s="37" t="s">
        <v>3424</v>
      </c>
      <c r="F20" s="77">
        <f>tbl_Competitors[[#This Row],[Annual Capacity]]/SUM(tbl_Competitors[Annual Capacity])</f>
        <v>5.8532192705988296E-3</v>
      </c>
      <c r="G20" s="37" t="s">
        <v>3420</v>
      </c>
      <c r="H20" s="38" t="s">
        <v>3438</v>
      </c>
      <c r="I20" s="38" t="s">
        <v>3439</v>
      </c>
      <c r="J20" s="32" t="s">
        <v>194</v>
      </c>
      <c r="K20" s="210">
        <v>1</v>
      </c>
      <c r="L20" s="424">
        <v>21.085100000000001</v>
      </c>
      <c r="M20" s="424">
        <v>72.881200000000007</v>
      </c>
      <c r="N20" s="430">
        <v>0</v>
      </c>
      <c r="O20" s="211" t="str">
        <f>IF(tbl_Competitors[[#This Row],[Distance from Proposed Plant (km)]]&gt;tbl_Competitors[[#This Row],[Radius (Km)]],"Outside Radius","Within Radius")</f>
        <v>Within Radius</v>
      </c>
      <c r="P20" s="436">
        <v>10</v>
      </c>
      <c r="Q20" s="160">
        <f>IFERROR(--SUBSTITUTE(TRIM(LEFT(SUBSTITUTE(tbl_Competitors[[#This Row],[Estimated Capacity (m³/month)]],"–","-"),FIND("-",SUBSTITUTE(tbl_Competitors[[#This Row],[Estimated Capacity (m³/month)]],"–","-"))-1)),",",""),"Invalid Format")</f>
        <v>2000</v>
      </c>
      <c r="R20" s="160">
        <f>IFERROR(--SUBSTITUTE(TRIM(MID(SUBSTITUTE(tbl_Competitors[[#This Row],[Estimated Capacity (m³/month)]],"–","-"),FIND("-",SUBSTITUTE(tbl_Competitors[[#This Row],[Estimated Capacity (m³/month)]],"–","-"))+1,99)),",",""),"Invalid Format")</f>
        <v>4500</v>
      </c>
      <c r="S20" s="160">
        <f>IFERROR(AVERAGE(tbl_Competitors[[#This Row],[Capacity Min]],tbl_Competitors[[#This Row],[Capacity Max]]),"")</f>
        <v>3250</v>
      </c>
      <c r="T20" s="161">
        <f>IF(tbl_Competitors[[#This Row],[Capacity Midpoint]]=0,"",(tbl_Competitors[[#This Row],[Capacity Max]]-tbl_Competitors[[#This Row],[Capacity Min]])/tbl_Competitors[[#This Row],[Capacity Midpoint]])</f>
        <v>0.76923076923076927</v>
      </c>
      <c r="U20" s="160">
        <f>IFERROR(tbl_Competitors[[#This Row],[Capacity Midpoint]]*12,"")</f>
        <v>39000</v>
      </c>
      <c r="V20" s="160">
        <f>IFERROR(SUMIFS(tbl_Competitors[Capacity Midpoint],tbl_Competitors[Zone],tbl_Competitors[[#This Row],[Zone]]),"")</f>
        <v>186000</v>
      </c>
      <c r="W20" s="161">
        <f>IFERROR(tbl_Competitors[[#This Row],[Capacity Midpoint]]/tbl_Competitors[[#This Row],[Zone Capacity Total]],"")</f>
        <v>1.7473118279569891E-2</v>
      </c>
      <c r="X20" s="161">
        <f>IFERROR(SUMIFS(tbl_Competitors[Estimated Market Share %],tbl_Competitors[Zone],tbl_Competitors[[#This Row],[Zone]]),"")</f>
        <v>0.33498424133273308</v>
      </c>
      <c r="Y20" s="162"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20" s="298">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4</v>
      </c>
      <c r="AA20" s="162">
        <f>IF(tbl_Competitors[[#This Row],[Strategic Threat Level]]="High",3,IF(tbl_Competitors[[#This Row],[Strategic Threat Level]]="Medium",2,IF(tbl_Competitors[[#This Row],[Strategic Threat Level]]="Low",1,"")))</f>
        <v>2</v>
      </c>
      <c r="AB20" s="162" t="str">
        <f>IF(tbl_Competitors[[#This Row],[Strategic Threat Level]]="High","Yes","No")</f>
        <v>No</v>
      </c>
      <c r="AC20" s="162" t="str">
        <f>IF(OR(tbl_Competitors[[#This Row],[Pricing Level]]="Lowest",tbl_Competitors[[#This Row],[Pricing Level]]="Low-Cost",tbl_Competitors[[#This Row],[Pricing Level]]="Cost-Effective"),"Yes","No")</f>
        <v>No</v>
      </c>
      <c r="AD20" s="162" t="str">
        <f>IF(tbl_Competitors[[#This Row],[Commercial / Captive Flag]]="Captive / Project-Based","Captive - Exclude from Open Market Share",IF(tbl_Competitors[[#This Row],[Estimated Market Share %]]="","Needs Validation",IF(tbl_Competitors[[#This Row],[Zone Market Share Coverage %]]&gt;1.05,"Zone Share Exceeds 100%","OK")))</f>
        <v>OK</v>
      </c>
      <c r="AE20" s="162" t="str">
        <f>IF(OR(tbl_Competitors[[#This Row],[Capacity Min]]="Invalid Format",tbl_Competitors[[#This Row],[Capacity Max]]="Invalid Format"),"Needs Capacity Validation",IF(tbl_Competitors[[#This Row],[Capacity Min]]&gt;tbl_Competitors[[#This Row],[Capacity Max]],"Capacity Range Error","OK"))</f>
        <v>OK</v>
      </c>
      <c r="AF20"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Monitor</v>
      </c>
      <c r="AG20" s="163" t="s">
        <v>3929</v>
      </c>
      <c r="AH20" s="162" t="s">
        <v>3951</v>
      </c>
    </row>
    <row r="21" spans="1:34" ht="12" customHeight="1">
      <c r="A21" s="35" t="s">
        <v>34</v>
      </c>
      <c r="B21" s="29" t="s">
        <v>3291</v>
      </c>
      <c r="C21" s="36" t="s">
        <v>3347</v>
      </c>
      <c r="D21" s="403" t="s">
        <v>3598</v>
      </c>
      <c r="E21" s="37" t="s">
        <v>3440</v>
      </c>
      <c r="F21" s="77">
        <f>tbl_Competitors[[#This Row],[Annual Capacity]]/SUM(tbl_Competitors[Annual Capacity])</f>
        <v>5.4029716343989191E-3</v>
      </c>
      <c r="G21" s="37" t="s">
        <v>3401</v>
      </c>
      <c r="H21" s="38" t="s">
        <v>3441</v>
      </c>
      <c r="I21" s="38" t="s">
        <v>3442</v>
      </c>
      <c r="J21" s="32" t="s">
        <v>194</v>
      </c>
      <c r="K21" s="210">
        <v>1</v>
      </c>
      <c r="L21" s="424">
        <v>21.195</v>
      </c>
      <c r="M21" s="424">
        <v>72.849999999999994</v>
      </c>
      <c r="N21" s="430">
        <v>12.6</v>
      </c>
      <c r="O21" s="211" t="str">
        <f>IF(tbl_Competitors[[#This Row],[Distance from Proposed Plant (km)]]&gt;tbl_Competitors[[#This Row],[Radius (Km)]],"Outside Radius","Within Radius")</f>
        <v>Outside Radius</v>
      </c>
      <c r="P21" s="436">
        <v>10</v>
      </c>
      <c r="Q21" s="160">
        <f>IFERROR(--SUBSTITUTE(TRIM(LEFT(SUBSTITUTE(tbl_Competitors[[#This Row],[Estimated Capacity (m³/month)]],"–","-"),FIND("-",SUBSTITUTE(tbl_Competitors[[#This Row],[Estimated Capacity (m³/month)]],"–","-"))-1)),",",""),"Invalid Format")</f>
        <v>2000</v>
      </c>
      <c r="R21" s="160">
        <f>IFERROR(--SUBSTITUTE(TRIM(MID(SUBSTITUTE(tbl_Competitors[[#This Row],[Estimated Capacity (m³/month)]],"–","-"),FIND("-",SUBSTITUTE(tbl_Competitors[[#This Row],[Estimated Capacity (m³/month)]],"–","-"))+1,99)),",",""),"Invalid Format")</f>
        <v>4000</v>
      </c>
      <c r="S21" s="160">
        <f>IFERROR(AVERAGE(tbl_Competitors[[#This Row],[Capacity Min]],tbl_Competitors[[#This Row],[Capacity Max]]),"")</f>
        <v>3000</v>
      </c>
      <c r="T21" s="161">
        <f>IF(tbl_Competitors[[#This Row],[Capacity Midpoint]]=0,"",(tbl_Competitors[[#This Row],[Capacity Max]]-tbl_Competitors[[#This Row],[Capacity Min]])/tbl_Competitors[[#This Row],[Capacity Midpoint]])</f>
        <v>0.66666666666666663</v>
      </c>
      <c r="U21" s="160">
        <f>IFERROR(tbl_Competitors[[#This Row],[Capacity Midpoint]]*12,"")</f>
        <v>36000</v>
      </c>
      <c r="V21" s="160">
        <f>IFERROR(SUMIFS(tbl_Competitors[Capacity Midpoint],tbl_Competitors[Zone],tbl_Competitors[[#This Row],[Zone]]),"")</f>
        <v>186000</v>
      </c>
      <c r="W21" s="161">
        <f>IFERROR(tbl_Competitors[[#This Row],[Capacity Midpoint]]/tbl_Competitors[[#This Row],[Zone Capacity Total]],"")</f>
        <v>1.6129032258064516E-2</v>
      </c>
      <c r="X21" s="161">
        <f>IFERROR(SUMIFS(tbl_Competitors[Estimated Market Share %],tbl_Competitors[Zone],tbl_Competitors[[#This Row],[Zone]]),"")</f>
        <v>0.33498424133273308</v>
      </c>
      <c r="Y21" s="162"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21" s="298">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2</v>
      </c>
      <c r="AA21" s="162">
        <f>IF(tbl_Competitors[[#This Row],[Strategic Threat Level]]="High",3,IF(tbl_Competitors[[#This Row],[Strategic Threat Level]]="Medium",2,IF(tbl_Competitors[[#This Row],[Strategic Threat Level]]="Low",1,"")))</f>
        <v>2</v>
      </c>
      <c r="AB21" s="162" t="str">
        <f>IF(tbl_Competitors[[#This Row],[Strategic Threat Level]]="High","Yes","No")</f>
        <v>No</v>
      </c>
      <c r="AC21" s="162" t="str">
        <f>IF(OR(tbl_Competitors[[#This Row],[Pricing Level]]="Lowest",tbl_Competitors[[#This Row],[Pricing Level]]="Low-Cost",tbl_Competitors[[#This Row],[Pricing Level]]="Cost-Effective"),"Yes","No")</f>
        <v>No</v>
      </c>
      <c r="AD21" s="162" t="str">
        <f>IF(tbl_Competitors[[#This Row],[Commercial / Captive Flag]]="Captive / Project-Based","Captive - Exclude from Open Market Share",IF(tbl_Competitors[[#This Row],[Estimated Market Share %]]="","Needs Validation",IF(tbl_Competitors[[#This Row],[Zone Market Share Coverage %]]&gt;1.05,"Zone Share Exceeds 100%","OK")))</f>
        <v>OK</v>
      </c>
      <c r="AE21" s="162" t="str">
        <f>IF(OR(tbl_Competitors[[#This Row],[Capacity Min]]="Invalid Format",tbl_Competitors[[#This Row],[Capacity Max]]="Invalid Format"),"Needs Capacity Validation",IF(tbl_Competitors[[#This Row],[Capacity Min]]&gt;tbl_Competitors[[#This Row],[Capacity Max]],"Capacity Range Error","OK"))</f>
        <v>OK</v>
      </c>
      <c r="AF21"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Monitor</v>
      </c>
      <c r="AG21" s="163" t="s">
        <v>3930</v>
      </c>
      <c r="AH21" s="162" t="s">
        <v>3787</v>
      </c>
    </row>
    <row r="22" spans="1:34" ht="12" customHeight="1">
      <c r="A22" s="35" t="s">
        <v>34</v>
      </c>
      <c r="B22" s="29" t="s">
        <v>3292</v>
      </c>
      <c r="C22" s="36" t="s">
        <v>3348</v>
      </c>
      <c r="D22" s="403" t="s">
        <v>3599</v>
      </c>
      <c r="E22" s="37" t="s">
        <v>3424</v>
      </c>
      <c r="F22" s="77">
        <f>tbl_Competitors[[#This Row],[Annual Capacity]]/SUM(tbl_Competitors[Annual Capacity])</f>
        <v>4.9527239981990096E-3</v>
      </c>
      <c r="G22" s="37" t="s">
        <v>3425</v>
      </c>
      <c r="H22" s="38" t="s">
        <v>3443</v>
      </c>
      <c r="I22" s="38" t="s">
        <v>3444</v>
      </c>
      <c r="J22" s="32" t="s">
        <v>194</v>
      </c>
      <c r="K22" s="210">
        <v>1</v>
      </c>
      <c r="L22" s="424">
        <v>21.305</v>
      </c>
      <c r="M22" s="424">
        <v>72.930000000000007</v>
      </c>
      <c r="N22" s="430">
        <v>25</v>
      </c>
      <c r="O22" s="211" t="str">
        <f>IF(tbl_Competitors[[#This Row],[Distance from Proposed Plant (km)]]&gt;tbl_Competitors[[#This Row],[Radius (Km)]],"Outside Radius","Within Radius")</f>
        <v>Outside Radius</v>
      </c>
      <c r="P22" s="436">
        <v>10</v>
      </c>
      <c r="Q22" s="160">
        <f>IFERROR(--SUBSTITUTE(TRIM(LEFT(SUBSTITUTE(tbl_Competitors[[#This Row],[Estimated Capacity (m³/month)]],"–","-"),FIND("-",SUBSTITUTE(tbl_Competitors[[#This Row],[Estimated Capacity (m³/month)]],"–","-"))-1)),",",""),"Invalid Format")</f>
        <v>1500</v>
      </c>
      <c r="R22" s="160">
        <f>IFERROR(--SUBSTITUTE(TRIM(MID(SUBSTITUTE(tbl_Competitors[[#This Row],[Estimated Capacity (m³/month)]],"–","-"),FIND("-",SUBSTITUTE(tbl_Competitors[[#This Row],[Estimated Capacity (m³/month)]],"–","-"))+1,99)),",",""),"Invalid Format")</f>
        <v>4000</v>
      </c>
      <c r="S22" s="160">
        <f>IFERROR(AVERAGE(tbl_Competitors[[#This Row],[Capacity Min]],tbl_Competitors[[#This Row],[Capacity Max]]),"")</f>
        <v>2750</v>
      </c>
      <c r="T22" s="161">
        <f>IF(tbl_Competitors[[#This Row],[Capacity Midpoint]]=0,"",(tbl_Competitors[[#This Row],[Capacity Max]]-tbl_Competitors[[#This Row],[Capacity Min]])/tbl_Competitors[[#This Row],[Capacity Midpoint]])</f>
        <v>0.90909090909090906</v>
      </c>
      <c r="U22" s="160">
        <f>IFERROR(tbl_Competitors[[#This Row],[Capacity Midpoint]]*12,"")</f>
        <v>33000</v>
      </c>
      <c r="V22" s="160">
        <f>IFERROR(SUMIFS(tbl_Competitors[Capacity Midpoint],tbl_Competitors[Zone],tbl_Competitors[[#This Row],[Zone]]),"")</f>
        <v>186000</v>
      </c>
      <c r="W22" s="161">
        <f>IFERROR(tbl_Competitors[[#This Row],[Capacity Midpoint]]/tbl_Competitors[[#This Row],[Zone Capacity Total]],"")</f>
        <v>1.4784946236559141E-2</v>
      </c>
      <c r="X22" s="161">
        <f>IFERROR(SUMIFS(tbl_Competitors[Estimated Market Share %],tbl_Competitors[Zone],tbl_Competitors[[#This Row],[Zone]]),"")</f>
        <v>0.33498424133273308</v>
      </c>
      <c r="Y22" s="162"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22" s="298">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3</v>
      </c>
      <c r="AA22" s="162">
        <f>IF(tbl_Competitors[[#This Row],[Strategic Threat Level]]="High",3,IF(tbl_Competitors[[#This Row],[Strategic Threat Level]]="Medium",2,IF(tbl_Competitors[[#This Row],[Strategic Threat Level]]="Low",1,"")))</f>
        <v>2</v>
      </c>
      <c r="AB22" s="162" t="str">
        <f>IF(tbl_Competitors[[#This Row],[Strategic Threat Level]]="High","Yes","No")</f>
        <v>No</v>
      </c>
      <c r="AC22" s="162" t="str">
        <f>IF(OR(tbl_Competitors[[#This Row],[Pricing Level]]="Lowest",tbl_Competitors[[#This Row],[Pricing Level]]="Low-Cost",tbl_Competitors[[#This Row],[Pricing Level]]="Cost-Effective"),"Yes","No")</f>
        <v>No</v>
      </c>
      <c r="AD22" s="162" t="str">
        <f>IF(tbl_Competitors[[#This Row],[Commercial / Captive Flag]]="Captive / Project-Based","Captive - Exclude from Open Market Share",IF(tbl_Competitors[[#This Row],[Estimated Market Share %]]="","Needs Validation",IF(tbl_Competitors[[#This Row],[Zone Market Share Coverage %]]&gt;1.05,"Zone Share Exceeds 100%","OK")))</f>
        <v>OK</v>
      </c>
      <c r="AE22" s="162" t="str">
        <f>IF(OR(tbl_Competitors[[#This Row],[Capacity Min]]="Invalid Format",tbl_Competitors[[#This Row],[Capacity Max]]="Invalid Format"),"Needs Capacity Validation",IF(tbl_Competitors[[#This Row],[Capacity Min]]&gt;tbl_Competitors[[#This Row],[Capacity Max]],"Capacity Range Error","OK"))</f>
        <v>OK</v>
      </c>
      <c r="AF22"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Monitor</v>
      </c>
      <c r="AG22" s="163" t="s">
        <v>3927</v>
      </c>
      <c r="AH22" s="162" t="s">
        <v>3787</v>
      </c>
    </row>
    <row r="23" spans="1:34" ht="12" customHeight="1">
      <c r="A23" s="35" t="s">
        <v>34</v>
      </c>
      <c r="B23" s="29" t="s">
        <v>3293</v>
      </c>
      <c r="C23" s="36" t="s">
        <v>3349</v>
      </c>
      <c r="D23" s="403" t="s">
        <v>3600</v>
      </c>
      <c r="E23" s="37" t="s">
        <v>3424</v>
      </c>
      <c r="F23" s="77">
        <f>tbl_Competitors[[#This Row],[Annual Capacity]]/SUM(tbl_Competitors[Annual Capacity])</f>
        <v>4.5024763619990991E-3</v>
      </c>
      <c r="G23" s="37" t="s">
        <v>3445</v>
      </c>
      <c r="H23" s="38" t="s">
        <v>3446</v>
      </c>
      <c r="I23" s="38" t="s">
        <v>3447</v>
      </c>
      <c r="J23" s="34" t="s">
        <v>3423</v>
      </c>
      <c r="K23" s="210">
        <v>1</v>
      </c>
      <c r="L23" s="424">
        <v>21.14</v>
      </c>
      <c r="M23" s="424">
        <v>72.795000000000002</v>
      </c>
      <c r="N23" s="430">
        <v>10.8</v>
      </c>
      <c r="O23" s="211" t="str">
        <f>IF(tbl_Competitors[[#This Row],[Distance from Proposed Plant (km)]]&gt;tbl_Competitors[[#This Row],[Radius (Km)]],"Outside Radius","Within Radius")</f>
        <v>Outside Radius</v>
      </c>
      <c r="P23" s="436">
        <v>10</v>
      </c>
      <c r="Q23" s="160">
        <f>IFERROR(--SUBSTITUTE(TRIM(LEFT(SUBSTITUTE(tbl_Competitors[[#This Row],[Estimated Capacity (m³/month)]],"–","-"),FIND("-",SUBSTITUTE(tbl_Competitors[[#This Row],[Estimated Capacity (m³/month)]],"–","-"))-1)),",",""),"Invalid Format")</f>
        <v>2000</v>
      </c>
      <c r="R23" s="160">
        <f>IFERROR(--SUBSTITUTE(TRIM(MID(SUBSTITUTE(tbl_Competitors[[#This Row],[Estimated Capacity (m³/month)]],"–","-"),FIND("-",SUBSTITUTE(tbl_Competitors[[#This Row],[Estimated Capacity (m³/month)]],"–","-"))+1,99)),",",""),"Invalid Format")</f>
        <v>3000</v>
      </c>
      <c r="S23" s="160">
        <f>IFERROR(AVERAGE(tbl_Competitors[[#This Row],[Capacity Min]],tbl_Competitors[[#This Row],[Capacity Max]]),"")</f>
        <v>2500</v>
      </c>
      <c r="T23" s="161">
        <f>IF(tbl_Competitors[[#This Row],[Capacity Midpoint]]=0,"",(tbl_Competitors[[#This Row],[Capacity Max]]-tbl_Competitors[[#This Row],[Capacity Min]])/tbl_Competitors[[#This Row],[Capacity Midpoint]])</f>
        <v>0.4</v>
      </c>
      <c r="U23" s="160">
        <f>IFERROR(tbl_Competitors[[#This Row],[Capacity Midpoint]]*12,"")</f>
        <v>30000</v>
      </c>
      <c r="V23" s="160">
        <f>IFERROR(SUMIFS(tbl_Competitors[Capacity Midpoint],tbl_Competitors[Zone],tbl_Competitors[[#This Row],[Zone]]),"")</f>
        <v>186000</v>
      </c>
      <c r="W23" s="161">
        <f>IFERROR(tbl_Competitors[[#This Row],[Capacity Midpoint]]/tbl_Competitors[[#This Row],[Zone Capacity Total]],"")</f>
        <v>1.3440860215053764E-2</v>
      </c>
      <c r="X23" s="161">
        <f>IFERROR(SUMIFS(tbl_Competitors[Estimated Market Share %],tbl_Competitors[Zone],tbl_Competitors[[#This Row],[Zone]]),"")</f>
        <v>0.33498424133273308</v>
      </c>
      <c r="Y23" s="162"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23" s="298">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5</v>
      </c>
      <c r="AA23" s="162">
        <f>IF(tbl_Competitors[[#This Row],[Strategic Threat Level]]="High",3,IF(tbl_Competitors[[#This Row],[Strategic Threat Level]]="Medium",2,IF(tbl_Competitors[[#This Row],[Strategic Threat Level]]="Low",1,"")))</f>
        <v>3</v>
      </c>
      <c r="AB23" s="162" t="str">
        <f>IF(tbl_Competitors[[#This Row],[Strategic Threat Level]]="High","Yes","No")</f>
        <v>Yes</v>
      </c>
      <c r="AC23" s="162" t="str">
        <f>IF(OR(tbl_Competitors[[#This Row],[Pricing Level]]="Lowest",tbl_Competitors[[#This Row],[Pricing Level]]="Low-Cost",tbl_Competitors[[#This Row],[Pricing Level]]="Cost-Effective"),"Yes","No")</f>
        <v>Yes</v>
      </c>
      <c r="AD23" s="162" t="str">
        <f>IF(tbl_Competitors[[#This Row],[Commercial / Captive Flag]]="Captive / Project-Based","Captive - Exclude from Open Market Share",IF(tbl_Competitors[[#This Row],[Estimated Market Share %]]="","Needs Validation",IF(tbl_Competitors[[#This Row],[Zone Market Share Coverage %]]&gt;1.05,"Zone Share Exceeds 100%","OK")))</f>
        <v>OK</v>
      </c>
      <c r="AE23" s="162" t="str">
        <f>IF(OR(tbl_Competitors[[#This Row],[Capacity Min]]="Invalid Format",tbl_Competitors[[#This Row],[Capacity Max]]="Invalid Format"),"Needs Capacity Validation",IF(tbl_Competitors[[#This Row],[Capacity Min]]&gt;tbl_Competitors[[#This Row],[Capacity Max]],"Capacity Range Error","OK"))</f>
        <v>OK</v>
      </c>
      <c r="AF23"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High Priority</v>
      </c>
      <c r="AG23" s="163" t="s">
        <v>3931</v>
      </c>
      <c r="AH23" s="162" t="s">
        <v>3951</v>
      </c>
    </row>
    <row r="24" spans="1:34" ht="12" customHeight="1">
      <c r="A24" s="25" t="s">
        <v>35</v>
      </c>
      <c r="B24" s="20" t="s">
        <v>3295</v>
      </c>
      <c r="C24" s="39" t="s">
        <v>3350</v>
      </c>
      <c r="D24" s="404" t="s">
        <v>3594</v>
      </c>
      <c r="E24" s="40" t="s">
        <v>3419</v>
      </c>
      <c r="F24" s="78">
        <f>tbl_Competitors[[#This Row],[Annual Capacity]]/SUM(tbl_Competitors[Annual Capacity])</f>
        <v>1.0805943268797838E-2</v>
      </c>
      <c r="G24" s="40" t="s">
        <v>3420</v>
      </c>
      <c r="H24" s="47" t="s">
        <v>3448</v>
      </c>
      <c r="I24" s="47" t="s">
        <v>3449</v>
      </c>
      <c r="J24" s="18" t="s">
        <v>194</v>
      </c>
      <c r="K24" s="212">
        <v>2</v>
      </c>
      <c r="L24" s="425">
        <v>20.389299999999999</v>
      </c>
      <c r="M24" s="425">
        <v>72.910600000000002</v>
      </c>
      <c r="N24" s="431">
        <v>77.400000000000006</v>
      </c>
      <c r="O24" s="213" t="str">
        <f>IF(tbl_Competitors[[#This Row],[Distance from Proposed Plant (km)]]&gt;tbl_Competitors[[#This Row],[Radius (Km)]],"Outside Radius","Within Radius")</f>
        <v>Outside Radius</v>
      </c>
      <c r="P24" s="437">
        <v>18</v>
      </c>
      <c r="Q24" s="165">
        <f>IFERROR(--SUBSTITUTE(TRIM(LEFT(SUBSTITUTE(tbl_Competitors[[#This Row],[Estimated Capacity (m³/month)]],"–","-"),FIND("-",SUBSTITUTE(tbl_Competitors[[#This Row],[Estimated Capacity (m³/month)]],"–","-"))-1)),",",""),"Invalid Format")</f>
        <v>4000</v>
      </c>
      <c r="R24" s="165">
        <f>IFERROR(--SUBSTITUTE(TRIM(MID(SUBSTITUTE(tbl_Competitors[[#This Row],[Estimated Capacity (m³/month)]],"–","-"),FIND("-",SUBSTITUTE(tbl_Competitors[[#This Row],[Estimated Capacity (m³/month)]],"–","-"))+1,99)),",",""),"Invalid Format")</f>
        <v>8000</v>
      </c>
      <c r="S24" s="165">
        <f>IFERROR(AVERAGE(tbl_Competitors[[#This Row],[Capacity Min]],tbl_Competitors[[#This Row],[Capacity Max]]),"")</f>
        <v>6000</v>
      </c>
      <c r="T24" s="166">
        <f>IF(tbl_Competitors[[#This Row],[Capacity Midpoint]]=0,"",(tbl_Competitors[[#This Row],[Capacity Max]]-tbl_Competitors[[#This Row],[Capacity Min]])/tbl_Competitors[[#This Row],[Capacity Midpoint]])</f>
        <v>0.66666666666666663</v>
      </c>
      <c r="U24" s="165">
        <f>IFERROR(tbl_Competitors[[#This Row],[Capacity Midpoint]]*12,"")</f>
        <v>72000</v>
      </c>
      <c r="V24" s="165">
        <f>IFERROR(SUMIFS(tbl_Competitors[Capacity Midpoint],tbl_Competitors[Zone],tbl_Competitors[[#This Row],[Zone]]),"")</f>
        <v>38500</v>
      </c>
      <c r="W24" s="166">
        <f>IFERROR(tbl_Competitors[[#This Row],[Capacity Midpoint]]/tbl_Competitors[[#This Row],[Zone Capacity Total]],"")</f>
        <v>0.15584415584415584</v>
      </c>
      <c r="X24" s="166">
        <f>IFERROR(SUMIFS(tbl_Competitors[Estimated Market Share %],tbl_Competitors[Zone],tbl_Competitors[[#This Row],[Zone]]),"")</f>
        <v>6.9338135974786122E-2</v>
      </c>
      <c r="Y24" s="167"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24" s="299">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4</v>
      </c>
      <c r="AA24" s="167">
        <f>IF(tbl_Competitors[[#This Row],[Strategic Threat Level]]="High",3,IF(tbl_Competitors[[#This Row],[Strategic Threat Level]]="Medium",2,IF(tbl_Competitors[[#This Row],[Strategic Threat Level]]="Low",1,"")))</f>
        <v>2</v>
      </c>
      <c r="AB24" s="167" t="str">
        <f>IF(tbl_Competitors[[#This Row],[Strategic Threat Level]]="High","Yes","No")</f>
        <v>No</v>
      </c>
      <c r="AC24" s="167" t="str">
        <f>IF(OR(tbl_Competitors[[#This Row],[Pricing Level]]="Lowest",tbl_Competitors[[#This Row],[Pricing Level]]="Low-Cost",tbl_Competitors[[#This Row],[Pricing Level]]="Cost-Effective"),"Yes","No")</f>
        <v>No</v>
      </c>
      <c r="AD24" s="167" t="str">
        <f>IF(tbl_Competitors[[#This Row],[Commercial / Captive Flag]]="Captive / Project-Based","Captive - Exclude from Open Market Share",IF(tbl_Competitors[[#This Row],[Estimated Market Share %]]="","Needs Validation",IF(tbl_Competitors[[#This Row],[Zone Market Share Coverage %]]&gt;1.05,"Zone Share Exceeds 100%","OK")))</f>
        <v>OK</v>
      </c>
      <c r="AE24" s="167" t="str">
        <f>IF(OR(tbl_Competitors[[#This Row],[Capacity Min]]="Invalid Format",tbl_Competitors[[#This Row],[Capacity Max]]="Invalid Format"),"Needs Capacity Validation",IF(tbl_Competitors[[#This Row],[Capacity Min]]&gt;tbl_Competitors[[#This Row],[Capacity Max]],"Capacity Range Error","OK"))</f>
        <v>OK</v>
      </c>
      <c r="AF24"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Monitor</v>
      </c>
      <c r="AG24" s="223" t="s">
        <v>3932</v>
      </c>
      <c r="AH24" s="167" t="s">
        <v>3787</v>
      </c>
    </row>
    <row r="25" spans="1:34" ht="12" customHeight="1">
      <c r="A25" s="25" t="s">
        <v>35</v>
      </c>
      <c r="B25" s="20" t="s">
        <v>3280</v>
      </c>
      <c r="C25" s="39" t="s">
        <v>3351</v>
      </c>
      <c r="D25" s="404" t="s">
        <v>3595</v>
      </c>
      <c r="E25" s="40" t="s">
        <v>3395</v>
      </c>
      <c r="F25" s="78">
        <f>tbl_Competitors[[#This Row],[Annual Capacity]]/SUM(tbl_Competitors[Annual Capacity])</f>
        <v>8.1044574515983792E-3</v>
      </c>
      <c r="G25" s="40" t="s">
        <v>3396</v>
      </c>
      <c r="H25" s="47" t="s">
        <v>3450</v>
      </c>
      <c r="I25" s="47" t="s">
        <v>3451</v>
      </c>
      <c r="J25" s="17" t="s">
        <v>3397</v>
      </c>
      <c r="K25" s="212">
        <v>1</v>
      </c>
      <c r="L25" s="425">
        <v>20.405000000000001</v>
      </c>
      <c r="M25" s="425">
        <v>72.930000000000007</v>
      </c>
      <c r="N25" s="431">
        <v>75.8</v>
      </c>
      <c r="O25" s="213" t="str">
        <f>IF(tbl_Competitors[[#This Row],[Distance from Proposed Plant (km)]]&gt;tbl_Competitors[[#This Row],[Radius (Km)]],"Outside Radius","Within Radius")</f>
        <v>Outside Radius</v>
      </c>
      <c r="P25" s="437">
        <v>20</v>
      </c>
      <c r="Q25" s="165">
        <f>IFERROR(--SUBSTITUTE(TRIM(LEFT(SUBSTITUTE(tbl_Competitors[[#This Row],[Estimated Capacity (m³/month)]],"–","-"),FIND("-",SUBSTITUTE(tbl_Competitors[[#This Row],[Estimated Capacity (m³/month)]],"–","-"))-1)),",",""),"Invalid Format")</f>
        <v>3000</v>
      </c>
      <c r="R25" s="165">
        <f>IFERROR(--SUBSTITUTE(TRIM(MID(SUBSTITUTE(tbl_Competitors[[#This Row],[Estimated Capacity (m³/month)]],"–","-"),FIND("-",SUBSTITUTE(tbl_Competitors[[#This Row],[Estimated Capacity (m³/month)]],"–","-"))+1,99)),",",""),"Invalid Format")</f>
        <v>6000</v>
      </c>
      <c r="S25" s="165">
        <f>IFERROR(AVERAGE(tbl_Competitors[[#This Row],[Capacity Min]],tbl_Competitors[[#This Row],[Capacity Max]]),"")</f>
        <v>4500</v>
      </c>
      <c r="T25" s="166">
        <f>IF(tbl_Competitors[[#This Row],[Capacity Midpoint]]=0,"",(tbl_Competitors[[#This Row],[Capacity Max]]-tbl_Competitors[[#This Row],[Capacity Min]])/tbl_Competitors[[#This Row],[Capacity Midpoint]])</f>
        <v>0.66666666666666663</v>
      </c>
      <c r="U25" s="165">
        <f>IFERROR(tbl_Competitors[[#This Row],[Capacity Midpoint]]*12,"")</f>
        <v>54000</v>
      </c>
      <c r="V25" s="165">
        <f>IFERROR(SUMIFS(tbl_Competitors[Capacity Midpoint],tbl_Competitors[Zone],tbl_Competitors[[#This Row],[Zone]]),"")</f>
        <v>38500</v>
      </c>
      <c r="W25" s="166">
        <f>IFERROR(tbl_Competitors[[#This Row],[Capacity Midpoint]]/tbl_Competitors[[#This Row],[Zone Capacity Total]],"")</f>
        <v>0.11688311688311688</v>
      </c>
      <c r="X25" s="166">
        <f>IFERROR(SUMIFS(tbl_Competitors[Estimated Market Share %],tbl_Competitors[Zone],tbl_Competitors[[#This Row],[Zone]]),"")</f>
        <v>6.9338135974786122E-2</v>
      </c>
      <c r="Y25" s="167"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25" s="299">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1</v>
      </c>
      <c r="AA25" s="167">
        <f>IF(tbl_Competitors[[#This Row],[Strategic Threat Level]]="High",3,IF(tbl_Competitors[[#This Row],[Strategic Threat Level]]="Medium",2,IF(tbl_Competitors[[#This Row],[Strategic Threat Level]]="Low",1,"")))</f>
        <v>1</v>
      </c>
      <c r="AB25" s="167" t="str">
        <f>IF(tbl_Competitors[[#This Row],[Strategic Threat Level]]="High","Yes","No")</f>
        <v>No</v>
      </c>
      <c r="AC25" s="167" t="str">
        <f>IF(OR(tbl_Competitors[[#This Row],[Pricing Level]]="Lowest",tbl_Competitors[[#This Row],[Pricing Level]]="Low-Cost",tbl_Competitors[[#This Row],[Pricing Level]]="Cost-Effective"),"Yes","No")</f>
        <v>No</v>
      </c>
      <c r="AD25" s="167" t="str">
        <f>IF(tbl_Competitors[[#This Row],[Commercial / Captive Flag]]="Captive / Project-Based","Captive - Exclude from Open Market Share",IF(tbl_Competitors[[#This Row],[Estimated Market Share %]]="","Needs Validation",IF(tbl_Competitors[[#This Row],[Zone Market Share Coverage %]]&gt;1.05,"Zone Share Exceeds 100%","OK")))</f>
        <v>OK</v>
      </c>
      <c r="AE25" s="167" t="str">
        <f>IF(OR(tbl_Competitors[[#This Row],[Capacity Min]]="Invalid Format",tbl_Competitors[[#This Row],[Capacity Max]]="Invalid Format"),"Needs Capacity Validation",IF(tbl_Competitors[[#This Row],[Capacity Min]]&gt;tbl_Competitors[[#This Row],[Capacity Max]],"Capacity Range Error","OK"))</f>
        <v>OK</v>
      </c>
      <c r="AF25"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Monitor</v>
      </c>
      <c r="AG25" s="223" t="s">
        <v>3933</v>
      </c>
      <c r="AH25" s="167" t="s">
        <v>3787</v>
      </c>
    </row>
    <row r="26" spans="1:34" ht="12" customHeight="1">
      <c r="A26" s="25" t="s">
        <v>35</v>
      </c>
      <c r="B26" s="20" t="s">
        <v>3296</v>
      </c>
      <c r="C26" s="39" t="s">
        <v>3352</v>
      </c>
      <c r="D26" s="404" t="s">
        <v>3601</v>
      </c>
      <c r="E26" s="40" t="s">
        <v>3419</v>
      </c>
      <c r="F26" s="78">
        <f>tbl_Competitors[[#This Row],[Annual Capacity]]/SUM(tbl_Competitors[Annual Capacity])</f>
        <v>6.7537145429986496E-3</v>
      </c>
      <c r="G26" s="40" t="s">
        <v>3401</v>
      </c>
      <c r="H26" s="47" t="s">
        <v>3452</v>
      </c>
      <c r="I26" s="47" t="s">
        <v>3453</v>
      </c>
      <c r="J26" s="18" t="s">
        <v>194</v>
      </c>
      <c r="K26" s="212">
        <v>1</v>
      </c>
      <c r="L26" s="425">
        <v>20.389299999999999</v>
      </c>
      <c r="M26" s="425">
        <v>72.910600000000002</v>
      </c>
      <c r="N26" s="431">
        <v>77.400000000000006</v>
      </c>
      <c r="O26" s="213" t="str">
        <f>IF(tbl_Competitors[[#This Row],[Distance from Proposed Plant (km)]]&gt;tbl_Competitors[[#This Row],[Radius (Km)]],"Outside Radius","Within Radius")</f>
        <v>Outside Radius</v>
      </c>
      <c r="P26" s="437">
        <v>18</v>
      </c>
      <c r="Q26" s="165">
        <f>IFERROR(--SUBSTITUTE(TRIM(LEFT(SUBSTITUTE(tbl_Competitors[[#This Row],[Estimated Capacity (m³/month)]],"–","-"),FIND("-",SUBSTITUTE(tbl_Competitors[[#This Row],[Estimated Capacity (m³/month)]],"–","-"))-1)),",",""),"Invalid Format")</f>
        <v>2500</v>
      </c>
      <c r="R26" s="165">
        <f>IFERROR(--SUBSTITUTE(TRIM(MID(SUBSTITUTE(tbl_Competitors[[#This Row],[Estimated Capacity (m³/month)]],"–","-"),FIND("-",SUBSTITUTE(tbl_Competitors[[#This Row],[Estimated Capacity (m³/month)]],"–","-"))+1,99)),",",""),"Invalid Format")</f>
        <v>5000</v>
      </c>
      <c r="S26" s="165">
        <f>IFERROR(AVERAGE(tbl_Competitors[[#This Row],[Capacity Min]],tbl_Competitors[[#This Row],[Capacity Max]]),"")</f>
        <v>3750</v>
      </c>
      <c r="T26" s="166">
        <f>IF(tbl_Competitors[[#This Row],[Capacity Midpoint]]=0,"",(tbl_Competitors[[#This Row],[Capacity Max]]-tbl_Competitors[[#This Row],[Capacity Min]])/tbl_Competitors[[#This Row],[Capacity Midpoint]])</f>
        <v>0.66666666666666663</v>
      </c>
      <c r="U26" s="165">
        <f>IFERROR(tbl_Competitors[[#This Row],[Capacity Midpoint]]*12,"")</f>
        <v>45000</v>
      </c>
      <c r="V26" s="165">
        <f>IFERROR(SUMIFS(tbl_Competitors[Capacity Midpoint],tbl_Competitors[Zone],tbl_Competitors[[#This Row],[Zone]]),"")</f>
        <v>38500</v>
      </c>
      <c r="W26" s="166">
        <f>IFERROR(tbl_Competitors[[#This Row],[Capacity Midpoint]]/tbl_Competitors[[#This Row],[Zone Capacity Total]],"")</f>
        <v>9.7402597402597407E-2</v>
      </c>
      <c r="X26" s="166">
        <f>IFERROR(SUMIFS(tbl_Competitors[Estimated Market Share %],tbl_Competitors[Zone],tbl_Competitors[[#This Row],[Zone]]),"")</f>
        <v>6.9338135974786122E-2</v>
      </c>
      <c r="Y26" s="167"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26" s="299">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2</v>
      </c>
      <c r="AA26" s="167">
        <f>IF(tbl_Competitors[[#This Row],[Strategic Threat Level]]="High",3,IF(tbl_Competitors[[#This Row],[Strategic Threat Level]]="Medium",2,IF(tbl_Competitors[[#This Row],[Strategic Threat Level]]="Low",1,"")))</f>
        <v>2</v>
      </c>
      <c r="AB26" s="167" t="str">
        <f>IF(tbl_Competitors[[#This Row],[Strategic Threat Level]]="High","Yes","No")</f>
        <v>No</v>
      </c>
      <c r="AC26" s="167" t="str">
        <f>IF(OR(tbl_Competitors[[#This Row],[Pricing Level]]="Lowest",tbl_Competitors[[#This Row],[Pricing Level]]="Low-Cost",tbl_Competitors[[#This Row],[Pricing Level]]="Cost-Effective"),"Yes","No")</f>
        <v>No</v>
      </c>
      <c r="AD26" s="167" t="str">
        <f>IF(tbl_Competitors[[#This Row],[Commercial / Captive Flag]]="Captive / Project-Based","Captive - Exclude from Open Market Share",IF(tbl_Competitors[[#This Row],[Estimated Market Share %]]="","Needs Validation",IF(tbl_Competitors[[#This Row],[Zone Market Share Coverage %]]&gt;1.05,"Zone Share Exceeds 100%","OK")))</f>
        <v>OK</v>
      </c>
      <c r="AE26" s="167" t="str">
        <f>IF(OR(tbl_Competitors[[#This Row],[Capacity Min]]="Invalid Format",tbl_Competitors[[#This Row],[Capacity Max]]="Invalid Format"),"Needs Capacity Validation",IF(tbl_Competitors[[#This Row],[Capacity Min]]&gt;tbl_Competitors[[#This Row],[Capacity Max]],"Capacity Range Error","OK"))</f>
        <v>OK</v>
      </c>
      <c r="AF26"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Monitor</v>
      </c>
      <c r="AG26" s="223" t="s">
        <v>3934</v>
      </c>
      <c r="AH26" s="167" t="s">
        <v>3951</v>
      </c>
    </row>
    <row r="27" spans="1:34" ht="12" customHeight="1">
      <c r="A27" s="25" t="s">
        <v>35</v>
      </c>
      <c r="B27" s="20" t="s">
        <v>3289</v>
      </c>
      <c r="C27" s="39" t="s">
        <v>3353</v>
      </c>
      <c r="D27" s="404" t="s">
        <v>3601</v>
      </c>
      <c r="E27" s="40" t="s">
        <v>3424</v>
      </c>
      <c r="F27" s="78">
        <f>tbl_Competitors[[#This Row],[Annual Capacity]]/SUM(tbl_Competitors[Annual Capacity])</f>
        <v>6.7537145429986496E-3</v>
      </c>
      <c r="G27" s="40" t="s">
        <v>3420</v>
      </c>
      <c r="H27" s="47" t="s">
        <v>3454</v>
      </c>
      <c r="I27" s="47" t="s">
        <v>3455</v>
      </c>
      <c r="J27" s="18" t="s">
        <v>194</v>
      </c>
      <c r="K27" s="212">
        <v>1</v>
      </c>
      <c r="L27" s="425">
        <v>20.18</v>
      </c>
      <c r="M27" s="425">
        <v>72.965000000000003</v>
      </c>
      <c r="N27" s="431">
        <v>101</v>
      </c>
      <c r="O27" s="213" t="str">
        <f>IF(tbl_Competitors[[#This Row],[Distance from Proposed Plant (km)]]&gt;tbl_Competitors[[#This Row],[Radius (Km)]],"Outside Radius","Within Radius")</f>
        <v>Outside Radius</v>
      </c>
      <c r="P27" s="437">
        <v>10</v>
      </c>
      <c r="Q27" s="165">
        <f>IFERROR(--SUBSTITUTE(TRIM(LEFT(SUBSTITUTE(tbl_Competitors[[#This Row],[Estimated Capacity (m³/month)]],"–","-"),FIND("-",SUBSTITUTE(tbl_Competitors[[#This Row],[Estimated Capacity (m³/month)]],"–","-"))-1)),",",""),"Invalid Format")</f>
        <v>2500</v>
      </c>
      <c r="R27" s="165">
        <f>IFERROR(--SUBSTITUTE(TRIM(MID(SUBSTITUTE(tbl_Competitors[[#This Row],[Estimated Capacity (m³/month)]],"–","-"),FIND("-",SUBSTITUTE(tbl_Competitors[[#This Row],[Estimated Capacity (m³/month)]],"–","-"))+1,99)),",",""),"Invalid Format")</f>
        <v>5000</v>
      </c>
      <c r="S27" s="165">
        <f>IFERROR(AVERAGE(tbl_Competitors[[#This Row],[Capacity Min]],tbl_Competitors[[#This Row],[Capacity Max]]),"")</f>
        <v>3750</v>
      </c>
      <c r="T27" s="166">
        <f>IF(tbl_Competitors[[#This Row],[Capacity Midpoint]]=0,"",(tbl_Competitors[[#This Row],[Capacity Max]]-tbl_Competitors[[#This Row],[Capacity Min]])/tbl_Competitors[[#This Row],[Capacity Midpoint]])</f>
        <v>0.66666666666666663</v>
      </c>
      <c r="U27" s="165">
        <f>IFERROR(tbl_Competitors[[#This Row],[Capacity Midpoint]]*12,"")</f>
        <v>45000</v>
      </c>
      <c r="V27" s="165">
        <f>IFERROR(SUMIFS(tbl_Competitors[Capacity Midpoint],tbl_Competitors[Zone],tbl_Competitors[[#This Row],[Zone]]),"")</f>
        <v>38500</v>
      </c>
      <c r="W27" s="166">
        <f>IFERROR(tbl_Competitors[[#This Row],[Capacity Midpoint]]/tbl_Competitors[[#This Row],[Zone Capacity Total]],"")</f>
        <v>9.7402597402597407E-2</v>
      </c>
      <c r="X27" s="166">
        <f>IFERROR(SUMIFS(tbl_Competitors[Estimated Market Share %],tbl_Competitors[Zone],tbl_Competitors[[#This Row],[Zone]]),"")</f>
        <v>6.9338135974786122E-2</v>
      </c>
      <c r="Y27" s="167"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27" s="299">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4</v>
      </c>
      <c r="AA27" s="167">
        <f>IF(tbl_Competitors[[#This Row],[Strategic Threat Level]]="High",3,IF(tbl_Competitors[[#This Row],[Strategic Threat Level]]="Medium",2,IF(tbl_Competitors[[#This Row],[Strategic Threat Level]]="Low",1,"")))</f>
        <v>2</v>
      </c>
      <c r="AB27" s="167" t="str">
        <f>IF(tbl_Competitors[[#This Row],[Strategic Threat Level]]="High","Yes","No")</f>
        <v>No</v>
      </c>
      <c r="AC27" s="167" t="str">
        <f>IF(OR(tbl_Competitors[[#This Row],[Pricing Level]]="Lowest",tbl_Competitors[[#This Row],[Pricing Level]]="Low-Cost",tbl_Competitors[[#This Row],[Pricing Level]]="Cost-Effective"),"Yes","No")</f>
        <v>No</v>
      </c>
      <c r="AD27" s="167" t="str">
        <f>IF(tbl_Competitors[[#This Row],[Commercial / Captive Flag]]="Captive / Project-Based","Captive - Exclude from Open Market Share",IF(tbl_Competitors[[#This Row],[Estimated Market Share %]]="","Needs Validation",IF(tbl_Competitors[[#This Row],[Zone Market Share Coverage %]]&gt;1.05,"Zone Share Exceeds 100%","OK")))</f>
        <v>OK</v>
      </c>
      <c r="AE27" s="167" t="str">
        <f>IF(OR(tbl_Competitors[[#This Row],[Capacity Min]]="Invalid Format",tbl_Competitors[[#This Row],[Capacity Max]]="Invalid Format"),"Needs Capacity Validation",IF(tbl_Competitors[[#This Row],[Capacity Min]]&gt;tbl_Competitors[[#This Row],[Capacity Max]],"Capacity Range Error","OK"))</f>
        <v>OK</v>
      </c>
      <c r="AF27"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Monitor</v>
      </c>
      <c r="AG27" s="223" t="s">
        <v>3935</v>
      </c>
      <c r="AH27" s="167" t="s">
        <v>3787</v>
      </c>
    </row>
    <row r="28" spans="1:34" ht="12" customHeight="1">
      <c r="A28" s="25" t="s">
        <v>35</v>
      </c>
      <c r="B28" s="20" t="s">
        <v>3297</v>
      </c>
      <c r="C28" s="39" t="s">
        <v>3354</v>
      </c>
      <c r="D28" s="404" t="s">
        <v>3599</v>
      </c>
      <c r="E28" s="40" t="s">
        <v>3424</v>
      </c>
      <c r="F28" s="78">
        <f>tbl_Competitors[[#This Row],[Annual Capacity]]/SUM(tbl_Competitors[Annual Capacity])</f>
        <v>4.9527239981990096E-3</v>
      </c>
      <c r="G28" s="40" t="s">
        <v>3420</v>
      </c>
      <c r="H28" s="47" t="s">
        <v>3456</v>
      </c>
      <c r="I28" s="47" t="s">
        <v>3457</v>
      </c>
      <c r="J28" s="19" t="s">
        <v>3423</v>
      </c>
      <c r="K28" s="212">
        <v>1</v>
      </c>
      <c r="L28" s="425">
        <v>20.389299999999999</v>
      </c>
      <c r="M28" s="425">
        <v>72.910600000000002</v>
      </c>
      <c r="N28" s="431">
        <v>77.400000000000006</v>
      </c>
      <c r="O28" s="213" t="str">
        <f>IF(tbl_Competitors[[#This Row],[Distance from Proposed Plant (km)]]&gt;tbl_Competitors[[#This Row],[Radius (Km)]],"Outside Radius","Within Radius")</f>
        <v>Outside Radius</v>
      </c>
      <c r="P28" s="437">
        <v>10</v>
      </c>
      <c r="Q28" s="165">
        <f>IFERROR(--SUBSTITUTE(TRIM(LEFT(SUBSTITUTE(tbl_Competitors[[#This Row],[Estimated Capacity (m³/month)]],"–","-"),FIND("-",SUBSTITUTE(tbl_Competitors[[#This Row],[Estimated Capacity (m³/month)]],"–","-"))-1)),",",""),"Invalid Format")</f>
        <v>1500</v>
      </c>
      <c r="R28" s="165">
        <f>IFERROR(--SUBSTITUTE(TRIM(MID(SUBSTITUTE(tbl_Competitors[[#This Row],[Estimated Capacity (m³/month)]],"–","-"),FIND("-",SUBSTITUTE(tbl_Competitors[[#This Row],[Estimated Capacity (m³/month)]],"–","-"))+1,99)),",",""),"Invalid Format")</f>
        <v>4000</v>
      </c>
      <c r="S28" s="165">
        <f>IFERROR(AVERAGE(tbl_Competitors[[#This Row],[Capacity Min]],tbl_Competitors[[#This Row],[Capacity Max]]),"")</f>
        <v>2750</v>
      </c>
      <c r="T28" s="166">
        <f>IF(tbl_Competitors[[#This Row],[Capacity Midpoint]]=0,"",(tbl_Competitors[[#This Row],[Capacity Max]]-tbl_Competitors[[#This Row],[Capacity Min]])/tbl_Competitors[[#This Row],[Capacity Midpoint]])</f>
        <v>0.90909090909090906</v>
      </c>
      <c r="U28" s="165">
        <f>IFERROR(tbl_Competitors[[#This Row],[Capacity Midpoint]]*12,"")</f>
        <v>33000</v>
      </c>
      <c r="V28" s="165">
        <f>IFERROR(SUMIFS(tbl_Competitors[Capacity Midpoint],tbl_Competitors[Zone],tbl_Competitors[[#This Row],[Zone]]),"")</f>
        <v>38500</v>
      </c>
      <c r="W28" s="166">
        <f>IFERROR(tbl_Competitors[[#This Row],[Capacity Midpoint]]/tbl_Competitors[[#This Row],[Zone Capacity Total]],"")</f>
        <v>7.1428571428571425E-2</v>
      </c>
      <c r="X28" s="166">
        <f>IFERROR(SUMIFS(tbl_Competitors[Estimated Market Share %],tbl_Competitors[Zone],tbl_Competitors[[#This Row],[Zone]]),"")</f>
        <v>6.9338135974786122E-2</v>
      </c>
      <c r="Y28" s="167"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28" s="299">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4</v>
      </c>
      <c r="AA28" s="167">
        <f>IF(tbl_Competitors[[#This Row],[Strategic Threat Level]]="High",3,IF(tbl_Competitors[[#This Row],[Strategic Threat Level]]="Medium",2,IF(tbl_Competitors[[#This Row],[Strategic Threat Level]]="Low",1,"")))</f>
        <v>3</v>
      </c>
      <c r="AB28" s="167" t="str">
        <f>IF(tbl_Competitors[[#This Row],[Strategic Threat Level]]="High","Yes","No")</f>
        <v>Yes</v>
      </c>
      <c r="AC28" s="167" t="str">
        <f>IF(OR(tbl_Competitors[[#This Row],[Pricing Level]]="Lowest",tbl_Competitors[[#This Row],[Pricing Level]]="Low-Cost",tbl_Competitors[[#This Row],[Pricing Level]]="Cost-Effective"),"Yes","No")</f>
        <v>No</v>
      </c>
      <c r="AD28" s="167" t="str">
        <f>IF(tbl_Competitors[[#This Row],[Commercial / Captive Flag]]="Captive / Project-Based","Captive - Exclude from Open Market Share",IF(tbl_Competitors[[#This Row],[Estimated Market Share %]]="","Needs Validation",IF(tbl_Competitors[[#This Row],[Zone Market Share Coverage %]]&gt;1.05,"Zone Share Exceeds 100%","OK")))</f>
        <v>OK</v>
      </c>
      <c r="AE28" s="167" t="str">
        <f>IF(OR(tbl_Competitors[[#This Row],[Capacity Min]]="Invalid Format",tbl_Competitors[[#This Row],[Capacity Max]]="Invalid Format"),"Needs Capacity Validation",IF(tbl_Competitors[[#This Row],[Capacity Min]]&gt;tbl_Competitors[[#This Row],[Capacity Max]],"Capacity Range Error","OK"))</f>
        <v>OK</v>
      </c>
      <c r="AF28"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High Priority</v>
      </c>
      <c r="AG28" s="223" t="s">
        <v>3934</v>
      </c>
      <c r="AH28" s="167" t="s">
        <v>3951</v>
      </c>
    </row>
    <row r="29" spans="1:34" ht="12" customHeight="1">
      <c r="A29" s="25" t="s">
        <v>35</v>
      </c>
      <c r="B29" s="20" t="s">
        <v>3298</v>
      </c>
      <c r="C29" s="39" t="s">
        <v>3355</v>
      </c>
      <c r="D29" s="404" t="s">
        <v>3599</v>
      </c>
      <c r="E29" s="40" t="s">
        <v>3424</v>
      </c>
      <c r="F29" s="78">
        <f>tbl_Competitors[[#This Row],[Annual Capacity]]/SUM(tbl_Competitors[Annual Capacity])</f>
        <v>4.9527239981990096E-3</v>
      </c>
      <c r="G29" s="40" t="s">
        <v>3425</v>
      </c>
      <c r="H29" s="47" t="s">
        <v>3458</v>
      </c>
      <c r="I29" s="47" t="s">
        <v>3459</v>
      </c>
      <c r="J29" s="19" t="s">
        <v>3423</v>
      </c>
      <c r="K29" s="212">
        <v>1</v>
      </c>
      <c r="L29" s="425">
        <v>20.274999999999999</v>
      </c>
      <c r="M29" s="425">
        <v>72.915000000000006</v>
      </c>
      <c r="N29" s="431">
        <v>90.1</v>
      </c>
      <c r="O29" s="213" t="str">
        <f>IF(tbl_Competitors[[#This Row],[Distance from Proposed Plant (km)]]&gt;tbl_Competitors[[#This Row],[Radius (Km)]],"Outside Radius","Within Radius")</f>
        <v>Outside Radius</v>
      </c>
      <c r="P29" s="437">
        <v>10</v>
      </c>
      <c r="Q29" s="165">
        <f>IFERROR(--SUBSTITUTE(TRIM(LEFT(SUBSTITUTE(tbl_Competitors[[#This Row],[Estimated Capacity (m³/month)]],"–","-"),FIND("-",SUBSTITUTE(tbl_Competitors[[#This Row],[Estimated Capacity (m³/month)]],"–","-"))-1)),",",""),"Invalid Format")</f>
        <v>1500</v>
      </c>
      <c r="R29" s="165">
        <f>IFERROR(--SUBSTITUTE(TRIM(MID(SUBSTITUTE(tbl_Competitors[[#This Row],[Estimated Capacity (m³/month)]],"–","-"),FIND("-",SUBSTITUTE(tbl_Competitors[[#This Row],[Estimated Capacity (m³/month)]],"–","-"))+1,99)),",",""),"Invalid Format")</f>
        <v>4000</v>
      </c>
      <c r="S29" s="165">
        <f>IFERROR(AVERAGE(tbl_Competitors[[#This Row],[Capacity Min]],tbl_Competitors[[#This Row],[Capacity Max]]),"")</f>
        <v>2750</v>
      </c>
      <c r="T29" s="166">
        <f>IF(tbl_Competitors[[#This Row],[Capacity Midpoint]]=0,"",(tbl_Competitors[[#This Row],[Capacity Max]]-tbl_Competitors[[#This Row],[Capacity Min]])/tbl_Competitors[[#This Row],[Capacity Midpoint]])</f>
        <v>0.90909090909090906</v>
      </c>
      <c r="U29" s="165">
        <f>IFERROR(tbl_Competitors[[#This Row],[Capacity Midpoint]]*12,"")</f>
        <v>33000</v>
      </c>
      <c r="V29" s="165">
        <f>IFERROR(SUMIFS(tbl_Competitors[Capacity Midpoint],tbl_Competitors[Zone],tbl_Competitors[[#This Row],[Zone]]),"")</f>
        <v>38500</v>
      </c>
      <c r="W29" s="166">
        <f>IFERROR(tbl_Competitors[[#This Row],[Capacity Midpoint]]/tbl_Competitors[[#This Row],[Zone Capacity Total]],"")</f>
        <v>7.1428571428571425E-2</v>
      </c>
      <c r="X29" s="166">
        <f>IFERROR(SUMIFS(tbl_Competitors[Estimated Market Share %],tbl_Competitors[Zone],tbl_Competitors[[#This Row],[Zone]]),"")</f>
        <v>6.9338135974786122E-2</v>
      </c>
      <c r="Y29" s="167"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29" s="299">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3</v>
      </c>
      <c r="AA29" s="167">
        <f>IF(tbl_Competitors[[#This Row],[Strategic Threat Level]]="High",3,IF(tbl_Competitors[[#This Row],[Strategic Threat Level]]="Medium",2,IF(tbl_Competitors[[#This Row],[Strategic Threat Level]]="Low",1,"")))</f>
        <v>3</v>
      </c>
      <c r="AB29" s="167" t="str">
        <f>IF(tbl_Competitors[[#This Row],[Strategic Threat Level]]="High","Yes","No")</f>
        <v>Yes</v>
      </c>
      <c r="AC29" s="167" t="str">
        <f>IF(OR(tbl_Competitors[[#This Row],[Pricing Level]]="Lowest",tbl_Competitors[[#This Row],[Pricing Level]]="Low-Cost",tbl_Competitors[[#This Row],[Pricing Level]]="Cost-Effective"),"Yes","No")</f>
        <v>No</v>
      </c>
      <c r="AD29" s="167" t="str">
        <f>IF(tbl_Competitors[[#This Row],[Commercial / Captive Flag]]="Captive / Project-Based","Captive - Exclude from Open Market Share",IF(tbl_Competitors[[#This Row],[Estimated Market Share %]]="","Needs Validation",IF(tbl_Competitors[[#This Row],[Zone Market Share Coverage %]]&gt;1.05,"Zone Share Exceeds 100%","OK")))</f>
        <v>OK</v>
      </c>
      <c r="AE29" s="167" t="str">
        <f>IF(OR(tbl_Competitors[[#This Row],[Capacity Min]]="Invalid Format",tbl_Competitors[[#This Row],[Capacity Max]]="Invalid Format"),"Needs Capacity Validation",IF(tbl_Competitors[[#This Row],[Capacity Min]]&gt;tbl_Competitors[[#This Row],[Capacity Max]],"Capacity Range Error","OK"))</f>
        <v>OK</v>
      </c>
      <c r="AF29"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Priority</v>
      </c>
      <c r="AG29" s="223" t="s">
        <v>3936</v>
      </c>
      <c r="AH29" s="167" t="s">
        <v>3951</v>
      </c>
    </row>
    <row r="30" spans="1:34" ht="12" customHeight="1">
      <c r="A30" s="25" t="s">
        <v>35</v>
      </c>
      <c r="B30" s="20" t="s">
        <v>3299</v>
      </c>
      <c r="C30" s="39" t="s">
        <v>3356</v>
      </c>
      <c r="D30" s="404" t="s">
        <v>3599</v>
      </c>
      <c r="E30" s="40" t="s">
        <v>3424</v>
      </c>
      <c r="F30" s="78">
        <f>tbl_Competitors[[#This Row],[Annual Capacity]]/SUM(tbl_Competitors[Annual Capacity])</f>
        <v>4.9527239981990096E-3</v>
      </c>
      <c r="G30" s="40" t="s">
        <v>3420</v>
      </c>
      <c r="H30" s="47" t="s">
        <v>3460</v>
      </c>
      <c r="I30" s="47" t="s">
        <v>3461</v>
      </c>
      <c r="J30" s="19" t="s">
        <v>3423</v>
      </c>
      <c r="K30" s="212">
        <v>1</v>
      </c>
      <c r="L30" s="425">
        <v>20.364999999999998</v>
      </c>
      <c r="M30" s="425">
        <v>72.915000000000006</v>
      </c>
      <c r="N30" s="431">
        <v>80.099999999999994</v>
      </c>
      <c r="O30" s="213" t="str">
        <f>IF(tbl_Competitors[[#This Row],[Distance from Proposed Plant (km)]]&gt;tbl_Competitors[[#This Row],[Radius (Km)]],"Outside Radius","Within Radius")</f>
        <v>Outside Radius</v>
      </c>
      <c r="P30" s="437">
        <v>10</v>
      </c>
      <c r="Q30" s="165">
        <f>IFERROR(--SUBSTITUTE(TRIM(LEFT(SUBSTITUTE(tbl_Competitors[[#This Row],[Estimated Capacity (m³/month)]],"–","-"),FIND("-",SUBSTITUTE(tbl_Competitors[[#This Row],[Estimated Capacity (m³/month)]],"–","-"))-1)),",",""),"Invalid Format")</f>
        <v>1500</v>
      </c>
      <c r="R30" s="165">
        <f>IFERROR(--SUBSTITUTE(TRIM(MID(SUBSTITUTE(tbl_Competitors[[#This Row],[Estimated Capacity (m³/month)]],"–","-"),FIND("-",SUBSTITUTE(tbl_Competitors[[#This Row],[Estimated Capacity (m³/month)]],"–","-"))+1,99)),",",""),"Invalid Format")</f>
        <v>4000</v>
      </c>
      <c r="S30" s="165">
        <f>IFERROR(AVERAGE(tbl_Competitors[[#This Row],[Capacity Min]],tbl_Competitors[[#This Row],[Capacity Max]]),"")</f>
        <v>2750</v>
      </c>
      <c r="T30" s="166">
        <f>IF(tbl_Competitors[[#This Row],[Capacity Midpoint]]=0,"",(tbl_Competitors[[#This Row],[Capacity Max]]-tbl_Competitors[[#This Row],[Capacity Min]])/tbl_Competitors[[#This Row],[Capacity Midpoint]])</f>
        <v>0.90909090909090906</v>
      </c>
      <c r="U30" s="165">
        <f>IFERROR(tbl_Competitors[[#This Row],[Capacity Midpoint]]*12,"")</f>
        <v>33000</v>
      </c>
      <c r="V30" s="165">
        <f>IFERROR(SUMIFS(tbl_Competitors[Capacity Midpoint],tbl_Competitors[Zone],tbl_Competitors[[#This Row],[Zone]]),"")</f>
        <v>38500</v>
      </c>
      <c r="W30" s="166">
        <f>IFERROR(tbl_Competitors[[#This Row],[Capacity Midpoint]]/tbl_Competitors[[#This Row],[Zone Capacity Total]],"")</f>
        <v>7.1428571428571425E-2</v>
      </c>
      <c r="X30" s="166">
        <f>IFERROR(SUMIFS(tbl_Competitors[Estimated Market Share %],tbl_Competitors[Zone],tbl_Competitors[[#This Row],[Zone]]),"")</f>
        <v>6.9338135974786122E-2</v>
      </c>
      <c r="Y30" s="167"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30" s="299">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4</v>
      </c>
      <c r="AA30" s="167">
        <f>IF(tbl_Competitors[[#This Row],[Strategic Threat Level]]="High",3,IF(tbl_Competitors[[#This Row],[Strategic Threat Level]]="Medium",2,IF(tbl_Competitors[[#This Row],[Strategic Threat Level]]="Low",1,"")))</f>
        <v>3</v>
      </c>
      <c r="AB30" s="167" t="str">
        <f>IF(tbl_Competitors[[#This Row],[Strategic Threat Level]]="High","Yes","No")</f>
        <v>Yes</v>
      </c>
      <c r="AC30" s="167" t="str">
        <f>IF(OR(tbl_Competitors[[#This Row],[Pricing Level]]="Lowest",tbl_Competitors[[#This Row],[Pricing Level]]="Low-Cost",tbl_Competitors[[#This Row],[Pricing Level]]="Cost-Effective"),"Yes","No")</f>
        <v>No</v>
      </c>
      <c r="AD30" s="167" t="str">
        <f>IF(tbl_Competitors[[#This Row],[Commercial / Captive Flag]]="Captive / Project-Based","Captive - Exclude from Open Market Share",IF(tbl_Competitors[[#This Row],[Estimated Market Share %]]="","Needs Validation",IF(tbl_Competitors[[#This Row],[Zone Market Share Coverage %]]&gt;1.05,"Zone Share Exceeds 100%","OK")))</f>
        <v>OK</v>
      </c>
      <c r="AE30" s="167" t="str">
        <f>IF(OR(tbl_Competitors[[#This Row],[Capacity Min]]="Invalid Format",tbl_Competitors[[#This Row],[Capacity Max]]="Invalid Format"),"Needs Capacity Validation",IF(tbl_Competitors[[#This Row],[Capacity Min]]&gt;tbl_Competitors[[#This Row],[Capacity Max]],"Capacity Range Error","OK"))</f>
        <v>OK</v>
      </c>
      <c r="AF30"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High Priority</v>
      </c>
      <c r="AG30" s="223" t="s">
        <v>3934</v>
      </c>
      <c r="AH30" s="167" t="s">
        <v>3951</v>
      </c>
    </row>
    <row r="31" spans="1:34" ht="12" customHeight="1">
      <c r="A31" s="25" t="s">
        <v>35</v>
      </c>
      <c r="B31" s="20" t="s">
        <v>3277</v>
      </c>
      <c r="C31" s="39" t="s">
        <v>3354</v>
      </c>
      <c r="D31" s="404" t="s">
        <v>3602</v>
      </c>
      <c r="E31" s="40" t="s">
        <v>3404</v>
      </c>
      <c r="F31" s="78">
        <f>tbl_Competitors[[#This Row],[Annual Capacity]]/SUM(tbl_Competitors[Annual Capacity])</f>
        <v>4.9527239981990096E-3</v>
      </c>
      <c r="G31" s="40" t="s">
        <v>3401</v>
      </c>
      <c r="H31" s="47" t="s">
        <v>3462</v>
      </c>
      <c r="I31" s="47" t="s">
        <v>3463</v>
      </c>
      <c r="J31" s="17" t="s">
        <v>3397</v>
      </c>
      <c r="K31" s="212">
        <v>1</v>
      </c>
      <c r="L31" s="425">
        <v>20.389299999999999</v>
      </c>
      <c r="M31" s="425">
        <v>72.910600000000002</v>
      </c>
      <c r="N31" s="431">
        <v>77.400000000000006</v>
      </c>
      <c r="O31" s="213" t="str">
        <f>IF(tbl_Competitors[[#This Row],[Distance from Proposed Plant (km)]]&gt;tbl_Competitors[[#This Row],[Radius (Km)]],"Outside Radius","Within Radius")</f>
        <v>Outside Radius</v>
      </c>
      <c r="P31" s="437">
        <v>18</v>
      </c>
      <c r="Q31" s="165">
        <f>IFERROR(--SUBSTITUTE(TRIM(LEFT(SUBSTITUTE(tbl_Competitors[[#This Row],[Estimated Capacity (m³/month)]],"–","-"),FIND("-",SUBSTITUTE(tbl_Competitors[[#This Row],[Estimated Capacity (m³/month)]],"–","-"))-1)),",",""),"Invalid Format")</f>
        <v>2000</v>
      </c>
      <c r="R31" s="165">
        <f>IFERROR(--SUBSTITUTE(TRIM(MID(SUBSTITUTE(tbl_Competitors[[#This Row],[Estimated Capacity (m³/month)]],"–","-"),FIND("-",SUBSTITUTE(tbl_Competitors[[#This Row],[Estimated Capacity (m³/month)]],"–","-"))+1,99)),",",""),"Invalid Format")</f>
        <v>3500</v>
      </c>
      <c r="S31" s="165">
        <f>IFERROR(AVERAGE(tbl_Competitors[[#This Row],[Capacity Min]],tbl_Competitors[[#This Row],[Capacity Max]]),"")</f>
        <v>2750</v>
      </c>
      <c r="T31" s="166">
        <f>IF(tbl_Competitors[[#This Row],[Capacity Midpoint]]=0,"",(tbl_Competitors[[#This Row],[Capacity Max]]-tbl_Competitors[[#This Row],[Capacity Min]])/tbl_Competitors[[#This Row],[Capacity Midpoint]])</f>
        <v>0.54545454545454541</v>
      </c>
      <c r="U31" s="165">
        <f>IFERROR(tbl_Competitors[[#This Row],[Capacity Midpoint]]*12,"")</f>
        <v>33000</v>
      </c>
      <c r="V31" s="165">
        <f>IFERROR(SUMIFS(tbl_Competitors[Capacity Midpoint],tbl_Competitors[Zone],tbl_Competitors[[#This Row],[Zone]]),"")</f>
        <v>38500</v>
      </c>
      <c r="W31" s="166">
        <f>IFERROR(tbl_Competitors[[#This Row],[Capacity Midpoint]]/tbl_Competitors[[#This Row],[Zone Capacity Total]],"")</f>
        <v>7.1428571428571425E-2</v>
      </c>
      <c r="X31" s="166">
        <f>IFERROR(SUMIFS(tbl_Competitors[Estimated Market Share %],tbl_Competitors[Zone],tbl_Competitors[[#This Row],[Zone]]),"")</f>
        <v>6.9338135974786122E-2</v>
      </c>
      <c r="Y31" s="167"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31" s="299">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2</v>
      </c>
      <c r="AA31" s="167">
        <f>IF(tbl_Competitors[[#This Row],[Strategic Threat Level]]="High",3,IF(tbl_Competitors[[#This Row],[Strategic Threat Level]]="Medium",2,IF(tbl_Competitors[[#This Row],[Strategic Threat Level]]="Low",1,"")))</f>
        <v>1</v>
      </c>
      <c r="AB31" s="167" t="str">
        <f>IF(tbl_Competitors[[#This Row],[Strategic Threat Level]]="High","Yes","No")</f>
        <v>No</v>
      </c>
      <c r="AC31" s="167" t="str">
        <f>IF(OR(tbl_Competitors[[#This Row],[Pricing Level]]="Lowest",tbl_Competitors[[#This Row],[Pricing Level]]="Low-Cost",tbl_Competitors[[#This Row],[Pricing Level]]="Cost-Effective"),"Yes","No")</f>
        <v>No</v>
      </c>
      <c r="AD31" s="167" t="str">
        <f>IF(tbl_Competitors[[#This Row],[Commercial / Captive Flag]]="Captive / Project-Based","Captive - Exclude from Open Market Share",IF(tbl_Competitors[[#This Row],[Estimated Market Share %]]="","Needs Validation",IF(tbl_Competitors[[#This Row],[Zone Market Share Coverage %]]&gt;1.05,"Zone Share Exceeds 100%","OK")))</f>
        <v>OK</v>
      </c>
      <c r="AE31" s="167" t="str">
        <f>IF(OR(tbl_Competitors[[#This Row],[Capacity Min]]="Invalid Format",tbl_Competitors[[#This Row],[Capacity Max]]="Invalid Format"),"Needs Capacity Validation",IF(tbl_Competitors[[#This Row],[Capacity Min]]&gt;tbl_Competitors[[#This Row],[Capacity Max]],"Capacity Range Error","OK"))</f>
        <v>OK</v>
      </c>
      <c r="AF31"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Monitor</v>
      </c>
      <c r="AG31" s="223" t="s">
        <v>3937</v>
      </c>
      <c r="AH31" s="167" t="s">
        <v>3787</v>
      </c>
    </row>
    <row r="32" spans="1:34" ht="12" customHeight="1">
      <c r="A32" s="25" t="s">
        <v>35</v>
      </c>
      <c r="B32" s="20" t="s">
        <v>3300</v>
      </c>
      <c r="C32" s="39" t="s">
        <v>3357</v>
      </c>
      <c r="D32" s="404" t="s">
        <v>3603</v>
      </c>
      <c r="E32" s="40" t="s">
        <v>3424</v>
      </c>
      <c r="F32" s="78">
        <f>tbl_Competitors[[#This Row],[Annual Capacity]]/SUM(tbl_Competitors[Annual Capacity])</f>
        <v>4.0522287257991896E-3</v>
      </c>
      <c r="G32" s="40" t="s">
        <v>3420</v>
      </c>
      <c r="H32" s="47" t="s">
        <v>3464</v>
      </c>
      <c r="I32" s="47" t="s">
        <v>3465</v>
      </c>
      <c r="J32" s="19" t="s">
        <v>3423</v>
      </c>
      <c r="K32" s="212">
        <v>1</v>
      </c>
      <c r="L32" s="425">
        <v>20.375</v>
      </c>
      <c r="M32" s="425">
        <v>72.900000000000006</v>
      </c>
      <c r="N32" s="431">
        <v>79</v>
      </c>
      <c r="O32" s="213" t="str">
        <f>IF(tbl_Competitors[[#This Row],[Distance from Proposed Plant (km)]]&gt;tbl_Competitors[[#This Row],[Radius (Km)]],"Outside Radius","Within Radius")</f>
        <v>Outside Radius</v>
      </c>
      <c r="P32" s="437">
        <v>10</v>
      </c>
      <c r="Q32" s="165">
        <f>IFERROR(--SUBSTITUTE(TRIM(LEFT(SUBSTITUTE(tbl_Competitors[[#This Row],[Estimated Capacity (m³/month)]],"–","-"),FIND("-",SUBSTITUTE(tbl_Competitors[[#This Row],[Estimated Capacity (m³/month)]],"–","-"))-1)),",",""),"Invalid Format")</f>
        <v>1500</v>
      </c>
      <c r="R32" s="165">
        <f>IFERROR(--SUBSTITUTE(TRIM(MID(SUBSTITUTE(tbl_Competitors[[#This Row],[Estimated Capacity (m³/month)]],"–","-"),FIND("-",SUBSTITUTE(tbl_Competitors[[#This Row],[Estimated Capacity (m³/month)]],"–","-"))+1,99)),",",""),"Invalid Format")</f>
        <v>3000</v>
      </c>
      <c r="S32" s="165">
        <f>IFERROR(AVERAGE(tbl_Competitors[[#This Row],[Capacity Min]],tbl_Competitors[[#This Row],[Capacity Max]]),"")</f>
        <v>2250</v>
      </c>
      <c r="T32" s="166">
        <f>IF(tbl_Competitors[[#This Row],[Capacity Midpoint]]=0,"",(tbl_Competitors[[#This Row],[Capacity Max]]-tbl_Competitors[[#This Row],[Capacity Min]])/tbl_Competitors[[#This Row],[Capacity Midpoint]])</f>
        <v>0.66666666666666663</v>
      </c>
      <c r="U32" s="165">
        <f>IFERROR(tbl_Competitors[[#This Row],[Capacity Midpoint]]*12,"")</f>
        <v>27000</v>
      </c>
      <c r="V32" s="165">
        <f>IFERROR(SUMIFS(tbl_Competitors[Capacity Midpoint],tbl_Competitors[Zone],tbl_Competitors[[#This Row],[Zone]]),"")</f>
        <v>38500</v>
      </c>
      <c r="W32" s="166">
        <f>IFERROR(tbl_Competitors[[#This Row],[Capacity Midpoint]]/tbl_Competitors[[#This Row],[Zone Capacity Total]],"")</f>
        <v>5.844155844155844E-2</v>
      </c>
      <c r="X32" s="166">
        <f>IFERROR(SUMIFS(tbl_Competitors[Estimated Market Share %],tbl_Competitors[Zone],tbl_Competitors[[#This Row],[Zone]]),"")</f>
        <v>6.9338135974786122E-2</v>
      </c>
      <c r="Y32" s="167"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32" s="299">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4</v>
      </c>
      <c r="AA32" s="167">
        <f>IF(tbl_Competitors[[#This Row],[Strategic Threat Level]]="High",3,IF(tbl_Competitors[[#This Row],[Strategic Threat Level]]="Medium",2,IF(tbl_Competitors[[#This Row],[Strategic Threat Level]]="Low",1,"")))</f>
        <v>3</v>
      </c>
      <c r="AB32" s="167" t="str">
        <f>IF(tbl_Competitors[[#This Row],[Strategic Threat Level]]="High","Yes","No")</f>
        <v>Yes</v>
      </c>
      <c r="AC32" s="167" t="str">
        <f>IF(OR(tbl_Competitors[[#This Row],[Pricing Level]]="Lowest",tbl_Competitors[[#This Row],[Pricing Level]]="Low-Cost",tbl_Competitors[[#This Row],[Pricing Level]]="Cost-Effective"),"Yes","No")</f>
        <v>No</v>
      </c>
      <c r="AD32" s="167" t="str">
        <f>IF(tbl_Competitors[[#This Row],[Commercial / Captive Flag]]="Captive / Project-Based","Captive - Exclude from Open Market Share",IF(tbl_Competitors[[#This Row],[Estimated Market Share %]]="","Needs Validation",IF(tbl_Competitors[[#This Row],[Zone Market Share Coverage %]]&gt;1.05,"Zone Share Exceeds 100%","OK")))</f>
        <v>OK</v>
      </c>
      <c r="AE32" s="167" t="str">
        <f>IF(OR(tbl_Competitors[[#This Row],[Capacity Min]]="Invalid Format",tbl_Competitors[[#This Row],[Capacity Max]]="Invalid Format"),"Needs Capacity Validation",IF(tbl_Competitors[[#This Row],[Capacity Min]]&gt;tbl_Competitors[[#This Row],[Capacity Max]],"Capacity Range Error","OK"))</f>
        <v>OK</v>
      </c>
      <c r="AF32"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High Priority</v>
      </c>
      <c r="AG32" s="223" t="s">
        <v>3934</v>
      </c>
      <c r="AH32" s="167" t="s">
        <v>3951</v>
      </c>
    </row>
    <row r="33" spans="1:34" ht="12" customHeight="1">
      <c r="A33" s="25" t="s">
        <v>35</v>
      </c>
      <c r="B33" s="20" t="s">
        <v>3301</v>
      </c>
      <c r="C33" s="39" t="s">
        <v>3358</v>
      </c>
      <c r="D33" s="404" t="s">
        <v>3603</v>
      </c>
      <c r="E33" s="40" t="s">
        <v>3424</v>
      </c>
      <c r="F33" s="78">
        <f>tbl_Competitors[[#This Row],[Annual Capacity]]/SUM(tbl_Competitors[Annual Capacity])</f>
        <v>4.0522287257991896E-3</v>
      </c>
      <c r="G33" s="40" t="s">
        <v>3420</v>
      </c>
      <c r="H33" s="47" t="s">
        <v>3466</v>
      </c>
      <c r="I33" s="47" t="s">
        <v>3467</v>
      </c>
      <c r="J33" s="19" t="s">
        <v>3423</v>
      </c>
      <c r="K33" s="212">
        <v>1</v>
      </c>
      <c r="L33" s="425">
        <v>20.280999999999999</v>
      </c>
      <c r="M33" s="425">
        <v>72.912000000000006</v>
      </c>
      <c r="N33" s="431">
        <v>89.5</v>
      </c>
      <c r="O33" s="213" t="str">
        <f>IF(tbl_Competitors[[#This Row],[Distance from Proposed Plant (km)]]&gt;tbl_Competitors[[#This Row],[Radius (Km)]],"Outside Radius","Within Radius")</f>
        <v>Outside Radius</v>
      </c>
      <c r="P33" s="437">
        <v>10</v>
      </c>
      <c r="Q33" s="165">
        <f>IFERROR(--SUBSTITUTE(TRIM(LEFT(SUBSTITUTE(tbl_Competitors[[#This Row],[Estimated Capacity (m³/month)]],"–","-"),FIND("-",SUBSTITUTE(tbl_Competitors[[#This Row],[Estimated Capacity (m³/month)]],"–","-"))-1)),",",""),"Invalid Format")</f>
        <v>1500</v>
      </c>
      <c r="R33" s="165">
        <f>IFERROR(--SUBSTITUTE(TRIM(MID(SUBSTITUTE(tbl_Competitors[[#This Row],[Estimated Capacity (m³/month)]],"–","-"),FIND("-",SUBSTITUTE(tbl_Competitors[[#This Row],[Estimated Capacity (m³/month)]],"–","-"))+1,99)),",",""),"Invalid Format")</f>
        <v>3000</v>
      </c>
      <c r="S33" s="165">
        <f>IFERROR(AVERAGE(tbl_Competitors[[#This Row],[Capacity Min]],tbl_Competitors[[#This Row],[Capacity Max]]),"")</f>
        <v>2250</v>
      </c>
      <c r="T33" s="166">
        <f>IF(tbl_Competitors[[#This Row],[Capacity Midpoint]]=0,"",(tbl_Competitors[[#This Row],[Capacity Max]]-tbl_Competitors[[#This Row],[Capacity Min]])/tbl_Competitors[[#This Row],[Capacity Midpoint]])</f>
        <v>0.66666666666666663</v>
      </c>
      <c r="U33" s="165">
        <f>IFERROR(tbl_Competitors[[#This Row],[Capacity Midpoint]]*12,"")</f>
        <v>27000</v>
      </c>
      <c r="V33" s="165">
        <f>IFERROR(SUMIFS(tbl_Competitors[Capacity Midpoint],tbl_Competitors[Zone],tbl_Competitors[[#This Row],[Zone]]),"")</f>
        <v>38500</v>
      </c>
      <c r="W33" s="166">
        <f>IFERROR(tbl_Competitors[[#This Row],[Capacity Midpoint]]/tbl_Competitors[[#This Row],[Zone Capacity Total]],"")</f>
        <v>5.844155844155844E-2</v>
      </c>
      <c r="X33" s="166">
        <f>IFERROR(SUMIFS(tbl_Competitors[Estimated Market Share %],tbl_Competitors[Zone],tbl_Competitors[[#This Row],[Zone]]),"")</f>
        <v>6.9338135974786122E-2</v>
      </c>
      <c r="Y33" s="167"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33" s="299">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4</v>
      </c>
      <c r="AA33" s="167">
        <f>IF(tbl_Competitors[[#This Row],[Strategic Threat Level]]="High",3,IF(tbl_Competitors[[#This Row],[Strategic Threat Level]]="Medium",2,IF(tbl_Competitors[[#This Row],[Strategic Threat Level]]="Low",1,"")))</f>
        <v>3</v>
      </c>
      <c r="AB33" s="167" t="str">
        <f>IF(tbl_Competitors[[#This Row],[Strategic Threat Level]]="High","Yes","No")</f>
        <v>Yes</v>
      </c>
      <c r="AC33" s="167" t="str">
        <f>IF(OR(tbl_Competitors[[#This Row],[Pricing Level]]="Lowest",tbl_Competitors[[#This Row],[Pricing Level]]="Low-Cost",tbl_Competitors[[#This Row],[Pricing Level]]="Cost-Effective"),"Yes","No")</f>
        <v>No</v>
      </c>
      <c r="AD33" s="167" t="str">
        <f>IF(tbl_Competitors[[#This Row],[Commercial / Captive Flag]]="Captive / Project-Based","Captive - Exclude from Open Market Share",IF(tbl_Competitors[[#This Row],[Estimated Market Share %]]="","Needs Validation",IF(tbl_Competitors[[#This Row],[Zone Market Share Coverage %]]&gt;1.05,"Zone Share Exceeds 100%","OK")))</f>
        <v>OK</v>
      </c>
      <c r="AE33" s="167" t="str">
        <f>IF(OR(tbl_Competitors[[#This Row],[Capacity Min]]="Invalid Format",tbl_Competitors[[#This Row],[Capacity Max]]="Invalid Format"),"Needs Capacity Validation",IF(tbl_Competitors[[#This Row],[Capacity Min]]&gt;tbl_Competitors[[#This Row],[Capacity Max]],"Capacity Range Error","OK"))</f>
        <v>OK</v>
      </c>
      <c r="AF33"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High Priority</v>
      </c>
      <c r="AG33" s="223" t="s">
        <v>3934</v>
      </c>
      <c r="AH33" s="167" t="s">
        <v>3951</v>
      </c>
    </row>
    <row r="34" spans="1:34" ht="12" customHeight="1">
      <c r="A34" s="25" t="s">
        <v>35</v>
      </c>
      <c r="B34" s="20" t="s">
        <v>3302</v>
      </c>
      <c r="C34" s="39" t="s">
        <v>3359</v>
      </c>
      <c r="D34" s="404" t="s">
        <v>3604</v>
      </c>
      <c r="E34" s="40" t="s">
        <v>3424</v>
      </c>
      <c r="F34" s="78">
        <f>tbl_Competitors[[#This Row],[Annual Capacity]]/SUM(tbl_Competitors[Annual Capacity])</f>
        <v>3.1517334533993696E-3</v>
      </c>
      <c r="G34" s="40" t="s">
        <v>3420</v>
      </c>
      <c r="H34" s="47" t="s">
        <v>3468</v>
      </c>
      <c r="I34" s="47" t="s">
        <v>3469</v>
      </c>
      <c r="J34" s="19" t="s">
        <v>3423</v>
      </c>
      <c r="K34" s="212">
        <v>1</v>
      </c>
      <c r="L34" s="425">
        <v>20.355</v>
      </c>
      <c r="M34" s="425">
        <v>72.92</v>
      </c>
      <c r="N34" s="431">
        <v>81.3</v>
      </c>
      <c r="O34" s="213" t="str">
        <f>IF(tbl_Competitors[[#This Row],[Distance from Proposed Plant (km)]]&gt;tbl_Competitors[[#This Row],[Radius (Km)]],"Outside Radius","Within Radius")</f>
        <v>Outside Radius</v>
      </c>
      <c r="P34" s="437">
        <v>10</v>
      </c>
      <c r="Q34" s="165">
        <f>IFERROR(--SUBSTITUTE(TRIM(LEFT(SUBSTITUTE(tbl_Competitors[[#This Row],[Estimated Capacity (m³/month)]],"–","-"),FIND("-",SUBSTITUTE(tbl_Competitors[[#This Row],[Estimated Capacity (m³/month)]],"–","-"))-1)),",",""),"Invalid Format")</f>
        <v>1000</v>
      </c>
      <c r="R34" s="165">
        <f>IFERROR(--SUBSTITUTE(TRIM(MID(SUBSTITUTE(tbl_Competitors[[#This Row],[Estimated Capacity (m³/month)]],"–","-"),FIND("-",SUBSTITUTE(tbl_Competitors[[#This Row],[Estimated Capacity (m³/month)]],"–","-"))+1,99)),",",""),"Invalid Format")</f>
        <v>2500</v>
      </c>
      <c r="S34" s="165">
        <f>IFERROR(AVERAGE(tbl_Competitors[[#This Row],[Capacity Min]],tbl_Competitors[[#This Row],[Capacity Max]]),"")</f>
        <v>1750</v>
      </c>
      <c r="T34" s="166">
        <f>IF(tbl_Competitors[[#This Row],[Capacity Midpoint]]=0,"",(tbl_Competitors[[#This Row],[Capacity Max]]-tbl_Competitors[[#This Row],[Capacity Min]])/tbl_Competitors[[#This Row],[Capacity Midpoint]])</f>
        <v>0.8571428571428571</v>
      </c>
      <c r="U34" s="165">
        <f>IFERROR(tbl_Competitors[[#This Row],[Capacity Midpoint]]*12,"")</f>
        <v>21000</v>
      </c>
      <c r="V34" s="165">
        <f>IFERROR(SUMIFS(tbl_Competitors[Capacity Midpoint],tbl_Competitors[Zone],tbl_Competitors[[#This Row],[Zone]]),"")</f>
        <v>38500</v>
      </c>
      <c r="W34" s="166">
        <f>IFERROR(tbl_Competitors[[#This Row],[Capacity Midpoint]]/tbl_Competitors[[#This Row],[Zone Capacity Total]],"")</f>
        <v>4.5454545454545456E-2</v>
      </c>
      <c r="X34" s="166">
        <f>IFERROR(SUMIFS(tbl_Competitors[Estimated Market Share %],tbl_Competitors[Zone],tbl_Competitors[[#This Row],[Zone]]),"")</f>
        <v>6.9338135974786122E-2</v>
      </c>
      <c r="Y34" s="167"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34" s="299">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4</v>
      </c>
      <c r="AA34" s="167">
        <f>IF(tbl_Competitors[[#This Row],[Strategic Threat Level]]="High",3,IF(tbl_Competitors[[#This Row],[Strategic Threat Level]]="Medium",2,IF(tbl_Competitors[[#This Row],[Strategic Threat Level]]="Low",1,"")))</f>
        <v>3</v>
      </c>
      <c r="AB34" s="167" t="str">
        <f>IF(tbl_Competitors[[#This Row],[Strategic Threat Level]]="High","Yes","No")</f>
        <v>Yes</v>
      </c>
      <c r="AC34" s="167" t="str">
        <f>IF(OR(tbl_Competitors[[#This Row],[Pricing Level]]="Lowest",tbl_Competitors[[#This Row],[Pricing Level]]="Low-Cost",tbl_Competitors[[#This Row],[Pricing Level]]="Cost-Effective"),"Yes","No")</f>
        <v>No</v>
      </c>
      <c r="AD34" s="167" t="str">
        <f>IF(tbl_Competitors[[#This Row],[Commercial / Captive Flag]]="Captive / Project-Based","Captive - Exclude from Open Market Share",IF(tbl_Competitors[[#This Row],[Estimated Market Share %]]="","Needs Validation",IF(tbl_Competitors[[#This Row],[Zone Market Share Coverage %]]&gt;1.05,"Zone Share Exceeds 100%","OK")))</f>
        <v>OK</v>
      </c>
      <c r="AE34" s="167" t="str">
        <f>IF(OR(tbl_Competitors[[#This Row],[Capacity Min]]="Invalid Format",tbl_Competitors[[#This Row],[Capacity Max]]="Invalid Format"),"Needs Capacity Validation",IF(tbl_Competitors[[#This Row],[Capacity Min]]&gt;tbl_Competitors[[#This Row],[Capacity Max]],"Capacity Range Error","OK"))</f>
        <v>OK</v>
      </c>
      <c r="AF34"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High Priority</v>
      </c>
      <c r="AG34" s="223" t="s">
        <v>3934</v>
      </c>
      <c r="AH34" s="167" t="s">
        <v>3951</v>
      </c>
    </row>
    <row r="35" spans="1:34" ht="12" customHeight="1">
      <c r="A35" s="25" t="s">
        <v>35</v>
      </c>
      <c r="B35" s="20" t="s">
        <v>3303</v>
      </c>
      <c r="C35" s="39" t="s">
        <v>3360</v>
      </c>
      <c r="D35" s="404" t="s">
        <v>3604</v>
      </c>
      <c r="E35" s="40" t="s">
        <v>3424</v>
      </c>
      <c r="F35" s="78">
        <f>tbl_Competitors[[#This Row],[Annual Capacity]]/SUM(tbl_Competitors[Annual Capacity])</f>
        <v>3.1517334533993696E-3</v>
      </c>
      <c r="G35" s="40" t="s">
        <v>3420</v>
      </c>
      <c r="H35" s="47" t="s">
        <v>3470</v>
      </c>
      <c r="I35" s="47" t="s">
        <v>3471</v>
      </c>
      <c r="J35" s="19" t="s">
        <v>3423</v>
      </c>
      <c r="K35" s="212">
        <v>1</v>
      </c>
      <c r="L35" s="425">
        <v>20.166699999999999</v>
      </c>
      <c r="M35" s="425">
        <v>72.7667</v>
      </c>
      <c r="N35" s="431">
        <v>102.8</v>
      </c>
      <c r="O35" s="213" t="str">
        <f>IF(tbl_Competitors[[#This Row],[Distance from Proposed Plant (km)]]&gt;tbl_Competitors[[#This Row],[Radius (Km)]],"Outside Radius","Within Radius")</f>
        <v>Outside Radius</v>
      </c>
      <c r="P35" s="437">
        <v>10</v>
      </c>
      <c r="Q35" s="165">
        <f>IFERROR(--SUBSTITUTE(TRIM(LEFT(SUBSTITUTE(tbl_Competitors[[#This Row],[Estimated Capacity (m³/month)]],"–","-"),FIND("-",SUBSTITUTE(tbl_Competitors[[#This Row],[Estimated Capacity (m³/month)]],"–","-"))-1)),",",""),"Invalid Format")</f>
        <v>1000</v>
      </c>
      <c r="R35" s="165">
        <f>IFERROR(--SUBSTITUTE(TRIM(MID(SUBSTITUTE(tbl_Competitors[[#This Row],[Estimated Capacity (m³/month)]],"–","-"),FIND("-",SUBSTITUTE(tbl_Competitors[[#This Row],[Estimated Capacity (m³/month)]],"–","-"))+1,99)),",",""),"Invalid Format")</f>
        <v>2500</v>
      </c>
      <c r="S35" s="165">
        <f>IFERROR(AVERAGE(tbl_Competitors[[#This Row],[Capacity Min]],tbl_Competitors[[#This Row],[Capacity Max]]),"")</f>
        <v>1750</v>
      </c>
      <c r="T35" s="166">
        <f>IF(tbl_Competitors[[#This Row],[Capacity Midpoint]]=0,"",(tbl_Competitors[[#This Row],[Capacity Max]]-tbl_Competitors[[#This Row],[Capacity Min]])/tbl_Competitors[[#This Row],[Capacity Midpoint]])</f>
        <v>0.8571428571428571</v>
      </c>
      <c r="U35" s="165">
        <f>IFERROR(tbl_Competitors[[#This Row],[Capacity Midpoint]]*12,"")</f>
        <v>21000</v>
      </c>
      <c r="V35" s="165">
        <f>IFERROR(SUMIFS(tbl_Competitors[Capacity Midpoint],tbl_Competitors[Zone],tbl_Competitors[[#This Row],[Zone]]),"")</f>
        <v>38500</v>
      </c>
      <c r="W35" s="166">
        <f>IFERROR(tbl_Competitors[[#This Row],[Capacity Midpoint]]/tbl_Competitors[[#This Row],[Zone Capacity Total]],"")</f>
        <v>4.5454545454545456E-2</v>
      </c>
      <c r="X35" s="166">
        <f>IFERROR(SUMIFS(tbl_Competitors[Estimated Market Share %],tbl_Competitors[Zone],tbl_Competitors[[#This Row],[Zone]]),"")</f>
        <v>6.9338135974786122E-2</v>
      </c>
      <c r="Y35" s="167"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35" s="299">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4</v>
      </c>
      <c r="AA35" s="167">
        <f>IF(tbl_Competitors[[#This Row],[Strategic Threat Level]]="High",3,IF(tbl_Competitors[[#This Row],[Strategic Threat Level]]="Medium",2,IF(tbl_Competitors[[#This Row],[Strategic Threat Level]]="Low",1,"")))</f>
        <v>3</v>
      </c>
      <c r="AB35" s="167" t="str">
        <f>IF(tbl_Competitors[[#This Row],[Strategic Threat Level]]="High","Yes","No")</f>
        <v>Yes</v>
      </c>
      <c r="AC35" s="167" t="str">
        <f>IF(OR(tbl_Competitors[[#This Row],[Pricing Level]]="Lowest",tbl_Competitors[[#This Row],[Pricing Level]]="Low-Cost",tbl_Competitors[[#This Row],[Pricing Level]]="Cost-Effective"),"Yes","No")</f>
        <v>No</v>
      </c>
      <c r="AD35" s="167" t="str">
        <f>IF(tbl_Competitors[[#This Row],[Commercial / Captive Flag]]="Captive / Project-Based","Captive - Exclude from Open Market Share",IF(tbl_Competitors[[#This Row],[Estimated Market Share %]]="","Needs Validation",IF(tbl_Competitors[[#This Row],[Zone Market Share Coverage %]]&gt;1.05,"Zone Share Exceeds 100%","OK")))</f>
        <v>OK</v>
      </c>
      <c r="AE35" s="167" t="str">
        <f>IF(OR(tbl_Competitors[[#This Row],[Capacity Min]]="Invalid Format",tbl_Competitors[[#This Row],[Capacity Max]]="Invalid Format"),"Needs Capacity Validation",IF(tbl_Competitors[[#This Row],[Capacity Min]]&gt;tbl_Competitors[[#This Row],[Capacity Max]],"Capacity Range Error","OK"))</f>
        <v>OK</v>
      </c>
      <c r="AF35"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High Priority</v>
      </c>
      <c r="AG35" s="223" t="s">
        <v>3934</v>
      </c>
      <c r="AH35" s="167" t="s">
        <v>3951</v>
      </c>
    </row>
    <row r="36" spans="1:34" ht="12" customHeight="1">
      <c r="A36" s="25" t="s">
        <v>35</v>
      </c>
      <c r="B36" s="20" t="s">
        <v>3304</v>
      </c>
      <c r="C36" s="39" t="s">
        <v>3361</v>
      </c>
      <c r="D36" s="404" t="s">
        <v>3605</v>
      </c>
      <c r="E36" s="40" t="s">
        <v>3424</v>
      </c>
      <c r="F36" s="78">
        <f>tbl_Competitors[[#This Row],[Annual Capacity]]/SUM(tbl_Competitors[Annual Capacity])</f>
        <v>2.7014858171994596E-3</v>
      </c>
      <c r="G36" s="40" t="s">
        <v>3425</v>
      </c>
      <c r="H36" s="47" t="s">
        <v>3472</v>
      </c>
      <c r="I36" s="47" t="s">
        <v>3473</v>
      </c>
      <c r="J36" s="18" t="s">
        <v>194</v>
      </c>
      <c r="K36" s="212">
        <v>1</v>
      </c>
      <c r="L36" s="425">
        <v>20.385000000000002</v>
      </c>
      <c r="M36" s="425">
        <v>72.905000000000001</v>
      </c>
      <c r="N36" s="431">
        <v>77.900000000000006</v>
      </c>
      <c r="O36" s="213" t="str">
        <f>IF(tbl_Competitors[[#This Row],[Distance from Proposed Plant (km)]]&gt;tbl_Competitors[[#This Row],[Radius (Km)]],"Outside Radius","Within Radius")</f>
        <v>Outside Radius</v>
      </c>
      <c r="P36" s="437">
        <v>10</v>
      </c>
      <c r="Q36" s="165">
        <f>IFERROR(--SUBSTITUTE(TRIM(LEFT(SUBSTITUTE(tbl_Competitors[[#This Row],[Estimated Capacity (m³/month)]],"–","-"),FIND("-",SUBSTITUTE(tbl_Competitors[[#This Row],[Estimated Capacity (m³/month)]],"–","-"))-1)),",",""),"Invalid Format")</f>
        <v>1000</v>
      </c>
      <c r="R36" s="165">
        <f>IFERROR(--SUBSTITUTE(TRIM(MID(SUBSTITUTE(tbl_Competitors[[#This Row],[Estimated Capacity (m³/month)]],"–","-"),FIND("-",SUBSTITUTE(tbl_Competitors[[#This Row],[Estimated Capacity (m³/month)]],"–","-"))+1,99)),",",""),"Invalid Format")</f>
        <v>2000</v>
      </c>
      <c r="S36" s="165">
        <f>IFERROR(AVERAGE(tbl_Competitors[[#This Row],[Capacity Min]],tbl_Competitors[[#This Row],[Capacity Max]]),"")</f>
        <v>1500</v>
      </c>
      <c r="T36" s="166">
        <f>IF(tbl_Competitors[[#This Row],[Capacity Midpoint]]=0,"",(tbl_Competitors[[#This Row],[Capacity Max]]-tbl_Competitors[[#This Row],[Capacity Min]])/tbl_Competitors[[#This Row],[Capacity Midpoint]])</f>
        <v>0.66666666666666663</v>
      </c>
      <c r="U36" s="165">
        <f>IFERROR(tbl_Competitors[[#This Row],[Capacity Midpoint]]*12,"")</f>
        <v>18000</v>
      </c>
      <c r="V36" s="165">
        <f>IFERROR(SUMIFS(tbl_Competitors[Capacity Midpoint],tbl_Competitors[Zone],tbl_Competitors[[#This Row],[Zone]]),"")</f>
        <v>38500</v>
      </c>
      <c r="W36" s="166">
        <f>IFERROR(tbl_Competitors[[#This Row],[Capacity Midpoint]]/tbl_Competitors[[#This Row],[Zone Capacity Total]],"")</f>
        <v>3.896103896103896E-2</v>
      </c>
      <c r="X36" s="166">
        <f>IFERROR(SUMIFS(tbl_Competitors[Estimated Market Share %],tbl_Competitors[Zone],tbl_Competitors[[#This Row],[Zone]]),"")</f>
        <v>6.9338135974786122E-2</v>
      </c>
      <c r="Y36" s="167"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36" s="299">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3</v>
      </c>
      <c r="AA36" s="167">
        <f>IF(tbl_Competitors[[#This Row],[Strategic Threat Level]]="High",3,IF(tbl_Competitors[[#This Row],[Strategic Threat Level]]="Medium",2,IF(tbl_Competitors[[#This Row],[Strategic Threat Level]]="Low",1,"")))</f>
        <v>2</v>
      </c>
      <c r="AB36" s="167" t="str">
        <f>IF(tbl_Competitors[[#This Row],[Strategic Threat Level]]="High","Yes","No")</f>
        <v>No</v>
      </c>
      <c r="AC36" s="167" t="str">
        <f>IF(OR(tbl_Competitors[[#This Row],[Pricing Level]]="Lowest",tbl_Competitors[[#This Row],[Pricing Level]]="Low-Cost",tbl_Competitors[[#This Row],[Pricing Level]]="Cost-Effective"),"Yes","No")</f>
        <v>No</v>
      </c>
      <c r="AD36" s="167" t="str">
        <f>IF(tbl_Competitors[[#This Row],[Commercial / Captive Flag]]="Captive / Project-Based","Captive - Exclude from Open Market Share",IF(tbl_Competitors[[#This Row],[Estimated Market Share %]]="","Needs Validation",IF(tbl_Competitors[[#This Row],[Zone Market Share Coverage %]]&gt;1.05,"Zone Share Exceeds 100%","OK")))</f>
        <v>OK</v>
      </c>
      <c r="AE36" s="167" t="str">
        <f>IF(OR(tbl_Competitors[[#This Row],[Capacity Min]]="Invalid Format",tbl_Competitors[[#This Row],[Capacity Max]]="Invalid Format"),"Needs Capacity Validation",IF(tbl_Competitors[[#This Row],[Capacity Min]]&gt;tbl_Competitors[[#This Row],[Capacity Max]],"Capacity Range Error","OK"))</f>
        <v>OK</v>
      </c>
      <c r="AF36"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Monitor</v>
      </c>
      <c r="AG36" s="223" t="s">
        <v>3934</v>
      </c>
      <c r="AH36" s="167" t="s">
        <v>3951</v>
      </c>
    </row>
    <row r="37" spans="1:34" ht="12" customHeight="1">
      <c r="A37" s="26" t="s">
        <v>36</v>
      </c>
      <c r="B37" s="21" t="s">
        <v>3305</v>
      </c>
      <c r="C37" s="41" t="s">
        <v>3362</v>
      </c>
      <c r="D37" s="405" t="s">
        <v>3474</v>
      </c>
      <c r="E37" s="42" t="s">
        <v>3475</v>
      </c>
      <c r="F37" s="79">
        <f>tbl_Competitors[[#This Row],[Annual Capacity]]/SUM(tbl_Competitors[Annual Capacity])</f>
        <v>8.5547050877982894E-2</v>
      </c>
      <c r="G37" s="42" t="s">
        <v>3420</v>
      </c>
      <c r="H37" s="48" t="s">
        <v>3476</v>
      </c>
      <c r="I37" s="169" t="s">
        <v>3477</v>
      </c>
      <c r="J37" s="17" t="s">
        <v>3397</v>
      </c>
      <c r="K37" s="214">
        <v>5</v>
      </c>
      <c r="L37" s="426">
        <v>21.697500000000002</v>
      </c>
      <c r="M37" s="426">
        <v>72.587000000000003</v>
      </c>
      <c r="N37" s="432">
        <v>74.599999999999994</v>
      </c>
      <c r="O37" s="215" t="str">
        <f>IF(tbl_Competitors[[#This Row],[Distance from Proposed Plant (km)]]&gt;tbl_Competitors[[#This Row],[Radius (Km)]],"Outside Radius","Within Radius")</f>
        <v>Outside Radius</v>
      </c>
      <c r="P37" s="438">
        <v>22</v>
      </c>
      <c r="Q37" s="170">
        <f>IFERROR(--SUBSTITUTE(TRIM(LEFT(SUBSTITUTE(tbl_Competitors[[#This Row],[Estimated Capacity (m³/month)]],"–","-"),FIND("-",SUBSTITUTE(tbl_Competitors[[#This Row],[Estimated Capacity (m³/month)]],"–","-"))-1)),",",""),"Invalid Format")</f>
        <v>45000</v>
      </c>
      <c r="R37" s="170">
        <f>IFERROR(--SUBSTITUTE(TRIM(MID(SUBSTITUTE(tbl_Competitors[[#This Row],[Estimated Capacity (m³/month)]],"–","-"),FIND("-",SUBSTITUTE(tbl_Competitors[[#This Row],[Estimated Capacity (m³/month)]],"–","-"))+1,99)),",",""),"Invalid Format")</f>
        <v>50000</v>
      </c>
      <c r="S37" s="170">
        <f>IFERROR(AVERAGE(tbl_Competitors[[#This Row],[Capacity Min]],tbl_Competitors[[#This Row],[Capacity Max]]),"")</f>
        <v>47500</v>
      </c>
      <c r="T37" s="171">
        <f>IF(tbl_Competitors[[#This Row],[Capacity Midpoint]]=0,"",(tbl_Competitors[[#This Row],[Capacity Max]]-tbl_Competitors[[#This Row],[Capacity Min]])/tbl_Competitors[[#This Row],[Capacity Midpoint]])</f>
        <v>0.10526315789473684</v>
      </c>
      <c r="U37" s="170">
        <f>IFERROR(tbl_Competitors[[#This Row],[Capacity Midpoint]]*12,"")</f>
        <v>570000</v>
      </c>
      <c r="V37" s="170">
        <f>IFERROR(SUMIFS(tbl_Competitors[Capacity Midpoint],tbl_Competitors[Zone],tbl_Competitors[[#This Row],[Zone]]),"")</f>
        <v>154000</v>
      </c>
      <c r="W37" s="171">
        <f>IFERROR(tbl_Competitors[[#This Row],[Capacity Midpoint]]/tbl_Competitors[[#This Row],[Zone Capacity Total]],"")</f>
        <v>0.30844155844155846</v>
      </c>
      <c r="X37" s="171">
        <f>IFERROR(SUMIFS(tbl_Competitors[Estimated Market Share %],tbl_Competitors[Zone],tbl_Competitors[[#This Row],[Zone]]),"")</f>
        <v>0.27735254389914454</v>
      </c>
      <c r="Y37" s="172"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37" s="300">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4</v>
      </c>
      <c r="AA37" s="172">
        <f>IF(tbl_Competitors[[#This Row],[Strategic Threat Level]]="High",3,IF(tbl_Competitors[[#This Row],[Strategic Threat Level]]="Medium",2,IF(tbl_Competitors[[#This Row],[Strategic Threat Level]]="Low",1,"")))</f>
        <v>1</v>
      </c>
      <c r="AB37" s="172" t="str">
        <f>IF(tbl_Competitors[[#This Row],[Strategic Threat Level]]="High","Yes","No")</f>
        <v>No</v>
      </c>
      <c r="AC37" s="172" t="str">
        <f>IF(OR(tbl_Competitors[[#This Row],[Pricing Level]]="Lowest",tbl_Competitors[[#This Row],[Pricing Level]]="Low-Cost",tbl_Competitors[[#This Row],[Pricing Level]]="Cost-Effective"),"Yes","No")</f>
        <v>No</v>
      </c>
      <c r="AD37" s="172" t="str">
        <f>IF(tbl_Competitors[[#This Row],[Commercial / Captive Flag]]="Captive / Project-Based","Captive - Exclude from Open Market Share",IF(tbl_Competitors[[#This Row],[Estimated Market Share %]]="","Needs Validation",IF(tbl_Competitors[[#This Row],[Zone Market Share Coverage %]]&gt;1.05,"Zone Share Exceeds 100%","OK")))</f>
        <v>OK</v>
      </c>
      <c r="AE37" s="172" t="str">
        <f>IF(OR(tbl_Competitors[[#This Row],[Capacity Min]]="Invalid Format",tbl_Competitors[[#This Row],[Capacity Max]]="Invalid Format"),"Needs Capacity Validation",IF(tbl_Competitors[[#This Row],[Capacity Min]]&gt;tbl_Competitors[[#This Row],[Capacity Max]],"Capacity Range Error","OK"))</f>
        <v>OK</v>
      </c>
      <c r="AF37"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Monitor</v>
      </c>
      <c r="AG37" s="224" t="s">
        <v>3938</v>
      </c>
      <c r="AH37" s="172" t="s">
        <v>3787</v>
      </c>
    </row>
    <row r="38" spans="1:34" ht="12" customHeight="1">
      <c r="A38" s="26" t="s">
        <v>36</v>
      </c>
      <c r="B38" s="21" t="s">
        <v>3284</v>
      </c>
      <c r="C38" s="41" t="s">
        <v>3363</v>
      </c>
      <c r="D38" s="405" t="s">
        <v>3478</v>
      </c>
      <c r="E38" s="42" t="s">
        <v>3479</v>
      </c>
      <c r="F38" s="79">
        <f>tbl_Competitors[[#This Row],[Annual Capacity]]/SUM(tbl_Competitors[Annual Capacity])</f>
        <v>2.9716343989194056E-2</v>
      </c>
      <c r="G38" s="42" t="s">
        <v>3480</v>
      </c>
      <c r="H38" s="48" t="s">
        <v>3481</v>
      </c>
      <c r="I38" s="48" t="s">
        <v>3482</v>
      </c>
      <c r="J38" s="18" t="s">
        <v>194</v>
      </c>
      <c r="K38" s="214">
        <v>1</v>
      </c>
      <c r="L38" s="426">
        <v>21.6266</v>
      </c>
      <c r="M38" s="426">
        <v>73.0167</v>
      </c>
      <c r="N38" s="432">
        <v>61.8</v>
      </c>
      <c r="O38" s="215" t="str">
        <f>IF(tbl_Competitors[[#This Row],[Distance from Proposed Plant (km)]]&gt;tbl_Competitors[[#This Row],[Radius (Km)]],"Outside Radius","Within Radius")</f>
        <v>Outside Radius</v>
      </c>
      <c r="P38" s="438">
        <v>16</v>
      </c>
      <c r="Q38" s="170">
        <f>IFERROR(--SUBSTITUTE(TRIM(LEFT(SUBSTITUTE(tbl_Competitors[[#This Row],[Estimated Capacity (m³/month)]],"–","-"),FIND("-",SUBSTITUTE(tbl_Competitors[[#This Row],[Estimated Capacity (m³/month)]],"–","-"))-1)),",",""),"Invalid Format")</f>
        <v>15000</v>
      </c>
      <c r="R38" s="170">
        <f>IFERROR(--SUBSTITUTE(TRIM(MID(SUBSTITUTE(tbl_Competitors[[#This Row],[Estimated Capacity (m³/month)]],"–","-"),FIND("-",SUBSTITUTE(tbl_Competitors[[#This Row],[Estimated Capacity (m³/month)]],"–","-"))+1,99)),",",""),"Invalid Format")</f>
        <v>18000</v>
      </c>
      <c r="S38" s="170">
        <f>IFERROR(AVERAGE(tbl_Competitors[[#This Row],[Capacity Min]],tbl_Competitors[[#This Row],[Capacity Max]]),"")</f>
        <v>16500</v>
      </c>
      <c r="T38" s="171">
        <f>IF(tbl_Competitors[[#This Row],[Capacity Midpoint]]=0,"",(tbl_Competitors[[#This Row],[Capacity Max]]-tbl_Competitors[[#This Row],[Capacity Min]])/tbl_Competitors[[#This Row],[Capacity Midpoint]])</f>
        <v>0.18181818181818182</v>
      </c>
      <c r="U38" s="170">
        <f>IFERROR(tbl_Competitors[[#This Row],[Capacity Midpoint]]*12,"")</f>
        <v>198000</v>
      </c>
      <c r="V38" s="170">
        <f>IFERROR(SUMIFS(tbl_Competitors[Capacity Midpoint],tbl_Competitors[Zone],tbl_Competitors[[#This Row],[Zone]]),"")</f>
        <v>154000</v>
      </c>
      <c r="W38" s="171">
        <f>IFERROR(tbl_Competitors[[#This Row],[Capacity Midpoint]]/tbl_Competitors[[#This Row],[Zone Capacity Total]],"")</f>
        <v>0.10714285714285714</v>
      </c>
      <c r="X38" s="171">
        <f>IFERROR(SUMIFS(tbl_Competitors[Estimated Market Share %],tbl_Competitors[Zone],tbl_Competitors[[#This Row],[Zone]]),"")</f>
        <v>0.27735254389914454</v>
      </c>
      <c r="Y38" s="172"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38" s="300">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3</v>
      </c>
      <c r="AA38" s="172">
        <f>IF(tbl_Competitors[[#This Row],[Strategic Threat Level]]="High",3,IF(tbl_Competitors[[#This Row],[Strategic Threat Level]]="Medium",2,IF(tbl_Competitors[[#This Row],[Strategic Threat Level]]="Low",1,"")))</f>
        <v>2</v>
      </c>
      <c r="AB38" s="172" t="str">
        <f>IF(tbl_Competitors[[#This Row],[Strategic Threat Level]]="High","Yes","No")</f>
        <v>No</v>
      </c>
      <c r="AC38" s="172" t="str">
        <f>IF(OR(tbl_Competitors[[#This Row],[Pricing Level]]="Lowest",tbl_Competitors[[#This Row],[Pricing Level]]="Low-Cost",tbl_Competitors[[#This Row],[Pricing Level]]="Cost-Effective"),"Yes","No")</f>
        <v>No</v>
      </c>
      <c r="AD38" s="172" t="str">
        <f>IF(tbl_Competitors[[#This Row],[Commercial / Captive Flag]]="Captive / Project-Based","Captive - Exclude from Open Market Share",IF(tbl_Competitors[[#This Row],[Estimated Market Share %]]="","Needs Validation",IF(tbl_Competitors[[#This Row],[Zone Market Share Coverage %]]&gt;1.05,"Zone Share Exceeds 100%","OK")))</f>
        <v>OK</v>
      </c>
      <c r="AE38" s="172" t="str">
        <f>IF(OR(tbl_Competitors[[#This Row],[Capacity Min]]="Invalid Format",tbl_Competitors[[#This Row],[Capacity Max]]="Invalid Format"),"Needs Capacity Validation",IF(tbl_Competitors[[#This Row],[Capacity Min]]&gt;tbl_Competitors[[#This Row],[Capacity Max]],"Capacity Range Error","OK"))</f>
        <v>OK</v>
      </c>
      <c r="AF38"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Monitor</v>
      </c>
      <c r="AG38" s="224" t="s">
        <v>3939</v>
      </c>
      <c r="AH38" s="172" t="s">
        <v>3787</v>
      </c>
    </row>
    <row r="39" spans="1:34" ht="12" customHeight="1">
      <c r="A39" s="26" t="s">
        <v>36</v>
      </c>
      <c r="B39" s="21" t="s">
        <v>3294</v>
      </c>
      <c r="C39" s="41" t="s">
        <v>3364</v>
      </c>
      <c r="D39" s="405" t="s">
        <v>3483</v>
      </c>
      <c r="E39" s="42" t="s">
        <v>3484</v>
      </c>
      <c r="F39" s="79">
        <f>tbl_Competitors[[#This Row],[Annual Capacity]]/SUM(tbl_Competitors[Annual Capacity])</f>
        <v>1.9810895992796038E-2</v>
      </c>
      <c r="G39" s="42" t="s">
        <v>3420</v>
      </c>
      <c r="H39" s="48" t="s">
        <v>3485</v>
      </c>
      <c r="I39" s="48" t="s">
        <v>3486</v>
      </c>
      <c r="J39" s="18" t="s">
        <v>194</v>
      </c>
      <c r="K39" s="214">
        <v>1</v>
      </c>
      <c r="L39" s="426">
        <v>21.7</v>
      </c>
      <c r="M39" s="426">
        <v>72.95</v>
      </c>
      <c r="N39" s="432">
        <v>68.7</v>
      </c>
      <c r="O39" s="215" t="str">
        <f>IF(tbl_Competitors[[#This Row],[Distance from Proposed Plant (km)]]&gt;tbl_Competitors[[#This Row],[Radius (Km)]],"Outside Radius","Within Radius")</f>
        <v>Outside Radius</v>
      </c>
      <c r="P39" s="438">
        <v>12</v>
      </c>
      <c r="Q39" s="170">
        <f>IFERROR(--SUBSTITUTE(TRIM(LEFT(SUBSTITUTE(tbl_Competitors[[#This Row],[Estimated Capacity (m³/month)]],"–","-"),FIND("-",SUBSTITUTE(tbl_Competitors[[#This Row],[Estimated Capacity (m³/month)]],"–","-"))-1)),",",""),"Invalid Format")</f>
        <v>10000</v>
      </c>
      <c r="R39" s="170">
        <f>IFERROR(--SUBSTITUTE(TRIM(MID(SUBSTITUTE(tbl_Competitors[[#This Row],[Estimated Capacity (m³/month)]],"–","-"),FIND("-",SUBSTITUTE(tbl_Competitors[[#This Row],[Estimated Capacity (m³/month)]],"–","-"))+1,99)),",",""),"Invalid Format")</f>
        <v>12000</v>
      </c>
      <c r="S39" s="170">
        <f>IFERROR(AVERAGE(tbl_Competitors[[#This Row],[Capacity Min]],tbl_Competitors[[#This Row],[Capacity Max]]),"")</f>
        <v>11000</v>
      </c>
      <c r="T39" s="171">
        <f>IF(tbl_Competitors[[#This Row],[Capacity Midpoint]]=0,"",(tbl_Competitors[[#This Row],[Capacity Max]]-tbl_Competitors[[#This Row],[Capacity Min]])/tbl_Competitors[[#This Row],[Capacity Midpoint]])</f>
        <v>0.18181818181818182</v>
      </c>
      <c r="U39" s="170">
        <f>IFERROR(tbl_Competitors[[#This Row],[Capacity Midpoint]]*12,"")</f>
        <v>132000</v>
      </c>
      <c r="V39" s="170">
        <f>IFERROR(SUMIFS(tbl_Competitors[Capacity Midpoint],tbl_Competitors[Zone],tbl_Competitors[[#This Row],[Zone]]),"")</f>
        <v>154000</v>
      </c>
      <c r="W39" s="171">
        <f>IFERROR(tbl_Competitors[[#This Row],[Capacity Midpoint]]/tbl_Competitors[[#This Row],[Zone Capacity Total]],"")</f>
        <v>7.1428571428571425E-2</v>
      </c>
      <c r="X39" s="171">
        <f>IFERROR(SUMIFS(tbl_Competitors[Estimated Market Share %],tbl_Competitors[Zone],tbl_Competitors[[#This Row],[Zone]]),"")</f>
        <v>0.27735254389914454</v>
      </c>
      <c r="Y39" s="172"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39" s="300">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4</v>
      </c>
      <c r="AA39" s="172">
        <f>IF(tbl_Competitors[[#This Row],[Strategic Threat Level]]="High",3,IF(tbl_Competitors[[#This Row],[Strategic Threat Level]]="Medium",2,IF(tbl_Competitors[[#This Row],[Strategic Threat Level]]="Low",1,"")))</f>
        <v>2</v>
      </c>
      <c r="AB39" s="172" t="str">
        <f>IF(tbl_Competitors[[#This Row],[Strategic Threat Level]]="High","Yes","No")</f>
        <v>No</v>
      </c>
      <c r="AC39" s="172" t="str">
        <f>IF(OR(tbl_Competitors[[#This Row],[Pricing Level]]="Lowest",tbl_Competitors[[#This Row],[Pricing Level]]="Low-Cost",tbl_Competitors[[#This Row],[Pricing Level]]="Cost-Effective"),"Yes","No")</f>
        <v>No</v>
      </c>
      <c r="AD39" s="172" t="str">
        <f>IF(tbl_Competitors[[#This Row],[Commercial / Captive Flag]]="Captive / Project-Based","Captive - Exclude from Open Market Share",IF(tbl_Competitors[[#This Row],[Estimated Market Share %]]="","Needs Validation",IF(tbl_Competitors[[#This Row],[Zone Market Share Coverage %]]&gt;1.05,"Zone Share Exceeds 100%","OK")))</f>
        <v>OK</v>
      </c>
      <c r="AE39" s="172" t="str">
        <f>IF(OR(tbl_Competitors[[#This Row],[Capacity Min]]="Invalid Format",tbl_Competitors[[#This Row],[Capacity Max]]="Invalid Format"),"Needs Capacity Validation",IF(tbl_Competitors[[#This Row],[Capacity Min]]&gt;tbl_Competitors[[#This Row],[Capacity Max]],"Capacity Range Error","OK"))</f>
        <v>OK</v>
      </c>
      <c r="AF39"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Monitor</v>
      </c>
      <c r="AG39" s="224" t="s">
        <v>3940</v>
      </c>
      <c r="AH39" s="172" t="s">
        <v>3787</v>
      </c>
    </row>
    <row r="40" spans="1:34" ht="12" customHeight="1">
      <c r="A40" s="26" t="s">
        <v>36</v>
      </c>
      <c r="B40" s="21" t="s">
        <v>3306</v>
      </c>
      <c r="C40" s="41" t="s">
        <v>3365</v>
      </c>
      <c r="D40" s="405" t="s">
        <v>3487</v>
      </c>
      <c r="E40" s="42" t="s">
        <v>3488</v>
      </c>
      <c r="F40" s="79">
        <f>tbl_Competitors[[#This Row],[Annual Capacity]]/SUM(tbl_Competitors[Annual Capacity])</f>
        <v>1.7559657811796487E-2</v>
      </c>
      <c r="G40" s="42" t="s">
        <v>3420</v>
      </c>
      <c r="H40" s="48" t="s">
        <v>3489</v>
      </c>
      <c r="I40" s="48" t="s">
        <v>3490</v>
      </c>
      <c r="J40" s="17" t="s">
        <v>3397</v>
      </c>
      <c r="K40" s="214">
        <v>1</v>
      </c>
      <c r="L40" s="426">
        <v>21.705100000000002</v>
      </c>
      <c r="M40" s="426">
        <v>72.995900000000006</v>
      </c>
      <c r="N40" s="432">
        <v>70</v>
      </c>
      <c r="O40" s="215" t="str">
        <f>IF(tbl_Competitors[[#This Row],[Distance from Proposed Plant (km)]]&gt;tbl_Competitors[[#This Row],[Radius (Km)]],"Outside Radius","Within Radius")</f>
        <v>Outside Radius</v>
      </c>
      <c r="P40" s="438">
        <v>16</v>
      </c>
      <c r="Q40" s="170">
        <f>IFERROR(--SUBSTITUTE(TRIM(LEFT(SUBSTITUTE(tbl_Competitors[[#This Row],[Estimated Capacity (m³/month)]],"–","-"),FIND("-",SUBSTITUTE(tbl_Competitors[[#This Row],[Estimated Capacity (m³/month)]],"–","-"))-1)),",",""),"Invalid Format")</f>
        <v>8500</v>
      </c>
      <c r="R40" s="170">
        <f>IFERROR(--SUBSTITUTE(TRIM(MID(SUBSTITUTE(tbl_Competitors[[#This Row],[Estimated Capacity (m³/month)]],"–","-"),FIND("-",SUBSTITUTE(tbl_Competitors[[#This Row],[Estimated Capacity (m³/month)]],"–","-"))+1,99)),",",""),"Invalid Format")</f>
        <v>11000</v>
      </c>
      <c r="S40" s="170">
        <f>IFERROR(AVERAGE(tbl_Competitors[[#This Row],[Capacity Min]],tbl_Competitors[[#This Row],[Capacity Max]]),"")</f>
        <v>9750</v>
      </c>
      <c r="T40" s="171">
        <f>IF(tbl_Competitors[[#This Row],[Capacity Midpoint]]=0,"",(tbl_Competitors[[#This Row],[Capacity Max]]-tbl_Competitors[[#This Row],[Capacity Min]])/tbl_Competitors[[#This Row],[Capacity Midpoint]])</f>
        <v>0.25641025641025639</v>
      </c>
      <c r="U40" s="170">
        <f>IFERROR(tbl_Competitors[[#This Row],[Capacity Midpoint]]*12,"")</f>
        <v>117000</v>
      </c>
      <c r="V40" s="170">
        <f>IFERROR(SUMIFS(tbl_Competitors[Capacity Midpoint],tbl_Competitors[Zone],tbl_Competitors[[#This Row],[Zone]]),"")</f>
        <v>154000</v>
      </c>
      <c r="W40" s="171">
        <f>IFERROR(tbl_Competitors[[#This Row],[Capacity Midpoint]]/tbl_Competitors[[#This Row],[Zone Capacity Total]],"")</f>
        <v>6.3311688311688305E-2</v>
      </c>
      <c r="X40" s="171">
        <f>IFERROR(SUMIFS(tbl_Competitors[Estimated Market Share %],tbl_Competitors[Zone],tbl_Competitors[[#This Row],[Zone]]),"")</f>
        <v>0.27735254389914454</v>
      </c>
      <c r="Y40" s="172"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40" s="300">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4</v>
      </c>
      <c r="AA40" s="172">
        <f>IF(tbl_Competitors[[#This Row],[Strategic Threat Level]]="High",3,IF(tbl_Competitors[[#This Row],[Strategic Threat Level]]="Medium",2,IF(tbl_Competitors[[#This Row],[Strategic Threat Level]]="Low",1,"")))</f>
        <v>1</v>
      </c>
      <c r="AB40" s="172" t="str">
        <f>IF(tbl_Competitors[[#This Row],[Strategic Threat Level]]="High","Yes","No")</f>
        <v>No</v>
      </c>
      <c r="AC40" s="172" t="str">
        <f>IF(OR(tbl_Competitors[[#This Row],[Pricing Level]]="Lowest",tbl_Competitors[[#This Row],[Pricing Level]]="Low-Cost",tbl_Competitors[[#This Row],[Pricing Level]]="Cost-Effective"),"Yes","No")</f>
        <v>No</v>
      </c>
      <c r="AD40" s="172" t="str">
        <f>IF(tbl_Competitors[[#This Row],[Commercial / Captive Flag]]="Captive / Project-Based","Captive - Exclude from Open Market Share",IF(tbl_Competitors[[#This Row],[Estimated Market Share %]]="","Needs Validation",IF(tbl_Competitors[[#This Row],[Zone Market Share Coverage %]]&gt;1.05,"Zone Share Exceeds 100%","OK")))</f>
        <v>OK</v>
      </c>
      <c r="AE40" s="172" t="str">
        <f>IF(OR(tbl_Competitors[[#This Row],[Capacity Min]]="Invalid Format",tbl_Competitors[[#This Row],[Capacity Max]]="Invalid Format"),"Needs Capacity Validation",IF(tbl_Competitors[[#This Row],[Capacity Min]]&gt;tbl_Competitors[[#This Row],[Capacity Max]],"Capacity Range Error","OK"))</f>
        <v>OK</v>
      </c>
      <c r="AF40"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Monitor</v>
      </c>
      <c r="AG40" s="224" t="s">
        <v>3934</v>
      </c>
      <c r="AH40" s="172" t="s">
        <v>3951</v>
      </c>
    </row>
    <row r="41" spans="1:34" ht="12" customHeight="1">
      <c r="A41" s="26" t="s">
        <v>36</v>
      </c>
      <c r="B41" s="21" t="s">
        <v>3307</v>
      </c>
      <c r="C41" s="41" t="s">
        <v>3366</v>
      </c>
      <c r="D41" s="405" t="s">
        <v>3491</v>
      </c>
      <c r="E41" s="42" t="s">
        <v>3492</v>
      </c>
      <c r="F41" s="79">
        <f>tbl_Competitors[[#This Row],[Annual Capacity]]/SUM(tbl_Competitors[Annual Capacity])</f>
        <v>1.6208914903196758E-2</v>
      </c>
      <c r="G41" s="42" t="s">
        <v>3420</v>
      </c>
      <c r="H41" s="48" t="s">
        <v>3493</v>
      </c>
      <c r="I41" s="48" t="s">
        <v>3494</v>
      </c>
      <c r="J41" s="18" t="s">
        <v>194</v>
      </c>
      <c r="K41" s="214">
        <v>1</v>
      </c>
      <c r="L41" s="426">
        <v>21.6266</v>
      </c>
      <c r="M41" s="426">
        <v>73.0167</v>
      </c>
      <c r="N41" s="432">
        <v>61.8</v>
      </c>
      <c r="O41" s="215" t="str">
        <f>IF(tbl_Competitors[[#This Row],[Distance from Proposed Plant (km)]]&gt;tbl_Competitors[[#This Row],[Radius (Km)]],"Outside Radius","Within Radius")</f>
        <v>Outside Radius</v>
      </c>
      <c r="P41" s="438">
        <v>15</v>
      </c>
      <c r="Q41" s="170">
        <f>IFERROR(--SUBSTITUTE(TRIM(LEFT(SUBSTITUTE(tbl_Competitors[[#This Row],[Estimated Capacity (m³/month)]],"–","-"),FIND("-",SUBSTITUTE(tbl_Competitors[[#This Row],[Estimated Capacity (m³/month)]],"–","-"))-1)),",",""),"Invalid Format")</f>
        <v>8000</v>
      </c>
      <c r="R41" s="170">
        <f>IFERROR(--SUBSTITUTE(TRIM(MID(SUBSTITUTE(tbl_Competitors[[#This Row],[Estimated Capacity (m³/month)]],"–","-"),FIND("-",SUBSTITUTE(tbl_Competitors[[#This Row],[Estimated Capacity (m³/month)]],"–","-"))+1,99)),",",""),"Invalid Format")</f>
        <v>10000</v>
      </c>
      <c r="S41" s="170">
        <f>IFERROR(AVERAGE(tbl_Competitors[[#This Row],[Capacity Min]],tbl_Competitors[[#This Row],[Capacity Max]]),"")</f>
        <v>9000</v>
      </c>
      <c r="T41" s="171">
        <f>IF(tbl_Competitors[[#This Row],[Capacity Midpoint]]=0,"",(tbl_Competitors[[#This Row],[Capacity Max]]-tbl_Competitors[[#This Row],[Capacity Min]])/tbl_Competitors[[#This Row],[Capacity Midpoint]])</f>
        <v>0.22222222222222221</v>
      </c>
      <c r="U41" s="170">
        <f>IFERROR(tbl_Competitors[[#This Row],[Capacity Midpoint]]*12,"")</f>
        <v>108000</v>
      </c>
      <c r="V41" s="170">
        <f>IFERROR(SUMIFS(tbl_Competitors[Capacity Midpoint],tbl_Competitors[Zone],tbl_Competitors[[#This Row],[Zone]]),"")</f>
        <v>154000</v>
      </c>
      <c r="W41" s="171">
        <f>IFERROR(tbl_Competitors[[#This Row],[Capacity Midpoint]]/tbl_Competitors[[#This Row],[Zone Capacity Total]],"")</f>
        <v>5.844155844155844E-2</v>
      </c>
      <c r="X41" s="171">
        <f>IFERROR(SUMIFS(tbl_Competitors[Estimated Market Share %],tbl_Competitors[Zone],tbl_Competitors[[#This Row],[Zone]]),"")</f>
        <v>0.27735254389914454</v>
      </c>
      <c r="Y41" s="172"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41" s="300">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4</v>
      </c>
      <c r="AA41" s="172">
        <f>IF(tbl_Competitors[[#This Row],[Strategic Threat Level]]="High",3,IF(tbl_Competitors[[#This Row],[Strategic Threat Level]]="Medium",2,IF(tbl_Competitors[[#This Row],[Strategic Threat Level]]="Low",1,"")))</f>
        <v>2</v>
      </c>
      <c r="AB41" s="172" t="str">
        <f>IF(tbl_Competitors[[#This Row],[Strategic Threat Level]]="High","Yes","No")</f>
        <v>No</v>
      </c>
      <c r="AC41" s="172" t="str">
        <f>IF(OR(tbl_Competitors[[#This Row],[Pricing Level]]="Lowest",tbl_Competitors[[#This Row],[Pricing Level]]="Low-Cost",tbl_Competitors[[#This Row],[Pricing Level]]="Cost-Effective"),"Yes","No")</f>
        <v>No</v>
      </c>
      <c r="AD41" s="172" t="str">
        <f>IF(tbl_Competitors[[#This Row],[Commercial / Captive Flag]]="Captive / Project-Based","Captive - Exclude from Open Market Share",IF(tbl_Competitors[[#This Row],[Estimated Market Share %]]="","Needs Validation",IF(tbl_Competitors[[#This Row],[Zone Market Share Coverage %]]&gt;1.05,"Zone Share Exceeds 100%","OK")))</f>
        <v>OK</v>
      </c>
      <c r="AE41" s="172" t="str">
        <f>IF(OR(tbl_Competitors[[#This Row],[Capacity Min]]="Invalid Format",tbl_Competitors[[#This Row],[Capacity Max]]="Invalid Format"),"Needs Capacity Validation",IF(tbl_Competitors[[#This Row],[Capacity Min]]&gt;tbl_Competitors[[#This Row],[Capacity Max]],"Capacity Range Error","OK"))</f>
        <v>OK</v>
      </c>
      <c r="AF41"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Monitor</v>
      </c>
      <c r="AG41" s="224" t="s">
        <v>3941</v>
      </c>
      <c r="AH41" s="172" t="s">
        <v>3951</v>
      </c>
    </row>
    <row r="42" spans="1:34" ht="12" customHeight="1">
      <c r="A42" s="26" t="s">
        <v>36</v>
      </c>
      <c r="B42" s="21" t="s">
        <v>3308</v>
      </c>
      <c r="C42" s="41" t="s">
        <v>3367</v>
      </c>
      <c r="D42" s="405" t="s">
        <v>3495</v>
      </c>
      <c r="E42" s="42" t="s">
        <v>3496</v>
      </c>
      <c r="F42" s="79">
        <f>tbl_Competitors[[#This Row],[Annual Capacity]]/SUM(tbl_Competitors[Annual Capacity])</f>
        <v>1.5308419630796939E-2</v>
      </c>
      <c r="G42" s="42" t="s">
        <v>3480</v>
      </c>
      <c r="H42" s="48" t="s">
        <v>3497</v>
      </c>
      <c r="I42" s="48" t="s">
        <v>3498</v>
      </c>
      <c r="J42" s="18" t="s">
        <v>194</v>
      </c>
      <c r="K42" s="214">
        <v>1</v>
      </c>
      <c r="L42" s="426">
        <v>21.697500000000002</v>
      </c>
      <c r="M42" s="426">
        <v>72.587000000000003</v>
      </c>
      <c r="N42" s="432">
        <v>74.599999999999994</v>
      </c>
      <c r="O42" s="215" t="str">
        <f>IF(tbl_Competitors[[#This Row],[Distance from Proposed Plant (km)]]&gt;tbl_Competitors[[#This Row],[Radius (Km)]],"Outside Radius","Within Radius")</f>
        <v>Outside Radius</v>
      </c>
      <c r="P42" s="438">
        <v>12</v>
      </c>
      <c r="Q42" s="170">
        <f>IFERROR(--SUBSTITUTE(TRIM(LEFT(SUBSTITUTE(tbl_Competitors[[#This Row],[Estimated Capacity (m³/month)]],"–","-"),FIND("-",SUBSTITUTE(tbl_Competitors[[#This Row],[Estimated Capacity (m³/month)]],"–","-"))-1)),",",""),"Invalid Format")</f>
        <v>7500</v>
      </c>
      <c r="R42" s="170">
        <f>IFERROR(--SUBSTITUTE(TRIM(MID(SUBSTITUTE(tbl_Competitors[[#This Row],[Estimated Capacity (m³/month)]],"–","-"),FIND("-",SUBSTITUTE(tbl_Competitors[[#This Row],[Estimated Capacity (m³/month)]],"–","-"))+1,99)),",",""),"Invalid Format")</f>
        <v>9500</v>
      </c>
      <c r="S42" s="170">
        <f>IFERROR(AVERAGE(tbl_Competitors[[#This Row],[Capacity Min]],tbl_Competitors[[#This Row],[Capacity Max]]),"")</f>
        <v>8500</v>
      </c>
      <c r="T42" s="171">
        <f>IF(tbl_Competitors[[#This Row],[Capacity Midpoint]]=0,"",(tbl_Competitors[[#This Row],[Capacity Max]]-tbl_Competitors[[#This Row],[Capacity Min]])/tbl_Competitors[[#This Row],[Capacity Midpoint]])</f>
        <v>0.23529411764705882</v>
      </c>
      <c r="U42" s="170">
        <f>IFERROR(tbl_Competitors[[#This Row],[Capacity Midpoint]]*12,"")</f>
        <v>102000</v>
      </c>
      <c r="V42" s="170">
        <f>IFERROR(SUMIFS(tbl_Competitors[Capacity Midpoint],tbl_Competitors[Zone],tbl_Competitors[[#This Row],[Zone]]),"")</f>
        <v>154000</v>
      </c>
      <c r="W42" s="171">
        <f>IFERROR(tbl_Competitors[[#This Row],[Capacity Midpoint]]/tbl_Competitors[[#This Row],[Zone Capacity Total]],"")</f>
        <v>5.5194805194805192E-2</v>
      </c>
      <c r="X42" s="171">
        <f>IFERROR(SUMIFS(tbl_Competitors[Estimated Market Share %],tbl_Competitors[Zone],tbl_Competitors[[#This Row],[Zone]]),"")</f>
        <v>0.27735254389914454</v>
      </c>
      <c r="Y42" s="172"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42" s="300">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3</v>
      </c>
      <c r="AA42" s="172">
        <f>IF(tbl_Competitors[[#This Row],[Strategic Threat Level]]="High",3,IF(tbl_Competitors[[#This Row],[Strategic Threat Level]]="Medium",2,IF(tbl_Competitors[[#This Row],[Strategic Threat Level]]="Low",1,"")))</f>
        <v>2</v>
      </c>
      <c r="AB42" s="172" t="str">
        <f>IF(tbl_Competitors[[#This Row],[Strategic Threat Level]]="High","Yes","No")</f>
        <v>No</v>
      </c>
      <c r="AC42" s="172" t="str">
        <f>IF(OR(tbl_Competitors[[#This Row],[Pricing Level]]="Lowest",tbl_Competitors[[#This Row],[Pricing Level]]="Low-Cost",tbl_Competitors[[#This Row],[Pricing Level]]="Cost-Effective"),"Yes","No")</f>
        <v>No</v>
      </c>
      <c r="AD42" s="172" t="str">
        <f>IF(tbl_Competitors[[#This Row],[Commercial / Captive Flag]]="Captive / Project-Based","Captive - Exclude from Open Market Share",IF(tbl_Competitors[[#This Row],[Estimated Market Share %]]="","Needs Validation",IF(tbl_Competitors[[#This Row],[Zone Market Share Coverage %]]&gt;1.05,"Zone Share Exceeds 100%","OK")))</f>
        <v>OK</v>
      </c>
      <c r="AE42" s="172" t="str">
        <f>IF(OR(tbl_Competitors[[#This Row],[Capacity Min]]="Invalid Format",tbl_Competitors[[#This Row],[Capacity Max]]="Invalid Format"),"Needs Capacity Validation",IF(tbl_Competitors[[#This Row],[Capacity Min]]&gt;tbl_Competitors[[#This Row],[Capacity Max]],"Capacity Range Error","OK"))</f>
        <v>OK</v>
      </c>
      <c r="AF42"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Monitor</v>
      </c>
      <c r="AG42" s="224" t="s">
        <v>3934</v>
      </c>
      <c r="AH42" s="172" t="s">
        <v>3951</v>
      </c>
    </row>
    <row r="43" spans="1:34" ht="12" customHeight="1">
      <c r="A43" s="26" t="s">
        <v>36</v>
      </c>
      <c r="B43" s="21" t="s">
        <v>3309</v>
      </c>
      <c r="C43" s="41" t="s">
        <v>3368</v>
      </c>
      <c r="D43" s="405" t="s">
        <v>3499</v>
      </c>
      <c r="E43" s="42" t="s">
        <v>3500</v>
      </c>
      <c r="F43" s="79">
        <f>tbl_Competitors[[#This Row],[Annual Capacity]]/SUM(tbl_Competitors[Annual Capacity])</f>
        <v>1.2156686177397569E-2</v>
      </c>
      <c r="G43" s="42" t="s">
        <v>3501</v>
      </c>
      <c r="H43" s="48" t="s">
        <v>3502</v>
      </c>
      <c r="I43" s="48" t="s">
        <v>3503</v>
      </c>
      <c r="J43" s="19" t="s">
        <v>3423</v>
      </c>
      <c r="K43" s="214">
        <v>1</v>
      </c>
      <c r="L43" s="426">
        <v>21.6266</v>
      </c>
      <c r="M43" s="426">
        <v>73.0167</v>
      </c>
      <c r="N43" s="432">
        <v>61.8</v>
      </c>
      <c r="O43" s="215" t="str">
        <f>IF(tbl_Competitors[[#This Row],[Distance from Proposed Plant (km)]]&gt;tbl_Competitors[[#This Row],[Radius (Km)]],"Outside Radius","Within Radius")</f>
        <v>Outside Radius</v>
      </c>
      <c r="P43" s="438">
        <v>13</v>
      </c>
      <c r="Q43" s="170">
        <f>IFERROR(--SUBSTITUTE(TRIM(LEFT(SUBSTITUTE(tbl_Competitors[[#This Row],[Estimated Capacity (m³/month)]],"–","-"),FIND("-",SUBSTITUTE(tbl_Competitors[[#This Row],[Estimated Capacity (m³/month)]],"–","-"))-1)),",",""),"Invalid Format")</f>
        <v>6000</v>
      </c>
      <c r="R43" s="170">
        <f>IFERROR(--SUBSTITUTE(TRIM(MID(SUBSTITUTE(tbl_Competitors[[#This Row],[Estimated Capacity (m³/month)]],"–","-"),FIND("-",SUBSTITUTE(tbl_Competitors[[#This Row],[Estimated Capacity (m³/month)]],"–","-"))+1,99)),",",""),"Invalid Format")</f>
        <v>7500</v>
      </c>
      <c r="S43" s="170">
        <f>IFERROR(AVERAGE(tbl_Competitors[[#This Row],[Capacity Min]],tbl_Competitors[[#This Row],[Capacity Max]]),"")</f>
        <v>6750</v>
      </c>
      <c r="T43" s="171">
        <f>IF(tbl_Competitors[[#This Row],[Capacity Midpoint]]=0,"",(tbl_Competitors[[#This Row],[Capacity Max]]-tbl_Competitors[[#This Row],[Capacity Min]])/tbl_Competitors[[#This Row],[Capacity Midpoint]])</f>
        <v>0.22222222222222221</v>
      </c>
      <c r="U43" s="170">
        <f>IFERROR(tbl_Competitors[[#This Row],[Capacity Midpoint]]*12,"")</f>
        <v>81000</v>
      </c>
      <c r="V43" s="170">
        <f>IFERROR(SUMIFS(tbl_Competitors[Capacity Midpoint],tbl_Competitors[Zone],tbl_Competitors[[#This Row],[Zone]]),"")</f>
        <v>154000</v>
      </c>
      <c r="W43" s="171">
        <f>IFERROR(tbl_Competitors[[#This Row],[Capacity Midpoint]]/tbl_Competitors[[#This Row],[Zone Capacity Total]],"")</f>
        <v>4.3831168831168832E-2</v>
      </c>
      <c r="X43" s="171">
        <f>IFERROR(SUMIFS(tbl_Competitors[Estimated Market Share %],tbl_Competitors[Zone],tbl_Competitors[[#This Row],[Zone]]),"")</f>
        <v>0.27735254389914454</v>
      </c>
      <c r="Y43" s="172"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43" s="300">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4</v>
      </c>
      <c r="AA43" s="172">
        <f>IF(tbl_Competitors[[#This Row],[Strategic Threat Level]]="High",3,IF(tbl_Competitors[[#This Row],[Strategic Threat Level]]="Medium",2,IF(tbl_Competitors[[#This Row],[Strategic Threat Level]]="Low",1,"")))</f>
        <v>3</v>
      </c>
      <c r="AB43" s="172" t="str">
        <f>IF(tbl_Competitors[[#This Row],[Strategic Threat Level]]="High","Yes","No")</f>
        <v>Yes</v>
      </c>
      <c r="AC43" s="172" t="str">
        <f>IF(OR(tbl_Competitors[[#This Row],[Pricing Level]]="Lowest",tbl_Competitors[[#This Row],[Pricing Level]]="Low-Cost",tbl_Competitors[[#This Row],[Pricing Level]]="Cost-Effective"),"Yes","No")</f>
        <v>Yes</v>
      </c>
      <c r="AD43" s="172" t="str">
        <f>IF(tbl_Competitors[[#This Row],[Commercial / Captive Flag]]="Captive / Project-Based","Captive - Exclude from Open Market Share",IF(tbl_Competitors[[#This Row],[Estimated Market Share %]]="","Needs Validation",IF(tbl_Competitors[[#This Row],[Zone Market Share Coverage %]]&gt;1.05,"Zone Share Exceeds 100%","OK")))</f>
        <v>OK</v>
      </c>
      <c r="AE43" s="172" t="str">
        <f>IF(OR(tbl_Competitors[[#This Row],[Capacity Min]]="Invalid Format",tbl_Competitors[[#This Row],[Capacity Max]]="Invalid Format"),"Needs Capacity Validation",IF(tbl_Competitors[[#This Row],[Capacity Min]]&gt;tbl_Competitors[[#This Row],[Capacity Max]],"Capacity Range Error","OK"))</f>
        <v>OK</v>
      </c>
      <c r="AF43"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High Priority</v>
      </c>
      <c r="AG43" s="224" t="s">
        <v>3934</v>
      </c>
      <c r="AH43" s="172" t="s">
        <v>3951</v>
      </c>
    </row>
    <row r="44" spans="1:34" ht="12" customHeight="1">
      <c r="A44" s="26" t="s">
        <v>36</v>
      </c>
      <c r="B44" s="21" t="s">
        <v>3310</v>
      </c>
      <c r="C44" s="41" t="s">
        <v>3369</v>
      </c>
      <c r="D44" s="405" t="s">
        <v>3504</v>
      </c>
      <c r="E44" s="42" t="s">
        <v>3505</v>
      </c>
      <c r="F44" s="79">
        <f>tbl_Competitors[[#This Row],[Annual Capacity]]/SUM(tbl_Competitors[Annual Capacity])</f>
        <v>1.125619090499775E-2</v>
      </c>
      <c r="G44" s="42" t="s">
        <v>3501</v>
      </c>
      <c r="H44" s="48" t="s">
        <v>3506</v>
      </c>
      <c r="I44" s="48" t="s">
        <v>3507</v>
      </c>
      <c r="J44" s="19" t="s">
        <v>3423</v>
      </c>
      <c r="K44" s="214">
        <v>1</v>
      </c>
      <c r="L44" s="426">
        <v>21.74</v>
      </c>
      <c r="M44" s="426">
        <v>73.02</v>
      </c>
      <c r="N44" s="432">
        <v>74.2</v>
      </c>
      <c r="O44" s="215" t="str">
        <f>IF(tbl_Competitors[[#This Row],[Distance from Proposed Plant (km)]]&gt;tbl_Competitors[[#This Row],[Radius (Km)]],"Outside Radius","Within Radius")</f>
        <v>Outside Radius</v>
      </c>
      <c r="P44" s="438">
        <v>12</v>
      </c>
      <c r="Q44" s="170">
        <f>IFERROR(--SUBSTITUTE(TRIM(LEFT(SUBSTITUTE(tbl_Competitors[[#This Row],[Estimated Capacity (m³/month)]],"–","-"),FIND("-",SUBSTITUTE(tbl_Competitors[[#This Row],[Estimated Capacity (m³/month)]],"–","-"))-1)),",",""),"Invalid Format")</f>
        <v>5500</v>
      </c>
      <c r="R44" s="170">
        <f>IFERROR(--SUBSTITUTE(TRIM(MID(SUBSTITUTE(tbl_Competitors[[#This Row],[Estimated Capacity (m³/month)]],"–","-"),FIND("-",SUBSTITUTE(tbl_Competitors[[#This Row],[Estimated Capacity (m³/month)]],"–","-"))+1,99)),",",""),"Invalid Format")</f>
        <v>7000</v>
      </c>
      <c r="S44" s="170">
        <f>IFERROR(AVERAGE(tbl_Competitors[[#This Row],[Capacity Min]],tbl_Competitors[[#This Row],[Capacity Max]]),"")</f>
        <v>6250</v>
      </c>
      <c r="T44" s="171">
        <f>IF(tbl_Competitors[[#This Row],[Capacity Midpoint]]=0,"",(tbl_Competitors[[#This Row],[Capacity Max]]-tbl_Competitors[[#This Row],[Capacity Min]])/tbl_Competitors[[#This Row],[Capacity Midpoint]])</f>
        <v>0.24</v>
      </c>
      <c r="U44" s="170">
        <f>IFERROR(tbl_Competitors[[#This Row],[Capacity Midpoint]]*12,"")</f>
        <v>75000</v>
      </c>
      <c r="V44" s="170">
        <f>IFERROR(SUMIFS(tbl_Competitors[Capacity Midpoint],tbl_Competitors[Zone],tbl_Competitors[[#This Row],[Zone]]),"")</f>
        <v>154000</v>
      </c>
      <c r="W44" s="171">
        <f>IFERROR(tbl_Competitors[[#This Row],[Capacity Midpoint]]/tbl_Competitors[[#This Row],[Zone Capacity Total]],"")</f>
        <v>4.0584415584415584E-2</v>
      </c>
      <c r="X44" s="171">
        <f>IFERROR(SUMIFS(tbl_Competitors[Estimated Market Share %],tbl_Competitors[Zone],tbl_Competitors[[#This Row],[Zone]]),"")</f>
        <v>0.27735254389914454</v>
      </c>
      <c r="Y44" s="172"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44" s="300">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4</v>
      </c>
      <c r="AA44" s="172">
        <f>IF(tbl_Competitors[[#This Row],[Strategic Threat Level]]="High",3,IF(tbl_Competitors[[#This Row],[Strategic Threat Level]]="Medium",2,IF(tbl_Competitors[[#This Row],[Strategic Threat Level]]="Low",1,"")))</f>
        <v>3</v>
      </c>
      <c r="AB44" s="172" t="str">
        <f>IF(tbl_Competitors[[#This Row],[Strategic Threat Level]]="High","Yes","No")</f>
        <v>Yes</v>
      </c>
      <c r="AC44" s="172" t="str">
        <f>IF(OR(tbl_Competitors[[#This Row],[Pricing Level]]="Lowest",tbl_Competitors[[#This Row],[Pricing Level]]="Low-Cost",tbl_Competitors[[#This Row],[Pricing Level]]="Cost-Effective"),"Yes","No")</f>
        <v>Yes</v>
      </c>
      <c r="AD44" s="172" t="str">
        <f>IF(tbl_Competitors[[#This Row],[Commercial / Captive Flag]]="Captive / Project-Based","Captive - Exclude from Open Market Share",IF(tbl_Competitors[[#This Row],[Estimated Market Share %]]="","Needs Validation",IF(tbl_Competitors[[#This Row],[Zone Market Share Coverage %]]&gt;1.05,"Zone Share Exceeds 100%","OK")))</f>
        <v>OK</v>
      </c>
      <c r="AE44" s="172" t="str">
        <f>IF(OR(tbl_Competitors[[#This Row],[Capacity Min]]="Invalid Format",tbl_Competitors[[#This Row],[Capacity Max]]="Invalid Format"),"Needs Capacity Validation",IF(tbl_Competitors[[#This Row],[Capacity Min]]&gt;tbl_Competitors[[#This Row],[Capacity Max]],"Capacity Range Error","OK"))</f>
        <v>OK</v>
      </c>
      <c r="AF44"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High Priority</v>
      </c>
      <c r="AG44" s="224" t="s">
        <v>3934</v>
      </c>
      <c r="AH44" s="172" t="s">
        <v>3951</v>
      </c>
    </row>
    <row r="45" spans="1:34" ht="12" customHeight="1">
      <c r="A45" s="26" t="s">
        <v>36</v>
      </c>
      <c r="B45" s="21" t="s">
        <v>3311</v>
      </c>
      <c r="C45" s="41" t="s">
        <v>3370</v>
      </c>
      <c r="D45" s="405" t="s">
        <v>3508</v>
      </c>
      <c r="E45" s="42" t="s">
        <v>3509</v>
      </c>
      <c r="F45" s="79">
        <f>tbl_Competitors[[#This Row],[Annual Capacity]]/SUM(tbl_Competitors[Annual Capacity])</f>
        <v>8.5547050877982887E-3</v>
      </c>
      <c r="G45" s="42" t="s">
        <v>3501</v>
      </c>
      <c r="H45" s="48" t="s">
        <v>3510</v>
      </c>
      <c r="I45" s="48" t="s">
        <v>3511</v>
      </c>
      <c r="J45" s="17" t="s">
        <v>3397</v>
      </c>
      <c r="K45" s="214">
        <v>1</v>
      </c>
      <c r="L45" s="426">
        <v>21.85</v>
      </c>
      <c r="M45" s="426">
        <v>73.05</v>
      </c>
      <c r="N45" s="432">
        <v>86.8</v>
      </c>
      <c r="O45" s="215" t="str">
        <f>IF(tbl_Competitors[[#This Row],[Distance from Proposed Plant (km)]]&gt;tbl_Competitors[[#This Row],[Radius (Km)]],"Outside Radius","Within Radius")</f>
        <v>Outside Radius</v>
      </c>
      <c r="P45" s="438">
        <v>12</v>
      </c>
      <c r="Q45" s="170">
        <f>IFERROR(--SUBSTITUTE(TRIM(LEFT(SUBSTITUTE(tbl_Competitors[[#This Row],[Estimated Capacity (m³/month)]],"–","-"),FIND("-",SUBSTITUTE(tbl_Competitors[[#This Row],[Estimated Capacity (m³/month)]],"–","-"))-1)),",",""),"Invalid Format")</f>
        <v>4000</v>
      </c>
      <c r="R45" s="170">
        <f>IFERROR(--SUBSTITUTE(TRIM(MID(SUBSTITUTE(tbl_Competitors[[#This Row],[Estimated Capacity (m³/month)]],"–","-"),FIND("-",SUBSTITUTE(tbl_Competitors[[#This Row],[Estimated Capacity (m³/month)]],"–","-"))+1,99)),",",""),"Invalid Format")</f>
        <v>5500</v>
      </c>
      <c r="S45" s="170">
        <f>IFERROR(AVERAGE(tbl_Competitors[[#This Row],[Capacity Min]],tbl_Competitors[[#This Row],[Capacity Max]]),"")</f>
        <v>4750</v>
      </c>
      <c r="T45" s="171">
        <f>IF(tbl_Competitors[[#This Row],[Capacity Midpoint]]=0,"",(tbl_Competitors[[#This Row],[Capacity Max]]-tbl_Competitors[[#This Row],[Capacity Min]])/tbl_Competitors[[#This Row],[Capacity Midpoint]])</f>
        <v>0.31578947368421051</v>
      </c>
      <c r="U45" s="170">
        <f>IFERROR(tbl_Competitors[[#This Row],[Capacity Midpoint]]*12,"")</f>
        <v>57000</v>
      </c>
      <c r="V45" s="170">
        <f>IFERROR(SUMIFS(tbl_Competitors[Capacity Midpoint],tbl_Competitors[Zone],tbl_Competitors[[#This Row],[Zone]]),"")</f>
        <v>154000</v>
      </c>
      <c r="W45" s="171">
        <f>IFERROR(tbl_Competitors[[#This Row],[Capacity Midpoint]]/tbl_Competitors[[#This Row],[Zone Capacity Total]],"")</f>
        <v>3.0844155844155844E-2</v>
      </c>
      <c r="X45" s="171">
        <f>IFERROR(SUMIFS(tbl_Competitors[Estimated Market Share %],tbl_Competitors[Zone],tbl_Competitors[[#This Row],[Zone]]),"")</f>
        <v>0.27735254389914454</v>
      </c>
      <c r="Y45" s="172"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45" s="300">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4</v>
      </c>
      <c r="AA45" s="172">
        <f>IF(tbl_Competitors[[#This Row],[Strategic Threat Level]]="High",3,IF(tbl_Competitors[[#This Row],[Strategic Threat Level]]="Medium",2,IF(tbl_Competitors[[#This Row],[Strategic Threat Level]]="Low",1,"")))</f>
        <v>1</v>
      </c>
      <c r="AB45" s="172" t="str">
        <f>IF(tbl_Competitors[[#This Row],[Strategic Threat Level]]="High","Yes","No")</f>
        <v>No</v>
      </c>
      <c r="AC45" s="172" t="str">
        <f>IF(OR(tbl_Competitors[[#This Row],[Pricing Level]]="Lowest",tbl_Competitors[[#This Row],[Pricing Level]]="Low-Cost",tbl_Competitors[[#This Row],[Pricing Level]]="Cost-Effective"),"Yes","No")</f>
        <v>Yes</v>
      </c>
      <c r="AD45" s="172" t="str">
        <f>IF(tbl_Competitors[[#This Row],[Commercial / Captive Flag]]="Captive / Project-Based","Captive - Exclude from Open Market Share",IF(tbl_Competitors[[#This Row],[Estimated Market Share %]]="","Needs Validation",IF(tbl_Competitors[[#This Row],[Zone Market Share Coverage %]]&gt;1.05,"Zone Share Exceeds 100%","OK")))</f>
        <v>OK</v>
      </c>
      <c r="AE45" s="172" t="str">
        <f>IF(OR(tbl_Competitors[[#This Row],[Capacity Min]]="Invalid Format",tbl_Competitors[[#This Row],[Capacity Max]]="Invalid Format"),"Needs Capacity Validation",IF(tbl_Competitors[[#This Row],[Capacity Min]]&gt;tbl_Competitors[[#This Row],[Capacity Max]],"Capacity Range Error","OK"))</f>
        <v>OK</v>
      </c>
      <c r="AF45"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Monitor</v>
      </c>
      <c r="AG45" s="224" t="s">
        <v>3934</v>
      </c>
      <c r="AH45" s="172" t="s">
        <v>3951</v>
      </c>
    </row>
    <row r="46" spans="1:34" ht="12" customHeight="1">
      <c r="A46" s="26" t="s">
        <v>36</v>
      </c>
      <c r="B46" s="21" t="s">
        <v>3312</v>
      </c>
      <c r="C46" s="41" t="s">
        <v>3371</v>
      </c>
      <c r="D46" s="405" t="s">
        <v>3512</v>
      </c>
      <c r="E46" s="42" t="s">
        <v>3513</v>
      </c>
      <c r="F46" s="79">
        <f>tbl_Competitors[[#This Row],[Annual Capacity]]/SUM(tbl_Competitors[Annual Capacity])</f>
        <v>7.2039621791985592E-3</v>
      </c>
      <c r="G46" s="42" t="s">
        <v>3514</v>
      </c>
      <c r="H46" s="48" t="s">
        <v>3515</v>
      </c>
      <c r="I46" s="48" t="s">
        <v>3516</v>
      </c>
      <c r="J46" s="18" t="s">
        <v>194</v>
      </c>
      <c r="K46" s="214">
        <v>1</v>
      </c>
      <c r="L46" s="426">
        <v>21.6</v>
      </c>
      <c r="M46" s="426">
        <v>73</v>
      </c>
      <c r="N46" s="432">
        <v>58.6</v>
      </c>
      <c r="O46" s="215" t="str">
        <f>IF(tbl_Competitors[[#This Row],[Distance from Proposed Plant (km)]]&gt;tbl_Competitors[[#This Row],[Radius (Km)]],"Outside Radius","Within Radius")</f>
        <v>Outside Radius</v>
      </c>
      <c r="P46" s="438">
        <v>8</v>
      </c>
      <c r="Q46" s="170">
        <f>IFERROR(--SUBSTITUTE(TRIM(LEFT(SUBSTITUTE(tbl_Competitors[[#This Row],[Estimated Capacity (m³/month)]],"–","-"),FIND("-",SUBSTITUTE(tbl_Competitors[[#This Row],[Estimated Capacity (m³/month)]],"–","-"))-1)),",",""),"Invalid Format")</f>
        <v>3500</v>
      </c>
      <c r="R46" s="170">
        <f>IFERROR(--SUBSTITUTE(TRIM(MID(SUBSTITUTE(tbl_Competitors[[#This Row],[Estimated Capacity (m³/month)]],"–","-"),FIND("-",SUBSTITUTE(tbl_Competitors[[#This Row],[Estimated Capacity (m³/month)]],"–","-"))+1,99)),",",""),"Invalid Format")</f>
        <v>4500</v>
      </c>
      <c r="S46" s="170">
        <f>IFERROR(AVERAGE(tbl_Competitors[[#This Row],[Capacity Min]],tbl_Competitors[[#This Row],[Capacity Max]]),"")</f>
        <v>4000</v>
      </c>
      <c r="T46" s="171">
        <f>IF(tbl_Competitors[[#This Row],[Capacity Midpoint]]=0,"",(tbl_Competitors[[#This Row],[Capacity Max]]-tbl_Competitors[[#This Row],[Capacity Min]])/tbl_Competitors[[#This Row],[Capacity Midpoint]])</f>
        <v>0.25</v>
      </c>
      <c r="U46" s="170">
        <f>IFERROR(tbl_Competitors[[#This Row],[Capacity Midpoint]]*12,"")</f>
        <v>48000</v>
      </c>
      <c r="V46" s="170">
        <f>IFERROR(SUMIFS(tbl_Competitors[Capacity Midpoint],tbl_Competitors[Zone],tbl_Competitors[[#This Row],[Zone]]),"")</f>
        <v>154000</v>
      </c>
      <c r="W46" s="171">
        <f>IFERROR(tbl_Competitors[[#This Row],[Capacity Midpoint]]/tbl_Competitors[[#This Row],[Zone Capacity Total]],"")</f>
        <v>2.5974025974025976E-2</v>
      </c>
      <c r="X46" s="171">
        <f>IFERROR(SUMIFS(tbl_Competitors[Estimated Market Share %],tbl_Competitors[Zone],tbl_Competitors[[#This Row],[Zone]]),"")</f>
        <v>0.27735254389914454</v>
      </c>
      <c r="Y46" s="172"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46" s="300">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5</v>
      </c>
      <c r="AA46" s="172">
        <f>IF(tbl_Competitors[[#This Row],[Strategic Threat Level]]="High",3,IF(tbl_Competitors[[#This Row],[Strategic Threat Level]]="Medium",2,IF(tbl_Competitors[[#This Row],[Strategic Threat Level]]="Low",1,"")))</f>
        <v>2</v>
      </c>
      <c r="AB46" s="172" t="str">
        <f>IF(tbl_Competitors[[#This Row],[Strategic Threat Level]]="High","Yes","No")</f>
        <v>No</v>
      </c>
      <c r="AC46" s="172" t="str">
        <f>IF(OR(tbl_Competitors[[#This Row],[Pricing Level]]="Lowest",tbl_Competitors[[#This Row],[Pricing Level]]="Low-Cost",tbl_Competitors[[#This Row],[Pricing Level]]="Cost-Effective"),"Yes","No")</f>
        <v>Yes</v>
      </c>
      <c r="AD46" s="172" t="str">
        <f>IF(tbl_Competitors[[#This Row],[Commercial / Captive Flag]]="Captive / Project-Based","Captive - Exclude from Open Market Share",IF(tbl_Competitors[[#This Row],[Estimated Market Share %]]="","Needs Validation",IF(tbl_Competitors[[#This Row],[Zone Market Share Coverage %]]&gt;1.05,"Zone Share Exceeds 100%","OK")))</f>
        <v>OK</v>
      </c>
      <c r="AE46" s="172" t="str">
        <f>IF(OR(tbl_Competitors[[#This Row],[Capacity Min]]="Invalid Format",tbl_Competitors[[#This Row],[Capacity Max]]="Invalid Format"),"Needs Capacity Validation",IF(tbl_Competitors[[#This Row],[Capacity Min]]&gt;tbl_Competitors[[#This Row],[Capacity Max]],"Capacity Range Error","OK"))</f>
        <v>OK</v>
      </c>
      <c r="AF46"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Monitor</v>
      </c>
      <c r="AG46" s="224" t="s">
        <v>3934</v>
      </c>
      <c r="AH46" s="172" t="s">
        <v>3951</v>
      </c>
    </row>
    <row r="47" spans="1:34" ht="12" customHeight="1">
      <c r="A47" s="26" t="s">
        <v>36</v>
      </c>
      <c r="B47" s="21" t="s">
        <v>3313</v>
      </c>
      <c r="C47" s="41" t="s">
        <v>3372</v>
      </c>
      <c r="D47" s="405" t="s">
        <v>3606</v>
      </c>
      <c r="E47" s="42" t="s">
        <v>3517</v>
      </c>
      <c r="F47" s="79">
        <f>tbl_Competitors[[#This Row],[Annual Capacity]]/SUM(tbl_Competitors[Annual Capacity])</f>
        <v>5.4029716343989197E-2</v>
      </c>
      <c r="G47" s="42" t="s">
        <v>3518</v>
      </c>
      <c r="H47" s="48" t="s">
        <v>3519</v>
      </c>
      <c r="I47" s="48" t="s">
        <v>3520</v>
      </c>
      <c r="J47" s="22" t="s">
        <v>194</v>
      </c>
      <c r="K47" s="214">
        <v>1</v>
      </c>
      <c r="L47" s="426">
        <v>21.6266</v>
      </c>
      <c r="M47" s="426">
        <v>73.0167</v>
      </c>
      <c r="N47" s="432">
        <v>61.8</v>
      </c>
      <c r="O47" s="215" t="str">
        <f>IF(tbl_Competitors[[#This Row],[Distance from Proposed Plant (km)]]&gt;tbl_Competitors[[#This Row],[Radius (Km)]],"Outside Radius","Within Radius")</f>
        <v>Within Radius</v>
      </c>
      <c r="P47" s="438" t="s">
        <v>3683</v>
      </c>
      <c r="Q47" s="170">
        <f>IFERROR(--SUBSTITUTE(TRIM(LEFT(SUBSTITUTE(tbl_Competitors[[#This Row],[Estimated Capacity (m³/month)]],"–","-"),FIND("-",SUBSTITUTE(tbl_Competitors[[#This Row],[Estimated Capacity (m³/month)]],"–","-"))-1)),",",""),"Invalid Format")</f>
        <v>25000</v>
      </c>
      <c r="R47" s="170">
        <f>IFERROR(--SUBSTITUTE(TRIM(MID(SUBSTITUTE(tbl_Competitors[[#This Row],[Estimated Capacity (m³/month)]],"–","-"),FIND("-",SUBSTITUTE(tbl_Competitors[[#This Row],[Estimated Capacity (m³/month)]],"–","-"))+1,99)),",",""),"Invalid Format")</f>
        <v>35000</v>
      </c>
      <c r="S47" s="170">
        <f>IFERROR(AVERAGE(tbl_Competitors[[#This Row],[Capacity Min]],tbl_Competitors[[#This Row],[Capacity Max]]),"")</f>
        <v>30000</v>
      </c>
      <c r="T47" s="171">
        <f>IF(tbl_Competitors[[#This Row],[Capacity Midpoint]]=0,"",(tbl_Competitors[[#This Row],[Capacity Max]]-tbl_Competitors[[#This Row],[Capacity Min]])/tbl_Competitors[[#This Row],[Capacity Midpoint]])</f>
        <v>0.33333333333333331</v>
      </c>
      <c r="U47" s="170">
        <f>IFERROR(tbl_Competitors[[#This Row],[Capacity Midpoint]]*12,"")</f>
        <v>360000</v>
      </c>
      <c r="V47" s="170">
        <f>IFERROR(SUMIFS(tbl_Competitors[Capacity Midpoint],tbl_Competitors[Zone],tbl_Competitors[[#This Row],[Zone]]),"")</f>
        <v>154000</v>
      </c>
      <c r="W47" s="171">
        <f>IFERROR(tbl_Competitors[[#This Row],[Capacity Midpoint]]/tbl_Competitors[[#This Row],[Zone Capacity Total]],"")</f>
        <v>0.19480519480519481</v>
      </c>
      <c r="X47" s="171">
        <f>IFERROR(SUMIFS(tbl_Competitors[Estimated Market Share %],tbl_Competitors[Zone],tbl_Competitors[[#This Row],[Zone]]),"")</f>
        <v>0.27735254389914454</v>
      </c>
      <c r="Y47" s="172" t="str">
        <f>IF(OR(ISNUMBER(SEARCH("Captive",tbl_Competitors[[#This Row],[Market Position]])),tbl_Competitors[[#This Row],[Estimated Market Share %]]="N/A - Captive",tbl_Competitors[[#This Row],[Pricing Level]]="Internal Cost",tbl_Competitors[[#This Row],[Pricing Level]]="Captive"),"Captive / Project-Based","Commercial / Open Market")</f>
        <v>Captive / Project-Based</v>
      </c>
      <c r="Z47" s="300" t="str">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0</v>
      </c>
      <c r="AA47" s="172">
        <f>IF(tbl_Competitors[[#This Row],[Strategic Threat Level]]="High",3,IF(tbl_Competitors[[#This Row],[Strategic Threat Level]]="Medium",2,IF(tbl_Competitors[[#This Row],[Strategic Threat Level]]="Low",1,"")))</f>
        <v>2</v>
      </c>
      <c r="AB47" s="172" t="str">
        <f>IF(tbl_Competitors[[#This Row],[Strategic Threat Level]]="High","Yes","No")</f>
        <v>No</v>
      </c>
      <c r="AC47" s="172" t="str">
        <f>IF(OR(tbl_Competitors[[#This Row],[Pricing Level]]="Lowest",tbl_Competitors[[#This Row],[Pricing Level]]="Low-Cost",tbl_Competitors[[#This Row],[Pricing Level]]="Cost-Effective"),"Yes","No")</f>
        <v>No</v>
      </c>
      <c r="AD47" s="224" t="str">
        <f>IF(tbl_Competitors[[#This Row],[Commercial / Captive Flag]]="Captive / Project-Based","Captive - Exclude from Open Market Share",IF(tbl_Competitors[[#This Row],[Estimated Market Share %]]="","Needs Validation",IF(tbl_Competitors[[#This Row],[Zone Market Share Coverage %]]&gt;1.05,"Zone Share Exceeds 100%","OK")))</f>
        <v>Captive - Exclude from Open Market Share</v>
      </c>
      <c r="AE47" s="172" t="str">
        <f>IF(OR(tbl_Competitors[[#This Row],[Capacity Min]]="Invalid Format",tbl_Competitors[[#This Row],[Capacity Max]]="Invalid Format"),"Needs Capacity Validation",IF(tbl_Competitors[[#This Row],[Capacity Min]]&gt;tbl_Competitors[[#This Row],[Capacity Max]],"Capacity Range Error","OK"))</f>
        <v>OK</v>
      </c>
      <c r="AF47"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Monitor</v>
      </c>
      <c r="AG47" s="224" t="s">
        <v>3942</v>
      </c>
      <c r="AH47" s="172" t="s">
        <v>3951</v>
      </c>
    </row>
    <row r="48" spans="1:34" ht="12" customHeight="1">
      <c r="A48" s="27" t="s">
        <v>37</v>
      </c>
      <c r="B48" s="23" t="s">
        <v>3284</v>
      </c>
      <c r="C48" s="43" t="s">
        <v>3373</v>
      </c>
      <c r="D48" s="406" t="s">
        <v>3521</v>
      </c>
      <c r="E48" s="44" t="s">
        <v>3475</v>
      </c>
      <c r="F48" s="80">
        <f>tbl_Competitors[[#This Row],[Annual Capacity]]/SUM(tbl_Competitors[Annual Capacity])</f>
        <v>2.4313372354795137E-2</v>
      </c>
      <c r="G48" s="44" t="s">
        <v>3420</v>
      </c>
      <c r="H48" s="49" t="s">
        <v>3522</v>
      </c>
      <c r="I48" s="49" t="s">
        <v>3523</v>
      </c>
      <c r="J48" s="17" t="s">
        <v>3397</v>
      </c>
      <c r="K48" s="216">
        <v>1</v>
      </c>
      <c r="L48" s="427">
        <v>20.9467</v>
      </c>
      <c r="M48" s="427">
        <v>72.951999999999998</v>
      </c>
      <c r="N48" s="433">
        <v>17.100000000000001</v>
      </c>
      <c r="O48" s="217" t="str">
        <f>IF(tbl_Competitors[[#This Row],[Distance from Proposed Plant (km)]]&gt;tbl_Competitors[[#This Row],[Radius (Km)]],"Outside Radius","Within Radius")</f>
        <v>Within Radius</v>
      </c>
      <c r="P48" s="439">
        <v>22</v>
      </c>
      <c r="Q48" s="174">
        <f>IFERROR(--SUBSTITUTE(TRIM(LEFT(SUBSTITUTE(tbl_Competitors[[#This Row],[Estimated Capacity (m³/month)]],"–","-"),FIND("-",SUBSTITUTE(tbl_Competitors[[#This Row],[Estimated Capacity (m³/month)]],"–","-"))-1)),",",""),"Invalid Format")</f>
        <v>12000</v>
      </c>
      <c r="R48" s="174">
        <f>IFERROR(--SUBSTITUTE(TRIM(MID(SUBSTITUTE(tbl_Competitors[[#This Row],[Estimated Capacity (m³/month)]],"–","-"),FIND("-",SUBSTITUTE(tbl_Competitors[[#This Row],[Estimated Capacity (m³/month)]],"–","-"))+1,99)),",",""),"Invalid Format")</f>
        <v>15000</v>
      </c>
      <c r="S48" s="174">
        <f>IFERROR(AVERAGE(tbl_Competitors[[#This Row],[Capacity Min]],tbl_Competitors[[#This Row],[Capacity Max]]),"")</f>
        <v>13500</v>
      </c>
      <c r="T48" s="175">
        <f>IF(tbl_Competitors[[#This Row],[Capacity Midpoint]]=0,"",(tbl_Competitors[[#This Row],[Capacity Max]]-tbl_Competitors[[#This Row],[Capacity Min]])/tbl_Competitors[[#This Row],[Capacity Midpoint]])</f>
        <v>0.22222222222222221</v>
      </c>
      <c r="U48" s="174">
        <f>IFERROR(tbl_Competitors[[#This Row],[Capacity Midpoint]]*12,"")</f>
        <v>162000</v>
      </c>
      <c r="V48" s="174">
        <f>IFERROR(SUMIFS(tbl_Competitors[Capacity Midpoint],tbl_Competitors[Zone],tbl_Competitors[[#This Row],[Zone]]),"")</f>
        <v>123750</v>
      </c>
      <c r="W48" s="175">
        <f>IFERROR(tbl_Competitors[[#This Row],[Capacity Midpoint]]/tbl_Competitors[[#This Row],[Zone Capacity Total]],"")</f>
        <v>0.10909090909090909</v>
      </c>
      <c r="X48" s="175">
        <f>IFERROR(SUMIFS(tbl_Competitors[Estimated Market Share %],tbl_Competitors[Zone],tbl_Competitors[[#This Row],[Zone]]),"")</f>
        <v>0.22287257991895545</v>
      </c>
      <c r="Y48" s="176"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48" s="301">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4</v>
      </c>
      <c r="AA48" s="176">
        <f>IF(tbl_Competitors[[#This Row],[Strategic Threat Level]]="High",3,IF(tbl_Competitors[[#This Row],[Strategic Threat Level]]="Medium",2,IF(tbl_Competitors[[#This Row],[Strategic Threat Level]]="Low",1,"")))</f>
        <v>1</v>
      </c>
      <c r="AB48" s="176" t="str">
        <f>IF(tbl_Competitors[[#This Row],[Strategic Threat Level]]="High","Yes","No")</f>
        <v>No</v>
      </c>
      <c r="AC48" s="176" t="str">
        <f>IF(OR(tbl_Competitors[[#This Row],[Pricing Level]]="Lowest",tbl_Competitors[[#This Row],[Pricing Level]]="Low-Cost",tbl_Competitors[[#This Row],[Pricing Level]]="Cost-Effective"),"Yes","No")</f>
        <v>No</v>
      </c>
      <c r="AD48" s="176" t="str">
        <f>IF(tbl_Competitors[[#This Row],[Commercial / Captive Flag]]="Captive / Project-Based","Captive - Exclude from Open Market Share",IF(tbl_Competitors[[#This Row],[Estimated Market Share %]]="","Needs Validation",IF(tbl_Competitors[[#This Row],[Zone Market Share Coverage %]]&gt;1.05,"Zone Share Exceeds 100%","OK")))</f>
        <v>OK</v>
      </c>
      <c r="AE48" s="176" t="str">
        <f>IF(OR(tbl_Competitors[[#This Row],[Capacity Min]]="Invalid Format",tbl_Competitors[[#This Row],[Capacity Max]]="Invalid Format"),"Needs Capacity Validation",IF(tbl_Competitors[[#This Row],[Capacity Min]]&gt;tbl_Competitors[[#This Row],[Capacity Max]],"Capacity Range Error","OK"))</f>
        <v>OK</v>
      </c>
      <c r="AF48"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Monitor</v>
      </c>
      <c r="AG48" s="225" t="s">
        <v>3943</v>
      </c>
      <c r="AH48" s="176" t="s">
        <v>3787</v>
      </c>
    </row>
    <row r="49" spans="1:34" ht="12" customHeight="1">
      <c r="A49" s="27" t="s">
        <v>37</v>
      </c>
      <c r="B49" s="23" t="s">
        <v>3314</v>
      </c>
      <c r="C49" s="43" t="s">
        <v>3374</v>
      </c>
      <c r="D49" s="406" t="s">
        <v>3483</v>
      </c>
      <c r="E49" s="44" t="s">
        <v>3488</v>
      </c>
      <c r="F49" s="80">
        <f>tbl_Competitors[[#This Row],[Annual Capacity]]/SUM(tbl_Competitors[Annual Capacity])</f>
        <v>1.9810895992796038E-2</v>
      </c>
      <c r="G49" s="44" t="s">
        <v>3501</v>
      </c>
      <c r="H49" s="49" t="s">
        <v>3524</v>
      </c>
      <c r="I49" s="49" t="s">
        <v>3525</v>
      </c>
      <c r="J49" s="17" t="s">
        <v>3397</v>
      </c>
      <c r="K49" s="216">
        <v>1</v>
      </c>
      <c r="L49" s="427">
        <v>20.9467</v>
      </c>
      <c r="M49" s="427">
        <v>72.951999999999998</v>
      </c>
      <c r="N49" s="433">
        <v>17.100000000000001</v>
      </c>
      <c r="O49" s="217" t="str">
        <f>IF(tbl_Competitors[[#This Row],[Distance from Proposed Plant (km)]]&gt;tbl_Competitors[[#This Row],[Radius (Km)]],"Outside Radius","Within Radius")</f>
        <v>Outside Radius</v>
      </c>
      <c r="P49" s="439">
        <v>16</v>
      </c>
      <c r="Q49" s="174">
        <f>IFERROR(--SUBSTITUTE(TRIM(LEFT(SUBSTITUTE(tbl_Competitors[[#This Row],[Estimated Capacity (m³/month)]],"–","-"),FIND("-",SUBSTITUTE(tbl_Competitors[[#This Row],[Estimated Capacity (m³/month)]],"–","-"))-1)),",",""),"Invalid Format")</f>
        <v>10000</v>
      </c>
      <c r="R49" s="174">
        <f>IFERROR(--SUBSTITUTE(TRIM(MID(SUBSTITUTE(tbl_Competitors[[#This Row],[Estimated Capacity (m³/month)]],"–","-"),FIND("-",SUBSTITUTE(tbl_Competitors[[#This Row],[Estimated Capacity (m³/month)]],"–","-"))+1,99)),",",""),"Invalid Format")</f>
        <v>12000</v>
      </c>
      <c r="S49" s="174">
        <f>IFERROR(AVERAGE(tbl_Competitors[[#This Row],[Capacity Min]],tbl_Competitors[[#This Row],[Capacity Max]]),"")</f>
        <v>11000</v>
      </c>
      <c r="T49" s="175">
        <f>IF(tbl_Competitors[[#This Row],[Capacity Midpoint]]=0,"",(tbl_Competitors[[#This Row],[Capacity Max]]-tbl_Competitors[[#This Row],[Capacity Min]])/tbl_Competitors[[#This Row],[Capacity Midpoint]])</f>
        <v>0.18181818181818182</v>
      </c>
      <c r="U49" s="174">
        <f>IFERROR(tbl_Competitors[[#This Row],[Capacity Midpoint]]*12,"")</f>
        <v>132000</v>
      </c>
      <c r="V49" s="174">
        <f>IFERROR(SUMIFS(tbl_Competitors[Capacity Midpoint],tbl_Competitors[Zone],tbl_Competitors[[#This Row],[Zone]]),"")</f>
        <v>123750</v>
      </c>
      <c r="W49" s="175">
        <f>IFERROR(tbl_Competitors[[#This Row],[Capacity Midpoint]]/tbl_Competitors[[#This Row],[Zone Capacity Total]],"")</f>
        <v>8.8888888888888892E-2</v>
      </c>
      <c r="X49" s="175">
        <f>IFERROR(SUMIFS(tbl_Competitors[Estimated Market Share %],tbl_Competitors[Zone],tbl_Competitors[[#This Row],[Zone]]),"")</f>
        <v>0.22287257991895545</v>
      </c>
      <c r="Y49" s="176"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49" s="301">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4</v>
      </c>
      <c r="AA49" s="176">
        <f>IF(tbl_Competitors[[#This Row],[Strategic Threat Level]]="High",3,IF(tbl_Competitors[[#This Row],[Strategic Threat Level]]="Medium",2,IF(tbl_Competitors[[#This Row],[Strategic Threat Level]]="Low",1,"")))</f>
        <v>1</v>
      </c>
      <c r="AB49" s="176" t="str">
        <f>IF(tbl_Competitors[[#This Row],[Strategic Threat Level]]="High","Yes","No")</f>
        <v>No</v>
      </c>
      <c r="AC49" s="176" t="str">
        <f>IF(OR(tbl_Competitors[[#This Row],[Pricing Level]]="Lowest",tbl_Competitors[[#This Row],[Pricing Level]]="Low-Cost",tbl_Competitors[[#This Row],[Pricing Level]]="Cost-Effective"),"Yes","No")</f>
        <v>Yes</v>
      </c>
      <c r="AD49" s="176" t="str">
        <f>IF(tbl_Competitors[[#This Row],[Commercial / Captive Flag]]="Captive / Project-Based","Captive - Exclude from Open Market Share",IF(tbl_Competitors[[#This Row],[Estimated Market Share %]]="","Needs Validation",IF(tbl_Competitors[[#This Row],[Zone Market Share Coverage %]]&gt;1.05,"Zone Share Exceeds 100%","OK")))</f>
        <v>OK</v>
      </c>
      <c r="AE49" s="176" t="str">
        <f>IF(OR(tbl_Competitors[[#This Row],[Capacity Min]]="Invalid Format",tbl_Competitors[[#This Row],[Capacity Max]]="Invalid Format"),"Needs Capacity Validation",IF(tbl_Competitors[[#This Row],[Capacity Min]]&gt;tbl_Competitors[[#This Row],[Capacity Max]],"Capacity Range Error","OK"))</f>
        <v>OK</v>
      </c>
      <c r="AF49"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Monitor</v>
      </c>
      <c r="AG49" s="225" t="s">
        <v>3944</v>
      </c>
      <c r="AH49" s="176" t="s">
        <v>3787</v>
      </c>
    </row>
    <row r="50" spans="1:34" ht="12" customHeight="1">
      <c r="A50" s="27" t="s">
        <v>37</v>
      </c>
      <c r="B50" s="23" t="s">
        <v>3294</v>
      </c>
      <c r="C50" s="43" t="s">
        <v>3375</v>
      </c>
      <c r="D50" s="406" t="s">
        <v>3526</v>
      </c>
      <c r="E50" s="44" t="s">
        <v>3479</v>
      </c>
      <c r="F50" s="80">
        <f>tbl_Competitors[[#This Row],[Annual Capacity]]/SUM(tbl_Competitors[Annual Capacity])</f>
        <v>2.0261143628995948E-2</v>
      </c>
      <c r="G50" s="44" t="s">
        <v>3480</v>
      </c>
      <c r="H50" s="49" t="s">
        <v>3527</v>
      </c>
      <c r="I50" s="49" t="s">
        <v>3528</v>
      </c>
      <c r="J50" s="18" t="s">
        <v>194</v>
      </c>
      <c r="K50" s="216">
        <v>1</v>
      </c>
      <c r="L50" s="427">
        <v>20.7667</v>
      </c>
      <c r="M50" s="427">
        <v>72.95</v>
      </c>
      <c r="N50" s="433">
        <v>36.1</v>
      </c>
      <c r="O50" s="217" t="str">
        <f>IF(tbl_Competitors[[#This Row],[Distance from Proposed Plant (km)]]&gt;tbl_Competitors[[#This Row],[Radius (Km)]],"Outside Radius","Within Radius")</f>
        <v>Outside Radius</v>
      </c>
      <c r="P50" s="439">
        <v>16</v>
      </c>
      <c r="Q50" s="174">
        <f>IFERROR(--SUBSTITUTE(TRIM(LEFT(SUBSTITUTE(tbl_Competitors[[#This Row],[Estimated Capacity (m³/month)]],"–","-"),FIND("-",SUBSTITUTE(tbl_Competitors[[#This Row],[Estimated Capacity (m³/month)]],"–","-"))-1)),",",""),"Invalid Format")</f>
        <v>10000</v>
      </c>
      <c r="R50" s="174">
        <f>IFERROR(--SUBSTITUTE(TRIM(MID(SUBSTITUTE(tbl_Competitors[[#This Row],[Estimated Capacity (m³/month)]],"–","-"),FIND("-",SUBSTITUTE(tbl_Competitors[[#This Row],[Estimated Capacity (m³/month)]],"–","-"))+1,99)),",",""),"Invalid Format")</f>
        <v>12500</v>
      </c>
      <c r="S50" s="174">
        <f>IFERROR(AVERAGE(tbl_Competitors[[#This Row],[Capacity Min]],tbl_Competitors[[#This Row],[Capacity Max]]),"")</f>
        <v>11250</v>
      </c>
      <c r="T50" s="175">
        <f>IF(tbl_Competitors[[#This Row],[Capacity Midpoint]]=0,"",(tbl_Competitors[[#This Row],[Capacity Max]]-tbl_Competitors[[#This Row],[Capacity Min]])/tbl_Competitors[[#This Row],[Capacity Midpoint]])</f>
        <v>0.22222222222222221</v>
      </c>
      <c r="U50" s="174">
        <f>IFERROR(tbl_Competitors[[#This Row],[Capacity Midpoint]]*12,"")</f>
        <v>135000</v>
      </c>
      <c r="V50" s="174">
        <f>IFERROR(SUMIFS(tbl_Competitors[Capacity Midpoint],tbl_Competitors[Zone],tbl_Competitors[[#This Row],[Zone]]),"")</f>
        <v>123750</v>
      </c>
      <c r="W50" s="175">
        <f>IFERROR(tbl_Competitors[[#This Row],[Capacity Midpoint]]/tbl_Competitors[[#This Row],[Zone Capacity Total]],"")</f>
        <v>9.0909090909090912E-2</v>
      </c>
      <c r="X50" s="175">
        <f>IFERROR(SUMIFS(tbl_Competitors[Estimated Market Share %],tbl_Competitors[Zone],tbl_Competitors[[#This Row],[Zone]]),"")</f>
        <v>0.22287257991895545</v>
      </c>
      <c r="Y50" s="176"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50" s="301">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3</v>
      </c>
      <c r="AA50" s="176">
        <f>IF(tbl_Competitors[[#This Row],[Strategic Threat Level]]="High",3,IF(tbl_Competitors[[#This Row],[Strategic Threat Level]]="Medium",2,IF(tbl_Competitors[[#This Row],[Strategic Threat Level]]="Low",1,"")))</f>
        <v>2</v>
      </c>
      <c r="AB50" s="176" t="str">
        <f>IF(tbl_Competitors[[#This Row],[Strategic Threat Level]]="High","Yes","No")</f>
        <v>No</v>
      </c>
      <c r="AC50" s="176" t="str">
        <f>IF(OR(tbl_Competitors[[#This Row],[Pricing Level]]="Lowest",tbl_Competitors[[#This Row],[Pricing Level]]="Low-Cost",tbl_Competitors[[#This Row],[Pricing Level]]="Cost-Effective"),"Yes","No")</f>
        <v>No</v>
      </c>
      <c r="AD50" s="176" t="str">
        <f>IF(tbl_Competitors[[#This Row],[Commercial / Captive Flag]]="Captive / Project-Based","Captive - Exclude from Open Market Share",IF(tbl_Competitors[[#This Row],[Estimated Market Share %]]="","Needs Validation",IF(tbl_Competitors[[#This Row],[Zone Market Share Coverage %]]&gt;1.05,"Zone Share Exceeds 100%","OK")))</f>
        <v>OK</v>
      </c>
      <c r="AE50" s="176" t="str">
        <f>IF(OR(tbl_Competitors[[#This Row],[Capacity Min]]="Invalid Format",tbl_Competitors[[#This Row],[Capacity Max]]="Invalid Format"),"Needs Capacity Validation",IF(tbl_Competitors[[#This Row],[Capacity Min]]&gt;tbl_Competitors[[#This Row],[Capacity Max]],"Capacity Range Error","OK"))</f>
        <v>OK</v>
      </c>
      <c r="AF50"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Monitor</v>
      </c>
      <c r="AG50" s="225" t="s">
        <v>3945</v>
      </c>
      <c r="AH50" s="176" t="s">
        <v>3787</v>
      </c>
    </row>
    <row r="51" spans="1:34" ht="12" customHeight="1">
      <c r="A51" s="27" t="s">
        <v>37</v>
      </c>
      <c r="B51" s="23" t="s">
        <v>3315</v>
      </c>
      <c r="C51" s="43" t="s">
        <v>3376</v>
      </c>
      <c r="D51" s="406" t="s">
        <v>3529</v>
      </c>
      <c r="E51" s="44" t="s">
        <v>3492</v>
      </c>
      <c r="F51" s="80">
        <f>tbl_Competitors[[#This Row],[Annual Capacity]]/SUM(tbl_Competitors[Annual Capacity])</f>
        <v>1.8009905447996397E-2</v>
      </c>
      <c r="G51" s="44" t="s">
        <v>3420</v>
      </c>
      <c r="H51" s="49" t="s">
        <v>3530</v>
      </c>
      <c r="I51" s="49" t="s">
        <v>3531</v>
      </c>
      <c r="J51" s="18" t="s">
        <v>194</v>
      </c>
      <c r="K51" s="216">
        <v>1</v>
      </c>
      <c r="L51" s="427">
        <v>20.85</v>
      </c>
      <c r="M51" s="427">
        <v>73.05</v>
      </c>
      <c r="N51" s="433">
        <v>31.5</v>
      </c>
      <c r="O51" s="217" t="str">
        <f>IF(tbl_Competitors[[#This Row],[Distance from Proposed Plant (km)]]&gt;tbl_Competitors[[#This Row],[Radius (Km)]],"Outside Radius","Within Radius")</f>
        <v>Outside Radius</v>
      </c>
      <c r="P51" s="439">
        <v>15</v>
      </c>
      <c r="Q51" s="174">
        <f>IFERROR(--SUBSTITUTE(TRIM(LEFT(SUBSTITUTE(tbl_Competitors[[#This Row],[Estimated Capacity (m³/month)]],"–","-"),FIND("-",SUBSTITUTE(tbl_Competitors[[#This Row],[Estimated Capacity (m³/month)]],"–","-"))-1)),",",""),"Invalid Format")</f>
        <v>9000</v>
      </c>
      <c r="R51" s="174">
        <f>IFERROR(--SUBSTITUTE(TRIM(MID(SUBSTITUTE(tbl_Competitors[[#This Row],[Estimated Capacity (m³/month)]],"–","-"),FIND("-",SUBSTITUTE(tbl_Competitors[[#This Row],[Estimated Capacity (m³/month)]],"–","-"))+1,99)),",",""),"Invalid Format")</f>
        <v>11000</v>
      </c>
      <c r="S51" s="174">
        <f>IFERROR(AVERAGE(tbl_Competitors[[#This Row],[Capacity Min]],tbl_Competitors[[#This Row],[Capacity Max]]),"")</f>
        <v>10000</v>
      </c>
      <c r="T51" s="175">
        <f>IF(tbl_Competitors[[#This Row],[Capacity Midpoint]]=0,"",(tbl_Competitors[[#This Row],[Capacity Max]]-tbl_Competitors[[#This Row],[Capacity Min]])/tbl_Competitors[[#This Row],[Capacity Midpoint]])</f>
        <v>0.2</v>
      </c>
      <c r="U51" s="174">
        <f>IFERROR(tbl_Competitors[[#This Row],[Capacity Midpoint]]*12,"")</f>
        <v>120000</v>
      </c>
      <c r="V51" s="174">
        <f>IFERROR(SUMIFS(tbl_Competitors[Capacity Midpoint],tbl_Competitors[Zone],tbl_Competitors[[#This Row],[Zone]]),"")</f>
        <v>123750</v>
      </c>
      <c r="W51" s="175">
        <f>IFERROR(tbl_Competitors[[#This Row],[Capacity Midpoint]]/tbl_Competitors[[#This Row],[Zone Capacity Total]],"")</f>
        <v>8.0808080808080815E-2</v>
      </c>
      <c r="X51" s="175">
        <f>IFERROR(SUMIFS(tbl_Competitors[Estimated Market Share %],tbl_Competitors[Zone],tbl_Competitors[[#This Row],[Zone]]),"")</f>
        <v>0.22287257991895545</v>
      </c>
      <c r="Y51" s="176"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51" s="301">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4</v>
      </c>
      <c r="AA51" s="176">
        <f>IF(tbl_Competitors[[#This Row],[Strategic Threat Level]]="High",3,IF(tbl_Competitors[[#This Row],[Strategic Threat Level]]="Medium",2,IF(tbl_Competitors[[#This Row],[Strategic Threat Level]]="Low",1,"")))</f>
        <v>2</v>
      </c>
      <c r="AB51" s="176" t="str">
        <f>IF(tbl_Competitors[[#This Row],[Strategic Threat Level]]="High","Yes","No")</f>
        <v>No</v>
      </c>
      <c r="AC51" s="176" t="str">
        <f>IF(OR(tbl_Competitors[[#This Row],[Pricing Level]]="Lowest",tbl_Competitors[[#This Row],[Pricing Level]]="Low-Cost",tbl_Competitors[[#This Row],[Pricing Level]]="Cost-Effective"),"Yes","No")</f>
        <v>No</v>
      </c>
      <c r="AD51" s="176" t="str">
        <f>IF(tbl_Competitors[[#This Row],[Commercial / Captive Flag]]="Captive / Project-Based","Captive - Exclude from Open Market Share",IF(tbl_Competitors[[#This Row],[Estimated Market Share %]]="","Needs Validation",IF(tbl_Competitors[[#This Row],[Zone Market Share Coverage %]]&gt;1.05,"Zone Share Exceeds 100%","OK")))</f>
        <v>OK</v>
      </c>
      <c r="AE51" s="176" t="str">
        <f>IF(OR(tbl_Competitors[[#This Row],[Capacity Min]]="Invalid Format",tbl_Competitors[[#This Row],[Capacity Max]]="Invalid Format"),"Needs Capacity Validation",IF(tbl_Competitors[[#This Row],[Capacity Min]]&gt;tbl_Competitors[[#This Row],[Capacity Max]],"Capacity Range Error","OK"))</f>
        <v>OK</v>
      </c>
      <c r="AF51"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Monitor</v>
      </c>
      <c r="AG51" s="225" t="s">
        <v>3934</v>
      </c>
      <c r="AH51" s="176" t="s">
        <v>3951</v>
      </c>
    </row>
    <row r="52" spans="1:34" ht="12" customHeight="1">
      <c r="A52" s="27" t="s">
        <v>37</v>
      </c>
      <c r="B52" s="23" t="s">
        <v>3316</v>
      </c>
      <c r="C52" s="43" t="s">
        <v>3377</v>
      </c>
      <c r="D52" s="406" t="s">
        <v>3532</v>
      </c>
      <c r="E52" s="44" t="s">
        <v>3533</v>
      </c>
      <c r="F52" s="80">
        <f>tbl_Competitors[[#This Row],[Annual Capacity]]/SUM(tbl_Competitors[Annual Capacity])</f>
        <v>1.6659162539396668E-2</v>
      </c>
      <c r="G52" s="44" t="s">
        <v>3420</v>
      </c>
      <c r="H52" s="49" t="s">
        <v>3534</v>
      </c>
      <c r="I52" s="173" t="s">
        <v>3535</v>
      </c>
      <c r="J52" s="18" t="s">
        <v>194</v>
      </c>
      <c r="K52" s="216">
        <v>1</v>
      </c>
      <c r="L52" s="427">
        <v>20.85</v>
      </c>
      <c r="M52" s="427">
        <v>73.05</v>
      </c>
      <c r="N52" s="433">
        <v>31.5</v>
      </c>
      <c r="O52" s="217" t="str">
        <f>IF(tbl_Competitors[[#This Row],[Distance from Proposed Plant (km)]]&gt;tbl_Competitors[[#This Row],[Radius (Km)]],"Outside Radius","Within Radius")</f>
        <v>Outside Radius</v>
      </c>
      <c r="P52" s="439">
        <v>15</v>
      </c>
      <c r="Q52" s="174">
        <f>IFERROR(--SUBSTITUTE(TRIM(LEFT(SUBSTITUTE(tbl_Competitors[[#This Row],[Estimated Capacity (m³/month)]],"–","-"),FIND("-",SUBSTITUTE(tbl_Competitors[[#This Row],[Estimated Capacity (m³/month)]],"–","-"))-1)),",",""),"Invalid Format")</f>
        <v>8500</v>
      </c>
      <c r="R52" s="174">
        <f>IFERROR(--SUBSTITUTE(TRIM(MID(SUBSTITUTE(tbl_Competitors[[#This Row],[Estimated Capacity (m³/month)]],"–","-"),FIND("-",SUBSTITUTE(tbl_Competitors[[#This Row],[Estimated Capacity (m³/month)]],"–","-"))+1,99)),",",""),"Invalid Format")</f>
        <v>10000</v>
      </c>
      <c r="S52" s="174">
        <f>IFERROR(AVERAGE(tbl_Competitors[[#This Row],[Capacity Min]],tbl_Competitors[[#This Row],[Capacity Max]]),"")</f>
        <v>9250</v>
      </c>
      <c r="T52" s="175">
        <f>IF(tbl_Competitors[[#This Row],[Capacity Midpoint]]=0,"",(tbl_Competitors[[#This Row],[Capacity Max]]-tbl_Competitors[[#This Row],[Capacity Min]])/tbl_Competitors[[#This Row],[Capacity Midpoint]])</f>
        <v>0.16216216216216217</v>
      </c>
      <c r="U52" s="174">
        <f>IFERROR(tbl_Competitors[[#This Row],[Capacity Midpoint]]*12,"")</f>
        <v>111000</v>
      </c>
      <c r="V52" s="174">
        <f>IFERROR(SUMIFS(tbl_Competitors[Capacity Midpoint],tbl_Competitors[Zone],tbl_Competitors[[#This Row],[Zone]]),"")</f>
        <v>123750</v>
      </c>
      <c r="W52" s="175">
        <f>IFERROR(tbl_Competitors[[#This Row],[Capacity Midpoint]]/tbl_Competitors[[#This Row],[Zone Capacity Total]],"")</f>
        <v>7.4747474747474743E-2</v>
      </c>
      <c r="X52" s="175">
        <f>IFERROR(SUMIFS(tbl_Competitors[Estimated Market Share %],tbl_Competitors[Zone],tbl_Competitors[[#This Row],[Zone]]),"")</f>
        <v>0.22287257991895545</v>
      </c>
      <c r="Y52" s="176"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52" s="301">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4</v>
      </c>
      <c r="AA52" s="176">
        <f>IF(tbl_Competitors[[#This Row],[Strategic Threat Level]]="High",3,IF(tbl_Competitors[[#This Row],[Strategic Threat Level]]="Medium",2,IF(tbl_Competitors[[#This Row],[Strategic Threat Level]]="Low",1,"")))</f>
        <v>2</v>
      </c>
      <c r="AB52" s="176" t="str">
        <f>IF(tbl_Competitors[[#This Row],[Strategic Threat Level]]="High","Yes","No")</f>
        <v>No</v>
      </c>
      <c r="AC52" s="176" t="str">
        <f>IF(OR(tbl_Competitors[[#This Row],[Pricing Level]]="Lowest",tbl_Competitors[[#This Row],[Pricing Level]]="Low-Cost",tbl_Competitors[[#This Row],[Pricing Level]]="Cost-Effective"),"Yes","No")</f>
        <v>No</v>
      </c>
      <c r="AD52" s="176" t="str">
        <f>IF(tbl_Competitors[[#This Row],[Commercial / Captive Flag]]="Captive / Project-Based","Captive - Exclude from Open Market Share",IF(tbl_Competitors[[#This Row],[Estimated Market Share %]]="","Needs Validation",IF(tbl_Competitors[[#This Row],[Zone Market Share Coverage %]]&gt;1.05,"Zone Share Exceeds 100%","OK")))</f>
        <v>OK</v>
      </c>
      <c r="AE52" s="176" t="str">
        <f>IF(OR(tbl_Competitors[[#This Row],[Capacity Min]]="Invalid Format",tbl_Competitors[[#This Row],[Capacity Max]]="Invalid Format"),"Needs Capacity Validation",IF(tbl_Competitors[[#This Row],[Capacity Min]]&gt;tbl_Competitors[[#This Row],[Capacity Max]],"Capacity Range Error","OK"))</f>
        <v>OK</v>
      </c>
      <c r="AF52"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Monitor</v>
      </c>
      <c r="AG52" s="225" t="s">
        <v>3934</v>
      </c>
      <c r="AH52" s="176" t="s">
        <v>3951</v>
      </c>
    </row>
    <row r="53" spans="1:34" ht="12" customHeight="1">
      <c r="A53" s="27" t="s">
        <v>37</v>
      </c>
      <c r="B53" s="23" t="s">
        <v>3317</v>
      </c>
      <c r="C53" s="43" t="s">
        <v>3378</v>
      </c>
      <c r="D53" s="406" t="s">
        <v>3499</v>
      </c>
      <c r="E53" s="44" t="s">
        <v>3536</v>
      </c>
      <c r="F53" s="80">
        <f>tbl_Competitors[[#This Row],[Annual Capacity]]/SUM(tbl_Competitors[Annual Capacity])</f>
        <v>1.2156686177397569E-2</v>
      </c>
      <c r="G53" s="44" t="s">
        <v>3396</v>
      </c>
      <c r="H53" s="49" t="s">
        <v>3537</v>
      </c>
      <c r="I53" s="49" t="s">
        <v>3538</v>
      </c>
      <c r="J53" s="18" t="s">
        <v>194</v>
      </c>
      <c r="K53" s="216">
        <v>1</v>
      </c>
      <c r="L53" s="427">
        <v>20.85</v>
      </c>
      <c r="M53" s="427">
        <v>73.05</v>
      </c>
      <c r="N53" s="433">
        <v>31.5</v>
      </c>
      <c r="O53" s="217" t="str">
        <f>IF(tbl_Competitors[[#This Row],[Distance from Proposed Plant (km)]]&gt;tbl_Competitors[[#This Row],[Radius (Km)]],"Outside Radius","Within Radius")</f>
        <v>Outside Radius</v>
      </c>
      <c r="P53" s="439">
        <v>14</v>
      </c>
      <c r="Q53" s="174">
        <f>IFERROR(--SUBSTITUTE(TRIM(LEFT(SUBSTITUTE(tbl_Competitors[[#This Row],[Estimated Capacity (m³/month)]],"–","-"),FIND("-",SUBSTITUTE(tbl_Competitors[[#This Row],[Estimated Capacity (m³/month)]],"–","-"))-1)),",",""),"Invalid Format")</f>
        <v>6000</v>
      </c>
      <c r="R53" s="174">
        <f>IFERROR(--SUBSTITUTE(TRIM(MID(SUBSTITUTE(tbl_Competitors[[#This Row],[Estimated Capacity (m³/month)]],"–","-"),FIND("-",SUBSTITUTE(tbl_Competitors[[#This Row],[Estimated Capacity (m³/month)]],"–","-"))+1,99)),",",""),"Invalid Format")</f>
        <v>7500</v>
      </c>
      <c r="S53" s="174">
        <f>IFERROR(AVERAGE(tbl_Competitors[[#This Row],[Capacity Min]],tbl_Competitors[[#This Row],[Capacity Max]]),"")</f>
        <v>6750</v>
      </c>
      <c r="T53" s="175">
        <f>IF(tbl_Competitors[[#This Row],[Capacity Midpoint]]=0,"",(tbl_Competitors[[#This Row],[Capacity Max]]-tbl_Competitors[[#This Row],[Capacity Min]])/tbl_Competitors[[#This Row],[Capacity Midpoint]])</f>
        <v>0.22222222222222221</v>
      </c>
      <c r="U53" s="174">
        <f>IFERROR(tbl_Competitors[[#This Row],[Capacity Midpoint]]*12,"")</f>
        <v>81000</v>
      </c>
      <c r="V53" s="174">
        <f>IFERROR(SUMIFS(tbl_Competitors[Capacity Midpoint],tbl_Competitors[Zone],tbl_Competitors[[#This Row],[Zone]]),"")</f>
        <v>123750</v>
      </c>
      <c r="W53" s="175">
        <f>IFERROR(tbl_Competitors[[#This Row],[Capacity Midpoint]]/tbl_Competitors[[#This Row],[Zone Capacity Total]],"")</f>
        <v>5.4545454545454543E-2</v>
      </c>
      <c r="X53" s="175">
        <f>IFERROR(SUMIFS(tbl_Competitors[Estimated Market Share %],tbl_Competitors[Zone],tbl_Competitors[[#This Row],[Zone]]),"")</f>
        <v>0.22287257991895545</v>
      </c>
      <c r="Y53" s="176"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53" s="301">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1</v>
      </c>
      <c r="AA53" s="176">
        <f>IF(tbl_Competitors[[#This Row],[Strategic Threat Level]]="High",3,IF(tbl_Competitors[[#This Row],[Strategic Threat Level]]="Medium",2,IF(tbl_Competitors[[#This Row],[Strategic Threat Level]]="Low",1,"")))</f>
        <v>2</v>
      </c>
      <c r="AB53" s="176" t="str">
        <f>IF(tbl_Competitors[[#This Row],[Strategic Threat Level]]="High","Yes","No")</f>
        <v>No</v>
      </c>
      <c r="AC53" s="176" t="str">
        <f>IF(OR(tbl_Competitors[[#This Row],[Pricing Level]]="Lowest",tbl_Competitors[[#This Row],[Pricing Level]]="Low-Cost",tbl_Competitors[[#This Row],[Pricing Level]]="Cost-Effective"),"Yes","No")</f>
        <v>No</v>
      </c>
      <c r="AD53" s="176" t="str">
        <f>IF(tbl_Competitors[[#This Row],[Commercial / Captive Flag]]="Captive / Project-Based","Captive - Exclude from Open Market Share",IF(tbl_Competitors[[#This Row],[Estimated Market Share %]]="","Needs Validation",IF(tbl_Competitors[[#This Row],[Zone Market Share Coverage %]]&gt;1.05,"Zone Share Exceeds 100%","OK")))</f>
        <v>OK</v>
      </c>
      <c r="AE53" s="176" t="str">
        <f>IF(OR(tbl_Competitors[[#This Row],[Capacity Min]]="Invalid Format",tbl_Competitors[[#This Row],[Capacity Max]]="Invalid Format"),"Needs Capacity Validation",IF(tbl_Competitors[[#This Row],[Capacity Min]]&gt;tbl_Competitors[[#This Row],[Capacity Max]],"Capacity Range Error","OK"))</f>
        <v>OK</v>
      </c>
      <c r="AF53"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Monitor</v>
      </c>
      <c r="AG53" s="225" t="s">
        <v>3934</v>
      </c>
      <c r="AH53" s="176" t="s">
        <v>3951</v>
      </c>
    </row>
    <row r="54" spans="1:34" ht="12" customHeight="1">
      <c r="A54" s="27" t="s">
        <v>37</v>
      </c>
      <c r="B54" s="23" t="s">
        <v>3318</v>
      </c>
      <c r="C54" s="43" t="s">
        <v>3379</v>
      </c>
      <c r="D54" s="406" t="s">
        <v>3607</v>
      </c>
      <c r="E54" s="44" t="s">
        <v>3539</v>
      </c>
      <c r="F54" s="80">
        <f>tbl_Competitors[[#This Row],[Annual Capacity]]/SUM(tbl_Competitors[Annual Capacity])</f>
        <v>1.4407924358397118E-2</v>
      </c>
      <c r="G54" s="44" t="s">
        <v>3396</v>
      </c>
      <c r="H54" s="49" t="s">
        <v>3540</v>
      </c>
      <c r="I54" s="49" t="s">
        <v>3541</v>
      </c>
      <c r="J54" s="17" t="s">
        <v>3397</v>
      </c>
      <c r="K54" s="216">
        <v>1</v>
      </c>
      <c r="L54" s="427">
        <v>20.85</v>
      </c>
      <c r="M54" s="427">
        <v>72.930000000000007</v>
      </c>
      <c r="N54" s="433">
        <v>26.6</v>
      </c>
      <c r="O54" s="217" t="str">
        <f>IF(tbl_Competitors[[#This Row],[Distance from Proposed Plant (km)]]&gt;tbl_Competitors[[#This Row],[Radius (Km)]],"Outside Radius","Within Radius")</f>
        <v>Outside Radius</v>
      </c>
      <c r="P54" s="439">
        <v>16</v>
      </c>
      <c r="Q54" s="174">
        <f>IFERROR(--SUBSTITUTE(TRIM(LEFT(SUBSTITUTE(tbl_Competitors[[#This Row],[Estimated Capacity (m³/month)]],"–","-"),FIND("-",SUBSTITUTE(tbl_Competitors[[#This Row],[Estimated Capacity (m³/month)]],"–","-"))-1)),",",""),"Invalid Format")</f>
        <v>7000</v>
      </c>
      <c r="R54" s="174">
        <f>IFERROR(--SUBSTITUTE(TRIM(MID(SUBSTITUTE(tbl_Competitors[[#This Row],[Estimated Capacity (m³/month)]],"–","-"),FIND("-",SUBSTITUTE(tbl_Competitors[[#This Row],[Estimated Capacity (m³/month)]],"–","-"))+1,99)),",",""),"Invalid Format")</f>
        <v>9000</v>
      </c>
      <c r="S54" s="174">
        <f>IFERROR(AVERAGE(tbl_Competitors[[#This Row],[Capacity Min]],tbl_Competitors[[#This Row],[Capacity Max]]),"")</f>
        <v>8000</v>
      </c>
      <c r="T54" s="175">
        <f>IF(tbl_Competitors[[#This Row],[Capacity Midpoint]]=0,"",(tbl_Competitors[[#This Row],[Capacity Max]]-tbl_Competitors[[#This Row],[Capacity Min]])/tbl_Competitors[[#This Row],[Capacity Midpoint]])</f>
        <v>0.25</v>
      </c>
      <c r="U54" s="174">
        <f>IFERROR(tbl_Competitors[[#This Row],[Capacity Midpoint]]*12,"")</f>
        <v>96000</v>
      </c>
      <c r="V54" s="174">
        <f>IFERROR(SUMIFS(tbl_Competitors[Capacity Midpoint],tbl_Competitors[Zone],tbl_Competitors[[#This Row],[Zone]]),"")</f>
        <v>123750</v>
      </c>
      <c r="W54" s="175">
        <f>IFERROR(tbl_Competitors[[#This Row],[Capacity Midpoint]]/tbl_Competitors[[#This Row],[Zone Capacity Total]],"")</f>
        <v>6.4646464646464646E-2</v>
      </c>
      <c r="X54" s="175">
        <f>IFERROR(SUMIFS(tbl_Competitors[Estimated Market Share %],tbl_Competitors[Zone],tbl_Competitors[[#This Row],[Zone]]),"")</f>
        <v>0.22287257991895545</v>
      </c>
      <c r="Y54" s="176"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54" s="301">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1</v>
      </c>
      <c r="AA54" s="176">
        <f>IF(tbl_Competitors[[#This Row],[Strategic Threat Level]]="High",3,IF(tbl_Competitors[[#This Row],[Strategic Threat Level]]="Medium",2,IF(tbl_Competitors[[#This Row],[Strategic Threat Level]]="Low",1,"")))</f>
        <v>1</v>
      </c>
      <c r="AB54" s="176" t="str">
        <f>IF(tbl_Competitors[[#This Row],[Strategic Threat Level]]="High","Yes","No")</f>
        <v>No</v>
      </c>
      <c r="AC54" s="176" t="str">
        <f>IF(OR(tbl_Competitors[[#This Row],[Pricing Level]]="Lowest",tbl_Competitors[[#This Row],[Pricing Level]]="Low-Cost",tbl_Competitors[[#This Row],[Pricing Level]]="Cost-Effective"),"Yes","No")</f>
        <v>No</v>
      </c>
      <c r="AD54" s="176" t="str">
        <f>IF(tbl_Competitors[[#This Row],[Commercial / Captive Flag]]="Captive / Project-Based","Captive - Exclude from Open Market Share",IF(tbl_Competitors[[#This Row],[Estimated Market Share %]]="","Needs Validation",IF(tbl_Competitors[[#This Row],[Zone Market Share Coverage %]]&gt;1.05,"Zone Share Exceeds 100%","OK")))</f>
        <v>OK</v>
      </c>
      <c r="AE54" s="176" t="str">
        <f>IF(OR(tbl_Competitors[[#This Row],[Capacity Min]]="Invalid Format",tbl_Competitors[[#This Row],[Capacity Max]]="Invalid Format"),"Needs Capacity Validation",IF(tbl_Competitors[[#This Row],[Capacity Min]]&gt;tbl_Competitors[[#This Row],[Capacity Max]],"Capacity Range Error","OK"))</f>
        <v>OK</v>
      </c>
      <c r="AF54"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Monitor</v>
      </c>
      <c r="AG54" s="225" t="s">
        <v>3946</v>
      </c>
      <c r="AH54" s="176" t="s">
        <v>3787</v>
      </c>
    </row>
    <row r="55" spans="1:34" ht="12" customHeight="1">
      <c r="A55" s="27" t="s">
        <v>37</v>
      </c>
      <c r="B55" s="23" t="s">
        <v>3319</v>
      </c>
      <c r="C55" s="43" t="s">
        <v>3380</v>
      </c>
      <c r="D55" s="406" t="s">
        <v>3542</v>
      </c>
      <c r="E55" s="44" t="s">
        <v>3543</v>
      </c>
      <c r="F55" s="80">
        <f>tbl_Competitors[[#This Row],[Annual Capacity]]/SUM(tbl_Competitors[Annual Capacity])</f>
        <v>9.9054479963980192E-3</v>
      </c>
      <c r="G55" s="44" t="s">
        <v>3501</v>
      </c>
      <c r="H55" s="49" t="s">
        <v>3544</v>
      </c>
      <c r="I55" s="49" t="s">
        <v>3545</v>
      </c>
      <c r="J55" s="19" t="s">
        <v>3423</v>
      </c>
      <c r="K55" s="216">
        <v>1</v>
      </c>
      <c r="L55" s="427">
        <v>20.85</v>
      </c>
      <c r="M55" s="427">
        <v>73.05</v>
      </c>
      <c r="N55" s="433">
        <v>31.5</v>
      </c>
      <c r="O55" s="217" t="str">
        <f>IF(tbl_Competitors[[#This Row],[Distance from Proposed Plant (km)]]&gt;tbl_Competitors[[#This Row],[Radius (Km)]],"Outside Radius","Within Radius")</f>
        <v>Outside Radius</v>
      </c>
      <c r="P55" s="439">
        <v>12</v>
      </c>
      <c r="Q55" s="174">
        <f>IFERROR(--SUBSTITUTE(TRIM(LEFT(SUBSTITUTE(tbl_Competitors[[#This Row],[Estimated Capacity (m³/month)]],"–","-"),FIND("-",SUBSTITUTE(tbl_Competitors[[#This Row],[Estimated Capacity (m³/month)]],"–","-"))-1)),",",""),"Invalid Format")</f>
        <v>5000</v>
      </c>
      <c r="R55" s="174">
        <f>IFERROR(--SUBSTITUTE(TRIM(MID(SUBSTITUTE(tbl_Competitors[[#This Row],[Estimated Capacity (m³/month)]],"–","-"),FIND("-",SUBSTITUTE(tbl_Competitors[[#This Row],[Estimated Capacity (m³/month)]],"–","-"))+1,99)),",",""),"Invalid Format")</f>
        <v>6000</v>
      </c>
      <c r="S55" s="174">
        <f>IFERROR(AVERAGE(tbl_Competitors[[#This Row],[Capacity Min]],tbl_Competitors[[#This Row],[Capacity Max]]),"")</f>
        <v>5500</v>
      </c>
      <c r="T55" s="175">
        <f>IF(tbl_Competitors[[#This Row],[Capacity Midpoint]]=0,"",(tbl_Competitors[[#This Row],[Capacity Max]]-tbl_Competitors[[#This Row],[Capacity Min]])/tbl_Competitors[[#This Row],[Capacity Midpoint]])</f>
        <v>0.18181818181818182</v>
      </c>
      <c r="U55" s="174">
        <f>IFERROR(tbl_Competitors[[#This Row],[Capacity Midpoint]]*12,"")</f>
        <v>66000</v>
      </c>
      <c r="V55" s="174">
        <f>IFERROR(SUMIFS(tbl_Competitors[Capacity Midpoint],tbl_Competitors[Zone],tbl_Competitors[[#This Row],[Zone]]),"")</f>
        <v>123750</v>
      </c>
      <c r="W55" s="175">
        <f>IFERROR(tbl_Competitors[[#This Row],[Capacity Midpoint]]/tbl_Competitors[[#This Row],[Zone Capacity Total]],"")</f>
        <v>4.4444444444444446E-2</v>
      </c>
      <c r="X55" s="175">
        <f>IFERROR(SUMIFS(tbl_Competitors[Estimated Market Share %],tbl_Competitors[Zone],tbl_Competitors[[#This Row],[Zone]]),"")</f>
        <v>0.22287257991895545</v>
      </c>
      <c r="Y55" s="176"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55" s="301">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4</v>
      </c>
      <c r="AA55" s="176">
        <f>IF(tbl_Competitors[[#This Row],[Strategic Threat Level]]="High",3,IF(tbl_Competitors[[#This Row],[Strategic Threat Level]]="Medium",2,IF(tbl_Competitors[[#This Row],[Strategic Threat Level]]="Low",1,"")))</f>
        <v>3</v>
      </c>
      <c r="AB55" s="176" t="str">
        <f>IF(tbl_Competitors[[#This Row],[Strategic Threat Level]]="High","Yes","No")</f>
        <v>Yes</v>
      </c>
      <c r="AC55" s="176" t="str">
        <f>IF(OR(tbl_Competitors[[#This Row],[Pricing Level]]="Lowest",tbl_Competitors[[#This Row],[Pricing Level]]="Low-Cost",tbl_Competitors[[#This Row],[Pricing Level]]="Cost-Effective"),"Yes","No")</f>
        <v>Yes</v>
      </c>
      <c r="AD55" s="176" t="str">
        <f>IF(tbl_Competitors[[#This Row],[Commercial / Captive Flag]]="Captive / Project-Based","Captive - Exclude from Open Market Share",IF(tbl_Competitors[[#This Row],[Estimated Market Share %]]="","Needs Validation",IF(tbl_Competitors[[#This Row],[Zone Market Share Coverage %]]&gt;1.05,"Zone Share Exceeds 100%","OK")))</f>
        <v>OK</v>
      </c>
      <c r="AE55" s="176" t="str">
        <f>IF(OR(tbl_Competitors[[#This Row],[Capacity Min]]="Invalid Format",tbl_Competitors[[#This Row],[Capacity Max]]="Invalid Format"),"Needs Capacity Validation",IF(tbl_Competitors[[#This Row],[Capacity Min]]&gt;tbl_Competitors[[#This Row],[Capacity Max]],"Capacity Range Error","OK"))</f>
        <v>OK</v>
      </c>
      <c r="AF55"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High Priority</v>
      </c>
      <c r="AG55" s="225" t="s">
        <v>3934</v>
      </c>
      <c r="AH55" s="176" t="s">
        <v>3951</v>
      </c>
    </row>
    <row r="56" spans="1:34" ht="12" customHeight="1">
      <c r="A56" s="27" t="s">
        <v>37</v>
      </c>
      <c r="B56" s="23" t="s">
        <v>3320</v>
      </c>
      <c r="C56" s="43" t="s">
        <v>3381</v>
      </c>
      <c r="D56" s="406" t="s">
        <v>3542</v>
      </c>
      <c r="E56" s="44" t="s">
        <v>3500</v>
      </c>
      <c r="F56" s="80">
        <f>tbl_Competitors[[#This Row],[Annual Capacity]]/SUM(tbl_Competitors[Annual Capacity])</f>
        <v>9.9054479963980192E-3</v>
      </c>
      <c r="G56" s="44" t="s">
        <v>3501</v>
      </c>
      <c r="H56" s="49" t="s">
        <v>3546</v>
      </c>
      <c r="I56" s="49" t="s">
        <v>3547</v>
      </c>
      <c r="J56" s="19" t="s">
        <v>3423</v>
      </c>
      <c r="K56" s="216">
        <v>1</v>
      </c>
      <c r="L56" s="427">
        <v>20.7667</v>
      </c>
      <c r="M56" s="427">
        <v>72.95</v>
      </c>
      <c r="N56" s="433">
        <v>36.1</v>
      </c>
      <c r="O56" s="217" t="str">
        <f>IF(tbl_Competitors[[#This Row],[Distance from Proposed Plant (km)]]&gt;tbl_Competitors[[#This Row],[Radius (Km)]],"Outside Radius","Within Radius")</f>
        <v>Outside Radius</v>
      </c>
      <c r="P56" s="439">
        <v>13</v>
      </c>
      <c r="Q56" s="174">
        <f>IFERROR(--SUBSTITUTE(TRIM(LEFT(SUBSTITUTE(tbl_Competitors[[#This Row],[Estimated Capacity (m³/month)]],"–","-"),FIND("-",SUBSTITUTE(tbl_Competitors[[#This Row],[Estimated Capacity (m³/month)]],"–","-"))-1)),",",""),"Invalid Format")</f>
        <v>5000</v>
      </c>
      <c r="R56" s="174">
        <f>IFERROR(--SUBSTITUTE(TRIM(MID(SUBSTITUTE(tbl_Competitors[[#This Row],[Estimated Capacity (m³/month)]],"–","-"),FIND("-",SUBSTITUTE(tbl_Competitors[[#This Row],[Estimated Capacity (m³/month)]],"–","-"))+1,99)),",",""),"Invalid Format")</f>
        <v>6000</v>
      </c>
      <c r="S56" s="174">
        <f>IFERROR(AVERAGE(tbl_Competitors[[#This Row],[Capacity Min]],tbl_Competitors[[#This Row],[Capacity Max]]),"")</f>
        <v>5500</v>
      </c>
      <c r="T56" s="175">
        <f>IF(tbl_Competitors[[#This Row],[Capacity Midpoint]]=0,"",(tbl_Competitors[[#This Row],[Capacity Max]]-tbl_Competitors[[#This Row],[Capacity Min]])/tbl_Competitors[[#This Row],[Capacity Midpoint]])</f>
        <v>0.18181818181818182</v>
      </c>
      <c r="U56" s="174">
        <f>IFERROR(tbl_Competitors[[#This Row],[Capacity Midpoint]]*12,"")</f>
        <v>66000</v>
      </c>
      <c r="V56" s="174">
        <f>IFERROR(SUMIFS(tbl_Competitors[Capacity Midpoint],tbl_Competitors[Zone],tbl_Competitors[[#This Row],[Zone]]),"")</f>
        <v>123750</v>
      </c>
      <c r="W56" s="175">
        <f>IFERROR(tbl_Competitors[[#This Row],[Capacity Midpoint]]/tbl_Competitors[[#This Row],[Zone Capacity Total]],"")</f>
        <v>4.4444444444444446E-2</v>
      </c>
      <c r="X56" s="175">
        <f>IFERROR(SUMIFS(tbl_Competitors[Estimated Market Share %],tbl_Competitors[Zone],tbl_Competitors[[#This Row],[Zone]]),"")</f>
        <v>0.22287257991895545</v>
      </c>
      <c r="Y56" s="176"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56" s="301">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4</v>
      </c>
      <c r="AA56" s="176">
        <f>IF(tbl_Competitors[[#This Row],[Strategic Threat Level]]="High",3,IF(tbl_Competitors[[#This Row],[Strategic Threat Level]]="Medium",2,IF(tbl_Competitors[[#This Row],[Strategic Threat Level]]="Low",1,"")))</f>
        <v>3</v>
      </c>
      <c r="AB56" s="176" t="str">
        <f>IF(tbl_Competitors[[#This Row],[Strategic Threat Level]]="High","Yes","No")</f>
        <v>Yes</v>
      </c>
      <c r="AC56" s="176" t="str">
        <f>IF(OR(tbl_Competitors[[#This Row],[Pricing Level]]="Lowest",tbl_Competitors[[#This Row],[Pricing Level]]="Low-Cost",tbl_Competitors[[#This Row],[Pricing Level]]="Cost-Effective"),"Yes","No")</f>
        <v>Yes</v>
      </c>
      <c r="AD56" s="176" t="str">
        <f>IF(tbl_Competitors[[#This Row],[Commercial / Captive Flag]]="Captive / Project-Based","Captive - Exclude from Open Market Share",IF(tbl_Competitors[[#This Row],[Estimated Market Share %]]="","Needs Validation",IF(tbl_Competitors[[#This Row],[Zone Market Share Coverage %]]&gt;1.05,"Zone Share Exceeds 100%","OK")))</f>
        <v>OK</v>
      </c>
      <c r="AE56" s="176" t="str">
        <f>IF(OR(tbl_Competitors[[#This Row],[Capacity Min]]="Invalid Format",tbl_Competitors[[#This Row],[Capacity Max]]="Invalid Format"),"Needs Capacity Validation",IF(tbl_Competitors[[#This Row],[Capacity Min]]&gt;tbl_Competitors[[#This Row],[Capacity Max]],"Capacity Range Error","OK"))</f>
        <v>OK</v>
      </c>
      <c r="AF56"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High Priority</v>
      </c>
      <c r="AG56" s="225" t="s">
        <v>3934</v>
      </c>
      <c r="AH56" s="176" t="s">
        <v>3951</v>
      </c>
    </row>
    <row r="57" spans="1:34" ht="12" customHeight="1">
      <c r="A57" s="27" t="s">
        <v>37</v>
      </c>
      <c r="B57" s="23" t="s">
        <v>3321</v>
      </c>
      <c r="C57" s="43" t="s">
        <v>3382</v>
      </c>
      <c r="D57" s="406" t="s">
        <v>3512</v>
      </c>
      <c r="E57" s="44" t="s">
        <v>3440</v>
      </c>
      <c r="F57" s="80">
        <f>tbl_Competitors[[#This Row],[Annual Capacity]]/SUM(tbl_Competitors[Annual Capacity])</f>
        <v>7.2039621791985592E-3</v>
      </c>
      <c r="G57" s="44" t="s">
        <v>3514</v>
      </c>
      <c r="H57" s="49" t="s">
        <v>3548</v>
      </c>
      <c r="I57" s="49" t="s">
        <v>3549</v>
      </c>
      <c r="J57" s="19" t="s">
        <v>3423</v>
      </c>
      <c r="K57" s="216">
        <v>1</v>
      </c>
      <c r="L57" s="427">
        <v>20.85</v>
      </c>
      <c r="M57" s="427">
        <v>73.05</v>
      </c>
      <c r="N57" s="433">
        <v>31.5</v>
      </c>
      <c r="O57" s="217" t="str">
        <f>IF(tbl_Competitors[[#This Row],[Distance from Proposed Plant (km)]]&gt;tbl_Competitors[[#This Row],[Radius (Km)]],"Outside Radius","Within Radius")</f>
        <v>Outside Radius</v>
      </c>
      <c r="P57" s="439">
        <v>10</v>
      </c>
      <c r="Q57" s="174">
        <f>IFERROR(--SUBSTITUTE(TRIM(LEFT(SUBSTITUTE(tbl_Competitors[[#This Row],[Estimated Capacity (m³/month)]],"–","-"),FIND("-",SUBSTITUTE(tbl_Competitors[[#This Row],[Estimated Capacity (m³/month)]],"–","-"))-1)),",",""),"Invalid Format")</f>
        <v>3500</v>
      </c>
      <c r="R57" s="174">
        <f>IFERROR(--SUBSTITUTE(TRIM(MID(SUBSTITUTE(tbl_Competitors[[#This Row],[Estimated Capacity (m³/month)]],"–","-"),FIND("-",SUBSTITUTE(tbl_Competitors[[#This Row],[Estimated Capacity (m³/month)]],"–","-"))+1,99)),",",""),"Invalid Format")</f>
        <v>4500</v>
      </c>
      <c r="S57" s="174">
        <f>IFERROR(AVERAGE(tbl_Competitors[[#This Row],[Capacity Min]],tbl_Competitors[[#This Row],[Capacity Max]]),"")</f>
        <v>4000</v>
      </c>
      <c r="T57" s="175">
        <f>IF(tbl_Competitors[[#This Row],[Capacity Midpoint]]=0,"",(tbl_Competitors[[#This Row],[Capacity Max]]-tbl_Competitors[[#This Row],[Capacity Min]])/tbl_Competitors[[#This Row],[Capacity Midpoint]])</f>
        <v>0.25</v>
      </c>
      <c r="U57" s="174">
        <f>IFERROR(tbl_Competitors[[#This Row],[Capacity Midpoint]]*12,"")</f>
        <v>48000</v>
      </c>
      <c r="V57" s="174">
        <f>IFERROR(SUMIFS(tbl_Competitors[Capacity Midpoint],tbl_Competitors[Zone],tbl_Competitors[[#This Row],[Zone]]),"")</f>
        <v>123750</v>
      </c>
      <c r="W57" s="175">
        <f>IFERROR(tbl_Competitors[[#This Row],[Capacity Midpoint]]/tbl_Competitors[[#This Row],[Zone Capacity Total]],"")</f>
        <v>3.2323232323232323E-2</v>
      </c>
      <c r="X57" s="175">
        <f>IFERROR(SUMIFS(tbl_Competitors[Estimated Market Share %],tbl_Competitors[Zone],tbl_Competitors[[#This Row],[Zone]]),"")</f>
        <v>0.22287257991895545</v>
      </c>
      <c r="Y57" s="176"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57" s="301">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5</v>
      </c>
      <c r="AA57" s="176">
        <f>IF(tbl_Competitors[[#This Row],[Strategic Threat Level]]="High",3,IF(tbl_Competitors[[#This Row],[Strategic Threat Level]]="Medium",2,IF(tbl_Competitors[[#This Row],[Strategic Threat Level]]="Low",1,"")))</f>
        <v>3</v>
      </c>
      <c r="AB57" s="176" t="str">
        <f>IF(tbl_Competitors[[#This Row],[Strategic Threat Level]]="High","Yes","No")</f>
        <v>Yes</v>
      </c>
      <c r="AC57" s="176" t="str">
        <f>IF(OR(tbl_Competitors[[#This Row],[Pricing Level]]="Lowest",tbl_Competitors[[#This Row],[Pricing Level]]="Low-Cost",tbl_Competitors[[#This Row],[Pricing Level]]="Cost-Effective"),"Yes","No")</f>
        <v>Yes</v>
      </c>
      <c r="AD57" s="176" t="str">
        <f>IF(tbl_Competitors[[#This Row],[Commercial / Captive Flag]]="Captive / Project-Based","Captive - Exclude from Open Market Share",IF(tbl_Competitors[[#This Row],[Estimated Market Share %]]="","Needs Validation",IF(tbl_Competitors[[#This Row],[Zone Market Share Coverage %]]&gt;1.05,"Zone Share Exceeds 100%","OK")))</f>
        <v>OK</v>
      </c>
      <c r="AE57" s="176" t="str">
        <f>IF(OR(tbl_Competitors[[#This Row],[Capacity Min]]="Invalid Format",tbl_Competitors[[#This Row],[Capacity Max]]="Invalid Format"),"Needs Capacity Validation",IF(tbl_Competitors[[#This Row],[Capacity Min]]&gt;tbl_Competitors[[#This Row],[Capacity Max]],"Capacity Range Error","OK"))</f>
        <v>OK</v>
      </c>
      <c r="AF57"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High Priority</v>
      </c>
      <c r="AG57" s="225" t="s">
        <v>3934</v>
      </c>
      <c r="AH57" s="176" t="s">
        <v>3951</v>
      </c>
    </row>
    <row r="58" spans="1:34" ht="12" customHeight="1">
      <c r="A58" s="27" t="s">
        <v>37</v>
      </c>
      <c r="B58" s="23" t="s">
        <v>3322</v>
      </c>
      <c r="C58" s="43" t="s">
        <v>3383</v>
      </c>
      <c r="D58" s="406" t="s">
        <v>3550</v>
      </c>
      <c r="E58" s="44" t="s">
        <v>3513</v>
      </c>
      <c r="F58" s="80">
        <f>tbl_Competitors[[#This Row],[Annual Capacity]]/SUM(tbl_Competitors[Annual Capacity])</f>
        <v>6.3034669067987392E-3</v>
      </c>
      <c r="G58" s="44" t="s">
        <v>3514</v>
      </c>
      <c r="H58" s="49" t="s">
        <v>3551</v>
      </c>
      <c r="I58" s="49" t="s">
        <v>3552</v>
      </c>
      <c r="J58" s="19" t="s">
        <v>3423</v>
      </c>
      <c r="K58" s="216">
        <v>1</v>
      </c>
      <c r="L58" s="427">
        <v>20.9467</v>
      </c>
      <c r="M58" s="427">
        <v>72.951999999999998</v>
      </c>
      <c r="N58" s="433">
        <v>17.100000000000001</v>
      </c>
      <c r="O58" s="217" t="str">
        <f>IF(tbl_Competitors[[#This Row],[Distance from Proposed Plant (km)]]&gt;tbl_Competitors[[#This Row],[Radius (Km)]],"Outside Radius","Within Radius")</f>
        <v>Outside Radius</v>
      </c>
      <c r="P58" s="439">
        <v>8</v>
      </c>
      <c r="Q58" s="174">
        <f>IFERROR(--SUBSTITUTE(TRIM(LEFT(SUBSTITUTE(tbl_Competitors[[#This Row],[Estimated Capacity (m³/month)]],"–","-"),FIND("-",SUBSTITUTE(tbl_Competitors[[#This Row],[Estimated Capacity (m³/month)]],"–","-"))-1)),",",""),"Invalid Format")</f>
        <v>3000</v>
      </c>
      <c r="R58" s="174">
        <f>IFERROR(--SUBSTITUTE(TRIM(MID(SUBSTITUTE(tbl_Competitors[[#This Row],[Estimated Capacity (m³/month)]],"–","-"),FIND("-",SUBSTITUTE(tbl_Competitors[[#This Row],[Estimated Capacity (m³/month)]],"–","-"))+1,99)),",",""),"Invalid Format")</f>
        <v>4000</v>
      </c>
      <c r="S58" s="174">
        <f>IFERROR(AVERAGE(tbl_Competitors[[#This Row],[Capacity Min]],tbl_Competitors[[#This Row],[Capacity Max]]),"")</f>
        <v>3500</v>
      </c>
      <c r="T58" s="175">
        <f>IF(tbl_Competitors[[#This Row],[Capacity Midpoint]]=0,"",(tbl_Competitors[[#This Row],[Capacity Max]]-tbl_Competitors[[#This Row],[Capacity Min]])/tbl_Competitors[[#This Row],[Capacity Midpoint]])</f>
        <v>0.2857142857142857</v>
      </c>
      <c r="U58" s="174">
        <f>IFERROR(tbl_Competitors[[#This Row],[Capacity Midpoint]]*12,"")</f>
        <v>42000</v>
      </c>
      <c r="V58" s="174">
        <f>IFERROR(SUMIFS(tbl_Competitors[Capacity Midpoint],tbl_Competitors[Zone],tbl_Competitors[[#This Row],[Zone]]),"")</f>
        <v>123750</v>
      </c>
      <c r="W58" s="175">
        <f>IFERROR(tbl_Competitors[[#This Row],[Capacity Midpoint]]/tbl_Competitors[[#This Row],[Zone Capacity Total]],"")</f>
        <v>2.8282828282828285E-2</v>
      </c>
      <c r="X58" s="175">
        <f>IFERROR(SUMIFS(tbl_Competitors[Estimated Market Share %],tbl_Competitors[Zone],tbl_Competitors[[#This Row],[Zone]]),"")</f>
        <v>0.22287257991895545</v>
      </c>
      <c r="Y58" s="176"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58" s="301">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5</v>
      </c>
      <c r="AA58" s="176">
        <f>IF(tbl_Competitors[[#This Row],[Strategic Threat Level]]="High",3,IF(tbl_Competitors[[#This Row],[Strategic Threat Level]]="Medium",2,IF(tbl_Competitors[[#This Row],[Strategic Threat Level]]="Low",1,"")))</f>
        <v>3</v>
      </c>
      <c r="AB58" s="176" t="str">
        <f>IF(tbl_Competitors[[#This Row],[Strategic Threat Level]]="High","Yes","No")</f>
        <v>Yes</v>
      </c>
      <c r="AC58" s="176" t="str">
        <f>IF(OR(tbl_Competitors[[#This Row],[Pricing Level]]="Lowest",tbl_Competitors[[#This Row],[Pricing Level]]="Low-Cost",tbl_Competitors[[#This Row],[Pricing Level]]="Cost-Effective"),"Yes","No")</f>
        <v>Yes</v>
      </c>
      <c r="AD58" s="176" t="str">
        <f>IF(tbl_Competitors[[#This Row],[Commercial / Captive Flag]]="Captive / Project-Based","Captive - Exclude from Open Market Share",IF(tbl_Competitors[[#This Row],[Estimated Market Share %]]="","Needs Validation",IF(tbl_Competitors[[#This Row],[Zone Market Share Coverage %]]&gt;1.05,"Zone Share Exceeds 100%","OK")))</f>
        <v>OK</v>
      </c>
      <c r="AE58" s="176" t="str">
        <f>IF(OR(tbl_Competitors[[#This Row],[Capacity Min]]="Invalid Format",tbl_Competitors[[#This Row],[Capacity Max]]="Invalid Format"),"Needs Capacity Validation",IF(tbl_Competitors[[#This Row],[Capacity Min]]&gt;tbl_Competitors[[#This Row],[Capacity Max]],"Capacity Range Error","OK"))</f>
        <v>OK</v>
      </c>
      <c r="AF58"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High Priority</v>
      </c>
      <c r="AG58" s="225" t="s">
        <v>3934</v>
      </c>
      <c r="AH58" s="176" t="s">
        <v>3951</v>
      </c>
    </row>
    <row r="59" spans="1:34" ht="12" customHeight="1">
      <c r="A59" s="27" t="s">
        <v>37</v>
      </c>
      <c r="B59" s="23" t="s">
        <v>3323</v>
      </c>
      <c r="C59" s="43" t="s">
        <v>3384</v>
      </c>
      <c r="D59" s="406" t="s">
        <v>3553</v>
      </c>
      <c r="E59" s="44" t="s">
        <v>3513</v>
      </c>
      <c r="F59" s="80">
        <f>tbl_Competitors[[#This Row],[Annual Capacity]]/SUM(tbl_Competitors[Annual Capacity])</f>
        <v>5.4029716343989191E-3</v>
      </c>
      <c r="G59" s="44" t="s">
        <v>3514</v>
      </c>
      <c r="H59" s="49" t="s">
        <v>3554</v>
      </c>
      <c r="I59" s="49" t="s">
        <v>3555</v>
      </c>
      <c r="J59" s="19" t="s">
        <v>3423</v>
      </c>
      <c r="K59" s="216">
        <v>1</v>
      </c>
      <c r="L59" s="427">
        <v>20.954999999999998</v>
      </c>
      <c r="M59" s="427">
        <v>72.944999999999993</v>
      </c>
      <c r="N59" s="433">
        <v>15.9</v>
      </c>
      <c r="O59" s="217" t="str">
        <f>IF(tbl_Competitors[[#This Row],[Distance from Proposed Plant (km)]]&gt;tbl_Competitors[[#This Row],[Radius (Km)]],"Outside Radius","Within Radius")</f>
        <v>Outside Radius</v>
      </c>
      <c r="P59" s="439">
        <v>8</v>
      </c>
      <c r="Q59" s="174">
        <f>IFERROR(--SUBSTITUTE(TRIM(LEFT(SUBSTITUTE(tbl_Competitors[[#This Row],[Estimated Capacity (m³/month)]],"–","-"),FIND("-",SUBSTITUTE(tbl_Competitors[[#This Row],[Estimated Capacity (m³/month)]],"–","-"))-1)),",",""),"Invalid Format")</f>
        <v>2500</v>
      </c>
      <c r="R59" s="174">
        <f>IFERROR(--SUBSTITUTE(TRIM(MID(SUBSTITUTE(tbl_Competitors[[#This Row],[Estimated Capacity (m³/month)]],"–","-"),FIND("-",SUBSTITUTE(tbl_Competitors[[#This Row],[Estimated Capacity (m³/month)]],"–","-"))+1,99)),",",""),"Invalid Format")</f>
        <v>3500</v>
      </c>
      <c r="S59" s="174">
        <f>IFERROR(AVERAGE(tbl_Competitors[[#This Row],[Capacity Min]],tbl_Competitors[[#This Row],[Capacity Max]]),"")</f>
        <v>3000</v>
      </c>
      <c r="T59" s="175">
        <f>IF(tbl_Competitors[[#This Row],[Capacity Midpoint]]=0,"",(tbl_Competitors[[#This Row],[Capacity Max]]-tbl_Competitors[[#This Row],[Capacity Min]])/tbl_Competitors[[#This Row],[Capacity Midpoint]])</f>
        <v>0.33333333333333331</v>
      </c>
      <c r="U59" s="174">
        <f>IFERROR(tbl_Competitors[[#This Row],[Capacity Midpoint]]*12,"")</f>
        <v>36000</v>
      </c>
      <c r="V59" s="174">
        <f>IFERROR(SUMIFS(tbl_Competitors[Capacity Midpoint],tbl_Competitors[Zone],tbl_Competitors[[#This Row],[Zone]]),"")</f>
        <v>123750</v>
      </c>
      <c r="W59" s="175">
        <f>IFERROR(tbl_Competitors[[#This Row],[Capacity Midpoint]]/tbl_Competitors[[#This Row],[Zone Capacity Total]],"")</f>
        <v>2.4242424242424242E-2</v>
      </c>
      <c r="X59" s="175">
        <f>IFERROR(SUMIFS(tbl_Competitors[Estimated Market Share %],tbl_Competitors[Zone],tbl_Competitors[[#This Row],[Zone]]),"")</f>
        <v>0.22287257991895545</v>
      </c>
      <c r="Y59" s="176"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59" s="301">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5</v>
      </c>
      <c r="AA59" s="176">
        <f>IF(tbl_Competitors[[#This Row],[Strategic Threat Level]]="High",3,IF(tbl_Competitors[[#This Row],[Strategic Threat Level]]="Medium",2,IF(tbl_Competitors[[#This Row],[Strategic Threat Level]]="Low",1,"")))</f>
        <v>3</v>
      </c>
      <c r="AB59" s="176" t="str">
        <f>IF(tbl_Competitors[[#This Row],[Strategic Threat Level]]="High","Yes","No")</f>
        <v>Yes</v>
      </c>
      <c r="AC59" s="176" t="str">
        <f>IF(OR(tbl_Competitors[[#This Row],[Pricing Level]]="Lowest",tbl_Competitors[[#This Row],[Pricing Level]]="Low-Cost",tbl_Competitors[[#This Row],[Pricing Level]]="Cost-Effective"),"Yes","No")</f>
        <v>Yes</v>
      </c>
      <c r="AD59" s="176" t="str">
        <f>IF(tbl_Competitors[[#This Row],[Commercial / Captive Flag]]="Captive / Project-Based","Captive - Exclude from Open Market Share",IF(tbl_Competitors[[#This Row],[Estimated Market Share %]]="","Needs Validation",IF(tbl_Competitors[[#This Row],[Zone Market Share Coverage %]]&gt;1.05,"Zone Share Exceeds 100%","OK")))</f>
        <v>OK</v>
      </c>
      <c r="AE59" s="176" t="str">
        <f>IF(OR(tbl_Competitors[[#This Row],[Capacity Min]]="Invalid Format",tbl_Competitors[[#This Row],[Capacity Max]]="Invalid Format"),"Needs Capacity Validation",IF(tbl_Competitors[[#This Row],[Capacity Min]]&gt;tbl_Competitors[[#This Row],[Capacity Max]],"Capacity Range Error","OK"))</f>
        <v>OK</v>
      </c>
      <c r="AF59"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High Priority</v>
      </c>
      <c r="AG59" s="225" t="s">
        <v>3934</v>
      </c>
      <c r="AH59" s="176" t="s">
        <v>3951</v>
      </c>
    </row>
    <row r="60" spans="1:34" ht="12" customHeight="1">
      <c r="A60" s="27" t="s">
        <v>37</v>
      </c>
      <c r="B60" s="23" t="s">
        <v>3324</v>
      </c>
      <c r="C60" s="43" t="s">
        <v>3383</v>
      </c>
      <c r="D60" s="406" t="s">
        <v>3556</v>
      </c>
      <c r="E60" s="44" t="s">
        <v>3513</v>
      </c>
      <c r="F60" s="80">
        <f>tbl_Competitors[[#This Row],[Annual Capacity]]/SUM(tbl_Competitors[Annual Capacity])</f>
        <v>4.5024763619990991E-3</v>
      </c>
      <c r="G60" s="44" t="s">
        <v>3514</v>
      </c>
      <c r="H60" s="49" t="s">
        <v>3557</v>
      </c>
      <c r="I60" s="49" t="s">
        <v>3558</v>
      </c>
      <c r="J60" s="19" t="s">
        <v>3423</v>
      </c>
      <c r="K60" s="216">
        <v>1</v>
      </c>
      <c r="L60" s="427">
        <v>21.085100000000001</v>
      </c>
      <c r="M60" s="427">
        <v>72.881200000000007</v>
      </c>
      <c r="N60" s="433">
        <v>0</v>
      </c>
      <c r="O60" s="217" t="str">
        <f>IF(tbl_Competitors[[#This Row],[Distance from Proposed Plant (km)]]&gt;tbl_Competitors[[#This Row],[Radius (Km)]],"Outside Radius","Within Radius")</f>
        <v>Within Radius</v>
      </c>
      <c r="P60" s="439">
        <v>8</v>
      </c>
      <c r="Q60" s="174">
        <f>IFERROR(--SUBSTITUTE(TRIM(LEFT(SUBSTITUTE(tbl_Competitors[[#This Row],[Estimated Capacity (m³/month)]],"–","-"),FIND("-",SUBSTITUTE(tbl_Competitors[[#This Row],[Estimated Capacity (m³/month)]],"–","-"))-1)),",",""),"Invalid Format")</f>
        <v>2000</v>
      </c>
      <c r="R60" s="174">
        <f>IFERROR(--SUBSTITUTE(TRIM(MID(SUBSTITUTE(tbl_Competitors[[#This Row],[Estimated Capacity (m³/month)]],"–","-"),FIND("-",SUBSTITUTE(tbl_Competitors[[#This Row],[Estimated Capacity (m³/month)]],"–","-"))+1,99)),",",""),"Invalid Format")</f>
        <v>3000</v>
      </c>
      <c r="S60" s="174">
        <f>IFERROR(AVERAGE(tbl_Competitors[[#This Row],[Capacity Min]],tbl_Competitors[[#This Row],[Capacity Max]]),"")</f>
        <v>2500</v>
      </c>
      <c r="T60" s="175">
        <f>IF(tbl_Competitors[[#This Row],[Capacity Midpoint]]=0,"",(tbl_Competitors[[#This Row],[Capacity Max]]-tbl_Competitors[[#This Row],[Capacity Min]])/tbl_Competitors[[#This Row],[Capacity Midpoint]])</f>
        <v>0.4</v>
      </c>
      <c r="U60" s="174">
        <f>IFERROR(tbl_Competitors[[#This Row],[Capacity Midpoint]]*12,"")</f>
        <v>30000</v>
      </c>
      <c r="V60" s="174">
        <f>IFERROR(SUMIFS(tbl_Competitors[Capacity Midpoint],tbl_Competitors[Zone],tbl_Competitors[[#This Row],[Zone]]),"")</f>
        <v>123750</v>
      </c>
      <c r="W60" s="175">
        <f>IFERROR(tbl_Competitors[[#This Row],[Capacity Midpoint]]/tbl_Competitors[[#This Row],[Zone Capacity Total]],"")</f>
        <v>2.0202020202020204E-2</v>
      </c>
      <c r="X60" s="175">
        <f>IFERROR(SUMIFS(tbl_Competitors[Estimated Market Share %],tbl_Competitors[Zone],tbl_Competitors[[#This Row],[Zone]]),"")</f>
        <v>0.22287257991895545</v>
      </c>
      <c r="Y60" s="176"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60" s="301">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5</v>
      </c>
      <c r="AA60" s="176">
        <f>IF(tbl_Competitors[[#This Row],[Strategic Threat Level]]="High",3,IF(tbl_Competitors[[#This Row],[Strategic Threat Level]]="Medium",2,IF(tbl_Competitors[[#This Row],[Strategic Threat Level]]="Low",1,"")))</f>
        <v>3</v>
      </c>
      <c r="AB60" s="176" t="str">
        <f>IF(tbl_Competitors[[#This Row],[Strategic Threat Level]]="High","Yes","No")</f>
        <v>Yes</v>
      </c>
      <c r="AC60" s="176" t="str">
        <f>IF(OR(tbl_Competitors[[#This Row],[Pricing Level]]="Lowest",tbl_Competitors[[#This Row],[Pricing Level]]="Low-Cost",tbl_Competitors[[#This Row],[Pricing Level]]="Cost-Effective"),"Yes","No")</f>
        <v>Yes</v>
      </c>
      <c r="AD60" s="176" t="str">
        <f>IF(tbl_Competitors[[#This Row],[Commercial / Captive Flag]]="Captive / Project-Based","Captive - Exclude from Open Market Share",IF(tbl_Competitors[[#This Row],[Estimated Market Share %]]="","Needs Validation",IF(tbl_Competitors[[#This Row],[Zone Market Share Coverage %]]&gt;1.05,"Zone Share Exceeds 100%","OK")))</f>
        <v>OK</v>
      </c>
      <c r="AE60" s="176" t="str">
        <f>IF(OR(tbl_Competitors[[#This Row],[Capacity Min]]="Invalid Format",tbl_Competitors[[#This Row],[Capacity Max]]="Invalid Format"),"Needs Capacity Validation",IF(tbl_Competitors[[#This Row],[Capacity Min]]&gt;tbl_Competitors[[#This Row],[Capacity Max]],"Capacity Range Error","OK"))</f>
        <v>OK</v>
      </c>
      <c r="AF60"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High Priority</v>
      </c>
      <c r="AG60" s="225" t="s">
        <v>3947</v>
      </c>
      <c r="AH60" s="176" t="s">
        <v>3787</v>
      </c>
    </row>
    <row r="61" spans="1:34" ht="12" customHeight="1">
      <c r="A61" s="27" t="s">
        <v>37</v>
      </c>
      <c r="B61" s="23" t="s">
        <v>3325</v>
      </c>
      <c r="C61" s="43" t="s">
        <v>3385</v>
      </c>
      <c r="D61" s="406" t="s">
        <v>3606</v>
      </c>
      <c r="E61" s="44" t="s">
        <v>3517</v>
      </c>
      <c r="F61" s="80">
        <f>tbl_Competitors[[#This Row],[Annual Capacity]]/SUM(tbl_Competitors[Annual Capacity])</f>
        <v>5.4029716343989197E-2</v>
      </c>
      <c r="G61" s="44" t="s">
        <v>3518</v>
      </c>
      <c r="H61" s="49" t="s">
        <v>3559</v>
      </c>
      <c r="I61" s="49" t="s">
        <v>3560</v>
      </c>
      <c r="J61" s="22" t="s">
        <v>194</v>
      </c>
      <c r="K61" s="216">
        <v>1</v>
      </c>
      <c r="L61" s="427">
        <v>20.9467</v>
      </c>
      <c r="M61" s="427">
        <v>72.951999999999998</v>
      </c>
      <c r="N61" s="433">
        <v>17.100000000000001</v>
      </c>
      <c r="O61" s="217" t="str">
        <f>IF(tbl_Competitors[[#This Row],[Distance from Proposed Plant (km)]]&gt;tbl_Competitors[[#This Row],[Radius (Km)]],"Outside Radius","Within Radius")</f>
        <v>Within Radius</v>
      </c>
      <c r="P61" s="439" t="s">
        <v>3683</v>
      </c>
      <c r="Q61" s="174">
        <f>IFERROR(--SUBSTITUTE(TRIM(LEFT(SUBSTITUTE(tbl_Competitors[[#This Row],[Estimated Capacity (m³/month)]],"–","-"),FIND("-",SUBSTITUTE(tbl_Competitors[[#This Row],[Estimated Capacity (m³/month)]],"–","-"))-1)),",",""),"Invalid Format")</f>
        <v>25000</v>
      </c>
      <c r="R61" s="174">
        <f>IFERROR(--SUBSTITUTE(TRIM(MID(SUBSTITUTE(tbl_Competitors[[#This Row],[Estimated Capacity (m³/month)]],"–","-"),FIND("-",SUBSTITUTE(tbl_Competitors[[#This Row],[Estimated Capacity (m³/month)]],"–","-"))+1,99)),",",""),"Invalid Format")</f>
        <v>35000</v>
      </c>
      <c r="S61" s="174">
        <f>IFERROR(AVERAGE(tbl_Competitors[[#This Row],[Capacity Min]],tbl_Competitors[[#This Row],[Capacity Max]]),"")</f>
        <v>30000</v>
      </c>
      <c r="T61" s="175">
        <f>IF(tbl_Competitors[[#This Row],[Capacity Midpoint]]=0,"",(tbl_Competitors[[#This Row],[Capacity Max]]-tbl_Competitors[[#This Row],[Capacity Min]])/tbl_Competitors[[#This Row],[Capacity Midpoint]])</f>
        <v>0.33333333333333331</v>
      </c>
      <c r="U61" s="174">
        <f>IFERROR(tbl_Competitors[[#This Row],[Capacity Midpoint]]*12,"")</f>
        <v>360000</v>
      </c>
      <c r="V61" s="174">
        <f>IFERROR(SUMIFS(tbl_Competitors[Capacity Midpoint],tbl_Competitors[Zone],tbl_Competitors[[#This Row],[Zone]]),"")</f>
        <v>123750</v>
      </c>
      <c r="W61" s="175">
        <f>IFERROR(tbl_Competitors[[#This Row],[Capacity Midpoint]]/tbl_Competitors[[#This Row],[Zone Capacity Total]],"")</f>
        <v>0.24242424242424243</v>
      </c>
      <c r="X61" s="175">
        <f>IFERROR(SUMIFS(tbl_Competitors[Estimated Market Share %],tbl_Competitors[Zone],tbl_Competitors[[#This Row],[Zone]]),"")</f>
        <v>0.22287257991895545</v>
      </c>
      <c r="Y61" s="176" t="str">
        <f>IF(OR(ISNUMBER(SEARCH("Captive",tbl_Competitors[[#This Row],[Market Position]])),tbl_Competitors[[#This Row],[Estimated Market Share %]]="N/A - Captive",tbl_Competitors[[#This Row],[Pricing Level]]="Internal Cost",tbl_Competitors[[#This Row],[Pricing Level]]="Captive"),"Captive / Project-Based","Commercial / Open Market")</f>
        <v>Captive / Project-Based</v>
      </c>
      <c r="Z61" s="301" t="str">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0</v>
      </c>
      <c r="AA61" s="176">
        <f>IF(tbl_Competitors[[#This Row],[Strategic Threat Level]]="High",3,IF(tbl_Competitors[[#This Row],[Strategic Threat Level]]="Medium",2,IF(tbl_Competitors[[#This Row],[Strategic Threat Level]]="Low",1,"")))</f>
        <v>2</v>
      </c>
      <c r="AB61" s="176" t="str">
        <f>IF(tbl_Competitors[[#This Row],[Strategic Threat Level]]="High","Yes","No")</f>
        <v>No</v>
      </c>
      <c r="AC61" s="176" t="str">
        <f>IF(OR(tbl_Competitors[[#This Row],[Pricing Level]]="Lowest",tbl_Competitors[[#This Row],[Pricing Level]]="Low-Cost",tbl_Competitors[[#This Row],[Pricing Level]]="Cost-Effective"),"Yes","No")</f>
        <v>No</v>
      </c>
      <c r="AD61" s="225" t="str">
        <f>IF(tbl_Competitors[[#This Row],[Commercial / Captive Flag]]="Captive / Project-Based","Captive - Exclude from Open Market Share",IF(tbl_Competitors[[#This Row],[Estimated Market Share %]]="","Needs Validation",IF(tbl_Competitors[[#This Row],[Zone Market Share Coverage %]]&gt;1.05,"Zone Share Exceeds 100%","OK")))</f>
        <v>Captive - Exclude from Open Market Share</v>
      </c>
      <c r="AE61" s="176" t="str">
        <f>IF(OR(tbl_Competitors[[#This Row],[Capacity Min]]="Invalid Format",tbl_Competitors[[#This Row],[Capacity Max]]="Invalid Format"),"Needs Capacity Validation",IF(tbl_Competitors[[#This Row],[Capacity Min]]&gt;tbl_Competitors[[#This Row],[Capacity Max]],"Capacity Range Error","OK"))</f>
        <v>OK</v>
      </c>
      <c r="AF61"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Monitor</v>
      </c>
      <c r="AG61" s="225" t="s">
        <v>3942</v>
      </c>
      <c r="AH61" s="176" t="s">
        <v>3951</v>
      </c>
    </row>
    <row r="62" spans="1:34" ht="12" customHeight="1">
      <c r="A62" s="28" t="s">
        <v>38</v>
      </c>
      <c r="B62" s="24" t="s">
        <v>3326</v>
      </c>
      <c r="C62" s="45" t="s">
        <v>3386</v>
      </c>
      <c r="D62" s="407" t="s">
        <v>3607</v>
      </c>
      <c r="E62" s="46" t="s">
        <v>3539</v>
      </c>
      <c r="F62" s="81">
        <f>tbl_Competitors[[#This Row],[Annual Capacity]]/SUM(tbl_Competitors[Annual Capacity])</f>
        <v>1.4407924358397118E-2</v>
      </c>
      <c r="G62" s="46" t="s">
        <v>3396</v>
      </c>
      <c r="H62" s="50" t="s">
        <v>3561</v>
      </c>
      <c r="I62" s="50" t="s">
        <v>3562</v>
      </c>
      <c r="J62" s="17" t="s">
        <v>3397</v>
      </c>
      <c r="K62" s="218">
        <v>1</v>
      </c>
      <c r="L62" s="428">
        <v>21.05</v>
      </c>
      <c r="M62" s="428">
        <v>73.400000000000006</v>
      </c>
      <c r="N62" s="434">
        <v>54</v>
      </c>
      <c r="O62" s="219" t="str">
        <f>IF(tbl_Competitors[[#This Row],[Distance from Proposed Plant (km)]]&gt;tbl_Competitors[[#This Row],[Radius (Km)]],"Outside Radius","Within Radius")</f>
        <v>Outside Radius</v>
      </c>
      <c r="P62" s="440">
        <v>16</v>
      </c>
      <c r="Q62" s="178">
        <f>IFERROR(--SUBSTITUTE(TRIM(LEFT(SUBSTITUTE(tbl_Competitors[[#This Row],[Estimated Capacity (m³/month)]],"–","-"),FIND("-",SUBSTITUTE(tbl_Competitors[[#This Row],[Estimated Capacity (m³/month)]],"–","-"))-1)),",",""),"Invalid Format")</f>
        <v>7000</v>
      </c>
      <c r="R62" s="178">
        <f>IFERROR(--SUBSTITUTE(TRIM(MID(SUBSTITUTE(tbl_Competitors[[#This Row],[Estimated Capacity (m³/month)]],"–","-"),FIND("-",SUBSTITUTE(tbl_Competitors[[#This Row],[Estimated Capacity (m³/month)]],"–","-"))+1,99)),",",""),"Invalid Format")</f>
        <v>9000</v>
      </c>
      <c r="S62" s="178">
        <f>IFERROR(AVERAGE(tbl_Competitors[[#This Row],[Capacity Min]],tbl_Competitors[[#This Row],[Capacity Max]]),"")</f>
        <v>8000</v>
      </c>
      <c r="T62" s="179">
        <f>IF(tbl_Competitors[[#This Row],[Capacity Midpoint]]=0,"",(tbl_Competitors[[#This Row],[Capacity Max]]-tbl_Competitors[[#This Row],[Capacity Min]])/tbl_Competitors[[#This Row],[Capacity Midpoint]])</f>
        <v>0.25</v>
      </c>
      <c r="U62" s="178">
        <f>IFERROR(tbl_Competitors[[#This Row],[Capacity Midpoint]]*12,"")</f>
        <v>96000</v>
      </c>
      <c r="V62" s="178">
        <f>IFERROR(SUMIFS(tbl_Competitors[Capacity Midpoint],tbl_Competitors[Zone],tbl_Competitors[[#This Row],[Zone]]),"")</f>
        <v>53000</v>
      </c>
      <c r="W62" s="179">
        <f>IFERROR(tbl_Competitors[[#This Row],[Capacity Midpoint]]/tbl_Competitors[[#This Row],[Zone Capacity Total]],"")</f>
        <v>0.15094339622641509</v>
      </c>
      <c r="X62" s="179">
        <f>IFERROR(SUMIFS(tbl_Competitors[Estimated Market Share %],tbl_Competitors[Zone],tbl_Competitors[[#This Row],[Zone]]),"")</f>
        <v>9.5452498874380898E-2</v>
      </c>
      <c r="Y62" s="180"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62" s="302">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1</v>
      </c>
      <c r="AA62" s="180">
        <f>IF(tbl_Competitors[[#This Row],[Strategic Threat Level]]="High",3,IF(tbl_Competitors[[#This Row],[Strategic Threat Level]]="Medium",2,IF(tbl_Competitors[[#This Row],[Strategic Threat Level]]="Low",1,"")))</f>
        <v>1</v>
      </c>
      <c r="AB62" s="180" t="str">
        <f>IF(tbl_Competitors[[#This Row],[Strategic Threat Level]]="High","Yes","No")</f>
        <v>No</v>
      </c>
      <c r="AC62" s="180" t="str">
        <f>IF(OR(tbl_Competitors[[#This Row],[Pricing Level]]="Lowest",tbl_Competitors[[#This Row],[Pricing Level]]="Low-Cost",tbl_Competitors[[#This Row],[Pricing Level]]="Cost-Effective"),"Yes","No")</f>
        <v>No</v>
      </c>
      <c r="AD62" s="180" t="str">
        <f>IF(tbl_Competitors[[#This Row],[Commercial / Captive Flag]]="Captive / Project-Based","Captive - Exclude from Open Market Share",IF(tbl_Competitors[[#This Row],[Estimated Market Share %]]="","Needs Validation",IF(tbl_Competitors[[#This Row],[Zone Market Share Coverage %]]&gt;1.05,"Zone Share Exceeds 100%","OK")))</f>
        <v>OK</v>
      </c>
      <c r="AE62" s="180" t="str">
        <f>IF(OR(tbl_Competitors[[#This Row],[Capacity Min]]="Invalid Format",tbl_Competitors[[#This Row],[Capacity Max]]="Invalid Format"),"Needs Capacity Validation",IF(tbl_Competitors[[#This Row],[Capacity Min]]&gt;tbl_Competitors[[#This Row],[Capacity Max]],"Capacity Range Error","OK"))</f>
        <v>OK</v>
      </c>
      <c r="AF62"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Monitor</v>
      </c>
      <c r="AG62" s="226" t="s">
        <v>3948</v>
      </c>
      <c r="AH62" s="180" t="s">
        <v>3787</v>
      </c>
    </row>
    <row r="63" spans="1:34" ht="12" customHeight="1">
      <c r="A63" s="28" t="s">
        <v>38</v>
      </c>
      <c r="B63" s="24" t="s">
        <v>3327</v>
      </c>
      <c r="C63" s="45" t="s">
        <v>3387</v>
      </c>
      <c r="D63" s="407" t="s">
        <v>3563</v>
      </c>
      <c r="E63" s="46" t="s">
        <v>3564</v>
      </c>
      <c r="F63" s="81">
        <f>tbl_Competitors[[#This Row],[Annual Capacity]]/SUM(tbl_Competitors[Annual Capacity])</f>
        <v>1.0355695632597929E-2</v>
      </c>
      <c r="G63" s="46" t="s">
        <v>3420</v>
      </c>
      <c r="H63" s="50" t="s">
        <v>3565</v>
      </c>
      <c r="I63" s="50" t="s">
        <v>3566</v>
      </c>
      <c r="J63" s="17" t="s">
        <v>3397</v>
      </c>
      <c r="K63" s="218">
        <v>1</v>
      </c>
      <c r="L63" s="428">
        <v>21.116700000000002</v>
      </c>
      <c r="M63" s="428">
        <v>73.400000000000006</v>
      </c>
      <c r="N63" s="434">
        <v>53.9</v>
      </c>
      <c r="O63" s="219" t="str">
        <f>IF(tbl_Competitors[[#This Row],[Distance from Proposed Plant (km)]]&gt;tbl_Competitors[[#This Row],[Radius (Km)]],"Outside Radius","Within Radius")</f>
        <v>Outside Radius</v>
      </c>
      <c r="P63" s="440">
        <v>14</v>
      </c>
      <c r="Q63" s="178">
        <f>IFERROR(--SUBSTITUTE(TRIM(LEFT(SUBSTITUTE(tbl_Competitors[[#This Row],[Estimated Capacity (m³/month)]],"–","-"),FIND("-",SUBSTITUTE(tbl_Competitors[[#This Row],[Estimated Capacity (m³/month)]],"–","-"))-1)),",",""),"Invalid Format")</f>
        <v>5000</v>
      </c>
      <c r="R63" s="178">
        <f>IFERROR(--SUBSTITUTE(TRIM(MID(SUBSTITUTE(tbl_Competitors[[#This Row],[Estimated Capacity (m³/month)]],"–","-"),FIND("-",SUBSTITUTE(tbl_Competitors[[#This Row],[Estimated Capacity (m³/month)]],"–","-"))+1,99)),",",""),"Invalid Format")</f>
        <v>6500</v>
      </c>
      <c r="S63" s="178">
        <f>IFERROR(AVERAGE(tbl_Competitors[[#This Row],[Capacity Min]],tbl_Competitors[[#This Row],[Capacity Max]]),"")</f>
        <v>5750</v>
      </c>
      <c r="T63" s="179">
        <f>IF(tbl_Competitors[[#This Row],[Capacity Midpoint]]=0,"",(tbl_Competitors[[#This Row],[Capacity Max]]-tbl_Competitors[[#This Row],[Capacity Min]])/tbl_Competitors[[#This Row],[Capacity Midpoint]])</f>
        <v>0.2608695652173913</v>
      </c>
      <c r="U63" s="178">
        <f>IFERROR(tbl_Competitors[[#This Row],[Capacity Midpoint]]*12,"")</f>
        <v>69000</v>
      </c>
      <c r="V63" s="178">
        <f>IFERROR(SUMIFS(tbl_Competitors[Capacity Midpoint],tbl_Competitors[Zone],tbl_Competitors[[#This Row],[Zone]]),"")</f>
        <v>53000</v>
      </c>
      <c r="W63" s="179">
        <f>IFERROR(tbl_Competitors[[#This Row],[Capacity Midpoint]]/tbl_Competitors[[#This Row],[Zone Capacity Total]],"")</f>
        <v>0.10849056603773585</v>
      </c>
      <c r="X63" s="179">
        <f>IFERROR(SUMIFS(tbl_Competitors[Estimated Market Share %],tbl_Competitors[Zone],tbl_Competitors[[#This Row],[Zone]]),"")</f>
        <v>9.5452498874380898E-2</v>
      </c>
      <c r="Y63" s="180"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63" s="302">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4</v>
      </c>
      <c r="AA63" s="180">
        <f>IF(tbl_Competitors[[#This Row],[Strategic Threat Level]]="High",3,IF(tbl_Competitors[[#This Row],[Strategic Threat Level]]="Medium",2,IF(tbl_Competitors[[#This Row],[Strategic Threat Level]]="Low",1,"")))</f>
        <v>1</v>
      </c>
      <c r="AB63" s="180" t="str">
        <f>IF(tbl_Competitors[[#This Row],[Strategic Threat Level]]="High","Yes","No")</f>
        <v>No</v>
      </c>
      <c r="AC63" s="180" t="str">
        <f>IF(OR(tbl_Competitors[[#This Row],[Pricing Level]]="Lowest",tbl_Competitors[[#This Row],[Pricing Level]]="Low-Cost",tbl_Competitors[[#This Row],[Pricing Level]]="Cost-Effective"),"Yes","No")</f>
        <v>No</v>
      </c>
      <c r="AD63" s="180" t="str">
        <f>IF(tbl_Competitors[[#This Row],[Commercial / Captive Flag]]="Captive / Project-Based","Captive - Exclude from Open Market Share",IF(tbl_Competitors[[#This Row],[Estimated Market Share %]]="","Needs Validation",IF(tbl_Competitors[[#This Row],[Zone Market Share Coverage %]]&gt;1.05,"Zone Share Exceeds 100%","OK")))</f>
        <v>OK</v>
      </c>
      <c r="AE63" s="180" t="str">
        <f>IF(OR(tbl_Competitors[[#This Row],[Capacity Min]]="Invalid Format",tbl_Competitors[[#This Row],[Capacity Max]]="Invalid Format"),"Needs Capacity Validation",IF(tbl_Competitors[[#This Row],[Capacity Min]]&gt;tbl_Competitors[[#This Row],[Capacity Max]],"Capacity Range Error","OK"))</f>
        <v>OK</v>
      </c>
      <c r="AF63"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Monitor</v>
      </c>
      <c r="AG63" s="226" t="s">
        <v>3949</v>
      </c>
      <c r="AH63" s="180" t="s">
        <v>3951</v>
      </c>
    </row>
    <row r="64" spans="1:34" ht="12" customHeight="1">
      <c r="A64" s="28" t="s">
        <v>38</v>
      </c>
      <c r="B64" s="24" t="s">
        <v>3328</v>
      </c>
      <c r="C64" s="45" t="s">
        <v>3388</v>
      </c>
      <c r="D64" s="407" t="s">
        <v>3567</v>
      </c>
      <c r="E64" s="46" t="s">
        <v>3568</v>
      </c>
      <c r="F64" s="81">
        <f>tbl_Competitors[[#This Row],[Annual Capacity]]/SUM(tbl_Competitors[Annual Capacity])</f>
        <v>9.4552003601981096E-3</v>
      </c>
      <c r="G64" s="46" t="s">
        <v>3420</v>
      </c>
      <c r="H64" s="50" t="s">
        <v>3569</v>
      </c>
      <c r="I64" s="50" t="s">
        <v>3570</v>
      </c>
      <c r="J64" s="18" t="s">
        <v>194</v>
      </c>
      <c r="K64" s="218">
        <v>1</v>
      </c>
      <c r="L64" s="428">
        <v>21.166699999999999</v>
      </c>
      <c r="M64" s="428">
        <v>73.566699999999997</v>
      </c>
      <c r="N64" s="434">
        <v>71.7</v>
      </c>
      <c r="O64" s="219" t="str">
        <f>IF(tbl_Competitors[[#This Row],[Distance from Proposed Plant (km)]]&gt;tbl_Competitors[[#This Row],[Radius (Km)]],"Outside Radius","Within Radius")</f>
        <v>Outside Radius</v>
      </c>
      <c r="P64" s="440">
        <v>14</v>
      </c>
      <c r="Q64" s="178">
        <f>IFERROR(--SUBSTITUTE(TRIM(LEFT(SUBSTITUTE(tbl_Competitors[[#This Row],[Estimated Capacity (m³/month)]],"–","-"),FIND("-",SUBSTITUTE(tbl_Competitors[[#This Row],[Estimated Capacity (m³/month)]],"–","-"))-1)),",",""),"Invalid Format")</f>
        <v>4500</v>
      </c>
      <c r="R64" s="178">
        <f>IFERROR(--SUBSTITUTE(TRIM(MID(SUBSTITUTE(tbl_Competitors[[#This Row],[Estimated Capacity (m³/month)]],"–","-"),FIND("-",SUBSTITUTE(tbl_Competitors[[#This Row],[Estimated Capacity (m³/month)]],"–","-"))+1,99)),",",""),"Invalid Format")</f>
        <v>6000</v>
      </c>
      <c r="S64" s="178">
        <f>IFERROR(AVERAGE(tbl_Competitors[[#This Row],[Capacity Min]],tbl_Competitors[[#This Row],[Capacity Max]]),"")</f>
        <v>5250</v>
      </c>
      <c r="T64" s="179">
        <f>IF(tbl_Competitors[[#This Row],[Capacity Midpoint]]=0,"",(tbl_Competitors[[#This Row],[Capacity Max]]-tbl_Competitors[[#This Row],[Capacity Min]])/tbl_Competitors[[#This Row],[Capacity Midpoint]])</f>
        <v>0.2857142857142857</v>
      </c>
      <c r="U64" s="178">
        <f>IFERROR(tbl_Competitors[[#This Row],[Capacity Midpoint]]*12,"")</f>
        <v>63000</v>
      </c>
      <c r="V64" s="178">
        <f>IFERROR(SUMIFS(tbl_Competitors[Capacity Midpoint],tbl_Competitors[Zone],tbl_Competitors[[#This Row],[Zone]]),"")</f>
        <v>53000</v>
      </c>
      <c r="W64" s="179">
        <f>IFERROR(tbl_Competitors[[#This Row],[Capacity Midpoint]]/tbl_Competitors[[#This Row],[Zone Capacity Total]],"")</f>
        <v>9.9056603773584911E-2</v>
      </c>
      <c r="X64" s="179">
        <f>IFERROR(SUMIFS(tbl_Competitors[Estimated Market Share %],tbl_Competitors[Zone],tbl_Competitors[[#This Row],[Zone]]),"")</f>
        <v>9.5452498874380898E-2</v>
      </c>
      <c r="Y64" s="180"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64" s="302">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4</v>
      </c>
      <c r="AA64" s="180">
        <f>IF(tbl_Competitors[[#This Row],[Strategic Threat Level]]="High",3,IF(tbl_Competitors[[#This Row],[Strategic Threat Level]]="Medium",2,IF(tbl_Competitors[[#This Row],[Strategic Threat Level]]="Low",1,"")))</f>
        <v>2</v>
      </c>
      <c r="AB64" s="180" t="str">
        <f>IF(tbl_Competitors[[#This Row],[Strategic Threat Level]]="High","Yes","No")</f>
        <v>No</v>
      </c>
      <c r="AC64" s="180" t="str">
        <f>IF(OR(tbl_Competitors[[#This Row],[Pricing Level]]="Lowest",tbl_Competitors[[#This Row],[Pricing Level]]="Low-Cost",tbl_Competitors[[#This Row],[Pricing Level]]="Cost-Effective"),"Yes","No")</f>
        <v>No</v>
      </c>
      <c r="AD64" s="180" t="str">
        <f>IF(tbl_Competitors[[#This Row],[Commercial / Captive Flag]]="Captive / Project-Based","Captive - Exclude from Open Market Share",IF(tbl_Competitors[[#This Row],[Estimated Market Share %]]="","Needs Validation",IF(tbl_Competitors[[#This Row],[Zone Market Share Coverage %]]&gt;1.05,"Zone Share Exceeds 100%","OK")))</f>
        <v>OK</v>
      </c>
      <c r="AE64" s="180" t="str">
        <f>IF(OR(tbl_Competitors[[#This Row],[Capacity Min]]="Invalid Format",tbl_Competitors[[#This Row],[Capacity Max]]="Invalid Format"),"Needs Capacity Validation",IF(tbl_Competitors[[#This Row],[Capacity Min]]&gt;tbl_Competitors[[#This Row],[Capacity Max]],"Capacity Range Error","OK"))</f>
        <v>OK</v>
      </c>
      <c r="AF64"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Monitor</v>
      </c>
      <c r="AG64" s="226" t="s">
        <v>3950</v>
      </c>
      <c r="AH64" s="180" t="s">
        <v>3951</v>
      </c>
    </row>
    <row r="65" spans="1:34" ht="12" customHeight="1">
      <c r="A65" s="28" t="s">
        <v>38</v>
      </c>
      <c r="B65" s="24" t="s">
        <v>3321</v>
      </c>
      <c r="C65" s="45" t="s">
        <v>3389</v>
      </c>
      <c r="D65" s="407" t="s">
        <v>3512</v>
      </c>
      <c r="E65" s="46" t="s">
        <v>3488</v>
      </c>
      <c r="F65" s="81">
        <f>tbl_Competitors[[#This Row],[Annual Capacity]]/SUM(tbl_Competitors[Annual Capacity])</f>
        <v>7.2039621791985592E-3</v>
      </c>
      <c r="G65" s="46" t="s">
        <v>3501</v>
      </c>
      <c r="H65" s="50" t="s">
        <v>3571</v>
      </c>
      <c r="I65" s="50" t="s">
        <v>3572</v>
      </c>
      <c r="J65" s="18" t="s">
        <v>194</v>
      </c>
      <c r="K65" s="218">
        <v>1</v>
      </c>
      <c r="L65" s="428">
        <v>21.05</v>
      </c>
      <c r="M65" s="428">
        <v>73.400000000000006</v>
      </c>
      <c r="N65" s="434">
        <v>54</v>
      </c>
      <c r="O65" s="219" t="str">
        <f>IF(tbl_Competitors[[#This Row],[Distance from Proposed Plant (km)]]&gt;tbl_Competitors[[#This Row],[Radius (Km)]],"Outside Radius","Within Radius")</f>
        <v>Outside Radius</v>
      </c>
      <c r="P65" s="440">
        <v>16</v>
      </c>
      <c r="Q65" s="178">
        <f>IFERROR(--SUBSTITUTE(TRIM(LEFT(SUBSTITUTE(tbl_Competitors[[#This Row],[Estimated Capacity (m³/month)]],"–","-"),FIND("-",SUBSTITUTE(tbl_Competitors[[#This Row],[Estimated Capacity (m³/month)]],"–","-"))-1)),",",""),"Invalid Format")</f>
        <v>3500</v>
      </c>
      <c r="R65" s="178">
        <f>IFERROR(--SUBSTITUTE(TRIM(MID(SUBSTITUTE(tbl_Competitors[[#This Row],[Estimated Capacity (m³/month)]],"–","-"),FIND("-",SUBSTITUTE(tbl_Competitors[[#This Row],[Estimated Capacity (m³/month)]],"–","-"))+1,99)),",",""),"Invalid Format")</f>
        <v>4500</v>
      </c>
      <c r="S65" s="178">
        <f>IFERROR(AVERAGE(tbl_Competitors[[#This Row],[Capacity Min]],tbl_Competitors[[#This Row],[Capacity Max]]),"")</f>
        <v>4000</v>
      </c>
      <c r="T65" s="179">
        <f>IF(tbl_Competitors[[#This Row],[Capacity Midpoint]]=0,"",(tbl_Competitors[[#This Row],[Capacity Max]]-tbl_Competitors[[#This Row],[Capacity Min]])/tbl_Competitors[[#This Row],[Capacity Midpoint]])</f>
        <v>0.25</v>
      </c>
      <c r="U65" s="178">
        <f>IFERROR(tbl_Competitors[[#This Row],[Capacity Midpoint]]*12,"")</f>
        <v>48000</v>
      </c>
      <c r="V65" s="178">
        <f>IFERROR(SUMIFS(tbl_Competitors[Capacity Midpoint],tbl_Competitors[Zone],tbl_Competitors[[#This Row],[Zone]]),"")</f>
        <v>53000</v>
      </c>
      <c r="W65" s="179">
        <f>IFERROR(tbl_Competitors[[#This Row],[Capacity Midpoint]]/tbl_Competitors[[#This Row],[Zone Capacity Total]],"")</f>
        <v>7.5471698113207544E-2</v>
      </c>
      <c r="X65" s="179">
        <f>IFERROR(SUMIFS(tbl_Competitors[Estimated Market Share %],tbl_Competitors[Zone],tbl_Competitors[[#This Row],[Zone]]),"")</f>
        <v>9.5452498874380898E-2</v>
      </c>
      <c r="Y65" s="180"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65" s="302">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4</v>
      </c>
      <c r="AA65" s="180">
        <f>IF(tbl_Competitors[[#This Row],[Strategic Threat Level]]="High",3,IF(tbl_Competitors[[#This Row],[Strategic Threat Level]]="Medium",2,IF(tbl_Competitors[[#This Row],[Strategic Threat Level]]="Low",1,"")))</f>
        <v>2</v>
      </c>
      <c r="AB65" s="180" t="str">
        <f>IF(tbl_Competitors[[#This Row],[Strategic Threat Level]]="High","Yes","No")</f>
        <v>No</v>
      </c>
      <c r="AC65" s="180" t="str">
        <f>IF(OR(tbl_Competitors[[#This Row],[Pricing Level]]="Lowest",tbl_Competitors[[#This Row],[Pricing Level]]="Low-Cost",tbl_Competitors[[#This Row],[Pricing Level]]="Cost-Effective"),"Yes","No")</f>
        <v>Yes</v>
      </c>
      <c r="AD65" s="180" t="str">
        <f>IF(tbl_Competitors[[#This Row],[Commercial / Captive Flag]]="Captive / Project-Based","Captive - Exclude from Open Market Share",IF(tbl_Competitors[[#This Row],[Estimated Market Share %]]="","Needs Validation",IF(tbl_Competitors[[#This Row],[Zone Market Share Coverage %]]&gt;1.05,"Zone Share Exceeds 100%","OK")))</f>
        <v>OK</v>
      </c>
      <c r="AE65" s="180" t="str">
        <f>IF(OR(tbl_Competitors[[#This Row],[Capacity Min]]="Invalid Format",tbl_Competitors[[#This Row],[Capacity Max]]="Invalid Format"),"Needs Capacity Validation",IF(tbl_Competitors[[#This Row],[Capacity Min]]&gt;tbl_Competitors[[#This Row],[Capacity Max]],"Capacity Range Error","OK"))</f>
        <v>OK</v>
      </c>
      <c r="AF65"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Monitor</v>
      </c>
      <c r="AG65" s="226" t="s">
        <v>3934</v>
      </c>
      <c r="AH65" s="180" t="s">
        <v>3951</v>
      </c>
    </row>
    <row r="66" spans="1:34" ht="12" customHeight="1">
      <c r="A66" s="28" t="s">
        <v>38</v>
      </c>
      <c r="B66" s="24" t="s">
        <v>3329</v>
      </c>
      <c r="C66" s="45" t="s">
        <v>3390</v>
      </c>
      <c r="D66" s="407" t="s">
        <v>3550</v>
      </c>
      <c r="E66" s="46" t="s">
        <v>3496</v>
      </c>
      <c r="F66" s="81">
        <f>tbl_Competitors[[#This Row],[Annual Capacity]]/SUM(tbl_Competitors[Annual Capacity])</f>
        <v>6.3034669067987392E-3</v>
      </c>
      <c r="G66" s="46" t="s">
        <v>3480</v>
      </c>
      <c r="H66" s="50" t="s">
        <v>3573</v>
      </c>
      <c r="I66" s="177" t="s">
        <v>3574</v>
      </c>
      <c r="J66" s="18" t="s">
        <v>194</v>
      </c>
      <c r="K66" s="218">
        <v>1</v>
      </c>
      <c r="L66" s="428">
        <v>21.166699999999999</v>
      </c>
      <c r="M66" s="428">
        <v>73.566699999999997</v>
      </c>
      <c r="N66" s="434">
        <v>71.7</v>
      </c>
      <c r="O66" s="219" t="str">
        <f>IF(tbl_Competitors[[#This Row],[Distance from Proposed Plant (km)]]&gt;tbl_Competitors[[#This Row],[Radius (Km)]],"Outside Radius","Within Radius")</f>
        <v>Outside Radius</v>
      </c>
      <c r="P66" s="440">
        <v>12</v>
      </c>
      <c r="Q66" s="178">
        <f>IFERROR(--SUBSTITUTE(TRIM(LEFT(SUBSTITUTE(tbl_Competitors[[#This Row],[Estimated Capacity (m³/month)]],"–","-"),FIND("-",SUBSTITUTE(tbl_Competitors[[#This Row],[Estimated Capacity (m³/month)]],"–","-"))-1)),",",""),"Invalid Format")</f>
        <v>3000</v>
      </c>
      <c r="R66" s="178">
        <f>IFERROR(--SUBSTITUTE(TRIM(MID(SUBSTITUTE(tbl_Competitors[[#This Row],[Estimated Capacity (m³/month)]],"–","-"),FIND("-",SUBSTITUTE(tbl_Competitors[[#This Row],[Estimated Capacity (m³/month)]],"–","-"))+1,99)),",",""),"Invalid Format")</f>
        <v>4000</v>
      </c>
      <c r="S66" s="178">
        <f>IFERROR(AVERAGE(tbl_Competitors[[#This Row],[Capacity Min]],tbl_Competitors[[#This Row],[Capacity Max]]),"")</f>
        <v>3500</v>
      </c>
      <c r="T66" s="179">
        <f>IF(tbl_Competitors[[#This Row],[Capacity Midpoint]]=0,"",(tbl_Competitors[[#This Row],[Capacity Max]]-tbl_Competitors[[#This Row],[Capacity Min]])/tbl_Competitors[[#This Row],[Capacity Midpoint]])</f>
        <v>0.2857142857142857</v>
      </c>
      <c r="U66" s="178">
        <f>IFERROR(tbl_Competitors[[#This Row],[Capacity Midpoint]]*12,"")</f>
        <v>42000</v>
      </c>
      <c r="V66" s="178">
        <f>IFERROR(SUMIFS(tbl_Competitors[Capacity Midpoint],tbl_Competitors[Zone],tbl_Competitors[[#This Row],[Zone]]),"")</f>
        <v>53000</v>
      </c>
      <c r="W66" s="179">
        <f>IFERROR(tbl_Competitors[[#This Row],[Capacity Midpoint]]/tbl_Competitors[[#This Row],[Zone Capacity Total]],"")</f>
        <v>6.6037735849056603E-2</v>
      </c>
      <c r="X66" s="179">
        <f>IFERROR(SUMIFS(tbl_Competitors[Estimated Market Share %],tbl_Competitors[Zone],tbl_Competitors[[#This Row],[Zone]]),"")</f>
        <v>9.5452498874380898E-2</v>
      </c>
      <c r="Y66" s="180"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66" s="302">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3</v>
      </c>
      <c r="AA66" s="180">
        <f>IF(tbl_Competitors[[#This Row],[Strategic Threat Level]]="High",3,IF(tbl_Competitors[[#This Row],[Strategic Threat Level]]="Medium",2,IF(tbl_Competitors[[#This Row],[Strategic Threat Level]]="Low",1,"")))</f>
        <v>2</v>
      </c>
      <c r="AB66" s="180" t="str">
        <f>IF(tbl_Competitors[[#This Row],[Strategic Threat Level]]="High","Yes","No")</f>
        <v>No</v>
      </c>
      <c r="AC66" s="180" t="str">
        <f>IF(OR(tbl_Competitors[[#This Row],[Pricing Level]]="Lowest",tbl_Competitors[[#This Row],[Pricing Level]]="Low-Cost",tbl_Competitors[[#This Row],[Pricing Level]]="Cost-Effective"),"Yes","No")</f>
        <v>No</v>
      </c>
      <c r="AD66" s="180" t="str">
        <f>IF(tbl_Competitors[[#This Row],[Commercial / Captive Flag]]="Captive / Project-Based","Captive - Exclude from Open Market Share",IF(tbl_Competitors[[#This Row],[Estimated Market Share %]]="","Needs Validation",IF(tbl_Competitors[[#This Row],[Zone Market Share Coverage %]]&gt;1.05,"Zone Share Exceeds 100%","OK")))</f>
        <v>OK</v>
      </c>
      <c r="AE66" s="180" t="str">
        <f>IF(OR(tbl_Competitors[[#This Row],[Capacity Min]]="Invalid Format",tbl_Competitors[[#This Row],[Capacity Max]]="Invalid Format"),"Needs Capacity Validation",IF(tbl_Competitors[[#This Row],[Capacity Min]]&gt;tbl_Competitors[[#This Row],[Capacity Max]],"Capacity Range Error","OK"))</f>
        <v>OK</v>
      </c>
      <c r="AF66"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Monitor</v>
      </c>
      <c r="AG66" s="226" t="s">
        <v>3934</v>
      </c>
      <c r="AH66" s="180" t="s">
        <v>3951</v>
      </c>
    </row>
    <row r="67" spans="1:34" ht="12" customHeight="1">
      <c r="A67" s="28" t="s">
        <v>38</v>
      </c>
      <c r="B67" s="24" t="s">
        <v>3330</v>
      </c>
      <c r="C67" s="45" t="s">
        <v>3391</v>
      </c>
      <c r="D67" s="407" t="s">
        <v>3553</v>
      </c>
      <c r="E67" s="46" t="s">
        <v>3575</v>
      </c>
      <c r="F67" s="81">
        <f>tbl_Competitors[[#This Row],[Annual Capacity]]/SUM(tbl_Competitors[Annual Capacity])</f>
        <v>5.4029716343989191E-3</v>
      </c>
      <c r="G67" s="46" t="s">
        <v>3501</v>
      </c>
      <c r="H67" s="50" t="s">
        <v>3576</v>
      </c>
      <c r="I67" s="50" t="s">
        <v>3577</v>
      </c>
      <c r="J67" s="19" t="s">
        <v>3423</v>
      </c>
      <c r="K67" s="218">
        <v>1</v>
      </c>
      <c r="L67" s="428">
        <v>21.116700000000002</v>
      </c>
      <c r="M67" s="428">
        <v>73.400000000000006</v>
      </c>
      <c r="N67" s="434">
        <v>53.9</v>
      </c>
      <c r="O67" s="219" t="str">
        <f>IF(tbl_Competitors[[#This Row],[Distance from Proposed Plant (km)]]&gt;tbl_Competitors[[#This Row],[Radius (Km)]],"Outside Radius","Within Radius")</f>
        <v>Outside Radius</v>
      </c>
      <c r="P67" s="440">
        <v>11</v>
      </c>
      <c r="Q67" s="178">
        <f>IFERROR(--SUBSTITUTE(TRIM(LEFT(SUBSTITUTE(tbl_Competitors[[#This Row],[Estimated Capacity (m³/month)]],"–","-"),FIND("-",SUBSTITUTE(tbl_Competitors[[#This Row],[Estimated Capacity (m³/month)]],"–","-"))-1)),",",""),"Invalid Format")</f>
        <v>2500</v>
      </c>
      <c r="R67" s="178">
        <f>IFERROR(--SUBSTITUTE(TRIM(MID(SUBSTITUTE(tbl_Competitors[[#This Row],[Estimated Capacity (m³/month)]],"–","-"),FIND("-",SUBSTITUTE(tbl_Competitors[[#This Row],[Estimated Capacity (m³/month)]],"–","-"))+1,99)),",",""),"Invalid Format")</f>
        <v>3500</v>
      </c>
      <c r="S67" s="178">
        <f>IFERROR(AVERAGE(tbl_Competitors[[#This Row],[Capacity Min]],tbl_Competitors[[#This Row],[Capacity Max]]),"")</f>
        <v>3000</v>
      </c>
      <c r="T67" s="179">
        <f>IF(tbl_Competitors[[#This Row],[Capacity Midpoint]]=0,"",(tbl_Competitors[[#This Row],[Capacity Max]]-tbl_Competitors[[#This Row],[Capacity Min]])/tbl_Competitors[[#This Row],[Capacity Midpoint]])</f>
        <v>0.33333333333333331</v>
      </c>
      <c r="U67" s="178">
        <f>IFERROR(tbl_Competitors[[#This Row],[Capacity Midpoint]]*12,"")</f>
        <v>36000</v>
      </c>
      <c r="V67" s="178">
        <f>IFERROR(SUMIFS(tbl_Competitors[Capacity Midpoint],tbl_Competitors[Zone],tbl_Competitors[[#This Row],[Zone]]),"")</f>
        <v>53000</v>
      </c>
      <c r="W67" s="179">
        <f>IFERROR(tbl_Competitors[[#This Row],[Capacity Midpoint]]/tbl_Competitors[[#This Row],[Zone Capacity Total]],"")</f>
        <v>5.6603773584905662E-2</v>
      </c>
      <c r="X67" s="179">
        <f>IFERROR(SUMIFS(tbl_Competitors[Estimated Market Share %],tbl_Competitors[Zone],tbl_Competitors[[#This Row],[Zone]]),"")</f>
        <v>9.5452498874380898E-2</v>
      </c>
      <c r="Y67" s="180"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67" s="302">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4</v>
      </c>
      <c r="AA67" s="180">
        <f>IF(tbl_Competitors[[#This Row],[Strategic Threat Level]]="High",3,IF(tbl_Competitors[[#This Row],[Strategic Threat Level]]="Medium",2,IF(tbl_Competitors[[#This Row],[Strategic Threat Level]]="Low",1,"")))</f>
        <v>3</v>
      </c>
      <c r="AB67" s="180" t="str">
        <f>IF(tbl_Competitors[[#This Row],[Strategic Threat Level]]="High","Yes","No")</f>
        <v>Yes</v>
      </c>
      <c r="AC67" s="180" t="str">
        <f>IF(OR(tbl_Competitors[[#This Row],[Pricing Level]]="Lowest",tbl_Competitors[[#This Row],[Pricing Level]]="Low-Cost",tbl_Competitors[[#This Row],[Pricing Level]]="Cost-Effective"),"Yes","No")</f>
        <v>Yes</v>
      </c>
      <c r="AD67" s="180" t="str">
        <f>IF(tbl_Competitors[[#This Row],[Commercial / Captive Flag]]="Captive / Project-Based","Captive - Exclude from Open Market Share",IF(tbl_Competitors[[#This Row],[Estimated Market Share %]]="","Needs Validation",IF(tbl_Competitors[[#This Row],[Zone Market Share Coverage %]]&gt;1.05,"Zone Share Exceeds 100%","OK")))</f>
        <v>OK</v>
      </c>
      <c r="AE67" s="180" t="str">
        <f>IF(OR(tbl_Competitors[[#This Row],[Capacity Min]]="Invalid Format",tbl_Competitors[[#This Row],[Capacity Max]]="Invalid Format"),"Needs Capacity Validation",IF(tbl_Competitors[[#This Row],[Capacity Min]]&gt;tbl_Competitors[[#This Row],[Capacity Max]],"Capacity Range Error","OK"))</f>
        <v>OK</v>
      </c>
      <c r="AF67"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High Priority</v>
      </c>
      <c r="AG67" s="226" t="s">
        <v>3934</v>
      </c>
      <c r="AH67" s="180" t="s">
        <v>3951</v>
      </c>
    </row>
    <row r="68" spans="1:34" ht="12" customHeight="1">
      <c r="A68" s="28" t="s">
        <v>38</v>
      </c>
      <c r="B68" s="24" t="s">
        <v>3323</v>
      </c>
      <c r="C68" s="45" t="s">
        <v>3392</v>
      </c>
      <c r="D68" s="407" t="s">
        <v>3578</v>
      </c>
      <c r="E68" s="46" t="s">
        <v>3513</v>
      </c>
      <c r="F68" s="81">
        <f>tbl_Competitors[[#This Row],[Annual Capacity]]/SUM(tbl_Competitors[Annual Capacity])</f>
        <v>3.6019810895992796E-3</v>
      </c>
      <c r="G68" s="46" t="s">
        <v>3514</v>
      </c>
      <c r="H68" s="50" t="s">
        <v>3579</v>
      </c>
      <c r="I68" s="50" t="s">
        <v>3580</v>
      </c>
      <c r="J68" s="19" t="s">
        <v>3423</v>
      </c>
      <c r="K68" s="218">
        <v>1</v>
      </c>
      <c r="L68" s="428">
        <v>21.116700000000002</v>
      </c>
      <c r="M68" s="428">
        <v>73.400000000000006</v>
      </c>
      <c r="N68" s="434">
        <v>53.9</v>
      </c>
      <c r="O68" s="219" t="str">
        <f>IF(tbl_Competitors[[#This Row],[Distance from Proposed Plant (km)]]&gt;tbl_Competitors[[#This Row],[Radius (Km)]],"Outside Radius","Within Radius")</f>
        <v>Outside Radius</v>
      </c>
      <c r="P68" s="440">
        <v>8</v>
      </c>
      <c r="Q68" s="178">
        <f>IFERROR(--SUBSTITUTE(TRIM(LEFT(SUBSTITUTE(tbl_Competitors[[#This Row],[Estimated Capacity (m³/month)]],"–","-"),FIND("-",SUBSTITUTE(tbl_Competitors[[#This Row],[Estimated Capacity (m³/month)]],"–","-"))-1)),",",""),"Invalid Format")</f>
        <v>1500</v>
      </c>
      <c r="R68" s="178">
        <f>IFERROR(--SUBSTITUTE(TRIM(MID(SUBSTITUTE(tbl_Competitors[[#This Row],[Estimated Capacity (m³/month)]],"–","-"),FIND("-",SUBSTITUTE(tbl_Competitors[[#This Row],[Estimated Capacity (m³/month)]],"–","-"))+1,99)),",",""),"Invalid Format")</f>
        <v>2500</v>
      </c>
      <c r="S68" s="178">
        <f>IFERROR(AVERAGE(tbl_Competitors[[#This Row],[Capacity Min]],tbl_Competitors[[#This Row],[Capacity Max]]),"")</f>
        <v>2000</v>
      </c>
      <c r="T68" s="179">
        <f>IF(tbl_Competitors[[#This Row],[Capacity Midpoint]]=0,"",(tbl_Competitors[[#This Row],[Capacity Max]]-tbl_Competitors[[#This Row],[Capacity Min]])/tbl_Competitors[[#This Row],[Capacity Midpoint]])</f>
        <v>0.5</v>
      </c>
      <c r="U68" s="178">
        <f>IFERROR(tbl_Competitors[[#This Row],[Capacity Midpoint]]*12,"")</f>
        <v>24000</v>
      </c>
      <c r="V68" s="178">
        <f>IFERROR(SUMIFS(tbl_Competitors[Capacity Midpoint],tbl_Competitors[Zone],tbl_Competitors[[#This Row],[Zone]]),"")</f>
        <v>53000</v>
      </c>
      <c r="W68" s="179">
        <f>IFERROR(tbl_Competitors[[#This Row],[Capacity Midpoint]]/tbl_Competitors[[#This Row],[Zone Capacity Total]],"")</f>
        <v>3.7735849056603772E-2</v>
      </c>
      <c r="X68" s="179">
        <f>IFERROR(SUMIFS(tbl_Competitors[Estimated Market Share %],tbl_Competitors[Zone],tbl_Competitors[[#This Row],[Zone]]),"")</f>
        <v>9.5452498874380898E-2</v>
      </c>
      <c r="Y68" s="180"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68" s="302">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5</v>
      </c>
      <c r="AA68" s="180">
        <f>IF(tbl_Competitors[[#This Row],[Strategic Threat Level]]="High",3,IF(tbl_Competitors[[#This Row],[Strategic Threat Level]]="Medium",2,IF(tbl_Competitors[[#This Row],[Strategic Threat Level]]="Low",1,"")))</f>
        <v>3</v>
      </c>
      <c r="AB68" s="180" t="str">
        <f>IF(tbl_Competitors[[#This Row],[Strategic Threat Level]]="High","Yes","No")</f>
        <v>Yes</v>
      </c>
      <c r="AC68" s="180" t="str">
        <f>IF(OR(tbl_Competitors[[#This Row],[Pricing Level]]="Lowest",tbl_Competitors[[#This Row],[Pricing Level]]="Low-Cost",tbl_Competitors[[#This Row],[Pricing Level]]="Cost-Effective"),"Yes","No")</f>
        <v>Yes</v>
      </c>
      <c r="AD68" s="180" t="str">
        <f>IF(tbl_Competitors[[#This Row],[Commercial / Captive Flag]]="Captive / Project-Based","Captive - Exclude from Open Market Share",IF(tbl_Competitors[[#This Row],[Estimated Market Share %]]="","Needs Validation",IF(tbl_Competitors[[#This Row],[Zone Market Share Coverage %]]&gt;1.05,"Zone Share Exceeds 100%","OK")))</f>
        <v>OK</v>
      </c>
      <c r="AE68" s="180" t="str">
        <f>IF(OR(tbl_Competitors[[#This Row],[Capacity Min]]="Invalid Format",tbl_Competitors[[#This Row],[Capacity Max]]="Invalid Format"),"Needs Capacity Validation",IF(tbl_Competitors[[#This Row],[Capacity Min]]&gt;tbl_Competitors[[#This Row],[Capacity Max]],"Capacity Range Error","OK"))</f>
        <v>OK</v>
      </c>
      <c r="AF68"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High Priority</v>
      </c>
      <c r="AG68" s="226" t="s">
        <v>3934</v>
      </c>
      <c r="AH68" s="180" t="s">
        <v>3951</v>
      </c>
    </row>
    <row r="69" spans="1:34" ht="12" customHeight="1">
      <c r="A69" s="28" t="s">
        <v>38</v>
      </c>
      <c r="B69" s="24" t="s">
        <v>3322</v>
      </c>
      <c r="C69" s="45" t="s">
        <v>3393</v>
      </c>
      <c r="D69" s="407" t="s">
        <v>3581</v>
      </c>
      <c r="E69" s="46" t="s">
        <v>3440</v>
      </c>
      <c r="F69" s="81">
        <f>tbl_Competitors[[#This Row],[Annual Capacity]]/SUM(tbl_Competitors[Annual Capacity])</f>
        <v>2.7014858171994596E-3</v>
      </c>
      <c r="G69" s="46" t="s">
        <v>3514</v>
      </c>
      <c r="H69" s="50" t="s">
        <v>3582</v>
      </c>
      <c r="I69" s="50" t="s">
        <v>3583</v>
      </c>
      <c r="J69" s="19" t="s">
        <v>3423</v>
      </c>
      <c r="K69" s="218">
        <v>1</v>
      </c>
      <c r="L69" s="428">
        <v>21.25</v>
      </c>
      <c r="M69" s="428">
        <v>73.650000000000006</v>
      </c>
      <c r="N69" s="434">
        <v>81.8</v>
      </c>
      <c r="O69" s="219" t="str">
        <f>IF(tbl_Competitors[[#This Row],[Distance from Proposed Plant (km)]]&gt;tbl_Competitors[[#This Row],[Radius (Km)]],"Outside Radius","Within Radius")</f>
        <v>Outside Radius</v>
      </c>
      <c r="P69" s="440">
        <v>10</v>
      </c>
      <c r="Q69" s="178">
        <f>IFERROR(--SUBSTITUTE(TRIM(LEFT(SUBSTITUTE(tbl_Competitors[[#This Row],[Estimated Capacity (m³/month)]],"–","-"),FIND("-",SUBSTITUTE(tbl_Competitors[[#This Row],[Estimated Capacity (m³/month)]],"–","-"))-1)),",",""),"Invalid Format")</f>
        <v>1000</v>
      </c>
      <c r="R69" s="178">
        <f>IFERROR(--SUBSTITUTE(TRIM(MID(SUBSTITUTE(tbl_Competitors[[#This Row],[Estimated Capacity (m³/month)]],"–","-"),FIND("-",SUBSTITUTE(tbl_Competitors[[#This Row],[Estimated Capacity (m³/month)]],"–","-"))+1,99)),",",""),"Invalid Format")</f>
        <v>2000</v>
      </c>
      <c r="S69" s="178">
        <f>IFERROR(AVERAGE(tbl_Competitors[[#This Row],[Capacity Min]],tbl_Competitors[[#This Row],[Capacity Max]]),"")</f>
        <v>1500</v>
      </c>
      <c r="T69" s="179">
        <f>IF(tbl_Competitors[[#This Row],[Capacity Midpoint]]=0,"",(tbl_Competitors[[#This Row],[Capacity Max]]-tbl_Competitors[[#This Row],[Capacity Min]])/tbl_Competitors[[#This Row],[Capacity Midpoint]])</f>
        <v>0.66666666666666663</v>
      </c>
      <c r="U69" s="178">
        <f>IFERROR(tbl_Competitors[[#This Row],[Capacity Midpoint]]*12,"")</f>
        <v>18000</v>
      </c>
      <c r="V69" s="178">
        <f>IFERROR(SUMIFS(tbl_Competitors[Capacity Midpoint],tbl_Competitors[Zone],tbl_Competitors[[#This Row],[Zone]]),"")</f>
        <v>53000</v>
      </c>
      <c r="W69" s="179">
        <f>IFERROR(tbl_Competitors[[#This Row],[Capacity Midpoint]]/tbl_Competitors[[#This Row],[Zone Capacity Total]],"")</f>
        <v>2.8301886792452831E-2</v>
      </c>
      <c r="X69" s="179">
        <f>IFERROR(SUMIFS(tbl_Competitors[Estimated Market Share %],tbl_Competitors[Zone],tbl_Competitors[[#This Row],[Zone]]),"")</f>
        <v>9.5452498874380898E-2</v>
      </c>
      <c r="Y69" s="180" t="str">
        <f>IF(OR(ISNUMBER(SEARCH("Captive",tbl_Competitors[[#This Row],[Market Position]])),tbl_Competitors[[#This Row],[Estimated Market Share %]]="N/A - Captive",tbl_Competitors[[#This Row],[Pricing Level]]="Internal Cost",tbl_Competitors[[#This Row],[Pricing Level]]="Captive"),"Captive / Project-Based","Commercial / Open Market")</f>
        <v>Commercial / Open Market</v>
      </c>
      <c r="Z69" s="302">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5</v>
      </c>
      <c r="AA69" s="180">
        <f>IF(tbl_Competitors[[#This Row],[Strategic Threat Level]]="High",3,IF(tbl_Competitors[[#This Row],[Strategic Threat Level]]="Medium",2,IF(tbl_Competitors[[#This Row],[Strategic Threat Level]]="Low",1,"")))</f>
        <v>3</v>
      </c>
      <c r="AB69" s="180" t="str">
        <f>IF(tbl_Competitors[[#This Row],[Strategic Threat Level]]="High","Yes","No")</f>
        <v>Yes</v>
      </c>
      <c r="AC69" s="180" t="str">
        <f>IF(OR(tbl_Competitors[[#This Row],[Pricing Level]]="Lowest",tbl_Competitors[[#This Row],[Pricing Level]]="Low-Cost",tbl_Competitors[[#This Row],[Pricing Level]]="Cost-Effective"),"Yes","No")</f>
        <v>Yes</v>
      </c>
      <c r="AD69" s="180" t="str">
        <f>IF(tbl_Competitors[[#This Row],[Commercial / Captive Flag]]="Captive / Project-Based","Captive - Exclude from Open Market Share",IF(tbl_Competitors[[#This Row],[Estimated Market Share %]]="","Needs Validation",IF(tbl_Competitors[[#This Row],[Zone Market Share Coverage %]]&gt;1.05,"Zone Share Exceeds 100%","OK")))</f>
        <v>OK</v>
      </c>
      <c r="AE69" s="180" t="str">
        <f>IF(OR(tbl_Competitors[[#This Row],[Capacity Min]]="Invalid Format",tbl_Competitors[[#This Row],[Capacity Max]]="Invalid Format"),"Needs Capacity Validation",IF(tbl_Competitors[[#This Row],[Capacity Min]]&gt;tbl_Competitors[[#This Row],[Capacity Max]],"Capacity Range Error","OK"))</f>
        <v>OK</v>
      </c>
      <c r="AF69"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High Priority</v>
      </c>
      <c r="AG69" s="226" t="s">
        <v>3934</v>
      </c>
      <c r="AH69" s="180" t="s">
        <v>3951</v>
      </c>
    </row>
    <row r="70" spans="1:34" ht="12" customHeight="1">
      <c r="A70" s="53" t="s">
        <v>38</v>
      </c>
      <c r="B70" s="54" t="s">
        <v>3331</v>
      </c>
      <c r="C70" s="55" t="s">
        <v>3394</v>
      </c>
      <c r="D70" s="408" t="s">
        <v>3608</v>
      </c>
      <c r="E70" s="56" t="s">
        <v>3517</v>
      </c>
      <c r="F70" s="152">
        <f>tbl_Competitors[[#This Row],[Annual Capacity]]/SUM(tbl_Competitors[Annual Capacity])</f>
        <v>3.6019810895992793E-2</v>
      </c>
      <c r="G70" s="56" t="s">
        <v>3518</v>
      </c>
      <c r="H70" s="57" t="s">
        <v>3584</v>
      </c>
      <c r="I70" s="57" t="s">
        <v>3560</v>
      </c>
      <c r="J70" s="58" t="s">
        <v>3397</v>
      </c>
      <c r="K70" s="220">
        <v>1</v>
      </c>
      <c r="L70" s="429">
        <v>21.166699999999999</v>
      </c>
      <c r="M70" s="429">
        <v>73.566699999999997</v>
      </c>
      <c r="N70" s="435">
        <v>71.7</v>
      </c>
      <c r="O70" s="221" t="str">
        <f>IF(tbl_Competitors[[#This Row],[Distance from Proposed Plant (km)]]&gt;tbl_Competitors[[#This Row],[Radius (Km)]],"Outside Radius","Within Radius")</f>
        <v>Within Radius</v>
      </c>
      <c r="P70" s="441" t="s">
        <v>3683</v>
      </c>
      <c r="Q70" s="178">
        <f>IFERROR(--SUBSTITUTE(TRIM(LEFT(SUBSTITUTE(tbl_Competitors[[#This Row],[Estimated Capacity (m³/month)]],"–","-"),FIND("-",SUBSTITUTE(tbl_Competitors[[#This Row],[Estimated Capacity (m³/month)]],"–","-"))-1)),",",""),"Invalid Format")</f>
        <v>15000</v>
      </c>
      <c r="R70" s="178">
        <f>IFERROR(--SUBSTITUTE(TRIM(MID(SUBSTITUTE(tbl_Competitors[[#This Row],[Estimated Capacity (m³/month)]],"–","-"),FIND("-",SUBSTITUTE(tbl_Competitors[[#This Row],[Estimated Capacity (m³/month)]],"–","-"))+1,99)),",",""),"Invalid Format")</f>
        <v>25000</v>
      </c>
      <c r="S70" s="178">
        <f>IFERROR(AVERAGE(tbl_Competitors[[#This Row],[Capacity Min]],tbl_Competitors[[#This Row],[Capacity Max]]),"")</f>
        <v>20000</v>
      </c>
      <c r="T70" s="179">
        <f>IF(tbl_Competitors[[#This Row],[Capacity Midpoint]]=0,"",(tbl_Competitors[[#This Row],[Capacity Max]]-tbl_Competitors[[#This Row],[Capacity Min]])/tbl_Competitors[[#This Row],[Capacity Midpoint]])</f>
        <v>0.5</v>
      </c>
      <c r="U70" s="178">
        <f>IFERROR(tbl_Competitors[[#This Row],[Capacity Midpoint]]*12,"")</f>
        <v>240000</v>
      </c>
      <c r="V70" s="178">
        <f>IFERROR(SUMIFS(tbl_Competitors[Capacity Midpoint],tbl_Competitors[Zone],tbl_Competitors[[#This Row],[Zone]]),"")</f>
        <v>53000</v>
      </c>
      <c r="W70" s="179">
        <f>IFERROR(tbl_Competitors[[#This Row],[Capacity Midpoint]]/tbl_Competitors[[#This Row],[Zone Capacity Total]],"")</f>
        <v>0.37735849056603776</v>
      </c>
      <c r="X70" s="179">
        <f>IFERROR(SUMIFS(tbl_Competitors[Estimated Market Share %],tbl_Competitors[Zone],tbl_Competitors[[#This Row],[Zone]]),"")</f>
        <v>9.5452498874380898E-2</v>
      </c>
      <c r="Y70" s="180" t="str">
        <f>IF(OR(ISNUMBER(SEARCH("Captive",tbl_Competitors[[#This Row],[Market Position]])),tbl_Competitors[[#This Row],[Estimated Market Share %]]="N/A - Captive",tbl_Competitors[[#This Row],[Pricing Level]]="Internal Cost",tbl_Competitors[[#This Row],[Pricing Level]]="Captive"),"Captive / Project-Based","Commercial / Open Market")</f>
        <v>Captive / Project-Based</v>
      </c>
      <c r="Z70" s="302" t="str">
        <f>IF(OR(tbl_Competitors[[#This Row],[Pricing Level]]="Lowest",tbl_Competitors[[#This Row],[Pricing Level]]="Low-Cost"),5,IF(OR(tbl_Competitors[[#This Row],[Pricing Level]]="Cost-Effective",tbl_Competitors[[#This Row],[Pricing Level]]="Competitive"),4,IF(OR(tbl_Competitors[[#This Row],[Pricing Level]]="Market Rate",tbl_Competitors[[#This Row],[Pricing Level]]="Mid"),3,IF(tbl_Competitors[[#This Row],[Pricing Level]]="Mid-Premium",2,IF(tbl_Competitors[[#This Row],[Pricing Level]]="Premium",1,"0")))))</f>
        <v>0</v>
      </c>
      <c r="AA70" s="180">
        <f>IF(tbl_Competitors[[#This Row],[Strategic Threat Level]]="High",3,IF(tbl_Competitors[[#This Row],[Strategic Threat Level]]="Medium",2,IF(tbl_Competitors[[#This Row],[Strategic Threat Level]]="Low",1,"")))</f>
        <v>1</v>
      </c>
      <c r="AB70" s="180" t="str">
        <f>IF(tbl_Competitors[[#This Row],[Strategic Threat Level]]="High","Yes","No")</f>
        <v>No</v>
      </c>
      <c r="AC70" s="180" t="str">
        <f>IF(OR(tbl_Competitors[[#This Row],[Pricing Level]]="Lowest",tbl_Competitors[[#This Row],[Pricing Level]]="Low-Cost",tbl_Competitors[[#This Row],[Pricing Level]]="Cost-Effective"),"Yes","No")</f>
        <v>No</v>
      </c>
      <c r="AD70" s="226" t="str">
        <f>IF(tbl_Competitors[[#This Row],[Commercial / Captive Flag]]="Captive / Project-Based","Captive - Exclude from Open Market Share",IF(tbl_Competitors[[#This Row],[Estimated Market Share %]]="","Needs Validation",IF(tbl_Competitors[[#This Row],[Zone Market Share Coverage %]]&gt;1.05,"Zone Share Exceeds 100%","OK")))</f>
        <v>Captive - Exclude from Open Market Share</v>
      </c>
      <c r="AE70" s="180" t="str">
        <f>IF(OR(tbl_Competitors[[#This Row],[Capacity Min]]="Invalid Format",tbl_Competitors[[#This Row],[Capacity Max]]="Invalid Format"),"Needs Capacity Validation",IF(tbl_Competitors[[#This Row],[Capacity Min]]&gt;tbl_Competitors[[#This Row],[Capacity Max]],"Capacity Range Error","OK"))</f>
        <v>OK</v>
      </c>
      <c r="AF70" s="164" t="str">
        <f>IF(tbl_Competitors[[#This Row],[Commercial / Captive Flag]]="Captive / Project-Based","Monitor",IF(AND(tbl_Competitors[[#This Row],[Threat Score]]=3,tbl_Competitors[[#This Row],[Pricing Pressure Score]]&gt;=4),"High Priority",IF(OR(tbl_Competitors[[#This Row],[Threat Score]]=3,tbl_Competitors[[#This Row],[Estimated Market Share %]]&gt;=10%),"Priority","Monitor")))</f>
        <v>Monitor</v>
      </c>
      <c r="AG70" s="227" t="s">
        <v>3942</v>
      </c>
      <c r="AH70" s="180" t="s">
        <v>3951</v>
      </c>
    </row>
    <row r="72" spans="1:34" ht="21">
      <c r="A72" s="486" t="s">
        <v>54</v>
      </c>
      <c r="B72" s="486"/>
      <c r="E72" s="488" t="s">
        <v>49</v>
      </c>
      <c r="F72" s="488"/>
    </row>
    <row r="73" spans="1:34">
      <c r="A73" s="83" t="s">
        <v>56</v>
      </c>
      <c r="B73" s="76" t="s">
        <v>57</v>
      </c>
      <c r="E73" s="59" t="s">
        <v>3687</v>
      </c>
      <c r="F73" s="86">
        <f>COUNTA(tbl_Competitors[Competitor])</f>
        <v>66</v>
      </c>
    </row>
    <row r="74" spans="1:34" ht="32.5" customHeight="1">
      <c r="A74" s="62" t="s">
        <v>51</v>
      </c>
      <c r="B74" s="82" t="s">
        <v>3685</v>
      </c>
      <c r="E74" s="59" t="s">
        <v>3688</v>
      </c>
      <c r="F74" s="86">
        <f>COUNTIF(tbl_Competitors[Strategic Threat Level],"High")</f>
        <v>24</v>
      </c>
    </row>
    <row r="75" spans="1:34" ht="30" customHeight="1">
      <c r="A75" s="63" t="s">
        <v>52</v>
      </c>
      <c r="B75" s="82" t="s">
        <v>3686</v>
      </c>
      <c r="E75" s="59" t="s">
        <v>3689</v>
      </c>
      <c r="F75" s="86">
        <f>COUNTIF(tbl_Competitors[Strategic Threat Level],"Medium")</f>
        <v>26</v>
      </c>
    </row>
    <row r="76" spans="1:34" ht="14" customHeight="1">
      <c r="A76" s="63" t="s">
        <v>63</v>
      </c>
      <c r="B76" s="82" t="s">
        <v>3609</v>
      </c>
      <c r="E76" s="59" t="s">
        <v>3690</v>
      </c>
      <c r="F76" s="86">
        <f>COUNTIF(tbl_Competitors[Strategic Threat Level],"Low")</f>
        <v>16</v>
      </c>
    </row>
    <row r="77" spans="1:34" ht="14" customHeight="1">
      <c r="A77" s="64" t="s">
        <v>65</v>
      </c>
      <c r="B77" s="82" t="s">
        <v>3610</v>
      </c>
      <c r="E77" s="59" t="s">
        <v>3897</v>
      </c>
      <c r="F77" s="86">
        <f>COUNTIF(tbl_Competitors[Pricing Level],"Competitive")+COUNTIF(tbl_Competitors[Pricing Level],"Cost-Effective")+COUNTIF(tbl_Competitors[Pricing Level],"Low-Cost")+COUNTIF(tbl_Competitors[Pricing Level],"Lowest")</f>
        <v>39</v>
      </c>
    </row>
    <row r="78" spans="1:34" ht="14" customHeight="1">
      <c r="E78" s="59" t="s">
        <v>3691</v>
      </c>
      <c r="F78" s="86">
        <f>COUNTIF(tbl_Competitors[Estimated Market Share %],"N/A - Captive")</f>
        <v>0</v>
      </c>
    </row>
    <row r="79" spans="1:34" ht="14" customHeight="1"/>
    <row r="82" spans="1:16" ht="21">
      <c r="A82" s="84" t="s">
        <v>55</v>
      </c>
      <c r="B82" s="84"/>
      <c r="C82" s="84"/>
      <c r="E82" s="487" t="s">
        <v>68</v>
      </c>
      <c r="F82" s="487"/>
    </row>
    <row r="83" spans="1:16" ht="26">
      <c r="A83" s="65" t="s">
        <v>58</v>
      </c>
      <c r="B83" s="65" t="s">
        <v>59</v>
      </c>
      <c r="C83" s="85" t="s">
        <v>60</v>
      </c>
      <c r="E83" s="69" t="s">
        <v>69</v>
      </c>
      <c r="F83" s="87" t="s">
        <v>70</v>
      </c>
    </row>
    <row r="84" spans="1:16" ht="101.5" customHeight="1">
      <c r="A84" s="59" t="s">
        <v>61</v>
      </c>
      <c r="B84" s="19" t="s">
        <v>3423</v>
      </c>
      <c r="C84" s="66" t="s">
        <v>3611</v>
      </c>
      <c r="E84" s="59" t="s">
        <v>71</v>
      </c>
      <c r="F84" s="86" t="s">
        <v>3616</v>
      </c>
    </row>
    <row r="85" spans="1:16" ht="104.5" customHeight="1">
      <c r="A85" s="60" t="s">
        <v>62</v>
      </c>
      <c r="B85" s="18" t="s">
        <v>194</v>
      </c>
      <c r="C85" s="86" t="s">
        <v>3612</v>
      </c>
      <c r="E85" s="60" t="s">
        <v>72</v>
      </c>
      <c r="F85" s="68" t="s">
        <v>3617</v>
      </c>
    </row>
    <row r="86" spans="1:16" ht="122.5" customHeight="1">
      <c r="A86" s="60" t="s">
        <v>64</v>
      </c>
      <c r="B86" s="17" t="s">
        <v>3423</v>
      </c>
      <c r="C86" s="68" t="s">
        <v>3613</v>
      </c>
      <c r="E86" s="60" t="s">
        <v>73</v>
      </c>
      <c r="F86" s="68" t="s">
        <v>3618</v>
      </c>
    </row>
    <row r="87" spans="1:16" ht="86" customHeight="1">
      <c r="A87" s="60" t="s">
        <v>66</v>
      </c>
      <c r="B87" s="19" t="s">
        <v>194</v>
      </c>
      <c r="C87" s="68" t="s">
        <v>3614</v>
      </c>
      <c r="E87" s="61" t="s">
        <v>74</v>
      </c>
      <c r="F87" s="67" t="s">
        <v>3619</v>
      </c>
    </row>
    <row r="88" spans="1:16" ht="88" customHeight="1">
      <c r="A88" s="61" t="s">
        <v>67</v>
      </c>
      <c r="B88" s="18" t="s">
        <v>3423</v>
      </c>
      <c r="C88" s="67" t="s">
        <v>3615</v>
      </c>
    </row>
    <row r="91" spans="1:16" s="157" customFormat="1" ht="14" customHeight="1">
      <c r="A91" s="158" t="s">
        <v>3900</v>
      </c>
      <c r="B91" s="158"/>
      <c r="C91" s="158"/>
      <c r="D91" s="158"/>
      <c r="E91" s="158"/>
      <c r="F91" s="158"/>
      <c r="G91" s="158"/>
      <c r="H91" s="158"/>
      <c r="I91" s="158"/>
    </row>
    <row r="92" spans="1:16" ht="20.5" customHeight="1">
      <c r="A92" s="485" t="s">
        <v>3901</v>
      </c>
      <c r="B92" s="485"/>
      <c r="C92" s="485"/>
      <c r="D92" s="485"/>
      <c r="E92" s="485"/>
      <c r="F92" s="485"/>
      <c r="G92" s="485"/>
      <c r="H92" s="485"/>
      <c r="I92" s="485"/>
      <c r="J92" s="159"/>
      <c r="K92" s="159"/>
      <c r="L92" s="159"/>
      <c r="M92" s="159"/>
      <c r="N92" s="159"/>
      <c r="O92" s="159"/>
      <c r="P92" s="159"/>
    </row>
    <row r="93" spans="1:16" ht="2.5" customHeight="1"/>
    <row r="94" spans="1:16" ht="22" customHeight="1">
      <c r="A94" s="181" t="s">
        <v>3585</v>
      </c>
      <c r="B94" s="182" t="s">
        <v>3902</v>
      </c>
      <c r="C94" s="182" t="s">
        <v>3903</v>
      </c>
      <c r="D94" s="183" t="s">
        <v>3904</v>
      </c>
      <c r="E94" s="482" t="s">
        <v>3905</v>
      </c>
      <c r="F94" s="483"/>
      <c r="G94" s="483"/>
      <c r="H94" s="483"/>
      <c r="I94" s="484"/>
    </row>
    <row r="95" spans="1:16">
      <c r="A95" s="184" t="s">
        <v>34</v>
      </c>
      <c r="B95" s="199">
        <f>IFERROR(COUNTIF(tbl_Competitors[Zone],A95),"")</f>
        <v>19</v>
      </c>
      <c r="C95" s="200">
        <f>IFERROR(SUMIFS(tbl_Competitors[Estimated Market Share %],tbl_Competitors[Zone],A95),"")</f>
        <v>0.33498424133273308</v>
      </c>
      <c r="D95" s="200">
        <f>MAX(0,1-C95)</f>
        <v>0.66501575866726692</v>
      </c>
      <c r="E95" s="199" t="s">
        <v>3906</v>
      </c>
      <c r="F95" s="185"/>
      <c r="G95" s="185"/>
      <c r="H95" s="185"/>
      <c r="I95" s="186"/>
    </row>
    <row r="96" spans="1:16">
      <c r="A96" s="187" t="s">
        <v>35</v>
      </c>
      <c r="B96" s="201">
        <f>IFERROR(COUNTIF(tbl_Competitors[Zone],A96),"")</f>
        <v>13</v>
      </c>
      <c r="C96" s="202">
        <f>IFERROR(SUMIFS(tbl_Competitors[Estimated Market Share %],tbl_Competitors[Zone],A96),"")</f>
        <v>6.9338135974786122E-2</v>
      </c>
      <c r="D96" s="202">
        <f t="shared" ref="D96:D99" si="0">MAX(0,1-C96)</f>
        <v>0.93066186402521389</v>
      </c>
      <c r="E96" s="201" t="s">
        <v>3906</v>
      </c>
      <c r="F96" s="188"/>
      <c r="G96" s="188"/>
      <c r="H96" s="188"/>
      <c r="I96" s="189"/>
    </row>
    <row r="97" spans="1:9">
      <c r="A97" s="190" t="s">
        <v>36</v>
      </c>
      <c r="B97" s="203">
        <f>IFERROR(COUNTIF(tbl_Competitors[Zone],A97),"")</f>
        <v>11</v>
      </c>
      <c r="C97" s="204">
        <f>IFERROR(SUMIFS(tbl_Competitors[Estimated Market Share %],tbl_Competitors[Zone],A97),"")</f>
        <v>0.27735254389914454</v>
      </c>
      <c r="D97" s="204">
        <f t="shared" si="0"/>
        <v>0.72264745610085546</v>
      </c>
      <c r="E97" s="203" t="s">
        <v>3906</v>
      </c>
      <c r="F97" s="191"/>
      <c r="G97" s="191"/>
      <c r="H97" s="191"/>
      <c r="I97" s="192"/>
    </row>
    <row r="98" spans="1:9">
      <c r="A98" s="193" t="s">
        <v>37</v>
      </c>
      <c r="B98" s="205">
        <f>IFERROR(COUNTIF(tbl_Competitors[Zone],A98),"")</f>
        <v>14</v>
      </c>
      <c r="C98" s="206">
        <f>IFERROR(SUMIFS(tbl_Competitors[Estimated Market Share %],tbl_Competitors[Zone],A98),"")</f>
        <v>0.22287257991895545</v>
      </c>
      <c r="D98" s="206">
        <f t="shared" si="0"/>
        <v>0.77712742008104452</v>
      </c>
      <c r="E98" s="205" t="s">
        <v>3907</v>
      </c>
      <c r="F98" s="194"/>
      <c r="G98" s="194"/>
      <c r="H98" s="194"/>
      <c r="I98" s="195"/>
    </row>
    <row r="99" spans="1:9">
      <c r="A99" s="196" t="s">
        <v>38</v>
      </c>
      <c r="B99" s="207">
        <f>IFERROR(COUNTIF(tbl_Competitors[Zone],A99),"")</f>
        <v>9</v>
      </c>
      <c r="C99" s="208">
        <f>IFERROR(SUMIFS(tbl_Competitors[Estimated Market Share %],tbl_Competitors[Zone],A99),"")</f>
        <v>9.5452498874380898E-2</v>
      </c>
      <c r="D99" s="208">
        <f t="shared" si="0"/>
        <v>0.9045475011256191</v>
      </c>
      <c r="E99" s="207" t="s">
        <v>3907</v>
      </c>
      <c r="F99" s="197"/>
      <c r="G99" s="197"/>
      <c r="H99" s="197"/>
      <c r="I99" s="198"/>
    </row>
    <row r="101" spans="1:9">
      <c r="A101" s="153" t="s">
        <v>139</v>
      </c>
      <c r="B101" s="154" t="s">
        <v>3898</v>
      </c>
    </row>
    <row r="102" spans="1:9">
      <c r="A102" s="155" t="s">
        <v>3397</v>
      </c>
      <c r="B102" s="156">
        <f>IFERROR(COUNTIF(tbl_Competitors[Strategic Threat Level],A102),"")</f>
        <v>16</v>
      </c>
    </row>
    <row r="103" spans="1:9">
      <c r="A103" s="155" t="s">
        <v>194</v>
      </c>
      <c r="B103" s="156">
        <f>IFERROR(COUNTIF(tbl_Competitors[Strategic Threat Level],A103),"")</f>
        <v>26</v>
      </c>
    </row>
    <row r="104" spans="1:9">
      <c r="A104" s="155" t="s">
        <v>3423</v>
      </c>
      <c r="B104" s="156">
        <f>IFERROR(COUNTIF(tbl_Competitors[Strategic Threat Level],A104),"")</f>
        <v>24</v>
      </c>
    </row>
    <row r="105" spans="1:9">
      <c r="A105" s="155" t="s">
        <v>3899</v>
      </c>
      <c r="B105" s="156">
        <f>IFERROR(COUNTIF(tbl_Competitors[Strategic Threat Level],A105),"")</f>
        <v>0</v>
      </c>
    </row>
  </sheetData>
  <mergeCells count="7">
    <mergeCell ref="A1:AH1"/>
    <mergeCell ref="A2:AH2"/>
    <mergeCell ref="E94:I94"/>
    <mergeCell ref="A92:I92"/>
    <mergeCell ref="A72:B72"/>
    <mergeCell ref="E82:F82"/>
    <mergeCell ref="E72:F72"/>
  </mergeCells>
  <conditionalFormatting sqref="E5:E70">
    <cfRule type="dataBar" priority="109">
      <dataBar>
        <cfvo type="min"/>
        <cfvo type="max"/>
        <color rgb="FFFF6600"/>
      </dataBar>
    </cfRule>
    <cfRule type="dataBar" priority="110">
      <dataBar>
        <cfvo type="min"/>
        <cfvo type="max"/>
        <color rgb="FFFF6600"/>
      </dataBar>
      <extLst>
        <ext xmlns:x14="http://schemas.microsoft.com/office/spreadsheetml/2009/9/main" uri="{B025F937-C7B1-47D3-B67F-A62EFF666E3E}">
          <x14:id>{A56AF8D8-B323-8891-8F23-45D5AA09D8F2}</x14:id>
        </ext>
      </extLst>
    </cfRule>
  </conditionalFormatting>
  <conditionalFormatting sqref="AF5:AF70">
    <cfRule type="expression" dxfId="190" priority="2">
      <formula>$AF5="Priority"</formula>
    </cfRule>
    <cfRule type="expression" dxfId="189" priority="3">
      <formula>$AF5="Monitor"</formula>
    </cfRule>
  </conditionalFormatting>
  <conditionalFormatting sqref="AF5:AF70">
    <cfRule type="expression" dxfId="188" priority="1">
      <formula>$AF5="High Priority"</formula>
    </cfRule>
  </conditionalFormatting>
  <conditionalFormatting sqref="B84:B88">
    <cfRule type="expression" dxfId="187" priority="111" stopIfTrue="1">
      <formula>B84="High"</formula>
    </cfRule>
    <cfRule type="expression" dxfId="186" priority="112" stopIfTrue="1">
      <formula>B84="Medium"</formula>
    </cfRule>
    <cfRule type="expression" dxfId="185" priority="113" stopIfTrue="1">
      <formula>B84="Low"</formula>
    </cfRule>
  </conditionalFormatting>
  <conditionalFormatting sqref="J5:P70">
    <cfRule type="expression" dxfId="184" priority="114" stopIfTrue="1">
      <formula>J5="High"</formula>
    </cfRule>
    <cfRule type="expression" dxfId="183" priority="115" stopIfTrue="1">
      <formula>J5="Medium"</formula>
    </cfRule>
    <cfRule type="expression" dxfId="182" priority="116" stopIfTrue="1">
      <formula>J5="Low"</formula>
    </cfRule>
  </conditionalFormatting>
  <dataValidations count="1">
    <dataValidation type="list" showErrorMessage="1" errorTitle="Invalid entry" error="Select a value from the dropdown list." sqref="B84:B88 J5:J70" xr:uid="{969C4B51-017D-4DE8-A1B6-84170254787F}">
      <formula1>$BZ$2:$BZ$4</formula1>
    </dataValidation>
  </dataValidations>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A56AF8D8-B323-8891-8F23-45D5AA09D8F2}">
            <x14:dataBar>
              <x14:cfvo type="min"/>
              <x14:cfvo type="max"/>
              <x14:negativeFillColor auto="1"/>
              <x14:axisColor auto="1"/>
            </x14:dataBar>
          </x14:cfRule>
          <xm:sqref>E5:E70</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theme="7" tint="0.39997558519241921"/>
  </sheetPr>
  <dimension ref="A1:AB86"/>
  <sheetViews>
    <sheetView showGridLines="0" zoomScale="72" zoomScaleNormal="72" workbookViewId="0">
      <selection activeCell="H70" sqref="H70"/>
    </sheetView>
  </sheetViews>
  <sheetFormatPr defaultRowHeight="14"/>
  <cols>
    <col min="1" max="1" width="27.6640625" bestFit="1" customWidth="1"/>
    <col min="2" max="2" width="16.33203125" bestFit="1" customWidth="1"/>
    <col min="3" max="3" width="10.08203125" customWidth="1"/>
    <col min="4" max="4" width="13.75" customWidth="1"/>
    <col min="5" max="5" width="12.08203125" customWidth="1"/>
    <col min="6" max="6" width="34.58203125" customWidth="1"/>
    <col min="7" max="7" width="11.25" customWidth="1"/>
    <col min="8" max="8" width="13.58203125" customWidth="1"/>
    <col min="9" max="9" width="11.25" customWidth="1"/>
    <col min="10" max="10" width="14" customWidth="1"/>
    <col min="11" max="11" width="10.1640625" customWidth="1"/>
    <col min="12" max="12" width="11.58203125" customWidth="1"/>
    <col min="13" max="13" width="10.58203125" customWidth="1"/>
    <col min="14" max="14" width="11.25" customWidth="1"/>
    <col min="15" max="15" width="11.1640625" customWidth="1"/>
    <col min="16" max="16" width="13" customWidth="1"/>
    <col min="17" max="17" width="10.33203125" customWidth="1"/>
    <col min="18" max="18" width="12.83203125" customWidth="1"/>
    <col min="19" max="19" width="11.33203125" customWidth="1"/>
    <col min="20" max="20" width="13.33203125" customWidth="1"/>
    <col min="21" max="21" width="11.08203125" customWidth="1"/>
    <col min="22" max="22" width="11" customWidth="1"/>
    <col min="23" max="23" width="13.83203125" customWidth="1"/>
    <col min="24" max="24" width="16.33203125" customWidth="1"/>
    <col min="25" max="25" width="10.83203125" customWidth="1"/>
    <col min="26" max="26" width="10.1640625" customWidth="1"/>
    <col min="27" max="27" width="22.25" customWidth="1"/>
  </cols>
  <sheetData>
    <row r="1" spans="1:17" ht="20" customHeight="1">
      <c r="A1" s="473" t="s">
        <v>75</v>
      </c>
      <c r="B1" s="473" t="s">
        <v>75</v>
      </c>
      <c r="C1" s="473" t="s">
        <v>75</v>
      </c>
      <c r="D1" s="473" t="s">
        <v>75</v>
      </c>
      <c r="E1" s="473" t="s">
        <v>75</v>
      </c>
      <c r="F1" s="473" t="s">
        <v>75</v>
      </c>
      <c r="G1" s="473" t="s">
        <v>75</v>
      </c>
      <c r="H1" s="473" t="s">
        <v>75</v>
      </c>
      <c r="I1" s="491"/>
      <c r="J1" s="491"/>
      <c r="K1" s="491"/>
      <c r="L1" s="491"/>
      <c r="M1" s="491"/>
      <c r="N1" s="491"/>
      <c r="O1" s="491"/>
      <c r="P1" s="491"/>
      <c r="Q1" s="491"/>
    </row>
    <row r="2" spans="1:17" ht="16" customHeight="1">
      <c r="A2" s="474" t="s">
        <v>4086</v>
      </c>
      <c r="B2" s="475" t="s">
        <v>76</v>
      </c>
      <c r="C2" s="475" t="s">
        <v>76</v>
      </c>
      <c r="D2" s="475" t="s">
        <v>76</v>
      </c>
      <c r="E2" s="475" t="s">
        <v>76</v>
      </c>
      <c r="F2" s="475" t="s">
        <v>76</v>
      </c>
      <c r="G2" s="475" t="s">
        <v>76</v>
      </c>
      <c r="H2" s="475" t="s">
        <v>76</v>
      </c>
      <c r="I2" s="491"/>
      <c r="J2" s="491"/>
      <c r="K2" s="491"/>
      <c r="L2" s="491"/>
      <c r="M2" s="491"/>
      <c r="N2" s="491"/>
      <c r="O2" s="491"/>
      <c r="P2" s="491"/>
      <c r="Q2" s="491"/>
    </row>
    <row r="4" spans="1:17" s="230" customFormat="1" ht="27" customHeight="1">
      <c r="A4" s="492" t="s">
        <v>77</v>
      </c>
      <c r="B4" s="492" t="s">
        <v>77</v>
      </c>
      <c r="C4" s="492" t="s">
        <v>77</v>
      </c>
      <c r="D4" s="492" t="s">
        <v>77</v>
      </c>
      <c r="E4" s="492" t="s">
        <v>77</v>
      </c>
      <c r="F4" s="492" t="s">
        <v>77</v>
      </c>
    </row>
    <row r="5" spans="1:17" ht="25" customHeight="1">
      <c r="A5" s="386" t="s">
        <v>78</v>
      </c>
      <c r="B5" s="386" t="s">
        <v>79</v>
      </c>
      <c r="C5" s="386" t="s">
        <v>80</v>
      </c>
      <c r="D5" s="386" t="s">
        <v>81</v>
      </c>
      <c r="E5" s="386" t="s">
        <v>82</v>
      </c>
      <c r="F5" s="387" t="s">
        <v>110</v>
      </c>
    </row>
    <row r="6" spans="1:17" ht="15" customHeight="1">
      <c r="A6" s="1" t="s">
        <v>41</v>
      </c>
      <c r="B6" s="1" t="s">
        <v>83</v>
      </c>
      <c r="C6" s="306">
        <f>TAM_SAM_SOM!B27*Base_Scenario</f>
        <v>0.05</v>
      </c>
      <c r="D6" s="306">
        <f>C6*Optimistic_Scenario</f>
        <v>0.1</v>
      </c>
      <c r="E6" s="306">
        <f>C6*Pessimistic_Scenario</f>
        <v>0.03</v>
      </c>
      <c r="F6" s="317" t="s">
        <v>3623</v>
      </c>
    </row>
    <row r="7" spans="1:17" ht="15" customHeight="1">
      <c r="A7" s="1" t="s">
        <v>84</v>
      </c>
      <c r="B7" s="1" t="s">
        <v>85</v>
      </c>
      <c r="C7" s="307">
        <f>IFERROR(SUM(tbl_sam[Estimated Reachable Demand (m³)])*C6,"")</f>
        <v>2137196.62</v>
      </c>
      <c r="D7" s="307">
        <f>IFERROR(SUM(tbl_sam[Estimated Reachable Demand (m³)])*D6,"")</f>
        <v>4274393.24</v>
      </c>
      <c r="E7" s="307">
        <f>IFERROR(SUM(tbl_sam[Estimated Reachable Demand (m³)])*E6,"")</f>
        <v>1282317.9719999998</v>
      </c>
      <c r="F7" s="317" t="s">
        <v>3624</v>
      </c>
    </row>
    <row r="8" spans="1:17" ht="15" customHeight="1">
      <c r="A8" s="1" t="s">
        <v>14</v>
      </c>
      <c r="B8" s="1" t="s">
        <v>86</v>
      </c>
      <c r="C8" s="307">
        <f>IFERROR(SUM(tbl_sam[Reachable Market Value])*10000000/SUM(tbl_sam[Estimated Reachable Demand (m³)]),"")</f>
        <v>6069.4957303460533</v>
      </c>
      <c r="D8" s="307">
        <f>C8*1.05</f>
        <v>6372.9705168633564</v>
      </c>
      <c r="E8" s="307">
        <f>C8*0.95</f>
        <v>5766.0209438287502</v>
      </c>
      <c r="F8" s="317" t="s">
        <v>3625</v>
      </c>
    </row>
    <row r="9" spans="1:17" ht="15" customHeight="1">
      <c r="A9" s="1" t="s">
        <v>87</v>
      </c>
      <c r="B9" s="1" t="s">
        <v>83</v>
      </c>
      <c r="C9" s="444">
        <v>0.7</v>
      </c>
      <c r="D9" s="308">
        <f>tbl_fin_assumptions[[#This Row],[Base Case]]+15%</f>
        <v>0.85</v>
      </c>
      <c r="E9" s="308">
        <f>tbl_fin_assumptions[[#This Row],[Base Case]]-10%</f>
        <v>0.6</v>
      </c>
      <c r="F9" s="317"/>
    </row>
    <row r="10" spans="1:17" ht="15" customHeight="1">
      <c r="A10" s="331" t="s">
        <v>4082</v>
      </c>
      <c r="B10" s="331" t="s">
        <v>83</v>
      </c>
      <c r="C10" s="445">
        <v>0.25</v>
      </c>
      <c r="D10" s="332">
        <f>tbl_fin_assumptions[[#This Row],[Base Case]]+5%</f>
        <v>0.3</v>
      </c>
      <c r="E10" s="332">
        <f>tbl_fin_assumptions[[#This Row],[Base Case]]-5%</f>
        <v>0.2</v>
      </c>
      <c r="F10" s="333" t="s">
        <v>4099</v>
      </c>
    </row>
    <row r="11" spans="1:17" ht="15" customHeight="1">
      <c r="A11" s="331" t="s">
        <v>4083</v>
      </c>
      <c r="B11" s="331" t="s">
        <v>83</v>
      </c>
      <c r="C11" s="445">
        <v>0.15</v>
      </c>
      <c r="D11" s="332">
        <f>tbl_fin_assumptions[[#This Row],[Base Case]]+5%</f>
        <v>0.2</v>
      </c>
      <c r="E11" s="332">
        <f>tbl_fin_assumptions[[#This Row],[Base Case]]-5%</f>
        <v>9.9999999999999992E-2</v>
      </c>
      <c r="F11" s="333" t="s">
        <v>4100</v>
      </c>
    </row>
    <row r="12" spans="1:17" ht="15" customHeight="1">
      <c r="A12" s="74" t="s">
        <v>88</v>
      </c>
      <c r="B12" s="1" t="s">
        <v>83</v>
      </c>
      <c r="C12" s="444">
        <v>0.12</v>
      </c>
      <c r="D12" s="308">
        <f>tbl_fin_assumptions[[#This Row],[Base Case]]-2%</f>
        <v>9.9999999999999992E-2</v>
      </c>
      <c r="E12" s="308">
        <f>tbl_fin_assumptions[[#This Row],[Base Case]]+3%</f>
        <v>0.15</v>
      </c>
      <c r="F12" s="317" t="s">
        <v>3626</v>
      </c>
    </row>
    <row r="15" spans="1:17" s="230" customFormat="1" ht="27" customHeight="1">
      <c r="A15" s="493" t="s">
        <v>89</v>
      </c>
      <c r="B15" s="493" t="s">
        <v>89</v>
      </c>
      <c r="C15" s="493" t="s">
        <v>89</v>
      </c>
      <c r="D15" s="493" t="s">
        <v>89</v>
      </c>
      <c r="E15" s="493" t="s">
        <v>89</v>
      </c>
      <c r="F15" s="493" t="s">
        <v>89</v>
      </c>
    </row>
    <row r="16" spans="1:17" ht="25.5" customHeight="1">
      <c r="A16" s="380" t="s">
        <v>78</v>
      </c>
      <c r="B16" s="380" t="s">
        <v>79</v>
      </c>
      <c r="C16" s="380" t="s">
        <v>80</v>
      </c>
      <c r="D16" s="380" t="s">
        <v>81</v>
      </c>
      <c r="E16" s="380" t="s">
        <v>82</v>
      </c>
      <c r="F16" s="381" t="s">
        <v>110</v>
      </c>
    </row>
    <row r="17" spans="1:6" ht="15" customHeight="1">
      <c r="A17" s="1" t="s">
        <v>90</v>
      </c>
      <c r="B17" s="1" t="s">
        <v>91</v>
      </c>
      <c r="C17" s="446">
        <v>2</v>
      </c>
      <c r="D17" s="363">
        <f>tbl_capex[[#This Row],[Base Case]]*0.95</f>
        <v>1.9</v>
      </c>
      <c r="E17" s="363">
        <f>tbl_capex[[#This Row],[Base Case]]*1.1</f>
        <v>2.2000000000000002</v>
      </c>
      <c r="F17" s="1"/>
    </row>
    <row r="18" spans="1:6" ht="15" customHeight="1">
      <c r="A18" s="1" t="s">
        <v>92</v>
      </c>
      <c r="B18" s="1" t="s">
        <v>91</v>
      </c>
      <c r="C18" s="446">
        <v>5</v>
      </c>
      <c r="D18" s="363">
        <f>tbl_capex[[#This Row],[Base Case]]*0.95</f>
        <v>4.75</v>
      </c>
      <c r="E18" s="363">
        <f>tbl_capex[[#This Row],[Base Case]]*1.1</f>
        <v>5.5</v>
      </c>
      <c r="F18" s="1"/>
    </row>
    <row r="19" spans="1:6" ht="15" customHeight="1">
      <c r="A19" s="1" t="s">
        <v>93</v>
      </c>
      <c r="B19" s="1" t="s">
        <v>91</v>
      </c>
      <c r="C19" s="446">
        <v>4</v>
      </c>
      <c r="D19" s="363">
        <f>tbl_capex[[#This Row],[Base Case]]*0.95</f>
        <v>3.8</v>
      </c>
      <c r="E19" s="363">
        <f>tbl_capex[[#This Row],[Base Case]]*1.1</f>
        <v>4.4000000000000004</v>
      </c>
      <c r="F19" s="1"/>
    </row>
    <row r="20" spans="1:6" ht="15" customHeight="1">
      <c r="A20" s="1" t="s">
        <v>94</v>
      </c>
      <c r="B20" s="1" t="s">
        <v>91</v>
      </c>
      <c r="C20" s="446">
        <v>2</v>
      </c>
      <c r="D20" s="363">
        <f>tbl_capex[[#This Row],[Base Case]]*0.95</f>
        <v>1.9</v>
      </c>
      <c r="E20" s="363">
        <f>tbl_capex[[#This Row],[Base Case]]*1.1</f>
        <v>2.2000000000000002</v>
      </c>
      <c r="F20" s="1"/>
    </row>
    <row r="21" spans="1:6" ht="15" customHeight="1">
      <c r="A21" s="1" t="s">
        <v>95</v>
      </c>
      <c r="B21" s="1" t="s">
        <v>91</v>
      </c>
      <c r="C21" s="446">
        <v>0.5</v>
      </c>
      <c r="D21" s="363">
        <f>tbl_capex[[#This Row],[Base Case]]*0.95</f>
        <v>0.47499999999999998</v>
      </c>
      <c r="E21" s="363">
        <f>tbl_capex[[#This Row],[Base Case]]*1.1</f>
        <v>0.55000000000000004</v>
      </c>
      <c r="F21" s="1"/>
    </row>
    <row r="22" spans="1:6" ht="15" customHeight="1">
      <c r="A22" s="1" t="s">
        <v>96</v>
      </c>
      <c r="B22" s="1" t="s">
        <v>91</v>
      </c>
      <c r="C22" s="446">
        <v>0.5</v>
      </c>
      <c r="D22" s="363">
        <f>tbl_capex[[#This Row],[Base Case]]*0.95</f>
        <v>0.47499999999999998</v>
      </c>
      <c r="E22" s="363">
        <f>tbl_capex[[#This Row],[Base Case]]*1.1</f>
        <v>0.55000000000000004</v>
      </c>
      <c r="F22" s="1"/>
    </row>
    <row r="23" spans="1:6" ht="15" customHeight="1">
      <c r="A23" s="1" t="s">
        <v>97</v>
      </c>
      <c r="B23" s="1" t="s">
        <v>91</v>
      </c>
      <c r="C23" s="446">
        <v>3</v>
      </c>
      <c r="D23" s="363">
        <f>tbl_capex[[#This Row],[Base Case]]*0.95</f>
        <v>2.8499999999999996</v>
      </c>
      <c r="E23" s="363">
        <f>tbl_capex[[#This Row],[Base Case]]*1.1</f>
        <v>3.3000000000000003</v>
      </c>
      <c r="F23" s="1"/>
    </row>
    <row r="24" spans="1:6" ht="15" customHeight="1">
      <c r="A24" s="1" t="s">
        <v>98</v>
      </c>
      <c r="B24" s="1" t="s">
        <v>91</v>
      </c>
      <c r="C24" s="364">
        <f>IF(COUNTA(C17:C23)=0,"",SUM(C17:C23))</f>
        <v>17</v>
      </c>
      <c r="D24" s="364">
        <f>IF(COUNTA(D17:D23)=0,"",SUM(D17:D23))</f>
        <v>16.149999999999999</v>
      </c>
      <c r="E24" s="364">
        <f>IF(COUNTA(E17:E23)=0,"",SUM(E17:E23))</f>
        <v>18.700000000000003</v>
      </c>
      <c r="F24" s="1"/>
    </row>
    <row r="27" spans="1:6" s="230" customFormat="1" ht="27" customHeight="1">
      <c r="A27" s="494" t="s">
        <v>100</v>
      </c>
      <c r="B27" s="494" t="s">
        <v>100</v>
      </c>
      <c r="C27" s="494" t="s">
        <v>100</v>
      </c>
      <c r="D27" s="494" t="s">
        <v>100</v>
      </c>
      <c r="E27" s="494" t="s">
        <v>100</v>
      </c>
      <c r="F27" s="494" t="s">
        <v>100</v>
      </c>
    </row>
    <row r="28" spans="1:6" ht="25.5" customHeight="1">
      <c r="A28" s="378" t="s">
        <v>78</v>
      </c>
      <c r="B28" s="378" t="s">
        <v>79</v>
      </c>
      <c r="C28" s="378" t="s">
        <v>80</v>
      </c>
      <c r="D28" s="378" t="s">
        <v>81</v>
      </c>
      <c r="E28" s="378" t="s">
        <v>82</v>
      </c>
      <c r="F28" s="379" t="s">
        <v>110</v>
      </c>
    </row>
    <row r="29" spans="1:6" ht="15" customHeight="1">
      <c r="A29" s="1" t="s">
        <v>101</v>
      </c>
      <c r="B29" s="1" t="s">
        <v>86</v>
      </c>
      <c r="C29" s="447">
        <v>2200</v>
      </c>
      <c r="D29" s="309">
        <f>tbl_opex[[#This Row],[Base Case]]*0.95</f>
        <v>2090</v>
      </c>
      <c r="E29" s="309">
        <f>tbl_opex[[#This Row],[Base Case]]*1.1</f>
        <v>2420</v>
      </c>
      <c r="F29" s="1"/>
    </row>
    <row r="30" spans="1:6" ht="15" customHeight="1">
      <c r="A30" s="1" t="s">
        <v>102</v>
      </c>
      <c r="B30" s="1" t="s">
        <v>86</v>
      </c>
      <c r="C30" s="447">
        <v>700</v>
      </c>
      <c r="D30" s="309">
        <f>tbl_opex[[#This Row],[Base Case]]*0.95</f>
        <v>665</v>
      </c>
      <c r="E30" s="309">
        <f>tbl_opex[[#This Row],[Base Case]]*1.1</f>
        <v>770.00000000000011</v>
      </c>
      <c r="F30" s="1"/>
    </row>
    <row r="31" spans="1:6" ht="15" customHeight="1">
      <c r="A31" s="1" t="s">
        <v>103</v>
      </c>
      <c r="B31" s="1" t="s">
        <v>86</v>
      </c>
      <c r="C31" s="447">
        <v>500</v>
      </c>
      <c r="D31" s="309">
        <f>tbl_opex[[#This Row],[Base Case]]*0.95</f>
        <v>475</v>
      </c>
      <c r="E31" s="309">
        <f>tbl_opex[[#This Row],[Base Case]]*1.1</f>
        <v>550</v>
      </c>
      <c r="F31" s="1"/>
    </row>
    <row r="32" spans="1:6" ht="15" customHeight="1">
      <c r="A32" s="1" t="s">
        <v>104</v>
      </c>
      <c r="B32" s="1" t="s">
        <v>86</v>
      </c>
      <c r="C32" s="447">
        <v>200</v>
      </c>
      <c r="D32" s="309">
        <f>tbl_opex[[#This Row],[Base Case]]*0.95</f>
        <v>190</v>
      </c>
      <c r="E32" s="309">
        <f>tbl_opex[[#This Row],[Base Case]]*1.1</f>
        <v>220.00000000000003</v>
      </c>
      <c r="F32" s="1"/>
    </row>
    <row r="33" spans="1:28" ht="15" customHeight="1">
      <c r="A33" s="1" t="s">
        <v>105</v>
      </c>
      <c r="B33" s="1" t="s">
        <v>86</v>
      </c>
      <c r="C33" s="447">
        <v>500</v>
      </c>
      <c r="D33" s="309">
        <f>tbl_opex[[#This Row],[Base Case]]*0.95</f>
        <v>475</v>
      </c>
      <c r="E33" s="309">
        <f>tbl_opex[[#This Row],[Base Case]]*1.1</f>
        <v>550</v>
      </c>
      <c r="F33" s="1"/>
    </row>
    <row r="34" spans="1:28" ht="15" customHeight="1">
      <c r="A34" s="1" t="s">
        <v>106</v>
      </c>
      <c r="B34" s="1" t="s">
        <v>86</v>
      </c>
      <c r="C34" s="447">
        <v>250</v>
      </c>
      <c r="D34" s="309">
        <f>tbl_opex[[#This Row],[Base Case]]*0.95</f>
        <v>237.5</v>
      </c>
      <c r="E34" s="309">
        <f>tbl_opex[[#This Row],[Base Case]]*1.1</f>
        <v>275</v>
      </c>
      <c r="F34" s="1"/>
    </row>
    <row r="35" spans="1:28" ht="15" customHeight="1">
      <c r="A35" s="1" t="s">
        <v>107</v>
      </c>
      <c r="B35" s="1" t="s">
        <v>86</v>
      </c>
      <c r="C35" s="447">
        <v>150</v>
      </c>
      <c r="D35" s="309">
        <f>tbl_opex[[#This Row],[Base Case]]*0.95</f>
        <v>142.5</v>
      </c>
      <c r="E35" s="309">
        <f>tbl_opex[[#This Row],[Base Case]]*1.1</f>
        <v>165</v>
      </c>
      <c r="F35" s="1"/>
    </row>
    <row r="36" spans="1:28" ht="15" customHeight="1">
      <c r="A36" s="1" t="s">
        <v>108</v>
      </c>
      <c r="B36" s="1" t="s">
        <v>86</v>
      </c>
      <c r="C36" s="447">
        <v>100</v>
      </c>
      <c r="D36" s="309">
        <f>tbl_opex[[#This Row],[Base Case]]*0.95</f>
        <v>95</v>
      </c>
      <c r="E36" s="309">
        <f>tbl_opex[[#This Row],[Base Case]]*1.1</f>
        <v>110.00000000000001</v>
      </c>
      <c r="F36" s="1"/>
    </row>
    <row r="37" spans="1:28" ht="15" customHeight="1">
      <c r="A37" s="1" t="s">
        <v>109</v>
      </c>
      <c r="B37" s="1" t="s">
        <v>86</v>
      </c>
      <c r="C37" s="310">
        <f>IF(COUNTA(C29:C36)=0,"",SUM(C29:C36))</f>
        <v>4600</v>
      </c>
      <c r="D37" s="309">
        <f>IF(COUNTA(D29:D36)=0,"",SUM(D29:D36))</f>
        <v>4370</v>
      </c>
      <c r="E37" s="309">
        <f>IF(COUNTA(E29:E36)=0,"",SUM(E29:E36))</f>
        <v>5060</v>
      </c>
      <c r="F37" s="1"/>
    </row>
    <row r="38" spans="1:28" s="90" customFormat="1">
      <c r="A38" s="232"/>
      <c r="B38" s="232"/>
      <c r="C38" s="233"/>
      <c r="D38" s="233"/>
      <c r="E38" s="233"/>
      <c r="F38" s="232"/>
    </row>
    <row r="40" spans="1:28" s="230" customFormat="1" ht="27" customHeight="1">
      <c r="A40" s="495" t="s">
        <v>3952</v>
      </c>
      <c r="B40" s="495"/>
      <c r="C40" s="495"/>
      <c r="D40" s="495"/>
      <c r="E40" s="495"/>
      <c r="F40" s="495"/>
      <c r="G40" s="231"/>
      <c r="H40" s="231"/>
      <c r="I40" s="231"/>
      <c r="J40" s="231"/>
      <c r="K40" s="231"/>
      <c r="L40" s="231"/>
      <c r="M40" s="231"/>
      <c r="N40" s="231"/>
      <c r="O40" s="231"/>
      <c r="P40" s="231"/>
      <c r="Q40" s="231"/>
      <c r="R40" s="231"/>
      <c r="S40" s="231"/>
      <c r="T40" s="231"/>
      <c r="U40" s="231"/>
      <c r="V40" s="231"/>
      <c r="W40" s="231"/>
      <c r="X40" s="231"/>
      <c r="Y40" s="231"/>
      <c r="Z40" s="231"/>
      <c r="AA40" s="231"/>
      <c r="AB40" s="231"/>
    </row>
    <row r="41" spans="1:28" ht="25.5" customHeight="1">
      <c r="A41" s="382" t="s">
        <v>78</v>
      </c>
      <c r="B41" s="382" t="s">
        <v>79</v>
      </c>
      <c r="C41" s="382" t="s">
        <v>80</v>
      </c>
      <c r="D41" s="382" t="s">
        <v>81</v>
      </c>
      <c r="E41" s="382" t="s">
        <v>82</v>
      </c>
      <c r="F41" s="383" t="s">
        <v>110</v>
      </c>
      <c r="G41" s="228"/>
      <c r="H41" s="228"/>
      <c r="I41" s="228"/>
      <c r="J41" s="228"/>
      <c r="K41" s="228"/>
      <c r="L41" s="228"/>
      <c r="M41" s="228"/>
      <c r="N41" s="228"/>
      <c r="O41" s="228"/>
      <c r="P41" s="228"/>
      <c r="Q41" s="228"/>
      <c r="R41" s="228"/>
      <c r="S41" s="228"/>
      <c r="T41" s="228"/>
      <c r="U41" s="228"/>
      <c r="V41" s="228"/>
      <c r="W41" s="228"/>
      <c r="X41" s="228"/>
      <c r="Y41" s="228"/>
      <c r="Z41" s="228"/>
      <c r="AA41" s="228"/>
      <c r="AB41" s="228"/>
    </row>
    <row r="42" spans="1:28" ht="15" customHeight="1">
      <c r="A42" s="237" t="s">
        <v>3953</v>
      </c>
      <c r="B42" s="238" t="s">
        <v>3954</v>
      </c>
      <c r="C42" s="448">
        <v>30</v>
      </c>
      <c r="D42" s="311">
        <f t="shared" ref="D42:E44" si="0">$C42</f>
        <v>30</v>
      </c>
      <c r="E42" s="311">
        <f t="shared" si="0"/>
        <v>30</v>
      </c>
      <c r="F42" s="239" t="s">
        <v>3955</v>
      </c>
      <c r="G42" s="228"/>
      <c r="H42" s="229"/>
      <c r="I42" s="228"/>
      <c r="J42" s="228"/>
      <c r="K42" s="228"/>
      <c r="L42" s="228"/>
      <c r="M42" s="228"/>
      <c r="N42" s="228"/>
      <c r="O42" s="228"/>
      <c r="P42" s="228"/>
      <c r="Q42" s="228"/>
      <c r="R42" s="228"/>
      <c r="S42" s="228"/>
      <c r="T42" s="228"/>
      <c r="U42" s="228"/>
      <c r="V42" s="228"/>
      <c r="W42" s="228"/>
      <c r="X42" s="228"/>
      <c r="Y42" s="228"/>
      <c r="Z42" s="228"/>
      <c r="AA42" s="228"/>
      <c r="AB42" s="228"/>
    </row>
    <row r="43" spans="1:28" ht="15" customHeight="1">
      <c r="A43" s="237" t="s">
        <v>3956</v>
      </c>
      <c r="B43" s="238" t="s">
        <v>3957</v>
      </c>
      <c r="C43" s="448">
        <v>10</v>
      </c>
      <c r="D43" s="311">
        <f t="shared" si="0"/>
        <v>10</v>
      </c>
      <c r="E43" s="311">
        <f t="shared" si="0"/>
        <v>10</v>
      </c>
      <c r="F43" s="239" t="s">
        <v>3958</v>
      </c>
      <c r="G43" s="228"/>
      <c r="H43" s="228"/>
      <c r="I43" s="228"/>
      <c r="J43" s="228"/>
      <c r="K43" s="228"/>
      <c r="L43" s="228"/>
      <c r="M43" s="228"/>
      <c r="N43" s="228"/>
      <c r="O43" s="228"/>
      <c r="P43" s="228"/>
      <c r="Q43" s="228"/>
      <c r="R43" s="228"/>
      <c r="S43" s="228"/>
      <c r="T43" s="228"/>
      <c r="U43" s="228"/>
      <c r="V43" s="228"/>
      <c r="W43" s="228"/>
      <c r="X43" s="228"/>
      <c r="Y43" s="228"/>
      <c r="Z43" s="228"/>
      <c r="AA43" s="228"/>
      <c r="AB43" s="228"/>
    </row>
    <row r="44" spans="1:28" ht="15" customHeight="1">
      <c r="A44" s="237" t="s">
        <v>3959</v>
      </c>
      <c r="B44" s="238" t="s">
        <v>3960</v>
      </c>
      <c r="C44" s="448">
        <v>300</v>
      </c>
      <c r="D44" s="311">
        <f t="shared" si="0"/>
        <v>300</v>
      </c>
      <c r="E44" s="311">
        <f t="shared" si="0"/>
        <v>300</v>
      </c>
      <c r="F44" s="239" t="s">
        <v>3961</v>
      </c>
      <c r="G44" s="228"/>
      <c r="H44" s="228"/>
      <c r="I44" s="228"/>
      <c r="J44" s="228"/>
      <c r="K44" s="228"/>
      <c r="L44" s="228"/>
      <c r="M44" s="228"/>
      <c r="N44" s="228"/>
      <c r="O44" s="228"/>
      <c r="P44" s="228"/>
      <c r="Q44" s="228"/>
      <c r="R44" s="228"/>
      <c r="S44" s="228"/>
      <c r="T44" s="228"/>
      <c r="U44" s="228"/>
      <c r="V44" s="228"/>
      <c r="W44" s="228"/>
      <c r="X44" s="228"/>
      <c r="Y44" s="228"/>
      <c r="Z44" s="228"/>
      <c r="AA44" s="228"/>
      <c r="AB44" s="228"/>
    </row>
    <row r="45" spans="1:28" ht="15" customHeight="1">
      <c r="A45" s="237" t="s">
        <v>3962</v>
      </c>
      <c r="B45" s="238" t="s">
        <v>3963</v>
      </c>
      <c r="C45" s="311">
        <f>C42*C43*C44</f>
        <v>90000</v>
      </c>
      <c r="D45" s="311">
        <f>D42*D43*D44</f>
        <v>90000</v>
      </c>
      <c r="E45" s="311">
        <f>E42*E43*E44</f>
        <v>90000</v>
      </c>
      <c r="F45" s="239" t="s">
        <v>3964</v>
      </c>
      <c r="G45" s="228"/>
      <c r="H45" s="228"/>
      <c r="I45" s="228"/>
      <c r="J45" s="228"/>
      <c r="K45" s="228"/>
      <c r="L45" s="228"/>
      <c r="M45" s="228"/>
      <c r="N45" s="228"/>
      <c r="O45" s="228"/>
      <c r="P45" s="228"/>
      <c r="Q45" s="228"/>
      <c r="R45" s="228"/>
      <c r="S45" s="228"/>
      <c r="T45" s="228"/>
      <c r="U45" s="228"/>
      <c r="V45" s="228"/>
      <c r="W45" s="228"/>
      <c r="X45" s="228"/>
      <c r="Y45" s="228"/>
      <c r="Z45" s="228"/>
      <c r="AA45" s="228"/>
      <c r="AB45" s="228"/>
    </row>
    <row r="46" spans="1:28" ht="27" customHeight="1">
      <c r="A46" s="237" t="s">
        <v>3965</v>
      </c>
      <c r="B46" s="238" t="s">
        <v>3963</v>
      </c>
      <c r="C46" s="311">
        <f>C45*C9</f>
        <v>62999.999999999993</v>
      </c>
      <c r="D46" s="311">
        <f>D45*D9</f>
        <v>76500</v>
      </c>
      <c r="E46" s="311">
        <f>E45*E9</f>
        <v>54000</v>
      </c>
      <c r="F46" s="239" t="s">
        <v>3966</v>
      </c>
      <c r="G46" s="228"/>
      <c r="H46" s="228"/>
      <c r="I46" s="228"/>
      <c r="J46" s="228"/>
      <c r="K46" s="228"/>
      <c r="L46" s="228"/>
      <c r="M46" s="228"/>
      <c r="N46" s="228"/>
      <c r="O46" s="228"/>
      <c r="P46" s="228"/>
      <c r="Q46" s="228"/>
      <c r="R46" s="228"/>
      <c r="S46" s="228"/>
      <c r="T46" s="228"/>
      <c r="U46" s="228"/>
      <c r="V46" s="228"/>
      <c r="W46" s="228"/>
      <c r="X46" s="228"/>
      <c r="Y46" s="228"/>
      <c r="Z46" s="228"/>
      <c r="AA46" s="228"/>
      <c r="AB46" s="228"/>
    </row>
    <row r="47" spans="1:28" ht="15" customHeight="1">
      <c r="A47" s="237" t="s">
        <v>3967</v>
      </c>
      <c r="B47" s="238" t="s">
        <v>3968</v>
      </c>
      <c r="C47" s="449">
        <v>0.6</v>
      </c>
      <c r="D47" s="362">
        <f>tbl_plant_capacity[[#This Row],[Base Case]]</f>
        <v>0.6</v>
      </c>
      <c r="E47" s="362">
        <f>tbl_plant_capacity[[#This Row],[Base Case]]</f>
        <v>0.6</v>
      </c>
      <c r="F47" s="239" t="s">
        <v>3969</v>
      </c>
      <c r="G47" s="228"/>
      <c r="H47" s="228"/>
      <c r="I47" s="228"/>
      <c r="J47" s="228"/>
      <c r="K47" s="228"/>
      <c r="L47" s="228"/>
      <c r="M47" s="228"/>
      <c r="N47" s="228"/>
      <c r="O47" s="228"/>
      <c r="P47" s="228"/>
      <c r="Q47" s="228"/>
      <c r="R47" s="228"/>
      <c r="S47" s="228"/>
      <c r="T47" s="228"/>
      <c r="U47" s="228"/>
      <c r="V47" s="228"/>
      <c r="W47" s="228"/>
      <c r="X47" s="228"/>
      <c r="Y47" s="228"/>
      <c r="Z47" s="228"/>
      <c r="AA47" s="228"/>
      <c r="AB47" s="228"/>
    </row>
    <row r="49" spans="1:27" ht="27" customHeight="1">
      <c r="A49" s="497" t="s">
        <v>3976</v>
      </c>
      <c r="B49" s="497"/>
      <c r="C49" s="497"/>
      <c r="D49" s="497"/>
      <c r="E49" s="497"/>
      <c r="F49" s="497"/>
      <c r="G49" s="497"/>
      <c r="H49" s="497"/>
      <c r="I49" s="497"/>
      <c r="J49" s="497"/>
      <c r="K49" s="497"/>
      <c r="L49" s="497"/>
      <c r="M49" s="497"/>
      <c r="N49" s="497"/>
      <c r="O49" s="497"/>
      <c r="P49" s="497"/>
      <c r="Q49" s="497"/>
      <c r="R49" s="497"/>
      <c r="S49" s="497"/>
      <c r="T49" s="497"/>
      <c r="U49" s="497"/>
      <c r="V49" s="497"/>
      <c r="W49" s="497"/>
      <c r="X49" s="497"/>
      <c r="Y49" s="497"/>
      <c r="Z49" s="497"/>
      <c r="AA49" s="497"/>
    </row>
    <row r="50" spans="1:27" ht="36.5" customHeight="1">
      <c r="A50" s="376" t="s">
        <v>40</v>
      </c>
      <c r="B50" s="377" t="s">
        <v>4087</v>
      </c>
      <c r="C50" s="377" t="s">
        <v>3627</v>
      </c>
      <c r="D50" s="377" t="s">
        <v>3628</v>
      </c>
      <c r="E50" s="377" t="s">
        <v>3629</v>
      </c>
      <c r="F50" s="377" t="s">
        <v>3972</v>
      </c>
      <c r="G50" s="377" t="s">
        <v>3973</v>
      </c>
      <c r="H50" s="377" t="s">
        <v>3974</v>
      </c>
      <c r="I50" s="377" t="s">
        <v>3630</v>
      </c>
      <c r="J50" s="377" t="s">
        <v>3975</v>
      </c>
      <c r="K50" s="377" t="s">
        <v>3631</v>
      </c>
      <c r="L50" s="377" t="s">
        <v>3632</v>
      </c>
      <c r="M50" s="377" t="s">
        <v>3633</v>
      </c>
      <c r="N50" s="377" t="s">
        <v>3978</v>
      </c>
      <c r="O50" s="377" t="s">
        <v>3979</v>
      </c>
      <c r="P50" s="377" t="s">
        <v>3980</v>
      </c>
      <c r="Q50" s="377" t="s">
        <v>3634</v>
      </c>
      <c r="R50" s="377" t="s">
        <v>3977</v>
      </c>
      <c r="S50" s="377" t="s">
        <v>3636</v>
      </c>
      <c r="T50" s="377" t="s">
        <v>3637</v>
      </c>
      <c r="U50" s="377" t="s">
        <v>3638</v>
      </c>
      <c r="V50" s="377" t="s">
        <v>3981</v>
      </c>
      <c r="W50" s="377" t="s">
        <v>3982</v>
      </c>
      <c r="X50" s="377" t="s">
        <v>3983</v>
      </c>
      <c r="Y50" s="377" t="s">
        <v>3639</v>
      </c>
      <c r="Z50" s="377" t="s">
        <v>3635</v>
      </c>
      <c r="AA50" s="377" t="s">
        <v>110</v>
      </c>
    </row>
    <row r="51" spans="1:27" ht="15" customHeight="1">
      <c r="A51" s="244" t="s">
        <v>43</v>
      </c>
      <c r="B51" s="312">
        <v>1</v>
      </c>
      <c r="C51" s="240">
        <f>Financial_Model!$B51*$C$46</f>
        <v>62999.999999999993</v>
      </c>
      <c r="D51" s="241">
        <f>$C8</f>
        <v>6069.4957303460533</v>
      </c>
      <c r="E51" s="360">
        <f>IFERROR(C51*D51/10000000,"")</f>
        <v>38.237823101180133</v>
      </c>
      <c r="F51" s="241">
        <f>$C37</f>
        <v>4600</v>
      </c>
      <c r="G51" s="360">
        <f>Financial_Model!$C51*(Financial_Model!$D51-Financial_Model!$F51)/10000000</f>
        <v>9.2578231011801346</v>
      </c>
      <c r="H51" s="360">
        <f>Financial_Model!$B51*$C$47</f>
        <v>0.6</v>
      </c>
      <c r="I51" s="361">
        <f>Financial_Model!$G51-Financial_Model!$H51</f>
        <v>8.657823101180135</v>
      </c>
      <c r="J51" s="242">
        <f>IFERROR(Financial_Model!$C51/SUM(tbl_sam[Estimated Reachable Demand (m³)]),"")</f>
        <v>1.4738934034061871E-3</v>
      </c>
      <c r="K51" s="240">
        <f t="shared" ref="K51:K55" si="1">$B51*$D$46</f>
        <v>76500</v>
      </c>
      <c r="L51" s="243">
        <f>$D$8</f>
        <v>6372.9705168633564</v>
      </c>
      <c r="M51" s="360">
        <f>IFERROR(K51*L51/10000000,"")</f>
        <v>48.753224454004673</v>
      </c>
      <c r="N51" s="241">
        <f t="shared" ref="N51" si="2">$D37</f>
        <v>4370</v>
      </c>
      <c r="O51" s="360">
        <f>tbl_Revenue[[#This Row],[Opt Volume (m³)]]*(tbl_Revenue[[#This Row],[Opt Avg Price / m³]]-tbl_Revenue[[#This Row],[Opt Unit Cost (₹ / m³)]])/10000000</f>
        <v>15.322724454004675</v>
      </c>
      <c r="P51" s="360">
        <f>tbl_Revenue[[#This Row],[Cumulative Plants]]*$D$47</f>
        <v>0.6</v>
      </c>
      <c r="Q51" s="360">
        <f>tbl_Revenue[[#This Row],[Opt Gross Profit (₹ Cr)]]-tbl_Revenue[[#This Row],[Opt Fix Overhead (₹ Cr)]]</f>
        <v>14.722724454004675</v>
      </c>
      <c r="R51" s="242">
        <f>IFERROR(tbl_Revenue[[#This Row],[Opt Volume (m³)]]/SUM(tbl_sam[Estimated Reachable Demand (m³)]),"")</f>
        <v>1.7897277041360846E-3</v>
      </c>
      <c r="S51" s="240">
        <f>IFERROR(tbl_Revenue[[#This Row],[Cumulative Plants]]*$E$46,"")</f>
        <v>54000</v>
      </c>
      <c r="T51" s="243">
        <f>$E$8</f>
        <v>5766.0209438287502</v>
      </c>
      <c r="U51" s="360">
        <f>IFERROR(S51*T51/10000000,"")</f>
        <v>31.136513096675252</v>
      </c>
      <c r="V51" s="241">
        <f t="shared" ref="V51" si="3">E37</f>
        <v>5060</v>
      </c>
      <c r="W51" s="360">
        <f>tbl_Revenue[[#This Row],[Pess Volume (m³)]]*(tbl_Revenue[[#This Row],[Pess Avg Price / m³]]-tbl_Revenue[[#This Row],[Pess Unit Cost (₹/m³)]])/10000000</f>
        <v>3.8125130966752514</v>
      </c>
      <c r="X51" s="360">
        <f>tbl_Revenue[[#This Row],[Cumulative Plants]]*$E$47</f>
        <v>0.6</v>
      </c>
      <c r="Y51" s="360">
        <f>tbl_Revenue[[#This Row],[Pess Gross Profit (₹ Cr)]]-tbl_Revenue[[#This Row],[Pess Fixed Overhead (₹ Cr)]]</f>
        <v>3.2125130966752513</v>
      </c>
      <c r="Z51" s="242">
        <f>IFERROR(tbl_Revenue[[#This Row],[Pess Volume (m³)]]/SUM(tbl_sam[Estimated Reachable Demand (m³)]),"")</f>
        <v>1.2633372029195891E-3</v>
      </c>
      <c r="AA51" s="314"/>
    </row>
    <row r="52" spans="1:27" ht="15" customHeight="1">
      <c r="A52" s="244" t="s">
        <v>44</v>
      </c>
      <c r="B52" s="312">
        <v>2</v>
      </c>
      <c r="C52" s="240">
        <f>Financial_Model!$B52*$C$46</f>
        <v>125999.99999999999</v>
      </c>
      <c r="D52" s="241">
        <f>D51*(1+Annual_Escalation)</f>
        <v>6251.5806022564348</v>
      </c>
      <c r="E52" s="360">
        <f>IFERROR(C52*D52/10000000,"")</f>
        <v>78.769915588431076</v>
      </c>
      <c r="F52" s="241">
        <f>F51*(1+Annual_Escalation)</f>
        <v>4738</v>
      </c>
      <c r="G52" s="360">
        <f>Financial_Model!$C52*(Financial_Model!$D52-Financial_Model!$F52)/10000000</f>
        <v>19.071115588431073</v>
      </c>
      <c r="H52" s="360">
        <f>Financial_Model!$B52*$C$47</f>
        <v>1.2</v>
      </c>
      <c r="I52" s="361">
        <f>Financial_Model!$G52-Financial_Model!$H52</f>
        <v>17.871115588431074</v>
      </c>
      <c r="J52" s="242">
        <f>IFERROR(Financial_Model!$C52/SUM(tbl_sam[Estimated Reachable Demand (m³)]),"")</f>
        <v>2.9477868068123743E-3</v>
      </c>
      <c r="K52" s="240">
        <f t="shared" si="1"/>
        <v>153000</v>
      </c>
      <c r="L52" s="243">
        <f>L51*(1+Annual_Escalation)</f>
        <v>6564.1596323692575</v>
      </c>
      <c r="M52" s="360">
        <f>IFERROR(K52*L52/10000000,"")</f>
        <v>100.43164237524964</v>
      </c>
      <c r="N52" s="241">
        <f>N51*(1+Annual_Escalation)</f>
        <v>4501.1000000000004</v>
      </c>
      <c r="O52" s="360">
        <f>tbl_Revenue[[#This Row],[Opt Volume (m³)]]*(tbl_Revenue[[#This Row],[Opt Avg Price / m³]]-tbl_Revenue[[#This Row],[Opt Unit Cost (₹ / m³)]])/10000000</f>
        <v>31.564812375249637</v>
      </c>
      <c r="P52" s="360">
        <f>tbl_Revenue[[#This Row],[Cumulative Plants]]*$D$47</f>
        <v>1.2</v>
      </c>
      <c r="Q52" s="360">
        <f>tbl_Revenue[[#This Row],[Opt Gross Profit (₹ Cr)]]-tbl_Revenue[[#This Row],[Opt Fix Overhead (₹ Cr)]]</f>
        <v>30.364812375249638</v>
      </c>
      <c r="R52" s="242">
        <f>IFERROR(tbl_Revenue[[#This Row],[Opt Volume (m³)]]/SUM(tbl_sam[Estimated Reachable Demand (m³)]),"")</f>
        <v>3.5794554082721692E-3</v>
      </c>
      <c r="S52" s="240">
        <f>IFERROR(tbl_Revenue[[#This Row],[Cumulative Plants]]*$E$46,"")</f>
        <v>108000</v>
      </c>
      <c r="T52" s="243">
        <f>T51*(1+Annual_Escalation)</f>
        <v>5939.001572143613</v>
      </c>
      <c r="U52" s="360">
        <f>IFERROR(S52*T52/10000000,"")</f>
        <v>64.141216979151025</v>
      </c>
      <c r="V52" s="241">
        <f>V51*(1+Annual_Escalation)</f>
        <v>5211.8</v>
      </c>
      <c r="W52" s="360">
        <f>tbl_Revenue[[#This Row],[Pess Volume (m³)]]*(tbl_Revenue[[#This Row],[Pess Avg Price / m³]]-tbl_Revenue[[#This Row],[Pess Unit Cost (₹/m³)]])/10000000</f>
        <v>7.8537769791510179</v>
      </c>
      <c r="X52" s="360">
        <f>tbl_Revenue[[#This Row],[Cumulative Plants]]*$E$47</f>
        <v>1.2</v>
      </c>
      <c r="Y52" s="360">
        <f>tbl_Revenue[[#This Row],[Pess Gross Profit (₹ Cr)]]-tbl_Revenue[[#This Row],[Pess Fixed Overhead (₹ Cr)]]</f>
        <v>6.6537769791510177</v>
      </c>
      <c r="Z52" s="242">
        <f>IFERROR(tbl_Revenue[[#This Row],[Pess Volume (m³)]]/SUM(tbl_sam[Estimated Reachable Demand (m³)]),"")</f>
        <v>2.5266744058391783E-3</v>
      </c>
      <c r="AA52" s="314"/>
    </row>
    <row r="53" spans="1:27" ht="15" customHeight="1">
      <c r="A53" s="244" t="s">
        <v>45</v>
      </c>
      <c r="B53" s="312">
        <v>3</v>
      </c>
      <c r="C53" s="240">
        <f>Financial_Model!$B53*$C$46</f>
        <v>188999.99999999997</v>
      </c>
      <c r="D53" s="241">
        <f>D52*(1+Annual_Escalation)</f>
        <v>6439.1280203241276</v>
      </c>
      <c r="E53" s="360">
        <f>IFERROR(C53*D53/10000000,"")</f>
        <v>121.69951958412599</v>
      </c>
      <c r="F53" s="241">
        <f>F52*(1+Annual_Escalation)</f>
        <v>4880.1400000000003</v>
      </c>
      <c r="G53" s="360">
        <f>Financial_Model!$C53*(Financial_Model!$D53-Financial_Model!$F53)/10000000</f>
        <v>29.464873584126</v>
      </c>
      <c r="H53" s="360">
        <f>Financial_Model!$B53*$C$47</f>
        <v>1.7999999999999998</v>
      </c>
      <c r="I53" s="361">
        <f>Financial_Model!$G53-Financial_Model!$H53</f>
        <v>27.664873584125999</v>
      </c>
      <c r="J53" s="242">
        <f>IFERROR(Financial_Model!$C53/SUM(tbl_sam[Estimated Reachable Demand (m³)]),"")</f>
        <v>4.4216802102185612E-3</v>
      </c>
      <c r="K53" s="240">
        <f t="shared" si="1"/>
        <v>229500</v>
      </c>
      <c r="L53" s="243">
        <f>L52*(1+Annual_Escalation)</f>
        <v>6761.0844213403352</v>
      </c>
      <c r="M53" s="360">
        <f>IFERROR(K53*L53/10000000,"")</f>
        <v>155.1668874697607</v>
      </c>
      <c r="N53" s="241">
        <f>N52*(1+Annual_Escalation)</f>
        <v>4636.1330000000007</v>
      </c>
      <c r="O53" s="360">
        <f>tbl_Revenue[[#This Row],[Opt Volume (m³)]]*(tbl_Revenue[[#This Row],[Opt Avg Price / m³]]-tbl_Revenue[[#This Row],[Opt Unit Cost (₹ / m³)]])/10000000</f>
        <v>48.767635119760676</v>
      </c>
      <c r="P53" s="360">
        <f>tbl_Revenue[[#This Row],[Cumulative Plants]]*$D$47</f>
        <v>1.7999999999999998</v>
      </c>
      <c r="Q53" s="360">
        <f>tbl_Revenue[[#This Row],[Opt Gross Profit (₹ Cr)]]-tbl_Revenue[[#This Row],[Opt Fix Overhead (₹ Cr)]]</f>
        <v>46.967635119760679</v>
      </c>
      <c r="R53" s="242">
        <f>IFERROR(tbl_Revenue[[#This Row],[Opt Volume (m³)]]/SUM(tbl_sam[Estimated Reachable Demand (m³)]),"")</f>
        <v>5.3691831124082542E-3</v>
      </c>
      <c r="S53" s="240">
        <f>IFERROR(tbl_Revenue[[#This Row],[Cumulative Plants]]*$E$46,"")</f>
        <v>162000</v>
      </c>
      <c r="T53" s="243">
        <f>T52*(1+Annual_Escalation)</f>
        <v>6117.1716193079219</v>
      </c>
      <c r="U53" s="360">
        <f>IFERROR(S53*T53/10000000,"")</f>
        <v>99.098180232788337</v>
      </c>
      <c r="V53" s="241">
        <f>V52*(1+Annual_Escalation)</f>
        <v>5368.1540000000005</v>
      </c>
      <c r="W53" s="360">
        <f>tbl_Revenue[[#This Row],[Pess Volume (m³)]]*(tbl_Revenue[[#This Row],[Pess Avg Price / m³]]-tbl_Revenue[[#This Row],[Pess Unit Cost (₹/m³)]])/10000000</f>
        <v>12.134085432788327</v>
      </c>
      <c r="X53" s="360">
        <f>tbl_Revenue[[#This Row],[Cumulative Plants]]*$E$47</f>
        <v>1.7999999999999998</v>
      </c>
      <c r="Y53" s="360">
        <f>tbl_Revenue[[#This Row],[Pess Gross Profit (₹ Cr)]]-tbl_Revenue[[#This Row],[Pess Fixed Overhead (₹ Cr)]]</f>
        <v>10.334085432788328</v>
      </c>
      <c r="Z53" s="242">
        <f>IFERROR(tbl_Revenue[[#This Row],[Pess Volume (m³)]]/SUM(tbl_sam[Estimated Reachable Demand (m³)]),"")</f>
        <v>3.7900116087587676E-3</v>
      </c>
      <c r="AA53" s="314"/>
    </row>
    <row r="54" spans="1:27">
      <c r="A54" s="244" t="s">
        <v>3970</v>
      </c>
      <c r="B54" s="313">
        <v>3</v>
      </c>
      <c r="C54" s="240">
        <f>Financial_Model!$B54*$C$46</f>
        <v>188999.99999999997</v>
      </c>
      <c r="D54" s="241">
        <f>D53*(1+Annual_Escalation)</f>
        <v>6632.3018609338515</v>
      </c>
      <c r="E54" s="360">
        <f t="shared" ref="E54:E55" si="4">IFERROR(C54*D54/10000000,"")</f>
        <v>125.35050517164977</v>
      </c>
      <c r="F54" s="241">
        <f>F53*(1+Annual_Escalation)</f>
        <v>5026.5442000000003</v>
      </c>
      <c r="G54" s="360">
        <f>Financial_Model!$C54*(Financial_Model!$D54-Financial_Model!$F54)/10000000</f>
        <v>30.348819791649781</v>
      </c>
      <c r="H54" s="360">
        <f>Financial_Model!$B54*$C$47</f>
        <v>1.7999999999999998</v>
      </c>
      <c r="I54" s="361">
        <f>Financial_Model!$G54-Financial_Model!$H54</f>
        <v>28.54881979164978</v>
      </c>
      <c r="J54" s="242">
        <f>IFERROR(Financial_Model!$C54/SUM(tbl_sam[Estimated Reachable Demand (m³)]),"")</f>
        <v>4.4216802102185612E-3</v>
      </c>
      <c r="K54" s="240">
        <f t="shared" si="1"/>
        <v>229500</v>
      </c>
      <c r="L54" s="243">
        <f>L53*(1+Annual_Escalation)</f>
        <v>6963.9169539805453</v>
      </c>
      <c r="M54" s="360">
        <f t="shared" ref="M54:M55" si="5">IFERROR(K54*L54/10000000,"")</f>
        <v>159.82189409385353</v>
      </c>
      <c r="N54" s="241">
        <f>N53*(1+Annual_Escalation)</f>
        <v>4775.2169900000008</v>
      </c>
      <c r="O54" s="360">
        <f>tbl_Revenue[[#This Row],[Opt Volume (m³)]]*(tbl_Revenue[[#This Row],[Opt Avg Price / m³]]-tbl_Revenue[[#This Row],[Opt Unit Cost (₹ / m³)]])/10000000</f>
        <v>50.230664173353496</v>
      </c>
      <c r="P54" s="360">
        <f>tbl_Revenue[[#This Row],[Cumulative Plants]]*$D$47</f>
        <v>1.7999999999999998</v>
      </c>
      <c r="Q54" s="360">
        <f>tbl_Revenue[[#This Row],[Opt Gross Profit (₹ Cr)]]-tbl_Revenue[[#This Row],[Opt Fix Overhead (₹ Cr)]]</f>
        <v>48.430664173353499</v>
      </c>
      <c r="R54" s="242">
        <f>IFERROR(tbl_Revenue[[#This Row],[Opt Volume (m³)]]/SUM(tbl_sam[Estimated Reachable Demand (m³)]),"")</f>
        <v>5.3691831124082542E-3</v>
      </c>
      <c r="S54" s="240">
        <f>IFERROR(tbl_Revenue[[#This Row],[Cumulative Plants]]*$E$46,"")</f>
        <v>162000</v>
      </c>
      <c r="T54" s="243">
        <f>T53*(1+Annual_Escalation)</f>
        <v>6300.6867678871595</v>
      </c>
      <c r="U54" s="360">
        <f>IFERROR(S54*T54/10000000,"")</f>
        <v>102.07112563977199</v>
      </c>
      <c r="V54" s="241">
        <f>V53*(1+Annual_Escalation)</f>
        <v>5529.198620000001</v>
      </c>
      <c r="W54" s="360">
        <f>tbl_Revenue[[#This Row],[Pess Volume (m³)]]*(tbl_Revenue[[#This Row],[Pess Avg Price / m³]]-tbl_Revenue[[#This Row],[Pess Unit Cost (₹/m³)]])/10000000</f>
        <v>12.498107995771967</v>
      </c>
      <c r="X54" s="360">
        <f>tbl_Revenue[[#This Row],[Cumulative Plants]]*$E$47</f>
        <v>1.7999999999999998</v>
      </c>
      <c r="Y54" s="360">
        <f>tbl_Revenue[[#This Row],[Pess Gross Profit (₹ Cr)]]-tbl_Revenue[[#This Row],[Pess Fixed Overhead (₹ Cr)]]</f>
        <v>10.698107995771966</v>
      </c>
      <c r="Z54" s="242">
        <f>IFERROR(tbl_Revenue[[#This Row],[Pess Volume (m³)]]/SUM(tbl_sam[Estimated Reachable Demand (m³)]),"")</f>
        <v>3.7900116087587676E-3</v>
      </c>
      <c r="AA54" s="315"/>
    </row>
    <row r="55" spans="1:27">
      <c r="A55" s="244" t="s">
        <v>3971</v>
      </c>
      <c r="B55" s="313">
        <v>3</v>
      </c>
      <c r="C55" s="240">
        <f>Financial_Model!$B55*$C$46</f>
        <v>188999.99999999997</v>
      </c>
      <c r="D55" s="241">
        <f>D54*(1+Annual_Escalation)</f>
        <v>6831.2709167618668</v>
      </c>
      <c r="E55" s="360">
        <f t="shared" si="4"/>
        <v>129.11102032679926</v>
      </c>
      <c r="F55" s="241">
        <f>F54*(1+Annual_Escalation)</f>
        <v>5177.3405260000009</v>
      </c>
      <c r="G55" s="360">
        <f>Financial_Model!$C55*(Financial_Model!$D55-Financial_Model!$F55)/10000000</f>
        <v>31.259284385399265</v>
      </c>
      <c r="H55" s="360">
        <f>Financial_Model!$B55*$C$47</f>
        <v>1.7999999999999998</v>
      </c>
      <c r="I55" s="361">
        <f>Financial_Model!$G55-Financial_Model!$H55</f>
        <v>29.459284385399265</v>
      </c>
      <c r="J55" s="242">
        <f>IFERROR(Financial_Model!$C55/SUM(tbl_sam[Estimated Reachable Demand (m³)]),"")</f>
        <v>4.4216802102185612E-3</v>
      </c>
      <c r="K55" s="240">
        <f t="shared" si="1"/>
        <v>229500</v>
      </c>
      <c r="L55" s="243">
        <f>L54*(1+Annual_Escalation)</f>
        <v>7172.8344625999616</v>
      </c>
      <c r="M55" s="360">
        <f t="shared" si="5"/>
        <v>164.61655091666913</v>
      </c>
      <c r="N55" s="241">
        <f>N54*(1+Annual_Escalation)</f>
        <v>4918.4734997000014</v>
      </c>
      <c r="O55" s="360">
        <f>tbl_Revenue[[#This Row],[Opt Volume (m³)]]*(tbl_Revenue[[#This Row],[Opt Avg Price / m³]]-tbl_Revenue[[#This Row],[Opt Unit Cost (₹ / m³)]])/10000000</f>
        <v>51.737584098554088</v>
      </c>
      <c r="P55" s="360">
        <f>tbl_Revenue[[#This Row],[Cumulative Plants]]*$D$47</f>
        <v>1.7999999999999998</v>
      </c>
      <c r="Q55" s="360">
        <f>tbl_Revenue[[#This Row],[Opt Gross Profit (₹ Cr)]]-tbl_Revenue[[#This Row],[Opt Fix Overhead (₹ Cr)]]</f>
        <v>49.93758409855409</v>
      </c>
      <c r="R55" s="242">
        <f>IFERROR(tbl_Revenue[[#This Row],[Opt Volume (m³)]]/SUM(tbl_sam[Estimated Reachable Demand (m³)]),"")</f>
        <v>5.3691831124082542E-3</v>
      </c>
      <c r="S55" s="240">
        <f>IFERROR(tbl_Revenue[[#This Row],[Cumulative Plants]]*$E$46,"")</f>
        <v>162000</v>
      </c>
      <c r="T55" s="243">
        <f>T54*(1+Annual_Escalation)</f>
        <v>6489.7073709237748</v>
      </c>
      <c r="U55" s="360">
        <f>IFERROR(S55*T55/10000000,"")</f>
        <v>105.13325940896515</v>
      </c>
      <c r="V55" s="241">
        <f>V54*(1+Annual_Escalation)</f>
        <v>5695.0745786000016</v>
      </c>
      <c r="W55" s="360">
        <f>tbl_Revenue[[#This Row],[Pess Volume (m³)]]*(tbl_Revenue[[#This Row],[Pess Avg Price / m³]]-tbl_Revenue[[#This Row],[Pess Unit Cost (₹/m³)]])/10000000</f>
        <v>12.873051235645125</v>
      </c>
      <c r="X55" s="360">
        <f>tbl_Revenue[[#This Row],[Cumulative Plants]]*$E$47</f>
        <v>1.7999999999999998</v>
      </c>
      <c r="Y55" s="360">
        <f>tbl_Revenue[[#This Row],[Pess Gross Profit (₹ Cr)]]-tbl_Revenue[[#This Row],[Pess Fixed Overhead (₹ Cr)]]</f>
        <v>11.073051235645124</v>
      </c>
      <c r="Z55" s="242">
        <f>IFERROR(tbl_Revenue[[#This Row],[Pess Volume (m³)]]/SUM(tbl_sam[Estimated Reachable Demand (m³)]),"")</f>
        <v>3.7900116087587676E-3</v>
      </c>
      <c r="AA55" s="316"/>
    </row>
    <row r="56" spans="1:27" s="90" customFormat="1">
      <c r="B56" s="234"/>
      <c r="C56" s="235"/>
      <c r="F56" s="236"/>
      <c r="G56" s="234"/>
      <c r="H56" s="235"/>
      <c r="L56" s="234"/>
      <c r="M56" s="235"/>
    </row>
    <row r="58" spans="1:27" ht="27" customHeight="1">
      <c r="A58" s="496" t="s">
        <v>111</v>
      </c>
      <c r="B58" s="496"/>
      <c r="C58" s="496"/>
      <c r="D58" s="496"/>
      <c r="E58" s="496"/>
      <c r="F58" s="496"/>
    </row>
    <row r="59" spans="1:27" ht="25.5" customHeight="1">
      <c r="A59" s="249" t="s">
        <v>78</v>
      </c>
      <c r="B59" s="249" t="s">
        <v>79</v>
      </c>
      <c r="C59" s="249" t="s">
        <v>80</v>
      </c>
      <c r="D59" s="249" t="s">
        <v>81</v>
      </c>
      <c r="E59" s="249" t="s">
        <v>82</v>
      </c>
      <c r="F59" s="250" t="s">
        <v>110</v>
      </c>
    </row>
    <row r="60" spans="1:27" ht="18" customHeight="1">
      <c r="A60" s="1" t="s">
        <v>3991</v>
      </c>
      <c r="B60" s="1" t="s">
        <v>91</v>
      </c>
      <c r="C60" s="358">
        <f t="shared" ref="C60:E60" si="6">$B$54*C24</f>
        <v>51</v>
      </c>
      <c r="D60" s="358">
        <f t="shared" si="6"/>
        <v>48.449999999999996</v>
      </c>
      <c r="E60" s="358">
        <f t="shared" si="6"/>
        <v>56.100000000000009</v>
      </c>
      <c r="F60" s="318" t="str">
        <f>"Final cumulative plant count ("&amp;TEXT($B$54,"0")&amp;") x CapEx per plant by scenario."</f>
        <v>Final cumulative plant count (3) x CapEx per plant by scenario.</v>
      </c>
    </row>
    <row r="61" spans="1:27" ht="24">
      <c r="A61" s="1" t="s">
        <v>3992</v>
      </c>
      <c r="B61" s="1" t="s">
        <v>91</v>
      </c>
      <c r="C61" s="358">
        <f>SUM(tbl_Revenue[Base EBITDA (₹ Cr)])</f>
        <v>112.20191645078626</v>
      </c>
      <c r="D61" s="358">
        <f>SUM(tbl_Revenue[Opt EBITDA (₹ Cr)])</f>
        <v>190.42342022092257</v>
      </c>
      <c r="E61" s="358">
        <f>SUM(tbl_Revenue[Pess EBITDA (₹ Cr)])</f>
        <v>41.971534740031686</v>
      </c>
      <c r="F61" s="318" t="str">
        <f>"5-year EBITDA totals: Base Rs "&amp;TEXT(C61,"#,##0.00")&amp;" Cr, Optimistic Rs "&amp;TEXT(D61,"#,##0.00")&amp;" Cr, Pessimistic Rs "&amp;TEXT(E61,"#,##0.00")&amp;" Cr."</f>
        <v>5-year EBITDA totals: Base Rs 112.20 Cr, Optimistic Rs 190.42 Cr, Pessimistic Rs 41.97 Cr.</v>
      </c>
    </row>
    <row r="62" spans="1:27" ht="25.5" customHeight="1">
      <c r="A62" s="74" t="s">
        <v>4085</v>
      </c>
      <c r="B62" s="1" t="s">
        <v>85</v>
      </c>
      <c r="C62" s="442">
        <f>IF(OR(C24="",C8="",C37="",C8&lt;=C37),"",C24*10000000/(C8-C37))</f>
        <v>115685.94347665542</v>
      </c>
      <c r="D62" s="310">
        <f t="shared" ref="D62:E62" si="7">IF(OR(D24="",D8="",D37="",D8&lt;=D37),"",D24*10000000/(D8-D37))</f>
        <v>80630.243251362655</v>
      </c>
      <c r="E62" s="310">
        <f t="shared" si="7"/>
        <v>264864.66390911775</v>
      </c>
      <c r="F62" s="318" t="str">
        <f>"Volume required per plant to recover CapEx at Year-1 unit contribution. Base break-even volume: "&amp;TEXT(C62,"#,##0")&amp;" m3."</f>
        <v>Volume required per plant to recover CapEx at Year-1 unit contribution. Base break-even volume: 115,686 m3.</v>
      </c>
    </row>
    <row r="63" spans="1:27" ht="19" customHeight="1">
      <c r="A63" s="1" t="s">
        <v>3993</v>
      </c>
      <c r="B63" s="1" t="s">
        <v>83</v>
      </c>
      <c r="C63" s="246">
        <f>IFERROR((C61-C60)/C60,"")</f>
        <v>1.2000375774663972</v>
      </c>
      <c r="D63" s="443">
        <f>IFERROR((D61-D60)/D60,"")</f>
        <v>2.9303079508962351</v>
      </c>
      <c r="E63" s="246">
        <f>IFERROR((E61-E60)/E60,"")</f>
        <v>-0.25184430053419465</v>
      </c>
      <c r="F63" s="318" t="str">
        <f>"5-year cumulative ROI = (Total EBITDA - Total CapEx) / Total CapEx. Base ROI is "&amp;TEXT(C63,"0.0%")&amp;"."</f>
        <v>5-year cumulative ROI = (Total EBITDA - Total CapEx) / Total CapEx. Base ROI is 120.0%.</v>
      </c>
    </row>
    <row r="64" spans="1:27" ht="21" customHeight="1">
      <c r="A64" s="1" t="s">
        <v>3994</v>
      </c>
      <c r="B64" s="1" t="s">
        <v>91</v>
      </c>
      <c r="C64" s="359">
        <f>IFERROR(NPV(C12,C81:C85)+C80,"")</f>
        <v>30.796666563325438</v>
      </c>
      <c r="D64" s="359">
        <f>IFERROR(NPV(D12,D81:D85)+D80,"")</f>
        <v>93.673841099228724</v>
      </c>
      <c r="E64" s="359">
        <f>IFERROR(NPV(E12,E81:E85)+E80,"")</f>
        <v>-22.859284817180878</v>
      </c>
      <c r="F64" s="318" t="str">
        <f>"NPV is Rs "&amp;TEXT(C64,"#,##0.00")&amp;" Cr in the Base Case at the linked discount rate, indicating "&amp;IF(C64&gt;=0,"financial viability.","financial concern.")</f>
        <v>NPV is Rs 30.80 Cr in the Base Case at the linked discount rate, indicating financial viability.</v>
      </c>
    </row>
    <row r="65" spans="1:8" ht="18.5" customHeight="1">
      <c r="A65" s="245" t="s">
        <v>3995</v>
      </c>
      <c r="B65" s="1" t="s">
        <v>83</v>
      </c>
      <c r="C65" s="246">
        <f>IFERROR(IRR(C80:C85),"n/m")</f>
        <v>0.40823338246314189</v>
      </c>
      <c r="D65" s="246">
        <f>IFERROR(IRR(D80:D85),"n/m")</f>
        <v>0.88639610629855303</v>
      </c>
      <c r="E65" s="246">
        <f>IFERROR(IRR(E80:E85),"n/m")</f>
        <v>-0.10874313972174832</v>
      </c>
      <c r="F65" s="318" t="str">
        <f>"IRR is "&amp;TEXT(C65,"0.0%")&amp;" in the Base Case; ""n/m"" means cash-flow pattern cannot support a meaningful IRR."</f>
        <v>IRR is 40.8% in the Base Case; "n/m" means cash-flow pattern cannot support a meaningful IRR.</v>
      </c>
      <c r="H65" s="88"/>
    </row>
    <row r="66" spans="1:8" ht="22.5" customHeight="1">
      <c r="A66" s="1" t="s">
        <v>112</v>
      </c>
      <c r="B66" s="1" t="s">
        <v>113</v>
      </c>
      <c r="C66" s="247">
        <f>IFERROR(IF(C80+C81&gt;=0,ABS(C80)/C81,IF(C80+C81+C82&gt;=0,1+ABS(C80+C81)/C82,IF(C80+C81+C82+C83&gt;=0,2+ABS(C80+C81+C82)/C83,IF(C80+C81+C82+C83+C84&gt;=0,3+ABS(C80+C81+C82+C83)/C84,IF(C80+C81+C82+C83+C84+C85&gt;=0,4+ABS(C80+C81+C82+C83+C84)/C85,IF(AND(C85&gt;0,ABS(C80+C81+C82+C83+C84+C85)/C85&lt;=5),5+ABS(C80+C81+C82+C83+C84+C85)/C85,"N/A (&gt;10 Years)")))))),"N/A (&gt;10 Years)")</f>
        <v>2.8845535200432</v>
      </c>
      <c r="D66" s="247">
        <f>IFERROR(IF(D80+D81&gt;=0,ABS(D80)/D81,IF(D80+D81+D82&gt;=0,1+ABS(D80+D81)/D82,IF(D80+D81+D82+D83&gt;=0,2+ABS(D80+D81+D82)/D83,IF(D80+D81+D82+D83+D84&gt;=0,3+ABS(D80+D81+D82+D83)/D84,IF(D80+D81+D82+D83+D84+D85&gt;=0,4+ABS(D80+D81+D82+D83+D84)/D85,IF(AND(D85&gt;0,ABS(D80+D81+D82+D83+D84+D85)/D85&lt;=5),5+ABS(D80+D81+D82+D83+D84+D85)/D85,"N/A (&gt;10 Years)")))))),"N/A (&gt;10 Years)")</f>
        <v>2.0715910682360712</v>
      </c>
      <c r="E66" s="247">
        <f>IFERROR(IF(E80+E81&gt;=0,ABS(E80)/E81,IF(E80+E81+E82&gt;=0,1+ABS(E80+E81)/E82,IF(E80+E81+E82+E83&gt;=0,2+ABS(E80+E81+E82)/E83,IF(E80+E81+E82+E83+E84&gt;=0,3+ABS(E80+E81+E82+E83)/E84,IF(E80+E81+E82+E83+E84+E85&gt;=0,4+ABS(E80+E81+E82+E83+E84)/E85,IF(AND(E85&gt;0,ABS(E80+E81+E82+E83+E84+E85)/E85&lt;=5),5+ABS(E80+E81+E82+E83+E84+E85)/E85,"N/A (&gt;10 Years)")))))),"N/A (&gt;10 Years)")</f>
        <v>6.2759324380697841</v>
      </c>
      <c r="F66" s="318" t="str">
        <f>"Base payback is "&amp;TEXT(C66,"0.0")&amp;" years; values above 5 years should be treated as extended recovery risk."</f>
        <v>Base payback is 2.9 years; values above 5 years should be treated as extended recovery risk.</v>
      </c>
    </row>
    <row r="67" spans="1:8" s="90" customFormat="1" ht="14" customHeight="1">
      <c r="A67" s="366"/>
      <c r="B67" s="366"/>
      <c r="C67" s="367"/>
      <c r="D67" s="367"/>
      <c r="E67" s="367"/>
      <c r="F67" s="368"/>
    </row>
    <row r="69" spans="1:8" ht="16">
      <c r="A69" s="498" t="s">
        <v>4109</v>
      </c>
      <c r="B69" s="498"/>
      <c r="C69" s="498"/>
      <c r="D69" s="498"/>
      <c r="E69" s="498"/>
      <c r="F69" s="498"/>
    </row>
    <row r="70" spans="1:8" ht="26">
      <c r="A70" s="371" t="s">
        <v>127</v>
      </c>
      <c r="B70" s="371" t="s">
        <v>79</v>
      </c>
      <c r="C70" s="371" t="s">
        <v>80</v>
      </c>
      <c r="D70" s="371" t="s">
        <v>81</v>
      </c>
      <c r="E70" s="371" t="s">
        <v>82</v>
      </c>
      <c r="F70" s="372" t="s">
        <v>110</v>
      </c>
    </row>
    <row r="71" spans="1:8">
      <c r="A71" s="237" t="s">
        <v>4110</v>
      </c>
      <c r="B71" s="238" t="s">
        <v>91</v>
      </c>
      <c r="C71" s="356">
        <f>E55</f>
        <v>129.11102032679926</v>
      </c>
      <c r="D71" s="356">
        <f>M55</f>
        <v>164.61655091666913</v>
      </c>
      <c r="E71" s="356">
        <f>U55</f>
        <v>105.13325940896515</v>
      </c>
      <c r="F71" s="239"/>
    </row>
    <row r="72" spans="1:8">
      <c r="A72" s="237" t="s">
        <v>4111</v>
      </c>
      <c r="B72" s="238" t="s">
        <v>91</v>
      </c>
      <c r="C72" s="356">
        <f>I55</f>
        <v>29.459284385399265</v>
      </c>
      <c r="D72" s="356">
        <f>Q55</f>
        <v>49.93758409855409</v>
      </c>
      <c r="E72" s="356">
        <f>Y55</f>
        <v>11.073051235645124</v>
      </c>
      <c r="F72" s="239"/>
    </row>
    <row r="73" spans="1:8">
      <c r="A73" s="237" t="s">
        <v>4112</v>
      </c>
      <c r="B73" s="238" t="s">
        <v>91</v>
      </c>
      <c r="C73" s="356">
        <f t="shared" ref="C73:E75" si="8">C64</f>
        <v>30.796666563325438</v>
      </c>
      <c r="D73" s="356">
        <f t="shared" si="8"/>
        <v>93.673841099228724</v>
      </c>
      <c r="E73" s="356">
        <f t="shared" si="8"/>
        <v>-22.859284817180878</v>
      </c>
      <c r="F73" s="239"/>
    </row>
    <row r="74" spans="1:8">
      <c r="A74" s="237" t="s">
        <v>4113</v>
      </c>
      <c r="B74" s="238" t="s">
        <v>83</v>
      </c>
      <c r="C74" s="355">
        <f t="shared" si="8"/>
        <v>0.40823338246314189</v>
      </c>
      <c r="D74" s="355">
        <f t="shared" si="8"/>
        <v>0.88639610629855303</v>
      </c>
      <c r="E74" s="355">
        <f t="shared" si="8"/>
        <v>-0.10874313972174832</v>
      </c>
      <c r="F74" s="239"/>
    </row>
    <row r="75" spans="1:8">
      <c r="A75" s="237" t="s">
        <v>112</v>
      </c>
      <c r="B75" s="238" t="s">
        <v>113</v>
      </c>
      <c r="C75" s="357">
        <f t="shared" si="8"/>
        <v>2.8845535200432</v>
      </c>
      <c r="D75" s="357">
        <f t="shared" si="8"/>
        <v>2.0715910682360712</v>
      </c>
      <c r="E75" s="357">
        <f t="shared" si="8"/>
        <v>6.2759324380697841</v>
      </c>
      <c r="F75" s="239"/>
    </row>
    <row r="76" spans="1:8" s="90" customFormat="1">
      <c r="A76" s="369"/>
      <c r="B76" s="369"/>
      <c r="C76" s="370"/>
      <c r="D76" s="370"/>
      <c r="E76" s="370"/>
      <c r="F76" s="368"/>
    </row>
    <row r="78" spans="1:8" ht="27" customHeight="1">
      <c r="A78" s="489" t="s">
        <v>3620</v>
      </c>
      <c r="B78" s="490" t="s">
        <v>100</v>
      </c>
      <c r="C78" s="490" t="s">
        <v>100</v>
      </c>
      <c r="D78" s="490" t="s">
        <v>100</v>
      </c>
      <c r="E78" s="490" t="s">
        <v>100</v>
      </c>
      <c r="F78" s="490" t="s">
        <v>100</v>
      </c>
    </row>
    <row r="79" spans="1:8" ht="25.5" customHeight="1">
      <c r="A79" s="373" t="s">
        <v>40</v>
      </c>
      <c r="B79" s="374" t="s">
        <v>79</v>
      </c>
      <c r="C79" s="374" t="s">
        <v>80</v>
      </c>
      <c r="D79" s="374" t="s">
        <v>81</v>
      </c>
      <c r="E79" s="374" t="s">
        <v>82</v>
      </c>
      <c r="F79" s="375" t="s">
        <v>110</v>
      </c>
    </row>
    <row r="80" spans="1:8">
      <c r="A80" s="74" t="s">
        <v>3621</v>
      </c>
      <c r="B80" s="74" t="s">
        <v>3622</v>
      </c>
      <c r="C80" s="365">
        <f>IFERROR(-$B$51*C24,"")</f>
        <v>-17</v>
      </c>
      <c r="D80" s="365">
        <f>IFERROR(-$B$51*D24,"")</f>
        <v>-16.149999999999999</v>
      </c>
      <c r="E80" s="365">
        <f>IFERROR(-$B$51*E24,"")</f>
        <v>-18.700000000000003</v>
      </c>
      <c r="F80" s="248" t="s">
        <v>3984</v>
      </c>
    </row>
    <row r="81" spans="1:6">
      <c r="A81" s="74" t="s">
        <v>43</v>
      </c>
      <c r="B81" s="1" t="s">
        <v>3622</v>
      </c>
      <c r="C81" s="365">
        <f>I51-(B52-B51)*C24</f>
        <v>-8.342176898819865</v>
      </c>
      <c r="D81" s="365">
        <f>Q51-(B52-B51)*D24</f>
        <v>-1.4272755459953235</v>
      </c>
      <c r="E81" s="365">
        <f>Y51-(B52-B51)*E24</f>
        <v>-15.487486903324751</v>
      </c>
      <c r="F81" s="248" t="s">
        <v>3985</v>
      </c>
    </row>
    <row r="82" spans="1:6">
      <c r="A82" s="74" t="s">
        <v>44</v>
      </c>
      <c r="B82" s="1" t="s">
        <v>3622</v>
      </c>
      <c r="C82" s="365">
        <f>I52-(B53-B52)*C24</f>
        <v>0.87111558843107417</v>
      </c>
      <c r="D82" s="365">
        <f>Q52-(B53-B52)*D24</f>
        <v>14.21481237524964</v>
      </c>
      <c r="E82" s="365">
        <f>Y52-(B53-B52)*E24</f>
        <v>-12.046223020848984</v>
      </c>
      <c r="F82" s="248" t="s">
        <v>3986</v>
      </c>
    </row>
    <row r="83" spans="1:6">
      <c r="A83" s="74" t="s">
        <v>45</v>
      </c>
      <c r="B83" s="1" t="s">
        <v>3622</v>
      </c>
      <c r="C83" s="365">
        <f>I53-(B54-B53)*C24</f>
        <v>27.664873584125999</v>
      </c>
      <c r="D83" s="365">
        <f>Q53-(B54-B53)*D24</f>
        <v>46.967635119760679</v>
      </c>
      <c r="E83" s="365">
        <f>Y53-(B54-B53)*E24</f>
        <v>10.334085432788328</v>
      </c>
      <c r="F83" s="248" t="s">
        <v>3987</v>
      </c>
    </row>
    <row r="84" spans="1:6">
      <c r="A84" s="74" t="s">
        <v>3970</v>
      </c>
      <c r="B84" s="1" t="s">
        <v>3622</v>
      </c>
      <c r="C84" s="365">
        <f>I54-(B55-B54)*C24</f>
        <v>28.54881979164978</v>
      </c>
      <c r="D84" s="365">
        <f>Q54-(B55-B54)*D24</f>
        <v>48.430664173353499</v>
      </c>
      <c r="E84" s="365">
        <f>Y54-(B55-B54)*E24</f>
        <v>10.698107995771966</v>
      </c>
      <c r="F84" s="248" t="s">
        <v>3988</v>
      </c>
    </row>
    <row r="85" spans="1:6">
      <c r="A85" s="74" t="s">
        <v>3971</v>
      </c>
      <c r="B85" s="1" t="s">
        <v>3622</v>
      </c>
      <c r="C85" s="365">
        <f>I55</f>
        <v>29.459284385399265</v>
      </c>
      <c r="D85" s="365">
        <f>Q55</f>
        <v>49.93758409855409</v>
      </c>
      <c r="E85" s="365">
        <f>Y55</f>
        <v>11.073051235645124</v>
      </c>
      <c r="F85" s="248" t="s">
        <v>3989</v>
      </c>
    </row>
    <row r="86" spans="1:6" ht="26" customHeight="1">
      <c r="A86" s="1" t="s">
        <v>3640</v>
      </c>
      <c r="B86" s="1" t="s">
        <v>3622</v>
      </c>
      <c r="C86" s="365">
        <f>SUM(C80:C85)</f>
        <v>61.201916450786257</v>
      </c>
      <c r="D86" s="365">
        <f t="shared" ref="D86:E86" si="9">SUM(D80:D85)</f>
        <v>141.97342022092258</v>
      </c>
      <c r="E86" s="365">
        <f t="shared" si="9"/>
        <v>-14.128465259968319</v>
      </c>
      <c r="F86" s="248" t="s">
        <v>3990</v>
      </c>
    </row>
  </sheetData>
  <mergeCells count="10">
    <mergeCell ref="A78:F78"/>
    <mergeCell ref="A1:Q1"/>
    <mergeCell ref="A2:Q2"/>
    <mergeCell ref="A4:F4"/>
    <mergeCell ref="A15:F15"/>
    <mergeCell ref="A27:F27"/>
    <mergeCell ref="A40:F40"/>
    <mergeCell ref="A58:F58"/>
    <mergeCell ref="A49:AA49"/>
    <mergeCell ref="A69:F69"/>
  </mergeCells>
  <phoneticPr fontId="50" type="noConversion"/>
  <conditionalFormatting sqref="C63:E63">
    <cfRule type="expression" dxfId="145" priority="6">
      <formula>C63&lt;0.8*Five_Year_Hurdle</formula>
    </cfRule>
    <cfRule type="expression" dxfId="144" priority="7">
      <formula>AND(C63&gt;=0.8*Five_Year_Hurdle,C63&lt;Five_Year_Hurdle)</formula>
    </cfRule>
    <cfRule type="expression" dxfId="143" priority="8">
      <formula>C63&gt;=Five_Year_Hurdle</formula>
    </cfRule>
  </conditionalFormatting>
  <conditionalFormatting sqref="C64:E64">
    <cfRule type="expression" dxfId="142" priority="1">
      <formula>AND(C64&lt;&gt;"",C64&lt;0)</formula>
    </cfRule>
    <cfRule type="expression" dxfId="141" priority="2">
      <formula>AND(C64&lt;&gt;"",C64&gt;0)</formula>
    </cfRule>
  </conditionalFormatting>
  <conditionalFormatting sqref="C65:E65">
    <cfRule type="expression" dxfId="140" priority="3">
      <formula>AND(C65&lt;&gt;"",C65&lt;0)</formula>
    </cfRule>
    <cfRule type="expression" dxfId="139" priority="4">
      <formula>AND(C65&lt;&gt;"",C65&gt;=0,C65&lt;C$12)</formula>
    </cfRule>
    <cfRule type="expression" dxfId="138" priority="5">
      <formula>AND(C65&lt;&gt;"",C65&gt;=C$12)</formula>
    </cfRule>
  </conditionalFormatting>
  <pageMargins left="0.7" right="0.7" top="0.75" bottom="0.75" header="0.3" footer="0.3"/>
  <tableParts count="7">
    <tablePart r:id="rId1"/>
    <tablePart r:id="rId2"/>
    <tablePart r:id="rId3"/>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C00000"/>
  </sheetPr>
  <dimension ref="A1:V26"/>
  <sheetViews>
    <sheetView showGridLines="0" tabSelected="1" zoomScale="104" zoomScaleNormal="59" workbookViewId="0">
      <selection activeCell="F10" sqref="F10"/>
    </sheetView>
  </sheetViews>
  <sheetFormatPr defaultRowHeight="14"/>
  <cols>
    <col min="1" max="1" width="6" bestFit="1" customWidth="1"/>
    <col min="2" max="2" width="15.75" bestFit="1" customWidth="1"/>
    <col min="3" max="3" width="20.9140625" bestFit="1" customWidth="1"/>
    <col min="4" max="4" width="14.4140625" customWidth="1"/>
    <col min="5" max="5" width="11.9140625" style="75" customWidth="1"/>
    <col min="6" max="7" width="12.5" customWidth="1"/>
    <col min="8" max="8" width="37.5" customWidth="1"/>
    <col min="9" max="9" width="4.4140625" customWidth="1"/>
    <col min="10" max="15" width="8.75" customWidth="1"/>
  </cols>
  <sheetData>
    <row r="1" spans="1:22" ht="20" customHeight="1">
      <c r="A1" s="473" t="s">
        <v>114</v>
      </c>
      <c r="B1" s="473"/>
      <c r="C1" s="473"/>
      <c r="D1" s="473"/>
      <c r="E1" s="473"/>
      <c r="F1" s="473"/>
      <c r="G1" s="473"/>
      <c r="H1" s="473"/>
      <c r="I1" s="91"/>
      <c r="J1" s="91"/>
      <c r="K1" s="91"/>
    </row>
    <row r="2" spans="1:22" ht="16" customHeight="1">
      <c r="A2" s="475" t="s">
        <v>115</v>
      </c>
      <c r="B2" s="475"/>
      <c r="C2" s="475"/>
      <c r="D2" s="475"/>
      <c r="E2" s="475"/>
      <c r="F2" s="475"/>
      <c r="G2" s="475"/>
      <c r="H2" s="475"/>
      <c r="I2" s="89"/>
      <c r="J2" s="89"/>
      <c r="K2" s="89"/>
    </row>
    <row r="3" spans="1:22" s="90" customFormat="1" ht="10" customHeight="1">
      <c r="A3" s="89"/>
      <c r="B3" s="89"/>
      <c r="C3" s="89"/>
      <c r="D3" s="89"/>
      <c r="E3" s="89"/>
      <c r="F3" s="89"/>
      <c r="G3" s="89"/>
      <c r="H3" s="89"/>
      <c r="I3" s="89"/>
      <c r="J3" s="89"/>
      <c r="K3" s="89"/>
    </row>
    <row r="4" spans="1:22" ht="12.5" customHeight="1">
      <c r="A4" s="499" t="s">
        <v>3732</v>
      </c>
      <c r="B4" s="499"/>
      <c r="C4" s="92" t="s">
        <v>4037</v>
      </c>
      <c r="D4" s="499" t="s">
        <v>3733</v>
      </c>
      <c r="E4" s="499"/>
      <c r="F4" s="92" t="s">
        <v>3423</v>
      </c>
      <c r="G4" s="93" t="s">
        <v>194</v>
      </c>
      <c r="H4" s="92" t="s">
        <v>3397</v>
      </c>
      <c r="I4" s="91"/>
      <c r="J4" s="91"/>
      <c r="K4" s="91"/>
      <c r="L4" s="91"/>
    </row>
    <row r="5" spans="1:22" ht="24" customHeight="1">
      <c r="A5" s="500">
        <f>COUNTIF(tbl_risk_analysis[Risk],"&lt;&gt;")</f>
        <v>19</v>
      </c>
      <c r="B5" s="501"/>
      <c r="C5" s="253">
        <f>ROUND(AVERAGE(tbl_risk_analysis[Severity]),1)</f>
        <v>14</v>
      </c>
      <c r="D5" s="502">
        <f>COUNTIFS(tbl_risk_analysis[Risk],"&lt;&gt;",tbl_risk_analysis[Severity],"&gt;=20")</f>
        <v>3</v>
      </c>
      <c r="E5" s="503"/>
      <c r="F5" s="94">
        <f>COUNTIFS(tbl_risk_analysis[Risk],"&lt;&gt;",tbl_risk_analysis[Severity],"&gt;=15",tbl_risk_analysis[Severity],"&lt;20")</f>
        <v>6</v>
      </c>
      <c r="G5" s="95">
        <f>COUNTIFS(tbl_risk_analysis[Risk],"&lt;&gt;",tbl_risk_analysis[Severity],"&gt;=8",tbl_risk_analysis[Severity],"&lt;15")</f>
        <v>10</v>
      </c>
      <c r="H5" s="96">
        <f>COUNTIFS(tbl_risk_analysis[Risk],"&lt;&gt;",tbl_risk_analysis[Severity],"&gt;=1",tbl_risk_analysis[Severity],"&lt;8")</f>
        <v>0</v>
      </c>
      <c r="I5" s="89"/>
      <c r="J5" s="89"/>
      <c r="K5" s="89"/>
      <c r="L5" s="89"/>
    </row>
    <row r="6" spans="1:22">
      <c r="E6"/>
    </row>
    <row r="7" spans="1:22" ht="14" customHeight="1">
      <c r="A7" s="4" t="s">
        <v>3693</v>
      </c>
      <c r="B7" s="4" t="s">
        <v>3694</v>
      </c>
      <c r="C7" s="4" t="s">
        <v>116</v>
      </c>
      <c r="D7" s="4" t="s">
        <v>117</v>
      </c>
      <c r="E7" s="4" t="s">
        <v>118</v>
      </c>
      <c r="F7" s="4" t="s">
        <v>119</v>
      </c>
      <c r="G7" s="4" t="s">
        <v>3731</v>
      </c>
      <c r="H7" s="4" t="s">
        <v>120</v>
      </c>
      <c r="J7" s="479" t="s">
        <v>121</v>
      </c>
      <c r="K7" s="479" t="s">
        <v>121</v>
      </c>
      <c r="L7" s="479" t="s">
        <v>121</v>
      </c>
      <c r="M7" s="479" t="s">
        <v>121</v>
      </c>
      <c r="N7" s="479" t="s">
        <v>121</v>
      </c>
      <c r="O7" s="479" t="s">
        <v>121</v>
      </c>
      <c r="Q7" s="478" t="s">
        <v>3692</v>
      </c>
      <c r="R7" s="479" t="s">
        <v>121</v>
      </c>
      <c r="S7" s="479" t="s">
        <v>121</v>
      </c>
      <c r="T7" s="479" t="s">
        <v>121</v>
      </c>
      <c r="U7" s="479" t="s">
        <v>121</v>
      </c>
      <c r="V7" s="479" t="s">
        <v>121</v>
      </c>
    </row>
    <row r="8" spans="1:22" ht="25" customHeight="1">
      <c r="A8" s="2" t="s">
        <v>3695</v>
      </c>
      <c r="B8" s="2" t="s">
        <v>3714</v>
      </c>
      <c r="C8" s="2" t="s">
        <v>3671</v>
      </c>
      <c r="D8" s="2">
        <v>3</v>
      </c>
      <c r="E8" s="2">
        <v>3</v>
      </c>
      <c r="F8" s="3">
        <f>IF(tbl_risk_analysis[[#This Row],[Risk]]="","",IF(OR(tbl_risk_analysis[[#This Row],[Probability]]="",tbl_risk_analysis[[#This Row],[Impact]]=""),"",tbl_risk_analysis[[#This Row],[Probability]]*tbl_risk_analysis[[#This Row],[Impact]]))</f>
        <v>9</v>
      </c>
      <c r="G8" s="2" t="str">
        <f>IF(tbl_risk_analysis[[#This Row],[Severity]]="","",IF(tbl_risk_analysis[[#This Row],[Severity]]&gt;=20,"Critical",IF(tbl_risk_analysis[[#This Row],[Severity]]&gt;=15,"High",IF(tbl_risk_analysis[[#This Row],[Severity]]&gt;=8,"Medium","Low"))))</f>
        <v>Medium</v>
      </c>
      <c r="H8" s="2" t="s">
        <v>3672</v>
      </c>
      <c r="J8" s="5" t="s">
        <v>122</v>
      </c>
      <c r="K8" s="5">
        <v>1</v>
      </c>
      <c r="L8" s="5">
        <v>2</v>
      </c>
      <c r="M8" s="5">
        <v>3</v>
      </c>
      <c r="N8" s="5">
        <v>4</v>
      </c>
      <c r="O8" s="5">
        <v>5</v>
      </c>
      <c r="Q8" s="5" t="s">
        <v>122</v>
      </c>
      <c r="R8" s="5">
        <v>1</v>
      </c>
      <c r="S8" s="5">
        <v>2</v>
      </c>
      <c r="T8" s="5">
        <v>3</v>
      </c>
      <c r="U8" s="5">
        <v>4</v>
      </c>
      <c r="V8" s="5">
        <v>5</v>
      </c>
    </row>
    <row r="9" spans="1:22" ht="18" customHeight="1">
      <c r="A9" s="2" t="s">
        <v>3696</v>
      </c>
      <c r="B9" s="2" t="s">
        <v>3715</v>
      </c>
      <c r="C9" s="2" t="s">
        <v>3673</v>
      </c>
      <c r="D9" s="2">
        <v>3</v>
      </c>
      <c r="E9" s="2">
        <v>3</v>
      </c>
      <c r="F9" s="3">
        <f>IF(tbl_risk_analysis[[#This Row],[Risk]]="","",IF(OR(tbl_risk_analysis[[#This Row],[Probability]]="",tbl_risk_analysis[[#This Row],[Impact]]=""),"",tbl_risk_analysis[[#This Row],[Probability]]*tbl_risk_analysis[[#This Row],[Impact]]))</f>
        <v>9</v>
      </c>
      <c r="G9" s="2" t="str">
        <f>IF(tbl_risk_analysis[[#This Row],[Severity]]="","",IF(tbl_risk_analysis[[#This Row],[Severity]]&gt;=20,"Critical",IF(tbl_risk_analysis[[#This Row],[Severity]]&gt;=15,"High",IF(tbl_risk_analysis[[#This Row],[Severity]]&gt;=8,"Medium","Low"))))</f>
        <v>Medium</v>
      </c>
      <c r="H9" s="2" t="s">
        <v>3674</v>
      </c>
      <c r="J9" s="5">
        <v>5</v>
      </c>
      <c r="K9" s="8">
        <f t="shared" ref="K9:O13" si="0">$J9*K$8</f>
        <v>5</v>
      </c>
      <c r="L9" s="8">
        <f t="shared" si="0"/>
        <v>10</v>
      </c>
      <c r="M9" s="8">
        <f t="shared" si="0"/>
        <v>15</v>
      </c>
      <c r="N9" s="8">
        <f t="shared" si="0"/>
        <v>20</v>
      </c>
      <c r="O9" s="8">
        <f t="shared" si="0"/>
        <v>25</v>
      </c>
      <c r="Q9" s="5">
        <v>5</v>
      </c>
      <c r="R9" s="8">
        <f>COUNTIFS(tbl_risk_analysis[Probability],$Q9,tbl_risk_analysis[Impact],R$8,tbl_risk_analysis[Risk],"&lt;&gt;")</f>
        <v>0</v>
      </c>
      <c r="S9" s="8">
        <f>COUNTIFS(tbl_risk_analysis[Probability],$Q9,tbl_risk_analysis[Impact],S$8,tbl_risk_analysis[Risk],"&lt;&gt;")</f>
        <v>0</v>
      </c>
      <c r="T9" s="8">
        <f>COUNTIFS(tbl_risk_analysis[Probability],$Q9,tbl_risk_analysis[Impact],T$8,tbl_risk_analysis[Risk],"&lt;&gt;")</f>
        <v>0</v>
      </c>
      <c r="U9" s="8">
        <f>COUNTIFS(tbl_risk_analysis[Probability],$Q9,tbl_risk_analysis[Impact],U$8,tbl_risk_analysis[Risk],"&lt;&gt;")</f>
        <v>1</v>
      </c>
      <c r="V9" s="8">
        <f>COUNTIFS(tbl_risk_analysis[Probability],$Q9,tbl_risk_analysis[Impact],V$8,tbl_risk_analysis[Risk],"&lt;&gt;")</f>
        <v>0</v>
      </c>
    </row>
    <row r="10" spans="1:22" ht="18" customHeight="1">
      <c r="A10" s="2" t="s">
        <v>3697</v>
      </c>
      <c r="B10" s="2" t="s">
        <v>3716</v>
      </c>
      <c r="C10" s="2" t="s">
        <v>3675</v>
      </c>
      <c r="D10" s="2">
        <v>3</v>
      </c>
      <c r="E10" s="2">
        <v>3</v>
      </c>
      <c r="F10" s="3">
        <f>IF(tbl_risk_analysis[[#This Row],[Risk]]="","",IF(OR(tbl_risk_analysis[[#This Row],[Probability]]="",tbl_risk_analysis[[#This Row],[Impact]]=""),"",tbl_risk_analysis[[#This Row],[Probability]]*tbl_risk_analysis[[#This Row],[Impact]]))</f>
        <v>9</v>
      </c>
      <c r="G10" s="2" t="str">
        <f>IF(tbl_risk_analysis[[#This Row],[Severity]]="","",IF(tbl_risk_analysis[[#This Row],[Severity]]&gt;=20,"Critical",IF(tbl_risk_analysis[[#This Row],[Severity]]&gt;=15,"High",IF(tbl_risk_analysis[[#This Row],[Severity]]&gt;=8,"Medium","Low"))))</f>
        <v>Medium</v>
      </c>
      <c r="H10" s="2" t="s">
        <v>3676</v>
      </c>
      <c r="J10" s="5">
        <v>4</v>
      </c>
      <c r="K10" s="8">
        <f t="shared" si="0"/>
        <v>4</v>
      </c>
      <c r="L10" s="8">
        <f t="shared" si="0"/>
        <v>8</v>
      </c>
      <c r="M10" s="8">
        <f t="shared" si="0"/>
        <v>12</v>
      </c>
      <c r="N10" s="8">
        <f t="shared" si="0"/>
        <v>16</v>
      </c>
      <c r="O10" s="8">
        <f t="shared" si="0"/>
        <v>20</v>
      </c>
      <c r="Q10" s="5">
        <v>4</v>
      </c>
      <c r="R10" s="8">
        <f>COUNTIFS(tbl_risk_analysis[Probability],$Q10,tbl_risk_analysis[Impact],R$8,tbl_risk_analysis[Risk],"&lt;&gt;")</f>
        <v>0</v>
      </c>
      <c r="S10" s="8">
        <f>COUNTIFS(tbl_risk_analysis[Probability],$Q10,tbl_risk_analysis[Impact],S$8,tbl_risk_analysis[Risk],"&lt;&gt;")</f>
        <v>0</v>
      </c>
      <c r="T10" s="8">
        <f>COUNTIFS(tbl_risk_analysis[Probability],$Q10,tbl_risk_analysis[Impact],T$8,tbl_risk_analysis[Risk],"&lt;&gt;")</f>
        <v>3</v>
      </c>
      <c r="U10" s="8">
        <f>COUNTIFS(tbl_risk_analysis[Probability],$Q10,tbl_risk_analysis[Impact],U$8,tbl_risk_analysis[Risk],"&lt;&gt;")</f>
        <v>5</v>
      </c>
      <c r="V10" s="8">
        <f>COUNTIFS(tbl_risk_analysis[Probability],$Q10,tbl_risk_analysis[Impact],V$8,tbl_risk_analysis[Risk],"&lt;&gt;")</f>
        <v>2</v>
      </c>
    </row>
    <row r="11" spans="1:22" ht="18" customHeight="1">
      <c r="A11" s="2" t="s">
        <v>3698</v>
      </c>
      <c r="B11" s="2" t="s">
        <v>3717</v>
      </c>
      <c r="C11" s="2" t="s">
        <v>3651</v>
      </c>
      <c r="D11" s="2">
        <v>3</v>
      </c>
      <c r="E11" s="2">
        <v>4</v>
      </c>
      <c r="F11" s="3">
        <f>IF(tbl_risk_analysis[[#This Row],[Risk]]="","",IF(OR(tbl_risk_analysis[[#This Row],[Probability]]="",tbl_risk_analysis[[#This Row],[Impact]]=""),"",tbl_risk_analysis[[#This Row],[Probability]]*tbl_risk_analysis[[#This Row],[Impact]]))</f>
        <v>12</v>
      </c>
      <c r="G11" s="2" t="str">
        <f>IF(tbl_risk_analysis[[#This Row],[Severity]]="","",IF(tbl_risk_analysis[[#This Row],[Severity]]&gt;=20,"Critical",IF(tbl_risk_analysis[[#This Row],[Severity]]&gt;=15,"High",IF(tbl_risk_analysis[[#This Row],[Severity]]&gt;=8,"Medium","Low"))))</f>
        <v>Medium</v>
      </c>
      <c r="H11" s="2" t="s">
        <v>3652</v>
      </c>
      <c r="J11" s="5">
        <v>3</v>
      </c>
      <c r="K11" s="8">
        <f t="shared" si="0"/>
        <v>3</v>
      </c>
      <c r="L11" s="8">
        <f t="shared" si="0"/>
        <v>6</v>
      </c>
      <c r="M11" s="8">
        <f t="shared" si="0"/>
        <v>9</v>
      </c>
      <c r="N11" s="8">
        <f t="shared" si="0"/>
        <v>12</v>
      </c>
      <c r="O11" s="8">
        <f t="shared" si="0"/>
        <v>15</v>
      </c>
      <c r="Q11" s="5">
        <v>3</v>
      </c>
      <c r="R11" s="8">
        <f>COUNTIFS(tbl_risk_analysis[Probability],$Q11,tbl_risk_analysis[Impact],R$8,tbl_risk_analysis[Risk],"&lt;&gt;")</f>
        <v>0</v>
      </c>
      <c r="S11" s="8">
        <f>COUNTIFS(tbl_risk_analysis[Probability],$Q11,tbl_risk_analysis[Impact],S$8,tbl_risk_analysis[Risk],"&lt;&gt;")</f>
        <v>0</v>
      </c>
      <c r="T11" s="8">
        <f>COUNTIFS(tbl_risk_analysis[Probability],$Q11,tbl_risk_analysis[Impact],T$8,tbl_risk_analysis[Risk],"&lt;&gt;")</f>
        <v>3</v>
      </c>
      <c r="U11" s="8">
        <f>COUNTIFS(tbl_risk_analysis[Probability],$Q11,tbl_risk_analysis[Impact],U$8,tbl_risk_analysis[Risk],"&lt;&gt;")</f>
        <v>4</v>
      </c>
      <c r="V11" s="8">
        <f>COUNTIFS(tbl_risk_analysis[Probability],$Q11,tbl_risk_analysis[Impact],V$8,tbl_risk_analysis[Risk],"&lt;&gt;")</f>
        <v>1</v>
      </c>
    </row>
    <row r="12" spans="1:22" ht="18" customHeight="1">
      <c r="A12" s="2" t="s">
        <v>3699</v>
      </c>
      <c r="B12" s="2" t="s">
        <v>3718</v>
      </c>
      <c r="C12" s="2" t="s">
        <v>3661</v>
      </c>
      <c r="D12" s="2">
        <v>3</v>
      </c>
      <c r="E12" s="2">
        <v>4</v>
      </c>
      <c r="F12" s="3">
        <f>IF(tbl_risk_analysis[[#This Row],[Risk]]="","",IF(OR(tbl_risk_analysis[[#This Row],[Probability]]="",tbl_risk_analysis[[#This Row],[Impact]]=""),"",tbl_risk_analysis[[#This Row],[Probability]]*tbl_risk_analysis[[#This Row],[Impact]]))</f>
        <v>12</v>
      </c>
      <c r="G12" s="2" t="str">
        <f>IF(tbl_risk_analysis[[#This Row],[Severity]]="","",IF(tbl_risk_analysis[[#This Row],[Severity]]&gt;=20,"Critical",IF(tbl_risk_analysis[[#This Row],[Severity]]&gt;=15,"High",IF(tbl_risk_analysis[[#This Row],[Severity]]&gt;=8,"Medium","Low"))))</f>
        <v>Medium</v>
      </c>
      <c r="H12" s="2" t="s">
        <v>3662</v>
      </c>
      <c r="J12" s="5">
        <v>2</v>
      </c>
      <c r="K12" s="8">
        <f t="shared" si="0"/>
        <v>2</v>
      </c>
      <c r="L12" s="8">
        <f t="shared" si="0"/>
        <v>4</v>
      </c>
      <c r="M12" s="8">
        <f t="shared" si="0"/>
        <v>6</v>
      </c>
      <c r="N12" s="8">
        <f t="shared" si="0"/>
        <v>8</v>
      </c>
      <c r="O12" s="8">
        <f t="shared" si="0"/>
        <v>10</v>
      </c>
      <c r="Q12" s="5">
        <v>2</v>
      </c>
      <c r="R12" s="8">
        <f>COUNTIFS(tbl_risk_analysis[Probability],$Q12,tbl_risk_analysis[Impact],R$8,tbl_risk_analysis[Risk],"&lt;&gt;")</f>
        <v>0</v>
      </c>
      <c r="S12" s="8">
        <f>COUNTIFS(tbl_risk_analysis[Probability],$Q12,tbl_risk_analysis[Impact],S$8,tbl_risk_analysis[Risk],"&lt;&gt;")</f>
        <v>0</v>
      </c>
      <c r="T12" s="8">
        <f>COUNTIFS(tbl_risk_analysis[Probability],$Q12,tbl_risk_analysis[Impact],T$8,tbl_risk_analysis[Risk],"&lt;&gt;")</f>
        <v>0</v>
      </c>
      <c r="U12" s="8">
        <f>COUNTIFS(tbl_risk_analysis[Probability],$Q12,tbl_risk_analysis[Impact],U$8,tbl_risk_analysis[Risk],"&lt;&gt;")</f>
        <v>0</v>
      </c>
      <c r="V12" s="8">
        <f>COUNTIFS(tbl_risk_analysis[Probability],$Q12,tbl_risk_analysis[Impact],V$8,tbl_risk_analysis[Risk],"&lt;&gt;")</f>
        <v>0</v>
      </c>
    </row>
    <row r="13" spans="1:22" ht="18" customHeight="1">
      <c r="A13" s="2" t="s">
        <v>3700</v>
      </c>
      <c r="B13" s="2" t="s">
        <v>3719</v>
      </c>
      <c r="C13" s="2" t="s">
        <v>3663</v>
      </c>
      <c r="D13" s="2">
        <v>4</v>
      </c>
      <c r="E13" s="2">
        <v>3</v>
      </c>
      <c r="F13" s="3">
        <f>IF(tbl_risk_analysis[[#This Row],[Risk]]="","",IF(OR(tbl_risk_analysis[[#This Row],[Probability]]="",tbl_risk_analysis[[#This Row],[Impact]]=""),"",tbl_risk_analysis[[#This Row],[Probability]]*tbl_risk_analysis[[#This Row],[Impact]]))</f>
        <v>12</v>
      </c>
      <c r="G13" s="2" t="str">
        <f>IF(tbl_risk_analysis[[#This Row],[Severity]]="","",IF(tbl_risk_analysis[[#This Row],[Severity]]&gt;=20,"Critical",IF(tbl_risk_analysis[[#This Row],[Severity]]&gt;=15,"High",IF(tbl_risk_analysis[[#This Row],[Severity]]&gt;=8,"Medium","Low"))))</f>
        <v>Medium</v>
      </c>
      <c r="H13" s="2" t="s">
        <v>3664</v>
      </c>
      <c r="J13" s="5">
        <v>1</v>
      </c>
      <c r="K13" s="8">
        <f t="shared" si="0"/>
        <v>1</v>
      </c>
      <c r="L13" s="8">
        <f t="shared" si="0"/>
        <v>2</v>
      </c>
      <c r="M13" s="8">
        <f t="shared" si="0"/>
        <v>3</v>
      </c>
      <c r="N13" s="8">
        <f t="shared" si="0"/>
        <v>4</v>
      </c>
      <c r="O13" s="8">
        <f t="shared" si="0"/>
        <v>5</v>
      </c>
      <c r="Q13" s="5">
        <v>1</v>
      </c>
      <c r="R13" s="8">
        <f>COUNTIFS(tbl_risk_analysis[Probability],$Q13,tbl_risk_analysis[Impact],R$8,tbl_risk_analysis[Risk],"&lt;&gt;")</f>
        <v>0</v>
      </c>
      <c r="S13" s="8">
        <f>COUNTIFS(tbl_risk_analysis[Probability],$Q13,tbl_risk_analysis[Impact],S$8,tbl_risk_analysis[Risk],"&lt;&gt;")</f>
        <v>0</v>
      </c>
      <c r="T13" s="8">
        <f>COUNTIFS(tbl_risk_analysis[Probability],$Q13,tbl_risk_analysis[Impact],T$8,tbl_risk_analysis[Risk],"&lt;&gt;")</f>
        <v>0</v>
      </c>
      <c r="U13" s="8">
        <f>COUNTIFS(tbl_risk_analysis[Probability],$Q13,tbl_risk_analysis[Impact],U$8,tbl_risk_analysis[Risk],"&lt;&gt;")</f>
        <v>0</v>
      </c>
      <c r="V13" s="8">
        <f>COUNTIFS(tbl_risk_analysis[Probability],$Q13,tbl_risk_analysis[Impact],V$8,tbl_risk_analysis[Risk],"&lt;&gt;")</f>
        <v>0</v>
      </c>
    </row>
    <row r="14" spans="1:22" ht="36">
      <c r="A14" s="2" t="s">
        <v>3701</v>
      </c>
      <c r="B14" s="2" t="s">
        <v>3720</v>
      </c>
      <c r="C14" s="2" t="s">
        <v>3665</v>
      </c>
      <c r="D14" s="2">
        <v>4</v>
      </c>
      <c r="E14" s="2">
        <v>3</v>
      </c>
      <c r="F14" s="3">
        <f>IF(tbl_risk_analysis[[#This Row],[Risk]]="","",IF(OR(tbl_risk_analysis[[#This Row],[Probability]]="",tbl_risk_analysis[[#This Row],[Impact]]=""),"",tbl_risk_analysis[[#This Row],[Probability]]*tbl_risk_analysis[[#This Row],[Impact]]))</f>
        <v>12</v>
      </c>
      <c r="G14" s="2" t="str">
        <f>IF(tbl_risk_analysis[[#This Row],[Severity]]="","",IF(tbl_risk_analysis[[#This Row],[Severity]]&gt;=20,"Critical",IF(tbl_risk_analysis[[#This Row],[Severity]]&gt;=15,"High",IF(tbl_risk_analysis[[#This Row],[Severity]]&gt;=8,"Medium","Low"))))</f>
        <v>Medium</v>
      </c>
      <c r="H14" s="2" t="s">
        <v>3666</v>
      </c>
    </row>
    <row r="15" spans="1:22" ht="36">
      <c r="A15" s="2" t="s">
        <v>3702</v>
      </c>
      <c r="B15" s="2" t="s">
        <v>3721</v>
      </c>
      <c r="C15" s="2" t="s">
        <v>3667</v>
      </c>
      <c r="D15" s="2">
        <v>3</v>
      </c>
      <c r="E15" s="2">
        <v>4</v>
      </c>
      <c r="F15" s="3">
        <f>IF(tbl_risk_analysis[[#This Row],[Risk]]="","",IF(OR(tbl_risk_analysis[[#This Row],[Probability]]="",tbl_risk_analysis[[#This Row],[Impact]]=""),"",tbl_risk_analysis[[#This Row],[Probability]]*tbl_risk_analysis[[#This Row],[Impact]]))</f>
        <v>12</v>
      </c>
      <c r="G15" s="2" t="str">
        <f>IF(tbl_risk_analysis[[#This Row],[Severity]]="","",IF(tbl_risk_analysis[[#This Row],[Severity]]&gt;=20,"Critical",IF(tbl_risk_analysis[[#This Row],[Severity]]&gt;=15,"High",IF(tbl_risk_analysis[[#This Row],[Severity]]&gt;=8,"Medium","Low"))))</f>
        <v>Medium</v>
      </c>
      <c r="H15" s="2" t="s">
        <v>3668</v>
      </c>
    </row>
    <row r="16" spans="1:22" ht="36">
      <c r="A16" s="2" t="s">
        <v>3703</v>
      </c>
      <c r="B16" s="2" t="s">
        <v>3722</v>
      </c>
      <c r="C16" s="2" t="s">
        <v>3669</v>
      </c>
      <c r="D16" s="2">
        <v>3</v>
      </c>
      <c r="E16" s="2">
        <v>4</v>
      </c>
      <c r="F16" s="3">
        <f>IF(tbl_risk_analysis[[#This Row],[Risk]]="","",IF(OR(tbl_risk_analysis[[#This Row],[Probability]]="",tbl_risk_analysis[[#This Row],[Impact]]=""),"",tbl_risk_analysis[[#This Row],[Probability]]*tbl_risk_analysis[[#This Row],[Impact]]))</f>
        <v>12</v>
      </c>
      <c r="G16" s="2" t="str">
        <f>IF(tbl_risk_analysis[[#This Row],[Severity]]="","",IF(tbl_risk_analysis[[#This Row],[Severity]]&gt;=20,"Critical",IF(tbl_risk_analysis[[#This Row],[Severity]]&gt;=15,"High",IF(tbl_risk_analysis[[#This Row],[Severity]]&gt;=8,"Medium","Low"))))</f>
        <v>Medium</v>
      </c>
      <c r="H16" s="2" t="s">
        <v>3670</v>
      </c>
    </row>
    <row r="17" spans="1:15" ht="36">
      <c r="A17" s="2" t="s">
        <v>3704</v>
      </c>
      <c r="B17" s="2" t="s">
        <v>3723</v>
      </c>
      <c r="C17" s="2" t="s">
        <v>3677</v>
      </c>
      <c r="D17" s="2">
        <v>4</v>
      </c>
      <c r="E17" s="2">
        <v>3</v>
      </c>
      <c r="F17" s="3">
        <f>IF(tbl_risk_analysis[[#This Row],[Risk]]="","",IF(OR(tbl_risk_analysis[[#This Row],[Probability]]="",tbl_risk_analysis[[#This Row],[Impact]]=""),"",tbl_risk_analysis[[#This Row],[Probability]]*tbl_risk_analysis[[#This Row],[Impact]]))</f>
        <v>12</v>
      </c>
      <c r="G17" s="2" t="str">
        <f>IF(tbl_risk_analysis[[#This Row],[Severity]]="","",IF(tbl_risk_analysis[[#This Row],[Severity]]&gt;=20,"Critical",IF(tbl_risk_analysis[[#This Row],[Severity]]&gt;=15,"High",IF(tbl_risk_analysis[[#This Row],[Severity]]&gt;=8,"Medium","Low"))))</f>
        <v>Medium</v>
      </c>
      <c r="H17" s="2" t="s">
        <v>3678</v>
      </c>
    </row>
    <row r="18" spans="1:15" ht="36">
      <c r="A18" s="2" t="s">
        <v>3705</v>
      </c>
      <c r="B18" s="2" t="s">
        <v>3724</v>
      </c>
      <c r="C18" s="2" t="s">
        <v>3659</v>
      </c>
      <c r="D18" s="2">
        <v>3</v>
      </c>
      <c r="E18" s="2">
        <v>5</v>
      </c>
      <c r="F18" s="319">
        <f>IF(tbl_risk_analysis[[#This Row],[Risk]]="","",IF(OR(tbl_risk_analysis[[#This Row],[Probability]]="",tbl_risk_analysis[[#This Row],[Impact]]=""),"",tbl_risk_analysis[[#This Row],[Probability]]*tbl_risk_analysis[[#This Row],[Impact]]))</f>
        <v>15</v>
      </c>
      <c r="G18" s="2" t="str">
        <f>IF(tbl_risk_analysis[[#This Row],[Severity]]="","",IF(tbl_risk_analysis[[#This Row],[Severity]]&gt;=20,"Critical",IF(tbl_risk_analysis[[#This Row],[Severity]]&gt;=15,"High",IF(tbl_risk_analysis[[#This Row],[Severity]]&gt;=8,"Medium","Low"))))</f>
        <v>High</v>
      </c>
      <c r="H18" s="2" t="s">
        <v>3660</v>
      </c>
    </row>
    <row r="19" spans="1:15" ht="36">
      <c r="A19" s="2" t="s">
        <v>3706</v>
      </c>
      <c r="B19" s="2" t="s">
        <v>3725</v>
      </c>
      <c r="C19" s="2" t="s">
        <v>3647</v>
      </c>
      <c r="D19" s="2">
        <v>4</v>
      </c>
      <c r="E19" s="2">
        <v>4</v>
      </c>
      <c r="F19" s="319">
        <f>IF(tbl_risk_analysis[[#This Row],[Risk]]="","",IF(OR(tbl_risk_analysis[[#This Row],[Probability]]="",tbl_risk_analysis[[#This Row],[Impact]]=""),"",tbl_risk_analysis[[#This Row],[Probability]]*tbl_risk_analysis[[#This Row],[Impact]]))</f>
        <v>16</v>
      </c>
      <c r="G19" s="2" t="str">
        <f>IF(tbl_risk_analysis[[#This Row],[Severity]]="","",IF(tbl_risk_analysis[[#This Row],[Severity]]&gt;=20,"Critical",IF(tbl_risk_analysis[[#This Row],[Severity]]&gt;=15,"High",IF(tbl_risk_analysis[[#This Row],[Severity]]&gt;=8,"Medium","Low"))))</f>
        <v>High</v>
      </c>
      <c r="H19" s="2" t="s">
        <v>3648</v>
      </c>
    </row>
    <row r="20" spans="1:15" ht="36">
      <c r="A20" s="2" t="s">
        <v>3707</v>
      </c>
      <c r="B20" s="2" t="s">
        <v>3725</v>
      </c>
      <c r="C20" s="2" t="s">
        <v>3649</v>
      </c>
      <c r="D20" s="2">
        <v>4</v>
      </c>
      <c r="E20" s="2">
        <v>4</v>
      </c>
      <c r="F20" s="319">
        <f>IF(tbl_risk_analysis[[#This Row],[Risk]]="","",IF(OR(tbl_risk_analysis[[#This Row],[Probability]]="",tbl_risk_analysis[[#This Row],[Impact]]=""),"",tbl_risk_analysis[[#This Row],[Probability]]*tbl_risk_analysis[[#This Row],[Impact]]))</f>
        <v>16</v>
      </c>
      <c r="G20" s="2" t="str">
        <f>IF(tbl_risk_analysis[[#This Row],[Severity]]="","",IF(tbl_risk_analysis[[#This Row],[Severity]]&gt;=20,"Critical",IF(tbl_risk_analysis[[#This Row],[Severity]]&gt;=15,"High",IF(tbl_risk_analysis[[#This Row],[Severity]]&gt;=8,"Medium","Low"))))</f>
        <v>High</v>
      </c>
      <c r="H20" s="2" t="s">
        <v>3650</v>
      </c>
    </row>
    <row r="21" spans="1:15" ht="36">
      <c r="A21" s="2" t="s">
        <v>3708</v>
      </c>
      <c r="B21" s="2" t="s">
        <v>3726</v>
      </c>
      <c r="C21" s="2" t="s">
        <v>3653</v>
      </c>
      <c r="D21" s="2">
        <v>4</v>
      </c>
      <c r="E21" s="2">
        <v>4</v>
      </c>
      <c r="F21" s="319">
        <f>IF(tbl_risk_analysis[[#This Row],[Risk]]="","",IF(OR(tbl_risk_analysis[[#This Row],[Probability]]="",tbl_risk_analysis[[#This Row],[Impact]]=""),"",tbl_risk_analysis[[#This Row],[Probability]]*tbl_risk_analysis[[#This Row],[Impact]]))</f>
        <v>16</v>
      </c>
      <c r="G21" s="2" t="str">
        <f>IF(tbl_risk_analysis[[#This Row],[Severity]]="","",IF(tbl_risk_analysis[[#This Row],[Severity]]&gt;=20,"Critical",IF(tbl_risk_analysis[[#This Row],[Severity]]&gt;=15,"High",IF(tbl_risk_analysis[[#This Row],[Severity]]&gt;=8,"Medium","Low"))))</f>
        <v>High</v>
      </c>
      <c r="H21" s="2" t="s">
        <v>3654</v>
      </c>
    </row>
    <row r="22" spans="1:15" ht="36">
      <c r="A22" s="2" t="s">
        <v>3709</v>
      </c>
      <c r="B22" s="2" t="s">
        <v>3727</v>
      </c>
      <c r="C22" s="2" t="s">
        <v>3655</v>
      </c>
      <c r="D22" s="2">
        <v>4</v>
      </c>
      <c r="E22" s="2">
        <v>4</v>
      </c>
      <c r="F22" s="319">
        <f>IF(tbl_risk_analysis[[#This Row],[Risk]]="","",IF(OR(tbl_risk_analysis[[#This Row],[Probability]]="",tbl_risk_analysis[[#This Row],[Impact]]=""),"",tbl_risk_analysis[[#This Row],[Probability]]*tbl_risk_analysis[[#This Row],[Impact]]))</f>
        <v>16</v>
      </c>
      <c r="G22" s="2" t="str">
        <f>IF(tbl_risk_analysis[[#This Row],[Severity]]="","",IF(tbl_risk_analysis[[#This Row],[Severity]]&gt;=20,"Critical",IF(tbl_risk_analysis[[#This Row],[Severity]]&gt;=15,"High",IF(tbl_risk_analysis[[#This Row],[Severity]]&gt;=8,"Medium","Low"))))</f>
        <v>High</v>
      </c>
      <c r="H22" s="2" t="s">
        <v>3656</v>
      </c>
      <c r="J22" s="13"/>
      <c r="K22" s="13"/>
      <c r="L22" s="13"/>
      <c r="M22" s="13"/>
      <c r="N22" s="13"/>
      <c r="O22" s="13"/>
    </row>
    <row r="23" spans="1:15" ht="36">
      <c r="A23" s="2" t="s">
        <v>3710</v>
      </c>
      <c r="B23" s="2" t="s">
        <v>3728</v>
      </c>
      <c r="C23" s="2" t="s">
        <v>3657</v>
      </c>
      <c r="D23" s="2">
        <v>4</v>
      </c>
      <c r="E23" s="2">
        <v>4</v>
      </c>
      <c r="F23" s="319">
        <f>IF(tbl_risk_analysis[[#This Row],[Risk]]="","",IF(OR(tbl_risk_analysis[[#This Row],[Probability]]="",tbl_risk_analysis[[#This Row],[Impact]]=""),"",tbl_risk_analysis[[#This Row],[Probability]]*tbl_risk_analysis[[#This Row],[Impact]]))</f>
        <v>16</v>
      </c>
      <c r="G23" s="2" t="str">
        <f>IF(tbl_risk_analysis[[#This Row],[Severity]]="","",IF(tbl_risk_analysis[[#This Row],[Severity]]&gt;=20,"Critical",IF(tbl_risk_analysis[[#This Row],[Severity]]&gt;=15,"High",IF(tbl_risk_analysis[[#This Row],[Severity]]&gt;=8,"Medium","Low"))))</f>
        <v>High</v>
      </c>
      <c r="H23" s="2" t="s">
        <v>3658</v>
      </c>
      <c r="J23" s="13"/>
      <c r="K23" s="13"/>
      <c r="L23" s="13"/>
      <c r="M23" s="13"/>
      <c r="N23" s="13"/>
      <c r="O23" s="13"/>
    </row>
    <row r="24" spans="1:15" ht="48">
      <c r="A24" s="2" t="s">
        <v>3711</v>
      </c>
      <c r="B24" s="2" t="s">
        <v>3729</v>
      </c>
      <c r="C24" s="2" t="s">
        <v>3641</v>
      </c>
      <c r="D24" s="2">
        <v>4</v>
      </c>
      <c r="E24" s="2">
        <v>5</v>
      </c>
      <c r="F24" s="3">
        <f>IF(tbl_risk_analysis[[#This Row],[Risk]]="","",IF(OR(tbl_risk_analysis[[#This Row],[Probability]]="",tbl_risk_analysis[[#This Row],[Impact]]=""),"",tbl_risk_analysis[[#This Row],[Probability]]*tbl_risk_analysis[[#This Row],[Impact]]))</f>
        <v>20</v>
      </c>
      <c r="G24" s="2" t="str">
        <f>IF(tbl_risk_analysis[[#This Row],[Severity]]="","",IF(tbl_risk_analysis[[#This Row],[Severity]]&gt;=20,"Critical",IF(tbl_risk_analysis[[#This Row],[Severity]]&gt;=15,"High",IF(tbl_risk_analysis[[#This Row],[Severity]]&gt;=8,"Medium","Low"))))</f>
        <v>Critical</v>
      </c>
      <c r="H24" s="2" t="s">
        <v>3642</v>
      </c>
      <c r="J24" s="13"/>
      <c r="K24" s="13"/>
      <c r="L24" s="13"/>
      <c r="M24" s="13"/>
      <c r="N24" s="13"/>
      <c r="O24" s="13"/>
    </row>
    <row r="25" spans="1:15" ht="36">
      <c r="A25" s="2" t="s">
        <v>3712</v>
      </c>
      <c r="B25" s="2" t="s">
        <v>3730</v>
      </c>
      <c r="C25" s="2" t="s">
        <v>3643</v>
      </c>
      <c r="D25" s="2">
        <v>5</v>
      </c>
      <c r="E25" s="2">
        <v>4</v>
      </c>
      <c r="F25" s="3">
        <f>IF(tbl_risk_analysis[[#This Row],[Risk]]="","",IF(OR(tbl_risk_analysis[[#This Row],[Probability]]="",tbl_risk_analysis[[#This Row],[Impact]]=""),"",tbl_risk_analysis[[#This Row],[Probability]]*tbl_risk_analysis[[#This Row],[Impact]]))</f>
        <v>20</v>
      </c>
      <c r="G25" s="2" t="str">
        <f>IF(tbl_risk_analysis[[#This Row],[Severity]]="","",IF(tbl_risk_analysis[[#This Row],[Severity]]&gt;=20,"Critical",IF(tbl_risk_analysis[[#This Row],[Severity]]&gt;=15,"High",IF(tbl_risk_analysis[[#This Row],[Severity]]&gt;=8,"Medium","Low"))))</f>
        <v>Critical</v>
      </c>
      <c r="H25" s="2" t="s">
        <v>3644</v>
      </c>
    </row>
    <row r="26" spans="1:15" ht="36">
      <c r="A26" s="2" t="s">
        <v>3713</v>
      </c>
      <c r="B26" s="2" t="s">
        <v>3727</v>
      </c>
      <c r="C26" s="2" t="s">
        <v>3645</v>
      </c>
      <c r="D26" s="2">
        <v>4</v>
      </c>
      <c r="E26" s="2">
        <v>5</v>
      </c>
      <c r="F26" s="3">
        <f>IF(tbl_risk_analysis[[#This Row],[Risk]]="","",IF(OR(tbl_risk_analysis[[#This Row],[Probability]]="",tbl_risk_analysis[[#This Row],[Impact]]=""),"",tbl_risk_analysis[[#This Row],[Probability]]*tbl_risk_analysis[[#This Row],[Impact]]))</f>
        <v>20</v>
      </c>
      <c r="G26" s="2" t="str">
        <f>IF(tbl_risk_analysis[[#This Row],[Severity]]="","",IF(tbl_risk_analysis[[#This Row],[Severity]]&gt;=20,"Critical",IF(tbl_risk_analysis[[#This Row],[Severity]]&gt;=15,"High",IF(tbl_risk_analysis[[#This Row],[Severity]]&gt;=8,"Medium","Low"))))</f>
        <v>Critical</v>
      </c>
      <c r="H26" s="2" t="s">
        <v>3646</v>
      </c>
    </row>
  </sheetData>
  <mergeCells count="8">
    <mergeCell ref="A1:H1"/>
    <mergeCell ref="A2:H2"/>
    <mergeCell ref="J7:O7"/>
    <mergeCell ref="Q7:V7"/>
    <mergeCell ref="A4:B4"/>
    <mergeCell ref="A5:B5"/>
    <mergeCell ref="D4:E4"/>
    <mergeCell ref="D5:E5"/>
  </mergeCells>
  <phoneticPr fontId="50" type="noConversion"/>
  <conditionalFormatting sqref="D8:E26">
    <cfRule type="containsText" dxfId="74" priority="14" operator="containsText" text="1">
      <formula>NOT(ISERROR(SEARCH("1",D8)))</formula>
    </cfRule>
    <cfRule type="containsText" dxfId="73" priority="15" operator="containsText" text="2">
      <formula>NOT(ISERROR(SEARCH("2",D8)))</formula>
    </cfRule>
    <cfRule type="containsText" dxfId="72" priority="16" operator="containsText" text="3">
      <formula>NOT(ISERROR(SEARCH("3",D8)))</formula>
    </cfRule>
    <cfRule type="containsText" dxfId="71" priority="17" operator="containsText" text="4">
      <formula>NOT(ISERROR(SEARCH("4",D8)))</formula>
    </cfRule>
    <cfRule type="containsText" dxfId="70" priority="18" operator="containsText" text="5">
      <formula>NOT(ISERROR(SEARCH("5",D8)))</formula>
    </cfRule>
  </conditionalFormatting>
  <conditionalFormatting sqref="F8:F26">
    <cfRule type="expression" dxfId="69" priority="1">
      <formula>AND($F5&gt;=15,$F5&lt;=19)</formula>
    </cfRule>
    <cfRule type="cellIs" dxfId="68" priority="7" stopIfTrue="1" operator="between">
      <formula>1</formula>
      <formula>7</formula>
    </cfRule>
    <cfRule type="cellIs" dxfId="67" priority="8" stopIfTrue="1" operator="between">
      <formula>8</formula>
      <formula>14</formula>
    </cfRule>
    <cfRule type="cellIs" dxfId="66" priority="10" stopIfTrue="1" operator="greaterThanOrEqual">
      <formula>20</formula>
    </cfRule>
  </conditionalFormatting>
  <conditionalFormatting sqref="G8:G26">
    <cfRule type="containsText" dxfId="65" priority="2" operator="containsText" text="1">
      <formula>NOT(ISERROR(SEARCH("1",G8)))</formula>
    </cfRule>
    <cfRule type="containsText" dxfId="64" priority="3" operator="containsText" text="2">
      <formula>NOT(ISERROR(SEARCH("2",G8)))</formula>
    </cfRule>
    <cfRule type="containsText" dxfId="63" priority="4" operator="containsText" text="3">
      <formula>NOT(ISERROR(SEARCH("3",G8)))</formula>
    </cfRule>
    <cfRule type="containsText" dxfId="62" priority="5" operator="containsText" text="4">
      <formula>NOT(ISERROR(SEARCH("4",G8)))</formula>
    </cfRule>
    <cfRule type="containsText" dxfId="61" priority="6" operator="containsText" text="5">
      <formula>NOT(ISERROR(SEARCH("5",G8)))</formula>
    </cfRule>
  </conditionalFormatting>
  <conditionalFormatting sqref="K9:O13">
    <cfRule type="colorScale" priority="49">
      <colorScale>
        <cfvo type="min"/>
        <cfvo type="percentile" val="50"/>
        <cfvo type="max"/>
        <color rgb="FFE7F4EA"/>
        <color rgb="FFFFF2CC"/>
        <color rgb="FFFCE8E6"/>
      </colorScale>
    </cfRule>
  </conditionalFormatting>
  <conditionalFormatting sqref="R9:V13">
    <cfRule type="colorScale" priority="11">
      <colorScale>
        <cfvo type="min"/>
        <cfvo type="percentile" val="50"/>
        <cfvo type="max"/>
        <color rgb="FFE7F4EA"/>
        <color rgb="FFFFF2CC"/>
        <color rgb="FFFCE8E6"/>
      </colorScale>
    </cfRule>
  </conditionalFormatting>
  <dataValidations count="1">
    <dataValidation type="list" allowBlank="1" showErrorMessage="1" errorTitle="Invalid entry" error="Select a value from the dropdown list." sqref="D8:E26" xr:uid="{00000000-0002-0000-0400-000000000000}">
      <formula1>"1,2,3,4,5"</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rgb="FFD4AF37"/>
  </sheetPr>
  <dimension ref="A1:BK26"/>
  <sheetViews>
    <sheetView showGridLines="0" zoomScale="53" zoomScaleNormal="55" workbookViewId="0">
      <selection activeCell="H15" sqref="H15"/>
    </sheetView>
  </sheetViews>
  <sheetFormatPr defaultRowHeight="14"/>
  <cols>
    <col min="1" max="1" width="39.25" customWidth="1"/>
    <col min="2" max="2" width="20.5" customWidth="1"/>
    <col min="3" max="3" width="10.4140625" bestFit="1" customWidth="1"/>
    <col min="4" max="4" width="14.4140625" bestFit="1" customWidth="1"/>
    <col min="5" max="5" width="18.33203125" bestFit="1" customWidth="1"/>
    <col min="6" max="6" width="23" bestFit="1" customWidth="1"/>
    <col min="7" max="7" width="27.4140625" bestFit="1" customWidth="1"/>
    <col min="8" max="9" width="27.4140625" customWidth="1"/>
    <col min="10" max="10" width="19.58203125" bestFit="1" customWidth="1"/>
    <col min="11" max="11" width="20.9140625" bestFit="1" customWidth="1"/>
    <col min="12" max="12" width="14.5" bestFit="1" customWidth="1"/>
    <col min="13" max="13" width="21.5" bestFit="1" customWidth="1"/>
    <col min="14" max="14" width="15.33203125" bestFit="1" customWidth="1"/>
    <col min="15" max="15" width="18.9140625" bestFit="1" customWidth="1"/>
    <col min="16" max="16" width="94.6640625" bestFit="1" customWidth="1"/>
    <col min="17" max="17" width="16.83203125" bestFit="1" customWidth="1"/>
    <col min="18" max="18" width="15" customWidth="1"/>
    <col min="19" max="19" width="20.33203125" bestFit="1" customWidth="1"/>
    <col min="20" max="20" width="10.9140625" bestFit="1" customWidth="1"/>
    <col min="23" max="23" width="15.9140625" bestFit="1" customWidth="1"/>
  </cols>
  <sheetData>
    <row r="1" spans="1:63" ht="20" customHeight="1">
      <c r="A1" s="473" t="s">
        <v>123</v>
      </c>
      <c r="B1" s="473" t="s">
        <v>123</v>
      </c>
      <c r="C1" s="473" t="s">
        <v>123</v>
      </c>
      <c r="D1" s="473"/>
      <c r="E1" s="473"/>
      <c r="F1" s="473" t="s">
        <v>123</v>
      </c>
      <c r="G1" s="473" t="s">
        <v>123</v>
      </c>
      <c r="H1" s="473"/>
      <c r="I1" s="473"/>
      <c r="J1" s="473" t="s">
        <v>123</v>
      </c>
      <c r="K1" s="473"/>
      <c r="L1" s="473"/>
      <c r="M1" s="473" t="s">
        <v>123</v>
      </c>
      <c r="N1" s="103"/>
      <c r="O1" s="103"/>
      <c r="P1" s="103"/>
      <c r="Q1" s="103"/>
    </row>
    <row r="2" spans="1:63" ht="16" customHeight="1">
      <c r="A2" s="474" t="s">
        <v>3736</v>
      </c>
      <c r="B2" s="475" t="s">
        <v>124</v>
      </c>
      <c r="C2" s="475" t="s">
        <v>124</v>
      </c>
      <c r="D2" s="475"/>
      <c r="E2" s="475"/>
      <c r="F2" s="475" t="s">
        <v>124</v>
      </c>
      <c r="G2" s="475" t="s">
        <v>124</v>
      </c>
      <c r="H2" s="475"/>
      <c r="I2" s="475"/>
      <c r="J2" s="475" t="s">
        <v>124</v>
      </c>
      <c r="K2" s="475"/>
      <c r="L2" s="475"/>
      <c r="M2" s="475" t="s">
        <v>124</v>
      </c>
      <c r="N2" s="104"/>
      <c r="O2" s="104"/>
      <c r="P2" s="104"/>
      <c r="Q2" s="104"/>
    </row>
    <row r="4" spans="1:63" ht="26">
      <c r="A4" s="387" t="s">
        <v>8</v>
      </c>
      <c r="B4" s="387" t="s">
        <v>9</v>
      </c>
      <c r="C4" s="386" t="s">
        <v>6</v>
      </c>
      <c r="D4" s="387" t="s">
        <v>10</v>
      </c>
      <c r="E4" s="387" t="s">
        <v>3741</v>
      </c>
      <c r="F4" s="387" t="s">
        <v>13</v>
      </c>
      <c r="G4" s="388" t="s">
        <v>3863</v>
      </c>
      <c r="H4" s="388" t="s">
        <v>3851</v>
      </c>
      <c r="I4" s="388" t="s">
        <v>11</v>
      </c>
      <c r="J4" s="389" t="s">
        <v>12</v>
      </c>
      <c r="K4" s="386" t="s">
        <v>125</v>
      </c>
      <c r="L4" s="387" t="s">
        <v>3780</v>
      </c>
      <c r="M4" s="387" t="s">
        <v>3784</v>
      </c>
      <c r="N4" s="386" t="s">
        <v>17</v>
      </c>
      <c r="O4" s="390" t="s">
        <v>3785</v>
      </c>
      <c r="P4" s="390" t="s">
        <v>110</v>
      </c>
      <c r="Q4" s="390" t="s">
        <v>3786</v>
      </c>
      <c r="S4" s="506" t="s">
        <v>126</v>
      </c>
      <c r="T4" s="506"/>
      <c r="V4" s="507" t="s">
        <v>3810</v>
      </c>
      <c r="W4" s="507"/>
      <c r="X4" s="507"/>
      <c r="BE4" t="s">
        <v>3740</v>
      </c>
      <c r="BG4" t="s">
        <v>3775</v>
      </c>
      <c r="BH4" t="s">
        <v>3783</v>
      </c>
      <c r="BI4" t="s">
        <v>3869</v>
      </c>
      <c r="BK4" t="s">
        <v>3264</v>
      </c>
    </row>
    <row r="5" spans="1:63" ht="25" customHeight="1">
      <c r="A5" s="145" t="s">
        <v>3734</v>
      </c>
      <c r="B5" s="145" t="s">
        <v>3735</v>
      </c>
      <c r="C5" s="145" t="s">
        <v>34</v>
      </c>
      <c r="D5" s="132" t="s">
        <v>3875</v>
      </c>
      <c r="E5" s="450">
        <v>12020.32</v>
      </c>
      <c r="F5" s="450">
        <v>1008750</v>
      </c>
      <c r="G5" s="102">
        <f>IF(tbl_infrastructure_projects[[#This Row],[Include in TAM?]]&lt;&gt;"Yes","",IFERROR(tbl_infrastructure_projects[[#This Row],[Estimated Concrete Demand (m³)]]*tbl_infrastructure_projects[[#This Row],[Avg Price per (₹ / m³)]]/10000000,""))</f>
        <v>655.6875</v>
      </c>
      <c r="H5" s="147">
        <f>IFERROR(INDEX(tbl_assumptions_log[Value],MATCH(tbl_infrastructure_projects[[#This Row],[Project Type]],tbl_assumptions_log[Assumption Category],0)),"")</f>
        <v>6500</v>
      </c>
      <c r="I5" s="149">
        <v>44214</v>
      </c>
      <c r="J5" s="149">
        <v>46752</v>
      </c>
      <c r="K5" s="98" t="s">
        <v>3775</v>
      </c>
      <c r="L5" s="146" t="str">
        <f>IF(tbl_infrastructure_projects[[#This Row],[Estimated Concrete Demand (m³)]]&gt;=250000,"Tier 1",IF(tbl_infrastructure_projects[[#This Row],[Estimated Concrete Demand (m³)]]&gt;=50000,"Tier 2","Tier 3"))</f>
        <v>Tier 1</v>
      </c>
      <c r="M5" s="148">
        <f>IFERROR(tbl_infrastructure_projects[[#This Row],[Estimated Concrete Demand (m³)]]/SUM(tbl_infrastructure_projects[Estimated Concrete Demand (m³)]),"")</f>
        <v>0.15814864106615778</v>
      </c>
      <c r="N5" s="145" t="s">
        <v>3737</v>
      </c>
      <c r="O5" s="145" t="s">
        <v>3788</v>
      </c>
      <c r="P5" s="145" t="s">
        <v>3789</v>
      </c>
      <c r="Q5" s="145" t="str">
        <f>IF(tbl_infrastructure_projects[[#This Row],[Project Name]]="","",IF(COUNTIF(Market_Data[Project Name],tbl_infrastructure_projects[[#This Row],[Project Name]])&gt;0,"No - Duplicate in Market_Data",IF(COUNTIF(Market_Data[District],tbl_infrastructure_projects[[#This Row],[District]])=0,"No - Outside Model Geography","Yes")))</f>
        <v>Yes</v>
      </c>
      <c r="S5" s="391" t="s">
        <v>127</v>
      </c>
      <c r="T5" s="392" t="s">
        <v>99</v>
      </c>
      <c r="V5" s="393" t="s">
        <v>6</v>
      </c>
      <c r="W5" s="508" t="s">
        <v>3811</v>
      </c>
      <c r="X5" s="508"/>
      <c r="BE5" t="s">
        <v>3875</v>
      </c>
      <c r="BG5" t="s">
        <v>3423</v>
      </c>
      <c r="BH5" t="s">
        <v>3781</v>
      </c>
      <c r="BI5" t="s">
        <v>3682</v>
      </c>
      <c r="BK5" t="s">
        <v>3870</v>
      </c>
    </row>
    <row r="6" spans="1:63" ht="25" customHeight="1">
      <c r="A6" s="145" t="s">
        <v>3738</v>
      </c>
      <c r="B6" s="146" t="s">
        <v>3739</v>
      </c>
      <c r="C6" s="145" t="s">
        <v>34</v>
      </c>
      <c r="D6" s="132" t="s">
        <v>3875</v>
      </c>
      <c r="E6" s="450">
        <v>974</v>
      </c>
      <c r="F6" s="450">
        <v>330364</v>
      </c>
      <c r="G6" s="102">
        <f>IF(tbl_infrastructure_projects[[#This Row],[Include in TAM?]]&lt;&gt;"Yes","",IFERROR(tbl_infrastructure_projects[[#This Row],[Estimated Concrete Demand (m³)]]*tbl_infrastructure_projects[[#This Row],[Avg Price per (₹ / m³)]]/10000000,""))</f>
        <v>201.52204</v>
      </c>
      <c r="H6" s="147">
        <f>IFERROR(INDEX(tbl_assumptions_log[Value],MATCH(tbl_infrastructure_projects[[#This Row],[Project Type]],tbl_assumptions_log[Assumption Category],0)),"")</f>
        <v>6100</v>
      </c>
      <c r="I6" s="150">
        <v>45976</v>
      </c>
      <c r="J6" s="149">
        <v>47118</v>
      </c>
      <c r="K6" s="98" t="s">
        <v>3775</v>
      </c>
      <c r="L6" s="146" t="str">
        <f>IF(tbl_infrastructure_projects[[#This Row],[Estimated Concrete Demand (m³)]]&gt;=250000,"Tier 1",IF(tbl_infrastructure_projects[[#This Row],[Estimated Concrete Demand (m³)]]&gt;=50000,"Tier 2","Tier 3"))</f>
        <v>Tier 1</v>
      </c>
      <c r="M6" s="148">
        <f>IFERROR(tbl_infrastructure_projects[[#This Row],[Estimated Concrete Demand (m³)]]/SUM(tbl_infrastructure_projects[Estimated Concrete Demand (m³)]),"")</f>
        <v>5.1793425186795687E-2</v>
      </c>
      <c r="N6" s="145" t="s">
        <v>3742</v>
      </c>
      <c r="O6" s="145" t="s">
        <v>3788</v>
      </c>
      <c r="P6" s="145" t="s">
        <v>3790</v>
      </c>
      <c r="Q6" s="145" t="str">
        <f>IF(tbl_infrastructure_projects[[#This Row],[Project Name]]="","",IF(COUNTIF(Market_Data[Project Name],tbl_infrastructure_projects[[#This Row],[Project Name]])&gt;0,"No - Duplicate in Market_Data",IF(COUNTIF(Market_Data[District],tbl_infrastructure_projects[[#This Row],[District]])=0,"No - Outside Model Geography","Yes")))</f>
        <v>Yes</v>
      </c>
      <c r="S6" s="99" t="s">
        <v>3773</v>
      </c>
      <c r="T6" s="141">
        <f>IF(COUNTA(tbl_infrastructure_projects[Project Name])=0,"",COUNTA(tbl_infrastructure_projects[Project Name]))</f>
        <v>22</v>
      </c>
      <c r="V6" s="105" t="s">
        <v>34</v>
      </c>
      <c r="W6" s="504">
        <f>IFERROR(SUMIF(tbl_infrastructure_projects[District],V6,tbl_infrastructure_projects[Estimated Concrete Demand (m³)]),"")</f>
        <v>1663256</v>
      </c>
      <c r="X6" s="505"/>
      <c r="Y6" s="109"/>
      <c r="BE6" t="s">
        <v>3873</v>
      </c>
      <c r="BG6" t="s">
        <v>194</v>
      </c>
      <c r="BH6" t="s">
        <v>3782</v>
      </c>
      <c r="BI6" t="s">
        <v>3787</v>
      </c>
      <c r="BK6" t="s">
        <v>3871</v>
      </c>
    </row>
    <row r="7" spans="1:63" ht="25" customHeight="1">
      <c r="A7" s="145" t="s">
        <v>3743</v>
      </c>
      <c r="B7" s="146" t="s">
        <v>3735</v>
      </c>
      <c r="C7" s="146" t="s">
        <v>34</v>
      </c>
      <c r="D7" s="132" t="s">
        <v>3875</v>
      </c>
      <c r="E7" s="450">
        <v>878</v>
      </c>
      <c r="F7" s="450">
        <v>134250</v>
      </c>
      <c r="G7" s="102">
        <f>IF(tbl_infrastructure_projects[[#This Row],[Include in TAM?]]&lt;&gt;"Yes","",IFERROR(tbl_infrastructure_projects[[#This Row],[Estimated Concrete Demand (m³)]]*tbl_infrastructure_projects[[#This Row],[Avg Price per (₹ / m³)]]/10000000,""))</f>
        <v>87.262500000000003</v>
      </c>
      <c r="H7" s="147">
        <f>IFERROR(INDEX(tbl_assumptions_log[Value],MATCH(tbl_infrastructure_projects[[#This Row],[Project Type]],tbl_assumptions_log[Assumption Category],0)),"")</f>
        <v>6500</v>
      </c>
      <c r="I7" s="150">
        <v>44805</v>
      </c>
      <c r="J7" s="149">
        <v>46387</v>
      </c>
      <c r="K7" s="98" t="s">
        <v>3423</v>
      </c>
      <c r="L7" s="146" t="str">
        <f>IF(tbl_infrastructure_projects[[#This Row],[Estimated Concrete Demand (m³)]]&gt;=250000,"Tier 1",IF(tbl_infrastructure_projects[[#This Row],[Estimated Concrete Demand (m³)]]&gt;=50000,"Tier 2","Tier 3"))</f>
        <v>Tier 2</v>
      </c>
      <c r="M7" s="148">
        <f>IFERROR(tbl_infrastructure_projects[[#This Row],[Estimated Concrete Demand (m³)]]/SUM(tbl_infrastructure_projects[Estimated Concrete Demand (m³)]),"")</f>
        <v>2.1047291264566725E-2</v>
      </c>
      <c r="N7" s="145" t="s">
        <v>3744</v>
      </c>
      <c r="O7" s="145" t="s">
        <v>3788</v>
      </c>
      <c r="P7" s="145" t="s">
        <v>3791</v>
      </c>
      <c r="Q7" s="145" t="str">
        <f>IF(tbl_infrastructure_projects[[#This Row],[Project Name]]="","",IF(COUNTIF(Market_Data[Project Name],tbl_infrastructure_projects[[#This Row],[Project Name]])&gt;0,"No - Duplicate in Market_Data",IF(COUNTIF(Market_Data[District],tbl_infrastructure_projects[[#This Row],[District]])=0,"No - Outside Model Geography","Yes")))</f>
        <v>Yes</v>
      </c>
      <c r="S7" s="100" t="s">
        <v>3774</v>
      </c>
      <c r="T7" s="142">
        <f>IF(COUNTA(tbl_infrastructure_projects[Project Name])=0,"",SUM(tbl_infrastructure_projects[Estimated Concrete Demand (m³)]))</f>
        <v>6378493</v>
      </c>
      <c r="V7" s="106" t="s">
        <v>36</v>
      </c>
      <c r="W7" s="504">
        <f>IFERROR(SUMIF(tbl_infrastructure_projects[District],V7,tbl_infrastructure_projects[Estimated Concrete Demand (m³)]),"")</f>
        <v>2749297</v>
      </c>
      <c r="X7" s="505"/>
      <c r="Y7" s="109"/>
      <c r="BG7" t="s">
        <v>3397</v>
      </c>
      <c r="BK7" t="s">
        <v>3872</v>
      </c>
    </row>
    <row r="8" spans="1:63" ht="25" customHeight="1">
      <c r="A8" s="145" t="s">
        <v>3745</v>
      </c>
      <c r="B8" s="145" t="s">
        <v>3746</v>
      </c>
      <c r="C8" s="146" t="s">
        <v>34</v>
      </c>
      <c r="D8" s="132" t="s">
        <v>3875</v>
      </c>
      <c r="E8" s="450">
        <v>30.92</v>
      </c>
      <c r="F8" s="450">
        <v>12364</v>
      </c>
      <c r="G8" s="102">
        <f>IF(tbl_infrastructure_projects[[#This Row],[Include in TAM?]]&lt;&gt;"Yes","",IFERROR(tbl_infrastructure_projects[[#This Row],[Estimated Concrete Demand (m³)]]*tbl_infrastructure_projects[[#This Row],[Avg Price per (₹ / m³)]]/10000000,""))</f>
        <v>7.1711200000000002</v>
      </c>
      <c r="H8" s="147">
        <f>IFERROR(INDEX(tbl_assumptions_log[Value],MATCH(tbl_infrastructure_projects[[#This Row],[Project Type]],tbl_assumptions_log[Assumption Category],0)),"")</f>
        <v>5800</v>
      </c>
      <c r="I8" s="150">
        <v>45306</v>
      </c>
      <c r="J8" s="149">
        <v>46387</v>
      </c>
      <c r="K8" s="98" t="s">
        <v>194</v>
      </c>
      <c r="L8" s="146" t="str">
        <f>IF(tbl_infrastructure_projects[[#This Row],[Estimated Concrete Demand (m³)]]&gt;=250000,"Tier 1",IF(tbl_infrastructure_projects[[#This Row],[Estimated Concrete Demand (m³)]]&gt;=50000,"Tier 2","Tier 3"))</f>
        <v>Tier 3</v>
      </c>
      <c r="M8" s="148">
        <f>IFERROR(tbl_infrastructure_projects[[#This Row],[Estimated Concrete Demand (m³)]]/SUM(tbl_infrastructure_projects[Estimated Concrete Demand (m³)]),"")</f>
        <v>1.9383888953080296E-3</v>
      </c>
      <c r="N8" s="145" t="s">
        <v>3742</v>
      </c>
      <c r="O8" s="145" t="s">
        <v>3788</v>
      </c>
      <c r="P8" s="145" t="s">
        <v>3792</v>
      </c>
      <c r="Q8" s="145" t="str">
        <f>IF(tbl_infrastructure_projects[[#This Row],[Project Name]]="","",IF(COUNTIF(Market_Data[Project Name],tbl_infrastructure_projects[[#This Row],[Project Name]])&gt;0,"No - Duplicate in Market_Data",IF(COUNTIF(Market_Data[District],tbl_infrastructure_projects[[#This Row],[District]])=0,"No - Outside Model Geography","Yes")))</f>
        <v>Yes</v>
      </c>
      <c r="S8" s="100" t="s">
        <v>3776</v>
      </c>
      <c r="T8" s="142">
        <f>IFERROR(SUM(tbl_infrastructure_projects[Estimated Project Cost (₹ Cr)]),"")</f>
        <v>31240.71</v>
      </c>
      <c r="V8" s="107" t="s">
        <v>37</v>
      </c>
      <c r="W8" s="504">
        <f>IFERROR(SUMIF(tbl_infrastructure_projects[District],V8,tbl_infrastructure_projects[Estimated Concrete Demand (m³)]),"")</f>
        <v>549696</v>
      </c>
      <c r="X8" s="505"/>
      <c r="Y8" s="109"/>
    </row>
    <row r="9" spans="1:63" ht="25" customHeight="1">
      <c r="A9" s="145" t="s">
        <v>3747</v>
      </c>
      <c r="B9" s="145" t="s">
        <v>3746</v>
      </c>
      <c r="C9" s="146" t="s">
        <v>34</v>
      </c>
      <c r="D9" s="132" t="s">
        <v>3740</v>
      </c>
      <c r="E9" s="450">
        <v>69.37</v>
      </c>
      <c r="F9" s="450">
        <v>36000</v>
      </c>
      <c r="G9" s="102">
        <f>IF(tbl_infrastructure_projects[[#This Row],[Include in TAM?]]&lt;&gt;"Yes","",IFERROR(tbl_infrastructure_projects[[#This Row],[Estimated Concrete Demand (m³)]]*tbl_infrastructure_projects[[#This Row],[Avg Price per (₹ / m³)]]/10000000,""))</f>
        <v>20.88</v>
      </c>
      <c r="H9" s="147">
        <f>IFERROR(INDEX(tbl_assumptions_log[Value],MATCH(tbl_infrastructure_projects[[#This Row],[Project Type]],tbl_assumptions_log[Assumption Category],0)),"")</f>
        <v>5800</v>
      </c>
      <c r="I9" s="150">
        <v>46249</v>
      </c>
      <c r="J9" s="149">
        <v>47177</v>
      </c>
      <c r="K9" s="98" t="s">
        <v>3423</v>
      </c>
      <c r="L9" s="146" t="str">
        <f>IF(tbl_infrastructure_projects[[#This Row],[Estimated Concrete Demand (m³)]]&gt;=250000,"Tier 1",IF(tbl_infrastructure_projects[[#This Row],[Estimated Concrete Demand (m³)]]&gt;=50000,"Tier 2","Tier 3"))</f>
        <v>Tier 3</v>
      </c>
      <c r="M9" s="148">
        <f>IFERROR(tbl_infrastructure_projects[[#This Row],[Estimated Concrete Demand (m³)]]/SUM(tbl_infrastructure_projects[Estimated Concrete Demand (m³)]),"")</f>
        <v>5.6439663726212449E-3</v>
      </c>
      <c r="N9" s="145" t="s">
        <v>3742</v>
      </c>
      <c r="O9" s="145" t="s">
        <v>3788</v>
      </c>
      <c r="P9" s="145" t="s">
        <v>3793</v>
      </c>
      <c r="Q9" s="145" t="str">
        <f>IF(tbl_infrastructure_projects[[#This Row],[Project Name]]="","",IF(COUNTIF(Market_Data[Project Name],tbl_infrastructure_projects[[#This Row],[Project Name]])&gt;0,"No - Duplicate in Market_Data",IF(COUNTIF(Market_Data[District],tbl_infrastructure_projects[[#This Row],[District]])=0,"No - Outside Model Geography","Yes")))</f>
        <v>Yes</v>
      </c>
      <c r="S9" s="100" t="s">
        <v>3777</v>
      </c>
      <c r="T9" s="143">
        <f>IFERROR(COUNTIF(tbl_infrastructure_projects[Strategic Importance],"Extreme"),"")</f>
        <v>4</v>
      </c>
      <c r="V9" s="106" t="s">
        <v>35</v>
      </c>
      <c r="W9" s="504">
        <f>IFERROR(SUMIF(tbl_infrastructure_projects[District],V9,tbl_infrastructure_projects[Estimated Concrete Demand (m³)]),"")</f>
        <v>814144</v>
      </c>
      <c r="X9" s="505"/>
    </row>
    <row r="10" spans="1:63" ht="25" customHeight="1">
      <c r="A10" s="145" t="s">
        <v>3748</v>
      </c>
      <c r="B10" s="145" t="s">
        <v>3746</v>
      </c>
      <c r="C10" s="146" t="s">
        <v>34</v>
      </c>
      <c r="D10" s="132" t="s">
        <v>3875</v>
      </c>
      <c r="E10" s="450">
        <v>83.69</v>
      </c>
      <c r="F10" s="450">
        <v>28000</v>
      </c>
      <c r="G10" s="102">
        <f>IF(tbl_infrastructure_projects[[#This Row],[Include in TAM?]]&lt;&gt;"Yes","",IFERROR(tbl_infrastructure_projects[[#This Row],[Estimated Concrete Demand (m³)]]*tbl_infrastructure_projects[[#This Row],[Avg Price per (₹ / m³)]]/10000000,""))</f>
        <v>16.239999999999998</v>
      </c>
      <c r="H10" s="147">
        <f>IFERROR(INDEX(tbl_assumptions_log[Value],MATCH(tbl_infrastructure_projects[[#This Row],[Project Type]],tbl_assumptions_log[Assumption Category],0)),"")</f>
        <v>5800</v>
      </c>
      <c r="I10" s="150">
        <v>45566</v>
      </c>
      <c r="J10" s="149">
        <v>46690</v>
      </c>
      <c r="K10" s="98" t="s">
        <v>3423</v>
      </c>
      <c r="L10" s="146" t="str">
        <f>IF(tbl_infrastructure_projects[[#This Row],[Estimated Concrete Demand (m³)]]&gt;=250000,"Tier 1",IF(tbl_infrastructure_projects[[#This Row],[Estimated Concrete Demand (m³)]]&gt;=50000,"Tier 2","Tier 3"))</f>
        <v>Tier 3</v>
      </c>
      <c r="M10" s="148">
        <f>IFERROR(tbl_infrastructure_projects[[#This Row],[Estimated Concrete Demand (m³)]]/SUM(tbl_infrastructure_projects[Estimated Concrete Demand (m³)]),"")</f>
        <v>4.3897516231498571E-3</v>
      </c>
      <c r="N10" s="145" t="s">
        <v>3742</v>
      </c>
      <c r="O10" s="145" t="s">
        <v>3788</v>
      </c>
      <c r="P10" s="145" t="s">
        <v>3794</v>
      </c>
      <c r="Q10" s="145" t="str">
        <f>IF(tbl_infrastructure_projects[[#This Row],[Project Name]]="","",IF(COUNTIF(Market_Data[Project Name],tbl_infrastructure_projects[[#This Row],[Project Name]])&gt;0,"No - Duplicate in Market_Data",IF(COUNTIF(Market_Data[District],tbl_infrastructure_projects[[#This Row],[District]])=0,"No - Outside Model Geography","Yes")))</f>
        <v>Yes</v>
      </c>
      <c r="S10" s="100" t="s">
        <v>128</v>
      </c>
      <c r="T10" s="143">
        <f>IFERROR(COUNTIF(tbl_infrastructure_projects[Strategic Importance],"High"),"")</f>
        <v>12</v>
      </c>
      <c r="V10" s="106" t="s">
        <v>38</v>
      </c>
      <c r="W10" s="504">
        <f>IFERROR(SUMIF(tbl_infrastructure_projects[District],V10,tbl_infrastructure_projects[Estimated Concrete Demand (m³)]),"")</f>
        <v>602100</v>
      </c>
      <c r="X10" s="505"/>
    </row>
    <row r="11" spans="1:63" ht="25" customHeight="1">
      <c r="A11" s="146" t="s">
        <v>3749</v>
      </c>
      <c r="B11" s="145" t="s">
        <v>3746</v>
      </c>
      <c r="C11" s="146" t="s">
        <v>34</v>
      </c>
      <c r="D11" s="132" t="s">
        <v>3875</v>
      </c>
      <c r="E11" s="450">
        <v>76</v>
      </c>
      <c r="F11" s="450">
        <v>41528</v>
      </c>
      <c r="G11" s="102">
        <f>IF(tbl_infrastructure_projects[[#This Row],[Include in TAM?]]&lt;&gt;"Yes","",IFERROR(tbl_infrastructure_projects[[#This Row],[Estimated Concrete Demand (m³)]]*tbl_infrastructure_projects[[#This Row],[Avg Price per (₹ / m³)]]/10000000,""))</f>
        <v>24.08624</v>
      </c>
      <c r="H11" s="147">
        <f>IFERROR(INDEX(tbl_assumptions_log[Value],MATCH(tbl_infrastructure_projects[[#This Row],[Project Type]],tbl_assumptions_log[Assumption Category],0)),"")</f>
        <v>5800</v>
      </c>
      <c r="I11" s="150">
        <v>45170</v>
      </c>
      <c r="J11" s="149">
        <v>46203</v>
      </c>
      <c r="K11" s="98" t="s">
        <v>3423</v>
      </c>
      <c r="L11" s="146" t="str">
        <f>IF(tbl_infrastructure_projects[[#This Row],[Estimated Concrete Demand (m³)]]&gt;=250000,"Tier 1",IF(tbl_infrastructure_projects[[#This Row],[Estimated Concrete Demand (m³)]]&gt;=50000,"Tier 2","Tier 3"))</f>
        <v>Tier 3</v>
      </c>
      <c r="M11" s="148">
        <f>IFERROR(tbl_infrastructure_projects[[#This Row],[Estimated Concrete Demand (m³)]]/SUM(tbl_infrastructure_projects[Estimated Concrete Demand (m³)]),"")</f>
        <v>6.5106287645059734E-3</v>
      </c>
      <c r="N11" s="145" t="s">
        <v>3742</v>
      </c>
      <c r="O11" s="145" t="s">
        <v>3788</v>
      </c>
      <c r="P11" s="145" t="s">
        <v>3795</v>
      </c>
      <c r="Q11" s="145" t="str">
        <f>IF(tbl_infrastructure_projects[[#This Row],[Project Name]]="","",IF(COUNTIF(Market_Data[Project Name],tbl_infrastructure_projects[[#This Row],[Project Name]])&gt;0,"No - Duplicate in Market_Data",IF(COUNTIF(Market_Data[District],tbl_infrastructure_projects[[#This Row],[District]])=0,"No - Outside Model Geography","Yes")))</f>
        <v>Yes</v>
      </c>
      <c r="S11" s="100" t="s">
        <v>3778</v>
      </c>
      <c r="T11" s="143">
        <f>IFERROR(COUNTIF(tbl_infrastructure_projects[Status],"Under Construction"),"")</f>
        <v>0</v>
      </c>
      <c r="V11" s="108"/>
      <c r="X11" s="108"/>
    </row>
    <row r="12" spans="1:63" ht="25" customHeight="1">
      <c r="A12" s="146" t="s">
        <v>3750</v>
      </c>
      <c r="B12" s="146" t="s">
        <v>3746</v>
      </c>
      <c r="C12" s="146" t="s">
        <v>34</v>
      </c>
      <c r="D12" s="132" t="s">
        <v>3875</v>
      </c>
      <c r="E12" s="450">
        <v>42.5</v>
      </c>
      <c r="F12" s="450">
        <v>72000</v>
      </c>
      <c r="G12" s="102">
        <f>IF(tbl_infrastructure_projects[[#This Row],[Include in TAM?]]&lt;&gt;"Yes","",IFERROR(tbl_infrastructure_projects[[#This Row],[Estimated Concrete Demand (m³)]]*tbl_infrastructure_projects[[#This Row],[Avg Price per (₹ / m³)]]/10000000,""))</f>
        <v>41.76</v>
      </c>
      <c r="H12" s="147">
        <f>IFERROR(INDEX(tbl_assumptions_log[Value],MATCH(tbl_infrastructure_projects[[#This Row],[Project Type]],tbl_assumptions_log[Assumption Category],0)),"")</f>
        <v>5800</v>
      </c>
      <c r="I12" s="150">
        <v>45261</v>
      </c>
      <c r="J12" s="149">
        <v>46387</v>
      </c>
      <c r="K12" s="98" t="s">
        <v>3423</v>
      </c>
      <c r="L12" s="146" t="str">
        <f>IF(tbl_infrastructure_projects[[#This Row],[Estimated Concrete Demand (m³)]]&gt;=250000,"Tier 1",IF(tbl_infrastructure_projects[[#This Row],[Estimated Concrete Demand (m³)]]&gt;=50000,"Tier 2","Tier 3"))</f>
        <v>Tier 2</v>
      </c>
      <c r="M12" s="148">
        <f>IFERROR(tbl_infrastructure_projects[[#This Row],[Estimated Concrete Demand (m³)]]/SUM(tbl_infrastructure_projects[Estimated Concrete Demand (m³)]),"")</f>
        <v>1.128793274524249E-2</v>
      </c>
      <c r="N12" s="145" t="s">
        <v>3742</v>
      </c>
      <c r="O12" s="145" t="s">
        <v>3788</v>
      </c>
      <c r="P12" s="145" t="s">
        <v>3796</v>
      </c>
      <c r="Q12" s="145" t="str">
        <f>IF(tbl_infrastructure_projects[[#This Row],[Project Name]]="","",IF(COUNTIF(Market_Data[Project Name],tbl_infrastructure_projects[[#This Row],[Project Name]])&gt;0,"No - Duplicate in Market_Data",IF(COUNTIF(Market_Data[District],tbl_infrastructure_projects[[#This Row],[District]])=0,"No - Outside Model Geography","Yes")))</f>
        <v>Yes</v>
      </c>
      <c r="S12" s="101" t="s">
        <v>3779</v>
      </c>
      <c r="T12" s="144">
        <f>IFERROR(COUNTIF(tbl_infrastructure_projects[Status],"Tendering"),"")</f>
        <v>0</v>
      </c>
    </row>
    <row r="13" spans="1:63" ht="25" customHeight="1">
      <c r="A13" s="146" t="s">
        <v>3874</v>
      </c>
      <c r="B13" s="145" t="s">
        <v>3751</v>
      </c>
      <c r="C13" s="146" t="s">
        <v>36</v>
      </c>
      <c r="D13" s="132" t="s">
        <v>3875</v>
      </c>
      <c r="E13" s="450">
        <v>2507.2199999999998</v>
      </c>
      <c r="F13" s="450">
        <v>451080</v>
      </c>
      <c r="G13" s="102">
        <f>IF(tbl_infrastructure_projects[[#This Row],[Include in TAM?]]&lt;&gt;"Yes","",IFERROR(tbl_infrastructure_projects[[#This Row],[Estimated Concrete Demand (m³)]]*tbl_infrastructure_projects[[#This Row],[Avg Price per (₹ / m³)]]/10000000,""))</f>
        <v>252.60480000000001</v>
      </c>
      <c r="H13" s="147">
        <f>IFERROR(INDEX(tbl_assumptions_log[Value],MATCH(tbl_infrastructure_projects[[#This Row],[Project Type]],tbl_assumptions_log[Assumption Category],0)),"")</f>
        <v>5600</v>
      </c>
      <c r="I13" s="150">
        <v>44805</v>
      </c>
      <c r="J13" s="149">
        <v>46752</v>
      </c>
      <c r="K13" s="98" t="s">
        <v>3423</v>
      </c>
      <c r="L13" s="146" t="str">
        <f>IF(tbl_infrastructure_projects[[#This Row],[Estimated Concrete Demand (m³)]]&gt;=250000,"Tier 1",IF(tbl_infrastructure_projects[[#This Row],[Estimated Concrete Demand (m³)]]&gt;=50000,"Tier 2","Tier 3"))</f>
        <v>Tier 1</v>
      </c>
      <c r="M13" s="148">
        <f>IFERROR(tbl_infrastructure_projects[[#This Row],[Estimated Concrete Demand (m³)]]/SUM(tbl_infrastructure_projects[Estimated Concrete Demand (m³)]),"")</f>
        <v>7.0718898648944192E-2</v>
      </c>
      <c r="N13" s="145" t="s">
        <v>3752</v>
      </c>
      <c r="O13" s="145" t="s">
        <v>3788</v>
      </c>
      <c r="P13" s="146" t="s">
        <v>3876</v>
      </c>
      <c r="Q13" s="145" t="str">
        <f>IF(tbl_infrastructure_projects[[#This Row],[Project Name]]="","",IF(COUNTIF(Market_Data[Project Name],tbl_infrastructure_projects[[#This Row],[Project Name]])&gt;0,"No - Duplicate in Market_Data",IF(COUNTIF(Market_Data[District],tbl_infrastructure_projects[[#This Row],[District]])=0,"No - Outside Model Geography","Yes")))</f>
        <v>Yes</v>
      </c>
      <c r="S13" s="101" t="s">
        <v>3807</v>
      </c>
      <c r="T13" s="144">
        <f>IFERROR(COUNTIF(tbl_infrastructure_projects[Verification Status],"Verified"),"")</f>
        <v>1</v>
      </c>
    </row>
    <row r="14" spans="1:63" ht="25" customHeight="1">
      <c r="A14" s="146" t="s">
        <v>3753</v>
      </c>
      <c r="B14" s="146" t="s">
        <v>3757</v>
      </c>
      <c r="C14" s="146" t="s">
        <v>36</v>
      </c>
      <c r="D14" s="132" t="s">
        <v>3875</v>
      </c>
      <c r="E14" s="450">
        <v>350</v>
      </c>
      <c r="F14" s="450">
        <v>68084</v>
      </c>
      <c r="G14" s="102">
        <f>IF(tbl_infrastructure_projects[[#This Row],[Include in TAM?]]&lt;&gt;"Yes","",IFERROR(tbl_infrastructure_projects[[#This Row],[Estimated Concrete Demand (m³)]]*tbl_infrastructure_projects[[#This Row],[Avg Price per (₹ / m³)]]/10000000,""))</f>
        <v>42.21208</v>
      </c>
      <c r="H14" s="147">
        <f>IFERROR(INDEX(tbl_assumptions_log[Value],MATCH(tbl_infrastructure_projects[[#This Row],[Project Type]],tbl_assumptions_log[Assumption Category],0)),"")</f>
        <v>6200</v>
      </c>
      <c r="I14" s="150">
        <v>45017</v>
      </c>
      <c r="J14" s="149">
        <v>46447</v>
      </c>
      <c r="K14" s="98" t="s">
        <v>3423</v>
      </c>
      <c r="L14" s="146" t="str">
        <f>IF(tbl_infrastructure_projects[[#This Row],[Estimated Concrete Demand (m³)]]&gt;=250000,"Tier 1",IF(tbl_infrastructure_projects[[#This Row],[Estimated Concrete Demand (m³)]]&gt;=50000,"Tier 2","Tier 3"))</f>
        <v>Tier 2</v>
      </c>
      <c r="M14" s="148">
        <f>IFERROR(tbl_infrastructure_projects[[#This Row],[Estimated Concrete Demand (m³)]]/SUM(tbl_infrastructure_projects[Estimated Concrete Demand (m³)]),"")</f>
        <v>1.0673994625376245E-2</v>
      </c>
      <c r="N14" s="145" t="s">
        <v>3752</v>
      </c>
      <c r="O14" s="145" t="s">
        <v>3788</v>
      </c>
      <c r="P14" s="145" t="s">
        <v>3797</v>
      </c>
      <c r="Q14" s="145" t="str">
        <f>IF(tbl_infrastructure_projects[[#This Row],[Project Name]]="","",IF(COUNTIF(Market_Data[Project Name],tbl_infrastructure_projects[[#This Row],[Project Name]])&gt;0,"No - Duplicate in Market_Data",IF(COUNTIF(Market_Data[District],tbl_infrastructure_projects[[#This Row],[District]])=0,"No - Outside Model Geography","Yes")))</f>
        <v>Yes</v>
      </c>
      <c r="S14" s="101" t="s">
        <v>3808</v>
      </c>
      <c r="T14" s="144">
        <f>IFERROR(COUNTIF(tbl_infrastructure_projects[Verification Status],"Benchmark Estimate"),"")</f>
        <v>19</v>
      </c>
    </row>
    <row r="15" spans="1:63" ht="25" customHeight="1">
      <c r="A15" s="146" t="s">
        <v>3754</v>
      </c>
      <c r="B15" s="145" t="s">
        <v>3755</v>
      </c>
      <c r="C15" s="145" t="s">
        <v>36</v>
      </c>
      <c r="D15" s="132" t="s">
        <v>3875</v>
      </c>
      <c r="E15" s="450">
        <v>480</v>
      </c>
      <c r="F15" s="450">
        <v>41061</v>
      </c>
      <c r="G15" s="102">
        <f>IF(tbl_infrastructure_projects[[#This Row],[Include in TAM?]]&lt;&gt;"Yes","",IFERROR(tbl_infrastructure_projects[[#This Row],[Estimated Concrete Demand (m³)]]*tbl_infrastructure_projects[[#This Row],[Avg Price per (₹ / m³)]]/10000000,""))</f>
        <v>24.225989999999999</v>
      </c>
      <c r="H15" s="147">
        <f>IFERROR(INDEX(tbl_assumptions_log[Value],MATCH(tbl_infrastructure_projects[[#This Row],[Project Type]],tbl_assumptions_log[Assumption Category],0)),"")</f>
        <v>5900</v>
      </c>
      <c r="I15" s="150">
        <v>45292</v>
      </c>
      <c r="J15" s="149">
        <v>46568</v>
      </c>
      <c r="K15" s="98" t="s">
        <v>3423</v>
      </c>
      <c r="L15" s="146" t="str">
        <f>IF(tbl_infrastructure_projects[[#This Row],[Estimated Concrete Demand (m³)]]&gt;=250000,"Tier 1",IF(tbl_infrastructure_projects[[#This Row],[Estimated Concrete Demand (m³)]]&gt;=50000,"Tier 2","Tier 3"))</f>
        <v>Tier 3</v>
      </c>
      <c r="M15" s="148">
        <f>IFERROR(tbl_infrastructure_projects[[#This Row],[Estimated Concrete Demand (m³)]]/SUM(tbl_infrastructure_projects[Estimated Concrete Demand (m³)]),"")</f>
        <v>6.4374139785055816E-3</v>
      </c>
      <c r="N15" s="145" t="s">
        <v>3752</v>
      </c>
      <c r="O15" s="145" t="s">
        <v>3788</v>
      </c>
      <c r="P15" s="145" t="s">
        <v>3798</v>
      </c>
      <c r="Q15" s="145" t="str">
        <f>IF(tbl_infrastructure_projects[[#This Row],[Project Name]]="","",IF(COUNTIF(Market_Data[Project Name],tbl_infrastructure_projects[[#This Row],[Project Name]])&gt;0,"No - Duplicate in Market_Data",IF(COUNTIF(Market_Data[District],tbl_infrastructure_projects[[#This Row],[District]])=0,"No - Outside Model Geography","Yes")))</f>
        <v>Yes</v>
      </c>
      <c r="S15" s="101" t="s">
        <v>3682</v>
      </c>
      <c r="T15" s="144">
        <f>IFERROR(COUNTIF(tbl_infrastructure_projects[Verification Status],"Needs Validation"),"")</f>
        <v>2</v>
      </c>
    </row>
    <row r="16" spans="1:63" ht="25" customHeight="1">
      <c r="A16" s="146" t="s">
        <v>3756</v>
      </c>
      <c r="B16" s="145" t="s">
        <v>3757</v>
      </c>
      <c r="C16" s="145" t="s">
        <v>36</v>
      </c>
      <c r="D16" s="132" t="s">
        <v>3875</v>
      </c>
      <c r="E16" s="450">
        <v>120</v>
      </c>
      <c r="F16" s="450">
        <v>10652</v>
      </c>
      <c r="G16" s="102">
        <f>IF(tbl_infrastructure_projects[[#This Row],[Include in TAM?]]&lt;&gt;"Yes","",IFERROR(tbl_infrastructure_projects[[#This Row],[Estimated Concrete Demand (m³)]]*tbl_infrastructure_projects[[#This Row],[Avg Price per (₹ / m³)]]/10000000,""))</f>
        <v>6.6042399999999999</v>
      </c>
      <c r="H16" s="147">
        <f>IFERROR(INDEX(tbl_assumptions_log[Value],MATCH(tbl_infrastructure_projects[[#This Row],[Project Type]],tbl_assumptions_log[Assumption Category],0)),"")</f>
        <v>6200</v>
      </c>
      <c r="I16" s="150">
        <v>45597</v>
      </c>
      <c r="J16" s="149">
        <v>46356</v>
      </c>
      <c r="K16" s="98" t="s">
        <v>194</v>
      </c>
      <c r="L16" s="146" t="str">
        <f>IF(tbl_infrastructure_projects[[#This Row],[Estimated Concrete Demand (m³)]]&gt;=250000,"Tier 1",IF(tbl_infrastructure_projects[[#This Row],[Estimated Concrete Demand (m³)]]&gt;=50000,"Tier 2","Tier 3"))</f>
        <v>Tier 3</v>
      </c>
      <c r="M16" s="148">
        <f>IFERROR(tbl_infrastructure_projects[[#This Row],[Estimated Concrete Demand (m³)]]/SUM(tbl_infrastructure_projects[Estimated Concrete Demand (m³)]),"")</f>
        <v>1.6699869389211527E-3</v>
      </c>
      <c r="N16" s="145" t="s">
        <v>3752</v>
      </c>
      <c r="O16" s="145" t="s">
        <v>3788</v>
      </c>
      <c r="P16" s="146" t="s">
        <v>3877</v>
      </c>
      <c r="Q16" s="145" t="str">
        <f>IF(tbl_infrastructure_projects[[#This Row],[Project Name]]="","",IF(COUNTIF(Market_Data[Project Name],tbl_infrastructure_projects[[#This Row],[Project Name]])&gt;0,"No - Duplicate in Market_Data",IF(COUNTIF(Market_Data[District],tbl_infrastructure_projects[[#This Row],[District]])=0,"No - Outside Model Geography","Yes")))</f>
        <v>Yes</v>
      </c>
      <c r="S16" s="100" t="s">
        <v>3809</v>
      </c>
      <c r="T16" s="143">
        <f>IFERROR(COUNTIF(tbl_infrastructure_projects[Include in TAM?],"Yes"),"")</f>
        <v>22</v>
      </c>
    </row>
    <row r="17" spans="1:17" ht="25" customHeight="1">
      <c r="A17" s="146" t="s">
        <v>3758</v>
      </c>
      <c r="B17" s="145" t="s">
        <v>3739</v>
      </c>
      <c r="C17" s="145" t="s">
        <v>36</v>
      </c>
      <c r="D17" s="132" t="s">
        <v>3873</v>
      </c>
      <c r="E17" s="450">
        <v>881</v>
      </c>
      <c r="F17" s="450">
        <v>320000</v>
      </c>
      <c r="G17" s="102">
        <f>IF(tbl_infrastructure_projects[[#This Row],[Include in TAM?]]&lt;&gt;"Yes","",IFERROR(tbl_infrastructure_projects[[#This Row],[Estimated Concrete Demand (m³)]]*tbl_infrastructure_projects[[#This Row],[Avg Price per (₹ / m³)]]/10000000,""))</f>
        <v>195.2</v>
      </c>
      <c r="H17" s="147">
        <f>IFERROR(INDEX(tbl_assumptions_log[Value],MATCH(tbl_infrastructure_projects[[#This Row],[Project Type]],tbl_assumptions_log[Assumption Category],0)),"")</f>
        <v>6100</v>
      </c>
      <c r="I17" s="150">
        <v>44593</v>
      </c>
      <c r="J17" s="149">
        <v>45962</v>
      </c>
      <c r="K17" s="98" t="s">
        <v>3423</v>
      </c>
      <c r="L17" s="146" t="str">
        <f>IF(tbl_infrastructure_projects[[#This Row],[Estimated Concrete Demand (m³)]]&gt;=250000,"Tier 1",IF(tbl_infrastructure_projects[[#This Row],[Estimated Concrete Demand (m³)]]&gt;=50000,"Tier 2","Tier 3"))</f>
        <v>Tier 1</v>
      </c>
      <c r="M17" s="148">
        <f>IFERROR(tbl_infrastructure_projects[[#This Row],[Estimated Concrete Demand (m³)]]/SUM(tbl_infrastructure_projects[Estimated Concrete Demand (m³)]),"")</f>
        <v>5.016858997885551E-2</v>
      </c>
      <c r="N17" s="145" t="s">
        <v>3752</v>
      </c>
      <c r="O17" s="145" t="s">
        <v>3682</v>
      </c>
      <c r="P17" s="145" t="s">
        <v>3799</v>
      </c>
      <c r="Q17" s="145" t="str">
        <f>IF(tbl_infrastructure_projects[[#This Row],[Project Name]]="","",IF(COUNTIF(Market_Data[Project Name],tbl_infrastructure_projects[[#This Row],[Project Name]])&gt;0,"No - Duplicate in Market_Data",IF(COUNTIF(Market_Data[District],tbl_infrastructure_projects[[#This Row],[District]])=0,"No - Outside Model Geography","Yes")))</f>
        <v>Yes</v>
      </c>
    </row>
    <row r="18" spans="1:17" ht="25" customHeight="1">
      <c r="A18" s="146" t="s">
        <v>3759</v>
      </c>
      <c r="B18" s="145" t="s">
        <v>3739</v>
      </c>
      <c r="C18" s="145" t="s">
        <v>36</v>
      </c>
      <c r="D18" s="132" t="s">
        <v>3875</v>
      </c>
      <c r="E18" s="450">
        <v>315</v>
      </c>
      <c r="F18" s="450">
        <v>189844</v>
      </c>
      <c r="G18" s="102">
        <f>IF(tbl_infrastructure_projects[[#This Row],[Include in TAM?]]&lt;&gt;"Yes","",IFERROR(tbl_infrastructure_projects[[#This Row],[Estimated Concrete Demand (m³)]]*tbl_infrastructure_projects[[#This Row],[Avg Price per (₹ / m³)]]/10000000,""))</f>
        <v>115.80484</v>
      </c>
      <c r="H18" s="147">
        <f>IFERROR(INDEX(tbl_assumptions_log[Value],MATCH(tbl_infrastructure_projects[[#This Row],[Project Type]],tbl_assumptions_log[Assumption Category],0)),"")</f>
        <v>6100</v>
      </c>
      <c r="I18" s="150">
        <v>45047</v>
      </c>
      <c r="J18" s="149">
        <v>46446</v>
      </c>
      <c r="K18" s="98" t="s">
        <v>194</v>
      </c>
      <c r="L18" s="146" t="str">
        <f>IF(tbl_infrastructure_projects[[#This Row],[Estimated Concrete Demand (m³)]]&gt;=250000,"Tier 1",IF(tbl_infrastructure_projects[[#This Row],[Estimated Concrete Demand (m³)]]&gt;=50000,"Tier 2","Tier 3"))</f>
        <v>Tier 2</v>
      </c>
      <c r="M18" s="148">
        <f>IFERROR(tbl_infrastructure_projects[[#This Row],[Estimated Concrete Demand (m³)]]/SUM(tbl_infrastructure_projects[Estimated Concrete Demand (m³)]),"")</f>
        <v>2.9763143112330765E-2</v>
      </c>
      <c r="N18" s="145" t="s">
        <v>3752</v>
      </c>
      <c r="O18" s="145" t="s">
        <v>3788</v>
      </c>
      <c r="P18" s="145" t="s">
        <v>3800</v>
      </c>
      <c r="Q18" s="145" t="str">
        <f>IF(tbl_infrastructure_projects[[#This Row],[Project Name]]="","",IF(COUNTIF(Market_Data[Project Name],tbl_infrastructure_projects[[#This Row],[Project Name]])&gt;0,"No - Duplicate in Market_Data",IF(COUNTIF(Market_Data[District],tbl_infrastructure_projects[[#This Row],[District]])=0,"No - Outside Model Geography","Yes")))</f>
        <v>Yes</v>
      </c>
    </row>
    <row r="19" spans="1:17" ht="25" customHeight="1">
      <c r="A19" s="146" t="s">
        <v>3760</v>
      </c>
      <c r="B19" s="145" t="s">
        <v>3739</v>
      </c>
      <c r="C19" s="146" t="s">
        <v>36</v>
      </c>
      <c r="D19" s="132" t="s">
        <v>3875</v>
      </c>
      <c r="E19" s="450">
        <v>5322.19</v>
      </c>
      <c r="F19" s="450">
        <v>1667076</v>
      </c>
      <c r="G19" s="102">
        <f>IF(tbl_infrastructure_projects[[#This Row],[Include in TAM?]]&lt;&gt;"Yes","",IFERROR(tbl_infrastructure_projects[[#This Row],[Estimated Concrete Demand (m³)]]*tbl_infrastructure_projects[[#This Row],[Avg Price per (₹ / m³)]]/10000000,""))</f>
        <v>1016.9163600000001</v>
      </c>
      <c r="H19" s="147">
        <f>IFERROR(INDEX(tbl_assumptions_log[Value],MATCH(tbl_infrastructure_projects[[#This Row],[Project Type]],tbl_assumptions_log[Assumption Category],0)),"")</f>
        <v>6100</v>
      </c>
      <c r="I19" s="150">
        <v>44119</v>
      </c>
      <c r="J19" s="149">
        <v>46568</v>
      </c>
      <c r="K19" s="98" t="s">
        <v>3775</v>
      </c>
      <c r="L19" s="146" t="str">
        <f>IF(tbl_infrastructure_projects[[#This Row],[Estimated Concrete Demand (m³)]]&gt;=250000,"Tier 1",IF(tbl_infrastructure_projects[[#This Row],[Estimated Concrete Demand (m³)]]&gt;=50000,"Tier 2","Tier 3"))</f>
        <v>Tier 1</v>
      </c>
      <c r="M19" s="148">
        <f>IFERROR(tbl_infrastructure_projects[[#This Row],[Estimated Concrete Demand (m³)]]/SUM(tbl_infrastructure_projects[Estimated Concrete Demand (m³)]),"")</f>
        <v>0.26135891346122037</v>
      </c>
      <c r="N19" s="145" t="s">
        <v>3761</v>
      </c>
      <c r="O19" s="145" t="s">
        <v>3787</v>
      </c>
      <c r="P19" s="145" t="s">
        <v>3801</v>
      </c>
      <c r="Q19" s="145" t="str">
        <f>IF(tbl_infrastructure_projects[[#This Row],[Project Name]]="","",IF(COUNTIF(Market_Data[Project Name],tbl_infrastructure_projects[[#This Row],[Project Name]])&gt;0,"No - Duplicate in Market_Data",IF(COUNTIF(Market_Data[District],tbl_infrastructure_projects[[#This Row],[District]])=0,"No - Outside Model Geography","Yes")))</f>
        <v>Yes</v>
      </c>
    </row>
    <row r="20" spans="1:17" ht="25" customHeight="1">
      <c r="A20" s="146" t="s">
        <v>3764</v>
      </c>
      <c r="B20" s="146" t="s">
        <v>3751</v>
      </c>
      <c r="C20" s="145" t="s">
        <v>37</v>
      </c>
      <c r="D20" s="132" t="s">
        <v>3875</v>
      </c>
      <c r="E20" s="450">
        <v>3000</v>
      </c>
      <c r="F20" s="450">
        <v>540000</v>
      </c>
      <c r="G20" s="102">
        <f>IF(tbl_infrastructure_projects[[#This Row],[Include in TAM?]]&lt;&gt;"Yes","",IFERROR(tbl_infrastructure_projects[[#This Row],[Estimated Concrete Demand (m³)]]*tbl_infrastructure_projects[[#This Row],[Avg Price per (₹ / m³)]]/10000000,""))</f>
        <v>302.39999999999998</v>
      </c>
      <c r="H20" s="147">
        <f>IFERROR(INDEX(tbl_assumptions_log[Value],MATCH(tbl_infrastructure_projects[[#This Row],[Project Type]],tbl_assumptions_log[Assumption Category],0)),"")</f>
        <v>5600</v>
      </c>
      <c r="I20" s="150">
        <v>45344</v>
      </c>
      <c r="J20" s="149">
        <v>46660</v>
      </c>
      <c r="K20" s="98" t="s">
        <v>3775</v>
      </c>
      <c r="L20" s="146" t="str">
        <f>IF(tbl_infrastructure_projects[[#This Row],[Estimated Concrete Demand (m³)]]&gt;=250000,"Tier 1",IF(tbl_infrastructure_projects[[#This Row],[Estimated Concrete Demand (m³)]]&gt;=50000,"Tier 2","Tier 3"))</f>
        <v>Tier 1</v>
      </c>
      <c r="M20" s="148">
        <f>IFERROR(tbl_infrastructure_projects[[#This Row],[Estimated Concrete Demand (m³)]]/SUM(tbl_infrastructure_projects[Estimated Concrete Demand (m³)]),"")</f>
        <v>8.4659495589318665E-2</v>
      </c>
      <c r="N20" s="145" t="s">
        <v>3752</v>
      </c>
      <c r="O20" s="145" t="s">
        <v>3788</v>
      </c>
      <c r="P20" s="145" t="s">
        <v>3802</v>
      </c>
      <c r="Q20" s="145" t="str">
        <f>IF(tbl_infrastructure_projects[[#This Row],[Project Name]]="","",IF(COUNTIF(Market_Data[Project Name],tbl_infrastructure_projects[[#This Row],[Project Name]])&gt;0,"No - Duplicate in Market_Data",IF(COUNTIF(Market_Data[District],tbl_infrastructure_projects[[#This Row],[District]])=0,"No - Outside Model Geography","Yes")))</f>
        <v>Yes</v>
      </c>
    </row>
    <row r="21" spans="1:17" ht="25" customHeight="1">
      <c r="A21" s="146" t="s">
        <v>3762</v>
      </c>
      <c r="B21" s="146" t="s">
        <v>3769</v>
      </c>
      <c r="C21" s="145" t="s">
        <v>37</v>
      </c>
      <c r="D21" s="132" t="s">
        <v>3875</v>
      </c>
      <c r="E21" s="450">
        <v>112</v>
      </c>
      <c r="F21" s="450">
        <v>4728</v>
      </c>
      <c r="G21" s="102">
        <f>IF(tbl_infrastructure_projects[[#This Row],[Include in TAM?]]&lt;&gt;"Yes","",IFERROR(tbl_infrastructure_projects[[#This Row],[Estimated Concrete Demand (m³)]]*tbl_infrastructure_projects[[#This Row],[Avg Price per (₹ / m³)]]/10000000,""))</f>
        <v>2.5531199999999998</v>
      </c>
      <c r="H21" s="147">
        <f>IFERROR(INDEX(tbl_assumptions_log[Value],MATCH(tbl_infrastructure_projects[[#This Row],[Project Type]],tbl_assumptions_log[Assumption Category],0)),"")</f>
        <v>5400</v>
      </c>
      <c r="I21" s="150">
        <v>45597</v>
      </c>
      <c r="J21" s="149">
        <v>46387</v>
      </c>
      <c r="K21" s="98" t="s">
        <v>3423</v>
      </c>
      <c r="L21" s="146" t="str">
        <f>IF(tbl_infrastructure_projects[[#This Row],[Estimated Concrete Demand (m³)]]&gt;=250000,"Tier 1",IF(tbl_infrastructure_projects[[#This Row],[Estimated Concrete Demand (m³)]]&gt;=50000,"Tier 2","Tier 3"))</f>
        <v>Tier 3</v>
      </c>
      <c r="M21" s="148">
        <f>IFERROR(tbl_infrastructure_projects[[#This Row],[Estimated Concrete Demand (m³)]]/SUM(tbl_infrastructure_projects[Estimated Concrete Demand (m³)]),"")</f>
        <v>7.4124091693759009E-4</v>
      </c>
      <c r="N21" s="145" t="s">
        <v>3752</v>
      </c>
      <c r="O21" s="145" t="s">
        <v>3788</v>
      </c>
      <c r="P21" s="146" t="s">
        <v>3878</v>
      </c>
      <c r="Q21" s="145" t="str">
        <f>IF(tbl_infrastructure_projects[[#This Row],[Project Name]]="","",IF(COUNTIF(Market_Data[Project Name],tbl_infrastructure_projects[[#This Row],[Project Name]])&gt;0,"No - Duplicate in Market_Data",IF(COUNTIF(Market_Data[District],tbl_infrastructure_projects[[#This Row],[District]])=0,"No - Outside Model Geography","Yes")))</f>
        <v>Yes</v>
      </c>
    </row>
    <row r="22" spans="1:17" ht="25" customHeight="1">
      <c r="A22" s="145" t="s">
        <v>3763</v>
      </c>
      <c r="B22" s="145" t="s">
        <v>3751</v>
      </c>
      <c r="C22" s="145" t="s">
        <v>37</v>
      </c>
      <c r="D22" s="132" t="s">
        <v>3875</v>
      </c>
      <c r="E22" s="450">
        <v>48.5</v>
      </c>
      <c r="F22" s="450">
        <v>4968</v>
      </c>
      <c r="G22" s="102">
        <f>IF(tbl_infrastructure_projects[[#This Row],[Include in TAM?]]&lt;&gt;"Yes","",IFERROR(tbl_infrastructure_projects[[#This Row],[Estimated Concrete Demand (m³)]]*tbl_infrastructure_projects[[#This Row],[Avg Price per (₹ / m³)]]/10000000,""))</f>
        <v>2.7820800000000001</v>
      </c>
      <c r="H22" s="147">
        <f>IFERROR(INDEX(tbl_assumptions_log[Value],MATCH(tbl_infrastructure_projects[[#This Row],[Project Type]],tbl_assumptions_log[Assumption Category],0)),"")</f>
        <v>5600</v>
      </c>
      <c r="I22" s="150">
        <v>45474</v>
      </c>
      <c r="J22" s="149">
        <v>46387</v>
      </c>
      <c r="K22" s="98" t="s">
        <v>194</v>
      </c>
      <c r="L22" s="146" t="str">
        <f>IF(tbl_infrastructure_projects[[#This Row],[Estimated Concrete Demand (m³)]]&gt;=250000,"Tier 1",IF(tbl_infrastructure_projects[[#This Row],[Estimated Concrete Demand (m³)]]&gt;=50000,"Tier 2","Tier 3"))</f>
        <v>Tier 3</v>
      </c>
      <c r="M22" s="148">
        <f>IFERROR(tbl_infrastructure_projects[[#This Row],[Estimated Concrete Demand (m³)]]/SUM(tbl_infrastructure_projects[Estimated Concrete Demand (m³)]),"")</f>
        <v>7.7886735942173178E-4</v>
      </c>
      <c r="N22" s="145" t="s">
        <v>3752</v>
      </c>
      <c r="O22" s="145" t="s">
        <v>3788</v>
      </c>
      <c r="P22" s="146" t="s">
        <v>3879</v>
      </c>
      <c r="Q22" s="145" t="str">
        <f>IF(tbl_infrastructure_projects[[#This Row],[Project Name]]="","",IF(COUNTIF(Market_Data[Project Name],tbl_infrastructure_projects[[#This Row],[Project Name]])&gt;0,"No - Duplicate in Market_Data",IF(COUNTIF(Market_Data[District],tbl_infrastructure_projects[[#This Row],[District]])=0,"No - Outside Model Geography","Yes")))</f>
        <v>Yes</v>
      </c>
    </row>
    <row r="23" spans="1:17" ht="25" customHeight="1">
      <c r="A23" s="146" t="s">
        <v>3765</v>
      </c>
      <c r="B23" s="145" t="s">
        <v>3739</v>
      </c>
      <c r="C23" s="145" t="s">
        <v>35</v>
      </c>
      <c r="D23" s="132" t="s">
        <v>3875</v>
      </c>
      <c r="E23" s="450">
        <v>245</v>
      </c>
      <c r="F23" s="450">
        <v>264144</v>
      </c>
      <c r="G23" s="102">
        <f>IF(tbl_infrastructure_projects[[#This Row],[Include in TAM?]]&lt;&gt;"Yes","",IFERROR(tbl_infrastructure_projects[[#This Row],[Estimated Concrete Demand (m³)]]*tbl_infrastructure_projects[[#This Row],[Avg Price per (₹ / m³)]]/10000000,""))</f>
        <v>161.12783999999999</v>
      </c>
      <c r="H23" s="147">
        <f>IFERROR(INDEX(tbl_assumptions_log[Value],MATCH(tbl_infrastructure_projects[[#This Row],[Project Type]],tbl_assumptions_log[Assumption Category],0)),"")</f>
        <v>6100</v>
      </c>
      <c r="I23" s="150">
        <v>45292</v>
      </c>
      <c r="J23" s="149">
        <v>46538</v>
      </c>
      <c r="K23" s="98" t="s">
        <v>3423</v>
      </c>
      <c r="L23" s="146" t="str">
        <f>IF(tbl_infrastructure_projects[[#This Row],[Estimated Concrete Demand (m³)]]&gt;=250000,"Tier 1",IF(tbl_infrastructure_projects[[#This Row],[Estimated Concrete Demand (m³)]]&gt;=50000,"Tier 2","Tier 3"))</f>
        <v>Tier 1</v>
      </c>
      <c r="M23" s="148">
        <f>IFERROR(tbl_infrastructure_projects[[#This Row],[Estimated Concrete Demand (m³)]]/SUM(tbl_infrastructure_projects[Estimated Concrete Demand (m³)]),"")</f>
        <v>4.1411662598046281E-2</v>
      </c>
      <c r="N23" s="145" t="s">
        <v>3752</v>
      </c>
      <c r="O23" s="145" t="s">
        <v>3788</v>
      </c>
      <c r="P23" s="145" t="s">
        <v>3803</v>
      </c>
      <c r="Q23" s="145" t="str">
        <f>IF(tbl_infrastructure_projects[[#This Row],[Project Name]]="","",IF(COUNTIF(Market_Data[Project Name],tbl_infrastructure_projects[[#This Row],[Project Name]])&gt;0,"No - Duplicate in Market_Data",IF(COUNTIF(Market_Data[District],tbl_infrastructure_projects[[#This Row],[District]])=0,"No - Outside Model Geography","Yes")))</f>
        <v>Yes</v>
      </c>
    </row>
    <row r="24" spans="1:17" ht="25" customHeight="1">
      <c r="A24" s="146" t="s">
        <v>3766</v>
      </c>
      <c r="B24" s="145" t="s">
        <v>3769</v>
      </c>
      <c r="C24" s="145" t="s">
        <v>35</v>
      </c>
      <c r="D24" s="132" t="s">
        <v>3875</v>
      </c>
      <c r="E24" s="450">
        <v>3260</v>
      </c>
      <c r="F24" s="450">
        <v>550000</v>
      </c>
      <c r="G24" s="102">
        <f>IF(tbl_infrastructure_projects[[#This Row],[Include in TAM?]]&lt;&gt;"Yes","",IFERROR(tbl_infrastructure_projects[[#This Row],[Estimated Concrete Demand (m³)]]*tbl_infrastructure_projects[[#This Row],[Avg Price per (₹ / m³)]]/10000000,""))</f>
        <v>297</v>
      </c>
      <c r="H24" s="147">
        <f>IFERROR(INDEX(tbl_assumptions_log[Value],MATCH(tbl_infrastructure_projects[[#This Row],[Project Type]],tbl_assumptions_log[Assumption Category],0)),"")</f>
        <v>5400</v>
      </c>
      <c r="I24" s="150">
        <v>44348</v>
      </c>
      <c r="J24" s="149">
        <v>46387</v>
      </c>
      <c r="K24" s="98" t="s">
        <v>3423</v>
      </c>
      <c r="L24" s="146" t="str">
        <f>IF(tbl_infrastructure_projects[[#This Row],[Estimated Concrete Demand (m³)]]&gt;=250000,"Tier 1",IF(tbl_infrastructure_projects[[#This Row],[Estimated Concrete Demand (m³)]]&gt;=50000,"Tier 2","Tier 3"))</f>
        <v>Tier 1</v>
      </c>
      <c r="M24" s="148">
        <f>IFERROR(tbl_infrastructure_projects[[#This Row],[Estimated Concrete Demand (m³)]]/SUM(tbl_infrastructure_projects[Estimated Concrete Demand (m³)]),"")</f>
        <v>8.6227264026157907E-2</v>
      </c>
      <c r="N24" s="145" t="s">
        <v>3767</v>
      </c>
      <c r="O24" s="145" t="s">
        <v>3788</v>
      </c>
      <c r="P24" s="145" t="s">
        <v>3804</v>
      </c>
      <c r="Q24" s="145" t="str">
        <f>IF(tbl_infrastructure_projects[[#This Row],[Project Name]]="","",IF(COUNTIF(Market_Data[Project Name],tbl_infrastructure_projects[[#This Row],[Project Name]])&gt;0,"No - Duplicate in Market_Data",IF(COUNTIF(Market_Data[District],tbl_infrastructure_projects[[#This Row],[District]])=0,"No - Outside Model Geography","Yes")))</f>
        <v>Yes</v>
      </c>
    </row>
    <row r="25" spans="1:17" ht="25" customHeight="1">
      <c r="A25" s="146" t="s">
        <v>3768</v>
      </c>
      <c r="B25" s="145" t="s">
        <v>3769</v>
      </c>
      <c r="C25" s="146" t="s">
        <v>38</v>
      </c>
      <c r="D25" s="132" t="s">
        <v>3875</v>
      </c>
      <c r="E25" s="450">
        <v>285</v>
      </c>
      <c r="F25" s="450">
        <v>602100</v>
      </c>
      <c r="G25" s="102">
        <f>IF(tbl_infrastructure_projects[[#This Row],[Include in TAM?]]&lt;&gt;"Yes","",IFERROR(tbl_infrastructure_projects[[#This Row],[Estimated Concrete Demand (m³)]]*tbl_infrastructure_projects[[#This Row],[Avg Price per (₹ / m³)]]/10000000,""))</f>
        <v>325.13400000000001</v>
      </c>
      <c r="H25" s="147">
        <f>IFERROR(INDEX(tbl_assumptions_log[Value],MATCH(tbl_infrastructure_projects[[#This Row],[Project Type]],tbl_assumptions_log[Assumption Category],0)),"")</f>
        <v>5400</v>
      </c>
      <c r="I25" s="150">
        <v>44986</v>
      </c>
      <c r="J25" s="149">
        <v>46317</v>
      </c>
      <c r="K25" s="98" t="s">
        <v>194</v>
      </c>
      <c r="L25" s="146" t="str">
        <f>IF(tbl_infrastructure_projects[[#This Row],[Estimated Concrete Demand (m³)]]&gt;=250000,"Tier 1",IF(tbl_infrastructure_projects[[#This Row],[Estimated Concrete Demand (m³)]]&gt;=50000,"Tier 2","Tier 3"))</f>
        <v>Tier 1</v>
      </c>
      <c r="M25" s="148">
        <f>IFERROR(tbl_infrastructure_projects[[#This Row],[Estimated Concrete Demand (m³)]]/SUM(tbl_infrastructure_projects[Estimated Concrete Demand (m³)]),"")</f>
        <v>9.4395337582090316E-2</v>
      </c>
      <c r="N25" s="145" t="s">
        <v>3767</v>
      </c>
      <c r="O25" s="145" t="s">
        <v>3788</v>
      </c>
      <c r="P25" s="145" t="s">
        <v>3805</v>
      </c>
      <c r="Q25" s="145" t="str">
        <f>IF(tbl_infrastructure_projects[[#This Row],[Project Name]]="","",IF(COUNTIF(Market_Data[Project Name],tbl_infrastructure_projects[[#This Row],[Project Name]])&gt;0,"No - Duplicate in Market_Data",IF(COUNTIF(Market_Data[District],tbl_infrastructure_projects[[#This Row],[District]])=0,"No - Outside Model Geography","Yes")))</f>
        <v>Yes</v>
      </c>
    </row>
    <row r="26" spans="1:17" ht="25" customHeight="1">
      <c r="A26" s="146" t="s">
        <v>3770</v>
      </c>
      <c r="B26" s="145" t="s">
        <v>3771</v>
      </c>
      <c r="C26" s="146" t="s">
        <v>36</v>
      </c>
      <c r="D26" s="132" t="s">
        <v>3875</v>
      </c>
      <c r="E26" s="450">
        <v>140</v>
      </c>
      <c r="F26" s="450">
        <v>1500</v>
      </c>
      <c r="G26" s="102">
        <f>IF(tbl_infrastructure_projects[[#This Row],[Include in TAM?]]&lt;&gt;"Yes","",IFERROR(tbl_infrastructure_projects[[#This Row],[Estimated Concrete Demand (m³)]]*tbl_infrastructure_projects[[#This Row],[Avg Price per (₹ / m³)]]/10000000,""))</f>
        <v>0.78</v>
      </c>
      <c r="H26" s="147">
        <f>IFERROR(INDEX(tbl_assumptions_log[Value],MATCH(tbl_infrastructure_projects[[#This Row],[Project Type]],tbl_assumptions_log[Assumption Category],0)),"")</f>
        <v>5200</v>
      </c>
      <c r="I26" s="150">
        <v>45139</v>
      </c>
      <c r="J26" s="149">
        <v>46538</v>
      </c>
      <c r="K26" s="98" t="s">
        <v>3397</v>
      </c>
      <c r="L26" s="146" t="str">
        <f>IF(tbl_infrastructure_projects[[#This Row],[Estimated Concrete Demand (m³)]]&gt;=250000,"Tier 1",IF(tbl_infrastructure_projects[[#This Row],[Estimated Concrete Demand (m³)]]&gt;=50000,"Tier 2","Tier 3"))</f>
        <v>Tier 3</v>
      </c>
      <c r="M26" s="148">
        <f>IFERROR(tbl_infrastructure_projects[[#This Row],[Estimated Concrete Demand (m³)]]/SUM(tbl_infrastructure_projects[Estimated Concrete Demand (m³)]),"")</f>
        <v>2.3516526552588518E-4</v>
      </c>
      <c r="N26" s="145" t="s">
        <v>3772</v>
      </c>
      <c r="O26" s="145" t="s">
        <v>3682</v>
      </c>
      <c r="P26" s="145" t="s">
        <v>3806</v>
      </c>
      <c r="Q26" s="145" t="str">
        <f>IF(tbl_infrastructure_projects[[#This Row],[Project Name]]="","",IF(COUNTIF(Market_Data[Project Name],tbl_infrastructure_projects[[#This Row],[Project Name]])&gt;0,"No - Duplicate in Market_Data",IF(COUNTIF(Market_Data[District],tbl_infrastructure_projects[[#This Row],[District]])=0,"No - Outside Model Geography","Yes")))</f>
        <v>Yes</v>
      </c>
    </row>
  </sheetData>
  <mergeCells count="10">
    <mergeCell ref="W10:X10"/>
    <mergeCell ref="A1:M1"/>
    <mergeCell ref="A2:M2"/>
    <mergeCell ref="S4:T4"/>
    <mergeCell ref="V4:X4"/>
    <mergeCell ref="W5:X5"/>
    <mergeCell ref="W6:X6"/>
    <mergeCell ref="W7:X7"/>
    <mergeCell ref="W8:X8"/>
    <mergeCell ref="W9:X9"/>
  </mergeCells>
  <conditionalFormatting sqref="G5:G26">
    <cfRule type="dataBar" priority="4">
      <dataBar>
        <cfvo type="min"/>
        <cfvo type="max"/>
        <color rgb="FF63C384"/>
      </dataBar>
      <extLst>
        <ext xmlns:x14="http://schemas.microsoft.com/office/spreadsheetml/2009/9/main" uri="{B025F937-C7B1-47D3-B67F-A62EFF666E3E}">
          <x14:id>{B7037BE9-940E-4619-A5D9-307074EAACD3}</x14:id>
        </ext>
      </extLst>
    </cfRule>
  </conditionalFormatting>
  <conditionalFormatting sqref="K5:K26">
    <cfRule type="containsText" dxfId="58" priority="16" stopIfTrue="1" operator="containsText" text="Extreme">
      <formula>NOT(ISERROR(SEARCH("Extreme",K5)))</formula>
    </cfRule>
    <cfRule type="containsText" dxfId="57" priority="17" operator="containsText" text="Medium">
      <formula>NOT(ISERROR(SEARCH("Medium",K5)))</formula>
    </cfRule>
    <cfRule type="containsText" dxfId="56" priority="18" operator="containsText" text="Low">
      <formula>NOT(ISERROR(SEARCH("Low",K5)))</formula>
    </cfRule>
    <cfRule type="containsText" dxfId="55" priority="19" operator="containsText" text="High">
      <formula>NOT(ISERROR(SEARCH("High",K5)))</formula>
    </cfRule>
  </conditionalFormatting>
  <conditionalFormatting sqref="L5:L26">
    <cfRule type="containsText" dxfId="54" priority="1" operator="containsText" text="Tier 1">
      <formula>NOT(ISERROR(SEARCH("Tier 1",L5)))</formula>
    </cfRule>
    <cfRule type="containsText" dxfId="53" priority="2" operator="containsText" text="Tier2">
      <formula>NOT(ISERROR(SEARCH("Tier2",L5)))</formula>
    </cfRule>
    <cfRule type="containsText" dxfId="52" priority="3" operator="containsText" text="Tier 3">
      <formula>NOT(ISERROR(SEARCH("Tier 3",L5)))</formula>
    </cfRule>
  </conditionalFormatting>
  <conditionalFormatting sqref="D5:D26">
    <cfRule type="expression" dxfId="51" priority="20" stopIfTrue="1">
      <formula>D5="Ongoing"</formula>
    </cfRule>
    <cfRule type="expression" dxfId="50" priority="21" stopIfTrue="1">
      <formula>D5="Planned"</formula>
    </cfRule>
    <cfRule type="expression" dxfId="49" priority="22" stopIfTrue="1">
      <formula>D5="Completed"</formula>
    </cfRule>
  </conditionalFormatting>
  <dataValidations count="7">
    <dataValidation type="list" showErrorMessage="1" errorTitle="Invalid entry" error="Select a value from the dropdown list." sqref="K5:K26" xr:uid="{4F36E164-D263-4D25-904C-F9686099CD33}">
      <formula1>$BG$4:$BG$7</formula1>
    </dataValidation>
    <dataValidation type="list" showErrorMessage="1" errorTitle="Invalid entry" error="Select a value from the dropdown list." sqref="L5:L26" xr:uid="{CE6D4D65-9234-4707-89E5-C99CEE44AA41}">
      <formula1>$BH$4:$BH$6</formula1>
    </dataValidation>
    <dataValidation type="list" allowBlank="1" showInputMessage="1" showErrorMessage="1" sqref="O5:O26" xr:uid="{7506E2F2-931E-424C-83B1-488E72381280}">
      <formula1>$BI$4:$BI$6</formula1>
    </dataValidation>
    <dataValidation type="list" allowBlank="1" showInputMessage="1" showErrorMessage="1" sqref="Q5:Q26" xr:uid="{1A3689B9-0CF4-4E05-B42B-1504FD74EDED}">
      <formula1>$BK$4:$BK$7</formula1>
    </dataValidation>
    <dataValidation type="list" showErrorMessage="1" errorTitle="Invalid entry" error="Select a value from the dropdown list." sqref="C5:C26" xr:uid="{D24BBBD8-2A7C-4F5A-B2D3-6C6F20D9CAFE}">
      <formula1>$V$6:$V$10</formula1>
    </dataValidation>
    <dataValidation type="list" showErrorMessage="1" errorTitle="Invalid entry" error="Select a value from the dropdown list." sqref="D5:D26" xr:uid="{177B2A44-0000-423A-8B76-28F2A80FB284}">
      <formula1>$BE$4:$BE$6</formula1>
    </dataValidation>
    <dataValidation type="decimal" operator="greaterThan" allowBlank="1" showInputMessage="1" showErrorMessage="1" sqref="E5:E26" xr:uid="{E09339CC-0437-4D5F-9DFD-F6C0EC330E26}">
      <formula1>0</formula1>
    </dataValidation>
  </dataValidations>
  <pageMargins left="0.7" right="0.7" top="0.75" bottom="0.75" header="0.3" footer="0.3"/>
  <ignoredErrors>
    <ignoredError sqref="O5:O26" listDataValidation="1"/>
  </ignoredErrors>
  <tableParts count="2">
    <tablePart r:id="rId1"/>
    <tablePart r:id="rId2"/>
  </tableParts>
  <extLst>
    <ext xmlns:x14="http://schemas.microsoft.com/office/spreadsheetml/2009/9/main" uri="{78C0D931-6437-407d-A8EE-F0AAD7539E65}">
      <x14:conditionalFormattings>
        <x14:conditionalFormatting xmlns:xm="http://schemas.microsoft.com/office/excel/2006/main">
          <x14:cfRule type="dataBar" id="{B7037BE9-940E-4619-A5D9-307074EAACD3}">
            <x14:dataBar minLength="0" maxLength="100" border="1" negativeBarBorderColorSameAsPositive="0">
              <x14:cfvo type="autoMin"/>
              <x14:cfvo type="autoMax"/>
              <x14:borderColor rgb="FF63C384"/>
              <x14:negativeFillColor rgb="FFFF0000"/>
              <x14:negativeBorderColor rgb="FFFF0000"/>
              <x14:axisColor rgb="FF000000"/>
            </x14:dataBar>
          </x14:cfRule>
          <xm:sqref>G5:G26</xm:sqref>
        </x14:conditionalFormatting>
      </x14:conditionalFormattings>
    </ext>
    <ext xmlns:x14="http://schemas.microsoft.com/office/spreadsheetml/2009/9/main" uri="{CCE6A557-97BC-4b89-ADB6-D9C93CAAB3DF}">
      <x14:dataValidations xmlns:xm="http://schemas.microsoft.com/office/excel/2006/main" count="1">
        <x14:dataValidation type="list" showErrorMessage="1" errorTitle="Invalid entry" error="Select a value from the dropdown list." xr:uid="{80091B92-78E6-4721-A15B-B1F7627779B9}">
          <x14:formula1>
            <xm:f>Assumptions_Log!$A$29:$A$36</xm:f>
          </x14:formula1>
          <xm:sqref>B5:B26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theme="0" tint="-0.34998626667073579"/>
  </sheetPr>
  <dimension ref="A1:J63"/>
  <sheetViews>
    <sheetView showGridLines="0" topLeftCell="A11" zoomScale="87" zoomScaleNormal="56" workbookViewId="0">
      <selection activeCell="E23" sqref="E23"/>
    </sheetView>
  </sheetViews>
  <sheetFormatPr defaultRowHeight="14"/>
  <cols>
    <col min="1" max="1" width="21" bestFit="1" customWidth="1"/>
    <col min="2" max="2" width="41.5" bestFit="1" customWidth="1"/>
    <col min="3" max="3" width="17.25" bestFit="1" customWidth="1"/>
    <col min="4" max="4" width="11.08203125" bestFit="1" customWidth="1"/>
    <col min="5" max="5" width="87.25" bestFit="1" customWidth="1"/>
    <col min="6" max="6" width="14.83203125" bestFit="1" customWidth="1"/>
    <col min="7" max="7" width="8.58203125" bestFit="1" customWidth="1"/>
    <col min="8" max="8" width="110.5" bestFit="1" customWidth="1"/>
    <col min="9" max="10" width="21.25" customWidth="1"/>
    <col min="11" max="11" width="13.58203125" bestFit="1" customWidth="1"/>
  </cols>
  <sheetData>
    <row r="1" spans="1:10" ht="20" customHeight="1">
      <c r="A1" s="473" t="s">
        <v>129</v>
      </c>
      <c r="B1" s="473" t="s">
        <v>129</v>
      </c>
      <c r="C1" s="473" t="s">
        <v>129</v>
      </c>
      <c r="D1" s="473" t="s">
        <v>129</v>
      </c>
      <c r="E1" s="473" t="s">
        <v>129</v>
      </c>
      <c r="F1" s="473"/>
      <c r="G1" s="473" t="s">
        <v>129</v>
      </c>
      <c r="H1" s="473" t="s">
        <v>129</v>
      </c>
      <c r="I1" s="473" t="s">
        <v>129</v>
      </c>
      <c r="J1" s="473" t="s">
        <v>129</v>
      </c>
    </row>
    <row r="2" spans="1:10" ht="16" customHeight="1">
      <c r="A2" s="474" t="s">
        <v>4097</v>
      </c>
      <c r="B2" s="475" t="s">
        <v>130</v>
      </c>
      <c r="C2" s="475" t="s">
        <v>130</v>
      </c>
      <c r="D2" s="475" t="s">
        <v>130</v>
      </c>
      <c r="E2" s="475" t="s">
        <v>130</v>
      </c>
      <c r="F2" s="475"/>
      <c r="G2" s="475" t="s">
        <v>130</v>
      </c>
      <c r="H2" s="475" t="s">
        <v>130</v>
      </c>
      <c r="I2" s="475" t="s">
        <v>130</v>
      </c>
      <c r="J2" s="475" t="s">
        <v>130</v>
      </c>
    </row>
    <row r="4" spans="1:10" ht="21.5" customHeight="1">
      <c r="A4" s="4" t="s">
        <v>131</v>
      </c>
      <c r="B4" s="4" t="s">
        <v>132</v>
      </c>
      <c r="C4" s="4" t="s">
        <v>133</v>
      </c>
      <c r="D4" s="4" t="s">
        <v>79</v>
      </c>
      <c r="E4" s="10" t="s">
        <v>17</v>
      </c>
      <c r="F4" s="10" t="s">
        <v>10</v>
      </c>
      <c r="G4" s="320" t="s">
        <v>3812</v>
      </c>
      <c r="H4" s="110" t="s">
        <v>110</v>
      </c>
    </row>
    <row r="5" spans="1:10" ht="14" customHeight="1">
      <c r="A5" s="97" t="s">
        <v>3813</v>
      </c>
      <c r="B5" s="2" t="s">
        <v>134</v>
      </c>
      <c r="C5" s="70">
        <f>IFERROR(SUM(tbl_sam[Reachable Market Value])*10000000/SUM(tbl_sam[Estimated Reachable Demand (m³)]),"")</f>
        <v>6069.4957303460533</v>
      </c>
      <c r="D5" s="97" t="s">
        <v>4117</v>
      </c>
      <c r="E5" s="97" t="s">
        <v>3996</v>
      </c>
      <c r="F5" s="97" t="s">
        <v>3997</v>
      </c>
      <c r="G5" s="97" t="s">
        <v>3423</v>
      </c>
      <c r="H5" s="2" t="str">
        <f>"Weighted SAM price updates from reachable SAM value of Rs "&amp;TEXT(SUM(TAM_SAM_SOM!E18:E22),"#,##0.00")&amp;" Cr and reachable demand of "&amp;TEXT(SUM(TAM_SAM_SOM!D18:D22),"#,##0")&amp;" m3."</f>
        <v>Weighted SAM price updates from reachable SAM value of Rs 25,943.41 Cr and reachable demand of 42,743,932 m3.</v>
      </c>
    </row>
    <row r="6" spans="1:10" ht="14" customHeight="1">
      <c r="A6" s="97" t="s">
        <v>135</v>
      </c>
      <c r="B6" s="2" t="s">
        <v>136</v>
      </c>
      <c r="C6" s="70">
        <f>AVERAGE(Financial_Model!C42:E42)</f>
        <v>30</v>
      </c>
      <c r="D6" s="2" t="s">
        <v>3954</v>
      </c>
      <c r="E6" s="97" t="s">
        <v>3998</v>
      </c>
      <c r="F6" s="97" t="s">
        <v>3788</v>
      </c>
      <c r="G6" s="97" t="s">
        <v>3423</v>
      </c>
      <c r="H6" s="2" t="s">
        <v>3999</v>
      </c>
    </row>
    <row r="7" spans="1:10" ht="14" customHeight="1">
      <c r="A7" s="97" t="s">
        <v>137</v>
      </c>
      <c r="B7" s="2" t="s">
        <v>138</v>
      </c>
      <c r="C7" s="7">
        <f>Financial_Model!C9</f>
        <v>0.7</v>
      </c>
      <c r="D7" s="97" t="s">
        <v>3815</v>
      </c>
      <c r="E7" s="2" t="s">
        <v>3814</v>
      </c>
      <c r="F7" s="97" t="s">
        <v>3788</v>
      </c>
      <c r="G7" s="97" t="s">
        <v>3423</v>
      </c>
      <c r="H7" s="2" t="s">
        <v>4000</v>
      </c>
    </row>
    <row r="8" spans="1:10" ht="14" customHeight="1">
      <c r="A8" s="97" t="s">
        <v>140</v>
      </c>
      <c r="B8" s="2" t="s">
        <v>141</v>
      </c>
      <c r="C8" s="70">
        <f>AVERAGE(Financial_Model!C44:E44)</f>
        <v>300</v>
      </c>
      <c r="D8" s="2" t="s">
        <v>4001</v>
      </c>
      <c r="E8" s="2" t="s">
        <v>4002</v>
      </c>
      <c r="F8" s="2" t="s">
        <v>3788</v>
      </c>
      <c r="G8" s="2" t="s">
        <v>194</v>
      </c>
      <c r="H8" s="2"/>
    </row>
    <row r="9" spans="1:10" ht="14" customHeight="1">
      <c r="A9" s="97" t="s">
        <v>142</v>
      </c>
      <c r="B9" s="97" t="s">
        <v>4073</v>
      </c>
      <c r="C9" s="70" t="s">
        <v>4003</v>
      </c>
      <c r="D9" s="2" t="s">
        <v>4004</v>
      </c>
      <c r="E9" s="2" t="s">
        <v>4005</v>
      </c>
      <c r="F9" s="97" t="s">
        <v>3997</v>
      </c>
      <c r="G9" s="2" t="s">
        <v>194</v>
      </c>
      <c r="H9" s="97" t="s">
        <v>4074</v>
      </c>
    </row>
    <row r="10" spans="1:10" ht="14" customHeight="1">
      <c r="A10" s="2" t="s">
        <v>143</v>
      </c>
      <c r="B10" s="2" t="s">
        <v>144</v>
      </c>
      <c r="C10" s="254" t="s">
        <v>4006</v>
      </c>
      <c r="D10" s="2" t="s">
        <v>4004</v>
      </c>
      <c r="E10" s="2" t="s">
        <v>4007</v>
      </c>
      <c r="F10" s="2" t="s">
        <v>3788</v>
      </c>
      <c r="G10" s="2" t="s">
        <v>3397</v>
      </c>
      <c r="H10" s="2"/>
    </row>
    <row r="11" spans="1:10" ht="14" customHeight="1">
      <c r="A11" s="2" t="s">
        <v>145</v>
      </c>
      <c r="B11" s="97" t="s">
        <v>146</v>
      </c>
      <c r="C11" s="70">
        <f>Financial_Model!C29</f>
        <v>2200</v>
      </c>
      <c r="D11" s="2" t="s">
        <v>4117</v>
      </c>
      <c r="E11" s="2" t="s">
        <v>3816</v>
      </c>
      <c r="F11" s="97" t="s">
        <v>3788</v>
      </c>
      <c r="G11" s="97" t="s">
        <v>3423</v>
      </c>
      <c r="H11" s="2" t="s">
        <v>4008</v>
      </c>
    </row>
    <row r="12" spans="1:10" ht="14" customHeight="1">
      <c r="A12" s="2" t="s">
        <v>145</v>
      </c>
      <c r="B12" s="2" t="s">
        <v>147</v>
      </c>
      <c r="C12" s="70">
        <f>Financial_Model!C33</f>
        <v>500</v>
      </c>
      <c r="D12" s="2" t="s">
        <v>4117</v>
      </c>
      <c r="E12" s="2" t="s">
        <v>3817</v>
      </c>
      <c r="F12" s="97" t="s">
        <v>3788</v>
      </c>
      <c r="G12" s="97" t="s">
        <v>194</v>
      </c>
      <c r="H12" s="2"/>
    </row>
    <row r="13" spans="1:10" ht="14" customHeight="1">
      <c r="A13" s="2" t="s">
        <v>4084</v>
      </c>
      <c r="B13" s="2" t="s">
        <v>148</v>
      </c>
      <c r="C13" s="7">
        <v>0.03</v>
      </c>
      <c r="D13" s="2" t="s">
        <v>4009</v>
      </c>
      <c r="E13" s="2" t="s">
        <v>4010</v>
      </c>
      <c r="F13" s="97" t="s">
        <v>3788</v>
      </c>
      <c r="G13" s="97" t="s">
        <v>194</v>
      </c>
      <c r="H13" s="2" t="str">
        <f>"Annual escalation currently set at "&amp;TEXT(C13,"0.0%")&amp;" and used in Financial_Model forecast price and unit-cost escalation."</f>
        <v>Annual escalation currently set at 3.0% and used in Financial_Model forecast price and unit-cost escalation.</v>
      </c>
    </row>
    <row r="14" spans="1:10" ht="14" customHeight="1">
      <c r="A14" s="97" t="s">
        <v>4106</v>
      </c>
      <c r="B14" s="2" t="s">
        <v>4121</v>
      </c>
      <c r="C14" s="354">
        <v>1</v>
      </c>
      <c r="D14" s="2" t="s">
        <v>4122</v>
      </c>
      <c r="E14" s="2" t="s">
        <v>4123</v>
      </c>
      <c r="F14" s="97" t="s">
        <v>3788</v>
      </c>
      <c r="G14" s="97" t="s">
        <v>3423</v>
      </c>
      <c r="H14" s="2" t="str">
        <f>"Base scenario equals "&amp;TEXT(C14,"0.0x")&amp;" and preserves the workbook central case."</f>
        <v>Base scenario equals 1.0x and preserves the workbook central case.</v>
      </c>
    </row>
    <row r="15" spans="1:10" ht="14" customHeight="1">
      <c r="A15" s="97" t="s">
        <v>4107</v>
      </c>
      <c r="B15" s="2" t="s">
        <v>4124</v>
      </c>
      <c r="C15" s="354">
        <v>2</v>
      </c>
      <c r="D15" s="2" t="s">
        <v>4122</v>
      </c>
      <c r="E15" s="2" t="s">
        <v>4125</v>
      </c>
      <c r="F15" s="97" t="s">
        <v>3788</v>
      </c>
      <c r="G15" s="97" t="s">
        <v>3423</v>
      </c>
      <c r="H15" s="2" t="str">
        <f>"Optimistic case currently assumes "&amp;TEXT(C15,"0.0x")&amp;" Year-1 base capture."</f>
        <v>Optimistic case currently assumes 2.0x Year-1 base capture.</v>
      </c>
    </row>
    <row r="16" spans="1:10" ht="14" customHeight="1">
      <c r="A16" s="97" t="s">
        <v>4108</v>
      </c>
      <c r="B16" s="2" t="s">
        <v>4126</v>
      </c>
      <c r="C16" s="354">
        <v>0.6</v>
      </c>
      <c r="D16" s="2" t="s">
        <v>4122</v>
      </c>
      <c r="E16" s="2" t="s">
        <v>4125</v>
      </c>
      <c r="F16" s="97" t="s">
        <v>3788</v>
      </c>
      <c r="G16" s="97" t="s">
        <v>3423</v>
      </c>
      <c r="H16" s="2" t="str">
        <f>"Pessimistic case currently assumes "&amp;TEXT(C16,"0.0x")&amp;" Year-1 base capture."</f>
        <v>Pessimistic case currently assumes 0.6x Year-1 base capture.</v>
      </c>
    </row>
    <row r="17" spans="1:8" ht="14" customHeight="1">
      <c r="A17" s="2" t="s">
        <v>149</v>
      </c>
      <c r="B17" s="2" t="s">
        <v>150</v>
      </c>
      <c r="C17" s="7">
        <f>TAM_SAM_SOM!B27</f>
        <v>0.05</v>
      </c>
      <c r="D17" s="97" t="s">
        <v>3815</v>
      </c>
      <c r="E17" s="2" t="s">
        <v>3818</v>
      </c>
      <c r="F17" s="97" t="s">
        <v>3997</v>
      </c>
      <c r="G17" s="97" t="s">
        <v>3423</v>
      </c>
      <c r="H17" s="2"/>
    </row>
    <row r="18" spans="1:8" ht="14" customHeight="1">
      <c r="A18" s="2" t="s">
        <v>149</v>
      </c>
      <c r="B18" s="2" t="s">
        <v>151</v>
      </c>
      <c r="C18" s="7">
        <f>TAM_SAM_SOM!B28</f>
        <v>0.1</v>
      </c>
      <c r="D18" s="97" t="s">
        <v>3815</v>
      </c>
      <c r="E18" s="2" t="s">
        <v>3819</v>
      </c>
      <c r="F18" s="97" t="s">
        <v>3997</v>
      </c>
      <c r="G18" s="97" t="s">
        <v>3423</v>
      </c>
      <c r="H18" s="2"/>
    </row>
    <row r="19" spans="1:8" ht="14" customHeight="1">
      <c r="A19" s="2" t="s">
        <v>149</v>
      </c>
      <c r="B19" s="2" t="s">
        <v>152</v>
      </c>
      <c r="C19" s="7">
        <f>TAM_SAM_SOM!B29</f>
        <v>0.15</v>
      </c>
      <c r="D19" s="97" t="s">
        <v>3815</v>
      </c>
      <c r="E19" s="2" t="s">
        <v>4119</v>
      </c>
      <c r="F19" s="97" t="s">
        <v>3997</v>
      </c>
      <c r="G19" s="97" t="s">
        <v>3423</v>
      </c>
      <c r="H19" s="2"/>
    </row>
    <row r="20" spans="1:8" ht="14" customHeight="1">
      <c r="A20" s="2" t="s">
        <v>153</v>
      </c>
      <c r="B20" s="2" t="s">
        <v>154</v>
      </c>
      <c r="C20" s="7">
        <f>Financial_Model!C12</f>
        <v>0.12</v>
      </c>
      <c r="D20" s="97" t="s">
        <v>3815</v>
      </c>
      <c r="E20" s="2" t="s">
        <v>3820</v>
      </c>
      <c r="F20" s="97" t="s">
        <v>3788</v>
      </c>
      <c r="G20" s="97" t="s">
        <v>3423</v>
      </c>
      <c r="H20" s="2" t="str">
        <f>"Base discount rate is "&amp;TEXT(C20,"0.0%")&amp;"; scenario rates are maintained in Financial_Model row 12."</f>
        <v>Base discount rate is 12.0%; scenario rates are maintained in Financial_Model row 12.</v>
      </c>
    </row>
    <row r="21" spans="1:8" ht="14" customHeight="1">
      <c r="A21" s="2" t="s">
        <v>153</v>
      </c>
      <c r="B21" s="2" t="s">
        <v>4118</v>
      </c>
      <c r="C21" s="70">
        <f>Financial_Model!C23</f>
        <v>3</v>
      </c>
      <c r="D21" s="2" t="s">
        <v>91</v>
      </c>
      <c r="E21" s="2" t="s">
        <v>4011</v>
      </c>
      <c r="F21" s="97" t="s">
        <v>3788</v>
      </c>
      <c r="G21" s="97" t="s">
        <v>194</v>
      </c>
      <c r="H21" s="2" t="str">
        <f>"Linked to Financial_Model CapEx row. Current base working capital amount is Rs "&amp;TEXT(C21,"#,##0.00")&amp;" Cr."</f>
        <v>Linked to Financial_Model CapEx row. Current base working capital amount is Rs 3.00 Cr.</v>
      </c>
    </row>
    <row r="22" spans="1:8" ht="14" customHeight="1">
      <c r="A22" s="2" t="s">
        <v>116</v>
      </c>
      <c r="B22" s="2" t="s">
        <v>155</v>
      </c>
      <c r="C22" s="321" t="s">
        <v>4088</v>
      </c>
      <c r="D22" s="2"/>
      <c r="E22" s="97" t="s">
        <v>4089</v>
      </c>
      <c r="F22" s="97" t="s">
        <v>3997</v>
      </c>
      <c r="G22" s="97" t="s">
        <v>3423</v>
      </c>
      <c r="H22" s="97" t="s">
        <v>4090</v>
      </c>
    </row>
    <row r="23" spans="1:8" ht="14" customHeight="1">
      <c r="A23" s="2" t="s">
        <v>4012</v>
      </c>
      <c r="B23" s="2" t="s">
        <v>4017</v>
      </c>
      <c r="C23" s="70" t="s">
        <v>4023</v>
      </c>
      <c r="D23" s="2" t="s">
        <v>4024</v>
      </c>
      <c r="E23" s="2" t="s">
        <v>4025</v>
      </c>
      <c r="F23" s="97" t="s">
        <v>3788</v>
      </c>
      <c r="G23" s="97" t="s">
        <v>3423</v>
      </c>
      <c r="H23" s="255" t="s">
        <v>4026</v>
      </c>
    </row>
    <row r="24" spans="1:8" ht="14" customHeight="1">
      <c r="A24" s="2" t="s">
        <v>4013</v>
      </c>
      <c r="B24" s="2" t="s">
        <v>4018</v>
      </c>
      <c r="C24" s="70">
        <f>Financial_Model!C47</f>
        <v>0.6</v>
      </c>
      <c r="D24" s="2" t="s">
        <v>3968</v>
      </c>
      <c r="E24" s="2" t="s">
        <v>4027</v>
      </c>
      <c r="F24" s="97" t="s">
        <v>3788</v>
      </c>
      <c r="G24" s="97" t="s">
        <v>194</v>
      </c>
      <c r="H24" s="2"/>
    </row>
    <row r="25" spans="1:8" ht="14" customHeight="1">
      <c r="A25" s="2" t="s">
        <v>4014</v>
      </c>
      <c r="B25" s="2" t="s">
        <v>4019</v>
      </c>
      <c r="C25" s="7">
        <f>IFERROR((Financial_Model!D51-Financial_Model!F51)/Financial_Model!D51,"")</f>
        <v>0.24211166720143154</v>
      </c>
      <c r="D25" s="97" t="s">
        <v>83</v>
      </c>
      <c r="E25" s="2" t="s">
        <v>4028</v>
      </c>
      <c r="F25" s="97" t="s">
        <v>3997</v>
      </c>
      <c r="G25" s="97" t="s">
        <v>3423</v>
      </c>
      <c r="H25" s="2" t="str">
        <f>"Derived Year-1 gross margin is "&amp;TEXT(C25,"0.0%")&amp;" based on live Financial_Model price and unit-cost assumptions."</f>
        <v>Derived Year-1 gross margin is 24.2% based on live Financial_Model price and unit-cost assumptions.</v>
      </c>
    </row>
    <row r="26" spans="1:8" ht="14" customHeight="1">
      <c r="A26" s="2" t="s">
        <v>89</v>
      </c>
      <c r="B26" s="2" t="s">
        <v>4020</v>
      </c>
      <c r="C26" s="70">
        <f>Financial_Model!C24</f>
        <v>17</v>
      </c>
      <c r="D26" s="2" t="s">
        <v>91</v>
      </c>
      <c r="E26" s="2" t="s">
        <v>4029</v>
      </c>
      <c r="F26" s="97" t="s">
        <v>3788</v>
      </c>
      <c r="G26" s="97" t="s">
        <v>3423</v>
      </c>
      <c r="H26" s="2" t="s">
        <v>4030</v>
      </c>
    </row>
    <row r="27" spans="1:8" ht="14" customHeight="1">
      <c r="A27" s="2" t="s">
        <v>4015</v>
      </c>
      <c r="B27" s="2" t="s">
        <v>4021</v>
      </c>
      <c r="C27" s="255" t="s">
        <v>4031</v>
      </c>
      <c r="D27" s="97" t="s">
        <v>4032</v>
      </c>
      <c r="E27" s="2" t="s">
        <v>4033</v>
      </c>
      <c r="F27" s="97" t="s">
        <v>3997</v>
      </c>
      <c r="G27" s="97" t="s">
        <v>194</v>
      </c>
      <c r="H27" s="2" t="s">
        <v>4120</v>
      </c>
    </row>
    <row r="28" spans="1:8" ht="14" customHeight="1">
      <c r="A28" s="2" t="s">
        <v>4016</v>
      </c>
      <c r="B28" s="2" t="s">
        <v>4022</v>
      </c>
      <c r="C28" s="255" t="s">
        <v>4034</v>
      </c>
      <c r="D28" s="97" t="s">
        <v>83</v>
      </c>
      <c r="E28" s="97" t="s">
        <v>4035</v>
      </c>
      <c r="F28" s="97" t="s">
        <v>3997</v>
      </c>
      <c r="G28" s="97" t="s">
        <v>3397</v>
      </c>
      <c r="H28" s="2" t="s">
        <v>4036</v>
      </c>
    </row>
    <row r="29" spans="1:8" ht="14" customHeight="1">
      <c r="A29" s="2" t="s">
        <v>3735</v>
      </c>
      <c r="B29" s="2"/>
      <c r="C29" s="70">
        <v>6500</v>
      </c>
      <c r="D29" s="97" t="s">
        <v>3865</v>
      </c>
      <c r="E29" s="2"/>
      <c r="F29" s="97" t="s">
        <v>3997</v>
      </c>
      <c r="G29" s="97" t="s">
        <v>3423</v>
      </c>
      <c r="H29" s="97" t="s">
        <v>4093</v>
      </c>
    </row>
    <row r="30" spans="1:8" ht="14" customHeight="1">
      <c r="A30" s="2" t="s">
        <v>3746</v>
      </c>
      <c r="B30" s="2"/>
      <c r="C30" s="70">
        <v>5800</v>
      </c>
      <c r="D30" s="2" t="s">
        <v>3865</v>
      </c>
      <c r="E30" s="2"/>
      <c r="F30" s="2" t="s">
        <v>3997</v>
      </c>
      <c r="G30" s="2" t="s">
        <v>3423</v>
      </c>
      <c r="H30" s="97" t="s">
        <v>4092</v>
      </c>
    </row>
    <row r="31" spans="1:8" ht="14" customHeight="1">
      <c r="A31" s="97" t="s">
        <v>3739</v>
      </c>
      <c r="B31" s="2"/>
      <c r="C31" s="70">
        <v>6100</v>
      </c>
      <c r="D31" s="2" t="s">
        <v>3865</v>
      </c>
      <c r="E31" s="2"/>
      <c r="F31" s="2" t="s">
        <v>3997</v>
      </c>
      <c r="G31" s="2" t="s">
        <v>3423</v>
      </c>
      <c r="H31" s="2" t="s">
        <v>4094</v>
      </c>
    </row>
    <row r="32" spans="1:8" ht="14" customHeight="1">
      <c r="A32" s="2" t="s">
        <v>3751</v>
      </c>
      <c r="B32" s="2"/>
      <c r="C32" s="70">
        <v>5600</v>
      </c>
      <c r="D32" s="2" t="s">
        <v>3865</v>
      </c>
      <c r="E32" s="2"/>
      <c r="F32" s="2" t="s">
        <v>3997</v>
      </c>
      <c r="G32" s="2" t="s">
        <v>3423</v>
      </c>
      <c r="H32" s="2" t="s">
        <v>4095</v>
      </c>
    </row>
    <row r="33" spans="1:8" ht="14" customHeight="1">
      <c r="A33" s="2" t="s">
        <v>3757</v>
      </c>
      <c r="B33" s="2" t="s">
        <v>4127</v>
      </c>
      <c r="C33" s="70">
        <v>6200</v>
      </c>
      <c r="D33" s="2" t="s">
        <v>3865</v>
      </c>
      <c r="E33" s="2" t="s">
        <v>4128</v>
      </c>
      <c r="F33" s="2" t="s">
        <v>3997</v>
      </c>
      <c r="G33" s="2" t="s">
        <v>3423</v>
      </c>
      <c r="H33" s="2" t="str">
        <f>"Used by Infrastructure_Projects pricing lookup. Current value is Rs "&amp;TEXT(C33,"#,##0")&amp;"/m3."</f>
        <v>Used by Infrastructure_Projects pricing lookup. Current value is Rs 6,200/m3.</v>
      </c>
    </row>
    <row r="34" spans="1:8" ht="14" customHeight="1">
      <c r="A34" s="2" t="s">
        <v>3755</v>
      </c>
      <c r="B34" s="2"/>
      <c r="C34" s="70">
        <v>5900</v>
      </c>
      <c r="D34" s="2" t="s">
        <v>3865</v>
      </c>
      <c r="E34" s="2"/>
      <c r="F34" s="2" t="s">
        <v>3997</v>
      </c>
      <c r="G34" s="2" t="s">
        <v>3423</v>
      </c>
      <c r="H34" s="2" t="s">
        <v>4096</v>
      </c>
    </row>
    <row r="35" spans="1:8" ht="14" customHeight="1">
      <c r="A35" s="2" t="s">
        <v>3769</v>
      </c>
      <c r="B35" s="2"/>
      <c r="C35" s="70">
        <v>5400</v>
      </c>
      <c r="D35" s="2" t="s">
        <v>3865</v>
      </c>
      <c r="E35" s="2"/>
      <c r="F35" s="2" t="s">
        <v>3997</v>
      </c>
      <c r="G35" s="2" t="s">
        <v>3423</v>
      </c>
      <c r="H35" s="2" t="s">
        <v>4091</v>
      </c>
    </row>
    <row r="36" spans="1:8" ht="14" customHeight="1">
      <c r="A36" s="2" t="s">
        <v>3771</v>
      </c>
      <c r="B36" s="2" t="s">
        <v>4129</v>
      </c>
      <c r="C36" s="70">
        <v>5200</v>
      </c>
      <c r="D36" s="2" t="s">
        <v>3865</v>
      </c>
      <c r="E36" s="2" t="s">
        <v>4130</v>
      </c>
      <c r="F36" s="2" t="s">
        <v>3997</v>
      </c>
      <c r="G36" s="2" t="s">
        <v>3423</v>
      </c>
      <c r="H36" s="2" t="str">
        <f>"Used by Infrastructure_Projects pricing lookup. Current value is Rs "&amp;TEXT(C36,"#,##0")&amp;"/m3."</f>
        <v>Used by Infrastructure_Projects pricing lookup. Current value is Rs 5,200/m3.</v>
      </c>
    </row>
    <row r="37" spans="1:8" ht="14" customHeight="1">
      <c r="A37" s="2"/>
      <c r="B37" s="2"/>
      <c r="C37" s="7"/>
      <c r="D37" s="97"/>
      <c r="E37" s="2"/>
      <c r="F37" s="2"/>
      <c r="G37" s="2"/>
      <c r="H37" s="2"/>
    </row>
    <row r="38" spans="1:8" ht="14" customHeight="1">
      <c r="A38" s="2"/>
      <c r="B38" s="2"/>
      <c r="C38" s="70"/>
      <c r="D38" s="2"/>
      <c r="E38" s="2"/>
      <c r="F38" s="2"/>
      <c r="G38" s="2"/>
      <c r="H38" s="2"/>
    </row>
    <row r="39" spans="1:8" ht="14" customHeight="1">
      <c r="A39" s="2"/>
      <c r="B39" s="2"/>
      <c r="C39" s="70"/>
      <c r="D39" s="2"/>
      <c r="E39" s="2"/>
      <c r="F39" s="2"/>
      <c r="G39" s="2"/>
      <c r="H39" s="2"/>
    </row>
    <row r="40" spans="1:8" ht="14" customHeight="1">
      <c r="A40" s="2"/>
      <c r="B40" s="2"/>
      <c r="C40" s="70"/>
      <c r="D40" s="2"/>
      <c r="E40" s="2"/>
      <c r="F40" s="2"/>
      <c r="G40" s="2"/>
      <c r="H40" s="2"/>
    </row>
    <row r="41" spans="1:8" ht="14" customHeight="1">
      <c r="A41" s="2"/>
      <c r="B41" s="2"/>
      <c r="C41" s="70"/>
      <c r="D41" s="2"/>
      <c r="E41" s="2"/>
      <c r="F41" s="2"/>
      <c r="G41" s="2"/>
      <c r="H41" s="2"/>
    </row>
    <row r="42" spans="1:8" ht="14" customHeight="1">
      <c r="A42" s="2"/>
      <c r="B42" s="2"/>
      <c r="C42" s="70"/>
      <c r="D42" s="2"/>
      <c r="E42" s="2"/>
      <c r="F42" s="2"/>
      <c r="G42" s="2"/>
      <c r="H42" s="2"/>
    </row>
    <row r="43" spans="1:8" ht="14" customHeight="1">
      <c r="A43" s="2"/>
      <c r="B43" s="2"/>
      <c r="C43" s="70"/>
      <c r="D43" s="2"/>
      <c r="E43" s="2"/>
      <c r="F43" s="2"/>
      <c r="G43" s="2"/>
      <c r="H43" s="2"/>
    </row>
    <row r="44" spans="1:8" ht="14" customHeight="1">
      <c r="A44" s="2"/>
      <c r="B44" s="2"/>
      <c r="C44" s="70"/>
      <c r="D44" s="2"/>
      <c r="E44" s="2"/>
      <c r="F44" s="2"/>
      <c r="G44" s="2"/>
      <c r="H44" s="2"/>
    </row>
    <row r="45" spans="1:8" ht="14" customHeight="1">
      <c r="A45" s="2"/>
      <c r="B45" s="2"/>
      <c r="C45" s="70"/>
      <c r="D45" s="2"/>
      <c r="E45" s="2"/>
      <c r="F45" s="2"/>
      <c r="G45" s="2"/>
      <c r="H45" s="2"/>
    </row>
    <row r="46" spans="1:8" ht="14" customHeight="1">
      <c r="A46" s="2"/>
      <c r="B46" s="2"/>
      <c r="C46" s="70"/>
      <c r="D46" s="2"/>
      <c r="E46" s="2"/>
      <c r="F46" s="2"/>
      <c r="G46" s="2"/>
      <c r="H46" s="2"/>
    </row>
    <row r="47" spans="1:8" ht="14" customHeight="1">
      <c r="A47" s="2"/>
      <c r="B47" s="2"/>
      <c r="C47" s="70"/>
      <c r="D47" s="2"/>
      <c r="E47" s="2"/>
      <c r="F47" s="2"/>
      <c r="G47" s="2"/>
      <c r="H47" s="2"/>
    </row>
    <row r="48" spans="1:8" ht="14" customHeight="1">
      <c r="A48" s="2"/>
      <c r="B48" s="2"/>
      <c r="C48" s="70"/>
      <c r="D48" s="2"/>
      <c r="E48" s="2"/>
      <c r="F48" s="2"/>
      <c r="G48" s="2"/>
      <c r="H48" s="2"/>
    </row>
    <row r="49" spans="1:8" ht="14" customHeight="1">
      <c r="A49" s="2"/>
      <c r="B49" s="2"/>
      <c r="C49" s="70"/>
      <c r="D49" s="2"/>
      <c r="E49" s="2"/>
      <c r="F49" s="2"/>
      <c r="G49" s="2"/>
      <c r="H49" s="2"/>
    </row>
    <row r="50" spans="1:8" ht="14" customHeight="1">
      <c r="A50" s="2"/>
      <c r="B50" s="2"/>
      <c r="C50" s="70"/>
      <c r="D50" s="2"/>
      <c r="E50" s="2"/>
      <c r="F50" s="2"/>
      <c r="G50" s="2"/>
      <c r="H50" s="2"/>
    </row>
    <row r="51" spans="1:8" ht="14" customHeight="1">
      <c r="A51" s="2"/>
      <c r="B51" s="2"/>
      <c r="C51" s="70"/>
      <c r="D51" s="2"/>
      <c r="E51" s="2"/>
      <c r="F51" s="2"/>
      <c r="G51" s="2"/>
      <c r="H51" s="2"/>
    </row>
    <row r="52" spans="1:8" ht="14" customHeight="1">
      <c r="A52" s="2"/>
      <c r="B52" s="2"/>
      <c r="C52" s="70"/>
      <c r="D52" s="2"/>
      <c r="E52" s="2"/>
      <c r="F52" s="2"/>
      <c r="G52" s="2"/>
      <c r="H52" s="2"/>
    </row>
    <row r="53" spans="1:8" ht="14" customHeight="1">
      <c r="A53" s="2"/>
      <c r="B53" s="2"/>
      <c r="C53" s="70"/>
      <c r="D53" s="2"/>
      <c r="E53" s="2"/>
      <c r="F53" s="2"/>
      <c r="G53" s="2"/>
      <c r="H53" s="2"/>
    </row>
    <row r="54" spans="1:8" ht="14" customHeight="1">
      <c r="A54" s="2"/>
      <c r="B54" s="2"/>
      <c r="C54" s="70"/>
      <c r="D54" s="2"/>
      <c r="E54" s="2"/>
      <c r="F54" s="2"/>
      <c r="G54" s="2"/>
      <c r="H54" s="2"/>
    </row>
    <row r="55" spans="1:8">
      <c r="A55" s="2"/>
      <c r="B55" s="2"/>
      <c r="C55" s="70"/>
      <c r="D55" s="2"/>
      <c r="E55" s="2"/>
      <c r="F55" s="2"/>
      <c r="G55" s="2"/>
      <c r="H55" s="2"/>
    </row>
    <row r="56" spans="1:8">
      <c r="A56" s="2"/>
      <c r="B56" s="2"/>
      <c r="C56" s="70"/>
      <c r="D56" s="2"/>
      <c r="E56" s="2"/>
      <c r="F56" s="2"/>
      <c r="G56" s="2"/>
      <c r="H56" s="2"/>
    </row>
    <row r="57" spans="1:8">
      <c r="A57" s="2"/>
      <c r="B57" s="2"/>
      <c r="C57" s="70"/>
      <c r="D57" s="2"/>
      <c r="E57" s="2"/>
      <c r="F57" s="2"/>
      <c r="G57" s="2"/>
      <c r="H57" s="2"/>
    </row>
    <row r="58" spans="1:8">
      <c r="A58" s="2"/>
      <c r="B58" s="2"/>
      <c r="C58" s="70"/>
      <c r="D58" s="2"/>
      <c r="E58" s="2"/>
      <c r="F58" s="2"/>
      <c r="G58" s="2"/>
      <c r="H58" s="2"/>
    </row>
    <row r="59" spans="1:8">
      <c r="A59" s="2"/>
      <c r="B59" s="2"/>
      <c r="C59" s="70"/>
      <c r="D59" s="2"/>
      <c r="E59" s="2"/>
      <c r="F59" s="2"/>
      <c r="G59" s="2"/>
      <c r="H59" s="2"/>
    </row>
    <row r="60" spans="1:8">
      <c r="A60" s="2"/>
      <c r="B60" s="2"/>
      <c r="C60" s="70"/>
      <c r="D60" s="2"/>
      <c r="E60" s="2"/>
      <c r="F60" s="2"/>
      <c r="G60" s="2"/>
      <c r="H60" s="2"/>
    </row>
    <row r="61" spans="1:8">
      <c r="A61" s="2"/>
      <c r="B61" s="2"/>
      <c r="C61" s="70"/>
      <c r="D61" s="2"/>
      <c r="E61" s="2"/>
      <c r="F61" s="2"/>
      <c r="G61" s="2"/>
      <c r="H61" s="2"/>
    </row>
    <row r="62" spans="1:8">
      <c r="A62" s="2"/>
      <c r="B62" s="2"/>
      <c r="C62" s="70"/>
      <c r="D62" s="2"/>
      <c r="E62" s="2"/>
      <c r="F62" s="2"/>
      <c r="G62" s="2"/>
      <c r="H62" s="2"/>
    </row>
    <row r="63" spans="1:8">
      <c r="A63" s="2"/>
      <c r="B63" s="2"/>
      <c r="C63" s="70"/>
      <c r="D63" s="2"/>
      <c r="E63" s="2"/>
      <c r="F63" s="2"/>
      <c r="G63" s="2"/>
      <c r="H63" s="2"/>
    </row>
  </sheetData>
  <mergeCells count="2">
    <mergeCell ref="A1:J1"/>
    <mergeCell ref="A2:J2"/>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tabColor rgb="FFFF6A05"/>
  </sheetPr>
  <dimension ref="A1:M58"/>
  <sheetViews>
    <sheetView showGridLines="0" topLeftCell="A3" zoomScale="78" zoomScaleNormal="99" workbookViewId="0">
      <selection activeCell="H7" sqref="H7"/>
    </sheetView>
  </sheetViews>
  <sheetFormatPr defaultRowHeight="14"/>
  <cols>
    <col min="1" max="1" width="8.75" customWidth="1"/>
    <col min="2" max="2" width="14" customWidth="1"/>
    <col min="3" max="3" width="17.08203125" customWidth="1"/>
    <col min="4" max="4" width="12.6640625" customWidth="1"/>
    <col min="5" max="5" width="12.08203125" customWidth="1"/>
    <col min="6" max="6" width="13.75" customWidth="1"/>
    <col min="7" max="7" width="10.75" bestFit="1" customWidth="1"/>
    <col min="8" max="13" width="15" customWidth="1"/>
  </cols>
  <sheetData>
    <row r="1" spans="1:13" ht="20" customHeight="1">
      <c r="A1" s="473" t="s">
        <v>156</v>
      </c>
      <c r="B1" s="473" t="s">
        <v>156</v>
      </c>
      <c r="C1" s="473" t="s">
        <v>156</v>
      </c>
      <c r="D1" s="473" t="s">
        <v>156</v>
      </c>
      <c r="E1" s="473" t="s">
        <v>156</v>
      </c>
      <c r="F1" s="473" t="s">
        <v>156</v>
      </c>
      <c r="G1" s="473" t="s">
        <v>156</v>
      </c>
      <c r="H1" s="473" t="s">
        <v>156</v>
      </c>
      <c r="I1" s="473" t="s">
        <v>156</v>
      </c>
      <c r="J1" s="473" t="s">
        <v>156</v>
      </c>
      <c r="K1" s="473" t="s">
        <v>156</v>
      </c>
      <c r="L1" s="473" t="s">
        <v>156</v>
      </c>
      <c r="M1" s="473" t="s">
        <v>156</v>
      </c>
    </row>
    <row r="2" spans="1:13" ht="16" customHeight="1">
      <c r="A2" s="475" t="s">
        <v>4115</v>
      </c>
      <c r="B2" s="475" t="s">
        <v>157</v>
      </c>
      <c r="C2" s="475" t="s">
        <v>157</v>
      </c>
      <c r="D2" s="475" t="s">
        <v>157</v>
      </c>
      <c r="E2" s="475" t="s">
        <v>157</v>
      </c>
      <c r="F2" s="475" t="s">
        <v>157</v>
      </c>
      <c r="G2" s="475" t="s">
        <v>157</v>
      </c>
      <c r="H2" s="475" t="s">
        <v>157</v>
      </c>
      <c r="I2" s="475" t="s">
        <v>157</v>
      </c>
      <c r="J2" s="475" t="s">
        <v>157</v>
      </c>
      <c r="K2" s="475" t="s">
        <v>157</v>
      </c>
      <c r="L2" s="475" t="s">
        <v>157</v>
      </c>
      <c r="M2" s="475" t="s">
        <v>157</v>
      </c>
    </row>
    <row r="4" spans="1:13">
      <c r="A4" s="548" t="s">
        <v>158</v>
      </c>
      <c r="B4" s="549" t="s">
        <v>158</v>
      </c>
      <c r="C4" s="459" t="s">
        <v>159</v>
      </c>
      <c r="D4" s="549" t="s">
        <v>159</v>
      </c>
      <c r="E4" s="548" t="s">
        <v>160</v>
      </c>
      <c r="F4" s="549" t="s">
        <v>160</v>
      </c>
      <c r="G4" s="252" t="s">
        <v>4114</v>
      </c>
      <c r="H4" s="548" t="s">
        <v>161</v>
      </c>
      <c r="I4" s="549" t="s">
        <v>161</v>
      </c>
      <c r="J4" s="548" t="s">
        <v>162</v>
      </c>
      <c r="K4" s="549" t="s">
        <v>162</v>
      </c>
      <c r="L4" s="548" t="s">
        <v>163</v>
      </c>
      <c r="M4" s="549" t="s">
        <v>163</v>
      </c>
    </row>
    <row r="5" spans="1:13">
      <c r="A5" s="550">
        <f>IFERROR(COUNTA(Market_Data[Project Name])+COUNTIFS(tbl_infrastructure_projects[Include in TAM?],"Yes"),"")</f>
        <v>3087</v>
      </c>
      <c r="B5" s="551"/>
      <c r="C5" s="554">
        <f>TAM_SAM_SOM!D12</f>
        <v>44238410</v>
      </c>
      <c r="D5" s="555"/>
      <c r="E5" s="558">
        <f>TAM_SAM_SOM!F12</f>
        <v>26760.217739999996</v>
      </c>
      <c r="F5" s="559"/>
      <c r="G5" s="574">
        <f>Financial_Model!C72/Financial_Model!C71</f>
        <v>0.22817017719195015</v>
      </c>
      <c r="H5" s="562">
        <f>SUM(tbl_sam[Reachable Market Value])</f>
        <v>25943.411520000031</v>
      </c>
      <c r="I5" s="563"/>
      <c r="J5" s="566">
        <f>SUM(tbl_sam[Reachable Market Value])*INDEX(tbl_som[Market Capture %],1)</f>
        <v>1297.1705760000016</v>
      </c>
      <c r="K5" s="567"/>
      <c r="L5" s="570" t="str" cm="1">
        <f t="array" ref="L5">_xlfn.IFS(AND(Financial_Model!C64&gt;0,Financial_Model!C65&gt;Assumptions_Log!C20,Financial_Model!C66&lt;=5,Financial_Model!C63&gt;=50%,Risk_Analysis!C5&lt;=40),"GO",AND(Financial_Model!C64&gt;0,Financial_Model!C65&gt;Assumptions_Log!C20),"CONDITIONAL GO",TRUE,"NO GO")</f>
        <v>GO</v>
      </c>
      <c r="M5" s="571"/>
    </row>
    <row r="6" spans="1:13">
      <c r="A6" s="552"/>
      <c r="B6" s="553"/>
      <c r="C6" s="556"/>
      <c r="D6" s="557"/>
      <c r="E6" s="560"/>
      <c r="F6" s="561"/>
      <c r="G6" s="575"/>
      <c r="H6" s="564"/>
      <c r="I6" s="565"/>
      <c r="J6" s="568"/>
      <c r="K6" s="569"/>
      <c r="L6" s="572"/>
      <c r="M6" s="573"/>
    </row>
    <row r="8" spans="1:13">
      <c r="F8" s="384"/>
    </row>
    <row r="9" spans="1:13" ht="16">
      <c r="A9" s="576" t="s">
        <v>164</v>
      </c>
      <c r="B9" s="576" t="s">
        <v>164</v>
      </c>
      <c r="C9" s="576" t="s">
        <v>164</v>
      </c>
      <c r="D9" s="576" t="s">
        <v>164</v>
      </c>
      <c r="E9" s="576" t="s">
        <v>164</v>
      </c>
      <c r="F9" s="576" t="s">
        <v>164</v>
      </c>
      <c r="H9" s="334"/>
      <c r="I9" s="335"/>
      <c r="J9" s="335"/>
      <c r="K9" s="335"/>
      <c r="L9" s="335"/>
      <c r="M9" s="336"/>
    </row>
    <row r="10" spans="1:13" ht="14" customHeight="1">
      <c r="A10" s="576" t="s">
        <v>164</v>
      </c>
      <c r="B10" s="576" t="s">
        <v>164</v>
      </c>
      <c r="C10" s="576" t="s">
        <v>164</v>
      </c>
      <c r="D10" s="576" t="s">
        <v>164</v>
      </c>
      <c r="E10" s="576" t="s">
        <v>164</v>
      </c>
      <c r="F10" s="576" t="s">
        <v>164</v>
      </c>
      <c r="H10" s="337"/>
      <c r="I10" s="338"/>
      <c r="J10" s="338"/>
      <c r="K10" s="338"/>
      <c r="L10" s="338"/>
      <c r="M10" s="339"/>
    </row>
    <row r="11" spans="1:13" ht="14" customHeight="1">
      <c r="A11" s="576" t="s">
        <v>164</v>
      </c>
      <c r="B11" s="576" t="s">
        <v>164</v>
      </c>
      <c r="C11" s="576" t="s">
        <v>164</v>
      </c>
      <c r="D11" s="576" t="s">
        <v>164</v>
      </c>
      <c r="E11" s="576" t="s">
        <v>164</v>
      </c>
      <c r="F11" s="576" t="s">
        <v>164</v>
      </c>
      <c r="H11" s="337"/>
      <c r="I11" s="338"/>
      <c r="J11" s="338"/>
      <c r="K11" s="338"/>
      <c r="L11" s="338"/>
      <c r="M11" s="339"/>
    </row>
    <row r="12" spans="1:13" ht="14" customHeight="1">
      <c r="A12" s="576" t="s">
        <v>164</v>
      </c>
      <c r="B12" s="576" t="s">
        <v>164</v>
      </c>
      <c r="C12" s="576" t="s">
        <v>164</v>
      </c>
      <c r="D12" s="576" t="s">
        <v>164</v>
      </c>
      <c r="E12" s="576" t="s">
        <v>164</v>
      </c>
      <c r="F12" s="576" t="s">
        <v>164</v>
      </c>
      <c r="H12" s="337"/>
      <c r="I12" s="338"/>
      <c r="J12" s="338"/>
      <c r="K12" s="338"/>
      <c r="L12" s="338"/>
      <c r="M12" s="339"/>
    </row>
    <row r="13" spans="1:13" ht="14" customHeight="1">
      <c r="A13" s="576" t="s">
        <v>164</v>
      </c>
      <c r="B13" s="576" t="s">
        <v>164</v>
      </c>
      <c r="C13" s="576" t="s">
        <v>164</v>
      </c>
      <c r="D13" s="576" t="s">
        <v>164</v>
      </c>
      <c r="E13" s="576" t="s">
        <v>164</v>
      </c>
      <c r="F13" s="576" t="s">
        <v>164</v>
      </c>
      <c r="H13" s="337"/>
      <c r="I13" s="338"/>
      <c r="J13" s="338"/>
      <c r="K13" s="338"/>
      <c r="L13" s="338"/>
      <c r="M13" s="339"/>
    </row>
    <row r="14" spans="1:13" ht="14" customHeight="1">
      <c r="A14" s="576" t="s">
        <v>164</v>
      </c>
      <c r="B14" s="576" t="s">
        <v>164</v>
      </c>
      <c r="C14" s="576" t="s">
        <v>164</v>
      </c>
      <c r="D14" s="576" t="s">
        <v>164</v>
      </c>
      <c r="E14" s="576" t="s">
        <v>164</v>
      </c>
      <c r="F14" s="576" t="s">
        <v>164</v>
      </c>
      <c r="H14" s="337"/>
      <c r="I14" s="338"/>
      <c r="J14" s="338"/>
      <c r="K14" s="338"/>
      <c r="L14" s="338"/>
      <c r="M14" s="339"/>
    </row>
    <row r="15" spans="1:13" ht="14" customHeight="1">
      <c r="A15" s="576" t="s">
        <v>164</v>
      </c>
      <c r="B15" s="576" t="s">
        <v>164</v>
      </c>
      <c r="C15" s="576" t="s">
        <v>164</v>
      </c>
      <c r="D15" s="576" t="s">
        <v>164</v>
      </c>
      <c r="E15" s="576" t="s">
        <v>164</v>
      </c>
      <c r="F15" s="576" t="s">
        <v>164</v>
      </c>
      <c r="H15" s="337"/>
      <c r="I15" s="338"/>
      <c r="J15" s="338"/>
      <c r="K15" s="338"/>
      <c r="L15" s="338"/>
      <c r="M15" s="339"/>
    </row>
    <row r="16" spans="1:13" ht="14" customHeight="1">
      <c r="A16" s="576" t="s">
        <v>164</v>
      </c>
      <c r="B16" s="576" t="s">
        <v>164</v>
      </c>
      <c r="C16" s="576" t="s">
        <v>164</v>
      </c>
      <c r="D16" s="576" t="s">
        <v>164</v>
      </c>
      <c r="E16" s="576" t="s">
        <v>164</v>
      </c>
      <c r="F16" s="576" t="s">
        <v>164</v>
      </c>
      <c r="H16" s="337"/>
      <c r="I16" s="338"/>
      <c r="J16" s="338"/>
      <c r="K16" s="338"/>
      <c r="L16" s="338"/>
      <c r="M16" s="339"/>
    </row>
    <row r="17" spans="1:13" ht="14" customHeight="1">
      <c r="A17" s="576" t="s">
        <v>164</v>
      </c>
      <c r="B17" s="576" t="s">
        <v>164</v>
      </c>
      <c r="C17" s="576" t="s">
        <v>164</v>
      </c>
      <c r="D17" s="576" t="s">
        <v>164</v>
      </c>
      <c r="E17" s="576" t="s">
        <v>164</v>
      </c>
      <c r="F17" s="576" t="s">
        <v>164</v>
      </c>
      <c r="H17" s="337"/>
      <c r="I17" s="338"/>
      <c r="J17" s="338"/>
      <c r="K17" s="338"/>
      <c r="L17" s="338"/>
      <c r="M17" s="339"/>
    </row>
    <row r="18" spans="1:13" ht="14" customHeight="1">
      <c r="A18" s="576" t="s">
        <v>164</v>
      </c>
      <c r="B18" s="576" t="s">
        <v>164</v>
      </c>
      <c r="C18" s="576" t="s">
        <v>164</v>
      </c>
      <c r="D18" s="576" t="s">
        <v>164</v>
      </c>
      <c r="E18" s="576" t="s">
        <v>164</v>
      </c>
      <c r="F18" s="576" t="s">
        <v>164</v>
      </c>
      <c r="H18" s="337"/>
      <c r="I18" s="338"/>
      <c r="J18" s="338"/>
      <c r="K18" s="338"/>
      <c r="L18" s="338"/>
      <c r="M18" s="339"/>
    </row>
    <row r="19" spans="1:13" ht="14" customHeight="1">
      <c r="A19" s="576" t="s">
        <v>164</v>
      </c>
      <c r="B19" s="576" t="s">
        <v>164</v>
      </c>
      <c r="C19" s="576" t="s">
        <v>164</v>
      </c>
      <c r="D19" s="576" t="s">
        <v>164</v>
      </c>
      <c r="E19" s="576" t="s">
        <v>164</v>
      </c>
      <c r="F19" s="576" t="s">
        <v>164</v>
      </c>
      <c r="H19" s="337"/>
      <c r="I19" s="338"/>
      <c r="J19" s="338"/>
      <c r="K19" s="338"/>
      <c r="L19" s="338"/>
      <c r="M19" s="339"/>
    </row>
    <row r="20" spans="1:13" ht="14" customHeight="1">
      <c r="A20" s="576" t="s">
        <v>164</v>
      </c>
      <c r="B20" s="576" t="s">
        <v>164</v>
      </c>
      <c r="C20" s="576" t="s">
        <v>164</v>
      </c>
      <c r="D20" s="576" t="s">
        <v>164</v>
      </c>
      <c r="E20" s="576" t="s">
        <v>164</v>
      </c>
      <c r="F20" s="576" t="s">
        <v>164</v>
      </c>
      <c r="H20" s="340"/>
      <c r="I20" s="341"/>
      <c r="J20" s="341"/>
      <c r="K20" s="341"/>
      <c r="L20" s="341"/>
      <c r="M20" s="342"/>
    </row>
    <row r="23" spans="1:13" ht="14" customHeight="1">
      <c r="A23" s="576" t="s">
        <v>165</v>
      </c>
      <c r="B23" s="576" t="s">
        <v>165</v>
      </c>
      <c r="C23" s="576" t="s">
        <v>165</v>
      </c>
      <c r="D23" s="576" t="s">
        <v>165</v>
      </c>
      <c r="E23" s="576" t="s">
        <v>165</v>
      </c>
      <c r="F23" s="576" t="s">
        <v>165</v>
      </c>
      <c r="H23" s="577" t="s">
        <v>4040</v>
      </c>
      <c r="I23" s="578"/>
      <c r="J23" s="578"/>
      <c r="K23" s="578"/>
      <c r="L23" s="578"/>
      <c r="M23" s="579"/>
    </row>
    <row r="24" spans="1:13" ht="14" customHeight="1">
      <c r="A24" s="576" t="s">
        <v>165</v>
      </c>
      <c r="B24" s="576" t="s">
        <v>165</v>
      </c>
      <c r="C24" s="576" t="s">
        <v>165</v>
      </c>
      <c r="D24" s="576" t="s">
        <v>165</v>
      </c>
      <c r="E24" s="576" t="s">
        <v>165</v>
      </c>
      <c r="F24" s="576" t="s">
        <v>165</v>
      </c>
      <c r="H24" s="580" t="s">
        <v>4041</v>
      </c>
      <c r="I24" s="580"/>
      <c r="J24" s="580"/>
      <c r="K24" s="518">
        <f>Financial_Model!E51</f>
        <v>38.237823101180133</v>
      </c>
      <c r="L24" s="519"/>
      <c r="M24" s="520"/>
    </row>
    <row r="25" spans="1:13" ht="14" customHeight="1">
      <c r="A25" s="576" t="s">
        <v>165</v>
      </c>
      <c r="B25" s="576" t="s">
        <v>165</v>
      </c>
      <c r="C25" s="576" t="s">
        <v>165</v>
      </c>
      <c r="D25" s="576" t="s">
        <v>165</v>
      </c>
      <c r="E25" s="576" t="s">
        <v>165</v>
      </c>
      <c r="F25" s="576" t="s">
        <v>165</v>
      </c>
      <c r="H25" s="580" t="s">
        <v>4042</v>
      </c>
      <c r="I25" s="580"/>
      <c r="J25" s="580"/>
      <c r="K25" s="518">
        <f>Financial_Model!C61</f>
        <v>112.20191645078626</v>
      </c>
      <c r="L25" s="519"/>
      <c r="M25" s="520"/>
    </row>
    <row r="26" spans="1:13" ht="14" customHeight="1">
      <c r="A26" s="576" t="s">
        <v>165</v>
      </c>
      <c r="B26" s="576" t="s">
        <v>165</v>
      </c>
      <c r="C26" s="576" t="s">
        <v>165</v>
      </c>
      <c r="D26" s="576" t="s">
        <v>165</v>
      </c>
      <c r="E26" s="576" t="s">
        <v>165</v>
      </c>
      <c r="F26" s="576" t="s">
        <v>165</v>
      </c>
      <c r="H26" s="580" t="s">
        <v>4043</v>
      </c>
      <c r="I26" s="580"/>
      <c r="J26" s="580"/>
      <c r="K26" s="518">
        <f>Financial_Model!C60</f>
        <v>51</v>
      </c>
      <c r="L26" s="519"/>
      <c r="M26" s="520"/>
    </row>
    <row r="27" spans="1:13" ht="14" customHeight="1">
      <c r="A27" s="576" t="s">
        <v>165</v>
      </c>
      <c r="B27" s="576" t="s">
        <v>165</v>
      </c>
      <c r="C27" s="576" t="s">
        <v>165</v>
      </c>
      <c r="D27" s="576" t="s">
        <v>165</v>
      </c>
      <c r="E27" s="576" t="s">
        <v>165</v>
      </c>
      <c r="F27" s="576" t="s">
        <v>165</v>
      </c>
      <c r="H27" s="580" t="s">
        <v>4044</v>
      </c>
      <c r="I27" s="580"/>
      <c r="J27" s="580"/>
      <c r="K27" s="518">
        <f>Financial_Model!C64</f>
        <v>30.796666563325438</v>
      </c>
      <c r="L27" s="519"/>
      <c r="M27" s="520"/>
    </row>
    <row r="28" spans="1:13" ht="14" customHeight="1">
      <c r="A28" s="576" t="s">
        <v>165</v>
      </c>
      <c r="B28" s="576" t="s">
        <v>165</v>
      </c>
      <c r="C28" s="576" t="s">
        <v>165</v>
      </c>
      <c r="D28" s="576" t="s">
        <v>165</v>
      </c>
      <c r="E28" s="576" t="s">
        <v>165</v>
      </c>
      <c r="F28" s="576" t="s">
        <v>165</v>
      </c>
      <c r="H28" s="580" t="s">
        <v>3995</v>
      </c>
      <c r="I28" s="580"/>
      <c r="J28" s="580"/>
      <c r="K28" s="521">
        <f>Financial_Model!C65</f>
        <v>0.40823338246314189</v>
      </c>
      <c r="L28" s="522"/>
      <c r="M28" s="523"/>
    </row>
    <row r="29" spans="1:13" ht="14" customHeight="1">
      <c r="A29" s="576" t="s">
        <v>165</v>
      </c>
      <c r="B29" s="576" t="s">
        <v>165</v>
      </c>
      <c r="C29" s="576" t="s">
        <v>165</v>
      </c>
      <c r="D29" s="576" t="s">
        <v>165</v>
      </c>
      <c r="E29" s="576" t="s">
        <v>165</v>
      </c>
      <c r="F29" s="576" t="s">
        <v>165</v>
      </c>
      <c r="H29" s="580" t="s">
        <v>112</v>
      </c>
      <c r="I29" s="580"/>
      <c r="J29" s="580"/>
      <c r="K29" s="524">
        <f>Financial_Model!C66</f>
        <v>2.8845535200432</v>
      </c>
      <c r="L29" s="525"/>
      <c r="M29" s="526"/>
    </row>
    <row r="30" spans="1:13" ht="14" customHeight="1">
      <c r="A30" s="576" t="s">
        <v>165</v>
      </c>
      <c r="B30" s="576" t="s">
        <v>165</v>
      </c>
      <c r="C30" s="576" t="s">
        <v>165</v>
      </c>
      <c r="D30" s="576" t="s">
        <v>165</v>
      </c>
      <c r="E30" s="576" t="s">
        <v>165</v>
      </c>
      <c r="F30" s="576" t="s">
        <v>165</v>
      </c>
      <c r="H30" s="580" t="s">
        <v>4045</v>
      </c>
      <c r="I30" s="580"/>
      <c r="J30" s="580"/>
      <c r="K30" s="527">
        <f>Financial_Model!C62</f>
        <v>115685.94347665542</v>
      </c>
      <c r="L30" s="528"/>
      <c r="M30" s="529"/>
    </row>
    <row r="31" spans="1:13" ht="14" customHeight="1">
      <c r="A31" s="576" t="s">
        <v>165</v>
      </c>
      <c r="B31" s="576" t="s">
        <v>165</v>
      </c>
      <c r="C31" s="576" t="s">
        <v>165</v>
      </c>
      <c r="D31" s="576" t="s">
        <v>165</v>
      </c>
      <c r="E31" s="576" t="s">
        <v>165</v>
      </c>
      <c r="F31" s="576" t="s">
        <v>165</v>
      </c>
      <c r="H31" s="580" t="s">
        <v>4046</v>
      </c>
      <c r="I31" s="580"/>
      <c r="J31" s="580"/>
      <c r="K31" s="530">
        <f>Financial_Model!C63</f>
        <v>1.2000375774663972</v>
      </c>
      <c r="L31" s="531"/>
      <c r="M31" s="532"/>
    </row>
    <row r="32" spans="1:13" ht="14" customHeight="1">
      <c r="A32" s="576" t="s">
        <v>165</v>
      </c>
      <c r="B32" s="576" t="s">
        <v>165</v>
      </c>
      <c r="C32" s="576" t="s">
        <v>165</v>
      </c>
      <c r="D32" s="576" t="s">
        <v>165</v>
      </c>
      <c r="E32" s="576" t="s">
        <v>165</v>
      </c>
      <c r="F32" s="576" t="s">
        <v>165</v>
      </c>
    </row>
    <row r="34" spans="1:13" ht="16">
      <c r="A34" s="542" t="s">
        <v>4059</v>
      </c>
      <c r="B34" s="543"/>
      <c r="C34" s="543"/>
      <c r="D34" s="544"/>
    </row>
    <row r="35" spans="1:13" ht="13" customHeight="1">
      <c r="A35" s="545" t="s">
        <v>4061</v>
      </c>
      <c r="B35" s="546"/>
      <c r="C35" s="546"/>
      <c r="D35" s="547"/>
    </row>
    <row r="36" spans="1:13" ht="14.5">
      <c r="A36" s="277" t="s">
        <v>6</v>
      </c>
      <c r="B36" s="277" t="s">
        <v>1</v>
      </c>
      <c r="C36" s="277" t="s">
        <v>4060</v>
      </c>
      <c r="D36" s="277" t="s">
        <v>4015</v>
      </c>
    </row>
    <row r="37" spans="1:13">
      <c r="A37" s="278" t="s">
        <v>34</v>
      </c>
      <c r="B37" s="279">
        <f>COUNTIF(Market_Data[District],Dashboard!A37)</f>
        <v>2406</v>
      </c>
      <c r="C37" s="280">
        <f>IFERROR(Dashboard!$B37/SUM(Dashboard!$B$37:$B$41),"")</f>
        <v>0.78499184339314843</v>
      </c>
      <c r="D37" s="281" t="str">
        <f>IFERROR(IF(Dashboard!$B37&gt;=500,"High",IF(Dashboard!$B37&gt;=100,"Medium","Low")),"")</f>
        <v>High</v>
      </c>
    </row>
    <row r="38" spans="1:13">
      <c r="A38" s="278" t="s">
        <v>36</v>
      </c>
      <c r="B38" s="279">
        <f>COUNTIF(Market_Data[District],Dashboard!A38)</f>
        <v>195</v>
      </c>
      <c r="C38" s="280">
        <f>IFERROR(Dashboard!$B38/SUM(Dashboard!$B$37:$B$41),"")</f>
        <v>6.3621533442088096E-2</v>
      </c>
      <c r="D38" s="282" t="str">
        <f>IFERROR(IF(Dashboard!$B38&gt;=500,"High",IF(Dashboard!$B38&gt;=100,"Medium","Low")),"")</f>
        <v>Medium</v>
      </c>
    </row>
    <row r="39" spans="1:13">
      <c r="A39" s="278" t="s">
        <v>35</v>
      </c>
      <c r="B39" s="279">
        <f>COUNTIF(Market_Data[District],Dashboard!A39)</f>
        <v>345</v>
      </c>
      <c r="C39" s="280">
        <f>IFERROR(Dashboard!$B39/SUM(Dashboard!$B$37:$B$41),"")</f>
        <v>0.11256117455138662</v>
      </c>
      <c r="D39" s="282" t="str">
        <f>IFERROR(IF(Dashboard!$B39&gt;=500,"High",IF(Dashboard!$B39&gt;=100,"Medium","Low")),"")</f>
        <v>Medium</v>
      </c>
    </row>
    <row r="40" spans="1:13">
      <c r="A40" s="278" t="s">
        <v>37</v>
      </c>
      <c r="B40" s="279">
        <f>COUNTIF(Market_Data[District],Dashboard!A40)</f>
        <v>115</v>
      </c>
      <c r="C40" s="280">
        <f>IFERROR(Dashboard!$B40/SUM(Dashboard!$B$37:$B$41),"")</f>
        <v>3.7520391517128875E-2</v>
      </c>
      <c r="D40" s="282" t="str">
        <f>IFERROR(IF(Dashboard!$B40&gt;=500,"High",IF(Dashboard!$B40&gt;=100,"Medium","Low")),"")</f>
        <v>Medium</v>
      </c>
    </row>
    <row r="41" spans="1:13">
      <c r="A41" s="278" t="s">
        <v>38</v>
      </c>
      <c r="B41" s="279">
        <f>COUNTIF(Market_Data[District],Dashboard!A41)</f>
        <v>4</v>
      </c>
      <c r="C41" s="280">
        <f>IFERROR(Dashboard!$B41/SUM(Dashboard!$B$37:$B$41),"")</f>
        <v>1.3050570962479609E-3</v>
      </c>
      <c r="D41" s="283" t="str">
        <f>IFERROR(IF(Dashboard!$B41&gt;=500,"High",IF(Dashboard!$B41&gt;=100,"Medium","Low")),"")</f>
        <v>Low</v>
      </c>
    </row>
    <row r="43" spans="1:13" ht="14" customHeight="1">
      <c r="A43" s="251" t="s">
        <v>166</v>
      </c>
      <c r="B43" s="251" t="s">
        <v>166</v>
      </c>
      <c r="C43" s="251" t="s">
        <v>166</v>
      </c>
      <c r="D43" s="251" t="s">
        <v>166</v>
      </c>
      <c r="E43" s="251" t="s">
        <v>166</v>
      </c>
      <c r="F43" s="251" t="s">
        <v>166</v>
      </c>
      <c r="G43" s="251" t="s">
        <v>166</v>
      </c>
      <c r="H43" s="251" t="s">
        <v>166</v>
      </c>
      <c r="I43" s="251" t="s">
        <v>166</v>
      </c>
      <c r="J43" s="251" t="s">
        <v>166</v>
      </c>
      <c r="K43" s="251" t="s">
        <v>166</v>
      </c>
      <c r="L43" s="251" t="s">
        <v>166</v>
      </c>
      <c r="M43" s="251" t="s">
        <v>166</v>
      </c>
    </row>
    <row r="44" spans="1:13" ht="14" customHeight="1">
      <c r="A44" s="533" t="str">
        <f>IF(Executive_Summary!B24="","Awaiting real market and financial data",Executive_Summary!B24&amp;" - "&amp;Executive_Summary!A26)</f>
        <v>GO - The recommendation is supported by a positive NPV of ₹30.80 Cr, an IRR of 40.8%, a payback period of 2.9 years, manageable strategic risks and favourable market potential.</v>
      </c>
      <c r="B44" s="534"/>
      <c r="C44" s="534"/>
      <c r="D44" s="534"/>
      <c r="E44" s="534"/>
      <c r="F44" s="534"/>
      <c r="G44" s="534"/>
      <c r="H44" s="534"/>
      <c r="I44" s="534"/>
      <c r="J44" s="534"/>
      <c r="K44" s="534"/>
      <c r="L44" s="534"/>
      <c r="M44" s="535"/>
    </row>
    <row r="45" spans="1:13" ht="14" customHeight="1">
      <c r="A45" s="536"/>
      <c r="B45" s="537"/>
      <c r="C45" s="537"/>
      <c r="D45" s="537"/>
      <c r="E45" s="537"/>
      <c r="F45" s="537"/>
      <c r="G45" s="537"/>
      <c r="H45" s="537"/>
      <c r="I45" s="537"/>
      <c r="J45" s="537"/>
      <c r="K45" s="537"/>
      <c r="L45" s="537"/>
      <c r="M45" s="538"/>
    </row>
    <row r="46" spans="1:13" ht="14" customHeight="1">
      <c r="A46" s="536"/>
      <c r="B46" s="537"/>
      <c r="C46" s="537"/>
      <c r="D46" s="537"/>
      <c r="E46" s="537"/>
      <c r="F46" s="537"/>
      <c r="G46" s="537"/>
      <c r="H46" s="537"/>
      <c r="I46" s="537"/>
      <c r="J46" s="537"/>
      <c r="K46" s="537"/>
      <c r="L46" s="537"/>
      <c r="M46" s="538"/>
    </row>
    <row r="47" spans="1:13" ht="14" customHeight="1">
      <c r="A47" s="536"/>
      <c r="B47" s="537"/>
      <c r="C47" s="537"/>
      <c r="D47" s="537"/>
      <c r="E47" s="537"/>
      <c r="F47" s="537"/>
      <c r="G47" s="537"/>
      <c r="H47" s="537"/>
      <c r="I47" s="537"/>
      <c r="J47" s="537"/>
      <c r="K47" s="537"/>
      <c r="L47" s="537"/>
      <c r="M47" s="538"/>
    </row>
    <row r="48" spans="1:13" ht="14" customHeight="1">
      <c r="A48" s="539"/>
      <c r="B48" s="540"/>
      <c r="C48" s="540"/>
      <c r="D48" s="540"/>
      <c r="E48" s="540"/>
      <c r="F48" s="540"/>
      <c r="G48" s="540"/>
      <c r="H48" s="540"/>
      <c r="I48" s="540"/>
      <c r="J48" s="540"/>
      <c r="K48" s="540"/>
      <c r="L48" s="540"/>
      <c r="M48" s="541"/>
    </row>
    <row r="51" spans="1:10" ht="14" customHeight="1">
      <c r="A51" s="509" t="s">
        <v>4047</v>
      </c>
      <c r="B51" s="510"/>
      <c r="C51" s="510"/>
      <c r="D51" s="510"/>
      <c r="E51" s="510"/>
      <c r="F51" s="510"/>
      <c r="G51" s="511"/>
    </row>
    <row r="52" spans="1:10" ht="14" customHeight="1">
      <c r="A52" s="512" t="s">
        <v>4048</v>
      </c>
      <c r="B52" s="513"/>
      <c r="C52" s="513"/>
      <c r="D52" s="513"/>
      <c r="E52" s="513"/>
      <c r="F52" s="513"/>
      <c r="G52" s="514"/>
    </row>
    <row r="53" spans="1:10" ht="14" customHeight="1">
      <c r="A53" s="515" t="s">
        <v>117</v>
      </c>
      <c r="B53" s="256">
        <v>0</v>
      </c>
      <c r="C53" s="257">
        <v>1</v>
      </c>
      <c r="D53" s="257">
        <v>2</v>
      </c>
      <c r="E53" s="257">
        <v>3</v>
      </c>
      <c r="F53" s="257">
        <v>4</v>
      </c>
      <c r="G53" s="257">
        <v>5</v>
      </c>
    </row>
    <row r="54" spans="1:10" ht="14" customHeight="1">
      <c r="A54" s="516"/>
      <c r="B54" s="258">
        <v>5</v>
      </c>
      <c r="C54" s="262">
        <f>Risk_Analysis!R9</f>
        <v>0</v>
      </c>
      <c r="D54" s="259">
        <f>Risk_Analysis!S9</f>
        <v>0</v>
      </c>
      <c r="E54" s="260">
        <f>Risk_Analysis!T9</f>
        <v>0</v>
      </c>
      <c r="F54" s="261">
        <f>Risk_Analysis!U9</f>
        <v>1</v>
      </c>
      <c r="G54" s="261">
        <f>Risk_Analysis!V9</f>
        <v>0</v>
      </c>
      <c r="I54" s="263"/>
      <c r="J54" s="245" t="s">
        <v>4049</v>
      </c>
    </row>
    <row r="55" spans="1:10" ht="14" customHeight="1">
      <c r="A55" s="516"/>
      <c r="B55" s="258">
        <v>4</v>
      </c>
      <c r="C55" s="262">
        <f>Risk_Analysis!R10</f>
        <v>0</v>
      </c>
      <c r="D55" s="259">
        <f>Risk_Analysis!S10</f>
        <v>0</v>
      </c>
      <c r="E55" s="259">
        <f>Risk_Analysis!T10</f>
        <v>3</v>
      </c>
      <c r="F55" s="260">
        <f>Risk_Analysis!U10</f>
        <v>5</v>
      </c>
      <c r="G55" s="261">
        <f>Risk_Analysis!V10</f>
        <v>2</v>
      </c>
      <c r="I55" s="264"/>
      <c r="J55" s="245" t="s">
        <v>4050</v>
      </c>
    </row>
    <row r="56" spans="1:10" ht="14" customHeight="1">
      <c r="A56" s="516"/>
      <c r="B56" s="258">
        <v>3</v>
      </c>
      <c r="C56" s="262">
        <f>Risk_Analysis!R11</f>
        <v>0</v>
      </c>
      <c r="D56" s="262">
        <f>Risk_Analysis!S11</f>
        <v>0</v>
      </c>
      <c r="E56" s="259">
        <f>Risk_Analysis!T11</f>
        <v>3</v>
      </c>
      <c r="F56" s="259">
        <f>Risk_Analysis!U11</f>
        <v>4</v>
      </c>
      <c r="G56" s="260">
        <f>Risk_Analysis!V11</f>
        <v>1</v>
      </c>
      <c r="I56" s="265"/>
      <c r="J56" s="245" t="s">
        <v>4051</v>
      </c>
    </row>
    <row r="57" spans="1:10" ht="14" customHeight="1">
      <c r="A57" s="516"/>
      <c r="B57" s="258">
        <v>2</v>
      </c>
      <c r="C57" s="262">
        <f>Risk_Analysis!R12</f>
        <v>0</v>
      </c>
      <c r="D57" s="262">
        <f>Risk_Analysis!S12</f>
        <v>0</v>
      </c>
      <c r="E57" s="262">
        <f>Risk_Analysis!T12</f>
        <v>0</v>
      </c>
      <c r="F57" s="259">
        <f>Risk_Analysis!U12</f>
        <v>0</v>
      </c>
      <c r="G57" s="259">
        <f>Risk_Analysis!V12</f>
        <v>0</v>
      </c>
      <c r="I57" s="266"/>
      <c r="J57" s="245" t="s">
        <v>4052</v>
      </c>
    </row>
    <row r="58" spans="1:10" ht="14" customHeight="1">
      <c r="A58" s="517"/>
      <c r="B58" s="258">
        <v>1</v>
      </c>
      <c r="C58" s="262">
        <f>Risk_Analysis!R13</f>
        <v>0</v>
      </c>
      <c r="D58" s="262">
        <f>Risk_Analysis!S13</f>
        <v>0</v>
      </c>
      <c r="E58" s="262">
        <f>Risk_Analysis!T13</f>
        <v>0</v>
      </c>
      <c r="F58" s="262">
        <f>Risk_Analysis!U13</f>
        <v>0</v>
      </c>
      <c r="G58" s="262">
        <f>Risk_Analysis!V13</f>
        <v>0</v>
      </c>
    </row>
  </sheetData>
  <mergeCells count="40">
    <mergeCell ref="A9:F20"/>
    <mergeCell ref="A23:F32"/>
    <mergeCell ref="H23:M23"/>
    <mergeCell ref="H24:J24"/>
    <mergeCell ref="H25:J25"/>
    <mergeCell ref="H26:J26"/>
    <mergeCell ref="H27:J27"/>
    <mergeCell ref="H28:J28"/>
    <mergeCell ref="H29:J29"/>
    <mergeCell ref="H30:J30"/>
    <mergeCell ref="H31:J31"/>
    <mergeCell ref="A1:M1"/>
    <mergeCell ref="A2:M2"/>
    <mergeCell ref="A4:B4"/>
    <mergeCell ref="A5:B6"/>
    <mergeCell ref="C4:D4"/>
    <mergeCell ref="C5:D6"/>
    <mergeCell ref="E4:F4"/>
    <mergeCell ref="E5:F6"/>
    <mergeCell ref="H4:I4"/>
    <mergeCell ref="H5:I6"/>
    <mergeCell ref="J4:K4"/>
    <mergeCell ref="J5:K6"/>
    <mergeCell ref="L4:M4"/>
    <mergeCell ref="L5:M6"/>
    <mergeCell ref="G5:G6"/>
    <mergeCell ref="A51:G51"/>
    <mergeCell ref="A52:G52"/>
    <mergeCell ref="A53:A58"/>
    <mergeCell ref="K24:M24"/>
    <mergeCell ref="K25:M25"/>
    <mergeCell ref="K26:M26"/>
    <mergeCell ref="K27:M27"/>
    <mergeCell ref="K28:M28"/>
    <mergeCell ref="K29:M29"/>
    <mergeCell ref="K30:M30"/>
    <mergeCell ref="K31:M31"/>
    <mergeCell ref="A44:M48"/>
    <mergeCell ref="A34:D34"/>
    <mergeCell ref="A35:D35"/>
  </mergeCells>
  <conditionalFormatting sqref="L5:M6">
    <cfRule type="containsText" dxfId="22" priority="1" operator="containsText" text="NO GO">
      <formula>NOT(ISERROR(SEARCH("NO GO",L5)))</formula>
    </cfRule>
    <cfRule type="containsText" dxfId="21" priority="2" operator="containsText" text="GO">
      <formula>NOT(ISERROR(SEARCH("GO",L5)))</formula>
    </cfRule>
    <cfRule type="containsText" dxfId="20" priority="3" operator="containsText" text="CONDITIONAL GO">
      <formula>NOT(ISERROR(SEARCH("CONDITIONAL GO",L5)))</formula>
    </cfRule>
  </conditionalFormatting>
  <conditionalFormatting sqref="D37:D41">
    <cfRule type="expression" dxfId="19" priority="4" stopIfTrue="1">
      <formula>D37="High"</formula>
    </cfRule>
    <cfRule type="expression" dxfId="18" priority="5" stopIfTrue="1">
      <formula>D37="Medium"</formula>
    </cfRule>
    <cfRule type="expression" dxfId="17" priority="6" stopIfTrue="1">
      <formula>D37="Low"</formula>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rgb="FF1C2A43"/>
  </sheetPr>
  <dimension ref="A1:J31"/>
  <sheetViews>
    <sheetView showGridLines="0" zoomScale="88" workbookViewId="0">
      <selection activeCell="B7" sqref="B7"/>
    </sheetView>
  </sheetViews>
  <sheetFormatPr defaultRowHeight="14"/>
  <cols>
    <col min="1" max="1" width="23.75" customWidth="1"/>
    <col min="2" max="2" width="50.1640625" bestFit="1" customWidth="1"/>
    <col min="3" max="3" width="27.5" customWidth="1"/>
    <col min="4" max="5" width="20" customWidth="1"/>
    <col min="6" max="6" width="11.58203125" bestFit="1" customWidth="1"/>
    <col min="7" max="10" width="20" customWidth="1"/>
  </cols>
  <sheetData>
    <row r="1" spans="1:10" ht="20" customHeight="1">
      <c r="A1" s="473" t="s">
        <v>167</v>
      </c>
      <c r="B1" s="473" t="s">
        <v>167</v>
      </c>
      <c r="C1" s="473" t="s">
        <v>167</v>
      </c>
      <c r="D1" s="473" t="s">
        <v>167</v>
      </c>
      <c r="E1" s="473" t="s">
        <v>167</v>
      </c>
      <c r="F1" s="473" t="s">
        <v>167</v>
      </c>
      <c r="G1" s="473" t="s">
        <v>167</v>
      </c>
      <c r="H1" s="473" t="s">
        <v>167</v>
      </c>
      <c r="I1" s="473" t="s">
        <v>167</v>
      </c>
      <c r="J1" s="473" t="s">
        <v>167</v>
      </c>
    </row>
    <row r="2" spans="1:10" ht="16" customHeight="1">
      <c r="A2" s="475" t="s">
        <v>4116</v>
      </c>
      <c r="B2" s="475" t="s">
        <v>168</v>
      </c>
      <c r="C2" s="475" t="s">
        <v>168</v>
      </c>
      <c r="D2" s="475" t="s">
        <v>168</v>
      </c>
      <c r="E2" s="475" t="s">
        <v>168</v>
      </c>
      <c r="F2" s="475" t="s">
        <v>168</v>
      </c>
      <c r="G2" s="475" t="s">
        <v>168</v>
      </c>
      <c r="H2" s="475" t="s">
        <v>168</v>
      </c>
      <c r="I2" s="475" t="s">
        <v>168</v>
      </c>
      <c r="J2" s="475" t="s">
        <v>168</v>
      </c>
    </row>
    <row r="3" spans="1:10">
      <c r="A3" s="385">
        <f ca="1">TODAY()</f>
        <v>46286</v>
      </c>
    </row>
    <row r="4" spans="1:10" ht="14.5">
      <c r="A4" s="583" t="s">
        <v>2</v>
      </c>
      <c r="B4" s="584" t="s">
        <v>2</v>
      </c>
      <c r="C4" s="303" t="s">
        <v>160</v>
      </c>
      <c r="D4" s="303" t="s">
        <v>4079</v>
      </c>
      <c r="E4" s="303" t="s">
        <v>3787</v>
      </c>
      <c r="F4" s="303" t="s">
        <v>3951</v>
      </c>
      <c r="G4" s="303" t="s">
        <v>4080</v>
      </c>
      <c r="H4" s="303" t="s">
        <v>161</v>
      </c>
      <c r="I4" s="583" t="s">
        <v>169</v>
      </c>
      <c r="J4" s="584" t="s">
        <v>169</v>
      </c>
    </row>
    <row r="5" spans="1:10" ht="14" customHeight="1">
      <c r="A5" s="585">
        <f>TAM_SAM_SOM!D12</f>
        <v>44238410</v>
      </c>
      <c r="B5" s="586"/>
      <c r="C5" s="593">
        <f>TAM_SAM_SOM!F12</f>
        <v>26760.217739999996</v>
      </c>
      <c r="D5" s="599">
        <f>COUNTA(Competitors!B5:B70)</f>
        <v>66</v>
      </c>
      <c r="E5" s="597">
        <f>COUNTIF(tbl_Competitors[Verification Status],"Verified")</f>
        <v>29</v>
      </c>
      <c r="F5" s="595">
        <f>COUNTIF(tbl_Competitors[Verification Status],"Not Verified")</f>
        <v>37</v>
      </c>
      <c r="G5" s="603">
        <f>IFERROR(E5/(E5+F5),"")</f>
        <v>0.43939393939393939</v>
      </c>
      <c r="H5" s="601">
        <f>SUM(TAM_SAM_SOM!E18:E22)</f>
        <v>25943.411520000031</v>
      </c>
      <c r="I5" s="589" t="str">
        <f>Dashboard!L5</f>
        <v>GO</v>
      </c>
      <c r="J5" s="590"/>
    </row>
    <row r="6" spans="1:10" ht="14" customHeight="1">
      <c r="A6" s="587"/>
      <c r="B6" s="588"/>
      <c r="C6" s="594"/>
      <c r="D6" s="600"/>
      <c r="E6" s="598"/>
      <c r="F6" s="596"/>
      <c r="G6" s="604"/>
      <c r="H6" s="602"/>
      <c r="I6" s="591"/>
      <c r="J6" s="592"/>
    </row>
    <row r="10" spans="1:10" ht="14" customHeight="1">
      <c r="A10" s="477" t="s">
        <v>170</v>
      </c>
      <c r="B10" s="477"/>
      <c r="C10" s="477"/>
    </row>
    <row r="11" spans="1:10" ht="18" customHeight="1">
      <c r="A11" s="51" t="s">
        <v>171</v>
      </c>
      <c r="B11" s="51" t="s">
        <v>172</v>
      </c>
      <c r="C11" s="52" t="s">
        <v>173</v>
      </c>
    </row>
    <row r="12" spans="1:10" ht="26" customHeight="1">
      <c r="A12" s="99" t="s">
        <v>174</v>
      </c>
      <c r="B12" s="271" t="str">
        <f>"The workbook currently tracks "&amp;TEXT(COUNTA(Market_Data!D9:D3073),"#,##0")&amp;" RERA/private projects representing "&amp;TEXT(SUM(Market_Data!L9:L3073)/1000000,"0.0")&amp;"M m3 of demand and Rs "&amp;TEXT(SUM(Market_Data!N9:N3073),"#,##0.00")&amp;" Cr of market value. Including "&amp;TEXT(COUNTIFS(Infrastructure_Projects!Q5:Q26,"Yes"),"#,##0")&amp;" infrastructure projects, total TAM is Rs "&amp;TEXT(TAM_SAM_SOM!F12,"#,##0.00")&amp;" Cr / "&amp;TEXT(TAM_SAM_SOM!D12/1000000,"0.0")&amp;"M m3, of which Rs "&amp;TEXT(SUM(TAM_SAM_SOM!E18:E22),"#,##0.00")&amp;" Cr / "&amp;TEXT(SUM(TAM_SAM_SOM!D18:D22)/1000000,"0.0")&amp;"M m3 is currently reachable SAM."</f>
        <v>The workbook currently tracks 3,065 RERA/private projects representing 37.9M m3 of demand and Rs 22,960.26 Cr of market value. Including 22 infrastructure projects, total TAM is Rs 26,760.22 Cr / 44.2M m3, of which Rs 25,943.41 Cr / 42.7M m3 is currently reachable SAM.</v>
      </c>
      <c r="C12" s="272" t="s">
        <v>175</v>
      </c>
    </row>
    <row r="13" spans="1:10" ht="26" customHeight="1">
      <c r="A13" s="100" t="s">
        <v>176</v>
      </c>
      <c r="B13" s="273" t="str">
        <f>"Surat represents "&amp;TEXT(TAM_SAM_SOM!D18/SUM(TAM_SAM_SOM!D18:D22),"0%")&amp;" of reachable SAM demand, making it the first-priority market. The weighted SAM price is Rs "&amp;TEXT(Financial_Model!C8,"#,##0")&amp;"/m3. The competitor map covers "&amp;TEXT(COUNTA(Competitors!B5:B70),"#,##0")&amp;" named players, with "&amp;TEXT(COUNTIF(Competitors!J5:J70,"High"),"#,##0")&amp;" high-threat competitors and a verified-competitor rate of "&amp;TEXT(Executive_Summary!G5,"0%")&amp;"."</f>
        <v>Surat represents 71% of reachable SAM demand, making it the first-priority market. The weighted SAM price is Rs 6,069/m3. The competitor map covers 66 named players, with 24 high-threat competitors and a verified-competitor rate of 44%.</v>
      </c>
      <c r="C13" s="274" t="s">
        <v>177</v>
      </c>
    </row>
    <row r="14" spans="1:10" ht="26" customHeight="1">
      <c r="A14" s="100" t="s">
        <v>178</v>
      </c>
      <c r="B14" s="273" t="str">
        <f>"Infrastructure demand is tracked separately from private Market_Data to avoid double counting. The current infrastructure pipeline includes "&amp;TEXT(COUNTA(Infrastructure_Projects!A5:A26),"#,##0")&amp;" projects, "&amp;TEXT(SUM(Infrastructure_Projects!F5:F26)/1000000,"0.0")&amp;"M m3 of demand and Rs "&amp;TEXT(SUM(Infrastructure_Projects!G5:G26),"#,##0.00")&amp;" Cr of included market value. Verification status remains important: "&amp;TEXT(COUNTIF(Infrastructure_Projects!O5:O26,"Verified"),"#,##0")&amp;" verified, "&amp;TEXT(COUNTIF(Infrastructure_Projects!O5:O26,"Benchmark Estimate"),"#,##0")&amp;" benchmark-estimate and "&amp;TEXT(COUNTIF(Infrastructure_Projects!O5:O26,"Needs Validation"),"#,##0")&amp;" needing validation."</f>
        <v>Infrastructure demand is tracked separately from private Market_Data to avoid double counting. The current infrastructure pipeline includes 22 projects, 6.4M m3 of demand and Rs 3,799.95 Cr of included market value. Verification status remains important: 1 verified, 19 benchmark-estimate and 2 needing validation.</v>
      </c>
      <c r="C14" s="274" t="s">
        <v>179</v>
      </c>
    </row>
    <row r="15" spans="1:10" ht="26" customHeight="1">
      <c r="A15" s="100" t="s">
        <v>180</v>
      </c>
      <c r="B15" s="273" t="str">
        <f>"The competitive landscape contains "&amp;TEXT(COUNTA(Competitors!B5:B70),"#,##0")&amp;" competitors: "&amp;TEXT(Competitors!B102,"#,##0")&amp;" Low, "&amp;TEXT(Competitors!B103,"#,##0")&amp;" Medium, "&amp;TEXT(Competitors!B104,"#,##0")&amp;" High and "&amp;TEXT(Competitors!B105,"#,##0")&amp;" Very High strategic threat. "&amp;TEXT(COUNTIF(Competitors!Y5:Y70,"Captive / Project-Based"),"#,##0")&amp;" players are captive/project-based and should be separated from open-market share interpretation."</f>
        <v>The competitive landscape contains 66 competitors: 16 Low, 26 Medium, 24 High and 0 Very High strategic threat. 5 players are captive/project-based and should be separated from open-market share interpretation.</v>
      </c>
      <c r="C15" s="274" t="s">
        <v>46</v>
      </c>
    </row>
    <row r="16" spans="1:10" ht="26" customHeight="1">
      <c r="A16" s="100" t="s">
        <v>181</v>
      </c>
      <c r="B16" s="273" t="str">
        <f>"The project is financially attractive with a Base Case NPV of ₹"&amp;TEXT(Financial_Model!C64,"#,##0.00")&amp;
" Cr, IRR of "&amp;TEXT(Financial_Model!C65,"0.0%")&amp;
", and payback period of "&amp;TEXT(Financial_Model!C66,"0.0")&amp;
" years."</f>
        <v>The project is financially attractive with a Base Case NPV of ₹30.80 Cr, IRR of 40.8%, and payback period of 2.9 years.</v>
      </c>
      <c r="C16" s="274" t="s">
        <v>182</v>
      </c>
    </row>
    <row r="17" spans="1:9" ht="26" customHeight="1">
      <c r="A17" s="100" t="s">
        <v>183</v>
      </c>
      <c r="B17" s="273" t="str">
        <f>"Risk_Analysis currently logs "&amp;TEXT(COUNTA(Risk_Analysis!C8:C26),"#,##0")&amp;" risks: "&amp;TEXT(Risk_Analysis!D5,"#,##0")&amp;" Critical, "&amp;TEXT(Risk_Analysis!F5,"#,##0")&amp;" High, "&amp;TEXT(Risk_Analysis!G5,"#,##0")&amp;" Medium and "&amp;TEXT(Risk_Analysis!H5,"#,##0")&amp;" Low. The critical risks are concentrated around plant location/service radius, Surat concentration and SOM capture ramp."</f>
        <v>Risk_Analysis currently logs 19 risks: 3 Critical, 6 High, 10 Medium and 0 Low. The critical risks are concentrated around plant location/service radius, Surat concentration and SOM capture ramp.</v>
      </c>
      <c r="C17" s="274" t="s">
        <v>184</v>
      </c>
    </row>
    <row r="18" spans="1:9" ht="26" customHeight="1">
      <c r="A18" s="100" t="s">
        <v>185</v>
      </c>
      <c r="B18" s="273" t="str">
        <f>"Recommended approach: proceed only on a milestone-gated basis. The current decision is "&amp;B24&amp;". Year-1 capital commitment should be anchored to one plant with base CapEx of Rs "&amp;TEXT(Financial_Model!C24,"#,##0.00")&amp;" Cr, then subsequent rollout should be gated against base-case utilization of "&amp;TEXT(Financial_Model!C9,"0%")&amp;", realized price near Rs "&amp;TEXT(Financial_Model!C8,"#,##0")&amp;"/m3 and actual booked demand versus the base-case model."</f>
        <v>Recommended approach: proceed only on a milestone-gated basis. The current decision is GO. Year-1 capital commitment should be anchored to one plant with base CapEx of Rs 17.00 Cr, then subsequent rollout should be gated against base-case utilization of 70%, realized price near Rs 6,069/m3 and actual booked demand versus the base-case model.</v>
      </c>
      <c r="C18" s="274" t="s">
        <v>186</v>
      </c>
    </row>
    <row r="19" spans="1:9" ht="26" customHeight="1">
      <c r="A19" s="101" t="s">
        <v>187</v>
      </c>
      <c r="B19" s="275" t="str">
        <f>"Based on the financial analysis, market opportunity, competitive assessment and risk profile, the recommended investment decision is "&amp;B24&amp;"."</f>
        <v>Based on the financial analysis, market opportunity, competitive assessment and risk profile, the recommended investment decision is GO.</v>
      </c>
      <c r="C19" s="74" t="s">
        <v>188</v>
      </c>
    </row>
    <row r="20" spans="1:9" ht="26" customHeight="1">
      <c r="A20" s="274" t="s">
        <v>4057</v>
      </c>
      <c r="B20" s="276" t="str">
        <f>"Market_Data is concentrated in Surat, which accounts for "&amp;TEXT(COUNTIF(Market_Data!B9:B3073,"Surat")/COUNTA(Market_Data!D9:D3073),"0%")&amp;" of the private project sample. Tapi has only "&amp;TEXT(COUNTIF(Market_Data!B9:B3073,"Tapi"),"#,##0")&amp;" private projects, so low-sample districts should be treated as directional and validated with additional local market intelligence before final investment decisions."</f>
        <v>Market_Data is concentrated in Surat, which accounts for 78% of the private project sample. Tapi has only 4 private projects, so low-sample districts should be treated as directional and validated with additional local market intelligence before final investment decisions.</v>
      </c>
      <c r="C20" s="274" t="s">
        <v>4058</v>
      </c>
    </row>
    <row r="23" spans="1:9" ht="14" customHeight="1">
      <c r="A23" s="479" t="s">
        <v>169</v>
      </c>
      <c r="B23" s="479"/>
      <c r="C23" s="479"/>
      <c r="D23" s="479"/>
      <c r="E23" s="479"/>
      <c r="F23" s="479"/>
      <c r="G23" s="479"/>
      <c r="H23" s="479"/>
      <c r="I23" s="479"/>
    </row>
    <row r="24" spans="1:9" ht="18.5">
      <c r="A24" t="s">
        <v>189</v>
      </c>
      <c r="B24" s="267" t="s">
        <v>4053</v>
      </c>
      <c r="C24" t="s">
        <v>190</v>
      </c>
      <c r="D24" s="268" t="str">
        <f>IF(B24="","PENDING DATA",B24)</f>
        <v>GO</v>
      </c>
    </row>
    <row r="26" spans="1:9">
      <c r="A26" s="581" t="str">
        <f>"The recommendation is supported by a positive NPV of ₹"&amp;TEXT(Financial_Model!C64,"#,##0.00")&amp;
" Cr, an IRR of "&amp;TEXT(Financial_Model!C65,"0.0%")&amp;
", a payback period of "&amp;TEXT(Financial_Model!C66,"0.0")&amp;
" years, manageable strategic risks and favourable market potential."</f>
        <v>The recommendation is supported by a positive NPV of ₹30.80 Cr, an IRR of 40.8%, a payback period of 2.9 years, manageable strategic risks and favourable market potential.</v>
      </c>
      <c r="B26" s="582"/>
      <c r="C26" s="582"/>
      <c r="D26" s="582"/>
      <c r="E26" s="582"/>
      <c r="F26" s="582"/>
      <c r="G26" s="582"/>
      <c r="H26" s="582"/>
      <c r="I26" s="582"/>
    </row>
    <row r="27" spans="1:9">
      <c r="A27" s="582"/>
      <c r="B27" s="582"/>
      <c r="C27" s="582"/>
      <c r="D27" s="582"/>
      <c r="E27" s="582"/>
      <c r="F27" s="582"/>
      <c r="G27" s="582"/>
      <c r="H27" s="582"/>
      <c r="I27" s="582"/>
    </row>
    <row r="28" spans="1:9">
      <c r="A28" s="582"/>
      <c r="B28" s="582"/>
      <c r="C28" s="582"/>
      <c r="D28" s="582"/>
      <c r="E28" s="582"/>
      <c r="F28" s="582"/>
      <c r="G28" s="582"/>
      <c r="H28" s="582"/>
      <c r="I28" s="582"/>
    </row>
    <row r="29" spans="1:9">
      <c r="A29" s="582"/>
      <c r="B29" s="582"/>
      <c r="C29" s="582"/>
      <c r="D29" s="582"/>
      <c r="E29" s="582"/>
      <c r="F29" s="582"/>
      <c r="G29" s="582"/>
      <c r="H29" s="582"/>
      <c r="I29" s="582"/>
    </row>
    <row r="30" spans="1:9">
      <c r="A30" s="582"/>
      <c r="B30" s="582"/>
      <c r="C30" s="582"/>
      <c r="D30" s="582"/>
      <c r="E30" s="582"/>
      <c r="F30" s="582"/>
      <c r="G30" s="582"/>
      <c r="H30" s="582"/>
      <c r="I30" s="582"/>
    </row>
    <row r="31" spans="1:9">
      <c r="A31" s="582"/>
      <c r="B31" s="582"/>
      <c r="C31" s="582"/>
      <c r="D31" s="582"/>
      <c r="E31" s="582"/>
      <c r="F31" s="582"/>
      <c r="G31" s="582"/>
      <c r="H31" s="582"/>
      <c r="I31" s="582"/>
    </row>
  </sheetData>
  <mergeCells count="15">
    <mergeCell ref="A26:I31"/>
    <mergeCell ref="A1:J1"/>
    <mergeCell ref="A2:J2"/>
    <mergeCell ref="A4:B4"/>
    <mergeCell ref="A5:B6"/>
    <mergeCell ref="I4:J4"/>
    <mergeCell ref="I5:J6"/>
    <mergeCell ref="C5:C6"/>
    <mergeCell ref="F5:F6"/>
    <mergeCell ref="A10:C10"/>
    <mergeCell ref="A23:I23"/>
    <mergeCell ref="E5:E6"/>
    <mergeCell ref="D5:D6"/>
    <mergeCell ref="H5:H6"/>
    <mergeCell ref="G5:G6"/>
  </mergeCells>
  <conditionalFormatting sqref="I5:J6">
    <cfRule type="containsText" dxfId="10" priority="1" operator="containsText" text="NO GO">
      <formula>NOT(ISERROR(SEARCH("NO GO",I5)))</formula>
    </cfRule>
    <cfRule type="containsText" dxfId="9" priority="2" operator="containsText" text="GO">
      <formula>NOT(ISERROR(SEARCH("GO",I5)))</formula>
    </cfRule>
    <cfRule type="containsText" dxfId="8" priority="3" operator="containsText" text="CONDITIONAL GO">
      <formula>NOT(ISERROR(SEARCH("CONDITIONAL GO",I5)))</formula>
    </cfRule>
  </conditionalFormatting>
  <conditionalFormatting sqref="B24:D24">
    <cfRule type="expression" dxfId="7" priority="4" stopIfTrue="1">
      <formula>B24="GO"</formula>
    </cfRule>
    <cfRule type="expression" dxfId="6" priority="5" stopIfTrue="1">
      <formula>B24="CONDITIONAL GO"</formula>
    </cfRule>
    <cfRule type="expression" dxfId="5" priority="6" stopIfTrue="1">
      <formula>B24="NO GO"</formula>
    </cfRule>
  </conditionalFormatting>
  <dataValidations count="1">
    <dataValidation type="list" allowBlank="1" showInputMessage="1" showErrorMessage="1" sqref="B24" xr:uid="{DD40F6B6-45EB-402C-8ABF-DE064CFEC92B}">
      <formula1>"GO,CONDITIONAL GO,NO GO"</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Cover_Page</vt:lpstr>
      <vt:lpstr>Market_Data</vt:lpstr>
      <vt:lpstr>Assumptions_Market</vt:lpstr>
      <vt:lpstr>TAM_SAM_SOM</vt:lpstr>
      <vt:lpstr>Competitors</vt:lpstr>
      <vt:lpstr>Financial_Model</vt:lpstr>
      <vt:lpstr>Risk_Analysis</vt:lpstr>
      <vt:lpstr>Infrastructure_Projects</vt:lpstr>
      <vt:lpstr>Assumptions_Log</vt:lpstr>
      <vt:lpstr>Dashboard</vt:lpstr>
      <vt:lpstr>Executive_Summary</vt:lpstr>
      <vt:lpstr>Annual_Escalation</vt:lpstr>
      <vt:lpstr>Base_Scenario</vt:lpstr>
      <vt:lpstr>Optimistic_Scenario</vt:lpstr>
      <vt:lpstr>Pessimistic_Scenario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Avinash Dubey</dc:creator>
  <cp:lastModifiedBy>Avinash Dubey</cp:lastModifiedBy>
  <dcterms:created xsi:type="dcterms:W3CDTF">2026-06-26T19:40:44Z</dcterms:created>
  <dcterms:modified xsi:type="dcterms:W3CDTF">2026-09-20T19:49:27Z</dcterms:modified>
</cp:coreProperties>
</file>